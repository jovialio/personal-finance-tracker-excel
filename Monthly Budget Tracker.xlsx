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olors2.xml" ContentType="application/vnd.ms-office.chartcolorstyle+xml"/>
  <Override PartName="/xl/charts/style3.xml" ContentType="application/vnd.ms-office.chartstyle+xml"/>
  <Override PartName="/xl/charts/colors3.xml" ContentType="application/vnd.ms-office.chartcolor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5.xml" ContentType="application/vnd.ms-office.chartcolorstyle+xml"/>
  <Override PartName="/xl/charts/style6.xml" ContentType="application/vnd.ms-office.chartstyle+xml"/>
  <Override PartName="/xl/charts/colors6.xml" ContentType="application/vnd.ms-office.chartcolorstyle+xml"/>
  <Override PartName="/xl/charts/style7.xml" ContentType="application/vnd.ms-office.chartstyle+xml"/>
  <Override PartName="/xl/charts/colors7.xml" ContentType="application/vnd.ms-office.chartcolorstyle+xml"/>
  <Override PartName="/xl/charts/style8.xml" ContentType="application/vnd.ms-office.chartstyle+xml"/>
  <Override PartName="/xl/charts/colors8.xml" ContentType="application/vnd.ms-office.chartcolorstyle+xml"/>
  <Override PartName="/xl/charts/style9.xml" ContentType="application/vnd.ms-office.chartstyle+xml"/>
  <Override PartName="/xl/charts/colors9.xml" ContentType="application/vnd.ms-office.chartcolorstyle+xml"/>
  <Override PartName="/xl/charts/style10.xml" ContentType="application/vnd.ms-office.chartstyle+xml"/>
  <Override PartName="/xl/charts/colors10.xml" ContentType="application/vnd.ms-office.chartcolorstyle+xml"/>
  <Override PartName="/xl/charts/style11.xml" ContentType="application/vnd.ms-office.chartstyle+xml"/>
  <Override PartName="/xl/charts/colors11.xml" ContentType="application/vnd.ms-office.chartcolorstyle+xml"/>
  <Override PartName="/xl/charts/style12.xml" ContentType="application/vnd.ms-office.chartstyle+xml"/>
  <Override PartName="/xl/charts/colors12.xml" ContentType="application/vnd.ms-office.chartcolorstyle+xml"/>
  <Override PartName="/xl/charts/style13.xml" ContentType="application/vnd.ms-office.chartstyle+xml"/>
  <Override PartName="/xl/charts/colors13.xml" ContentType="application/vnd.ms-office.chartcolorstyle+xml"/>
  <Override PartName="/xl/charts/style14.xml" ContentType="application/vnd.ms-office.chartstyle+xml"/>
  <Override PartName="/xl/charts/colors14.xml" ContentType="application/vnd.ms-office.chartcolorstyle+xml"/>
  <Override PartName="/xl/charts/style15.xml" ContentType="application/vnd.ms-office.chartstyle+xml"/>
  <Override PartName="/xl/charts/colors15.xml" ContentType="application/vnd.ms-office.chartcolorstyle+xml"/>
  <Override PartName="/xl/charts/style16.xml" ContentType="application/vnd.ms-office.chartstyle+xml"/>
  <Override PartName="/xl/charts/colors16.xml" ContentType="application/vnd.ms-office.chartcolorstyle+xml"/>
  <Override PartName="/xl/charts/style17.xml" ContentType="application/vnd.ms-office.chartstyle+xml"/>
  <Override PartName="/xl/charts/colors17.xml" ContentType="application/vnd.ms-office.chartcolorstyle+xml"/>
  <Override PartName="/xl/charts/style18.xml" ContentType="application/vnd.ms-office.chartstyle+xml"/>
  <Override PartName="/xl/charts/colors18.xml" ContentType="application/vnd.ms-office.chartcolorstyl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Monthly Summary" sheetId="3" state="visible" r:id="rId3"/>
    <sheet xmlns:r="http://schemas.openxmlformats.org/officeDocument/2006/relationships" name="Expense Trends" sheetId="7" state="visible" r:id="rId9"/>
    <sheet xmlns:r="http://schemas.openxmlformats.org/officeDocument/2006/relationships" name="Expense Charts" sheetId="8" state="visible" r:id="rId10"/>
    <sheet xmlns:r="http://schemas.openxmlformats.org/officeDocument/2006/relationships" name="Entries" sheetId="4" state="visible" r:id="rId4"/>
    <sheet xmlns:r="http://schemas.openxmlformats.org/officeDocument/2006/relationships" name="Budgets" sheetId="5" state="visible" r:id="rId5"/>
    <sheet xmlns:r="http://schemas.openxmlformats.org/officeDocument/2006/relationships" name="Categories" sheetId="6" state="visible" r:id="rId6"/>
  </sheets>
  <definedNames/>
  <calcPr calcId="124519" fullCalcOnLoad="1"/>
</workbook>
</file>

<file path=xl/styles.xml><?xml version="1.0" encoding="utf-8"?>
<styleSheet xmlns="http://schemas.openxmlformats.org/spreadsheetml/2006/main">
  <numFmts count="9">
    <numFmt numFmtId="164" formatCode="yyyy-mm-dd h:mm:ss"/>
    <numFmt numFmtId="165" formatCode="yyyy-mm-dd"/>
    <numFmt numFmtId="166" formatCode="yyyy-mm"/>
    <numFmt numFmtId="167" formatCode="$#,##0"/>
    <numFmt numFmtId="168" formatCode="0.0%"/>
    <numFmt numFmtId="200" formatCode="\$#,##0"/>
    <numFmt numFmtId="201" formatCode="yyyy\-mm"/>
    <numFmt numFmtId="202" formatCode="0.0%"/>
    <numFmt numFmtId="203" formatCode="yyyy\-mm\-dd"/>
  </numFmts>
  <fonts count="38">
    <font>
      <name val="Calibri"/>
      <family val="2"/>
      <color theme="1"/>
      <sz val="11"/>
      <scheme val="minor"/>
    </font>
    <font>
      <name val="Arial"/>
      <b val="1"/>
      <color rgb="00FFFFFF"/>
      <sz val="10"/>
    </font>
    <font>
      <name val="Arial"/>
      <color rgb="00000000"/>
      <sz val="10"/>
    </font>
    <font>
      <name val="Arial"/>
      <color rgb="00808080"/>
      <sz val="10"/>
    </font>
    <font>
      <name val="Arial"/>
      <color rgb="00808080"/>
      <sz val="9"/>
    </font>
    <font>
      <name val="Arial"/>
      <color rgb="000000FF"/>
      <sz val="10"/>
    </font>
    <font>
      <name val="Arial"/>
      <b val="1"/>
      <color rgb="00000000"/>
      <sz val="9"/>
    </font>
    <font>
      <name val="Arial"/>
      <color rgb="00CCCCCC"/>
      <sz val="8"/>
    </font>
    <font>
      <name val="Arial"/>
      <b val="1"/>
      <color rgb="001F4E5F"/>
      <sz val="16"/>
    </font>
    <font>
      <name val="Arial"/>
      <color rgb="00777777"/>
      <sz val="10"/>
    </font>
    <font>
      <name val="Arial"/>
      <b val="1"/>
      <color rgb="00999999"/>
      <sz val="9"/>
    </font>
    <font>
      <name val="Arial"/>
      <color rgb="00999999"/>
      <sz val="9"/>
    </font>
    <font>
      <name val="Arial"/>
      <color rgb="00555555"/>
      <sz val="10"/>
    </font>
    <font>
      <name val="Arial"/>
      <b val="1"/>
      <color rgb="00777777"/>
      <sz val="9"/>
    </font>
    <font>
      <name val="Arial"/>
      <b val="1"/>
      <color rgb="00000000"/>
      <sz val="10"/>
    </font>
    <font>
      <name val="Arial"/>
      <color rgb="00777777"/>
      <sz val="9"/>
    </font>
    <font>
      <name val="Arial"/>
      <b val="1"/>
      <color rgb="001F4E5F"/>
      <sz val="15"/>
    </font>
    <font>
      <name val="Arial"/>
      <b val="1"/>
      <color rgb="001F4E5F"/>
      <sz val="11"/>
    </font>
    <font>
      <sz val="11"/>
      <color theme="1"/>
      <name val="Calibri"/>
      <family val="2"/>
      <scheme val="minor"/>
    </font>
    <font>
      <b/>
      <sz val="10"/>
      <color rgb="FFFFFFFF"/>
      <name val="Arial"/>
      <family val="2"/>
    </font>
    <font>
      <sz val="10"/>
      <color rgb="FF000000"/>
      <name val="Arial"/>
      <family val="2"/>
    </font>
    <font>
      <sz val="10"/>
      <color rgb="FF808080"/>
      <name val="Arial"/>
      <family val="2"/>
    </font>
    <font>
      <sz val="9"/>
      <color rgb="FF808080"/>
      <name val="Arial"/>
      <family val="2"/>
    </font>
    <font>
      <sz val="10"/>
      <color rgb="FF0000FF"/>
      <name val="Arial"/>
      <family val="2"/>
    </font>
    <font>
      <b/>
      <sz val="9"/>
      <color rgb="FF000000"/>
      <name val="Arial"/>
      <family val="2"/>
    </font>
    <font>
      <sz val="8"/>
      <color rgb="FFCCCCCC"/>
      <name val="Arial"/>
      <family val="2"/>
    </font>
    <font>
      <b/>
      <sz val="16"/>
      <color rgb="FF1F4E5F"/>
      <name val="Arial"/>
      <family val="2"/>
    </font>
    <font>
      <sz val="10"/>
      <color rgb="FF777777"/>
      <name val="Arial"/>
      <family val="2"/>
    </font>
    <font>
      <b/>
      <sz val="9"/>
      <color rgb="FF999999"/>
      <name val="Arial"/>
      <family val="2"/>
    </font>
    <font>
      <sz val="9"/>
      <color rgb="FF999999"/>
      <name val="Arial"/>
      <family val="2"/>
    </font>
    <font>
      <sz val="10"/>
      <color rgb="FF555555"/>
      <name val="Arial"/>
      <family val="2"/>
    </font>
    <font>
      <b/>
      <sz val="9"/>
      <color rgb="FF777777"/>
      <name val="Arial"/>
      <family val="2"/>
    </font>
    <font>
      <b/>
      <sz val="10"/>
      <color rgb="FF000000"/>
      <name val="Arial"/>
      <family val="2"/>
    </font>
    <font>
      <sz val="9"/>
      <color rgb="FF777777"/>
      <name val="Arial"/>
      <family val="2"/>
    </font>
    <font>
      <b/>
      <sz val="15"/>
      <color rgb="FF1F4E5F"/>
      <name val="Arial"/>
      <family val="2"/>
    </font>
    <font>
      <b/>
      <sz val="11"/>
      <color rgb="FF1F4E5F"/>
      <name val="Arial"/>
      <family val="2"/>
    </font>
    <font>
      <b/>
      <sz val="13"/>
      <color theme="1"/>
      <name val="Calibri"/>
      <family val="2"/>
      <scheme val="minor"/>
    </font>
    <font>
      <b/>
      <sz val="11"/>
      <color rgb="FFFFFFFF"/>
      <name val="Calibri"/>
      <family val="2"/>
      <scheme val="minor"/>
    </font>
  </fonts>
  <fills count="16">
    <fill>
      <patternFill/>
    </fill>
    <fill>
      <patternFill patternType="gray125"/>
    </fill>
    <fill>
      <patternFill patternType="solid">
        <fgColor rgb="001F4E5F"/>
      </patternFill>
    </fill>
    <fill>
      <patternFill patternType="solid">
        <fgColor rgb="00FFF7CC"/>
      </patternFill>
    </fill>
    <fill>
      <patternFill patternType="solid">
        <fgColor rgb="006B5B95"/>
      </patternFill>
    </fill>
    <fill>
      <patternFill patternType="solid">
        <fgColor rgb="002E7D8A"/>
      </patternFill>
    </fill>
    <fill>
      <patternFill patternType="solid">
        <fgColor rgb="00B07D2B"/>
      </patternFill>
    </fill>
    <fill>
      <patternFill patternType="none"/>
    </fill>
    <fill>
      <patternFill patternType="gray125"/>
    </fill>
    <fill>
      <patternFill patternType="solid">
        <fgColor rgb="FF1F4E5F"/>
      </patternFill>
    </fill>
    <fill>
      <patternFill patternType="solid">
        <fgColor rgb="FFFFF7CC"/>
      </patternFill>
    </fill>
    <fill>
      <patternFill patternType="solid">
        <fgColor rgb="FF6B5B95"/>
      </patternFill>
    </fill>
    <fill>
      <patternFill patternType="solid">
        <fgColor rgb="FF2E7D8A"/>
      </patternFill>
    </fill>
    <fill>
      <patternFill patternType="solid">
        <fgColor rgb="FFB07D2B"/>
      </patternFill>
    </fill>
    <fill>
      <patternFill patternType="solid">
        <fgColor rgb="FF1F4E78"/>
        <bgColor indexed="64"/>
      </patternFill>
    </fill>
    <fill>
      <patternFill patternType="solid">
        <fgColor rgb="FFC00000"/>
        <bgColor indexed="64"/>
      </patternFill>
    </fill>
  </fills>
  <borders count="2">
    <border>
      <left/>
      <right/>
      <top/>
      <bottom/>
      <diagonal/>
    </border>
    <border>
      <left/>
      <right/>
      <top/>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applyAlignment="1" pivotButton="0" quotePrefix="0" xfId="0">
      <alignment vertical="top" wrapText="1"/>
    </xf>
    <xf numFmtId="0" fontId="17" fillId="0" borderId="0" pivotButton="0" quotePrefix="0" xfId="0"/>
    <xf numFmtId="0" fontId="8" fillId="0" borderId="0" pivotButton="0" quotePrefix="0" xfId="0"/>
    <xf numFmtId="0" fontId="9" fillId="0" borderId="0" pivotButton="0" quotePrefix="0" xfId="0"/>
    <xf numFmtId="0" fontId="12" fillId="0" borderId="0" pivotButton="0" quotePrefix="0" xfId="0"/>
    <xf numFmtId="167" fontId="8" fillId="0" borderId="0" pivotButton="0" quotePrefix="0" xfId="0"/>
    <xf numFmtId="0" fontId="13" fillId="0" borderId="0" pivotButton="0" quotePrefix="0" xfId="0"/>
    <xf numFmtId="0" fontId="14" fillId="0" borderId="0" pivotButton="0" quotePrefix="0" xfId="0"/>
    <xf numFmtId="0" fontId="15" fillId="0" borderId="0" pivotButton="0" quotePrefix="0" xfId="0"/>
    <xf numFmtId="166" fontId="0" fillId="0" borderId="0" pivotButton="0" quotePrefix="0" xfId="0"/>
    <xf numFmtId="0" fontId="2" fillId="0" borderId="0" pivotButton="0" quotePrefix="0" xfId="0"/>
    <xf numFmtId="167" fontId="0" fillId="0" borderId="0" pivotButton="0" quotePrefix="0" xfId="0"/>
    <xf numFmtId="0" fontId="10" fillId="0" borderId="0" pivotButton="0" quotePrefix="0" xfId="0"/>
    <xf numFmtId="0" fontId="11" fillId="0" borderId="0" pivotButton="0" quotePrefix="0" xfId="0"/>
    <xf numFmtId="166" fontId="11" fillId="0" borderId="0" pivotButton="0" quotePrefix="0" xfId="0"/>
    <xf numFmtId="0" fontId="1" fillId="2" borderId="0" applyAlignment="1" pivotButton="0" quotePrefix="0" xfId="0">
      <alignment horizontal="center" wrapText="1"/>
    </xf>
    <xf numFmtId="0" fontId="1" fillId="4" borderId="0" applyAlignment="1" pivotButton="0" quotePrefix="0" xfId="0">
      <alignment horizontal="center" wrapText="1"/>
    </xf>
    <xf numFmtId="0" fontId="1" fillId="5" borderId="0" applyAlignment="1" pivotButton="0" quotePrefix="0" xfId="0">
      <alignment horizontal="center" wrapText="1"/>
    </xf>
    <xf numFmtId="0" fontId="1" fillId="6" borderId="0" applyAlignment="1" pivotButton="0" quotePrefix="0" xfId="0">
      <alignment horizontal="center" wrapText="1"/>
    </xf>
    <xf numFmtId="0" fontId="7"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0" fontId="1" fillId="2" borderId="0" applyAlignment="1" pivotButton="0" quotePrefix="0" xfId="0">
      <alignment horizontal="center"/>
    </xf>
    <xf numFmtId="165" fontId="2" fillId="0" borderId="0" pivotButton="0" quotePrefix="0" xfId="0"/>
    <xf numFmtId="4" fontId="5" fillId="0" borderId="0" pivotButton="0" quotePrefix="0" xfId="0"/>
    <xf numFmtId="0" fontId="6" fillId="0" borderId="0" pivotButton="0" quotePrefix="0" xfId="0"/>
    <xf numFmtId="0" fontId="2" fillId="3" borderId="0" pivotButton="0" quotePrefix="0" xfId="0"/>
    <xf numFmtId="165" fontId="2" fillId="3" borderId="0" pivotButton="0" quotePrefix="0" xfId="0"/>
    <xf numFmtId="4" fontId="5" fillId="3" borderId="0" pivotButton="0" quotePrefix="0" xfId="0"/>
    <xf numFmtId="0" fontId="4" fillId="0" borderId="0" pivotButton="0" quotePrefix="0" xfId="0"/>
    <xf numFmtId="0" fontId="3" fillId="0" borderId="0" pivotButton="0" quotePrefix="0" xfId="0"/>
    <xf numFmtId="0" fontId="0" fillId="3" borderId="0" pivotButton="0" quotePrefix="0" xfId="0"/>
    <xf numFmtId="0" fontId="18" fillId="7" borderId="1" xfId="0"/>
    <xf numFmtId="0" fontId="34" fillId="7" borderId="1" xfId="0" applyFont="1"/>
    <xf numFmtId="0" fontId="20" fillId="7" borderId="1" xfId="0" applyFont="1" applyAlignment="1">
      <alignment vertical="top" wrapText="1"/>
    </xf>
    <xf numFmtId="0" fontId="35" fillId="7" borderId="1" xfId="0" applyFont="1"/>
    <xf numFmtId="0" fontId="26" fillId="7" borderId="1" xfId="0" applyFont="1"/>
    <xf numFmtId="0" fontId="27" fillId="7" borderId="1" xfId="0" applyFont="1"/>
    <xf numFmtId="0" fontId="30" fillId="7" borderId="1" xfId="0" applyFont="1"/>
    <xf numFmtId="200" fontId="26" fillId="7" borderId="1" xfId="0" applyNumberFormat="1" applyFont="1"/>
    <xf numFmtId="0" fontId="31" fillId="7" borderId="1" xfId="0" applyFont="1"/>
    <xf numFmtId="0" fontId="32" fillId="7" borderId="1" xfId="0" applyFont="1"/>
    <xf numFmtId="0" fontId="33" fillId="7" borderId="1" xfId="0" applyFont="1"/>
    <xf numFmtId="201" fontId="18" fillId="7" borderId="1" xfId="0" applyNumberFormat="1"/>
    <xf numFmtId="0" fontId="20" fillId="7" borderId="1" xfId="0" applyFont="1"/>
    <xf numFmtId="200" fontId="18" fillId="7" borderId="1" xfId="0" applyNumberFormat="1"/>
    <xf numFmtId="0" fontId="28" fillId="7" borderId="1" xfId="0" applyFont="1"/>
    <xf numFmtId="0" fontId="29" fillId="7" borderId="1" xfId="0" applyFont="1"/>
    <xf numFmtId="201" fontId="29" fillId="7" borderId="1" xfId="0" applyNumberFormat="1" applyFont="1"/>
    <xf numFmtId="0" fontId="19" fillId="9" borderId="1" xfId="0" applyFont="1" applyFill="1" applyAlignment="1">
      <alignment horizontal="center" wrapText="1"/>
    </xf>
    <xf numFmtId="0" fontId="19" fillId="11" borderId="1" xfId="0" applyFont="1" applyFill="1" applyAlignment="1">
      <alignment horizontal="center" wrapText="1"/>
    </xf>
    <xf numFmtId="0" fontId="19" fillId="12" borderId="1" xfId="0" applyFont="1" applyFill="1" applyAlignment="1">
      <alignment horizontal="center" wrapText="1"/>
    </xf>
    <xf numFmtId="0" fontId="19" fillId="13" borderId="1" xfId="0" applyFont="1" applyFill="1" applyAlignment="1">
      <alignment horizontal="center" wrapText="1"/>
    </xf>
    <xf numFmtId="0" fontId="25" fillId="7" borderId="1" xfId="0" applyFont="1"/>
    <xf numFmtId="201" fontId="20" fillId="7" borderId="1" xfId="0" applyNumberFormat="1" applyFont="1"/>
    <xf numFmtId="200" fontId="20" fillId="7" borderId="1" xfId="0" applyNumberFormat="1" applyFont="1"/>
    <xf numFmtId="202" fontId="20" fillId="7" borderId="1" xfId="0" applyNumberFormat="1" applyFont="1"/>
    <xf numFmtId="0" fontId="19" fillId="9" borderId="1" xfId="0" applyFont="1" applyFill="1" applyAlignment="1">
      <alignment horizontal="center"/>
    </xf>
    <xf numFmtId="203" fontId="20" fillId="7" borderId="1" xfId="0" applyNumberFormat="1" applyFont="1"/>
    <xf numFmtId="4" fontId="23" fillId="7" borderId="1" xfId="0" applyNumberFormat="1" applyFont="1"/>
    <xf numFmtId="0" fontId="24" fillId="7" borderId="1" xfId="0" applyFont="1"/>
    <xf numFmtId="0" fontId="20" fillId="10" borderId="1" xfId="0" applyFont="1" applyFill="1"/>
    <xf numFmtId="203" fontId="20" fillId="10" borderId="1" xfId="0" applyNumberFormat="1" applyFont="1" applyFill="1"/>
    <xf numFmtId="4" fontId="23" fillId="10" borderId="1" xfId="0" applyNumberFormat="1" applyFont="1" applyFill="1"/>
    <xf numFmtId="0" fontId="22" fillId="7" borderId="1" xfId="0" applyFont="1"/>
    <xf numFmtId="0" fontId="21" fillId="7" borderId="1" xfId="0" applyFont="1"/>
    <xf numFmtId="0" fontId="18" fillId="10" borderId="1" xfId="0" applyFill="1"/>
    <xf numFmtId="0" fontId="36" fillId="7" borderId="1" xfId="0" applyFont="1"/>
    <xf numFmtId="0" fontId="37" fillId="14" borderId="1" xfId="0" applyFont="1" applyFill="1"/>
    <xf numFmtId="0" fontId="37" fillId="15" borderId="1" xfId="0" applyFont="1" applyFill="1"/>
    <xf numFmtId="17" fontId="18" fillId="7" borderId="1" xfId="0" applyNumberFormat="1"/>
    <xf numFmtId="3" fontId="18" fillId="7" borderId="1" xfId="0" applyNumberFormat="1"/>
  </cellXfs>
  <cellStyles count="1">
    <cellStyle name="Normal" xfId="0" builtinId="0" hidden="0"/>
  </cellStyles>
  <dxfs count="1">
    <dxf>
      <font>
        <name val="Arial"/>
        <color rgb="00FFFFFF"/>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Type="http://schemas.openxmlformats.org/officeDocument/2006/relationships/worksheet" Target="/xl/worksheets/sheet7.xml" Id="rId9"/><Relationship Type="http://schemas.openxmlformats.org/officeDocument/2006/relationships/worksheet" Target="/xl/worksheets/sheet8.xml" Id="rId10"/></Relationships>
</file>

<file path=xl/charts/_rels/chart7.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8.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9.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0.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8.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9.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Cash Saved</a:t>
            </a:r>
          </a:p>
        </rich>
      </tx>
    </title>
    <plotArea>
      <lineChart>
        <grouping val="standard"/>
        <ser>
          <idx val="0"/>
          <order val="0"/>
          <tx>
            <strRef>
              <f>'Monthly Summary'!J1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Summary'!$J$2:$J$301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Income vs Combined Spend</a:t>
            </a:r>
          </a:p>
        </rich>
      </tx>
    </title>
    <plotArea>
      <lineChart>
        <grouping val="standard"/>
        <ser>
          <idx val="0"/>
          <order val="0"/>
          <tx>
            <strRef>
              <f>'Monthly Summary'!B1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Summary'!$B$2:$B$301</f>
            </numRef>
          </val>
        </ser>
        <ser>
          <idx val="1"/>
          <order val="1"/>
          <tx>
            <strRef>
              <f>'Monthly Summary'!E1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Summary'!$E$2:$E$301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Rolling Savings Ratio (12m)</a:t>
            </a:r>
          </a:p>
        </rich>
      </tx>
    </title>
    <plotArea>
      <lineChart>
        <grouping val="standard"/>
        <ser>
          <idx val="0"/>
          <order val="0"/>
          <tx>
            <strRef>
              <f>'Monthly Summary'!M1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Summary'!$M$2:$M$301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Expenditure by tier</a:t>
            </a:r>
          </a:p>
        </rich>
      </tx>
    </title>
    <plotArea>
      <lineChart>
        <grouping val="standard"/>
        <ser>
          <idx val="0"/>
          <order val="0"/>
          <tx>
            <strRef>
              <f>'Monthly Summary'!N1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Summary'!$N$2:$N$301</f>
            </numRef>
          </val>
        </ser>
        <ser>
          <idx val="1"/>
          <order val="1"/>
          <tx>
            <strRef>
              <f>'Monthly Summary'!O1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Summary'!$O$2:$O$301</f>
            </numRef>
          </val>
        </ser>
        <ser>
          <idx val="2"/>
          <order val="2"/>
          <tx>
            <strRef>
              <f>'Monthly Summary'!P1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Summary'!$P$2:$P$301</f>
            </numRef>
          </val>
        </ser>
        <ser>
          <idx val="3"/>
          <order val="3"/>
          <tx>
            <strRef>
              <f>'Monthly Summary'!Q1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Summary'!$Q$2:$Q$301</f>
            </numRef>
          </val>
        </ser>
        <ser>
          <idx val="4"/>
          <order val="4"/>
          <tx>
            <strRef>
              <f>'Monthly Summary'!R1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Summary'!$R$2:$R$301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Min vs True lifestyle vs Actual</a:t>
            </a:r>
          </a:p>
        </rich>
      </tx>
    </title>
    <plotArea>
      <lineChart>
        <grouping val="standard"/>
        <ser>
          <idx val="0"/>
          <order val="0"/>
          <tx>
            <strRef>
              <f>'Monthly Summary'!N1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Summary'!$N$2:$N$301</f>
            </numRef>
          </val>
        </ser>
        <ser>
          <idx val="1"/>
          <order val="1"/>
          <tx>
            <strRef>
              <f>'Monthly Summary'!S1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Summary'!$S$2:$S$301</f>
            </numRef>
          </val>
        </ser>
        <ser>
          <idx val="2"/>
          <order val="2"/>
          <tx>
            <strRef>
              <f>'Monthly Summary'!E1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Summary'!$E$2:$E$301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Budget vs Actual by Category (latest month)</a:t>
            </a:r>
          </a:p>
        </rich>
      </tx>
    </title>
    <plotArea>
      <barChart>
        <barDir val="col"/>
        <grouping val="clustered"/>
        <ser>
          <idx val="0"/>
          <order val="0"/>
          <tx>
            <strRef>
              <f>'Dashboard'!B46</f>
            </strRef>
          </tx>
          <spPr>
            <a:ln xmlns:a="http://schemas.openxmlformats.org/drawingml/2006/main">
              <a:prstDash val="solid"/>
            </a:ln>
          </spPr>
          <cat>
            <numRef>
              <f>'Dashboard'!$A$47:$A$55</f>
            </numRef>
          </cat>
          <val>
            <numRef>
              <f>'Dashboard'!$B$47:$B$55</f>
            </numRef>
          </val>
        </ser>
        <ser>
          <idx val="1"/>
          <order val="1"/>
          <tx>
            <strRef>
              <f>'Dashboard'!C46</f>
            </strRef>
          </tx>
          <spPr>
            <a:ln xmlns:a="http://schemas.openxmlformats.org/drawingml/2006/main">
              <a:prstDash val="solid"/>
            </a:ln>
          </spPr>
          <cat>
            <numRef>
              <f>'Dashboard'!$A$47:$A$55</f>
            </numRef>
          </cat>
          <val>
            <numRef>
              <f>'Dashboard'!$C$47:$C$55</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Monthly Expenses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'Expense Trends'!$A$3:$A$302</c:f>
              <c:numCache>
                <c:formatCode>mmm\-yy</c:formatCode>
                <c:ptCount val="300"/>
              </c:numCache>
            </c:numRef>
          </c:cat>
          <c:val>
            <c:numRef>
              <c:f>'Expense Trends'!$S$3:$S$302</c:f>
              <c:numCache>
                <c:formatCode>#,##0</c:formatCode>
                <c:ptCount val="300"/>
              </c:numCache>
            </c:numRef>
          </c:val>
          <c:smooth val="0"/>
          <c:extLst>
            <c:ext xmlns:c16="http://schemas.microsoft.com/office/drawing/2014/chart" uri="{C3380CC4-5D6E-409C-BE32-E72D297353CC}">
              <c16:uniqueId val="{00000000-A41C-A943-A8CD-CAEB0AC6A8A7}"/>
            </c:ext>
          </c:extLst>
        </c:ser>
        <c:dLbls>
          <c:showLegendKey val="0"/>
          <c:showVal val="0"/>
          <c:showCatName val="0"/>
          <c:showSerName val="0"/>
          <c:showPercent val="0"/>
          <c:showBubbleSize val="0"/>
        </c:dLbls>
        <c:smooth val="0"/>
        <c:axId val="1843064191"/>
        <c:axId val="1843057471"/>
      </c:lineChart>
      <c:dateAx>
        <c:axId val="184306419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057471"/>
        <c:crosses val="autoZero"/>
        <c:auto val="1"/>
        <c:lblOffset val="100"/>
        <c:baseTimeUnit val="months"/>
      </c:dateAx>
      <c:valAx>
        <c:axId val="1843057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Amount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064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Daily Food</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Trends'!$B$3:$B$302</c:f>
              <c:numCache>
                <c:formatCode>#,##0</c:formatCode>
                <c:ptCount val="300"/>
              </c:numCache>
            </c:numRef>
          </c:val>
          <c:smooth val="0"/>
          <c:extLst>
            <c:ext xmlns:c16="http://schemas.microsoft.com/office/drawing/2014/chart" uri="{C3380CC4-5D6E-409C-BE32-E72D297353CC}">
              <c16:uniqueId val="{00000000-42D3-4640-9023-776E2B3B5260}"/>
            </c:ext>
          </c:extLst>
        </c:ser>
        <c:dLbls>
          <c:showLegendKey val="0"/>
          <c:showVal val="0"/>
          <c:showCatName val="0"/>
          <c:showSerName val="0"/>
          <c:showPercent val="0"/>
          <c:showBubbleSize val="0"/>
        </c:dLbls>
        <c:marker val="1"/>
        <c:smooth val="0"/>
        <c:axId val="1822907391"/>
        <c:axId val="1822909183"/>
      </c:lineChart>
      <c:dateAx>
        <c:axId val="182290739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909183"/>
        <c:crosses val="autoZero"/>
        <c:auto val="1"/>
        <c:lblOffset val="100"/>
        <c:baseTimeUnit val="months"/>
      </c:dateAx>
      <c:valAx>
        <c:axId val="18229091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907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Transport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Trends'!$C$3:$C$302</c:f>
              <c:numCache>
                <c:formatCode>#,##0</c:formatCode>
                <c:ptCount val="300"/>
              </c:numCache>
            </c:numRef>
          </c:val>
          <c:smooth val="0"/>
          <c:extLst>
            <c:ext xmlns:c16="http://schemas.microsoft.com/office/drawing/2014/chart" uri="{C3380CC4-5D6E-409C-BE32-E72D297353CC}">
              <c16:uniqueId val="{00000000-CA7B-9948-90C7-866212FF7CD4}"/>
            </c:ext>
          </c:extLst>
        </c:ser>
        <c:dLbls>
          <c:showLegendKey val="0"/>
          <c:showVal val="0"/>
          <c:showCatName val="0"/>
          <c:showSerName val="0"/>
          <c:showPercent val="0"/>
          <c:showBubbleSize val="0"/>
        </c:dLbls>
        <c:marker val="1"/>
        <c:smooth val="0"/>
        <c:axId val="1824174783"/>
        <c:axId val="1824176575"/>
      </c:lineChart>
      <c:dateAx>
        <c:axId val="182417478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76575"/>
        <c:crosses val="autoZero"/>
        <c:auto val="1"/>
        <c:lblOffset val="100"/>
        <c:baseTimeUnit val="months"/>
      </c:dateAx>
      <c:valAx>
        <c:axId val="18241765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74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Credit Card</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Trends'!$D$3:$D$302</c:f>
              <c:numCache>
                <c:formatCode>#,##0</c:formatCode>
                <c:ptCount val="300"/>
              </c:numCache>
            </c:numRef>
          </c:val>
          <c:smooth val="0"/>
          <c:extLst>
            <c:ext xmlns:c16="http://schemas.microsoft.com/office/drawing/2014/chart" uri="{C3380CC4-5D6E-409C-BE32-E72D297353CC}">
              <c16:uniqueId val="{00000000-3FC2-9B42-ACC4-040251DD7D5D}"/>
            </c:ext>
          </c:extLst>
        </c:ser>
        <c:dLbls>
          <c:showLegendKey val="0"/>
          <c:showVal val="0"/>
          <c:showCatName val="0"/>
          <c:showSerName val="0"/>
          <c:showPercent val="0"/>
          <c:showBubbleSize val="0"/>
        </c:dLbls>
        <c:marker val="1"/>
        <c:smooth val="0"/>
        <c:axId val="1822864959"/>
        <c:axId val="1822866751"/>
      </c:lineChart>
      <c:dateAx>
        <c:axId val="182286495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866751"/>
        <c:crosses val="autoZero"/>
        <c:auto val="1"/>
        <c:lblOffset val="100"/>
        <c:baseTimeUnit val="months"/>
      </c:dateAx>
      <c:valAx>
        <c:axId val="18228667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86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Household</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Trends'!$E$3:$E$302</c:f>
              <c:numCache>
                <c:formatCode>#,##0</c:formatCode>
                <c:ptCount val="300"/>
              </c:numCache>
            </c:numRef>
          </c:val>
          <c:smooth val="0"/>
          <c:extLst>
            <c:ext xmlns:c16="http://schemas.microsoft.com/office/drawing/2014/chart" uri="{C3380CC4-5D6E-409C-BE32-E72D297353CC}">
              <c16:uniqueId val="{00000000-E0A3-D64B-A7EA-E5FAAC2C93E6}"/>
            </c:ext>
          </c:extLst>
        </c:ser>
        <c:dLbls>
          <c:showLegendKey val="0"/>
          <c:showVal val="0"/>
          <c:showCatName val="0"/>
          <c:showSerName val="0"/>
          <c:showPercent val="0"/>
          <c:showBubbleSize val="0"/>
        </c:dLbls>
        <c:marker val="1"/>
        <c:smooth val="0"/>
        <c:axId val="1824129471"/>
        <c:axId val="1824131263"/>
      </c:lineChart>
      <c:dateAx>
        <c:axId val="182412947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31263"/>
        <c:crosses val="autoZero"/>
        <c:auto val="1"/>
        <c:lblOffset val="100"/>
        <c:baseTimeUnit val="months"/>
      </c:dateAx>
      <c:valAx>
        <c:axId val="18241312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2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Tax</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Trends'!$F$3:$F$302</c:f>
              <c:numCache>
                <c:formatCode>#,##0</c:formatCode>
                <c:ptCount val="300"/>
              </c:numCache>
            </c:numRef>
          </c:val>
          <c:smooth val="0"/>
          <c:extLst>
            <c:ext xmlns:c16="http://schemas.microsoft.com/office/drawing/2014/chart" uri="{C3380CC4-5D6E-409C-BE32-E72D297353CC}">
              <c16:uniqueId val="{00000000-B560-3340-904A-3AF1C5BA42E8}"/>
            </c:ext>
          </c:extLst>
        </c:ser>
        <c:dLbls>
          <c:showLegendKey val="0"/>
          <c:showVal val="0"/>
          <c:showCatName val="0"/>
          <c:showSerName val="0"/>
          <c:showPercent val="0"/>
          <c:showBubbleSize val="0"/>
        </c:dLbls>
        <c:marker val="1"/>
        <c:smooth val="0"/>
        <c:axId val="1817396543"/>
        <c:axId val="1817398335"/>
      </c:lineChart>
      <c:dateAx>
        <c:axId val="181739654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398335"/>
        <c:crosses val="autoZero"/>
        <c:auto val="1"/>
        <c:lblOffset val="100"/>
        <c:baseTimeUnit val="months"/>
      </c:dateAx>
      <c:valAx>
        <c:axId val="1817398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396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Savings for holiday</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Trends'!$G$3:$G$302</c:f>
              <c:numCache>
                <c:formatCode>#,##0</c:formatCode>
                <c:ptCount val="300"/>
              </c:numCache>
            </c:numRef>
          </c:val>
          <c:smooth val="0"/>
          <c:extLst>
            <c:ext xmlns:c16="http://schemas.microsoft.com/office/drawing/2014/chart" uri="{C3380CC4-5D6E-409C-BE32-E72D297353CC}">
              <c16:uniqueId val="{00000000-41DC-6240-91F3-4A27029448B8}"/>
            </c:ext>
          </c:extLst>
        </c:ser>
        <c:dLbls>
          <c:showLegendKey val="0"/>
          <c:showVal val="0"/>
          <c:showCatName val="0"/>
          <c:showSerName val="0"/>
          <c:showPercent val="0"/>
          <c:showBubbleSize val="0"/>
        </c:dLbls>
        <c:marker val="1"/>
        <c:smooth val="0"/>
        <c:axId val="1817442751"/>
        <c:axId val="1817444799"/>
      </c:lineChart>
      <c:dateAx>
        <c:axId val="181744275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44799"/>
        <c:crosses val="autoZero"/>
        <c:auto val="1"/>
        <c:lblOffset val="100"/>
        <c:baseTimeUnit val="months"/>
      </c:dateAx>
      <c:valAx>
        <c:axId val="18174447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4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Bills</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Trends'!$H$3:$H$302</c:f>
              <c:numCache>
                <c:formatCode>#,##0</c:formatCode>
                <c:ptCount val="300"/>
              </c:numCache>
            </c:numRef>
          </c:val>
          <c:smooth val="0"/>
          <c:extLst>
            <c:ext xmlns:c16="http://schemas.microsoft.com/office/drawing/2014/chart" uri="{C3380CC4-5D6E-409C-BE32-E72D297353CC}">
              <c16:uniqueId val="{00000000-6181-0C4D-ABDB-231BD984FB03}"/>
            </c:ext>
          </c:extLst>
        </c:ser>
        <c:dLbls>
          <c:showLegendKey val="0"/>
          <c:showVal val="0"/>
          <c:showCatName val="0"/>
          <c:showSerName val="0"/>
          <c:showPercent val="0"/>
          <c:showBubbleSize val="0"/>
        </c:dLbls>
        <c:marker val="1"/>
        <c:smooth val="0"/>
        <c:axId val="1817494847"/>
        <c:axId val="1817496639"/>
      </c:lineChart>
      <c:dateAx>
        <c:axId val="181749484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96639"/>
        <c:crosses val="autoZero"/>
        <c:auto val="1"/>
        <c:lblOffset val="100"/>
        <c:baseTimeUnit val="months"/>
      </c:dateAx>
      <c:valAx>
        <c:axId val="18174966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94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Insurance</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Trends'!$I$3:$I$302</c:f>
              <c:numCache>
                <c:formatCode>#,##0</c:formatCode>
                <c:ptCount val="300"/>
              </c:numCache>
            </c:numRef>
          </c:val>
          <c:smooth val="0"/>
          <c:extLst>
            <c:ext xmlns:c16="http://schemas.microsoft.com/office/drawing/2014/chart" uri="{C3380CC4-5D6E-409C-BE32-E72D297353CC}">
              <c16:uniqueId val="{00000000-CE9D-5E47-9D91-84B4A91D79E6}"/>
            </c:ext>
          </c:extLst>
        </c:ser>
        <c:dLbls>
          <c:showLegendKey val="0"/>
          <c:showVal val="0"/>
          <c:showCatName val="0"/>
          <c:showSerName val="0"/>
          <c:showPercent val="0"/>
          <c:showBubbleSize val="0"/>
        </c:dLbls>
        <c:marker val="1"/>
        <c:smooth val="0"/>
        <c:axId val="1817544895"/>
        <c:axId val="1817546687"/>
      </c:lineChart>
      <c:dateAx>
        <c:axId val="18175448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46687"/>
        <c:crosses val="autoZero"/>
        <c:auto val="1"/>
        <c:lblOffset val="100"/>
        <c:baseTimeUnit val="months"/>
      </c:dateAx>
      <c:valAx>
        <c:axId val="18175466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4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Donation</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Trends'!$J$3:$J$302</c:f>
              <c:numCache>
                <c:formatCode>#,##0</c:formatCode>
                <c:ptCount val="300"/>
              </c:numCache>
            </c:numRef>
          </c:val>
          <c:smooth val="0"/>
          <c:extLst>
            <c:ext xmlns:c16="http://schemas.microsoft.com/office/drawing/2014/chart" uri="{C3380CC4-5D6E-409C-BE32-E72D297353CC}">
              <c16:uniqueId val="{00000000-7478-4744-AD91-939D9B524E74}"/>
            </c:ext>
          </c:extLst>
        </c:ser>
        <c:dLbls>
          <c:showLegendKey val="0"/>
          <c:showVal val="0"/>
          <c:showCatName val="0"/>
          <c:showSerName val="0"/>
          <c:showPercent val="0"/>
          <c:showBubbleSize val="0"/>
        </c:dLbls>
        <c:marker val="1"/>
        <c:smooth val="0"/>
        <c:axId val="1817643199"/>
        <c:axId val="1817644991"/>
      </c:lineChart>
      <c:dateAx>
        <c:axId val="181764319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44991"/>
        <c:crosses val="autoZero"/>
        <c:auto val="1"/>
        <c:lblOffset val="100"/>
        <c:baseTimeUnit val="months"/>
      </c:dateAx>
      <c:valAx>
        <c:axId val="18176449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43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Uncategorised</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Trends'!$K$3:$K$302</c:f>
              <c:numCache>
                <c:formatCode>#,##0</c:formatCode>
                <c:ptCount val="300"/>
              </c:numCache>
            </c:numRef>
          </c:val>
          <c:smooth val="0"/>
          <c:extLst>
            <c:ext xmlns:c16="http://schemas.microsoft.com/office/drawing/2014/chart" uri="{C3380CC4-5D6E-409C-BE32-E72D297353CC}">
              <c16:uniqueId val="{00000000-1A60-3648-8FCE-429DE6367368}"/>
            </c:ext>
          </c:extLst>
        </c:ser>
        <c:dLbls>
          <c:showLegendKey val="0"/>
          <c:showVal val="0"/>
          <c:showCatName val="0"/>
          <c:showSerName val="0"/>
          <c:showPercent val="0"/>
          <c:showBubbleSize val="0"/>
        </c:dLbls>
        <c:marker val="1"/>
        <c:smooth val="0"/>
        <c:axId val="1817723327"/>
        <c:axId val="1817725119"/>
      </c:lineChart>
      <c:dateAx>
        <c:axId val="181772332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725119"/>
        <c:crosses val="autoZero"/>
        <c:auto val="1"/>
        <c:lblOffset val="100"/>
        <c:baseTimeUnit val="months"/>
      </c:dateAx>
      <c:valAx>
        <c:axId val="18177251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72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Groceries</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Trends'!$L$3:$L$302</c:f>
              <c:numCache>
                <c:formatCode>#,##0</c:formatCode>
                <c:ptCount val="300"/>
              </c:numCache>
            </c:numRef>
          </c:val>
          <c:smooth val="0"/>
          <c:extLst>
            <c:ext xmlns:c16="http://schemas.microsoft.com/office/drawing/2014/chart" uri="{C3380CC4-5D6E-409C-BE32-E72D297353CC}">
              <c16:uniqueId val="{00000000-8662-6B48-A5BD-2B01167375FB}"/>
            </c:ext>
          </c:extLst>
        </c:ser>
        <c:dLbls>
          <c:showLegendKey val="0"/>
          <c:showVal val="0"/>
          <c:showCatName val="0"/>
          <c:showSerName val="0"/>
          <c:showPercent val="0"/>
          <c:showBubbleSize val="0"/>
        </c:dLbls>
        <c:marker val="1"/>
        <c:smooth val="0"/>
        <c:axId val="1817804799"/>
        <c:axId val="1817806591"/>
      </c:lineChart>
      <c:dateAx>
        <c:axId val="181780479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806591"/>
        <c:crosses val="autoZero"/>
        <c:auto val="1"/>
        <c:lblOffset val="100"/>
        <c:baseTimeUnit val="months"/>
      </c:dateAx>
      <c:valAx>
        <c:axId val="18178065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804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Subscriptions</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Trends'!$M$3:$M$302</c:f>
              <c:numCache>
                <c:formatCode>#,##0</c:formatCode>
                <c:ptCount val="300"/>
              </c:numCache>
            </c:numRef>
          </c:val>
          <c:smooth val="0"/>
          <c:extLst>
            <c:ext xmlns:c16="http://schemas.microsoft.com/office/drawing/2014/chart" uri="{C3380CC4-5D6E-409C-BE32-E72D297353CC}">
              <c16:uniqueId val="{00000000-7EBD-AB4F-A5A4-E3F229C1EFF2}"/>
            </c:ext>
          </c:extLst>
        </c:ser>
        <c:dLbls>
          <c:showLegendKey val="0"/>
          <c:showVal val="0"/>
          <c:showCatName val="0"/>
          <c:showSerName val="0"/>
          <c:showPercent val="0"/>
          <c:showBubbleSize val="0"/>
        </c:dLbls>
        <c:marker val="1"/>
        <c:smooth val="0"/>
        <c:axId val="1817916543"/>
        <c:axId val="1817918335"/>
      </c:lineChart>
      <c:dateAx>
        <c:axId val="181791654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918335"/>
        <c:crosses val="autoZero"/>
        <c:auto val="1"/>
        <c:lblOffset val="100"/>
        <c:baseTimeUnit val="months"/>
      </c:dateAx>
      <c:valAx>
        <c:axId val="1817918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916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Shopping</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Trends'!$N$3:$N$302</c:f>
              <c:numCache>
                <c:formatCode>#,##0</c:formatCode>
                <c:ptCount val="300"/>
              </c:numCache>
            </c:numRef>
          </c:val>
          <c:smooth val="0"/>
          <c:extLst>
            <c:ext xmlns:c16="http://schemas.microsoft.com/office/drawing/2014/chart" uri="{C3380CC4-5D6E-409C-BE32-E72D297353CC}">
              <c16:uniqueId val="{00000000-ED9A-824F-930F-E66B188CA67C}"/>
            </c:ext>
          </c:extLst>
        </c:ser>
        <c:dLbls>
          <c:showLegendKey val="0"/>
          <c:showVal val="0"/>
          <c:showCatName val="0"/>
          <c:showSerName val="0"/>
          <c:showPercent val="0"/>
          <c:showBubbleSize val="0"/>
        </c:dLbls>
        <c:marker val="1"/>
        <c:smooth val="0"/>
        <c:axId val="1818048511"/>
        <c:axId val="1818050559"/>
      </c:lineChart>
      <c:dateAx>
        <c:axId val="181804851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050559"/>
        <c:crosses val="autoZero"/>
        <c:auto val="1"/>
        <c:lblOffset val="100"/>
        <c:baseTimeUnit val="months"/>
      </c:dateAx>
      <c:valAx>
        <c:axId val="18180505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04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Parents Allowance</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Trends'!$O$3:$O$302</c:f>
              <c:numCache>
                <c:formatCode>#,##0</c:formatCode>
                <c:ptCount val="300"/>
              </c:numCache>
            </c:numRef>
          </c:val>
          <c:smooth val="0"/>
          <c:extLst>
            <c:ext xmlns:c16="http://schemas.microsoft.com/office/drawing/2014/chart" uri="{C3380CC4-5D6E-409C-BE32-E72D297353CC}">
              <c16:uniqueId val="{00000000-7E9A-5D48-80AB-627DF6D3C846}"/>
            </c:ext>
          </c:extLst>
        </c:ser>
        <c:dLbls>
          <c:showLegendKey val="0"/>
          <c:showVal val="0"/>
          <c:showCatName val="0"/>
          <c:showSerName val="0"/>
          <c:showPercent val="0"/>
          <c:showBubbleSize val="0"/>
        </c:dLbls>
        <c:marker val="1"/>
        <c:smooth val="0"/>
        <c:axId val="1818164095"/>
        <c:axId val="1818166143"/>
      </c:lineChart>
      <c:dateAx>
        <c:axId val="18181640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66143"/>
        <c:crosses val="autoZero"/>
        <c:auto val="1"/>
        <c:lblOffset val="100"/>
        <c:baseTimeUnit val="months"/>
      </c:dateAx>
      <c:valAx>
        <c:axId val="1818166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6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Childcare</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Trends'!$P$3:$P$302</c:f>
              <c:numCache>
                <c:formatCode>#,##0</c:formatCode>
                <c:ptCount val="300"/>
              </c:numCache>
            </c:numRef>
          </c:val>
          <c:smooth val="0"/>
          <c:extLst>
            <c:ext xmlns:c16="http://schemas.microsoft.com/office/drawing/2014/chart" uri="{C3380CC4-5D6E-409C-BE32-E72D297353CC}">
              <c16:uniqueId val="{00000000-28E7-6A4B-BEDC-8EA75FE47F68}"/>
            </c:ext>
          </c:extLst>
        </c:ser>
        <c:dLbls>
          <c:showLegendKey val="0"/>
          <c:showVal val="0"/>
          <c:showCatName val="0"/>
          <c:showSerName val="0"/>
          <c:showPercent val="0"/>
          <c:showBubbleSize val="0"/>
        </c:dLbls>
        <c:marker val="1"/>
        <c:smooth val="0"/>
        <c:axId val="1818445567"/>
        <c:axId val="1818447359"/>
      </c:lineChart>
      <c:dateAx>
        <c:axId val="181844556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447359"/>
        <c:crosses val="autoZero"/>
        <c:auto val="1"/>
        <c:lblOffset val="100"/>
        <c:baseTimeUnit val="months"/>
      </c:dateAx>
      <c:valAx>
        <c:axId val="18184473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445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Kids Enrichment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Trends'!$Q$3:$Q$302</c:f>
              <c:numCache>
                <c:formatCode>#,##0</c:formatCode>
                <c:ptCount val="300"/>
              </c:numCache>
            </c:numRef>
          </c:val>
          <c:smooth val="0"/>
          <c:extLst>
            <c:ext xmlns:c16="http://schemas.microsoft.com/office/drawing/2014/chart" uri="{C3380CC4-5D6E-409C-BE32-E72D297353CC}">
              <c16:uniqueId val="{00000000-415C-FD41-9738-177307C5332D}"/>
            </c:ext>
          </c:extLst>
        </c:ser>
        <c:dLbls>
          <c:showLegendKey val="0"/>
          <c:showVal val="0"/>
          <c:showCatName val="0"/>
          <c:showSerName val="0"/>
          <c:showPercent val="0"/>
          <c:showBubbleSize val="0"/>
        </c:dLbls>
        <c:marker val="1"/>
        <c:smooth val="0"/>
        <c:axId val="1818546559"/>
        <c:axId val="1818548351"/>
      </c:lineChart>
      <c:dateAx>
        <c:axId val="181854655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48351"/>
        <c:crosses val="autoZero"/>
        <c:auto val="1"/>
        <c:lblOffset val="100"/>
        <c:baseTimeUnit val="months"/>
      </c:dateAx>
      <c:valAx>
        <c:axId val="18185483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46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a:t>Household Help</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Trends'!$R$3:$R$302</c:f>
              <c:numCache>
                <c:formatCode>#,##0</c:formatCode>
                <c:ptCount val="300"/>
              </c:numCache>
            </c:numRef>
          </c:val>
          <c:smooth val="0"/>
          <c:extLst>
            <c:ext xmlns:c16="http://schemas.microsoft.com/office/drawing/2014/chart" uri="{C3380CC4-5D6E-409C-BE32-E72D297353CC}">
              <c16:uniqueId val="{00000000-4BEF-9B4D-8D72-CEBD0F9D0479}"/>
            </c:ext>
          </c:extLst>
        </c:ser>
        <c:dLbls>
          <c:showLegendKey val="0"/>
          <c:showVal val="0"/>
          <c:showCatName val="0"/>
          <c:showSerName val="0"/>
          <c:showPercent val="0"/>
          <c:showBubbleSize val="0"/>
        </c:dLbls>
        <c:marker val="1"/>
        <c:smooth val="0"/>
        <c:axId val="1818694015"/>
        <c:axId val="1818695807"/>
      </c:lineChart>
      <c:dateAx>
        <c:axId val="181869401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5807"/>
        <c:crosses val="autoZero"/>
        <c:auto val="1"/>
        <c:lblOffset val="100"/>
        <c:baseTimeUnit val="months"/>
      </c:dateAx>
      <c:valAx>
        <c:axId val="1818695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4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18" Type="http://schemas.openxmlformats.org/officeDocument/2006/relationships/chart" Target="../charts/chart24.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17" Type="http://schemas.openxmlformats.org/officeDocument/2006/relationships/chart" Target="../charts/chart23.xml"/><Relationship Id="rId2" Type="http://schemas.openxmlformats.org/officeDocument/2006/relationships/chart" Target="../charts/chart8.xml"/><Relationship Id="rId16" Type="http://schemas.openxmlformats.org/officeDocument/2006/relationships/chart" Target="../charts/chart22.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5" Type="http://schemas.openxmlformats.org/officeDocument/2006/relationships/chart" Target="../charts/chart2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 Id="rId14" Type="http://schemas.openxmlformats.org/officeDocument/2006/relationships/chart" Target="../charts/chart20.xml"/></Relationships>
</file>

<file path=xl/drawings/drawing1.xml><?xml version="1.0" encoding="utf-8"?>
<wsDr xmlns="http://schemas.openxmlformats.org/drawingml/2006/spreadsheetDrawing">
  <oneCellAnchor>
    <from>
      <col>0</col>
      <colOff>0</colOff>
      <row>7</row>
      <rowOff>0</rowOff>
    </from>
    <ext cx="540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7</row>
      <rowOff>0</rowOff>
    </from>
    <ext cx="54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5400000" cy="259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23</row>
      <rowOff>0</rowOff>
    </from>
    <ext cx="5400000" cy="259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39</row>
      <rowOff>0</rowOff>
    </from>
    <ext cx="5400000" cy="259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8</col>
      <colOff>0</colOff>
      <row>39</row>
      <rowOff>0</rowOff>
    </from>
    <ext cx="5400000" cy="2592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0</xdr:colOff>
      <xdr:row>20</xdr:row>
      <xdr:rowOff>0</xdr:rowOff>
    </xdr:to>
    <xdr:graphicFrame macro="">
      <xdr:nvGraphicFramePr>
        <xdr:cNvPr id="2" name="Chart 1">
          <a:extLst>
            <a:ext uri="{FF2B5EF4-FFF2-40B4-BE49-F238E27FC236}">
              <a16:creationId xmlns:a16="http://schemas.microsoft.com/office/drawing/2014/main" id="{1BA41795-A3AF-33F5-22FD-83157CBFB3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6</xdr:col>
      <xdr:colOff>0</xdr:colOff>
      <xdr:row>36</xdr:row>
      <xdr:rowOff>0</xdr:rowOff>
    </xdr:to>
    <xdr:graphicFrame macro="">
      <xdr:nvGraphicFramePr>
        <xdr:cNvPr id="3" name="Chart 2">
          <a:extLst>
            <a:ext uri="{FF2B5EF4-FFF2-40B4-BE49-F238E27FC236}">
              <a16:creationId xmlns:a16="http://schemas.microsoft.com/office/drawing/2014/main" id="{D25CF882-9D99-E2F0-60A7-590406730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21</xdr:row>
      <xdr:rowOff>0</xdr:rowOff>
    </xdr:from>
    <xdr:to>
      <xdr:col>13</xdr:col>
      <xdr:colOff>0</xdr:colOff>
      <xdr:row>36</xdr:row>
      <xdr:rowOff>0</xdr:rowOff>
    </xdr:to>
    <xdr:graphicFrame macro="">
      <xdr:nvGraphicFramePr>
        <xdr:cNvPr id="4" name="Chart 3">
          <a:extLst>
            <a:ext uri="{FF2B5EF4-FFF2-40B4-BE49-F238E27FC236}">
              <a16:creationId xmlns:a16="http://schemas.microsoft.com/office/drawing/2014/main" id="{4C45FCA8-FEC9-E012-7E20-08268F2D80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0</xdr:colOff>
      <xdr:row>21</xdr:row>
      <xdr:rowOff>0</xdr:rowOff>
    </xdr:from>
    <xdr:to>
      <xdr:col>20</xdr:col>
      <xdr:colOff>0</xdr:colOff>
      <xdr:row>36</xdr:row>
      <xdr:rowOff>0</xdr:rowOff>
    </xdr:to>
    <xdr:graphicFrame macro="">
      <xdr:nvGraphicFramePr>
        <xdr:cNvPr id="5" name="Chart 4">
          <a:extLst>
            <a:ext uri="{FF2B5EF4-FFF2-40B4-BE49-F238E27FC236}">
              <a16:creationId xmlns:a16="http://schemas.microsoft.com/office/drawing/2014/main" id="{EADE61A8-2300-E060-255B-15253CF2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37</xdr:row>
      <xdr:rowOff>0</xdr:rowOff>
    </xdr:from>
    <xdr:to>
      <xdr:col>6</xdr:col>
      <xdr:colOff>0</xdr:colOff>
      <xdr:row>52</xdr:row>
      <xdr:rowOff>0</xdr:rowOff>
    </xdr:to>
    <xdr:graphicFrame macro="">
      <xdr:nvGraphicFramePr>
        <xdr:cNvPr id="6" name="Chart 5">
          <a:extLst>
            <a:ext uri="{FF2B5EF4-FFF2-40B4-BE49-F238E27FC236}">
              <a16:creationId xmlns:a16="http://schemas.microsoft.com/office/drawing/2014/main" id="{E68B65ED-C023-63AB-D420-5604C618BF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37</xdr:row>
      <xdr:rowOff>0</xdr:rowOff>
    </xdr:from>
    <xdr:to>
      <xdr:col>13</xdr:col>
      <xdr:colOff>0</xdr:colOff>
      <xdr:row>52</xdr:row>
      <xdr:rowOff>0</xdr:rowOff>
    </xdr:to>
    <xdr:graphicFrame macro="">
      <xdr:nvGraphicFramePr>
        <xdr:cNvPr id="7" name="Chart 6">
          <a:extLst>
            <a:ext uri="{FF2B5EF4-FFF2-40B4-BE49-F238E27FC236}">
              <a16:creationId xmlns:a16="http://schemas.microsoft.com/office/drawing/2014/main" id="{4855D96C-E25E-E98E-DC98-634FAD7EC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0</xdr:colOff>
      <xdr:row>37</xdr:row>
      <xdr:rowOff>0</xdr:rowOff>
    </xdr:from>
    <xdr:to>
      <xdr:col>20</xdr:col>
      <xdr:colOff>0</xdr:colOff>
      <xdr:row>52</xdr:row>
      <xdr:rowOff>0</xdr:rowOff>
    </xdr:to>
    <xdr:graphicFrame macro="">
      <xdr:nvGraphicFramePr>
        <xdr:cNvPr id="8" name="Chart 7">
          <a:extLst>
            <a:ext uri="{FF2B5EF4-FFF2-40B4-BE49-F238E27FC236}">
              <a16:creationId xmlns:a16="http://schemas.microsoft.com/office/drawing/2014/main" id="{115BFDD3-F9F4-92FB-FD06-642BB4081D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53</xdr:row>
      <xdr:rowOff>0</xdr:rowOff>
    </xdr:from>
    <xdr:to>
      <xdr:col>6</xdr:col>
      <xdr:colOff>0</xdr:colOff>
      <xdr:row>68</xdr:row>
      <xdr:rowOff>0</xdr:rowOff>
    </xdr:to>
    <xdr:graphicFrame macro="">
      <xdr:nvGraphicFramePr>
        <xdr:cNvPr id="9" name="Chart 8">
          <a:extLst>
            <a:ext uri="{FF2B5EF4-FFF2-40B4-BE49-F238E27FC236}">
              <a16:creationId xmlns:a16="http://schemas.microsoft.com/office/drawing/2014/main" id="{BD62B07E-61A9-7F46-A4A8-AC16A57893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53</xdr:row>
      <xdr:rowOff>0</xdr:rowOff>
    </xdr:from>
    <xdr:to>
      <xdr:col>13</xdr:col>
      <xdr:colOff>0</xdr:colOff>
      <xdr:row>68</xdr:row>
      <xdr:rowOff>0</xdr:rowOff>
    </xdr:to>
    <xdr:graphicFrame macro="">
      <xdr:nvGraphicFramePr>
        <xdr:cNvPr id="10" name="Chart 9">
          <a:extLst>
            <a:ext uri="{FF2B5EF4-FFF2-40B4-BE49-F238E27FC236}">
              <a16:creationId xmlns:a16="http://schemas.microsoft.com/office/drawing/2014/main" id="{B923C19B-0F7E-82E2-6421-04A69208A1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0</xdr:colOff>
      <xdr:row>53</xdr:row>
      <xdr:rowOff>0</xdr:rowOff>
    </xdr:from>
    <xdr:to>
      <xdr:col>20</xdr:col>
      <xdr:colOff>0</xdr:colOff>
      <xdr:row>68</xdr:row>
      <xdr:rowOff>0</xdr:rowOff>
    </xdr:to>
    <xdr:graphicFrame macro="">
      <xdr:nvGraphicFramePr>
        <xdr:cNvPr id="11" name="Chart 10">
          <a:extLst>
            <a:ext uri="{FF2B5EF4-FFF2-40B4-BE49-F238E27FC236}">
              <a16:creationId xmlns:a16="http://schemas.microsoft.com/office/drawing/2014/main" id="{BE9BF440-4DAD-16E5-B058-63EEC92CEA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69</xdr:row>
      <xdr:rowOff>0</xdr:rowOff>
    </xdr:from>
    <xdr:to>
      <xdr:col>6</xdr:col>
      <xdr:colOff>0</xdr:colOff>
      <xdr:row>84</xdr:row>
      <xdr:rowOff>0</xdr:rowOff>
    </xdr:to>
    <xdr:graphicFrame macro="">
      <xdr:nvGraphicFramePr>
        <xdr:cNvPr id="12" name="Chart 11">
          <a:extLst>
            <a:ext uri="{FF2B5EF4-FFF2-40B4-BE49-F238E27FC236}">
              <a16:creationId xmlns:a16="http://schemas.microsoft.com/office/drawing/2014/main" id="{D9EB06A7-2564-E0A5-ADD8-872A43E1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0</xdr:colOff>
      <xdr:row>69</xdr:row>
      <xdr:rowOff>0</xdr:rowOff>
    </xdr:from>
    <xdr:to>
      <xdr:col>13</xdr:col>
      <xdr:colOff>0</xdr:colOff>
      <xdr:row>84</xdr:row>
      <xdr:rowOff>0</xdr:rowOff>
    </xdr:to>
    <xdr:graphicFrame macro="">
      <xdr:nvGraphicFramePr>
        <xdr:cNvPr id="13" name="Chart 12">
          <a:extLst>
            <a:ext uri="{FF2B5EF4-FFF2-40B4-BE49-F238E27FC236}">
              <a16:creationId xmlns:a16="http://schemas.microsoft.com/office/drawing/2014/main" id="{597CBC43-0EBB-2041-EB48-331D5B47B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0</xdr:colOff>
      <xdr:row>69</xdr:row>
      <xdr:rowOff>0</xdr:rowOff>
    </xdr:from>
    <xdr:to>
      <xdr:col>20</xdr:col>
      <xdr:colOff>0</xdr:colOff>
      <xdr:row>84</xdr:row>
      <xdr:rowOff>0</xdr:rowOff>
    </xdr:to>
    <xdr:graphicFrame macro="">
      <xdr:nvGraphicFramePr>
        <xdr:cNvPr id="14" name="Chart 13">
          <a:extLst>
            <a:ext uri="{FF2B5EF4-FFF2-40B4-BE49-F238E27FC236}">
              <a16:creationId xmlns:a16="http://schemas.microsoft.com/office/drawing/2014/main" id="{0BBA2997-A859-2528-FFCF-6F771FC8AB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85</xdr:row>
      <xdr:rowOff>0</xdr:rowOff>
    </xdr:from>
    <xdr:to>
      <xdr:col>6</xdr:col>
      <xdr:colOff>0</xdr:colOff>
      <xdr:row>100</xdr:row>
      <xdr:rowOff>0</xdr:rowOff>
    </xdr:to>
    <xdr:graphicFrame macro="">
      <xdr:nvGraphicFramePr>
        <xdr:cNvPr id="15" name="Chart 14">
          <a:extLst>
            <a:ext uri="{FF2B5EF4-FFF2-40B4-BE49-F238E27FC236}">
              <a16:creationId xmlns:a16="http://schemas.microsoft.com/office/drawing/2014/main" id="{DFFE514A-1615-B174-062D-49B5D7214E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0</xdr:colOff>
      <xdr:row>85</xdr:row>
      <xdr:rowOff>0</xdr:rowOff>
    </xdr:from>
    <xdr:to>
      <xdr:col>13</xdr:col>
      <xdr:colOff>0</xdr:colOff>
      <xdr:row>100</xdr:row>
      <xdr:rowOff>0</xdr:rowOff>
    </xdr:to>
    <xdr:graphicFrame macro="">
      <xdr:nvGraphicFramePr>
        <xdr:cNvPr id="16" name="Chart 15">
          <a:extLst>
            <a:ext uri="{FF2B5EF4-FFF2-40B4-BE49-F238E27FC236}">
              <a16:creationId xmlns:a16="http://schemas.microsoft.com/office/drawing/2014/main" id="{DBBEB6BA-8175-0422-AF95-76297A5EB3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0</xdr:colOff>
      <xdr:row>85</xdr:row>
      <xdr:rowOff>0</xdr:rowOff>
    </xdr:from>
    <xdr:to>
      <xdr:col>20</xdr:col>
      <xdr:colOff>0</xdr:colOff>
      <xdr:row>100</xdr:row>
      <xdr:rowOff>0</xdr:rowOff>
    </xdr:to>
    <xdr:graphicFrame macro="">
      <xdr:nvGraphicFramePr>
        <xdr:cNvPr id="17" name="Chart 16">
          <a:extLst>
            <a:ext uri="{FF2B5EF4-FFF2-40B4-BE49-F238E27FC236}">
              <a16:creationId xmlns:a16="http://schemas.microsoft.com/office/drawing/2014/main" id="{CBD8A743-139A-E623-10AD-49356BA4B0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101</xdr:row>
      <xdr:rowOff>0</xdr:rowOff>
    </xdr:from>
    <xdr:to>
      <xdr:col>6</xdr:col>
      <xdr:colOff>0</xdr:colOff>
      <xdr:row>116</xdr:row>
      <xdr:rowOff>0</xdr:rowOff>
    </xdr:to>
    <xdr:graphicFrame macro="">
      <xdr:nvGraphicFramePr>
        <xdr:cNvPr id="18" name="Chart 17">
          <a:extLst>
            <a:ext uri="{FF2B5EF4-FFF2-40B4-BE49-F238E27FC236}">
              <a16:creationId xmlns:a16="http://schemas.microsoft.com/office/drawing/2014/main" id="{83281919-45F7-22A8-5378-72006C328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0</xdr:colOff>
      <xdr:row>101</xdr:row>
      <xdr:rowOff>0</xdr:rowOff>
    </xdr:from>
    <xdr:to>
      <xdr:col>13</xdr:col>
      <xdr:colOff>0</xdr:colOff>
      <xdr:row>116</xdr:row>
      <xdr:rowOff>0</xdr:rowOff>
    </xdr:to>
    <xdr:graphicFrame macro="">
      <xdr:nvGraphicFramePr>
        <xdr:cNvPr id="19" name="Chart 18">
          <a:extLst>
            <a:ext uri="{FF2B5EF4-FFF2-40B4-BE49-F238E27FC236}">
              <a16:creationId xmlns:a16="http://schemas.microsoft.com/office/drawing/2014/main" id="{0B02B5CB-BE32-47A8-BB10-00EF6CB61B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Entries" displayName="Entries" ref="A1:G780" headerRowCount="1">
  <autoFilter ref="A1:G780"/>
  <tableColumns count="7">
    <tableColumn id="1" name="Date"/>
    <tableColumn id="2" name="Category"/>
    <tableColumn id="3" name="Type"/>
    <tableColumn id="4" name="Tier"/>
    <tableColumn id="5" name="Amount"/>
    <tableColumn id="6" name="Note"/>
    <tableColumn id="7" name="Capital (auto)"/>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tabColor rgb="00808080"/>
    <outlinePr summaryBelow="1" summaryRight="1"/>
    <pageSetUpPr/>
  </sheetPr>
  <dimension ref="A1:A21"/>
  <sheetViews>
    <sheetView showGridLines="0" workbookViewId="0">
      <selection activeCell="A1" sqref="A1"/>
    </sheetView>
  </sheetViews>
  <sheetFormatPr baseColWidth="8" defaultRowHeight="15"/>
  <cols>
    <col width="118" customWidth="1" min="1" max="1"/>
  </cols>
  <sheetData>
    <row r="1">
      <c r="A1" s="1" t="inlineStr">
        <is>
          <t>Monthly Budget Tracker — Instructions &amp; Monthly Workflow</t>
        </is>
      </c>
    </row>
    <row r="2" ht="26" customHeight="1">
      <c r="A2" s="2" t="inlineStr"/>
    </row>
    <row r="3" ht="42" customHeight="1">
      <c r="A3" s="2" t="inlineStr">
        <is>
          <t>A single-ledger cash-flow tracker. Record every income, expense and one-off item once on Entries; the Monthly Summary and Dashboard rebuild themselves. Ships with fictional sample data (2008-2025) — clear the Entries and Budgets rows (keep headers) to make it yours.</t>
        </is>
      </c>
    </row>
    <row r="4">
      <c r="A4" s="3" t="inlineStr">
        <is>
          <t>THE TABS</t>
        </is>
      </c>
    </row>
    <row r="5" ht="42" customHeight="1">
      <c r="A5" s="2" t="inlineStr">
        <is>
          <t>You edit: Entries (the ledger) · Budgets (your plan) · Categories (master list). Read-only &amp; locked: Monthly Summary · Dashboard. This sheet is the guide.</t>
        </is>
      </c>
    </row>
    <row r="6">
      <c r="A6" s="3" t="inlineStr">
        <is>
          <t>EACH ENTRY HAS A CATEGORY, A TYPE, AND A TIER</t>
        </is>
      </c>
    </row>
    <row r="7" ht="26" customHeight="1">
      <c r="A7" s="2" t="inlineStr">
        <is>
          <t>Category = what you spent on (Daily Food, Transport…).  Type = Income / Actual (recurring) / One-off.  Tier = how essential it is:</t>
        </is>
      </c>
    </row>
    <row r="8" ht="42" customHeight="1">
      <c r="A8" s="2" t="inlineStr">
        <is>
          <t xml:space="preserve">   • Core — essential baseline you can’t easily avoid.   • Over &amp; above — discretionary, trimmable (e.g. cab fares on top of basic transport).   • One-off — irregular/one-time (wedding, renovation, new laptop).   • Reimbursable — you’ll be paid back (company claim).   • Investment — capital that becomes an asset.</t>
        </is>
      </c>
    </row>
    <row r="9" ht="42" customHeight="1">
      <c r="A9" s="2" t="inlineStr">
        <is>
          <t>Tier is separate from Category, so one category can split across tiers. Example: Transport $250 = one row Transport · Core · $150 and another Transport · Over &amp; above · $100 (cab). The category still totals $250, but the tracker now knows $100 is trimmable.</t>
        </is>
      </c>
    </row>
    <row r="10">
      <c r="A10" s="3" t="inlineStr">
        <is>
          <t>THE THREE EXPENDITURE VIEWS (Monthly Summary + Dashboard)</t>
        </is>
      </c>
    </row>
    <row r="11" ht="42" customHeight="1">
      <c r="A11" s="2" t="inlineStr">
        <is>
          <t xml:space="preserve">   • Core (min) = your minimum core lifestyle (Tier = Core).   • True lifestyle = Core + Over &amp; above (your ongoing lifestyle, excludes one-offs, reimbursables and investments).   • Total Combined Spend = everything that went out (Total Actual Spend + Total One-off). Net of reimbursable subtracts what you’ll get back.</t>
        </is>
      </c>
    </row>
    <row r="12">
      <c r="A12" s="3" t="inlineStr">
        <is>
          <t>THE DASHBOARD HEADLINE FIGURES</t>
        </is>
      </c>
    </row>
    <row r="13" ht="42" customHeight="1">
      <c r="A13" s="2" t="inlineStr">
        <is>
          <t>The four numbers at the top show the latest month, then three trailing-12-month averages — each is the mean over the active (non-zero) months within the last 12 calendar months, so a gap month lowers the count rather than being back-filled: Avg monthly savings (income − Total Combined Spend), True lifestyle, and Core / min. Cumulative Cash Saved (the running total of income − Total Combined Spend) is charted below and equals your total cash saved to date.</t>
        </is>
      </c>
    </row>
    <row r="14">
      <c r="A14" s="3" t="inlineStr">
        <is>
          <t>STARTING FRESH — MAKE IT YOURS</t>
        </is>
      </c>
    </row>
    <row r="15" ht="42" customHeight="1">
      <c r="A15" s="2" t="inlineStr">
        <is>
          <t>The workbook ships with fictional sample data so the charts show a working result. To use it for yourself: on Entries select the sample rows from row 2 down and clear their CONTENTS (keep the header row and the table), then do the same on Budgets. Now enter your own data from row 2. Date each entry to the month it belongs to — any day of that month works (1 Aug or 15 Aug 2026 both count toward August). Leave the grey "Capital (auto)" column alone; it fills itself. The Monthly Summary and Dashboard fill in from your first month onward and earlier months simply stay blank.</t>
        </is>
      </c>
    </row>
    <row r="16">
      <c r="A16" s="3" t="inlineStr">
        <is>
          <t>YOUR MONTHLY ROUTINE</t>
        </is>
      </c>
    </row>
    <row r="17" ht="42" customHeight="1">
      <c r="A17" s="2" t="inlineStr">
        <is>
          <t>1. On Entries add this month’s income and spending — one row per Category (dated to any day in the month), with a Type and a Tier. 2. Monthly Summary and the Dashboard update automatically (it is pre-filled years ahead; nothing to copy down). 3. To revise a budget, add a dated row on Budgets. 4. Check the Dashboard.</t>
        </is>
      </c>
    </row>
    <row r="18">
      <c r="A18" s="3" t="inlineStr">
        <is>
          <t>GROWING OR REDUCING CATEGORIES</t>
        </is>
      </c>
    </row>
    <row r="19" ht="42" customHeight="1">
      <c r="A19" s="2" t="inlineStr">
        <is>
          <t>Add a category on Categories (Group = Expense, Active = Y) and it appears in the breakdown automatically (room for 20 expense categories); set Active = N to retire it.</t>
        </is>
      </c>
    </row>
    <row r="20">
      <c r="A20" s="3" t="inlineStr">
        <is>
          <t>COLOUR LEGEND</t>
        </is>
      </c>
    </row>
    <row r="21" ht="42" customHeight="1">
      <c r="A21" s="2" t="inlineStr">
        <is>
          <t>Yellow = you type here.  Blue text = a number you entered.  Black = a formula.  Grey = an automatic helper.  Tab colours: green = you edit; blue = automatic &amp; locked; grey = this guide.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60"/>
  <sheetViews>
    <sheetView showGridLines="0" workbookViewId="0">
      <selection activeCell="A1" sqref="A1"/>
    </sheetView>
  </sheetViews>
  <sheetFormatPr baseColWidth="8" defaultRowHeight="15"/>
  <cols>
    <col width="26" customWidth="1" min="1" max="1"/>
    <col width="26" customWidth="1" min="3" max="3"/>
    <col width="26" customWidth="1" min="5" max="5"/>
    <col width="26" customWidth="1" min="7" max="7"/>
  </cols>
  <sheetData>
    <row r="1">
      <c r="A1" s="4" t="inlineStr">
        <is>
          <t>Monthly Budget Tracker — Dashboard</t>
        </is>
      </c>
    </row>
    <row r="2">
      <c r="A2" s="5" t="inlineStr">
        <is>
          <t>Everything updates from the Entries ledger. This sheet is locked (read-only).</t>
        </is>
      </c>
    </row>
    <row r="4">
      <c r="A4" s="6" t="inlineStr">
        <is>
          <t>Latest month</t>
        </is>
      </c>
      <c r="C4" s="6" t="inlineStr">
        <is>
          <t>Avg monthly savings (12m)</t>
        </is>
      </c>
      <c r="E4" s="6" t="inlineStr">
        <is>
          <t>True lifestyle (12m avg)</t>
        </is>
      </c>
      <c r="G4" s="6" t="inlineStr">
        <is>
          <t>Core / min (12m avg)</t>
        </is>
      </c>
    </row>
    <row r="5">
      <c r="A5" s="4">
        <f>TEXT($B$58,"mmm yyyy")</f>
        <v/>
      </c>
      <c r="C5" s="7">
        <f>IFERROR((SUMIFS(Entries!$E$2:$E$5000,Entries!$C$2:$C$5000,"Income",Entries!$A$2:$A$5000,"&gt;="&amp;$B$59,Entries!$A$2:$A$5000,"&lt;"&amp;EDATE($B$58,1))-SUMIFS(Entries!$E$2:$E$5000,Entries!$C$2:$C$5000,"Actual",Entries!$A$2:$A$5000,"&gt;="&amp;$B$59,Entries!$A$2:$A$5000,"&lt;"&amp;EDATE($B$58,1))-SUMIFS(Entries!$E$2:$E$5000,Entries!$C$2:$C$5000,"One-off",Entries!$A$2:$A$5000,"&gt;="&amp;$B$59,Entries!$A$2:$A$5000,"&lt;"&amp;EDATE($B$58,1)))/$B$60,0)</f>
        <v/>
      </c>
      <c r="E5" s="7">
        <f>IFERROR((SUMIFS(Entries!$E$2:$E$5000,Entries!$D$2:$D$5000,"Core",Entries!$A$2:$A$5000,"&gt;="&amp;$B$59,Entries!$A$2:$A$5000,"&lt;"&amp;EDATE($B$58,1))+SUMIFS(Entries!$E$2:$E$5000,Entries!$D$2:$D$5000,"Over &amp; above",Entries!$A$2:$A$5000,"&gt;="&amp;$B$59,Entries!$A$2:$A$5000,"&lt;"&amp;EDATE($B$58,1)))/$B$60,0)</f>
        <v/>
      </c>
      <c r="G5" s="7">
        <f>IFERROR(SUMIFS(Entries!$E$2:$E$5000,Entries!$D$2:$D$5000,"Core",Entries!$A$2:$A$5000,"&gt;="&amp;$B$59,Entries!$A$2:$A$5000,"&lt;"&amp;EDATE($B$58,1))/$B$60,0)</f>
        <v/>
      </c>
    </row>
    <row r="45">
      <c r="A45" s="8" t="inlineStr">
        <is>
          <t>Budget vs Actual — latest month (chart helper)</t>
        </is>
      </c>
    </row>
    <row r="46">
      <c r="A46" s="9" t="inlineStr">
        <is>
          <t>Category</t>
        </is>
      </c>
      <c r="B46" s="9" t="inlineStr">
        <is>
          <t>Actual</t>
        </is>
      </c>
      <c r="C46" s="9" t="inlineStr">
        <is>
          <t>Budget</t>
        </is>
      </c>
      <c r="E46" s="10" t="inlineStr">
        <is>
          <t>Latest month:</t>
        </is>
      </c>
      <c r="F46" s="11">
        <f>LOOKUP(2,1/('Monthly Summary'!$C$2:$C$400&lt;&gt;""),'Monthly Summary'!$A$2:$A$400)</f>
        <v/>
      </c>
    </row>
    <row r="47">
      <c r="A47" s="12" t="inlineStr">
        <is>
          <t>Daily Food</t>
        </is>
      </c>
      <c r="B47" s="13">
        <f>SUMIFS(Entries!$E$2:$E$5000,Entries!$C$2:$C$5000,"Actual",Entries!$A$2:$A$5000,"&gt;="&amp;$F$46,Entries!$A$2:$A$5000,"&lt;"&amp;EDATE($F$46,1),Entries!$B$2:$B$5000,$A47)</f>
        <v/>
      </c>
      <c r="C47" s="13">
        <f>IFERROR(LOOKUP(2,1/((Budgets!$A$2:$A$200=$A47)*(Budgets!$B$2:$B$200&lt;EDATE($F$46,1))),Budgets!$C$2:$C$200),0)</f>
        <v/>
      </c>
    </row>
    <row r="48">
      <c r="A48" s="12" t="inlineStr">
        <is>
          <t>Transport</t>
        </is>
      </c>
      <c r="B48" s="13">
        <f>SUMIFS(Entries!$E$2:$E$5000,Entries!$C$2:$C$5000,"Actual",Entries!$A$2:$A$5000,"&gt;="&amp;$F$46,Entries!$A$2:$A$5000,"&lt;"&amp;EDATE($F$46,1),Entries!$B$2:$B$5000,$A48)</f>
        <v/>
      </c>
      <c r="C48" s="13">
        <f>IFERROR(LOOKUP(2,1/((Budgets!$A$2:$A$200=$A48)*(Budgets!$B$2:$B$200&lt;EDATE($F$46,1))),Budgets!$C$2:$C$200),0)</f>
        <v/>
      </c>
    </row>
    <row r="49">
      <c r="A49" s="12" t="inlineStr">
        <is>
          <t>Groceries</t>
        </is>
      </c>
      <c r="B49" s="13">
        <f>SUMIFS(Entries!$E$2:$E$5000,Entries!$C$2:$C$5000,"Actual",Entries!$A$2:$A$5000,"&gt;="&amp;$F$46,Entries!$A$2:$A$5000,"&lt;"&amp;EDATE($F$46,1),Entries!$B$2:$B$5000,$A49)</f>
        <v/>
      </c>
      <c r="C49" s="13">
        <f>IFERROR(LOOKUP(2,1/((Budgets!$A$2:$A$200=$A49)*(Budgets!$B$2:$B$200&lt;EDATE($F$46,1))),Budgets!$C$2:$C$200),0)</f>
        <v/>
      </c>
    </row>
    <row r="50">
      <c r="A50" s="12" t="inlineStr">
        <is>
          <t>Bills</t>
        </is>
      </c>
      <c r="B50" s="13">
        <f>SUMIFS(Entries!$E$2:$E$5000,Entries!$C$2:$C$5000,"Actual",Entries!$A$2:$A$5000,"&gt;="&amp;$F$46,Entries!$A$2:$A$5000,"&lt;"&amp;EDATE($F$46,1),Entries!$B$2:$B$5000,$A50)</f>
        <v/>
      </c>
      <c r="C50" s="13">
        <f>IFERROR(LOOKUP(2,1/((Budgets!$A$2:$A$200=$A50)*(Budgets!$B$2:$B$200&lt;EDATE($F$46,1))),Budgets!$C$2:$C$200),0)</f>
        <v/>
      </c>
    </row>
    <row r="51">
      <c r="A51" s="12" t="inlineStr">
        <is>
          <t>Insurance</t>
        </is>
      </c>
      <c r="B51" s="13">
        <f>SUMIFS(Entries!$E$2:$E$5000,Entries!$C$2:$C$5000,"Actual",Entries!$A$2:$A$5000,"&gt;="&amp;$F$46,Entries!$A$2:$A$5000,"&lt;"&amp;EDATE($F$46,1),Entries!$B$2:$B$5000,$A51)</f>
        <v/>
      </c>
      <c r="C51" s="13">
        <f>IFERROR(LOOKUP(2,1/((Budgets!$A$2:$A$200=$A51)*(Budgets!$B$2:$B$200&lt;EDATE($F$46,1))),Budgets!$C$2:$C$200),0)</f>
        <v/>
      </c>
    </row>
    <row r="52">
      <c r="A52" s="12" t="inlineStr">
        <is>
          <t>Household</t>
        </is>
      </c>
      <c r="B52" s="13">
        <f>SUMIFS(Entries!$E$2:$E$5000,Entries!$C$2:$C$5000,"Actual",Entries!$A$2:$A$5000,"&gt;="&amp;$F$46,Entries!$A$2:$A$5000,"&lt;"&amp;EDATE($F$46,1),Entries!$B$2:$B$5000,$A52)</f>
        <v/>
      </c>
      <c r="C52" s="13">
        <f>IFERROR(LOOKUP(2,1/((Budgets!$A$2:$A$200=$A52)*(Budgets!$B$2:$B$200&lt;EDATE($F$46,1))),Budgets!$C$2:$C$200),0)</f>
        <v/>
      </c>
    </row>
    <row r="53">
      <c r="A53" s="12" t="inlineStr">
        <is>
          <t>Donation</t>
        </is>
      </c>
      <c r="B53" s="13">
        <f>SUMIFS(Entries!$E$2:$E$5000,Entries!$C$2:$C$5000,"Actual",Entries!$A$2:$A$5000,"&gt;="&amp;$F$46,Entries!$A$2:$A$5000,"&lt;"&amp;EDATE($F$46,1),Entries!$B$2:$B$5000,$A53)</f>
        <v/>
      </c>
      <c r="C53" s="13">
        <f>IFERROR(LOOKUP(2,1/((Budgets!$A$2:$A$200=$A53)*(Budgets!$B$2:$B$200&lt;EDATE($F$46,1))),Budgets!$C$2:$C$200),0)</f>
        <v/>
      </c>
    </row>
    <row r="54">
      <c r="A54" s="12" t="inlineStr">
        <is>
          <t>Subscriptions</t>
        </is>
      </c>
      <c r="B54" s="13">
        <f>SUMIFS(Entries!$E$2:$E$5000,Entries!$C$2:$C$5000,"Actual",Entries!$A$2:$A$5000,"&gt;="&amp;$F$46,Entries!$A$2:$A$5000,"&lt;"&amp;EDATE($F$46,1),Entries!$B$2:$B$5000,$A54)</f>
        <v/>
      </c>
      <c r="C54" s="13">
        <f>IFERROR(LOOKUP(2,1/((Budgets!$A$2:$A$200=$A54)*(Budgets!$B$2:$B$200&lt;EDATE($F$46,1))),Budgets!$C$2:$C$200),0)</f>
        <v/>
      </c>
    </row>
    <row r="55">
      <c r="A55" s="12" t="inlineStr">
        <is>
          <t>Shopping</t>
        </is>
      </c>
      <c r="B55" s="13">
        <f>SUMIFS(Entries!$E$2:$E$5000,Entries!$C$2:$C$5000,"Actual",Entries!$A$2:$A$5000,"&gt;="&amp;$F$46,Entries!$A$2:$A$5000,"&lt;"&amp;EDATE($F$46,1),Entries!$B$2:$B$5000,$A55)</f>
        <v/>
      </c>
      <c r="C55" s="13">
        <f>IFERROR(LOOKUP(2,1/((Budgets!$A$2:$A$200=$A55)*(Budgets!$B$2:$B$200&lt;EDATE($F$46,1))),Budgets!$C$2:$C$200),0)</f>
        <v/>
      </c>
    </row>
    <row r="57">
      <c r="A57" s="14" t="inlineStr">
        <is>
          <t>KPI window (active months in the trailing 12 calendar months) — helper cells</t>
        </is>
      </c>
    </row>
    <row r="58">
      <c r="A58" s="15" t="inlineStr">
        <is>
          <t>Latest month</t>
        </is>
      </c>
      <c r="B58" s="16">
        <f>LOOKUP(2,1/('Monthly Summary'!$C$2:$C$400&lt;&gt;""),'Monthly Summary'!$A$2:$A$400)</f>
        <v/>
      </c>
    </row>
    <row r="59">
      <c r="A59" s="15" t="inlineStr">
        <is>
          <t>Window start (−11 months)</t>
        </is>
      </c>
      <c r="B59" s="16">
        <f>EDATE($B$58,-11)</f>
        <v/>
      </c>
    </row>
    <row r="60">
      <c r="A60" s="15" t="inlineStr">
        <is>
          <t>Active (non-zero) months in window</t>
        </is>
      </c>
      <c r="B60" s="15">
        <f>COUNTIFS('Monthly Summary'!$A$2:$A$400,"&gt;="&amp;$B$59,'Monthly Summary'!$A$2:$A$400,"&lt;="&amp;$B$58,'Monthly Summary'!$BM$2:$BM$400,"&gt;0")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2E75B6"/>
    <outlinePr summaryBelow="1" summaryRight="1"/>
    <pageSetUpPr/>
  </sheetPr>
  <dimension ref="A1:BM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hidden="1" width="13" customWidth="1" min="65" max="65"/>
  </cols>
  <sheetData>
    <row r="1">
      <c r="A1" s="17" t="inlineStr">
        <is>
          <t>Month</t>
        </is>
      </c>
      <c r="B1" s="17" t="inlineStr">
        <is>
          <t>Total Income</t>
        </is>
      </c>
      <c r="C1" s="17" t="inlineStr">
        <is>
          <t>Total Actual Spend</t>
        </is>
      </c>
      <c r="D1" s="17" t="inlineStr">
        <is>
          <t>Total One-off</t>
        </is>
      </c>
      <c r="E1" s="17" t="inlineStr">
        <is>
          <t>Total Combined Spend</t>
        </is>
      </c>
      <c r="F1" s="17" t="inlineStr">
        <is>
          <t>Total Budget</t>
        </is>
      </c>
      <c r="G1" s="17" t="inlineStr">
        <is>
          <t>Net Cash</t>
        </is>
      </c>
      <c r="H1" s="17" t="inlineStr">
        <is>
          <t>Cumulative Cash</t>
        </is>
      </c>
      <c r="I1" s="17" t="inlineStr">
        <is>
          <t>Capital Outflow (info)</t>
        </is>
      </c>
      <c r="J1" s="17" t="inlineStr">
        <is>
          <t>Cumulative Cash Saved</t>
        </is>
      </c>
      <c r="K1" s="17" t="inlineStr">
        <is>
          <t>Rolling Income 12m</t>
        </is>
      </c>
      <c r="L1" s="17" t="inlineStr">
        <is>
          <t>Rolling Spend 12m</t>
        </is>
      </c>
      <c r="M1" s="17" t="inlineStr">
        <is>
          <t>Rolling Savings Ratio</t>
        </is>
      </c>
      <c r="N1" s="18" t="inlineStr">
        <is>
          <t>Core (min)</t>
        </is>
      </c>
      <c r="O1" s="18" t="inlineStr">
        <is>
          <t>Over &amp; above</t>
        </is>
      </c>
      <c r="P1" s="18" t="inlineStr">
        <is>
          <t>One-off</t>
        </is>
      </c>
      <c r="Q1" s="18" t="inlineStr">
        <is>
          <t>Reimbursable</t>
        </is>
      </c>
      <c r="R1" s="18" t="inlineStr">
        <is>
          <t>Investment</t>
        </is>
      </c>
      <c r="S1" s="18" t="inlineStr">
        <is>
          <t>True lifestyle</t>
        </is>
      </c>
      <c r="T1" s="18" t="inlineStr">
        <is>
          <t>Net of reimbursable</t>
        </is>
      </c>
      <c r="W1" s="19">
        <f>IFERROR(INDEX(Categories!$A$2:$A$200,MATCH(1,Categories!$F$2:$F$200,0)),"")</f>
        <v/>
      </c>
      <c r="X1" s="19">
        <f>IFERROR(INDEX(Categories!$A$2:$A$200,MATCH(2,Categories!$F$2:$F$200,0)),"")</f>
        <v/>
      </c>
      <c r="Y1" s="19">
        <f>IFERROR(INDEX(Categories!$A$2:$A$200,MATCH(3,Categories!$F$2:$F$200,0)),"")</f>
        <v/>
      </c>
      <c r="Z1" s="19">
        <f>IFERROR(INDEX(Categories!$A$2:$A$200,MATCH(4,Categories!$F$2:$F$200,0)),"")</f>
        <v/>
      </c>
      <c r="AA1" s="19">
        <f>IFERROR(INDEX(Categories!$A$2:$A$200,MATCH(5,Categories!$F$2:$F$200,0)),"")</f>
        <v/>
      </c>
      <c r="AB1" s="19">
        <f>IFERROR(INDEX(Categories!$A$2:$A$200,MATCH(6,Categories!$F$2:$F$200,0)),"")</f>
        <v/>
      </c>
      <c r="AC1" s="19">
        <f>IFERROR(INDEX(Categories!$A$2:$A$200,MATCH(7,Categories!$F$2:$F$200,0)),"")</f>
        <v/>
      </c>
      <c r="AD1" s="19">
        <f>IFERROR(INDEX(Categories!$A$2:$A$200,MATCH(8,Categories!$F$2:$F$200,0)),"")</f>
        <v/>
      </c>
      <c r="AE1" s="19">
        <f>IFERROR(INDEX(Categories!$A$2:$A$200,MATCH(9,Categories!$F$2:$F$200,0)),"")</f>
        <v/>
      </c>
      <c r="AF1" s="19">
        <f>IFERROR(INDEX(Categories!$A$2:$A$200,MATCH(10,Categories!$F$2:$F$200,0)),"")</f>
        <v/>
      </c>
      <c r="AG1" s="19">
        <f>IFERROR(INDEX(Categories!$A$2:$A$200,MATCH(11,Categories!$F$2:$F$200,0)),"")</f>
        <v/>
      </c>
      <c r="AH1" s="19">
        <f>IFERROR(INDEX(Categories!$A$2:$A$200,MATCH(12,Categories!$F$2:$F$200,0)),"")</f>
        <v/>
      </c>
      <c r="AI1" s="19">
        <f>IFERROR(INDEX(Categories!$A$2:$A$200,MATCH(13,Categories!$F$2:$F$200,0)),"")</f>
        <v/>
      </c>
      <c r="AJ1" s="19">
        <f>IFERROR(INDEX(Categories!$A$2:$A$200,MATCH(14,Categories!$F$2:$F$200,0)),"")</f>
        <v/>
      </c>
      <c r="AK1" s="19">
        <f>IFERROR(INDEX(Categories!$A$2:$A$200,MATCH(15,Categories!$F$2:$F$200,0)),"")</f>
        <v/>
      </c>
      <c r="AL1" s="19">
        <f>IFERROR(INDEX(Categories!$A$2:$A$200,MATCH(16,Categories!$F$2:$F$200,0)),"")</f>
        <v/>
      </c>
      <c r="AM1" s="19">
        <f>IFERROR(INDEX(Categories!$A$2:$A$200,MATCH(17,Categories!$F$2:$F$200,0)),"")</f>
        <v/>
      </c>
      <c r="AN1" s="19">
        <f>IFERROR(INDEX(Categories!$A$2:$A$200,MATCH(18,Categories!$F$2:$F$200,0)),"")</f>
        <v/>
      </c>
      <c r="AO1" s="19">
        <f>IFERROR(INDEX(Categories!$A$2:$A$200,MATCH(19,Categories!$F$2:$F$200,0)),"")</f>
        <v/>
      </c>
      <c r="AP1" s="19">
        <f>IFERROR(INDEX(Categories!$A$2:$A$200,MATCH(20,Categories!$F$2:$F$200,0)),"")</f>
        <v/>
      </c>
      <c r="AR1" s="20">
        <f>W$1</f>
        <v/>
      </c>
      <c r="AS1" s="20">
        <f>X$1</f>
        <v/>
      </c>
      <c r="AT1" s="20">
        <f>Y$1</f>
        <v/>
      </c>
      <c r="AU1" s="20">
        <f>Z$1</f>
        <v/>
      </c>
      <c r="AV1" s="20">
        <f>AA$1</f>
        <v/>
      </c>
      <c r="AW1" s="20">
        <f>AB$1</f>
        <v/>
      </c>
      <c r="AX1" s="20">
        <f>AC$1</f>
        <v/>
      </c>
      <c r="AY1" s="20">
        <f>AD$1</f>
        <v/>
      </c>
      <c r="AZ1" s="20">
        <f>AE$1</f>
        <v/>
      </c>
      <c r="BA1" s="20">
        <f>AF$1</f>
        <v/>
      </c>
      <c r="BB1" s="20">
        <f>AG$1</f>
        <v/>
      </c>
      <c r="BC1" s="20">
        <f>AH$1</f>
        <v/>
      </c>
      <c r="BD1" s="20">
        <f>AI$1</f>
        <v/>
      </c>
      <c r="BE1" s="20">
        <f>AJ$1</f>
        <v/>
      </c>
      <c r="BF1" s="20">
        <f>AK$1</f>
        <v/>
      </c>
      <c r="BG1" s="20">
        <f>AL$1</f>
        <v/>
      </c>
      <c r="BH1" s="20">
        <f>AM$1</f>
        <v/>
      </c>
      <c r="BI1" s="20">
        <f>AN$1</f>
        <v/>
      </c>
      <c r="BJ1" s="20">
        <f>AO$1</f>
        <v/>
      </c>
      <c r="BK1" s="20">
        <f>AP$1</f>
        <v/>
      </c>
      <c r="BM1" s="21" t="inlineStr">
        <is>
          <t>_active</t>
        </is>
      </c>
    </row>
    <row r="2">
      <c r="A2" s="22" t="n">
        <v>39448</v>
      </c>
      <c r="B2" s="23">
        <f>IF($BM2=0,NA(),SUMIFS(Entries!$E$2:$E$5000,Entries!$C$2:$C$5000,"Income",Entries!$A$2:$A$5000,"&gt;="&amp;$A2,Entries!$A$2:$A$5000,"&lt;"&amp;EDATE($A2,1)))</f>
        <v/>
      </c>
      <c r="C2" s="23">
        <f>IF($BM2=0,"",SUMIFS(Entries!$E$2:$E$5000,Entries!$C$2:$C$5000,"Actual",Entries!$A$2:$A$5000,"&gt;="&amp;$A2,Entries!$A$2:$A$5000,"&lt;"&amp;EDATE($A2,1)))</f>
        <v/>
      </c>
      <c r="D2" s="23">
        <f>IF($BM2=0,"",SUMIFS(Entries!$E$2:$E$5000,Entries!$C$2:$C$5000,"One-off",Entries!$A$2:$A$5000,"&gt;="&amp;$A2,Entries!$A$2:$A$5000,"&lt;"&amp;EDATE($A2,1)))</f>
        <v/>
      </c>
      <c r="E2" s="23">
        <f>IF($BM2=0,NA(),C2+D2)</f>
        <v/>
      </c>
      <c r="F2" s="23">
        <f>IF($BM2=0,"",SUM(AR2:BK2))</f>
        <v/>
      </c>
      <c r="G2" s="23">
        <f>IF($BM2=0,"",B2-E2)</f>
        <v/>
      </c>
      <c r="H2" s="23">
        <f>IF($BM2=0,"",SUM($G$2:G2))</f>
        <v/>
      </c>
      <c r="I2" s="23">
        <f>IF($BM2=0,"",SUMIFS(Entries!$G$2:$G$5000,Entries!$A$2:$A$5000,"&gt;="&amp;$A2,Entries!$A$2:$A$5000,"&lt;"&amp;EDATE($A2,1)))</f>
        <v/>
      </c>
      <c r="J2" s="23">
        <f>IF($BM2=0,NA(),H2)</f>
        <v/>
      </c>
      <c r="K2" s="23">
        <f>""</f>
        <v/>
      </c>
      <c r="L2" s="23">
        <f>""</f>
        <v/>
      </c>
      <c r="M2" s="24">
        <f>NA()</f>
        <v/>
      </c>
      <c r="N2" s="23">
        <f>IF($BM2=0,NA(),SUMIFS(Entries!$E$2:$E$5000,Entries!$D$2:$D$5000,"Core",Entries!$A$2:$A$5000,"&gt;="&amp;$A2,Entries!$A$2:$A$5000,"&lt;"&amp;EDATE($A2,1)))</f>
        <v/>
      </c>
      <c r="O2" s="23">
        <f>IF($BM2=0,NA(),SUMIFS(Entries!$E$2:$E$5000,Entries!$D$2:$D$5000,"Over &amp; above",Entries!$A$2:$A$5000,"&gt;="&amp;$A2,Entries!$A$2:$A$5000,"&lt;"&amp;EDATE($A2,1)))</f>
        <v/>
      </c>
      <c r="P2" s="23">
        <f>IF($BM2=0,NA(),SUMIFS(Entries!$E$2:$E$5000,Entries!$D$2:$D$5000,"One-off",Entries!$A$2:$A$5000,"&gt;="&amp;$A2,Entries!$A$2:$A$5000,"&lt;"&amp;EDATE($A2,1)))</f>
        <v/>
      </c>
      <c r="Q2" s="23">
        <f>IF($BM2=0,NA(),SUMIFS(Entries!$E$2:$E$5000,Entries!$D$2:$D$5000,"Reimbursable",Entries!$A$2:$A$5000,"&gt;="&amp;$A2,Entries!$A$2:$A$5000,"&lt;"&amp;EDATE($A2,1)))</f>
        <v/>
      </c>
      <c r="R2" s="23">
        <f>IF($BM2=0,NA(),SUMIFS(Entries!$E$2:$E$5000,Entries!$D$2:$D$5000,"Investment",Entries!$A$2:$A$5000,"&gt;="&amp;$A2,Entries!$A$2:$A$5000,"&lt;"&amp;EDATE($A2,1)))</f>
        <v/>
      </c>
      <c r="S2" s="23">
        <f>IF($BM2=0,NA(),N2+O2)</f>
        <v/>
      </c>
      <c r="T2" s="23">
        <f>IF($BM2=0,"",E2-Q2)</f>
        <v/>
      </c>
      <c r="W2" s="23">
        <f>IF(OR(W$1="",$BM2=0),"",SUMIFS(Entries!$E$2:$E$5000,Entries!$C$2:$C$5000,"Actual",Entries!$A$2:$A$5000,"&gt;="&amp;$A2,Entries!$A$2:$A$5000,"&lt;"&amp;EDATE($A2,1),Entries!$B$2:$B$5000,W$1))</f>
        <v/>
      </c>
      <c r="X2" s="23">
        <f>IF(OR(X$1="",$BM2=0),"",SUMIFS(Entries!$E$2:$E$5000,Entries!$C$2:$C$5000,"Actual",Entries!$A$2:$A$5000,"&gt;="&amp;$A2,Entries!$A$2:$A$5000,"&lt;"&amp;EDATE($A2,1),Entries!$B$2:$B$5000,X$1))</f>
        <v/>
      </c>
      <c r="Y2" s="23">
        <f>IF(OR(Y$1="",$BM2=0),"",SUMIFS(Entries!$E$2:$E$5000,Entries!$C$2:$C$5000,"Actual",Entries!$A$2:$A$5000,"&gt;="&amp;$A2,Entries!$A$2:$A$5000,"&lt;"&amp;EDATE($A2,1),Entries!$B$2:$B$5000,Y$1))</f>
        <v/>
      </c>
      <c r="Z2" s="23">
        <f>IF(OR(Z$1="",$BM2=0),"",SUMIFS(Entries!$E$2:$E$5000,Entries!$C$2:$C$5000,"Actual",Entries!$A$2:$A$5000,"&gt;="&amp;$A2,Entries!$A$2:$A$5000,"&lt;"&amp;EDATE($A2,1),Entries!$B$2:$B$5000,Z$1))</f>
        <v/>
      </c>
      <c r="AA2" s="23">
        <f>IF(OR(AA$1="",$BM2=0),"",SUMIFS(Entries!$E$2:$E$5000,Entries!$C$2:$C$5000,"Actual",Entries!$A$2:$A$5000,"&gt;="&amp;$A2,Entries!$A$2:$A$5000,"&lt;"&amp;EDATE($A2,1),Entries!$B$2:$B$5000,AA$1))</f>
        <v/>
      </c>
      <c r="AB2" s="23">
        <f>IF(OR(AB$1="",$BM2=0),"",SUMIFS(Entries!$E$2:$E$5000,Entries!$C$2:$C$5000,"Actual",Entries!$A$2:$A$5000,"&gt;="&amp;$A2,Entries!$A$2:$A$5000,"&lt;"&amp;EDATE($A2,1),Entries!$B$2:$B$5000,AB$1))</f>
        <v/>
      </c>
      <c r="AC2" s="23">
        <f>IF(OR(AC$1="",$BM2=0),"",SUMIFS(Entries!$E$2:$E$5000,Entries!$C$2:$C$5000,"Actual",Entries!$A$2:$A$5000,"&gt;="&amp;$A2,Entries!$A$2:$A$5000,"&lt;"&amp;EDATE($A2,1),Entries!$B$2:$B$5000,AC$1))</f>
        <v/>
      </c>
      <c r="AD2" s="23">
        <f>IF(OR(AD$1="",$BM2=0),"",SUMIFS(Entries!$E$2:$E$5000,Entries!$C$2:$C$5000,"Actual",Entries!$A$2:$A$5000,"&gt;="&amp;$A2,Entries!$A$2:$A$5000,"&lt;"&amp;EDATE($A2,1),Entries!$B$2:$B$5000,AD$1))</f>
        <v/>
      </c>
      <c r="AE2" s="23">
        <f>IF(OR(AE$1="",$BM2=0),"",SUMIFS(Entries!$E$2:$E$5000,Entries!$C$2:$C$5000,"Actual",Entries!$A$2:$A$5000,"&gt;="&amp;$A2,Entries!$A$2:$A$5000,"&lt;"&amp;EDATE($A2,1),Entries!$B$2:$B$5000,AE$1))</f>
        <v/>
      </c>
      <c r="AF2" s="23">
        <f>IF(OR(AF$1="",$BM2=0),"",SUMIFS(Entries!$E$2:$E$5000,Entries!$C$2:$C$5000,"Actual",Entries!$A$2:$A$5000,"&gt;="&amp;$A2,Entries!$A$2:$A$5000,"&lt;"&amp;EDATE($A2,1),Entries!$B$2:$B$5000,AF$1))</f>
        <v/>
      </c>
      <c r="AG2" s="23">
        <f>IF(OR(AG$1="",$BM2=0),"",SUMIFS(Entries!$E$2:$E$5000,Entries!$C$2:$C$5000,"Actual",Entries!$A$2:$A$5000,"&gt;="&amp;$A2,Entries!$A$2:$A$5000,"&lt;"&amp;EDATE($A2,1),Entries!$B$2:$B$5000,AG$1))</f>
        <v/>
      </c>
      <c r="AH2" s="23">
        <f>IF(OR(AH$1="",$BM2=0),"",SUMIFS(Entries!$E$2:$E$5000,Entries!$C$2:$C$5000,"Actual",Entries!$A$2:$A$5000,"&gt;="&amp;$A2,Entries!$A$2:$A$5000,"&lt;"&amp;EDATE($A2,1),Entries!$B$2:$B$5000,AH$1))</f>
        <v/>
      </c>
      <c r="AI2" s="23">
        <f>IF(OR(AI$1="",$BM2=0),"",SUMIFS(Entries!$E$2:$E$5000,Entries!$C$2:$C$5000,"Actual",Entries!$A$2:$A$5000,"&gt;="&amp;$A2,Entries!$A$2:$A$5000,"&lt;"&amp;EDATE($A2,1),Entries!$B$2:$B$5000,AI$1))</f>
        <v/>
      </c>
      <c r="AJ2" s="23">
        <f>IF(OR(AJ$1="",$BM2=0),"",SUMIFS(Entries!$E$2:$E$5000,Entries!$C$2:$C$5000,"Actual",Entries!$A$2:$A$5000,"&gt;="&amp;$A2,Entries!$A$2:$A$5000,"&lt;"&amp;EDATE($A2,1),Entries!$B$2:$B$5000,AJ$1))</f>
        <v/>
      </c>
      <c r="AK2" s="23">
        <f>IF(OR(AK$1="",$BM2=0),"",SUMIFS(Entries!$E$2:$E$5000,Entries!$C$2:$C$5000,"Actual",Entries!$A$2:$A$5000,"&gt;="&amp;$A2,Entries!$A$2:$A$5000,"&lt;"&amp;EDATE($A2,1),Entries!$B$2:$B$5000,AK$1))</f>
        <v/>
      </c>
      <c r="AL2" s="23">
        <f>IF(OR(AL$1="",$BM2=0),"",SUMIFS(Entries!$E$2:$E$5000,Entries!$C$2:$C$5000,"Actual",Entries!$A$2:$A$5000,"&gt;="&amp;$A2,Entries!$A$2:$A$5000,"&lt;"&amp;EDATE($A2,1),Entries!$B$2:$B$5000,AL$1))</f>
        <v/>
      </c>
      <c r="AM2" s="23">
        <f>IF(OR(AM$1="",$BM2=0),"",SUMIFS(Entries!$E$2:$E$5000,Entries!$C$2:$C$5000,"Actual",Entries!$A$2:$A$5000,"&gt;="&amp;$A2,Entries!$A$2:$A$5000,"&lt;"&amp;EDATE($A2,1),Entries!$B$2:$B$5000,AM$1))</f>
        <v/>
      </c>
      <c r="AN2" s="23">
        <f>IF(OR(AN$1="",$BM2=0),"",SUMIFS(Entries!$E$2:$E$5000,Entries!$C$2:$C$5000,"Actual",Entries!$A$2:$A$5000,"&gt;="&amp;$A2,Entries!$A$2:$A$5000,"&lt;"&amp;EDATE($A2,1),Entries!$B$2:$B$5000,AN$1))</f>
        <v/>
      </c>
      <c r="AO2" s="23">
        <f>IF(OR(AO$1="",$BM2=0),"",SUMIFS(Entries!$E$2:$E$5000,Entries!$C$2:$C$5000,"Actual",Entries!$A$2:$A$5000,"&gt;="&amp;$A2,Entries!$A$2:$A$5000,"&lt;"&amp;EDATE($A2,1),Entries!$B$2:$B$5000,AO$1))</f>
        <v/>
      </c>
      <c r="AP2" s="23">
        <f>IF(OR(AP$1="",$BM2=0),"",SUMIFS(Entries!$E$2:$E$5000,Entries!$C$2:$C$5000,"Actual",Entries!$A$2:$A$5000,"&gt;="&amp;$A2,Entries!$A$2:$A$5000,"&lt;"&amp;EDATE($A2,1),Entries!$B$2:$B$5000,AP$1))</f>
        <v/>
      </c>
      <c r="AR2" s="23">
        <f>IF(OR(AR$1="",$BM2=0),"",IFERROR(LOOKUP(2,1/((Budgets!$A$2:$A$200=AR$1)*(Budgets!$B$2:$B$200&lt;EDATE($A2,1))),Budgets!$C$2:$C$200),0))</f>
        <v/>
      </c>
      <c r="AS2" s="23">
        <f>IF(OR(AS$1="",$BM2=0),"",IFERROR(LOOKUP(2,1/((Budgets!$A$2:$A$200=AS$1)*(Budgets!$B$2:$B$200&lt;EDATE($A2,1))),Budgets!$C$2:$C$200),0))</f>
        <v/>
      </c>
      <c r="AT2" s="23">
        <f>IF(OR(AT$1="",$BM2=0),"",IFERROR(LOOKUP(2,1/((Budgets!$A$2:$A$200=AT$1)*(Budgets!$B$2:$B$200&lt;EDATE($A2,1))),Budgets!$C$2:$C$200),0))</f>
        <v/>
      </c>
      <c r="AU2" s="23">
        <f>IF(OR(AU$1="",$BM2=0),"",IFERROR(LOOKUP(2,1/((Budgets!$A$2:$A$200=AU$1)*(Budgets!$B$2:$B$200&lt;EDATE($A2,1))),Budgets!$C$2:$C$200),0))</f>
        <v/>
      </c>
      <c r="AV2" s="23">
        <f>IF(OR(AV$1="",$BM2=0),"",IFERROR(LOOKUP(2,1/((Budgets!$A$2:$A$200=AV$1)*(Budgets!$B$2:$B$200&lt;EDATE($A2,1))),Budgets!$C$2:$C$200),0))</f>
        <v/>
      </c>
      <c r="AW2" s="23">
        <f>IF(OR(AW$1="",$BM2=0),"",IFERROR(LOOKUP(2,1/((Budgets!$A$2:$A$200=AW$1)*(Budgets!$B$2:$B$200&lt;EDATE($A2,1))),Budgets!$C$2:$C$200),0))</f>
        <v/>
      </c>
      <c r="AX2" s="23">
        <f>IF(OR(AX$1="",$BM2=0),"",IFERROR(LOOKUP(2,1/((Budgets!$A$2:$A$200=AX$1)*(Budgets!$B$2:$B$200&lt;EDATE($A2,1))),Budgets!$C$2:$C$200),0))</f>
        <v/>
      </c>
      <c r="AY2" s="23">
        <f>IF(OR(AY$1="",$BM2=0),"",IFERROR(LOOKUP(2,1/((Budgets!$A$2:$A$200=AY$1)*(Budgets!$B$2:$B$200&lt;EDATE($A2,1))),Budgets!$C$2:$C$200),0))</f>
        <v/>
      </c>
      <c r="AZ2" s="23">
        <f>IF(OR(AZ$1="",$BM2=0),"",IFERROR(LOOKUP(2,1/((Budgets!$A$2:$A$200=AZ$1)*(Budgets!$B$2:$B$200&lt;EDATE($A2,1))),Budgets!$C$2:$C$200),0))</f>
        <v/>
      </c>
      <c r="BA2" s="23">
        <f>IF(OR(BA$1="",$BM2=0),"",IFERROR(LOOKUP(2,1/((Budgets!$A$2:$A$200=BA$1)*(Budgets!$B$2:$B$200&lt;EDATE($A2,1))),Budgets!$C$2:$C$200),0))</f>
        <v/>
      </c>
      <c r="BB2" s="23">
        <f>IF(OR(BB$1="",$BM2=0),"",IFERROR(LOOKUP(2,1/((Budgets!$A$2:$A$200=BB$1)*(Budgets!$B$2:$B$200&lt;EDATE($A2,1))),Budgets!$C$2:$C$200),0))</f>
        <v/>
      </c>
      <c r="BC2" s="23">
        <f>IF(OR(BC$1="",$BM2=0),"",IFERROR(LOOKUP(2,1/((Budgets!$A$2:$A$200=BC$1)*(Budgets!$B$2:$B$200&lt;EDATE($A2,1))),Budgets!$C$2:$C$200),0))</f>
        <v/>
      </c>
      <c r="BD2" s="23">
        <f>IF(OR(BD$1="",$BM2=0),"",IFERROR(LOOKUP(2,1/((Budgets!$A$2:$A$200=BD$1)*(Budgets!$B$2:$B$200&lt;EDATE($A2,1))),Budgets!$C$2:$C$200),0))</f>
        <v/>
      </c>
      <c r="BE2" s="23">
        <f>IF(OR(BE$1="",$BM2=0),"",IFERROR(LOOKUP(2,1/((Budgets!$A$2:$A$200=BE$1)*(Budgets!$B$2:$B$200&lt;EDATE($A2,1))),Budgets!$C$2:$C$200),0))</f>
        <v/>
      </c>
      <c r="BF2" s="23">
        <f>IF(OR(BF$1="",$BM2=0),"",IFERROR(LOOKUP(2,1/((Budgets!$A$2:$A$200=BF$1)*(Budgets!$B$2:$B$200&lt;EDATE($A2,1))),Budgets!$C$2:$C$200),0))</f>
        <v/>
      </c>
      <c r="BG2" s="23">
        <f>IF(OR(BG$1="",$BM2=0),"",IFERROR(LOOKUP(2,1/((Budgets!$A$2:$A$200=BG$1)*(Budgets!$B$2:$B$200&lt;EDATE($A2,1))),Budgets!$C$2:$C$200),0))</f>
        <v/>
      </c>
      <c r="BH2" s="23">
        <f>IF(OR(BH$1="",$BM2=0),"",IFERROR(LOOKUP(2,1/((Budgets!$A$2:$A$200=BH$1)*(Budgets!$B$2:$B$200&lt;EDATE($A2,1))),Budgets!$C$2:$C$200),0))</f>
        <v/>
      </c>
      <c r="BI2" s="23">
        <f>IF(OR(BI$1="",$BM2=0),"",IFERROR(LOOKUP(2,1/((Budgets!$A$2:$A$200=BI$1)*(Budgets!$B$2:$B$200&lt;EDATE($A2,1))),Budgets!$C$2:$C$200),0))</f>
        <v/>
      </c>
      <c r="BJ2" s="23">
        <f>IF(OR(BJ$1="",$BM2=0),"",IFERROR(LOOKUP(2,1/((Budgets!$A$2:$A$200=BJ$1)*(Budgets!$B$2:$B$200&lt;EDATE($A2,1))),Budgets!$C$2:$C$200),0))</f>
        <v/>
      </c>
      <c r="BK2" s="23">
        <f>IF(OR(BK$1="",$BM2=0),"",IFERROR(LOOKUP(2,1/((Budgets!$A$2:$A$200=BK$1)*(Budgets!$B$2:$B$200&lt;EDATE($A2,1))),Budgets!$C$2:$C$200),0))</f>
        <v/>
      </c>
      <c r="BM2" s="21">
        <f>COUNTIFS(Entries!$A$2:$A$5000,"&gt;="&amp;$A2,Entries!$A$2:$A$5000,"&lt;"&amp;EDATE($A2,1))</f>
        <v/>
      </c>
    </row>
    <row r="3">
      <c r="A3" s="22" t="n">
        <v>39479</v>
      </c>
      <c r="B3" s="23">
        <f>IF($BM3=0,NA(),SUMIFS(Entries!$E$2:$E$5000,Entries!$C$2:$C$5000,"Income",Entries!$A$2:$A$5000,"&gt;="&amp;$A3,Entries!$A$2:$A$5000,"&lt;"&amp;EDATE($A3,1)))</f>
        <v/>
      </c>
      <c r="C3" s="23">
        <f>IF($BM3=0,"",SUMIFS(Entries!$E$2:$E$5000,Entries!$C$2:$C$5000,"Actual",Entries!$A$2:$A$5000,"&gt;="&amp;$A3,Entries!$A$2:$A$5000,"&lt;"&amp;EDATE($A3,1)))</f>
        <v/>
      </c>
      <c r="D3" s="23">
        <f>IF($BM3=0,"",SUMIFS(Entries!$E$2:$E$5000,Entries!$C$2:$C$5000,"One-off",Entries!$A$2:$A$5000,"&gt;="&amp;$A3,Entries!$A$2:$A$5000,"&lt;"&amp;EDATE($A3,1)))</f>
        <v/>
      </c>
      <c r="E3" s="23">
        <f>IF($BM3=0,NA(),C3+D3)</f>
        <v/>
      </c>
      <c r="F3" s="23">
        <f>IF($BM3=0,"",SUM(AR3:BK3))</f>
        <v/>
      </c>
      <c r="G3" s="23">
        <f>IF($BM3=0,"",B3-E3)</f>
        <v/>
      </c>
      <c r="H3" s="23">
        <f>IF($BM3=0,"",SUM($G$2:G3))</f>
        <v/>
      </c>
      <c r="I3" s="23">
        <f>IF($BM3=0,"",SUMIFS(Entries!$G$2:$G$5000,Entries!$A$2:$A$5000,"&gt;="&amp;$A3,Entries!$A$2:$A$5000,"&lt;"&amp;EDATE($A3,1)))</f>
        <v/>
      </c>
      <c r="J3" s="23">
        <f>IF($BM3=0,NA(),H3)</f>
        <v/>
      </c>
      <c r="K3" s="23">
        <f>""</f>
        <v/>
      </c>
      <c r="L3" s="23">
        <f>""</f>
        <v/>
      </c>
      <c r="M3" s="24">
        <f>NA()</f>
        <v/>
      </c>
      <c r="N3" s="23">
        <f>IF($BM3=0,NA(),SUMIFS(Entries!$E$2:$E$5000,Entries!$D$2:$D$5000,"Core",Entries!$A$2:$A$5000,"&gt;="&amp;$A3,Entries!$A$2:$A$5000,"&lt;"&amp;EDATE($A3,1)))</f>
        <v/>
      </c>
      <c r="O3" s="23">
        <f>IF($BM3=0,NA(),SUMIFS(Entries!$E$2:$E$5000,Entries!$D$2:$D$5000,"Over &amp; above",Entries!$A$2:$A$5000,"&gt;="&amp;$A3,Entries!$A$2:$A$5000,"&lt;"&amp;EDATE($A3,1)))</f>
        <v/>
      </c>
      <c r="P3" s="23">
        <f>IF($BM3=0,NA(),SUMIFS(Entries!$E$2:$E$5000,Entries!$D$2:$D$5000,"One-off",Entries!$A$2:$A$5000,"&gt;="&amp;$A3,Entries!$A$2:$A$5000,"&lt;"&amp;EDATE($A3,1)))</f>
        <v/>
      </c>
      <c r="Q3" s="23">
        <f>IF($BM3=0,NA(),SUMIFS(Entries!$E$2:$E$5000,Entries!$D$2:$D$5000,"Reimbursable",Entries!$A$2:$A$5000,"&gt;="&amp;$A3,Entries!$A$2:$A$5000,"&lt;"&amp;EDATE($A3,1)))</f>
        <v/>
      </c>
      <c r="R3" s="23">
        <f>IF($BM3=0,NA(),SUMIFS(Entries!$E$2:$E$5000,Entries!$D$2:$D$5000,"Investment",Entries!$A$2:$A$5000,"&gt;="&amp;$A3,Entries!$A$2:$A$5000,"&lt;"&amp;EDATE($A3,1)))</f>
        <v/>
      </c>
      <c r="S3" s="23">
        <f>IF($BM3=0,NA(),N3+O3)</f>
        <v/>
      </c>
      <c r="T3" s="23">
        <f>IF($BM3=0,"",E3-Q3)</f>
        <v/>
      </c>
      <c r="W3" s="23">
        <f>IF(OR(W$1="",$BM3=0),"",SUMIFS(Entries!$E$2:$E$5000,Entries!$C$2:$C$5000,"Actual",Entries!$A$2:$A$5000,"&gt;="&amp;$A3,Entries!$A$2:$A$5000,"&lt;"&amp;EDATE($A3,1),Entries!$B$2:$B$5000,W$1))</f>
        <v/>
      </c>
      <c r="X3" s="23">
        <f>IF(OR(X$1="",$BM3=0),"",SUMIFS(Entries!$E$2:$E$5000,Entries!$C$2:$C$5000,"Actual",Entries!$A$2:$A$5000,"&gt;="&amp;$A3,Entries!$A$2:$A$5000,"&lt;"&amp;EDATE($A3,1),Entries!$B$2:$B$5000,X$1))</f>
        <v/>
      </c>
      <c r="Y3" s="23">
        <f>IF(OR(Y$1="",$BM3=0),"",SUMIFS(Entries!$E$2:$E$5000,Entries!$C$2:$C$5000,"Actual",Entries!$A$2:$A$5000,"&gt;="&amp;$A3,Entries!$A$2:$A$5000,"&lt;"&amp;EDATE($A3,1),Entries!$B$2:$B$5000,Y$1))</f>
        <v/>
      </c>
      <c r="Z3" s="23">
        <f>IF(OR(Z$1="",$BM3=0),"",SUMIFS(Entries!$E$2:$E$5000,Entries!$C$2:$C$5000,"Actual",Entries!$A$2:$A$5000,"&gt;="&amp;$A3,Entries!$A$2:$A$5000,"&lt;"&amp;EDATE($A3,1),Entries!$B$2:$B$5000,Z$1))</f>
        <v/>
      </c>
      <c r="AA3" s="23">
        <f>IF(OR(AA$1="",$BM3=0),"",SUMIFS(Entries!$E$2:$E$5000,Entries!$C$2:$C$5000,"Actual",Entries!$A$2:$A$5000,"&gt;="&amp;$A3,Entries!$A$2:$A$5000,"&lt;"&amp;EDATE($A3,1),Entries!$B$2:$B$5000,AA$1))</f>
        <v/>
      </c>
      <c r="AB3" s="23">
        <f>IF(OR(AB$1="",$BM3=0),"",SUMIFS(Entries!$E$2:$E$5000,Entries!$C$2:$C$5000,"Actual",Entries!$A$2:$A$5000,"&gt;="&amp;$A3,Entries!$A$2:$A$5000,"&lt;"&amp;EDATE($A3,1),Entries!$B$2:$B$5000,AB$1))</f>
        <v/>
      </c>
      <c r="AC3" s="23">
        <f>IF(OR(AC$1="",$BM3=0),"",SUMIFS(Entries!$E$2:$E$5000,Entries!$C$2:$C$5000,"Actual",Entries!$A$2:$A$5000,"&gt;="&amp;$A3,Entries!$A$2:$A$5000,"&lt;"&amp;EDATE($A3,1),Entries!$B$2:$B$5000,AC$1))</f>
        <v/>
      </c>
      <c r="AD3" s="23">
        <f>IF(OR(AD$1="",$BM3=0),"",SUMIFS(Entries!$E$2:$E$5000,Entries!$C$2:$C$5000,"Actual",Entries!$A$2:$A$5000,"&gt;="&amp;$A3,Entries!$A$2:$A$5000,"&lt;"&amp;EDATE($A3,1),Entries!$B$2:$B$5000,AD$1))</f>
        <v/>
      </c>
      <c r="AE3" s="23">
        <f>IF(OR(AE$1="",$BM3=0),"",SUMIFS(Entries!$E$2:$E$5000,Entries!$C$2:$C$5000,"Actual",Entries!$A$2:$A$5000,"&gt;="&amp;$A3,Entries!$A$2:$A$5000,"&lt;"&amp;EDATE($A3,1),Entries!$B$2:$B$5000,AE$1))</f>
        <v/>
      </c>
      <c r="AF3" s="23">
        <f>IF(OR(AF$1="",$BM3=0),"",SUMIFS(Entries!$E$2:$E$5000,Entries!$C$2:$C$5000,"Actual",Entries!$A$2:$A$5000,"&gt;="&amp;$A3,Entries!$A$2:$A$5000,"&lt;"&amp;EDATE($A3,1),Entries!$B$2:$B$5000,AF$1))</f>
        <v/>
      </c>
      <c r="AG3" s="23">
        <f>IF(OR(AG$1="",$BM3=0),"",SUMIFS(Entries!$E$2:$E$5000,Entries!$C$2:$C$5000,"Actual",Entries!$A$2:$A$5000,"&gt;="&amp;$A3,Entries!$A$2:$A$5000,"&lt;"&amp;EDATE($A3,1),Entries!$B$2:$B$5000,AG$1))</f>
        <v/>
      </c>
      <c r="AH3" s="23">
        <f>IF(OR(AH$1="",$BM3=0),"",SUMIFS(Entries!$E$2:$E$5000,Entries!$C$2:$C$5000,"Actual",Entries!$A$2:$A$5000,"&gt;="&amp;$A3,Entries!$A$2:$A$5000,"&lt;"&amp;EDATE($A3,1),Entries!$B$2:$B$5000,AH$1))</f>
        <v/>
      </c>
      <c r="AI3" s="23">
        <f>IF(OR(AI$1="",$BM3=0),"",SUMIFS(Entries!$E$2:$E$5000,Entries!$C$2:$C$5000,"Actual",Entries!$A$2:$A$5000,"&gt;="&amp;$A3,Entries!$A$2:$A$5000,"&lt;"&amp;EDATE($A3,1),Entries!$B$2:$B$5000,AI$1))</f>
        <v/>
      </c>
      <c r="AJ3" s="23">
        <f>IF(OR(AJ$1="",$BM3=0),"",SUMIFS(Entries!$E$2:$E$5000,Entries!$C$2:$C$5000,"Actual",Entries!$A$2:$A$5000,"&gt;="&amp;$A3,Entries!$A$2:$A$5000,"&lt;"&amp;EDATE($A3,1),Entries!$B$2:$B$5000,AJ$1))</f>
        <v/>
      </c>
      <c r="AK3" s="23">
        <f>IF(OR(AK$1="",$BM3=0),"",SUMIFS(Entries!$E$2:$E$5000,Entries!$C$2:$C$5000,"Actual",Entries!$A$2:$A$5000,"&gt;="&amp;$A3,Entries!$A$2:$A$5000,"&lt;"&amp;EDATE($A3,1),Entries!$B$2:$B$5000,AK$1))</f>
        <v/>
      </c>
      <c r="AL3" s="23">
        <f>IF(OR(AL$1="",$BM3=0),"",SUMIFS(Entries!$E$2:$E$5000,Entries!$C$2:$C$5000,"Actual",Entries!$A$2:$A$5000,"&gt;="&amp;$A3,Entries!$A$2:$A$5000,"&lt;"&amp;EDATE($A3,1),Entries!$B$2:$B$5000,AL$1))</f>
        <v/>
      </c>
      <c r="AM3" s="23">
        <f>IF(OR(AM$1="",$BM3=0),"",SUMIFS(Entries!$E$2:$E$5000,Entries!$C$2:$C$5000,"Actual",Entries!$A$2:$A$5000,"&gt;="&amp;$A3,Entries!$A$2:$A$5000,"&lt;"&amp;EDATE($A3,1),Entries!$B$2:$B$5000,AM$1))</f>
        <v/>
      </c>
      <c r="AN3" s="23">
        <f>IF(OR(AN$1="",$BM3=0),"",SUMIFS(Entries!$E$2:$E$5000,Entries!$C$2:$C$5000,"Actual",Entries!$A$2:$A$5000,"&gt;="&amp;$A3,Entries!$A$2:$A$5000,"&lt;"&amp;EDATE($A3,1),Entries!$B$2:$B$5000,AN$1))</f>
        <v/>
      </c>
      <c r="AO3" s="23">
        <f>IF(OR(AO$1="",$BM3=0),"",SUMIFS(Entries!$E$2:$E$5000,Entries!$C$2:$C$5000,"Actual",Entries!$A$2:$A$5000,"&gt;="&amp;$A3,Entries!$A$2:$A$5000,"&lt;"&amp;EDATE($A3,1),Entries!$B$2:$B$5000,AO$1))</f>
        <v/>
      </c>
      <c r="AP3" s="23">
        <f>IF(OR(AP$1="",$BM3=0),"",SUMIFS(Entries!$E$2:$E$5000,Entries!$C$2:$C$5000,"Actual",Entries!$A$2:$A$5000,"&gt;="&amp;$A3,Entries!$A$2:$A$5000,"&lt;"&amp;EDATE($A3,1),Entries!$B$2:$B$5000,AP$1))</f>
        <v/>
      </c>
      <c r="AR3" s="23">
        <f>IF(OR(AR$1="",$BM3=0),"",IFERROR(LOOKUP(2,1/((Budgets!$A$2:$A$200=AR$1)*(Budgets!$B$2:$B$200&lt;EDATE($A3,1))),Budgets!$C$2:$C$200),0))</f>
        <v/>
      </c>
      <c r="AS3" s="23">
        <f>IF(OR(AS$1="",$BM3=0),"",IFERROR(LOOKUP(2,1/((Budgets!$A$2:$A$200=AS$1)*(Budgets!$B$2:$B$200&lt;EDATE($A3,1))),Budgets!$C$2:$C$200),0))</f>
        <v/>
      </c>
      <c r="AT3" s="23">
        <f>IF(OR(AT$1="",$BM3=0),"",IFERROR(LOOKUP(2,1/((Budgets!$A$2:$A$200=AT$1)*(Budgets!$B$2:$B$200&lt;EDATE($A3,1))),Budgets!$C$2:$C$200),0))</f>
        <v/>
      </c>
      <c r="AU3" s="23">
        <f>IF(OR(AU$1="",$BM3=0),"",IFERROR(LOOKUP(2,1/((Budgets!$A$2:$A$200=AU$1)*(Budgets!$B$2:$B$200&lt;EDATE($A3,1))),Budgets!$C$2:$C$200),0))</f>
        <v/>
      </c>
      <c r="AV3" s="23">
        <f>IF(OR(AV$1="",$BM3=0),"",IFERROR(LOOKUP(2,1/((Budgets!$A$2:$A$200=AV$1)*(Budgets!$B$2:$B$200&lt;EDATE($A3,1))),Budgets!$C$2:$C$200),0))</f>
        <v/>
      </c>
      <c r="AW3" s="23">
        <f>IF(OR(AW$1="",$BM3=0),"",IFERROR(LOOKUP(2,1/((Budgets!$A$2:$A$200=AW$1)*(Budgets!$B$2:$B$200&lt;EDATE($A3,1))),Budgets!$C$2:$C$200),0))</f>
        <v/>
      </c>
      <c r="AX3" s="23">
        <f>IF(OR(AX$1="",$BM3=0),"",IFERROR(LOOKUP(2,1/((Budgets!$A$2:$A$200=AX$1)*(Budgets!$B$2:$B$200&lt;EDATE($A3,1))),Budgets!$C$2:$C$200),0))</f>
        <v/>
      </c>
      <c r="AY3" s="23">
        <f>IF(OR(AY$1="",$BM3=0),"",IFERROR(LOOKUP(2,1/((Budgets!$A$2:$A$200=AY$1)*(Budgets!$B$2:$B$200&lt;EDATE($A3,1))),Budgets!$C$2:$C$200),0))</f>
        <v/>
      </c>
      <c r="AZ3" s="23">
        <f>IF(OR(AZ$1="",$BM3=0),"",IFERROR(LOOKUP(2,1/((Budgets!$A$2:$A$200=AZ$1)*(Budgets!$B$2:$B$200&lt;EDATE($A3,1))),Budgets!$C$2:$C$200),0))</f>
        <v/>
      </c>
      <c r="BA3" s="23">
        <f>IF(OR(BA$1="",$BM3=0),"",IFERROR(LOOKUP(2,1/((Budgets!$A$2:$A$200=BA$1)*(Budgets!$B$2:$B$200&lt;EDATE($A3,1))),Budgets!$C$2:$C$200),0))</f>
        <v/>
      </c>
      <c r="BB3" s="23">
        <f>IF(OR(BB$1="",$BM3=0),"",IFERROR(LOOKUP(2,1/((Budgets!$A$2:$A$200=BB$1)*(Budgets!$B$2:$B$200&lt;EDATE($A3,1))),Budgets!$C$2:$C$200),0))</f>
        <v/>
      </c>
      <c r="BC3" s="23">
        <f>IF(OR(BC$1="",$BM3=0),"",IFERROR(LOOKUP(2,1/((Budgets!$A$2:$A$200=BC$1)*(Budgets!$B$2:$B$200&lt;EDATE($A3,1))),Budgets!$C$2:$C$200),0))</f>
        <v/>
      </c>
      <c r="BD3" s="23">
        <f>IF(OR(BD$1="",$BM3=0),"",IFERROR(LOOKUP(2,1/((Budgets!$A$2:$A$200=BD$1)*(Budgets!$B$2:$B$200&lt;EDATE($A3,1))),Budgets!$C$2:$C$200),0))</f>
        <v/>
      </c>
      <c r="BE3" s="23">
        <f>IF(OR(BE$1="",$BM3=0),"",IFERROR(LOOKUP(2,1/((Budgets!$A$2:$A$200=BE$1)*(Budgets!$B$2:$B$200&lt;EDATE($A3,1))),Budgets!$C$2:$C$200),0))</f>
        <v/>
      </c>
      <c r="BF3" s="23">
        <f>IF(OR(BF$1="",$BM3=0),"",IFERROR(LOOKUP(2,1/((Budgets!$A$2:$A$200=BF$1)*(Budgets!$B$2:$B$200&lt;EDATE($A3,1))),Budgets!$C$2:$C$200),0))</f>
        <v/>
      </c>
      <c r="BG3" s="23">
        <f>IF(OR(BG$1="",$BM3=0),"",IFERROR(LOOKUP(2,1/((Budgets!$A$2:$A$200=BG$1)*(Budgets!$B$2:$B$200&lt;EDATE($A3,1))),Budgets!$C$2:$C$200),0))</f>
        <v/>
      </c>
      <c r="BH3" s="23">
        <f>IF(OR(BH$1="",$BM3=0),"",IFERROR(LOOKUP(2,1/((Budgets!$A$2:$A$200=BH$1)*(Budgets!$B$2:$B$200&lt;EDATE($A3,1))),Budgets!$C$2:$C$200),0))</f>
        <v/>
      </c>
      <c r="BI3" s="23">
        <f>IF(OR(BI$1="",$BM3=0),"",IFERROR(LOOKUP(2,1/((Budgets!$A$2:$A$200=BI$1)*(Budgets!$B$2:$B$200&lt;EDATE($A3,1))),Budgets!$C$2:$C$200),0))</f>
        <v/>
      </c>
      <c r="BJ3" s="23">
        <f>IF(OR(BJ$1="",$BM3=0),"",IFERROR(LOOKUP(2,1/((Budgets!$A$2:$A$200=BJ$1)*(Budgets!$B$2:$B$200&lt;EDATE($A3,1))),Budgets!$C$2:$C$200),0))</f>
        <v/>
      </c>
      <c r="BK3" s="23">
        <f>IF(OR(BK$1="",$BM3=0),"",IFERROR(LOOKUP(2,1/((Budgets!$A$2:$A$200=BK$1)*(Budgets!$B$2:$B$200&lt;EDATE($A3,1))),Budgets!$C$2:$C$200),0))</f>
        <v/>
      </c>
      <c r="BM3" s="21">
        <f>COUNTIFS(Entries!$A$2:$A$5000,"&gt;="&amp;$A3,Entries!$A$2:$A$5000,"&lt;"&amp;EDATE($A3,1))</f>
        <v/>
      </c>
    </row>
    <row r="4">
      <c r="A4" s="22" t="n">
        <v>39508</v>
      </c>
      <c r="B4" s="23">
        <f>IF($BM4=0,NA(),SUMIFS(Entries!$E$2:$E$5000,Entries!$C$2:$C$5000,"Income",Entries!$A$2:$A$5000,"&gt;="&amp;$A4,Entries!$A$2:$A$5000,"&lt;"&amp;EDATE($A4,1)))</f>
        <v/>
      </c>
      <c r="C4" s="23">
        <f>IF($BM4=0,"",SUMIFS(Entries!$E$2:$E$5000,Entries!$C$2:$C$5000,"Actual",Entries!$A$2:$A$5000,"&gt;="&amp;$A4,Entries!$A$2:$A$5000,"&lt;"&amp;EDATE($A4,1)))</f>
        <v/>
      </c>
      <c r="D4" s="23">
        <f>IF($BM4=0,"",SUMIFS(Entries!$E$2:$E$5000,Entries!$C$2:$C$5000,"One-off",Entries!$A$2:$A$5000,"&gt;="&amp;$A4,Entries!$A$2:$A$5000,"&lt;"&amp;EDATE($A4,1)))</f>
        <v/>
      </c>
      <c r="E4" s="23">
        <f>IF($BM4=0,NA(),C4+D4)</f>
        <v/>
      </c>
      <c r="F4" s="23">
        <f>IF($BM4=0,"",SUM(AR4:BK4))</f>
        <v/>
      </c>
      <c r="G4" s="23">
        <f>IF($BM4=0,"",B4-E4)</f>
        <v/>
      </c>
      <c r="H4" s="23">
        <f>IF($BM4=0,"",SUM($G$2:G4))</f>
        <v/>
      </c>
      <c r="I4" s="23">
        <f>IF($BM4=0,"",SUMIFS(Entries!$G$2:$G$5000,Entries!$A$2:$A$5000,"&gt;="&amp;$A4,Entries!$A$2:$A$5000,"&lt;"&amp;EDATE($A4,1)))</f>
        <v/>
      </c>
      <c r="J4" s="23">
        <f>IF($BM4=0,NA(),H4)</f>
        <v/>
      </c>
      <c r="K4" s="23">
        <f>""</f>
        <v/>
      </c>
      <c r="L4" s="23">
        <f>""</f>
        <v/>
      </c>
      <c r="M4" s="24">
        <f>NA()</f>
        <v/>
      </c>
      <c r="N4" s="23">
        <f>IF($BM4=0,NA(),SUMIFS(Entries!$E$2:$E$5000,Entries!$D$2:$D$5000,"Core",Entries!$A$2:$A$5000,"&gt;="&amp;$A4,Entries!$A$2:$A$5000,"&lt;"&amp;EDATE($A4,1)))</f>
        <v/>
      </c>
      <c r="O4" s="23">
        <f>IF($BM4=0,NA(),SUMIFS(Entries!$E$2:$E$5000,Entries!$D$2:$D$5000,"Over &amp; above",Entries!$A$2:$A$5000,"&gt;="&amp;$A4,Entries!$A$2:$A$5000,"&lt;"&amp;EDATE($A4,1)))</f>
        <v/>
      </c>
      <c r="P4" s="23">
        <f>IF($BM4=0,NA(),SUMIFS(Entries!$E$2:$E$5000,Entries!$D$2:$D$5000,"One-off",Entries!$A$2:$A$5000,"&gt;="&amp;$A4,Entries!$A$2:$A$5000,"&lt;"&amp;EDATE($A4,1)))</f>
        <v/>
      </c>
      <c r="Q4" s="23">
        <f>IF($BM4=0,NA(),SUMIFS(Entries!$E$2:$E$5000,Entries!$D$2:$D$5000,"Reimbursable",Entries!$A$2:$A$5000,"&gt;="&amp;$A4,Entries!$A$2:$A$5000,"&lt;"&amp;EDATE($A4,1)))</f>
        <v/>
      </c>
      <c r="R4" s="23">
        <f>IF($BM4=0,NA(),SUMIFS(Entries!$E$2:$E$5000,Entries!$D$2:$D$5000,"Investment",Entries!$A$2:$A$5000,"&gt;="&amp;$A4,Entries!$A$2:$A$5000,"&lt;"&amp;EDATE($A4,1)))</f>
        <v/>
      </c>
      <c r="S4" s="23">
        <f>IF($BM4=0,NA(),N4+O4)</f>
        <v/>
      </c>
      <c r="T4" s="23">
        <f>IF($BM4=0,"",E4-Q4)</f>
        <v/>
      </c>
      <c r="W4" s="23">
        <f>IF(OR(W$1="",$BM4=0),"",SUMIFS(Entries!$E$2:$E$5000,Entries!$C$2:$C$5000,"Actual",Entries!$A$2:$A$5000,"&gt;="&amp;$A4,Entries!$A$2:$A$5000,"&lt;"&amp;EDATE($A4,1),Entries!$B$2:$B$5000,W$1))</f>
        <v/>
      </c>
      <c r="X4" s="23">
        <f>IF(OR(X$1="",$BM4=0),"",SUMIFS(Entries!$E$2:$E$5000,Entries!$C$2:$C$5000,"Actual",Entries!$A$2:$A$5000,"&gt;="&amp;$A4,Entries!$A$2:$A$5000,"&lt;"&amp;EDATE($A4,1),Entries!$B$2:$B$5000,X$1))</f>
        <v/>
      </c>
      <c r="Y4" s="23">
        <f>IF(OR(Y$1="",$BM4=0),"",SUMIFS(Entries!$E$2:$E$5000,Entries!$C$2:$C$5000,"Actual",Entries!$A$2:$A$5000,"&gt;="&amp;$A4,Entries!$A$2:$A$5000,"&lt;"&amp;EDATE($A4,1),Entries!$B$2:$B$5000,Y$1))</f>
        <v/>
      </c>
      <c r="Z4" s="23">
        <f>IF(OR(Z$1="",$BM4=0),"",SUMIFS(Entries!$E$2:$E$5000,Entries!$C$2:$C$5000,"Actual",Entries!$A$2:$A$5000,"&gt;="&amp;$A4,Entries!$A$2:$A$5000,"&lt;"&amp;EDATE($A4,1),Entries!$B$2:$B$5000,Z$1))</f>
        <v/>
      </c>
      <c r="AA4" s="23">
        <f>IF(OR(AA$1="",$BM4=0),"",SUMIFS(Entries!$E$2:$E$5000,Entries!$C$2:$C$5000,"Actual",Entries!$A$2:$A$5000,"&gt;="&amp;$A4,Entries!$A$2:$A$5000,"&lt;"&amp;EDATE($A4,1),Entries!$B$2:$B$5000,AA$1))</f>
        <v/>
      </c>
      <c r="AB4" s="23">
        <f>IF(OR(AB$1="",$BM4=0),"",SUMIFS(Entries!$E$2:$E$5000,Entries!$C$2:$C$5000,"Actual",Entries!$A$2:$A$5000,"&gt;="&amp;$A4,Entries!$A$2:$A$5000,"&lt;"&amp;EDATE($A4,1),Entries!$B$2:$B$5000,AB$1))</f>
        <v/>
      </c>
      <c r="AC4" s="23">
        <f>IF(OR(AC$1="",$BM4=0),"",SUMIFS(Entries!$E$2:$E$5000,Entries!$C$2:$C$5000,"Actual",Entries!$A$2:$A$5000,"&gt;="&amp;$A4,Entries!$A$2:$A$5000,"&lt;"&amp;EDATE($A4,1),Entries!$B$2:$B$5000,AC$1))</f>
        <v/>
      </c>
      <c r="AD4" s="23">
        <f>IF(OR(AD$1="",$BM4=0),"",SUMIFS(Entries!$E$2:$E$5000,Entries!$C$2:$C$5000,"Actual",Entries!$A$2:$A$5000,"&gt;="&amp;$A4,Entries!$A$2:$A$5000,"&lt;"&amp;EDATE($A4,1),Entries!$B$2:$B$5000,AD$1))</f>
        <v/>
      </c>
      <c r="AE4" s="23">
        <f>IF(OR(AE$1="",$BM4=0),"",SUMIFS(Entries!$E$2:$E$5000,Entries!$C$2:$C$5000,"Actual",Entries!$A$2:$A$5000,"&gt;="&amp;$A4,Entries!$A$2:$A$5000,"&lt;"&amp;EDATE($A4,1),Entries!$B$2:$B$5000,AE$1))</f>
        <v/>
      </c>
      <c r="AF4" s="23">
        <f>IF(OR(AF$1="",$BM4=0),"",SUMIFS(Entries!$E$2:$E$5000,Entries!$C$2:$C$5000,"Actual",Entries!$A$2:$A$5000,"&gt;="&amp;$A4,Entries!$A$2:$A$5000,"&lt;"&amp;EDATE($A4,1),Entries!$B$2:$B$5000,AF$1))</f>
        <v/>
      </c>
      <c r="AG4" s="23">
        <f>IF(OR(AG$1="",$BM4=0),"",SUMIFS(Entries!$E$2:$E$5000,Entries!$C$2:$C$5000,"Actual",Entries!$A$2:$A$5000,"&gt;="&amp;$A4,Entries!$A$2:$A$5000,"&lt;"&amp;EDATE($A4,1),Entries!$B$2:$B$5000,AG$1))</f>
        <v/>
      </c>
      <c r="AH4" s="23">
        <f>IF(OR(AH$1="",$BM4=0),"",SUMIFS(Entries!$E$2:$E$5000,Entries!$C$2:$C$5000,"Actual",Entries!$A$2:$A$5000,"&gt;="&amp;$A4,Entries!$A$2:$A$5000,"&lt;"&amp;EDATE($A4,1),Entries!$B$2:$B$5000,AH$1))</f>
        <v/>
      </c>
      <c r="AI4" s="23">
        <f>IF(OR(AI$1="",$BM4=0),"",SUMIFS(Entries!$E$2:$E$5000,Entries!$C$2:$C$5000,"Actual",Entries!$A$2:$A$5000,"&gt;="&amp;$A4,Entries!$A$2:$A$5000,"&lt;"&amp;EDATE($A4,1),Entries!$B$2:$B$5000,AI$1))</f>
        <v/>
      </c>
      <c r="AJ4" s="23">
        <f>IF(OR(AJ$1="",$BM4=0),"",SUMIFS(Entries!$E$2:$E$5000,Entries!$C$2:$C$5000,"Actual",Entries!$A$2:$A$5000,"&gt;="&amp;$A4,Entries!$A$2:$A$5000,"&lt;"&amp;EDATE($A4,1),Entries!$B$2:$B$5000,AJ$1))</f>
        <v/>
      </c>
      <c r="AK4" s="23">
        <f>IF(OR(AK$1="",$BM4=0),"",SUMIFS(Entries!$E$2:$E$5000,Entries!$C$2:$C$5000,"Actual",Entries!$A$2:$A$5000,"&gt;="&amp;$A4,Entries!$A$2:$A$5000,"&lt;"&amp;EDATE($A4,1),Entries!$B$2:$B$5000,AK$1))</f>
        <v/>
      </c>
      <c r="AL4" s="23">
        <f>IF(OR(AL$1="",$BM4=0),"",SUMIFS(Entries!$E$2:$E$5000,Entries!$C$2:$C$5000,"Actual",Entries!$A$2:$A$5000,"&gt;="&amp;$A4,Entries!$A$2:$A$5000,"&lt;"&amp;EDATE($A4,1),Entries!$B$2:$B$5000,AL$1))</f>
        <v/>
      </c>
      <c r="AM4" s="23">
        <f>IF(OR(AM$1="",$BM4=0),"",SUMIFS(Entries!$E$2:$E$5000,Entries!$C$2:$C$5000,"Actual",Entries!$A$2:$A$5000,"&gt;="&amp;$A4,Entries!$A$2:$A$5000,"&lt;"&amp;EDATE($A4,1),Entries!$B$2:$B$5000,AM$1))</f>
        <v/>
      </c>
      <c r="AN4" s="23">
        <f>IF(OR(AN$1="",$BM4=0),"",SUMIFS(Entries!$E$2:$E$5000,Entries!$C$2:$C$5000,"Actual",Entries!$A$2:$A$5000,"&gt;="&amp;$A4,Entries!$A$2:$A$5000,"&lt;"&amp;EDATE($A4,1),Entries!$B$2:$B$5000,AN$1))</f>
        <v/>
      </c>
      <c r="AO4" s="23">
        <f>IF(OR(AO$1="",$BM4=0),"",SUMIFS(Entries!$E$2:$E$5000,Entries!$C$2:$C$5000,"Actual",Entries!$A$2:$A$5000,"&gt;="&amp;$A4,Entries!$A$2:$A$5000,"&lt;"&amp;EDATE($A4,1),Entries!$B$2:$B$5000,AO$1))</f>
        <v/>
      </c>
      <c r="AP4" s="23">
        <f>IF(OR(AP$1="",$BM4=0),"",SUMIFS(Entries!$E$2:$E$5000,Entries!$C$2:$C$5000,"Actual",Entries!$A$2:$A$5000,"&gt;="&amp;$A4,Entries!$A$2:$A$5000,"&lt;"&amp;EDATE($A4,1),Entries!$B$2:$B$5000,AP$1))</f>
        <v/>
      </c>
      <c r="AR4" s="23">
        <f>IF(OR(AR$1="",$BM4=0),"",IFERROR(LOOKUP(2,1/((Budgets!$A$2:$A$200=AR$1)*(Budgets!$B$2:$B$200&lt;EDATE($A4,1))),Budgets!$C$2:$C$200),0))</f>
        <v/>
      </c>
      <c r="AS4" s="23">
        <f>IF(OR(AS$1="",$BM4=0),"",IFERROR(LOOKUP(2,1/((Budgets!$A$2:$A$200=AS$1)*(Budgets!$B$2:$B$200&lt;EDATE($A4,1))),Budgets!$C$2:$C$200),0))</f>
        <v/>
      </c>
      <c r="AT4" s="23">
        <f>IF(OR(AT$1="",$BM4=0),"",IFERROR(LOOKUP(2,1/((Budgets!$A$2:$A$200=AT$1)*(Budgets!$B$2:$B$200&lt;EDATE($A4,1))),Budgets!$C$2:$C$200),0))</f>
        <v/>
      </c>
      <c r="AU4" s="23">
        <f>IF(OR(AU$1="",$BM4=0),"",IFERROR(LOOKUP(2,1/((Budgets!$A$2:$A$200=AU$1)*(Budgets!$B$2:$B$200&lt;EDATE($A4,1))),Budgets!$C$2:$C$200),0))</f>
        <v/>
      </c>
      <c r="AV4" s="23">
        <f>IF(OR(AV$1="",$BM4=0),"",IFERROR(LOOKUP(2,1/((Budgets!$A$2:$A$200=AV$1)*(Budgets!$B$2:$B$200&lt;EDATE($A4,1))),Budgets!$C$2:$C$200),0))</f>
        <v/>
      </c>
      <c r="AW4" s="23">
        <f>IF(OR(AW$1="",$BM4=0),"",IFERROR(LOOKUP(2,1/((Budgets!$A$2:$A$200=AW$1)*(Budgets!$B$2:$B$200&lt;EDATE($A4,1))),Budgets!$C$2:$C$200),0))</f>
        <v/>
      </c>
      <c r="AX4" s="23">
        <f>IF(OR(AX$1="",$BM4=0),"",IFERROR(LOOKUP(2,1/((Budgets!$A$2:$A$200=AX$1)*(Budgets!$B$2:$B$200&lt;EDATE($A4,1))),Budgets!$C$2:$C$200),0))</f>
        <v/>
      </c>
      <c r="AY4" s="23">
        <f>IF(OR(AY$1="",$BM4=0),"",IFERROR(LOOKUP(2,1/((Budgets!$A$2:$A$200=AY$1)*(Budgets!$B$2:$B$200&lt;EDATE($A4,1))),Budgets!$C$2:$C$200),0))</f>
        <v/>
      </c>
      <c r="AZ4" s="23">
        <f>IF(OR(AZ$1="",$BM4=0),"",IFERROR(LOOKUP(2,1/((Budgets!$A$2:$A$200=AZ$1)*(Budgets!$B$2:$B$200&lt;EDATE($A4,1))),Budgets!$C$2:$C$200),0))</f>
        <v/>
      </c>
      <c r="BA4" s="23">
        <f>IF(OR(BA$1="",$BM4=0),"",IFERROR(LOOKUP(2,1/((Budgets!$A$2:$A$200=BA$1)*(Budgets!$B$2:$B$200&lt;EDATE($A4,1))),Budgets!$C$2:$C$200),0))</f>
        <v/>
      </c>
      <c r="BB4" s="23">
        <f>IF(OR(BB$1="",$BM4=0),"",IFERROR(LOOKUP(2,1/((Budgets!$A$2:$A$200=BB$1)*(Budgets!$B$2:$B$200&lt;EDATE($A4,1))),Budgets!$C$2:$C$200),0))</f>
        <v/>
      </c>
      <c r="BC4" s="23">
        <f>IF(OR(BC$1="",$BM4=0),"",IFERROR(LOOKUP(2,1/((Budgets!$A$2:$A$200=BC$1)*(Budgets!$B$2:$B$200&lt;EDATE($A4,1))),Budgets!$C$2:$C$200),0))</f>
        <v/>
      </c>
      <c r="BD4" s="23">
        <f>IF(OR(BD$1="",$BM4=0),"",IFERROR(LOOKUP(2,1/((Budgets!$A$2:$A$200=BD$1)*(Budgets!$B$2:$B$200&lt;EDATE($A4,1))),Budgets!$C$2:$C$200),0))</f>
        <v/>
      </c>
      <c r="BE4" s="23">
        <f>IF(OR(BE$1="",$BM4=0),"",IFERROR(LOOKUP(2,1/((Budgets!$A$2:$A$200=BE$1)*(Budgets!$B$2:$B$200&lt;EDATE($A4,1))),Budgets!$C$2:$C$200),0))</f>
        <v/>
      </c>
      <c r="BF4" s="23">
        <f>IF(OR(BF$1="",$BM4=0),"",IFERROR(LOOKUP(2,1/((Budgets!$A$2:$A$200=BF$1)*(Budgets!$B$2:$B$200&lt;EDATE($A4,1))),Budgets!$C$2:$C$200),0))</f>
        <v/>
      </c>
      <c r="BG4" s="23">
        <f>IF(OR(BG$1="",$BM4=0),"",IFERROR(LOOKUP(2,1/((Budgets!$A$2:$A$200=BG$1)*(Budgets!$B$2:$B$200&lt;EDATE($A4,1))),Budgets!$C$2:$C$200),0))</f>
        <v/>
      </c>
      <c r="BH4" s="23">
        <f>IF(OR(BH$1="",$BM4=0),"",IFERROR(LOOKUP(2,1/((Budgets!$A$2:$A$200=BH$1)*(Budgets!$B$2:$B$200&lt;EDATE($A4,1))),Budgets!$C$2:$C$200),0))</f>
        <v/>
      </c>
      <c r="BI4" s="23">
        <f>IF(OR(BI$1="",$BM4=0),"",IFERROR(LOOKUP(2,1/((Budgets!$A$2:$A$200=BI$1)*(Budgets!$B$2:$B$200&lt;EDATE($A4,1))),Budgets!$C$2:$C$200),0))</f>
        <v/>
      </c>
      <c r="BJ4" s="23">
        <f>IF(OR(BJ$1="",$BM4=0),"",IFERROR(LOOKUP(2,1/((Budgets!$A$2:$A$200=BJ$1)*(Budgets!$B$2:$B$200&lt;EDATE($A4,1))),Budgets!$C$2:$C$200),0))</f>
        <v/>
      </c>
      <c r="BK4" s="23">
        <f>IF(OR(BK$1="",$BM4=0),"",IFERROR(LOOKUP(2,1/((Budgets!$A$2:$A$200=BK$1)*(Budgets!$B$2:$B$200&lt;EDATE($A4,1))),Budgets!$C$2:$C$200),0))</f>
        <v/>
      </c>
      <c r="BM4" s="21">
        <f>COUNTIFS(Entries!$A$2:$A$5000,"&gt;="&amp;$A4,Entries!$A$2:$A$5000,"&lt;"&amp;EDATE($A4,1))</f>
        <v/>
      </c>
    </row>
    <row r="5">
      <c r="A5" s="22" t="n">
        <v>39539</v>
      </c>
      <c r="B5" s="23">
        <f>IF($BM5=0,NA(),SUMIFS(Entries!$E$2:$E$5000,Entries!$C$2:$C$5000,"Income",Entries!$A$2:$A$5000,"&gt;="&amp;$A5,Entries!$A$2:$A$5000,"&lt;"&amp;EDATE($A5,1)))</f>
        <v/>
      </c>
      <c r="C5" s="23">
        <f>IF($BM5=0,"",SUMIFS(Entries!$E$2:$E$5000,Entries!$C$2:$C$5000,"Actual",Entries!$A$2:$A$5000,"&gt;="&amp;$A5,Entries!$A$2:$A$5000,"&lt;"&amp;EDATE($A5,1)))</f>
        <v/>
      </c>
      <c r="D5" s="23">
        <f>IF($BM5=0,"",SUMIFS(Entries!$E$2:$E$5000,Entries!$C$2:$C$5000,"One-off",Entries!$A$2:$A$5000,"&gt;="&amp;$A5,Entries!$A$2:$A$5000,"&lt;"&amp;EDATE($A5,1)))</f>
        <v/>
      </c>
      <c r="E5" s="23">
        <f>IF($BM5=0,NA(),C5+D5)</f>
        <v/>
      </c>
      <c r="F5" s="23">
        <f>IF($BM5=0,"",SUM(AR5:BK5))</f>
        <v/>
      </c>
      <c r="G5" s="23">
        <f>IF($BM5=0,"",B5-E5)</f>
        <v/>
      </c>
      <c r="H5" s="23">
        <f>IF($BM5=0,"",SUM($G$2:G5))</f>
        <v/>
      </c>
      <c r="I5" s="23">
        <f>IF($BM5=0,"",SUMIFS(Entries!$G$2:$G$5000,Entries!$A$2:$A$5000,"&gt;="&amp;$A5,Entries!$A$2:$A$5000,"&lt;"&amp;EDATE($A5,1)))</f>
        <v/>
      </c>
      <c r="J5" s="23">
        <f>IF($BM5=0,NA(),H5)</f>
        <v/>
      </c>
      <c r="K5" s="23">
        <f>""</f>
        <v/>
      </c>
      <c r="L5" s="23">
        <f>""</f>
        <v/>
      </c>
      <c r="M5" s="24">
        <f>NA()</f>
        <v/>
      </c>
      <c r="N5" s="23">
        <f>IF($BM5=0,NA(),SUMIFS(Entries!$E$2:$E$5000,Entries!$D$2:$D$5000,"Core",Entries!$A$2:$A$5000,"&gt;="&amp;$A5,Entries!$A$2:$A$5000,"&lt;"&amp;EDATE($A5,1)))</f>
        <v/>
      </c>
      <c r="O5" s="23">
        <f>IF($BM5=0,NA(),SUMIFS(Entries!$E$2:$E$5000,Entries!$D$2:$D$5000,"Over &amp; above",Entries!$A$2:$A$5000,"&gt;="&amp;$A5,Entries!$A$2:$A$5000,"&lt;"&amp;EDATE($A5,1)))</f>
        <v/>
      </c>
      <c r="P5" s="23">
        <f>IF($BM5=0,NA(),SUMIFS(Entries!$E$2:$E$5000,Entries!$D$2:$D$5000,"One-off",Entries!$A$2:$A$5000,"&gt;="&amp;$A5,Entries!$A$2:$A$5000,"&lt;"&amp;EDATE($A5,1)))</f>
        <v/>
      </c>
      <c r="Q5" s="23">
        <f>IF($BM5=0,NA(),SUMIFS(Entries!$E$2:$E$5000,Entries!$D$2:$D$5000,"Reimbursable",Entries!$A$2:$A$5000,"&gt;="&amp;$A5,Entries!$A$2:$A$5000,"&lt;"&amp;EDATE($A5,1)))</f>
        <v/>
      </c>
      <c r="R5" s="23">
        <f>IF($BM5=0,NA(),SUMIFS(Entries!$E$2:$E$5000,Entries!$D$2:$D$5000,"Investment",Entries!$A$2:$A$5000,"&gt;="&amp;$A5,Entries!$A$2:$A$5000,"&lt;"&amp;EDATE($A5,1)))</f>
        <v/>
      </c>
      <c r="S5" s="23">
        <f>IF($BM5=0,NA(),N5+O5)</f>
        <v/>
      </c>
      <c r="T5" s="23">
        <f>IF($BM5=0,"",E5-Q5)</f>
        <v/>
      </c>
      <c r="W5" s="23">
        <f>IF(OR(W$1="",$BM5=0),"",SUMIFS(Entries!$E$2:$E$5000,Entries!$C$2:$C$5000,"Actual",Entries!$A$2:$A$5000,"&gt;="&amp;$A5,Entries!$A$2:$A$5000,"&lt;"&amp;EDATE($A5,1),Entries!$B$2:$B$5000,W$1))</f>
        <v/>
      </c>
      <c r="X5" s="23">
        <f>IF(OR(X$1="",$BM5=0),"",SUMIFS(Entries!$E$2:$E$5000,Entries!$C$2:$C$5000,"Actual",Entries!$A$2:$A$5000,"&gt;="&amp;$A5,Entries!$A$2:$A$5000,"&lt;"&amp;EDATE($A5,1),Entries!$B$2:$B$5000,X$1))</f>
        <v/>
      </c>
      <c r="Y5" s="23">
        <f>IF(OR(Y$1="",$BM5=0),"",SUMIFS(Entries!$E$2:$E$5000,Entries!$C$2:$C$5000,"Actual",Entries!$A$2:$A$5000,"&gt;="&amp;$A5,Entries!$A$2:$A$5000,"&lt;"&amp;EDATE($A5,1),Entries!$B$2:$B$5000,Y$1))</f>
        <v/>
      </c>
      <c r="Z5" s="23">
        <f>IF(OR(Z$1="",$BM5=0),"",SUMIFS(Entries!$E$2:$E$5000,Entries!$C$2:$C$5000,"Actual",Entries!$A$2:$A$5000,"&gt;="&amp;$A5,Entries!$A$2:$A$5000,"&lt;"&amp;EDATE($A5,1),Entries!$B$2:$B$5000,Z$1))</f>
        <v/>
      </c>
      <c r="AA5" s="23">
        <f>IF(OR(AA$1="",$BM5=0),"",SUMIFS(Entries!$E$2:$E$5000,Entries!$C$2:$C$5000,"Actual",Entries!$A$2:$A$5000,"&gt;="&amp;$A5,Entries!$A$2:$A$5000,"&lt;"&amp;EDATE($A5,1),Entries!$B$2:$B$5000,AA$1))</f>
        <v/>
      </c>
      <c r="AB5" s="23">
        <f>IF(OR(AB$1="",$BM5=0),"",SUMIFS(Entries!$E$2:$E$5000,Entries!$C$2:$C$5000,"Actual",Entries!$A$2:$A$5000,"&gt;="&amp;$A5,Entries!$A$2:$A$5000,"&lt;"&amp;EDATE($A5,1),Entries!$B$2:$B$5000,AB$1))</f>
        <v/>
      </c>
      <c r="AC5" s="23">
        <f>IF(OR(AC$1="",$BM5=0),"",SUMIFS(Entries!$E$2:$E$5000,Entries!$C$2:$C$5000,"Actual",Entries!$A$2:$A$5000,"&gt;="&amp;$A5,Entries!$A$2:$A$5000,"&lt;"&amp;EDATE($A5,1),Entries!$B$2:$B$5000,AC$1))</f>
        <v/>
      </c>
      <c r="AD5" s="23">
        <f>IF(OR(AD$1="",$BM5=0),"",SUMIFS(Entries!$E$2:$E$5000,Entries!$C$2:$C$5000,"Actual",Entries!$A$2:$A$5000,"&gt;="&amp;$A5,Entries!$A$2:$A$5000,"&lt;"&amp;EDATE($A5,1),Entries!$B$2:$B$5000,AD$1))</f>
        <v/>
      </c>
      <c r="AE5" s="23">
        <f>IF(OR(AE$1="",$BM5=0),"",SUMIFS(Entries!$E$2:$E$5000,Entries!$C$2:$C$5000,"Actual",Entries!$A$2:$A$5000,"&gt;="&amp;$A5,Entries!$A$2:$A$5000,"&lt;"&amp;EDATE($A5,1),Entries!$B$2:$B$5000,AE$1))</f>
        <v/>
      </c>
      <c r="AF5" s="23">
        <f>IF(OR(AF$1="",$BM5=0),"",SUMIFS(Entries!$E$2:$E$5000,Entries!$C$2:$C$5000,"Actual",Entries!$A$2:$A$5000,"&gt;="&amp;$A5,Entries!$A$2:$A$5000,"&lt;"&amp;EDATE($A5,1),Entries!$B$2:$B$5000,AF$1))</f>
        <v/>
      </c>
      <c r="AG5" s="23">
        <f>IF(OR(AG$1="",$BM5=0),"",SUMIFS(Entries!$E$2:$E$5000,Entries!$C$2:$C$5000,"Actual",Entries!$A$2:$A$5000,"&gt;="&amp;$A5,Entries!$A$2:$A$5000,"&lt;"&amp;EDATE($A5,1),Entries!$B$2:$B$5000,AG$1))</f>
        <v/>
      </c>
      <c r="AH5" s="23">
        <f>IF(OR(AH$1="",$BM5=0),"",SUMIFS(Entries!$E$2:$E$5000,Entries!$C$2:$C$5000,"Actual",Entries!$A$2:$A$5000,"&gt;="&amp;$A5,Entries!$A$2:$A$5000,"&lt;"&amp;EDATE($A5,1),Entries!$B$2:$B$5000,AH$1))</f>
        <v/>
      </c>
      <c r="AI5" s="23">
        <f>IF(OR(AI$1="",$BM5=0),"",SUMIFS(Entries!$E$2:$E$5000,Entries!$C$2:$C$5000,"Actual",Entries!$A$2:$A$5000,"&gt;="&amp;$A5,Entries!$A$2:$A$5000,"&lt;"&amp;EDATE($A5,1),Entries!$B$2:$B$5000,AI$1))</f>
        <v/>
      </c>
      <c r="AJ5" s="23">
        <f>IF(OR(AJ$1="",$BM5=0),"",SUMIFS(Entries!$E$2:$E$5000,Entries!$C$2:$C$5000,"Actual",Entries!$A$2:$A$5000,"&gt;="&amp;$A5,Entries!$A$2:$A$5000,"&lt;"&amp;EDATE($A5,1),Entries!$B$2:$B$5000,AJ$1))</f>
        <v/>
      </c>
      <c r="AK5" s="23">
        <f>IF(OR(AK$1="",$BM5=0),"",SUMIFS(Entries!$E$2:$E$5000,Entries!$C$2:$C$5000,"Actual",Entries!$A$2:$A$5000,"&gt;="&amp;$A5,Entries!$A$2:$A$5000,"&lt;"&amp;EDATE($A5,1),Entries!$B$2:$B$5000,AK$1))</f>
        <v/>
      </c>
      <c r="AL5" s="23">
        <f>IF(OR(AL$1="",$BM5=0),"",SUMIFS(Entries!$E$2:$E$5000,Entries!$C$2:$C$5000,"Actual",Entries!$A$2:$A$5000,"&gt;="&amp;$A5,Entries!$A$2:$A$5000,"&lt;"&amp;EDATE($A5,1),Entries!$B$2:$B$5000,AL$1))</f>
        <v/>
      </c>
      <c r="AM5" s="23">
        <f>IF(OR(AM$1="",$BM5=0),"",SUMIFS(Entries!$E$2:$E$5000,Entries!$C$2:$C$5000,"Actual",Entries!$A$2:$A$5000,"&gt;="&amp;$A5,Entries!$A$2:$A$5000,"&lt;"&amp;EDATE($A5,1),Entries!$B$2:$B$5000,AM$1))</f>
        <v/>
      </c>
      <c r="AN5" s="23">
        <f>IF(OR(AN$1="",$BM5=0),"",SUMIFS(Entries!$E$2:$E$5000,Entries!$C$2:$C$5000,"Actual",Entries!$A$2:$A$5000,"&gt;="&amp;$A5,Entries!$A$2:$A$5000,"&lt;"&amp;EDATE($A5,1),Entries!$B$2:$B$5000,AN$1))</f>
        <v/>
      </c>
      <c r="AO5" s="23">
        <f>IF(OR(AO$1="",$BM5=0),"",SUMIFS(Entries!$E$2:$E$5000,Entries!$C$2:$C$5000,"Actual",Entries!$A$2:$A$5000,"&gt;="&amp;$A5,Entries!$A$2:$A$5000,"&lt;"&amp;EDATE($A5,1),Entries!$B$2:$B$5000,AO$1))</f>
        <v/>
      </c>
      <c r="AP5" s="23">
        <f>IF(OR(AP$1="",$BM5=0),"",SUMIFS(Entries!$E$2:$E$5000,Entries!$C$2:$C$5000,"Actual",Entries!$A$2:$A$5000,"&gt;="&amp;$A5,Entries!$A$2:$A$5000,"&lt;"&amp;EDATE($A5,1),Entries!$B$2:$B$5000,AP$1))</f>
        <v/>
      </c>
      <c r="AR5" s="23">
        <f>IF(OR(AR$1="",$BM5=0),"",IFERROR(LOOKUP(2,1/((Budgets!$A$2:$A$200=AR$1)*(Budgets!$B$2:$B$200&lt;EDATE($A5,1))),Budgets!$C$2:$C$200),0))</f>
        <v/>
      </c>
      <c r="AS5" s="23">
        <f>IF(OR(AS$1="",$BM5=0),"",IFERROR(LOOKUP(2,1/((Budgets!$A$2:$A$200=AS$1)*(Budgets!$B$2:$B$200&lt;EDATE($A5,1))),Budgets!$C$2:$C$200),0))</f>
        <v/>
      </c>
      <c r="AT5" s="23">
        <f>IF(OR(AT$1="",$BM5=0),"",IFERROR(LOOKUP(2,1/((Budgets!$A$2:$A$200=AT$1)*(Budgets!$B$2:$B$200&lt;EDATE($A5,1))),Budgets!$C$2:$C$200),0))</f>
        <v/>
      </c>
      <c r="AU5" s="23">
        <f>IF(OR(AU$1="",$BM5=0),"",IFERROR(LOOKUP(2,1/((Budgets!$A$2:$A$200=AU$1)*(Budgets!$B$2:$B$200&lt;EDATE($A5,1))),Budgets!$C$2:$C$200),0))</f>
        <v/>
      </c>
      <c r="AV5" s="23">
        <f>IF(OR(AV$1="",$BM5=0),"",IFERROR(LOOKUP(2,1/((Budgets!$A$2:$A$200=AV$1)*(Budgets!$B$2:$B$200&lt;EDATE($A5,1))),Budgets!$C$2:$C$200),0))</f>
        <v/>
      </c>
      <c r="AW5" s="23">
        <f>IF(OR(AW$1="",$BM5=0),"",IFERROR(LOOKUP(2,1/((Budgets!$A$2:$A$200=AW$1)*(Budgets!$B$2:$B$200&lt;EDATE($A5,1))),Budgets!$C$2:$C$200),0))</f>
        <v/>
      </c>
      <c r="AX5" s="23">
        <f>IF(OR(AX$1="",$BM5=0),"",IFERROR(LOOKUP(2,1/((Budgets!$A$2:$A$200=AX$1)*(Budgets!$B$2:$B$200&lt;EDATE($A5,1))),Budgets!$C$2:$C$200),0))</f>
        <v/>
      </c>
      <c r="AY5" s="23">
        <f>IF(OR(AY$1="",$BM5=0),"",IFERROR(LOOKUP(2,1/((Budgets!$A$2:$A$200=AY$1)*(Budgets!$B$2:$B$200&lt;EDATE($A5,1))),Budgets!$C$2:$C$200),0))</f>
        <v/>
      </c>
      <c r="AZ5" s="23">
        <f>IF(OR(AZ$1="",$BM5=0),"",IFERROR(LOOKUP(2,1/((Budgets!$A$2:$A$200=AZ$1)*(Budgets!$B$2:$B$200&lt;EDATE($A5,1))),Budgets!$C$2:$C$200),0))</f>
        <v/>
      </c>
      <c r="BA5" s="23">
        <f>IF(OR(BA$1="",$BM5=0),"",IFERROR(LOOKUP(2,1/((Budgets!$A$2:$A$200=BA$1)*(Budgets!$B$2:$B$200&lt;EDATE($A5,1))),Budgets!$C$2:$C$200),0))</f>
        <v/>
      </c>
      <c r="BB5" s="23">
        <f>IF(OR(BB$1="",$BM5=0),"",IFERROR(LOOKUP(2,1/((Budgets!$A$2:$A$200=BB$1)*(Budgets!$B$2:$B$200&lt;EDATE($A5,1))),Budgets!$C$2:$C$200),0))</f>
        <v/>
      </c>
      <c r="BC5" s="23">
        <f>IF(OR(BC$1="",$BM5=0),"",IFERROR(LOOKUP(2,1/((Budgets!$A$2:$A$200=BC$1)*(Budgets!$B$2:$B$200&lt;EDATE($A5,1))),Budgets!$C$2:$C$200),0))</f>
        <v/>
      </c>
      <c r="BD5" s="23">
        <f>IF(OR(BD$1="",$BM5=0),"",IFERROR(LOOKUP(2,1/((Budgets!$A$2:$A$200=BD$1)*(Budgets!$B$2:$B$200&lt;EDATE($A5,1))),Budgets!$C$2:$C$200),0))</f>
        <v/>
      </c>
      <c r="BE5" s="23">
        <f>IF(OR(BE$1="",$BM5=0),"",IFERROR(LOOKUP(2,1/((Budgets!$A$2:$A$200=BE$1)*(Budgets!$B$2:$B$200&lt;EDATE($A5,1))),Budgets!$C$2:$C$200),0))</f>
        <v/>
      </c>
      <c r="BF5" s="23">
        <f>IF(OR(BF$1="",$BM5=0),"",IFERROR(LOOKUP(2,1/((Budgets!$A$2:$A$200=BF$1)*(Budgets!$B$2:$B$200&lt;EDATE($A5,1))),Budgets!$C$2:$C$200),0))</f>
        <v/>
      </c>
      <c r="BG5" s="23">
        <f>IF(OR(BG$1="",$BM5=0),"",IFERROR(LOOKUP(2,1/((Budgets!$A$2:$A$200=BG$1)*(Budgets!$B$2:$B$200&lt;EDATE($A5,1))),Budgets!$C$2:$C$200),0))</f>
        <v/>
      </c>
      <c r="BH5" s="23">
        <f>IF(OR(BH$1="",$BM5=0),"",IFERROR(LOOKUP(2,1/((Budgets!$A$2:$A$200=BH$1)*(Budgets!$B$2:$B$200&lt;EDATE($A5,1))),Budgets!$C$2:$C$200),0))</f>
        <v/>
      </c>
      <c r="BI5" s="23">
        <f>IF(OR(BI$1="",$BM5=0),"",IFERROR(LOOKUP(2,1/((Budgets!$A$2:$A$200=BI$1)*(Budgets!$B$2:$B$200&lt;EDATE($A5,1))),Budgets!$C$2:$C$200),0))</f>
        <v/>
      </c>
      <c r="BJ5" s="23">
        <f>IF(OR(BJ$1="",$BM5=0),"",IFERROR(LOOKUP(2,1/((Budgets!$A$2:$A$200=BJ$1)*(Budgets!$B$2:$B$200&lt;EDATE($A5,1))),Budgets!$C$2:$C$200),0))</f>
        <v/>
      </c>
      <c r="BK5" s="23">
        <f>IF(OR(BK$1="",$BM5=0),"",IFERROR(LOOKUP(2,1/((Budgets!$A$2:$A$200=BK$1)*(Budgets!$B$2:$B$200&lt;EDATE($A5,1))),Budgets!$C$2:$C$200),0))</f>
        <v/>
      </c>
      <c r="BM5" s="21">
        <f>COUNTIFS(Entries!$A$2:$A$5000,"&gt;="&amp;$A5,Entries!$A$2:$A$5000,"&lt;"&amp;EDATE($A5,1))</f>
        <v/>
      </c>
    </row>
    <row r="6">
      <c r="A6" s="22" t="n">
        <v>39569</v>
      </c>
      <c r="B6" s="23">
        <f>IF($BM6=0,NA(),SUMIFS(Entries!$E$2:$E$5000,Entries!$C$2:$C$5000,"Income",Entries!$A$2:$A$5000,"&gt;="&amp;$A6,Entries!$A$2:$A$5000,"&lt;"&amp;EDATE($A6,1)))</f>
        <v/>
      </c>
      <c r="C6" s="23">
        <f>IF($BM6=0,"",SUMIFS(Entries!$E$2:$E$5000,Entries!$C$2:$C$5000,"Actual",Entries!$A$2:$A$5000,"&gt;="&amp;$A6,Entries!$A$2:$A$5000,"&lt;"&amp;EDATE($A6,1)))</f>
        <v/>
      </c>
      <c r="D6" s="23">
        <f>IF($BM6=0,"",SUMIFS(Entries!$E$2:$E$5000,Entries!$C$2:$C$5000,"One-off",Entries!$A$2:$A$5000,"&gt;="&amp;$A6,Entries!$A$2:$A$5000,"&lt;"&amp;EDATE($A6,1)))</f>
        <v/>
      </c>
      <c r="E6" s="23">
        <f>IF($BM6=0,NA(),C6+D6)</f>
        <v/>
      </c>
      <c r="F6" s="23">
        <f>IF($BM6=0,"",SUM(AR6:BK6))</f>
        <v/>
      </c>
      <c r="G6" s="23">
        <f>IF($BM6=0,"",B6-E6)</f>
        <v/>
      </c>
      <c r="H6" s="23">
        <f>IF($BM6=0,"",SUM($G$2:G6))</f>
        <v/>
      </c>
      <c r="I6" s="23">
        <f>IF($BM6=0,"",SUMIFS(Entries!$G$2:$G$5000,Entries!$A$2:$A$5000,"&gt;="&amp;$A6,Entries!$A$2:$A$5000,"&lt;"&amp;EDATE($A6,1)))</f>
        <v/>
      </c>
      <c r="J6" s="23">
        <f>IF($BM6=0,NA(),H6)</f>
        <v/>
      </c>
      <c r="K6" s="23">
        <f>""</f>
        <v/>
      </c>
      <c r="L6" s="23">
        <f>""</f>
        <v/>
      </c>
      <c r="M6" s="24">
        <f>NA()</f>
        <v/>
      </c>
      <c r="N6" s="23">
        <f>IF($BM6=0,NA(),SUMIFS(Entries!$E$2:$E$5000,Entries!$D$2:$D$5000,"Core",Entries!$A$2:$A$5000,"&gt;="&amp;$A6,Entries!$A$2:$A$5000,"&lt;"&amp;EDATE($A6,1)))</f>
        <v/>
      </c>
      <c r="O6" s="23">
        <f>IF($BM6=0,NA(),SUMIFS(Entries!$E$2:$E$5000,Entries!$D$2:$D$5000,"Over &amp; above",Entries!$A$2:$A$5000,"&gt;="&amp;$A6,Entries!$A$2:$A$5000,"&lt;"&amp;EDATE($A6,1)))</f>
        <v/>
      </c>
      <c r="P6" s="23">
        <f>IF($BM6=0,NA(),SUMIFS(Entries!$E$2:$E$5000,Entries!$D$2:$D$5000,"One-off",Entries!$A$2:$A$5000,"&gt;="&amp;$A6,Entries!$A$2:$A$5000,"&lt;"&amp;EDATE($A6,1)))</f>
        <v/>
      </c>
      <c r="Q6" s="23">
        <f>IF($BM6=0,NA(),SUMIFS(Entries!$E$2:$E$5000,Entries!$D$2:$D$5000,"Reimbursable",Entries!$A$2:$A$5000,"&gt;="&amp;$A6,Entries!$A$2:$A$5000,"&lt;"&amp;EDATE($A6,1)))</f>
        <v/>
      </c>
      <c r="R6" s="23">
        <f>IF($BM6=0,NA(),SUMIFS(Entries!$E$2:$E$5000,Entries!$D$2:$D$5000,"Investment",Entries!$A$2:$A$5000,"&gt;="&amp;$A6,Entries!$A$2:$A$5000,"&lt;"&amp;EDATE($A6,1)))</f>
        <v/>
      </c>
      <c r="S6" s="23">
        <f>IF($BM6=0,NA(),N6+O6)</f>
        <v/>
      </c>
      <c r="T6" s="23">
        <f>IF($BM6=0,"",E6-Q6)</f>
        <v/>
      </c>
      <c r="W6" s="23">
        <f>IF(OR(W$1="",$BM6=0),"",SUMIFS(Entries!$E$2:$E$5000,Entries!$C$2:$C$5000,"Actual",Entries!$A$2:$A$5000,"&gt;="&amp;$A6,Entries!$A$2:$A$5000,"&lt;"&amp;EDATE($A6,1),Entries!$B$2:$B$5000,W$1))</f>
        <v/>
      </c>
      <c r="X6" s="23">
        <f>IF(OR(X$1="",$BM6=0),"",SUMIFS(Entries!$E$2:$E$5000,Entries!$C$2:$C$5000,"Actual",Entries!$A$2:$A$5000,"&gt;="&amp;$A6,Entries!$A$2:$A$5000,"&lt;"&amp;EDATE($A6,1),Entries!$B$2:$B$5000,X$1))</f>
        <v/>
      </c>
      <c r="Y6" s="23">
        <f>IF(OR(Y$1="",$BM6=0),"",SUMIFS(Entries!$E$2:$E$5000,Entries!$C$2:$C$5000,"Actual",Entries!$A$2:$A$5000,"&gt;="&amp;$A6,Entries!$A$2:$A$5000,"&lt;"&amp;EDATE($A6,1),Entries!$B$2:$B$5000,Y$1))</f>
        <v/>
      </c>
      <c r="Z6" s="23">
        <f>IF(OR(Z$1="",$BM6=0),"",SUMIFS(Entries!$E$2:$E$5000,Entries!$C$2:$C$5000,"Actual",Entries!$A$2:$A$5000,"&gt;="&amp;$A6,Entries!$A$2:$A$5000,"&lt;"&amp;EDATE($A6,1),Entries!$B$2:$B$5000,Z$1))</f>
        <v/>
      </c>
      <c r="AA6" s="23">
        <f>IF(OR(AA$1="",$BM6=0),"",SUMIFS(Entries!$E$2:$E$5000,Entries!$C$2:$C$5000,"Actual",Entries!$A$2:$A$5000,"&gt;="&amp;$A6,Entries!$A$2:$A$5000,"&lt;"&amp;EDATE($A6,1),Entries!$B$2:$B$5000,AA$1))</f>
        <v/>
      </c>
      <c r="AB6" s="23">
        <f>IF(OR(AB$1="",$BM6=0),"",SUMIFS(Entries!$E$2:$E$5000,Entries!$C$2:$C$5000,"Actual",Entries!$A$2:$A$5000,"&gt;="&amp;$A6,Entries!$A$2:$A$5000,"&lt;"&amp;EDATE($A6,1),Entries!$B$2:$B$5000,AB$1))</f>
        <v/>
      </c>
      <c r="AC6" s="23">
        <f>IF(OR(AC$1="",$BM6=0),"",SUMIFS(Entries!$E$2:$E$5000,Entries!$C$2:$C$5000,"Actual",Entries!$A$2:$A$5000,"&gt;="&amp;$A6,Entries!$A$2:$A$5000,"&lt;"&amp;EDATE($A6,1),Entries!$B$2:$B$5000,AC$1))</f>
        <v/>
      </c>
      <c r="AD6" s="23">
        <f>IF(OR(AD$1="",$BM6=0),"",SUMIFS(Entries!$E$2:$E$5000,Entries!$C$2:$C$5000,"Actual",Entries!$A$2:$A$5000,"&gt;="&amp;$A6,Entries!$A$2:$A$5000,"&lt;"&amp;EDATE($A6,1),Entries!$B$2:$B$5000,AD$1))</f>
        <v/>
      </c>
      <c r="AE6" s="23">
        <f>IF(OR(AE$1="",$BM6=0),"",SUMIFS(Entries!$E$2:$E$5000,Entries!$C$2:$C$5000,"Actual",Entries!$A$2:$A$5000,"&gt;="&amp;$A6,Entries!$A$2:$A$5000,"&lt;"&amp;EDATE($A6,1),Entries!$B$2:$B$5000,AE$1))</f>
        <v/>
      </c>
      <c r="AF6" s="23">
        <f>IF(OR(AF$1="",$BM6=0),"",SUMIFS(Entries!$E$2:$E$5000,Entries!$C$2:$C$5000,"Actual",Entries!$A$2:$A$5000,"&gt;="&amp;$A6,Entries!$A$2:$A$5000,"&lt;"&amp;EDATE($A6,1),Entries!$B$2:$B$5000,AF$1))</f>
        <v/>
      </c>
      <c r="AG6" s="23">
        <f>IF(OR(AG$1="",$BM6=0),"",SUMIFS(Entries!$E$2:$E$5000,Entries!$C$2:$C$5000,"Actual",Entries!$A$2:$A$5000,"&gt;="&amp;$A6,Entries!$A$2:$A$5000,"&lt;"&amp;EDATE($A6,1),Entries!$B$2:$B$5000,AG$1))</f>
        <v/>
      </c>
      <c r="AH6" s="23">
        <f>IF(OR(AH$1="",$BM6=0),"",SUMIFS(Entries!$E$2:$E$5000,Entries!$C$2:$C$5000,"Actual",Entries!$A$2:$A$5000,"&gt;="&amp;$A6,Entries!$A$2:$A$5000,"&lt;"&amp;EDATE($A6,1),Entries!$B$2:$B$5000,AH$1))</f>
        <v/>
      </c>
      <c r="AI6" s="23">
        <f>IF(OR(AI$1="",$BM6=0),"",SUMIFS(Entries!$E$2:$E$5000,Entries!$C$2:$C$5000,"Actual",Entries!$A$2:$A$5000,"&gt;="&amp;$A6,Entries!$A$2:$A$5000,"&lt;"&amp;EDATE($A6,1),Entries!$B$2:$B$5000,AI$1))</f>
        <v/>
      </c>
      <c r="AJ6" s="23">
        <f>IF(OR(AJ$1="",$BM6=0),"",SUMIFS(Entries!$E$2:$E$5000,Entries!$C$2:$C$5000,"Actual",Entries!$A$2:$A$5000,"&gt;="&amp;$A6,Entries!$A$2:$A$5000,"&lt;"&amp;EDATE($A6,1),Entries!$B$2:$B$5000,AJ$1))</f>
        <v/>
      </c>
      <c r="AK6" s="23">
        <f>IF(OR(AK$1="",$BM6=0),"",SUMIFS(Entries!$E$2:$E$5000,Entries!$C$2:$C$5000,"Actual",Entries!$A$2:$A$5000,"&gt;="&amp;$A6,Entries!$A$2:$A$5000,"&lt;"&amp;EDATE($A6,1),Entries!$B$2:$B$5000,AK$1))</f>
        <v/>
      </c>
      <c r="AL6" s="23">
        <f>IF(OR(AL$1="",$BM6=0),"",SUMIFS(Entries!$E$2:$E$5000,Entries!$C$2:$C$5000,"Actual",Entries!$A$2:$A$5000,"&gt;="&amp;$A6,Entries!$A$2:$A$5000,"&lt;"&amp;EDATE($A6,1),Entries!$B$2:$B$5000,AL$1))</f>
        <v/>
      </c>
      <c r="AM6" s="23">
        <f>IF(OR(AM$1="",$BM6=0),"",SUMIFS(Entries!$E$2:$E$5000,Entries!$C$2:$C$5000,"Actual",Entries!$A$2:$A$5000,"&gt;="&amp;$A6,Entries!$A$2:$A$5000,"&lt;"&amp;EDATE($A6,1),Entries!$B$2:$B$5000,AM$1))</f>
        <v/>
      </c>
      <c r="AN6" s="23">
        <f>IF(OR(AN$1="",$BM6=0),"",SUMIFS(Entries!$E$2:$E$5000,Entries!$C$2:$C$5000,"Actual",Entries!$A$2:$A$5000,"&gt;="&amp;$A6,Entries!$A$2:$A$5000,"&lt;"&amp;EDATE($A6,1),Entries!$B$2:$B$5000,AN$1))</f>
        <v/>
      </c>
      <c r="AO6" s="23">
        <f>IF(OR(AO$1="",$BM6=0),"",SUMIFS(Entries!$E$2:$E$5000,Entries!$C$2:$C$5000,"Actual",Entries!$A$2:$A$5000,"&gt;="&amp;$A6,Entries!$A$2:$A$5000,"&lt;"&amp;EDATE($A6,1),Entries!$B$2:$B$5000,AO$1))</f>
        <v/>
      </c>
      <c r="AP6" s="23">
        <f>IF(OR(AP$1="",$BM6=0),"",SUMIFS(Entries!$E$2:$E$5000,Entries!$C$2:$C$5000,"Actual",Entries!$A$2:$A$5000,"&gt;="&amp;$A6,Entries!$A$2:$A$5000,"&lt;"&amp;EDATE($A6,1),Entries!$B$2:$B$5000,AP$1))</f>
        <v/>
      </c>
      <c r="AR6" s="23">
        <f>IF(OR(AR$1="",$BM6=0),"",IFERROR(LOOKUP(2,1/((Budgets!$A$2:$A$200=AR$1)*(Budgets!$B$2:$B$200&lt;EDATE($A6,1))),Budgets!$C$2:$C$200),0))</f>
        <v/>
      </c>
      <c r="AS6" s="23">
        <f>IF(OR(AS$1="",$BM6=0),"",IFERROR(LOOKUP(2,1/((Budgets!$A$2:$A$200=AS$1)*(Budgets!$B$2:$B$200&lt;EDATE($A6,1))),Budgets!$C$2:$C$200),0))</f>
        <v/>
      </c>
      <c r="AT6" s="23">
        <f>IF(OR(AT$1="",$BM6=0),"",IFERROR(LOOKUP(2,1/((Budgets!$A$2:$A$200=AT$1)*(Budgets!$B$2:$B$200&lt;EDATE($A6,1))),Budgets!$C$2:$C$200),0))</f>
        <v/>
      </c>
      <c r="AU6" s="23">
        <f>IF(OR(AU$1="",$BM6=0),"",IFERROR(LOOKUP(2,1/((Budgets!$A$2:$A$200=AU$1)*(Budgets!$B$2:$B$200&lt;EDATE($A6,1))),Budgets!$C$2:$C$200),0))</f>
        <v/>
      </c>
      <c r="AV6" s="23">
        <f>IF(OR(AV$1="",$BM6=0),"",IFERROR(LOOKUP(2,1/((Budgets!$A$2:$A$200=AV$1)*(Budgets!$B$2:$B$200&lt;EDATE($A6,1))),Budgets!$C$2:$C$200),0))</f>
        <v/>
      </c>
      <c r="AW6" s="23">
        <f>IF(OR(AW$1="",$BM6=0),"",IFERROR(LOOKUP(2,1/((Budgets!$A$2:$A$200=AW$1)*(Budgets!$B$2:$B$200&lt;EDATE($A6,1))),Budgets!$C$2:$C$200),0))</f>
        <v/>
      </c>
      <c r="AX6" s="23">
        <f>IF(OR(AX$1="",$BM6=0),"",IFERROR(LOOKUP(2,1/((Budgets!$A$2:$A$200=AX$1)*(Budgets!$B$2:$B$200&lt;EDATE($A6,1))),Budgets!$C$2:$C$200),0))</f>
        <v/>
      </c>
      <c r="AY6" s="23">
        <f>IF(OR(AY$1="",$BM6=0),"",IFERROR(LOOKUP(2,1/((Budgets!$A$2:$A$200=AY$1)*(Budgets!$B$2:$B$200&lt;EDATE($A6,1))),Budgets!$C$2:$C$200),0))</f>
        <v/>
      </c>
      <c r="AZ6" s="23">
        <f>IF(OR(AZ$1="",$BM6=0),"",IFERROR(LOOKUP(2,1/((Budgets!$A$2:$A$200=AZ$1)*(Budgets!$B$2:$B$200&lt;EDATE($A6,1))),Budgets!$C$2:$C$200),0))</f>
        <v/>
      </c>
      <c r="BA6" s="23">
        <f>IF(OR(BA$1="",$BM6=0),"",IFERROR(LOOKUP(2,1/((Budgets!$A$2:$A$200=BA$1)*(Budgets!$B$2:$B$200&lt;EDATE($A6,1))),Budgets!$C$2:$C$200),0))</f>
        <v/>
      </c>
      <c r="BB6" s="23">
        <f>IF(OR(BB$1="",$BM6=0),"",IFERROR(LOOKUP(2,1/((Budgets!$A$2:$A$200=BB$1)*(Budgets!$B$2:$B$200&lt;EDATE($A6,1))),Budgets!$C$2:$C$200),0))</f>
        <v/>
      </c>
      <c r="BC6" s="23">
        <f>IF(OR(BC$1="",$BM6=0),"",IFERROR(LOOKUP(2,1/((Budgets!$A$2:$A$200=BC$1)*(Budgets!$B$2:$B$200&lt;EDATE($A6,1))),Budgets!$C$2:$C$200),0))</f>
        <v/>
      </c>
      <c r="BD6" s="23">
        <f>IF(OR(BD$1="",$BM6=0),"",IFERROR(LOOKUP(2,1/((Budgets!$A$2:$A$200=BD$1)*(Budgets!$B$2:$B$200&lt;EDATE($A6,1))),Budgets!$C$2:$C$200),0))</f>
        <v/>
      </c>
      <c r="BE6" s="23">
        <f>IF(OR(BE$1="",$BM6=0),"",IFERROR(LOOKUP(2,1/((Budgets!$A$2:$A$200=BE$1)*(Budgets!$B$2:$B$200&lt;EDATE($A6,1))),Budgets!$C$2:$C$200),0))</f>
        <v/>
      </c>
      <c r="BF6" s="23">
        <f>IF(OR(BF$1="",$BM6=0),"",IFERROR(LOOKUP(2,1/((Budgets!$A$2:$A$200=BF$1)*(Budgets!$B$2:$B$200&lt;EDATE($A6,1))),Budgets!$C$2:$C$200),0))</f>
        <v/>
      </c>
      <c r="BG6" s="23">
        <f>IF(OR(BG$1="",$BM6=0),"",IFERROR(LOOKUP(2,1/((Budgets!$A$2:$A$200=BG$1)*(Budgets!$B$2:$B$200&lt;EDATE($A6,1))),Budgets!$C$2:$C$200),0))</f>
        <v/>
      </c>
      <c r="BH6" s="23">
        <f>IF(OR(BH$1="",$BM6=0),"",IFERROR(LOOKUP(2,1/((Budgets!$A$2:$A$200=BH$1)*(Budgets!$B$2:$B$200&lt;EDATE($A6,1))),Budgets!$C$2:$C$200),0))</f>
        <v/>
      </c>
      <c r="BI6" s="23">
        <f>IF(OR(BI$1="",$BM6=0),"",IFERROR(LOOKUP(2,1/((Budgets!$A$2:$A$200=BI$1)*(Budgets!$B$2:$B$200&lt;EDATE($A6,1))),Budgets!$C$2:$C$200),0))</f>
        <v/>
      </c>
      <c r="BJ6" s="23">
        <f>IF(OR(BJ$1="",$BM6=0),"",IFERROR(LOOKUP(2,1/((Budgets!$A$2:$A$200=BJ$1)*(Budgets!$B$2:$B$200&lt;EDATE($A6,1))),Budgets!$C$2:$C$200),0))</f>
        <v/>
      </c>
      <c r="BK6" s="23">
        <f>IF(OR(BK$1="",$BM6=0),"",IFERROR(LOOKUP(2,1/((Budgets!$A$2:$A$200=BK$1)*(Budgets!$B$2:$B$200&lt;EDATE($A6,1))),Budgets!$C$2:$C$200),0))</f>
        <v/>
      </c>
      <c r="BM6" s="21">
        <f>COUNTIFS(Entries!$A$2:$A$5000,"&gt;="&amp;$A6,Entries!$A$2:$A$5000,"&lt;"&amp;EDATE($A6,1))</f>
        <v/>
      </c>
    </row>
    <row r="7">
      <c r="A7" s="22" t="n">
        <v>39600</v>
      </c>
      <c r="B7" s="23">
        <f>IF($BM7=0,NA(),SUMIFS(Entries!$E$2:$E$5000,Entries!$C$2:$C$5000,"Income",Entries!$A$2:$A$5000,"&gt;="&amp;$A7,Entries!$A$2:$A$5000,"&lt;"&amp;EDATE($A7,1)))</f>
        <v/>
      </c>
      <c r="C7" s="23">
        <f>IF($BM7=0,"",SUMIFS(Entries!$E$2:$E$5000,Entries!$C$2:$C$5000,"Actual",Entries!$A$2:$A$5000,"&gt;="&amp;$A7,Entries!$A$2:$A$5000,"&lt;"&amp;EDATE($A7,1)))</f>
        <v/>
      </c>
      <c r="D7" s="23">
        <f>IF($BM7=0,"",SUMIFS(Entries!$E$2:$E$5000,Entries!$C$2:$C$5000,"One-off",Entries!$A$2:$A$5000,"&gt;="&amp;$A7,Entries!$A$2:$A$5000,"&lt;"&amp;EDATE($A7,1)))</f>
        <v/>
      </c>
      <c r="E7" s="23">
        <f>IF($BM7=0,NA(),C7+D7)</f>
        <v/>
      </c>
      <c r="F7" s="23">
        <f>IF($BM7=0,"",SUM(AR7:BK7))</f>
        <v/>
      </c>
      <c r="G7" s="23">
        <f>IF($BM7=0,"",B7-E7)</f>
        <v/>
      </c>
      <c r="H7" s="23">
        <f>IF($BM7=0,"",SUM($G$2:G7))</f>
        <v/>
      </c>
      <c r="I7" s="23">
        <f>IF($BM7=0,"",SUMIFS(Entries!$G$2:$G$5000,Entries!$A$2:$A$5000,"&gt;="&amp;$A7,Entries!$A$2:$A$5000,"&lt;"&amp;EDATE($A7,1)))</f>
        <v/>
      </c>
      <c r="J7" s="23">
        <f>IF($BM7=0,NA(),H7)</f>
        <v/>
      </c>
      <c r="K7" s="23">
        <f>""</f>
        <v/>
      </c>
      <c r="L7" s="23">
        <f>""</f>
        <v/>
      </c>
      <c r="M7" s="24">
        <f>NA()</f>
        <v/>
      </c>
      <c r="N7" s="23">
        <f>IF($BM7=0,NA(),SUMIFS(Entries!$E$2:$E$5000,Entries!$D$2:$D$5000,"Core",Entries!$A$2:$A$5000,"&gt;="&amp;$A7,Entries!$A$2:$A$5000,"&lt;"&amp;EDATE($A7,1)))</f>
        <v/>
      </c>
      <c r="O7" s="23">
        <f>IF($BM7=0,NA(),SUMIFS(Entries!$E$2:$E$5000,Entries!$D$2:$D$5000,"Over &amp; above",Entries!$A$2:$A$5000,"&gt;="&amp;$A7,Entries!$A$2:$A$5000,"&lt;"&amp;EDATE($A7,1)))</f>
        <v/>
      </c>
      <c r="P7" s="23">
        <f>IF($BM7=0,NA(),SUMIFS(Entries!$E$2:$E$5000,Entries!$D$2:$D$5000,"One-off",Entries!$A$2:$A$5000,"&gt;="&amp;$A7,Entries!$A$2:$A$5000,"&lt;"&amp;EDATE($A7,1)))</f>
        <v/>
      </c>
      <c r="Q7" s="23">
        <f>IF($BM7=0,NA(),SUMIFS(Entries!$E$2:$E$5000,Entries!$D$2:$D$5000,"Reimbursable",Entries!$A$2:$A$5000,"&gt;="&amp;$A7,Entries!$A$2:$A$5000,"&lt;"&amp;EDATE($A7,1)))</f>
        <v/>
      </c>
      <c r="R7" s="23">
        <f>IF($BM7=0,NA(),SUMIFS(Entries!$E$2:$E$5000,Entries!$D$2:$D$5000,"Investment",Entries!$A$2:$A$5000,"&gt;="&amp;$A7,Entries!$A$2:$A$5000,"&lt;"&amp;EDATE($A7,1)))</f>
        <v/>
      </c>
      <c r="S7" s="23">
        <f>IF($BM7=0,NA(),N7+O7)</f>
        <v/>
      </c>
      <c r="T7" s="23">
        <f>IF($BM7=0,"",E7-Q7)</f>
        <v/>
      </c>
      <c r="W7" s="23">
        <f>IF(OR(W$1="",$BM7=0),"",SUMIFS(Entries!$E$2:$E$5000,Entries!$C$2:$C$5000,"Actual",Entries!$A$2:$A$5000,"&gt;="&amp;$A7,Entries!$A$2:$A$5000,"&lt;"&amp;EDATE($A7,1),Entries!$B$2:$B$5000,W$1))</f>
        <v/>
      </c>
      <c r="X7" s="23">
        <f>IF(OR(X$1="",$BM7=0),"",SUMIFS(Entries!$E$2:$E$5000,Entries!$C$2:$C$5000,"Actual",Entries!$A$2:$A$5000,"&gt;="&amp;$A7,Entries!$A$2:$A$5000,"&lt;"&amp;EDATE($A7,1),Entries!$B$2:$B$5000,X$1))</f>
        <v/>
      </c>
      <c r="Y7" s="23">
        <f>IF(OR(Y$1="",$BM7=0),"",SUMIFS(Entries!$E$2:$E$5000,Entries!$C$2:$C$5000,"Actual",Entries!$A$2:$A$5000,"&gt;="&amp;$A7,Entries!$A$2:$A$5000,"&lt;"&amp;EDATE($A7,1),Entries!$B$2:$B$5000,Y$1))</f>
        <v/>
      </c>
      <c r="Z7" s="23">
        <f>IF(OR(Z$1="",$BM7=0),"",SUMIFS(Entries!$E$2:$E$5000,Entries!$C$2:$C$5000,"Actual",Entries!$A$2:$A$5000,"&gt;="&amp;$A7,Entries!$A$2:$A$5000,"&lt;"&amp;EDATE($A7,1),Entries!$B$2:$B$5000,Z$1))</f>
        <v/>
      </c>
      <c r="AA7" s="23">
        <f>IF(OR(AA$1="",$BM7=0),"",SUMIFS(Entries!$E$2:$E$5000,Entries!$C$2:$C$5000,"Actual",Entries!$A$2:$A$5000,"&gt;="&amp;$A7,Entries!$A$2:$A$5000,"&lt;"&amp;EDATE($A7,1),Entries!$B$2:$B$5000,AA$1))</f>
        <v/>
      </c>
      <c r="AB7" s="23">
        <f>IF(OR(AB$1="",$BM7=0),"",SUMIFS(Entries!$E$2:$E$5000,Entries!$C$2:$C$5000,"Actual",Entries!$A$2:$A$5000,"&gt;="&amp;$A7,Entries!$A$2:$A$5000,"&lt;"&amp;EDATE($A7,1),Entries!$B$2:$B$5000,AB$1))</f>
        <v/>
      </c>
      <c r="AC7" s="23">
        <f>IF(OR(AC$1="",$BM7=0),"",SUMIFS(Entries!$E$2:$E$5000,Entries!$C$2:$C$5000,"Actual",Entries!$A$2:$A$5000,"&gt;="&amp;$A7,Entries!$A$2:$A$5000,"&lt;"&amp;EDATE($A7,1),Entries!$B$2:$B$5000,AC$1))</f>
        <v/>
      </c>
      <c r="AD7" s="23">
        <f>IF(OR(AD$1="",$BM7=0),"",SUMIFS(Entries!$E$2:$E$5000,Entries!$C$2:$C$5000,"Actual",Entries!$A$2:$A$5000,"&gt;="&amp;$A7,Entries!$A$2:$A$5000,"&lt;"&amp;EDATE($A7,1),Entries!$B$2:$B$5000,AD$1))</f>
        <v/>
      </c>
      <c r="AE7" s="23">
        <f>IF(OR(AE$1="",$BM7=0),"",SUMIFS(Entries!$E$2:$E$5000,Entries!$C$2:$C$5000,"Actual",Entries!$A$2:$A$5000,"&gt;="&amp;$A7,Entries!$A$2:$A$5000,"&lt;"&amp;EDATE($A7,1),Entries!$B$2:$B$5000,AE$1))</f>
        <v/>
      </c>
      <c r="AF7" s="23">
        <f>IF(OR(AF$1="",$BM7=0),"",SUMIFS(Entries!$E$2:$E$5000,Entries!$C$2:$C$5000,"Actual",Entries!$A$2:$A$5000,"&gt;="&amp;$A7,Entries!$A$2:$A$5000,"&lt;"&amp;EDATE($A7,1),Entries!$B$2:$B$5000,AF$1))</f>
        <v/>
      </c>
      <c r="AG7" s="23">
        <f>IF(OR(AG$1="",$BM7=0),"",SUMIFS(Entries!$E$2:$E$5000,Entries!$C$2:$C$5000,"Actual",Entries!$A$2:$A$5000,"&gt;="&amp;$A7,Entries!$A$2:$A$5000,"&lt;"&amp;EDATE($A7,1),Entries!$B$2:$B$5000,AG$1))</f>
        <v/>
      </c>
      <c r="AH7" s="23">
        <f>IF(OR(AH$1="",$BM7=0),"",SUMIFS(Entries!$E$2:$E$5000,Entries!$C$2:$C$5000,"Actual",Entries!$A$2:$A$5000,"&gt;="&amp;$A7,Entries!$A$2:$A$5000,"&lt;"&amp;EDATE($A7,1),Entries!$B$2:$B$5000,AH$1))</f>
        <v/>
      </c>
      <c r="AI7" s="23">
        <f>IF(OR(AI$1="",$BM7=0),"",SUMIFS(Entries!$E$2:$E$5000,Entries!$C$2:$C$5000,"Actual",Entries!$A$2:$A$5000,"&gt;="&amp;$A7,Entries!$A$2:$A$5000,"&lt;"&amp;EDATE($A7,1),Entries!$B$2:$B$5000,AI$1))</f>
        <v/>
      </c>
      <c r="AJ7" s="23">
        <f>IF(OR(AJ$1="",$BM7=0),"",SUMIFS(Entries!$E$2:$E$5000,Entries!$C$2:$C$5000,"Actual",Entries!$A$2:$A$5000,"&gt;="&amp;$A7,Entries!$A$2:$A$5000,"&lt;"&amp;EDATE($A7,1),Entries!$B$2:$B$5000,AJ$1))</f>
        <v/>
      </c>
      <c r="AK7" s="23">
        <f>IF(OR(AK$1="",$BM7=0),"",SUMIFS(Entries!$E$2:$E$5000,Entries!$C$2:$C$5000,"Actual",Entries!$A$2:$A$5000,"&gt;="&amp;$A7,Entries!$A$2:$A$5000,"&lt;"&amp;EDATE($A7,1),Entries!$B$2:$B$5000,AK$1))</f>
        <v/>
      </c>
      <c r="AL7" s="23">
        <f>IF(OR(AL$1="",$BM7=0),"",SUMIFS(Entries!$E$2:$E$5000,Entries!$C$2:$C$5000,"Actual",Entries!$A$2:$A$5000,"&gt;="&amp;$A7,Entries!$A$2:$A$5000,"&lt;"&amp;EDATE($A7,1),Entries!$B$2:$B$5000,AL$1))</f>
        <v/>
      </c>
      <c r="AM7" s="23">
        <f>IF(OR(AM$1="",$BM7=0),"",SUMIFS(Entries!$E$2:$E$5000,Entries!$C$2:$C$5000,"Actual",Entries!$A$2:$A$5000,"&gt;="&amp;$A7,Entries!$A$2:$A$5000,"&lt;"&amp;EDATE($A7,1),Entries!$B$2:$B$5000,AM$1))</f>
        <v/>
      </c>
      <c r="AN7" s="23">
        <f>IF(OR(AN$1="",$BM7=0),"",SUMIFS(Entries!$E$2:$E$5000,Entries!$C$2:$C$5000,"Actual",Entries!$A$2:$A$5000,"&gt;="&amp;$A7,Entries!$A$2:$A$5000,"&lt;"&amp;EDATE($A7,1),Entries!$B$2:$B$5000,AN$1))</f>
        <v/>
      </c>
      <c r="AO7" s="23">
        <f>IF(OR(AO$1="",$BM7=0),"",SUMIFS(Entries!$E$2:$E$5000,Entries!$C$2:$C$5000,"Actual",Entries!$A$2:$A$5000,"&gt;="&amp;$A7,Entries!$A$2:$A$5000,"&lt;"&amp;EDATE($A7,1),Entries!$B$2:$B$5000,AO$1))</f>
        <v/>
      </c>
      <c r="AP7" s="23">
        <f>IF(OR(AP$1="",$BM7=0),"",SUMIFS(Entries!$E$2:$E$5000,Entries!$C$2:$C$5000,"Actual",Entries!$A$2:$A$5000,"&gt;="&amp;$A7,Entries!$A$2:$A$5000,"&lt;"&amp;EDATE($A7,1),Entries!$B$2:$B$5000,AP$1))</f>
        <v/>
      </c>
      <c r="AR7" s="23">
        <f>IF(OR(AR$1="",$BM7=0),"",IFERROR(LOOKUP(2,1/((Budgets!$A$2:$A$200=AR$1)*(Budgets!$B$2:$B$200&lt;EDATE($A7,1))),Budgets!$C$2:$C$200),0))</f>
        <v/>
      </c>
      <c r="AS7" s="23">
        <f>IF(OR(AS$1="",$BM7=0),"",IFERROR(LOOKUP(2,1/((Budgets!$A$2:$A$200=AS$1)*(Budgets!$B$2:$B$200&lt;EDATE($A7,1))),Budgets!$C$2:$C$200),0))</f>
        <v/>
      </c>
      <c r="AT7" s="23">
        <f>IF(OR(AT$1="",$BM7=0),"",IFERROR(LOOKUP(2,1/((Budgets!$A$2:$A$200=AT$1)*(Budgets!$B$2:$B$200&lt;EDATE($A7,1))),Budgets!$C$2:$C$200),0))</f>
        <v/>
      </c>
      <c r="AU7" s="23">
        <f>IF(OR(AU$1="",$BM7=0),"",IFERROR(LOOKUP(2,1/((Budgets!$A$2:$A$200=AU$1)*(Budgets!$B$2:$B$200&lt;EDATE($A7,1))),Budgets!$C$2:$C$200),0))</f>
        <v/>
      </c>
      <c r="AV7" s="23">
        <f>IF(OR(AV$1="",$BM7=0),"",IFERROR(LOOKUP(2,1/((Budgets!$A$2:$A$200=AV$1)*(Budgets!$B$2:$B$200&lt;EDATE($A7,1))),Budgets!$C$2:$C$200),0))</f>
        <v/>
      </c>
      <c r="AW7" s="23">
        <f>IF(OR(AW$1="",$BM7=0),"",IFERROR(LOOKUP(2,1/((Budgets!$A$2:$A$200=AW$1)*(Budgets!$B$2:$B$200&lt;EDATE($A7,1))),Budgets!$C$2:$C$200),0))</f>
        <v/>
      </c>
      <c r="AX7" s="23">
        <f>IF(OR(AX$1="",$BM7=0),"",IFERROR(LOOKUP(2,1/((Budgets!$A$2:$A$200=AX$1)*(Budgets!$B$2:$B$200&lt;EDATE($A7,1))),Budgets!$C$2:$C$200),0))</f>
        <v/>
      </c>
      <c r="AY7" s="23">
        <f>IF(OR(AY$1="",$BM7=0),"",IFERROR(LOOKUP(2,1/((Budgets!$A$2:$A$200=AY$1)*(Budgets!$B$2:$B$200&lt;EDATE($A7,1))),Budgets!$C$2:$C$200),0))</f>
        <v/>
      </c>
      <c r="AZ7" s="23">
        <f>IF(OR(AZ$1="",$BM7=0),"",IFERROR(LOOKUP(2,1/((Budgets!$A$2:$A$200=AZ$1)*(Budgets!$B$2:$B$200&lt;EDATE($A7,1))),Budgets!$C$2:$C$200),0))</f>
        <v/>
      </c>
      <c r="BA7" s="23">
        <f>IF(OR(BA$1="",$BM7=0),"",IFERROR(LOOKUP(2,1/((Budgets!$A$2:$A$200=BA$1)*(Budgets!$B$2:$B$200&lt;EDATE($A7,1))),Budgets!$C$2:$C$200),0))</f>
        <v/>
      </c>
      <c r="BB7" s="23">
        <f>IF(OR(BB$1="",$BM7=0),"",IFERROR(LOOKUP(2,1/((Budgets!$A$2:$A$200=BB$1)*(Budgets!$B$2:$B$200&lt;EDATE($A7,1))),Budgets!$C$2:$C$200),0))</f>
        <v/>
      </c>
      <c r="BC7" s="23">
        <f>IF(OR(BC$1="",$BM7=0),"",IFERROR(LOOKUP(2,1/((Budgets!$A$2:$A$200=BC$1)*(Budgets!$B$2:$B$200&lt;EDATE($A7,1))),Budgets!$C$2:$C$200),0))</f>
        <v/>
      </c>
      <c r="BD7" s="23">
        <f>IF(OR(BD$1="",$BM7=0),"",IFERROR(LOOKUP(2,1/((Budgets!$A$2:$A$200=BD$1)*(Budgets!$B$2:$B$200&lt;EDATE($A7,1))),Budgets!$C$2:$C$200),0))</f>
        <v/>
      </c>
      <c r="BE7" s="23">
        <f>IF(OR(BE$1="",$BM7=0),"",IFERROR(LOOKUP(2,1/((Budgets!$A$2:$A$200=BE$1)*(Budgets!$B$2:$B$200&lt;EDATE($A7,1))),Budgets!$C$2:$C$200),0))</f>
        <v/>
      </c>
      <c r="BF7" s="23">
        <f>IF(OR(BF$1="",$BM7=0),"",IFERROR(LOOKUP(2,1/((Budgets!$A$2:$A$200=BF$1)*(Budgets!$B$2:$B$200&lt;EDATE($A7,1))),Budgets!$C$2:$C$200),0))</f>
        <v/>
      </c>
      <c r="BG7" s="23">
        <f>IF(OR(BG$1="",$BM7=0),"",IFERROR(LOOKUP(2,1/((Budgets!$A$2:$A$200=BG$1)*(Budgets!$B$2:$B$200&lt;EDATE($A7,1))),Budgets!$C$2:$C$200),0))</f>
        <v/>
      </c>
      <c r="BH7" s="23">
        <f>IF(OR(BH$1="",$BM7=0),"",IFERROR(LOOKUP(2,1/((Budgets!$A$2:$A$200=BH$1)*(Budgets!$B$2:$B$200&lt;EDATE($A7,1))),Budgets!$C$2:$C$200),0))</f>
        <v/>
      </c>
      <c r="BI7" s="23">
        <f>IF(OR(BI$1="",$BM7=0),"",IFERROR(LOOKUP(2,1/((Budgets!$A$2:$A$200=BI$1)*(Budgets!$B$2:$B$200&lt;EDATE($A7,1))),Budgets!$C$2:$C$200),0))</f>
        <v/>
      </c>
      <c r="BJ7" s="23">
        <f>IF(OR(BJ$1="",$BM7=0),"",IFERROR(LOOKUP(2,1/((Budgets!$A$2:$A$200=BJ$1)*(Budgets!$B$2:$B$200&lt;EDATE($A7,1))),Budgets!$C$2:$C$200),0))</f>
        <v/>
      </c>
      <c r="BK7" s="23">
        <f>IF(OR(BK$1="",$BM7=0),"",IFERROR(LOOKUP(2,1/((Budgets!$A$2:$A$200=BK$1)*(Budgets!$B$2:$B$200&lt;EDATE($A7,1))),Budgets!$C$2:$C$200),0))</f>
        <v/>
      </c>
      <c r="BM7" s="21">
        <f>COUNTIFS(Entries!$A$2:$A$5000,"&gt;="&amp;$A7,Entries!$A$2:$A$5000,"&lt;"&amp;EDATE($A7,1))</f>
        <v/>
      </c>
    </row>
    <row r="8">
      <c r="A8" s="22" t="n">
        <v>39630</v>
      </c>
      <c r="B8" s="23">
        <f>IF($BM8=0,NA(),SUMIFS(Entries!$E$2:$E$5000,Entries!$C$2:$C$5000,"Income",Entries!$A$2:$A$5000,"&gt;="&amp;$A8,Entries!$A$2:$A$5000,"&lt;"&amp;EDATE($A8,1)))</f>
        <v/>
      </c>
      <c r="C8" s="23">
        <f>IF($BM8=0,"",SUMIFS(Entries!$E$2:$E$5000,Entries!$C$2:$C$5000,"Actual",Entries!$A$2:$A$5000,"&gt;="&amp;$A8,Entries!$A$2:$A$5000,"&lt;"&amp;EDATE($A8,1)))</f>
        <v/>
      </c>
      <c r="D8" s="23">
        <f>IF($BM8=0,"",SUMIFS(Entries!$E$2:$E$5000,Entries!$C$2:$C$5000,"One-off",Entries!$A$2:$A$5000,"&gt;="&amp;$A8,Entries!$A$2:$A$5000,"&lt;"&amp;EDATE($A8,1)))</f>
        <v/>
      </c>
      <c r="E8" s="23">
        <f>IF($BM8=0,NA(),C8+D8)</f>
        <v/>
      </c>
      <c r="F8" s="23">
        <f>IF($BM8=0,"",SUM(AR8:BK8))</f>
        <v/>
      </c>
      <c r="G8" s="23">
        <f>IF($BM8=0,"",B8-E8)</f>
        <v/>
      </c>
      <c r="H8" s="23">
        <f>IF($BM8=0,"",SUM($G$2:G8))</f>
        <v/>
      </c>
      <c r="I8" s="23">
        <f>IF($BM8=0,"",SUMIFS(Entries!$G$2:$G$5000,Entries!$A$2:$A$5000,"&gt;="&amp;$A8,Entries!$A$2:$A$5000,"&lt;"&amp;EDATE($A8,1)))</f>
        <v/>
      </c>
      <c r="J8" s="23">
        <f>IF($BM8=0,NA(),H8)</f>
        <v/>
      </c>
      <c r="K8" s="23">
        <f>""</f>
        <v/>
      </c>
      <c r="L8" s="23">
        <f>""</f>
        <v/>
      </c>
      <c r="M8" s="24">
        <f>NA()</f>
        <v/>
      </c>
      <c r="N8" s="23">
        <f>IF($BM8=0,NA(),SUMIFS(Entries!$E$2:$E$5000,Entries!$D$2:$D$5000,"Core",Entries!$A$2:$A$5000,"&gt;="&amp;$A8,Entries!$A$2:$A$5000,"&lt;"&amp;EDATE($A8,1)))</f>
        <v/>
      </c>
      <c r="O8" s="23">
        <f>IF($BM8=0,NA(),SUMIFS(Entries!$E$2:$E$5000,Entries!$D$2:$D$5000,"Over &amp; above",Entries!$A$2:$A$5000,"&gt;="&amp;$A8,Entries!$A$2:$A$5000,"&lt;"&amp;EDATE($A8,1)))</f>
        <v/>
      </c>
      <c r="P8" s="23">
        <f>IF($BM8=0,NA(),SUMIFS(Entries!$E$2:$E$5000,Entries!$D$2:$D$5000,"One-off",Entries!$A$2:$A$5000,"&gt;="&amp;$A8,Entries!$A$2:$A$5000,"&lt;"&amp;EDATE($A8,1)))</f>
        <v/>
      </c>
      <c r="Q8" s="23">
        <f>IF($BM8=0,NA(),SUMIFS(Entries!$E$2:$E$5000,Entries!$D$2:$D$5000,"Reimbursable",Entries!$A$2:$A$5000,"&gt;="&amp;$A8,Entries!$A$2:$A$5000,"&lt;"&amp;EDATE($A8,1)))</f>
        <v/>
      </c>
      <c r="R8" s="23">
        <f>IF($BM8=0,NA(),SUMIFS(Entries!$E$2:$E$5000,Entries!$D$2:$D$5000,"Investment",Entries!$A$2:$A$5000,"&gt;="&amp;$A8,Entries!$A$2:$A$5000,"&lt;"&amp;EDATE($A8,1)))</f>
        <v/>
      </c>
      <c r="S8" s="23">
        <f>IF($BM8=0,NA(),N8+O8)</f>
        <v/>
      </c>
      <c r="T8" s="23">
        <f>IF($BM8=0,"",E8-Q8)</f>
        <v/>
      </c>
      <c r="W8" s="23">
        <f>IF(OR(W$1="",$BM8=0),"",SUMIFS(Entries!$E$2:$E$5000,Entries!$C$2:$C$5000,"Actual",Entries!$A$2:$A$5000,"&gt;="&amp;$A8,Entries!$A$2:$A$5000,"&lt;"&amp;EDATE($A8,1),Entries!$B$2:$B$5000,W$1))</f>
        <v/>
      </c>
      <c r="X8" s="23">
        <f>IF(OR(X$1="",$BM8=0),"",SUMIFS(Entries!$E$2:$E$5000,Entries!$C$2:$C$5000,"Actual",Entries!$A$2:$A$5000,"&gt;="&amp;$A8,Entries!$A$2:$A$5000,"&lt;"&amp;EDATE($A8,1),Entries!$B$2:$B$5000,X$1))</f>
        <v/>
      </c>
      <c r="Y8" s="23">
        <f>IF(OR(Y$1="",$BM8=0),"",SUMIFS(Entries!$E$2:$E$5000,Entries!$C$2:$C$5000,"Actual",Entries!$A$2:$A$5000,"&gt;="&amp;$A8,Entries!$A$2:$A$5000,"&lt;"&amp;EDATE($A8,1),Entries!$B$2:$B$5000,Y$1))</f>
        <v/>
      </c>
      <c r="Z8" s="23">
        <f>IF(OR(Z$1="",$BM8=0),"",SUMIFS(Entries!$E$2:$E$5000,Entries!$C$2:$C$5000,"Actual",Entries!$A$2:$A$5000,"&gt;="&amp;$A8,Entries!$A$2:$A$5000,"&lt;"&amp;EDATE($A8,1),Entries!$B$2:$B$5000,Z$1))</f>
        <v/>
      </c>
      <c r="AA8" s="23">
        <f>IF(OR(AA$1="",$BM8=0),"",SUMIFS(Entries!$E$2:$E$5000,Entries!$C$2:$C$5000,"Actual",Entries!$A$2:$A$5000,"&gt;="&amp;$A8,Entries!$A$2:$A$5000,"&lt;"&amp;EDATE($A8,1),Entries!$B$2:$B$5000,AA$1))</f>
        <v/>
      </c>
      <c r="AB8" s="23">
        <f>IF(OR(AB$1="",$BM8=0),"",SUMIFS(Entries!$E$2:$E$5000,Entries!$C$2:$C$5000,"Actual",Entries!$A$2:$A$5000,"&gt;="&amp;$A8,Entries!$A$2:$A$5000,"&lt;"&amp;EDATE($A8,1),Entries!$B$2:$B$5000,AB$1))</f>
        <v/>
      </c>
      <c r="AC8" s="23">
        <f>IF(OR(AC$1="",$BM8=0),"",SUMIFS(Entries!$E$2:$E$5000,Entries!$C$2:$C$5000,"Actual",Entries!$A$2:$A$5000,"&gt;="&amp;$A8,Entries!$A$2:$A$5000,"&lt;"&amp;EDATE($A8,1),Entries!$B$2:$B$5000,AC$1))</f>
        <v/>
      </c>
      <c r="AD8" s="23">
        <f>IF(OR(AD$1="",$BM8=0),"",SUMIFS(Entries!$E$2:$E$5000,Entries!$C$2:$C$5000,"Actual",Entries!$A$2:$A$5000,"&gt;="&amp;$A8,Entries!$A$2:$A$5000,"&lt;"&amp;EDATE($A8,1),Entries!$B$2:$B$5000,AD$1))</f>
        <v/>
      </c>
      <c r="AE8" s="23">
        <f>IF(OR(AE$1="",$BM8=0),"",SUMIFS(Entries!$E$2:$E$5000,Entries!$C$2:$C$5000,"Actual",Entries!$A$2:$A$5000,"&gt;="&amp;$A8,Entries!$A$2:$A$5000,"&lt;"&amp;EDATE($A8,1),Entries!$B$2:$B$5000,AE$1))</f>
        <v/>
      </c>
      <c r="AF8" s="23">
        <f>IF(OR(AF$1="",$BM8=0),"",SUMIFS(Entries!$E$2:$E$5000,Entries!$C$2:$C$5000,"Actual",Entries!$A$2:$A$5000,"&gt;="&amp;$A8,Entries!$A$2:$A$5000,"&lt;"&amp;EDATE($A8,1),Entries!$B$2:$B$5000,AF$1))</f>
        <v/>
      </c>
      <c r="AG8" s="23">
        <f>IF(OR(AG$1="",$BM8=0),"",SUMIFS(Entries!$E$2:$E$5000,Entries!$C$2:$C$5000,"Actual",Entries!$A$2:$A$5000,"&gt;="&amp;$A8,Entries!$A$2:$A$5000,"&lt;"&amp;EDATE($A8,1),Entries!$B$2:$B$5000,AG$1))</f>
        <v/>
      </c>
      <c r="AH8" s="23">
        <f>IF(OR(AH$1="",$BM8=0),"",SUMIFS(Entries!$E$2:$E$5000,Entries!$C$2:$C$5000,"Actual",Entries!$A$2:$A$5000,"&gt;="&amp;$A8,Entries!$A$2:$A$5000,"&lt;"&amp;EDATE($A8,1),Entries!$B$2:$B$5000,AH$1))</f>
        <v/>
      </c>
      <c r="AI8" s="23">
        <f>IF(OR(AI$1="",$BM8=0),"",SUMIFS(Entries!$E$2:$E$5000,Entries!$C$2:$C$5000,"Actual",Entries!$A$2:$A$5000,"&gt;="&amp;$A8,Entries!$A$2:$A$5000,"&lt;"&amp;EDATE($A8,1),Entries!$B$2:$B$5000,AI$1))</f>
        <v/>
      </c>
      <c r="AJ8" s="23">
        <f>IF(OR(AJ$1="",$BM8=0),"",SUMIFS(Entries!$E$2:$E$5000,Entries!$C$2:$C$5000,"Actual",Entries!$A$2:$A$5000,"&gt;="&amp;$A8,Entries!$A$2:$A$5000,"&lt;"&amp;EDATE($A8,1),Entries!$B$2:$B$5000,AJ$1))</f>
        <v/>
      </c>
      <c r="AK8" s="23">
        <f>IF(OR(AK$1="",$BM8=0),"",SUMIFS(Entries!$E$2:$E$5000,Entries!$C$2:$C$5000,"Actual",Entries!$A$2:$A$5000,"&gt;="&amp;$A8,Entries!$A$2:$A$5000,"&lt;"&amp;EDATE($A8,1),Entries!$B$2:$B$5000,AK$1))</f>
        <v/>
      </c>
      <c r="AL8" s="23">
        <f>IF(OR(AL$1="",$BM8=0),"",SUMIFS(Entries!$E$2:$E$5000,Entries!$C$2:$C$5000,"Actual",Entries!$A$2:$A$5000,"&gt;="&amp;$A8,Entries!$A$2:$A$5000,"&lt;"&amp;EDATE($A8,1),Entries!$B$2:$B$5000,AL$1))</f>
        <v/>
      </c>
      <c r="AM8" s="23">
        <f>IF(OR(AM$1="",$BM8=0),"",SUMIFS(Entries!$E$2:$E$5000,Entries!$C$2:$C$5000,"Actual",Entries!$A$2:$A$5000,"&gt;="&amp;$A8,Entries!$A$2:$A$5000,"&lt;"&amp;EDATE($A8,1),Entries!$B$2:$B$5000,AM$1))</f>
        <v/>
      </c>
      <c r="AN8" s="23">
        <f>IF(OR(AN$1="",$BM8=0),"",SUMIFS(Entries!$E$2:$E$5000,Entries!$C$2:$C$5000,"Actual",Entries!$A$2:$A$5000,"&gt;="&amp;$A8,Entries!$A$2:$A$5000,"&lt;"&amp;EDATE($A8,1),Entries!$B$2:$B$5000,AN$1))</f>
        <v/>
      </c>
      <c r="AO8" s="23">
        <f>IF(OR(AO$1="",$BM8=0),"",SUMIFS(Entries!$E$2:$E$5000,Entries!$C$2:$C$5000,"Actual",Entries!$A$2:$A$5000,"&gt;="&amp;$A8,Entries!$A$2:$A$5000,"&lt;"&amp;EDATE($A8,1),Entries!$B$2:$B$5000,AO$1))</f>
        <v/>
      </c>
      <c r="AP8" s="23">
        <f>IF(OR(AP$1="",$BM8=0),"",SUMIFS(Entries!$E$2:$E$5000,Entries!$C$2:$C$5000,"Actual",Entries!$A$2:$A$5000,"&gt;="&amp;$A8,Entries!$A$2:$A$5000,"&lt;"&amp;EDATE($A8,1),Entries!$B$2:$B$5000,AP$1))</f>
        <v/>
      </c>
      <c r="AR8" s="23">
        <f>IF(OR(AR$1="",$BM8=0),"",IFERROR(LOOKUP(2,1/((Budgets!$A$2:$A$200=AR$1)*(Budgets!$B$2:$B$200&lt;EDATE($A8,1))),Budgets!$C$2:$C$200),0))</f>
        <v/>
      </c>
      <c r="AS8" s="23">
        <f>IF(OR(AS$1="",$BM8=0),"",IFERROR(LOOKUP(2,1/((Budgets!$A$2:$A$200=AS$1)*(Budgets!$B$2:$B$200&lt;EDATE($A8,1))),Budgets!$C$2:$C$200),0))</f>
        <v/>
      </c>
      <c r="AT8" s="23">
        <f>IF(OR(AT$1="",$BM8=0),"",IFERROR(LOOKUP(2,1/((Budgets!$A$2:$A$200=AT$1)*(Budgets!$B$2:$B$200&lt;EDATE($A8,1))),Budgets!$C$2:$C$200),0))</f>
        <v/>
      </c>
      <c r="AU8" s="23">
        <f>IF(OR(AU$1="",$BM8=0),"",IFERROR(LOOKUP(2,1/((Budgets!$A$2:$A$200=AU$1)*(Budgets!$B$2:$B$200&lt;EDATE($A8,1))),Budgets!$C$2:$C$200),0))</f>
        <v/>
      </c>
      <c r="AV8" s="23">
        <f>IF(OR(AV$1="",$BM8=0),"",IFERROR(LOOKUP(2,1/((Budgets!$A$2:$A$200=AV$1)*(Budgets!$B$2:$B$200&lt;EDATE($A8,1))),Budgets!$C$2:$C$200),0))</f>
        <v/>
      </c>
      <c r="AW8" s="23">
        <f>IF(OR(AW$1="",$BM8=0),"",IFERROR(LOOKUP(2,1/((Budgets!$A$2:$A$200=AW$1)*(Budgets!$B$2:$B$200&lt;EDATE($A8,1))),Budgets!$C$2:$C$200),0))</f>
        <v/>
      </c>
      <c r="AX8" s="23">
        <f>IF(OR(AX$1="",$BM8=0),"",IFERROR(LOOKUP(2,1/((Budgets!$A$2:$A$200=AX$1)*(Budgets!$B$2:$B$200&lt;EDATE($A8,1))),Budgets!$C$2:$C$200),0))</f>
        <v/>
      </c>
      <c r="AY8" s="23">
        <f>IF(OR(AY$1="",$BM8=0),"",IFERROR(LOOKUP(2,1/((Budgets!$A$2:$A$200=AY$1)*(Budgets!$B$2:$B$200&lt;EDATE($A8,1))),Budgets!$C$2:$C$200),0))</f>
        <v/>
      </c>
      <c r="AZ8" s="23">
        <f>IF(OR(AZ$1="",$BM8=0),"",IFERROR(LOOKUP(2,1/((Budgets!$A$2:$A$200=AZ$1)*(Budgets!$B$2:$B$200&lt;EDATE($A8,1))),Budgets!$C$2:$C$200),0))</f>
        <v/>
      </c>
      <c r="BA8" s="23">
        <f>IF(OR(BA$1="",$BM8=0),"",IFERROR(LOOKUP(2,1/((Budgets!$A$2:$A$200=BA$1)*(Budgets!$B$2:$B$200&lt;EDATE($A8,1))),Budgets!$C$2:$C$200),0))</f>
        <v/>
      </c>
      <c r="BB8" s="23">
        <f>IF(OR(BB$1="",$BM8=0),"",IFERROR(LOOKUP(2,1/((Budgets!$A$2:$A$200=BB$1)*(Budgets!$B$2:$B$200&lt;EDATE($A8,1))),Budgets!$C$2:$C$200),0))</f>
        <v/>
      </c>
      <c r="BC8" s="23">
        <f>IF(OR(BC$1="",$BM8=0),"",IFERROR(LOOKUP(2,1/((Budgets!$A$2:$A$200=BC$1)*(Budgets!$B$2:$B$200&lt;EDATE($A8,1))),Budgets!$C$2:$C$200),0))</f>
        <v/>
      </c>
      <c r="BD8" s="23">
        <f>IF(OR(BD$1="",$BM8=0),"",IFERROR(LOOKUP(2,1/((Budgets!$A$2:$A$200=BD$1)*(Budgets!$B$2:$B$200&lt;EDATE($A8,1))),Budgets!$C$2:$C$200),0))</f>
        <v/>
      </c>
      <c r="BE8" s="23">
        <f>IF(OR(BE$1="",$BM8=0),"",IFERROR(LOOKUP(2,1/((Budgets!$A$2:$A$200=BE$1)*(Budgets!$B$2:$B$200&lt;EDATE($A8,1))),Budgets!$C$2:$C$200),0))</f>
        <v/>
      </c>
      <c r="BF8" s="23">
        <f>IF(OR(BF$1="",$BM8=0),"",IFERROR(LOOKUP(2,1/((Budgets!$A$2:$A$200=BF$1)*(Budgets!$B$2:$B$200&lt;EDATE($A8,1))),Budgets!$C$2:$C$200),0))</f>
        <v/>
      </c>
      <c r="BG8" s="23">
        <f>IF(OR(BG$1="",$BM8=0),"",IFERROR(LOOKUP(2,1/((Budgets!$A$2:$A$200=BG$1)*(Budgets!$B$2:$B$200&lt;EDATE($A8,1))),Budgets!$C$2:$C$200),0))</f>
        <v/>
      </c>
      <c r="BH8" s="23">
        <f>IF(OR(BH$1="",$BM8=0),"",IFERROR(LOOKUP(2,1/((Budgets!$A$2:$A$200=BH$1)*(Budgets!$B$2:$B$200&lt;EDATE($A8,1))),Budgets!$C$2:$C$200),0))</f>
        <v/>
      </c>
      <c r="BI8" s="23">
        <f>IF(OR(BI$1="",$BM8=0),"",IFERROR(LOOKUP(2,1/((Budgets!$A$2:$A$200=BI$1)*(Budgets!$B$2:$B$200&lt;EDATE($A8,1))),Budgets!$C$2:$C$200),0))</f>
        <v/>
      </c>
      <c r="BJ8" s="23">
        <f>IF(OR(BJ$1="",$BM8=0),"",IFERROR(LOOKUP(2,1/((Budgets!$A$2:$A$200=BJ$1)*(Budgets!$B$2:$B$200&lt;EDATE($A8,1))),Budgets!$C$2:$C$200),0))</f>
        <v/>
      </c>
      <c r="BK8" s="23">
        <f>IF(OR(BK$1="",$BM8=0),"",IFERROR(LOOKUP(2,1/((Budgets!$A$2:$A$200=BK$1)*(Budgets!$B$2:$B$200&lt;EDATE($A8,1))),Budgets!$C$2:$C$200),0))</f>
        <v/>
      </c>
      <c r="BM8" s="21">
        <f>COUNTIFS(Entries!$A$2:$A$5000,"&gt;="&amp;$A8,Entries!$A$2:$A$5000,"&lt;"&amp;EDATE($A8,1))</f>
        <v/>
      </c>
    </row>
    <row r="9">
      <c r="A9" s="22" t="n">
        <v>39661</v>
      </c>
      <c r="B9" s="23">
        <f>IF($BM9=0,NA(),SUMIFS(Entries!$E$2:$E$5000,Entries!$C$2:$C$5000,"Income",Entries!$A$2:$A$5000,"&gt;="&amp;$A9,Entries!$A$2:$A$5000,"&lt;"&amp;EDATE($A9,1)))</f>
        <v/>
      </c>
      <c r="C9" s="23">
        <f>IF($BM9=0,"",SUMIFS(Entries!$E$2:$E$5000,Entries!$C$2:$C$5000,"Actual",Entries!$A$2:$A$5000,"&gt;="&amp;$A9,Entries!$A$2:$A$5000,"&lt;"&amp;EDATE($A9,1)))</f>
        <v/>
      </c>
      <c r="D9" s="23">
        <f>IF($BM9=0,"",SUMIFS(Entries!$E$2:$E$5000,Entries!$C$2:$C$5000,"One-off",Entries!$A$2:$A$5000,"&gt;="&amp;$A9,Entries!$A$2:$A$5000,"&lt;"&amp;EDATE($A9,1)))</f>
        <v/>
      </c>
      <c r="E9" s="23">
        <f>IF($BM9=0,NA(),C9+D9)</f>
        <v/>
      </c>
      <c r="F9" s="23">
        <f>IF($BM9=0,"",SUM(AR9:BK9))</f>
        <v/>
      </c>
      <c r="G9" s="23">
        <f>IF($BM9=0,"",B9-E9)</f>
        <v/>
      </c>
      <c r="H9" s="23">
        <f>IF($BM9=0,"",SUM($G$2:G9))</f>
        <v/>
      </c>
      <c r="I9" s="23">
        <f>IF($BM9=0,"",SUMIFS(Entries!$G$2:$G$5000,Entries!$A$2:$A$5000,"&gt;="&amp;$A9,Entries!$A$2:$A$5000,"&lt;"&amp;EDATE($A9,1)))</f>
        <v/>
      </c>
      <c r="J9" s="23">
        <f>IF($BM9=0,NA(),H9)</f>
        <v/>
      </c>
      <c r="K9" s="23">
        <f>""</f>
        <v/>
      </c>
      <c r="L9" s="23">
        <f>""</f>
        <v/>
      </c>
      <c r="M9" s="24">
        <f>NA()</f>
        <v/>
      </c>
      <c r="N9" s="23">
        <f>IF($BM9=0,NA(),SUMIFS(Entries!$E$2:$E$5000,Entries!$D$2:$D$5000,"Core",Entries!$A$2:$A$5000,"&gt;="&amp;$A9,Entries!$A$2:$A$5000,"&lt;"&amp;EDATE($A9,1)))</f>
        <v/>
      </c>
      <c r="O9" s="23">
        <f>IF($BM9=0,NA(),SUMIFS(Entries!$E$2:$E$5000,Entries!$D$2:$D$5000,"Over &amp; above",Entries!$A$2:$A$5000,"&gt;="&amp;$A9,Entries!$A$2:$A$5000,"&lt;"&amp;EDATE($A9,1)))</f>
        <v/>
      </c>
      <c r="P9" s="23">
        <f>IF($BM9=0,NA(),SUMIFS(Entries!$E$2:$E$5000,Entries!$D$2:$D$5000,"One-off",Entries!$A$2:$A$5000,"&gt;="&amp;$A9,Entries!$A$2:$A$5000,"&lt;"&amp;EDATE($A9,1)))</f>
        <v/>
      </c>
      <c r="Q9" s="23">
        <f>IF($BM9=0,NA(),SUMIFS(Entries!$E$2:$E$5000,Entries!$D$2:$D$5000,"Reimbursable",Entries!$A$2:$A$5000,"&gt;="&amp;$A9,Entries!$A$2:$A$5000,"&lt;"&amp;EDATE($A9,1)))</f>
        <v/>
      </c>
      <c r="R9" s="23">
        <f>IF($BM9=0,NA(),SUMIFS(Entries!$E$2:$E$5000,Entries!$D$2:$D$5000,"Investment",Entries!$A$2:$A$5000,"&gt;="&amp;$A9,Entries!$A$2:$A$5000,"&lt;"&amp;EDATE($A9,1)))</f>
        <v/>
      </c>
      <c r="S9" s="23">
        <f>IF($BM9=0,NA(),N9+O9)</f>
        <v/>
      </c>
      <c r="T9" s="23">
        <f>IF($BM9=0,"",E9-Q9)</f>
        <v/>
      </c>
      <c r="W9" s="23">
        <f>IF(OR(W$1="",$BM9=0),"",SUMIFS(Entries!$E$2:$E$5000,Entries!$C$2:$C$5000,"Actual",Entries!$A$2:$A$5000,"&gt;="&amp;$A9,Entries!$A$2:$A$5000,"&lt;"&amp;EDATE($A9,1),Entries!$B$2:$B$5000,W$1))</f>
        <v/>
      </c>
      <c r="X9" s="23">
        <f>IF(OR(X$1="",$BM9=0),"",SUMIFS(Entries!$E$2:$E$5000,Entries!$C$2:$C$5000,"Actual",Entries!$A$2:$A$5000,"&gt;="&amp;$A9,Entries!$A$2:$A$5000,"&lt;"&amp;EDATE($A9,1),Entries!$B$2:$B$5000,X$1))</f>
        <v/>
      </c>
      <c r="Y9" s="23">
        <f>IF(OR(Y$1="",$BM9=0),"",SUMIFS(Entries!$E$2:$E$5000,Entries!$C$2:$C$5000,"Actual",Entries!$A$2:$A$5000,"&gt;="&amp;$A9,Entries!$A$2:$A$5000,"&lt;"&amp;EDATE($A9,1),Entries!$B$2:$B$5000,Y$1))</f>
        <v/>
      </c>
      <c r="Z9" s="23">
        <f>IF(OR(Z$1="",$BM9=0),"",SUMIFS(Entries!$E$2:$E$5000,Entries!$C$2:$C$5000,"Actual",Entries!$A$2:$A$5000,"&gt;="&amp;$A9,Entries!$A$2:$A$5000,"&lt;"&amp;EDATE($A9,1),Entries!$B$2:$B$5000,Z$1))</f>
        <v/>
      </c>
      <c r="AA9" s="23">
        <f>IF(OR(AA$1="",$BM9=0),"",SUMIFS(Entries!$E$2:$E$5000,Entries!$C$2:$C$5000,"Actual",Entries!$A$2:$A$5000,"&gt;="&amp;$A9,Entries!$A$2:$A$5000,"&lt;"&amp;EDATE($A9,1),Entries!$B$2:$B$5000,AA$1))</f>
        <v/>
      </c>
      <c r="AB9" s="23">
        <f>IF(OR(AB$1="",$BM9=0),"",SUMIFS(Entries!$E$2:$E$5000,Entries!$C$2:$C$5000,"Actual",Entries!$A$2:$A$5000,"&gt;="&amp;$A9,Entries!$A$2:$A$5000,"&lt;"&amp;EDATE($A9,1),Entries!$B$2:$B$5000,AB$1))</f>
        <v/>
      </c>
      <c r="AC9" s="23">
        <f>IF(OR(AC$1="",$BM9=0),"",SUMIFS(Entries!$E$2:$E$5000,Entries!$C$2:$C$5000,"Actual",Entries!$A$2:$A$5000,"&gt;="&amp;$A9,Entries!$A$2:$A$5000,"&lt;"&amp;EDATE($A9,1),Entries!$B$2:$B$5000,AC$1))</f>
        <v/>
      </c>
      <c r="AD9" s="23">
        <f>IF(OR(AD$1="",$BM9=0),"",SUMIFS(Entries!$E$2:$E$5000,Entries!$C$2:$C$5000,"Actual",Entries!$A$2:$A$5000,"&gt;="&amp;$A9,Entries!$A$2:$A$5000,"&lt;"&amp;EDATE($A9,1),Entries!$B$2:$B$5000,AD$1))</f>
        <v/>
      </c>
      <c r="AE9" s="23">
        <f>IF(OR(AE$1="",$BM9=0),"",SUMIFS(Entries!$E$2:$E$5000,Entries!$C$2:$C$5000,"Actual",Entries!$A$2:$A$5000,"&gt;="&amp;$A9,Entries!$A$2:$A$5000,"&lt;"&amp;EDATE($A9,1),Entries!$B$2:$B$5000,AE$1))</f>
        <v/>
      </c>
      <c r="AF9" s="23">
        <f>IF(OR(AF$1="",$BM9=0),"",SUMIFS(Entries!$E$2:$E$5000,Entries!$C$2:$C$5000,"Actual",Entries!$A$2:$A$5000,"&gt;="&amp;$A9,Entries!$A$2:$A$5000,"&lt;"&amp;EDATE($A9,1),Entries!$B$2:$B$5000,AF$1))</f>
        <v/>
      </c>
      <c r="AG9" s="23">
        <f>IF(OR(AG$1="",$BM9=0),"",SUMIFS(Entries!$E$2:$E$5000,Entries!$C$2:$C$5000,"Actual",Entries!$A$2:$A$5000,"&gt;="&amp;$A9,Entries!$A$2:$A$5000,"&lt;"&amp;EDATE($A9,1),Entries!$B$2:$B$5000,AG$1))</f>
        <v/>
      </c>
      <c r="AH9" s="23">
        <f>IF(OR(AH$1="",$BM9=0),"",SUMIFS(Entries!$E$2:$E$5000,Entries!$C$2:$C$5000,"Actual",Entries!$A$2:$A$5000,"&gt;="&amp;$A9,Entries!$A$2:$A$5000,"&lt;"&amp;EDATE($A9,1),Entries!$B$2:$B$5000,AH$1))</f>
        <v/>
      </c>
      <c r="AI9" s="23">
        <f>IF(OR(AI$1="",$BM9=0),"",SUMIFS(Entries!$E$2:$E$5000,Entries!$C$2:$C$5000,"Actual",Entries!$A$2:$A$5000,"&gt;="&amp;$A9,Entries!$A$2:$A$5000,"&lt;"&amp;EDATE($A9,1),Entries!$B$2:$B$5000,AI$1))</f>
        <v/>
      </c>
      <c r="AJ9" s="23">
        <f>IF(OR(AJ$1="",$BM9=0),"",SUMIFS(Entries!$E$2:$E$5000,Entries!$C$2:$C$5000,"Actual",Entries!$A$2:$A$5000,"&gt;="&amp;$A9,Entries!$A$2:$A$5000,"&lt;"&amp;EDATE($A9,1),Entries!$B$2:$B$5000,AJ$1))</f>
        <v/>
      </c>
      <c r="AK9" s="23">
        <f>IF(OR(AK$1="",$BM9=0),"",SUMIFS(Entries!$E$2:$E$5000,Entries!$C$2:$C$5000,"Actual",Entries!$A$2:$A$5000,"&gt;="&amp;$A9,Entries!$A$2:$A$5000,"&lt;"&amp;EDATE($A9,1),Entries!$B$2:$B$5000,AK$1))</f>
        <v/>
      </c>
      <c r="AL9" s="23">
        <f>IF(OR(AL$1="",$BM9=0),"",SUMIFS(Entries!$E$2:$E$5000,Entries!$C$2:$C$5000,"Actual",Entries!$A$2:$A$5000,"&gt;="&amp;$A9,Entries!$A$2:$A$5000,"&lt;"&amp;EDATE($A9,1),Entries!$B$2:$B$5000,AL$1))</f>
        <v/>
      </c>
      <c r="AM9" s="23">
        <f>IF(OR(AM$1="",$BM9=0),"",SUMIFS(Entries!$E$2:$E$5000,Entries!$C$2:$C$5000,"Actual",Entries!$A$2:$A$5000,"&gt;="&amp;$A9,Entries!$A$2:$A$5000,"&lt;"&amp;EDATE($A9,1),Entries!$B$2:$B$5000,AM$1))</f>
        <v/>
      </c>
      <c r="AN9" s="23">
        <f>IF(OR(AN$1="",$BM9=0),"",SUMIFS(Entries!$E$2:$E$5000,Entries!$C$2:$C$5000,"Actual",Entries!$A$2:$A$5000,"&gt;="&amp;$A9,Entries!$A$2:$A$5000,"&lt;"&amp;EDATE($A9,1),Entries!$B$2:$B$5000,AN$1))</f>
        <v/>
      </c>
      <c r="AO9" s="23">
        <f>IF(OR(AO$1="",$BM9=0),"",SUMIFS(Entries!$E$2:$E$5000,Entries!$C$2:$C$5000,"Actual",Entries!$A$2:$A$5000,"&gt;="&amp;$A9,Entries!$A$2:$A$5000,"&lt;"&amp;EDATE($A9,1),Entries!$B$2:$B$5000,AO$1))</f>
        <v/>
      </c>
      <c r="AP9" s="23">
        <f>IF(OR(AP$1="",$BM9=0),"",SUMIFS(Entries!$E$2:$E$5000,Entries!$C$2:$C$5000,"Actual",Entries!$A$2:$A$5000,"&gt;="&amp;$A9,Entries!$A$2:$A$5000,"&lt;"&amp;EDATE($A9,1),Entries!$B$2:$B$5000,AP$1))</f>
        <v/>
      </c>
      <c r="AR9" s="23">
        <f>IF(OR(AR$1="",$BM9=0),"",IFERROR(LOOKUP(2,1/((Budgets!$A$2:$A$200=AR$1)*(Budgets!$B$2:$B$200&lt;EDATE($A9,1))),Budgets!$C$2:$C$200),0))</f>
        <v/>
      </c>
      <c r="AS9" s="23">
        <f>IF(OR(AS$1="",$BM9=0),"",IFERROR(LOOKUP(2,1/((Budgets!$A$2:$A$200=AS$1)*(Budgets!$B$2:$B$200&lt;EDATE($A9,1))),Budgets!$C$2:$C$200),0))</f>
        <v/>
      </c>
      <c r="AT9" s="23">
        <f>IF(OR(AT$1="",$BM9=0),"",IFERROR(LOOKUP(2,1/((Budgets!$A$2:$A$200=AT$1)*(Budgets!$B$2:$B$200&lt;EDATE($A9,1))),Budgets!$C$2:$C$200),0))</f>
        <v/>
      </c>
      <c r="AU9" s="23">
        <f>IF(OR(AU$1="",$BM9=0),"",IFERROR(LOOKUP(2,1/((Budgets!$A$2:$A$200=AU$1)*(Budgets!$B$2:$B$200&lt;EDATE($A9,1))),Budgets!$C$2:$C$200),0))</f>
        <v/>
      </c>
      <c r="AV9" s="23">
        <f>IF(OR(AV$1="",$BM9=0),"",IFERROR(LOOKUP(2,1/((Budgets!$A$2:$A$200=AV$1)*(Budgets!$B$2:$B$200&lt;EDATE($A9,1))),Budgets!$C$2:$C$200),0))</f>
        <v/>
      </c>
      <c r="AW9" s="23">
        <f>IF(OR(AW$1="",$BM9=0),"",IFERROR(LOOKUP(2,1/((Budgets!$A$2:$A$200=AW$1)*(Budgets!$B$2:$B$200&lt;EDATE($A9,1))),Budgets!$C$2:$C$200),0))</f>
        <v/>
      </c>
      <c r="AX9" s="23">
        <f>IF(OR(AX$1="",$BM9=0),"",IFERROR(LOOKUP(2,1/((Budgets!$A$2:$A$200=AX$1)*(Budgets!$B$2:$B$200&lt;EDATE($A9,1))),Budgets!$C$2:$C$200),0))</f>
        <v/>
      </c>
      <c r="AY9" s="23">
        <f>IF(OR(AY$1="",$BM9=0),"",IFERROR(LOOKUP(2,1/((Budgets!$A$2:$A$200=AY$1)*(Budgets!$B$2:$B$200&lt;EDATE($A9,1))),Budgets!$C$2:$C$200),0))</f>
        <v/>
      </c>
      <c r="AZ9" s="23">
        <f>IF(OR(AZ$1="",$BM9=0),"",IFERROR(LOOKUP(2,1/((Budgets!$A$2:$A$200=AZ$1)*(Budgets!$B$2:$B$200&lt;EDATE($A9,1))),Budgets!$C$2:$C$200),0))</f>
        <v/>
      </c>
      <c r="BA9" s="23">
        <f>IF(OR(BA$1="",$BM9=0),"",IFERROR(LOOKUP(2,1/((Budgets!$A$2:$A$200=BA$1)*(Budgets!$B$2:$B$200&lt;EDATE($A9,1))),Budgets!$C$2:$C$200),0))</f>
        <v/>
      </c>
      <c r="BB9" s="23">
        <f>IF(OR(BB$1="",$BM9=0),"",IFERROR(LOOKUP(2,1/((Budgets!$A$2:$A$200=BB$1)*(Budgets!$B$2:$B$200&lt;EDATE($A9,1))),Budgets!$C$2:$C$200),0))</f>
        <v/>
      </c>
      <c r="BC9" s="23">
        <f>IF(OR(BC$1="",$BM9=0),"",IFERROR(LOOKUP(2,1/((Budgets!$A$2:$A$200=BC$1)*(Budgets!$B$2:$B$200&lt;EDATE($A9,1))),Budgets!$C$2:$C$200),0))</f>
        <v/>
      </c>
      <c r="BD9" s="23">
        <f>IF(OR(BD$1="",$BM9=0),"",IFERROR(LOOKUP(2,1/((Budgets!$A$2:$A$200=BD$1)*(Budgets!$B$2:$B$200&lt;EDATE($A9,1))),Budgets!$C$2:$C$200),0))</f>
        <v/>
      </c>
      <c r="BE9" s="23">
        <f>IF(OR(BE$1="",$BM9=0),"",IFERROR(LOOKUP(2,1/((Budgets!$A$2:$A$200=BE$1)*(Budgets!$B$2:$B$200&lt;EDATE($A9,1))),Budgets!$C$2:$C$200),0))</f>
        <v/>
      </c>
      <c r="BF9" s="23">
        <f>IF(OR(BF$1="",$BM9=0),"",IFERROR(LOOKUP(2,1/((Budgets!$A$2:$A$200=BF$1)*(Budgets!$B$2:$B$200&lt;EDATE($A9,1))),Budgets!$C$2:$C$200),0))</f>
        <v/>
      </c>
      <c r="BG9" s="23">
        <f>IF(OR(BG$1="",$BM9=0),"",IFERROR(LOOKUP(2,1/((Budgets!$A$2:$A$200=BG$1)*(Budgets!$B$2:$B$200&lt;EDATE($A9,1))),Budgets!$C$2:$C$200),0))</f>
        <v/>
      </c>
      <c r="BH9" s="23">
        <f>IF(OR(BH$1="",$BM9=0),"",IFERROR(LOOKUP(2,1/((Budgets!$A$2:$A$200=BH$1)*(Budgets!$B$2:$B$200&lt;EDATE($A9,1))),Budgets!$C$2:$C$200),0))</f>
        <v/>
      </c>
      <c r="BI9" s="23">
        <f>IF(OR(BI$1="",$BM9=0),"",IFERROR(LOOKUP(2,1/((Budgets!$A$2:$A$200=BI$1)*(Budgets!$B$2:$B$200&lt;EDATE($A9,1))),Budgets!$C$2:$C$200),0))</f>
        <v/>
      </c>
      <c r="BJ9" s="23">
        <f>IF(OR(BJ$1="",$BM9=0),"",IFERROR(LOOKUP(2,1/((Budgets!$A$2:$A$200=BJ$1)*(Budgets!$B$2:$B$200&lt;EDATE($A9,1))),Budgets!$C$2:$C$200),0))</f>
        <v/>
      </c>
      <c r="BK9" s="23">
        <f>IF(OR(BK$1="",$BM9=0),"",IFERROR(LOOKUP(2,1/((Budgets!$A$2:$A$200=BK$1)*(Budgets!$B$2:$B$200&lt;EDATE($A9,1))),Budgets!$C$2:$C$200),0))</f>
        <v/>
      </c>
      <c r="BM9" s="21">
        <f>COUNTIFS(Entries!$A$2:$A$5000,"&gt;="&amp;$A9,Entries!$A$2:$A$5000,"&lt;"&amp;EDATE($A9,1))</f>
        <v/>
      </c>
    </row>
    <row r="10">
      <c r="A10" s="22" t="n">
        <v>39692</v>
      </c>
      <c r="B10" s="23">
        <f>IF($BM10=0,NA(),SUMIFS(Entries!$E$2:$E$5000,Entries!$C$2:$C$5000,"Income",Entries!$A$2:$A$5000,"&gt;="&amp;$A10,Entries!$A$2:$A$5000,"&lt;"&amp;EDATE($A10,1)))</f>
        <v/>
      </c>
      <c r="C10" s="23">
        <f>IF($BM10=0,"",SUMIFS(Entries!$E$2:$E$5000,Entries!$C$2:$C$5000,"Actual",Entries!$A$2:$A$5000,"&gt;="&amp;$A10,Entries!$A$2:$A$5000,"&lt;"&amp;EDATE($A10,1)))</f>
        <v/>
      </c>
      <c r="D10" s="23">
        <f>IF($BM10=0,"",SUMIFS(Entries!$E$2:$E$5000,Entries!$C$2:$C$5000,"One-off",Entries!$A$2:$A$5000,"&gt;="&amp;$A10,Entries!$A$2:$A$5000,"&lt;"&amp;EDATE($A10,1)))</f>
        <v/>
      </c>
      <c r="E10" s="23">
        <f>IF($BM10=0,NA(),C10+D10)</f>
        <v/>
      </c>
      <c r="F10" s="23">
        <f>IF($BM10=0,"",SUM(AR10:BK10))</f>
        <v/>
      </c>
      <c r="G10" s="23">
        <f>IF($BM10=0,"",B10-E10)</f>
        <v/>
      </c>
      <c r="H10" s="23">
        <f>IF($BM10=0,"",SUM($G$2:G10))</f>
        <v/>
      </c>
      <c r="I10" s="23">
        <f>IF($BM10=0,"",SUMIFS(Entries!$G$2:$G$5000,Entries!$A$2:$A$5000,"&gt;="&amp;$A10,Entries!$A$2:$A$5000,"&lt;"&amp;EDATE($A10,1)))</f>
        <v/>
      </c>
      <c r="J10" s="23">
        <f>IF($BM10=0,NA(),H10)</f>
        <v/>
      </c>
      <c r="K10" s="23">
        <f>""</f>
        <v/>
      </c>
      <c r="L10" s="23">
        <f>""</f>
        <v/>
      </c>
      <c r="M10" s="24">
        <f>NA()</f>
        <v/>
      </c>
      <c r="N10" s="23">
        <f>IF($BM10=0,NA(),SUMIFS(Entries!$E$2:$E$5000,Entries!$D$2:$D$5000,"Core",Entries!$A$2:$A$5000,"&gt;="&amp;$A10,Entries!$A$2:$A$5000,"&lt;"&amp;EDATE($A10,1)))</f>
        <v/>
      </c>
      <c r="O10" s="23">
        <f>IF($BM10=0,NA(),SUMIFS(Entries!$E$2:$E$5000,Entries!$D$2:$D$5000,"Over &amp; above",Entries!$A$2:$A$5000,"&gt;="&amp;$A10,Entries!$A$2:$A$5000,"&lt;"&amp;EDATE($A10,1)))</f>
        <v/>
      </c>
      <c r="P10" s="23">
        <f>IF($BM10=0,NA(),SUMIFS(Entries!$E$2:$E$5000,Entries!$D$2:$D$5000,"One-off",Entries!$A$2:$A$5000,"&gt;="&amp;$A10,Entries!$A$2:$A$5000,"&lt;"&amp;EDATE($A10,1)))</f>
        <v/>
      </c>
      <c r="Q10" s="23">
        <f>IF($BM10=0,NA(),SUMIFS(Entries!$E$2:$E$5000,Entries!$D$2:$D$5000,"Reimbursable",Entries!$A$2:$A$5000,"&gt;="&amp;$A10,Entries!$A$2:$A$5000,"&lt;"&amp;EDATE($A10,1)))</f>
        <v/>
      </c>
      <c r="R10" s="23">
        <f>IF($BM10=0,NA(),SUMIFS(Entries!$E$2:$E$5000,Entries!$D$2:$D$5000,"Investment",Entries!$A$2:$A$5000,"&gt;="&amp;$A10,Entries!$A$2:$A$5000,"&lt;"&amp;EDATE($A10,1)))</f>
        <v/>
      </c>
      <c r="S10" s="23">
        <f>IF($BM10=0,NA(),N10+O10)</f>
        <v/>
      </c>
      <c r="T10" s="23">
        <f>IF($BM10=0,"",E10-Q10)</f>
        <v/>
      </c>
      <c r="W10" s="23">
        <f>IF(OR(W$1="",$BM10=0),"",SUMIFS(Entries!$E$2:$E$5000,Entries!$C$2:$C$5000,"Actual",Entries!$A$2:$A$5000,"&gt;="&amp;$A10,Entries!$A$2:$A$5000,"&lt;"&amp;EDATE($A10,1),Entries!$B$2:$B$5000,W$1))</f>
        <v/>
      </c>
      <c r="X10" s="23">
        <f>IF(OR(X$1="",$BM10=0),"",SUMIFS(Entries!$E$2:$E$5000,Entries!$C$2:$C$5000,"Actual",Entries!$A$2:$A$5000,"&gt;="&amp;$A10,Entries!$A$2:$A$5000,"&lt;"&amp;EDATE($A10,1),Entries!$B$2:$B$5000,X$1))</f>
        <v/>
      </c>
      <c r="Y10" s="23">
        <f>IF(OR(Y$1="",$BM10=0),"",SUMIFS(Entries!$E$2:$E$5000,Entries!$C$2:$C$5000,"Actual",Entries!$A$2:$A$5000,"&gt;="&amp;$A10,Entries!$A$2:$A$5000,"&lt;"&amp;EDATE($A10,1),Entries!$B$2:$B$5000,Y$1))</f>
        <v/>
      </c>
      <c r="Z10" s="23">
        <f>IF(OR(Z$1="",$BM10=0),"",SUMIFS(Entries!$E$2:$E$5000,Entries!$C$2:$C$5000,"Actual",Entries!$A$2:$A$5000,"&gt;="&amp;$A10,Entries!$A$2:$A$5000,"&lt;"&amp;EDATE($A10,1),Entries!$B$2:$B$5000,Z$1))</f>
        <v/>
      </c>
      <c r="AA10" s="23">
        <f>IF(OR(AA$1="",$BM10=0),"",SUMIFS(Entries!$E$2:$E$5000,Entries!$C$2:$C$5000,"Actual",Entries!$A$2:$A$5000,"&gt;="&amp;$A10,Entries!$A$2:$A$5000,"&lt;"&amp;EDATE($A10,1),Entries!$B$2:$B$5000,AA$1))</f>
        <v/>
      </c>
      <c r="AB10" s="23">
        <f>IF(OR(AB$1="",$BM10=0),"",SUMIFS(Entries!$E$2:$E$5000,Entries!$C$2:$C$5000,"Actual",Entries!$A$2:$A$5000,"&gt;="&amp;$A10,Entries!$A$2:$A$5000,"&lt;"&amp;EDATE($A10,1),Entries!$B$2:$B$5000,AB$1))</f>
        <v/>
      </c>
      <c r="AC10" s="23">
        <f>IF(OR(AC$1="",$BM10=0),"",SUMIFS(Entries!$E$2:$E$5000,Entries!$C$2:$C$5000,"Actual",Entries!$A$2:$A$5000,"&gt;="&amp;$A10,Entries!$A$2:$A$5000,"&lt;"&amp;EDATE($A10,1),Entries!$B$2:$B$5000,AC$1))</f>
        <v/>
      </c>
      <c r="AD10" s="23">
        <f>IF(OR(AD$1="",$BM10=0),"",SUMIFS(Entries!$E$2:$E$5000,Entries!$C$2:$C$5000,"Actual",Entries!$A$2:$A$5000,"&gt;="&amp;$A10,Entries!$A$2:$A$5000,"&lt;"&amp;EDATE($A10,1),Entries!$B$2:$B$5000,AD$1))</f>
        <v/>
      </c>
      <c r="AE10" s="23">
        <f>IF(OR(AE$1="",$BM10=0),"",SUMIFS(Entries!$E$2:$E$5000,Entries!$C$2:$C$5000,"Actual",Entries!$A$2:$A$5000,"&gt;="&amp;$A10,Entries!$A$2:$A$5000,"&lt;"&amp;EDATE($A10,1),Entries!$B$2:$B$5000,AE$1))</f>
        <v/>
      </c>
      <c r="AF10" s="23">
        <f>IF(OR(AF$1="",$BM10=0),"",SUMIFS(Entries!$E$2:$E$5000,Entries!$C$2:$C$5000,"Actual",Entries!$A$2:$A$5000,"&gt;="&amp;$A10,Entries!$A$2:$A$5000,"&lt;"&amp;EDATE($A10,1),Entries!$B$2:$B$5000,AF$1))</f>
        <v/>
      </c>
      <c r="AG10" s="23">
        <f>IF(OR(AG$1="",$BM10=0),"",SUMIFS(Entries!$E$2:$E$5000,Entries!$C$2:$C$5000,"Actual",Entries!$A$2:$A$5000,"&gt;="&amp;$A10,Entries!$A$2:$A$5000,"&lt;"&amp;EDATE($A10,1),Entries!$B$2:$B$5000,AG$1))</f>
        <v/>
      </c>
      <c r="AH10" s="23">
        <f>IF(OR(AH$1="",$BM10=0),"",SUMIFS(Entries!$E$2:$E$5000,Entries!$C$2:$C$5000,"Actual",Entries!$A$2:$A$5000,"&gt;="&amp;$A10,Entries!$A$2:$A$5000,"&lt;"&amp;EDATE($A10,1),Entries!$B$2:$B$5000,AH$1))</f>
        <v/>
      </c>
      <c r="AI10" s="23">
        <f>IF(OR(AI$1="",$BM10=0),"",SUMIFS(Entries!$E$2:$E$5000,Entries!$C$2:$C$5000,"Actual",Entries!$A$2:$A$5000,"&gt;="&amp;$A10,Entries!$A$2:$A$5000,"&lt;"&amp;EDATE($A10,1),Entries!$B$2:$B$5000,AI$1))</f>
        <v/>
      </c>
      <c r="AJ10" s="23">
        <f>IF(OR(AJ$1="",$BM10=0),"",SUMIFS(Entries!$E$2:$E$5000,Entries!$C$2:$C$5000,"Actual",Entries!$A$2:$A$5000,"&gt;="&amp;$A10,Entries!$A$2:$A$5000,"&lt;"&amp;EDATE($A10,1),Entries!$B$2:$B$5000,AJ$1))</f>
        <v/>
      </c>
      <c r="AK10" s="23">
        <f>IF(OR(AK$1="",$BM10=0),"",SUMIFS(Entries!$E$2:$E$5000,Entries!$C$2:$C$5000,"Actual",Entries!$A$2:$A$5000,"&gt;="&amp;$A10,Entries!$A$2:$A$5000,"&lt;"&amp;EDATE($A10,1),Entries!$B$2:$B$5000,AK$1))</f>
        <v/>
      </c>
      <c r="AL10" s="23">
        <f>IF(OR(AL$1="",$BM10=0),"",SUMIFS(Entries!$E$2:$E$5000,Entries!$C$2:$C$5000,"Actual",Entries!$A$2:$A$5000,"&gt;="&amp;$A10,Entries!$A$2:$A$5000,"&lt;"&amp;EDATE($A10,1),Entries!$B$2:$B$5000,AL$1))</f>
        <v/>
      </c>
      <c r="AM10" s="23">
        <f>IF(OR(AM$1="",$BM10=0),"",SUMIFS(Entries!$E$2:$E$5000,Entries!$C$2:$C$5000,"Actual",Entries!$A$2:$A$5000,"&gt;="&amp;$A10,Entries!$A$2:$A$5000,"&lt;"&amp;EDATE($A10,1),Entries!$B$2:$B$5000,AM$1))</f>
        <v/>
      </c>
      <c r="AN10" s="23">
        <f>IF(OR(AN$1="",$BM10=0),"",SUMIFS(Entries!$E$2:$E$5000,Entries!$C$2:$C$5000,"Actual",Entries!$A$2:$A$5000,"&gt;="&amp;$A10,Entries!$A$2:$A$5000,"&lt;"&amp;EDATE($A10,1),Entries!$B$2:$B$5000,AN$1))</f>
        <v/>
      </c>
      <c r="AO10" s="23">
        <f>IF(OR(AO$1="",$BM10=0),"",SUMIFS(Entries!$E$2:$E$5000,Entries!$C$2:$C$5000,"Actual",Entries!$A$2:$A$5000,"&gt;="&amp;$A10,Entries!$A$2:$A$5000,"&lt;"&amp;EDATE($A10,1),Entries!$B$2:$B$5000,AO$1))</f>
        <v/>
      </c>
      <c r="AP10" s="23">
        <f>IF(OR(AP$1="",$BM10=0),"",SUMIFS(Entries!$E$2:$E$5000,Entries!$C$2:$C$5000,"Actual",Entries!$A$2:$A$5000,"&gt;="&amp;$A10,Entries!$A$2:$A$5000,"&lt;"&amp;EDATE($A10,1),Entries!$B$2:$B$5000,AP$1))</f>
        <v/>
      </c>
      <c r="AR10" s="23">
        <f>IF(OR(AR$1="",$BM10=0),"",IFERROR(LOOKUP(2,1/((Budgets!$A$2:$A$200=AR$1)*(Budgets!$B$2:$B$200&lt;EDATE($A10,1))),Budgets!$C$2:$C$200),0))</f>
        <v/>
      </c>
      <c r="AS10" s="23">
        <f>IF(OR(AS$1="",$BM10=0),"",IFERROR(LOOKUP(2,1/((Budgets!$A$2:$A$200=AS$1)*(Budgets!$B$2:$B$200&lt;EDATE($A10,1))),Budgets!$C$2:$C$200),0))</f>
        <v/>
      </c>
      <c r="AT10" s="23">
        <f>IF(OR(AT$1="",$BM10=0),"",IFERROR(LOOKUP(2,1/((Budgets!$A$2:$A$200=AT$1)*(Budgets!$B$2:$B$200&lt;EDATE($A10,1))),Budgets!$C$2:$C$200),0))</f>
        <v/>
      </c>
      <c r="AU10" s="23">
        <f>IF(OR(AU$1="",$BM10=0),"",IFERROR(LOOKUP(2,1/((Budgets!$A$2:$A$200=AU$1)*(Budgets!$B$2:$B$200&lt;EDATE($A10,1))),Budgets!$C$2:$C$200),0))</f>
        <v/>
      </c>
      <c r="AV10" s="23">
        <f>IF(OR(AV$1="",$BM10=0),"",IFERROR(LOOKUP(2,1/((Budgets!$A$2:$A$200=AV$1)*(Budgets!$B$2:$B$200&lt;EDATE($A10,1))),Budgets!$C$2:$C$200),0))</f>
        <v/>
      </c>
      <c r="AW10" s="23">
        <f>IF(OR(AW$1="",$BM10=0),"",IFERROR(LOOKUP(2,1/((Budgets!$A$2:$A$200=AW$1)*(Budgets!$B$2:$B$200&lt;EDATE($A10,1))),Budgets!$C$2:$C$200),0))</f>
        <v/>
      </c>
      <c r="AX10" s="23">
        <f>IF(OR(AX$1="",$BM10=0),"",IFERROR(LOOKUP(2,1/((Budgets!$A$2:$A$200=AX$1)*(Budgets!$B$2:$B$200&lt;EDATE($A10,1))),Budgets!$C$2:$C$200),0))</f>
        <v/>
      </c>
      <c r="AY10" s="23">
        <f>IF(OR(AY$1="",$BM10=0),"",IFERROR(LOOKUP(2,1/((Budgets!$A$2:$A$200=AY$1)*(Budgets!$B$2:$B$200&lt;EDATE($A10,1))),Budgets!$C$2:$C$200),0))</f>
        <v/>
      </c>
      <c r="AZ10" s="23">
        <f>IF(OR(AZ$1="",$BM10=0),"",IFERROR(LOOKUP(2,1/((Budgets!$A$2:$A$200=AZ$1)*(Budgets!$B$2:$B$200&lt;EDATE($A10,1))),Budgets!$C$2:$C$200),0))</f>
        <v/>
      </c>
      <c r="BA10" s="23">
        <f>IF(OR(BA$1="",$BM10=0),"",IFERROR(LOOKUP(2,1/((Budgets!$A$2:$A$200=BA$1)*(Budgets!$B$2:$B$200&lt;EDATE($A10,1))),Budgets!$C$2:$C$200),0))</f>
        <v/>
      </c>
      <c r="BB10" s="23">
        <f>IF(OR(BB$1="",$BM10=0),"",IFERROR(LOOKUP(2,1/((Budgets!$A$2:$A$200=BB$1)*(Budgets!$B$2:$B$200&lt;EDATE($A10,1))),Budgets!$C$2:$C$200),0))</f>
        <v/>
      </c>
      <c r="BC10" s="23">
        <f>IF(OR(BC$1="",$BM10=0),"",IFERROR(LOOKUP(2,1/((Budgets!$A$2:$A$200=BC$1)*(Budgets!$B$2:$B$200&lt;EDATE($A10,1))),Budgets!$C$2:$C$200),0))</f>
        <v/>
      </c>
      <c r="BD10" s="23">
        <f>IF(OR(BD$1="",$BM10=0),"",IFERROR(LOOKUP(2,1/((Budgets!$A$2:$A$200=BD$1)*(Budgets!$B$2:$B$200&lt;EDATE($A10,1))),Budgets!$C$2:$C$200),0))</f>
        <v/>
      </c>
      <c r="BE10" s="23">
        <f>IF(OR(BE$1="",$BM10=0),"",IFERROR(LOOKUP(2,1/((Budgets!$A$2:$A$200=BE$1)*(Budgets!$B$2:$B$200&lt;EDATE($A10,1))),Budgets!$C$2:$C$200),0))</f>
        <v/>
      </c>
      <c r="BF10" s="23">
        <f>IF(OR(BF$1="",$BM10=0),"",IFERROR(LOOKUP(2,1/((Budgets!$A$2:$A$200=BF$1)*(Budgets!$B$2:$B$200&lt;EDATE($A10,1))),Budgets!$C$2:$C$200),0))</f>
        <v/>
      </c>
      <c r="BG10" s="23">
        <f>IF(OR(BG$1="",$BM10=0),"",IFERROR(LOOKUP(2,1/((Budgets!$A$2:$A$200=BG$1)*(Budgets!$B$2:$B$200&lt;EDATE($A10,1))),Budgets!$C$2:$C$200),0))</f>
        <v/>
      </c>
      <c r="BH10" s="23">
        <f>IF(OR(BH$1="",$BM10=0),"",IFERROR(LOOKUP(2,1/((Budgets!$A$2:$A$200=BH$1)*(Budgets!$B$2:$B$200&lt;EDATE($A10,1))),Budgets!$C$2:$C$200),0))</f>
        <v/>
      </c>
      <c r="BI10" s="23">
        <f>IF(OR(BI$1="",$BM10=0),"",IFERROR(LOOKUP(2,1/((Budgets!$A$2:$A$200=BI$1)*(Budgets!$B$2:$B$200&lt;EDATE($A10,1))),Budgets!$C$2:$C$200),0))</f>
        <v/>
      </c>
      <c r="BJ10" s="23">
        <f>IF(OR(BJ$1="",$BM10=0),"",IFERROR(LOOKUP(2,1/((Budgets!$A$2:$A$200=BJ$1)*(Budgets!$B$2:$B$200&lt;EDATE($A10,1))),Budgets!$C$2:$C$200),0))</f>
        <v/>
      </c>
      <c r="BK10" s="23">
        <f>IF(OR(BK$1="",$BM10=0),"",IFERROR(LOOKUP(2,1/((Budgets!$A$2:$A$200=BK$1)*(Budgets!$B$2:$B$200&lt;EDATE($A10,1))),Budgets!$C$2:$C$200),0))</f>
        <v/>
      </c>
      <c r="BM10" s="21">
        <f>COUNTIFS(Entries!$A$2:$A$5000,"&gt;="&amp;$A10,Entries!$A$2:$A$5000,"&lt;"&amp;EDATE($A10,1))</f>
        <v/>
      </c>
    </row>
    <row r="11">
      <c r="A11" s="22" t="n">
        <v>39722</v>
      </c>
      <c r="B11" s="23">
        <f>IF($BM11=0,NA(),SUMIFS(Entries!$E$2:$E$5000,Entries!$C$2:$C$5000,"Income",Entries!$A$2:$A$5000,"&gt;="&amp;$A11,Entries!$A$2:$A$5000,"&lt;"&amp;EDATE($A11,1)))</f>
        <v/>
      </c>
      <c r="C11" s="23">
        <f>IF($BM11=0,"",SUMIFS(Entries!$E$2:$E$5000,Entries!$C$2:$C$5000,"Actual",Entries!$A$2:$A$5000,"&gt;="&amp;$A11,Entries!$A$2:$A$5000,"&lt;"&amp;EDATE($A11,1)))</f>
        <v/>
      </c>
      <c r="D11" s="23">
        <f>IF($BM11=0,"",SUMIFS(Entries!$E$2:$E$5000,Entries!$C$2:$C$5000,"One-off",Entries!$A$2:$A$5000,"&gt;="&amp;$A11,Entries!$A$2:$A$5000,"&lt;"&amp;EDATE($A11,1)))</f>
        <v/>
      </c>
      <c r="E11" s="23">
        <f>IF($BM11=0,NA(),C11+D11)</f>
        <v/>
      </c>
      <c r="F11" s="23">
        <f>IF($BM11=0,"",SUM(AR11:BK11))</f>
        <v/>
      </c>
      <c r="G11" s="23">
        <f>IF($BM11=0,"",B11-E11)</f>
        <v/>
      </c>
      <c r="H11" s="23">
        <f>IF($BM11=0,"",SUM($G$2:G11))</f>
        <v/>
      </c>
      <c r="I11" s="23">
        <f>IF($BM11=0,"",SUMIFS(Entries!$G$2:$G$5000,Entries!$A$2:$A$5000,"&gt;="&amp;$A11,Entries!$A$2:$A$5000,"&lt;"&amp;EDATE($A11,1)))</f>
        <v/>
      </c>
      <c r="J11" s="23">
        <f>IF($BM11=0,NA(),H11)</f>
        <v/>
      </c>
      <c r="K11" s="23">
        <f>""</f>
        <v/>
      </c>
      <c r="L11" s="23">
        <f>""</f>
        <v/>
      </c>
      <c r="M11" s="24">
        <f>NA()</f>
        <v/>
      </c>
      <c r="N11" s="23">
        <f>IF($BM11=0,NA(),SUMIFS(Entries!$E$2:$E$5000,Entries!$D$2:$D$5000,"Core",Entries!$A$2:$A$5000,"&gt;="&amp;$A11,Entries!$A$2:$A$5000,"&lt;"&amp;EDATE($A11,1)))</f>
        <v/>
      </c>
      <c r="O11" s="23">
        <f>IF($BM11=0,NA(),SUMIFS(Entries!$E$2:$E$5000,Entries!$D$2:$D$5000,"Over &amp; above",Entries!$A$2:$A$5000,"&gt;="&amp;$A11,Entries!$A$2:$A$5000,"&lt;"&amp;EDATE($A11,1)))</f>
        <v/>
      </c>
      <c r="P11" s="23">
        <f>IF($BM11=0,NA(),SUMIFS(Entries!$E$2:$E$5000,Entries!$D$2:$D$5000,"One-off",Entries!$A$2:$A$5000,"&gt;="&amp;$A11,Entries!$A$2:$A$5000,"&lt;"&amp;EDATE($A11,1)))</f>
        <v/>
      </c>
      <c r="Q11" s="23">
        <f>IF($BM11=0,NA(),SUMIFS(Entries!$E$2:$E$5000,Entries!$D$2:$D$5000,"Reimbursable",Entries!$A$2:$A$5000,"&gt;="&amp;$A11,Entries!$A$2:$A$5000,"&lt;"&amp;EDATE($A11,1)))</f>
        <v/>
      </c>
      <c r="R11" s="23">
        <f>IF($BM11=0,NA(),SUMIFS(Entries!$E$2:$E$5000,Entries!$D$2:$D$5000,"Investment",Entries!$A$2:$A$5000,"&gt;="&amp;$A11,Entries!$A$2:$A$5000,"&lt;"&amp;EDATE($A11,1)))</f>
        <v/>
      </c>
      <c r="S11" s="23">
        <f>IF($BM11=0,NA(),N11+O11)</f>
        <v/>
      </c>
      <c r="T11" s="23">
        <f>IF($BM11=0,"",E11-Q11)</f>
        <v/>
      </c>
      <c r="W11" s="23">
        <f>IF(OR(W$1="",$BM11=0),"",SUMIFS(Entries!$E$2:$E$5000,Entries!$C$2:$C$5000,"Actual",Entries!$A$2:$A$5000,"&gt;="&amp;$A11,Entries!$A$2:$A$5000,"&lt;"&amp;EDATE($A11,1),Entries!$B$2:$B$5000,W$1))</f>
        <v/>
      </c>
      <c r="X11" s="23">
        <f>IF(OR(X$1="",$BM11=0),"",SUMIFS(Entries!$E$2:$E$5000,Entries!$C$2:$C$5000,"Actual",Entries!$A$2:$A$5000,"&gt;="&amp;$A11,Entries!$A$2:$A$5000,"&lt;"&amp;EDATE($A11,1),Entries!$B$2:$B$5000,X$1))</f>
        <v/>
      </c>
      <c r="Y11" s="23">
        <f>IF(OR(Y$1="",$BM11=0),"",SUMIFS(Entries!$E$2:$E$5000,Entries!$C$2:$C$5000,"Actual",Entries!$A$2:$A$5000,"&gt;="&amp;$A11,Entries!$A$2:$A$5000,"&lt;"&amp;EDATE($A11,1),Entries!$B$2:$B$5000,Y$1))</f>
        <v/>
      </c>
      <c r="Z11" s="23">
        <f>IF(OR(Z$1="",$BM11=0),"",SUMIFS(Entries!$E$2:$E$5000,Entries!$C$2:$C$5000,"Actual",Entries!$A$2:$A$5000,"&gt;="&amp;$A11,Entries!$A$2:$A$5000,"&lt;"&amp;EDATE($A11,1),Entries!$B$2:$B$5000,Z$1))</f>
        <v/>
      </c>
      <c r="AA11" s="23">
        <f>IF(OR(AA$1="",$BM11=0),"",SUMIFS(Entries!$E$2:$E$5000,Entries!$C$2:$C$5000,"Actual",Entries!$A$2:$A$5000,"&gt;="&amp;$A11,Entries!$A$2:$A$5000,"&lt;"&amp;EDATE($A11,1),Entries!$B$2:$B$5000,AA$1))</f>
        <v/>
      </c>
      <c r="AB11" s="23">
        <f>IF(OR(AB$1="",$BM11=0),"",SUMIFS(Entries!$E$2:$E$5000,Entries!$C$2:$C$5000,"Actual",Entries!$A$2:$A$5000,"&gt;="&amp;$A11,Entries!$A$2:$A$5000,"&lt;"&amp;EDATE($A11,1),Entries!$B$2:$B$5000,AB$1))</f>
        <v/>
      </c>
      <c r="AC11" s="23">
        <f>IF(OR(AC$1="",$BM11=0),"",SUMIFS(Entries!$E$2:$E$5000,Entries!$C$2:$C$5000,"Actual",Entries!$A$2:$A$5000,"&gt;="&amp;$A11,Entries!$A$2:$A$5000,"&lt;"&amp;EDATE($A11,1),Entries!$B$2:$B$5000,AC$1))</f>
        <v/>
      </c>
      <c r="AD11" s="23">
        <f>IF(OR(AD$1="",$BM11=0),"",SUMIFS(Entries!$E$2:$E$5000,Entries!$C$2:$C$5000,"Actual",Entries!$A$2:$A$5000,"&gt;="&amp;$A11,Entries!$A$2:$A$5000,"&lt;"&amp;EDATE($A11,1),Entries!$B$2:$B$5000,AD$1))</f>
        <v/>
      </c>
      <c r="AE11" s="23">
        <f>IF(OR(AE$1="",$BM11=0),"",SUMIFS(Entries!$E$2:$E$5000,Entries!$C$2:$C$5000,"Actual",Entries!$A$2:$A$5000,"&gt;="&amp;$A11,Entries!$A$2:$A$5000,"&lt;"&amp;EDATE($A11,1),Entries!$B$2:$B$5000,AE$1))</f>
        <v/>
      </c>
      <c r="AF11" s="23">
        <f>IF(OR(AF$1="",$BM11=0),"",SUMIFS(Entries!$E$2:$E$5000,Entries!$C$2:$C$5000,"Actual",Entries!$A$2:$A$5000,"&gt;="&amp;$A11,Entries!$A$2:$A$5000,"&lt;"&amp;EDATE($A11,1),Entries!$B$2:$B$5000,AF$1))</f>
        <v/>
      </c>
      <c r="AG11" s="23">
        <f>IF(OR(AG$1="",$BM11=0),"",SUMIFS(Entries!$E$2:$E$5000,Entries!$C$2:$C$5000,"Actual",Entries!$A$2:$A$5000,"&gt;="&amp;$A11,Entries!$A$2:$A$5000,"&lt;"&amp;EDATE($A11,1),Entries!$B$2:$B$5000,AG$1))</f>
        <v/>
      </c>
      <c r="AH11" s="23">
        <f>IF(OR(AH$1="",$BM11=0),"",SUMIFS(Entries!$E$2:$E$5000,Entries!$C$2:$C$5000,"Actual",Entries!$A$2:$A$5000,"&gt;="&amp;$A11,Entries!$A$2:$A$5000,"&lt;"&amp;EDATE($A11,1),Entries!$B$2:$B$5000,AH$1))</f>
        <v/>
      </c>
      <c r="AI11" s="23">
        <f>IF(OR(AI$1="",$BM11=0),"",SUMIFS(Entries!$E$2:$E$5000,Entries!$C$2:$C$5000,"Actual",Entries!$A$2:$A$5000,"&gt;="&amp;$A11,Entries!$A$2:$A$5000,"&lt;"&amp;EDATE($A11,1),Entries!$B$2:$B$5000,AI$1))</f>
        <v/>
      </c>
      <c r="AJ11" s="23">
        <f>IF(OR(AJ$1="",$BM11=0),"",SUMIFS(Entries!$E$2:$E$5000,Entries!$C$2:$C$5000,"Actual",Entries!$A$2:$A$5000,"&gt;="&amp;$A11,Entries!$A$2:$A$5000,"&lt;"&amp;EDATE($A11,1),Entries!$B$2:$B$5000,AJ$1))</f>
        <v/>
      </c>
      <c r="AK11" s="23">
        <f>IF(OR(AK$1="",$BM11=0),"",SUMIFS(Entries!$E$2:$E$5000,Entries!$C$2:$C$5000,"Actual",Entries!$A$2:$A$5000,"&gt;="&amp;$A11,Entries!$A$2:$A$5000,"&lt;"&amp;EDATE($A11,1),Entries!$B$2:$B$5000,AK$1))</f>
        <v/>
      </c>
      <c r="AL11" s="23">
        <f>IF(OR(AL$1="",$BM11=0),"",SUMIFS(Entries!$E$2:$E$5000,Entries!$C$2:$C$5000,"Actual",Entries!$A$2:$A$5000,"&gt;="&amp;$A11,Entries!$A$2:$A$5000,"&lt;"&amp;EDATE($A11,1),Entries!$B$2:$B$5000,AL$1))</f>
        <v/>
      </c>
      <c r="AM11" s="23">
        <f>IF(OR(AM$1="",$BM11=0),"",SUMIFS(Entries!$E$2:$E$5000,Entries!$C$2:$C$5000,"Actual",Entries!$A$2:$A$5000,"&gt;="&amp;$A11,Entries!$A$2:$A$5000,"&lt;"&amp;EDATE($A11,1),Entries!$B$2:$B$5000,AM$1))</f>
        <v/>
      </c>
      <c r="AN11" s="23">
        <f>IF(OR(AN$1="",$BM11=0),"",SUMIFS(Entries!$E$2:$E$5000,Entries!$C$2:$C$5000,"Actual",Entries!$A$2:$A$5000,"&gt;="&amp;$A11,Entries!$A$2:$A$5000,"&lt;"&amp;EDATE($A11,1),Entries!$B$2:$B$5000,AN$1))</f>
        <v/>
      </c>
      <c r="AO11" s="23">
        <f>IF(OR(AO$1="",$BM11=0),"",SUMIFS(Entries!$E$2:$E$5000,Entries!$C$2:$C$5000,"Actual",Entries!$A$2:$A$5000,"&gt;="&amp;$A11,Entries!$A$2:$A$5000,"&lt;"&amp;EDATE($A11,1),Entries!$B$2:$B$5000,AO$1))</f>
        <v/>
      </c>
      <c r="AP11" s="23">
        <f>IF(OR(AP$1="",$BM11=0),"",SUMIFS(Entries!$E$2:$E$5000,Entries!$C$2:$C$5000,"Actual",Entries!$A$2:$A$5000,"&gt;="&amp;$A11,Entries!$A$2:$A$5000,"&lt;"&amp;EDATE($A11,1),Entries!$B$2:$B$5000,AP$1))</f>
        <v/>
      </c>
      <c r="AR11" s="23">
        <f>IF(OR(AR$1="",$BM11=0),"",IFERROR(LOOKUP(2,1/((Budgets!$A$2:$A$200=AR$1)*(Budgets!$B$2:$B$200&lt;EDATE($A11,1))),Budgets!$C$2:$C$200),0))</f>
        <v/>
      </c>
      <c r="AS11" s="23">
        <f>IF(OR(AS$1="",$BM11=0),"",IFERROR(LOOKUP(2,1/((Budgets!$A$2:$A$200=AS$1)*(Budgets!$B$2:$B$200&lt;EDATE($A11,1))),Budgets!$C$2:$C$200),0))</f>
        <v/>
      </c>
      <c r="AT11" s="23">
        <f>IF(OR(AT$1="",$BM11=0),"",IFERROR(LOOKUP(2,1/((Budgets!$A$2:$A$200=AT$1)*(Budgets!$B$2:$B$200&lt;EDATE($A11,1))),Budgets!$C$2:$C$200),0))</f>
        <v/>
      </c>
      <c r="AU11" s="23">
        <f>IF(OR(AU$1="",$BM11=0),"",IFERROR(LOOKUP(2,1/((Budgets!$A$2:$A$200=AU$1)*(Budgets!$B$2:$B$200&lt;EDATE($A11,1))),Budgets!$C$2:$C$200),0))</f>
        <v/>
      </c>
      <c r="AV11" s="23">
        <f>IF(OR(AV$1="",$BM11=0),"",IFERROR(LOOKUP(2,1/((Budgets!$A$2:$A$200=AV$1)*(Budgets!$B$2:$B$200&lt;EDATE($A11,1))),Budgets!$C$2:$C$200),0))</f>
        <v/>
      </c>
      <c r="AW11" s="23">
        <f>IF(OR(AW$1="",$BM11=0),"",IFERROR(LOOKUP(2,1/((Budgets!$A$2:$A$200=AW$1)*(Budgets!$B$2:$B$200&lt;EDATE($A11,1))),Budgets!$C$2:$C$200),0))</f>
        <v/>
      </c>
      <c r="AX11" s="23">
        <f>IF(OR(AX$1="",$BM11=0),"",IFERROR(LOOKUP(2,1/((Budgets!$A$2:$A$200=AX$1)*(Budgets!$B$2:$B$200&lt;EDATE($A11,1))),Budgets!$C$2:$C$200),0))</f>
        <v/>
      </c>
      <c r="AY11" s="23">
        <f>IF(OR(AY$1="",$BM11=0),"",IFERROR(LOOKUP(2,1/((Budgets!$A$2:$A$200=AY$1)*(Budgets!$B$2:$B$200&lt;EDATE($A11,1))),Budgets!$C$2:$C$200),0))</f>
        <v/>
      </c>
      <c r="AZ11" s="23">
        <f>IF(OR(AZ$1="",$BM11=0),"",IFERROR(LOOKUP(2,1/((Budgets!$A$2:$A$200=AZ$1)*(Budgets!$B$2:$B$200&lt;EDATE($A11,1))),Budgets!$C$2:$C$200),0))</f>
        <v/>
      </c>
      <c r="BA11" s="23">
        <f>IF(OR(BA$1="",$BM11=0),"",IFERROR(LOOKUP(2,1/((Budgets!$A$2:$A$200=BA$1)*(Budgets!$B$2:$B$200&lt;EDATE($A11,1))),Budgets!$C$2:$C$200),0))</f>
        <v/>
      </c>
      <c r="BB11" s="23">
        <f>IF(OR(BB$1="",$BM11=0),"",IFERROR(LOOKUP(2,1/((Budgets!$A$2:$A$200=BB$1)*(Budgets!$B$2:$B$200&lt;EDATE($A11,1))),Budgets!$C$2:$C$200),0))</f>
        <v/>
      </c>
      <c r="BC11" s="23">
        <f>IF(OR(BC$1="",$BM11=0),"",IFERROR(LOOKUP(2,1/((Budgets!$A$2:$A$200=BC$1)*(Budgets!$B$2:$B$200&lt;EDATE($A11,1))),Budgets!$C$2:$C$200),0))</f>
        <v/>
      </c>
      <c r="BD11" s="23">
        <f>IF(OR(BD$1="",$BM11=0),"",IFERROR(LOOKUP(2,1/((Budgets!$A$2:$A$200=BD$1)*(Budgets!$B$2:$B$200&lt;EDATE($A11,1))),Budgets!$C$2:$C$200),0))</f>
        <v/>
      </c>
      <c r="BE11" s="23">
        <f>IF(OR(BE$1="",$BM11=0),"",IFERROR(LOOKUP(2,1/((Budgets!$A$2:$A$200=BE$1)*(Budgets!$B$2:$B$200&lt;EDATE($A11,1))),Budgets!$C$2:$C$200),0))</f>
        <v/>
      </c>
      <c r="BF11" s="23">
        <f>IF(OR(BF$1="",$BM11=0),"",IFERROR(LOOKUP(2,1/((Budgets!$A$2:$A$200=BF$1)*(Budgets!$B$2:$B$200&lt;EDATE($A11,1))),Budgets!$C$2:$C$200),0))</f>
        <v/>
      </c>
      <c r="BG11" s="23">
        <f>IF(OR(BG$1="",$BM11=0),"",IFERROR(LOOKUP(2,1/((Budgets!$A$2:$A$200=BG$1)*(Budgets!$B$2:$B$200&lt;EDATE($A11,1))),Budgets!$C$2:$C$200),0))</f>
        <v/>
      </c>
      <c r="BH11" s="23">
        <f>IF(OR(BH$1="",$BM11=0),"",IFERROR(LOOKUP(2,1/((Budgets!$A$2:$A$200=BH$1)*(Budgets!$B$2:$B$200&lt;EDATE($A11,1))),Budgets!$C$2:$C$200),0))</f>
        <v/>
      </c>
      <c r="BI11" s="23">
        <f>IF(OR(BI$1="",$BM11=0),"",IFERROR(LOOKUP(2,1/((Budgets!$A$2:$A$200=BI$1)*(Budgets!$B$2:$B$200&lt;EDATE($A11,1))),Budgets!$C$2:$C$200),0))</f>
        <v/>
      </c>
      <c r="BJ11" s="23">
        <f>IF(OR(BJ$1="",$BM11=0),"",IFERROR(LOOKUP(2,1/((Budgets!$A$2:$A$200=BJ$1)*(Budgets!$B$2:$B$200&lt;EDATE($A11,1))),Budgets!$C$2:$C$200),0))</f>
        <v/>
      </c>
      <c r="BK11" s="23">
        <f>IF(OR(BK$1="",$BM11=0),"",IFERROR(LOOKUP(2,1/((Budgets!$A$2:$A$200=BK$1)*(Budgets!$B$2:$B$200&lt;EDATE($A11,1))),Budgets!$C$2:$C$200),0))</f>
        <v/>
      </c>
      <c r="BM11" s="21">
        <f>COUNTIFS(Entries!$A$2:$A$5000,"&gt;="&amp;$A11,Entries!$A$2:$A$5000,"&lt;"&amp;EDATE($A11,1))</f>
        <v/>
      </c>
    </row>
    <row r="12">
      <c r="A12" s="22" t="n">
        <v>39753</v>
      </c>
      <c r="B12" s="23">
        <f>IF($BM12=0,NA(),SUMIFS(Entries!$E$2:$E$5000,Entries!$C$2:$C$5000,"Income",Entries!$A$2:$A$5000,"&gt;="&amp;$A12,Entries!$A$2:$A$5000,"&lt;"&amp;EDATE($A12,1)))</f>
        <v/>
      </c>
      <c r="C12" s="23">
        <f>IF($BM12=0,"",SUMIFS(Entries!$E$2:$E$5000,Entries!$C$2:$C$5000,"Actual",Entries!$A$2:$A$5000,"&gt;="&amp;$A12,Entries!$A$2:$A$5000,"&lt;"&amp;EDATE($A12,1)))</f>
        <v/>
      </c>
      <c r="D12" s="23">
        <f>IF($BM12=0,"",SUMIFS(Entries!$E$2:$E$5000,Entries!$C$2:$C$5000,"One-off",Entries!$A$2:$A$5000,"&gt;="&amp;$A12,Entries!$A$2:$A$5000,"&lt;"&amp;EDATE($A12,1)))</f>
        <v/>
      </c>
      <c r="E12" s="23">
        <f>IF($BM12=0,NA(),C12+D12)</f>
        <v/>
      </c>
      <c r="F12" s="23">
        <f>IF($BM12=0,"",SUM(AR12:BK12))</f>
        <v/>
      </c>
      <c r="G12" s="23">
        <f>IF($BM12=0,"",B12-E12)</f>
        <v/>
      </c>
      <c r="H12" s="23">
        <f>IF($BM12=0,"",SUM($G$2:G12))</f>
        <v/>
      </c>
      <c r="I12" s="23">
        <f>IF($BM12=0,"",SUMIFS(Entries!$G$2:$G$5000,Entries!$A$2:$A$5000,"&gt;="&amp;$A12,Entries!$A$2:$A$5000,"&lt;"&amp;EDATE($A12,1)))</f>
        <v/>
      </c>
      <c r="J12" s="23">
        <f>IF($BM12=0,NA(),H12)</f>
        <v/>
      </c>
      <c r="K12" s="23">
        <f>""</f>
        <v/>
      </c>
      <c r="L12" s="23">
        <f>""</f>
        <v/>
      </c>
      <c r="M12" s="24">
        <f>NA()</f>
        <v/>
      </c>
      <c r="N12" s="23">
        <f>IF($BM12=0,NA(),SUMIFS(Entries!$E$2:$E$5000,Entries!$D$2:$D$5000,"Core",Entries!$A$2:$A$5000,"&gt;="&amp;$A12,Entries!$A$2:$A$5000,"&lt;"&amp;EDATE($A12,1)))</f>
        <v/>
      </c>
      <c r="O12" s="23">
        <f>IF($BM12=0,NA(),SUMIFS(Entries!$E$2:$E$5000,Entries!$D$2:$D$5000,"Over &amp; above",Entries!$A$2:$A$5000,"&gt;="&amp;$A12,Entries!$A$2:$A$5000,"&lt;"&amp;EDATE($A12,1)))</f>
        <v/>
      </c>
      <c r="P12" s="23">
        <f>IF($BM12=0,NA(),SUMIFS(Entries!$E$2:$E$5000,Entries!$D$2:$D$5000,"One-off",Entries!$A$2:$A$5000,"&gt;="&amp;$A12,Entries!$A$2:$A$5000,"&lt;"&amp;EDATE($A12,1)))</f>
        <v/>
      </c>
      <c r="Q12" s="23">
        <f>IF($BM12=0,NA(),SUMIFS(Entries!$E$2:$E$5000,Entries!$D$2:$D$5000,"Reimbursable",Entries!$A$2:$A$5000,"&gt;="&amp;$A12,Entries!$A$2:$A$5000,"&lt;"&amp;EDATE($A12,1)))</f>
        <v/>
      </c>
      <c r="R12" s="23">
        <f>IF($BM12=0,NA(),SUMIFS(Entries!$E$2:$E$5000,Entries!$D$2:$D$5000,"Investment",Entries!$A$2:$A$5000,"&gt;="&amp;$A12,Entries!$A$2:$A$5000,"&lt;"&amp;EDATE($A12,1)))</f>
        <v/>
      </c>
      <c r="S12" s="23">
        <f>IF($BM12=0,NA(),N12+O12)</f>
        <v/>
      </c>
      <c r="T12" s="23">
        <f>IF($BM12=0,"",E12-Q12)</f>
        <v/>
      </c>
      <c r="W12" s="23">
        <f>IF(OR(W$1="",$BM12=0),"",SUMIFS(Entries!$E$2:$E$5000,Entries!$C$2:$C$5000,"Actual",Entries!$A$2:$A$5000,"&gt;="&amp;$A12,Entries!$A$2:$A$5000,"&lt;"&amp;EDATE($A12,1),Entries!$B$2:$B$5000,W$1))</f>
        <v/>
      </c>
      <c r="X12" s="23">
        <f>IF(OR(X$1="",$BM12=0),"",SUMIFS(Entries!$E$2:$E$5000,Entries!$C$2:$C$5000,"Actual",Entries!$A$2:$A$5000,"&gt;="&amp;$A12,Entries!$A$2:$A$5000,"&lt;"&amp;EDATE($A12,1),Entries!$B$2:$B$5000,X$1))</f>
        <v/>
      </c>
      <c r="Y12" s="23">
        <f>IF(OR(Y$1="",$BM12=0),"",SUMIFS(Entries!$E$2:$E$5000,Entries!$C$2:$C$5000,"Actual",Entries!$A$2:$A$5000,"&gt;="&amp;$A12,Entries!$A$2:$A$5000,"&lt;"&amp;EDATE($A12,1),Entries!$B$2:$B$5000,Y$1))</f>
        <v/>
      </c>
      <c r="Z12" s="23">
        <f>IF(OR(Z$1="",$BM12=0),"",SUMIFS(Entries!$E$2:$E$5000,Entries!$C$2:$C$5000,"Actual",Entries!$A$2:$A$5000,"&gt;="&amp;$A12,Entries!$A$2:$A$5000,"&lt;"&amp;EDATE($A12,1),Entries!$B$2:$B$5000,Z$1))</f>
        <v/>
      </c>
      <c r="AA12" s="23">
        <f>IF(OR(AA$1="",$BM12=0),"",SUMIFS(Entries!$E$2:$E$5000,Entries!$C$2:$C$5000,"Actual",Entries!$A$2:$A$5000,"&gt;="&amp;$A12,Entries!$A$2:$A$5000,"&lt;"&amp;EDATE($A12,1),Entries!$B$2:$B$5000,AA$1))</f>
        <v/>
      </c>
      <c r="AB12" s="23">
        <f>IF(OR(AB$1="",$BM12=0),"",SUMIFS(Entries!$E$2:$E$5000,Entries!$C$2:$C$5000,"Actual",Entries!$A$2:$A$5000,"&gt;="&amp;$A12,Entries!$A$2:$A$5000,"&lt;"&amp;EDATE($A12,1),Entries!$B$2:$B$5000,AB$1))</f>
        <v/>
      </c>
      <c r="AC12" s="23">
        <f>IF(OR(AC$1="",$BM12=0),"",SUMIFS(Entries!$E$2:$E$5000,Entries!$C$2:$C$5000,"Actual",Entries!$A$2:$A$5000,"&gt;="&amp;$A12,Entries!$A$2:$A$5000,"&lt;"&amp;EDATE($A12,1),Entries!$B$2:$B$5000,AC$1))</f>
        <v/>
      </c>
      <c r="AD12" s="23">
        <f>IF(OR(AD$1="",$BM12=0),"",SUMIFS(Entries!$E$2:$E$5000,Entries!$C$2:$C$5000,"Actual",Entries!$A$2:$A$5000,"&gt;="&amp;$A12,Entries!$A$2:$A$5000,"&lt;"&amp;EDATE($A12,1),Entries!$B$2:$B$5000,AD$1))</f>
        <v/>
      </c>
      <c r="AE12" s="23">
        <f>IF(OR(AE$1="",$BM12=0),"",SUMIFS(Entries!$E$2:$E$5000,Entries!$C$2:$C$5000,"Actual",Entries!$A$2:$A$5000,"&gt;="&amp;$A12,Entries!$A$2:$A$5000,"&lt;"&amp;EDATE($A12,1),Entries!$B$2:$B$5000,AE$1))</f>
        <v/>
      </c>
      <c r="AF12" s="23">
        <f>IF(OR(AF$1="",$BM12=0),"",SUMIFS(Entries!$E$2:$E$5000,Entries!$C$2:$C$5000,"Actual",Entries!$A$2:$A$5000,"&gt;="&amp;$A12,Entries!$A$2:$A$5000,"&lt;"&amp;EDATE($A12,1),Entries!$B$2:$B$5000,AF$1))</f>
        <v/>
      </c>
      <c r="AG12" s="23">
        <f>IF(OR(AG$1="",$BM12=0),"",SUMIFS(Entries!$E$2:$E$5000,Entries!$C$2:$C$5000,"Actual",Entries!$A$2:$A$5000,"&gt;="&amp;$A12,Entries!$A$2:$A$5000,"&lt;"&amp;EDATE($A12,1),Entries!$B$2:$B$5000,AG$1))</f>
        <v/>
      </c>
      <c r="AH12" s="23">
        <f>IF(OR(AH$1="",$BM12=0),"",SUMIFS(Entries!$E$2:$E$5000,Entries!$C$2:$C$5000,"Actual",Entries!$A$2:$A$5000,"&gt;="&amp;$A12,Entries!$A$2:$A$5000,"&lt;"&amp;EDATE($A12,1),Entries!$B$2:$B$5000,AH$1))</f>
        <v/>
      </c>
      <c r="AI12" s="23">
        <f>IF(OR(AI$1="",$BM12=0),"",SUMIFS(Entries!$E$2:$E$5000,Entries!$C$2:$C$5000,"Actual",Entries!$A$2:$A$5000,"&gt;="&amp;$A12,Entries!$A$2:$A$5000,"&lt;"&amp;EDATE($A12,1),Entries!$B$2:$B$5000,AI$1))</f>
        <v/>
      </c>
      <c r="AJ12" s="23">
        <f>IF(OR(AJ$1="",$BM12=0),"",SUMIFS(Entries!$E$2:$E$5000,Entries!$C$2:$C$5000,"Actual",Entries!$A$2:$A$5000,"&gt;="&amp;$A12,Entries!$A$2:$A$5000,"&lt;"&amp;EDATE($A12,1),Entries!$B$2:$B$5000,AJ$1))</f>
        <v/>
      </c>
      <c r="AK12" s="23">
        <f>IF(OR(AK$1="",$BM12=0),"",SUMIFS(Entries!$E$2:$E$5000,Entries!$C$2:$C$5000,"Actual",Entries!$A$2:$A$5000,"&gt;="&amp;$A12,Entries!$A$2:$A$5000,"&lt;"&amp;EDATE($A12,1),Entries!$B$2:$B$5000,AK$1))</f>
        <v/>
      </c>
      <c r="AL12" s="23">
        <f>IF(OR(AL$1="",$BM12=0),"",SUMIFS(Entries!$E$2:$E$5000,Entries!$C$2:$C$5000,"Actual",Entries!$A$2:$A$5000,"&gt;="&amp;$A12,Entries!$A$2:$A$5000,"&lt;"&amp;EDATE($A12,1),Entries!$B$2:$B$5000,AL$1))</f>
        <v/>
      </c>
      <c r="AM12" s="23">
        <f>IF(OR(AM$1="",$BM12=0),"",SUMIFS(Entries!$E$2:$E$5000,Entries!$C$2:$C$5000,"Actual",Entries!$A$2:$A$5000,"&gt;="&amp;$A12,Entries!$A$2:$A$5000,"&lt;"&amp;EDATE($A12,1),Entries!$B$2:$B$5000,AM$1))</f>
        <v/>
      </c>
      <c r="AN12" s="23">
        <f>IF(OR(AN$1="",$BM12=0),"",SUMIFS(Entries!$E$2:$E$5000,Entries!$C$2:$C$5000,"Actual",Entries!$A$2:$A$5000,"&gt;="&amp;$A12,Entries!$A$2:$A$5000,"&lt;"&amp;EDATE($A12,1),Entries!$B$2:$B$5000,AN$1))</f>
        <v/>
      </c>
      <c r="AO12" s="23">
        <f>IF(OR(AO$1="",$BM12=0),"",SUMIFS(Entries!$E$2:$E$5000,Entries!$C$2:$C$5000,"Actual",Entries!$A$2:$A$5000,"&gt;="&amp;$A12,Entries!$A$2:$A$5000,"&lt;"&amp;EDATE($A12,1),Entries!$B$2:$B$5000,AO$1))</f>
        <v/>
      </c>
      <c r="AP12" s="23">
        <f>IF(OR(AP$1="",$BM12=0),"",SUMIFS(Entries!$E$2:$E$5000,Entries!$C$2:$C$5000,"Actual",Entries!$A$2:$A$5000,"&gt;="&amp;$A12,Entries!$A$2:$A$5000,"&lt;"&amp;EDATE($A12,1),Entries!$B$2:$B$5000,AP$1))</f>
        <v/>
      </c>
      <c r="AR12" s="23">
        <f>IF(OR(AR$1="",$BM12=0),"",IFERROR(LOOKUP(2,1/((Budgets!$A$2:$A$200=AR$1)*(Budgets!$B$2:$B$200&lt;EDATE($A12,1))),Budgets!$C$2:$C$200),0))</f>
        <v/>
      </c>
      <c r="AS12" s="23">
        <f>IF(OR(AS$1="",$BM12=0),"",IFERROR(LOOKUP(2,1/((Budgets!$A$2:$A$200=AS$1)*(Budgets!$B$2:$B$200&lt;EDATE($A12,1))),Budgets!$C$2:$C$200),0))</f>
        <v/>
      </c>
      <c r="AT12" s="23">
        <f>IF(OR(AT$1="",$BM12=0),"",IFERROR(LOOKUP(2,1/((Budgets!$A$2:$A$200=AT$1)*(Budgets!$B$2:$B$200&lt;EDATE($A12,1))),Budgets!$C$2:$C$200),0))</f>
        <v/>
      </c>
      <c r="AU12" s="23">
        <f>IF(OR(AU$1="",$BM12=0),"",IFERROR(LOOKUP(2,1/((Budgets!$A$2:$A$200=AU$1)*(Budgets!$B$2:$B$200&lt;EDATE($A12,1))),Budgets!$C$2:$C$200),0))</f>
        <v/>
      </c>
      <c r="AV12" s="23">
        <f>IF(OR(AV$1="",$BM12=0),"",IFERROR(LOOKUP(2,1/((Budgets!$A$2:$A$200=AV$1)*(Budgets!$B$2:$B$200&lt;EDATE($A12,1))),Budgets!$C$2:$C$200),0))</f>
        <v/>
      </c>
      <c r="AW12" s="23">
        <f>IF(OR(AW$1="",$BM12=0),"",IFERROR(LOOKUP(2,1/((Budgets!$A$2:$A$200=AW$1)*(Budgets!$B$2:$B$200&lt;EDATE($A12,1))),Budgets!$C$2:$C$200),0))</f>
        <v/>
      </c>
      <c r="AX12" s="23">
        <f>IF(OR(AX$1="",$BM12=0),"",IFERROR(LOOKUP(2,1/((Budgets!$A$2:$A$200=AX$1)*(Budgets!$B$2:$B$200&lt;EDATE($A12,1))),Budgets!$C$2:$C$200),0))</f>
        <v/>
      </c>
      <c r="AY12" s="23">
        <f>IF(OR(AY$1="",$BM12=0),"",IFERROR(LOOKUP(2,1/((Budgets!$A$2:$A$200=AY$1)*(Budgets!$B$2:$B$200&lt;EDATE($A12,1))),Budgets!$C$2:$C$200),0))</f>
        <v/>
      </c>
      <c r="AZ12" s="23">
        <f>IF(OR(AZ$1="",$BM12=0),"",IFERROR(LOOKUP(2,1/((Budgets!$A$2:$A$200=AZ$1)*(Budgets!$B$2:$B$200&lt;EDATE($A12,1))),Budgets!$C$2:$C$200),0))</f>
        <v/>
      </c>
      <c r="BA12" s="23">
        <f>IF(OR(BA$1="",$BM12=0),"",IFERROR(LOOKUP(2,1/((Budgets!$A$2:$A$200=BA$1)*(Budgets!$B$2:$B$200&lt;EDATE($A12,1))),Budgets!$C$2:$C$200),0))</f>
        <v/>
      </c>
      <c r="BB12" s="23">
        <f>IF(OR(BB$1="",$BM12=0),"",IFERROR(LOOKUP(2,1/((Budgets!$A$2:$A$200=BB$1)*(Budgets!$B$2:$B$200&lt;EDATE($A12,1))),Budgets!$C$2:$C$200),0))</f>
        <v/>
      </c>
      <c r="BC12" s="23">
        <f>IF(OR(BC$1="",$BM12=0),"",IFERROR(LOOKUP(2,1/((Budgets!$A$2:$A$200=BC$1)*(Budgets!$B$2:$B$200&lt;EDATE($A12,1))),Budgets!$C$2:$C$200),0))</f>
        <v/>
      </c>
      <c r="BD12" s="23">
        <f>IF(OR(BD$1="",$BM12=0),"",IFERROR(LOOKUP(2,1/((Budgets!$A$2:$A$200=BD$1)*(Budgets!$B$2:$B$200&lt;EDATE($A12,1))),Budgets!$C$2:$C$200),0))</f>
        <v/>
      </c>
      <c r="BE12" s="23">
        <f>IF(OR(BE$1="",$BM12=0),"",IFERROR(LOOKUP(2,1/((Budgets!$A$2:$A$200=BE$1)*(Budgets!$B$2:$B$200&lt;EDATE($A12,1))),Budgets!$C$2:$C$200),0))</f>
        <v/>
      </c>
      <c r="BF12" s="23">
        <f>IF(OR(BF$1="",$BM12=0),"",IFERROR(LOOKUP(2,1/((Budgets!$A$2:$A$200=BF$1)*(Budgets!$B$2:$B$200&lt;EDATE($A12,1))),Budgets!$C$2:$C$200),0))</f>
        <v/>
      </c>
      <c r="BG12" s="23">
        <f>IF(OR(BG$1="",$BM12=0),"",IFERROR(LOOKUP(2,1/((Budgets!$A$2:$A$200=BG$1)*(Budgets!$B$2:$B$200&lt;EDATE($A12,1))),Budgets!$C$2:$C$200),0))</f>
        <v/>
      </c>
      <c r="BH12" s="23">
        <f>IF(OR(BH$1="",$BM12=0),"",IFERROR(LOOKUP(2,1/((Budgets!$A$2:$A$200=BH$1)*(Budgets!$B$2:$B$200&lt;EDATE($A12,1))),Budgets!$C$2:$C$200),0))</f>
        <v/>
      </c>
      <c r="BI12" s="23">
        <f>IF(OR(BI$1="",$BM12=0),"",IFERROR(LOOKUP(2,1/((Budgets!$A$2:$A$200=BI$1)*(Budgets!$B$2:$B$200&lt;EDATE($A12,1))),Budgets!$C$2:$C$200),0))</f>
        <v/>
      </c>
      <c r="BJ12" s="23">
        <f>IF(OR(BJ$1="",$BM12=0),"",IFERROR(LOOKUP(2,1/((Budgets!$A$2:$A$200=BJ$1)*(Budgets!$B$2:$B$200&lt;EDATE($A12,1))),Budgets!$C$2:$C$200),0))</f>
        <v/>
      </c>
      <c r="BK12" s="23">
        <f>IF(OR(BK$1="",$BM12=0),"",IFERROR(LOOKUP(2,1/((Budgets!$A$2:$A$200=BK$1)*(Budgets!$B$2:$B$200&lt;EDATE($A12,1))),Budgets!$C$2:$C$200),0))</f>
        <v/>
      </c>
      <c r="BM12" s="21">
        <f>COUNTIFS(Entries!$A$2:$A$5000,"&gt;="&amp;$A12,Entries!$A$2:$A$5000,"&lt;"&amp;EDATE($A12,1))</f>
        <v/>
      </c>
    </row>
    <row r="13">
      <c r="A13" s="22" t="n">
        <v>39783</v>
      </c>
      <c r="B13" s="23">
        <f>IF($BM13=0,NA(),SUMIFS(Entries!$E$2:$E$5000,Entries!$C$2:$C$5000,"Income",Entries!$A$2:$A$5000,"&gt;="&amp;$A13,Entries!$A$2:$A$5000,"&lt;"&amp;EDATE($A13,1)))</f>
        <v/>
      </c>
      <c r="C13" s="23">
        <f>IF($BM13=0,"",SUMIFS(Entries!$E$2:$E$5000,Entries!$C$2:$C$5000,"Actual",Entries!$A$2:$A$5000,"&gt;="&amp;$A13,Entries!$A$2:$A$5000,"&lt;"&amp;EDATE($A13,1)))</f>
        <v/>
      </c>
      <c r="D13" s="23">
        <f>IF($BM13=0,"",SUMIFS(Entries!$E$2:$E$5000,Entries!$C$2:$C$5000,"One-off",Entries!$A$2:$A$5000,"&gt;="&amp;$A13,Entries!$A$2:$A$5000,"&lt;"&amp;EDATE($A13,1)))</f>
        <v/>
      </c>
      <c r="E13" s="23">
        <f>IF($BM13=0,NA(),C13+D13)</f>
        <v/>
      </c>
      <c r="F13" s="23">
        <f>IF($BM13=0,"",SUM(AR13:BK13))</f>
        <v/>
      </c>
      <c r="G13" s="23">
        <f>IF($BM13=0,"",B13-E13)</f>
        <v/>
      </c>
      <c r="H13" s="23">
        <f>IF($BM13=0,"",SUM($G$2:G13))</f>
        <v/>
      </c>
      <c r="I13" s="23">
        <f>IF($BM13=0,"",SUMIFS(Entries!$G$2:$G$5000,Entries!$A$2:$A$5000,"&gt;="&amp;$A13,Entries!$A$2:$A$5000,"&lt;"&amp;EDATE($A13,1)))</f>
        <v/>
      </c>
      <c r="J13" s="23">
        <f>IF($BM13=0,NA(),H13)</f>
        <v/>
      </c>
      <c r="K13" s="23">
        <f>IF($BM13=0,"",SUMIFS(Entries!$E$2:$E$5000,Entries!$C$2:$C$5000,"Income",Entries!$A$2:$A$5000,"&gt;="&amp;EDATE($A13,-11),Entries!$A$2:$A$5000,"&lt;"&amp;EDATE($A13,1))/COUNTIFS($A$2:$A$400,"&gt;="&amp;EDATE($A13,-11),$A$2:$A$400,"&lt;"&amp;EDATE($A13,1),$BM$2:$BM$400,"&gt;0"))</f>
      </c>
      <c r="L13" s="23">
        <f>IF($BM13=0,"",(SUMIFS(Entries!$E$2:$E$5000,Entries!$C$2:$C$5000,"Actual",Entries!$A$2:$A$5000,"&gt;="&amp;EDATE($A13,-11),Entries!$A$2:$A$5000,"&lt;"&amp;EDATE($A13,1))+SUMIFS(Entries!$E$2:$E$5000,Entries!$C$2:$C$5000,"One-off",Entries!$A$2:$A$5000,"&gt;="&amp;EDATE($A13,-11),Entries!$A$2:$A$5000,"&lt;"&amp;EDATE($A13,1)))/COUNTIFS($A$2:$A$400,"&gt;="&amp;EDATE($A13,-11),$A$2:$A$400,"&lt;"&amp;EDATE($A13,1),$BM$2:$BM$400,"&gt;0"))</f>
      </c>
      <c r="M13" s="24">
        <f>IF($BM13=0,NA(),IFERROR((K13-L13)/K13,0))</f>
        <v/>
      </c>
      <c r="N13" s="23">
        <f>IF($BM13=0,NA(),SUMIFS(Entries!$E$2:$E$5000,Entries!$D$2:$D$5000,"Core",Entries!$A$2:$A$5000,"&gt;="&amp;$A13,Entries!$A$2:$A$5000,"&lt;"&amp;EDATE($A13,1)))</f>
        <v/>
      </c>
      <c r="O13" s="23">
        <f>IF($BM13=0,NA(),SUMIFS(Entries!$E$2:$E$5000,Entries!$D$2:$D$5000,"Over &amp; above",Entries!$A$2:$A$5000,"&gt;="&amp;$A13,Entries!$A$2:$A$5000,"&lt;"&amp;EDATE($A13,1)))</f>
        <v/>
      </c>
      <c r="P13" s="23">
        <f>IF($BM13=0,NA(),SUMIFS(Entries!$E$2:$E$5000,Entries!$D$2:$D$5000,"One-off",Entries!$A$2:$A$5000,"&gt;="&amp;$A13,Entries!$A$2:$A$5000,"&lt;"&amp;EDATE($A13,1)))</f>
        <v/>
      </c>
      <c r="Q13" s="23">
        <f>IF($BM13=0,NA(),SUMIFS(Entries!$E$2:$E$5000,Entries!$D$2:$D$5000,"Reimbursable",Entries!$A$2:$A$5000,"&gt;="&amp;$A13,Entries!$A$2:$A$5000,"&lt;"&amp;EDATE($A13,1)))</f>
        <v/>
      </c>
      <c r="R13" s="23">
        <f>IF($BM13=0,NA(),SUMIFS(Entries!$E$2:$E$5000,Entries!$D$2:$D$5000,"Investment",Entries!$A$2:$A$5000,"&gt;="&amp;$A13,Entries!$A$2:$A$5000,"&lt;"&amp;EDATE($A13,1)))</f>
        <v/>
      </c>
      <c r="S13" s="23">
        <f>IF($BM13=0,NA(),N13+O13)</f>
        <v/>
      </c>
      <c r="T13" s="23">
        <f>IF($BM13=0,"",E13-Q13)</f>
        <v/>
      </c>
      <c r="W13" s="23">
        <f>IF(OR(W$1="",$BM13=0),"",SUMIFS(Entries!$E$2:$E$5000,Entries!$C$2:$C$5000,"Actual",Entries!$A$2:$A$5000,"&gt;="&amp;$A13,Entries!$A$2:$A$5000,"&lt;"&amp;EDATE($A13,1),Entries!$B$2:$B$5000,W$1))</f>
        <v/>
      </c>
      <c r="X13" s="23">
        <f>IF(OR(X$1="",$BM13=0),"",SUMIFS(Entries!$E$2:$E$5000,Entries!$C$2:$C$5000,"Actual",Entries!$A$2:$A$5000,"&gt;="&amp;$A13,Entries!$A$2:$A$5000,"&lt;"&amp;EDATE($A13,1),Entries!$B$2:$B$5000,X$1))</f>
        <v/>
      </c>
      <c r="Y13" s="23">
        <f>IF(OR(Y$1="",$BM13=0),"",SUMIFS(Entries!$E$2:$E$5000,Entries!$C$2:$C$5000,"Actual",Entries!$A$2:$A$5000,"&gt;="&amp;$A13,Entries!$A$2:$A$5000,"&lt;"&amp;EDATE($A13,1),Entries!$B$2:$B$5000,Y$1))</f>
        <v/>
      </c>
      <c r="Z13" s="23">
        <f>IF(OR(Z$1="",$BM13=0),"",SUMIFS(Entries!$E$2:$E$5000,Entries!$C$2:$C$5000,"Actual",Entries!$A$2:$A$5000,"&gt;="&amp;$A13,Entries!$A$2:$A$5000,"&lt;"&amp;EDATE($A13,1),Entries!$B$2:$B$5000,Z$1))</f>
        <v/>
      </c>
      <c r="AA13" s="23">
        <f>IF(OR(AA$1="",$BM13=0),"",SUMIFS(Entries!$E$2:$E$5000,Entries!$C$2:$C$5000,"Actual",Entries!$A$2:$A$5000,"&gt;="&amp;$A13,Entries!$A$2:$A$5000,"&lt;"&amp;EDATE($A13,1),Entries!$B$2:$B$5000,AA$1))</f>
        <v/>
      </c>
      <c r="AB13" s="23">
        <f>IF(OR(AB$1="",$BM13=0),"",SUMIFS(Entries!$E$2:$E$5000,Entries!$C$2:$C$5000,"Actual",Entries!$A$2:$A$5000,"&gt;="&amp;$A13,Entries!$A$2:$A$5000,"&lt;"&amp;EDATE($A13,1),Entries!$B$2:$B$5000,AB$1))</f>
        <v/>
      </c>
      <c r="AC13" s="23">
        <f>IF(OR(AC$1="",$BM13=0),"",SUMIFS(Entries!$E$2:$E$5000,Entries!$C$2:$C$5000,"Actual",Entries!$A$2:$A$5000,"&gt;="&amp;$A13,Entries!$A$2:$A$5000,"&lt;"&amp;EDATE($A13,1),Entries!$B$2:$B$5000,AC$1))</f>
        <v/>
      </c>
      <c r="AD13" s="23">
        <f>IF(OR(AD$1="",$BM13=0),"",SUMIFS(Entries!$E$2:$E$5000,Entries!$C$2:$C$5000,"Actual",Entries!$A$2:$A$5000,"&gt;="&amp;$A13,Entries!$A$2:$A$5000,"&lt;"&amp;EDATE($A13,1),Entries!$B$2:$B$5000,AD$1))</f>
        <v/>
      </c>
      <c r="AE13" s="23">
        <f>IF(OR(AE$1="",$BM13=0),"",SUMIFS(Entries!$E$2:$E$5000,Entries!$C$2:$C$5000,"Actual",Entries!$A$2:$A$5000,"&gt;="&amp;$A13,Entries!$A$2:$A$5000,"&lt;"&amp;EDATE($A13,1),Entries!$B$2:$B$5000,AE$1))</f>
        <v/>
      </c>
      <c r="AF13" s="23">
        <f>IF(OR(AF$1="",$BM13=0),"",SUMIFS(Entries!$E$2:$E$5000,Entries!$C$2:$C$5000,"Actual",Entries!$A$2:$A$5000,"&gt;="&amp;$A13,Entries!$A$2:$A$5000,"&lt;"&amp;EDATE($A13,1),Entries!$B$2:$B$5000,AF$1))</f>
        <v/>
      </c>
      <c r="AG13" s="23">
        <f>IF(OR(AG$1="",$BM13=0),"",SUMIFS(Entries!$E$2:$E$5000,Entries!$C$2:$C$5000,"Actual",Entries!$A$2:$A$5000,"&gt;="&amp;$A13,Entries!$A$2:$A$5000,"&lt;"&amp;EDATE($A13,1),Entries!$B$2:$B$5000,AG$1))</f>
        <v/>
      </c>
      <c r="AH13" s="23">
        <f>IF(OR(AH$1="",$BM13=0),"",SUMIFS(Entries!$E$2:$E$5000,Entries!$C$2:$C$5000,"Actual",Entries!$A$2:$A$5000,"&gt;="&amp;$A13,Entries!$A$2:$A$5000,"&lt;"&amp;EDATE($A13,1),Entries!$B$2:$B$5000,AH$1))</f>
        <v/>
      </c>
      <c r="AI13" s="23">
        <f>IF(OR(AI$1="",$BM13=0),"",SUMIFS(Entries!$E$2:$E$5000,Entries!$C$2:$C$5000,"Actual",Entries!$A$2:$A$5000,"&gt;="&amp;$A13,Entries!$A$2:$A$5000,"&lt;"&amp;EDATE($A13,1),Entries!$B$2:$B$5000,AI$1))</f>
        <v/>
      </c>
      <c r="AJ13" s="23">
        <f>IF(OR(AJ$1="",$BM13=0),"",SUMIFS(Entries!$E$2:$E$5000,Entries!$C$2:$C$5000,"Actual",Entries!$A$2:$A$5000,"&gt;="&amp;$A13,Entries!$A$2:$A$5000,"&lt;"&amp;EDATE($A13,1),Entries!$B$2:$B$5000,AJ$1))</f>
        <v/>
      </c>
      <c r="AK13" s="23">
        <f>IF(OR(AK$1="",$BM13=0),"",SUMIFS(Entries!$E$2:$E$5000,Entries!$C$2:$C$5000,"Actual",Entries!$A$2:$A$5000,"&gt;="&amp;$A13,Entries!$A$2:$A$5000,"&lt;"&amp;EDATE($A13,1),Entries!$B$2:$B$5000,AK$1))</f>
        <v/>
      </c>
      <c r="AL13" s="23">
        <f>IF(OR(AL$1="",$BM13=0),"",SUMIFS(Entries!$E$2:$E$5000,Entries!$C$2:$C$5000,"Actual",Entries!$A$2:$A$5000,"&gt;="&amp;$A13,Entries!$A$2:$A$5000,"&lt;"&amp;EDATE($A13,1),Entries!$B$2:$B$5000,AL$1))</f>
        <v/>
      </c>
      <c r="AM13" s="23">
        <f>IF(OR(AM$1="",$BM13=0),"",SUMIFS(Entries!$E$2:$E$5000,Entries!$C$2:$C$5000,"Actual",Entries!$A$2:$A$5000,"&gt;="&amp;$A13,Entries!$A$2:$A$5000,"&lt;"&amp;EDATE($A13,1),Entries!$B$2:$B$5000,AM$1))</f>
        <v/>
      </c>
      <c r="AN13" s="23">
        <f>IF(OR(AN$1="",$BM13=0),"",SUMIFS(Entries!$E$2:$E$5000,Entries!$C$2:$C$5000,"Actual",Entries!$A$2:$A$5000,"&gt;="&amp;$A13,Entries!$A$2:$A$5000,"&lt;"&amp;EDATE($A13,1),Entries!$B$2:$B$5000,AN$1))</f>
        <v/>
      </c>
      <c r="AO13" s="23">
        <f>IF(OR(AO$1="",$BM13=0),"",SUMIFS(Entries!$E$2:$E$5000,Entries!$C$2:$C$5000,"Actual",Entries!$A$2:$A$5000,"&gt;="&amp;$A13,Entries!$A$2:$A$5000,"&lt;"&amp;EDATE($A13,1),Entries!$B$2:$B$5000,AO$1))</f>
        <v/>
      </c>
      <c r="AP13" s="23">
        <f>IF(OR(AP$1="",$BM13=0),"",SUMIFS(Entries!$E$2:$E$5000,Entries!$C$2:$C$5000,"Actual",Entries!$A$2:$A$5000,"&gt;="&amp;$A13,Entries!$A$2:$A$5000,"&lt;"&amp;EDATE($A13,1),Entries!$B$2:$B$5000,AP$1))</f>
        <v/>
      </c>
      <c r="AR13" s="23">
        <f>IF(OR(AR$1="",$BM13=0),"",IFERROR(LOOKUP(2,1/((Budgets!$A$2:$A$200=AR$1)*(Budgets!$B$2:$B$200&lt;EDATE($A13,1))),Budgets!$C$2:$C$200),0))</f>
        <v/>
      </c>
      <c r="AS13" s="23">
        <f>IF(OR(AS$1="",$BM13=0),"",IFERROR(LOOKUP(2,1/((Budgets!$A$2:$A$200=AS$1)*(Budgets!$B$2:$B$200&lt;EDATE($A13,1))),Budgets!$C$2:$C$200),0))</f>
        <v/>
      </c>
      <c r="AT13" s="23">
        <f>IF(OR(AT$1="",$BM13=0),"",IFERROR(LOOKUP(2,1/((Budgets!$A$2:$A$200=AT$1)*(Budgets!$B$2:$B$200&lt;EDATE($A13,1))),Budgets!$C$2:$C$200),0))</f>
        <v/>
      </c>
      <c r="AU13" s="23">
        <f>IF(OR(AU$1="",$BM13=0),"",IFERROR(LOOKUP(2,1/((Budgets!$A$2:$A$200=AU$1)*(Budgets!$B$2:$B$200&lt;EDATE($A13,1))),Budgets!$C$2:$C$200),0))</f>
        <v/>
      </c>
      <c r="AV13" s="23">
        <f>IF(OR(AV$1="",$BM13=0),"",IFERROR(LOOKUP(2,1/((Budgets!$A$2:$A$200=AV$1)*(Budgets!$B$2:$B$200&lt;EDATE($A13,1))),Budgets!$C$2:$C$200),0))</f>
        <v/>
      </c>
      <c r="AW13" s="23">
        <f>IF(OR(AW$1="",$BM13=0),"",IFERROR(LOOKUP(2,1/((Budgets!$A$2:$A$200=AW$1)*(Budgets!$B$2:$B$200&lt;EDATE($A13,1))),Budgets!$C$2:$C$200),0))</f>
        <v/>
      </c>
      <c r="AX13" s="23">
        <f>IF(OR(AX$1="",$BM13=0),"",IFERROR(LOOKUP(2,1/((Budgets!$A$2:$A$200=AX$1)*(Budgets!$B$2:$B$200&lt;EDATE($A13,1))),Budgets!$C$2:$C$200),0))</f>
        <v/>
      </c>
      <c r="AY13" s="23">
        <f>IF(OR(AY$1="",$BM13=0),"",IFERROR(LOOKUP(2,1/((Budgets!$A$2:$A$200=AY$1)*(Budgets!$B$2:$B$200&lt;EDATE($A13,1))),Budgets!$C$2:$C$200),0))</f>
        <v/>
      </c>
      <c r="AZ13" s="23">
        <f>IF(OR(AZ$1="",$BM13=0),"",IFERROR(LOOKUP(2,1/((Budgets!$A$2:$A$200=AZ$1)*(Budgets!$B$2:$B$200&lt;EDATE($A13,1))),Budgets!$C$2:$C$200),0))</f>
        <v/>
      </c>
      <c r="BA13" s="23">
        <f>IF(OR(BA$1="",$BM13=0),"",IFERROR(LOOKUP(2,1/((Budgets!$A$2:$A$200=BA$1)*(Budgets!$B$2:$B$200&lt;EDATE($A13,1))),Budgets!$C$2:$C$200),0))</f>
        <v/>
      </c>
      <c r="BB13" s="23">
        <f>IF(OR(BB$1="",$BM13=0),"",IFERROR(LOOKUP(2,1/((Budgets!$A$2:$A$200=BB$1)*(Budgets!$B$2:$B$200&lt;EDATE($A13,1))),Budgets!$C$2:$C$200),0))</f>
        <v/>
      </c>
      <c r="BC13" s="23">
        <f>IF(OR(BC$1="",$BM13=0),"",IFERROR(LOOKUP(2,1/((Budgets!$A$2:$A$200=BC$1)*(Budgets!$B$2:$B$200&lt;EDATE($A13,1))),Budgets!$C$2:$C$200),0))</f>
        <v/>
      </c>
      <c r="BD13" s="23">
        <f>IF(OR(BD$1="",$BM13=0),"",IFERROR(LOOKUP(2,1/((Budgets!$A$2:$A$200=BD$1)*(Budgets!$B$2:$B$200&lt;EDATE($A13,1))),Budgets!$C$2:$C$200),0))</f>
        <v/>
      </c>
      <c r="BE13" s="23">
        <f>IF(OR(BE$1="",$BM13=0),"",IFERROR(LOOKUP(2,1/((Budgets!$A$2:$A$200=BE$1)*(Budgets!$B$2:$B$200&lt;EDATE($A13,1))),Budgets!$C$2:$C$200),0))</f>
        <v/>
      </c>
      <c r="BF13" s="23">
        <f>IF(OR(BF$1="",$BM13=0),"",IFERROR(LOOKUP(2,1/((Budgets!$A$2:$A$200=BF$1)*(Budgets!$B$2:$B$200&lt;EDATE($A13,1))),Budgets!$C$2:$C$200),0))</f>
        <v/>
      </c>
      <c r="BG13" s="23">
        <f>IF(OR(BG$1="",$BM13=0),"",IFERROR(LOOKUP(2,1/((Budgets!$A$2:$A$200=BG$1)*(Budgets!$B$2:$B$200&lt;EDATE($A13,1))),Budgets!$C$2:$C$200),0))</f>
        <v/>
      </c>
      <c r="BH13" s="23">
        <f>IF(OR(BH$1="",$BM13=0),"",IFERROR(LOOKUP(2,1/((Budgets!$A$2:$A$200=BH$1)*(Budgets!$B$2:$B$200&lt;EDATE($A13,1))),Budgets!$C$2:$C$200),0))</f>
        <v/>
      </c>
      <c r="BI13" s="23">
        <f>IF(OR(BI$1="",$BM13=0),"",IFERROR(LOOKUP(2,1/((Budgets!$A$2:$A$200=BI$1)*(Budgets!$B$2:$B$200&lt;EDATE($A13,1))),Budgets!$C$2:$C$200),0))</f>
        <v/>
      </c>
      <c r="BJ13" s="23">
        <f>IF(OR(BJ$1="",$BM13=0),"",IFERROR(LOOKUP(2,1/((Budgets!$A$2:$A$200=BJ$1)*(Budgets!$B$2:$B$200&lt;EDATE($A13,1))),Budgets!$C$2:$C$200),0))</f>
        <v/>
      </c>
      <c r="BK13" s="23">
        <f>IF(OR(BK$1="",$BM13=0),"",IFERROR(LOOKUP(2,1/((Budgets!$A$2:$A$200=BK$1)*(Budgets!$B$2:$B$200&lt;EDATE($A13,1))),Budgets!$C$2:$C$200),0))</f>
        <v/>
      </c>
      <c r="BM13" s="21">
        <f>COUNTIFS(Entries!$A$2:$A$5000,"&gt;="&amp;$A13,Entries!$A$2:$A$5000,"&lt;"&amp;EDATE($A13,1))</f>
        <v/>
      </c>
    </row>
    <row r="14">
      <c r="A14" s="22" t="n">
        <v>39814</v>
      </c>
      <c r="B14" s="23">
        <f>IF($BM14=0,NA(),SUMIFS(Entries!$E$2:$E$5000,Entries!$C$2:$C$5000,"Income",Entries!$A$2:$A$5000,"&gt;="&amp;$A14,Entries!$A$2:$A$5000,"&lt;"&amp;EDATE($A14,1)))</f>
        <v/>
      </c>
      <c r="C14" s="23">
        <f>IF($BM14=0,"",SUMIFS(Entries!$E$2:$E$5000,Entries!$C$2:$C$5000,"Actual",Entries!$A$2:$A$5000,"&gt;="&amp;$A14,Entries!$A$2:$A$5000,"&lt;"&amp;EDATE($A14,1)))</f>
        <v/>
      </c>
      <c r="D14" s="23">
        <f>IF($BM14=0,"",SUMIFS(Entries!$E$2:$E$5000,Entries!$C$2:$C$5000,"One-off",Entries!$A$2:$A$5000,"&gt;="&amp;$A14,Entries!$A$2:$A$5000,"&lt;"&amp;EDATE($A14,1)))</f>
        <v/>
      </c>
      <c r="E14" s="23">
        <f>IF($BM14=0,NA(),C14+D14)</f>
        <v/>
      </c>
      <c r="F14" s="23">
        <f>IF($BM14=0,"",SUM(AR14:BK14))</f>
        <v/>
      </c>
      <c r="G14" s="23">
        <f>IF($BM14=0,"",B14-E14)</f>
        <v/>
      </c>
      <c r="H14" s="23">
        <f>IF($BM14=0,"",SUM($G$2:G14))</f>
        <v/>
      </c>
      <c r="I14" s="23">
        <f>IF($BM14=0,"",SUMIFS(Entries!$G$2:$G$5000,Entries!$A$2:$A$5000,"&gt;="&amp;$A14,Entries!$A$2:$A$5000,"&lt;"&amp;EDATE($A14,1)))</f>
        <v/>
      </c>
      <c r="J14" s="23">
        <f>IF($BM14=0,NA(),H14)</f>
        <v/>
      </c>
      <c r="K14" s="23">
        <f>IF($BM14=0,"",SUMIFS(Entries!$E$2:$E$5000,Entries!$C$2:$C$5000,"Income",Entries!$A$2:$A$5000,"&gt;="&amp;EDATE($A14,-11),Entries!$A$2:$A$5000,"&lt;"&amp;EDATE($A14,1))/COUNTIFS($A$2:$A$400,"&gt;="&amp;EDATE($A14,-11),$A$2:$A$400,"&lt;"&amp;EDATE($A14,1),$BM$2:$BM$400,"&gt;0"))</f>
      </c>
      <c r="L14" s="23">
        <f>IF($BM14=0,"",(SUMIFS(Entries!$E$2:$E$5000,Entries!$C$2:$C$5000,"Actual",Entries!$A$2:$A$5000,"&gt;="&amp;EDATE($A14,-11),Entries!$A$2:$A$5000,"&lt;"&amp;EDATE($A14,1))+SUMIFS(Entries!$E$2:$E$5000,Entries!$C$2:$C$5000,"One-off",Entries!$A$2:$A$5000,"&gt;="&amp;EDATE($A14,-11),Entries!$A$2:$A$5000,"&lt;"&amp;EDATE($A14,1)))/COUNTIFS($A$2:$A$400,"&gt;="&amp;EDATE($A14,-11),$A$2:$A$400,"&lt;"&amp;EDATE($A14,1),$BM$2:$BM$400,"&gt;0"))</f>
      </c>
      <c r="M14" s="24">
        <f>IF($BM14=0,NA(),IFERROR((K14-L14)/K14,0))</f>
        <v/>
      </c>
      <c r="N14" s="23">
        <f>IF($BM14=0,NA(),SUMIFS(Entries!$E$2:$E$5000,Entries!$D$2:$D$5000,"Core",Entries!$A$2:$A$5000,"&gt;="&amp;$A14,Entries!$A$2:$A$5000,"&lt;"&amp;EDATE($A14,1)))</f>
        <v/>
      </c>
      <c r="O14" s="23">
        <f>IF($BM14=0,NA(),SUMIFS(Entries!$E$2:$E$5000,Entries!$D$2:$D$5000,"Over &amp; above",Entries!$A$2:$A$5000,"&gt;="&amp;$A14,Entries!$A$2:$A$5000,"&lt;"&amp;EDATE($A14,1)))</f>
        <v/>
      </c>
      <c r="P14" s="23">
        <f>IF($BM14=0,NA(),SUMIFS(Entries!$E$2:$E$5000,Entries!$D$2:$D$5000,"One-off",Entries!$A$2:$A$5000,"&gt;="&amp;$A14,Entries!$A$2:$A$5000,"&lt;"&amp;EDATE($A14,1)))</f>
        <v/>
      </c>
      <c r="Q14" s="23">
        <f>IF($BM14=0,NA(),SUMIFS(Entries!$E$2:$E$5000,Entries!$D$2:$D$5000,"Reimbursable",Entries!$A$2:$A$5000,"&gt;="&amp;$A14,Entries!$A$2:$A$5000,"&lt;"&amp;EDATE($A14,1)))</f>
        <v/>
      </c>
      <c r="R14" s="23">
        <f>IF($BM14=0,NA(),SUMIFS(Entries!$E$2:$E$5000,Entries!$D$2:$D$5000,"Investment",Entries!$A$2:$A$5000,"&gt;="&amp;$A14,Entries!$A$2:$A$5000,"&lt;"&amp;EDATE($A14,1)))</f>
        <v/>
      </c>
      <c r="S14" s="23">
        <f>IF($BM14=0,NA(),N14+O14)</f>
        <v/>
      </c>
      <c r="T14" s="23">
        <f>IF($BM14=0,"",E14-Q14)</f>
        <v/>
      </c>
      <c r="W14" s="23">
        <f>IF(OR(W$1="",$BM14=0),"",SUMIFS(Entries!$E$2:$E$5000,Entries!$C$2:$C$5000,"Actual",Entries!$A$2:$A$5000,"&gt;="&amp;$A14,Entries!$A$2:$A$5000,"&lt;"&amp;EDATE($A14,1),Entries!$B$2:$B$5000,W$1))</f>
        <v/>
      </c>
      <c r="X14" s="23">
        <f>IF(OR(X$1="",$BM14=0),"",SUMIFS(Entries!$E$2:$E$5000,Entries!$C$2:$C$5000,"Actual",Entries!$A$2:$A$5000,"&gt;="&amp;$A14,Entries!$A$2:$A$5000,"&lt;"&amp;EDATE($A14,1),Entries!$B$2:$B$5000,X$1))</f>
        <v/>
      </c>
      <c r="Y14" s="23">
        <f>IF(OR(Y$1="",$BM14=0),"",SUMIFS(Entries!$E$2:$E$5000,Entries!$C$2:$C$5000,"Actual",Entries!$A$2:$A$5000,"&gt;="&amp;$A14,Entries!$A$2:$A$5000,"&lt;"&amp;EDATE($A14,1),Entries!$B$2:$B$5000,Y$1))</f>
        <v/>
      </c>
      <c r="Z14" s="23">
        <f>IF(OR(Z$1="",$BM14=0),"",SUMIFS(Entries!$E$2:$E$5000,Entries!$C$2:$C$5000,"Actual",Entries!$A$2:$A$5000,"&gt;="&amp;$A14,Entries!$A$2:$A$5000,"&lt;"&amp;EDATE($A14,1),Entries!$B$2:$B$5000,Z$1))</f>
        <v/>
      </c>
      <c r="AA14" s="23">
        <f>IF(OR(AA$1="",$BM14=0),"",SUMIFS(Entries!$E$2:$E$5000,Entries!$C$2:$C$5000,"Actual",Entries!$A$2:$A$5000,"&gt;="&amp;$A14,Entries!$A$2:$A$5000,"&lt;"&amp;EDATE($A14,1),Entries!$B$2:$B$5000,AA$1))</f>
        <v/>
      </c>
      <c r="AB14" s="23">
        <f>IF(OR(AB$1="",$BM14=0),"",SUMIFS(Entries!$E$2:$E$5000,Entries!$C$2:$C$5000,"Actual",Entries!$A$2:$A$5000,"&gt;="&amp;$A14,Entries!$A$2:$A$5000,"&lt;"&amp;EDATE($A14,1),Entries!$B$2:$B$5000,AB$1))</f>
        <v/>
      </c>
      <c r="AC14" s="23">
        <f>IF(OR(AC$1="",$BM14=0),"",SUMIFS(Entries!$E$2:$E$5000,Entries!$C$2:$C$5000,"Actual",Entries!$A$2:$A$5000,"&gt;="&amp;$A14,Entries!$A$2:$A$5000,"&lt;"&amp;EDATE($A14,1),Entries!$B$2:$B$5000,AC$1))</f>
        <v/>
      </c>
      <c r="AD14" s="23">
        <f>IF(OR(AD$1="",$BM14=0),"",SUMIFS(Entries!$E$2:$E$5000,Entries!$C$2:$C$5000,"Actual",Entries!$A$2:$A$5000,"&gt;="&amp;$A14,Entries!$A$2:$A$5000,"&lt;"&amp;EDATE($A14,1),Entries!$B$2:$B$5000,AD$1))</f>
        <v/>
      </c>
      <c r="AE14" s="23">
        <f>IF(OR(AE$1="",$BM14=0),"",SUMIFS(Entries!$E$2:$E$5000,Entries!$C$2:$C$5000,"Actual",Entries!$A$2:$A$5000,"&gt;="&amp;$A14,Entries!$A$2:$A$5000,"&lt;"&amp;EDATE($A14,1),Entries!$B$2:$B$5000,AE$1))</f>
        <v/>
      </c>
      <c r="AF14" s="23">
        <f>IF(OR(AF$1="",$BM14=0),"",SUMIFS(Entries!$E$2:$E$5000,Entries!$C$2:$C$5000,"Actual",Entries!$A$2:$A$5000,"&gt;="&amp;$A14,Entries!$A$2:$A$5000,"&lt;"&amp;EDATE($A14,1),Entries!$B$2:$B$5000,AF$1))</f>
        <v/>
      </c>
      <c r="AG14" s="23">
        <f>IF(OR(AG$1="",$BM14=0),"",SUMIFS(Entries!$E$2:$E$5000,Entries!$C$2:$C$5000,"Actual",Entries!$A$2:$A$5000,"&gt;="&amp;$A14,Entries!$A$2:$A$5000,"&lt;"&amp;EDATE($A14,1),Entries!$B$2:$B$5000,AG$1))</f>
        <v/>
      </c>
      <c r="AH14" s="23">
        <f>IF(OR(AH$1="",$BM14=0),"",SUMIFS(Entries!$E$2:$E$5000,Entries!$C$2:$C$5000,"Actual",Entries!$A$2:$A$5000,"&gt;="&amp;$A14,Entries!$A$2:$A$5000,"&lt;"&amp;EDATE($A14,1),Entries!$B$2:$B$5000,AH$1))</f>
        <v/>
      </c>
      <c r="AI14" s="23">
        <f>IF(OR(AI$1="",$BM14=0),"",SUMIFS(Entries!$E$2:$E$5000,Entries!$C$2:$C$5000,"Actual",Entries!$A$2:$A$5000,"&gt;="&amp;$A14,Entries!$A$2:$A$5000,"&lt;"&amp;EDATE($A14,1),Entries!$B$2:$B$5000,AI$1))</f>
        <v/>
      </c>
      <c r="AJ14" s="23">
        <f>IF(OR(AJ$1="",$BM14=0),"",SUMIFS(Entries!$E$2:$E$5000,Entries!$C$2:$C$5000,"Actual",Entries!$A$2:$A$5000,"&gt;="&amp;$A14,Entries!$A$2:$A$5000,"&lt;"&amp;EDATE($A14,1),Entries!$B$2:$B$5000,AJ$1))</f>
        <v/>
      </c>
      <c r="AK14" s="23">
        <f>IF(OR(AK$1="",$BM14=0),"",SUMIFS(Entries!$E$2:$E$5000,Entries!$C$2:$C$5000,"Actual",Entries!$A$2:$A$5000,"&gt;="&amp;$A14,Entries!$A$2:$A$5000,"&lt;"&amp;EDATE($A14,1),Entries!$B$2:$B$5000,AK$1))</f>
        <v/>
      </c>
      <c r="AL14" s="23">
        <f>IF(OR(AL$1="",$BM14=0),"",SUMIFS(Entries!$E$2:$E$5000,Entries!$C$2:$C$5000,"Actual",Entries!$A$2:$A$5000,"&gt;="&amp;$A14,Entries!$A$2:$A$5000,"&lt;"&amp;EDATE($A14,1),Entries!$B$2:$B$5000,AL$1))</f>
        <v/>
      </c>
      <c r="AM14" s="23">
        <f>IF(OR(AM$1="",$BM14=0),"",SUMIFS(Entries!$E$2:$E$5000,Entries!$C$2:$C$5000,"Actual",Entries!$A$2:$A$5000,"&gt;="&amp;$A14,Entries!$A$2:$A$5000,"&lt;"&amp;EDATE($A14,1),Entries!$B$2:$B$5000,AM$1))</f>
        <v/>
      </c>
      <c r="AN14" s="23">
        <f>IF(OR(AN$1="",$BM14=0),"",SUMIFS(Entries!$E$2:$E$5000,Entries!$C$2:$C$5000,"Actual",Entries!$A$2:$A$5000,"&gt;="&amp;$A14,Entries!$A$2:$A$5000,"&lt;"&amp;EDATE($A14,1),Entries!$B$2:$B$5000,AN$1))</f>
        <v/>
      </c>
      <c r="AO14" s="23">
        <f>IF(OR(AO$1="",$BM14=0),"",SUMIFS(Entries!$E$2:$E$5000,Entries!$C$2:$C$5000,"Actual",Entries!$A$2:$A$5000,"&gt;="&amp;$A14,Entries!$A$2:$A$5000,"&lt;"&amp;EDATE($A14,1),Entries!$B$2:$B$5000,AO$1))</f>
        <v/>
      </c>
      <c r="AP14" s="23">
        <f>IF(OR(AP$1="",$BM14=0),"",SUMIFS(Entries!$E$2:$E$5000,Entries!$C$2:$C$5000,"Actual",Entries!$A$2:$A$5000,"&gt;="&amp;$A14,Entries!$A$2:$A$5000,"&lt;"&amp;EDATE($A14,1),Entries!$B$2:$B$5000,AP$1))</f>
        <v/>
      </c>
      <c r="AR14" s="23">
        <f>IF(OR(AR$1="",$BM14=0),"",IFERROR(LOOKUP(2,1/((Budgets!$A$2:$A$200=AR$1)*(Budgets!$B$2:$B$200&lt;EDATE($A14,1))),Budgets!$C$2:$C$200),0))</f>
        <v/>
      </c>
      <c r="AS14" s="23">
        <f>IF(OR(AS$1="",$BM14=0),"",IFERROR(LOOKUP(2,1/((Budgets!$A$2:$A$200=AS$1)*(Budgets!$B$2:$B$200&lt;EDATE($A14,1))),Budgets!$C$2:$C$200),0))</f>
        <v/>
      </c>
      <c r="AT14" s="23">
        <f>IF(OR(AT$1="",$BM14=0),"",IFERROR(LOOKUP(2,1/((Budgets!$A$2:$A$200=AT$1)*(Budgets!$B$2:$B$200&lt;EDATE($A14,1))),Budgets!$C$2:$C$200),0))</f>
        <v/>
      </c>
      <c r="AU14" s="23">
        <f>IF(OR(AU$1="",$BM14=0),"",IFERROR(LOOKUP(2,1/((Budgets!$A$2:$A$200=AU$1)*(Budgets!$B$2:$B$200&lt;EDATE($A14,1))),Budgets!$C$2:$C$200),0))</f>
        <v/>
      </c>
      <c r="AV14" s="23">
        <f>IF(OR(AV$1="",$BM14=0),"",IFERROR(LOOKUP(2,1/((Budgets!$A$2:$A$200=AV$1)*(Budgets!$B$2:$B$200&lt;EDATE($A14,1))),Budgets!$C$2:$C$200),0))</f>
        <v/>
      </c>
      <c r="AW14" s="23">
        <f>IF(OR(AW$1="",$BM14=0),"",IFERROR(LOOKUP(2,1/((Budgets!$A$2:$A$200=AW$1)*(Budgets!$B$2:$B$200&lt;EDATE($A14,1))),Budgets!$C$2:$C$200),0))</f>
        <v/>
      </c>
      <c r="AX14" s="23">
        <f>IF(OR(AX$1="",$BM14=0),"",IFERROR(LOOKUP(2,1/((Budgets!$A$2:$A$200=AX$1)*(Budgets!$B$2:$B$200&lt;EDATE($A14,1))),Budgets!$C$2:$C$200),0))</f>
        <v/>
      </c>
      <c r="AY14" s="23">
        <f>IF(OR(AY$1="",$BM14=0),"",IFERROR(LOOKUP(2,1/((Budgets!$A$2:$A$200=AY$1)*(Budgets!$B$2:$B$200&lt;EDATE($A14,1))),Budgets!$C$2:$C$200),0))</f>
        <v/>
      </c>
      <c r="AZ14" s="23">
        <f>IF(OR(AZ$1="",$BM14=0),"",IFERROR(LOOKUP(2,1/((Budgets!$A$2:$A$200=AZ$1)*(Budgets!$B$2:$B$200&lt;EDATE($A14,1))),Budgets!$C$2:$C$200),0))</f>
        <v/>
      </c>
      <c r="BA14" s="23">
        <f>IF(OR(BA$1="",$BM14=0),"",IFERROR(LOOKUP(2,1/((Budgets!$A$2:$A$200=BA$1)*(Budgets!$B$2:$B$200&lt;EDATE($A14,1))),Budgets!$C$2:$C$200),0))</f>
        <v/>
      </c>
      <c r="BB14" s="23">
        <f>IF(OR(BB$1="",$BM14=0),"",IFERROR(LOOKUP(2,1/((Budgets!$A$2:$A$200=BB$1)*(Budgets!$B$2:$B$200&lt;EDATE($A14,1))),Budgets!$C$2:$C$200),0))</f>
        <v/>
      </c>
      <c r="BC14" s="23">
        <f>IF(OR(BC$1="",$BM14=0),"",IFERROR(LOOKUP(2,1/((Budgets!$A$2:$A$200=BC$1)*(Budgets!$B$2:$B$200&lt;EDATE($A14,1))),Budgets!$C$2:$C$200),0))</f>
        <v/>
      </c>
      <c r="BD14" s="23">
        <f>IF(OR(BD$1="",$BM14=0),"",IFERROR(LOOKUP(2,1/((Budgets!$A$2:$A$200=BD$1)*(Budgets!$B$2:$B$200&lt;EDATE($A14,1))),Budgets!$C$2:$C$200),0))</f>
        <v/>
      </c>
      <c r="BE14" s="23">
        <f>IF(OR(BE$1="",$BM14=0),"",IFERROR(LOOKUP(2,1/((Budgets!$A$2:$A$200=BE$1)*(Budgets!$B$2:$B$200&lt;EDATE($A14,1))),Budgets!$C$2:$C$200),0))</f>
        <v/>
      </c>
      <c r="BF14" s="23">
        <f>IF(OR(BF$1="",$BM14=0),"",IFERROR(LOOKUP(2,1/((Budgets!$A$2:$A$200=BF$1)*(Budgets!$B$2:$B$200&lt;EDATE($A14,1))),Budgets!$C$2:$C$200),0))</f>
        <v/>
      </c>
      <c r="BG14" s="23">
        <f>IF(OR(BG$1="",$BM14=0),"",IFERROR(LOOKUP(2,1/((Budgets!$A$2:$A$200=BG$1)*(Budgets!$B$2:$B$200&lt;EDATE($A14,1))),Budgets!$C$2:$C$200),0))</f>
        <v/>
      </c>
      <c r="BH14" s="23">
        <f>IF(OR(BH$1="",$BM14=0),"",IFERROR(LOOKUP(2,1/((Budgets!$A$2:$A$200=BH$1)*(Budgets!$B$2:$B$200&lt;EDATE($A14,1))),Budgets!$C$2:$C$200),0))</f>
        <v/>
      </c>
      <c r="BI14" s="23">
        <f>IF(OR(BI$1="",$BM14=0),"",IFERROR(LOOKUP(2,1/((Budgets!$A$2:$A$200=BI$1)*(Budgets!$B$2:$B$200&lt;EDATE($A14,1))),Budgets!$C$2:$C$200),0))</f>
        <v/>
      </c>
      <c r="BJ14" s="23">
        <f>IF(OR(BJ$1="",$BM14=0),"",IFERROR(LOOKUP(2,1/((Budgets!$A$2:$A$200=BJ$1)*(Budgets!$B$2:$B$200&lt;EDATE($A14,1))),Budgets!$C$2:$C$200),0))</f>
        <v/>
      </c>
      <c r="BK14" s="23">
        <f>IF(OR(BK$1="",$BM14=0),"",IFERROR(LOOKUP(2,1/((Budgets!$A$2:$A$200=BK$1)*(Budgets!$B$2:$B$200&lt;EDATE($A14,1))),Budgets!$C$2:$C$200),0))</f>
        <v/>
      </c>
      <c r="BM14" s="21">
        <f>COUNTIFS(Entries!$A$2:$A$5000,"&gt;="&amp;$A14,Entries!$A$2:$A$5000,"&lt;"&amp;EDATE($A14,1))</f>
        <v/>
      </c>
    </row>
    <row r="15">
      <c r="A15" s="22" t="n">
        <v>39845</v>
      </c>
      <c r="B15" s="23">
        <f>IF($BM15=0,NA(),SUMIFS(Entries!$E$2:$E$5000,Entries!$C$2:$C$5000,"Income",Entries!$A$2:$A$5000,"&gt;="&amp;$A15,Entries!$A$2:$A$5000,"&lt;"&amp;EDATE($A15,1)))</f>
        <v/>
      </c>
      <c r="C15" s="23">
        <f>IF($BM15=0,"",SUMIFS(Entries!$E$2:$E$5000,Entries!$C$2:$C$5000,"Actual",Entries!$A$2:$A$5000,"&gt;="&amp;$A15,Entries!$A$2:$A$5000,"&lt;"&amp;EDATE($A15,1)))</f>
        <v/>
      </c>
      <c r="D15" s="23">
        <f>IF($BM15=0,"",SUMIFS(Entries!$E$2:$E$5000,Entries!$C$2:$C$5000,"One-off",Entries!$A$2:$A$5000,"&gt;="&amp;$A15,Entries!$A$2:$A$5000,"&lt;"&amp;EDATE($A15,1)))</f>
        <v/>
      </c>
      <c r="E15" s="23">
        <f>IF($BM15=0,NA(),C15+D15)</f>
        <v/>
      </c>
      <c r="F15" s="23">
        <f>IF($BM15=0,"",SUM(AR15:BK15))</f>
        <v/>
      </c>
      <c r="G15" s="23">
        <f>IF($BM15=0,"",B15-E15)</f>
        <v/>
      </c>
      <c r="H15" s="23">
        <f>IF($BM15=0,"",SUM($G$2:G15))</f>
        <v/>
      </c>
      <c r="I15" s="23">
        <f>IF($BM15=0,"",SUMIFS(Entries!$G$2:$G$5000,Entries!$A$2:$A$5000,"&gt;="&amp;$A15,Entries!$A$2:$A$5000,"&lt;"&amp;EDATE($A15,1)))</f>
        <v/>
      </c>
      <c r="J15" s="23">
        <f>IF($BM15=0,NA(),H15)</f>
        <v/>
      </c>
      <c r="K15" s="23">
        <f>IF($BM15=0,"",SUMIFS(Entries!$E$2:$E$5000,Entries!$C$2:$C$5000,"Income",Entries!$A$2:$A$5000,"&gt;="&amp;EDATE($A15,-11),Entries!$A$2:$A$5000,"&lt;"&amp;EDATE($A15,1))/COUNTIFS($A$2:$A$400,"&gt;="&amp;EDATE($A15,-11),$A$2:$A$400,"&lt;"&amp;EDATE($A15,1),$BM$2:$BM$400,"&gt;0"))</f>
      </c>
      <c r="L15" s="23">
        <f>IF($BM15=0,"",(SUMIFS(Entries!$E$2:$E$5000,Entries!$C$2:$C$5000,"Actual",Entries!$A$2:$A$5000,"&gt;="&amp;EDATE($A15,-11),Entries!$A$2:$A$5000,"&lt;"&amp;EDATE($A15,1))+SUMIFS(Entries!$E$2:$E$5000,Entries!$C$2:$C$5000,"One-off",Entries!$A$2:$A$5000,"&gt;="&amp;EDATE($A15,-11),Entries!$A$2:$A$5000,"&lt;"&amp;EDATE($A15,1)))/COUNTIFS($A$2:$A$400,"&gt;="&amp;EDATE($A15,-11),$A$2:$A$400,"&lt;"&amp;EDATE($A15,1),$BM$2:$BM$400,"&gt;0"))</f>
      </c>
      <c r="M15" s="24">
        <f>IF($BM15=0,NA(),IFERROR((K15-L15)/K15,0))</f>
        <v/>
      </c>
      <c r="N15" s="23">
        <f>IF($BM15=0,NA(),SUMIFS(Entries!$E$2:$E$5000,Entries!$D$2:$D$5000,"Core",Entries!$A$2:$A$5000,"&gt;="&amp;$A15,Entries!$A$2:$A$5000,"&lt;"&amp;EDATE($A15,1)))</f>
        <v/>
      </c>
      <c r="O15" s="23">
        <f>IF($BM15=0,NA(),SUMIFS(Entries!$E$2:$E$5000,Entries!$D$2:$D$5000,"Over &amp; above",Entries!$A$2:$A$5000,"&gt;="&amp;$A15,Entries!$A$2:$A$5000,"&lt;"&amp;EDATE($A15,1)))</f>
        <v/>
      </c>
      <c r="P15" s="23">
        <f>IF($BM15=0,NA(),SUMIFS(Entries!$E$2:$E$5000,Entries!$D$2:$D$5000,"One-off",Entries!$A$2:$A$5000,"&gt;="&amp;$A15,Entries!$A$2:$A$5000,"&lt;"&amp;EDATE($A15,1)))</f>
        <v/>
      </c>
      <c r="Q15" s="23">
        <f>IF($BM15=0,NA(),SUMIFS(Entries!$E$2:$E$5000,Entries!$D$2:$D$5000,"Reimbursable",Entries!$A$2:$A$5000,"&gt;="&amp;$A15,Entries!$A$2:$A$5000,"&lt;"&amp;EDATE($A15,1)))</f>
        <v/>
      </c>
      <c r="R15" s="23">
        <f>IF($BM15=0,NA(),SUMIFS(Entries!$E$2:$E$5000,Entries!$D$2:$D$5000,"Investment",Entries!$A$2:$A$5000,"&gt;="&amp;$A15,Entries!$A$2:$A$5000,"&lt;"&amp;EDATE($A15,1)))</f>
        <v/>
      </c>
      <c r="S15" s="23">
        <f>IF($BM15=0,NA(),N15+O15)</f>
        <v/>
      </c>
      <c r="T15" s="23">
        <f>IF($BM15=0,"",E15-Q15)</f>
        <v/>
      </c>
      <c r="W15" s="23">
        <f>IF(OR(W$1="",$BM15=0),"",SUMIFS(Entries!$E$2:$E$5000,Entries!$C$2:$C$5000,"Actual",Entries!$A$2:$A$5000,"&gt;="&amp;$A15,Entries!$A$2:$A$5000,"&lt;"&amp;EDATE($A15,1),Entries!$B$2:$B$5000,W$1))</f>
        <v/>
      </c>
      <c r="X15" s="23">
        <f>IF(OR(X$1="",$BM15=0),"",SUMIFS(Entries!$E$2:$E$5000,Entries!$C$2:$C$5000,"Actual",Entries!$A$2:$A$5000,"&gt;="&amp;$A15,Entries!$A$2:$A$5000,"&lt;"&amp;EDATE($A15,1),Entries!$B$2:$B$5000,X$1))</f>
        <v/>
      </c>
      <c r="Y15" s="23">
        <f>IF(OR(Y$1="",$BM15=0),"",SUMIFS(Entries!$E$2:$E$5000,Entries!$C$2:$C$5000,"Actual",Entries!$A$2:$A$5000,"&gt;="&amp;$A15,Entries!$A$2:$A$5000,"&lt;"&amp;EDATE($A15,1),Entries!$B$2:$B$5000,Y$1))</f>
        <v/>
      </c>
      <c r="Z15" s="23">
        <f>IF(OR(Z$1="",$BM15=0),"",SUMIFS(Entries!$E$2:$E$5000,Entries!$C$2:$C$5000,"Actual",Entries!$A$2:$A$5000,"&gt;="&amp;$A15,Entries!$A$2:$A$5000,"&lt;"&amp;EDATE($A15,1),Entries!$B$2:$B$5000,Z$1))</f>
        <v/>
      </c>
      <c r="AA15" s="23">
        <f>IF(OR(AA$1="",$BM15=0),"",SUMIFS(Entries!$E$2:$E$5000,Entries!$C$2:$C$5000,"Actual",Entries!$A$2:$A$5000,"&gt;="&amp;$A15,Entries!$A$2:$A$5000,"&lt;"&amp;EDATE($A15,1),Entries!$B$2:$B$5000,AA$1))</f>
        <v/>
      </c>
      <c r="AB15" s="23">
        <f>IF(OR(AB$1="",$BM15=0),"",SUMIFS(Entries!$E$2:$E$5000,Entries!$C$2:$C$5000,"Actual",Entries!$A$2:$A$5000,"&gt;="&amp;$A15,Entries!$A$2:$A$5000,"&lt;"&amp;EDATE($A15,1),Entries!$B$2:$B$5000,AB$1))</f>
        <v/>
      </c>
      <c r="AC15" s="23">
        <f>IF(OR(AC$1="",$BM15=0),"",SUMIFS(Entries!$E$2:$E$5000,Entries!$C$2:$C$5000,"Actual",Entries!$A$2:$A$5000,"&gt;="&amp;$A15,Entries!$A$2:$A$5000,"&lt;"&amp;EDATE($A15,1),Entries!$B$2:$B$5000,AC$1))</f>
        <v/>
      </c>
      <c r="AD15" s="23">
        <f>IF(OR(AD$1="",$BM15=0),"",SUMIFS(Entries!$E$2:$E$5000,Entries!$C$2:$C$5000,"Actual",Entries!$A$2:$A$5000,"&gt;="&amp;$A15,Entries!$A$2:$A$5000,"&lt;"&amp;EDATE($A15,1),Entries!$B$2:$B$5000,AD$1))</f>
        <v/>
      </c>
      <c r="AE15" s="23">
        <f>IF(OR(AE$1="",$BM15=0),"",SUMIFS(Entries!$E$2:$E$5000,Entries!$C$2:$C$5000,"Actual",Entries!$A$2:$A$5000,"&gt;="&amp;$A15,Entries!$A$2:$A$5000,"&lt;"&amp;EDATE($A15,1),Entries!$B$2:$B$5000,AE$1))</f>
        <v/>
      </c>
      <c r="AF15" s="23">
        <f>IF(OR(AF$1="",$BM15=0),"",SUMIFS(Entries!$E$2:$E$5000,Entries!$C$2:$C$5000,"Actual",Entries!$A$2:$A$5000,"&gt;="&amp;$A15,Entries!$A$2:$A$5000,"&lt;"&amp;EDATE($A15,1),Entries!$B$2:$B$5000,AF$1))</f>
        <v/>
      </c>
      <c r="AG15" s="23">
        <f>IF(OR(AG$1="",$BM15=0),"",SUMIFS(Entries!$E$2:$E$5000,Entries!$C$2:$C$5000,"Actual",Entries!$A$2:$A$5000,"&gt;="&amp;$A15,Entries!$A$2:$A$5000,"&lt;"&amp;EDATE($A15,1),Entries!$B$2:$B$5000,AG$1))</f>
        <v/>
      </c>
      <c r="AH15" s="23">
        <f>IF(OR(AH$1="",$BM15=0),"",SUMIFS(Entries!$E$2:$E$5000,Entries!$C$2:$C$5000,"Actual",Entries!$A$2:$A$5000,"&gt;="&amp;$A15,Entries!$A$2:$A$5000,"&lt;"&amp;EDATE($A15,1),Entries!$B$2:$B$5000,AH$1))</f>
        <v/>
      </c>
      <c r="AI15" s="23">
        <f>IF(OR(AI$1="",$BM15=0),"",SUMIFS(Entries!$E$2:$E$5000,Entries!$C$2:$C$5000,"Actual",Entries!$A$2:$A$5000,"&gt;="&amp;$A15,Entries!$A$2:$A$5000,"&lt;"&amp;EDATE($A15,1),Entries!$B$2:$B$5000,AI$1))</f>
        <v/>
      </c>
      <c r="AJ15" s="23">
        <f>IF(OR(AJ$1="",$BM15=0),"",SUMIFS(Entries!$E$2:$E$5000,Entries!$C$2:$C$5000,"Actual",Entries!$A$2:$A$5000,"&gt;="&amp;$A15,Entries!$A$2:$A$5000,"&lt;"&amp;EDATE($A15,1),Entries!$B$2:$B$5000,AJ$1))</f>
        <v/>
      </c>
      <c r="AK15" s="23">
        <f>IF(OR(AK$1="",$BM15=0),"",SUMIFS(Entries!$E$2:$E$5000,Entries!$C$2:$C$5000,"Actual",Entries!$A$2:$A$5000,"&gt;="&amp;$A15,Entries!$A$2:$A$5000,"&lt;"&amp;EDATE($A15,1),Entries!$B$2:$B$5000,AK$1))</f>
        <v/>
      </c>
      <c r="AL15" s="23">
        <f>IF(OR(AL$1="",$BM15=0),"",SUMIFS(Entries!$E$2:$E$5000,Entries!$C$2:$C$5000,"Actual",Entries!$A$2:$A$5000,"&gt;="&amp;$A15,Entries!$A$2:$A$5000,"&lt;"&amp;EDATE($A15,1),Entries!$B$2:$B$5000,AL$1))</f>
        <v/>
      </c>
      <c r="AM15" s="23">
        <f>IF(OR(AM$1="",$BM15=0),"",SUMIFS(Entries!$E$2:$E$5000,Entries!$C$2:$C$5000,"Actual",Entries!$A$2:$A$5000,"&gt;="&amp;$A15,Entries!$A$2:$A$5000,"&lt;"&amp;EDATE($A15,1),Entries!$B$2:$B$5000,AM$1))</f>
        <v/>
      </c>
      <c r="AN15" s="23">
        <f>IF(OR(AN$1="",$BM15=0),"",SUMIFS(Entries!$E$2:$E$5000,Entries!$C$2:$C$5000,"Actual",Entries!$A$2:$A$5000,"&gt;="&amp;$A15,Entries!$A$2:$A$5000,"&lt;"&amp;EDATE($A15,1),Entries!$B$2:$B$5000,AN$1))</f>
        <v/>
      </c>
      <c r="AO15" s="23">
        <f>IF(OR(AO$1="",$BM15=0),"",SUMIFS(Entries!$E$2:$E$5000,Entries!$C$2:$C$5000,"Actual",Entries!$A$2:$A$5000,"&gt;="&amp;$A15,Entries!$A$2:$A$5000,"&lt;"&amp;EDATE($A15,1),Entries!$B$2:$B$5000,AO$1))</f>
        <v/>
      </c>
      <c r="AP15" s="23">
        <f>IF(OR(AP$1="",$BM15=0),"",SUMIFS(Entries!$E$2:$E$5000,Entries!$C$2:$C$5000,"Actual",Entries!$A$2:$A$5000,"&gt;="&amp;$A15,Entries!$A$2:$A$5000,"&lt;"&amp;EDATE($A15,1),Entries!$B$2:$B$5000,AP$1))</f>
        <v/>
      </c>
      <c r="AR15" s="23">
        <f>IF(OR(AR$1="",$BM15=0),"",IFERROR(LOOKUP(2,1/((Budgets!$A$2:$A$200=AR$1)*(Budgets!$B$2:$B$200&lt;EDATE($A15,1))),Budgets!$C$2:$C$200),0))</f>
        <v/>
      </c>
      <c r="AS15" s="23">
        <f>IF(OR(AS$1="",$BM15=0),"",IFERROR(LOOKUP(2,1/((Budgets!$A$2:$A$200=AS$1)*(Budgets!$B$2:$B$200&lt;EDATE($A15,1))),Budgets!$C$2:$C$200),0))</f>
        <v/>
      </c>
      <c r="AT15" s="23">
        <f>IF(OR(AT$1="",$BM15=0),"",IFERROR(LOOKUP(2,1/((Budgets!$A$2:$A$200=AT$1)*(Budgets!$B$2:$B$200&lt;EDATE($A15,1))),Budgets!$C$2:$C$200),0))</f>
        <v/>
      </c>
      <c r="AU15" s="23">
        <f>IF(OR(AU$1="",$BM15=0),"",IFERROR(LOOKUP(2,1/((Budgets!$A$2:$A$200=AU$1)*(Budgets!$B$2:$B$200&lt;EDATE($A15,1))),Budgets!$C$2:$C$200),0))</f>
        <v/>
      </c>
      <c r="AV15" s="23">
        <f>IF(OR(AV$1="",$BM15=0),"",IFERROR(LOOKUP(2,1/((Budgets!$A$2:$A$200=AV$1)*(Budgets!$B$2:$B$200&lt;EDATE($A15,1))),Budgets!$C$2:$C$200),0))</f>
        <v/>
      </c>
      <c r="AW15" s="23">
        <f>IF(OR(AW$1="",$BM15=0),"",IFERROR(LOOKUP(2,1/((Budgets!$A$2:$A$200=AW$1)*(Budgets!$B$2:$B$200&lt;EDATE($A15,1))),Budgets!$C$2:$C$200),0))</f>
        <v/>
      </c>
      <c r="AX15" s="23">
        <f>IF(OR(AX$1="",$BM15=0),"",IFERROR(LOOKUP(2,1/((Budgets!$A$2:$A$200=AX$1)*(Budgets!$B$2:$B$200&lt;EDATE($A15,1))),Budgets!$C$2:$C$200),0))</f>
        <v/>
      </c>
      <c r="AY15" s="23">
        <f>IF(OR(AY$1="",$BM15=0),"",IFERROR(LOOKUP(2,1/((Budgets!$A$2:$A$200=AY$1)*(Budgets!$B$2:$B$200&lt;EDATE($A15,1))),Budgets!$C$2:$C$200),0))</f>
        <v/>
      </c>
      <c r="AZ15" s="23">
        <f>IF(OR(AZ$1="",$BM15=0),"",IFERROR(LOOKUP(2,1/((Budgets!$A$2:$A$200=AZ$1)*(Budgets!$B$2:$B$200&lt;EDATE($A15,1))),Budgets!$C$2:$C$200),0))</f>
        <v/>
      </c>
      <c r="BA15" s="23">
        <f>IF(OR(BA$1="",$BM15=0),"",IFERROR(LOOKUP(2,1/((Budgets!$A$2:$A$200=BA$1)*(Budgets!$B$2:$B$200&lt;EDATE($A15,1))),Budgets!$C$2:$C$200),0))</f>
        <v/>
      </c>
      <c r="BB15" s="23">
        <f>IF(OR(BB$1="",$BM15=0),"",IFERROR(LOOKUP(2,1/((Budgets!$A$2:$A$200=BB$1)*(Budgets!$B$2:$B$200&lt;EDATE($A15,1))),Budgets!$C$2:$C$200),0))</f>
        <v/>
      </c>
      <c r="BC15" s="23">
        <f>IF(OR(BC$1="",$BM15=0),"",IFERROR(LOOKUP(2,1/((Budgets!$A$2:$A$200=BC$1)*(Budgets!$B$2:$B$200&lt;EDATE($A15,1))),Budgets!$C$2:$C$200),0))</f>
        <v/>
      </c>
      <c r="BD15" s="23">
        <f>IF(OR(BD$1="",$BM15=0),"",IFERROR(LOOKUP(2,1/((Budgets!$A$2:$A$200=BD$1)*(Budgets!$B$2:$B$200&lt;EDATE($A15,1))),Budgets!$C$2:$C$200),0))</f>
        <v/>
      </c>
      <c r="BE15" s="23">
        <f>IF(OR(BE$1="",$BM15=0),"",IFERROR(LOOKUP(2,1/((Budgets!$A$2:$A$200=BE$1)*(Budgets!$B$2:$B$200&lt;EDATE($A15,1))),Budgets!$C$2:$C$200),0))</f>
        <v/>
      </c>
      <c r="BF15" s="23">
        <f>IF(OR(BF$1="",$BM15=0),"",IFERROR(LOOKUP(2,1/((Budgets!$A$2:$A$200=BF$1)*(Budgets!$B$2:$B$200&lt;EDATE($A15,1))),Budgets!$C$2:$C$200),0))</f>
        <v/>
      </c>
      <c r="BG15" s="23">
        <f>IF(OR(BG$1="",$BM15=0),"",IFERROR(LOOKUP(2,1/((Budgets!$A$2:$A$200=BG$1)*(Budgets!$B$2:$B$200&lt;EDATE($A15,1))),Budgets!$C$2:$C$200),0))</f>
        <v/>
      </c>
      <c r="BH15" s="23">
        <f>IF(OR(BH$1="",$BM15=0),"",IFERROR(LOOKUP(2,1/((Budgets!$A$2:$A$200=BH$1)*(Budgets!$B$2:$B$200&lt;EDATE($A15,1))),Budgets!$C$2:$C$200),0))</f>
        <v/>
      </c>
      <c r="BI15" s="23">
        <f>IF(OR(BI$1="",$BM15=0),"",IFERROR(LOOKUP(2,1/((Budgets!$A$2:$A$200=BI$1)*(Budgets!$B$2:$B$200&lt;EDATE($A15,1))),Budgets!$C$2:$C$200),0))</f>
        <v/>
      </c>
      <c r="BJ15" s="23">
        <f>IF(OR(BJ$1="",$BM15=0),"",IFERROR(LOOKUP(2,1/((Budgets!$A$2:$A$200=BJ$1)*(Budgets!$B$2:$B$200&lt;EDATE($A15,1))),Budgets!$C$2:$C$200),0))</f>
        <v/>
      </c>
      <c r="BK15" s="23">
        <f>IF(OR(BK$1="",$BM15=0),"",IFERROR(LOOKUP(2,1/((Budgets!$A$2:$A$200=BK$1)*(Budgets!$B$2:$B$200&lt;EDATE($A15,1))),Budgets!$C$2:$C$200),0))</f>
        <v/>
      </c>
      <c r="BM15" s="21">
        <f>COUNTIFS(Entries!$A$2:$A$5000,"&gt;="&amp;$A15,Entries!$A$2:$A$5000,"&lt;"&amp;EDATE($A15,1))</f>
        <v/>
      </c>
    </row>
    <row r="16">
      <c r="A16" s="22" t="n">
        <v>39873</v>
      </c>
      <c r="B16" s="23">
        <f>IF($BM16=0,NA(),SUMIFS(Entries!$E$2:$E$5000,Entries!$C$2:$C$5000,"Income",Entries!$A$2:$A$5000,"&gt;="&amp;$A16,Entries!$A$2:$A$5000,"&lt;"&amp;EDATE($A16,1)))</f>
        <v/>
      </c>
      <c r="C16" s="23">
        <f>IF($BM16=0,"",SUMIFS(Entries!$E$2:$E$5000,Entries!$C$2:$C$5000,"Actual",Entries!$A$2:$A$5000,"&gt;="&amp;$A16,Entries!$A$2:$A$5000,"&lt;"&amp;EDATE($A16,1)))</f>
        <v/>
      </c>
      <c r="D16" s="23">
        <f>IF($BM16=0,"",SUMIFS(Entries!$E$2:$E$5000,Entries!$C$2:$C$5000,"One-off",Entries!$A$2:$A$5000,"&gt;="&amp;$A16,Entries!$A$2:$A$5000,"&lt;"&amp;EDATE($A16,1)))</f>
        <v/>
      </c>
      <c r="E16" s="23">
        <f>IF($BM16=0,NA(),C16+D16)</f>
        <v/>
      </c>
      <c r="F16" s="23">
        <f>IF($BM16=0,"",SUM(AR16:BK16))</f>
        <v/>
      </c>
      <c r="G16" s="23">
        <f>IF($BM16=0,"",B16-E16)</f>
        <v/>
      </c>
      <c r="H16" s="23">
        <f>IF($BM16=0,"",SUM($G$2:G16))</f>
        <v/>
      </c>
      <c r="I16" s="23">
        <f>IF($BM16=0,"",SUMIFS(Entries!$G$2:$G$5000,Entries!$A$2:$A$5000,"&gt;="&amp;$A16,Entries!$A$2:$A$5000,"&lt;"&amp;EDATE($A16,1)))</f>
        <v/>
      </c>
      <c r="J16" s="23">
        <f>IF($BM16=0,NA(),H16)</f>
        <v/>
      </c>
      <c r="K16" s="23">
        <f>IF($BM16=0,"",SUMIFS(Entries!$E$2:$E$5000,Entries!$C$2:$C$5000,"Income",Entries!$A$2:$A$5000,"&gt;="&amp;EDATE($A16,-11),Entries!$A$2:$A$5000,"&lt;"&amp;EDATE($A16,1))/COUNTIFS($A$2:$A$400,"&gt;="&amp;EDATE($A16,-11),$A$2:$A$400,"&lt;"&amp;EDATE($A16,1),$BM$2:$BM$400,"&gt;0"))</f>
      </c>
      <c r="L16" s="23">
        <f>IF($BM16=0,"",(SUMIFS(Entries!$E$2:$E$5000,Entries!$C$2:$C$5000,"Actual",Entries!$A$2:$A$5000,"&gt;="&amp;EDATE($A16,-11),Entries!$A$2:$A$5000,"&lt;"&amp;EDATE($A16,1))+SUMIFS(Entries!$E$2:$E$5000,Entries!$C$2:$C$5000,"One-off",Entries!$A$2:$A$5000,"&gt;="&amp;EDATE($A16,-11),Entries!$A$2:$A$5000,"&lt;"&amp;EDATE($A16,1)))/COUNTIFS($A$2:$A$400,"&gt;="&amp;EDATE($A16,-11),$A$2:$A$400,"&lt;"&amp;EDATE($A16,1),$BM$2:$BM$400,"&gt;0"))</f>
      </c>
      <c r="M16" s="24">
        <f>IF($BM16=0,NA(),IFERROR((K16-L16)/K16,0))</f>
        <v/>
      </c>
      <c r="N16" s="23">
        <f>IF($BM16=0,NA(),SUMIFS(Entries!$E$2:$E$5000,Entries!$D$2:$D$5000,"Core",Entries!$A$2:$A$5000,"&gt;="&amp;$A16,Entries!$A$2:$A$5000,"&lt;"&amp;EDATE($A16,1)))</f>
        <v/>
      </c>
      <c r="O16" s="23">
        <f>IF($BM16=0,NA(),SUMIFS(Entries!$E$2:$E$5000,Entries!$D$2:$D$5000,"Over &amp; above",Entries!$A$2:$A$5000,"&gt;="&amp;$A16,Entries!$A$2:$A$5000,"&lt;"&amp;EDATE($A16,1)))</f>
        <v/>
      </c>
      <c r="P16" s="23">
        <f>IF($BM16=0,NA(),SUMIFS(Entries!$E$2:$E$5000,Entries!$D$2:$D$5000,"One-off",Entries!$A$2:$A$5000,"&gt;="&amp;$A16,Entries!$A$2:$A$5000,"&lt;"&amp;EDATE($A16,1)))</f>
        <v/>
      </c>
      <c r="Q16" s="23">
        <f>IF($BM16=0,NA(),SUMIFS(Entries!$E$2:$E$5000,Entries!$D$2:$D$5000,"Reimbursable",Entries!$A$2:$A$5000,"&gt;="&amp;$A16,Entries!$A$2:$A$5000,"&lt;"&amp;EDATE($A16,1)))</f>
        <v/>
      </c>
      <c r="R16" s="23">
        <f>IF($BM16=0,NA(),SUMIFS(Entries!$E$2:$E$5000,Entries!$D$2:$D$5000,"Investment",Entries!$A$2:$A$5000,"&gt;="&amp;$A16,Entries!$A$2:$A$5000,"&lt;"&amp;EDATE($A16,1)))</f>
        <v/>
      </c>
      <c r="S16" s="23">
        <f>IF($BM16=0,NA(),N16+O16)</f>
        <v/>
      </c>
      <c r="T16" s="23">
        <f>IF($BM16=0,"",E16-Q16)</f>
        <v/>
      </c>
      <c r="W16" s="23">
        <f>IF(OR(W$1="",$BM16=0),"",SUMIFS(Entries!$E$2:$E$5000,Entries!$C$2:$C$5000,"Actual",Entries!$A$2:$A$5000,"&gt;="&amp;$A16,Entries!$A$2:$A$5000,"&lt;"&amp;EDATE($A16,1),Entries!$B$2:$B$5000,W$1))</f>
        <v/>
      </c>
      <c r="X16" s="23">
        <f>IF(OR(X$1="",$BM16=0),"",SUMIFS(Entries!$E$2:$E$5000,Entries!$C$2:$C$5000,"Actual",Entries!$A$2:$A$5000,"&gt;="&amp;$A16,Entries!$A$2:$A$5000,"&lt;"&amp;EDATE($A16,1),Entries!$B$2:$B$5000,X$1))</f>
        <v/>
      </c>
      <c r="Y16" s="23">
        <f>IF(OR(Y$1="",$BM16=0),"",SUMIFS(Entries!$E$2:$E$5000,Entries!$C$2:$C$5000,"Actual",Entries!$A$2:$A$5000,"&gt;="&amp;$A16,Entries!$A$2:$A$5000,"&lt;"&amp;EDATE($A16,1),Entries!$B$2:$B$5000,Y$1))</f>
        <v/>
      </c>
      <c r="Z16" s="23">
        <f>IF(OR(Z$1="",$BM16=0),"",SUMIFS(Entries!$E$2:$E$5000,Entries!$C$2:$C$5000,"Actual",Entries!$A$2:$A$5000,"&gt;="&amp;$A16,Entries!$A$2:$A$5000,"&lt;"&amp;EDATE($A16,1),Entries!$B$2:$B$5000,Z$1))</f>
        <v/>
      </c>
      <c r="AA16" s="23">
        <f>IF(OR(AA$1="",$BM16=0),"",SUMIFS(Entries!$E$2:$E$5000,Entries!$C$2:$C$5000,"Actual",Entries!$A$2:$A$5000,"&gt;="&amp;$A16,Entries!$A$2:$A$5000,"&lt;"&amp;EDATE($A16,1),Entries!$B$2:$B$5000,AA$1))</f>
        <v/>
      </c>
      <c r="AB16" s="23">
        <f>IF(OR(AB$1="",$BM16=0),"",SUMIFS(Entries!$E$2:$E$5000,Entries!$C$2:$C$5000,"Actual",Entries!$A$2:$A$5000,"&gt;="&amp;$A16,Entries!$A$2:$A$5000,"&lt;"&amp;EDATE($A16,1),Entries!$B$2:$B$5000,AB$1))</f>
        <v/>
      </c>
      <c r="AC16" s="23">
        <f>IF(OR(AC$1="",$BM16=0),"",SUMIFS(Entries!$E$2:$E$5000,Entries!$C$2:$C$5000,"Actual",Entries!$A$2:$A$5000,"&gt;="&amp;$A16,Entries!$A$2:$A$5000,"&lt;"&amp;EDATE($A16,1),Entries!$B$2:$B$5000,AC$1))</f>
        <v/>
      </c>
      <c r="AD16" s="23">
        <f>IF(OR(AD$1="",$BM16=0),"",SUMIFS(Entries!$E$2:$E$5000,Entries!$C$2:$C$5000,"Actual",Entries!$A$2:$A$5000,"&gt;="&amp;$A16,Entries!$A$2:$A$5000,"&lt;"&amp;EDATE($A16,1),Entries!$B$2:$B$5000,AD$1))</f>
        <v/>
      </c>
      <c r="AE16" s="23">
        <f>IF(OR(AE$1="",$BM16=0),"",SUMIFS(Entries!$E$2:$E$5000,Entries!$C$2:$C$5000,"Actual",Entries!$A$2:$A$5000,"&gt;="&amp;$A16,Entries!$A$2:$A$5000,"&lt;"&amp;EDATE($A16,1),Entries!$B$2:$B$5000,AE$1))</f>
        <v/>
      </c>
      <c r="AF16" s="23">
        <f>IF(OR(AF$1="",$BM16=0),"",SUMIFS(Entries!$E$2:$E$5000,Entries!$C$2:$C$5000,"Actual",Entries!$A$2:$A$5000,"&gt;="&amp;$A16,Entries!$A$2:$A$5000,"&lt;"&amp;EDATE($A16,1),Entries!$B$2:$B$5000,AF$1))</f>
        <v/>
      </c>
      <c r="AG16" s="23">
        <f>IF(OR(AG$1="",$BM16=0),"",SUMIFS(Entries!$E$2:$E$5000,Entries!$C$2:$C$5000,"Actual",Entries!$A$2:$A$5000,"&gt;="&amp;$A16,Entries!$A$2:$A$5000,"&lt;"&amp;EDATE($A16,1),Entries!$B$2:$B$5000,AG$1))</f>
        <v/>
      </c>
      <c r="AH16" s="23">
        <f>IF(OR(AH$1="",$BM16=0),"",SUMIFS(Entries!$E$2:$E$5000,Entries!$C$2:$C$5000,"Actual",Entries!$A$2:$A$5000,"&gt;="&amp;$A16,Entries!$A$2:$A$5000,"&lt;"&amp;EDATE($A16,1),Entries!$B$2:$B$5000,AH$1))</f>
        <v/>
      </c>
      <c r="AI16" s="23">
        <f>IF(OR(AI$1="",$BM16=0),"",SUMIFS(Entries!$E$2:$E$5000,Entries!$C$2:$C$5000,"Actual",Entries!$A$2:$A$5000,"&gt;="&amp;$A16,Entries!$A$2:$A$5000,"&lt;"&amp;EDATE($A16,1),Entries!$B$2:$B$5000,AI$1))</f>
        <v/>
      </c>
      <c r="AJ16" s="23">
        <f>IF(OR(AJ$1="",$BM16=0),"",SUMIFS(Entries!$E$2:$E$5000,Entries!$C$2:$C$5000,"Actual",Entries!$A$2:$A$5000,"&gt;="&amp;$A16,Entries!$A$2:$A$5000,"&lt;"&amp;EDATE($A16,1),Entries!$B$2:$B$5000,AJ$1))</f>
        <v/>
      </c>
      <c r="AK16" s="23">
        <f>IF(OR(AK$1="",$BM16=0),"",SUMIFS(Entries!$E$2:$E$5000,Entries!$C$2:$C$5000,"Actual",Entries!$A$2:$A$5000,"&gt;="&amp;$A16,Entries!$A$2:$A$5000,"&lt;"&amp;EDATE($A16,1),Entries!$B$2:$B$5000,AK$1))</f>
        <v/>
      </c>
      <c r="AL16" s="23">
        <f>IF(OR(AL$1="",$BM16=0),"",SUMIFS(Entries!$E$2:$E$5000,Entries!$C$2:$C$5000,"Actual",Entries!$A$2:$A$5000,"&gt;="&amp;$A16,Entries!$A$2:$A$5000,"&lt;"&amp;EDATE($A16,1),Entries!$B$2:$B$5000,AL$1))</f>
        <v/>
      </c>
      <c r="AM16" s="23">
        <f>IF(OR(AM$1="",$BM16=0),"",SUMIFS(Entries!$E$2:$E$5000,Entries!$C$2:$C$5000,"Actual",Entries!$A$2:$A$5000,"&gt;="&amp;$A16,Entries!$A$2:$A$5000,"&lt;"&amp;EDATE($A16,1),Entries!$B$2:$B$5000,AM$1))</f>
        <v/>
      </c>
      <c r="AN16" s="23">
        <f>IF(OR(AN$1="",$BM16=0),"",SUMIFS(Entries!$E$2:$E$5000,Entries!$C$2:$C$5000,"Actual",Entries!$A$2:$A$5000,"&gt;="&amp;$A16,Entries!$A$2:$A$5000,"&lt;"&amp;EDATE($A16,1),Entries!$B$2:$B$5000,AN$1))</f>
        <v/>
      </c>
      <c r="AO16" s="23">
        <f>IF(OR(AO$1="",$BM16=0),"",SUMIFS(Entries!$E$2:$E$5000,Entries!$C$2:$C$5000,"Actual",Entries!$A$2:$A$5000,"&gt;="&amp;$A16,Entries!$A$2:$A$5000,"&lt;"&amp;EDATE($A16,1),Entries!$B$2:$B$5000,AO$1))</f>
        <v/>
      </c>
      <c r="AP16" s="23">
        <f>IF(OR(AP$1="",$BM16=0),"",SUMIFS(Entries!$E$2:$E$5000,Entries!$C$2:$C$5000,"Actual",Entries!$A$2:$A$5000,"&gt;="&amp;$A16,Entries!$A$2:$A$5000,"&lt;"&amp;EDATE($A16,1),Entries!$B$2:$B$5000,AP$1))</f>
        <v/>
      </c>
      <c r="AR16" s="23">
        <f>IF(OR(AR$1="",$BM16=0),"",IFERROR(LOOKUP(2,1/((Budgets!$A$2:$A$200=AR$1)*(Budgets!$B$2:$B$200&lt;EDATE($A16,1))),Budgets!$C$2:$C$200),0))</f>
        <v/>
      </c>
      <c r="AS16" s="23">
        <f>IF(OR(AS$1="",$BM16=0),"",IFERROR(LOOKUP(2,1/((Budgets!$A$2:$A$200=AS$1)*(Budgets!$B$2:$B$200&lt;EDATE($A16,1))),Budgets!$C$2:$C$200),0))</f>
        <v/>
      </c>
      <c r="AT16" s="23">
        <f>IF(OR(AT$1="",$BM16=0),"",IFERROR(LOOKUP(2,1/((Budgets!$A$2:$A$200=AT$1)*(Budgets!$B$2:$B$200&lt;EDATE($A16,1))),Budgets!$C$2:$C$200),0))</f>
        <v/>
      </c>
      <c r="AU16" s="23">
        <f>IF(OR(AU$1="",$BM16=0),"",IFERROR(LOOKUP(2,1/((Budgets!$A$2:$A$200=AU$1)*(Budgets!$B$2:$B$200&lt;EDATE($A16,1))),Budgets!$C$2:$C$200),0))</f>
        <v/>
      </c>
      <c r="AV16" s="23">
        <f>IF(OR(AV$1="",$BM16=0),"",IFERROR(LOOKUP(2,1/((Budgets!$A$2:$A$200=AV$1)*(Budgets!$B$2:$B$200&lt;EDATE($A16,1))),Budgets!$C$2:$C$200),0))</f>
        <v/>
      </c>
      <c r="AW16" s="23">
        <f>IF(OR(AW$1="",$BM16=0),"",IFERROR(LOOKUP(2,1/((Budgets!$A$2:$A$200=AW$1)*(Budgets!$B$2:$B$200&lt;EDATE($A16,1))),Budgets!$C$2:$C$200),0))</f>
        <v/>
      </c>
      <c r="AX16" s="23">
        <f>IF(OR(AX$1="",$BM16=0),"",IFERROR(LOOKUP(2,1/((Budgets!$A$2:$A$200=AX$1)*(Budgets!$B$2:$B$200&lt;EDATE($A16,1))),Budgets!$C$2:$C$200),0))</f>
        <v/>
      </c>
      <c r="AY16" s="23">
        <f>IF(OR(AY$1="",$BM16=0),"",IFERROR(LOOKUP(2,1/((Budgets!$A$2:$A$200=AY$1)*(Budgets!$B$2:$B$200&lt;EDATE($A16,1))),Budgets!$C$2:$C$200),0))</f>
        <v/>
      </c>
      <c r="AZ16" s="23">
        <f>IF(OR(AZ$1="",$BM16=0),"",IFERROR(LOOKUP(2,1/((Budgets!$A$2:$A$200=AZ$1)*(Budgets!$B$2:$B$200&lt;EDATE($A16,1))),Budgets!$C$2:$C$200),0))</f>
        <v/>
      </c>
      <c r="BA16" s="23">
        <f>IF(OR(BA$1="",$BM16=0),"",IFERROR(LOOKUP(2,1/((Budgets!$A$2:$A$200=BA$1)*(Budgets!$B$2:$B$200&lt;EDATE($A16,1))),Budgets!$C$2:$C$200),0))</f>
        <v/>
      </c>
      <c r="BB16" s="23">
        <f>IF(OR(BB$1="",$BM16=0),"",IFERROR(LOOKUP(2,1/((Budgets!$A$2:$A$200=BB$1)*(Budgets!$B$2:$B$200&lt;EDATE($A16,1))),Budgets!$C$2:$C$200),0))</f>
        <v/>
      </c>
      <c r="BC16" s="23">
        <f>IF(OR(BC$1="",$BM16=0),"",IFERROR(LOOKUP(2,1/((Budgets!$A$2:$A$200=BC$1)*(Budgets!$B$2:$B$200&lt;EDATE($A16,1))),Budgets!$C$2:$C$200),0))</f>
        <v/>
      </c>
      <c r="BD16" s="23">
        <f>IF(OR(BD$1="",$BM16=0),"",IFERROR(LOOKUP(2,1/((Budgets!$A$2:$A$200=BD$1)*(Budgets!$B$2:$B$200&lt;EDATE($A16,1))),Budgets!$C$2:$C$200),0))</f>
        <v/>
      </c>
      <c r="BE16" s="23">
        <f>IF(OR(BE$1="",$BM16=0),"",IFERROR(LOOKUP(2,1/((Budgets!$A$2:$A$200=BE$1)*(Budgets!$B$2:$B$200&lt;EDATE($A16,1))),Budgets!$C$2:$C$200),0))</f>
        <v/>
      </c>
      <c r="BF16" s="23">
        <f>IF(OR(BF$1="",$BM16=0),"",IFERROR(LOOKUP(2,1/((Budgets!$A$2:$A$200=BF$1)*(Budgets!$B$2:$B$200&lt;EDATE($A16,1))),Budgets!$C$2:$C$200),0))</f>
        <v/>
      </c>
      <c r="BG16" s="23">
        <f>IF(OR(BG$1="",$BM16=0),"",IFERROR(LOOKUP(2,1/((Budgets!$A$2:$A$200=BG$1)*(Budgets!$B$2:$B$200&lt;EDATE($A16,1))),Budgets!$C$2:$C$200),0))</f>
        <v/>
      </c>
      <c r="BH16" s="23">
        <f>IF(OR(BH$1="",$BM16=0),"",IFERROR(LOOKUP(2,1/((Budgets!$A$2:$A$200=BH$1)*(Budgets!$B$2:$B$200&lt;EDATE($A16,1))),Budgets!$C$2:$C$200),0))</f>
        <v/>
      </c>
      <c r="BI16" s="23">
        <f>IF(OR(BI$1="",$BM16=0),"",IFERROR(LOOKUP(2,1/((Budgets!$A$2:$A$200=BI$1)*(Budgets!$B$2:$B$200&lt;EDATE($A16,1))),Budgets!$C$2:$C$200),0))</f>
        <v/>
      </c>
      <c r="BJ16" s="23">
        <f>IF(OR(BJ$1="",$BM16=0),"",IFERROR(LOOKUP(2,1/((Budgets!$A$2:$A$200=BJ$1)*(Budgets!$B$2:$B$200&lt;EDATE($A16,1))),Budgets!$C$2:$C$200),0))</f>
        <v/>
      </c>
      <c r="BK16" s="23">
        <f>IF(OR(BK$1="",$BM16=0),"",IFERROR(LOOKUP(2,1/((Budgets!$A$2:$A$200=BK$1)*(Budgets!$B$2:$B$200&lt;EDATE($A16,1))),Budgets!$C$2:$C$200),0))</f>
        <v/>
      </c>
      <c r="BM16" s="21">
        <f>COUNTIFS(Entries!$A$2:$A$5000,"&gt;="&amp;$A16,Entries!$A$2:$A$5000,"&lt;"&amp;EDATE($A16,1))</f>
        <v/>
      </c>
    </row>
    <row r="17">
      <c r="A17" s="22" t="n">
        <v>39904</v>
      </c>
      <c r="B17" s="23">
        <f>IF($BM17=0,NA(),SUMIFS(Entries!$E$2:$E$5000,Entries!$C$2:$C$5000,"Income",Entries!$A$2:$A$5000,"&gt;="&amp;$A17,Entries!$A$2:$A$5000,"&lt;"&amp;EDATE($A17,1)))</f>
        <v/>
      </c>
      <c r="C17" s="23">
        <f>IF($BM17=0,"",SUMIFS(Entries!$E$2:$E$5000,Entries!$C$2:$C$5000,"Actual",Entries!$A$2:$A$5000,"&gt;="&amp;$A17,Entries!$A$2:$A$5000,"&lt;"&amp;EDATE($A17,1)))</f>
        <v/>
      </c>
      <c r="D17" s="23">
        <f>IF($BM17=0,"",SUMIFS(Entries!$E$2:$E$5000,Entries!$C$2:$C$5000,"One-off",Entries!$A$2:$A$5000,"&gt;="&amp;$A17,Entries!$A$2:$A$5000,"&lt;"&amp;EDATE($A17,1)))</f>
        <v/>
      </c>
      <c r="E17" s="23">
        <f>IF($BM17=0,NA(),C17+D17)</f>
        <v/>
      </c>
      <c r="F17" s="23">
        <f>IF($BM17=0,"",SUM(AR17:BK17))</f>
        <v/>
      </c>
      <c r="G17" s="23">
        <f>IF($BM17=0,"",B17-E17)</f>
        <v/>
      </c>
      <c r="H17" s="23">
        <f>IF($BM17=0,"",SUM($G$2:G17))</f>
        <v/>
      </c>
      <c r="I17" s="23">
        <f>IF($BM17=0,"",SUMIFS(Entries!$G$2:$G$5000,Entries!$A$2:$A$5000,"&gt;="&amp;$A17,Entries!$A$2:$A$5000,"&lt;"&amp;EDATE($A17,1)))</f>
        <v/>
      </c>
      <c r="J17" s="23">
        <f>IF($BM17=0,NA(),H17)</f>
        <v/>
      </c>
      <c r="K17" s="23">
        <f>IF($BM17=0,"",SUMIFS(Entries!$E$2:$E$5000,Entries!$C$2:$C$5000,"Income",Entries!$A$2:$A$5000,"&gt;="&amp;EDATE($A17,-11),Entries!$A$2:$A$5000,"&lt;"&amp;EDATE($A17,1))/COUNTIFS($A$2:$A$400,"&gt;="&amp;EDATE($A17,-11),$A$2:$A$400,"&lt;"&amp;EDATE($A17,1),$BM$2:$BM$400,"&gt;0"))</f>
      </c>
      <c r="L17" s="23">
        <f>IF($BM17=0,"",(SUMIFS(Entries!$E$2:$E$5000,Entries!$C$2:$C$5000,"Actual",Entries!$A$2:$A$5000,"&gt;="&amp;EDATE($A17,-11),Entries!$A$2:$A$5000,"&lt;"&amp;EDATE($A17,1))+SUMIFS(Entries!$E$2:$E$5000,Entries!$C$2:$C$5000,"One-off",Entries!$A$2:$A$5000,"&gt;="&amp;EDATE($A17,-11),Entries!$A$2:$A$5000,"&lt;"&amp;EDATE($A17,1)))/COUNTIFS($A$2:$A$400,"&gt;="&amp;EDATE($A17,-11),$A$2:$A$400,"&lt;"&amp;EDATE($A17,1),$BM$2:$BM$400,"&gt;0"))</f>
      </c>
      <c r="M17" s="24">
        <f>IF($BM17=0,NA(),IFERROR((K17-L17)/K17,0))</f>
        <v/>
      </c>
      <c r="N17" s="23">
        <f>IF($BM17=0,NA(),SUMIFS(Entries!$E$2:$E$5000,Entries!$D$2:$D$5000,"Core",Entries!$A$2:$A$5000,"&gt;="&amp;$A17,Entries!$A$2:$A$5000,"&lt;"&amp;EDATE($A17,1)))</f>
        <v/>
      </c>
      <c r="O17" s="23">
        <f>IF($BM17=0,NA(),SUMIFS(Entries!$E$2:$E$5000,Entries!$D$2:$D$5000,"Over &amp; above",Entries!$A$2:$A$5000,"&gt;="&amp;$A17,Entries!$A$2:$A$5000,"&lt;"&amp;EDATE($A17,1)))</f>
        <v/>
      </c>
      <c r="P17" s="23">
        <f>IF($BM17=0,NA(),SUMIFS(Entries!$E$2:$E$5000,Entries!$D$2:$D$5000,"One-off",Entries!$A$2:$A$5000,"&gt;="&amp;$A17,Entries!$A$2:$A$5000,"&lt;"&amp;EDATE($A17,1)))</f>
        <v/>
      </c>
      <c r="Q17" s="23">
        <f>IF($BM17=0,NA(),SUMIFS(Entries!$E$2:$E$5000,Entries!$D$2:$D$5000,"Reimbursable",Entries!$A$2:$A$5000,"&gt;="&amp;$A17,Entries!$A$2:$A$5000,"&lt;"&amp;EDATE($A17,1)))</f>
        <v/>
      </c>
      <c r="R17" s="23">
        <f>IF($BM17=0,NA(),SUMIFS(Entries!$E$2:$E$5000,Entries!$D$2:$D$5000,"Investment",Entries!$A$2:$A$5000,"&gt;="&amp;$A17,Entries!$A$2:$A$5000,"&lt;"&amp;EDATE($A17,1)))</f>
        <v/>
      </c>
      <c r="S17" s="23">
        <f>IF($BM17=0,NA(),N17+O17)</f>
        <v/>
      </c>
      <c r="T17" s="23">
        <f>IF($BM17=0,"",E17-Q17)</f>
        <v/>
      </c>
      <c r="W17" s="23">
        <f>IF(OR(W$1="",$BM17=0),"",SUMIFS(Entries!$E$2:$E$5000,Entries!$C$2:$C$5000,"Actual",Entries!$A$2:$A$5000,"&gt;="&amp;$A17,Entries!$A$2:$A$5000,"&lt;"&amp;EDATE($A17,1),Entries!$B$2:$B$5000,W$1))</f>
        <v/>
      </c>
      <c r="X17" s="23">
        <f>IF(OR(X$1="",$BM17=0),"",SUMIFS(Entries!$E$2:$E$5000,Entries!$C$2:$C$5000,"Actual",Entries!$A$2:$A$5000,"&gt;="&amp;$A17,Entries!$A$2:$A$5000,"&lt;"&amp;EDATE($A17,1),Entries!$B$2:$B$5000,X$1))</f>
        <v/>
      </c>
      <c r="Y17" s="23">
        <f>IF(OR(Y$1="",$BM17=0),"",SUMIFS(Entries!$E$2:$E$5000,Entries!$C$2:$C$5000,"Actual",Entries!$A$2:$A$5000,"&gt;="&amp;$A17,Entries!$A$2:$A$5000,"&lt;"&amp;EDATE($A17,1),Entries!$B$2:$B$5000,Y$1))</f>
        <v/>
      </c>
      <c r="Z17" s="23">
        <f>IF(OR(Z$1="",$BM17=0),"",SUMIFS(Entries!$E$2:$E$5000,Entries!$C$2:$C$5000,"Actual",Entries!$A$2:$A$5000,"&gt;="&amp;$A17,Entries!$A$2:$A$5000,"&lt;"&amp;EDATE($A17,1),Entries!$B$2:$B$5000,Z$1))</f>
        <v/>
      </c>
      <c r="AA17" s="23">
        <f>IF(OR(AA$1="",$BM17=0),"",SUMIFS(Entries!$E$2:$E$5000,Entries!$C$2:$C$5000,"Actual",Entries!$A$2:$A$5000,"&gt;="&amp;$A17,Entries!$A$2:$A$5000,"&lt;"&amp;EDATE($A17,1),Entries!$B$2:$B$5000,AA$1))</f>
        <v/>
      </c>
      <c r="AB17" s="23">
        <f>IF(OR(AB$1="",$BM17=0),"",SUMIFS(Entries!$E$2:$E$5000,Entries!$C$2:$C$5000,"Actual",Entries!$A$2:$A$5000,"&gt;="&amp;$A17,Entries!$A$2:$A$5000,"&lt;"&amp;EDATE($A17,1),Entries!$B$2:$B$5000,AB$1))</f>
        <v/>
      </c>
      <c r="AC17" s="23">
        <f>IF(OR(AC$1="",$BM17=0),"",SUMIFS(Entries!$E$2:$E$5000,Entries!$C$2:$C$5000,"Actual",Entries!$A$2:$A$5000,"&gt;="&amp;$A17,Entries!$A$2:$A$5000,"&lt;"&amp;EDATE($A17,1),Entries!$B$2:$B$5000,AC$1))</f>
        <v/>
      </c>
      <c r="AD17" s="23">
        <f>IF(OR(AD$1="",$BM17=0),"",SUMIFS(Entries!$E$2:$E$5000,Entries!$C$2:$C$5000,"Actual",Entries!$A$2:$A$5000,"&gt;="&amp;$A17,Entries!$A$2:$A$5000,"&lt;"&amp;EDATE($A17,1),Entries!$B$2:$B$5000,AD$1))</f>
        <v/>
      </c>
      <c r="AE17" s="23">
        <f>IF(OR(AE$1="",$BM17=0),"",SUMIFS(Entries!$E$2:$E$5000,Entries!$C$2:$C$5000,"Actual",Entries!$A$2:$A$5000,"&gt;="&amp;$A17,Entries!$A$2:$A$5000,"&lt;"&amp;EDATE($A17,1),Entries!$B$2:$B$5000,AE$1))</f>
        <v/>
      </c>
      <c r="AF17" s="23">
        <f>IF(OR(AF$1="",$BM17=0),"",SUMIFS(Entries!$E$2:$E$5000,Entries!$C$2:$C$5000,"Actual",Entries!$A$2:$A$5000,"&gt;="&amp;$A17,Entries!$A$2:$A$5000,"&lt;"&amp;EDATE($A17,1),Entries!$B$2:$B$5000,AF$1))</f>
        <v/>
      </c>
      <c r="AG17" s="23">
        <f>IF(OR(AG$1="",$BM17=0),"",SUMIFS(Entries!$E$2:$E$5000,Entries!$C$2:$C$5000,"Actual",Entries!$A$2:$A$5000,"&gt;="&amp;$A17,Entries!$A$2:$A$5000,"&lt;"&amp;EDATE($A17,1),Entries!$B$2:$B$5000,AG$1))</f>
        <v/>
      </c>
      <c r="AH17" s="23">
        <f>IF(OR(AH$1="",$BM17=0),"",SUMIFS(Entries!$E$2:$E$5000,Entries!$C$2:$C$5000,"Actual",Entries!$A$2:$A$5000,"&gt;="&amp;$A17,Entries!$A$2:$A$5000,"&lt;"&amp;EDATE($A17,1),Entries!$B$2:$B$5000,AH$1))</f>
        <v/>
      </c>
      <c r="AI17" s="23">
        <f>IF(OR(AI$1="",$BM17=0),"",SUMIFS(Entries!$E$2:$E$5000,Entries!$C$2:$C$5000,"Actual",Entries!$A$2:$A$5000,"&gt;="&amp;$A17,Entries!$A$2:$A$5000,"&lt;"&amp;EDATE($A17,1),Entries!$B$2:$B$5000,AI$1))</f>
        <v/>
      </c>
      <c r="AJ17" s="23">
        <f>IF(OR(AJ$1="",$BM17=0),"",SUMIFS(Entries!$E$2:$E$5000,Entries!$C$2:$C$5000,"Actual",Entries!$A$2:$A$5000,"&gt;="&amp;$A17,Entries!$A$2:$A$5000,"&lt;"&amp;EDATE($A17,1),Entries!$B$2:$B$5000,AJ$1))</f>
        <v/>
      </c>
      <c r="AK17" s="23">
        <f>IF(OR(AK$1="",$BM17=0),"",SUMIFS(Entries!$E$2:$E$5000,Entries!$C$2:$C$5000,"Actual",Entries!$A$2:$A$5000,"&gt;="&amp;$A17,Entries!$A$2:$A$5000,"&lt;"&amp;EDATE($A17,1),Entries!$B$2:$B$5000,AK$1))</f>
        <v/>
      </c>
      <c r="AL17" s="23">
        <f>IF(OR(AL$1="",$BM17=0),"",SUMIFS(Entries!$E$2:$E$5000,Entries!$C$2:$C$5000,"Actual",Entries!$A$2:$A$5000,"&gt;="&amp;$A17,Entries!$A$2:$A$5000,"&lt;"&amp;EDATE($A17,1),Entries!$B$2:$B$5000,AL$1))</f>
        <v/>
      </c>
      <c r="AM17" s="23">
        <f>IF(OR(AM$1="",$BM17=0),"",SUMIFS(Entries!$E$2:$E$5000,Entries!$C$2:$C$5000,"Actual",Entries!$A$2:$A$5000,"&gt;="&amp;$A17,Entries!$A$2:$A$5000,"&lt;"&amp;EDATE($A17,1),Entries!$B$2:$B$5000,AM$1))</f>
        <v/>
      </c>
      <c r="AN17" s="23">
        <f>IF(OR(AN$1="",$BM17=0),"",SUMIFS(Entries!$E$2:$E$5000,Entries!$C$2:$C$5000,"Actual",Entries!$A$2:$A$5000,"&gt;="&amp;$A17,Entries!$A$2:$A$5000,"&lt;"&amp;EDATE($A17,1),Entries!$B$2:$B$5000,AN$1))</f>
        <v/>
      </c>
      <c r="AO17" s="23">
        <f>IF(OR(AO$1="",$BM17=0),"",SUMIFS(Entries!$E$2:$E$5000,Entries!$C$2:$C$5000,"Actual",Entries!$A$2:$A$5000,"&gt;="&amp;$A17,Entries!$A$2:$A$5000,"&lt;"&amp;EDATE($A17,1),Entries!$B$2:$B$5000,AO$1))</f>
        <v/>
      </c>
      <c r="AP17" s="23">
        <f>IF(OR(AP$1="",$BM17=0),"",SUMIFS(Entries!$E$2:$E$5000,Entries!$C$2:$C$5000,"Actual",Entries!$A$2:$A$5000,"&gt;="&amp;$A17,Entries!$A$2:$A$5000,"&lt;"&amp;EDATE($A17,1),Entries!$B$2:$B$5000,AP$1))</f>
        <v/>
      </c>
      <c r="AR17" s="23">
        <f>IF(OR(AR$1="",$BM17=0),"",IFERROR(LOOKUP(2,1/((Budgets!$A$2:$A$200=AR$1)*(Budgets!$B$2:$B$200&lt;EDATE($A17,1))),Budgets!$C$2:$C$200),0))</f>
        <v/>
      </c>
      <c r="AS17" s="23">
        <f>IF(OR(AS$1="",$BM17=0),"",IFERROR(LOOKUP(2,1/((Budgets!$A$2:$A$200=AS$1)*(Budgets!$B$2:$B$200&lt;EDATE($A17,1))),Budgets!$C$2:$C$200),0))</f>
        <v/>
      </c>
      <c r="AT17" s="23">
        <f>IF(OR(AT$1="",$BM17=0),"",IFERROR(LOOKUP(2,1/((Budgets!$A$2:$A$200=AT$1)*(Budgets!$B$2:$B$200&lt;EDATE($A17,1))),Budgets!$C$2:$C$200),0))</f>
        <v/>
      </c>
      <c r="AU17" s="23">
        <f>IF(OR(AU$1="",$BM17=0),"",IFERROR(LOOKUP(2,1/((Budgets!$A$2:$A$200=AU$1)*(Budgets!$B$2:$B$200&lt;EDATE($A17,1))),Budgets!$C$2:$C$200),0))</f>
        <v/>
      </c>
      <c r="AV17" s="23">
        <f>IF(OR(AV$1="",$BM17=0),"",IFERROR(LOOKUP(2,1/((Budgets!$A$2:$A$200=AV$1)*(Budgets!$B$2:$B$200&lt;EDATE($A17,1))),Budgets!$C$2:$C$200),0))</f>
        <v/>
      </c>
      <c r="AW17" s="23">
        <f>IF(OR(AW$1="",$BM17=0),"",IFERROR(LOOKUP(2,1/((Budgets!$A$2:$A$200=AW$1)*(Budgets!$B$2:$B$200&lt;EDATE($A17,1))),Budgets!$C$2:$C$200),0))</f>
        <v/>
      </c>
      <c r="AX17" s="23">
        <f>IF(OR(AX$1="",$BM17=0),"",IFERROR(LOOKUP(2,1/((Budgets!$A$2:$A$200=AX$1)*(Budgets!$B$2:$B$200&lt;EDATE($A17,1))),Budgets!$C$2:$C$200),0))</f>
        <v/>
      </c>
      <c r="AY17" s="23">
        <f>IF(OR(AY$1="",$BM17=0),"",IFERROR(LOOKUP(2,1/((Budgets!$A$2:$A$200=AY$1)*(Budgets!$B$2:$B$200&lt;EDATE($A17,1))),Budgets!$C$2:$C$200),0))</f>
        <v/>
      </c>
      <c r="AZ17" s="23">
        <f>IF(OR(AZ$1="",$BM17=0),"",IFERROR(LOOKUP(2,1/((Budgets!$A$2:$A$200=AZ$1)*(Budgets!$B$2:$B$200&lt;EDATE($A17,1))),Budgets!$C$2:$C$200),0))</f>
        <v/>
      </c>
      <c r="BA17" s="23">
        <f>IF(OR(BA$1="",$BM17=0),"",IFERROR(LOOKUP(2,1/((Budgets!$A$2:$A$200=BA$1)*(Budgets!$B$2:$B$200&lt;EDATE($A17,1))),Budgets!$C$2:$C$200),0))</f>
        <v/>
      </c>
      <c r="BB17" s="23">
        <f>IF(OR(BB$1="",$BM17=0),"",IFERROR(LOOKUP(2,1/((Budgets!$A$2:$A$200=BB$1)*(Budgets!$B$2:$B$200&lt;EDATE($A17,1))),Budgets!$C$2:$C$200),0))</f>
        <v/>
      </c>
      <c r="BC17" s="23">
        <f>IF(OR(BC$1="",$BM17=0),"",IFERROR(LOOKUP(2,1/((Budgets!$A$2:$A$200=BC$1)*(Budgets!$B$2:$B$200&lt;EDATE($A17,1))),Budgets!$C$2:$C$200),0))</f>
        <v/>
      </c>
      <c r="BD17" s="23">
        <f>IF(OR(BD$1="",$BM17=0),"",IFERROR(LOOKUP(2,1/((Budgets!$A$2:$A$200=BD$1)*(Budgets!$B$2:$B$200&lt;EDATE($A17,1))),Budgets!$C$2:$C$200),0))</f>
        <v/>
      </c>
      <c r="BE17" s="23">
        <f>IF(OR(BE$1="",$BM17=0),"",IFERROR(LOOKUP(2,1/((Budgets!$A$2:$A$200=BE$1)*(Budgets!$B$2:$B$200&lt;EDATE($A17,1))),Budgets!$C$2:$C$200),0))</f>
        <v/>
      </c>
      <c r="BF17" s="23">
        <f>IF(OR(BF$1="",$BM17=0),"",IFERROR(LOOKUP(2,1/((Budgets!$A$2:$A$200=BF$1)*(Budgets!$B$2:$B$200&lt;EDATE($A17,1))),Budgets!$C$2:$C$200),0))</f>
        <v/>
      </c>
      <c r="BG17" s="23">
        <f>IF(OR(BG$1="",$BM17=0),"",IFERROR(LOOKUP(2,1/((Budgets!$A$2:$A$200=BG$1)*(Budgets!$B$2:$B$200&lt;EDATE($A17,1))),Budgets!$C$2:$C$200),0))</f>
        <v/>
      </c>
      <c r="BH17" s="23">
        <f>IF(OR(BH$1="",$BM17=0),"",IFERROR(LOOKUP(2,1/((Budgets!$A$2:$A$200=BH$1)*(Budgets!$B$2:$B$200&lt;EDATE($A17,1))),Budgets!$C$2:$C$200),0))</f>
        <v/>
      </c>
      <c r="BI17" s="23">
        <f>IF(OR(BI$1="",$BM17=0),"",IFERROR(LOOKUP(2,1/((Budgets!$A$2:$A$200=BI$1)*(Budgets!$B$2:$B$200&lt;EDATE($A17,1))),Budgets!$C$2:$C$200),0))</f>
        <v/>
      </c>
      <c r="BJ17" s="23">
        <f>IF(OR(BJ$1="",$BM17=0),"",IFERROR(LOOKUP(2,1/((Budgets!$A$2:$A$200=BJ$1)*(Budgets!$B$2:$B$200&lt;EDATE($A17,1))),Budgets!$C$2:$C$200),0))</f>
        <v/>
      </c>
      <c r="BK17" s="23">
        <f>IF(OR(BK$1="",$BM17=0),"",IFERROR(LOOKUP(2,1/((Budgets!$A$2:$A$200=BK$1)*(Budgets!$B$2:$B$200&lt;EDATE($A17,1))),Budgets!$C$2:$C$200),0))</f>
        <v/>
      </c>
      <c r="BM17" s="21">
        <f>COUNTIFS(Entries!$A$2:$A$5000,"&gt;="&amp;$A17,Entries!$A$2:$A$5000,"&lt;"&amp;EDATE($A17,1))</f>
        <v/>
      </c>
    </row>
    <row r="18">
      <c r="A18" s="22" t="n">
        <v>39934</v>
      </c>
      <c r="B18" s="23">
        <f>IF($BM18=0,NA(),SUMIFS(Entries!$E$2:$E$5000,Entries!$C$2:$C$5000,"Income",Entries!$A$2:$A$5000,"&gt;="&amp;$A18,Entries!$A$2:$A$5000,"&lt;"&amp;EDATE($A18,1)))</f>
        <v/>
      </c>
      <c r="C18" s="23">
        <f>IF($BM18=0,"",SUMIFS(Entries!$E$2:$E$5000,Entries!$C$2:$C$5000,"Actual",Entries!$A$2:$A$5000,"&gt;="&amp;$A18,Entries!$A$2:$A$5000,"&lt;"&amp;EDATE($A18,1)))</f>
        <v/>
      </c>
      <c r="D18" s="23">
        <f>IF($BM18=0,"",SUMIFS(Entries!$E$2:$E$5000,Entries!$C$2:$C$5000,"One-off",Entries!$A$2:$A$5000,"&gt;="&amp;$A18,Entries!$A$2:$A$5000,"&lt;"&amp;EDATE($A18,1)))</f>
        <v/>
      </c>
      <c r="E18" s="23">
        <f>IF($BM18=0,NA(),C18+D18)</f>
        <v/>
      </c>
      <c r="F18" s="23">
        <f>IF($BM18=0,"",SUM(AR18:BK18))</f>
        <v/>
      </c>
      <c r="G18" s="23">
        <f>IF($BM18=0,"",B18-E18)</f>
        <v/>
      </c>
      <c r="H18" s="23">
        <f>IF($BM18=0,"",SUM($G$2:G18))</f>
        <v/>
      </c>
      <c r="I18" s="23">
        <f>IF($BM18=0,"",SUMIFS(Entries!$G$2:$G$5000,Entries!$A$2:$A$5000,"&gt;="&amp;$A18,Entries!$A$2:$A$5000,"&lt;"&amp;EDATE($A18,1)))</f>
        <v/>
      </c>
      <c r="J18" s="23">
        <f>IF($BM18=0,NA(),H18)</f>
        <v/>
      </c>
      <c r="K18" s="23">
        <f>IF($BM18=0,"",SUMIFS(Entries!$E$2:$E$5000,Entries!$C$2:$C$5000,"Income",Entries!$A$2:$A$5000,"&gt;="&amp;EDATE($A18,-11),Entries!$A$2:$A$5000,"&lt;"&amp;EDATE($A18,1))/COUNTIFS($A$2:$A$400,"&gt;="&amp;EDATE($A18,-11),$A$2:$A$400,"&lt;"&amp;EDATE($A18,1),$BM$2:$BM$400,"&gt;0"))</f>
      </c>
      <c r="L18" s="23">
        <f>IF($BM18=0,"",(SUMIFS(Entries!$E$2:$E$5000,Entries!$C$2:$C$5000,"Actual",Entries!$A$2:$A$5000,"&gt;="&amp;EDATE($A18,-11),Entries!$A$2:$A$5000,"&lt;"&amp;EDATE($A18,1))+SUMIFS(Entries!$E$2:$E$5000,Entries!$C$2:$C$5000,"One-off",Entries!$A$2:$A$5000,"&gt;="&amp;EDATE($A18,-11),Entries!$A$2:$A$5000,"&lt;"&amp;EDATE($A18,1)))/COUNTIFS($A$2:$A$400,"&gt;="&amp;EDATE($A18,-11),$A$2:$A$400,"&lt;"&amp;EDATE($A18,1),$BM$2:$BM$400,"&gt;0"))</f>
      </c>
      <c r="M18" s="24">
        <f>IF($BM18=0,NA(),IFERROR((K18-L18)/K18,0))</f>
        <v/>
      </c>
      <c r="N18" s="23">
        <f>IF($BM18=0,NA(),SUMIFS(Entries!$E$2:$E$5000,Entries!$D$2:$D$5000,"Core",Entries!$A$2:$A$5000,"&gt;="&amp;$A18,Entries!$A$2:$A$5000,"&lt;"&amp;EDATE($A18,1)))</f>
        <v/>
      </c>
      <c r="O18" s="23">
        <f>IF($BM18=0,NA(),SUMIFS(Entries!$E$2:$E$5000,Entries!$D$2:$D$5000,"Over &amp; above",Entries!$A$2:$A$5000,"&gt;="&amp;$A18,Entries!$A$2:$A$5000,"&lt;"&amp;EDATE($A18,1)))</f>
        <v/>
      </c>
      <c r="P18" s="23">
        <f>IF($BM18=0,NA(),SUMIFS(Entries!$E$2:$E$5000,Entries!$D$2:$D$5000,"One-off",Entries!$A$2:$A$5000,"&gt;="&amp;$A18,Entries!$A$2:$A$5000,"&lt;"&amp;EDATE($A18,1)))</f>
        <v/>
      </c>
      <c r="Q18" s="23">
        <f>IF($BM18=0,NA(),SUMIFS(Entries!$E$2:$E$5000,Entries!$D$2:$D$5000,"Reimbursable",Entries!$A$2:$A$5000,"&gt;="&amp;$A18,Entries!$A$2:$A$5000,"&lt;"&amp;EDATE($A18,1)))</f>
        <v/>
      </c>
      <c r="R18" s="23">
        <f>IF($BM18=0,NA(),SUMIFS(Entries!$E$2:$E$5000,Entries!$D$2:$D$5000,"Investment",Entries!$A$2:$A$5000,"&gt;="&amp;$A18,Entries!$A$2:$A$5000,"&lt;"&amp;EDATE($A18,1)))</f>
        <v/>
      </c>
      <c r="S18" s="23">
        <f>IF($BM18=0,NA(),N18+O18)</f>
        <v/>
      </c>
      <c r="T18" s="23">
        <f>IF($BM18=0,"",E18-Q18)</f>
        <v/>
      </c>
      <c r="W18" s="23">
        <f>IF(OR(W$1="",$BM18=0),"",SUMIFS(Entries!$E$2:$E$5000,Entries!$C$2:$C$5000,"Actual",Entries!$A$2:$A$5000,"&gt;="&amp;$A18,Entries!$A$2:$A$5000,"&lt;"&amp;EDATE($A18,1),Entries!$B$2:$B$5000,W$1))</f>
        <v/>
      </c>
      <c r="X18" s="23">
        <f>IF(OR(X$1="",$BM18=0),"",SUMIFS(Entries!$E$2:$E$5000,Entries!$C$2:$C$5000,"Actual",Entries!$A$2:$A$5000,"&gt;="&amp;$A18,Entries!$A$2:$A$5000,"&lt;"&amp;EDATE($A18,1),Entries!$B$2:$B$5000,X$1))</f>
        <v/>
      </c>
      <c r="Y18" s="23">
        <f>IF(OR(Y$1="",$BM18=0),"",SUMIFS(Entries!$E$2:$E$5000,Entries!$C$2:$C$5000,"Actual",Entries!$A$2:$A$5000,"&gt;="&amp;$A18,Entries!$A$2:$A$5000,"&lt;"&amp;EDATE($A18,1),Entries!$B$2:$B$5000,Y$1))</f>
        <v/>
      </c>
      <c r="Z18" s="23">
        <f>IF(OR(Z$1="",$BM18=0),"",SUMIFS(Entries!$E$2:$E$5000,Entries!$C$2:$C$5000,"Actual",Entries!$A$2:$A$5000,"&gt;="&amp;$A18,Entries!$A$2:$A$5000,"&lt;"&amp;EDATE($A18,1),Entries!$B$2:$B$5000,Z$1))</f>
        <v/>
      </c>
      <c r="AA18" s="23">
        <f>IF(OR(AA$1="",$BM18=0),"",SUMIFS(Entries!$E$2:$E$5000,Entries!$C$2:$C$5000,"Actual",Entries!$A$2:$A$5000,"&gt;="&amp;$A18,Entries!$A$2:$A$5000,"&lt;"&amp;EDATE($A18,1),Entries!$B$2:$B$5000,AA$1))</f>
        <v/>
      </c>
      <c r="AB18" s="23">
        <f>IF(OR(AB$1="",$BM18=0),"",SUMIFS(Entries!$E$2:$E$5000,Entries!$C$2:$C$5000,"Actual",Entries!$A$2:$A$5000,"&gt;="&amp;$A18,Entries!$A$2:$A$5000,"&lt;"&amp;EDATE($A18,1),Entries!$B$2:$B$5000,AB$1))</f>
        <v/>
      </c>
      <c r="AC18" s="23">
        <f>IF(OR(AC$1="",$BM18=0),"",SUMIFS(Entries!$E$2:$E$5000,Entries!$C$2:$C$5000,"Actual",Entries!$A$2:$A$5000,"&gt;="&amp;$A18,Entries!$A$2:$A$5000,"&lt;"&amp;EDATE($A18,1),Entries!$B$2:$B$5000,AC$1))</f>
        <v/>
      </c>
      <c r="AD18" s="23">
        <f>IF(OR(AD$1="",$BM18=0),"",SUMIFS(Entries!$E$2:$E$5000,Entries!$C$2:$C$5000,"Actual",Entries!$A$2:$A$5000,"&gt;="&amp;$A18,Entries!$A$2:$A$5000,"&lt;"&amp;EDATE($A18,1),Entries!$B$2:$B$5000,AD$1))</f>
        <v/>
      </c>
      <c r="AE18" s="23">
        <f>IF(OR(AE$1="",$BM18=0),"",SUMIFS(Entries!$E$2:$E$5000,Entries!$C$2:$C$5000,"Actual",Entries!$A$2:$A$5000,"&gt;="&amp;$A18,Entries!$A$2:$A$5000,"&lt;"&amp;EDATE($A18,1),Entries!$B$2:$B$5000,AE$1))</f>
        <v/>
      </c>
      <c r="AF18" s="23">
        <f>IF(OR(AF$1="",$BM18=0),"",SUMIFS(Entries!$E$2:$E$5000,Entries!$C$2:$C$5000,"Actual",Entries!$A$2:$A$5000,"&gt;="&amp;$A18,Entries!$A$2:$A$5000,"&lt;"&amp;EDATE($A18,1),Entries!$B$2:$B$5000,AF$1))</f>
        <v/>
      </c>
      <c r="AG18" s="23">
        <f>IF(OR(AG$1="",$BM18=0),"",SUMIFS(Entries!$E$2:$E$5000,Entries!$C$2:$C$5000,"Actual",Entries!$A$2:$A$5000,"&gt;="&amp;$A18,Entries!$A$2:$A$5000,"&lt;"&amp;EDATE($A18,1),Entries!$B$2:$B$5000,AG$1))</f>
        <v/>
      </c>
      <c r="AH18" s="23">
        <f>IF(OR(AH$1="",$BM18=0),"",SUMIFS(Entries!$E$2:$E$5000,Entries!$C$2:$C$5000,"Actual",Entries!$A$2:$A$5000,"&gt;="&amp;$A18,Entries!$A$2:$A$5000,"&lt;"&amp;EDATE($A18,1),Entries!$B$2:$B$5000,AH$1))</f>
        <v/>
      </c>
      <c r="AI18" s="23">
        <f>IF(OR(AI$1="",$BM18=0),"",SUMIFS(Entries!$E$2:$E$5000,Entries!$C$2:$C$5000,"Actual",Entries!$A$2:$A$5000,"&gt;="&amp;$A18,Entries!$A$2:$A$5000,"&lt;"&amp;EDATE($A18,1),Entries!$B$2:$B$5000,AI$1))</f>
        <v/>
      </c>
      <c r="AJ18" s="23">
        <f>IF(OR(AJ$1="",$BM18=0),"",SUMIFS(Entries!$E$2:$E$5000,Entries!$C$2:$C$5000,"Actual",Entries!$A$2:$A$5000,"&gt;="&amp;$A18,Entries!$A$2:$A$5000,"&lt;"&amp;EDATE($A18,1),Entries!$B$2:$B$5000,AJ$1))</f>
        <v/>
      </c>
      <c r="AK18" s="23">
        <f>IF(OR(AK$1="",$BM18=0),"",SUMIFS(Entries!$E$2:$E$5000,Entries!$C$2:$C$5000,"Actual",Entries!$A$2:$A$5000,"&gt;="&amp;$A18,Entries!$A$2:$A$5000,"&lt;"&amp;EDATE($A18,1),Entries!$B$2:$B$5000,AK$1))</f>
        <v/>
      </c>
      <c r="AL18" s="23">
        <f>IF(OR(AL$1="",$BM18=0),"",SUMIFS(Entries!$E$2:$E$5000,Entries!$C$2:$C$5000,"Actual",Entries!$A$2:$A$5000,"&gt;="&amp;$A18,Entries!$A$2:$A$5000,"&lt;"&amp;EDATE($A18,1),Entries!$B$2:$B$5000,AL$1))</f>
        <v/>
      </c>
      <c r="AM18" s="23">
        <f>IF(OR(AM$1="",$BM18=0),"",SUMIFS(Entries!$E$2:$E$5000,Entries!$C$2:$C$5000,"Actual",Entries!$A$2:$A$5000,"&gt;="&amp;$A18,Entries!$A$2:$A$5000,"&lt;"&amp;EDATE($A18,1),Entries!$B$2:$B$5000,AM$1))</f>
        <v/>
      </c>
      <c r="AN18" s="23">
        <f>IF(OR(AN$1="",$BM18=0),"",SUMIFS(Entries!$E$2:$E$5000,Entries!$C$2:$C$5000,"Actual",Entries!$A$2:$A$5000,"&gt;="&amp;$A18,Entries!$A$2:$A$5000,"&lt;"&amp;EDATE($A18,1),Entries!$B$2:$B$5000,AN$1))</f>
        <v/>
      </c>
      <c r="AO18" s="23">
        <f>IF(OR(AO$1="",$BM18=0),"",SUMIFS(Entries!$E$2:$E$5000,Entries!$C$2:$C$5000,"Actual",Entries!$A$2:$A$5000,"&gt;="&amp;$A18,Entries!$A$2:$A$5000,"&lt;"&amp;EDATE($A18,1),Entries!$B$2:$B$5000,AO$1))</f>
        <v/>
      </c>
      <c r="AP18" s="23">
        <f>IF(OR(AP$1="",$BM18=0),"",SUMIFS(Entries!$E$2:$E$5000,Entries!$C$2:$C$5000,"Actual",Entries!$A$2:$A$5000,"&gt;="&amp;$A18,Entries!$A$2:$A$5000,"&lt;"&amp;EDATE($A18,1),Entries!$B$2:$B$5000,AP$1))</f>
        <v/>
      </c>
      <c r="AR18" s="23">
        <f>IF(OR(AR$1="",$BM18=0),"",IFERROR(LOOKUP(2,1/((Budgets!$A$2:$A$200=AR$1)*(Budgets!$B$2:$B$200&lt;EDATE($A18,1))),Budgets!$C$2:$C$200),0))</f>
        <v/>
      </c>
      <c r="AS18" s="23">
        <f>IF(OR(AS$1="",$BM18=0),"",IFERROR(LOOKUP(2,1/((Budgets!$A$2:$A$200=AS$1)*(Budgets!$B$2:$B$200&lt;EDATE($A18,1))),Budgets!$C$2:$C$200),0))</f>
        <v/>
      </c>
      <c r="AT18" s="23">
        <f>IF(OR(AT$1="",$BM18=0),"",IFERROR(LOOKUP(2,1/((Budgets!$A$2:$A$200=AT$1)*(Budgets!$B$2:$B$200&lt;EDATE($A18,1))),Budgets!$C$2:$C$200),0))</f>
        <v/>
      </c>
      <c r="AU18" s="23">
        <f>IF(OR(AU$1="",$BM18=0),"",IFERROR(LOOKUP(2,1/((Budgets!$A$2:$A$200=AU$1)*(Budgets!$B$2:$B$200&lt;EDATE($A18,1))),Budgets!$C$2:$C$200),0))</f>
        <v/>
      </c>
      <c r="AV18" s="23">
        <f>IF(OR(AV$1="",$BM18=0),"",IFERROR(LOOKUP(2,1/((Budgets!$A$2:$A$200=AV$1)*(Budgets!$B$2:$B$200&lt;EDATE($A18,1))),Budgets!$C$2:$C$200),0))</f>
        <v/>
      </c>
      <c r="AW18" s="23">
        <f>IF(OR(AW$1="",$BM18=0),"",IFERROR(LOOKUP(2,1/((Budgets!$A$2:$A$200=AW$1)*(Budgets!$B$2:$B$200&lt;EDATE($A18,1))),Budgets!$C$2:$C$200),0))</f>
        <v/>
      </c>
      <c r="AX18" s="23">
        <f>IF(OR(AX$1="",$BM18=0),"",IFERROR(LOOKUP(2,1/((Budgets!$A$2:$A$200=AX$1)*(Budgets!$B$2:$B$200&lt;EDATE($A18,1))),Budgets!$C$2:$C$200),0))</f>
        <v/>
      </c>
      <c r="AY18" s="23">
        <f>IF(OR(AY$1="",$BM18=0),"",IFERROR(LOOKUP(2,1/((Budgets!$A$2:$A$200=AY$1)*(Budgets!$B$2:$B$200&lt;EDATE($A18,1))),Budgets!$C$2:$C$200),0))</f>
        <v/>
      </c>
      <c r="AZ18" s="23">
        <f>IF(OR(AZ$1="",$BM18=0),"",IFERROR(LOOKUP(2,1/((Budgets!$A$2:$A$200=AZ$1)*(Budgets!$B$2:$B$200&lt;EDATE($A18,1))),Budgets!$C$2:$C$200),0))</f>
        <v/>
      </c>
      <c r="BA18" s="23">
        <f>IF(OR(BA$1="",$BM18=0),"",IFERROR(LOOKUP(2,1/((Budgets!$A$2:$A$200=BA$1)*(Budgets!$B$2:$B$200&lt;EDATE($A18,1))),Budgets!$C$2:$C$200),0))</f>
        <v/>
      </c>
      <c r="BB18" s="23">
        <f>IF(OR(BB$1="",$BM18=0),"",IFERROR(LOOKUP(2,1/((Budgets!$A$2:$A$200=BB$1)*(Budgets!$B$2:$B$200&lt;EDATE($A18,1))),Budgets!$C$2:$C$200),0))</f>
        <v/>
      </c>
      <c r="BC18" s="23">
        <f>IF(OR(BC$1="",$BM18=0),"",IFERROR(LOOKUP(2,1/((Budgets!$A$2:$A$200=BC$1)*(Budgets!$B$2:$B$200&lt;EDATE($A18,1))),Budgets!$C$2:$C$200),0))</f>
        <v/>
      </c>
      <c r="BD18" s="23">
        <f>IF(OR(BD$1="",$BM18=0),"",IFERROR(LOOKUP(2,1/((Budgets!$A$2:$A$200=BD$1)*(Budgets!$B$2:$B$200&lt;EDATE($A18,1))),Budgets!$C$2:$C$200),0))</f>
        <v/>
      </c>
      <c r="BE18" s="23">
        <f>IF(OR(BE$1="",$BM18=0),"",IFERROR(LOOKUP(2,1/((Budgets!$A$2:$A$200=BE$1)*(Budgets!$B$2:$B$200&lt;EDATE($A18,1))),Budgets!$C$2:$C$200),0))</f>
        <v/>
      </c>
      <c r="BF18" s="23">
        <f>IF(OR(BF$1="",$BM18=0),"",IFERROR(LOOKUP(2,1/((Budgets!$A$2:$A$200=BF$1)*(Budgets!$B$2:$B$200&lt;EDATE($A18,1))),Budgets!$C$2:$C$200),0))</f>
        <v/>
      </c>
      <c r="BG18" s="23">
        <f>IF(OR(BG$1="",$BM18=0),"",IFERROR(LOOKUP(2,1/((Budgets!$A$2:$A$200=BG$1)*(Budgets!$B$2:$B$200&lt;EDATE($A18,1))),Budgets!$C$2:$C$200),0))</f>
        <v/>
      </c>
      <c r="BH18" s="23">
        <f>IF(OR(BH$1="",$BM18=0),"",IFERROR(LOOKUP(2,1/((Budgets!$A$2:$A$200=BH$1)*(Budgets!$B$2:$B$200&lt;EDATE($A18,1))),Budgets!$C$2:$C$200),0))</f>
        <v/>
      </c>
      <c r="BI18" s="23">
        <f>IF(OR(BI$1="",$BM18=0),"",IFERROR(LOOKUP(2,1/((Budgets!$A$2:$A$200=BI$1)*(Budgets!$B$2:$B$200&lt;EDATE($A18,1))),Budgets!$C$2:$C$200),0))</f>
        <v/>
      </c>
      <c r="BJ18" s="23">
        <f>IF(OR(BJ$1="",$BM18=0),"",IFERROR(LOOKUP(2,1/((Budgets!$A$2:$A$200=BJ$1)*(Budgets!$B$2:$B$200&lt;EDATE($A18,1))),Budgets!$C$2:$C$200),0))</f>
        <v/>
      </c>
      <c r="BK18" s="23">
        <f>IF(OR(BK$1="",$BM18=0),"",IFERROR(LOOKUP(2,1/((Budgets!$A$2:$A$200=BK$1)*(Budgets!$B$2:$B$200&lt;EDATE($A18,1))),Budgets!$C$2:$C$200),0))</f>
        <v/>
      </c>
      <c r="BM18" s="21">
        <f>COUNTIFS(Entries!$A$2:$A$5000,"&gt;="&amp;$A18,Entries!$A$2:$A$5000,"&lt;"&amp;EDATE($A18,1))</f>
        <v/>
      </c>
    </row>
    <row r="19">
      <c r="A19" s="22" t="n">
        <v>39965</v>
      </c>
      <c r="B19" s="23">
        <f>IF($BM19=0,NA(),SUMIFS(Entries!$E$2:$E$5000,Entries!$C$2:$C$5000,"Income",Entries!$A$2:$A$5000,"&gt;="&amp;$A19,Entries!$A$2:$A$5000,"&lt;"&amp;EDATE($A19,1)))</f>
        <v/>
      </c>
      <c r="C19" s="23">
        <f>IF($BM19=0,"",SUMIFS(Entries!$E$2:$E$5000,Entries!$C$2:$C$5000,"Actual",Entries!$A$2:$A$5000,"&gt;="&amp;$A19,Entries!$A$2:$A$5000,"&lt;"&amp;EDATE($A19,1)))</f>
        <v/>
      </c>
      <c r="D19" s="23">
        <f>IF($BM19=0,"",SUMIFS(Entries!$E$2:$E$5000,Entries!$C$2:$C$5000,"One-off",Entries!$A$2:$A$5000,"&gt;="&amp;$A19,Entries!$A$2:$A$5000,"&lt;"&amp;EDATE($A19,1)))</f>
        <v/>
      </c>
      <c r="E19" s="23">
        <f>IF($BM19=0,NA(),C19+D19)</f>
        <v/>
      </c>
      <c r="F19" s="23">
        <f>IF($BM19=0,"",SUM(AR19:BK19))</f>
        <v/>
      </c>
      <c r="G19" s="23">
        <f>IF($BM19=0,"",B19-E19)</f>
        <v/>
      </c>
      <c r="H19" s="23">
        <f>IF($BM19=0,"",SUM($G$2:G19))</f>
        <v/>
      </c>
      <c r="I19" s="23">
        <f>IF($BM19=0,"",SUMIFS(Entries!$G$2:$G$5000,Entries!$A$2:$A$5000,"&gt;="&amp;$A19,Entries!$A$2:$A$5000,"&lt;"&amp;EDATE($A19,1)))</f>
        <v/>
      </c>
      <c r="J19" s="23">
        <f>IF($BM19=0,NA(),H19)</f>
        <v/>
      </c>
      <c r="K19" s="23">
        <f>IF($BM19=0,"",SUMIFS(Entries!$E$2:$E$5000,Entries!$C$2:$C$5000,"Income",Entries!$A$2:$A$5000,"&gt;="&amp;EDATE($A19,-11),Entries!$A$2:$A$5000,"&lt;"&amp;EDATE($A19,1))/COUNTIFS($A$2:$A$400,"&gt;="&amp;EDATE($A19,-11),$A$2:$A$400,"&lt;"&amp;EDATE($A19,1),$BM$2:$BM$400,"&gt;0"))</f>
      </c>
      <c r="L19" s="23">
        <f>IF($BM19=0,"",(SUMIFS(Entries!$E$2:$E$5000,Entries!$C$2:$C$5000,"Actual",Entries!$A$2:$A$5000,"&gt;="&amp;EDATE($A19,-11),Entries!$A$2:$A$5000,"&lt;"&amp;EDATE($A19,1))+SUMIFS(Entries!$E$2:$E$5000,Entries!$C$2:$C$5000,"One-off",Entries!$A$2:$A$5000,"&gt;="&amp;EDATE($A19,-11),Entries!$A$2:$A$5000,"&lt;"&amp;EDATE($A19,1)))/COUNTIFS($A$2:$A$400,"&gt;="&amp;EDATE($A19,-11),$A$2:$A$400,"&lt;"&amp;EDATE($A19,1),$BM$2:$BM$400,"&gt;0"))</f>
      </c>
      <c r="M19" s="24">
        <f>IF($BM19=0,NA(),IFERROR((K19-L19)/K19,0))</f>
        <v/>
      </c>
      <c r="N19" s="23">
        <f>IF($BM19=0,NA(),SUMIFS(Entries!$E$2:$E$5000,Entries!$D$2:$D$5000,"Core",Entries!$A$2:$A$5000,"&gt;="&amp;$A19,Entries!$A$2:$A$5000,"&lt;"&amp;EDATE($A19,1)))</f>
        <v/>
      </c>
      <c r="O19" s="23">
        <f>IF($BM19=0,NA(),SUMIFS(Entries!$E$2:$E$5000,Entries!$D$2:$D$5000,"Over &amp; above",Entries!$A$2:$A$5000,"&gt;="&amp;$A19,Entries!$A$2:$A$5000,"&lt;"&amp;EDATE($A19,1)))</f>
        <v/>
      </c>
      <c r="P19" s="23">
        <f>IF($BM19=0,NA(),SUMIFS(Entries!$E$2:$E$5000,Entries!$D$2:$D$5000,"One-off",Entries!$A$2:$A$5000,"&gt;="&amp;$A19,Entries!$A$2:$A$5000,"&lt;"&amp;EDATE($A19,1)))</f>
        <v/>
      </c>
      <c r="Q19" s="23">
        <f>IF($BM19=0,NA(),SUMIFS(Entries!$E$2:$E$5000,Entries!$D$2:$D$5000,"Reimbursable",Entries!$A$2:$A$5000,"&gt;="&amp;$A19,Entries!$A$2:$A$5000,"&lt;"&amp;EDATE($A19,1)))</f>
        <v/>
      </c>
      <c r="R19" s="23">
        <f>IF($BM19=0,NA(),SUMIFS(Entries!$E$2:$E$5000,Entries!$D$2:$D$5000,"Investment",Entries!$A$2:$A$5000,"&gt;="&amp;$A19,Entries!$A$2:$A$5000,"&lt;"&amp;EDATE($A19,1)))</f>
        <v/>
      </c>
      <c r="S19" s="23">
        <f>IF($BM19=0,NA(),N19+O19)</f>
        <v/>
      </c>
      <c r="T19" s="23">
        <f>IF($BM19=0,"",E19-Q19)</f>
        <v/>
      </c>
      <c r="W19" s="23">
        <f>IF(OR(W$1="",$BM19=0),"",SUMIFS(Entries!$E$2:$E$5000,Entries!$C$2:$C$5000,"Actual",Entries!$A$2:$A$5000,"&gt;="&amp;$A19,Entries!$A$2:$A$5000,"&lt;"&amp;EDATE($A19,1),Entries!$B$2:$B$5000,W$1))</f>
        <v/>
      </c>
      <c r="X19" s="23">
        <f>IF(OR(X$1="",$BM19=0),"",SUMIFS(Entries!$E$2:$E$5000,Entries!$C$2:$C$5000,"Actual",Entries!$A$2:$A$5000,"&gt;="&amp;$A19,Entries!$A$2:$A$5000,"&lt;"&amp;EDATE($A19,1),Entries!$B$2:$B$5000,X$1))</f>
        <v/>
      </c>
      <c r="Y19" s="23">
        <f>IF(OR(Y$1="",$BM19=0),"",SUMIFS(Entries!$E$2:$E$5000,Entries!$C$2:$C$5000,"Actual",Entries!$A$2:$A$5000,"&gt;="&amp;$A19,Entries!$A$2:$A$5000,"&lt;"&amp;EDATE($A19,1),Entries!$B$2:$B$5000,Y$1))</f>
        <v/>
      </c>
      <c r="Z19" s="23">
        <f>IF(OR(Z$1="",$BM19=0),"",SUMIFS(Entries!$E$2:$E$5000,Entries!$C$2:$C$5000,"Actual",Entries!$A$2:$A$5000,"&gt;="&amp;$A19,Entries!$A$2:$A$5000,"&lt;"&amp;EDATE($A19,1),Entries!$B$2:$B$5000,Z$1))</f>
        <v/>
      </c>
      <c r="AA19" s="23">
        <f>IF(OR(AA$1="",$BM19=0),"",SUMIFS(Entries!$E$2:$E$5000,Entries!$C$2:$C$5000,"Actual",Entries!$A$2:$A$5000,"&gt;="&amp;$A19,Entries!$A$2:$A$5000,"&lt;"&amp;EDATE($A19,1),Entries!$B$2:$B$5000,AA$1))</f>
        <v/>
      </c>
      <c r="AB19" s="23">
        <f>IF(OR(AB$1="",$BM19=0),"",SUMIFS(Entries!$E$2:$E$5000,Entries!$C$2:$C$5000,"Actual",Entries!$A$2:$A$5000,"&gt;="&amp;$A19,Entries!$A$2:$A$5000,"&lt;"&amp;EDATE($A19,1),Entries!$B$2:$B$5000,AB$1))</f>
        <v/>
      </c>
      <c r="AC19" s="23">
        <f>IF(OR(AC$1="",$BM19=0),"",SUMIFS(Entries!$E$2:$E$5000,Entries!$C$2:$C$5000,"Actual",Entries!$A$2:$A$5000,"&gt;="&amp;$A19,Entries!$A$2:$A$5000,"&lt;"&amp;EDATE($A19,1),Entries!$B$2:$B$5000,AC$1))</f>
        <v/>
      </c>
      <c r="AD19" s="23">
        <f>IF(OR(AD$1="",$BM19=0),"",SUMIFS(Entries!$E$2:$E$5000,Entries!$C$2:$C$5000,"Actual",Entries!$A$2:$A$5000,"&gt;="&amp;$A19,Entries!$A$2:$A$5000,"&lt;"&amp;EDATE($A19,1),Entries!$B$2:$B$5000,AD$1))</f>
        <v/>
      </c>
      <c r="AE19" s="23">
        <f>IF(OR(AE$1="",$BM19=0),"",SUMIFS(Entries!$E$2:$E$5000,Entries!$C$2:$C$5000,"Actual",Entries!$A$2:$A$5000,"&gt;="&amp;$A19,Entries!$A$2:$A$5000,"&lt;"&amp;EDATE($A19,1),Entries!$B$2:$B$5000,AE$1))</f>
        <v/>
      </c>
      <c r="AF19" s="23">
        <f>IF(OR(AF$1="",$BM19=0),"",SUMIFS(Entries!$E$2:$E$5000,Entries!$C$2:$C$5000,"Actual",Entries!$A$2:$A$5000,"&gt;="&amp;$A19,Entries!$A$2:$A$5000,"&lt;"&amp;EDATE($A19,1),Entries!$B$2:$B$5000,AF$1))</f>
        <v/>
      </c>
      <c r="AG19" s="23">
        <f>IF(OR(AG$1="",$BM19=0),"",SUMIFS(Entries!$E$2:$E$5000,Entries!$C$2:$C$5000,"Actual",Entries!$A$2:$A$5000,"&gt;="&amp;$A19,Entries!$A$2:$A$5000,"&lt;"&amp;EDATE($A19,1),Entries!$B$2:$B$5000,AG$1))</f>
        <v/>
      </c>
      <c r="AH19" s="23">
        <f>IF(OR(AH$1="",$BM19=0),"",SUMIFS(Entries!$E$2:$E$5000,Entries!$C$2:$C$5000,"Actual",Entries!$A$2:$A$5000,"&gt;="&amp;$A19,Entries!$A$2:$A$5000,"&lt;"&amp;EDATE($A19,1),Entries!$B$2:$B$5000,AH$1))</f>
        <v/>
      </c>
      <c r="AI19" s="23">
        <f>IF(OR(AI$1="",$BM19=0),"",SUMIFS(Entries!$E$2:$E$5000,Entries!$C$2:$C$5000,"Actual",Entries!$A$2:$A$5000,"&gt;="&amp;$A19,Entries!$A$2:$A$5000,"&lt;"&amp;EDATE($A19,1),Entries!$B$2:$B$5000,AI$1))</f>
        <v/>
      </c>
      <c r="AJ19" s="23">
        <f>IF(OR(AJ$1="",$BM19=0),"",SUMIFS(Entries!$E$2:$E$5000,Entries!$C$2:$C$5000,"Actual",Entries!$A$2:$A$5000,"&gt;="&amp;$A19,Entries!$A$2:$A$5000,"&lt;"&amp;EDATE($A19,1),Entries!$B$2:$B$5000,AJ$1))</f>
        <v/>
      </c>
      <c r="AK19" s="23">
        <f>IF(OR(AK$1="",$BM19=0),"",SUMIFS(Entries!$E$2:$E$5000,Entries!$C$2:$C$5000,"Actual",Entries!$A$2:$A$5000,"&gt;="&amp;$A19,Entries!$A$2:$A$5000,"&lt;"&amp;EDATE($A19,1),Entries!$B$2:$B$5000,AK$1))</f>
        <v/>
      </c>
      <c r="AL19" s="23">
        <f>IF(OR(AL$1="",$BM19=0),"",SUMIFS(Entries!$E$2:$E$5000,Entries!$C$2:$C$5000,"Actual",Entries!$A$2:$A$5000,"&gt;="&amp;$A19,Entries!$A$2:$A$5000,"&lt;"&amp;EDATE($A19,1),Entries!$B$2:$B$5000,AL$1))</f>
        <v/>
      </c>
      <c r="AM19" s="23">
        <f>IF(OR(AM$1="",$BM19=0),"",SUMIFS(Entries!$E$2:$E$5000,Entries!$C$2:$C$5000,"Actual",Entries!$A$2:$A$5000,"&gt;="&amp;$A19,Entries!$A$2:$A$5000,"&lt;"&amp;EDATE($A19,1),Entries!$B$2:$B$5000,AM$1))</f>
        <v/>
      </c>
      <c r="AN19" s="23">
        <f>IF(OR(AN$1="",$BM19=0),"",SUMIFS(Entries!$E$2:$E$5000,Entries!$C$2:$C$5000,"Actual",Entries!$A$2:$A$5000,"&gt;="&amp;$A19,Entries!$A$2:$A$5000,"&lt;"&amp;EDATE($A19,1),Entries!$B$2:$B$5000,AN$1))</f>
        <v/>
      </c>
      <c r="AO19" s="23">
        <f>IF(OR(AO$1="",$BM19=0),"",SUMIFS(Entries!$E$2:$E$5000,Entries!$C$2:$C$5000,"Actual",Entries!$A$2:$A$5000,"&gt;="&amp;$A19,Entries!$A$2:$A$5000,"&lt;"&amp;EDATE($A19,1),Entries!$B$2:$B$5000,AO$1))</f>
        <v/>
      </c>
      <c r="AP19" s="23">
        <f>IF(OR(AP$1="",$BM19=0),"",SUMIFS(Entries!$E$2:$E$5000,Entries!$C$2:$C$5000,"Actual",Entries!$A$2:$A$5000,"&gt;="&amp;$A19,Entries!$A$2:$A$5000,"&lt;"&amp;EDATE($A19,1),Entries!$B$2:$B$5000,AP$1))</f>
        <v/>
      </c>
      <c r="AR19" s="23">
        <f>IF(OR(AR$1="",$BM19=0),"",IFERROR(LOOKUP(2,1/((Budgets!$A$2:$A$200=AR$1)*(Budgets!$B$2:$B$200&lt;EDATE($A19,1))),Budgets!$C$2:$C$200),0))</f>
        <v/>
      </c>
      <c r="AS19" s="23">
        <f>IF(OR(AS$1="",$BM19=0),"",IFERROR(LOOKUP(2,1/((Budgets!$A$2:$A$200=AS$1)*(Budgets!$B$2:$B$200&lt;EDATE($A19,1))),Budgets!$C$2:$C$200),0))</f>
        <v/>
      </c>
      <c r="AT19" s="23">
        <f>IF(OR(AT$1="",$BM19=0),"",IFERROR(LOOKUP(2,1/((Budgets!$A$2:$A$200=AT$1)*(Budgets!$B$2:$B$200&lt;EDATE($A19,1))),Budgets!$C$2:$C$200),0))</f>
        <v/>
      </c>
      <c r="AU19" s="23">
        <f>IF(OR(AU$1="",$BM19=0),"",IFERROR(LOOKUP(2,1/((Budgets!$A$2:$A$200=AU$1)*(Budgets!$B$2:$B$200&lt;EDATE($A19,1))),Budgets!$C$2:$C$200),0))</f>
        <v/>
      </c>
      <c r="AV19" s="23">
        <f>IF(OR(AV$1="",$BM19=0),"",IFERROR(LOOKUP(2,1/((Budgets!$A$2:$A$200=AV$1)*(Budgets!$B$2:$B$200&lt;EDATE($A19,1))),Budgets!$C$2:$C$200),0))</f>
        <v/>
      </c>
      <c r="AW19" s="23">
        <f>IF(OR(AW$1="",$BM19=0),"",IFERROR(LOOKUP(2,1/((Budgets!$A$2:$A$200=AW$1)*(Budgets!$B$2:$B$200&lt;EDATE($A19,1))),Budgets!$C$2:$C$200),0))</f>
        <v/>
      </c>
      <c r="AX19" s="23">
        <f>IF(OR(AX$1="",$BM19=0),"",IFERROR(LOOKUP(2,1/((Budgets!$A$2:$A$200=AX$1)*(Budgets!$B$2:$B$200&lt;EDATE($A19,1))),Budgets!$C$2:$C$200),0))</f>
        <v/>
      </c>
      <c r="AY19" s="23">
        <f>IF(OR(AY$1="",$BM19=0),"",IFERROR(LOOKUP(2,1/((Budgets!$A$2:$A$200=AY$1)*(Budgets!$B$2:$B$200&lt;EDATE($A19,1))),Budgets!$C$2:$C$200),0))</f>
        <v/>
      </c>
      <c r="AZ19" s="23">
        <f>IF(OR(AZ$1="",$BM19=0),"",IFERROR(LOOKUP(2,1/((Budgets!$A$2:$A$200=AZ$1)*(Budgets!$B$2:$B$200&lt;EDATE($A19,1))),Budgets!$C$2:$C$200),0))</f>
        <v/>
      </c>
      <c r="BA19" s="23">
        <f>IF(OR(BA$1="",$BM19=0),"",IFERROR(LOOKUP(2,1/((Budgets!$A$2:$A$200=BA$1)*(Budgets!$B$2:$B$200&lt;EDATE($A19,1))),Budgets!$C$2:$C$200),0))</f>
        <v/>
      </c>
      <c r="BB19" s="23">
        <f>IF(OR(BB$1="",$BM19=0),"",IFERROR(LOOKUP(2,1/((Budgets!$A$2:$A$200=BB$1)*(Budgets!$B$2:$B$200&lt;EDATE($A19,1))),Budgets!$C$2:$C$200),0))</f>
        <v/>
      </c>
      <c r="BC19" s="23">
        <f>IF(OR(BC$1="",$BM19=0),"",IFERROR(LOOKUP(2,1/((Budgets!$A$2:$A$200=BC$1)*(Budgets!$B$2:$B$200&lt;EDATE($A19,1))),Budgets!$C$2:$C$200),0))</f>
        <v/>
      </c>
      <c r="BD19" s="23">
        <f>IF(OR(BD$1="",$BM19=0),"",IFERROR(LOOKUP(2,1/((Budgets!$A$2:$A$200=BD$1)*(Budgets!$B$2:$B$200&lt;EDATE($A19,1))),Budgets!$C$2:$C$200),0))</f>
        <v/>
      </c>
      <c r="BE19" s="23">
        <f>IF(OR(BE$1="",$BM19=0),"",IFERROR(LOOKUP(2,1/((Budgets!$A$2:$A$200=BE$1)*(Budgets!$B$2:$B$200&lt;EDATE($A19,1))),Budgets!$C$2:$C$200),0))</f>
        <v/>
      </c>
      <c r="BF19" s="23">
        <f>IF(OR(BF$1="",$BM19=0),"",IFERROR(LOOKUP(2,1/((Budgets!$A$2:$A$200=BF$1)*(Budgets!$B$2:$B$200&lt;EDATE($A19,1))),Budgets!$C$2:$C$200),0))</f>
        <v/>
      </c>
      <c r="BG19" s="23">
        <f>IF(OR(BG$1="",$BM19=0),"",IFERROR(LOOKUP(2,1/((Budgets!$A$2:$A$200=BG$1)*(Budgets!$B$2:$B$200&lt;EDATE($A19,1))),Budgets!$C$2:$C$200),0))</f>
        <v/>
      </c>
      <c r="BH19" s="23">
        <f>IF(OR(BH$1="",$BM19=0),"",IFERROR(LOOKUP(2,1/((Budgets!$A$2:$A$200=BH$1)*(Budgets!$B$2:$B$200&lt;EDATE($A19,1))),Budgets!$C$2:$C$200),0))</f>
        <v/>
      </c>
      <c r="BI19" s="23">
        <f>IF(OR(BI$1="",$BM19=0),"",IFERROR(LOOKUP(2,1/((Budgets!$A$2:$A$200=BI$1)*(Budgets!$B$2:$B$200&lt;EDATE($A19,1))),Budgets!$C$2:$C$200),0))</f>
        <v/>
      </c>
      <c r="BJ19" s="23">
        <f>IF(OR(BJ$1="",$BM19=0),"",IFERROR(LOOKUP(2,1/((Budgets!$A$2:$A$200=BJ$1)*(Budgets!$B$2:$B$200&lt;EDATE($A19,1))),Budgets!$C$2:$C$200),0))</f>
        <v/>
      </c>
      <c r="BK19" s="23">
        <f>IF(OR(BK$1="",$BM19=0),"",IFERROR(LOOKUP(2,1/((Budgets!$A$2:$A$200=BK$1)*(Budgets!$B$2:$B$200&lt;EDATE($A19,1))),Budgets!$C$2:$C$200),0))</f>
        <v/>
      </c>
      <c r="BM19" s="21">
        <f>COUNTIFS(Entries!$A$2:$A$5000,"&gt;="&amp;$A19,Entries!$A$2:$A$5000,"&lt;"&amp;EDATE($A19,1))</f>
        <v/>
      </c>
    </row>
    <row r="20">
      <c r="A20" s="22" t="n">
        <v>39995</v>
      </c>
      <c r="B20" s="23">
        <f>IF($BM20=0,NA(),SUMIFS(Entries!$E$2:$E$5000,Entries!$C$2:$C$5000,"Income",Entries!$A$2:$A$5000,"&gt;="&amp;$A20,Entries!$A$2:$A$5000,"&lt;"&amp;EDATE($A20,1)))</f>
        <v/>
      </c>
      <c r="C20" s="23">
        <f>IF($BM20=0,"",SUMIFS(Entries!$E$2:$E$5000,Entries!$C$2:$C$5000,"Actual",Entries!$A$2:$A$5000,"&gt;="&amp;$A20,Entries!$A$2:$A$5000,"&lt;"&amp;EDATE($A20,1)))</f>
        <v/>
      </c>
      <c r="D20" s="23">
        <f>IF($BM20=0,"",SUMIFS(Entries!$E$2:$E$5000,Entries!$C$2:$C$5000,"One-off",Entries!$A$2:$A$5000,"&gt;="&amp;$A20,Entries!$A$2:$A$5000,"&lt;"&amp;EDATE($A20,1)))</f>
        <v/>
      </c>
      <c r="E20" s="23">
        <f>IF($BM20=0,NA(),C20+D20)</f>
        <v/>
      </c>
      <c r="F20" s="23">
        <f>IF($BM20=0,"",SUM(AR20:BK20))</f>
        <v/>
      </c>
      <c r="G20" s="23">
        <f>IF($BM20=0,"",B20-E20)</f>
        <v/>
      </c>
      <c r="H20" s="23">
        <f>IF($BM20=0,"",SUM($G$2:G20))</f>
        <v/>
      </c>
      <c r="I20" s="23">
        <f>IF($BM20=0,"",SUMIFS(Entries!$G$2:$G$5000,Entries!$A$2:$A$5000,"&gt;="&amp;$A20,Entries!$A$2:$A$5000,"&lt;"&amp;EDATE($A20,1)))</f>
        <v/>
      </c>
      <c r="J20" s="23">
        <f>IF($BM20=0,NA(),H20)</f>
        <v/>
      </c>
      <c r="K20" s="23">
        <f>IF($BM20=0,"",SUMIFS(Entries!$E$2:$E$5000,Entries!$C$2:$C$5000,"Income",Entries!$A$2:$A$5000,"&gt;="&amp;EDATE($A20,-11),Entries!$A$2:$A$5000,"&lt;"&amp;EDATE($A20,1))/COUNTIFS($A$2:$A$400,"&gt;="&amp;EDATE($A20,-11),$A$2:$A$400,"&lt;"&amp;EDATE($A20,1),$BM$2:$BM$400,"&gt;0"))</f>
      </c>
      <c r="L20" s="23">
        <f>IF($BM20=0,"",(SUMIFS(Entries!$E$2:$E$5000,Entries!$C$2:$C$5000,"Actual",Entries!$A$2:$A$5000,"&gt;="&amp;EDATE($A20,-11),Entries!$A$2:$A$5000,"&lt;"&amp;EDATE($A20,1))+SUMIFS(Entries!$E$2:$E$5000,Entries!$C$2:$C$5000,"One-off",Entries!$A$2:$A$5000,"&gt;="&amp;EDATE($A20,-11),Entries!$A$2:$A$5000,"&lt;"&amp;EDATE($A20,1)))/COUNTIFS($A$2:$A$400,"&gt;="&amp;EDATE($A20,-11),$A$2:$A$400,"&lt;"&amp;EDATE($A20,1),$BM$2:$BM$400,"&gt;0"))</f>
      </c>
      <c r="M20" s="24">
        <f>IF($BM20=0,NA(),IFERROR((K20-L20)/K20,0))</f>
        <v/>
      </c>
      <c r="N20" s="23">
        <f>IF($BM20=0,NA(),SUMIFS(Entries!$E$2:$E$5000,Entries!$D$2:$D$5000,"Core",Entries!$A$2:$A$5000,"&gt;="&amp;$A20,Entries!$A$2:$A$5000,"&lt;"&amp;EDATE($A20,1)))</f>
        <v/>
      </c>
      <c r="O20" s="23">
        <f>IF($BM20=0,NA(),SUMIFS(Entries!$E$2:$E$5000,Entries!$D$2:$D$5000,"Over &amp; above",Entries!$A$2:$A$5000,"&gt;="&amp;$A20,Entries!$A$2:$A$5000,"&lt;"&amp;EDATE($A20,1)))</f>
        <v/>
      </c>
      <c r="P20" s="23">
        <f>IF($BM20=0,NA(),SUMIFS(Entries!$E$2:$E$5000,Entries!$D$2:$D$5000,"One-off",Entries!$A$2:$A$5000,"&gt;="&amp;$A20,Entries!$A$2:$A$5000,"&lt;"&amp;EDATE($A20,1)))</f>
        <v/>
      </c>
      <c r="Q20" s="23">
        <f>IF($BM20=0,NA(),SUMIFS(Entries!$E$2:$E$5000,Entries!$D$2:$D$5000,"Reimbursable",Entries!$A$2:$A$5000,"&gt;="&amp;$A20,Entries!$A$2:$A$5000,"&lt;"&amp;EDATE($A20,1)))</f>
        <v/>
      </c>
      <c r="R20" s="23">
        <f>IF($BM20=0,NA(),SUMIFS(Entries!$E$2:$E$5000,Entries!$D$2:$D$5000,"Investment",Entries!$A$2:$A$5000,"&gt;="&amp;$A20,Entries!$A$2:$A$5000,"&lt;"&amp;EDATE($A20,1)))</f>
        <v/>
      </c>
      <c r="S20" s="23">
        <f>IF($BM20=0,NA(),N20+O20)</f>
        <v/>
      </c>
      <c r="T20" s="23">
        <f>IF($BM20=0,"",E20-Q20)</f>
        <v/>
      </c>
      <c r="W20" s="23">
        <f>IF(OR(W$1="",$BM20=0),"",SUMIFS(Entries!$E$2:$E$5000,Entries!$C$2:$C$5000,"Actual",Entries!$A$2:$A$5000,"&gt;="&amp;$A20,Entries!$A$2:$A$5000,"&lt;"&amp;EDATE($A20,1),Entries!$B$2:$B$5000,W$1))</f>
        <v/>
      </c>
      <c r="X20" s="23">
        <f>IF(OR(X$1="",$BM20=0),"",SUMIFS(Entries!$E$2:$E$5000,Entries!$C$2:$C$5000,"Actual",Entries!$A$2:$A$5000,"&gt;="&amp;$A20,Entries!$A$2:$A$5000,"&lt;"&amp;EDATE($A20,1),Entries!$B$2:$B$5000,X$1))</f>
        <v/>
      </c>
      <c r="Y20" s="23">
        <f>IF(OR(Y$1="",$BM20=0),"",SUMIFS(Entries!$E$2:$E$5000,Entries!$C$2:$C$5000,"Actual",Entries!$A$2:$A$5000,"&gt;="&amp;$A20,Entries!$A$2:$A$5000,"&lt;"&amp;EDATE($A20,1),Entries!$B$2:$B$5000,Y$1))</f>
        <v/>
      </c>
      <c r="Z20" s="23">
        <f>IF(OR(Z$1="",$BM20=0),"",SUMIFS(Entries!$E$2:$E$5000,Entries!$C$2:$C$5000,"Actual",Entries!$A$2:$A$5000,"&gt;="&amp;$A20,Entries!$A$2:$A$5000,"&lt;"&amp;EDATE($A20,1),Entries!$B$2:$B$5000,Z$1))</f>
        <v/>
      </c>
      <c r="AA20" s="23">
        <f>IF(OR(AA$1="",$BM20=0),"",SUMIFS(Entries!$E$2:$E$5000,Entries!$C$2:$C$5000,"Actual",Entries!$A$2:$A$5000,"&gt;="&amp;$A20,Entries!$A$2:$A$5000,"&lt;"&amp;EDATE($A20,1),Entries!$B$2:$B$5000,AA$1))</f>
        <v/>
      </c>
      <c r="AB20" s="23">
        <f>IF(OR(AB$1="",$BM20=0),"",SUMIFS(Entries!$E$2:$E$5000,Entries!$C$2:$C$5000,"Actual",Entries!$A$2:$A$5000,"&gt;="&amp;$A20,Entries!$A$2:$A$5000,"&lt;"&amp;EDATE($A20,1),Entries!$B$2:$B$5000,AB$1))</f>
        <v/>
      </c>
      <c r="AC20" s="23">
        <f>IF(OR(AC$1="",$BM20=0),"",SUMIFS(Entries!$E$2:$E$5000,Entries!$C$2:$C$5000,"Actual",Entries!$A$2:$A$5000,"&gt;="&amp;$A20,Entries!$A$2:$A$5000,"&lt;"&amp;EDATE($A20,1),Entries!$B$2:$B$5000,AC$1))</f>
        <v/>
      </c>
      <c r="AD20" s="23">
        <f>IF(OR(AD$1="",$BM20=0),"",SUMIFS(Entries!$E$2:$E$5000,Entries!$C$2:$C$5000,"Actual",Entries!$A$2:$A$5000,"&gt;="&amp;$A20,Entries!$A$2:$A$5000,"&lt;"&amp;EDATE($A20,1),Entries!$B$2:$B$5000,AD$1))</f>
        <v/>
      </c>
      <c r="AE20" s="23">
        <f>IF(OR(AE$1="",$BM20=0),"",SUMIFS(Entries!$E$2:$E$5000,Entries!$C$2:$C$5000,"Actual",Entries!$A$2:$A$5000,"&gt;="&amp;$A20,Entries!$A$2:$A$5000,"&lt;"&amp;EDATE($A20,1),Entries!$B$2:$B$5000,AE$1))</f>
        <v/>
      </c>
      <c r="AF20" s="23">
        <f>IF(OR(AF$1="",$BM20=0),"",SUMIFS(Entries!$E$2:$E$5000,Entries!$C$2:$C$5000,"Actual",Entries!$A$2:$A$5000,"&gt;="&amp;$A20,Entries!$A$2:$A$5000,"&lt;"&amp;EDATE($A20,1),Entries!$B$2:$B$5000,AF$1))</f>
        <v/>
      </c>
      <c r="AG20" s="23">
        <f>IF(OR(AG$1="",$BM20=0),"",SUMIFS(Entries!$E$2:$E$5000,Entries!$C$2:$C$5000,"Actual",Entries!$A$2:$A$5000,"&gt;="&amp;$A20,Entries!$A$2:$A$5000,"&lt;"&amp;EDATE($A20,1),Entries!$B$2:$B$5000,AG$1))</f>
        <v/>
      </c>
      <c r="AH20" s="23">
        <f>IF(OR(AH$1="",$BM20=0),"",SUMIFS(Entries!$E$2:$E$5000,Entries!$C$2:$C$5000,"Actual",Entries!$A$2:$A$5000,"&gt;="&amp;$A20,Entries!$A$2:$A$5000,"&lt;"&amp;EDATE($A20,1),Entries!$B$2:$B$5000,AH$1))</f>
        <v/>
      </c>
      <c r="AI20" s="23">
        <f>IF(OR(AI$1="",$BM20=0),"",SUMIFS(Entries!$E$2:$E$5000,Entries!$C$2:$C$5000,"Actual",Entries!$A$2:$A$5000,"&gt;="&amp;$A20,Entries!$A$2:$A$5000,"&lt;"&amp;EDATE($A20,1),Entries!$B$2:$B$5000,AI$1))</f>
        <v/>
      </c>
      <c r="AJ20" s="23">
        <f>IF(OR(AJ$1="",$BM20=0),"",SUMIFS(Entries!$E$2:$E$5000,Entries!$C$2:$C$5000,"Actual",Entries!$A$2:$A$5000,"&gt;="&amp;$A20,Entries!$A$2:$A$5000,"&lt;"&amp;EDATE($A20,1),Entries!$B$2:$B$5000,AJ$1))</f>
        <v/>
      </c>
      <c r="AK20" s="23">
        <f>IF(OR(AK$1="",$BM20=0),"",SUMIFS(Entries!$E$2:$E$5000,Entries!$C$2:$C$5000,"Actual",Entries!$A$2:$A$5000,"&gt;="&amp;$A20,Entries!$A$2:$A$5000,"&lt;"&amp;EDATE($A20,1),Entries!$B$2:$B$5000,AK$1))</f>
        <v/>
      </c>
      <c r="AL20" s="23">
        <f>IF(OR(AL$1="",$BM20=0),"",SUMIFS(Entries!$E$2:$E$5000,Entries!$C$2:$C$5000,"Actual",Entries!$A$2:$A$5000,"&gt;="&amp;$A20,Entries!$A$2:$A$5000,"&lt;"&amp;EDATE($A20,1),Entries!$B$2:$B$5000,AL$1))</f>
        <v/>
      </c>
      <c r="AM20" s="23">
        <f>IF(OR(AM$1="",$BM20=0),"",SUMIFS(Entries!$E$2:$E$5000,Entries!$C$2:$C$5000,"Actual",Entries!$A$2:$A$5000,"&gt;="&amp;$A20,Entries!$A$2:$A$5000,"&lt;"&amp;EDATE($A20,1),Entries!$B$2:$B$5000,AM$1))</f>
        <v/>
      </c>
      <c r="AN20" s="23">
        <f>IF(OR(AN$1="",$BM20=0),"",SUMIFS(Entries!$E$2:$E$5000,Entries!$C$2:$C$5000,"Actual",Entries!$A$2:$A$5000,"&gt;="&amp;$A20,Entries!$A$2:$A$5000,"&lt;"&amp;EDATE($A20,1),Entries!$B$2:$B$5000,AN$1))</f>
        <v/>
      </c>
      <c r="AO20" s="23">
        <f>IF(OR(AO$1="",$BM20=0),"",SUMIFS(Entries!$E$2:$E$5000,Entries!$C$2:$C$5000,"Actual",Entries!$A$2:$A$5000,"&gt;="&amp;$A20,Entries!$A$2:$A$5000,"&lt;"&amp;EDATE($A20,1),Entries!$B$2:$B$5000,AO$1))</f>
        <v/>
      </c>
      <c r="AP20" s="23">
        <f>IF(OR(AP$1="",$BM20=0),"",SUMIFS(Entries!$E$2:$E$5000,Entries!$C$2:$C$5000,"Actual",Entries!$A$2:$A$5000,"&gt;="&amp;$A20,Entries!$A$2:$A$5000,"&lt;"&amp;EDATE($A20,1),Entries!$B$2:$B$5000,AP$1))</f>
        <v/>
      </c>
      <c r="AR20" s="23">
        <f>IF(OR(AR$1="",$BM20=0),"",IFERROR(LOOKUP(2,1/((Budgets!$A$2:$A$200=AR$1)*(Budgets!$B$2:$B$200&lt;EDATE($A20,1))),Budgets!$C$2:$C$200),0))</f>
        <v/>
      </c>
      <c r="AS20" s="23">
        <f>IF(OR(AS$1="",$BM20=0),"",IFERROR(LOOKUP(2,1/((Budgets!$A$2:$A$200=AS$1)*(Budgets!$B$2:$B$200&lt;EDATE($A20,1))),Budgets!$C$2:$C$200),0))</f>
        <v/>
      </c>
      <c r="AT20" s="23">
        <f>IF(OR(AT$1="",$BM20=0),"",IFERROR(LOOKUP(2,1/((Budgets!$A$2:$A$200=AT$1)*(Budgets!$B$2:$B$200&lt;EDATE($A20,1))),Budgets!$C$2:$C$200),0))</f>
        <v/>
      </c>
      <c r="AU20" s="23">
        <f>IF(OR(AU$1="",$BM20=0),"",IFERROR(LOOKUP(2,1/((Budgets!$A$2:$A$200=AU$1)*(Budgets!$B$2:$B$200&lt;EDATE($A20,1))),Budgets!$C$2:$C$200),0))</f>
        <v/>
      </c>
      <c r="AV20" s="23">
        <f>IF(OR(AV$1="",$BM20=0),"",IFERROR(LOOKUP(2,1/((Budgets!$A$2:$A$200=AV$1)*(Budgets!$B$2:$B$200&lt;EDATE($A20,1))),Budgets!$C$2:$C$200),0))</f>
        <v/>
      </c>
      <c r="AW20" s="23">
        <f>IF(OR(AW$1="",$BM20=0),"",IFERROR(LOOKUP(2,1/((Budgets!$A$2:$A$200=AW$1)*(Budgets!$B$2:$B$200&lt;EDATE($A20,1))),Budgets!$C$2:$C$200),0))</f>
        <v/>
      </c>
      <c r="AX20" s="23">
        <f>IF(OR(AX$1="",$BM20=0),"",IFERROR(LOOKUP(2,1/((Budgets!$A$2:$A$200=AX$1)*(Budgets!$B$2:$B$200&lt;EDATE($A20,1))),Budgets!$C$2:$C$200),0))</f>
        <v/>
      </c>
      <c r="AY20" s="23">
        <f>IF(OR(AY$1="",$BM20=0),"",IFERROR(LOOKUP(2,1/((Budgets!$A$2:$A$200=AY$1)*(Budgets!$B$2:$B$200&lt;EDATE($A20,1))),Budgets!$C$2:$C$200),0))</f>
        <v/>
      </c>
      <c r="AZ20" s="23">
        <f>IF(OR(AZ$1="",$BM20=0),"",IFERROR(LOOKUP(2,1/((Budgets!$A$2:$A$200=AZ$1)*(Budgets!$B$2:$B$200&lt;EDATE($A20,1))),Budgets!$C$2:$C$200),0))</f>
        <v/>
      </c>
      <c r="BA20" s="23">
        <f>IF(OR(BA$1="",$BM20=0),"",IFERROR(LOOKUP(2,1/((Budgets!$A$2:$A$200=BA$1)*(Budgets!$B$2:$B$200&lt;EDATE($A20,1))),Budgets!$C$2:$C$200),0))</f>
        <v/>
      </c>
      <c r="BB20" s="23">
        <f>IF(OR(BB$1="",$BM20=0),"",IFERROR(LOOKUP(2,1/((Budgets!$A$2:$A$200=BB$1)*(Budgets!$B$2:$B$200&lt;EDATE($A20,1))),Budgets!$C$2:$C$200),0))</f>
        <v/>
      </c>
      <c r="BC20" s="23">
        <f>IF(OR(BC$1="",$BM20=0),"",IFERROR(LOOKUP(2,1/((Budgets!$A$2:$A$200=BC$1)*(Budgets!$B$2:$B$200&lt;EDATE($A20,1))),Budgets!$C$2:$C$200),0))</f>
        <v/>
      </c>
      <c r="BD20" s="23">
        <f>IF(OR(BD$1="",$BM20=0),"",IFERROR(LOOKUP(2,1/((Budgets!$A$2:$A$200=BD$1)*(Budgets!$B$2:$B$200&lt;EDATE($A20,1))),Budgets!$C$2:$C$200),0))</f>
        <v/>
      </c>
      <c r="BE20" s="23">
        <f>IF(OR(BE$1="",$BM20=0),"",IFERROR(LOOKUP(2,1/((Budgets!$A$2:$A$200=BE$1)*(Budgets!$B$2:$B$200&lt;EDATE($A20,1))),Budgets!$C$2:$C$200),0))</f>
        <v/>
      </c>
      <c r="BF20" s="23">
        <f>IF(OR(BF$1="",$BM20=0),"",IFERROR(LOOKUP(2,1/((Budgets!$A$2:$A$200=BF$1)*(Budgets!$B$2:$B$200&lt;EDATE($A20,1))),Budgets!$C$2:$C$200),0))</f>
        <v/>
      </c>
      <c r="BG20" s="23">
        <f>IF(OR(BG$1="",$BM20=0),"",IFERROR(LOOKUP(2,1/((Budgets!$A$2:$A$200=BG$1)*(Budgets!$B$2:$B$200&lt;EDATE($A20,1))),Budgets!$C$2:$C$200),0))</f>
        <v/>
      </c>
      <c r="BH20" s="23">
        <f>IF(OR(BH$1="",$BM20=0),"",IFERROR(LOOKUP(2,1/((Budgets!$A$2:$A$200=BH$1)*(Budgets!$B$2:$B$200&lt;EDATE($A20,1))),Budgets!$C$2:$C$200),0))</f>
        <v/>
      </c>
      <c r="BI20" s="23">
        <f>IF(OR(BI$1="",$BM20=0),"",IFERROR(LOOKUP(2,1/((Budgets!$A$2:$A$200=BI$1)*(Budgets!$B$2:$B$200&lt;EDATE($A20,1))),Budgets!$C$2:$C$200),0))</f>
        <v/>
      </c>
      <c r="BJ20" s="23">
        <f>IF(OR(BJ$1="",$BM20=0),"",IFERROR(LOOKUP(2,1/((Budgets!$A$2:$A$200=BJ$1)*(Budgets!$B$2:$B$200&lt;EDATE($A20,1))),Budgets!$C$2:$C$200),0))</f>
        <v/>
      </c>
      <c r="BK20" s="23">
        <f>IF(OR(BK$1="",$BM20=0),"",IFERROR(LOOKUP(2,1/((Budgets!$A$2:$A$200=BK$1)*(Budgets!$B$2:$B$200&lt;EDATE($A20,1))),Budgets!$C$2:$C$200),0))</f>
        <v/>
      </c>
      <c r="BM20" s="21">
        <f>COUNTIFS(Entries!$A$2:$A$5000,"&gt;="&amp;$A20,Entries!$A$2:$A$5000,"&lt;"&amp;EDATE($A20,1))</f>
        <v/>
      </c>
    </row>
    <row r="21">
      <c r="A21" s="22" t="n">
        <v>40026</v>
      </c>
      <c r="B21" s="23">
        <f>IF($BM21=0,NA(),SUMIFS(Entries!$E$2:$E$5000,Entries!$C$2:$C$5000,"Income",Entries!$A$2:$A$5000,"&gt;="&amp;$A21,Entries!$A$2:$A$5000,"&lt;"&amp;EDATE($A21,1)))</f>
        <v/>
      </c>
      <c r="C21" s="23">
        <f>IF($BM21=0,"",SUMIFS(Entries!$E$2:$E$5000,Entries!$C$2:$C$5000,"Actual",Entries!$A$2:$A$5000,"&gt;="&amp;$A21,Entries!$A$2:$A$5000,"&lt;"&amp;EDATE($A21,1)))</f>
        <v/>
      </c>
      <c r="D21" s="23">
        <f>IF($BM21=0,"",SUMIFS(Entries!$E$2:$E$5000,Entries!$C$2:$C$5000,"One-off",Entries!$A$2:$A$5000,"&gt;="&amp;$A21,Entries!$A$2:$A$5000,"&lt;"&amp;EDATE($A21,1)))</f>
        <v/>
      </c>
      <c r="E21" s="23">
        <f>IF($BM21=0,NA(),C21+D21)</f>
        <v/>
      </c>
      <c r="F21" s="23">
        <f>IF($BM21=0,"",SUM(AR21:BK21))</f>
        <v/>
      </c>
      <c r="G21" s="23">
        <f>IF($BM21=0,"",B21-E21)</f>
        <v/>
      </c>
      <c r="H21" s="23">
        <f>IF($BM21=0,"",SUM($G$2:G21))</f>
        <v/>
      </c>
      <c r="I21" s="23">
        <f>IF($BM21=0,"",SUMIFS(Entries!$G$2:$G$5000,Entries!$A$2:$A$5000,"&gt;="&amp;$A21,Entries!$A$2:$A$5000,"&lt;"&amp;EDATE($A21,1)))</f>
        <v/>
      </c>
      <c r="J21" s="23">
        <f>IF($BM21=0,NA(),H21)</f>
        <v/>
      </c>
      <c r="K21" s="23">
        <f>IF($BM21=0,"",SUMIFS(Entries!$E$2:$E$5000,Entries!$C$2:$C$5000,"Income",Entries!$A$2:$A$5000,"&gt;="&amp;EDATE($A21,-11),Entries!$A$2:$A$5000,"&lt;"&amp;EDATE($A21,1))/COUNTIFS($A$2:$A$400,"&gt;="&amp;EDATE($A21,-11),$A$2:$A$400,"&lt;"&amp;EDATE($A21,1),$BM$2:$BM$400,"&gt;0"))</f>
      </c>
      <c r="L21" s="23">
        <f>IF($BM21=0,"",(SUMIFS(Entries!$E$2:$E$5000,Entries!$C$2:$C$5000,"Actual",Entries!$A$2:$A$5000,"&gt;="&amp;EDATE($A21,-11),Entries!$A$2:$A$5000,"&lt;"&amp;EDATE($A21,1))+SUMIFS(Entries!$E$2:$E$5000,Entries!$C$2:$C$5000,"One-off",Entries!$A$2:$A$5000,"&gt;="&amp;EDATE($A21,-11),Entries!$A$2:$A$5000,"&lt;"&amp;EDATE($A21,1)))/COUNTIFS($A$2:$A$400,"&gt;="&amp;EDATE($A21,-11),$A$2:$A$400,"&lt;"&amp;EDATE($A21,1),$BM$2:$BM$400,"&gt;0"))</f>
      </c>
      <c r="M21" s="24">
        <f>IF($BM21=0,NA(),IFERROR((K21-L21)/K21,0))</f>
        <v/>
      </c>
      <c r="N21" s="23">
        <f>IF($BM21=0,NA(),SUMIFS(Entries!$E$2:$E$5000,Entries!$D$2:$D$5000,"Core",Entries!$A$2:$A$5000,"&gt;="&amp;$A21,Entries!$A$2:$A$5000,"&lt;"&amp;EDATE($A21,1)))</f>
        <v/>
      </c>
      <c r="O21" s="23">
        <f>IF($BM21=0,NA(),SUMIFS(Entries!$E$2:$E$5000,Entries!$D$2:$D$5000,"Over &amp; above",Entries!$A$2:$A$5000,"&gt;="&amp;$A21,Entries!$A$2:$A$5000,"&lt;"&amp;EDATE($A21,1)))</f>
        <v/>
      </c>
      <c r="P21" s="23">
        <f>IF($BM21=0,NA(),SUMIFS(Entries!$E$2:$E$5000,Entries!$D$2:$D$5000,"One-off",Entries!$A$2:$A$5000,"&gt;="&amp;$A21,Entries!$A$2:$A$5000,"&lt;"&amp;EDATE($A21,1)))</f>
        <v/>
      </c>
      <c r="Q21" s="23">
        <f>IF($BM21=0,NA(),SUMIFS(Entries!$E$2:$E$5000,Entries!$D$2:$D$5000,"Reimbursable",Entries!$A$2:$A$5000,"&gt;="&amp;$A21,Entries!$A$2:$A$5000,"&lt;"&amp;EDATE($A21,1)))</f>
        <v/>
      </c>
      <c r="R21" s="23">
        <f>IF($BM21=0,NA(),SUMIFS(Entries!$E$2:$E$5000,Entries!$D$2:$D$5000,"Investment",Entries!$A$2:$A$5000,"&gt;="&amp;$A21,Entries!$A$2:$A$5000,"&lt;"&amp;EDATE($A21,1)))</f>
        <v/>
      </c>
      <c r="S21" s="23">
        <f>IF($BM21=0,NA(),N21+O21)</f>
        <v/>
      </c>
      <c r="T21" s="23">
        <f>IF($BM21=0,"",E21-Q21)</f>
        <v/>
      </c>
      <c r="W21" s="23">
        <f>IF(OR(W$1="",$BM21=0),"",SUMIFS(Entries!$E$2:$E$5000,Entries!$C$2:$C$5000,"Actual",Entries!$A$2:$A$5000,"&gt;="&amp;$A21,Entries!$A$2:$A$5000,"&lt;"&amp;EDATE($A21,1),Entries!$B$2:$B$5000,W$1))</f>
        <v/>
      </c>
      <c r="X21" s="23">
        <f>IF(OR(X$1="",$BM21=0),"",SUMIFS(Entries!$E$2:$E$5000,Entries!$C$2:$C$5000,"Actual",Entries!$A$2:$A$5000,"&gt;="&amp;$A21,Entries!$A$2:$A$5000,"&lt;"&amp;EDATE($A21,1),Entries!$B$2:$B$5000,X$1))</f>
        <v/>
      </c>
      <c r="Y21" s="23">
        <f>IF(OR(Y$1="",$BM21=0),"",SUMIFS(Entries!$E$2:$E$5000,Entries!$C$2:$C$5000,"Actual",Entries!$A$2:$A$5000,"&gt;="&amp;$A21,Entries!$A$2:$A$5000,"&lt;"&amp;EDATE($A21,1),Entries!$B$2:$B$5000,Y$1))</f>
        <v/>
      </c>
      <c r="Z21" s="23">
        <f>IF(OR(Z$1="",$BM21=0),"",SUMIFS(Entries!$E$2:$E$5000,Entries!$C$2:$C$5000,"Actual",Entries!$A$2:$A$5000,"&gt;="&amp;$A21,Entries!$A$2:$A$5000,"&lt;"&amp;EDATE($A21,1),Entries!$B$2:$B$5000,Z$1))</f>
        <v/>
      </c>
      <c r="AA21" s="23">
        <f>IF(OR(AA$1="",$BM21=0),"",SUMIFS(Entries!$E$2:$E$5000,Entries!$C$2:$C$5000,"Actual",Entries!$A$2:$A$5000,"&gt;="&amp;$A21,Entries!$A$2:$A$5000,"&lt;"&amp;EDATE($A21,1),Entries!$B$2:$B$5000,AA$1))</f>
        <v/>
      </c>
      <c r="AB21" s="23">
        <f>IF(OR(AB$1="",$BM21=0),"",SUMIFS(Entries!$E$2:$E$5000,Entries!$C$2:$C$5000,"Actual",Entries!$A$2:$A$5000,"&gt;="&amp;$A21,Entries!$A$2:$A$5000,"&lt;"&amp;EDATE($A21,1),Entries!$B$2:$B$5000,AB$1))</f>
        <v/>
      </c>
      <c r="AC21" s="23">
        <f>IF(OR(AC$1="",$BM21=0),"",SUMIFS(Entries!$E$2:$E$5000,Entries!$C$2:$C$5000,"Actual",Entries!$A$2:$A$5000,"&gt;="&amp;$A21,Entries!$A$2:$A$5000,"&lt;"&amp;EDATE($A21,1),Entries!$B$2:$B$5000,AC$1))</f>
        <v/>
      </c>
      <c r="AD21" s="23">
        <f>IF(OR(AD$1="",$BM21=0),"",SUMIFS(Entries!$E$2:$E$5000,Entries!$C$2:$C$5000,"Actual",Entries!$A$2:$A$5000,"&gt;="&amp;$A21,Entries!$A$2:$A$5000,"&lt;"&amp;EDATE($A21,1),Entries!$B$2:$B$5000,AD$1))</f>
        <v/>
      </c>
      <c r="AE21" s="23">
        <f>IF(OR(AE$1="",$BM21=0),"",SUMIFS(Entries!$E$2:$E$5000,Entries!$C$2:$C$5000,"Actual",Entries!$A$2:$A$5000,"&gt;="&amp;$A21,Entries!$A$2:$A$5000,"&lt;"&amp;EDATE($A21,1),Entries!$B$2:$B$5000,AE$1))</f>
        <v/>
      </c>
      <c r="AF21" s="23">
        <f>IF(OR(AF$1="",$BM21=0),"",SUMIFS(Entries!$E$2:$E$5000,Entries!$C$2:$C$5000,"Actual",Entries!$A$2:$A$5000,"&gt;="&amp;$A21,Entries!$A$2:$A$5000,"&lt;"&amp;EDATE($A21,1),Entries!$B$2:$B$5000,AF$1))</f>
        <v/>
      </c>
      <c r="AG21" s="23">
        <f>IF(OR(AG$1="",$BM21=0),"",SUMIFS(Entries!$E$2:$E$5000,Entries!$C$2:$C$5000,"Actual",Entries!$A$2:$A$5000,"&gt;="&amp;$A21,Entries!$A$2:$A$5000,"&lt;"&amp;EDATE($A21,1),Entries!$B$2:$B$5000,AG$1))</f>
        <v/>
      </c>
      <c r="AH21" s="23">
        <f>IF(OR(AH$1="",$BM21=0),"",SUMIFS(Entries!$E$2:$E$5000,Entries!$C$2:$C$5000,"Actual",Entries!$A$2:$A$5000,"&gt;="&amp;$A21,Entries!$A$2:$A$5000,"&lt;"&amp;EDATE($A21,1),Entries!$B$2:$B$5000,AH$1))</f>
        <v/>
      </c>
      <c r="AI21" s="23">
        <f>IF(OR(AI$1="",$BM21=0),"",SUMIFS(Entries!$E$2:$E$5000,Entries!$C$2:$C$5000,"Actual",Entries!$A$2:$A$5000,"&gt;="&amp;$A21,Entries!$A$2:$A$5000,"&lt;"&amp;EDATE($A21,1),Entries!$B$2:$B$5000,AI$1))</f>
        <v/>
      </c>
      <c r="AJ21" s="23">
        <f>IF(OR(AJ$1="",$BM21=0),"",SUMIFS(Entries!$E$2:$E$5000,Entries!$C$2:$C$5000,"Actual",Entries!$A$2:$A$5000,"&gt;="&amp;$A21,Entries!$A$2:$A$5000,"&lt;"&amp;EDATE($A21,1),Entries!$B$2:$B$5000,AJ$1))</f>
        <v/>
      </c>
      <c r="AK21" s="23">
        <f>IF(OR(AK$1="",$BM21=0),"",SUMIFS(Entries!$E$2:$E$5000,Entries!$C$2:$C$5000,"Actual",Entries!$A$2:$A$5000,"&gt;="&amp;$A21,Entries!$A$2:$A$5000,"&lt;"&amp;EDATE($A21,1),Entries!$B$2:$B$5000,AK$1))</f>
        <v/>
      </c>
      <c r="AL21" s="23">
        <f>IF(OR(AL$1="",$BM21=0),"",SUMIFS(Entries!$E$2:$E$5000,Entries!$C$2:$C$5000,"Actual",Entries!$A$2:$A$5000,"&gt;="&amp;$A21,Entries!$A$2:$A$5000,"&lt;"&amp;EDATE($A21,1),Entries!$B$2:$B$5000,AL$1))</f>
        <v/>
      </c>
      <c r="AM21" s="23">
        <f>IF(OR(AM$1="",$BM21=0),"",SUMIFS(Entries!$E$2:$E$5000,Entries!$C$2:$C$5000,"Actual",Entries!$A$2:$A$5000,"&gt;="&amp;$A21,Entries!$A$2:$A$5000,"&lt;"&amp;EDATE($A21,1),Entries!$B$2:$B$5000,AM$1))</f>
        <v/>
      </c>
      <c r="AN21" s="23">
        <f>IF(OR(AN$1="",$BM21=0),"",SUMIFS(Entries!$E$2:$E$5000,Entries!$C$2:$C$5000,"Actual",Entries!$A$2:$A$5000,"&gt;="&amp;$A21,Entries!$A$2:$A$5000,"&lt;"&amp;EDATE($A21,1),Entries!$B$2:$B$5000,AN$1))</f>
        <v/>
      </c>
      <c r="AO21" s="23">
        <f>IF(OR(AO$1="",$BM21=0),"",SUMIFS(Entries!$E$2:$E$5000,Entries!$C$2:$C$5000,"Actual",Entries!$A$2:$A$5000,"&gt;="&amp;$A21,Entries!$A$2:$A$5000,"&lt;"&amp;EDATE($A21,1),Entries!$B$2:$B$5000,AO$1))</f>
        <v/>
      </c>
      <c r="AP21" s="23">
        <f>IF(OR(AP$1="",$BM21=0),"",SUMIFS(Entries!$E$2:$E$5000,Entries!$C$2:$C$5000,"Actual",Entries!$A$2:$A$5000,"&gt;="&amp;$A21,Entries!$A$2:$A$5000,"&lt;"&amp;EDATE($A21,1),Entries!$B$2:$B$5000,AP$1))</f>
        <v/>
      </c>
      <c r="AR21" s="23">
        <f>IF(OR(AR$1="",$BM21=0),"",IFERROR(LOOKUP(2,1/((Budgets!$A$2:$A$200=AR$1)*(Budgets!$B$2:$B$200&lt;EDATE($A21,1))),Budgets!$C$2:$C$200),0))</f>
        <v/>
      </c>
      <c r="AS21" s="23">
        <f>IF(OR(AS$1="",$BM21=0),"",IFERROR(LOOKUP(2,1/((Budgets!$A$2:$A$200=AS$1)*(Budgets!$B$2:$B$200&lt;EDATE($A21,1))),Budgets!$C$2:$C$200),0))</f>
        <v/>
      </c>
      <c r="AT21" s="23">
        <f>IF(OR(AT$1="",$BM21=0),"",IFERROR(LOOKUP(2,1/((Budgets!$A$2:$A$200=AT$1)*(Budgets!$B$2:$B$200&lt;EDATE($A21,1))),Budgets!$C$2:$C$200),0))</f>
        <v/>
      </c>
      <c r="AU21" s="23">
        <f>IF(OR(AU$1="",$BM21=0),"",IFERROR(LOOKUP(2,1/((Budgets!$A$2:$A$200=AU$1)*(Budgets!$B$2:$B$200&lt;EDATE($A21,1))),Budgets!$C$2:$C$200),0))</f>
        <v/>
      </c>
      <c r="AV21" s="23">
        <f>IF(OR(AV$1="",$BM21=0),"",IFERROR(LOOKUP(2,1/((Budgets!$A$2:$A$200=AV$1)*(Budgets!$B$2:$B$200&lt;EDATE($A21,1))),Budgets!$C$2:$C$200),0))</f>
        <v/>
      </c>
      <c r="AW21" s="23">
        <f>IF(OR(AW$1="",$BM21=0),"",IFERROR(LOOKUP(2,1/((Budgets!$A$2:$A$200=AW$1)*(Budgets!$B$2:$B$200&lt;EDATE($A21,1))),Budgets!$C$2:$C$200),0))</f>
        <v/>
      </c>
      <c r="AX21" s="23">
        <f>IF(OR(AX$1="",$BM21=0),"",IFERROR(LOOKUP(2,1/((Budgets!$A$2:$A$200=AX$1)*(Budgets!$B$2:$B$200&lt;EDATE($A21,1))),Budgets!$C$2:$C$200),0))</f>
        <v/>
      </c>
      <c r="AY21" s="23">
        <f>IF(OR(AY$1="",$BM21=0),"",IFERROR(LOOKUP(2,1/((Budgets!$A$2:$A$200=AY$1)*(Budgets!$B$2:$B$200&lt;EDATE($A21,1))),Budgets!$C$2:$C$200),0))</f>
        <v/>
      </c>
      <c r="AZ21" s="23">
        <f>IF(OR(AZ$1="",$BM21=0),"",IFERROR(LOOKUP(2,1/((Budgets!$A$2:$A$200=AZ$1)*(Budgets!$B$2:$B$200&lt;EDATE($A21,1))),Budgets!$C$2:$C$200),0))</f>
        <v/>
      </c>
      <c r="BA21" s="23">
        <f>IF(OR(BA$1="",$BM21=0),"",IFERROR(LOOKUP(2,1/((Budgets!$A$2:$A$200=BA$1)*(Budgets!$B$2:$B$200&lt;EDATE($A21,1))),Budgets!$C$2:$C$200),0))</f>
        <v/>
      </c>
      <c r="BB21" s="23">
        <f>IF(OR(BB$1="",$BM21=0),"",IFERROR(LOOKUP(2,1/((Budgets!$A$2:$A$200=BB$1)*(Budgets!$B$2:$B$200&lt;EDATE($A21,1))),Budgets!$C$2:$C$200),0))</f>
        <v/>
      </c>
      <c r="BC21" s="23">
        <f>IF(OR(BC$1="",$BM21=0),"",IFERROR(LOOKUP(2,1/((Budgets!$A$2:$A$200=BC$1)*(Budgets!$B$2:$B$200&lt;EDATE($A21,1))),Budgets!$C$2:$C$200),0))</f>
        <v/>
      </c>
      <c r="BD21" s="23">
        <f>IF(OR(BD$1="",$BM21=0),"",IFERROR(LOOKUP(2,1/((Budgets!$A$2:$A$200=BD$1)*(Budgets!$B$2:$B$200&lt;EDATE($A21,1))),Budgets!$C$2:$C$200),0))</f>
        <v/>
      </c>
      <c r="BE21" s="23">
        <f>IF(OR(BE$1="",$BM21=0),"",IFERROR(LOOKUP(2,1/((Budgets!$A$2:$A$200=BE$1)*(Budgets!$B$2:$B$200&lt;EDATE($A21,1))),Budgets!$C$2:$C$200),0))</f>
        <v/>
      </c>
      <c r="BF21" s="23">
        <f>IF(OR(BF$1="",$BM21=0),"",IFERROR(LOOKUP(2,1/((Budgets!$A$2:$A$200=BF$1)*(Budgets!$B$2:$B$200&lt;EDATE($A21,1))),Budgets!$C$2:$C$200),0))</f>
        <v/>
      </c>
      <c r="BG21" s="23">
        <f>IF(OR(BG$1="",$BM21=0),"",IFERROR(LOOKUP(2,1/((Budgets!$A$2:$A$200=BG$1)*(Budgets!$B$2:$B$200&lt;EDATE($A21,1))),Budgets!$C$2:$C$200),0))</f>
        <v/>
      </c>
      <c r="BH21" s="23">
        <f>IF(OR(BH$1="",$BM21=0),"",IFERROR(LOOKUP(2,1/((Budgets!$A$2:$A$200=BH$1)*(Budgets!$B$2:$B$200&lt;EDATE($A21,1))),Budgets!$C$2:$C$200),0))</f>
        <v/>
      </c>
      <c r="BI21" s="23">
        <f>IF(OR(BI$1="",$BM21=0),"",IFERROR(LOOKUP(2,1/((Budgets!$A$2:$A$200=BI$1)*(Budgets!$B$2:$B$200&lt;EDATE($A21,1))),Budgets!$C$2:$C$200),0))</f>
        <v/>
      </c>
      <c r="BJ21" s="23">
        <f>IF(OR(BJ$1="",$BM21=0),"",IFERROR(LOOKUP(2,1/((Budgets!$A$2:$A$200=BJ$1)*(Budgets!$B$2:$B$200&lt;EDATE($A21,1))),Budgets!$C$2:$C$200),0))</f>
        <v/>
      </c>
      <c r="BK21" s="23">
        <f>IF(OR(BK$1="",$BM21=0),"",IFERROR(LOOKUP(2,1/((Budgets!$A$2:$A$200=BK$1)*(Budgets!$B$2:$B$200&lt;EDATE($A21,1))),Budgets!$C$2:$C$200),0))</f>
        <v/>
      </c>
      <c r="BM21" s="21">
        <f>COUNTIFS(Entries!$A$2:$A$5000,"&gt;="&amp;$A21,Entries!$A$2:$A$5000,"&lt;"&amp;EDATE($A21,1))</f>
        <v/>
      </c>
    </row>
    <row r="22">
      <c r="A22" s="22" t="n">
        <v>40057</v>
      </c>
      <c r="B22" s="23">
        <f>IF($BM22=0,NA(),SUMIFS(Entries!$E$2:$E$5000,Entries!$C$2:$C$5000,"Income",Entries!$A$2:$A$5000,"&gt;="&amp;$A22,Entries!$A$2:$A$5000,"&lt;"&amp;EDATE($A22,1)))</f>
        <v/>
      </c>
      <c r="C22" s="23">
        <f>IF($BM22=0,"",SUMIFS(Entries!$E$2:$E$5000,Entries!$C$2:$C$5000,"Actual",Entries!$A$2:$A$5000,"&gt;="&amp;$A22,Entries!$A$2:$A$5000,"&lt;"&amp;EDATE($A22,1)))</f>
        <v/>
      </c>
      <c r="D22" s="23">
        <f>IF($BM22=0,"",SUMIFS(Entries!$E$2:$E$5000,Entries!$C$2:$C$5000,"One-off",Entries!$A$2:$A$5000,"&gt;="&amp;$A22,Entries!$A$2:$A$5000,"&lt;"&amp;EDATE($A22,1)))</f>
        <v/>
      </c>
      <c r="E22" s="23">
        <f>IF($BM22=0,NA(),C22+D22)</f>
        <v/>
      </c>
      <c r="F22" s="23">
        <f>IF($BM22=0,"",SUM(AR22:BK22))</f>
        <v/>
      </c>
      <c r="G22" s="23">
        <f>IF($BM22=0,"",B22-E22)</f>
        <v/>
      </c>
      <c r="H22" s="23">
        <f>IF($BM22=0,"",SUM($G$2:G22))</f>
        <v/>
      </c>
      <c r="I22" s="23">
        <f>IF($BM22=0,"",SUMIFS(Entries!$G$2:$G$5000,Entries!$A$2:$A$5000,"&gt;="&amp;$A22,Entries!$A$2:$A$5000,"&lt;"&amp;EDATE($A22,1)))</f>
        <v/>
      </c>
      <c r="J22" s="23">
        <f>IF($BM22=0,NA(),H22)</f>
        <v/>
      </c>
      <c r="K22" s="23">
        <f>IF($BM22=0,"",SUMIFS(Entries!$E$2:$E$5000,Entries!$C$2:$C$5000,"Income",Entries!$A$2:$A$5000,"&gt;="&amp;EDATE($A22,-11),Entries!$A$2:$A$5000,"&lt;"&amp;EDATE($A22,1))/COUNTIFS($A$2:$A$400,"&gt;="&amp;EDATE($A22,-11),$A$2:$A$400,"&lt;"&amp;EDATE($A22,1),$BM$2:$BM$400,"&gt;0"))</f>
      </c>
      <c r="L22" s="23">
        <f>IF($BM22=0,"",(SUMIFS(Entries!$E$2:$E$5000,Entries!$C$2:$C$5000,"Actual",Entries!$A$2:$A$5000,"&gt;="&amp;EDATE($A22,-11),Entries!$A$2:$A$5000,"&lt;"&amp;EDATE($A22,1))+SUMIFS(Entries!$E$2:$E$5000,Entries!$C$2:$C$5000,"One-off",Entries!$A$2:$A$5000,"&gt;="&amp;EDATE($A22,-11),Entries!$A$2:$A$5000,"&lt;"&amp;EDATE($A22,1)))/COUNTIFS($A$2:$A$400,"&gt;="&amp;EDATE($A22,-11),$A$2:$A$400,"&lt;"&amp;EDATE($A22,1),$BM$2:$BM$400,"&gt;0"))</f>
      </c>
      <c r="M22" s="24">
        <f>IF($BM22=0,NA(),IFERROR((K22-L22)/K22,0))</f>
        <v/>
      </c>
      <c r="N22" s="23">
        <f>IF($BM22=0,NA(),SUMIFS(Entries!$E$2:$E$5000,Entries!$D$2:$D$5000,"Core",Entries!$A$2:$A$5000,"&gt;="&amp;$A22,Entries!$A$2:$A$5000,"&lt;"&amp;EDATE($A22,1)))</f>
        <v/>
      </c>
      <c r="O22" s="23">
        <f>IF($BM22=0,NA(),SUMIFS(Entries!$E$2:$E$5000,Entries!$D$2:$D$5000,"Over &amp; above",Entries!$A$2:$A$5000,"&gt;="&amp;$A22,Entries!$A$2:$A$5000,"&lt;"&amp;EDATE($A22,1)))</f>
        <v/>
      </c>
      <c r="P22" s="23">
        <f>IF($BM22=0,NA(),SUMIFS(Entries!$E$2:$E$5000,Entries!$D$2:$D$5000,"One-off",Entries!$A$2:$A$5000,"&gt;="&amp;$A22,Entries!$A$2:$A$5000,"&lt;"&amp;EDATE($A22,1)))</f>
        <v/>
      </c>
      <c r="Q22" s="23">
        <f>IF($BM22=0,NA(),SUMIFS(Entries!$E$2:$E$5000,Entries!$D$2:$D$5000,"Reimbursable",Entries!$A$2:$A$5000,"&gt;="&amp;$A22,Entries!$A$2:$A$5000,"&lt;"&amp;EDATE($A22,1)))</f>
        <v/>
      </c>
      <c r="R22" s="23">
        <f>IF($BM22=0,NA(),SUMIFS(Entries!$E$2:$E$5000,Entries!$D$2:$D$5000,"Investment",Entries!$A$2:$A$5000,"&gt;="&amp;$A22,Entries!$A$2:$A$5000,"&lt;"&amp;EDATE($A22,1)))</f>
        <v/>
      </c>
      <c r="S22" s="23">
        <f>IF($BM22=0,NA(),N22+O22)</f>
        <v/>
      </c>
      <c r="T22" s="23">
        <f>IF($BM22=0,"",E22-Q22)</f>
        <v/>
      </c>
      <c r="W22" s="23">
        <f>IF(OR(W$1="",$BM22=0),"",SUMIFS(Entries!$E$2:$E$5000,Entries!$C$2:$C$5000,"Actual",Entries!$A$2:$A$5000,"&gt;="&amp;$A22,Entries!$A$2:$A$5000,"&lt;"&amp;EDATE($A22,1),Entries!$B$2:$B$5000,W$1))</f>
        <v/>
      </c>
      <c r="X22" s="23">
        <f>IF(OR(X$1="",$BM22=0),"",SUMIFS(Entries!$E$2:$E$5000,Entries!$C$2:$C$5000,"Actual",Entries!$A$2:$A$5000,"&gt;="&amp;$A22,Entries!$A$2:$A$5000,"&lt;"&amp;EDATE($A22,1),Entries!$B$2:$B$5000,X$1))</f>
        <v/>
      </c>
      <c r="Y22" s="23">
        <f>IF(OR(Y$1="",$BM22=0),"",SUMIFS(Entries!$E$2:$E$5000,Entries!$C$2:$C$5000,"Actual",Entries!$A$2:$A$5000,"&gt;="&amp;$A22,Entries!$A$2:$A$5000,"&lt;"&amp;EDATE($A22,1),Entries!$B$2:$B$5000,Y$1))</f>
        <v/>
      </c>
      <c r="Z22" s="23">
        <f>IF(OR(Z$1="",$BM22=0),"",SUMIFS(Entries!$E$2:$E$5000,Entries!$C$2:$C$5000,"Actual",Entries!$A$2:$A$5000,"&gt;="&amp;$A22,Entries!$A$2:$A$5000,"&lt;"&amp;EDATE($A22,1),Entries!$B$2:$B$5000,Z$1))</f>
        <v/>
      </c>
      <c r="AA22" s="23">
        <f>IF(OR(AA$1="",$BM22=0),"",SUMIFS(Entries!$E$2:$E$5000,Entries!$C$2:$C$5000,"Actual",Entries!$A$2:$A$5000,"&gt;="&amp;$A22,Entries!$A$2:$A$5000,"&lt;"&amp;EDATE($A22,1),Entries!$B$2:$B$5000,AA$1))</f>
        <v/>
      </c>
      <c r="AB22" s="23">
        <f>IF(OR(AB$1="",$BM22=0),"",SUMIFS(Entries!$E$2:$E$5000,Entries!$C$2:$C$5000,"Actual",Entries!$A$2:$A$5000,"&gt;="&amp;$A22,Entries!$A$2:$A$5000,"&lt;"&amp;EDATE($A22,1),Entries!$B$2:$B$5000,AB$1))</f>
        <v/>
      </c>
      <c r="AC22" s="23">
        <f>IF(OR(AC$1="",$BM22=0),"",SUMIFS(Entries!$E$2:$E$5000,Entries!$C$2:$C$5000,"Actual",Entries!$A$2:$A$5000,"&gt;="&amp;$A22,Entries!$A$2:$A$5000,"&lt;"&amp;EDATE($A22,1),Entries!$B$2:$B$5000,AC$1))</f>
        <v/>
      </c>
      <c r="AD22" s="23">
        <f>IF(OR(AD$1="",$BM22=0),"",SUMIFS(Entries!$E$2:$E$5000,Entries!$C$2:$C$5000,"Actual",Entries!$A$2:$A$5000,"&gt;="&amp;$A22,Entries!$A$2:$A$5000,"&lt;"&amp;EDATE($A22,1),Entries!$B$2:$B$5000,AD$1))</f>
        <v/>
      </c>
      <c r="AE22" s="23">
        <f>IF(OR(AE$1="",$BM22=0),"",SUMIFS(Entries!$E$2:$E$5000,Entries!$C$2:$C$5000,"Actual",Entries!$A$2:$A$5000,"&gt;="&amp;$A22,Entries!$A$2:$A$5000,"&lt;"&amp;EDATE($A22,1),Entries!$B$2:$B$5000,AE$1))</f>
        <v/>
      </c>
      <c r="AF22" s="23">
        <f>IF(OR(AF$1="",$BM22=0),"",SUMIFS(Entries!$E$2:$E$5000,Entries!$C$2:$C$5000,"Actual",Entries!$A$2:$A$5000,"&gt;="&amp;$A22,Entries!$A$2:$A$5000,"&lt;"&amp;EDATE($A22,1),Entries!$B$2:$B$5000,AF$1))</f>
        <v/>
      </c>
      <c r="AG22" s="23">
        <f>IF(OR(AG$1="",$BM22=0),"",SUMIFS(Entries!$E$2:$E$5000,Entries!$C$2:$C$5000,"Actual",Entries!$A$2:$A$5000,"&gt;="&amp;$A22,Entries!$A$2:$A$5000,"&lt;"&amp;EDATE($A22,1),Entries!$B$2:$B$5000,AG$1))</f>
        <v/>
      </c>
      <c r="AH22" s="23">
        <f>IF(OR(AH$1="",$BM22=0),"",SUMIFS(Entries!$E$2:$E$5000,Entries!$C$2:$C$5000,"Actual",Entries!$A$2:$A$5000,"&gt;="&amp;$A22,Entries!$A$2:$A$5000,"&lt;"&amp;EDATE($A22,1),Entries!$B$2:$B$5000,AH$1))</f>
        <v/>
      </c>
      <c r="AI22" s="23">
        <f>IF(OR(AI$1="",$BM22=0),"",SUMIFS(Entries!$E$2:$E$5000,Entries!$C$2:$C$5000,"Actual",Entries!$A$2:$A$5000,"&gt;="&amp;$A22,Entries!$A$2:$A$5000,"&lt;"&amp;EDATE($A22,1),Entries!$B$2:$B$5000,AI$1))</f>
        <v/>
      </c>
      <c r="AJ22" s="23">
        <f>IF(OR(AJ$1="",$BM22=0),"",SUMIFS(Entries!$E$2:$E$5000,Entries!$C$2:$C$5000,"Actual",Entries!$A$2:$A$5000,"&gt;="&amp;$A22,Entries!$A$2:$A$5000,"&lt;"&amp;EDATE($A22,1),Entries!$B$2:$B$5000,AJ$1))</f>
        <v/>
      </c>
      <c r="AK22" s="23">
        <f>IF(OR(AK$1="",$BM22=0),"",SUMIFS(Entries!$E$2:$E$5000,Entries!$C$2:$C$5000,"Actual",Entries!$A$2:$A$5000,"&gt;="&amp;$A22,Entries!$A$2:$A$5000,"&lt;"&amp;EDATE($A22,1),Entries!$B$2:$B$5000,AK$1))</f>
        <v/>
      </c>
      <c r="AL22" s="23">
        <f>IF(OR(AL$1="",$BM22=0),"",SUMIFS(Entries!$E$2:$E$5000,Entries!$C$2:$C$5000,"Actual",Entries!$A$2:$A$5000,"&gt;="&amp;$A22,Entries!$A$2:$A$5000,"&lt;"&amp;EDATE($A22,1),Entries!$B$2:$B$5000,AL$1))</f>
        <v/>
      </c>
      <c r="AM22" s="23">
        <f>IF(OR(AM$1="",$BM22=0),"",SUMIFS(Entries!$E$2:$E$5000,Entries!$C$2:$C$5000,"Actual",Entries!$A$2:$A$5000,"&gt;="&amp;$A22,Entries!$A$2:$A$5000,"&lt;"&amp;EDATE($A22,1),Entries!$B$2:$B$5000,AM$1))</f>
        <v/>
      </c>
      <c r="AN22" s="23">
        <f>IF(OR(AN$1="",$BM22=0),"",SUMIFS(Entries!$E$2:$E$5000,Entries!$C$2:$C$5000,"Actual",Entries!$A$2:$A$5000,"&gt;="&amp;$A22,Entries!$A$2:$A$5000,"&lt;"&amp;EDATE($A22,1),Entries!$B$2:$B$5000,AN$1))</f>
        <v/>
      </c>
      <c r="AO22" s="23">
        <f>IF(OR(AO$1="",$BM22=0),"",SUMIFS(Entries!$E$2:$E$5000,Entries!$C$2:$C$5000,"Actual",Entries!$A$2:$A$5000,"&gt;="&amp;$A22,Entries!$A$2:$A$5000,"&lt;"&amp;EDATE($A22,1),Entries!$B$2:$B$5000,AO$1))</f>
        <v/>
      </c>
      <c r="AP22" s="23">
        <f>IF(OR(AP$1="",$BM22=0),"",SUMIFS(Entries!$E$2:$E$5000,Entries!$C$2:$C$5000,"Actual",Entries!$A$2:$A$5000,"&gt;="&amp;$A22,Entries!$A$2:$A$5000,"&lt;"&amp;EDATE($A22,1),Entries!$B$2:$B$5000,AP$1))</f>
        <v/>
      </c>
      <c r="AR22" s="23">
        <f>IF(OR(AR$1="",$BM22=0),"",IFERROR(LOOKUP(2,1/((Budgets!$A$2:$A$200=AR$1)*(Budgets!$B$2:$B$200&lt;EDATE($A22,1))),Budgets!$C$2:$C$200),0))</f>
        <v/>
      </c>
      <c r="AS22" s="23">
        <f>IF(OR(AS$1="",$BM22=0),"",IFERROR(LOOKUP(2,1/((Budgets!$A$2:$A$200=AS$1)*(Budgets!$B$2:$B$200&lt;EDATE($A22,1))),Budgets!$C$2:$C$200),0))</f>
        <v/>
      </c>
      <c r="AT22" s="23">
        <f>IF(OR(AT$1="",$BM22=0),"",IFERROR(LOOKUP(2,1/((Budgets!$A$2:$A$200=AT$1)*(Budgets!$B$2:$B$200&lt;EDATE($A22,1))),Budgets!$C$2:$C$200),0))</f>
        <v/>
      </c>
      <c r="AU22" s="23">
        <f>IF(OR(AU$1="",$BM22=0),"",IFERROR(LOOKUP(2,1/((Budgets!$A$2:$A$200=AU$1)*(Budgets!$B$2:$B$200&lt;EDATE($A22,1))),Budgets!$C$2:$C$200),0))</f>
        <v/>
      </c>
      <c r="AV22" s="23">
        <f>IF(OR(AV$1="",$BM22=0),"",IFERROR(LOOKUP(2,1/((Budgets!$A$2:$A$200=AV$1)*(Budgets!$B$2:$B$200&lt;EDATE($A22,1))),Budgets!$C$2:$C$200),0))</f>
        <v/>
      </c>
      <c r="AW22" s="23">
        <f>IF(OR(AW$1="",$BM22=0),"",IFERROR(LOOKUP(2,1/((Budgets!$A$2:$A$200=AW$1)*(Budgets!$B$2:$B$200&lt;EDATE($A22,1))),Budgets!$C$2:$C$200),0))</f>
        <v/>
      </c>
      <c r="AX22" s="23">
        <f>IF(OR(AX$1="",$BM22=0),"",IFERROR(LOOKUP(2,1/((Budgets!$A$2:$A$200=AX$1)*(Budgets!$B$2:$B$200&lt;EDATE($A22,1))),Budgets!$C$2:$C$200),0))</f>
        <v/>
      </c>
      <c r="AY22" s="23">
        <f>IF(OR(AY$1="",$BM22=0),"",IFERROR(LOOKUP(2,1/((Budgets!$A$2:$A$200=AY$1)*(Budgets!$B$2:$B$200&lt;EDATE($A22,1))),Budgets!$C$2:$C$200),0))</f>
        <v/>
      </c>
      <c r="AZ22" s="23">
        <f>IF(OR(AZ$1="",$BM22=0),"",IFERROR(LOOKUP(2,1/((Budgets!$A$2:$A$200=AZ$1)*(Budgets!$B$2:$B$200&lt;EDATE($A22,1))),Budgets!$C$2:$C$200),0))</f>
        <v/>
      </c>
      <c r="BA22" s="23">
        <f>IF(OR(BA$1="",$BM22=0),"",IFERROR(LOOKUP(2,1/((Budgets!$A$2:$A$200=BA$1)*(Budgets!$B$2:$B$200&lt;EDATE($A22,1))),Budgets!$C$2:$C$200),0))</f>
        <v/>
      </c>
      <c r="BB22" s="23">
        <f>IF(OR(BB$1="",$BM22=0),"",IFERROR(LOOKUP(2,1/((Budgets!$A$2:$A$200=BB$1)*(Budgets!$B$2:$B$200&lt;EDATE($A22,1))),Budgets!$C$2:$C$200),0))</f>
        <v/>
      </c>
      <c r="BC22" s="23">
        <f>IF(OR(BC$1="",$BM22=0),"",IFERROR(LOOKUP(2,1/((Budgets!$A$2:$A$200=BC$1)*(Budgets!$B$2:$B$200&lt;EDATE($A22,1))),Budgets!$C$2:$C$200),0))</f>
        <v/>
      </c>
      <c r="BD22" s="23">
        <f>IF(OR(BD$1="",$BM22=0),"",IFERROR(LOOKUP(2,1/((Budgets!$A$2:$A$200=BD$1)*(Budgets!$B$2:$B$200&lt;EDATE($A22,1))),Budgets!$C$2:$C$200),0))</f>
        <v/>
      </c>
      <c r="BE22" s="23">
        <f>IF(OR(BE$1="",$BM22=0),"",IFERROR(LOOKUP(2,1/((Budgets!$A$2:$A$200=BE$1)*(Budgets!$B$2:$B$200&lt;EDATE($A22,1))),Budgets!$C$2:$C$200),0))</f>
        <v/>
      </c>
      <c r="BF22" s="23">
        <f>IF(OR(BF$1="",$BM22=0),"",IFERROR(LOOKUP(2,1/((Budgets!$A$2:$A$200=BF$1)*(Budgets!$B$2:$B$200&lt;EDATE($A22,1))),Budgets!$C$2:$C$200),0))</f>
        <v/>
      </c>
      <c r="BG22" s="23">
        <f>IF(OR(BG$1="",$BM22=0),"",IFERROR(LOOKUP(2,1/((Budgets!$A$2:$A$200=BG$1)*(Budgets!$B$2:$B$200&lt;EDATE($A22,1))),Budgets!$C$2:$C$200),0))</f>
        <v/>
      </c>
      <c r="BH22" s="23">
        <f>IF(OR(BH$1="",$BM22=0),"",IFERROR(LOOKUP(2,1/((Budgets!$A$2:$A$200=BH$1)*(Budgets!$B$2:$B$200&lt;EDATE($A22,1))),Budgets!$C$2:$C$200),0))</f>
        <v/>
      </c>
      <c r="BI22" s="23">
        <f>IF(OR(BI$1="",$BM22=0),"",IFERROR(LOOKUP(2,1/((Budgets!$A$2:$A$200=BI$1)*(Budgets!$B$2:$B$200&lt;EDATE($A22,1))),Budgets!$C$2:$C$200),0))</f>
        <v/>
      </c>
      <c r="BJ22" s="23">
        <f>IF(OR(BJ$1="",$BM22=0),"",IFERROR(LOOKUP(2,1/((Budgets!$A$2:$A$200=BJ$1)*(Budgets!$B$2:$B$200&lt;EDATE($A22,1))),Budgets!$C$2:$C$200),0))</f>
        <v/>
      </c>
      <c r="BK22" s="23">
        <f>IF(OR(BK$1="",$BM22=0),"",IFERROR(LOOKUP(2,1/((Budgets!$A$2:$A$200=BK$1)*(Budgets!$B$2:$B$200&lt;EDATE($A22,1))),Budgets!$C$2:$C$200),0))</f>
        <v/>
      </c>
      <c r="BM22" s="21">
        <f>COUNTIFS(Entries!$A$2:$A$5000,"&gt;="&amp;$A22,Entries!$A$2:$A$5000,"&lt;"&amp;EDATE($A22,1))</f>
        <v/>
      </c>
    </row>
    <row r="23">
      <c r="A23" s="22" t="n">
        <v>40087</v>
      </c>
      <c r="B23" s="23">
        <f>IF($BM23=0,NA(),SUMIFS(Entries!$E$2:$E$5000,Entries!$C$2:$C$5000,"Income",Entries!$A$2:$A$5000,"&gt;="&amp;$A23,Entries!$A$2:$A$5000,"&lt;"&amp;EDATE($A23,1)))</f>
        <v/>
      </c>
      <c r="C23" s="23">
        <f>IF($BM23=0,"",SUMIFS(Entries!$E$2:$E$5000,Entries!$C$2:$C$5000,"Actual",Entries!$A$2:$A$5000,"&gt;="&amp;$A23,Entries!$A$2:$A$5000,"&lt;"&amp;EDATE($A23,1)))</f>
        <v/>
      </c>
      <c r="D23" s="23">
        <f>IF($BM23=0,"",SUMIFS(Entries!$E$2:$E$5000,Entries!$C$2:$C$5000,"One-off",Entries!$A$2:$A$5000,"&gt;="&amp;$A23,Entries!$A$2:$A$5000,"&lt;"&amp;EDATE($A23,1)))</f>
        <v/>
      </c>
      <c r="E23" s="23">
        <f>IF($BM23=0,NA(),C23+D23)</f>
        <v/>
      </c>
      <c r="F23" s="23">
        <f>IF($BM23=0,"",SUM(AR23:BK23))</f>
        <v/>
      </c>
      <c r="G23" s="23">
        <f>IF($BM23=0,"",B23-E23)</f>
        <v/>
      </c>
      <c r="H23" s="23">
        <f>IF($BM23=0,"",SUM($G$2:G23))</f>
        <v/>
      </c>
      <c r="I23" s="23">
        <f>IF($BM23=0,"",SUMIFS(Entries!$G$2:$G$5000,Entries!$A$2:$A$5000,"&gt;="&amp;$A23,Entries!$A$2:$A$5000,"&lt;"&amp;EDATE($A23,1)))</f>
        <v/>
      </c>
      <c r="J23" s="23">
        <f>IF($BM23=0,NA(),H23)</f>
        <v/>
      </c>
      <c r="K23" s="23">
        <f>IF($BM23=0,"",SUMIFS(Entries!$E$2:$E$5000,Entries!$C$2:$C$5000,"Income",Entries!$A$2:$A$5000,"&gt;="&amp;EDATE($A23,-11),Entries!$A$2:$A$5000,"&lt;"&amp;EDATE($A23,1))/COUNTIFS($A$2:$A$400,"&gt;="&amp;EDATE($A23,-11),$A$2:$A$400,"&lt;"&amp;EDATE($A23,1),$BM$2:$BM$400,"&gt;0"))</f>
      </c>
      <c r="L23" s="23">
        <f>IF($BM23=0,"",(SUMIFS(Entries!$E$2:$E$5000,Entries!$C$2:$C$5000,"Actual",Entries!$A$2:$A$5000,"&gt;="&amp;EDATE($A23,-11),Entries!$A$2:$A$5000,"&lt;"&amp;EDATE($A23,1))+SUMIFS(Entries!$E$2:$E$5000,Entries!$C$2:$C$5000,"One-off",Entries!$A$2:$A$5000,"&gt;="&amp;EDATE($A23,-11),Entries!$A$2:$A$5000,"&lt;"&amp;EDATE($A23,1)))/COUNTIFS($A$2:$A$400,"&gt;="&amp;EDATE($A23,-11),$A$2:$A$400,"&lt;"&amp;EDATE($A23,1),$BM$2:$BM$400,"&gt;0"))</f>
      </c>
      <c r="M23" s="24">
        <f>IF($BM23=0,NA(),IFERROR((K23-L23)/K23,0))</f>
        <v/>
      </c>
      <c r="N23" s="23">
        <f>IF($BM23=0,NA(),SUMIFS(Entries!$E$2:$E$5000,Entries!$D$2:$D$5000,"Core",Entries!$A$2:$A$5000,"&gt;="&amp;$A23,Entries!$A$2:$A$5000,"&lt;"&amp;EDATE($A23,1)))</f>
        <v/>
      </c>
      <c r="O23" s="23">
        <f>IF($BM23=0,NA(),SUMIFS(Entries!$E$2:$E$5000,Entries!$D$2:$D$5000,"Over &amp; above",Entries!$A$2:$A$5000,"&gt;="&amp;$A23,Entries!$A$2:$A$5000,"&lt;"&amp;EDATE($A23,1)))</f>
        <v/>
      </c>
      <c r="P23" s="23">
        <f>IF($BM23=0,NA(),SUMIFS(Entries!$E$2:$E$5000,Entries!$D$2:$D$5000,"One-off",Entries!$A$2:$A$5000,"&gt;="&amp;$A23,Entries!$A$2:$A$5000,"&lt;"&amp;EDATE($A23,1)))</f>
        <v/>
      </c>
      <c r="Q23" s="23">
        <f>IF($BM23=0,NA(),SUMIFS(Entries!$E$2:$E$5000,Entries!$D$2:$D$5000,"Reimbursable",Entries!$A$2:$A$5000,"&gt;="&amp;$A23,Entries!$A$2:$A$5000,"&lt;"&amp;EDATE($A23,1)))</f>
        <v/>
      </c>
      <c r="R23" s="23">
        <f>IF($BM23=0,NA(),SUMIFS(Entries!$E$2:$E$5000,Entries!$D$2:$D$5000,"Investment",Entries!$A$2:$A$5000,"&gt;="&amp;$A23,Entries!$A$2:$A$5000,"&lt;"&amp;EDATE($A23,1)))</f>
        <v/>
      </c>
      <c r="S23" s="23">
        <f>IF($BM23=0,NA(),N23+O23)</f>
        <v/>
      </c>
      <c r="T23" s="23">
        <f>IF($BM23=0,"",E23-Q23)</f>
        <v/>
      </c>
      <c r="W23" s="23">
        <f>IF(OR(W$1="",$BM23=0),"",SUMIFS(Entries!$E$2:$E$5000,Entries!$C$2:$C$5000,"Actual",Entries!$A$2:$A$5000,"&gt;="&amp;$A23,Entries!$A$2:$A$5000,"&lt;"&amp;EDATE($A23,1),Entries!$B$2:$B$5000,W$1))</f>
        <v/>
      </c>
      <c r="X23" s="23">
        <f>IF(OR(X$1="",$BM23=0),"",SUMIFS(Entries!$E$2:$E$5000,Entries!$C$2:$C$5000,"Actual",Entries!$A$2:$A$5000,"&gt;="&amp;$A23,Entries!$A$2:$A$5000,"&lt;"&amp;EDATE($A23,1),Entries!$B$2:$B$5000,X$1))</f>
        <v/>
      </c>
      <c r="Y23" s="23">
        <f>IF(OR(Y$1="",$BM23=0),"",SUMIFS(Entries!$E$2:$E$5000,Entries!$C$2:$C$5000,"Actual",Entries!$A$2:$A$5000,"&gt;="&amp;$A23,Entries!$A$2:$A$5000,"&lt;"&amp;EDATE($A23,1),Entries!$B$2:$B$5000,Y$1))</f>
        <v/>
      </c>
      <c r="Z23" s="23">
        <f>IF(OR(Z$1="",$BM23=0),"",SUMIFS(Entries!$E$2:$E$5000,Entries!$C$2:$C$5000,"Actual",Entries!$A$2:$A$5000,"&gt;="&amp;$A23,Entries!$A$2:$A$5000,"&lt;"&amp;EDATE($A23,1),Entries!$B$2:$B$5000,Z$1))</f>
        <v/>
      </c>
      <c r="AA23" s="23">
        <f>IF(OR(AA$1="",$BM23=0),"",SUMIFS(Entries!$E$2:$E$5000,Entries!$C$2:$C$5000,"Actual",Entries!$A$2:$A$5000,"&gt;="&amp;$A23,Entries!$A$2:$A$5000,"&lt;"&amp;EDATE($A23,1),Entries!$B$2:$B$5000,AA$1))</f>
        <v/>
      </c>
      <c r="AB23" s="23">
        <f>IF(OR(AB$1="",$BM23=0),"",SUMIFS(Entries!$E$2:$E$5000,Entries!$C$2:$C$5000,"Actual",Entries!$A$2:$A$5000,"&gt;="&amp;$A23,Entries!$A$2:$A$5000,"&lt;"&amp;EDATE($A23,1),Entries!$B$2:$B$5000,AB$1))</f>
        <v/>
      </c>
      <c r="AC23" s="23">
        <f>IF(OR(AC$1="",$BM23=0),"",SUMIFS(Entries!$E$2:$E$5000,Entries!$C$2:$C$5000,"Actual",Entries!$A$2:$A$5000,"&gt;="&amp;$A23,Entries!$A$2:$A$5000,"&lt;"&amp;EDATE($A23,1),Entries!$B$2:$B$5000,AC$1))</f>
        <v/>
      </c>
      <c r="AD23" s="23">
        <f>IF(OR(AD$1="",$BM23=0),"",SUMIFS(Entries!$E$2:$E$5000,Entries!$C$2:$C$5000,"Actual",Entries!$A$2:$A$5000,"&gt;="&amp;$A23,Entries!$A$2:$A$5000,"&lt;"&amp;EDATE($A23,1),Entries!$B$2:$B$5000,AD$1))</f>
        <v/>
      </c>
      <c r="AE23" s="23">
        <f>IF(OR(AE$1="",$BM23=0),"",SUMIFS(Entries!$E$2:$E$5000,Entries!$C$2:$C$5000,"Actual",Entries!$A$2:$A$5000,"&gt;="&amp;$A23,Entries!$A$2:$A$5000,"&lt;"&amp;EDATE($A23,1),Entries!$B$2:$B$5000,AE$1))</f>
        <v/>
      </c>
      <c r="AF23" s="23">
        <f>IF(OR(AF$1="",$BM23=0),"",SUMIFS(Entries!$E$2:$E$5000,Entries!$C$2:$C$5000,"Actual",Entries!$A$2:$A$5000,"&gt;="&amp;$A23,Entries!$A$2:$A$5000,"&lt;"&amp;EDATE($A23,1),Entries!$B$2:$B$5000,AF$1))</f>
        <v/>
      </c>
      <c r="AG23" s="23">
        <f>IF(OR(AG$1="",$BM23=0),"",SUMIFS(Entries!$E$2:$E$5000,Entries!$C$2:$C$5000,"Actual",Entries!$A$2:$A$5000,"&gt;="&amp;$A23,Entries!$A$2:$A$5000,"&lt;"&amp;EDATE($A23,1),Entries!$B$2:$B$5000,AG$1))</f>
        <v/>
      </c>
      <c r="AH23" s="23">
        <f>IF(OR(AH$1="",$BM23=0),"",SUMIFS(Entries!$E$2:$E$5000,Entries!$C$2:$C$5000,"Actual",Entries!$A$2:$A$5000,"&gt;="&amp;$A23,Entries!$A$2:$A$5000,"&lt;"&amp;EDATE($A23,1),Entries!$B$2:$B$5000,AH$1))</f>
        <v/>
      </c>
      <c r="AI23" s="23">
        <f>IF(OR(AI$1="",$BM23=0),"",SUMIFS(Entries!$E$2:$E$5000,Entries!$C$2:$C$5000,"Actual",Entries!$A$2:$A$5000,"&gt;="&amp;$A23,Entries!$A$2:$A$5000,"&lt;"&amp;EDATE($A23,1),Entries!$B$2:$B$5000,AI$1))</f>
        <v/>
      </c>
      <c r="AJ23" s="23">
        <f>IF(OR(AJ$1="",$BM23=0),"",SUMIFS(Entries!$E$2:$E$5000,Entries!$C$2:$C$5000,"Actual",Entries!$A$2:$A$5000,"&gt;="&amp;$A23,Entries!$A$2:$A$5000,"&lt;"&amp;EDATE($A23,1),Entries!$B$2:$B$5000,AJ$1))</f>
        <v/>
      </c>
      <c r="AK23" s="23">
        <f>IF(OR(AK$1="",$BM23=0),"",SUMIFS(Entries!$E$2:$E$5000,Entries!$C$2:$C$5000,"Actual",Entries!$A$2:$A$5000,"&gt;="&amp;$A23,Entries!$A$2:$A$5000,"&lt;"&amp;EDATE($A23,1),Entries!$B$2:$B$5000,AK$1))</f>
        <v/>
      </c>
      <c r="AL23" s="23">
        <f>IF(OR(AL$1="",$BM23=0),"",SUMIFS(Entries!$E$2:$E$5000,Entries!$C$2:$C$5000,"Actual",Entries!$A$2:$A$5000,"&gt;="&amp;$A23,Entries!$A$2:$A$5000,"&lt;"&amp;EDATE($A23,1),Entries!$B$2:$B$5000,AL$1))</f>
        <v/>
      </c>
      <c r="AM23" s="23">
        <f>IF(OR(AM$1="",$BM23=0),"",SUMIFS(Entries!$E$2:$E$5000,Entries!$C$2:$C$5000,"Actual",Entries!$A$2:$A$5000,"&gt;="&amp;$A23,Entries!$A$2:$A$5000,"&lt;"&amp;EDATE($A23,1),Entries!$B$2:$B$5000,AM$1))</f>
        <v/>
      </c>
      <c r="AN23" s="23">
        <f>IF(OR(AN$1="",$BM23=0),"",SUMIFS(Entries!$E$2:$E$5000,Entries!$C$2:$C$5000,"Actual",Entries!$A$2:$A$5000,"&gt;="&amp;$A23,Entries!$A$2:$A$5000,"&lt;"&amp;EDATE($A23,1),Entries!$B$2:$B$5000,AN$1))</f>
        <v/>
      </c>
      <c r="AO23" s="23">
        <f>IF(OR(AO$1="",$BM23=0),"",SUMIFS(Entries!$E$2:$E$5000,Entries!$C$2:$C$5000,"Actual",Entries!$A$2:$A$5000,"&gt;="&amp;$A23,Entries!$A$2:$A$5000,"&lt;"&amp;EDATE($A23,1),Entries!$B$2:$B$5000,AO$1))</f>
        <v/>
      </c>
      <c r="AP23" s="23">
        <f>IF(OR(AP$1="",$BM23=0),"",SUMIFS(Entries!$E$2:$E$5000,Entries!$C$2:$C$5000,"Actual",Entries!$A$2:$A$5000,"&gt;="&amp;$A23,Entries!$A$2:$A$5000,"&lt;"&amp;EDATE($A23,1),Entries!$B$2:$B$5000,AP$1))</f>
        <v/>
      </c>
      <c r="AR23" s="23">
        <f>IF(OR(AR$1="",$BM23=0),"",IFERROR(LOOKUP(2,1/((Budgets!$A$2:$A$200=AR$1)*(Budgets!$B$2:$B$200&lt;EDATE($A23,1))),Budgets!$C$2:$C$200),0))</f>
        <v/>
      </c>
      <c r="AS23" s="23">
        <f>IF(OR(AS$1="",$BM23=0),"",IFERROR(LOOKUP(2,1/((Budgets!$A$2:$A$200=AS$1)*(Budgets!$B$2:$B$200&lt;EDATE($A23,1))),Budgets!$C$2:$C$200),0))</f>
        <v/>
      </c>
      <c r="AT23" s="23">
        <f>IF(OR(AT$1="",$BM23=0),"",IFERROR(LOOKUP(2,1/((Budgets!$A$2:$A$200=AT$1)*(Budgets!$B$2:$B$200&lt;EDATE($A23,1))),Budgets!$C$2:$C$200),0))</f>
        <v/>
      </c>
      <c r="AU23" s="23">
        <f>IF(OR(AU$1="",$BM23=0),"",IFERROR(LOOKUP(2,1/((Budgets!$A$2:$A$200=AU$1)*(Budgets!$B$2:$B$200&lt;EDATE($A23,1))),Budgets!$C$2:$C$200),0))</f>
        <v/>
      </c>
      <c r="AV23" s="23">
        <f>IF(OR(AV$1="",$BM23=0),"",IFERROR(LOOKUP(2,1/((Budgets!$A$2:$A$200=AV$1)*(Budgets!$B$2:$B$200&lt;EDATE($A23,1))),Budgets!$C$2:$C$200),0))</f>
        <v/>
      </c>
      <c r="AW23" s="23">
        <f>IF(OR(AW$1="",$BM23=0),"",IFERROR(LOOKUP(2,1/((Budgets!$A$2:$A$200=AW$1)*(Budgets!$B$2:$B$200&lt;EDATE($A23,1))),Budgets!$C$2:$C$200),0))</f>
        <v/>
      </c>
      <c r="AX23" s="23">
        <f>IF(OR(AX$1="",$BM23=0),"",IFERROR(LOOKUP(2,1/((Budgets!$A$2:$A$200=AX$1)*(Budgets!$B$2:$B$200&lt;EDATE($A23,1))),Budgets!$C$2:$C$200),0))</f>
        <v/>
      </c>
      <c r="AY23" s="23">
        <f>IF(OR(AY$1="",$BM23=0),"",IFERROR(LOOKUP(2,1/((Budgets!$A$2:$A$200=AY$1)*(Budgets!$B$2:$B$200&lt;EDATE($A23,1))),Budgets!$C$2:$C$200),0))</f>
        <v/>
      </c>
      <c r="AZ23" s="23">
        <f>IF(OR(AZ$1="",$BM23=0),"",IFERROR(LOOKUP(2,1/((Budgets!$A$2:$A$200=AZ$1)*(Budgets!$B$2:$B$200&lt;EDATE($A23,1))),Budgets!$C$2:$C$200),0))</f>
        <v/>
      </c>
      <c r="BA23" s="23">
        <f>IF(OR(BA$1="",$BM23=0),"",IFERROR(LOOKUP(2,1/((Budgets!$A$2:$A$200=BA$1)*(Budgets!$B$2:$B$200&lt;EDATE($A23,1))),Budgets!$C$2:$C$200),0))</f>
        <v/>
      </c>
      <c r="BB23" s="23">
        <f>IF(OR(BB$1="",$BM23=0),"",IFERROR(LOOKUP(2,1/((Budgets!$A$2:$A$200=BB$1)*(Budgets!$B$2:$B$200&lt;EDATE($A23,1))),Budgets!$C$2:$C$200),0))</f>
        <v/>
      </c>
      <c r="BC23" s="23">
        <f>IF(OR(BC$1="",$BM23=0),"",IFERROR(LOOKUP(2,1/((Budgets!$A$2:$A$200=BC$1)*(Budgets!$B$2:$B$200&lt;EDATE($A23,1))),Budgets!$C$2:$C$200),0))</f>
        <v/>
      </c>
      <c r="BD23" s="23">
        <f>IF(OR(BD$1="",$BM23=0),"",IFERROR(LOOKUP(2,1/((Budgets!$A$2:$A$200=BD$1)*(Budgets!$B$2:$B$200&lt;EDATE($A23,1))),Budgets!$C$2:$C$200),0))</f>
        <v/>
      </c>
      <c r="BE23" s="23">
        <f>IF(OR(BE$1="",$BM23=0),"",IFERROR(LOOKUP(2,1/((Budgets!$A$2:$A$200=BE$1)*(Budgets!$B$2:$B$200&lt;EDATE($A23,1))),Budgets!$C$2:$C$200),0))</f>
        <v/>
      </c>
      <c r="BF23" s="23">
        <f>IF(OR(BF$1="",$BM23=0),"",IFERROR(LOOKUP(2,1/((Budgets!$A$2:$A$200=BF$1)*(Budgets!$B$2:$B$200&lt;EDATE($A23,1))),Budgets!$C$2:$C$200),0))</f>
        <v/>
      </c>
      <c r="BG23" s="23">
        <f>IF(OR(BG$1="",$BM23=0),"",IFERROR(LOOKUP(2,1/((Budgets!$A$2:$A$200=BG$1)*(Budgets!$B$2:$B$200&lt;EDATE($A23,1))),Budgets!$C$2:$C$200),0))</f>
        <v/>
      </c>
      <c r="BH23" s="23">
        <f>IF(OR(BH$1="",$BM23=0),"",IFERROR(LOOKUP(2,1/((Budgets!$A$2:$A$200=BH$1)*(Budgets!$B$2:$B$200&lt;EDATE($A23,1))),Budgets!$C$2:$C$200),0))</f>
        <v/>
      </c>
      <c r="BI23" s="23">
        <f>IF(OR(BI$1="",$BM23=0),"",IFERROR(LOOKUP(2,1/((Budgets!$A$2:$A$200=BI$1)*(Budgets!$B$2:$B$200&lt;EDATE($A23,1))),Budgets!$C$2:$C$200),0))</f>
        <v/>
      </c>
      <c r="BJ23" s="23">
        <f>IF(OR(BJ$1="",$BM23=0),"",IFERROR(LOOKUP(2,1/((Budgets!$A$2:$A$200=BJ$1)*(Budgets!$B$2:$B$200&lt;EDATE($A23,1))),Budgets!$C$2:$C$200),0))</f>
        <v/>
      </c>
      <c r="BK23" s="23">
        <f>IF(OR(BK$1="",$BM23=0),"",IFERROR(LOOKUP(2,1/((Budgets!$A$2:$A$200=BK$1)*(Budgets!$B$2:$B$200&lt;EDATE($A23,1))),Budgets!$C$2:$C$200),0))</f>
        <v/>
      </c>
      <c r="BM23" s="21">
        <f>COUNTIFS(Entries!$A$2:$A$5000,"&gt;="&amp;$A23,Entries!$A$2:$A$5000,"&lt;"&amp;EDATE($A23,1))</f>
        <v/>
      </c>
    </row>
    <row r="24">
      <c r="A24" s="22" t="n">
        <v>40118</v>
      </c>
      <c r="B24" s="23">
        <f>IF($BM24=0,NA(),SUMIFS(Entries!$E$2:$E$5000,Entries!$C$2:$C$5000,"Income",Entries!$A$2:$A$5000,"&gt;="&amp;$A24,Entries!$A$2:$A$5000,"&lt;"&amp;EDATE($A24,1)))</f>
        <v/>
      </c>
      <c r="C24" s="23">
        <f>IF($BM24=0,"",SUMIFS(Entries!$E$2:$E$5000,Entries!$C$2:$C$5000,"Actual",Entries!$A$2:$A$5000,"&gt;="&amp;$A24,Entries!$A$2:$A$5000,"&lt;"&amp;EDATE($A24,1)))</f>
        <v/>
      </c>
      <c r="D24" s="23">
        <f>IF($BM24=0,"",SUMIFS(Entries!$E$2:$E$5000,Entries!$C$2:$C$5000,"One-off",Entries!$A$2:$A$5000,"&gt;="&amp;$A24,Entries!$A$2:$A$5000,"&lt;"&amp;EDATE($A24,1)))</f>
        <v/>
      </c>
      <c r="E24" s="23">
        <f>IF($BM24=0,NA(),C24+D24)</f>
        <v/>
      </c>
      <c r="F24" s="23">
        <f>IF($BM24=0,"",SUM(AR24:BK24))</f>
        <v/>
      </c>
      <c r="G24" s="23">
        <f>IF($BM24=0,"",B24-E24)</f>
        <v/>
      </c>
      <c r="H24" s="23">
        <f>IF($BM24=0,"",SUM($G$2:G24))</f>
        <v/>
      </c>
      <c r="I24" s="23">
        <f>IF($BM24=0,"",SUMIFS(Entries!$G$2:$G$5000,Entries!$A$2:$A$5000,"&gt;="&amp;$A24,Entries!$A$2:$A$5000,"&lt;"&amp;EDATE($A24,1)))</f>
        <v/>
      </c>
      <c r="J24" s="23">
        <f>IF($BM24=0,NA(),H24)</f>
        <v/>
      </c>
      <c r="K24" s="23">
        <f>IF($BM24=0,"",SUMIFS(Entries!$E$2:$E$5000,Entries!$C$2:$C$5000,"Income",Entries!$A$2:$A$5000,"&gt;="&amp;EDATE($A24,-11),Entries!$A$2:$A$5000,"&lt;"&amp;EDATE($A24,1))/COUNTIFS($A$2:$A$400,"&gt;="&amp;EDATE($A24,-11),$A$2:$A$400,"&lt;"&amp;EDATE($A24,1),$BM$2:$BM$400,"&gt;0"))</f>
      </c>
      <c r="L24" s="23">
        <f>IF($BM24=0,"",(SUMIFS(Entries!$E$2:$E$5000,Entries!$C$2:$C$5000,"Actual",Entries!$A$2:$A$5000,"&gt;="&amp;EDATE($A24,-11),Entries!$A$2:$A$5000,"&lt;"&amp;EDATE($A24,1))+SUMIFS(Entries!$E$2:$E$5000,Entries!$C$2:$C$5000,"One-off",Entries!$A$2:$A$5000,"&gt;="&amp;EDATE($A24,-11),Entries!$A$2:$A$5000,"&lt;"&amp;EDATE($A24,1)))/COUNTIFS($A$2:$A$400,"&gt;="&amp;EDATE($A24,-11),$A$2:$A$400,"&lt;"&amp;EDATE($A24,1),$BM$2:$BM$400,"&gt;0"))</f>
      </c>
      <c r="M24" s="24">
        <f>IF($BM24=0,NA(),IFERROR((K24-L24)/K24,0))</f>
        <v/>
      </c>
      <c r="N24" s="23">
        <f>IF($BM24=0,NA(),SUMIFS(Entries!$E$2:$E$5000,Entries!$D$2:$D$5000,"Core",Entries!$A$2:$A$5000,"&gt;="&amp;$A24,Entries!$A$2:$A$5000,"&lt;"&amp;EDATE($A24,1)))</f>
        <v/>
      </c>
      <c r="O24" s="23">
        <f>IF($BM24=0,NA(),SUMIFS(Entries!$E$2:$E$5000,Entries!$D$2:$D$5000,"Over &amp; above",Entries!$A$2:$A$5000,"&gt;="&amp;$A24,Entries!$A$2:$A$5000,"&lt;"&amp;EDATE($A24,1)))</f>
        <v/>
      </c>
      <c r="P24" s="23">
        <f>IF($BM24=0,NA(),SUMIFS(Entries!$E$2:$E$5000,Entries!$D$2:$D$5000,"One-off",Entries!$A$2:$A$5000,"&gt;="&amp;$A24,Entries!$A$2:$A$5000,"&lt;"&amp;EDATE($A24,1)))</f>
        <v/>
      </c>
      <c r="Q24" s="23">
        <f>IF($BM24=0,NA(),SUMIFS(Entries!$E$2:$E$5000,Entries!$D$2:$D$5000,"Reimbursable",Entries!$A$2:$A$5000,"&gt;="&amp;$A24,Entries!$A$2:$A$5000,"&lt;"&amp;EDATE($A24,1)))</f>
        <v/>
      </c>
      <c r="R24" s="23">
        <f>IF($BM24=0,NA(),SUMIFS(Entries!$E$2:$E$5000,Entries!$D$2:$D$5000,"Investment",Entries!$A$2:$A$5000,"&gt;="&amp;$A24,Entries!$A$2:$A$5000,"&lt;"&amp;EDATE($A24,1)))</f>
        <v/>
      </c>
      <c r="S24" s="23">
        <f>IF($BM24=0,NA(),N24+O24)</f>
        <v/>
      </c>
      <c r="T24" s="23">
        <f>IF($BM24=0,"",E24-Q24)</f>
        <v/>
      </c>
      <c r="W24" s="23">
        <f>IF(OR(W$1="",$BM24=0),"",SUMIFS(Entries!$E$2:$E$5000,Entries!$C$2:$C$5000,"Actual",Entries!$A$2:$A$5000,"&gt;="&amp;$A24,Entries!$A$2:$A$5000,"&lt;"&amp;EDATE($A24,1),Entries!$B$2:$B$5000,W$1))</f>
        <v/>
      </c>
      <c r="X24" s="23">
        <f>IF(OR(X$1="",$BM24=0),"",SUMIFS(Entries!$E$2:$E$5000,Entries!$C$2:$C$5000,"Actual",Entries!$A$2:$A$5000,"&gt;="&amp;$A24,Entries!$A$2:$A$5000,"&lt;"&amp;EDATE($A24,1),Entries!$B$2:$B$5000,X$1))</f>
        <v/>
      </c>
      <c r="Y24" s="23">
        <f>IF(OR(Y$1="",$BM24=0),"",SUMIFS(Entries!$E$2:$E$5000,Entries!$C$2:$C$5000,"Actual",Entries!$A$2:$A$5000,"&gt;="&amp;$A24,Entries!$A$2:$A$5000,"&lt;"&amp;EDATE($A24,1),Entries!$B$2:$B$5000,Y$1))</f>
        <v/>
      </c>
      <c r="Z24" s="23">
        <f>IF(OR(Z$1="",$BM24=0),"",SUMIFS(Entries!$E$2:$E$5000,Entries!$C$2:$C$5000,"Actual",Entries!$A$2:$A$5000,"&gt;="&amp;$A24,Entries!$A$2:$A$5000,"&lt;"&amp;EDATE($A24,1),Entries!$B$2:$B$5000,Z$1))</f>
        <v/>
      </c>
      <c r="AA24" s="23">
        <f>IF(OR(AA$1="",$BM24=0),"",SUMIFS(Entries!$E$2:$E$5000,Entries!$C$2:$C$5000,"Actual",Entries!$A$2:$A$5000,"&gt;="&amp;$A24,Entries!$A$2:$A$5000,"&lt;"&amp;EDATE($A24,1),Entries!$B$2:$B$5000,AA$1))</f>
        <v/>
      </c>
      <c r="AB24" s="23">
        <f>IF(OR(AB$1="",$BM24=0),"",SUMIFS(Entries!$E$2:$E$5000,Entries!$C$2:$C$5000,"Actual",Entries!$A$2:$A$5000,"&gt;="&amp;$A24,Entries!$A$2:$A$5000,"&lt;"&amp;EDATE($A24,1),Entries!$B$2:$B$5000,AB$1))</f>
        <v/>
      </c>
      <c r="AC24" s="23">
        <f>IF(OR(AC$1="",$BM24=0),"",SUMIFS(Entries!$E$2:$E$5000,Entries!$C$2:$C$5000,"Actual",Entries!$A$2:$A$5000,"&gt;="&amp;$A24,Entries!$A$2:$A$5000,"&lt;"&amp;EDATE($A24,1),Entries!$B$2:$B$5000,AC$1))</f>
        <v/>
      </c>
      <c r="AD24" s="23">
        <f>IF(OR(AD$1="",$BM24=0),"",SUMIFS(Entries!$E$2:$E$5000,Entries!$C$2:$C$5000,"Actual",Entries!$A$2:$A$5000,"&gt;="&amp;$A24,Entries!$A$2:$A$5000,"&lt;"&amp;EDATE($A24,1),Entries!$B$2:$B$5000,AD$1))</f>
        <v/>
      </c>
      <c r="AE24" s="23">
        <f>IF(OR(AE$1="",$BM24=0),"",SUMIFS(Entries!$E$2:$E$5000,Entries!$C$2:$C$5000,"Actual",Entries!$A$2:$A$5000,"&gt;="&amp;$A24,Entries!$A$2:$A$5000,"&lt;"&amp;EDATE($A24,1),Entries!$B$2:$B$5000,AE$1))</f>
        <v/>
      </c>
      <c r="AF24" s="23">
        <f>IF(OR(AF$1="",$BM24=0),"",SUMIFS(Entries!$E$2:$E$5000,Entries!$C$2:$C$5000,"Actual",Entries!$A$2:$A$5000,"&gt;="&amp;$A24,Entries!$A$2:$A$5000,"&lt;"&amp;EDATE($A24,1),Entries!$B$2:$B$5000,AF$1))</f>
        <v/>
      </c>
      <c r="AG24" s="23">
        <f>IF(OR(AG$1="",$BM24=0),"",SUMIFS(Entries!$E$2:$E$5000,Entries!$C$2:$C$5000,"Actual",Entries!$A$2:$A$5000,"&gt;="&amp;$A24,Entries!$A$2:$A$5000,"&lt;"&amp;EDATE($A24,1),Entries!$B$2:$B$5000,AG$1))</f>
        <v/>
      </c>
      <c r="AH24" s="23">
        <f>IF(OR(AH$1="",$BM24=0),"",SUMIFS(Entries!$E$2:$E$5000,Entries!$C$2:$C$5000,"Actual",Entries!$A$2:$A$5000,"&gt;="&amp;$A24,Entries!$A$2:$A$5000,"&lt;"&amp;EDATE($A24,1),Entries!$B$2:$B$5000,AH$1))</f>
        <v/>
      </c>
      <c r="AI24" s="23">
        <f>IF(OR(AI$1="",$BM24=0),"",SUMIFS(Entries!$E$2:$E$5000,Entries!$C$2:$C$5000,"Actual",Entries!$A$2:$A$5000,"&gt;="&amp;$A24,Entries!$A$2:$A$5000,"&lt;"&amp;EDATE($A24,1),Entries!$B$2:$B$5000,AI$1))</f>
        <v/>
      </c>
      <c r="AJ24" s="23">
        <f>IF(OR(AJ$1="",$BM24=0),"",SUMIFS(Entries!$E$2:$E$5000,Entries!$C$2:$C$5000,"Actual",Entries!$A$2:$A$5000,"&gt;="&amp;$A24,Entries!$A$2:$A$5000,"&lt;"&amp;EDATE($A24,1),Entries!$B$2:$B$5000,AJ$1))</f>
        <v/>
      </c>
      <c r="AK24" s="23">
        <f>IF(OR(AK$1="",$BM24=0),"",SUMIFS(Entries!$E$2:$E$5000,Entries!$C$2:$C$5000,"Actual",Entries!$A$2:$A$5000,"&gt;="&amp;$A24,Entries!$A$2:$A$5000,"&lt;"&amp;EDATE($A24,1),Entries!$B$2:$B$5000,AK$1))</f>
        <v/>
      </c>
      <c r="AL24" s="23">
        <f>IF(OR(AL$1="",$BM24=0),"",SUMIFS(Entries!$E$2:$E$5000,Entries!$C$2:$C$5000,"Actual",Entries!$A$2:$A$5000,"&gt;="&amp;$A24,Entries!$A$2:$A$5000,"&lt;"&amp;EDATE($A24,1),Entries!$B$2:$B$5000,AL$1))</f>
        <v/>
      </c>
      <c r="AM24" s="23">
        <f>IF(OR(AM$1="",$BM24=0),"",SUMIFS(Entries!$E$2:$E$5000,Entries!$C$2:$C$5000,"Actual",Entries!$A$2:$A$5000,"&gt;="&amp;$A24,Entries!$A$2:$A$5000,"&lt;"&amp;EDATE($A24,1),Entries!$B$2:$B$5000,AM$1))</f>
        <v/>
      </c>
      <c r="AN24" s="23">
        <f>IF(OR(AN$1="",$BM24=0),"",SUMIFS(Entries!$E$2:$E$5000,Entries!$C$2:$C$5000,"Actual",Entries!$A$2:$A$5000,"&gt;="&amp;$A24,Entries!$A$2:$A$5000,"&lt;"&amp;EDATE($A24,1),Entries!$B$2:$B$5000,AN$1))</f>
        <v/>
      </c>
      <c r="AO24" s="23">
        <f>IF(OR(AO$1="",$BM24=0),"",SUMIFS(Entries!$E$2:$E$5000,Entries!$C$2:$C$5000,"Actual",Entries!$A$2:$A$5000,"&gt;="&amp;$A24,Entries!$A$2:$A$5000,"&lt;"&amp;EDATE($A24,1),Entries!$B$2:$B$5000,AO$1))</f>
        <v/>
      </c>
      <c r="AP24" s="23">
        <f>IF(OR(AP$1="",$BM24=0),"",SUMIFS(Entries!$E$2:$E$5000,Entries!$C$2:$C$5000,"Actual",Entries!$A$2:$A$5000,"&gt;="&amp;$A24,Entries!$A$2:$A$5000,"&lt;"&amp;EDATE($A24,1),Entries!$B$2:$B$5000,AP$1))</f>
        <v/>
      </c>
      <c r="AR24" s="23">
        <f>IF(OR(AR$1="",$BM24=0),"",IFERROR(LOOKUP(2,1/((Budgets!$A$2:$A$200=AR$1)*(Budgets!$B$2:$B$200&lt;EDATE($A24,1))),Budgets!$C$2:$C$200),0))</f>
        <v/>
      </c>
      <c r="AS24" s="23">
        <f>IF(OR(AS$1="",$BM24=0),"",IFERROR(LOOKUP(2,1/((Budgets!$A$2:$A$200=AS$1)*(Budgets!$B$2:$B$200&lt;EDATE($A24,1))),Budgets!$C$2:$C$200),0))</f>
        <v/>
      </c>
      <c r="AT24" s="23">
        <f>IF(OR(AT$1="",$BM24=0),"",IFERROR(LOOKUP(2,1/((Budgets!$A$2:$A$200=AT$1)*(Budgets!$B$2:$B$200&lt;EDATE($A24,1))),Budgets!$C$2:$C$200),0))</f>
        <v/>
      </c>
      <c r="AU24" s="23">
        <f>IF(OR(AU$1="",$BM24=0),"",IFERROR(LOOKUP(2,1/((Budgets!$A$2:$A$200=AU$1)*(Budgets!$B$2:$B$200&lt;EDATE($A24,1))),Budgets!$C$2:$C$200),0))</f>
        <v/>
      </c>
      <c r="AV24" s="23">
        <f>IF(OR(AV$1="",$BM24=0),"",IFERROR(LOOKUP(2,1/((Budgets!$A$2:$A$200=AV$1)*(Budgets!$B$2:$B$200&lt;EDATE($A24,1))),Budgets!$C$2:$C$200),0))</f>
        <v/>
      </c>
      <c r="AW24" s="23">
        <f>IF(OR(AW$1="",$BM24=0),"",IFERROR(LOOKUP(2,1/((Budgets!$A$2:$A$200=AW$1)*(Budgets!$B$2:$B$200&lt;EDATE($A24,1))),Budgets!$C$2:$C$200),0))</f>
        <v/>
      </c>
      <c r="AX24" s="23">
        <f>IF(OR(AX$1="",$BM24=0),"",IFERROR(LOOKUP(2,1/((Budgets!$A$2:$A$200=AX$1)*(Budgets!$B$2:$B$200&lt;EDATE($A24,1))),Budgets!$C$2:$C$200),0))</f>
        <v/>
      </c>
      <c r="AY24" s="23">
        <f>IF(OR(AY$1="",$BM24=0),"",IFERROR(LOOKUP(2,1/((Budgets!$A$2:$A$200=AY$1)*(Budgets!$B$2:$B$200&lt;EDATE($A24,1))),Budgets!$C$2:$C$200),0))</f>
        <v/>
      </c>
      <c r="AZ24" s="23">
        <f>IF(OR(AZ$1="",$BM24=0),"",IFERROR(LOOKUP(2,1/((Budgets!$A$2:$A$200=AZ$1)*(Budgets!$B$2:$B$200&lt;EDATE($A24,1))),Budgets!$C$2:$C$200),0))</f>
        <v/>
      </c>
      <c r="BA24" s="23">
        <f>IF(OR(BA$1="",$BM24=0),"",IFERROR(LOOKUP(2,1/((Budgets!$A$2:$A$200=BA$1)*(Budgets!$B$2:$B$200&lt;EDATE($A24,1))),Budgets!$C$2:$C$200),0))</f>
        <v/>
      </c>
      <c r="BB24" s="23">
        <f>IF(OR(BB$1="",$BM24=0),"",IFERROR(LOOKUP(2,1/((Budgets!$A$2:$A$200=BB$1)*(Budgets!$B$2:$B$200&lt;EDATE($A24,1))),Budgets!$C$2:$C$200),0))</f>
        <v/>
      </c>
      <c r="BC24" s="23">
        <f>IF(OR(BC$1="",$BM24=0),"",IFERROR(LOOKUP(2,1/((Budgets!$A$2:$A$200=BC$1)*(Budgets!$B$2:$B$200&lt;EDATE($A24,1))),Budgets!$C$2:$C$200),0))</f>
        <v/>
      </c>
      <c r="BD24" s="23">
        <f>IF(OR(BD$1="",$BM24=0),"",IFERROR(LOOKUP(2,1/((Budgets!$A$2:$A$200=BD$1)*(Budgets!$B$2:$B$200&lt;EDATE($A24,1))),Budgets!$C$2:$C$200),0))</f>
        <v/>
      </c>
      <c r="BE24" s="23">
        <f>IF(OR(BE$1="",$BM24=0),"",IFERROR(LOOKUP(2,1/((Budgets!$A$2:$A$200=BE$1)*(Budgets!$B$2:$B$200&lt;EDATE($A24,1))),Budgets!$C$2:$C$200),0))</f>
        <v/>
      </c>
      <c r="BF24" s="23">
        <f>IF(OR(BF$1="",$BM24=0),"",IFERROR(LOOKUP(2,1/((Budgets!$A$2:$A$200=BF$1)*(Budgets!$B$2:$B$200&lt;EDATE($A24,1))),Budgets!$C$2:$C$200),0))</f>
        <v/>
      </c>
      <c r="BG24" s="23">
        <f>IF(OR(BG$1="",$BM24=0),"",IFERROR(LOOKUP(2,1/((Budgets!$A$2:$A$200=BG$1)*(Budgets!$B$2:$B$200&lt;EDATE($A24,1))),Budgets!$C$2:$C$200),0))</f>
        <v/>
      </c>
      <c r="BH24" s="23">
        <f>IF(OR(BH$1="",$BM24=0),"",IFERROR(LOOKUP(2,1/((Budgets!$A$2:$A$200=BH$1)*(Budgets!$B$2:$B$200&lt;EDATE($A24,1))),Budgets!$C$2:$C$200),0))</f>
        <v/>
      </c>
      <c r="BI24" s="23">
        <f>IF(OR(BI$1="",$BM24=0),"",IFERROR(LOOKUP(2,1/((Budgets!$A$2:$A$200=BI$1)*(Budgets!$B$2:$B$200&lt;EDATE($A24,1))),Budgets!$C$2:$C$200),0))</f>
        <v/>
      </c>
      <c r="BJ24" s="23">
        <f>IF(OR(BJ$1="",$BM24=0),"",IFERROR(LOOKUP(2,1/((Budgets!$A$2:$A$200=BJ$1)*(Budgets!$B$2:$B$200&lt;EDATE($A24,1))),Budgets!$C$2:$C$200),0))</f>
        <v/>
      </c>
      <c r="BK24" s="23">
        <f>IF(OR(BK$1="",$BM24=0),"",IFERROR(LOOKUP(2,1/((Budgets!$A$2:$A$200=BK$1)*(Budgets!$B$2:$B$200&lt;EDATE($A24,1))),Budgets!$C$2:$C$200),0))</f>
        <v/>
      </c>
      <c r="BM24" s="21">
        <f>COUNTIFS(Entries!$A$2:$A$5000,"&gt;="&amp;$A24,Entries!$A$2:$A$5000,"&lt;"&amp;EDATE($A24,1))</f>
        <v/>
      </c>
    </row>
    <row r="25">
      <c r="A25" s="22" t="n">
        <v>40148</v>
      </c>
      <c r="B25" s="23">
        <f>IF($BM25=0,NA(),SUMIFS(Entries!$E$2:$E$5000,Entries!$C$2:$C$5000,"Income",Entries!$A$2:$A$5000,"&gt;="&amp;$A25,Entries!$A$2:$A$5000,"&lt;"&amp;EDATE($A25,1)))</f>
        <v/>
      </c>
      <c r="C25" s="23">
        <f>IF($BM25=0,"",SUMIFS(Entries!$E$2:$E$5000,Entries!$C$2:$C$5000,"Actual",Entries!$A$2:$A$5000,"&gt;="&amp;$A25,Entries!$A$2:$A$5000,"&lt;"&amp;EDATE($A25,1)))</f>
        <v/>
      </c>
      <c r="D25" s="23">
        <f>IF($BM25=0,"",SUMIFS(Entries!$E$2:$E$5000,Entries!$C$2:$C$5000,"One-off",Entries!$A$2:$A$5000,"&gt;="&amp;$A25,Entries!$A$2:$A$5000,"&lt;"&amp;EDATE($A25,1)))</f>
        <v/>
      </c>
      <c r="E25" s="23">
        <f>IF($BM25=0,NA(),C25+D25)</f>
        <v/>
      </c>
      <c r="F25" s="23">
        <f>IF($BM25=0,"",SUM(AR25:BK25))</f>
        <v/>
      </c>
      <c r="G25" s="23">
        <f>IF($BM25=0,"",B25-E25)</f>
        <v/>
      </c>
      <c r="H25" s="23">
        <f>IF($BM25=0,"",SUM($G$2:G25))</f>
        <v/>
      </c>
      <c r="I25" s="23">
        <f>IF($BM25=0,"",SUMIFS(Entries!$G$2:$G$5000,Entries!$A$2:$A$5000,"&gt;="&amp;$A25,Entries!$A$2:$A$5000,"&lt;"&amp;EDATE($A25,1)))</f>
        <v/>
      </c>
      <c r="J25" s="23">
        <f>IF($BM25=0,NA(),H25)</f>
        <v/>
      </c>
      <c r="K25" s="23">
        <f>IF($BM25=0,"",SUMIFS(Entries!$E$2:$E$5000,Entries!$C$2:$C$5000,"Income",Entries!$A$2:$A$5000,"&gt;="&amp;EDATE($A25,-11),Entries!$A$2:$A$5000,"&lt;"&amp;EDATE($A25,1))/COUNTIFS($A$2:$A$400,"&gt;="&amp;EDATE($A25,-11),$A$2:$A$400,"&lt;"&amp;EDATE($A25,1),$BM$2:$BM$400,"&gt;0"))</f>
      </c>
      <c r="L25" s="23">
        <f>IF($BM25=0,"",(SUMIFS(Entries!$E$2:$E$5000,Entries!$C$2:$C$5000,"Actual",Entries!$A$2:$A$5000,"&gt;="&amp;EDATE($A25,-11),Entries!$A$2:$A$5000,"&lt;"&amp;EDATE($A25,1))+SUMIFS(Entries!$E$2:$E$5000,Entries!$C$2:$C$5000,"One-off",Entries!$A$2:$A$5000,"&gt;="&amp;EDATE($A25,-11),Entries!$A$2:$A$5000,"&lt;"&amp;EDATE($A25,1)))/COUNTIFS($A$2:$A$400,"&gt;="&amp;EDATE($A25,-11),$A$2:$A$400,"&lt;"&amp;EDATE($A25,1),$BM$2:$BM$400,"&gt;0"))</f>
      </c>
      <c r="M25" s="24">
        <f>IF($BM25=0,NA(),IFERROR((K25-L25)/K25,0))</f>
        <v/>
      </c>
      <c r="N25" s="23">
        <f>IF($BM25=0,NA(),SUMIFS(Entries!$E$2:$E$5000,Entries!$D$2:$D$5000,"Core",Entries!$A$2:$A$5000,"&gt;="&amp;$A25,Entries!$A$2:$A$5000,"&lt;"&amp;EDATE($A25,1)))</f>
        <v/>
      </c>
      <c r="O25" s="23">
        <f>IF($BM25=0,NA(),SUMIFS(Entries!$E$2:$E$5000,Entries!$D$2:$D$5000,"Over &amp; above",Entries!$A$2:$A$5000,"&gt;="&amp;$A25,Entries!$A$2:$A$5000,"&lt;"&amp;EDATE($A25,1)))</f>
        <v/>
      </c>
      <c r="P25" s="23">
        <f>IF($BM25=0,NA(),SUMIFS(Entries!$E$2:$E$5000,Entries!$D$2:$D$5000,"One-off",Entries!$A$2:$A$5000,"&gt;="&amp;$A25,Entries!$A$2:$A$5000,"&lt;"&amp;EDATE($A25,1)))</f>
        <v/>
      </c>
      <c r="Q25" s="23">
        <f>IF($BM25=0,NA(),SUMIFS(Entries!$E$2:$E$5000,Entries!$D$2:$D$5000,"Reimbursable",Entries!$A$2:$A$5000,"&gt;="&amp;$A25,Entries!$A$2:$A$5000,"&lt;"&amp;EDATE($A25,1)))</f>
        <v/>
      </c>
      <c r="R25" s="23">
        <f>IF($BM25=0,NA(),SUMIFS(Entries!$E$2:$E$5000,Entries!$D$2:$D$5000,"Investment",Entries!$A$2:$A$5000,"&gt;="&amp;$A25,Entries!$A$2:$A$5000,"&lt;"&amp;EDATE($A25,1)))</f>
        <v/>
      </c>
      <c r="S25" s="23">
        <f>IF($BM25=0,NA(),N25+O25)</f>
        <v/>
      </c>
      <c r="T25" s="23">
        <f>IF($BM25=0,"",E25-Q25)</f>
        <v/>
      </c>
      <c r="W25" s="23">
        <f>IF(OR(W$1="",$BM25=0),"",SUMIFS(Entries!$E$2:$E$5000,Entries!$C$2:$C$5000,"Actual",Entries!$A$2:$A$5000,"&gt;="&amp;$A25,Entries!$A$2:$A$5000,"&lt;"&amp;EDATE($A25,1),Entries!$B$2:$B$5000,W$1))</f>
        <v/>
      </c>
      <c r="X25" s="23">
        <f>IF(OR(X$1="",$BM25=0),"",SUMIFS(Entries!$E$2:$E$5000,Entries!$C$2:$C$5000,"Actual",Entries!$A$2:$A$5000,"&gt;="&amp;$A25,Entries!$A$2:$A$5000,"&lt;"&amp;EDATE($A25,1),Entries!$B$2:$B$5000,X$1))</f>
        <v/>
      </c>
      <c r="Y25" s="23">
        <f>IF(OR(Y$1="",$BM25=0),"",SUMIFS(Entries!$E$2:$E$5000,Entries!$C$2:$C$5000,"Actual",Entries!$A$2:$A$5000,"&gt;="&amp;$A25,Entries!$A$2:$A$5000,"&lt;"&amp;EDATE($A25,1),Entries!$B$2:$B$5000,Y$1))</f>
        <v/>
      </c>
      <c r="Z25" s="23">
        <f>IF(OR(Z$1="",$BM25=0),"",SUMIFS(Entries!$E$2:$E$5000,Entries!$C$2:$C$5000,"Actual",Entries!$A$2:$A$5000,"&gt;="&amp;$A25,Entries!$A$2:$A$5000,"&lt;"&amp;EDATE($A25,1),Entries!$B$2:$B$5000,Z$1))</f>
        <v/>
      </c>
      <c r="AA25" s="23">
        <f>IF(OR(AA$1="",$BM25=0),"",SUMIFS(Entries!$E$2:$E$5000,Entries!$C$2:$C$5000,"Actual",Entries!$A$2:$A$5000,"&gt;="&amp;$A25,Entries!$A$2:$A$5000,"&lt;"&amp;EDATE($A25,1),Entries!$B$2:$B$5000,AA$1))</f>
        <v/>
      </c>
      <c r="AB25" s="23">
        <f>IF(OR(AB$1="",$BM25=0),"",SUMIFS(Entries!$E$2:$E$5000,Entries!$C$2:$C$5000,"Actual",Entries!$A$2:$A$5000,"&gt;="&amp;$A25,Entries!$A$2:$A$5000,"&lt;"&amp;EDATE($A25,1),Entries!$B$2:$B$5000,AB$1))</f>
        <v/>
      </c>
      <c r="AC25" s="23">
        <f>IF(OR(AC$1="",$BM25=0),"",SUMIFS(Entries!$E$2:$E$5000,Entries!$C$2:$C$5000,"Actual",Entries!$A$2:$A$5000,"&gt;="&amp;$A25,Entries!$A$2:$A$5000,"&lt;"&amp;EDATE($A25,1),Entries!$B$2:$B$5000,AC$1))</f>
        <v/>
      </c>
      <c r="AD25" s="23">
        <f>IF(OR(AD$1="",$BM25=0),"",SUMIFS(Entries!$E$2:$E$5000,Entries!$C$2:$C$5000,"Actual",Entries!$A$2:$A$5000,"&gt;="&amp;$A25,Entries!$A$2:$A$5000,"&lt;"&amp;EDATE($A25,1),Entries!$B$2:$B$5000,AD$1))</f>
        <v/>
      </c>
      <c r="AE25" s="23">
        <f>IF(OR(AE$1="",$BM25=0),"",SUMIFS(Entries!$E$2:$E$5000,Entries!$C$2:$C$5000,"Actual",Entries!$A$2:$A$5000,"&gt;="&amp;$A25,Entries!$A$2:$A$5000,"&lt;"&amp;EDATE($A25,1),Entries!$B$2:$B$5000,AE$1))</f>
        <v/>
      </c>
      <c r="AF25" s="23">
        <f>IF(OR(AF$1="",$BM25=0),"",SUMIFS(Entries!$E$2:$E$5000,Entries!$C$2:$C$5000,"Actual",Entries!$A$2:$A$5000,"&gt;="&amp;$A25,Entries!$A$2:$A$5000,"&lt;"&amp;EDATE($A25,1),Entries!$B$2:$B$5000,AF$1))</f>
        <v/>
      </c>
      <c r="AG25" s="23">
        <f>IF(OR(AG$1="",$BM25=0),"",SUMIFS(Entries!$E$2:$E$5000,Entries!$C$2:$C$5000,"Actual",Entries!$A$2:$A$5000,"&gt;="&amp;$A25,Entries!$A$2:$A$5000,"&lt;"&amp;EDATE($A25,1),Entries!$B$2:$B$5000,AG$1))</f>
        <v/>
      </c>
      <c r="AH25" s="23">
        <f>IF(OR(AH$1="",$BM25=0),"",SUMIFS(Entries!$E$2:$E$5000,Entries!$C$2:$C$5000,"Actual",Entries!$A$2:$A$5000,"&gt;="&amp;$A25,Entries!$A$2:$A$5000,"&lt;"&amp;EDATE($A25,1),Entries!$B$2:$B$5000,AH$1))</f>
        <v/>
      </c>
      <c r="AI25" s="23">
        <f>IF(OR(AI$1="",$BM25=0),"",SUMIFS(Entries!$E$2:$E$5000,Entries!$C$2:$C$5000,"Actual",Entries!$A$2:$A$5000,"&gt;="&amp;$A25,Entries!$A$2:$A$5000,"&lt;"&amp;EDATE($A25,1),Entries!$B$2:$B$5000,AI$1))</f>
        <v/>
      </c>
      <c r="AJ25" s="23">
        <f>IF(OR(AJ$1="",$BM25=0),"",SUMIFS(Entries!$E$2:$E$5000,Entries!$C$2:$C$5000,"Actual",Entries!$A$2:$A$5000,"&gt;="&amp;$A25,Entries!$A$2:$A$5000,"&lt;"&amp;EDATE($A25,1),Entries!$B$2:$B$5000,AJ$1))</f>
        <v/>
      </c>
      <c r="AK25" s="23">
        <f>IF(OR(AK$1="",$BM25=0),"",SUMIFS(Entries!$E$2:$E$5000,Entries!$C$2:$C$5000,"Actual",Entries!$A$2:$A$5000,"&gt;="&amp;$A25,Entries!$A$2:$A$5000,"&lt;"&amp;EDATE($A25,1),Entries!$B$2:$B$5000,AK$1))</f>
        <v/>
      </c>
      <c r="AL25" s="23">
        <f>IF(OR(AL$1="",$BM25=0),"",SUMIFS(Entries!$E$2:$E$5000,Entries!$C$2:$C$5000,"Actual",Entries!$A$2:$A$5000,"&gt;="&amp;$A25,Entries!$A$2:$A$5000,"&lt;"&amp;EDATE($A25,1),Entries!$B$2:$B$5000,AL$1))</f>
        <v/>
      </c>
      <c r="AM25" s="23">
        <f>IF(OR(AM$1="",$BM25=0),"",SUMIFS(Entries!$E$2:$E$5000,Entries!$C$2:$C$5000,"Actual",Entries!$A$2:$A$5000,"&gt;="&amp;$A25,Entries!$A$2:$A$5000,"&lt;"&amp;EDATE($A25,1),Entries!$B$2:$B$5000,AM$1))</f>
        <v/>
      </c>
      <c r="AN25" s="23">
        <f>IF(OR(AN$1="",$BM25=0),"",SUMIFS(Entries!$E$2:$E$5000,Entries!$C$2:$C$5000,"Actual",Entries!$A$2:$A$5000,"&gt;="&amp;$A25,Entries!$A$2:$A$5000,"&lt;"&amp;EDATE($A25,1),Entries!$B$2:$B$5000,AN$1))</f>
        <v/>
      </c>
      <c r="AO25" s="23">
        <f>IF(OR(AO$1="",$BM25=0),"",SUMIFS(Entries!$E$2:$E$5000,Entries!$C$2:$C$5000,"Actual",Entries!$A$2:$A$5000,"&gt;="&amp;$A25,Entries!$A$2:$A$5000,"&lt;"&amp;EDATE($A25,1),Entries!$B$2:$B$5000,AO$1))</f>
        <v/>
      </c>
      <c r="AP25" s="23">
        <f>IF(OR(AP$1="",$BM25=0),"",SUMIFS(Entries!$E$2:$E$5000,Entries!$C$2:$C$5000,"Actual",Entries!$A$2:$A$5000,"&gt;="&amp;$A25,Entries!$A$2:$A$5000,"&lt;"&amp;EDATE($A25,1),Entries!$B$2:$B$5000,AP$1))</f>
        <v/>
      </c>
      <c r="AR25" s="23">
        <f>IF(OR(AR$1="",$BM25=0),"",IFERROR(LOOKUP(2,1/((Budgets!$A$2:$A$200=AR$1)*(Budgets!$B$2:$B$200&lt;EDATE($A25,1))),Budgets!$C$2:$C$200),0))</f>
        <v/>
      </c>
      <c r="AS25" s="23">
        <f>IF(OR(AS$1="",$BM25=0),"",IFERROR(LOOKUP(2,1/((Budgets!$A$2:$A$200=AS$1)*(Budgets!$B$2:$B$200&lt;EDATE($A25,1))),Budgets!$C$2:$C$200),0))</f>
        <v/>
      </c>
      <c r="AT25" s="23">
        <f>IF(OR(AT$1="",$BM25=0),"",IFERROR(LOOKUP(2,1/((Budgets!$A$2:$A$200=AT$1)*(Budgets!$B$2:$B$200&lt;EDATE($A25,1))),Budgets!$C$2:$C$200),0))</f>
        <v/>
      </c>
      <c r="AU25" s="23">
        <f>IF(OR(AU$1="",$BM25=0),"",IFERROR(LOOKUP(2,1/((Budgets!$A$2:$A$200=AU$1)*(Budgets!$B$2:$B$200&lt;EDATE($A25,1))),Budgets!$C$2:$C$200),0))</f>
        <v/>
      </c>
      <c r="AV25" s="23">
        <f>IF(OR(AV$1="",$BM25=0),"",IFERROR(LOOKUP(2,1/((Budgets!$A$2:$A$200=AV$1)*(Budgets!$B$2:$B$200&lt;EDATE($A25,1))),Budgets!$C$2:$C$200),0))</f>
        <v/>
      </c>
      <c r="AW25" s="23">
        <f>IF(OR(AW$1="",$BM25=0),"",IFERROR(LOOKUP(2,1/((Budgets!$A$2:$A$200=AW$1)*(Budgets!$B$2:$B$200&lt;EDATE($A25,1))),Budgets!$C$2:$C$200),0))</f>
        <v/>
      </c>
      <c r="AX25" s="23">
        <f>IF(OR(AX$1="",$BM25=0),"",IFERROR(LOOKUP(2,1/((Budgets!$A$2:$A$200=AX$1)*(Budgets!$B$2:$B$200&lt;EDATE($A25,1))),Budgets!$C$2:$C$200),0))</f>
        <v/>
      </c>
      <c r="AY25" s="23">
        <f>IF(OR(AY$1="",$BM25=0),"",IFERROR(LOOKUP(2,1/((Budgets!$A$2:$A$200=AY$1)*(Budgets!$B$2:$B$200&lt;EDATE($A25,1))),Budgets!$C$2:$C$200),0))</f>
        <v/>
      </c>
      <c r="AZ25" s="23">
        <f>IF(OR(AZ$1="",$BM25=0),"",IFERROR(LOOKUP(2,1/((Budgets!$A$2:$A$200=AZ$1)*(Budgets!$B$2:$B$200&lt;EDATE($A25,1))),Budgets!$C$2:$C$200),0))</f>
        <v/>
      </c>
      <c r="BA25" s="23">
        <f>IF(OR(BA$1="",$BM25=0),"",IFERROR(LOOKUP(2,1/((Budgets!$A$2:$A$200=BA$1)*(Budgets!$B$2:$B$200&lt;EDATE($A25,1))),Budgets!$C$2:$C$200),0))</f>
        <v/>
      </c>
      <c r="BB25" s="23">
        <f>IF(OR(BB$1="",$BM25=0),"",IFERROR(LOOKUP(2,1/((Budgets!$A$2:$A$200=BB$1)*(Budgets!$B$2:$B$200&lt;EDATE($A25,1))),Budgets!$C$2:$C$200),0))</f>
        <v/>
      </c>
      <c r="BC25" s="23">
        <f>IF(OR(BC$1="",$BM25=0),"",IFERROR(LOOKUP(2,1/((Budgets!$A$2:$A$200=BC$1)*(Budgets!$B$2:$B$200&lt;EDATE($A25,1))),Budgets!$C$2:$C$200),0))</f>
        <v/>
      </c>
      <c r="BD25" s="23">
        <f>IF(OR(BD$1="",$BM25=0),"",IFERROR(LOOKUP(2,1/((Budgets!$A$2:$A$200=BD$1)*(Budgets!$B$2:$B$200&lt;EDATE($A25,1))),Budgets!$C$2:$C$200),0))</f>
        <v/>
      </c>
      <c r="BE25" s="23">
        <f>IF(OR(BE$1="",$BM25=0),"",IFERROR(LOOKUP(2,1/((Budgets!$A$2:$A$200=BE$1)*(Budgets!$B$2:$B$200&lt;EDATE($A25,1))),Budgets!$C$2:$C$200),0))</f>
        <v/>
      </c>
      <c r="BF25" s="23">
        <f>IF(OR(BF$1="",$BM25=0),"",IFERROR(LOOKUP(2,1/((Budgets!$A$2:$A$200=BF$1)*(Budgets!$B$2:$B$200&lt;EDATE($A25,1))),Budgets!$C$2:$C$200),0))</f>
        <v/>
      </c>
      <c r="BG25" s="23">
        <f>IF(OR(BG$1="",$BM25=0),"",IFERROR(LOOKUP(2,1/((Budgets!$A$2:$A$200=BG$1)*(Budgets!$B$2:$B$200&lt;EDATE($A25,1))),Budgets!$C$2:$C$200),0))</f>
        <v/>
      </c>
      <c r="BH25" s="23">
        <f>IF(OR(BH$1="",$BM25=0),"",IFERROR(LOOKUP(2,1/((Budgets!$A$2:$A$200=BH$1)*(Budgets!$B$2:$B$200&lt;EDATE($A25,1))),Budgets!$C$2:$C$200),0))</f>
        <v/>
      </c>
      <c r="BI25" s="23">
        <f>IF(OR(BI$1="",$BM25=0),"",IFERROR(LOOKUP(2,1/((Budgets!$A$2:$A$200=BI$1)*(Budgets!$B$2:$B$200&lt;EDATE($A25,1))),Budgets!$C$2:$C$200),0))</f>
        <v/>
      </c>
      <c r="BJ25" s="23">
        <f>IF(OR(BJ$1="",$BM25=0),"",IFERROR(LOOKUP(2,1/((Budgets!$A$2:$A$200=BJ$1)*(Budgets!$B$2:$B$200&lt;EDATE($A25,1))),Budgets!$C$2:$C$200),0))</f>
        <v/>
      </c>
      <c r="BK25" s="23">
        <f>IF(OR(BK$1="",$BM25=0),"",IFERROR(LOOKUP(2,1/((Budgets!$A$2:$A$200=BK$1)*(Budgets!$B$2:$B$200&lt;EDATE($A25,1))),Budgets!$C$2:$C$200),0))</f>
        <v/>
      </c>
      <c r="BM25" s="21">
        <f>COUNTIFS(Entries!$A$2:$A$5000,"&gt;="&amp;$A25,Entries!$A$2:$A$5000,"&lt;"&amp;EDATE($A25,1))</f>
        <v/>
      </c>
    </row>
    <row r="26">
      <c r="A26" s="22" t="n">
        <v>40179</v>
      </c>
      <c r="B26" s="23">
        <f>IF($BM26=0,NA(),SUMIFS(Entries!$E$2:$E$5000,Entries!$C$2:$C$5000,"Income",Entries!$A$2:$A$5000,"&gt;="&amp;$A26,Entries!$A$2:$A$5000,"&lt;"&amp;EDATE($A26,1)))</f>
        <v/>
      </c>
      <c r="C26" s="23">
        <f>IF($BM26=0,"",SUMIFS(Entries!$E$2:$E$5000,Entries!$C$2:$C$5000,"Actual",Entries!$A$2:$A$5000,"&gt;="&amp;$A26,Entries!$A$2:$A$5000,"&lt;"&amp;EDATE($A26,1)))</f>
        <v/>
      </c>
      <c r="D26" s="23">
        <f>IF($BM26=0,"",SUMIFS(Entries!$E$2:$E$5000,Entries!$C$2:$C$5000,"One-off",Entries!$A$2:$A$5000,"&gt;="&amp;$A26,Entries!$A$2:$A$5000,"&lt;"&amp;EDATE($A26,1)))</f>
        <v/>
      </c>
      <c r="E26" s="23">
        <f>IF($BM26=0,NA(),C26+D26)</f>
        <v/>
      </c>
      <c r="F26" s="23">
        <f>IF($BM26=0,"",SUM(AR26:BK26))</f>
        <v/>
      </c>
      <c r="G26" s="23">
        <f>IF($BM26=0,"",B26-E26)</f>
        <v/>
      </c>
      <c r="H26" s="23">
        <f>IF($BM26=0,"",SUM($G$2:G26))</f>
        <v/>
      </c>
      <c r="I26" s="23">
        <f>IF($BM26=0,"",SUMIFS(Entries!$G$2:$G$5000,Entries!$A$2:$A$5000,"&gt;="&amp;$A26,Entries!$A$2:$A$5000,"&lt;"&amp;EDATE($A26,1)))</f>
        <v/>
      </c>
      <c r="J26" s="23">
        <f>IF($BM26=0,NA(),H26)</f>
        <v/>
      </c>
      <c r="K26" s="23">
        <f>IF($BM26=0,"",SUMIFS(Entries!$E$2:$E$5000,Entries!$C$2:$C$5000,"Income",Entries!$A$2:$A$5000,"&gt;="&amp;EDATE($A26,-11),Entries!$A$2:$A$5000,"&lt;"&amp;EDATE($A26,1))/COUNTIFS($A$2:$A$400,"&gt;="&amp;EDATE($A26,-11),$A$2:$A$400,"&lt;"&amp;EDATE($A26,1),$BM$2:$BM$400,"&gt;0"))</f>
      </c>
      <c r="L26" s="23">
        <f>IF($BM26=0,"",(SUMIFS(Entries!$E$2:$E$5000,Entries!$C$2:$C$5000,"Actual",Entries!$A$2:$A$5000,"&gt;="&amp;EDATE($A26,-11),Entries!$A$2:$A$5000,"&lt;"&amp;EDATE($A26,1))+SUMIFS(Entries!$E$2:$E$5000,Entries!$C$2:$C$5000,"One-off",Entries!$A$2:$A$5000,"&gt;="&amp;EDATE($A26,-11),Entries!$A$2:$A$5000,"&lt;"&amp;EDATE($A26,1)))/COUNTIFS($A$2:$A$400,"&gt;="&amp;EDATE($A26,-11),$A$2:$A$400,"&lt;"&amp;EDATE($A26,1),$BM$2:$BM$400,"&gt;0"))</f>
      </c>
      <c r="M26" s="24">
        <f>IF($BM26=0,NA(),IFERROR((K26-L26)/K26,0))</f>
        <v/>
      </c>
      <c r="N26" s="23">
        <f>IF($BM26=0,NA(),SUMIFS(Entries!$E$2:$E$5000,Entries!$D$2:$D$5000,"Core",Entries!$A$2:$A$5000,"&gt;="&amp;$A26,Entries!$A$2:$A$5000,"&lt;"&amp;EDATE($A26,1)))</f>
        <v/>
      </c>
      <c r="O26" s="23">
        <f>IF($BM26=0,NA(),SUMIFS(Entries!$E$2:$E$5000,Entries!$D$2:$D$5000,"Over &amp; above",Entries!$A$2:$A$5000,"&gt;="&amp;$A26,Entries!$A$2:$A$5000,"&lt;"&amp;EDATE($A26,1)))</f>
        <v/>
      </c>
      <c r="P26" s="23">
        <f>IF($BM26=0,NA(),SUMIFS(Entries!$E$2:$E$5000,Entries!$D$2:$D$5000,"One-off",Entries!$A$2:$A$5000,"&gt;="&amp;$A26,Entries!$A$2:$A$5000,"&lt;"&amp;EDATE($A26,1)))</f>
        <v/>
      </c>
      <c r="Q26" s="23">
        <f>IF($BM26=0,NA(),SUMIFS(Entries!$E$2:$E$5000,Entries!$D$2:$D$5000,"Reimbursable",Entries!$A$2:$A$5000,"&gt;="&amp;$A26,Entries!$A$2:$A$5000,"&lt;"&amp;EDATE($A26,1)))</f>
        <v/>
      </c>
      <c r="R26" s="23">
        <f>IF($BM26=0,NA(),SUMIFS(Entries!$E$2:$E$5000,Entries!$D$2:$D$5000,"Investment",Entries!$A$2:$A$5000,"&gt;="&amp;$A26,Entries!$A$2:$A$5000,"&lt;"&amp;EDATE($A26,1)))</f>
        <v/>
      </c>
      <c r="S26" s="23">
        <f>IF($BM26=0,NA(),N26+O26)</f>
        <v/>
      </c>
      <c r="T26" s="23">
        <f>IF($BM26=0,"",E26-Q26)</f>
        <v/>
      </c>
      <c r="W26" s="23">
        <f>IF(OR(W$1="",$BM26=0),"",SUMIFS(Entries!$E$2:$E$5000,Entries!$C$2:$C$5000,"Actual",Entries!$A$2:$A$5000,"&gt;="&amp;$A26,Entries!$A$2:$A$5000,"&lt;"&amp;EDATE($A26,1),Entries!$B$2:$B$5000,W$1))</f>
        <v/>
      </c>
      <c r="X26" s="23">
        <f>IF(OR(X$1="",$BM26=0),"",SUMIFS(Entries!$E$2:$E$5000,Entries!$C$2:$C$5000,"Actual",Entries!$A$2:$A$5000,"&gt;="&amp;$A26,Entries!$A$2:$A$5000,"&lt;"&amp;EDATE($A26,1),Entries!$B$2:$B$5000,X$1))</f>
        <v/>
      </c>
      <c r="Y26" s="23">
        <f>IF(OR(Y$1="",$BM26=0),"",SUMIFS(Entries!$E$2:$E$5000,Entries!$C$2:$C$5000,"Actual",Entries!$A$2:$A$5000,"&gt;="&amp;$A26,Entries!$A$2:$A$5000,"&lt;"&amp;EDATE($A26,1),Entries!$B$2:$B$5000,Y$1))</f>
        <v/>
      </c>
      <c r="Z26" s="23">
        <f>IF(OR(Z$1="",$BM26=0),"",SUMIFS(Entries!$E$2:$E$5000,Entries!$C$2:$C$5000,"Actual",Entries!$A$2:$A$5000,"&gt;="&amp;$A26,Entries!$A$2:$A$5000,"&lt;"&amp;EDATE($A26,1),Entries!$B$2:$B$5000,Z$1))</f>
        <v/>
      </c>
      <c r="AA26" s="23">
        <f>IF(OR(AA$1="",$BM26=0),"",SUMIFS(Entries!$E$2:$E$5000,Entries!$C$2:$C$5000,"Actual",Entries!$A$2:$A$5000,"&gt;="&amp;$A26,Entries!$A$2:$A$5000,"&lt;"&amp;EDATE($A26,1),Entries!$B$2:$B$5000,AA$1))</f>
        <v/>
      </c>
      <c r="AB26" s="23">
        <f>IF(OR(AB$1="",$BM26=0),"",SUMIFS(Entries!$E$2:$E$5000,Entries!$C$2:$C$5000,"Actual",Entries!$A$2:$A$5000,"&gt;="&amp;$A26,Entries!$A$2:$A$5000,"&lt;"&amp;EDATE($A26,1),Entries!$B$2:$B$5000,AB$1))</f>
        <v/>
      </c>
      <c r="AC26" s="23">
        <f>IF(OR(AC$1="",$BM26=0),"",SUMIFS(Entries!$E$2:$E$5000,Entries!$C$2:$C$5000,"Actual",Entries!$A$2:$A$5000,"&gt;="&amp;$A26,Entries!$A$2:$A$5000,"&lt;"&amp;EDATE($A26,1),Entries!$B$2:$B$5000,AC$1))</f>
        <v/>
      </c>
      <c r="AD26" s="23">
        <f>IF(OR(AD$1="",$BM26=0),"",SUMIFS(Entries!$E$2:$E$5000,Entries!$C$2:$C$5000,"Actual",Entries!$A$2:$A$5000,"&gt;="&amp;$A26,Entries!$A$2:$A$5000,"&lt;"&amp;EDATE($A26,1),Entries!$B$2:$B$5000,AD$1))</f>
        <v/>
      </c>
      <c r="AE26" s="23">
        <f>IF(OR(AE$1="",$BM26=0),"",SUMIFS(Entries!$E$2:$E$5000,Entries!$C$2:$C$5000,"Actual",Entries!$A$2:$A$5000,"&gt;="&amp;$A26,Entries!$A$2:$A$5000,"&lt;"&amp;EDATE($A26,1),Entries!$B$2:$B$5000,AE$1))</f>
        <v/>
      </c>
      <c r="AF26" s="23">
        <f>IF(OR(AF$1="",$BM26=0),"",SUMIFS(Entries!$E$2:$E$5000,Entries!$C$2:$C$5000,"Actual",Entries!$A$2:$A$5000,"&gt;="&amp;$A26,Entries!$A$2:$A$5000,"&lt;"&amp;EDATE($A26,1),Entries!$B$2:$B$5000,AF$1))</f>
        <v/>
      </c>
      <c r="AG26" s="23">
        <f>IF(OR(AG$1="",$BM26=0),"",SUMIFS(Entries!$E$2:$E$5000,Entries!$C$2:$C$5000,"Actual",Entries!$A$2:$A$5000,"&gt;="&amp;$A26,Entries!$A$2:$A$5000,"&lt;"&amp;EDATE($A26,1),Entries!$B$2:$B$5000,AG$1))</f>
        <v/>
      </c>
      <c r="AH26" s="23">
        <f>IF(OR(AH$1="",$BM26=0),"",SUMIFS(Entries!$E$2:$E$5000,Entries!$C$2:$C$5000,"Actual",Entries!$A$2:$A$5000,"&gt;="&amp;$A26,Entries!$A$2:$A$5000,"&lt;"&amp;EDATE($A26,1),Entries!$B$2:$B$5000,AH$1))</f>
        <v/>
      </c>
      <c r="AI26" s="23">
        <f>IF(OR(AI$1="",$BM26=0),"",SUMIFS(Entries!$E$2:$E$5000,Entries!$C$2:$C$5000,"Actual",Entries!$A$2:$A$5000,"&gt;="&amp;$A26,Entries!$A$2:$A$5000,"&lt;"&amp;EDATE($A26,1),Entries!$B$2:$B$5000,AI$1))</f>
        <v/>
      </c>
      <c r="AJ26" s="23">
        <f>IF(OR(AJ$1="",$BM26=0),"",SUMIFS(Entries!$E$2:$E$5000,Entries!$C$2:$C$5000,"Actual",Entries!$A$2:$A$5000,"&gt;="&amp;$A26,Entries!$A$2:$A$5000,"&lt;"&amp;EDATE($A26,1),Entries!$B$2:$B$5000,AJ$1))</f>
        <v/>
      </c>
      <c r="AK26" s="23">
        <f>IF(OR(AK$1="",$BM26=0),"",SUMIFS(Entries!$E$2:$E$5000,Entries!$C$2:$C$5000,"Actual",Entries!$A$2:$A$5000,"&gt;="&amp;$A26,Entries!$A$2:$A$5000,"&lt;"&amp;EDATE($A26,1),Entries!$B$2:$B$5000,AK$1))</f>
        <v/>
      </c>
      <c r="AL26" s="23">
        <f>IF(OR(AL$1="",$BM26=0),"",SUMIFS(Entries!$E$2:$E$5000,Entries!$C$2:$C$5000,"Actual",Entries!$A$2:$A$5000,"&gt;="&amp;$A26,Entries!$A$2:$A$5000,"&lt;"&amp;EDATE($A26,1),Entries!$B$2:$B$5000,AL$1))</f>
        <v/>
      </c>
      <c r="AM26" s="23">
        <f>IF(OR(AM$1="",$BM26=0),"",SUMIFS(Entries!$E$2:$E$5000,Entries!$C$2:$C$5000,"Actual",Entries!$A$2:$A$5000,"&gt;="&amp;$A26,Entries!$A$2:$A$5000,"&lt;"&amp;EDATE($A26,1),Entries!$B$2:$B$5000,AM$1))</f>
        <v/>
      </c>
      <c r="AN26" s="23">
        <f>IF(OR(AN$1="",$BM26=0),"",SUMIFS(Entries!$E$2:$E$5000,Entries!$C$2:$C$5000,"Actual",Entries!$A$2:$A$5000,"&gt;="&amp;$A26,Entries!$A$2:$A$5000,"&lt;"&amp;EDATE($A26,1),Entries!$B$2:$B$5000,AN$1))</f>
        <v/>
      </c>
      <c r="AO26" s="23">
        <f>IF(OR(AO$1="",$BM26=0),"",SUMIFS(Entries!$E$2:$E$5000,Entries!$C$2:$C$5000,"Actual",Entries!$A$2:$A$5000,"&gt;="&amp;$A26,Entries!$A$2:$A$5000,"&lt;"&amp;EDATE($A26,1),Entries!$B$2:$B$5000,AO$1))</f>
        <v/>
      </c>
      <c r="AP26" s="23">
        <f>IF(OR(AP$1="",$BM26=0),"",SUMIFS(Entries!$E$2:$E$5000,Entries!$C$2:$C$5000,"Actual",Entries!$A$2:$A$5000,"&gt;="&amp;$A26,Entries!$A$2:$A$5000,"&lt;"&amp;EDATE($A26,1),Entries!$B$2:$B$5000,AP$1))</f>
        <v/>
      </c>
      <c r="AR26" s="23">
        <f>IF(OR(AR$1="",$BM26=0),"",IFERROR(LOOKUP(2,1/((Budgets!$A$2:$A$200=AR$1)*(Budgets!$B$2:$B$200&lt;EDATE($A26,1))),Budgets!$C$2:$C$200),0))</f>
        <v/>
      </c>
      <c r="AS26" s="23">
        <f>IF(OR(AS$1="",$BM26=0),"",IFERROR(LOOKUP(2,1/((Budgets!$A$2:$A$200=AS$1)*(Budgets!$B$2:$B$200&lt;EDATE($A26,1))),Budgets!$C$2:$C$200),0))</f>
        <v/>
      </c>
      <c r="AT26" s="23">
        <f>IF(OR(AT$1="",$BM26=0),"",IFERROR(LOOKUP(2,1/((Budgets!$A$2:$A$200=AT$1)*(Budgets!$B$2:$B$200&lt;EDATE($A26,1))),Budgets!$C$2:$C$200),0))</f>
        <v/>
      </c>
      <c r="AU26" s="23">
        <f>IF(OR(AU$1="",$BM26=0),"",IFERROR(LOOKUP(2,1/((Budgets!$A$2:$A$200=AU$1)*(Budgets!$B$2:$B$200&lt;EDATE($A26,1))),Budgets!$C$2:$C$200),0))</f>
        <v/>
      </c>
      <c r="AV26" s="23">
        <f>IF(OR(AV$1="",$BM26=0),"",IFERROR(LOOKUP(2,1/((Budgets!$A$2:$A$200=AV$1)*(Budgets!$B$2:$B$200&lt;EDATE($A26,1))),Budgets!$C$2:$C$200),0))</f>
        <v/>
      </c>
      <c r="AW26" s="23">
        <f>IF(OR(AW$1="",$BM26=0),"",IFERROR(LOOKUP(2,1/((Budgets!$A$2:$A$200=AW$1)*(Budgets!$B$2:$B$200&lt;EDATE($A26,1))),Budgets!$C$2:$C$200),0))</f>
        <v/>
      </c>
      <c r="AX26" s="23">
        <f>IF(OR(AX$1="",$BM26=0),"",IFERROR(LOOKUP(2,1/((Budgets!$A$2:$A$200=AX$1)*(Budgets!$B$2:$B$200&lt;EDATE($A26,1))),Budgets!$C$2:$C$200),0))</f>
        <v/>
      </c>
      <c r="AY26" s="23">
        <f>IF(OR(AY$1="",$BM26=0),"",IFERROR(LOOKUP(2,1/((Budgets!$A$2:$A$200=AY$1)*(Budgets!$B$2:$B$200&lt;EDATE($A26,1))),Budgets!$C$2:$C$200),0))</f>
        <v/>
      </c>
      <c r="AZ26" s="23">
        <f>IF(OR(AZ$1="",$BM26=0),"",IFERROR(LOOKUP(2,1/((Budgets!$A$2:$A$200=AZ$1)*(Budgets!$B$2:$B$200&lt;EDATE($A26,1))),Budgets!$C$2:$C$200),0))</f>
        <v/>
      </c>
      <c r="BA26" s="23">
        <f>IF(OR(BA$1="",$BM26=0),"",IFERROR(LOOKUP(2,1/((Budgets!$A$2:$A$200=BA$1)*(Budgets!$B$2:$B$200&lt;EDATE($A26,1))),Budgets!$C$2:$C$200),0))</f>
        <v/>
      </c>
      <c r="BB26" s="23">
        <f>IF(OR(BB$1="",$BM26=0),"",IFERROR(LOOKUP(2,1/((Budgets!$A$2:$A$200=BB$1)*(Budgets!$B$2:$B$200&lt;EDATE($A26,1))),Budgets!$C$2:$C$200),0))</f>
        <v/>
      </c>
      <c r="BC26" s="23">
        <f>IF(OR(BC$1="",$BM26=0),"",IFERROR(LOOKUP(2,1/((Budgets!$A$2:$A$200=BC$1)*(Budgets!$B$2:$B$200&lt;EDATE($A26,1))),Budgets!$C$2:$C$200),0))</f>
        <v/>
      </c>
      <c r="BD26" s="23">
        <f>IF(OR(BD$1="",$BM26=0),"",IFERROR(LOOKUP(2,1/((Budgets!$A$2:$A$200=BD$1)*(Budgets!$B$2:$B$200&lt;EDATE($A26,1))),Budgets!$C$2:$C$200),0))</f>
        <v/>
      </c>
      <c r="BE26" s="23">
        <f>IF(OR(BE$1="",$BM26=0),"",IFERROR(LOOKUP(2,1/((Budgets!$A$2:$A$200=BE$1)*(Budgets!$B$2:$B$200&lt;EDATE($A26,1))),Budgets!$C$2:$C$200),0))</f>
        <v/>
      </c>
      <c r="BF26" s="23">
        <f>IF(OR(BF$1="",$BM26=0),"",IFERROR(LOOKUP(2,1/((Budgets!$A$2:$A$200=BF$1)*(Budgets!$B$2:$B$200&lt;EDATE($A26,1))),Budgets!$C$2:$C$200),0))</f>
        <v/>
      </c>
      <c r="BG26" s="23">
        <f>IF(OR(BG$1="",$BM26=0),"",IFERROR(LOOKUP(2,1/((Budgets!$A$2:$A$200=BG$1)*(Budgets!$B$2:$B$200&lt;EDATE($A26,1))),Budgets!$C$2:$C$200),0))</f>
        <v/>
      </c>
      <c r="BH26" s="23">
        <f>IF(OR(BH$1="",$BM26=0),"",IFERROR(LOOKUP(2,1/((Budgets!$A$2:$A$200=BH$1)*(Budgets!$B$2:$B$200&lt;EDATE($A26,1))),Budgets!$C$2:$C$200),0))</f>
        <v/>
      </c>
      <c r="BI26" s="23">
        <f>IF(OR(BI$1="",$BM26=0),"",IFERROR(LOOKUP(2,1/((Budgets!$A$2:$A$200=BI$1)*(Budgets!$B$2:$B$200&lt;EDATE($A26,1))),Budgets!$C$2:$C$200),0))</f>
        <v/>
      </c>
      <c r="BJ26" s="23">
        <f>IF(OR(BJ$1="",$BM26=0),"",IFERROR(LOOKUP(2,1/((Budgets!$A$2:$A$200=BJ$1)*(Budgets!$B$2:$B$200&lt;EDATE($A26,1))),Budgets!$C$2:$C$200),0))</f>
        <v/>
      </c>
      <c r="BK26" s="23">
        <f>IF(OR(BK$1="",$BM26=0),"",IFERROR(LOOKUP(2,1/((Budgets!$A$2:$A$200=BK$1)*(Budgets!$B$2:$B$200&lt;EDATE($A26,1))),Budgets!$C$2:$C$200),0))</f>
        <v/>
      </c>
      <c r="BM26" s="21">
        <f>COUNTIFS(Entries!$A$2:$A$5000,"&gt;="&amp;$A26,Entries!$A$2:$A$5000,"&lt;"&amp;EDATE($A26,1))</f>
        <v/>
      </c>
    </row>
    <row r="27">
      <c r="A27" s="22" t="n">
        <v>40210</v>
      </c>
      <c r="B27" s="23">
        <f>IF($BM27=0,NA(),SUMIFS(Entries!$E$2:$E$5000,Entries!$C$2:$C$5000,"Income",Entries!$A$2:$A$5000,"&gt;="&amp;$A27,Entries!$A$2:$A$5000,"&lt;"&amp;EDATE($A27,1)))</f>
        <v/>
      </c>
      <c r="C27" s="23">
        <f>IF($BM27=0,"",SUMIFS(Entries!$E$2:$E$5000,Entries!$C$2:$C$5000,"Actual",Entries!$A$2:$A$5000,"&gt;="&amp;$A27,Entries!$A$2:$A$5000,"&lt;"&amp;EDATE($A27,1)))</f>
        <v/>
      </c>
      <c r="D27" s="23">
        <f>IF($BM27=0,"",SUMIFS(Entries!$E$2:$E$5000,Entries!$C$2:$C$5000,"One-off",Entries!$A$2:$A$5000,"&gt;="&amp;$A27,Entries!$A$2:$A$5000,"&lt;"&amp;EDATE($A27,1)))</f>
        <v/>
      </c>
      <c r="E27" s="23">
        <f>IF($BM27=0,NA(),C27+D27)</f>
        <v/>
      </c>
      <c r="F27" s="23">
        <f>IF($BM27=0,"",SUM(AR27:BK27))</f>
        <v/>
      </c>
      <c r="G27" s="23">
        <f>IF($BM27=0,"",B27-E27)</f>
        <v/>
      </c>
      <c r="H27" s="23">
        <f>IF($BM27=0,"",SUM($G$2:G27))</f>
        <v/>
      </c>
      <c r="I27" s="23">
        <f>IF($BM27=0,"",SUMIFS(Entries!$G$2:$G$5000,Entries!$A$2:$A$5000,"&gt;="&amp;$A27,Entries!$A$2:$A$5000,"&lt;"&amp;EDATE($A27,1)))</f>
        <v/>
      </c>
      <c r="J27" s="23">
        <f>IF($BM27=0,NA(),H27)</f>
        <v/>
      </c>
      <c r="K27" s="23">
        <f>IF($BM27=0,"",SUMIFS(Entries!$E$2:$E$5000,Entries!$C$2:$C$5000,"Income",Entries!$A$2:$A$5000,"&gt;="&amp;EDATE($A27,-11),Entries!$A$2:$A$5000,"&lt;"&amp;EDATE($A27,1))/COUNTIFS($A$2:$A$400,"&gt;="&amp;EDATE($A27,-11),$A$2:$A$400,"&lt;"&amp;EDATE($A27,1),$BM$2:$BM$400,"&gt;0"))</f>
      </c>
      <c r="L27" s="23">
        <f>IF($BM27=0,"",(SUMIFS(Entries!$E$2:$E$5000,Entries!$C$2:$C$5000,"Actual",Entries!$A$2:$A$5000,"&gt;="&amp;EDATE($A27,-11),Entries!$A$2:$A$5000,"&lt;"&amp;EDATE($A27,1))+SUMIFS(Entries!$E$2:$E$5000,Entries!$C$2:$C$5000,"One-off",Entries!$A$2:$A$5000,"&gt;="&amp;EDATE($A27,-11),Entries!$A$2:$A$5000,"&lt;"&amp;EDATE($A27,1)))/COUNTIFS($A$2:$A$400,"&gt;="&amp;EDATE($A27,-11),$A$2:$A$400,"&lt;"&amp;EDATE($A27,1),$BM$2:$BM$400,"&gt;0"))</f>
      </c>
      <c r="M27" s="24">
        <f>IF($BM27=0,NA(),IFERROR((K27-L27)/K27,0))</f>
        <v/>
      </c>
      <c r="N27" s="23">
        <f>IF($BM27=0,NA(),SUMIFS(Entries!$E$2:$E$5000,Entries!$D$2:$D$5000,"Core",Entries!$A$2:$A$5000,"&gt;="&amp;$A27,Entries!$A$2:$A$5000,"&lt;"&amp;EDATE($A27,1)))</f>
        <v/>
      </c>
      <c r="O27" s="23">
        <f>IF($BM27=0,NA(),SUMIFS(Entries!$E$2:$E$5000,Entries!$D$2:$D$5000,"Over &amp; above",Entries!$A$2:$A$5000,"&gt;="&amp;$A27,Entries!$A$2:$A$5000,"&lt;"&amp;EDATE($A27,1)))</f>
        <v/>
      </c>
      <c r="P27" s="23">
        <f>IF($BM27=0,NA(),SUMIFS(Entries!$E$2:$E$5000,Entries!$D$2:$D$5000,"One-off",Entries!$A$2:$A$5000,"&gt;="&amp;$A27,Entries!$A$2:$A$5000,"&lt;"&amp;EDATE($A27,1)))</f>
        <v/>
      </c>
      <c r="Q27" s="23">
        <f>IF($BM27=0,NA(),SUMIFS(Entries!$E$2:$E$5000,Entries!$D$2:$D$5000,"Reimbursable",Entries!$A$2:$A$5000,"&gt;="&amp;$A27,Entries!$A$2:$A$5000,"&lt;"&amp;EDATE($A27,1)))</f>
        <v/>
      </c>
      <c r="R27" s="23">
        <f>IF($BM27=0,NA(),SUMIFS(Entries!$E$2:$E$5000,Entries!$D$2:$D$5000,"Investment",Entries!$A$2:$A$5000,"&gt;="&amp;$A27,Entries!$A$2:$A$5000,"&lt;"&amp;EDATE($A27,1)))</f>
        <v/>
      </c>
      <c r="S27" s="23">
        <f>IF($BM27=0,NA(),N27+O27)</f>
        <v/>
      </c>
      <c r="T27" s="23">
        <f>IF($BM27=0,"",E27-Q27)</f>
        <v/>
      </c>
      <c r="W27" s="23">
        <f>IF(OR(W$1="",$BM27=0),"",SUMIFS(Entries!$E$2:$E$5000,Entries!$C$2:$C$5000,"Actual",Entries!$A$2:$A$5000,"&gt;="&amp;$A27,Entries!$A$2:$A$5000,"&lt;"&amp;EDATE($A27,1),Entries!$B$2:$B$5000,W$1))</f>
        <v/>
      </c>
      <c r="X27" s="23">
        <f>IF(OR(X$1="",$BM27=0),"",SUMIFS(Entries!$E$2:$E$5000,Entries!$C$2:$C$5000,"Actual",Entries!$A$2:$A$5000,"&gt;="&amp;$A27,Entries!$A$2:$A$5000,"&lt;"&amp;EDATE($A27,1),Entries!$B$2:$B$5000,X$1))</f>
        <v/>
      </c>
      <c r="Y27" s="23">
        <f>IF(OR(Y$1="",$BM27=0),"",SUMIFS(Entries!$E$2:$E$5000,Entries!$C$2:$C$5000,"Actual",Entries!$A$2:$A$5000,"&gt;="&amp;$A27,Entries!$A$2:$A$5000,"&lt;"&amp;EDATE($A27,1),Entries!$B$2:$B$5000,Y$1))</f>
        <v/>
      </c>
      <c r="Z27" s="23">
        <f>IF(OR(Z$1="",$BM27=0),"",SUMIFS(Entries!$E$2:$E$5000,Entries!$C$2:$C$5000,"Actual",Entries!$A$2:$A$5000,"&gt;="&amp;$A27,Entries!$A$2:$A$5000,"&lt;"&amp;EDATE($A27,1),Entries!$B$2:$B$5000,Z$1))</f>
        <v/>
      </c>
      <c r="AA27" s="23">
        <f>IF(OR(AA$1="",$BM27=0),"",SUMIFS(Entries!$E$2:$E$5000,Entries!$C$2:$C$5000,"Actual",Entries!$A$2:$A$5000,"&gt;="&amp;$A27,Entries!$A$2:$A$5000,"&lt;"&amp;EDATE($A27,1),Entries!$B$2:$B$5000,AA$1))</f>
        <v/>
      </c>
      <c r="AB27" s="23">
        <f>IF(OR(AB$1="",$BM27=0),"",SUMIFS(Entries!$E$2:$E$5000,Entries!$C$2:$C$5000,"Actual",Entries!$A$2:$A$5000,"&gt;="&amp;$A27,Entries!$A$2:$A$5000,"&lt;"&amp;EDATE($A27,1),Entries!$B$2:$B$5000,AB$1))</f>
        <v/>
      </c>
      <c r="AC27" s="23">
        <f>IF(OR(AC$1="",$BM27=0),"",SUMIFS(Entries!$E$2:$E$5000,Entries!$C$2:$C$5000,"Actual",Entries!$A$2:$A$5000,"&gt;="&amp;$A27,Entries!$A$2:$A$5000,"&lt;"&amp;EDATE($A27,1),Entries!$B$2:$B$5000,AC$1))</f>
        <v/>
      </c>
      <c r="AD27" s="23">
        <f>IF(OR(AD$1="",$BM27=0),"",SUMIFS(Entries!$E$2:$E$5000,Entries!$C$2:$C$5000,"Actual",Entries!$A$2:$A$5000,"&gt;="&amp;$A27,Entries!$A$2:$A$5000,"&lt;"&amp;EDATE($A27,1),Entries!$B$2:$B$5000,AD$1))</f>
        <v/>
      </c>
      <c r="AE27" s="23">
        <f>IF(OR(AE$1="",$BM27=0),"",SUMIFS(Entries!$E$2:$E$5000,Entries!$C$2:$C$5000,"Actual",Entries!$A$2:$A$5000,"&gt;="&amp;$A27,Entries!$A$2:$A$5000,"&lt;"&amp;EDATE($A27,1),Entries!$B$2:$B$5000,AE$1))</f>
        <v/>
      </c>
      <c r="AF27" s="23">
        <f>IF(OR(AF$1="",$BM27=0),"",SUMIFS(Entries!$E$2:$E$5000,Entries!$C$2:$C$5000,"Actual",Entries!$A$2:$A$5000,"&gt;="&amp;$A27,Entries!$A$2:$A$5000,"&lt;"&amp;EDATE($A27,1),Entries!$B$2:$B$5000,AF$1))</f>
        <v/>
      </c>
      <c r="AG27" s="23">
        <f>IF(OR(AG$1="",$BM27=0),"",SUMIFS(Entries!$E$2:$E$5000,Entries!$C$2:$C$5000,"Actual",Entries!$A$2:$A$5000,"&gt;="&amp;$A27,Entries!$A$2:$A$5000,"&lt;"&amp;EDATE($A27,1),Entries!$B$2:$B$5000,AG$1))</f>
        <v/>
      </c>
      <c r="AH27" s="23">
        <f>IF(OR(AH$1="",$BM27=0),"",SUMIFS(Entries!$E$2:$E$5000,Entries!$C$2:$C$5000,"Actual",Entries!$A$2:$A$5000,"&gt;="&amp;$A27,Entries!$A$2:$A$5000,"&lt;"&amp;EDATE($A27,1),Entries!$B$2:$B$5000,AH$1))</f>
        <v/>
      </c>
      <c r="AI27" s="23">
        <f>IF(OR(AI$1="",$BM27=0),"",SUMIFS(Entries!$E$2:$E$5000,Entries!$C$2:$C$5000,"Actual",Entries!$A$2:$A$5000,"&gt;="&amp;$A27,Entries!$A$2:$A$5000,"&lt;"&amp;EDATE($A27,1),Entries!$B$2:$B$5000,AI$1))</f>
        <v/>
      </c>
      <c r="AJ27" s="23">
        <f>IF(OR(AJ$1="",$BM27=0),"",SUMIFS(Entries!$E$2:$E$5000,Entries!$C$2:$C$5000,"Actual",Entries!$A$2:$A$5000,"&gt;="&amp;$A27,Entries!$A$2:$A$5000,"&lt;"&amp;EDATE($A27,1),Entries!$B$2:$B$5000,AJ$1))</f>
        <v/>
      </c>
      <c r="AK27" s="23">
        <f>IF(OR(AK$1="",$BM27=0),"",SUMIFS(Entries!$E$2:$E$5000,Entries!$C$2:$C$5000,"Actual",Entries!$A$2:$A$5000,"&gt;="&amp;$A27,Entries!$A$2:$A$5000,"&lt;"&amp;EDATE($A27,1),Entries!$B$2:$B$5000,AK$1))</f>
        <v/>
      </c>
      <c r="AL27" s="23">
        <f>IF(OR(AL$1="",$BM27=0),"",SUMIFS(Entries!$E$2:$E$5000,Entries!$C$2:$C$5000,"Actual",Entries!$A$2:$A$5000,"&gt;="&amp;$A27,Entries!$A$2:$A$5000,"&lt;"&amp;EDATE($A27,1),Entries!$B$2:$B$5000,AL$1))</f>
        <v/>
      </c>
      <c r="AM27" s="23">
        <f>IF(OR(AM$1="",$BM27=0),"",SUMIFS(Entries!$E$2:$E$5000,Entries!$C$2:$C$5000,"Actual",Entries!$A$2:$A$5000,"&gt;="&amp;$A27,Entries!$A$2:$A$5000,"&lt;"&amp;EDATE($A27,1),Entries!$B$2:$B$5000,AM$1))</f>
        <v/>
      </c>
      <c r="AN27" s="23">
        <f>IF(OR(AN$1="",$BM27=0),"",SUMIFS(Entries!$E$2:$E$5000,Entries!$C$2:$C$5000,"Actual",Entries!$A$2:$A$5000,"&gt;="&amp;$A27,Entries!$A$2:$A$5000,"&lt;"&amp;EDATE($A27,1),Entries!$B$2:$B$5000,AN$1))</f>
        <v/>
      </c>
      <c r="AO27" s="23">
        <f>IF(OR(AO$1="",$BM27=0),"",SUMIFS(Entries!$E$2:$E$5000,Entries!$C$2:$C$5000,"Actual",Entries!$A$2:$A$5000,"&gt;="&amp;$A27,Entries!$A$2:$A$5000,"&lt;"&amp;EDATE($A27,1),Entries!$B$2:$B$5000,AO$1))</f>
        <v/>
      </c>
      <c r="AP27" s="23">
        <f>IF(OR(AP$1="",$BM27=0),"",SUMIFS(Entries!$E$2:$E$5000,Entries!$C$2:$C$5000,"Actual",Entries!$A$2:$A$5000,"&gt;="&amp;$A27,Entries!$A$2:$A$5000,"&lt;"&amp;EDATE($A27,1),Entries!$B$2:$B$5000,AP$1))</f>
        <v/>
      </c>
      <c r="AR27" s="23">
        <f>IF(OR(AR$1="",$BM27=0),"",IFERROR(LOOKUP(2,1/((Budgets!$A$2:$A$200=AR$1)*(Budgets!$B$2:$B$200&lt;EDATE($A27,1))),Budgets!$C$2:$C$200),0))</f>
        <v/>
      </c>
      <c r="AS27" s="23">
        <f>IF(OR(AS$1="",$BM27=0),"",IFERROR(LOOKUP(2,1/((Budgets!$A$2:$A$200=AS$1)*(Budgets!$B$2:$B$200&lt;EDATE($A27,1))),Budgets!$C$2:$C$200),0))</f>
        <v/>
      </c>
      <c r="AT27" s="23">
        <f>IF(OR(AT$1="",$BM27=0),"",IFERROR(LOOKUP(2,1/((Budgets!$A$2:$A$200=AT$1)*(Budgets!$B$2:$B$200&lt;EDATE($A27,1))),Budgets!$C$2:$C$200),0))</f>
        <v/>
      </c>
      <c r="AU27" s="23">
        <f>IF(OR(AU$1="",$BM27=0),"",IFERROR(LOOKUP(2,1/((Budgets!$A$2:$A$200=AU$1)*(Budgets!$B$2:$B$200&lt;EDATE($A27,1))),Budgets!$C$2:$C$200),0))</f>
        <v/>
      </c>
      <c r="AV27" s="23">
        <f>IF(OR(AV$1="",$BM27=0),"",IFERROR(LOOKUP(2,1/((Budgets!$A$2:$A$200=AV$1)*(Budgets!$B$2:$B$200&lt;EDATE($A27,1))),Budgets!$C$2:$C$200),0))</f>
        <v/>
      </c>
      <c r="AW27" s="23">
        <f>IF(OR(AW$1="",$BM27=0),"",IFERROR(LOOKUP(2,1/((Budgets!$A$2:$A$200=AW$1)*(Budgets!$B$2:$B$200&lt;EDATE($A27,1))),Budgets!$C$2:$C$200),0))</f>
        <v/>
      </c>
      <c r="AX27" s="23">
        <f>IF(OR(AX$1="",$BM27=0),"",IFERROR(LOOKUP(2,1/((Budgets!$A$2:$A$200=AX$1)*(Budgets!$B$2:$B$200&lt;EDATE($A27,1))),Budgets!$C$2:$C$200),0))</f>
        <v/>
      </c>
      <c r="AY27" s="23">
        <f>IF(OR(AY$1="",$BM27=0),"",IFERROR(LOOKUP(2,1/((Budgets!$A$2:$A$200=AY$1)*(Budgets!$B$2:$B$200&lt;EDATE($A27,1))),Budgets!$C$2:$C$200),0))</f>
        <v/>
      </c>
      <c r="AZ27" s="23">
        <f>IF(OR(AZ$1="",$BM27=0),"",IFERROR(LOOKUP(2,1/((Budgets!$A$2:$A$200=AZ$1)*(Budgets!$B$2:$B$200&lt;EDATE($A27,1))),Budgets!$C$2:$C$200),0))</f>
        <v/>
      </c>
      <c r="BA27" s="23">
        <f>IF(OR(BA$1="",$BM27=0),"",IFERROR(LOOKUP(2,1/((Budgets!$A$2:$A$200=BA$1)*(Budgets!$B$2:$B$200&lt;EDATE($A27,1))),Budgets!$C$2:$C$200),0))</f>
        <v/>
      </c>
      <c r="BB27" s="23">
        <f>IF(OR(BB$1="",$BM27=0),"",IFERROR(LOOKUP(2,1/((Budgets!$A$2:$A$200=BB$1)*(Budgets!$B$2:$B$200&lt;EDATE($A27,1))),Budgets!$C$2:$C$200),0))</f>
        <v/>
      </c>
      <c r="BC27" s="23">
        <f>IF(OR(BC$1="",$BM27=0),"",IFERROR(LOOKUP(2,1/((Budgets!$A$2:$A$200=BC$1)*(Budgets!$B$2:$B$200&lt;EDATE($A27,1))),Budgets!$C$2:$C$200),0))</f>
        <v/>
      </c>
      <c r="BD27" s="23">
        <f>IF(OR(BD$1="",$BM27=0),"",IFERROR(LOOKUP(2,1/((Budgets!$A$2:$A$200=BD$1)*(Budgets!$B$2:$B$200&lt;EDATE($A27,1))),Budgets!$C$2:$C$200),0))</f>
        <v/>
      </c>
      <c r="BE27" s="23">
        <f>IF(OR(BE$1="",$BM27=0),"",IFERROR(LOOKUP(2,1/((Budgets!$A$2:$A$200=BE$1)*(Budgets!$B$2:$B$200&lt;EDATE($A27,1))),Budgets!$C$2:$C$200),0))</f>
        <v/>
      </c>
      <c r="BF27" s="23">
        <f>IF(OR(BF$1="",$BM27=0),"",IFERROR(LOOKUP(2,1/((Budgets!$A$2:$A$200=BF$1)*(Budgets!$B$2:$B$200&lt;EDATE($A27,1))),Budgets!$C$2:$C$200),0))</f>
        <v/>
      </c>
      <c r="BG27" s="23">
        <f>IF(OR(BG$1="",$BM27=0),"",IFERROR(LOOKUP(2,1/((Budgets!$A$2:$A$200=BG$1)*(Budgets!$B$2:$B$200&lt;EDATE($A27,1))),Budgets!$C$2:$C$200),0))</f>
        <v/>
      </c>
      <c r="BH27" s="23">
        <f>IF(OR(BH$1="",$BM27=0),"",IFERROR(LOOKUP(2,1/((Budgets!$A$2:$A$200=BH$1)*(Budgets!$B$2:$B$200&lt;EDATE($A27,1))),Budgets!$C$2:$C$200),0))</f>
        <v/>
      </c>
      <c r="BI27" s="23">
        <f>IF(OR(BI$1="",$BM27=0),"",IFERROR(LOOKUP(2,1/((Budgets!$A$2:$A$200=BI$1)*(Budgets!$B$2:$B$200&lt;EDATE($A27,1))),Budgets!$C$2:$C$200),0))</f>
        <v/>
      </c>
      <c r="BJ27" s="23">
        <f>IF(OR(BJ$1="",$BM27=0),"",IFERROR(LOOKUP(2,1/((Budgets!$A$2:$A$200=BJ$1)*(Budgets!$B$2:$B$200&lt;EDATE($A27,1))),Budgets!$C$2:$C$200),0))</f>
        <v/>
      </c>
      <c r="BK27" s="23">
        <f>IF(OR(BK$1="",$BM27=0),"",IFERROR(LOOKUP(2,1/((Budgets!$A$2:$A$200=BK$1)*(Budgets!$B$2:$B$200&lt;EDATE($A27,1))),Budgets!$C$2:$C$200),0))</f>
        <v/>
      </c>
      <c r="BM27" s="21">
        <f>COUNTIFS(Entries!$A$2:$A$5000,"&gt;="&amp;$A27,Entries!$A$2:$A$5000,"&lt;"&amp;EDATE($A27,1))</f>
        <v/>
      </c>
    </row>
    <row r="28">
      <c r="A28" s="22" t="n">
        <v>40238</v>
      </c>
      <c r="B28" s="23">
        <f>IF($BM28=0,NA(),SUMIFS(Entries!$E$2:$E$5000,Entries!$C$2:$C$5000,"Income",Entries!$A$2:$A$5000,"&gt;="&amp;$A28,Entries!$A$2:$A$5000,"&lt;"&amp;EDATE($A28,1)))</f>
        <v/>
      </c>
      <c r="C28" s="23">
        <f>IF($BM28=0,"",SUMIFS(Entries!$E$2:$E$5000,Entries!$C$2:$C$5000,"Actual",Entries!$A$2:$A$5000,"&gt;="&amp;$A28,Entries!$A$2:$A$5000,"&lt;"&amp;EDATE($A28,1)))</f>
        <v/>
      </c>
      <c r="D28" s="23">
        <f>IF($BM28=0,"",SUMIFS(Entries!$E$2:$E$5000,Entries!$C$2:$C$5000,"One-off",Entries!$A$2:$A$5000,"&gt;="&amp;$A28,Entries!$A$2:$A$5000,"&lt;"&amp;EDATE($A28,1)))</f>
        <v/>
      </c>
      <c r="E28" s="23">
        <f>IF($BM28=0,NA(),C28+D28)</f>
        <v/>
      </c>
      <c r="F28" s="23">
        <f>IF($BM28=0,"",SUM(AR28:BK28))</f>
        <v/>
      </c>
      <c r="G28" s="23">
        <f>IF($BM28=0,"",B28-E28)</f>
        <v/>
      </c>
      <c r="H28" s="23">
        <f>IF($BM28=0,"",SUM($G$2:G28))</f>
        <v/>
      </c>
      <c r="I28" s="23">
        <f>IF($BM28=0,"",SUMIFS(Entries!$G$2:$G$5000,Entries!$A$2:$A$5000,"&gt;="&amp;$A28,Entries!$A$2:$A$5000,"&lt;"&amp;EDATE($A28,1)))</f>
        <v/>
      </c>
      <c r="J28" s="23">
        <f>IF($BM28=0,NA(),H28)</f>
        <v/>
      </c>
      <c r="K28" s="23">
        <f>IF($BM28=0,"",SUMIFS(Entries!$E$2:$E$5000,Entries!$C$2:$C$5000,"Income",Entries!$A$2:$A$5000,"&gt;="&amp;EDATE($A28,-11),Entries!$A$2:$A$5000,"&lt;"&amp;EDATE($A28,1))/COUNTIFS($A$2:$A$400,"&gt;="&amp;EDATE($A28,-11),$A$2:$A$400,"&lt;"&amp;EDATE($A28,1),$BM$2:$BM$400,"&gt;0"))</f>
      </c>
      <c r="L28" s="23">
        <f>IF($BM28=0,"",(SUMIFS(Entries!$E$2:$E$5000,Entries!$C$2:$C$5000,"Actual",Entries!$A$2:$A$5000,"&gt;="&amp;EDATE($A28,-11),Entries!$A$2:$A$5000,"&lt;"&amp;EDATE($A28,1))+SUMIFS(Entries!$E$2:$E$5000,Entries!$C$2:$C$5000,"One-off",Entries!$A$2:$A$5000,"&gt;="&amp;EDATE($A28,-11),Entries!$A$2:$A$5000,"&lt;"&amp;EDATE($A28,1)))/COUNTIFS($A$2:$A$400,"&gt;="&amp;EDATE($A28,-11),$A$2:$A$400,"&lt;"&amp;EDATE($A28,1),$BM$2:$BM$400,"&gt;0"))</f>
      </c>
      <c r="M28" s="24">
        <f>IF($BM28=0,NA(),IFERROR((K28-L28)/K28,0))</f>
        <v/>
      </c>
      <c r="N28" s="23">
        <f>IF($BM28=0,NA(),SUMIFS(Entries!$E$2:$E$5000,Entries!$D$2:$D$5000,"Core",Entries!$A$2:$A$5000,"&gt;="&amp;$A28,Entries!$A$2:$A$5000,"&lt;"&amp;EDATE($A28,1)))</f>
        <v/>
      </c>
      <c r="O28" s="23">
        <f>IF($BM28=0,NA(),SUMIFS(Entries!$E$2:$E$5000,Entries!$D$2:$D$5000,"Over &amp; above",Entries!$A$2:$A$5000,"&gt;="&amp;$A28,Entries!$A$2:$A$5000,"&lt;"&amp;EDATE($A28,1)))</f>
        <v/>
      </c>
      <c r="P28" s="23">
        <f>IF($BM28=0,NA(),SUMIFS(Entries!$E$2:$E$5000,Entries!$D$2:$D$5000,"One-off",Entries!$A$2:$A$5000,"&gt;="&amp;$A28,Entries!$A$2:$A$5000,"&lt;"&amp;EDATE($A28,1)))</f>
        <v/>
      </c>
      <c r="Q28" s="23">
        <f>IF($BM28=0,NA(),SUMIFS(Entries!$E$2:$E$5000,Entries!$D$2:$D$5000,"Reimbursable",Entries!$A$2:$A$5000,"&gt;="&amp;$A28,Entries!$A$2:$A$5000,"&lt;"&amp;EDATE($A28,1)))</f>
        <v/>
      </c>
      <c r="R28" s="23">
        <f>IF($BM28=0,NA(),SUMIFS(Entries!$E$2:$E$5000,Entries!$D$2:$D$5000,"Investment",Entries!$A$2:$A$5000,"&gt;="&amp;$A28,Entries!$A$2:$A$5000,"&lt;"&amp;EDATE($A28,1)))</f>
        <v/>
      </c>
      <c r="S28" s="23">
        <f>IF($BM28=0,NA(),N28+O28)</f>
        <v/>
      </c>
      <c r="T28" s="23">
        <f>IF($BM28=0,"",E28-Q28)</f>
        <v/>
      </c>
      <c r="W28" s="23">
        <f>IF(OR(W$1="",$BM28=0),"",SUMIFS(Entries!$E$2:$E$5000,Entries!$C$2:$C$5000,"Actual",Entries!$A$2:$A$5000,"&gt;="&amp;$A28,Entries!$A$2:$A$5000,"&lt;"&amp;EDATE($A28,1),Entries!$B$2:$B$5000,W$1))</f>
        <v/>
      </c>
      <c r="X28" s="23">
        <f>IF(OR(X$1="",$BM28=0),"",SUMIFS(Entries!$E$2:$E$5000,Entries!$C$2:$C$5000,"Actual",Entries!$A$2:$A$5000,"&gt;="&amp;$A28,Entries!$A$2:$A$5000,"&lt;"&amp;EDATE($A28,1),Entries!$B$2:$B$5000,X$1))</f>
        <v/>
      </c>
      <c r="Y28" s="23">
        <f>IF(OR(Y$1="",$BM28=0),"",SUMIFS(Entries!$E$2:$E$5000,Entries!$C$2:$C$5000,"Actual",Entries!$A$2:$A$5000,"&gt;="&amp;$A28,Entries!$A$2:$A$5000,"&lt;"&amp;EDATE($A28,1),Entries!$B$2:$B$5000,Y$1))</f>
        <v/>
      </c>
      <c r="Z28" s="23">
        <f>IF(OR(Z$1="",$BM28=0),"",SUMIFS(Entries!$E$2:$E$5000,Entries!$C$2:$C$5000,"Actual",Entries!$A$2:$A$5000,"&gt;="&amp;$A28,Entries!$A$2:$A$5000,"&lt;"&amp;EDATE($A28,1),Entries!$B$2:$B$5000,Z$1))</f>
        <v/>
      </c>
      <c r="AA28" s="23">
        <f>IF(OR(AA$1="",$BM28=0),"",SUMIFS(Entries!$E$2:$E$5000,Entries!$C$2:$C$5000,"Actual",Entries!$A$2:$A$5000,"&gt;="&amp;$A28,Entries!$A$2:$A$5000,"&lt;"&amp;EDATE($A28,1),Entries!$B$2:$B$5000,AA$1))</f>
        <v/>
      </c>
      <c r="AB28" s="23">
        <f>IF(OR(AB$1="",$BM28=0),"",SUMIFS(Entries!$E$2:$E$5000,Entries!$C$2:$C$5000,"Actual",Entries!$A$2:$A$5000,"&gt;="&amp;$A28,Entries!$A$2:$A$5000,"&lt;"&amp;EDATE($A28,1),Entries!$B$2:$B$5000,AB$1))</f>
        <v/>
      </c>
      <c r="AC28" s="23">
        <f>IF(OR(AC$1="",$BM28=0),"",SUMIFS(Entries!$E$2:$E$5000,Entries!$C$2:$C$5000,"Actual",Entries!$A$2:$A$5000,"&gt;="&amp;$A28,Entries!$A$2:$A$5000,"&lt;"&amp;EDATE($A28,1),Entries!$B$2:$B$5000,AC$1))</f>
        <v/>
      </c>
      <c r="AD28" s="23">
        <f>IF(OR(AD$1="",$BM28=0),"",SUMIFS(Entries!$E$2:$E$5000,Entries!$C$2:$C$5000,"Actual",Entries!$A$2:$A$5000,"&gt;="&amp;$A28,Entries!$A$2:$A$5000,"&lt;"&amp;EDATE($A28,1),Entries!$B$2:$B$5000,AD$1))</f>
        <v/>
      </c>
      <c r="AE28" s="23">
        <f>IF(OR(AE$1="",$BM28=0),"",SUMIFS(Entries!$E$2:$E$5000,Entries!$C$2:$C$5000,"Actual",Entries!$A$2:$A$5000,"&gt;="&amp;$A28,Entries!$A$2:$A$5000,"&lt;"&amp;EDATE($A28,1),Entries!$B$2:$B$5000,AE$1))</f>
        <v/>
      </c>
      <c r="AF28" s="23">
        <f>IF(OR(AF$1="",$BM28=0),"",SUMIFS(Entries!$E$2:$E$5000,Entries!$C$2:$C$5000,"Actual",Entries!$A$2:$A$5000,"&gt;="&amp;$A28,Entries!$A$2:$A$5000,"&lt;"&amp;EDATE($A28,1),Entries!$B$2:$B$5000,AF$1))</f>
        <v/>
      </c>
      <c r="AG28" s="23">
        <f>IF(OR(AG$1="",$BM28=0),"",SUMIFS(Entries!$E$2:$E$5000,Entries!$C$2:$C$5000,"Actual",Entries!$A$2:$A$5000,"&gt;="&amp;$A28,Entries!$A$2:$A$5000,"&lt;"&amp;EDATE($A28,1),Entries!$B$2:$B$5000,AG$1))</f>
        <v/>
      </c>
      <c r="AH28" s="23">
        <f>IF(OR(AH$1="",$BM28=0),"",SUMIFS(Entries!$E$2:$E$5000,Entries!$C$2:$C$5000,"Actual",Entries!$A$2:$A$5000,"&gt;="&amp;$A28,Entries!$A$2:$A$5000,"&lt;"&amp;EDATE($A28,1),Entries!$B$2:$B$5000,AH$1))</f>
        <v/>
      </c>
      <c r="AI28" s="23">
        <f>IF(OR(AI$1="",$BM28=0),"",SUMIFS(Entries!$E$2:$E$5000,Entries!$C$2:$C$5000,"Actual",Entries!$A$2:$A$5000,"&gt;="&amp;$A28,Entries!$A$2:$A$5000,"&lt;"&amp;EDATE($A28,1),Entries!$B$2:$B$5000,AI$1))</f>
        <v/>
      </c>
      <c r="AJ28" s="23">
        <f>IF(OR(AJ$1="",$BM28=0),"",SUMIFS(Entries!$E$2:$E$5000,Entries!$C$2:$C$5000,"Actual",Entries!$A$2:$A$5000,"&gt;="&amp;$A28,Entries!$A$2:$A$5000,"&lt;"&amp;EDATE($A28,1),Entries!$B$2:$B$5000,AJ$1))</f>
        <v/>
      </c>
      <c r="AK28" s="23">
        <f>IF(OR(AK$1="",$BM28=0),"",SUMIFS(Entries!$E$2:$E$5000,Entries!$C$2:$C$5000,"Actual",Entries!$A$2:$A$5000,"&gt;="&amp;$A28,Entries!$A$2:$A$5000,"&lt;"&amp;EDATE($A28,1),Entries!$B$2:$B$5000,AK$1))</f>
        <v/>
      </c>
      <c r="AL28" s="23">
        <f>IF(OR(AL$1="",$BM28=0),"",SUMIFS(Entries!$E$2:$E$5000,Entries!$C$2:$C$5000,"Actual",Entries!$A$2:$A$5000,"&gt;="&amp;$A28,Entries!$A$2:$A$5000,"&lt;"&amp;EDATE($A28,1),Entries!$B$2:$B$5000,AL$1))</f>
        <v/>
      </c>
      <c r="AM28" s="23">
        <f>IF(OR(AM$1="",$BM28=0),"",SUMIFS(Entries!$E$2:$E$5000,Entries!$C$2:$C$5000,"Actual",Entries!$A$2:$A$5000,"&gt;="&amp;$A28,Entries!$A$2:$A$5000,"&lt;"&amp;EDATE($A28,1),Entries!$B$2:$B$5000,AM$1))</f>
        <v/>
      </c>
      <c r="AN28" s="23">
        <f>IF(OR(AN$1="",$BM28=0),"",SUMIFS(Entries!$E$2:$E$5000,Entries!$C$2:$C$5000,"Actual",Entries!$A$2:$A$5000,"&gt;="&amp;$A28,Entries!$A$2:$A$5000,"&lt;"&amp;EDATE($A28,1),Entries!$B$2:$B$5000,AN$1))</f>
        <v/>
      </c>
      <c r="AO28" s="23">
        <f>IF(OR(AO$1="",$BM28=0),"",SUMIFS(Entries!$E$2:$E$5000,Entries!$C$2:$C$5000,"Actual",Entries!$A$2:$A$5000,"&gt;="&amp;$A28,Entries!$A$2:$A$5000,"&lt;"&amp;EDATE($A28,1),Entries!$B$2:$B$5000,AO$1))</f>
        <v/>
      </c>
      <c r="AP28" s="23">
        <f>IF(OR(AP$1="",$BM28=0),"",SUMIFS(Entries!$E$2:$E$5000,Entries!$C$2:$C$5000,"Actual",Entries!$A$2:$A$5000,"&gt;="&amp;$A28,Entries!$A$2:$A$5000,"&lt;"&amp;EDATE($A28,1),Entries!$B$2:$B$5000,AP$1))</f>
        <v/>
      </c>
      <c r="AR28" s="23">
        <f>IF(OR(AR$1="",$BM28=0),"",IFERROR(LOOKUP(2,1/((Budgets!$A$2:$A$200=AR$1)*(Budgets!$B$2:$B$200&lt;EDATE($A28,1))),Budgets!$C$2:$C$200),0))</f>
        <v/>
      </c>
      <c r="AS28" s="23">
        <f>IF(OR(AS$1="",$BM28=0),"",IFERROR(LOOKUP(2,1/((Budgets!$A$2:$A$200=AS$1)*(Budgets!$B$2:$B$200&lt;EDATE($A28,1))),Budgets!$C$2:$C$200),0))</f>
        <v/>
      </c>
      <c r="AT28" s="23">
        <f>IF(OR(AT$1="",$BM28=0),"",IFERROR(LOOKUP(2,1/((Budgets!$A$2:$A$200=AT$1)*(Budgets!$B$2:$B$200&lt;EDATE($A28,1))),Budgets!$C$2:$C$200),0))</f>
        <v/>
      </c>
      <c r="AU28" s="23">
        <f>IF(OR(AU$1="",$BM28=0),"",IFERROR(LOOKUP(2,1/((Budgets!$A$2:$A$200=AU$1)*(Budgets!$B$2:$B$200&lt;EDATE($A28,1))),Budgets!$C$2:$C$200),0))</f>
        <v/>
      </c>
      <c r="AV28" s="23">
        <f>IF(OR(AV$1="",$BM28=0),"",IFERROR(LOOKUP(2,1/((Budgets!$A$2:$A$200=AV$1)*(Budgets!$B$2:$B$200&lt;EDATE($A28,1))),Budgets!$C$2:$C$200),0))</f>
        <v/>
      </c>
      <c r="AW28" s="23">
        <f>IF(OR(AW$1="",$BM28=0),"",IFERROR(LOOKUP(2,1/((Budgets!$A$2:$A$200=AW$1)*(Budgets!$B$2:$B$200&lt;EDATE($A28,1))),Budgets!$C$2:$C$200),0))</f>
        <v/>
      </c>
      <c r="AX28" s="23">
        <f>IF(OR(AX$1="",$BM28=0),"",IFERROR(LOOKUP(2,1/((Budgets!$A$2:$A$200=AX$1)*(Budgets!$B$2:$B$200&lt;EDATE($A28,1))),Budgets!$C$2:$C$200),0))</f>
        <v/>
      </c>
      <c r="AY28" s="23">
        <f>IF(OR(AY$1="",$BM28=0),"",IFERROR(LOOKUP(2,1/((Budgets!$A$2:$A$200=AY$1)*(Budgets!$B$2:$B$200&lt;EDATE($A28,1))),Budgets!$C$2:$C$200),0))</f>
        <v/>
      </c>
      <c r="AZ28" s="23">
        <f>IF(OR(AZ$1="",$BM28=0),"",IFERROR(LOOKUP(2,1/((Budgets!$A$2:$A$200=AZ$1)*(Budgets!$B$2:$B$200&lt;EDATE($A28,1))),Budgets!$C$2:$C$200),0))</f>
        <v/>
      </c>
      <c r="BA28" s="23">
        <f>IF(OR(BA$1="",$BM28=0),"",IFERROR(LOOKUP(2,1/((Budgets!$A$2:$A$200=BA$1)*(Budgets!$B$2:$B$200&lt;EDATE($A28,1))),Budgets!$C$2:$C$200),0))</f>
        <v/>
      </c>
      <c r="BB28" s="23">
        <f>IF(OR(BB$1="",$BM28=0),"",IFERROR(LOOKUP(2,1/((Budgets!$A$2:$A$200=BB$1)*(Budgets!$B$2:$B$200&lt;EDATE($A28,1))),Budgets!$C$2:$C$200),0))</f>
        <v/>
      </c>
      <c r="BC28" s="23">
        <f>IF(OR(BC$1="",$BM28=0),"",IFERROR(LOOKUP(2,1/((Budgets!$A$2:$A$200=BC$1)*(Budgets!$B$2:$B$200&lt;EDATE($A28,1))),Budgets!$C$2:$C$200),0))</f>
        <v/>
      </c>
      <c r="BD28" s="23">
        <f>IF(OR(BD$1="",$BM28=0),"",IFERROR(LOOKUP(2,1/((Budgets!$A$2:$A$200=BD$1)*(Budgets!$B$2:$B$200&lt;EDATE($A28,1))),Budgets!$C$2:$C$200),0))</f>
        <v/>
      </c>
      <c r="BE28" s="23">
        <f>IF(OR(BE$1="",$BM28=0),"",IFERROR(LOOKUP(2,1/((Budgets!$A$2:$A$200=BE$1)*(Budgets!$B$2:$B$200&lt;EDATE($A28,1))),Budgets!$C$2:$C$200),0))</f>
        <v/>
      </c>
      <c r="BF28" s="23">
        <f>IF(OR(BF$1="",$BM28=0),"",IFERROR(LOOKUP(2,1/((Budgets!$A$2:$A$200=BF$1)*(Budgets!$B$2:$B$200&lt;EDATE($A28,1))),Budgets!$C$2:$C$200),0))</f>
        <v/>
      </c>
      <c r="BG28" s="23">
        <f>IF(OR(BG$1="",$BM28=0),"",IFERROR(LOOKUP(2,1/((Budgets!$A$2:$A$200=BG$1)*(Budgets!$B$2:$B$200&lt;EDATE($A28,1))),Budgets!$C$2:$C$200),0))</f>
        <v/>
      </c>
      <c r="BH28" s="23">
        <f>IF(OR(BH$1="",$BM28=0),"",IFERROR(LOOKUP(2,1/((Budgets!$A$2:$A$200=BH$1)*(Budgets!$B$2:$B$200&lt;EDATE($A28,1))),Budgets!$C$2:$C$200),0))</f>
        <v/>
      </c>
      <c r="BI28" s="23">
        <f>IF(OR(BI$1="",$BM28=0),"",IFERROR(LOOKUP(2,1/((Budgets!$A$2:$A$200=BI$1)*(Budgets!$B$2:$B$200&lt;EDATE($A28,1))),Budgets!$C$2:$C$200),0))</f>
        <v/>
      </c>
      <c r="BJ28" s="23">
        <f>IF(OR(BJ$1="",$BM28=0),"",IFERROR(LOOKUP(2,1/((Budgets!$A$2:$A$200=BJ$1)*(Budgets!$B$2:$B$200&lt;EDATE($A28,1))),Budgets!$C$2:$C$200),0))</f>
        <v/>
      </c>
      <c r="BK28" s="23">
        <f>IF(OR(BK$1="",$BM28=0),"",IFERROR(LOOKUP(2,1/((Budgets!$A$2:$A$200=BK$1)*(Budgets!$B$2:$B$200&lt;EDATE($A28,1))),Budgets!$C$2:$C$200),0))</f>
        <v/>
      </c>
      <c r="BM28" s="21">
        <f>COUNTIFS(Entries!$A$2:$A$5000,"&gt;="&amp;$A28,Entries!$A$2:$A$5000,"&lt;"&amp;EDATE($A28,1))</f>
        <v/>
      </c>
    </row>
    <row r="29">
      <c r="A29" s="22" t="n">
        <v>40269</v>
      </c>
      <c r="B29" s="23">
        <f>IF($BM29=0,NA(),SUMIFS(Entries!$E$2:$E$5000,Entries!$C$2:$C$5000,"Income",Entries!$A$2:$A$5000,"&gt;="&amp;$A29,Entries!$A$2:$A$5000,"&lt;"&amp;EDATE($A29,1)))</f>
        <v/>
      </c>
      <c r="C29" s="23">
        <f>IF($BM29=0,"",SUMIFS(Entries!$E$2:$E$5000,Entries!$C$2:$C$5000,"Actual",Entries!$A$2:$A$5000,"&gt;="&amp;$A29,Entries!$A$2:$A$5000,"&lt;"&amp;EDATE($A29,1)))</f>
        <v/>
      </c>
      <c r="D29" s="23">
        <f>IF($BM29=0,"",SUMIFS(Entries!$E$2:$E$5000,Entries!$C$2:$C$5000,"One-off",Entries!$A$2:$A$5000,"&gt;="&amp;$A29,Entries!$A$2:$A$5000,"&lt;"&amp;EDATE($A29,1)))</f>
        <v/>
      </c>
      <c r="E29" s="23">
        <f>IF($BM29=0,NA(),C29+D29)</f>
        <v/>
      </c>
      <c r="F29" s="23">
        <f>IF($BM29=0,"",SUM(AR29:BK29))</f>
        <v/>
      </c>
      <c r="G29" s="23">
        <f>IF($BM29=0,"",B29-E29)</f>
        <v/>
      </c>
      <c r="H29" s="23">
        <f>IF($BM29=0,"",SUM($G$2:G29))</f>
        <v/>
      </c>
      <c r="I29" s="23">
        <f>IF($BM29=0,"",SUMIFS(Entries!$G$2:$G$5000,Entries!$A$2:$A$5000,"&gt;="&amp;$A29,Entries!$A$2:$A$5000,"&lt;"&amp;EDATE($A29,1)))</f>
        <v/>
      </c>
      <c r="J29" s="23">
        <f>IF($BM29=0,NA(),H29)</f>
        <v/>
      </c>
      <c r="K29" s="23">
        <f>IF($BM29=0,"",SUMIFS(Entries!$E$2:$E$5000,Entries!$C$2:$C$5000,"Income",Entries!$A$2:$A$5000,"&gt;="&amp;EDATE($A29,-11),Entries!$A$2:$A$5000,"&lt;"&amp;EDATE($A29,1))/COUNTIFS($A$2:$A$400,"&gt;="&amp;EDATE($A29,-11),$A$2:$A$400,"&lt;"&amp;EDATE($A29,1),$BM$2:$BM$400,"&gt;0"))</f>
      </c>
      <c r="L29" s="23">
        <f>IF($BM29=0,"",(SUMIFS(Entries!$E$2:$E$5000,Entries!$C$2:$C$5000,"Actual",Entries!$A$2:$A$5000,"&gt;="&amp;EDATE($A29,-11),Entries!$A$2:$A$5000,"&lt;"&amp;EDATE($A29,1))+SUMIFS(Entries!$E$2:$E$5000,Entries!$C$2:$C$5000,"One-off",Entries!$A$2:$A$5000,"&gt;="&amp;EDATE($A29,-11),Entries!$A$2:$A$5000,"&lt;"&amp;EDATE($A29,1)))/COUNTIFS($A$2:$A$400,"&gt;="&amp;EDATE($A29,-11),$A$2:$A$400,"&lt;"&amp;EDATE($A29,1),$BM$2:$BM$400,"&gt;0"))</f>
      </c>
      <c r="M29" s="24">
        <f>IF($BM29=0,NA(),IFERROR((K29-L29)/K29,0))</f>
        <v/>
      </c>
      <c r="N29" s="23">
        <f>IF($BM29=0,NA(),SUMIFS(Entries!$E$2:$E$5000,Entries!$D$2:$D$5000,"Core",Entries!$A$2:$A$5000,"&gt;="&amp;$A29,Entries!$A$2:$A$5000,"&lt;"&amp;EDATE($A29,1)))</f>
        <v/>
      </c>
      <c r="O29" s="23">
        <f>IF($BM29=0,NA(),SUMIFS(Entries!$E$2:$E$5000,Entries!$D$2:$D$5000,"Over &amp; above",Entries!$A$2:$A$5000,"&gt;="&amp;$A29,Entries!$A$2:$A$5000,"&lt;"&amp;EDATE($A29,1)))</f>
        <v/>
      </c>
      <c r="P29" s="23">
        <f>IF($BM29=0,NA(),SUMIFS(Entries!$E$2:$E$5000,Entries!$D$2:$D$5000,"One-off",Entries!$A$2:$A$5000,"&gt;="&amp;$A29,Entries!$A$2:$A$5000,"&lt;"&amp;EDATE($A29,1)))</f>
        <v/>
      </c>
      <c r="Q29" s="23">
        <f>IF($BM29=0,NA(),SUMIFS(Entries!$E$2:$E$5000,Entries!$D$2:$D$5000,"Reimbursable",Entries!$A$2:$A$5000,"&gt;="&amp;$A29,Entries!$A$2:$A$5000,"&lt;"&amp;EDATE($A29,1)))</f>
        <v/>
      </c>
      <c r="R29" s="23">
        <f>IF($BM29=0,NA(),SUMIFS(Entries!$E$2:$E$5000,Entries!$D$2:$D$5000,"Investment",Entries!$A$2:$A$5000,"&gt;="&amp;$A29,Entries!$A$2:$A$5000,"&lt;"&amp;EDATE($A29,1)))</f>
        <v/>
      </c>
      <c r="S29" s="23">
        <f>IF($BM29=0,NA(),N29+O29)</f>
        <v/>
      </c>
      <c r="T29" s="23">
        <f>IF($BM29=0,"",E29-Q29)</f>
        <v/>
      </c>
      <c r="W29" s="23">
        <f>IF(OR(W$1="",$BM29=0),"",SUMIFS(Entries!$E$2:$E$5000,Entries!$C$2:$C$5000,"Actual",Entries!$A$2:$A$5000,"&gt;="&amp;$A29,Entries!$A$2:$A$5000,"&lt;"&amp;EDATE($A29,1),Entries!$B$2:$B$5000,W$1))</f>
        <v/>
      </c>
      <c r="X29" s="23">
        <f>IF(OR(X$1="",$BM29=0),"",SUMIFS(Entries!$E$2:$E$5000,Entries!$C$2:$C$5000,"Actual",Entries!$A$2:$A$5000,"&gt;="&amp;$A29,Entries!$A$2:$A$5000,"&lt;"&amp;EDATE($A29,1),Entries!$B$2:$B$5000,X$1))</f>
        <v/>
      </c>
      <c r="Y29" s="23">
        <f>IF(OR(Y$1="",$BM29=0),"",SUMIFS(Entries!$E$2:$E$5000,Entries!$C$2:$C$5000,"Actual",Entries!$A$2:$A$5000,"&gt;="&amp;$A29,Entries!$A$2:$A$5000,"&lt;"&amp;EDATE($A29,1),Entries!$B$2:$B$5000,Y$1))</f>
        <v/>
      </c>
      <c r="Z29" s="23">
        <f>IF(OR(Z$1="",$BM29=0),"",SUMIFS(Entries!$E$2:$E$5000,Entries!$C$2:$C$5000,"Actual",Entries!$A$2:$A$5000,"&gt;="&amp;$A29,Entries!$A$2:$A$5000,"&lt;"&amp;EDATE($A29,1),Entries!$B$2:$B$5000,Z$1))</f>
        <v/>
      </c>
      <c r="AA29" s="23">
        <f>IF(OR(AA$1="",$BM29=0),"",SUMIFS(Entries!$E$2:$E$5000,Entries!$C$2:$C$5000,"Actual",Entries!$A$2:$A$5000,"&gt;="&amp;$A29,Entries!$A$2:$A$5000,"&lt;"&amp;EDATE($A29,1),Entries!$B$2:$B$5000,AA$1))</f>
        <v/>
      </c>
      <c r="AB29" s="23">
        <f>IF(OR(AB$1="",$BM29=0),"",SUMIFS(Entries!$E$2:$E$5000,Entries!$C$2:$C$5000,"Actual",Entries!$A$2:$A$5000,"&gt;="&amp;$A29,Entries!$A$2:$A$5000,"&lt;"&amp;EDATE($A29,1),Entries!$B$2:$B$5000,AB$1))</f>
        <v/>
      </c>
      <c r="AC29" s="23">
        <f>IF(OR(AC$1="",$BM29=0),"",SUMIFS(Entries!$E$2:$E$5000,Entries!$C$2:$C$5000,"Actual",Entries!$A$2:$A$5000,"&gt;="&amp;$A29,Entries!$A$2:$A$5000,"&lt;"&amp;EDATE($A29,1),Entries!$B$2:$B$5000,AC$1))</f>
        <v/>
      </c>
      <c r="AD29" s="23">
        <f>IF(OR(AD$1="",$BM29=0),"",SUMIFS(Entries!$E$2:$E$5000,Entries!$C$2:$C$5000,"Actual",Entries!$A$2:$A$5000,"&gt;="&amp;$A29,Entries!$A$2:$A$5000,"&lt;"&amp;EDATE($A29,1),Entries!$B$2:$B$5000,AD$1))</f>
        <v/>
      </c>
      <c r="AE29" s="23">
        <f>IF(OR(AE$1="",$BM29=0),"",SUMIFS(Entries!$E$2:$E$5000,Entries!$C$2:$C$5000,"Actual",Entries!$A$2:$A$5000,"&gt;="&amp;$A29,Entries!$A$2:$A$5000,"&lt;"&amp;EDATE($A29,1),Entries!$B$2:$B$5000,AE$1))</f>
        <v/>
      </c>
      <c r="AF29" s="23">
        <f>IF(OR(AF$1="",$BM29=0),"",SUMIFS(Entries!$E$2:$E$5000,Entries!$C$2:$C$5000,"Actual",Entries!$A$2:$A$5000,"&gt;="&amp;$A29,Entries!$A$2:$A$5000,"&lt;"&amp;EDATE($A29,1),Entries!$B$2:$B$5000,AF$1))</f>
        <v/>
      </c>
      <c r="AG29" s="23">
        <f>IF(OR(AG$1="",$BM29=0),"",SUMIFS(Entries!$E$2:$E$5000,Entries!$C$2:$C$5000,"Actual",Entries!$A$2:$A$5000,"&gt;="&amp;$A29,Entries!$A$2:$A$5000,"&lt;"&amp;EDATE($A29,1),Entries!$B$2:$B$5000,AG$1))</f>
        <v/>
      </c>
      <c r="AH29" s="23">
        <f>IF(OR(AH$1="",$BM29=0),"",SUMIFS(Entries!$E$2:$E$5000,Entries!$C$2:$C$5000,"Actual",Entries!$A$2:$A$5000,"&gt;="&amp;$A29,Entries!$A$2:$A$5000,"&lt;"&amp;EDATE($A29,1),Entries!$B$2:$B$5000,AH$1))</f>
        <v/>
      </c>
      <c r="AI29" s="23">
        <f>IF(OR(AI$1="",$BM29=0),"",SUMIFS(Entries!$E$2:$E$5000,Entries!$C$2:$C$5000,"Actual",Entries!$A$2:$A$5000,"&gt;="&amp;$A29,Entries!$A$2:$A$5000,"&lt;"&amp;EDATE($A29,1),Entries!$B$2:$B$5000,AI$1))</f>
        <v/>
      </c>
      <c r="AJ29" s="23">
        <f>IF(OR(AJ$1="",$BM29=0),"",SUMIFS(Entries!$E$2:$E$5000,Entries!$C$2:$C$5000,"Actual",Entries!$A$2:$A$5000,"&gt;="&amp;$A29,Entries!$A$2:$A$5000,"&lt;"&amp;EDATE($A29,1),Entries!$B$2:$B$5000,AJ$1))</f>
        <v/>
      </c>
      <c r="AK29" s="23">
        <f>IF(OR(AK$1="",$BM29=0),"",SUMIFS(Entries!$E$2:$E$5000,Entries!$C$2:$C$5000,"Actual",Entries!$A$2:$A$5000,"&gt;="&amp;$A29,Entries!$A$2:$A$5000,"&lt;"&amp;EDATE($A29,1),Entries!$B$2:$B$5000,AK$1))</f>
        <v/>
      </c>
      <c r="AL29" s="23">
        <f>IF(OR(AL$1="",$BM29=0),"",SUMIFS(Entries!$E$2:$E$5000,Entries!$C$2:$C$5000,"Actual",Entries!$A$2:$A$5000,"&gt;="&amp;$A29,Entries!$A$2:$A$5000,"&lt;"&amp;EDATE($A29,1),Entries!$B$2:$B$5000,AL$1))</f>
        <v/>
      </c>
      <c r="AM29" s="23">
        <f>IF(OR(AM$1="",$BM29=0),"",SUMIFS(Entries!$E$2:$E$5000,Entries!$C$2:$C$5000,"Actual",Entries!$A$2:$A$5000,"&gt;="&amp;$A29,Entries!$A$2:$A$5000,"&lt;"&amp;EDATE($A29,1),Entries!$B$2:$B$5000,AM$1))</f>
        <v/>
      </c>
      <c r="AN29" s="23">
        <f>IF(OR(AN$1="",$BM29=0),"",SUMIFS(Entries!$E$2:$E$5000,Entries!$C$2:$C$5000,"Actual",Entries!$A$2:$A$5000,"&gt;="&amp;$A29,Entries!$A$2:$A$5000,"&lt;"&amp;EDATE($A29,1),Entries!$B$2:$B$5000,AN$1))</f>
        <v/>
      </c>
      <c r="AO29" s="23">
        <f>IF(OR(AO$1="",$BM29=0),"",SUMIFS(Entries!$E$2:$E$5000,Entries!$C$2:$C$5000,"Actual",Entries!$A$2:$A$5000,"&gt;="&amp;$A29,Entries!$A$2:$A$5000,"&lt;"&amp;EDATE($A29,1),Entries!$B$2:$B$5000,AO$1))</f>
        <v/>
      </c>
      <c r="AP29" s="23">
        <f>IF(OR(AP$1="",$BM29=0),"",SUMIFS(Entries!$E$2:$E$5000,Entries!$C$2:$C$5000,"Actual",Entries!$A$2:$A$5000,"&gt;="&amp;$A29,Entries!$A$2:$A$5000,"&lt;"&amp;EDATE($A29,1),Entries!$B$2:$B$5000,AP$1))</f>
        <v/>
      </c>
      <c r="AR29" s="23">
        <f>IF(OR(AR$1="",$BM29=0),"",IFERROR(LOOKUP(2,1/((Budgets!$A$2:$A$200=AR$1)*(Budgets!$B$2:$B$200&lt;EDATE($A29,1))),Budgets!$C$2:$C$200),0))</f>
        <v/>
      </c>
      <c r="AS29" s="23">
        <f>IF(OR(AS$1="",$BM29=0),"",IFERROR(LOOKUP(2,1/((Budgets!$A$2:$A$200=AS$1)*(Budgets!$B$2:$B$200&lt;EDATE($A29,1))),Budgets!$C$2:$C$200),0))</f>
        <v/>
      </c>
      <c r="AT29" s="23">
        <f>IF(OR(AT$1="",$BM29=0),"",IFERROR(LOOKUP(2,1/((Budgets!$A$2:$A$200=AT$1)*(Budgets!$B$2:$B$200&lt;EDATE($A29,1))),Budgets!$C$2:$C$200),0))</f>
        <v/>
      </c>
      <c r="AU29" s="23">
        <f>IF(OR(AU$1="",$BM29=0),"",IFERROR(LOOKUP(2,1/((Budgets!$A$2:$A$200=AU$1)*(Budgets!$B$2:$B$200&lt;EDATE($A29,1))),Budgets!$C$2:$C$200),0))</f>
        <v/>
      </c>
      <c r="AV29" s="23">
        <f>IF(OR(AV$1="",$BM29=0),"",IFERROR(LOOKUP(2,1/((Budgets!$A$2:$A$200=AV$1)*(Budgets!$B$2:$B$200&lt;EDATE($A29,1))),Budgets!$C$2:$C$200),0))</f>
        <v/>
      </c>
      <c r="AW29" s="23">
        <f>IF(OR(AW$1="",$BM29=0),"",IFERROR(LOOKUP(2,1/((Budgets!$A$2:$A$200=AW$1)*(Budgets!$B$2:$B$200&lt;EDATE($A29,1))),Budgets!$C$2:$C$200),0))</f>
        <v/>
      </c>
      <c r="AX29" s="23">
        <f>IF(OR(AX$1="",$BM29=0),"",IFERROR(LOOKUP(2,1/((Budgets!$A$2:$A$200=AX$1)*(Budgets!$B$2:$B$200&lt;EDATE($A29,1))),Budgets!$C$2:$C$200),0))</f>
        <v/>
      </c>
      <c r="AY29" s="23">
        <f>IF(OR(AY$1="",$BM29=0),"",IFERROR(LOOKUP(2,1/((Budgets!$A$2:$A$200=AY$1)*(Budgets!$B$2:$B$200&lt;EDATE($A29,1))),Budgets!$C$2:$C$200),0))</f>
        <v/>
      </c>
      <c r="AZ29" s="23">
        <f>IF(OR(AZ$1="",$BM29=0),"",IFERROR(LOOKUP(2,1/((Budgets!$A$2:$A$200=AZ$1)*(Budgets!$B$2:$B$200&lt;EDATE($A29,1))),Budgets!$C$2:$C$200),0))</f>
        <v/>
      </c>
      <c r="BA29" s="23">
        <f>IF(OR(BA$1="",$BM29=0),"",IFERROR(LOOKUP(2,1/((Budgets!$A$2:$A$200=BA$1)*(Budgets!$B$2:$B$200&lt;EDATE($A29,1))),Budgets!$C$2:$C$200),0))</f>
        <v/>
      </c>
      <c r="BB29" s="23">
        <f>IF(OR(BB$1="",$BM29=0),"",IFERROR(LOOKUP(2,1/((Budgets!$A$2:$A$200=BB$1)*(Budgets!$B$2:$B$200&lt;EDATE($A29,1))),Budgets!$C$2:$C$200),0))</f>
        <v/>
      </c>
      <c r="BC29" s="23">
        <f>IF(OR(BC$1="",$BM29=0),"",IFERROR(LOOKUP(2,1/((Budgets!$A$2:$A$200=BC$1)*(Budgets!$B$2:$B$200&lt;EDATE($A29,1))),Budgets!$C$2:$C$200),0))</f>
        <v/>
      </c>
      <c r="BD29" s="23">
        <f>IF(OR(BD$1="",$BM29=0),"",IFERROR(LOOKUP(2,1/((Budgets!$A$2:$A$200=BD$1)*(Budgets!$B$2:$B$200&lt;EDATE($A29,1))),Budgets!$C$2:$C$200),0))</f>
        <v/>
      </c>
      <c r="BE29" s="23">
        <f>IF(OR(BE$1="",$BM29=0),"",IFERROR(LOOKUP(2,1/((Budgets!$A$2:$A$200=BE$1)*(Budgets!$B$2:$B$200&lt;EDATE($A29,1))),Budgets!$C$2:$C$200),0))</f>
        <v/>
      </c>
      <c r="BF29" s="23">
        <f>IF(OR(BF$1="",$BM29=0),"",IFERROR(LOOKUP(2,1/((Budgets!$A$2:$A$200=BF$1)*(Budgets!$B$2:$B$200&lt;EDATE($A29,1))),Budgets!$C$2:$C$200),0))</f>
        <v/>
      </c>
      <c r="BG29" s="23">
        <f>IF(OR(BG$1="",$BM29=0),"",IFERROR(LOOKUP(2,1/((Budgets!$A$2:$A$200=BG$1)*(Budgets!$B$2:$B$200&lt;EDATE($A29,1))),Budgets!$C$2:$C$200),0))</f>
        <v/>
      </c>
      <c r="BH29" s="23">
        <f>IF(OR(BH$1="",$BM29=0),"",IFERROR(LOOKUP(2,1/((Budgets!$A$2:$A$200=BH$1)*(Budgets!$B$2:$B$200&lt;EDATE($A29,1))),Budgets!$C$2:$C$200),0))</f>
        <v/>
      </c>
      <c r="BI29" s="23">
        <f>IF(OR(BI$1="",$BM29=0),"",IFERROR(LOOKUP(2,1/((Budgets!$A$2:$A$200=BI$1)*(Budgets!$B$2:$B$200&lt;EDATE($A29,1))),Budgets!$C$2:$C$200),0))</f>
        <v/>
      </c>
      <c r="BJ29" s="23">
        <f>IF(OR(BJ$1="",$BM29=0),"",IFERROR(LOOKUP(2,1/((Budgets!$A$2:$A$200=BJ$1)*(Budgets!$B$2:$B$200&lt;EDATE($A29,1))),Budgets!$C$2:$C$200),0))</f>
        <v/>
      </c>
      <c r="BK29" s="23">
        <f>IF(OR(BK$1="",$BM29=0),"",IFERROR(LOOKUP(2,1/((Budgets!$A$2:$A$200=BK$1)*(Budgets!$B$2:$B$200&lt;EDATE($A29,1))),Budgets!$C$2:$C$200),0))</f>
        <v/>
      </c>
      <c r="BM29" s="21">
        <f>COUNTIFS(Entries!$A$2:$A$5000,"&gt;="&amp;$A29,Entries!$A$2:$A$5000,"&lt;"&amp;EDATE($A29,1))</f>
        <v/>
      </c>
    </row>
    <row r="30">
      <c r="A30" s="22" t="n">
        <v>40299</v>
      </c>
      <c r="B30" s="23">
        <f>IF($BM30=0,NA(),SUMIFS(Entries!$E$2:$E$5000,Entries!$C$2:$C$5000,"Income",Entries!$A$2:$A$5000,"&gt;="&amp;$A30,Entries!$A$2:$A$5000,"&lt;"&amp;EDATE($A30,1)))</f>
        <v/>
      </c>
      <c r="C30" s="23">
        <f>IF($BM30=0,"",SUMIFS(Entries!$E$2:$E$5000,Entries!$C$2:$C$5000,"Actual",Entries!$A$2:$A$5000,"&gt;="&amp;$A30,Entries!$A$2:$A$5000,"&lt;"&amp;EDATE($A30,1)))</f>
        <v/>
      </c>
      <c r="D30" s="23">
        <f>IF($BM30=0,"",SUMIFS(Entries!$E$2:$E$5000,Entries!$C$2:$C$5000,"One-off",Entries!$A$2:$A$5000,"&gt;="&amp;$A30,Entries!$A$2:$A$5000,"&lt;"&amp;EDATE($A30,1)))</f>
        <v/>
      </c>
      <c r="E30" s="23">
        <f>IF($BM30=0,NA(),C30+D30)</f>
        <v/>
      </c>
      <c r="F30" s="23">
        <f>IF($BM30=0,"",SUM(AR30:BK30))</f>
        <v/>
      </c>
      <c r="G30" s="23">
        <f>IF($BM30=0,"",B30-E30)</f>
        <v/>
      </c>
      <c r="H30" s="23">
        <f>IF($BM30=0,"",SUM($G$2:G30))</f>
        <v/>
      </c>
      <c r="I30" s="23">
        <f>IF($BM30=0,"",SUMIFS(Entries!$G$2:$G$5000,Entries!$A$2:$A$5000,"&gt;="&amp;$A30,Entries!$A$2:$A$5000,"&lt;"&amp;EDATE($A30,1)))</f>
        <v/>
      </c>
      <c r="J30" s="23">
        <f>IF($BM30=0,NA(),H30)</f>
        <v/>
      </c>
      <c r="K30" s="23">
        <f>IF($BM30=0,"",SUMIFS(Entries!$E$2:$E$5000,Entries!$C$2:$C$5000,"Income",Entries!$A$2:$A$5000,"&gt;="&amp;EDATE($A30,-11),Entries!$A$2:$A$5000,"&lt;"&amp;EDATE($A30,1))/COUNTIFS($A$2:$A$400,"&gt;="&amp;EDATE($A30,-11),$A$2:$A$400,"&lt;"&amp;EDATE($A30,1),$BM$2:$BM$400,"&gt;0"))</f>
      </c>
      <c r="L30" s="23">
        <f>IF($BM30=0,"",(SUMIFS(Entries!$E$2:$E$5000,Entries!$C$2:$C$5000,"Actual",Entries!$A$2:$A$5000,"&gt;="&amp;EDATE($A30,-11),Entries!$A$2:$A$5000,"&lt;"&amp;EDATE($A30,1))+SUMIFS(Entries!$E$2:$E$5000,Entries!$C$2:$C$5000,"One-off",Entries!$A$2:$A$5000,"&gt;="&amp;EDATE($A30,-11),Entries!$A$2:$A$5000,"&lt;"&amp;EDATE($A30,1)))/COUNTIFS($A$2:$A$400,"&gt;="&amp;EDATE($A30,-11),$A$2:$A$400,"&lt;"&amp;EDATE($A30,1),$BM$2:$BM$400,"&gt;0"))</f>
      </c>
      <c r="M30" s="24">
        <f>IF($BM30=0,NA(),IFERROR((K30-L30)/K30,0))</f>
        <v/>
      </c>
      <c r="N30" s="23">
        <f>IF($BM30=0,NA(),SUMIFS(Entries!$E$2:$E$5000,Entries!$D$2:$D$5000,"Core",Entries!$A$2:$A$5000,"&gt;="&amp;$A30,Entries!$A$2:$A$5000,"&lt;"&amp;EDATE($A30,1)))</f>
        <v/>
      </c>
      <c r="O30" s="23">
        <f>IF($BM30=0,NA(),SUMIFS(Entries!$E$2:$E$5000,Entries!$D$2:$D$5000,"Over &amp; above",Entries!$A$2:$A$5000,"&gt;="&amp;$A30,Entries!$A$2:$A$5000,"&lt;"&amp;EDATE($A30,1)))</f>
        <v/>
      </c>
      <c r="P30" s="23">
        <f>IF($BM30=0,NA(),SUMIFS(Entries!$E$2:$E$5000,Entries!$D$2:$D$5000,"One-off",Entries!$A$2:$A$5000,"&gt;="&amp;$A30,Entries!$A$2:$A$5000,"&lt;"&amp;EDATE($A30,1)))</f>
        <v/>
      </c>
      <c r="Q30" s="23">
        <f>IF($BM30=0,NA(),SUMIFS(Entries!$E$2:$E$5000,Entries!$D$2:$D$5000,"Reimbursable",Entries!$A$2:$A$5000,"&gt;="&amp;$A30,Entries!$A$2:$A$5000,"&lt;"&amp;EDATE($A30,1)))</f>
        <v/>
      </c>
      <c r="R30" s="23">
        <f>IF($BM30=0,NA(),SUMIFS(Entries!$E$2:$E$5000,Entries!$D$2:$D$5000,"Investment",Entries!$A$2:$A$5000,"&gt;="&amp;$A30,Entries!$A$2:$A$5000,"&lt;"&amp;EDATE($A30,1)))</f>
        <v/>
      </c>
      <c r="S30" s="23">
        <f>IF($BM30=0,NA(),N30+O30)</f>
        <v/>
      </c>
      <c r="T30" s="23">
        <f>IF($BM30=0,"",E30-Q30)</f>
        <v/>
      </c>
      <c r="W30" s="23">
        <f>IF(OR(W$1="",$BM30=0),"",SUMIFS(Entries!$E$2:$E$5000,Entries!$C$2:$C$5000,"Actual",Entries!$A$2:$A$5000,"&gt;="&amp;$A30,Entries!$A$2:$A$5000,"&lt;"&amp;EDATE($A30,1),Entries!$B$2:$B$5000,W$1))</f>
        <v/>
      </c>
      <c r="X30" s="23">
        <f>IF(OR(X$1="",$BM30=0),"",SUMIFS(Entries!$E$2:$E$5000,Entries!$C$2:$C$5000,"Actual",Entries!$A$2:$A$5000,"&gt;="&amp;$A30,Entries!$A$2:$A$5000,"&lt;"&amp;EDATE($A30,1),Entries!$B$2:$B$5000,X$1))</f>
        <v/>
      </c>
      <c r="Y30" s="23">
        <f>IF(OR(Y$1="",$BM30=0),"",SUMIFS(Entries!$E$2:$E$5000,Entries!$C$2:$C$5000,"Actual",Entries!$A$2:$A$5000,"&gt;="&amp;$A30,Entries!$A$2:$A$5000,"&lt;"&amp;EDATE($A30,1),Entries!$B$2:$B$5000,Y$1))</f>
        <v/>
      </c>
      <c r="Z30" s="23">
        <f>IF(OR(Z$1="",$BM30=0),"",SUMIFS(Entries!$E$2:$E$5000,Entries!$C$2:$C$5000,"Actual",Entries!$A$2:$A$5000,"&gt;="&amp;$A30,Entries!$A$2:$A$5000,"&lt;"&amp;EDATE($A30,1),Entries!$B$2:$B$5000,Z$1))</f>
        <v/>
      </c>
      <c r="AA30" s="23">
        <f>IF(OR(AA$1="",$BM30=0),"",SUMIFS(Entries!$E$2:$E$5000,Entries!$C$2:$C$5000,"Actual",Entries!$A$2:$A$5000,"&gt;="&amp;$A30,Entries!$A$2:$A$5000,"&lt;"&amp;EDATE($A30,1),Entries!$B$2:$B$5000,AA$1))</f>
        <v/>
      </c>
      <c r="AB30" s="23">
        <f>IF(OR(AB$1="",$BM30=0),"",SUMIFS(Entries!$E$2:$E$5000,Entries!$C$2:$C$5000,"Actual",Entries!$A$2:$A$5000,"&gt;="&amp;$A30,Entries!$A$2:$A$5000,"&lt;"&amp;EDATE($A30,1),Entries!$B$2:$B$5000,AB$1))</f>
        <v/>
      </c>
      <c r="AC30" s="23">
        <f>IF(OR(AC$1="",$BM30=0),"",SUMIFS(Entries!$E$2:$E$5000,Entries!$C$2:$C$5000,"Actual",Entries!$A$2:$A$5000,"&gt;="&amp;$A30,Entries!$A$2:$A$5000,"&lt;"&amp;EDATE($A30,1),Entries!$B$2:$B$5000,AC$1))</f>
        <v/>
      </c>
      <c r="AD30" s="23">
        <f>IF(OR(AD$1="",$BM30=0),"",SUMIFS(Entries!$E$2:$E$5000,Entries!$C$2:$C$5000,"Actual",Entries!$A$2:$A$5000,"&gt;="&amp;$A30,Entries!$A$2:$A$5000,"&lt;"&amp;EDATE($A30,1),Entries!$B$2:$B$5000,AD$1))</f>
        <v/>
      </c>
      <c r="AE30" s="23">
        <f>IF(OR(AE$1="",$BM30=0),"",SUMIFS(Entries!$E$2:$E$5000,Entries!$C$2:$C$5000,"Actual",Entries!$A$2:$A$5000,"&gt;="&amp;$A30,Entries!$A$2:$A$5000,"&lt;"&amp;EDATE($A30,1),Entries!$B$2:$B$5000,AE$1))</f>
        <v/>
      </c>
      <c r="AF30" s="23">
        <f>IF(OR(AF$1="",$BM30=0),"",SUMIFS(Entries!$E$2:$E$5000,Entries!$C$2:$C$5000,"Actual",Entries!$A$2:$A$5000,"&gt;="&amp;$A30,Entries!$A$2:$A$5000,"&lt;"&amp;EDATE($A30,1),Entries!$B$2:$B$5000,AF$1))</f>
        <v/>
      </c>
      <c r="AG30" s="23">
        <f>IF(OR(AG$1="",$BM30=0),"",SUMIFS(Entries!$E$2:$E$5000,Entries!$C$2:$C$5000,"Actual",Entries!$A$2:$A$5000,"&gt;="&amp;$A30,Entries!$A$2:$A$5000,"&lt;"&amp;EDATE($A30,1),Entries!$B$2:$B$5000,AG$1))</f>
        <v/>
      </c>
      <c r="AH30" s="23">
        <f>IF(OR(AH$1="",$BM30=0),"",SUMIFS(Entries!$E$2:$E$5000,Entries!$C$2:$C$5000,"Actual",Entries!$A$2:$A$5000,"&gt;="&amp;$A30,Entries!$A$2:$A$5000,"&lt;"&amp;EDATE($A30,1),Entries!$B$2:$B$5000,AH$1))</f>
        <v/>
      </c>
      <c r="AI30" s="23">
        <f>IF(OR(AI$1="",$BM30=0),"",SUMIFS(Entries!$E$2:$E$5000,Entries!$C$2:$C$5000,"Actual",Entries!$A$2:$A$5000,"&gt;="&amp;$A30,Entries!$A$2:$A$5000,"&lt;"&amp;EDATE($A30,1),Entries!$B$2:$B$5000,AI$1))</f>
        <v/>
      </c>
      <c r="AJ30" s="23">
        <f>IF(OR(AJ$1="",$BM30=0),"",SUMIFS(Entries!$E$2:$E$5000,Entries!$C$2:$C$5000,"Actual",Entries!$A$2:$A$5000,"&gt;="&amp;$A30,Entries!$A$2:$A$5000,"&lt;"&amp;EDATE($A30,1),Entries!$B$2:$B$5000,AJ$1))</f>
        <v/>
      </c>
      <c r="AK30" s="23">
        <f>IF(OR(AK$1="",$BM30=0),"",SUMIFS(Entries!$E$2:$E$5000,Entries!$C$2:$C$5000,"Actual",Entries!$A$2:$A$5000,"&gt;="&amp;$A30,Entries!$A$2:$A$5000,"&lt;"&amp;EDATE($A30,1),Entries!$B$2:$B$5000,AK$1))</f>
        <v/>
      </c>
      <c r="AL30" s="23">
        <f>IF(OR(AL$1="",$BM30=0),"",SUMIFS(Entries!$E$2:$E$5000,Entries!$C$2:$C$5000,"Actual",Entries!$A$2:$A$5000,"&gt;="&amp;$A30,Entries!$A$2:$A$5000,"&lt;"&amp;EDATE($A30,1),Entries!$B$2:$B$5000,AL$1))</f>
        <v/>
      </c>
      <c r="AM30" s="23">
        <f>IF(OR(AM$1="",$BM30=0),"",SUMIFS(Entries!$E$2:$E$5000,Entries!$C$2:$C$5000,"Actual",Entries!$A$2:$A$5000,"&gt;="&amp;$A30,Entries!$A$2:$A$5000,"&lt;"&amp;EDATE($A30,1),Entries!$B$2:$B$5000,AM$1))</f>
        <v/>
      </c>
      <c r="AN30" s="23">
        <f>IF(OR(AN$1="",$BM30=0),"",SUMIFS(Entries!$E$2:$E$5000,Entries!$C$2:$C$5000,"Actual",Entries!$A$2:$A$5000,"&gt;="&amp;$A30,Entries!$A$2:$A$5000,"&lt;"&amp;EDATE($A30,1),Entries!$B$2:$B$5000,AN$1))</f>
        <v/>
      </c>
      <c r="AO30" s="23">
        <f>IF(OR(AO$1="",$BM30=0),"",SUMIFS(Entries!$E$2:$E$5000,Entries!$C$2:$C$5000,"Actual",Entries!$A$2:$A$5000,"&gt;="&amp;$A30,Entries!$A$2:$A$5000,"&lt;"&amp;EDATE($A30,1),Entries!$B$2:$B$5000,AO$1))</f>
        <v/>
      </c>
      <c r="AP30" s="23">
        <f>IF(OR(AP$1="",$BM30=0),"",SUMIFS(Entries!$E$2:$E$5000,Entries!$C$2:$C$5000,"Actual",Entries!$A$2:$A$5000,"&gt;="&amp;$A30,Entries!$A$2:$A$5000,"&lt;"&amp;EDATE($A30,1),Entries!$B$2:$B$5000,AP$1))</f>
        <v/>
      </c>
      <c r="AR30" s="23">
        <f>IF(OR(AR$1="",$BM30=0),"",IFERROR(LOOKUP(2,1/((Budgets!$A$2:$A$200=AR$1)*(Budgets!$B$2:$B$200&lt;EDATE($A30,1))),Budgets!$C$2:$C$200),0))</f>
        <v/>
      </c>
      <c r="AS30" s="23">
        <f>IF(OR(AS$1="",$BM30=0),"",IFERROR(LOOKUP(2,1/((Budgets!$A$2:$A$200=AS$1)*(Budgets!$B$2:$B$200&lt;EDATE($A30,1))),Budgets!$C$2:$C$200),0))</f>
        <v/>
      </c>
      <c r="AT30" s="23">
        <f>IF(OR(AT$1="",$BM30=0),"",IFERROR(LOOKUP(2,1/((Budgets!$A$2:$A$200=AT$1)*(Budgets!$B$2:$B$200&lt;EDATE($A30,1))),Budgets!$C$2:$C$200),0))</f>
        <v/>
      </c>
      <c r="AU30" s="23">
        <f>IF(OR(AU$1="",$BM30=0),"",IFERROR(LOOKUP(2,1/((Budgets!$A$2:$A$200=AU$1)*(Budgets!$B$2:$B$200&lt;EDATE($A30,1))),Budgets!$C$2:$C$200),0))</f>
        <v/>
      </c>
      <c r="AV30" s="23">
        <f>IF(OR(AV$1="",$BM30=0),"",IFERROR(LOOKUP(2,1/((Budgets!$A$2:$A$200=AV$1)*(Budgets!$B$2:$B$200&lt;EDATE($A30,1))),Budgets!$C$2:$C$200),0))</f>
        <v/>
      </c>
      <c r="AW30" s="23">
        <f>IF(OR(AW$1="",$BM30=0),"",IFERROR(LOOKUP(2,1/((Budgets!$A$2:$A$200=AW$1)*(Budgets!$B$2:$B$200&lt;EDATE($A30,1))),Budgets!$C$2:$C$200),0))</f>
        <v/>
      </c>
      <c r="AX30" s="23">
        <f>IF(OR(AX$1="",$BM30=0),"",IFERROR(LOOKUP(2,1/((Budgets!$A$2:$A$200=AX$1)*(Budgets!$B$2:$B$200&lt;EDATE($A30,1))),Budgets!$C$2:$C$200),0))</f>
        <v/>
      </c>
      <c r="AY30" s="23">
        <f>IF(OR(AY$1="",$BM30=0),"",IFERROR(LOOKUP(2,1/((Budgets!$A$2:$A$200=AY$1)*(Budgets!$B$2:$B$200&lt;EDATE($A30,1))),Budgets!$C$2:$C$200),0))</f>
        <v/>
      </c>
      <c r="AZ30" s="23">
        <f>IF(OR(AZ$1="",$BM30=0),"",IFERROR(LOOKUP(2,1/((Budgets!$A$2:$A$200=AZ$1)*(Budgets!$B$2:$B$200&lt;EDATE($A30,1))),Budgets!$C$2:$C$200),0))</f>
        <v/>
      </c>
      <c r="BA30" s="23">
        <f>IF(OR(BA$1="",$BM30=0),"",IFERROR(LOOKUP(2,1/((Budgets!$A$2:$A$200=BA$1)*(Budgets!$B$2:$B$200&lt;EDATE($A30,1))),Budgets!$C$2:$C$200),0))</f>
        <v/>
      </c>
      <c r="BB30" s="23">
        <f>IF(OR(BB$1="",$BM30=0),"",IFERROR(LOOKUP(2,1/((Budgets!$A$2:$A$200=BB$1)*(Budgets!$B$2:$B$200&lt;EDATE($A30,1))),Budgets!$C$2:$C$200),0))</f>
        <v/>
      </c>
      <c r="BC30" s="23">
        <f>IF(OR(BC$1="",$BM30=0),"",IFERROR(LOOKUP(2,1/((Budgets!$A$2:$A$200=BC$1)*(Budgets!$B$2:$B$200&lt;EDATE($A30,1))),Budgets!$C$2:$C$200),0))</f>
        <v/>
      </c>
      <c r="BD30" s="23">
        <f>IF(OR(BD$1="",$BM30=0),"",IFERROR(LOOKUP(2,1/((Budgets!$A$2:$A$200=BD$1)*(Budgets!$B$2:$B$200&lt;EDATE($A30,1))),Budgets!$C$2:$C$200),0))</f>
        <v/>
      </c>
      <c r="BE30" s="23">
        <f>IF(OR(BE$1="",$BM30=0),"",IFERROR(LOOKUP(2,1/((Budgets!$A$2:$A$200=BE$1)*(Budgets!$B$2:$B$200&lt;EDATE($A30,1))),Budgets!$C$2:$C$200),0))</f>
        <v/>
      </c>
      <c r="BF30" s="23">
        <f>IF(OR(BF$1="",$BM30=0),"",IFERROR(LOOKUP(2,1/((Budgets!$A$2:$A$200=BF$1)*(Budgets!$B$2:$B$200&lt;EDATE($A30,1))),Budgets!$C$2:$C$200),0))</f>
        <v/>
      </c>
      <c r="BG30" s="23">
        <f>IF(OR(BG$1="",$BM30=0),"",IFERROR(LOOKUP(2,1/((Budgets!$A$2:$A$200=BG$1)*(Budgets!$B$2:$B$200&lt;EDATE($A30,1))),Budgets!$C$2:$C$200),0))</f>
        <v/>
      </c>
      <c r="BH30" s="23">
        <f>IF(OR(BH$1="",$BM30=0),"",IFERROR(LOOKUP(2,1/((Budgets!$A$2:$A$200=BH$1)*(Budgets!$B$2:$B$200&lt;EDATE($A30,1))),Budgets!$C$2:$C$200),0))</f>
        <v/>
      </c>
      <c r="BI30" s="23">
        <f>IF(OR(BI$1="",$BM30=0),"",IFERROR(LOOKUP(2,1/((Budgets!$A$2:$A$200=BI$1)*(Budgets!$B$2:$B$200&lt;EDATE($A30,1))),Budgets!$C$2:$C$200),0))</f>
        <v/>
      </c>
      <c r="BJ30" s="23">
        <f>IF(OR(BJ$1="",$BM30=0),"",IFERROR(LOOKUP(2,1/((Budgets!$A$2:$A$200=BJ$1)*(Budgets!$B$2:$B$200&lt;EDATE($A30,1))),Budgets!$C$2:$C$200),0))</f>
        <v/>
      </c>
      <c r="BK30" s="23">
        <f>IF(OR(BK$1="",$BM30=0),"",IFERROR(LOOKUP(2,1/((Budgets!$A$2:$A$200=BK$1)*(Budgets!$B$2:$B$200&lt;EDATE($A30,1))),Budgets!$C$2:$C$200),0))</f>
        <v/>
      </c>
      <c r="BM30" s="21">
        <f>COUNTIFS(Entries!$A$2:$A$5000,"&gt;="&amp;$A30,Entries!$A$2:$A$5000,"&lt;"&amp;EDATE($A30,1))</f>
        <v/>
      </c>
    </row>
    <row r="31">
      <c r="A31" s="22" t="n">
        <v>40330</v>
      </c>
      <c r="B31" s="23">
        <f>IF($BM31=0,NA(),SUMIFS(Entries!$E$2:$E$5000,Entries!$C$2:$C$5000,"Income",Entries!$A$2:$A$5000,"&gt;="&amp;$A31,Entries!$A$2:$A$5000,"&lt;"&amp;EDATE($A31,1)))</f>
        <v/>
      </c>
      <c r="C31" s="23">
        <f>IF($BM31=0,"",SUMIFS(Entries!$E$2:$E$5000,Entries!$C$2:$C$5000,"Actual",Entries!$A$2:$A$5000,"&gt;="&amp;$A31,Entries!$A$2:$A$5000,"&lt;"&amp;EDATE($A31,1)))</f>
        <v/>
      </c>
      <c r="D31" s="23">
        <f>IF($BM31=0,"",SUMIFS(Entries!$E$2:$E$5000,Entries!$C$2:$C$5000,"One-off",Entries!$A$2:$A$5000,"&gt;="&amp;$A31,Entries!$A$2:$A$5000,"&lt;"&amp;EDATE($A31,1)))</f>
        <v/>
      </c>
      <c r="E31" s="23">
        <f>IF($BM31=0,NA(),C31+D31)</f>
        <v/>
      </c>
      <c r="F31" s="23">
        <f>IF($BM31=0,"",SUM(AR31:BK31))</f>
        <v/>
      </c>
      <c r="G31" s="23">
        <f>IF($BM31=0,"",B31-E31)</f>
        <v/>
      </c>
      <c r="H31" s="23">
        <f>IF($BM31=0,"",SUM($G$2:G31))</f>
        <v/>
      </c>
      <c r="I31" s="23">
        <f>IF($BM31=0,"",SUMIFS(Entries!$G$2:$G$5000,Entries!$A$2:$A$5000,"&gt;="&amp;$A31,Entries!$A$2:$A$5000,"&lt;"&amp;EDATE($A31,1)))</f>
        <v/>
      </c>
      <c r="J31" s="23">
        <f>IF($BM31=0,NA(),H31)</f>
        <v/>
      </c>
      <c r="K31" s="23">
        <f>IF($BM31=0,"",SUMIFS(Entries!$E$2:$E$5000,Entries!$C$2:$C$5000,"Income",Entries!$A$2:$A$5000,"&gt;="&amp;EDATE($A31,-11),Entries!$A$2:$A$5000,"&lt;"&amp;EDATE($A31,1))/COUNTIFS($A$2:$A$400,"&gt;="&amp;EDATE($A31,-11),$A$2:$A$400,"&lt;"&amp;EDATE($A31,1),$BM$2:$BM$400,"&gt;0"))</f>
      </c>
      <c r="L31" s="23">
        <f>IF($BM31=0,"",(SUMIFS(Entries!$E$2:$E$5000,Entries!$C$2:$C$5000,"Actual",Entries!$A$2:$A$5000,"&gt;="&amp;EDATE($A31,-11),Entries!$A$2:$A$5000,"&lt;"&amp;EDATE($A31,1))+SUMIFS(Entries!$E$2:$E$5000,Entries!$C$2:$C$5000,"One-off",Entries!$A$2:$A$5000,"&gt;="&amp;EDATE($A31,-11),Entries!$A$2:$A$5000,"&lt;"&amp;EDATE($A31,1)))/COUNTIFS($A$2:$A$400,"&gt;="&amp;EDATE($A31,-11),$A$2:$A$400,"&lt;"&amp;EDATE($A31,1),$BM$2:$BM$400,"&gt;0"))</f>
      </c>
      <c r="M31" s="24">
        <f>IF($BM31=0,NA(),IFERROR((K31-L31)/K31,0))</f>
        <v/>
      </c>
      <c r="N31" s="23">
        <f>IF($BM31=0,NA(),SUMIFS(Entries!$E$2:$E$5000,Entries!$D$2:$D$5000,"Core",Entries!$A$2:$A$5000,"&gt;="&amp;$A31,Entries!$A$2:$A$5000,"&lt;"&amp;EDATE($A31,1)))</f>
        <v/>
      </c>
      <c r="O31" s="23">
        <f>IF($BM31=0,NA(),SUMIFS(Entries!$E$2:$E$5000,Entries!$D$2:$D$5000,"Over &amp; above",Entries!$A$2:$A$5000,"&gt;="&amp;$A31,Entries!$A$2:$A$5000,"&lt;"&amp;EDATE($A31,1)))</f>
        <v/>
      </c>
      <c r="P31" s="23">
        <f>IF($BM31=0,NA(),SUMIFS(Entries!$E$2:$E$5000,Entries!$D$2:$D$5000,"One-off",Entries!$A$2:$A$5000,"&gt;="&amp;$A31,Entries!$A$2:$A$5000,"&lt;"&amp;EDATE($A31,1)))</f>
        <v/>
      </c>
      <c r="Q31" s="23">
        <f>IF($BM31=0,NA(),SUMIFS(Entries!$E$2:$E$5000,Entries!$D$2:$D$5000,"Reimbursable",Entries!$A$2:$A$5000,"&gt;="&amp;$A31,Entries!$A$2:$A$5000,"&lt;"&amp;EDATE($A31,1)))</f>
        <v/>
      </c>
      <c r="R31" s="23">
        <f>IF($BM31=0,NA(),SUMIFS(Entries!$E$2:$E$5000,Entries!$D$2:$D$5000,"Investment",Entries!$A$2:$A$5000,"&gt;="&amp;$A31,Entries!$A$2:$A$5000,"&lt;"&amp;EDATE($A31,1)))</f>
        <v/>
      </c>
      <c r="S31" s="23">
        <f>IF($BM31=0,NA(),N31+O31)</f>
        <v/>
      </c>
      <c r="T31" s="23">
        <f>IF($BM31=0,"",E31-Q31)</f>
        <v/>
      </c>
      <c r="W31" s="23">
        <f>IF(OR(W$1="",$BM31=0),"",SUMIFS(Entries!$E$2:$E$5000,Entries!$C$2:$C$5000,"Actual",Entries!$A$2:$A$5000,"&gt;="&amp;$A31,Entries!$A$2:$A$5000,"&lt;"&amp;EDATE($A31,1),Entries!$B$2:$B$5000,W$1))</f>
        <v/>
      </c>
      <c r="X31" s="23">
        <f>IF(OR(X$1="",$BM31=0),"",SUMIFS(Entries!$E$2:$E$5000,Entries!$C$2:$C$5000,"Actual",Entries!$A$2:$A$5000,"&gt;="&amp;$A31,Entries!$A$2:$A$5000,"&lt;"&amp;EDATE($A31,1),Entries!$B$2:$B$5000,X$1))</f>
        <v/>
      </c>
      <c r="Y31" s="23">
        <f>IF(OR(Y$1="",$BM31=0),"",SUMIFS(Entries!$E$2:$E$5000,Entries!$C$2:$C$5000,"Actual",Entries!$A$2:$A$5000,"&gt;="&amp;$A31,Entries!$A$2:$A$5000,"&lt;"&amp;EDATE($A31,1),Entries!$B$2:$B$5000,Y$1))</f>
        <v/>
      </c>
      <c r="Z31" s="23">
        <f>IF(OR(Z$1="",$BM31=0),"",SUMIFS(Entries!$E$2:$E$5000,Entries!$C$2:$C$5000,"Actual",Entries!$A$2:$A$5000,"&gt;="&amp;$A31,Entries!$A$2:$A$5000,"&lt;"&amp;EDATE($A31,1),Entries!$B$2:$B$5000,Z$1))</f>
        <v/>
      </c>
      <c r="AA31" s="23">
        <f>IF(OR(AA$1="",$BM31=0),"",SUMIFS(Entries!$E$2:$E$5000,Entries!$C$2:$C$5000,"Actual",Entries!$A$2:$A$5000,"&gt;="&amp;$A31,Entries!$A$2:$A$5000,"&lt;"&amp;EDATE($A31,1),Entries!$B$2:$B$5000,AA$1))</f>
        <v/>
      </c>
      <c r="AB31" s="23">
        <f>IF(OR(AB$1="",$BM31=0),"",SUMIFS(Entries!$E$2:$E$5000,Entries!$C$2:$C$5000,"Actual",Entries!$A$2:$A$5000,"&gt;="&amp;$A31,Entries!$A$2:$A$5000,"&lt;"&amp;EDATE($A31,1),Entries!$B$2:$B$5000,AB$1))</f>
        <v/>
      </c>
      <c r="AC31" s="23">
        <f>IF(OR(AC$1="",$BM31=0),"",SUMIFS(Entries!$E$2:$E$5000,Entries!$C$2:$C$5000,"Actual",Entries!$A$2:$A$5000,"&gt;="&amp;$A31,Entries!$A$2:$A$5000,"&lt;"&amp;EDATE($A31,1),Entries!$B$2:$B$5000,AC$1))</f>
        <v/>
      </c>
      <c r="AD31" s="23">
        <f>IF(OR(AD$1="",$BM31=0),"",SUMIFS(Entries!$E$2:$E$5000,Entries!$C$2:$C$5000,"Actual",Entries!$A$2:$A$5000,"&gt;="&amp;$A31,Entries!$A$2:$A$5000,"&lt;"&amp;EDATE($A31,1),Entries!$B$2:$B$5000,AD$1))</f>
        <v/>
      </c>
      <c r="AE31" s="23">
        <f>IF(OR(AE$1="",$BM31=0),"",SUMIFS(Entries!$E$2:$E$5000,Entries!$C$2:$C$5000,"Actual",Entries!$A$2:$A$5000,"&gt;="&amp;$A31,Entries!$A$2:$A$5000,"&lt;"&amp;EDATE($A31,1),Entries!$B$2:$B$5000,AE$1))</f>
        <v/>
      </c>
      <c r="AF31" s="23">
        <f>IF(OR(AF$1="",$BM31=0),"",SUMIFS(Entries!$E$2:$E$5000,Entries!$C$2:$C$5000,"Actual",Entries!$A$2:$A$5000,"&gt;="&amp;$A31,Entries!$A$2:$A$5000,"&lt;"&amp;EDATE($A31,1),Entries!$B$2:$B$5000,AF$1))</f>
        <v/>
      </c>
      <c r="AG31" s="23">
        <f>IF(OR(AG$1="",$BM31=0),"",SUMIFS(Entries!$E$2:$E$5000,Entries!$C$2:$C$5000,"Actual",Entries!$A$2:$A$5000,"&gt;="&amp;$A31,Entries!$A$2:$A$5000,"&lt;"&amp;EDATE($A31,1),Entries!$B$2:$B$5000,AG$1))</f>
        <v/>
      </c>
      <c r="AH31" s="23">
        <f>IF(OR(AH$1="",$BM31=0),"",SUMIFS(Entries!$E$2:$E$5000,Entries!$C$2:$C$5000,"Actual",Entries!$A$2:$A$5000,"&gt;="&amp;$A31,Entries!$A$2:$A$5000,"&lt;"&amp;EDATE($A31,1),Entries!$B$2:$B$5000,AH$1))</f>
        <v/>
      </c>
      <c r="AI31" s="23">
        <f>IF(OR(AI$1="",$BM31=0),"",SUMIFS(Entries!$E$2:$E$5000,Entries!$C$2:$C$5000,"Actual",Entries!$A$2:$A$5000,"&gt;="&amp;$A31,Entries!$A$2:$A$5000,"&lt;"&amp;EDATE($A31,1),Entries!$B$2:$B$5000,AI$1))</f>
        <v/>
      </c>
      <c r="AJ31" s="23">
        <f>IF(OR(AJ$1="",$BM31=0),"",SUMIFS(Entries!$E$2:$E$5000,Entries!$C$2:$C$5000,"Actual",Entries!$A$2:$A$5000,"&gt;="&amp;$A31,Entries!$A$2:$A$5000,"&lt;"&amp;EDATE($A31,1),Entries!$B$2:$B$5000,AJ$1))</f>
        <v/>
      </c>
      <c r="AK31" s="23">
        <f>IF(OR(AK$1="",$BM31=0),"",SUMIFS(Entries!$E$2:$E$5000,Entries!$C$2:$C$5000,"Actual",Entries!$A$2:$A$5000,"&gt;="&amp;$A31,Entries!$A$2:$A$5000,"&lt;"&amp;EDATE($A31,1),Entries!$B$2:$B$5000,AK$1))</f>
        <v/>
      </c>
      <c r="AL31" s="23">
        <f>IF(OR(AL$1="",$BM31=0),"",SUMIFS(Entries!$E$2:$E$5000,Entries!$C$2:$C$5000,"Actual",Entries!$A$2:$A$5000,"&gt;="&amp;$A31,Entries!$A$2:$A$5000,"&lt;"&amp;EDATE($A31,1),Entries!$B$2:$B$5000,AL$1))</f>
        <v/>
      </c>
      <c r="AM31" s="23">
        <f>IF(OR(AM$1="",$BM31=0),"",SUMIFS(Entries!$E$2:$E$5000,Entries!$C$2:$C$5000,"Actual",Entries!$A$2:$A$5000,"&gt;="&amp;$A31,Entries!$A$2:$A$5000,"&lt;"&amp;EDATE($A31,1),Entries!$B$2:$B$5000,AM$1))</f>
        <v/>
      </c>
      <c r="AN31" s="23">
        <f>IF(OR(AN$1="",$BM31=0),"",SUMIFS(Entries!$E$2:$E$5000,Entries!$C$2:$C$5000,"Actual",Entries!$A$2:$A$5000,"&gt;="&amp;$A31,Entries!$A$2:$A$5000,"&lt;"&amp;EDATE($A31,1),Entries!$B$2:$B$5000,AN$1))</f>
        <v/>
      </c>
      <c r="AO31" s="23">
        <f>IF(OR(AO$1="",$BM31=0),"",SUMIFS(Entries!$E$2:$E$5000,Entries!$C$2:$C$5000,"Actual",Entries!$A$2:$A$5000,"&gt;="&amp;$A31,Entries!$A$2:$A$5000,"&lt;"&amp;EDATE($A31,1),Entries!$B$2:$B$5000,AO$1))</f>
        <v/>
      </c>
      <c r="AP31" s="23">
        <f>IF(OR(AP$1="",$BM31=0),"",SUMIFS(Entries!$E$2:$E$5000,Entries!$C$2:$C$5000,"Actual",Entries!$A$2:$A$5000,"&gt;="&amp;$A31,Entries!$A$2:$A$5000,"&lt;"&amp;EDATE($A31,1),Entries!$B$2:$B$5000,AP$1))</f>
        <v/>
      </c>
      <c r="AR31" s="23">
        <f>IF(OR(AR$1="",$BM31=0),"",IFERROR(LOOKUP(2,1/((Budgets!$A$2:$A$200=AR$1)*(Budgets!$B$2:$B$200&lt;EDATE($A31,1))),Budgets!$C$2:$C$200),0))</f>
        <v/>
      </c>
      <c r="AS31" s="23">
        <f>IF(OR(AS$1="",$BM31=0),"",IFERROR(LOOKUP(2,1/((Budgets!$A$2:$A$200=AS$1)*(Budgets!$B$2:$B$200&lt;EDATE($A31,1))),Budgets!$C$2:$C$200),0))</f>
        <v/>
      </c>
      <c r="AT31" s="23">
        <f>IF(OR(AT$1="",$BM31=0),"",IFERROR(LOOKUP(2,1/((Budgets!$A$2:$A$200=AT$1)*(Budgets!$B$2:$B$200&lt;EDATE($A31,1))),Budgets!$C$2:$C$200),0))</f>
        <v/>
      </c>
      <c r="AU31" s="23">
        <f>IF(OR(AU$1="",$BM31=0),"",IFERROR(LOOKUP(2,1/((Budgets!$A$2:$A$200=AU$1)*(Budgets!$B$2:$B$200&lt;EDATE($A31,1))),Budgets!$C$2:$C$200),0))</f>
        <v/>
      </c>
      <c r="AV31" s="23">
        <f>IF(OR(AV$1="",$BM31=0),"",IFERROR(LOOKUP(2,1/((Budgets!$A$2:$A$200=AV$1)*(Budgets!$B$2:$B$200&lt;EDATE($A31,1))),Budgets!$C$2:$C$200),0))</f>
        <v/>
      </c>
      <c r="AW31" s="23">
        <f>IF(OR(AW$1="",$BM31=0),"",IFERROR(LOOKUP(2,1/((Budgets!$A$2:$A$200=AW$1)*(Budgets!$B$2:$B$200&lt;EDATE($A31,1))),Budgets!$C$2:$C$200),0))</f>
        <v/>
      </c>
      <c r="AX31" s="23">
        <f>IF(OR(AX$1="",$BM31=0),"",IFERROR(LOOKUP(2,1/((Budgets!$A$2:$A$200=AX$1)*(Budgets!$B$2:$B$200&lt;EDATE($A31,1))),Budgets!$C$2:$C$200),0))</f>
        <v/>
      </c>
      <c r="AY31" s="23">
        <f>IF(OR(AY$1="",$BM31=0),"",IFERROR(LOOKUP(2,1/((Budgets!$A$2:$A$200=AY$1)*(Budgets!$B$2:$B$200&lt;EDATE($A31,1))),Budgets!$C$2:$C$200),0))</f>
        <v/>
      </c>
      <c r="AZ31" s="23">
        <f>IF(OR(AZ$1="",$BM31=0),"",IFERROR(LOOKUP(2,1/((Budgets!$A$2:$A$200=AZ$1)*(Budgets!$B$2:$B$200&lt;EDATE($A31,1))),Budgets!$C$2:$C$200),0))</f>
        <v/>
      </c>
      <c r="BA31" s="23">
        <f>IF(OR(BA$1="",$BM31=0),"",IFERROR(LOOKUP(2,1/((Budgets!$A$2:$A$200=BA$1)*(Budgets!$B$2:$B$200&lt;EDATE($A31,1))),Budgets!$C$2:$C$200),0))</f>
        <v/>
      </c>
      <c r="BB31" s="23">
        <f>IF(OR(BB$1="",$BM31=0),"",IFERROR(LOOKUP(2,1/((Budgets!$A$2:$A$200=BB$1)*(Budgets!$B$2:$B$200&lt;EDATE($A31,1))),Budgets!$C$2:$C$200),0))</f>
        <v/>
      </c>
      <c r="BC31" s="23">
        <f>IF(OR(BC$1="",$BM31=0),"",IFERROR(LOOKUP(2,1/((Budgets!$A$2:$A$200=BC$1)*(Budgets!$B$2:$B$200&lt;EDATE($A31,1))),Budgets!$C$2:$C$200),0))</f>
        <v/>
      </c>
      <c r="BD31" s="23">
        <f>IF(OR(BD$1="",$BM31=0),"",IFERROR(LOOKUP(2,1/((Budgets!$A$2:$A$200=BD$1)*(Budgets!$B$2:$B$200&lt;EDATE($A31,1))),Budgets!$C$2:$C$200),0))</f>
        <v/>
      </c>
      <c r="BE31" s="23">
        <f>IF(OR(BE$1="",$BM31=0),"",IFERROR(LOOKUP(2,1/((Budgets!$A$2:$A$200=BE$1)*(Budgets!$B$2:$B$200&lt;EDATE($A31,1))),Budgets!$C$2:$C$200),0))</f>
        <v/>
      </c>
      <c r="BF31" s="23">
        <f>IF(OR(BF$1="",$BM31=0),"",IFERROR(LOOKUP(2,1/((Budgets!$A$2:$A$200=BF$1)*(Budgets!$B$2:$B$200&lt;EDATE($A31,1))),Budgets!$C$2:$C$200),0))</f>
        <v/>
      </c>
      <c r="BG31" s="23">
        <f>IF(OR(BG$1="",$BM31=0),"",IFERROR(LOOKUP(2,1/((Budgets!$A$2:$A$200=BG$1)*(Budgets!$B$2:$B$200&lt;EDATE($A31,1))),Budgets!$C$2:$C$200),0))</f>
        <v/>
      </c>
      <c r="BH31" s="23">
        <f>IF(OR(BH$1="",$BM31=0),"",IFERROR(LOOKUP(2,1/((Budgets!$A$2:$A$200=BH$1)*(Budgets!$B$2:$B$200&lt;EDATE($A31,1))),Budgets!$C$2:$C$200),0))</f>
        <v/>
      </c>
      <c r="BI31" s="23">
        <f>IF(OR(BI$1="",$BM31=0),"",IFERROR(LOOKUP(2,1/((Budgets!$A$2:$A$200=BI$1)*(Budgets!$B$2:$B$200&lt;EDATE($A31,1))),Budgets!$C$2:$C$200),0))</f>
        <v/>
      </c>
      <c r="BJ31" s="23">
        <f>IF(OR(BJ$1="",$BM31=0),"",IFERROR(LOOKUP(2,1/((Budgets!$A$2:$A$200=BJ$1)*(Budgets!$B$2:$B$200&lt;EDATE($A31,1))),Budgets!$C$2:$C$200),0))</f>
        <v/>
      </c>
      <c r="BK31" s="23">
        <f>IF(OR(BK$1="",$BM31=0),"",IFERROR(LOOKUP(2,1/((Budgets!$A$2:$A$200=BK$1)*(Budgets!$B$2:$B$200&lt;EDATE($A31,1))),Budgets!$C$2:$C$200),0))</f>
        <v/>
      </c>
      <c r="BM31" s="21">
        <f>COUNTIFS(Entries!$A$2:$A$5000,"&gt;="&amp;$A31,Entries!$A$2:$A$5000,"&lt;"&amp;EDATE($A31,1))</f>
        <v/>
      </c>
    </row>
    <row r="32">
      <c r="A32" s="22" t="n">
        <v>40360</v>
      </c>
      <c r="B32" s="23">
        <f>IF($BM32=0,NA(),SUMIFS(Entries!$E$2:$E$5000,Entries!$C$2:$C$5000,"Income",Entries!$A$2:$A$5000,"&gt;="&amp;$A32,Entries!$A$2:$A$5000,"&lt;"&amp;EDATE($A32,1)))</f>
        <v/>
      </c>
      <c r="C32" s="23">
        <f>IF($BM32=0,"",SUMIFS(Entries!$E$2:$E$5000,Entries!$C$2:$C$5000,"Actual",Entries!$A$2:$A$5000,"&gt;="&amp;$A32,Entries!$A$2:$A$5000,"&lt;"&amp;EDATE($A32,1)))</f>
        <v/>
      </c>
      <c r="D32" s="23">
        <f>IF($BM32=0,"",SUMIFS(Entries!$E$2:$E$5000,Entries!$C$2:$C$5000,"One-off",Entries!$A$2:$A$5000,"&gt;="&amp;$A32,Entries!$A$2:$A$5000,"&lt;"&amp;EDATE($A32,1)))</f>
        <v/>
      </c>
      <c r="E32" s="23">
        <f>IF($BM32=0,NA(),C32+D32)</f>
        <v/>
      </c>
      <c r="F32" s="23">
        <f>IF($BM32=0,"",SUM(AR32:BK32))</f>
        <v/>
      </c>
      <c r="G32" s="23">
        <f>IF($BM32=0,"",B32-E32)</f>
        <v/>
      </c>
      <c r="H32" s="23">
        <f>IF($BM32=0,"",SUM($G$2:G32))</f>
        <v/>
      </c>
      <c r="I32" s="23">
        <f>IF($BM32=0,"",SUMIFS(Entries!$G$2:$G$5000,Entries!$A$2:$A$5000,"&gt;="&amp;$A32,Entries!$A$2:$A$5000,"&lt;"&amp;EDATE($A32,1)))</f>
        <v/>
      </c>
      <c r="J32" s="23">
        <f>IF($BM32=0,NA(),H32)</f>
        <v/>
      </c>
      <c r="K32" s="23">
        <f>IF($BM32=0,"",SUMIFS(Entries!$E$2:$E$5000,Entries!$C$2:$C$5000,"Income",Entries!$A$2:$A$5000,"&gt;="&amp;EDATE($A32,-11),Entries!$A$2:$A$5000,"&lt;"&amp;EDATE($A32,1))/COUNTIFS($A$2:$A$400,"&gt;="&amp;EDATE($A32,-11),$A$2:$A$400,"&lt;"&amp;EDATE($A32,1),$BM$2:$BM$400,"&gt;0"))</f>
      </c>
      <c r="L32" s="23">
        <f>IF($BM32=0,"",(SUMIFS(Entries!$E$2:$E$5000,Entries!$C$2:$C$5000,"Actual",Entries!$A$2:$A$5000,"&gt;="&amp;EDATE($A32,-11),Entries!$A$2:$A$5000,"&lt;"&amp;EDATE($A32,1))+SUMIFS(Entries!$E$2:$E$5000,Entries!$C$2:$C$5000,"One-off",Entries!$A$2:$A$5000,"&gt;="&amp;EDATE($A32,-11),Entries!$A$2:$A$5000,"&lt;"&amp;EDATE($A32,1)))/COUNTIFS($A$2:$A$400,"&gt;="&amp;EDATE($A32,-11),$A$2:$A$400,"&lt;"&amp;EDATE($A32,1),$BM$2:$BM$400,"&gt;0"))</f>
      </c>
      <c r="M32" s="24">
        <f>IF($BM32=0,NA(),IFERROR((K32-L32)/K32,0))</f>
        <v/>
      </c>
      <c r="N32" s="23">
        <f>IF($BM32=0,NA(),SUMIFS(Entries!$E$2:$E$5000,Entries!$D$2:$D$5000,"Core",Entries!$A$2:$A$5000,"&gt;="&amp;$A32,Entries!$A$2:$A$5000,"&lt;"&amp;EDATE($A32,1)))</f>
        <v/>
      </c>
      <c r="O32" s="23">
        <f>IF($BM32=0,NA(),SUMIFS(Entries!$E$2:$E$5000,Entries!$D$2:$D$5000,"Over &amp; above",Entries!$A$2:$A$5000,"&gt;="&amp;$A32,Entries!$A$2:$A$5000,"&lt;"&amp;EDATE($A32,1)))</f>
        <v/>
      </c>
      <c r="P32" s="23">
        <f>IF($BM32=0,NA(),SUMIFS(Entries!$E$2:$E$5000,Entries!$D$2:$D$5000,"One-off",Entries!$A$2:$A$5000,"&gt;="&amp;$A32,Entries!$A$2:$A$5000,"&lt;"&amp;EDATE($A32,1)))</f>
        <v/>
      </c>
      <c r="Q32" s="23">
        <f>IF($BM32=0,NA(),SUMIFS(Entries!$E$2:$E$5000,Entries!$D$2:$D$5000,"Reimbursable",Entries!$A$2:$A$5000,"&gt;="&amp;$A32,Entries!$A$2:$A$5000,"&lt;"&amp;EDATE($A32,1)))</f>
        <v/>
      </c>
      <c r="R32" s="23">
        <f>IF($BM32=0,NA(),SUMIFS(Entries!$E$2:$E$5000,Entries!$D$2:$D$5000,"Investment",Entries!$A$2:$A$5000,"&gt;="&amp;$A32,Entries!$A$2:$A$5000,"&lt;"&amp;EDATE($A32,1)))</f>
        <v/>
      </c>
      <c r="S32" s="23">
        <f>IF($BM32=0,NA(),N32+O32)</f>
        <v/>
      </c>
      <c r="T32" s="23">
        <f>IF($BM32=0,"",E32-Q32)</f>
        <v/>
      </c>
      <c r="W32" s="23">
        <f>IF(OR(W$1="",$BM32=0),"",SUMIFS(Entries!$E$2:$E$5000,Entries!$C$2:$C$5000,"Actual",Entries!$A$2:$A$5000,"&gt;="&amp;$A32,Entries!$A$2:$A$5000,"&lt;"&amp;EDATE($A32,1),Entries!$B$2:$B$5000,W$1))</f>
        <v/>
      </c>
      <c r="X32" s="23">
        <f>IF(OR(X$1="",$BM32=0),"",SUMIFS(Entries!$E$2:$E$5000,Entries!$C$2:$C$5000,"Actual",Entries!$A$2:$A$5000,"&gt;="&amp;$A32,Entries!$A$2:$A$5000,"&lt;"&amp;EDATE($A32,1),Entries!$B$2:$B$5000,X$1))</f>
        <v/>
      </c>
      <c r="Y32" s="23">
        <f>IF(OR(Y$1="",$BM32=0),"",SUMIFS(Entries!$E$2:$E$5000,Entries!$C$2:$C$5000,"Actual",Entries!$A$2:$A$5000,"&gt;="&amp;$A32,Entries!$A$2:$A$5000,"&lt;"&amp;EDATE($A32,1),Entries!$B$2:$B$5000,Y$1))</f>
        <v/>
      </c>
      <c r="Z32" s="23">
        <f>IF(OR(Z$1="",$BM32=0),"",SUMIFS(Entries!$E$2:$E$5000,Entries!$C$2:$C$5000,"Actual",Entries!$A$2:$A$5000,"&gt;="&amp;$A32,Entries!$A$2:$A$5000,"&lt;"&amp;EDATE($A32,1),Entries!$B$2:$B$5000,Z$1))</f>
        <v/>
      </c>
      <c r="AA32" s="23">
        <f>IF(OR(AA$1="",$BM32=0),"",SUMIFS(Entries!$E$2:$E$5000,Entries!$C$2:$C$5000,"Actual",Entries!$A$2:$A$5000,"&gt;="&amp;$A32,Entries!$A$2:$A$5000,"&lt;"&amp;EDATE($A32,1),Entries!$B$2:$B$5000,AA$1))</f>
        <v/>
      </c>
      <c r="AB32" s="23">
        <f>IF(OR(AB$1="",$BM32=0),"",SUMIFS(Entries!$E$2:$E$5000,Entries!$C$2:$C$5000,"Actual",Entries!$A$2:$A$5000,"&gt;="&amp;$A32,Entries!$A$2:$A$5000,"&lt;"&amp;EDATE($A32,1),Entries!$B$2:$B$5000,AB$1))</f>
        <v/>
      </c>
      <c r="AC32" s="23">
        <f>IF(OR(AC$1="",$BM32=0),"",SUMIFS(Entries!$E$2:$E$5000,Entries!$C$2:$C$5000,"Actual",Entries!$A$2:$A$5000,"&gt;="&amp;$A32,Entries!$A$2:$A$5000,"&lt;"&amp;EDATE($A32,1),Entries!$B$2:$B$5000,AC$1))</f>
        <v/>
      </c>
      <c r="AD32" s="23">
        <f>IF(OR(AD$1="",$BM32=0),"",SUMIFS(Entries!$E$2:$E$5000,Entries!$C$2:$C$5000,"Actual",Entries!$A$2:$A$5000,"&gt;="&amp;$A32,Entries!$A$2:$A$5000,"&lt;"&amp;EDATE($A32,1),Entries!$B$2:$B$5000,AD$1))</f>
        <v/>
      </c>
      <c r="AE32" s="23">
        <f>IF(OR(AE$1="",$BM32=0),"",SUMIFS(Entries!$E$2:$E$5000,Entries!$C$2:$C$5000,"Actual",Entries!$A$2:$A$5000,"&gt;="&amp;$A32,Entries!$A$2:$A$5000,"&lt;"&amp;EDATE($A32,1),Entries!$B$2:$B$5000,AE$1))</f>
        <v/>
      </c>
      <c r="AF32" s="23">
        <f>IF(OR(AF$1="",$BM32=0),"",SUMIFS(Entries!$E$2:$E$5000,Entries!$C$2:$C$5000,"Actual",Entries!$A$2:$A$5000,"&gt;="&amp;$A32,Entries!$A$2:$A$5000,"&lt;"&amp;EDATE($A32,1),Entries!$B$2:$B$5000,AF$1))</f>
        <v/>
      </c>
      <c r="AG32" s="23">
        <f>IF(OR(AG$1="",$BM32=0),"",SUMIFS(Entries!$E$2:$E$5000,Entries!$C$2:$C$5000,"Actual",Entries!$A$2:$A$5000,"&gt;="&amp;$A32,Entries!$A$2:$A$5000,"&lt;"&amp;EDATE($A32,1),Entries!$B$2:$B$5000,AG$1))</f>
        <v/>
      </c>
      <c r="AH32" s="23">
        <f>IF(OR(AH$1="",$BM32=0),"",SUMIFS(Entries!$E$2:$E$5000,Entries!$C$2:$C$5000,"Actual",Entries!$A$2:$A$5000,"&gt;="&amp;$A32,Entries!$A$2:$A$5000,"&lt;"&amp;EDATE($A32,1),Entries!$B$2:$B$5000,AH$1))</f>
        <v/>
      </c>
      <c r="AI32" s="23">
        <f>IF(OR(AI$1="",$BM32=0),"",SUMIFS(Entries!$E$2:$E$5000,Entries!$C$2:$C$5000,"Actual",Entries!$A$2:$A$5000,"&gt;="&amp;$A32,Entries!$A$2:$A$5000,"&lt;"&amp;EDATE($A32,1),Entries!$B$2:$B$5000,AI$1))</f>
        <v/>
      </c>
      <c r="AJ32" s="23">
        <f>IF(OR(AJ$1="",$BM32=0),"",SUMIFS(Entries!$E$2:$E$5000,Entries!$C$2:$C$5000,"Actual",Entries!$A$2:$A$5000,"&gt;="&amp;$A32,Entries!$A$2:$A$5000,"&lt;"&amp;EDATE($A32,1),Entries!$B$2:$B$5000,AJ$1))</f>
        <v/>
      </c>
      <c r="AK32" s="23">
        <f>IF(OR(AK$1="",$BM32=0),"",SUMIFS(Entries!$E$2:$E$5000,Entries!$C$2:$C$5000,"Actual",Entries!$A$2:$A$5000,"&gt;="&amp;$A32,Entries!$A$2:$A$5000,"&lt;"&amp;EDATE($A32,1),Entries!$B$2:$B$5000,AK$1))</f>
        <v/>
      </c>
      <c r="AL32" s="23">
        <f>IF(OR(AL$1="",$BM32=0),"",SUMIFS(Entries!$E$2:$E$5000,Entries!$C$2:$C$5000,"Actual",Entries!$A$2:$A$5000,"&gt;="&amp;$A32,Entries!$A$2:$A$5000,"&lt;"&amp;EDATE($A32,1),Entries!$B$2:$B$5000,AL$1))</f>
        <v/>
      </c>
      <c r="AM32" s="23">
        <f>IF(OR(AM$1="",$BM32=0),"",SUMIFS(Entries!$E$2:$E$5000,Entries!$C$2:$C$5000,"Actual",Entries!$A$2:$A$5000,"&gt;="&amp;$A32,Entries!$A$2:$A$5000,"&lt;"&amp;EDATE($A32,1),Entries!$B$2:$B$5000,AM$1))</f>
        <v/>
      </c>
      <c r="AN32" s="23">
        <f>IF(OR(AN$1="",$BM32=0),"",SUMIFS(Entries!$E$2:$E$5000,Entries!$C$2:$C$5000,"Actual",Entries!$A$2:$A$5000,"&gt;="&amp;$A32,Entries!$A$2:$A$5000,"&lt;"&amp;EDATE($A32,1),Entries!$B$2:$B$5000,AN$1))</f>
        <v/>
      </c>
      <c r="AO32" s="23">
        <f>IF(OR(AO$1="",$BM32=0),"",SUMIFS(Entries!$E$2:$E$5000,Entries!$C$2:$C$5000,"Actual",Entries!$A$2:$A$5000,"&gt;="&amp;$A32,Entries!$A$2:$A$5000,"&lt;"&amp;EDATE($A32,1),Entries!$B$2:$B$5000,AO$1))</f>
        <v/>
      </c>
      <c r="AP32" s="23">
        <f>IF(OR(AP$1="",$BM32=0),"",SUMIFS(Entries!$E$2:$E$5000,Entries!$C$2:$C$5000,"Actual",Entries!$A$2:$A$5000,"&gt;="&amp;$A32,Entries!$A$2:$A$5000,"&lt;"&amp;EDATE($A32,1),Entries!$B$2:$B$5000,AP$1))</f>
        <v/>
      </c>
      <c r="AR32" s="23">
        <f>IF(OR(AR$1="",$BM32=0),"",IFERROR(LOOKUP(2,1/((Budgets!$A$2:$A$200=AR$1)*(Budgets!$B$2:$B$200&lt;EDATE($A32,1))),Budgets!$C$2:$C$200),0))</f>
        <v/>
      </c>
      <c r="AS32" s="23">
        <f>IF(OR(AS$1="",$BM32=0),"",IFERROR(LOOKUP(2,1/((Budgets!$A$2:$A$200=AS$1)*(Budgets!$B$2:$B$200&lt;EDATE($A32,1))),Budgets!$C$2:$C$200),0))</f>
        <v/>
      </c>
      <c r="AT32" s="23">
        <f>IF(OR(AT$1="",$BM32=0),"",IFERROR(LOOKUP(2,1/((Budgets!$A$2:$A$200=AT$1)*(Budgets!$B$2:$B$200&lt;EDATE($A32,1))),Budgets!$C$2:$C$200),0))</f>
        <v/>
      </c>
      <c r="AU32" s="23">
        <f>IF(OR(AU$1="",$BM32=0),"",IFERROR(LOOKUP(2,1/((Budgets!$A$2:$A$200=AU$1)*(Budgets!$B$2:$B$200&lt;EDATE($A32,1))),Budgets!$C$2:$C$200),0))</f>
        <v/>
      </c>
      <c r="AV32" s="23">
        <f>IF(OR(AV$1="",$BM32=0),"",IFERROR(LOOKUP(2,1/((Budgets!$A$2:$A$200=AV$1)*(Budgets!$B$2:$B$200&lt;EDATE($A32,1))),Budgets!$C$2:$C$200),0))</f>
        <v/>
      </c>
      <c r="AW32" s="23">
        <f>IF(OR(AW$1="",$BM32=0),"",IFERROR(LOOKUP(2,1/((Budgets!$A$2:$A$200=AW$1)*(Budgets!$B$2:$B$200&lt;EDATE($A32,1))),Budgets!$C$2:$C$200),0))</f>
        <v/>
      </c>
      <c r="AX32" s="23">
        <f>IF(OR(AX$1="",$BM32=0),"",IFERROR(LOOKUP(2,1/((Budgets!$A$2:$A$200=AX$1)*(Budgets!$B$2:$B$200&lt;EDATE($A32,1))),Budgets!$C$2:$C$200),0))</f>
        <v/>
      </c>
      <c r="AY32" s="23">
        <f>IF(OR(AY$1="",$BM32=0),"",IFERROR(LOOKUP(2,1/((Budgets!$A$2:$A$200=AY$1)*(Budgets!$B$2:$B$200&lt;EDATE($A32,1))),Budgets!$C$2:$C$200),0))</f>
        <v/>
      </c>
      <c r="AZ32" s="23">
        <f>IF(OR(AZ$1="",$BM32=0),"",IFERROR(LOOKUP(2,1/((Budgets!$A$2:$A$200=AZ$1)*(Budgets!$B$2:$B$200&lt;EDATE($A32,1))),Budgets!$C$2:$C$200),0))</f>
        <v/>
      </c>
      <c r="BA32" s="23">
        <f>IF(OR(BA$1="",$BM32=0),"",IFERROR(LOOKUP(2,1/((Budgets!$A$2:$A$200=BA$1)*(Budgets!$B$2:$B$200&lt;EDATE($A32,1))),Budgets!$C$2:$C$200),0))</f>
        <v/>
      </c>
      <c r="BB32" s="23">
        <f>IF(OR(BB$1="",$BM32=0),"",IFERROR(LOOKUP(2,1/((Budgets!$A$2:$A$200=BB$1)*(Budgets!$B$2:$B$200&lt;EDATE($A32,1))),Budgets!$C$2:$C$200),0))</f>
        <v/>
      </c>
      <c r="BC32" s="23">
        <f>IF(OR(BC$1="",$BM32=0),"",IFERROR(LOOKUP(2,1/((Budgets!$A$2:$A$200=BC$1)*(Budgets!$B$2:$B$200&lt;EDATE($A32,1))),Budgets!$C$2:$C$200),0))</f>
        <v/>
      </c>
      <c r="BD32" s="23">
        <f>IF(OR(BD$1="",$BM32=0),"",IFERROR(LOOKUP(2,1/((Budgets!$A$2:$A$200=BD$1)*(Budgets!$B$2:$B$200&lt;EDATE($A32,1))),Budgets!$C$2:$C$200),0))</f>
        <v/>
      </c>
      <c r="BE32" s="23">
        <f>IF(OR(BE$1="",$BM32=0),"",IFERROR(LOOKUP(2,1/((Budgets!$A$2:$A$200=BE$1)*(Budgets!$B$2:$B$200&lt;EDATE($A32,1))),Budgets!$C$2:$C$200),0))</f>
        <v/>
      </c>
      <c r="BF32" s="23">
        <f>IF(OR(BF$1="",$BM32=0),"",IFERROR(LOOKUP(2,1/((Budgets!$A$2:$A$200=BF$1)*(Budgets!$B$2:$B$200&lt;EDATE($A32,1))),Budgets!$C$2:$C$200),0))</f>
        <v/>
      </c>
      <c r="BG32" s="23">
        <f>IF(OR(BG$1="",$BM32=0),"",IFERROR(LOOKUP(2,1/((Budgets!$A$2:$A$200=BG$1)*(Budgets!$B$2:$B$200&lt;EDATE($A32,1))),Budgets!$C$2:$C$200),0))</f>
        <v/>
      </c>
      <c r="BH32" s="23">
        <f>IF(OR(BH$1="",$BM32=0),"",IFERROR(LOOKUP(2,1/((Budgets!$A$2:$A$200=BH$1)*(Budgets!$B$2:$B$200&lt;EDATE($A32,1))),Budgets!$C$2:$C$200),0))</f>
        <v/>
      </c>
      <c r="BI32" s="23">
        <f>IF(OR(BI$1="",$BM32=0),"",IFERROR(LOOKUP(2,1/((Budgets!$A$2:$A$200=BI$1)*(Budgets!$B$2:$B$200&lt;EDATE($A32,1))),Budgets!$C$2:$C$200),0))</f>
        <v/>
      </c>
      <c r="BJ32" s="23">
        <f>IF(OR(BJ$1="",$BM32=0),"",IFERROR(LOOKUP(2,1/((Budgets!$A$2:$A$200=BJ$1)*(Budgets!$B$2:$B$200&lt;EDATE($A32,1))),Budgets!$C$2:$C$200),0))</f>
        <v/>
      </c>
      <c r="BK32" s="23">
        <f>IF(OR(BK$1="",$BM32=0),"",IFERROR(LOOKUP(2,1/((Budgets!$A$2:$A$200=BK$1)*(Budgets!$B$2:$B$200&lt;EDATE($A32,1))),Budgets!$C$2:$C$200),0))</f>
        <v/>
      </c>
      <c r="BM32" s="21">
        <f>COUNTIFS(Entries!$A$2:$A$5000,"&gt;="&amp;$A32,Entries!$A$2:$A$5000,"&lt;"&amp;EDATE($A32,1))</f>
        <v/>
      </c>
    </row>
    <row r="33">
      <c r="A33" s="22" t="n">
        <v>40391</v>
      </c>
      <c r="B33" s="23">
        <f>IF($BM33=0,NA(),SUMIFS(Entries!$E$2:$E$5000,Entries!$C$2:$C$5000,"Income",Entries!$A$2:$A$5000,"&gt;="&amp;$A33,Entries!$A$2:$A$5000,"&lt;"&amp;EDATE($A33,1)))</f>
        <v/>
      </c>
      <c r="C33" s="23">
        <f>IF($BM33=0,"",SUMIFS(Entries!$E$2:$E$5000,Entries!$C$2:$C$5000,"Actual",Entries!$A$2:$A$5000,"&gt;="&amp;$A33,Entries!$A$2:$A$5000,"&lt;"&amp;EDATE($A33,1)))</f>
        <v/>
      </c>
      <c r="D33" s="23">
        <f>IF($BM33=0,"",SUMIFS(Entries!$E$2:$E$5000,Entries!$C$2:$C$5000,"One-off",Entries!$A$2:$A$5000,"&gt;="&amp;$A33,Entries!$A$2:$A$5000,"&lt;"&amp;EDATE($A33,1)))</f>
        <v/>
      </c>
      <c r="E33" s="23">
        <f>IF($BM33=0,NA(),C33+D33)</f>
        <v/>
      </c>
      <c r="F33" s="23">
        <f>IF($BM33=0,"",SUM(AR33:BK33))</f>
        <v/>
      </c>
      <c r="G33" s="23">
        <f>IF($BM33=0,"",B33-E33)</f>
        <v/>
      </c>
      <c r="H33" s="23">
        <f>IF($BM33=0,"",SUM($G$2:G33))</f>
        <v/>
      </c>
      <c r="I33" s="23">
        <f>IF($BM33=0,"",SUMIFS(Entries!$G$2:$G$5000,Entries!$A$2:$A$5000,"&gt;="&amp;$A33,Entries!$A$2:$A$5000,"&lt;"&amp;EDATE($A33,1)))</f>
        <v/>
      </c>
      <c r="J33" s="23">
        <f>IF($BM33=0,NA(),H33)</f>
        <v/>
      </c>
      <c r="K33" s="23">
        <f>IF($BM33=0,"",SUMIFS(Entries!$E$2:$E$5000,Entries!$C$2:$C$5000,"Income",Entries!$A$2:$A$5000,"&gt;="&amp;EDATE($A33,-11),Entries!$A$2:$A$5000,"&lt;"&amp;EDATE($A33,1))/COUNTIFS($A$2:$A$400,"&gt;="&amp;EDATE($A33,-11),$A$2:$A$400,"&lt;"&amp;EDATE($A33,1),$BM$2:$BM$400,"&gt;0"))</f>
      </c>
      <c r="L33" s="23">
        <f>IF($BM33=0,"",(SUMIFS(Entries!$E$2:$E$5000,Entries!$C$2:$C$5000,"Actual",Entries!$A$2:$A$5000,"&gt;="&amp;EDATE($A33,-11),Entries!$A$2:$A$5000,"&lt;"&amp;EDATE($A33,1))+SUMIFS(Entries!$E$2:$E$5000,Entries!$C$2:$C$5000,"One-off",Entries!$A$2:$A$5000,"&gt;="&amp;EDATE($A33,-11),Entries!$A$2:$A$5000,"&lt;"&amp;EDATE($A33,1)))/COUNTIFS($A$2:$A$400,"&gt;="&amp;EDATE($A33,-11),$A$2:$A$400,"&lt;"&amp;EDATE($A33,1),$BM$2:$BM$400,"&gt;0"))</f>
      </c>
      <c r="M33" s="24">
        <f>IF($BM33=0,NA(),IFERROR((K33-L33)/K33,0))</f>
        <v/>
      </c>
      <c r="N33" s="23">
        <f>IF($BM33=0,NA(),SUMIFS(Entries!$E$2:$E$5000,Entries!$D$2:$D$5000,"Core",Entries!$A$2:$A$5000,"&gt;="&amp;$A33,Entries!$A$2:$A$5000,"&lt;"&amp;EDATE($A33,1)))</f>
        <v/>
      </c>
      <c r="O33" s="23">
        <f>IF($BM33=0,NA(),SUMIFS(Entries!$E$2:$E$5000,Entries!$D$2:$D$5000,"Over &amp; above",Entries!$A$2:$A$5000,"&gt;="&amp;$A33,Entries!$A$2:$A$5000,"&lt;"&amp;EDATE($A33,1)))</f>
        <v/>
      </c>
      <c r="P33" s="23">
        <f>IF($BM33=0,NA(),SUMIFS(Entries!$E$2:$E$5000,Entries!$D$2:$D$5000,"One-off",Entries!$A$2:$A$5000,"&gt;="&amp;$A33,Entries!$A$2:$A$5000,"&lt;"&amp;EDATE($A33,1)))</f>
        <v/>
      </c>
      <c r="Q33" s="23">
        <f>IF($BM33=0,NA(),SUMIFS(Entries!$E$2:$E$5000,Entries!$D$2:$D$5000,"Reimbursable",Entries!$A$2:$A$5000,"&gt;="&amp;$A33,Entries!$A$2:$A$5000,"&lt;"&amp;EDATE($A33,1)))</f>
        <v/>
      </c>
      <c r="R33" s="23">
        <f>IF($BM33=0,NA(),SUMIFS(Entries!$E$2:$E$5000,Entries!$D$2:$D$5000,"Investment",Entries!$A$2:$A$5000,"&gt;="&amp;$A33,Entries!$A$2:$A$5000,"&lt;"&amp;EDATE($A33,1)))</f>
        <v/>
      </c>
      <c r="S33" s="23">
        <f>IF($BM33=0,NA(),N33+O33)</f>
        <v/>
      </c>
      <c r="T33" s="23">
        <f>IF($BM33=0,"",E33-Q33)</f>
        <v/>
      </c>
      <c r="W33" s="23">
        <f>IF(OR(W$1="",$BM33=0),"",SUMIFS(Entries!$E$2:$E$5000,Entries!$C$2:$C$5000,"Actual",Entries!$A$2:$A$5000,"&gt;="&amp;$A33,Entries!$A$2:$A$5000,"&lt;"&amp;EDATE($A33,1),Entries!$B$2:$B$5000,W$1))</f>
        <v/>
      </c>
      <c r="X33" s="23">
        <f>IF(OR(X$1="",$BM33=0),"",SUMIFS(Entries!$E$2:$E$5000,Entries!$C$2:$C$5000,"Actual",Entries!$A$2:$A$5000,"&gt;="&amp;$A33,Entries!$A$2:$A$5000,"&lt;"&amp;EDATE($A33,1),Entries!$B$2:$B$5000,X$1))</f>
        <v/>
      </c>
      <c r="Y33" s="23">
        <f>IF(OR(Y$1="",$BM33=0),"",SUMIFS(Entries!$E$2:$E$5000,Entries!$C$2:$C$5000,"Actual",Entries!$A$2:$A$5000,"&gt;="&amp;$A33,Entries!$A$2:$A$5000,"&lt;"&amp;EDATE($A33,1),Entries!$B$2:$B$5000,Y$1))</f>
        <v/>
      </c>
      <c r="Z33" s="23">
        <f>IF(OR(Z$1="",$BM33=0),"",SUMIFS(Entries!$E$2:$E$5000,Entries!$C$2:$C$5000,"Actual",Entries!$A$2:$A$5000,"&gt;="&amp;$A33,Entries!$A$2:$A$5000,"&lt;"&amp;EDATE($A33,1),Entries!$B$2:$B$5000,Z$1))</f>
        <v/>
      </c>
      <c r="AA33" s="23">
        <f>IF(OR(AA$1="",$BM33=0),"",SUMIFS(Entries!$E$2:$E$5000,Entries!$C$2:$C$5000,"Actual",Entries!$A$2:$A$5000,"&gt;="&amp;$A33,Entries!$A$2:$A$5000,"&lt;"&amp;EDATE($A33,1),Entries!$B$2:$B$5000,AA$1))</f>
        <v/>
      </c>
      <c r="AB33" s="23">
        <f>IF(OR(AB$1="",$BM33=0),"",SUMIFS(Entries!$E$2:$E$5000,Entries!$C$2:$C$5000,"Actual",Entries!$A$2:$A$5000,"&gt;="&amp;$A33,Entries!$A$2:$A$5000,"&lt;"&amp;EDATE($A33,1),Entries!$B$2:$B$5000,AB$1))</f>
        <v/>
      </c>
      <c r="AC33" s="23">
        <f>IF(OR(AC$1="",$BM33=0),"",SUMIFS(Entries!$E$2:$E$5000,Entries!$C$2:$C$5000,"Actual",Entries!$A$2:$A$5000,"&gt;="&amp;$A33,Entries!$A$2:$A$5000,"&lt;"&amp;EDATE($A33,1),Entries!$B$2:$B$5000,AC$1))</f>
        <v/>
      </c>
      <c r="AD33" s="23">
        <f>IF(OR(AD$1="",$BM33=0),"",SUMIFS(Entries!$E$2:$E$5000,Entries!$C$2:$C$5000,"Actual",Entries!$A$2:$A$5000,"&gt;="&amp;$A33,Entries!$A$2:$A$5000,"&lt;"&amp;EDATE($A33,1),Entries!$B$2:$B$5000,AD$1))</f>
        <v/>
      </c>
      <c r="AE33" s="23">
        <f>IF(OR(AE$1="",$BM33=0),"",SUMIFS(Entries!$E$2:$E$5000,Entries!$C$2:$C$5000,"Actual",Entries!$A$2:$A$5000,"&gt;="&amp;$A33,Entries!$A$2:$A$5000,"&lt;"&amp;EDATE($A33,1),Entries!$B$2:$B$5000,AE$1))</f>
        <v/>
      </c>
      <c r="AF33" s="23">
        <f>IF(OR(AF$1="",$BM33=0),"",SUMIFS(Entries!$E$2:$E$5000,Entries!$C$2:$C$5000,"Actual",Entries!$A$2:$A$5000,"&gt;="&amp;$A33,Entries!$A$2:$A$5000,"&lt;"&amp;EDATE($A33,1),Entries!$B$2:$B$5000,AF$1))</f>
        <v/>
      </c>
      <c r="AG33" s="23">
        <f>IF(OR(AG$1="",$BM33=0),"",SUMIFS(Entries!$E$2:$E$5000,Entries!$C$2:$C$5000,"Actual",Entries!$A$2:$A$5000,"&gt;="&amp;$A33,Entries!$A$2:$A$5000,"&lt;"&amp;EDATE($A33,1),Entries!$B$2:$B$5000,AG$1))</f>
        <v/>
      </c>
      <c r="AH33" s="23">
        <f>IF(OR(AH$1="",$BM33=0),"",SUMIFS(Entries!$E$2:$E$5000,Entries!$C$2:$C$5000,"Actual",Entries!$A$2:$A$5000,"&gt;="&amp;$A33,Entries!$A$2:$A$5000,"&lt;"&amp;EDATE($A33,1),Entries!$B$2:$B$5000,AH$1))</f>
        <v/>
      </c>
      <c r="AI33" s="23">
        <f>IF(OR(AI$1="",$BM33=0),"",SUMIFS(Entries!$E$2:$E$5000,Entries!$C$2:$C$5000,"Actual",Entries!$A$2:$A$5000,"&gt;="&amp;$A33,Entries!$A$2:$A$5000,"&lt;"&amp;EDATE($A33,1),Entries!$B$2:$B$5000,AI$1))</f>
        <v/>
      </c>
      <c r="AJ33" s="23">
        <f>IF(OR(AJ$1="",$BM33=0),"",SUMIFS(Entries!$E$2:$E$5000,Entries!$C$2:$C$5000,"Actual",Entries!$A$2:$A$5000,"&gt;="&amp;$A33,Entries!$A$2:$A$5000,"&lt;"&amp;EDATE($A33,1),Entries!$B$2:$B$5000,AJ$1))</f>
        <v/>
      </c>
      <c r="AK33" s="23">
        <f>IF(OR(AK$1="",$BM33=0),"",SUMIFS(Entries!$E$2:$E$5000,Entries!$C$2:$C$5000,"Actual",Entries!$A$2:$A$5000,"&gt;="&amp;$A33,Entries!$A$2:$A$5000,"&lt;"&amp;EDATE($A33,1),Entries!$B$2:$B$5000,AK$1))</f>
        <v/>
      </c>
      <c r="AL33" s="23">
        <f>IF(OR(AL$1="",$BM33=0),"",SUMIFS(Entries!$E$2:$E$5000,Entries!$C$2:$C$5000,"Actual",Entries!$A$2:$A$5000,"&gt;="&amp;$A33,Entries!$A$2:$A$5000,"&lt;"&amp;EDATE($A33,1),Entries!$B$2:$B$5000,AL$1))</f>
        <v/>
      </c>
      <c r="AM33" s="23">
        <f>IF(OR(AM$1="",$BM33=0),"",SUMIFS(Entries!$E$2:$E$5000,Entries!$C$2:$C$5000,"Actual",Entries!$A$2:$A$5000,"&gt;="&amp;$A33,Entries!$A$2:$A$5000,"&lt;"&amp;EDATE($A33,1),Entries!$B$2:$B$5000,AM$1))</f>
        <v/>
      </c>
      <c r="AN33" s="23">
        <f>IF(OR(AN$1="",$BM33=0),"",SUMIFS(Entries!$E$2:$E$5000,Entries!$C$2:$C$5000,"Actual",Entries!$A$2:$A$5000,"&gt;="&amp;$A33,Entries!$A$2:$A$5000,"&lt;"&amp;EDATE($A33,1),Entries!$B$2:$B$5000,AN$1))</f>
        <v/>
      </c>
      <c r="AO33" s="23">
        <f>IF(OR(AO$1="",$BM33=0),"",SUMIFS(Entries!$E$2:$E$5000,Entries!$C$2:$C$5000,"Actual",Entries!$A$2:$A$5000,"&gt;="&amp;$A33,Entries!$A$2:$A$5000,"&lt;"&amp;EDATE($A33,1),Entries!$B$2:$B$5000,AO$1))</f>
        <v/>
      </c>
      <c r="AP33" s="23">
        <f>IF(OR(AP$1="",$BM33=0),"",SUMIFS(Entries!$E$2:$E$5000,Entries!$C$2:$C$5000,"Actual",Entries!$A$2:$A$5000,"&gt;="&amp;$A33,Entries!$A$2:$A$5000,"&lt;"&amp;EDATE($A33,1),Entries!$B$2:$B$5000,AP$1))</f>
        <v/>
      </c>
      <c r="AR33" s="23">
        <f>IF(OR(AR$1="",$BM33=0),"",IFERROR(LOOKUP(2,1/((Budgets!$A$2:$A$200=AR$1)*(Budgets!$B$2:$B$200&lt;EDATE($A33,1))),Budgets!$C$2:$C$200),0))</f>
        <v/>
      </c>
      <c r="AS33" s="23">
        <f>IF(OR(AS$1="",$BM33=0),"",IFERROR(LOOKUP(2,1/((Budgets!$A$2:$A$200=AS$1)*(Budgets!$B$2:$B$200&lt;EDATE($A33,1))),Budgets!$C$2:$C$200),0))</f>
        <v/>
      </c>
      <c r="AT33" s="23">
        <f>IF(OR(AT$1="",$BM33=0),"",IFERROR(LOOKUP(2,1/((Budgets!$A$2:$A$200=AT$1)*(Budgets!$B$2:$B$200&lt;EDATE($A33,1))),Budgets!$C$2:$C$200),0))</f>
        <v/>
      </c>
      <c r="AU33" s="23">
        <f>IF(OR(AU$1="",$BM33=0),"",IFERROR(LOOKUP(2,1/((Budgets!$A$2:$A$200=AU$1)*(Budgets!$B$2:$B$200&lt;EDATE($A33,1))),Budgets!$C$2:$C$200),0))</f>
        <v/>
      </c>
      <c r="AV33" s="23">
        <f>IF(OR(AV$1="",$BM33=0),"",IFERROR(LOOKUP(2,1/((Budgets!$A$2:$A$200=AV$1)*(Budgets!$B$2:$B$200&lt;EDATE($A33,1))),Budgets!$C$2:$C$200),0))</f>
        <v/>
      </c>
      <c r="AW33" s="23">
        <f>IF(OR(AW$1="",$BM33=0),"",IFERROR(LOOKUP(2,1/((Budgets!$A$2:$A$200=AW$1)*(Budgets!$B$2:$B$200&lt;EDATE($A33,1))),Budgets!$C$2:$C$200),0))</f>
        <v/>
      </c>
      <c r="AX33" s="23">
        <f>IF(OR(AX$1="",$BM33=0),"",IFERROR(LOOKUP(2,1/((Budgets!$A$2:$A$200=AX$1)*(Budgets!$B$2:$B$200&lt;EDATE($A33,1))),Budgets!$C$2:$C$200),0))</f>
        <v/>
      </c>
      <c r="AY33" s="23">
        <f>IF(OR(AY$1="",$BM33=0),"",IFERROR(LOOKUP(2,1/((Budgets!$A$2:$A$200=AY$1)*(Budgets!$B$2:$B$200&lt;EDATE($A33,1))),Budgets!$C$2:$C$200),0))</f>
        <v/>
      </c>
      <c r="AZ33" s="23">
        <f>IF(OR(AZ$1="",$BM33=0),"",IFERROR(LOOKUP(2,1/((Budgets!$A$2:$A$200=AZ$1)*(Budgets!$B$2:$B$200&lt;EDATE($A33,1))),Budgets!$C$2:$C$200),0))</f>
        <v/>
      </c>
      <c r="BA33" s="23">
        <f>IF(OR(BA$1="",$BM33=0),"",IFERROR(LOOKUP(2,1/((Budgets!$A$2:$A$200=BA$1)*(Budgets!$B$2:$B$200&lt;EDATE($A33,1))),Budgets!$C$2:$C$200),0))</f>
        <v/>
      </c>
      <c r="BB33" s="23">
        <f>IF(OR(BB$1="",$BM33=0),"",IFERROR(LOOKUP(2,1/((Budgets!$A$2:$A$200=BB$1)*(Budgets!$B$2:$B$200&lt;EDATE($A33,1))),Budgets!$C$2:$C$200),0))</f>
        <v/>
      </c>
      <c r="BC33" s="23">
        <f>IF(OR(BC$1="",$BM33=0),"",IFERROR(LOOKUP(2,1/((Budgets!$A$2:$A$200=BC$1)*(Budgets!$B$2:$B$200&lt;EDATE($A33,1))),Budgets!$C$2:$C$200),0))</f>
        <v/>
      </c>
      <c r="BD33" s="23">
        <f>IF(OR(BD$1="",$BM33=0),"",IFERROR(LOOKUP(2,1/((Budgets!$A$2:$A$200=BD$1)*(Budgets!$B$2:$B$200&lt;EDATE($A33,1))),Budgets!$C$2:$C$200),0))</f>
        <v/>
      </c>
      <c r="BE33" s="23">
        <f>IF(OR(BE$1="",$BM33=0),"",IFERROR(LOOKUP(2,1/((Budgets!$A$2:$A$200=BE$1)*(Budgets!$B$2:$B$200&lt;EDATE($A33,1))),Budgets!$C$2:$C$200),0))</f>
        <v/>
      </c>
      <c r="BF33" s="23">
        <f>IF(OR(BF$1="",$BM33=0),"",IFERROR(LOOKUP(2,1/((Budgets!$A$2:$A$200=BF$1)*(Budgets!$B$2:$B$200&lt;EDATE($A33,1))),Budgets!$C$2:$C$200),0))</f>
        <v/>
      </c>
      <c r="BG33" s="23">
        <f>IF(OR(BG$1="",$BM33=0),"",IFERROR(LOOKUP(2,1/((Budgets!$A$2:$A$200=BG$1)*(Budgets!$B$2:$B$200&lt;EDATE($A33,1))),Budgets!$C$2:$C$200),0))</f>
        <v/>
      </c>
      <c r="BH33" s="23">
        <f>IF(OR(BH$1="",$BM33=0),"",IFERROR(LOOKUP(2,1/((Budgets!$A$2:$A$200=BH$1)*(Budgets!$B$2:$B$200&lt;EDATE($A33,1))),Budgets!$C$2:$C$200),0))</f>
        <v/>
      </c>
      <c r="BI33" s="23">
        <f>IF(OR(BI$1="",$BM33=0),"",IFERROR(LOOKUP(2,1/((Budgets!$A$2:$A$200=BI$1)*(Budgets!$B$2:$B$200&lt;EDATE($A33,1))),Budgets!$C$2:$C$200),0))</f>
        <v/>
      </c>
      <c r="BJ33" s="23">
        <f>IF(OR(BJ$1="",$BM33=0),"",IFERROR(LOOKUP(2,1/((Budgets!$A$2:$A$200=BJ$1)*(Budgets!$B$2:$B$200&lt;EDATE($A33,1))),Budgets!$C$2:$C$200),0))</f>
        <v/>
      </c>
      <c r="BK33" s="23">
        <f>IF(OR(BK$1="",$BM33=0),"",IFERROR(LOOKUP(2,1/((Budgets!$A$2:$A$200=BK$1)*(Budgets!$B$2:$B$200&lt;EDATE($A33,1))),Budgets!$C$2:$C$200),0))</f>
        <v/>
      </c>
      <c r="BM33" s="21">
        <f>COUNTIFS(Entries!$A$2:$A$5000,"&gt;="&amp;$A33,Entries!$A$2:$A$5000,"&lt;"&amp;EDATE($A33,1))</f>
        <v/>
      </c>
    </row>
    <row r="34">
      <c r="A34" s="22" t="n">
        <v>40422</v>
      </c>
      <c r="B34" s="23">
        <f>IF($BM34=0,NA(),SUMIFS(Entries!$E$2:$E$5000,Entries!$C$2:$C$5000,"Income",Entries!$A$2:$A$5000,"&gt;="&amp;$A34,Entries!$A$2:$A$5000,"&lt;"&amp;EDATE($A34,1)))</f>
        <v/>
      </c>
      <c r="C34" s="23">
        <f>IF($BM34=0,"",SUMIFS(Entries!$E$2:$E$5000,Entries!$C$2:$C$5000,"Actual",Entries!$A$2:$A$5000,"&gt;="&amp;$A34,Entries!$A$2:$A$5000,"&lt;"&amp;EDATE($A34,1)))</f>
        <v/>
      </c>
      <c r="D34" s="23">
        <f>IF($BM34=0,"",SUMIFS(Entries!$E$2:$E$5000,Entries!$C$2:$C$5000,"One-off",Entries!$A$2:$A$5000,"&gt;="&amp;$A34,Entries!$A$2:$A$5000,"&lt;"&amp;EDATE($A34,1)))</f>
        <v/>
      </c>
      <c r="E34" s="23">
        <f>IF($BM34=0,NA(),C34+D34)</f>
        <v/>
      </c>
      <c r="F34" s="23">
        <f>IF($BM34=0,"",SUM(AR34:BK34))</f>
        <v/>
      </c>
      <c r="G34" s="23">
        <f>IF($BM34=0,"",B34-E34)</f>
        <v/>
      </c>
      <c r="H34" s="23">
        <f>IF($BM34=0,"",SUM($G$2:G34))</f>
        <v/>
      </c>
      <c r="I34" s="23">
        <f>IF($BM34=0,"",SUMIFS(Entries!$G$2:$G$5000,Entries!$A$2:$A$5000,"&gt;="&amp;$A34,Entries!$A$2:$A$5000,"&lt;"&amp;EDATE($A34,1)))</f>
        <v/>
      </c>
      <c r="J34" s="23">
        <f>IF($BM34=0,NA(),H34)</f>
        <v/>
      </c>
      <c r="K34" s="23">
        <f>IF($BM34=0,"",SUMIFS(Entries!$E$2:$E$5000,Entries!$C$2:$C$5000,"Income",Entries!$A$2:$A$5000,"&gt;="&amp;EDATE($A34,-11),Entries!$A$2:$A$5000,"&lt;"&amp;EDATE($A34,1))/COUNTIFS($A$2:$A$400,"&gt;="&amp;EDATE($A34,-11),$A$2:$A$400,"&lt;"&amp;EDATE($A34,1),$BM$2:$BM$400,"&gt;0"))</f>
      </c>
      <c r="L34" s="23">
        <f>IF($BM34=0,"",(SUMIFS(Entries!$E$2:$E$5000,Entries!$C$2:$C$5000,"Actual",Entries!$A$2:$A$5000,"&gt;="&amp;EDATE($A34,-11),Entries!$A$2:$A$5000,"&lt;"&amp;EDATE($A34,1))+SUMIFS(Entries!$E$2:$E$5000,Entries!$C$2:$C$5000,"One-off",Entries!$A$2:$A$5000,"&gt;="&amp;EDATE($A34,-11),Entries!$A$2:$A$5000,"&lt;"&amp;EDATE($A34,1)))/COUNTIFS($A$2:$A$400,"&gt;="&amp;EDATE($A34,-11),$A$2:$A$400,"&lt;"&amp;EDATE($A34,1),$BM$2:$BM$400,"&gt;0"))</f>
      </c>
      <c r="M34" s="24">
        <f>IF($BM34=0,NA(),IFERROR((K34-L34)/K34,0))</f>
        <v/>
      </c>
      <c r="N34" s="23">
        <f>IF($BM34=0,NA(),SUMIFS(Entries!$E$2:$E$5000,Entries!$D$2:$D$5000,"Core",Entries!$A$2:$A$5000,"&gt;="&amp;$A34,Entries!$A$2:$A$5000,"&lt;"&amp;EDATE($A34,1)))</f>
        <v/>
      </c>
      <c r="O34" s="23">
        <f>IF($BM34=0,NA(),SUMIFS(Entries!$E$2:$E$5000,Entries!$D$2:$D$5000,"Over &amp; above",Entries!$A$2:$A$5000,"&gt;="&amp;$A34,Entries!$A$2:$A$5000,"&lt;"&amp;EDATE($A34,1)))</f>
        <v/>
      </c>
      <c r="P34" s="23">
        <f>IF($BM34=0,NA(),SUMIFS(Entries!$E$2:$E$5000,Entries!$D$2:$D$5000,"One-off",Entries!$A$2:$A$5000,"&gt;="&amp;$A34,Entries!$A$2:$A$5000,"&lt;"&amp;EDATE($A34,1)))</f>
        <v/>
      </c>
      <c r="Q34" s="23">
        <f>IF($BM34=0,NA(),SUMIFS(Entries!$E$2:$E$5000,Entries!$D$2:$D$5000,"Reimbursable",Entries!$A$2:$A$5000,"&gt;="&amp;$A34,Entries!$A$2:$A$5000,"&lt;"&amp;EDATE($A34,1)))</f>
        <v/>
      </c>
      <c r="R34" s="23">
        <f>IF($BM34=0,NA(),SUMIFS(Entries!$E$2:$E$5000,Entries!$D$2:$D$5000,"Investment",Entries!$A$2:$A$5000,"&gt;="&amp;$A34,Entries!$A$2:$A$5000,"&lt;"&amp;EDATE($A34,1)))</f>
        <v/>
      </c>
      <c r="S34" s="23">
        <f>IF($BM34=0,NA(),N34+O34)</f>
        <v/>
      </c>
      <c r="T34" s="23">
        <f>IF($BM34=0,"",E34-Q34)</f>
        <v/>
      </c>
      <c r="W34" s="23">
        <f>IF(OR(W$1="",$BM34=0),"",SUMIFS(Entries!$E$2:$E$5000,Entries!$C$2:$C$5000,"Actual",Entries!$A$2:$A$5000,"&gt;="&amp;$A34,Entries!$A$2:$A$5000,"&lt;"&amp;EDATE($A34,1),Entries!$B$2:$B$5000,W$1))</f>
        <v/>
      </c>
      <c r="X34" s="23">
        <f>IF(OR(X$1="",$BM34=0),"",SUMIFS(Entries!$E$2:$E$5000,Entries!$C$2:$C$5000,"Actual",Entries!$A$2:$A$5000,"&gt;="&amp;$A34,Entries!$A$2:$A$5000,"&lt;"&amp;EDATE($A34,1),Entries!$B$2:$B$5000,X$1))</f>
        <v/>
      </c>
      <c r="Y34" s="23">
        <f>IF(OR(Y$1="",$BM34=0),"",SUMIFS(Entries!$E$2:$E$5000,Entries!$C$2:$C$5000,"Actual",Entries!$A$2:$A$5000,"&gt;="&amp;$A34,Entries!$A$2:$A$5000,"&lt;"&amp;EDATE($A34,1),Entries!$B$2:$B$5000,Y$1))</f>
        <v/>
      </c>
      <c r="Z34" s="23">
        <f>IF(OR(Z$1="",$BM34=0),"",SUMIFS(Entries!$E$2:$E$5000,Entries!$C$2:$C$5000,"Actual",Entries!$A$2:$A$5000,"&gt;="&amp;$A34,Entries!$A$2:$A$5000,"&lt;"&amp;EDATE($A34,1),Entries!$B$2:$B$5000,Z$1))</f>
        <v/>
      </c>
      <c r="AA34" s="23">
        <f>IF(OR(AA$1="",$BM34=0),"",SUMIFS(Entries!$E$2:$E$5000,Entries!$C$2:$C$5000,"Actual",Entries!$A$2:$A$5000,"&gt;="&amp;$A34,Entries!$A$2:$A$5000,"&lt;"&amp;EDATE($A34,1),Entries!$B$2:$B$5000,AA$1))</f>
        <v/>
      </c>
      <c r="AB34" s="23">
        <f>IF(OR(AB$1="",$BM34=0),"",SUMIFS(Entries!$E$2:$E$5000,Entries!$C$2:$C$5000,"Actual",Entries!$A$2:$A$5000,"&gt;="&amp;$A34,Entries!$A$2:$A$5000,"&lt;"&amp;EDATE($A34,1),Entries!$B$2:$B$5000,AB$1))</f>
        <v/>
      </c>
      <c r="AC34" s="23">
        <f>IF(OR(AC$1="",$BM34=0),"",SUMIFS(Entries!$E$2:$E$5000,Entries!$C$2:$C$5000,"Actual",Entries!$A$2:$A$5000,"&gt;="&amp;$A34,Entries!$A$2:$A$5000,"&lt;"&amp;EDATE($A34,1),Entries!$B$2:$B$5000,AC$1))</f>
        <v/>
      </c>
      <c r="AD34" s="23">
        <f>IF(OR(AD$1="",$BM34=0),"",SUMIFS(Entries!$E$2:$E$5000,Entries!$C$2:$C$5000,"Actual",Entries!$A$2:$A$5000,"&gt;="&amp;$A34,Entries!$A$2:$A$5000,"&lt;"&amp;EDATE($A34,1),Entries!$B$2:$B$5000,AD$1))</f>
        <v/>
      </c>
      <c r="AE34" s="23">
        <f>IF(OR(AE$1="",$BM34=0),"",SUMIFS(Entries!$E$2:$E$5000,Entries!$C$2:$C$5000,"Actual",Entries!$A$2:$A$5000,"&gt;="&amp;$A34,Entries!$A$2:$A$5000,"&lt;"&amp;EDATE($A34,1),Entries!$B$2:$B$5000,AE$1))</f>
        <v/>
      </c>
      <c r="AF34" s="23">
        <f>IF(OR(AF$1="",$BM34=0),"",SUMIFS(Entries!$E$2:$E$5000,Entries!$C$2:$C$5000,"Actual",Entries!$A$2:$A$5000,"&gt;="&amp;$A34,Entries!$A$2:$A$5000,"&lt;"&amp;EDATE($A34,1),Entries!$B$2:$B$5000,AF$1))</f>
        <v/>
      </c>
      <c r="AG34" s="23">
        <f>IF(OR(AG$1="",$BM34=0),"",SUMIFS(Entries!$E$2:$E$5000,Entries!$C$2:$C$5000,"Actual",Entries!$A$2:$A$5000,"&gt;="&amp;$A34,Entries!$A$2:$A$5000,"&lt;"&amp;EDATE($A34,1),Entries!$B$2:$B$5000,AG$1))</f>
        <v/>
      </c>
      <c r="AH34" s="23">
        <f>IF(OR(AH$1="",$BM34=0),"",SUMIFS(Entries!$E$2:$E$5000,Entries!$C$2:$C$5000,"Actual",Entries!$A$2:$A$5000,"&gt;="&amp;$A34,Entries!$A$2:$A$5000,"&lt;"&amp;EDATE($A34,1),Entries!$B$2:$B$5000,AH$1))</f>
        <v/>
      </c>
      <c r="AI34" s="23">
        <f>IF(OR(AI$1="",$BM34=0),"",SUMIFS(Entries!$E$2:$E$5000,Entries!$C$2:$C$5000,"Actual",Entries!$A$2:$A$5000,"&gt;="&amp;$A34,Entries!$A$2:$A$5000,"&lt;"&amp;EDATE($A34,1),Entries!$B$2:$B$5000,AI$1))</f>
        <v/>
      </c>
      <c r="AJ34" s="23">
        <f>IF(OR(AJ$1="",$BM34=0),"",SUMIFS(Entries!$E$2:$E$5000,Entries!$C$2:$C$5000,"Actual",Entries!$A$2:$A$5000,"&gt;="&amp;$A34,Entries!$A$2:$A$5000,"&lt;"&amp;EDATE($A34,1),Entries!$B$2:$B$5000,AJ$1))</f>
        <v/>
      </c>
      <c r="AK34" s="23">
        <f>IF(OR(AK$1="",$BM34=0),"",SUMIFS(Entries!$E$2:$E$5000,Entries!$C$2:$C$5000,"Actual",Entries!$A$2:$A$5000,"&gt;="&amp;$A34,Entries!$A$2:$A$5000,"&lt;"&amp;EDATE($A34,1),Entries!$B$2:$B$5000,AK$1))</f>
        <v/>
      </c>
      <c r="AL34" s="23">
        <f>IF(OR(AL$1="",$BM34=0),"",SUMIFS(Entries!$E$2:$E$5000,Entries!$C$2:$C$5000,"Actual",Entries!$A$2:$A$5000,"&gt;="&amp;$A34,Entries!$A$2:$A$5000,"&lt;"&amp;EDATE($A34,1),Entries!$B$2:$B$5000,AL$1))</f>
        <v/>
      </c>
      <c r="AM34" s="23">
        <f>IF(OR(AM$1="",$BM34=0),"",SUMIFS(Entries!$E$2:$E$5000,Entries!$C$2:$C$5000,"Actual",Entries!$A$2:$A$5000,"&gt;="&amp;$A34,Entries!$A$2:$A$5000,"&lt;"&amp;EDATE($A34,1),Entries!$B$2:$B$5000,AM$1))</f>
        <v/>
      </c>
      <c r="AN34" s="23">
        <f>IF(OR(AN$1="",$BM34=0),"",SUMIFS(Entries!$E$2:$E$5000,Entries!$C$2:$C$5000,"Actual",Entries!$A$2:$A$5000,"&gt;="&amp;$A34,Entries!$A$2:$A$5000,"&lt;"&amp;EDATE($A34,1),Entries!$B$2:$B$5000,AN$1))</f>
        <v/>
      </c>
      <c r="AO34" s="23">
        <f>IF(OR(AO$1="",$BM34=0),"",SUMIFS(Entries!$E$2:$E$5000,Entries!$C$2:$C$5000,"Actual",Entries!$A$2:$A$5000,"&gt;="&amp;$A34,Entries!$A$2:$A$5000,"&lt;"&amp;EDATE($A34,1),Entries!$B$2:$B$5000,AO$1))</f>
        <v/>
      </c>
      <c r="AP34" s="23">
        <f>IF(OR(AP$1="",$BM34=0),"",SUMIFS(Entries!$E$2:$E$5000,Entries!$C$2:$C$5000,"Actual",Entries!$A$2:$A$5000,"&gt;="&amp;$A34,Entries!$A$2:$A$5000,"&lt;"&amp;EDATE($A34,1),Entries!$B$2:$B$5000,AP$1))</f>
        <v/>
      </c>
      <c r="AR34" s="23">
        <f>IF(OR(AR$1="",$BM34=0),"",IFERROR(LOOKUP(2,1/((Budgets!$A$2:$A$200=AR$1)*(Budgets!$B$2:$B$200&lt;EDATE($A34,1))),Budgets!$C$2:$C$200),0))</f>
        <v/>
      </c>
      <c r="AS34" s="23">
        <f>IF(OR(AS$1="",$BM34=0),"",IFERROR(LOOKUP(2,1/((Budgets!$A$2:$A$200=AS$1)*(Budgets!$B$2:$B$200&lt;EDATE($A34,1))),Budgets!$C$2:$C$200),0))</f>
        <v/>
      </c>
      <c r="AT34" s="23">
        <f>IF(OR(AT$1="",$BM34=0),"",IFERROR(LOOKUP(2,1/((Budgets!$A$2:$A$200=AT$1)*(Budgets!$B$2:$B$200&lt;EDATE($A34,1))),Budgets!$C$2:$C$200),0))</f>
        <v/>
      </c>
      <c r="AU34" s="23">
        <f>IF(OR(AU$1="",$BM34=0),"",IFERROR(LOOKUP(2,1/((Budgets!$A$2:$A$200=AU$1)*(Budgets!$B$2:$B$200&lt;EDATE($A34,1))),Budgets!$C$2:$C$200),0))</f>
        <v/>
      </c>
      <c r="AV34" s="23">
        <f>IF(OR(AV$1="",$BM34=0),"",IFERROR(LOOKUP(2,1/((Budgets!$A$2:$A$200=AV$1)*(Budgets!$B$2:$B$200&lt;EDATE($A34,1))),Budgets!$C$2:$C$200),0))</f>
        <v/>
      </c>
      <c r="AW34" s="23">
        <f>IF(OR(AW$1="",$BM34=0),"",IFERROR(LOOKUP(2,1/((Budgets!$A$2:$A$200=AW$1)*(Budgets!$B$2:$B$200&lt;EDATE($A34,1))),Budgets!$C$2:$C$200),0))</f>
        <v/>
      </c>
      <c r="AX34" s="23">
        <f>IF(OR(AX$1="",$BM34=0),"",IFERROR(LOOKUP(2,1/((Budgets!$A$2:$A$200=AX$1)*(Budgets!$B$2:$B$200&lt;EDATE($A34,1))),Budgets!$C$2:$C$200),0))</f>
        <v/>
      </c>
      <c r="AY34" s="23">
        <f>IF(OR(AY$1="",$BM34=0),"",IFERROR(LOOKUP(2,1/((Budgets!$A$2:$A$200=AY$1)*(Budgets!$B$2:$B$200&lt;EDATE($A34,1))),Budgets!$C$2:$C$200),0))</f>
        <v/>
      </c>
      <c r="AZ34" s="23">
        <f>IF(OR(AZ$1="",$BM34=0),"",IFERROR(LOOKUP(2,1/((Budgets!$A$2:$A$200=AZ$1)*(Budgets!$B$2:$B$200&lt;EDATE($A34,1))),Budgets!$C$2:$C$200),0))</f>
        <v/>
      </c>
      <c r="BA34" s="23">
        <f>IF(OR(BA$1="",$BM34=0),"",IFERROR(LOOKUP(2,1/((Budgets!$A$2:$A$200=BA$1)*(Budgets!$B$2:$B$200&lt;EDATE($A34,1))),Budgets!$C$2:$C$200),0))</f>
        <v/>
      </c>
      <c r="BB34" s="23">
        <f>IF(OR(BB$1="",$BM34=0),"",IFERROR(LOOKUP(2,1/((Budgets!$A$2:$A$200=BB$1)*(Budgets!$B$2:$B$200&lt;EDATE($A34,1))),Budgets!$C$2:$C$200),0))</f>
        <v/>
      </c>
      <c r="BC34" s="23">
        <f>IF(OR(BC$1="",$BM34=0),"",IFERROR(LOOKUP(2,1/((Budgets!$A$2:$A$200=BC$1)*(Budgets!$B$2:$B$200&lt;EDATE($A34,1))),Budgets!$C$2:$C$200),0))</f>
        <v/>
      </c>
      <c r="BD34" s="23">
        <f>IF(OR(BD$1="",$BM34=0),"",IFERROR(LOOKUP(2,1/((Budgets!$A$2:$A$200=BD$1)*(Budgets!$B$2:$B$200&lt;EDATE($A34,1))),Budgets!$C$2:$C$200),0))</f>
        <v/>
      </c>
      <c r="BE34" s="23">
        <f>IF(OR(BE$1="",$BM34=0),"",IFERROR(LOOKUP(2,1/((Budgets!$A$2:$A$200=BE$1)*(Budgets!$B$2:$B$200&lt;EDATE($A34,1))),Budgets!$C$2:$C$200),0))</f>
        <v/>
      </c>
      <c r="BF34" s="23">
        <f>IF(OR(BF$1="",$BM34=0),"",IFERROR(LOOKUP(2,1/((Budgets!$A$2:$A$200=BF$1)*(Budgets!$B$2:$B$200&lt;EDATE($A34,1))),Budgets!$C$2:$C$200),0))</f>
        <v/>
      </c>
      <c r="BG34" s="23">
        <f>IF(OR(BG$1="",$BM34=0),"",IFERROR(LOOKUP(2,1/((Budgets!$A$2:$A$200=BG$1)*(Budgets!$B$2:$B$200&lt;EDATE($A34,1))),Budgets!$C$2:$C$200),0))</f>
        <v/>
      </c>
      <c r="BH34" s="23">
        <f>IF(OR(BH$1="",$BM34=0),"",IFERROR(LOOKUP(2,1/((Budgets!$A$2:$A$200=BH$1)*(Budgets!$B$2:$B$200&lt;EDATE($A34,1))),Budgets!$C$2:$C$200),0))</f>
        <v/>
      </c>
      <c r="BI34" s="23">
        <f>IF(OR(BI$1="",$BM34=0),"",IFERROR(LOOKUP(2,1/((Budgets!$A$2:$A$200=BI$1)*(Budgets!$B$2:$B$200&lt;EDATE($A34,1))),Budgets!$C$2:$C$200),0))</f>
        <v/>
      </c>
      <c r="BJ34" s="23">
        <f>IF(OR(BJ$1="",$BM34=0),"",IFERROR(LOOKUP(2,1/((Budgets!$A$2:$A$200=BJ$1)*(Budgets!$B$2:$B$200&lt;EDATE($A34,1))),Budgets!$C$2:$C$200),0))</f>
        <v/>
      </c>
      <c r="BK34" s="23">
        <f>IF(OR(BK$1="",$BM34=0),"",IFERROR(LOOKUP(2,1/((Budgets!$A$2:$A$200=BK$1)*(Budgets!$B$2:$B$200&lt;EDATE($A34,1))),Budgets!$C$2:$C$200),0))</f>
        <v/>
      </c>
      <c r="BM34" s="21">
        <f>COUNTIFS(Entries!$A$2:$A$5000,"&gt;="&amp;$A34,Entries!$A$2:$A$5000,"&lt;"&amp;EDATE($A34,1))</f>
        <v/>
      </c>
    </row>
    <row r="35">
      <c r="A35" s="22" t="n">
        <v>40452</v>
      </c>
      <c r="B35" s="23">
        <f>IF($BM35=0,NA(),SUMIFS(Entries!$E$2:$E$5000,Entries!$C$2:$C$5000,"Income",Entries!$A$2:$A$5000,"&gt;="&amp;$A35,Entries!$A$2:$A$5000,"&lt;"&amp;EDATE($A35,1)))</f>
        <v/>
      </c>
      <c r="C35" s="23">
        <f>IF($BM35=0,"",SUMIFS(Entries!$E$2:$E$5000,Entries!$C$2:$C$5000,"Actual",Entries!$A$2:$A$5000,"&gt;="&amp;$A35,Entries!$A$2:$A$5000,"&lt;"&amp;EDATE($A35,1)))</f>
        <v/>
      </c>
      <c r="D35" s="23">
        <f>IF($BM35=0,"",SUMIFS(Entries!$E$2:$E$5000,Entries!$C$2:$C$5000,"One-off",Entries!$A$2:$A$5000,"&gt;="&amp;$A35,Entries!$A$2:$A$5000,"&lt;"&amp;EDATE($A35,1)))</f>
        <v/>
      </c>
      <c r="E35" s="23">
        <f>IF($BM35=0,NA(),C35+D35)</f>
        <v/>
      </c>
      <c r="F35" s="23">
        <f>IF($BM35=0,"",SUM(AR35:BK35))</f>
        <v/>
      </c>
      <c r="G35" s="23">
        <f>IF($BM35=0,"",B35-E35)</f>
        <v/>
      </c>
      <c r="H35" s="23">
        <f>IF($BM35=0,"",SUM($G$2:G35))</f>
        <v/>
      </c>
      <c r="I35" s="23">
        <f>IF($BM35=0,"",SUMIFS(Entries!$G$2:$G$5000,Entries!$A$2:$A$5000,"&gt;="&amp;$A35,Entries!$A$2:$A$5000,"&lt;"&amp;EDATE($A35,1)))</f>
        <v/>
      </c>
      <c r="J35" s="23">
        <f>IF($BM35=0,NA(),H35)</f>
        <v/>
      </c>
      <c r="K35" s="23">
        <f>IF($BM35=0,"",SUMIFS(Entries!$E$2:$E$5000,Entries!$C$2:$C$5000,"Income",Entries!$A$2:$A$5000,"&gt;="&amp;EDATE($A35,-11),Entries!$A$2:$A$5000,"&lt;"&amp;EDATE($A35,1))/COUNTIFS($A$2:$A$400,"&gt;="&amp;EDATE($A35,-11),$A$2:$A$400,"&lt;"&amp;EDATE($A35,1),$BM$2:$BM$400,"&gt;0"))</f>
      </c>
      <c r="L35" s="23">
        <f>IF($BM35=0,"",(SUMIFS(Entries!$E$2:$E$5000,Entries!$C$2:$C$5000,"Actual",Entries!$A$2:$A$5000,"&gt;="&amp;EDATE($A35,-11),Entries!$A$2:$A$5000,"&lt;"&amp;EDATE($A35,1))+SUMIFS(Entries!$E$2:$E$5000,Entries!$C$2:$C$5000,"One-off",Entries!$A$2:$A$5000,"&gt;="&amp;EDATE($A35,-11),Entries!$A$2:$A$5000,"&lt;"&amp;EDATE($A35,1)))/COUNTIFS($A$2:$A$400,"&gt;="&amp;EDATE($A35,-11),$A$2:$A$400,"&lt;"&amp;EDATE($A35,1),$BM$2:$BM$400,"&gt;0"))</f>
      </c>
      <c r="M35" s="24">
        <f>IF($BM35=0,NA(),IFERROR((K35-L35)/K35,0))</f>
        <v/>
      </c>
      <c r="N35" s="23">
        <f>IF($BM35=0,NA(),SUMIFS(Entries!$E$2:$E$5000,Entries!$D$2:$D$5000,"Core",Entries!$A$2:$A$5000,"&gt;="&amp;$A35,Entries!$A$2:$A$5000,"&lt;"&amp;EDATE($A35,1)))</f>
        <v/>
      </c>
      <c r="O35" s="23">
        <f>IF($BM35=0,NA(),SUMIFS(Entries!$E$2:$E$5000,Entries!$D$2:$D$5000,"Over &amp; above",Entries!$A$2:$A$5000,"&gt;="&amp;$A35,Entries!$A$2:$A$5000,"&lt;"&amp;EDATE($A35,1)))</f>
        <v/>
      </c>
      <c r="P35" s="23">
        <f>IF($BM35=0,NA(),SUMIFS(Entries!$E$2:$E$5000,Entries!$D$2:$D$5000,"One-off",Entries!$A$2:$A$5000,"&gt;="&amp;$A35,Entries!$A$2:$A$5000,"&lt;"&amp;EDATE($A35,1)))</f>
        <v/>
      </c>
      <c r="Q35" s="23">
        <f>IF($BM35=0,NA(),SUMIFS(Entries!$E$2:$E$5000,Entries!$D$2:$D$5000,"Reimbursable",Entries!$A$2:$A$5000,"&gt;="&amp;$A35,Entries!$A$2:$A$5000,"&lt;"&amp;EDATE($A35,1)))</f>
        <v/>
      </c>
      <c r="R35" s="23">
        <f>IF($BM35=0,NA(),SUMIFS(Entries!$E$2:$E$5000,Entries!$D$2:$D$5000,"Investment",Entries!$A$2:$A$5000,"&gt;="&amp;$A35,Entries!$A$2:$A$5000,"&lt;"&amp;EDATE($A35,1)))</f>
        <v/>
      </c>
      <c r="S35" s="23">
        <f>IF($BM35=0,NA(),N35+O35)</f>
        <v/>
      </c>
      <c r="T35" s="23">
        <f>IF($BM35=0,"",E35-Q35)</f>
        <v/>
      </c>
      <c r="W35" s="23">
        <f>IF(OR(W$1="",$BM35=0),"",SUMIFS(Entries!$E$2:$E$5000,Entries!$C$2:$C$5000,"Actual",Entries!$A$2:$A$5000,"&gt;="&amp;$A35,Entries!$A$2:$A$5000,"&lt;"&amp;EDATE($A35,1),Entries!$B$2:$B$5000,W$1))</f>
        <v/>
      </c>
      <c r="X35" s="23">
        <f>IF(OR(X$1="",$BM35=0),"",SUMIFS(Entries!$E$2:$E$5000,Entries!$C$2:$C$5000,"Actual",Entries!$A$2:$A$5000,"&gt;="&amp;$A35,Entries!$A$2:$A$5000,"&lt;"&amp;EDATE($A35,1),Entries!$B$2:$B$5000,X$1))</f>
        <v/>
      </c>
      <c r="Y35" s="23">
        <f>IF(OR(Y$1="",$BM35=0),"",SUMIFS(Entries!$E$2:$E$5000,Entries!$C$2:$C$5000,"Actual",Entries!$A$2:$A$5000,"&gt;="&amp;$A35,Entries!$A$2:$A$5000,"&lt;"&amp;EDATE($A35,1),Entries!$B$2:$B$5000,Y$1))</f>
        <v/>
      </c>
      <c r="Z35" s="23">
        <f>IF(OR(Z$1="",$BM35=0),"",SUMIFS(Entries!$E$2:$E$5000,Entries!$C$2:$C$5000,"Actual",Entries!$A$2:$A$5000,"&gt;="&amp;$A35,Entries!$A$2:$A$5000,"&lt;"&amp;EDATE($A35,1),Entries!$B$2:$B$5000,Z$1))</f>
        <v/>
      </c>
      <c r="AA35" s="23">
        <f>IF(OR(AA$1="",$BM35=0),"",SUMIFS(Entries!$E$2:$E$5000,Entries!$C$2:$C$5000,"Actual",Entries!$A$2:$A$5000,"&gt;="&amp;$A35,Entries!$A$2:$A$5000,"&lt;"&amp;EDATE($A35,1),Entries!$B$2:$B$5000,AA$1))</f>
        <v/>
      </c>
      <c r="AB35" s="23">
        <f>IF(OR(AB$1="",$BM35=0),"",SUMIFS(Entries!$E$2:$E$5000,Entries!$C$2:$C$5000,"Actual",Entries!$A$2:$A$5000,"&gt;="&amp;$A35,Entries!$A$2:$A$5000,"&lt;"&amp;EDATE($A35,1),Entries!$B$2:$B$5000,AB$1))</f>
        <v/>
      </c>
      <c r="AC35" s="23">
        <f>IF(OR(AC$1="",$BM35=0),"",SUMIFS(Entries!$E$2:$E$5000,Entries!$C$2:$C$5000,"Actual",Entries!$A$2:$A$5000,"&gt;="&amp;$A35,Entries!$A$2:$A$5000,"&lt;"&amp;EDATE($A35,1),Entries!$B$2:$B$5000,AC$1))</f>
        <v/>
      </c>
      <c r="AD35" s="23">
        <f>IF(OR(AD$1="",$BM35=0),"",SUMIFS(Entries!$E$2:$E$5000,Entries!$C$2:$C$5000,"Actual",Entries!$A$2:$A$5000,"&gt;="&amp;$A35,Entries!$A$2:$A$5000,"&lt;"&amp;EDATE($A35,1),Entries!$B$2:$B$5000,AD$1))</f>
        <v/>
      </c>
      <c r="AE35" s="23">
        <f>IF(OR(AE$1="",$BM35=0),"",SUMIFS(Entries!$E$2:$E$5000,Entries!$C$2:$C$5000,"Actual",Entries!$A$2:$A$5000,"&gt;="&amp;$A35,Entries!$A$2:$A$5000,"&lt;"&amp;EDATE($A35,1),Entries!$B$2:$B$5000,AE$1))</f>
        <v/>
      </c>
      <c r="AF35" s="23">
        <f>IF(OR(AF$1="",$BM35=0),"",SUMIFS(Entries!$E$2:$E$5000,Entries!$C$2:$C$5000,"Actual",Entries!$A$2:$A$5000,"&gt;="&amp;$A35,Entries!$A$2:$A$5000,"&lt;"&amp;EDATE($A35,1),Entries!$B$2:$B$5000,AF$1))</f>
        <v/>
      </c>
      <c r="AG35" s="23">
        <f>IF(OR(AG$1="",$BM35=0),"",SUMIFS(Entries!$E$2:$E$5000,Entries!$C$2:$C$5000,"Actual",Entries!$A$2:$A$5000,"&gt;="&amp;$A35,Entries!$A$2:$A$5000,"&lt;"&amp;EDATE($A35,1),Entries!$B$2:$B$5000,AG$1))</f>
        <v/>
      </c>
      <c r="AH35" s="23">
        <f>IF(OR(AH$1="",$BM35=0),"",SUMIFS(Entries!$E$2:$E$5000,Entries!$C$2:$C$5000,"Actual",Entries!$A$2:$A$5000,"&gt;="&amp;$A35,Entries!$A$2:$A$5000,"&lt;"&amp;EDATE($A35,1),Entries!$B$2:$B$5000,AH$1))</f>
        <v/>
      </c>
      <c r="AI35" s="23">
        <f>IF(OR(AI$1="",$BM35=0),"",SUMIFS(Entries!$E$2:$E$5000,Entries!$C$2:$C$5000,"Actual",Entries!$A$2:$A$5000,"&gt;="&amp;$A35,Entries!$A$2:$A$5000,"&lt;"&amp;EDATE($A35,1),Entries!$B$2:$B$5000,AI$1))</f>
        <v/>
      </c>
      <c r="AJ35" s="23">
        <f>IF(OR(AJ$1="",$BM35=0),"",SUMIFS(Entries!$E$2:$E$5000,Entries!$C$2:$C$5000,"Actual",Entries!$A$2:$A$5000,"&gt;="&amp;$A35,Entries!$A$2:$A$5000,"&lt;"&amp;EDATE($A35,1),Entries!$B$2:$B$5000,AJ$1))</f>
        <v/>
      </c>
      <c r="AK35" s="23">
        <f>IF(OR(AK$1="",$BM35=0),"",SUMIFS(Entries!$E$2:$E$5000,Entries!$C$2:$C$5000,"Actual",Entries!$A$2:$A$5000,"&gt;="&amp;$A35,Entries!$A$2:$A$5000,"&lt;"&amp;EDATE($A35,1),Entries!$B$2:$B$5000,AK$1))</f>
        <v/>
      </c>
      <c r="AL35" s="23">
        <f>IF(OR(AL$1="",$BM35=0),"",SUMIFS(Entries!$E$2:$E$5000,Entries!$C$2:$C$5000,"Actual",Entries!$A$2:$A$5000,"&gt;="&amp;$A35,Entries!$A$2:$A$5000,"&lt;"&amp;EDATE($A35,1),Entries!$B$2:$B$5000,AL$1))</f>
        <v/>
      </c>
      <c r="AM35" s="23">
        <f>IF(OR(AM$1="",$BM35=0),"",SUMIFS(Entries!$E$2:$E$5000,Entries!$C$2:$C$5000,"Actual",Entries!$A$2:$A$5000,"&gt;="&amp;$A35,Entries!$A$2:$A$5000,"&lt;"&amp;EDATE($A35,1),Entries!$B$2:$B$5000,AM$1))</f>
        <v/>
      </c>
      <c r="AN35" s="23">
        <f>IF(OR(AN$1="",$BM35=0),"",SUMIFS(Entries!$E$2:$E$5000,Entries!$C$2:$C$5000,"Actual",Entries!$A$2:$A$5000,"&gt;="&amp;$A35,Entries!$A$2:$A$5000,"&lt;"&amp;EDATE($A35,1),Entries!$B$2:$B$5000,AN$1))</f>
        <v/>
      </c>
      <c r="AO35" s="23">
        <f>IF(OR(AO$1="",$BM35=0),"",SUMIFS(Entries!$E$2:$E$5000,Entries!$C$2:$C$5000,"Actual",Entries!$A$2:$A$5000,"&gt;="&amp;$A35,Entries!$A$2:$A$5000,"&lt;"&amp;EDATE($A35,1),Entries!$B$2:$B$5000,AO$1))</f>
        <v/>
      </c>
      <c r="AP35" s="23">
        <f>IF(OR(AP$1="",$BM35=0),"",SUMIFS(Entries!$E$2:$E$5000,Entries!$C$2:$C$5000,"Actual",Entries!$A$2:$A$5000,"&gt;="&amp;$A35,Entries!$A$2:$A$5000,"&lt;"&amp;EDATE($A35,1),Entries!$B$2:$B$5000,AP$1))</f>
        <v/>
      </c>
      <c r="AR35" s="23">
        <f>IF(OR(AR$1="",$BM35=0),"",IFERROR(LOOKUP(2,1/((Budgets!$A$2:$A$200=AR$1)*(Budgets!$B$2:$B$200&lt;EDATE($A35,1))),Budgets!$C$2:$C$200),0))</f>
        <v/>
      </c>
      <c r="AS35" s="23">
        <f>IF(OR(AS$1="",$BM35=0),"",IFERROR(LOOKUP(2,1/((Budgets!$A$2:$A$200=AS$1)*(Budgets!$B$2:$B$200&lt;EDATE($A35,1))),Budgets!$C$2:$C$200),0))</f>
        <v/>
      </c>
      <c r="AT35" s="23">
        <f>IF(OR(AT$1="",$BM35=0),"",IFERROR(LOOKUP(2,1/((Budgets!$A$2:$A$200=AT$1)*(Budgets!$B$2:$B$200&lt;EDATE($A35,1))),Budgets!$C$2:$C$200),0))</f>
        <v/>
      </c>
      <c r="AU35" s="23">
        <f>IF(OR(AU$1="",$BM35=0),"",IFERROR(LOOKUP(2,1/((Budgets!$A$2:$A$200=AU$1)*(Budgets!$B$2:$B$200&lt;EDATE($A35,1))),Budgets!$C$2:$C$200),0))</f>
        <v/>
      </c>
      <c r="AV35" s="23">
        <f>IF(OR(AV$1="",$BM35=0),"",IFERROR(LOOKUP(2,1/((Budgets!$A$2:$A$200=AV$1)*(Budgets!$B$2:$B$200&lt;EDATE($A35,1))),Budgets!$C$2:$C$200),0))</f>
        <v/>
      </c>
      <c r="AW35" s="23">
        <f>IF(OR(AW$1="",$BM35=0),"",IFERROR(LOOKUP(2,1/((Budgets!$A$2:$A$200=AW$1)*(Budgets!$B$2:$B$200&lt;EDATE($A35,1))),Budgets!$C$2:$C$200),0))</f>
        <v/>
      </c>
      <c r="AX35" s="23">
        <f>IF(OR(AX$1="",$BM35=0),"",IFERROR(LOOKUP(2,1/((Budgets!$A$2:$A$200=AX$1)*(Budgets!$B$2:$B$200&lt;EDATE($A35,1))),Budgets!$C$2:$C$200),0))</f>
        <v/>
      </c>
      <c r="AY35" s="23">
        <f>IF(OR(AY$1="",$BM35=0),"",IFERROR(LOOKUP(2,1/((Budgets!$A$2:$A$200=AY$1)*(Budgets!$B$2:$B$200&lt;EDATE($A35,1))),Budgets!$C$2:$C$200),0))</f>
        <v/>
      </c>
      <c r="AZ35" s="23">
        <f>IF(OR(AZ$1="",$BM35=0),"",IFERROR(LOOKUP(2,1/((Budgets!$A$2:$A$200=AZ$1)*(Budgets!$B$2:$B$200&lt;EDATE($A35,1))),Budgets!$C$2:$C$200),0))</f>
        <v/>
      </c>
      <c r="BA35" s="23">
        <f>IF(OR(BA$1="",$BM35=0),"",IFERROR(LOOKUP(2,1/((Budgets!$A$2:$A$200=BA$1)*(Budgets!$B$2:$B$200&lt;EDATE($A35,1))),Budgets!$C$2:$C$200),0))</f>
        <v/>
      </c>
      <c r="BB35" s="23">
        <f>IF(OR(BB$1="",$BM35=0),"",IFERROR(LOOKUP(2,1/((Budgets!$A$2:$A$200=BB$1)*(Budgets!$B$2:$B$200&lt;EDATE($A35,1))),Budgets!$C$2:$C$200),0))</f>
        <v/>
      </c>
      <c r="BC35" s="23">
        <f>IF(OR(BC$1="",$BM35=0),"",IFERROR(LOOKUP(2,1/((Budgets!$A$2:$A$200=BC$1)*(Budgets!$B$2:$B$200&lt;EDATE($A35,1))),Budgets!$C$2:$C$200),0))</f>
        <v/>
      </c>
      <c r="BD35" s="23">
        <f>IF(OR(BD$1="",$BM35=0),"",IFERROR(LOOKUP(2,1/((Budgets!$A$2:$A$200=BD$1)*(Budgets!$B$2:$B$200&lt;EDATE($A35,1))),Budgets!$C$2:$C$200),0))</f>
        <v/>
      </c>
      <c r="BE35" s="23">
        <f>IF(OR(BE$1="",$BM35=0),"",IFERROR(LOOKUP(2,1/((Budgets!$A$2:$A$200=BE$1)*(Budgets!$B$2:$B$200&lt;EDATE($A35,1))),Budgets!$C$2:$C$200),0))</f>
        <v/>
      </c>
      <c r="BF35" s="23">
        <f>IF(OR(BF$1="",$BM35=0),"",IFERROR(LOOKUP(2,1/((Budgets!$A$2:$A$200=BF$1)*(Budgets!$B$2:$B$200&lt;EDATE($A35,1))),Budgets!$C$2:$C$200),0))</f>
        <v/>
      </c>
      <c r="BG35" s="23">
        <f>IF(OR(BG$1="",$BM35=0),"",IFERROR(LOOKUP(2,1/((Budgets!$A$2:$A$200=BG$1)*(Budgets!$B$2:$B$200&lt;EDATE($A35,1))),Budgets!$C$2:$C$200),0))</f>
        <v/>
      </c>
      <c r="BH35" s="23">
        <f>IF(OR(BH$1="",$BM35=0),"",IFERROR(LOOKUP(2,1/((Budgets!$A$2:$A$200=BH$1)*(Budgets!$B$2:$B$200&lt;EDATE($A35,1))),Budgets!$C$2:$C$200),0))</f>
        <v/>
      </c>
      <c r="BI35" s="23">
        <f>IF(OR(BI$1="",$BM35=0),"",IFERROR(LOOKUP(2,1/((Budgets!$A$2:$A$200=BI$1)*(Budgets!$B$2:$B$200&lt;EDATE($A35,1))),Budgets!$C$2:$C$200),0))</f>
        <v/>
      </c>
      <c r="BJ35" s="23">
        <f>IF(OR(BJ$1="",$BM35=0),"",IFERROR(LOOKUP(2,1/((Budgets!$A$2:$A$200=BJ$1)*(Budgets!$B$2:$B$200&lt;EDATE($A35,1))),Budgets!$C$2:$C$200),0))</f>
        <v/>
      </c>
      <c r="BK35" s="23">
        <f>IF(OR(BK$1="",$BM35=0),"",IFERROR(LOOKUP(2,1/((Budgets!$A$2:$A$200=BK$1)*(Budgets!$B$2:$B$200&lt;EDATE($A35,1))),Budgets!$C$2:$C$200),0))</f>
        <v/>
      </c>
      <c r="BM35" s="21">
        <f>COUNTIFS(Entries!$A$2:$A$5000,"&gt;="&amp;$A35,Entries!$A$2:$A$5000,"&lt;"&amp;EDATE($A35,1))</f>
        <v/>
      </c>
    </row>
    <row r="36">
      <c r="A36" s="22" t="n">
        <v>40483</v>
      </c>
      <c r="B36" s="23">
        <f>IF($BM36=0,NA(),SUMIFS(Entries!$E$2:$E$5000,Entries!$C$2:$C$5000,"Income",Entries!$A$2:$A$5000,"&gt;="&amp;$A36,Entries!$A$2:$A$5000,"&lt;"&amp;EDATE($A36,1)))</f>
        <v/>
      </c>
      <c r="C36" s="23">
        <f>IF($BM36=0,"",SUMIFS(Entries!$E$2:$E$5000,Entries!$C$2:$C$5000,"Actual",Entries!$A$2:$A$5000,"&gt;="&amp;$A36,Entries!$A$2:$A$5000,"&lt;"&amp;EDATE($A36,1)))</f>
        <v/>
      </c>
      <c r="D36" s="23">
        <f>IF($BM36=0,"",SUMIFS(Entries!$E$2:$E$5000,Entries!$C$2:$C$5000,"One-off",Entries!$A$2:$A$5000,"&gt;="&amp;$A36,Entries!$A$2:$A$5000,"&lt;"&amp;EDATE($A36,1)))</f>
        <v/>
      </c>
      <c r="E36" s="23">
        <f>IF($BM36=0,NA(),C36+D36)</f>
        <v/>
      </c>
      <c r="F36" s="23">
        <f>IF($BM36=0,"",SUM(AR36:BK36))</f>
        <v/>
      </c>
      <c r="G36" s="23">
        <f>IF($BM36=0,"",B36-E36)</f>
        <v/>
      </c>
      <c r="H36" s="23">
        <f>IF($BM36=0,"",SUM($G$2:G36))</f>
        <v/>
      </c>
      <c r="I36" s="23">
        <f>IF($BM36=0,"",SUMIFS(Entries!$G$2:$G$5000,Entries!$A$2:$A$5000,"&gt;="&amp;$A36,Entries!$A$2:$A$5000,"&lt;"&amp;EDATE($A36,1)))</f>
        <v/>
      </c>
      <c r="J36" s="23">
        <f>IF($BM36=0,NA(),H36)</f>
        <v/>
      </c>
      <c r="K36" s="23">
        <f>IF($BM36=0,"",SUMIFS(Entries!$E$2:$E$5000,Entries!$C$2:$C$5000,"Income",Entries!$A$2:$A$5000,"&gt;="&amp;EDATE($A36,-11),Entries!$A$2:$A$5000,"&lt;"&amp;EDATE($A36,1))/COUNTIFS($A$2:$A$400,"&gt;="&amp;EDATE($A36,-11),$A$2:$A$400,"&lt;"&amp;EDATE($A36,1),$BM$2:$BM$400,"&gt;0"))</f>
      </c>
      <c r="L36" s="23">
        <f>IF($BM36=0,"",(SUMIFS(Entries!$E$2:$E$5000,Entries!$C$2:$C$5000,"Actual",Entries!$A$2:$A$5000,"&gt;="&amp;EDATE($A36,-11),Entries!$A$2:$A$5000,"&lt;"&amp;EDATE($A36,1))+SUMIFS(Entries!$E$2:$E$5000,Entries!$C$2:$C$5000,"One-off",Entries!$A$2:$A$5000,"&gt;="&amp;EDATE($A36,-11),Entries!$A$2:$A$5000,"&lt;"&amp;EDATE($A36,1)))/COUNTIFS($A$2:$A$400,"&gt;="&amp;EDATE($A36,-11),$A$2:$A$400,"&lt;"&amp;EDATE($A36,1),$BM$2:$BM$400,"&gt;0"))</f>
      </c>
      <c r="M36" s="24">
        <f>IF($BM36=0,NA(),IFERROR((K36-L36)/K36,0))</f>
        <v/>
      </c>
      <c r="N36" s="23">
        <f>IF($BM36=0,NA(),SUMIFS(Entries!$E$2:$E$5000,Entries!$D$2:$D$5000,"Core",Entries!$A$2:$A$5000,"&gt;="&amp;$A36,Entries!$A$2:$A$5000,"&lt;"&amp;EDATE($A36,1)))</f>
        <v/>
      </c>
      <c r="O36" s="23">
        <f>IF($BM36=0,NA(),SUMIFS(Entries!$E$2:$E$5000,Entries!$D$2:$D$5000,"Over &amp; above",Entries!$A$2:$A$5000,"&gt;="&amp;$A36,Entries!$A$2:$A$5000,"&lt;"&amp;EDATE($A36,1)))</f>
        <v/>
      </c>
      <c r="P36" s="23">
        <f>IF($BM36=0,NA(),SUMIFS(Entries!$E$2:$E$5000,Entries!$D$2:$D$5000,"One-off",Entries!$A$2:$A$5000,"&gt;="&amp;$A36,Entries!$A$2:$A$5000,"&lt;"&amp;EDATE($A36,1)))</f>
        <v/>
      </c>
      <c r="Q36" s="23">
        <f>IF($BM36=0,NA(),SUMIFS(Entries!$E$2:$E$5000,Entries!$D$2:$D$5000,"Reimbursable",Entries!$A$2:$A$5000,"&gt;="&amp;$A36,Entries!$A$2:$A$5000,"&lt;"&amp;EDATE($A36,1)))</f>
        <v/>
      </c>
      <c r="R36" s="23">
        <f>IF($BM36=0,NA(),SUMIFS(Entries!$E$2:$E$5000,Entries!$D$2:$D$5000,"Investment",Entries!$A$2:$A$5000,"&gt;="&amp;$A36,Entries!$A$2:$A$5000,"&lt;"&amp;EDATE($A36,1)))</f>
        <v/>
      </c>
      <c r="S36" s="23">
        <f>IF($BM36=0,NA(),N36+O36)</f>
        <v/>
      </c>
      <c r="T36" s="23">
        <f>IF($BM36=0,"",E36-Q36)</f>
        <v/>
      </c>
      <c r="W36" s="23">
        <f>IF(OR(W$1="",$BM36=0),"",SUMIFS(Entries!$E$2:$E$5000,Entries!$C$2:$C$5000,"Actual",Entries!$A$2:$A$5000,"&gt;="&amp;$A36,Entries!$A$2:$A$5000,"&lt;"&amp;EDATE($A36,1),Entries!$B$2:$B$5000,W$1))</f>
        <v/>
      </c>
      <c r="X36" s="23">
        <f>IF(OR(X$1="",$BM36=0),"",SUMIFS(Entries!$E$2:$E$5000,Entries!$C$2:$C$5000,"Actual",Entries!$A$2:$A$5000,"&gt;="&amp;$A36,Entries!$A$2:$A$5000,"&lt;"&amp;EDATE($A36,1),Entries!$B$2:$B$5000,X$1))</f>
        <v/>
      </c>
      <c r="Y36" s="23">
        <f>IF(OR(Y$1="",$BM36=0),"",SUMIFS(Entries!$E$2:$E$5000,Entries!$C$2:$C$5000,"Actual",Entries!$A$2:$A$5000,"&gt;="&amp;$A36,Entries!$A$2:$A$5000,"&lt;"&amp;EDATE($A36,1),Entries!$B$2:$B$5000,Y$1))</f>
        <v/>
      </c>
      <c r="Z36" s="23">
        <f>IF(OR(Z$1="",$BM36=0),"",SUMIFS(Entries!$E$2:$E$5000,Entries!$C$2:$C$5000,"Actual",Entries!$A$2:$A$5000,"&gt;="&amp;$A36,Entries!$A$2:$A$5000,"&lt;"&amp;EDATE($A36,1),Entries!$B$2:$B$5000,Z$1))</f>
        <v/>
      </c>
      <c r="AA36" s="23">
        <f>IF(OR(AA$1="",$BM36=0),"",SUMIFS(Entries!$E$2:$E$5000,Entries!$C$2:$C$5000,"Actual",Entries!$A$2:$A$5000,"&gt;="&amp;$A36,Entries!$A$2:$A$5000,"&lt;"&amp;EDATE($A36,1),Entries!$B$2:$B$5000,AA$1))</f>
        <v/>
      </c>
      <c r="AB36" s="23">
        <f>IF(OR(AB$1="",$BM36=0),"",SUMIFS(Entries!$E$2:$E$5000,Entries!$C$2:$C$5000,"Actual",Entries!$A$2:$A$5000,"&gt;="&amp;$A36,Entries!$A$2:$A$5000,"&lt;"&amp;EDATE($A36,1),Entries!$B$2:$B$5000,AB$1))</f>
        <v/>
      </c>
      <c r="AC36" s="23">
        <f>IF(OR(AC$1="",$BM36=0),"",SUMIFS(Entries!$E$2:$E$5000,Entries!$C$2:$C$5000,"Actual",Entries!$A$2:$A$5000,"&gt;="&amp;$A36,Entries!$A$2:$A$5000,"&lt;"&amp;EDATE($A36,1),Entries!$B$2:$B$5000,AC$1))</f>
        <v/>
      </c>
      <c r="AD36" s="23">
        <f>IF(OR(AD$1="",$BM36=0),"",SUMIFS(Entries!$E$2:$E$5000,Entries!$C$2:$C$5000,"Actual",Entries!$A$2:$A$5000,"&gt;="&amp;$A36,Entries!$A$2:$A$5000,"&lt;"&amp;EDATE($A36,1),Entries!$B$2:$B$5000,AD$1))</f>
        <v/>
      </c>
      <c r="AE36" s="23">
        <f>IF(OR(AE$1="",$BM36=0),"",SUMIFS(Entries!$E$2:$E$5000,Entries!$C$2:$C$5000,"Actual",Entries!$A$2:$A$5000,"&gt;="&amp;$A36,Entries!$A$2:$A$5000,"&lt;"&amp;EDATE($A36,1),Entries!$B$2:$B$5000,AE$1))</f>
        <v/>
      </c>
      <c r="AF36" s="23">
        <f>IF(OR(AF$1="",$BM36=0),"",SUMIFS(Entries!$E$2:$E$5000,Entries!$C$2:$C$5000,"Actual",Entries!$A$2:$A$5000,"&gt;="&amp;$A36,Entries!$A$2:$A$5000,"&lt;"&amp;EDATE($A36,1),Entries!$B$2:$B$5000,AF$1))</f>
        <v/>
      </c>
      <c r="AG36" s="23">
        <f>IF(OR(AG$1="",$BM36=0),"",SUMIFS(Entries!$E$2:$E$5000,Entries!$C$2:$C$5000,"Actual",Entries!$A$2:$A$5000,"&gt;="&amp;$A36,Entries!$A$2:$A$5000,"&lt;"&amp;EDATE($A36,1),Entries!$B$2:$B$5000,AG$1))</f>
        <v/>
      </c>
      <c r="AH36" s="23">
        <f>IF(OR(AH$1="",$BM36=0),"",SUMIFS(Entries!$E$2:$E$5000,Entries!$C$2:$C$5000,"Actual",Entries!$A$2:$A$5000,"&gt;="&amp;$A36,Entries!$A$2:$A$5000,"&lt;"&amp;EDATE($A36,1),Entries!$B$2:$B$5000,AH$1))</f>
        <v/>
      </c>
      <c r="AI36" s="23">
        <f>IF(OR(AI$1="",$BM36=0),"",SUMIFS(Entries!$E$2:$E$5000,Entries!$C$2:$C$5000,"Actual",Entries!$A$2:$A$5000,"&gt;="&amp;$A36,Entries!$A$2:$A$5000,"&lt;"&amp;EDATE($A36,1),Entries!$B$2:$B$5000,AI$1))</f>
        <v/>
      </c>
      <c r="AJ36" s="23">
        <f>IF(OR(AJ$1="",$BM36=0),"",SUMIFS(Entries!$E$2:$E$5000,Entries!$C$2:$C$5000,"Actual",Entries!$A$2:$A$5000,"&gt;="&amp;$A36,Entries!$A$2:$A$5000,"&lt;"&amp;EDATE($A36,1),Entries!$B$2:$B$5000,AJ$1))</f>
        <v/>
      </c>
      <c r="AK36" s="23">
        <f>IF(OR(AK$1="",$BM36=0),"",SUMIFS(Entries!$E$2:$E$5000,Entries!$C$2:$C$5000,"Actual",Entries!$A$2:$A$5000,"&gt;="&amp;$A36,Entries!$A$2:$A$5000,"&lt;"&amp;EDATE($A36,1),Entries!$B$2:$B$5000,AK$1))</f>
        <v/>
      </c>
      <c r="AL36" s="23">
        <f>IF(OR(AL$1="",$BM36=0),"",SUMIFS(Entries!$E$2:$E$5000,Entries!$C$2:$C$5000,"Actual",Entries!$A$2:$A$5000,"&gt;="&amp;$A36,Entries!$A$2:$A$5000,"&lt;"&amp;EDATE($A36,1),Entries!$B$2:$B$5000,AL$1))</f>
        <v/>
      </c>
      <c r="AM36" s="23">
        <f>IF(OR(AM$1="",$BM36=0),"",SUMIFS(Entries!$E$2:$E$5000,Entries!$C$2:$C$5000,"Actual",Entries!$A$2:$A$5000,"&gt;="&amp;$A36,Entries!$A$2:$A$5000,"&lt;"&amp;EDATE($A36,1),Entries!$B$2:$B$5000,AM$1))</f>
        <v/>
      </c>
      <c r="AN36" s="23">
        <f>IF(OR(AN$1="",$BM36=0),"",SUMIFS(Entries!$E$2:$E$5000,Entries!$C$2:$C$5000,"Actual",Entries!$A$2:$A$5000,"&gt;="&amp;$A36,Entries!$A$2:$A$5000,"&lt;"&amp;EDATE($A36,1),Entries!$B$2:$B$5000,AN$1))</f>
        <v/>
      </c>
      <c r="AO36" s="23">
        <f>IF(OR(AO$1="",$BM36=0),"",SUMIFS(Entries!$E$2:$E$5000,Entries!$C$2:$C$5000,"Actual",Entries!$A$2:$A$5000,"&gt;="&amp;$A36,Entries!$A$2:$A$5000,"&lt;"&amp;EDATE($A36,1),Entries!$B$2:$B$5000,AO$1))</f>
        <v/>
      </c>
      <c r="AP36" s="23">
        <f>IF(OR(AP$1="",$BM36=0),"",SUMIFS(Entries!$E$2:$E$5000,Entries!$C$2:$C$5000,"Actual",Entries!$A$2:$A$5000,"&gt;="&amp;$A36,Entries!$A$2:$A$5000,"&lt;"&amp;EDATE($A36,1),Entries!$B$2:$B$5000,AP$1))</f>
        <v/>
      </c>
      <c r="AR36" s="23">
        <f>IF(OR(AR$1="",$BM36=0),"",IFERROR(LOOKUP(2,1/((Budgets!$A$2:$A$200=AR$1)*(Budgets!$B$2:$B$200&lt;EDATE($A36,1))),Budgets!$C$2:$C$200),0))</f>
        <v/>
      </c>
      <c r="AS36" s="23">
        <f>IF(OR(AS$1="",$BM36=0),"",IFERROR(LOOKUP(2,1/((Budgets!$A$2:$A$200=AS$1)*(Budgets!$B$2:$B$200&lt;EDATE($A36,1))),Budgets!$C$2:$C$200),0))</f>
        <v/>
      </c>
      <c r="AT36" s="23">
        <f>IF(OR(AT$1="",$BM36=0),"",IFERROR(LOOKUP(2,1/((Budgets!$A$2:$A$200=AT$1)*(Budgets!$B$2:$B$200&lt;EDATE($A36,1))),Budgets!$C$2:$C$200),0))</f>
        <v/>
      </c>
      <c r="AU36" s="23">
        <f>IF(OR(AU$1="",$BM36=0),"",IFERROR(LOOKUP(2,1/((Budgets!$A$2:$A$200=AU$1)*(Budgets!$B$2:$B$200&lt;EDATE($A36,1))),Budgets!$C$2:$C$200),0))</f>
        <v/>
      </c>
      <c r="AV36" s="23">
        <f>IF(OR(AV$1="",$BM36=0),"",IFERROR(LOOKUP(2,1/((Budgets!$A$2:$A$200=AV$1)*(Budgets!$B$2:$B$200&lt;EDATE($A36,1))),Budgets!$C$2:$C$200),0))</f>
        <v/>
      </c>
      <c r="AW36" s="23">
        <f>IF(OR(AW$1="",$BM36=0),"",IFERROR(LOOKUP(2,1/((Budgets!$A$2:$A$200=AW$1)*(Budgets!$B$2:$B$200&lt;EDATE($A36,1))),Budgets!$C$2:$C$200),0))</f>
        <v/>
      </c>
      <c r="AX36" s="23">
        <f>IF(OR(AX$1="",$BM36=0),"",IFERROR(LOOKUP(2,1/((Budgets!$A$2:$A$200=AX$1)*(Budgets!$B$2:$B$200&lt;EDATE($A36,1))),Budgets!$C$2:$C$200),0))</f>
        <v/>
      </c>
      <c r="AY36" s="23">
        <f>IF(OR(AY$1="",$BM36=0),"",IFERROR(LOOKUP(2,1/((Budgets!$A$2:$A$200=AY$1)*(Budgets!$B$2:$B$200&lt;EDATE($A36,1))),Budgets!$C$2:$C$200),0))</f>
        <v/>
      </c>
      <c r="AZ36" s="23">
        <f>IF(OR(AZ$1="",$BM36=0),"",IFERROR(LOOKUP(2,1/((Budgets!$A$2:$A$200=AZ$1)*(Budgets!$B$2:$B$200&lt;EDATE($A36,1))),Budgets!$C$2:$C$200),0))</f>
        <v/>
      </c>
      <c r="BA36" s="23">
        <f>IF(OR(BA$1="",$BM36=0),"",IFERROR(LOOKUP(2,1/((Budgets!$A$2:$A$200=BA$1)*(Budgets!$B$2:$B$200&lt;EDATE($A36,1))),Budgets!$C$2:$C$200),0))</f>
        <v/>
      </c>
      <c r="BB36" s="23">
        <f>IF(OR(BB$1="",$BM36=0),"",IFERROR(LOOKUP(2,1/((Budgets!$A$2:$A$200=BB$1)*(Budgets!$B$2:$B$200&lt;EDATE($A36,1))),Budgets!$C$2:$C$200),0))</f>
        <v/>
      </c>
      <c r="BC36" s="23">
        <f>IF(OR(BC$1="",$BM36=0),"",IFERROR(LOOKUP(2,1/((Budgets!$A$2:$A$200=BC$1)*(Budgets!$B$2:$B$200&lt;EDATE($A36,1))),Budgets!$C$2:$C$200),0))</f>
        <v/>
      </c>
      <c r="BD36" s="23">
        <f>IF(OR(BD$1="",$BM36=0),"",IFERROR(LOOKUP(2,1/((Budgets!$A$2:$A$200=BD$1)*(Budgets!$B$2:$B$200&lt;EDATE($A36,1))),Budgets!$C$2:$C$200),0))</f>
        <v/>
      </c>
      <c r="BE36" s="23">
        <f>IF(OR(BE$1="",$BM36=0),"",IFERROR(LOOKUP(2,1/((Budgets!$A$2:$A$200=BE$1)*(Budgets!$B$2:$B$200&lt;EDATE($A36,1))),Budgets!$C$2:$C$200),0))</f>
        <v/>
      </c>
      <c r="BF36" s="23">
        <f>IF(OR(BF$1="",$BM36=0),"",IFERROR(LOOKUP(2,1/((Budgets!$A$2:$A$200=BF$1)*(Budgets!$B$2:$B$200&lt;EDATE($A36,1))),Budgets!$C$2:$C$200),0))</f>
        <v/>
      </c>
      <c r="BG36" s="23">
        <f>IF(OR(BG$1="",$BM36=0),"",IFERROR(LOOKUP(2,1/((Budgets!$A$2:$A$200=BG$1)*(Budgets!$B$2:$B$200&lt;EDATE($A36,1))),Budgets!$C$2:$C$200),0))</f>
        <v/>
      </c>
      <c r="BH36" s="23">
        <f>IF(OR(BH$1="",$BM36=0),"",IFERROR(LOOKUP(2,1/((Budgets!$A$2:$A$200=BH$1)*(Budgets!$B$2:$B$200&lt;EDATE($A36,1))),Budgets!$C$2:$C$200),0))</f>
        <v/>
      </c>
      <c r="BI36" s="23">
        <f>IF(OR(BI$1="",$BM36=0),"",IFERROR(LOOKUP(2,1/((Budgets!$A$2:$A$200=BI$1)*(Budgets!$B$2:$B$200&lt;EDATE($A36,1))),Budgets!$C$2:$C$200),0))</f>
        <v/>
      </c>
      <c r="BJ36" s="23">
        <f>IF(OR(BJ$1="",$BM36=0),"",IFERROR(LOOKUP(2,1/((Budgets!$A$2:$A$200=BJ$1)*(Budgets!$B$2:$B$200&lt;EDATE($A36,1))),Budgets!$C$2:$C$200),0))</f>
        <v/>
      </c>
      <c r="BK36" s="23">
        <f>IF(OR(BK$1="",$BM36=0),"",IFERROR(LOOKUP(2,1/((Budgets!$A$2:$A$200=BK$1)*(Budgets!$B$2:$B$200&lt;EDATE($A36,1))),Budgets!$C$2:$C$200),0))</f>
        <v/>
      </c>
      <c r="BM36" s="21">
        <f>COUNTIFS(Entries!$A$2:$A$5000,"&gt;="&amp;$A36,Entries!$A$2:$A$5000,"&lt;"&amp;EDATE($A36,1))</f>
        <v/>
      </c>
    </row>
    <row r="37">
      <c r="A37" s="22" t="n">
        <v>40513</v>
      </c>
      <c r="B37" s="23">
        <f>IF($BM37=0,NA(),SUMIFS(Entries!$E$2:$E$5000,Entries!$C$2:$C$5000,"Income",Entries!$A$2:$A$5000,"&gt;="&amp;$A37,Entries!$A$2:$A$5000,"&lt;"&amp;EDATE($A37,1)))</f>
        <v/>
      </c>
      <c r="C37" s="23">
        <f>IF($BM37=0,"",SUMIFS(Entries!$E$2:$E$5000,Entries!$C$2:$C$5000,"Actual",Entries!$A$2:$A$5000,"&gt;="&amp;$A37,Entries!$A$2:$A$5000,"&lt;"&amp;EDATE($A37,1)))</f>
        <v/>
      </c>
      <c r="D37" s="23">
        <f>IF($BM37=0,"",SUMIFS(Entries!$E$2:$E$5000,Entries!$C$2:$C$5000,"One-off",Entries!$A$2:$A$5000,"&gt;="&amp;$A37,Entries!$A$2:$A$5000,"&lt;"&amp;EDATE($A37,1)))</f>
        <v/>
      </c>
      <c r="E37" s="23">
        <f>IF($BM37=0,NA(),C37+D37)</f>
        <v/>
      </c>
      <c r="F37" s="23">
        <f>IF($BM37=0,"",SUM(AR37:BK37))</f>
        <v/>
      </c>
      <c r="G37" s="23">
        <f>IF($BM37=0,"",B37-E37)</f>
        <v/>
      </c>
      <c r="H37" s="23">
        <f>IF($BM37=0,"",SUM($G$2:G37))</f>
        <v/>
      </c>
      <c r="I37" s="23">
        <f>IF($BM37=0,"",SUMIFS(Entries!$G$2:$G$5000,Entries!$A$2:$A$5000,"&gt;="&amp;$A37,Entries!$A$2:$A$5000,"&lt;"&amp;EDATE($A37,1)))</f>
        <v/>
      </c>
      <c r="J37" s="23">
        <f>IF($BM37=0,NA(),H37)</f>
        <v/>
      </c>
      <c r="K37" s="23">
        <f>IF($BM37=0,"",SUMIFS(Entries!$E$2:$E$5000,Entries!$C$2:$C$5000,"Income",Entries!$A$2:$A$5000,"&gt;="&amp;EDATE($A37,-11),Entries!$A$2:$A$5000,"&lt;"&amp;EDATE($A37,1))/COUNTIFS($A$2:$A$400,"&gt;="&amp;EDATE($A37,-11),$A$2:$A$400,"&lt;"&amp;EDATE($A37,1),$BM$2:$BM$400,"&gt;0"))</f>
      </c>
      <c r="L37" s="23">
        <f>IF($BM37=0,"",(SUMIFS(Entries!$E$2:$E$5000,Entries!$C$2:$C$5000,"Actual",Entries!$A$2:$A$5000,"&gt;="&amp;EDATE($A37,-11),Entries!$A$2:$A$5000,"&lt;"&amp;EDATE($A37,1))+SUMIFS(Entries!$E$2:$E$5000,Entries!$C$2:$C$5000,"One-off",Entries!$A$2:$A$5000,"&gt;="&amp;EDATE($A37,-11),Entries!$A$2:$A$5000,"&lt;"&amp;EDATE($A37,1)))/COUNTIFS($A$2:$A$400,"&gt;="&amp;EDATE($A37,-11),$A$2:$A$400,"&lt;"&amp;EDATE($A37,1),$BM$2:$BM$400,"&gt;0"))</f>
      </c>
      <c r="M37" s="24">
        <f>IF($BM37=0,NA(),IFERROR((K37-L37)/K37,0))</f>
        <v/>
      </c>
      <c r="N37" s="23">
        <f>IF($BM37=0,NA(),SUMIFS(Entries!$E$2:$E$5000,Entries!$D$2:$D$5000,"Core",Entries!$A$2:$A$5000,"&gt;="&amp;$A37,Entries!$A$2:$A$5000,"&lt;"&amp;EDATE($A37,1)))</f>
        <v/>
      </c>
      <c r="O37" s="23">
        <f>IF($BM37=0,NA(),SUMIFS(Entries!$E$2:$E$5000,Entries!$D$2:$D$5000,"Over &amp; above",Entries!$A$2:$A$5000,"&gt;="&amp;$A37,Entries!$A$2:$A$5000,"&lt;"&amp;EDATE($A37,1)))</f>
        <v/>
      </c>
      <c r="P37" s="23">
        <f>IF($BM37=0,NA(),SUMIFS(Entries!$E$2:$E$5000,Entries!$D$2:$D$5000,"One-off",Entries!$A$2:$A$5000,"&gt;="&amp;$A37,Entries!$A$2:$A$5000,"&lt;"&amp;EDATE($A37,1)))</f>
        <v/>
      </c>
      <c r="Q37" s="23">
        <f>IF($BM37=0,NA(),SUMIFS(Entries!$E$2:$E$5000,Entries!$D$2:$D$5000,"Reimbursable",Entries!$A$2:$A$5000,"&gt;="&amp;$A37,Entries!$A$2:$A$5000,"&lt;"&amp;EDATE($A37,1)))</f>
        <v/>
      </c>
      <c r="R37" s="23">
        <f>IF($BM37=0,NA(),SUMIFS(Entries!$E$2:$E$5000,Entries!$D$2:$D$5000,"Investment",Entries!$A$2:$A$5000,"&gt;="&amp;$A37,Entries!$A$2:$A$5000,"&lt;"&amp;EDATE($A37,1)))</f>
        <v/>
      </c>
      <c r="S37" s="23">
        <f>IF($BM37=0,NA(),N37+O37)</f>
        <v/>
      </c>
      <c r="T37" s="23">
        <f>IF($BM37=0,"",E37-Q37)</f>
        <v/>
      </c>
      <c r="W37" s="23">
        <f>IF(OR(W$1="",$BM37=0),"",SUMIFS(Entries!$E$2:$E$5000,Entries!$C$2:$C$5000,"Actual",Entries!$A$2:$A$5000,"&gt;="&amp;$A37,Entries!$A$2:$A$5000,"&lt;"&amp;EDATE($A37,1),Entries!$B$2:$B$5000,W$1))</f>
        <v/>
      </c>
      <c r="X37" s="23">
        <f>IF(OR(X$1="",$BM37=0),"",SUMIFS(Entries!$E$2:$E$5000,Entries!$C$2:$C$5000,"Actual",Entries!$A$2:$A$5000,"&gt;="&amp;$A37,Entries!$A$2:$A$5000,"&lt;"&amp;EDATE($A37,1),Entries!$B$2:$B$5000,X$1))</f>
        <v/>
      </c>
      <c r="Y37" s="23">
        <f>IF(OR(Y$1="",$BM37=0),"",SUMIFS(Entries!$E$2:$E$5000,Entries!$C$2:$C$5000,"Actual",Entries!$A$2:$A$5000,"&gt;="&amp;$A37,Entries!$A$2:$A$5000,"&lt;"&amp;EDATE($A37,1),Entries!$B$2:$B$5000,Y$1))</f>
        <v/>
      </c>
      <c r="Z37" s="23">
        <f>IF(OR(Z$1="",$BM37=0),"",SUMIFS(Entries!$E$2:$E$5000,Entries!$C$2:$C$5000,"Actual",Entries!$A$2:$A$5000,"&gt;="&amp;$A37,Entries!$A$2:$A$5000,"&lt;"&amp;EDATE($A37,1),Entries!$B$2:$B$5000,Z$1))</f>
        <v/>
      </c>
      <c r="AA37" s="23">
        <f>IF(OR(AA$1="",$BM37=0),"",SUMIFS(Entries!$E$2:$E$5000,Entries!$C$2:$C$5000,"Actual",Entries!$A$2:$A$5000,"&gt;="&amp;$A37,Entries!$A$2:$A$5000,"&lt;"&amp;EDATE($A37,1),Entries!$B$2:$B$5000,AA$1))</f>
        <v/>
      </c>
      <c r="AB37" s="23">
        <f>IF(OR(AB$1="",$BM37=0),"",SUMIFS(Entries!$E$2:$E$5000,Entries!$C$2:$C$5000,"Actual",Entries!$A$2:$A$5000,"&gt;="&amp;$A37,Entries!$A$2:$A$5000,"&lt;"&amp;EDATE($A37,1),Entries!$B$2:$B$5000,AB$1))</f>
        <v/>
      </c>
      <c r="AC37" s="23">
        <f>IF(OR(AC$1="",$BM37=0),"",SUMIFS(Entries!$E$2:$E$5000,Entries!$C$2:$C$5000,"Actual",Entries!$A$2:$A$5000,"&gt;="&amp;$A37,Entries!$A$2:$A$5000,"&lt;"&amp;EDATE($A37,1),Entries!$B$2:$B$5000,AC$1))</f>
        <v/>
      </c>
      <c r="AD37" s="23">
        <f>IF(OR(AD$1="",$BM37=0),"",SUMIFS(Entries!$E$2:$E$5000,Entries!$C$2:$C$5000,"Actual",Entries!$A$2:$A$5000,"&gt;="&amp;$A37,Entries!$A$2:$A$5000,"&lt;"&amp;EDATE($A37,1),Entries!$B$2:$B$5000,AD$1))</f>
        <v/>
      </c>
      <c r="AE37" s="23">
        <f>IF(OR(AE$1="",$BM37=0),"",SUMIFS(Entries!$E$2:$E$5000,Entries!$C$2:$C$5000,"Actual",Entries!$A$2:$A$5000,"&gt;="&amp;$A37,Entries!$A$2:$A$5000,"&lt;"&amp;EDATE($A37,1),Entries!$B$2:$B$5000,AE$1))</f>
        <v/>
      </c>
      <c r="AF37" s="23">
        <f>IF(OR(AF$1="",$BM37=0),"",SUMIFS(Entries!$E$2:$E$5000,Entries!$C$2:$C$5000,"Actual",Entries!$A$2:$A$5000,"&gt;="&amp;$A37,Entries!$A$2:$A$5000,"&lt;"&amp;EDATE($A37,1),Entries!$B$2:$B$5000,AF$1))</f>
        <v/>
      </c>
      <c r="AG37" s="23">
        <f>IF(OR(AG$1="",$BM37=0),"",SUMIFS(Entries!$E$2:$E$5000,Entries!$C$2:$C$5000,"Actual",Entries!$A$2:$A$5000,"&gt;="&amp;$A37,Entries!$A$2:$A$5000,"&lt;"&amp;EDATE($A37,1),Entries!$B$2:$B$5000,AG$1))</f>
        <v/>
      </c>
      <c r="AH37" s="23">
        <f>IF(OR(AH$1="",$BM37=0),"",SUMIFS(Entries!$E$2:$E$5000,Entries!$C$2:$C$5000,"Actual",Entries!$A$2:$A$5000,"&gt;="&amp;$A37,Entries!$A$2:$A$5000,"&lt;"&amp;EDATE($A37,1),Entries!$B$2:$B$5000,AH$1))</f>
        <v/>
      </c>
      <c r="AI37" s="23">
        <f>IF(OR(AI$1="",$BM37=0),"",SUMIFS(Entries!$E$2:$E$5000,Entries!$C$2:$C$5000,"Actual",Entries!$A$2:$A$5000,"&gt;="&amp;$A37,Entries!$A$2:$A$5000,"&lt;"&amp;EDATE($A37,1),Entries!$B$2:$B$5000,AI$1))</f>
        <v/>
      </c>
      <c r="AJ37" s="23">
        <f>IF(OR(AJ$1="",$BM37=0),"",SUMIFS(Entries!$E$2:$E$5000,Entries!$C$2:$C$5000,"Actual",Entries!$A$2:$A$5000,"&gt;="&amp;$A37,Entries!$A$2:$A$5000,"&lt;"&amp;EDATE($A37,1),Entries!$B$2:$B$5000,AJ$1))</f>
        <v/>
      </c>
      <c r="AK37" s="23">
        <f>IF(OR(AK$1="",$BM37=0),"",SUMIFS(Entries!$E$2:$E$5000,Entries!$C$2:$C$5000,"Actual",Entries!$A$2:$A$5000,"&gt;="&amp;$A37,Entries!$A$2:$A$5000,"&lt;"&amp;EDATE($A37,1),Entries!$B$2:$B$5000,AK$1))</f>
        <v/>
      </c>
      <c r="AL37" s="23">
        <f>IF(OR(AL$1="",$BM37=0),"",SUMIFS(Entries!$E$2:$E$5000,Entries!$C$2:$C$5000,"Actual",Entries!$A$2:$A$5000,"&gt;="&amp;$A37,Entries!$A$2:$A$5000,"&lt;"&amp;EDATE($A37,1),Entries!$B$2:$B$5000,AL$1))</f>
        <v/>
      </c>
      <c r="AM37" s="23">
        <f>IF(OR(AM$1="",$BM37=0),"",SUMIFS(Entries!$E$2:$E$5000,Entries!$C$2:$C$5000,"Actual",Entries!$A$2:$A$5000,"&gt;="&amp;$A37,Entries!$A$2:$A$5000,"&lt;"&amp;EDATE($A37,1),Entries!$B$2:$B$5000,AM$1))</f>
        <v/>
      </c>
      <c r="AN37" s="23">
        <f>IF(OR(AN$1="",$BM37=0),"",SUMIFS(Entries!$E$2:$E$5000,Entries!$C$2:$C$5000,"Actual",Entries!$A$2:$A$5000,"&gt;="&amp;$A37,Entries!$A$2:$A$5000,"&lt;"&amp;EDATE($A37,1),Entries!$B$2:$B$5000,AN$1))</f>
        <v/>
      </c>
      <c r="AO37" s="23">
        <f>IF(OR(AO$1="",$BM37=0),"",SUMIFS(Entries!$E$2:$E$5000,Entries!$C$2:$C$5000,"Actual",Entries!$A$2:$A$5000,"&gt;="&amp;$A37,Entries!$A$2:$A$5000,"&lt;"&amp;EDATE($A37,1),Entries!$B$2:$B$5000,AO$1))</f>
        <v/>
      </c>
      <c r="AP37" s="23">
        <f>IF(OR(AP$1="",$BM37=0),"",SUMIFS(Entries!$E$2:$E$5000,Entries!$C$2:$C$5000,"Actual",Entries!$A$2:$A$5000,"&gt;="&amp;$A37,Entries!$A$2:$A$5000,"&lt;"&amp;EDATE($A37,1),Entries!$B$2:$B$5000,AP$1))</f>
        <v/>
      </c>
      <c r="AR37" s="23">
        <f>IF(OR(AR$1="",$BM37=0),"",IFERROR(LOOKUP(2,1/((Budgets!$A$2:$A$200=AR$1)*(Budgets!$B$2:$B$200&lt;EDATE($A37,1))),Budgets!$C$2:$C$200),0))</f>
        <v/>
      </c>
      <c r="AS37" s="23">
        <f>IF(OR(AS$1="",$BM37=0),"",IFERROR(LOOKUP(2,1/((Budgets!$A$2:$A$200=AS$1)*(Budgets!$B$2:$B$200&lt;EDATE($A37,1))),Budgets!$C$2:$C$200),0))</f>
        <v/>
      </c>
      <c r="AT37" s="23">
        <f>IF(OR(AT$1="",$BM37=0),"",IFERROR(LOOKUP(2,1/((Budgets!$A$2:$A$200=AT$1)*(Budgets!$B$2:$B$200&lt;EDATE($A37,1))),Budgets!$C$2:$C$200),0))</f>
        <v/>
      </c>
      <c r="AU37" s="23">
        <f>IF(OR(AU$1="",$BM37=0),"",IFERROR(LOOKUP(2,1/((Budgets!$A$2:$A$200=AU$1)*(Budgets!$B$2:$B$200&lt;EDATE($A37,1))),Budgets!$C$2:$C$200),0))</f>
        <v/>
      </c>
      <c r="AV37" s="23">
        <f>IF(OR(AV$1="",$BM37=0),"",IFERROR(LOOKUP(2,1/((Budgets!$A$2:$A$200=AV$1)*(Budgets!$B$2:$B$200&lt;EDATE($A37,1))),Budgets!$C$2:$C$200),0))</f>
        <v/>
      </c>
      <c r="AW37" s="23">
        <f>IF(OR(AW$1="",$BM37=0),"",IFERROR(LOOKUP(2,1/((Budgets!$A$2:$A$200=AW$1)*(Budgets!$B$2:$B$200&lt;EDATE($A37,1))),Budgets!$C$2:$C$200),0))</f>
        <v/>
      </c>
      <c r="AX37" s="23">
        <f>IF(OR(AX$1="",$BM37=0),"",IFERROR(LOOKUP(2,1/((Budgets!$A$2:$A$200=AX$1)*(Budgets!$B$2:$B$200&lt;EDATE($A37,1))),Budgets!$C$2:$C$200),0))</f>
        <v/>
      </c>
      <c r="AY37" s="23">
        <f>IF(OR(AY$1="",$BM37=0),"",IFERROR(LOOKUP(2,1/((Budgets!$A$2:$A$200=AY$1)*(Budgets!$B$2:$B$200&lt;EDATE($A37,1))),Budgets!$C$2:$C$200),0))</f>
        <v/>
      </c>
      <c r="AZ37" s="23">
        <f>IF(OR(AZ$1="",$BM37=0),"",IFERROR(LOOKUP(2,1/((Budgets!$A$2:$A$200=AZ$1)*(Budgets!$B$2:$B$200&lt;EDATE($A37,1))),Budgets!$C$2:$C$200),0))</f>
        <v/>
      </c>
      <c r="BA37" s="23">
        <f>IF(OR(BA$1="",$BM37=0),"",IFERROR(LOOKUP(2,1/((Budgets!$A$2:$A$200=BA$1)*(Budgets!$B$2:$B$200&lt;EDATE($A37,1))),Budgets!$C$2:$C$200),0))</f>
        <v/>
      </c>
      <c r="BB37" s="23">
        <f>IF(OR(BB$1="",$BM37=0),"",IFERROR(LOOKUP(2,1/((Budgets!$A$2:$A$200=BB$1)*(Budgets!$B$2:$B$200&lt;EDATE($A37,1))),Budgets!$C$2:$C$200),0))</f>
        <v/>
      </c>
      <c r="BC37" s="23">
        <f>IF(OR(BC$1="",$BM37=0),"",IFERROR(LOOKUP(2,1/((Budgets!$A$2:$A$200=BC$1)*(Budgets!$B$2:$B$200&lt;EDATE($A37,1))),Budgets!$C$2:$C$200),0))</f>
        <v/>
      </c>
      <c r="BD37" s="23">
        <f>IF(OR(BD$1="",$BM37=0),"",IFERROR(LOOKUP(2,1/((Budgets!$A$2:$A$200=BD$1)*(Budgets!$B$2:$B$200&lt;EDATE($A37,1))),Budgets!$C$2:$C$200),0))</f>
        <v/>
      </c>
      <c r="BE37" s="23">
        <f>IF(OR(BE$1="",$BM37=0),"",IFERROR(LOOKUP(2,1/((Budgets!$A$2:$A$200=BE$1)*(Budgets!$B$2:$B$200&lt;EDATE($A37,1))),Budgets!$C$2:$C$200),0))</f>
        <v/>
      </c>
      <c r="BF37" s="23">
        <f>IF(OR(BF$1="",$BM37=0),"",IFERROR(LOOKUP(2,1/((Budgets!$A$2:$A$200=BF$1)*(Budgets!$B$2:$B$200&lt;EDATE($A37,1))),Budgets!$C$2:$C$200),0))</f>
        <v/>
      </c>
      <c r="BG37" s="23">
        <f>IF(OR(BG$1="",$BM37=0),"",IFERROR(LOOKUP(2,1/((Budgets!$A$2:$A$200=BG$1)*(Budgets!$B$2:$B$200&lt;EDATE($A37,1))),Budgets!$C$2:$C$200),0))</f>
        <v/>
      </c>
      <c r="BH37" s="23">
        <f>IF(OR(BH$1="",$BM37=0),"",IFERROR(LOOKUP(2,1/((Budgets!$A$2:$A$200=BH$1)*(Budgets!$B$2:$B$200&lt;EDATE($A37,1))),Budgets!$C$2:$C$200),0))</f>
        <v/>
      </c>
      <c r="BI37" s="23">
        <f>IF(OR(BI$1="",$BM37=0),"",IFERROR(LOOKUP(2,1/((Budgets!$A$2:$A$200=BI$1)*(Budgets!$B$2:$B$200&lt;EDATE($A37,1))),Budgets!$C$2:$C$200),0))</f>
        <v/>
      </c>
      <c r="BJ37" s="23">
        <f>IF(OR(BJ$1="",$BM37=0),"",IFERROR(LOOKUP(2,1/((Budgets!$A$2:$A$200=BJ$1)*(Budgets!$B$2:$B$200&lt;EDATE($A37,1))),Budgets!$C$2:$C$200),0))</f>
        <v/>
      </c>
      <c r="BK37" s="23">
        <f>IF(OR(BK$1="",$BM37=0),"",IFERROR(LOOKUP(2,1/((Budgets!$A$2:$A$200=BK$1)*(Budgets!$B$2:$B$200&lt;EDATE($A37,1))),Budgets!$C$2:$C$200),0))</f>
        <v/>
      </c>
      <c r="BM37" s="21">
        <f>COUNTIFS(Entries!$A$2:$A$5000,"&gt;="&amp;$A37,Entries!$A$2:$A$5000,"&lt;"&amp;EDATE($A37,1))</f>
        <v/>
      </c>
    </row>
    <row r="38">
      <c r="A38" s="22" t="n">
        <v>40544</v>
      </c>
      <c r="B38" s="23">
        <f>IF($BM38=0,NA(),SUMIFS(Entries!$E$2:$E$5000,Entries!$C$2:$C$5000,"Income",Entries!$A$2:$A$5000,"&gt;="&amp;$A38,Entries!$A$2:$A$5000,"&lt;"&amp;EDATE($A38,1)))</f>
        <v/>
      </c>
      <c r="C38" s="23">
        <f>IF($BM38=0,"",SUMIFS(Entries!$E$2:$E$5000,Entries!$C$2:$C$5000,"Actual",Entries!$A$2:$A$5000,"&gt;="&amp;$A38,Entries!$A$2:$A$5000,"&lt;"&amp;EDATE($A38,1)))</f>
        <v/>
      </c>
      <c r="D38" s="23">
        <f>IF($BM38=0,"",SUMIFS(Entries!$E$2:$E$5000,Entries!$C$2:$C$5000,"One-off",Entries!$A$2:$A$5000,"&gt;="&amp;$A38,Entries!$A$2:$A$5000,"&lt;"&amp;EDATE($A38,1)))</f>
        <v/>
      </c>
      <c r="E38" s="23">
        <f>IF($BM38=0,NA(),C38+D38)</f>
        <v/>
      </c>
      <c r="F38" s="23">
        <f>IF($BM38=0,"",SUM(AR38:BK38))</f>
        <v/>
      </c>
      <c r="G38" s="23">
        <f>IF($BM38=0,"",B38-E38)</f>
        <v/>
      </c>
      <c r="H38" s="23">
        <f>IF($BM38=0,"",SUM($G$2:G38))</f>
        <v/>
      </c>
      <c r="I38" s="23">
        <f>IF($BM38=0,"",SUMIFS(Entries!$G$2:$G$5000,Entries!$A$2:$A$5000,"&gt;="&amp;$A38,Entries!$A$2:$A$5000,"&lt;"&amp;EDATE($A38,1)))</f>
        <v/>
      </c>
      <c r="J38" s="23">
        <f>IF($BM38=0,NA(),H38)</f>
        <v/>
      </c>
      <c r="K38" s="23">
        <f>IF($BM38=0,"",SUMIFS(Entries!$E$2:$E$5000,Entries!$C$2:$C$5000,"Income",Entries!$A$2:$A$5000,"&gt;="&amp;EDATE($A38,-11),Entries!$A$2:$A$5000,"&lt;"&amp;EDATE($A38,1))/COUNTIFS($A$2:$A$400,"&gt;="&amp;EDATE($A38,-11),$A$2:$A$400,"&lt;"&amp;EDATE($A38,1),$BM$2:$BM$400,"&gt;0"))</f>
      </c>
      <c r="L38" s="23">
        <f>IF($BM38=0,"",(SUMIFS(Entries!$E$2:$E$5000,Entries!$C$2:$C$5000,"Actual",Entries!$A$2:$A$5000,"&gt;="&amp;EDATE($A38,-11),Entries!$A$2:$A$5000,"&lt;"&amp;EDATE($A38,1))+SUMIFS(Entries!$E$2:$E$5000,Entries!$C$2:$C$5000,"One-off",Entries!$A$2:$A$5000,"&gt;="&amp;EDATE($A38,-11),Entries!$A$2:$A$5000,"&lt;"&amp;EDATE($A38,1)))/COUNTIFS($A$2:$A$400,"&gt;="&amp;EDATE($A38,-11),$A$2:$A$400,"&lt;"&amp;EDATE($A38,1),$BM$2:$BM$400,"&gt;0"))</f>
      </c>
      <c r="M38" s="24">
        <f>IF($BM38=0,NA(),IFERROR((K38-L38)/K38,0))</f>
        <v/>
      </c>
      <c r="N38" s="23">
        <f>IF($BM38=0,NA(),SUMIFS(Entries!$E$2:$E$5000,Entries!$D$2:$D$5000,"Core",Entries!$A$2:$A$5000,"&gt;="&amp;$A38,Entries!$A$2:$A$5000,"&lt;"&amp;EDATE($A38,1)))</f>
        <v/>
      </c>
      <c r="O38" s="23">
        <f>IF($BM38=0,NA(),SUMIFS(Entries!$E$2:$E$5000,Entries!$D$2:$D$5000,"Over &amp; above",Entries!$A$2:$A$5000,"&gt;="&amp;$A38,Entries!$A$2:$A$5000,"&lt;"&amp;EDATE($A38,1)))</f>
        <v/>
      </c>
      <c r="P38" s="23">
        <f>IF($BM38=0,NA(),SUMIFS(Entries!$E$2:$E$5000,Entries!$D$2:$D$5000,"One-off",Entries!$A$2:$A$5000,"&gt;="&amp;$A38,Entries!$A$2:$A$5000,"&lt;"&amp;EDATE($A38,1)))</f>
        <v/>
      </c>
      <c r="Q38" s="23">
        <f>IF($BM38=0,NA(),SUMIFS(Entries!$E$2:$E$5000,Entries!$D$2:$D$5000,"Reimbursable",Entries!$A$2:$A$5000,"&gt;="&amp;$A38,Entries!$A$2:$A$5000,"&lt;"&amp;EDATE($A38,1)))</f>
        <v/>
      </c>
      <c r="R38" s="23">
        <f>IF($BM38=0,NA(),SUMIFS(Entries!$E$2:$E$5000,Entries!$D$2:$D$5000,"Investment",Entries!$A$2:$A$5000,"&gt;="&amp;$A38,Entries!$A$2:$A$5000,"&lt;"&amp;EDATE($A38,1)))</f>
        <v/>
      </c>
      <c r="S38" s="23">
        <f>IF($BM38=0,NA(),N38+O38)</f>
        <v/>
      </c>
      <c r="T38" s="23">
        <f>IF($BM38=0,"",E38-Q38)</f>
        <v/>
      </c>
      <c r="W38" s="23">
        <f>IF(OR(W$1="",$BM38=0),"",SUMIFS(Entries!$E$2:$E$5000,Entries!$C$2:$C$5000,"Actual",Entries!$A$2:$A$5000,"&gt;="&amp;$A38,Entries!$A$2:$A$5000,"&lt;"&amp;EDATE($A38,1),Entries!$B$2:$B$5000,W$1))</f>
        <v/>
      </c>
      <c r="X38" s="23">
        <f>IF(OR(X$1="",$BM38=0),"",SUMIFS(Entries!$E$2:$E$5000,Entries!$C$2:$C$5000,"Actual",Entries!$A$2:$A$5000,"&gt;="&amp;$A38,Entries!$A$2:$A$5000,"&lt;"&amp;EDATE($A38,1),Entries!$B$2:$B$5000,X$1))</f>
        <v/>
      </c>
      <c r="Y38" s="23">
        <f>IF(OR(Y$1="",$BM38=0),"",SUMIFS(Entries!$E$2:$E$5000,Entries!$C$2:$C$5000,"Actual",Entries!$A$2:$A$5000,"&gt;="&amp;$A38,Entries!$A$2:$A$5000,"&lt;"&amp;EDATE($A38,1),Entries!$B$2:$B$5000,Y$1))</f>
        <v/>
      </c>
      <c r="Z38" s="23">
        <f>IF(OR(Z$1="",$BM38=0),"",SUMIFS(Entries!$E$2:$E$5000,Entries!$C$2:$C$5000,"Actual",Entries!$A$2:$A$5000,"&gt;="&amp;$A38,Entries!$A$2:$A$5000,"&lt;"&amp;EDATE($A38,1),Entries!$B$2:$B$5000,Z$1))</f>
        <v/>
      </c>
      <c r="AA38" s="23">
        <f>IF(OR(AA$1="",$BM38=0),"",SUMIFS(Entries!$E$2:$E$5000,Entries!$C$2:$C$5000,"Actual",Entries!$A$2:$A$5000,"&gt;="&amp;$A38,Entries!$A$2:$A$5000,"&lt;"&amp;EDATE($A38,1),Entries!$B$2:$B$5000,AA$1))</f>
        <v/>
      </c>
      <c r="AB38" s="23">
        <f>IF(OR(AB$1="",$BM38=0),"",SUMIFS(Entries!$E$2:$E$5000,Entries!$C$2:$C$5000,"Actual",Entries!$A$2:$A$5000,"&gt;="&amp;$A38,Entries!$A$2:$A$5000,"&lt;"&amp;EDATE($A38,1),Entries!$B$2:$B$5000,AB$1))</f>
        <v/>
      </c>
      <c r="AC38" s="23">
        <f>IF(OR(AC$1="",$BM38=0),"",SUMIFS(Entries!$E$2:$E$5000,Entries!$C$2:$C$5000,"Actual",Entries!$A$2:$A$5000,"&gt;="&amp;$A38,Entries!$A$2:$A$5000,"&lt;"&amp;EDATE($A38,1),Entries!$B$2:$B$5000,AC$1))</f>
        <v/>
      </c>
      <c r="AD38" s="23">
        <f>IF(OR(AD$1="",$BM38=0),"",SUMIFS(Entries!$E$2:$E$5000,Entries!$C$2:$C$5000,"Actual",Entries!$A$2:$A$5000,"&gt;="&amp;$A38,Entries!$A$2:$A$5000,"&lt;"&amp;EDATE($A38,1),Entries!$B$2:$B$5000,AD$1))</f>
        <v/>
      </c>
      <c r="AE38" s="23">
        <f>IF(OR(AE$1="",$BM38=0),"",SUMIFS(Entries!$E$2:$E$5000,Entries!$C$2:$C$5000,"Actual",Entries!$A$2:$A$5000,"&gt;="&amp;$A38,Entries!$A$2:$A$5000,"&lt;"&amp;EDATE($A38,1),Entries!$B$2:$B$5000,AE$1))</f>
        <v/>
      </c>
      <c r="AF38" s="23">
        <f>IF(OR(AF$1="",$BM38=0),"",SUMIFS(Entries!$E$2:$E$5000,Entries!$C$2:$C$5000,"Actual",Entries!$A$2:$A$5000,"&gt;="&amp;$A38,Entries!$A$2:$A$5000,"&lt;"&amp;EDATE($A38,1),Entries!$B$2:$B$5000,AF$1))</f>
        <v/>
      </c>
      <c r="AG38" s="23">
        <f>IF(OR(AG$1="",$BM38=0),"",SUMIFS(Entries!$E$2:$E$5000,Entries!$C$2:$C$5000,"Actual",Entries!$A$2:$A$5000,"&gt;="&amp;$A38,Entries!$A$2:$A$5000,"&lt;"&amp;EDATE($A38,1),Entries!$B$2:$B$5000,AG$1))</f>
        <v/>
      </c>
      <c r="AH38" s="23">
        <f>IF(OR(AH$1="",$BM38=0),"",SUMIFS(Entries!$E$2:$E$5000,Entries!$C$2:$C$5000,"Actual",Entries!$A$2:$A$5000,"&gt;="&amp;$A38,Entries!$A$2:$A$5000,"&lt;"&amp;EDATE($A38,1),Entries!$B$2:$B$5000,AH$1))</f>
        <v/>
      </c>
      <c r="AI38" s="23">
        <f>IF(OR(AI$1="",$BM38=0),"",SUMIFS(Entries!$E$2:$E$5000,Entries!$C$2:$C$5000,"Actual",Entries!$A$2:$A$5000,"&gt;="&amp;$A38,Entries!$A$2:$A$5000,"&lt;"&amp;EDATE($A38,1),Entries!$B$2:$B$5000,AI$1))</f>
        <v/>
      </c>
      <c r="AJ38" s="23">
        <f>IF(OR(AJ$1="",$BM38=0),"",SUMIFS(Entries!$E$2:$E$5000,Entries!$C$2:$C$5000,"Actual",Entries!$A$2:$A$5000,"&gt;="&amp;$A38,Entries!$A$2:$A$5000,"&lt;"&amp;EDATE($A38,1),Entries!$B$2:$B$5000,AJ$1))</f>
        <v/>
      </c>
      <c r="AK38" s="23">
        <f>IF(OR(AK$1="",$BM38=0),"",SUMIFS(Entries!$E$2:$E$5000,Entries!$C$2:$C$5000,"Actual",Entries!$A$2:$A$5000,"&gt;="&amp;$A38,Entries!$A$2:$A$5000,"&lt;"&amp;EDATE($A38,1),Entries!$B$2:$B$5000,AK$1))</f>
        <v/>
      </c>
      <c r="AL38" s="23">
        <f>IF(OR(AL$1="",$BM38=0),"",SUMIFS(Entries!$E$2:$E$5000,Entries!$C$2:$C$5000,"Actual",Entries!$A$2:$A$5000,"&gt;="&amp;$A38,Entries!$A$2:$A$5000,"&lt;"&amp;EDATE($A38,1),Entries!$B$2:$B$5000,AL$1))</f>
        <v/>
      </c>
      <c r="AM38" s="23">
        <f>IF(OR(AM$1="",$BM38=0),"",SUMIFS(Entries!$E$2:$E$5000,Entries!$C$2:$C$5000,"Actual",Entries!$A$2:$A$5000,"&gt;="&amp;$A38,Entries!$A$2:$A$5000,"&lt;"&amp;EDATE($A38,1),Entries!$B$2:$B$5000,AM$1))</f>
        <v/>
      </c>
      <c r="AN38" s="23">
        <f>IF(OR(AN$1="",$BM38=0),"",SUMIFS(Entries!$E$2:$E$5000,Entries!$C$2:$C$5000,"Actual",Entries!$A$2:$A$5000,"&gt;="&amp;$A38,Entries!$A$2:$A$5000,"&lt;"&amp;EDATE($A38,1),Entries!$B$2:$B$5000,AN$1))</f>
        <v/>
      </c>
      <c r="AO38" s="23">
        <f>IF(OR(AO$1="",$BM38=0),"",SUMIFS(Entries!$E$2:$E$5000,Entries!$C$2:$C$5000,"Actual",Entries!$A$2:$A$5000,"&gt;="&amp;$A38,Entries!$A$2:$A$5000,"&lt;"&amp;EDATE($A38,1),Entries!$B$2:$B$5000,AO$1))</f>
        <v/>
      </c>
      <c r="AP38" s="23">
        <f>IF(OR(AP$1="",$BM38=0),"",SUMIFS(Entries!$E$2:$E$5000,Entries!$C$2:$C$5000,"Actual",Entries!$A$2:$A$5000,"&gt;="&amp;$A38,Entries!$A$2:$A$5000,"&lt;"&amp;EDATE($A38,1),Entries!$B$2:$B$5000,AP$1))</f>
        <v/>
      </c>
      <c r="AR38" s="23">
        <f>IF(OR(AR$1="",$BM38=0),"",IFERROR(LOOKUP(2,1/((Budgets!$A$2:$A$200=AR$1)*(Budgets!$B$2:$B$200&lt;EDATE($A38,1))),Budgets!$C$2:$C$200),0))</f>
        <v/>
      </c>
      <c r="AS38" s="23">
        <f>IF(OR(AS$1="",$BM38=0),"",IFERROR(LOOKUP(2,1/((Budgets!$A$2:$A$200=AS$1)*(Budgets!$B$2:$B$200&lt;EDATE($A38,1))),Budgets!$C$2:$C$200),0))</f>
        <v/>
      </c>
      <c r="AT38" s="23">
        <f>IF(OR(AT$1="",$BM38=0),"",IFERROR(LOOKUP(2,1/((Budgets!$A$2:$A$200=AT$1)*(Budgets!$B$2:$B$200&lt;EDATE($A38,1))),Budgets!$C$2:$C$200),0))</f>
        <v/>
      </c>
      <c r="AU38" s="23">
        <f>IF(OR(AU$1="",$BM38=0),"",IFERROR(LOOKUP(2,1/((Budgets!$A$2:$A$200=AU$1)*(Budgets!$B$2:$B$200&lt;EDATE($A38,1))),Budgets!$C$2:$C$200),0))</f>
        <v/>
      </c>
      <c r="AV38" s="23">
        <f>IF(OR(AV$1="",$BM38=0),"",IFERROR(LOOKUP(2,1/((Budgets!$A$2:$A$200=AV$1)*(Budgets!$B$2:$B$200&lt;EDATE($A38,1))),Budgets!$C$2:$C$200),0))</f>
        <v/>
      </c>
      <c r="AW38" s="23">
        <f>IF(OR(AW$1="",$BM38=0),"",IFERROR(LOOKUP(2,1/((Budgets!$A$2:$A$200=AW$1)*(Budgets!$B$2:$B$200&lt;EDATE($A38,1))),Budgets!$C$2:$C$200),0))</f>
        <v/>
      </c>
      <c r="AX38" s="23">
        <f>IF(OR(AX$1="",$BM38=0),"",IFERROR(LOOKUP(2,1/((Budgets!$A$2:$A$200=AX$1)*(Budgets!$B$2:$B$200&lt;EDATE($A38,1))),Budgets!$C$2:$C$200),0))</f>
        <v/>
      </c>
      <c r="AY38" s="23">
        <f>IF(OR(AY$1="",$BM38=0),"",IFERROR(LOOKUP(2,1/((Budgets!$A$2:$A$200=AY$1)*(Budgets!$B$2:$B$200&lt;EDATE($A38,1))),Budgets!$C$2:$C$200),0))</f>
        <v/>
      </c>
      <c r="AZ38" s="23">
        <f>IF(OR(AZ$1="",$BM38=0),"",IFERROR(LOOKUP(2,1/((Budgets!$A$2:$A$200=AZ$1)*(Budgets!$B$2:$B$200&lt;EDATE($A38,1))),Budgets!$C$2:$C$200),0))</f>
        <v/>
      </c>
      <c r="BA38" s="23">
        <f>IF(OR(BA$1="",$BM38=0),"",IFERROR(LOOKUP(2,1/((Budgets!$A$2:$A$200=BA$1)*(Budgets!$B$2:$B$200&lt;EDATE($A38,1))),Budgets!$C$2:$C$200),0))</f>
        <v/>
      </c>
      <c r="BB38" s="23">
        <f>IF(OR(BB$1="",$BM38=0),"",IFERROR(LOOKUP(2,1/((Budgets!$A$2:$A$200=BB$1)*(Budgets!$B$2:$B$200&lt;EDATE($A38,1))),Budgets!$C$2:$C$200),0))</f>
        <v/>
      </c>
      <c r="BC38" s="23">
        <f>IF(OR(BC$1="",$BM38=0),"",IFERROR(LOOKUP(2,1/((Budgets!$A$2:$A$200=BC$1)*(Budgets!$B$2:$B$200&lt;EDATE($A38,1))),Budgets!$C$2:$C$200),0))</f>
        <v/>
      </c>
      <c r="BD38" s="23">
        <f>IF(OR(BD$1="",$BM38=0),"",IFERROR(LOOKUP(2,1/((Budgets!$A$2:$A$200=BD$1)*(Budgets!$B$2:$B$200&lt;EDATE($A38,1))),Budgets!$C$2:$C$200),0))</f>
        <v/>
      </c>
      <c r="BE38" s="23">
        <f>IF(OR(BE$1="",$BM38=0),"",IFERROR(LOOKUP(2,1/((Budgets!$A$2:$A$200=BE$1)*(Budgets!$B$2:$B$200&lt;EDATE($A38,1))),Budgets!$C$2:$C$200),0))</f>
        <v/>
      </c>
      <c r="BF38" s="23">
        <f>IF(OR(BF$1="",$BM38=0),"",IFERROR(LOOKUP(2,1/((Budgets!$A$2:$A$200=BF$1)*(Budgets!$B$2:$B$200&lt;EDATE($A38,1))),Budgets!$C$2:$C$200),0))</f>
        <v/>
      </c>
      <c r="BG38" s="23">
        <f>IF(OR(BG$1="",$BM38=0),"",IFERROR(LOOKUP(2,1/((Budgets!$A$2:$A$200=BG$1)*(Budgets!$B$2:$B$200&lt;EDATE($A38,1))),Budgets!$C$2:$C$200),0))</f>
        <v/>
      </c>
      <c r="BH38" s="23">
        <f>IF(OR(BH$1="",$BM38=0),"",IFERROR(LOOKUP(2,1/((Budgets!$A$2:$A$200=BH$1)*(Budgets!$B$2:$B$200&lt;EDATE($A38,1))),Budgets!$C$2:$C$200),0))</f>
        <v/>
      </c>
      <c r="BI38" s="23">
        <f>IF(OR(BI$1="",$BM38=0),"",IFERROR(LOOKUP(2,1/((Budgets!$A$2:$A$200=BI$1)*(Budgets!$B$2:$B$200&lt;EDATE($A38,1))),Budgets!$C$2:$C$200),0))</f>
        <v/>
      </c>
      <c r="BJ38" s="23">
        <f>IF(OR(BJ$1="",$BM38=0),"",IFERROR(LOOKUP(2,1/((Budgets!$A$2:$A$200=BJ$1)*(Budgets!$B$2:$B$200&lt;EDATE($A38,1))),Budgets!$C$2:$C$200),0))</f>
        <v/>
      </c>
      <c r="BK38" s="23">
        <f>IF(OR(BK$1="",$BM38=0),"",IFERROR(LOOKUP(2,1/((Budgets!$A$2:$A$200=BK$1)*(Budgets!$B$2:$B$200&lt;EDATE($A38,1))),Budgets!$C$2:$C$200),0))</f>
        <v/>
      </c>
      <c r="BM38" s="21">
        <f>COUNTIFS(Entries!$A$2:$A$5000,"&gt;="&amp;$A38,Entries!$A$2:$A$5000,"&lt;"&amp;EDATE($A38,1))</f>
        <v/>
      </c>
    </row>
    <row r="39">
      <c r="A39" s="22" t="n">
        <v>40575</v>
      </c>
      <c r="B39" s="23">
        <f>IF($BM39=0,NA(),SUMIFS(Entries!$E$2:$E$5000,Entries!$C$2:$C$5000,"Income",Entries!$A$2:$A$5000,"&gt;="&amp;$A39,Entries!$A$2:$A$5000,"&lt;"&amp;EDATE($A39,1)))</f>
        <v/>
      </c>
      <c r="C39" s="23">
        <f>IF($BM39=0,"",SUMIFS(Entries!$E$2:$E$5000,Entries!$C$2:$C$5000,"Actual",Entries!$A$2:$A$5000,"&gt;="&amp;$A39,Entries!$A$2:$A$5000,"&lt;"&amp;EDATE($A39,1)))</f>
        <v/>
      </c>
      <c r="D39" s="23">
        <f>IF($BM39=0,"",SUMIFS(Entries!$E$2:$E$5000,Entries!$C$2:$C$5000,"One-off",Entries!$A$2:$A$5000,"&gt;="&amp;$A39,Entries!$A$2:$A$5000,"&lt;"&amp;EDATE($A39,1)))</f>
        <v/>
      </c>
      <c r="E39" s="23">
        <f>IF($BM39=0,NA(),C39+D39)</f>
        <v/>
      </c>
      <c r="F39" s="23">
        <f>IF($BM39=0,"",SUM(AR39:BK39))</f>
        <v/>
      </c>
      <c r="G39" s="23">
        <f>IF($BM39=0,"",B39-E39)</f>
        <v/>
      </c>
      <c r="H39" s="23">
        <f>IF($BM39=0,"",SUM($G$2:G39))</f>
        <v/>
      </c>
      <c r="I39" s="23">
        <f>IF($BM39=0,"",SUMIFS(Entries!$G$2:$G$5000,Entries!$A$2:$A$5000,"&gt;="&amp;$A39,Entries!$A$2:$A$5000,"&lt;"&amp;EDATE($A39,1)))</f>
        <v/>
      </c>
      <c r="J39" s="23">
        <f>IF($BM39=0,NA(),H39)</f>
        <v/>
      </c>
      <c r="K39" s="23">
        <f>IF($BM39=0,"",SUMIFS(Entries!$E$2:$E$5000,Entries!$C$2:$C$5000,"Income",Entries!$A$2:$A$5000,"&gt;="&amp;EDATE($A39,-11),Entries!$A$2:$A$5000,"&lt;"&amp;EDATE($A39,1))/COUNTIFS($A$2:$A$400,"&gt;="&amp;EDATE($A39,-11),$A$2:$A$400,"&lt;"&amp;EDATE($A39,1),$BM$2:$BM$400,"&gt;0"))</f>
      </c>
      <c r="L39" s="23">
        <f>IF($BM39=0,"",(SUMIFS(Entries!$E$2:$E$5000,Entries!$C$2:$C$5000,"Actual",Entries!$A$2:$A$5000,"&gt;="&amp;EDATE($A39,-11),Entries!$A$2:$A$5000,"&lt;"&amp;EDATE($A39,1))+SUMIFS(Entries!$E$2:$E$5000,Entries!$C$2:$C$5000,"One-off",Entries!$A$2:$A$5000,"&gt;="&amp;EDATE($A39,-11),Entries!$A$2:$A$5000,"&lt;"&amp;EDATE($A39,1)))/COUNTIFS($A$2:$A$400,"&gt;="&amp;EDATE($A39,-11),$A$2:$A$400,"&lt;"&amp;EDATE($A39,1),$BM$2:$BM$400,"&gt;0"))</f>
      </c>
      <c r="M39" s="24">
        <f>IF($BM39=0,NA(),IFERROR((K39-L39)/K39,0))</f>
        <v/>
      </c>
      <c r="N39" s="23">
        <f>IF($BM39=0,NA(),SUMIFS(Entries!$E$2:$E$5000,Entries!$D$2:$D$5000,"Core",Entries!$A$2:$A$5000,"&gt;="&amp;$A39,Entries!$A$2:$A$5000,"&lt;"&amp;EDATE($A39,1)))</f>
        <v/>
      </c>
      <c r="O39" s="23">
        <f>IF($BM39=0,NA(),SUMIFS(Entries!$E$2:$E$5000,Entries!$D$2:$D$5000,"Over &amp; above",Entries!$A$2:$A$5000,"&gt;="&amp;$A39,Entries!$A$2:$A$5000,"&lt;"&amp;EDATE($A39,1)))</f>
        <v/>
      </c>
      <c r="P39" s="23">
        <f>IF($BM39=0,NA(),SUMIFS(Entries!$E$2:$E$5000,Entries!$D$2:$D$5000,"One-off",Entries!$A$2:$A$5000,"&gt;="&amp;$A39,Entries!$A$2:$A$5000,"&lt;"&amp;EDATE($A39,1)))</f>
        <v/>
      </c>
      <c r="Q39" s="23">
        <f>IF($BM39=0,NA(),SUMIFS(Entries!$E$2:$E$5000,Entries!$D$2:$D$5000,"Reimbursable",Entries!$A$2:$A$5000,"&gt;="&amp;$A39,Entries!$A$2:$A$5000,"&lt;"&amp;EDATE($A39,1)))</f>
        <v/>
      </c>
      <c r="R39" s="23">
        <f>IF($BM39=0,NA(),SUMIFS(Entries!$E$2:$E$5000,Entries!$D$2:$D$5000,"Investment",Entries!$A$2:$A$5000,"&gt;="&amp;$A39,Entries!$A$2:$A$5000,"&lt;"&amp;EDATE($A39,1)))</f>
        <v/>
      </c>
      <c r="S39" s="23">
        <f>IF($BM39=0,NA(),N39+O39)</f>
        <v/>
      </c>
      <c r="T39" s="23">
        <f>IF($BM39=0,"",E39-Q39)</f>
        <v/>
      </c>
      <c r="W39" s="23">
        <f>IF(OR(W$1="",$BM39=0),"",SUMIFS(Entries!$E$2:$E$5000,Entries!$C$2:$C$5000,"Actual",Entries!$A$2:$A$5000,"&gt;="&amp;$A39,Entries!$A$2:$A$5000,"&lt;"&amp;EDATE($A39,1),Entries!$B$2:$B$5000,W$1))</f>
        <v/>
      </c>
      <c r="X39" s="23">
        <f>IF(OR(X$1="",$BM39=0),"",SUMIFS(Entries!$E$2:$E$5000,Entries!$C$2:$C$5000,"Actual",Entries!$A$2:$A$5000,"&gt;="&amp;$A39,Entries!$A$2:$A$5000,"&lt;"&amp;EDATE($A39,1),Entries!$B$2:$B$5000,X$1))</f>
        <v/>
      </c>
      <c r="Y39" s="23">
        <f>IF(OR(Y$1="",$BM39=0),"",SUMIFS(Entries!$E$2:$E$5000,Entries!$C$2:$C$5000,"Actual",Entries!$A$2:$A$5000,"&gt;="&amp;$A39,Entries!$A$2:$A$5000,"&lt;"&amp;EDATE($A39,1),Entries!$B$2:$B$5000,Y$1))</f>
        <v/>
      </c>
      <c r="Z39" s="23">
        <f>IF(OR(Z$1="",$BM39=0),"",SUMIFS(Entries!$E$2:$E$5000,Entries!$C$2:$C$5000,"Actual",Entries!$A$2:$A$5000,"&gt;="&amp;$A39,Entries!$A$2:$A$5000,"&lt;"&amp;EDATE($A39,1),Entries!$B$2:$B$5000,Z$1))</f>
        <v/>
      </c>
      <c r="AA39" s="23">
        <f>IF(OR(AA$1="",$BM39=0),"",SUMIFS(Entries!$E$2:$E$5000,Entries!$C$2:$C$5000,"Actual",Entries!$A$2:$A$5000,"&gt;="&amp;$A39,Entries!$A$2:$A$5000,"&lt;"&amp;EDATE($A39,1),Entries!$B$2:$B$5000,AA$1))</f>
        <v/>
      </c>
      <c r="AB39" s="23">
        <f>IF(OR(AB$1="",$BM39=0),"",SUMIFS(Entries!$E$2:$E$5000,Entries!$C$2:$C$5000,"Actual",Entries!$A$2:$A$5000,"&gt;="&amp;$A39,Entries!$A$2:$A$5000,"&lt;"&amp;EDATE($A39,1),Entries!$B$2:$B$5000,AB$1))</f>
        <v/>
      </c>
      <c r="AC39" s="23">
        <f>IF(OR(AC$1="",$BM39=0),"",SUMIFS(Entries!$E$2:$E$5000,Entries!$C$2:$C$5000,"Actual",Entries!$A$2:$A$5000,"&gt;="&amp;$A39,Entries!$A$2:$A$5000,"&lt;"&amp;EDATE($A39,1),Entries!$B$2:$B$5000,AC$1))</f>
        <v/>
      </c>
      <c r="AD39" s="23">
        <f>IF(OR(AD$1="",$BM39=0),"",SUMIFS(Entries!$E$2:$E$5000,Entries!$C$2:$C$5000,"Actual",Entries!$A$2:$A$5000,"&gt;="&amp;$A39,Entries!$A$2:$A$5000,"&lt;"&amp;EDATE($A39,1),Entries!$B$2:$B$5000,AD$1))</f>
        <v/>
      </c>
      <c r="AE39" s="23">
        <f>IF(OR(AE$1="",$BM39=0),"",SUMIFS(Entries!$E$2:$E$5000,Entries!$C$2:$C$5000,"Actual",Entries!$A$2:$A$5000,"&gt;="&amp;$A39,Entries!$A$2:$A$5000,"&lt;"&amp;EDATE($A39,1),Entries!$B$2:$B$5000,AE$1))</f>
        <v/>
      </c>
      <c r="AF39" s="23">
        <f>IF(OR(AF$1="",$BM39=0),"",SUMIFS(Entries!$E$2:$E$5000,Entries!$C$2:$C$5000,"Actual",Entries!$A$2:$A$5000,"&gt;="&amp;$A39,Entries!$A$2:$A$5000,"&lt;"&amp;EDATE($A39,1),Entries!$B$2:$B$5000,AF$1))</f>
        <v/>
      </c>
      <c r="AG39" s="23">
        <f>IF(OR(AG$1="",$BM39=0),"",SUMIFS(Entries!$E$2:$E$5000,Entries!$C$2:$C$5000,"Actual",Entries!$A$2:$A$5000,"&gt;="&amp;$A39,Entries!$A$2:$A$5000,"&lt;"&amp;EDATE($A39,1),Entries!$B$2:$B$5000,AG$1))</f>
        <v/>
      </c>
      <c r="AH39" s="23">
        <f>IF(OR(AH$1="",$BM39=0),"",SUMIFS(Entries!$E$2:$E$5000,Entries!$C$2:$C$5000,"Actual",Entries!$A$2:$A$5000,"&gt;="&amp;$A39,Entries!$A$2:$A$5000,"&lt;"&amp;EDATE($A39,1),Entries!$B$2:$B$5000,AH$1))</f>
        <v/>
      </c>
      <c r="AI39" s="23">
        <f>IF(OR(AI$1="",$BM39=0),"",SUMIFS(Entries!$E$2:$E$5000,Entries!$C$2:$C$5000,"Actual",Entries!$A$2:$A$5000,"&gt;="&amp;$A39,Entries!$A$2:$A$5000,"&lt;"&amp;EDATE($A39,1),Entries!$B$2:$B$5000,AI$1))</f>
        <v/>
      </c>
      <c r="AJ39" s="23">
        <f>IF(OR(AJ$1="",$BM39=0),"",SUMIFS(Entries!$E$2:$E$5000,Entries!$C$2:$C$5000,"Actual",Entries!$A$2:$A$5000,"&gt;="&amp;$A39,Entries!$A$2:$A$5000,"&lt;"&amp;EDATE($A39,1),Entries!$B$2:$B$5000,AJ$1))</f>
        <v/>
      </c>
      <c r="AK39" s="23">
        <f>IF(OR(AK$1="",$BM39=0),"",SUMIFS(Entries!$E$2:$E$5000,Entries!$C$2:$C$5000,"Actual",Entries!$A$2:$A$5000,"&gt;="&amp;$A39,Entries!$A$2:$A$5000,"&lt;"&amp;EDATE($A39,1),Entries!$B$2:$B$5000,AK$1))</f>
        <v/>
      </c>
      <c r="AL39" s="23">
        <f>IF(OR(AL$1="",$BM39=0),"",SUMIFS(Entries!$E$2:$E$5000,Entries!$C$2:$C$5000,"Actual",Entries!$A$2:$A$5000,"&gt;="&amp;$A39,Entries!$A$2:$A$5000,"&lt;"&amp;EDATE($A39,1),Entries!$B$2:$B$5000,AL$1))</f>
        <v/>
      </c>
      <c r="AM39" s="23">
        <f>IF(OR(AM$1="",$BM39=0),"",SUMIFS(Entries!$E$2:$E$5000,Entries!$C$2:$C$5000,"Actual",Entries!$A$2:$A$5000,"&gt;="&amp;$A39,Entries!$A$2:$A$5000,"&lt;"&amp;EDATE($A39,1),Entries!$B$2:$B$5000,AM$1))</f>
        <v/>
      </c>
      <c r="AN39" s="23">
        <f>IF(OR(AN$1="",$BM39=0),"",SUMIFS(Entries!$E$2:$E$5000,Entries!$C$2:$C$5000,"Actual",Entries!$A$2:$A$5000,"&gt;="&amp;$A39,Entries!$A$2:$A$5000,"&lt;"&amp;EDATE($A39,1),Entries!$B$2:$B$5000,AN$1))</f>
        <v/>
      </c>
      <c r="AO39" s="23">
        <f>IF(OR(AO$1="",$BM39=0),"",SUMIFS(Entries!$E$2:$E$5000,Entries!$C$2:$C$5000,"Actual",Entries!$A$2:$A$5000,"&gt;="&amp;$A39,Entries!$A$2:$A$5000,"&lt;"&amp;EDATE($A39,1),Entries!$B$2:$B$5000,AO$1))</f>
        <v/>
      </c>
      <c r="AP39" s="23">
        <f>IF(OR(AP$1="",$BM39=0),"",SUMIFS(Entries!$E$2:$E$5000,Entries!$C$2:$C$5000,"Actual",Entries!$A$2:$A$5000,"&gt;="&amp;$A39,Entries!$A$2:$A$5000,"&lt;"&amp;EDATE($A39,1),Entries!$B$2:$B$5000,AP$1))</f>
        <v/>
      </c>
      <c r="AR39" s="23">
        <f>IF(OR(AR$1="",$BM39=0),"",IFERROR(LOOKUP(2,1/((Budgets!$A$2:$A$200=AR$1)*(Budgets!$B$2:$B$200&lt;EDATE($A39,1))),Budgets!$C$2:$C$200),0))</f>
        <v/>
      </c>
      <c r="AS39" s="23">
        <f>IF(OR(AS$1="",$BM39=0),"",IFERROR(LOOKUP(2,1/((Budgets!$A$2:$A$200=AS$1)*(Budgets!$B$2:$B$200&lt;EDATE($A39,1))),Budgets!$C$2:$C$200),0))</f>
        <v/>
      </c>
      <c r="AT39" s="23">
        <f>IF(OR(AT$1="",$BM39=0),"",IFERROR(LOOKUP(2,1/((Budgets!$A$2:$A$200=AT$1)*(Budgets!$B$2:$B$200&lt;EDATE($A39,1))),Budgets!$C$2:$C$200),0))</f>
        <v/>
      </c>
      <c r="AU39" s="23">
        <f>IF(OR(AU$1="",$BM39=0),"",IFERROR(LOOKUP(2,1/((Budgets!$A$2:$A$200=AU$1)*(Budgets!$B$2:$B$200&lt;EDATE($A39,1))),Budgets!$C$2:$C$200),0))</f>
        <v/>
      </c>
      <c r="AV39" s="23">
        <f>IF(OR(AV$1="",$BM39=0),"",IFERROR(LOOKUP(2,1/((Budgets!$A$2:$A$200=AV$1)*(Budgets!$B$2:$B$200&lt;EDATE($A39,1))),Budgets!$C$2:$C$200),0))</f>
        <v/>
      </c>
      <c r="AW39" s="23">
        <f>IF(OR(AW$1="",$BM39=0),"",IFERROR(LOOKUP(2,1/((Budgets!$A$2:$A$200=AW$1)*(Budgets!$B$2:$B$200&lt;EDATE($A39,1))),Budgets!$C$2:$C$200),0))</f>
        <v/>
      </c>
      <c r="AX39" s="23">
        <f>IF(OR(AX$1="",$BM39=0),"",IFERROR(LOOKUP(2,1/((Budgets!$A$2:$A$200=AX$1)*(Budgets!$B$2:$B$200&lt;EDATE($A39,1))),Budgets!$C$2:$C$200),0))</f>
        <v/>
      </c>
      <c r="AY39" s="23">
        <f>IF(OR(AY$1="",$BM39=0),"",IFERROR(LOOKUP(2,1/((Budgets!$A$2:$A$200=AY$1)*(Budgets!$B$2:$B$200&lt;EDATE($A39,1))),Budgets!$C$2:$C$200),0))</f>
        <v/>
      </c>
      <c r="AZ39" s="23">
        <f>IF(OR(AZ$1="",$BM39=0),"",IFERROR(LOOKUP(2,1/((Budgets!$A$2:$A$200=AZ$1)*(Budgets!$B$2:$B$200&lt;EDATE($A39,1))),Budgets!$C$2:$C$200),0))</f>
        <v/>
      </c>
      <c r="BA39" s="23">
        <f>IF(OR(BA$1="",$BM39=0),"",IFERROR(LOOKUP(2,1/((Budgets!$A$2:$A$200=BA$1)*(Budgets!$B$2:$B$200&lt;EDATE($A39,1))),Budgets!$C$2:$C$200),0))</f>
        <v/>
      </c>
      <c r="BB39" s="23">
        <f>IF(OR(BB$1="",$BM39=0),"",IFERROR(LOOKUP(2,1/((Budgets!$A$2:$A$200=BB$1)*(Budgets!$B$2:$B$200&lt;EDATE($A39,1))),Budgets!$C$2:$C$200),0))</f>
        <v/>
      </c>
      <c r="BC39" s="23">
        <f>IF(OR(BC$1="",$BM39=0),"",IFERROR(LOOKUP(2,1/((Budgets!$A$2:$A$200=BC$1)*(Budgets!$B$2:$B$200&lt;EDATE($A39,1))),Budgets!$C$2:$C$200),0))</f>
        <v/>
      </c>
      <c r="BD39" s="23">
        <f>IF(OR(BD$1="",$BM39=0),"",IFERROR(LOOKUP(2,1/((Budgets!$A$2:$A$200=BD$1)*(Budgets!$B$2:$B$200&lt;EDATE($A39,1))),Budgets!$C$2:$C$200),0))</f>
        <v/>
      </c>
      <c r="BE39" s="23">
        <f>IF(OR(BE$1="",$BM39=0),"",IFERROR(LOOKUP(2,1/((Budgets!$A$2:$A$200=BE$1)*(Budgets!$B$2:$B$200&lt;EDATE($A39,1))),Budgets!$C$2:$C$200),0))</f>
        <v/>
      </c>
      <c r="BF39" s="23">
        <f>IF(OR(BF$1="",$BM39=0),"",IFERROR(LOOKUP(2,1/((Budgets!$A$2:$A$200=BF$1)*(Budgets!$B$2:$B$200&lt;EDATE($A39,1))),Budgets!$C$2:$C$200),0))</f>
        <v/>
      </c>
      <c r="BG39" s="23">
        <f>IF(OR(BG$1="",$BM39=0),"",IFERROR(LOOKUP(2,1/((Budgets!$A$2:$A$200=BG$1)*(Budgets!$B$2:$B$200&lt;EDATE($A39,1))),Budgets!$C$2:$C$200),0))</f>
        <v/>
      </c>
      <c r="BH39" s="23">
        <f>IF(OR(BH$1="",$BM39=0),"",IFERROR(LOOKUP(2,1/((Budgets!$A$2:$A$200=BH$1)*(Budgets!$B$2:$B$200&lt;EDATE($A39,1))),Budgets!$C$2:$C$200),0))</f>
        <v/>
      </c>
      <c r="BI39" s="23">
        <f>IF(OR(BI$1="",$BM39=0),"",IFERROR(LOOKUP(2,1/((Budgets!$A$2:$A$200=BI$1)*(Budgets!$B$2:$B$200&lt;EDATE($A39,1))),Budgets!$C$2:$C$200),0))</f>
        <v/>
      </c>
      <c r="BJ39" s="23">
        <f>IF(OR(BJ$1="",$BM39=0),"",IFERROR(LOOKUP(2,1/((Budgets!$A$2:$A$200=BJ$1)*(Budgets!$B$2:$B$200&lt;EDATE($A39,1))),Budgets!$C$2:$C$200),0))</f>
        <v/>
      </c>
      <c r="BK39" s="23">
        <f>IF(OR(BK$1="",$BM39=0),"",IFERROR(LOOKUP(2,1/((Budgets!$A$2:$A$200=BK$1)*(Budgets!$B$2:$B$200&lt;EDATE($A39,1))),Budgets!$C$2:$C$200),0))</f>
        <v/>
      </c>
      <c r="BM39" s="21">
        <f>COUNTIFS(Entries!$A$2:$A$5000,"&gt;="&amp;$A39,Entries!$A$2:$A$5000,"&lt;"&amp;EDATE($A39,1))</f>
        <v/>
      </c>
    </row>
    <row r="40">
      <c r="A40" s="22" t="n">
        <v>40603</v>
      </c>
      <c r="B40" s="23">
        <f>IF($BM40=0,NA(),SUMIFS(Entries!$E$2:$E$5000,Entries!$C$2:$C$5000,"Income",Entries!$A$2:$A$5000,"&gt;="&amp;$A40,Entries!$A$2:$A$5000,"&lt;"&amp;EDATE($A40,1)))</f>
        <v/>
      </c>
      <c r="C40" s="23">
        <f>IF($BM40=0,"",SUMIFS(Entries!$E$2:$E$5000,Entries!$C$2:$C$5000,"Actual",Entries!$A$2:$A$5000,"&gt;="&amp;$A40,Entries!$A$2:$A$5000,"&lt;"&amp;EDATE($A40,1)))</f>
        <v/>
      </c>
      <c r="D40" s="23">
        <f>IF($BM40=0,"",SUMIFS(Entries!$E$2:$E$5000,Entries!$C$2:$C$5000,"One-off",Entries!$A$2:$A$5000,"&gt;="&amp;$A40,Entries!$A$2:$A$5000,"&lt;"&amp;EDATE($A40,1)))</f>
        <v/>
      </c>
      <c r="E40" s="23">
        <f>IF($BM40=0,NA(),C40+D40)</f>
        <v/>
      </c>
      <c r="F40" s="23">
        <f>IF($BM40=0,"",SUM(AR40:BK40))</f>
        <v/>
      </c>
      <c r="G40" s="23">
        <f>IF($BM40=0,"",B40-E40)</f>
        <v/>
      </c>
      <c r="H40" s="23">
        <f>IF($BM40=0,"",SUM($G$2:G40))</f>
        <v/>
      </c>
      <c r="I40" s="23">
        <f>IF($BM40=0,"",SUMIFS(Entries!$G$2:$G$5000,Entries!$A$2:$A$5000,"&gt;="&amp;$A40,Entries!$A$2:$A$5000,"&lt;"&amp;EDATE($A40,1)))</f>
        <v/>
      </c>
      <c r="J40" s="23">
        <f>IF($BM40=0,NA(),H40)</f>
        <v/>
      </c>
      <c r="K40" s="23">
        <f>IF($BM40=0,"",SUMIFS(Entries!$E$2:$E$5000,Entries!$C$2:$C$5000,"Income",Entries!$A$2:$A$5000,"&gt;="&amp;EDATE($A40,-11),Entries!$A$2:$A$5000,"&lt;"&amp;EDATE($A40,1))/COUNTIFS($A$2:$A$400,"&gt;="&amp;EDATE($A40,-11),$A$2:$A$400,"&lt;"&amp;EDATE($A40,1),$BM$2:$BM$400,"&gt;0"))</f>
      </c>
      <c r="L40" s="23">
        <f>IF($BM40=0,"",(SUMIFS(Entries!$E$2:$E$5000,Entries!$C$2:$C$5000,"Actual",Entries!$A$2:$A$5000,"&gt;="&amp;EDATE($A40,-11),Entries!$A$2:$A$5000,"&lt;"&amp;EDATE($A40,1))+SUMIFS(Entries!$E$2:$E$5000,Entries!$C$2:$C$5000,"One-off",Entries!$A$2:$A$5000,"&gt;="&amp;EDATE($A40,-11),Entries!$A$2:$A$5000,"&lt;"&amp;EDATE($A40,1)))/COUNTIFS($A$2:$A$400,"&gt;="&amp;EDATE($A40,-11),$A$2:$A$400,"&lt;"&amp;EDATE($A40,1),$BM$2:$BM$400,"&gt;0"))</f>
      </c>
      <c r="M40" s="24">
        <f>IF($BM40=0,NA(),IFERROR((K40-L40)/K40,0))</f>
        <v/>
      </c>
      <c r="N40" s="23">
        <f>IF($BM40=0,NA(),SUMIFS(Entries!$E$2:$E$5000,Entries!$D$2:$D$5000,"Core",Entries!$A$2:$A$5000,"&gt;="&amp;$A40,Entries!$A$2:$A$5000,"&lt;"&amp;EDATE($A40,1)))</f>
        <v/>
      </c>
      <c r="O40" s="23">
        <f>IF($BM40=0,NA(),SUMIFS(Entries!$E$2:$E$5000,Entries!$D$2:$D$5000,"Over &amp; above",Entries!$A$2:$A$5000,"&gt;="&amp;$A40,Entries!$A$2:$A$5000,"&lt;"&amp;EDATE($A40,1)))</f>
        <v/>
      </c>
      <c r="P40" s="23">
        <f>IF($BM40=0,NA(),SUMIFS(Entries!$E$2:$E$5000,Entries!$D$2:$D$5000,"One-off",Entries!$A$2:$A$5000,"&gt;="&amp;$A40,Entries!$A$2:$A$5000,"&lt;"&amp;EDATE($A40,1)))</f>
        <v/>
      </c>
      <c r="Q40" s="23">
        <f>IF($BM40=0,NA(),SUMIFS(Entries!$E$2:$E$5000,Entries!$D$2:$D$5000,"Reimbursable",Entries!$A$2:$A$5000,"&gt;="&amp;$A40,Entries!$A$2:$A$5000,"&lt;"&amp;EDATE($A40,1)))</f>
        <v/>
      </c>
      <c r="R40" s="23">
        <f>IF($BM40=0,NA(),SUMIFS(Entries!$E$2:$E$5000,Entries!$D$2:$D$5000,"Investment",Entries!$A$2:$A$5000,"&gt;="&amp;$A40,Entries!$A$2:$A$5000,"&lt;"&amp;EDATE($A40,1)))</f>
        <v/>
      </c>
      <c r="S40" s="23">
        <f>IF($BM40=0,NA(),N40+O40)</f>
        <v/>
      </c>
      <c r="T40" s="23">
        <f>IF($BM40=0,"",E40-Q40)</f>
        <v/>
      </c>
      <c r="W40" s="23">
        <f>IF(OR(W$1="",$BM40=0),"",SUMIFS(Entries!$E$2:$E$5000,Entries!$C$2:$C$5000,"Actual",Entries!$A$2:$A$5000,"&gt;="&amp;$A40,Entries!$A$2:$A$5000,"&lt;"&amp;EDATE($A40,1),Entries!$B$2:$B$5000,W$1))</f>
        <v/>
      </c>
      <c r="X40" s="23">
        <f>IF(OR(X$1="",$BM40=0),"",SUMIFS(Entries!$E$2:$E$5000,Entries!$C$2:$C$5000,"Actual",Entries!$A$2:$A$5000,"&gt;="&amp;$A40,Entries!$A$2:$A$5000,"&lt;"&amp;EDATE($A40,1),Entries!$B$2:$B$5000,X$1))</f>
        <v/>
      </c>
      <c r="Y40" s="23">
        <f>IF(OR(Y$1="",$BM40=0),"",SUMIFS(Entries!$E$2:$E$5000,Entries!$C$2:$C$5000,"Actual",Entries!$A$2:$A$5000,"&gt;="&amp;$A40,Entries!$A$2:$A$5000,"&lt;"&amp;EDATE($A40,1),Entries!$B$2:$B$5000,Y$1))</f>
        <v/>
      </c>
      <c r="Z40" s="23">
        <f>IF(OR(Z$1="",$BM40=0),"",SUMIFS(Entries!$E$2:$E$5000,Entries!$C$2:$C$5000,"Actual",Entries!$A$2:$A$5000,"&gt;="&amp;$A40,Entries!$A$2:$A$5000,"&lt;"&amp;EDATE($A40,1),Entries!$B$2:$B$5000,Z$1))</f>
        <v/>
      </c>
      <c r="AA40" s="23">
        <f>IF(OR(AA$1="",$BM40=0),"",SUMIFS(Entries!$E$2:$E$5000,Entries!$C$2:$C$5000,"Actual",Entries!$A$2:$A$5000,"&gt;="&amp;$A40,Entries!$A$2:$A$5000,"&lt;"&amp;EDATE($A40,1),Entries!$B$2:$B$5000,AA$1))</f>
        <v/>
      </c>
      <c r="AB40" s="23">
        <f>IF(OR(AB$1="",$BM40=0),"",SUMIFS(Entries!$E$2:$E$5000,Entries!$C$2:$C$5000,"Actual",Entries!$A$2:$A$5000,"&gt;="&amp;$A40,Entries!$A$2:$A$5000,"&lt;"&amp;EDATE($A40,1),Entries!$B$2:$B$5000,AB$1))</f>
        <v/>
      </c>
      <c r="AC40" s="23">
        <f>IF(OR(AC$1="",$BM40=0),"",SUMIFS(Entries!$E$2:$E$5000,Entries!$C$2:$C$5000,"Actual",Entries!$A$2:$A$5000,"&gt;="&amp;$A40,Entries!$A$2:$A$5000,"&lt;"&amp;EDATE($A40,1),Entries!$B$2:$B$5000,AC$1))</f>
        <v/>
      </c>
      <c r="AD40" s="23">
        <f>IF(OR(AD$1="",$BM40=0),"",SUMIFS(Entries!$E$2:$E$5000,Entries!$C$2:$C$5000,"Actual",Entries!$A$2:$A$5000,"&gt;="&amp;$A40,Entries!$A$2:$A$5000,"&lt;"&amp;EDATE($A40,1),Entries!$B$2:$B$5000,AD$1))</f>
        <v/>
      </c>
      <c r="AE40" s="23">
        <f>IF(OR(AE$1="",$BM40=0),"",SUMIFS(Entries!$E$2:$E$5000,Entries!$C$2:$C$5000,"Actual",Entries!$A$2:$A$5000,"&gt;="&amp;$A40,Entries!$A$2:$A$5000,"&lt;"&amp;EDATE($A40,1),Entries!$B$2:$B$5000,AE$1))</f>
        <v/>
      </c>
      <c r="AF40" s="23">
        <f>IF(OR(AF$1="",$BM40=0),"",SUMIFS(Entries!$E$2:$E$5000,Entries!$C$2:$C$5000,"Actual",Entries!$A$2:$A$5000,"&gt;="&amp;$A40,Entries!$A$2:$A$5000,"&lt;"&amp;EDATE($A40,1),Entries!$B$2:$B$5000,AF$1))</f>
        <v/>
      </c>
      <c r="AG40" s="23">
        <f>IF(OR(AG$1="",$BM40=0),"",SUMIFS(Entries!$E$2:$E$5000,Entries!$C$2:$C$5000,"Actual",Entries!$A$2:$A$5000,"&gt;="&amp;$A40,Entries!$A$2:$A$5000,"&lt;"&amp;EDATE($A40,1),Entries!$B$2:$B$5000,AG$1))</f>
        <v/>
      </c>
      <c r="AH40" s="23">
        <f>IF(OR(AH$1="",$BM40=0),"",SUMIFS(Entries!$E$2:$E$5000,Entries!$C$2:$C$5000,"Actual",Entries!$A$2:$A$5000,"&gt;="&amp;$A40,Entries!$A$2:$A$5000,"&lt;"&amp;EDATE($A40,1),Entries!$B$2:$B$5000,AH$1))</f>
        <v/>
      </c>
      <c r="AI40" s="23">
        <f>IF(OR(AI$1="",$BM40=0),"",SUMIFS(Entries!$E$2:$E$5000,Entries!$C$2:$C$5000,"Actual",Entries!$A$2:$A$5000,"&gt;="&amp;$A40,Entries!$A$2:$A$5000,"&lt;"&amp;EDATE($A40,1),Entries!$B$2:$B$5000,AI$1))</f>
        <v/>
      </c>
      <c r="AJ40" s="23">
        <f>IF(OR(AJ$1="",$BM40=0),"",SUMIFS(Entries!$E$2:$E$5000,Entries!$C$2:$C$5000,"Actual",Entries!$A$2:$A$5000,"&gt;="&amp;$A40,Entries!$A$2:$A$5000,"&lt;"&amp;EDATE($A40,1),Entries!$B$2:$B$5000,AJ$1))</f>
        <v/>
      </c>
      <c r="AK40" s="23">
        <f>IF(OR(AK$1="",$BM40=0),"",SUMIFS(Entries!$E$2:$E$5000,Entries!$C$2:$C$5000,"Actual",Entries!$A$2:$A$5000,"&gt;="&amp;$A40,Entries!$A$2:$A$5000,"&lt;"&amp;EDATE($A40,1),Entries!$B$2:$B$5000,AK$1))</f>
        <v/>
      </c>
      <c r="AL40" s="23">
        <f>IF(OR(AL$1="",$BM40=0),"",SUMIFS(Entries!$E$2:$E$5000,Entries!$C$2:$C$5000,"Actual",Entries!$A$2:$A$5000,"&gt;="&amp;$A40,Entries!$A$2:$A$5000,"&lt;"&amp;EDATE($A40,1),Entries!$B$2:$B$5000,AL$1))</f>
        <v/>
      </c>
      <c r="AM40" s="23">
        <f>IF(OR(AM$1="",$BM40=0),"",SUMIFS(Entries!$E$2:$E$5000,Entries!$C$2:$C$5000,"Actual",Entries!$A$2:$A$5000,"&gt;="&amp;$A40,Entries!$A$2:$A$5000,"&lt;"&amp;EDATE($A40,1),Entries!$B$2:$B$5000,AM$1))</f>
        <v/>
      </c>
      <c r="AN40" s="23">
        <f>IF(OR(AN$1="",$BM40=0),"",SUMIFS(Entries!$E$2:$E$5000,Entries!$C$2:$C$5000,"Actual",Entries!$A$2:$A$5000,"&gt;="&amp;$A40,Entries!$A$2:$A$5000,"&lt;"&amp;EDATE($A40,1),Entries!$B$2:$B$5000,AN$1))</f>
        <v/>
      </c>
      <c r="AO40" s="23">
        <f>IF(OR(AO$1="",$BM40=0),"",SUMIFS(Entries!$E$2:$E$5000,Entries!$C$2:$C$5000,"Actual",Entries!$A$2:$A$5000,"&gt;="&amp;$A40,Entries!$A$2:$A$5000,"&lt;"&amp;EDATE($A40,1),Entries!$B$2:$B$5000,AO$1))</f>
        <v/>
      </c>
      <c r="AP40" s="23">
        <f>IF(OR(AP$1="",$BM40=0),"",SUMIFS(Entries!$E$2:$E$5000,Entries!$C$2:$C$5000,"Actual",Entries!$A$2:$A$5000,"&gt;="&amp;$A40,Entries!$A$2:$A$5000,"&lt;"&amp;EDATE($A40,1),Entries!$B$2:$B$5000,AP$1))</f>
        <v/>
      </c>
      <c r="AR40" s="23">
        <f>IF(OR(AR$1="",$BM40=0),"",IFERROR(LOOKUP(2,1/((Budgets!$A$2:$A$200=AR$1)*(Budgets!$B$2:$B$200&lt;EDATE($A40,1))),Budgets!$C$2:$C$200),0))</f>
        <v/>
      </c>
      <c r="AS40" s="23">
        <f>IF(OR(AS$1="",$BM40=0),"",IFERROR(LOOKUP(2,1/((Budgets!$A$2:$A$200=AS$1)*(Budgets!$B$2:$B$200&lt;EDATE($A40,1))),Budgets!$C$2:$C$200),0))</f>
        <v/>
      </c>
      <c r="AT40" s="23">
        <f>IF(OR(AT$1="",$BM40=0),"",IFERROR(LOOKUP(2,1/((Budgets!$A$2:$A$200=AT$1)*(Budgets!$B$2:$B$200&lt;EDATE($A40,1))),Budgets!$C$2:$C$200),0))</f>
        <v/>
      </c>
      <c r="AU40" s="23">
        <f>IF(OR(AU$1="",$BM40=0),"",IFERROR(LOOKUP(2,1/((Budgets!$A$2:$A$200=AU$1)*(Budgets!$B$2:$B$200&lt;EDATE($A40,1))),Budgets!$C$2:$C$200),0))</f>
        <v/>
      </c>
      <c r="AV40" s="23">
        <f>IF(OR(AV$1="",$BM40=0),"",IFERROR(LOOKUP(2,1/((Budgets!$A$2:$A$200=AV$1)*(Budgets!$B$2:$B$200&lt;EDATE($A40,1))),Budgets!$C$2:$C$200),0))</f>
        <v/>
      </c>
      <c r="AW40" s="23">
        <f>IF(OR(AW$1="",$BM40=0),"",IFERROR(LOOKUP(2,1/((Budgets!$A$2:$A$200=AW$1)*(Budgets!$B$2:$B$200&lt;EDATE($A40,1))),Budgets!$C$2:$C$200),0))</f>
        <v/>
      </c>
      <c r="AX40" s="23">
        <f>IF(OR(AX$1="",$BM40=0),"",IFERROR(LOOKUP(2,1/((Budgets!$A$2:$A$200=AX$1)*(Budgets!$B$2:$B$200&lt;EDATE($A40,1))),Budgets!$C$2:$C$200),0))</f>
        <v/>
      </c>
      <c r="AY40" s="23">
        <f>IF(OR(AY$1="",$BM40=0),"",IFERROR(LOOKUP(2,1/((Budgets!$A$2:$A$200=AY$1)*(Budgets!$B$2:$B$200&lt;EDATE($A40,1))),Budgets!$C$2:$C$200),0))</f>
        <v/>
      </c>
      <c r="AZ40" s="23">
        <f>IF(OR(AZ$1="",$BM40=0),"",IFERROR(LOOKUP(2,1/((Budgets!$A$2:$A$200=AZ$1)*(Budgets!$B$2:$B$200&lt;EDATE($A40,1))),Budgets!$C$2:$C$200),0))</f>
        <v/>
      </c>
      <c r="BA40" s="23">
        <f>IF(OR(BA$1="",$BM40=0),"",IFERROR(LOOKUP(2,1/((Budgets!$A$2:$A$200=BA$1)*(Budgets!$B$2:$B$200&lt;EDATE($A40,1))),Budgets!$C$2:$C$200),0))</f>
        <v/>
      </c>
      <c r="BB40" s="23">
        <f>IF(OR(BB$1="",$BM40=0),"",IFERROR(LOOKUP(2,1/((Budgets!$A$2:$A$200=BB$1)*(Budgets!$B$2:$B$200&lt;EDATE($A40,1))),Budgets!$C$2:$C$200),0))</f>
        <v/>
      </c>
      <c r="BC40" s="23">
        <f>IF(OR(BC$1="",$BM40=0),"",IFERROR(LOOKUP(2,1/((Budgets!$A$2:$A$200=BC$1)*(Budgets!$B$2:$B$200&lt;EDATE($A40,1))),Budgets!$C$2:$C$200),0))</f>
        <v/>
      </c>
      <c r="BD40" s="23">
        <f>IF(OR(BD$1="",$BM40=0),"",IFERROR(LOOKUP(2,1/((Budgets!$A$2:$A$200=BD$1)*(Budgets!$B$2:$B$200&lt;EDATE($A40,1))),Budgets!$C$2:$C$200),0))</f>
        <v/>
      </c>
      <c r="BE40" s="23">
        <f>IF(OR(BE$1="",$BM40=0),"",IFERROR(LOOKUP(2,1/((Budgets!$A$2:$A$200=BE$1)*(Budgets!$B$2:$B$200&lt;EDATE($A40,1))),Budgets!$C$2:$C$200),0))</f>
        <v/>
      </c>
      <c r="BF40" s="23">
        <f>IF(OR(BF$1="",$BM40=0),"",IFERROR(LOOKUP(2,1/((Budgets!$A$2:$A$200=BF$1)*(Budgets!$B$2:$B$200&lt;EDATE($A40,1))),Budgets!$C$2:$C$200),0))</f>
        <v/>
      </c>
      <c r="BG40" s="23">
        <f>IF(OR(BG$1="",$BM40=0),"",IFERROR(LOOKUP(2,1/((Budgets!$A$2:$A$200=BG$1)*(Budgets!$B$2:$B$200&lt;EDATE($A40,1))),Budgets!$C$2:$C$200),0))</f>
        <v/>
      </c>
      <c r="BH40" s="23">
        <f>IF(OR(BH$1="",$BM40=0),"",IFERROR(LOOKUP(2,1/((Budgets!$A$2:$A$200=BH$1)*(Budgets!$B$2:$B$200&lt;EDATE($A40,1))),Budgets!$C$2:$C$200),0))</f>
        <v/>
      </c>
      <c r="BI40" s="23">
        <f>IF(OR(BI$1="",$BM40=0),"",IFERROR(LOOKUP(2,1/((Budgets!$A$2:$A$200=BI$1)*(Budgets!$B$2:$B$200&lt;EDATE($A40,1))),Budgets!$C$2:$C$200),0))</f>
        <v/>
      </c>
      <c r="BJ40" s="23">
        <f>IF(OR(BJ$1="",$BM40=0),"",IFERROR(LOOKUP(2,1/((Budgets!$A$2:$A$200=BJ$1)*(Budgets!$B$2:$B$200&lt;EDATE($A40,1))),Budgets!$C$2:$C$200),0))</f>
        <v/>
      </c>
      <c r="BK40" s="23">
        <f>IF(OR(BK$1="",$BM40=0),"",IFERROR(LOOKUP(2,1/((Budgets!$A$2:$A$200=BK$1)*(Budgets!$B$2:$B$200&lt;EDATE($A40,1))),Budgets!$C$2:$C$200),0))</f>
        <v/>
      </c>
      <c r="BM40" s="21">
        <f>COUNTIFS(Entries!$A$2:$A$5000,"&gt;="&amp;$A40,Entries!$A$2:$A$5000,"&lt;"&amp;EDATE($A40,1))</f>
        <v/>
      </c>
    </row>
    <row r="41">
      <c r="A41" s="22" t="n">
        <v>40634</v>
      </c>
      <c r="B41" s="23">
        <f>IF($BM41=0,NA(),SUMIFS(Entries!$E$2:$E$5000,Entries!$C$2:$C$5000,"Income",Entries!$A$2:$A$5000,"&gt;="&amp;$A41,Entries!$A$2:$A$5000,"&lt;"&amp;EDATE($A41,1)))</f>
        <v/>
      </c>
      <c r="C41" s="23">
        <f>IF($BM41=0,"",SUMIFS(Entries!$E$2:$E$5000,Entries!$C$2:$C$5000,"Actual",Entries!$A$2:$A$5000,"&gt;="&amp;$A41,Entries!$A$2:$A$5000,"&lt;"&amp;EDATE($A41,1)))</f>
        <v/>
      </c>
      <c r="D41" s="23">
        <f>IF($BM41=0,"",SUMIFS(Entries!$E$2:$E$5000,Entries!$C$2:$C$5000,"One-off",Entries!$A$2:$A$5000,"&gt;="&amp;$A41,Entries!$A$2:$A$5000,"&lt;"&amp;EDATE($A41,1)))</f>
        <v/>
      </c>
      <c r="E41" s="23">
        <f>IF($BM41=0,NA(),C41+D41)</f>
        <v/>
      </c>
      <c r="F41" s="23">
        <f>IF($BM41=0,"",SUM(AR41:BK41))</f>
        <v/>
      </c>
      <c r="G41" s="23">
        <f>IF($BM41=0,"",B41-E41)</f>
        <v/>
      </c>
      <c r="H41" s="23">
        <f>IF($BM41=0,"",SUM($G$2:G41))</f>
        <v/>
      </c>
      <c r="I41" s="23">
        <f>IF($BM41=0,"",SUMIFS(Entries!$G$2:$G$5000,Entries!$A$2:$A$5000,"&gt;="&amp;$A41,Entries!$A$2:$A$5000,"&lt;"&amp;EDATE($A41,1)))</f>
        <v/>
      </c>
      <c r="J41" s="23">
        <f>IF($BM41=0,NA(),H41)</f>
        <v/>
      </c>
      <c r="K41" s="23">
        <f>IF($BM41=0,"",SUMIFS(Entries!$E$2:$E$5000,Entries!$C$2:$C$5000,"Income",Entries!$A$2:$A$5000,"&gt;="&amp;EDATE($A41,-11),Entries!$A$2:$A$5000,"&lt;"&amp;EDATE($A41,1))/COUNTIFS($A$2:$A$400,"&gt;="&amp;EDATE($A41,-11),$A$2:$A$400,"&lt;"&amp;EDATE($A41,1),$BM$2:$BM$400,"&gt;0"))</f>
      </c>
      <c r="L41" s="23">
        <f>IF($BM41=0,"",(SUMIFS(Entries!$E$2:$E$5000,Entries!$C$2:$C$5000,"Actual",Entries!$A$2:$A$5000,"&gt;="&amp;EDATE($A41,-11),Entries!$A$2:$A$5000,"&lt;"&amp;EDATE($A41,1))+SUMIFS(Entries!$E$2:$E$5000,Entries!$C$2:$C$5000,"One-off",Entries!$A$2:$A$5000,"&gt;="&amp;EDATE($A41,-11),Entries!$A$2:$A$5000,"&lt;"&amp;EDATE($A41,1)))/COUNTIFS($A$2:$A$400,"&gt;="&amp;EDATE($A41,-11),$A$2:$A$400,"&lt;"&amp;EDATE($A41,1),$BM$2:$BM$400,"&gt;0"))</f>
      </c>
      <c r="M41" s="24">
        <f>IF($BM41=0,NA(),IFERROR((K41-L41)/K41,0))</f>
        <v/>
      </c>
      <c r="N41" s="23">
        <f>IF($BM41=0,NA(),SUMIFS(Entries!$E$2:$E$5000,Entries!$D$2:$D$5000,"Core",Entries!$A$2:$A$5000,"&gt;="&amp;$A41,Entries!$A$2:$A$5000,"&lt;"&amp;EDATE($A41,1)))</f>
        <v/>
      </c>
      <c r="O41" s="23">
        <f>IF($BM41=0,NA(),SUMIFS(Entries!$E$2:$E$5000,Entries!$D$2:$D$5000,"Over &amp; above",Entries!$A$2:$A$5000,"&gt;="&amp;$A41,Entries!$A$2:$A$5000,"&lt;"&amp;EDATE($A41,1)))</f>
        <v/>
      </c>
      <c r="P41" s="23">
        <f>IF($BM41=0,NA(),SUMIFS(Entries!$E$2:$E$5000,Entries!$D$2:$D$5000,"One-off",Entries!$A$2:$A$5000,"&gt;="&amp;$A41,Entries!$A$2:$A$5000,"&lt;"&amp;EDATE($A41,1)))</f>
        <v/>
      </c>
      <c r="Q41" s="23">
        <f>IF($BM41=0,NA(),SUMIFS(Entries!$E$2:$E$5000,Entries!$D$2:$D$5000,"Reimbursable",Entries!$A$2:$A$5000,"&gt;="&amp;$A41,Entries!$A$2:$A$5000,"&lt;"&amp;EDATE($A41,1)))</f>
        <v/>
      </c>
      <c r="R41" s="23">
        <f>IF($BM41=0,NA(),SUMIFS(Entries!$E$2:$E$5000,Entries!$D$2:$D$5000,"Investment",Entries!$A$2:$A$5000,"&gt;="&amp;$A41,Entries!$A$2:$A$5000,"&lt;"&amp;EDATE($A41,1)))</f>
        <v/>
      </c>
      <c r="S41" s="23">
        <f>IF($BM41=0,NA(),N41+O41)</f>
        <v/>
      </c>
      <c r="T41" s="23">
        <f>IF($BM41=0,"",E41-Q41)</f>
        <v/>
      </c>
      <c r="W41" s="23">
        <f>IF(OR(W$1="",$BM41=0),"",SUMIFS(Entries!$E$2:$E$5000,Entries!$C$2:$C$5000,"Actual",Entries!$A$2:$A$5000,"&gt;="&amp;$A41,Entries!$A$2:$A$5000,"&lt;"&amp;EDATE($A41,1),Entries!$B$2:$B$5000,W$1))</f>
        <v/>
      </c>
      <c r="X41" s="23">
        <f>IF(OR(X$1="",$BM41=0),"",SUMIFS(Entries!$E$2:$E$5000,Entries!$C$2:$C$5000,"Actual",Entries!$A$2:$A$5000,"&gt;="&amp;$A41,Entries!$A$2:$A$5000,"&lt;"&amp;EDATE($A41,1),Entries!$B$2:$B$5000,X$1))</f>
        <v/>
      </c>
      <c r="Y41" s="23">
        <f>IF(OR(Y$1="",$BM41=0),"",SUMIFS(Entries!$E$2:$E$5000,Entries!$C$2:$C$5000,"Actual",Entries!$A$2:$A$5000,"&gt;="&amp;$A41,Entries!$A$2:$A$5000,"&lt;"&amp;EDATE($A41,1),Entries!$B$2:$B$5000,Y$1))</f>
        <v/>
      </c>
      <c r="Z41" s="23">
        <f>IF(OR(Z$1="",$BM41=0),"",SUMIFS(Entries!$E$2:$E$5000,Entries!$C$2:$C$5000,"Actual",Entries!$A$2:$A$5000,"&gt;="&amp;$A41,Entries!$A$2:$A$5000,"&lt;"&amp;EDATE($A41,1),Entries!$B$2:$B$5000,Z$1))</f>
        <v/>
      </c>
      <c r="AA41" s="23">
        <f>IF(OR(AA$1="",$BM41=0),"",SUMIFS(Entries!$E$2:$E$5000,Entries!$C$2:$C$5000,"Actual",Entries!$A$2:$A$5000,"&gt;="&amp;$A41,Entries!$A$2:$A$5000,"&lt;"&amp;EDATE($A41,1),Entries!$B$2:$B$5000,AA$1))</f>
        <v/>
      </c>
      <c r="AB41" s="23">
        <f>IF(OR(AB$1="",$BM41=0),"",SUMIFS(Entries!$E$2:$E$5000,Entries!$C$2:$C$5000,"Actual",Entries!$A$2:$A$5000,"&gt;="&amp;$A41,Entries!$A$2:$A$5000,"&lt;"&amp;EDATE($A41,1),Entries!$B$2:$B$5000,AB$1))</f>
        <v/>
      </c>
      <c r="AC41" s="23">
        <f>IF(OR(AC$1="",$BM41=0),"",SUMIFS(Entries!$E$2:$E$5000,Entries!$C$2:$C$5000,"Actual",Entries!$A$2:$A$5000,"&gt;="&amp;$A41,Entries!$A$2:$A$5000,"&lt;"&amp;EDATE($A41,1),Entries!$B$2:$B$5000,AC$1))</f>
        <v/>
      </c>
      <c r="AD41" s="23">
        <f>IF(OR(AD$1="",$BM41=0),"",SUMIFS(Entries!$E$2:$E$5000,Entries!$C$2:$C$5000,"Actual",Entries!$A$2:$A$5000,"&gt;="&amp;$A41,Entries!$A$2:$A$5000,"&lt;"&amp;EDATE($A41,1),Entries!$B$2:$B$5000,AD$1))</f>
        <v/>
      </c>
      <c r="AE41" s="23">
        <f>IF(OR(AE$1="",$BM41=0),"",SUMIFS(Entries!$E$2:$E$5000,Entries!$C$2:$C$5000,"Actual",Entries!$A$2:$A$5000,"&gt;="&amp;$A41,Entries!$A$2:$A$5000,"&lt;"&amp;EDATE($A41,1),Entries!$B$2:$B$5000,AE$1))</f>
        <v/>
      </c>
      <c r="AF41" s="23">
        <f>IF(OR(AF$1="",$BM41=0),"",SUMIFS(Entries!$E$2:$E$5000,Entries!$C$2:$C$5000,"Actual",Entries!$A$2:$A$5000,"&gt;="&amp;$A41,Entries!$A$2:$A$5000,"&lt;"&amp;EDATE($A41,1),Entries!$B$2:$B$5000,AF$1))</f>
        <v/>
      </c>
      <c r="AG41" s="23">
        <f>IF(OR(AG$1="",$BM41=0),"",SUMIFS(Entries!$E$2:$E$5000,Entries!$C$2:$C$5000,"Actual",Entries!$A$2:$A$5000,"&gt;="&amp;$A41,Entries!$A$2:$A$5000,"&lt;"&amp;EDATE($A41,1),Entries!$B$2:$B$5000,AG$1))</f>
        <v/>
      </c>
      <c r="AH41" s="23">
        <f>IF(OR(AH$1="",$BM41=0),"",SUMIFS(Entries!$E$2:$E$5000,Entries!$C$2:$C$5000,"Actual",Entries!$A$2:$A$5000,"&gt;="&amp;$A41,Entries!$A$2:$A$5000,"&lt;"&amp;EDATE($A41,1),Entries!$B$2:$B$5000,AH$1))</f>
        <v/>
      </c>
      <c r="AI41" s="23">
        <f>IF(OR(AI$1="",$BM41=0),"",SUMIFS(Entries!$E$2:$E$5000,Entries!$C$2:$C$5000,"Actual",Entries!$A$2:$A$5000,"&gt;="&amp;$A41,Entries!$A$2:$A$5000,"&lt;"&amp;EDATE($A41,1),Entries!$B$2:$B$5000,AI$1))</f>
        <v/>
      </c>
      <c r="AJ41" s="23">
        <f>IF(OR(AJ$1="",$BM41=0),"",SUMIFS(Entries!$E$2:$E$5000,Entries!$C$2:$C$5000,"Actual",Entries!$A$2:$A$5000,"&gt;="&amp;$A41,Entries!$A$2:$A$5000,"&lt;"&amp;EDATE($A41,1),Entries!$B$2:$B$5000,AJ$1))</f>
        <v/>
      </c>
      <c r="AK41" s="23">
        <f>IF(OR(AK$1="",$BM41=0),"",SUMIFS(Entries!$E$2:$E$5000,Entries!$C$2:$C$5000,"Actual",Entries!$A$2:$A$5000,"&gt;="&amp;$A41,Entries!$A$2:$A$5000,"&lt;"&amp;EDATE($A41,1),Entries!$B$2:$B$5000,AK$1))</f>
        <v/>
      </c>
      <c r="AL41" s="23">
        <f>IF(OR(AL$1="",$BM41=0),"",SUMIFS(Entries!$E$2:$E$5000,Entries!$C$2:$C$5000,"Actual",Entries!$A$2:$A$5000,"&gt;="&amp;$A41,Entries!$A$2:$A$5000,"&lt;"&amp;EDATE($A41,1),Entries!$B$2:$B$5000,AL$1))</f>
        <v/>
      </c>
      <c r="AM41" s="23">
        <f>IF(OR(AM$1="",$BM41=0),"",SUMIFS(Entries!$E$2:$E$5000,Entries!$C$2:$C$5000,"Actual",Entries!$A$2:$A$5000,"&gt;="&amp;$A41,Entries!$A$2:$A$5000,"&lt;"&amp;EDATE($A41,1),Entries!$B$2:$B$5000,AM$1))</f>
        <v/>
      </c>
      <c r="AN41" s="23">
        <f>IF(OR(AN$1="",$BM41=0),"",SUMIFS(Entries!$E$2:$E$5000,Entries!$C$2:$C$5000,"Actual",Entries!$A$2:$A$5000,"&gt;="&amp;$A41,Entries!$A$2:$A$5000,"&lt;"&amp;EDATE($A41,1),Entries!$B$2:$B$5000,AN$1))</f>
        <v/>
      </c>
      <c r="AO41" s="23">
        <f>IF(OR(AO$1="",$BM41=0),"",SUMIFS(Entries!$E$2:$E$5000,Entries!$C$2:$C$5000,"Actual",Entries!$A$2:$A$5000,"&gt;="&amp;$A41,Entries!$A$2:$A$5000,"&lt;"&amp;EDATE($A41,1),Entries!$B$2:$B$5000,AO$1))</f>
        <v/>
      </c>
      <c r="AP41" s="23">
        <f>IF(OR(AP$1="",$BM41=0),"",SUMIFS(Entries!$E$2:$E$5000,Entries!$C$2:$C$5000,"Actual",Entries!$A$2:$A$5000,"&gt;="&amp;$A41,Entries!$A$2:$A$5000,"&lt;"&amp;EDATE($A41,1),Entries!$B$2:$B$5000,AP$1))</f>
        <v/>
      </c>
      <c r="AR41" s="23">
        <f>IF(OR(AR$1="",$BM41=0),"",IFERROR(LOOKUP(2,1/((Budgets!$A$2:$A$200=AR$1)*(Budgets!$B$2:$B$200&lt;EDATE($A41,1))),Budgets!$C$2:$C$200),0))</f>
        <v/>
      </c>
      <c r="AS41" s="23">
        <f>IF(OR(AS$1="",$BM41=0),"",IFERROR(LOOKUP(2,1/((Budgets!$A$2:$A$200=AS$1)*(Budgets!$B$2:$B$200&lt;EDATE($A41,1))),Budgets!$C$2:$C$200),0))</f>
        <v/>
      </c>
      <c r="AT41" s="23">
        <f>IF(OR(AT$1="",$BM41=0),"",IFERROR(LOOKUP(2,1/((Budgets!$A$2:$A$200=AT$1)*(Budgets!$B$2:$B$200&lt;EDATE($A41,1))),Budgets!$C$2:$C$200),0))</f>
        <v/>
      </c>
      <c r="AU41" s="23">
        <f>IF(OR(AU$1="",$BM41=0),"",IFERROR(LOOKUP(2,1/((Budgets!$A$2:$A$200=AU$1)*(Budgets!$B$2:$B$200&lt;EDATE($A41,1))),Budgets!$C$2:$C$200),0))</f>
        <v/>
      </c>
      <c r="AV41" s="23">
        <f>IF(OR(AV$1="",$BM41=0),"",IFERROR(LOOKUP(2,1/((Budgets!$A$2:$A$200=AV$1)*(Budgets!$B$2:$B$200&lt;EDATE($A41,1))),Budgets!$C$2:$C$200),0))</f>
        <v/>
      </c>
      <c r="AW41" s="23">
        <f>IF(OR(AW$1="",$BM41=0),"",IFERROR(LOOKUP(2,1/((Budgets!$A$2:$A$200=AW$1)*(Budgets!$B$2:$B$200&lt;EDATE($A41,1))),Budgets!$C$2:$C$200),0))</f>
        <v/>
      </c>
      <c r="AX41" s="23">
        <f>IF(OR(AX$1="",$BM41=0),"",IFERROR(LOOKUP(2,1/((Budgets!$A$2:$A$200=AX$1)*(Budgets!$B$2:$B$200&lt;EDATE($A41,1))),Budgets!$C$2:$C$200),0))</f>
        <v/>
      </c>
      <c r="AY41" s="23">
        <f>IF(OR(AY$1="",$BM41=0),"",IFERROR(LOOKUP(2,1/((Budgets!$A$2:$A$200=AY$1)*(Budgets!$B$2:$B$200&lt;EDATE($A41,1))),Budgets!$C$2:$C$200),0))</f>
        <v/>
      </c>
      <c r="AZ41" s="23">
        <f>IF(OR(AZ$1="",$BM41=0),"",IFERROR(LOOKUP(2,1/((Budgets!$A$2:$A$200=AZ$1)*(Budgets!$B$2:$B$200&lt;EDATE($A41,1))),Budgets!$C$2:$C$200),0))</f>
        <v/>
      </c>
      <c r="BA41" s="23">
        <f>IF(OR(BA$1="",$BM41=0),"",IFERROR(LOOKUP(2,1/((Budgets!$A$2:$A$200=BA$1)*(Budgets!$B$2:$B$200&lt;EDATE($A41,1))),Budgets!$C$2:$C$200),0))</f>
        <v/>
      </c>
      <c r="BB41" s="23">
        <f>IF(OR(BB$1="",$BM41=0),"",IFERROR(LOOKUP(2,1/((Budgets!$A$2:$A$200=BB$1)*(Budgets!$B$2:$B$200&lt;EDATE($A41,1))),Budgets!$C$2:$C$200),0))</f>
        <v/>
      </c>
      <c r="BC41" s="23">
        <f>IF(OR(BC$1="",$BM41=0),"",IFERROR(LOOKUP(2,1/((Budgets!$A$2:$A$200=BC$1)*(Budgets!$B$2:$B$200&lt;EDATE($A41,1))),Budgets!$C$2:$C$200),0))</f>
        <v/>
      </c>
      <c r="BD41" s="23">
        <f>IF(OR(BD$1="",$BM41=0),"",IFERROR(LOOKUP(2,1/((Budgets!$A$2:$A$200=BD$1)*(Budgets!$B$2:$B$200&lt;EDATE($A41,1))),Budgets!$C$2:$C$200),0))</f>
        <v/>
      </c>
      <c r="BE41" s="23">
        <f>IF(OR(BE$1="",$BM41=0),"",IFERROR(LOOKUP(2,1/((Budgets!$A$2:$A$200=BE$1)*(Budgets!$B$2:$B$200&lt;EDATE($A41,1))),Budgets!$C$2:$C$200),0))</f>
        <v/>
      </c>
      <c r="BF41" s="23">
        <f>IF(OR(BF$1="",$BM41=0),"",IFERROR(LOOKUP(2,1/((Budgets!$A$2:$A$200=BF$1)*(Budgets!$B$2:$B$200&lt;EDATE($A41,1))),Budgets!$C$2:$C$200),0))</f>
        <v/>
      </c>
      <c r="BG41" s="23">
        <f>IF(OR(BG$1="",$BM41=0),"",IFERROR(LOOKUP(2,1/((Budgets!$A$2:$A$200=BG$1)*(Budgets!$B$2:$B$200&lt;EDATE($A41,1))),Budgets!$C$2:$C$200),0))</f>
        <v/>
      </c>
      <c r="BH41" s="23">
        <f>IF(OR(BH$1="",$BM41=0),"",IFERROR(LOOKUP(2,1/((Budgets!$A$2:$A$200=BH$1)*(Budgets!$B$2:$B$200&lt;EDATE($A41,1))),Budgets!$C$2:$C$200),0))</f>
        <v/>
      </c>
      <c r="BI41" s="23">
        <f>IF(OR(BI$1="",$BM41=0),"",IFERROR(LOOKUP(2,1/((Budgets!$A$2:$A$200=BI$1)*(Budgets!$B$2:$B$200&lt;EDATE($A41,1))),Budgets!$C$2:$C$200),0))</f>
        <v/>
      </c>
      <c r="BJ41" s="23">
        <f>IF(OR(BJ$1="",$BM41=0),"",IFERROR(LOOKUP(2,1/((Budgets!$A$2:$A$200=BJ$1)*(Budgets!$B$2:$B$200&lt;EDATE($A41,1))),Budgets!$C$2:$C$200),0))</f>
        <v/>
      </c>
      <c r="BK41" s="23">
        <f>IF(OR(BK$1="",$BM41=0),"",IFERROR(LOOKUP(2,1/((Budgets!$A$2:$A$200=BK$1)*(Budgets!$B$2:$B$200&lt;EDATE($A41,1))),Budgets!$C$2:$C$200),0))</f>
        <v/>
      </c>
      <c r="BM41" s="21">
        <f>COUNTIFS(Entries!$A$2:$A$5000,"&gt;="&amp;$A41,Entries!$A$2:$A$5000,"&lt;"&amp;EDATE($A41,1))</f>
        <v/>
      </c>
    </row>
    <row r="42">
      <c r="A42" s="22" t="n">
        <v>40664</v>
      </c>
      <c r="B42" s="23">
        <f>IF($BM42=0,NA(),SUMIFS(Entries!$E$2:$E$5000,Entries!$C$2:$C$5000,"Income",Entries!$A$2:$A$5000,"&gt;="&amp;$A42,Entries!$A$2:$A$5000,"&lt;"&amp;EDATE($A42,1)))</f>
        <v/>
      </c>
      <c r="C42" s="23">
        <f>IF($BM42=0,"",SUMIFS(Entries!$E$2:$E$5000,Entries!$C$2:$C$5000,"Actual",Entries!$A$2:$A$5000,"&gt;="&amp;$A42,Entries!$A$2:$A$5000,"&lt;"&amp;EDATE($A42,1)))</f>
        <v/>
      </c>
      <c r="D42" s="23">
        <f>IF($BM42=0,"",SUMIFS(Entries!$E$2:$E$5000,Entries!$C$2:$C$5000,"One-off",Entries!$A$2:$A$5000,"&gt;="&amp;$A42,Entries!$A$2:$A$5000,"&lt;"&amp;EDATE($A42,1)))</f>
        <v/>
      </c>
      <c r="E42" s="23">
        <f>IF($BM42=0,NA(),C42+D42)</f>
        <v/>
      </c>
      <c r="F42" s="23">
        <f>IF($BM42=0,"",SUM(AR42:BK42))</f>
        <v/>
      </c>
      <c r="G42" s="23">
        <f>IF($BM42=0,"",B42-E42)</f>
        <v/>
      </c>
      <c r="H42" s="23">
        <f>IF($BM42=0,"",SUM($G$2:G42))</f>
        <v/>
      </c>
      <c r="I42" s="23">
        <f>IF($BM42=0,"",SUMIFS(Entries!$G$2:$G$5000,Entries!$A$2:$A$5000,"&gt;="&amp;$A42,Entries!$A$2:$A$5000,"&lt;"&amp;EDATE($A42,1)))</f>
        <v/>
      </c>
      <c r="J42" s="23">
        <f>IF($BM42=0,NA(),H42)</f>
        <v/>
      </c>
      <c r="K42" s="23">
        <f>IF($BM42=0,"",SUMIFS(Entries!$E$2:$E$5000,Entries!$C$2:$C$5000,"Income",Entries!$A$2:$A$5000,"&gt;="&amp;EDATE($A42,-11),Entries!$A$2:$A$5000,"&lt;"&amp;EDATE($A42,1))/COUNTIFS($A$2:$A$400,"&gt;="&amp;EDATE($A42,-11),$A$2:$A$400,"&lt;"&amp;EDATE($A42,1),$BM$2:$BM$400,"&gt;0"))</f>
      </c>
      <c r="L42" s="23">
        <f>IF($BM42=0,"",(SUMIFS(Entries!$E$2:$E$5000,Entries!$C$2:$C$5000,"Actual",Entries!$A$2:$A$5000,"&gt;="&amp;EDATE($A42,-11),Entries!$A$2:$A$5000,"&lt;"&amp;EDATE($A42,1))+SUMIFS(Entries!$E$2:$E$5000,Entries!$C$2:$C$5000,"One-off",Entries!$A$2:$A$5000,"&gt;="&amp;EDATE($A42,-11),Entries!$A$2:$A$5000,"&lt;"&amp;EDATE($A42,1)))/COUNTIFS($A$2:$A$400,"&gt;="&amp;EDATE($A42,-11),$A$2:$A$400,"&lt;"&amp;EDATE($A42,1),$BM$2:$BM$400,"&gt;0"))</f>
      </c>
      <c r="M42" s="24">
        <f>IF($BM42=0,NA(),IFERROR((K42-L42)/K42,0))</f>
        <v/>
      </c>
      <c r="N42" s="23">
        <f>IF($BM42=0,NA(),SUMIFS(Entries!$E$2:$E$5000,Entries!$D$2:$D$5000,"Core",Entries!$A$2:$A$5000,"&gt;="&amp;$A42,Entries!$A$2:$A$5000,"&lt;"&amp;EDATE($A42,1)))</f>
        <v/>
      </c>
      <c r="O42" s="23">
        <f>IF($BM42=0,NA(),SUMIFS(Entries!$E$2:$E$5000,Entries!$D$2:$D$5000,"Over &amp; above",Entries!$A$2:$A$5000,"&gt;="&amp;$A42,Entries!$A$2:$A$5000,"&lt;"&amp;EDATE($A42,1)))</f>
        <v/>
      </c>
      <c r="P42" s="23">
        <f>IF($BM42=0,NA(),SUMIFS(Entries!$E$2:$E$5000,Entries!$D$2:$D$5000,"One-off",Entries!$A$2:$A$5000,"&gt;="&amp;$A42,Entries!$A$2:$A$5000,"&lt;"&amp;EDATE($A42,1)))</f>
        <v/>
      </c>
      <c r="Q42" s="23">
        <f>IF($BM42=0,NA(),SUMIFS(Entries!$E$2:$E$5000,Entries!$D$2:$D$5000,"Reimbursable",Entries!$A$2:$A$5000,"&gt;="&amp;$A42,Entries!$A$2:$A$5000,"&lt;"&amp;EDATE($A42,1)))</f>
        <v/>
      </c>
      <c r="R42" s="23">
        <f>IF($BM42=0,NA(),SUMIFS(Entries!$E$2:$E$5000,Entries!$D$2:$D$5000,"Investment",Entries!$A$2:$A$5000,"&gt;="&amp;$A42,Entries!$A$2:$A$5000,"&lt;"&amp;EDATE($A42,1)))</f>
        <v/>
      </c>
      <c r="S42" s="23">
        <f>IF($BM42=0,NA(),N42+O42)</f>
        <v/>
      </c>
      <c r="T42" s="23">
        <f>IF($BM42=0,"",E42-Q42)</f>
        <v/>
      </c>
      <c r="W42" s="23">
        <f>IF(OR(W$1="",$BM42=0),"",SUMIFS(Entries!$E$2:$E$5000,Entries!$C$2:$C$5000,"Actual",Entries!$A$2:$A$5000,"&gt;="&amp;$A42,Entries!$A$2:$A$5000,"&lt;"&amp;EDATE($A42,1),Entries!$B$2:$B$5000,W$1))</f>
        <v/>
      </c>
      <c r="X42" s="23">
        <f>IF(OR(X$1="",$BM42=0),"",SUMIFS(Entries!$E$2:$E$5000,Entries!$C$2:$C$5000,"Actual",Entries!$A$2:$A$5000,"&gt;="&amp;$A42,Entries!$A$2:$A$5000,"&lt;"&amp;EDATE($A42,1),Entries!$B$2:$B$5000,X$1))</f>
        <v/>
      </c>
      <c r="Y42" s="23">
        <f>IF(OR(Y$1="",$BM42=0),"",SUMIFS(Entries!$E$2:$E$5000,Entries!$C$2:$C$5000,"Actual",Entries!$A$2:$A$5000,"&gt;="&amp;$A42,Entries!$A$2:$A$5000,"&lt;"&amp;EDATE($A42,1),Entries!$B$2:$B$5000,Y$1))</f>
        <v/>
      </c>
      <c r="Z42" s="23">
        <f>IF(OR(Z$1="",$BM42=0),"",SUMIFS(Entries!$E$2:$E$5000,Entries!$C$2:$C$5000,"Actual",Entries!$A$2:$A$5000,"&gt;="&amp;$A42,Entries!$A$2:$A$5000,"&lt;"&amp;EDATE($A42,1),Entries!$B$2:$B$5000,Z$1))</f>
        <v/>
      </c>
      <c r="AA42" s="23">
        <f>IF(OR(AA$1="",$BM42=0),"",SUMIFS(Entries!$E$2:$E$5000,Entries!$C$2:$C$5000,"Actual",Entries!$A$2:$A$5000,"&gt;="&amp;$A42,Entries!$A$2:$A$5000,"&lt;"&amp;EDATE($A42,1),Entries!$B$2:$B$5000,AA$1))</f>
        <v/>
      </c>
      <c r="AB42" s="23">
        <f>IF(OR(AB$1="",$BM42=0),"",SUMIFS(Entries!$E$2:$E$5000,Entries!$C$2:$C$5000,"Actual",Entries!$A$2:$A$5000,"&gt;="&amp;$A42,Entries!$A$2:$A$5000,"&lt;"&amp;EDATE($A42,1),Entries!$B$2:$B$5000,AB$1))</f>
        <v/>
      </c>
      <c r="AC42" s="23">
        <f>IF(OR(AC$1="",$BM42=0),"",SUMIFS(Entries!$E$2:$E$5000,Entries!$C$2:$C$5000,"Actual",Entries!$A$2:$A$5000,"&gt;="&amp;$A42,Entries!$A$2:$A$5000,"&lt;"&amp;EDATE($A42,1),Entries!$B$2:$B$5000,AC$1))</f>
        <v/>
      </c>
      <c r="AD42" s="23">
        <f>IF(OR(AD$1="",$BM42=0),"",SUMIFS(Entries!$E$2:$E$5000,Entries!$C$2:$C$5000,"Actual",Entries!$A$2:$A$5000,"&gt;="&amp;$A42,Entries!$A$2:$A$5000,"&lt;"&amp;EDATE($A42,1),Entries!$B$2:$B$5000,AD$1))</f>
        <v/>
      </c>
      <c r="AE42" s="23">
        <f>IF(OR(AE$1="",$BM42=0),"",SUMIFS(Entries!$E$2:$E$5000,Entries!$C$2:$C$5000,"Actual",Entries!$A$2:$A$5000,"&gt;="&amp;$A42,Entries!$A$2:$A$5000,"&lt;"&amp;EDATE($A42,1),Entries!$B$2:$B$5000,AE$1))</f>
        <v/>
      </c>
      <c r="AF42" s="23">
        <f>IF(OR(AF$1="",$BM42=0),"",SUMIFS(Entries!$E$2:$E$5000,Entries!$C$2:$C$5000,"Actual",Entries!$A$2:$A$5000,"&gt;="&amp;$A42,Entries!$A$2:$A$5000,"&lt;"&amp;EDATE($A42,1),Entries!$B$2:$B$5000,AF$1))</f>
        <v/>
      </c>
      <c r="AG42" s="23">
        <f>IF(OR(AG$1="",$BM42=0),"",SUMIFS(Entries!$E$2:$E$5000,Entries!$C$2:$C$5000,"Actual",Entries!$A$2:$A$5000,"&gt;="&amp;$A42,Entries!$A$2:$A$5000,"&lt;"&amp;EDATE($A42,1),Entries!$B$2:$B$5000,AG$1))</f>
        <v/>
      </c>
      <c r="AH42" s="23">
        <f>IF(OR(AH$1="",$BM42=0),"",SUMIFS(Entries!$E$2:$E$5000,Entries!$C$2:$C$5000,"Actual",Entries!$A$2:$A$5000,"&gt;="&amp;$A42,Entries!$A$2:$A$5000,"&lt;"&amp;EDATE($A42,1),Entries!$B$2:$B$5000,AH$1))</f>
        <v/>
      </c>
      <c r="AI42" s="23">
        <f>IF(OR(AI$1="",$BM42=0),"",SUMIFS(Entries!$E$2:$E$5000,Entries!$C$2:$C$5000,"Actual",Entries!$A$2:$A$5000,"&gt;="&amp;$A42,Entries!$A$2:$A$5000,"&lt;"&amp;EDATE($A42,1),Entries!$B$2:$B$5000,AI$1))</f>
        <v/>
      </c>
      <c r="AJ42" s="23">
        <f>IF(OR(AJ$1="",$BM42=0),"",SUMIFS(Entries!$E$2:$E$5000,Entries!$C$2:$C$5000,"Actual",Entries!$A$2:$A$5000,"&gt;="&amp;$A42,Entries!$A$2:$A$5000,"&lt;"&amp;EDATE($A42,1),Entries!$B$2:$B$5000,AJ$1))</f>
        <v/>
      </c>
      <c r="AK42" s="23">
        <f>IF(OR(AK$1="",$BM42=0),"",SUMIFS(Entries!$E$2:$E$5000,Entries!$C$2:$C$5000,"Actual",Entries!$A$2:$A$5000,"&gt;="&amp;$A42,Entries!$A$2:$A$5000,"&lt;"&amp;EDATE($A42,1),Entries!$B$2:$B$5000,AK$1))</f>
        <v/>
      </c>
      <c r="AL42" s="23">
        <f>IF(OR(AL$1="",$BM42=0),"",SUMIFS(Entries!$E$2:$E$5000,Entries!$C$2:$C$5000,"Actual",Entries!$A$2:$A$5000,"&gt;="&amp;$A42,Entries!$A$2:$A$5000,"&lt;"&amp;EDATE($A42,1),Entries!$B$2:$B$5000,AL$1))</f>
        <v/>
      </c>
      <c r="AM42" s="23">
        <f>IF(OR(AM$1="",$BM42=0),"",SUMIFS(Entries!$E$2:$E$5000,Entries!$C$2:$C$5000,"Actual",Entries!$A$2:$A$5000,"&gt;="&amp;$A42,Entries!$A$2:$A$5000,"&lt;"&amp;EDATE($A42,1),Entries!$B$2:$B$5000,AM$1))</f>
        <v/>
      </c>
      <c r="AN42" s="23">
        <f>IF(OR(AN$1="",$BM42=0),"",SUMIFS(Entries!$E$2:$E$5000,Entries!$C$2:$C$5000,"Actual",Entries!$A$2:$A$5000,"&gt;="&amp;$A42,Entries!$A$2:$A$5000,"&lt;"&amp;EDATE($A42,1),Entries!$B$2:$B$5000,AN$1))</f>
        <v/>
      </c>
      <c r="AO42" s="23">
        <f>IF(OR(AO$1="",$BM42=0),"",SUMIFS(Entries!$E$2:$E$5000,Entries!$C$2:$C$5000,"Actual",Entries!$A$2:$A$5000,"&gt;="&amp;$A42,Entries!$A$2:$A$5000,"&lt;"&amp;EDATE($A42,1),Entries!$B$2:$B$5000,AO$1))</f>
        <v/>
      </c>
      <c r="AP42" s="23">
        <f>IF(OR(AP$1="",$BM42=0),"",SUMIFS(Entries!$E$2:$E$5000,Entries!$C$2:$C$5000,"Actual",Entries!$A$2:$A$5000,"&gt;="&amp;$A42,Entries!$A$2:$A$5000,"&lt;"&amp;EDATE($A42,1),Entries!$B$2:$B$5000,AP$1))</f>
        <v/>
      </c>
      <c r="AR42" s="23">
        <f>IF(OR(AR$1="",$BM42=0),"",IFERROR(LOOKUP(2,1/((Budgets!$A$2:$A$200=AR$1)*(Budgets!$B$2:$B$200&lt;EDATE($A42,1))),Budgets!$C$2:$C$200),0))</f>
        <v/>
      </c>
      <c r="AS42" s="23">
        <f>IF(OR(AS$1="",$BM42=0),"",IFERROR(LOOKUP(2,1/((Budgets!$A$2:$A$200=AS$1)*(Budgets!$B$2:$B$200&lt;EDATE($A42,1))),Budgets!$C$2:$C$200),0))</f>
        <v/>
      </c>
      <c r="AT42" s="23">
        <f>IF(OR(AT$1="",$BM42=0),"",IFERROR(LOOKUP(2,1/((Budgets!$A$2:$A$200=AT$1)*(Budgets!$B$2:$B$200&lt;EDATE($A42,1))),Budgets!$C$2:$C$200),0))</f>
        <v/>
      </c>
      <c r="AU42" s="23">
        <f>IF(OR(AU$1="",$BM42=0),"",IFERROR(LOOKUP(2,1/((Budgets!$A$2:$A$200=AU$1)*(Budgets!$B$2:$B$200&lt;EDATE($A42,1))),Budgets!$C$2:$C$200),0))</f>
        <v/>
      </c>
      <c r="AV42" s="23">
        <f>IF(OR(AV$1="",$BM42=0),"",IFERROR(LOOKUP(2,1/((Budgets!$A$2:$A$200=AV$1)*(Budgets!$B$2:$B$200&lt;EDATE($A42,1))),Budgets!$C$2:$C$200),0))</f>
        <v/>
      </c>
      <c r="AW42" s="23">
        <f>IF(OR(AW$1="",$BM42=0),"",IFERROR(LOOKUP(2,1/((Budgets!$A$2:$A$200=AW$1)*(Budgets!$B$2:$B$200&lt;EDATE($A42,1))),Budgets!$C$2:$C$200),0))</f>
        <v/>
      </c>
      <c r="AX42" s="23">
        <f>IF(OR(AX$1="",$BM42=0),"",IFERROR(LOOKUP(2,1/((Budgets!$A$2:$A$200=AX$1)*(Budgets!$B$2:$B$200&lt;EDATE($A42,1))),Budgets!$C$2:$C$200),0))</f>
        <v/>
      </c>
      <c r="AY42" s="23">
        <f>IF(OR(AY$1="",$BM42=0),"",IFERROR(LOOKUP(2,1/((Budgets!$A$2:$A$200=AY$1)*(Budgets!$B$2:$B$200&lt;EDATE($A42,1))),Budgets!$C$2:$C$200),0))</f>
        <v/>
      </c>
      <c r="AZ42" s="23">
        <f>IF(OR(AZ$1="",$BM42=0),"",IFERROR(LOOKUP(2,1/((Budgets!$A$2:$A$200=AZ$1)*(Budgets!$B$2:$B$200&lt;EDATE($A42,1))),Budgets!$C$2:$C$200),0))</f>
        <v/>
      </c>
      <c r="BA42" s="23">
        <f>IF(OR(BA$1="",$BM42=0),"",IFERROR(LOOKUP(2,1/((Budgets!$A$2:$A$200=BA$1)*(Budgets!$B$2:$B$200&lt;EDATE($A42,1))),Budgets!$C$2:$C$200),0))</f>
        <v/>
      </c>
      <c r="BB42" s="23">
        <f>IF(OR(BB$1="",$BM42=0),"",IFERROR(LOOKUP(2,1/((Budgets!$A$2:$A$200=BB$1)*(Budgets!$B$2:$B$200&lt;EDATE($A42,1))),Budgets!$C$2:$C$200),0))</f>
        <v/>
      </c>
      <c r="BC42" s="23">
        <f>IF(OR(BC$1="",$BM42=0),"",IFERROR(LOOKUP(2,1/((Budgets!$A$2:$A$200=BC$1)*(Budgets!$B$2:$B$200&lt;EDATE($A42,1))),Budgets!$C$2:$C$200),0))</f>
        <v/>
      </c>
      <c r="BD42" s="23">
        <f>IF(OR(BD$1="",$BM42=0),"",IFERROR(LOOKUP(2,1/((Budgets!$A$2:$A$200=BD$1)*(Budgets!$B$2:$B$200&lt;EDATE($A42,1))),Budgets!$C$2:$C$200),0))</f>
        <v/>
      </c>
      <c r="BE42" s="23">
        <f>IF(OR(BE$1="",$BM42=0),"",IFERROR(LOOKUP(2,1/((Budgets!$A$2:$A$200=BE$1)*(Budgets!$B$2:$B$200&lt;EDATE($A42,1))),Budgets!$C$2:$C$200),0))</f>
        <v/>
      </c>
      <c r="BF42" s="23">
        <f>IF(OR(BF$1="",$BM42=0),"",IFERROR(LOOKUP(2,1/((Budgets!$A$2:$A$200=BF$1)*(Budgets!$B$2:$B$200&lt;EDATE($A42,1))),Budgets!$C$2:$C$200),0))</f>
        <v/>
      </c>
      <c r="BG42" s="23">
        <f>IF(OR(BG$1="",$BM42=0),"",IFERROR(LOOKUP(2,1/((Budgets!$A$2:$A$200=BG$1)*(Budgets!$B$2:$B$200&lt;EDATE($A42,1))),Budgets!$C$2:$C$200),0))</f>
        <v/>
      </c>
      <c r="BH42" s="23">
        <f>IF(OR(BH$1="",$BM42=0),"",IFERROR(LOOKUP(2,1/((Budgets!$A$2:$A$200=BH$1)*(Budgets!$B$2:$B$200&lt;EDATE($A42,1))),Budgets!$C$2:$C$200),0))</f>
        <v/>
      </c>
      <c r="BI42" s="23">
        <f>IF(OR(BI$1="",$BM42=0),"",IFERROR(LOOKUP(2,1/((Budgets!$A$2:$A$200=BI$1)*(Budgets!$B$2:$B$200&lt;EDATE($A42,1))),Budgets!$C$2:$C$200),0))</f>
        <v/>
      </c>
      <c r="BJ42" s="23">
        <f>IF(OR(BJ$1="",$BM42=0),"",IFERROR(LOOKUP(2,1/((Budgets!$A$2:$A$200=BJ$1)*(Budgets!$B$2:$B$200&lt;EDATE($A42,1))),Budgets!$C$2:$C$200),0))</f>
        <v/>
      </c>
      <c r="BK42" s="23">
        <f>IF(OR(BK$1="",$BM42=0),"",IFERROR(LOOKUP(2,1/((Budgets!$A$2:$A$200=BK$1)*(Budgets!$B$2:$B$200&lt;EDATE($A42,1))),Budgets!$C$2:$C$200),0))</f>
        <v/>
      </c>
      <c r="BM42" s="21">
        <f>COUNTIFS(Entries!$A$2:$A$5000,"&gt;="&amp;$A42,Entries!$A$2:$A$5000,"&lt;"&amp;EDATE($A42,1))</f>
        <v/>
      </c>
    </row>
    <row r="43">
      <c r="A43" s="22" t="n">
        <v>40695</v>
      </c>
      <c r="B43" s="23">
        <f>IF($BM43=0,NA(),SUMIFS(Entries!$E$2:$E$5000,Entries!$C$2:$C$5000,"Income",Entries!$A$2:$A$5000,"&gt;="&amp;$A43,Entries!$A$2:$A$5000,"&lt;"&amp;EDATE($A43,1)))</f>
        <v/>
      </c>
      <c r="C43" s="23">
        <f>IF($BM43=0,"",SUMIFS(Entries!$E$2:$E$5000,Entries!$C$2:$C$5000,"Actual",Entries!$A$2:$A$5000,"&gt;="&amp;$A43,Entries!$A$2:$A$5000,"&lt;"&amp;EDATE($A43,1)))</f>
        <v/>
      </c>
      <c r="D43" s="23">
        <f>IF($BM43=0,"",SUMIFS(Entries!$E$2:$E$5000,Entries!$C$2:$C$5000,"One-off",Entries!$A$2:$A$5000,"&gt;="&amp;$A43,Entries!$A$2:$A$5000,"&lt;"&amp;EDATE($A43,1)))</f>
        <v/>
      </c>
      <c r="E43" s="23">
        <f>IF($BM43=0,NA(),C43+D43)</f>
        <v/>
      </c>
      <c r="F43" s="23">
        <f>IF($BM43=0,"",SUM(AR43:BK43))</f>
        <v/>
      </c>
      <c r="G43" s="23">
        <f>IF($BM43=0,"",B43-E43)</f>
        <v/>
      </c>
      <c r="H43" s="23">
        <f>IF($BM43=0,"",SUM($G$2:G43))</f>
        <v/>
      </c>
      <c r="I43" s="23">
        <f>IF($BM43=0,"",SUMIFS(Entries!$G$2:$G$5000,Entries!$A$2:$A$5000,"&gt;="&amp;$A43,Entries!$A$2:$A$5000,"&lt;"&amp;EDATE($A43,1)))</f>
        <v/>
      </c>
      <c r="J43" s="23">
        <f>IF($BM43=0,NA(),H43)</f>
        <v/>
      </c>
      <c r="K43" s="23">
        <f>IF($BM43=0,"",SUMIFS(Entries!$E$2:$E$5000,Entries!$C$2:$C$5000,"Income",Entries!$A$2:$A$5000,"&gt;="&amp;EDATE($A43,-11),Entries!$A$2:$A$5000,"&lt;"&amp;EDATE($A43,1))/COUNTIFS($A$2:$A$400,"&gt;="&amp;EDATE($A43,-11),$A$2:$A$400,"&lt;"&amp;EDATE($A43,1),$BM$2:$BM$400,"&gt;0"))</f>
      </c>
      <c r="L43" s="23">
        <f>IF($BM43=0,"",(SUMIFS(Entries!$E$2:$E$5000,Entries!$C$2:$C$5000,"Actual",Entries!$A$2:$A$5000,"&gt;="&amp;EDATE($A43,-11),Entries!$A$2:$A$5000,"&lt;"&amp;EDATE($A43,1))+SUMIFS(Entries!$E$2:$E$5000,Entries!$C$2:$C$5000,"One-off",Entries!$A$2:$A$5000,"&gt;="&amp;EDATE($A43,-11),Entries!$A$2:$A$5000,"&lt;"&amp;EDATE($A43,1)))/COUNTIFS($A$2:$A$400,"&gt;="&amp;EDATE($A43,-11),$A$2:$A$400,"&lt;"&amp;EDATE($A43,1),$BM$2:$BM$400,"&gt;0"))</f>
      </c>
      <c r="M43" s="24">
        <f>IF($BM43=0,NA(),IFERROR((K43-L43)/K43,0))</f>
        <v/>
      </c>
      <c r="N43" s="23">
        <f>IF($BM43=0,NA(),SUMIFS(Entries!$E$2:$E$5000,Entries!$D$2:$D$5000,"Core",Entries!$A$2:$A$5000,"&gt;="&amp;$A43,Entries!$A$2:$A$5000,"&lt;"&amp;EDATE($A43,1)))</f>
        <v/>
      </c>
      <c r="O43" s="23">
        <f>IF($BM43=0,NA(),SUMIFS(Entries!$E$2:$E$5000,Entries!$D$2:$D$5000,"Over &amp; above",Entries!$A$2:$A$5000,"&gt;="&amp;$A43,Entries!$A$2:$A$5000,"&lt;"&amp;EDATE($A43,1)))</f>
        <v/>
      </c>
      <c r="P43" s="23">
        <f>IF($BM43=0,NA(),SUMIFS(Entries!$E$2:$E$5000,Entries!$D$2:$D$5000,"One-off",Entries!$A$2:$A$5000,"&gt;="&amp;$A43,Entries!$A$2:$A$5000,"&lt;"&amp;EDATE($A43,1)))</f>
        <v/>
      </c>
      <c r="Q43" s="23">
        <f>IF($BM43=0,NA(),SUMIFS(Entries!$E$2:$E$5000,Entries!$D$2:$D$5000,"Reimbursable",Entries!$A$2:$A$5000,"&gt;="&amp;$A43,Entries!$A$2:$A$5000,"&lt;"&amp;EDATE($A43,1)))</f>
        <v/>
      </c>
      <c r="R43" s="23">
        <f>IF($BM43=0,NA(),SUMIFS(Entries!$E$2:$E$5000,Entries!$D$2:$D$5000,"Investment",Entries!$A$2:$A$5000,"&gt;="&amp;$A43,Entries!$A$2:$A$5000,"&lt;"&amp;EDATE($A43,1)))</f>
        <v/>
      </c>
      <c r="S43" s="23">
        <f>IF($BM43=0,NA(),N43+O43)</f>
        <v/>
      </c>
      <c r="T43" s="23">
        <f>IF($BM43=0,"",E43-Q43)</f>
        <v/>
      </c>
      <c r="W43" s="23">
        <f>IF(OR(W$1="",$BM43=0),"",SUMIFS(Entries!$E$2:$E$5000,Entries!$C$2:$C$5000,"Actual",Entries!$A$2:$A$5000,"&gt;="&amp;$A43,Entries!$A$2:$A$5000,"&lt;"&amp;EDATE($A43,1),Entries!$B$2:$B$5000,W$1))</f>
        <v/>
      </c>
      <c r="X43" s="23">
        <f>IF(OR(X$1="",$BM43=0),"",SUMIFS(Entries!$E$2:$E$5000,Entries!$C$2:$C$5000,"Actual",Entries!$A$2:$A$5000,"&gt;="&amp;$A43,Entries!$A$2:$A$5000,"&lt;"&amp;EDATE($A43,1),Entries!$B$2:$B$5000,X$1))</f>
        <v/>
      </c>
      <c r="Y43" s="23">
        <f>IF(OR(Y$1="",$BM43=0),"",SUMIFS(Entries!$E$2:$E$5000,Entries!$C$2:$C$5000,"Actual",Entries!$A$2:$A$5000,"&gt;="&amp;$A43,Entries!$A$2:$A$5000,"&lt;"&amp;EDATE($A43,1),Entries!$B$2:$B$5000,Y$1))</f>
        <v/>
      </c>
      <c r="Z43" s="23">
        <f>IF(OR(Z$1="",$BM43=0),"",SUMIFS(Entries!$E$2:$E$5000,Entries!$C$2:$C$5000,"Actual",Entries!$A$2:$A$5000,"&gt;="&amp;$A43,Entries!$A$2:$A$5000,"&lt;"&amp;EDATE($A43,1),Entries!$B$2:$B$5000,Z$1))</f>
        <v/>
      </c>
      <c r="AA43" s="23">
        <f>IF(OR(AA$1="",$BM43=0),"",SUMIFS(Entries!$E$2:$E$5000,Entries!$C$2:$C$5000,"Actual",Entries!$A$2:$A$5000,"&gt;="&amp;$A43,Entries!$A$2:$A$5000,"&lt;"&amp;EDATE($A43,1),Entries!$B$2:$B$5000,AA$1))</f>
        <v/>
      </c>
      <c r="AB43" s="23">
        <f>IF(OR(AB$1="",$BM43=0),"",SUMIFS(Entries!$E$2:$E$5000,Entries!$C$2:$C$5000,"Actual",Entries!$A$2:$A$5000,"&gt;="&amp;$A43,Entries!$A$2:$A$5000,"&lt;"&amp;EDATE($A43,1),Entries!$B$2:$B$5000,AB$1))</f>
        <v/>
      </c>
      <c r="AC43" s="23">
        <f>IF(OR(AC$1="",$BM43=0),"",SUMIFS(Entries!$E$2:$E$5000,Entries!$C$2:$C$5000,"Actual",Entries!$A$2:$A$5000,"&gt;="&amp;$A43,Entries!$A$2:$A$5000,"&lt;"&amp;EDATE($A43,1),Entries!$B$2:$B$5000,AC$1))</f>
        <v/>
      </c>
      <c r="AD43" s="23">
        <f>IF(OR(AD$1="",$BM43=0),"",SUMIFS(Entries!$E$2:$E$5000,Entries!$C$2:$C$5000,"Actual",Entries!$A$2:$A$5000,"&gt;="&amp;$A43,Entries!$A$2:$A$5000,"&lt;"&amp;EDATE($A43,1),Entries!$B$2:$B$5000,AD$1))</f>
        <v/>
      </c>
      <c r="AE43" s="23">
        <f>IF(OR(AE$1="",$BM43=0),"",SUMIFS(Entries!$E$2:$E$5000,Entries!$C$2:$C$5000,"Actual",Entries!$A$2:$A$5000,"&gt;="&amp;$A43,Entries!$A$2:$A$5000,"&lt;"&amp;EDATE($A43,1),Entries!$B$2:$B$5000,AE$1))</f>
        <v/>
      </c>
      <c r="AF43" s="23">
        <f>IF(OR(AF$1="",$BM43=0),"",SUMIFS(Entries!$E$2:$E$5000,Entries!$C$2:$C$5000,"Actual",Entries!$A$2:$A$5000,"&gt;="&amp;$A43,Entries!$A$2:$A$5000,"&lt;"&amp;EDATE($A43,1),Entries!$B$2:$B$5000,AF$1))</f>
        <v/>
      </c>
      <c r="AG43" s="23">
        <f>IF(OR(AG$1="",$BM43=0),"",SUMIFS(Entries!$E$2:$E$5000,Entries!$C$2:$C$5000,"Actual",Entries!$A$2:$A$5000,"&gt;="&amp;$A43,Entries!$A$2:$A$5000,"&lt;"&amp;EDATE($A43,1),Entries!$B$2:$B$5000,AG$1))</f>
        <v/>
      </c>
      <c r="AH43" s="23">
        <f>IF(OR(AH$1="",$BM43=0),"",SUMIFS(Entries!$E$2:$E$5000,Entries!$C$2:$C$5000,"Actual",Entries!$A$2:$A$5000,"&gt;="&amp;$A43,Entries!$A$2:$A$5000,"&lt;"&amp;EDATE($A43,1),Entries!$B$2:$B$5000,AH$1))</f>
        <v/>
      </c>
      <c r="AI43" s="23">
        <f>IF(OR(AI$1="",$BM43=0),"",SUMIFS(Entries!$E$2:$E$5000,Entries!$C$2:$C$5000,"Actual",Entries!$A$2:$A$5000,"&gt;="&amp;$A43,Entries!$A$2:$A$5000,"&lt;"&amp;EDATE($A43,1),Entries!$B$2:$B$5000,AI$1))</f>
        <v/>
      </c>
      <c r="AJ43" s="23">
        <f>IF(OR(AJ$1="",$BM43=0),"",SUMIFS(Entries!$E$2:$E$5000,Entries!$C$2:$C$5000,"Actual",Entries!$A$2:$A$5000,"&gt;="&amp;$A43,Entries!$A$2:$A$5000,"&lt;"&amp;EDATE($A43,1),Entries!$B$2:$B$5000,AJ$1))</f>
        <v/>
      </c>
      <c r="AK43" s="23">
        <f>IF(OR(AK$1="",$BM43=0),"",SUMIFS(Entries!$E$2:$E$5000,Entries!$C$2:$C$5000,"Actual",Entries!$A$2:$A$5000,"&gt;="&amp;$A43,Entries!$A$2:$A$5000,"&lt;"&amp;EDATE($A43,1),Entries!$B$2:$B$5000,AK$1))</f>
        <v/>
      </c>
      <c r="AL43" s="23">
        <f>IF(OR(AL$1="",$BM43=0),"",SUMIFS(Entries!$E$2:$E$5000,Entries!$C$2:$C$5000,"Actual",Entries!$A$2:$A$5000,"&gt;="&amp;$A43,Entries!$A$2:$A$5000,"&lt;"&amp;EDATE($A43,1),Entries!$B$2:$B$5000,AL$1))</f>
        <v/>
      </c>
      <c r="AM43" s="23">
        <f>IF(OR(AM$1="",$BM43=0),"",SUMIFS(Entries!$E$2:$E$5000,Entries!$C$2:$C$5000,"Actual",Entries!$A$2:$A$5000,"&gt;="&amp;$A43,Entries!$A$2:$A$5000,"&lt;"&amp;EDATE($A43,1),Entries!$B$2:$B$5000,AM$1))</f>
        <v/>
      </c>
      <c r="AN43" s="23">
        <f>IF(OR(AN$1="",$BM43=0),"",SUMIFS(Entries!$E$2:$E$5000,Entries!$C$2:$C$5000,"Actual",Entries!$A$2:$A$5000,"&gt;="&amp;$A43,Entries!$A$2:$A$5000,"&lt;"&amp;EDATE($A43,1),Entries!$B$2:$B$5000,AN$1))</f>
        <v/>
      </c>
      <c r="AO43" s="23">
        <f>IF(OR(AO$1="",$BM43=0),"",SUMIFS(Entries!$E$2:$E$5000,Entries!$C$2:$C$5000,"Actual",Entries!$A$2:$A$5000,"&gt;="&amp;$A43,Entries!$A$2:$A$5000,"&lt;"&amp;EDATE($A43,1),Entries!$B$2:$B$5000,AO$1))</f>
        <v/>
      </c>
      <c r="AP43" s="23">
        <f>IF(OR(AP$1="",$BM43=0),"",SUMIFS(Entries!$E$2:$E$5000,Entries!$C$2:$C$5000,"Actual",Entries!$A$2:$A$5000,"&gt;="&amp;$A43,Entries!$A$2:$A$5000,"&lt;"&amp;EDATE($A43,1),Entries!$B$2:$B$5000,AP$1))</f>
        <v/>
      </c>
      <c r="AR43" s="23">
        <f>IF(OR(AR$1="",$BM43=0),"",IFERROR(LOOKUP(2,1/((Budgets!$A$2:$A$200=AR$1)*(Budgets!$B$2:$B$200&lt;EDATE($A43,1))),Budgets!$C$2:$C$200),0))</f>
        <v/>
      </c>
      <c r="AS43" s="23">
        <f>IF(OR(AS$1="",$BM43=0),"",IFERROR(LOOKUP(2,1/((Budgets!$A$2:$A$200=AS$1)*(Budgets!$B$2:$B$200&lt;EDATE($A43,1))),Budgets!$C$2:$C$200),0))</f>
        <v/>
      </c>
      <c r="AT43" s="23">
        <f>IF(OR(AT$1="",$BM43=0),"",IFERROR(LOOKUP(2,1/((Budgets!$A$2:$A$200=AT$1)*(Budgets!$B$2:$B$200&lt;EDATE($A43,1))),Budgets!$C$2:$C$200),0))</f>
        <v/>
      </c>
      <c r="AU43" s="23">
        <f>IF(OR(AU$1="",$BM43=0),"",IFERROR(LOOKUP(2,1/((Budgets!$A$2:$A$200=AU$1)*(Budgets!$B$2:$B$200&lt;EDATE($A43,1))),Budgets!$C$2:$C$200),0))</f>
        <v/>
      </c>
      <c r="AV43" s="23">
        <f>IF(OR(AV$1="",$BM43=0),"",IFERROR(LOOKUP(2,1/((Budgets!$A$2:$A$200=AV$1)*(Budgets!$B$2:$B$200&lt;EDATE($A43,1))),Budgets!$C$2:$C$200),0))</f>
        <v/>
      </c>
      <c r="AW43" s="23">
        <f>IF(OR(AW$1="",$BM43=0),"",IFERROR(LOOKUP(2,1/((Budgets!$A$2:$A$200=AW$1)*(Budgets!$B$2:$B$200&lt;EDATE($A43,1))),Budgets!$C$2:$C$200),0))</f>
        <v/>
      </c>
      <c r="AX43" s="23">
        <f>IF(OR(AX$1="",$BM43=0),"",IFERROR(LOOKUP(2,1/((Budgets!$A$2:$A$200=AX$1)*(Budgets!$B$2:$B$200&lt;EDATE($A43,1))),Budgets!$C$2:$C$200),0))</f>
        <v/>
      </c>
      <c r="AY43" s="23">
        <f>IF(OR(AY$1="",$BM43=0),"",IFERROR(LOOKUP(2,1/((Budgets!$A$2:$A$200=AY$1)*(Budgets!$B$2:$B$200&lt;EDATE($A43,1))),Budgets!$C$2:$C$200),0))</f>
        <v/>
      </c>
      <c r="AZ43" s="23">
        <f>IF(OR(AZ$1="",$BM43=0),"",IFERROR(LOOKUP(2,1/((Budgets!$A$2:$A$200=AZ$1)*(Budgets!$B$2:$B$200&lt;EDATE($A43,1))),Budgets!$C$2:$C$200),0))</f>
        <v/>
      </c>
      <c r="BA43" s="23">
        <f>IF(OR(BA$1="",$BM43=0),"",IFERROR(LOOKUP(2,1/((Budgets!$A$2:$A$200=BA$1)*(Budgets!$B$2:$B$200&lt;EDATE($A43,1))),Budgets!$C$2:$C$200),0))</f>
        <v/>
      </c>
      <c r="BB43" s="23">
        <f>IF(OR(BB$1="",$BM43=0),"",IFERROR(LOOKUP(2,1/((Budgets!$A$2:$A$200=BB$1)*(Budgets!$B$2:$B$200&lt;EDATE($A43,1))),Budgets!$C$2:$C$200),0))</f>
        <v/>
      </c>
      <c r="BC43" s="23">
        <f>IF(OR(BC$1="",$BM43=0),"",IFERROR(LOOKUP(2,1/((Budgets!$A$2:$A$200=BC$1)*(Budgets!$B$2:$B$200&lt;EDATE($A43,1))),Budgets!$C$2:$C$200),0))</f>
        <v/>
      </c>
      <c r="BD43" s="23">
        <f>IF(OR(BD$1="",$BM43=0),"",IFERROR(LOOKUP(2,1/((Budgets!$A$2:$A$200=BD$1)*(Budgets!$B$2:$B$200&lt;EDATE($A43,1))),Budgets!$C$2:$C$200),0))</f>
        <v/>
      </c>
      <c r="BE43" s="23">
        <f>IF(OR(BE$1="",$BM43=0),"",IFERROR(LOOKUP(2,1/((Budgets!$A$2:$A$200=BE$1)*(Budgets!$B$2:$B$200&lt;EDATE($A43,1))),Budgets!$C$2:$C$200),0))</f>
        <v/>
      </c>
      <c r="BF43" s="23">
        <f>IF(OR(BF$1="",$BM43=0),"",IFERROR(LOOKUP(2,1/((Budgets!$A$2:$A$200=BF$1)*(Budgets!$B$2:$B$200&lt;EDATE($A43,1))),Budgets!$C$2:$C$200),0))</f>
        <v/>
      </c>
      <c r="BG43" s="23">
        <f>IF(OR(BG$1="",$BM43=0),"",IFERROR(LOOKUP(2,1/((Budgets!$A$2:$A$200=BG$1)*(Budgets!$B$2:$B$200&lt;EDATE($A43,1))),Budgets!$C$2:$C$200),0))</f>
        <v/>
      </c>
      <c r="BH43" s="23">
        <f>IF(OR(BH$1="",$BM43=0),"",IFERROR(LOOKUP(2,1/((Budgets!$A$2:$A$200=BH$1)*(Budgets!$B$2:$B$200&lt;EDATE($A43,1))),Budgets!$C$2:$C$200),0))</f>
        <v/>
      </c>
      <c r="BI43" s="23">
        <f>IF(OR(BI$1="",$BM43=0),"",IFERROR(LOOKUP(2,1/((Budgets!$A$2:$A$200=BI$1)*(Budgets!$B$2:$B$200&lt;EDATE($A43,1))),Budgets!$C$2:$C$200),0))</f>
        <v/>
      </c>
      <c r="BJ43" s="23">
        <f>IF(OR(BJ$1="",$BM43=0),"",IFERROR(LOOKUP(2,1/((Budgets!$A$2:$A$200=BJ$1)*(Budgets!$B$2:$B$200&lt;EDATE($A43,1))),Budgets!$C$2:$C$200),0))</f>
        <v/>
      </c>
      <c r="BK43" s="23">
        <f>IF(OR(BK$1="",$BM43=0),"",IFERROR(LOOKUP(2,1/((Budgets!$A$2:$A$200=BK$1)*(Budgets!$B$2:$B$200&lt;EDATE($A43,1))),Budgets!$C$2:$C$200),0))</f>
        <v/>
      </c>
      <c r="BM43" s="21">
        <f>COUNTIFS(Entries!$A$2:$A$5000,"&gt;="&amp;$A43,Entries!$A$2:$A$5000,"&lt;"&amp;EDATE($A43,1))</f>
        <v/>
      </c>
    </row>
    <row r="44">
      <c r="A44" s="22" t="n">
        <v>40725</v>
      </c>
      <c r="B44" s="23">
        <f>IF($BM44=0,NA(),SUMIFS(Entries!$E$2:$E$5000,Entries!$C$2:$C$5000,"Income",Entries!$A$2:$A$5000,"&gt;="&amp;$A44,Entries!$A$2:$A$5000,"&lt;"&amp;EDATE($A44,1)))</f>
        <v/>
      </c>
      <c r="C44" s="23">
        <f>IF($BM44=0,"",SUMIFS(Entries!$E$2:$E$5000,Entries!$C$2:$C$5000,"Actual",Entries!$A$2:$A$5000,"&gt;="&amp;$A44,Entries!$A$2:$A$5000,"&lt;"&amp;EDATE($A44,1)))</f>
        <v/>
      </c>
      <c r="D44" s="23">
        <f>IF($BM44=0,"",SUMIFS(Entries!$E$2:$E$5000,Entries!$C$2:$C$5000,"One-off",Entries!$A$2:$A$5000,"&gt;="&amp;$A44,Entries!$A$2:$A$5000,"&lt;"&amp;EDATE($A44,1)))</f>
        <v/>
      </c>
      <c r="E44" s="23">
        <f>IF($BM44=0,NA(),C44+D44)</f>
        <v/>
      </c>
      <c r="F44" s="23">
        <f>IF($BM44=0,"",SUM(AR44:BK44))</f>
        <v/>
      </c>
      <c r="G44" s="23">
        <f>IF($BM44=0,"",B44-E44)</f>
        <v/>
      </c>
      <c r="H44" s="23">
        <f>IF($BM44=0,"",SUM($G$2:G44))</f>
        <v/>
      </c>
      <c r="I44" s="23">
        <f>IF($BM44=0,"",SUMIFS(Entries!$G$2:$G$5000,Entries!$A$2:$A$5000,"&gt;="&amp;$A44,Entries!$A$2:$A$5000,"&lt;"&amp;EDATE($A44,1)))</f>
        <v/>
      </c>
      <c r="J44" s="23">
        <f>IF($BM44=0,NA(),H44)</f>
        <v/>
      </c>
      <c r="K44" s="23">
        <f>IF($BM44=0,"",SUMIFS(Entries!$E$2:$E$5000,Entries!$C$2:$C$5000,"Income",Entries!$A$2:$A$5000,"&gt;="&amp;EDATE($A44,-11),Entries!$A$2:$A$5000,"&lt;"&amp;EDATE($A44,1))/COUNTIFS($A$2:$A$400,"&gt;="&amp;EDATE($A44,-11),$A$2:$A$400,"&lt;"&amp;EDATE($A44,1),$BM$2:$BM$400,"&gt;0"))</f>
      </c>
      <c r="L44" s="23">
        <f>IF($BM44=0,"",(SUMIFS(Entries!$E$2:$E$5000,Entries!$C$2:$C$5000,"Actual",Entries!$A$2:$A$5000,"&gt;="&amp;EDATE($A44,-11),Entries!$A$2:$A$5000,"&lt;"&amp;EDATE($A44,1))+SUMIFS(Entries!$E$2:$E$5000,Entries!$C$2:$C$5000,"One-off",Entries!$A$2:$A$5000,"&gt;="&amp;EDATE($A44,-11),Entries!$A$2:$A$5000,"&lt;"&amp;EDATE($A44,1)))/COUNTIFS($A$2:$A$400,"&gt;="&amp;EDATE($A44,-11),$A$2:$A$400,"&lt;"&amp;EDATE($A44,1),$BM$2:$BM$400,"&gt;0"))</f>
      </c>
      <c r="M44" s="24">
        <f>IF($BM44=0,NA(),IFERROR((K44-L44)/K44,0))</f>
        <v/>
      </c>
      <c r="N44" s="23">
        <f>IF($BM44=0,NA(),SUMIFS(Entries!$E$2:$E$5000,Entries!$D$2:$D$5000,"Core",Entries!$A$2:$A$5000,"&gt;="&amp;$A44,Entries!$A$2:$A$5000,"&lt;"&amp;EDATE($A44,1)))</f>
        <v/>
      </c>
      <c r="O44" s="23">
        <f>IF($BM44=0,NA(),SUMIFS(Entries!$E$2:$E$5000,Entries!$D$2:$D$5000,"Over &amp; above",Entries!$A$2:$A$5000,"&gt;="&amp;$A44,Entries!$A$2:$A$5000,"&lt;"&amp;EDATE($A44,1)))</f>
        <v/>
      </c>
      <c r="P44" s="23">
        <f>IF($BM44=0,NA(),SUMIFS(Entries!$E$2:$E$5000,Entries!$D$2:$D$5000,"One-off",Entries!$A$2:$A$5000,"&gt;="&amp;$A44,Entries!$A$2:$A$5000,"&lt;"&amp;EDATE($A44,1)))</f>
        <v/>
      </c>
      <c r="Q44" s="23">
        <f>IF($BM44=0,NA(),SUMIFS(Entries!$E$2:$E$5000,Entries!$D$2:$D$5000,"Reimbursable",Entries!$A$2:$A$5000,"&gt;="&amp;$A44,Entries!$A$2:$A$5000,"&lt;"&amp;EDATE($A44,1)))</f>
        <v/>
      </c>
      <c r="R44" s="23">
        <f>IF($BM44=0,NA(),SUMIFS(Entries!$E$2:$E$5000,Entries!$D$2:$D$5000,"Investment",Entries!$A$2:$A$5000,"&gt;="&amp;$A44,Entries!$A$2:$A$5000,"&lt;"&amp;EDATE($A44,1)))</f>
        <v/>
      </c>
      <c r="S44" s="23">
        <f>IF($BM44=0,NA(),N44+O44)</f>
        <v/>
      </c>
      <c r="T44" s="23">
        <f>IF($BM44=0,"",E44-Q44)</f>
        <v/>
      </c>
      <c r="W44" s="23">
        <f>IF(OR(W$1="",$BM44=0),"",SUMIFS(Entries!$E$2:$E$5000,Entries!$C$2:$C$5000,"Actual",Entries!$A$2:$A$5000,"&gt;="&amp;$A44,Entries!$A$2:$A$5000,"&lt;"&amp;EDATE($A44,1),Entries!$B$2:$B$5000,W$1))</f>
        <v/>
      </c>
      <c r="X44" s="23">
        <f>IF(OR(X$1="",$BM44=0),"",SUMIFS(Entries!$E$2:$E$5000,Entries!$C$2:$C$5000,"Actual",Entries!$A$2:$A$5000,"&gt;="&amp;$A44,Entries!$A$2:$A$5000,"&lt;"&amp;EDATE($A44,1),Entries!$B$2:$B$5000,X$1))</f>
        <v/>
      </c>
      <c r="Y44" s="23">
        <f>IF(OR(Y$1="",$BM44=0),"",SUMIFS(Entries!$E$2:$E$5000,Entries!$C$2:$C$5000,"Actual",Entries!$A$2:$A$5000,"&gt;="&amp;$A44,Entries!$A$2:$A$5000,"&lt;"&amp;EDATE($A44,1),Entries!$B$2:$B$5000,Y$1))</f>
        <v/>
      </c>
      <c r="Z44" s="23">
        <f>IF(OR(Z$1="",$BM44=0),"",SUMIFS(Entries!$E$2:$E$5000,Entries!$C$2:$C$5000,"Actual",Entries!$A$2:$A$5000,"&gt;="&amp;$A44,Entries!$A$2:$A$5000,"&lt;"&amp;EDATE($A44,1),Entries!$B$2:$B$5000,Z$1))</f>
        <v/>
      </c>
      <c r="AA44" s="23">
        <f>IF(OR(AA$1="",$BM44=0),"",SUMIFS(Entries!$E$2:$E$5000,Entries!$C$2:$C$5000,"Actual",Entries!$A$2:$A$5000,"&gt;="&amp;$A44,Entries!$A$2:$A$5000,"&lt;"&amp;EDATE($A44,1),Entries!$B$2:$B$5000,AA$1))</f>
        <v/>
      </c>
      <c r="AB44" s="23">
        <f>IF(OR(AB$1="",$BM44=0),"",SUMIFS(Entries!$E$2:$E$5000,Entries!$C$2:$C$5000,"Actual",Entries!$A$2:$A$5000,"&gt;="&amp;$A44,Entries!$A$2:$A$5000,"&lt;"&amp;EDATE($A44,1),Entries!$B$2:$B$5000,AB$1))</f>
        <v/>
      </c>
      <c r="AC44" s="23">
        <f>IF(OR(AC$1="",$BM44=0),"",SUMIFS(Entries!$E$2:$E$5000,Entries!$C$2:$C$5000,"Actual",Entries!$A$2:$A$5000,"&gt;="&amp;$A44,Entries!$A$2:$A$5000,"&lt;"&amp;EDATE($A44,1),Entries!$B$2:$B$5000,AC$1))</f>
        <v/>
      </c>
      <c r="AD44" s="23">
        <f>IF(OR(AD$1="",$BM44=0),"",SUMIFS(Entries!$E$2:$E$5000,Entries!$C$2:$C$5000,"Actual",Entries!$A$2:$A$5000,"&gt;="&amp;$A44,Entries!$A$2:$A$5000,"&lt;"&amp;EDATE($A44,1),Entries!$B$2:$B$5000,AD$1))</f>
        <v/>
      </c>
      <c r="AE44" s="23">
        <f>IF(OR(AE$1="",$BM44=0),"",SUMIFS(Entries!$E$2:$E$5000,Entries!$C$2:$C$5000,"Actual",Entries!$A$2:$A$5000,"&gt;="&amp;$A44,Entries!$A$2:$A$5000,"&lt;"&amp;EDATE($A44,1),Entries!$B$2:$B$5000,AE$1))</f>
        <v/>
      </c>
      <c r="AF44" s="23">
        <f>IF(OR(AF$1="",$BM44=0),"",SUMIFS(Entries!$E$2:$E$5000,Entries!$C$2:$C$5000,"Actual",Entries!$A$2:$A$5000,"&gt;="&amp;$A44,Entries!$A$2:$A$5000,"&lt;"&amp;EDATE($A44,1),Entries!$B$2:$B$5000,AF$1))</f>
        <v/>
      </c>
      <c r="AG44" s="23">
        <f>IF(OR(AG$1="",$BM44=0),"",SUMIFS(Entries!$E$2:$E$5000,Entries!$C$2:$C$5000,"Actual",Entries!$A$2:$A$5000,"&gt;="&amp;$A44,Entries!$A$2:$A$5000,"&lt;"&amp;EDATE($A44,1),Entries!$B$2:$B$5000,AG$1))</f>
        <v/>
      </c>
      <c r="AH44" s="23">
        <f>IF(OR(AH$1="",$BM44=0),"",SUMIFS(Entries!$E$2:$E$5000,Entries!$C$2:$C$5000,"Actual",Entries!$A$2:$A$5000,"&gt;="&amp;$A44,Entries!$A$2:$A$5000,"&lt;"&amp;EDATE($A44,1),Entries!$B$2:$B$5000,AH$1))</f>
        <v/>
      </c>
      <c r="AI44" s="23">
        <f>IF(OR(AI$1="",$BM44=0),"",SUMIFS(Entries!$E$2:$E$5000,Entries!$C$2:$C$5000,"Actual",Entries!$A$2:$A$5000,"&gt;="&amp;$A44,Entries!$A$2:$A$5000,"&lt;"&amp;EDATE($A44,1),Entries!$B$2:$B$5000,AI$1))</f>
        <v/>
      </c>
      <c r="AJ44" s="23">
        <f>IF(OR(AJ$1="",$BM44=0),"",SUMIFS(Entries!$E$2:$E$5000,Entries!$C$2:$C$5000,"Actual",Entries!$A$2:$A$5000,"&gt;="&amp;$A44,Entries!$A$2:$A$5000,"&lt;"&amp;EDATE($A44,1),Entries!$B$2:$B$5000,AJ$1))</f>
        <v/>
      </c>
      <c r="AK44" s="23">
        <f>IF(OR(AK$1="",$BM44=0),"",SUMIFS(Entries!$E$2:$E$5000,Entries!$C$2:$C$5000,"Actual",Entries!$A$2:$A$5000,"&gt;="&amp;$A44,Entries!$A$2:$A$5000,"&lt;"&amp;EDATE($A44,1),Entries!$B$2:$B$5000,AK$1))</f>
        <v/>
      </c>
      <c r="AL44" s="23">
        <f>IF(OR(AL$1="",$BM44=0),"",SUMIFS(Entries!$E$2:$E$5000,Entries!$C$2:$C$5000,"Actual",Entries!$A$2:$A$5000,"&gt;="&amp;$A44,Entries!$A$2:$A$5000,"&lt;"&amp;EDATE($A44,1),Entries!$B$2:$B$5000,AL$1))</f>
        <v/>
      </c>
      <c r="AM44" s="23">
        <f>IF(OR(AM$1="",$BM44=0),"",SUMIFS(Entries!$E$2:$E$5000,Entries!$C$2:$C$5000,"Actual",Entries!$A$2:$A$5000,"&gt;="&amp;$A44,Entries!$A$2:$A$5000,"&lt;"&amp;EDATE($A44,1),Entries!$B$2:$B$5000,AM$1))</f>
        <v/>
      </c>
      <c r="AN44" s="23">
        <f>IF(OR(AN$1="",$BM44=0),"",SUMIFS(Entries!$E$2:$E$5000,Entries!$C$2:$C$5000,"Actual",Entries!$A$2:$A$5000,"&gt;="&amp;$A44,Entries!$A$2:$A$5000,"&lt;"&amp;EDATE($A44,1),Entries!$B$2:$B$5000,AN$1))</f>
        <v/>
      </c>
      <c r="AO44" s="23">
        <f>IF(OR(AO$1="",$BM44=0),"",SUMIFS(Entries!$E$2:$E$5000,Entries!$C$2:$C$5000,"Actual",Entries!$A$2:$A$5000,"&gt;="&amp;$A44,Entries!$A$2:$A$5000,"&lt;"&amp;EDATE($A44,1),Entries!$B$2:$B$5000,AO$1))</f>
        <v/>
      </c>
      <c r="AP44" s="23">
        <f>IF(OR(AP$1="",$BM44=0),"",SUMIFS(Entries!$E$2:$E$5000,Entries!$C$2:$C$5000,"Actual",Entries!$A$2:$A$5000,"&gt;="&amp;$A44,Entries!$A$2:$A$5000,"&lt;"&amp;EDATE($A44,1),Entries!$B$2:$B$5000,AP$1))</f>
        <v/>
      </c>
      <c r="AR44" s="23">
        <f>IF(OR(AR$1="",$BM44=0),"",IFERROR(LOOKUP(2,1/((Budgets!$A$2:$A$200=AR$1)*(Budgets!$B$2:$B$200&lt;EDATE($A44,1))),Budgets!$C$2:$C$200),0))</f>
        <v/>
      </c>
      <c r="AS44" s="23">
        <f>IF(OR(AS$1="",$BM44=0),"",IFERROR(LOOKUP(2,1/((Budgets!$A$2:$A$200=AS$1)*(Budgets!$B$2:$B$200&lt;EDATE($A44,1))),Budgets!$C$2:$C$200),0))</f>
        <v/>
      </c>
      <c r="AT44" s="23">
        <f>IF(OR(AT$1="",$BM44=0),"",IFERROR(LOOKUP(2,1/((Budgets!$A$2:$A$200=AT$1)*(Budgets!$B$2:$B$200&lt;EDATE($A44,1))),Budgets!$C$2:$C$200),0))</f>
        <v/>
      </c>
      <c r="AU44" s="23">
        <f>IF(OR(AU$1="",$BM44=0),"",IFERROR(LOOKUP(2,1/((Budgets!$A$2:$A$200=AU$1)*(Budgets!$B$2:$B$200&lt;EDATE($A44,1))),Budgets!$C$2:$C$200),0))</f>
        <v/>
      </c>
      <c r="AV44" s="23">
        <f>IF(OR(AV$1="",$BM44=0),"",IFERROR(LOOKUP(2,1/((Budgets!$A$2:$A$200=AV$1)*(Budgets!$B$2:$B$200&lt;EDATE($A44,1))),Budgets!$C$2:$C$200),0))</f>
        <v/>
      </c>
      <c r="AW44" s="23">
        <f>IF(OR(AW$1="",$BM44=0),"",IFERROR(LOOKUP(2,1/((Budgets!$A$2:$A$200=AW$1)*(Budgets!$B$2:$B$200&lt;EDATE($A44,1))),Budgets!$C$2:$C$200),0))</f>
        <v/>
      </c>
      <c r="AX44" s="23">
        <f>IF(OR(AX$1="",$BM44=0),"",IFERROR(LOOKUP(2,1/((Budgets!$A$2:$A$200=AX$1)*(Budgets!$B$2:$B$200&lt;EDATE($A44,1))),Budgets!$C$2:$C$200),0))</f>
        <v/>
      </c>
      <c r="AY44" s="23">
        <f>IF(OR(AY$1="",$BM44=0),"",IFERROR(LOOKUP(2,1/((Budgets!$A$2:$A$200=AY$1)*(Budgets!$B$2:$B$200&lt;EDATE($A44,1))),Budgets!$C$2:$C$200),0))</f>
        <v/>
      </c>
      <c r="AZ44" s="23">
        <f>IF(OR(AZ$1="",$BM44=0),"",IFERROR(LOOKUP(2,1/((Budgets!$A$2:$A$200=AZ$1)*(Budgets!$B$2:$B$200&lt;EDATE($A44,1))),Budgets!$C$2:$C$200),0))</f>
        <v/>
      </c>
      <c r="BA44" s="23">
        <f>IF(OR(BA$1="",$BM44=0),"",IFERROR(LOOKUP(2,1/((Budgets!$A$2:$A$200=BA$1)*(Budgets!$B$2:$B$200&lt;EDATE($A44,1))),Budgets!$C$2:$C$200),0))</f>
        <v/>
      </c>
      <c r="BB44" s="23">
        <f>IF(OR(BB$1="",$BM44=0),"",IFERROR(LOOKUP(2,1/((Budgets!$A$2:$A$200=BB$1)*(Budgets!$B$2:$B$200&lt;EDATE($A44,1))),Budgets!$C$2:$C$200),0))</f>
        <v/>
      </c>
      <c r="BC44" s="23">
        <f>IF(OR(BC$1="",$BM44=0),"",IFERROR(LOOKUP(2,1/((Budgets!$A$2:$A$200=BC$1)*(Budgets!$B$2:$B$200&lt;EDATE($A44,1))),Budgets!$C$2:$C$200),0))</f>
        <v/>
      </c>
      <c r="BD44" s="23">
        <f>IF(OR(BD$1="",$BM44=0),"",IFERROR(LOOKUP(2,1/((Budgets!$A$2:$A$200=BD$1)*(Budgets!$B$2:$B$200&lt;EDATE($A44,1))),Budgets!$C$2:$C$200),0))</f>
        <v/>
      </c>
      <c r="BE44" s="23">
        <f>IF(OR(BE$1="",$BM44=0),"",IFERROR(LOOKUP(2,1/((Budgets!$A$2:$A$200=BE$1)*(Budgets!$B$2:$B$200&lt;EDATE($A44,1))),Budgets!$C$2:$C$200),0))</f>
        <v/>
      </c>
      <c r="BF44" s="23">
        <f>IF(OR(BF$1="",$BM44=0),"",IFERROR(LOOKUP(2,1/((Budgets!$A$2:$A$200=BF$1)*(Budgets!$B$2:$B$200&lt;EDATE($A44,1))),Budgets!$C$2:$C$200),0))</f>
        <v/>
      </c>
      <c r="BG44" s="23">
        <f>IF(OR(BG$1="",$BM44=0),"",IFERROR(LOOKUP(2,1/((Budgets!$A$2:$A$200=BG$1)*(Budgets!$B$2:$B$200&lt;EDATE($A44,1))),Budgets!$C$2:$C$200),0))</f>
        <v/>
      </c>
      <c r="BH44" s="23">
        <f>IF(OR(BH$1="",$BM44=0),"",IFERROR(LOOKUP(2,1/((Budgets!$A$2:$A$200=BH$1)*(Budgets!$B$2:$B$200&lt;EDATE($A44,1))),Budgets!$C$2:$C$200),0))</f>
        <v/>
      </c>
      <c r="BI44" s="23">
        <f>IF(OR(BI$1="",$BM44=0),"",IFERROR(LOOKUP(2,1/((Budgets!$A$2:$A$200=BI$1)*(Budgets!$B$2:$B$200&lt;EDATE($A44,1))),Budgets!$C$2:$C$200),0))</f>
        <v/>
      </c>
      <c r="BJ44" s="23">
        <f>IF(OR(BJ$1="",$BM44=0),"",IFERROR(LOOKUP(2,1/((Budgets!$A$2:$A$200=BJ$1)*(Budgets!$B$2:$B$200&lt;EDATE($A44,1))),Budgets!$C$2:$C$200),0))</f>
        <v/>
      </c>
      <c r="BK44" s="23">
        <f>IF(OR(BK$1="",$BM44=0),"",IFERROR(LOOKUP(2,1/((Budgets!$A$2:$A$200=BK$1)*(Budgets!$B$2:$B$200&lt;EDATE($A44,1))),Budgets!$C$2:$C$200),0))</f>
        <v/>
      </c>
      <c r="BM44" s="21">
        <f>COUNTIFS(Entries!$A$2:$A$5000,"&gt;="&amp;$A44,Entries!$A$2:$A$5000,"&lt;"&amp;EDATE($A44,1))</f>
        <v/>
      </c>
    </row>
    <row r="45">
      <c r="A45" s="22" t="n">
        <v>40756</v>
      </c>
      <c r="B45" s="23">
        <f>IF($BM45=0,NA(),SUMIFS(Entries!$E$2:$E$5000,Entries!$C$2:$C$5000,"Income",Entries!$A$2:$A$5000,"&gt;="&amp;$A45,Entries!$A$2:$A$5000,"&lt;"&amp;EDATE($A45,1)))</f>
        <v/>
      </c>
      <c r="C45" s="23">
        <f>IF($BM45=0,"",SUMIFS(Entries!$E$2:$E$5000,Entries!$C$2:$C$5000,"Actual",Entries!$A$2:$A$5000,"&gt;="&amp;$A45,Entries!$A$2:$A$5000,"&lt;"&amp;EDATE($A45,1)))</f>
        <v/>
      </c>
      <c r="D45" s="23">
        <f>IF($BM45=0,"",SUMIFS(Entries!$E$2:$E$5000,Entries!$C$2:$C$5000,"One-off",Entries!$A$2:$A$5000,"&gt;="&amp;$A45,Entries!$A$2:$A$5000,"&lt;"&amp;EDATE($A45,1)))</f>
        <v/>
      </c>
      <c r="E45" s="23">
        <f>IF($BM45=0,NA(),C45+D45)</f>
        <v/>
      </c>
      <c r="F45" s="23">
        <f>IF($BM45=0,"",SUM(AR45:BK45))</f>
        <v/>
      </c>
      <c r="G45" s="23">
        <f>IF($BM45=0,"",B45-E45)</f>
        <v/>
      </c>
      <c r="H45" s="23">
        <f>IF($BM45=0,"",SUM($G$2:G45))</f>
        <v/>
      </c>
      <c r="I45" s="23">
        <f>IF($BM45=0,"",SUMIFS(Entries!$G$2:$G$5000,Entries!$A$2:$A$5000,"&gt;="&amp;$A45,Entries!$A$2:$A$5000,"&lt;"&amp;EDATE($A45,1)))</f>
        <v/>
      </c>
      <c r="J45" s="23">
        <f>IF($BM45=0,NA(),H45)</f>
        <v/>
      </c>
      <c r="K45" s="23">
        <f>IF($BM45=0,"",SUMIFS(Entries!$E$2:$E$5000,Entries!$C$2:$C$5000,"Income",Entries!$A$2:$A$5000,"&gt;="&amp;EDATE($A45,-11),Entries!$A$2:$A$5000,"&lt;"&amp;EDATE($A45,1))/COUNTIFS($A$2:$A$400,"&gt;="&amp;EDATE($A45,-11),$A$2:$A$400,"&lt;"&amp;EDATE($A45,1),$BM$2:$BM$400,"&gt;0"))</f>
      </c>
      <c r="L45" s="23">
        <f>IF($BM45=0,"",(SUMIFS(Entries!$E$2:$E$5000,Entries!$C$2:$C$5000,"Actual",Entries!$A$2:$A$5000,"&gt;="&amp;EDATE($A45,-11),Entries!$A$2:$A$5000,"&lt;"&amp;EDATE($A45,1))+SUMIFS(Entries!$E$2:$E$5000,Entries!$C$2:$C$5000,"One-off",Entries!$A$2:$A$5000,"&gt;="&amp;EDATE($A45,-11),Entries!$A$2:$A$5000,"&lt;"&amp;EDATE($A45,1)))/COUNTIFS($A$2:$A$400,"&gt;="&amp;EDATE($A45,-11),$A$2:$A$400,"&lt;"&amp;EDATE($A45,1),$BM$2:$BM$400,"&gt;0"))</f>
      </c>
      <c r="M45" s="24">
        <f>IF($BM45=0,NA(),IFERROR((K45-L45)/K45,0))</f>
        <v/>
      </c>
      <c r="N45" s="23">
        <f>IF($BM45=0,NA(),SUMIFS(Entries!$E$2:$E$5000,Entries!$D$2:$D$5000,"Core",Entries!$A$2:$A$5000,"&gt;="&amp;$A45,Entries!$A$2:$A$5000,"&lt;"&amp;EDATE($A45,1)))</f>
        <v/>
      </c>
      <c r="O45" s="23">
        <f>IF($BM45=0,NA(),SUMIFS(Entries!$E$2:$E$5000,Entries!$D$2:$D$5000,"Over &amp; above",Entries!$A$2:$A$5000,"&gt;="&amp;$A45,Entries!$A$2:$A$5000,"&lt;"&amp;EDATE($A45,1)))</f>
        <v/>
      </c>
      <c r="P45" s="23">
        <f>IF($BM45=0,NA(),SUMIFS(Entries!$E$2:$E$5000,Entries!$D$2:$D$5000,"One-off",Entries!$A$2:$A$5000,"&gt;="&amp;$A45,Entries!$A$2:$A$5000,"&lt;"&amp;EDATE($A45,1)))</f>
        <v/>
      </c>
      <c r="Q45" s="23">
        <f>IF($BM45=0,NA(),SUMIFS(Entries!$E$2:$E$5000,Entries!$D$2:$D$5000,"Reimbursable",Entries!$A$2:$A$5000,"&gt;="&amp;$A45,Entries!$A$2:$A$5000,"&lt;"&amp;EDATE($A45,1)))</f>
        <v/>
      </c>
      <c r="R45" s="23">
        <f>IF($BM45=0,NA(),SUMIFS(Entries!$E$2:$E$5000,Entries!$D$2:$D$5000,"Investment",Entries!$A$2:$A$5000,"&gt;="&amp;$A45,Entries!$A$2:$A$5000,"&lt;"&amp;EDATE($A45,1)))</f>
        <v/>
      </c>
      <c r="S45" s="23">
        <f>IF($BM45=0,NA(),N45+O45)</f>
        <v/>
      </c>
      <c r="T45" s="23">
        <f>IF($BM45=0,"",E45-Q45)</f>
        <v/>
      </c>
      <c r="W45" s="23">
        <f>IF(OR(W$1="",$BM45=0),"",SUMIFS(Entries!$E$2:$E$5000,Entries!$C$2:$C$5000,"Actual",Entries!$A$2:$A$5000,"&gt;="&amp;$A45,Entries!$A$2:$A$5000,"&lt;"&amp;EDATE($A45,1),Entries!$B$2:$B$5000,W$1))</f>
        <v/>
      </c>
      <c r="X45" s="23">
        <f>IF(OR(X$1="",$BM45=0),"",SUMIFS(Entries!$E$2:$E$5000,Entries!$C$2:$C$5000,"Actual",Entries!$A$2:$A$5000,"&gt;="&amp;$A45,Entries!$A$2:$A$5000,"&lt;"&amp;EDATE($A45,1),Entries!$B$2:$B$5000,X$1))</f>
        <v/>
      </c>
      <c r="Y45" s="23">
        <f>IF(OR(Y$1="",$BM45=0),"",SUMIFS(Entries!$E$2:$E$5000,Entries!$C$2:$C$5000,"Actual",Entries!$A$2:$A$5000,"&gt;="&amp;$A45,Entries!$A$2:$A$5000,"&lt;"&amp;EDATE($A45,1),Entries!$B$2:$B$5000,Y$1))</f>
        <v/>
      </c>
      <c r="Z45" s="23">
        <f>IF(OR(Z$1="",$BM45=0),"",SUMIFS(Entries!$E$2:$E$5000,Entries!$C$2:$C$5000,"Actual",Entries!$A$2:$A$5000,"&gt;="&amp;$A45,Entries!$A$2:$A$5000,"&lt;"&amp;EDATE($A45,1),Entries!$B$2:$B$5000,Z$1))</f>
        <v/>
      </c>
      <c r="AA45" s="23">
        <f>IF(OR(AA$1="",$BM45=0),"",SUMIFS(Entries!$E$2:$E$5000,Entries!$C$2:$C$5000,"Actual",Entries!$A$2:$A$5000,"&gt;="&amp;$A45,Entries!$A$2:$A$5000,"&lt;"&amp;EDATE($A45,1),Entries!$B$2:$B$5000,AA$1))</f>
        <v/>
      </c>
      <c r="AB45" s="23">
        <f>IF(OR(AB$1="",$BM45=0),"",SUMIFS(Entries!$E$2:$E$5000,Entries!$C$2:$C$5000,"Actual",Entries!$A$2:$A$5000,"&gt;="&amp;$A45,Entries!$A$2:$A$5000,"&lt;"&amp;EDATE($A45,1),Entries!$B$2:$B$5000,AB$1))</f>
        <v/>
      </c>
      <c r="AC45" s="23">
        <f>IF(OR(AC$1="",$BM45=0),"",SUMIFS(Entries!$E$2:$E$5000,Entries!$C$2:$C$5000,"Actual",Entries!$A$2:$A$5000,"&gt;="&amp;$A45,Entries!$A$2:$A$5000,"&lt;"&amp;EDATE($A45,1),Entries!$B$2:$B$5000,AC$1))</f>
        <v/>
      </c>
      <c r="AD45" s="23">
        <f>IF(OR(AD$1="",$BM45=0),"",SUMIFS(Entries!$E$2:$E$5000,Entries!$C$2:$C$5000,"Actual",Entries!$A$2:$A$5000,"&gt;="&amp;$A45,Entries!$A$2:$A$5000,"&lt;"&amp;EDATE($A45,1),Entries!$B$2:$B$5000,AD$1))</f>
        <v/>
      </c>
      <c r="AE45" s="23">
        <f>IF(OR(AE$1="",$BM45=0),"",SUMIFS(Entries!$E$2:$E$5000,Entries!$C$2:$C$5000,"Actual",Entries!$A$2:$A$5000,"&gt;="&amp;$A45,Entries!$A$2:$A$5000,"&lt;"&amp;EDATE($A45,1),Entries!$B$2:$B$5000,AE$1))</f>
        <v/>
      </c>
      <c r="AF45" s="23">
        <f>IF(OR(AF$1="",$BM45=0),"",SUMIFS(Entries!$E$2:$E$5000,Entries!$C$2:$C$5000,"Actual",Entries!$A$2:$A$5000,"&gt;="&amp;$A45,Entries!$A$2:$A$5000,"&lt;"&amp;EDATE($A45,1),Entries!$B$2:$B$5000,AF$1))</f>
        <v/>
      </c>
      <c r="AG45" s="23">
        <f>IF(OR(AG$1="",$BM45=0),"",SUMIFS(Entries!$E$2:$E$5000,Entries!$C$2:$C$5000,"Actual",Entries!$A$2:$A$5000,"&gt;="&amp;$A45,Entries!$A$2:$A$5000,"&lt;"&amp;EDATE($A45,1),Entries!$B$2:$B$5000,AG$1))</f>
        <v/>
      </c>
      <c r="AH45" s="23">
        <f>IF(OR(AH$1="",$BM45=0),"",SUMIFS(Entries!$E$2:$E$5000,Entries!$C$2:$C$5000,"Actual",Entries!$A$2:$A$5000,"&gt;="&amp;$A45,Entries!$A$2:$A$5000,"&lt;"&amp;EDATE($A45,1),Entries!$B$2:$B$5000,AH$1))</f>
        <v/>
      </c>
      <c r="AI45" s="23">
        <f>IF(OR(AI$1="",$BM45=0),"",SUMIFS(Entries!$E$2:$E$5000,Entries!$C$2:$C$5000,"Actual",Entries!$A$2:$A$5000,"&gt;="&amp;$A45,Entries!$A$2:$A$5000,"&lt;"&amp;EDATE($A45,1),Entries!$B$2:$B$5000,AI$1))</f>
        <v/>
      </c>
      <c r="AJ45" s="23">
        <f>IF(OR(AJ$1="",$BM45=0),"",SUMIFS(Entries!$E$2:$E$5000,Entries!$C$2:$C$5000,"Actual",Entries!$A$2:$A$5000,"&gt;="&amp;$A45,Entries!$A$2:$A$5000,"&lt;"&amp;EDATE($A45,1),Entries!$B$2:$B$5000,AJ$1))</f>
        <v/>
      </c>
      <c r="AK45" s="23">
        <f>IF(OR(AK$1="",$BM45=0),"",SUMIFS(Entries!$E$2:$E$5000,Entries!$C$2:$C$5000,"Actual",Entries!$A$2:$A$5000,"&gt;="&amp;$A45,Entries!$A$2:$A$5000,"&lt;"&amp;EDATE($A45,1),Entries!$B$2:$B$5000,AK$1))</f>
        <v/>
      </c>
      <c r="AL45" s="23">
        <f>IF(OR(AL$1="",$BM45=0),"",SUMIFS(Entries!$E$2:$E$5000,Entries!$C$2:$C$5000,"Actual",Entries!$A$2:$A$5000,"&gt;="&amp;$A45,Entries!$A$2:$A$5000,"&lt;"&amp;EDATE($A45,1),Entries!$B$2:$B$5000,AL$1))</f>
        <v/>
      </c>
      <c r="AM45" s="23">
        <f>IF(OR(AM$1="",$BM45=0),"",SUMIFS(Entries!$E$2:$E$5000,Entries!$C$2:$C$5000,"Actual",Entries!$A$2:$A$5000,"&gt;="&amp;$A45,Entries!$A$2:$A$5000,"&lt;"&amp;EDATE($A45,1),Entries!$B$2:$B$5000,AM$1))</f>
        <v/>
      </c>
      <c r="AN45" s="23">
        <f>IF(OR(AN$1="",$BM45=0),"",SUMIFS(Entries!$E$2:$E$5000,Entries!$C$2:$C$5000,"Actual",Entries!$A$2:$A$5000,"&gt;="&amp;$A45,Entries!$A$2:$A$5000,"&lt;"&amp;EDATE($A45,1),Entries!$B$2:$B$5000,AN$1))</f>
        <v/>
      </c>
      <c r="AO45" s="23">
        <f>IF(OR(AO$1="",$BM45=0),"",SUMIFS(Entries!$E$2:$E$5000,Entries!$C$2:$C$5000,"Actual",Entries!$A$2:$A$5000,"&gt;="&amp;$A45,Entries!$A$2:$A$5000,"&lt;"&amp;EDATE($A45,1),Entries!$B$2:$B$5000,AO$1))</f>
        <v/>
      </c>
      <c r="AP45" s="23">
        <f>IF(OR(AP$1="",$BM45=0),"",SUMIFS(Entries!$E$2:$E$5000,Entries!$C$2:$C$5000,"Actual",Entries!$A$2:$A$5000,"&gt;="&amp;$A45,Entries!$A$2:$A$5000,"&lt;"&amp;EDATE($A45,1),Entries!$B$2:$B$5000,AP$1))</f>
        <v/>
      </c>
      <c r="AR45" s="23">
        <f>IF(OR(AR$1="",$BM45=0),"",IFERROR(LOOKUP(2,1/((Budgets!$A$2:$A$200=AR$1)*(Budgets!$B$2:$B$200&lt;EDATE($A45,1))),Budgets!$C$2:$C$200),0))</f>
        <v/>
      </c>
      <c r="AS45" s="23">
        <f>IF(OR(AS$1="",$BM45=0),"",IFERROR(LOOKUP(2,1/((Budgets!$A$2:$A$200=AS$1)*(Budgets!$B$2:$B$200&lt;EDATE($A45,1))),Budgets!$C$2:$C$200),0))</f>
        <v/>
      </c>
      <c r="AT45" s="23">
        <f>IF(OR(AT$1="",$BM45=0),"",IFERROR(LOOKUP(2,1/((Budgets!$A$2:$A$200=AT$1)*(Budgets!$B$2:$B$200&lt;EDATE($A45,1))),Budgets!$C$2:$C$200),0))</f>
        <v/>
      </c>
      <c r="AU45" s="23">
        <f>IF(OR(AU$1="",$BM45=0),"",IFERROR(LOOKUP(2,1/((Budgets!$A$2:$A$200=AU$1)*(Budgets!$B$2:$B$200&lt;EDATE($A45,1))),Budgets!$C$2:$C$200),0))</f>
        <v/>
      </c>
      <c r="AV45" s="23">
        <f>IF(OR(AV$1="",$BM45=0),"",IFERROR(LOOKUP(2,1/((Budgets!$A$2:$A$200=AV$1)*(Budgets!$B$2:$B$200&lt;EDATE($A45,1))),Budgets!$C$2:$C$200),0))</f>
        <v/>
      </c>
      <c r="AW45" s="23">
        <f>IF(OR(AW$1="",$BM45=0),"",IFERROR(LOOKUP(2,1/((Budgets!$A$2:$A$200=AW$1)*(Budgets!$B$2:$B$200&lt;EDATE($A45,1))),Budgets!$C$2:$C$200),0))</f>
        <v/>
      </c>
      <c r="AX45" s="23">
        <f>IF(OR(AX$1="",$BM45=0),"",IFERROR(LOOKUP(2,1/((Budgets!$A$2:$A$200=AX$1)*(Budgets!$B$2:$B$200&lt;EDATE($A45,1))),Budgets!$C$2:$C$200),0))</f>
        <v/>
      </c>
      <c r="AY45" s="23">
        <f>IF(OR(AY$1="",$BM45=0),"",IFERROR(LOOKUP(2,1/((Budgets!$A$2:$A$200=AY$1)*(Budgets!$B$2:$B$200&lt;EDATE($A45,1))),Budgets!$C$2:$C$200),0))</f>
        <v/>
      </c>
      <c r="AZ45" s="23">
        <f>IF(OR(AZ$1="",$BM45=0),"",IFERROR(LOOKUP(2,1/((Budgets!$A$2:$A$200=AZ$1)*(Budgets!$B$2:$B$200&lt;EDATE($A45,1))),Budgets!$C$2:$C$200),0))</f>
        <v/>
      </c>
      <c r="BA45" s="23">
        <f>IF(OR(BA$1="",$BM45=0),"",IFERROR(LOOKUP(2,1/((Budgets!$A$2:$A$200=BA$1)*(Budgets!$B$2:$B$200&lt;EDATE($A45,1))),Budgets!$C$2:$C$200),0))</f>
        <v/>
      </c>
      <c r="BB45" s="23">
        <f>IF(OR(BB$1="",$BM45=0),"",IFERROR(LOOKUP(2,1/((Budgets!$A$2:$A$200=BB$1)*(Budgets!$B$2:$B$200&lt;EDATE($A45,1))),Budgets!$C$2:$C$200),0))</f>
        <v/>
      </c>
      <c r="BC45" s="23">
        <f>IF(OR(BC$1="",$BM45=0),"",IFERROR(LOOKUP(2,1/((Budgets!$A$2:$A$200=BC$1)*(Budgets!$B$2:$B$200&lt;EDATE($A45,1))),Budgets!$C$2:$C$200),0))</f>
        <v/>
      </c>
      <c r="BD45" s="23">
        <f>IF(OR(BD$1="",$BM45=0),"",IFERROR(LOOKUP(2,1/((Budgets!$A$2:$A$200=BD$1)*(Budgets!$B$2:$B$200&lt;EDATE($A45,1))),Budgets!$C$2:$C$200),0))</f>
        <v/>
      </c>
      <c r="BE45" s="23">
        <f>IF(OR(BE$1="",$BM45=0),"",IFERROR(LOOKUP(2,1/((Budgets!$A$2:$A$200=BE$1)*(Budgets!$B$2:$B$200&lt;EDATE($A45,1))),Budgets!$C$2:$C$200),0))</f>
        <v/>
      </c>
      <c r="BF45" s="23">
        <f>IF(OR(BF$1="",$BM45=0),"",IFERROR(LOOKUP(2,1/((Budgets!$A$2:$A$200=BF$1)*(Budgets!$B$2:$B$200&lt;EDATE($A45,1))),Budgets!$C$2:$C$200),0))</f>
        <v/>
      </c>
      <c r="BG45" s="23">
        <f>IF(OR(BG$1="",$BM45=0),"",IFERROR(LOOKUP(2,1/((Budgets!$A$2:$A$200=BG$1)*(Budgets!$B$2:$B$200&lt;EDATE($A45,1))),Budgets!$C$2:$C$200),0))</f>
        <v/>
      </c>
      <c r="BH45" s="23">
        <f>IF(OR(BH$1="",$BM45=0),"",IFERROR(LOOKUP(2,1/((Budgets!$A$2:$A$200=BH$1)*(Budgets!$B$2:$B$200&lt;EDATE($A45,1))),Budgets!$C$2:$C$200),0))</f>
        <v/>
      </c>
      <c r="BI45" s="23">
        <f>IF(OR(BI$1="",$BM45=0),"",IFERROR(LOOKUP(2,1/((Budgets!$A$2:$A$200=BI$1)*(Budgets!$B$2:$B$200&lt;EDATE($A45,1))),Budgets!$C$2:$C$200),0))</f>
        <v/>
      </c>
      <c r="BJ45" s="23">
        <f>IF(OR(BJ$1="",$BM45=0),"",IFERROR(LOOKUP(2,1/((Budgets!$A$2:$A$200=BJ$1)*(Budgets!$B$2:$B$200&lt;EDATE($A45,1))),Budgets!$C$2:$C$200),0))</f>
        <v/>
      </c>
      <c r="BK45" s="23">
        <f>IF(OR(BK$1="",$BM45=0),"",IFERROR(LOOKUP(2,1/((Budgets!$A$2:$A$200=BK$1)*(Budgets!$B$2:$B$200&lt;EDATE($A45,1))),Budgets!$C$2:$C$200),0))</f>
        <v/>
      </c>
      <c r="BM45" s="21">
        <f>COUNTIFS(Entries!$A$2:$A$5000,"&gt;="&amp;$A45,Entries!$A$2:$A$5000,"&lt;"&amp;EDATE($A45,1))</f>
        <v/>
      </c>
    </row>
    <row r="46">
      <c r="A46" s="22" t="n">
        <v>40787</v>
      </c>
      <c r="B46" s="23">
        <f>IF($BM46=0,NA(),SUMIFS(Entries!$E$2:$E$5000,Entries!$C$2:$C$5000,"Income",Entries!$A$2:$A$5000,"&gt;="&amp;$A46,Entries!$A$2:$A$5000,"&lt;"&amp;EDATE($A46,1)))</f>
        <v/>
      </c>
      <c r="C46" s="23">
        <f>IF($BM46=0,"",SUMIFS(Entries!$E$2:$E$5000,Entries!$C$2:$C$5000,"Actual",Entries!$A$2:$A$5000,"&gt;="&amp;$A46,Entries!$A$2:$A$5000,"&lt;"&amp;EDATE($A46,1)))</f>
        <v/>
      </c>
      <c r="D46" s="23">
        <f>IF($BM46=0,"",SUMIFS(Entries!$E$2:$E$5000,Entries!$C$2:$C$5000,"One-off",Entries!$A$2:$A$5000,"&gt;="&amp;$A46,Entries!$A$2:$A$5000,"&lt;"&amp;EDATE($A46,1)))</f>
        <v/>
      </c>
      <c r="E46" s="23">
        <f>IF($BM46=0,NA(),C46+D46)</f>
        <v/>
      </c>
      <c r="F46" s="23">
        <f>IF($BM46=0,"",SUM(AR46:BK46))</f>
        <v/>
      </c>
      <c r="G46" s="23">
        <f>IF($BM46=0,"",B46-E46)</f>
        <v/>
      </c>
      <c r="H46" s="23">
        <f>IF($BM46=0,"",SUM($G$2:G46))</f>
        <v/>
      </c>
      <c r="I46" s="23">
        <f>IF($BM46=0,"",SUMIFS(Entries!$G$2:$G$5000,Entries!$A$2:$A$5000,"&gt;="&amp;$A46,Entries!$A$2:$A$5000,"&lt;"&amp;EDATE($A46,1)))</f>
        <v/>
      </c>
      <c r="J46" s="23">
        <f>IF($BM46=0,NA(),H46)</f>
        <v/>
      </c>
      <c r="K46" s="23">
        <f>IF($BM46=0,"",SUMIFS(Entries!$E$2:$E$5000,Entries!$C$2:$C$5000,"Income",Entries!$A$2:$A$5000,"&gt;="&amp;EDATE($A46,-11),Entries!$A$2:$A$5000,"&lt;"&amp;EDATE($A46,1))/COUNTIFS($A$2:$A$400,"&gt;="&amp;EDATE($A46,-11),$A$2:$A$400,"&lt;"&amp;EDATE($A46,1),$BM$2:$BM$400,"&gt;0"))</f>
      </c>
      <c r="L46" s="23">
        <f>IF($BM46=0,"",(SUMIFS(Entries!$E$2:$E$5000,Entries!$C$2:$C$5000,"Actual",Entries!$A$2:$A$5000,"&gt;="&amp;EDATE($A46,-11),Entries!$A$2:$A$5000,"&lt;"&amp;EDATE($A46,1))+SUMIFS(Entries!$E$2:$E$5000,Entries!$C$2:$C$5000,"One-off",Entries!$A$2:$A$5000,"&gt;="&amp;EDATE($A46,-11),Entries!$A$2:$A$5000,"&lt;"&amp;EDATE($A46,1)))/COUNTIFS($A$2:$A$400,"&gt;="&amp;EDATE($A46,-11),$A$2:$A$400,"&lt;"&amp;EDATE($A46,1),$BM$2:$BM$400,"&gt;0"))</f>
      </c>
      <c r="M46" s="24">
        <f>IF($BM46=0,NA(),IFERROR((K46-L46)/K46,0))</f>
        <v/>
      </c>
      <c r="N46" s="23">
        <f>IF($BM46=0,NA(),SUMIFS(Entries!$E$2:$E$5000,Entries!$D$2:$D$5000,"Core",Entries!$A$2:$A$5000,"&gt;="&amp;$A46,Entries!$A$2:$A$5000,"&lt;"&amp;EDATE($A46,1)))</f>
        <v/>
      </c>
      <c r="O46" s="23">
        <f>IF($BM46=0,NA(),SUMIFS(Entries!$E$2:$E$5000,Entries!$D$2:$D$5000,"Over &amp; above",Entries!$A$2:$A$5000,"&gt;="&amp;$A46,Entries!$A$2:$A$5000,"&lt;"&amp;EDATE($A46,1)))</f>
        <v/>
      </c>
      <c r="P46" s="23">
        <f>IF($BM46=0,NA(),SUMIFS(Entries!$E$2:$E$5000,Entries!$D$2:$D$5000,"One-off",Entries!$A$2:$A$5000,"&gt;="&amp;$A46,Entries!$A$2:$A$5000,"&lt;"&amp;EDATE($A46,1)))</f>
        <v/>
      </c>
      <c r="Q46" s="23">
        <f>IF($BM46=0,NA(),SUMIFS(Entries!$E$2:$E$5000,Entries!$D$2:$D$5000,"Reimbursable",Entries!$A$2:$A$5000,"&gt;="&amp;$A46,Entries!$A$2:$A$5000,"&lt;"&amp;EDATE($A46,1)))</f>
        <v/>
      </c>
      <c r="R46" s="23">
        <f>IF($BM46=0,NA(),SUMIFS(Entries!$E$2:$E$5000,Entries!$D$2:$D$5000,"Investment",Entries!$A$2:$A$5000,"&gt;="&amp;$A46,Entries!$A$2:$A$5000,"&lt;"&amp;EDATE($A46,1)))</f>
        <v/>
      </c>
      <c r="S46" s="23">
        <f>IF($BM46=0,NA(),N46+O46)</f>
        <v/>
      </c>
      <c r="T46" s="23">
        <f>IF($BM46=0,"",E46-Q46)</f>
        <v/>
      </c>
      <c r="W46" s="23">
        <f>IF(OR(W$1="",$BM46=0),"",SUMIFS(Entries!$E$2:$E$5000,Entries!$C$2:$C$5000,"Actual",Entries!$A$2:$A$5000,"&gt;="&amp;$A46,Entries!$A$2:$A$5000,"&lt;"&amp;EDATE($A46,1),Entries!$B$2:$B$5000,W$1))</f>
        <v/>
      </c>
      <c r="X46" s="23">
        <f>IF(OR(X$1="",$BM46=0),"",SUMIFS(Entries!$E$2:$E$5000,Entries!$C$2:$C$5000,"Actual",Entries!$A$2:$A$5000,"&gt;="&amp;$A46,Entries!$A$2:$A$5000,"&lt;"&amp;EDATE($A46,1),Entries!$B$2:$B$5000,X$1))</f>
        <v/>
      </c>
      <c r="Y46" s="23">
        <f>IF(OR(Y$1="",$BM46=0),"",SUMIFS(Entries!$E$2:$E$5000,Entries!$C$2:$C$5000,"Actual",Entries!$A$2:$A$5000,"&gt;="&amp;$A46,Entries!$A$2:$A$5000,"&lt;"&amp;EDATE($A46,1),Entries!$B$2:$B$5000,Y$1))</f>
        <v/>
      </c>
      <c r="Z46" s="23">
        <f>IF(OR(Z$1="",$BM46=0),"",SUMIFS(Entries!$E$2:$E$5000,Entries!$C$2:$C$5000,"Actual",Entries!$A$2:$A$5000,"&gt;="&amp;$A46,Entries!$A$2:$A$5000,"&lt;"&amp;EDATE($A46,1),Entries!$B$2:$B$5000,Z$1))</f>
        <v/>
      </c>
      <c r="AA46" s="23">
        <f>IF(OR(AA$1="",$BM46=0),"",SUMIFS(Entries!$E$2:$E$5000,Entries!$C$2:$C$5000,"Actual",Entries!$A$2:$A$5000,"&gt;="&amp;$A46,Entries!$A$2:$A$5000,"&lt;"&amp;EDATE($A46,1),Entries!$B$2:$B$5000,AA$1))</f>
        <v/>
      </c>
      <c r="AB46" s="23">
        <f>IF(OR(AB$1="",$BM46=0),"",SUMIFS(Entries!$E$2:$E$5000,Entries!$C$2:$C$5000,"Actual",Entries!$A$2:$A$5000,"&gt;="&amp;$A46,Entries!$A$2:$A$5000,"&lt;"&amp;EDATE($A46,1),Entries!$B$2:$B$5000,AB$1))</f>
        <v/>
      </c>
      <c r="AC46" s="23">
        <f>IF(OR(AC$1="",$BM46=0),"",SUMIFS(Entries!$E$2:$E$5000,Entries!$C$2:$C$5000,"Actual",Entries!$A$2:$A$5000,"&gt;="&amp;$A46,Entries!$A$2:$A$5000,"&lt;"&amp;EDATE($A46,1),Entries!$B$2:$B$5000,AC$1))</f>
        <v/>
      </c>
      <c r="AD46" s="23">
        <f>IF(OR(AD$1="",$BM46=0),"",SUMIFS(Entries!$E$2:$E$5000,Entries!$C$2:$C$5000,"Actual",Entries!$A$2:$A$5000,"&gt;="&amp;$A46,Entries!$A$2:$A$5000,"&lt;"&amp;EDATE($A46,1),Entries!$B$2:$B$5000,AD$1))</f>
        <v/>
      </c>
      <c r="AE46" s="23">
        <f>IF(OR(AE$1="",$BM46=0),"",SUMIFS(Entries!$E$2:$E$5000,Entries!$C$2:$C$5000,"Actual",Entries!$A$2:$A$5000,"&gt;="&amp;$A46,Entries!$A$2:$A$5000,"&lt;"&amp;EDATE($A46,1),Entries!$B$2:$B$5000,AE$1))</f>
        <v/>
      </c>
      <c r="AF46" s="23">
        <f>IF(OR(AF$1="",$BM46=0),"",SUMIFS(Entries!$E$2:$E$5000,Entries!$C$2:$C$5000,"Actual",Entries!$A$2:$A$5000,"&gt;="&amp;$A46,Entries!$A$2:$A$5000,"&lt;"&amp;EDATE($A46,1),Entries!$B$2:$B$5000,AF$1))</f>
        <v/>
      </c>
      <c r="AG46" s="23">
        <f>IF(OR(AG$1="",$BM46=0),"",SUMIFS(Entries!$E$2:$E$5000,Entries!$C$2:$C$5000,"Actual",Entries!$A$2:$A$5000,"&gt;="&amp;$A46,Entries!$A$2:$A$5000,"&lt;"&amp;EDATE($A46,1),Entries!$B$2:$B$5000,AG$1))</f>
        <v/>
      </c>
      <c r="AH46" s="23">
        <f>IF(OR(AH$1="",$BM46=0),"",SUMIFS(Entries!$E$2:$E$5000,Entries!$C$2:$C$5000,"Actual",Entries!$A$2:$A$5000,"&gt;="&amp;$A46,Entries!$A$2:$A$5000,"&lt;"&amp;EDATE($A46,1),Entries!$B$2:$B$5000,AH$1))</f>
        <v/>
      </c>
      <c r="AI46" s="23">
        <f>IF(OR(AI$1="",$BM46=0),"",SUMIFS(Entries!$E$2:$E$5000,Entries!$C$2:$C$5000,"Actual",Entries!$A$2:$A$5000,"&gt;="&amp;$A46,Entries!$A$2:$A$5000,"&lt;"&amp;EDATE($A46,1),Entries!$B$2:$B$5000,AI$1))</f>
        <v/>
      </c>
      <c r="AJ46" s="23">
        <f>IF(OR(AJ$1="",$BM46=0),"",SUMIFS(Entries!$E$2:$E$5000,Entries!$C$2:$C$5000,"Actual",Entries!$A$2:$A$5000,"&gt;="&amp;$A46,Entries!$A$2:$A$5000,"&lt;"&amp;EDATE($A46,1),Entries!$B$2:$B$5000,AJ$1))</f>
        <v/>
      </c>
      <c r="AK46" s="23">
        <f>IF(OR(AK$1="",$BM46=0),"",SUMIFS(Entries!$E$2:$E$5000,Entries!$C$2:$C$5000,"Actual",Entries!$A$2:$A$5000,"&gt;="&amp;$A46,Entries!$A$2:$A$5000,"&lt;"&amp;EDATE($A46,1),Entries!$B$2:$B$5000,AK$1))</f>
        <v/>
      </c>
      <c r="AL46" s="23">
        <f>IF(OR(AL$1="",$BM46=0),"",SUMIFS(Entries!$E$2:$E$5000,Entries!$C$2:$C$5000,"Actual",Entries!$A$2:$A$5000,"&gt;="&amp;$A46,Entries!$A$2:$A$5000,"&lt;"&amp;EDATE($A46,1),Entries!$B$2:$B$5000,AL$1))</f>
        <v/>
      </c>
      <c r="AM46" s="23">
        <f>IF(OR(AM$1="",$BM46=0),"",SUMIFS(Entries!$E$2:$E$5000,Entries!$C$2:$C$5000,"Actual",Entries!$A$2:$A$5000,"&gt;="&amp;$A46,Entries!$A$2:$A$5000,"&lt;"&amp;EDATE($A46,1),Entries!$B$2:$B$5000,AM$1))</f>
        <v/>
      </c>
      <c r="AN46" s="23">
        <f>IF(OR(AN$1="",$BM46=0),"",SUMIFS(Entries!$E$2:$E$5000,Entries!$C$2:$C$5000,"Actual",Entries!$A$2:$A$5000,"&gt;="&amp;$A46,Entries!$A$2:$A$5000,"&lt;"&amp;EDATE($A46,1),Entries!$B$2:$B$5000,AN$1))</f>
        <v/>
      </c>
      <c r="AO46" s="23">
        <f>IF(OR(AO$1="",$BM46=0),"",SUMIFS(Entries!$E$2:$E$5000,Entries!$C$2:$C$5000,"Actual",Entries!$A$2:$A$5000,"&gt;="&amp;$A46,Entries!$A$2:$A$5000,"&lt;"&amp;EDATE($A46,1),Entries!$B$2:$B$5000,AO$1))</f>
        <v/>
      </c>
      <c r="AP46" s="23">
        <f>IF(OR(AP$1="",$BM46=0),"",SUMIFS(Entries!$E$2:$E$5000,Entries!$C$2:$C$5000,"Actual",Entries!$A$2:$A$5000,"&gt;="&amp;$A46,Entries!$A$2:$A$5000,"&lt;"&amp;EDATE($A46,1),Entries!$B$2:$B$5000,AP$1))</f>
        <v/>
      </c>
      <c r="AR46" s="23">
        <f>IF(OR(AR$1="",$BM46=0),"",IFERROR(LOOKUP(2,1/((Budgets!$A$2:$A$200=AR$1)*(Budgets!$B$2:$B$200&lt;EDATE($A46,1))),Budgets!$C$2:$C$200),0))</f>
        <v/>
      </c>
      <c r="AS46" s="23">
        <f>IF(OR(AS$1="",$BM46=0),"",IFERROR(LOOKUP(2,1/((Budgets!$A$2:$A$200=AS$1)*(Budgets!$B$2:$B$200&lt;EDATE($A46,1))),Budgets!$C$2:$C$200),0))</f>
        <v/>
      </c>
      <c r="AT46" s="23">
        <f>IF(OR(AT$1="",$BM46=0),"",IFERROR(LOOKUP(2,1/((Budgets!$A$2:$A$200=AT$1)*(Budgets!$B$2:$B$200&lt;EDATE($A46,1))),Budgets!$C$2:$C$200),0))</f>
        <v/>
      </c>
      <c r="AU46" s="23">
        <f>IF(OR(AU$1="",$BM46=0),"",IFERROR(LOOKUP(2,1/((Budgets!$A$2:$A$200=AU$1)*(Budgets!$B$2:$B$200&lt;EDATE($A46,1))),Budgets!$C$2:$C$200),0))</f>
        <v/>
      </c>
      <c r="AV46" s="23">
        <f>IF(OR(AV$1="",$BM46=0),"",IFERROR(LOOKUP(2,1/((Budgets!$A$2:$A$200=AV$1)*(Budgets!$B$2:$B$200&lt;EDATE($A46,1))),Budgets!$C$2:$C$200),0))</f>
        <v/>
      </c>
      <c r="AW46" s="23">
        <f>IF(OR(AW$1="",$BM46=0),"",IFERROR(LOOKUP(2,1/((Budgets!$A$2:$A$200=AW$1)*(Budgets!$B$2:$B$200&lt;EDATE($A46,1))),Budgets!$C$2:$C$200),0))</f>
        <v/>
      </c>
      <c r="AX46" s="23">
        <f>IF(OR(AX$1="",$BM46=0),"",IFERROR(LOOKUP(2,1/((Budgets!$A$2:$A$200=AX$1)*(Budgets!$B$2:$B$200&lt;EDATE($A46,1))),Budgets!$C$2:$C$200),0))</f>
        <v/>
      </c>
      <c r="AY46" s="23">
        <f>IF(OR(AY$1="",$BM46=0),"",IFERROR(LOOKUP(2,1/((Budgets!$A$2:$A$200=AY$1)*(Budgets!$B$2:$B$200&lt;EDATE($A46,1))),Budgets!$C$2:$C$200),0))</f>
        <v/>
      </c>
      <c r="AZ46" s="23">
        <f>IF(OR(AZ$1="",$BM46=0),"",IFERROR(LOOKUP(2,1/((Budgets!$A$2:$A$200=AZ$1)*(Budgets!$B$2:$B$200&lt;EDATE($A46,1))),Budgets!$C$2:$C$200),0))</f>
        <v/>
      </c>
      <c r="BA46" s="23">
        <f>IF(OR(BA$1="",$BM46=0),"",IFERROR(LOOKUP(2,1/((Budgets!$A$2:$A$200=BA$1)*(Budgets!$B$2:$B$200&lt;EDATE($A46,1))),Budgets!$C$2:$C$200),0))</f>
        <v/>
      </c>
      <c r="BB46" s="23">
        <f>IF(OR(BB$1="",$BM46=0),"",IFERROR(LOOKUP(2,1/((Budgets!$A$2:$A$200=BB$1)*(Budgets!$B$2:$B$200&lt;EDATE($A46,1))),Budgets!$C$2:$C$200),0))</f>
        <v/>
      </c>
      <c r="BC46" s="23">
        <f>IF(OR(BC$1="",$BM46=0),"",IFERROR(LOOKUP(2,1/((Budgets!$A$2:$A$200=BC$1)*(Budgets!$B$2:$B$200&lt;EDATE($A46,1))),Budgets!$C$2:$C$200),0))</f>
        <v/>
      </c>
      <c r="BD46" s="23">
        <f>IF(OR(BD$1="",$BM46=0),"",IFERROR(LOOKUP(2,1/((Budgets!$A$2:$A$200=BD$1)*(Budgets!$B$2:$B$200&lt;EDATE($A46,1))),Budgets!$C$2:$C$200),0))</f>
        <v/>
      </c>
      <c r="BE46" s="23">
        <f>IF(OR(BE$1="",$BM46=0),"",IFERROR(LOOKUP(2,1/((Budgets!$A$2:$A$200=BE$1)*(Budgets!$B$2:$B$200&lt;EDATE($A46,1))),Budgets!$C$2:$C$200),0))</f>
        <v/>
      </c>
      <c r="BF46" s="23">
        <f>IF(OR(BF$1="",$BM46=0),"",IFERROR(LOOKUP(2,1/((Budgets!$A$2:$A$200=BF$1)*(Budgets!$B$2:$B$200&lt;EDATE($A46,1))),Budgets!$C$2:$C$200),0))</f>
        <v/>
      </c>
      <c r="BG46" s="23">
        <f>IF(OR(BG$1="",$BM46=0),"",IFERROR(LOOKUP(2,1/((Budgets!$A$2:$A$200=BG$1)*(Budgets!$B$2:$B$200&lt;EDATE($A46,1))),Budgets!$C$2:$C$200),0))</f>
        <v/>
      </c>
      <c r="BH46" s="23">
        <f>IF(OR(BH$1="",$BM46=0),"",IFERROR(LOOKUP(2,1/((Budgets!$A$2:$A$200=BH$1)*(Budgets!$B$2:$B$200&lt;EDATE($A46,1))),Budgets!$C$2:$C$200),0))</f>
        <v/>
      </c>
      <c r="BI46" s="23">
        <f>IF(OR(BI$1="",$BM46=0),"",IFERROR(LOOKUP(2,1/((Budgets!$A$2:$A$200=BI$1)*(Budgets!$B$2:$B$200&lt;EDATE($A46,1))),Budgets!$C$2:$C$200),0))</f>
        <v/>
      </c>
      <c r="BJ46" s="23">
        <f>IF(OR(BJ$1="",$BM46=0),"",IFERROR(LOOKUP(2,1/((Budgets!$A$2:$A$200=BJ$1)*(Budgets!$B$2:$B$200&lt;EDATE($A46,1))),Budgets!$C$2:$C$200),0))</f>
        <v/>
      </c>
      <c r="BK46" s="23">
        <f>IF(OR(BK$1="",$BM46=0),"",IFERROR(LOOKUP(2,1/((Budgets!$A$2:$A$200=BK$1)*(Budgets!$B$2:$B$200&lt;EDATE($A46,1))),Budgets!$C$2:$C$200),0))</f>
        <v/>
      </c>
      <c r="BM46" s="21">
        <f>COUNTIFS(Entries!$A$2:$A$5000,"&gt;="&amp;$A46,Entries!$A$2:$A$5000,"&lt;"&amp;EDATE($A46,1))</f>
        <v/>
      </c>
    </row>
    <row r="47">
      <c r="A47" s="22" t="n">
        <v>40817</v>
      </c>
      <c r="B47" s="23">
        <f>IF($BM47=0,NA(),SUMIFS(Entries!$E$2:$E$5000,Entries!$C$2:$C$5000,"Income",Entries!$A$2:$A$5000,"&gt;="&amp;$A47,Entries!$A$2:$A$5000,"&lt;"&amp;EDATE($A47,1)))</f>
        <v/>
      </c>
      <c r="C47" s="23">
        <f>IF($BM47=0,"",SUMIFS(Entries!$E$2:$E$5000,Entries!$C$2:$C$5000,"Actual",Entries!$A$2:$A$5000,"&gt;="&amp;$A47,Entries!$A$2:$A$5000,"&lt;"&amp;EDATE($A47,1)))</f>
        <v/>
      </c>
      <c r="D47" s="23">
        <f>IF($BM47=0,"",SUMIFS(Entries!$E$2:$E$5000,Entries!$C$2:$C$5000,"One-off",Entries!$A$2:$A$5000,"&gt;="&amp;$A47,Entries!$A$2:$A$5000,"&lt;"&amp;EDATE($A47,1)))</f>
        <v/>
      </c>
      <c r="E47" s="23">
        <f>IF($BM47=0,NA(),C47+D47)</f>
        <v/>
      </c>
      <c r="F47" s="23">
        <f>IF($BM47=0,"",SUM(AR47:BK47))</f>
        <v/>
      </c>
      <c r="G47" s="23">
        <f>IF($BM47=0,"",B47-E47)</f>
        <v/>
      </c>
      <c r="H47" s="23">
        <f>IF($BM47=0,"",SUM($G$2:G47))</f>
        <v/>
      </c>
      <c r="I47" s="23">
        <f>IF($BM47=0,"",SUMIFS(Entries!$G$2:$G$5000,Entries!$A$2:$A$5000,"&gt;="&amp;$A47,Entries!$A$2:$A$5000,"&lt;"&amp;EDATE($A47,1)))</f>
        <v/>
      </c>
      <c r="J47" s="23">
        <f>IF($BM47=0,NA(),H47)</f>
        <v/>
      </c>
      <c r="K47" s="23">
        <f>IF($BM47=0,"",SUMIFS(Entries!$E$2:$E$5000,Entries!$C$2:$C$5000,"Income",Entries!$A$2:$A$5000,"&gt;="&amp;EDATE($A47,-11),Entries!$A$2:$A$5000,"&lt;"&amp;EDATE($A47,1))/COUNTIFS($A$2:$A$400,"&gt;="&amp;EDATE($A47,-11),$A$2:$A$400,"&lt;"&amp;EDATE($A47,1),$BM$2:$BM$400,"&gt;0"))</f>
      </c>
      <c r="L47" s="23">
        <f>IF($BM47=0,"",(SUMIFS(Entries!$E$2:$E$5000,Entries!$C$2:$C$5000,"Actual",Entries!$A$2:$A$5000,"&gt;="&amp;EDATE($A47,-11),Entries!$A$2:$A$5000,"&lt;"&amp;EDATE($A47,1))+SUMIFS(Entries!$E$2:$E$5000,Entries!$C$2:$C$5000,"One-off",Entries!$A$2:$A$5000,"&gt;="&amp;EDATE($A47,-11),Entries!$A$2:$A$5000,"&lt;"&amp;EDATE($A47,1)))/COUNTIFS($A$2:$A$400,"&gt;="&amp;EDATE($A47,-11),$A$2:$A$400,"&lt;"&amp;EDATE($A47,1),$BM$2:$BM$400,"&gt;0"))</f>
      </c>
      <c r="M47" s="24">
        <f>IF($BM47=0,NA(),IFERROR((K47-L47)/K47,0))</f>
        <v/>
      </c>
      <c r="N47" s="23">
        <f>IF($BM47=0,NA(),SUMIFS(Entries!$E$2:$E$5000,Entries!$D$2:$D$5000,"Core",Entries!$A$2:$A$5000,"&gt;="&amp;$A47,Entries!$A$2:$A$5000,"&lt;"&amp;EDATE($A47,1)))</f>
        <v/>
      </c>
      <c r="O47" s="23">
        <f>IF($BM47=0,NA(),SUMIFS(Entries!$E$2:$E$5000,Entries!$D$2:$D$5000,"Over &amp; above",Entries!$A$2:$A$5000,"&gt;="&amp;$A47,Entries!$A$2:$A$5000,"&lt;"&amp;EDATE($A47,1)))</f>
        <v/>
      </c>
      <c r="P47" s="23">
        <f>IF($BM47=0,NA(),SUMIFS(Entries!$E$2:$E$5000,Entries!$D$2:$D$5000,"One-off",Entries!$A$2:$A$5000,"&gt;="&amp;$A47,Entries!$A$2:$A$5000,"&lt;"&amp;EDATE($A47,1)))</f>
        <v/>
      </c>
      <c r="Q47" s="23">
        <f>IF($BM47=0,NA(),SUMIFS(Entries!$E$2:$E$5000,Entries!$D$2:$D$5000,"Reimbursable",Entries!$A$2:$A$5000,"&gt;="&amp;$A47,Entries!$A$2:$A$5000,"&lt;"&amp;EDATE($A47,1)))</f>
        <v/>
      </c>
      <c r="R47" s="23">
        <f>IF($BM47=0,NA(),SUMIFS(Entries!$E$2:$E$5000,Entries!$D$2:$D$5000,"Investment",Entries!$A$2:$A$5000,"&gt;="&amp;$A47,Entries!$A$2:$A$5000,"&lt;"&amp;EDATE($A47,1)))</f>
        <v/>
      </c>
      <c r="S47" s="23">
        <f>IF($BM47=0,NA(),N47+O47)</f>
        <v/>
      </c>
      <c r="T47" s="23">
        <f>IF($BM47=0,"",E47-Q47)</f>
        <v/>
      </c>
      <c r="W47" s="23">
        <f>IF(OR(W$1="",$BM47=0),"",SUMIFS(Entries!$E$2:$E$5000,Entries!$C$2:$C$5000,"Actual",Entries!$A$2:$A$5000,"&gt;="&amp;$A47,Entries!$A$2:$A$5000,"&lt;"&amp;EDATE($A47,1),Entries!$B$2:$B$5000,W$1))</f>
        <v/>
      </c>
      <c r="X47" s="23">
        <f>IF(OR(X$1="",$BM47=0),"",SUMIFS(Entries!$E$2:$E$5000,Entries!$C$2:$C$5000,"Actual",Entries!$A$2:$A$5000,"&gt;="&amp;$A47,Entries!$A$2:$A$5000,"&lt;"&amp;EDATE($A47,1),Entries!$B$2:$B$5000,X$1))</f>
        <v/>
      </c>
      <c r="Y47" s="23">
        <f>IF(OR(Y$1="",$BM47=0),"",SUMIFS(Entries!$E$2:$E$5000,Entries!$C$2:$C$5000,"Actual",Entries!$A$2:$A$5000,"&gt;="&amp;$A47,Entries!$A$2:$A$5000,"&lt;"&amp;EDATE($A47,1),Entries!$B$2:$B$5000,Y$1))</f>
        <v/>
      </c>
      <c r="Z47" s="23">
        <f>IF(OR(Z$1="",$BM47=0),"",SUMIFS(Entries!$E$2:$E$5000,Entries!$C$2:$C$5000,"Actual",Entries!$A$2:$A$5000,"&gt;="&amp;$A47,Entries!$A$2:$A$5000,"&lt;"&amp;EDATE($A47,1),Entries!$B$2:$B$5000,Z$1))</f>
        <v/>
      </c>
      <c r="AA47" s="23">
        <f>IF(OR(AA$1="",$BM47=0),"",SUMIFS(Entries!$E$2:$E$5000,Entries!$C$2:$C$5000,"Actual",Entries!$A$2:$A$5000,"&gt;="&amp;$A47,Entries!$A$2:$A$5000,"&lt;"&amp;EDATE($A47,1),Entries!$B$2:$B$5000,AA$1))</f>
        <v/>
      </c>
      <c r="AB47" s="23">
        <f>IF(OR(AB$1="",$BM47=0),"",SUMIFS(Entries!$E$2:$E$5000,Entries!$C$2:$C$5000,"Actual",Entries!$A$2:$A$5000,"&gt;="&amp;$A47,Entries!$A$2:$A$5000,"&lt;"&amp;EDATE($A47,1),Entries!$B$2:$B$5000,AB$1))</f>
        <v/>
      </c>
      <c r="AC47" s="23">
        <f>IF(OR(AC$1="",$BM47=0),"",SUMIFS(Entries!$E$2:$E$5000,Entries!$C$2:$C$5000,"Actual",Entries!$A$2:$A$5000,"&gt;="&amp;$A47,Entries!$A$2:$A$5000,"&lt;"&amp;EDATE($A47,1),Entries!$B$2:$B$5000,AC$1))</f>
        <v/>
      </c>
      <c r="AD47" s="23">
        <f>IF(OR(AD$1="",$BM47=0),"",SUMIFS(Entries!$E$2:$E$5000,Entries!$C$2:$C$5000,"Actual",Entries!$A$2:$A$5000,"&gt;="&amp;$A47,Entries!$A$2:$A$5000,"&lt;"&amp;EDATE($A47,1),Entries!$B$2:$B$5000,AD$1))</f>
        <v/>
      </c>
      <c r="AE47" s="23">
        <f>IF(OR(AE$1="",$BM47=0),"",SUMIFS(Entries!$E$2:$E$5000,Entries!$C$2:$C$5000,"Actual",Entries!$A$2:$A$5000,"&gt;="&amp;$A47,Entries!$A$2:$A$5000,"&lt;"&amp;EDATE($A47,1),Entries!$B$2:$B$5000,AE$1))</f>
        <v/>
      </c>
      <c r="AF47" s="23">
        <f>IF(OR(AF$1="",$BM47=0),"",SUMIFS(Entries!$E$2:$E$5000,Entries!$C$2:$C$5000,"Actual",Entries!$A$2:$A$5000,"&gt;="&amp;$A47,Entries!$A$2:$A$5000,"&lt;"&amp;EDATE($A47,1),Entries!$B$2:$B$5000,AF$1))</f>
        <v/>
      </c>
      <c r="AG47" s="23">
        <f>IF(OR(AG$1="",$BM47=0),"",SUMIFS(Entries!$E$2:$E$5000,Entries!$C$2:$C$5000,"Actual",Entries!$A$2:$A$5000,"&gt;="&amp;$A47,Entries!$A$2:$A$5000,"&lt;"&amp;EDATE($A47,1),Entries!$B$2:$B$5000,AG$1))</f>
        <v/>
      </c>
      <c r="AH47" s="23">
        <f>IF(OR(AH$1="",$BM47=0),"",SUMIFS(Entries!$E$2:$E$5000,Entries!$C$2:$C$5000,"Actual",Entries!$A$2:$A$5000,"&gt;="&amp;$A47,Entries!$A$2:$A$5000,"&lt;"&amp;EDATE($A47,1),Entries!$B$2:$B$5000,AH$1))</f>
        <v/>
      </c>
      <c r="AI47" s="23">
        <f>IF(OR(AI$1="",$BM47=0),"",SUMIFS(Entries!$E$2:$E$5000,Entries!$C$2:$C$5000,"Actual",Entries!$A$2:$A$5000,"&gt;="&amp;$A47,Entries!$A$2:$A$5000,"&lt;"&amp;EDATE($A47,1),Entries!$B$2:$B$5000,AI$1))</f>
        <v/>
      </c>
      <c r="AJ47" s="23">
        <f>IF(OR(AJ$1="",$BM47=0),"",SUMIFS(Entries!$E$2:$E$5000,Entries!$C$2:$C$5000,"Actual",Entries!$A$2:$A$5000,"&gt;="&amp;$A47,Entries!$A$2:$A$5000,"&lt;"&amp;EDATE($A47,1),Entries!$B$2:$B$5000,AJ$1))</f>
        <v/>
      </c>
      <c r="AK47" s="23">
        <f>IF(OR(AK$1="",$BM47=0),"",SUMIFS(Entries!$E$2:$E$5000,Entries!$C$2:$C$5000,"Actual",Entries!$A$2:$A$5000,"&gt;="&amp;$A47,Entries!$A$2:$A$5000,"&lt;"&amp;EDATE($A47,1),Entries!$B$2:$B$5000,AK$1))</f>
        <v/>
      </c>
      <c r="AL47" s="23">
        <f>IF(OR(AL$1="",$BM47=0),"",SUMIFS(Entries!$E$2:$E$5000,Entries!$C$2:$C$5000,"Actual",Entries!$A$2:$A$5000,"&gt;="&amp;$A47,Entries!$A$2:$A$5000,"&lt;"&amp;EDATE($A47,1),Entries!$B$2:$B$5000,AL$1))</f>
        <v/>
      </c>
      <c r="AM47" s="23">
        <f>IF(OR(AM$1="",$BM47=0),"",SUMIFS(Entries!$E$2:$E$5000,Entries!$C$2:$C$5000,"Actual",Entries!$A$2:$A$5000,"&gt;="&amp;$A47,Entries!$A$2:$A$5000,"&lt;"&amp;EDATE($A47,1),Entries!$B$2:$B$5000,AM$1))</f>
        <v/>
      </c>
      <c r="AN47" s="23">
        <f>IF(OR(AN$1="",$BM47=0),"",SUMIFS(Entries!$E$2:$E$5000,Entries!$C$2:$C$5000,"Actual",Entries!$A$2:$A$5000,"&gt;="&amp;$A47,Entries!$A$2:$A$5000,"&lt;"&amp;EDATE($A47,1),Entries!$B$2:$B$5000,AN$1))</f>
        <v/>
      </c>
      <c r="AO47" s="23">
        <f>IF(OR(AO$1="",$BM47=0),"",SUMIFS(Entries!$E$2:$E$5000,Entries!$C$2:$C$5000,"Actual",Entries!$A$2:$A$5000,"&gt;="&amp;$A47,Entries!$A$2:$A$5000,"&lt;"&amp;EDATE($A47,1),Entries!$B$2:$B$5000,AO$1))</f>
        <v/>
      </c>
      <c r="AP47" s="23">
        <f>IF(OR(AP$1="",$BM47=0),"",SUMIFS(Entries!$E$2:$E$5000,Entries!$C$2:$C$5000,"Actual",Entries!$A$2:$A$5000,"&gt;="&amp;$A47,Entries!$A$2:$A$5000,"&lt;"&amp;EDATE($A47,1),Entries!$B$2:$B$5000,AP$1))</f>
        <v/>
      </c>
      <c r="AR47" s="23">
        <f>IF(OR(AR$1="",$BM47=0),"",IFERROR(LOOKUP(2,1/((Budgets!$A$2:$A$200=AR$1)*(Budgets!$B$2:$B$200&lt;EDATE($A47,1))),Budgets!$C$2:$C$200),0))</f>
        <v/>
      </c>
      <c r="AS47" s="23">
        <f>IF(OR(AS$1="",$BM47=0),"",IFERROR(LOOKUP(2,1/((Budgets!$A$2:$A$200=AS$1)*(Budgets!$B$2:$B$200&lt;EDATE($A47,1))),Budgets!$C$2:$C$200),0))</f>
        <v/>
      </c>
      <c r="AT47" s="23">
        <f>IF(OR(AT$1="",$BM47=0),"",IFERROR(LOOKUP(2,1/((Budgets!$A$2:$A$200=AT$1)*(Budgets!$B$2:$B$200&lt;EDATE($A47,1))),Budgets!$C$2:$C$200),0))</f>
        <v/>
      </c>
      <c r="AU47" s="23">
        <f>IF(OR(AU$1="",$BM47=0),"",IFERROR(LOOKUP(2,1/((Budgets!$A$2:$A$200=AU$1)*(Budgets!$B$2:$B$200&lt;EDATE($A47,1))),Budgets!$C$2:$C$200),0))</f>
        <v/>
      </c>
      <c r="AV47" s="23">
        <f>IF(OR(AV$1="",$BM47=0),"",IFERROR(LOOKUP(2,1/((Budgets!$A$2:$A$200=AV$1)*(Budgets!$B$2:$B$200&lt;EDATE($A47,1))),Budgets!$C$2:$C$200),0))</f>
        <v/>
      </c>
      <c r="AW47" s="23">
        <f>IF(OR(AW$1="",$BM47=0),"",IFERROR(LOOKUP(2,1/((Budgets!$A$2:$A$200=AW$1)*(Budgets!$B$2:$B$200&lt;EDATE($A47,1))),Budgets!$C$2:$C$200),0))</f>
        <v/>
      </c>
      <c r="AX47" s="23">
        <f>IF(OR(AX$1="",$BM47=0),"",IFERROR(LOOKUP(2,1/((Budgets!$A$2:$A$200=AX$1)*(Budgets!$B$2:$B$200&lt;EDATE($A47,1))),Budgets!$C$2:$C$200),0))</f>
        <v/>
      </c>
      <c r="AY47" s="23">
        <f>IF(OR(AY$1="",$BM47=0),"",IFERROR(LOOKUP(2,1/((Budgets!$A$2:$A$200=AY$1)*(Budgets!$B$2:$B$200&lt;EDATE($A47,1))),Budgets!$C$2:$C$200),0))</f>
        <v/>
      </c>
      <c r="AZ47" s="23">
        <f>IF(OR(AZ$1="",$BM47=0),"",IFERROR(LOOKUP(2,1/((Budgets!$A$2:$A$200=AZ$1)*(Budgets!$B$2:$B$200&lt;EDATE($A47,1))),Budgets!$C$2:$C$200),0))</f>
        <v/>
      </c>
      <c r="BA47" s="23">
        <f>IF(OR(BA$1="",$BM47=0),"",IFERROR(LOOKUP(2,1/((Budgets!$A$2:$A$200=BA$1)*(Budgets!$B$2:$B$200&lt;EDATE($A47,1))),Budgets!$C$2:$C$200),0))</f>
        <v/>
      </c>
      <c r="BB47" s="23">
        <f>IF(OR(BB$1="",$BM47=0),"",IFERROR(LOOKUP(2,1/((Budgets!$A$2:$A$200=BB$1)*(Budgets!$B$2:$B$200&lt;EDATE($A47,1))),Budgets!$C$2:$C$200),0))</f>
        <v/>
      </c>
      <c r="BC47" s="23">
        <f>IF(OR(BC$1="",$BM47=0),"",IFERROR(LOOKUP(2,1/((Budgets!$A$2:$A$200=BC$1)*(Budgets!$B$2:$B$200&lt;EDATE($A47,1))),Budgets!$C$2:$C$200),0))</f>
        <v/>
      </c>
      <c r="BD47" s="23">
        <f>IF(OR(BD$1="",$BM47=0),"",IFERROR(LOOKUP(2,1/((Budgets!$A$2:$A$200=BD$1)*(Budgets!$B$2:$B$200&lt;EDATE($A47,1))),Budgets!$C$2:$C$200),0))</f>
        <v/>
      </c>
      <c r="BE47" s="23">
        <f>IF(OR(BE$1="",$BM47=0),"",IFERROR(LOOKUP(2,1/((Budgets!$A$2:$A$200=BE$1)*(Budgets!$B$2:$B$200&lt;EDATE($A47,1))),Budgets!$C$2:$C$200),0))</f>
        <v/>
      </c>
      <c r="BF47" s="23">
        <f>IF(OR(BF$1="",$BM47=0),"",IFERROR(LOOKUP(2,1/((Budgets!$A$2:$A$200=BF$1)*(Budgets!$B$2:$B$200&lt;EDATE($A47,1))),Budgets!$C$2:$C$200),0))</f>
        <v/>
      </c>
      <c r="BG47" s="23">
        <f>IF(OR(BG$1="",$BM47=0),"",IFERROR(LOOKUP(2,1/((Budgets!$A$2:$A$200=BG$1)*(Budgets!$B$2:$B$200&lt;EDATE($A47,1))),Budgets!$C$2:$C$200),0))</f>
        <v/>
      </c>
      <c r="BH47" s="23">
        <f>IF(OR(BH$1="",$BM47=0),"",IFERROR(LOOKUP(2,1/((Budgets!$A$2:$A$200=BH$1)*(Budgets!$B$2:$B$200&lt;EDATE($A47,1))),Budgets!$C$2:$C$200),0))</f>
        <v/>
      </c>
      <c r="BI47" s="23">
        <f>IF(OR(BI$1="",$BM47=0),"",IFERROR(LOOKUP(2,1/((Budgets!$A$2:$A$200=BI$1)*(Budgets!$B$2:$B$200&lt;EDATE($A47,1))),Budgets!$C$2:$C$200),0))</f>
        <v/>
      </c>
      <c r="BJ47" s="23">
        <f>IF(OR(BJ$1="",$BM47=0),"",IFERROR(LOOKUP(2,1/((Budgets!$A$2:$A$200=BJ$1)*(Budgets!$B$2:$B$200&lt;EDATE($A47,1))),Budgets!$C$2:$C$200),0))</f>
        <v/>
      </c>
      <c r="BK47" s="23">
        <f>IF(OR(BK$1="",$BM47=0),"",IFERROR(LOOKUP(2,1/((Budgets!$A$2:$A$200=BK$1)*(Budgets!$B$2:$B$200&lt;EDATE($A47,1))),Budgets!$C$2:$C$200),0))</f>
        <v/>
      </c>
      <c r="BM47" s="21">
        <f>COUNTIFS(Entries!$A$2:$A$5000,"&gt;="&amp;$A47,Entries!$A$2:$A$5000,"&lt;"&amp;EDATE($A47,1))</f>
        <v/>
      </c>
    </row>
    <row r="48">
      <c r="A48" s="22" t="n">
        <v>40848</v>
      </c>
      <c r="B48" s="23">
        <f>IF($BM48=0,NA(),SUMIFS(Entries!$E$2:$E$5000,Entries!$C$2:$C$5000,"Income",Entries!$A$2:$A$5000,"&gt;="&amp;$A48,Entries!$A$2:$A$5000,"&lt;"&amp;EDATE($A48,1)))</f>
        <v/>
      </c>
      <c r="C48" s="23">
        <f>IF($BM48=0,"",SUMIFS(Entries!$E$2:$E$5000,Entries!$C$2:$C$5000,"Actual",Entries!$A$2:$A$5000,"&gt;="&amp;$A48,Entries!$A$2:$A$5000,"&lt;"&amp;EDATE($A48,1)))</f>
        <v/>
      </c>
      <c r="D48" s="23">
        <f>IF($BM48=0,"",SUMIFS(Entries!$E$2:$E$5000,Entries!$C$2:$C$5000,"One-off",Entries!$A$2:$A$5000,"&gt;="&amp;$A48,Entries!$A$2:$A$5000,"&lt;"&amp;EDATE($A48,1)))</f>
        <v/>
      </c>
      <c r="E48" s="23">
        <f>IF($BM48=0,NA(),C48+D48)</f>
        <v/>
      </c>
      <c r="F48" s="23">
        <f>IF($BM48=0,"",SUM(AR48:BK48))</f>
        <v/>
      </c>
      <c r="G48" s="23">
        <f>IF($BM48=0,"",B48-E48)</f>
        <v/>
      </c>
      <c r="H48" s="23">
        <f>IF($BM48=0,"",SUM($G$2:G48))</f>
        <v/>
      </c>
      <c r="I48" s="23">
        <f>IF($BM48=0,"",SUMIFS(Entries!$G$2:$G$5000,Entries!$A$2:$A$5000,"&gt;="&amp;$A48,Entries!$A$2:$A$5000,"&lt;"&amp;EDATE($A48,1)))</f>
        <v/>
      </c>
      <c r="J48" s="23">
        <f>IF($BM48=0,NA(),H48)</f>
        <v/>
      </c>
      <c r="K48" s="23">
        <f>IF($BM48=0,"",SUMIFS(Entries!$E$2:$E$5000,Entries!$C$2:$C$5000,"Income",Entries!$A$2:$A$5000,"&gt;="&amp;EDATE($A48,-11),Entries!$A$2:$A$5000,"&lt;"&amp;EDATE($A48,1))/COUNTIFS($A$2:$A$400,"&gt;="&amp;EDATE($A48,-11),$A$2:$A$400,"&lt;"&amp;EDATE($A48,1),$BM$2:$BM$400,"&gt;0"))</f>
      </c>
      <c r="L48" s="23">
        <f>IF($BM48=0,"",(SUMIFS(Entries!$E$2:$E$5000,Entries!$C$2:$C$5000,"Actual",Entries!$A$2:$A$5000,"&gt;="&amp;EDATE($A48,-11),Entries!$A$2:$A$5000,"&lt;"&amp;EDATE($A48,1))+SUMIFS(Entries!$E$2:$E$5000,Entries!$C$2:$C$5000,"One-off",Entries!$A$2:$A$5000,"&gt;="&amp;EDATE($A48,-11),Entries!$A$2:$A$5000,"&lt;"&amp;EDATE($A48,1)))/COUNTIFS($A$2:$A$400,"&gt;="&amp;EDATE($A48,-11),$A$2:$A$400,"&lt;"&amp;EDATE($A48,1),$BM$2:$BM$400,"&gt;0"))</f>
      </c>
      <c r="M48" s="24">
        <f>IF($BM48=0,NA(),IFERROR((K48-L48)/K48,0))</f>
        <v/>
      </c>
      <c r="N48" s="23">
        <f>IF($BM48=0,NA(),SUMIFS(Entries!$E$2:$E$5000,Entries!$D$2:$D$5000,"Core",Entries!$A$2:$A$5000,"&gt;="&amp;$A48,Entries!$A$2:$A$5000,"&lt;"&amp;EDATE($A48,1)))</f>
        <v/>
      </c>
      <c r="O48" s="23">
        <f>IF($BM48=0,NA(),SUMIFS(Entries!$E$2:$E$5000,Entries!$D$2:$D$5000,"Over &amp; above",Entries!$A$2:$A$5000,"&gt;="&amp;$A48,Entries!$A$2:$A$5000,"&lt;"&amp;EDATE($A48,1)))</f>
        <v/>
      </c>
      <c r="P48" s="23">
        <f>IF($BM48=0,NA(),SUMIFS(Entries!$E$2:$E$5000,Entries!$D$2:$D$5000,"One-off",Entries!$A$2:$A$5000,"&gt;="&amp;$A48,Entries!$A$2:$A$5000,"&lt;"&amp;EDATE($A48,1)))</f>
        <v/>
      </c>
      <c r="Q48" s="23">
        <f>IF($BM48=0,NA(),SUMIFS(Entries!$E$2:$E$5000,Entries!$D$2:$D$5000,"Reimbursable",Entries!$A$2:$A$5000,"&gt;="&amp;$A48,Entries!$A$2:$A$5000,"&lt;"&amp;EDATE($A48,1)))</f>
        <v/>
      </c>
      <c r="R48" s="23">
        <f>IF($BM48=0,NA(),SUMIFS(Entries!$E$2:$E$5000,Entries!$D$2:$D$5000,"Investment",Entries!$A$2:$A$5000,"&gt;="&amp;$A48,Entries!$A$2:$A$5000,"&lt;"&amp;EDATE($A48,1)))</f>
        <v/>
      </c>
      <c r="S48" s="23">
        <f>IF($BM48=0,NA(),N48+O48)</f>
        <v/>
      </c>
      <c r="T48" s="23">
        <f>IF($BM48=0,"",E48-Q48)</f>
        <v/>
      </c>
      <c r="W48" s="23">
        <f>IF(OR(W$1="",$BM48=0),"",SUMIFS(Entries!$E$2:$E$5000,Entries!$C$2:$C$5000,"Actual",Entries!$A$2:$A$5000,"&gt;="&amp;$A48,Entries!$A$2:$A$5000,"&lt;"&amp;EDATE($A48,1),Entries!$B$2:$B$5000,W$1))</f>
        <v/>
      </c>
      <c r="X48" s="23">
        <f>IF(OR(X$1="",$BM48=0),"",SUMIFS(Entries!$E$2:$E$5000,Entries!$C$2:$C$5000,"Actual",Entries!$A$2:$A$5000,"&gt;="&amp;$A48,Entries!$A$2:$A$5000,"&lt;"&amp;EDATE($A48,1),Entries!$B$2:$B$5000,X$1))</f>
        <v/>
      </c>
      <c r="Y48" s="23">
        <f>IF(OR(Y$1="",$BM48=0),"",SUMIFS(Entries!$E$2:$E$5000,Entries!$C$2:$C$5000,"Actual",Entries!$A$2:$A$5000,"&gt;="&amp;$A48,Entries!$A$2:$A$5000,"&lt;"&amp;EDATE($A48,1),Entries!$B$2:$B$5000,Y$1))</f>
        <v/>
      </c>
      <c r="Z48" s="23">
        <f>IF(OR(Z$1="",$BM48=0),"",SUMIFS(Entries!$E$2:$E$5000,Entries!$C$2:$C$5000,"Actual",Entries!$A$2:$A$5000,"&gt;="&amp;$A48,Entries!$A$2:$A$5000,"&lt;"&amp;EDATE($A48,1),Entries!$B$2:$B$5000,Z$1))</f>
        <v/>
      </c>
      <c r="AA48" s="23">
        <f>IF(OR(AA$1="",$BM48=0),"",SUMIFS(Entries!$E$2:$E$5000,Entries!$C$2:$C$5000,"Actual",Entries!$A$2:$A$5000,"&gt;="&amp;$A48,Entries!$A$2:$A$5000,"&lt;"&amp;EDATE($A48,1),Entries!$B$2:$B$5000,AA$1))</f>
        <v/>
      </c>
      <c r="AB48" s="23">
        <f>IF(OR(AB$1="",$BM48=0),"",SUMIFS(Entries!$E$2:$E$5000,Entries!$C$2:$C$5000,"Actual",Entries!$A$2:$A$5000,"&gt;="&amp;$A48,Entries!$A$2:$A$5000,"&lt;"&amp;EDATE($A48,1),Entries!$B$2:$B$5000,AB$1))</f>
        <v/>
      </c>
      <c r="AC48" s="23">
        <f>IF(OR(AC$1="",$BM48=0),"",SUMIFS(Entries!$E$2:$E$5000,Entries!$C$2:$C$5000,"Actual",Entries!$A$2:$A$5000,"&gt;="&amp;$A48,Entries!$A$2:$A$5000,"&lt;"&amp;EDATE($A48,1),Entries!$B$2:$B$5000,AC$1))</f>
        <v/>
      </c>
      <c r="AD48" s="23">
        <f>IF(OR(AD$1="",$BM48=0),"",SUMIFS(Entries!$E$2:$E$5000,Entries!$C$2:$C$5000,"Actual",Entries!$A$2:$A$5000,"&gt;="&amp;$A48,Entries!$A$2:$A$5000,"&lt;"&amp;EDATE($A48,1),Entries!$B$2:$B$5000,AD$1))</f>
        <v/>
      </c>
      <c r="AE48" s="23">
        <f>IF(OR(AE$1="",$BM48=0),"",SUMIFS(Entries!$E$2:$E$5000,Entries!$C$2:$C$5000,"Actual",Entries!$A$2:$A$5000,"&gt;="&amp;$A48,Entries!$A$2:$A$5000,"&lt;"&amp;EDATE($A48,1),Entries!$B$2:$B$5000,AE$1))</f>
        <v/>
      </c>
      <c r="AF48" s="23">
        <f>IF(OR(AF$1="",$BM48=0),"",SUMIFS(Entries!$E$2:$E$5000,Entries!$C$2:$C$5000,"Actual",Entries!$A$2:$A$5000,"&gt;="&amp;$A48,Entries!$A$2:$A$5000,"&lt;"&amp;EDATE($A48,1),Entries!$B$2:$B$5000,AF$1))</f>
        <v/>
      </c>
      <c r="AG48" s="23">
        <f>IF(OR(AG$1="",$BM48=0),"",SUMIFS(Entries!$E$2:$E$5000,Entries!$C$2:$C$5000,"Actual",Entries!$A$2:$A$5000,"&gt;="&amp;$A48,Entries!$A$2:$A$5000,"&lt;"&amp;EDATE($A48,1),Entries!$B$2:$B$5000,AG$1))</f>
        <v/>
      </c>
      <c r="AH48" s="23">
        <f>IF(OR(AH$1="",$BM48=0),"",SUMIFS(Entries!$E$2:$E$5000,Entries!$C$2:$C$5000,"Actual",Entries!$A$2:$A$5000,"&gt;="&amp;$A48,Entries!$A$2:$A$5000,"&lt;"&amp;EDATE($A48,1),Entries!$B$2:$B$5000,AH$1))</f>
        <v/>
      </c>
      <c r="AI48" s="23">
        <f>IF(OR(AI$1="",$BM48=0),"",SUMIFS(Entries!$E$2:$E$5000,Entries!$C$2:$C$5000,"Actual",Entries!$A$2:$A$5000,"&gt;="&amp;$A48,Entries!$A$2:$A$5000,"&lt;"&amp;EDATE($A48,1),Entries!$B$2:$B$5000,AI$1))</f>
        <v/>
      </c>
      <c r="AJ48" s="23">
        <f>IF(OR(AJ$1="",$BM48=0),"",SUMIFS(Entries!$E$2:$E$5000,Entries!$C$2:$C$5000,"Actual",Entries!$A$2:$A$5000,"&gt;="&amp;$A48,Entries!$A$2:$A$5000,"&lt;"&amp;EDATE($A48,1),Entries!$B$2:$B$5000,AJ$1))</f>
        <v/>
      </c>
      <c r="AK48" s="23">
        <f>IF(OR(AK$1="",$BM48=0),"",SUMIFS(Entries!$E$2:$E$5000,Entries!$C$2:$C$5000,"Actual",Entries!$A$2:$A$5000,"&gt;="&amp;$A48,Entries!$A$2:$A$5000,"&lt;"&amp;EDATE($A48,1),Entries!$B$2:$B$5000,AK$1))</f>
        <v/>
      </c>
      <c r="AL48" s="23">
        <f>IF(OR(AL$1="",$BM48=0),"",SUMIFS(Entries!$E$2:$E$5000,Entries!$C$2:$C$5000,"Actual",Entries!$A$2:$A$5000,"&gt;="&amp;$A48,Entries!$A$2:$A$5000,"&lt;"&amp;EDATE($A48,1),Entries!$B$2:$B$5000,AL$1))</f>
        <v/>
      </c>
      <c r="AM48" s="23">
        <f>IF(OR(AM$1="",$BM48=0),"",SUMIFS(Entries!$E$2:$E$5000,Entries!$C$2:$C$5000,"Actual",Entries!$A$2:$A$5000,"&gt;="&amp;$A48,Entries!$A$2:$A$5000,"&lt;"&amp;EDATE($A48,1),Entries!$B$2:$B$5000,AM$1))</f>
        <v/>
      </c>
      <c r="AN48" s="23">
        <f>IF(OR(AN$1="",$BM48=0),"",SUMIFS(Entries!$E$2:$E$5000,Entries!$C$2:$C$5000,"Actual",Entries!$A$2:$A$5000,"&gt;="&amp;$A48,Entries!$A$2:$A$5000,"&lt;"&amp;EDATE($A48,1),Entries!$B$2:$B$5000,AN$1))</f>
        <v/>
      </c>
      <c r="AO48" s="23">
        <f>IF(OR(AO$1="",$BM48=0),"",SUMIFS(Entries!$E$2:$E$5000,Entries!$C$2:$C$5000,"Actual",Entries!$A$2:$A$5000,"&gt;="&amp;$A48,Entries!$A$2:$A$5000,"&lt;"&amp;EDATE($A48,1),Entries!$B$2:$B$5000,AO$1))</f>
        <v/>
      </c>
      <c r="AP48" s="23">
        <f>IF(OR(AP$1="",$BM48=0),"",SUMIFS(Entries!$E$2:$E$5000,Entries!$C$2:$C$5000,"Actual",Entries!$A$2:$A$5000,"&gt;="&amp;$A48,Entries!$A$2:$A$5000,"&lt;"&amp;EDATE($A48,1),Entries!$B$2:$B$5000,AP$1))</f>
        <v/>
      </c>
      <c r="AR48" s="23">
        <f>IF(OR(AR$1="",$BM48=0),"",IFERROR(LOOKUP(2,1/((Budgets!$A$2:$A$200=AR$1)*(Budgets!$B$2:$B$200&lt;EDATE($A48,1))),Budgets!$C$2:$C$200),0))</f>
        <v/>
      </c>
      <c r="AS48" s="23">
        <f>IF(OR(AS$1="",$BM48=0),"",IFERROR(LOOKUP(2,1/((Budgets!$A$2:$A$200=AS$1)*(Budgets!$B$2:$B$200&lt;EDATE($A48,1))),Budgets!$C$2:$C$200),0))</f>
        <v/>
      </c>
      <c r="AT48" s="23">
        <f>IF(OR(AT$1="",$BM48=0),"",IFERROR(LOOKUP(2,1/((Budgets!$A$2:$A$200=AT$1)*(Budgets!$B$2:$B$200&lt;EDATE($A48,1))),Budgets!$C$2:$C$200),0))</f>
        <v/>
      </c>
      <c r="AU48" s="23">
        <f>IF(OR(AU$1="",$BM48=0),"",IFERROR(LOOKUP(2,1/((Budgets!$A$2:$A$200=AU$1)*(Budgets!$B$2:$B$200&lt;EDATE($A48,1))),Budgets!$C$2:$C$200),0))</f>
        <v/>
      </c>
      <c r="AV48" s="23">
        <f>IF(OR(AV$1="",$BM48=0),"",IFERROR(LOOKUP(2,1/((Budgets!$A$2:$A$200=AV$1)*(Budgets!$B$2:$B$200&lt;EDATE($A48,1))),Budgets!$C$2:$C$200),0))</f>
        <v/>
      </c>
      <c r="AW48" s="23">
        <f>IF(OR(AW$1="",$BM48=0),"",IFERROR(LOOKUP(2,1/((Budgets!$A$2:$A$200=AW$1)*(Budgets!$B$2:$B$200&lt;EDATE($A48,1))),Budgets!$C$2:$C$200),0))</f>
        <v/>
      </c>
      <c r="AX48" s="23">
        <f>IF(OR(AX$1="",$BM48=0),"",IFERROR(LOOKUP(2,1/((Budgets!$A$2:$A$200=AX$1)*(Budgets!$B$2:$B$200&lt;EDATE($A48,1))),Budgets!$C$2:$C$200),0))</f>
        <v/>
      </c>
      <c r="AY48" s="23">
        <f>IF(OR(AY$1="",$BM48=0),"",IFERROR(LOOKUP(2,1/((Budgets!$A$2:$A$200=AY$1)*(Budgets!$B$2:$B$200&lt;EDATE($A48,1))),Budgets!$C$2:$C$200),0))</f>
        <v/>
      </c>
      <c r="AZ48" s="23">
        <f>IF(OR(AZ$1="",$BM48=0),"",IFERROR(LOOKUP(2,1/((Budgets!$A$2:$A$200=AZ$1)*(Budgets!$B$2:$B$200&lt;EDATE($A48,1))),Budgets!$C$2:$C$200),0))</f>
        <v/>
      </c>
      <c r="BA48" s="23">
        <f>IF(OR(BA$1="",$BM48=0),"",IFERROR(LOOKUP(2,1/((Budgets!$A$2:$A$200=BA$1)*(Budgets!$B$2:$B$200&lt;EDATE($A48,1))),Budgets!$C$2:$C$200),0))</f>
        <v/>
      </c>
      <c r="BB48" s="23">
        <f>IF(OR(BB$1="",$BM48=0),"",IFERROR(LOOKUP(2,1/((Budgets!$A$2:$A$200=BB$1)*(Budgets!$B$2:$B$200&lt;EDATE($A48,1))),Budgets!$C$2:$C$200),0))</f>
        <v/>
      </c>
      <c r="BC48" s="23">
        <f>IF(OR(BC$1="",$BM48=0),"",IFERROR(LOOKUP(2,1/((Budgets!$A$2:$A$200=BC$1)*(Budgets!$B$2:$B$200&lt;EDATE($A48,1))),Budgets!$C$2:$C$200),0))</f>
        <v/>
      </c>
      <c r="BD48" s="23">
        <f>IF(OR(BD$1="",$BM48=0),"",IFERROR(LOOKUP(2,1/((Budgets!$A$2:$A$200=BD$1)*(Budgets!$B$2:$B$200&lt;EDATE($A48,1))),Budgets!$C$2:$C$200),0))</f>
        <v/>
      </c>
      <c r="BE48" s="23">
        <f>IF(OR(BE$1="",$BM48=0),"",IFERROR(LOOKUP(2,1/((Budgets!$A$2:$A$200=BE$1)*(Budgets!$B$2:$B$200&lt;EDATE($A48,1))),Budgets!$C$2:$C$200),0))</f>
        <v/>
      </c>
      <c r="BF48" s="23">
        <f>IF(OR(BF$1="",$BM48=0),"",IFERROR(LOOKUP(2,1/((Budgets!$A$2:$A$200=BF$1)*(Budgets!$B$2:$B$200&lt;EDATE($A48,1))),Budgets!$C$2:$C$200),0))</f>
        <v/>
      </c>
      <c r="BG48" s="23">
        <f>IF(OR(BG$1="",$BM48=0),"",IFERROR(LOOKUP(2,1/((Budgets!$A$2:$A$200=BG$1)*(Budgets!$B$2:$B$200&lt;EDATE($A48,1))),Budgets!$C$2:$C$200),0))</f>
        <v/>
      </c>
      <c r="BH48" s="23">
        <f>IF(OR(BH$1="",$BM48=0),"",IFERROR(LOOKUP(2,1/((Budgets!$A$2:$A$200=BH$1)*(Budgets!$B$2:$B$200&lt;EDATE($A48,1))),Budgets!$C$2:$C$200),0))</f>
        <v/>
      </c>
      <c r="BI48" s="23">
        <f>IF(OR(BI$1="",$BM48=0),"",IFERROR(LOOKUP(2,1/((Budgets!$A$2:$A$200=BI$1)*(Budgets!$B$2:$B$200&lt;EDATE($A48,1))),Budgets!$C$2:$C$200),0))</f>
        <v/>
      </c>
      <c r="BJ48" s="23">
        <f>IF(OR(BJ$1="",$BM48=0),"",IFERROR(LOOKUP(2,1/((Budgets!$A$2:$A$200=BJ$1)*(Budgets!$B$2:$B$200&lt;EDATE($A48,1))),Budgets!$C$2:$C$200),0))</f>
        <v/>
      </c>
      <c r="BK48" s="23">
        <f>IF(OR(BK$1="",$BM48=0),"",IFERROR(LOOKUP(2,1/((Budgets!$A$2:$A$200=BK$1)*(Budgets!$B$2:$B$200&lt;EDATE($A48,1))),Budgets!$C$2:$C$200),0))</f>
        <v/>
      </c>
      <c r="BM48" s="21">
        <f>COUNTIFS(Entries!$A$2:$A$5000,"&gt;="&amp;$A48,Entries!$A$2:$A$5000,"&lt;"&amp;EDATE($A48,1))</f>
        <v/>
      </c>
    </row>
    <row r="49">
      <c r="A49" s="22" t="n">
        <v>40878</v>
      </c>
      <c r="B49" s="23">
        <f>IF($BM49=0,NA(),SUMIFS(Entries!$E$2:$E$5000,Entries!$C$2:$C$5000,"Income",Entries!$A$2:$A$5000,"&gt;="&amp;$A49,Entries!$A$2:$A$5000,"&lt;"&amp;EDATE($A49,1)))</f>
        <v/>
      </c>
      <c r="C49" s="23">
        <f>IF($BM49=0,"",SUMIFS(Entries!$E$2:$E$5000,Entries!$C$2:$C$5000,"Actual",Entries!$A$2:$A$5000,"&gt;="&amp;$A49,Entries!$A$2:$A$5000,"&lt;"&amp;EDATE($A49,1)))</f>
        <v/>
      </c>
      <c r="D49" s="23">
        <f>IF($BM49=0,"",SUMIFS(Entries!$E$2:$E$5000,Entries!$C$2:$C$5000,"One-off",Entries!$A$2:$A$5000,"&gt;="&amp;$A49,Entries!$A$2:$A$5000,"&lt;"&amp;EDATE($A49,1)))</f>
        <v/>
      </c>
      <c r="E49" s="23">
        <f>IF($BM49=0,NA(),C49+D49)</f>
        <v/>
      </c>
      <c r="F49" s="23">
        <f>IF($BM49=0,"",SUM(AR49:BK49))</f>
        <v/>
      </c>
      <c r="G49" s="23">
        <f>IF($BM49=0,"",B49-E49)</f>
        <v/>
      </c>
      <c r="H49" s="23">
        <f>IF($BM49=0,"",SUM($G$2:G49))</f>
        <v/>
      </c>
      <c r="I49" s="23">
        <f>IF($BM49=0,"",SUMIFS(Entries!$G$2:$G$5000,Entries!$A$2:$A$5000,"&gt;="&amp;$A49,Entries!$A$2:$A$5000,"&lt;"&amp;EDATE($A49,1)))</f>
        <v/>
      </c>
      <c r="J49" s="23">
        <f>IF($BM49=0,NA(),H49)</f>
        <v/>
      </c>
      <c r="K49" s="23">
        <f>IF($BM49=0,"",SUMIFS(Entries!$E$2:$E$5000,Entries!$C$2:$C$5000,"Income",Entries!$A$2:$A$5000,"&gt;="&amp;EDATE($A49,-11),Entries!$A$2:$A$5000,"&lt;"&amp;EDATE($A49,1))/COUNTIFS($A$2:$A$400,"&gt;="&amp;EDATE($A49,-11),$A$2:$A$400,"&lt;"&amp;EDATE($A49,1),$BM$2:$BM$400,"&gt;0"))</f>
      </c>
      <c r="L49" s="23">
        <f>IF($BM49=0,"",(SUMIFS(Entries!$E$2:$E$5000,Entries!$C$2:$C$5000,"Actual",Entries!$A$2:$A$5000,"&gt;="&amp;EDATE($A49,-11),Entries!$A$2:$A$5000,"&lt;"&amp;EDATE($A49,1))+SUMIFS(Entries!$E$2:$E$5000,Entries!$C$2:$C$5000,"One-off",Entries!$A$2:$A$5000,"&gt;="&amp;EDATE($A49,-11),Entries!$A$2:$A$5000,"&lt;"&amp;EDATE($A49,1)))/COUNTIFS($A$2:$A$400,"&gt;="&amp;EDATE($A49,-11),$A$2:$A$400,"&lt;"&amp;EDATE($A49,1),$BM$2:$BM$400,"&gt;0"))</f>
      </c>
      <c r="M49" s="24">
        <f>IF($BM49=0,NA(),IFERROR((K49-L49)/K49,0))</f>
        <v/>
      </c>
      <c r="N49" s="23">
        <f>IF($BM49=0,NA(),SUMIFS(Entries!$E$2:$E$5000,Entries!$D$2:$D$5000,"Core",Entries!$A$2:$A$5000,"&gt;="&amp;$A49,Entries!$A$2:$A$5000,"&lt;"&amp;EDATE($A49,1)))</f>
        <v/>
      </c>
      <c r="O49" s="23">
        <f>IF($BM49=0,NA(),SUMIFS(Entries!$E$2:$E$5000,Entries!$D$2:$D$5000,"Over &amp; above",Entries!$A$2:$A$5000,"&gt;="&amp;$A49,Entries!$A$2:$A$5000,"&lt;"&amp;EDATE($A49,1)))</f>
        <v/>
      </c>
      <c r="P49" s="23">
        <f>IF($BM49=0,NA(),SUMIFS(Entries!$E$2:$E$5000,Entries!$D$2:$D$5000,"One-off",Entries!$A$2:$A$5000,"&gt;="&amp;$A49,Entries!$A$2:$A$5000,"&lt;"&amp;EDATE($A49,1)))</f>
        <v/>
      </c>
      <c r="Q49" s="23">
        <f>IF($BM49=0,NA(),SUMIFS(Entries!$E$2:$E$5000,Entries!$D$2:$D$5000,"Reimbursable",Entries!$A$2:$A$5000,"&gt;="&amp;$A49,Entries!$A$2:$A$5000,"&lt;"&amp;EDATE($A49,1)))</f>
        <v/>
      </c>
      <c r="R49" s="23">
        <f>IF($BM49=0,NA(),SUMIFS(Entries!$E$2:$E$5000,Entries!$D$2:$D$5000,"Investment",Entries!$A$2:$A$5000,"&gt;="&amp;$A49,Entries!$A$2:$A$5000,"&lt;"&amp;EDATE($A49,1)))</f>
        <v/>
      </c>
      <c r="S49" s="23">
        <f>IF($BM49=0,NA(),N49+O49)</f>
        <v/>
      </c>
      <c r="T49" s="23">
        <f>IF($BM49=0,"",E49-Q49)</f>
        <v/>
      </c>
      <c r="W49" s="23">
        <f>IF(OR(W$1="",$BM49=0),"",SUMIFS(Entries!$E$2:$E$5000,Entries!$C$2:$C$5000,"Actual",Entries!$A$2:$A$5000,"&gt;="&amp;$A49,Entries!$A$2:$A$5000,"&lt;"&amp;EDATE($A49,1),Entries!$B$2:$B$5000,W$1))</f>
        <v/>
      </c>
      <c r="X49" s="23">
        <f>IF(OR(X$1="",$BM49=0),"",SUMIFS(Entries!$E$2:$E$5000,Entries!$C$2:$C$5000,"Actual",Entries!$A$2:$A$5000,"&gt;="&amp;$A49,Entries!$A$2:$A$5000,"&lt;"&amp;EDATE($A49,1),Entries!$B$2:$B$5000,X$1))</f>
        <v/>
      </c>
      <c r="Y49" s="23">
        <f>IF(OR(Y$1="",$BM49=0),"",SUMIFS(Entries!$E$2:$E$5000,Entries!$C$2:$C$5000,"Actual",Entries!$A$2:$A$5000,"&gt;="&amp;$A49,Entries!$A$2:$A$5000,"&lt;"&amp;EDATE($A49,1),Entries!$B$2:$B$5000,Y$1))</f>
        <v/>
      </c>
      <c r="Z49" s="23">
        <f>IF(OR(Z$1="",$BM49=0),"",SUMIFS(Entries!$E$2:$E$5000,Entries!$C$2:$C$5000,"Actual",Entries!$A$2:$A$5000,"&gt;="&amp;$A49,Entries!$A$2:$A$5000,"&lt;"&amp;EDATE($A49,1),Entries!$B$2:$B$5000,Z$1))</f>
        <v/>
      </c>
      <c r="AA49" s="23">
        <f>IF(OR(AA$1="",$BM49=0),"",SUMIFS(Entries!$E$2:$E$5000,Entries!$C$2:$C$5000,"Actual",Entries!$A$2:$A$5000,"&gt;="&amp;$A49,Entries!$A$2:$A$5000,"&lt;"&amp;EDATE($A49,1),Entries!$B$2:$B$5000,AA$1))</f>
        <v/>
      </c>
      <c r="AB49" s="23">
        <f>IF(OR(AB$1="",$BM49=0),"",SUMIFS(Entries!$E$2:$E$5000,Entries!$C$2:$C$5000,"Actual",Entries!$A$2:$A$5000,"&gt;="&amp;$A49,Entries!$A$2:$A$5000,"&lt;"&amp;EDATE($A49,1),Entries!$B$2:$B$5000,AB$1))</f>
        <v/>
      </c>
      <c r="AC49" s="23">
        <f>IF(OR(AC$1="",$BM49=0),"",SUMIFS(Entries!$E$2:$E$5000,Entries!$C$2:$C$5000,"Actual",Entries!$A$2:$A$5000,"&gt;="&amp;$A49,Entries!$A$2:$A$5000,"&lt;"&amp;EDATE($A49,1),Entries!$B$2:$B$5000,AC$1))</f>
        <v/>
      </c>
      <c r="AD49" s="23">
        <f>IF(OR(AD$1="",$BM49=0),"",SUMIFS(Entries!$E$2:$E$5000,Entries!$C$2:$C$5000,"Actual",Entries!$A$2:$A$5000,"&gt;="&amp;$A49,Entries!$A$2:$A$5000,"&lt;"&amp;EDATE($A49,1),Entries!$B$2:$B$5000,AD$1))</f>
        <v/>
      </c>
      <c r="AE49" s="23">
        <f>IF(OR(AE$1="",$BM49=0),"",SUMIFS(Entries!$E$2:$E$5000,Entries!$C$2:$C$5000,"Actual",Entries!$A$2:$A$5000,"&gt;="&amp;$A49,Entries!$A$2:$A$5000,"&lt;"&amp;EDATE($A49,1),Entries!$B$2:$B$5000,AE$1))</f>
        <v/>
      </c>
      <c r="AF49" s="23">
        <f>IF(OR(AF$1="",$BM49=0),"",SUMIFS(Entries!$E$2:$E$5000,Entries!$C$2:$C$5000,"Actual",Entries!$A$2:$A$5000,"&gt;="&amp;$A49,Entries!$A$2:$A$5000,"&lt;"&amp;EDATE($A49,1),Entries!$B$2:$B$5000,AF$1))</f>
        <v/>
      </c>
      <c r="AG49" s="23">
        <f>IF(OR(AG$1="",$BM49=0),"",SUMIFS(Entries!$E$2:$E$5000,Entries!$C$2:$C$5000,"Actual",Entries!$A$2:$A$5000,"&gt;="&amp;$A49,Entries!$A$2:$A$5000,"&lt;"&amp;EDATE($A49,1),Entries!$B$2:$B$5000,AG$1))</f>
        <v/>
      </c>
      <c r="AH49" s="23">
        <f>IF(OR(AH$1="",$BM49=0),"",SUMIFS(Entries!$E$2:$E$5000,Entries!$C$2:$C$5000,"Actual",Entries!$A$2:$A$5000,"&gt;="&amp;$A49,Entries!$A$2:$A$5000,"&lt;"&amp;EDATE($A49,1),Entries!$B$2:$B$5000,AH$1))</f>
        <v/>
      </c>
      <c r="AI49" s="23">
        <f>IF(OR(AI$1="",$BM49=0),"",SUMIFS(Entries!$E$2:$E$5000,Entries!$C$2:$C$5000,"Actual",Entries!$A$2:$A$5000,"&gt;="&amp;$A49,Entries!$A$2:$A$5000,"&lt;"&amp;EDATE($A49,1),Entries!$B$2:$B$5000,AI$1))</f>
        <v/>
      </c>
      <c r="AJ49" s="23">
        <f>IF(OR(AJ$1="",$BM49=0),"",SUMIFS(Entries!$E$2:$E$5000,Entries!$C$2:$C$5000,"Actual",Entries!$A$2:$A$5000,"&gt;="&amp;$A49,Entries!$A$2:$A$5000,"&lt;"&amp;EDATE($A49,1),Entries!$B$2:$B$5000,AJ$1))</f>
        <v/>
      </c>
      <c r="AK49" s="23">
        <f>IF(OR(AK$1="",$BM49=0),"",SUMIFS(Entries!$E$2:$E$5000,Entries!$C$2:$C$5000,"Actual",Entries!$A$2:$A$5000,"&gt;="&amp;$A49,Entries!$A$2:$A$5000,"&lt;"&amp;EDATE($A49,1),Entries!$B$2:$B$5000,AK$1))</f>
        <v/>
      </c>
      <c r="AL49" s="23">
        <f>IF(OR(AL$1="",$BM49=0),"",SUMIFS(Entries!$E$2:$E$5000,Entries!$C$2:$C$5000,"Actual",Entries!$A$2:$A$5000,"&gt;="&amp;$A49,Entries!$A$2:$A$5000,"&lt;"&amp;EDATE($A49,1),Entries!$B$2:$B$5000,AL$1))</f>
        <v/>
      </c>
      <c r="AM49" s="23">
        <f>IF(OR(AM$1="",$BM49=0),"",SUMIFS(Entries!$E$2:$E$5000,Entries!$C$2:$C$5000,"Actual",Entries!$A$2:$A$5000,"&gt;="&amp;$A49,Entries!$A$2:$A$5000,"&lt;"&amp;EDATE($A49,1),Entries!$B$2:$B$5000,AM$1))</f>
        <v/>
      </c>
      <c r="AN49" s="23">
        <f>IF(OR(AN$1="",$BM49=0),"",SUMIFS(Entries!$E$2:$E$5000,Entries!$C$2:$C$5000,"Actual",Entries!$A$2:$A$5000,"&gt;="&amp;$A49,Entries!$A$2:$A$5000,"&lt;"&amp;EDATE($A49,1),Entries!$B$2:$B$5000,AN$1))</f>
        <v/>
      </c>
      <c r="AO49" s="23">
        <f>IF(OR(AO$1="",$BM49=0),"",SUMIFS(Entries!$E$2:$E$5000,Entries!$C$2:$C$5000,"Actual",Entries!$A$2:$A$5000,"&gt;="&amp;$A49,Entries!$A$2:$A$5000,"&lt;"&amp;EDATE($A49,1),Entries!$B$2:$B$5000,AO$1))</f>
        <v/>
      </c>
      <c r="AP49" s="23">
        <f>IF(OR(AP$1="",$BM49=0),"",SUMIFS(Entries!$E$2:$E$5000,Entries!$C$2:$C$5000,"Actual",Entries!$A$2:$A$5000,"&gt;="&amp;$A49,Entries!$A$2:$A$5000,"&lt;"&amp;EDATE($A49,1),Entries!$B$2:$B$5000,AP$1))</f>
        <v/>
      </c>
      <c r="AR49" s="23">
        <f>IF(OR(AR$1="",$BM49=0),"",IFERROR(LOOKUP(2,1/((Budgets!$A$2:$A$200=AR$1)*(Budgets!$B$2:$B$200&lt;EDATE($A49,1))),Budgets!$C$2:$C$200),0))</f>
        <v/>
      </c>
      <c r="AS49" s="23">
        <f>IF(OR(AS$1="",$BM49=0),"",IFERROR(LOOKUP(2,1/((Budgets!$A$2:$A$200=AS$1)*(Budgets!$B$2:$B$200&lt;EDATE($A49,1))),Budgets!$C$2:$C$200),0))</f>
        <v/>
      </c>
      <c r="AT49" s="23">
        <f>IF(OR(AT$1="",$BM49=0),"",IFERROR(LOOKUP(2,1/((Budgets!$A$2:$A$200=AT$1)*(Budgets!$B$2:$B$200&lt;EDATE($A49,1))),Budgets!$C$2:$C$200),0))</f>
        <v/>
      </c>
      <c r="AU49" s="23">
        <f>IF(OR(AU$1="",$BM49=0),"",IFERROR(LOOKUP(2,1/((Budgets!$A$2:$A$200=AU$1)*(Budgets!$B$2:$B$200&lt;EDATE($A49,1))),Budgets!$C$2:$C$200),0))</f>
        <v/>
      </c>
      <c r="AV49" s="23">
        <f>IF(OR(AV$1="",$BM49=0),"",IFERROR(LOOKUP(2,1/((Budgets!$A$2:$A$200=AV$1)*(Budgets!$B$2:$B$200&lt;EDATE($A49,1))),Budgets!$C$2:$C$200),0))</f>
        <v/>
      </c>
      <c r="AW49" s="23">
        <f>IF(OR(AW$1="",$BM49=0),"",IFERROR(LOOKUP(2,1/((Budgets!$A$2:$A$200=AW$1)*(Budgets!$B$2:$B$200&lt;EDATE($A49,1))),Budgets!$C$2:$C$200),0))</f>
        <v/>
      </c>
      <c r="AX49" s="23">
        <f>IF(OR(AX$1="",$BM49=0),"",IFERROR(LOOKUP(2,1/((Budgets!$A$2:$A$200=AX$1)*(Budgets!$B$2:$B$200&lt;EDATE($A49,1))),Budgets!$C$2:$C$200),0))</f>
        <v/>
      </c>
      <c r="AY49" s="23">
        <f>IF(OR(AY$1="",$BM49=0),"",IFERROR(LOOKUP(2,1/((Budgets!$A$2:$A$200=AY$1)*(Budgets!$B$2:$B$200&lt;EDATE($A49,1))),Budgets!$C$2:$C$200),0))</f>
        <v/>
      </c>
      <c r="AZ49" s="23">
        <f>IF(OR(AZ$1="",$BM49=0),"",IFERROR(LOOKUP(2,1/((Budgets!$A$2:$A$200=AZ$1)*(Budgets!$B$2:$B$200&lt;EDATE($A49,1))),Budgets!$C$2:$C$200),0))</f>
        <v/>
      </c>
      <c r="BA49" s="23">
        <f>IF(OR(BA$1="",$BM49=0),"",IFERROR(LOOKUP(2,1/((Budgets!$A$2:$A$200=BA$1)*(Budgets!$B$2:$B$200&lt;EDATE($A49,1))),Budgets!$C$2:$C$200),0))</f>
        <v/>
      </c>
      <c r="BB49" s="23">
        <f>IF(OR(BB$1="",$BM49=0),"",IFERROR(LOOKUP(2,1/((Budgets!$A$2:$A$200=BB$1)*(Budgets!$B$2:$B$200&lt;EDATE($A49,1))),Budgets!$C$2:$C$200),0))</f>
        <v/>
      </c>
      <c r="BC49" s="23">
        <f>IF(OR(BC$1="",$BM49=0),"",IFERROR(LOOKUP(2,1/((Budgets!$A$2:$A$200=BC$1)*(Budgets!$B$2:$B$200&lt;EDATE($A49,1))),Budgets!$C$2:$C$200),0))</f>
        <v/>
      </c>
      <c r="BD49" s="23">
        <f>IF(OR(BD$1="",$BM49=0),"",IFERROR(LOOKUP(2,1/((Budgets!$A$2:$A$200=BD$1)*(Budgets!$B$2:$B$200&lt;EDATE($A49,1))),Budgets!$C$2:$C$200),0))</f>
        <v/>
      </c>
      <c r="BE49" s="23">
        <f>IF(OR(BE$1="",$BM49=0),"",IFERROR(LOOKUP(2,1/((Budgets!$A$2:$A$200=BE$1)*(Budgets!$B$2:$B$200&lt;EDATE($A49,1))),Budgets!$C$2:$C$200),0))</f>
        <v/>
      </c>
      <c r="BF49" s="23">
        <f>IF(OR(BF$1="",$BM49=0),"",IFERROR(LOOKUP(2,1/((Budgets!$A$2:$A$200=BF$1)*(Budgets!$B$2:$B$200&lt;EDATE($A49,1))),Budgets!$C$2:$C$200),0))</f>
        <v/>
      </c>
      <c r="BG49" s="23">
        <f>IF(OR(BG$1="",$BM49=0),"",IFERROR(LOOKUP(2,1/((Budgets!$A$2:$A$200=BG$1)*(Budgets!$B$2:$B$200&lt;EDATE($A49,1))),Budgets!$C$2:$C$200),0))</f>
        <v/>
      </c>
      <c r="BH49" s="23">
        <f>IF(OR(BH$1="",$BM49=0),"",IFERROR(LOOKUP(2,1/((Budgets!$A$2:$A$200=BH$1)*(Budgets!$B$2:$B$200&lt;EDATE($A49,1))),Budgets!$C$2:$C$200),0))</f>
        <v/>
      </c>
      <c r="BI49" s="23">
        <f>IF(OR(BI$1="",$BM49=0),"",IFERROR(LOOKUP(2,1/((Budgets!$A$2:$A$200=BI$1)*(Budgets!$B$2:$B$200&lt;EDATE($A49,1))),Budgets!$C$2:$C$200),0))</f>
        <v/>
      </c>
      <c r="BJ49" s="23">
        <f>IF(OR(BJ$1="",$BM49=0),"",IFERROR(LOOKUP(2,1/((Budgets!$A$2:$A$200=BJ$1)*(Budgets!$B$2:$B$200&lt;EDATE($A49,1))),Budgets!$C$2:$C$200),0))</f>
        <v/>
      </c>
      <c r="BK49" s="23">
        <f>IF(OR(BK$1="",$BM49=0),"",IFERROR(LOOKUP(2,1/((Budgets!$A$2:$A$200=BK$1)*(Budgets!$B$2:$B$200&lt;EDATE($A49,1))),Budgets!$C$2:$C$200),0))</f>
        <v/>
      </c>
      <c r="BM49" s="21">
        <f>COUNTIFS(Entries!$A$2:$A$5000,"&gt;="&amp;$A49,Entries!$A$2:$A$5000,"&lt;"&amp;EDATE($A49,1))</f>
        <v/>
      </c>
    </row>
    <row r="50">
      <c r="A50" s="22" t="n">
        <v>40909</v>
      </c>
      <c r="B50" s="23">
        <f>IF($BM50=0,NA(),SUMIFS(Entries!$E$2:$E$5000,Entries!$C$2:$C$5000,"Income",Entries!$A$2:$A$5000,"&gt;="&amp;$A50,Entries!$A$2:$A$5000,"&lt;"&amp;EDATE($A50,1)))</f>
        <v/>
      </c>
      <c r="C50" s="23">
        <f>IF($BM50=0,"",SUMIFS(Entries!$E$2:$E$5000,Entries!$C$2:$C$5000,"Actual",Entries!$A$2:$A$5000,"&gt;="&amp;$A50,Entries!$A$2:$A$5000,"&lt;"&amp;EDATE($A50,1)))</f>
        <v/>
      </c>
      <c r="D50" s="23">
        <f>IF($BM50=0,"",SUMIFS(Entries!$E$2:$E$5000,Entries!$C$2:$C$5000,"One-off",Entries!$A$2:$A$5000,"&gt;="&amp;$A50,Entries!$A$2:$A$5000,"&lt;"&amp;EDATE($A50,1)))</f>
        <v/>
      </c>
      <c r="E50" s="23">
        <f>IF($BM50=0,NA(),C50+D50)</f>
        <v/>
      </c>
      <c r="F50" s="23">
        <f>IF($BM50=0,"",SUM(AR50:BK50))</f>
        <v/>
      </c>
      <c r="G50" s="23">
        <f>IF($BM50=0,"",B50-E50)</f>
        <v/>
      </c>
      <c r="H50" s="23">
        <f>IF($BM50=0,"",SUM($G$2:G50))</f>
        <v/>
      </c>
      <c r="I50" s="23">
        <f>IF($BM50=0,"",SUMIFS(Entries!$G$2:$G$5000,Entries!$A$2:$A$5000,"&gt;="&amp;$A50,Entries!$A$2:$A$5000,"&lt;"&amp;EDATE($A50,1)))</f>
        <v/>
      </c>
      <c r="J50" s="23">
        <f>IF($BM50=0,NA(),H50)</f>
        <v/>
      </c>
      <c r="K50" s="23">
        <f>IF($BM50=0,"",SUMIFS(Entries!$E$2:$E$5000,Entries!$C$2:$C$5000,"Income",Entries!$A$2:$A$5000,"&gt;="&amp;EDATE($A50,-11),Entries!$A$2:$A$5000,"&lt;"&amp;EDATE($A50,1))/COUNTIFS($A$2:$A$400,"&gt;="&amp;EDATE($A50,-11),$A$2:$A$400,"&lt;"&amp;EDATE($A50,1),$BM$2:$BM$400,"&gt;0"))</f>
      </c>
      <c r="L50" s="23">
        <f>IF($BM50=0,"",(SUMIFS(Entries!$E$2:$E$5000,Entries!$C$2:$C$5000,"Actual",Entries!$A$2:$A$5000,"&gt;="&amp;EDATE($A50,-11),Entries!$A$2:$A$5000,"&lt;"&amp;EDATE($A50,1))+SUMIFS(Entries!$E$2:$E$5000,Entries!$C$2:$C$5000,"One-off",Entries!$A$2:$A$5000,"&gt;="&amp;EDATE($A50,-11),Entries!$A$2:$A$5000,"&lt;"&amp;EDATE($A50,1)))/COUNTIFS($A$2:$A$400,"&gt;="&amp;EDATE($A50,-11),$A$2:$A$400,"&lt;"&amp;EDATE($A50,1),$BM$2:$BM$400,"&gt;0"))</f>
      </c>
      <c r="M50" s="24">
        <f>IF($BM50=0,NA(),IFERROR((K50-L50)/K50,0))</f>
        <v/>
      </c>
      <c r="N50" s="23">
        <f>IF($BM50=0,NA(),SUMIFS(Entries!$E$2:$E$5000,Entries!$D$2:$D$5000,"Core",Entries!$A$2:$A$5000,"&gt;="&amp;$A50,Entries!$A$2:$A$5000,"&lt;"&amp;EDATE($A50,1)))</f>
        <v/>
      </c>
      <c r="O50" s="23">
        <f>IF($BM50=0,NA(),SUMIFS(Entries!$E$2:$E$5000,Entries!$D$2:$D$5000,"Over &amp; above",Entries!$A$2:$A$5000,"&gt;="&amp;$A50,Entries!$A$2:$A$5000,"&lt;"&amp;EDATE($A50,1)))</f>
        <v/>
      </c>
      <c r="P50" s="23">
        <f>IF($BM50=0,NA(),SUMIFS(Entries!$E$2:$E$5000,Entries!$D$2:$D$5000,"One-off",Entries!$A$2:$A$5000,"&gt;="&amp;$A50,Entries!$A$2:$A$5000,"&lt;"&amp;EDATE($A50,1)))</f>
        <v/>
      </c>
      <c r="Q50" s="23">
        <f>IF($BM50=0,NA(),SUMIFS(Entries!$E$2:$E$5000,Entries!$D$2:$D$5000,"Reimbursable",Entries!$A$2:$A$5000,"&gt;="&amp;$A50,Entries!$A$2:$A$5000,"&lt;"&amp;EDATE($A50,1)))</f>
        <v/>
      </c>
      <c r="R50" s="23">
        <f>IF($BM50=0,NA(),SUMIFS(Entries!$E$2:$E$5000,Entries!$D$2:$D$5000,"Investment",Entries!$A$2:$A$5000,"&gt;="&amp;$A50,Entries!$A$2:$A$5000,"&lt;"&amp;EDATE($A50,1)))</f>
        <v/>
      </c>
      <c r="S50" s="23">
        <f>IF($BM50=0,NA(),N50+O50)</f>
        <v/>
      </c>
      <c r="T50" s="23">
        <f>IF($BM50=0,"",E50-Q50)</f>
        <v/>
      </c>
      <c r="W50" s="23">
        <f>IF(OR(W$1="",$BM50=0),"",SUMIFS(Entries!$E$2:$E$5000,Entries!$C$2:$C$5000,"Actual",Entries!$A$2:$A$5000,"&gt;="&amp;$A50,Entries!$A$2:$A$5000,"&lt;"&amp;EDATE($A50,1),Entries!$B$2:$B$5000,W$1))</f>
        <v/>
      </c>
      <c r="X50" s="23">
        <f>IF(OR(X$1="",$BM50=0),"",SUMIFS(Entries!$E$2:$E$5000,Entries!$C$2:$C$5000,"Actual",Entries!$A$2:$A$5000,"&gt;="&amp;$A50,Entries!$A$2:$A$5000,"&lt;"&amp;EDATE($A50,1),Entries!$B$2:$B$5000,X$1))</f>
        <v/>
      </c>
      <c r="Y50" s="23">
        <f>IF(OR(Y$1="",$BM50=0),"",SUMIFS(Entries!$E$2:$E$5000,Entries!$C$2:$C$5000,"Actual",Entries!$A$2:$A$5000,"&gt;="&amp;$A50,Entries!$A$2:$A$5000,"&lt;"&amp;EDATE($A50,1),Entries!$B$2:$B$5000,Y$1))</f>
        <v/>
      </c>
      <c r="Z50" s="23">
        <f>IF(OR(Z$1="",$BM50=0),"",SUMIFS(Entries!$E$2:$E$5000,Entries!$C$2:$C$5000,"Actual",Entries!$A$2:$A$5000,"&gt;="&amp;$A50,Entries!$A$2:$A$5000,"&lt;"&amp;EDATE($A50,1),Entries!$B$2:$B$5000,Z$1))</f>
        <v/>
      </c>
      <c r="AA50" s="23">
        <f>IF(OR(AA$1="",$BM50=0),"",SUMIFS(Entries!$E$2:$E$5000,Entries!$C$2:$C$5000,"Actual",Entries!$A$2:$A$5000,"&gt;="&amp;$A50,Entries!$A$2:$A$5000,"&lt;"&amp;EDATE($A50,1),Entries!$B$2:$B$5000,AA$1))</f>
        <v/>
      </c>
      <c r="AB50" s="23">
        <f>IF(OR(AB$1="",$BM50=0),"",SUMIFS(Entries!$E$2:$E$5000,Entries!$C$2:$C$5000,"Actual",Entries!$A$2:$A$5000,"&gt;="&amp;$A50,Entries!$A$2:$A$5000,"&lt;"&amp;EDATE($A50,1),Entries!$B$2:$B$5000,AB$1))</f>
        <v/>
      </c>
      <c r="AC50" s="23">
        <f>IF(OR(AC$1="",$BM50=0),"",SUMIFS(Entries!$E$2:$E$5000,Entries!$C$2:$C$5000,"Actual",Entries!$A$2:$A$5000,"&gt;="&amp;$A50,Entries!$A$2:$A$5000,"&lt;"&amp;EDATE($A50,1),Entries!$B$2:$B$5000,AC$1))</f>
        <v/>
      </c>
      <c r="AD50" s="23">
        <f>IF(OR(AD$1="",$BM50=0),"",SUMIFS(Entries!$E$2:$E$5000,Entries!$C$2:$C$5000,"Actual",Entries!$A$2:$A$5000,"&gt;="&amp;$A50,Entries!$A$2:$A$5000,"&lt;"&amp;EDATE($A50,1),Entries!$B$2:$B$5000,AD$1))</f>
        <v/>
      </c>
      <c r="AE50" s="23">
        <f>IF(OR(AE$1="",$BM50=0),"",SUMIFS(Entries!$E$2:$E$5000,Entries!$C$2:$C$5000,"Actual",Entries!$A$2:$A$5000,"&gt;="&amp;$A50,Entries!$A$2:$A$5000,"&lt;"&amp;EDATE($A50,1),Entries!$B$2:$B$5000,AE$1))</f>
        <v/>
      </c>
      <c r="AF50" s="23">
        <f>IF(OR(AF$1="",$BM50=0),"",SUMIFS(Entries!$E$2:$E$5000,Entries!$C$2:$C$5000,"Actual",Entries!$A$2:$A$5000,"&gt;="&amp;$A50,Entries!$A$2:$A$5000,"&lt;"&amp;EDATE($A50,1),Entries!$B$2:$B$5000,AF$1))</f>
        <v/>
      </c>
      <c r="AG50" s="23">
        <f>IF(OR(AG$1="",$BM50=0),"",SUMIFS(Entries!$E$2:$E$5000,Entries!$C$2:$C$5000,"Actual",Entries!$A$2:$A$5000,"&gt;="&amp;$A50,Entries!$A$2:$A$5000,"&lt;"&amp;EDATE($A50,1),Entries!$B$2:$B$5000,AG$1))</f>
        <v/>
      </c>
      <c r="AH50" s="23">
        <f>IF(OR(AH$1="",$BM50=0),"",SUMIFS(Entries!$E$2:$E$5000,Entries!$C$2:$C$5000,"Actual",Entries!$A$2:$A$5000,"&gt;="&amp;$A50,Entries!$A$2:$A$5000,"&lt;"&amp;EDATE($A50,1),Entries!$B$2:$B$5000,AH$1))</f>
        <v/>
      </c>
      <c r="AI50" s="23">
        <f>IF(OR(AI$1="",$BM50=0),"",SUMIFS(Entries!$E$2:$E$5000,Entries!$C$2:$C$5000,"Actual",Entries!$A$2:$A$5000,"&gt;="&amp;$A50,Entries!$A$2:$A$5000,"&lt;"&amp;EDATE($A50,1),Entries!$B$2:$B$5000,AI$1))</f>
        <v/>
      </c>
      <c r="AJ50" s="23">
        <f>IF(OR(AJ$1="",$BM50=0),"",SUMIFS(Entries!$E$2:$E$5000,Entries!$C$2:$C$5000,"Actual",Entries!$A$2:$A$5000,"&gt;="&amp;$A50,Entries!$A$2:$A$5000,"&lt;"&amp;EDATE($A50,1),Entries!$B$2:$B$5000,AJ$1))</f>
        <v/>
      </c>
      <c r="AK50" s="23">
        <f>IF(OR(AK$1="",$BM50=0),"",SUMIFS(Entries!$E$2:$E$5000,Entries!$C$2:$C$5000,"Actual",Entries!$A$2:$A$5000,"&gt;="&amp;$A50,Entries!$A$2:$A$5000,"&lt;"&amp;EDATE($A50,1),Entries!$B$2:$B$5000,AK$1))</f>
        <v/>
      </c>
      <c r="AL50" s="23">
        <f>IF(OR(AL$1="",$BM50=0),"",SUMIFS(Entries!$E$2:$E$5000,Entries!$C$2:$C$5000,"Actual",Entries!$A$2:$A$5000,"&gt;="&amp;$A50,Entries!$A$2:$A$5000,"&lt;"&amp;EDATE($A50,1),Entries!$B$2:$B$5000,AL$1))</f>
        <v/>
      </c>
      <c r="AM50" s="23">
        <f>IF(OR(AM$1="",$BM50=0),"",SUMIFS(Entries!$E$2:$E$5000,Entries!$C$2:$C$5000,"Actual",Entries!$A$2:$A$5000,"&gt;="&amp;$A50,Entries!$A$2:$A$5000,"&lt;"&amp;EDATE($A50,1),Entries!$B$2:$B$5000,AM$1))</f>
        <v/>
      </c>
      <c r="AN50" s="23">
        <f>IF(OR(AN$1="",$BM50=0),"",SUMIFS(Entries!$E$2:$E$5000,Entries!$C$2:$C$5000,"Actual",Entries!$A$2:$A$5000,"&gt;="&amp;$A50,Entries!$A$2:$A$5000,"&lt;"&amp;EDATE($A50,1),Entries!$B$2:$B$5000,AN$1))</f>
        <v/>
      </c>
      <c r="AO50" s="23">
        <f>IF(OR(AO$1="",$BM50=0),"",SUMIFS(Entries!$E$2:$E$5000,Entries!$C$2:$C$5000,"Actual",Entries!$A$2:$A$5000,"&gt;="&amp;$A50,Entries!$A$2:$A$5000,"&lt;"&amp;EDATE($A50,1),Entries!$B$2:$B$5000,AO$1))</f>
        <v/>
      </c>
      <c r="AP50" s="23">
        <f>IF(OR(AP$1="",$BM50=0),"",SUMIFS(Entries!$E$2:$E$5000,Entries!$C$2:$C$5000,"Actual",Entries!$A$2:$A$5000,"&gt;="&amp;$A50,Entries!$A$2:$A$5000,"&lt;"&amp;EDATE($A50,1),Entries!$B$2:$B$5000,AP$1))</f>
        <v/>
      </c>
      <c r="AR50" s="23">
        <f>IF(OR(AR$1="",$BM50=0),"",IFERROR(LOOKUP(2,1/((Budgets!$A$2:$A$200=AR$1)*(Budgets!$B$2:$B$200&lt;EDATE($A50,1))),Budgets!$C$2:$C$200),0))</f>
        <v/>
      </c>
      <c r="AS50" s="23">
        <f>IF(OR(AS$1="",$BM50=0),"",IFERROR(LOOKUP(2,1/((Budgets!$A$2:$A$200=AS$1)*(Budgets!$B$2:$B$200&lt;EDATE($A50,1))),Budgets!$C$2:$C$200),0))</f>
        <v/>
      </c>
      <c r="AT50" s="23">
        <f>IF(OR(AT$1="",$BM50=0),"",IFERROR(LOOKUP(2,1/((Budgets!$A$2:$A$200=AT$1)*(Budgets!$B$2:$B$200&lt;EDATE($A50,1))),Budgets!$C$2:$C$200),0))</f>
        <v/>
      </c>
      <c r="AU50" s="23">
        <f>IF(OR(AU$1="",$BM50=0),"",IFERROR(LOOKUP(2,1/((Budgets!$A$2:$A$200=AU$1)*(Budgets!$B$2:$B$200&lt;EDATE($A50,1))),Budgets!$C$2:$C$200),0))</f>
        <v/>
      </c>
      <c r="AV50" s="23">
        <f>IF(OR(AV$1="",$BM50=0),"",IFERROR(LOOKUP(2,1/((Budgets!$A$2:$A$200=AV$1)*(Budgets!$B$2:$B$200&lt;EDATE($A50,1))),Budgets!$C$2:$C$200),0))</f>
        <v/>
      </c>
      <c r="AW50" s="23">
        <f>IF(OR(AW$1="",$BM50=0),"",IFERROR(LOOKUP(2,1/((Budgets!$A$2:$A$200=AW$1)*(Budgets!$B$2:$B$200&lt;EDATE($A50,1))),Budgets!$C$2:$C$200),0))</f>
        <v/>
      </c>
      <c r="AX50" s="23">
        <f>IF(OR(AX$1="",$BM50=0),"",IFERROR(LOOKUP(2,1/((Budgets!$A$2:$A$200=AX$1)*(Budgets!$B$2:$B$200&lt;EDATE($A50,1))),Budgets!$C$2:$C$200),0))</f>
        <v/>
      </c>
      <c r="AY50" s="23">
        <f>IF(OR(AY$1="",$BM50=0),"",IFERROR(LOOKUP(2,1/((Budgets!$A$2:$A$200=AY$1)*(Budgets!$B$2:$B$200&lt;EDATE($A50,1))),Budgets!$C$2:$C$200),0))</f>
        <v/>
      </c>
      <c r="AZ50" s="23">
        <f>IF(OR(AZ$1="",$BM50=0),"",IFERROR(LOOKUP(2,1/((Budgets!$A$2:$A$200=AZ$1)*(Budgets!$B$2:$B$200&lt;EDATE($A50,1))),Budgets!$C$2:$C$200),0))</f>
        <v/>
      </c>
      <c r="BA50" s="23">
        <f>IF(OR(BA$1="",$BM50=0),"",IFERROR(LOOKUP(2,1/((Budgets!$A$2:$A$200=BA$1)*(Budgets!$B$2:$B$200&lt;EDATE($A50,1))),Budgets!$C$2:$C$200),0))</f>
        <v/>
      </c>
      <c r="BB50" s="23">
        <f>IF(OR(BB$1="",$BM50=0),"",IFERROR(LOOKUP(2,1/((Budgets!$A$2:$A$200=BB$1)*(Budgets!$B$2:$B$200&lt;EDATE($A50,1))),Budgets!$C$2:$C$200),0))</f>
        <v/>
      </c>
      <c r="BC50" s="23">
        <f>IF(OR(BC$1="",$BM50=0),"",IFERROR(LOOKUP(2,1/((Budgets!$A$2:$A$200=BC$1)*(Budgets!$B$2:$B$200&lt;EDATE($A50,1))),Budgets!$C$2:$C$200),0))</f>
        <v/>
      </c>
      <c r="BD50" s="23">
        <f>IF(OR(BD$1="",$BM50=0),"",IFERROR(LOOKUP(2,1/((Budgets!$A$2:$A$200=BD$1)*(Budgets!$B$2:$B$200&lt;EDATE($A50,1))),Budgets!$C$2:$C$200),0))</f>
        <v/>
      </c>
      <c r="BE50" s="23">
        <f>IF(OR(BE$1="",$BM50=0),"",IFERROR(LOOKUP(2,1/((Budgets!$A$2:$A$200=BE$1)*(Budgets!$B$2:$B$200&lt;EDATE($A50,1))),Budgets!$C$2:$C$200),0))</f>
        <v/>
      </c>
      <c r="BF50" s="23">
        <f>IF(OR(BF$1="",$BM50=0),"",IFERROR(LOOKUP(2,1/((Budgets!$A$2:$A$200=BF$1)*(Budgets!$B$2:$B$200&lt;EDATE($A50,1))),Budgets!$C$2:$C$200),0))</f>
        <v/>
      </c>
      <c r="BG50" s="23">
        <f>IF(OR(BG$1="",$BM50=0),"",IFERROR(LOOKUP(2,1/((Budgets!$A$2:$A$200=BG$1)*(Budgets!$B$2:$B$200&lt;EDATE($A50,1))),Budgets!$C$2:$C$200),0))</f>
        <v/>
      </c>
      <c r="BH50" s="23">
        <f>IF(OR(BH$1="",$BM50=0),"",IFERROR(LOOKUP(2,1/((Budgets!$A$2:$A$200=BH$1)*(Budgets!$B$2:$B$200&lt;EDATE($A50,1))),Budgets!$C$2:$C$200),0))</f>
        <v/>
      </c>
      <c r="BI50" s="23">
        <f>IF(OR(BI$1="",$BM50=0),"",IFERROR(LOOKUP(2,1/((Budgets!$A$2:$A$200=BI$1)*(Budgets!$B$2:$B$200&lt;EDATE($A50,1))),Budgets!$C$2:$C$200),0))</f>
        <v/>
      </c>
      <c r="BJ50" s="23">
        <f>IF(OR(BJ$1="",$BM50=0),"",IFERROR(LOOKUP(2,1/((Budgets!$A$2:$A$200=BJ$1)*(Budgets!$B$2:$B$200&lt;EDATE($A50,1))),Budgets!$C$2:$C$200),0))</f>
        <v/>
      </c>
      <c r="BK50" s="23">
        <f>IF(OR(BK$1="",$BM50=0),"",IFERROR(LOOKUP(2,1/((Budgets!$A$2:$A$200=BK$1)*(Budgets!$B$2:$B$200&lt;EDATE($A50,1))),Budgets!$C$2:$C$200),0))</f>
        <v/>
      </c>
      <c r="BM50" s="21">
        <f>COUNTIFS(Entries!$A$2:$A$5000,"&gt;="&amp;$A50,Entries!$A$2:$A$5000,"&lt;"&amp;EDATE($A50,1))</f>
        <v/>
      </c>
    </row>
    <row r="51">
      <c r="A51" s="22" t="n">
        <v>40940</v>
      </c>
      <c r="B51" s="23">
        <f>IF($BM51=0,NA(),SUMIFS(Entries!$E$2:$E$5000,Entries!$C$2:$C$5000,"Income",Entries!$A$2:$A$5000,"&gt;="&amp;$A51,Entries!$A$2:$A$5000,"&lt;"&amp;EDATE($A51,1)))</f>
        <v/>
      </c>
      <c r="C51" s="23">
        <f>IF($BM51=0,"",SUMIFS(Entries!$E$2:$E$5000,Entries!$C$2:$C$5000,"Actual",Entries!$A$2:$A$5000,"&gt;="&amp;$A51,Entries!$A$2:$A$5000,"&lt;"&amp;EDATE($A51,1)))</f>
        <v/>
      </c>
      <c r="D51" s="23">
        <f>IF($BM51=0,"",SUMIFS(Entries!$E$2:$E$5000,Entries!$C$2:$C$5000,"One-off",Entries!$A$2:$A$5000,"&gt;="&amp;$A51,Entries!$A$2:$A$5000,"&lt;"&amp;EDATE($A51,1)))</f>
        <v/>
      </c>
      <c r="E51" s="23">
        <f>IF($BM51=0,NA(),C51+D51)</f>
        <v/>
      </c>
      <c r="F51" s="23">
        <f>IF($BM51=0,"",SUM(AR51:BK51))</f>
        <v/>
      </c>
      <c r="G51" s="23">
        <f>IF($BM51=0,"",B51-E51)</f>
        <v/>
      </c>
      <c r="H51" s="23">
        <f>IF($BM51=0,"",SUM($G$2:G51))</f>
        <v/>
      </c>
      <c r="I51" s="23">
        <f>IF($BM51=0,"",SUMIFS(Entries!$G$2:$G$5000,Entries!$A$2:$A$5000,"&gt;="&amp;$A51,Entries!$A$2:$A$5000,"&lt;"&amp;EDATE($A51,1)))</f>
        <v/>
      </c>
      <c r="J51" s="23">
        <f>IF($BM51=0,NA(),H51)</f>
        <v/>
      </c>
      <c r="K51" s="23">
        <f>IF($BM51=0,"",SUMIFS(Entries!$E$2:$E$5000,Entries!$C$2:$C$5000,"Income",Entries!$A$2:$A$5000,"&gt;="&amp;EDATE($A51,-11),Entries!$A$2:$A$5000,"&lt;"&amp;EDATE($A51,1))/COUNTIFS($A$2:$A$400,"&gt;="&amp;EDATE($A51,-11),$A$2:$A$400,"&lt;"&amp;EDATE($A51,1),$BM$2:$BM$400,"&gt;0"))</f>
      </c>
      <c r="L51" s="23">
        <f>IF($BM51=0,"",(SUMIFS(Entries!$E$2:$E$5000,Entries!$C$2:$C$5000,"Actual",Entries!$A$2:$A$5000,"&gt;="&amp;EDATE($A51,-11),Entries!$A$2:$A$5000,"&lt;"&amp;EDATE($A51,1))+SUMIFS(Entries!$E$2:$E$5000,Entries!$C$2:$C$5000,"One-off",Entries!$A$2:$A$5000,"&gt;="&amp;EDATE($A51,-11),Entries!$A$2:$A$5000,"&lt;"&amp;EDATE($A51,1)))/COUNTIFS($A$2:$A$400,"&gt;="&amp;EDATE($A51,-11),$A$2:$A$400,"&lt;"&amp;EDATE($A51,1),$BM$2:$BM$400,"&gt;0"))</f>
      </c>
      <c r="M51" s="24">
        <f>IF($BM51=0,NA(),IFERROR((K51-L51)/K51,0))</f>
        <v/>
      </c>
      <c r="N51" s="23">
        <f>IF($BM51=0,NA(),SUMIFS(Entries!$E$2:$E$5000,Entries!$D$2:$D$5000,"Core",Entries!$A$2:$A$5000,"&gt;="&amp;$A51,Entries!$A$2:$A$5000,"&lt;"&amp;EDATE($A51,1)))</f>
        <v/>
      </c>
      <c r="O51" s="23">
        <f>IF($BM51=0,NA(),SUMIFS(Entries!$E$2:$E$5000,Entries!$D$2:$D$5000,"Over &amp; above",Entries!$A$2:$A$5000,"&gt;="&amp;$A51,Entries!$A$2:$A$5000,"&lt;"&amp;EDATE($A51,1)))</f>
        <v/>
      </c>
      <c r="P51" s="23">
        <f>IF($BM51=0,NA(),SUMIFS(Entries!$E$2:$E$5000,Entries!$D$2:$D$5000,"One-off",Entries!$A$2:$A$5000,"&gt;="&amp;$A51,Entries!$A$2:$A$5000,"&lt;"&amp;EDATE($A51,1)))</f>
        <v/>
      </c>
      <c r="Q51" s="23">
        <f>IF($BM51=0,NA(),SUMIFS(Entries!$E$2:$E$5000,Entries!$D$2:$D$5000,"Reimbursable",Entries!$A$2:$A$5000,"&gt;="&amp;$A51,Entries!$A$2:$A$5000,"&lt;"&amp;EDATE($A51,1)))</f>
        <v/>
      </c>
      <c r="R51" s="23">
        <f>IF($BM51=0,NA(),SUMIFS(Entries!$E$2:$E$5000,Entries!$D$2:$D$5000,"Investment",Entries!$A$2:$A$5000,"&gt;="&amp;$A51,Entries!$A$2:$A$5000,"&lt;"&amp;EDATE($A51,1)))</f>
        <v/>
      </c>
      <c r="S51" s="23">
        <f>IF($BM51=0,NA(),N51+O51)</f>
        <v/>
      </c>
      <c r="T51" s="23">
        <f>IF($BM51=0,"",E51-Q51)</f>
        <v/>
      </c>
      <c r="W51" s="23">
        <f>IF(OR(W$1="",$BM51=0),"",SUMIFS(Entries!$E$2:$E$5000,Entries!$C$2:$C$5000,"Actual",Entries!$A$2:$A$5000,"&gt;="&amp;$A51,Entries!$A$2:$A$5000,"&lt;"&amp;EDATE($A51,1),Entries!$B$2:$B$5000,W$1))</f>
        <v/>
      </c>
      <c r="X51" s="23">
        <f>IF(OR(X$1="",$BM51=0),"",SUMIFS(Entries!$E$2:$E$5000,Entries!$C$2:$C$5000,"Actual",Entries!$A$2:$A$5000,"&gt;="&amp;$A51,Entries!$A$2:$A$5000,"&lt;"&amp;EDATE($A51,1),Entries!$B$2:$B$5000,X$1))</f>
        <v/>
      </c>
      <c r="Y51" s="23">
        <f>IF(OR(Y$1="",$BM51=0),"",SUMIFS(Entries!$E$2:$E$5000,Entries!$C$2:$C$5000,"Actual",Entries!$A$2:$A$5000,"&gt;="&amp;$A51,Entries!$A$2:$A$5000,"&lt;"&amp;EDATE($A51,1),Entries!$B$2:$B$5000,Y$1))</f>
        <v/>
      </c>
      <c r="Z51" s="23">
        <f>IF(OR(Z$1="",$BM51=0),"",SUMIFS(Entries!$E$2:$E$5000,Entries!$C$2:$C$5000,"Actual",Entries!$A$2:$A$5000,"&gt;="&amp;$A51,Entries!$A$2:$A$5000,"&lt;"&amp;EDATE($A51,1),Entries!$B$2:$B$5000,Z$1))</f>
        <v/>
      </c>
      <c r="AA51" s="23">
        <f>IF(OR(AA$1="",$BM51=0),"",SUMIFS(Entries!$E$2:$E$5000,Entries!$C$2:$C$5000,"Actual",Entries!$A$2:$A$5000,"&gt;="&amp;$A51,Entries!$A$2:$A$5000,"&lt;"&amp;EDATE($A51,1),Entries!$B$2:$B$5000,AA$1))</f>
        <v/>
      </c>
      <c r="AB51" s="23">
        <f>IF(OR(AB$1="",$BM51=0),"",SUMIFS(Entries!$E$2:$E$5000,Entries!$C$2:$C$5000,"Actual",Entries!$A$2:$A$5000,"&gt;="&amp;$A51,Entries!$A$2:$A$5000,"&lt;"&amp;EDATE($A51,1),Entries!$B$2:$B$5000,AB$1))</f>
        <v/>
      </c>
      <c r="AC51" s="23">
        <f>IF(OR(AC$1="",$BM51=0),"",SUMIFS(Entries!$E$2:$E$5000,Entries!$C$2:$C$5000,"Actual",Entries!$A$2:$A$5000,"&gt;="&amp;$A51,Entries!$A$2:$A$5000,"&lt;"&amp;EDATE($A51,1),Entries!$B$2:$B$5000,AC$1))</f>
        <v/>
      </c>
      <c r="AD51" s="23">
        <f>IF(OR(AD$1="",$BM51=0),"",SUMIFS(Entries!$E$2:$E$5000,Entries!$C$2:$C$5000,"Actual",Entries!$A$2:$A$5000,"&gt;="&amp;$A51,Entries!$A$2:$A$5000,"&lt;"&amp;EDATE($A51,1),Entries!$B$2:$B$5000,AD$1))</f>
        <v/>
      </c>
      <c r="AE51" s="23">
        <f>IF(OR(AE$1="",$BM51=0),"",SUMIFS(Entries!$E$2:$E$5000,Entries!$C$2:$C$5000,"Actual",Entries!$A$2:$A$5000,"&gt;="&amp;$A51,Entries!$A$2:$A$5000,"&lt;"&amp;EDATE($A51,1),Entries!$B$2:$B$5000,AE$1))</f>
        <v/>
      </c>
      <c r="AF51" s="23">
        <f>IF(OR(AF$1="",$BM51=0),"",SUMIFS(Entries!$E$2:$E$5000,Entries!$C$2:$C$5000,"Actual",Entries!$A$2:$A$5000,"&gt;="&amp;$A51,Entries!$A$2:$A$5000,"&lt;"&amp;EDATE($A51,1),Entries!$B$2:$B$5000,AF$1))</f>
        <v/>
      </c>
      <c r="AG51" s="23">
        <f>IF(OR(AG$1="",$BM51=0),"",SUMIFS(Entries!$E$2:$E$5000,Entries!$C$2:$C$5000,"Actual",Entries!$A$2:$A$5000,"&gt;="&amp;$A51,Entries!$A$2:$A$5000,"&lt;"&amp;EDATE($A51,1),Entries!$B$2:$B$5000,AG$1))</f>
        <v/>
      </c>
      <c r="AH51" s="23">
        <f>IF(OR(AH$1="",$BM51=0),"",SUMIFS(Entries!$E$2:$E$5000,Entries!$C$2:$C$5000,"Actual",Entries!$A$2:$A$5000,"&gt;="&amp;$A51,Entries!$A$2:$A$5000,"&lt;"&amp;EDATE($A51,1),Entries!$B$2:$B$5000,AH$1))</f>
        <v/>
      </c>
      <c r="AI51" s="23">
        <f>IF(OR(AI$1="",$BM51=0),"",SUMIFS(Entries!$E$2:$E$5000,Entries!$C$2:$C$5000,"Actual",Entries!$A$2:$A$5000,"&gt;="&amp;$A51,Entries!$A$2:$A$5000,"&lt;"&amp;EDATE($A51,1),Entries!$B$2:$B$5000,AI$1))</f>
        <v/>
      </c>
      <c r="AJ51" s="23">
        <f>IF(OR(AJ$1="",$BM51=0),"",SUMIFS(Entries!$E$2:$E$5000,Entries!$C$2:$C$5000,"Actual",Entries!$A$2:$A$5000,"&gt;="&amp;$A51,Entries!$A$2:$A$5000,"&lt;"&amp;EDATE($A51,1),Entries!$B$2:$B$5000,AJ$1))</f>
        <v/>
      </c>
      <c r="AK51" s="23">
        <f>IF(OR(AK$1="",$BM51=0),"",SUMIFS(Entries!$E$2:$E$5000,Entries!$C$2:$C$5000,"Actual",Entries!$A$2:$A$5000,"&gt;="&amp;$A51,Entries!$A$2:$A$5000,"&lt;"&amp;EDATE($A51,1),Entries!$B$2:$B$5000,AK$1))</f>
        <v/>
      </c>
      <c r="AL51" s="23">
        <f>IF(OR(AL$1="",$BM51=0),"",SUMIFS(Entries!$E$2:$E$5000,Entries!$C$2:$C$5000,"Actual",Entries!$A$2:$A$5000,"&gt;="&amp;$A51,Entries!$A$2:$A$5000,"&lt;"&amp;EDATE($A51,1),Entries!$B$2:$B$5000,AL$1))</f>
        <v/>
      </c>
      <c r="AM51" s="23">
        <f>IF(OR(AM$1="",$BM51=0),"",SUMIFS(Entries!$E$2:$E$5000,Entries!$C$2:$C$5000,"Actual",Entries!$A$2:$A$5000,"&gt;="&amp;$A51,Entries!$A$2:$A$5000,"&lt;"&amp;EDATE($A51,1),Entries!$B$2:$B$5000,AM$1))</f>
        <v/>
      </c>
      <c r="AN51" s="23">
        <f>IF(OR(AN$1="",$BM51=0),"",SUMIFS(Entries!$E$2:$E$5000,Entries!$C$2:$C$5000,"Actual",Entries!$A$2:$A$5000,"&gt;="&amp;$A51,Entries!$A$2:$A$5000,"&lt;"&amp;EDATE($A51,1),Entries!$B$2:$B$5000,AN$1))</f>
        <v/>
      </c>
      <c r="AO51" s="23">
        <f>IF(OR(AO$1="",$BM51=0),"",SUMIFS(Entries!$E$2:$E$5000,Entries!$C$2:$C$5000,"Actual",Entries!$A$2:$A$5000,"&gt;="&amp;$A51,Entries!$A$2:$A$5000,"&lt;"&amp;EDATE($A51,1),Entries!$B$2:$B$5000,AO$1))</f>
        <v/>
      </c>
      <c r="AP51" s="23">
        <f>IF(OR(AP$1="",$BM51=0),"",SUMIFS(Entries!$E$2:$E$5000,Entries!$C$2:$C$5000,"Actual",Entries!$A$2:$A$5000,"&gt;="&amp;$A51,Entries!$A$2:$A$5000,"&lt;"&amp;EDATE($A51,1),Entries!$B$2:$B$5000,AP$1))</f>
        <v/>
      </c>
      <c r="AR51" s="23">
        <f>IF(OR(AR$1="",$BM51=0),"",IFERROR(LOOKUP(2,1/((Budgets!$A$2:$A$200=AR$1)*(Budgets!$B$2:$B$200&lt;EDATE($A51,1))),Budgets!$C$2:$C$200),0))</f>
        <v/>
      </c>
      <c r="AS51" s="23">
        <f>IF(OR(AS$1="",$BM51=0),"",IFERROR(LOOKUP(2,1/((Budgets!$A$2:$A$200=AS$1)*(Budgets!$B$2:$B$200&lt;EDATE($A51,1))),Budgets!$C$2:$C$200),0))</f>
        <v/>
      </c>
      <c r="AT51" s="23">
        <f>IF(OR(AT$1="",$BM51=0),"",IFERROR(LOOKUP(2,1/((Budgets!$A$2:$A$200=AT$1)*(Budgets!$B$2:$B$200&lt;EDATE($A51,1))),Budgets!$C$2:$C$200),0))</f>
        <v/>
      </c>
      <c r="AU51" s="23">
        <f>IF(OR(AU$1="",$BM51=0),"",IFERROR(LOOKUP(2,1/((Budgets!$A$2:$A$200=AU$1)*(Budgets!$B$2:$B$200&lt;EDATE($A51,1))),Budgets!$C$2:$C$200),0))</f>
        <v/>
      </c>
      <c r="AV51" s="23">
        <f>IF(OR(AV$1="",$BM51=0),"",IFERROR(LOOKUP(2,1/((Budgets!$A$2:$A$200=AV$1)*(Budgets!$B$2:$B$200&lt;EDATE($A51,1))),Budgets!$C$2:$C$200),0))</f>
        <v/>
      </c>
      <c r="AW51" s="23">
        <f>IF(OR(AW$1="",$BM51=0),"",IFERROR(LOOKUP(2,1/((Budgets!$A$2:$A$200=AW$1)*(Budgets!$B$2:$B$200&lt;EDATE($A51,1))),Budgets!$C$2:$C$200),0))</f>
        <v/>
      </c>
      <c r="AX51" s="23">
        <f>IF(OR(AX$1="",$BM51=0),"",IFERROR(LOOKUP(2,1/((Budgets!$A$2:$A$200=AX$1)*(Budgets!$B$2:$B$200&lt;EDATE($A51,1))),Budgets!$C$2:$C$200),0))</f>
        <v/>
      </c>
      <c r="AY51" s="23">
        <f>IF(OR(AY$1="",$BM51=0),"",IFERROR(LOOKUP(2,1/((Budgets!$A$2:$A$200=AY$1)*(Budgets!$B$2:$B$200&lt;EDATE($A51,1))),Budgets!$C$2:$C$200),0))</f>
        <v/>
      </c>
      <c r="AZ51" s="23">
        <f>IF(OR(AZ$1="",$BM51=0),"",IFERROR(LOOKUP(2,1/((Budgets!$A$2:$A$200=AZ$1)*(Budgets!$B$2:$B$200&lt;EDATE($A51,1))),Budgets!$C$2:$C$200),0))</f>
        <v/>
      </c>
      <c r="BA51" s="23">
        <f>IF(OR(BA$1="",$BM51=0),"",IFERROR(LOOKUP(2,1/((Budgets!$A$2:$A$200=BA$1)*(Budgets!$B$2:$B$200&lt;EDATE($A51,1))),Budgets!$C$2:$C$200),0))</f>
        <v/>
      </c>
      <c r="BB51" s="23">
        <f>IF(OR(BB$1="",$BM51=0),"",IFERROR(LOOKUP(2,1/((Budgets!$A$2:$A$200=BB$1)*(Budgets!$B$2:$B$200&lt;EDATE($A51,1))),Budgets!$C$2:$C$200),0))</f>
        <v/>
      </c>
      <c r="BC51" s="23">
        <f>IF(OR(BC$1="",$BM51=0),"",IFERROR(LOOKUP(2,1/((Budgets!$A$2:$A$200=BC$1)*(Budgets!$B$2:$B$200&lt;EDATE($A51,1))),Budgets!$C$2:$C$200),0))</f>
        <v/>
      </c>
      <c r="BD51" s="23">
        <f>IF(OR(BD$1="",$BM51=0),"",IFERROR(LOOKUP(2,1/((Budgets!$A$2:$A$200=BD$1)*(Budgets!$B$2:$B$200&lt;EDATE($A51,1))),Budgets!$C$2:$C$200),0))</f>
        <v/>
      </c>
      <c r="BE51" s="23">
        <f>IF(OR(BE$1="",$BM51=0),"",IFERROR(LOOKUP(2,1/((Budgets!$A$2:$A$200=BE$1)*(Budgets!$B$2:$B$200&lt;EDATE($A51,1))),Budgets!$C$2:$C$200),0))</f>
        <v/>
      </c>
      <c r="BF51" s="23">
        <f>IF(OR(BF$1="",$BM51=0),"",IFERROR(LOOKUP(2,1/((Budgets!$A$2:$A$200=BF$1)*(Budgets!$B$2:$B$200&lt;EDATE($A51,1))),Budgets!$C$2:$C$200),0))</f>
        <v/>
      </c>
      <c r="BG51" s="23">
        <f>IF(OR(BG$1="",$BM51=0),"",IFERROR(LOOKUP(2,1/((Budgets!$A$2:$A$200=BG$1)*(Budgets!$B$2:$B$200&lt;EDATE($A51,1))),Budgets!$C$2:$C$200),0))</f>
        <v/>
      </c>
      <c r="BH51" s="23">
        <f>IF(OR(BH$1="",$BM51=0),"",IFERROR(LOOKUP(2,1/((Budgets!$A$2:$A$200=BH$1)*(Budgets!$B$2:$B$200&lt;EDATE($A51,1))),Budgets!$C$2:$C$200),0))</f>
        <v/>
      </c>
      <c r="BI51" s="23">
        <f>IF(OR(BI$1="",$BM51=0),"",IFERROR(LOOKUP(2,1/((Budgets!$A$2:$A$200=BI$1)*(Budgets!$B$2:$B$200&lt;EDATE($A51,1))),Budgets!$C$2:$C$200),0))</f>
        <v/>
      </c>
      <c r="BJ51" s="23">
        <f>IF(OR(BJ$1="",$BM51=0),"",IFERROR(LOOKUP(2,1/((Budgets!$A$2:$A$200=BJ$1)*(Budgets!$B$2:$B$200&lt;EDATE($A51,1))),Budgets!$C$2:$C$200),0))</f>
        <v/>
      </c>
      <c r="BK51" s="23">
        <f>IF(OR(BK$1="",$BM51=0),"",IFERROR(LOOKUP(2,1/((Budgets!$A$2:$A$200=BK$1)*(Budgets!$B$2:$B$200&lt;EDATE($A51,1))),Budgets!$C$2:$C$200),0))</f>
        <v/>
      </c>
      <c r="BM51" s="21">
        <f>COUNTIFS(Entries!$A$2:$A$5000,"&gt;="&amp;$A51,Entries!$A$2:$A$5000,"&lt;"&amp;EDATE($A51,1))</f>
        <v/>
      </c>
    </row>
    <row r="52">
      <c r="A52" s="22" t="n">
        <v>40969</v>
      </c>
      <c r="B52" s="23">
        <f>IF($BM52=0,NA(),SUMIFS(Entries!$E$2:$E$5000,Entries!$C$2:$C$5000,"Income",Entries!$A$2:$A$5000,"&gt;="&amp;$A52,Entries!$A$2:$A$5000,"&lt;"&amp;EDATE($A52,1)))</f>
        <v/>
      </c>
      <c r="C52" s="23">
        <f>IF($BM52=0,"",SUMIFS(Entries!$E$2:$E$5000,Entries!$C$2:$C$5000,"Actual",Entries!$A$2:$A$5000,"&gt;="&amp;$A52,Entries!$A$2:$A$5000,"&lt;"&amp;EDATE($A52,1)))</f>
        <v/>
      </c>
      <c r="D52" s="23">
        <f>IF($BM52=0,"",SUMIFS(Entries!$E$2:$E$5000,Entries!$C$2:$C$5000,"One-off",Entries!$A$2:$A$5000,"&gt;="&amp;$A52,Entries!$A$2:$A$5000,"&lt;"&amp;EDATE($A52,1)))</f>
        <v/>
      </c>
      <c r="E52" s="23">
        <f>IF($BM52=0,NA(),C52+D52)</f>
        <v/>
      </c>
      <c r="F52" s="23">
        <f>IF($BM52=0,"",SUM(AR52:BK52))</f>
        <v/>
      </c>
      <c r="G52" s="23">
        <f>IF($BM52=0,"",B52-E52)</f>
        <v/>
      </c>
      <c r="H52" s="23">
        <f>IF($BM52=0,"",SUM($G$2:G52))</f>
        <v/>
      </c>
      <c r="I52" s="23">
        <f>IF($BM52=0,"",SUMIFS(Entries!$G$2:$G$5000,Entries!$A$2:$A$5000,"&gt;="&amp;$A52,Entries!$A$2:$A$5000,"&lt;"&amp;EDATE($A52,1)))</f>
        <v/>
      </c>
      <c r="J52" s="23">
        <f>IF($BM52=0,NA(),H52)</f>
        <v/>
      </c>
      <c r="K52" s="23">
        <f>IF($BM52=0,"",SUMIFS(Entries!$E$2:$E$5000,Entries!$C$2:$C$5000,"Income",Entries!$A$2:$A$5000,"&gt;="&amp;EDATE($A52,-11),Entries!$A$2:$A$5000,"&lt;"&amp;EDATE($A52,1))/COUNTIFS($A$2:$A$400,"&gt;="&amp;EDATE($A52,-11),$A$2:$A$400,"&lt;"&amp;EDATE($A52,1),$BM$2:$BM$400,"&gt;0"))</f>
      </c>
      <c r="L52" s="23">
        <f>IF($BM52=0,"",(SUMIFS(Entries!$E$2:$E$5000,Entries!$C$2:$C$5000,"Actual",Entries!$A$2:$A$5000,"&gt;="&amp;EDATE($A52,-11),Entries!$A$2:$A$5000,"&lt;"&amp;EDATE($A52,1))+SUMIFS(Entries!$E$2:$E$5000,Entries!$C$2:$C$5000,"One-off",Entries!$A$2:$A$5000,"&gt;="&amp;EDATE($A52,-11),Entries!$A$2:$A$5000,"&lt;"&amp;EDATE($A52,1)))/COUNTIFS($A$2:$A$400,"&gt;="&amp;EDATE($A52,-11),$A$2:$A$400,"&lt;"&amp;EDATE($A52,1),$BM$2:$BM$400,"&gt;0"))</f>
      </c>
      <c r="M52" s="24">
        <f>IF($BM52=0,NA(),IFERROR((K52-L52)/K52,0))</f>
        <v/>
      </c>
      <c r="N52" s="23">
        <f>IF($BM52=0,NA(),SUMIFS(Entries!$E$2:$E$5000,Entries!$D$2:$D$5000,"Core",Entries!$A$2:$A$5000,"&gt;="&amp;$A52,Entries!$A$2:$A$5000,"&lt;"&amp;EDATE($A52,1)))</f>
        <v/>
      </c>
      <c r="O52" s="23">
        <f>IF($BM52=0,NA(),SUMIFS(Entries!$E$2:$E$5000,Entries!$D$2:$D$5000,"Over &amp; above",Entries!$A$2:$A$5000,"&gt;="&amp;$A52,Entries!$A$2:$A$5000,"&lt;"&amp;EDATE($A52,1)))</f>
        <v/>
      </c>
      <c r="P52" s="23">
        <f>IF($BM52=0,NA(),SUMIFS(Entries!$E$2:$E$5000,Entries!$D$2:$D$5000,"One-off",Entries!$A$2:$A$5000,"&gt;="&amp;$A52,Entries!$A$2:$A$5000,"&lt;"&amp;EDATE($A52,1)))</f>
        <v/>
      </c>
      <c r="Q52" s="23">
        <f>IF($BM52=0,NA(),SUMIFS(Entries!$E$2:$E$5000,Entries!$D$2:$D$5000,"Reimbursable",Entries!$A$2:$A$5000,"&gt;="&amp;$A52,Entries!$A$2:$A$5000,"&lt;"&amp;EDATE($A52,1)))</f>
        <v/>
      </c>
      <c r="R52" s="23">
        <f>IF($BM52=0,NA(),SUMIFS(Entries!$E$2:$E$5000,Entries!$D$2:$D$5000,"Investment",Entries!$A$2:$A$5000,"&gt;="&amp;$A52,Entries!$A$2:$A$5000,"&lt;"&amp;EDATE($A52,1)))</f>
        <v/>
      </c>
      <c r="S52" s="23">
        <f>IF($BM52=0,NA(),N52+O52)</f>
        <v/>
      </c>
      <c r="T52" s="23">
        <f>IF($BM52=0,"",E52-Q52)</f>
        <v/>
      </c>
      <c r="W52" s="23">
        <f>IF(OR(W$1="",$BM52=0),"",SUMIFS(Entries!$E$2:$E$5000,Entries!$C$2:$C$5000,"Actual",Entries!$A$2:$A$5000,"&gt;="&amp;$A52,Entries!$A$2:$A$5000,"&lt;"&amp;EDATE($A52,1),Entries!$B$2:$B$5000,W$1))</f>
        <v/>
      </c>
      <c r="X52" s="23">
        <f>IF(OR(X$1="",$BM52=0),"",SUMIFS(Entries!$E$2:$E$5000,Entries!$C$2:$C$5000,"Actual",Entries!$A$2:$A$5000,"&gt;="&amp;$A52,Entries!$A$2:$A$5000,"&lt;"&amp;EDATE($A52,1),Entries!$B$2:$B$5000,X$1))</f>
        <v/>
      </c>
      <c r="Y52" s="23">
        <f>IF(OR(Y$1="",$BM52=0),"",SUMIFS(Entries!$E$2:$E$5000,Entries!$C$2:$C$5000,"Actual",Entries!$A$2:$A$5000,"&gt;="&amp;$A52,Entries!$A$2:$A$5000,"&lt;"&amp;EDATE($A52,1),Entries!$B$2:$B$5000,Y$1))</f>
        <v/>
      </c>
      <c r="Z52" s="23">
        <f>IF(OR(Z$1="",$BM52=0),"",SUMIFS(Entries!$E$2:$E$5000,Entries!$C$2:$C$5000,"Actual",Entries!$A$2:$A$5000,"&gt;="&amp;$A52,Entries!$A$2:$A$5000,"&lt;"&amp;EDATE($A52,1),Entries!$B$2:$B$5000,Z$1))</f>
        <v/>
      </c>
      <c r="AA52" s="23">
        <f>IF(OR(AA$1="",$BM52=0),"",SUMIFS(Entries!$E$2:$E$5000,Entries!$C$2:$C$5000,"Actual",Entries!$A$2:$A$5000,"&gt;="&amp;$A52,Entries!$A$2:$A$5000,"&lt;"&amp;EDATE($A52,1),Entries!$B$2:$B$5000,AA$1))</f>
        <v/>
      </c>
      <c r="AB52" s="23">
        <f>IF(OR(AB$1="",$BM52=0),"",SUMIFS(Entries!$E$2:$E$5000,Entries!$C$2:$C$5000,"Actual",Entries!$A$2:$A$5000,"&gt;="&amp;$A52,Entries!$A$2:$A$5000,"&lt;"&amp;EDATE($A52,1),Entries!$B$2:$B$5000,AB$1))</f>
        <v/>
      </c>
      <c r="AC52" s="23">
        <f>IF(OR(AC$1="",$BM52=0),"",SUMIFS(Entries!$E$2:$E$5000,Entries!$C$2:$C$5000,"Actual",Entries!$A$2:$A$5000,"&gt;="&amp;$A52,Entries!$A$2:$A$5000,"&lt;"&amp;EDATE($A52,1),Entries!$B$2:$B$5000,AC$1))</f>
        <v/>
      </c>
      <c r="AD52" s="23">
        <f>IF(OR(AD$1="",$BM52=0),"",SUMIFS(Entries!$E$2:$E$5000,Entries!$C$2:$C$5000,"Actual",Entries!$A$2:$A$5000,"&gt;="&amp;$A52,Entries!$A$2:$A$5000,"&lt;"&amp;EDATE($A52,1),Entries!$B$2:$B$5000,AD$1))</f>
        <v/>
      </c>
      <c r="AE52" s="23">
        <f>IF(OR(AE$1="",$BM52=0),"",SUMIFS(Entries!$E$2:$E$5000,Entries!$C$2:$C$5000,"Actual",Entries!$A$2:$A$5000,"&gt;="&amp;$A52,Entries!$A$2:$A$5000,"&lt;"&amp;EDATE($A52,1),Entries!$B$2:$B$5000,AE$1))</f>
        <v/>
      </c>
      <c r="AF52" s="23">
        <f>IF(OR(AF$1="",$BM52=0),"",SUMIFS(Entries!$E$2:$E$5000,Entries!$C$2:$C$5000,"Actual",Entries!$A$2:$A$5000,"&gt;="&amp;$A52,Entries!$A$2:$A$5000,"&lt;"&amp;EDATE($A52,1),Entries!$B$2:$B$5000,AF$1))</f>
        <v/>
      </c>
      <c r="AG52" s="23">
        <f>IF(OR(AG$1="",$BM52=0),"",SUMIFS(Entries!$E$2:$E$5000,Entries!$C$2:$C$5000,"Actual",Entries!$A$2:$A$5000,"&gt;="&amp;$A52,Entries!$A$2:$A$5000,"&lt;"&amp;EDATE($A52,1),Entries!$B$2:$B$5000,AG$1))</f>
        <v/>
      </c>
      <c r="AH52" s="23">
        <f>IF(OR(AH$1="",$BM52=0),"",SUMIFS(Entries!$E$2:$E$5000,Entries!$C$2:$C$5000,"Actual",Entries!$A$2:$A$5000,"&gt;="&amp;$A52,Entries!$A$2:$A$5000,"&lt;"&amp;EDATE($A52,1),Entries!$B$2:$B$5000,AH$1))</f>
        <v/>
      </c>
      <c r="AI52" s="23">
        <f>IF(OR(AI$1="",$BM52=0),"",SUMIFS(Entries!$E$2:$E$5000,Entries!$C$2:$C$5000,"Actual",Entries!$A$2:$A$5000,"&gt;="&amp;$A52,Entries!$A$2:$A$5000,"&lt;"&amp;EDATE($A52,1),Entries!$B$2:$B$5000,AI$1))</f>
        <v/>
      </c>
      <c r="AJ52" s="23">
        <f>IF(OR(AJ$1="",$BM52=0),"",SUMIFS(Entries!$E$2:$E$5000,Entries!$C$2:$C$5000,"Actual",Entries!$A$2:$A$5000,"&gt;="&amp;$A52,Entries!$A$2:$A$5000,"&lt;"&amp;EDATE($A52,1),Entries!$B$2:$B$5000,AJ$1))</f>
        <v/>
      </c>
      <c r="AK52" s="23">
        <f>IF(OR(AK$1="",$BM52=0),"",SUMIFS(Entries!$E$2:$E$5000,Entries!$C$2:$C$5000,"Actual",Entries!$A$2:$A$5000,"&gt;="&amp;$A52,Entries!$A$2:$A$5000,"&lt;"&amp;EDATE($A52,1),Entries!$B$2:$B$5000,AK$1))</f>
        <v/>
      </c>
      <c r="AL52" s="23">
        <f>IF(OR(AL$1="",$BM52=0),"",SUMIFS(Entries!$E$2:$E$5000,Entries!$C$2:$C$5000,"Actual",Entries!$A$2:$A$5000,"&gt;="&amp;$A52,Entries!$A$2:$A$5000,"&lt;"&amp;EDATE($A52,1),Entries!$B$2:$B$5000,AL$1))</f>
        <v/>
      </c>
      <c r="AM52" s="23">
        <f>IF(OR(AM$1="",$BM52=0),"",SUMIFS(Entries!$E$2:$E$5000,Entries!$C$2:$C$5000,"Actual",Entries!$A$2:$A$5000,"&gt;="&amp;$A52,Entries!$A$2:$A$5000,"&lt;"&amp;EDATE($A52,1),Entries!$B$2:$B$5000,AM$1))</f>
        <v/>
      </c>
      <c r="AN52" s="23">
        <f>IF(OR(AN$1="",$BM52=0),"",SUMIFS(Entries!$E$2:$E$5000,Entries!$C$2:$C$5000,"Actual",Entries!$A$2:$A$5000,"&gt;="&amp;$A52,Entries!$A$2:$A$5000,"&lt;"&amp;EDATE($A52,1),Entries!$B$2:$B$5000,AN$1))</f>
        <v/>
      </c>
      <c r="AO52" s="23">
        <f>IF(OR(AO$1="",$BM52=0),"",SUMIFS(Entries!$E$2:$E$5000,Entries!$C$2:$C$5000,"Actual",Entries!$A$2:$A$5000,"&gt;="&amp;$A52,Entries!$A$2:$A$5000,"&lt;"&amp;EDATE($A52,1),Entries!$B$2:$B$5000,AO$1))</f>
        <v/>
      </c>
      <c r="AP52" s="23">
        <f>IF(OR(AP$1="",$BM52=0),"",SUMIFS(Entries!$E$2:$E$5000,Entries!$C$2:$C$5000,"Actual",Entries!$A$2:$A$5000,"&gt;="&amp;$A52,Entries!$A$2:$A$5000,"&lt;"&amp;EDATE($A52,1),Entries!$B$2:$B$5000,AP$1))</f>
        <v/>
      </c>
      <c r="AR52" s="23">
        <f>IF(OR(AR$1="",$BM52=0),"",IFERROR(LOOKUP(2,1/((Budgets!$A$2:$A$200=AR$1)*(Budgets!$B$2:$B$200&lt;EDATE($A52,1))),Budgets!$C$2:$C$200),0))</f>
        <v/>
      </c>
      <c r="AS52" s="23">
        <f>IF(OR(AS$1="",$BM52=0),"",IFERROR(LOOKUP(2,1/((Budgets!$A$2:$A$200=AS$1)*(Budgets!$B$2:$B$200&lt;EDATE($A52,1))),Budgets!$C$2:$C$200),0))</f>
        <v/>
      </c>
      <c r="AT52" s="23">
        <f>IF(OR(AT$1="",$BM52=0),"",IFERROR(LOOKUP(2,1/((Budgets!$A$2:$A$200=AT$1)*(Budgets!$B$2:$B$200&lt;EDATE($A52,1))),Budgets!$C$2:$C$200),0))</f>
        <v/>
      </c>
      <c r="AU52" s="23">
        <f>IF(OR(AU$1="",$BM52=0),"",IFERROR(LOOKUP(2,1/((Budgets!$A$2:$A$200=AU$1)*(Budgets!$B$2:$B$200&lt;EDATE($A52,1))),Budgets!$C$2:$C$200),0))</f>
        <v/>
      </c>
      <c r="AV52" s="23">
        <f>IF(OR(AV$1="",$BM52=0),"",IFERROR(LOOKUP(2,1/((Budgets!$A$2:$A$200=AV$1)*(Budgets!$B$2:$B$200&lt;EDATE($A52,1))),Budgets!$C$2:$C$200),0))</f>
        <v/>
      </c>
      <c r="AW52" s="23">
        <f>IF(OR(AW$1="",$BM52=0),"",IFERROR(LOOKUP(2,1/((Budgets!$A$2:$A$200=AW$1)*(Budgets!$B$2:$B$200&lt;EDATE($A52,1))),Budgets!$C$2:$C$200),0))</f>
        <v/>
      </c>
      <c r="AX52" s="23">
        <f>IF(OR(AX$1="",$BM52=0),"",IFERROR(LOOKUP(2,1/((Budgets!$A$2:$A$200=AX$1)*(Budgets!$B$2:$B$200&lt;EDATE($A52,1))),Budgets!$C$2:$C$200),0))</f>
        <v/>
      </c>
      <c r="AY52" s="23">
        <f>IF(OR(AY$1="",$BM52=0),"",IFERROR(LOOKUP(2,1/((Budgets!$A$2:$A$200=AY$1)*(Budgets!$B$2:$B$200&lt;EDATE($A52,1))),Budgets!$C$2:$C$200),0))</f>
        <v/>
      </c>
      <c r="AZ52" s="23">
        <f>IF(OR(AZ$1="",$BM52=0),"",IFERROR(LOOKUP(2,1/((Budgets!$A$2:$A$200=AZ$1)*(Budgets!$B$2:$B$200&lt;EDATE($A52,1))),Budgets!$C$2:$C$200),0))</f>
        <v/>
      </c>
      <c r="BA52" s="23">
        <f>IF(OR(BA$1="",$BM52=0),"",IFERROR(LOOKUP(2,1/((Budgets!$A$2:$A$200=BA$1)*(Budgets!$B$2:$B$200&lt;EDATE($A52,1))),Budgets!$C$2:$C$200),0))</f>
        <v/>
      </c>
      <c r="BB52" s="23">
        <f>IF(OR(BB$1="",$BM52=0),"",IFERROR(LOOKUP(2,1/((Budgets!$A$2:$A$200=BB$1)*(Budgets!$B$2:$B$200&lt;EDATE($A52,1))),Budgets!$C$2:$C$200),0))</f>
        <v/>
      </c>
      <c r="BC52" s="23">
        <f>IF(OR(BC$1="",$BM52=0),"",IFERROR(LOOKUP(2,1/((Budgets!$A$2:$A$200=BC$1)*(Budgets!$B$2:$B$200&lt;EDATE($A52,1))),Budgets!$C$2:$C$200),0))</f>
        <v/>
      </c>
      <c r="BD52" s="23">
        <f>IF(OR(BD$1="",$BM52=0),"",IFERROR(LOOKUP(2,1/((Budgets!$A$2:$A$200=BD$1)*(Budgets!$B$2:$B$200&lt;EDATE($A52,1))),Budgets!$C$2:$C$200),0))</f>
        <v/>
      </c>
      <c r="BE52" s="23">
        <f>IF(OR(BE$1="",$BM52=0),"",IFERROR(LOOKUP(2,1/((Budgets!$A$2:$A$200=BE$1)*(Budgets!$B$2:$B$200&lt;EDATE($A52,1))),Budgets!$C$2:$C$200),0))</f>
        <v/>
      </c>
      <c r="BF52" s="23">
        <f>IF(OR(BF$1="",$BM52=0),"",IFERROR(LOOKUP(2,1/((Budgets!$A$2:$A$200=BF$1)*(Budgets!$B$2:$B$200&lt;EDATE($A52,1))),Budgets!$C$2:$C$200),0))</f>
        <v/>
      </c>
      <c r="BG52" s="23">
        <f>IF(OR(BG$1="",$BM52=0),"",IFERROR(LOOKUP(2,1/((Budgets!$A$2:$A$200=BG$1)*(Budgets!$B$2:$B$200&lt;EDATE($A52,1))),Budgets!$C$2:$C$200),0))</f>
        <v/>
      </c>
      <c r="BH52" s="23">
        <f>IF(OR(BH$1="",$BM52=0),"",IFERROR(LOOKUP(2,1/((Budgets!$A$2:$A$200=BH$1)*(Budgets!$B$2:$B$200&lt;EDATE($A52,1))),Budgets!$C$2:$C$200),0))</f>
        <v/>
      </c>
      <c r="BI52" s="23">
        <f>IF(OR(BI$1="",$BM52=0),"",IFERROR(LOOKUP(2,1/((Budgets!$A$2:$A$200=BI$1)*(Budgets!$B$2:$B$200&lt;EDATE($A52,1))),Budgets!$C$2:$C$200),0))</f>
        <v/>
      </c>
      <c r="BJ52" s="23">
        <f>IF(OR(BJ$1="",$BM52=0),"",IFERROR(LOOKUP(2,1/((Budgets!$A$2:$A$200=BJ$1)*(Budgets!$B$2:$B$200&lt;EDATE($A52,1))),Budgets!$C$2:$C$200),0))</f>
        <v/>
      </c>
      <c r="BK52" s="23">
        <f>IF(OR(BK$1="",$BM52=0),"",IFERROR(LOOKUP(2,1/((Budgets!$A$2:$A$200=BK$1)*(Budgets!$B$2:$B$200&lt;EDATE($A52,1))),Budgets!$C$2:$C$200),0))</f>
        <v/>
      </c>
      <c r="BM52" s="21">
        <f>COUNTIFS(Entries!$A$2:$A$5000,"&gt;="&amp;$A52,Entries!$A$2:$A$5000,"&lt;"&amp;EDATE($A52,1))</f>
        <v/>
      </c>
    </row>
    <row r="53">
      <c r="A53" s="22" t="n">
        <v>41000</v>
      </c>
      <c r="B53" s="23">
        <f>IF($BM53=0,NA(),SUMIFS(Entries!$E$2:$E$5000,Entries!$C$2:$C$5000,"Income",Entries!$A$2:$A$5000,"&gt;="&amp;$A53,Entries!$A$2:$A$5000,"&lt;"&amp;EDATE($A53,1)))</f>
        <v/>
      </c>
      <c r="C53" s="23">
        <f>IF($BM53=0,"",SUMIFS(Entries!$E$2:$E$5000,Entries!$C$2:$C$5000,"Actual",Entries!$A$2:$A$5000,"&gt;="&amp;$A53,Entries!$A$2:$A$5000,"&lt;"&amp;EDATE($A53,1)))</f>
        <v/>
      </c>
      <c r="D53" s="23">
        <f>IF($BM53=0,"",SUMIFS(Entries!$E$2:$E$5000,Entries!$C$2:$C$5000,"One-off",Entries!$A$2:$A$5000,"&gt;="&amp;$A53,Entries!$A$2:$A$5000,"&lt;"&amp;EDATE($A53,1)))</f>
        <v/>
      </c>
      <c r="E53" s="23">
        <f>IF($BM53=0,NA(),C53+D53)</f>
        <v/>
      </c>
      <c r="F53" s="23">
        <f>IF($BM53=0,"",SUM(AR53:BK53))</f>
        <v/>
      </c>
      <c r="G53" s="23">
        <f>IF($BM53=0,"",B53-E53)</f>
        <v/>
      </c>
      <c r="H53" s="23">
        <f>IF($BM53=0,"",SUM($G$2:G53))</f>
        <v/>
      </c>
      <c r="I53" s="23">
        <f>IF($BM53=0,"",SUMIFS(Entries!$G$2:$G$5000,Entries!$A$2:$A$5000,"&gt;="&amp;$A53,Entries!$A$2:$A$5000,"&lt;"&amp;EDATE($A53,1)))</f>
        <v/>
      </c>
      <c r="J53" s="23">
        <f>IF($BM53=0,NA(),H53)</f>
        <v/>
      </c>
      <c r="K53" s="23">
        <f>IF($BM53=0,"",SUMIFS(Entries!$E$2:$E$5000,Entries!$C$2:$C$5000,"Income",Entries!$A$2:$A$5000,"&gt;="&amp;EDATE($A53,-11),Entries!$A$2:$A$5000,"&lt;"&amp;EDATE($A53,1))/COUNTIFS($A$2:$A$400,"&gt;="&amp;EDATE($A53,-11),$A$2:$A$400,"&lt;"&amp;EDATE($A53,1),$BM$2:$BM$400,"&gt;0"))</f>
      </c>
      <c r="L53" s="23">
        <f>IF($BM53=0,"",(SUMIFS(Entries!$E$2:$E$5000,Entries!$C$2:$C$5000,"Actual",Entries!$A$2:$A$5000,"&gt;="&amp;EDATE($A53,-11),Entries!$A$2:$A$5000,"&lt;"&amp;EDATE($A53,1))+SUMIFS(Entries!$E$2:$E$5000,Entries!$C$2:$C$5000,"One-off",Entries!$A$2:$A$5000,"&gt;="&amp;EDATE($A53,-11),Entries!$A$2:$A$5000,"&lt;"&amp;EDATE($A53,1)))/COUNTIFS($A$2:$A$400,"&gt;="&amp;EDATE($A53,-11),$A$2:$A$400,"&lt;"&amp;EDATE($A53,1),$BM$2:$BM$400,"&gt;0"))</f>
      </c>
      <c r="M53" s="24">
        <f>IF($BM53=0,NA(),IFERROR((K53-L53)/K53,0))</f>
        <v/>
      </c>
      <c r="N53" s="23">
        <f>IF($BM53=0,NA(),SUMIFS(Entries!$E$2:$E$5000,Entries!$D$2:$D$5000,"Core",Entries!$A$2:$A$5000,"&gt;="&amp;$A53,Entries!$A$2:$A$5000,"&lt;"&amp;EDATE($A53,1)))</f>
        <v/>
      </c>
      <c r="O53" s="23">
        <f>IF($BM53=0,NA(),SUMIFS(Entries!$E$2:$E$5000,Entries!$D$2:$D$5000,"Over &amp; above",Entries!$A$2:$A$5000,"&gt;="&amp;$A53,Entries!$A$2:$A$5000,"&lt;"&amp;EDATE($A53,1)))</f>
        <v/>
      </c>
      <c r="P53" s="23">
        <f>IF($BM53=0,NA(),SUMIFS(Entries!$E$2:$E$5000,Entries!$D$2:$D$5000,"One-off",Entries!$A$2:$A$5000,"&gt;="&amp;$A53,Entries!$A$2:$A$5000,"&lt;"&amp;EDATE($A53,1)))</f>
        <v/>
      </c>
      <c r="Q53" s="23">
        <f>IF($BM53=0,NA(),SUMIFS(Entries!$E$2:$E$5000,Entries!$D$2:$D$5000,"Reimbursable",Entries!$A$2:$A$5000,"&gt;="&amp;$A53,Entries!$A$2:$A$5000,"&lt;"&amp;EDATE($A53,1)))</f>
        <v/>
      </c>
      <c r="R53" s="23">
        <f>IF($BM53=0,NA(),SUMIFS(Entries!$E$2:$E$5000,Entries!$D$2:$D$5000,"Investment",Entries!$A$2:$A$5000,"&gt;="&amp;$A53,Entries!$A$2:$A$5000,"&lt;"&amp;EDATE($A53,1)))</f>
        <v/>
      </c>
      <c r="S53" s="23">
        <f>IF($BM53=0,NA(),N53+O53)</f>
        <v/>
      </c>
      <c r="T53" s="23">
        <f>IF($BM53=0,"",E53-Q53)</f>
        <v/>
      </c>
      <c r="W53" s="23">
        <f>IF(OR(W$1="",$BM53=0),"",SUMIFS(Entries!$E$2:$E$5000,Entries!$C$2:$C$5000,"Actual",Entries!$A$2:$A$5000,"&gt;="&amp;$A53,Entries!$A$2:$A$5000,"&lt;"&amp;EDATE($A53,1),Entries!$B$2:$B$5000,W$1))</f>
        <v/>
      </c>
      <c r="X53" s="23">
        <f>IF(OR(X$1="",$BM53=0),"",SUMIFS(Entries!$E$2:$E$5000,Entries!$C$2:$C$5000,"Actual",Entries!$A$2:$A$5000,"&gt;="&amp;$A53,Entries!$A$2:$A$5000,"&lt;"&amp;EDATE($A53,1),Entries!$B$2:$B$5000,X$1))</f>
        <v/>
      </c>
      <c r="Y53" s="23">
        <f>IF(OR(Y$1="",$BM53=0),"",SUMIFS(Entries!$E$2:$E$5000,Entries!$C$2:$C$5000,"Actual",Entries!$A$2:$A$5000,"&gt;="&amp;$A53,Entries!$A$2:$A$5000,"&lt;"&amp;EDATE($A53,1),Entries!$B$2:$B$5000,Y$1))</f>
        <v/>
      </c>
      <c r="Z53" s="23">
        <f>IF(OR(Z$1="",$BM53=0),"",SUMIFS(Entries!$E$2:$E$5000,Entries!$C$2:$C$5000,"Actual",Entries!$A$2:$A$5000,"&gt;="&amp;$A53,Entries!$A$2:$A$5000,"&lt;"&amp;EDATE($A53,1),Entries!$B$2:$B$5000,Z$1))</f>
        <v/>
      </c>
      <c r="AA53" s="23">
        <f>IF(OR(AA$1="",$BM53=0),"",SUMIFS(Entries!$E$2:$E$5000,Entries!$C$2:$C$5000,"Actual",Entries!$A$2:$A$5000,"&gt;="&amp;$A53,Entries!$A$2:$A$5000,"&lt;"&amp;EDATE($A53,1),Entries!$B$2:$B$5000,AA$1))</f>
        <v/>
      </c>
      <c r="AB53" s="23">
        <f>IF(OR(AB$1="",$BM53=0),"",SUMIFS(Entries!$E$2:$E$5000,Entries!$C$2:$C$5000,"Actual",Entries!$A$2:$A$5000,"&gt;="&amp;$A53,Entries!$A$2:$A$5000,"&lt;"&amp;EDATE($A53,1),Entries!$B$2:$B$5000,AB$1))</f>
        <v/>
      </c>
      <c r="AC53" s="23">
        <f>IF(OR(AC$1="",$BM53=0),"",SUMIFS(Entries!$E$2:$E$5000,Entries!$C$2:$C$5000,"Actual",Entries!$A$2:$A$5000,"&gt;="&amp;$A53,Entries!$A$2:$A$5000,"&lt;"&amp;EDATE($A53,1),Entries!$B$2:$B$5000,AC$1))</f>
        <v/>
      </c>
      <c r="AD53" s="23">
        <f>IF(OR(AD$1="",$BM53=0),"",SUMIFS(Entries!$E$2:$E$5000,Entries!$C$2:$C$5000,"Actual",Entries!$A$2:$A$5000,"&gt;="&amp;$A53,Entries!$A$2:$A$5000,"&lt;"&amp;EDATE($A53,1),Entries!$B$2:$B$5000,AD$1))</f>
        <v/>
      </c>
      <c r="AE53" s="23">
        <f>IF(OR(AE$1="",$BM53=0),"",SUMIFS(Entries!$E$2:$E$5000,Entries!$C$2:$C$5000,"Actual",Entries!$A$2:$A$5000,"&gt;="&amp;$A53,Entries!$A$2:$A$5000,"&lt;"&amp;EDATE($A53,1),Entries!$B$2:$B$5000,AE$1))</f>
        <v/>
      </c>
      <c r="AF53" s="23">
        <f>IF(OR(AF$1="",$BM53=0),"",SUMIFS(Entries!$E$2:$E$5000,Entries!$C$2:$C$5000,"Actual",Entries!$A$2:$A$5000,"&gt;="&amp;$A53,Entries!$A$2:$A$5000,"&lt;"&amp;EDATE($A53,1),Entries!$B$2:$B$5000,AF$1))</f>
        <v/>
      </c>
      <c r="AG53" s="23">
        <f>IF(OR(AG$1="",$BM53=0),"",SUMIFS(Entries!$E$2:$E$5000,Entries!$C$2:$C$5000,"Actual",Entries!$A$2:$A$5000,"&gt;="&amp;$A53,Entries!$A$2:$A$5000,"&lt;"&amp;EDATE($A53,1),Entries!$B$2:$B$5000,AG$1))</f>
        <v/>
      </c>
      <c r="AH53" s="23">
        <f>IF(OR(AH$1="",$BM53=0),"",SUMIFS(Entries!$E$2:$E$5000,Entries!$C$2:$C$5000,"Actual",Entries!$A$2:$A$5000,"&gt;="&amp;$A53,Entries!$A$2:$A$5000,"&lt;"&amp;EDATE($A53,1),Entries!$B$2:$B$5000,AH$1))</f>
        <v/>
      </c>
      <c r="AI53" s="23">
        <f>IF(OR(AI$1="",$BM53=0),"",SUMIFS(Entries!$E$2:$E$5000,Entries!$C$2:$C$5000,"Actual",Entries!$A$2:$A$5000,"&gt;="&amp;$A53,Entries!$A$2:$A$5000,"&lt;"&amp;EDATE($A53,1),Entries!$B$2:$B$5000,AI$1))</f>
        <v/>
      </c>
      <c r="AJ53" s="23">
        <f>IF(OR(AJ$1="",$BM53=0),"",SUMIFS(Entries!$E$2:$E$5000,Entries!$C$2:$C$5000,"Actual",Entries!$A$2:$A$5000,"&gt;="&amp;$A53,Entries!$A$2:$A$5000,"&lt;"&amp;EDATE($A53,1),Entries!$B$2:$B$5000,AJ$1))</f>
        <v/>
      </c>
      <c r="AK53" s="23">
        <f>IF(OR(AK$1="",$BM53=0),"",SUMIFS(Entries!$E$2:$E$5000,Entries!$C$2:$C$5000,"Actual",Entries!$A$2:$A$5000,"&gt;="&amp;$A53,Entries!$A$2:$A$5000,"&lt;"&amp;EDATE($A53,1),Entries!$B$2:$B$5000,AK$1))</f>
        <v/>
      </c>
      <c r="AL53" s="23">
        <f>IF(OR(AL$1="",$BM53=0),"",SUMIFS(Entries!$E$2:$E$5000,Entries!$C$2:$C$5000,"Actual",Entries!$A$2:$A$5000,"&gt;="&amp;$A53,Entries!$A$2:$A$5000,"&lt;"&amp;EDATE($A53,1),Entries!$B$2:$B$5000,AL$1))</f>
        <v/>
      </c>
      <c r="AM53" s="23">
        <f>IF(OR(AM$1="",$BM53=0),"",SUMIFS(Entries!$E$2:$E$5000,Entries!$C$2:$C$5000,"Actual",Entries!$A$2:$A$5000,"&gt;="&amp;$A53,Entries!$A$2:$A$5000,"&lt;"&amp;EDATE($A53,1),Entries!$B$2:$B$5000,AM$1))</f>
        <v/>
      </c>
      <c r="AN53" s="23">
        <f>IF(OR(AN$1="",$BM53=0),"",SUMIFS(Entries!$E$2:$E$5000,Entries!$C$2:$C$5000,"Actual",Entries!$A$2:$A$5000,"&gt;="&amp;$A53,Entries!$A$2:$A$5000,"&lt;"&amp;EDATE($A53,1),Entries!$B$2:$B$5000,AN$1))</f>
        <v/>
      </c>
      <c r="AO53" s="23">
        <f>IF(OR(AO$1="",$BM53=0),"",SUMIFS(Entries!$E$2:$E$5000,Entries!$C$2:$C$5000,"Actual",Entries!$A$2:$A$5000,"&gt;="&amp;$A53,Entries!$A$2:$A$5000,"&lt;"&amp;EDATE($A53,1),Entries!$B$2:$B$5000,AO$1))</f>
        <v/>
      </c>
      <c r="AP53" s="23">
        <f>IF(OR(AP$1="",$BM53=0),"",SUMIFS(Entries!$E$2:$E$5000,Entries!$C$2:$C$5000,"Actual",Entries!$A$2:$A$5000,"&gt;="&amp;$A53,Entries!$A$2:$A$5000,"&lt;"&amp;EDATE($A53,1),Entries!$B$2:$B$5000,AP$1))</f>
        <v/>
      </c>
      <c r="AR53" s="23">
        <f>IF(OR(AR$1="",$BM53=0),"",IFERROR(LOOKUP(2,1/((Budgets!$A$2:$A$200=AR$1)*(Budgets!$B$2:$B$200&lt;EDATE($A53,1))),Budgets!$C$2:$C$200),0))</f>
        <v/>
      </c>
      <c r="AS53" s="23">
        <f>IF(OR(AS$1="",$BM53=0),"",IFERROR(LOOKUP(2,1/((Budgets!$A$2:$A$200=AS$1)*(Budgets!$B$2:$B$200&lt;EDATE($A53,1))),Budgets!$C$2:$C$200),0))</f>
        <v/>
      </c>
      <c r="AT53" s="23">
        <f>IF(OR(AT$1="",$BM53=0),"",IFERROR(LOOKUP(2,1/((Budgets!$A$2:$A$200=AT$1)*(Budgets!$B$2:$B$200&lt;EDATE($A53,1))),Budgets!$C$2:$C$200),0))</f>
        <v/>
      </c>
      <c r="AU53" s="23">
        <f>IF(OR(AU$1="",$BM53=0),"",IFERROR(LOOKUP(2,1/((Budgets!$A$2:$A$200=AU$1)*(Budgets!$B$2:$B$200&lt;EDATE($A53,1))),Budgets!$C$2:$C$200),0))</f>
        <v/>
      </c>
      <c r="AV53" s="23">
        <f>IF(OR(AV$1="",$BM53=0),"",IFERROR(LOOKUP(2,1/((Budgets!$A$2:$A$200=AV$1)*(Budgets!$B$2:$B$200&lt;EDATE($A53,1))),Budgets!$C$2:$C$200),0))</f>
        <v/>
      </c>
      <c r="AW53" s="23">
        <f>IF(OR(AW$1="",$BM53=0),"",IFERROR(LOOKUP(2,1/((Budgets!$A$2:$A$200=AW$1)*(Budgets!$B$2:$B$200&lt;EDATE($A53,1))),Budgets!$C$2:$C$200),0))</f>
        <v/>
      </c>
      <c r="AX53" s="23">
        <f>IF(OR(AX$1="",$BM53=0),"",IFERROR(LOOKUP(2,1/((Budgets!$A$2:$A$200=AX$1)*(Budgets!$B$2:$B$200&lt;EDATE($A53,1))),Budgets!$C$2:$C$200),0))</f>
        <v/>
      </c>
      <c r="AY53" s="23">
        <f>IF(OR(AY$1="",$BM53=0),"",IFERROR(LOOKUP(2,1/((Budgets!$A$2:$A$200=AY$1)*(Budgets!$B$2:$B$200&lt;EDATE($A53,1))),Budgets!$C$2:$C$200),0))</f>
        <v/>
      </c>
      <c r="AZ53" s="23">
        <f>IF(OR(AZ$1="",$BM53=0),"",IFERROR(LOOKUP(2,1/((Budgets!$A$2:$A$200=AZ$1)*(Budgets!$B$2:$B$200&lt;EDATE($A53,1))),Budgets!$C$2:$C$200),0))</f>
        <v/>
      </c>
      <c r="BA53" s="23">
        <f>IF(OR(BA$1="",$BM53=0),"",IFERROR(LOOKUP(2,1/((Budgets!$A$2:$A$200=BA$1)*(Budgets!$B$2:$B$200&lt;EDATE($A53,1))),Budgets!$C$2:$C$200),0))</f>
        <v/>
      </c>
      <c r="BB53" s="23">
        <f>IF(OR(BB$1="",$BM53=0),"",IFERROR(LOOKUP(2,1/((Budgets!$A$2:$A$200=BB$1)*(Budgets!$B$2:$B$200&lt;EDATE($A53,1))),Budgets!$C$2:$C$200),0))</f>
        <v/>
      </c>
      <c r="BC53" s="23">
        <f>IF(OR(BC$1="",$BM53=0),"",IFERROR(LOOKUP(2,1/((Budgets!$A$2:$A$200=BC$1)*(Budgets!$B$2:$B$200&lt;EDATE($A53,1))),Budgets!$C$2:$C$200),0))</f>
        <v/>
      </c>
      <c r="BD53" s="23">
        <f>IF(OR(BD$1="",$BM53=0),"",IFERROR(LOOKUP(2,1/((Budgets!$A$2:$A$200=BD$1)*(Budgets!$B$2:$B$200&lt;EDATE($A53,1))),Budgets!$C$2:$C$200),0))</f>
        <v/>
      </c>
      <c r="BE53" s="23">
        <f>IF(OR(BE$1="",$BM53=0),"",IFERROR(LOOKUP(2,1/((Budgets!$A$2:$A$200=BE$1)*(Budgets!$B$2:$B$200&lt;EDATE($A53,1))),Budgets!$C$2:$C$200),0))</f>
        <v/>
      </c>
      <c r="BF53" s="23">
        <f>IF(OR(BF$1="",$BM53=0),"",IFERROR(LOOKUP(2,1/((Budgets!$A$2:$A$200=BF$1)*(Budgets!$B$2:$B$200&lt;EDATE($A53,1))),Budgets!$C$2:$C$200),0))</f>
        <v/>
      </c>
      <c r="BG53" s="23">
        <f>IF(OR(BG$1="",$BM53=0),"",IFERROR(LOOKUP(2,1/((Budgets!$A$2:$A$200=BG$1)*(Budgets!$B$2:$B$200&lt;EDATE($A53,1))),Budgets!$C$2:$C$200),0))</f>
        <v/>
      </c>
      <c r="BH53" s="23">
        <f>IF(OR(BH$1="",$BM53=0),"",IFERROR(LOOKUP(2,1/((Budgets!$A$2:$A$200=BH$1)*(Budgets!$B$2:$B$200&lt;EDATE($A53,1))),Budgets!$C$2:$C$200),0))</f>
        <v/>
      </c>
      <c r="BI53" s="23">
        <f>IF(OR(BI$1="",$BM53=0),"",IFERROR(LOOKUP(2,1/((Budgets!$A$2:$A$200=BI$1)*(Budgets!$B$2:$B$200&lt;EDATE($A53,1))),Budgets!$C$2:$C$200),0))</f>
        <v/>
      </c>
      <c r="BJ53" s="23">
        <f>IF(OR(BJ$1="",$BM53=0),"",IFERROR(LOOKUP(2,1/((Budgets!$A$2:$A$200=BJ$1)*(Budgets!$B$2:$B$200&lt;EDATE($A53,1))),Budgets!$C$2:$C$200),0))</f>
        <v/>
      </c>
      <c r="BK53" s="23">
        <f>IF(OR(BK$1="",$BM53=0),"",IFERROR(LOOKUP(2,1/((Budgets!$A$2:$A$200=BK$1)*(Budgets!$B$2:$B$200&lt;EDATE($A53,1))),Budgets!$C$2:$C$200),0))</f>
        <v/>
      </c>
      <c r="BM53" s="21">
        <f>COUNTIFS(Entries!$A$2:$A$5000,"&gt;="&amp;$A53,Entries!$A$2:$A$5000,"&lt;"&amp;EDATE($A53,1))</f>
        <v/>
      </c>
    </row>
    <row r="54">
      <c r="A54" s="22" t="n">
        <v>41030</v>
      </c>
      <c r="B54" s="23">
        <f>IF($BM54=0,NA(),SUMIFS(Entries!$E$2:$E$5000,Entries!$C$2:$C$5000,"Income",Entries!$A$2:$A$5000,"&gt;="&amp;$A54,Entries!$A$2:$A$5000,"&lt;"&amp;EDATE($A54,1)))</f>
        <v/>
      </c>
      <c r="C54" s="23">
        <f>IF($BM54=0,"",SUMIFS(Entries!$E$2:$E$5000,Entries!$C$2:$C$5000,"Actual",Entries!$A$2:$A$5000,"&gt;="&amp;$A54,Entries!$A$2:$A$5000,"&lt;"&amp;EDATE($A54,1)))</f>
        <v/>
      </c>
      <c r="D54" s="23">
        <f>IF($BM54=0,"",SUMIFS(Entries!$E$2:$E$5000,Entries!$C$2:$C$5000,"One-off",Entries!$A$2:$A$5000,"&gt;="&amp;$A54,Entries!$A$2:$A$5000,"&lt;"&amp;EDATE($A54,1)))</f>
        <v/>
      </c>
      <c r="E54" s="23">
        <f>IF($BM54=0,NA(),C54+D54)</f>
        <v/>
      </c>
      <c r="F54" s="23">
        <f>IF($BM54=0,"",SUM(AR54:BK54))</f>
        <v/>
      </c>
      <c r="G54" s="23">
        <f>IF($BM54=0,"",B54-E54)</f>
        <v/>
      </c>
      <c r="H54" s="23">
        <f>IF($BM54=0,"",SUM($G$2:G54))</f>
        <v/>
      </c>
      <c r="I54" s="23">
        <f>IF($BM54=0,"",SUMIFS(Entries!$G$2:$G$5000,Entries!$A$2:$A$5000,"&gt;="&amp;$A54,Entries!$A$2:$A$5000,"&lt;"&amp;EDATE($A54,1)))</f>
        <v/>
      </c>
      <c r="J54" s="23">
        <f>IF($BM54=0,NA(),H54)</f>
        <v/>
      </c>
      <c r="K54" s="23">
        <f>IF($BM54=0,"",SUMIFS(Entries!$E$2:$E$5000,Entries!$C$2:$C$5000,"Income",Entries!$A$2:$A$5000,"&gt;="&amp;EDATE($A54,-11),Entries!$A$2:$A$5000,"&lt;"&amp;EDATE($A54,1))/COUNTIFS($A$2:$A$400,"&gt;="&amp;EDATE($A54,-11),$A$2:$A$400,"&lt;"&amp;EDATE($A54,1),$BM$2:$BM$400,"&gt;0"))</f>
      </c>
      <c r="L54" s="23">
        <f>IF($BM54=0,"",(SUMIFS(Entries!$E$2:$E$5000,Entries!$C$2:$C$5000,"Actual",Entries!$A$2:$A$5000,"&gt;="&amp;EDATE($A54,-11),Entries!$A$2:$A$5000,"&lt;"&amp;EDATE($A54,1))+SUMIFS(Entries!$E$2:$E$5000,Entries!$C$2:$C$5000,"One-off",Entries!$A$2:$A$5000,"&gt;="&amp;EDATE($A54,-11),Entries!$A$2:$A$5000,"&lt;"&amp;EDATE($A54,1)))/COUNTIFS($A$2:$A$400,"&gt;="&amp;EDATE($A54,-11),$A$2:$A$400,"&lt;"&amp;EDATE($A54,1),$BM$2:$BM$400,"&gt;0"))</f>
      </c>
      <c r="M54" s="24">
        <f>IF($BM54=0,NA(),IFERROR((K54-L54)/K54,0))</f>
        <v/>
      </c>
      <c r="N54" s="23">
        <f>IF($BM54=0,NA(),SUMIFS(Entries!$E$2:$E$5000,Entries!$D$2:$D$5000,"Core",Entries!$A$2:$A$5000,"&gt;="&amp;$A54,Entries!$A$2:$A$5000,"&lt;"&amp;EDATE($A54,1)))</f>
        <v/>
      </c>
      <c r="O54" s="23">
        <f>IF($BM54=0,NA(),SUMIFS(Entries!$E$2:$E$5000,Entries!$D$2:$D$5000,"Over &amp; above",Entries!$A$2:$A$5000,"&gt;="&amp;$A54,Entries!$A$2:$A$5000,"&lt;"&amp;EDATE($A54,1)))</f>
        <v/>
      </c>
      <c r="P54" s="23">
        <f>IF($BM54=0,NA(),SUMIFS(Entries!$E$2:$E$5000,Entries!$D$2:$D$5000,"One-off",Entries!$A$2:$A$5000,"&gt;="&amp;$A54,Entries!$A$2:$A$5000,"&lt;"&amp;EDATE($A54,1)))</f>
        <v/>
      </c>
      <c r="Q54" s="23">
        <f>IF($BM54=0,NA(),SUMIFS(Entries!$E$2:$E$5000,Entries!$D$2:$D$5000,"Reimbursable",Entries!$A$2:$A$5000,"&gt;="&amp;$A54,Entries!$A$2:$A$5000,"&lt;"&amp;EDATE($A54,1)))</f>
        <v/>
      </c>
      <c r="R54" s="23">
        <f>IF($BM54=0,NA(),SUMIFS(Entries!$E$2:$E$5000,Entries!$D$2:$D$5000,"Investment",Entries!$A$2:$A$5000,"&gt;="&amp;$A54,Entries!$A$2:$A$5000,"&lt;"&amp;EDATE($A54,1)))</f>
        <v/>
      </c>
      <c r="S54" s="23">
        <f>IF($BM54=0,NA(),N54+O54)</f>
        <v/>
      </c>
      <c r="T54" s="23">
        <f>IF($BM54=0,"",E54-Q54)</f>
        <v/>
      </c>
      <c r="W54" s="23">
        <f>IF(OR(W$1="",$BM54=0),"",SUMIFS(Entries!$E$2:$E$5000,Entries!$C$2:$C$5000,"Actual",Entries!$A$2:$A$5000,"&gt;="&amp;$A54,Entries!$A$2:$A$5000,"&lt;"&amp;EDATE($A54,1),Entries!$B$2:$B$5000,W$1))</f>
        <v/>
      </c>
      <c r="X54" s="23">
        <f>IF(OR(X$1="",$BM54=0),"",SUMIFS(Entries!$E$2:$E$5000,Entries!$C$2:$C$5000,"Actual",Entries!$A$2:$A$5000,"&gt;="&amp;$A54,Entries!$A$2:$A$5000,"&lt;"&amp;EDATE($A54,1),Entries!$B$2:$B$5000,X$1))</f>
        <v/>
      </c>
      <c r="Y54" s="23">
        <f>IF(OR(Y$1="",$BM54=0),"",SUMIFS(Entries!$E$2:$E$5000,Entries!$C$2:$C$5000,"Actual",Entries!$A$2:$A$5000,"&gt;="&amp;$A54,Entries!$A$2:$A$5000,"&lt;"&amp;EDATE($A54,1),Entries!$B$2:$B$5000,Y$1))</f>
        <v/>
      </c>
      <c r="Z54" s="23">
        <f>IF(OR(Z$1="",$BM54=0),"",SUMIFS(Entries!$E$2:$E$5000,Entries!$C$2:$C$5000,"Actual",Entries!$A$2:$A$5000,"&gt;="&amp;$A54,Entries!$A$2:$A$5000,"&lt;"&amp;EDATE($A54,1),Entries!$B$2:$B$5000,Z$1))</f>
        <v/>
      </c>
      <c r="AA54" s="23">
        <f>IF(OR(AA$1="",$BM54=0),"",SUMIFS(Entries!$E$2:$E$5000,Entries!$C$2:$C$5000,"Actual",Entries!$A$2:$A$5000,"&gt;="&amp;$A54,Entries!$A$2:$A$5000,"&lt;"&amp;EDATE($A54,1),Entries!$B$2:$B$5000,AA$1))</f>
        <v/>
      </c>
      <c r="AB54" s="23">
        <f>IF(OR(AB$1="",$BM54=0),"",SUMIFS(Entries!$E$2:$E$5000,Entries!$C$2:$C$5000,"Actual",Entries!$A$2:$A$5000,"&gt;="&amp;$A54,Entries!$A$2:$A$5000,"&lt;"&amp;EDATE($A54,1),Entries!$B$2:$B$5000,AB$1))</f>
        <v/>
      </c>
      <c r="AC54" s="23">
        <f>IF(OR(AC$1="",$BM54=0),"",SUMIFS(Entries!$E$2:$E$5000,Entries!$C$2:$C$5000,"Actual",Entries!$A$2:$A$5000,"&gt;="&amp;$A54,Entries!$A$2:$A$5000,"&lt;"&amp;EDATE($A54,1),Entries!$B$2:$B$5000,AC$1))</f>
        <v/>
      </c>
      <c r="AD54" s="23">
        <f>IF(OR(AD$1="",$BM54=0),"",SUMIFS(Entries!$E$2:$E$5000,Entries!$C$2:$C$5000,"Actual",Entries!$A$2:$A$5000,"&gt;="&amp;$A54,Entries!$A$2:$A$5000,"&lt;"&amp;EDATE($A54,1),Entries!$B$2:$B$5000,AD$1))</f>
        <v/>
      </c>
      <c r="AE54" s="23">
        <f>IF(OR(AE$1="",$BM54=0),"",SUMIFS(Entries!$E$2:$E$5000,Entries!$C$2:$C$5000,"Actual",Entries!$A$2:$A$5000,"&gt;="&amp;$A54,Entries!$A$2:$A$5000,"&lt;"&amp;EDATE($A54,1),Entries!$B$2:$B$5000,AE$1))</f>
        <v/>
      </c>
      <c r="AF54" s="23">
        <f>IF(OR(AF$1="",$BM54=0),"",SUMIFS(Entries!$E$2:$E$5000,Entries!$C$2:$C$5000,"Actual",Entries!$A$2:$A$5000,"&gt;="&amp;$A54,Entries!$A$2:$A$5000,"&lt;"&amp;EDATE($A54,1),Entries!$B$2:$B$5000,AF$1))</f>
        <v/>
      </c>
      <c r="AG54" s="23">
        <f>IF(OR(AG$1="",$BM54=0),"",SUMIFS(Entries!$E$2:$E$5000,Entries!$C$2:$C$5000,"Actual",Entries!$A$2:$A$5000,"&gt;="&amp;$A54,Entries!$A$2:$A$5000,"&lt;"&amp;EDATE($A54,1),Entries!$B$2:$B$5000,AG$1))</f>
        <v/>
      </c>
      <c r="AH54" s="23">
        <f>IF(OR(AH$1="",$BM54=0),"",SUMIFS(Entries!$E$2:$E$5000,Entries!$C$2:$C$5000,"Actual",Entries!$A$2:$A$5000,"&gt;="&amp;$A54,Entries!$A$2:$A$5000,"&lt;"&amp;EDATE($A54,1),Entries!$B$2:$B$5000,AH$1))</f>
        <v/>
      </c>
      <c r="AI54" s="23">
        <f>IF(OR(AI$1="",$BM54=0),"",SUMIFS(Entries!$E$2:$E$5000,Entries!$C$2:$C$5000,"Actual",Entries!$A$2:$A$5000,"&gt;="&amp;$A54,Entries!$A$2:$A$5000,"&lt;"&amp;EDATE($A54,1),Entries!$B$2:$B$5000,AI$1))</f>
        <v/>
      </c>
      <c r="AJ54" s="23">
        <f>IF(OR(AJ$1="",$BM54=0),"",SUMIFS(Entries!$E$2:$E$5000,Entries!$C$2:$C$5000,"Actual",Entries!$A$2:$A$5000,"&gt;="&amp;$A54,Entries!$A$2:$A$5000,"&lt;"&amp;EDATE($A54,1),Entries!$B$2:$B$5000,AJ$1))</f>
        <v/>
      </c>
      <c r="AK54" s="23">
        <f>IF(OR(AK$1="",$BM54=0),"",SUMIFS(Entries!$E$2:$E$5000,Entries!$C$2:$C$5000,"Actual",Entries!$A$2:$A$5000,"&gt;="&amp;$A54,Entries!$A$2:$A$5000,"&lt;"&amp;EDATE($A54,1),Entries!$B$2:$B$5000,AK$1))</f>
        <v/>
      </c>
      <c r="AL54" s="23">
        <f>IF(OR(AL$1="",$BM54=0),"",SUMIFS(Entries!$E$2:$E$5000,Entries!$C$2:$C$5000,"Actual",Entries!$A$2:$A$5000,"&gt;="&amp;$A54,Entries!$A$2:$A$5000,"&lt;"&amp;EDATE($A54,1),Entries!$B$2:$B$5000,AL$1))</f>
        <v/>
      </c>
      <c r="AM54" s="23">
        <f>IF(OR(AM$1="",$BM54=0),"",SUMIFS(Entries!$E$2:$E$5000,Entries!$C$2:$C$5000,"Actual",Entries!$A$2:$A$5000,"&gt;="&amp;$A54,Entries!$A$2:$A$5000,"&lt;"&amp;EDATE($A54,1),Entries!$B$2:$B$5000,AM$1))</f>
        <v/>
      </c>
      <c r="AN54" s="23">
        <f>IF(OR(AN$1="",$BM54=0),"",SUMIFS(Entries!$E$2:$E$5000,Entries!$C$2:$C$5000,"Actual",Entries!$A$2:$A$5000,"&gt;="&amp;$A54,Entries!$A$2:$A$5000,"&lt;"&amp;EDATE($A54,1),Entries!$B$2:$B$5000,AN$1))</f>
        <v/>
      </c>
      <c r="AO54" s="23">
        <f>IF(OR(AO$1="",$BM54=0),"",SUMIFS(Entries!$E$2:$E$5000,Entries!$C$2:$C$5000,"Actual",Entries!$A$2:$A$5000,"&gt;="&amp;$A54,Entries!$A$2:$A$5000,"&lt;"&amp;EDATE($A54,1),Entries!$B$2:$B$5000,AO$1))</f>
        <v/>
      </c>
      <c r="AP54" s="23">
        <f>IF(OR(AP$1="",$BM54=0),"",SUMIFS(Entries!$E$2:$E$5000,Entries!$C$2:$C$5000,"Actual",Entries!$A$2:$A$5000,"&gt;="&amp;$A54,Entries!$A$2:$A$5000,"&lt;"&amp;EDATE($A54,1),Entries!$B$2:$B$5000,AP$1))</f>
        <v/>
      </c>
      <c r="AR54" s="23">
        <f>IF(OR(AR$1="",$BM54=0),"",IFERROR(LOOKUP(2,1/((Budgets!$A$2:$A$200=AR$1)*(Budgets!$B$2:$B$200&lt;EDATE($A54,1))),Budgets!$C$2:$C$200),0))</f>
        <v/>
      </c>
      <c r="AS54" s="23">
        <f>IF(OR(AS$1="",$BM54=0),"",IFERROR(LOOKUP(2,1/((Budgets!$A$2:$A$200=AS$1)*(Budgets!$B$2:$B$200&lt;EDATE($A54,1))),Budgets!$C$2:$C$200),0))</f>
        <v/>
      </c>
      <c r="AT54" s="23">
        <f>IF(OR(AT$1="",$BM54=0),"",IFERROR(LOOKUP(2,1/((Budgets!$A$2:$A$200=AT$1)*(Budgets!$B$2:$B$200&lt;EDATE($A54,1))),Budgets!$C$2:$C$200),0))</f>
        <v/>
      </c>
      <c r="AU54" s="23">
        <f>IF(OR(AU$1="",$BM54=0),"",IFERROR(LOOKUP(2,1/((Budgets!$A$2:$A$200=AU$1)*(Budgets!$B$2:$B$200&lt;EDATE($A54,1))),Budgets!$C$2:$C$200),0))</f>
        <v/>
      </c>
      <c r="AV54" s="23">
        <f>IF(OR(AV$1="",$BM54=0),"",IFERROR(LOOKUP(2,1/((Budgets!$A$2:$A$200=AV$1)*(Budgets!$B$2:$B$200&lt;EDATE($A54,1))),Budgets!$C$2:$C$200),0))</f>
        <v/>
      </c>
      <c r="AW54" s="23">
        <f>IF(OR(AW$1="",$BM54=0),"",IFERROR(LOOKUP(2,1/((Budgets!$A$2:$A$200=AW$1)*(Budgets!$B$2:$B$200&lt;EDATE($A54,1))),Budgets!$C$2:$C$200),0))</f>
        <v/>
      </c>
      <c r="AX54" s="23">
        <f>IF(OR(AX$1="",$BM54=0),"",IFERROR(LOOKUP(2,1/((Budgets!$A$2:$A$200=AX$1)*(Budgets!$B$2:$B$200&lt;EDATE($A54,1))),Budgets!$C$2:$C$200),0))</f>
        <v/>
      </c>
      <c r="AY54" s="23">
        <f>IF(OR(AY$1="",$BM54=0),"",IFERROR(LOOKUP(2,1/((Budgets!$A$2:$A$200=AY$1)*(Budgets!$B$2:$B$200&lt;EDATE($A54,1))),Budgets!$C$2:$C$200),0))</f>
        <v/>
      </c>
      <c r="AZ54" s="23">
        <f>IF(OR(AZ$1="",$BM54=0),"",IFERROR(LOOKUP(2,1/((Budgets!$A$2:$A$200=AZ$1)*(Budgets!$B$2:$B$200&lt;EDATE($A54,1))),Budgets!$C$2:$C$200),0))</f>
        <v/>
      </c>
      <c r="BA54" s="23">
        <f>IF(OR(BA$1="",$BM54=0),"",IFERROR(LOOKUP(2,1/((Budgets!$A$2:$A$200=BA$1)*(Budgets!$B$2:$B$200&lt;EDATE($A54,1))),Budgets!$C$2:$C$200),0))</f>
        <v/>
      </c>
      <c r="BB54" s="23">
        <f>IF(OR(BB$1="",$BM54=0),"",IFERROR(LOOKUP(2,1/((Budgets!$A$2:$A$200=BB$1)*(Budgets!$B$2:$B$200&lt;EDATE($A54,1))),Budgets!$C$2:$C$200),0))</f>
        <v/>
      </c>
      <c r="BC54" s="23">
        <f>IF(OR(BC$1="",$BM54=0),"",IFERROR(LOOKUP(2,1/((Budgets!$A$2:$A$200=BC$1)*(Budgets!$B$2:$B$200&lt;EDATE($A54,1))),Budgets!$C$2:$C$200),0))</f>
        <v/>
      </c>
      <c r="BD54" s="23">
        <f>IF(OR(BD$1="",$BM54=0),"",IFERROR(LOOKUP(2,1/((Budgets!$A$2:$A$200=BD$1)*(Budgets!$B$2:$B$200&lt;EDATE($A54,1))),Budgets!$C$2:$C$200),0))</f>
        <v/>
      </c>
      <c r="BE54" s="23">
        <f>IF(OR(BE$1="",$BM54=0),"",IFERROR(LOOKUP(2,1/((Budgets!$A$2:$A$200=BE$1)*(Budgets!$B$2:$B$200&lt;EDATE($A54,1))),Budgets!$C$2:$C$200),0))</f>
        <v/>
      </c>
      <c r="BF54" s="23">
        <f>IF(OR(BF$1="",$BM54=0),"",IFERROR(LOOKUP(2,1/((Budgets!$A$2:$A$200=BF$1)*(Budgets!$B$2:$B$200&lt;EDATE($A54,1))),Budgets!$C$2:$C$200),0))</f>
        <v/>
      </c>
      <c r="BG54" s="23">
        <f>IF(OR(BG$1="",$BM54=0),"",IFERROR(LOOKUP(2,1/((Budgets!$A$2:$A$200=BG$1)*(Budgets!$B$2:$B$200&lt;EDATE($A54,1))),Budgets!$C$2:$C$200),0))</f>
        <v/>
      </c>
      <c r="BH54" s="23">
        <f>IF(OR(BH$1="",$BM54=0),"",IFERROR(LOOKUP(2,1/((Budgets!$A$2:$A$200=BH$1)*(Budgets!$B$2:$B$200&lt;EDATE($A54,1))),Budgets!$C$2:$C$200),0))</f>
        <v/>
      </c>
      <c r="BI54" s="23">
        <f>IF(OR(BI$1="",$BM54=0),"",IFERROR(LOOKUP(2,1/((Budgets!$A$2:$A$200=BI$1)*(Budgets!$B$2:$B$200&lt;EDATE($A54,1))),Budgets!$C$2:$C$200),0))</f>
        <v/>
      </c>
      <c r="BJ54" s="23">
        <f>IF(OR(BJ$1="",$BM54=0),"",IFERROR(LOOKUP(2,1/((Budgets!$A$2:$A$200=BJ$1)*(Budgets!$B$2:$B$200&lt;EDATE($A54,1))),Budgets!$C$2:$C$200),0))</f>
        <v/>
      </c>
      <c r="BK54" s="23">
        <f>IF(OR(BK$1="",$BM54=0),"",IFERROR(LOOKUP(2,1/((Budgets!$A$2:$A$200=BK$1)*(Budgets!$B$2:$B$200&lt;EDATE($A54,1))),Budgets!$C$2:$C$200),0))</f>
        <v/>
      </c>
      <c r="BM54" s="21">
        <f>COUNTIFS(Entries!$A$2:$A$5000,"&gt;="&amp;$A54,Entries!$A$2:$A$5000,"&lt;"&amp;EDATE($A54,1))</f>
        <v/>
      </c>
    </row>
    <row r="55">
      <c r="A55" s="22" t="n">
        <v>41061</v>
      </c>
      <c r="B55" s="23">
        <f>IF($BM55=0,NA(),SUMIFS(Entries!$E$2:$E$5000,Entries!$C$2:$C$5000,"Income",Entries!$A$2:$A$5000,"&gt;="&amp;$A55,Entries!$A$2:$A$5000,"&lt;"&amp;EDATE($A55,1)))</f>
        <v/>
      </c>
      <c r="C55" s="23">
        <f>IF($BM55=0,"",SUMIFS(Entries!$E$2:$E$5000,Entries!$C$2:$C$5000,"Actual",Entries!$A$2:$A$5000,"&gt;="&amp;$A55,Entries!$A$2:$A$5000,"&lt;"&amp;EDATE($A55,1)))</f>
        <v/>
      </c>
      <c r="D55" s="23">
        <f>IF($BM55=0,"",SUMIFS(Entries!$E$2:$E$5000,Entries!$C$2:$C$5000,"One-off",Entries!$A$2:$A$5000,"&gt;="&amp;$A55,Entries!$A$2:$A$5000,"&lt;"&amp;EDATE($A55,1)))</f>
        <v/>
      </c>
      <c r="E55" s="23">
        <f>IF($BM55=0,NA(),C55+D55)</f>
        <v/>
      </c>
      <c r="F55" s="23">
        <f>IF($BM55=0,"",SUM(AR55:BK55))</f>
        <v/>
      </c>
      <c r="G55" s="23">
        <f>IF($BM55=0,"",B55-E55)</f>
        <v/>
      </c>
      <c r="H55" s="23">
        <f>IF($BM55=0,"",SUM($G$2:G55))</f>
        <v/>
      </c>
      <c r="I55" s="23">
        <f>IF($BM55=0,"",SUMIFS(Entries!$G$2:$G$5000,Entries!$A$2:$A$5000,"&gt;="&amp;$A55,Entries!$A$2:$A$5000,"&lt;"&amp;EDATE($A55,1)))</f>
        <v/>
      </c>
      <c r="J55" s="23">
        <f>IF($BM55=0,NA(),H55)</f>
        <v/>
      </c>
      <c r="K55" s="23">
        <f>IF($BM55=0,"",SUMIFS(Entries!$E$2:$E$5000,Entries!$C$2:$C$5000,"Income",Entries!$A$2:$A$5000,"&gt;="&amp;EDATE($A55,-11),Entries!$A$2:$A$5000,"&lt;"&amp;EDATE($A55,1))/COUNTIFS($A$2:$A$400,"&gt;="&amp;EDATE($A55,-11),$A$2:$A$400,"&lt;"&amp;EDATE($A55,1),$BM$2:$BM$400,"&gt;0"))</f>
      </c>
      <c r="L55" s="23">
        <f>IF($BM55=0,"",(SUMIFS(Entries!$E$2:$E$5000,Entries!$C$2:$C$5000,"Actual",Entries!$A$2:$A$5000,"&gt;="&amp;EDATE($A55,-11),Entries!$A$2:$A$5000,"&lt;"&amp;EDATE($A55,1))+SUMIFS(Entries!$E$2:$E$5000,Entries!$C$2:$C$5000,"One-off",Entries!$A$2:$A$5000,"&gt;="&amp;EDATE($A55,-11),Entries!$A$2:$A$5000,"&lt;"&amp;EDATE($A55,1)))/COUNTIFS($A$2:$A$400,"&gt;="&amp;EDATE($A55,-11),$A$2:$A$400,"&lt;"&amp;EDATE($A55,1),$BM$2:$BM$400,"&gt;0"))</f>
      </c>
      <c r="M55" s="24">
        <f>IF($BM55=0,NA(),IFERROR((K55-L55)/K55,0))</f>
        <v/>
      </c>
      <c r="N55" s="23">
        <f>IF($BM55=0,NA(),SUMIFS(Entries!$E$2:$E$5000,Entries!$D$2:$D$5000,"Core",Entries!$A$2:$A$5000,"&gt;="&amp;$A55,Entries!$A$2:$A$5000,"&lt;"&amp;EDATE($A55,1)))</f>
        <v/>
      </c>
      <c r="O55" s="23">
        <f>IF($BM55=0,NA(),SUMIFS(Entries!$E$2:$E$5000,Entries!$D$2:$D$5000,"Over &amp; above",Entries!$A$2:$A$5000,"&gt;="&amp;$A55,Entries!$A$2:$A$5000,"&lt;"&amp;EDATE($A55,1)))</f>
        <v/>
      </c>
      <c r="P55" s="23">
        <f>IF($BM55=0,NA(),SUMIFS(Entries!$E$2:$E$5000,Entries!$D$2:$D$5000,"One-off",Entries!$A$2:$A$5000,"&gt;="&amp;$A55,Entries!$A$2:$A$5000,"&lt;"&amp;EDATE($A55,1)))</f>
        <v/>
      </c>
      <c r="Q55" s="23">
        <f>IF($BM55=0,NA(),SUMIFS(Entries!$E$2:$E$5000,Entries!$D$2:$D$5000,"Reimbursable",Entries!$A$2:$A$5000,"&gt;="&amp;$A55,Entries!$A$2:$A$5000,"&lt;"&amp;EDATE($A55,1)))</f>
        <v/>
      </c>
      <c r="R55" s="23">
        <f>IF($BM55=0,NA(),SUMIFS(Entries!$E$2:$E$5000,Entries!$D$2:$D$5000,"Investment",Entries!$A$2:$A$5000,"&gt;="&amp;$A55,Entries!$A$2:$A$5000,"&lt;"&amp;EDATE($A55,1)))</f>
        <v/>
      </c>
      <c r="S55" s="23">
        <f>IF($BM55=0,NA(),N55+O55)</f>
        <v/>
      </c>
      <c r="T55" s="23">
        <f>IF($BM55=0,"",E55-Q55)</f>
        <v/>
      </c>
      <c r="W55" s="23">
        <f>IF(OR(W$1="",$BM55=0),"",SUMIFS(Entries!$E$2:$E$5000,Entries!$C$2:$C$5000,"Actual",Entries!$A$2:$A$5000,"&gt;="&amp;$A55,Entries!$A$2:$A$5000,"&lt;"&amp;EDATE($A55,1),Entries!$B$2:$B$5000,W$1))</f>
        <v/>
      </c>
      <c r="X55" s="23">
        <f>IF(OR(X$1="",$BM55=0),"",SUMIFS(Entries!$E$2:$E$5000,Entries!$C$2:$C$5000,"Actual",Entries!$A$2:$A$5000,"&gt;="&amp;$A55,Entries!$A$2:$A$5000,"&lt;"&amp;EDATE($A55,1),Entries!$B$2:$B$5000,X$1))</f>
        <v/>
      </c>
      <c r="Y55" s="23">
        <f>IF(OR(Y$1="",$BM55=0),"",SUMIFS(Entries!$E$2:$E$5000,Entries!$C$2:$C$5000,"Actual",Entries!$A$2:$A$5000,"&gt;="&amp;$A55,Entries!$A$2:$A$5000,"&lt;"&amp;EDATE($A55,1),Entries!$B$2:$B$5000,Y$1))</f>
        <v/>
      </c>
      <c r="Z55" s="23">
        <f>IF(OR(Z$1="",$BM55=0),"",SUMIFS(Entries!$E$2:$E$5000,Entries!$C$2:$C$5000,"Actual",Entries!$A$2:$A$5000,"&gt;="&amp;$A55,Entries!$A$2:$A$5000,"&lt;"&amp;EDATE($A55,1),Entries!$B$2:$B$5000,Z$1))</f>
        <v/>
      </c>
      <c r="AA55" s="23">
        <f>IF(OR(AA$1="",$BM55=0),"",SUMIFS(Entries!$E$2:$E$5000,Entries!$C$2:$C$5000,"Actual",Entries!$A$2:$A$5000,"&gt;="&amp;$A55,Entries!$A$2:$A$5000,"&lt;"&amp;EDATE($A55,1),Entries!$B$2:$B$5000,AA$1))</f>
        <v/>
      </c>
      <c r="AB55" s="23">
        <f>IF(OR(AB$1="",$BM55=0),"",SUMIFS(Entries!$E$2:$E$5000,Entries!$C$2:$C$5000,"Actual",Entries!$A$2:$A$5000,"&gt;="&amp;$A55,Entries!$A$2:$A$5000,"&lt;"&amp;EDATE($A55,1),Entries!$B$2:$B$5000,AB$1))</f>
        <v/>
      </c>
      <c r="AC55" s="23">
        <f>IF(OR(AC$1="",$BM55=0),"",SUMIFS(Entries!$E$2:$E$5000,Entries!$C$2:$C$5000,"Actual",Entries!$A$2:$A$5000,"&gt;="&amp;$A55,Entries!$A$2:$A$5000,"&lt;"&amp;EDATE($A55,1),Entries!$B$2:$B$5000,AC$1))</f>
        <v/>
      </c>
      <c r="AD55" s="23">
        <f>IF(OR(AD$1="",$BM55=0),"",SUMIFS(Entries!$E$2:$E$5000,Entries!$C$2:$C$5000,"Actual",Entries!$A$2:$A$5000,"&gt;="&amp;$A55,Entries!$A$2:$A$5000,"&lt;"&amp;EDATE($A55,1),Entries!$B$2:$B$5000,AD$1))</f>
        <v/>
      </c>
      <c r="AE55" s="23">
        <f>IF(OR(AE$1="",$BM55=0),"",SUMIFS(Entries!$E$2:$E$5000,Entries!$C$2:$C$5000,"Actual",Entries!$A$2:$A$5000,"&gt;="&amp;$A55,Entries!$A$2:$A$5000,"&lt;"&amp;EDATE($A55,1),Entries!$B$2:$B$5000,AE$1))</f>
        <v/>
      </c>
      <c r="AF55" s="23">
        <f>IF(OR(AF$1="",$BM55=0),"",SUMIFS(Entries!$E$2:$E$5000,Entries!$C$2:$C$5000,"Actual",Entries!$A$2:$A$5000,"&gt;="&amp;$A55,Entries!$A$2:$A$5000,"&lt;"&amp;EDATE($A55,1),Entries!$B$2:$B$5000,AF$1))</f>
        <v/>
      </c>
      <c r="AG55" s="23">
        <f>IF(OR(AG$1="",$BM55=0),"",SUMIFS(Entries!$E$2:$E$5000,Entries!$C$2:$C$5000,"Actual",Entries!$A$2:$A$5000,"&gt;="&amp;$A55,Entries!$A$2:$A$5000,"&lt;"&amp;EDATE($A55,1),Entries!$B$2:$B$5000,AG$1))</f>
        <v/>
      </c>
      <c r="AH55" s="23">
        <f>IF(OR(AH$1="",$BM55=0),"",SUMIFS(Entries!$E$2:$E$5000,Entries!$C$2:$C$5000,"Actual",Entries!$A$2:$A$5000,"&gt;="&amp;$A55,Entries!$A$2:$A$5000,"&lt;"&amp;EDATE($A55,1),Entries!$B$2:$B$5000,AH$1))</f>
        <v/>
      </c>
      <c r="AI55" s="23">
        <f>IF(OR(AI$1="",$BM55=0),"",SUMIFS(Entries!$E$2:$E$5000,Entries!$C$2:$C$5000,"Actual",Entries!$A$2:$A$5000,"&gt;="&amp;$A55,Entries!$A$2:$A$5000,"&lt;"&amp;EDATE($A55,1),Entries!$B$2:$B$5000,AI$1))</f>
        <v/>
      </c>
      <c r="AJ55" s="23">
        <f>IF(OR(AJ$1="",$BM55=0),"",SUMIFS(Entries!$E$2:$E$5000,Entries!$C$2:$C$5000,"Actual",Entries!$A$2:$A$5000,"&gt;="&amp;$A55,Entries!$A$2:$A$5000,"&lt;"&amp;EDATE($A55,1),Entries!$B$2:$B$5000,AJ$1))</f>
        <v/>
      </c>
      <c r="AK55" s="23">
        <f>IF(OR(AK$1="",$BM55=0),"",SUMIFS(Entries!$E$2:$E$5000,Entries!$C$2:$C$5000,"Actual",Entries!$A$2:$A$5000,"&gt;="&amp;$A55,Entries!$A$2:$A$5000,"&lt;"&amp;EDATE($A55,1),Entries!$B$2:$B$5000,AK$1))</f>
        <v/>
      </c>
      <c r="AL55" s="23">
        <f>IF(OR(AL$1="",$BM55=0),"",SUMIFS(Entries!$E$2:$E$5000,Entries!$C$2:$C$5000,"Actual",Entries!$A$2:$A$5000,"&gt;="&amp;$A55,Entries!$A$2:$A$5000,"&lt;"&amp;EDATE($A55,1),Entries!$B$2:$B$5000,AL$1))</f>
        <v/>
      </c>
      <c r="AM55" s="23">
        <f>IF(OR(AM$1="",$BM55=0),"",SUMIFS(Entries!$E$2:$E$5000,Entries!$C$2:$C$5000,"Actual",Entries!$A$2:$A$5000,"&gt;="&amp;$A55,Entries!$A$2:$A$5000,"&lt;"&amp;EDATE($A55,1),Entries!$B$2:$B$5000,AM$1))</f>
        <v/>
      </c>
      <c r="AN55" s="23">
        <f>IF(OR(AN$1="",$BM55=0),"",SUMIFS(Entries!$E$2:$E$5000,Entries!$C$2:$C$5000,"Actual",Entries!$A$2:$A$5000,"&gt;="&amp;$A55,Entries!$A$2:$A$5000,"&lt;"&amp;EDATE($A55,1),Entries!$B$2:$B$5000,AN$1))</f>
        <v/>
      </c>
      <c r="AO55" s="23">
        <f>IF(OR(AO$1="",$BM55=0),"",SUMIFS(Entries!$E$2:$E$5000,Entries!$C$2:$C$5000,"Actual",Entries!$A$2:$A$5000,"&gt;="&amp;$A55,Entries!$A$2:$A$5000,"&lt;"&amp;EDATE($A55,1),Entries!$B$2:$B$5000,AO$1))</f>
        <v/>
      </c>
      <c r="AP55" s="23">
        <f>IF(OR(AP$1="",$BM55=0),"",SUMIFS(Entries!$E$2:$E$5000,Entries!$C$2:$C$5000,"Actual",Entries!$A$2:$A$5000,"&gt;="&amp;$A55,Entries!$A$2:$A$5000,"&lt;"&amp;EDATE($A55,1),Entries!$B$2:$B$5000,AP$1))</f>
        <v/>
      </c>
      <c r="AR55" s="23">
        <f>IF(OR(AR$1="",$BM55=0),"",IFERROR(LOOKUP(2,1/((Budgets!$A$2:$A$200=AR$1)*(Budgets!$B$2:$B$200&lt;EDATE($A55,1))),Budgets!$C$2:$C$200),0))</f>
        <v/>
      </c>
      <c r="AS55" s="23">
        <f>IF(OR(AS$1="",$BM55=0),"",IFERROR(LOOKUP(2,1/((Budgets!$A$2:$A$200=AS$1)*(Budgets!$B$2:$B$200&lt;EDATE($A55,1))),Budgets!$C$2:$C$200),0))</f>
        <v/>
      </c>
      <c r="AT55" s="23">
        <f>IF(OR(AT$1="",$BM55=0),"",IFERROR(LOOKUP(2,1/((Budgets!$A$2:$A$200=AT$1)*(Budgets!$B$2:$B$200&lt;EDATE($A55,1))),Budgets!$C$2:$C$200),0))</f>
        <v/>
      </c>
      <c r="AU55" s="23">
        <f>IF(OR(AU$1="",$BM55=0),"",IFERROR(LOOKUP(2,1/((Budgets!$A$2:$A$200=AU$1)*(Budgets!$B$2:$B$200&lt;EDATE($A55,1))),Budgets!$C$2:$C$200),0))</f>
        <v/>
      </c>
      <c r="AV55" s="23">
        <f>IF(OR(AV$1="",$BM55=0),"",IFERROR(LOOKUP(2,1/((Budgets!$A$2:$A$200=AV$1)*(Budgets!$B$2:$B$200&lt;EDATE($A55,1))),Budgets!$C$2:$C$200),0))</f>
        <v/>
      </c>
      <c r="AW55" s="23">
        <f>IF(OR(AW$1="",$BM55=0),"",IFERROR(LOOKUP(2,1/((Budgets!$A$2:$A$200=AW$1)*(Budgets!$B$2:$B$200&lt;EDATE($A55,1))),Budgets!$C$2:$C$200),0))</f>
        <v/>
      </c>
      <c r="AX55" s="23">
        <f>IF(OR(AX$1="",$BM55=0),"",IFERROR(LOOKUP(2,1/((Budgets!$A$2:$A$200=AX$1)*(Budgets!$B$2:$B$200&lt;EDATE($A55,1))),Budgets!$C$2:$C$200),0))</f>
        <v/>
      </c>
      <c r="AY55" s="23">
        <f>IF(OR(AY$1="",$BM55=0),"",IFERROR(LOOKUP(2,1/((Budgets!$A$2:$A$200=AY$1)*(Budgets!$B$2:$B$200&lt;EDATE($A55,1))),Budgets!$C$2:$C$200),0))</f>
        <v/>
      </c>
      <c r="AZ55" s="23">
        <f>IF(OR(AZ$1="",$BM55=0),"",IFERROR(LOOKUP(2,1/((Budgets!$A$2:$A$200=AZ$1)*(Budgets!$B$2:$B$200&lt;EDATE($A55,1))),Budgets!$C$2:$C$200),0))</f>
        <v/>
      </c>
      <c r="BA55" s="23">
        <f>IF(OR(BA$1="",$BM55=0),"",IFERROR(LOOKUP(2,1/((Budgets!$A$2:$A$200=BA$1)*(Budgets!$B$2:$B$200&lt;EDATE($A55,1))),Budgets!$C$2:$C$200),0))</f>
        <v/>
      </c>
      <c r="BB55" s="23">
        <f>IF(OR(BB$1="",$BM55=0),"",IFERROR(LOOKUP(2,1/((Budgets!$A$2:$A$200=BB$1)*(Budgets!$B$2:$B$200&lt;EDATE($A55,1))),Budgets!$C$2:$C$200),0))</f>
        <v/>
      </c>
      <c r="BC55" s="23">
        <f>IF(OR(BC$1="",$BM55=0),"",IFERROR(LOOKUP(2,1/((Budgets!$A$2:$A$200=BC$1)*(Budgets!$B$2:$B$200&lt;EDATE($A55,1))),Budgets!$C$2:$C$200),0))</f>
        <v/>
      </c>
      <c r="BD55" s="23">
        <f>IF(OR(BD$1="",$BM55=0),"",IFERROR(LOOKUP(2,1/((Budgets!$A$2:$A$200=BD$1)*(Budgets!$B$2:$B$200&lt;EDATE($A55,1))),Budgets!$C$2:$C$200),0))</f>
        <v/>
      </c>
      <c r="BE55" s="23">
        <f>IF(OR(BE$1="",$BM55=0),"",IFERROR(LOOKUP(2,1/((Budgets!$A$2:$A$200=BE$1)*(Budgets!$B$2:$B$200&lt;EDATE($A55,1))),Budgets!$C$2:$C$200),0))</f>
        <v/>
      </c>
      <c r="BF55" s="23">
        <f>IF(OR(BF$1="",$BM55=0),"",IFERROR(LOOKUP(2,1/((Budgets!$A$2:$A$200=BF$1)*(Budgets!$B$2:$B$200&lt;EDATE($A55,1))),Budgets!$C$2:$C$200),0))</f>
        <v/>
      </c>
      <c r="BG55" s="23">
        <f>IF(OR(BG$1="",$BM55=0),"",IFERROR(LOOKUP(2,1/((Budgets!$A$2:$A$200=BG$1)*(Budgets!$B$2:$B$200&lt;EDATE($A55,1))),Budgets!$C$2:$C$200),0))</f>
        <v/>
      </c>
      <c r="BH55" s="23">
        <f>IF(OR(BH$1="",$BM55=0),"",IFERROR(LOOKUP(2,1/((Budgets!$A$2:$A$200=BH$1)*(Budgets!$B$2:$B$200&lt;EDATE($A55,1))),Budgets!$C$2:$C$200),0))</f>
        <v/>
      </c>
      <c r="BI55" s="23">
        <f>IF(OR(BI$1="",$BM55=0),"",IFERROR(LOOKUP(2,1/((Budgets!$A$2:$A$200=BI$1)*(Budgets!$B$2:$B$200&lt;EDATE($A55,1))),Budgets!$C$2:$C$200),0))</f>
        <v/>
      </c>
      <c r="BJ55" s="23">
        <f>IF(OR(BJ$1="",$BM55=0),"",IFERROR(LOOKUP(2,1/((Budgets!$A$2:$A$200=BJ$1)*(Budgets!$B$2:$B$200&lt;EDATE($A55,1))),Budgets!$C$2:$C$200),0))</f>
        <v/>
      </c>
      <c r="BK55" s="23">
        <f>IF(OR(BK$1="",$BM55=0),"",IFERROR(LOOKUP(2,1/((Budgets!$A$2:$A$200=BK$1)*(Budgets!$B$2:$B$200&lt;EDATE($A55,1))),Budgets!$C$2:$C$200),0))</f>
        <v/>
      </c>
      <c r="BM55" s="21">
        <f>COUNTIFS(Entries!$A$2:$A$5000,"&gt;="&amp;$A55,Entries!$A$2:$A$5000,"&lt;"&amp;EDATE($A55,1))</f>
        <v/>
      </c>
    </row>
    <row r="56">
      <c r="A56" s="22" t="n">
        <v>41091</v>
      </c>
      <c r="B56" s="23">
        <f>IF($BM56=0,NA(),SUMIFS(Entries!$E$2:$E$5000,Entries!$C$2:$C$5000,"Income",Entries!$A$2:$A$5000,"&gt;="&amp;$A56,Entries!$A$2:$A$5000,"&lt;"&amp;EDATE($A56,1)))</f>
        <v/>
      </c>
      <c r="C56" s="23">
        <f>IF($BM56=0,"",SUMIFS(Entries!$E$2:$E$5000,Entries!$C$2:$C$5000,"Actual",Entries!$A$2:$A$5000,"&gt;="&amp;$A56,Entries!$A$2:$A$5000,"&lt;"&amp;EDATE($A56,1)))</f>
        <v/>
      </c>
      <c r="D56" s="23">
        <f>IF($BM56=0,"",SUMIFS(Entries!$E$2:$E$5000,Entries!$C$2:$C$5000,"One-off",Entries!$A$2:$A$5000,"&gt;="&amp;$A56,Entries!$A$2:$A$5000,"&lt;"&amp;EDATE($A56,1)))</f>
        <v/>
      </c>
      <c r="E56" s="23">
        <f>IF($BM56=0,NA(),C56+D56)</f>
        <v/>
      </c>
      <c r="F56" s="23">
        <f>IF($BM56=0,"",SUM(AR56:BK56))</f>
        <v/>
      </c>
      <c r="G56" s="23">
        <f>IF($BM56=0,"",B56-E56)</f>
        <v/>
      </c>
      <c r="H56" s="23">
        <f>IF($BM56=0,"",SUM($G$2:G56))</f>
        <v/>
      </c>
      <c r="I56" s="23">
        <f>IF($BM56=0,"",SUMIFS(Entries!$G$2:$G$5000,Entries!$A$2:$A$5000,"&gt;="&amp;$A56,Entries!$A$2:$A$5000,"&lt;"&amp;EDATE($A56,1)))</f>
        <v/>
      </c>
      <c r="J56" s="23">
        <f>IF($BM56=0,NA(),H56)</f>
        <v/>
      </c>
      <c r="K56" s="23">
        <f>IF($BM56=0,"",SUMIFS(Entries!$E$2:$E$5000,Entries!$C$2:$C$5000,"Income",Entries!$A$2:$A$5000,"&gt;="&amp;EDATE($A56,-11),Entries!$A$2:$A$5000,"&lt;"&amp;EDATE($A56,1))/COUNTIFS($A$2:$A$400,"&gt;="&amp;EDATE($A56,-11),$A$2:$A$400,"&lt;"&amp;EDATE($A56,1),$BM$2:$BM$400,"&gt;0"))</f>
      </c>
      <c r="L56" s="23">
        <f>IF($BM56=0,"",(SUMIFS(Entries!$E$2:$E$5000,Entries!$C$2:$C$5000,"Actual",Entries!$A$2:$A$5000,"&gt;="&amp;EDATE($A56,-11),Entries!$A$2:$A$5000,"&lt;"&amp;EDATE($A56,1))+SUMIFS(Entries!$E$2:$E$5000,Entries!$C$2:$C$5000,"One-off",Entries!$A$2:$A$5000,"&gt;="&amp;EDATE($A56,-11),Entries!$A$2:$A$5000,"&lt;"&amp;EDATE($A56,1)))/COUNTIFS($A$2:$A$400,"&gt;="&amp;EDATE($A56,-11),$A$2:$A$400,"&lt;"&amp;EDATE($A56,1),$BM$2:$BM$400,"&gt;0"))</f>
      </c>
      <c r="M56" s="24">
        <f>IF($BM56=0,NA(),IFERROR((K56-L56)/K56,0))</f>
        <v/>
      </c>
      <c r="N56" s="23">
        <f>IF($BM56=0,NA(),SUMIFS(Entries!$E$2:$E$5000,Entries!$D$2:$D$5000,"Core",Entries!$A$2:$A$5000,"&gt;="&amp;$A56,Entries!$A$2:$A$5000,"&lt;"&amp;EDATE($A56,1)))</f>
        <v/>
      </c>
      <c r="O56" s="23">
        <f>IF($BM56=0,NA(),SUMIFS(Entries!$E$2:$E$5000,Entries!$D$2:$D$5000,"Over &amp; above",Entries!$A$2:$A$5000,"&gt;="&amp;$A56,Entries!$A$2:$A$5000,"&lt;"&amp;EDATE($A56,1)))</f>
        <v/>
      </c>
      <c r="P56" s="23">
        <f>IF($BM56=0,NA(),SUMIFS(Entries!$E$2:$E$5000,Entries!$D$2:$D$5000,"One-off",Entries!$A$2:$A$5000,"&gt;="&amp;$A56,Entries!$A$2:$A$5000,"&lt;"&amp;EDATE($A56,1)))</f>
        <v/>
      </c>
      <c r="Q56" s="23">
        <f>IF($BM56=0,NA(),SUMIFS(Entries!$E$2:$E$5000,Entries!$D$2:$D$5000,"Reimbursable",Entries!$A$2:$A$5000,"&gt;="&amp;$A56,Entries!$A$2:$A$5000,"&lt;"&amp;EDATE($A56,1)))</f>
        <v/>
      </c>
      <c r="R56" s="23">
        <f>IF($BM56=0,NA(),SUMIFS(Entries!$E$2:$E$5000,Entries!$D$2:$D$5000,"Investment",Entries!$A$2:$A$5000,"&gt;="&amp;$A56,Entries!$A$2:$A$5000,"&lt;"&amp;EDATE($A56,1)))</f>
        <v/>
      </c>
      <c r="S56" s="23">
        <f>IF($BM56=0,NA(),N56+O56)</f>
        <v/>
      </c>
      <c r="T56" s="23">
        <f>IF($BM56=0,"",E56-Q56)</f>
        <v/>
      </c>
      <c r="W56" s="23">
        <f>IF(OR(W$1="",$BM56=0),"",SUMIFS(Entries!$E$2:$E$5000,Entries!$C$2:$C$5000,"Actual",Entries!$A$2:$A$5000,"&gt;="&amp;$A56,Entries!$A$2:$A$5000,"&lt;"&amp;EDATE($A56,1),Entries!$B$2:$B$5000,W$1))</f>
        <v/>
      </c>
      <c r="X56" s="23">
        <f>IF(OR(X$1="",$BM56=0),"",SUMIFS(Entries!$E$2:$E$5000,Entries!$C$2:$C$5000,"Actual",Entries!$A$2:$A$5000,"&gt;="&amp;$A56,Entries!$A$2:$A$5000,"&lt;"&amp;EDATE($A56,1),Entries!$B$2:$B$5000,X$1))</f>
        <v/>
      </c>
      <c r="Y56" s="23">
        <f>IF(OR(Y$1="",$BM56=0),"",SUMIFS(Entries!$E$2:$E$5000,Entries!$C$2:$C$5000,"Actual",Entries!$A$2:$A$5000,"&gt;="&amp;$A56,Entries!$A$2:$A$5000,"&lt;"&amp;EDATE($A56,1),Entries!$B$2:$B$5000,Y$1))</f>
        <v/>
      </c>
      <c r="Z56" s="23">
        <f>IF(OR(Z$1="",$BM56=0),"",SUMIFS(Entries!$E$2:$E$5000,Entries!$C$2:$C$5000,"Actual",Entries!$A$2:$A$5000,"&gt;="&amp;$A56,Entries!$A$2:$A$5000,"&lt;"&amp;EDATE($A56,1),Entries!$B$2:$B$5000,Z$1))</f>
        <v/>
      </c>
      <c r="AA56" s="23">
        <f>IF(OR(AA$1="",$BM56=0),"",SUMIFS(Entries!$E$2:$E$5000,Entries!$C$2:$C$5000,"Actual",Entries!$A$2:$A$5000,"&gt;="&amp;$A56,Entries!$A$2:$A$5000,"&lt;"&amp;EDATE($A56,1),Entries!$B$2:$B$5000,AA$1))</f>
        <v/>
      </c>
      <c r="AB56" s="23">
        <f>IF(OR(AB$1="",$BM56=0),"",SUMIFS(Entries!$E$2:$E$5000,Entries!$C$2:$C$5000,"Actual",Entries!$A$2:$A$5000,"&gt;="&amp;$A56,Entries!$A$2:$A$5000,"&lt;"&amp;EDATE($A56,1),Entries!$B$2:$B$5000,AB$1))</f>
        <v/>
      </c>
      <c r="AC56" s="23">
        <f>IF(OR(AC$1="",$BM56=0),"",SUMIFS(Entries!$E$2:$E$5000,Entries!$C$2:$C$5000,"Actual",Entries!$A$2:$A$5000,"&gt;="&amp;$A56,Entries!$A$2:$A$5000,"&lt;"&amp;EDATE($A56,1),Entries!$B$2:$B$5000,AC$1))</f>
        <v/>
      </c>
      <c r="AD56" s="23">
        <f>IF(OR(AD$1="",$BM56=0),"",SUMIFS(Entries!$E$2:$E$5000,Entries!$C$2:$C$5000,"Actual",Entries!$A$2:$A$5000,"&gt;="&amp;$A56,Entries!$A$2:$A$5000,"&lt;"&amp;EDATE($A56,1),Entries!$B$2:$B$5000,AD$1))</f>
        <v/>
      </c>
      <c r="AE56" s="23">
        <f>IF(OR(AE$1="",$BM56=0),"",SUMIFS(Entries!$E$2:$E$5000,Entries!$C$2:$C$5000,"Actual",Entries!$A$2:$A$5000,"&gt;="&amp;$A56,Entries!$A$2:$A$5000,"&lt;"&amp;EDATE($A56,1),Entries!$B$2:$B$5000,AE$1))</f>
        <v/>
      </c>
      <c r="AF56" s="23">
        <f>IF(OR(AF$1="",$BM56=0),"",SUMIFS(Entries!$E$2:$E$5000,Entries!$C$2:$C$5000,"Actual",Entries!$A$2:$A$5000,"&gt;="&amp;$A56,Entries!$A$2:$A$5000,"&lt;"&amp;EDATE($A56,1),Entries!$B$2:$B$5000,AF$1))</f>
        <v/>
      </c>
      <c r="AG56" s="23">
        <f>IF(OR(AG$1="",$BM56=0),"",SUMIFS(Entries!$E$2:$E$5000,Entries!$C$2:$C$5000,"Actual",Entries!$A$2:$A$5000,"&gt;="&amp;$A56,Entries!$A$2:$A$5000,"&lt;"&amp;EDATE($A56,1),Entries!$B$2:$B$5000,AG$1))</f>
        <v/>
      </c>
      <c r="AH56" s="23">
        <f>IF(OR(AH$1="",$BM56=0),"",SUMIFS(Entries!$E$2:$E$5000,Entries!$C$2:$C$5000,"Actual",Entries!$A$2:$A$5000,"&gt;="&amp;$A56,Entries!$A$2:$A$5000,"&lt;"&amp;EDATE($A56,1),Entries!$B$2:$B$5000,AH$1))</f>
        <v/>
      </c>
      <c r="AI56" s="23">
        <f>IF(OR(AI$1="",$BM56=0),"",SUMIFS(Entries!$E$2:$E$5000,Entries!$C$2:$C$5000,"Actual",Entries!$A$2:$A$5000,"&gt;="&amp;$A56,Entries!$A$2:$A$5000,"&lt;"&amp;EDATE($A56,1),Entries!$B$2:$B$5000,AI$1))</f>
        <v/>
      </c>
      <c r="AJ56" s="23">
        <f>IF(OR(AJ$1="",$BM56=0),"",SUMIFS(Entries!$E$2:$E$5000,Entries!$C$2:$C$5000,"Actual",Entries!$A$2:$A$5000,"&gt;="&amp;$A56,Entries!$A$2:$A$5000,"&lt;"&amp;EDATE($A56,1),Entries!$B$2:$B$5000,AJ$1))</f>
        <v/>
      </c>
      <c r="AK56" s="23">
        <f>IF(OR(AK$1="",$BM56=0),"",SUMIFS(Entries!$E$2:$E$5000,Entries!$C$2:$C$5000,"Actual",Entries!$A$2:$A$5000,"&gt;="&amp;$A56,Entries!$A$2:$A$5000,"&lt;"&amp;EDATE($A56,1),Entries!$B$2:$B$5000,AK$1))</f>
        <v/>
      </c>
      <c r="AL56" s="23">
        <f>IF(OR(AL$1="",$BM56=0),"",SUMIFS(Entries!$E$2:$E$5000,Entries!$C$2:$C$5000,"Actual",Entries!$A$2:$A$5000,"&gt;="&amp;$A56,Entries!$A$2:$A$5000,"&lt;"&amp;EDATE($A56,1),Entries!$B$2:$B$5000,AL$1))</f>
        <v/>
      </c>
      <c r="AM56" s="23">
        <f>IF(OR(AM$1="",$BM56=0),"",SUMIFS(Entries!$E$2:$E$5000,Entries!$C$2:$C$5000,"Actual",Entries!$A$2:$A$5000,"&gt;="&amp;$A56,Entries!$A$2:$A$5000,"&lt;"&amp;EDATE($A56,1),Entries!$B$2:$B$5000,AM$1))</f>
        <v/>
      </c>
      <c r="AN56" s="23">
        <f>IF(OR(AN$1="",$BM56=0),"",SUMIFS(Entries!$E$2:$E$5000,Entries!$C$2:$C$5000,"Actual",Entries!$A$2:$A$5000,"&gt;="&amp;$A56,Entries!$A$2:$A$5000,"&lt;"&amp;EDATE($A56,1),Entries!$B$2:$B$5000,AN$1))</f>
        <v/>
      </c>
      <c r="AO56" s="23">
        <f>IF(OR(AO$1="",$BM56=0),"",SUMIFS(Entries!$E$2:$E$5000,Entries!$C$2:$C$5000,"Actual",Entries!$A$2:$A$5000,"&gt;="&amp;$A56,Entries!$A$2:$A$5000,"&lt;"&amp;EDATE($A56,1),Entries!$B$2:$B$5000,AO$1))</f>
        <v/>
      </c>
      <c r="AP56" s="23">
        <f>IF(OR(AP$1="",$BM56=0),"",SUMIFS(Entries!$E$2:$E$5000,Entries!$C$2:$C$5000,"Actual",Entries!$A$2:$A$5000,"&gt;="&amp;$A56,Entries!$A$2:$A$5000,"&lt;"&amp;EDATE($A56,1),Entries!$B$2:$B$5000,AP$1))</f>
        <v/>
      </c>
      <c r="AR56" s="23">
        <f>IF(OR(AR$1="",$BM56=0),"",IFERROR(LOOKUP(2,1/((Budgets!$A$2:$A$200=AR$1)*(Budgets!$B$2:$B$200&lt;EDATE($A56,1))),Budgets!$C$2:$C$200),0))</f>
        <v/>
      </c>
      <c r="AS56" s="23">
        <f>IF(OR(AS$1="",$BM56=0),"",IFERROR(LOOKUP(2,1/((Budgets!$A$2:$A$200=AS$1)*(Budgets!$B$2:$B$200&lt;EDATE($A56,1))),Budgets!$C$2:$C$200),0))</f>
        <v/>
      </c>
      <c r="AT56" s="23">
        <f>IF(OR(AT$1="",$BM56=0),"",IFERROR(LOOKUP(2,1/((Budgets!$A$2:$A$200=AT$1)*(Budgets!$B$2:$B$200&lt;EDATE($A56,1))),Budgets!$C$2:$C$200),0))</f>
        <v/>
      </c>
      <c r="AU56" s="23">
        <f>IF(OR(AU$1="",$BM56=0),"",IFERROR(LOOKUP(2,1/((Budgets!$A$2:$A$200=AU$1)*(Budgets!$B$2:$B$200&lt;EDATE($A56,1))),Budgets!$C$2:$C$200),0))</f>
        <v/>
      </c>
      <c r="AV56" s="23">
        <f>IF(OR(AV$1="",$BM56=0),"",IFERROR(LOOKUP(2,1/((Budgets!$A$2:$A$200=AV$1)*(Budgets!$B$2:$B$200&lt;EDATE($A56,1))),Budgets!$C$2:$C$200),0))</f>
        <v/>
      </c>
      <c r="AW56" s="23">
        <f>IF(OR(AW$1="",$BM56=0),"",IFERROR(LOOKUP(2,1/((Budgets!$A$2:$A$200=AW$1)*(Budgets!$B$2:$B$200&lt;EDATE($A56,1))),Budgets!$C$2:$C$200),0))</f>
        <v/>
      </c>
      <c r="AX56" s="23">
        <f>IF(OR(AX$1="",$BM56=0),"",IFERROR(LOOKUP(2,1/((Budgets!$A$2:$A$200=AX$1)*(Budgets!$B$2:$B$200&lt;EDATE($A56,1))),Budgets!$C$2:$C$200),0))</f>
        <v/>
      </c>
      <c r="AY56" s="23">
        <f>IF(OR(AY$1="",$BM56=0),"",IFERROR(LOOKUP(2,1/((Budgets!$A$2:$A$200=AY$1)*(Budgets!$B$2:$B$200&lt;EDATE($A56,1))),Budgets!$C$2:$C$200),0))</f>
        <v/>
      </c>
      <c r="AZ56" s="23">
        <f>IF(OR(AZ$1="",$BM56=0),"",IFERROR(LOOKUP(2,1/((Budgets!$A$2:$A$200=AZ$1)*(Budgets!$B$2:$B$200&lt;EDATE($A56,1))),Budgets!$C$2:$C$200),0))</f>
        <v/>
      </c>
      <c r="BA56" s="23">
        <f>IF(OR(BA$1="",$BM56=0),"",IFERROR(LOOKUP(2,1/((Budgets!$A$2:$A$200=BA$1)*(Budgets!$B$2:$B$200&lt;EDATE($A56,1))),Budgets!$C$2:$C$200),0))</f>
        <v/>
      </c>
      <c r="BB56" s="23">
        <f>IF(OR(BB$1="",$BM56=0),"",IFERROR(LOOKUP(2,1/((Budgets!$A$2:$A$200=BB$1)*(Budgets!$B$2:$B$200&lt;EDATE($A56,1))),Budgets!$C$2:$C$200),0))</f>
        <v/>
      </c>
      <c r="BC56" s="23">
        <f>IF(OR(BC$1="",$BM56=0),"",IFERROR(LOOKUP(2,1/((Budgets!$A$2:$A$200=BC$1)*(Budgets!$B$2:$B$200&lt;EDATE($A56,1))),Budgets!$C$2:$C$200),0))</f>
        <v/>
      </c>
      <c r="BD56" s="23">
        <f>IF(OR(BD$1="",$BM56=0),"",IFERROR(LOOKUP(2,1/((Budgets!$A$2:$A$200=BD$1)*(Budgets!$B$2:$B$200&lt;EDATE($A56,1))),Budgets!$C$2:$C$200),0))</f>
        <v/>
      </c>
      <c r="BE56" s="23">
        <f>IF(OR(BE$1="",$BM56=0),"",IFERROR(LOOKUP(2,1/((Budgets!$A$2:$A$200=BE$1)*(Budgets!$B$2:$B$200&lt;EDATE($A56,1))),Budgets!$C$2:$C$200),0))</f>
        <v/>
      </c>
      <c r="BF56" s="23">
        <f>IF(OR(BF$1="",$BM56=0),"",IFERROR(LOOKUP(2,1/((Budgets!$A$2:$A$200=BF$1)*(Budgets!$B$2:$B$200&lt;EDATE($A56,1))),Budgets!$C$2:$C$200),0))</f>
        <v/>
      </c>
      <c r="BG56" s="23">
        <f>IF(OR(BG$1="",$BM56=0),"",IFERROR(LOOKUP(2,1/((Budgets!$A$2:$A$200=BG$1)*(Budgets!$B$2:$B$200&lt;EDATE($A56,1))),Budgets!$C$2:$C$200),0))</f>
        <v/>
      </c>
      <c r="BH56" s="23">
        <f>IF(OR(BH$1="",$BM56=0),"",IFERROR(LOOKUP(2,1/((Budgets!$A$2:$A$200=BH$1)*(Budgets!$B$2:$B$200&lt;EDATE($A56,1))),Budgets!$C$2:$C$200),0))</f>
        <v/>
      </c>
      <c r="BI56" s="23">
        <f>IF(OR(BI$1="",$BM56=0),"",IFERROR(LOOKUP(2,1/((Budgets!$A$2:$A$200=BI$1)*(Budgets!$B$2:$B$200&lt;EDATE($A56,1))),Budgets!$C$2:$C$200),0))</f>
        <v/>
      </c>
      <c r="BJ56" s="23">
        <f>IF(OR(BJ$1="",$BM56=0),"",IFERROR(LOOKUP(2,1/((Budgets!$A$2:$A$200=BJ$1)*(Budgets!$B$2:$B$200&lt;EDATE($A56,1))),Budgets!$C$2:$C$200),0))</f>
        <v/>
      </c>
      <c r="BK56" s="23">
        <f>IF(OR(BK$1="",$BM56=0),"",IFERROR(LOOKUP(2,1/((Budgets!$A$2:$A$200=BK$1)*(Budgets!$B$2:$B$200&lt;EDATE($A56,1))),Budgets!$C$2:$C$200),0))</f>
        <v/>
      </c>
      <c r="BM56" s="21">
        <f>COUNTIFS(Entries!$A$2:$A$5000,"&gt;="&amp;$A56,Entries!$A$2:$A$5000,"&lt;"&amp;EDATE($A56,1))</f>
        <v/>
      </c>
    </row>
    <row r="57">
      <c r="A57" s="22" t="n">
        <v>41122</v>
      </c>
      <c r="B57" s="23">
        <f>IF($BM57=0,NA(),SUMIFS(Entries!$E$2:$E$5000,Entries!$C$2:$C$5000,"Income",Entries!$A$2:$A$5000,"&gt;="&amp;$A57,Entries!$A$2:$A$5000,"&lt;"&amp;EDATE($A57,1)))</f>
        <v/>
      </c>
      <c r="C57" s="23">
        <f>IF($BM57=0,"",SUMIFS(Entries!$E$2:$E$5000,Entries!$C$2:$C$5000,"Actual",Entries!$A$2:$A$5000,"&gt;="&amp;$A57,Entries!$A$2:$A$5000,"&lt;"&amp;EDATE($A57,1)))</f>
        <v/>
      </c>
      <c r="D57" s="23">
        <f>IF($BM57=0,"",SUMIFS(Entries!$E$2:$E$5000,Entries!$C$2:$C$5000,"One-off",Entries!$A$2:$A$5000,"&gt;="&amp;$A57,Entries!$A$2:$A$5000,"&lt;"&amp;EDATE($A57,1)))</f>
        <v/>
      </c>
      <c r="E57" s="23">
        <f>IF($BM57=0,NA(),C57+D57)</f>
        <v/>
      </c>
      <c r="F57" s="23">
        <f>IF($BM57=0,"",SUM(AR57:BK57))</f>
        <v/>
      </c>
      <c r="G57" s="23">
        <f>IF($BM57=0,"",B57-E57)</f>
        <v/>
      </c>
      <c r="H57" s="23">
        <f>IF($BM57=0,"",SUM($G$2:G57))</f>
        <v/>
      </c>
      <c r="I57" s="23">
        <f>IF($BM57=0,"",SUMIFS(Entries!$G$2:$G$5000,Entries!$A$2:$A$5000,"&gt;="&amp;$A57,Entries!$A$2:$A$5000,"&lt;"&amp;EDATE($A57,1)))</f>
        <v/>
      </c>
      <c r="J57" s="23">
        <f>IF($BM57=0,NA(),H57)</f>
        <v/>
      </c>
      <c r="K57" s="23">
        <f>IF($BM57=0,"",SUMIFS(Entries!$E$2:$E$5000,Entries!$C$2:$C$5000,"Income",Entries!$A$2:$A$5000,"&gt;="&amp;EDATE($A57,-11),Entries!$A$2:$A$5000,"&lt;"&amp;EDATE($A57,1))/COUNTIFS($A$2:$A$400,"&gt;="&amp;EDATE($A57,-11),$A$2:$A$400,"&lt;"&amp;EDATE($A57,1),$BM$2:$BM$400,"&gt;0"))</f>
      </c>
      <c r="L57" s="23">
        <f>IF($BM57=0,"",(SUMIFS(Entries!$E$2:$E$5000,Entries!$C$2:$C$5000,"Actual",Entries!$A$2:$A$5000,"&gt;="&amp;EDATE($A57,-11),Entries!$A$2:$A$5000,"&lt;"&amp;EDATE($A57,1))+SUMIFS(Entries!$E$2:$E$5000,Entries!$C$2:$C$5000,"One-off",Entries!$A$2:$A$5000,"&gt;="&amp;EDATE($A57,-11),Entries!$A$2:$A$5000,"&lt;"&amp;EDATE($A57,1)))/COUNTIFS($A$2:$A$400,"&gt;="&amp;EDATE($A57,-11),$A$2:$A$400,"&lt;"&amp;EDATE($A57,1),$BM$2:$BM$400,"&gt;0"))</f>
      </c>
      <c r="M57" s="24">
        <f>IF($BM57=0,NA(),IFERROR((K57-L57)/K57,0))</f>
        <v/>
      </c>
      <c r="N57" s="23">
        <f>IF($BM57=0,NA(),SUMIFS(Entries!$E$2:$E$5000,Entries!$D$2:$D$5000,"Core",Entries!$A$2:$A$5000,"&gt;="&amp;$A57,Entries!$A$2:$A$5000,"&lt;"&amp;EDATE($A57,1)))</f>
        <v/>
      </c>
      <c r="O57" s="23">
        <f>IF($BM57=0,NA(),SUMIFS(Entries!$E$2:$E$5000,Entries!$D$2:$D$5000,"Over &amp; above",Entries!$A$2:$A$5000,"&gt;="&amp;$A57,Entries!$A$2:$A$5000,"&lt;"&amp;EDATE($A57,1)))</f>
        <v/>
      </c>
      <c r="P57" s="23">
        <f>IF($BM57=0,NA(),SUMIFS(Entries!$E$2:$E$5000,Entries!$D$2:$D$5000,"One-off",Entries!$A$2:$A$5000,"&gt;="&amp;$A57,Entries!$A$2:$A$5000,"&lt;"&amp;EDATE($A57,1)))</f>
        <v/>
      </c>
      <c r="Q57" s="23">
        <f>IF($BM57=0,NA(),SUMIFS(Entries!$E$2:$E$5000,Entries!$D$2:$D$5000,"Reimbursable",Entries!$A$2:$A$5000,"&gt;="&amp;$A57,Entries!$A$2:$A$5000,"&lt;"&amp;EDATE($A57,1)))</f>
        <v/>
      </c>
      <c r="R57" s="23">
        <f>IF($BM57=0,NA(),SUMIFS(Entries!$E$2:$E$5000,Entries!$D$2:$D$5000,"Investment",Entries!$A$2:$A$5000,"&gt;="&amp;$A57,Entries!$A$2:$A$5000,"&lt;"&amp;EDATE($A57,1)))</f>
        <v/>
      </c>
      <c r="S57" s="23">
        <f>IF($BM57=0,NA(),N57+O57)</f>
        <v/>
      </c>
      <c r="T57" s="23">
        <f>IF($BM57=0,"",E57-Q57)</f>
        <v/>
      </c>
      <c r="W57" s="23">
        <f>IF(OR(W$1="",$BM57=0),"",SUMIFS(Entries!$E$2:$E$5000,Entries!$C$2:$C$5000,"Actual",Entries!$A$2:$A$5000,"&gt;="&amp;$A57,Entries!$A$2:$A$5000,"&lt;"&amp;EDATE($A57,1),Entries!$B$2:$B$5000,W$1))</f>
        <v/>
      </c>
      <c r="X57" s="23">
        <f>IF(OR(X$1="",$BM57=0),"",SUMIFS(Entries!$E$2:$E$5000,Entries!$C$2:$C$5000,"Actual",Entries!$A$2:$A$5000,"&gt;="&amp;$A57,Entries!$A$2:$A$5000,"&lt;"&amp;EDATE($A57,1),Entries!$B$2:$B$5000,X$1))</f>
        <v/>
      </c>
      <c r="Y57" s="23">
        <f>IF(OR(Y$1="",$BM57=0),"",SUMIFS(Entries!$E$2:$E$5000,Entries!$C$2:$C$5000,"Actual",Entries!$A$2:$A$5000,"&gt;="&amp;$A57,Entries!$A$2:$A$5000,"&lt;"&amp;EDATE($A57,1),Entries!$B$2:$B$5000,Y$1))</f>
        <v/>
      </c>
      <c r="Z57" s="23">
        <f>IF(OR(Z$1="",$BM57=0),"",SUMIFS(Entries!$E$2:$E$5000,Entries!$C$2:$C$5000,"Actual",Entries!$A$2:$A$5000,"&gt;="&amp;$A57,Entries!$A$2:$A$5000,"&lt;"&amp;EDATE($A57,1),Entries!$B$2:$B$5000,Z$1))</f>
        <v/>
      </c>
      <c r="AA57" s="23">
        <f>IF(OR(AA$1="",$BM57=0),"",SUMIFS(Entries!$E$2:$E$5000,Entries!$C$2:$C$5000,"Actual",Entries!$A$2:$A$5000,"&gt;="&amp;$A57,Entries!$A$2:$A$5000,"&lt;"&amp;EDATE($A57,1),Entries!$B$2:$B$5000,AA$1))</f>
        <v/>
      </c>
      <c r="AB57" s="23">
        <f>IF(OR(AB$1="",$BM57=0),"",SUMIFS(Entries!$E$2:$E$5000,Entries!$C$2:$C$5000,"Actual",Entries!$A$2:$A$5000,"&gt;="&amp;$A57,Entries!$A$2:$A$5000,"&lt;"&amp;EDATE($A57,1),Entries!$B$2:$B$5000,AB$1))</f>
        <v/>
      </c>
      <c r="AC57" s="23">
        <f>IF(OR(AC$1="",$BM57=0),"",SUMIFS(Entries!$E$2:$E$5000,Entries!$C$2:$C$5000,"Actual",Entries!$A$2:$A$5000,"&gt;="&amp;$A57,Entries!$A$2:$A$5000,"&lt;"&amp;EDATE($A57,1),Entries!$B$2:$B$5000,AC$1))</f>
        <v/>
      </c>
      <c r="AD57" s="23">
        <f>IF(OR(AD$1="",$BM57=0),"",SUMIFS(Entries!$E$2:$E$5000,Entries!$C$2:$C$5000,"Actual",Entries!$A$2:$A$5000,"&gt;="&amp;$A57,Entries!$A$2:$A$5000,"&lt;"&amp;EDATE($A57,1),Entries!$B$2:$B$5000,AD$1))</f>
        <v/>
      </c>
      <c r="AE57" s="23">
        <f>IF(OR(AE$1="",$BM57=0),"",SUMIFS(Entries!$E$2:$E$5000,Entries!$C$2:$C$5000,"Actual",Entries!$A$2:$A$5000,"&gt;="&amp;$A57,Entries!$A$2:$A$5000,"&lt;"&amp;EDATE($A57,1),Entries!$B$2:$B$5000,AE$1))</f>
        <v/>
      </c>
      <c r="AF57" s="23">
        <f>IF(OR(AF$1="",$BM57=0),"",SUMIFS(Entries!$E$2:$E$5000,Entries!$C$2:$C$5000,"Actual",Entries!$A$2:$A$5000,"&gt;="&amp;$A57,Entries!$A$2:$A$5000,"&lt;"&amp;EDATE($A57,1),Entries!$B$2:$B$5000,AF$1))</f>
        <v/>
      </c>
      <c r="AG57" s="23">
        <f>IF(OR(AG$1="",$BM57=0),"",SUMIFS(Entries!$E$2:$E$5000,Entries!$C$2:$C$5000,"Actual",Entries!$A$2:$A$5000,"&gt;="&amp;$A57,Entries!$A$2:$A$5000,"&lt;"&amp;EDATE($A57,1),Entries!$B$2:$B$5000,AG$1))</f>
        <v/>
      </c>
      <c r="AH57" s="23">
        <f>IF(OR(AH$1="",$BM57=0),"",SUMIFS(Entries!$E$2:$E$5000,Entries!$C$2:$C$5000,"Actual",Entries!$A$2:$A$5000,"&gt;="&amp;$A57,Entries!$A$2:$A$5000,"&lt;"&amp;EDATE($A57,1),Entries!$B$2:$B$5000,AH$1))</f>
        <v/>
      </c>
      <c r="AI57" s="23">
        <f>IF(OR(AI$1="",$BM57=0),"",SUMIFS(Entries!$E$2:$E$5000,Entries!$C$2:$C$5000,"Actual",Entries!$A$2:$A$5000,"&gt;="&amp;$A57,Entries!$A$2:$A$5000,"&lt;"&amp;EDATE($A57,1),Entries!$B$2:$B$5000,AI$1))</f>
        <v/>
      </c>
      <c r="AJ57" s="23">
        <f>IF(OR(AJ$1="",$BM57=0),"",SUMIFS(Entries!$E$2:$E$5000,Entries!$C$2:$C$5000,"Actual",Entries!$A$2:$A$5000,"&gt;="&amp;$A57,Entries!$A$2:$A$5000,"&lt;"&amp;EDATE($A57,1),Entries!$B$2:$B$5000,AJ$1))</f>
        <v/>
      </c>
      <c r="AK57" s="23">
        <f>IF(OR(AK$1="",$BM57=0),"",SUMIFS(Entries!$E$2:$E$5000,Entries!$C$2:$C$5000,"Actual",Entries!$A$2:$A$5000,"&gt;="&amp;$A57,Entries!$A$2:$A$5000,"&lt;"&amp;EDATE($A57,1),Entries!$B$2:$B$5000,AK$1))</f>
        <v/>
      </c>
      <c r="AL57" s="23">
        <f>IF(OR(AL$1="",$BM57=0),"",SUMIFS(Entries!$E$2:$E$5000,Entries!$C$2:$C$5000,"Actual",Entries!$A$2:$A$5000,"&gt;="&amp;$A57,Entries!$A$2:$A$5000,"&lt;"&amp;EDATE($A57,1),Entries!$B$2:$B$5000,AL$1))</f>
        <v/>
      </c>
      <c r="AM57" s="23">
        <f>IF(OR(AM$1="",$BM57=0),"",SUMIFS(Entries!$E$2:$E$5000,Entries!$C$2:$C$5000,"Actual",Entries!$A$2:$A$5000,"&gt;="&amp;$A57,Entries!$A$2:$A$5000,"&lt;"&amp;EDATE($A57,1),Entries!$B$2:$B$5000,AM$1))</f>
        <v/>
      </c>
      <c r="AN57" s="23">
        <f>IF(OR(AN$1="",$BM57=0),"",SUMIFS(Entries!$E$2:$E$5000,Entries!$C$2:$C$5000,"Actual",Entries!$A$2:$A$5000,"&gt;="&amp;$A57,Entries!$A$2:$A$5000,"&lt;"&amp;EDATE($A57,1),Entries!$B$2:$B$5000,AN$1))</f>
        <v/>
      </c>
      <c r="AO57" s="23">
        <f>IF(OR(AO$1="",$BM57=0),"",SUMIFS(Entries!$E$2:$E$5000,Entries!$C$2:$C$5000,"Actual",Entries!$A$2:$A$5000,"&gt;="&amp;$A57,Entries!$A$2:$A$5000,"&lt;"&amp;EDATE($A57,1),Entries!$B$2:$B$5000,AO$1))</f>
        <v/>
      </c>
      <c r="AP57" s="23">
        <f>IF(OR(AP$1="",$BM57=0),"",SUMIFS(Entries!$E$2:$E$5000,Entries!$C$2:$C$5000,"Actual",Entries!$A$2:$A$5000,"&gt;="&amp;$A57,Entries!$A$2:$A$5000,"&lt;"&amp;EDATE($A57,1),Entries!$B$2:$B$5000,AP$1))</f>
        <v/>
      </c>
      <c r="AR57" s="23">
        <f>IF(OR(AR$1="",$BM57=0),"",IFERROR(LOOKUP(2,1/((Budgets!$A$2:$A$200=AR$1)*(Budgets!$B$2:$B$200&lt;EDATE($A57,1))),Budgets!$C$2:$C$200),0))</f>
        <v/>
      </c>
      <c r="AS57" s="23">
        <f>IF(OR(AS$1="",$BM57=0),"",IFERROR(LOOKUP(2,1/((Budgets!$A$2:$A$200=AS$1)*(Budgets!$B$2:$B$200&lt;EDATE($A57,1))),Budgets!$C$2:$C$200),0))</f>
        <v/>
      </c>
      <c r="AT57" s="23">
        <f>IF(OR(AT$1="",$BM57=0),"",IFERROR(LOOKUP(2,1/((Budgets!$A$2:$A$200=AT$1)*(Budgets!$B$2:$B$200&lt;EDATE($A57,1))),Budgets!$C$2:$C$200),0))</f>
        <v/>
      </c>
      <c r="AU57" s="23">
        <f>IF(OR(AU$1="",$BM57=0),"",IFERROR(LOOKUP(2,1/((Budgets!$A$2:$A$200=AU$1)*(Budgets!$B$2:$B$200&lt;EDATE($A57,1))),Budgets!$C$2:$C$200),0))</f>
        <v/>
      </c>
      <c r="AV57" s="23">
        <f>IF(OR(AV$1="",$BM57=0),"",IFERROR(LOOKUP(2,1/((Budgets!$A$2:$A$200=AV$1)*(Budgets!$B$2:$B$200&lt;EDATE($A57,1))),Budgets!$C$2:$C$200),0))</f>
        <v/>
      </c>
      <c r="AW57" s="23">
        <f>IF(OR(AW$1="",$BM57=0),"",IFERROR(LOOKUP(2,1/((Budgets!$A$2:$A$200=AW$1)*(Budgets!$B$2:$B$200&lt;EDATE($A57,1))),Budgets!$C$2:$C$200),0))</f>
        <v/>
      </c>
      <c r="AX57" s="23">
        <f>IF(OR(AX$1="",$BM57=0),"",IFERROR(LOOKUP(2,1/((Budgets!$A$2:$A$200=AX$1)*(Budgets!$B$2:$B$200&lt;EDATE($A57,1))),Budgets!$C$2:$C$200),0))</f>
        <v/>
      </c>
      <c r="AY57" s="23">
        <f>IF(OR(AY$1="",$BM57=0),"",IFERROR(LOOKUP(2,1/((Budgets!$A$2:$A$200=AY$1)*(Budgets!$B$2:$B$200&lt;EDATE($A57,1))),Budgets!$C$2:$C$200),0))</f>
        <v/>
      </c>
      <c r="AZ57" s="23">
        <f>IF(OR(AZ$1="",$BM57=0),"",IFERROR(LOOKUP(2,1/((Budgets!$A$2:$A$200=AZ$1)*(Budgets!$B$2:$B$200&lt;EDATE($A57,1))),Budgets!$C$2:$C$200),0))</f>
        <v/>
      </c>
      <c r="BA57" s="23">
        <f>IF(OR(BA$1="",$BM57=0),"",IFERROR(LOOKUP(2,1/((Budgets!$A$2:$A$200=BA$1)*(Budgets!$B$2:$B$200&lt;EDATE($A57,1))),Budgets!$C$2:$C$200),0))</f>
        <v/>
      </c>
      <c r="BB57" s="23">
        <f>IF(OR(BB$1="",$BM57=0),"",IFERROR(LOOKUP(2,1/((Budgets!$A$2:$A$200=BB$1)*(Budgets!$B$2:$B$200&lt;EDATE($A57,1))),Budgets!$C$2:$C$200),0))</f>
        <v/>
      </c>
      <c r="BC57" s="23">
        <f>IF(OR(BC$1="",$BM57=0),"",IFERROR(LOOKUP(2,1/((Budgets!$A$2:$A$200=BC$1)*(Budgets!$B$2:$B$200&lt;EDATE($A57,1))),Budgets!$C$2:$C$200),0))</f>
        <v/>
      </c>
      <c r="BD57" s="23">
        <f>IF(OR(BD$1="",$BM57=0),"",IFERROR(LOOKUP(2,1/((Budgets!$A$2:$A$200=BD$1)*(Budgets!$B$2:$B$200&lt;EDATE($A57,1))),Budgets!$C$2:$C$200),0))</f>
        <v/>
      </c>
      <c r="BE57" s="23">
        <f>IF(OR(BE$1="",$BM57=0),"",IFERROR(LOOKUP(2,1/((Budgets!$A$2:$A$200=BE$1)*(Budgets!$B$2:$B$200&lt;EDATE($A57,1))),Budgets!$C$2:$C$200),0))</f>
        <v/>
      </c>
      <c r="BF57" s="23">
        <f>IF(OR(BF$1="",$BM57=0),"",IFERROR(LOOKUP(2,1/((Budgets!$A$2:$A$200=BF$1)*(Budgets!$B$2:$B$200&lt;EDATE($A57,1))),Budgets!$C$2:$C$200),0))</f>
        <v/>
      </c>
      <c r="BG57" s="23">
        <f>IF(OR(BG$1="",$BM57=0),"",IFERROR(LOOKUP(2,1/((Budgets!$A$2:$A$200=BG$1)*(Budgets!$B$2:$B$200&lt;EDATE($A57,1))),Budgets!$C$2:$C$200),0))</f>
        <v/>
      </c>
      <c r="BH57" s="23">
        <f>IF(OR(BH$1="",$BM57=0),"",IFERROR(LOOKUP(2,1/((Budgets!$A$2:$A$200=BH$1)*(Budgets!$B$2:$B$200&lt;EDATE($A57,1))),Budgets!$C$2:$C$200),0))</f>
        <v/>
      </c>
      <c r="BI57" s="23">
        <f>IF(OR(BI$1="",$BM57=0),"",IFERROR(LOOKUP(2,1/((Budgets!$A$2:$A$200=BI$1)*(Budgets!$B$2:$B$200&lt;EDATE($A57,1))),Budgets!$C$2:$C$200),0))</f>
        <v/>
      </c>
      <c r="BJ57" s="23">
        <f>IF(OR(BJ$1="",$BM57=0),"",IFERROR(LOOKUP(2,1/((Budgets!$A$2:$A$200=BJ$1)*(Budgets!$B$2:$B$200&lt;EDATE($A57,1))),Budgets!$C$2:$C$200),0))</f>
        <v/>
      </c>
      <c r="BK57" s="23">
        <f>IF(OR(BK$1="",$BM57=0),"",IFERROR(LOOKUP(2,1/((Budgets!$A$2:$A$200=BK$1)*(Budgets!$B$2:$B$200&lt;EDATE($A57,1))),Budgets!$C$2:$C$200),0))</f>
        <v/>
      </c>
      <c r="BM57" s="21">
        <f>COUNTIFS(Entries!$A$2:$A$5000,"&gt;="&amp;$A57,Entries!$A$2:$A$5000,"&lt;"&amp;EDATE($A57,1))</f>
        <v/>
      </c>
    </row>
    <row r="58">
      <c r="A58" s="22" t="n">
        <v>41153</v>
      </c>
      <c r="B58" s="23">
        <f>IF($BM58=0,NA(),SUMIFS(Entries!$E$2:$E$5000,Entries!$C$2:$C$5000,"Income",Entries!$A$2:$A$5000,"&gt;="&amp;$A58,Entries!$A$2:$A$5000,"&lt;"&amp;EDATE($A58,1)))</f>
        <v/>
      </c>
      <c r="C58" s="23">
        <f>IF($BM58=0,"",SUMIFS(Entries!$E$2:$E$5000,Entries!$C$2:$C$5000,"Actual",Entries!$A$2:$A$5000,"&gt;="&amp;$A58,Entries!$A$2:$A$5000,"&lt;"&amp;EDATE($A58,1)))</f>
        <v/>
      </c>
      <c r="D58" s="23">
        <f>IF($BM58=0,"",SUMIFS(Entries!$E$2:$E$5000,Entries!$C$2:$C$5000,"One-off",Entries!$A$2:$A$5000,"&gt;="&amp;$A58,Entries!$A$2:$A$5000,"&lt;"&amp;EDATE($A58,1)))</f>
        <v/>
      </c>
      <c r="E58" s="23">
        <f>IF($BM58=0,NA(),C58+D58)</f>
        <v/>
      </c>
      <c r="F58" s="23">
        <f>IF($BM58=0,"",SUM(AR58:BK58))</f>
        <v/>
      </c>
      <c r="G58" s="23">
        <f>IF($BM58=0,"",B58-E58)</f>
        <v/>
      </c>
      <c r="H58" s="23">
        <f>IF($BM58=0,"",SUM($G$2:G58))</f>
        <v/>
      </c>
      <c r="I58" s="23">
        <f>IF($BM58=0,"",SUMIFS(Entries!$G$2:$G$5000,Entries!$A$2:$A$5000,"&gt;="&amp;$A58,Entries!$A$2:$A$5000,"&lt;"&amp;EDATE($A58,1)))</f>
        <v/>
      </c>
      <c r="J58" s="23">
        <f>IF($BM58=0,NA(),H58)</f>
        <v/>
      </c>
      <c r="K58" s="23">
        <f>IF($BM58=0,"",SUMIFS(Entries!$E$2:$E$5000,Entries!$C$2:$C$5000,"Income",Entries!$A$2:$A$5000,"&gt;="&amp;EDATE($A58,-11),Entries!$A$2:$A$5000,"&lt;"&amp;EDATE($A58,1))/COUNTIFS($A$2:$A$400,"&gt;="&amp;EDATE($A58,-11),$A$2:$A$400,"&lt;"&amp;EDATE($A58,1),$BM$2:$BM$400,"&gt;0"))</f>
      </c>
      <c r="L58" s="23">
        <f>IF($BM58=0,"",(SUMIFS(Entries!$E$2:$E$5000,Entries!$C$2:$C$5000,"Actual",Entries!$A$2:$A$5000,"&gt;="&amp;EDATE($A58,-11),Entries!$A$2:$A$5000,"&lt;"&amp;EDATE($A58,1))+SUMIFS(Entries!$E$2:$E$5000,Entries!$C$2:$C$5000,"One-off",Entries!$A$2:$A$5000,"&gt;="&amp;EDATE($A58,-11),Entries!$A$2:$A$5000,"&lt;"&amp;EDATE($A58,1)))/COUNTIFS($A$2:$A$400,"&gt;="&amp;EDATE($A58,-11),$A$2:$A$400,"&lt;"&amp;EDATE($A58,1),$BM$2:$BM$400,"&gt;0"))</f>
      </c>
      <c r="M58" s="24">
        <f>IF($BM58=0,NA(),IFERROR((K58-L58)/K58,0))</f>
        <v/>
      </c>
      <c r="N58" s="23">
        <f>IF($BM58=0,NA(),SUMIFS(Entries!$E$2:$E$5000,Entries!$D$2:$D$5000,"Core",Entries!$A$2:$A$5000,"&gt;="&amp;$A58,Entries!$A$2:$A$5000,"&lt;"&amp;EDATE($A58,1)))</f>
        <v/>
      </c>
      <c r="O58" s="23">
        <f>IF($BM58=0,NA(),SUMIFS(Entries!$E$2:$E$5000,Entries!$D$2:$D$5000,"Over &amp; above",Entries!$A$2:$A$5000,"&gt;="&amp;$A58,Entries!$A$2:$A$5000,"&lt;"&amp;EDATE($A58,1)))</f>
        <v/>
      </c>
      <c r="P58" s="23">
        <f>IF($BM58=0,NA(),SUMIFS(Entries!$E$2:$E$5000,Entries!$D$2:$D$5000,"One-off",Entries!$A$2:$A$5000,"&gt;="&amp;$A58,Entries!$A$2:$A$5000,"&lt;"&amp;EDATE($A58,1)))</f>
        <v/>
      </c>
      <c r="Q58" s="23">
        <f>IF($BM58=0,NA(),SUMIFS(Entries!$E$2:$E$5000,Entries!$D$2:$D$5000,"Reimbursable",Entries!$A$2:$A$5000,"&gt;="&amp;$A58,Entries!$A$2:$A$5000,"&lt;"&amp;EDATE($A58,1)))</f>
        <v/>
      </c>
      <c r="R58" s="23">
        <f>IF($BM58=0,NA(),SUMIFS(Entries!$E$2:$E$5000,Entries!$D$2:$D$5000,"Investment",Entries!$A$2:$A$5000,"&gt;="&amp;$A58,Entries!$A$2:$A$5000,"&lt;"&amp;EDATE($A58,1)))</f>
        <v/>
      </c>
      <c r="S58" s="23">
        <f>IF($BM58=0,NA(),N58+O58)</f>
        <v/>
      </c>
      <c r="T58" s="23">
        <f>IF($BM58=0,"",E58-Q58)</f>
        <v/>
      </c>
      <c r="W58" s="23">
        <f>IF(OR(W$1="",$BM58=0),"",SUMIFS(Entries!$E$2:$E$5000,Entries!$C$2:$C$5000,"Actual",Entries!$A$2:$A$5000,"&gt;="&amp;$A58,Entries!$A$2:$A$5000,"&lt;"&amp;EDATE($A58,1),Entries!$B$2:$B$5000,W$1))</f>
        <v/>
      </c>
      <c r="X58" s="23">
        <f>IF(OR(X$1="",$BM58=0),"",SUMIFS(Entries!$E$2:$E$5000,Entries!$C$2:$C$5000,"Actual",Entries!$A$2:$A$5000,"&gt;="&amp;$A58,Entries!$A$2:$A$5000,"&lt;"&amp;EDATE($A58,1),Entries!$B$2:$B$5000,X$1))</f>
        <v/>
      </c>
      <c r="Y58" s="23">
        <f>IF(OR(Y$1="",$BM58=0),"",SUMIFS(Entries!$E$2:$E$5000,Entries!$C$2:$C$5000,"Actual",Entries!$A$2:$A$5000,"&gt;="&amp;$A58,Entries!$A$2:$A$5000,"&lt;"&amp;EDATE($A58,1),Entries!$B$2:$B$5000,Y$1))</f>
        <v/>
      </c>
      <c r="Z58" s="23">
        <f>IF(OR(Z$1="",$BM58=0),"",SUMIFS(Entries!$E$2:$E$5000,Entries!$C$2:$C$5000,"Actual",Entries!$A$2:$A$5000,"&gt;="&amp;$A58,Entries!$A$2:$A$5000,"&lt;"&amp;EDATE($A58,1),Entries!$B$2:$B$5000,Z$1))</f>
        <v/>
      </c>
      <c r="AA58" s="23">
        <f>IF(OR(AA$1="",$BM58=0),"",SUMIFS(Entries!$E$2:$E$5000,Entries!$C$2:$C$5000,"Actual",Entries!$A$2:$A$5000,"&gt;="&amp;$A58,Entries!$A$2:$A$5000,"&lt;"&amp;EDATE($A58,1),Entries!$B$2:$B$5000,AA$1))</f>
        <v/>
      </c>
      <c r="AB58" s="23">
        <f>IF(OR(AB$1="",$BM58=0),"",SUMIFS(Entries!$E$2:$E$5000,Entries!$C$2:$C$5000,"Actual",Entries!$A$2:$A$5000,"&gt;="&amp;$A58,Entries!$A$2:$A$5000,"&lt;"&amp;EDATE($A58,1),Entries!$B$2:$B$5000,AB$1))</f>
        <v/>
      </c>
      <c r="AC58" s="23">
        <f>IF(OR(AC$1="",$BM58=0),"",SUMIFS(Entries!$E$2:$E$5000,Entries!$C$2:$C$5000,"Actual",Entries!$A$2:$A$5000,"&gt;="&amp;$A58,Entries!$A$2:$A$5000,"&lt;"&amp;EDATE($A58,1),Entries!$B$2:$B$5000,AC$1))</f>
        <v/>
      </c>
      <c r="AD58" s="23">
        <f>IF(OR(AD$1="",$BM58=0),"",SUMIFS(Entries!$E$2:$E$5000,Entries!$C$2:$C$5000,"Actual",Entries!$A$2:$A$5000,"&gt;="&amp;$A58,Entries!$A$2:$A$5000,"&lt;"&amp;EDATE($A58,1),Entries!$B$2:$B$5000,AD$1))</f>
        <v/>
      </c>
      <c r="AE58" s="23">
        <f>IF(OR(AE$1="",$BM58=0),"",SUMIFS(Entries!$E$2:$E$5000,Entries!$C$2:$C$5000,"Actual",Entries!$A$2:$A$5000,"&gt;="&amp;$A58,Entries!$A$2:$A$5000,"&lt;"&amp;EDATE($A58,1),Entries!$B$2:$B$5000,AE$1))</f>
        <v/>
      </c>
      <c r="AF58" s="23">
        <f>IF(OR(AF$1="",$BM58=0),"",SUMIFS(Entries!$E$2:$E$5000,Entries!$C$2:$C$5000,"Actual",Entries!$A$2:$A$5000,"&gt;="&amp;$A58,Entries!$A$2:$A$5000,"&lt;"&amp;EDATE($A58,1),Entries!$B$2:$B$5000,AF$1))</f>
        <v/>
      </c>
      <c r="AG58" s="23">
        <f>IF(OR(AG$1="",$BM58=0),"",SUMIFS(Entries!$E$2:$E$5000,Entries!$C$2:$C$5000,"Actual",Entries!$A$2:$A$5000,"&gt;="&amp;$A58,Entries!$A$2:$A$5000,"&lt;"&amp;EDATE($A58,1),Entries!$B$2:$B$5000,AG$1))</f>
        <v/>
      </c>
      <c r="AH58" s="23">
        <f>IF(OR(AH$1="",$BM58=0),"",SUMIFS(Entries!$E$2:$E$5000,Entries!$C$2:$C$5000,"Actual",Entries!$A$2:$A$5000,"&gt;="&amp;$A58,Entries!$A$2:$A$5000,"&lt;"&amp;EDATE($A58,1),Entries!$B$2:$B$5000,AH$1))</f>
        <v/>
      </c>
      <c r="AI58" s="23">
        <f>IF(OR(AI$1="",$BM58=0),"",SUMIFS(Entries!$E$2:$E$5000,Entries!$C$2:$C$5000,"Actual",Entries!$A$2:$A$5000,"&gt;="&amp;$A58,Entries!$A$2:$A$5000,"&lt;"&amp;EDATE($A58,1),Entries!$B$2:$B$5000,AI$1))</f>
        <v/>
      </c>
      <c r="AJ58" s="23">
        <f>IF(OR(AJ$1="",$BM58=0),"",SUMIFS(Entries!$E$2:$E$5000,Entries!$C$2:$C$5000,"Actual",Entries!$A$2:$A$5000,"&gt;="&amp;$A58,Entries!$A$2:$A$5000,"&lt;"&amp;EDATE($A58,1),Entries!$B$2:$B$5000,AJ$1))</f>
        <v/>
      </c>
      <c r="AK58" s="23">
        <f>IF(OR(AK$1="",$BM58=0),"",SUMIFS(Entries!$E$2:$E$5000,Entries!$C$2:$C$5000,"Actual",Entries!$A$2:$A$5000,"&gt;="&amp;$A58,Entries!$A$2:$A$5000,"&lt;"&amp;EDATE($A58,1),Entries!$B$2:$B$5000,AK$1))</f>
        <v/>
      </c>
      <c r="AL58" s="23">
        <f>IF(OR(AL$1="",$BM58=0),"",SUMIFS(Entries!$E$2:$E$5000,Entries!$C$2:$C$5000,"Actual",Entries!$A$2:$A$5000,"&gt;="&amp;$A58,Entries!$A$2:$A$5000,"&lt;"&amp;EDATE($A58,1),Entries!$B$2:$B$5000,AL$1))</f>
        <v/>
      </c>
      <c r="AM58" s="23">
        <f>IF(OR(AM$1="",$BM58=0),"",SUMIFS(Entries!$E$2:$E$5000,Entries!$C$2:$C$5000,"Actual",Entries!$A$2:$A$5000,"&gt;="&amp;$A58,Entries!$A$2:$A$5000,"&lt;"&amp;EDATE($A58,1),Entries!$B$2:$B$5000,AM$1))</f>
        <v/>
      </c>
      <c r="AN58" s="23">
        <f>IF(OR(AN$1="",$BM58=0),"",SUMIFS(Entries!$E$2:$E$5000,Entries!$C$2:$C$5000,"Actual",Entries!$A$2:$A$5000,"&gt;="&amp;$A58,Entries!$A$2:$A$5000,"&lt;"&amp;EDATE($A58,1),Entries!$B$2:$B$5000,AN$1))</f>
        <v/>
      </c>
      <c r="AO58" s="23">
        <f>IF(OR(AO$1="",$BM58=0),"",SUMIFS(Entries!$E$2:$E$5000,Entries!$C$2:$C$5000,"Actual",Entries!$A$2:$A$5000,"&gt;="&amp;$A58,Entries!$A$2:$A$5000,"&lt;"&amp;EDATE($A58,1),Entries!$B$2:$B$5000,AO$1))</f>
        <v/>
      </c>
      <c r="AP58" s="23">
        <f>IF(OR(AP$1="",$BM58=0),"",SUMIFS(Entries!$E$2:$E$5000,Entries!$C$2:$C$5000,"Actual",Entries!$A$2:$A$5000,"&gt;="&amp;$A58,Entries!$A$2:$A$5000,"&lt;"&amp;EDATE($A58,1),Entries!$B$2:$B$5000,AP$1))</f>
        <v/>
      </c>
      <c r="AR58" s="23">
        <f>IF(OR(AR$1="",$BM58=0),"",IFERROR(LOOKUP(2,1/((Budgets!$A$2:$A$200=AR$1)*(Budgets!$B$2:$B$200&lt;EDATE($A58,1))),Budgets!$C$2:$C$200),0))</f>
        <v/>
      </c>
      <c r="AS58" s="23">
        <f>IF(OR(AS$1="",$BM58=0),"",IFERROR(LOOKUP(2,1/((Budgets!$A$2:$A$200=AS$1)*(Budgets!$B$2:$B$200&lt;EDATE($A58,1))),Budgets!$C$2:$C$200),0))</f>
        <v/>
      </c>
      <c r="AT58" s="23">
        <f>IF(OR(AT$1="",$BM58=0),"",IFERROR(LOOKUP(2,1/((Budgets!$A$2:$A$200=AT$1)*(Budgets!$B$2:$B$200&lt;EDATE($A58,1))),Budgets!$C$2:$C$200),0))</f>
        <v/>
      </c>
      <c r="AU58" s="23">
        <f>IF(OR(AU$1="",$BM58=0),"",IFERROR(LOOKUP(2,1/((Budgets!$A$2:$A$200=AU$1)*(Budgets!$B$2:$B$200&lt;EDATE($A58,1))),Budgets!$C$2:$C$200),0))</f>
        <v/>
      </c>
      <c r="AV58" s="23">
        <f>IF(OR(AV$1="",$BM58=0),"",IFERROR(LOOKUP(2,1/((Budgets!$A$2:$A$200=AV$1)*(Budgets!$B$2:$B$200&lt;EDATE($A58,1))),Budgets!$C$2:$C$200),0))</f>
        <v/>
      </c>
      <c r="AW58" s="23">
        <f>IF(OR(AW$1="",$BM58=0),"",IFERROR(LOOKUP(2,1/((Budgets!$A$2:$A$200=AW$1)*(Budgets!$B$2:$B$200&lt;EDATE($A58,1))),Budgets!$C$2:$C$200),0))</f>
        <v/>
      </c>
      <c r="AX58" s="23">
        <f>IF(OR(AX$1="",$BM58=0),"",IFERROR(LOOKUP(2,1/((Budgets!$A$2:$A$200=AX$1)*(Budgets!$B$2:$B$200&lt;EDATE($A58,1))),Budgets!$C$2:$C$200),0))</f>
        <v/>
      </c>
      <c r="AY58" s="23">
        <f>IF(OR(AY$1="",$BM58=0),"",IFERROR(LOOKUP(2,1/((Budgets!$A$2:$A$200=AY$1)*(Budgets!$B$2:$B$200&lt;EDATE($A58,1))),Budgets!$C$2:$C$200),0))</f>
        <v/>
      </c>
      <c r="AZ58" s="23">
        <f>IF(OR(AZ$1="",$BM58=0),"",IFERROR(LOOKUP(2,1/((Budgets!$A$2:$A$200=AZ$1)*(Budgets!$B$2:$B$200&lt;EDATE($A58,1))),Budgets!$C$2:$C$200),0))</f>
        <v/>
      </c>
      <c r="BA58" s="23">
        <f>IF(OR(BA$1="",$BM58=0),"",IFERROR(LOOKUP(2,1/((Budgets!$A$2:$A$200=BA$1)*(Budgets!$B$2:$B$200&lt;EDATE($A58,1))),Budgets!$C$2:$C$200),0))</f>
        <v/>
      </c>
      <c r="BB58" s="23">
        <f>IF(OR(BB$1="",$BM58=0),"",IFERROR(LOOKUP(2,1/((Budgets!$A$2:$A$200=BB$1)*(Budgets!$B$2:$B$200&lt;EDATE($A58,1))),Budgets!$C$2:$C$200),0))</f>
        <v/>
      </c>
      <c r="BC58" s="23">
        <f>IF(OR(BC$1="",$BM58=0),"",IFERROR(LOOKUP(2,1/((Budgets!$A$2:$A$200=BC$1)*(Budgets!$B$2:$B$200&lt;EDATE($A58,1))),Budgets!$C$2:$C$200),0))</f>
        <v/>
      </c>
      <c r="BD58" s="23">
        <f>IF(OR(BD$1="",$BM58=0),"",IFERROR(LOOKUP(2,1/((Budgets!$A$2:$A$200=BD$1)*(Budgets!$B$2:$B$200&lt;EDATE($A58,1))),Budgets!$C$2:$C$200),0))</f>
        <v/>
      </c>
      <c r="BE58" s="23">
        <f>IF(OR(BE$1="",$BM58=0),"",IFERROR(LOOKUP(2,1/((Budgets!$A$2:$A$200=BE$1)*(Budgets!$B$2:$B$200&lt;EDATE($A58,1))),Budgets!$C$2:$C$200),0))</f>
        <v/>
      </c>
      <c r="BF58" s="23">
        <f>IF(OR(BF$1="",$BM58=0),"",IFERROR(LOOKUP(2,1/((Budgets!$A$2:$A$200=BF$1)*(Budgets!$B$2:$B$200&lt;EDATE($A58,1))),Budgets!$C$2:$C$200),0))</f>
        <v/>
      </c>
      <c r="BG58" s="23">
        <f>IF(OR(BG$1="",$BM58=0),"",IFERROR(LOOKUP(2,1/((Budgets!$A$2:$A$200=BG$1)*(Budgets!$B$2:$B$200&lt;EDATE($A58,1))),Budgets!$C$2:$C$200),0))</f>
        <v/>
      </c>
      <c r="BH58" s="23">
        <f>IF(OR(BH$1="",$BM58=0),"",IFERROR(LOOKUP(2,1/((Budgets!$A$2:$A$200=BH$1)*(Budgets!$B$2:$B$200&lt;EDATE($A58,1))),Budgets!$C$2:$C$200),0))</f>
        <v/>
      </c>
      <c r="BI58" s="23">
        <f>IF(OR(BI$1="",$BM58=0),"",IFERROR(LOOKUP(2,1/((Budgets!$A$2:$A$200=BI$1)*(Budgets!$B$2:$B$200&lt;EDATE($A58,1))),Budgets!$C$2:$C$200),0))</f>
        <v/>
      </c>
      <c r="BJ58" s="23">
        <f>IF(OR(BJ$1="",$BM58=0),"",IFERROR(LOOKUP(2,1/((Budgets!$A$2:$A$200=BJ$1)*(Budgets!$B$2:$B$200&lt;EDATE($A58,1))),Budgets!$C$2:$C$200),0))</f>
        <v/>
      </c>
      <c r="BK58" s="23">
        <f>IF(OR(BK$1="",$BM58=0),"",IFERROR(LOOKUP(2,1/((Budgets!$A$2:$A$200=BK$1)*(Budgets!$B$2:$B$200&lt;EDATE($A58,1))),Budgets!$C$2:$C$200),0))</f>
        <v/>
      </c>
      <c r="BM58" s="21">
        <f>COUNTIFS(Entries!$A$2:$A$5000,"&gt;="&amp;$A58,Entries!$A$2:$A$5000,"&lt;"&amp;EDATE($A58,1))</f>
        <v/>
      </c>
    </row>
    <row r="59">
      <c r="A59" s="22" t="n">
        <v>41183</v>
      </c>
      <c r="B59" s="23">
        <f>IF($BM59=0,NA(),SUMIFS(Entries!$E$2:$E$5000,Entries!$C$2:$C$5000,"Income",Entries!$A$2:$A$5000,"&gt;="&amp;$A59,Entries!$A$2:$A$5000,"&lt;"&amp;EDATE($A59,1)))</f>
        <v/>
      </c>
      <c r="C59" s="23">
        <f>IF($BM59=0,"",SUMIFS(Entries!$E$2:$E$5000,Entries!$C$2:$C$5000,"Actual",Entries!$A$2:$A$5000,"&gt;="&amp;$A59,Entries!$A$2:$A$5000,"&lt;"&amp;EDATE($A59,1)))</f>
        <v/>
      </c>
      <c r="D59" s="23">
        <f>IF($BM59=0,"",SUMIFS(Entries!$E$2:$E$5000,Entries!$C$2:$C$5000,"One-off",Entries!$A$2:$A$5000,"&gt;="&amp;$A59,Entries!$A$2:$A$5000,"&lt;"&amp;EDATE($A59,1)))</f>
        <v/>
      </c>
      <c r="E59" s="23">
        <f>IF($BM59=0,NA(),C59+D59)</f>
        <v/>
      </c>
      <c r="F59" s="23">
        <f>IF($BM59=0,"",SUM(AR59:BK59))</f>
        <v/>
      </c>
      <c r="G59" s="23">
        <f>IF($BM59=0,"",B59-E59)</f>
        <v/>
      </c>
      <c r="H59" s="23">
        <f>IF($BM59=0,"",SUM($G$2:G59))</f>
        <v/>
      </c>
      <c r="I59" s="23">
        <f>IF($BM59=0,"",SUMIFS(Entries!$G$2:$G$5000,Entries!$A$2:$A$5000,"&gt;="&amp;$A59,Entries!$A$2:$A$5000,"&lt;"&amp;EDATE($A59,1)))</f>
        <v/>
      </c>
      <c r="J59" s="23">
        <f>IF($BM59=0,NA(),H59)</f>
        <v/>
      </c>
      <c r="K59" s="23">
        <f>IF($BM59=0,"",SUMIFS(Entries!$E$2:$E$5000,Entries!$C$2:$C$5000,"Income",Entries!$A$2:$A$5000,"&gt;="&amp;EDATE($A59,-11),Entries!$A$2:$A$5000,"&lt;"&amp;EDATE($A59,1))/COUNTIFS($A$2:$A$400,"&gt;="&amp;EDATE($A59,-11),$A$2:$A$400,"&lt;"&amp;EDATE($A59,1),$BM$2:$BM$400,"&gt;0"))</f>
      </c>
      <c r="L59" s="23">
        <f>IF($BM59=0,"",(SUMIFS(Entries!$E$2:$E$5000,Entries!$C$2:$C$5000,"Actual",Entries!$A$2:$A$5000,"&gt;="&amp;EDATE($A59,-11),Entries!$A$2:$A$5000,"&lt;"&amp;EDATE($A59,1))+SUMIFS(Entries!$E$2:$E$5000,Entries!$C$2:$C$5000,"One-off",Entries!$A$2:$A$5000,"&gt;="&amp;EDATE($A59,-11),Entries!$A$2:$A$5000,"&lt;"&amp;EDATE($A59,1)))/COUNTIFS($A$2:$A$400,"&gt;="&amp;EDATE($A59,-11),$A$2:$A$400,"&lt;"&amp;EDATE($A59,1),$BM$2:$BM$400,"&gt;0"))</f>
      </c>
      <c r="M59" s="24">
        <f>IF($BM59=0,NA(),IFERROR((K59-L59)/K59,0))</f>
        <v/>
      </c>
      <c r="N59" s="23">
        <f>IF($BM59=0,NA(),SUMIFS(Entries!$E$2:$E$5000,Entries!$D$2:$D$5000,"Core",Entries!$A$2:$A$5000,"&gt;="&amp;$A59,Entries!$A$2:$A$5000,"&lt;"&amp;EDATE($A59,1)))</f>
        <v/>
      </c>
      <c r="O59" s="23">
        <f>IF($BM59=0,NA(),SUMIFS(Entries!$E$2:$E$5000,Entries!$D$2:$D$5000,"Over &amp; above",Entries!$A$2:$A$5000,"&gt;="&amp;$A59,Entries!$A$2:$A$5000,"&lt;"&amp;EDATE($A59,1)))</f>
        <v/>
      </c>
      <c r="P59" s="23">
        <f>IF($BM59=0,NA(),SUMIFS(Entries!$E$2:$E$5000,Entries!$D$2:$D$5000,"One-off",Entries!$A$2:$A$5000,"&gt;="&amp;$A59,Entries!$A$2:$A$5000,"&lt;"&amp;EDATE($A59,1)))</f>
        <v/>
      </c>
      <c r="Q59" s="23">
        <f>IF($BM59=0,NA(),SUMIFS(Entries!$E$2:$E$5000,Entries!$D$2:$D$5000,"Reimbursable",Entries!$A$2:$A$5000,"&gt;="&amp;$A59,Entries!$A$2:$A$5000,"&lt;"&amp;EDATE($A59,1)))</f>
        <v/>
      </c>
      <c r="R59" s="23">
        <f>IF($BM59=0,NA(),SUMIFS(Entries!$E$2:$E$5000,Entries!$D$2:$D$5000,"Investment",Entries!$A$2:$A$5000,"&gt;="&amp;$A59,Entries!$A$2:$A$5000,"&lt;"&amp;EDATE($A59,1)))</f>
        <v/>
      </c>
      <c r="S59" s="23">
        <f>IF($BM59=0,NA(),N59+O59)</f>
        <v/>
      </c>
      <c r="T59" s="23">
        <f>IF($BM59=0,"",E59-Q59)</f>
        <v/>
      </c>
      <c r="W59" s="23">
        <f>IF(OR(W$1="",$BM59=0),"",SUMIFS(Entries!$E$2:$E$5000,Entries!$C$2:$C$5000,"Actual",Entries!$A$2:$A$5000,"&gt;="&amp;$A59,Entries!$A$2:$A$5000,"&lt;"&amp;EDATE($A59,1),Entries!$B$2:$B$5000,W$1))</f>
        <v/>
      </c>
      <c r="X59" s="23">
        <f>IF(OR(X$1="",$BM59=0),"",SUMIFS(Entries!$E$2:$E$5000,Entries!$C$2:$C$5000,"Actual",Entries!$A$2:$A$5000,"&gt;="&amp;$A59,Entries!$A$2:$A$5000,"&lt;"&amp;EDATE($A59,1),Entries!$B$2:$B$5000,X$1))</f>
        <v/>
      </c>
      <c r="Y59" s="23">
        <f>IF(OR(Y$1="",$BM59=0),"",SUMIFS(Entries!$E$2:$E$5000,Entries!$C$2:$C$5000,"Actual",Entries!$A$2:$A$5000,"&gt;="&amp;$A59,Entries!$A$2:$A$5000,"&lt;"&amp;EDATE($A59,1),Entries!$B$2:$B$5000,Y$1))</f>
        <v/>
      </c>
      <c r="Z59" s="23">
        <f>IF(OR(Z$1="",$BM59=0),"",SUMIFS(Entries!$E$2:$E$5000,Entries!$C$2:$C$5000,"Actual",Entries!$A$2:$A$5000,"&gt;="&amp;$A59,Entries!$A$2:$A$5000,"&lt;"&amp;EDATE($A59,1),Entries!$B$2:$B$5000,Z$1))</f>
        <v/>
      </c>
      <c r="AA59" s="23">
        <f>IF(OR(AA$1="",$BM59=0),"",SUMIFS(Entries!$E$2:$E$5000,Entries!$C$2:$C$5000,"Actual",Entries!$A$2:$A$5000,"&gt;="&amp;$A59,Entries!$A$2:$A$5000,"&lt;"&amp;EDATE($A59,1),Entries!$B$2:$B$5000,AA$1))</f>
        <v/>
      </c>
      <c r="AB59" s="23">
        <f>IF(OR(AB$1="",$BM59=0),"",SUMIFS(Entries!$E$2:$E$5000,Entries!$C$2:$C$5000,"Actual",Entries!$A$2:$A$5000,"&gt;="&amp;$A59,Entries!$A$2:$A$5000,"&lt;"&amp;EDATE($A59,1),Entries!$B$2:$B$5000,AB$1))</f>
        <v/>
      </c>
      <c r="AC59" s="23">
        <f>IF(OR(AC$1="",$BM59=0),"",SUMIFS(Entries!$E$2:$E$5000,Entries!$C$2:$C$5000,"Actual",Entries!$A$2:$A$5000,"&gt;="&amp;$A59,Entries!$A$2:$A$5000,"&lt;"&amp;EDATE($A59,1),Entries!$B$2:$B$5000,AC$1))</f>
        <v/>
      </c>
      <c r="AD59" s="23">
        <f>IF(OR(AD$1="",$BM59=0),"",SUMIFS(Entries!$E$2:$E$5000,Entries!$C$2:$C$5000,"Actual",Entries!$A$2:$A$5000,"&gt;="&amp;$A59,Entries!$A$2:$A$5000,"&lt;"&amp;EDATE($A59,1),Entries!$B$2:$B$5000,AD$1))</f>
        <v/>
      </c>
      <c r="AE59" s="23">
        <f>IF(OR(AE$1="",$BM59=0),"",SUMIFS(Entries!$E$2:$E$5000,Entries!$C$2:$C$5000,"Actual",Entries!$A$2:$A$5000,"&gt;="&amp;$A59,Entries!$A$2:$A$5000,"&lt;"&amp;EDATE($A59,1),Entries!$B$2:$B$5000,AE$1))</f>
        <v/>
      </c>
      <c r="AF59" s="23">
        <f>IF(OR(AF$1="",$BM59=0),"",SUMIFS(Entries!$E$2:$E$5000,Entries!$C$2:$C$5000,"Actual",Entries!$A$2:$A$5000,"&gt;="&amp;$A59,Entries!$A$2:$A$5000,"&lt;"&amp;EDATE($A59,1),Entries!$B$2:$B$5000,AF$1))</f>
        <v/>
      </c>
      <c r="AG59" s="23">
        <f>IF(OR(AG$1="",$BM59=0),"",SUMIFS(Entries!$E$2:$E$5000,Entries!$C$2:$C$5000,"Actual",Entries!$A$2:$A$5000,"&gt;="&amp;$A59,Entries!$A$2:$A$5000,"&lt;"&amp;EDATE($A59,1),Entries!$B$2:$B$5000,AG$1))</f>
        <v/>
      </c>
      <c r="AH59" s="23">
        <f>IF(OR(AH$1="",$BM59=0),"",SUMIFS(Entries!$E$2:$E$5000,Entries!$C$2:$C$5000,"Actual",Entries!$A$2:$A$5000,"&gt;="&amp;$A59,Entries!$A$2:$A$5000,"&lt;"&amp;EDATE($A59,1),Entries!$B$2:$B$5000,AH$1))</f>
        <v/>
      </c>
      <c r="AI59" s="23">
        <f>IF(OR(AI$1="",$BM59=0),"",SUMIFS(Entries!$E$2:$E$5000,Entries!$C$2:$C$5000,"Actual",Entries!$A$2:$A$5000,"&gt;="&amp;$A59,Entries!$A$2:$A$5000,"&lt;"&amp;EDATE($A59,1),Entries!$B$2:$B$5000,AI$1))</f>
        <v/>
      </c>
      <c r="AJ59" s="23">
        <f>IF(OR(AJ$1="",$BM59=0),"",SUMIFS(Entries!$E$2:$E$5000,Entries!$C$2:$C$5000,"Actual",Entries!$A$2:$A$5000,"&gt;="&amp;$A59,Entries!$A$2:$A$5000,"&lt;"&amp;EDATE($A59,1),Entries!$B$2:$B$5000,AJ$1))</f>
        <v/>
      </c>
      <c r="AK59" s="23">
        <f>IF(OR(AK$1="",$BM59=0),"",SUMIFS(Entries!$E$2:$E$5000,Entries!$C$2:$C$5000,"Actual",Entries!$A$2:$A$5000,"&gt;="&amp;$A59,Entries!$A$2:$A$5000,"&lt;"&amp;EDATE($A59,1),Entries!$B$2:$B$5000,AK$1))</f>
        <v/>
      </c>
      <c r="AL59" s="23">
        <f>IF(OR(AL$1="",$BM59=0),"",SUMIFS(Entries!$E$2:$E$5000,Entries!$C$2:$C$5000,"Actual",Entries!$A$2:$A$5000,"&gt;="&amp;$A59,Entries!$A$2:$A$5000,"&lt;"&amp;EDATE($A59,1),Entries!$B$2:$B$5000,AL$1))</f>
        <v/>
      </c>
      <c r="AM59" s="23">
        <f>IF(OR(AM$1="",$BM59=0),"",SUMIFS(Entries!$E$2:$E$5000,Entries!$C$2:$C$5000,"Actual",Entries!$A$2:$A$5000,"&gt;="&amp;$A59,Entries!$A$2:$A$5000,"&lt;"&amp;EDATE($A59,1),Entries!$B$2:$B$5000,AM$1))</f>
        <v/>
      </c>
      <c r="AN59" s="23">
        <f>IF(OR(AN$1="",$BM59=0),"",SUMIFS(Entries!$E$2:$E$5000,Entries!$C$2:$C$5000,"Actual",Entries!$A$2:$A$5000,"&gt;="&amp;$A59,Entries!$A$2:$A$5000,"&lt;"&amp;EDATE($A59,1),Entries!$B$2:$B$5000,AN$1))</f>
        <v/>
      </c>
      <c r="AO59" s="23">
        <f>IF(OR(AO$1="",$BM59=0),"",SUMIFS(Entries!$E$2:$E$5000,Entries!$C$2:$C$5000,"Actual",Entries!$A$2:$A$5000,"&gt;="&amp;$A59,Entries!$A$2:$A$5000,"&lt;"&amp;EDATE($A59,1),Entries!$B$2:$B$5000,AO$1))</f>
        <v/>
      </c>
      <c r="AP59" s="23">
        <f>IF(OR(AP$1="",$BM59=0),"",SUMIFS(Entries!$E$2:$E$5000,Entries!$C$2:$C$5000,"Actual",Entries!$A$2:$A$5000,"&gt;="&amp;$A59,Entries!$A$2:$A$5000,"&lt;"&amp;EDATE($A59,1),Entries!$B$2:$B$5000,AP$1))</f>
        <v/>
      </c>
      <c r="AR59" s="23">
        <f>IF(OR(AR$1="",$BM59=0),"",IFERROR(LOOKUP(2,1/((Budgets!$A$2:$A$200=AR$1)*(Budgets!$B$2:$B$200&lt;EDATE($A59,1))),Budgets!$C$2:$C$200),0))</f>
        <v/>
      </c>
      <c r="AS59" s="23">
        <f>IF(OR(AS$1="",$BM59=0),"",IFERROR(LOOKUP(2,1/((Budgets!$A$2:$A$200=AS$1)*(Budgets!$B$2:$B$200&lt;EDATE($A59,1))),Budgets!$C$2:$C$200),0))</f>
        <v/>
      </c>
      <c r="AT59" s="23">
        <f>IF(OR(AT$1="",$BM59=0),"",IFERROR(LOOKUP(2,1/((Budgets!$A$2:$A$200=AT$1)*(Budgets!$B$2:$B$200&lt;EDATE($A59,1))),Budgets!$C$2:$C$200),0))</f>
        <v/>
      </c>
      <c r="AU59" s="23">
        <f>IF(OR(AU$1="",$BM59=0),"",IFERROR(LOOKUP(2,1/((Budgets!$A$2:$A$200=AU$1)*(Budgets!$B$2:$B$200&lt;EDATE($A59,1))),Budgets!$C$2:$C$200),0))</f>
        <v/>
      </c>
      <c r="AV59" s="23">
        <f>IF(OR(AV$1="",$BM59=0),"",IFERROR(LOOKUP(2,1/((Budgets!$A$2:$A$200=AV$1)*(Budgets!$B$2:$B$200&lt;EDATE($A59,1))),Budgets!$C$2:$C$200),0))</f>
        <v/>
      </c>
      <c r="AW59" s="23">
        <f>IF(OR(AW$1="",$BM59=0),"",IFERROR(LOOKUP(2,1/((Budgets!$A$2:$A$200=AW$1)*(Budgets!$B$2:$B$200&lt;EDATE($A59,1))),Budgets!$C$2:$C$200),0))</f>
        <v/>
      </c>
      <c r="AX59" s="23">
        <f>IF(OR(AX$1="",$BM59=0),"",IFERROR(LOOKUP(2,1/((Budgets!$A$2:$A$200=AX$1)*(Budgets!$B$2:$B$200&lt;EDATE($A59,1))),Budgets!$C$2:$C$200),0))</f>
        <v/>
      </c>
      <c r="AY59" s="23">
        <f>IF(OR(AY$1="",$BM59=0),"",IFERROR(LOOKUP(2,1/((Budgets!$A$2:$A$200=AY$1)*(Budgets!$B$2:$B$200&lt;EDATE($A59,1))),Budgets!$C$2:$C$200),0))</f>
        <v/>
      </c>
      <c r="AZ59" s="23">
        <f>IF(OR(AZ$1="",$BM59=0),"",IFERROR(LOOKUP(2,1/((Budgets!$A$2:$A$200=AZ$1)*(Budgets!$B$2:$B$200&lt;EDATE($A59,1))),Budgets!$C$2:$C$200),0))</f>
        <v/>
      </c>
      <c r="BA59" s="23">
        <f>IF(OR(BA$1="",$BM59=0),"",IFERROR(LOOKUP(2,1/((Budgets!$A$2:$A$200=BA$1)*(Budgets!$B$2:$B$200&lt;EDATE($A59,1))),Budgets!$C$2:$C$200),0))</f>
        <v/>
      </c>
      <c r="BB59" s="23">
        <f>IF(OR(BB$1="",$BM59=0),"",IFERROR(LOOKUP(2,1/((Budgets!$A$2:$A$200=BB$1)*(Budgets!$B$2:$B$200&lt;EDATE($A59,1))),Budgets!$C$2:$C$200),0))</f>
        <v/>
      </c>
      <c r="BC59" s="23">
        <f>IF(OR(BC$1="",$BM59=0),"",IFERROR(LOOKUP(2,1/((Budgets!$A$2:$A$200=BC$1)*(Budgets!$B$2:$B$200&lt;EDATE($A59,1))),Budgets!$C$2:$C$200),0))</f>
        <v/>
      </c>
      <c r="BD59" s="23">
        <f>IF(OR(BD$1="",$BM59=0),"",IFERROR(LOOKUP(2,1/((Budgets!$A$2:$A$200=BD$1)*(Budgets!$B$2:$B$200&lt;EDATE($A59,1))),Budgets!$C$2:$C$200),0))</f>
        <v/>
      </c>
      <c r="BE59" s="23">
        <f>IF(OR(BE$1="",$BM59=0),"",IFERROR(LOOKUP(2,1/((Budgets!$A$2:$A$200=BE$1)*(Budgets!$B$2:$B$200&lt;EDATE($A59,1))),Budgets!$C$2:$C$200),0))</f>
        <v/>
      </c>
      <c r="BF59" s="23">
        <f>IF(OR(BF$1="",$BM59=0),"",IFERROR(LOOKUP(2,1/((Budgets!$A$2:$A$200=BF$1)*(Budgets!$B$2:$B$200&lt;EDATE($A59,1))),Budgets!$C$2:$C$200),0))</f>
        <v/>
      </c>
      <c r="BG59" s="23">
        <f>IF(OR(BG$1="",$BM59=0),"",IFERROR(LOOKUP(2,1/((Budgets!$A$2:$A$200=BG$1)*(Budgets!$B$2:$B$200&lt;EDATE($A59,1))),Budgets!$C$2:$C$200),0))</f>
        <v/>
      </c>
      <c r="BH59" s="23">
        <f>IF(OR(BH$1="",$BM59=0),"",IFERROR(LOOKUP(2,1/((Budgets!$A$2:$A$200=BH$1)*(Budgets!$B$2:$B$200&lt;EDATE($A59,1))),Budgets!$C$2:$C$200),0))</f>
        <v/>
      </c>
      <c r="BI59" s="23">
        <f>IF(OR(BI$1="",$BM59=0),"",IFERROR(LOOKUP(2,1/((Budgets!$A$2:$A$200=BI$1)*(Budgets!$B$2:$B$200&lt;EDATE($A59,1))),Budgets!$C$2:$C$200),0))</f>
        <v/>
      </c>
      <c r="BJ59" s="23">
        <f>IF(OR(BJ$1="",$BM59=0),"",IFERROR(LOOKUP(2,1/((Budgets!$A$2:$A$200=BJ$1)*(Budgets!$B$2:$B$200&lt;EDATE($A59,1))),Budgets!$C$2:$C$200),0))</f>
        <v/>
      </c>
      <c r="BK59" s="23">
        <f>IF(OR(BK$1="",$BM59=0),"",IFERROR(LOOKUP(2,1/((Budgets!$A$2:$A$200=BK$1)*(Budgets!$B$2:$B$200&lt;EDATE($A59,1))),Budgets!$C$2:$C$200),0))</f>
        <v/>
      </c>
      <c r="BM59" s="21">
        <f>COUNTIFS(Entries!$A$2:$A$5000,"&gt;="&amp;$A59,Entries!$A$2:$A$5000,"&lt;"&amp;EDATE($A59,1))</f>
        <v/>
      </c>
    </row>
    <row r="60">
      <c r="A60" s="22" t="n">
        <v>41214</v>
      </c>
      <c r="B60" s="23">
        <f>IF($BM60=0,NA(),SUMIFS(Entries!$E$2:$E$5000,Entries!$C$2:$C$5000,"Income",Entries!$A$2:$A$5000,"&gt;="&amp;$A60,Entries!$A$2:$A$5000,"&lt;"&amp;EDATE($A60,1)))</f>
        <v/>
      </c>
      <c r="C60" s="23">
        <f>IF($BM60=0,"",SUMIFS(Entries!$E$2:$E$5000,Entries!$C$2:$C$5000,"Actual",Entries!$A$2:$A$5000,"&gt;="&amp;$A60,Entries!$A$2:$A$5000,"&lt;"&amp;EDATE($A60,1)))</f>
        <v/>
      </c>
      <c r="D60" s="23">
        <f>IF($BM60=0,"",SUMIFS(Entries!$E$2:$E$5000,Entries!$C$2:$C$5000,"One-off",Entries!$A$2:$A$5000,"&gt;="&amp;$A60,Entries!$A$2:$A$5000,"&lt;"&amp;EDATE($A60,1)))</f>
        <v/>
      </c>
      <c r="E60" s="23">
        <f>IF($BM60=0,NA(),C60+D60)</f>
        <v/>
      </c>
      <c r="F60" s="23">
        <f>IF($BM60=0,"",SUM(AR60:BK60))</f>
        <v/>
      </c>
      <c r="G60" s="23">
        <f>IF($BM60=0,"",B60-E60)</f>
        <v/>
      </c>
      <c r="H60" s="23">
        <f>IF($BM60=0,"",SUM($G$2:G60))</f>
        <v/>
      </c>
      <c r="I60" s="23">
        <f>IF($BM60=0,"",SUMIFS(Entries!$G$2:$G$5000,Entries!$A$2:$A$5000,"&gt;="&amp;$A60,Entries!$A$2:$A$5000,"&lt;"&amp;EDATE($A60,1)))</f>
        <v/>
      </c>
      <c r="J60" s="23">
        <f>IF($BM60=0,NA(),H60)</f>
        <v/>
      </c>
      <c r="K60" s="23">
        <f>IF($BM60=0,"",SUMIFS(Entries!$E$2:$E$5000,Entries!$C$2:$C$5000,"Income",Entries!$A$2:$A$5000,"&gt;="&amp;EDATE($A60,-11),Entries!$A$2:$A$5000,"&lt;"&amp;EDATE($A60,1))/COUNTIFS($A$2:$A$400,"&gt;="&amp;EDATE($A60,-11),$A$2:$A$400,"&lt;"&amp;EDATE($A60,1),$BM$2:$BM$400,"&gt;0"))</f>
      </c>
      <c r="L60" s="23">
        <f>IF($BM60=0,"",(SUMIFS(Entries!$E$2:$E$5000,Entries!$C$2:$C$5000,"Actual",Entries!$A$2:$A$5000,"&gt;="&amp;EDATE($A60,-11),Entries!$A$2:$A$5000,"&lt;"&amp;EDATE($A60,1))+SUMIFS(Entries!$E$2:$E$5000,Entries!$C$2:$C$5000,"One-off",Entries!$A$2:$A$5000,"&gt;="&amp;EDATE($A60,-11),Entries!$A$2:$A$5000,"&lt;"&amp;EDATE($A60,1)))/COUNTIFS($A$2:$A$400,"&gt;="&amp;EDATE($A60,-11),$A$2:$A$400,"&lt;"&amp;EDATE($A60,1),$BM$2:$BM$400,"&gt;0"))</f>
      </c>
      <c r="M60" s="24">
        <f>IF($BM60=0,NA(),IFERROR((K60-L60)/K60,0))</f>
        <v/>
      </c>
      <c r="N60" s="23">
        <f>IF($BM60=0,NA(),SUMIFS(Entries!$E$2:$E$5000,Entries!$D$2:$D$5000,"Core",Entries!$A$2:$A$5000,"&gt;="&amp;$A60,Entries!$A$2:$A$5000,"&lt;"&amp;EDATE($A60,1)))</f>
        <v/>
      </c>
      <c r="O60" s="23">
        <f>IF($BM60=0,NA(),SUMIFS(Entries!$E$2:$E$5000,Entries!$D$2:$D$5000,"Over &amp; above",Entries!$A$2:$A$5000,"&gt;="&amp;$A60,Entries!$A$2:$A$5000,"&lt;"&amp;EDATE($A60,1)))</f>
        <v/>
      </c>
      <c r="P60" s="23">
        <f>IF($BM60=0,NA(),SUMIFS(Entries!$E$2:$E$5000,Entries!$D$2:$D$5000,"One-off",Entries!$A$2:$A$5000,"&gt;="&amp;$A60,Entries!$A$2:$A$5000,"&lt;"&amp;EDATE($A60,1)))</f>
        <v/>
      </c>
      <c r="Q60" s="23">
        <f>IF($BM60=0,NA(),SUMIFS(Entries!$E$2:$E$5000,Entries!$D$2:$D$5000,"Reimbursable",Entries!$A$2:$A$5000,"&gt;="&amp;$A60,Entries!$A$2:$A$5000,"&lt;"&amp;EDATE($A60,1)))</f>
        <v/>
      </c>
      <c r="R60" s="23">
        <f>IF($BM60=0,NA(),SUMIFS(Entries!$E$2:$E$5000,Entries!$D$2:$D$5000,"Investment",Entries!$A$2:$A$5000,"&gt;="&amp;$A60,Entries!$A$2:$A$5000,"&lt;"&amp;EDATE($A60,1)))</f>
        <v/>
      </c>
      <c r="S60" s="23">
        <f>IF($BM60=0,NA(),N60+O60)</f>
        <v/>
      </c>
      <c r="T60" s="23">
        <f>IF($BM60=0,"",E60-Q60)</f>
        <v/>
      </c>
      <c r="W60" s="23">
        <f>IF(OR(W$1="",$BM60=0),"",SUMIFS(Entries!$E$2:$E$5000,Entries!$C$2:$C$5000,"Actual",Entries!$A$2:$A$5000,"&gt;="&amp;$A60,Entries!$A$2:$A$5000,"&lt;"&amp;EDATE($A60,1),Entries!$B$2:$B$5000,W$1))</f>
        <v/>
      </c>
      <c r="X60" s="23">
        <f>IF(OR(X$1="",$BM60=0),"",SUMIFS(Entries!$E$2:$E$5000,Entries!$C$2:$C$5000,"Actual",Entries!$A$2:$A$5000,"&gt;="&amp;$A60,Entries!$A$2:$A$5000,"&lt;"&amp;EDATE($A60,1),Entries!$B$2:$B$5000,X$1))</f>
        <v/>
      </c>
      <c r="Y60" s="23">
        <f>IF(OR(Y$1="",$BM60=0),"",SUMIFS(Entries!$E$2:$E$5000,Entries!$C$2:$C$5000,"Actual",Entries!$A$2:$A$5000,"&gt;="&amp;$A60,Entries!$A$2:$A$5000,"&lt;"&amp;EDATE($A60,1),Entries!$B$2:$B$5000,Y$1))</f>
        <v/>
      </c>
      <c r="Z60" s="23">
        <f>IF(OR(Z$1="",$BM60=0),"",SUMIFS(Entries!$E$2:$E$5000,Entries!$C$2:$C$5000,"Actual",Entries!$A$2:$A$5000,"&gt;="&amp;$A60,Entries!$A$2:$A$5000,"&lt;"&amp;EDATE($A60,1),Entries!$B$2:$B$5000,Z$1))</f>
        <v/>
      </c>
      <c r="AA60" s="23">
        <f>IF(OR(AA$1="",$BM60=0),"",SUMIFS(Entries!$E$2:$E$5000,Entries!$C$2:$C$5000,"Actual",Entries!$A$2:$A$5000,"&gt;="&amp;$A60,Entries!$A$2:$A$5000,"&lt;"&amp;EDATE($A60,1),Entries!$B$2:$B$5000,AA$1))</f>
        <v/>
      </c>
      <c r="AB60" s="23">
        <f>IF(OR(AB$1="",$BM60=0),"",SUMIFS(Entries!$E$2:$E$5000,Entries!$C$2:$C$5000,"Actual",Entries!$A$2:$A$5000,"&gt;="&amp;$A60,Entries!$A$2:$A$5000,"&lt;"&amp;EDATE($A60,1),Entries!$B$2:$B$5000,AB$1))</f>
        <v/>
      </c>
      <c r="AC60" s="23">
        <f>IF(OR(AC$1="",$BM60=0),"",SUMIFS(Entries!$E$2:$E$5000,Entries!$C$2:$C$5000,"Actual",Entries!$A$2:$A$5000,"&gt;="&amp;$A60,Entries!$A$2:$A$5000,"&lt;"&amp;EDATE($A60,1),Entries!$B$2:$B$5000,AC$1))</f>
        <v/>
      </c>
      <c r="AD60" s="23">
        <f>IF(OR(AD$1="",$BM60=0),"",SUMIFS(Entries!$E$2:$E$5000,Entries!$C$2:$C$5000,"Actual",Entries!$A$2:$A$5000,"&gt;="&amp;$A60,Entries!$A$2:$A$5000,"&lt;"&amp;EDATE($A60,1),Entries!$B$2:$B$5000,AD$1))</f>
        <v/>
      </c>
      <c r="AE60" s="23">
        <f>IF(OR(AE$1="",$BM60=0),"",SUMIFS(Entries!$E$2:$E$5000,Entries!$C$2:$C$5000,"Actual",Entries!$A$2:$A$5000,"&gt;="&amp;$A60,Entries!$A$2:$A$5000,"&lt;"&amp;EDATE($A60,1),Entries!$B$2:$B$5000,AE$1))</f>
        <v/>
      </c>
      <c r="AF60" s="23">
        <f>IF(OR(AF$1="",$BM60=0),"",SUMIFS(Entries!$E$2:$E$5000,Entries!$C$2:$C$5000,"Actual",Entries!$A$2:$A$5000,"&gt;="&amp;$A60,Entries!$A$2:$A$5000,"&lt;"&amp;EDATE($A60,1),Entries!$B$2:$B$5000,AF$1))</f>
        <v/>
      </c>
      <c r="AG60" s="23">
        <f>IF(OR(AG$1="",$BM60=0),"",SUMIFS(Entries!$E$2:$E$5000,Entries!$C$2:$C$5000,"Actual",Entries!$A$2:$A$5000,"&gt;="&amp;$A60,Entries!$A$2:$A$5000,"&lt;"&amp;EDATE($A60,1),Entries!$B$2:$B$5000,AG$1))</f>
        <v/>
      </c>
      <c r="AH60" s="23">
        <f>IF(OR(AH$1="",$BM60=0),"",SUMIFS(Entries!$E$2:$E$5000,Entries!$C$2:$C$5000,"Actual",Entries!$A$2:$A$5000,"&gt;="&amp;$A60,Entries!$A$2:$A$5000,"&lt;"&amp;EDATE($A60,1),Entries!$B$2:$B$5000,AH$1))</f>
        <v/>
      </c>
      <c r="AI60" s="23">
        <f>IF(OR(AI$1="",$BM60=0),"",SUMIFS(Entries!$E$2:$E$5000,Entries!$C$2:$C$5000,"Actual",Entries!$A$2:$A$5000,"&gt;="&amp;$A60,Entries!$A$2:$A$5000,"&lt;"&amp;EDATE($A60,1),Entries!$B$2:$B$5000,AI$1))</f>
        <v/>
      </c>
      <c r="AJ60" s="23">
        <f>IF(OR(AJ$1="",$BM60=0),"",SUMIFS(Entries!$E$2:$E$5000,Entries!$C$2:$C$5000,"Actual",Entries!$A$2:$A$5000,"&gt;="&amp;$A60,Entries!$A$2:$A$5000,"&lt;"&amp;EDATE($A60,1),Entries!$B$2:$B$5000,AJ$1))</f>
        <v/>
      </c>
      <c r="AK60" s="23">
        <f>IF(OR(AK$1="",$BM60=0),"",SUMIFS(Entries!$E$2:$E$5000,Entries!$C$2:$C$5000,"Actual",Entries!$A$2:$A$5000,"&gt;="&amp;$A60,Entries!$A$2:$A$5000,"&lt;"&amp;EDATE($A60,1),Entries!$B$2:$B$5000,AK$1))</f>
        <v/>
      </c>
      <c r="AL60" s="23">
        <f>IF(OR(AL$1="",$BM60=0),"",SUMIFS(Entries!$E$2:$E$5000,Entries!$C$2:$C$5000,"Actual",Entries!$A$2:$A$5000,"&gt;="&amp;$A60,Entries!$A$2:$A$5000,"&lt;"&amp;EDATE($A60,1),Entries!$B$2:$B$5000,AL$1))</f>
        <v/>
      </c>
      <c r="AM60" s="23">
        <f>IF(OR(AM$1="",$BM60=0),"",SUMIFS(Entries!$E$2:$E$5000,Entries!$C$2:$C$5000,"Actual",Entries!$A$2:$A$5000,"&gt;="&amp;$A60,Entries!$A$2:$A$5000,"&lt;"&amp;EDATE($A60,1),Entries!$B$2:$B$5000,AM$1))</f>
        <v/>
      </c>
      <c r="AN60" s="23">
        <f>IF(OR(AN$1="",$BM60=0),"",SUMIFS(Entries!$E$2:$E$5000,Entries!$C$2:$C$5000,"Actual",Entries!$A$2:$A$5000,"&gt;="&amp;$A60,Entries!$A$2:$A$5000,"&lt;"&amp;EDATE($A60,1),Entries!$B$2:$B$5000,AN$1))</f>
        <v/>
      </c>
      <c r="AO60" s="23">
        <f>IF(OR(AO$1="",$BM60=0),"",SUMIFS(Entries!$E$2:$E$5000,Entries!$C$2:$C$5000,"Actual",Entries!$A$2:$A$5000,"&gt;="&amp;$A60,Entries!$A$2:$A$5000,"&lt;"&amp;EDATE($A60,1),Entries!$B$2:$B$5000,AO$1))</f>
        <v/>
      </c>
      <c r="AP60" s="23">
        <f>IF(OR(AP$1="",$BM60=0),"",SUMIFS(Entries!$E$2:$E$5000,Entries!$C$2:$C$5000,"Actual",Entries!$A$2:$A$5000,"&gt;="&amp;$A60,Entries!$A$2:$A$5000,"&lt;"&amp;EDATE($A60,1),Entries!$B$2:$B$5000,AP$1))</f>
        <v/>
      </c>
      <c r="AR60" s="23">
        <f>IF(OR(AR$1="",$BM60=0),"",IFERROR(LOOKUP(2,1/((Budgets!$A$2:$A$200=AR$1)*(Budgets!$B$2:$B$200&lt;EDATE($A60,1))),Budgets!$C$2:$C$200),0))</f>
        <v/>
      </c>
      <c r="AS60" s="23">
        <f>IF(OR(AS$1="",$BM60=0),"",IFERROR(LOOKUP(2,1/((Budgets!$A$2:$A$200=AS$1)*(Budgets!$B$2:$B$200&lt;EDATE($A60,1))),Budgets!$C$2:$C$200),0))</f>
        <v/>
      </c>
      <c r="AT60" s="23">
        <f>IF(OR(AT$1="",$BM60=0),"",IFERROR(LOOKUP(2,1/((Budgets!$A$2:$A$200=AT$1)*(Budgets!$B$2:$B$200&lt;EDATE($A60,1))),Budgets!$C$2:$C$200),0))</f>
        <v/>
      </c>
      <c r="AU60" s="23">
        <f>IF(OR(AU$1="",$BM60=0),"",IFERROR(LOOKUP(2,1/((Budgets!$A$2:$A$200=AU$1)*(Budgets!$B$2:$B$200&lt;EDATE($A60,1))),Budgets!$C$2:$C$200),0))</f>
        <v/>
      </c>
      <c r="AV60" s="23">
        <f>IF(OR(AV$1="",$BM60=0),"",IFERROR(LOOKUP(2,1/((Budgets!$A$2:$A$200=AV$1)*(Budgets!$B$2:$B$200&lt;EDATE($A60,1))),Budgets!$C$2:$C$200),0))</f>
        <v/>
      </c>
      <c r="AW60" s="23">
        <f>IF(OR(AW$1="",$BM60=0),"",IFERROR(LOOKUP(2,1/((Budgets!$A$2:$A$200=AW$1)*(Budgets!$B$2:$B$200&lt;EDATE($A60,1))),Budgets!$C$2:$C$200),0))</f>
        <v/>
      </c>
      <c r="AX60" s="23">
        <f>IF(OR(AX$1="",$BM60=0),"",IFERROR(LOOKUP(2,1/((Budgets!$A$2:$A$200=AX$1)*(Budgets!$B$2:$B$200&lt;EDATE($A60,1))),Budgets!$C$2:$C$200),0))</f>
        <v/>
      </c>
      <c r="AY60" s="23">
        <f>IF(OR(AY$1="",$BM60=0),"",IFERROR(LOOKUP(2,1/((Budgets!$A$2:$A$200=AY$1)*(Budgets!$B$2:$B$200&lt;EDATE($A60,1))),Budgets!$C$2:$C$200),0))</f>
        <v/>
      </c>
      <c r="AZ60" s="23">
        <f>IF(OR(AZ$1="",$BM60=0),"",IFERROR(LOOKUP(2,1/((Budgets!$A$2:$A$200=AZ$1)*(Budgets!$B$2:$B$200&lt;EDATE($A60,1))),Budgets!$C$2:$C$200),0))</f>
        <v/>
      </c>
      <c r="BA60" s="23">
        <f>IF(OR(BA$1="",$BM60=0),"",IFERROR(LOOKUP(2,1/((Budgets!$A$2:$A$200=BA$1)*(Budgets!$B$2:$B$200&lt;EDATE($A60,1))),Budgets!$C$2:$C$200),0))</f>
        <v/>
      </c>
      <c r="BB60" s="23">
        <f>IF(OR(BB$1="",$BM60=0),"",IFERROR(LOOKUP(2,1/((Budgets!$A$2:$A$200=BB$1)*(Budgets!$B$2:$B$200&lt;EDATE($A60,1))),Budgets!$C$2:$C$200),0))</f>
        <v/>
      </c>
      <c r="BC60" s="23">
        <f>IF(OR(BC$1="",$BM60=0),"",IFERROR(LOOKUP(2,1/((Budgets!$A$2:$A$200=BC$1)*(Budgets!$B$2:$B$200&lt;EDATE($A60,1))),Budgets!$C$2:$C$200),0))</f>
        <v/>
      </c>
      <c r="BD60" s="23">
        <f>IF(OR(BD$1="",$BM60=0),"",IFERROR(LOOKUP(2,1/((Budgets!$A$2:$A$200=BD$1)*(Budgets!$B$2:$B$200&lt;EDATE($A60,1))),Budgets!$C$2:$C$200),0))</f>
        <v/>
      </c>
      <c r="BE60" s="23">
        <f>IF(OR(BE$1="",$BM60=0),"",IFERROR(LOOKUP(2,1/((Budgets!$A$2:$A$200=BE$1)*(Budgets!$B$2:$B$200&lt;EDATE($A60,1))),Budgets!$C$2:$C$200),0))</f>
        <v/>
      </c>
      <c r="BF60" s="23">
        <f>IF(OR(BF$1="",$BM60=0),"",IFERROR(LOOKUP(2,1/((Budgets!$A$2:$A$200=BF$1)*(Budgets!$B$2:$B$200&lt;EDATE($A60,1))),Budgets!$C$2:$C$200),0))</f>
        <v/>
      </c>
      <c r="BG60" s="23">
        <f>IF(OR(BG$1="",$BM60=0),"",IFERROR(LOOKUP(2,1/((Budgets!$A$2:$A$200=BG$1)*(Budgets!$B$2:$B$200&lt;EDATE($A60,1))),Budgets!$C$2:$C$200),0))</f>
        <v/>
      </c>
      <c r="BH60" s="23">
        <f>IF(OR(BH$1="",$BM60=0),"",IFERROR(LOOKUP(2,1/((Budgets!$A$2:$A$200=BH$1)*(Budgets!$B$2:$B$200&lt;EDATE($A60,1))),Budgets!$C$2:$C$200),0))</f>
        <v/>
      </c>
      <c r="BI60" s="23">
        <f>IF(OR(BI$1="",$BM60=0),"",IFERROR(LOOKUP(2,1/((Budgets!$A$2:$A$200=BI$1)*(Budgets!$B$2:$B$200&lt;EDATE($A60,1))),Budgets!$C$2:$C$200),0))</f>
        <v/>
      </c>
      <c r="BJ60" s="23">
        <f>IF(OR(BJ$1="",$BM60=0),"",IFERROR(LOOKUP(2,1/((Budgets!$A$2:$A$200=BJ$1)*(Budgets!$B$2:$B$200&lt;EDATE($A60,1))),Budgets!$C$2:$C$200),0))</f>
        <v/>
      </c>
      <c r="BK60" s="23">
        <f>IF(OR(BK$1="",$BM60=0),"",IFERROR(LOOKUP(2,1/((Budgets!$A$2:$A$200=BK$1)*(Budgets!$B$2:$B$200&lt;EDATE($A60,1))),Budgets!$C$2:$C$200),0))</f>
        <v/>
      </c>
      <c r="BM60" s="21">
        <f>COUNTIFS(Entries!$A$2:$A$5000,"&gt;="&amp;$A60,Entries!$A$2:$A$5000,"&lt;"&amp;EDATE($A60,1))</f>
        <v/>
      </c>
    </row>
    <row r="61">
      <c r="A61" s="22" t="n">
        <v>41244</v>
      </c>
      <c r="B61" s="23">
        <f>IF($BM61=0,NA(),SUMIFS(Entries!$E$2:$E$5000,Entries!$C$2:$C$5000,"Income",Entries!$A$2:$A$5000,"&gt;="&amp;$A61,Entries!$A$2:$A$5000,"&lt;"&amp;EDATE($A61,1)))</f>
        <v/>
      </c>
      <c r="C61" s="23">
        <f>IF($BM61=0,"",SUMIFS(Entries!$E$2:$E$5000,Entries!$C$2:$C$5000,"Actual",Entries!$A$2:$A$5000,"&gt;="&amp;$A61,Entries!$A$2:$A$5000,"&lt;"&amp;EDATE($A61,1)))</f>
        <v/>
      </c>
      <c r="D61" s="23">
        <f>IF($BM61=0,"",SUMIFS(Entries!$E$2:$E$5000,Entries!$C$2:$C$5000,"One-off",Entries!$A$2:$A$5000,"&gt;="&amp;$A61,Entries!$A$2:$A$5000,"&lt;"&amp;EDATE($A61,1)))</f>
        <v/>
      </c>
      <c r="E61" s="23">
        <f>IF($BM61=0,NA(),C61+D61)</f>
        <v/>
      </c>
      <c r="F61" s="23">
        <f>IF($BM61=0,"",SUM(AR61:BK61))</f>
        <v/>
      </c>
      <c r="G61" s="23">
        <f>IF($BM61=0,"",B61-E61)</f>
        <v/>
      </c>
      <c r="H61" s="23">
        <f>IF($BM61=0,"",SUM($G$2:G61))</f>
        <v/>
      </c>
      <c r="I61" s="23">
        <f>IF($BM61=0,"",SUMIFS(Entries!$G$2:$G$5000,Entries!$A$2:$A$5000,"&gt;="&amp;$A61,Entries!$A$2:$A$5000,"&lt;"&amp;EDATE($A61,1)))</f>
        <v/>
      </c>
      <c r="J61" s="23">
        <f>IF($BM61=0,NA(),H61)</f>
        <v/>
      </c>
      <c r="K61" s="23">
        <f>IF($BM61=0,"",SUMIFS(Entries!$E$2:$E$5000,Entries!$C$2:$C$5000,"Income",Entries!$A$2:$A$5000,"&gt;="&amp;EDATE($A61,-11),Entries!$A$2:$A$5000,"&lt;"&amp;EDATE($A61,1))/COUNTIFS($A$2:$A$400,"&gt;="&amp;EDATE($A61,-11),$A$2:$A$400,"&lt;"&amp;EDATE($A61,1),$BM$2:$BM$400,"&gt;0"))</f>
      </c>
      <c r="L61" s="23">
        <f>IF($BM61=0,"",(SUMIFS(Entries!$E$2:$E$5000,Entries!$C$2:$C$5000,"Actual",Entries!$A$2:$A$5000,"&gt;="&amp;EDATE($A61,-11),Entries!$A$2:$A$5000,"&lt;"&amp;EDATE($A61,1))+SUMIFS(Entries!$E$2:$E$5000,Entries!$C$2:$C$5000,"One-off",Entries!$A$2:$A$5000,"&gt;="&amp;EDATE($A61,-11),Entries!$A$2:$A$5000,"&lt;"&amp;EDATE($A61,1)))/COUNTIFS($A$2:$A$400,"&gt;="&amp;EDATE($A61,-11),$A$2:$A$400,"&lt;"&amp;EDATE($A61,1),$BM$2:$BM$400,"&gt;0"))</f>
      </c>
      <c r="M61" s="24">
        <f>IF($BM61=0,NA(),IFERROR((K61-L61)/K61,0))</f>
        <v/>
      </c>
      <c r="N61" s="23">
        <f>IF($BM61=0,NA(),SUMIFS(Entries!$E$2:$E$5000,Entries!$D$2:$D$5000,"Core",Entries!$A$2:$A$5000,"&gt;="&amp;$A61,Entries!$A$2:$A$5000,"&lt;"&amp;EDATE($A61,1)))</f>
        <v/>
      </c>
      <c r="O61" s="23">
        <f>IF($BM61=0,NA(),SUMIFS(Entries!$E$2:$E$5000,Entries!$D$2:$D$5000,"Over &amp; above",Entries!$A$2:$A$5000,"&gt;="&amp;$A61,Entries!$A$2:$A$5000,"&lt;"&amp;EDATE($A61,1)))</f>
        <v/>
      </c>
      <c r="P61" s="23">
        <f>IF($BM61=0,NA(),SUMIFS(Entries!$E$2:$E$5000,Entries!$D$2:$D$5000,"One-off",Entries!$A$2:$A$5000,"&gt;="&amp;$A61,Entries!$A$2:$A$5000,"&lt;"&amp;EDATE($A61,1)))</f>
        <v/>
      </c>
      <c r="Q61" s="23">
        <f>IF($BM61=0,NA(),SUMIFS(Entries!$E$2:$E$5000,Entries!$D$2:$D$5000,"Reimbursable",Entries!$A$2:$A$5000,"&gt;="&amp;$A61,Entries!$A$2:$A$5000,"&lt;"&amp;EDATE($A61,1)))</f>
        <v/>
      </c>
      <c r="R61" s="23">
        <f>IF($BM61=0,NA(),SUMIFS(Entries!$E$2:$E$5000,Entries!$D$2:$D$5000,"Investment",Entries!$A$2:$A$5000,"&gt;="&amp;$A61,Entries!$A$2:$A$5000,"&lt;"&amp;EDATE($A61,1)))</f>
        <v/>
      </c>
      <c r="S61" s="23">
        <f>IF($BM61=0,NA(),N61+O61)</f>
        <v/>
      </c>
      <c r="T61" s="23">
        <f>IF($BM61=0,"",E61-Q61)</f>
        <v/>
      </c>
      <c r="W61" s="23">
        <f>IF(OR(W$1="",$BM61=0),"",SUMIFS(Entries!$E$2:$E$5000,Entries!$C$2:$C$5000,"Actual",Entries!$A$2:$A$5000,"&gt;="&amp;$A61,Entries!$A$2:$A$5000,"&lt;"&amp;EDATE($A61,1),Entries!$B$2:$B$5000,W$1))</f>
        <v/>
      </c>
      <c r="X61" s="23">
        <f>IF(OR(X$1="",$BM61=0),"",SUMIFS(Entries!$E$2:$E$5000,Entries!$C$2:$C$5000,"Actual",Entries!$A$2:$A$5000,"&gt;="&amp;$A61,Entries!$A$2:$A$5000,"&lt;"&amp;EDATE($A61,1),Entries!$B$2:$B$5000,X$1))</f>
        <v/>
      </c>
      <c r="Y61" s="23">
        <f>IF(OR(Y$1="",$BM61=0),"",SUMIFS(Entries!$E$2:$E$5000,Entries!$C$2:$C$5000,"Actual",Entries!$A$2:$A$5000,"&gt;="&amp;$A61,Entries!$A$2:$A$5000,"&lt;"&amp;EDATE($A61,1),Entries!$B$2:$B$5000,Y$1))</f>
        <v/>
      </c>
      <c r="Z61" s="23">
        <f>IF(OR(Z$1="",$BM61=0),"",SUMIFS(Entries!$E$2:$E$5000,Entries!$C$2:$C$5000,"Actual",Entries!$A$2:$A$5000,"&gt;="&amp;$A61,Entries!$A$2:$A$5000,"&lt;"&amp;EDATE($A61,1),Entries!$B$2:$B$5000,Z$1))</f>
        <v/>
      </c>
      <c r="AA61" s="23">
        <f>IF(OR(AA$1="",$BM61=0),"",SUMIFS(Entries!$E$2:$E$5000,Entries!$C$2:$C$5000,"Actual",Entries!$A$2:$A$5000,"&gt;="&amp;$A61,Entries!$A$2:$A$5000,"&lt;"&amp;EDATE($A61,1),Entries!$B$2:$B$5000,AA$1))</f>
        <v/>
      </c>
      <c r="AB61" s="23">
        <f>IF(OR(AB$1="",$BM61=0),"",SUMIFS(Entries!$E$2:$E$5000,Entries!$C$2:$C$5000,"Actual",Entries!$A$2:$A$5000,"&gt;="&amp;$A61,Entries!$A$2:$A$5000,"&lt;"&amp;EDATE($A61,1),Entries!$B$2:$B$5000,AB$1))</f>
        <v/>
      </c>
      <c r="AC61" s="23">
        <f>IF(OR(AC$1="",$BM61=0),"",SUMIFS(Entries!$E$2:$E$5000,Entries!$C$2:$C$5000,"Actual",Entries!$A$2:$A$5000,"&gt;="&amp;$A61,Entries!$A$2:$A$5000,"&lt;"&amp;EDATE($A61,1),Entries!$B$2:$B$5000,AC$1))</f>
        <v/>
      </c>
      <c r="AD61" s="23">
        <f>IF(OR(AD$1="",$BM61=0),"",SUMIFS(Entries!$E$2:$E$5000,Entries!$C$2:$C$5000,"Actual",Entries!$A$2:$A$5000,"&gt;="&amp;$A61,Entries!$A$2:$A$5000,"&lt;"&amp;EDATE($A61,1),Entries!$B$2:$B$5000,AD$1))</f>
        <v/>
      </c>
      <c r="AE61" s="23">
        <f>IF(OR(AE$1="",$BM61=0),"",SUMIFS(Entries!$E$2:$E$5000,Entries!$C$2:$C$5000,"Actual",Entries!$A$2:$A$5000,"&gt;="&amp;$A61,Entries!$A$2:$A$5000,"&lt;"&amp;EDATE($A61,1),Entries!$B$2:$B$5000,AE$1))</f>
        <v/>
      </c>
      <c r="AF61" s="23">
        <f>IF(OR(AF$1="",$BM61=0),"",SUMIFS(Entries!$E$2:$E$5000,Entries!$C$2:$C$5000,"Actual",Entries!$A$2:$A$5000,"&gt;="&amp;$A61,Entries!$A$2:$A$5000,"&lt;"&amp;EDATE($A61,1),Entries!$B$2:$B$5000,AF$1))</f>
        <v/>
      </c>
      <c r="AG61" s="23">
        <f>IF(OR(AG$1="",$BM61=0),"",SUMIFS(Entries!$E$2:$E$5000,Entries!$C$2:$C$5000,"Actual",Entries!$A$2:$A$5000,"&gt;="&amp;$A61,Entries!$A$2:$A$5000,"&lt;"&amp;EDATE($A61,1),Entries!$B$2:$B$5000,AG$1))</f>
        <v/>
      </c>
      <c r="AH61" s="23">
        <f>IF(OR(AH$1="",$BM61=0),"",SUMIFS(Entries!$E$2:$E$5000,Entries!$C$2:$C$5000,"Actual",Entries!$A$2:$A$5000,"&gt;="&amp;$A61,Entries!$A$2:$A$5000,"&lt;"&amp;EDATE($A61,1),Entries!$B$2:$B$5000,AH$1))</f>
        <v/>
      </c>
      <c r="AI61" s="23">
        <f>IF(OR(AI$1="",$BM61=0),"",SUMIFS(Entries!$E$2:$E$5000,Entries!$C$2:$C$5000,"Actual",Entries!$A$2:$A$5000,"&gt;="&amp;$A61,Entries!$A$2:$A$5000,"&lt;"&amp;EDATE($A61,1),Entries!$B$2:$B$5000,AI$1))</f>
        <v/>
      </c>
      <c r="AJ61" s="23">
        <f>IF(OR(AJ$1="",$BM61=0),"",SUMIFS(Entries!$E$2:$E$5000,Entries!$C$2:$C$5000,"Actual",Entries!$A$2:$A$5000,"&gt;="&amp;$A61,Entries!$A$2:$A$5000,"&lt;"&amp;EDATE($A61,1),Entries!$B$2:$B$5000,AJ$1))</f>
        <v/>
      </c>
      <c r="AK61" s="23">
        <f>IF(OR(AK$1="",$BM61=0),"",SUMIFS(Entries!$E$2:$E$5000,Entries!$C$2:$C$5000,"Actual",Entries!$A$2:$A$5000,"&gt;="&amp;$A61,Entries!$A$2:$A$5000,"&lt;"&amp;EDATE($A61,1),Entries!$B$2:$B$5000,AK$1))</f>
        <v/>
      </c>
      <c r="AL61" s="23">
        <f>IF(OR(AL$1="",$BM61=0),"",SUMIFS(Entries!$E$2:$E$5000,Entries!$C$2:$C$5000,"Actual",Entries!$A$2:$A$5000,"&gt;="&amp;$A61,Entries!$A$2:$A$5000,"&lt;"&amp;EDATE($A61,1),Entries!$B$2:$B$5000,AL$1))</f>
        <v/>
      </c>
      <c r="AM61" s="23">
        <f>IF(OR(AM$1="",$BM61=0),"",SUMIFS(Entries!$E$2:$E$5000,Entries!$C$2:$C$5000,"Actual",Entries!$A$2:$A$5000,"&gt;="&amp;$A61,Entries!$A$2:$A$5000,"&lt;"&amp;EDATE($A61,1),Entries!$B$2:$B$5000,AM$1))</f>
        <v/>
      </c>
      <c r="AN61" s="23">
        <f>IF(OR(AN$1="",$BM61=0),"",SUMIFS(Entries!$E$2:$E$5000,Entries!$C$2:$C$5000,"Actual",Entries!$A$2:$A$5000,"&gt;="&amp;$A61,Entries!$A$2:$A$5000,"&lt;"&amp;EDATE($A61,1),Entries!$B$2:$B$5000,AN$1))</f>
        <v/>
      </c>
      <c r="AO61" s="23">
        <f>IF(OR(AO$1="",$BM61=0),"",SUMIFS(Entries!$E$2:$E$5000,Entries!$C$2:$C$5000,"Actual",Entries!$A$2:$A$5000,"&gt;="&amp;$A61,Entries!$A$2:$A$5000,"&lt;"&amp;EDATE($A61,1),Entries!$B$2:$B$5000,AO$1))</f>
        <v/>
      </c>
      <c r="AP61" s="23">
        <f>IF(OR(AP$1="",$BM61=0),"",SUMIFS(Entries!$E$2:$E$5000,Entries!$C$2:$C$5000,"Actual",Entries!$A$2:$A$5000,"&gt;="&amp;$A61,Entries!$A$2:$A$5000,"&lt;"&amp;EDATE($A61,1),Entries!$B$2:$B$5000,AP$1))</f>
        <v/>
      </c>
      <c r="AR61" s="23">
        <f>IF(OR(AR$1="",$BM61=0),"",IFERROR(LOOKUP(2,1/((Budgets!$A$2:$A$200=AR$1)*(Budgets!$B$2:$B$200&lt;EDATE($A61,1))),Budgets!$C$2:$C$200),0))</f>
        <v/>
      </c>
      <c r="AS61" s="23">
        <f>IF(OR(AS$1="",$BM61=0),"",IFERROR(LOOKUP(2,1/((Budgets!$A$2:$A$200=AS$1)*(Budgets!$B$2:$B$200&lt;EDATE($A61,1))),Budgets!$C$2:$C$200),0))</f>
        <v/>
      </c>
      <c r="AT61" s="23">
        <f>IF(OR(AT$1="",$BM61=0),"",IFERROR(LOOKUP(2,1/((Budgets!$A$2:$A$200=AT$1)*(Budgets!$B$2:$B$200&lt;EDATE($A61,1))),Budgets!$C$2:$C$200),0))</f>
        <v/>
      </c>
      <c r="AU61" s="23">
        <f>IF(OR(AU$1="",$BM61=0),"",IFERROR(LOOKUP(2,1/((Budgets!$A$2:$A$200=AU$1)*(Budgets!$B$2:$B$200&lt;EDATE($A61,1))),Budgets!$C$2:$C$200),0))</f>
        <v/>
      </c>
      <c r="AV61" s="23">
        <f>IF(OR(AV$1="",$BM61=0),"",IFERROR(LOOKUP(2,1/((Budgets!$A$2:$A$200=AV$1)*(Budgets!$B$2:$B$200&lt;EDATE($A61,1))),Budgets!$C$2:$C$200),0))</f>
        <v/>
      </c>
      <c r="AW61" s="23">
        <f>IF(OR(AW$1="",$BM61=0),"",IFERROR(LOOKUP(2,1/((Budgets!$A$2:$A$200=AW$1)*(Budgets!$B$2:$B$200&lt;EDATE($A61,1))),Budgets!$C$2:$C$200),0))</f>
        <v/>
      </c>
      <c r="AX61" s="23">
        <f>IF(OR(AX$1="",$BM61=0),"",IFERROR(LOOKUP(2,1/((Budgets!$A$2:$A$200=AX$1)*(Budgets!$B$2:$B$200&lt;EDATE($A61,1))),Budgets!$C$2:$C$200),0))</f>
        <v/>
      </c>
      <c r="AY61" s="23">
        <f>IF(OR(AY$1="",$BM61=0),"",IFERROR(LOOKUP(2,1/((Budgets!$A$2:$A$200=AY$1)*(Budgets!$B$2:$B$200&lt;EDATE($A61,1))),Budgets!$C$2:$C$200),0))</f>
        <v/>
      </c>
      <c r="AZ61" s="23">
        <f>IF(OR(AZ$1="",$BM61=0),"",IFERROR(LOOKUP(2,1/((Budgets!$A$2:$A$200=AZ$1)*(Budgets!$B$2:$B$200&lt;EDATE($A61,1))),Budgets!$C$2:$C$200),0))</f>
        <v/>
      </c>
      <c r="BA61" s="23">
        <f>IF(OR(BA$1="",$BM61=0),"",IFERROR(LOOKUP(2,1/((Budgets!$A$2:$A$200=BA$1)*(Budgets!$B$2:$B$200&lt;EDATE($A61,1))),Budgets!$C$2:$C$200),0))</f>
        <v/>
      </c>
      <c r="BB61" s="23">
        <f>IF(OR(BB$1="",$BM61=0),"",IFERROR(LOOKUP(2,1/((Budgets!$A$2:$A$200=BB$1)*(Budgets!$B$2:$B$200&lt;EDATE($A61,1))),Budgets!$C$2:$C$200),0))</f>
        <v/>
      </c>
      <c r="BC61" s="23">
        <f>IF(OR(BC$1="",$BM61=0),"",IFERROR(LOOKUP(2,1/((Budgets!$A$2:$A$200=BC$1)*(Budgets!$B$2:$B$200&lt;EDATE($A61,1))),Budgets!$C$2:$C$200),0))</f>
        <v/>
      </c>
      <c r="BD61" s="23">
        <f>IF(OR(BD$1="",$BM61=0),"",IFERROR(LOOKUP(2,1/((Budgets!$A$2:$A$200=BD$1)*(Budgets!$B$2:$B$200&lt;EDATE($A61,1))),Budgets!$C$2:$C$200),0))</f>
        <v/>
      </c>
      <c r="BE61" s="23">
        <f>IF(OR(BE$1="",$BM61=0),"",IFERROR(LOOKUP(2,1/((Budgets!$A$2:$A$200=BE$1)*(Budgets!$B$2:$B$200&lt;EDATE($A61,1))),Budgets!$C$2:$C$200),0))</f>
        <v/>
      </c>
      <c r="BF61" s="23">
        <f>IF(OR(BF$1="",$BM61=0),"",IFERROR(LOOKUP(2,1/((Budgets!$A$2:$A$200=BF$1)*(Budgets!$B$2:$B$200&lt;EDATE($A61,1))),Budgets!$C$2:$C$200),0))</f>
        <v/>
      </c>
      <c r="BG61" s="23">
        <f>IF(OR(BG$1="",$BM61=0),"",IFERROR(LOOKUP(2,1/((Budgets!$A$2:$A$200=BG$1)*(Budgets!$B$2:$B$200&lt;EDATE($A61,1))),Budgets!$C$2:$C$200),0))</f>
        <v/>
      </c>
      <c r="BH61" s="23">
        <f>IF(OR(BH$1="",$BM61=0),"",IFERROR(LOOKUP(2,1/((Budgets!$A$2:$A$200=BH$1)*(Budgets!$B$2:$B$200&lt;EDATE($A61,1))),Budgets!$C$2:$C$200),0))</f>
        <v/>
      </c>
      <c r="BI61" s="23">
        <f>IF(OR(BI$1="",$BM61=0),"",IFERROR(LOOKUP(2,1/((Budgets!$A$2:$A$200=BI$1)*(Budgets!$B$2:$B$200&lt;EDATE($A61,1))),Budgets!$C$2:$C$200),0))</f>
        <v/>
      </c>
      <c r="BJ61" s="23">
        <f>IF(OR(BJ$1="",$BM61=0),"",IFERROR(LOOKUP(2,1/((Budgets!$A$2:$A$200=BJ$1)*(Budgets!$B$2:$B$200&lt;EDATE($A61,1))),Budgets!$C$2:$C$200),0))</f>
        <v/>
      </c>
      <c r="BK61" s="23">
        <f>IF(OR(BK$1="",$BM61=0),"",IFERROR(LOOKUP(2,1/((Budgets!$A$2:$A$200=BK$1)*(Budgets!$B$2:$B$200&lt;EDATE($A61,1))),Budgets!$C$2:$C$200),0))</f>
        <v/>
      </c>
      <c r="BM61" s="21">
        <f>COUNTIFS(Entries!$A$2:$A$5000,"&gt;="&amp;$A61,Entries!$A$2:$A$5000,"&lt;"&amp;EDATE($A61,1))</f>
        <v/>
      </c>
    </row>
    <row r="62">
      <c r="A62" s="22" t="n">
        <v>41275</v>
      </c>
      <c r="B62" s="23">
        <f>IF($BM62=0,NA(),SUMIFS(Entries!$E$2:$E$5000,Entries!$C$2:$C$5000,"Income",Entries!$A$2:$A$5000,"&gt;="&amp;$A62,Entries!$A$2:$A$5000,"&lt;"&amp;EDATE($A62,1)))</f>
        <v/>
      </c>
      <c r="C62" s="23">
        <f>IF($BM62=0,"",SUMIFS(Entries!$E$2:$E$5000,Entries!$C$2:$C$5000,"Actual",Entries!$A$2:$A$5000,"&gt;="&amp;$A62,Entries!$A$2:$A$5000,"&lt;"&amp;EDATE($A62,1)))</f>
        <v/>
      </c>
      <c r="D62" s="23">
        <f>IF($BM62=0,"",SUMIFS(Entries!$E$2:$E$5000,Entries!$C$2:$C$5000,"One-off",Entries!$A$2:$A$5000,"&gt;="&amp;$A62,Entries!$A$2:$A$5000,"&lt;"&amp;EDATE($A62,1)))</f>
        <v/>
      </c>
      <c r="E62" s="23">
        <f>IF($BM62=0,NA(),C62+D62)</f>
        <v/>
      </c>
      <c r="F62" s="23">
        <f>IF($BM62=0,"",SUM(AR62:BK62))</f>
        <v/>
      </c>
      <c r="G62" s="23">
        <f>IF($BM62=0,"",B62-E62)</f>
        <v/>
      </c>
      <c r="H62" s="23">
        <f>IF($BM62=0,"",SUM($G$2:G62))</f>
        <v/>
      </c>
      <c r="I62" s="23">
        <f>IF($BM62=0,"",SUMIFS(Entries!$G$2:$G$5000,Entries!$A$2:$A$5000,"&gt;="&amp;$A62,Entries!$A$2:$A$5000,"&lt;"&amp;EDATE($A62,1)))</f>
        <v/>
      </c>
      <c r="J62" s="23">
        <f>IF($BM62=0,NA(),H62)</f>
        <v/>
      </c>
      <c r="K62" s="23">
        <f>IF($BM62=0,"",SUMIFS(Entries!$E$2:$E$5000,Entries!$C$2:$C$5000,"Income",Entries!$A$2:$A$5000,"&gt;="&amp;EDATE($A62,-11),Entries!$A$2:$A$5000,"&lt;"&amp;EDATE($A62,1))/COUNTIFS($A$2:$A$400,"&gt;="&amp;EDATE($A62,-11),$A$2:$A$400,"&lt;"&amp;EDATE($A62,1),$BM$2:$BM$400,"&gt;0"))</f>
      </c>
      <c r="L62" s="23">
        <f>IF($BM62=0,"",(SUMIFS(Entries!$E$2:$E$5000,Entries!$C$2:$C$5000,"Actual",Entries!$A$2:$A$5000,"&gt;="&amp;EDATE($A62,-11),Entries!$A$2:$A$5000,"&lt;"&amp;EDATE($A62,1))+SUMIFS(Entries!$E$2:$E$5000,Entries!$C$2:$C$5000,"One-off",Entries!$A$2:$A$5000,"&gt;="&amp;EDATE($A62,-11),Entries!$A$2:$A$5000,"&lt;"&amp;EDATE($A62,1)))/COUNTIFS($A$2:$A$400,"&gt;="&amp;EDATE($A62,-11),$A$2:$A$400,"&lt;"&amp;EDATE($A62,1),$BM$2:$BM$400,"&gt;0"))</f>
      </c>
      <c r="M62" s="24">
        <f>IF($BM62=0,NA(),IFERROR((K62-L62)/K62,0))</f>
        <v/>
      </c>
      <c r="N62" s="23">
        <f>IF($BM62=0,NA(),SUMIFS(Entries!$E$2:$E$5000,Entries!$D$2:$D$5000,"Core",Entries!$A$2:$A$5000,"&gt;="&amp;$A62,Entries!$A$2:$A$5000,"&lt;"&amp;EDATE($A62,1)))</f>
        <v/>
      </c>
      <c r="O62" s="23">
        <f>IF($BM62=0,NA(),SUMIFS(Entries!$E$2:$E$5000,Entries!$D$2:$D$5000,"Over &amp; above",Entries!$A$2:$A$5000,"&gt;="&amp;$A62,Entries!$A$2:$A$5000,"&lt;"&amp;EDATE($A62,1)))</f>
        <v/>
      </c>
      <c r="P62" s="23">
        <f>IF($BM62=0,NA(),SUMIFS(Entries!$E$2:$E$5000,Entries!$D$2:$D$5000,"One-off",Entries!$A$2:$A$5000,"&gt;="&amp;$A62,Entries!$A$2:$A$5000,"&lt;"&amp;EDATE($A62,1)))</f>
        <v/>
      </c>
      <c r="Q62" s="23">
        <f>IF($BM62=0,NA(),SUMIFS(Entries!$E$2:$E$5000,Entries!$D$2:$D$5000,"Reimbursable",Entries!$A$2:$A$5000,"&gt;="&amp;$A62,Entries!$A$2:$A$5000,"&lt;"&amp;EDATE($A62,1)))</f>
        <v/>
      </c>
      <c r="R62" s="23">
        <f>IF($BM62=0,NA(),SUMIFS(Entries!$E$2:$E$5000,Entries!$D$2:$D$5000,"Investment",Entries!$A$2:$A$5000,"&gt;="&amp;$A62,Entries!$A$2:$A$5000,"&lt;"&amp;EDATE($A62,1)))</f>
        <v/>
      </c>
      <c r="S62" s="23">
        <f>IF($BM62=0,NA(),N62+O62)</f>
        <v/>
      </c>
      <c r="T62" s="23">
        <f>IF($BM62=0,"",E62-Q62)</f>
        <v/>
      </c>
      <c r="W62" s="23">
        <f>IF(OR(W$1="",$BM62=0),"",SUMIFS(Entries!$E$2:$E$5000,Entries!$C$2:$C$5000,"Actual",Entries!$A$2:$A$5000,"&gt;="&amp;$A62,Entries!$A$2:$A$5000,"&lt;"&amp;EDATE($A62,1),Entries!$B$2:$B$5000,W$1))</f>
        <v/>
      </c>
      <c r="X62" s="23">
        <f>IF(OR(X$1="",$BM62=0),"",SUMIFS(Entries!$E$2:$E$5000,Entries!$C$2:$C$5000,"Actual",Entries!$A$2:$A$5000,"&gt;="&amp;$A62,Entries!$A$2:$A$5000,"&lt;"&amp;EDATE($A62,1),Entries!$B$2:$B$5000,X$1))</f>
        <v/>
      </c>
      <c r="Y62" s="23">
        <f>IF(OR(Y$1="",$BM62=0),"",SUMIFS(Entries!$E$2:$E$5000,Entries!$C$2:$C$5000,"Actual",Entries!$A$2:$A$5000,"&gt;="&amp;$A62,Entries!$A$2:$A$5000,"&lt;"&amp;EDATE($A62,1),Entries!$B$2:$B$5000,Y$1))</f>
        <v/>
      </c>
      <c r="Z62" s="23">
        <f>IF(OR(Z$1="",$BM62=0),"",SUMIFS(Entries!$E$2:$E$5000,Entries!$C$2:$C$5000,"Actual",Entries!$A$2:$A$5000,"&gt;="&amp;$A62,Entries!$A$2:$A$5000,"&lt;"&amp;EDATE($A62,1),Entries!$B$2:$B$5000,Z$1))</f>
        <v/>
      </c>
      <c r="AA62" s="23">
        <f>IF(OR(AA$1="",$BM62=0),"",SUMIFS(Entries!$E$2:$E$5000,Entries!$C$2:$C$5000,"Actual",Entries!$A$2:$A$5000,"&gt;="&amp;$A62,Entries!$A$2:$A$5000,"&lt;"&amp;EDATE($A62,1),Entries!$B$2:$B$5000,AA$1))</f>
        <v/>
      </c>
      <c r="AB62" s="23">
        <f>IF(OR(AB$1="",$BM62=0),"",SUMIFS(Entries!$E$2:$E$5000,Entries!$C$2:$C$5000,"Actual",Entries!$A$2:$A$5000,"&gt;="&amp;$A62,Entries!$A$2:$A$5000,"&lt;"&amp;EDATE($A62,1),Entries!$B$2:$B$5000,AB$1))</f>
        <v/>
      </c>
      <c r="AC62" s="23">
        <f>IF(OR(AC$1="",$BM62=0),"",SUMIFS(Entries!$E$2:$E$5000,Entries!$C$2:$C$5000,"Actual",Entries!$A$2:$A$5000,"&gt;="&amp;$A62,Entries!$A$2:$A$5000,"&lt;"&amp;EDATE($A62,1),Entries!$B$2:$B$5000,AC$1))</f>
        <v/>
      </c>
      <c r="AD62" s="23">
        <f>IF(OR(AD$1="",$BM62=0),"",SUMIFS(Entries!$E$2:$E$5000,Entries!$C$2:$C$5000,"Actual",Entries!$A$2:$A$5000,"&gt;="&amp;$A62,Entries!$A$2:$A$5000,"&lt;"&amp;EDATE($A62,1),Entries!$B$2:$B$5000,AD$1))</f>
        <v/>
      </c>
      <c r="AE62" s="23">
        <f>IF(OR(AE$1="",$BM62=0),"",SUMIFS(Entries!$E$2:$E$5000,Entries!$C$2:$C$5000,"Actual",Entries!$A$2:$A$5000,"&gt;="&amp;$A62,Entries!$A$2:$A$5000,"&lt;"&amp;EDATE($A62,1),Entries!$B$2:$B$5000,AE$1))</f>
        <v/>
      </c>
      <c r="AF62" s="23">
        <f>IF(OR(AF$1="",$BM62=0),"",SUMIFS(Entries!$E$2:$E$5000,Entries!$C$2:$C$5000,"Actual",Entries!$A$2:$A$5000,"&gt;="&amp;$A62,Entries!$A$2:$A$5000,"&lt;"&amp;EDATE($A62,1),Entries!$B$2:$B$5000,AF$1))</f>
        <v/>
      </c>
      <c r="AG62" s="23">
        <f>IF(OR(AG$1="",$BM62=0),"",SUMIFS(Entries!$E$2:$E$5000,Entries!$C$2:$C$5000,"Actual",Entries!$A$2:$A$5000,"&gt;="&amp;$A62,Entries!$A$2:$A$5000,"&lt;"&amp;EDATE($A62,1),Entries!$B$2:$B$5000,AG$1))</f>
        <v/>
      </c>
      <c r="AH62" s="23">
        <f>IF(OR(AH$1="",$BM62=0),"",SUMIFS(Entries!$E$2:$E$5000,Entries!$C$2:$C$5000,"Actual",Entries!$A$2:$A$5000,"&gt;="&amp;$A62,Entries!$A$2:$A$5000,"&lt;"&amp;EDATE($A62,1),Entries!$B$2:$B$5000,AH$1))</f>
        <v/>
      </c>
      <c r="AI62" s="23">
        <f>IF(OR(AI$1="",$BM62=0),"",SUMIFS(Entries!$E$2:$E$5000,Entries!$C$2:$C$5000,"Actual",Entries!$A$2:$A$5000,"&gt;="&amp;$A62,Entries!$A$2:$A$5000,"&lt;"&amp;EDATE($A62,1),Entries!$B$2:$B$5000,AI$1))</f>
        <v/>
      </c>
      <c r="AJ62" s="23">
        <f>IF(OR(AJ$1="",$BM62=0),"",SUMIFS(Entries!$E$2:$E$5000,Entries!$C$2:$C$5000,"Actual",Entries!$A$2:$A$5000,"&gt;="&amp;$A62,Entries!$A$2:$A$5000,"&lt;"&amp;EDATE($A62,1),Entries!$B$2:$B$5000,AJ$1))</f>
        <v/>
      </c>
      <c r="AK62" s="23">
        <f>IF(OR(AK$1="",$BM62=0),"",SUMIFS(Entries!$E$2:$E$5000,Entries!$C$2:$C$5000,"Actual",Entries!$A$2:$A$5000,"&gt;="&amp;$A62,Entries!$A$2:$A$5000,"&lt;"&amp;EDATE($A62,1),Entries!$B$2:$B$5000,AK$1))</f>
        <v/>
      </c>
      <c r="AL62" s="23">
        <f>IF(OR(AL$1="",$BM62=0),"",SUMIFS(Entries!$E$2:$E$5000,Entries!$C$2:$C$5000,"Actual",Entries!$A$2:$A$5000,"&gt;="&amp;$A62,Entries!$A$2:$A$5000,"&lt;"&amp;EDATE($A62,1),Entries!$B$2:$B$5000,AL$1))</f>
        <v/>
      </c>
      <c r="AM62" s="23">
        <f>IF(OR(AM$1="",$BM62=0),"",SUMIFS(Entries!$E$2:$E$5000,Entries!$C$2:$C$5000,"Actual",Entries!$A$2:$A$5000,"&gt;="&amp;$A62,Entries!$A$2:$A$5000,"&lt;"&amp;EDATE($A62,1),Entries!$B$2:$B$5000,AM$1))</f>
        <v/>
      </c>
      <c r="AN62" s="23">
        <f>IF(OR(AN$1="",$BM62=0),"",SUMIFS(Entries!$E$2:$E$5000,Entries!$C$2:$C$5000,"Actual",Entries!$A$2:$A$5000,"&gt;="&amp;$A62,Entries!$A$2:$A$5000,"&lt;"&amp;EDATE($A62,1),Entries!$B$2:$B$5000,AN$1))</f>
        <v/>
      </c>
      <c r="AO62" s="23">
        <f>IF(OR(AO$1="",$BM62=0),"",SUMIFS(Entries!$E$2:$E$5000,Entries!$C$2:$C$5000,"Actual",Entries!$A$2:$A$5000,"&gt;="&amp;$A62,Entries!$A$2:$A$5000,"&lt;"&amp;EDATE($A62,1),Entries!$B$2:$B$5000,AO$1))</f>
        <v/>
      </c>
      <c r="AP62" s="23">
        <f>IF(OR(AP$1="",$BM62=0),"",SUMIFS(Entries!$E$2:$E$5000,Entries!$C$2:$C$5000,"Actual",Entries!$A$2:$A$5000,"&gt;="&amp;$A62,Entries!$A$2:$A$5000,"&lt;"&amp;EDATE($A62,1),Entries!$B$2:$B$5000,AP$1))</f>
        <v/>
      </c>
      <c r="AR62" s="23">
        <f>IF(OR(AR$1="",$BM62=0),"",IFERROR(LOOKUP(2,1/((Budgets!$A$2:$A$200=AR$1)*(Budgets!$B$2:$B$200&lt;EDATE($A62,1))),Budgets!$C$2:$C$200),0))</f>
        <v/>
      </c>
      <c r="AS62" s="23">
        <f>IF(OR(AS$1="",$BM62=0),"",IFERROR(LOOKUP(2,1/((Budgets!$A$2:$A$200=AS$1)*(Budgets!$B$2:$B$200&lt;EDATE($A62,1))),Budgets!$C$2:$C$200),0))</f>
        <v/>
      </c>
      <c r="AT62" s="23">
        <f>IF(OR(AT$1="",$BM62=0),"",IFERROR(LOOKUP(2,1/((Budgets!$A$2:$A$200=AT$1)*(Budgets!$B$2:$B$200&lt;EDATE($A62,1))),Budgets!$C$2:$C$200),0))</f>
        <v/>
      </c>
      <c r="AU62" s="23">
        <f>IF(OR(AU$1="",$BM62=0),"",IFERROR(LOOKUP(2,1/((Budgets!$A$2:$A$200=AU$1)*(Budgets!$B$2:$B$200&lt;EDATE($A62,1))),Budgets!$C$2:$C$200),0))</f>
        <v/>
      </c>
      <c r="AV62" s="23">
        <f>IF(OR(AV$1="",$BM62=0),"",IFERROR(LOOKUP(2,1/((Budgets!$A$2:$A$200=AV$1)*(Budgets!$B$2:$B$200&lt;EDATE($A62,1))),Budgets!$C$2:$C$200),0))</f>
        <v/>
      </c>
      <c r="AW62" s="23">
        <f>IF(OR(AW$1="",$BM62=0),"",IFERROR(LOOKUP(2,1/((Budgets!$A$2:$A$200=AW$1)*(Budgets!$B$2:$B$200&lt;EDATE($A62,1))),Budgets!$C$2:$C$200),0))</f>
        <v/>
      </c>
      <c r="AX62" s="23">
        <f>IF(OR(AX$1="",$BM62=0),"",IFERROR(LOOKUP(2,1/((Budgets!$A$2:$A$200=AX$1)*(Budgets!$B$2:$B$200&lt;EDATE($A62,1))),Budgets!$C$2:$C$200),0))</f>
        <v/>
      </c>
      <c r="AY62" s="23">
        <f>IF(OR(AY$1="",$BM62=0),"",IFERROR(LOOKUP(2,1/((Budgets!$A$2:$A$200=AY$1)*(Budgets!$B$2:$B$200&lt;EDATE($A62,1))),Budgets!$C$2:$C$200),0))</f>
        <v/>
      </c>
      <c r="AZ62" s="23">
        <f>IF(OR(AZ$1="",$BM62=0),"",IFERROR(LOOKUP(2,1/((Budgets!$A$2:$A$200=AZ$1)*(Budgets!$B$2:$B$200&lt;EDATE($A62,1))),Budgets!$C$2:$C$200),0))</f>
        <v/>
      </c>
      <c r="BA62" s="23">
        <f>IF(OR(BA$1="",$BM62=0),"",IFERROR(LOOKUP(2,1/((Budgets!$A$2:$A$200=BA$1)*(Budgets!$B$2:$B$200&lt;EDATE($A62,1))),Budgets!$C$2:$C$200),0))</f>
        <v/>
      </c>
      <c r="BB62" s="23">
        <f>IF(OR(BB$1="",$BM62=0),"",IFERROR(LOOKUP(2,1/((Budgets!$A$2:$A$200=BB$1)*(Budgets!$B$2:$B$200&lt;EDATE($A62,1))),Budgets!$C$2:$C$200),0))</f>
        <v/>
      </c>
      <c r="BC62" s="23">
        <f>IF(OR(BC$1="",$BM62=0),"",IFERROR(LOOKUP(2,1/((Budgets!$A$2:$A$200=BC$1)*(Budgets!$B$2:$B$200&lt;EDATE($A62,1))),Budgets!$C$2:$C$200),0))</f>
        <v/>
      </c>
      <c r="BD62" s="23">
        <f>IF(OR(BD$1="",$BM62=0),"",IFERROR(LOOKUP(2,1/((Budgets!$A$2:$A$200=BD$1)*(Budgets!$B$2:$B$200&lt;EDATE($A62,1))),Budgets!$C$2:$C$200),0))</f>
        <v/>
      </c>
      <c r="BE62" s="23">
        <f>IF(OR(BE$1="",$BM62=0),"",IFERROR(LOOKUP(2,1/((Budgets!$A$2:$A$200=BE$1)*(Budgets!$B$2:$B$200&lt;EDATE($A62,1))),Budgets!$C$2:$C$200),0))</f>
        <v/>
      </c>
      <c r="BF62" s="23">
        <f>IF(OR(BF$1="",$BM62=0),"",IFERROR(LOOKUP(2,1/((Budgets!$A$2:$A$200=BF$1)*(Budgets!$B$2:$B$200&lt;EDATE($A62,1))),Budgets!$C$2:$C$200),0))</f>
        <v/>
      </c>
      <c r="BG62" s="23">
        <f>IF(OR(BG$1="",$BM62=0),"",IFERROR(LOOKUP(2,1/((Budgets!$A$2:$A$200=BG$1)*(Budgets!$B$2:$B$200&lt;EDATE($A62,1))),Budgets!$C$2:$C$200),0))</f>
        <v/>
      </c>
      <c r="BH62" s="23">
        <f>IF(OR(BH$1="",$BM62=0),"",IFERROR(LOOKUP(2,1/((Budgets!$A$2:$A$200=BH$1)*(Budgets!$B$2:$B$200&lt;EDATE($A62,1))),Budgets!$C$2:$C$200),0))</f>
        <v/>
      </c>
      <c r="BI62" s="23">
        <f>IF(OR(BI$1="",$BM62=0),"",IFERROR(LOOKUP(2,1/((Budgets!$A$2:$A$200=BI$1)*(Budgets!$B$2:$B$200&lt;EDATE($A62,1))),Budgets!$C$2:$C$200),0))</f>
        <v/>
      </c>
      <c r="BJ62" s="23">
        <f>IF(OR(BJ$1="",$BM62=0),"",IFERROR(LOOKUP(2,1/((Budgets!$A$2:$A$200=BJ$1)*(Budgets!$B$2:$B$200&lt;EDATE($A62,1))),Budgets!$C$2:$C$200),0))</f>
        <v/>
      </c>
      <c r="BK62" s="23">
        <f>IF(OR(BK$1="",$BM62=0),"",IFERROR(LOOKUP(2,1/((Budgets!$A$2:$A$200=BK$1)*(Budgets!$B$2:$B$200&lt;EDATE($A62,1))),Budgets!$C$2:$C$200),0))</f>
        <v/>
      </c>
      <c r="BM62" s="21">
        <f>COUNTIFS(Entries!$A$2:$A$5000,"&gt;="&amp;$A62,Entries!$A$2:$A$5000,"&lt;"&amp;EDATE($A62,1))</f>
        <v/>
      </c>
    </row>
    <row r="63">
      <c r="A63" s="22" t="n">
        <v>41306</v>
      </c>
      <c r="B63" s="23">
        <f>IF($BM63=0,NA(),SUMIFS(Entries!$E$2:$E$5000,Entries!$C$2:$C$5000,"Income",Entries!$A$2:$A$5000,"&gt;="&amp;$A63,Entries!$A$2:$A$5000,"&lt;"&amp;EDATE($A63,1)))</f>
        <v/>
      </c>
      <c r="C63" s="23">
        <f>IF($BM63=0,"",SUMIFS(Entries!$E$2:$E$5000,Entries!$C$2:$C$5000,"Actual",Entries!$A$2:$A$5000,"&gt;="&amp;$A63,Entries!$A$2:$A$5000,"&lt;"&amp;EDATE($A63,1)))</f>
        <v/>
      </c>
      <c r="D63" s="23">
        <f>IF($BM63=0,"",SUMIFS(Entries!$E$2:$E$5000,Entries!$C$2:$C$5000,"One-off",Entries!$A$2:$A$5000,"&gt;="&amp;$A63,Entries!$A$2:$A$5000,"&lt;"&amp;EDATE($A63,1)))</f>
        <v/>
      </c>
      <c r="E63" s="23">
        <f>IF($BM63=0,NA(),C63+D63)</f>
        <v/>
      </c>
      <c r="F63" s="23">
        <f>IF($BM63=0,"",SUM(AR63:BK63))</f>
        <v/>
      </c>
      <c r="G63" s="23">
        <f>IF($BM63=0,"",B63-E63)</f>
        <v/>
      </c>
      <c r="H63" s="23">
        <f>IF($BM63=0,"",SUM($G$2:G63))</f>
        <v/>
      </c>
      <c r="I63" s="23">
        <f>IF($BM63=0,"",SUMIFS(Entries!$G$2:$G$5000,Entries!$A$2:$A$5000,"&gt;="&amp;$A63,Entries!$A$2:$A$5000,"&lt;"&amp;EDATE($A63,1)))</f>
        <v/>
      </c>
      <c r="J63" s="23">
        <f>IF($BM63=0,NA(),H63)</f>
        <v/>
      </c>
      <c r="K63" s="23">
        <f>IF($BM63=0,"",SUMIFS(Entries!$E$2:$E$5000,Entries!$C$2:$C$5000,"Income",Entries!$A$2:$A$5000,"&gt;="&amp;EDATE($A63,-11),Entries!$A$2:$A$5000,"&lt;"&amp;EDATE($A63,1))/COUNTIFS($A$2:$A$400,"&gt;="&amp;EDATE($A63,-11),$A$2:$A$400,"&lt;"&amp;EDATE($A63,1),$BM$2:$BM$400,"&gt;0"))</f>
      </c>
      <c r="L63" s="23">
        <f>IF($BM63=0,"",(SUMIFS(Entries!$E$2:$E$5000,Entries!$C$2:$C$5000,"Actual",Entries!$A$2:$A$5000,"&gt;="&amp;EDATE($A63,-11),Entries!$A$2:$A$5000,"&lt;"&amp;EDATE($A63,1))+SUMIFS(Entries!$E$2:$E$5000,Entries!$C$2:$C$5000,"One-off",Entries!$A$2:$A$5000,"&gt;="&amp;EDATE($A63,-11),Entries!$A$2:$A$5000,"&lt;"&amp;EDATE($A63,1)))/COUNTIFS($A$2:$A$400,"&gt;="&amp;EDATE($A63,-11),$A$2:$A$400,"&lt;"&amp;EDATE($A63,1),$BM$2:$BM$400,"&gt;0"))</f>
      </c>
      <c r="M63" s="24">
        <f>IF($BM63=0,NA(),IFERROR((K63-L63)/K63,0))</f>
        <v/>
      </c>
      <c r="N63" s="23">
        <f>IF($BM63=0,NA(),SUMIFS(Entries!$E$2:$E$5000,Entries!$D$2:$D$5000,"Core",Entries!$A$2:$A$5000,"&gt;="&amp;$A63,Entries!$A$2:$A$5000,"&lt;"&amp;EDATE($A63,1)))</f>
        <v/>
      </c>
      <c r="O63" s="23">
        <f>IF($BM63=0,NA(),SUMIFS(Entries!$E$2:$E$5000,Entries!$D$2:$D$5000,"Over &amp; above",Entries!$A$2:$A$5000,"&gt;="&amp;$A63,Entries!$A$2:$A$5000,"&lt;"&amp;EDATE($A63,1)))</f>
        <v/>
      </c>
      <c r="P63" s="23">
        <f>IF($BM63=0,NA(),SUMIFS(Entries!$E$2:$E$5000,Entries!$D$2:$D$5000,"One-off",Entries!$A$2:$A$5000,"&gt;="&amp;$A63,Entries!$A$2:$A$5000,"&lt;"&amp;EDATE($A63,1)))</f>
        <v/>
      </c>
      <c r="Q63" s="23">
        <f>IF($BM63=0,NA(),SUMIFS(Entries!$E$2:$E$5000,Entries!$D$2:$D$5000,"Reimbursable",Entries!$A$2:$A$5000,"&gt;="&amp;$A63,Entries!$A$2:$A$5000,"&lt;"&amp;EDATE($A63,1)))</f>
        <v/>
      </c>
      <c r="R63" s="23">
        <f>IF($BM63=0,NA(),SUMIFS(Entries!$E$2:$E$5000,Entries!$D$2:$D$5000,"Investment",Entries!$A$2:$A$5000,"&gt;="&amp;$A63,Entries!$A$2:$A$5000,"&lt;"&amp;EDATE($A63,1)))</f>
        <v/>
      </c>
      <c r="S63" s="23">
        <f>IF($BM63=0,NA(),N63+O63)</f>
        <v/>
      </c>
      <c r="T63" s="23">
        <f>IF($BM63=0,"",E63-Q63)</f>
        <v/>
      </c>
      <c r="W63" s="23">
        <f>IF(OR(W$1="",$BM63=0),"",SUMIFS(Entries!$E$2:$E$5000,Entries!$C$2:$C$5000,"Actual",Entries!$A$2:$A$5000,"&gt;="&amp;$A63,Entries!$A$2:$A$5000,"&lt;"&amp;EDATE($A63,1),Entries!$B$2:$B$5000,W$1))</f>
        <v/>
      </c>
      <c r="X63" s="23">
        <f>IF(OR(X$1="",$BM63=0),"",SUMIFS(Entries!$E$2:$E$5000,Entries!$C$2:$C$5000,"Actual",Entries!$A$2:$A$5000,"&gt;="&amp;$A63,Entries!$A$2:$A$5000,"&lt;"&amp;EDATE($A63,1),Entries!$B$2:$B$5000,X$1))</f>
        <v/>
      </c>
      <c r="Y63" s="23">
        <f>IF(OR(Y$1="",$BM63=0),"",SUMIFS(Entries!$E$2:$E$5000,Entries!$C$2:$C$5000,"Actual",Entries!$A$2:$A$5000,"&gt;="&amp;$A63,Entries!$A$2:$A$5000,"&lt;"&amp;EDATE($A63,1),Entries!$B$2:$B$5000,Y$1))</f>
        <v/>
      </c>
      <c r="Z63" s="23">
        <f>IF(OR(Z$1="",$BM63=0),"",SUMIFS(Entries!$E$2:$E$5000,Entries!$C$2:$C$5000,"Actual",Entries!$A$2:$A$5000,"&gt;="&amp;$A63,Entries!$A$2:$A$5000,"&lt;"&amp;EDATE($A63,1),Entries!$B$2:$B$5000,Z$1))</f>
        <v/>
      </c>
      <c r="AA63" s="23">
        <f>IF(OR(AA$1="",$BM63=0),"",SUMIFS(Entries!$E$2:$E$5000,Entries!$C$2:$C$5000,"Actual",Entries!$A$2:$A$5000,"&gt;="&amp;$A63,Entries!$A$2:$A$5000,"&lt;"&amp;EDATE($A63,1),Entries!$B$2:$B$5000,AA$1))</f>
        <v/>
      </c>
      <c r="AB63" s="23">
        <f>IF(OR(AB$1="",$BM63=0),"",SUMIFS(Entries!$E$2:$E$5000,Entries!$C$2:$C$5000,"Actual",Entries!$A$2:$A$5000,"&gt;="&amp;$A63,Entries!$A$2:$A$5000,"&lt;"&amp;EDATE($A63,1),Entries!$B$2:$B$5000,AB$1))</f>
        <v/>
      </c>
      <c r="AC63" s="23">
        <f>IF(OR(AC$1="",$BM63=0),"",SUMIFS(Entries!$E$2:$E$5000,Entries!$C$2:$C$5000,"Actual",Entries!$A$2:$A$5000,"&gt;="&amp;$A63,Entries!$A$2:$A$5000,"&lt;"&amp;EDATE($A63,1),Entries!$B$2:$B$5000,AC$1))</f>
        <v/>
      </c>
      <c r="AD63" s="23">
        <f>IF(OR(AD$1="",$BM63=0),"",SUMIFS(Entries!$E$2:$E$5000,Entries!$C$2:$C$5000,"Actual",Entries!$A$2:$A$5000,"&gt;="&amp;$A63,Entries!$A$2:$A$5000,"&lt;"&amp;EDATE($A63,1),Entries!$B$2:$B$5000,AD$1))</f>
        <v/>
      </c>
      <c r="AE63" s="23">
        <f>IF(OR(AE$1="",$BM63=0),"",SUMIFS(Entries!$E$2:$E$5000,Entries!$C$2:$C$5000,"Actual",Entries!$A$2:$A$5000,"&gt;="&amp;$A63,Entries!$A$2:$A$5000,"&lt;"&amp;EDATE($A63,1),Entries!$B$2:$B$5000,AE$1))</f>
        <v/>
      </c>
      <c r="AF63" s="23">
        <f>IF(OR(AF$1="",$BM63=0),"",SUMIFS(Entries!$E$2:$E$5000,Entries!$C$2:$C$5000,"Actual",Entries!$A$2:$A$5000,"&gt;="&amp;$A63,Entries!$A$2:$A$5000,"&lt;"&amp;EDATE($A63,1),Entries!$B$2:$B$5000,AF$1))</f>
        <v/>
      </c>
      <c r="AG63" s="23">
        <f>IF(OR(AG$1="",$BM63=0),"",SUMIFS(Entries!$E$2:$E$5000,Entries!$C$2:$C$5000,"Actual",Entries!$A$2:$A$5000,"&gt;="&amp;$A63,Entries!$A$2:$A$5000,"&lt;"&amp;EDATE($A63,1),Entries!$B$2:$B$5000,AG$1))</f>
        <v/>
      </c>
      <c r="AH63" s="23">
        <f>IF(OR(AH$1="",$BM63=0),"",SUMIFS(Entries!$E$2:$E$5000,Entries!$C$2:$C$5000,"Actual",Entries!$A$2:$A$5000,"&gt;="&amp;$A63,Entries!$A$2:$A$5000,"&lt;"&amp;EDATE($A63,1),Entries!$B$2:$B$5000,AH$1))</f>
        <v/>
      </c>
      <c r="AI63" s="23">
        <f>IF(OR(AI$1="",$BM63=0),"",SUMIFS(Entries!$E$2:$E$5000,Entries!$C$2:$C$5000,"Actual",Entries!$A$2:$A$5000,"&gt;="&amp;$A63,Entries!$A$2:$A$5000,"&lt;"&amp;EDATE($A63,1),Entries!$B$2:$B$5000,AI$1))</f>
        <v/>
      </c>
      <c r="AJ63" s="23">
        <f>IF(OR(AJ$1="",$BM63=0),"",SUMIFS(Entries!$E$2:$E$5000,Entries!$C$2:$C$5000,"Actual",Entries!$A$2:$A$5000,"&gt;="&amp;$A63,Entries!$A$2:$A$5000,"&lt;"&amp;EDATE($A63,1),Entries!$B$2:$B$5000,AJ$1))</f>
        <v/>
      </c>
      <c r="AK63" s="23">
        <f>IF(OR(AK$1="",$BM63=0),"",SUMIFS(Entries!$E$2:$E$5000,Entries!$C$2:$C$5000,"Actual",Entries!$A$2:$A$5000,"&gt;="&amp;$A63,Entries!$A$2:$A$5000,"&lt;"&amp;EDATE($A63,1),Entries!$B$2:$B$5000,AK$1))</f>
        <v/>
      </c>
      <c r="AL63" s="23">
        <f>IF(OR(AL$1="",$BM63=0),"",SUMIFS(Entries!$E$2:$E$5000,Entries!$C$2:$C$5000,"Actual",Entries!$A$2:$A$5000,"&gt;="&amp;$A63,Entries!$A$2:$A$5000,"&lt;"&amp;EDATE($A63,1),Entries!$B$2:$B$5000,AL$1))</f>
        <v/>
      </c>
      <c r="AM63" s="23">
        <f>IF(OR(AM$1="",$BM63=0),"",SUMIFS(Entries!$E$2:$E$5000,Entries!$C$2:$C$5000,"Actual",Entries!$A$2:$A$5000,"&gt;="&amp;$A63,Entries!$A$2:$A$5000,"&lt;"&amp;EDATE($A63,1),Entries!$B$2:$B$5000,AM$1))</f>
        <v/>
      </c>
      <c r="AN63" s="23">
        <f>IF(OR(AN$1="",$BM63=0),"",SUMIFS(Entries!$E$2:$E$5000,Entries!$C$2:$C$5000,"Actual",Entries!$A$2:$A$5000,"&gt;="&amp;$A63,Entries!$A$2:$A$5000,"&lt;"&amp;EDATE($A63,1),Entries!$B$2:$B$5000,AN$1))</f>
        <v/>
      </c>
      <c r="AO63" s="23">
        <f>IF(OR(AO$1="",$BM63=0),"",SUMIFS(Entries!$E$2:$E$5000,Entries!$C$2:$C$5000,"Actual",Entries!$A$2:$A$5000,"&gt;="&amp;$A63,Entries!$A$2:$A$5000,"&lt;"&amp;EDATE($A63,1),Entries!$B$2:$B$5000,AO$1))</f>
        <v/>
      </c>
      <c r="AP63" s="23">
        <f>IF(OR(AP$1="",$BM63=0),"",SUMIFS(Entries!$E$2:$E$5000,Entries!$C$2:$C$5000,"Actual",Entries!$A$2:$A$5000,"&gt;="&amp;$A63,Entries!$A$2:$A$5000,"&lt;"&amp;EDATE($A63,1),Entries!$B$2:$B$5000,AP$1))</f>
        <v/>
      </c>
      <c r="AR63" s="23">
        <f>IF(OR(AR$1="",$BM63=0),"",IFERROR(LOOKUP(2,1/((Budgets!$A$2:$A$200=AR$1)*(Budgets!$B$2:$B$200&lt;EDATE($A63,1))),Budgets!$C$2:$C$200),0))</f>
        <v/>
      </c>
      <c r="AS63" s="23">
        <f>IF(OR(AS$1="",$BM63=0),"",IFERROR(LOOKUP(2,1/((Budgets!$A$2:$A$200=AS$1)*(Budgets!$B$2:$B$200&lt;EDATE($A63,1))),Budgets!$C$2:$C$200),0))</f>
        <v/>
      </c>
      <c r="AT63" s="23">
        <f>IF(OR(AT$1="",$BM63=0),"",IFERROR(LOOKUP(2,1/((Budgets!$A$2:$A$200=AT$1)*(Budgets!$B$2:$B$200&lt;EDATE($A63,1))),Budgets!$C$2:$C$200),0))</f>
        <v/>
      </c>
      <c r="AU63" s="23">
        <f>IF(OR(AU$1="",$BM63=0),"",IFERROR(LOOKUP(2,1/((Budgets!$A$2:$A$200=AU$1)*(Budgets!$B$2:$B$200&lt;EDATE($A63,1))),Budgets!$C$2:$C$200),0))</f>
        <v/>
      </c>
      <c r="AV63" s="23">
        <f>IF(OR(AV$1="",$BM63=0),"",IFERROR(LOOKUP(2,1/((Budgets!$A$2:$A$200=AV$1)*(Budgets!$B$2:$B$200&lt;EDATE($A63,1))),Budgets!$C$2:$C$200),0))</f>
        <v/>
      </c>
      <c r="AW63" s="23">
        <f>IF(OR(AW$1="",$BM63=0),"",IFERROR(LOOKUP(2,1/((Budgets!$A$2:$A$200=AW$1)*(Budgets!$B$2:$B$200&lt;EDATE($A63,1))),Budgets!$C$2:$C$200),0))</f>
        <v/>
      </c>
      <c r="AX63" s="23">
        <f>IF(OR(AX$1="",$BM63=0),"",IFERROR(LOOKUP(2,1/((Budgets!$A$2:$A$200=AX$1)*(Budgets!$B$2:$B$200&lt;EDATE($A63,1))),Budgets!$C$2:$C$200),0))</f>
        <v/>
      </c>
      <c r="AY63" s="23">
        <f>IF(OR(AY$1="",$BM63=0),"",IFERROR(LOOKUP(2,1/((Budgets!$A$2:$A$200=AY$1)*(Budgets!$B$2:$B$200&lt;EDATE($A63,1))),Budgets!$C$2:$C$200),0))</f>
        <v/>
      </c>
      <c r="AZ63" s="23">
        <f>IF(OR(AZ$1="",$BM63=0),"",IFERROR(LOOKUP(2,1/((Budgets!$A$2:$A$200=AZ$1)*(Budgets!$B$2:$B$200&lt;EDATE($A63,1))),Budgets!$C$2:$C$200),0))</f>
        <v/>
      </c>
      <c r="BA63" s="23">
        <f>IF(OR(BA$1="",$BM63=0),"",IFERROR(LOOKUP(2,1/((Budgets!$A$2:$A$200=BA$1)*(Budgets!$B$2:$B$200&lt;EDATE($A63,1))),Budgets!$C$2:$C$200),0))</f>
        <v/>
      </c>
      <c r="BB63" s="23">
        <f>IF(OR(BB$1="",$BM63=0),"",IFERROR(LOOKUP(2,1/((Budgets!$A$2:$A$200=BB$1)*(Budgets!$B$2:$B$200&lt;EDATE($A63,1))),Budgets!$C$2:$C$200),0))</f>
        <v/>
      </c>
      <c r="BC63" s="23">
        <f>IF(OR(BC$1="",$BM63=0),"",IFERROR(LOOKUP(2,1/((Budgets!$A$2:$A$200=BC$1)*(Budgets!$B$2:$B$200&lt;EDATE($A63,1))),Budgets!$C$2:$C$200),0))</f>
        <v/>
      </c>
      <c r="BD63" s="23">
        <f>IF(OR(BD$1="",$BM63=0),"",IFERROR(LOOKUP(2,1/((Budgets!$A$2:$A$200=BD$1)*(Budgets!$B$2:$B$200&lt;EDATE($A63,1))),Budgets!$C$2:$C$200),0))</f>
        <v/>
      </c>
      <c r="BE63" s="23">
        <f>IF(OR(BE$1="",$BM63=0),"",IFERROR(LOOKUP(2,1/((Budgets!$A$2:$A$200=BE$1)*(Budgets!$B$2:$B$200&lt;EDATE($A63,1))),Budgets!$C$2:$C$200),0))</f>
        <v/>
      </c>
      <c r="BF63" s="23">
        <f>IF(OR(BF$1="",$BM63=0),"",IFERROR(LOOKUP(2,1/((Budgets!$A$2:$A$200=BF$1)*(Budgets!$B$2:$B$200&lt;EDATE($A63,1))),Budgets!$C$2:$C$200),0))</f>
        <v/>
      </c>
      <c r="BG63" s="23">
        <f>IF(OR(BG$1="",$BM63=0),"",IFERROR(LOOKUP(2,1/((Budgets!$A$2:$A$200=BG$1)*(Budgets!$B$2:$B$200&lt;EDATE($A63,1))),Budgets!$C$2:$C$200),0))</f>
        <v/>
      </c>
      <c r="BH63" s="23">
        <f>IF(OR(BH$1="",$BM63=0),"",IFERROR(LOOKUP(2,1/((Budgets!$A$2:$A$200=BH$1)*(Budgets!$B$2:$B$200&lt;EDATE($A63,1))),Budgets!$C$2:$C$200),0))</f>
        <v/>
      </c>
      <c r="BI63" s="23">
        <f>IF(OR(BI$1="",$BM63=0),"",IFERROR(LOOKUP(2,1/((Budgets!$A$2:$A$200=BI$1)*(Budgets!$B$2:$B$200&lt;EDATE($A63,1))),Budgets!$C$2:$C$200),0))</f>
        <v/>
      </c>
      <c r="BJ63" s="23">
        <f>IF(OR(BJ$1="",$BM63=0),"",IFERROR(LOOKUP(2,1/((Budgets!$A$2:$A$200=BJ$1)*(Budgets!$B$2:$B$200&lt;EDATE($A63,1))),Budgets!$C$2:$C$200),0))</f>
        <v/>
      </c>
      <c r="BK63" s="23">
        <f>IF(OR(BK$1="",$BM63=0),"",IFERROR(LOOKUP(2,1/((Budgets!$A$2:$A$200=BK$1)*(Budgets!$B$2:$B$200&lt;EDATE($A63,1))),Budgets!$C$2:$C$200),0))</f>
        <v/>
      </c>
      <c r="BM63" s="21">
        <f>COUNTIFS(Entries!$A$2:$A$5000,"&gt;="&amp;$A63,Entries!$A$2:$A$5000,"&lt;"&amp;EDATE($A63,1))</f>
        <v/>
      </c>
    </row>
    <row r="64">
      <c r="A64" s="22" t="n">
        <v>41334</v>
      </c>
      <c r="B64" s="23">
        <f>IF($BM64=0,NA(),SUMIFS(Entries!$E$2:$E$5000,Entries!$C$2:$C$5000,"Income",Entries!$A$2:$A$5000,"&gt;="&amp;$A64,Entries!$A$2:$A$5000,"&lt;"&amp;EDATE($A64,1)))</f>
        <v/>
      </c>
      <c r="C64" s="23">
        <f>IF($BM64=0,"",SUMIFS(Entries!$E$2:$E$5000,Entries!$C$2:$C$5000,"Actual",Entries!$A$2:$A$5000,"&gt;="&amp;$A64,Entries!$A$2:$A$5000,"&lt;"&amp;EDATE($A64,1)))</f>
        <v/>
      </c>
      <c r="D64" s="23">
        <f>IF($BM64=0,"",SUMIFS(Entries!$E$2:$E$5000,Entries!$C$2:$C$5000,"One-off",Entries!$A$2:$A$5000,"&gt;="&amp;$A64,Entries!$A$2:$A$5000,"&lt;"&amp;EDATE($A64,1)))</f>
        <v/>
      </c>
      <c r="E64" s="23">
        <f>IF($BM64=0,NA(),C64+D64)</f>
        <v/>
      </c>
      <c r="F64" s="23">
        <f>IF($BM64=0,"",SUM(AR64:BK64))</f>
        <v/>
      </c>
      <c r="G64" s="23">
        <f>IF($BM64=0,"",B64-E64)</f>
        <v/>
      </c>
      <c r="H64" s="23">
        <f>IF($BM64=0,"",SUM($G$2:G64))</f>
        <v/>
      </c>
      <c r="I64" s="23">
        <f>IF($BM64=0,"",SUMIFS(Entries!$G$2:$G$5000,Entries!$A$2:$A$5000,"&gt;="&amp;$A64,Entries!$A$2:$A$5000,"&lt;"&amp;EDATE($A64,1)))</f>
        <v/>
      </c>
      <c r="J64" s="23">
        <f>IF($BM64=0,NA(),H64)</f>
        <v/>
      </c>
      <c r="K64" s="23">
        <f>IF($BM64=0,"",SUMIFS(Entries!$E$2:$E$5000,Entries!$C$2:$C$5000,"Income",Entries!$A$2:$A$5000,"&gt;="&amp;EDATE($A64,-11),Entries!$A$2:$A$5000,"&lt;"&amp;EDATE($A64,1))/COUNTIFS($A$2:$A$400,"&gt;="&amp;EDATE($A64,-11),$A$2:$A$400,"&lt;"&amp;EDATE($A64,1),$BM$2:$BM$400,"&gt;0"))</f>
      </c>
      <c r="L64" s="23">
        <f>IF($BM64=0,"",(SUMIFS(Entries!$E$2:$E$5000,Entries!$C$2:$C$5000,"Actual",Entries!$A$2:$A$5000,"&gt;="&amp;EDATE($A64,-11),Entries!$A$2:$A$5000,"&lt;"&amp;EDATE($A64,1))+SUMIFS(Entries!$E$2:$E$5000,Entries!$C$2:$C$5000,"One-off",Entries!$A$2:$A$5000,"&gt;="&amp;EDATE($A64,-11),Entries!$A$2:$A$5000,"&lt;"&amp;EDATE($A64,1)))/COUNTIFS($A$2:$A$400,"&gt;="&amp;EDATE($A64,-11),$A$2:$A$400,"&lt;"&amp;EDATE($A64,1),$BM$2:$BM$400,"&gt;0"))</f>
      </c>
      <c r="M64" s="24">
        <f>IF($BM64=0,NA(),IFERROR((K64-L64)/K64,0))</f>
        <v/>
      </c>
      <c r="N64" s="23">
        <f>IF($BM64=0,NA(),SUMIFS(Entries!$E$2:$E$5000,Entries!$D$2:$D$5000,"Core",Entries!$A$2:$A$5000,"&gt;="&amp;$A64,Entries!$A$2:$A$5000,"&lt;"&amp;EDATE($A64,1)))</f>
        <v/>
      </c>
      <c r="O64" s="23">
        <f>IF($BM64=0,NA(),SUMIFS(Entries!$E$2:$E$5000,Entries!$D$2:$D$5000,"Over &amp; above",Entries!$A$2:$A$5000,"&gt;="&amp;$A64,Entries!$A$2:$A$5000,"&lt;"&amp;EDATE($A64,1)))</f>
        <v/>
      </c>
      <c r="P64" s="23">
        <f>IF($BM64=0,NA(),SUMIFS(Entries!$E$2:$E$5000,Entries!$D$2:$D$5000,"One-off",Entries!$A$2:$A$5000,"&gt;="&amp;$A64,Entries!$A$2:$A$5000,"&lt;"&amp;EDATE($A64,1)))</f>
        <v/>
      </c>
      <c r="Q64" s="23">
        <f>IF($BM64=0,NA(),SUMIFS(Entries!$E$2:$E$5000,Entries!$D$2:$D$5000,"Reimbursable",Entries!$A$2:$A$5000,"&gt;="&amp;$A64,Entries!$A$2:$A$5000,"&lt;"&amp;EDATE($A64,1)))</f>
        <v/>
      </c>
      <c r="R64" s="23">
        <f>IF($BM64=0,NA(),SUMIFS(Entries!$E$2:$E$5000,Entries!$D$2:$D$5000,"Investment",Entries!$A$2:$A$5000,"&gt;="&amp;$A64,Entries!$A$2:$A$5000,"&lt;"&amp;EDATE($A64,1)))</f>
        <v/>
      </c>
      <c r="S64" s="23">
        <f>IF($BM64=0,NA(),N64+O64)</f>
        <v/>
      </c>
      <c r="T64" s="23">
        <f>IF($BM64=0,"",E64-Q64)</f>
        <v/>
      </c>
      <c r="W64" s="23">
        <f>IF(OR(W$1="",$BM64=0),"",SUMIFS(Entries!$E$2:$E$5000,Entries!$C$2:$C$5000,"Actual",Entries!$A$2:$A$5000,"&gt;="&amp;$A64,Entries!$A$2:$A$5000,"&lt;"&amp;EDATE($A64,1),Entries!$B$2:$B$5000,W$1))</f>
        <v/>
      </c>
      <c r="X64" s="23">
        <f>IF(OR(X$1="",$BM64=0),"",SUMIFS(Entries!$E$2:$E$5000,Entries!$C$2:$C$5000,"Actual",Entries!$A$2:$A$5000,"&gt;="&amp;$A64,Entries!$A$2:$A$5000,"&lt;"&amp;EDATE($A64,1),Entries!$B$2:$B$5000,X$1))</f>
        <v/>
      </c>
      <c r="Y64" s="23">
        <f>IF(OR(Y$1="",$BM64=0),"",SUMIFS(Entries!$E$2:$E$5000,Entries!$C$2:$C$5000,"Actual",Entries!$A$2:$A$5000,"&gt;="&amp;$A64,Entries!$A$2:$A$5000,"&lt;"&amp;EDATE($A64,1),Entries!$B$2:$B$5000,Y$1))</f>
        <v/>
      </c>
      <c r="Z64" s="23">
        <f>IF(OR(Z$1="",$BM64=0),"",SUMIFS(Entries!$E$2:$E$5000,Entries!$C$2:$C$5000,"Actual",Entries!$A$2:$A$5000,"&gt;="&amp;$A64,Entries!$A$2:$A$5000,"&lt;"&amp;EDATE($A64,1),Entries!$B$2:$B$5000,Z$1))</f>
        <v/>
      </c>
      <c r="AA64" s="23">
        <f>IF(OR(AA$1="",$BM64=0),"",SUMIFS(Entries!$E$2:$E$5000,Entries!$C$2:$C$5000,"Actual",Entries!$A$2:$A$5000,"&gt;="&amp;$A64,Entries!$A$2:$A$5000,"&lt;"&amp;EDATE($A64,1),Entries!$B$2:$B$5000,AA$1))</f>
        <v/>
      </c>
      <c r="AB64" s="23">
        <f>IF(OR(AB$1="",$BM64=0),"",SUMIFS(Entries!$E$2:$E$5000,Entries!$C$2:$C$5000,"Actual",Entries!$A$2:$A$5000,"&gt;="&amp;$A64,Entries!$A$2:$A$5000,"&lt;"&amp;EDATE($A64,1),Entries!$B$2:$B$5000,AB$1))</f>
        <v/>
      </c>
      <c r="AC64" s="23">
        <f>IF(OR(AC$1="",$BM64=0),"",SUMIFS(Entries!$E$2:$E$5000,Entries!$C$2:$C$5000,"Actual",Entries!$A$2:$A$5000,"&gt;="&amp;$A64,Entries!$A$2:$A$5000,"&lt;"&amp;EDATE($A64,1),Entries!$B$2:$B$5000,AC$1))</f>
        <v/>
      </c>
      <c r="AD64" s="23">
        <f>IF(OR(AD$1="",$BM64=0),"",SUMIFS(Entries!$E$2:$E$5000,Entries!$C$2:$C$5000,"Actual",Entries!$A$2:$A$5000,"&gt;="&amp;$A64,Entries!$A$2:$A$5000,"&lt;"&amp;EDATE($A64,1),Entries!$B$2:$B$5000,AD$1))</f>
        <v/>
      </c>
      <c r="AE64" s="23">
        <f>IF(OR(AE$1="",$BM64=0),"",SUMIFS(Entries!$E$2:$E$5000,Entries!$C$2:$C$5000,"Actual",Entries!$A$2:$A$5000,"&gt;="&amp;$A64,Entries!$A$2:$A$5000,"&lt;"&amp;EDATE($A64,1),Entries!$B$2:$B$5000,AE$1))</f>
        <v/>
      </c>
      <c r="AF64" s="23">
        <f>IF(OR(AF$1="",$BM64=0),"",SUMIFS(Entries!$E$2:$E$5000,Entries!$C$2:$C$5000,"Actual",Entries!$A$2:$A$5000,"&gt;="&amp;$A64,Entries!$A$2:$A$5000,"&lt;"&amp;EDATE($A64,1),Entries!$B$2:$B$5000,AF$1))</f>
        <v/>
      </c>
      <c r="AG64" s="23">
        <f>IF(OR(AG$1="",$BM64=0),"",SUMIFS(Entries!$E$2:$E$5000,Entries!$C$2:$C$5000,"Actual",Entries!$A$2:$A$5000,"&gt;="&amp;$A64,Entries!$A$2:$A$5000,"&lt;"&amp;EDATE($A64,1),Entries!$B$2:$B$5000,AG$1))</f>
        <v/>
      </c>
      <c r="AH64" s="23">
        <f>IF(OR(AH$1="",$BM64=0),"",SUMIFS(Entries!$E$2:$E$5000,Entries!$C$2:$C$5000,"Actual",Entries!$A$2:$A$5000,"&gt;="&amp;$A64,Entries!$A$2:$A$5000,"&lt;"&amp;EDATE($A64,1),Entries!$B$2:$B$5000,AH$1))</f>
        <v/>
      </c>
      <c r="AI64" s="23">
        <f>IF(OR(AI$1="",$BM64=0),"",SUMIFS(Entries!$E$2:$E$5000,Entries!$C$2:$C$5000,"Actual",Entries!$A$2:$A$5000,"&gt;="&amp;$A64,Entries!$A$2:$A$5000,"&lt;"&amp;EDATE($A64,1),Entries!$B$2:$B$5000,AI$1))</f>
        <v/>
      </c>
      <c r="AJ64" s="23">
        <f>IF(OR(AJ$1="",$BM64=0),"",SUMIFS(Entries!$E$2:$E$5000,Entries!$C$2:$C$5000,"Actual",Entries!$A$2:$A$5000,"&gt;="&amp;$A64,Entries!$A$2:$A$5000,"&lt;"&amp;EDATE($A64,1),Entries!$B$2:$B$5000,AJ$1))</f>
        <v/>
      </c>
      <c r="AK64" s="23">
        <f>IF(OR(AK$1="",$BM64=0),"",SUMIFS(Entries!$E$2:$E$5000,Entries!$C$2:$C$5000,"Actual",Entries!$A$2:$A$5000,"&gt;="&amp;$A64,Entries!$A$2:$A$5000,"&lt;"&amp;EDATE($A64,1),Entries!$B$2:$B$5000,AK$1))</f>
        <v/>
      </c>
      <c r="AL64" s="23">
        <f>IF(OR(AL$1="",$BM64=0),"",SUMIFS(Entries!$E$2:$E$5000,Entries!$C$2:$C$5000,"Actual",Entries!$A$2:$A$5000,"&gt;="&amp;$A64,Entries!$A$2:$A$5000,"&lt;"&amp;EDATE($A64,1),Entries!$B$2:$B$5000,AL$1))</f>
        <v/>
      </c>
      <c r="AM64" s="23">
        <f>IF(OR(AM$1="",$BM64=0),"",SUMIFS(Entries!$E$2:$E$5000,Entries!$C$2:$C$5000,"Actual",Entries!$A$2:$A$5000,"&gt;="&amp;$A64,Entries!$A$2:$A$5000,"&lt;"&amp;EDATE($A64,1),Entries!$B$2:$B$5000,AM$1))</f>
        <v/>
      </c>
      <c r="AN64" s="23">
        <f>IF(OR(AN$1="",$BM64=0),"",SUMIFS(Entries!$E$2:$E$5000,Entries!$C$2:$C$5000,"Actual",Entries!$A$2:$A$5000,"&gt;="&amp;$A64,Entries!$A$2:$A$5000,"&lt;"&amp;EDATE($A64,1),Entries!$B$2:$B$5000,AN$1))</f>
        <v/>
      </c>
      <c r="AO64" s="23">
        <f>IF(OR(AO$1="",$BM64=0),"",SUMIFS(Entries!$E$2:$E$5000,Entries!$C$2:$C$5000,"Actual",Entries!$A$2:$A$5000,"&gt;="&amp;$A64,Entries!$A$2:$A$5000,"&lt;"&amp;EDATE($A64,1),Entries!$B$2:$B$5000,AO$1))</f>
        <v/>
      </c>
      <c r="AP64" s="23">
        <f>IF(OR(AP$1="",$BM64=0),"",SUMIFS(Entries!$E$2:$E$5000,Entries!$C$2:$C$5000,"Actual",Entries!$A$2:$A$5000,"&gt;="&amp;$A64,Entries!$A$2:$A$5000,"&lt;"&amp;EDATE($A64,1),Entries!$B$2:$B$5000,AP$1))</f>
        <v/>
      </c>
      <c r="AR64" s="23">
        <f>IF(OR(AR$1="",$BM64=0),"",IFERROR(LOOKUP(2,1/((Budgets!$A$2:$A$200=AR$1)*(Budgets!$B$2:$B$200&lt;EDATE($A64,1))),Budgets!$C$2:$C$200),0))</f>
        <v/>
      </c>
      <c r="AS64" s="23">
        <f>IF(OR(AS$1="",$BM64=0),"",IFERROR(LOOKUP(2,1/((Budgets!$A$2:$A$200=AS$1)*(Budgets!$B$2:$B$200&lt;EDATE($A64,1))),Budgets!$C$2:$C$200),0))</f>
        <v/>
      </c>
      <c r="AT64" s="23">
        <f>IF(OR(AT$1="",$BM64=0),"",IFERROR(LOOKUP(2,1/((Budgets!$A$2:$A$200=AT$1)*(Budgets!$B$2:$B$200&lt;EDATE($A64,1))),Budgets!$C$2:$C$200),0))</f>
        <v/>
      </c>
      <c r="AU64" s="23">
        <f>IF(OR(AU$1="",$BM64=0),"",IFERROR(LOOKUP(2,1/((Budgets!$A$2:$A$200=AU$1)*(Budgets!$B$2:$B$200&lt;EDATE($A64,1))),Budgets!$C$2:$C$200),0))</f>
        <v/>
      </c>
      <c r="AV64" s="23">
        <f>IF(OR(AV$1="",$BM64=0),"",IFERROR(LOOKUP(2,1/((Budgets!$A$2:$A$200=AV$1)*(Budgets!$B$2:$B$200&lt;EDATE($A64,1))),Budgets!$C$2:$C$200),0))</f>
        <v/>
      </c>
      <c r="AW64" s="23">
        <f>IF(OR(AW$1="",$BM64=0),"",IFERROR(LOOKUP(2,1/((Budgets!$A$2:$A$200=AW$1)*(Budgets!$B$2:$B$200&lt;EDATE($A64,1))),Budgets!$C$2:$C$200),0))</f>
        <v/>
      </c>
      <c r="AX64" s="23">
        <f>IF(OR(AX$1="",$BM64=0),"",IFERROR(LOOKUP(2,1/((Budgets!$A$2:$A$200=AX$1)*(Budgets!$B$2:$B$200&lt;EDATE($A64,1))),Budgets!$C$2:$C$200),0))</f>
        <v/>
      </c>
      <c r="AY64" s="23">
        <f>IF(OR(AY$1="",$BM64=0),"",IFERROR(LOOKUP(2,1/((Budgets!$A$2:$A$200=AY$1)*(Budgets!$B$2:$B$200&lt;EDATE($A64,1))),Budgets!$C$2:$C$200),0))</f>
        <v/>
      </c>
      <c r="AZ64" s="23">
        <f>IF(OR(AZ$1="",$BM64=0),"",IFERROR(LOOKUP(2,1/((Budgets!$A$2:$A$200=AZ$1)*(Budgets!$B$2:$B$200&lt;EDATE($A64,1))),Budgets!$C$2:$C$200),0))</f>
        <v/>
      </c>
      <c r="BA64" s="23">
        <f>IF(OR(BA$1="",$BM64=0),"",IFERROR(LOOKUP(2,1/((Budgets!$A$2:$A$200=BA$1)*(Budgets!$B$2:$B$200&lt;EDATE($A64,1))),Budgets!$C$2:$C$200),0))</f>
        <v/>
      </c>
      <c r="BB64" s="23">
        <f>IF(OR(BB$1="",$BM64=0),"",IFERROR(LOOKUP(2,1/((Budgets!$A$2:$A$200=BB$1)*(Budgets!$B$2:$B$200&lt;EDATE($A64,1))),Budgets!$C$2:$C$200),0))</f>
        <v/>
      </c>
      <c r="BC64" s="23">
        <f>IF(OR(BC$1="",$BM64=0),"",IFERROR(LOOKUP(2,1/((Budgets!$A$2:$A$200=BC$1)*(Budgets!$B$2:$B$200&lt;EDATE($A64,1))),Budgets!$C$2:$C$200),0))</f>
        <v/>
      </c>
      <c r="BD64" s="23">
        <f>IF(OR(BD$1="",$BM64=0),"",IFERROR(LOOKUP(2,1/((Budgets!$A$2:$A$200=BD$1)*(Budgets!$B$2:$B$200&lt;EDATE($A64,1))),Budgets!$C$2:$C$200),0))</f>
        <v/>
      </c>
      <c r="BE64" s="23">
        <f>IF(OR(BE$1="",$BM64=0),"",IFERROR(LOOKUP(2,1/((Budgets!$A$2:$A$200=BE$1)*(Budgets!$B$2:$B$200&lt;EDATE($A64,1))),Budgets!$C$2:$C$200),0))</f>
        <v/>
      </c>
      <c r="BF64" s="23">
        <f>IF(OR(BF$1="",$BM64=0),"",IFERROR(LOOKUP(2,1/((Budgets!$A$2:$A$200=BF$1)*(Budgets!$B$2:$B$200&lt;EDATE($A64,1))),Budgets!$C$2:$C$200),0))</f>
        <v/>
      </c>
      <c r="BG64" s="23">
        <f>IF(OR(BG$1="",$BM64=0),"",IFERROR(LOOKUP(2,1/((Budgets!$A$2:$A$200=BG$1)*(Budgets!$B$2:$B$200&lt;EDATE($A64,1))),Budgets!$C$2:$C$200),0))</f>
        <v/>
      </c>
      <c r="BH64" s="23">
        <f>IF(OR(BH$1="",$BM64=0),"",IFERROR(LOOKUP(2,1/((Budgets!$A$2:$A$200=BH$1)*(Budgets!$B$2:$B$200&lt;EDATE($A64,1))),Budgets!$C$2:$C$200),0))</f>
        <v/>
      </c>
      <c r="BI64" s="23">
        <f>IF(OR(BI$1="",$BM64=0),"",IFERROR(LOOKUP(2,1/((Budgets!$A$2:$A$200=BI$1)*(Budgets!$B$2:$B$200&lt;EDATE($A64,1))),Budgets!$C$2:$C$200),0))</f>
        <v/>
      </c>
      <c r="BJ64" s="23">
        <f>IF(OR(BJ$1="",$BM64=0),"",IFERROR(LOOKUP(2,1/((Budgets!$A$2:$A$200=BJ$1)*(Budgets!$B$2:$B$200&lt;EDATE($A64,1))),Budgets!$C$2:$C$200),0))</f>
        <v/>
      </c>
      <c r="BK64" s="23">
        <f>IF(OR(BK$1="",$BM64=0),"",IFERROR(LOOKUP(2,1/((Budgets!$A$2:$A$200=BK$1)*(Budgets!$B$2:$B$200&lt;EDATE($A64,1))),Budgets!$C$2:$C$200),0))</f>
        <v/>
      </c>
      <c r="BM64" s="21">
        <f>COUNTIFS(Entries!$A$2:$A$5000,"&gt;="&amp;$A64,Entries!$A$2:$A$5000,"&lt;"&amp;EDATE($A64,1))</f>
        <v/>
      </c>
    </row>
    <row r="65">
      <c r="A65" s="22" t="n">
        <v>41365</v>
      </c>
      <c r="B65" s="23">
        <f>IF($BM65=0,NA(),SUMIFS(Entries!$E$2:$E$5000,Entries!$C$2:$C$5000,"Income",Entries!$A$2:$A$5000,"&gt;="&amp;$A65,Entries!$A$2:$A$5000,"&lt;"&amp;EDATE($A65,1)))</f>
        <v/>
      </c>
      <c r="C65" s="23">
        <f>IF($BM65=0,"",SUMIFS(Entries!$E$2:$E$5000,Entries!$C$2:$C$5000,"Actual",Entries!$A$2:$A$5000,"&gt;="&amp;$A65,Entries!$A$2:$A$5000,"&lt;"&amp;EDATE($A65,1)))</f>
        <v/>
      </c>
      <c r="D65" s="23">
        <f>IF($BM65=0,"",SUMIFS(Entries!$E$2:$E$5000,Entries!$C$2:$C$5000,"One-off",Entries!$A$2:$A$5000,"&gt;="&amp;$A65,Entries!$A$2:$A$5000,"&lt;"&amp;EDATE($A65,1)))</f>
        <v/>
      </c>
      <c r="E65" s="23">
        <f>IF($BM65=0,NA(),C65+D65)</f>
        <v/>
      </c>
      <c r="F65" s="23">
        <f>IF($BM65=0,"",SUM(AR65:BK65))</f>
        <v/>
      </c>
      <c r="G65" s="23">
        <f>IF($BM65=0,"",B65-E65)</f>
        <v/>
      </c>
      <c r="H65" s="23">
        <f>IF($BM65=0,"",SUM($G$2:G65))</f>
        <v/>
      </c>
      <c r="I65" s="23">
        <f>IF($BM65=0,"",SUMIFS(Entries!$G$2:$G$5000,Entries!$A$2:$A$5000,"&gt;="&amp;$A65,Entries!$A$2:$A$5000,"&lt;"&amp;EDATE($A65,1)))</f>
        <v/>
      </c>
      <c r="J65" s="23">
        <f>IF($BM65=0,NA(),H65)</f>
        <v/>
      </c>
      <c r="K65" s="23">
        <f>IF($BM65=0,"",SUMIFS(Entries!$E$2:$E$5000,Entries!$C$2:$C$5000,"Income",Entries!$A$2:$A$5000,"&gt;="&amp;EDATE($A65,-11),Entries!$A$2:$A$5000,"&lt;"&amp;EDATE($A65,1))/COUNTIFS($A$2:$A$400,"&gt;="&amp;EDATE($A65,-11),$A$2:$A$400,"&lt;"&amp;EDATE($A65,1),$BM$2:$BM$400,"&gt;0"))</f>
      </c>
      <c r="L65" s="23">
        <f>IF($BM65=0,"",(SUMIFS(Entries!$E$2:$E$5000,Entries!$C$2:$C$5000,"Actual",Entries!$A$2:$A$5000,"&gt;="&amp;EDATE($A65,-11),Entries!$A$2:$A$5000,"&lt;"&amp;EDATE($A65,1))+SUMIFS(Entries!$E$2:$E$5000,Entries!$C$2:$C$5000,"One-off",Entries!$A$2:$A$5000,"&gt;="&amp;EDATE($A65,-11),Entries!$A$2:$A$5000,"&lt;"&amp;EDATE($A65,1)))/COUNTIFS($A$2:$A$400,"&gt;="&amp;EDATE($A65,-11),$A$2:$A$400,"&lt;"&amp;EDATE($A65,1),$BM$2:$BM$400,"&gt;0"))</f>
      </c>
      <c r="M65" s="24">
        <f>IF($BM65=0,NA(),IFERROR((K65-L65)/K65,0))</f>
        <v/>
      </c>
      <c r="N65" s="23">
        <f>IF($BM65=0,NA(),SUMIFS(Entries!$E$2:$E$5000,Entries!$D$2:$D$5000,"Core",Entries!$A$2:$A$5000,"&gt;="&amp;$A65,Entries!$A$2:$A$5000,"&lt;"&amp;EDATE($A65,1)))</f>
        <v/>
      </c>
      <c r="O65" s="23">
        <f>IF($BM65=0,NA(),SUMIFS(Entries!$E$2:$E$5000,Entries!$D$2:$D$5000,"Over &amp; above",Entries!$A$2:$A$5000,"&gt;="&amp;$A65,Entries!$A$2:$A$5000,"&lt;"&amp;EDATE($A65,1)))</f>
        <v/>
      </c>
      <c r="P65" s="23">
        <f>IF($BM65=0,NA(),SUMIFS(Entries!$E$2:$E$5000,Entries!$D$2:$D$5000,"One-off",Entries!$A$2:$A$5000,"&gt;="&amp;$A65,Entries!$A$2:$A$5000,"&lt;"&amp;EDATE($A65,1)))</f>
        <v/>
      </c>
      <c r="Q65" s="23">
        <f>IF($BM65=0,NA(),SUMIFS(Entries!$E$2:$E$5000,Entries!$D$2:$D$5000,"Reimbursable",Entries!$A$2:$A$5000,"&gt;="&amp;$A65,Entries!$A$2:$A$5000,"&lt;"&amp;EDATE($A65,1)))</f>
        <v/>
      </c>
      <c r="R65" s="23">
        <f>IF($BM65=0,NA(),SUMIFS(Entries!$E$2:$E$5000,Entries!$D$2:$D$5000,"Investment",Entries!$A$2:$A$5000,"&gt;="&amp;$A65,Entries!$A$2:$A$5000,"&lt;"&amp;EDATE($A65,1)))</f>
        <v/>
      </c>
      <c r="S65" s="23">
        <f>IF($BM65=0,NA(),N65+O65)</f>
        <v/>
      </c>
      <c r="T65" s="23">
        <f>IF($BM65=0,"",E65-Q65)</f>
        <v/>
      </c>
      <c r="W65" s="23">
        <f>IF(OR(W$1="",$BM65=0),"",SUMIFS(Entries!$E$2:$E$5000,Entries!$C$2:$C$5000,"Actual",Entries!$A$2:$A$5000,"&gt;="&amp;$A65,Entries!$A$2:$A$5000,"&lt;"&amp;EDATE($A65,1),Entries!$B$2:$B$5000,W$1))</f>
        <v/>
      </c>
      <c r="X65" s="23">
        <f>IF(OR(X$1="",$BM65=0),"",SUMIFS(Entries!$E$2:$E$5000,Entries!$C$2:$C$5000,"Actual",Entries!$A$2:$A$5000,"&gt;="&amp;$A65,Entries!$A$2:$A$5000,"&lt;"&amp;EDATE($A65,1),Entries!$B$2:$B$5000,X$1))</f>
        <v/>
      </c>
      <c r="Y65" s="23">
        <f>IF(OR(Y$1="",$BM65=0),"",SUMIFS(Entries!$E$2:$E$5000,Entries!$C$2:$C$5000,"Actual",Entries!$A$2:$A$5000,"&gt;="&amp;$A65,Entries!$A$2:$A$5000,"&lt;"&amp;EDATE($A65,1),Entries!$B$2:$B$5000,Y$1))</f>
        <v/>
      </c>
      <c r="Z65" s="23">
        <f>IF(OR(Z$1="",$BM65=0),"",SUMIFS(Entries!$E$2:$E$5000,Entries!$C$2:$C$5000,"Actual",Entries!$A$2:$A$5000,"&gt;="&amp;$A65,Entries!$A$2:$A$5000,"&lt;"&amp;EDATE($A65,1),Entries!$B$2:$B$5000,Z$1))</f>
        <v/>
      </c>
      <c r="AA65" s="23">
        <f>IF(OR(AA$1="",$BM65=0),"",SUMIFS(Entries!$E$2:$E$5000,Entries!$C$2:$C$5000,"Actual",Entries!$A$2:$A$5000,"&gt;="&amp;$A65,Entries!$A$2:$A$5000,"&lt;"&amp;EDATE($A65,1),Entries!$B$2:$B$5000,AA$1))</f>
        <v/>
      </c>
      <c r="AB65" s="23">
        <f>IF(OR(AB$1="",$BM65=0),"",SUMIFS(Entries!$E$2:$E$5000,Entries!$C$2:$C$5000,"Actual",Entries!$A$2:$A$5000,"&gt;="&amp;$A65,Entries!$A$2:$A$5000,"&lt;"&amp;EDATE($A65,1),Entries!$B$2:$B$5000,AB$1))</f>
        <v/>
      </c>
      <c r="AC65" s="23">
        <f>IF(OR(AC$1="",$BM65=0),"",SUMIFS(Entries!$E$2:$E$5000,Entries!$C$2:$C$5000,"Actual",Entries!$A$2:$A$5000,"&gt;="&amp;$A65,Entries!$A$2:$A$5000,"&lt;"&amp;EDATE($A65,1),Entries!$B$2:$B$5000,AC$1))</f>
        <v/>
      </c>
      <c r="AD65" s="23">
        <f>IF(OR(AD$1="",$BM65=0),"",SUMIFS(Entries!$E$2:$E$5000,Entries!$C$2:$C$5000,"Actual",Entries!$A$2:$A$5000,"&gt;="&amp;$A65,Entries!$A$2:$A$5000,"&lt;"&amp;EDATE($A65,1),Entries!$B$2:$B$5000,AD$1))</f>
        <v/>
      </c>
      <c r="AE65" s="23">
        <f>IF(OR(AE$1="",$BM65=0),"",SUMIFS(Entries!$E$2:$E$5000,Entries!$C$2:$C$5000,"Actual",Entries!$A$2:$A$5000,"&gt;="&amp;$A65,Entries!$A$2:$A$5000,"&lt;"&amp;EDATE($A65,1),Entries!$B$2:$B$5000,AE$1))</f>
        <v/>
      </c>
      <c r="AF65" s="23">
        <f>IF(OR(AF$1="",$BM65=0),"",SUMIFS(Entries!$E$2:$E$5000,Entries!$C$2:$C$5000,"Actual",Entries!$A$2:$A$5000,"&gt;="&amp;$A65,Entries!$A$2:$A$5000,"&lt;"&amp;EDATE($A65,1),Entries!$B$2:$B$5000,AF$1))</f>
        <v/>
      </c>
      <c r="AG65" s="23">
        <f>IF(OR(AG$1="",$BM65=0),"",SUMIFS(Entries!$E$2:$E$5000,Entries!$C$2:$C$5000,"Actual",Entries!$A$2:$A$5000,"&gt;="&amp;$A65,Entries!$A$2:$A$5000,"&lt;"&amp;EDATE($A65,1),Entries!$B$2:$B$5000,AG$1))</f>
        <v/>
      </c>
      <c r="AH65" s="23">
        <f>IF(OR(AH$1="",$BM65=0),"",SUMIFS(Entries!$E$2:$E$5000,Entries!$C$2:$C$5000,"Actual",Entries!$A$2:$A$5000,"&gt;="&amp;$A65,Entries!$A$2:$A$5000,"&lt;"&amp;EDATE($A65,1),Entries!$B$2:$B$5000,AH$1))</f>
        <v/>
      </c>
      <c r="AI65" s="23">
        <f>IF(OR(AI$1="",$BM65=0),"",SUMIFS(Entries!$E$2:$E$5000,Entries!$C$2:$C$5000,"Actual",Entries!$A$2:$A$5000,"&gt;="&amp;$A65,Entries!$A$2:$A$5000,"&lt;"&amp;EDATE($A65,1),Entries!$B$2:$B$5000,AI$1))</f>
        <v/>
      </c>
      <c r="AJ65" s="23">
        <f>IF(OR(AJ$1="",$BM65=0),"",SUMIFS(Entries!$E$2:$E$5000,Entries!$C$2:$C$5000,"Actual",Entries!$A$2:$A$5000,"&gt;="&amp;$A65,Entries!$A$2:$A$5000,"&lt;"&amp;EDATE($A65,1),Entries!$B$2:$B$5000,AJ$1))</f>
        <v/>
      </c>
      <c r="AK65" s="23">
        <f>IF(OR(AK$1="",$BM65=0),"",SUMIFS(Entries!$E$2:$E$5000,Entries!$C$2:$C$5000,"Actual",Entries!$A$2:$A$5000,"&gt;="&amp;$A65,Entries!$A$2:$A$5000,"&lt;"&amp;EDATE($A65,1),Entries!$B$2:$B$5000,AK$1))</f>
        <v/>
      </c>
      <c r="AL65" s="23">
        <f>IF(OR(AL$1="",$BM65=0),"",SUMIFS(Entries!$E$2:$E$5000,Entries!$C$2:$C$5000,"Actual",Entries!$A$2:$A$5000,"&gt;="&amp;$A65,Entries!$A$2:$A$5000,"&lt;"&amp;EDATE($A65,1),Entries!$B$2:$B$5000,AL$1))</f>
        <v/>
      </c>
      <c r="AM65" s="23">
        <f>IF(OR(AM$1="",$BM65=0),"",SUMIFS(Entries!$E$2:$E$5000,Entries!$C$2:$C$5000,"Actual",Entries!$A$2:$A$5000,"&gt;="&amp;$A65,Entries!$A$2:$A$5000,"&lt;"&amp;EDATE($A65,1),Entries!$B$2:$B$5000,AM$1))</f>
        <v/>
      </c>
      <c r="AN65" s="23">
        <f>IF(OR(AN$1="",$BM65=0),"",SUMIFS(Entries!$E$2:$E$5000,Entries!$C$2:$C$5000,"Actual",Entries!$A$2:$A$5000,"&gt;="&amp;$A65,Entries!$A$2:$A$5000,"&lt;"&amp;EDATE($A65,1),Entries!$B$2:$B$5000,AN$1))</f>
        <v/>
      </c>
      <c r="AO65" s="23">
        <f>IF(OR(AO$1="",$BM65=0),"",SUMIFS(Entries!$E$2:$E$5000,Entries!$C$2:$C$5000,"Actual",Entries!$A$2:$A$5000,"&gt;="&amp;$A65,Entries!$A$2:$A$5000,"&lt;"&amp;EDATE($A65,1),Entries!$B$2:$B$5000,AO$1))</f>
        <v/>
      </c>
      <c r="AP65" s="23">
        <f>IF(OR(AP$1="",$BM65=0),"",SUMIFS(Entries!$E$2:$E$5000,Entries!$C$2:$C$5000,"Actual",Entries!$A$2:$A$5000,"&gt;="&amp;$A65,Entries!$A$2:$A$5000,"&lt;"&amp;EDATE($A65,1),Entries!$B$2:$B$5000,AP$1))</f>
        <v/>
      </c>
      <c r="AR65" s="23">
        <f>IF(OR(AR$1="",$BM65=0),"",IFERROR(LOOKUP(2,1/((Budgets!$A$2:$A$200=AR$1)*(Budgets!$B$2:$B$200&lt;EDATE($A65,1))),Budgets!$C$2:$C$200),0))</f>
        <v/>
      </c>
      <c r="AS65" s="23">
        <f>IF(OR(AS$1="",$BM65=0),"",IFERROR(LOOKUP(2,1/((Budgets!$A$2:$A$200=AS$1)*(Budgets!$B$2:$B$200&lt;EDATE($A65,1))),Budgets!$C$2:$C$200),0))</f>
        <v/>
      </c>
      <c r="AT65" s="23">
        <f>IF(OR(AT$1="",$BM65=0),"",IFERROR(LOOKUP(2,1/((Budgets!$A$2:$A$200=AT$1)*(Budgets!$B$2:$B$200&lt;EDATE($A65,1))),Budgets!$C$2:$C$200),0))</f>
        <v/>
      </c>
      <c r="AU65" s="23">
        <f>IF(OR(AU$1="",$BM65=0),"",IFERROR(LOOKUP(2,1/((Budgets!$A$2:$A$200=AU$1)*(Budgets!$B$2:$B$200&lt;EDATE($A65,1))),Budgets!$C$2:$C$200),0))</f>
        <v/>
      </c>
      <c r="AV65" s="23">
        <f>IF(OR(AV$1="",$BM65=0),"",IFERROR(LOOKUP(2,1/((Budgets!$A$2:$A$200=AV$1)*(Budgets!$B$2:$B$200&lt;EDATE($A65,1))),Budgets!$C$2:$C$200),0))</f>
        <v/>
      </c>
      <c r="AW65" s="23">
        <f>IF(OR(AW$1="",$BM65=0),"",IFERROR(LOOKUP(2,1/((Budgets!$A$2:$A$200=AW$1)*(Budgets!$B$2:$B$200&lt;EDATE($A65,1))),Budgets!$C$2:$C$200),0))</f>
        <v/>
      </c>
      <c r="AX65" s="23">
        <f>IF(OR(AX$1="",$BM65=0),"",IFERROR(LOOKUP(2,1/((Budgets!$A$2:$A$200=AX$1)*(Budgets!$B$2:$B$200&lt;EDATE($A65,1))),Budgets!$C$2:$C$200),0))</f>
        <v/>
      </c>
      <c r="AY65" s="23">
        <f>IF(OR(AY$1="",$BM65=0),"",IFERROR(LOOKUP(2,1/((Budgets!$A$2:$A$200=AY$1)*(Budgets!$B$2:$B$200&lt;EDATE($A65,1))),Budgets!$C$2:$C$200),0))</f>
        <v/>
      </c>
      <c r="AZ65" s="23">
        <f>IF(OR(AZ$1="",$BM65=0),"",IFERROR(LOOKUP(2,1/((Budgets!$A$2:$A$200=AZ$1)*(Budgets!$B$2:$B$200&lt;EDATE($A65,1))),Budgets!$C$2:$C$200),0))</f>
        <v/>
      </c>
      <c r="BA65" s="23">
        <f>IF(OR(BA$1="",$BM65=0),"",IFERROR(LOOKUP(2,1/((Budgets!$A$2:$A$200=BA$1)*(Budgets!$B$2:$B$200&lt;EDATE($A65,1))),Budgets!$C$2:$C$200),0))</f>
        <v/>
      </c>
      <c r="BB65" s="23">
        <f>IF(OR(BB$1="",$BM65=0),"",IFERROR(LOOKUP(2,1/((Budgets!$A$2:$A$200=BB$1)*(Budgets!$B$2:$B$200&lt;EDATE($A65,1))),Budgets!$C$2:$C$200),0))</f>
        <v/>
      </c>
      <c r="BC65" s="23">
        <f>IF(OR(BC$1="",$BM65=0),"",IFERROR(LOOKUP(2,1/((Budgets!$A$2:$A$200=BC$1)*(Budgets!$B$2:$B$200&lt;EDATE($A65,1))),Budgets!$C$2:$C$200),0))</f>
        <v/>
      </c>
      <c r="BD65" s="23">
        <f>IF(OR(BD$1="",$BM65=0),"",IFERROR(LOOKUP(2,1/((Budgets!$A$2:$A$200=BD$1)*(Budgets!$B$2:$B$200&lt;EDATE($A65,1))),Budgets!$C$2:$C$200),0))</f>
        <v/>
      </c>
      <c r="BE65" s="23">
        <f>IF(OR(BE$1="",$BM65=0),"",IFERROR(LOOKUP(2,1/((Budgets!$A$2:$A$200=BE$1)*(Budgets!$B$2:$B$200&lt;EDATE($A65,1))),Budgets!$C$2:$C$200),0))</f>
        <v/>
      </c>
      <c r="BF65" s="23">
        <f>IF(OR(BF$1="",$BM65=0),"",IFERROR(LOOKUP(2,1/((Budgets!$A$2:$A$200=BF$1)*(Budgets!$B$2:$B$200&lt;EDATE($A65,1))),Budgets!$C$2:$C$200),0))</f>
        <v/>
      </c>
      <c r="BG65" s="23">
        <f>IF(OR(BG$1="",$BM65=0),"",IFERROR(LOOKUP(2,1/((Budgets!$A$2:$A$200=BG$1)*(Budgets!$B$2:$B$200&lt;EDATE($A65,1))),Budgets!$C$2:$C$200),0))</f>
        <v/>
      </c>
      <c r="BH65" s="23">
        <f>IF(OR(BH$1="",$BM65=0),"",IFERROR(LOOKUP(2,1/((Budgets!$A$2:$A$200=BH$1)*(Budgets!$B$2:$B$200&lt;EDATE($A65,1))),Budgets!$C$2:$C$200),0))</f>
        <v/>
      </c>
      <c r="BI65" s="23">
        <f>IF(OR(BI$1="",$BM65=0),"",IFERROR(LOOKUP(2,1/((Budgets!$A$2:$A$200=BI$1)*(Budgets!$B$2:$B$200&lt;EDATE($A65,1))),Budgets!$C$2:$C$200),0))</f>
        <v/>
      </c>
      <c r="BJ65" s="23">
        <f>IF(OR(BJ$1="",$BM65=0),"",IFERROR(LOOKUP(2,1/((Budgets!$A$2:$A$200=BJ$1)*(Budgets!$B$2:$B$200&lt;EDATE($A65,1))),Budgets!$C$2:$C$200),0))</f>
        <v/>
      </c>
      <c r="BK65" s="23">
        <f>IF(OR(BK$1="",$BM65=0),"",IFERROR(LOOKUP(2,1/((Budgets!$A$2:$A$200=BK$1)*(Budgets!$B$2:$B$200&lt;EDATE($A65,1))),Budgets!$C$2:$C$200),0))</f>
        <v/>
      </c>
      <c r="BM65" s="21">
        <f>COUNTIFS(Entries!$A$2:$A$5000,"&gt;="&amp;$A65,Entries!$A$2:$A$5000,"&lt;"&amp;EDATE($A65,1))</f>
        <v/>
      </c>
    </row>
    <row r="66">
      <c r="A66" s="22" t="n">
        <v>41395</v>
      </c>
      <c r="B66" s="23">
        <f>IF($BM66=0,NA(),SUMIFS(Entries!$E$2:$E$5000,Entries!$C$2:$C$5000,"Income",Entries!$A$2:$A$5000,"&gt;="&amp;$A66,Entries!$A$2:$A$5000,"&lt;"&amp;EDATE($A66,1)))</f>
        <v/>
      </c>
      <c r="C66" s="23">
        <f>IF($BM66=0,"",SUMIFS(Entries!$E$2:$E$5000,Entries!$C$2:$C$5000,"Actual",Entries!$A$2:$A$5000,"&gt;="&amp;$A66,Entries!$A$2:$A$5000,"&lt;"&amp;EDATE($A66,1)))</f>
        <v/>
      </c>
      <c r="D66" s="23">
        <f>IF($BM66=0,"",SUMIFS(Entries!$E$2:$E$5000,Entries!$C$2:$C$5000,"One-off",Entries!$A$2:$A$5000,"&gt;="&amp;$A66,Entries!$A$2:$A$5000,"&lt;"&amp;EDATE($A66,1)))</f>
        <v/>
      </c>
      <c r="E66" s="23">
        <f>IF($BM66=0,NA(),C66+D66)</f>
        <v/>
      </c>
      <c r="F66" s="23">
        <f>IF($BM66=0,"",SUM(AR66:BK66))</f>
        <v/>
      </c>
      <c r="G66" s="23">
        <f>IF($BM66=0,"",B66-E66)</f>
        <v/>
      </c>
      <c r="H66" s="23">
        <f>IF($BM66=0,"",SUM($G$2:G66))</f>
        <v/>
      </c>
      <c r="I66" s="23">
        <f>IF($BM66=0,"",SUMIFS(Entries!$G$2:$G$5000,Entries!$A$2:$A$5000,"&gt;="&amp;$A66,Entries!$A$2:$A$5000,"&lt;"&amp;EDATE($A66,1)))</f>
        <v/>
      </c>
      <c r="J66" s="23">
        <f>IF($BM66=0,NA(),H66)</f>
        <v/>
      </c>
      <c r="K66" s="23">
        <f>IF($BM66=0,"",SUMIFS(Entries!$E$2:$E$5000,Entries!$C$2:$C$5000,"Income",Entries!$A$2:$A$5000,"&gt;="&amp;EDATE($A66,-11),Entries!$A$2:$A$5000,"&lt;"&amp;EDATE($A66,1))/COUNTIFS($A$2:$A$400,"&gt;="&amp;EDATE($A66,-11),$A$2:$A$400,"&lt;"&amp;EDATE($A66,1),$BM$2:$BM$400,"&gt;0"))</f>
      </c>
      <c r="L66" s="23">
        <f>IF($BM66=0,"",(SUMIFS(Entries!$E$2:$E$5000,Entries!$C$2:$C$5000,"Actual",Entries!$A$2:$A$5000,"&gt;="&amp;EDATE($A66,-11),Entries!$A$2:$A$5000,"&lt;"&amp;EDATE($A66,1))+SUMIFS(Entries!$E$2:$E$5000,Entries!$C$2:$C$5000,"One-off",Entries!$A$2:$A$5000,"&gt;="&amp;EDATE($A66,-11),Entries!$A$2:$A$5000,"&lt;"&amp;EDATE($A66,1)))/COUNTIFS($A$2:$A$400,"&gt;="&amp;EDATE($A66,-11),$A$2:$A$400,"&lt;"&amp;EDATE($A66,1),$BM$2:$BM$400,"&gt;0"))</f>
      </c>
      <c r="M66" s="24">
        <f>IF($BM66=0,NA(),IFERROR((K66-L66)/K66,0))</f>
        <v/>
      </c>
      <c r="N66" s="23">
        <f>IF($BM66=0,NA(),SUMIFS(Entries!$E$2:$E$5000,Entries!$D$2:$D$5000,"Core",Entries!$A$2:$A$5000,"&gt;="&amp;$A66,Entries!$A$2:$A$5000,"&lt;"&amp;EDATE($A66,1)))</f>
        <v/>
      </c>
      <c r="O66" s="23">
        <f>IF($BM66=0,NA(),SUMIFS(Entries!$E$2:$E$5000,Entries!$D$2:$D$5000,"Over &amp; above",Entries!$A$2:$A$5000,"&gt;="&amp;$A66,Entries!$A$2:$A$5000,"&lt;"&amp;EDATE($A66,1)))</f>
        <v/>
      </c>
      <c r="P66" s="23">
        <f>IF($BM66=0,NA(),SUMIFS(Entries!$E$2:$E$5000,Entries!$D$2:$D$5000,"One-off",Entries!$A$2:$A$5000,"&gt;="&amp;$A66,Entries!$A$2:$A$5000,"&lt;"&amp;EDATE($A66,1)))</f>
        <v/>
      </c>
      <c r="Q66" s="23">
        <f>IF($BM66=0,NA(),SUMIFS(Entries!$E$2:$E$5000,Entries!$D$2:$D$5000,"Reimbursable",Entries!$A$2:$A$5000,"&gt;="&amp;$A66,Entries!$A$2:$A$5000,"&lt;"&amp;EDATE($A66,1)))</f>
        <v/>
      </c>
      <c r="R66" s="23">
        <f>IF($BM66=0,NA(),SUMIFS(Entries!$E$2:$E$5000,Entries!$D$2:$D$5000,"Investment",Entries!$A$2:$A$5000,"&gt;="&amp;$A66,Entries!$A$2:$A$5000,"&lt;"&amp;EDATE($A66,1)))</f>
        <v/>
      </c>
      <c r="S66" s="23">
        <f>IF($BM66=0,NA(),N66+O66)</f>
        <v/>
      </c>
      <c r="T66" s="23">
        <f>IF($BM66=0,"",E66-Q66)</f>
        <v/>
      </c>
      <c r="W66" s="23">
        <f>IF(OR(W$1="",$BM66=0),"",SUMIFS(Entries!$E$2:$E$5000,Entries!$C$2:$C$5000,"Actual",Entries!$A$2:$A$5000,"&gt;="&amp;$A66,Entries!$A$2:$A$5000,"&lt;"&amp;EDATE($A66,1),Entries!$B$2:$B$5000,W$1))</f>
        <v/>
      </c>
      <c r="X66" s="23">
        <f>IF(OR(X$1="",$BM66=0),"",SUMIFS(Entries!$E$2:$E$5000,Entries!$C$2:$C$5000,"Actual",Entries!$A$2:$A$5000,"&gt;="&amp;$A66,Entries!$A$2:$A$5000,"&lt;"&amp;EDATE($A66,1),Entries!$B$2:$B$5000,X$1))</f>
        <v/>
      </c>
      <c r="Y66" s="23">
        <f>IF(OR(Y$1="",$BM66=0),"",SUMIFS(Entries!$E$2:$E$5000,Entries!$C$2:$C$5000,"Actual",Entries!$A$2:$A$5000,"&gt;="&amp;$A66,Entries!$A$2:$A$5000,"&lt;"&amp;EDATE($A66,1),Entries!$B$2:$B$5000,Y$1))</f>
        <v/>
      </c>
      <c r="Z66" s="23">
        <f>IF(OR(Z$1="",$BM66=0),"",SUMIFS(Entries!$E$2:$E$5000,Entries!$C$2:$C$5000,"Actual",Entries!$A$2:$A$5000,"&gt;="&amp;$A66,Entries!$A$2:$A$5000,"&lt;"&amp;EDATE($A66,1),Entries!$B$2:$B$5000,Z$1))</f>
        <v/>
      </c>
      <c r="AA66" s="23">
        <f>IF(OR(AA$1="",$BM66=0),"",SUMIFS(Entries!$E$2:$E$5000,Entries!$C$2:$C$5000,"Actual",Entries!$A$2:$A$5000,"&gt;="&amp;$A66,Entries!$A$2:$A$5000,"&lt;"&amp;EDATE($A66,1),Entries!$B$2:$B$5000,AA$1))</f>
        <v/>
      </c>
      <c r="AB66" s="23">
        <f>IF(OR(AB$1="",$BM66=0),"",SUMIFS(Entries!$E$2:$E$5000,Entries!$C$2:$C$5000,"Actual",Entries!$A$2:$A$5000,"&gt;="&amp;$A66,Entries!$A$2:$A$5000,"&lt;"&amp;EDATE($A66,1),Entries!$B$2:$B$5000,AB$1))</f>
        <v/>
      </c>
      <c r="AC66" s="23">
        <f>IF(OR(AC$1="",$BM66=0),"",SUMIFS(Entries!$E$2:$E$5000,Entries!$C$2:$C$5000,"Actual",Entries!$A$2:$A$5000,"&gt;="&amp;$A66,Entries!$A$2:$A$5000,"&lt;"&amp;EDATE($A66,1),Entries!$B$2:$B$5000,AC$1))</f>
        <v/>
      </c>
      <c r="AD66" s="23">
        <f>IF(OR(AD$1="",$BM66=0),"",SUMIFS(Entries!$E$2:$E$5000,Entries!$C$2:$C$5000,"Actual",Entries!$A$2:$A$5000,"&gt;="&amp;$A66,Entries!$A$2:$A$5000,"&lt;"&amp;EDATE($A66,1),Entries!$B$2:$B$5000,AD$1))</f>
        <v/>
      </c>
      <c r="AE66" s="23">
        <f>IF(OR(AE$1="",$BM66=0),"",SUMIFS(Entries!$E$2:$E$5000,Entries!$C$2:$C$5000,"Actual",Entries!$A$2:$A$5000,"&gt;="&amp;$A66,Entries!$A$2:$A$5000,"&lt;"&amp;EDATE($A66,1),Entries!$B$2:$B$5000,AE$1))</f>
        <v/>
      </c>
      <c r="AF66" s="23">
        <f>IF(OR(AF$1="",$BM66=0),"",SUMIFS(Entries!$E$2:$E$5000,Entries!$C$2:$C$5000,"Actual",Entries!$A$2:$A$5000,"&gt;="&amp;$A66,Entries!$A$2:$A$5000,"&lt;"&amp;EDATE($A66,1),Entries!$B$2:$B$5000,AF$1))</f>
        <v/>
      </c>
      <c r="AG66" s="23">
        <f>IF(OR(AG$1="",$BM66=0),"",SUMIFS(Entries!$E$2:$E$5000,Entries!$C$2:$C$5000,"Actual",Entries!$A$2:$A$5000,"&gt;="&amp;$A66,Entries!$A$2:$A$5000,"&lt;"&amp;EDATE($A66,1),Entries!$B$2:$B$5000,AG$1))</f>
        <v/>
      </c>
      <c r="AH66" s="23">
        <f>IF(OR(AH$1="",$BM66=0),"",SUMIFS(Entries!$E$2:$E$5000,Entries!$C$2:$C$5000,"Actual",Entries!$A$2:$A$5000,"&gt;="&amp;$A66,Entries!$A$2:$A$5000,"&lt;"&amp;EDATE($A66,1),Entries!$B$2:$B$5000,AH$1))</f>
        <v/>
      </c>
      <c r="AI66" s="23">
        <f>IF(OR(AI$1="",$BM66=0),"",SUMIFS(Entries!$E$2:$E$5000,Entries!$C$2:$C$5000,"Actual",Entries!$A$2:$A$5000,"&gt;="&amp;$A66,Entries!$A$2:$A$5000,"&lt;"&amp;EDATE($A66,1),Entries!$B$2:$B$5000,AI$1))</f>
        <v/>
      </c>
      <c r="AJ66" s="23">
        <f>IF(OR(AJ$1="",$BM66=0),"",SUMIFS(Entries!$E$2:$E$5000,Entries!$C$2:$C$5000,"Actual",Entries!$A$2:$A$5000,"&gt;="&amp;$A66,Entries!$A$2:$A$5000,"&lt;"&amp;EDATE($A66,1),Entries!$B$2:$B$5000,AJ$1))</f>
        <v/>
      </c>
      <c r="AK66" s="23">
        <f>IF(OR(AK$1="",$BM66=0),"",SUMIFS(Entries!$E$2:$E$5000,Entries!$C$2:$C$5000,"Actual",Entries!$A$2:$A$5000,"&gt;="&amp;$A66,Entries!$A$2:$A$5000,"&lt;"&amp;EDATE($A66,1),Entries!$B$2:$B$5000,AK$1))</f>
        <v/>
      </c>
      <c r="AL66" s="23">
        <f>IF(OR(AL$1="",$BM66=0),"",SUMIFS(Entries!$E$2:$E$5000,Entries!$C$2:$C$5000,"Actual",Entries!$A$2:$A$5000,"&gt;="&amp;$A66,Entries!$A$2:$A$5000,"&lt;"&amp;EDATE($A66,1),Entries!$B$2:$B$5000,AL$1))</f>
        <v/>
      </c>
      <c r="AM66" s="23">
        <f>IF(OR(AM$1="",$BM66=0),"",SUMIFS(Entries!$E$2:$E$5000,Entries!$C$2:$C$5000,"Actual",Entries!$A$2:$A$5000,"&gt;="&amp;$A66,Entries!$A$2:$A$5000,"&lt;"&amp;EDATE($A66,1),Entries!$B$2:$B$5000,AM$1))</f>
        <v/>
      </c>
      <c r="AN66" s="23">
        <f>IF(OR(AN$1="",$BM66=0),"",SUMIFS(Entries!$E$2:$E$5000,Entries!$C$2:$C$5000,"Actual",Entries!$A$2:$A$5000,"&gt;="&amp;$A66,Entries!$A$2:$A$5000,"&lt;"&amp;EDATE($A66,1),Entries!$B$2:$B$5000,AN$1))</f>
        <v/>
      </c>
      <c r="AO66" s="23">
        <f>IF(OR(AO$1="",$BM66=0),"",SUMIFS(Entries!$E$2:$E$5000,Entries!$C$2:$C$5000,"Actual",Entries!$A$2:$A$5000,"&gt;="&amp;$A66,Entries!$A$2:$A$5000,"&lt;"&amp;EDATE($A66,1),Entries!$B$2:$B$5000,AO$1))</f>
        <v/>
      </c>
      <c r="AP66" s="23">
        <f>IF(OR(AP$1="",$BM66=0),"",SUMIFS(Entries!$E$2:$E$5000,Entries!$C$2:$C$5000,"Actual",Entries!$A$2:$A$5000,"&gt;="&amp;$A66,Entries!$A$2:$A$5000,"&lt;"&amp;EDATE($A66,1),Entries!$B$2:$B$5000,AP$1))</f>
        <v/>
      </c>
      <c r="AR66" s="23">
        <f>IF(OR(AR$1="",$BM66=0),"",IFERROR(LOOKUP(2,1/((Budgets!$A$2:$A$200=AR$1)*(Budgets!$B$2:$B$200&lt;EDATE($A66,1))),Budgets!$C$2:$C$200),0))</f>
        <v/>
      </c>
      <c r="AS66" s="23">
        <f>IF(OR(AS$1="",$BM66=0),"",IFERROR(LOOKUP(2,1/((Budgets!$A$2:$A$200=AS$1)*(Budgets!$B$2:$B$200&lt;EDATE($A66,1))),Budgets!$C$2:$C$200),0))</f>
        <v/>
      </c>
      <c r="AT66" s="23">
        <f>IF(OR(AT$1="",$BM66=0),"",IFERROR(LOOKUP(2,1/((Budgets!$A$2:$A$200=AT$1)*(Budgets!$B$2:$B$200&lt;EDATE($A66,1))),Budgets!$C$2:$C$200),0))</f>
        <v/>
      </c>
      <c r="AU66" s="23">
        <f>IF(OR(AU$1="",$BM66=0),"",IFERROR(LOOKUP(2,1/((Budgets!$A$2:$A$200=AU$1)*(Budgets!$B$2:$B$200&lt;EDATE($A66,1))),Budgets!$C$2:$C$200),0))</f>
        <v/>
      </c>
      <c r="AV66" s="23">
        <f>IF(OR(AV$1="",$BM66=0),"",IFERROR(LOOKUP(2,1/((Budgets!$A$2:$A$200=AV$1)*(Budgets!$B$2:$B$200&lt;EDATE($A66,1))),Budgets!$C$2:$C$200),0))</f>
        <v/>
      </c>
      <c r="AW66" s="23">
        <f>IF(OR(AW$1="",$BM66=0),"",IFERROR(LOOKUP(2,1/((Budgets!$A$2:$A$200=AW$1)*(Budgets!$B$2:$B$200&lt;EDATE($A66,1))),Budgets!$C$2:$C$200),0))</f>
        <v/>
      </c>
      <c r="AX66" s="23">
        <f>IF(OR(AX$1="",$BM66=0),"",IFERROR(LOOKUP(2,1/((Budgets!$A$2:$A$200=AX$1)*(Budgets!$B$2:$B$200&lt;EDATE($A66,1))),Budgets!$C$2:$C$200),0))</f>
        <v/>
      </c>
      <c r="AY66" s="23">
        <f>IF(OR(AY$1="",$BM66=0),"",IFERROR(LOOKUP(2,1/((Budgets!$A$2:$A$200=AY$1)*(Budgets!$B$2:$B$200&lt;EDATE($A66,1))),Budgets!$C$2:$C$200),0))</f>
        <v/>
      </c>
      <c r="AZ66" s="23">
        <f>IF(OR(AZ$1="",$BM66=0),"",IFERROR(LOOKUP(2,1/((Budgets!$A$2:$A$200=AZ$1)*(Budgets!$B$2:$B$200&lt;EDATE($A66,1))),Budgets!$C$2:$C$200),0))</f>
        <v/>
      </c>
      <c r="BA66" s="23">
        <f>IF(OR(BA$1="",$BM66=0),"",IFERROR(LOOKUP(2,1/((Budgets!$A$2:$A$200=BA$1)*(Budgets!$B$2:$B$200&lt;EDATE($A66,1))),Budgets!$C$2:$C$200),0))</f>
        <v/>
      </c>
      <c r="BB66" s="23">
        <f>IF(OR(BB$1="",$BM66=0),"",IFERROR(LOOKUP(2,1/((Budgets!$A$2:$A$200=BB$1)*(Budgets!$B$2:$B$200&lt;EDATE($A66,1))),Budgets!$C$2:$C$200),0))</f>
        <v/>
      </c>
      <c r="BC66" s="23">
        <f>IF(OR(BC$1="",$BM66=0),"",IFERROR(LOOKUP(2,1/((Budgets!$A$2:$A$200=BC$1)*(Budgets!$B$2:$B$200&lt;EDATE($A66,1))),Budgets!$C$2:$C$200),0))</f>
        <v/>
      </c>
      <c r="BD66" s="23">
        <f>IF(OR(BD$1="",$BM66=0),"",IFERROR(LOOKUP(2,1/((Budgets!$A$2:$A$200=BD$1)*(Budgets!$B$2:$B$200&lt;EDATE($A66,1))),Budgets!$C$2:$C$200),0))</f>
        <v/>
      </c>
      <c r="BE66" s="23">
        <f>IF(OR(BE$1="",$BM66=0),"",IFERROR(LOOKUP(2,1/((Budgets!$A$2:$A$200=BE$1)*(Budgets!$B$2:$B$200&lt;EDATE($A66,1))),Budgets!$C$2:$C$200),0))</f>
        <v/>
      </c>
      <c r="BF66" s="23">
        <f>IF(OR(BF$1="",$BM66=0),"",IFERROR(LOOKUP(2,1/((Budgets!$A$2:$A$200=BF$1)*(Budgets!$B$2:$B$200&lt;EDATE($A66,1))),Budgets!$C$2:$C$200),0))</f>
        <v/>
      </c>
      <c r="BG66" s="23">
        <f>IF(OR(BG$1="",$BM66=0),"",IFERROR(LOOKUP(2,1/((Budgets!$A$2:$A$200=BG$1)*(Budgets!$B$2:$B$200&lt;EDATE($A66,1))),Budgets!$C$2:$C$200),0))</f>
        <v/>
      </c>
      <c r="BH66" s="23">
        <f>IF(OR(BH$1="",$BM66=0),"",IFERROR(LOOKUP(2,1/((Budgets!$A$2:$A$200=BH$1)*(Budgets!$B$2:$B$200&lt;EDATE($A66,1))),Budgets!$C$2:$C$200),0))</f>
        <v/>
      </c>
      <c r="BI66" s="23">
        <f>IF(OR(BI$1="",$BM66=0),"",IFERROR(LOOKUP(2,1/((Budgets!$A$2:$A$200=BI$1)*(Budgets!$B$2:$B$200&lt;EDATE($A66,1))),Budgets!$C$2:$C$200),0))</f>
        <v/>
      </c>
      <c r="BJ66" s="23">
        <f>IF(OR(BJ$1="",$BM66=0),"",IFERROR(LOOKUP(2,1/((Budgets!$A$2:$A$200=BJ$1)*(Budgets!$B$2:$B$200&lt;EDATE($A66,1))),Budgets!$C$2:$C$200),0))</f>
        <v/>
      </c>
      <c r="BK66" s="23">
        <f>IF(OR(BK$1="",$BM66=0),"",IFERROR(LOOKUP(2,1/((Budgets!$A$2:$A$200=BK$1)*(Budgets!$B$2:$B$200&lt;EDATE($A66,1))),Budgets!$C$2:$C$200),0))</f>
        <v/>
      </c>
      <c r="BM66" s="21">
        <f>COUNTIFS(Entries!$A$2:$A$5000,"&gt;="&amp;$A66,Entries!$A$2:$A$5000,"&lt;"&amp;EDATE($A66,1))</f>
        <v/>
      </c>
    </row>
    <row r="67">
      <c r="A67" s="22" t="n">
        <v>41426</v>
      </c>
      <c r="B67" s="23">
        <f>IF($BM67=0,NA(),SUMIFS(Entries!$E$2:$E$5000,Entries!$C$2:$C$5000,"Income",Entries!$A$2:$A$5000,"&gt;="&amp;$A67,Entries!$A$2:$A$5000,"&lt;"&amp;EDATE($A67,1)))</f>
        <v/>
      </c>
      <c r="C67" s="23">
        <f>IF($BM67=0,"",SUMIFS(Entries!$E$2:$E$5000,Entries!$C$2:$C$5000,"Actual",Entries!$A$2:$A$5000,"&gt;="&amp;$A67,Entries!$A$2:$A$5000,"&lt;"&amp;EDATE($A67,1)))</f>
        <v/>
      </c>
      <c r="D67" s="23">
        <f>IF($BM67=0,"",SUMIFS(Entries!$E$2:$E$5000,Entries!$C$2:$C$5000,"One-off",Entries!$A$2:$A$5000,"&gt;="&amp;$A67,Entries!$A$2:$A$5000,"&lt;"&amp;EDATE($A67,1)))</f>
        <v/>
      </c>
      <c r="E67" s="23">
        <f>IF($BM67=0,NA(),C67+D67)</f>
        <v/>
      </c>
      <c r="F67" s="23">
        <f>IF($BM67=0,"",SUM(AR67:BK67))</f>
        <v/>
      </c>
      <c r="G67" s="23">
        <f>IF($BM67=0,"",B67-E67)</f>
        <v/>
      </c>
      <c r="H67" s="23">
        <f>IF($BM67=0,"",SUM($G$2:G67))</f>
        <v/>
      </c>
      <c r="I67" s="23">
        <f>IF($BM67=0,"",SUMIFS(Entries!$G$2:$G$5000,Entries!$A$2:$A$5000,"&gt;="&amp;$A67,Entries!$A$2:$A$5000,"&lt;"&amp;EDATE($A67,1)))</f>
        <v/>
      </c>
      <c r="J67" s="23">
        <f>IF($BM67=0,NA(),H67)</f>
        <v/>
      </c>
      <c r="K67" s="23">
        <f>IF($BM67=0,"",SUMIFS(Entries!$E$2:$E$5000,Entries!$C$2:$C$5000,"Income",Entries!$A$2:$A$5000,"&gt;="&amp;EDATE($A67,-11),Entries!$A$2:$A$5000,"&lt;"&amp;EDATE($A67,1))/COUNTIFS($A$2:$A$400,"&gt;="&amp;EDATE($A67,-11),$A$2:$A$400,"&lt;"&amp;EDATE($A67,1),$BM$2:$BM$400,"&gt;0"))</f>
      </c>
      <c r="L67" s="23">
        <f>IF($BM67=0,"",(SUMIFS(Entries!$E$2:$E$5000,Entries!$C$2:$C$5000,"Actual",Entries!$A$2:$A$5000,"&gt;="&amp;EDATE($A67,-11),Entries!$A$2:$A$5000,"&lt;"&amp;EDATE($A67,1))+SUMIFS(Entries!$E$2:$E$5000,Entries!$C$2:$C$5000,"One-off",Entries!$A$2:$A$5000,"&gt;="&amp;EDATE($A67,-11),Entries!$A$2:$A$5000,"&lt;"&amp;EDATE($A67,1)))/COUNTIFS($A$2:$A$400,"&gt;="&amp;EDATE($A67,-11),$A$2:$A$400,"&lt;"&amp;EDATE($A67,1),$BM$2:$BM$400,"&gt;0"))</f>
      </c>
      <c r="M67" s="24">
        <f>IF($BM67=0,NA(),IFERROR((K67-L67)/K67,0))</f>
        <v/>
      </c>
      <c r="N67" s="23">
        <f>IF($BM67=0,NA(),SUMIFS(Entries!$E$2:$E$5000,Entries!$D$2:$D$5000,"Core",Entries!$A$2:$A$5000,"&gt;="&amp;$A67,Entries!$A$2:$A$5000,"&lt;"&amp;EDATE($A67,1)))</f>
        <v/>
      </c>
      <c r="O67" s="23">
        <f>IF($BM67=0,NA(),SUMIFS(Entries!$E$2:$E$5000,Entries!$D$2:$D$5000,"Over &amp; above",Entries!$A$2:$A$5000,"&gt;="&amp;$A67,Entries!$A$2:$A$5000,"&lt;"&amp;EDATE($A67,1)))</f>
        <v/>
      </c>
      <c r="P67" s="23">
        <f>IF($BM67=0,NA(),SUMIFS(Entries!$E$2:$E$5000,Entries!$D$2:$D$5000,"One-off",Entries!$A$2:$A$5000,"&gt;="&amp;$A67,Entries!$A$2:$A$5000,"&lt;"&amp;EDATE($A67,1)))</f>
        <v/>
      </c>
      <c r="Q67" s="23">
        <f>IF($BM67=0,NA(),SUMIFS(Entries!$E$2:$E$5000,Entries!$D$2:$D$5000,"Reimbursable",Entries!$A$2:$A$5000,"&gt;="&amp;$A67,Entries!$A$2:$A$5000,"&lt;"&amp;EDATE($A67,1)))</f>
        <v/>
      </c>
      <c r="R67" s="23">
        <f>IF($BM67=0,NA(),SUMIFS(Entries!$E$2:$E$5000,Entries!$D$2:$D$5000,"Investment",Entries!$A$2:$A$5000,"&gt;="&amp;$A67,Entries!$A$2:$A$5000,"&lt;"&amp;EDATE($A67,1)))</f>
        <v/>
      </c>
      <c r="S67" s="23">
        <f>IF($BM67=0,NA(),N67+O67)</f>
        <v/>
      </c>
      <c r="T67" s="23">
        <f>IF($BM67=0,"",E67-Q67)</f>
        <v/>
      </c>
      <c r="W67" s="23">
        <f>IF(OR(W$1="",$BM67=0),"",SUMIFS(Entries!$E$2:$E$5000,Entries!$C$2:$C$5000,"Actual",Entries!$A$2:$A$5000,"&gt;="&amp;$A67,Entries!$A$2:$A$5000,"&lt;"&amp;EDATE($A67,1),Entries!$B$2:$B$5000,W$1))</f>
        <v/>
      </c>
      <c r="X67" s="23">
        <f>IF(OR(X$1="",$BM67=0),"",SUMIFS(Entries!$E$2:$E$5000,Entries!$C$2:$C$5000,"Actual",Entries!$A$2:$A$5000,"&gt;="&amp;$A67,Entries!$A$2:$A$5000,"&lt;"&amp;EDATE($A67,1),Entries!$B$2:$B$5000,X$1))</f>
        <v/>
      </c>
      <c r="Y67" s="23">
        <f>IF(OR(Y$1="",$BM67=0),"",SUMIFS(Entries!$E$2:$E$5000,Entries!$C$2:$C$5000,"Actual",Entries!$A$2:$A$5000,"&gt;="&amp;$A67,Entries!$A$2:$A$5000,"&lt;"&amp;EDATE($A67,1),Entries!$B$2:$B$5000,Y$1))</f>
        <v/>
      </c>
      <c r="Z67" s="23">
        <f>IF(OR(Z$1="",$BM67=0),"",SUMIFS(Entries!$E$2:$E$5000,Entries!$C$2:$C$5000,"Actual",Entries!$A$2:$A$5000,"&gt;="&amp;$A67,Entries!$A$2:$A$5000,"&lt;"&amp;EDATE($A67,1),Entries!$B$2:$B$5000,Z$1))</f>
        <v/>
      </c>
      <c r="AA67" s="23">
        <f>IF(OR(AA$1="",$BM67=0),"",SUMIFS(Entries!$E$2:$E$5000,Entries!$C$2:$C$5000,"Actual",Entries!$A$2:$A$5000,"&gt;="&amp;$A67,Entries!$A$2:$A$5000,"&lt;"&amp;EDATE($A67,1),Entries!$B$2:$B$5000,AA$1))</f>
        <v/>
      </c>
      <c r="AB67" s="23">
        <f>IF(OR(AB$1="",$BM67=0),"",SUMIFS(Entries!$E$2:$E$5000,Entries!$C$2:$C$5000,"Actual",Entries!$A$2:$A$5000,"&gt;="&amp;$A67,Entries!$A$2:$A$5000,"&lt;"&amp;EDATE($A67,1),Entries!$B$2:$B$5000,AB$1))</f>
        <v/>
      </c>
      <c r="AC67" s="23">
        <f>IF(OR(AC$1="",$BM67=0),"",SUMIFS(Entries!$E$2:$E$5000,Entries!$C$2:$C$5000,"Actual",Entries!$A$2:$A$5000,"&gt;="&amp;$A67,Entries!$A$2:$A$5000,"&lt;"&amp;EDATE($A67,1),Entries!$B$2:$B$5000,AC$1))</f>
        <v/>
      </c>
      <c r="AD67" s="23">
        <f>IF(OR(AD$1="",$BM67=0),"",SUMIFS(Entries!$E$2:$E$5000,Entries!$C$2:$C$5000,"Actual",Entries!$A$2:$A$5000,"&gt;="&amp;$A67,Entries!$A$2:$A$5000,"&lt;"&amp;EDATE($A67,1),Entries!$B$2:$B$5000,AD$1))</f>
        <v/>
      </c>
      <c r="AE67" s="23">
        <f>IF(OR(AE$1="",$BM67=0),"",SUMIFS(Entries!$E$2:$E$5000,Entries!$C$2:$C$5000,"Actual",Entries!$A$2:$A$5000,"&gt;="&amp;$A67,Entries!$A$2:$A$5000,"&lt;"&amp;EDATE($A67,1),Entries!$B$2:$B$5000,AE$1))</f>
        <v/>
      </c>
      <c r="AF67" s="23">
        <f>IF(OR(AF$1="",$BM67=0),"",SUMIFS(Entries!$E$2:$E$5000,Entries!$C$2:$C$5000,"Actual",Entries!$A$2:$A$5000,"&gt;="&amp;$A67,Entries!$A$2:$A$5000,"&lt;"&amp;EDATE($A67,1),Entries!$B$2:$B$5000,AF$1))</f>
        <v/>
      </c>
      <c r="AG67" s="23">
        <f>IF(OR(AG$1="",$BM67=0),"",SUMIFS(Entries!$E$2:$E$5000,Entries!$C$2:$C$5000,"Actual",Entries!$A$2:$A$5000,"&gt;="&amp;$A67,Entries!$A$2:$A$5000,"&lt;"&amp;EDATE($A67,1),Entries!$B$2:$B$5000,AG$1))</f>
        <v/>
      </c>
      <c r="AH67" s="23">
        <f>IF(OR(AH$1="",$BM67=0),"",SUMIFS(Entries!$E$2:$E$5000,Entries!$C$2:$C$5000,"Actual",Entries!$A$2:$A$5000,"&gt;="&amp;$A67,Entries!$A$2:$A$5000,"&lt;"&amp;EDATE($A67,1),Entries!$B$2:$B$5000,AH$1))</f>
        <v/>
      </c>
      <c r="AI67" s="23">
        <f>IF(OR(AI$1="",$BM67=0),"",SUMIFS(Entries!$E$2:$E$5000,Entries!$C$2:$C$5000,"Actual",Entries!$A$2:$A$5000,"&gt;="&amp;$A67,Entries!$A$2:$A$5000,"&lt;"&amp;EDATE($A67,1),Entries!$B$2:$B$5000,AI$1))</f>
        <v/>
      </c>
      <c r="AJ67" s="23">
        <f>IF(OR(AJ$1="",$BM67=0),"",SUMIFS(Entries!$E$2:$E$5000,Entries!$C$2:$C$5000,"Actual",Entries!$A$2:$A$5000,"&gt;="&amp;$A67,Entries!$A$2:$A$5000,"&lt;"&amp;EDATE($A67,1),Entries!$B$2:$B$5000,AJ$1))</f>
        <v/>
      </c>
      <c r="AK67" s="23">
        <f>IF(OR(AK$1="",$BM67=0),"",SUMIFS(Entries!$E$2:$E$5000,Entries!$C$2:$C$5000,"Actual",Entries!$A$2:$A$5000,"&gt;="&amp;$A67,Entries!$A$2:$A$5000,"&lt;"&amp;EDATE($A67,1),Entries!$B$2:$B$5000,AK$1))</f>
        <v/>
      </c>
      <c r="AL67" s="23">
        <f>IF(OR(AL$1="",$BM67=0),"",SUMIFS(Entries!$E$2:$E$5000,Entries!$C$2:$C$5000,"Actual",Entries!$A$2:$A$5000,"&gt;="&amp;$A67,Entries!$A$2:$A$5000,"&lt;"&amp;EDATE($A67,1),Entries!$B$2:$B$5000,AL$1))</f>
        <v/>
      </c>
      <c r="AM67" s="23">
        <f>IF(OR(AM$1="",$BM67=0),"",SUMIFS(Entries!$E$2:$E$5000,Entries!$C$2:$C$5000,"Actual",Entries!$A$2:$A$5000,"&gt;="&amp;$A67,Entries!$A$2:$A$5000,"&lt;"&amp;EDATE($A67,1),Entries!$B$2:$B$5000,AM$1))</f>
        <v/>
      </c>
      <c r="AN67" s="23">
        <f>IF(OR(AN$1="",$BM67=0),"",SUMIFS(Entries!$E$2:$E$5000,Entries!$C$2:$C$5000,"Actual",Entries!$A$2:$A$5000,"&gt;="&amp;$A67,Entries!$A$2:$A$5000,"&lt;"&amp;EDATE($A67,1),Entries!$B$2:$B$5000,AN$1))</f>
        <v/>
      </c>
      <c r="AO67" s="23">
        <f>IF(OR(AO$1="",$BM67=0),"",SUMIFS(Entries!$E$2:$E$5000,Entries!$C$2:$C$5000,"Actual",Entries!$A$2:$A$5000,"&gt;="&amp;$A67,Entries!$A$2:$A$5000,"&lt;"&amp;EDATE($A67,1),Entries!$B$2:$B$5000,AO$1))</f>
        <v/>
      </c>
      <c r="AP67" s="23">
        <f>IF(OR(AP$1="",$BM67=0),"",SUMIFS(Entries!$E$2:$E$5000,Entries!$C$2:$C$5000,"Actual",Entries!$A$2:$A$5000,"&gt;="&amp;$A67,Entries!$A$2:$A$5000,"&lt;"&amp;EDATE($A67,1),Entries!$B$2:$B$5000,AP$1))</f>
        <v/>
      </c>
      <c r="AR67" s="23">
        <f>IF(OR(AR$1="",$BM67=0),"",IFERROR(LOOKUP(2,1/((Budgets!$A$2:$A$200=AR$1)*(Budgets!$B$2:$B$200&lt;EDATE($A67,1))),Budgets!$C$2:$C$200),0))</f>
        <v/>
      </c>
      <c r="AS67" s="23">
        <f>IF(OR(AS$1="",$BM67=0),"",IFERROR(LOOKUP(2,1/((Budgets!$A$2:$A$200=AS$1)*(Budgets!$B$2:$B$200&lt;EDATE($A67,1))),Budgets!$C$2:$C$200),0))</f>
        <v/>
      </c>
      <c r="AT67" s="23">
        <f>IF(OR(AT$1="",$BM67=0),"",IFERROR(LOOKUP(2,1/((Budgets!$A$2:$A$200=AT$1)*(Budgets!$B$2:$B$200&lt;EDATE($A67,1))),Budgets!$C$2:$C$200),0))</f>
        <v/>
      </c>
      <c r="AU67" s="23">
        <f>IF(OR(AU$1="",$BM67=0),"",IFERROR(LOOKUP(2,1/((Budgets!$A$2:$A$200=AU$1)*(Budgets!$B$2:$B$200&lt;EDATE($A67,1))),Budgets!$C$2:$C$200),0))</f>
        <v/>
      </c>
      <c r="AV67" s="23">
        <f>IF(OR(AV$1="",$BM67=0),"",IFERROR(LOOKUP(2,1/((Budgets!$A$2:$A$200=AV$1)*(Budgets!$B$2:$B$200&lt;EDATE($A67,1))),Budgets!$C$2:$C$200),0))</f>
        <v/>
      </c>
      <c r="AW67" s="23">
        <f>IF(OR(AW$1="",$BM67=0),"",IFERROR(LOOKUP(2,1/((Budgets!$A$2:$A$200=AW$1)*(Budgets!$B$2:$B$200&lt;EDATE($A67,1))),Budgets!$C$2:$C$200),0))</f>
        <v/>
      </c>
      <c r="AX67" s="23">
        <f>IF(OR(AX$1="",$BM67=0),"",IFERROR(LOOKUP(2,1/((Budgets!$A$2:$A$200=AX$1)*(Budgets!$B$2:$B$200&lt;EDATE($A67,1))),Budgets!$C$2:$C$200),0))</f>
        <v/>
      </c>
      <c r="AY67" s="23">
        <f>IF(OR(AY$1="",$BM67=0),"",IFERROR(LOOKUP(2,1/((Budgets!$A$2:$A$200=AY$1)*(Budgets!$B$2:$B$200&lt;EDATE($A67,1))),Budgets!$C$2:$C$200),0))</f>
        <v/>
      </c>
      <c r="AZ67" s="23">
        <f>IF(OR(AZ$1="",$BM67=0),"",IFERROR(LOOKUP(2,1/((Budgets!$A$2:$A$200=AZ$1)*(Budgets!$B$2:$B$200&lt;EDATE($A67,1))),Budgets!$C$2:$C$200),0))</f>
        <v/>
      </c>
      <c r="BA67" s="23">
        <f>IF(OR(BA$1="",$BM67=0),"",IFERROR(LOOKUP(2,1/((Budgets!$A$2:$A$200=BA$1)*(Budgets!$B$2:$B$200&lt;EDATE($A67,1))),Budgets!$C$2:$C$200),0))</f>
        <v/>
      </c>
      <c r="BB67" s="23">
        <f>IF(OR(BB$1="",$BM67=0),"",IFERROR(LOOKUP(2,1/((Budgets!$A$2:$A$200=BB$1)*(Budgets!$B$2:$B$200&lt;EDATE($A67,1))),Budgets!$C$2:$C$200),0))</f>
        <v/>
      </c>
      <c r="BC67" s="23">
        <f>IF(OR(BC$1="",$BM67=0),"",IFERROR(LOOKUP(2,1/((Budgets!$A$2:$A$200=BC$1)*(Budgets!$B$2:$B$200&lt;EDATE($A67,1))),Budgets!$C$2:$C$200),0))</f>
        <v/>
      </c>
      <c r="BD67" s="23">
        <f>IF(OR(BD$1="",$BM67=0),"",IFERROR(LOOKUP(2,1/((Budgets!$A$2:$A$200=BD$1)*(Budgets!$B$2:$B$200&lt;EDATE($A67,1))),Budgets!$C$2:$C$200),0))</f>
        <v/>
      </c>
      <c r="BE67" s="23">
        <f>IF(OR(BE$1="",$BM67=0),"",IFERROR(LOOKUP(2,1/((Budgets!$A$2:$A$200=BE$1)*(Budgets!$B$2:$B$200&lt;EDATE($A67,1))),Budgets!$C$2:$C$200),0))</f>
        <v/>
      </c>
      <c r="BF67" s="23">
        <f>IF(OR(BF$1="",$BM67=0),"",IFERROR(LOOKUP(2,1/((Budgets!$A$2:$A$200=BF$1)*(Budgets!$B$2:$B$200&lt;EDATE($A67,1))),Budgets!$C$2:$C$200),0))</f>
        <v/>
      </c>
      <c r="BG67" s="23">
        <f>IF(OR(BG$1="",$BM67=0),"",IFERROR(LOOKUP(2,1/((Budgets!$A$2:$A$200=BG$1)*(Budgets!$B$2:$B$200&lt;EDATE($A67,1))),Budgets!$C$2:$C$200),0))</f>
        <v/>
      </c>
      <c r="BH67" s="23">
        <f>IF(OR(BH$1="",$BM67=0),"",IFERROR(LOOKUP(2,1/((Budgets!$A$2:$A$200=BH$1)*(Budgets!$B$2:$B$200&lt;EDATE($A67,1))),Budgets!$C$2:$C$200),0))</f>
        <v/>
      </c>
      <c r="BI67" s="23">
        <f>IF(OR(BI$1="",$BM67=0),"",IFERROR(LOOKUP(2,1/((Budgets!$A$2:$A$200=BI$1)*(Budgets!$B$2:$B$200&lt;EDATE($A67,1))),Budgets!$C$2:$C$200),0))</f>
        <v/>
      </c>
      <c r="BJ67" s="23">
        <f>IF(OR(BJ$1="",$BM67=0),"",IFERROR(LOOKUP(2,1/((Budgets!$A$2:$A$200=BJ$1)*(Budgets!$B$2:$B$200&lt;EDATE($A67,1))),Budgets!$C$2:$C$200),0))</f>
        <v/>
      </c>
      <c r="BK67" s="23">
        <f>IF(OR(BK$1="",$BM67=0),"",IFERROR(LOOKUP(2,1/((Budgets!$A$2:$A$200=BK$1)*(Budgets!$B$2:$B$200&lt;EDATE($A67,1))),Budgets!$C$2:$C$200),0))</f>
        <v/>
      </c>
      <c r="BM67" s="21">
        <f>COUNTIFS(Entries!$A$2:$A$5000,"&gt;="&amp;$A67,Entries!$A$2:$A$5000,"&lt;"&amp;EDATE($A67,1))</f>
        <v/>
      </c>
    </row>
    <row r="68">
      <c r="A68" s="22" t="n">
        <v>41456</v>
      </c>
      <c r="B68" s="23">
        <f>IF($BM68=0,NA(),SUMIFS(Entries!$E$2:$E$5000,Entries!$C$2:$C$5000,"Income",Entries!$A$2:$A$5000,"&gt;="&amp;$A68,Entries!$A$2:$A$5000,"&lt;"&amp;EDATE($A68,1)))</f>
        <v/>
      </c>
      <c r="C68" s="23">
        <f>IF($BM68=0,"",SUMIFS(Entries!$E$2:$E$5000,Entries!$C$2:$C$5000,"Actual",Entries!$A$2:$A$5000,"&gt;="&amp;$A68,Entries!$A$2:$A$5000,"&lt;"&amp;EDATE($A68,1)))</f>
        <v/>
      </c>
      <c r="D68" s="23">
        <f>IF($BM68=0,"",SUMIFS(Entries!$E$2:$E$5000,Entries!$C$2:$C$5000,"One-off",Entries!$A$2:$A$5000,"&gt;="&amp;$A68,Entries!$A$2:$A$5000,"&lt;"&amp;EDATE($A68,1)))</f>
        <v/>
      </c>
      <c r="E68" s="23">
        <f>IF($BM68=0,NA(),C68+D68)</f>
        <v/>
      </c>
      <c r="F68" s="23">
        <f>IF($BM68=0,"",SUM(AR68:BK68))</f>
        <v/>
      </c>
      <c r="G68" s="23">
        <f>IF($BM68=0,"",B68-E68)</f>
        <v/>
      </c>
      <c r="H68" s="23">
        <f>IF($BM68=0,"",SUM($G$2:G68))</f>
        <v/>
      </c>
      <c r="I68" s="23">
        <f>IF($BM68=0,"",SUMIFS(Entries!$G$2:$G$5000,Entries!$A$2:$A$5000,"&gt;="&amp;$A68,Entries!$A$2:$A$5000,"&lt;"&amp;EDATE($A68,1)))</f>
        <v/>
      </c>
      <c r="J68" s="23">
        <f>IF($BM68=0,NA(),H68)</f>
        <v/>
      </c>
      <c r="K68" s="23">
        <f>IF($BM68=0,"",SUMIFS(Entries!$E$2:$E$5000,Entries!$C$2:$C$5000,"Income",Entries!$A$2:$A$5000,"&gt;="&amp;EDATE($A68,-11),Entries!$A$2:$A$5000,"&lt;"&amp;EDATE($A68,1))/COUNTIFS($A$2:$A$400,"&gt;="&amp;EDATE($A68,-11),$A$2:$A$400,"&lt;"&amp;EDATE($A68,1),$BM$2:$BM$400,"&gt;0"))</f>
      </c>
      <c r="L68" s="23">
        <f>IF($BM68=0,"",(SUMIFS(Entries!$E$2:$E$5000,Entries!$C$2:$C$5000,"Actual",Entries!$A$2:$A$5000,"&gt;="&amp;EDATE($A68,-11),Entries!$A$2:$A$5000,"&lt;"&amp;EDATE($A68,1))+SUMIFS(Entries!$E$2:$E$5000,Entries!$C$2:$C$5000,"One-off",Entries!$A$2:$A$5000,"&gt;="&amp;EDATE($A68,-11),Entries!$A$2:$A$5000,"&lt;"&amp;EDATE($A68,1)))/COUNTIFS($A$2:$A$400,"&gt;="&amp;EDATE($A68,-11),$A$2:$A$400,"&lt;"&amp;EDATE($A68,1),$BM$2:$BM$400,"&gt;0"))</f>
      </c>
      <c r="M68" s="24">
        <f>IF($BM68=0,NA(),IFERROR((K68-L68)/K68,0))</f>
        <v/>
      </c>
      <c r="N68" s="23">
        <f>IF($BM68=0,NA(),SUMIFS(Entries!$E$2:$E$5000,Entries!$D$2:$D$5000,"Core",Entries!$A$2:$A$5000,"&gt;="&amp;$A68,Entries!$A$2:$A$5000,"&lt;"&amp;EDATE($A68,1)))</f>
        <v/>
      </c>
      <c r="O68" s="23">
        <f>IF($BM68=0,NA(),SUMIFS(Entries!$E$2:$E$5000,Entries!$D$2:$D$5000,"Over &amp; above",Entries!$A$2:$A$5000,"&gt;="&amp;$A68,Entries!$A$2:$A$5000,"&lt;"&amp;EDATE($A68,1)))</f>
        <v/>
      </c>
      <c r="P68" s="23">
        <f>IF($BM68=0,NA(),SUMIFS(Entries!$E$2:$E$5000,Entries!$D$2:$D$5000,"One-off",Entries!$A$2:$A$5000,"&gt;="&amp;$A68,Entries!$A$2:$A$5000,"&lt;"&amp;EDATE($A68,1)))</f>
        <v/>
      </c>
      <c r="Q68" s="23">
        <f>IF($BM68=0,NA(),SUMIFS(Entries!$E$2:$E$5000,Entries!$D$2:$D$5000,"Reimbursable",Entries!$A$2:$A$5000,"&gt;="&amp;$A68,Entries!$A$2:$A$5000,"&lt;"&amp;EDATE($A68,1)))</f>
        <v/>
      </c>
      <c r="R68" s="23">
        <f>IF($BM68=0,NA(),SUMIFS(Entries!$E$2:$E$5000,Entries!$D$2:$D$5000,"Investment",Entries!$A$2:$A$5000,"&gt;="&amp;$A68,Entries!$A$2:$A$5000,"&lt;"&amp;EDATE($A68,1)))</f>
        <v/>
      </c>
      <c r="S68" s="23">
        <f>IF($BM68=0,NA(),N68+O68)</f>
        <v/>
      </c>
      <c r="T68" s="23">
        <f>IF($BM68=0,"",E68-Q68)</f>
        <v/>
      </c>
      <c r="W68" s="23">
        <f>IF(OR(W$1="",$BM68=0),"",SUMIFS(Entries!$E$2:$E$5000,Entries!$C$2:$C$5000,"Actual",Entries!$A$2:$A$5000,"&gt;="&amp;$A68,Entries!$A$2:$A$5000,"&lt;"&amp;EDATE($A68,1),Entries!$B$2:$B$5000,W$1))</f>
        <v/>
      </c>
      <c r="X68" s="23">
        <f>IF(OR(X$1="",$BM68=0),"",SUMIFS(Entries!$E$2:$E$5000,Entries!$C$2:$C$5000,"Actual",Entries!$A$2:$A$5000,"&gt;="&amp;$A68,Entries!$A$2:$A$5000,"&lt;"&amp;EDATE($A68,1),Entries!$B$2:$B$5000,X$1))</f>
        <v/>
      </c>
      <c r="Y68" s="23">
        <f>IF(OR(Y$1="",$BM68=0),"",SUMIFS(Entries!$E$2:$E$5000,Entries!$C$2:$C$5000,"Actual",Entries!$A$2:$A$5000,"&gt;="&amp;$A68,Entries!$A$2:$A$5000,"&lt;"&amp;EDATE($A68,1),Entries!$B$2:$B$5000,Y$1))</f>
        <v/>
      </c>
      <c r="Z68" s="23">
        <f>IF(OR(Z$1="",$BM68=0),"",SUMIFS(Entries!$E$2:$E$5000,Entries!$C$2:$C$5000,"Actual",Entries!$A$2:$A$5000,"&gt;="&amp;$A68,Entries!$A$2:$A$5000,"&lt;"&amp;EDATE($A68,1),Entries!$B$2:$B$5000,Z$1))</f>
        <v/>
      </c>
      <c r="AA68" s="23">
        <f>IF(OR(AA$1="",$BM68=0),"",SUMIFS(Entries!$E$2:$E$5000,Entries!$C$2:$C$5000,"Actual",Entries!$A$2:$A$5000,"&gt;="&amp;$A68,Entries!$A$2:$A$5000,"&lt;"&amp;EDATE($A68,1),Entries!$B$2:$B$5000,AA$1))</f>
        <v/>
      </c>
      <c r="AB68" s="23">
        <f>IF(OR(AB$1="",$BM68=0),"",SUMIFS(Entries!$E$2:$E$5000,Entries!$C$2:$C$5000,"Actual",Entries!$A$2:$A$5000,"&gt;="&amp;$A68,Entries!$A$2:$A$5000,"&lt;"&amp;EDATE($A68,1),Entries!$B$2:$B$5000,AB$1))</f>
        <v/>
      </c>
      <c r="AC68" s="23">
        <f>IF(OR(AC$1="",$BM68=0),"",SUMIFS(Entries!$E$2:$E$5000,Entries!$C$2:$C$5000,"Actual",Entries!$A$2:$A$5000,"&gt;="&amp;$A68,Entries!$A$2:$A$5000,"&lt;"&amp;EDATE($A68,1),Entries!$B$2:$B$5000,AC$1))</f>
        <v/>
      </c>
      <c r="AD68" s="23">
        <f>IF(OR(AD$1="",$BM68=0),"",SUMIFS(Entries!$E$2:$E$5000,Entries!$C$2:$C$5000,"Actual",Entries!$A$2:$A$5000,"&gt;="&amp;$A68,Entries!$A$2:$A$5000,"&lt;"&amp;EDATE($A68,1),Entries!$B$2:$B$5000,AD$1))</f>
        <v/>
      </c>
      <c r="AE68" s="23">
        <f>IF(OR(AE$1="",$BM68=0),"",SUMIFS(Entries!$E$2:$E$5000,Entries!$C$2:$C$5000,"Actual",Entries!$A$2:$A$5000,"&gt;="&amp;$A68,Entries!$A$2:$A$5000,"&lt;"&amp;EDATE($A68,1),Entries!$B$2:$B$5000,AE$1))</f>
        <v/>
      </c>
      <c r="AF68" s="23">
        <f>IF(OR(AF$1="",$BM68=0),"",SUMIFS(Entries!$E$2:$E$5000,Entries!$C$2:$C$5000,"Actual",Entries!$A$2:$A$5000,"&gt;="&amp;$A68,Entries!$A$2:$A$5000,"&lt;"&amp;EDATE($A68,1),Entries!$B$2:$B$5000,AF$1))</f>
        <v/>
      </c>
      <c r="AG68" s="23">
        <f>IF(OR(AG$1="",$BM68=0),"",SUMIFS(Entries!$E$2:$E$5000,Entries!$C$2:$C$5000,"Actual",Entries!$A$2:$A$5000,"&gt;="&amp;$A68,Entries!$A$2:$A$5000,"&lt;"&amp;EDATE($A68,1),Entries!$B$2:$B$5000,AG$1))</f>
        <v/>
      </c>
      <c r="AH68" s="23">
        <f>IF(OR(AH$1="",$BM68=0),"",SUMIFS(Entries!$E$2:$E$5000,Entries!$C$2:$C$5000,"Actual",Entries!$A$2:$A$5000,"&gt;="&amp;$A68,Entries!$A$2:$A$5000,"&lt;"&amp;EDATE($A68,1),Entries!$B$2:$B$5000,AH$1))</f>
        <v/>
      </c>
      <c r="AI68" s="23">
        <f>IF(OR(AI$1="",$BM68=0),"",SUMIFS(Entries!$E$2:$E$5000,Entries!$C$2:$C$5000,"Actual",Entries!$A$2:$A$5000,"&gt;="&amp;$A68,Entries!$A$2:$A$5000,"&lt;"&amp;EDATE($A68,1),Entries!$B$2:$B$5000,AI$1))</f>
        <v/>
      </c>
      <c r="AJ68" s="23">
        <f>IF(OR(AJ$1="",$BM68=0),"",SUMIFS(Entries!$E$2:$E$5000,Entries!$C$2:$C$5000,"Actual",Entries!$A$2:$A$5000,"&gt;="&amp;$A68,Entries!$A$2:$A$5000,"&lt;"&amp;EDATE($A68,1),Entries!$B$2:$B$5000,AJ$1))</f>
        <v/>
      </c>
      <c r="AK68" s="23">
        <f>IF(OR(AK$1="",$BM68=0),"",SUMIFS(Entries!$E$2:$E$5000,Entries!$C$2:$C$5000,"Actual",Entries!$A$2:$A$5000,"&gt;="&amp;$A68,Entries!$A$2:$A$5000,"&lt;"&amp;EDATE($A68,1),Entries!$B$2:$B$5000,AK$1))</f>
        <v/>
      </c>
      <c r="AL68" s="23">
        <f>IF(OR(AL$1="",$BM68=0),"",SUMIFS(Entries!$E$2:$E$5000,Entries!$C$2:$C$5000,"Actual",Entries!$A$2:$A$5000,"&gt;="&amp;$A68,Entries!$A$2:$A$5000,"&lt;"&amp;EDATE($A68,1),Entries!$B$2:$B$5000,AL$1))</f>
        <v/>
      </c>
      <c r="AM68" s="23">
        <f>IF(OR(AM$1="",$BM68=0),"",SUMIFS(Entries!$E$2:$E$5000,Entries!$C$2:$C$5000,"Actual",Entries!$A$2:$A$5000,"&gt;="&amp;$A68,Entries!$A$2:$A$5000,"&lt;"&amp;EDATE($A68,1),Entries!$B$2:$B$5000,AM$1))</f>
        <v/>
      </c>
      <c r="AN68" s="23">
        <f>IF(OR(AN$1="",$BM68=0),"",SUMIFS(Entries!$E$2:$E$5000,Entries!$C$2:$C$5000,"Actual",Entries!$A$2:$A$5000,"&gt;="&amp;$A68,Entries!$A$2:$A$5000,"&lt;"&amp;EDATE($A68,1),Entries!$B$2:$B$5000,AN$1))</f>
        <v/>
      </c>
      <c r="AO68" s="23">
        <f>IF(OR(AO$1="",$BM68=0),"",SUMIFS(Entries!$E$2:$E$5000,Entries!$C$2:$C$5000,"Actual",Entries!$A$2:$A$5000,"&gt;="&amp;$A68,Entries!$A$2:$A$5000,"&lt;"&amp;EDATE($A68,1),Entries!$B$2:$B$5000,AO$1))</f>
        <v/>
      </c>
      <c r="AP68" s="23">
        <f>IF(OR(AP$1="",$BM68=0),"",SUMIFS(Entries!$E$2:$E$5000,Entries!$C$2:$C$5000,"Actual",Entries!$A$2:$A$5000,"&gt;="&amp;$A68,Entries!$A$2:$A$5000,"&lt;"&amp;EDATE($A68,1),Entries!$B$2:$B$5000,AP$1))</f>
        <v/>
      </c>
      <c r="AR68" s="23">
        <f>IF(OR(AR$1="",$BM68=0),"",IFERROR(LOOKUP(2,1/((Budgets!$A$2:$A$200=AR$1)*(Budgets!$B$2:$B$200&lt;EDATE($A68,1))),Budgets!$C$2:$C$200),0))</f>
        <v/>
      </c>
      <c r="AS68" s="23">
        <f>IF(OR(AS$1="",$BM68=0),"",IFERROR(LOOKUP(2,1/((Budgets!$A$2:$A$200=AS$1)*(Budgets!$B$2:$B$200&lt;EDATE($A68,1))),Budgets!$C$2:$C$200),0))</f>
        <v/>
      </c>
      <c r="AT68" s="23">
        <f>IF(OR(AT$1="",$BM68=0),"",IFERROR(LOOKUP(2,1/((Budgets!$A$2:$A$200=AT$1)*(Budgets!$B$2:$B$200&lt;EDATE($A68,1))),Budgets!$C$2:$C$200),0))</f>
        <v/>
      </c>
      <c r="AU68" s="23">
        <f>IF(OR(AU$1="",$BM68=0),"",IFERROR(LOOKUP(2,1/((Budgets!$A$2:$A$200=AU$1)*(Budgets!$B$2:$B$200&lt;EDATE($A68,1))),Budgets!$C$2:$C$200),0))</f>
        <v/>
      </c>
      <c r="AV68" s="23">
        <f>IF(OR(AV$1="",$BM68=0),"",IFERROR(LOOKUP(2,1/((Budgets!$A$2:$A$200=AV$1)*(Budgets!$B$2:$B$200&lt;EDATE($A68,1))),Budgets!$C$2:$C$200),0))</f>
        <v/>
      </c>
      <c r="AW68" s="23">
        <f>IF(OR(AW$1="",$BM68=0),"",IFERROR(LOOKUP(2,1/((Budgets!$A$2:$A$200=AW$1)*(Budgets!$B$2:$B$200&lt;EDATE($A68,1))),Budgets!$C$2:$C$200),0))</f>
        <v/>
      </c>
      <c r="AX68" s="23">
        <f>IF(OR(AX$1="",$BM68=0),"",IFERROR(LOOKUP(2,1/((Budgets!$A$2:$A$200=AX$1)*(Budgets!$B$2:$B$200&lt;EDATE($A68,1))),Budgets!$C$2:$C$200),0))</f>
        <v/>
      </c>
      <c r="AY68" s="23">
        <f>IF(OR(AY$1="",$BM68=0),"",IFERROR(LOOKUP(2,1/((Budgets!$A$2:$A$200=AY$1)*(Budgets!$B$2:$B$200&lt;EDATE($A68,1))),Budgets!$C$2:$C$200),0))</f>
        <v/>
      </c>
      <c r="AZ68" s="23">
        <f>IF(OR(AZ$1="",$BM68=0),"",IFERROR(LOOKUP(2,1/((Budgets!$A$2:$A$200=AZ$1)*(Budgets!$B$2:$B$200&lt;EDATE($A68,1))),Budgets!$C$2:$C$200),0))</f>
        <v/>
      </c>
      <c r="BA68" s="23">
        <f>IF(OR(BA$1="",$BM68=0),"",IFERROR(LOOKUP(2,1/((Budgets!$A$2:$A$200=BA$1)*(Budgets!$B$2:$B$200&lt;EDATE($A68,1))),Budgets!$C$2:$C$200),0))</f>
        <v/>
      </c>
      <c r="BB68" s="23">
        <f>IF(OR(BB$1="",$BM68=0),"",IFERROR(LOOKUP(2,1/((Budgets!$A$2:$A$200=BB$1)*(Budgets!$B$2:$B$200&lt;EDATE($A68,1))),Budgets!$C$2:$C$200),0))</f>
        <v/>
      </c>
      <c r="BC68" s="23">
        <f>IF(OR(BC$1="",$BM68=0),"",IFERROR(LOOKUP(2,1/((Budgets!$A$2:$A$200=BC$1)*(Budgets!$B$2:$B$200&lt;EDATE($A68,1))),Budgets!$C$2:$C$200),0))</f>
        <v/>
      </c>
      <c r="BD68" s="23">
        <f>IF(OR(BD$1="",$BM68=0),"",IFERROR(LOOKUP(2,1/((Budgets!$A$2:$A$200=BD$1)*(Budgets!$B$2:$B$200&lt;EDATE($A68,1))),Budgets!$C$2:$C$200),0))</f>
        <v/>
      </c>
      <c r="BE68" s="23">
        <f>IF(OR(BE$1="",$BM68=0),"",IFERROR(LOOKUP(2,1/((Budgets!$A$2:$A$200=BE$1)*(Budgets!$B$2:$B$200&lt;EDATE($A68,1))),Budgets!$C$2:$C$200),0))</f>
        <v/>
      </c>
      <c r="BF68" s="23">
        <f>IF(OR(BF$1="",$BM68=0),"",IFERROR(LOOKUP(2,1/((Budgets!$A$2:$A$200=BF$1)*(Budgets!$B$2:$B$200&lt;EDATE($A68,1))),Budgets!$C$2:$C$200),0))</f>
        <v/>
      </c>
      <c r="BG68" s="23">
        <f>IF(OR(BG$1="",$BM68=0),"",IFERROR(LOOKUP(2,1/((Budgets!$A$2:$A$200=BG$1)*(Budgets!$B$2:$B$200&lt;EDATE($A68,1))),Budgets!$C$2:$C$200),0))</f>
        <v/>
      </c>
      <c r="BH68" s="23">
        <f>IF(OR(BH$1="",$BM68=0),"",IFERROR(LOOKUP(2,1/((Budgets!$A$2:$A$200=BH$1)*(Budgets!$B$2:$B$200&lt;EDATE($A68,1))),Budgets!$C$2:$C$200),0))</f>
        <v/>
      </c>
      <c r="BI68" s="23">
        <f>IF(OR(BI$1="",$BM68=0),"",IFERROR(LOOKUP(2,1/((Budgets!$A$2:$A$200=BI$1)*(Budgets!$B$2:$B$200&lt;EDATE($A68,1))),Budgets!$C$2:$C$200),0))</f>
        <v/>
      </c>
      <c r="BJ68" s="23">
        <f>IF(OR(BJ$1="",$BM68=0),"",IFERROR(LOOKUP(2,1/((Budgets!$A$2:$A$200=BJ$1)*(Budgets!$B$2:$B$200&lt;EDATE($A68,1))),Budgets!$C$2:$C$200),0))</f>
        <v/>
      </c>
      <c r="BK68" s="23">
        <f>IF(OR(BK$1="",$BM68=0),"",IFERROR(LOOKUP(2,1/((Budgets!$A$2:$A$200=BK$1)*(Budgets!$B$2:$B$200&lt;EDATE($A68,1))),Budgets!$C$2:$C$200),0))</f>
        <v/>
      </c>
      <c r="BM68" s="21">
        <f>COUNTIFS(Entries!$A$2:$A$5000,"&gt;="&amp;$A68,Entries!$A$2:$A$5000,"&lt;"&amp;EDATE($A68,1))</f>
        <v/>
      </c>
    </row>
    <row r="69">
      <c r="A69" s="22" t="n">
        <v>41487</v>
      </c>
      <c r="B69" s="23">
        <f>IF($BM69=0,NA(),SUMIFS(Entries!$E$2:$E$5000,Entries!$C$2:$C$5000,"Income",Entries!$A$2:$A$5000,"&gt;="&amp;$A69,Entries!$A$2:$A$5000,"&lt;"&amp;EDATE($A69,1)))</f>
        <v/>
      </c>
      <c r="C69" s="23">
        <f>IF($BM69=0,"",SUMIFS(Entries!$E$2:$E$5000,Entries!$C$2:$C$5000,"Actual",Entries!$A$2:$A$5000,"&gt;="&amp;$A69,Entries!$A$2:$A$5000,"&lt;"&amp;EDATE($A69,1)))</f>
        <v/>
      </c>
      <c r="D69" s="23">
        <f>IF($BM69=0,"",SUMIFS(Entries!$E$2:$E$5000,Entries!$C$2:$C$5000,"One-off",Entries!$A$2:$A$5000,"&gt;="&amp;$A69,Entries!$A$2:$A$5000,"&lt;"&amp;EDATE($A69,1)))</f>
        <v/>
      </c>
      <c r="E69" s="23">
        <f>IF($BM69=0,NA(),C69+D69)</f>
        <v/>
      </c>
      <c r="F69" s="23">
        <f>IF($BM69=0,"",SUM(AR69:BK69))</f>
        <v/>
      </c>
      <c r="G69" s="23">
        <f>IF($BM69=0,"",B69-E69)</f>
        <v/>
      </c>
      <c r="H69" s="23">
        <f>IF($BM69=0,"",SUM($G$2:G69))</f>
        <v/>
      </c>
      <c r="I69" s="23">
        <f>IF($BM69=0,"",SUMIFS(Entries!$G$2:$G$5000,Entries!$A$2:$A$5000,"&gt;="&amp;$A69,Entries!$A$2:$A$5000,"&lt;"&amp;EDATE($A69,1)))</f>
        <v/>
      </c>
      <c r="J69" s="23">
        <f>IF($BM69=0,NA(),H69)</f>
        <v/>
      </c>
      <c r="K69" s="23">
        <f>IF($BM69=0,"",SUMIFS(Entries!$E$2:$E$5000,Entries!$C$2:$C$5000,"Income",Entries!$A$2:$A$5000,"&gt;="&amp;EDATE($A69,-11),Entries!$A$2:$A$5000,"&lt;"&amp;EDATE($A69,1))/COUNTIFS($A$2:$A$400,"&gt;="&amp;EDATE($A69,-11),$A$2:$A$400,"&lt;"&amp;EDATE($A69,1),$BM$2:$BM$400,"&gt;0"))</f>
      </c>
      <c r="L69" s="23">
        <f>IF($BM69=0,"",(SUMIFS(Entries!$E$2:$E$5000,Entries!$C$2:$C$5000,"Actual",Entries!$A$2:$A$5000,"&gt;="&amp;EDATE($A69,-11),Entries!$A$2:$A$5000,"&lt;"&amp;EDATE($A69,1))+SUMIFS(Entries!$E$2:$E$5000,Entries!$C$2:$C$5000,"One-off",Entries!$A$2:$A$5000,"&gt;="&amp;EDATE($A69,-11),Entries!$A$2:$A$5000,"&lt;"&amp;EDATE($A69,1)))/COUNTIFS($A$2:$A$400,"&gt;="&amp;EDATE($A69,-11),$A$2:$A$400,"&lt;"&amp;EDATE($A69,1),$BM$2:$BM$400,"&gt;0"))</f>
      </c>
      <c r="M69" s="24">
        <f>IF($BM69=0,NA(),IFERROR((K69-L69)/K69,0))</f>
        <v/>
      </c>
      <c r="N69" s="23">
        <f>IF($BM69=0,NA(),SUMIFS(Entries!$E$2:$E$5000,Entries!$D$2:$D$5000,"Core",Entries!$A$2:$A$5000,"&gt;="&amp;$A69,Entries!$A$2:$A$5000,"&lt;"&amp;EDATE($A69,1)))</f>
        <v/>
      </c>
      <c r="O69" s="23">
        <f>IF($BM69=0,NA(),SUMIFS(Entries!$E$2:$E$5000,Entries!$D$2:$D$5000,"Over &amp; above",Entries!$A$2:$A$5000,"&gt;="&amp;$A69,Entries!$A$2:$A$5000,"&lt;"&amp;EDATE($A69,1)))</f>
        <v/>
      </c>
      <c r="P69" s="23">
        <f>IF($BM69=0,NA(),SUMIFS(Entries!$E$2:$E$5000,Entries!$D$2:$D$5000,"One-off",Entries!$A$2:$A$5000,"&gt;="&amp;$A69,Entries!$A$2:$A$5000,"&lt;"&amp;EDATE($A69,1)))</f>
        <v/>
      </c>
      <c r="Q69" s="23">
        <f>IF($BM69=0,NA(),SUMIFS(Entries!$E$2:$E$5000,Entries!$D$2:$D$5000,"Reimbursable",Entries!$A$2:$A$5000,"&gt;="&amp;$A69,Entries!$A$2:$A$5000,"&lt;"&amp;EDATE($A69,1)))</f>
        <v/>
      </c>
      <c r="R69" s="23">
        <f>IF($BM69=0,NA(),SUMIFS(Entries!$E$2:$E$5000,Entries!$D$2:$D$5000,"Investment",Entries!$A$2:$A$5000,"&gt;="&amp;$A69,Entries!$A$2:$A$5000,"&lt;"&amp;EDATE($A69,1)))</f>
        <v/>
      </c>
      <c r="S69" s="23">
        <f>IF($BM69=0,NA(),N69+O69)</f>
        <v/>
      </c>
      <c r="T69" s="23">
        <f>IF($BM69=0,"",E69-Q69)</f>
        <v/>
      </c>
      <c r="W69" s="23">
        <f>IF(OR(W$1="",$BM69=0),"",SUMIFS(Entries!$E$2:$E$5000,Entries!$C$2:$C$5000,"Actual",Entries!$A$2:$A$5000,"&gt;="&amp;$A69,Entries!$A$2:$A$5000,"&lt;"&amp;EDATE($A69,1),Entries!$B$2:$B$5000,W$1))</f>
        <v/>
      </c>
      <c r="X69" s="23">
        <f>IF(OR(X$1="",$BM69=0),"",SUMIFS(Entries!$E$2:$E$5000,Entries!$C$2:$C$5000,"Actual",Entries!$A$2:$A$5000,"&gt;="&amp;$A69,Entries!$A$2:$A$5000,"&lt;"&amp;EDATE($A69,1),Entries!$B$2:$B$5000,X$1))</f>
        <v/>
      </c>
      <c r="Y69" s="23">
        <f>IF(OR(Y$1="",$BM69=0),"",SUMIFS(Entries!$E$2:$E$5000,Entries!$C$2:$C$5000,"Actual",Entries!$A$2:$A$5000,"&gt;="&amp;$A69,Entries!$A$2:$A$5000,"&lt;"&amp;EDATE($A69,1),Entries!$B$2:$B$5000,Y$1))</f>
        <v/>
      </c>
      <c r="Z69" s="23">
        <f>IF(OR(Z$1="",$BM69=0),"",SUMIFS(Entries!$E$2:$E$5000,Entries!$C$2:$C$5000,"Actual",Entries!$A$2:$A$5000,"&gt;="&amp;$A69,Entries!$A$2:$A$5000,"&lt;"&amp;EDATE($A69,1),Entries!$B$2:$B$5000,Z$1))</f>
        <v/>
      </c>
      <c r="AA69" s="23">
        <f>IF(OR(AA$1="",$BM69=0),"",SUMIFS(Entries!$E$2:$E$5000,Entries!$C$2:$C$5000,"Actual",Entries!$A$2:$A$5000,"&gt;="&amp;$A69,Entries!$A$2:$A$5000,"&lt;"&amp;EDATE($A69,1),Entries!$B$2:$B$5000,AA$1))</f>
        <v/>
      </c>
      <c r="AB69" s="23">
        <f>IF(OR(AB$1="",$BM69=0),"",SUMIFS(Entries!$E$2:$E$5000,Entries!$C$2:$C$5000,"Actual",Entries!$A$2:$A$5000,"&gt;="&amp;$A69,Entries!$A$2:$A$5000,"&lt;"&amp;EDATE($A69,1),Entries!$B$2:$B$5000,AB$1))</f>
        <v/>
      </c>
      <c r="AC69" s="23">
        <f>IF(OR(AC$1="",$BM69=0),"",SUMIFS(Entries!$E$2:$E$5000,Entries!$C$2:$C$5000,"Actual",Entries!$A$2:$A$5000,"&gt;="&amp;$A69,Entries!$A$2:$A$5000,"&lt;"&amp;EDATE($A69,1),Entries!$B$2:$B$5000,AC$1))</f>
        <v/>
      </c>
      <c r="AD69" s="23">
        <f>IF(OR(AD$1="",$BM69=0),"",SUMIFS(Entries!$E$2:$E$5000,Entries!$C$2:$C$5000,"Actual",Entries!$A$2:$A$5000,"&gt;="&amp;$A69,Entries!$A$2:$A$5000,"&lt;"&amp;EDATE($A69,1),Entries!$B$2:$B$5000,AD$1))</f>
        <v/>
      </c>
      <c r="AE69" s="23">
        <f>IF(OR(AE$1="",$BM69=0),"",SUMIFS(Entries!$E$2:$E$5000,Entries!$C$2:$C$5000,"Actual",Entries!$A$2:$A$5000,"&gt;="&amp;$A69,Entries!$A$2:$A$5000,"&lt;"&amp;EDATE($A69,1),Entries!$B$2:$B$5000,AE$1))</f>
        <v/>
      </c>
      <c r="AF69" s="23">
        <f>IF(OR(AF$1="",$BM69=0),"",SUMIFS(Entries!$E$2:$E$5000,Entries!$C$2:$C$5000,"Actual",Entries!$A$2:$A$5000,"&gt;="&amp;$A69,Entries!$A$2:$A$5000,"&lt;"&amp;EDATE($A69,1),Entries!$B$2:$B$5000,AF$1))</f>
        <v/>
      </c>
      <c r="AG69" s="23">
        <f>IF(OR(AG$1="",$BM69=0),"",SUMIFS(Entries!$E$2:$E$5000,Entries!$C$2:$C$5000,"Actual",Entries!$A$2:$A$5000,"&gt;="&amp;$A69,Entries!$A$2:$A$5000,"&lt;"&amp;EDATE($A69,1),Entries!$B$2:$B$5000,AG$1))</f>
        <v/>
      </c>
      <c r="AH69" s="23">
        <f>IF(OR(AH$1="",$BM69=0),"",SUMIFS(Entries!$E$2:$E$5000,Entries!$C$2:$C$5000,"Actual",Entries!$A$2:$A$5000,"&gt;="&amp;$A69,Entries!$A$2:$A$5000,"&lt;"&amp;EDATE($A69,1),Entries!$B$2:$B$5000,AH$1))</f>
        <v/>
      </c>
      <c r="AI69" s="23">
        <f>IF(OR(AI$1="",$BM69=0),"",SUMIFS(Entries!$E$2:$E$5000,Entries!$C$2:$C$5000,"Actual",Entries!$A$2:$A$5000,"&gt;="&amp;$A69,Entries!$A$2:$A$5000,"&lt;"&amp;EDATE($A69,1),Entries!$B$2:$B$5000,AI$1))</f>
        <v/>
      </c>
      <c r="AJ69" s="23">
        <f>IF(OR(AJ$1="",$BM69=0),"",SUMIFS(Entries!$E$2:$E$5000,Entries!$C$2:$C$5000,"Actual",Entries!$A$2:$A$5000,"&gt;="&amp;$A69,Entries!$A$2:$A$5000,"&lt;"&amp;EDATE($A69,1),Entries!$B$2:$B$5000,AJ$1))</f>
        <v/>
      </c>
      <c r="AK69" s="23">
        <f>IF(OR(AK$1="",$BM69=0),"",SUMIFS(Entries!$E$2:$E$5000,Entries!$C$2:$C$5000,"Actual",Entries!$A$2:$A$5000,"&gt;="&amp;$A69,Entries!$A$2:$A$5000,"&lt;"&amp;EDATE($A69,1),Entries!$B$2:$B$5000,AK$1))</f>
        <v/>
      </c>
      <c r="AL69" s="23">
        <f>IF(OR(AL$1="",$BM69=0),"",SUMIFS(Entries!$E$2:$E$5000,Entries!$C$2:$C$5000,"Actual",Entries!$A$2:$A$5000,"&gt;="&amp;$A69,Entries!$A$2:$A$5000,"&lt;"&amp;EDATE($A69,1),Entries!$B$2:$B$5000,AL$1))</f>
        <v/>
      </c>
      <c r="AM69" s="23">
        <f>IF(OR(AM$1="",$BM69=0),"",SUMIFS(Entries!$E$2:$E$5000,Entries!$C$2:$C$5000,"Actual",Entries!$A$2:$A$5000,"&gt;="&amp;$A69,Entries!$A$2:$A$5000,"&lt;"&amp;EDATE($A69,1),Entries!$B$2:$B$5000,AM$1))</f>
        <v/>
      </c>
      <c r="AN69" s="23">
        <f>IF(OR(AN$1="",$BM69=0),"",SUMIFS(Entries!$E$2:$E$5000,Entries!$C$2:$C$5000,"Actual",Entries!$A$2:$A$5000,"&gt;="&amp;$A69,Entries!$A$2:$A$5000,"&lt;"&amp;EDATE($A69,1),Entries!$B$2:$B$5000,AN$1))</f>
        <v/>
      </c>
      <c r="AO69" s="23">
        <f>IF(OR(AO$1="",$BM69=0),"",SUMIFS(Entries!$E$2:$E$5000,Entries!$C$2:$C$5000,"Actual",Entries!$A$2:$A$5000,"&gt;="&amp;$A69,Entries!$A$2:$A$5000,"&lt;"&amp;EDATE($A69,1),Entries!$B$2:$B$5000,AO$1))</f>
        <v/>
      </c>
      <c r="AP69" s="23">
        <f>IF(OR(AP$1="",$BM69=0),"",SUMIFS(Entries!$E$2:$E$5000,Entries!$C$2:$C$5000,"Actual",Entries!$A$2:$A$5000,"&gt;="&amp;$A69,Entries!$A$2:$A$5000,"&lt;"&amp;EDATE($A69,1),Entries!$B$2:$B$5000,AP$1))</f>
        <v/>
      </c>
      <c r="AR69" s="23">
        <f>IF(OR(AR$1="",$BM69=0),"",IFERROR(LOOKUP(2,1/((Budgets!$A$2:$A$200=AR$1)*(Budgets!$B$2:$B$200&lt;EDATE($A69,1))),Budgets!$C$2:$C$200),0))</f>
        <v/>
      </c>
      <c r="AS69" s="23">
        <f>IF(OR(AS$1="",$BM69=0),"",IFERROR(LOOKUP(2,1/((Budgets!$A$2:$A$200=AS$1)*(Budgets!$B$2:$B$200&lt;EDATE($A69,1))),Budgets!$C$2:$C$200),0))</f>
        <v/>
      </c>
      <c r="AT69" s="23">
        <f>IF(OR(AT$1="",$BM69=0),"",IFERROR(LOOKUP(2,1/((Budgets!$A$2:$A$200=AT$1)*(Budgets!$B$2:$B$200&lt;EDATE($A69,1))),Budgets!$C$2:$C$200),0))</f>
        <v/>
      </c>
      <c r="AU69" s="23">
        <f>IF(OR(AU$1="",$BM69=0),"",IFERROR(LOOKUP(2,1/((Budgets!$A$2:$A$200=AU$1)*(Budgets!$B$2:$B$200&lt;EDATE($A69,1))),Budgets!$C$2:$C$200),0))</f>
        <v/>
      </c>
      <c r="AV69" s="23">
        <f>IF(OR(AV$1="",$BM69=0),"",IFERROR(LOOKUP(2,1/((Budgets!$A$2:$A$200=AV$1)*(Budgets!$B$2:$B$200&lt;EDATE($A69,1))),Budgets!$C$2:$C$200),0))</f>
        <v/>
      </c>
      <c r="AW69" s="23">
        <f>IF(OR(AW$1="",$BM69=0),"",IFERROR(LOOKUP(2,1/((Budgets!$A$2:$A$200=AW$1)*(Budgets!$B$2:$B$200&lt;EDATE($A69,1))),Budgets!$C$2:$C$200),0))</f>
        <v/>
      </c>
      <c r="AX69" s="23">
        <f>IF(OR(AX$1="",$BM69=0),"",IFERROR(LOOKUP(2,1/((Budgets!$A$2:$A$200=AX$1)*(Budgets!$B$2:$B$200&lt;EDATE($A69,1))),Budgets!$C$2:$C$200),0))</f>
        <v/>
      </c>
      <c r="AY69" s="23">
        <f>IF(OR(AY$1="",$BM69=0),"",IFERROR(LOOKUP(2,1/((Budgets!$A$2:$A$200=AY$1)*(Budgets!$B$2:$B$200&lt;EDATE($A69,1))),Budgets!$C$2:$C$200),0))</f>
        <v/>
      </c>
      <c r="AZ69" s="23">
        <f>IF(OR(AZ$1="",$BM69=0),"",IFERROR(LOOKUP(2,1/((Budgets!$A$2:$A$200=AZ$1)*(Budgets!$B$2:$B$200&lt;EDATE($A69,1))),Budgets!$C$2:$C$200),0))</f>
        <v/>
      </c>
      <c r="BA69" s="23">
        <f>IF(OR(BA$1="",$BM69=0),"",IFERROR(LOOKUP(2,1/((Budgets!$A$2:$A$200=BA$1)*(Budgets!$B$2:$B$200&lt;EDATE($A69,1))),Budgets!$C$2:$C$200),0))</f>
        <v/>
      </c>
      <c r="BB69" s="23">
        <f>IF(OR(BB$1="",$BM69=0),"",IFERROR(LOOKUP(2,1/((Budgets!$A$2:$A$200=BB$1)*(Budgets!$B$2:$B$200&lt;EDATE($A69,1))),Budgets!$C$2:$C$200),0))</f>
        <v/>
      </c>
      <c r="BC69" s="23">
        <f>IF(OR(BC$1="",$BM69=0),"",IFERROR(LOOKUP(2,1/((Budgets!$A$2:$A$200=BC$1)*(Budgets!$B$2:$B$200&lt;EDATE($A69,1))),Budgets!$C$2:$C$200),0))</f>
        <v/>
      </c>
      <c r="BD69" s="23">
        <f>IF(OR(BD$1="",$BM69=0),"",IFERROR(LOOKUP(2,1/((Budgets!$A$2:$A$200=BD$1)*(Budgets!$B$2:$B$200&lt;EDATE($A69,1))),Budgets!$C$2:$C$200),0))</f>
        <v/>
      </c>
      <c r="BE69" s="23">
        <f>IF(OR(BE$1="",$BM69=0),"",IFERROR(LOOKUP(2,1/((Budgets!$A$2:$A$200=BE$1)*(Budgets!$B$2:$B$200&lt;EDATE($A69,1))),Budgets!$C$2:$C$200),0))</f>
        <v/>
      </c>
      <c r="BF69" s="23">
        <f>IF(OR(BF$1="",$BM69=0),"",IFERROR(LOOKUP(2,1/((Budgets!$A$2:$A$200=BF$1)*(Budgets!$B$2:$B$200&lt;EDATE($A69,1))),Budgets!$C$2:$C$200),0))</f>
        <v/>
      </c>
      <c r="BG69" s="23">
        <f>IF(OR(BG$1="",$BM69=0),"",IFERROR(LOOKUP(2,1/((Budgets!$A$2:$A$200=BG$1)*(Budgets!$B$2:$B$200&lt;EDATE($A69,1))),Budgets!$C$2:$C$200),0))</f>
        <v/>
      </c>
      <c r="BH69" s="23">
        <f>IF(OR(BH$1="",$BM69=0),"",IFERROR(LOOKUP(2,1/((Budgets!$A$2:$A$200=BH$1)*(Budgets!$B$2:$B$200&lt;EDATE($A69,1))),Budgets!$C$2:$C$200),0))</f>
        <v/>
      </c>
      <c r="BI69" s="23">
        <f>IF(OR(BI$1="",$BM69=0),"",IFERROR(LOOKUP(2,1/((Budgets!$A$2:$A$200=BI$1)*(Budgets!$B$2:$B$200&lt;EDATE($A69,1))),Budgets!$C$2:$C$200),0))</f>
        <v/>
      </c>
      <c r="BJ69" s="23">
        <f>IF(OR(BJ$1="",$BM69=0),"",IFERROR(LOOKUP(2,1/((Budgets!$A$2:$A$200=BJ$1)*(Budgets!$B$2:$B$200&lt;EDATE($A69,1))),Budgets!$C$2:$C$200),0))</f>
        <v/>
      </c>
      <c r="BK69" s="23">
        <f>IF(OR(BK$1="",$BM69=0),"",IFERROR(LOOKUP(2,1/((Budgets!$A$2:$A$200=BK$1)*(Budgets!$B$2:$B$200&lt;EDATE($A69,1))),Budgets!$C$2:$C$200),0))</f>
        <v/>
      </c>
      <c r="BM69" s="21">
        <f>COUNTIFS(Entries!$A$2:$A$5000,"&gt;="&amp;$A69,Entries!$A$2:$A$5000,"&lt;"&amp;EDATE($A69,1))</f>
        <v/>
      </c>
    </row>
    <row r="70">
      <c r="A70" s="22" t="n">
        <v>41518</v>
      </c>
      <c r="B70" s="23">
        <f>IF($BM70=0,NA(),SUMIFS(Entries!$E$2:$E$5000,Entries!$C$2:$C$5000,"Income",Entries!$A$2:$A$5000,"&gt;="&amp;$A70,Entries!$A$2:$A$5000,"&lt;"&amp;EDATE($A70,1)))</f>
        <v/>
      </c>
      <c r="C70" s="23">
        <f>IF($BM70=0,"",SUMIFS(Entries!$E$2:$E$5000,Entries!$C$2:$C$5000,"Actual",Entries!$A$2:$A$5000,"&gt;="&amp;$A70,Entries!$A$2:$A$5000,"&lt;"&amp;EDATE($A70,1)))</f>
        <v/>
      </c>
      <c r="D70" s="23">
        <f>IF($BM70=0,"",SUMIFS(Entries!$E$2:$E$5000,Entries!$C$2:$C$5000,"One-off",Entries!$A$2:$A$5000,"&gt;="&amp;$A70,Entries!$A$2:$A$5000,"&lt;"&amp;EDATE($A70,1)))</f>
        <v/>
      </c>
      <c r="E70" s="23">
        <f>IF($BM70=0,NA(),C70+D70)</f>
        <v/>
      </c>
      <c r="F70" s="23">
        <f>IF($BM70=0,"",SUM(AR70:BK70))</f>
        <v/>
      </c>
      <c r="G70" s="23">
        <f>IF($BM70=0,"",B70-E70)</f>
        <v/>
      </c>
      <c r="H70" s="23">
        <f>IF($BM70=0,"",SUM($G$2:G70))</f>
        <v/>
      </c>
      <c r="I70" s="23">
        <f>IF($BM70=0,"",SUMIFS(Entries!$G$2:$G$5000,Entries!$A$2:$A$5000,"&gt;="&amp;$A70,Entries!$A$2:$A$5000,"&lt;"&amp;EDATE($A70,1)))</f>
        <v/>
      </c>
      <c r="J70" s="23">
        <f>IF($BM70=0,NA(),H70)</f>
        <v/>
      </c>
      <c r="K70" s="23">
        <f>IF($BM70=0,"",SUMIFS(Entries!$E$2:$E$5000,Entries!$C$2:$C$5000,"Income",Entries!$A$2:$A$5000,"&gt;="&amp;EDATE($A70,-11),Entries!$A$2:$A$5000,"&lt;"&amp;EDATE($A70,1))/COUNTIFS($A$2:$A$400,"&gt;="&amp;EDATE($A70,-11),$A$2:$A$400,"&lt;"&amp;EDATE($A70,1),$BM$2:$BM$400,"&gt;0"))</f>
      </c>
      <c r="L70" s="23">
        <f>IF($BM70=0,"",(SUMIFS(Entries!$E$2:$E$5000,Entries!$C$2:$C$5000,"Actual",Entries!$A$2:$A$5000,"&gt;="&amp;EDATE($A70,-11),Entries!$A$2:$A$5000,"&lt;"&amp;EDATE($A70,1))+SUMIFS(Entries!$E$2:$E$5000,Entries!$C$2:$C$5000,"One-off",Entries!$A$2:$A$5000,"&gt;="&amp;EDATE($A70,-11),Entries!$A$2:$A$5000,"&lt;"&amp;EDATE($A70,1)))/COUNTIFS($A$2:$A$400,"&gt;="&amp;EDATE($A70,-11),$A$2:$A$400,"&lt;"&amp;EDATE($A70,1),$BM$2:$BM$400,"&gt;0"))</f>
      </c>
      <c r="M70" s="24">
        <f>IF($BM70=0,NA(),IFERROR((K70-L70)/K70,0))</f>
        <v/>
      </c>
      <c r="N70" s="23">
        <f>IF($BM70=0,NA(),SUMIFS(Entries!$E$2:$E$5000,Entries!$D$2:$D$5000,"Core",Entries!$A$2:$A$5000,"&gt;="&amp;$A70,Entries!$A$2:$A$5000,"&lt;"&amp;EDATE($A70,1)))</f>
        <v/>
      </c>
      <c r="O70" s="23">
        <f>IF($BM70=0,NA(),SUMIFS(Entries!$E$2:$E$5000,Entries!$D$2:$D$5000,"Over &amp; above",Entries!$A$2:$A$5000,"&gt;="&amp;$A70,Entries!$A$2:$A$5000,"&lt;"&amp;EDATE($A70,1)))</f>
        <v/>
      </c>
      <c r="P70" s="23">
        <f>IF($BM70=0,NA(),SUMIFS(Entries!$E$2:$E$5000,Entries!$D$2:$D$5000,"One-off",Entries!$A$2:$A$5000,"&gt;="&amp;$A70,Entries!$A$2:$A$5000,"&lt;"&amp;EDATE($A70,1)))</f>
        <v/>
      </c>
      <c r="Q70" s="23">
        <f>IF($BM70=0,NA(),SUMIFS(Entries!$E$2:$E$5000,Entries!$D$2:$D$5000,"Reimbursable",Entries!$A$2:$A$5000,"&gt;="&amp;$A70,Entries!$A$2:$A$5000,"&lt;"&amp;EDATE($A70,1)))</f>
        <v/>
      </c>
      <c r="R70" s="23">
        <f>IF($BM70=0,NA(),SUMIFS(Entries!$E$2:$E$5000,Entries!$D$2:$D$5000,"Investment",Entries!$A$2:$A$5000,"&gt;="&amp;$A70,Entries!$A$2:$A$5000,"&lt;"&amp;EDATE($A70,1)))</f>
        <v/>
      </c>
      <c r="S70" s="23">
        <f>IF($BM70=0,NA(),N70+O70)</f>
        <v/>
      </c>
      <c r="T70" s="23">
        <f>IF($BM70=0,"",E70-Q70)</f>
        <v/>
      </c>
      <c r="W70" s="23">
        <f>IF(OR(W$1="",$BM70=0),"",SUMIFS(Entries!$E$2:$E$5000,Entries!$C$2:$C$5000,"Actual",Entries!$A$2:$A$5000,"&gt;="&amp;$A70,Entries!$A$2:$A$5000,"&lt;"&amp;EDATE($A70,1),Entries!$B$2:$B$5000,W$1))</f>
        <v/>
      </c>
      <c r="X70" s="23">
        <f>IF(OR(X$1="",$BM70=0),"",SUMIFS(Entries!$E$2:$E$5000,Entries!$C$2:$C$5000,"Actual",Entries!$A$2:$A$5000,"&gt;="&amp;$A70,Entries!$A$2:$A$5000,"&lt;"&amp;EDATE($A70,1),Entries!$B$2:$B$5000,X$1))</f>
        <v/>
      </c>
      <c r="Y70" s="23">
        <f>IF(OR(Y$1="",$BM70=0),"",SUMIFS(Entries!$E$2:$E$5000,Entries!$C$2:$C$5000,"Actual",Entries!$A$2:$A$5000,"&gt;="&amp;$A70,Entries!$A$2:$A$5000,"&lt;"&amp;EDATE($A70,1),Entries!$B$2:$B$5000,Y$1))</f>
        <v/>
      </c>
      <c r="Z70" s="23">
        <f>IF(OR(Z$1="",$BM70=0),"",SUMIFS(Entries!$E$2:$E$5000,Entries!$C$2:$C$5000,"Actual",Entries!$A$2:$A$5000,"&gt;="&amp;$A70,Entries!$A$2:$A$5000,"&lt;"&amp;EDATE($A70,1),Entries!$B$2:$B$5000,Z$1))</f>
        <v/>
      </c>
      <c r="AA70" s="23">
        <f>IF(OR(AA$1="",$BM70=0),"",SUMIFS(Entries!$E$2:$E$5000,Entries!$C$2:$C$5000,"Actual",Entries!$A$2:$A$5000,"&gt;="&amp;$A70,Entries!$A$2:$A$5000,"&lt;"&amp;EDATE($A70,1),Entries!$B$2:$B$5000,AA$1))</f>
        <v/>
      </c>
      <c r="AB70" s="23">
        <f>IF(OR(AB$1="",$BM70=0),"",SUMIFS(Entries!$E$2:$E$5000,Entries!$C$2:$C$5000,"Actual",Entries!$A$2:$A$5000,"&gt;="&amp;$A70,Entries!$A$2:$A$5000,"&lt;"&amp;EDATE($A70,1),Entries!$B$2:$B$5000,AB$1))</f>
        <v/>
      </c>
      <c r="AC70" s="23">
        <f>IF(OR(AC$1="",$BM70=0),"",SUMIFS(Entries!$E$2:$E$5000,Entries!$C$2:$C$5000,"Actual",Entries!$A$2:$A$5000,"&gt;="&amp;$A70,Entries!$A$2:$A$5000,"&lt;"&amp;EDATE($A70,1),Entries!$B$2:$B$5000,AC$1))</f>
        <v/>
      </c>
      <c r="AD70" s="23">
        <f>IF(OR(AD$1="",$BM70=0),"",SUMIFS(Entries!$E$2:$E$5000,Entries!$C$2:$C$5000,"Actual",Entries!$A$2:$A$5000,"&gt;="&amp;$A70,Entries!$A$2:$A$5000,"&lt;"&amp;EDATE($A70,1),Entries!$B$2:$B$5000,AD$1))</f>
        <v/>
      </c>
      <c r="AE70" s="23">
        <f>IF(OR(AE$1="",$BM70=0),"",SUMIFS(Entries!$E$2:$E$5000,Entries!$C$2:$C$5000,"Actual",Entries!$A$2:$A$5000,"&gt;="&amp;$A70,Entries!$A$2:$A$5000,"&lt;"&amp;EDATE($A70,1),Entries!$B$2:$B$5000,AE$1))</f>
        <v/>
      </c>
      <c r="AF70" s="23">
        <f>IF(OR(AF$1="",$BM70=0),"",SUMIFS(Entries!$E$2:$E$5000,Entries!$C$2:$C$5000,"Actual",Entries!$A$2:$A$5000,"&gt;="&amp;$A70,Entries!$A$2:$A$5000,"&lt;"&amp;EDATE($A70,1),Entries!$B$2:$B$5000,AF$1))</f>
        <v/>
      </c>
      <c r="AG70" s="23">
        <f>IF(OR(AG$1="",$BM70=0),"",SUMIFS(Entries!$E$2:$E$5000,Entries!$C$2:$C$5000,"Actual",Entries!$A$2:$A$5000,"&gt;="&amp;$A70,Entries!$A$2:$A$5000,"&lt;"&amp;EDATE($A70,1),Entries!$B$2:$B$5000,AG$1))</f>
        <v/>
      </c>
      <c r="AH70" s="23">
        <f>IF(OR(AH$1="",$BM70=0),"",SUMIFS(Entries!$E$2:$E$5000,Entries!$C$2:$C$5000,"Actual",Entries!$A$2:$A$5000,"&gt;="&amp;$A70,Entries!$A$2:$A$5000,"&lt;"&amp;EDATE($A70,1),Entries!$B$2:$B$5000,AH$1))</f>
        <v/>
      </c>
      <c r="AI70" s="23">
        <f>IF(OR(AI$1="",$BM70=0),"",SUMIFS(Entries!$E$2:$E$5000,Entries!$C$2:$C$5000,"Actual",Entries!$A$2:$A$5000,"&gt;="&amp;$A70,Entries!$A$2:$A$5000,"&lt;"&amp;EDATE($A70,1),Entries!$B$2:$B$5000,AI$1))</f>
        <v/>
      </c>
      <c r="AJ70" s="23">
        <f>IF(OR(AJ$1="",$BM70=0),"",SUMIFS(Entries!$E$2:$E$5000,Entries!$C$2:$C$5000,"Actual",Entries!$A$2:$A$5000,"&gt;="&amp;$A70,Entries!$A$2:$A$5000,"&lt;"&amp;EDATE($A70,1),Entries!$B$2:$B$5000,AJ$1))</f>
        <v/>
      </c>
      <c r="AK70" s="23">
        <f>IF(OR(AK$1="",$BM70=0),"",SUMIFS(Entries!$E$2:$E$5000,Entries!$C$2:$C$5000,"Actual",Entries!$A$2:$A$5000,"&gt;="&amp;$A70,Entries!$A$2:$A$5000,"&lt;"&amp;EDATE($A70,1),Entries!$B$2:$B$5000,AK$1))</f>
        <v/>
      </c>
      <c r="AL70" s="23">
        <f>IF(OR(AL$1="",$BM70=0),"",SUMIFS(Entries!$E$2:$E$5000,Entries!$C$2:$C$5000,"Actual",Entries!$A$2:$A$5000,"&gt;="&amp;$A70,Entries!$A$2:$A$5000,"&lt;"&amp;EDATE($A70,1),Entries!$B$2:$B$5000,AL$1))</f>
        <v/>
      </c>
      <c r="AM70" s="23">
        <f>IF(OR(AM$1="",$BM70=0),"",SUMIFS(Entries!$E$2:$E$5000,Entries!$C$2:$C$5000,"Actual",Entries!$A$2:$A$5000,"&gt;="&amp;$A70,Entries!$A$2:$A$5000,"&lt;"&amp;EDATE($A70,1),Entries!$B$2:$B$5000,AM$1))</f>
        <v/>
      </c>
      <c r="AN70" s="23">
        <f>IF(OR(AN$1="",$BM70=0),"",SUMIFS(Entries!$E$2:$E$5000,Entries!$C$2:$C$5000,"Actual",Entries!$A$2:$A$5000,"&gt;="&amp;$A70,Entries!$A$2:$A$5000,"&lt;"&amp;EDATE($A70,1),Entries!$B$2:$B$5000,AN$1))</f>
        <v/>
      </c>
      <c r="AO70" s="23">
        <f>IF(OR(AO$1="",$BM70=0),"",SUMIFS(Entries!$E$2:$E$5000,Entries!$C$2:$C$5000,"Actual",Entries!$A$2:$A$5000,"&gt;="&amp;$A70,Entries!$A$2:$A$5000,"&lt;"&amp;EDATE($A70,1),Entries!$B$2:$B$5000,AO$1))</f>
        <v/>
      </c>
      <c r="AP70" s="23">
        <f>IF(OR(AP$1="",$BM70=0),"",SUMIFS(Entries!$E$2:$E$5000,Entries!$C$2:$C$5000,"Actual",Entries!$A$2:$A$5000,"&gt;="&amp;$A70,Entries!$A$2:$A$5000,"&lt;"&amp;EDATE($A70,1),Entries!$B$2:$B$5000,AP$1))</f>
        <v/>
      </c>
      <c r="AR70" s="23">
        <f>IF(OR(AR$1="",$BM70=0),"",IFERROR(LOOKUP(2,1/((Budgets!$A$2:$A$200=AR$1)*(Budgets!$B$2:$B$200&lt;EDATE($A70,1))),Budgets!$C$2:$C$200),0))</f>
        <v/>
      </c>
      <c r="AS70" s="23">
        <f>IF(OR(AS$1="",$BM70=0),"",IFERROR(LOOKUP(2,1/((Budgets!$A$2:$A$200=AS$1)*(Budgets!$B$2:$B$200&lt;EDATE($A70,1))),Budgets!$C$2:$C$200),0))</f>
        <v/>
      </c>
      <c r="AT70" s="23">
        <f>IF(OR(AT$1="",$BM70=0),"",IFERROR(LOOKUP(2,1/((Budgets!$A$2:$A$200=AT$1)*(Budgets!$B$2:$B$200&lt;EDATE($A70,1))),Budgets!$C$2:$C$200),0))</f>
        <v/>
      </c>
      <c r="AU70" s="23">
        <f>IF(OR(AU$1="",$BM70=0),"",IFERROR(LOOKUP(2,1/((Budgets!$A$2:$A$200=AU$1)*(Budgets!$B$2:$B$200&lt;EDATE($A70,1))),Budgets!$C$2:$C$200),0))</f>
        <v/>
      </c>
      <c r="AV70" s="23">
        <f>IF(OR(AV$1="",$BM70=0),"",IFERROR(LOOKUP(2,1/((Budgets!$A$2:$A$200=AV$1)*(Budgets!$B$2:$B$200&lt;EDATE($A70,1))),Budgets!$C$2:$C$200),0))</f>
        <v/>
      </c>
      <c r="AW70" s="23">
        <f>IF(OR(AW$1="",$BM70=0),"",IFERROR(LOOKUP(2,1/((Budgets!$A$2:$A$200=AW$1)*(Budgets!$B$2:$B$200&lt;EDATE($A70,1))),Budgets!$C$2:$C$200),0))</f>
        <v/>
      </c>
      <c r="AX70" s="23">
        <f>IF(OR(AX$1="",$BM70=0),"",IFERROR(LOOKUP(2,1/((Budgets!$A$2:$A$200=AX$1)*(Budgets!$B$2:$B$200&lt;EDATE($A70,1))),Budgets!$C$2:$C$200),0))</f>
        <v/>
      </c>
      <c r="AY70" s="23">
        <f>IF(OR(AY$1="",$BM70=0),"",IFERROR(LOOKUP(2,1/((Budgets!$A$2:$A$200=AY$1)*(Budgets!$B$2:$B$200&lt;EDATE($A70,1))),Budgets!$C$2:$C$200),0))</f>
        <v/>
      </c>
      <c r="AZ70" s="23">
        <f>IF(OR(AZ$1="",$BM70=0),"",IFERROR(LOOKUP(2,1/((Budgets!$A$2:$A$200=AZ$1)*(Budgets!$B$2:$B$200&lt;EDATE($A70,1))),Budgets!$C$2:$C$200),0))</f>
        <v/>
      </c>
      <c r="BA70" s="23">
        <f>IF(OR(BA$1="",$BM70=0),"",IFERROR(LOOKUP(2,1/((Budgets!$A$2:$A$200=BA$1)*(Budgets!$B$2:$B$200&lt;EDATE($A70,1))),Budgets!$C$2:$C$200),0))</f>
        <v/>
      </c>
      <c r="BB70" s="23">
        <f>IF(OR(BB$1="",$BM70=0),"",IFERROR(LOOKUP(2,1/((Budgets!$A$2:$A$200=BB$1)*(Budgets!$B$2:$B$200&lt;EDATE($A70,1))),Budgets!$C$2:$C$200),0))</f>
        <v/>
      </c>
      <c r="BC70" s="23">
        <f>IF(OR(BC$1="",$BM70=0),"",IFERROR(LOOKUP(2,1/((Budgets!$A$2:$A$200=BC$1)*(Budgets!$B$2:$B$200&lt;EDATE($A70,1))),Budgets!$C$2:$C$200),0))</f>
        <v/>
      </c>
      <c r="BD70" s="23">
        <f>IF(OR(BD$1="",$BM70=0),"",IFERROR(LOOKUP(2,1/((Budgets!$A$2:$A$200=BD$1)*(Budgets!$B$2:$B$200&lt;EDATE($A70,1))),Budgets!$C$2:$C$200),0))</f>
        <v/>
      </c>
      <c r="BE70" s="23">
        <f>IF(OR(BE$1="",$BM70=0),"",IFERROR(LOOKUP(2,1/((Budgets!$A$2:$A$200=BE$1)*(Budgets!$B$2:$B$200&lt;EDATE($A70,1))),Budgets!$C$2:$C$200),0))</f>
        <v/>
      </c>
      <c r="BF70" s="23">
        <f>IF(OR(BF$1="",$BM70=0),"",IFERROR(LOOKUP(2,1/((Budgets!$A$2:$A$200=BF$1)*(Budgets!$B$2:$B$200&lt;EDATE($A70,1))),Budgets!$C$2:$C$200),0))</f>
        <v/>
      </c>
      <c r="BG70" s="23">
        <f>IF(OR(BG$1="",$BM70=0),"",IFERROR(LOOKUP(2,1/((Budgets!$A$2:$A$200=BG$1)*(Budgets!$B$2:$B$200&lt;EDATE($A70,1))),Budgets!$C$2:$C$200),0))</f>
        <v/>
      </c>
      <c r="BH70" s="23">
        <f>IF(OR(BH$1="",$BM70=0),"",IFERROR(LOOKUP(2,1/((Budgets!$A$2:$A$200=BH$1)*(Budgets!$B$2:$B$200&lt;EDATE($A70,1))),Budgets!$C$2:$C$200),0))</f>
        <v/>
      </c>
      <c r="BI70" s="23">
        <f>IF(OR(BI$1="",$BM70=0),"",IFERROR(LOOKUP(2,1/((Budgets!$A$2:$A$200=BI$1)*(Budgets!$B$2:$B$200&lt;EDATE($A70,1))),Budgets!$C$2:$C$200),0))</f>
        <v/>
      </c>
      <c r="BJ70" s="23">
        <f>IF(OR(BJ$1="",$BM70=0),"",IFERROR(LOOKUP(2,1/((Budgets!$A$2:$A$200=BJ$1)*(Budgets!$B$2:$B$200&lt;EDATE($A70,1))),Budgets!$C$2:$C$200),0))</f>
        <v/>
      </c>
      <c r="BK70" s="23">
        <f>IF(OR(BK$1="",$BM70=0),"",IFERROR(LOOKUP(2,1/((Budgets!$A$2:$A$200=BK$1)*(Budgets!$B$2:$B$200&lt;EDATE($A70,1))),Budgets!$C$2:$C$200),0))</f>
        <v/>
      </c>
      <c r="BM70" s="21">
        <f>COUNTIFS(Entries!$A$2:$A$5000,"&gt;="&amp;$A70,Entries!$A$2:$A$5000,"&lt;"&amp;EDATE($A70,1))</f>
        <v/>
      </c>
    </row>
    <row r="71">
      <c r="A71" s="22" t="n">
        <v>41548</v>
      </c>
      <c r="B71" s="23">
        <f>IF($BM71=0,NA(),SUMIFS(Entries!$E$2:$E$5000,Entries!$C$2:$C$5000,"Income",Entries!$A$2:$A$5000,"&gt;="&amp;$A71,Entries!$A$2:$A$5000,"&lt;"&amp;EDATE($A71,1)))</f>
        <v/>
      </c>
      <c r="C71" s="23">
        <f>IF($BM71=0,"",SUMIFS(Entries!$E$2:$E$5000,Entries!$C$2:$C$5000,"Actual",Entries!$A$2:$A$5000,"&gt;="&amp;$A71,Entries!$A$2:$A$5000,"&lt;"&amp;EDATE($A71,1)))</f>
        <v/>
      </c>
      <c r="D71" s="23">
        <f>IF($BM71=0,"",SUMIFS(Entries!$E$2:$E$5000,Entries!$C$2:$C$5000,"One-off",Entries!$A$2:$A$5000,"&gt;="&amp;$A71,Entries!$A$2:$A$5000,"&lt;"&amp;EDATE($A71,1)))</f>
        <v/>
      </c>
      <c r="E71" s="23">
        <f>IF($BM71=0,NA(),C71+D71)</f>
        <v/>
      </c>
      <c r="F71" s="23">
        <f>IF($BM71=0,"",SUM(AR71:BK71))</f>
        <v/>
      </c>
      <c r="G71" s="23">
        <f>IF($BM71=0,"",B71-E71)</f>
        <v/>
      </c>
      <c r="H71" s="23">
        <f>IF($BM71=0,"",SUM($G$2:G71))</f>
        <v/>
      </c>
      <c r="I71" s="23">
        <f>IF($BM71=0,"",SUMIFS(Entries!$G$2:$G$5000,Entries!$A$2:$A$5000,"&gt;="&amp;$A71,Entries!$A$2:$A$5000,"&lt;"&amp;EDATE($A71,1)))</f>
        <v/>
      </c>
      <c r="J71" s="23">
        <f>IF($BM71=0,NA(),H71)</f>
        <v/>
      </c>
      <c r="K71" s="23">
        <f>IF($BM71=0,"",SUMIFS(Entries!$E$2:$E$5000,Entries!$C$2:$C$5000,"Income",Entries!$A$2:$A$5000,"&gt;="&amp;EDATE($A71,-11),Entries!$A$2:$A$5000,"&lt;"&amp;EDATE($A71,1))/COUNTIFS($A$2:$A$400,"&gt;="&amp;EDATE($A71,-11),$A$2:$A$400,"&lt;"&amp;EDATE($A71,1),$BM$2:$BM$400,"&gt;0"))</f>
      </c>
      <c r="L71" s="23">
        <f>IF($BM71=0,"",(SUMIFS(Entries!$E$2:$E$5000,Entries!$C$2:$C$5000,"Actual",Entries!$A$2:$A$5000,"&gt;="&amp;EDATE($A71,-11),Entries!$A$2:$A$5000,"&lt;"&amp;EDATE($A71,1))+SUMIFS(Entries!$E$2:$E$5000,Entries!$C$2:$C$5000,"One-off",Entries!$A$2:$A$5000,"&gt;="&amp;EDATE($A71,-11),Entries!$A$2:$A$5000,"&lt;"&amp;EDATE($A71,1)))/COUNTIFS($A$2:$A$400,"&gt;="&amp;EDATE($A71,-11),$A$2:$A$400,"&lt;"&amp;EDATE($A71,1),$BM$2:$BM$400,"&gt;0"))</f>
      </c>
      <c r="M71" s="24">
        <f>IF($BM71=0,NA(),IFERROR((K71-L71)/K71,0))</f>
        <v/>
      </c>
      <c r="N71" s="23">
        <f>IF($BM71=0,NA(),SUMIFS(Entries!$E$2:$E$5000,Entries!$D$2:$D$5000,"Core",Entries!$A$2:$A$5000,"&gt;="&amp;$A71,Entries!$A$2:$A$5000,"&lt;"&amp;EDATE($A71,1)))</f>
        <v/>
      </c>
      <c r="O71" s="23">
        <f>IF($BM71=0,NA(),SUMIFS(Entries!$E$2:$E$5000,Entries!$D$2:$D$5000,"Over &amp; above",Entries!$A$2:$A$5000,"&gt;="&amp;$A71,Entries!$A$2:$A$5000,"&lt;"&amp;EDATE($A71,1)))</f>
        <v/>
      </c>
      <c r="P71" s="23">
        <f>IF($BM71=0,NA(),SUMIFS(Entries!$E$2:$E$5000,Entries!$D$2:$D$5000,"One-off",Entries!$A$2:$A$5000,"&gt;="&amp;$A71,Entries!$A$2:$A$5000,"&lt;"&amp;EDATE($A71,1)))</f>
        <v/>
      </c>
      <c r="Q71" s="23">
        <f>IF($BM71=0,NA(),SUMIFS(Entries!$E$2:$E$5000,Entries!$D$2:$D$5000,"Reimbursable",Entries!$A$2:$A$5000,"&gt;="&amp;$A71,Entries!$A$2:$A$5000,"&lt;"&amp;EDATE($A71,1)))</f>
        <v/>
      </c>
      <c r="R71" s="23">
        <f>IF($BM71=0,NA(),SUMIFS(Entries!$E$2:$E$5000,Entries!$D$2:$D$5000,"Investment",Entries!$A$2:$A$5000,"&gt;="&amp;$A71,Entries!$A$2:$A$5000,"&lt;"&amp;EDATE($A71,1)))</f>
        <v/>
      </c>
      <c r="S71" s="23">
        <f>IF($BM71=0,NA(),N71+O71)</f>
        <v/>
      </c>
      <c r="T71" s="23">
        <f>IF($BM71=0,"",E71-Q71)</f>
        <v/>
      </c>
      <c r="W71" s="23">
        <f>IF(OR(W$1="",$BM71=0),"",SUMIFS(Entries!$E$2:$E$5000,Entries!$C$2:$C$5000,"Actual",Entries!$A$2:$A$5000,"&gt;="&amp;$A71,Entries!$A$2:$A$5000,"&lt;"&amp;EDATE($A71,1),Entries!$B$2:$B$5000,W$1))</f>
        <v/>
      </c>
      <c r="X71" s="23">
        <f>IF(OR(X$1="",$BM71=0),"",SUMIFS(Entries!$E$2:$E$5000,Entries!$C$2:$C$5000,"Actual",Entries!$A$2:$A$5000,"&gt;="&amp;$A71,Entries!$A$2:$A$5000,"&lt;"&amp;EDATE($A71,1),Entries!$B$2:$B$5000,X$1))</f>
        <v/>
      </c>
      <c r="Y71" s="23">
        <f>IF(OR(Y$1="",$BM71=0),"",SUMIFS(Entries!$E$2:$E$5000,Entries!$C$2:$C$5000,"Actual",Entries!$A$2:$A$5000,"&gt;="&amp;$A71,Entries!$A$2:$A$5000,"&lt;"&amp;EDATE($A71,1),Entries!$B$2:$B$5000,Y$1))</f>
        <v/>
      </c>
      <c r="Z71" s="23">
        <f>IF(OR(Z$1="",$BM71=0),"",SUMIFS(Entries!$E$2:$E$5000,Entries!$C$2:$C$5000,"Actual",Entries!$A$2:$A$5000,"&gt;="&amp;$A71,Entries!$A$2:$A$5000,"&lt;"&amp;EDATE($A71,1),Entries!$B$2:$B$5000,Z$1))</f>
        <v/>
      </c>
      <c r="AA71" s="23">
        <f>IF(OR(AA$1="",$BM71=0),"",SUMIFS(Entries!$E$2:$E$5000,Entries!$C$2:$C$5000,"Actual",Entries!$A$2:$A$5000,"&gt;="&amp;$A71,Entries!$A$2:$A$5000,"&lt;"&amp;EDATE($A71,1),Entries!$B$2:$B$5000,AA$1))</f>
        <v/>
      </c>
      <c r="AB71" s="23">
        <f>IF(OR(AB$1="",$BM71=0),"",SUMIFS(Entries!$E$2:$E$5000,Entries!$C$2:$C$5000,"Actual",Entries!$A$2:$A$5000,"&gt;="&amp;$A71,Entries!$A$2:$A$5000,"&lt;"&amp;EDATE($A71,1),Entries!$B$2:$B$5000,AB$1))</f>
        <v/>
      </c>
      <c r="AC71" s="23">
        <f>IF(OR(AC$1="",$BM71=0),"",SUMIFS(Entries!$E$2:$E$5000,Entries!$C$2:$C$5000,"Actual",Entries!$A$2:$A$5000,"&gt;="&amp;$A71,Entries!$A$2:$A$5000,"&lt;"&amp;EDATE($A71,1),Entries!$B$2:$B$5000,AC$1))</f>
        <v/>
      </c>
      <c r="AD71" s="23">
        <f>IF(OR(AD$1="",$BM71=0),"",SUMIFS(Entries!$E$2:$E$5000,Entries!$C$2:$C$5000,"Actual",Entries!$A$2:$A$5000,"&gt;="&amp;$A71,Entries!$A$2:$A$5000,"&lt;"&amp;EDATE($A71,1),Entries!$B$2:$B$5000,AD$1))</f>
        <v/>
      </c>
      <c r="AE71" s="23">
        <f>IF(OR(AE$1="",$BM71=0),"",SUMIFS(Entries!$E$2:$E$5000,Entries!$C$2:$C$5000,"Actual",Entries!$A$2:$A$5000,"&gt;="&amp;$A71,Entries!$A$2:$A$5000,"&lt;"&amp;EDATE($A71,1),Entries!$B$2:$B$5000,AE$1))</f>
        <v/>
      </c>
      <c r="AF71" s="23">
        <f>IF(OR(AF$1="",$BM71=0),"",SUMIFS(Entries!$E$2:$E$5000,Entries!$C$2:$C$5000,"Actual",Entries!$A$2:$A$5000,"&gt;="&amp;$A71,Entries!$A$2:$A$5000,"&lt;"&amp;EDATE($A71,1),Entries!$B$2:$B$5000,AF$1))</f>
        <v/>
      </c>
      <c r="AG71" s="23">
        <f>IF(OR(AG$1="",$BM71=0),"",SUMIFS(Entries!$E$2:$E$5000,Entries!$C$2:$C$5000,"Actual",Entries!$A$2:$A$5000,"&gt;="&amp;$A71,Entries!$A$2:$A$5000,"&lt;"&amp;EDATE($A71,1),Entries!$B$2:$B$5000,AG$1))</f>
        <v/>
      </c>
      <c r="AH71" s="23">
        <f>IF(OR(AH$1="",$BM71=0),"",SUMIFS(Entries!$E$2:$E$5000,Entries!$C$2:$C$5000,"Actual",Entries!$A$2:$A$5000,"&gt;="&amp;$A71,Entries!$A$2:$A$5000,"&lt;"&amp;EDATE($A71,1),Entries!$B$2:$B$5000,AH$1))</f>
        <v/>
      </c>
      <c r="AI71" s="23">
        <f>IF(OR(AI$1="",$BM71=0),"",SUMIFS(Entries!$E$2:$E$5000,Entries!$C$2:$C$5000,"Actual",Entries!$A$2:$A$5000,"&gt;="&amp;$A71,Entries!$A$2:$A$5000,"&lt;"&amp;EDATE($A71,1),Entries!$B$2:$B$5000,AI$1))</f>
        <v/>
      </c>
      <c r="AJ71" s="23">
        <f>IF(OR(AJ$1="",$BM71=0),"",SUMIFS(Entries!$E$2:$E$5000,Entries!$C$2:$C$5000,"Actual",Entries!$A$2:$A$5000,"&gt;="&amp;$A71,Entries!$A$2:$A$5000,"&lt;"&amp;EDATE($A71,1),Entries!$B$2:$B$5000,AJ$1))</f>
        <v/>
      </c>
      <c r="AK71" s="23">
        <f>IF(OR(AK$1="",$BM71=0),"",SUMIFS(Entries!$E$2:$E$5000,Entries!$C$2:$C$5000,"Actual",Entries!$A$2:$A$5000,"&gt;="&amp;$A71,Entries!$A$2:$A$5000,"&lt;"&amp;EDATE($A71,1),Entries!$B$2:$B$5000,AK$1))</f>
        <v/>
      </c>
      <c r="AL71" s="23">
        <f>IF(OR(AL$1="",$BM71=0),"",SUMIFS(Entries!$E$2:$E$5000,Entries!$C$2:$C$5000,"Actual",Entries!$A$2:$A$5000,"&gt;="&amp;$A71,Entries!$A$2:$A$5000,"&lt;"&amp;EDATE($A71,1),Entries!$B$2:$B$5000,AL$1))</f>
        <v/>
      </c>
      <c r="AM71" s="23">
        <f>IF(OR(AM$1="",$BM71=0),"",SUMIFS(Entries!$E$2:$E$5000,Entries!$C$2:$C$5000,"Actual",Entries!$A$2:$A$5000,"&gt;="&amp;$A71,Entries!$A$2:$A$5000,"&lt;"&amp;EDATE($A71,1),Entries!$B$2:$B$5000,AM$1))</f>
        <v/>
      </c>
      <c r="AN71" s="23">
        <f>IF(OR(AN$1="",$BM71=0),"",SUMIFS(Entries!$E$2:$E$5000,Entries!$C$2:$C$5000,"Actual",Entries!$A$2:$A$5000,"&gt;="&amp;$A71,Entries!$A$2:$A$5000,"&lt;"&amp;EDATE($A71,1),Entries!$B$2:$B$5000,AN$1))</f>
        <v/>
      </c>
      <c r="AO71" s="23">
        <f>IF(OR(AO$1="",$BM71=0),"",SUMIFS(Entries!$E$2:$E$5000,Entries!$C$2:$C$5000,"Actual",Entries!$A$2:$A$5000,"&gt;="&amp;$A71,Entries!$A$2:$A$5000,"&lt;"&amp;EDATE($A71,1),Entries!$B$2:$B$5000,AO$1))</f>
        <v/>
      </c>
      <c r="AP71" s="23">
        <f>IF(OR(AP$1="",$BM71=0),"",SUMIFS(Entries!$E$2:$E$5000,Entries!$C$2:$C$5000,"Actual",Entries!$A$2:$A$5000,"&gt;="&amp;$A71,Entries!$A$2:$A$5000,"&lt;"&amp;EDATE($A71,1),Entries!$B$2:$B$5000,AP$1))</f>
        <v/>
      </c>
      <c r="AR71" s="23">
        <f>IF(OR(AR$1="",$BM71=0),"",IFERROR(LOOKUP(2,1/((Budgets!$A$2:$A$200=AR$1)*(Budgets!$B$2:$B$200&lt;EDATE($A71,1))),Budgets!$C$2:$C$200),0))</f>
        <v/>
      </c>
      <c r="AS71" s="23">
        <f>IF(OR(AS$1="",$BM71=0),"",IFERROR(LOOKUP(2,1/((Budgets!$A$2:$A$200=AS$1)*(Budgets!$B$2:$B$200&lt;EDATE($A71,1))),Budgets!$C$2:$C$200),0))</f>
        <v/>
      </c>
      <c r="AT71" s="23">
        <f>IF(OR(AT$1="",$BM71=0),"",IFERROR(LOOKUP(2,1/((Budgets!$A$2:$A$200=AT$1)*(Budgets!$B$2:$B$200&lt;EDATE($A71,1))),Budgets!$C$2:$C$200),0))</f>
        <v/>
      </c>
      <c r="AU71" s="23">
        <f>IF(OR(AU$1="",$BM71=0),"",IFERROR(LOOKUP(2,1/((Budgets!$A$2:$A$200=AU$1)*(Budgets!$B$2:$B$200&lt;EDATE($A71,1))),Budgets!$C$2:$C$200),0))</f>
        <v/>
      </c>
      <c r="AV71" s="23">
        <f>IF(OR(AV$1="",$BM71=0),"",IFERROR(LOOKUP(2,1/((Budgets!$A$2:$A$200=AV$1)*(Budgets!$B$2:$B$200&lt;EDATE($A71,1))),Budgets!$C$2:$C$200),0))</f>
        <v/>
      </c>
      <c r="AW71" s="23">
        <f>IF(OR(AW$1="",$BM71=0),"",IFERROR(LOOKUP(2,1/((Budgets!$A$2:$A$200=AW$1)*(Budgets!$B$2:$B$200&lt;EDATE($A71,1))),Budgets!$C$2:$C$200),0))</f>
        <v/>
      </c>
      <c r="AX71" s="23">
        <f>IF(OR(AX$1="",$BM71=0),"",IFERROR(LOOKUP(2,1/((Budgets!$A$2:$A$200=AX$1)*(Budgets!$B$2:$B$200&lt;EDATE($A71,1))),Budgets!$C$2:$C$200),0))</f>
        <v/>
      </c>
      <c r="AY71" s="23">
        <f>IF(OR(AY$1="",$BM71=0),"",IFERROR(LOOKUP(2,1/((Budgets!$A$2:$A$200=AY$1)*(Budgets!$B$2:$B$200&lt;EDATE($A71,1))),Budgets!$C$2:$C$200),0))</f>
        <v/>
      </c>
      <c r="AZ71" s="23">
        <f>IF(OR(AZ$1="",$BM71=0),"",IFERROR(LOOKUP(2,1/((Budgets!$A$2:$A$200=AZ$1)*(Budgets!$B$2:$B$200&lt;EDATE($A71,1))),Budgets!$C$2:$C$200),0))</f>
        <v/>
      </c>
      <c r="BA71" s="23">
        <f>IF(OR(BA$1="",$BM71=0),"",IFERROR(LOOKUP(2,1/((Budgets!$A$2:$A$200=BA$1)*(Budgets!$B$2:$B$200&lt;EDATE($A71,1))),Budgets!$C$2:$C$200),0))</f>
        <v/>
      </c>
      <c r="BB71" s="23">
        <f>IF(OR(BB$1="",$BM71=0),"",IFERROR(LOOKUP(2,1/((Budgets!$A$2:$A$200=BB$1)*(Budgets!$B$2:$B$200&lt;EDATE($A71,1))),Budgets!$C$2:$C$200),0))</f>
        <v/>
      </c>
      <c r="BC71" s="23">
        <f>IF(OR(BC$1="",$BM71=0),"",IFERROR(LOOKUP(2,1/((Budgets!$A$2:$A$200=BC$1)*(Budgets!$B$2:$B$200&lt;EDATE($A71,1))),Budgets!$C$2:$C$200),0))</f>
        <v/>
      </c>
      <c r="BD71" s="23">
        <f>IF(OR(BD$1="",$BM71=0),"",IFERROR(LOOKUP(2,1/((Budgets!$A$2:$A$200=BD$1)*(Budgets!$B$2:$B$200&lt;EDATE($A71,1))),Budgets!$C$2:$C$200),0))</f>
        <v/>
      </c>
      <c r="BE71" s="23">
        <f>IF(OR(BE$1="",$BM71=0),"",IFERROR(LOOKUP(2,1/((Budgets!$A$2:$A$200=BE$1)*(Budgets!$B$2:$B$200&lt;EDATE($A71,1))),Budgets!$C$2:$C$200),0))</f>
        <v/>
      </c>
      <c r="BF71" s="23">
        <f>IF(OR(BF$1="",$BM71=0),"",IFERROR(LOOKUP(2,1/((Budgets!$A$2:$A$200=BF$1)*(Budgets!$B$2:$B$200&lt;EDATE($A71,1))),Budgets!$C$2:$C$200),0))</f>
        <v/>
      </c>
      <c r="BG71" s="23">
        <f>IF(OR(BG$1="",$BM71=0),"",IFERROR(LOOKUP(2,1/((Budgets!$A$2:$A$200=BG$1)*(Budgets!$B$2:$B$200&lt;EDATE($A71,1))),Budgets!$C$2:$C$200),0))</f>
        <v/>
      </c>
      <c r="BH71" s="23">
        <f>IF(OR(BH$1="",$BM71=0),"",IFERROR(LOOKUP(2,1/((Budgets!$A$2:$A$200=BH$1)*(Budgets!$B$2:$B$200&lt;EDATE($A71,1))),Budgets!$C$2:$C$200),0))</f>
        <v/>
      </c>
      <c r="BI71" s="23">
        <f>IF(OR(BI$1="",$BM71=0),"",IFERROR(LOOKUP(2,1/((Budgets!$A$2:$A$200=BI$1)*(Budgets!$B$2:$B$200&lt;EDATE($A71,1))),Budgets!$C$2:$C$200),0))</f>
        <v/>
      </c>
      <c r="BJ71" s="23">
        <f>IF(OR(BJ$1="",$BM71=0),"",IFERROR(LOOKUP(2,1/((Budgets!$A$2:$A$200=BJ$1)*(Budgets!$B$2:$B$200&lt;EDATE($A71,1))),Budgets!$C$2:$C$200),0))</f>
        <v/>
      </c>
      <c r="BK71" s="23">
        <f>IF(OR(BK$1="",$BM71=0),"",IFERROR(LOOKUP(2,1/((Budgets!$A$2:$A$200=BK$1)*(Budgets!$B$2:$B$200&lt;EDATE($A71,1))),Budgets!$C$2:$C$200),0))</f>
        <v/>
      </c>
      <c r="BM71" s="21">
        <f>COUNTIFS(Entries!$A$2:$A$5000,"&gt;="&amp;$A71,Entries!$A$2:$A$5000,"&lt;"&amp;EDATE($A71,1))</f>
        <v/>
      </c>
    </row>
    <row r="72">
      <c r="A72" s="22" t="n">
        <v>41579</v>
      </c>
      <c r="B72" s="23">
        <f>IF($BM72=0,NA(),SUMIFS(Entries!$E$2:$E$5000,Entries!$C$2:$C$5000,"Income",Entries!$A$2:$A$5000,"&gt;="&amp;$A72,Entries!$A$2:$A$5000,"&lt;"&amp;EDATE($A72,1)))</f>
        <v/>
      </c>
      <c r="C72" s="23">
        <f>IF($BM72=0,"",SUMIFS(Entries!$E$2:$E$5000,Entries!$C$2:$C$5000,"Actual",Entries!$A$2:$A$5000,"&gt;="&amp;$A72,Entries!$A$2:$A$5000,"&lt;"&amp;EDATE($A72,1)))</f>
        <v/>
      </c>
      <c r="D72" s="23">
        <f>IF($BM72=0,"",SUMIFS(Entries!$E$2:$E$5000,Entries!$C$2:$C$5000,"One-off",Entries!$A$2:$A$5000,"&gt;="&amp;$A72,Entries!$A$2:$A$5000,"&lt;"&amp;EDATE($A72,1)))</f>
        <v/>
      </c>
      <c r="E72" s="23">
        <f>IF($BM72=0,NA(),C72+D72)</f>
        <v/>
      </c>
      <c r="F72" s="23">
        <f>IF($BM72=0,"",SUM(AR72:BK72))</f>
        <v/>
      </c>
      <c r="G72" s="23">
        <f>IF($BM72=0,"",B72-E72)</f>
        <v/>
      </c>
      <c r="H72" s="23">
        <f>IF($BM72=0,"",SUM($G$2:G72))</f>
        <v/>
      </c>
      <c r="I72" s="23">
        <f>IF($BM72=0,"",SUMIFS(Entries!$G$2:$G$5000,Entries!$A$2:$A$5000,"&gt;="&amp;$A72,Entries!$A$2:$A$5000,"&lt;"&amp;EDATE($A72,1)))</f>
        <v/>
      </c>
      <c r="J72" s="23">
        <f>IF($BM72=0,NA(),H72)</f>
        <v/>
      </c>
      <c r="K72" s="23">
        <f>IF($BM72=0,"",SUMIFS(Entries!$E$2:$E$5000,Entries!$C$2:$C$5000,"Income",Entries!$A$2:$A$5000,"&gt;="&amp;EDATE($A72,-11),Entries!$A$2:$A$5000,"&lt;"&amp;EDATE($A72,1))/COUNTIFS($A$2:$A$400,"&gt;="&amp;EDATE($A72,-11),$A$2:$A$400,"&lt;"&amp;EDATE($A72,1),$BM$2:$BM$400,"&gt;0"))</f>
      </c>
      <c r="L72" s="23">
        <f>IF($BM72=0,"",(SUMIFS(Entries!$E$2:$E$5000,Entries!$C$2:$C$5000,"Actual",Entries!$A$2:$A$5000,"&gt;="&amp;EDATE($A72,-11),Entries!$A$2:$A$5000,"&lt;"&amp;EDATE($A72,1))+SUMIFS(Entries!$E$2:$E$5000,Entries!$C$2:$C$5000,"One-off",Entries!$A$2:$A$5000,"&gt;="&amp;EDATE($A72,-11),Entries!$A$2:$A$5000,"&lt;"&amp;EDATE($A72,1)))/COUNTIFS($A$2:$A$400,"&gt;="&amp;EDATE($A72,-11),$A$2:$A$400,"&lt;"&amp;EDATE($A72,1),$BM$2:$BM$400,"&gt;0"))</f>
      </c>
      <c r="M72" s="24">
        <f>IF($BM72=0,NA(),IFERROR((K72-L72)/K72,0))</f>
        <v/>
      </c>
      <c r="N72" s="23">
        <f>IF($BM72=0,NA(),SUMIFS(Entries!$E$2:$E$5000,Entries!$D$2:$D$5000,"Core",Entries!$A$2:$A$5000,"&gt;="&amp;$A72,Entries!$A$2:$A$5000,"&lt;"&amp;EDATE($A72,1)))</f>
        <v/>
      </c>
      <c r="O72" s="23">
        <f>IF($BM72=0,NA(),SUMIFS(Entries!$E$2:$E$5000,Entries!$D$2:$D$5000,"Over &amp; above",Entries!$A$2:$A$5000,"&gt;="&amp;$A72,Entries!$A$2:$A$5000,"&lt;"&amp;EDATE($A72,1)))</f>
        <v/>
      </c>
      <c r="P72" s="23">
        <f>IF($BM72=0,NA(),SUMIFS(Entries!$E$2:$E$5000,Entries!$D$2:$D$5000,"One-off",Entries!$A$2:$A$5000,"&gt;="&amp;$A72,Entries!$A$2:$A$5000,"&lt;"&amp;EDATE($A72,1)))</f>
        <v/>
      </c>
      <c r="Q72" s="23">
        <f>IF($BM72=0,NA(),SUMIFS(Entries!$E$2:$E$5000,Entries!$D$2:$D$5000,"Reimbursable",Entries!$A$2:$A$5000,"&gt;="&amp;$A72,Entries!$A$2:$A$5000,"&lt;"&amp;EDATE($A72,1)))</f>
        <v/>
      </c>
      <c r="R72" s="23">
        <f>IF($BM72=0,NA(),SUMIFS(Entries!$E$2:$E$5000,Entries!$D$2:$D$5000,"Investment",Entries!$A$2:$A$5000,"&gt;="&amp;$A72,Entries!$A$2:$A$5000,"&lt;"&amp;EDATE($A72,1)))</f>
        <v/>
      </c>
      <c r="S72" s="23">
        <f>IF($BM72=0,NA(),N72+O72)</f>
        <v/>
      </c>
      <c r="T72" s="23">
        <f>IF($BM72=0,"",E72-Q72)</f>
        <v/>
      </c>
      <c r="W72" s="23">
        <f>IF(OR(W$1="",$BM72=0),"",SUMIFS(Entries!$E$2:$E$5000,Entries!$C$2:$C$5000,"Actual",Entries!$A$2:$A$5000,"&gt;="&amp;$A72,Entries!$A$2:$A$5000,"&lt;"&amp;EDATE($A72,1),Entries!$B$2:$B$5000,W$1))</f>
        <v/>
      </c>
      <c r="X72" s="23">
        <f>IF(OR(X$1="",$BM72=0),"",SUMIFS(Entries!$E$2:$E$5000,Entries!$C$2:$C$5000,"Actual",Entries!$A$2:$A$5000,"&gt;="&amp;$A72,Entries!$A$2:$A$5000,"&lt;"&amp;EDATE($A72,1),Entries!$B$2:$B$5000,X$1))</f>
        <v/>
      </c>
      <c r="Y72" s="23">
        <f>IF(OR(Y$1="",$BM72=0),"",SUMIFS(Entries!$E$2:$E$5000,Entries!$C$2:$C$5000,"Actual",Entries!$A$2:$A$5000,"&gt;="&amp;$A72,Entries!$A$2:$A$5000,"&lt;"&amp;EDATE($A72,1),Entries!$B$2:$B$5000,Y$1))</f>
        <v/>
      </c>
      <c r="Z72" s="23">
        <f>IF(OR(Z$1="",$BM72=0),"",SUMIFS(Entries!$E$2:$E$5000,Entries!$C$2:$C$5000,"Actual",Entries!$A$2:$A$5000,"&gt;="&amp;$A72,Entries!$A$2:$A$5000,"&lt;"&amp;EDATE($A72,1),Entries!$B$2:$B$5000,Z$1))</f>
        <v/>
      </c>
      <c r="AA72" s="23">
        <f>IF(OR(AA$1="",$BM72=0),"",SUMIFS(Entries!$E$2:$E$5000,Entries!$C$2:$C$5000,"Actual",Entries!$A$2:$A$5000,"&gt;="&amp;$A72,Entries!$A$2:$A$5000,"&lt;"&amp;EDATE($A72,1),Entries!$B$2:$B$5000,AA$1))</f>
        <v/>
      </c>
      <c r="AB72" s="23">
        <f>IF(OR(AB$1="",$BM72=0),"",SUMIFS(Entries!$E$2:$E$5000,Entries!$C$2:$C$5000,"Actual",Entries!$A$2:$A$5000,"&gt;="&amp;$A72,Entries!$A$2:$A$5000,"&lt;"&amp;EDATE($A72,1),Entries!$B$2:$B$5000,AB$1))</f>
        <v/>
      </c>
      <c r="AC72" s="23">
        <f>IF(OR(AC$1="",$BM72=0),"",SUMIFS(Entries!$E$2:$E$5000,Entries!$C$2:$C$5000,"Actual",Entries!$A$2:$A$5000,"&gt;="&amp;$A72,Entries!$A$2:$A$5000,"&lt;"&amp;EDATE($A72,1),Entries!$B$2:$B$5000,AC$1))</f>
        <v/>
      </c>
      <c r="AD72" s="23">
        <f>IF(OR(AD$1="",$BM72=0),"",SUMIFS(Entries!$E$2:$E$5000,Entries!$C$2:$C$5000,"Actual",Entries!$A$2:$A$5000,"&gt;="&amp;$A72,Entries!$A$2:$A$5000,"&lt;"&amp;EDATE($A72,1),Entries!$B$2:$B$5000,AD$1))</f>
        <v/>
      </c>
      <c r="AE72" s="23">
        <f>IF(OR(AE$1="",$BM72=0),"",SUMIFS(Entries!$E$2:$E$5000,Entries!$C$2:$C$5000,"Actual",Entries!$A$2:$A$5000,"&gt;="&amp;$A72,Entries!$A$2:$A$5000,"&lt;"&amp;EDATE($A72,1),Entries!$B$2:$B$5000,AE$1))</f>
        <v/>
      </c>
      <c r="AF72" s="23">
        <f>IF(OR(AF$1="",$BM72=0),"",SUMIFS(Entries!$E$2:$E$5000,Entries!$C$2:$C$5000,"Actual",Entries!$A$2:$A$5000,"&gt;="&amp;$A72,Entries!$A$2:$A$5000,"&lt;"&amp;EDATE($A72,1),Entries!$B$2:$B$5000,AF$1))</f>
        <v/>
      </c>
      <c r="AG72" s="23">
        <f>IF(OR(AG$1="",$BM72=0),"",SUMIFS(Entries!$E$2:$E$5000,Entries!$C$2:$C$5000,"Actual",Entries!$A$2:$A$5000,"&gt;="&amp;$A72,Entries!$A$2:$A$5000,"&lt;"&amp;EDATE($A72,1),Entries!$B$2:$B$5000,AG$1))</f>
        <v/>
      </c>
      <c r="AH72" s="23">
        <f>IF(OR(AH$1="",$BM72=0),"",SUMIFS(Entries!$E$2:$E$5000,Entries!$C$2:$C$5000,"Actual",Entries!$A$2:$A$5000,"&gt;="&amp;$A72,Entries!$A$2:$A$5000,"&lt;"&amp;EDATE($A72,1),Entries!$B$2:$B$5000,AH$1))</f>
        <v/>
      </c>
      <c r="AI72" s="23">
        <f>IF(OR(AI$1="",$BM72=0),"",SUMIFS(Entries!$E$2:$E$5000,Entries!$C$2:$C$5000,"Actual",Entries!$A$2:$A$5000,"&gt;="&amp;$A72,Entries!$A$2:$A$5000,"&lt;"&amp;EDATE($A72,1),Entries!$B$2:$B$5000,AI$1))</f>
        <v/>
      </c>
      <c r="AJ72" s="23">
        <f>IF(OR(AJ$1="",$BM72=0),"",SUMIFS(Entries!$E$2:$E$5000,Entries!$C$2:$C$5000,"Actual",Entries!$A$2:$A$5000,"&gt;="&amp;$A72,Entries!$A$2:$A$5000,"&lt;"&amp;EDATE($A72,1),Entries!$B$2:$B$5000,AJ$1))</f>
        <v/>
      </c>
      <c r="AK72" s="23">
        <f>IF(OR(AK$1="",$BM72=0),"",SUMIFS(Entries!$E$2:$E$5000,Entries!$C$2:$C$5000,"Actual",Entries!$A$2:$A$5000,"&gt;="&amp;$A72,Entries!$A$2:$A$5000,"&lt;"&amp;EDATE($A72,1),Entries!$B$2:$B$5000,AK$1))</f>
        <v/>
      </c>
      <c r="AL72" s="23">
        <f>IF(OR(AL$1="",$BM72=0),"",SUMIFS(Entries!$E$2:$E$5000,Entries!$C$2:$C$5000,"Actual",Entries!$A$2:$A$5000,"&gt;="&amp;$A72,Entries!$A$2:$A$5000,"&lt;"&amp;EDATE($A72,1),Entries!$B$2:$B$5000,AL$1))</f>
        <v/>
      </c>
      <c r="AM72" s="23">
        <f>IF(OR(AM$1="",$BM72=0),"",SUMIFS(Entries!$E$2:$E$5000,Entries!$C$2:$C$5000,"Actual",Entries!$A$2:$A$5000,"&gt;="&amp;$A72,Entries!$A$2:$A$5000,"&lt;"&amp;EDATE($A72,1),Entries!$B$2:$B$5000,AM$1))</f>
        <v/>
      </c>
      <c r="AN72" s="23">
        <f>IF(OR(AN$1="",$BM72=0),"",SUMIFS(Entries!$E$2:$E$5000,Entries!$C$2:$C$5000,"Actual",Entries!$A$2:$A$5000,"&gt;="&amp;$A72,Entries!$A$2:$A$5000,"&lt;"&amp;EDATE($A72,1),Entries!$B$2:$B$5000,AN$1))</f>
        <v/>
      </c>
      <c r="AO72" s="23">
        <f>IF(OR(AO$1="",$BM72=0),"",SUMIFS(Entries!$E$2:$E$5000,Entries!$C$2:$C$5000,"Actual",Entries!$A$2:$A$5000,"&gt;="&amp;$A72,Entries!$A$2:$A$5000,"&lt;"&amp;EDATE($A72,1),Entries!$B$2:$B$5000,AO$1))</f>
        <v/>
      </c>
      <c r="AP72" s="23">
        <f>IF(OR(AP$1="",$BM72=0),"",SUMIFS(Entries!$E$2:$E$5000,Entries!$C$2:$C$5000,"Actual",Entries!$A$2:$A$5000,"&gt;="&amp;$A72,Entries!$A$2:$A$5000,"&lt;"&amp;EDATE($A72,1),Entries!$B$2:$B$5000,AP$1))</f>
        <v/>
      </c>
      <c r="AR72" s="23">
        <f>IF(OR(AR$1="",$BM72=0),"",IFERROR(LOOKUP(2,1/((Budgets!$A$2:$A$200=AR$1)*(Budgets!$B$2:$B$200&lt;EDATE($A72,1))),Budgets!$C$2:$C$200),0))</f>
        <v/>
      </c>
      <c r="AS72" s="23">
        <f>IF(OR(AS$1="",$BM72=0),"",IFERROR(LOOKUP(2,1/((Budgets!$A$2:$A$200=AS$1)*(Budgets!$B$2:$B$200&lt;EDATE($A72,1))),Budgets!$C$2:$C$200),0))</f>
        <v/>
      </c>
      <c r="AT72" s="23">
        <f>IF(OR(AT$1="",$BM72=0),"",IFERROR(LOOKUP(2,1/((Budgets!$A$2:$A$200=AT$1)*(Budgets!$B$2:$B$200&lt;EDATE($A72,1))),Budgets!$C$2:$C$200),0))</f>
        <v/>
      </c>
      <c r="AU72" s="23">
        <f>IF(OR(AU$1="",$BM72=0),"",IFERROR(LOOKUP(2,1/((Budgets!$A$2:$A$200=AU$1)*(Budgets!$B$2:$B$200&lt;EDATE($A72,1))),Budgets!$C$2:$C$200),0))</f>
        <v/>
      </c>
      <c r="AV72" s="23">
        <f>IF(OR(AV$1="",$BM72=0),"",IFERROR(LOOKUP(2,1/((Budgets!$A$2:$A$200=AV$1)*(Budgets!$B$2:$B$200&lt;EDATE($A72,1))),Budgets!$C$2:$C$200),0))</f>
        <v/>
      </c>
      <c r="AW72" s="23">
        <f>IF(OR(AW$1="",$BM72=0),"",IFERROR(LOOKUP(2,1/((Budgets!$A$2:$A$200=AW$1)*(Budgets!$B$2:$B$200&lt;EDATE($A72,1))),Budgets!$C$2:$C$200),0))</f>
        <v/>
      </c>
      <c r="AX72" s="23">
        <f>IF(OR(AX$1="",$BM72=0),"",IFERROR(LOOKUP(2,1/((Budgets!$A$2:$A$200=AX$1)*(Budgets!$B$2:$B$200&lt;EDATE($A72,1))),Budgets!$C$2:$C$200),0))</f>
        <v/>
      </c>
      <c r="AY72" s="23">
        <f>IF(OR(AY$1="",$BM72=0),"",IFERROR(LOOKUP(2,1/((Budgets!$A$2:$A$200=AY$1)*(Budgets!$B$2:$B$200&lt;EDATE($A72,1))),Budgets!$C$2:$C$200),0))</f>
        <v/>
      </c>
      <c r="AZ72" s="23">
        <f>IF(OR(AZ$1="",$BM72=0),"",IFERROR(LOOKUP(2,1/((Budgets!$A$2:$A$200=AZ$1)*(Budgets!$B$2:$B$200&lt;EDATE($A72,1))),Budgets!$C$2:$C$200),0))</f>
        <v/>
      </c>
      <c r="BA72" s="23">
        <f>IF(OR(BA$1="",$BM72=0),"",IFERROR(LOOKUP(2,1/((Budgets!$A$2:$A$200=BA$1)*(Budgets!$B$2:$B$200&lt;EDATE($A72,1))),Budgets!$C$2:$C$200),0))</f>
        <v/>
      </c>
      <c r="BB72" s="23">
        <f>IF(OR(BB$1="",$BM72=0),"",IFERROR(LOOKUP(2,1/((Budgets!$A$2:$A$200=BB$1)*(Budgets!$B$2:$B$200&lt;EDATE($A72,1))),Budgets!$C$2:$C$200),0))</f>
        <v/>
      </c>
      <c r="BC72" s="23">
        <f>IF(OR(BC$1="",$BM72=0),"",IFERROR(LOOKUP(2,1/((Budgets!$A$2:$A$200=BC$1)*(Budgets!$B$2:$B$200&lt;EDATE($A72,1))),Budgets!$C$2:$C$200),0))</f>
        <v/>
      </c>
      <c r="BD72" s="23">
        <f>IF(OR(BD$1="",$BM72=0),"",IFERROR(LOOKUP(2,1/((Budgets!$A$2:$A$200=BD$1)*(Budgets!$B$2:$B$200&lt;EDATE($A72,1))),Budgets!$C$2:$C$200),0))</f>
        <v/>
      </c>
      <c r="BE72" s="23">
        <f>IF(OR(BE$1="",$BM72=0),"",IFERROR(LOOKUP(2,1/((Budgets!$A$2:$A$200=BE$1)*(Budgets!$B$2:$B$200&lt;EDATE($A72,1))),Budgets!$C$2:$C$200),0))</f>
        <v/>
      </c>
      <c r="BF72" s="23">
        <f>IF(OR(BF$1="",$BM72=0),"",IFERROR(LOOKUP(2,1/((Budgets!$A$2:$A$200=BF$1)*(Budgets!$B$2:$B$200&lt;EDATE($A72,1))),Budgets!$C$2:$C$200),0))</f>
        <v/>
      </c>
      <c r="BG72" s="23">
        <f>IF(OR(BG$1="",$BM72=0),"",IFERROR(LOOKUP(2,1/((Budgets!$A$2:$A$200=BG$1)*(Budgets!$B$2:$B$200&lt;EDATE($A72,1))),Budgets!$C$2:$C$200),0))</f>
        <v/>
      </c>
      <c r="BH72" s="23">
        <f>IF(OR(BH$1="",$BM72=0),"",IFERROR(LOOKUP(2,1/((Budgets!$A$2:$A$200=BH$1)*(Budgets!$B$2:$B$200&lt;EDATE($A72,1))),Budgets!$C$2:$C$200),0))</f>
        <v/>
      </c>
      <c r="BI72" s="23">
        <f>IF(OR(BI$1="",$BM72=0),"",IFERROR(LOOKUP(2,1/((Budgets!$A$2:$A$200=BI$1)*(Budgets!$B$2:$B$200&lt;EDATE($A72,1))),Budgets!$C$2:$C$200),0))</f>
        <v/>
      </c>
      <c r="BJ72" s="23">
        <f>IF(OR(BJ$1="",$BM72=0),"",IFERROR(LOOKUP(2,1/((Budgets!$A$2:$A$200=BJ$1)*(Budgets!$B$2:$B$200&lt;EDATE($A72,1))),Budgets!$C$2:$C$200),0))</f>
        <v/>
      </c>
      <c r="BK72" s="23">
        <f>IF(OR(BK$1="",$BM72=0),"",IFERROR(LOOKUP(2,1/((Budgets!$A$2:$A$200=BK$1)*(Budgets!$B$2:$B$200&lt;EDATE($A72,1))),Budgets!$C$2:$C$200),0))</f>
        <v/>
      </c>
      <c r="BM72" s="21">
        <f>COUNTIFS(Entries!$A$2:$A$5000,"&gt;="&amp;$A72,Entries!$A$2:$A$5000,"&lt;"&amp;EDATE($A72,1))</f>
        <v/>
      </c>
    </row>
    <row r="73">
      <c r="A73" s="22" t="n">
        <v>41609</v>
      </c>
      <c r="B73" s="23">
        <f>IF($BM73=0,NA(),SUMIFS(Entries!$E$2:$E$5000,Entries!$C$2:$C$5000,"Income",Entries!$A$2:$A$5000,"&gt;="&amp;$A73,Entries!$A$2:$A$5000,"&lt;"&amp;EDATE($A73,1)))</f>
        <v/>
      </c>
      <c r="C73" s="23">
        <f>IF($BM73=0,"",SUMIFS(Entries!$E$2:$E$5000,Entries!$C$2:$C$5000,"Actual",Entries!$A$2:$A$5000,"&gt;="&amp;$A73,Entries!$A$2:$A$5000,"&lt;"&amp;EDATE($A73,1)))</f>
        <v/>
      </c>
      <c r="D73" s="23">
        <f>IF($BM73=0,"",SUMIFS(Entries!$E$2:$E$5000,Entries!$C$2:$C$5000,"One-off",Entries!$A$2:$A$5000,"&gt;="&amp;$A73,Entries!$A$2:$A$5000,"&lt;"&amp;EDATE($A73,1)))</f>
        <v/>
      </c>
      <c r="E73" s="23">
        <f>IF($BM73=0,NA(),C73+D73)</f>
        <v/>
      </c>
      <c r="F73" s="23">
        <f>IF($BM73=0,"",SUM(AR73:BK73))</f>
        <v/>
      </c>
      <c r="G73" s="23">
        <f>IF($BM73=0,"",B73-E73)</f>
        <v/>
      </c>
      <c r="H73" s="23">
        <f>IF($BM73=0,"",SUM($G$2:G73))</f>
        <v/>
      </c>
      <c r="I73" s="23">
        <f>IF($BM73=0,"",SUMIFS(Entries!$G$2:$G$5000,Entries!$A$2:$A$5000,"&gt;="&amp;$A73,Entries!$A$2:$A$5000,"&lt;"&amp;EDATE($A73,1)))</f>
        <v/>
      </c>
      <c r="J73" s="23">
        <f>IF($BM73=0,NA(),H73)</f>
        <v/>
      </c>
      <c r="K73" s="23">
        <f>IF($BM73=0,"",SUMIFS(Entries!$E$2:$E$5000,Entries!$C$2:$C$5000,"Income",Entries!$A$2:$A$5000,"&gt;="&amp;EDATE($A73,-11),Entries!$A$2:$A$5000,"&lt;"&amp;EDATE($A73,1))/COUNTIFS($A$2:$A$400,"&gt;="&amp;EDATE($A73,-11),$A$2:$A$400,"&lt;"&amp;EDATE($A73,1),$BM$2:$BM$400,"&gt;0"))</f>
      </c>
      <c r="L73" s="23">
        <f>IF($BM73=0,"",(SUMIFS(Entries!$E$2:$E$5000,Entries!$C$2:$C$5000,"Actual",Entries!$A$2:$A$5000,"&gt;="&amp;EDATE($A73,-11),Entries!$A$2:$A$5000,"&lt;"&amp;EDATE($A73,1))+SUMIFS(Entries!$E$2:$E$5000,Entries!$C$2:$C$5000,"One-off",Entries!$A$2:$A$5000,"&gt;="&amp;EDATE($A73,-11),Entries!$A$2:$A$5000,"&lt;"&amp;EDATE($A73,1)))/COUNTIFS($A$2:$A$400,"&gt;="&amp;EDATE($A73,-11),$A$2:$A$400,"&lt;"&amp;EDATE($A73,1),$BM$2:$BM$400,"&gt;0"))</f>
      </c>
      <c r="M73" s="24">
        <f>IF($BM73=0,NA(),IFERROR((K73-L73)/K73,0))</f>
        <v/>
      </c>
      <c r="N73" s="23">
        <f>IF($BM73=0,NA(),SUMIFS(Entries!$E$2:$E$5000,Entries!$D$2:$D$5000,"Core",Entries!$A$2:$A$5000,"&gt;="&amp;$A73,Entries!$A$2:$A$5000,"&lt;"&amp;EDATE($A73,1)))</f>
        <v/>
      </c>
      <c r="O73" s="23">
        <f>IF($BM73=0,NA(),SUMIFS(Entries!$E$2:$E$5000,Entries!$D$2:$D$5000,"Over &amp; above",Entries!$A$2:$A$5000,"&gt;="&amp;$A73,Entries!$A$2:$A$5000,"&lt;"&amp;EDATE($A73,1)))</f>
        <v/>
      </c>
      <c r="P73" s="23">
        <f>IF($BM73=0,NA(),SUMIFS(Entries!$E$2:$E$5000,Entries!$D$2:$D$5000,"One-off",Entries!$A$2:$A$5000,"&gt;="&amp;$A73,Entries!$A$2:$A$5000,"&lt;"&amp;EDATE($A73,1)))</f>
        <v/>
      </c>
      <c r="Q73" s="23">
        <f>IF($BM73=0,NA(),SUMIFS(Entries!$E$2:$E$5000,Entries!$D$2:$D$5000,"Reimbursable",Entries!$A$2:$A$5000,"&gt;="&amp;$A73,Entries!$A$2:$A$5000,"&lt;"&amp;EDATE($A73,1)))</f>
        <v/>
      </c>
      <c r="R73" s="23">
        <f>IF($BM73=0,NA(),SUMIFS(Entries!$E$2:$E$5000,Entries!$D$2:$D$5000,"Investment",Entries!$A$2:$A$5000,"&gt;="&amp;$A73,Entries!$A$2:$A$5000,"&lt;"&amp;EDATE($A73,1)))</f>
        <v/>
      </c>
      <c r="S73" s="23">
        <f>IF($BM73=0,NA(),N73+O73)</f>
        <v/>
      </c>
      <c r="T73" s="23">
        <f>IF($BM73=0,"",E73-Q73)</f>
        <v/>
      </c>
      <c r="W73" s="23">
        <f>IF(OR(W$1="",$BM73=0),"",SUMIFS(Entries!$E$2:$E$5000,Entries!$C$2:$C$5000,"Actual",Entries!$A$2:$A$5000,"&gt;="&amp;$A73,Entries!$A$2:$A$5000,"&lt;"&amp;EDATE($A73,1),Entries!$B$2:$B$5000,W$1))</f>
        <v/>
      </c>
      <c r="X73" s="23">
        <f>IF(OR(X$1="",$BM73=0),"",SUMIFS(Entries!$E$2:$E$5000,Entries!$C$2:$C$5000,"Actual",Entries!$A$2:$A$5000,"&gt;="&amp;$A73,Entries!$A$2:$A$5000,"&lt;"&amp;EDATE($A73,1),Entries!$B$2:$B$5000,X$1))</f>
        <v/>
      </c>
      <c r="Y73" s="23">
        <f>IF(OR(Y$1="",$BM73=0),"",SUMIFS(Entries!$E$2:$E$5000,Entries!$C$2:$C$5000,"Actual",Entries!$A$2:$A$5000,"&gt;="&amp;$A73,Entries!$A$2:$A$5000,"&lt;"&amp;EDATE($A73,1),Entries!$B$2:$B$5000,Y$1))</f>
        <v/>
      </c>
      <c r="Z73" s="23">
        <f>IF(OR(Z$1="",$BM73=0),"",SUMIFS(Entries!$E$2:$E$5000,Entries!$C$2:$C$5000,"Actual",Entries!$A$2:$A$5000,"&gt;="&amp;$A73,Entries!$A$2:$A$5000,"&lt;"&amp;EDATE($A73,1),Entries!$B$2:$B$5000,Z$1))</f>
        <v/>
      </c>
      <c r="AA73" s="23">
        <f>IF(OR(AA$1="",$BM73=0),"",SUMIFS(Entries!$E$2:$E$5000,Entries!$C$2:$C$5000,"Actual",Entries!$A$2:$A$5000,"&gt;="&amp;$A73,Entries!$A$2:$A$5000,"&lt;"&amp;EDATE($A73,1),Entries!$B$2:$B$5000,AA$1))</f>
        <v/>
      </c>
      <c r="AB73" s="23">
        <f>IF(OR(AB$1="",$BM73=0),"",SUMIFS(Entries!$E$2:$E$5000,Entries!$C$2:$C$5000,"Actual",Entries!$A$2:$A$5000,"&gt;="&amp;$A73,Entries!$A$2:$A$5000,"&lt;"&amp;EDATE($A73,1),Entries!$B$2:$B$5000,AB$1))</f>
        <v/>
      </c>
      <c r="AC73" s="23">
        <f>IF(OR(AC$1="",$BM73=0),"",SUMIFS(Entries!$E$2:$E$5000,Entries!$C$2:$C$5000,"Actual",Entries!$A$2:$A$5000,"&gt;="&amp;$A73,Entries!$A$2:$A$5000,"&lt;"&amp;EDATE($A73,1),Entries!$B$2:$B$5000,AC$1))</f>
        <v/>
      </c>
      <c r="AD73" s="23">
        <f>IF(OR(AD$1="",$BM73=0),"",SUMIFS(Entries!$E$2:$E$5000,Entries!$C$2:$C$5000,"Actual",Entries!$A$2:$A$5000,"&gt;="&amp;$A73,Entries!$A$2:$A$5000,"&lt;"&amp;EDATE($A73,1),Entries!$B$2:$B$5000,AD$1))</f>
        <v/>
      </c>
      <c r="AE73" s="23">
        <f>IF(OR(AE$1="",$BM73=0),"",SUMIFS(Entries!$E$2:$E$5000,Entries!$C$2:$C$5000,"Actual",Entries!$A$2:$A$5000,"&gt;="&amp;$A73,Entries!$A$2:$A$5000,"&lt;"&amp;EDATE($A73,1),Entries!$B$2:$B$5000,AE$1))</f>
        <v/>
      </c>
      <c r="AF73" s="23">
        <f>IF(OR(AF$1="",$BM73=0),"",SUMIFS(Entries!$E$2:$E$5000,Entries!$C$2:$C$5000,"Actual",Entries!$A$2:$A$5000,"&gt;="&amp;$A73,Entries!$A$2:$A$5000,"&lt;"&amp;EDATE($A73,1),Entries!$B$2:$B$5000,AF$1))</f>
        <v/>
      </c>
      <c r="AG73" s="23">
        <f>IF(OR(AG$1="",$BM73=0),"",SUMIFS(Entries!$E$2:$E$5000,Entries!$C$2:$C$5000,"Actual",Entries!$A$2:$A$5000,"&gt;="&amp;$A73,Entries!$A$2:$A$5000,"&lt;"&amp;EDATE($A73,1),Entries!$B$2:$B$5000,AG$1))</f>
        <v/>
      </c>
      <c r="AH73" s="23">
        <f>IF(OR(AH$1="",$BM73=0),"",SUMIFS(Entries!$E$2:$E$5000,Entries!$C$2:$C$5000,"Actual",Entries!$A$2:$A$5000,"&gt;="&amp;$A73,Entries!$A$2:$A$5000,"&lt;"&amp;EDATE($A73,1),Entries!$B$2:$B$5000,AH$1))</f>
        <v/>
      </c>
      <c r="AI73" s="23">
        <f>IF(OR(AI$1="",$BM73=0),"",SUMIFS(Entries!$E$2:$E$5000,Entries!$C$2:$C$5000,"Actual",Entries!$A$2:$A$5000,"&gt;="&amp;$A73,Entries!$A$2:$A$5000,"&lt;"&amp;EDATE($A73,1),Entries!$B$2:$B$5000,AI$1))</f>
        <v/>
      </c>
      <c r="AJ73" s="23">
        <f>IF(OR(AJ$1="",$BM73=0),"",SUMIFS(Entries!$E$2:$E$5000,Entries!$C$2:$C$5000,"Actual",Entries!$A$2:$A$5000,"&gt;="&amp;$A73,Entries!$A$2:$A$5000,"&lt;"&amp;EDATE($A73,1),Entries!$B$2:$B$5000,AJ$1))</f>
        <v/>
      </c>
      <c r="AK73" s="23">
        <f>IF(OR(AK$1="",$BM73=0),"",SUMIFS(Entries!$E$2:$E$5000,Entries!$C$2:$C$5000,"Actual",Entries!$A$2:$A$5000,"&gt;="&amp;$A73,Entries!$A$2:$A$5000,"&lt;"&amp;EDATE($A73,1),Entries!$B$2:$B$5000,AK$1))</f>
        <v/>
      </c>
      <c r="AL73" s="23">
        <f>IF(OR(AL$1="",$BM73=0),"",SUMIFS(Entries!$E$2:$E$5000,Entries!$C$2:$C$5000,"Actual",Entries!$A$2:$A$5000,"&gt;="&amp;$A73,Entries!$A$2:$A$5000,"&lt;"&amp;EDATE($A73,1),Entries!$B$2:$B$5000,AL$1))</f>
        <v/>
      </c>
      <c r="AM73" s="23">
        <f>IF(OR(AM$1="",$BM73=0),"",SUMIFS(Entries!$E$2:$E$5000,Entries!$C$2:$C$5000,"Actual",Entries!$A$2:$A$5000,"&gt;="&amp;$A73,Entries!$A$2:$A$5000,"&lt;"&amp;EDATE($A73,1),Entries!$B$2:$B$5000,AM$1))</f>
        <v/>
      </c>
      <c r="AN73" s="23">
        <f>IF(OR(AN$1="",$BM73=0),"",SUMIFS(Entries!$E$2:$E$5000,Entries!$C$2:$C$5000,"Actual",Entries!$A$2:$A$5000,"&gt;="&amp;$A73,Entries!$A$2:$A$5000,"&lt;"&amp;EDATE($A73,1),Entries!$B$2:$B$5000,AN$1))</f>
        <v/>
      </c>
      <c r="AO73" s="23">
        <f>IF(OR(AO$1="",$BM73=0),"",SUMIFS(Entries!$E$2:$E$5000,Entries!$C$2:$C$5000,"Actual",Entries!$A$2:$A$5000,"&gt;="&amp;$A73,Entries!$A$2:$A$5000,"&lt;"&amp;EDATE($A73,1),Entries!$B$2:$B$5000,AO$1))</f>
        <v/>
      </c>
      <c r="AP73" s="23">
        <f>IF(OR(AP$1="",$BM73=0),"",SUMIFS(Entries!$E$2:$E$5000,Entries!$C$2:$C$5000,"Actual",Entries!$A$2:$A$5000,"&gt;="&amp;$A73,Entries!$A$2:$A$5000,"&lt;"&amp;EDATE($A73,1),Entries!$B$2:$B$5000,AP$1))</f>
        <v/>
      </c>
      <c r="AR73" s="23">
        <f>IF(OR(AR$1="",$BM73=0),"",IFERROR(LOOKUP(2,1/((Budgets!$A$2:$A$200=AR$1)*(Budgets!$B$2:$B$200&lt;EDATE($A73,1))),Budgets!$C$2:$C$200),0))</f>
        <v/>
      </c>
      <c r="AS73" s="23">
        <f>IF(OR(AS$1="",$BM73=0),"",IFERROR(LOOKUP(2,1/((Budgets!$A$2:$A$200=AS$1)*(Budgets!$B$2:$B$200&lt;EDATE($A73,1))),Budgets!$C$2:$C$200),0))</f>
        <v/>
      </c>
      <c r="AT73" s="23">
        <f>IF(OR(AT$1="",$BM73=0),"",IFERROR(LOOKUP(2,1/((Budgets!$A$2:$A$200=AT$1)*(Budgets!$B$2:$B$200&lt;EDATE($A73,1))),Budgets!$C$2:$C$200),0))</f>
        <v/>
      </c>
      <c r="AU73" s="23">
        <f>IF(OR(AU$1="",$BM73=0),"",IFERROR(LOOKUP(2,1/((Budgets!$A$2:$A$200=AU$1)*(Budgets!$B$2:$B$200&lt;EDATE($A73,1))),Budgets!$C$2:$C$200),0))</f>
        <v/>
      </c>
      <c r="AV73" s="23">
        <f>IF(OR(AV$1="",$BM73=0),"",IFERROR(LOOKUP(2,1/((Budgets!$A$2:$A$200=AV$1)*(Budgets!$B$2:$B$200&lt;EDATE($A73,1))),Budgets!$C$2:$C$200),0))</f>
        <v/>
      </c>
      <c r="AW73" s="23">
        <f>IF(OR(AW$1="",$BM73=0),"",IFERROR(LOOKUP(2,1/((Budgets!$A$2:$A$200=AW$1)*(Budgets!$B$2:$B$200&lt;EDATE($A73,1))),Budgets!$C$2:$C$200),0))</f>
        <v/>
      </c>
      <c r="AX73" s="23">
        <f>IF(OR(AX$1="",$BM73=0),"",IFERROR(LOOKUP(2,1/((Budgets!$A$2:$A$200=AX$1)*(Budgets!$B$2:$B$200&lt;EDATE($A73,1))),Budgets!$C$2:$C$200),0))</f>
        <v/>
      </c>
      <c r="AY73" s="23">
        <f>IF(OR(AY$1="",$BM73=0),"",IFERROR(LOOKUP(2,1/((Budgets!$A$2:$A$200=AY$1)*(Budgets!$B$2:$B$200&lt;EDATE($A73,1))),Budgets!$C$2:$C$200),0))</f>
        <v/>
      </c>
      <c r="AZ73" s="23">
        <f>IF(OR(AZ$1="",$BM73=0),"",IFERROR(LOOKUP(2,1/((Budgets!$A$2:$A$200=AZ$1)*(Budgets!$B$2:$B$200&lt;EDATE($A73,1))),Budgets!$C$2:$C$200),0))</f>
        <v/>
      </c>
      <c r="BA73" s="23">
        <f>IF(OR(BA$1="",$BM73=0),"",IFERROR(LOOKUP(2,1/((Budgets!$A$2:$A$200=BA$1)*(Budgets!$B$2:$B$200&lt;EDATE($A73,1))),Budgets!$C$2:$C$200),0))</f>
        <v/>
      </c>
      <c r="BB73" s="23">
        <f>IF(OR(BB$1="",$BM73=0),"",IFERROR(LOOKUP(2,1/((Budgets!$A$2:$A$200=BB$1)*(Budgets!$B$2:$B$200&lt;EDATE($A73,1))),Budgets!$C$2:$C$200),0))</f>
        <v/>
      </c>
      <c r="BC73" s="23">
        <f>IF(OR(BC$1="",$BM73=0),"",IFERROR(LOOKUP(2,1/((Budgets!$A$2:$A$200=BC$1)*(Budgets!$B$2:$B$200&lt;EDATE($A73,1))),Budgets!$C$2:$C$200),0))</f>
        <v/>
      </c>
      <c r="BD73" s="23">
        <f>IF(OR(BD$1="",$BM73=0),"",IFERROR(LOOKUP(2,1/((Budgets!$A$2:$A$200=BD$1)*(Budgets!$B$2:$B$200&lt;EDATE($A73,1))),Budgets!$C$2:$C$200),0))</f>
        <v/>
      </c>
      <c r="BE73" s="23">
        <f>IF(OR(BE$1="",$BM73=0),"",IFERROR(LOOKUP(2,1/((Budgets!$A$2:$A$200=BE$1)*(Budgets!$B$2:$B$200&lt;EDATE($A73,1))),Budgets!$C$2:$C$200),0))</f>
        <v/>
      </c>
      <c r="BF73" s="23">
        <f>IF(OR(BF$1="",$BM73=0),"",IFERROR(LOOKUP(2,1/((Budgets!$A$2:$A$200=BF$1)*(Budgets!$B$2:$B$200&lt;EDATE($A73,1))),Budgets!$C$2:$C$200),0))</f>
        <v/>
      </c>
      <c r="BG73" s="23">
        <f>IF(OR(BG$1="",$BM73=0),"",IFERROR(LOOKUP(2,1/((Budgets!$A$2:$A$200=BG$1)*(Budgets!$B$2:$B$200&lt;EDATE($A73,1))),Budgets!$C$2:$C$200),0))</f>
        <v/>
      </c>
      <c r="BH73" s="23">
        <f>IF(OR(BH$1="",$BM73=0),"",IFERROR(LOOKUP(2,1/((Budgets!$A$2:$A$200=BH$1)*(Budgets!$B$2:$B$200&lt;EDATE($A73,1))),Budgets!$C$2:$C$200),0))</f>
        <v/>
      </c>
      <c r="BI73" s="23">
        <f>IF(OR(BI$1="",$BM73=0),"",IFERROR(LOOKUP(2,1/((Budgets!$A$2:$A$200=BI$1)*(Budgets!$B$2:$B$200&lt;EDATE($A73,1))),Budgets!$C$2:$C$200),0))</f>
        <v/>
      </c>
      <c r="BJ73" s="23">
        <f>IF(OR(BJ$1="",$BM73=0),"",IFERROR(LOOKUP(2,1/((Budgets!$A$2:$A$200=BJ$1)*(Budgets!$B$2:$B$200&lt;EDATE($A73,1))),Budgets!$C$2:$C$200),0))</f>
        <v/>
      </c>
      <c r="BK73" s="23">
        <f>IF(OR(BK$1="",$BM73=0),"",IFERROR(LOOKUP(2,1/((Budgets!$A$2:$A$200=BK$1)*(Budgets!$B$2:$B$200&lt;EDATE($A73,1))),Budgets!$C$2:$C$200),0))</f>
        <v/>
      </c>
      <c r="BM73" s="21">
        <f>COUNTIFS(Entries!$A$2:$A$5000,"&gt;="&amp;$A73,Entries!$A$2:$A$5000,"&lt;"&amp;EDATE($A73,1))</f>
        <v/>
      </c>
    </row>
    <row r="74">
      <c r="A74" s="22" t="n">
        <v>41640</v>
      </c>
      <c r="B74" s="23">
        <f>IF($BM74=0,NA(),SUMIFS(Entries!$E$2:$E$5000,Entries!$C$2:$C$5000,"Income",Entries!$A$2:$A$5000,"&gt;="&amp;$A74,Entries!$A$2:$A$5000,"&lt;"&amp;EDATE($A74,1)))</f>
        <v/>
      </c>
      <c r="C74" s="23">
        <f>IF($BM74=0,"",SUMIFS(Entries!$E$2:$E$5000,Entries!$C$2:$C$5000,"Actual",Entries!$A$2:$A$5000,"&gt;="&amp;$A74,Entries!$A$2:$A$5000,"&lt;"&amp;EDATE($A74,1)))</f>
        <v/>
      </c>
      <c r="D74" s="23">
        <f>IF($BM74=0,"",SUMIFS(Entries!$E$2:$E$5000,Entries!$C$2:$C$5000,"One-off",Entries!$A$2:$A$5000,"&gt;="&amp;$A74,Entries!$A$2:$A$5000,"&lt;"&amp;EDATE($A74,1)))</f>
        <v/>
      </c>
      <c r="E74" s="23">
        <f>IF($BM74=0,NA(),C74+D74)</f>
        <v/>
      </c>
      <c r="F74" s="23">
        <f>IF($BM74=0,"",SUM(AR74:BK74))</f>
        <v/>
      </c>
      <c r="G74" s="23">
        <f>IF($BM74=0,"",B74-E74)</f>
        <v/>
      </c>
      <c r="H74" s="23">
        <f>IF($BM74=0,"",SUM($G$2:G74))</f>
        <v/>
      </c>
      <c r="I74" s="23">
        <f>IF($BM74=0,"",SUMIFS(Entries!$G$2:$G$5000,Entries!$A$2:$A$5000,"&gt;="&amp;$A74,Entries!$A$2:$A$5000,"&lt;"&amp;EDATE($A74,1)))</f>
        <v/>
      </c>
      <c r="J74" s="23">
        <f>IF($BM74=0,NA(),H74)</f>
        <v/>
      </c>
      <c r="K74" s="23">
        <f>IF($BM74=0,"",SUMIFS(Entries!$E$2:$E$5000,Entries!$C$2:$C$5000,"Income",Entries!$A$2:$A$5000,"&gt;="&amp;EDATE($A74,-11),Entries!$A$2:$A$5000,"&lt;"&amp;EDATE($A74,1))/COUNTIFS($A$2:$A$400,"&gt;="&amp;EDATE($A74,-11),$A$2:$A$400,"&lt;"&amp;EDATE($A74,1),$BM$2:$BM$400,"&gt;0"))</f>
      </c>
      <c r="L74" s="23">
        <f>IF($BM74=0,"",(SUMIFS(Entries!$E$2:$E$5000,Entries!$C$2:$C$5000,"Actual",Entries!$A$2:$A$5000,"&gt;="&amp;EDATE($A74,-11),Entries!$A$2:$A$5000,"&lt;"&amp;EDATE($A74,1))+SUMIFS(Entries!$E$2:$E$5000,Entries!$C$2:$C$5000,"One-off",Entries!$A$2:$A$5000,"&gt;="&amp;EDATE($A74,-11),Entries!$A$2:$A$5000,"&lt;"&amp;EDATE($A74,1)))/COUNTIFS($A$2:$A$400,"&gt;="&amp;EDATE($A74,-11),$A$2:$A$400,"&lt;"&amp;EDATE($A74,1),$BM$2:$BM$400,"&gt;0"))</f>
      </c>
      <c r="M74" s="24">
        <f>IF($BM74=0,NA(),IFERROR((K74-L74)/K74,0))</f>
        <v/>
      </c>
      <c r="N74" s="23">
        <f>IF($BM74=0,NA(),SUMIFS(Entries!$E$2:$E$5000,Entries!$D$2:$D$5000,"Core",Entries!$A$2:$A$5000,"&gt;="&amp;$A74,Entries!$A$2:$A$5000,"&lt;"&amp;EDATE($A74,1)))</f>
        <v/>
      </c>
      <c r="O74" s="23">
        <f>IF($BM74=0,NA(),SUMIFS(Entries!$E$2:$E$5000,Entries!$D$2:$D$5000,"Over &amp; above",Entries!$A$2:$A$5000,"&gt;="&amp;$A74,Entries!$A$2:$A$5000,"&lt;"&amp;EDATE($A74,1)))</f>
        <v/>
      </c>
      <c r="P74" s="23">
        <f>IF($BM74=0,NA(),SUMIFS(Entries!$E$2:$E$5000,Entries!$D$2:$D$5000,"One-off",Entries!$A$2:$A$5000,"&gt;="&amp;$A74,Entries!$A$2:$A$5000,"&lt;"&amp;EDATE($A74,1)))</f>
        <v/>
      </c>
      <c r="Q74" s="23">
        <f>IF($BM74=0,NA(),SUMIFS(Entries!$E$2:$E$5000,Entries!$D$2:$D$5000,"Reimbursable",Entries!$A$2:$A$5000,"&gt;="&amp;$A74,Entries!$A$2:$A$5000,"&lt;"&amp;EDATE($A74,1)))</f>
        <v/>
      </c>
      <c r="R74" s="23">
        <f>IF($BM74=0,NA(),SUMIFS(Entries!$E$2:$E$5000,Entries!$D$2:$D$5000,"Investment",Entries!$A$2:$A$5000,"&gt;="&amp;$A74,Entries!$A$2:$A$5000,"&lt;"&amp;EDATE($A74,1)))</f>
        <v/>
      </c>
      <c r="S74" s="23">
        <f>IF($BM74=0,NA(),N74+O74)</f>
        <v/>
      </c>
      <c r="T74" s="23">
        <f>IF($BM74=0,"",E74-Q74)</f>
        <v/>
      </c>
      <c r="W74" s="23">
        <f>IF(OR(W$1="",$BM74=0),"",SUMIFS(Entries!$E$2:$E$5000,Entries!$C$2:$C$5000,"Actual",Entries!$A$2:$A$5000,"&gt;="&amp;$A74,Entries!$A$2:$A$5000,"&lt;"&amp;EDATE($A74,1),Entries!$B$2:$B$5000,W$1))</f>
        <v/>
      </c>
      <c r="X74" s="23">
        <f>IF(OR(X$1="",$BM74=0),"",SUMIFS(Entries!$E$2:$E$5000,Entries!$C$2:$C$5000,"Actual",Entries!$A$2:$A$5000,"&gt;="&amp;$A74,Entries!$A$2:$A$5000,"&lt;"&amp;EDATE($A74,1),Entries!$B$2:$B$5000,X$1))</f>
        <v/>
      </c>
      <c r="Y74" s="23">
        <f>IF(OR(Y$1="",$BM74=0),"",SUMIFS(Entries!$E$2:$E$5000,Entries!$C$2:$C$5000,"Actual",Entries!$A$2:$A$5000,"&gt;="&amp;$A74,Entries!$A$2:$A$5000,"&lt;"&amp;EDATE($A74,1),Entries!$B$2:$B$5000,Y$1))</f>
        <v/>
      </c>
      <c r="Z74" s="23">
        <f>IF(OR(Z$1="",$BM74=0),"",SUMIFS(Entries!$E$2:$E$5000,Entries!$C$2:$C$5000,"Actual",Entries!$A$2:$A$5000,"&gt;="&amp;$A74,Entries!$A$2:$A$5000,"&lt;"&amp;EDATE($A74,1),Entries!$B$2:$B$5000,Z$1))</f>
        <v/>
      </c>
      <c r="AA74" s="23">
        <f>IF(OR(AA$1="",$BM74=0),"",SUMIFS(Entries!$E$2:$E$5000,Entries!$C$2:$C$5000,"Actual",Entries!$A$2:$A$5000,"&gt;="&amp;$A74,Entries!$A$2:$A$5000,"&lt;"&amp;EDATE($A74,1),Entries!$B$2:$B$5000,AA$1))</f>
        <v/>
      </c>
      <c r="AB74" s="23">
        <f>IF(OR(AB$1="",$BM74=0),"",SUMIFS(Entries!$E$2:$E$5000,Entries!$C$2:$C$5000,"Actual",Entries!$A$2:$A$5000,"&gt;="&amp;$A74,Entries!$A$2:$A$5000,"&lt;"&amp;EDATE($A74,1),Entries!$B$2:$B$5000,AB$1))</f>
        <v/>
      </c>
      <c r="AC74" s="23">
        <f>IF(OR(AC$1="",$BM74=0),"",SUMIFS(Entries!$E$2:$E$5000,Entries!$C$2:$C$5000,"Actual",Entries!$A$2:$A$5000,"&gt;="&amp;$A74,Entries!$A$2:$A$5000,"&lt;"&amp;EDATE($A74,1),Entries!$B$2:$B$5000,AC$1))</f>
        <v/>
      </c>
      <c r="AD74" s="23">
        <f>IF(OR(AD$1="",$BM74=0),"",SUMIFS(Entries!$E$2:$E$5000,Entries!$C$2:$C$5000,"Actual",Entries!$A$2:$A$5000,"&gt;="&amp;$A74,Entries!$A$2:$A$5000,"&lt;"&amp;EDATE($A74,1),Entries!$B$2:$B$5000,AD$1))</f>
        <v/>
      </c>
      <c r="AE74" s="23">
        <f>IF(OR(AE$1="",$BM74=0),"",SUMIFS(Entries!$E$2:$E$5000,Entries!$C$2:$C$5000,"Actual",Entries!$A$2:$A$5000,"&gt;="&amp;$A74,Entries!$A$2:$A$5000,"&lt;"&amp;EDATE($A74,1),Entries!$B$2:$B$5000,AE$1))</f>
        <v/>
      </c>
      <c r="AF74" s="23">
        <f>IF(OR(AF$1="",$BM74=0),"",SUMIFS(Entries!$E$2:$E$5000,Entries!$C$2:$C$5000,"Actual",Entries!$A$2:$A$5000,"&gt;="&amp;$A74,Entries!$A$2:$A$5000,"&lt;"&amp;EDATE($A74,1),Entries!$B$2:$B$5000,AF$1))</f>
        <v/>
      </c>
      <c r="AG74" s="23">
        <f>IF(OR(AG$1="",$BM74=0),"",SUMIFS(Entries!$E$2:$E$5000,Entries!$C$2:$C$5000,"Actual",Entries!$A$2:$A$5000,"&gt;="&amp;$A74,Entries!$A$2:$A$5000,"&lt;"&amp;EDATE($A74,1),Entries!$B$2:$B$5000,AG$1))</f>
        <v/>
      </c>
      <c r="AH74" s="23">
        <f>IF(OR(AH$1="",$BM74=0),"",SUMIFS(Entries!$E$2:$E$5000,Entries!$C$2:$C$5000,"Actual",Entries!$A$2:$A$5000,"&gt;="&amp;$A74,Entries!$A$2:$A$5000,"&lt;"&amp;EDATE($A74,1),Entries!$B$2:$B$5000,AH$1))</f>
        <v/>
      </c>
      <c r="AI74" s="23">
        <f>IF(OR(AI$1="",$BM74=0),"",SUMIFS(Entries!$E$2:$E$5000,Entries!$C$2:$C$5000,"Actual",Entries!$A$2:$A$5000,"&gt;="&amp;$A74,Entries!$A$2:$A$5000,"&lt;"&amp;EDATE($A74,1),Entries!$B$2:$B$5000,AI$1))</f>
        <v/>
      </c>
      <c r="AJ74" s="23">
        <f>IF(OR(AJ$1="",$BM74=0),"",SUMIFS(Entries!$E$2:$E$5000,Entries!$C$2:$C$5000,"Actual",Entries!$A$2:$A$5000,"&gt;="&amp;$A74,Entries!$A$2:$A$5000,"&lt;"&amp;EDATE($A74,1),Entries!$B$2:$B$5000,AJ$1))</f>
        <v/>
      </c>
      <c r="AK74" s="23">
        <f>IF(OR(AK$1="",$BM74=0),"",SUMIFS(Entries!$E$2:$E$5000,Entries!$C$2:$C$5000,"Actual",Entries!$A$2:$A$5000,"&gt;="&amp;$A74,Entries!$A$2:$A$5000,"&lt;"&amp;EDATE($A74,1),Entries!$B$2:$B$5000,AK$1))</f>
        <v/>
      </c>
      <c r="AL74" s="23">
        <f>IF(OR(AL$1="",$BM74=0),"",SUMIFS(Entries!$E$2:$E$5000,Entries!$C$2:$C$5000,"Actual",Entries!$A$2:$A$5000,"&gt;="&amp;$A74,Entries!$A$2:$A$5000,"&lt;"&amp;EDATE($A74,1),Entries!$B$2:$B$5000,AL$1))</f>
        <v/>
      </c>
      <c r="AM74" s="23">
        <f>IF(OR(AM$1="",$BM74=0),"",SUMIFS(Entries!$E$2:$E$5000,Entries!$C$2:$C$5000,"Actual",Entries!$A$2:$A$5000,"&gt;="&amp;$A74,Entries!$A$2:$A$5000,"&lt;"&amp;EDATE($A74,1),Entries!$B$2:$B$5000,AM$1))</f>
        <v/>
      </c>
      <c r="AN74" s="23">
        <f>IF(OR(AN$1="",$BM74=0),"",SUMIFS(Entries!$E$2:$E$5000,Entries!$C$2:$C$5000,"Actual",Entries!$A$2:$A$5000,"&gt;="&amp;$A74,Entries!$A$2:$A$5000,"&lt;"&amp;EDATE($A74,1),Entries!$B$2:$B$5000,AN$1))</f>
        <v/>
      </c>
      <c r="AO74" s="23">
        <f>IF(OR(AO$1="",$BM74=0),"",SUMIFS(Entries!$E$2:$E$5000,Entries!$C$2:$C$5000,"Actual",Entries!$A$2:$A$5000,"&gt;="&amp;$A74,Entries!$A$2:$A$5000,"&lt;"&amp;EDATE($A74,1),Entries!$B$2:$B$5000,AO$1))</f>
        <v/>
      </c>
      <c r="AP74" s="23">
        <f>IF(OR(AP$1="",$BM74=0),"",SUMIFS(Entries!$E$2:$E$5000,Entries!$C$2:$C$5000,"Actual",Entries!$A$2:$A$5000,"&gt;="&amp;$A74,Entries!$A$2:$A$5000,"&lt;"&amp;EDATE($A74,1),Entries!$B$2:$B$5000,AP$1))</f>
        <v/>
      </c>
      <c r="AR74" s="23">
        <f>IF(OR(AR$1="",$BM74=0),"",IFERROR(LOOKUP(2,1/((Budgets!$A$2:$A$200=AR$1)*(Budgets!$B$2:$B$200&lt;EDATE($A74,1))),Budgets!$C$2:$C$200),0))</f>
        <v/>
      </c>
      <c r="AS74" s="23">
        <f>IF(OR(AS$1="",$BM74=0),"",IFERROR(LOOKUP(2,1/((Budgets!$A$2:$A$200=AS$1)*(Budgets!$B$2:$B$200&lt;EDATE($A74,1))),Budgets!$C$2:$C$200),0))</f>
        <v/>
      </c>
      <c r="AT74" s="23">
        <f>IF(OR(AT$1="",$BM74=0),"",IFERROR(LOOKUP(2,1/((Budgets!$A$2:$A$200=AT$1)*(Budgets!$B$2:$B$200&lt;EDATE($A74,1))),Budgets!$C$2:$C$200),0))</f>
        <v/>
      </c>
      <c r="AU74" s="23">
        <f>IF(OR(AU$1="",$BM74=0),"",IFERROR(LOOKUP(2,1/((Budgets!$A$2:$A$200=AU$1)*(Budgets!$B$2:$B$200&lt;EDATE($A74,1))),Budgets!$C$2:$C$200),0))</f>
        <v/>
      </c>
      <c r="AV74" s="23">
        <f>IF(OR(AV$1="",$BM74=0),"",IFERROR(LOOKUP(2,1/((Budgets!$A$2:$A$200=AV$1)*(Budgets!$B$2:$B$200&lt;EDATE($A74,1))),Budgets!$C$2:$C$200),0))</f>
        <v/>
      </c>
      <c r="AW74" s="23">
        <f>IF(OR(AW$1="",$BM74=0),"",IFERROR(LOOKUP(2,1/((Budgets!$A$2:$A$200=AW$1)*(Budgets!$B$2:$B$200&lt;EDATE($A74,1))),Budgets!$C$2:$C$200),0))</f>
        <v/>
      </c>
      <c r="AX74" s="23">
        <f>IF(OR(AX$1="",$BM74=0),"",IFERROR(LOOKUP(2,1/((Budgets!$A$2:$A$200=AX$1)*(Budgets!$B$2:$B$200&lt;EDATE($A74,1))),Budgets!$C$2:$C$200),0))</f>
        <v/>
      </c>
      <c r="AY74" s="23">
        <f>IF(OR(AY$1="",$BM74=0),"",IFERROR(LOOKUP(2,1/((Budgets!$A$2:$A$200=AY$1)*(Budgets!$B$2:$B$200&lt;EDATE($A74,1))),Budgets!$C$2:$C$200),0))</f>
        <v/>
      </c>
      <c r="AZ74" s="23">
        <f>IF(OR(AZ$1="",$BM74=0),"",IFERROR(LOOKUP(2,1/((Budgets!$A$2:$A$200=AZ$1)*(Budgets!$B$2:$B$200&lt;EDATE($A74,1))),Budgets!$C$2:$C$200),0))</f>
        <v/>
      </c>
      <c r="BA74" s="23">
        <f>IF(OR(BA$1="",$BM74=0),"",IFERROR(LOOKUP(2,1/((Budgets!$A$2:$A$200=BA$1)*(Budgets!$B$2:$B$200&lt;EDATE($A74,1))),Budgets!$C$2:$C$200),0))</f>
        <v/>
      </c>
      <c r="BB74" s="23">
        <f>IF(OR(BB$1="",$BM74=0),"",IFERROR(LOOKUP(2,1/((Budgets!$A$2:$A$200=BB$1)*(Budgets!$B$2:$B$200&lt;EDATE($A74,1))),Budgets!$C$2:$C$200),0))</f>
        <v/>
      </c>
      <c r="BC74" s="23">
        <f>IF(OR(BC$1="",$BM74=0),"",IFERROR(LOOKUP(2,1/((Budgets!$A$2:$A$200=BC$1)*(Budgets!$B$2:$B$200&lt;EDATE($A74,1))),Budgets!$C$2:$C$200),0))</f>
        <v/>
      </c>
      <c r="BD74" s="23">
        <f>IF(OR(BD$1="",$BM74=0),"",IFERROR(LOOKUP(2,1/((Budgets!$A$2:$A$200=BD$1)*(Budgets!$B$2:$B$200&lt;EDATE($A74,1))),Budgets!$C$2:$C$200),0))</f>
        <v/>
      </c>
      <c r="BE74" s="23">
        <f>IF(OR(BE$1="",$BM74=0),"",IFERROR(LOOKUP(2,1/((Budgets!$A$2:$A$200=BE$1)*(Budgets!$B$2:$B$200&lt;EDATE($A74,1))),Budgets!$C$2:$C$200),0))</f>
        <v/>
      </c>
      <c r="BF74" s="23">
        <f>IF(OR(BF$1="",$BM74=0),"",IFERROR(LOOKUP(2,1/((Budgets!$A$2:$A$200=BF$1)*(Budgets!$B$2:$B$200&lt;EDATE($A74,1))),Budgets!$C$2:$C$200),0))</f>
        <v/>
      </c>
      <c r="BG74" s="23">
        <f>IF(OR(BG$1="",$BM74=0),"",IFERROR(LOOKUP(2,1/((Budgets!$A$2:$A$200=BG$1)*(Budgets!$B$2:$B$200&lt;EDATE($A74,1))),Budgets!$C$2:$C$200),0))</f>
        <v/>
      </c>
      <c r="BH74" s="23">
        <f>IF(OR(BH$1="",$BM74=0),"",IFERROR(LOOKUP(2,1/((Budgets!$A$2:$A$200=BH$1)*(Budgets!$B$2:$B$200&lt;EDATE($A74,1))),Budgets!$C$2:$C$200),0))</f>
        <v/>
      </c>
      <c r="BI74" s="23">
        <f>IF(OR(BI$1="",$BM74=0),"",IFERROR(LOOKUP(2,1/((Budgets!$A$2:$A$200=BI$1)*(Budgets!$B$2:$B$200&lt;EDATE($A74,1))),Budgets!$C$2:$C$200),0))</f>
        <v/>
      </c>
      <c r="BJ74" s="23">
        <f>IF(OR(BJ$1="",$BM74=0),"",IFERROR(LOOKUP(2,1/((Budgets!$A$2:$A$200=BJ$1)*(Budgets!$B$2:$B$200&lt;EDATE($A74,1))),Budgets!$C$2:$C$200),0))</f>
        <v/>
      </c>
      <c r="BK74" s="23">
        <f>IF(OR(BK$1="",$BM74=0),"",IFERROR(LOOKUP(2,1/((Budgets!$A$2:$A$200=BK$1)*(Budgets!$B$2:$B$200&lt;EDATE($A74,1))),Budgets!$C$2:$C$200),0))</f>
        <v/>
      </c>
      <c r="BM74" s="21">
        <f>COUNTIFS(Entries!$A$2:$A$5000,"&gt;="&amp;$A74,Entries!$A$2:$A$5000,"&lt;"&amp;EDATE($A74,1))</f>
        <v/>
      </c>
    </row>
    <row r="75">
      <c r="A75" s="22" t="n">
        <v>41671</v>
      </c>
      <c r="B75" s="23">
        <f>IF($BM75=0,NA(),SUMIFS(Entries!$E$2:$E$5000,Entries!$C$2:$C$5000,"Income",Entries!$A$2:$A$5000,"&gt;="&amp;$A75,Entries!$A$2:$A$5000,"&lt;"&amp;EDATE($A75,1)))</f>
        <v/>
      </c>
      <c r="C75" s="23">
        <f>IF($BM75=0,"",SUMIFS(Entries!$E$2:$E$5000,Entries!$C$2:$C$5000,"Actual",Entries!$A$2:$A$5000,"&gt;="&amp;$A75,Entries!$A$2:$A$5000,"&lt;"&amp;EDATE($A75,1)))</f>
        <v/>
      </c>
      <c r="D75" s="23">
        <f>IF($BM75=0,"",SUMIFS(Entries!$E$2:$E$5000,Entries!$C$2:$C$5000,"One-off",Entries!$A$2:$A$5000,"&gt;="&amp;$A75,Entries!$A$2:$A$5000,"&lt;"&amp;EDATE($A75,1)))</f>
        <v/>
      </c>
      <c r="E75" s="23">
        <f>IF($BM75=0,NA(),C75+D75)</f>
        <v/>
      </c>
      <c r="F75" s="23">
        <f>IF($BM75=0,"",SUM(AR75:BK75))</f>
        <v/>
      </c>
      <c r="G75" s="23">
        <f>IF($BM75=0,"",B75-E75)</f>
        <v/>
      </c>
      <c r="H75" s="23">
        <f>IF($BM75=0,"",SUM($G$2:G75))</f>
        <v/>
      </c>
      <c r="I75" s="23">
        <f>IF($BM75=0,"",SUMIFS(Entries!$G$2:$G$5000,Entries!$A$2:$A$5000,"&gt;="&amp;$A75,Entries!$A$2:$A$5000,"&lt;"&amp;EDATE($A75,1)))</f>
        <v/>
      </c>
      <c r="J75" s="23">
        <f>IF($BM75=0,NA(),H75)</f>
        <v/>
      </c>
      <c r="K75" s="23">
        <f>IF($BM75=0,"",SUMIFS(Entries!$E$2:$E$5000,Entries!$C$2:$C$5000,"Income",Entries!$A$2:$A$5000,"&gt;="&amp;EDATE($A75,-11),Entries!$A$2:$A$5000,"&lt;"&amp;EDATE($A75,1))/COUNTIFS($A$2:$A$400,"&gt;="&amp;EDATE($A75,-11),$A$2:$A$400,"&lt;"&amp;EDATE($A75,1),$BM$2:$BM$400,"&gt;0"))</f>
      </c>
      <c r="L75" s="23">
        <f>IF($BM75=0,"",(SUMIFS(Entries!$E$2:$E$5000,Entries!$C$2:$C$5000,"Actual",Entries!$A$2:$A$5000,"&gt;="&amp;EDATE($A75,-11),Entries!$A$2:$A$5000,"&lt;"&amp;EDATE($A75,1))+SUMIFS(Entries!$E$2:$E$5000,Entries!$C$2:$C$5000,"One-off",Entries!$A$2:$A$5000,"&gt;="&amp;EDATE($A75,-11),Entries!$A$2:$A$5000,"&lt;"&amp;EDATE($A75,1)))/COUNTIFS($A$2:$A$400,"&gt;="&amp;EDATE($A75,-11),$A$2:$A$400,"&lt;"&amp;EDATE($A75,1),$BM$2:$BM$400,"&gt;0"))</f>
      </c>
      <c r="M75" s="24">
        <f>IF($BM75=0,NA(),IFERROR((K75-L75)/K75,0))</f>
        <v/>
      </c>
      <c r="N75" s="23">
        <f>IF($BM75=0,NA(),SUMIFS(Entries!$E$2:$E$5000,Entries!$D$2:$D$5000,"Core",Entries!$A$2:$A$5000,"&gt;="&amp;$A75,Entries!$A$2:$A$5000,"&lt;"&amp;EDATE($A75,1)))</f>
        <v/>
      </c>
      <c r="O75" s="23">
        <f>IF($BM75=0,NA(),SUMIFS(Entries!$E$2:$E$5000,Entries!$D$2:$D$5000,"Over &amp; above",Entries!$A$2:$A$5000,"&gt;="&amp;$A75,Entries!$A$2:$A$5000,"&lt;"&amp;EDATE($A75,1)))</f>
        <v/>
      </c>
      <c r="P75" s="23">
        <f>IF($BM75=0,NA(),SUMIFS(Entries!$E$2:$E$5000,Entries!$D$2:$D$5000,"One-off",Entries!$A$2:$A$5000,"&gt;="&amp;$A75,Entries!$A$2:$A$5000,"&lt;"&amp;EDATE($A75,1)))</f>
        <v/>
      </c>
      <c r="Q75" s="23">
        <f>IF($BM75=0,NA(),SUMIFS(Entries!$E$2:$E$5000,Entries!$D$2:$D$5000,"Reimbursable",Entries!$A$2:$A$5000,"&gt;="&amp;$A75,Entries!$A$2:$A$5000,"&lt;"&amp;EDATE($A75,1)))</f>
        <v/>
      </c>
      <c r="R75" s="23">
        <f>IF($BM75=0,NA(),SUMIFS(Entries!$E$2:$E$5000,Entries!$D$2:$D$5000,"Investment",Entries!$A$2:$A$5000,"&gt;="&amp;$A75,Entries!$A$2:$A$5000,"&lt;"&amp;EDATE($A75,1)))</f>
        <v/>
      </c>
      <c r="S75" s="23">
        <f>IF($BM75=0,NA(),N75+O75)</f>
        <v/>
      </c>
      <c r="T75" s="23">
        <f>IF($BM75=0,"",E75-Q75)</f>
        <v/>
      </c>
      <c r="W75" s="23">
        <f>IF(OR(W$1="",$BM75=0),"",SUMIFS(Entries!$E$2:$E$5000,Entries!$C$2:$C$5000,"Actual",Entries!$A$2:$A$5000,"&gt;="&amp;$A75,Entries!$A$2:$A$5000,"&lt;"&amp;EDATE($A75,1),Entries!$B$2:$B$5000,W$1))</f>
        <v/>
      </c>
      <c r="X75" s="23">
        <f>IF(OR(X$1="",$BM75=0),"",SUMIFS(Entries!$E$2:$E$5000,Entries!$C$2:$C$5000,"Actual",Entries!$A$2:$A$5000,"&gt;="&amp;$A75,Entries!$A$2:$A$5000,"&lt;"&amp;EDATE($A75,1),Entries!$B$2:$B$5000,X$1))</f>
        <v/>
      </c>
      <c r="Y75" s="23">
        <f>IF(OR(Y$1="",$BM75=0),"",SUMIFS(Entries!$E$2:$E$5000,Entries!$C$2:$C$5000,"Actual",Entries!$A$2:$A$5000,"&gt;="&amp;$A75,Entries!$A$2:$A$5000,"&lt;"&amp;EDATE($A75,1),Entries!$B$2:$B$5000,Y$1))</f>
        <v/>
      </c>
      <c r="Z75" s="23">
        <f>IF(OR(Z$1="",$BM75=0),"",SUMIFS(Entries!$E$2:$E$5000,Entries!$C$2:$C$5000,"Actual",Entries!$A$2:$A$5000,"&gt;="&amp;$A75,Entries!$A$2:$A$5000,"&lt;"&amp;EDATE($A75,1),Entries!$B$2:$B$5000,Z$1))</f>
        <v/>
      </c>
      <c r="AA75" s="23">
        <f>IF(OR(AA$1="",$BM75=0),"",SUMIFS(Entries!$E$2:$E$5000,Entries!$C$2:$C$5000,"Actual",Entries!$A$2:$A$5000,"&gt;="&amp;$A75,Entries!$A$2:$A$5000,"&lt;"&amp;EDATE($A75,1),Entries!$B$2:$B$5000,AA$1))</f>
        <v/>
      </c>
      <c r="AB75" s="23">
        <f>IF(OR(AB$1="",$BM75=0),"",SUMIFS(Entries!$E$2:$E$5000,Entries!$C$2:$C$5000,"Actual",Entries!$A$2:$A$5000,"&gt;="&amp;$A75,Entries!$A$2:$A$5000,"&lt;"&amp;EDATE($A75,1),Entries!$B$2:$B$5000,AB$1))</f>
        <v/>
      </c>
      <c r="AC75" s="23">
        <f>IF(OR(AC$1="",$BM75=0),"",SUMIFS(Entries!$E$2:$E$5000,Entries!$C$2:$C$5000,"Actual",Entries!$A$2:$A$5000,"&gt;="&amp;$A75,Entries!$A$2:$A$5000,"&lt;"&amp;EDATE($A75,1),Entries!$B$2:$B$5000,AC$1))</f>
        <v/>
      </c>
      <c r="AD75" s="23">
        <f>IF(OR(AD$1="",$BM75=0),"",SUMIFS(Entries!$E$2:$E$5000,Entries!$C$2:$C$5000,"Actual",Entries!$A$2:$A$5000,"&gt;="&amp;$A75,Entries!$A$2:$A$5000,"&lt;"&amp;EDATE($A75,1),Entries!$B$2:$B$5000,AD$1))</f>
        <v/>
      </c>
      <c r="AE75" s="23">
        <f>IF(OR(AE$1="",$BM75=0),"",SUMIFS(Entries!$E$2:$E$5000,Entries!$C$2:$C$5000,"Actual",Entries!$A$2:$A$5000,"&gt;="&amp;$A75,Entries!$A$2:$A$5000,"&lt;"&amp;EDATE($A75,1),Entries!$B$2:$B$5000,AE$1))</f>
        <v/>
      </c>
      <c r="AF75" s="23">
        <f>IF(OR(AF$1="",$BM75=0),"",SUMIFS(Entries!$E$2:$E$5000,Entries!$C$2:$C$5000,"Actual",Entries!$A$2:$A$5000,"&gt;="&amp;$A75,Entries!$A$2:$A$5000,"&lt;"&amp;EDATE($A75,1),Entries!$B$2:$B$5000,AF$1))</f>
        <v/>
      </c>
      <c r="AG75" s="23">
        <f>IF(OR(AG$1="",$BM75=0),"",SUMIFS(Entries!$E$2:$E$5000,Entries!$C$2:$C$5000,"Actual",Entries!$A$2:$A$5000,"&gt;="&amp;$A75,Entries!$A$2:$A$5000,"&lt;"&amp;EDATE($A75,1),Entries!$B$2:$B$5000,AG$1))</f>
        <v/>
      </c>
      <c r="AH75" s="23">
        <f>IF(OR(AH$1="",$BM75=0),"",SUMIFS(Entries!$E$2:$E$5000,Entries!$C$2:$C$5000,"Actual",Entries!$A$2:$A$5000,"&gt;="&amp;$A75,Entries!$A$2:$A$5000,"&lt;"&amp;EDATE($A75,1),Entries!$B$2:$B$5000,AH$1))</f>
        <v/>
      </c>
      <c r="AI75" s="23">
        <f>IF(OR(AI$1="",$BM75=0),"",SUMIFS(Entries!$E$2:$E$5000,Entries!$C$2:$C$5000,"Actual",Entries!$A$2:$A$5000,"&gt;="&amp;$A75,Entries!$A$2:$A$5000,"&lt;"&amp;EDATE($A75,1),Entries!$B$2:$B$5000,AI$1))</f>
        <v/>
      </c>
      <c r="AJ75" s="23">
        <f>IF(OR(AJ$1="",$BM75=0),"",SUMIFS(Entries!$E$2:$E$5000,Entries!$C$2:$C$5000,"Actual",Entries!$A$2:$A$5000,"&gt;="&amp;$A75,Entries!$A$2:$A$5000,"&lt;"&amp;EDATE($A75,1),Entries!$B$2:$B$5000,AJ$1))</f>
        <v/>
      </c>
      <c r="AK75" s="23">
        <f>IF(OR(AK$1="",$BM75=0),"",SUMIFS(Entries!$E$2:$E$5000,Entries!$C$2:$C$5000,"Actual",Entries!$A$2:$A$5000,"&gt;="&amp;$A75,Entries!$A$2:$A$5000,"&lt;"&amp;EDATE($A75,1),Entries!$B$2:$B$5000,AK$1))</f>
        <v/>
      </c>
      <c r="AL75" s="23">
        <f>IF(OR(AL$1="",$BM75=0),"",SUMIFS(Entries!$E$2:$E$5000,Entries!$C$2:$C$5000,"Actual",Entries!$A$2:$A$5000,"&gt;="&amp;$A75,Entries!$A$2:$A$5000,"&lt;"&amp;EDATE($A75,1),Entries!$B$2:$B$5000,AL$1))</f>
        <v/>
      </c>
      <c r="AM75" s="23">
        <f>IF(OR(AM$1="",$BM75=0),"",SUMIFS(Entries!$E$2:$E$5000,Entries!$C$2:$C$5000,"Actual",Entries!$A$2:$A$5000,"&gt;="&amp;$A75,Entries!$A$2:$A$5000,"&lt;"&amp;EDATE($A75,1),Entries!$B$2:$B$5000,AM$1))</f>
        <v/>
      </c>
      <c r="AN75" s="23">
        <f>IF(OR(AN$1="",$BM75=0),"",SUMIFS(Entries!$E$2:$E$5000,Entries!$C$2:$C$5000,"Actual",Entries!$A$2:$A$5000,"&gt;="&amp;$A75,Entries!$A$2:$A$5000,"&lt;"&amp;EDATE($A75,1),Entries!$B$2:$B$5000,AN$1))</f>
        <v/>
      </c>
      <c r="AO75" s="23">
        <f>IF(OR(AO$1="",$BM75=0),"",SUMIFS(Entries!$E$2:$E$5000,Entries!$C$2:$C$5000,"Actual",Entries!$A$2:$A$5000,"&gt;="&amp;$A75,Entries!$A$2:$A$5000,"&lt;"&amp;EDATE($A75,1),Entries!$B$2:$B$5000,AO$1))</f>
        <v/>
      </c>
      <c r="AP75" s="23">
        <f>IF(OR(AP$1="",$BM75=0),"",SUMIFS(Entries!$E$2:$E$5000,Entries!$C$2:$C$5000,"Actual",Entries!$A$2:$A$5000,"&gt;="&amp;$A75,Entries!$A$2:$A$5000,"&lt;"&amp;EDATE($A75,1),Entries!$B$2:$B$5000,AP$1))</f>
        <v/>
      </c>
      <c r="AR75" s="23">
        <f>IF(OR(AR$1="",$BM75=0),"",IFERROR(LOOKUP(2,1/((Budgets!$A$2:$A$200=AR$1)*(Budgets!$B$2:$B$200&lt;EDATE($A75,1))),Budgets!$C$2:$C$200),0))</f>
        <v/>
      </c>
      <c r="AS75" s="23">
        <f>IF(OR(AS$1="",$BM75=0),"",IFERROR(LOOKUP(2,1/((Budgets!$A$2:$A$200=AS$1)*(Budgets!$B$2:$B$200&lt;EDATE($A75,1))),Budgets!$C$2:$C$200),0))</f>
        <v/>
      </c>
      <c r="AT75" s="23">
        <f>IF(OR(AT$1="",$BM75=0),"",IFERROR(LOOKUP(2,1/((Budgets!$A$2:$A$200=AT$1)*(Budgets!$B$2:$B$200&lt;EDATE($A75,1))),Budgets!$C$2:$C$200),0))</f>
        <v/>
      </c>
      <c r="AU75" s="23">
        <f>IF(OR(AU$1="",$BM75=0),"",IFERROR(LOOKUP(2,1/((Budgets!$A$2:$A$200=AU$1)*(Budgets!$B$2:$B$200&lt;EDATE($A75,1))),Budgets!$C$2:$C$200),0))</f>
        <v/>
      </c>
      <c r="AV75" s="23">
        <f>IF(OR(AV$1="",$BM75=0),"",IFERROR(LOOKUP(2,1/((Budgets!$A$2:$A$200=AV$1)*(Budgets!$B$2:$B$200&lt;EDATE($A75,1))),Budgets!$C$2:$C$200),0))</f>
        <v/>
      </c>
      <c r="AW75" s="23">
        <f>IF(OR(AW$1="",$BM75=0),"",IFERROR(LOOKUP(2,1/((Budgets!$A$2:$A$200=AW$1)*(Budgets!$B$2:$B$200&lt;EDATE($A75,1))),Budgets!$C$2:$C$200),0))</f>
        <v/>
      </c>
      <c r="AX75" s="23">
        <f>IF(OR(AX$1="",$BM75=0),"",IFERROR(LOOKUP(2,1/((Budgets!$A$2:$A$200=AX$1)*(Budgets!$B$2:$B$200&lt;EDATE($A75,1))),Budgets!$C$2:$C$200),0))</f>
        <v/>
      </c>
      <c r="AY75" s="23">
        <f>IF(OR(AY$1="",$BM75=0),"",IFERROR(LOOKUP(2,1/((Budgets!$A$2:$A$200=AY$1)*(Budgets!$B$2:$B$200&lt;EDATE($A75,1))),Budgets!$C$2:$C$200),0))</f>
        <v/>
      </c>
      <c r="AZ75" s="23">
        <f>IF(OR(AZ$1="",$BM75=0),"",IFERROR(LOOKUP(2,1/((Budgets!$A$2:$A$200=AZ$1)*(Budgets!$B$2:$B$200&lt;EDATE($A75,1))),Budgets!$C$2:$C$200),0))</f>
        <v/>
      </c>
      <c r="BA75" s="23">
        <f>IF(OR(BA$1="",$BM75=0),"",IFERROR(LOOKUP(2,1/((Budgets!$A$2:$A$200=BA$1)*(Budgets!$B$2:$B$200&lt;EDATE($A75,1))),Budgets!$C$2:$C$200),0))</f>
        <v/>
      </c>
      <c r="BB75" s="23">
        <f>IF(OR(BB$1="",$BM75=0),"",IFERROR(LOOKUP(2,1/((Budgets!$A$2:$A$200=BB$1)*(Budgets!$B$2:$B$200&lt;EDATE($A75,1))),Budgets!$C$2:$C$200),0))</f>
        <v/>
      </c>
      <c r="BC75" s="23">
        <f>IF(OR(BC$1="",$BM75=0),"",IFERROR(LOOKUP(2,1/((Budgets!$A$2:$A$200=BC$1)*(Budgets!$B$2:$B$200&lt;EDATE($A75,1))),Budgets!$C$2:$C$200),0))</f>
        <v/>
      </c>
      <c r="BD75" s="23">
        <f>IF(OR(BD$1="",$BM75=0),"",IFERROR(LOOKUP(2,1/((Budgets!$A$2:$A$200=BD$1)*(Budgets!$B$2:$B$200&lt;EDATE($A75,1))),Budgets!$C$2:$C$200),0))</f>
        <v/>
      </c>
      <c r="BE75" s="23">
        <f>IF(OR(BE$1="",$BM75=0),"",IFERROR(LOOKUP(2,1/((Budgets!$A$2:$A$200=BE$1)*(Budgets!$B$2:$B$200&lt;EDATE($A75,1))),Budgets!$C$2:$C$200),0))</f>
        <v/>
      </c>
      <c r="BF75" s="23">
        <f>IF(OR(BF$1="",$BM75=0),"",IFERROR(LOOKUP(2,1/((Budgets!$A$2:$A$200=BF$1)*(Budgets!$B$2:$B$200&lt;EDATE($A75,1))),Budgets!$C$2:$C$200),0))</f>
        <v/>
      </c>
      <c r="BG75" s="23">
        <f>IF(OR(BG$1="",$BM75=0),"",IFERROR(LOOKUP(2,1/((Budgets!$A$2:$A$200=BG$1)*(Budgets!$B$2:$B$200&lt;EDATE($A75,1))),Budgets!$C$2:$C$200),0))</f>
        <v/>
      </c>
      <c r="BH75" s="23">
        <f>IF(OR(BH$1="",$BM75=0),"",IFERROR(LOOKUP(2,1/((Budgets!$A$2:$A$200=BH$1)*(Budgets!$B$2:$B$200&lt;EDATE($A75,1))),Budgets!$C$2:$C$200),0))</f>
        <v/>
      </c>
      <c r="BI75" s="23">
        <f>IF(OR(BI$1="",$BM75=0),"",IFERROR(LOOKUP(2,1/((Budgets!$A$2:$A$200=BI$1)*(Budgets!$B$2:$B$200&lt;EDATE($A75,1))),Budgets!$C$2:$C$200),0))</f>
        <v/>
      </c>
      <c r="BJ75" s="23">
        <f>IF(OR(BJ$1="",$BM75=0),"",IFERROR(LOOKUP(2,1/((Budgets!$A$2:$A$200=BJ$1)*(Budgets!$B$2:$B$200&lt;EDATE($A75,1))),Budgets!$C$2:$C$200),0))</f>
        <v/>
      </c>
      <c r="BK75" s="23">
        <f>IF(OR(BK$1="",$BM75=0),"",IFERROR(LOOKUP(2,1/((Budgets!$A$2:$A$200=BK$1)*(Budgets!$B$2:$B$200&lt;EDATE($A75,1))),Budgets!$C$2:$C$200),0))</f>
        <v/>
      </c>
      <c r="BM75" s="21">
        <f>COUNTIFS(Entries!$A$2:$A$5000,"&gt;="&amp;$A75,Entries!$A$2:$A$5000,"&lt;"&amp;EDATE($A75,1))</f>
        <v/>
      </c>
    </row>
    <row r="76">
      <c r="A76" s="22" t="n">
        <v>41699</v>
      </c>
      <c r="B76" s="23">
        <f>IF($BM76=0,NA(),SUMIFS(Entries!$E$2:$E$5000,Entries!$C$2:$C$5000,"Income",Entries!$A$2:$A$5000,"&gt;="&amp;$A76,Entries!$A$2:$A$5000,"&lt;"&amp;EDATE($A76,1)))</f>
        <v/>
      </c>
      <c r="C76" s="23">
        <f>IF($BM76=0,"",SUMIFS(Entries!$E$2:$E$5000,Entries!$C$2:$C$5000,"Actual",Entries!$A$2:$A$5000,"&gt;="&amp;$A76,Entries!$A$2:$A$5000,"&lt;"&amp;EDATE($A76,1)))</f>
        <v/>
      </c>
      <c r="D76" s="23">
        <f>IF($BM76=0,"",SUMIFS(Entries!$E$2:$E$5000,Entries!$C$2:$C$5000,"One-off",Entries!$A$2:$A$5000,"&gt;="&amp;$A76,Entries!$A$2:$A$5000,"&lt;"&amp;EDATE($A76,1)))</f>
        <v/>
      </c>
      <c r="E76" s="23">
        <f>IF($BM76=0,NA(),C76+D76)</f>
        <v/>
      </c>
      <c r="F76" s="23">
        <f>IF($BM76=0,"",SUM(AR76:BK76))</f>
        <v/>
      </c>
      <c r="G76" s="23">
        <f>IF($BM76=0,"",B76-E76)</f>
        <v/>
      </c>
      <c r="H76" s="23">
        <f>IF($BM76=0,"",SUM($G$2:G76))</f>
        <v/>
      </c>
      <c r="I76" s="23">
        <f>IF($BM76=0,"",SUMIFS(Entries!$G$2:$G$5000,Entries!$A$2:$A$5000,"&gt;="&amp;$A76,Entries!$A$2:$A$5000,"&lt;"&amp;EDATE($A76,1)))</f>
        <v/>
      </c>
      <c r="J76" s="23">
        <f>IF($BM76=0,NA(),H76)</f>
        <v/>
      </c>
      <c r="K76" s="23">
        <f>IF($BM76=0,"",SUMIFS(Entries!$E$2:$E$5000,Entries!$C$2:$C$5000,"Income",Entries!$A$2:$A$5000,"&gt;="&amp;EDATE($A76,-11),Entries!$A$2:$A$5000,"&lt;"&amp;EDATE($A76,1))/COUNTIFS($A$2:$A$400,"&gt;="&amp;EDATE($A76,-11),$A$2:$A$400,"&lt;"&amp;EDATE($A76,1),$BM$2:$BM$400,"&gt;0"))</f>
      </c>
      <c r="L76" s="23">
        <f>IF($BM76=0,"",(SUMIFS(Entries!$E$2:$E$5000,Entries!$C$2:$C$5000,"Actual",Entries!$A$2:$A$5000,"&gt;="&amp;EDATE($A76,-11),Entries!$A$2:$A$5000,"&lt;"&amp;EDATE($A76,1))+SUMIFS(Entries!$E$2:$E$5000,Entries!$C$2:$C$5000,"One-off",Entries!$A$2:$A$5000,"&gt;="&amp;EDATE($A76,-11),Entries!$A$2:$A$5000,"&lt;"&amp;EDATE($A76,1)))/COUNTIFS($A$2:$A$400,"&gt;="&amp;EDATE($A76,-11),$A$2:$A$400,"&lt;"&amp;EDATE($A76,1),$BM$2:$BM$400,"&gt;0"))</f>
      </c>
      <c r="M76" s="24">
        <f>IF($BM76=0,NA(),IFERROR((K76-L76)/K76,0))</f>
        <v/>
      </c>
      <c r="N76" s="23">
        <f>IF($BM76=0,NA(),SUMIFS(Entries!$E$2:$E$5000,Entries!$D$2:$D$5000,"Core",Entries!$A$2:$A$5000,"&gt;="&amp;$A76,Entries!$A$2:$A$5000,"&lt;"&amp;EDATE($A76,1)))</f>
        <v/>
      </c>
      <c r="O76" s="23">
        <f>IF($BM76=0,NA(),SUMIFS(Entries!$E$2:$E$5000,Entries!$D$2:$D$5000,"Over &amp; above",Entries!$A$2:$A$5000,"&gt;="&amp;$A76,Entries!$A$2:$A$5000,"&lt;"&amp;EDATE($A76,1)))</f>
        <v/>
      </c>
      <c r="P76" s="23">
        <f>IF($BM76=0,NA(),SUMIFS(Entries!$E$2:$E$5000,Entries!$D$2:$D$5000,"One-off",Entries!$A$2:$A$5000,"&gt;="&amp;$A76,Entries!$A$2:$A$5000,"&lt;"&amp;EDATE($A76,1)))</f>
        <v/>
      </c>
      <c r="Q76" s="23">
        <f>IF($BM76=0,NA(),SUMIFS(Entries!$E$2:$E$5000,Entries!$D$2:$D$5000,"Reimbursable",Entries!$A$2:$A$5000,"&gt;="&amp;$A76,Entries!$A$2:$A$5000,"&lt;"&amp;EDATE($A76,1)))</f>
        <v/>
      </c>
      <c r="R76" s="23">
        <f>IF($BM76=0,NA(),SUMIFS(Entries!$E$2:$E$5000,Entries!$D$2:$D$5000,"Investment",Entries!$A$2:$A$5000,"&gt;="&amp;$A76,Entries!$A$2:$A$5000,"&lt;"&amp;EDATE($A76,1)))</f>
        <v/>
      </c>
      <c r="S76" s="23">
        <f>IF($BM76=0,NA(),N76+O76)</f>
        <v/>
      </c>
      <c r="T76" s="23">
        <f>IF($BM76=0,"",E76-Q76)</f>
        <v/>
      </c>
      <c r="W76" s="23">
        <f>IF(OR(W$1="",$BM76=0),"",SUMIFS(Entries!$E$2:$E$5000,Entries!$C$2:$C$5000,"Actual",Entries!$A$2:$A$5000,"&gt;="&amp;$A76,Entries!$A$2:$A$5000,"&lt;"&amp;EDATE($A76,1),Entries!$B$2:$B$5000,W$1))</f>
        <v/>
      </c>
      <c r="X76" s="23">
        <f>IF(OR(X$1="",$BM76=0),"",SUMIFS(Entries!$E$2:$E$5000,Entries!$C$2:$C$5000,"Actual",Entries!$A$2:$A$5000,"&gt;="&amp;$A76,Entries!$A$2:$A$5000,"&lt;"&amp;EDATE($A76,1),Entries!$B$2:$B$5000,X$1))</f>
        <v/>
      </c>
      <c r="Y76" s="23">
        <f>IF(OR(Y$1="",$BM76=0),"",SUMIFS(Entries!$E$2:$E$5000,Entries!$C$2:$C$5000,"Actual",Entries!$A$2:$A$5000,"&gt;="&amp;$A76,Entries!$A$2:$A$5000,"&lt;"&amp;EDATE($A76,1),Entries!$B$2:$B$5000,Y$1))</f>
        <v/>
      </c>
      <c r="Z76" s="23">
        <f>IF(OR(Z$1="",$BM76=0),"",SUMIFS(Entries!$E$2:$E$5000,Entries!$C$2:$C$5000,"Actual",Entries!$A$2:$A$5000,"&gt;="&amp;$A76,Entries!$A$2:$A$5000,"&lt;"&amp;EDATE($A76,1),Entries!$B$2:$B$5000,Z$1))</f>
        <v/>
      </c>
      <c r="AA76" s="23">
        <f>IF(OR(AA$1="",$BM76=0),"",SUMIFS(Entries!$E$2:$E$5000,Entries!$C$2:$C$5000,"Actual",Entries!$A$2:$A$5000,"&gt;="&amp;$A76,Entries!$A$2:$A$5000,"&lt;"&amp;EDATE($A76,1),Entries!$B$2:$B$5000,AA$1))</f>
        <v/>
      </c>
      <c r="AB76" s="23">
        <f>IF(OR(AB$1="",$BM76=0),"",SUMIFS(Entries!$E$2:$E$5000,Entries!$C$2:$C$5000,"Actual",Entries!$A$2:$A$5000,"&gt;="&amp;$A76,Entries!$A$2:$A$5000,"&lt;"&amp;EDATE($A76,1),Entries!$B$2:$B$5000,AB$1))</f>
        <v/>
      </c>
      <c r="AC76" s="23">
        <f>IF(OR(AC$1="",$BM76=0),"",SUMIFS(Entries!$E$2:$E$5000,Entries!$C$2:$C$5000,"Actual",Entries!$A$2:$A$5000,"&gt;="&amp;$A76,Entries!$A$2:$A$5000,"&lt;"&amp;EDATE($A76,1),Entries!$B$2:$B$5000,AC$1))</f>
        <v/>
      </c>
      <c r="AD76" s="23">
        <f>IF(OR(AD$1="",$BM76=0),"",SUMIFS(Entries!$E$2:$E$5000,Entries!$C$2:$C$5000,"Actual",Entries!$A$2:$A$5000,"&gt;="&amp;$A76,Entries!$A$2:$A$5000,"&lt;"&amp;EDATE($A76,1),Entries!$B$2:$B$5000,AD$1))</f>
        <v/>
      </c>
      <c r="AE76" s="23">
        <f>IF(OR(AE$1="",$BM76=0),"",SUMIFS(Entries!$E$2:$E$5000,Entries!$C$2:$C$5000,"Actual",Entries!$A$2:$A$5000,"&gt;="&amp;$A76,Entries!$A$2:$A$5000,"&lt;"&amp;EDATE($A76,1),Entries!$B$2:$B$5000,AE$1))</f>
        <v/>
      </c>
      <c r="AF76" s="23">
        <f>IF(OR(AF$1="",$BM76=0),"",SUMIFS(Entries!$E$2:$E$5000,Entries!$C$2:$C$5000,"Actual",Entries!$A$2:$A$5000,"&gt;="&amp;$A76,Entries!$A$2:$A$5000,"&lt;"&amp;EDATE($A76,1),Entries!$B$2:$B$5000,AF$1))</f>
        <v/>
      </c>
      <c r="AG76" s="23">
        <f>IF(OR(AG$1="",$BM76=0),"",SUMIFS(Entries!$E$2:$E$5000,Entries!$C$2:$C$5000,"Actual",Entries!$A$2:$A$5000,"&gt;="&amp;$A76,Entries!$A$2:$A$5000,"&lt;"&amp;EDATE($A76,1),Entries!$B$2:$B$5000,AG$1))</f>
        <v/>
      </c>
      <c r="AH76" s="23">
        <f>IF(OR(AH$1="",$BM76=0),"",SUMIFS(Entries!$E$2:$E$5000,Entries!$C$2:$C$5000,"Actual",Entries!$A$2:$A$5000,"&gt;="&amp;$A76,Entries!$A$2:$A$5000,"&lt;"&amp;EDATE($A76,1),Entries!$B$2:$B$5000,AH$1))</f>
        <v/>
      </c>
      <c r="AI76" s="23">
        <f>IF(OR(AI$1="",$BM76=0),"",SUMIFS(Entries!$E$2:$E$5000,Entries!$C$2:$C$5000,"Actual",Entries!$A$2:$A$5000,"&gt;="&amp;$A76,Entries!$A$2:$A$5000,"&lt;"&amp;EDATE($A76,1),Entries!$B$2:$B$5000,AI$1))</f>
        <v/>
      </c>
      <c r="AJ76" s="23">
        <f>IF(OR(AJ$1="",$BM76=0),"",SUMIFS(Entries!$E$2:$E$5000,Entries!$C$2:$C$5000,"Actual",Entries!$A$2:$A$5000,"&gt;="&amp;$A76,Entries!$A$2:$A$5000,"&lt;"&amp;EDATE($A76,1),Entries!$B$2:$B$5000,AJ$1))</f>
        <v/>
      </c>
      <c r="AK76" s="23">
        <f>IF(OR(AK$1="",$BM76=0),"",SUMIFS(Entries!$E$2:$E$5000,Entries!$C$2:$C$5000,"Actual",Entries!$A$2:$A$5000,"&gt;="&amp;$A76,Entries!$A$2:$A$5000,"&lt;"&amp;EDATE($A76,1),Entries!$B$2:$B$5000,AK$1))</f>
        <v/>
      </c>
      <c r="AL76" s="23">
        <f>IF(OR(AL$1="",$BM76=0),"",SUMIFS(Entries!$E$2:$E$5000,Entries!$C$2:$C$5000,"Actual",Entries!$A$2:$A$5000,"&gt;="&amp;$A76,Entries!$A$2:$A$5000,"&lt;"&amp;EDATE($A76,1),Entries!$B$2:$B$5000,AL$1))</f>
        <v/>
      </c>
      <c r="AM76" s="23">
        <f>IF(OR(AM$1="",$BM76=0),"",SUMIFS(Entries!$E$2:$E$5000,Entries!$C$2:$C$5000,"Actual",Entries!$A$2:$A$5000,"&gt;="&amp;$A76,Entries!$A$2:$A$5000,"&lt;"&amp;EDATE($A76,1),Entries!$B$2:$B$5000,AM$1))</f>
        <v/>
      </c>
      <c r="AN76" s="23">
        <f>IF(OR(AN$1="",$BM76=0),"",SUMIFS(Entries!$E$2:$E$5000,Entries!$C$2:$C$5000,"Actual",Entries!$A$2:$A$5000,"&gt;="&amp;$A76,Entries!$A$2:$A$5000,"&lt;"&amp;EDATE($A76,1),Entries!$B$2:$B$5000,AN$1))</f>
        <v/>
      </c>
      <c r="AO76" s="23">
        <f>IF(OR(AO$1="",$BM76=0),"",SUMIFS(Entries!$E$2:$E$5000,Entries!$C$2:$C$5000,"Actual",Entries!$A$2:$A$5000,"&gt;="&amp;$A76,Entries!$A$2:$A$5000,"&lt;"&amp;EDATE($A76,1),Entries!$B$2:$B$5000,AO$1))</f>
        <v/>
      </c>
      <c r="AP76" s="23">
        <f>IF(OR(AP$1="",$BM76=0),"",SUMIFS(Entries!$E$2:$E$5000,Entries!$C$2:$C$5000,"Actual",Entries!$A$2:$A$5000,"&gt;="&amp;$A76,Entries!$A$2:$A$5000,"&lt;"&amp;EDATE($A76,1),Entries!$B$2:$B$5000,AP$1))</f>
        <v/>
      </c>
      <c r="AR76" s="23">
        <f>IF(OR(AR$1="",$BM76=0),"",IFERROR(LOOKUP(2,1/((Budgets!$A$2:$A$200=AR$1)*(Budgets!$B$2:$B$200&lt;EDATE($A76,1))),Budgets!$C$2:$C$200),0))</f>
        <v/>
      </c>
      <c r="AS76" s="23">
        <f>IF(OR(AS$1="",$BM76=0),"",IFERROR(LOOKUP(2,1/((Budgets!$A$2:$A$200=AS$1)*(Budgets!$B$2:$B$200&lt;EDATE($A76,1))),Budgets!$C$2:$C$200),0))</f>
        <v/>
      </c>
      <c r="AT76" s="23">
        <f>IF(OR(AT$1="",$BM76=0),"",IFERROR(LOOKUP(2,1/((Budgets!$A$2:$A$200=AT$1)*(Budgets!$B$2:$B$200&lt;EDATE($A76,1))),Budgets!$C$2:$C$200),0))</f>
        <v/>
      </c>
      <c r="AU76" s="23">
        <f>IF(OR(AU$1="",$BM76=0),"",IFERROR(LOOKUP(2,1/((Budgets!$A$2:$A$200=AU$1)*(Budgets!$B$2:$B$200&lt;EDATE($A76,1))),Budgets!$C$2:$C$200),0))</f>
        <v/>
      </c>
      <c r="AV76" s="23">
        <f>IF(OR(AV$1="",$BM76=0),"",IFERROR(LOOKUP(2,1/((Budgets!$A$2:$A$200=AV$1)*(Budgets!$B$2:$B$200&lt;EDATE($A76,1))),Budgets!$C$2:$C$200),0))</f>
        <v/>
      </c>
      <c r="AW76" s="23">
        <f>IF(OR(AW$1="",$BM76=0),"",IFERROR(LOOKUP(2,1/((Budgets!$A$2:$A$200=AW$1)*(Budgets!$B$2:$B$200&lt;EDATE($A76,1))),Budgets!$C$2:$C$200),0))</f>
        <v/>
      </c>
      <c r="AX76" s="23">
        <f>IF(OR(AX$1="",$BM76=0),"",IFERROR(LOOKUP(2,1/((Budgets!$A$2:$A$200=AX$1)*(Budgets!$B$2:$B$200&lt;EDATE($A76,1))),Budgets!$C$2:$C$200),0))</f>
        <v/>
      </c>
      <c r="AY76" s="23">
        <f>IF(OR(AY$1="",$BM76=0),"",IFERROR(LOOKUP(2,1/((Budgets!$A$2:$A$200=AY$1)*(Budgets!$B$2:$B$200&lt;EDATE($A76,1))),Budgets!$C$2:$C$200),0))</f>
        <v/>
      </c>
      <c r="AZ76" s="23">
        <f>IF(OR(AZ$1="",$BM76=0),"",IFERROR(LOOKUP(2,1/((Budgets!$A$2:$A$200=AZ$1)*(Budgets!$B$2:$B$200&lt;EDATE($A76,1))),Budgets!$C$2:$C$200),0))</f>
        <v/>
      </c>
      <c r="BA76" s="23">
        <f>IF(OR(BA$1="",$BM76=0),"",IFERROR(LOOKUP(2,1/((Budgets!$A$2:$A$200=BA$1)*(Budgets!$B$2:$B$200&lt;EDATE($A76,1))),Budgets!$C$2:$C$200),0))</f>
        <v/>
      </c>
      <c r="BB76" s="23">
        <f>IF(OR(BB$1="",$BM76=0),"",IFERROR(LOOKUP(2,1/((Budgets!$A$2:$A$200=BB$1)*(Budgets!$B$2:$B$200&lt;EDATE($A76,1))),Budgets!$C$2:$C$200),0))</f>
        <v/>
      </c>
      <c r="BC76" s="23">
        <f>IF(OR(BC$1="",$BM76=0),"",IFERROR(LOOKUP(2,1/((Budgets!$A$2:$A$200=BC$1)*(Budgets!$B$2:$B$200&lt;EDATE($A76,1))),Budgets!$C$2:$C$200),0))</f>
        <v/>
      </c>
      <c r="BD76" s="23">
        <f>IF(OR(BD$1="",$BM76=0),"",IFERROR(LOOKUP(2,1/((Budgets!$A$2:$A$200=BD$1)*(Budgets!$B$2:$B$200&lt;EDATE($A76,1))),Budgets!$C$2:$C$200),0))</f>
        <v/>
      </c>
      <c r="BE76" s="23">
        <f>IF(OR(BE$1="",$BM76=0),"",IFERROR(LOOKUP(2,1/((Budgets!$A$2:$A$200=BE$1)*(Budgets!$B$2:$B$200&lt;EDATE($A76,1))),Budgets!$C$2:$C$200),0))</f>
        <v/>
      </c>
      <c r="BF76" s="23">
        <f>IF(OR(BF$1="",$BM76=0),"",IFERROR(LOOKUP(2,1/((Budgets!$A$2:$A$200=BF$1)*(Budgets!$B$2:$B$200&lt;EDATE($A76,1))),Budgets!$C$2:$C$200),0))</f>
        <v/>
      </c>
      <c r="BG76" s="23">
        <f>IF(OR(BG$1="",$BM76=0),"",IFERROR(LOOKUP(2,1/((Budgets!$A$2:$A$200=BG$1)*(Budgets!$B$2:$B$200&lt;EDATE($A76,1))),Budgets!$C$2:$C$200),0))</f>
        <v/>
      </c>
      <c r="BH76" s="23">
        <f>IF(OR(BH$1="",$BM76=0),"",IFERROR(LOOKUP(2,1/((Budgets!$A$2:$A$200=BH$1)*(Budgets!$B$2:$B$200&lt;EDATE($A76,1))),Budgets!$C$2:$C$200),0))</f>
        <v/>
      </c>
      <c r="BI76" s="23">
        <f>IF(OR(BI$1="",$BM76=0),"",IFERROR(LOOKUP(2,1/((Budgets!$A$2:$A$200=BI$1)*(Budgets!$B$2:$B$200&lt;EDATE($A76,1))),Budgets!$C$2:$C$200),0))</f>
        <v/>
      </c>
      <c r="BJ76" s="23">
        <f>IF(OR(BJ$1="",$BM76=0),"",IFERROR(LOOKUP(2,1/((Budgets!$A$2:$A$200=BJ$1)*(Budgets!$B$2:$B$200&lt;EDATE($A76,1))),Budgets!$C$2:$C$200),0))</f>
        <v/>
      </c>
      <c r="BK76" s="23">
        <f>IF(OR(BK$1="",$BM76=0),"",IFERROR(LOOKUP(2,1/((Budgets!$A$2:$A$200=BK$1)*(Budgets!$B$2:$B$200&lt;EDATE($A76,1))),Budgets!$C$2:$C$200),0))</f>
        <v/>
      </c>
      <c r="BM76" s="21">
        <f>COUNTIFS(Entries!$A$2:$A$5000,"&gt;="&amp;$A76,Entries!$A$2:$A$5000,"&lt;"&amp;EDATE($A76,1))</f>
        <v/>
      </c>
    </row>
    <row r="77">
      <c r="A77" s="22" t="n">
        <v>41730</v>
      </c>
      <c r="B77" s="23">
        <f>IF($BM77=0,NA(),SUMIFS(Entries!$E$2:$E$5000,Entries!$C$2:$C$5000,"Income",Entries!$A$2:$A$5000,"&gt;="&amp;$A77,Entries!$A$2:$A$5000,"&lt;"&amp;EDATE($A77,1)))</f>
        <v/>
      </c>
      <c r="C77" s="23">
        <f>IF($BM77=0,"",SUMIFS(Entries!$E$2:$E$5000,Entries!$C$2:$C$5000,"Actual",Entries!$A$2:$A$5000,"&gt;="&amp;$A77,Entries!$A$2:$A$5000,"&lt;"&amp;EDATE($A77,1)))</f>
        <v/>
      </c>
      <c r="D77" s="23">
        <f>IF($BM77=0,"",SUMIFS(Entries!$E$2:$E$5000,Entries!$C$2:$C$5000,"One-off",Entries!$A$2:$A$5000,"&gt;="&amp;$A77,Entries!$A$2:$A$5000,"&lt;"&amp;EDATE($A77,1)))</f>
        <v/>
      </c>
      <c r="E77" s="23">
        <f>IF($BM77=0,NA(),C77+D77)</f>
        <v/>
      </c>
      <c r="F77" s="23">
        <f>IF($BM77=0,"",SUM(AR77:BK77))</f>
        <v/>
      </c>
      <c r="G77" s="23">
        <f>IF($BM77=0,"",B77-E77)</f>
        <v/>
      </c>
      <c r="H77" s="23">
        <f>IF($BM77=0,"",SUM($G$2:G77))</f>
        <v/>
      </c>
      <c r="I77" s="23">
        <f>IF($BM77=0,"",SUMIFS(Entries!$G$2:$G$5000,Entries!$A$2:$A$5000,"&gt;="&amp;$A77,Entries!$A$2:$A$5000,"&lt;"&amp;EDATE($A77,1)))</f>
        <v/>
      </c>
      <c r="J77" s="23">
        <f>IF($BM77=0,NA(),H77)</f>
        <v/>
      </c>
      <c r="K77" s="23">
        <f>IF($BM77=0,"",SUMIFS(Entries!$E$2:$E$5000,Entries!$C$2:$C$5000,"Income",Entries!$A$2:$A$5000,"&gt;="&amp;EDATE($A77,-11),Entries!$A$2:$A$5000,"&lt;"&amp;EDATE($A77,1))/COUNTIFS($A$2:$A$400,"&gt;="&amp;EDATE($A77,-11),$A$2:$A$400,"&lt;"&amp;EDATE($A77,1),$BM$2:$BM$400,"&gt;0"))</f>
      </c>
      <c r="L77" s="23">
        <f>IF($BM77=0,"",(SUMIFS(Entries!$E$2:$E$5000,Entries!$C$2:$C$5000,"Actual",Entries!$A$2:$A$5000,"&gt;="&amp;EDATE($A77,-11),Entries!$A$2:$A$5000,"&lt;"&amp;EDATE($A77,1))+SUMIFS(Entries!$E$2:$E$5000,Entries!$C$2:$C$5000,"One-off",Entries!$A$2:$A$5000,"&gt;="&amp;EDATE($A77,-11),Entries!$A$2:$A$5000,"&lt;"&amp;EDATE($A77,1)))/COUNTIFS($A$2:$A$400,"&gt;="&amp;EDATE($A77,-11),$A$2:$A$400,"&lt;"&amp;EDATE($A77,1),$BM$2:$BM$400,"&gt;0"))</f>
      </c>
      <c r="M77" s="24">
        <f>IF($BM77=0,NA(),IFERROR((K77-L77)/K77,0))</f>
        <v/>
      </c>
      <c r="N77" s="23">
        <f>IF($BM77=0,NA(),SUMIFS(Entries!$E$2:$E$5000,Entries!$D$2:$D$5000,"Core",Entries!$A$2:$A$5000,"&gt;="&amp;$A77,Entries!$A$2:$A$5000,"&lt;"&amp;EDATE($A77,1)))</f>
        <v/>
      </c>
      <c r="O77" s="23">
        <f>IF($BM77=0,NA(),SUMIFS(Entries!$E$2:$E$5000,Entries!$D$2:$D$5000,"Over &amp; above",Entries!$A$2:$A$5000,"&gt;="&amp;$A77,Entries!$A$2:$A$5000,"&lt;"&amp;EDATE($A77,1)))</f>
        <v/>
      </c>
      <c r="P77" s="23">
        <f>IF($BM77=0,NA(),SUMIFS(Entries!$E$2:$E$5000,Entries!$D$2:$D$5000,"One-off",Entries!$A$2:$A$5000,"&gt;="&amp;$A77,Entries!$A$2:$A$5000,"&lt;"&amp;EDATE($A77,1)))</f>
        <v/>
      </c>
      <c r="Q77" s="23">
        <f>IF($BM77=0,NA(),SUMIFS(Entries!$E$2:$E$5000,Entries!$D$2:$D$5000,"Reimbursable",Entries!$A$2:$A$5000,"&gt;="&amp;$A77,Entries!$A$2:$A$5000,"&lt;"&amp;EDATE($A77,1)))</f>
        <v/>
      </c>
      <c r="R77" s="23">
        <f>IF($BM77=0,NA(),SUMIFS(Entries!$E$2:$E$5000,Entries!$D$2:$D$5000,"Investment",Entries!$A$2:$A$5000,"&gt;="&amp;$A77,Entries!$A$2:$A$5000,"&lt;"&amp;EDATE($A77,1)))</f>
        <v/>
      </c>
      <c r="S77" s="23">
        <f>IF($BM77=0,NA(),N77+O77)</f>
        <v/>
      </c>
      <c r="T77" s="23">
        <f>IF($BM77=0,"",E77-Q77)</f>
        <v/>
      </c>
      <c r="W77" s="23">
        <f>IF(OR(W$1="",$BM77=0),"",SUMIFS(Entries!$E$2:$E$5000,Entries!$C$2:$C$5000,"Actual",Entries!$A$2:$A$5000,"&gt;="&amp;$A77,Entries!$A$2:$A$5000,"&lt;"&amp;EDATE($A77,1),Entries!$B$2:$B$5000,W$1))</f>
        <v/>
      </c>
      <c r="X77" s="23">
        <f>IF(OR(X$1="",$BM77=0),"",SUMIFS(Entries!$E$2:$E$5000,Entries!$C$2:$C$5000,"Actual",Entries!$A$2:$A$5000,"&gt;="&amp;$A77,Entries!$A$2:$A$5000,"&lt;"&amp;EDATE($A77,1),Entries!$B$2:$B$5000,X$1))</f>
        <v/>
      </c>
      <c r="Y77" s="23">
        <f>IF(OR(Y$1="",$BM77=0),"",SUMIFS(Entries!$E$2:$E$5000,Entries!$C$2:$C$5000,"Actual",Entries!$A$2:$A$5000,"&gt;="&amp;$A77,Entries!$A$2:$A$5000,"&lt;"&amp;EDATE($A77,1),Entries!$B$2:$B$5000,Y$1))</f>
        <v/>
      </c>
      <c r="Z77" s="23">
        <f>IF(OR(Z$1="",$BM77=0),"",SUMIFS(Entries!$E$2:$E$5000,Entries!$C$2:$C$5000,"Actual",Entries!$A$2:$A$5000,"&gt;="&amp;$A77,Entries!$A$2:$A$5000,"&lt;"&amp;EDATE($A77,1),Entries!$B$2:$B$5000,Z$1))</f>
        <v/>
      </c>
      <c r="AA77" s="23">
        <f>IF(OR(AA$1="",$BM77=0),"",SUMIFS(Entries!$E$2:$E$5000,Entries!$C$2:$C$5000,"Actual",Entries!$A$2:$A$5000,"&gt;="&amp;$A77,Entries!$A$2:$A$5000,"&lt;"&amp;EDATE($A77,1),Entries!$B$2:$B$5000,AA$1))</f>
        <v/>
      </c>
      <c r="AB77" s="23">
        <f>IF(OR(AB$1="",$BM77=0),"",SUMIFS(Entries!$E$2:$E$5000,Entries!$C$2:$C$5000,"Actual",Entries!$A$2:$A$5000,"&gt;="&amp;$A77,Entries!$A$2:$A$5000,"&lt;"&amp;EDATE($A77,1),Entries!$B$2:$B$5000,AB$1))</f>
        <v/>
      </c>
      <c r="AC77" s="23">
        <f>IF(OR(AC$1="",$BM77=0),"",SUMIFS(Entries!$E$2:$E$5000,Entries!$C$2:$C$5000,"Actual",Entries!$A$2:$A$5000,"&gt;="&amp;$A77,Entries!$A$2:$A$5000,"&lt;"&amp;EDATE($A77,1),Entries!$B$2:$B$5000,AC$1))</f>
        <v/>
      </c>
      <c r="AD77" s="23">
        <f>IF(OR(AD$1="",$BM77=0),"",SUMIFS(Entries!$E$2:$E$5000,Entries!$C$2:$C$5000,"Actual",Entries!$A$2:$A$5000,"&gt;="&amp;$A77,Entries!$A$2:$A$5000,"&lt;"&amp;EDATE($A77,1),Entries!$B$2:$B$5000,AD$1))</f>
        <v/>
      </c>
      <c r="AE77" s="23">
        <f>IF(OR(AE$1="",$BM77=0),"",SUMIFS(Entries!$E$2:$E$5000,Entries!$C$2:$C$5000,"Actual",Entries!$A$2:$A$5000,"&gt;="&amp;$A77,Entries!$A$2:$A$5000,"&lt;"&amp;EDATE($A77,1),Entries!$B$2:$B$5000,AE$1))</f>
        <v/>
      </c>
      <c r="AF77" s="23">
        <f>IF(OR(AF$1="",$BM77=0),"",SUMIFS(Entries!$E$2:$E$5000,Entries!$C$2:$C$5000,"Actual",Entries!$A$2:$A$5000,"&gt;="&amp;$A77,Entries!$A$2:$A$5000,"&lt;"&amp;EDATE($A77,1),Entries!$B$2:$B$5000,AF$1))</f>
        <v/>
      </c>
      <c r="AG77" s="23">
        <f>IF(OR(AG$1="",$BM77=0),"",SUMIFS(Entries!$E$2:$E$5000,Entries!$C$2:$C$5000,"Actual",Entries!$A$2:$A$5000,"&gt;="&amp;$A77,Entries!$A$2:$A$5000,"&lt;"&amp;EDATE($A77,1),Entries!$B$2:$B$5000,AG$1))</f>
        <v/>
      </c>
      <c r="AH77" s="23">
        <f>IF(OR(AH$1="",$BM77=0),"",SUMIFS(Entries!$E$2:$E$5000,Entries!$C$2:$C$5000,"Actual",Entries!$A$2:$A$5000,"&gt;="&amp;$A77,Entries!$A$2:$A$5000,"&lt;"&amp;EDATE($A77,1),Entries!$B$2:$B$5000,AH$1))</f>
        <v/>
      </c>
      <c r="AI77" s="23">
        <f>IF(OR(AI$1="",$BM77=0),"",SUMIFS(Entries!$E$2:$E$5000,Entries!$C$2:$C$5000,"Actual",Entries!$A$2:$A$5000,"&gt;="&amp;$A77,Entries!$A$2:$A$5000,"&lt;"&amp;EDATE($A77,1),Entries!$B$2:$B$5000,AI$1))</f>
        <v/>
      </c>
      <c r="AJ77" s="23">
        <f>IF(OR(AJ$1="",$BM77=0),"",SUMIFS(Entries!$E$2:$E$5000,Entries!$C$2:$C$5000,"Actual",Entries!$A$2:$A$5000,"&gt;="&amp;$A77,Entries!$A$2:$A$5000,"&lt;"&amp;EDATE($A77,1),Entries!$B$2:$B$5000,AJ$1))</f>
        <v/>
      </c>
      <c r="AK77" s="23">
        <f>IF(OR(AK$1="",$BM77=0),"",SUMIFS(Entries!$E$2:$E$5000,Entries!$C$2:$C$5000,"Actual",Entries!$A$2:$A$5000,"&gt;="&amp;$A77,Entries!$A$2:$A$5000,"&lt;"&amp;EDATE($A77,1),Entries!$B$2:$B$5000,AK$1))</f>
        <v/>
      </c>
      <c r="AL77" s="23">
        <f>IF(OR(AL$1="",$BM77=0),"",SUMIFS(Entries!$E$2:$E$5000,Entries!$C$2:$C$5000,"Actual",Entries!$A$2:$A$5000,"&gt;="&amp;$A77,Entries!$A$2:$A$5000,"&lt;"&amp;EDATE($A77,1),Entries!$B$2:$B$5000,AL$1))</f>
        <v/>
      </c>
      <c r="AM77" s="23">
        <f>IF(OR(AM$1="",$BM77=0),"",SUMIFS(Entries!$E$2:$E$5000,Entries!$C$2:$C$5000,"Actual",Entries!$A$2:$A$5000,"&gt;="&amp;$A77,Entries!$A$2:$A$5000,"&lt;"&amp;EDATE($A77,1),Entries!$B$2:$B$5000,AM$1))</f>
        <v/>
      </c>
      <c r="AN77" s="23">
        <f>IF(OR(AN$1="",$BM77=0),"",SUMIFS(Entries!$E$2:$E$5000,Entries!$C$2:$C$5000,"Actual",Entries!$A$2:$A$5000,"&gt;="&amp;$A77,Entries!$A$2:$A$5000,"&lt;"&amp;EDATE($A77,1),Entries!$B$2:$B$5000,AN$1))</f>
        <v/>
      </c>
      <c r="AO77" s="23">
        <f>IF(OR(AO$1="",$BM77=0),"",SUMIFS(Entries!$E$2:$E$5000,Entries!$C$2:$C$5000,"Actual",Entries!$A$2:$A$5000,"&gt;="&amp;$A77,Entries!$A$2:$A$5000,"&lt;"&amp;EDATE($A77,1),Entries!$B$2:$B$5000,AO$1))</f>
        <v/>
      </c>
      <c r="AP77" s="23">
        <f>IF(OR(AP$1="",$BM77=0),"",SUMIFS(Entries!$E$2:$E$5000,Entries!$C$2:$C$5000,"Actual",Entries!$A$2:$A$5000,"&gt;="&amp;$A77,Entries!$A$2:$A$5000,"&lt;"&amp;EDATE($A77,1),Entries!$B$2:$B$5000,AP$1))</f>
        <v/>
      </c>
      <c r="AR77" s="23">
        <f>IF(OR(AR$1="",$BM77=0),"",IFERROR(LOOKUP(2,1/((Budgets!$A$2:$A$200=AR$1)*(Budgets!$B$2:$B$200&lt;EDATE($A77,1))),Budgets!$C$2:$C$200),0))</f>
        <v/>
      </c>
      <c r="AS77" s="23">
        <f>IF(OR(AS$1="",$BM77=0),"",IFERROR(LOOKUP(2,1/((Budgets!$A$2:$A$200=AS$1)*(Budgets!$B$2:$B$200&lt;EDATE($A77,1))),Budgets!$C$2:$C$200),0))</f>
        <v/>
      </c>
      <c r="AT77" s="23">
        <f>IF(OR(AT$1="",$BM77=0),"",IFERROR(LOOKUP(2,1/((Budgets!$A$2:$A$200=AT$1)*(Budgets!$B$2:$B$200&lt;EDATE($A77,1))),Budgets!$C$2:$C$200),0))</f>
        <v/>
      </c>
      <c r="AU77" s="23">
        <f>IF(OR(AU$1="",$BM77=0),"",IFERROR(LOOKUP(2,1/((Budgets!$A$2:$A$200=AU$1)*(Budgets!$B$2:$B$200&lt;EDATE($A77,1))),Budgets!$C$2:$C$200),0))</f>
        <v/>
      </c>
      <c r="AV77" s="23">
        <f>IF(OR(AV$1="",$BM77=0),"",IFERROR(LOOKUP(2,1/((Budgets!$A$2:$A$200=AV$1)*(Budgets!$B$2:$B$200&lt;EDATE($A77,1))),Budgets!$C$2:$C$200),0))</f>
        <v/>
      </c>
      <c r="AW77" s="23">
        <f>IF(OR(AW$1="",$BM77=0),"",IFERROR(LOOKUP(2,1/((Budgets!$A$2:$A$200=AW$1)*(Budgets!$B$2:$B$200&lt;EDATE($A77,1))),Budgets!$C$2:$C$200),0))</f>
        <v/>
      </c>
      <c r="AX77" s="23">
        <f>IF(OR(AX$1="",$BM77=0),"",IFERROR(LOOKUP(2,1/((Budgets!$A$2:$A$200=AX$1)*(Budgets!$B$2:$B$200&lt;EDATE($A77,1))),Budgets!$C$2:$C$200),0))</f>
        <v/>
      </c>
      <c r="AY77" s="23">
        <f>IF(OR(AY$1="",$BM77=0),"",IFERROR(LOOKUP(2,1/((Budgets!$A$2:$A$200=AY$1)*(Budgets!$B$2:$B$200&lt;EDATE($A77,1))),Budgets!$C$2:$C$200),0))</f>
        <v/>
      </c>
      <c r="AZ77" s="23">
        <f>IF(OR(AZ$1="",$BM77=0),"",IFERROR(LOOKUP(2,1/((Budgets!$A$2:$A$200=AZ$1)*(Budgets!$B$2:$B$200&lt;EDATE($A77,1))),Budgets!$C$2:$C$200),0))</f>
        <v/>
      </c>
      <c r="BA77" s="23">
        <f>IF(OR(BA$1="",$BM77=0),"",IFERROR(LOOKUP(2,1/((Budgets!$A$2:$A$200=BA$1)*(Budgets!$B$2:$B$200&lt;EDATE($A77,1))),Budgets!$C$2:$C$200),0))</f>
        <v/>
      </c>
      <c r="BB77" s="23">
        <f>IF(OR(BB$1="",$BM77=0),"",IFERROR(LOOKUP(2,1/((Budgets!$A$2:$A$200=BB$1)*(Budgets!$B$2:$B$200&lt;EDATE($A77,1))),Budgets!$C$2:$C$200),0))</f>
        <v/>
      </c>
      <c r="BC77" s="23">
        <f>IF(OR(BC$1="",$BM77=0),"",IFERROR(LOOKUP(2,1/((Budgets!$A$2:$A$200=BC$1)*(Budgets!$B$2:$B$200&lt;EDATE($A77,1))),Budgets!$C$2:$C$200),0))</f>
        <v/>
      </c>
      <c r="BD77" s="23">
        <f>IF(OR(BD$1="",$BM77=0),"",IFERROR(LOOKUP(2,1/((Budgets!$A$2:$A$200=BD$1)*(Budgets!$B$2:$B$200&lt;EDATE($A77,1))),Budgets!$C$2:$C$200),0))</f>
        <v/>
      </c>
      <c r="BE77" s="23">
        <f>IF(OR(BE$1="",$BM77=0),"",IFERROR(LOOKUP(2,1/((Budgets!$A$2:$A$200=BE$1)*(Budgets!$B$2:$B$200&lt;EDATE($A77,1))),Budgets!$C$2:$C$200),0))</f>
        <v/>
      </c>
      <c r="BF77" s="23">
        <f>IF(OR(BF$1="",$BM77=0),"",IFERROR(LOOKUP(2,1/((Budgets!$A$2:$A$200=BF$1)*(Budgets!$B$2:$B$200&lt;EDATE($A77,1))),Budgets!$C$2:$C$200),0))</f>
        <v/>
      </c>
      <c r="BG77" s="23">
        <f>IF(OR(BG$1="",$BM77=0),"",IFERROR(LOOKUP(2,1/((Budgets!$A$2:$A$200=BG$1)*(Budgets!$B$2:$B$200&lt;EDATE($A77,1))),Budgets!$C$2:$C$200),0))</f>
        <v/>
      </c>
      <c r="BH77" s="23">
        <f>IF(OR(BH$1="",$BM77=0),"",IFERROR(LOOKUP(2,1/((Budgets!$A$2:$A$200=BH$1)*(Budgets!$B$2:$B$200&lt;EDATE($A77,1))),Budgets!$C$2:$C$200),0))</f>
        <v/>
      </c>
      <c r="BI77" s="23">
        <f>IF(OR(BI$1="",$BM77=0),"",IFERROR(LOOKUP(2,1/((Budgets!$A$2:$A$200=BI$1)*(Budgets!$B$2:$B$200&lt;EDATE($A77,1))),Budgets!$C$2:$C$200),0))</f>
        <v/>
      </c>
      <c r="BJ77" s="23">
        <f>IF(OR(BJ$1="",$BM77=0),"",IFERROR(LOOKUP(2,1/((Budgets!$A$2:$A$200=BJ$1)*(Budgets!$B$2:$B$200&lt;EDATE($A77,1))),Budgets!$C$2:$C$200),0))</f>
        <v/>
      </c>
      <c r="BK77" s="23">
        <f>IF(OR(BK$1="",$BM77=0),"",IFERROR(LOOKUP(2,1/((Budgets!$A$2:$A$200=BK$1)*(Budgets!$B$2:$B$200&lt;EDATE($A77,1))),Budgets!$C$2:$C$200),0))</f>
        <v/>
      </c>
      <c r="BM77" s="21">
        <f>COUNTIFS(Entries!$A$2:$A$5000,"&gt;="&amp;$A77,Entries!$A$2:$A$5000,"&lt;"&amp;EDATE($A77,1))</f>
        <v/>
      </c>
    </row>
    <row r="78">
      <c r="A78" s="22" t="n">
        <v>41760</v>
      </c>
      <c r="B78" s="23">
        <f>IF($BM78=0,NA(),SUMIFS(Entries!$E$2:$E$5000,Entries!$C$2:$C$5000,"Income",Entries!$A$2:$A$5000,"&gt;="&amp;$A78,Entries!$A$2:$A$5000,"&lt;"&amp;EDATE($A78,1)))</f>
        <v/>
      </c>
      <c r="C78" s="23">
        <f>IF($BM78=0,"",SUMIFS(Entries!$E$2:$E$5000,Entries!$C$2:$C$5000,"Actual",Entries!$A$2:$A$5000,"&gt;="&amp;$A78,Entries!$A$2:$A$5000,"&lt;"&amp;EDATE($A78,1)))</f>
        <v/>
      </c>
      <c r="D78" s="23">
        <f>IF($BM78=0,"",SUMIFS(Entries!$E$2:$E$5000,Entries!$C$2:$C$5000,"One-off",Entries!$A$2:$A$5000,"&gt;="&amp;$A78,Entries!$A$2:$A$5000,"&lt;"&amp;EDATE($A78,1)))</f>
        <v/>
      </c>
      <c r="E78" s="23">
        <f>IF($BM78=0,NA(),C78+D78)</f>
        <v/>
      </c>
      <c r="F78" s="23">
        <f>IF($BM78=0,"",SUM(AR78:BK78))</f>
        <v/>
      </c>
      <c r="G78" s="23">
        <f>IF($BM78=0,"",B78-E78)</f>
        <v/>
      </c>
      <c r="H78" s="23">
        <f>IF($BM78=0,"",SUM($G$2:G78))</f>
        <v/>
      </c>
      <c r="I78" s="23">
        <f>IF($BM78=0,"",SUMIFS(Entries!$G$2:$G$5000,Entries!$A$2:$A$5000,"&gt;="&amp;$A78,Entries!$A$2:$A$5000,"&lt;"&amp;EDATE($A78,1)))</f>
        <v/>
      </c>
      <c r="J78" s="23">
        <f>IF($BM78=0,NA(),H78)</f>
        <v/>
      </c>
      <c r="K78" s="23">
        <f>IF($BM78=0,"",SUMIFS(Entries!$E$2:$E$5000,Entries!$C$2:$C$5000,"Income",Entries!$A$2:$A$5000,"&gt;="&amp;EDATE($A78,-11),Entries!$A$2:$A$5000,"&lt;"&amp;EDATE($A78,1))/COUNTIFS($A$2:$A$400,"&gt;="&amp;EDATE($A78,-11),$A$2:$A$400,"&lt;"&amp;EDATE($A78,1),$BM$2:$BM$400,"&gt;0"))</f>
      </c>
      <c r="L78" s="23">
        <f>IF($BM78=0,"",(SUMIFS(Entries!$E$2:$E$5000,Entries!$C$2:$C$5000,"Actual",Entries!$A$2:$A$5000,"&gt;="&amp;EDATE($A78,-11),Entries!$A$2:$A$5000,"&lt;"&amp;EDATE($A78,1))+SUMIFS(Entries!$E$2:$E$5000,Entries!$C$2:$C$5000,"One-off",Entries!$A$2:$A$5000,"&gt;="&amp;EDATE($A78,-11),Entries!$A$2:$A$5000,"&lt;"&amp;EDATE($A78,1)))/COUNTIFS($A$2:$A$400,"&gt;="&amp;EDATE($A78,-11),$A$2:$A$400,"&lt;"&amp;EDATE($A78,1),$BM$2:$BM$400,"&gt;0"))</f>
      </c>
      <c r="M78" s="24">
        <f>IF($BM78=0,NA(),IFERROR((K78-L78)/K78,0))</f>
        <v/>
      </c>
      <c r="N78" s="23">
        <f>IF($BM78=0,NA(),SUMIFS(Entries!$E$2:$E$5000,Entries!$D$2:$D$5000,"Core",Entries!$A$2:$A$5000,"&gt;="&amp;$A78,Entries!$A$2:$A$5000,"&lt;"&amp;EDATE($A78,1)))</f>
        <v/>
      </c>
      <c r="O78" s="23">
        <f>IF($BM78=0,NA(),SUMIFS(Entries!$E$2:$E$5000,Entries!$D$2:$D$5000,"Over &amp; above",Entries!$A$2:$A$5000,"&gt;="&amp;$A78,Entries!$A$2:$A$5000,"&lt;"&amp;EDATE($A78,1)))</f>
        <v/>
      </c>
      <c r="P78" s="23">
        <f>IF($BM78=0,NA(),SUMIFS(Entries!$E$2:$E$5000,Entries!$D$2:$D$5000,"One-off",Entries!$A$2:$A$5000,"&gt;="&amp;$A78,Entries!$A$2:$A$5000,"&lt;"&amp;EDATE($A78,1)))</f>
        <v/>
      </c>
      <c r="Q78" s="23">
        <f>IF($BM78=0,NA(),SUMIFS(Entries!$E$2:$E$5000,Entries!$D$2:$D$5000,"Reimbursable",Entries!$A$2:$A$5000,"&gt;="&amp;$A78,Entries!$A$2:$A$5000,"&lt;"&amp;EDATE($A78,1)))</f>
        <v/>
      </c>
      <c r="R78" s="23">
        <f>IF($BM78=0,NA(),SUMIFS(Entries!$E$2:$E$5000,Entries!$D$2:$D$5000,"Investment",Entries!$A$2:$A$5000,"&gt;="&amp;$A78,Entries!$A$2:$A$5000,"&lt;"&amp;EDATE($A78,1)))</f>
        <v/>
      </c>
      <c r="S78" s="23">
        <f>IF($BM78=0,NA(),N78+O78)</f>
        <v/>
      </c>
      <c r="T78" s="23">
        <f>IF($BM78=0,"",E78-Q78)</f>
        <v/>
      </c>
      <c r="W78" s="23">
        <f>IF(OR(W$1="",$BM78=0),"",SUMIFS(Entries!$E$2:$E$5000,Entries!$C$2:$C$5000,"Actual",Entries!$A$2:$A$5000,"&gt;="&amp;$A78,Entries!$A$2:$A$5000,"&lt;"&amp;EDATE($A78,1),Entries!$B$2:$B$5000,W$1))</f>
        <v/>
      </c>
      <c r="X78" s="23">
        <f>IF(OR(X$1="",$BM78=0),"",SUMIFS(Entries!$E$2:$E$5000,Entries!$C$2:$C$5000,"Actual",Entries!$A$2:$A$5000,"&gt;="&amp;$A78,Entries!$A$2:$A$5000,"&lt;"&amp;EDATE($A78,1),Entries!$B$2:$B$5000,X$1))</f>
        <v/>
      </c>
      <c r="Y78" s="23">
        <f>IF(OR(Y$1="",$BM78=0),"",SUMIFS(Entries!$E$2:$E$5000,Entries!$C$2:$C$5000,"Actual",Entries!$A$2:$A$5000,"&gt;="&amp;$A78,Entries!$A$2:$A$5000,"&lt;"&amp;EDATE($A78,1),Entries!$B$2:$B$5000,Y$1))</f>
        <v/>
      </c>
      <c r="Z78" s="23">
        <f>IF(OR(Z$1="",$BM78=0),"",SUMIFS(Entries!$E$2:$E$5000,Entries!$C$2:$C$5000,"Actual",Entries!$A$2:$A$5000,"&gt;="&amp;$A78,Entries!$A$2:$A$5000,"&lt;"&amp;EDATE($A78,1),Entries!$B$2:$B$5000,Z$1))</f>
        <v/>
      </c>
      <c r="AA78" s="23">
        <f>IF(OR(AA$1="",$BM78=0),"",SUMIFS(Entries!$E$2:$E$5000,Entries!$C$2:$C$5000,"Actual",Entries!$A$2:$A$5000,"&gt;="&amp;$A78,Entries!$A$2:$A$5000,"&lt;"&amp;EDATE($A78,1),Entries!$B$2:$B$5000,AA$1))</f>
        <v/>
      </c>
      <c r="AB78" s="23">
        <f>IF(OR(AB$1="",$BM78=0),"",SUMIFS(Entries!$E$2:$E$5000,Entries!$C$2:$C$5000,"Actual",Entries!$A$2:$A$5000,"&gt;="&amp;$A78,Entries!$A$2:$A$5000,"&lt;"&amp;EDATE($A78,1),Entries!$B$2:$B$5000,AB$1))</f>
        <v/>
      </c>
      <c r="AC78" s="23">
        <f>IF(OR(AC$1="",$BM78=0),"",SUMIFS(Entries!$E$2:$E$5000,Entries!$C$2:$C$5000,"Actual",Entries!$A$2:$A$5000,"&gt;="&amp;$A78,Entries!$A$2:$A$5000,"&lt;"&amp;EDATE($A78,1),Entries!$B$2:$B$5000,AC$1))</f>
        <v/>
      </c>
      <c r="AD78" s="23">
        <f>IF(OR(AD$1="",$BM78=0),"",SUMIFS(Entries!$E$2:$E$5000,Entries!$C$2:$C$5000,"Actual",Entries!$A$2:$A$5000,"&gt;="&amp;$A78,Entries!$A$2:$A$5000,"&lt;"&amp;EDATE($A78,1),Entries!$B$2:$B$5000,AD$1))</f>
        <v/>
      </c>
      <c r="AE78" s="23">
        <f>IF(OR(AE$1="",$BM78=0),"",SUMIFS(Entries!$E$2:$E$5000,Entries!$C$2:$C$5000,"Actual",Entries!$A$2:$A$5000,"&gt;="&amp;$A78,Entries!$A$2:$A$5000,"&lt;"&amp;EDATE($A78,1),Entries!$B$2:$B$5000,AE$1))</f>
        <v/>
      </c>
      <c r="AF78" s="23">
        <f>IF(OR(AF$1="",$BM78=0),"",SUMIFS(Entries!$E$2:$E$5000,Entries!$C$2:$C$5000,"Actual",Entries!$A$2:$A$5000,"&gt;="&amp;$A78,Entries!$A$2:$A$5000,"&lt;"&amp;EDATE($A78,1),Entries!$B$2:$B$5000,AF$1))</f>
        <v/>
      </c>
      <c r="AG78" s="23">
        <f>IF(OR(AG$1="",$BM78=0),"",SUMIFS(Entries!$E$2:$E$5000,Entries!$C$2:$C$5000,"Actual",Entries!$A$2:$A$5000,"&gt;="&amp;$A78,Entries!$A$2:$A$5000,"&lt;"&amp;EDATE($A78,1),Entries!$B$2:$B$5000,AG$1))</f>
        <v/>
      </c>
      <c r="AH78" s="23">
        <f>IF(OR(AH$1="",$BM78=0),"",SUMIFS(Entries!$E$2:$E$5000,Entries!$C$2:$C$5000,"Actual",Entries!$A$2:$A$5000,"&gt;="&amp;$A78,Entries!$A$2:$A$5000,"&lt;"&amp;EDATE($A78,1),Entries!$B$2:$B$5000,AH$1))</f>
        <v/>
      </c>
      <c r="AI78" s="23">
        <f>IF(OR(AI$1="",$BM78=0),"",SUMIFS(Entries!$E$2:$E$5000,Entries!$C$2:$C$5000,"Actual",Entries!$A$2:$A$5000,"&gt;="&amp;$A78,Entries!$A$2:$A$5000,"&lt;"&amp;EDATE($A78,1),Entries!$B$2:$B$5000,AI$1))</f>
        <v/>
      </c>
      <c r="AJ78" s="23">
        <f>IF(OR(AJ$1="",$BM78=0),"",SUMIFS(Entries!$E$2:$E$5000,Entries!$C$2:$C$5000,"Actual",Entries!$A$2:$A$5000,"&gt;="&amp;$A78,Entries!$A$2:$A$5000,"&lt;"&amp;EDATE($A78,1),Entries!$B$2:$B$5000,AJ$1))</f>
        <v/>
      </c>
      <c r="AK78" s="23">
        <f>IF(OR(AK$1="",$BM78=0),"",SUMIFS(Entries!$E$2:$E$5000,Entries!$C$2:$C$5000,"Actual",Entries!$A$2:$A$5000,"&gt;="&amp;$A78,Entries!$A$2:$A$5000,"&lt;"&amp;EDATE($A78,1),Entries!$B$2:$B$5000,AK$1))</f>
        <v/>
      </c>
      <c r="AL78" s="23">
        <f>IF(OR(AL$1="",$BM78=0),"",SUMIFS(Entries!$E$2:$E$5000,Entries!$C$2:$C$5000,"Actual",Entries!$A$2:$A$5000,"&gt;="&amp;$A78,Entries!$A$2:$A$5000,"&lt;"&amp;EDATE($A78,1),Entries!$B$2:$B$5000,AL$1))</f>
        <v/>
      </c>
      <c r="AM78" s="23">
        <f>IF(OR(AM$1="",$BM78=0),"",SUMIFS(Entries!$E$2:$E$5000,Entries!$C$2:$C$5000,"Actual",Entries!$A$2:$A$5000,"&gt;="&amp;$A78,Entries!$A$2:$A$5000,"&lt;"&amp;EDATE($A78,1),Entries!$B$2:$B$5000,AM$1))</f>
        <v/>
      </c>
      <c r="AN78" s="23">
        <f>IF(OR(AN$1="",$BM78=0),"",SUMIFS(Entries!$E$2:$E$5000,Entries!$C$2:$C$5000,"Actual",Entries!$A$2:$A$5000,"&gt;="&amp;$A78,Entries!$A$2:$A$5000,"&lt;"&amp;EDATE($A78,1),Entries!$B$2:$B$5000,AN$1))</f>
        <v/>
      </c>
      <c r="AO78" s="23">
        <f>IF(OR(AO$1="",$BM78=0),"",SUMIFS(Entries!$E$2:$E$5000,Entries!$C$2:$C$5000,"Actual",Entries!$A$2:$A$5000,"&gt;="&amp;$A78,Entries!$A$2:$A$5000,"&lt;"&amp;EDATE($A78,1),Entries!$B$2:$B$5000,AO$1))</f>
        <v/>
      </c>
      <c r="AP78" s="23">
        <f>IF(OR(AP$1="",$BM78=0),"",SUMIFS(Entries!$E$2:$E$5000,Entries!$C$2:$C$5000,"Actual",Entries!$A$2:$A$5000,"&gt;="&amp;$A78,Entries!$A$2:$A$5000,"&lt;"&amp;EDATE($A78,1),Entries!$B$2:$B$5000,AP$1))</f>
        <v/>
      </c>
      <c r="AR78" s="23">
        <f>IF(OR(AR$1="",$BM78=0),"",IFERROR(LOOKUP(2,1/((Budgets!$A$2:$A$200=AR$1)*(Budgets!$B$2:$B$200&lt;EDATE($A78,1))),Budgets!$C$2:$C$200),0))</f>
        <v/>
      </c>
      <c r="AS78" s="23">
        <f>IF(OR(AS$1="",$BM78=0),"",IFERROR(LOOKUP(2,1/((Budgets!$A$2:$A$200=AS$1)*(Budgets!$B$2:$B$200&lt;EDATE($A78,1))),Budgets!$C$2:$C$200),0))</f>
        <v/>
      </c>
      <c r="AT78" s="23">
        <f>IF(OR(AT$1="",$BM78=0),"",IFERROR(LOOKUP(2,1/((Budgets!$A$2:$A$200=AT$1)*(Budgets!$B$2:$B$200&lt;EDATE($A78,1))),Budgets!$C$2:$C$200),0))</f>
        <v/>
      </c>
      <c r="AU78" s="23">
        <f>IF(OR(AU$1="",$BM78=0),"",IFERROR(LOOKUP(2,1/((Budgets!$A$2:$A$200=AU$1)*(Budgets!$B$2:$B$200&lt;EDATE($A78,1))),Budgets!$C$2:$C$200),0))</f>
        <v/>
      </c>
      <c r="AV78" s="23">
        <f>IF(OR(AV$1="",$BM78=0),"",IFERROR(LOOKUP(2,1/((Budgets!$A$2:$A$200=AV$1)*(Budgets!$B$2:$B$200&lt;EDATE($A78,1))),Budgets!$C$2:$C$200),0))</f>
        <v/>
      </c>
      <c r="AW78" s="23">
        <f>IF(OR(AW$1="",$BM78=0),"",IFERROR(LOOKUP(2,1/((Budgets!$A$2:$A$200=AW$1)*(Budgets!$B$2:$B$200&lt;EDATE($A78,1))),Budgets!$C$2:$C$200),0))</f>
        <v/>
      </c>
      <c r="AX78" s="23">
        <f>IF(OR(AX$1="",$BM78=0),"",IFERROR(LOOKUP(2,1/((Budgets!$A$2:$A$200=AX$1)*(Budgets!$B$2:$B$200&lt;EDATE($A78,1))),Budgets!$C$2:$C$200),0))</f>
        <v/>
      </c>
      <c r="AY78" s="23">
        <f>IF(OR(AY$1="",$BM78=0),"",IFERROR(LOOKUP(2,1/((Budgets!$A$2:$A$200=AY$1)*(Budgets!$B$2:$B$200&lt;EDATE($A78,1))),Budgets!$C$2:$C$200),0))</f>
        <v/>
      </c>
      <c r="AZ78" s="23">
        <f>IF(OR(AZ$1="",$BM78=0),"",IFERROR(LOOKUP(2,1/((Budgets!$A$2:$A$200=AZ$1)*(Budgets!$B$2:$B$200&lt;EDATE($A78,1))),Budgets!$C$2:$C$200),0))</f>
        <v/>
      </c>
      <c r="BA78" s="23">
        <f>IF(OR(BA$1="",$BM78=0),"",IFERROR(LOOKUP(2,1/((Budgets!$A$2:$A$200=BA$1)*(Budgets!$B$2:$B$200&lt;EDATE($A78,1))),Budgets!$C$2:$C$200),0))</f>
        <v/>
      </c>
      <c r="BB78" s="23">
        <f>IF(OR(BB$1="",$BM78=0),"",IFERROR(LOOKUP(2,1/((Budgets!$A$2:$A$200=BB$1)*(Budgets!$B$2:$B$200&lt;EDATE($A78,1))),Budgets!$C$2:$C$200),0))</f>
        <v/>
      </c>
      <c r="BC78" s="23">
        <f>IF(OR(BC$1="",$BM78=0),"",IFERROR(LOOKUP(2,1/((Budgets!$A$2:$A$200=BC$1)*(Budgets!$B$2:$B$200&lt;EDATE($A78,1))),Budgets!$C$2:$C$200),0))</f>
        <v/>
      </c>
      <c r="BD78" s="23">
        <f>IF(OR(BD$1="",$BM78=0),"",IFERROR(LOOKUP(2,1/((Budgets!$A$2:$A$200=BD$1)*(Budgets!$B$2:$B$200&lt;EDATE($A78,1))),Budgets!$C$2:$C$200),0))</f>
        <v/>
      </c>
      <c r="BE78" s="23">
        <f>IF(OR(BE$1="",$BM78=0),"",IFERROR(LOOKUP(2,1/((Budgets!$A$2:$A$200=BE$1)*(Budgets!$B$2:$B$200&lt;EDATE($A78,1))),Budgets!$C$2:$C$200),0))</f>
        <v/>
      </c>
      <c r="BF78" s="23">
        <f>IF(OR(BF$1="",$BM78=0),"",IFERROR(LOOKUP(2,1/((Budgets!$A$2:$A$200=BF$1)*(Budgets!$B$2:$B$200&lt;EDATE($A78,1))),Budgets!$C$2:$C$200),0))</f>
        <v/>
      </c>
      <c r="BG78" s="23">
        <f>IF(OR(BG$1="",$BM78=0),"",IFERROR(LOOKUP(2,1/((Budgets!$A$2:$A$200=BG$1)*(Budgets!$B$2:$B$200&lt;EDATE($A78,1))),Budgets!$C$2:$C$200),0))</f>
        <v/>
      </c>
      <c r="BH78" s="23">
        <f>IF(OR(BH$1="",$BM78=0),"",IFERROR(LOOKUP(2,1/((Budgets!$A$2:$A$200=BH$1)*(Budgets!$B$2:$B$200&lt;EDATE($A78,1))),Budgets!$C$2:$C$200),0))</f>
        <v/>
      </c>
      <c r="BI78" s="23">
        <f>IF(OR(BI$1="",$BM78=0),"",IFERROR(LOOKUP(2,1/((Budgets!$A$2:$A$200=BI$1)*(Budgets!$B$2:$B$200&lt;EDATE($A78,1))),Budgets!$C$2:$C$200),0))</f>
        <v/>
      </c>
      <c r="BJ78" s="23">
        <f>IF(OR(BJ$1="",$BM78=0),"",IFERROR(LOOKUP(2,1/((Budgets!$A$2:$A$200=BJ$1)*(Budgets!$B$2:$B$200&lt;EDATE($A78,1))),Budgets!$C$2:$C$200),0))</f>
        <v/>
      </c>
      <c r="BK78" s="23">
        <f>IF(OR(BK$1="",$BM78=0),"",IFERROR(LOOKUP(2,1/((Budgets!$A$2:$A$200=BK$1)*(Budgets!$B$2:$B$200&lt;EDATE($A78,1))),Budgets!$C$2:$C$200),0))</f>
        <v/>
      </c>
      <c r="BM78" s="21">
        <f>COUNTIFS(Entries!$A$2:$A$5000,"&gt;="&amp;$A78,Entries!$A$2:$A$5000,"&lt;"&amp;EDATE($A78,1))</f>
        <v/>
      </c>
    </row>
    <row r="79">
      <c r="A79" s="22" t="n">
        <v>41791</v>
      </c>
      <c r="B79" s="23">
        <f>IF($BM79=0,NA(),SUMIFS(Entries!$E$2:$E$5000,Entries!$C$2:$C$5000,"Income",Entries!$A$2:$A$5000,"&gt;="&amp;$A79,Entries!$A$2:$A$5000,"&lt;"&amp;EDATE($A79,1)))</f>
        <v/>
      </c>
      <c r="C79" s="23">
        <f>IF($BM79=0,"",SUMIFS(Entries!$E$2:$E$5000,Entries!$C$2:$C$5000,"Actual",Entries!$A$2:$A$5000,"&gt;="&amp;$A79,Entries!$A$2:$A$5000,"&lt;"&amp;EDATE($A79,1)))</f>
        <v/>
      </c>
      <c r="D79" s="23">
        <f>IF($BM79=0,"",SUMIFS(Entries!$E$2:$E$5000,Entries!$C$2:$C$5000,"One-off",Entries!$A$2:$A$5000,"&gt;="&amp;$A79,Entries!$A$2:$A$5000,"&lt;"&amp;EDATE($A79,1)))</f>
        <v/>
      </c>
      <c r="E79" s="23">
        <f>IF($BM79=0,NA(),C79+D79)</f>
        <v/>
      </c>
      <c r="F79" s="23">
        <f>IF($BM79=0,"",SUM(AR79:BK79))</f>
        <v/>
      </c>
      <c r="G79" s="23">
        <f>IF($BM79=0,"",B79-E79)</f>
        <v/>
      </c>
      <c r="H79" s="23">
        <f>IF($BM79=0,"",SUM($G$2:G79))</f>
        <v/>
      </c>
      <c r="I79" s="23">
        <f>IF($BM79=0,"",SUMIFS(Entries!$G$2:$G$5000,Entries!$A$2:$A$5000,"&gt;="&amp;$A79,Entries!$A$2:$A$5000,"&lt;"&amp;EDATE($A79,1)))</f>
        <v/>
      </c>
      <c r="J79" s="23">
        <f>IF($BM79=0,NA(),H79)</f>
        <v/>
      </c>
      <c r="K79" s="23">
        <f>IF($BM79=0,"",SUMIFS(Entries!$E$2:$E$5000,Entries!$C$2:$C$5000,"Income",Entries!$A$2:$A$5000,"&gt;="&amp;EDATE($A79,-11),Entries!$A$2:$A$5000,"&lt;"&amp;EDATE($A79,1))/COUNTIFS($A$2:$A$400,"&gt;="&amp;EDATE($A79,-11),$A$2:$A$400,"&lt;"&amp;EDATE($A79,1),$BM$2:$BM$400,"&gt;0"))</f>
      </c>
      <c r="L79" s="23">
        <f>IF($BM79=0,"",(SUMIFS(Entries!$E$2:$E$5000,Entries!$C$2:$C$5000,"Actual",Entries!$A$2:$A$5000,"&gt;="&amp;EDATE($A79,-11),Entries!$A$2:$A$5000,"&lt;"&amp;EDATE($A79,1))+SUMIFS(Entries!$E$2:$E$5000,Entries!$C$2:$C$5000,"One-off",Entries!$A$2:$A$5000,"&gt;="&amp;EDATE($A79,-11),Entries!$A$2:$A$5000,"&lt;"&amp;EDATE($A79,1)))/COUNTIFS($A$2:$A$400,"&gt;="&amp;EDATE($A79,-11),$A$2:$A$400,"&lt;"&amp;EDATE($A79,1),$BM$2:$BM$400,"&gt;0"))</f>
      </c>
      <c r="M79" s="24">
        <f>IF($BM79=0,NA(),IFERROR((K79-L79)/K79,0))</f>
        <v/>
      </c>
      <c r="N79" s="23">
        <f>IF($BM79=0,NA(),SUMIFS(Entries!$E$2:$E$5000,Entries!$D$2:$D$5000,"Core",Entries!$A$2:$A$5000,"&gt;="&amp;$A79,Entries!$A$2:$A$5000,"&lt;"&amp;EDATE($A79,1)))</f>
        <v/>
      </c>
      <c r="O79" s="23">
        <f>IF($BM79=0,NA(),SUMIFS(Entries!$E$2:$E$5000,Entries!$D$2:$D$5000,"Over &amp; above",Entries!$A$2:$A$5000,"&gt;="&amp;$A79,Entries!$A$2:$A$5000,"&lt;"&amp;EDATE($A79,1)))</f>
        <v/>
      </c>
      <c r="P79" s="23">
        <f>IF($BM79=0,NA(),SUMIFS(Entries!$E$2:$E$5000,Entries!$D$2:$D$5000,"One-off",Entries!$A$2:$A$5000,"&gt;="&amp;$A79,Entries!$A$2:$A$5000,"&lt;"&amp;EDATE($A79,1)))</f>
        <v/>
      </c>
      <c r="Q79" s="23">
        <f>IF($BM79=0,NA(),SUMIFS(Entries!$E$2:$E$5000,Entries!$D$2:$D$5000,"Reimbursable",Entries!$A$2:$A$5000,"&gt;="&amp;$A79,Entries!$A$2:$A$5000,"&lt;"&amp;EDATE($A79,1)))</f>
        <v/>
      </c>
      <c r="R79" s="23">
        <f>IF($BM79=0,NA(),SUMIFS(Entries!$E$2:$E$5000,Entries!$D$2:$D$5000,"Investment",Entries!$A$2:$A$5000,"&gt;="&amp;$A79,Entries!$A$2:$A$5000,"&lt;"&amp;EDATE($A79,1)))</f>
        <v/>
      </c>
      <c r="S79" s="23">
        <f>IF($BM79=0,NA(),N79+O79)</f>
        <v/>
      </c>
      <c r="T79" s="23">
        <f>IF($BM79=0,"",E79-Q79)</f>
        <v/>
      </c>
      <c r="W79" s="23">
        <f>IF(OR(W$1="",$BM79=0),"",SUMIFS(Entries!$E$2:$E$5000,Entries!$C$2:$C$5000,"Actual",Entries!$A$2:$A$5000,"&gt;="&amp;$A79,Entries!$A$2:$A$5000,"&lt;"&amp;EDATE($A79,1),Entries!$B$2:$B$5000,W$1))</f>
        <v/>
      </c>
      <c r="X79" s="23">
        <f>IF(OR(X$1="",$BM79=0),"",SUMIFS(Entries!$E$2:$E$5000,Entries!$C$2:$C$5000,"Actual",Entries!$A$2:$A$5000,"&gt;="&amp;$A79,Entries!$A$2:$A$5000,"&lt;"&amp;EDATE($A79,1),Entries!$B$2:$B$5000,X$1))</f>
        <v/>
      </c>
      <c r="Y79" s="23">
        <f>IF(OR(Y$1="",$BM79=0),"",SUMIFS(Entries!$E$2:$E$5000,Entries!$C$2:$C$5000,"Actual",Entries!$A$2:$A$5000,"&gt;="&amp;$A79,Entries!$A$2:$A$5000,"&lt;"&amp;EDATE($A79,1),Entries!$B$2:$B$5000,Y$1))</f>
        <v/>
      </c>
      <c r="Z79" s="23">
        <f>IF(OR(Z$1="",$BM79=0),"",SUMIFS(Entries!$E$2:$E$5000,Entries!$C$2:$C$5000,"Actual",Entries!$A$2:$A$5000,"&gt;="&amp;$A79,Entries!$A$2:$A$5000,"&lt;"&amp;EDATE($A79,1),Entries!$B$2:$B$5000,Z$1))</f>
        <v/>
      </c>
      <c r="AA79" s="23">
        <f>IF(OR(AA$1="",$BM79=0),"",SUMIFS(Entries!$E$2:$E$5000,Entries!$C$2:$C$5000,"Actual",Entries!$A$2:$A$5000,"&gt;="&amp;$A79,Entries!$A$2:$A$5000,"&lt;"&amp;EDATE($A79,1),Entries!$B$2:$B$5000,AA$1))</f>
        <v/>
      </c>
      <c r="AB79" s="23">
        <f>IF(OR(AB$1="",$BM79=0),"",SUMIFS(Entries!$E$2:$E$5000,Entries!$C$2:$C$5000,"Actual",Entries!$A$2:$A$5000,"&gt;="&amp;$A79,Entries!$A$2:$A$5000,"&lt;"&amp;EDATE($A79,1),Entries!$B$2:$B$5000,AB$1))</f>
        <v/>
      </c>
      <c r="AC79" s="23">
        <f>IF(OR(AC$1="",$BM79=0),"",SUMIFS(Entries!$E$2:$E$5000,Entries!$C$2:$C$5000,"Actual",Entries!$A$2:$A$5000,"&gt;="&amp;$A79,Entries!$A$2:$A$5000,"&lt;"&amp;EDATE($A79,1),Entries!$B$2:$B$5000,AC$1))</f>
        <v/>
      </c>
      <c r="AD79" s="23">
        <f>IF(OR(AD$1="",$BM79=0),"",SUMIFS(Entries!$E$2:$E$5000,Entries!$C$2:$C$5000,"Actual",Entries!$A$2:$A$5000,"&gt;="&amp;$A79,Entries!$A$2:$A$5000,"&lt;"&amp;EDATE($A79,1),Entries!$B$2:$B$5000,AD$1))</f>
        <v/>
      </c>
      <c r="AE79" s="23">
        <f>IF(OR(AE$1="",$BM79=0),"",SUMIFS(Entries!$E$2:$E$5000,Entries!$C$2:$C$5000,"Actual",Entries!$A$2:$A$5000,"&gt;="&amp;$A79,Entries!$A$2:$A$5000,"&lt;"&amp;EDATE($A79,1),Entries!$B$2:$B$5000,AE$1))</f>
        <v/>
      </c>
      <c r="AF79" s="23">
        <f>IF(OR(AF$1="",$BM79=0),"",SUMIFS(Entries!$E$2:$E$5000,Entries!$C$2:$C$5000,"Actual",Entries!$A$2:$A$5000,"&gt;="&amp;$A79,Entries!$A$2:$A$5000,"&lt;"&amp;EDATE($A79,1),Entries!$B$2:$B$5000,AF$1))</f>
        <v/>
      </c>
      <c r="AG79" s="23">
        <f>IF(OR(AG$1="",$BM79=0),"",SUMIFS(Entries!$E$2:$E$5000,Entries!$C$2:$C$5000,"Actual",Entries!$A$2:$A$5000,"&gt;="&amp;$A79,Entries!$A$2:$A$5000,"&lt;"&amp;EDATE($A79,1),Entries!$B$2:$B$5000,AG$1))</f>
        <v/>
      </c>
      <c r="AH79" s="23">
        <f>IF(OR(AH$1="",$BM79=0),"",SUMIFS(Entries!$E$2:$E$5000,Entries!$C$2:$C$5000,"Actual",Entries!$A$2:$A$5000,"&gt;="&amp;$A79,Entries!$A$2:$A$5000,"&lt;"&amp;EDATE($A79,1),Entries!$B$2:$B$5000,AH$1))</f>
        <v/>
      </c>
      <c r="AI79" s="23">
        <f>IF(OR(AI$1="",$BM79=0),"",SUMIFS(Entries!$E$2:$E$5000,Entries!$C$2:$C$5000,"Actual",Entries!$A$2:$A$5000,"&gt;="&amp;$A79,Entries!$A$2:$A$5000,"&lt;"&amp;EDATE($A79,1),Entries!$B$2:$B$5000,AI$1))</f>
        <v/>
      </c>
      <c r="AJ79" s="23">
        <f>IF(OR(AJ$1="",$BM79=0),"",SUMIFS(Entries!$E$2:$E$5000,Entries!$C$2:$C$5000,"Actual",Entries!$A$2:$A$5000,"&gt;="&amp;$A79,Entries!$A$2:$A$5000,"&lt;"&amp;EDATE($A79,1),Entries!$B$2:$B$5000,AJ$1))</f>
        <v/>
      </c>
      <c r="AK79" s="23">
        <f>IF(OR(AK$1="",$BM79=0),"",SUMIFS(Entries!$E$2:$E$5000,Entries!$C$2:$C$5000,"Actual",Entries!$A$2:$A$5000,"&gt;="&amp;$A79,Entries!$A$2:$A$5000,"&lt;"&amp;EDATE($A79,1),Entries!$B$2:$B$5000,AK$1))</f>
        <v/>
      </c>
      <c r="AL79" s="23">
        <f>IF(OR(AL$1="",$BM79=0),"",SUMIFS(Entries!$E$2:$E$5000,Entries!$C$2:$C$5000,"Actual",Entries!$A$2:$A$5000,"&gt;="&amp;$A79,Entries!$A$2:$A$5000,"&lt;"&amp;EDATE($A79,1),Entries!$B$2:$B$5000,AL$1))</f>
        <v/>
      </c>
      <c r="AM79" s="23">
        <f>IF(OR(AM$1="",$BM79=0),"",SUMIFS(Entries!$E$2:$E$5000,Entries!$C$2:$C$5000,"Actual",Entries!$A$2:$A$5000,"&gt;="&amp;$A79,Entries!$A$2:$A$5000,"&lt;"&amp;EDATE($A79,1),Entries!$B$2:$B$5000,AM$1))</f>
        <v/>
      </c>
      <c r="AN79" s="23">
        <f>IF(OR(AN$1="",$BM79=0),"",SUMIFS(Entries!$E$2:$E$5000,Entries!$C$2:$C$5000,"Actual",Entries!$A$2:$A$5000,"&gt;="&amp;$A79,Entries!$A$2:$A$5000,"&lt;"&amp;EDATE($A79,1),Entries!$B$2:$B$5000,AN$1))</f>
        <v/>
      </c>
      <c r="AO79" s="23">
        <f>IF(OR(AO$1="",$BM79=0),"",SUMIFS(Entries!$E$2:$E$5000,Entries!$C$2:$C$5000,"Actual",Entries!$A$2:$A$5000,"&gt;="&amp;$A79,Entries!$A$2:$A$5000,"&lt;"&amp;EDATE($A79,1),Entries!$B$2:$B$5000,AO$1))</f>
        <v/>
      </c>
      <c r="AP79" s="23">
        <f>IF(OR(AP$1="",$BM79=0),"",SUMIFS(Entries!$E$2:$E$5000,Entries!$C$2:$C$5000,"Actual",Entries!$A$2:$A$5000,"&gt;="&amp;$A79,Entries!$A$2:$A$5000,"&lt;"&amp;EDATE($A79,1),Entries!$B$2:$B$5000,AP$1))</f>
        <v/>
      </c>
      <c r="AR79" s="23">
        <f>IF(OR(AR$1="",$BM79=0),"",IFERROR(LOOKUP(2,1/((Budgets!$A$2:$A$200=AR$1)*(Budgets!$B$2:$B$200&lt;EDATE($A79,1))),Budgets!$C$2:$C$200),0))</f>
        <v/>
      </c>
      <c r="AS79" s="23">
        <f>IF(OR(AS$1="",$BM79=0),"",IFERROR(LOOKUP(2,1/((Budgets!$A$2:$A$200=AS$1)*(Budgets!$B$2:$B$200&lt;EDATE($A79,1))),Budgets!$C$2:$C$200),0))</f>
        <v/>
      </c>
      <c r="AT79" s="23">
        <f>IF(OR(AT$1="",$BM79=0),"",IFERROR(LOOKUP(2,1/((Budgets!$A$2:$A$200=AT$1)*(Budgets!$B$2:$B$200&lt;EDATE($A79,1))),Budgets!$C$2:$C$200),0))</f>
        <v/>
      </c>
      <c r="AU79" s="23">
        <f>IF(OR(AU$1="",$BM79=0),"",IFERROR(LOOKUP(2,1/((Budgets!$A$2:$A$200=AU$1)*(Budgets!$B$2:$B$200&lt;EDATE($A79,1))),Budgets!$C$2:$C$200),0))</f>
        <v/>
      </c>
      <c r="AV79" s="23">
        <f>IF(OR(AV$1="",$BM79=0),"",IFERROR(LOOKUP(2,1/((Budgets!$A$2:$A$200=AV$1)*(Budgets!$B$2:$B$200&lt;EDATE($A79,1))),Budgets!$C$2:$C$200),0))</f>
        <v/>
      </c>
      <c r="AW79" s="23">
        <f>IF(OR(AW$1="",$BM79=0),"",IFERROR(LOOKUP(2,1/((Budgets!$A$2:$A$200=AW$1)*(Budgets!$B$2:$B$200&lt;EDATE($A79,1))),Budgets!$C$2:$C$200),0))</f>
        <v/>
      </c>
      <c r="AX79" s="23">
        <f>IF(OR(AX$1="",$BM79=0),"",IFERROR(LOOKUP(2,1/((Budgets!$A$2:$A$200=AX$1)*(Budgets!$B$2:$B$200&lt;EDATE($A79,1))),Budgets!$C$2:$C$200),0))</f>
        <v/>
      </c>
      <c r="AY79" s="23">
        <f>IF(OR(AY$1="",$BM79=0),"",IFERROR(LOOKUP(2,1/((Budgets!$A$2:$A$200=AY$1)*(Budgets!$B$2:$B$200&lt;EDATE($A79,1))),Budgets!$C$2:$C$200),0))</f>
        <v/>
      </c>
      <c r="AZ79" s="23">
        <f>IF(OR(AZ$1="",$BM79=0),"",IFERROR(LOOKUP(2,1/((Budgets!$A$2:$A$200=AZ$1)*(Budgets!$B$2:$B$200&lt;EDATE($A79,1))),Budgets!$C$2:$C$200),0))</f>
        <v/>
      </c>
      <c r="BA79" s="23">
        <f>IF(OR(BA$1="",$BM79=0),"",IFERROR(LOOKUP(2,1/((Budgets!$A$2:$A$200=BA$1)*(Budgets!$B$2:$B$200&lt;EDATE($A79,1))),Budgets!$C$2:$C$200),0))</f>
        <v/>
      </c>
      <c r="BB79" s="23">
        <f>IF(OR(BB$1="",$BM79=0),"",IFERROR(LOOKUP(2,1/((Budgets!$A$2:$A$200=BB$1)*(Budgets!$B$2:$B$200&lt;EDATE($A79,1))),Budgets!$C$2:$C$200),0))</f>
        <v/>
      </c>
      <c r="BC79" s="23">
        <f>IF(OR(BC$1="",$BM79=0),"",IFERROR(LOOKUP(2,1/((Budgets!$A$2:$A$200=BC$1)*(Budgets!$B$2:$B$200&lt;EDATE($A79,1))),Budgets!$C$2:$C$200),0))</f>
        <v/>
      </c>
      <c r="BD79" s="23">
        <f>IF(OR(BD$1="",$BM79=0),"",IFERROR(LOOKUP(2,1/((Budgets!$A$2:$A$200=BD$1)*(Budgets!$B$2:$B$200&lt;EDATE($A79,1))),Budgets!$C$2:$C$200),0))</f>
        <v/>
      </c>
      <c r="BE79" s="23">
        <f>IF(OR(BE$1="",$BM79=0),"",IFERROR(LOOKUP(2,1/((Budgets!$A$2:$A$200=BE$1)*(Budgets!$B$2:$B$200&lt;EDATE($A79,1))),Budgets!$C$2:$C$200),0))</f>
        <v/>
      </c>
      <c r="BF79" s="23">
        <f>IF(OR(BF$1="",$BM79=0),"",IFERROR(LOOKUP(2,1/((Budgets!$A$2:$A$200=BF$1)*(Budgets!$B$2:$B$200&lt;EDATE($A79,1))),Budgets!$C$2:$C$200),0))</f>
        <v/>
      </c>
      <c r="BG79" s="23">
        <f>IF(OR(BG$1="",$BM79=0),"",IFERROR(LOOKUP(2,1/((Budgets!$A$2:$A$200=BG$1)*(Budgets!$B$2:$B$200&lt;EDATE($A79,1))),Budgets!$C$2:$C$200),0))</f>
        <v/>
      </c>
      <c r="BH79" s="23">
        <f>IF(OR(BH$1="",$BM79=0),"",IFERROR(LOOKUP(2,1/((Budgets!$A$2:$A$200=BH$1)*(Budgets!$B$2:$B$200&lt;EDATE($A79,1))),Budgets!$C$2:$C$200),0))</f>
        <v/>
      </c>
      <c r="BI79" s="23">
        <f>IF(OR(BI$1="",$BM79=0),"",IFERROR(LOOKUP(2,1/((Budgets!$A$2:$A$200=BI$1)*(Budgets!$B$2:$B$200&lt;EDATE($A79,1))),Budgets!$C$2:$C$200),0))</f>
        <v/>
      </c>
      <c r="BJ79" s="23">
        <f>IF(OR(BJ$1="",$BM79=0),"",IFERROR(LOOKUP(2,1/((Budgets!$A$2:$A$200=BJ$1)*(Budgets!$B$2:$B$200&lt;EDATE($A79,1))),Budgets!$C$2:$C$200),0))</f>
        <v/>
      </c>
      <c r="BK79" s="23">
        <f>IF(OR(BK$1="",$BM79=0),"",IFERROR(LOOKUP(2,1/((Budgets!$A$2:$A$200=BK$1)*(Budgets!$B$2:$B$200&lt;EDATE($A79,1))),Budgets!$C$2:$C$200),0))</f>
        <v/>
      </c>
      <c r="BM79" s="21">
        <f>COUNTIFS(Entries!$A$2:$A$5000,"&gt;="&amp;$A79,Entries!$A$2:$A$5000,"&lt;"&amp;EDATE($A79,1))</f>
        <v/>
      </c>
    </row>
    <row r="80">
      <c r="A80" s="22" t="n">
        <v>41821</v>
      </c>
      <c r="B80" s="23">
        <f>IF($BM80=0,NA(),SUMIFS(Entries!$E$2:$E$5000,Entries!$C$2:$C$5000,"Income",Entries!$A$2:$A$5000,"&gt;="&amp;$A80,Entries!$A$2:$A$5000,"&lt;"&amp;EDATE($A80,1)))</f>
        <v/>
      </c>
      <c r="C80" s="23">
        <f>IF($BM80=0,"",SUMIFS(Entries!$E$2:$E$5000,Entries!$C$2:$C$5000,"Actual",Entries!$A$2:$A$5000,"&gt;="&amp;$A80,Entries!$A$2:$A$5000,"&lt;"&amp;EDATE($A80,1)))</f>
        <v/>
      </c>
      <c r="D80" s="23">
        <f>IF($BM80=0,"",SUMIFS(Entries!$E$2:$E$5000,Entries!$C$2:$C$5000,"One-off",Entries!$A$2:$A$5000,"&gt;="&amp;$A80,Entries!$A$2:$A$5000,"&lt;"&amp;EDATE($A80,1)))</f>
        <v/>
      </c>
      <c r="E80" s="23">
        <f>IF($BM80=0,NA(),C80+D80)</f>
        <v/>
      </c>
      <c r="F80" s="23">
        <f>IF($BM80=0,"",SUM(AR80:BK80))</f>
        <v/>
      </c>
      <c r="G80" s="23">
        <f>IF($BM80=0,"",B80-E80)</f>
        <v/>
      </c>
      <c r="H80" s="23">
        <f>IF($BM80=0,"",SUM($G$2:G80))</f>
        <v/>
      </c>
      <c r="I80" s="23">
        <f>IF($BM80=0,"",SUMIFS(Entries!$G$2:$G$5000,Entries!$A$2:$A$5000,"&gt;="&amp;$A80,Entries!$A$2:$A$5000,"&lt;"&amp;EDATE($A80,1)))</f>
        <v/>
      </c>
      <c r="J80" s="23">
        <f>IF($BM80=0,NA(),H80)</f>
        <v/>
      </c>
      <c r="K80" s="23">
        <f>IF($BM80=0,"",SUMIFS(Entries!$E$2:$E$5000,Entries!$C$2:$C$5000,"Income",Entries!$A$2:$A$5000,"&gt;="&amp;EDATE($A80,-11),Entries!$A$2:$A$5000,"&lt;"&amp;EDATE($A80,1))/COUNTIFS($A$2:$A$400,"&gt;="&amp;EDATE($A80,-11),$A$2:$A$400,"&lt;"&amp;EDATE($A80,1),$BM$2:$BM$400,"&gt;0"))</f>
      </c>
      <c r="L80" s="23">
        <f>IF($BM80=0,"",(SUMIFS(Entries!$E$2:$E$5000,Entries!$C$2:$C$5000,"Actual",Entries!$A$2:$A$5000,"&gt;="&amp;EDATE($A80,-11),Entries!$A$2:$A$5000,"&lt;"&amp;EDATE($A80,1))+SUMIFS(Entries!$E$2:$E$5000,Entries!$C$2:$C$5000,"One-off",Entries!$A$2:$A$5000,"&gt;="&amp;EDATE($A80,-11),Entries!$A$2:$A$5000,"&lt;"&amp;EDATE($A80,1)))/COUNTIFS($A$2:$A$400,"&gt;="&amp;EDATE($A80,-11),$A$2:$A$400,"&lt;"&amp;EDATE($A80,1),$BM$2:$BM$400,"&gt;0"))</f>
      </c>
      <c r="M80" s="24">
        <f>IF($BM80=0,NA(),IFERROR((K80-L80)/K80,0))</f>
        <v/>
      </c>
      <c r="N80" s="23">
        <f>IF($BM80=0,NA(),SUMIFS(Entries!$E$2:$E$5000,Entries!$D$2:$D$5000,"Core",Entries!$A$2:$A$5000,"&gt;="&amp;$A80,Entries!$A$2:$A$5000,"&lt;"&amp;EDATE($A80,1)))</f>
        <v/>
      </c>
      <c r="O80" s="23">
        <f>IF($BM80=0,NA(),SUMIFS(Entries!$E$2:$E$5000,Entries!$D$2:$D$5000,"Over &amp; above",Entries!$A$2:$A$5000,"&gt;="&amp;$A80,Entries!$A$2:$A$5000,"&lt;"&amp;EDATE($A80,1)))</f>
        <v/>
      </c>
      <c r="P80" s="23">
        <f>IF($BM80=0,NA(),SUMIFS(Entries!$E$2:$E$5000,Entries!$D$2:$D$5000,"One-off",Entries!$A$2:$A$5000,"&gt;="&amp;$A80,Entries!$A$2:$A$5000,"&lt;"&amp;EDATE($A80,1)))</f>
        <v/>
      </c>
      <c r="Q80" s="23">
        <f>IF($BM80=0,NA(),SUMIFS(Entries!$E$2:$E$5000,Entries!$D$2:$D$5000,"Reimbursable",Entries!$A$2:$A$5000,"&gt;="&amp;$A80,Entries!$A$2:$A$5000,"&lt;"&amp;EDATE($A80,1)))</f>
        <v/>
      </c>
      <c r="R80" s="23">
        <f>IF($BM80=0,NA(),SUMIFS(Entries!$E$2:$E$5000,Entries!$D$2:$D$5000,"Investment",Entries!$A$2:$A$5000,"&gt;="&amp;$A80,Entries!$A$2:$A$5000,"&lt;"&amp;EDATE($A80,1)))</f>
        <v/>
      </c>
      <c r="S80" s="23">
        <f>IF($BM80=0,NA(),N80+O80)</f>
        <v/>
      </c>
      <c r="T80" s="23">
        <f>IF($BM80=0,"",E80-Q80)</f>
        <v/>
      </c>
      <c r="W80" s="23">
        <f>IF(OR(W$1="",$BM80=0),"",SUMIFS(Entries!$E$2:$E$5000,Entries!$C$2:$C$5000,"Actual",Entries!$A$2:$A$5000,"&gt;="&amp;$A80,Entries!$A$2:$A$5000,"&lt;"&amp;EDATE($A80,1),Entries!$B$2:$B$5000,W$1))</f>
        <v/>
      </c>
      <c r="X80" s="23">
        <f>IF(OR(X$1="",$BM80=0),"",SUMIFS(Entries!$E$2:$E$5000,Entries!$C$2:$C$5000,"Actual",Entries!$A$2:$A$5000,"&gt;="&amp;$A80,Entries!$A$2:$A$5000,"&lt;"&amp;EDATE($A80,1),Entries!$B$2:$B$5000,X$1))</f>
        <v/>
      </c>
      <c r="Y80" s="23">
        <f>IF(OR(Y$1="",$BM80=0),"",SUMIFS(Entries!$E$2:$E$5000,Entries!$C$2:$C$5000,"Actual",Entries!$A$2:$A$5000,"&gt;="&amp;$A80,Entries!$A$2:$A$5000,"&lt;"&amp;EDATE($A80,1),Entries!$B$2:$B$5000,Y$1))</f>
        <v/>
      </c>
      <c r="Z80" s="23">
        <f>IF(OR(Z$1="",$BM80=0),"",SUMIFS(Entries!$E$2:$E$5000,Entries!$C$2:$C$5000,"Actual",Entries!$A$2:$A$5000,"&gt;="&amp;$A80,Entries!$A$2:$A$5000,"&lt;"&amp;EDATE($A80,1),Entries!$B$2:$B$5000,Z$1))</f>
        <v/>
      </c>
      <c r="AA80" s="23">
        <f>IF(OR(AA$1="",$BM80=0),"",SUMIFS(Entries!$E$2:$E$5000,Entries!$C$2:$C$5000,"Actual",Entries!$A$2:$A$5000,"&gt;="&amp;$A80,Entries!$A$2:$A$5000,"&lt;"&amp;EDATE($A80,1),Entries!$B$2:$B$5000,AA$1))</f>
        <v/>
      </c>
      <c r="AB80" s="23">
        <f>IF(OR(AB$1="",$BM80=0),"",SUMIFS(Entries!$E$2:$E$5000,Entries!$C$2:$C$5000,"Actual",Entries!$A$2:$A$5000,"&gt;="&amp;$A80,Entries!$A$2:$A$5000,"&lt;"&amp;EDATE($A80,1),Entries!$B$2:$B$5000,AB$1))</f>
        <v/>
      </c>
      <c r="AC80" s="23">
        <f>IF(OR(AC$1="",$BM80=0),"",SUMIFS(Entries!$E$2:$E$5000,Entries!$C$2:$C$5000,"Actual",Entries!$A$2:$A$5000,"&gt;="&amp;$A80,Entries!$A$2:$A$5000,"&lt;"&amp;EDATE($A80,1),Entries!$B$2:$B$5000,AC$1))</f>
        <v/>
      </c>
      <c r="AD80" s="23">
        <f>IF(OR(AD$1="",$BM80=0),"",SUMIFS(Entries!$E$2:$E$5000,Entries!$C$2:$C$5000,"Actual",Entries!$A$2:$A$5000,"&gt;="&amp;$A80,Entries!$A$2:$A$5000,"&lt;"&amp;EDATE($A80,1),Entries!$B$2:$B$5000,AD$1))</f>
        <v/>
      </c>
      <c r="AE80" s="23">
        <f>IF(OR(AE$1="",$BM80=0),"",SUMIFS(Entries!$E$2:$E$5000,Entries!$C$2:$C$5000,"Actual",Entries!$A$2:$A$5000,"&gt;="&amp;$A80,Entries!$A$2:$A$5000,"&lt;"&amp;EDATE($A80,1),Entries!$B$2:$B$5000,AE$1))</f>
        <v/>
      </c>
      <c r="AF80" s="23">
        <f>IF(OR(AF$1="",$BM80=0),"",SUMIFS(Entries!$E$2:$E$5000,Entries!$C$2:$C$5000,"Actual",Entries!$A$2:$A$5000,"&gt;="&amp;$A80,Entries!$A$2:$A$5000,"&lt;"&amp;EDATE($A80,1),Entries!$B$2:$B$5000,AF$1))</f>
        <v/>
      </c>
      <c r="AG80" s="23">
        <f>IF(OR(AG$1="",$BM80=0),"",SUMIFS(Entries!$E$2:$E$5000,Entries!$C$2:$C$5000,"Actual",Entries!$A$2:$A$5000,"&gt;="&amp;$A80,Entries!$A$2:$A$5000,"&lt;"&amp;EDATE($A80,1),Entries!$B$2:$B$5000,AG$1))</f>
        <v/>
      </c>
      <c r="AH80" s="23">
        <f>IF(OR(AH$1="",$BM80=0),"",SUMIFS(Entries!$E$2:$E$5000,Entries!$C$2:$C$5000,"Actual",Entries!$A$2:$A$5000,"&gt;="&amp;$A80,Entries!$A$2:$A$5000,"&lt;"&amp;EDATE($A80,1),Entries!$B$2:$B$5000,AH$1))</f>
        <v/>
      </c>
      <c r="AI80" s="23">
        <f>IF(OR(AI$1="",$BM80=0),"",SUMIFS(Entries!$E$2:$E$5000,Entries!$C$2:$C$5000,"Actual",Entries!$A$2:$A$5000,"&gt;="&amp;$A80,Entries!$A$2:$A$5000,"&lt;"&amp;EDATE($A80,1),Entries!$B$2:$B$5000,AI$1))</f>
        <v/>
      </c>
      <c r="AJ80" s="23">
        <f>IF(OR(AJ$1="",$BM80=0),"",SUMIFS(Entries!$E$2:$E$5000,Entries!$C$2:$C$5000,"Actual",Entries!$A$2:$A$5000,"&gt;="&amp;$A80,Entries!$A$2:$A$5000,"&lt;"&amp;EDATE($A80,1),Entries!$B$2:$B$5000,AJ$1))</f>
        <v/>
      </c>
      <c r="AK80" s="23">
        <f>IF(OR(AK$1="",$BM80=0),"",SUMIFS(Entries!$E$2:$E$5000,Entries!$C$2:$C$5000,"Actual",Entries!$A$2:$A$5000,"&gt;="&amp;$A80,Entries!$A$2:$A$5000,"&lt;"&amp;EDATE($A80,1),Entries!$B$2:$B$5000,AK$1))</f>
        <v/>
      </c>
      <c r="AL80" s="23">
        <f>IF(OR(AL$1="",$BM80=0),"",SUMIFS(Entries!$E$2:$E$5000,Entries!$C$2:$C$5000,"Actual",Entries!$A$2:$A$5000,"&gt;="&amp;$A80,Entries!$A$2:$A$5000,"&lt;"&amp;EDATE($A80,1),Entries!$B$2:$B$5000,AL$1))</f>
        <v/>
      </c>
      <c r="AM80" s="23">
        <f>IF(OR(AM$1="",$BM80=0),"",SUMIFS(Entries!$E$2:$E$5000,Entries!$C$2:$C$5000,"Actual",Entries!$A$2:$A$5000,"&gt;="&amp;$A80,Entries!$A$2:$A$5000,"&lt;"&amp;EDATE($A80,1),Entries!$B$2:$B$5000,AM$1))</f>
        <v/>
      </c>
      <c r="AN80" s="23">
        <f>IF(OR(AN$1="",$BM80=0),"",SUMIFS(Entries!$E$2:$E$5000,Entries!$C$2:$C$5000,"Actual",Entries!$A$2:$A$5000,"&gt;="&amp;$A80,Entries!$A$2:$A$5000,"&lt;"&amp;EDATE($A80,1),Entries!$B$2:$B$5000,AN$1))</f>
        <v/>
      </c>
      <c r="AO80" s="23">
        <f>IF(OR(AO$1="",$BM80=0),"",SUMIFS(Entries!$E$2:$E$5000,Entries!$C$2:$C$5000,"Actual",Entries!$A$2:$A$5000,"&gt;="&amp;$A80,Entries!$A$2:$A$5000,"&lt;"&amp;EDATE($A80,1),Entries!$B$2:$B$5000,AO$1))</f>
        <v/>
      </c>
      <c r="AP80" s="23">
        <f>IF(OR(AP$1="",$BM80=0),"",SUMIFS(Entries!$E$2:$E$5000,Entries!$C$2:$C$5000,"Actual",Entries!$A$2:$A$5000,"&gt;="&amp;$A80,Entries!$A$2:$A$5000,"&lt;"&amp;EDATE($A80,1),Entries!$B$2:$B$5000,AP$1))</f>
        <v/>
      </c>
      <c r="AR80" s="23">
        <f>IF(OR(AR$1="",$BM80=0),"",IFERROR(LOOKUP(2,1/((Budgets!$A$2:$A$200=AR$1)*(Budgets!$B$2:$B$200&lt;EDATE($A80,1))),Budgets!$C$2:$C$200),0))</f>
        <v/>
      </c>
      <c r="AS80" s="23">
        <f>IF(OR(AS$1="",$BM80=0),"",IFERROR(LOOKUP(2,1/((Budgets!$A$2:$A$200=AS$1)*(Budgets!$B$2:$B$200&lt;EDATE($A80,1))),Budgets!$C$2:$C$200),0))</f>
        <v/>
      </c>
      <c r="AT80" s="23">
        <f>IF(OR(AT$1="",$BM80=0),"",IFERROR(LOOKUP(2,1/((Budgets!$A$2:$A$200=AT$1)*(Budgets!$B$2:$B$200&lt;EDATE($A80,1))),Budgets!$C$2:$C$200),0))</f>
        <v/>
      </c>
      <c r="AU80" s="23">
        <f>IF(OR(AU$1="",$BM80=0),"",IFERROR(LOOKUP(2,1/((Budgets!$A$2:$A$200=AU$1)*(Budgets!$B$2:$B$200&lt;EDATE($A80,1))),Budgets!$C$2:$C$200),0))</f>
        <v/>
      </c>
      <c r="AV80" s="23">
        <f>IF(OR(AV$1="",$BM80=0),"",IFERROR(LOOKUP(2,1/((Budgets!$A$2:$A$200=AV$1)*(Budgets!$B$2:$B$200&lt;EDATE($A80,1))),Budgets!$C$2:$C$200),0))</f>
        <v/>
      </c>
      <c r="AW80" s="23">
        <f>IF(OR(AW$1="",$BM80=0),"",IFERROR(LOOKUP(2,1/((Budgets!$A$2:$A$200=AW$1)*(Budgets!$B$2:$B$200&lt;EDATE($A80,1))),Budgets!$C$2:$C$200),0))</f>
        <v/>
      </c>
      <c r="AX80" s="23">
        <f>IF(OR(AX$1="",$BM80=0),"",IFERROR(LOOKUP(2,1/((Budgets!$A$2:$A$200=AX$1)*(Budgets!$B$2:$B$200&lt;EDATE($A80,1))),Budgets!$C$2:$C$200),0))</f>
        <v/>
      </c>
      <c r="AY80" s="23">
        <f>IF(OR(AY$1="",$BM80=0),"",IFERROR(LOOKUP(2,1/((Budgets!$A$2:$A$200=AY$1)*(Budgets!$B$2:$B$200&lt;EDATE($A80,1))),Budgets!$C$2:$C$200),0))</f>
        <v/>
      </c>
      <c r="AZ80" s="23">
        <f>IF(OR(AZ$1="",$BM80=0),"",IFERROR(LOOKUP(2,1/((Budgets!$A$2:$A$200=AZ$1)*(Budgets!$B$2:$B$200&lt;EDATE($A80,1))),Budgets!$C$2:$C$200),0))</f>
        <v/>
      </c>
      <c r="BA80" s="23">
        <f>IF(OR(BA$1="",$BM80=0),"",IFERROR(LOOKUP(2,1/((Budgets!$A$2:$A$200=BA$1)*(Budgets!$B$2:$B$200&lt;EDATE($A80,1))),Budgets!$C$2:$C$200),0))</f>
        <v/>
      </c>
      <c r="BB80" s="23">
        <f>IF(OR(BB$1="",$BM80=0),"",IFERROR(LOOKUP(2,1/((Budgets!$A$2:$A$200=BB$1)*(Budgets!$B$2:$B$200&lt;EDATE($A80,1))),Budgets!$C$2:$C$200),0))</f>
        <v/>
      </c>
      <c r="BC80" s="23">
        <f>IF(OR(BC$1="",$BM80=0),"",IFERROR(LOOKUP(2,1/((Budgets!$A$2:$A$200=BC$1)*(Budgets!$B$2:$B$200&lt;EDATE($A80,1))),Budgets!$C$2:$C$200),0))</f>
        <v/>
      </c>
      <c r="BD80" s="23">
        <f>IF(OR(BD$1="",$BM80=0),"",IFERROR(LOOKUP(2,1/((Budgets!$A$2:$A$200=BD$1)*(Budgets!$B$2:$B$200&lt;EDATE($A80,1))),Budgets!$C$2:$C$200),0))</f>
        <v/>
      </c>
      <c r="BE80" s="23">
        <f>IF(OR(BE$1="",$BM80=0),"",IFERROR(LOOKUP(2,1/((Budgets!$A$2:$A$200=BE$1)*(Budgets!$B$2:$B$200&lt;EDATE($A80,1))),Budgets!$C$2:$C$200),0))</f>
        <v/>
      </c>
      <c r="BF80" s="23">
        <f>IF(OR(BF$1="",$BM80=0),"",IFERROR(LOOKUP(2,1/((Budgets!$A$2:$A$200=BF$1)*(Budgets!$B$2:$B$200&lt;EDATE($A80,1))),Budgets!$C$2:$C$200),0))</f>
        <v/>
      </c>
      <c r="BG80" s="23">
        <f>IF(OR(BG$1="",$BM80=0),"",IFERROR(LOOKUP(2,1/((Budgets!$A$2:$A$200=BG$1)*(Budgets!$B$2:$B$200&lt;EDATE($A80,1))),Budgets!$C$2:$C$200),0))</f>
        <v/>
      </c>
      <c r="BH80" s="23">
        <f>IF(OR(BH$1="",$BM80=0),"",IFERROR(LOOKUP(2,1/((Budgets!$A$2:$A$200=BH$1)*(Budgets!$B$2:$B$200&lt;EDATE($A80,1))),Budgets!$C$2:$C$200),0))</f>
        <v/>
      </c>
      <c r="BI80" s="23">
        <f>IF(OR(BI$1="",$BM80=0),"",IFERROR(LOOKUP(2,1/((Budgets!$A$2:$A$200=BI$1)*(Budgets!$B$2:$B$200&lt;EDATE($A80,1))),Budgets!$C$2:$C$200),0))</f>
        <v/>
      </c>
      <c r="BJ80" s="23">
        <f>IF(OR(BJ$1="",$BM80=0),"",IFERROR(LOOKUP(2,1/((Budgets!$A$2:$A$200=BJ$1)*(Budgets!$B$2:$B$200&lt;EDATE($A80,1))),Budgets!$C$2:$C$200),0))</f>
        <v/>
      </c>
      <c r="BK80" s="23">
        <f>IF(OR(BK$1="",$BM80=0),"",IFERROR(LOOKUP(2,1/((Budgets!$A$2:$A$200=BK$1)*(Budgets!$B$2:$B$200&lt;EDATE($A80,1))),Budgets!$C$2:$C$200),0))</f>
        <v/>
      </c>
      <c r="BM80" s="21">
        <f>COUNTIFS(Entries!$A$2:$A$5000,"&gt;="&amp;$A80,Entries!$A$2:$A$5000,"&lt;"&amp;EDATE($A80,1))</f>
        <v/>
      </c>
    </row>
    <row r="81">
      <c r="A81" s="22" t="n">
        <v>41852</v>
      </c>
      <c r="B81" s="23">
        <f>IF($BM81=0,NA(),SUMIFS(Entries!$E$2:$E$5000,Entries!$C$2:$C$5000,"Income",Entries!$A$2:$A$5000,"&gt;="&amp;$A81,Entries!$A$2:$A$5000,"&lt;"&amp;EDATE($A81,1)))</f>
        <v/>
      </c>
      <c r="C81" s="23">
        <f>IF($BM81=0,"",SUMIFS(Entries!$E$2:$E$5000,Entries!$C$2:$C$5000,"Actual",Entries!$A$2:$A$5000,"&gt;="&amp;$A81,Entries!$A$2:$A$5000,"&lt;"&amp;EDATE($A81,1)))</f>
        <v/>
      </c>
      <c r="D81" s="23">
        <f>IF($BM81=0,"",SUMIFS(Entries!$E$2:$E$5000,Entries!$C$2:$C$5000,"One-off",Entries!$A$2:$A$5000,"&gt;="&amp;$A81,Entries!$A$2:$A$5000,"&lt;"&amp;EDATE($A81,1)))</f>
        <v/>
      </c>
      <c r="E81" s="23">
        <f>IF($BM81=0,NA(),C81+D81)</f>
        <v/>
      </c>
      <c r="F81" s="23">
        <f>IF($BM81=0,"",SUM(AR81:BK81))</f>
        <v/>
      </c>
      <c r="G81" s="23">
        <f>IF($BM81=0,"",B81-E81)</f>
        <v/>
      </c>
      <c r="H81" s="23">
        <f>IF($BM81=0,"",SUM($G$2:G81))</f>
        <v/>
      </c>
      <c r="I81" s="23">
        <f>IF($BM81=0,"",SUMIFS(Entries!$G$2:$G$5000,Entries!$A$2:$A$5000,"&gt;="&amp;$A81,Entries!$A$2:$A$5000,"&lt;"&amp;EDATE($A81,1)))</f>
        <v/>
      </c>
      <c r="J81" s="23">
        <f>IF($BM81=0,NA(),H81)</f>
        <v/>
      </c>
      <c r="K81" s="23">
        <f>IF($BM81=0,"",SUMIFS(Entries!$E$2:$E$5000,Entries!$C$2:$C$5000,"Income",Entries!$A$2:$A$5000,"&gt;="&amp;EDATE($A81,-11),Entries!$A$2:$A$5000,"&lt;"&amp;EDATE($A81,1))/COUNTIFS($A$2:$A$400,"&gt;="&amp;EDATE($A81,-11),$A$2:$A$400,"&lt;"&amp;EDATE($A81,1),$BM$2:$BM$400,"&gt;0"))</f>
      </c>
      <c r="L81" s="23">
        <f>IF($BM81=0,"",(SUMIFS(Entries!$E$2:$E$5000,Entries!$C$2:$C$5000,"Actual",Entries!$A$2:$A$5000,"&gt;="&amp;EDATE($A81,-11),Entries!$A$2:$A$5000,"&lt;"&amp;EDATE($A81,1))+SUMIFS(Entries!$E$2:$E$5000,Entries!$C$2:$C$5000,"One-off",Entries!$A$2:$A$5000,"&gt;="&amp;EDATE($A81,-11),Entries!$A$2:$A$5000,"&lt;"&amp;EDATE($A81,1)))/COUNTIFS($A$2:$A$400,"&gt;="&amp;EDATE($A81,-11),$A$2:$A$400,"&lt;"&amp;EDATE($A81,1),$BM$2:$BM$400,"&gt;0"))</f>
      </c>
      <c r="M81" s="24">
        <f>IF($BM81=0,NA(),IFERROR((K81-L81)/K81,0))</f>
        <v/>
      </c>
      <c r="N81" s="23">
        <f>IF($BM81=0,NA(),SUMIFS(Entries!$E$2:$E$5000,Entries!$D$2:$D$5000,"Core",Entries!$A$2:$A$5000,"&gt;="&amp;$A81,Entries!$A$2:$A$5000,"&lt;"&amp;EDATE($A81,1)))</f>
        <v/>
      </c>
      <c r="O81" s="23">
        <f>IF($BM81=0,NA(),SUMIFS(Entries!$E$2:$E$5000,Entries!$D$2:$D$5000,"Over &amp; above",Entries!$A$2:$A$5000,"&gt;="&amp;$A81,Entries!$A$2:$A$5000,"&lt;"&amp;EDATE($A81,1)))</f>
        <v/>
      </c>
      <c r="P81" s="23">
        <f>IF($BM81=0,NA(),SUMIFS(Entries!$E$2:$E$5000,Entries!$D$2:$D$5000,"One-off",Entries!$A$2:$A$5000,"&gt;="&amp;$A81,Entries!$A$2:$A$5000,"&lt;"&amp;EDATE($A81,1)))</f>
        <v/>
      </c>
      <c r="Q81" s="23">
        <f>IF($BM81=0,NA(),SUMIFS(Entries!$E$2:$E$5000,Entries!$D$2:$D$5000,"Reimbursable",Entries!$A$2:$A$5000,"&gt;="&amp;$A81,Entries!$A$2:$A$5000,"&lt;"&amp;EDATE($A81,1)))</f>
        <v/>
      </c>
      <c r="R81" s="23">
        <f>IF($BM81=0,NA(),SUMIFS(Entries!$E$2:$E$5000,Entries!$D$2:$D$5000,"Investment",Entries!$A$2:$A$5000,"&gt;="&amp;$A81,Entries!$A$2:$A$5000,"&lt;"&amp;EDATE($A81,1)))</f>
        <v/>
      </c>
      <c r="S81" s="23">
        <f>IF($BM81=0,NA(),N81+O81)</f>
        <v/>
      </c>
      <c r="T81" s="23">
        <f>IF($BM81=0,"",E81-Q81)</f>
        <v/>
      </c>
      <c r="W81" s="23">
        <f>IF(OR(W$1="",$BM81=0),"",SUMIFS(Entries!$E$2:$E$5000,Entries!$C$2:$C$5000,"Actual",Entries!$A$2:$A$5000,"&gt;="&amp;$A81,Entries!$A$2:$A$5000,"&lt;"&amp;EDATE($A81,1),Entries!$B$2:$B$5000,W$1))</f>
        <v/>
      </c>
      <c r="X81" s="23">
        <f>IF(OR(X$1="",$BM81=0),"",SUMIFS(Entries!$E$2:$E$5000,Entries!$C$2:$C$5000,"Actual",Entries!$A$2:$A$5000,"&gt;="&amp;$A81,Entries!$A$2:$A$5000,"&lt;"&amp;EDATE($A81,1),Entries!$B$2:$B$5000,X$1))</f>
        <v/>
      </c>
      <c r="Y81" s="23">
        <f>IF(OR(Y$1="",$BM81=0),"",SUMIFS(Entries!$E$2:$E$5000,Entries!$C$2:$C$5000,"Actual",Entries!$A$2:$A$5000,"&gt;="&amp;$A81,Entries!$A$2:$A$5000,"&lt;"&amp;EDATE($A81,1),Entries!$B$2:$B$5000,Y$1))</f>
        <v/>
      </c>
      <c r="Z81" s="23">
        <f>IF(OR(Z$1="",$BM81=0),"",SUMIFS(Entries!$E$2:$E$5000,Entries!$C$2:$C$5000,"Actual",Entries!$A$2:$A$5000,"&gt;="&amp;$A81,Entries!$A$2:$A$5000,"&lt;"&amp;EDATE($A81,1),Entries!$B$2:$B$5000,Z$1))</f>
        <v/>
      </c>
      <c r="AA81" s="23">
        <f>IF(OR(AA$1="",$BM81=0),"",SUMIFS(Entries!$E$2:$E$5000,Entries!$C$2:$C$5000,"Actual",Entries!$A$2:$A$5000,"&gt;="&amp;$A81,Entries!$A$2:$A$5000,"&lt;"&amp;EDATE($A81,1),Entries!$B$2:$B$5000,AA$1))</f>
        <v/>
      </c>
      <c r="AB81" s="23">
        <f>IF(OR(AB$1="",$BM81=0),"",SUMIFS(Entries!$E$2:$E$5000,Entries!$C$2:$C$5000,"Actual",Entries!$A$2:$A$5000,"&gt;="&amp;$A81,Entries!$A$2:$A$5000,"&lt;"&amp;EDATE($A81,1),Entries!$B$2:$B$5000,AB$1))</f>
        <v/>
      </c>
      <c r="AC81" s="23">
        <f>IF(OR(AC$1="",$BM81=0),"",SUMIFS(Entries!$E$2:$E$5000,Entries!$C$2:$C$5000,"Actual",Entries!$A$2:$A$5000,"&gt;="&amp;$A81,Entries!$A$2:$A$5000,"&lt;"&amp;EDATE($A81,1),Entries!$B$2:$B$5000,AC$1))</f>
        <v/>
      </c>
      <c r="AD81" s="23">
        <f>IF(OR(AD$1="",$BM81=0),"",SUMIFS(Entries!$E$2:$E$5000,Entries!$C$2:$C$5000,"Actual",Entries!$A$2:$A$5000,"&gt;="&amp;$A81,Entries!$A$2:$A$5000,"&lt;"&amp;EDATE($A81,1),Entries!$B$2:$B$5000,AD$1))</f>
        <v/>
      </c>
      <c r="AE81" s="23">
        <f>IF(OR(AE$1="",$BM81=0),"",SUMIFS(Entries!$E$2:$E$5000,Entries!$C$2:$C$5000,"Actual",Entries!$A$2:$A$5000,"&gt;="&amp;$A81,Entries!$A$2:$A$5000,"&lt;"&amp;EDATE($A81,1),Entries!$B$2:$B$5000,AE$1))</f>
        <v/>
      </c>
      <c r="AF81" s="23">
        <f>IF(OR(AF$1="",$BM81=0),"",SUMIFS(Entries!$E$2:$E$5000,Entries!$C$2:$C$5000,"Actual",Entries!$A$2:$A$5000,"&gt;="&amp;$A81,Entries!$A$2:$A$5000,"&lt;"&amp;EDATE($A81,1),Entries!$B$2:$B$5000,AF$1))</f>
        <v/>
      </c>
      <c r="AG81" s="23">
        <f>IF(OR(AG$1="",$BM81=0),"",SUMIFS(Entries!$E$2:$E$5000,Entries!$C$2:$C$5000,"Actual",Entries!$A$2:$A$5000,"&gt;="&amp;$A81,Entries!$A$2:$A$5000,"&lt;"&amp;EDATE($A81,1),Entries!$B$2:$B$5000,AG$1))</f>
        <v/>
      </c>
      <c r="AH81" s="23">
        <f>IF(OR(AH$1="",$BM81=0),"",SUMIFS(Entries!$E$2:$E$5000,Entries!$C$2:$C$5000,"Actual",Entries!$A$2:$A$5000,"&gt;="&amp;$A81,Entries!$A$2:$A$5000,"&lt;"&amp;EDATE($A81,1),Entries!$B$2:$B$5000,AH$1))</f>
        <v/>
      </c>
      <c r="AI81" s="23">
        <f>IF(OR(AI$1="",$BM81=0),"",SUMIFS(Entries!$E$2:$E$5000,Entries!$C$2:$C$5000,"Actual",Entries!$A$2:$A$5000,"&gt;="&amp;$A81,Entries!$A$2:$A$5000,"&lt;"&amp;EDATE($A81,1),Entries!$B$2:$B$5000,AI$1))</f>
        <v/>
      </c>
      <c r="AJ81" s="23">
        <f>IF(OR(AJ$1="",$BM81=0),"",SUMIFS(Entries!$E$2:$E$5000,Entries!$C$2:$C$5000,"Actual",Entries!$A$2:$A$5000,"&gt;="&amp;$A81,Entries!$A$2:$A$5000,"&lt;"&amp;EDATE($A81,1),Entries!$B$2:$B$5000,AJ$1))</f>
        <v/>
      </c>
      <c r="AK81" s="23">
        <f>IF(OR(AK$1="",$BM81=0),"",SUMIFS(Entries!$E$2:$E$5000,Entries!$C$2:$C$5000,"Actual",Entries!$A$2:$A$5000,"&gt;="&amp;$A81,Entries!$A$2:$A$5000,"&lt;"&amp;EDATE($A81,1),Entries!$B$2:$B$5000,AK$1))</f>
        <v/>
      </c>
      <c r="AL81" s="23">
        <f>IF(OR(AL$1="",$BM81=0),"",SUMIFS(Entries!$E$2:$E$5000,Entries!$C$2:$C$5000,"Actual",Entries!$A$2:$A$5000,"&gt;="&amp;$A81,Entries!$A$2:$A$5000,"&lt;"&amp;EDATE($A81,1),Entries!$B$2:$B$5000,AL$1))</f>
        <v/>
      </c>
      <c r="AM81" s="23">
        <f>IF(OR(AM$1="",$BM81=0),"",SUMIFS(Entries!$E$2:$E$5000,Entries!$C$2:$C$5000,"Actual",Entries!$A$2:$A$5000,"&gt;="&amp;$A81,Entries!$A$2:$A$5000,"&lt;"&amp;EDATE($A81,1),Entries!$B$2:$B$5000,AM$1))</f>
        <v/>
      </c>
      <c r="AN81" s="23">
        <f>IF(OR(AN$1="",$BM81=0),"",SUMIFS(Entries!$E$2:$E$5000,Entries!$C$2:$C$5000,"Actual",Entries!$A$2:$A$5000,"&gt;="&amp;$A81,Entries!$A$2:$A$5000,"&lt;"&amp;EDATE($A81,1),Entries!$B$2:$B$5000,AN$1))</f>
        <v/>
      </c>
      <c r="AO81" s="23">
        <f>IF(OR(AO$1="",$BM81=0),"",SUMIFS(Entries!$E$2:$E$5000,Entries!$C$2:$C$5000,"Actual",Entries!$A$2:$A$5000,"&gt;="&amp;$A81,Entries!$A$2:$A$5000,"&lt;"&amp;EDATE($A81,1),Entries!$B$2:$B$5000,AO$1))</f>
        <v/>
      </c>
      <c r="AP81" s="23">
        <f>IF(OR(AP$1="",$BM81=0),"",SUMIFS(Entries!$E$2:$E$5000,Entries!$C$2:$C$5000,"Actual",Entries!$A$2:$A$5000,"&gt;="&amp;$A81,Entries!$A$2:$A$5000,"&lt;"&amp;EDATE($A81,1),Entries!$B$2:$B$5000,AP$1))</f>
        <v/>
      </c>
      <c r="AR81" s="23">
        <f>IF(OR(AR$1="",$BM81=0),"",IFERROR(LOOKUP(2,1/((Budgets!$A$2:$A$200=AR$1)*(Budgets!$B$2:$B$200&lt;EDATE($A81,1))),Budgets!$C$2:$C$200),0))</f>
        <v/>
      </c>
      <c r="AS81" s="23">
        <f>IF(OR(AS$1="",$BM81=0),"",IFERROR(LOOKUP(2,1/((Budgets!$A$2:$A$200=AS$1)*(Budgets!$B$2:$B$200&lt;EDATE($A81,1))),Budgets!$C$2:$C$200),0))</f>
        <v/>
      </c>
      <c r="AT81" s="23">
        <f>IF(OR(AT$1="",$BM81=0),"",IFERROR(LOOKUP(2,1/((Budgets!$A$2:$A$200=AT$1)*(Budgets!$B$2:$B$200&lt;EDATE($A81,1))),Budgets!$C$2:$C$200),0))</f>
        <v/>
      </c>
      <c r="AU81" s="23">
        <f>IF(OR(AU$1="",$BM81=0),"",IFERROR(LOOKUP(2,1/((Budgets!$A$2:$A$200=AU$1)*(Budgets!$B$2:$B$200&lt;EDATE($A81,1))),Budgets!$C$2:$C$200),0))</f>
        <v/>
      </c>
      <c r="AV81" s="23">
        <f>IF(OR(AV$1="",$BM81=0),"",IFERROR(LOOKUP(2,1/((Budgets!$A$2:$A$200=AV$1)*(Budgets!$B$2:$B$200&lt;EDATE($A81,1))),Budgets!$C$2:$C$200),0))</f>
        <v/>
      </c>
      <c r="AW81" s="23">
        <f>IF(OR(AW$1="",$BM81=0),"",IFERROR(LOOKUP(2,1/((Budgets!$A$2:$A$200=AW$1)*(Budgets!$B$2:$B$200&lt;EDATE($A81,1))),Budgets!$C$2:$C$200),0))</f>
        <v/>
      </c>
      <c r="AX81" s="23">
        <f>IF(OR(AX$1="",$BM81=0),"",IFERROR(LOOKUP(2,1/((Budgets!$A$2:$A$200=AX$1)*(Budgets!$B$2:$B$200&lt;EDATE($A81,1))),Budgets!$C$2:$C$200),0))</f>
        <v/>
      </c>
      <c r="AY81" s="23">
        <f>IF(OR(AY$1="",$BM81=0),"",IFERROR(LOOKUP(2,1/((Budgets!$A$2:$A$200=AY$1)*(Budgets!$B$2:$B$200&lt;EDATE($A81,1))),Budgets!$C$2:$C$200),0))</f>
        <v/>
      </c>
      <c r="AZ81" s="23">
        <f>IF(OR(AZ$1="",$BM81=0),"",IFERROR(LOOKUP(2,1/((Budgets!$A$2:$A$200=AZ$1)*(Budgets!$B$2:$B$200&lt;EDATE($A81,1))),Budgets!$C$2:$C$200),0))</f>
        <v/>
      </c>
      <c r="BA81" s="23">
        <f>IF(OR(BA$1="",$BM81=0),"",IFERROR(LOOKUP(2,1/((Budgets!$A$2:$A$200=BA$1)*(Budgets!$B$2:$B$200&lt;EDATE($A81,1))),Budgets!$C$2:$C$200),0))</f>
        <v/>
      </c>
      <c r="BB81" s="23">
        <f>IF(OR(BB$1="",$BM81=0),"",IFERROR(LOOKUP(2,1/((Budgets!$A$2:$A$200=BB$1)*(Budgets!$B$2:$B$200&lt;EDATE($A81,1))),Budgets!$C$2:$C$200),0))</f>
        <v/>
      </c>
      <c r="BC81" s="23">
        <f>IF(OR(BC$1="",$BM81=0),"",IFERROR(LOOKUP(2,1/((Budgets!$A$2:$A$200=BC$1)*(Budgets!$B$2:$B$200&lt;EDATE($A81,1))),Budgets!$C$2:$C$200),0))</f>
        <v/>
      </c>
      <c r="BD81" s="23">
        <f>IF(OR(BD$1="",$BM81=0),"",IFERROR(LOOKUP(2,1/((Budgets!$A$2:$A$200=BD$1)*(Budgets!$B$2:$B$200&lt;EDATE($A81,1))),Budgets!$C$2:$C$200),0))</f>
        <v/>
      </c>
      <c r="BE81" s="23">
        <f>IF(OR(BE$1="",$BM81=0),"",IFERROR(LOOKUP(2,1/((Budgets!$A$2:$A$200=BE$1)*(Budgets!$B$2:$B$200&lt;EDATE($A81,1))),Budgets!$C$2:$C$200),0))</f>
        <v/>
      </c>
      <c r="BF81" s="23">
        <f>IF(OR(BF$1="",$BM81=0),"",IFERROR(LOOKUP(2,1/((Budgets!$A$2:$A$200=BF$1)*(Budgets!$B$2:$B$200&lt;EDATE($A81,1))),Budgets!$C$2:$C$200),0))</f>
        <v/>
      </c>
      <c r="BG81" s="23">
        <f>IF(OR(BG$1="",$BM81=0),"",IFERROR(LOOKUP(2,1/((Budgets!$A$2:$A$200=BG$1)*(Budgets!$B$2:$B$200&lt;EDATE($A81,1))),Budgets!$C$2:$C$200),0))</f>
        <v/>
      </c>
      <c r="BH81" s="23">
        <f>IF(OR(BH$1="",$BM81=0),"",IFERROR(LOOKUP(2,1/((Budgets!$A$2:$A$200=BH$1)*(Budgets!$B$2:$B$200&lt;EDATE($A81,1))),Budgets!$C$2:$C$200),0))</f>
        <v/>
      </c>
      <c r="BI81" s="23">
        <f>IF(OR(BI$1="",$BM81=0),"",IFERROR(LOOKUP(2,1/((Budgets!$A$2:$A$200=BI$1)*(Budgets!$B$2:$B$200&lt;EDATE($A81,1))),Budgets!$C$2:$C$200),0))</f>
        <v/>
      </c>
      <c r="BJ81" s="23">
        <f>IF(OR(BJ$1="",$BM81=0),"",IFERROR(LOOKUP(2,1/((Budgets!$A$2:$A$200=BJ$1)*(Budgets!$B$2:$B$200&lt;EDATE($A81,1))),Budgets!$C$2:$C$200),0))</f>
        <v/>
      </c>
      <c r="BK81" s="23">
        <f>IF(OR(BK$1="",$BM81=0),"",IFERROR(LOOKUP(2,1/((Budgets!$A$2:$A$200=BK$1)*(Budgets!$B$2:$B$200&lt;EDATE($A81,1))),Budgets!$C$2:$C$200),0))</f>
        <v/>
      </c>
      <c r="BM81" s="21">
        <f>COUNTIFS(Entries!$A$2:$A$5000,"&gt;="&amp;$A81,Entries!$A$2:$A$5000,"&lt;"&amp;EDATE($A81,1))</f>
        <v/>
      </c>
    </row>
    <row r="82">
      <c r="A82" s="22" t="n">
        <v>41883</v>
      </c>
      <c r="B82" s="23">
        <f>IF($BM82=0,NA(),SUMIFS(Entries!$E$2:$E$5000,Entries!$C$2:$C$5000,"Income",Entries!$A$2:$A$5000,"&gt;="&amp;$A82,Entries!$A$2:$A$5000,"&lt;"&amp;EDATE($A82,1)))</f>
        <v/>
      </c>
      <c r="C82" s="23">
        <f>IF($BM82=0,"",SUMIFS(Entries!$E$2:$E$5000,Entries!$C$2:$C$5000,"Actual",Entries!$A$2:$A$5000,"&gt;="&amp;$A82,Entries!$A$2:$A$5000,"&lt;"&amp;EDATE($A82,1)))</f>
        <v/>
      </c>
      <c r="D82" s="23">
        <f>IF($BM82=0,"",SUMIFS(Entries!$E$2:$E$5000,Entries!$C$2:$C$5000,"One-off",Entries!$A$2:$A$5000,"&gt;="&amp;$A82,Entries!$A$2:$A$5000,"&lt;"&amp;EDATE($A82,1)))</f>
        <v/>
      </c>
      <c r="E82" s="23">
        <f>IF($BM82=0,NA(),C82+D82)</f>
        <v/>
      </c>
      <c r="F82" s="23">
        <f>IF($BM82=0,"",SUM(AR82:BK82))</f>
        <v/>
      </c>
      <c r="G82" s="23">
        <f>IF($BM82=0,"",B82-E82)</f>
        <v/>
      </c>
      <c r="H82" s="23">
        <f>IF($BM82=0,"",SUM($G$2:G82))</f>
        <v/>
      </c>
      <c r="I82" s="23">
        <f>IF($BM82=0,"",SUMIFS(Entries!$G$2:$G$5000,Entries!$A$2:$A$5000,"&gt;="&amp;$A82,Entries!$A$2:$A$5000,"&lt;"&amp;EDATE($A82,1)))</f>
        <v/>
      </c>
      <c r="J82" s="23">
        <f>IF($BM82=0,NA(),H82)</f>
        <v/>
      </c>
      <c r="K82" s="23">
        <f>IF($BM82=0,"",SUMIFS(Entries!$E$2:$E$5000,Entries!$C$2:$C$5000,"Income",Entries!$A$2:$A$5000,"&gt;="&amp;EDATE($A82,-11),Entries!$A$2:$A$5000,"&lt;"&amp;EDATE($A82,1))/COUNTIFS($A$2:$A$400,"&gt;="&amp;EDATE($A82,-11),$A$2:$A$400,"&lt;"&amp;EDATE($A82,1),$BM$2:$BM$400,"&gt;0"))</f>
      </c>
      <c r="L82" s="23">
        <f>IF($BM82=0,"",(SUMIFS(Entries!$E$2:$E$5000,Entries!$C$2:$C$5000,"Actual",Entries!$A$2:$A$5000,"&gt;="&amp;EDATE($A82,-11),Entries!$A$2:$A$5000,"&lt;"&amp;EDATE($A82,1))+SUMIFS(Entries!$E$2:$E$5000,Entries!$C$2:$C$5000,"One-off",Entries!$A$2:$A$5000,"&gt;="&amp;EDATE($A82,-11),Entries!$A$2:$A$5000,"&lt;"&amp;EDATE($A82,1)))/COUNTIFS($A$2:$A$400,"&gt;="&amp;EDATE($A82,-11),$A$2:$A$400,"&lt;"&amp;EDATE($A82,1),$BM$2:$BM$400,"&gt;0"))</f>
      </c>
      <c r="M82" s="24">
        <f>IF($BM82=0,NA(),IFERROR((K82-L82)/K82,0))</f>
        <v/>
      </c>
      <c r="N82" s="23">
        <f>IF($BM82=0,NA(),SUMIFS(Entries!$E$2:$E$5000,Entries!$D$2:$D$5000,"Core",Entries!$A$2:$A$5000,"&gt;="&amp;$A82,Entries!$A$2:$A$5000,"&lt;"&amp;EDATE($A82,1)))</f>
        <v/>
      </c>
      <c r="O82" s="23">
        <f>IF($BM82=0,NA(),SUMIFS(Entries!$E$2:$E$5000,Entries!$D$2:$D$5000,"Over &amp; above",Entries!$A$2:$A$5000,"&gt;="&amp;$A82,Entries!$A$2:$A$5000,"&lt;"&amp;EDATE($A82,1)))</f>
        <v/>
      </c>
      <c r="P82" s="23">
        <f>IF($BM82=0,NA(),SUMIFS(Entries!$E$2:$E$5000,Entries!$D$2:$D$5000,"One-off",Entries!$A$2:$A$5000,"&gt;="&amp;$A82,Entries!$A$2:$A$5000,"&lt;"&amp;EDATE($A82,1)))</f>
        <v/>
      </c>
      <c r="Q82" s="23">
        <f>IF($BM82=0,NA(),SUMIFS(Entries!$E$2:$E$5000,Entries!$D$2:$D$5000,"Reimbursable",Entries!$A$2:$A$5000,"&gt;="&amp;$A82,Entries!$A$2:$A$5000,"&lt;"&amp;EDATE($A82,1)))</f>
        <v/>
      </c>
      <c r="R82" s="23">
        <f>IF($BM82=0,NA(),SUMIFS(Entries!$E$2:$E$5000,Entries!$D$2:$D$5000,"Investment",Entries!$A$2:$A$5000,"&gt;="&amp;$A82,Entries!$A$2:$A$5000,"&lt;"&amp;EDATE($A82,1)))</f>
        <v/>
      </c>
      <c r="S82" s="23">
        <f>IF($BM82=0,NA(),N82+O82)</f>
        <v/>
      </c>
      <c r="T82" s="23">
        <f>IF($BM82=0,"",E82-Q82)</f>
        <v/>
      </c>
      <c r="W82" s="23">
        <f>IF(OR(W$1="",$BM82=0),"",SUMIFS(Entries!$E$2:$E$5000,Entries!$C$2:$C$5000,"Actual",Entries!$A$2:$A$5000,"&gt;="&amp;$A82,Entries!$A$2:$A$5000,"&lt;"&amp;EDATE($A82,1),Entries!$B$2:$B$5000,W$1))</f>
        <v/>
      </c>
      <c r="X82" s="23">
        <f>IF(OR(X$1="",$BM82=0),"",SUMIFS(Entries!$E$2:$E$5000,Entries!$C$2:$C$5000,"Actual",Entries!$A$2:$A$5000,"&gt;="&amp;$A82,Entries!$A$2:$A$5000,"&lt;"&amp;EDATE($A82,1),Entries!$B$2:$B$5000,X$1))</f>
        <v/>
      </c>
      <c r="Y82" s="23">
        <f>IF(OR(Y$1="",$BM82=0),"",SUMIFS(Entries!$E$2:$E$5000,Entries!$C$2:$C$5000,"Actual",Entries!$A$2:$A$5000,"&gt;="&amp;$A82,Entries!$A$2:$A$5000,"&lt;"&amp;EDATE($A82,1),Entries!$B$2:$B$5000,Y$1))</f>
        <v/>
      </c>
      <c r="Z82" s="23">
        <f>IF(OR(Z$1="",$BM82=0),"",SUMIFS(Entries!$E$2:$E$5000,Entries!$C$2:$C$5000,"Actual",Entries!$A$2:$A$5000,"&gt;="&amp;$A82,Entries!$A$2:$A$5000,"&lt;"&amp;EDATE($A82,1),Entries!$B$2:$B$5000,Z$1))</f>
        <v/>
      </c>
      <c r="AA82" s="23">
        <f>IF(OR(AA$1="",$BM82=0),"",SUMIFS(Entries!$E$2:$E$5000,Entries!$C$2:$C$5000,"Actual",Entries!$A$2:$A$5000,"&gt;="&amp;$A82,Entries!$A$2:$A$5000,"&lt;"&amp;EDATE($A82,1),Entries!$B$2:$B$5000,AA$1))</f>
        <v/>
      </c>
      <c r="AB82" s="23">
        <f>IF(OR(AB$1="",$BM82=0),"",SUMIFS(Entries!$E$2:$E$5000,Entries!$C$2:$C$5000,"Actual",Entries!$A$2:$A$5000,"&gt;="&amp;$A82,Entries!$A$2:$A$5000,"&lt;"&amp;EDATE($A82,1),Entries!$B$2:$B$5000,AB$1))</f>
        <v/>
      </c>
      <c r="AC82" s="23">
        <f>IF(OR(AC$1="",$BM82=0),"",SUMIFS(Entries!$E$2:$E$5000,Entries!$C$2:$C$5000,"Actual",Entries!$A$2:$A$5000,"&gt;="&amp;$A82,Entries!$A$2:$A$5000,"&lt;"&amp;EDATE($A82,1),Entries!$B$2:$B$5000,AC$1))</f>
        <v/>
      </c>
      <c r="AD82" s="23">
        <f>IF(OR(AD$1="",$BM82=0),"",SUMIFS(Entries!$E$2:$E$5000,Entries!$C$2:$C$5000,"Actual",Entries!$A$2:$A$5000,"&gt;="&amp;$A82,Entries!$A$2:$A$5000,"&lt;"&amp;EDATE($A82,1),Entries!$B$2:$B$5000,AD$1))</f>
        <v/>
      </c>
      <c r="AE82" s="23">
        <f>IF(OR(AE$1="",$BM82=0),"",SUMIFS(Entries!$E$2:$E$5000,Entries!$C$2:$C$5000,"Actual",Entries!$A$2:$A$5000,"&gt;="&amp;$A82,Entries!$A$2:$A$5000,"&lt;"&amp;EDATE($A82,1),Entries!$B$2:$B$5000,AE$1))</f>
        <v/>
      </c>
      <c r="AF82" s="23">
        <f>IF(OR(AF$1="",$BM82=0),"",SUMIFS(Entries!$E$2:$E$5000,Entries!$C$2:$C$5000,"Actual",Entries!$A$2:$A$5000,"&gt;="&amp;$A82,Entries!$A$2:$A$5000,"&lt;"&amp;EDATE($A82,1),Entries!$B$2:$B$5000,AF$1))</f>
        <v/>
      </c>
      <c r="AG82" s="23">
        <f>IF(OR(AG$1="",$BM82=0),"",SUMIFS(Entries!$E$2:$E$5000,Entries!$C$2:$C$5000,"Actual",Entries!$A$2:$A$5000,"&gt;="&amp;$A82,Entries!$A$2:$A$5000,"&lt;"&amp;EDATE($A82,1),Entries!$B$2:$B$5000,AG$1))</f>
        <v/>
      </c>
      <c r="AH82" s="23">
        <f>IF(OR(AH$1="",$BM82=0),"",SUMIFS(Entries!$E$2:$E$5000,Entries!$C$2:$C$5000,"Actual",Entries!$A$2:$A$5000,"&gt;="&amp;$A82,Entries!$A$2:$A$5000,"&lt;"&amp;EDATE($A82,1),Entries!$B$2:$B$5000,AH$1))</f>
        <v/>
      </c>
      <c r="AI82" s="23">
        <f>IF(OR(AI$1="",$BM82=0),"",SUMIFS(Entries!$E$2:$E$5000,Entries!$C$2:$C$5000,"Actual",Entries!$A$2:$A$5000,"&gt;="&amp;$A82,Entries!$A$2:$A$5000,"&lt;"&amp;EDATE($A82,1),Entries!$B$2:$B$5000,AI$1))</f>
        <v/>
      </c>
      <c r="AJ82" s="23">
        <f>IF(OR(AJ$1="",$BM82=0),"",SUMIFS(Entries!$E$2:$E$5000,Entries!$C$2:$C$5000,"Actual",Entries!$A$2:$A$5000,"&gt;="&amp;$A82,Entries!$A$2:$A$5000,"&lt;"&amp;EDATE($A82,1),Entries!$B$2:$B$5000,AJ$1))</f>
        <v/>
      </c>
      <c r="AK82" s="23">
        <f>IF(OR(AK$1="",$BM82=0),"",SUMIFS(Entries!$E$2:$E$5000,Entries!$C$2:$C$5000,"Actual",Entries!$A$2:$A$5000,"&gt;="&amp;$A82,Entries!$A$2:$A$5000,"&lt;"&amp;EDATE($A82,1),Entries!$B$2:$B$5000,AK$1))</f>
        <v/>
      </c>
      <c r="AL82" s="23">
        <f>IF(OR(AL$1="",$BM82=0),"",SUMIFS(Entries!$E$2:$E$5000,Entries!$C$2:$C$5000,"Actual",Entries!$A$2:$A$5000,"&gt;="&amp;$A82,Entries!$A$2:$A$5000,"&lt;"&amp;EDATE($A82,1),Entries!$B$2:$B$5000,AL$1))</f>
        <v/>
      </c>
      <c r="AM82" s="23">
        <f>IF(OR(AM$1="",$BM82=0),"",SUMIFS(Entries!$E$2:$E$5000,Entries!$C$2:$C$5000,"Actual",Entries!$A$2:$A$5000,"&gt;="&amp;$A82,Entries!$A$2:$A$5000,"&lt;"&amp;EDATE($A82,1),Entries!$B$2:$B$5000,AM$1))</f>
        <v/>
      </c>
      <c r="AN82" s="23">
        <f>IF(OR(AN$1="",$BM82=0),"",SUMIFS(Entries!$E$2:$E$5000,Entries!$C$2:$C$5000,"Actual",Entries!$A$2:$A$5000,"&gt;="&amp;$A82,Entries!$A$2:$A$5000,"&lt;"&amp;EDATE($A82,1),Entries!$B$2:$B$5000,AN$1))</f>
        <v/>
      </c>
      <c r="AO82" s="23">
        <f>IF(OR(AO$1="",$BM82=0),"",SUMIFS(Entries!$E$2:$E$5000,Entries!$C$2:$C$5000,"Actual",Entries!$A$2:$A$5000,"&gt;="&amp;$A82,Entries!$A$2:$A$5000,"&lt;"&amp;EDATE($A82,1),Entries!$B$2:$B$5000,AO$1))</f>
        <v/>
      </c>
      <c r="AP82" s="23">
        <f>IF(OR(AP$1="",$BM82=0),"",SUMIFS(Entries!$E$2:$E$5000,Entries!$C$2:$C$5000,"Actual",Entries!$A$2:$A$5000,"&gt;="&amp;$A82,Entries!$A$2:$A$5000,"&lt;"&amp;EDATE($A82,1),Entries!$B$2:$B$5000,AP$1))</f>
        <v/>
      </c>
      <c r="AR82" s="23">
        <f>IF(OR(AR$1="",$BM82=0),"",IFERROR(LOOKUP(2,1/((Budgets!$A$2:$A$200=AR$1)*(Budgets!$B$2:$B$200&lt;EDATE($A82,1))),Budgets!$C$2:$C$200),0))</f>
        <v/>
      </c>
      <c r="AS82" s="23">
        <f>IF(OR(AS$1="",$BM82=0),"",IFERROR(LOOKUP(2,1/((Budgets!$A$2:$A$200=AS$1)*(Budgets!$B$2:$B$200&lt;EDATE($A82,1))),Budgets!$C$2:$C$200),0))</f>
        <v/>
      </c>
      <c r="AT82" s="23">
        <f>IF(OR(AT$1="",$BM82=0),"",IFERROR(LOOKUP(2,1/((Budgets!$A$2:$A$200=AT$1)*(Budgets!$B$2:$B$200&lt;EDATE($A82,1))),Budgets!$C$2:$C$200),0))</f>
        <v/>
      </c>
      <c r="AU82" s="23">
        <f>IF(OR(AU$1="",$BM82=0),"",IFERROR(LOOKUP(2,1/((Budgets!$A$2:$A$200=AU$1)*(Budgets!$B$2:$B$200&lt;EDATE($A82,1))),Budgets!$C$2:$C$200),0))</f>
        <v/>
      </c>
      <c r="AV82" s="23">
        <f>IF(OR(AV$1="",$BM82=0),"",IFERROR(LOOKUP(2,1/((Budgets!$A$2:$A$200=AV$1)*(Budgets!$B$2:$B$200&lt;EDATE($A82,1))),Budgets!$C$2:$C$200),0))</f>
        <v/>
      </c>
      <c r="AW82" s="23">
        <f>IF(OR(AW$1="",$BM82=0),"",IFERROR(LOOKUP(2,1/((Budgets!$A$2:$A$200=AW$1)*(Budgets!$B$2:$B$200&lt;EDATE($A82,1))),Budgets!$C$2:$C$200),0))</f>
        <v/>
      </c>
      <c r="AX82" s="23">
        <f>IF(OR(AX$1="",$BM82=0),"",IFERROR(LOOKUP(2,1/((Budgets!$A$2:$A$200=AX$1)*(Budgets!$B$2:$B$200&lt;EDATE($A82,1))),Budgets!$C$2:$C$200),0))</f>
        <v/>
      </c>
      <c r="AY82" s="23">
        <f>IF(OR(AY$1="",$BM82=0),"",IFERROR(LOOKUP(2,1/((Budgets!$A$2:$A$200=AY$1)*(Budgets!$B$2:$B$200&lt;EDATE($A82,1))),Budgets!$C$2:$C$200),0))</f>
        <v/>
      </c>
      <c r="AZ82" s="23">
        <f>IF(OR(AZ$1="",$BM82=0),"",IFERROR(LOOKUP(2,1/((Budgets!$A$2:$A$200=AZ$1)*(Budgets!$B$2:$B$200&lt;EDATE($A82,1))),Budgets!$C$2:$C$200),0))</f>
        <v/>
      </c>
      <c r="BA82" s="23">
        <f>IF(OR(BA$1="",$BM82=0),"",IFERROR(LOOKUP(2,1/((Budgets!$A$2:$A$200=BA$1)*(Budgets!$B$2:$B$200&lt;EDATE($A82,1))),Budgets!$C$2:$C$200),0))</f>
        <v/>
      </c>
      <c r="BB82" s="23">
        <f>IF(OR(BB$1="",$BM82=0),"",IFERROR(LOOKUP(2,1/((Budgets!$A$2:$A$200=BB$1)*(Budgets!$B$2:$B$200&lt;EDATE($A82,1))),Budgets!$C$2:$C$200),0))</f>
        <v/>
      </c>
      <c r="BC82" s="23">
        <f>IF(OR(BC$1="",$BM82=0),"",IFERROR(LOOKUP(2,1/((Budgets!$A$2:$A$200=BC$1)*(Budgets!$B$2:$B$200&lt;EDATE($A82,1))),Budgets!$C$2:$C$200),0))</f>
        <v/>
      </c>
      <c r="BD82" s="23">
        <f>IF(OR(BD$1="",$BM82=0),"",IFERROR(LOOKUP(2,1/((Budgets!$A$2:$A$200=BD$1)*(Budgets!$B$2:$B$200&lt;EDATE($A82,1))),Budgets!$C$2:$C$200),0))</f>
        <v/>
      </c>
      <c r="BE82" s="23">
        <f>IF(OR(BE$1="",$BM82=0),"",IFERROR(LOOKUP(2,1/((Budgets!$A$2:$A$200=BE$1)*(Budgets!$B$2:$B$200&lt;EDATE($A82,1))),Budgets!$C$2:$C$200),0))</f>
        <v/>
      </c>
      <c r="BF82" s="23">
        <f>IF(OR(BF$1="",$BM82=0),"",IFERROR(LOOKUP(2,1/((Budgets!$A$2:$A$200=BF$1)*(Budgets!$B$2:$B$200&lt;EDATE($A82,1))),Budgets!$C$2:$C$200),0))</f>
        <v/>
      </c>
      <c r="BG82" s="23">
        <f>IF(OR(BG$1="",$BM82=0),"",IFERROR(LOOKUP(2,1/((Budgets!$A$2:$A$200=BG$1)*(Budgets!$B$2:$B$200&lt;EDATE($A82,1))),Budgets!$C$2:$C$200),0))</f>
        <v/>
      </c>
      <c r="BH82" s="23">
        <f>IF(OR(BH$1="",$BM82=0),"",IFERROR(LOOKUP(2,1/((Budgets!$A$2:$A$200=BH$1)*(Budgets!$B$2:$B$200&lt;EDATE($A82,1))),Budgets!$C$2:$C$200),0))</f>
        <v/>
      </c>
      <c r="BI82" s="23">
        <f>IF(OR(BI$1="",$BM82=0),"",IFERROR(LOOKUP(2,1/((Budgets!$A$2:$A$200=BI$1)*(Budgets!$B$2:$B$200&lt;EDATE($A82,1))),Budgets!$C$2:$C$200),0))</f>
        <v/>
      </c>
      <c r="BJ82" s="23">
        <f>IF(OR(BJ$1="",$BM82=0),"",IFERROR(LOOKUP(2,1/((Budgets!$A$2:$A$200=BJ$1)*(Budgets!$B$2:$B$200&lt;EDATE($A82,1))),Budgets!$C$2:$C$200),0))</f>
        <v/>
      </c>
      <c r="BK82" s="23">
        <f>IF(OR(BK$1="",$BM82=0),"",IFERROR(LOOKUP(2,1/((Budgets!$A$2:$A$200=BK$1)*(Budgets!$B$2:$B$200&lt;EDATE($A82,1))),Budgets!$C$2:$C$200),0))</f>
        <v/>
      </c>
      <c r="BM82" s="21">
        <f>COUNTIFS(Entries!$A$2:$A$5000,"&gt;="&amp;$A82,Entries!$A$2:$A$5000,"&lt;"&amp;EDATE($A82,1))</f>
        <v/>
      </c>
    </row>
    <row r="83">
      <c r="A83" s="22" t="n">
        <v>41913</v>
      </c>
      <c r="B83" s="23">
        <f>IF($BM83=0,NA(),SUMIFS(Entries!$E$2:$E$5000,Entries!$C$2:$C$5000,"Income",Entries!$A$2:$A$5000,"&gt;="&amp;$A83,Entries!$A$2:$A$5000,"&lt;"&amp;EDATE($A83,1)))</f>
        <v/>
      </c>
      <c r="C83" s="23">
        <f>IF($BM83=0,"",SUMIFS(Entries!$E$2:$E$5000,Entries!$C$2:$C$5000,"Actual",Entries!$A$2:$A$5000,"&gt;="&amp;$A83,Entries!$A$2:$A$5000,"&lt;"&amp;EDATE($A83,1)))</f>
        <v/>
      </c>
      <c r="D83" s="23">
        <f>IF($BM83=0,"",SUMIFS(Entries!$E$2:$E$5000,Entries!$C$2:$C$5000,"One-off",Entries!$A$2:$A$5000,"&gt;="&amp;$A83,Entries!$A$2:$A$5000,"&lt;"&amp;EDATE($A83,1)))</f>
        <v/>
      </c>
      <c r="E83" s="23">
        <f>IF($BM83=0,NA(),C83+D83)</f>
        <v/>
      </c>
      <c r="F83" s="23">
        <f>IF($BM83=0,"",SUM(AR83:BK83))</f>
        <v/>
      </c>
      <c r="G83" s="23">
        <f>IF($BM83=0,"",B83-E83)</f>
        <v/>
      </c>
      <c r="H83" s="23">
        <f>IF($BM83=0,"",SUM($G$2:G83))</f>
        <v/>
      </c>
      <c r="I83" s="23">
        <f>IF($BM83=0,"",SUMIFS(Entries!$G$2:$G$5000,Entries!$A$2:$A$5000,"&gt;="&amp;$A83,Entries!$A$2:$A$5000,"&lt;"&amp;EDATE($A83,1)))</f>
        <v/>
      </c>
      <c r="J83" s="23">
        <f>IF($BM83=0,NA(),H83)</f>
        <v/>
      </c>
      <c r="K83" s="23">
        <f>IF($BM83=0,"",SUMIFS(Entries!$E$2:$E$5000,Entries!$C$2:$C$5000,"Income",Entries!$A$2:$A$5000,"&gt;="&amp;EDATE($A83,-11),Entries!$A$2:$A$5000,"&lt;"&amp;EDATE($A83,1))/COUNTIFS($A$2:$A$400,"&gt;="&amp;EDATE($A83,-11),$A$2:$A$400,"&lt;"&amp;EDATE($A83,1),$BM$2:$BM$400,"&gt;0"))</f>
      </c>
      <c r="L83" s="23">
        <f>IF($BM83=0,"",(SUMIFS(Entries!$E$2:$E$5000,Entries!$C$2:$C$5000,"Actual",Entries!$A$2:$A$5000,"&gt;="&amp;EDATE($A83,-11),Entries!$A$2:$A$5000,"&lt;"&amp;EDATE($A83,1))+SUMIFS(Entries!$E$2:$E$5000,Entries!$C$2:$C$5000,"One-off",Entries!$A$2:$A$5000,"&gt;="&amp;EDATE($A83,-11),Entries!$A$2:$A$5000,"&lt;"&amp;EDATE($A83,1)))/COUNTIFS($A$2:$A$400,"&gt;="&amp;EDATE($A83,-11),$A$2:$A$400,"&lt;"&amp;EDATE($A83,1),$BM$2:$BM$400,"&gt;0"))</f>
      </c>
      <c r="M83" s="24">
        <f>IF($BM83=0,NA(),IFERROR((K83-L83)/K83,0))</f>
        <v/>
      </c>
      <c r="N83" s="23">
        <f>IF($BM83=0,NA(),SUMIFS(Entries!$E$2:$E$5000,Entries!$D$2:$D$5000,"Core",Entries!$A$2:$A$5000,"&gt;="&amp;$A83,Entries!$A$2:$A$5000,"&lt;"&amp;EDATE($A83,1)))</f>
        <v/>
      </c>
      <c r="O83" s="23">
        <f>IF($BM83=0,NA(),SUMIFS(Entries!$E$2:$E$5000,Entries!$D$2:$D$5000,"Over &amp; above",Entries!$A$2:$A$5000,"&gt;="&amp;$A83,Entries!$A$2:$A$5000,"&lt;"&amp;EDATE($A83,1)))</f>
        <v/>
      </c>
      <c r="P83" s="23">
        <f>IF($BM83=0,NA(),SUMIFS(Entries!$E$2:$E$5000,Entries!$D$2:$D$5000,"One-off",Entries!$A$2:$A$5000,"&gt;="&amp;$A83,Entries!$A$2:$A$5000,"&lt;"&amp;EDATE($A83,1)))</f>
        <v/>
      </c>
      <c r="Q83" s="23">
        <f>IF($BM83=0,NA(),SUMIFS(Entries!$E$2:$E$5000,Entries!$D$2:$D$5000,"Reimbursable",Entries!$A$2:$A$5000,"&gt;="&amp;$A83,Entries!$A$2:$A$5000,"&lt;"&amp;EDATE($A83,1)))</f>
        <v/>
      </c>
      <c r="R83" s="23">
        <f>IF($BM83=0,NA(),SUMIFS(Entries!$E$2:$E$5000,Entries!$D$2:$D$5000,"Investment",Entries!$A$2:$A$5000,"&gt;="&amp;$A83,Entries!$A$2:$A$5000,"&lt;"&amp;EDATE($A83,1)))</f>
        <v/>
      </c>
      <c r="S83" s="23">
        <f>IF($BM83=0,NA(),N83+O83)</f>
        <v/>
      </c>
      <c r="T83" s="23">
        <f>IF($BM83=0,"",E83-Q83)</f>
        <v/>
      </c>
      <c r="W83" s="23">
        <f>IF(OR(W$1="",$BM83=0),"",SUMIFS(Entries!$E$2:$E$5000,Entries!$C$2:$C$5000,"Actual",Entries!$A$2:$A$5000,"&gt;="&amp;$A83,Entries!$A$2:$A$5000,"&lt;"&amp;EDATE($A83,1),Entries!$B$2:$B$5000,W$1))</f>
        <v/>
      </c>
      <c r="X83" s="23">
        <f>IF(OR(X$1="",$BM83=0),"",SUMIFS(Entries!$E$2:$E$5000,Entries!$C$2:$C$5000,"Actual",Entries!$A$2:$A$5000,"&gt;="&amp;$A83,Entries!$A$2:$A$5000,"&lt;"&amp;EDATE($A83,1),Entries!$B$2:$B$5000,X$1))</f>
        <v/>
      </c>
      <c r="Y83" s="23">
        <f>IF(OR(Y$1="",$BM83=0),"",SUMIFS(Entries!$E$2:$E$5000,Entries!$C$2:$C$5000,"Actual",Entries!$A$2:$A$5000,"&gt;="&amp;$A83,Entries!$A$2:$A$5000,"&lt;"&amp;EDATE($A83,1),Entries!$B$2:$B$5000,Y$1))</f>
        <v/>
      </c>
      <c r="Z83" s="23">
        <f>IF(OR(Z$1="",$BM83=0),"",SUMIFS(Entries!$E$2:$E$5000,Entries!$C$2:$C$5000,"Actual",Entries!$A$2:$A$5000,"&gt;="&amp;$A83,Entries!$A$2:$A$5000,"&lt;"&amp;EDATE($A83,1),Entries!$B$2:$B$5000,Z$1))</f>
        <v/>
      </c>
      <c r="AA83" s="23">
        <f>IF(OR(AA$1="",$BM83=0),"",SUMIFS(Entries!$E$2:$E$5000,Entries!$C$2:$C$5000,"Actual",Entries!$A$2:$A$5000,"&gt;="&amp;$A83,Entries!$A$2:$A$5000,"&lt;"&amp;EDATE($A83,1),Entries!$B$2:$B$5000,AA$1))</f>
        <v/>
      </c>
      <c r="AB83" s="23">
        <f>IF(OR(AB$1="",$BM83=0),"",SUMIFS(Entries!$E$2:$E$5000,Entries!$C$2:$C$5000,"Actual",Entries!$A$2:$A$5000,"&gt;="&amp;$A83,Entries!$A$2:$A$5000,"&lt;"&amp;EDATE($A83,1),Entries!$B$2:$B$5000,AB$1))</f>
        <v/>
      </c>
      <c r="AC83" s="23">
        <f>IF(OR(AC$1="",$BM83=0),"",SUMIFS(Entries!$E$2:$E$5000,Entries!$C$2:$C$5000,"Actual",Entries!$A$2:$A$5000,"&gt;="&amp;$A83,Entries!$A$2:$A$5000,"&lt;"&amp;EDATE($A83,1),Entries!$B$2:$B$5000,AC$1))</f>
        <v/>
      </c>
      <c r="AD83" s="23">
        <f>IF(OR(AD$1="",$BM83=0),"",SUMIFS(Entries!$E$2:$E$5000,Entries!$C$2:$C$5000,"Actual",Entries!$A$2:$A$5000,"&gt;="&amp;$A83,Entries!$A$2:$A$5000,"&lt;"&amp;EDATE($A83,1),Entries!$B$2:$B$5000,AD$1))</f>
        <v/>
      </c>
      <c r="AE83" s="23">
        <f>IF(OR(AE$1="",$BM83=0),"",SUMIFS(Entries!$E$2:$E$5000,Entries!$C$2:$C$5000,"Actual",Entries!$A$2:$A$5000,"&gt;="&amp;$A83,Entries!$A$2:$A$5000,"&lt;"&amp;EDATE($A83,1),Entries!$B$2:$B$5000,AE$1))</f>
        <v/>
      </c>
      <c r="AF83" s="23">
        <f>IF(OR(AF$1="",$BM83=0),"",SUMIFS(Entries!$E$2:$E$5000,Entries!$C$2:$C$5000,"Actual",Entries!$A$2:$A$5000,"&gt;="&amp;$A83,Entries!$A$2:$A$5000,"&lt;"&amp;EDATE($A83,1),Entries!$B$2:$B$5000,AF$1))</f>
        <v/>
      </c>
      <c r="AG83" s="23">
        <f>IF(OR(AG$1="",$BM83=0),"",SUMIFS(Entries!$E$2:$E$5000,Entries!$C$2:$C$5000,"Actual",Entries!$A$2:$A$5000,"&gt;="&amp;$A83,Entries!$A$2:$A$5000,"&lt;"&amp;EDATE($A83,1),Entries!$B$2:$B$5000,AG$1))</f>
        <v/>
      </c>
      <c r="AH83" s="23">
        <f>IF(OR(AH$1="",$BM83=0),"",SUMIFS(Entries!$E$2:$E$5000,Entries!$C$2:$C$5000,"Actual",Entries!$A$2:$A$5000,"&gt;="&amp;$A83,Entries!$A$2:$A$5000,"&lt;"&amp;EDATE($A83,1),Entries!$B$2:$B$5000,AH$1))</f>
        <v/>
      </c>
      <c r="AI83" s="23">
        <f>IF(OR(AI$1="",$BM83=0),"",SUMIFS(Entries!$E$2:$E$5000,Entries!$C$2:$C$5000,"Actual",Entries!$A$2:$A$5000,"&gt;="&amp;$A83,Entries!$A$2:$A$5000,"&lt;"&amp;EDATE($A83,1),Entries!$B$2:$B$5000,AI$1))</f>
        <v/>
      </c>
      <c r="AJ83" s="23">
        <f>IF(OR(AJ$1="",$BM83=0),"",SUMIFS(Entries!$E$2:$E$5000,Entries!$C$2:$C$5000,"Actual",Entries!$A$2:$A$5000,"&gt;="&amp;$A83,Entries!$A$2:$A$5000,"&lt;"&amp;EDATE($A83,1),Entries!$B$2:$B$5000,AJ$1))</f>
        <v/>
      </c>
      <c r="AK83" s="23">
        <f>IF(OR(AK$1="",$BM83=0),"",SUMIFS(Entries!$E$2:$E$5000,Entries!$C$2:$C$5000,"Actual",Entries!$A$2:$A$5000,"&gt;="&amp;$A83,Entries!$A$2:$A$5000,"&lt;"&amp;EDATE($A83,1),Entries!$B$2:$B$5000,AK$1))</f>
        <v/>
      </c>
      <c r="AL83" s="23">
        <f>IF(OR(AL$1="",$BM83=0),"",SUMIFS(Entries!$E$2:$E$5000,Entries!$C$2:$C$5000,"Actual",Entries!$A$2:$A$5000,"&gt;="&amp;$A83,Entries!$A$2:$A$5000,"&lt;"&amp;EDATE($A83,1),Entries!$B$2:$B$5000,AL$1))</f>
        <v/>
      </c>
      <c r="AM83" s="23">
        <f>IF(OR(AM$1="",$BM83=0),"",SUMIFS(Entries!$E$2:$E$5000,Entries!$C$2:$C$5000,"Actual",Entries!$A$2:$A$5000,"&gt;="&amp;$A83,Entries!$A$2:$A$5000,"&lt;"&amp;EDATE($A83,1),Entries!$B$2:$B$5000,AM$1))</f>
        <v/>
      </c>
      <c r="AN83" s="23">
        <f>IF(OR(AN$1="",$BM83=0),"",SUMIFS(Entries!$E$2:$E$5000,Entries!$C$2:$C$5000,"Actual",Entries!$A$2:$A$5000,"&gt;="&amp;$A83,Entries!$A$2:$A$5000,"&lt;"&amp;EDATE($A83,1),Entries!$B$2:$B$5000,AN$1))</f>
        <v/>
      </c>
      <c r="AO83" s="23">
        <f>IF(OR(AO$1="",$BM83=0),"",SUMIFS(Entries!$E$2:$E$5000,Entries!$C$2:$C$5000,"Actual",Entries!$A$2:$A$5000,"&gt;="&amp;$A83,Entries!$A$2:$A$5000,"&lt;"&amp;EDATE($A83,1),Entries!$B$2:$B$5000,AO$1))</f>
        <v/>
      </c>
      <c r="AP83" s="23">
        <f>IF(OR(AP$1="",$BM83=0),"",SUMIFS(Entries!$E$2:$E$5000,Entries!$C$2:$C$5000,"Actual",Entries!$A$2:$A$5000,"&gt;="&amp;$A83,Entries!$A$2:$A$5000,"&lt;"&amp;EDATE($A83,1),Entries!$B$2:$B$5000,AP$1))</f>
        <v/>
      </c>
      <c r="AR83" s="23">
        <f>IF(OR(AR$1="",$BM83=0),"",IFERROR(LOOKUP(2,1/((Budgets!$A$2:$A$200=AR$1)*(Budgets!$B$2:$B$200&lt;EDATE($A83,1))),Budgets!$C$2:$C$200),0))</f>
        <v/>
      </c>
      <c r="AS83" s="23">
        <f>IF(OR(AS$1="",$BM83=0),"",IFERROR(LOOKUP(2,1/((Budgets!$A$2:$A$200=AS$1)*(Budgets!$B$2:$B$200&lt;EDATE($A83,1))),Budgets!$C$2:$C$200),0))</f>
        <v/>
      </c>
      <c r="AT83" s="23">
        <f>IF(OR(AT$1="",$BM83=0),"",IFERROR(LOOKUP(2,1/((Budgets!$A$2:$A$200=AT$1)*(Budgets!$B$2:$B$200&lt;EDATE($A83,1))),Budgets!$C$2:$C$200),0))</f>
        <v/>
      </c>
      <c r="AU83" s="23">
        <f>IF(OR(AU$1="",$BM83=0),"",IFERROR(LOOKUP(2,1/((Budgets!$A$2:$A$200=AU$1)*(Budgets!$B$2:$B$200&lt;EDATE($A83,1))),Budgets!$C$2:$C$200),0))</f>
        <v/>
      </c>
      <c r="AV83" s="23">
        <f>IF(OR(AV$1="",$BM83=0),"",IFERROR(LOOKUP(2,1/((Budgets!$A$2:$A$200=AV$1)*(Budgets!$B$2:$B$200&lt;EDATE($A83,1))),Budgets!$C$2:$C$200),0))</f>
        <v/>
      </c>
      <c r="AW83" s="23">
        <f>IF(OR(AW$1="",$BM83=0),"",IFERROR(LOOKUP(2,1/((Budgets!$A$2:$A$200=AW$1)*(Budgets!$B$2:$B$200&lt;EDATE($A83,1))),Budgets!$C$2:$C$200),0))</f>
        <v/>
      </c>
      <c r="AX83" s="23">
        <f>IF(OR(AX$1="",$BM83=0),"",IFERROR(LOOKUP(2,1/((Budgets!$A$2:$A$200=AX$1)*(Budgets!$B$2:$B$200&lt;EDATE($A83,1))),Budgets!$C$2:$C$200),0))</f>
        <v/>
      </c>
      <c r="AY83" s="23">
        <f>IF(OR(AY$1="",$BM83=0),"",IFERROR(LOOKUP(2,1/((Budgets!$A$2:$A$200=AY$1)*(Budgets!$B$2:$B$200&lt;EDATE($A83,1))),Budgets!$C$2:$C$200),0))</f>
        <v/>
      </c>
      <c r="AZ83" s="23">
        <f>IF(OR(AZ$1="",$BM83=0),"",IFERROR(LOOKUP(2,1/((Budgets!$A$2:$A$200=AZ$1)*(Budgets!$B$2:$B$200&lt;EDATE($A83,1))),Budgets!$C$2:$C$200),0))</f>
        <v/>
      </c>
      <c r="BA83" s="23">
        <f>IF(OR(BA$1="",$BM83=0),"",IFERROR(LOOKUP(2,1/((Budgets!$A$2:$A$200=BA$1)*(Budgets!$B$2:$B$200&lt;EDATE($A83,1))),Budgets!$C$2:$C$200),0))</f>
        <v/>
      </c>
      <c r="BB83" s="23">
        <f>IF(OR(BB$1="",$BM83=0),"",IFERROR(LOOKUP(2,1/((Budgets!$A$2:$A$200=BB$1)*(Budgets!$B$2:$B$200&lt;EDATE($A83,1))),Budgets!$C$2:$C$200),0))</f>
        <v/>
      </c>
      <c r="BC83" s="23">
        <f>IF(OR(BC$1="",$BM83=0),"",IFERROR(LOOKUP(2,1/((Budgets!$A$2:$A$200=BC$1)*(Budgets!$B$2:$B$200&lt;EDATE($A83,1))),Budgets!$C$2:$C$200),0))</f>
        <v/>
      </c>
      <c r="BD83" s="23">
        <f>IF(OR(BD$1="",$BM83=0),"",IFERROR(LOOKUP(2,1/((Budgets!$A$2:$A$200=BD$1)*(Budgets!$B$2:$B$200&lt;EDATE($A83,1))),Budgets!$C$2:$C$200),0))</f>
        <v/>
      </c>
      <c r="BE83" s="23">
        <f>IF(OR(BE$1="",$BM83=0),"",IFERROR(LOOKUP(2,1/((Budgets!$A$2:$A$200=BE$1)*(Budgets!$B$2:$B$200&lt;EDATE($A83,1))),Budgets!$C$2:$C$200),0))</f>
        <v/>
      </c>
      <c r="BF83" s="23">
        <f>IF(OR(BF$1="",$BM83=0),"",IFERROR(LOOKUP(2,1/((Budgets!$A$2:$A$200=BF$1)*(Budgets!$B$2:$B$200&lt;EDATE($A83,1))),Budgets!$C$2:$C$200),0))</f>
        <v/>
      </c>
      <c r="BG83" s="23">
        <f>IF(OR(BG$1="",$BM83=0),"",IFERROR(LOOKUP(2,1/((Budgets!$A$2:$A$200=BG$1)*(Budgets!$B$2:$B$200&lt;EDATE($A83,1))),Budgets!$C$2:$C$200),0))</f>
        <v/>
      </c>
      <c r="BH83" s="23">
        <f>IF(OR(BH$1="",$BM83=0),"",IFERROR(LOOKUP(2,1/((Budgets!$A$2:$A$200=BH$1)*(Budgets!$B$2:$B$200&lt;EDATE($A83,1))),Budgets!$C$2:$C$200),0))</f>
        <v/>
      </c>
      <c r="BI83" s="23">
        <f>IF(OR(BI$1="",$BM83=0),"",IFERROR(LOOKUP(2,1/((Budgets!$A$2:$A$200=BI$1)*(Budgets!$B$2:$B$200&lt;EDATE($A83,1))),Budgets!$C$2:$C$200),0))</f>
        <v/>
      </c>
      <c r="BJ83" s="23">
        <f>IF(OR(BJ$1="",$BM83=0),"",IFERROR(LOOKUP(2,1/((Budgets!$A$2:$A$200=BJ$1)*(Budgets!$B$2:$B$200&lt;EDATE($A83,1))),Budgets!$C$2:$C$200),0))</f>
        <v/>
      </c>
      <c r="BK83" s="23">
        <f>IF(OR(BK$1="",$BM83=0),"",IFERROR(LOOKUP(2,1/((Budgets!$A$2:$A$200=BK$1)*(Budgets!$B$2:$B$200&lt;EDATE($A83,1))),Budgets!$C$2:$C$200),0))</f>
        <v/>
      </c>
      <c r="BM83" s="21">
        <f>COUNTIFS(Entries!$A$2:$A$5000,"&gt;="&amp;$A83,Entries!$A$2:$A$5000,"&lt;"&amp;EDATE($A83,1))</f>
        <v/>
      </c>
    </row>
    <row r="84">
      <c r="A84" s="22" t="n">
        <v>41944</v>
      </c>
      <c r="B84" s="23">
        <f>IF($BM84=0,NA(),SUMIFS(Entries!$E$2:$E$5000,Entries!$C$2:$C$5000,"Income",Entries!$A$2:$A$5000,"&gt;="&amp;$A84,Entries!$A$2:$A$5000,"&lt;"&amp;EDATE($A84,1)))</f>
        <v/>
      </c>
      <c r="C84" s="23">
        <f>IF($BM84=0,"",SUMIFS(Entries!$E$2:$E$5000,Entries!$C$2:$C$5000,"Actual",Entries!$A$2:$A$5000,"&gt;="&amp;$A84,Entries!$A$2:$A$5000,"&lt;"&amp;EDATE($A84,1)))</f>
        <v/>
      </c>
      <c r="D84" s="23">
        <f>IF($BM84=0,"",SUMIFS(Entries!$E$2:$E$5000,Entries!$C$2:$C$5000,"One-off",Entries!$A$2:$A$5000,"&gt;="&amp;$A84,Entries!$A$2:$A$5000,"&lt;"&amp;EDATE($A84,1)))</f>
        <v/>
      </c>
      <c r="E84" s="23">
        <f>IF($BM84=0,NA(),C84+D84)</f>
        <v/>
      </c>
      <c r="F84" s="23">
        <f>IF($BM84=0,"",SUM(AR84:BK84))</f>
        <v/>
      </c>
      <c r="G84" s="23">
        <f>IF($BM84=0,"",B84-E84)</f>
        <v/>
      </c>
      <c r="H84" s="23">
        <f>IF($BM84=0,"",SUM($G$2:G84))</f>
        <v/>
      </c>
      <c r="I84" s="23">
        <f>IF($BM84=0,"",SUMIFS(Entries!$G$2:$G$5000,Entries!$A$2:$A$5000,"&gt;="&amp;$A84,Entries!$A$2:$A$5000,"&lt;"&amp;EDATE($A84,1)))</f>
        <v/>
      </c>
      <c r="J84" s="23">
        <f>IF($BM84=0,NA(),H84)</f>
        <v/>
      </c>
      <c r="K84" s="23">
        <f>IF($BM84=0,"",SUMIFS(Entries!$E$2:$E$5000,Entries!$C$2:$C$5000,"Income",Entries!$A$2:$A$5000,"&gt;="&amp;EDATE($A84,-11),Entries!$A$2:$A$5000,"&lt;"&amp;EDATE($A84,1))/COUNTIFS($A$2:$A$400,"&gt;="&amp;EDATE($A84,-11),$A$2:$A$400,"&lt;"&amp;EDATE($A84,1),$BM$2:$BM$400,"&gt;0"))</f>
      </c>
      <c r="L84" s="23">
        <f>IF($BM84=0,"",(SUMIFS(Entries!$E$2:$E$5000,Entries!$C$2:$C$5000,"Actual",Entries!$A$2:$A$5000,"&gt;="&amp;EDATE($A84,-11),Entries!$A$2:$A$5000,"&lt;"&amp;EDATE($A84,1))+SUMIFS(Entries!$E$2:$E$5000,Entries!$C$2:$C$5000,"One-off",Entries!$A$2:$A$5000,"&gt;="&amp;EDATE($A84,-11),Entries!$A$2:$A$5000,"&lt;"&amp;EDATE($A84,1)))/COUNTIFS($A$2:$A$400,"&gt;="&amp;EDATE($A84,-11),$A$2:$A$400,"&lt;"&amp;EDATE($A84,1),$BM$2:$BM$400,"&gt;0"))</f>
      </c>
      <c r="M84" s="24">
        <f>IF($BM84=0,NA(),IFERROR((K84-L84)/K84,0))</f>
        <v/>
      </c>
      <c r="N84" s="23">
        <f>IF($BM84=0,NA(),SUMIFS(Entries!$E$2:$E$5000,Entries!$D$2:$D$5000,"Core",Entries!$A$2:$A$5000,"&gt;="&amp;$A84,Entries!$A$2:$A$5000,"&lt;"&amp;EDATE($A84,1)))</f>
        <v/>
      </c>
      <c r="O84" s="23">
        <f>IF($BM84=0,NA(),SUMIFS(Entries!$E$2:$E$5000,Entries!$D$2:$D$5000,"Over &amp; above",Entries!$A$2:$A$5000,"&gt;="&amp;$A84,Entries!$A$2:$A$5000,"&lt;"&amp;EDATE($A84,1)))</f>
        <v/>
      </c>
      <c r="P84" s="23">
        <f>IF($BM84=0,NA(),SUMIFS(Entries!$E$2:$E$5000,Entries!$D$2:$D$5000,"One-off",Entries!$A$2:$A$5000,"&gt;="&amp;$A84,Entries!$A$2:$A$5000,"&lt;"&amp;EDATE($A84,1)))</f>
        <v/>
      </c>
      <c r="Q84" s="23">
        <f>IF($BM84=0,NA(),SUMIFS(Entries!$E$2:$E$5000,Entries!$D$2:$D$5000,"Reimbursable",Entries!$A$2:$A$5000,"&gt;="&amp;$A84,Entries!$A$2:$A$5000,"&lt;"&amp;EDATE($A84,1)))</f>
        <v/>
      </c>
      <c r="R84" s="23">
        <f>IF($BM84=0,NA(),SUMIFS(Entries!$E$2:$E$5000,Entries!$D$2:$D$5000,"Investment",Entries!$A$2:$A$5000,"&gt;="&amp;$A84,Entries!$A$2:$A$5000,"&lt;"&amp;EDATE($A84,1)))</f>
        <v/>
      </c>
      <c r="S84" s="23">
        <f>IF($BM84=0,NA(),N84+O84)</f>
        <v/>
      </c>
      <c r="T84" s="23">
        <f>IF($BM84=0,"",E84-Q84)</f>
        <v/>
      </c>
      <c r="W84" s="23">
        <f>IF(OR(W$1="",$BM84=0),"",SUMIFS(Entries!$E$2:$E$5000,Entries!$C$2:$C$5000,"Actual",Entries!$A$2:$A$5000,"&gt;="&amp;$A84,Entries!$A$2:$A$5000,"&lt;"&amp;EDATE($A84,1),Entries!$B$2:$B$5000,W$1))</f>
        <v/>
      </c>
      <c r="X84" s="23">
        <f>IF(OR(X$1="",$BM84=0),"",SUMIFS(Entries!$E$2:$E$5000,Entries!$C$2:$C$5000,"Actual",Entries!$A$2:$A$5000,"&gt;="&amp;$A84,Entries!$A$2:$A$5000,"&lt;"&amp;EDATE($A84,1),Entries!$B$2:$B$5000,X$1))</f>
        <v/>
      </c>
      <c r="Y84" s="23">
        <f>IF(OR(Y$1="",$BM84=0),"",SUMIFS(Entries!$E$2:$E$5000,Entries!$C$2:$C$5000,"Actual",Entries!$A$2:$A$5000,"&gt;="&amp;$A84,Entries!$A$2:$A$5000,"&lt;"&amp;EDATE($A84,1),Entries!$B$2:$B$5000,Y$1))</f>
        <v/>
      </c>
      <c r="Z84" s="23">
        <f>IF(OR(Z$1="",$BM84=0),"",SUMIFS(Entries!$E$2:$E$5000,Entries!$C$2:$C$5000,"Actual",Entries!$A$2:$A$5000,"&gt;="&amp;$A84,Entries!$A$2:$A$5000,"&lt;"&amp;EDATE($A84,1),Entries!$B$2:$B$5000,Z$1))</f>
        <v/>
      </c>
      <c r="AA84" s="23">
        <f>IF(OR(AA$1="",$BM84=0),"",SUMIFS(Entries!$E$2:$E$5000,Entries!$C$2:$C$5000,"Actual",Entries!$A$2:$A$5000,"&gt;="&amp;$A84,Entries!$A$2:$A$5000,"&lt;"&amp;EDATE($A84,1),Entries!$B$2:$B$5000,AA$1))</f>
        <v/>
      </c>
      <c r="AB84" s="23">
        <f>IF(OR(AB$1="",$BM84=0),"",SUMIFS(Entries!$E$2:$E$5000,Entries!$C$2:$C$5000,"Actual",Entries!$A$2:$A$5000,"&gt;="&amp;$A84,Entries!$A$2:$A$5000,"&lt;"&amp;EDATE($A84,1),Entries!$B$2:$B$5000,AB$1))</f>
        <v/>
      </c>
      <c r="AC84" s="23">
        <f>IF(OR(AC$1="",$BM84=0),"",SUMIFS(Entries!$E$2:$E$5000,Entries!$C$2:$C$5000,"Actual",Entries!$A$2:$A$5000,"&gt;="&amp;$A84,Entries!$A$2:$A$5000,"&lt;"&amp;EDATE($A84,1),Entries!$B$2:$B$5000,AC$1))</f>
        <v/>
      </c>
      <c r="AD84" s="23">
        <f>IF(OR(AD$1="",$BM84=0),"",SUMIFS(Entries!$E$2:$E$5000,Entries!$C$2:$C$5000,"Actual",Entries!$A$2:$A$5000,"&gt;="&amp;$A84,Entries!$A$2:$A$5000,"&lt;"&amp;EDATE($A84,1),Entries!$B$2:$B$5000,AD$1))</f>
        <v/>
      </c>
      <c r="AE84" s="23">
        <f>IF(OR(AE$1="",$BM84=0),"",SUMIFS(Entries!$E$2:$E$5000,Entries!$C$2:$C$5000,"Actual",Entries!$A$2:$A$5000,"&gt;="&amp;$A84,Entries!$A$2:$A$5000,"&lt;"&amp;EDATE($A84,1),Entries!$B$2:$B$5000,AE$1))</f>
        <v/>
      </c>
      <c r="AF84" s="23">
        <f>IF(OR(AF$1="",$BM84=0),"",SUMIFS(Entries!$E$2:$E$5000,Entries!$C$2:$C$5000,"Actual",Entries!$A$2:$A$5000,"&gt;="&amp;$A84,Entries!$A$2:$A$5000,"&lt;"&amp;EDATE($A84,1),Entries!$B$2:$B$5000,AF$1))</f>
        <v/>
      </c>
      <c r="AG84" s="23">
        <f>IF(OR(AG$1="",$BM84=0),"",SUMIFS(Entries!$E$2:$E$5000,Entries!$C$2:$C$5000,"Actual",Entries!$A$2:$A$5000,"&gt;="&amp;$A84,Entries!$A$2:$A$5000,"&lt;"&amp;EDATE($A84,1),Entries!$B$2:$B$5000,AG$1))</f>
        <v/>
      </c>
      <c r="AH84" s="23">
        <f>IF(OR(AH$1="",$BM84=0),"",SUMIFS(Entries!$E$2:$E$5000,Entries!$C$2:$C$5000,"Actual",Entries!$A$2:$A$5000,"&gt;="&amp;$A84,Entries!$A$2:$A$5000,"&lt;"&amp;EDATE($A84,1),Entries!$B$2:$B$5000,AH$1))</f>
        <v/>
      </c>
      <c r="AI84" s="23">
        <f>IF(OR(AI$1="",$BM84=0),"",SUMIFS(Entries!$E$2:$E$5000,Entries!$C$2:$C$5000,"Actual",Entries!$A$2:$A$5000,"&gt;="&amp;$A84,Entries!$A$2:$A$5000,"&lt;"&amp;EDATE($A84,1),Entries!$B$2:$B$5000,AI$1))</f>
        <v/>
      </c>
      <c r="AJ84" s="23">
        <f>IF(OR(AJ$1="",$BM84=0),"",SUMIFS(Entries!$E$2:$E$5000,Entries!$C$2:$C$5000,"Actual",Entries!$A$2:$A$5000,"&gt;="&amp;$A84,Entries!$A$2:$A$5000,"&lt;"&amp;EDATE($A84,1),Entries!$B$2:$B$5000,AJ$1))</f>
        <v/>
      </c>
      <c r="AK84" s="23">
        <f>IF(OR(AK$1="",$BM84=0),"",SUMIFS(Entries!$E$2:$E$5000,Entries!$C$2:$C$5000,"Actual",Entries!$A$2:$A$5000,"&gt;="&amp;$A84,Entries!$A$2:$A$5000,"&lt;"&amp;EDATE($A84,1),Entries!$B$2:$B$5000,AK$1))</f>
        <v/>
      </c>
      <c r="AL84" s="23">
        <f>IF(OR(AL$1="",$BM84=0),"",SUMIFS(Entries!$E$2:$E$5000,Entries!$C$2:$C$5000,"Actual",Entries!$A$2:$A$5000,"&gt;="&amp;$A84,Entries!$A$2:$A$5000,"&lt;"&amp;EDATE($A84,1),Entries!$B$2:$B$5000,AL$1))</f>
        <v/>
      </c>
      <c r="AM84" s="23">
        <f>IF(OR(AM$1="",$BM84=0),"",SUMIFS(Entries!$E$2:$E$5000,Entries!$C$2:$C$5000,"Actual",Entries!$A$2:$A$5000,"&gt;="&amp;$A84,Entries!$A$2:$A$5000,"&lt;"&amp;EDATE($A84,1),Entries!$B$2:$B$5000,AM$1))</f>
        <v/>
      </c>
      <c r="AN84" s="23">
        <f>IF(OR(AN$1="",$BM84=0),"",SUMIFS(Entries!$E$2:$E$5000,Entries!$C$2:$C$5000,"Actual",Entries!$A$2:$A$5000,"&gt;="&amp;$A84,Entries!$A$2:$A$5000,"&lt;"&amp;EDATE($A84,1),Entries!$B$2:$B$5000,AN$1))</f>
        <v/>
      </c>
      <c r="AO84" s="23">
        <f>IF(OR(AO$1="",$BM84=0),"",SUMIFS(Entries!$E$2:$E$5000,Entries!$C$2:$C$5000,"Actual",Entries!$A$2:$A$5000,"&gt;="&amp;$A84,Entries!$A$2:$A$5000,"&lt;"&amp;EDATE($A84,1),Entries!$B$2:$B$5000,AO$1))</f>
        <v/>
      </c>
      <c r="AP84" s="23">
        <f>IF(OR(AP$1="",$BM84=0),"",SUMIFS(Entries!$E$2:$E$5000,Entries!$C$2:$C$5000,"Actual",Entries!$A$2:$A$5000,"&gt;="&amp;$A84,Entries!$A$2:$A$5000,"&lt;"&amp;EDATE($A84,1),Entries!$B$2:$B$5000,AP$1))</f>
        <v/>
      </c>
      <c r="AR84" s="23">
        <f>IF(OR(AR$1="",$BM84=0),"",IFERROR(LOOKUP(2,1/((Budgets!$A$2:$A$200=AR$1)*(Budgets!$B$2:$B$200&lt;EDATE($A84,1))),Budgets!$C$2:$C$200),0))</f>
        <v/>
      </c>
      <c r="AS84" s="23">
        <f>IF(OR(AS$1="",$BM84=0),"",IFERROR(LOOKUP(2,1/((Budgets!$A$2:$A$200=AS$1)*(Budgets!$B$2:$B$200&lt;EDATE($A84,1))),Budgets!$C$2:$C$200),0))</f>
        <v/>
      </c>
      <c r="AT84" s="23">
        <f>IF(OR(AT$1="",$BM84=0),"",IFERROR(LOOKUP(2,1/((Budgets!$A$2:$A$200=AT$1)*(Budgets!$B$2:$B$200&lt;EDATE($A84,1))),Budgets!$C$2:$C$200),0))</f>
        <v/>
      </c>
      <c r="AU84" s="23">
        <f>IF(OR(AU$1="",$BM84=0),"",IFERROR(LOOKUP(2,1/((Budgets!$A$2:$A$200=AU$1)*(Budgets!$B$2:$B$200&lt;EDATE($A84,1))),Budgets!$C$2:$C$200),0))</f>
        <v/>
      </c>
      <c r="AV84" s="23">
        <f>IF(OR(AV$1="",$BM84=0),"",IFERROR(LOOKUP(2,1/((Budgets!$A$2:$A$200=AV$1)*(Budgets!$B$2:$B$200&lt;EDATE($A84,1))),Budgets!$C$2:$C$200),0))</f>
        <v/>
      </c>
      <c r="AW84" s="23">
        <f>IF(OR(AW$1="",$BM84=0),"",IFERROR(LOOKUP(2,1/((Budgets!$A$2:$A$200=AW$1)*(Budgets!$B$2:$B$200&lt;EDATE($A84,1))),Budgets!$C$2:$C$200),0))</f>
        <v/>
      </c>
      <c r="AX84" s="23">
        <f>IF(OR(AX$1="",$BM84=0),"",IFERROR(LOOKUP(2,1/((Budgets!$A$2:$A$200=AX$1)*(Budgets!$B$2:$B$200&lt;EDATE($A84,1))),Budgets!$C$2:$C$200),0))</f>
        <v/>
      </c>
      <c r="AY84" s="23">
        <f>IF(OR(AY$1="",$BM84=0),"",IFERROR(LOOKUP(2,1/((Budgets!$A$2:$A$200=AY$1)*(Budgets!$B$2:$B$200&lt;EDATE($A84,1))),Budgets!$C$2:$C$200),0))</f>
        <v/>
      </c>
      <c r="AZ84" s="23">
        <f>IF(OR(AZ$1="",$BM84=0),"",IFERROR(LOOKUP(2,1/((Budgets!$A$2:$A$200=AZ$1)*(Budgets!$B$2:$B$200&lt;EDATE($A84,1))),Budgets!$C$2:$C$200),0))</f>
        <v/>
      </c>
      <c r="BA84" s="23">
        <f>IF(OR(BA$1="",$BM84=0),"",IFERROR(LOOKUP(2,1/((Budgets!$A$2:$A$200=BA$1)*(Budgets!$B$2:$B$200&lt;EDATE($A84,1))),Budgets!$C$2:$C$200),0))</f>
        <v/>
      </c>
      <c r="BB84" s="23">
        <f>IF(OR(BB$1="",$BM84=0),"",IFERROR(LOOKUP(2,1/((Budgets!$A$2:$A$200=BB$1)*(Budgets!$B$2:$B$200&lt;EDATE($A84,1))),Budgets!$C$2:$C$200),0))</f>
        <v/>
      </c>
      <c r="BC84" s="23">
        <f>IF(OR(BC$1="",$BM84=0),"",IFERROR(LOOKUP(2,1/((Budgets!$A$2:$A$200=BC$1)*(Budgets!$B$2:$B$200&lt;EDATE($A84,1))),Budgets!$C$2:$C$200),0))</f>
        <v/>
      </c>
      <c r="BD84" s="23">
        <f>IF(OR(BD$1="",$BM84=0),"",IFERROR(LOOKUP(2,1/((Budgets!$A$2:$A$200=BD$1)*(Budgets!$B$2:$B$200&lt;EDATE($A84,1))),Budgets!$C$2:$C$200),0))</f>
        <v/>
      </c>
      <c r="BE84" s="23">
        <f>IF(OR(BE$1="",$BM84=0),"",IFERROR(LOOKUP(2,1/((Budgets!$A$2:$A$200=BE$1)*(Budgets!$B$2:$B$200&lt;EDATE($A84,1))),Budgets!$C$2:$C$200),0))</f>
        <v/>
      </c>
      <c r="BF84" s="23">
        <f>IF(OR(BF$1="",$BM84=0),"",IFERROR(LOOKUP(2,1/((Budgets!$A$2:$A$200=BF$1)*(Budgets!$B$2:$B$200&lt;EDATE($A84,1))),Budgets!$C$2:$C$200),0))</f>
        <v/>
      </c>
      <c r="BG84" s="23">
        <f>IF(OR(BG$1="",$BM84=0),"",IFERROR(LOOKUP(2,1/((Budgets!$A$2:$A$200=BG$1)*(Budgets!$B$2:$B$200&lt;EDATE($A84,1))),Budgets!$C$2:$C$200),0))</f>
        <v/>
      </c>
      <c r="BH84" s="23">
        <f>IF(OR(BH$1="",$BM84=0),"",IFERROR(LOOKUP(2,1/((Budgets!$A$2:$A$200=BH$1)*(Budgets!$B$2:$B$200&lt;EDATE($A84,1))),Budgets!$C$2:$C$200),0))</f>
        <v/>
      </c>
      <c r="BI84" s="23">
        <f>IF(OR(BI$1="",$BM84=0),"",IFERROR(LOOKUP(2,1/((Budgets!$A$2:$A$200=BI$1)*(Budgets!$B$2:$B$200&lt;EDATE($A84,1))),Budgets!$C$2:$C$200),0))</f>
        <v/>
      </c>
      <c r="BJ84" s="23">
        <f>IF(OR(BJ$1="",$BM84=0),"",IFERROR(LOOKUP(2,1/((Budgets!$A$2:$A$200=BJ$1)*(Budgets!$B$2:$B$200&lt;EDATE($A84,1))),Budgets!$C$2:$C$200),0))</f>
        <v/>
      </c>
      <c r="BK84" s="23">
        <f>IF(OR(BK$1="",$BM84=0),"",IFERROR(LOOKUP(2,1/((Budgets!$A$2:$A$200=BK$1)*(Budgets!$B$2:$B$200&lt;EDATE($A84,1))),Budgets!$C$2:$C$200),0))</f>
        <v/>
      </c>
      <c r="BM84" s="21">
        <f>COUNTIFS(Entries!$A$2:$A$5000,"&gt;="&amp;$A84,Entries!$A$2:$A$5000,"&lt;"&amp;EDATE($A84,1))</f>
        <v/>
      </c>
    </row>
    <row r="85">
      <c r="A85" s="22" t="n">
        <v>41974</v>
      </c>
      <c r="B85" s="23">
        <f>IF($BM85=0,NA(),SUMIFS(Entries!$E$2:$E$5000,Entries!$C$2:$C$5000,"Income",Entries!$A$2:$A$5000,"&gt;="&amp;$A85,Entries!$A$2:$A$5000,"&lt;"&amp;EDATE($A85,1)))</f>
        <v/>
      </c>
      <c r="C85" s="23">
        <f>IF($BM85=0,"",SUMIFS(Entries!$E$2:$E$5000,Entries!$C$2:$C$5000,"Actual",Entries!$A$2:$A$5000,"&gt;="&amp;$A85,Entries!$A$2:$A$5000,"&lt;"&amp;EDATE($A85,1)))</f>
        <v/>
      </c>
      <c r="D85" s="23">
        <f>IF($BM85=0,"",SUMIFS(Entries!$E$2:$E$5000,Entries!$C$2:$C$5000,"One-off",Entries!$A$2:$A$5000,"&gt;="&amp;$A85,Entries!$A$2:$A$5000,"&lt;"&amp;EDATE($A85,1)))</f>
        <v/>
      </c>
      <c r="E85" s="23">
        <f>IF($BM85=0,NA(),C85+D85)</f>
        <v/>
      </c>
      <c r="F85" s="23">
        <f>IF($BM85=0,"",SUM(AR85:BK85))</f>
        <v/>
      </c>
      <c r="G85" s="23">
        <f>IF($BM85=0,"",B85-E85)</f>
        <v/>
      </c>
      <c r="H85" s="23">
        <f>IF($BM85=0,"",SUM($G$2:G85))</f>
        <v/>
      </c>
      <c r="I85" s="23">
        <f>IF($BM85=0,"",SUMIFS(Entries!$G$2:$G$5000,Entries!$A$2:$A$5000,"&gt;="&amp;$A85,Entries!$A$2:$A$5000,"&lt;"&amp;EDATE($A85,1)))</f>
        <v/>
      </c>
      <c r="J85" s="23">
        <f>IF($BM85=0,NA(),H85)</f>
        <v/>
      </c>
      <c r="K85" s="23">
        <f>IF($BM85=0,"",SUMIFS(Entries!$E$2:$E$5000,Entries!$C$2:$C$5000,"Income",Entries!$A$2:$A$5000,"&gt;="&amp;EDATE($A85,-11),Entries!$A$2:$A$5000,"&lt;"&amp;EDATE($A85,1))/COUNTIFS($A$2:$A$400,"&gt;="&amp;EDATE($A85,-11),$A$2:$A$400,"&lt;"&amp;EDATE($A85,1),$BM$2:$BM$400,"&gt;0"))</f>
      </c>
      <c r="L85" s="23">
        <f>IF($BM85=0,"",(SUMIFS(Entries!$E$2:$E$5000,Entries!$C$2:$C$5000,"Actual",Entries!$A$2:$A$5000,"&gt;="&amp;EDATE($A85,-11),Entries!$A$2:$A$5000,"&lt;"&amp;EDATE($A85,1))+SUMIFS(Entries!$E$2:$E$5000,Entries!$C$2:$C$5000,"One-off",Entries!$A$2:$A$5000,"&gt;="&amp;EDATE($A85,-11),Entries!$A$2:$A$5000,"&lt;"&amp;EDATE($A85,1)))/COUNTIFS($A$2:$A$400,"&gt;="&amp;EDATE($A85,-11),$A$2:$A$400,"&lt;"&amp;EDATE($A85,1),$BM$2:$BM$400,"&gt;0"))</f>
      </c>
      <c r="M85" s="24">
        <f>IF($BM85=0,NA(),IFERROR((K85-L85)/K85,0))</f>
        <v/>
      </c>
      <c r="N85" s="23">
        <f>IF($BM85=0,NA(),SUMIFS(Entries!$E$2:$E$5000,Entries!$D$2:$D$5000,"Core",Entries!$A$2:$A$5000,"&gt;="&amp;$A85,Entries!$A$2:$A$5000,"&lt;"&amp;EDATE($A85,1)))</f>
        <v/>
      </c>
      <c r="O85" s="23">
        <f>IF($BM85=0,NA(),SUMIFS(Entries!$E$2:$E$5000,Entries!$D$2:$D$5000,"Over &amp; above",Entries!$A$2:$A$5000,"&gt;="&amp;$A85,Entries!$A$2:$A$5000,"&lt;"&amp;EDATE($A85,1)))</f>
        <v/>
      </c>
      <c r="P85" s="23">
        <f>IF($BM85=0,NA(),SUMIFS(Entries!$E$2:$E$5000,Entries!$D$2:$D$5000,"One-off",Entries!$A$2:$A$5000,"&gt;="&amp;$A85,Entries!$A$2:$A$5000,"&lt;"&amp;EDATE($A85,1)))</f>
        <v/>
      </c>
      <c r="Q85" s="23">
        <f>IF($BM85=0,NA(),SUMIFS(Entries!$E$2:$E$5000,Entries!$D$2:$D$5000,"Reimbursable",Entries!$A$2:$A$5000,"&gt;="&amp;$A85,Entries!$A$2:$A$5000,"&lt;"&amp;EDATE($A85,1)))</f>
        <v/>
      </c>
      <c r="R85" s="23">
        <f>IF($BM85=0,NA(),SUMIFS(Entries!$E$2:$E$5000,Entries!$D$2:$D$5000,"Investment",Entries!$A$2:$A$5000,"&gt;="&amp;$A85,Entries!$A$2:$A$5000,"&lt;"&amp;EDATE($A85,1)))</f>
        <v/>
      </c>
      <c r="S85" s="23">
        <f>IF($BM85=0,NA(),N85+O85)</f>
        <v/>
      </c>
      <c r="T85" s="23">
        <f>IF($BM85=0,"",E85-Q85)</f>
        <v/>
      </c>
      <c r="W85" s="23">
        <f>IF(OR(W$1="",$BM85=0),"",SUMIFS(Entries!$E$2:$E$5000,Entries!$C$2:$C$5000,"Actual",Entries!$A$2:$A$5000,"&gt;="&amp;$A85,Entries!$A$2:$A$5000,"&lt;"&amp;EDATE($A85,1),Entries!$B$2:$B$5000,W$1))</f>
        <v/>
      </c>
      <c r="X85" s="23">
        <f>IF(OR(X$1="",$BM85=0),"",SUMIFS(Entries!$E$2:$E$5000,Entries!$C$2:$C$5000,"Actual",Entries!$A$2:$A$5000,"&gt;="&amp;$A85,Entries!$A$2:$A$5000,"&lt;"&amp;EDATE($A85,1),Entries!$B$2:$B$5000,X$1))</f>
        <v/>
      </c>
      <c r="Y85" s="23">
        <f>IF(OR(Y$1="",$BM85=0),"",SUMIFS(Entries!$E$2:$E$5000,Entries!$C$2:$C$5000,"Actual",Entries!$A$2:$A$5000,"&gt;="&amp;$A85,Entries!$A$2:$A$5000,"&lt;"&amp;EDATE($A85,1),Entries!$B$2:$B$5000,Y$1))</f>
        <v/>
      </c>
      <c r="Z85" s="23">
        <f>IF(OR(Z$1="",$BM85=0),"",SUMIFS(Entries!$E$2:$E$5000,Entries!$C$2:$C$5000,"Actual",Entries!$A$2:$A$5000,"&gt;="&amp;$A85,Entries!$A$2:$A$5000,"&lt;"&amp;EDATE($A85,1),Entries!$B$2:$B$5000,Z$1))</f>
        <v/>
      </c>
      <c r="AA85" s="23">
        <f>IF(OR(AA$1="",$BM85=0),"",SUMIFS(Entries!$E$2:$E$5000,Entries!$C$2:$C$5000,"Actual",Entries!$A$2:$A$5000,"&gt;="&amp;$A85,Entries!$A$2:$A$5000,"&lt;"&amp;EDATE($A85,1),Entries!$B$2:$B$5000,AA$1))</f>
        <v/>
      </c>
      <c r="AB85" s="23">
        <f>IF(OR(AB$1="",$BM85=0),"",SUMIFS(Entries!$E$2:$E$5000,Entries!$C$2:$C$5000,"Actual",Entries!$A$2:$A$5000,"&gt;="&amp;$A85,Entries!$A$2:$A$5000,"&lt;"&amp;EDATE($A85,1),Entries!$B$2:$B$5000,AB$1))</f>
        <v/>
      </c>
      <c r="AC85" s="23">
        <f>IF(OR(AC$1="",$BM85=0),"",SUMIFS(Entries!$E$2:$E$5000,Entries!$C$2:$C$5000,"Actual",Entries!$A$2:$A$5000,"&gt;="&amp;$A85,Entries!$A$2:$A$5000,"&lt;"&amp;EDATE($A85,1),Entries!$B$2:$B$5000,AC$1))</f>
        <v/>
      </c>
      <c r="AD85" s="23">
        <f>IF(OR(AD$1="",$BM85=0),"",SUMIFS(Entries!$E$2:$E$5000,Entries!$C$2:$C$5000,"Actual",Entries!$A$2:$A$5000,"&gt;="&amp;$A85,Entries!$A$2:$A$5000,"&lt;"&amp;EDATE($A85,1),Entries!$B$2:$B$5000,AD$1))</f>
        <v/>
      </c>
      <c r="AE85" s="23">
        <f>IF(OR(AE$1="",$BM85=0),"",SUMIFS(Entries!$E$2:$E$5000,Entries!$C$2:$C$5000,"Actual",Entries!$A$2:$A$5000,"&gt;="&amp;$A85,Entries!$A$2:$A$5000,"&lt;"&amp;EDATE($A85,1),Entries!$B$2:$B$5000,AE$1))</f>
        <v/>
      </c>
      <c r="AF85" s="23">
        <f>IF(OR(AF$1="",$BM85=0),"",SUMIFS(Entries!$E$2:$E$5000,Entries!$C$2:$C$5000,"Actual",Entries!$A$2:$A$5000,"&gt;="&amp;$A85,Entries!$A$2:$A$5000,"&lt;"&amp;EDATE($A85,1),Entries!$B$2:$B$5000,AF$1))</f>
        <v/>
      </c>
      <c r="AG85" s="23">
        <f>IF(OR(AG$1="",$BM85=0),"",SUMIFS(Entries!$E$2:$E$5000,Entries!$C$2:$C$5000,"Actual",Entries!$A$2:$A$5000,"&gt;="&amp;$A85,Entries!$A$2:$A$5000,"&lt;"&amp;EDATE($A85,1),Entries!$B$2:$B$5000,AG$1))</f>
        <v/>
      </c>
      <c r="AH85" s="23">
        <f>IF(OR(AH$1="",$BM85=0),"",SUMIFS(Entries!$E$2:$E$5000,Entries!$C$2:$C$5000,"Actual",Entries!$A$2:$A$5000,"&gt;="&amp;$A85,Entries!$A$2:$A$5000,"&lt;"&amp;EDATE($A85,1),Entries!$B$2:$B$5000,AH$1))</f>
        <v/>
      </c>
      <c r="AI85" s="23">
        <f>IF(OR(AI$1="",$BM85=0),"",SUMIFS(Entries!$E$2:$E$5000,Entries!$C$2:$C$5000,"Actual",Entries!$A$2:$A$5000,"&gt;="&amp;$A85,Entries!$A$2:$A$5000,"&lt;"&amp;EDATE($A85,1),Entries!$B$2:$B$5000,AI$1))</f>
        <v/>
      </c>
      <c r="AJ85" s="23">
        <f>IF(OR(AJ$1="",$BM85=0),"",SUMIFS(Entries!$E$2:$E$5000,Entries!$C$2:$C$5000,"Actual",Entries!$A$2:$A$5000,"&gt;="&amp;$A85,Entries!$A$2:$A$5000,"&lt;"&amp;EDATE($A85,1),Entries!$B$2:$B$5000,AJ$1))</f>
        <v/>
      </c>
      <c r="AK85" s="23">
        <f>IF(OR(AK$1="",$BM85=0),"",SUMIFS(Entries!$E$2:$E$5000,Entries!$C$2:$C$5000,"Actual",Entries!$A$2:$A$5000,"&gt;="&amp;$A85,Entries!$A$2:$A$5000,"&lt;"&amp;EDATE($A85,1),Entries!$B$2:$B$5000,AK$1))</f>
        <v/>
      </c>
      <c r="AL85" s="23">
        <f>IF(OR(AL$1="",$BM85=0),"",SUMIFS(Entries!$E$2:$E$5000,Entries!$C$2:$C$5000,"Actual",Entries!$A$2:$A$5000,"&gt;="&amp;$A85,Entries!$A$2:$A$5000,"&lt;"&amp;EDATE($A85,1),Entries!$B$2:$B$5000,AL$1))</f>
        <v/>
      </c>
      <c r="AM85" s="23">
        <f>IF(OR(AM$1="",$BM85=0),"",SUMIFS(Entries!$E$2:$E$5000,Entries!$C$2:$C$5000,"Actual",Entries!$A$2:$A$5000,"&gt;="&amp;$A85,Entries!$A$2:$A$5000,"&lt;"&amp;EDATE($A85,1),Entries!$B$2:$B$5000,AM$1))</f>
        <v/>
      </c>
      <c r="AN85" s="23">
        <f>IF(OR(AN$1="",$BM85=0),"",SUMIFS(Entries!$E$2:$E$5000,Entries!$C$2:$C$5000,"Actual",Entries!$A$2:$A$5000,"&gt;="&amp;$A85,Entries!$A$2:$A$5000,"&lt;"&amp;EDATE($A85,1),Entries!$B$2:$B$5000,AN$1))</f>
        <v/>
      </c>
      <c r="AO85" s="23">
        <f>IF(OR(AO$1="",$BM85=0),"",SUMIFS(Entries!$E$2:$E$5000,Entries!$C$2:$C$5000,"Actual",Entries!$A$2:$A$5000,"&gt;="&amp;$A85,Entries!$A$2:$A$5000,"&lt;"&amp;EDATE($A85,1),Entries!$B$2:$B$5000,AO$1))</f>
        <v/>
      </c>
      <c r="AP85" s="23">
        <f>IF(OR(AP$1="",$BM85=0),"",SUMIFS(Entries!$E$2:$E$5000,Entries!$C$2:$C$5000,"Actual",Entries!$A$2:$A$5000,"&gt;="&amp;$A85,Entries!$A$2:$A$5000,"&lt;"&amp;EDATE($A85,1),Entries!$B$2:$B$5000,AP$1))</f>
        <v/>
      </c>
      <c r="AR85" s="23">
        <f>IF(OR(AR$1="",$BM85=0),"",IFERROR(LOOKUP(2,1/((Budgets!$A$2:$A$200=AR$1)*(Budgets!$B$2:$B$200&lt;EDATE($A85,1))),Budgets!$C$2:$C$200),0))</f>
        <v/>
      </c>
      <c r="AS85" s="23">
        <f>IF(OR(AS$1="",$BM85=0),"",IFERROR(LOOKUP(2,1/((Budgets!$A$2:$A$200=AS$1)*(Budgets!$B$2:$B$200&lt;EDATE($A85,1))),Budgets!$C$2:$C$200),0))</f>
        <v/>
      </c>
      <c r="AT85" s="23">
        <f>IF(OR(AT$1="",$BM85=0),"",IFERROR(LOOKUP(2,1/((Budgets!$A$2:$A$200=AT$1)*(Budgets!$B$2:$B$200&lt;EDATE($A85,1))),Budgets!$C$2:$C$200),0))</f>
        <v/>
      </c>
      <c r="AU85" s="23">
        <f>IF(OR(AU$1="",$BM85=0),"",IFERROR(LOOKUP(2,1/((Budgets!$A$2:$A$200=AU$1)*(Budgets!$B$2:$B$200&lt;EDATE($A85,1))),Budgets!$C$2:$C$200),0))</f>
        <v/>
      </c>
      <c r="AV85" s="23">
        <f>IF(OR(AV$1="",$BM85=0),"",IFERROR(LOOKUP(2,1/((Budgets!$A$2:$A$200=AV$1)*(Budgets!$B$2:$B$200&lt;EDATE($A85,1))),Budgets!$C$2:$C$200),0))</f>
        <v/>
      </c>
      <c r="AW85" s="23">
        <f>IF(OR(AW$1="",$BM85=0),"",IFERROR(LOOKUP(2,1/((Budgets!$A$2:$A$200=AW$1)*(Budgets!$B$2:$B$200&lt;EDATE($A85,1))),Budgets!$C$2:$C$200),0))</f>
        <v/>
      </c>
      <c r="AX85" s="23">
        <f>IF(OR(AX$1="",$BM85=0),"",IFERROR(LOOKUP(2,1/((Budgets!$A$2:$A$200=AX$1)*(Budgets!$B$2:$B$200&lt;EDATE($A85,1))),Budgets!$C$2:$C$200),0))</f>
        <v/>
      </c>
      <c r="AY85" s="23">
        <f>IF(OR(AY$1="",$BM85=0),"",IFERROR(LOOKUP(2,1/((Budgets!$A$2:$A$200=AY$1)*(Budgets!$B$2:$B$200&lt;EDATE($A85,1))),Budgets!$C$2:$C$200),0))</f>
        <v/>
      </c>
      <c r="AZ85" s="23">
        <f>IF(OR(AZ$1="",$BM85=0),"",IFERROR(LOOKUP(2,1/((Budgets!$A$2:$A$200=AZ$1)*(Budgets!$B$2:$B$200&lt;EDATE($A85,1))),Budgets!$C$2:$C$200),0))</f>
        <v/>
      </c>
      <c r="BA85" s="23">
        <f>IF(OR(BA$1="",$BM85=0),"",IFERROR(LOOKUP(2,1/((Budgets!$A$2:$A$200=BA$1)*(Budgets!$B$2:$B$200&lt;EDATE($A85,1))),Budgets!$C$2:$C$200),0))</f>
        <v/>
      </c>
      <c r="BB85" s="23">
        <f>IF(OR(BB$1="",$BM85=0),"",IFERROR(LOOKUP(2,1/((Budgets!$A$2:$A$200=BB$1)*(Budgets!$B$2:$B$200&lt;EDATE($A85,1))),Budgets!$C$2:$C$200),0))</f>
        <v/>
      </c>
      <c r="BC85" s="23">
        <f>IF(OR(BC$1="",$BM85=0),"",IFERROR(LOOKUP(2,1/((Budgets!$A$2:$A$200=BC$1)*(Budgets!$B$2:$B$200&lt;EDATE($A85,1))),Budgets!$C$2:$C$200),0))</f>
        <v/>
      </c>
      <c r="BD85" s="23">
        <f>IF(OR(BD$1="",$BM85=0),"",IFERROR(LOOKUP(2,1/((Budgets!$A$2:$A$200=BD$1)*(Budgets!$B$2:$B$200&lt;EDATE($A85,1))),Budgets!$C$2:$C$200),0))</f>
        <v/>
      </c>
      <c r="BE85" s="23">
        <f>IF(OR(BE$1="",$BM85=0),"",IFERROR(LOOKUP(2,1/((Budgets!$A$2:$A$200=BE$1)*(Budgets!$B$2:$B$200&lt;EDATE($A85,1))),Budgets!$C$2:$C$200),0))</f>
        <v/>
      </c>
      <c r="BF85" s="23">
        <f>IF(OR(BF$1="",$BM85=0),"",IFERROR(LOOKUP(2,1/((Budgets!$A$2:$A$200=BF$1)*(Budgets!$B$2:$B$200&lt;EDATE($A85,1))),Budgets!$C$2:$C$200),0))</f>
        <v/>
      </c>
      <c r="BG85" s="23">
        <f>IF(OR(BG$1="",$BM85=0),"",IFERROR(LOOKUP(2,1/((Budgets!$A$2:$A$200=BG$1)*(Budgets!$B$2:$B$200&lt;EDATE($A85,1))),Budgets!$C$2:$C$200),0))</f>
        <v/>
      </c>
      <c r="BH85" s="23">
        <f>IF(OR(BH$1="",$BM85=0),"",IFERROR(LOOKUP(2,1/((Budgets!$A$2:$A$200=BH$1)*(Budgets!$B$2:$B$200&lt;EDATE($A85,1))),Budgets!$C$2:$C$200),0))</f>
        <v/>
      </c>
      <c r="BI85" s="23">
        <f>IF(OR(BI$1="",$BM85=0),"",IFERROR(LOOKUP(2,1/((Budgets!$A$2:$A$200=BI$1)*(Budgets!$B$2:$B$200&lt;EDATE($A85,1))),Budgets!$C$2:$C$200),0))</f>
        <v/>
      </c>
      <c r="BJ85" s="23">
        <f>IF(OR(BJ$1="",$BM85=0),"",IFERROR(LOOKUP(2,1/((Budgets!$A$2:$A$200=BJ$1)*(Budgets!$B$2:$B$200&lt;EDATE($A85,1))),Budgets!$C$2:$C$200),0))</f>
        <v/>
      </c>
      <c r="BK85" s="23">
        <f>IF(OR(BK$1="",$BM85=0),"",IFERROR(LOOKUP(2,1/((Budgets!$A$2:$A$200=BK$1)*(Budgets!$B$2:$B$200&lt;EDATE($A85,1))),Budgets!$C$2:$C$200),0))</f>
        <v/>
      </c>
      <c r="BM85" s="21">
        <f>COUNTIFS(Entries!$A$2:$A$5000,"&gt;="&amp;$A85,Entries!$A$2:$A$5000,"&lt;"&amp;EDATE($A85,1))</f>
        <v/>
      </c>
    </row>
    <row r="86">
      <c r="A86" s="22" t="n">
        <v>42005</v>
      </c>
      <c r="B86" s="23">
        <f>IF($BM86=0,NA(),SUMIFS(Entries!$E$2:$E$5000,Entries!$C$2:$C$5000,"Income",Entries!$A$2:$A$5000,"&gt;="&amp;$A86,Entries!$A$2:$A$5000,"&lt;"&amp;EDATE($A86,1)))</f>
        <v/>
      </c>
      <c r="C86" s="23">
        <f>IF($BM86=0,"",SUMIFS(Entries!$E$2:$E$5000,Entries!$C$2:$C$5000,"Actual",Entries!$A$2:$A$5000,"&gt;="&amp;$A86,Entries!$A$2:$A$5000,"&lt;"&amp;EDATE($A86,1)))</f>
        <v/>
      </c>
      <c r="D86" s="23">
        <f>IF($BM86=0,"",SUMIFS(Entries!$E$2:$E$5000,Entries!$C$2:$C$5000,"One-off",Entries!$A$2:$A$5000,"&gt;="&amp;$A86,Entries!$A$2:$A$5000,"&lt;"&amp;EDATE($A86,1)))</f>
        <v/>
      </c>
      <c r="E86" s="23">
        <f>IF($BM86=0,NA(),C86+D86)</f>
        <v/>
      </c>
      <c r="F86" s="23">
        <f>IF($BM86=0,"",SUM(AR86:BK86))</f>
        <v/>
      </c>
      <c r="G86" s="23">
        <f>IF($BM86=0,"",B86-E86)</f>
        <v/>
      </c>
      <c r="H86" s="23">
        <f>IF($BM86=0,"",SUM($G$2:G86))</f>
        <v/>
      </c>
      <c r="I86" s="23">
        <f>IF($BM86=0,"",SUMIFS(Entries!$G$2:$G$5000,Entries!$A$2:$A$5000,"&gt;="&amp;$A86,Entries!$A$2:$A$5000,"&lt;"&amp;EDATE($A86,1)))</f>
        <v/>
      </c>
      <c r="J86" s="23">
        <f>IF($BM86=0,NA(),H86)</f>
        <v/>
      </c>
      <c r="K86" s="23">
        <f>IF($BM86=0,"",SUMIFS(Entries!$E$2:$E$5000,Entries!$C$2:$C$5000,"Income",Entries!$A$2:$A$5000,"&gt;="&amp;EDATE($A86,-11),Entries!$A$2:$A$5000,"&lt;"&amp;EDATE($A86,1))/COUNTIFS($A$2:$A$400,"&gt;="&amp;EDATE($A86,-11),$A$2:$A$400,"&lt;"&amp;EDATE($A86,1),$BM$2:$BM$400,"&gt;0"))</f>
      </c>
      <c r="L86" s="23">
        <f>IF($BM86=0,"",(SUMIFS(Entries!$E$2:$E$5000,Entries!$C$2:$C$5000,"Actual",Entries!$A$2:$A$5000,"&gt;="&amp;EDATE($A86,-11),Entries!$A$2:$A$5000,"&lt;"&amp;EDATE($A86,1))+SUMIFS(Entries!$E$2:$E$5000,Entries!$C$2:$C$5000,"One-off",Entries!$A$2:$A$5000,"&gt;="&amp;EDATE($A86,-11),Entries!$A$2:$A$5000,"&lt;"&amp;EDATE($A86,1)))/COUNTIFS($A$2:$A$400,"&gt;="&amp;EDATE($A86,-11),$A$2:$A$400,"&lt;"&amp;EDATE($A86,1),$BM$2:$BM$400,"&gt;0"))</f>
      </c>
      <c r="M86" s="24">
        <f>IF($BM86=0,NA(),IFERROR((K86-L86)/K86,0))</f>
        <v/>
      </c>
      <c r="N86" s="23">
        <f>IF($BM86=0,NA(),SUMIFS(Entries!$E$2:$E$5000,Entries!$D$2:$D$5000,"Core",Entries!$A$2:$A$5000,"&gt;="&amp;$A86,Entries!$A$2:$A$5000,"&lt;"&amp;EDATE($A86,1)))</f>
        <v/>
      </c>
      <c r="O86" s="23">
        <f>IF($BM86=0,NA(),SUMIFS(Entries!$E$2:$E$5000,Entries!$D$2:$D$5000,"Over &amp; above",Entries!$A$2:$A$5000,"&gt;="&amp;$A86,Entries!$A$2:$A$5000,"&lt;"&amp;EDATE($A86,1)))</f>
        <v/>
      </c>
      <c r="P86" s="23">
        <f>IF($BM86=0,NA(),SUMIFS(Entries!$E$2:$E$5000,Entries!$D$2:$D$5000,"One-off",Entries!$A$2:$A$5000,"&gt;="&amp;$A86,Entries!$A$2:$A$5000,"&lt;"&amp;EDATE($A86,1)))</f>
        <v/>
      </c>
      <c r="Q86" s="23">
        <f>IF($BM86=0,NA(),SUMIFS(Entries!$E$2:$E$5000,Entries!$D$2:$D$5000,"Reimbursable",Entries!$A$2:$A$5000,"&gt;="&amp;$A86,Entries!$A$2:$A$5000,"&lt;"&amp;EDATE($A86,1)))</f>
        <v/>
      </c>
      <c r="R86" s="23">
        <f>IF($BM86=0,NA(),SUMIFS(Entries!$E$2:$E$5000,Entries!$D$2:$D$5000,"Investment",Entries!$A$2:$A$5000,"&gt;="&amp;$A86,Entries!$A$2:$A$5000,"&lt;"&amp;EDATE($A86,1)))</f>
        <v/>
      </c>
      <c r="S86" s="23">
        <f>IF($BM86=0,NA(),N86+O86)</f>
        <v/>
      </c>
      <c r="T86" s="23">
        <f>IF($BM86=0,"",E86-Q86)</f>
        <v/>
      </c>
      <c r="W86" s="23">
        <f>IF(OR(W$1="",$BM86=0),"",SUMIFS(Entries!$E$2:$E$5000,Entries!$C$2:$C$5000,"Actual",Entries!$A$2:$A$5000,"&gt;="&amp;$A86,Entries!$A$2:$A$5000,"&lt;"&amp;EDATE($A86,1),Entries!$B$2:$B$5000,W$1))</f>
        <v/>
      </c>
      <c r="X86" s="23">
        <f>IF(OR(X$1="",$BM86=0),"",SUMIFS(Entries!$E$2:$E$5000,Entries!$C$2:$C$5000,"Actual",Entries!$A$2:$A$5000,"&gt;="&amp;$A86,Entries!$A$2:$A$5000,"&lt;"&amp;EDATE($A86,1),Entries!$B$2:$B$5000,X$1))</f>
        <v/>
      </c>
      <c r="Y86" s="23">
        <f>IF(OR(Y$1="",$BM86=0),"",SUMIFS(Entries!$E$2:$E$5000,Entries!$C$2:$C$5000,"Actual",Entries!$A$2:$A$5000,"&gt;="&amp;$A86,Entries!$A$2:$A$5000,"&lt;"&amp;EDATE($A86,1),Entries!$B$2:$B$5000,Y$1))</f>
        <v/>
      </c>
      <c r="Z86" s="23">
        <f>IF(OR(Z$1="",$BM86=0),"",SUMIFS(Entries!$E$2:$E$5000,Entries!$C$2:$C$5000,"Actual",Entries!$A$2:$A$5000,"&gt;="&amp;$A86,Entries!$A$2:$A$5000,"&lt;"&amp;EDATE($A86,1),Entries!$B$2:$B$5000,Z$1))</f>
        <v/>
      </c>
      <c r="AA86" s="23">
        <f>IF(OR(AA$1="",$BM86=0),"",SUMIFS(Entries!$E$2:$E$5000,Entries!$C$2:$C$5000,"Actual",Entries!$A$2:$A$5000,"&gt;="&amp;$A86,Entries!$A$2:$A$5000,"&lt;"&amp;EDATE($A86,1),Entries!$B$2:$B$5000,AA$1))</f>
        <v/>
      </c>
      <c r="AB86" s="23">
        <f>IF(OR(AB$1="",$BM86=0),"",SUMIFS(Entries!$E$2:$E$5000,Entries!$C$2:$C$5000,"Actual",Entries!$A$2:$A$5000,"&gt;="&amp;$A86,Entries!$A$2:$A$5000,"&lt;"&amp;EDATE($A86,1),Entries!$B$2:$B$5000,AB$1))</f>
        <v/>
      </c>
      <c r="AC86" s="23">
        <f>IF(OR(AC$1="",$BM86=0),"",SUMIFS(Entries!$E$2:$E$5000,Entries!$C$2:$C$5000,"Actual",Entries!$A$2:$A$5000,"&gt;="&amp;$A86,Entries!$A$2:$A$5000,"&lt;"&amp;EDATE($A86,1),Entries!$B$2:$B$5000,AC$1))</f>
        <v/>
      </c>
      <c r="AD86" s="23">
        <f>IF(OR(AD$1="",$BM86=0),"",SUMIFS(Entries!$E$2:$E$5000,Entries!$C$2:$C$5000,"Actual",Entries!$A$2:$A$5000,"&gt;="&amp;$A86,Entries!$A$2:$A$5000,"&lt;"&amp;EDATE($A86,1),Entries!$B$2:$B$5000,AD$1))</f>
        <v/>
      </c>
      <c r="AE86" s="23">
        <f>IF(OR(AE$1="",$BM86=0),"",SUMIFS(Entries!$E$2:$E$5000,Entries!$C$2:$C$5000,"Actual",Entries!$A$2:$A$5000,"&gt;="&amp;$A86,Entries!$A$2:$A$5000,"&lt;"&amp;EDATE($A86,1),Entries!$B$2:$B$5000,AE$1))</f>
        <v/>
      </c>
      <c r="AF86" s="23">
        <f>IF(OR(AF$1="",$BM86=0),"",SUMIFS(Entries!$E$2:$E$5000,Entries!$C$2:$C$5000,"Actual",Entries!$A$2:$A$5000,"&gt;="&amp;$A86,Entries!$A$2:$A$5000,"&lt;"&amp;EDATE($A86,1),Entries!$B$2:$B$5000,AF$1))</f>
        <v/>
      </c>
      <c r="AG86" s="23">
        <f>IF(OR(AG$1="",$BM86=0),"",SUMIFS(Entries!$E$2:$E$5000,Entries!$C$2:$C$5000,"Actual",Entries!$A$2:$A$5000,"&gt;="&amp;$A86,Entries!$A$2:$A$5000,"&lt;"&amp;EDATE($A86,1),Entries!$B$2:$B$5000,AG$1))</f>
        <v/>
      </c>
      <c r="AH86" s="23">
        <f>IF(OR(AH$1="",$BM86=0),"",SUMIFS(Entries!$E$2:$E$5000,Entries!$C$2:$C$5000,"Actual",Entries!$A$2:$A$5000,"&gt;="&amp;$A86,Entries!$A$2:$A$5000,"&lt;"&amp;EDATE($A86,1),Entries!$B$2:$B$5000,AH$1))</f>
        <v/>
      </c>
      <c r="AI86" s="23">
        <f>IF(OR(AI$1="",$BM86=0),"",SUMIFS(Entries!$E$2:$E$5000,Entries!$C$2:$C$5000,"Actual",Entries!$A$2:$A$5000,"&gt;="&amp;$A86,Entries!$A$2:$A$5000,"&lt;"&amp;EDATE($A86,1),Entries!$B$2:$B$5000,AI$1))</f>
        <v/>
      </c>
      <c r="AJ86" s="23">
        <f>IF(OR(AJ$1="",$BM86=0),"",SUMIFS(Entries!$E$2:$E$5000,Entries!$C$2:$C$5000,"Actual",Entries!$A$2:$A$5000,"&gt;="&amp;$A86,Entries!$A$2:$A$5000,"&lt;"&amp;EDATE($A86,1),Entries!$B$2:$B$5000,AJ$1))</f>
        <v/>
      </c>
      <c r="AK86" s="23">
        <f>IF(OR(AK$1="",$BM86=0),"",SUMIFS(Entries!$E$2:$E$5000,Entries!$C$2:$C$5000,"Actual",Entries!$A$2:$A$5000,"&gt;="&amp;$A86,Entries!$A$2:$A$5000,"&lt;"&amp;EDATE($A86,1),Entries!$B$2:$B$5000,AK$1))</f>
        <v/>
      </c>
      <c r="AL86" s="23">
        <f>IF(OR(AL$1="",$BM86=0),"",SUMIFS(Entries!$E$2:$E$5000,Entries!$C$2:$C$5000,"Actual",Entries!$A$2:$A$5000,"&gt;="&amp;$A86,Entries!$A$2:$A$5000,"&lt;"&amp;EDATE($A86,1),Entries!$B$2:$B$5000,AL$1))</f>
        <v/>
      </c>
      <c r="AM86" s="23">
        <f>IF(OR(AM$1="",$BM86=0),"",SUMIFS(Entries!$E$2:$E$5000,Entries!$C$2:$C$5000,"Actual",Entries!$A$2:$A$5000,"&gt;="&amp;$A86,Entries!$A$2:$A$5000,"&lt;"&amp;EDATE($A86,1),Entries!$B$2:$B$5000,AM$1))</f>
        <v/>
      </c>
      <c r="AN86" s="23">
        <f>IF(OR(AN$1="",$BM86=0),"",SUMIFS(Entries!$E$2:$E$5000,Entries!$C$2:$C$5000,"Actual",Entries!$A$2:$A$5000,"&gt;="&amp;$A86,Entries!$A$2:$A$5000,"&lt;"&amp;EDATE($A86,1),Entries!$B$2:$B$5000,AN$1))</f>
        <v/>
      </c>
      <c r="AO86" s="23">
        <f>IF(OR(AO$1="",$BM86=0),"",SUMIFS(Entries!$E$2:$E$5000,Entries!$C$2:$C$5000,"Actual",Entries!$A$2:$A$5000,"&gt;="&amp;$A86,Entries!$A$2:$A$5000,"&lt;"&amp;EDATE($A86,1),Entries!$B$2:$B$5000,AO$1))</f>
        <v/>
      </c>
      <c r="AP86" s="23">
        <f>IF(OR(AP$1="",$BM86=0),"",SUMIFS(Entries!$E$2:$E$5000,Entries!$C$2:$C$5000,"Actual",Entries!$A$2:$A$5000,"&gt;="&amp;$A86,Entries!$A$2:$A$5000,"&lt;"&amp;EDATE($A86,1),Entries!$B$2:$B$5000,AP$1))</f>
        <v/>
      </c>
      <c r="AR86" s="23">
        <f>IF(OR(AR$1="",$BM86=0),"",IFERROR(LOOKUP(2,1/((Budgets!$A$2:$A$200=AR$1)*(Budgets!$B$2:$B$200&lt;EDATE($A86,1))),Budgets!$C$2:$C$200),0))</f>
        <v/>
      </c>
      <c r="AS86" s="23">
        <f>IF(OR(AS$1="",$BM86=0),"",IFERROR(LOOKUP(2,1/((Budgets!$A$2:$A$200=AS$1)*(Budgets!$B$2:$B$200&lt;EDATE($A86,1))),Budgets!$C$2:$C$200),0))</f>
        <v/>
      </c>
      <c r="AT86" s="23">
        <f>IF(OR(AT$1="",$BM86=0),"",IFERROR(LOOKUP(2,1/((Budgets!$A$2:$A$200=AT$1)*(Budgets!$B$2:$B$200&lt;EDATE($A86,1))),Budgets!$C$2:$C$200),0))</f>
        <v/>
      </c>
      <c r="AU86" s="23">
        <f>IF(OR(AU$1="",$BM86=0),"",IFERROR(LOOKUP(2,1/((Budgets!$A$2:$A$200=AU$1)*(Budgets!$B$2:$B$200&lt;EDATE($A86,1))),Budgets!$C$2:$C$200),0))</f>
        <v/>
      </c>
      <c r="AV86" s="23">
        <f>IF(OR(AV$1="",$BM86=0),"",IFERROR(LOOKUP(2,1/((Budgets!$A$2:$A$200=AV$1)*(Budgets!$B$2:$B$200&lt;EDATE($A86,1))),Budgets!$C$2:$C$200),0))</f>
        <v/>
      </c>
      <c r="AW86" s="23">
        <f>IF(OR(AW$1="",$BM86=0),"",IFERROR(LOOKUP(2,1/((Budgets!$A$2:$A$200=AW$1)*(Budgets!$B$2:$B$200&lt;EDATE($A86,1))),Budgets!$C$2:$C$200),0))</f>
        <v/>
      </c>
      <c r="AX86" s="23">
        <f>IF(OR(AX$1="",$BM86=0),"",IFERROR(LOOKUP(2,1/((Budgets!$A$2:$A$200=AX$1)*(Budgets!$B$2:$B$200&lt;EDATE($A86,1))),Budgets!$C$2:$C$200),0))</f>
        <v/>
      </c>
      <c r="AY86" s="23">
        <f>IF(OR(AY$1="",$BM86=0),"",IFERROR(LOOKUP(2,1/((Budgets!$A$2:$A$200=AY$1)*(Budgets!$B$2:$B$200&lt;EDATE($A86,1))),Budgets!$C$2:$C$200),0))</f>
        <v/>
      </c>
      <c r="AZ86" s="23">
        <f>IF(OR(AZ$1="",$BM86=0),"",IFERROR(LOOKUP(2,1/((Budgets!$A$2:$A$200=AZ$1)*(Budgets!$B$2:$B$200&lt;EDATE($A86,1))),Budgets!$C$2:$C$200),0))</f>
        <v/>
      </c>
      <c r="BA86" s="23">
        <f>IF(OR(BA$1="",$BM86=0),"",IFERROR(LOOKUP(2,1/((Budgets!$A$2:$A$200=BA$1)*(Budgets!$B$2:$B$200&lt;EDATE($A86,1))),Budgets!$C$2:$C$200),0))</f>
        <v/>
      </c>
      <c r="BB86" s="23">
        <f>IF(OR(BB$1="",$BM86=0),"",IFERROR(LOOKUP(2,1/((Budgets!$A$2:$A$200=BB$1)*(Budgets!$B$2:$B$200&lt;EDATE($A86,1))),Budgets!$C$2:$C$200),0))</f>
        <v/>
      </c>
      <c r="BC86" s="23">
        <f>IF(OR(BC$1="",$BM86=0),"",IFERROR(LOOKUP(2,1/((Budgets!$A$2:$A$200=BC$1)*(Budgets!$B$2:$B$200&lt;EDATE($A86,1))),Budgets!$C$2:$C$200),0))</f>
        <v/>
      </c>
      <c r="BD86" s="23">
        <f>IF(OR(BD$1="",$BM86=0),"",IFERROR(LOOKUP(2,1/((Budgets!$A$2:$A$200=BD$1)*(Budgets!$B$2:$B$200&lt;EDATE($A86,1))),Budgets!$C$2:$C$200),0))</f>
        <v/>
      </c>
      <c r="BE86" s="23">
        <f>IF(OR(BE$1="",$BM86=0),"",IFERROR(LOOKUP(2,1/((Budgets!$A$2:$A$200=BE$1)*(Budgets!$B$2:$B$200&lt;EDATE($A86,1))),Budgets!$C$2:$C$200),0))</f>
        <v/>
      </c>
      <c r="BF86" s="23">
        <f>IF(OR(BF$1="",$BM86=0),"",IFERROR(LOOKUP(2,1/((Budgets!$A$2:$A$200=BF$1)*(Budgets!$B$2:$B$200&lt;EDATE($A86,1))),Budgets!$C$2:$C$200),0))</f>
        <v/>
      </c>
      <c r="BG86" s="23">
        <f>IF(OR(BG$1="",$BM86=0),"",IFERROR(LOOKUP(2,1/((Budgets!$A$2:$A$200=BG$1)*(Budgets!$B$2:$B$200&lt;EDATE($A86,1))),Budgets!$C$2:$C$200),0))</f>
        <v/>
      </c>
      <c r="BH86" s="23">
        <f>IF(OR(BH$1="",$BM86=0),"",IFERROR(LOOKUP(2,1/((Budgets!$A$2:$A$200=BH$1)*(Budgets!$B$2:$B$200&lt;EDATE($A86,1))),Budgets!$C$2:$C$200),0))</f>
        <v/>
      </c>
      <c r="BI86" s="23">
        <f>IF(OR(BI$1="",$BM86=0),"",IFERROR(LOOKUP(2,1/((Budgets!$A$2:$A$200=BI$1)*(Budgets!$B$2:$B$200&lt;EDATE($A86,1))),Budgets!$C$2:$C$200),0))</f>
        <v/>
      </c>
      <c r="BJ86" s="23">
        <f>IF(OR(BJ$1="",$BM86=0),"",IFERROR(LOOKUP(2,1/((Budgets!$A$2:$A$200=BJ$1)*(Budgets!$B$2:$B$200&lt;EDATE($A86,1))),Budgets!$C$2:$C$200),0))</f>
        <v/>
      </c>
      <c r="BK86" s="23">
        <f>IF(OR(BK$1="",$BM86=0),"",IFERROR(LOOKUP(2,1/((Budgets!$A$2:$A$200=BK$1)*(Budgets!$B$2:$B$200&lt;EDATE($A86,1))),Budgets!$C$2:$C$200),0))</f>
        <v/>
      </c>
      <c r="BM86" s="21">
        <f>COUNTIFS(Entries!$A$2:$A$5000,"&gt;="&amp;$A86,Entries!$A$2:$A$5000,"&lt;"&amp;EDATE($A86,1))</f>
        <v/>
      </c>
    </row>
    <row r="87">
      <c r="A87" s="22" t="n">
        <v>42036</v>
      </c>
      <c r="B87" s="23">
        <f>IF($BM87=0,NA(),SUMIFS(Entries!$E$2:$E$5000,Entries!$C$2:$C$5000,"Income",Entries!$A$2:$A$5000,"&gt;="&amp;$A87,Entries!$A$2:$A$5000,"&lt;"&amp;EDATE($A87,1)))</f>
        <v/>
      </c>
      <c r="C87" s="23">
        <f>IF($BM87=0,"",SUMIFS(Entries!$E$2:$E$5000,Entries!$C$2:$C$5000,"Actual",Entries!$A$2:$A$5000,"&gt;="&amp;$A87,Entries!$A$2:$A$5000,"&lt;"&amp;EDATE($A87,1)))</f>
        <v/>
      </c>
      <c r="D87" s="23">
        <f>IF($BM87=0,"",SUMIFS(Entries!$E$2:$E$5000,Entries!$C$2:$C$5000,"One-off",Entries!$A$2:$A$5000,"&gt;="&amp;$A87,Entries!$A$2:$A$5000,"&lt;"&amp;EDATE($A87,1)))</f>
        <v/>
      </c>
      <c r="E87" s="23">
        <f>IF($BM87=0,NA(),C87+D87)</f>
        <v/>
      </c>
      <c r="F87" s="23">
        <f>IF($BM87=0,"",SUM(AR87:BK87))</f>
        <v/>
      </c>
      <c r="G87" s="23">
        <f>IF($BM87=0,"",B87-E87)</f>
        <v/>
      </c>
      <c r="H87" s="23">
        <f>IF($BM87=0,"",SUM($G$2:G87))</f>
        <v/>
      </c>
      <c r="I87" s="23">
        <f>IF($BM87=0,"",SUMIFS(Entries!$G$2:$G$5000,Entries!$A$2:$A$5000,"&gt;="&amp;$A87,Entries!$A$2:$A$5000,"&lt;"&amp;EDATE($A87,1)))</f>
        <v/>
      </c>
      <c r="J87" s="23">
        <f>IF($BM87=0,NA(),H87)</f>
        <v/>
      </c>
      <c r="K87" s="23">
        <f>IF($BM87=0,"",SUMIFS(Entries!$E$2:$E$5000,Entries!$C$2:$C$5000,"Income",Entries!$A$2:$A$5000,"&gt;="&amp;EDATE($A87,-11),Entries!$A$2:$A$5000,"&lt;"&amp;EDATE($A87,1))/COUNTIFS($A$2:$A$400,"&gt;="&amp;EDATE($A87,-11),$A$2:$A$400,"&lt;"&amp;EDATE($A87,1),$BM$2:$BM$400,"&gt;0"))</f>
      </c>
      <c r="L87" s="23">
        <f>IF($BM87=0,"",(SUMIFS(Entries!$E$2:$E$5000,Entries!$C$2:$C$5000,"Actual",Entries!$A$2:$A$5000,"&gt;="&amp;EDATE($A87,-11),Entries!$A$2:$A$5000,"&lt;"&amp;EDATE($A87,1))+SUMIFS(Entries!$E$2:$E$5000,Entries!$C$2:$C$5000,"One-off",Entries!$A$2:$A$5000,"&gt;="&amp;EDATE($A87,-11),Entries!$A$2:$A$5000,"&lt;"&amp;EDATE($A87,1)))/COUNTIFS($A$2:$A$400,"&gt;="&amp;EDATE($A87,-11),$A$2:$A$400,"&lt;"&amp;EDATE($A87,1),$BM$2:$BM$400,"&gt;0"))</f>
      </c>
      <c r="M87" s="24">
        <f>IF($BM87=0,NA(),IFERROR((K87-L87)/K87,0))</f>
        <v/>
      </c>
      <c r="N87" s="23">
        <f>IF($BM87=0,NA(),SUMIFS(Entries!$E$2:$E$5000,Entries!$D$2:$D$5000,"Core",Entries!$A$2:$A$5000,"&gt;="&amp;$A87,Entries!$A$2:$A$5000,"&lt;"&amp;EDATE($A87,1)))</f>
        <v/>
      </c>
      <c r="O87" s="23">
        <f>IF($BM87=0,NA(),SUMIFS(Entries!$E$2:$E$5000,Entries!$D$2:$D$5000,"Over &amp; above",Entries!$A$2:$A$5000,"&gt;="&amp;$A87,Entries!$A$2:$A$5000,"&lt;"&amp;EDATE($A87,1)))</f>
        <v/>
      </c>
      <c r="P87" s="23">
        <f>IF($BM87=0,NA(),SUMIFS(Entries!$E$2:$E$5000,Entries!$D$2:$D$5000,"One-off",Entries!$A$2:$A$5000,"&gt;="&amp;$A87,Entries!$A$2:$A$5000,"&lt;"&amp;EDATE($A87,1)))</f>
        <v/>
      </c>
      <c r="Q87" s="23">
        <f>IF($BM87=0,NA(),SUMIFS(Entries!$E$2:$E$5000,Entries!$D$2:$D$5000,"Reimbursable",Entries!$A$2:$A$5000,"&gt;="&amp;$A87,Entries!$A$2:$A$5000,"&lt;"&amp;EDATE($A87,1)))</f>
        <v/>
      </c>
      <c r="R87" s="23">
        <f>IF($BM87=0,NA(),SUMIFS(Entries!$E$2:$E$5000,Entries!$D$2:$D$5000,"Investment",Entries!$A$2:$A$5000,"&gt;="&amp;$A87,Entries!$A$2:$A$5000,"&lt;"&amp;EDATE($A87,1)))</f>
        <v/>
      </c>
      <c r="S87" s="23">
        <f>IF($BM87=0,NA(),N87+O87)</f>
        <v/>
      </c>
      <c r="T87" s="23">
        <f>IF($BM87=0,"",E87-Q87)</f>
        <v/>
      </c>
      <c r="W87" s="23">
        <f>IF(OR(W$1="",$BM87=0),"",SUMIFS(Entries!$E$2:$E$5000,Entries!$C$2:$C$5000,"Actual",Entries!$A$2:$A$5000,"&gt;="&amp;$A87,Entries!$A$2:$A$5000,"&lt;"&amp;EDATE($A87,1),Entries!$B$2:$B$5000,W$1))</f>
        <v/>
      </c>
      <c r="X87" s="23">
        <f>IF(OR(X$1="",$BM87=0),"",SUMIFS(Entries!$E$2:$E$5000,Entries!$C$2:$C$5000,"Actual",Entries!$A$2:$A$5000,"&gt;="&amp;$A87,Entries!$A$2:$A$5000,"&lt;"&amp;EDATE($A87,1),Entries!$B$2:$B$5000,X$1))</f>
        <v/>
      </c>
      <c r="Y87" s="23">
        <f>IF(OR(Y$1="",$BM87=0),"",SUMIFS(Entries!$E$2:$E$5000,Entries!$C$2:$C$5000,"Actual",Entries!$A$2:$A$5000,"&gt;="&amp;$A87,Entries!$A$2:$A$5000,"&lt;"&amp;EDATE($A87,1),Entries!$B$2:$B$5000,Y$1))</f>
        <v/>
      </c>
      <c r="Z87" s="23">
        <f>IF(OR(Z$1="",$BM87=0),"",SUMIFS(Entries!$E$2:$E$5000,Entries!$C$2:$C$5000,"Actual",Entries!$A$2:$A$5000,"&gt;="&amp;$A87,Entries!$A$2:$A$5000,"&lt;"&amp;EDATE($A87,1),Entries!$B$2:$B$5000,Z$1))</f>
        <v/>
      </c>
      <c r="AA87" s="23">
        <f>IF(OR(AA$1="",$BM87=0),"",SUMIFS(Entries!$E$2:$E$5000,Entries!$C$2:$C$5000,"Actual",Entries!$A$2:$A$5000,"&gt;="&amp;$A87,Entries!$A$2:$A$5000,"&lt;"&amp;EDATE($A87,1),Entries!$B$2:$B$5000,AA$1))</f>
        <v/>
      </c>
      <c r="AB87" s="23">
        <f>IF(OR(AB$1="",$BM87=0),"",SUMIFS(Entries!$E$2:$E$5000,Entries!$C$2:$C$5000,"Actual",Entries!$A$2:$A$5000,"&gt;="&amp;$A87,Entries!$A$2:$A$5000,"&lt;"&amp;EDATE($A87,1),Entries!$B$2:$B$5000,AB$1))</f>
        <v/>
      </c>
      <c r="AC87" s="23">
        <f>IF(OR(AC$1="",$BM87=0),"",SUMIFS(Entries!$E$2:$E$5000,Entries!$C$2:$C$5000,"Actual",Entries!$A$2:$A$5000,"&gt;="&amp;$A87,Entries!$A$2:$A$5000,"&lt;"&amp;EDATE($A87,1),Entries!$B$2:$B$5000,AC$1))</f>
        <v/>
      </c>
      <c r="AD87" s="23">
        <f>IF(OR(AD$1="",$BM87=0),"",SUMIFS(Entries!$E$2:$E$5000,Entries!$C$2:$C$5000,"Actual",Entries!$A$2:$A$5000,"&gt;="&amp;$A87,Entries!$A$2:$A$5000,"&lt;"&amp;EDATE($A87,1),Entries!$B$2:$B$5000,AD$1))</f>
        <v/>
      </c>
      <c r="AE87" s="23">
        <f>IF(OR(AE$1="",$BM87=0),"",SUMIFS(Entries!$E$2:$E$5000,Entries!$C$2:$C$5000,"Actual",Entries!$A$2:$A$5000,"&gt;="&amp;$A87,Entries!$A$2:$A$5000,"&lt;"&amp;EDATE($A87,1),Entries!$B$2:$B$5000,AE$1))</f>
        <v/>
      </c>
      <c r="AF87" s="23">
        <f>IF(OR(AF$1="",$BM87=0),"",SUMIFS(Entries!$E$2:$E$5000,Entries!$C$2:$C$5000,"Actual",Entries!$A$2:$A$5000,"&gt;="&amp;$A87,Entries!$A$2:$A$5000,"&lt;"&amp;EDATE($A87,1),Entries!$B$2:$B$5000,AF$1))</f>
        <v/>
      </c>
      <c r="AG87" s="23">
        <f>IF(OR(AG$1="",$BM87=0),"",SUMIFS(Entries!$E$2:$E$5000,Entries!$C$2:$C$5000,"Actual",Entries!$A$2:$A$5000,"&gt;="&amp;$A87,Entries!$A$2:$A$5000,"&lt;"&amp;EDATE($A87,1),Entries!$B$2:$B$5000,AG$1))</f>
        <v/>
      </c>
      <c r="AH87" s="23">
        <f>IF(OR(AH$1="",$BM87=0),"",SUMIFS(Entries!$E$2:$E$5000,Entries!$C$2:$C$5000,"Actual",Entries!$A$2:$A$5000,"&gt;="&amp;$A87,Entries!$A$2:$A$5000,"&lt;"&amp;EDATE($A87,1),Entries!$B$2:$B$5000,AH$1))</f>
        <v/>
      </c>
      <c r="AI87" s="23">
        <f>IF(OR(AI$1="",$BM87=0),"",SUMIFS(Entries!$E$2:$E$5000,Entries!$C$2:$C$5000,"Actual",Entries!$A$2:$A$5000,"&gt;="&amp;$A87,Entries!$A$2:$A$5000,"&lt;"&amp;EDATE($A87,1),Entries!$B$2:$B$5000,AI$1))</f>
        <v/>
      </c>
      <c r="AJ87" s="23">
        <f>IF(OR(AJ$1="",$BM87=0),"",SUMIFS(Entries!$E$2:$E$5000,Entries!$C$2:$C$5000,"Actual",Entries!$A$2:$A$5000,"&gt;="&amp;$A87,Entries!$A$2:$A$5000,"&lt;"&amp;EDATE($A87,1),Entries!$B$2:$B$5000,AJ$1))</f>
        <v/>
      </c>
      <c r="AK87" s="23">
        <f>IF(OR(AK$1="",$BM87=0),"",SUMIFS(Entries!$E$2:$E$5000,Entries!$C$2:$C$5000,"Actual",Entries!$A$2:$A$5000,"&gt;="&amp;$A87,Entries!$A$2:$A$5000,"&lt;"&amp;EDATE($A87,1),Entries!$B$2:$B$5000,AK$1))</f>
        <v/>
      </c>
      <c r="AL87" s="23">
        <f>IF(OR(AL$1="",$BM87=0),"",SUMIFS(Entries!$E$2:$E$5000,Entries!$C$2:$C$5000,"Actual",Entries!$A$2:$A$5000,"&gt;="&amp;$A87,Entries!$A$2:$A$5000,"&lt;"&amp;EDATE($A87,1),Entries!$B$2:$B$5000,AL$1))</f>
        <v/>
      </c>
      <c r="AM87" s="23">
        <f>IF(OR(AM$1="",$BM87=0),"",SUMIFS(Entries!$E$2:$E$5000,Entries!$C$2:$C$5000,"Actual",Entries!$A$2:$A$5000,"&gt;="&amp;$A87,Entries!$A$2:$A$5000,"&lt;"&amp;EDATE($A87,1),Entries!$B$2:$B$5000,AM$1))</f>
        <v/>
      </c>
      <c r="AN87" s="23">
        <f>IF(OR(AN$1="",$BM87=0),"",SUMIFS(Entries!$E$2:$E$5000,Entries!$C$2:$C$5000,"Actual",Entries!$A$2:$A$5000,"&gt;="&amp;$A87,Entries!$A$2:$A$5000,"&lt;"&amp;EDATE($A87,1),Entries!$B$2:$B$5000,AN$1))</f>
        <v/>
      </c>
      <c r="AO87" s="23">
        <f>IF(OR(AO$1="",$BM87=0),"",SUMIFS(Entries!$E$2:$E$5000,Entries!$C$2:$C$5000,"Actual",Entries!$A$2:$A$5000,"&gt;="&amp;$A87,Entries!$A$2:$A$5000,"&lt;"&amp;EDATE($A87,1),Entries!$B$2:$B$5000,AO$1))</f>
        <v/>
      </c>
      <c r="AP87" s="23">
        <f>IF(OR(AP$1="",$BM87=0),"",SUMIFS(Entries!$E$2:$E$5000,Entries!$C$2:$C$5000,"Actual",Entries!$A$2:$A$5000,"&gt;="&amp;$A87,Entries!$A$2:$A$5000,"&lt;"&amp;EDATE($A87,1),Entries!$B$2:$B$5000,AP$1))</f>
        <v/>
      </c>
      <c r="AR87" s="23">
        <f>IF(OR(AR$1="",$BM87=0),"",IFERROR(LOOKUP(2,1/((Budgets!$A$2:$A$200=AR$1)*(Budgets!$B$2:$B$200&lt;EDATE($A87,1))),Budgets!$C$2:$C$200),0))</f>
        <v/>
      </c>
      <c r="AS87" s="23">
        <f>IF(OR(AS$1="",$BM87=0),"",IFERROR(LOOKUP(2,1/((Budgets!$A$2:$A$200=AS$1)*(Budgets!$B$2:$B$200&lt;EDATE($A87,1))),Budgets!$C$2:$C$200),0))</f>
        <v/>
      </c>
      <c r="AT87" s="23">
        <f>IF(OR(AT$1="",$BM87=0),"",IFERROR(LOOKUP(2,1/((Budgets!$A$2:$A$200=AT$1)*(Budgets!$B$2:$B$200&lt;EDATE($A87,1))),Budgets!$C$2:$C$200),0))</f>
        <v/>
      </c>
      <c r="AU87" s="23">
        <f>IF(OR(AU$1="",$BM87=0),"",IFERROR(LOOKUP(2,1/((Budgets!$A$2:$A$200=AU$1)*(Budgets!$B$2:$B$200&lt;EDATE($A87,1))),Budgets!$C$2:$C$200),0))</f>
        <v/>
      </c>
      <c r="AV87" s="23">
        <f>IF(OR(AV$1="",$BM87=0),"",IFERROR(LOOKUP(2,1/((Budgets!$A$2:$A$200=AV$1)*(Budgets!$B$2:$B$200&lt;EDATE($A87,1))),Budgets!$C$2:$C$200),0))</f>
        <v/>
      </c>
      <c r="AW87" s="23">
        <f>IF(OR(AW$1="",$BM87=0),"",IFERROR(LOOKUP(2,1/((Budgets!$A$2:$A$200=AW$1)*(Budgets!$B$2:$B$200&lt;EDATE($A87,1))),Budgets!$C$2:$C$200),0))</f>
        <v/>
      </c>
      <c r="AX87" s="23">
        <f>IF(OR(AX$1="",$BM87=0),"",IFERROR(LOOKUP(2,1/((Budgets!$A$2:$A$200=AX$1)*(Budgets!$B$2:$B$200&lt;EDATE($A87,1))),Budgets!$C$2:$C$200),0))</f>
        <v/>
      </c>
      <c r="AY87" s="23">
        <f>IF(OR(AY$1="",$BM87=0),"",IFERROR(LOOKUP(2,1/((Budgets!$A$2:$A$200=AY$1)*(Budgets!$B$2:$B$200&lt;EDATE($A87,1))),Budgets!$C$2:$C$200),0))</f>
        <v/>
      </c>
      <c r="AZ87" s="23">
        <f>IF(OR(AZ$1="",$BM87=0),"",IFERROR(LOOKUP(2,1/((Budgets!$A$2:$A$200=AZ$1)*(Budgets!$B$2:$B$200&lt;EDATE($A87,1))),Budgets!$C$2:$C$200),0))</f>
        <v/>
      </c>
      <c r="BA87" s="23">
        <f>IF(OR(BA$1="",$BM87=0),"",IFERROR(LOOKUP(2,1/((Budgets!$A$2:$A$200=BA$1)*(Budgets!$B$2:$B$200&lt;EDATE($A87,1))),Budgets!$C$2:$C$200),0))</f>
        <v/>
      </c>
      <c r="BB87" s="23">
        <f>IF(OR(BB$1="",$BM87=0),"",IFERROR(LOOKUP(2,1/((Budgets!$A$2:$A$200=BB$1)*(Budgets!$B$2:$B$200&lt;EDATE($A87,1))),Budgets!$C$2:$C$200),0))</f>
        <v/>
      </c>
      <c r="BC87" s="23">
        <f>IF(OR(BC$1="",$BM87=0),"",IFERROR(LOOKUP(2,1/((Budgets!$A$2:$A$200=BC$1)*(Budgets!$B$2:$B$200&lt;EDATE($A87,1))),Budgets!$C$2:$C$200),0))</f>
        <v/>
      </c>
      <c r="BD87" s="23">
        <f>IF(OR(BD$1="",$BM87=0),"",IFERROR(LOOKUP(2,1/((Budgets!$A$2:$A$200=BD$1)*(Budgets!$B$2:$B$200&lt;EDATE($A87,1))),Budgets!$C$2:$C$200),0))</f>
        <v/>
      </c>
      <c r="BE87" s="23">
        <f>IF(OR(BE$1="",$BM87=0),"",IFERROR(LOOKUP(2,1/((Budgets!$A$2:$A$200=BE$1)*(Budgets!$B$2:$B$200&lt;EDATE($A87,1))),Budgets!$C$2:$C$200),0))</f>
        <v/>
      </c>
      <c r="BF87" s="23">
        <f>IF(OR(BF$1="",$BM87=0),"",IFERROR(LOOKUP(2,1/((Budgets!$A$2:$A$200=BF$1)*(Budgets!$B$2:$B$200&lt;EDATE($A87,1))),Budgets!$C$2:$C$200),0))</f>
        <v/>
      </c>
      <c r="BG87" s="23">
        <f>IF(OR(BG$1="",$BM87=0),"",IFERROR(LOOKUP(2,1/((Budgets!$A$2:$A$200=BG$1)*(Budgets!$B$2:$B$200&lt;EDATE($A87,1))),Budgets!$C$2:$C$200),0))</f>
        <v/>
      </c>
      <c r="BH87" s="23">
        <f>IF(OR(BH$1="",$BM87=0),"",IFERROR(LOOKUP(2,1/((Budgets!$A$2:$A$200=BH$1)*(Budgets!$B$2:$B$200&lt;EDATE($A87,1))),Budgets!$C$2:$C$200),0))</f>
        <v/>
      </c>
      <c r="BI87" s="23">
        <f>IF(OR(BI$1="",$BM87=0),"",IFERROR(LOOKUP(2,1/((Budgets!$A$2:$A$200=BI$1)*(Budgets!$B$2:$B$200&lt;EDATE($A87,1))),Budgets!$C$2:$C$200),0))</f>
        <v/>
      </c>
      <c r="BJ87" s="23">
        <f>IF(OR(BJ$1="",$BM87=0),"",IFERROR(LOOKUP(2,1/((Budgets!$A$2:$A$200=BJ$1)*(Budgets!$B$2:$B$200&lt;EDATE($A87,1))),Budgets!$C$2:$C$200),0))</f>
        <v/>
      </c>
      <c r="BK87" s="23">
        <f>IF(OR(BK$1="",$BM87=0),"",IFERROR(LOOKUP(2,1/((Budgets!$A$2:$A$200=BK$1)*(Budgets!$B$2:$B$200&lt;EDATE($A87,1))),Budgets!$C$2:$C$200),0))</f>
        <v/>
      </c>
      <c r="BM87" s="21">
        <f>COUNTIFS(Entries!$A$2:$A$5000,"&gt;="&amp;$A87,Entries!$A$2:$A$5000,"&lt;"&amp;EDATE($A87,1))</f>
        <v/>
      </c>
    </row>
    <row r="88">
      <c r="A88" s="22" t="n">
        <v>42064</v>
      </c>
      <c r="B88" s="23">
        <f>IF($BM88=0,NA(),SUMIFS(Entries!$E$2:$E$5000,Entries!$C$2:$C$5000,"Income",Entries!$A$2:$A$5000,"&gt;="&amp;$A88,Entries!$A$2:$A$5000,"&lt;"&amp;EDATE($A88,1)))</f>
        <v/>
      </c>
      <c r="C88" s="23">
        <f>IF($BM88=0,"",SUMIFS(Entries!$E$2:$E$5000,Entries!$C$2:$C$5000,"Actual",Entries!$A$2:$A$5000,"&gt;="&amp;$A88,Entries!$A$2:$A$5000,"&lt;"&amp;EDATE($A88,1)))</f>
        <v/>
      </c>
      <c r="D88" s="23">
        <f>IF($BM88=0,"",SUMIFS(Entries!$E$2:$E$5000,Entries!$C$2:$C$5000,"One-off",Entries!$A$2:$A$5000,"&gt;="&amp;$A88,Entries!$A$2:$A$5000,"&lt;"&amp;EDATE($A88,1)))</f>
        <v/>
      </c>
      <c r="E88" s="23">
        <f>IF($BM88=0,NA(),C88+D88)</f>
        <v/>
      </c>
      <c r="F88" s="23">
        <f>IF($BM88=0,"",SUM(AR88:BK88))</f>
        <v/>
      </c>
      <c r="G88" s="23">
        <f>IF($BM88=0,"",B88-E88)</f>
        <v/>
      </c>
      <c r="H88" s="23">
        <f>IF($BM88=0,"",SUM($G$2:G88))</f>
        <v/>
      </c>
      <c r="I88" s="23">
        <f>IF($BM88=0,"",SUMIFS(Entries!$G$2:$G$5000,Entries!$A$2:$A$5000,"&gt;="&amp;$A88,Entries!$A$2:$A$5000,"&lt;"&amp;EDATE($A88,1)))</f>
        <v/>
      </c>
      <c r="J88" s="23">
        <f>IF($BM88=0,NA(),H88)</f>
        <v/>
      </c>
      <c r="K88" s="23">
        <f>IF($BM88=0,"",SUMIFS(Entries!$E$2:$E$5000,Entries!$C$2:$C$5000,"Income",Entries!$A$2:$A$5000,"&gt;="&amp;EDATE($A88,-11),Entries!$A$2:$A$5000,"&lt;"&amp;EDATE($A88,1))/COUNTIFS($A$2:$A$400,"&gt;="&amp;EDATE($A88,-11),$A$2:$A$400,"&lt;"&amp;EDATE($A88,1),$BM$2:$BM$400,"&gt;0"))</f>
      </c>
      <c r="L88" s="23">
        <f>IF($BM88=0,"",(SUMIFS(Entries!$E$2:$E$5000,Entries!$C$2:$C$5000,"Actual",Entries!$A$2:$A$5000,"&gt;="&amp;EDATE($A88,-11),Entries!$A$2:$A$5000,"&lt;"&amp;EDATE($A88,1))+SUMIFS(Entries!$E$2:$E$5000,Entries!$C$2:$C$5000,"One-off",Entries!$A$2:$A$5000,"&gt;="&amp;EDATE($A88,-11),Entries!$A$2:$A$5000,"&lt;"&amp;EDATE($A88,1)))/COUNTIFS($A$2:$A$400,"&gt;="&amp;EDATE($A88,-11),$A$2:$A$400,"&lt;"&amp;EDATE($A88,1),$BM$2:$BM$400,"&gt;0"))</f>
      </c>
      <c r="M88" s="24">
        <f>IF($BM88=0,NA(),IFERROR((K88-L88)/K88,0))</f>
        <v/>
      </c>
      <c r="N88" s="23">
        <f>IF($BM88=0,NA(),SUMIFS(Entries!$E$2:$E$5000,Entries!$D$2:$D$5000,"Core",Entries!$A$2:$A$5000,"&gt;="&amp;$A88,Entries!$A$2:$A$5000,"&lt;"&amp;EDATE($A88,1)))</f>
        <v/>
      </c>
      <c r="O88" s="23">
        <f>IF($BM88=0,NA(),SUMIFS(Entries!$E$2:$E$5000,Entries!$D$2:$D$5000,"Over &amp; above",Entries!$A$2:$A$5000,"&gt;="&amp;$A88,Entries!$A$2:$A$5000,"&lt;"&amp;EDATE($A88,1)))</f>
        <v/>
      </c>
      <c r="P88" s="23">
        <f>IF($BM88=0,NA(),SUMIFS(Entries!$E$2:$E$5000,Entries!$D$2:$D$5000,"One-off",Entries!$A$2:$A$5000,"&gt;="&amp;$A88,Entries!$A$2:$A$5000,"&lt;"&amp;EDATE($A88,1)))</f>
        <v/>
      </c>
      <c r="Q88" s="23">
        <f>IF($BM88=0,NA(),SUMIFS(Entries!$E$2:$E$5000,Entries!$D$2:$D$5000,"Reimbursable",Entries!$A$2:$A$5000,"&gt;="&amp;$A88,Entries!$A$2:$A$5000,"&lt;"&amp;EDATE($A88,1)))</f>
        <v/>
      </c>
      <c r="R88" s="23">
        <f>IF($BM88=0,NA(),SUMIFS(Entries!$E$2:$E$5000,Entries!$D$2:$D$5000,"Investment",Entries!$A$2:$A$5000,"&gt;="&amp;$A88,Entries!$A$2:$A$5000,"&lt;"&amp;EDATE($A88,1)))</f>
        <v/>
      </c>
      <c r="S88" s="23">
        <f>IF($BM88=0,NA(),N88+O88)</f>
        <v/>
      </c>
      <c r="T88" s="23">
        <f>IF($BM88=0,"",E88-Q88)</f>
        <v/>
      </c>
      <c r="W88" s="23">
        <f>IF(OR(W$1="",$BM88=0),"",SUMIFS(Entries!$E$2:$E$5000,Entries!$C$2:$C$5000,"Actual",Entries!$A$2:$A$5000,"&gt;="&amp;$A88,Entries!$A$2:$A$5000,"&lt;"&amp;EDATE($A88,1),Entries!$B$2:$B$5000,W$1))</f>
        <v/>
      </c>
      <c r="X88" s="23">
        <f>IF(OR(X$1="",$BM88=0),"",SUMIFS(Entries!$E$2:$E$5000,Entries!$C$2:$C$5000,"Actual",Entries!$A$2:$A$5000,"&gt;="&amp;$A88,Entries!$A$2:$A$5000,"&lt;"&amp;EDATE($A88,1),Entries!$B$2:$B$5000,X$1))</f>
        <v/>
      </c>
      <c r="Y88" s="23">
        <f>IF(OR(Y$1="",$BM88=0),"",SUMIFS(Entries!$E$2:$E$5000,Entries!$C$2:$C$5000,"Actual",Entries!$A$2:$A$5000,"&gt;="&amp;$A88,Entries!$A$2:$A$5000,"&lt;"&amp;EDATE($A88,1),Entries!$B$2:$B$5000,Y$1))</f>
        <v/>
      </c>
      <c r="Z88" s="23">
        <f>IF(OR(Z$1="",$BM88=0),"",SUMIFS(Entries!$E$2:$E$5000,Entries!$C$2:$C$5000,"Actual",Entries!$A$2:$A$5000,"&gt;="&amp;$A88,Entries!$A$2:$A$5000,"&lt;"&amp;EDATE($A88,1),Entries!$B$2:$B$5000,Z$1))</f>
        <v/>
      </c>
      <c r="AA88" s="23">
        <f>IF(OR(AA$1="",$BM88=0),"",SUMIFS(Entries!$E$2:$E$5000,Entries!$C$2:$C$5000,"Actual",Entries!$A$2:$A$5000,"&gt;="&amp;$A88,Entries!$A$2:$A$5000,"&lt;"&amp;EDATE($A88,1),Entries!$B$2:$B$5000,AA$1))</f>
        <v/>
      </c>
      <c r="AB88" s="23">
        <f>IF(OR(AB$1="",$BM88=0),"",SUMIFS(Entries!$E$2:$E$5000,Entries!$C$2:$C$5000,"Actual",Entries!$A$2:$A$5000,"&gt;="&amp;$A88,Entries!$A$2:$A$5000,"&lt;"&amp;EDATE($A88,1),Entries!$B$2:$B$5000,AB$1))</f>
        <v/>
      </c>
      <c r="AC88" s="23">
        <f>IF(OR(AC$1="",$BM88=0),"",SUMIFS(Entries!$E$2:$E$5000,Entries!$C$2:$C$5000,"Actual",Entries!$A$2:$A$5000,"&gt;="&amp;$A88,Entries!$A$2:$A$5000,"&lt;"&amp;EDATE($A88,1),Entries!$B$2:$B$5000,AC$1))</f>
        <v/>
      </c>
      <c r="AD88" s="23">
        <f>IF(OR(AD$1="",$BM88=0),"",SUMIFS(Entries!$E$2:$E$5000,Entries!$C$2:$C$5000,"Actual",Entries!$A$2:$A$5000,"&gt;="&amp;$A88,Entries!$A$2:$A$5000,"&lt;"&amp;EDATE($A88,1),Entries!$B$2:$B$5000,AD$1))</f>
        <v/>
      </c>
      <c r="AE88" s="23">
        <f>IF(OR(AE$1="",$BM88=0),"",SUMIFS(Entries!$E$2:$E$5000,Entries!$C$2:$C$5000,"Actual",Entries!$A$2:$A$5000,"&gt;="&amp;$A88,Entries!$A$2:$A$5000,"&lt;"&amp;EDATE($A88,1),Entries!$B$2:$B$5000,AE$1))</f>
        <v/>
      </c>
      <c r="AF88" s="23">
        <f>IF(OR(AF$1="",$BM88=0),"",SUMIFS(Entries!$E$2:$E$5000,Entries!$C$2:$C$5000,"Actual",Entries!$A$2:$A$5000,"&gt;="&amp;$A88,Entries!$A$2:$A$5000,"&lt;"&amp;EDATE($A88,1),Entries!$B$2:$B$5000,AF$1))</f>
        <v/>
      </c>
      <c r="AG88" s="23">
        <f>IF(OR(AG$1="",$BM88=0),"",SUMIFS(Entries!$E$2:$E$5000,Entries!$C$2:$C$5000,"Actual",Entries!$A$2:$A$5000,"&gt;="&amp;$A88,Entries!$A$2:$A$5000,"&lt;"&amp;EDATE($A88,1),Entries!$B$2:$B$5000,AG$1))</f>
        <v/>
      </c>
      <c r="AH88" s="23">
        <f>IF(OR(AH$1="",$BM88=0),"",SUMIFS(Entries!$E$2:$E$5000,Entries!$C$2:$C$5000,"Actual",Entries!$A$2:$A$5000,"&gt;="&amp;$A88,Entries!$A$2:$A$5000,"&lt;"&amp;EDATE($A88,1),Entries!$B$2:$B$5000,AH$1))</f>
        <v/>
      </c>
      <c r="AI88" s="23">
        <f>IF(OR(AI$1="",$BM88=0),"",SUMIFS(Entries!$E$2:$E$5000,Entries!$C$2:$C$5000,"Actual",Entries!$A$2:$A$5000,"&gt;="&amp;$A88,Entries!$A$2:$A$5000,"&lt;"&amp;EDATE($A88,1),Entries!$B$2:$B$5000,AI$1))</f>
        <v/>
      </c>
      <c r="AJ88" s="23">
        <f>IF(OR(AJ$1="",$BM88=0),"",SUMIFS(Entries!$E$2:$E$5000,Entries!$C$2:$C$5000,"Actual",Entries!$A$2:$A$5000,"&gt;="&amp;$A88,Entries!$A$2:$A$5000,"&lt;"&amp;EDATE($A88,1),Entries!$B$2:$B$5000,AJ$1))</f>
        <v/>
      </c>
      <c r="AK88" s="23">
        <f>IF(OR(AK$1="",$BM88=0),"",SUMIFS(Entries!$E$2:$E$5000,Entries!$C$2:$C$5000,"Actual",Entries!$A$2:$A$5000,"&gt;="&amp;$A88,Entries!$A$2:$A$5000,"&lt;"&amp;EDATE($A88,1),Entries!$B$2:$B$5000,AK$1))</f>
        <v/>
      </c>
      <c r="AL88" s="23">
        <f>IF(OR(AL$1="",$BM88=0),"",SUMIFS(Entries!$E$2:$E$5000,Entries!$C$2:$C$5000,"Actual",Entries!$A$2:$A$5000,"&gt;="&amp;$A88,Entries!$A$2:$A$5000,"&lt;"&amp;EDATE($A88,1),Entries!$B$2:$B$5000,AL$1))</f>
        <v/>
      </c>
      <c r="AM88" s="23">
        <f>IF(OR(AM$1="",$BM88=0),"",SUMIFS(Entries!$E$2:$E$5000,Entries!$C$2:$C$5000,"Actual",Entries!$A$2:$A$5000,"&gt;="&amp;$A88,Entries!$A$2:$A$5000,"&lt;"&amp;EDATE($A88,1),Entries!$B$2:$B$5000,AM$1))</f>
        <v/>
      </c>
      <c r="AN88" s="23">
        <f>IF(OR(AN$1="",$BM88=0),"",SUMIFS(Entries!$E$2:$E$5000,Entries!$C$2:$C$5000,"Actual",Entries!$A$2:$A$5000,"&gt;="&amp;$A88,Entries!$A$2:$A$5000,"&lt;"&amp;EDATE($A88,1),Entries!$B$2:$B$5000,AN$1))</f>
        <v/>
      </c>
      <c r="AO88" s="23">
        <f>IF(OR(AO$1="",$BM88=0),"",SUMIFS(Entries!$E$2:$E$5000,Entries!$C$2:$C$5000,"Actual",Entries!$A$2:$A$5000,"&gt;="&amp;$A88,Entries!$A$2:$A$5000,"&lt;"&amp;EDATE($A88,1),Entries!$B$2:$B$5000,AO$1))</f>
        <v/>
      </c>
      <c r="AP88" s="23">
        <f>IF(OR(AP$1="",$BM88=0),"",SUMIFS(Entries!$E$2:$E$5000,Entries!$C$2:$C$5000,"Actual",Entries!$A$2:$A$5000,"&gt;="&amp;$A88,Entries!$A$2:$A$5000,"&lt;"&amp;EDATE($A88,1),Entries!$B$2:$B$5000,AP$1))</f>
        <v/>
      </c>
      <c r="AR88" s="23">
        <f>IF(OR(AR$1="",$BM88=0),"",IFERROR(LOOKUP(2,1/((Budgets!$A$2:$A$200=AR$1)*(Budgets!$B$2:$B$200&lt;EDATE($A88,1))),Budgets!$C$2:$C$200),0))</f>
        <v/>
      </c>
      <c r="AS88" s="23">
        <f>IF(OR(AS$1="",$BM88=0),"",IFERROR(LOOKUP(2,1/((Budgets!$A$2:$A$200=AS$1)*(Budgets!$B$2:$B$200&lt;EDATE($A88,1))),Budgets!$C$2:$C$200),0))</f>
        <v/>
      </c>
      <c r="AT88" s="23">
        <f>IF(OR(AT$1="",$BM88=0),"",IFERROR(LOOKUP(2,1/((Budgets!$A$2:$A$200=AT$1)*(Budgets!$B$2:$B$200&lt;EDATE($A88,1))),Budgets!$C$2:$C$200),0))</f>
        <v/>
      </c>
      <c r="AU88" s="23">
        <f>IF(OR(AU$1="",$BM88=0),"",IFERROR(LOOKUP(2,1/((Budgets!$A$2:$A$200=AU$1)*(Budgets!$B$2:$B$200&lt;EDATE($A88,1))),Budgets!$C$2:$C$200),0))</f>
        <v/>
      </c>
      <c r="AV88" s="23">
        <f>IF(OR(AV$1="",$BM88=0),"",IFERROR(LOOKUP(2,1/((Budgets!$A$2:$A$200=AV$1)*(Budgets!$B$2:$B$200&lt;EDATE($A88,1))),Budgets!$C$2:$C$200),0))</f>
        <v/>
      </c>
      <c r="AW88" s="23">
        <f>IF(OR(AW$1="",$BM88=0),"",IFERROR(LOOKUP(2,1/((Budgets!$A$2:$A$200=AW$1)*(Budgets!$B$2:$B$200&lt;EDATE($A88,1))),Budgets!$C$2:$C$200),0))</f>
        <v/>
      </c>
      <c r="AX88" s="23">
        <f>IF(OR(AX$1="",$BM88=0),"",IFERROR(LOOKUP(2,1/((Budgets!$A$2:$A$200=AX$1)*(Budgets!$B$2:$B$200&lt;EDATE($A88,1))),Budgets!$C$2:$C$200),0))</f>
        <v/>
      </c>
      <c r="AY88" s="23">
        <f>IF(OR(AY$1="",$BM88=0),"",IFERROR(LOOKUP(2,1/((Budgets!$A$2:$A$200=AY$1)*(Budgets!$B$2:$B$200&lt;EDATE($A88,1))),Budgets!$C$2:$C$200),0))</f>
        <v/>
      </c>
      <c r="AZ88" s="23">
        <f>IF(OR(AZ$1="",$BM88=0),"",IFERROR(LOOKUP(2,1/((Budgets!$A$2:$A$200=AZ$1)*(Budgets!$B$2:$B$200&lt;EDATE($A88,1))),Budgets!$C$2:$C$200),0))</f>
        <v/>
      </c>
      <c r="BA88" s="23">
        <f>IF(OR(BA$1="",$BM88=0),"",IFERROR(LOOKUP(2,1/((Budgets!$A$2:$A$200=BA$1)*(Budgets!$B$2:$B$200&lt;EDATE($A88,1))),Budgets!$C$2:$C$200),0))</f>
        <v/>
      </c>
      <c r="BB88" s="23">
        <f>IF(OR(BB$1="",$BM88=0),"",IFERROR(LOOKUP(2,1/((Budgets!$A$2:$A$200=BB$1)*(Budgets!$B$2:$B$200&lt;EDATE($A88,1))),Budgets!$C$2:$C$200),0))</f>
        <v/>
      </c>
      <c r="BC88" s="23">
        <f>IF(OR(BC$1="",$BM88=0),"",IFERROR(LOOKUP(2,1/((Budgets!$A$2:$A$200=BC$1)*(Budgets!$B$2:$B$200&lt;EDATE($A88,1))),Budgets!$C$2:$C$200),0))</f>
        <v/>
      </c>
      <c r="BD88" s="23">
        <f>IF(OR(BD$1="",$BM88=0),"",IFERROR(LOOKUP(2,1/((Budgets!$A$2:$A$200=BD$1)*(Budgets!$B$2:$B$200&lt;EDATE($A88,1))),Budgets!$C$2:$C$200),0))</f>
        <v/>
      </c>
      <c r="BE88" s="23">
        <f>IF(OR(BE$1="",$BM88=0),"",IFERROR(LOOKUP(2,1/((Budgets!$A$2:$A$200=BE$1)*(Budgets!$B$2:$B$200&lt;EDATE($A88,1))),Budgets!$C$2:$C$200),0))</f>
        <v/>
      </c>
      <c r="BF88" s="23">
        <f>IF(OR(BF$1="",$BM88=0),"",IFERROR(LOOKUP(2,1/((Budgets!$A$2:$A$200=BF$1)*(Budgets!$B$2:$B$200&lt;EDATE($A88,1))),Budgets!$C$2:$C$200),0))</f>
        <v/>
      </c>
      <c r="BG88" s="23">
        <f>IF(OR(BG$1="",$BM88=0),"",IFERROR(LOOKUP(2,1/((Budgets!$A$2:$A$200=BG$1)*(Budgets!$B$2:$B$200&lt;EDATE($A88,1))),Budgets!$C$2:$C$200),0))</f>
        <v/>
      </c>
      <c r="BH88" s="23">
        <f>IF(OR(BH$1="",$BM88=0),"",IFERROR(LOOKUP(2,1/((Budgets!$A$2:$A$200=BH$1)*(Budgets!$B$2:$B$200&lt;EDATE($A88,1))),Budgets!$C$2:$C$200),0))</f>
        <v/>
      </c>
      <c r="BI88" s="23">
        <f>IF(OR(BI$1="",$BM88=0),"",IFERROR(LOOKUP(2,1/((Budgets!$A$2:$A$200=BI$1)*(Budgets!$B$2:$B$200&lt;EDATE($A88,1))),Budgets!$C$2:$C$200),0))</f>
        <v/>
      </c>
      <c r="BJ88" s="23">
        <f>IF(OR(BJ$1="",$BM88=0),"",IFERROR(LOOKUP(2,1/((Budgets!$A$2:$A$200=BJ$1)*(Budgets!$B$2:$B$200&lt;EDATE($A88,1))),Budgets!$C$2:$C$200),0))</f>
        <v/>
      </c>
      <c r="BK88" s="23">
        <f>IF(OR(BK$1="",$BM88=0),"",IFERROR(LOOKUP(2,1/((Budgets!$A$2:$A$200=BK$1)*(Budgets!$B$2:$B$200&lt;EDATE($A88,1))),Budgets!$C$2:$C$200),0))</f>
        <v/>
      </c>
      <c r="BM88" s="21">
        <f>COUNTIFS(Entries!$A$2:$A$5000,"&gt;="&amp;$A88,Entries!$A$2:$A$5000,"&lt;"&amp;EDATE($A88,1))</f>
        <v/>
      </c>
    </row>
    <row r="89">
      <c r="A89" s="22" t="n">
        <v>42095</v>
      </c>
      <c r="B89" s="23">
        <f>IF($BM89=0,NA(),SUMIFS(Entries!$E$2:$E$5000,Entries!$C$2:$C$5000,"Income",Entries!$A$2:$A$5000,"&gt;="&amp;$A89,Entries!$A$2:$A$5000,"&lt;"&amp;EDATE($A89,1)))</f>
        <v/>
      </c>
      <c r="C89" s="23">
        <f>IF($BM89=0,"",SUMIFS(Entries!$E$2:$E$5000,Entries!$C$2:$C$5000,"Actual",Entries!$A$2:$A$5000,"&gt;="&amp;$A89,Entries!$A$2:$A$5000,"&lt;"&amp;EDATE($A89,1)))</f>
        <v/>
      </c>
      <c r="D89" s="23">
        <f>IF($BM89=0,"",SUMIFS(Entries!$E$2:$E$5000,Entries!$C$2:$C$5000,"One-off",Entries!$A$2:$A$5000,"&gt;="&amp;$A89,Entries!$A$2:$A$5000,"&lt;"&amp;EDATE($A89,1)))</f>
        <v/>
      </c>
      <c r="E89" s="23">
        <f>IF($BM89=0,NA(),C89+D89)</f>
        <v/>
      </c>
      <c r="F89" s="23">
        <f>IF($BM89=0,"",SUM(AR89:BK89))</f>
        <v/>
      </c>
      <c r="G89" s="23">
        <f>IF($BM89=0,"",B89-E89)</f>
        <v/>
      </c>
      <c r="H89" s="23">
        <f>IF($BM89=0,"",SUM($G$2:G89))</f>
        <v/>
      </c>
      <c r="I89" s="23">
        <f>IF($BM89=0,"",SUMIFS(Entries!$G$2:$G$5000,Entries!$A$2:$A$5000,"&gt;="&amp;$A89,Entries!$A$2:$A$5000,"&lt;"&amp;EDATE($A89,1)))</f>
        <v/>
      </c>
      <c r="J89" s="23">
        <f>IF($BM89=0,NA(),H89)</f>
        <v/>
      </c>
      <c r="K89" s="23">
        <f>IF($BM89=0,"",SUMIFS(Entries!$E$2:$E$5000,Entries!$C$2:$C$5000,"Income",Entries!$A$2:$A$5000,"&gt;="&amp;EDATE($A89,-11),Entries!$A$2:$A$5000,"&lt;"&amp;EDATE($A89,1))/COUNTIFS($A$2:$A$400,"&gt;="&amp;EDATE($A89,-11),$A$2:$A$400,"&lt;"&amp;EDATE($A89,1),$BM$2:$BM$400,"&gt;0"))</f>
      </c>
      <c r="L89" s="23">
        <f>IF($BM89=0,"",(SUMIFS(Entries!$E$2:$E$5000,Entries!$C$2:$C$5000,"Actual",Entries!$A$2:$A$5000,"&gt;="&amp;EDATE($A89,-11),Entries!$A$2:$A$5000,"&lt;"&amp;EDATE($A89,1))+SUMIFS(Entries!$E$2:$E$5000,Entries!$C$2:$C$5000,"One-off",Entries!$A$2:$A$5000,"&gt;="&amp;EDATE($A89,-11),Entries!$A$2:$A$5000,"&lt;"&amp;EDATE($A89,1)))/COUNTIFS($A$2:$A$400,"&gt;="&amp;EDATE($A89,-11),$A$2:$A$400,"&lt;"&amp;EDATE($A89,1),$BM$2:$BM$400,"&gt;0"))</f>
      </c>
      <c r="M89" s="24">
        <f>IF($BM89=0,NA(),IFERROR((K89-L89)/K89,0))</f>
        <v/>
      </c>
      <c r="N89" s="23">
        <f>IF($BM89=0,NA(),SUMIFS(Entries!$E$2:$E$5000,Entries!$D$2:$D$5000,"Core",Entries!$A$2:$A$5000,"&gt;="&amp;$A89,Entries!$A$2:$A$5000,"&lt;"&amp;EDATE($A89,1)))</f>
        <v/>
      </c>
      <c r="O89" s="23">
        <f>IF($BM89=0,NA(),SUMIFS(Entries!$E$2:$E$5000,Entries!$D$2:$D$5000,"Over &amp; above",Entries!$A$2:$A$5000,"&gt;="&amp;$A89,Entries!$A$2:$A$5000,"&lt;"&amp;EDATE($A89,1)))</f>
        <v/>
      </c>
      <c r="P89" s="23">
        <f>IF($BM89=0,NA(),SUMIFS(Entries!$E$2:$E$5000,Entries!$D$2:$D$5000,"One-off",Entries!$A$2:$A$5000,"&gt;="&amp;$A89,Entries!$A$2:$A$5000,"&lt;"&amp;EDATE($A89,1)))</f>
        <v/>
      </c>
      <c r="Q89" s="23">
        <f>IF($BM89=0,NA(),SUMIFS(Entries!$E$2:$E$5000,Entries!$D$2:$D$5000,"Reimbursable",Entries!$A$2:$A$5000,"&gt;="&amp;$A89,Entries!$A$2:$A$5000,"&lt;"&amp;EDATE($A89,1)))</f>
        <v/>
      </c>
      <c r="R89" s="23">
        <f>IF($BM89=0,NA(),SUMIFS(Entries!$E$2:$E$5000,Entries!$D$2:$D$5000,"Investment",Entries!$A$2:$A$5000,"&gt;="&amp;$A89,Entries!$A$2:$A$5000,"&lt;"&amp;EDATE($A89,1)))</f>
        <v/>
      </c>
      <c r="S89" s="23">
        <f>IF($BM89=0,NA(),N89+O89)</f>
        <v/>
      </c>
      <c r="T89" s="23">
        <f>IF($BM89=0,"",E89-Q89)</f>
        <v/>
      </c>
      <c r="W89" s="23">
        <f>IF(OR(W$1="",$BM89=0),"",SUMIFS(Entries!$E$2:$E$5000,Entries!$C$2:$C$5000,"Actual",Entries!$A$2:$A$5000,"&gt;="&amp;$A89,Entries!$A$2:$A$5000,"&lt;"&amp;EDATE($A89,1),Entries!$B$2:$B$5000,W$1))</f>
        <v/>
      </c>
      <c r="X89" s="23">
        <f>IF(OR(X$1="",$BM89=0),"",SUMIFS(Entries!$E$2:$E$5000,Entries!$C$2:$C$5000,"Actual",Entries!$A$2:$A$5000,"&gt;="&amp;$A89,Entries!$A$2:$A$5000,"&lt;"&amp;EDATE($A89,1),Entries!$B$2:$B$5000,X$1))</f>
        <v/>
      </c>
      <c r="Y89" s="23">
        <f>IF(OR(Y$1="",$BM89=0),"",SUMIFS(Entries!$E$2:$E$5000,Entries!$C$2:$C$5000,"Actual",Entries!$A$2:$A$5000,"&gt;="&amp;$A89,Entries!$A$2:$A$5000,"&lt;"&amp;EDATE($A89,1),Entries!$B$2:$B$5000,Y$1))</f>
        <v/>
      </c>
      <c r="Z89" s="23">
        <f>IF(OR(Z$1="",$BM89=0),"",SUMIFS(Entries!$E$2:$E$5000,Entries!$C$2:$C$5000,"Actual",Entries!$A$2:$A$5000,"&gt;="&amp;$A89,Entries!$A$2:$A$5000,"&lt;"&amp;EDATE($A89,1),Entries!$B$2:$B$5000,Z$1))</f>
        <v/>
      </c>
      <c r="AA89" s="23">
        <f>IF(OR(AA$1="",$BM89=0),"",SUMIFS(Entries!$E$2:$E$5000,Entries!$C$2:$C$5000,"Actual",Entries!$A$2:$A$5000,"&gt;="&amp;$A89,Entries!$A$2:$A$5000,"&lt;"&amp;EDATE($A89,1),Entries!$B$2:$B$5000,AA$1))</f>
        <v/>
      </c>
      <c r="AB89" s="23">
        <f>IF(OR(AB$1="",$BM89=0),"",SUMIFS(Entries!$E$2:$E$5000,Entries!$C$2:$C$5000,"Actual",Entries!$A$2:$A$5000,"&gt;="&amp;$A89,Entries!$A$2:$A$5000,"&lt;"&amp;EDATE($A89,1),Entries!$B$2:$B$5000,AB$1))</f>
        <v/>
      </c>
      <c r="AC89" s="23">
        <f>IF(OR(AC$1="",$BM89=0),"",SUMIFS(Entries!$E$2:$E$5000,Entries!$C$2:$C$5000,"Actual",Entries!$A$2:$A$5000,"&gt;="&amp;$A89,Entries!$A$2:$A$5000,"&lt;"&amp;EDATE($A89,1),Entries!$B$2:$B$5000,AC$1))</f>
        <v/>
      </c>
      <c r="AD89" s="23">
        <f>IF(OR(AD$1="",$BM89=0),"",SUMIFS(Entries!$E$2:$E$5000,Entries!$C$2:$C$5000,"Actual",Entries!$A$2:$A$5000,"&gt;="&amp;$A89,Entries!$A$2:$A$5000,"&lt;"&amp;EDATE($A89,1),Entries!$B$2:$B$5000,AD$1))</f>
        <v/>
      </c>
      <c r="AE89" s="23">
        <f>IF(OR(AE$1="",$BM89=0),"",SUMIFS(Entries!$E$2:$E$5000,Entries!$C$2:$C$5000,"Actual",Entries!$A$2:$A$5000,"&gt;="&amp;$A89,Entries!$A$2:$A$5000,"&lt;"&amp;EDATE($A89,1),Entries!$B$2:$B$5000,AE$1))</f>
        <v/>
      </c>
      <c r="AF89" s="23">
        <f>IF(OR(AF$1="",$BM89=0),"",SUMIFS(Entries!$E$2:$E$5000,Entries!$C$2:$C$5000,"Actual",Entries!$A$2:$A$5000,"&gt;="&amp;$A89,Entries!$A$2:$A$5000,"&lt;"&amp;EDATE($A89,1),Entries!$B$2:$B$5000,AF$1))</f>
        <v/>
      </c>
      <c r="AG89" s="23">
        <f>IF(OR(AG$1="",$BM89=0),"",SUMIFS(Entries!$E$2:$E$5000,Entries!$C$2:$C$5000,"Actual",Entries!$A$2:$A$5000,"&gt;="&amp;$A89,Entries!$A$2:$A$5000,"&lt;"&amp;EDATE($A89,1),Entries!$B$2:$B$5000,AG$1))</f>
        <v/>
      </c>
      <c r="AH89" s="23">
        <f>IF(OR(AH$1="",$BM89=0),"",SUMIFS(Entries!$E$2:$E$5000,Entries!$C$2:$C$5000,"Actual",Entries!$A$2:$A$5000,"&gt;="&amp;$A89,Entries!$A$2:$A$5000,"&lt;"&amp;EDATE($A89,1),Entries!$B$2:$B$5000,AH$1))</f>
        <v/>
      </c>
      <c r="AI89" s="23">
        <f>IF(OR(AI$1="",$BM89=0),"",SUMIFS(Entries!$E$2:$E$5000,Entries!$C$2:$C$5000,"Actual",Entries!$A$2:$A$5000,"&gt;="&amp;$A89,Entries!$A$2:$A$5000,"&lt;"&amp;EDATE($A89,1),Entries!$B$2:$B$5000,AI$1))</f>
        <v/>
      </c>
      <c r="AJ89" s="23">
        <f>IF(OR(AJ$1="",$BM89=0),"",SUMIFS(Entries!$E$2:$E$5000,Entries!$C$2:$C$5000,"Actual",Entries!$A$2:$A$5000,"&gt;="&amp;$A89,Entries!$A$2:$A$5000,"&lt;"&amp;EDATE($A89,1),Entries!$B$2:$B$5000,AJ$1))</f>
        <v/>
      </c>
      <c r="AK89" s="23">
        <f>IF(OR(AK$1="",$BM89=0),"",SUMIFS(Entries!$E$2:$E$5000,Entries!$C$2:$C$5000,"Actual",Entries!$A$2:$A$5000,"&gt;="&amp;$A89,Entries!$A$2:$A$5000,"&lt;"&amp;EDATE($A89,1),Entries!$B$2:$B$5000,AK$1))</f>
        <v/>
      </c>
      <c r="AL89" s="23">
        <f>IF(OR(AL$1="",$BM89=0),"",SUMIFS(Entries!$E$2:$E$5000,Entries!$C$2:$C$5000,"Actual",Entries!$A$2:$A$5000,"&gt;="&amp;$A89,Entries!$A$2:$A$5000,"&lt;"&amp;EDATE($A89,1),Entries!$B$2:$B$5000,AL$1))</f>
        <v/>
      </c>
      <c r="AM89" s="23">
        <f>IF(OR(AM$1="",$BM89=0),"",SUMIFS(Entries!$E$2:$E$5000,Entries!$C$2:$C$5000,"Actual",Entries!$A$2:$A$5000,"&gt;="&amp;$A89,Entries!$A$2:$A$5000,"&lt;"&amp;EDATE($A89,1),Entries!$B$2:$B$5000,AM$1))</f>
        <v/>
      </c>
      <c r="AN89" s="23">
        <f>IF(OR(AN$1="",$BM89=0),"",SUMIFS(Entries!$E$2:$E$5000,Entries!$C$2:$C$5000,"Actual",Entries!$A$2:$A$5000,"&gt;="&amp;$A89,Entries!$A$2:$A$5000,"&lt;"&amp;EDATE($A89,1),Entries!$B$2:$B$5000,AN$1))</f>
        <v/>
      </c>
      <c r="AO89" s="23">
        <f>IF(OR(AO$1="",$BM89=0),"",SUMIFS(Entries!$E$2:$E$5000,Entries!$C$2:$C$5000,"Actual",Entries!$A$2:$A$5000,"&gt;="&amp;$A89,Entries!$A$2:$A$5000,"&lt;"&amp;EDATE($A89,1),Entries!$B$2:$B$5000,AO$1))</f>
        <v/>
      </c>
      <c r="AP89" s="23">
        <f>IF(OR(AP$1="",$BM89=0),"",SUMIFS(Entries!$E$2:$E$5000,Entries!$C$2:$C$5000,"Actual",Entries!$A$2:$A$5000,"&gt;="&amp;$A89,Entries!$A$2:$A$5000,"&lt;"&amp;EDATE($A89,1),Entries!$B$2:$B$5000,AP$1))</f>
        <v/>
      </c>
      <c r="AR89" s="23">
        <f>IF(OR(AR$1="",$BM89=0),"",IFERROR(LOOKUP(2,1/((Budgets!$A$2:$A$200=AR$1)*(Budgets!$B$2:$B$200&lt;EDATE($A89,1))),Budgets!$C$2:$C$200),0))</f>
        <v/>
      </c>
      <c r="AS89" s="23">
        <f>IF(OR(AS$1="",$BM89=0),"",IFERROR(LOOKUP(2,1/((Budgets!$A$2:$A$200=AS$1)*(Budgets!$B$2:$B$200&lt;EDATE($A89,1))),Budgets!$C$2:$C$200),0))</f>
        <v/>
      </c>
      <c r="AT89" s="23">
        <f>IF(OR(AT$1="",$BM89=0),"",IFERROR(LOOKUP(2,1/((Budgets!$A$2:$A$200=AT$1)*(Budgets!$B$2:$B$200&lt;EDATE($A89,1))),Budgets!$C$2:$C$200),0))</f>
        <v/>
      </c>
      <c r="AU89" s="23">
        <f>IF(OR(AU$1="",$BM89=0),"",IFERROR(LOOKUP(2,1/((Budgets!$A$2:$A$200=AU$1)*(Budgets!$B$2:$B$200&lt;EDATE($A89,1))),Budgets!$C$2:$C$200),0))</f>
        <v/>
      </c>
      <c r="AV89" s="23">
        <f>IF(OR(AV$1="",$BM89=0),"",IFERROR(LOOKUP(2,1/((Budgets!$A$2:$A$200=AV$1)*(Budgets!$B$2:$B$200&lt;EDATE($A89,1))),Budgets!$C$2:$C$200),0))</f>
        <v/>
      </c>
      <c r="AW89" s="23">
        <f>IF(OR(AW$1="",$BM89=0),"",IFERROR(LOOKUP(2,1/((Budgets!$A$2:$A$200=AW$1)*(Budgets!$B$2:$B$200&lt;EDATE($A89,1))),Budgets!$C$2:$C$200),0))</f>
        <v/>
      </c>
      <c r="AX89" s="23">
        <f>IF(OR(AX$1="",$BM89=0),"",IFERROR(LOOKUP(2,1/((Budgets!$A$2:$A$200=AX$1)*(Budgets!$B$2:$B$200&lt;EDATE($A89,1))),Budgets!$C$2:$C$200),0))</f>
        <v/>
      </c>
      <c r="AY89" s="23">
        <f>IF(OR(AY$1="",$BM89=0),"",IFERROR(LOOKUP(2,1/((Budgets!$A$2:$A$200=AY$1)*(Budgets!$B$2:$B$200&lt;EDATE($A89,1))),Budgets!$C$2:$C$200),0))</f>
        <v/>
      </c>
      <c r="AZ89" s="23">
        <f>IF(OR(AZ$1="",$BM89=0),"",IFERROR(LOOKUP(2,1/((Budgets!$A$2:$A$200=AZ$1)*(Budgets!$B$2:$B$200&lt;EDATE($A89,1))),Budgets!$C$2:$C$200),0))</f>
        <v/>
      </c>
      <c r="BA89" s="23">
        <f>IF(OR(BA$1="",$BM89=0),"",IFERROR(LOOKUP(2,1/((Budgets!$A$2:$A$200=BA$1)*(Budgets!$B$2:$B$200&lt;EDATE($A89,1))),Budgets!$C$2:$C$200),0))</f>
        <v/>
      </c>
      <c r="BB89" s="23">
        <f>IF(OR(BB$1="",$BM89=0),"",IFERROR(LOOKUP(2,1/((Budgets!$A$2:$A$200=BB$1)*(Budgets!$B$2:$B$200&lt;EDATE($A89,1))),Budgets!$C$2:$C$200),0))</f>
        <v/>
      </c>
      <c r="BC89" s="23">
        <f>IF(OR(BC$1="",$BM89=0),"",IFERROR(LOOKUP(2,1/((Budgets!$A$2:$A$200=BC$1)*(Budgets!$B$2:$B$200&lt;EDATE($A89,1))),Budgets!$C$2:$C$200),0))</f>
        <v/>
      </c>
      <c r="BD89" s="23">
        <f>IF(OR(BD$1="",$BM89=0),"",IFERROR(LOOKUP(2,1/((Budgets!$A$2:$A$200=BD$1)*(Budgets!$B$2:$B$200&lt;EDATE($A89,1))),Budgets!$C$2:$C$200),0))</f>
        <v/>
      </c>
      <c r="BE89" s="23">
        <f>IF(OR(BE$1="",$BM89=0),"",IFERROR(LOOKUP(2,1/((Budgets!$A$2:$A$200=BE$1)*(Budgets!$B$2:$B$200&lt;EDATE($A89,1))),Budgets!$C$2:$C$200),0))</f>
        <v/>
      </c>
      <c r="BF89" s="23">
        <f>IF(OR(BF$1="",$BM89=0),"",IFERROR(LOOKUP(2,1/((Budgets!$A$2:$A$200=BF$1)*(Budgets!$B$2:$B$200&lt;EDATE($A89,1))),Budgets!$C$2:$C$200),0))</f>
        <v/>
      </c>
      <c r="BG89" s="23">
        <f>IF(OR(BG$1="",$BM89=0),"",IFERROR(LOOKUP(2,1/((Budgets!$A$2:$A$200=BG$1)*(Budgets!$B$2:$B$200&lt;EDATE($A89,1))),Budgets!$C$2:$C$200),0))</f>
        <v/>
      </c>
      <c r="BH89" s="23">
        <f>IF(OR(BH$1="",$BM89=0),"",IFERROR(LOOKUP(2,1/((Budgets!$A$2:$A$200=BH$1)*(Budgets!$B$2:$B$200&lt;EDATE($A89,1))),Budgets!$C$2:$C$200),0))</f>
        <v/>
      </c>
      <c r="BI89" s="23">
        <f>IF(OR(BI$1="",$BM89=0),"",IFERROR(LOOKUP(2,1/((Budgets!$A$2:$A$200=BI$1)*(Budgets!$B$2:$B$200&lt;EDATE($A89,1))),Budgets!$C$2:$C$200),0))</f>
        <v/>
      </c>
      <c r="BJ89" s="23">
        <f>IF(OR(BJ$1="",$BM89=0),"",IFERROR(LOOKUP(2,1/((Budgets!$A$2:$A$200=BJ$1)*(Budgets!$B$2:$B$200&lt;EDATE($A89,1))),Budgets!$C$2:$C$200),0))</f>
        <v/>
      </c>
      <c r="BK89" s="23">
        <f>IF(OR(BK$1="",$BM89=0),"",IFERROR(LOOKUP(2,1/((Budgets!$A$2:$A$200=BK$1)*(Budgets!$B$2:$B$200&lt;EDATE($A89,1))),Budgets!$C$2:$C$200),0))</f>
        <v/>
      </c>
      <c r="BM89" s="21">
        <f>COUNTIFS(Entries!$A$2:$A$5000,"&gt;="&amp;$A89,Entries!$A$2:$A$5000,"&lt;"&amp;EDATE($A89,1))</f>
        <v/>
      </c>
    </row>
    <row r="90">
      <c r="A90" s="22" t="n">
        <v>42125</v>
      </c>
      <c r="B90" s="23">
        <f>IF($BM90=0,NA(),SUMIFS(Entries!$E$2:$E$5000,Entries!$C$2:$C$5000,"Income",Entries!$A$2:$A$5000,"&gt;="&amp;$A90,Entries!$A$2:$A$5000,"&lt;"&amp;EDATE($A90,1)))</f>
        <v/>
      </c>
      <c r="C90" s="23">
        <f>IF($BM90=0,"",SUMIFS(Entries!$E$2:$E$5000,Entries!$C$2:$C$5000,"Actual",Entries!$A$2:$A$5000,"&gt;="&amp;$A90,Entries!$A$2:$A$5000,"&lt;"&amp;EDATE($A90,1)))</f>
        <v/>
      </c>
      <c r="D90" s="23">
        <f>IF($BM90=0,"",SUMIFS(Entries!$E$2:$E$5000,Entries!$C$2:$C$5000,"One-off",Entries!$A$2:$A$5000,"&gt;="&amp;$A90,Entries!$A$2:$A$5000,"&lt;"&amp;EDATE($A90,1)))</f>
        <v/>
      </c>
      <c r="E90" s="23">
        <f>IF($BM90=0,NA(),C90+D90)</f>
        <v/>
      </c>
      <c r="F90" s="23">
        <f>IF($BM90=0,"",SUM(AR90:BK90))</f>
        <v/>
      </c>
      <c r="G90" s="23">
        <f>IF($BM90=0,"",B90-E90)</f>
        <v/>
      </c>
      <c r="H90" s="23">
        <f>IF($BM90=0,"",SUM($G$2:G90))</f>
        <v/>
      </c>
      <c r="I90" s="23">
        <f>IF($BM90=0,"",SUMIFS(Entries!$G$2:$G$5000,Entries!$A$2:$A$5000,"&gt;="&amp;$A90,Entries!$A$2:$A$5000,"&lt;"&amp;EDATE($A90,1)))</f>
        <v/>
      </c>
      <c r="J90" s="23">
        <f>IF($BM90=0,NA(),H90)</f>
        <v/>
      </c>
      <c r="K90" s="23">
        <f>IF($BM90=0,"",SUMIFS(Entries!$E$2:$E$5000,Entries!$C$2:$C$5000,"Income",Entries!$A$2:$A$5000,"&gt;="&amp;EDATE($A90,-11),Entries!$A$2:$A$5000,"&lt;"&amp;EDATE($A90,1))/COUNTIFS($A$2:$A$400,"&gt;="&amp;EDATE($A90,-11),$A$2:$A$400,"&lt;"&amp;EDATE($A90,1),$BM$2:$BM$400,"&gt;0"))</f>
      </c>
      <c r="L90" s="23">
        <f>IF($BM90=0,"",(SUMIFS(Entries!$E$2:$E$5000,Entries!$C$2:$C$5000,"Actual",Entries!$A$2:$A$5000,"&gt;="&amp;EDATE($A90,-11),Entries!$A$2:$A$5000,"&lt;"&amp;EDATE($A90,1))+SUMIFS(Entries!$E$2:$E$5000,Entries!$C$2:$C$5000,"One-off",Entries!$A$2:$A$5000,"&gt;="&amp;EDATE($A90,-11),Entries!$A$2:$A$5000,"&lt;"&amp;EDATE($A90,1)))/COUNTIFS($A$2:$A$400,"&gt;="&amp;EDATE($A90,-11),$A$2:$A$400,"&lt;"&amp;EDATE($A90,1),$BM$2:$BM$400,"&gt;0"))</f>
      </c>
      <c r="M90" s="24">
        <f>IF($BM90=0,NA(),IFERROR((K90-L90)/K90,0))</f>
        <v/>
      </c>
      <c r="N90" s="23">
        <f>IF($BM90=0,NA(),SUMIFS(Entries!$E$2:$E$5000,Entries!$D$2:$D$5000,"Core",Entries!$A$2:$A$5000,"&gt;="&amp;$A90,Entries!$A$2:$A$5000,"&lt;"&amp;EDATE($A90,1)))</f>
        <v/>
      </c>
      <c r="O90" s="23">
        <f>IF($BM90=0,NA(),SUMIFS(Entries!$E$2:$E$5000,Entries!$D$2:$D$5000,"Over &amp; above",Entries!$A$2:$A$5000,"&gt;="&amp;$A90,Entries!$A$2:$A$5000,"&lt;"&amp;EDATE($A90,1)))</f>
        <v/>
      </c>
      <c r="P90" s="23">
        <f>IF($BM90=0,NA(),SUMIFS(Entries!$E$2:$E$5000,Entries!$D$2:$D$5000,"One-off",Entries!$A$2:$A$5000,"&gt;="&amp;$A90,Entries!$A$2:$A$5000,"&lt;"&amp;EDATE($A90,1)))</f>
        <v/>
      </c>
      <c r="Q90" s="23">
        <f>IF($BM90=0,NA(),SUMIFS(Entries!$E$2:$E$5000,Entries!$D$2:$D$5000,"Reimbursable",Entries!$A$2:$A$5000,"&gt;="&amp;$A90,Entries!$A$2:$A$5000,"&lt;"&amp;EDATE($A90,1)))</f>
        <v/>
      </c>
      <c r="R90" s="23">
        <f>IF($BM90=0,NA(),SUMIFS(Entries!$E$2:$E$5000,Entries!$D$2:$D$5000,"Investment",Entries!$A$2:$A$5000,"&gt;="&amp;$A90,Entries!$A$2:$A$5000,"&lt;"&amp;EDATE($A90,1)))</f>
        <v/>
      </c>
      <c r="S90" s="23">
        <f>IF($BM90=0,NA(),N90+O90)</f>
        <v/>
      </c>
      <c r="T90" s="23">
        <f>IF($BM90=0,"",E90-Q90)</f>
        <v/>
      </c>
      <c r="W90" s="23">
        <f>IF(OR(W$1="",$BM90=0),"",SUMIFS(Entries!$E$2:$E$5000,Entries!$C$2:$C$5000,"Actual",Entries!$A$2:$A$5000,"&gt;="&amp;$A90,Entries!$A$2:$A$5000,"&lt;"&amp;EDATE($A90,1),Entries!$B$2:$B$5000,W$1))</f>
        <v/>
      </c>
      <c r="X90" s="23">
        <f>IF(OR(X$1="",$BM90=0),"",SUMIFS(Entries!$E$2:$E$5000,Entries!$C$2:$C$5000,"Actual",Entries!$A$2:$A$5000,"&gt;="&amp;$A90,Entries!$A$2:$A$5000,"&lt;"&amp;EDATE($A90,1),Entries!$B$2:$B$5000,X$1))</f>
        <v/>
      </c>
      <c r="Y90" s="23">
        <f>IF(OR(Y$1="",$BM90=0),"",SUMIFS(Entries!$E$2:$E$5000,Entries!$C$2:$C$5000,"Actual",Entries!$A$2:$A$5000,"&gt;="&amp;$A90,Entries!$A$2:$A$5000,"&lt;"&amp;EDATE($A90,1),Entries!$B$2:$B$5000,Y$1))</f>
        <v/>
      </c>
      <c r="Z90" s="23">
        <f>IF(OR(Z$1="",$BM90=0),"",SUMIFS(Entries!$E$2:$E$5000,Entries!$C$2:$C$5000,"Actual",Entries!$A$2:$A$5000,"&gt;="&amp;$A90,Entries!$A$2:$A$5000,"&lt;"&amp;EDATE($A90,1),Entries!$B$2:$B$5000,Z$1))</f>
        <v/>
      </c>
      <c r="AA90" s="23">
        <f>IF(OR(AA$1="",$BM90=0),"",SUMIFS(Entries!$E$2:$E$5000,Entries!$C$2:$C$5000,"Actual",Entries!$A$2:$A$5000,"&gt;="&amp;$A90,Entries!$A$2:$A$5000,"&lt;"&amp;EDATE($A90,1),Entries!$B$2:$B$5000,AA$1))</f>
        <v/>
      </c>
      <c r="AB90" s="23">
        <f>IF(OR(AB$1="",$BM90=0),"",SUMIFS(Entries!$E$2:$E$5000,Entries!$C$2:$C$5000,"Actual",Entries!$A$2:$A$5000,"&gt;="&amp;$A90,Entries!$A$2:$A$5000,"&lt;"&amp;EDATE($A90,1),Entries!$B$2:$B$5000,AB$1))</f>
        <v/>
      </c>
      <c r="AC90" s="23">
        <f>IF(OR(AC$1="",$BM90=0),"",SUMIFS(Entries!$E$2:$E$5000,Entries!$C$2:$C$5000,"Actual",Entries!$A$2:$A$5000,"&gt;="&amp;$A90,Entries!$A$2:$A$5000,"&lt;"&amp;EDATE($A90,1),Entries!$B$2:$B$5000,AC$1))</f>
        <v/>
      </c>
      <c r="AD90" s="23">
        <f>IF(OR(AD$1="",$BM90=0),"",SUMIFS(Entries!$E$2:$E$5000,Entries!$C$2:$C$5000,"Actual",Entries!$A$2:$A$5000,"&gt;="&amp;$A90,Entries!$A$2:$A$5000,"&lt;"&amp;EDATE($A90,1),Entries!$B$2:$B$5000,AD$1))</f>
        <v/>
      </c>
      <c r="AE90" s="23">
        <f>IF(OR(AE$1="",$BM90=0),"",SUMIFS(Entries!$E$2:$E$5000,Entries!$C$2:$C$5000,"Actual",Entries!$A$2:$A$5000,"&gt;="&amp;$A90,Entries!$A$2:$A$5000,"&lt;"&amp;EDATE($A90,1),Entries!$B$2:$B$5000,AE$1))</f>
        <v/>
      </c>
      <c r="AF90" s="23">
        <f>IF(OR(AF$1="",$BM90=0),"",SUMIFS(Entries!$E$2:$E$5000,Entries!$C$2:$C$5000,"Actual",Entries!$A$2:$A$5000,"&gt;="&amp;$A90,Entries!$A$2:$A$5000,"&lt;"&amp;EDATE($A90,1),Entries!$B$2:$B$5000,AF$1))</f>
        <v/>
      </c>
      <c r="AG90" s="23">
        <f>IF(OR(AG$1="",$BM90=0),"",SUMIFS(Entries!$E$2:$E$5000,Entries!$C$2:$C$5000,"Actual",Entries!$A$2:$A$5000,"&gt;="&amp;$A90,Entries!$A$2:$A$5000,"&lt;"&amp;EDATE($A90,1),Entries!$B$2:$B$5000,AG$1))</f>
        <v/>
      </c>
      <c r="AH90" s="23">
        <f>IF(OR(AH$1="",$BM90=0),"",SUMIFS(Entries!$E$2:$E$5000,Entries!$C$2:$C$5000,"Actual",Entries!$A$2:$A$5000,"&gt;="&amp;$A90,Entries!$A$2:$A$5000,"&lt;"&amp;EDATE($A90,1),Entries!$B$2:$B$5000,AH$1))</f>
        <v/>
      </c>
      <c r="AI90" s="23">
        <f>IF(OR(AI$1="",$BM90=0),"",SUMIFS(Entries!$E$2:$E$5000,Entries!$C$2:$C$5000,"Actual",Entries!$A$2:$A$5000,"&gt;="&amp;$A90,Entries!$A$2:$A$5000,"&lt;"&amp;EDATE($A90,1),Entries!$B$2:$B$5000,AI$1))</f>
        <v/>
      </c>
      <c r="AJ90" s="23">
        <f>IF(OR(AJ$1="",$BM90=0),"",SUMIFS(Entries!$E$2:$E$5000,Entries!$C$2:$C$5000,"Actual",Entries!$A$2:$A$5000,"&gt;="&amp;$A90,Entries!$A$2:$A$5000,"&lt;"&amp;EDATE($A90,1),Entries!$B$2:$B$5000,AJ$1))</f>
        <v/>
      </c>
      <c r="AK90" s="23">
        <f>IF(OR(AK$1="",$BM90=0),"",SUMIFS(Entries!$E$2:$E$5000,Entries!$C$2:$C$5000,"Actual",Entries!$A$2:$A$5000,"&gt;="&amp;$A90,Entries!$A$2:$A$5000,"&lt;"&amp;EDATE($A90,1),Entries!$B$2:$B$5000,AK$1))</f>
        <v/>
      </c>
      <c r="AL90" s="23">
        <f>IF(OR(AL$1="",$BM90=0),"",SUMIFS(Entries!$E$2:$E$5000,Entries!$C$2:$C$5000,"Actual",Entries!$A$2:$A$5000,"&gt;="&amp;$A90,Entries!$A$2:$A$5000,"&lt;"&amp;EDATE($A90,1),Entries!$B$2:$B$5000,AL$1))</f>
        <v/>
      </c>
      <c r="AM90" s="23">
        <f>IF(OR(AM$1="",$BM90=0),"",SUMIFS(Entries!$E$2:$E$5000,Entries!$C$2:$C$5000,"Actual",Entries!$A$2:$A$5000,"&gt;="&amp;$A90,Entries!$A$2:$A$5000,"&lt;"&amp;EDATE($A90,1),Entries!$B$2:$B$5000,AM$1))</f>
        <v/>
      </c>
      <c r="AN90" s="23">
        <f>IF(OR(AN$1="",$BM90=0),"",SUMIFS(Entries!$E$2:$E$5000,Entries!$C$2:$C$5000,"Actual",Entries!$A$2:$A$5000,"&gt;="&amp;$A90,Entries!$A$2:$A$5000,"&lt;"&amp;EDATE($A90,1),Entries!$B$2:$B$5000,AN$1))</f>
        <v/>
      </c>
      <c r="AO90" s="23">
        <f>IF(OR(AO$1="",$BM90=0),"",SUMIFS(Entries!$E$2:$E$5000,Entries!$C$2:$C$5000,"Actual",Entries!$A$2:$A$5000,"&gt;="&amp;$A90,Entries!$A$2:$A$5000,"&lt;"&amp;EDATE($A90,1),Entries!$B$2:$B$5000,AO$1))</f>
        <v/>
      </c>
      <c r="AP90" s="23">
        <f>IF(OR(AP$1="",$BM90=0),"",SUMIFS(Entries!$E$2:$E$5000,Entries!$C$2:$C$5000,"Actual",Entries!$A$2:$A$5000,"&gt;="&amp;$A90,Entries!$A$2:$A$5000,"&lt;"&amp;EDATE($A90,1),Entries!$B$2:$B$5000,AP$1))</f>
        <v/>
      </c>
      <c r="AR90" s="23">
        <f>IF(OR(AR$1="",$BM90=0),"",IFERROR(LOOKUP(2,1/((Budgets!$A$2:$A$200=AR$1)*(Budgets!$B$2:$B$200&lt;EDATE($A90,1))),Budgets!$C$2:$C$200),0))</f>
        <v/>
      </c>
      <c r="AS90" s="23">
        <f>IF(OR(AS$1="",$BM90=0),"",IFERROR(LOOKUP(2,1/((Budgets!$A$2:$A$200=AS$1)*(Budgets!$B$2:$B$200&lt;EDATE($A90,1))),Budgets!$C$2:$C$200),0))</f>
        <v/>
      </c>
      <c r="AT90" s="23">
        <f>IF(OR(AT$1="",$BM90=0),"",IFERROR(LOOKUP(2,1/((Budgets!$A$2:$A$200=AT$1)*(Budgets!$B$2:$B$200&lt;EDATE($A90,1))),Budgets!$C$2:$C$200),0))</f>
        <v/>
      </c>
      <c r="AU90" s="23">
        <f>IF(OR(AU$1="",$BM90=0),"",IFERROR(LOOKUP(2,1/((Budgets!$A$2:$A$200=AU$1)*(Budgets!$B$2:$B$200&lt;EDATE($A90,1))),Budgets!$C$2:$C$200),0))</f>
        <v/>
      </c>
      <c r="AV90" s="23">
        <f>IF(OR(AV$1="",$BM90=0),"",IFERROR(LOOKUP(2,1/((Budgets!$A$2:$A$200=AV$1)*(Budgets!$B$2:$B$200&lt;EDATE($A90,1))),Budgets!$C$2:$C$200),0))</f>
        <v/>
      </c>
      <c r="AW90" s="23">
        <f>IF(OR(AW$1="",$BM90=0),"",IFERROR(LOOKUP(2,1/((Budgets!$A$2:$A$200=AW$1)*(Budgets!$B$2:$B$200&lt;EDATE($A90,1))),Budgets!$C$2:$C$200),0))</f>
        <v/>
      </c>
      <c r="AX90" s="23">
        <f>IF(OR(AX$1="",$BM90=0),"",IFERROR(LOOKUP(2,1/((Budgets!$A$2:$A$200=AX$1)*(Budgets!$B$2:$B$200&lt;EDATE($A90,1))),Budgets!$C$2:$C$200),0))</f>
        <v/>
      </c>
      <c r="AY90" s="23">
        <f>IF(OR(AY$1="",$BM90=0),"",IFERROR(LOOKUP(2,1/((Budgets!$A$2:$A$200=AY$1)*(Budgets!$B$2:$B$200&lt;EDATE($A90,1))),Budgets!$C$2:$C$200),0))</f>
        <v/>
      </c>
      <c r="AZ90" s="23">
        <f>IF(OR(AZ$1="",$BM90=0),"",IFERROR(LOOKUP(2,1/((Budgets!$A$2:$A$200=AZ$1)*(Budgets!$B$2:$B$200&lt;EDATE($A90,1))),Budgets!$C$2:$C$200),0))</f>
        <v/>
      </c>
      <c r="BA90" s="23">
        <f>IF(OR(BA$1="",$BM90=0),"",IFERROR(LOOKUP(2,1/((Budgets!$A$2:$A$200=BA$1)*(Budgets!$B$2:$B$200&lt;EDATE($A90,1))),Budgets!$C$2:$C$200),0))</f>
        <v/>
      </c>
      <c r="BB90" s="23">
        <f>IF(OR(BB$1="",$BM90=0),"",IFERROR(LOOKUP(2,1/((Budgets!$A$2:$A$200=BB$1)*(Budgets!$B$2:$B$200&lt;EDATE($A90,1))),Budgets!$C$2:$C$200),0))</f>
        <v/>
      </c>
      <c r="BC90" s="23">
        <f>IF(OR(BC$1="",$BM90=0),"",IFERROR(LOOKUP(2,1/((Budgets!$A$2:$A$200=BC$1)*(Budgets!$B$2:$B$200&lt;EDATE($A90,1))),Budgets!$C$2:$C$200),0))</f>
        <v/>
      </c>
      <c r="BD90" s="23">
        <f>IF(OR(BD$1="",$BM90=0),"",IFERROR(LOOKUP(2,1/((Budgets!$A$2:$A$200=BD$1)*(Budgets!$B$2:$B$200&lt;EDATE($A90,1))),Budgets!$C$2:$C$200),0))</f>
        <v/>
      </c>
      <c r="BE90" s="23">
        <f>IF(OR(BE$1="",$BM90=0),"",IFERROR(LOOKUP(2,1/((Budgets!$A$2:$A$200=BE$1)*(Budgets!$B$2:$B$200&lt;EDATE($A90,1))),Budgets!$C$2:$C$200),0))</f>
        <v/>
      </c>
      <c r="BF90" s="23">
        <f>IF(OR(BF$1="",$BM90=0),"",IFERROR(LOOKUP(2,1/((Budgets!$A$2:$A$200=BF$1)*(Budgets!$B$2:$B$200&lt;EDATE($A90,1))),Budgets!$C$2:$C$200),0))</f>
        <v/>
      </c>
      <c r="BG90" s="23">
        <f>IF(OR(BG$1="",$BM90=0),"",IFERROR(LOOKUP(2,1/((Budgets!$A$2:$A$200=BG$1)*(Budgets!$B$2:$B$200&lt;EDATE($A90,1))),Budgets!$C$2:$C$200),0))</f>
        <v/>
      </c>
      <c r="BH90" s="23">
        <f>IF(OR(BH$1="",$BM90=0),"",IFERROR(LOOKUP(2,1/((Budgets!$A$2:$A$200=BH$1)*(Budgets!$B$2:$B$200&lt;EDATE($A90,1))),Budgets!$C$2:$C$200),0))</f>
        <v/>
      </c>
      <c r="BI90" s="23">
        <f>IF(OR(BI$1="",$BM90=0),"",IFERROR(LOOKUP(2,1/((Budgets!$A$2:$A$200=BI$1)*(Budgets!$B$2:$B$200&lt;EDATE($A90,1))),Budgets!$C$2:$C$200),0))</f>
        <v/>
      </c>
      <c r="BJ90" s="23">
        <f>IF(OR(BJ$1="",$BM90=0),"",IFERROR(LOOKUP(2,1/((Budgets!$A$2:$A$200=BJ$1)*(Budgets!$B$2:$B$200&lt;EDATE($A90,1))),Budgets!$C$2:$C$200),0))</f>
        <v/>
      </c>
      <c r="BK90" s="23">
        <f>IF(OR(BK$1="",$BM90=0),"",IFERROR(LOOKUP(2,1/((Budgets!$A$2:$A$200=BK$1)*(Budgets!$B$2:$B$200&lt;EDATE($A90,1))),Budgets!$C$2:$C$200),0))</f>
        <v/>
      </c>
      <c r="BM90" s="21">
        <f>COUNTIFS(Entries!$A$2:$A$5000,"&gt;="&amp;$A90,Entries!$A$2:$A$5000,"&lt;"&amp;EDATE($A90,1))</f>
        <v/>
      </c>
    </row>
    <row r="91">
      <c r="A91" s="22" t="n">
        <v>42156</v>
      </c>
      <c r="B91" s="23">
        <f>IF($BM91=0,NA(),SUMIFS(Entries!$E$2:$E$5000,Entries!$C$2:$C$5000,"Income",Entries!$A$2:$A$5000,"&gt;="&amp;$A91,Entries!$A$2:$A$5000,"&lt;"&amp;EDATE($A91,1)))</f>
        <v/>
      </c>
      <c r="C91" s="23">
        <f>IF($BM91=0,"",SUMIFS(Entries!$E$2:$E$5000,Entries!$C$2:$C$5000,"Actual",Entries!$A$2:$A$5000,"&gt;="&amp;$A91,Entries!$A$2:$A$5000,"&lt;"&amp;EDATE($A91,1)))</f>
        <v/>
      </c>
      <c r="D91" s="23">
        <f>IF($BM91=0,"",SUMIFS(Entries!$E$2:$E$5000,Entries!$C$2:$C$5000,"One-off",Entries!$A$2:$A$5000,"&gt;="&amp;$A91,Entries!$A$2:$A$5000,"&lt;"&amp;EDATE($A91,1)))</f>
        <v/>
      </c>
      <c r="E91" s="23">
        <f>IF($BM91=0,NA(),C91+D91)</f>
        <v/>
      </c>
      <c r="F91" s="23">
        <f>IF($BM91=0,"",SUM(AR91:BK91))</f>
        <v/>
      </c>
      <c r="G91" s="23">
        <f>IF($BM91=0,"",B91-E91)</f>
        <v/>
      </c>
      <c r="H91" s="23">
        <f>IF($BM91=0,"",SUM($G$2:G91))</f>
        <v/>
      </c>
      <c r="I91" s="23">
        <f>IF($BM91=0,"",SUMIFS(Entries!$G$2:$G$5000,Entries!$A$2:$A$5000,"&gt;="&amp;$A91,Entries!$A$2:$A$5000,"&lt;"&amp;EDATE($A91,1)))</f>
        <v/>
      </c>
      <c r="J91" s="23">
        <f>IF($BM91=0,NA(),H91)</f>
        <v/>
      </c>
      <c r="K91" s="23">
        <f>IF($BM91=0,"",SUMIFS(Entries!$E$2:$E$5000,Entries!$C$2:$C$5000,"Income",Entries!$A$2:$A$5000,"&gt;="&amp;EDATE($A91,-11),Entries!$A$2:$A$5000,"&lt;"&amp;EDATE($A91,1))/COUNTIFS($A$2:$A$400,"&gt;="&amp;EDATE($A91,-11),$A$2:$A$400,"&lt;"&amp;EDATE($A91,1),$BM$2:$BM$400,"&gt;0"))</f>
      </c>
      <c r="L91" s="23">
        <f>IF($BM91=0,"",(SUMIFS(Entries!$E$2:$E$5000,Entries!$C$2:$C$5000,"Actual",Entries!$A$2:$A$5000,"&gt;="&amp;EDATE($A91,-11),Entries!$A$2:$A$5000,"&lt;"&amp;EDATE($A91,1))+SUMIFS(Entries!$E$2:$E$5000,Entries!$C$2:$C$5000,"One-off",Entries!$A$2:$A$5000,"&gt;="&amp;EDATE($A91,-11),Entries!$A$2:$A$5000,"&lt;"&amp;EDATE($A91,1)))/COUNTIFS($A$2:$A$400,"&gt;="&amp;EDATE($A91,-11),$A$2:$A$400,"&lt;"&amp;EDATE($A91,1),$BM$2:$BM$400,"&gt;0"))</f>
      </c>
      <c r="M91" s="24">
        <f>IF($BM91=0,NA(),IFERROR((K91-L91)/K91,0))</f>
        <v/>
      </c>
      <c r="N91" s="23">
        <f>IF($BM91=0,NA(),SUMIFS(Entries!$E$2:$E$5000,Entries!$D$2:$D$5000,"Core",Entries!$A$2:$A$5000,"&gt;="&amp;$A91,Entries!$A$2:$A$5000,"&lt;"&amp;EDATE($A91,1)))</f>
        <v/>
      </c>
      <c r="O91" s="23">
        <f>IF($BM91=0,NA(),SUMIFS(Entries!$E$2:$E$5000,Entries!$D$2:$D$5000,"Over &amp; above",Entries!$A$2:$A$5000,"&gt;="&amp;$A91,Entries!$A$2:$A$5000,"&lt;"&amp;EDATE($A91,1)))</f>
        <v/>
      </c>
      <c r="P91" s="23">
        <f>IF($BM91=0,NA(),SUMIFS(Entries!$E$2:$E$5000,Entries!$D$2:$D$5000,"One-off",Entries!$A$2:$A$5000,"&gt;="&amp;$A91,Entries!$A$2:$A$5000,"&lt;"&amp;EDATE($A91,1)))</f>
        <v/>
      </c>
      <c r="Q91" s="23">
        <f>IF($BM91=0,NA(),SUMIFS(Entries!$E$2:$E$5000,Entries!$D$2:$D$5000,"Reimbursable",Entries!$A$2:$A$5000,"&gt;="&amp;$A91,Entries!$A$2:$A$5000,"&lt;"&amp;EDATE($A91,1)))</f>
        <v/>
      </c>
      <c r="R91" s="23">
        <f>IF($BM91=0,NA(),SUMIFS(Entries!$E$2:$E$5000,Entries!$D$2:$D$5000,"Investment",Entries!$A$2:$A$5000,"&gt;="&amp;$A91,Entries!$A$2:$A$5000,"&lt;"&amp;EDATE($A91,1)))</f>
        <v/>
      </c>
      <c r="S91" s="23">
        <f>IF($BM91=0,NA(),N91+O91)</f>
        <v/>
      </c>
      <c r="T91" s="23">
        <f>IF($BM91=0,"",E91-Q91)</f>
        <v/>
      </c>
      <c r="W91" s="23">
        <f>IF(OR(W$1="",$BM91=0),"",SUMIFS(Entries!$E$2:$E$5000,Entries!$C$2:$C$5000,"Actual",Entries!$A$2:$A$5000,"&gt;="&amp;$A91,Entries!$A$2:$A$5000,"&lt;"&amp;EDATE($A91,1),Entries!$B$2:$B$5000,W$1))</f>
        <v/>
      </c>
      <c r="X91" s="23">
        <f>IF(OR(X$1="",$BM91=0),"",SUMIFS(Entries!$E$2:$E$5000,Entries!$C$2:$C$5000,"Actual",Entries!$A$2:$A$5000,"&gt;="&amp;$A91,Entries!$A$2:$A$5000,"&lt;"&amp;EDATE($A91,1),Entries!$B$2:$B$5000,X$1))</f>
        <v/>
      </c>
      <c r="Y91" s="23">
        <f>IF(OR(Y$1="",$BM91=0),"",SUMIFS(Entries!$E$2:$E$5000,Entries!$C$2:$C$5000,"Actual",Entries!$A$2:$A$5000,"&gt;="&amp;$A91,Entries!$A$2:$A$5000,"&lt;"&amp;EDATE($A91,1),Entries!$B$2:$B$5000,Y$1))</f>
        <v/>
      </c>
      <c r="Z91" s="23">
        <f>IF(OR(Z$1="",$BM91=0),"",SUMIFS(Entries!$E$2:$E$5000,Entries!$C$2:$C$5000,"Actual",Entries!$A$2:$A$5000,"&gt;="&amp;$A91,Entries!$A$2:$A$5000,"&lt;"&amp;EDATE($A91,1),Entries!$B$2:$B$5000,Z$1))</f>
        <v/>
      </c>
      <c r="AA91" s="23">
        <f>IF(OR(AA$1="",$BM91=0),"",SUMIFS(Entries!$E$2:$E$5000,Entries!$C$2:$C$5000,"Actual",Entries!$A$2:$A$5000,"&gt;="&amp;$A91,Entries!$A$2:$A$5000,"&lt;"&amp;EDATE($A91,1),Entries!$B$2:$B$5000,AA$1))</f>
        <v/>
      </c>
      <c r="AB91" s="23">
        <f>IF(OR(AB$1="",$BM91=0),"",SUMIFS(Entries!$E$2:$E$5000,Entries!$C$2:$C$5000,"Actual",Entries!$A$2:$A$5000,"&gt;="&amp;$A91,Entries!$A$2:$A$5000,"&lt;"&amp;EDATE($A91,1),Entries!$B$2:$B$5000,AB$1))</f>
        <v/>
      </c>
      <c r="AC91" s="23">
        <f>IF(OR(AC$1="",$BM91=0),"",SUMIFS(Entries!$E$2:$E$5000,Entries!$C$2:$C$5000,"Actual",Entries!$A$2:$A$5000,"&gt;="&amp;$A91,Entries!$A$2:$A$5000,"&lt;"&amp;EDATE($A91,1),Entries!$B$2:$B$5000,AC$1))</f>
        <v/>
      </c>
      <c r="AD91" s="23">
        <f>IF(OR(AD$1="",$BM91=0),"",SUMIFS(Entries!$E$2:$E$5000,Entries!$C$2:$C$5000,"Actual",Entries!$A$2:$A$5000,"&gt;="&amp;$A91,Entries!$A$2:$A$5000,"&lt;"&amp;EDATE($A91,1),Entries!$B$2:$B$5000,AD$1))</f>
        <v/>
      </c>
      <c r="AE91" s="23">
        <f>IF(OR(AE$1="",$BM91=0),"",SUMIFS(Entries!$E$2:$E$5000,Entries!$C$2:$C$5000,"Actual",Entries!$A$2:$A$5000,"&gt;="&amp;$A91,Entries!$A$2:$A$5000,"&lt;"&amp;EDATE($A91,1),Entries!$B$2:$B$5000,AE$1))</f>
        <v/>
      </c>
      <c r="AF91" s="23">
        <f>IF(OR(AF$1="",$BM91=0),"",SUMIFS(Entries!$E$2:$E$5000,Entries!$C$2:$C$5000,"Actual",Entries!$A$2:$A$5000,"&gt;="&amp;$A91,Entries!$A$2:$A$5000,"&lt;"&amp;EDATE($A91,1),Entries!$B$2:$B$5000,AF$1))</f>
        <v/>
      </c>
      <c r="AG91" s="23">
        <f>IF(OR(AG$1="",$BM91=0),"",SUMIFS(Entries!$E$2:$E$5000,Entries!$C$2:$C$5000,"Actual",Entries!$A$2:$A$5000,"&gt;="&amp;$A91,Entries!$A$2:$A$5000,"&lt;"&amp;EDATE($A91,1),Entries!$B$2:$B$5000,AG$1))</f>
        <v/>
      </c>
      <c r="AH91" s="23">
        <f>IF(OR(AH$1="",$BM91=0),"",SUMIFS(Entries!$E$2:$E$5000,Entries!$C$2:$C$5000,"Actual",Entries!$A$2:$A$5000,"&gt;="&amp;$A91,Entries!$A$2:$A$5000,"&lt;"&amp;EDATE($A91,1),Entries!$B$2:$B$5000,AH$1))</f>
        <v/>
      </c>
      <c r="AI91" s="23">
        <f>IF(OR(AI$1="",$BM91=0),"",SUMIFS(Entries!$E$2:$E$5000,Entries!$C$2:$C$5000,"Actual",Entries!$A$2:$A$5000,"&gt;="&amp;$A91,Entries!$A$2:$A$5000,"&lt;"&amp;EDATE($A91,1),Entries!$B$2:$B$5000,AI$1))</f>
        <v/>
      </c>
      <c r="AJ91" s="23">
        <f>IF(OR(AJ$1="",$BM91=0),"",SUMIFS(Entries!$E$2:$E$5000,Entries!$C$2:$C$5000,"Actual",Entries!$A$2:$A$5000,"&gt;="&amp;$A91,Entries!$A$2:$A$5000,"&lt;"&amp;EDATE($A91,1),Entries!$B$2:$B$5000,AJ$1))</f>
        <v/>
      </c>
      <c r="AK91" s="23">
        <f>IF(OR(AK$1="",$BM91=0),"",SUMIFS(Entries!$E$2:$E$5000,Entries!$C$2:$C$5000,"Actual",Entries!$A$2:$A$5000,"&gt;="&amp;$A91,Entries!$A$2:$A$5000,"&lt;"&amp;EDATE($A91,1),Entries!$B$2:$B$5000,AK$1))</f>
        <v/>
      </c>
      <c r="AL91" s="23">
        <f>IF(OR(AL$1="",$BM91=0),"",SUMIFS(Entries!$E$2:$E$5000,Entries!$C$2:$C$5000,"Actual",Entries!$A$2:$A$5000,"&gt;="&amp;$A91,Entries!$A$2:$A$5000,"&lt;"&amp;EDATE($A91,1),Entries!$B$2:$B$5000,AL$1))</f>
        <v/>
      </c>
      <c r="AM91" s="23">
        <f>IF(OR(AM$1="",$BM91=0),"",SUMIFS(Entries!$E$2:$E$5000,Entries!$C$2:$C$5000,"Actual",Entries!$A$2:$A$5000,"&gt;="&amp;$A91,Entries!$A$2:$A$5000,"&lt;"&amp;EDATE($A91,1),Entries!$B$2:$B$5000,AM$1))</f>
        <v/>
      </c>
      <c r="AN91" s="23">
        <f>IF(OR(AN$1="",$BM91=0),"",SUMIFS(Entries!$E$2:$E$5000,Entries!$C$2:$C$5000,"Actual",Entries!$A$2:$A$5000,"&gt;="&amp;$A91,Entries!$A$2:$A$5000,"&lt;"&amp;EDATE($A91,1),Entries!$B$2:$B$5000,AN$1))</f>
        <v/>
      </c>
      <c r="AO91" s="23">
        <f>IF(OR(AO$1="",$BM91=0),"",SUMIFS(Entries!$E$2:$E$5000,Entries!$C$2:$C$5000,"Actual",Entries!$A$2:$A$5000,"&gt;="&amp;$A91,Entries!$A$2:$A$5000,"&lt;"&amp;EDATE($A91,1),Entries!$B$2:$B$5000,AO$1))</f>
        <v/>
      </c>
      <c r="AP91" s="23">
        <f>IF(OR(AP$1="",$BM91=0),"",SUMIFS(Entries!$E$2:$E$5000,Entries!$C$2:$C$5000,"Actual",Entries!$A$2:$A$5000,"&gt;="&amp;$A91,Entries!$A$2:$A$5000,"&lt;"&amp;EDATE($A91,1),Entries!$B$2:$B$5000,AP$1))</f>
        <v/>
      </c>
      <c r="AR91" s="23">
        <f>IF(OR(AR$1="",$BM91=0),"",IFERROR(LOOKUP(2,1/((Budgets!$A$2:$A$200=AR$1)*(Budgets!$B$2:$B$200&lt;EDATE($A91,1))),Budgets!$C$2:$C$200),0))</f>
        <v/>
      </c>
      <c r="AS91" s="23">
        <f>IF(OR(AS$1="",$BM91=0),"",IFERROR(LOOKUP(2,1/((Budgets!$A$2:$A$200=AS$1)*(Budgets!$B$2:$B$200&lt;EDATE($A91,1))),Budgets!$C$2:$C$200),0))</f>
        <v/>
      </c>
      <c r="AT91" s="23">
        <f>IF(OR(AT$1="",$BM91=0),"",IFERROR(LOOKUP(2,1/((Budgets!$A$2:$A$200=AT$1)*(Budgets!$B$2:$B$200&lt;EDATE($A91,1))),Budgets!$C$2:$C$200),0))</f>
        <v/>
      </c>
      <c r="AU91" s="23">
        <f>IF(OR(AU$1="",$BM91=0),"",IFERROR(LOOKUP(2,1/((Budgets!$A$2:$A$200=AU$1)*(Budgets!$B$2:$B$200&lt;EDATE($A91,1))),Budgets!$C$2:$C$200),0))</f>
        <v/>
      </c>
      <c r="AV91" s="23">
        <f>IF(OR(AV$1="",$BM91=0),"",IFERROR(LOOKUP(2,1/((Budgets!$A$2:$A$200=AV$1)*(Budgets!$B$2:$B$200&lt;EDATE($A91,1))),Budgets!$C$2:$C$200),0))</f>
        <v/>
      </c>
      <c r="AW91" s="23">
        <f>IF(OR(AW$1="",$BM91=0),"",IFERROR(LOOKUP(2,1/((Budgets!$A$2:$A$200=AW$1)*(Budgets!$B$2:$B$200&lt;EDATE($A91,1))),Budgets!$C$2:$C$200),0))</f>
        <v/>
      </c>
      <c r="AX91" s="23">
        <f>IF(OR(AX$1="",$BM91=0),"",IFERROR(LOOKUP(2,1/((Budgets!$A$2:$A$200=AX$1)*(Budgets!$B$2:$B$200&lt;EDATE($A91,1))),Budgets!$C$2:$C$200),0))</f>
        <v/>
      </c>
      <c r="AY91" s="23">
        <f>IF(OR(AY$1="",$BM91=0),"",IFERROR(LOOKUP(2,1/((Budgets!$A$2:$A$200=AY$1)*(Budgets!$B$2:$B$200&lt;EDATE($A91,1))),Budgets!$C$2:$C$200),0))</f>
        <v/>
      </c>
      <c r="AZ91" s="23">
        <f>IF(OR(AZ$1="",$BM91=0),"",IFERROR(LOOKUP(2,1/((Budgets!$A$2:$A$200=AZ$1)*(Budgets!$B$2:$B$200&lt;EDATE($A91,1))),Budgets!$C$2:$C$200),0))</f>
        <v/>
      </c>
      <c r="BA91" s="23">
        <f>IF(OR(BA$1="",$BM91=0),"",IFERROR(LOOKUP(2,1/((Budgets!$A$2:$A$200=BA$1)*(Budgets!$B$2:$B$200&lt;EDATE($A91,1))),Budgets!$C$2:$C$200),0))</f>
        <v/>
      </c>
      <c r="BB91" s="23">
        <f>IF(OR(BB$1="",$BM91=0),"",IFERROR(LOOKUP(2,1/((Budgets!$A$2:$A$200=BB$1)*(Budgets!$B$2:$B$200&lt;EDATE($A91,1))),Budgets!$C$2:$C$200),0))</f>
        <v/>
      </c>
      <c r="BC91" s="23">
        <f>IF(OR(BC$1="",$BM91=0),"",IFERROR(LOOKUP(2,1/((Budgets!$A$2:$A$200=BC$1)*(Budgets!$B$2:$B$200&lt;EDATE($A91,1))),Budgets!$C$2:$C$200),0))</f>
        <v/>
      </c>
      <c r="BD91" s="23">
        <f>IF(OR(BD$1="",$BM91=0),"",IFERROR(LOOKUP(2,1/((Budgets!$A$2:$A$200=BD$1)*(Budgets!$B$2:$B$200&lt;EDATE($A91,1))),Budgets!$C$2:$C$200),0))</f>
        <v/>
      </c>
      <c r="BE91" s="23">
        <f>IF(OR(BE$1="",$BM91=0),"",IFERROR(LOOKUP(2,1/((Budgets!$A$2:$A$200=BE$1)*(Budgets!$B$2:$B$200&lt;EDATE($A91,1))),Budgets!$C$2:$C$200),0))</f>
        <v/>
      </c>
      <c r="BF91" s="23">
        <f>IF(OR(BF$1="",$BM91=0),"",IFERROR(LOOKUP(2,1/((Budgets!$A$2:$A$200=BF$1)*(Budgets!$B$2:$B$200&lt;EDATE($A91,1))),Budgets!$C$2:$C$200),0))</f>
        <v/>
      </c>
      <c r="BG91" s="23">
        <f>IF(OR(BG$1="",$BM91=0),"",IFERROR(LOOKUP(2,1/((Budgets!$A$2:$A$200=BG$1)*(Budgets!$B$2:$B$200&lt;EDATE($A91,1))),Budgets!$C$2:$C$200),0))</f>
        <v/>
      </c>
      <c r="BH91" s="23">
        <f>IF(OR(BH$1="",$BM91=0),"",IFERROR(LOOKUP(2,1/((Budgets!$A$2:$A$200=BH$1)*(Budgets!$B$2:$B$200&lt;EDATE($A91,1))),Budgets!$C$2:$C$200),0))</f>
        <v/>
      </c>
      <c r="BI91" s="23">
        <f>IF(OR(BI$1="",$BM91=0),"",IFERROR(LOOKUP(2,1/((Budgets!$A$2:$A$200=BI$1)*(Budgets!$B$2:$B$200&lt;EDATE($A91,1))),Budgets!$C$2:$C$200),0))</f>
        <v/>
      </c>
      <c r="BJ91" s="23">
        <f>IF(OR(BJ$1="",$BM91=0),"",IFERROR(LOOKUP(2,1/((Budgets!$A$2:$A$200=BJ$1)*(Budgets!$B$2:$B$200&lt;EDATE($A91,1))),Budgets!$C$2:$C$200),0))</f>
        <v/>
      </c>
      <c r="BK91" s="23">
        <f>IF(OR(BK$1="",$BM91=0),"",IFERROR(LOOKUP(2,1/((Budgets!$A$2:$A$200=BK$1)*(Budgets!$B$2:$B$200&lt;EDATE($A91,1))),Budgets!$C$2:$C$200),0))</f>
        <v/>
      </c>
      <c r="BM91" s="21">
        <f>COUNTIFS(Entries!$A$2:$A$5000,"&gt;="&amp;$A91,Entries!$A$2:$A$5000,"&lt;"&amp;EDATE($A91,1))</f>
        <v/>
      </c>
    </row>
    <row r="92">
      <c r="A92" s="22" t="n">
        <v>42186</v>
      </c>
      <c r="B92" s="23">
        <f>IF($BM92=0,NA(),SUMIFS(Entries!$E$2:$E$5000,Entries!$C$2:$C$5000,"Income",Entries!$A$2:$A$5000,"&gt;="&amp;$A92,Entries!$A$2:$A$5000,"&lt;"&amp;EDATE($A92,1)))</f>
        <v/>
      </c>
      <c r="C92" s="23">
        <f>IF($BM92=0,"",SUMIFS(Entries!$E$2:$E$5000,Entries!$C$2:$C$5000,"Actual",Entries!$A$2:$A$5000,"&gt;="&amp;$A92,Entries!$A$2:$A$5000,"&lt;"&amp;EDATE($A92,1)))</f>
        <v/>
      </c>
      <c r="D92" s="23">
        <f>IF($BM92=0,"",SUMIFS(Entries!$E$2:$E$5000,Entries!$C$2:$C$5000,"One-off",Entries!$A$2:$A$5000,"&gt;="&amp;$A92,Entries!$A$2:$A$5000,"&lt;"&amp;EDATE($A92,1)))</f>
        <v/>
      </c>
      <c r="E92" s="23">
        <f>IF($BM92=0,NA(),C92+D92)</f>
        <v/>
      </c>
      <c r="F92" s="23">
        <f>IF($BM92=0,"",SUM(AR92:BK92))</f>
        <v/>
      </c>
      <c r="G92" s="23">
        <f>IF($BM92=0,"",B92-E92)</f>
        <v/>
      </c>
      <c r="H92" s="23">
        <f>IF($BM92=0,"",SUM($G$2:G92))</f>
        <v/>
      </c>
      <c r="I92" s="23">
        <f>IF($BM92=0,"",SUMIFS(Entries!$G$2:$G$5000,Entries!$A$2:$A$5000,"&gt;="&amp;$A92,Entries!$A$2:$A$5000,"&lt;"&amp;EDATE($A92,1)))</f>
        <v/>
      </c>
      <c r="J92" s="23">
        <f>IF($BM92=0,NA(),H92)</f>
        <v/>
      </c>
      <c r="K92" s="23">
        <f>IF($BM92=0,"",SUMIFS(Entries!$E$2:$E$5000,Entries!$C$2:$C$5000,"Income",Entries!$A$2:$A$5000,"&gt;="&amp;EDATE($A92,-11),Entries!$A$2:$A$5000,"&lt;"&amp;EDATE($A92,1))/COUNTIFS($A$2:$A$400,"&gt;="&amp;EDATE($A92,-11),$A$2:$A$400,"&lt;"&amp;EDATE($A92,1),$BM$2:$BM$400,"&gt;0"))</f>
      </c>
      <c r="L92" s="23">
        <f>IF($BM92=0,"",(SUMIFS(Entries!$E$2:$E$5000,Entries!$C$2:$C$5000,"Actual",Entries!$A$2:$A$5000,"&gt;="&amp;EDATE($A92,-11),Entries!$A$2:$A$5000,"&lt;"&amp;EDATE($A92,1))+SUMIFS(Entries!$E$2:$E$5000,Entries!$C$2:$C$5000,"One-off",Entries!$A$2:$A$5000,"&gt;="&amp;EDATE($A92,-11),Entries!$A$2:$A$5000,"&lt;"&amp;EDATE($A92,1)))/COUNTIFS($A$2:$A$400,"&gt;="&amp;EDATE($A92,-11),$A$2:$A$400,"&lt;"&amp;EDATE($A92,1),$BM$2:$BM$400,"&gt;0"))</f>
      </c>
      <c r="M92" s="24">
        <f>IF($BM92=0,NA(),IFERROR((K92-L92)/K92,0))</f>
        <v/>
      </c>
      <c r="N92" s="23">
        <f>IF($BM92=0,NA(),SUMIFS(Entries!$E$2:$E$5000,Entries!$D$2:$D$5000,"Core",Entries!$A$2:$A$5000,"&gt;="&amp;$A92,Entries!$A$2:$A$5000,"&lt;"&amp;EDATE($A92,1)))</f>
        <v/>
      </c>
      <c r="O92" s="23">
        <f>IF($BM92=0,NA(),SUMIFS(Entries!$E$2:$E$5000,Entries!$D$2:$D$5000,"Over &amp; above",Entries!$A$2:$A$5000,"&gt;="&amp;$A92,Entries!$A$2:$A$5000,"&lt;"&amp;EDATE($A92,1)))</f>
        <v/>
      </c>
      <c r="P92" s="23">
        <f>IF($BM92=0,NA(),SUMIFS(Entries!$E$2:$E$5000,Entries!$D$2:$D$5000,"One-off",Entries!$A$2:$A$5000,"&gt;="&amp;$A92,Entries!$A$2:$A$5000,"&lt;"&amp;EDATE($A92,1)))</f>
        <v/>
      </c>
      <c r="Q92" s="23">
        <f>IF($BM92=0,NA(),SUMIFS(Entries!$E$2:$E$5000,Entries!$D$2:$D$5000,"Reimbursable",Entries!$A$2:$A$5000,"&gt;="&amp;$A92,Entries!$A$2:$A$5000,"&lt;"&amp;EDATE($A92,1)))</f>
        <v/>
      </c>
      <c r="R92" s="23">
        <f>IF($BM92=0,NA(),SUMIFS(Entries!$E$2:$E$5000,Entries!$D$2:$D$5000,"Investment",Entries!$A$2:$A$5000,"&gt;="&amp;$A92,Entries!$A$2:$A$5000,"&lt;"&amp;EDATE($A92,1)))</f>
        <v/>
      </c>
      <c r="S92" s="23">
        <f>IF($BM92=0,NA(),N92+O92)</f>
        <v/>
      </c>
      <c r="T92" s="23">
        <f>IF($BM92=0,"",E92-Q92)</f>
        <v/>
      </c>
      <c r="W92" s="23">
        <f>IF(OR(W$1="",$BM92=0),"",SUMIFS(Entries!$E$2:$E$5000,Entries!$C$2:$C$5000,"Actual",Entries!$A$2:$A$5000,"&gt;="&amp;$A92,Entries!$A$2:$A$5000,"&lt;"&amp;EDATE($A92,1),Entries!$B$2:$B$5000,W$1))</f>
        <v/>
      </c>
      <c r="X92" s="23">
        <f>IF(OR(X$1="",$BM92=0),"",SUMIFS(Entries!$E$2:$E$5000,Entries!$C$2:$C$5000,"Actual",Entries!$A$2:$A$5000,"&gt;="&amp;$A92,Entries!$A$2:$A$5000,"&lt;"&amp;EDATE($A92,1),Entries!$B$2:$B$5000,X$1))</f>
        <v/>
      </c>
      <c r="Y92" s="23">
        <f>IF(OR(Y$1="",$BM92=0),"",SUMIFS(Entries!$E$2:$E$5000,Entries!$C$2:$C$5000,"Actual",Entries!$A$2:$A$5000,"&gt;="&amp;$A92,Entries!$A$2:$A$5000,"&lt;"&amp;EDATE($A92,1),Entries!$B$2:$B$5000,Y$1))</f>
        <v/>
      </c>
      <c r="Z92" s="23">
        <f>IF(OR(Z$1="",$BM92=0),"",SUMIFS(Entries!$E$2:$E$5000,Entries!$C$2:$C$5000,"Actual",Entries!$A$2:$A$5000,"&gt;="&amp;$A92,Entries!$A$2:$A$5000,"&lt;"&amp;EDATE($A92,1),Entries!$B$2:$B$5000,Z$1))</f>
        <v/>
      </c>
      <c r="AA92" s="23">
        <f>IF(OR(AA$1="",$BM92=0),"",SUMIFS(Entries!$E$2:$E$5000,Entries!$C$2:$C$5000,"Actual",Entries!$A$2:$A$5000,"&gt;="&amp;$A92,Entries!$A$2:$A$5000,"&lt;"&amp;EDATE($A92,1),Entries!$B$2:$B$5000,AA$1))</f>
        <v/>
      </c>
      <c r="AB92" s="23">
        <f>IF(OR(AB$1="",$BM92=0),"",SUMIFS(Entries!$E$2:$E$5000,Entries!$C$2:$C$5000,"Actual",Entries!$A$2:$A$5000,"&gt;="&amp;$A92,Entries!$A$2:$A$5000,"&lt;"&amp;EDATE($A92,1),Entries!$B$2:$B$5000,AB$1))</f>
        <v/>
      </c>
      <c r="AC92" s="23">
        <f>IF(OR(AC$1="",$BM92=0),"",SUMIFS(Entries!$E$2:$E$5000,Entries!$C$2:$C$5000,"Actual",Entries!$A$2:$A$5000,"&gt;="&amp;$A92,Entries!$A$2:$A$5000,"&lt;"&amp;EDATE($A92,1),Entries!$B$2:$B$5000,AC$1))</f>
        <v/>
      </c>
      <c r="AD92" s="23">
        <f>IF(OR(AD$1="",$BM92=0),"",SUMIFS(Entries!$E$2:$E$5000,Entries!$C$2:$C$5000,"Actual",Entries!$A$2:$A$5000,"&gt;="&amp;$A92,Entries!$A$2:$A$5000,"&lt;"&amp;EDATE($A92,1),Entries!$B$2:$B$5000,AD$1))</f>
        <v/>
      </c>
      <c r="AE92" s="23">
        <f>IF(OR(AE$1="",$BM92=0),"",SUMIFS(Entries!$E$2:$E$5000,Entries!$C$2:$C$5000,"Actual",Entries!$A$2:$A$5000,"&gt;="&amp;$A92,Entries!$A$2:$A$5000,"&lt;"&amp;EDATE($A92,1),Entries!$B$2:$B$5000,AE$1))</f>
        <v/>
      </c>
      <c r="AF92" s="23">
        <f>IF(OR(AF$1="",$BM92=0),"",SUMIFS(Entries!$E$2:$E$5000,Entries!$C$2:$C$5000,"Actual",Entries!$A$2:$A$5000,"&gt;="&amp;$A92,Entries!$A$2:$A$5000,"&lt;"&amp;EDATE($A92,1),Entries!$B$2:$B$5000,AF$1))</f>
        <v/>
      </c>
      <c r="AG92" s="23">
        <f>IF(OR(AG$1="",$BM92=0),"",SUMIFS(Entries!$E$2:$E$5000,Entries!$C$2:$C$5000,"Actual",Entries!$A$2:$A$5000,"&gt;="&amp;$A92,Entries!$A$2:$A$5000,"&lt;"&amp;EDATE($A92,1),Entries!$B$2:$B$5000,AG$1))</f>
        <v/>
      </c>
      <c r="AH92" s="23">
        <f>IF(OR(AH$1="",$BM92=0),"",SUMIFS(Entries!$E$2:$E$5000,Entries!$C$2:$C$5000,"Actual",Entries!$A$2:$A$5000,"&gt;="&amp;$A92,Entries!$A$2:$A$5000,"&lt;"&amp;EDATE($A92,1),Entries!$B$2:$B$5000,AH$1))</f>
        <v/>
      </c>
      <c r="AI92" s="23">
        <f>IF(OR(AI$1="",$BM92=0),"",SUMIFS(Entries!$E$2:$E$5000,Entries!$C$2:$C$5000,"Actual",Entries!$A$2:$A$5000,"&gt;="&amp;$A92,Entries!$A$2:$A$5000,"&lt;"&amp;EDATE($A92,1),Entries!$B$2:$B$5000,AI$1))</f>
        <v/>
      </c>
      <c r="AJ92" s="23">
        <f>IF(OR(AJ$1="",$BM92=0),"",SUMIFS(Entries!$E$2:$E$5000,Entries!$C$2:$C$5000,"Actual",Entries!$A$2:$A$5000,"&gt;="&amp;$A92,Entries!$A$2:$A$5000,"&lt;"&amp;EDATE($A92,1),Entries!$B$2:$B$5000,AJ$1))</f>
        <v/>
      </c>
      <c r="AK92" s="23">
        <f>IF(OR(AK$1="",$BM92=0),"",SUMIFS(Entries!$E$2:$E$5000,Entries!$C$2:$C$5000,"Actual",Entries!$A$2:$A$5000,"&gt;="&amp;$A92,Entries!$A$2:$A$5000,"&lt;"&amp;EDATE($A92,1),Entries!$B$2:$B$5000,AK$1))</f>
        <v/>
      </c>
      <c r="AL92" s="23">
        <f>IF(OR(AL$1="",$BM92=0),"",SUMIFS(Entries!$E$2:$E$5000,Entries!$C$2:$C$5000,"Actual",Entries!$A$2:$A$5000,"&gt;="&amp;$A92,Entries!$A$2:$A$5000,"&lt;"&amp;EDATE($A92,1),Entries!$B$2:$B$5000,AL$1))</f>
        <v/>
      </c>
      <c r="AM92" s="23">
        <f>IF(OR(AM$1="",$BM92=0),"",SUMIFS(Entries!$E$2:$E$5000,Entries!$C$2:$C$5000,"Actual",Entries!$A$2:$A$5000,"&gt;="&amp;$A92,Entries!$A$2:$A$5000,"&lt;"&amp;EDATE($A92,1),Entries!$B$2:$B$5000,AM$1))</f>
        <v/>
      </c>
      <c r="AN92" s="23">
        <f>IF(OR(AN$1="",$BM92=0),"",SUMIFS(Entries!$E$2:$E$5000,Entries!$C$2:$C$5000,"Actual",Entries!$A$2:$A$5000,"&gt;="&amp;$A92,Entries!$A$2:$A$5000,"&lt;"&amp;EDATE($A92,1),Entries!$B$2:$B$5000,AN$1))</f>
        <v/>
      </c>
      <c r="AO92" s="23">
        <f>IF(OR(AO$1="",$BM92=0),"",SUMIFS(Entries!$E$2:$E$5000,Entries!$C$2:$C$5000,"Actual",Entries!$A$2:$A$5000,"&gt;="&amp;$A92,Entries!$A$2:$A$5000,"&lt;"&amp;EDATE($A92,1),Entries!$B$2:$B$5000,AO$1))</f>
        <v/>
      </c>
      <c r="AP92" s="23">
        <f>IF(OR(AP$1="",$BM92=0),"",SUMIFS(Entries!$E$2:$E$5000,Entries!$C$2:$C$5000,"Actual",Entries!$A$2:$A$5000,"&gt;="&amp;$A92,Entries!$A$2:$A$5000,"&lt;"&amp;EDATE($A92,1),Entries!$B$2:$B$5000,AP$1))</f>
        <v/>
      </c>
      <c r="AR92" s="23">
        <f>IF(OR(AR$1="",$BM92=0),"",IFERROR(LOOKUP(2,1/((Budgets!$A$2:$A$200=AR$1)*(Budgets!$B$2:$B$200&lt;EDATE($A92,1))),Budgets!$C$2:$C$200),0))</f>
        <v/>
      </c>
      <c r="AS92" s="23">
        <f>IF(OR(AS$1="",$BM92=0),"",IFERROR(LOOKUP(2,1/((Budgets!$A$2:$A$200=AS$1)*(Budgets!$B$2:$B$200&lt;EDATE($A92,1))),Budgets!$C$2:$C$200),0))</f>
        <v/>
      </c>
      <c r="AT92" s="23">
        <f>IF(OR(AT$1="",$BM92=0),"",IFERROR(LOOKUP(2,1/((Budgets!$A$2:$A$200=AT$1)*(Budgets!$B$2:$B$200&lt;EDATE($A92,1))),Budgets!$C$2:$C$200),0))</f>
        <v/>
      </c>
      <c r="AU92" s="23">
        <f>IF(OR(AU$1="",$BM92=0),"",IFERROR(LOOKUP(2,1/((Budgets!$A$2:$A$200=AU$1)*(Budgets!$B$2:$B$200&lt;EDATE($A92,1))),Budgets!$C$2:$C$200),0))</f>
        <v/>
      </c>
      <c r="AV92" s="23">
        <f>IF(OR(AV$1="",$BM92=0),"",IFERROR(LOOKUP(2,1/((Budgets!$A$2:$A$200=AV$1)*(Budgets!$B$2:$B$200&lt;EDATE($A92,1))),Budgets!$C$2:$C$200),0))</f>
        <v/>
      </c>
      <c r="AW92" s="23">
        <f>IF(OR(AW$1="",$BM92=0),"",IFERROR(LOOKUP(2,1/((Budgets!$A$2:$A$200=AW$1)*(Budgets!$B$2:$B$200&lt;EDATE($A92,1))),Budgets!$C$2:$C$200),0))</f>
        <v/>
      </c>
      <c r="AX92" s="23">
        <f>IF(OR(AX$1="",$BM92=0),"",IFERROR(LOOKUP(2,1/((Budgets!$A$2:$A$200=AX$1)*(Budgets!$B$2:$B$200&lt;EDATE($A92,1))),Budgets!$C$2:$C$200),0))</f>
        <v/>
      </c>
      <c r="AY92" s="23">
        <f>IF(OR(AY$1="",$BM92=0),"",IFERROR(LOOKUP(2,1/((Budgets!$A$2:$A$200=AY$1)*(Budgets!$B$2:$B$200&lt;EDATE($A92,1))),Budgets!$C$2:$C$200),0))</f>
        <v/>
      </c>
      <c r="AZ92" s="23">
        <f>IF(OR(AZ$1="",$BM92=0),"",IFERROR(LOOKUP(2,1/((Budgets!$A$2:$A$200=AZ$1)*(Budgets!$B$2:$B$200&lt;EDATE($A92,1))),Budgets!$C$2:$C$200),0))</f>
        <v/>
      </c>
      <c r="BA92" s="23">
        <f>IF(OR(BA$1="",$BM92=0),"",IFERROR(LOOKUP(2,1/((Budgets!$A$2:$A$200=BA$1)*(Budgets!$B$2:$B$200&lt;EDATE($A92,1))),Budgets!$C$2:$C$200),0))</f>
        <v/>
      </c>
      <c r="BB92" s="23">
        <f>IF(OR(BB$1="",$BM92=0),"",IFERROR(LOOKUP(2,1/((Budgets!$A$2:$A$200=BB$1)*(Budgets!$B$2:$B$200&lt;EDATE($A92,1))),Budgets!$C$2:$C$200),0))</f>
        <v/>
      </c>
      <c r="BC92" s="23">
        <f>IF(OR(BC$1="",$BM92=0),"",IFERROR(LOOKUP(2,1/((Budgets!$A$2:$A$200=BC$1)*(Budgets!$B$2:$B$200&lt;EDATE($A92,1))),Budgets!$C$2:$C$200),0))</f>
        <v/>
      </c>
      <c r="BD92" s="23">
        <f>IF(OR(BD$1="",$BM92=0),"",IFERROR(LOOKUP(2,1/((Budgets!$A$2:$A$200=BD$1)*(Budgets!$B$2:$B$200&lt;EDATE($A92,1))),Budgets!$C$2:$C$200),0))</f>
        <v/>
      </c>
      <c r="BE92" s="23">
        <f>IF(OR(BE$1="",$BM92=0),"",IFERROR(LOOKUP(2,1/((Budgets!$A$2:$A$200=BE$1)*(Budgets!$B$2:$B$200&lt;EDATE($A92,1))),Budgets!$C$2:$C$200),0))</f>
        <v/>
      </c>
      <c r="BF92" s="23">
        <f>IF(OR(BF$1="",$BM92=0),"",IFERROR(LOOKUP(2,1/((Budgets!$A$2:$A$200=BF$1)*(Budgets!$B$2:$B$200&lt;EDATE($A92,1))),Budgets!$C$2:$C$200),0))</f>
        <v/>
      </c>
      <c r="BG92" s="23">
        <f>IF(OR(BG$1="",$BM92=0),"",IFERROR(LOOKUP(2,1/((Budgets!$A$2:$A$200=BG$1)*(Budgets!$B$2:$B$200&lt;EDATE($A92,1))),Budgets!$C$2:$C$200),0))</f>
        <v/>
      </c>
      <c r="BH92" s="23">
        <f>IF(OR(BH$1="",$BM92=0),"",IFERROR(LOOKUP(2,1/((Budgets!$A$2:$A$200=BH$1)*(Budgets!$B$2:$B$200&lt;EDATE($A92,1))),Budgets!$C$2:$C$200),0))</f>
        <v/>
      </c>
      <c r="BI92" s="23">
        <f>IF(OR(BI$1="",$BM92=0),"",IFERROR(LOOKUP(2,1/((Budgets!$A$2:$A$200=BI$1)*(Budgets!$B$2:$B$200&lt;EDATE($A92,1))),Budgets!$C$2:$C$200),0))</f>
        <v/>
      </c>
      <c r="BJ92" s="23">
        <f>IF(OR(BJ$1="",$BM92=0),"",IFERROR(LOOKUP(2,1/((Budgets!$A$2:$A$200=BJ$1)*(Budgets!$B$2:$B$200&lt;EDATE($A92,1))),Budgets!$C$2:$C$200),0))</f>
        <v/>
      </c>
      <c r="BK92" s="23">
        <f>IF(OR(BK$1="",$BM92=0),"",IFERROR(LOOKUP(2,1/((Budgets!$A$2:$A$200=BK$1)*(Budgets!$B$2:$B$200&lt;EDATE($A92,1))),Budgets!$C$2:$C$200),0))</f>
        <v/>
      </c>
      <c r="BM92" s="21">
        <f>COUNTIFS(Entries!$A$2:$A$5000,"&gt;="&amp;$A92,Entries!$A$2:$A$5000,"&lt;"&amp;EDATE($A92,1))</f>
        <v/>
      </c>
    </row>
    <row r="93">
      <c r="A93" s="22" t="n">
        <v>42217</v>
      </c>
      <c r="B93" s="23">
        <f>IF($BM93=0,NA(),SUMIFS(Entries!$E$2:$E$5000,Entries!$C$2:$C$5000,"Income",Entries!$A$2:$A$5000,"&gt;="&amp;$A93,Entries!$A$2:$A$5000,"&lt;"&amp;EDATE($A93,1)))</f>
        <v/>
      </c>
      <c r="C93" s="23">
        <f>IF($BM93=0,"",SUMIFS(Entries!$E$2:$E$5000,Entries!$C$2:$C$5000,"Actual",Entries!$A$2:$A$5000,"&gt;="&amp;$A93,Entries!$A$2:$A$5000,"&lt;"&amp;EDATE($A93,1)))</f>
        <v/>
      </c>
      <c r="D93" s="23">
        <f>IF($BM93=0,"",SUMIFS(Entries!$E$2:$E$5000,Entries!$C$2:$C$5000,"One-off",Entries!$A$2:$A$5000,"&gt;="&amp;$A93,Entries!$A$2:$A$5000,"&lt;"&amp;EDATE($A93,1)))</f>
        <v/>
      </c>
      <c r="E93" s="23">
        <f>IF($BM93=0,NA(),C93+D93)</f>
        <v/>
      </c>
      <c r="F93" s="23">
        <f>IF($BM93=0,"",SUM(AR93:BK93))</f>
        <v/>
      </c>
      <c r="G93" s="23">
        <f>IF($BM93=0,"",B93-E93)</f>
        <v/>
      </c>
      <c r="H93" s="23">
        <f>IF($BM93=0,"",SUM($G$2:G93))</f>
        <v/>
      </c>
      <c r="I93" s="23">
        <f>IF($BM93=0,"",SUMIFS(Entries!$G$2:$G$5000,Entries!$A$2:$A$5000,"&gt;="&amp;$A93,Entries!$A$2:$A$5000,"&lt;"&amp;EDATE($A93,1)))</f>
        <v/>
      </c>
      <c r="J93" s="23">
        <f>IF($BM93=0,NA(),H93)</f>
        <v/>
      </c>
      <c r="K93" s="23">
        <f>IF($BM93=0,"",SUMIFS(Entries!$E$2:$E$5000,Entries!$C$2:$C$5000,"Income",Entries!$A$2:$A$5000,"&gt;="&amp;EDATE($A93,-11),Entries!$A$2:$A$5000,"&lt;"&amp;EDATE($A93,1))/COUNTIFS($A$2:$A$400,"&gt;="&amp;EDATE($A93,-11),$A$2:$A$400,"&lt;"&amp;EDATE($A93,1),$BM$2:$BM$400,"&gt;0"))</f>
      </c>
      <c r="L93" s="23">
        <f>IF($BM93=0,"",(SUMIFS(Entries!$E$2:$E$5000,Entries!$C$2:$C$5000,"Actual",Entries!$A$2:$A$5000,"&gt;="&amp;EDATE($A93,-11),Entries!$A$2:$A$5000,"&lt;"&amp;EDATE($A93,1))+SUMIFS(Entries!$E$2:$E$5000,Entries!$C$2:$C$5000,"One-off",Entries!$A$2:$A$5000,"&gt;="&amp;EDATE($A93,-11),Entries!$A$2:$A$5000,"&lt;"&amp;EDATE($A93,1)))/COUNTIFS($A$2:$A$400,"&gt;="&amp;EDATE($A93,-11),$A$2:$A$400,"&lt;"&amp;EDATE($A93,1),$BM$2:$BM$400,"&gt;0"))</f>
      </c>
      <c r="M93" s="24">
        <f>IF($BM93=0,NA(),IFERROR((K93-L93)/K93,0))</f>
        <v/>
      </c>
      <c r="N93" s="23">
        <f>IF($BM93=0,NA(),SUMIFS(Entries!$E$2:$E$5000,Entries!$D$2:$D$5000,"Core",Entries!$A$2:$A$5000,"&gt;="&amp;$A93,Entries!$A$2:$A$5000,"&lt;"&amp;EDATE($A93,1)))</f>
        <v/>
      </c>
      <c r="O93" s="23">
        <f>IF($BM93=0,NA(),SUMIFS(Entries!$E$2:$E$5000,Entries!$D$2:$D$5000,"Over &amp; above",Entries!$A$2:$A$5000,"&gt;="&amp;$A93,Entries!$A$2:$A$5000,"&lt;"&amp;EDATE($A93,1)))</f>
        <v/>
      </c>
      <c r="P93" s="23">
        <f>IF($BM93=0,NA(),SUMIFS(Entries!$E$2:$E$5000,Entries!$D$2:$D$5000,"One-off",Entries!$A$2:$A$5000,"&gt;="&amp;$A93,Entries!$A$2:$A$5000,"&lt;"&amp;EDATE($A93,1)))</f>
        <v/>
      </c>
      <c r="Q93" s="23">
        <f>IF($BM93=0,NA(),SUMIFS(Entries!$E$2:$E$5000,Entries!$D$2:$D$5000,"Reimbursable",Entries!$A$2:$A$5000,"&gt;="&amp;$A93,Entries!$A$2:$A$5000,"&lt;"&amp;EDATE($A93,1)))</f>
        <v/>
      </c>
      <c r="R93" s="23">
        <f>IF($BM93=0,NA(),SUMIFS(Entries!$E$2:$E$5000,Entries!$D$2:$D$5000,"Investment",Entries!$A$2:$A$5000,"&gt;="&amp;$A93,Entries!$A$2:$A$5000,"&lt;"&amp;EDATE($A93,1)))</f>
        <v/>
      </c>
      <c r="S93" s="23">
        <f>IF($BM93=0,NA(),N93+O93)</f>
        <v/>
      </c>
      <c r="T93" s="23">
        <f>IF($BM93=0,"",E93-Q93)</f>
        <v/>
      </c>
      <c r="W93" s="23">
        <f>IF(OR(W$1="",$BM93=0),"",SUMIFS(Entries!$E$2:$E$5000,Entries!$C$2:$C$5000,"Actual",Entries!$A$2:$A$5000,"&gt;="&amp;$A93,Entries!$A$2:$A$5000,"&lt;"&amp;EDATE($A93,1),Entries!$B$2:$B$5000,W$1))</f>
        <v/>
      </c>
      <c r="X93" s="23">
        <f>IF(OR(X$1="",$BM93=0),"",SUMIFS(Entries!$E$2:$E$5000,Entries!$C$2:$C$5000,"Actual",Entries!$A$2:$A$5000,"&gt;="&amp;$A93,Entries!$A$2:$A$5000,"&lt;"&amp;EDATE($A93,1),Entries!$B$2:$B$5000,X$1))</f>
        <v/>
      </c>
      <c r="Y93" s="23">
        <f>IF(OR(Y$1="",$BM93=0),"",SUMIFS(Entries!$E$2:$E$5000,Entries!$C$2:$C$5000,"Actual",Entries!$A$2:$A$5000,"&gt;="&amp;$A93,Entries!$A$2:$A$5000,"&lt;"&amp;EDATE($A93,1),Entries!$B$2:$B$5000,Y$1))</f>
        <v/>
      </c>
      <c r="Z93" s="23">
        <f>IF(OR(Z$1="",$BM93=0),"",SUMIFS(Entries!$E$2:$E$5000,Entries!$C$2:$C$5000,"Actual",Entries!$A$2:$A$5000,"&gt;="&amp;$A93,Entries!$A$2:$A$5000,"&lt;"&amp;EDATE($A93,1),Entries!$B$2:$B$5000,Z$1))</f>
        <v/>
      </c>
      <c r="AA93" s="23">
        <f>IF(OR(AA$1="",$BM93=0),"",SUMIFS(Entries!$E$2:$E$5000,Entries!$C$2:$C$5000,"Actual",Entries!$A$2:$A$5000,"&gt;="&amp;$A93,Entries!$A$2:$A$5000,"&lt;"&amp;EDATE($A93,1),Entries!$B$2:$B$5000,AA$1))</f>
        <v/>
      </c>
      <c r="AB93" s="23">
        <f>IF(OR(AB$1="",$BM93=0),"",SUMIFS(Entries!$E$2:$E$5000,Entries!$C$2:$C$5000,"Actual",Entries!$A$2:$A$5000,"&gt;="&amp;$A93,Entries!$A$2:$A$5000,"&lt;"&amp;EDATE($A93,1),Entries!$B$2:$B$5000,AB$1))</f>
        <v/>
      </c>
      <c r="AC93" s="23">
        <f>IF(OR(AC$1="",$BM93=0),"",SUMIFS(Entries!$E$2:$E$5000,Entries!$C$2:$C$5000,"Actual",Entries!$A$2:$A$5000,"&gt;="&amp;$A93,Entries!$A$2:$A$5000,"&lt;"&amp;EDATE($A93,1),Entries!$B$2:$B$5000,AC$1))</f>
        <v/>
      </c>
      <c r="AD93" s="23">
        <f>IF(OR(AD$1="",$BM93=0),"",SUMIFS(Entries!$E$2:$E$5000,Entries!$C$2:$C$5000,"Actual",Entries!$A$2:$A$5000,"&gt;="&amp;$A93,Entries!$A$2:$A$5000,"&lt;"&amp;EDATE($A93,1),Entries!$B$2:$B$5000,AD$1))</f>
        <v/>
      </c>
      <c r="AE93" s="23">
        <f>IF(OR(AE$1="",$BM93=0),"",SUMIFS(Entries!$E$2:$E$5000,Entries!$C$2:$C$5000,"Actual",Entries!$A$2:$A$5000,"&gt;="&amp;$A93,Entries!$A$2:$A$5000,"&lt;"&amp;EDATE($A93,1),Entries!$B$2:$B$5000,AE$1))</f>
        <v/>
      </c>
      <c r="AF93" s="23">
        <f>IF(OR(AF$1="",$BM93=0),"",SUMIFS(Entries!$E$2:$E$5000,Entries!$C$2:$C$5000,"Actual",Entries!$A$2:$A$5000,"&gt;="&amp;$A93,Entries!$A$2:$A$5000,"&lt;"&amp;EDATE($A93,1),Entries!$B$2:$B$5000,AF$1))</f>
        <v/>
      </c>
      <c r="AG93" s="23">
        <f>IF(OR(AG$1="",$BM93=0),"",SUMIFS(Entries!$E$2:$E$5000,Entries!$C$2:$C$5000,"Actual",Entries!$A$2:$A$5000,"&gt;="&amp;$A93,Entries!$A$2:$A$5000,"&lt;"&amp;EDATE($A93,1),Entries!$B$2:$B$5000,AG$1))</f>
        <v/>
      </c>
      <c r="AH93" s="23">
        <f>IF(OR(AH$1="",$BM93=0),"",SUMIFS(Entries!$E$2:$E$5000,Entries!$C$2:$C$5000,"Actual",Entries!$A$2:$A$5000,"&gt;="&amp;$A93,Entries!$A$2:$A$5000,"&lt;"&amp;EDATE($A93,1),Entries!$B$2:$B$5000,AH$1))</f>
        <v/>
      </c>
      <c r="AI93" s="23">
        <f>IF(OR(AI$1="",$BM93=0),"",SUMIFS(Entries!$E$2:$E$5000,Entries!$C$2:$C$5000,"Actual",Entries!$A$2:$A$5000,"&gt;="&amp;$A93,Entries!$A$2:$A$5000,"&lt;"&amp;EDATE($A93,1),Entries!$B$2:$B$5000,AI$1))</f>
        <v/>
      </c>
      <c r="AJ93" s="23">
        <f>IF(OR(AJ$1="",$BM93=0),"",SUMIFS(Entries!$E$2:$E$5000,Entries!$C$2:$C$5000,"Actual",Entries!$A$2:$A$5000,"&gt;="&amp;$A93,Entries!$A$2:$A$5000,"&lt;"&amp;EDATE($A93,1),Entries!$B$2:$B$5000,AJ$1))</f>
        <v/>
      </c>
      <c r="AK93" s="23">
        <f>IF(OR(AK$1="",$BM93=0),"",SUMIFS(Entries!$E$2:$E$5000,Entries!$C$2:$C$5000,"Actual",Entries!$A$2:$A$5000,"&gt;="&amp;$A93,Entries!$A$2:$A$5000,"&lt;"&amp;EDATE($A93,1),Entries!$B$2:$B$5000,AK$1))</f>
        <v/>
      </c>
      <c r="AL93" s="23">
        <f>IF(OR(AL$1="",$BM93=0),"",SUMIFS(Entries!$E$2:$E$5000,Entries!$C$2:$C$5000,"Actual",Entries!$A$2:$A$5000,"&gt;="&amp;$A93,Entries!$A$2:$A$5000,"&lt;"&amp;EDATE($A93,1),Entries!$B$2:$B$5000,AL$1))</f>
        <v/>
      </c>
      <c r="AM93" s="23">
        <f>IF(OR(AM$1="",$BM93=0),"",SUMIFS(Entries!$E$2:$E$5000,Entries!$C$2:$C$5000,"Actual",Entries!$A$2:$A$5000,"&gt;="&amp;$A93,Entries!$A$2:$A$5000,"&lt;"&amp;EDATE($A93,1),Entries!$B$2:$B$5000,AM$1))</f>
        <v/>
      </c>
      <c r="AN93" s="23">
        <f>IF(OR(AN$1="",$BM93=0),"",SUMIFS(Entries!$E$2:$E$5000,Entries!$C$2:$C$5000,"Actual",Entries!$A$2:$A$5000,"&gt;="&amp;$A93,Entries!$A$2:$A$5000,"&lt;"&amp;EDATE($A93,1),Entries!$B$2:$B$5000,AN$1))</f>
        <v/>
      </c>
      <c r="AO93" s="23">
        <f>IF(OR(AO$1="",$BM93=0),"",SUMIFS(Entries!$E$2:$E$5000,Entries!$C$2:$C$5000,"Actual",Entries!$A$2:$A$5000,"&gt;="&amp;$A93,Entries!$A$2:$A$5000,"&lt;"&amp;EDATE($A93,1),Entries!$B$2:$B$5000,AO$1))</f>
        <v/>
      </c>
      <c r="AP93" s="23">
        <f>IF(OR(AP$1="",$BM93=0),"",SUMIFS(Entries!$E$2:$E$5000,Entries!$C$2:$C$5000,"Actual",Entries!$A$2:$A$5000,"&gt;="&amp;$A93,Entries!$A$2:$A$5000,"&lt;"&amp;EDATE($A93,1),Entries!$B$2:$B$5000,AP$1))</f>
        <v/>
      </c>
      <c r="AR93" s="23">
        <f>IF(OR(AR$1="",$BM93=0),"",IFERROR(LOOKUP(2,1/((Budgets!$A$2:$A$200=AR$1)*(Budgets!$B$2:$B$200&lt;EDATE($A93,1))),Budgets!$C$2:$C$200),0))</f>
        <v/>
      </c>
      <c r="AS93" s="23">
        <f>IF(OR(AS$1="",$BM93=0),"",IFERROR(LOOKUP(2,1/((Budgets!$A$2:$A$200=AS$1)*(Budgets!$B$2:$B$200&lt;EDATE($A93,1))),Budgets!$C$2:$C$200),0))</f>
        <v/>
      </c>
      <c r="AT93" s="23">
        <f>IF(OR(AT$1="",$BM93=0),"",IFERROR(LOOKUP(2,1/((Budgets!$A$2:$A$200=AT$1)*(Budgets!$B$2:$B$200&lt;EDATE($A93,1))),Budgets!$C$2:$C$200),0))</f>
        <v/>
      </c>
      <c r="AU93" s="23">
        <f>IF(OR(AU$1="",$BM93=0),"",IFERROR(LOOKUP(2,1/((Budgets!$A$2:$A$200=AU$1)*(Budgets!$B$2:$B$200&lt;EDATE($A93,1))),Budgets!$C$2:$C$200),0))</f>
        <v/>
      </c>
      <c r="AV93" s="23">
        <f>IF(OR(AV$1="",$BM93=0),"",IFERROR(LOOKUP(2,1/((Budgets!$A$2:$A$200=AV$1)*(Budgets!$B$2:$B$200&lt;EDATE($A93,1))),Budgets!$C$2:$C$200),0))</f>
        <v/>
      </c>
      <c r="AW93" s="23">
        <f>IF(OR(AW$1="",$BM93=0),"",IFERROR(LOOKUP(2,1/((Budgets!$A$2:$A$200=AW$1)*(Budgets!$B$2:$B$200&lt;EDATE($A93,1))),Budgets!$C$2:$C$200),0))</f>
        <v/>
      </c>
      <c r="AX93" s="23">
        <f>IF(OR(AX$1="",$BM93=0),"",IFERROR(LOOKUP(2,1/((Budgets!$A$2:$A$200=AX$1)*(Budgets!$B$2:$B$200&lt;EDATE($A93,1))),Budgets!$C$2:$C$200),0))</f>
        <v/>
      </c>
      <c r="AY93" s="23">
        <f>IF(OR(AY$1="",$BM93=0),"",IFERROR(LOOKUP(2,1/((Budgets!$A$2:$A$200=AY$1)*(Budgets!$B$2:$B$200&lt;EDATE($A93,1))),Budgets!$C$2:$C$200),0))</f>
        <v/>
      </c>
      <c r="AZ93" s="23">
        <f>IF(OR(AZ$1="",$BM93=0),"",IFERROR(LOOKUP(2,1/((Budgets!$A$2:$A$200=AZ$1)*(Budgets!$B$2:$B$200&lt;EDATE($A93,1))),Budgets!$C$2:$C$200),0))</f>
        <v/>
      </c>
      <c r="BA93" s="23">
        <f>IF(OR(BA$1="",$BM93=0),"",IFERROR(LOOKUP(2,1/((Budgets!$A$2:$A$200=BA$1)*(Budgets!$B$2:$B$200&lt;EDATE($A93,1))),Budgets!$C$2:$C$200),0))</f>
        <v/>
      </c>
      <c r="BB93" s="23">
        <f>IF(OR(BB$1="",$BM93=0),"",IFERROR(LOOKUP(2,1/((Budgets!$A$2:$A$200=BB$1)*(Budgets!$B$2:$B$200&lt;EDATE($A93,1))),Budgets!$C$2:$C$200),0))</f>
        <v/>
      </c>
      <c r="BC93" s="23">
        <f>IF(OR(BC$1="",$BM93=0),"",IFERROR(LOOKUP(2,1/((Budgets!$A$2:$A$200=BC$1)*(Budgets!$B$2:$B$200&lt;EDATE($A93,1))),Budgets!$C$2:$C$200),0))</f>
        <v/>
      </c>
      <c r="BD93" s="23">
        <f>IF(OR(BD$1="",$BM93=0),"",IFERROR(LOOKUP(2,1/((Budgets!$A$2:$A$200=BD$1)*(Budgets!$B$2:$B$200&lt;EDATE($A93,1))),Budgets!$C$2:$C$200),0))</f>
        <v/>
      </c>
      <c r="BE93" s="23">
        <f>IF(OR(BE$1="",$BM93=0),"",IFERROR(LOOKUP(2,1/((Budgets!$A$2:$A$200=BE$1)*(Budgets!$B$2:$B$200&lt;EDATE($A93,1))),Budgets!$C$2:$C$200),0))</f>
        <v/>
      </c>
      <c r="BF93" s="23">
        <f>IF(OR(BF$1="",$BM93=0),"",IFERROR(LOOKUP(2,1/((Budgets!$A$2:$A$200=BF$1)*(Budgets!$B$2:$B$200&lt;EDATE($A93,1))),Budgets!$C$2:$C$200),0))</f>
        <v/>
      </c>
      <c r="BG93" s="23">
        <f>IF(OR(BG$1="",$BM93=0),"",IFERROR(LOOKUP(2,1/((Budgets!$A$2:$A$200=BG$1)*(Budgets!$B$2:$B$200&lt;EDATE($A93,1))),Budgets!$C$2:$C$200),0))</f>
        <v/>
      </c>
      <c r="BH93" s="23">
        <f>IF(OR(BH$1="",$BM93=0),"",IFERROR(LOOKUP(2,1/((Budgets!$A$2:$A$200=BH$1)*(Budgets!$B$2:$B$200&lt;EDATE($A93,1))),Budgets!$C$2:$C$200),0))</f>
        <v/>
      </c>
      <c r="BI93" s="23">
        <f>IF(OR(BI$1="",$BM93=0),"",IFERROR(LOOKUP(2,1/((Budgets!$A$2:$A$200=BI$1)*(Budgets!$B$2:$B$200&lt;EDATE($A93,1))),Budgets!$C$2:$C$200),0))</f>
        <v/>
      </c>
      <c r="BJ93" s="23">
        <f>IF(OR(BJ$1="",$BM93=0),"",IFERROR(LOOKUP(2,1/((Budgets!$A$2:$A$200=BJ$1)*(Budgets!$B$2:$B$200&lt;EDATE($A93,1))),Budgets!$C$2:$C$200),0))</f>
        <v/>
      </c>
      <c r="BK93" s="23">
        <f>IF(OR(BK$1="",$BM93=0),"",IFERROR(LOOKUP(2,1/((Budgets!$A$2:$A$200=BK$1)*(Budgets!$B$2:$B$200&lt;EDATE($A93,1))),Budgets!$C$2:$C$200),0))</f>
        <v/>
      </c>
      <c r="BM93" s="21">
        <f>COUNTIFS(Entries!$A$2:$A$5000,"&gt;="&amp;$A93,Entries!$A$2:$A$5000,"&lt;"&amp;EDATE($A93,1))</f>
        <v/>
      </c>
    </row>
    <row r="94">
      <c r="A94" s="22" t="n">
        <v>42248</v>
      </c>
      <c r="B94" s="23">
        <f>IF($BM94=0,NA(),SUMIFS(Entries!$E$2:$E$5000,Entries!$C$2:$C$5000,"Income",Entries!$A$2:$A$5000,"&gt;="&amp;$A94,Entries!$A$2:$A$5000,"&lt;"&amp;EDATE($A94,1)))</f>
        <v/>
      </c>
      <c r="C94" s="23">
        <f>IF($BM94=0,"",SUMIFS(Entries!$E$2:$E$5000,Entries!$C$2:$C$5000,"Actual",Entries!$A$2:$A$5000,"&gt;="&amp;$A94,Entries!$A$2:$A$5000,"&lt;"&amp;EDATE($A94,1)))</f>
        <v/>
      </c>
      <c r="D94" s="23">
        <f>IF($BM94=0,"",SUMIFS(Entries!$E$2:$E$5000,Entries!$C$2:$C$5000,"One-off",Entries!$A$2:$A$5000,"&gt;="&amp;$A94,Entries!$A$2:$A$5000,"&lt;"&amp;EDATE($A94,1)))</f>
        <v/>
      </c>
      <c r="E94" s="23">
        <f>IF($BM94=0,NA(),C94+D94)</f>
        <v/>
      </c>
      <c r="F94" s="23">
        <f>IF($BM94=0,"",SUM(AR94:BK94))</f>
        <v/>
      </c>
      <c r="G94" s="23">
        <f>IF($BM94=0,"",B94-E94)</f>
        <v/>
      </c>
      <c r="H94" s="23">
        <f>IF($BM94=0,"",SUM($G$2:G94))</f>
        <v/>
      </c>
      <c r="I94" s="23">
        <f>IF($BM94=0,"",SUMIFS(Entries!$G$2:$G$5000,Entries!$A$2:$A$5000,"&gt;="&amp;$A94,Entries!$A$2:$A$5000,"&lt;"&amp;EDATE($A94,1)))</f>
        <v/>
      </c>
      <c r="J94" s="23">
        <f>IF($BM94=0,NA(),H94)</f>
        <v/>
      </c>
      <c r="K94" s="23">
        <f>IF($BM94=0,"",SUMIFS(Entries!$E$2:$E$5000,Entries!$C$2:$C$5000,"Income",Entries!$A$2:$A$5000,"&gt;="&amp;EDATE($A94,-11),Entries!$A$2:$A$5000,"&lt;"&amp;EDATE($A94,1))/COUNTIFS($A$2:$A$400,"&gt;="&amp;EDATE($A94,-11),$A$2:$A$400,"&lt;"&amp;EDATE($A94,1),$BM$2:$BM$400,"&gt;0"))</f>
      </c>
      <c r="L94" s="23">
        <f>IF($BM94=0,"",(SUMIFS(Entries!$E$2:$E$5000,Entries!$C$2:$C$5000,"Actual",Entries!$A$2:$A$5000,"&gt;="&amp;EDATE($A94,-11),Entries!$A$2:$A$5000,"&lt;"&amp;EDATE($A94,1))+SUMIFS(Entries!$E$2:$E$5000,Entries!$C$2:$C$5000,"One-off",Entries!$A$2:$A$5000,"&gt;="&amp;EDATE($A94,-11),Entries!$A$2:$A$5000,"&lt;"&amp;EDATE($A94,1)))/COUNTIFS($A$2:$A$400,"&gt;="&amp;EDATE($A94,-11),$A$2:$A$400,"&lt;"&amp;EDATE($A94,1),$BM$2:$BM$400,"&gt;0"))</f>
      </c>
      <c r="M94" s="24">
        <f>IF($BM94=0,NA(),IFERROR((K94-L94)/K94,0))</f>
        <v/>
      </c>
      <c r="N94" s="23">
        <f>IF($BM94=0,NA(),SUMIFS(Entries!$E$2:$E$5000,Entries!$D$2:$D$5000,"Core",Entries!$A$2:$A$5000,"&gt;="&amp;$A94,Entries!$A$2:$A$5000,"&lt;"&amp;EDATE($A94,1)))</f>
        <v/>
      </c>
      <c r="O94" s="23">
        <f>IF($BM94=0,NA(),SUMIFS(Entries!$E$2:$E$5000,Entries!$D$2:$D$5000,"Over &amp; above",Entries!$A$2:$A$5000,"&gt;="&amp;$A94,Entries!$A$2:$A$5000,"&lt;"&amp;EDATE($A94,1)))</f>
        <v/>
      </c>
      <c r="P94" s="23">
        <f>IF($BM94=0,NA(),SUMIFS(Entries!$E$2:$E$5000,Entries!$D$2:$D$5000,"One-off",Entries!$A$2:$A$5000,"&gt;="&amp;$A94,Entries!$A$2:$A$5000,"&lt;"&amp;EDATE($A94,1)))</f>
        <v/>
      </c>
      <c r="Q94" s="23">
        <f>IF($BM94=0,NA(),SUMIFS(Entries!$E$2:$E$5000,Entries!$D$2:$D$5000,"Reimbursable",Entries!$A$2:$A$5000,"&gt;="&amp;$A94,Entries!$A$2:$A$5000,"&lt;"&amp;EDATE($A94,1)))</f>
        <v/>
      </c>
      <c r="R94" s="23">
        <f>IF($BM94=0,NA(),SUMIFS(Entries!$E$2:$E$5000,Entries!$D$2:$D$5000,"Investment",Entries!$A$2:$A$5000,"&gt;="&amp;$A94,Entries!$A$2:$A$5000,"&lt;"&amp;EDATE($A94,1)))</f>
        <v/>
      </c>
      <c r="S94" s="23">
        <f>IF($BM94=0,NA(),N94+O94)</f>
        <v/>
      </c>
      <c r="T94" s="23">
        <f>IF($BM94=0,"",E94-Q94)</f>
        <v/>
      </c>
      <c r="W94" s="23">
        <f>IF(OR(W$1="",$BM94=0),"",SUMIFS(Entries!$E$2:$E$5000,Entries!$C$2:$C$5000,"Actual",Entries!$A$2:$A$5000,"&gt;="&amp;$A94,Entries!$A$2:$A$5000,"&lt;"&amp;EDATE($A94,1),Entries!$B$2:$B$5000,W$1))</f>
        <v/>
      </c>
      <c r="X94" s="23">
        <f>IF(OR(X$1="",$BM94=0),"",SUMIFS(Entries!$E$2:$E$5000,Entries!$C$2:$C$5000,"Actual",Entries!$A$2:$A$5000,"&gt;="&amp;$A94,Entries!$A$2:$A$5000,"&lt;"&amp;EDATE($A94,1),Entries!$B$2:$B$5000,X$1))</f>
        <v/>
      </c>
      <c r="Y94" s="23">
        <f>IF(OR(Y$1="",$BM94=0),"",SUMIFS(Entries!$E$2:$E$5000,Entries!$C$2:$C$5000,"Actual",Entries!$A$2:$A$5000,"&gt;="&amp;$A94,Entries!$A$2:$A$5000,"&lt;"&amp;EDATE($A94,1),Entries!$B$2:$B$5000,Y$1))</f>
        <v/>
      </c>
      <c r="Z94" s="23">
        <f>IF(OR(Z$1="",$BM94=0),"",SUMIFS(Entries!$E$2:$E$5000,Entries!$C$2:$C$5000,"Actual",Entries!$A$2:$A$5000,"&gt;="&amp;$A94,Entries!$A$2:$A$5000,"&lt;"&amp;EDATE($A94,1),Entries!$B$2:$B$5000,Z$1))</f>
        <v/>
      </c>
      <c r="AA94" s="23">
        <f>IF(OR(AA$1="",$BM94=0),"",SUMIFS(Entries!$E$2:$E$5000,Entries!$C$2:$C$5000,"Actual",Entries!$A$2:$A$5000,"&gt;="&amp;$A94,Entries!$A$2:$A$5000,"&lt;"&amp;EDATE($A94,1),Entries!$B$2:$B$5000,AA$1))</f>
        <v/>
      </c>
      <c r="AB94" s="23">
        <f>IF(OR(AB$1="",$BM94=0),"",SUMIFS(Entries!$E$2:$E$5000,Entries!$C$2:$C$5000,"Actual",Entries!$A$2:$A$5000,"&gt;="&amp;$A94,Entries!$A$2:$A$5000,"&lt;"&amp;EDATE($A94,1),Entries!$B$2:$B$5000,AB$1))</f>
        <v/>
      </c>
      <c r="AC94" s="23">
        <f>IF(OR(AC$1="",$BM94=0),"",SUMIFS(Entries!$E$2:$E$5000,Entries!$C$2:$C$5000,"Actual",Entries!$A$2:$A$5000,"&gt;="&amp;$A94,Entries!$A$2:$A$5000,"&lt;"&amp;EDATE($A94,1),Entries!$B$2:$B$5000,AC$1))</f>
        <v/>
      </c>
      <c r="AD94" s="23">
        <f>IF(OR(AD$1="",$BM94=0),"",SUMIFS(Entries!$E$2:$E$5000,Entries!$C$2:$C$5000,"Actual",Entries!$A$2:$A$5000,"&gt;="&amp;$A94,Entries!$A$2:$A$5000,"&lt;"&amp;EDATE($A94,1),Entries!$B$2:$B$5000,AD$1))</f>
        <v/>
      </c>
      <c r="AE94" s="23">
        <f>IF(OR(AE$1="",$BM94=0),"",SUMIFS(Entries!$E$2:$E$5000,Entries!$C$2:$C$5000,"Actual",Entries!$A$2:$A$5000,"&gt;="&amp;$A94,Entries!$A$2:$A$5000,"&lt;"&amp;EDATE($A94,1),Entries!$B$2:$B$5000,AE$1))</f>
        <v/>
      </c>
      <c r="AF94" s="23">
        <f>IF(OR(AF$1="",$BM94=0),"",SUMIFS(Entries!$E$2:$E$5000,Entries!$C$2:$C$5000,"Actual",Entries!$A$2:$A$5000,"&gt;="&amp;$A94,Entries!$A$2:$A$5000,"&lt;"&amp;EDATE($A94,1),Entries!$B$2:$B$5000,AF$1))</f>
        <v/>
      </c>
      <c r="AG94" s="23">
        <f>IF(OR(AG$1="",$BM94=0),"",SUMIFS(Entries!$E$2:$E$5000,Entries!$C$2:$C$5000,"Actual",Entries!$A$2:$A$5000,"&gt;="&amp;$A94,Entries!$A$2:$A$5000,"&lt;"&amp;EDATE($A94,1),Entries!$B$2:$B$5000,AG$1))</f>
        <v/>
      </c>
      <c r="AH94" s="23">
        <f>IF(OR(AH$1="",$BM94=0),"",SUMIFS(Entries!$E$2:$E$5000,Entries!$C$2:$C$5000,"Actual",Entries!$A$2:$A$5000,"&gt;="&amp;$A94,Entries!$A$2:$A$5000,"&lt;"&amp;EDATE($A94,1),Entries!$B$2:$B$5000,AH$1))</f>
        <v/>
      </c>
      <c r="AI94" s="23">
        <f>IF(OR(AI$1="",$BM94=0),"",SUMIFS(Entries!$E$2:$E$5000,Entries!$C$2:$C$5000,"Actual",Entries!$A$2:$A$5000,"&gt;="&amp;$A94,Entries!$A$2:$A$5000,"&lt;"&amp;EDATE($A94,1),Entries!$B$2:$B$5000,AI$1))</f>
        <v/>
      </c>
      <c r="AJ94" s="23">
        <f>IF(OR(AJ$1="",$BM94=0),"",SUMIFS(Entries!$E$2:$E$5000,Entries!$C$2:$C$5000,"Actual",Entries!$A$2:$A$5000,"&gt;="&amp;$A94,Entries!$A$2:$A$5000,"&lt;"&amp;EDATE($A94,1),Entries!$B$2:$B$5000,AJ$1))</f>
        <v/>
      </c>
      <c r="AK94" s="23">
        <f>IF(OR(AK$1="",$BM94=0),"",SUMIFS(Entries!$E$2:$E$5000,Entries!$C$2:$C$5000,"Actual",Entries!$A$2:$A$5000,"&gt;="&amp;$A94,Entries!$A$2:$A$5000,"&lt;"&amp;EDATE($A94,1),Entries!$B$2:$B$5000,AK$1))</f>
        <v/>
      </c>
      <c r="AL94" s="23">
        <f>IF(OR(AL$1="",$BM94=0),"",SUMIFS(Entries!$E$2:$E$5000,Entries!$C$2:$C$5000,"Actual",Entries!$A$2:$A$5000,"&gt;="&amp;$A94,Entries!$A$2:$A$5000,"&lt;"&amp;EDATE($A94,1),Entries!$B$2:$B$5000,AL$1))</f>
        <v/>
      </c>
      <c r="AM94" s="23">
        <f>IF(OR(AM$1="",$BM94=0),"",SUMIFS(Entries!$E$2:$E$5000,Entries!$C$2:$C$5000,"Actual",Entries!$A$2:$A$5000,"&gt;="&amp;$A94,Entries!$A$2:$A$5000,"&lt;"&amp;EDATE($A94,1),Entries!$B$2:$B$5000,AM$1))</f>
        <v/>
      </c>
      <c r="AN94" s="23">
        <f>IF(OR(AN$1="",$BM94=0),"",SUMIFS(Entries!$E$2:$E$5000,Entries!$C$2:$C$5000,"Actual",Entries!$A$2:$A$5000,"&gt;="&amp;$A94,Entries!$A$2:$A$5000,"&lt;"&amp;EDATE($A94,1),Entries!$B$2:$B$5000,AN$1))</f>
        <v/>
      </c>
      <c r="AO94" s="23">
        <f>IF(OR(AO$1="",$BM94=0),"",SUMIFS(Entries!$E$2:$E$5000,Entries!$C$2:$C$5000,"Actual",Entries!$A$2:$A$5000,"&gt;="&amp;$A94,Entries!$A$2:$A$5000,"&lt;"&amp;EDATE($A94,1),Entries!$B$2:$B$5000,AO$1))</f>
        <v/>
      </c>
      <c r="AP94" s="23">
        <f>IF(OR(AP$1="",$BM94=0),"",SUMIFS(Entries!$E$2:$E$5000,Entries!$C$2:$C$5000,"Actual",Entries!$A$2:$A$5000,"&gt;="&amp;$A94,Entries!$A$2:$A$5000,"&lt;"&amp;EDATE($A94,1),Entries!$B$2:$B$5000,AP$1))</f>
        <v/>
      </c>
      <c r="AR94" s="23">
        <f>IF(OR(AR$1="",$BM94=0),"",IFERROR(LOOKUP(2,1/((Budgets!$A$2:$A$200=AR$1)*(Budgets!$B$2:$B$200&lt;EDATE($A94,1))),Budgets!$C$2:$C$200),0))</f>
        <v/>
      </c>
      <c r="AS94" s="23">
        <f>IF(OR(AS$1="",$BM94=0),"",IFERROR(LOOKUP(2,1/((Budgets!$A$2:$A$200=AS$1)*(Budgets!$B$2:$B$200&lt;EDATE($A94,1))),Budgets!$C$2:$C$200),0))</f>
        <v/>
      </c>
      <c r="AT94" s="23">
        <f>IF(OR(AT$1="",$BM94=0),"",IFERROR(LOOKUP(2,1/((Budgets!$A$2:$A$200=AT$1)*(Budgets!$B$2:$B$200&lt;EDATE($A94,1))),Budgets!$C$2:$C$200),0))</f>
        <v/>
      </c>
      <c r="AU94" s="23">
        <f>IF(OR(AU$1="",$BM94=0),"",IFERROR(LOOKUP(2,1/((Budgets!$A$2:$A$200=AU$1)*(Budgets!$B$2:$B$200&lt;EDATE($A94,1))),Budgets!$C$2:$C$200),0))</f>
        <v/>
      </c>
      <c r="AV94" s="23">
        <f>IF(OR(AV$1="",$BM94=0),"",IFERROR(LOOKUP(2,1/((Budgets!$A$2:$A$200=AV$1)*(Budgets!$B$2:$B$200&lt;EDATE($A94,1))),Budgets!$C$2:$C$200),0))</f>
        <v/>
      </c>
      <c r="AW94" s="23">
        <f>IF(OR(AW$1="",$BM94=0),"",IFERROR(LOOKUP(2,1/((Budgets!$A$2:$A$200=AW$1)*(Budgets!$B$2:$B$200&lt;EDATE($A94,1))),Budgets!$C$2:$C$200),0))</f>
        <v/>
      </c>
      <c r="AX94" s="23">
        <f>IF(OR(AX$1="",$BM94=0),"",IFERROR(LOOKUP(2,1/((Budgets!$A$2:$A$200=AX$1)*(Budgets!$B$2:$B$200&lt;EDATE($A94,1))),Budgets!$C$2:$C$200),0))</f>
        <v/>
      </c>
      <c r="AY94" s="23">
        <f>IF(OR(AY$1="",$BM94=0),"",IFERROR(LOOKUP(2,1/((Budgets!$A$2:$A$200=AY$1)*(Budgets!$B$2:$B$200&lt;EDATE($A94,1))),Budgets!$C$2:$C$200),0))</f>
        <v/>
      </c>
      <c r="AZ94" s="23">
        <f>IF(OR(AZ$1="",$BM94=0),"",IFERROR(LOOKUP(2,1/((Budgets!$A$2:$A$200=AZ$1)*(Budgets!$B$2:$B$200&lt;EDATE($A94,1))),Budgets!$C$2:$C$200),0))</f>
        <v/>
      </c>
      <c r="BA94" s="23">
        <f>IF(OR(BA$1="",$BM94=0),"",IFERROR(LOOKUP(2,1/((Budgets!$A$2:$A$200=BA$1)*(Budgets!$B$2:$B$200&lt;EDATE($A94,1))),Budgets!$C$2:$C$200),0))</f>
        <v/>
      </c>
      <c r="BB94" s="23">
        <f>IF(OR(BB$1="",$BM94=0),"",IFERROR(LOOKUP(2,1/((Budgets!$A$2:$A$200=BB$1)*(Budgets!$B$2:$B$200&lt;EDATE($A94,1))),Budgets!$C$2:$C$200),0))</f>
        <v/>
      </c>
      <c r="BC94" s="23">
        <f>IF(OR(BC$1="",$BM94=0),"",IFERROR(LOOKUP(2,1/((Budgets!$A$2:$A$200=BC$1)*(Budgets!$B$2:$B$200&lt;EDATE($A94,1))),Budgets!$C$2:$C$200),0))</f>
        <v/>
      </c>
      <c r="BD94" s="23">
        <f>IF(OR(BD$1="",$BM94=0),"",IFERROR(LOOKUP(2,1/((Budgets!$A$2:$A$200=BD$1)*(Budgets!$B$2:$B$200&lt;EDATE($A94,1))),Budgets!$C$2:$C$200),0))</f>
        <v/>
      </c>
      <c r="BE94" s="23">
        <f>IF(OR(BE$1="",$BM94=0),"",IFERROR(LOOKUP(2,1/((Budgets!$A$2:$A$200=BE$1)*(Budgets!$B$2:$B$200&lt;EDATE($A94,1))),Budgets!$C$2:$C$200),0))</f>
        <v/>
      </c>
      <c r="BF94" s="23">
        <f>IF(OR(BF$1="",$BM94=0),"",IFERROR(LOOKUP(2,1/((Budgets!$A$2:$A$200=BF$1)*(Budgets!$B$2:$B$200&lt;EDATE($A94,1))),Budgets!$C$2:$C$200),0))</f>
        <v/>
      </c>
      <c r="BG94" s="23">
        <f>IF(OR(BG$1="",$BM94=0),"",IFERROR(LOOKUP(2,1/((Budgets!$A$2:$A$200=BG$1)*(Budgets!$B$2:$B$200&lt;EDATE($A94,1))),Budgets!$C$2:$C$200),0))</f>
        <v/>
      </c>
      <c r="BH94" s="23">
        <f>IF(OR(BH$1="",$BM94=0),"",IFERROR(LOOKUP(2,1/((Budgets!$A$2:$A$200=BH$1)*(Budgets!$B$2:$B$200&lt;EDATE($A94,1))),Budgets!$C$2:$C$200),0))</f>
        <v/>
      </c>
      <c r="BI94" s="23">
        <f>IF(OR(BI$1="",$BM94=0),"",IFERROR(LOOKUP(2,1/((Budgets!$A$2:$A$200=BI$1)*(Budgets!$B$2:$B$200&lt;EDATE($A94,1))),Budgets!$C$2:$C$200),0))</f>
        <v/>
      </c>
      <c r="BJ94" s="23">
        <f>IF(OR(BJ$1="",$BM94=0),"",IFERROR(LOOKUP(2,1/((Budgets!$A$2:$A$200=BJ$1)*(Budgets!$B$2:$B$200&lt;EDATE($A94,1))),Budgets!$C$2:$C$200),0))</f>
        <v/>
      </c>
      <c r="BK94" s="23">
        <f>IF(OR(BK$1="",$BM94=0),"",IFERROR(LOOKUP(2,1/((Budgets!$A$2:$A$200=BK$1)*(Budgets!$B$2:$B$200&lt;EDATE($A94,1))),Budgets!$C$2:$C$200),0))</f>
        <v/>
      </c>
      <c r="BM94" s="21">
        <f>COUNTIFS(Entries!$A$2:$A$5000,"&gt;="&amp;$A94,Entries!$A$2:$A$5000,"&lt;"&amp;EDATE($A94,1))</f>
        <v/>
      </c>
    </row>
    <row r="95">
      <c r="A95" s="22" t="n">
        <v>42278</v>
      </c>
      <c r="B95" s="23">
        <f>IF($BM95=0,NA(),SUMIFS(Entries!$E$2:$E$5000,Entries!$C$2:$C$5000,"Income",Entries!$A$2:$A$5000,"&gt;="&amp;$A95,Entries!$A$2:$A$5000,"&lt;"&amp;EDATE($A95,1)))</f>
        <v/>
      </c>
      <c r="C95" s="23">
        <f>IF($BM95=0,"",SUMIFS(Entries!$E$2:$E$5000,Entries!$C$2:$C$5000,"Actual",Entries!$A$2:$A$5000,"&gt;="&amp;$A95,Entries!$A$2:$A$5000,"&lt;"&amp;EDATE($A95,1)))</f>
        <v/>
      </c>
      <c r="D95" s="23">
        <f>IF($BM95=0,"",SUMIFS(Entries!$E$2:$E$5000,Entries!$C$2:$C$5000,"One-off",Entries!$A$2:$A$5000,"&gt;="&amp;$A95,Entries!$A$2:$A$5000,"&lt;"&amp;EDATE($A95,1)))</f>
        <v/>
      </c>
      <c r="E95" s="23">
        <f>IF($BM95=0,NA(),C95+D95)</f>
        <v/>
      </c>
      <c r="F95" s="23">
        <f>IF($BM95=0,"",SUM(AR95:BK95))</f>
        <v/>
      </c>
      <c r="G95" s="23">
        <f>IF($BM95=0,"",B95-E95)</f>
        <v/>
      </c>
      <c r="H95" s="23">
        <f>IF($BM95=0,"",SUM($G$2:G95))</f>
        <v/>
      </c>
      <c r="I95" s="23">
        <f>IF($BM95=0,"",SUMIFS(Entries!$G$2:$G$5000,Entries!$A$2:$A$5000,"&gt;="&amp;$A95,Entries!$A$2:$A$5000,"&lt;"&amp;EDATE($A95,1)))</f>
        <v/>
      </c>
      <c r="J95" s="23">
        <f>IF($BM95=0,NA(),H95)</f>
        <v/>
      </c>
      <c r="K95" s="23">
        <f>IF($BM95=0,"",SUMIFS(Entries!$E$2:$E$5000,Entries!$C$2:$C$5000,"Income",Entries!$A$2:$A$5000,"&gt;="&amp;EDATE($A95,-11),Entries!$A$2:$A$5000,"&lt;"&amp;EDATE($A95,1))/COUNTIFS($A$2:$A$400,"&gt;="&amp;EDATE($A95,-11),$A$2:$A$400,"&lt;"&amp;EDATE($A95,1),$BM$2:$BM$400,"&gt;0"))</f>
      </c>
      <c r="L95" s="23">
        <f>IF($BM95=0,"",(SUMIFS(Entries!$E$2:$E$5000,Entries!$C$2:$C$5000,"Actual",Entries!$A$2:$A$5000,"&gt;="&amp;EDATE($A95,-11),Entries!$A$2:$A$5000,"&lt;"&amp;EDATE($A95,1))+SUMIFS(Entries!$E$2:$E$5000,Entries!$C$2:$C$5000,"One-off",Entries!$A$2:$A$5000,"&gt;="&amp;EDATE($A95,-11),Entries!$A$2:$A$5000,"&lt;"&amp;EDATE($A95,1)))/COUNTIFS($A$2:$A$400,"&gt;="&amp;EDATE($A95,-11),$A$2:$A$400,"&lt;"&amp;EDATE($A95,1),$BM$2:$BM$400,"&gt;0"))</f>
      </c>
      <c r="M95" s="24">
        <f>IF($BM95=0,NA(),IFERROR((K95-L95)/K95,0))</f>
        <v/>
      </c>
      <c r="N95" s="23">
        <f>IF($BM95=0,NA(),SUMIFS(Entries!$E$2:$E$5000,Entries!$D$2:$D$5000,"Core",Entries!$A$2:$A$5000,"&gt;="&amp;$A95,Entries!$A$2:$A$5000,"&lt;"&amp;EDATE($A95,1)))</f>
        <v/>
      </c>
      <c r="O95" s="23">
        <f>IF($BM95=0,NA(),SUMIFS(Entries!$E$2:$E$5000,Entries!$D$2:$D$5000,"Over &amp; above",Entries!$A$2:$A$5000,"&gt;="&amp;$A95,Entries!$A$2:$A$5000,"&lt;"&amp;EDATE($A95,1)))</f>
        <v/>
      </c>
      <c r="P95" s="23">
        <f>IF($BM95=0,NA(),SUMIFS(Entries!$E$2:$E$5000,Entries!$D$2:$D$5000,"One-off",Entries!$A$2:$A$5000,"&gt;="&amp;$A95,Entries!$A$2:$A$5000,"&lt;"&amp;EDATE($A95,1)))</f>
        <v/>
      </c>
      <c r="Q95" s="23">
        <f>IF($BM95=0,NA(),SUMIFS(Entries!$E$2:$E$5000,Entries!$D$2:$D$5000,"Reimbursable",Entries!$A$2:$A$5000,"&gt;="&amp;$A95,Entries!$A$2:$A$5000,"&lt;"&amp;EDATE($A95,1)))</f>
        <v/>
      </c>
      <c r="R95" s="23">
        <f>IF($BM95=0,NA(),SUMIFS(Entries!$E$2:$E$5000,Entries!$D$2:$D$5000,"Investment",Entries!$A$2:$A$5000,"&gt;="&amp;$A95,Entries!$A$2:$A$5000,"&lt;"&amp;EDATE($A95,1)))</f>
        <v/>
      </c>
      <c r="S95" s="23">
        <f>IF($BM95=0,NA(),N95+O95)</f>
        <v/>
      </c>
      <c r="T95" s="23">
        <f>IF($BM95=0,"",E95-Q95)</f>
        <v/>
      </c>
      <c r="W95" s="23">
        <f>IF(OR(W$1="",$BM95=0),"",SUMIFS(Entries!$E$2:$E$5000,Entries!$C$2:$C$5000,"Actual",Entries!$A$2:$A$5000,"&gt;="&amp;$A95,Entries!$A$2:$A$5000,"&lt;"&amp;EDATE($A95,1),Entries!$B$2:$B$5000,W$1))</f>
        <v/>
      </c>
      <c r="X95" s="23">
        <f>IF(OR(X$1="",$BM95=0),"",SUMIFS(Entries!$E$2:$E$5000,Entries!$C$2:$C$5000,"Actual",Entries!$A$2:$A$5000,"&gt;="&amp;$A95,Entries!$A$2:$A$5000,"&lt;"&amp;EDATE($A95,1),Entries!$B$2:$B$5000,X$1))</f>
        <v/>
      </c>
      <c r="Y95" s="23">
        <f>IF(OR(Y$1="",$BM95=0),"",SUMIFS(Entries!$E$2:$E$5000,Entries!$C$2:$C$5000,"Actual",Entries!$A$2:$A$5000,"&gt;="&amp;$A95,Entries!$A$2:$A$5000,"&lt;"&amp;EDATE($A95,1),Entries!$B$2:$B$5000,Y$1))</f>
        <v/>
      </c>
      <c r="Z95" s="23">
        <f>IF(OR(Z$1="",$BM95=0),"",SUMIFS(Entries!$E$2:$E$5000,Entries!$C$2:$C$5000,"Actual",Entries!$A$2:$A$5000,"&gt;="&amp;$A95,Entries!$A$2:$A$5000,"&lt;"&amp;EDATE($A95,1),Entries!$B$2:$B$5000,Z$1))</f>
        <v/>
      </c>
      <c r="AA95" s="23">
        <f>IF(OR(AA$1="",$BM95=0),"",SUMIFS(Entries!$E$2:$E$5000,Entries!$C$2:$C$5000,"Actual",Entries!$A$2:$A$5000,"&gt;="&amp;$A95,Entries!$A$2:$A$5000,"&lt;"&amp;EDATE($A95,1),Entries!$B$2:$B$5000,AA$1))</f>
        <v/>
      </c>
      <c r="AB95" s="23">
        <f>IF(OR(AB$1="",$BM95=0),"",SUMIFS(Entries!$E$2:$E$5000,Entries!$C$2:$C$5000,"Actual",Entries!$A$2:$A$5000,"&gt;="&amp;$A95,Entries!$A$2:$A$5000,"&lt;"&amp;EDATE($A95,1),Entries!$B$2:$B$5000,AB$1))</f>
        <v/>
      </c>
      <c r="AC95" s="23">
        <f>IF(OR(AC$1="",$BM95=0),"",SUMIFS(Entries!$E$2:$E$5000,Entries!$C$2:$C$5000,"Actual",Entries!$A$2:$A$5000,"&gt;="&amp;$A95,Entries!$A$2:$A$5000,"&lt;"&amp;EDATE($A95,1),Entries!$B$2:$B$5000,AC$1))</f>
        <v/>
      </c>
      <c r="AD95" s="23">
        <f>IF(OR(AD$1="",$BM95=0),"",SUMIFS(Entries!$E$2:$E$5000,Entries!$C$2:$C$5000,"Actual",Entries!$A$2:$A$5000,"&gt;="&amp;$A95,Entries!$A$2:$A$5000,"&lt;"&amp;EDATE($A95,1),Entries!$B$2:$B$5000,AD$1))</f>
        <v/>
      </c>
      <c r="AE95" s="23">
        <f>IF(OR(AE$1="",$BM95=0),"",SUMIFS(Entries!$E$2:$E$5000,Entries!$C$2:$C$5000,"Actual",Entries!$A$2:$A$5000,"&gt;="&amp;$A95,Entries!$A$2:$A$5000,"&lt;"&amp;EDATE($A95,1),Entries!$B$2:$B$5000,AE$1))</f>
        <v/>
      </c>
      <c r="AF95" s="23">
        <f>IF(OR(AF$1="",$BM95=0),"",SUMIFS(Entries!$E$2:$E$5000,Entries!$C$2:$C$5000,"Actual",Entries!$A$2:$A$5000,"&gt;="&amp;$A95,Entries!$A$2:$A$5000,"&lt;"&amp;EDATE($A95,1),Entries!$B$2:$B$5000,AF$1))</f>
        <v/>
      </c>
      <c r="AG95" s="23">
        <f>IF(OR(AG$1="",$BM95=0),"",SUMIFS(Entries!$E$2:$E$5000,Entries!$C$2:$C$5000,"Actual",Entries!$A$2:$A$5000,"&gt;="&amp;$A95,Entries!$A$2:$A$5000,"&lt;"&amp;EDATE($A95,1),Entries!$B$2:$B$5000,AG$1))</f>
        <v/>
      </c>
      <c r="AH95" s="23">
        <f>IF(OR(AH$1="",$BM95=0),"",SUMIFS(Entries!$E$2:$E$5000,Entries!$C$2:$C$5000,"Actual",Entries!$A$2:$A$5000,"&gt;="&amp;$A95,Entries!$A$2:$A$5000,"&lt;"&amp;EDATE($A95,1),Entries!$B$2:$B$5000,AH$1))</f>
        <v/>
      </c>
      <c r="AI95" s="23">
        <f>IF(OR(AI$1="",$BM95=0),"",SUMIFS(Entries!$E$2:$E$5000,Entries!$C$2:$C$5000,"Actual",Entries!$A$2:$A$5000,"&gt;="&amp;$A95,Entries!$A$2:$A$5000,"&lt;"&amp;EDATE($A95,1),Entries!$B$2:$B$5000,AI$1))</f>
        <v/>
      </c>
      <c r="AJ95" s="23">
        <f>IF(OR(AJ$1="",$BM95=0),"",SUMIFS(Entries!$E$2:$E$5000,Entries!$C$2:$C$5000,"Actual",Entries!$A$2:$A$5000,"&gt;="&amp;$A95,Entries!$A$2:$A$5000,"&lt;"&amp;EDATE($A95,1),Entries!$B$2:$B$5000,AJ$1))</f>
        <v/>
      </c>
      <c r="AK95" s="23">
        <f>IF(OR(AK$1="",$BM95=0),"",SUMIFS(Entries!$E$2:$E$5000,Entries!$C$2:$C$5000,"Actual",Entries!$A$2:$A$5000,"&gt;="&amp;$A95,Entries!$A$2:$A$5000,"&lt;"&amp;EDATE($A95,1),Entries!$B$2:$B$5000,AK$1))</f>
        <v/>
      </c>
      <c r="AL95" s="23">
        <f>IF(OR(AL$1="",$BM95=0),"",SUMIFS(Entries!$E$2:$E$5000,Entries!$C$2:$C$5000,"Actual",Entries!$A$2:$A$5000,"&gt;="&amp;$A95,Entries!$A$2:$A$5000,"&lt;"&amp;EDATE($A95,1),Entries!$B$2:$B$5000,AL$1))</f>
        <v/>
      </c>
      <c r="AM95" s="23">
        <f>IF(OR(AM$1="",$BM95=0),"",SUMIFS(Entries!$E$2:$E$5000,Entries!$C$2:$C$5000,"Actual",Entries!$A$2:$A$5000,"&gt;="&amp;$A95,Entries!$A$2:$A$5000,"&lt;"&amp;EDATE($A95,1),Entries!$B$2:$B$5000,AM$1))</f>
        <v/>
      </c>
      <c r="AN95" s="23">
        <f>IF(OR(AN$1="",$BM95=0),"",SUMIFS(Entries!$E$2:$E$5000,Entries!$C$2:$C$5000,"Actual",Entries!$A$2:$A$5000,"&gt;="&amp;$A95,Entries!$A$2:$A$5000,"&lt;"&amp;EDATE($A95,1),Entries!$B$2:$B$5000,AN$1))</f>
        <v/>
      </c>
      <c r="AO95" s="23">
        <f>IF(OR(AO$1="",$BM95=0),"",SUMIFS(Entries!$E$2:$E$5000,Entries!$C$2:$C$5000,"Actual",Entries!$A$2:$A$5000,"&gt;="&amp;$A95,Entries!$A$2:$A$5000,"&lt;"&amp;EDATE($A95,1),Entries!$B$2:$B$5000,AO$1))</f>
        <v/>
      </c>
      <c r="AP95" s="23">
        <f>IF(OR(AP$1="",$BM95=0),"",SUMIFS(Entries!$E$2:$E$5000,Entries!$C$2:$C$5000,"Actual",Entries!$A$2:$A$5000,"&gt;="&amp;$A95,Entries!$A$2:$A$5000,"&lt;"&amp;EDATE($A95,1),Entries!$B$2:$B$5000,AP$1))</f>
        <v/>
      </c>
      <c r="AR95" s="23">
        <f>IF(OR(AR$1="",$BM95=0),"",IFERROR(LOOKUP(2,1/((Budgets!$A$2:$A$200=AR$1)*(Budgets!$B$2:$B$200&lt;EDATE($A95,1))),Budgets!$C$2:$C$200),0))</f>
        <v/>
      </c>
      <c r="AS95" s="23">
        <f>IF(OR(AS$1="",$BM95=0),"",IFERROR(LOOKUP(2,1/((Budgets!$A$2:$A$200=AS$1)*(Budgets!$B$2:$B$200&lt;EDATE($A95,1))),Budgets!$C$2:$C$200),0))</f>
        <v/>
      </c>
      <c r="AT95" s="23">
        <f>IF(OR(AT$1="",$BM95=0),"",IFERROR(LOOKUP(2,1/((Budgets!$A$2:$A$200=AT$1)*(Budgets!$B$2:$B$200&lt;EDATE($A95,1))),Budgets!$C$2:$C$200),0))</f>
        <v/>
      </c>
      <c r="AU95" s="23">
        <f>IF(OR(AU$1="",$BM95=0),"",IFERROR(LOOKUP(2,1/((Budgets!$A$2:$A$200=AU$1)*(Budgets!$B$2:$B$200&lt;EDATE($A95,1))),Budgets!$C$2:$C$200),0))</f>
        <v/>
      </c>
      <c r="AV95" s="23">
        <f>IF(OR(AV$1="",$BM95=0),"",IFERROR(LOOKUP(2,1/((Budgets!$A$2:$A$200=AV$1)*(Budgets!$B$2:$B$200&lt;EDATE($A95,1))),Budgets!$C$2:$C$200),0))</f>
        <v/>
      </c>
      <c r="AW95" s="23">
        <f>IF(OR(AW$1="",$BM95=0),"",IFERROR(LOOKUP(2,1/((Budgets!$A$2:$A$200=AW$1)*(Budgets!$B$2:$B$200&lt;EDATE($A95,1))),Budgets!$C$2:$C$200),0))</f>
        <v/>
      </c>
      <c r="AX95" s="23">
        <f>IF(OR(AX$1="",$BM95=0),"",IFERROR(LOOKUP(2,1/((Budgets!$A$2:$A$200=AX$1)*(Budgets!$B$2:$B$200&lt;EDATE($A95,1))),Budgets!$C$2:$C$200),0))</f>
        <v/>
      </c>
      <c r="AY95" s="23">
        <f>IF(OR(AY$1="",$BM95=0),"",IFERROR(LOOKUP(2,1/((Budgets!$A$2:$A$200=AY$1)*(Budgets!$B$2:$B$200&lt;EDATE($A95,1))),Budgets!$C$2:$C$200),0))</f>
        <v/>
      </c>
      <c r="AZ95" s="23">
        <f>IF(OR(AZ$1="",$BM95=0),"",IFERROR(LOOKUP(2,1/((Budgets!$A$2:$A$200=AZ$1)*(Budgets!$B$2:$B$200&lt;EDATE($A95,1))),Budgets!$C$2:$C$200),0))</f>
        <v/>
      </c>
      <c r="BA95" s="23">
        <f>IF(OR(BA$1="",$BM95=0),"",IFERROR(LOOKUP(2,1/((Budgets!$A$2:$A$200=BA$1)*(Budgets!$B$2:$B$200&lt;EDATE($A95,1))),Budgets!$C$2:$C$200),0))</f>
        <v/>
      </c>
      <c r="BB95" s="23">
        <f>IF(OR(BB$1="",$BM95=0),"",IFERROR(LOOKUP(2,1/((Budgets!$A$2:$A$200=BB$1)*(Budgets!$B$2:$B$200&lt;EDATE($A95,1))),Budgets!$C$2:$C$200),0))</f>
        <v/>
      </c>
      <c r="BC95" s="23">
        <f>IF(OR(BC$1="",$BM95=0),"",IFERROR(LOOKUP(2,1/((Budgets!$A$2:$A$200=BC$1)*(Budgets!$B$2:$B$200&lt;EDATE($A95,1))),Budgets!$C$2:$C$200),0))</f>
        <v/>
      </c>
      <c r="BD95" s="23">
        <f>IF(OR(BD$1="",$BM95=0),"",IFERROR(LOOKUP(2,1/((Budgets!$A$2:$A$200=BD$1)*(Budgets!$B$2:$B$200&lt;EDATE($A95,1))),Budgets!$C$2:$C$200),0))</f>
        <v/>
      </c>
      <c r="BE95" s="23">
        <f>IF(OR(BE$1="",$BM95=0),"",IFERROR(LOOKUP(2,1/((Budgets!$A$2:$A$200=BE$1)*(Budgets!$B$2:$B$200&lt;EDATE($A95,1))),Budgets!$C$2:$C$200),0))</f>
        <v/>
      </c>
      <c r="BF95" s="23">
        <f>IF(OR(BF$1="",$BM95=0),"",IFERROR(LOOKUP(2,1/((Budgets!$A$2:$A$200=BF$1)*(Budgets!$B$2:$B$200&lt;EDATE($A95,1))),Budgets!$C$2:$C$200),0))</f>
        <v/>
      </c>
      <c r="BG95" s="23">
        <f>IF(OR(BG$1="",$BM95=0),"",IFERROR(LOOKUP(2,1/((Budgets!$A$2:$A$200=BG$1)*(Budgets!$B$2:$B$200&lt;EDATE($A95,1))),Budgets!$C$2:$C$200),0))</f>
        <v/>
      </c>
      <c r="BH95" s="23">
        <f>IF(OR(BH$1="",$BM95=0),"",IFERROR(LOOKUP(2,1/((Budgets!$A$2:$A$200=BH$1)*(Budgets!$B$2:$B$200&lt;EDATE($A95,1))),Budgets!$C$2:$C$200),0))</f>
        <v/>
      </c>
      <c r="BI95" s="23">
        <f>IF(OR(BI$1="",$BM95=0),"",IFERROR(LOOKUP(2,1/((Budgets!$A$2:$A$200=BI$1)*(Budgets!$B$2:$B$200&lt;EDATE($A95,1))),Budgets!$C$2:$C$200),0))</f>
        <v/>
      </c>
      <c r="BJ95" s="23">
        <f>IF(OR(BJ$1="",$BM95=0),"",IFERROR(LOOKUP(2,1/((Budgets!$A$2:$A$200=BJ$1)*(Budgets!$B$2:$B$200&lt;EDATE($A95,1))),Budgets!$C$2:$C$200),0))</f>
        <v/>
      </c>
      <c r="BK95" s="23">
        <f>IF(OR(BK$1="",$BM95=0),"",IFERROR(LOOKUP(2,1/((Budgets!$A$2:$A$200=BK$1)*(Budgets!$B$2:$B$200&lt;EDATE($A95,1))),Budgets!$C$2:$C$200),0))</f>
        <v/>
      </c>
      <c r="BM95" s="21">
        <f>COUNTIFS(Entries!$A$2:$A$5000,"&gt;="&amp;$A95,Entries!$A$2:$A$5000,"&lt;"&amp;EDATE($A95,1))</f>
        <v/>
      </c>
    </row>
    <row r="96">
      <c r="A96" s="22" t="n">
        <v>42309</v>
      </c>
      <c r="B96" s="23">
        <f>IF($BM96=0,NA(),SUMIFS(Entries!$E$2:$E$5000,Entries!$C$2:$C$5000,"Income",Entries!$A$2:$A$5000,"&gt;="&amp;$A96,Entries!$A$2:$A$5000,"&lt;"&amp;EDATE($A96,1)))</f>
        <v/>
      </c>
      <c r="C96" s="23">
        <f>IF($BM96=0,"",SUMIFS(Entries!$E$2:$E$5000,Entries!$C$2:$C$5000,"Actual",Entries!$A$2:$A$5000,"&gt;="&amp;$A96,Entries!$A$2:$A$5000,"&lt;"&amp;EDATE($A96,1)))</f>
        <v/>
      </c>
      <c r="D96" s="23">
        <f>IF($BM96=0,"",SUMIFS(Entries!$E$2:$E$5000,Entries!$C$2:$C$5000,"One-off",Entries!$A$2:$A$5000,"&gt;="&amp;$A96,Entries!$A$2:$A$5000,"&lt;"&amp;EDATE($A96,1)))</f>
        <v/>
      </c>
      <c r="E96" s="23">
        <f>IF($BM96=0,NA(),C96+D96)</f>
        <v/>
      </c>
      <c r="F96" s="23">
        <f>IF($BM96=0,"",SUM(AR96:BK96))</f>
        <v/>
      </c>
      <c r="G96" s="23">
        <f>IF($BM96=0,"",B96-E96)</f>
        <v/>
      </c>
      <c r="H96" s="23">
        <f>IF($BM96=0,"",SUM($G$2:G96))</f>
        <v/>
      </c>
      <c r="I96" s="23">
        <f>IF($BM96=0,"",SUMIFS(Entries!$G$2:$G$5000,Entries!$A$2:$A$5000,"&gt;="&amp;$A96,Entries!$A$2:$A$5000,"&lt;"&amp;EDATE($A96,1)))</f>
        <v/>
      </c>
      <c r="J96" s="23">
        <f>IF($BM96=0,NA(),H96)</f>
        <v/>
      </c>
      <c r="K96" s="23">
        <f>IF($BM96=0,"",SUMIFS(Entries!$E$2:$E$5000,Entries!$C$2:$C$5000,"Income",Entries!$A$2:$A$5000,"&gt;="&amp;EDATE($A96,-11),Entries!$A$2:$A$5000,"&lt;"&amp;EDATE($A96,1))/COUNTIFS($A$2:$A$400,"&gt;="&amp;EDATE($A96,-11),$A$2:$A$400,"&lt;"&amp;EDATE($A96,1),$BM$2:$BM$400,"&gt;0"))</f>
      </c>
      <c r="L96" s="23">
        <f>IF($BM96=0,"",(SUMIFS(Entries!$E$2:$E$5000,Entries!$C$2:$C$5000,"Actual",Entries!$A$2:$A$5000,"&gt;="&amp;EDATE($A96,-11),Entries!$A$2:$A$5000,"&lt;"&amp;EDATE($A96,1))+SUMIFS(Entries!$E$2:$E$5000,Entries!$C$2:$C$5000,"One-off",Entries!$A$2:$A$5000,"&gt;="&amp;EDATE($A96,-11),Entries!$A$2:$A$5000,"&lt;"&amp;EDATE($A96,1)))/COUNTIFS($A$2:$A$400,"&gt;="&amp;EDATE($A96,-11),$A$2:$A$400,"&lt;"&amp;EDATE($A96,1),$BM$2:$BM$400,"&gt;0"))</f>
      </c>
      <c r="M96" s="24">
        <f>IF($BM96=0,NA(),IFERROR((K96-L96)/K96,0))</f>
        <v/>
      </c>
      <c r="N96" s="23">
        <f>IF($BM96=0,NA(),SUMIFS(Entries!$E$2:$E$5000,Entries!$D$2:$D$5000,"Core",Entries!$A$2:$A$5000,"&gt;="&amp;$A96,Entries!$A$2:$A$5000,"&lt;"&amp;EDATE($A96,1)))</f>
        <v/>
      </c>
      <c r="O96" s="23">
        <f>IF($BM96=0,NA(),SUMIFS(Entries!$E$2:$E$5000,Entries!$D$2:$D$5000,"Over &amp; above",Entries!$A$2:$A$5000,"&gt;="&amp;$A96,Entries!$A$2:$A$5000,"&lt;"&amp;EDATE($A96,1)))</f>
        <v/>
      </c>
      <c r="P96" s="23">
        <f>IF($BM96=0,NA(),SUMIFS(Entries!$E$2:$E$5000,Entries!$D$2:$D$5000,"One-off",Entries!$A$2:$A$5000,"&gt;="&amp;$A96,Entries!$A$2:$A$5000,"&lt;"&amp;EDATE($A96,1)))</f>
        <v/>
      </c>
      <c r="Q96" s="23">
        <f>IF($BM96=0,NA(),SUMIFS(Entries!$E$2:$E$5000,Entries!$D$2:$D$5000,"Reimbursable",Entries!$A$2:$A$5000,"&gt;="&amp;$A96,Entries!$A$2:$A$5000,"&lt;"&amp;EDATE($A96,1)))</f>
        <v/>
      </c>
      <c r="R96" s="23">
        <f>IF($BM96=0,NA(),SUMIFS(Entries!$E$2:$E$5000,Entries!$D$2:$D$5000,"Investment",Entries!$A$2:$A$5000,"&gt;="&amp;$A96,Entries!$A$2:$A$5000,"&lt;"&amp;EDATE($A96,1)))</f>
        <v/>
      </c>
      <c r="S96" s="23">
        <f>IF($BM96=0,NA(),N96+O96)</f>
        <v/>
      </c>
      <c r="T96" s="23">
        <f>IF($BM96=0,"",E96-Q96)</f>
        <v/>
      </c>
      <c r="W96" s="23">
        <f>IF(OR(W$1="",$BM96=0),"",SUMIFS(Entries!$E$2:$E$5000,Entries!$C$2:$C$5000,"Actual",Entries!$A$2:$A$5000,"&gt;="&amp;$A96,Entries!$A$2:$A$5000,"&lt;"&amp;EDATE($A96,1),Entries!$B$2:$B$5000,W$1))</f>
        <v/>
      </c>
      <c r="X96" s="23">
        <f>IF(OR(X$1="",$BM96=0),"",SUMIFS(Entries!$E$2:$E$5000,Entries!$C$2:$C$5000,"Actual",Entries!$A$2:$A$5000,"&gt;="&amp;$A96,Entries!$A$2:$A$5000,"&lt;"&amp;EDATE($A96,1),Entries!$B$2:$B$5000,X$1))</f>
        <v/>
      </c>
      <c r="Y96" s="23">
        <f>IF(OR(Y$1="",$BM96=0),"",SUMIFS(Entries!$E$2:$E$5000,Entries!$C$2:$C$5000,"Actual",Entries!$A$2:$A$5000,"&gt;="&amp;$A96,Entries!$A$2:$A$5000,"&lt;"&amp;EDATE($A96,1),Entries!$B$2:$B$5000,Y$1))</f>
        <v/>
      </c>
      <c r="Z96" s="23">
        <f>IF(OR(Z$1="",$BM96=0),"",SUMIFS(Entries!$E$2:$E$5000,Entries!$C$2:$C$5000,"Actual",Entries!$A$2:$A$5000,"&gt;="&amp;$A96,Entries!$A$2:$A$5000,"&lt;"&amp;EDATE($A96,1),Entries!$B$2:$B$5000,Z$1))</f>
        <v/>
      </c>
      <c r="AA96" s="23">
        <f>IF(OR(AA$1="",$BM96=0),"",SUMIFS(Entries!$E$2:$E$5000,Entries!$C$2:$C$5000,"Actual",Entries!$A$2:$A$5000,"&gt;="&amp;$A96,Entries!$A$2:$A$5000,"&lt;"&amp;EDATE($A96,1),Entries!$B$2:$B$5000,AA$1))</f>
        <v/>
      </c>
      <c r="AB96" s="23">
        <f>IF(OR(AB$1="",$BM96=0),"",SUMIFS(Entries!$E$2:$E$5000,Entries!$C$2:$C$5000,"Actual",Entries!$A$2:$A$5000,"&gt;="&amp;$A96,Entries!$A$2:$A$5000,"&lt;"&amp;EDATE($A96,1),Entries!$B$2:$B$5000,AB$1))</f>
        <v/>
      </c>
      <c r="AC96" s="23">
        <f>IF(OR(AC$1="",$BM96=0),"",SUMIFS(Entries!$E$2:$E$5000,Entries!$C$2:$C$5000,"Actual",Entries!$A$2:$A$5000,"&gt;="&amp;$A96,Entries!$A$2:$A$5000,"&lt;"&amp;EDATE($A96,1),Entries!$B$2:$B$5000,AC$1))</f>
        <v/>
      </c>
      <c r="AD96" s="23">
        <f>IF(OR(AD$1="",$BM96=0),"",SUMIFS(Entries!$E$2:$E$5000,Entries!$C$2:$C$5000,"Actual",Entries!$A$2:$A$5000,"&gt;="&amp;$A96,Entries!$A$2:$A$5000,"&lt;"&amp;EDATE($A96,1),Entries!$B$2:$B$5000,AD$1))</f>
        <v/>
      </c>
      <c r="AE96" s="23">
        <f>IF(OR(AE$1="",$BM96=0),"",SUMIFS(Entries!$E$2:$E$5000,Entries!$C$2:$C$5000,"Actual",Entries!$A$2:$A$5000,"&gt;="&amp;$A96,Entries!$A$2:$A$5000,"&lt;"&amp;EDATE($A96,1),Entries!$B$2:$B$5000,AE$1))</f>
        <v/>
      </c>
      <c r="AF96" s="23">
        <f>IF(OR(AF$1="",$BM96=0),"",SUMIFS(Entries!$E$2:$E$5000,Entries!$C$2:$C$5000,"Actual",Entries!$A$2:$A$5000,"&gt;="&amp;$A96,Entries!$A$2:$A$5000,"&lt;"&amp;EDATE($A96,1),Entries!$B$2:$B$5000,AF$1))</f>
        <v/>
      </c>
      <c r="AG96" s="23">
        <f>IF(OR(AG$1="",$BM96=0),"",SUMIFS(Entries!$E$2:$E$5000,Entries!$C$2:$C$5000,"Actual",Entries!$A$2:$A$5000,"&gt;="&amp;$A96,Entries!$A$2:$A$5000,"&lt;"&amp;EDATE($A96,1),Entries!$B$2:$B$5000,AG$1))</f>
        <v/>
      </c>
      <c r="AH96" s="23">
        <f>IF(OR(AH$1="",$BM96=0),"",SUMIFS(Entries!$E$2:$E$5000,Entries!$C$2:$C$5000,"Actual",Entries!$A$2:$A$5000,"&gt;="&amp;$A96,Entries!$A$2:$A$5000,"&lt;"&amp;EDATE($A96,1),Entries!$B$2:$B$5000,AH$1))</f>
        <v/>
      </c>
      <c r="AI96" s="23">
        <f>IF(OR(AI$1="",$BM96=0),"",SUMIFS(Entries!$E$2:$E$5000,Entries!$C$2:$C$5000,"Actual",Entries!$A$2:$A$5000,"&gt;="&amp;$A96,Entries!$A$2:$A$5000,"&lt;"&amp;EDATE($A96,1),Entries!$B$2:$B$5000,AI$1))</f>
        <v/>
      </c>
      <c r="AJ96" s="23">
        <f>IF(OR(AJ$1="",$BM96=0),"",SUMIFS(Entries!$E$2:$E$5000,Entries!$C$2:$C$5000,"Actual",Entries!$A$2:$A$5000,"&gt;="&amp;$A96,Entries!$A$2:$A$5000,"&lt;"&amp;EDATE($A96,1),Entries!$B$2:$B$5000,AJ$1))</f>
        <v/>
      </c>
      <c r="AK96" s="23">
        <f>IF(OR(AK$1="",$BM96=0),"",SUMIFS(Entries!$E$2:$E$5000,Entries!$C$2:$C$5000,"Actual",Entries!$A$2:$A$5000,"&gt;="&amp;$A96,Entries!$A$2:$A$5000,"&lt;"&amp;EDATE($A96,1),Entries!$B$2:$B$5000,AK$1))</f>
        <v/>
      </c>
      <c r="AL96" s="23">
        <f>IF(OR(AL$1="",$BM96=0),"",SUMIFS(Entries!$E$2:$E$5000,Entries!$C$2:$C$5000,"Actual",Entries!$A$2:$A$5000,"&gt;="&amp;$A96,Entries!$A$2:$A$5000,"&lt;"&amp;EDATE($A96,1),Entries!$B$2:$B$5000,AL$1))</f>
        <v/>
      </c>
      <c r="AM96" s="23">
        <f>IF(OR(AM$1="",$BM96=0),"",SUMIFS(Entries!$E$2:$E$5000,Entries!$C$2:$C$5000,"Actual",Entries!$A$2:$A$5000,"&gt;="&amp;$A96,Entries!$A$2:$A$5000,"&lt;"&amp;EDATE($A96,1),Entries!$B$2:$B$5000,AM$1))</f>
        <v/>
      </c>
      <c r="AN96" s="23">
        <f>IF(OR(AN$1="",$BM96=0),"",SUMIFS(Entries!$E$2:$E$5000,Entries!$C$2:$C$5000,"Actual",Entries!$A$2:$A$5000,"&gt;="&amp;$A96,Entries!$A$2:$A$5000,"&lt;"&amp;EDATE($A96,1),Entries!$B$2:$B$5000,AN$1))</f>
        <v/>
      </c>
      <c r="AO96" s="23">
        <f>IF(OR(AO$1="",$BM96=0),"",SUMIFS(Entries!$E$2:$E$5000,Entries!$C$2:$C$5000,"Actual",Entries!$A$2:$A$5000,"&gt;="&amp;$A96,Entries!$A$2:$A$5000,"&lt;"&amp;EDATE($A96,1),Entries!$B$2:$B$5000,AO$1))</f>
        <v/>
      </c>
      <c r="AP96" s="23">
        <f>IF(OR(AP$1="",$BM96=0),"",SUMIFS(Entries!$E$2:$E$5000,Entries!$C$2:$C$5000,"Actual",Entries!$A$2:$A$5000,"&gt;="&amp;$A96,Entries!$A$2:$A$5000,"&lt;"&amp;EDATE($A96,1),Entries!$B$2:$B$5000,AP$1))</f>
        <v/>
      </c>
      <c r="AR96" s="23">
        <f>IF(OR(AR$1="",$BM96=0),"",IFERROR(LOOKUP(2,1/((Budgets!$A$2:$A$200=AR$1)*(Budgets!$B$2:$B$200&lt;EDATE($A96,1))),Budgets!$C$2:$C$200),0))</f>
        <v/>
      </c>
      <c r="AS96" s="23">
        <f>IF(OR(AS$1="",$BM96=0),"",IFERROR(LOOKUP(2,1/((Budgets!$A$2:$A$200=AS$1)*(Budgets!$B$2:$B$200&lt;EDATE($A96,1))),Budgets!$C$2:$C$200),0))</f>
        <v/>
      </c>
      <c r="AT96" s="23">
        <f>IF(OR(AT$1="",$BM96=0),"",IFERROR(LOOKUP(2,1/((Budgets!$A$2:$A$200=AT$1)*(Budgets!$B$2:$B$200&lt;EDATE($A96,1))),Budgets!$C$2:$C$200),0))</f>
        <v/>
      </c>
      <c r="AU96" s="23">
        <f>IF(OR(AU$1="",$BM96=0),"",IFERROR(LOOKUP(2,1/((Budgets!$A$2:$A$200=AU$1)*(Budgets!$B$2:$B$200&lt;EDATE($A96,1))),Budgets!$C$2:$C$200),0))</f>
        <v/>
      </c>
      <c r="AV96" s="23">
        <f>IF(OR(AV$1="",$BM96=0),"",IFERROR(LOOKUP(2,1/((Budgets!$A$2:$A$200=AV$1)*(Budgets!$B$2:$B$200&lt;EDATE($A96,1))),Budgets!$C$2:$C$200),0))</f>
        <v/>
      </c>
      <c r="AW96" s="23">
        <f>IF(OR(AW$1="",$BM96=0),"",IFERROR(LOOKUP(2,1/((Budgets!$A$2:$A$200=AW$1)*(Budgets!$B$2:$B$200&lt;EDATE($A96,1))),Budgets!$C$2:$C$200),0))</f>
        <v/>
      </c>
      <c r="AX96" s="23">
        <f>IF(OR(AX$1="",$BM96=0),"",IFERROR(LOOKUP(2,1/((Budgets!$A$2:$A$200=AX$1)*(Budgets!$B$2:$B$200&lt;EDATE($A96,1))),Budgets!$C$2:$C$200),0))</f>
        <v/>
      </c>
      <c r="AY96" s="23">
        <f>IF(OR(AY$1="",$BM96=0),"",IFERROR(LOOKUP(2,1/((Budgets!$A$2:$A$200=AY$1)*(Budgets!$B$2:$B$200&lt;EDATE($A96,1))),Budgets!$C$2:$C$200),0))</f>
        <v/>
      </c>
      <c r="AZ96" s="23">
        <f>IF(OR(AZ$1="",$BM96=0),"",IFERROR(LOOKUP(2,1/((Budgets!$A$2:$A$200=AZ$1)*(Budgets!$B$2:$B$200&lt;EDATE($A96,1))),Budgets!$C$2:$C$200),0))</f>
        <v/>
      </c>
      <c r="BA96" s="23">
        <f>IF(OR(BA$1="",$BM96=0),"",IFERROR(LOOKUP(2,1/((Budgets!$A$2:$A$200=BA$1)*(Budgets!$B$2:$B$200&lt;EDATE($A96,1))),Budgets!$C$2:$C$200),0))</f>
        <v/>
      </c>
      <c r="BB96" s="23">
        <f>IF(OR(BB$1="",$BM96=0),"",IFERROR(LOOKUP(2,1/((Budgets!$A$2:$A$200=BB$1)*(Budgets!$B$2:$B$200&lt;EDATE($A96,1))),Budgets!$C$2:$C$200),0))</f>
        <v/>
      </c>
      <c r="BC96" s="23">
        <f>IF(OR(BC$1="",$BM96=0),"",IFERROR(LOOKUP(2,1/((Budgets!$A$2:$A$200=BC$1)*(Budgets!$B$2:$B$200&lt;EDATE($A96,1))),Budgets!$C$2:$C$200),0))</f>
        <v/>
      </c>
      <c r="BD96" s="23">
        <f>IF(OR(BD$1="",$BM96=0),"",IFERROR(LOOKUP(2,1/((Budgets!$A$2:$A$200=BD$1)*(Budgets!$B$2:$B$200&lt;EDATE($A96,1))),Budgets!$C$2:$C$200),0))</f>
        <v/>
      </c>
      <c r="BE96" s="23">
        <f>IF(OR(BE$1="",$BM96=0),"",IFERROR(LOOKUP(2,1/((Budgets!$A$2:$A$200=BE$1)*(Budgets!$B$2:$B$200&lt;EDATE($A96,1))),Budgets!$C$2:$C$200),0))</f>
        <v/>
      </c>
      <c r="BF96" s="23">
        <f>IF(OR(BF$1="",$BM96=0),"",IFERROR(LOOKUP(2,1/((Budgets!$A$2:$A$200=BF$1)*(Budgets!$B$2:$B$200&lt;EDATE($A96,1))),Budgets!$C$2:$C$200),0))</f>
        <v/>
      </c>
      <c r="BG96" s="23">
        <f>IF(OR(BG$1="",$BM96=0),"",IFERROR(LOOKUP(2,1/((Budgets!$A$2:$A$200=BG$1)*(Budgets!$B$2:$B$200&lt;EDATE($A96,1))),Budgets!$C$2:$C$200),0))</f>
        <v/>
      </c>
      <c r="BH96" s="23">
        <f>IF(OR(BH$1="",$BM96=0),"",IFERROR(LOOKUP(2,1/((Budgets!$A$2:$A$200=BH$1)*(Budgets!$B$2:$B$200&lt;EDATE($A96,1))),Budgets!$C$2:$C$200),0))</f>
        <v/>
      </c>
      <c r="BI96" s="23">
        <f>IF(OR(BI$1="",$BM96=0),"",IFERROR(LOOKUP(2,1/((Budgets!$A$2:$A$200=BI$1)*(Budgets!$B$2:$B$200&lt;EDATE($A96,1))),Budgets!$C$2:$C$200),0))</f>
        <v/>
      </c>
      <c r="BJ96" s="23">
        <f>IF(OR(BJ$1="",$BM96=0),"",IFERROR(LOOKUP(2,1/((Budgets!$A$2:$A$200=BJ$1)*(Budgets!$B$2:$B$200&lt;EDATE($A96,1))),Budgets!$C$2:$C$200),0))</f>
        <v/>
      </c>
      <c r="BK96" s="23">
        <f>IF(OR(BK$1="",$BM96=0),"",IFERROR(LOOKUP(2,1/((Budgets!$A$2:$A$200=BK$1)*(Budgets!$B$2:$B$200&lt;EDATE($A96,1))),Budgets!$C$2:$C$200),0))</f>
        <v/>
      </c>
      <c r="BM96" s="21">
        <f>COUNTIFS(Entries!$A$2:$A$5000,"&gt;="&amp;$A96,Entries!$A$2:$A$5000,"&lt;"&amp;EDATE($A96,1))</f>
        <v/>
      </c>
    </row>
    <row r="97">
      <c r="A97" s="22" t="n">
        <v>42339</v>
      </c>
      <c r="B97" s="23">
        <f>IF($BM97=0,NA(),SUMIFS(Entries!$E$2:$E$5000,Entries!$C$2:$C$5000,"Income",Entries!$A$2:$A$5000,"&gt;="&amp;$A97,Entries!$A$2:$A$5000,"&lt;"&amp;EDATE($A97,1)))</f>
        <v/>
      </c>
      <c r="C97" s="23">
        <f>IF($BM97=0,"",SUMIFS(Entries!$E$2:$E$5000,Entries!$C$2:$C$5000,"Actual",Entries!$A$2:$A$5000,"&gt;="&amp;$A97,Entries!$A$2:$A$5000,"&lt;"&amp;EDATE($A97,1)))</f>
        <v/>
      </c>
      <c r="D97" s="23">
        <f>IF($BM97=0,"",SUMIFS(Entries!$E$2:$E$5000,Entries!$C$2:$C$5000,"One-off",Entries!$A$2:$A$5000,"&gt;="&amp;$A97,Entries!$A$2:$A$5000,"&lt;"&amp;EDATE($A97,1)))</f>
        <v/>
      </c>
      <c r="E97" s="23">
        <f>IF($BM97=0,NA(),C97+D97)</f>
        <v/>
      </c>
      <c r="F97" s="23">
        <f>IF($BM97=0,"",SUM(AR97:BK97))</f>
        <v/>
      </c>
      <c r="G97" s="23">
        <f>IF($BM97=0,"",B97-E97)</f>
        <v/>
      </c>
      <c r="H97" s="23">
        <f>IF($BM97=0,"",SUM($G$2:G97))</f>
        <v/>
      </c>
      <c r="I97" s="23">
        <f>IF($BM97=0,"",SUMIFS(Entries!$G$2:$G$5000,Entries!$A$2:$A$5000,"&gt;="&amp;$A97,Entries!$A$2:$A$5000,"&lt;"&amp;EDATE($A97,1)))</f>
        <v/>
      </c>
      <c r="J97" s="23">
        <f>IF($BM97=0,NA(),H97)</f>
        <v/>
      </c>
      <c r="K97" s="23">
        <f>IF($BM97=0,"",SUMIFS(Entries!$E$2:$E$5000,Entries!$C$2:$C$5000,"Income",Entries!$A$2:$A$5000,"&gt;="&amp;EDATE($A97,-11),Entries!$A$2:$A$5000,"&lt;"&amp;EDATE($A97,1))/COUNTIFS($A$2:$A$400,"&gt;="&amp;EDATE($A97,-11),$A$2:$A$400,"&lt;"&amp;EDATE($A97,1),$BM$2:$BM$400,"&gt;0"))</f>
      </c>
      <c r="L97" s="23">
        <f>IF($BM97=0,"",(SUMIFS(Entries!$E$2:$E$5000,Entries!$C$2:$C$5000,"Actual",Entries!$A$2:$A$5000,"&gt;="&amp;EDATE($A97,-11),Entries!$A$2:$A$5000,"&lt;"&amp;EDATE($A97,1))+SUMIFS(Entries!$E$2:$E$5000,Entries!$C$2:$C$5000,"One-off",Entries!$A$2:$A$5000,"&gt;="&amp;EDATE($A97,-11),Entries!$A$2:$A$5000,"&lt;"&amp;EDATE($A97,1)))/COUNTIFS($A$2:$A$400,"&gt;="&amp;EDATE($A97,-11),$A$2:$A$400,"&lt;"&amp;EDATE($A97,1),$BM$2:$BM$400,"&gt;0"))</f>
      </c>
      <c r="M97" s="24">
        <f>IF($BM97=0,NA(),IFERROR((K97-L97)/K97,0))</f>
        <v/>
      </c>
      <c r="N97" s="23">
        <f>IF($BM97=0,NA(),SUMIFS(Entries!$E$2:$E$5000,Entries!$D$2:$D$5000,"Core",Entries!$A$2:$A$5000,"&gt;="&amp;$A97,Entries!$A$2:$A$5000,"&lt;"&amp;EDATE($A97,1)))</f>
        <v/>
      </c>
      <c r="O97" s="23">
        <f>IF($BM97=0,NA(),SUMIFS(Entries!$E$2:$E$5000,Entries!$D$2:$D$5000,"Over &amp; above",Entries!$A$2:$A$5000,"&gt;="&amp;$A97,Entries!$A$2:$A$5000,"&lt;"&amp;EDATE($A97,1)))</f>
        <v/>
      </c>
      <c r="P97" s="23">
        <f>IF($BM97=0,NA(),SUMIFS(Entries!$E$2:$E$5000,Entries!$D$2:$D$5000,"One-off",Entries!$A$2:$A$5000,"&gt;="&amp;$A97,Entries!$A$2:$A$5000,"&lt;"&amp;EDATE($A97,1)))</f>
        <v/>
      </c>
      <c r="Q97" s="23">
        <f>IF($BM97=0,NA(),SUMIFS(Entries!$E$2:$E$5000,Entries!$D$2:$D$5000,"Reimbursable",Entries!$A$2:$A$5000,"&gt;="&amp;$A97,Entries!$A$2:$A$5000,"&lt;"&amp;EDATE($A97,1)))</f>
        <v/>
      </c>
      <c r="R97" s="23">
        <f>IF($BM97=0,NA(),SUMIFS(Entries!$E$2:$E$5000,Entries!$D$2:$D$5000,"Investment",Entries!$A$2:$A$5000,"&gt;="&amp;$A97,Entries!$A$2:$A$5000,"&lt;"&amp;EDATE($A97,1)))</f>
        <v/>
      </c>
      <c r="S97" s="23">
        <f>IF($BM97=0,NA(),N97+O97)</f>
        <v/>
      </c>
      <c r="T97" s="23">
        <f>IF($BM97=0,"",E97-Q97)</f>
        <v/>
      </c>
      <c r="W97" s="23">
        <f>IF(OR(W$1="",$BM97=0),"",SUMIFS(Entries!$E$2:$E$5000,Entries!$C$2:$C$5000,"Actual",Entries!$A$2:$A$5000,"&gt;="&amp;$A97,Entries!$A$2:$A$5000,"&lt;"&amp;EDATE($A97,1),Entries!$B$2:$B$5000,W$1))</f>
        <v/>
      </c>
      <c r="X97" s="23">
        <f>IF(OR(X$1="",$BM97=0),"",SUMIFS(Entries!$E$2:$E$5000,Entries!$C$2:$C$5000,"Actual",Entries!$A$2:$A$5000,"&gt;="&amp;$A97,Entries!$A$2:$A$5000,"&lt;"&amp;EDATE($A97,1),Entries!$B$2:$B$5000,X$1))</f>
        <v/>
      </c>
      <c r="Y97" s="23">
        <f>IF(OR(Y$1="",$BM97=0),"",SUMIFS(Entries!$E$2:$E$5000,Entries!$C$2:$C$5000,"Actual",Entries!$A$2:$A$5000,"&gt;="&amp;$A97,Entries!$A$2:$A$5000,"&lt;"&amp;EDATE($A97,1),Entries!$B$2:$B$5000,Y$1))</f>
        <v/>
      </c>
      <c r="Z97" s="23">
        <f>IF(OR(Z$1="",$BM97=0),"",SUMIFS(Entries!$E$2:$E$5000,Entries!$C$2:$C$5000,"Actual",Entries!$A$2:$A$5000,"&gt;="&amp;$A97,Entries!$A$2:$A$5000,"&lt;"&amp;EDATE($A97,1),Entries!$B$2:$B$5000,Z$1))</f>
        <v/>
      </c>
      <c r="AA97" s="23">
        <f>IF(OR(AA$1="",$BM97=0),"",SUMIFS(Entries!$E$2:$E$5000,Entries!$C$2:$C$5000,"Actual",Entries!$A$2:$A$5000,"&gt;="&amp;$A97,Entries!$A$2:$A$5000,"&lt;"&amp;EDATE($A97,1),Entries!$B$2:$B$5000,AA$1))</f>
        <v/>
      </c>
      <c r="AB97" s="23">
        <f>IF(OR(AB$1="",$BM97=0),"",SUMIFS(Entries!$E$2:$E$5000,Entries!$C$2:$C$5000,"Actual",Entries!$A$2:$A$5000,"&gt;="&amp;$A97,Entries!$A$2:$A$5000,"&lt;"&amp;EDATE($A97,1),Entries!$B$2:$B$5000,AB$1))</f>
        <v/>
      </c>
      <c r="AC97" s="23">
        <f>IF(OR(AC$1="",$BM97=0),"",SUMIFS(Entries!$E$2:$E$5000,Entries!$C$2:$C$5000,"Actual",Entries!$A$2:$A$5000,"&gt;="&amp;$A97,Entries!$A$2:$A$5000,"&lt;"&amp;EDATE($A97,1),Entries!$B$2:$B$5000,AC$1))</f>
        <v/>
      </c>
      <c r="AD97" s="23">
        <f>IF(OR(AD$1="",$BM97=0),"",SUMIFS(Entries!$E$2:$E$5000,Entries!$C$2:$C$5000,"Actual",Entries!$A$2:$A$5000,"&gt;="&amp;$A97,Entries!$A$2:$A$5000,"&lt;"&amp;EDATE($A97,1),Entries!$B$2:$B$5000,AD$1))</f>
        <v/>
      </c>
      <c r="AE97" s="23">
        <f>IF(OR(AE$1="",$BM97=0),"",SUMIFS(Entries!$E$2:$E$5000,Entries!$C$2:$C$5000,"Actual",Entries!$A$2:$A$5000,"&gt;="&amp;$A97,Entries!$A$2:$A$5000,"&lt;"&amp;EDATE($A97,1),Entries!$B$2:$B$5000,AE$1))</f>
        <v/>
      </c>
      <c r="AF97" s="23">
        <f>IF(OR(AF$1="",$BM97=0),"",SUMIFS(Entries!$E$2:$E$5000,Entries!$C$2:$C$5000,"Actual",Entries!$A$2:$A$5000,"&gt;="&amp;$A97,Entries!$A$2:$A$5000,"&lt;"&amp;EDATE($A97,1),Entries!$B$2:$B$5000,AF$1))</f>
        <v/>
      </c>
      <c r="AG97" s="23">
        <f>IF(OR(AG$1="",$BM97=0),"",SUMIFS(Entries!$E$2:$E$5000,Entries!$C$2:$C$5000,"Actual",Entries!$A$2:$A$5000,"&gt;="&amp;$A97,Entries!$A$2:$A$5000,"&lt;"&amp;EDATE($A97,1),Entries!$B$2:$B$5000,AG$1))</f>
        <v/>
      </c>
      <c r="AH97" s="23">
        <f>IF(OR(AH$1="",$BM97=0),"",SUMIFS(Entries!$E$2:$E$5000,Entries!$C$2:$C$5000,"Actual",Entries!$A$2:$A$5000,"&gt;="&amp;$A97,Entries!$A$2:$A$5000,"&lt;"&amp;EDATE($A97,1),Entries!$B$2:$B$5000,AH$1))</f>
        <v/>
      </c>
      <c r="AI97" s="23">
        <f>IF(OR(AI$1="",$BM97=0),"",SUMIFS(Entries!$E$2:$E$5000,Entries!$C$2:$C$5000,"Actual",Entries!$A$2:$A$5000,"&gt;="&amp;$A97,Entries!$A$2:$A$5000,"&lt;"&amp;EDATE($A97,1),Entries!$B$2:$B$5000,AI$1))</f>
        <v/>
      </c>
      <c r="AJ97" s="23">
        <f>IF(OR(AJ$1="",$BM97=0),"",SUMIFS(Entries!$E$2:$E$5000,Entries!$C$2:$C$5000,"Actual",Entries!$A$2:$A$5000,"&gt;="&amp;$A97,Entries!$A$2:$A$5000,"&lt;"&amp;EDATE($A97,1),Entries!$B$2:$B$5000,AJ$1))</f>
        <v/>
      </c>
      <c r="AK97" s="23">
        <f>IF(OR(AK$1="",$BM97=0),"",SUMIFS(Entries!$E$2:$E$5000,Entries!$C$2:$C$5000,"Actual",Entries!$A$2:$A$5000,"&gt;="&amp;$A97,Entries!$A$2:$A$5000,"&lt;"&amp;EDATE($A97,1),Entries!$B$2:$B$5000,AK$1))</f>
        <v/>
      </c>
      <c r="AL97" s="23">
        <f>IF(OR(AL$1="",$BM97=0),"",SUMIFS(Entries!$E$2:$E$5000,Entries!$C$2:$C$5000,"Actual",Entries!$A$2:$A$5000,"&gt;="&amp;$A97,Entries!$A$2:$A$5000,"&lt;"&amp;EDATE($A97,1),Entries!$B$2:$B$5000,AL$1))</f>
        <v/>
      </c>
      <c r="AM97" s="23">
        <f>IF(OR(AM$1="",$BM97=0),"",SUMIFS(Entries!$E$2:$E$5000,Entries!$C$2:$C$5000,"Actual",Entries!$A$2:$A$5000,"&gt;="&amp;$A97,Entries!$A$2:$A$5000,"&lt;"&amp;EDATE($A97,1),Entries!$B$2:$B$5000,AM$1))</f>
        <v/>
      </c>
      <c r="AN97" s="23">
        <f>IF(OR(AN$1="",$BM97=0),"",SUMIFS(Entries!$E$2:$E$5000,Entries!$C$2:$C$5000,"Actual",Entries!$A$2:$A$5000,"&gt;="&amp;$A97,Entries!$A$2:$A$5000,"&lt;"&amp;EDATE($A97,1),Entries!$B$2:$B$5000,AN$1))</f>
        <v/>
      </c>
      <c r="AO97" s="23">
        <f>IF(OR(AO$1="",$BM97=0),"",SUMIFS(Entries!$E$2:$E$5000,Entries!$C$2:$C$5000,"Actual",Entries!$A$2:$A$5000,"&gt;="&amp;$A97,Entries!$A$2:$A$5000,"&lt;"&amp;EDATE($A97,1),Entries!$B$2:$B$5000,AO$1))</f>
        <v/>
      </c>
      <c r="AP97" s="23">
        <f>IF(OR(AP$1="",$BM97=0),"",SUMIFS(Entries!$E$2:$E$5000,Entries!$C$2:$C$5000,"Actual",Entries!$A$2:$A$5000,"&gt;="&amp;$A97,Entries!$A$2:$A$5000,"&lt;"&amp;EDATE($A97,1),Entries!$B$2:$B$5000,AP$1))</f>
        <v/>
      </c>
      <c r="AR97" s="23">
        <f>IF(OR(AR$1="",$BM97=0),"",IFERROR(LOOKUP(2,1/((Budgets!$A$2:$A$200=AR$1)*(Budgets!$B$2:$B$200&lt;EDATE($A97,1))),Budgets!$C$2:$C$200),0))</f>
        <v/>
      </c>
      <c r="AS97" s="23">
        <f>IF(OR(AS$1="",$BM97=0),"",IFERROR(LOOKUP(2,1/((Budgets!$A$2:$A$200=AS$1)*(Budgets!$B$2:$B$200&lt;EDATE($A97,1))),Budgets!$C$2:$C$200),0))</f>
        <v/>
      </c>
      <c r="AT97" s="23">
        <f>IF(OR(AT$1="",$BM97=0),"",IFERROR(LOOKUP(2,1/((Budgets!$A$2:$A$200=AT$1)*(Budgets!$B$2:$B$200&lt;EDATE($A97,1))),Budgets!$C$2:$C$200),0))</f>
        <v/>
      </c>
      <c r="AU97" s="23">
        <f>IF(OR(AU$1="",$BM97=0),"",IFERROR(LOOKUP(2,1/((Budgets!$A$2:$A$200=AU$1)*(Budgets!$B$2:$B$200&lt;EDATE($A97,1))),Budgets!$C$2:$C$200),0))</f>
        <v/>
      </c>
      <c r="AV97" s="23">
        <f>IF(OR(AV$1="",$BM97=0),"",IFERROR(LOOKUP(2,1/((Budgets!$A$2:$A$200=AV$1)*(Budgets!$B$2:$B$200&lt;EDATE($A97,1))),Budgets!$C$2:$C$200),0))</f>
        <v/>
      </c>
      <c r="AW97" s="23">
        <f>IF(OR(AW$1="",$BM97=0),"",IFERROR(LOOKUP(2,1/((Budgets!$A$2:$A$200=AW$1)*(Budgets!$B$2:$B$200&lt;EDATE($A97,1))),Budgets!$C$2:$C$200),0))</f>
        <v/>
      </c>
      <c r="AX97" s="23">
        <f>IF(OR(AX$1="",$BM97=0),"",IFERROR(LOOKUP(2,1/((Budgets!$A$2:$A$200=AX$1)*(Budgets!$B$2:$B$200&lt;EDATE($A97,1))),Budgets!$C$2:$C$200),0))</f>
        <v/>
      </c>
      <c r="AY97" s="23">
        <f>IF(OR(AY$1="",$BM97=0),"",IFERROR(LOOKUP(2,1/((Budgets!$A$2:$A$200=AY$1)*(Budgets!$B$2:$B$200&lt;EDATE($A97,1))),Budgets!$C$2:$C$200),0))</f>
        <v/>
      </c>
      <c r="AZ97" s="23">
        <f>IF(OR(AZ$1="",$BM97=0),"",IFERROR(LOOKUP(2,1/((Budgets!$A$2:$A$200=AZ$1)*(Budgets!$B$2:$B$200&lt;EDATE($A97,1))),Budgets!$C$2:$C$200),0))</f>
        <v/>
      </c>
      <c r="BA97" s="23">
        <f>IF(OR(BA$1="",$BM97=0),"",IFERROR(LOOKUP(2,1/((Budgets!$A$2:$A$200=BA$1)*(Budgets!$B$2:$B$200&lt;EDATE($A97,1))),Budgets!$C$2:$C$200),0))</f>
        <v/>
      </c>
      <c r="BB97" s="23">
        <f>IF(OR(BB$1="",$BM97=0),"",IFERROR(LOOKUP(2,1/((Budgets!$A$2:$A$200=BB$1)*(Budgets!$B$2:$B$200&lt;EDATE($A97,1))),Budgets!$C$2:$C$200),0))</f>
        <v/>
      </c>
      <c r="BC97" s="23">
        <f>IF(OR(BC$1="",$BM97=0),"",IFERROR(LOOKUP(2,1/((Budgets!$A$2:$A$200=BC$1)*(Budgets!$B$2:$B$200&lt;EDATE($A97,1))),Budgets!$C$2:$C$200),0))</f>
        <v/>
      </c>
      <c r="BD97" s="23">
        <f>IF(OR(BD$1="",$BM97=0),"",IFERROR(LOOKUP(2,1/((Budgets!$A$2:$A$200=BD$1)*(Budgets!$B$2:$B$200&lt;EDATE($A97,1))),Budgets!$C$2:$C$200),0))</f>
        <v/>
      </c>
      <c r="BE97" s="23">
        <f>IF(OR(BE$1="",$BM97=0),"",IFERROR(LOOKUP(2,1/((Budgets!$A$2:$A$200=BE$1)*(Budgets!$B$2:$B$200&lt;EDATE($A97,1))),Budgets!$C$2:$C$200),0))</f>
        <v/>
      </c>
      <c r="BF97" s="23">
        <f>IF(OR(BF$1="",$BM97=0),"",IFERROR(LOOKUP(2,1/((Budgets!$A$2:$A$200=BF$1)*(Budgets!$B$2:$B$200&lt;EDATE($A97,1))),Budgets!$C$2:$C$200),0))</f>
        <v/>
      </c>
      <c r="BG97" s="23">
        <f>IF(OR(BG$1="",$BM97=0),"",IFERROR(LOOKUP(2,1/((Budgets!$A$2:$A$200=BG$1)*(Budgets!$B$2:$B$200&lt;EDATE($A97,1))),Budgets!$C$2:$C$200),0))</f>
        <v/>
      </c>
      <c r="BH97" s="23">
        <f>IF(OR(BH$1="",$BM97=0),"",IFERROR(LOOKUP(2,1/((Budgets!$A$2:$A$200=BH$1)*(Budgets!$B$2:$B$200&lt;EDATE($A97,1))),Budgets!$C$2:$C$200),0))</f>
        <v/>
      </c>
      <c r="BI97" s="23">
        <f>IF(OR(BI$1="",$BM97=0),"",IFERROR(LOOKUP(2,1/((Budgets!$A$2:$A$200=BI$1)*(Budgets!$B$2:$B$200&lt;EDATE($A97,1))),Budgets!$C$2:$C$200),0))</f>
        <v/>
      </c>
      <c r="BJ97" s="23">
        <f>IF(OR(BJ$1="",$BM97=0),"",IFERROR(LOOKUP(2,1/((Budgets!$A$2:$A$200=BJ$1)*(Budgets!$B$2:$B$200&lt;EDATE($A97,1))),Budgets!$C$2:$C$200),0))</f>
        <v/>
      </c>
      <c r="BK97" s="23">
        <f>IF(OR(BK$1="",$BM97=0),"",IFERROR(LOOKUP(2,1/((Budgets!$A$2:$A$200=BK$1)*(Budgets!$B$2:$B$200&lt;EDATE($A97,1))),Budgets!$C$2:$C$200),0))</f>
        <v/>
      </c>
      <c r="BM97" s="21">
        <f>COUNTIFS(Entries!$A$2:$A$5000,"&gt;="&amp;$A97,Entries!$A$2:$A$5000,"&lt;"&amp;EDATE($A97,1))</f>
        <v/>
      </c>
    </row>
    <row r="98">
      <c r="A98" s="22" t="n">
        <v>42370</v>
      </c>
      <c r="B98" s="23">
        <f>IF($BM98=0,NA(),SUMIFS(Entries!$E$2:$E$5000,Entries!$C$2:$C$5000,"Income",Entries!$A$2:$A$5000,"&gt;="&amp;$A98,Entries!$A$2:$A$5000,"&lt;"&amp;EDATE($A98,1)))</f>
        <v/>
      </c>
      <c r="C98" s="23">
        <f>IF($BM98=0,"",SUMIFS(Entries!$E$2:$E$5000,Entries!$C$2:$C$5000,"Actual",Entries!$A$2:$A$5000,"&gt;="&amp;$A98,Entries!$A$2:$A$5000,"&lt;"&amp;EDATE($A98,1)))</f>
        <v/>
      </c>
      <c r="D98" s="23">
        <f>IF($BM98=0,"",SUMIFS(Entries!$E$2:$E$5000,Entries!$C$2:$C$5000,"One-off",Entries!$A$2:$A$5000,"&gt;="&amp;$A98,Entries!$A$2:$A$5000,"&lt;"&amp;EDATE($A98,1)))</f>
        <v/>
      </c>
      <c r="E98" s="23">
        <f>IF($BM98=0,NA(),C98+D98)</f>
        <v/>
      </c>
      <c r="F98" s="23">
        <f>IF($BM98=0,"",SUM(AR98:BK98))</f>
        <v/>
      </c>
      <c r="G98" s="23">
        <f>IF($BM98=0,"",B98-E98)</f>
        <v/>
      </c>
      <c r="H98" s="23">
        <f>IF($BM98=0,"",SUM($G$2:G98))</f>
        <v/>
      </c>
      <c r="I98" s="23">
        <f>IF($BM98=0,"",SUMIFS(Entries!$G$2:$G$5000,Entries!$A$2:$A$5000,"&gt;="&amp;$A98,Entries!$A$2:$A$5000,"&lt;"&amp;EDATE($A98,1)))</f>
        <v/>
      </c>
      <c r="J98" s="23">
        <f>IF($BM98=0,NA(),H98)</f>
        <v/>
      </c>
      <c r="K98" s="23">
        <f>IF($BM98=0,"",SUMIFS(Entries!$E$2:$E$5000,Entries!$C$2:$C$5000,"Income",Entries!$A$2:$A$5000,"&gt;="&amp;EDATE($A98,-11),Entries!$A$2:$A$5000,"&lt;"&amp;EDATE($A98,1))/COUNTIFS($A$2:$A$400,"&gt;="&amp;EDATE($A98,-11),$A$2:$A$400,"&lt;"&amp;EDATE($A98,1),$BM$2:$BM$400,"&gt;0"))</f>
      </c>
      <c r="L98" s="23">
        <f>IF($BM98=0,"",(SUMIFS(Entries!$E$2:$E$5000,Entries!$C$2:$C$5000,"Actual",Entries!$A$2:$A$5000,"&gt;="&amp;EDATE($A98,-11),Entries!$A$2:$A$5000,"&lt;"&amp;EDATE($A98,1))+SUMIFS(Entries!$E$2:$E$5000,Entries!$C$2:$C$5000,"One-off",Entries!$A$2:$A$5000,"&gt;="&amp;EDATE($A98,-11),Entries!$A$2:$A$5000,"&lt;"&amp;EDATE($A98,1)))/COUNTIFS($A$2:$A$400,"&gt;="&amp;EDATE($A98,-11),$A$2:$A$400,"&lt;"&amp;EDATE($A98,1),$BM$2:$BM$400,"&gt;0"))</f>
      </c>
      <c r="M98" s="24">
        <f>IF($BM98=0,NA(),IFERROR((K98-L98)/K98,0))</f>
        <v/>
      </c>
      <c r="N98" s="23">
        <f>IF($BM98=0,NA(),SUMIFS(Entries!$E$2:$E$5000,Entries!$D$2:$D$5000,"Core",Entries!$A$2:$A$5000,"&gt;="&amp;$A98,Entries!$A$2:$A$5000,"&lt;"&amp;EDATE($A98,1)))</f>
        <v/>
      </c>
      <c r="O98" s="23">
        <f>IF($BM98=0,NA(),SUMIFS(Entries!$E$2:$E$5000,Entries!$D$2:$D$5000,"Over &amp; above",Entries!$A$2:$A$5000,"&gt;="&amp;$A98,Entries!$A$2:$A$5000,"&lt;"&amp;EDATE($A98,1)))</f>
        <v/>
      </c>
      <c r="P98" s="23">
        <f>IF($BM98=0,NA(),SUMIFS(Entries!$E$2:$E$5000,Entries!$D$2:$D$5000,"One-off",Entries!$A$2:$A$5000,"&gt;="&amp;$A98,Entries!$A$2:$A$5000,"&lt;"&amp;EDATE($A98,1)))</f>
        <v/>
      </c>
      <c r="Q98" s="23">
        <f>IF($BM98=0,NA(),SUMIFS(Entries!$E$2:$E$5000,Entries!$D$2:$D$5000,"Reimbursable",Entries!$A$2:$A$5000,"&gt;="&amp;$A98,Entries!$A$2:$A$5000,"&lt;"&amp;EDATE($A98,1)))</f>
        <v/>
      </c>
      <c r="R98" s="23">
        <f>IF($BM98=0,NA(),SUMIFS(Entries!$E$2:$E$5000,Entries!$D$2:$D$5000,"Investment",Entries!$A$2:$A$5000,"&gt;="&amp;$A98,Entries!$A$2:$A$5000,"&lt;"&amp;EDATE($A98,1)))</f>
        <v/>
      </c>
      <c r="S98" s="23">
        <f>IF($BM98=0,NA(),N98+O98)</f>
        <v/>
      </c>
      <c r="T98" s="23">
        <f>IF($BM98=0,"",E98-Q98)</f>
        <v/>
      </c>
      <c r="W98" s="23">
        <f>IF(OR(W$1="",$BM98=0),"",SUMIFS(Entries!$E$2:$E$5000,Entries!$C$2:$C$5000,"Actual",Entries!$A$2:$A$5000,"&gt;="&amp;$A98,Entries!$A$2:$A$5000,"&lt;"&amp;EDATE($A98,1),Entries!$B$2:$B$5000,W$1))</f>
        <v/>
      </c>
      <c r="X98" s="23">
        <f>IF(OR(X$1="",$BM98=0),"",SUMIFS(Entries!$E$2:$E$5000,Entries!$C$2:$C$5000,"Actual",Entries!$A$2:$A$5000,"&gt;="&amp;$A98,Entries!$A$2:$A$5000,"&lt;"&amp;EDATE($A98,1),Entries!$B$2:$B$5000,X$1))</f>
        <v/>
      </c>
      <c r="Y98" s="23">
        <f>IF(OR(Y$1="",$BM98=0),"",SUMIFS(Entries!$E$2:$E$5000,Entries!$C$2:$C$5000,"Actual",Entries!$A$2:$A$5000,"&gt;="&amp;$A98,Entries!$A$2:$A$5000,"&lt;"&amp;EDATE($A98,1),Entries!$B$2:$B$5000,Y$1))</f>
        <v/>
      </c>
      <c r="Z98" s="23">
        <f>IF(OR(Z$1="",$BM98=0),"",SUMIFS(Entries!$E$2:$E$5000,Entries!$C$2:$C$5000,"Actual",Entries!$A$2:$A$5000,"&gt;="&amp;$A98,Entries!$A$2:$A$5000,"&lt;"&amp;EDATE($A98,1),Entries!$B$2:$B$5000,Z$1))</f>
        <v/>
      </c>
      <c r="AA98" s="23">
        <f>IF(OR(AA$1="",$BM98=0),"",SUMIFS(Entries!$E$2:$E$5000,Entries!$C$2:$C$5000,"Actual",Entries!$A$2:$A$5000,"&gt;="&amp;$A98,Entries!$A$2:$A$5000,"&lt;"&amp;EDATE($A98,1),Entries!$B$2:$B$5000,AA$1))</f>
        <v/>
      </c>
      <c r="AB98" s="23">
        <f>IF(OR(AB$1="",$BM98=0),"",SUMIFS(Entries!$E$2:$E$5000,Entries!$C$2:$C$5000,"Actual",Entries!$A$2:$A$5000,"&gt;="&amp;$A98,Entries!$A$2:$A$5000,"&lt;"&amp;EDATE($A98,1),Entries!$B$2:$B$5000,AB$1))</f>
        <v/>
      </c>
      <c r="AC98" s="23">
        <f>IF(OR(AC$1="",$BM98=0),"",SUMIFS(Entries!$E$2:$E$5000,Entries!$C$2:$C$5000,"Actual",Entries!$A$2:$A$5000,"&gt;="&amp;$A98,Entries!$A$2:$A$5000,"&lt;"&amp;EDATE($A98,1),Entries!$B$2:$B$5000,AC$1))</f>
        <v/>
      </c>
      <c r="AD98" s="23">
        <f>IF(OR(AD$1="",$BM98=0),"",SUMIFS(Entries!$E$2:$E$5000,Entries!$C$2:$C$5000,"Actual",Entries!$A$2:$A$5000,"&gt;="&amp;$A98,Entries!$A$2:$A$5000,"&lt;"&amp;EDATE($A98,1),Entries!$B$2:$B$5000,AD$1))</f>
        <v/>
      </c>
      <c r="AE98" s="23">
        <f>IF(OR(AE$1="",$BM98=0),"",SUMIFS(Entries!$E$2:$E$5000,Entries!$C$2:$C$5000,"Actual",Entries!$A$2:$A$5000,"&gt;="&amp;$A98,Entries!$A$2:$A$5000,"&lt;"&amp;EDATE($A98,1),Entries!$B$2:$B$5000,AE$1))</f>
        <v/>
      </c>
      <c r="AF98" s="23">
        <f>IF(OR(AF$1="",$BM98=0),"",SUMIFS(Entries!$E$2:$E$5000,Entries!$C$2:$C$5000,"Actual",Entries!$A$2:$A$5000,"&gt;="&amp;$A98,Entries!$A$2:$A$5000,"&lt;"&amp;EDATE($A98,1),Entries!$B$2:$B$5000,AF$1))</f>
        <v/>
      </c>
      <c r="AG98" s="23">
        <f>IF(OR(AG$1="",$BM98=0),"",SUMIFS(Entries!$E$2:$E$5000,Entries!$C$2:$C$5000,"Actual",Entries!$A$2:$A$5000,"&gt;="&amp;$A98,Entries!$A$2:$A$5000,"&lt;"&amp;EDATE($A98,1),Entries!$B$2:$B$5000,AG$1))</f>
        <v/>
      </c>
      <c r="AH98" s="23">
        <f>IF(OR(AH$1="",$BM98=0),"",SUMIFS(Entries!$E$2:$E$5000,Entries!$C$2:$C$5000,"Actual",Entries!$A$2:$A$5000,"&gt;="&amp;$A98,Entries!$A$2:$A$5000,"&lt;"&amp;EDATE($A98,1),Entries!$B$2:$B$5000,AH$1))</f>
        <v/>
      </c>
      <c r="AI98" s="23">
        <f>IF(OR(AI$1="",$BM98=0),"",SUMIFS(Entries!$E$2:$E$5000,Entries!$C$2:$C$5000,"Actual",Entries!$A$2:$A$5000,"&gt;="&amp;$A98,Entries!$A$2:$A$5000,"&lt;"&amp;EDATE($A98,1),Entries!$B$2:$B$5000,AI$1))</f>
        <v/>
      </c>
      <c r="AJ98" s="23">
        <f>IF(OR(AJ$1="",$BM98=0),"",SUMIFS(Entries!$E$2:$E$5000,Entries!$C$2:$C$5000,"Actual",Entries!$A$2:$A$5000,"&gt;="&amp;$A98,Entries!$A$2:$A$5000,"&lt;"&amp;EDATE($A98,1),Entries!$B$2:$B$5000,AJ$1))</f>
        <v/>
      </c>
      <c r="AK98" s="23">
        <f>IF(OR(AK$1="",$BM98=0),"",SUMIFS(Entries!$E$2:$E$5000,Entries!$C$2:$C$5000,"Actual",Entries!$A$2:$A$5000,"&gt;="&amp;$A98,Entries!$A$2:$A$5000,"&lt;"&amp;EDATE($A98,1),Entries!$B$2:$B$5000,AK$1))</f>
        <v/>
      </c>
      <c r="AL98" s="23">
        <f>IF(OR(AL$1="",$BM98=0),"",SUMIFS(Entries!$E$2:$E$5000,Entries!$C$2:$C$5000,"Actual",Entries!$A$2:$A$5000,"&gt;="&amp;$A98,Entries!$A$2:$A$5000,"&lt;"&amp;EDATE($A98,1),Entries!$B$2:$B$5000,AL$1))</f>
        <v/>
      </c>
      <c r="AM98" s="23">
        <f>IF(OR(AM$1="",$BM98=0),"",SUMIFS(Entries!$E$2:$E$5000,Entries!$C$2:$C$5000,"Actual",Entries!$A$2:$A$5000,"&gt;="&amp;$A98,Entries!$A$2:$A$5000,"&lt;"&amp;EDATE($A98,1),Entries!$B$2:$B$5000,AM$1))</f>
        <v/>
      </c>
      <c r="AN98" s="23">
        <f>IF(OR(AN$1="",$BM98=0),"",SUMIFS(Entries!$E$2:$E$5000,Entries!$C$2:$C$5000,"Actual",Entries!$A$2:$A$5000,"&gt;="&amp;$A98,Entries!$A$2:$A$5000,"&lt;"&amp;EDATE($A98,1),Entries!$B$2:$B$5000,AN$1))</f>
        <v/>
      </c>
      <c r="AO98" s="23">
        <f>IF(OR(AO$1="",$BM98=0),"",SUMIFS(Entries!$E$2:$E$5000,Entries!$C$2:$C$5000,"Actual",Entries!$A$2:$A$5000,"&gt;="&amp;$A98,Entries!$A$2:$A$5000,"&lt;"&amp;EDATE($A98,1),Entries!$B$2:$B$5000,AO$1))</f>
        <v/>
      </c>
      <c r="AP98" s="23">
        <f>IF(OR(AP$1="",$BM98=0),"",SUMIFS(Entries!$E$2:$E$5000,Entries!$C$2:$C$5000,"Actual",Entries!$A$2:$A$5000,"&gt;="&amp;$A98,Entries!$A$2:$A$5000,"&lt;"&amp;EDATE($A98,1),Entries!$B$2:$B$5000,AP$1))</f>
        <v/>
      </c>
      <c r="AR98" s="23">
        <f>IF(OR(AR$1="",$BM98=0),"",IFERROR(LOOKUP(2,1/((Budgets!$A$2:$A$200=AR$1)*(Budgets!$B$2:$B$200&lt;EDATE($A98,1))),Budgets!$C$2:$C$200),0))</f>
        <v/>
      </c>
      <c r="AS98" s="23">
        <f>IF(OR(AS$1="",$BM98=0),"",IFERROR(LOOKUP(2,1/((Budgets!$A$2:$A$200=AS$1)*(Budgets!$B$2:$B$200&lt;EDATE($A98,1))),Budgets!$C$2:$C$200),0))</f>
        <v/>
      </c>
      <c r="AT98" s="23">
        <f>IF(OR(AT$1="",$BM98=0),"",IFERROR(LOOKUP(2,1/((Budgets!$A$2:$A$200=AT$1)*(Budgets!$B$2:$B$200&lt;EDATE($A98,1))),Budgets!$C$2:$C$200),0))</f>
        <v/>
      </c>
      <c r="AU98" s="23">
        <f>IF(OR(AU$1="",$BM98=0),"",IFERROR(LOOKUP(2,1/((Budgets!$A$2:$A$200=AU$1)*(Budgets!$B$2:$B$200&lt;EDATE($A98,1))),Budgets!$C$2:$C$200),0))</f>
        <v/>
      </c>
      <c r="AV98" s="23">
        <f>IF(OR(AV$1="",$BM98=0),"",IFERROR(LOOKUP(2,1/((Budgets!$A$2:$A$200=AV$1)*(Budgets!$B$2:$B$200&lt;EDATE($A98,1))),Budgets!$C$2:$C$200),0))</f>
        <v/>
      </c>
      <c r="AW98" s="23">
        <f>IF(OR(AW$1="",$BM98=0),"",IFERROR(LOOKUP(2,1/((Budgets!$A$2:$A$200=AW$1)*(Budgets!$B$2:$B$200&lt;EDATE($A98,1))),Budgets!$C$2:$C$200),0))</f>
        <v/>
      </c>
      <c r="AX98" s="23">
        <f>IF(OR(AX$1="",$BM98=0),"",IFERROR(LOOKUP(2,1/((Budgets!$A$2:$A$200=AX$1)*(Budgets!$B$2:$B$200&lt;EDATE($A98,1))),Budgets!$C$2:$C$200),0))</f>
        <v/>
      </c>
      <c r="AY98" s="23">
        <f>IF(OR(AY$1="",$BM98=0),"",IFERROR(LOOKUP(2,1/((Budgets!$A$2:$A$200=AY$1)*(Budgets!$B$2:$B$200&lt;EDATE($A98,1))),Budgets!$C$2:$C$200),0))</f>
        <v/>
      </c>
      <c r="AZ98" s="23">
        <f>IF(OR(AZ$1="",$BM98=0),"",IFERROR(LOOKUP(2,1/((Budgets!$A$2:$A$200=AZ$1)*(Budgets!$B$2:$B$200&lt;EDATE($A98,1))),Budgets!$C$2:$C$200),0))</f>
        <v/>
      </c>
      <c r="BA98" s="23">
        <f>IF(OR(BA$1="",$BM98=0),"",IFERROR(LOOKUP(2,1/((Budgets!$A$2:$A$200=BA$1)*(Budgets!$B$2:$B$200&lt;EDATE($A98,1))),Budgets!$C$2:$C$200),0))</f>
        <v/>
      </c>
      <c r="BB98" s="23">
        <f>IF(OR(BB$1="",$BM98=0),"",IFERROR(LOOKUP(2,1/((Budgets!$A$2:$A$200=BB$1)*(Budgets!$B$2:$B$200&lt;EDATE($A98,1))),Budgets!$C$2:$C$200),0))</f>
        <v/>
      </c>
      <c r="BC98" s="23">
        <f>IF(OR(BC$1="",$BM98=0),"",IFERROR(LOOKUP(2,1/((Budgets!$A$2:$A$200=BC$1)*(Budgets!$B$2:$B$200&lt;EDATE($A98,1))),Budgets!$C$2:$C$200),0))</f>
        <v/>
      </c>
      <c r="BD98" s="23">
        <f>IF(OR(BD$1="",$BM98=0),"",IFERROR(LOOKUP(2,1/((Budgets!$A$2:$A$200=BD$1)*(Budgets!$B$2:$B$200&lt;EDATE($A98,1))),Budgets!$C$2:$C$200),0))</f>
        <v/>
      </c>
      <c r="BE98" s="23">
        <f>IF(OR(BE$1="",$BM98=0),"",IFERROR(LOOKUP(2,1/((Budgets!$A$2:$A$200=BE$1)*(Budgets!$B$2:$B$200&lt;EDATE($A98,1))),Budgets!$C$2:$C$200),0))</f>
        <v/>
      </c>
      <c r="BF98" s="23">
        <f>IF(OR(BF$1="",$BM98=0),"",IFERROR(LOOKUP(2,1/((Budgets!$A$2:$A$200=BF$1)*(Budgets!$B$2:$B$200&lt;EDATE($A98,1))),Budgets!$C$2:$C$200),0))</f>
        <v/>
      </c>
      <c r="BG98" s="23">
        <f>IF(OR(BG$1="",$BM98=0),"",IFERROR(LOOKUP(2,1/((Budgets!$A$2:$A$200=BG$1)*(Budgets!$B$2:$B$200&lt;EDATE($A98,1))),Budgets!$C$2:$C$200),0))</f>
        <v/>
      </c>
      <c r="BH98" s="23">
        <f>IF(OR(BH$1="",$BM98=0),"",IFERROR(LOOKUP(2,1/((Budgets!$A$2:$A$200=BH$1)*(Budgets!$B$2:$B$200&lt;EDATE($A98,1))),Budgets!$C$2:$C$200),0))</f>
        <v/>
      </c>
      <c r="BI98" s="23">
        <f>IF(OR(BI$1="",$BM98=0),"",IFERROR(LOOKUP(2,1/((Budgets!$A$2:$A$200=BI$1)*(Budgets!$B$2:$B$200&lt;EDATE($A98,1))),Budgets!$C$2:$C$200),0))</f>
        <v/>
      </c>
      <c r="BJ98" s="23">
        <f>IF(OR(BJ$1="",$BM98=0),"",IFERROR(LOOKUP(2,1/((Budgets!$A$2:$A$200=BJ$1)*(Budgets!$B$2:$B$200&lt;EDATE($A98,1))),Budgets!$C$2:$C$200),0))</f>
        <v/>
      </c>
      <c r="BK98" s="23">
        <f>IF(OR(BK$1="",$BM98=0),"",IFERROR(LOOKUP(2,1/((Budgets!$A$2:$A$200=BK$1)*(Budgets!$B$2:$B$200&lt;EDATE($A98,1))),Budgets!$C$2:$C$200),0))</f>
        <v/>
      </c>
      <c r="BM98" s="21">
        <f>COUNTIFS(Entries!$A$2:$A$5000,"&gt;="&amp;$A98,Entries!$A$2:$A$5000,"&lt;"&amp;EDATE($A98,1))</f>
        <v/>
      </c>
    </row>
    <row r="99">
      <c r="A99" s="22" t="n">
        <v>42401</v>
      </c>
      <c r="B99" s="23">
        <f>IF($BM99=0,NA(),SUMIFS(Entries!$E$2:$E$5000,Entries!$C$2:$C$5000,"Income",Entries!$A$2:$A$5000,"&gt;="&amp;$A99,Entries!$A$2:$A$5000,"&lt;"&amp;EDATE($A99,1)))</f>
        <v/>
      </c>
      <c r="C99" s="23">
        <f>IF($BM99=0,"",SUMIFS(Entries!$E$2:$E$5000,Entries!$C$2:$C$5000,"Actual",Entries!$A$2:$A$5000,"&gt;="&amp;$A99,Entries!$A$2:$A$5000,"&lt;"&amp;EDATE($A99,1)))</f>
        <v/>
      </c>
      <c r="D99" s="23">
        <f>IF($BM99=0,"",SUMIFS(Entries!$E$2:$E$5000,Entries!$C$2:$C$5000,"One-off",Entries!$A$2:$A$5000,"&gt;="&amp;$A99,Entries!$A$2:$A$5000,"&lt;"&amp;EDATE($A99,1)))</f>
        <v/>
      </c>
      <c r="E99" s="23">
        <f>IF($BM99=0,NA(),C99+D99)</f>
        <v/>
      </c>
      <c r="F99" s="23">
        <f>IF($BM99=0,"",SUM(AR99:BK99))</f>
        <v/>
      </c>
      <c r="G99" s="23">
        <f>IF($BM99=0,"",B99-E99)</f>
        <v/>
      </c>
      <c r="H99" s="23">
        <f>IF($BM99=0,"",SUM($G$2:G99))</f>
        <v/>
      </c>
      <c r="I99" s="23">
        <f>IF($BM99=0,"",SUMIFS(Entries!$G$2:$G$5000,Entries!$A$2:$A$5000,"&gt;="&amp;$A99,Entries!$A$2:$A$5000,"&lt;"&amp;EDATE($A99,1)))</f>
        <v/>
      </c>
      <c r="J99" s="23">
        <f>IF($BM99=0,NA(),H99)</f>
        <v/>
      </c>
      <c r="K99" s="23">
        <f>IF($BM99=0,"",SUMIFS(Entries!$E$2:$E$5000,Entries!$C$2:$C$5000,"Income",Entries!$A$2:$A$5000,"&gt;="&amp;EDATE($A99,-11),Entries!$A$2:$A$5000,"&lt;"&amp;EDATE($A99,1))/COUNTIFS($A$2:$A$400,"&gt;="&amp;EDATE($A99,-11),$A$2:$A$400,"&lt;"&amp;EDATE($A99,1),$BM$2:$BM$400,"&gt;0"))</f>
      </c>
      <c r="L99" s="23">
        <f>IF($BM99=0,"",(SUMIFS(Entries!$E$2:$E$5000,Entries!$C$2:$C$5000,"Actual",Entries!$A$2:$A$5000,"&gt;="&amp;EDATE($A99,-11),Entries!$A$2:$A$5000,"&lt;"&amp;EDATE($A99,1))+SUMIFS(Entries!$E$2:$E$5000,Entries!$C$2:$C$5000,"One-off",Entries!$A$2:$A$5000,"&gt;="&amp;EDATE($A99,-11),Entries!$A$2:$A$5000,"&lt;"&amp;EDATE($A99,1)))/COUNTIFS($A$2:$A$400,"&gt;="&amp;EDATE($A99,-11),$A$2:$A$400,"&lt;"&amp;EDATE($A99,1),$BM$2:$BM$400,"&gt;0"))</f>
      </c>
      <c r="M99" s="24">
        <f>IF($BM99=0,NA(),IFERROR((K99-L99)/K99,0))</f>
        <v/>
      </c>
      <c r="N99" s="23">
        <f>IF($BM99=0,NA(),SUMIFS(Entries!$E$2:$E$5000,Entries!$D$2:$D$5000,"Core",Entries!$A$2:$A$5000,"&gt;="&amp;$A99,Entries!$A$2:$A$5000,"&lt;"&amp;EDATE($A99,1)))</f>
        <v/>
      </c>
      <c r="O99" s="23">
        <f>IF($BM99=0,NA(),SUMIFS(Entries!$E$2:$E$5000,Entries!$D$2:$D$5000,"Over &amp; above",Entries!$A$2:$A$5000,"&gt;="&amp;$A99,Entries!$A$2:$A$5000,"&lt;"&amp;EDATE($A99,1)))</f>
        <v/>
      </c>
      <c r="P99" s="23">
        <f>IF($BM99=0,NA(),SUMIFS(Entries!$E$2:$E$5000,Entries!$D$2:$D$5000,"One-off",Entries!$A$2:$A$5000,"&gt;="&amp;$A99,Entries!$A$2:$A$5000,"&lt;"&amp;EDATE($A99,1)))</f>
        <v/>
      </c>
      <c r="Q99" s="23">
        <f>IF($BM99=0,NA(),SUMIFS(Entries!$E$2:$E$5000,Entries!$D$2:$D$5000,"Reimbursable",Entries!$A$2:$A$5000,"&gt;="&amp;$A99,Entries!$A$2:$A$5000,"&lt;"&amp;EDATE($A99,1)))</f>
        <v/>
      </c>
      <c r="R99" s="23">
        <f>IF($BM99=0,NA(),SUMIFS(Entries!$E$2:$E$5000,Entries!$D$2:$D$5000,"Investment",Entries!$A$2:$A$5000,"&gt;="&amp;$A99,Entries!$A$2:$A$5000,"&lt;"&amp;EDATE($A99,1)))</f>
        <v/>
      </c>
      <c r="S99" s="23">
        <f>IF($BM99=0,NA(),N99+O99)</f>
        <v/>
      </c>
      <c r="T99" s="23">
        <f>IF($BM99=0,"",E99-Q99)</f>
        <v/>
      </c>
      <c r="W99" s="23">
        <f>IF(OR(W$1="",$BM99=0),"",SUMIFS(Entries!$E$2:$E$5000,Entries!$C$2:$C$5000,"Actual",Entries!$A$2:$A$5000,"&gt;="&amp;$A99,Entries!$A$2:$A$5000,"&lt;"&amp;EDATE($A99,1),Entries!$B$2:$B$5000,W$1))</f>
        <v/>
      </c>
      <c r="X99" s="23">
        <f>IF(OR(X$1="",$BM99=0),"",SUMIFS(Entries!$E$2:$E$5000,Entries!$C$2:$C$5000,"Actual",Entries!$A$2:$A$5000,"&gt;="&amp;$A99,Entries!$A$2:$A$5000,"&lt;"&amp;EDATE($A99,1),Entries!$B$2:$B$5000,X$1))</f>
        <v/>
      </c>
      <c r="Y99" s="23">
        <f>IF(OR(Y$1="",$BM99=0),"",SUMIFS(Entries!$E$2:$E$5000,Entries!$C$2:$C$5000,"Actual",Entries!$A$2:$A$5000,"&gt;="&amp;$A99,Entries!$A$2:$A$5000,"&lt;"&amp;EDATE($A99,1),Entries!$B$2:$B$5000,Y$1))</f>
        <v/>
      </c>
      <c r="Z99" s="23">
        <f>IF(OR(Z$1="",$BM99=0),"",SUMIFS(Entries!$E$2:$E$5000,Entries!$C$2:$C$5000,"Actual",Entries!$A$2:$A$5000,"&gt;="&amp;$A99,Entries!$A$2:$A$5000,"&lt;"&amp;EDATE($A99,1),Entries!$B$2:$B$5000,Z$1))</f>
        <v/>
      </c>
      <c r="AA99" s="23">
        <f>IF(OR(AA$1="",$BM99=0),"",SUMIFS(Entries!$E$2:$E$5000,Entries!$C$2:$C$5000,"Actual",Entries!$A$2:$A$5000,"&gt;="&amp;$A99,Entries!$A$2:$A$5000,"&lt;"&amp;EDATE($A99,1),Entries!$B$2:$B$5000,AA$1))</f>
        <v/>
      </c>
      <c r="AB99" s="23">
        <f>IF(OR(AB$1="",$BM99=0),"",SUMIFS(Entries!$E$2:$E$5000,Entries!$C$2:$C$5000,"Actual",Entries!$A$2:$A$5000,"&gt;="&amp;$A99,Entries!$A$2:$A$5000,"&lt;"&amp;EDATE($A99,1),Entries!$B$2:$B$5000,AB$1))</f>
        <v/>
      </c>
      <c r="AC99" s="23">
        <f>IF(OR(AC$1="",$BM99=0),"",SUMIFS(Entries!$E$2:$E$5000,Entries!$C$2:$C$5000,"Actual",Entries!$A$2:$A$5000,"&gt;="&amp;$A99,Entries!$A$2:$A$5000,"&lt;"&amp;EDATE($A99,1),Entries!$B$2:$B$5000,AC$1))</f>
        <v/>
      </c>
      <c r="AD99" s="23">
        <f>IF(OR(AD$1="",$BM99=0),"",SUMIFS(Entries!$E$2:$E$5000,Entries!$C$2:$C$5000,"Actual",Entries!$A$2:$A$5000,"&gt;="&amp;$A99,Entries!$A$2:$A$5000,"&lt;"&amp;EDATE($A99,1),Entries!$B$2:$B$5000,AD$1))</f>
        <v/>
      </c>
      <c r="AE99" s="23">
        <f>IF(OR(AE$1="",$BM99=0),"",SUMIFS(Entries!$E$2:$E$5000,Entries!$C$2:$C$5000,"Actual",Entries!$A$2:$A$5000,"&gt;="&amp;$A99,Entries!$A$2:$A$5000,"&lt;"&amp;EDATE($A99,1),Entries!$B$2:$B$5000,AE$1))</f>
        <v/>
      </c>
      <c r="AF99" s="23">
        <f>IF(OR(AF$1="",$BM99=0),"",SUMIFS(Entries!$E$2:$E$5000,Entries!$C$2:$C$5000,"Actual",Entries!$A$2:$A$5000,"&gt;="&amp;$A99,Entries!$A$2:$A$5000,"&lt;"&amp;EDATE($A99,1),Entries!$B$2:$B$5000,AF$1))</f>
        <v/>
      </c>
      <c r="AG99" s="23">
        <f>IF(OR(AG$1="",$BM99=0),"",SUMIFS(Entries!$E$2:$E$5000,Entries!$C$2:$C$5000,"Actual",Entries!$A$2:$A$5000,"&gt;="&amp;$A99,Entries!$A$2:$A$5000,"&lt;"&amp;EDATE($A99,1),Entries!$B$2:$B$5000,AG$1))</f>
        <v/>
      </c>
      <c r="AH99" s="23">
        <f>IF(OR(AH$1="",$BM99=0),"",SUMIFS(Entries!$E$2:$E$5000,Entries!$C$2:$C$5000,"Actual",Entries!$A$2:$A$5000,"&gt;="&amp;$A99,Entries!$A$2:$A$5000,"&lt;"&amp;EDATE($A99,1),Entries!$B$2:$B$5000,AH$1))</f>
        <v/>
      </c>
      <c r="AI99" s="23">
        <f>IF(OR(AI$1="",$BM99=0),"",SUMIFS(Entries!$E$2:$E$5000,Entries!$C$2:$C$5000,"Actual",Entries!$A$2:$A$5000,"&gt;="&amp;$A99,Entries!$A$2:$A$5000,"&lt;"&amp;EDATE($A99,1),Entries!$B$2:$B$5000,AI$1))</f>
        <v/>
      </c>
      <c r="AJ99" s="23">
        <f>IF(OR(AJ$1="",$BM99=0),"",SUMIFS(Entries!$E$2:$E$5000,Entries!$C$2:$C$5000,"Actual",Entries!$A$2:$A$5000,"&gt;="&amp;$A99,Entries!$A$2:$A$5000,"&lt;"&amp;EDATE($A99,1),Entries!$B$2:$B$5000,AJ$1))</f>
        <v/>
      </c>
      <c r="AK99" s="23">
        <f>IF(OR(AK$1="",$BM99=0),"",SUMIFS(Entries!$E$2:$E$5000,Entries!$C$2:$C$5000,"Actual",Entries!$A$2:$A$5000,"&gt;="&amp;$A99,Entries!$A$2:$A$5000,"&lt;"&amp;EDATE($A99,1),Entries!$B$2:$B$5000,AK$1))</f>
        <v/>
      </c>
      <c r="AL99" s="23">
        <f>IF(OR(AL$1="",$BM99=0),"",SUMIFS(Entries!$E$2:$E$5000,Entries!$C$2:$C$5000,"Actual",Entries!$A$2:$A$5000,"&gt;="&amp;$A99,Entries!$A$2:$A$5000,"&lt;"&amp;EDATE($A99,1),Entries!$B$2:$B$5000,AL$1))</f>
        <v/>
      </c>
      <c r="AM99" s="23">
        <f>IF(OR(AM$1="",$BM99=0),"",SUMIFS(Entries!$E$2:$E$5000,Entries!$C$2:$C$5000,"Actual",Entries!$A$2:$A$5000,"&gt;="&amp;$A99,Entries!$A$2:$A$5000,"&lt;"&amp;EDATE($A99,1),Entries!$B$2:$B$5000,AM$1))</f>
        <v/>
      </c>
      <c r="AN99" s="23">
        <f>IF(OR(AN$1="",$BM99=0),"",SUMIFS(Entries!$E$2:$E$5000,Entries!$C$2:$C$5000,"Actual",Entries!$A$2:$A$5000,"&gt;="&amp;$A99,Entries!$A$2:$A$5000,"&lt;"&amp;EDATE($A99,1),Entries!$B$2:$B$5000,AN$1))</f>
        <v/>
      </c>
      <c r="AO99" s="23">
        <f>IF(OR(AO$1="",$BM99=0),"",SUMIFS(Entries!$E$2:$E$5000,Entries!$C$2:$C$5000,"Actual",Entries!$A$2:$A$5000,"&gt;="&amp;$A99,Entries!$A$2:$A$5000,"&lt;"&amp;EDATE($A99,1),Entries!$B$2:$B$5000,AO$1))</f>
        <v/>
      </c>
      <c r="AP99" s="23">
        <f>IF(OR(AP$1="",$BM99=0),"",SUMIFS(Entries!$E$2:$E$5000,Entries!$C$2:$C$5000,"Actual",Entries!$A$2:$A$5000,"&gt;="&amp;$A99,Entries!$A$2:$A$5000,"&lt;"&amp;EDATE($A99,1),Entries!$B$2:$B$5000,AP$1))</f>
        <v/>
      </c>
      <c r="AR99" s="23">
        <f>IF(OR(AR$1="",$BM99=0),"",IFERROR(LOOKUP(2,1/((Budgets!$A$2:$A$200=AR$1)*(Budgets!$B$2:$B$200&lt;EDATE($A99,1))),Budgets!$C$2:$C$200),0))</f>
        <v/>
      </c>
      <c r="AS99" s="23">
        <f>IF(OR(AS$1="",$BM99=0),"",IFERROR(LOOKUP(2,1/((Budgets!$A$2:$A$200=AS$1)*(Budgets!$B$2:$B$200&lt;EDATE($A99,1))),Budgets!$C$2:$C$200),0))</f>
        <v/>
      </c>
      <c r="AT99" s="23">
        <f>IF(OR(AT$1="",$BM99=0),"",IFERROR(LOOKUP(2,1/((Budgets!$A$2:$A$200=AT$1)*(Budgets!$B$2:$B$200&lt;EDATE($A99,1))),Budgets!$C$2:$C$200),0))</f>
        <v/>
      </c>
      <c r="AU99" s="23">
        <f>IF(OR(AU$1="",$BM99=0),"",IFERROR(LOOKUP(2,1/((Budgets!$A$2:$A$200=AU$1)*(Budgets!$B$2:$B$200&lt;EDATE($A99,1))),Budgets!$C$2:$C$200),0))</f>
        <v/>
      </c>
      <c r="AV99" s="23">
        <f>IF(OR(AV$1="",$BM99=0),"",IFERROR(LOOKUP(2,1/((Budgets!$A$2:$A$200=AV$1)*(Budgets!$B$2:$B$200&lt;EDATE($A99,1))),Budgets!$C$2:$C$200),0))</f>
        <v/>
      </c>
      <c r="AW99" s="23">
        <f>IF(OR(AW$1="",$BM99=0),"",IFERROR(LOOKUP(2,1/((Budgets!$A$2:$A$200=AW$1)*(Budgets!$B$2:$B$200&lt;EDATE($A99,1))),Budgets!$C$2:$C$200),0))</f>
        <v/>
      </c>
      <c r="AX99" s="23">
        <f>IF(OR(AX$1="",$BM99=0),"",IFERROR(LOOKUP(2,1/((Budgets!$A$2:$A$200=AX$1)*(Budgets!$B$2:$B$200&lt;EDATE($A99,1))),Budgets!$C$2:$C$200),0))</f>
        <v/>
      </c>
      <c r="AY99" s="23">
        <f>IF(OR(AY$1="",$BM99=0),"",IFERROR(LOOKUP(2,1/((Budgets!$A$2:$A$200=AY$1)*(Budgets!$B$2:$B$200&lt;EDATE($A99,1))),Budgets!$C$2:$C$200),0))</f>
        <v/>
      </c>
      <c r="AZ99" s="23">
        <f>IF(OR(AZ$1="",$BM99=0),"",IFERROR(LOOKUP(2,1/((Budgets!$A$2:$A$200=AZ$1)*(Budgets!$B$2:$B$200&lt;EDATE($A99,1))),Budgets!$C$2:$C$200),0))</f>
        <v/>
      </c>
      <c r="BA99" s="23">
        <f>IF(OR(BA$1="",$BM99=0),"",IFERROR(LOOKUP(2,1/((Budgets!$A$2:$A$200=BA$1)*(Budgets!$B$2:$B$200&lt;EDATE($A99,1))),Budgets!$C$2:$C$200),0))</f>
        <v/>
      </c>
      <c r="BB99" s="23">
        <f>IF(OR(BB$1="",$BM99=0),"",IFERROR(LOOKUP(2,1/((Budgets!$A$2:$A$200=BB$1)*(Budgets!$B$2:$B$200&lt;EDATE($A99,1))),Budgets!$C$2:$C$200),0))</f>
        <v/>
      </c>
      <c r="BC99" s="23">
        <f>IF(OR(BC$1="",$BM99=0),"",IFERROR(LOOKUP(2,1/((Budgets!$A$2:$A$200=BC$1)*(Budgets!$B$2:$B$200&lt;EDATE($A99,1))),Budgets!$C$2:$C$200),0))</f>
        <v/>
      </c>
      <c r="BD99" s="23">
        <f>IF(OR(BD$1="",$BM99=0),"",IFERROR(LOOKUP(2,1/((Budgets!$A$2:$A$200=BD$1)*(Budgets!$B$2:$B$200&lt;EDATE($A99,1))),Budgets!$C$2:$C$200),0))</f>
        <v/>
      </c>
      <c r="BE99" s="23">
        <f>IF(OR(BE$1="",$BM99=0),"",IFERROR(LOOKUP(2,1/((Budgets!$A$2:$A$200=BE$1)*(Budgets!$B$2:$B$200&lt;EDATE($A99,1))),Budgets!$C$2:$C$200),0))</f>
        <v/>
      </c>
      <c r="BF99" s="23">
        <f>IF(OR(BF$1="",$BM99=0),"",IFERROR(LOOKUP(2,1/((Budgets!$A$2:$A$200=BF$1)*(Budgets!$B$2:$B$200&lt;EDATE($A99,1))),Budgets!$C$2:$C$200),0))</f>
        <v/>
      </c>
      <c r="BG99" s="23">
        <f>IF(OR(BG$1="",$BM99=0),"",IFERROR(LOOKUP(2,1/((Budgets!$A$2:$A$200=BG$1)*(Budgets!$B$2:$B$200&lt;EDATE($A99,1))),Budgets!$C$2:$C$200),0))</f>
        <v/>
      </c>
      <c r="BH99" s="23">
        <f>IF(OR(BH$1="",$BM99=0),"",IFERROR(LOOKUP(2,1/((Budgets!$A$2:$A$200=BH$1)*(Budgets!$B$2:$B$200&lt;EDATE($A99,1))),Budgets!$C$2:$C$200),0))</f>
        <v/>
      </c>
      <c r="BI99" s="23">
        <f>IF(OR(BI$1="",$BM99=0),"",IFERROR(LOOKUP(2,1/((Budgets!$A$2:$A$200=BI$1)*(Budgets!$B$2:$B$200&lt;EDATE($A99,1))),Budgets!$C$2:$C$200),0))</f>
        <v/>
      </c>
      <c r="BJ99" s="23">
        <f>IF(OR(BJ$1="",$BM99=0),"",IFERROR(LOOKUP(2,1/((Budgets!$A$2:$A$200=BJ$1)*(Budgets!$B$2:$B$200&lt;EDATE($A99,1))),Budgets!$C$2:$C$200),0))</f>
        <v/>
      </c>
      <c r="BK99" s="23">
        <f>IF(OR(BK$1="",$BM99=0),"",IFERROR(LOOKUP(2,1/((Budgets!$A$2:$A$200=BK$1)*(Budgets!$B$2:$B$200&lt;EDATE($A99,1))),Budgets!$C$2:$C$200),0))</f>
        <v/>
      </c>
      <c r="BM99" s="21">
        <f>COUNTIFS(Entries!$A$2:$A$5000,"&gt;="&amp;$A99,Entries!$A$2:$A$5000,"&lt;"&amp;EDATE($A99,1))</f>
        <v/>
      </c>
    </row>
    <row r="100">
      <c r="A100" s="22" t="n">
        <v>42430</v>
      </c>
      <c r="B100" s="23">
        <f>IF($BM100=0,NA(),SUMIFS(Entries!$E$2:$E$5000,Entries!$C$2:$C$5000,"Income",Entries!$A$2:$A$5000,"&gt;="&amp;$A100,Entries!$A$2:$A$5000,"&lt;"&amp;EDATE($A100,1)))</f>
        <v/>
      </c>
      <c r="C100" s="23">
        <f>IF($BM100=0,"",SUMIFS(Entries!$E$2:$E$5000,Entries!$C$2:$C$5000,"Actual",Entries!$A$2:$A$5000,"&gt;="&amp;$A100,Entries!$A$2:$A$5000,"&lt;"&amp;EDATE($A100,1)))</f>
        <v/>
      </c>
      <c r="D100" s="23">
        <f>IF($BM100=0,"",SUMIFS(Entries!$E$2:$E$5000,Entries!$C$2:$C$5000,"One-off",Entries!$A$2:$A$5000,"&gt;="&amp;$A100,Entries!$A$2:$A$5000,"&lt;"&amp;EDATE($A100,1)))</f>
        <v/>
      </c>
      <c r="E100" s="23">
        <f>IF($BM100=0,NA(),C100+D100)</f>
        <v/>
      </c>
      <c r="F100" s="23">
        <f>IF($BM100=0,"",SUM(AR100:BK100))</f>
        <v/>
      </c>
      <c r="G100" s="23">
        <f>IF($BM100=0,"",B100-E100)</f>
        <v/>
      </c>
      <c r="H100" s="23">
        <f>IF($BM100=0,"",SUM($G$2:G100))</f>
        <v/>
      </c>
      <c r="I100" s="23">
        <f>IF($BM100=0,"",SUMIFS(Entries!$G$2:$G$5000,Entries!$A$2:$A$5000,"&gt;="&amp;$A100,Entries!$A$2:$A$5000,"&lt;"&amp;EDATE($A100,1)))</f>
        <v/>
      </c>
      <c r="J100" s="23">
        <f>IF($BM100=0,NA(),H100)</f>
        <v/>
      </c>
      <c r="K100" s="23">
        <f>IF($BM100=0,"",SUMIFS(Entries!$E$2:$E$5000,Entries!$C$2:$C$5000,"Income",Entries!$A$2:$A$5000,"&gt;="&amp;EDATE($A100,-11),Entries!$A$2:$A$5000,"&lt;"&amp;EDATE($A100,1))/COUNTIFS($A$2:$A$400,"&gt;="&amp;EDATE($A100,-11),$A$2:$A$400,"&lt;"&amp;EDATE($A100,1),$BM$2:$BM$400,"&gt;0"))</f>
      </c>
      <c r="L100" s="23">
        <f>IF($BM100=0,"",(SUMIFS(Entries!$E$2:$E$5000,Entries!$C$2:$C$5000,"Actual",Entries!$A$2:$A$5000,"&gt;="&amp;EDATE($A100,-11),Entries!$A$2:$A$5000,"&lt;"&amp;EDATE($A100,1))+SUMIFS(Entries!$E$2:$E$5000,Entries!$C$2:$C$5000,"One-off",Entries!$A$2:$A$5000,"&gt;="&amp;EDATE($A100,-11),Entries!$A$2:$A$5000,"&lt;"&amp;EDATE($A100,1)))/COUNTIFS($A$2:$A$400,"&gt;="&amp;EDATE($A100,-11),$A$2:$A$400,"&lt;"&amp;EDATE($A100,1),$BM$2:$BM$400,"&gt;0"))</f>
      </c>
      <c r="M100" s="24">
        <f>IF($BM100=0,NA(),IFERROR((K100-L100)/K100,0))</f>
        <v/>
      </c>
      <c r="N100" s="23">
        <f>IF($BM100=0,NA(),SUMIFS(Entries!$E$2:$E$5000,Entries!$D$2:$D$5000,"Core",Entries!$A$2:$A$5000,"&gt;="&amp;$A100,Entries!$A$2:$A$5000,"&lt;"&amp;EDATE($A100,1)))</f>
        <v/>
      </c>
      <c r="O100" s="23">
        <f>IF($BM100=0,NA(),SUMIFS(Entries!$E$2:$E$5000,Entries!$D$2:$D$5000,"Over &amp; above",Entries!$A$2:$A$5000,"&gt;="&amp;$A100,Entries!$A$2:$A$5000,"&lt;"&amp;EDATE($A100,1)))</f>
        <v/>
      </c>
      <c r="P100" s="23">
        <f>IF($BM100=0,NA(),SUMIFS(Entries!$E$2:$E$5000,Entries!$D$2:$D$5000,"One-off",Entries!$A$2:$A$5000,"&gt;="&amp;$A100,Entries!$A$2:$A$5000,"&lt;"&amp;EDATE($A100,1)))</f>
        <v/>
      </c>
      <c r="Q100" s="23">
        <f>IF($BM100=0,NA(),SUMIFS(Entries!$E$2:$E$5000,Entries!$D$2:$D$5000,"Reimbursable",Entries!$A$2:$A$5000,"&gt;="&amp;$A100,Entries!$A$2:$A$5000,"&lt;"&amp;EDATE($A100,1)))</f>
        <v/>
      </c>
      <c r="R100" s="23">
        <f>IF($BM100=0,NA(),SUMIFS(Entries!$E$2:$E$5000,Entries!$D$2:$D$5000,"Investment",Entries!$A$2:$A$5000,"&gt;="&amp;$A100,Entries!$A$2:$A$5000,"&lt;"&amp;EDATE($A100,1)))</f>
        <v/>
      </c>
      <c r="S100" s="23">
        <f>IF($BM100=0,NA(),N100+O100)</f>
        <v/>
      </c>
      <c r="T100" s="23">
        <f>IF($BM100=0,"",E100-Q100)</f>
        <v/>
      </c>
      <c r="W100" s="23">
        <f>IF(OR(W$1="",$BM100=0),"",SUMIFS(Entries!$E$2:$E$5000,Entries!$C$2:$C$5000,"Actual",Entries!$A$2:$A$5000,"&gt;="&amp;$A100,Entries!$A$2:$A$5000,"&lt;"&amp;EDATE($A100,1),Entries!$B$2:$B$5000,W$1))</f>
        <v/>
      </c>
      <c r="X100" s="23">
        <f>IF(OR(X$1="",$BM100=0),"",SUMIFS(Entries!$E$2:$E$5000,Entries!$C$2:$C$5000,"Actual",Entries!$A$2:$A$5000,"&gt;="&amp;$A100,Entries!$A$2:$A$5000,"&lt;"&amp;EDATE($A100,1),Entries!$B$2:$B$5000,X$1))</f>
        <v/>
      </c>
      <c r="Y100" s="23">
        <f>IF(OR(Y$1="",$BM100=0),"",SUMIFS(Entries!$E$2:$E$5000,Entries!$C$2:$C$5000,"Actual",Entries!$A$2:$A$5000,"&gt;="&amp;$A100,Entries!$A$2:$A$5000,"&lt;"&amp;EDATE($A100,1),Entries!$B$2:$B$5000,Y$1))</f>
        <v/>
      </c>
      <c r="Z100" s="23">
        <f>IF(OR(Z$1="",$BM100=0),"",SUMIFS(Entries!$E$2:$E$5000,Entries!$C$2:$C$5000,"Actual",Entries!$A$2:$A$5000,"&gt;="&amp;$A100,Entries!$A$2:$A$5000,"&lt;"&amp;EDATE($A100,1),Entries!$B$2:$B$5000,Z$1))</f>
        <v/>
      </c>
      <c r="AA100" s="23">
        <f>IF(OR(AA$1="",$BM100=0),"",SUMIFS(Entries!$E$2:$E$5000,Entries!$C$2:$C$5000,"Actual",Entries!$A$2:$A$5000,"&gt;="&amp;$A100,Entries!$A$2:$A$5000,"&lt;"&amp;EDATE($A100,1),Entries!$B$2:$B$5000,AA$1))</f>
        <v/>
      </c>
      <c r="AB100" s="23">
        <f>IF(OR(AB$1="",$BM100=0),"",SUMIFS(Entries!$E$2:$E$5000,Entries!$C$2:$C$5000,"Actual",Entries!$A$2:$A$5000,"&gt;="&amp;$A100,Entries!$A$2:$A$5000,"&lt;"&amp;EDATE($A100,1),Entries!$B$2:$B$5000,AB$1))</f>
        <v/>
      </c>
      <c r="AC100" s="23">
        <f>IF(OR(AC$1="",$BM100=0),"",SUMIFS(Entries!$E$2:$E$5000,Entries!$C$2:$C$5000,"Actual",Entries!$A$2:$A$5000,"&gt;="&amp;$A100,Entries!$A$2:$A$5000,"&lt;"&amp;EDATE($A100,1),Entries!$B$2:$B$5000,AC$1))</f>
        <v/>
      </c>
      <c r="AD100" s="23">
        <f>IF(OR(AD$1="",$BM100=0),"",SUMIFS(Entries!$E$2:$E$5000,Entries!$C$2:$C$5000,"Actual",Entries!$A$2:$A$5000,"&gt;="&amp;$A100,Entries!$A$2:$A$5000,"&lt;"&amp;EDATE($A100,1),Entries!$B$2:$B$5000,AD$1))</f>
        <v/>
      </c>
      <c r="AE100" s="23">
        <f>IF(OR(AE$1="",$BM100=0),"",SUMIFS(Entries!$E$2:$E$5000,Entries!$C$2:$C$5000,"Actual",Entries!$A$2:$A$5000,"&gt;="&amp;$A100,Entries!$A$2:$A$5000,"&lt;"&amp;EDATE($A100,1),Entries!$B$2:$B$5000,AE$1))</f>
        <v/>
      </c>
      <c r="AF100" s="23">
        <f>IF(OR(AF$1="",$BM100=0),"",SUMIFS(Entries!$E$2:$E$5000,Entries!$C$2:$C$5000,"Actual",Entries!$A$2:$A$5000,"&gt;="&amp;$A100,Entries!$A$2:$A$5000,"&lt;"&amp;EDATE($A100,1),Entries!$B$2:$B$5000,AF$1))</f>
        <v/>
      </c>
      <c r="AG100" s="23">
        <f>IF(OR(AG$1="",$BM100=0),"",SUMIFS(Entries!$E$2:$E$5000,Entries!$C$2:$C$5000,"Actual",Entries!$A$2:$A$5000,"&gt;="&amp;$A100,Entries!$A$2:$A$5000,"&lt;"&amp;EDATE($A100,1),Entries!$B$2:$B$5000,AG$1))</f>
        <v/>
      </c>
      <c r="AH100" s="23">
        <f>IF(OR(AH$1="",$BM100=0),"",SUMIFS(Entries!$E$2:$E$5000,Entries!$C$2:$C$5000,"Actual",Entries!$A$2:$A$5000,"&gt;="&amp;$A100,Entries!$A$2:$A$5000,"&lt;"&amp;EDATE($A100,1),Entries!$B$2:$B$5000,AH$1))</f>
        <v/>
      </c>
      <c r="AI100" s="23">
        <f>IF(OR(AI$1="",$BM100=0),"",SUMIFS(Entries!$E$2:$E$5000,Entries!$C$2:$C$5000,"Actual",Entries!$A$2:$A$5000,"&gt;="&amp;$A100,Entries!$A$2:$A$5000,"&lt;"&amp;EDATE($A100,1),Entries!$B$2:$B$5000,AI$1))</f>
        <v/>
      </c>
      <c r="AJ100" s="23">
        <f>IF(OR(AJ$1="",$BM100=0),"",SUMIFS(Entries!$E$2:$E$5000,Entries!$C$2:$C$5000,"Actual",Entries!$A$2:$A$5000,"&gt;="&amp;$A100,Entries!$A$2:$A$5000,"&lt;"&amp;EDATE($A100,1),Entries!$B$2:$B$5000,AJ$1))</f>
        <v/>
      </c>
      <c r="AK100" s="23">
        <f>IF(OR(AK$1="",$BM100=0),"",SUMIFS(Entries!$E$2:$E$5000,Entries!$C$2:$C$5000,"Actual",Entries!$A$2:$A$5000,"&gt;="&amp;$A100,Entries!$A$2:$A$5000,"&lt;"&amp;EDATE($A100,1),Entries!$B$2:$B$5000,AK$1))</f>
        <v/>
      </c>
      <c r="AL100" s="23">
        <f>IF(OR(AL$1="",$BM100=0),"",SUMIFS(Entries!$E$2:$E$5000,Entries!$C$2:$C$5000,"Actual",Entries!$A$2:$A$5000,"&gt;="&amp;$A100,Entries!$A$2:$A$5000,"&lt;"&amp;EDATE($A100,1),Entries!$B$2:$B$5000,AL$1))</f>
        <v/>
      </c>
      <c r="AM100" s="23">
        <f>IF(OR(AM$1="",$BM100=0),"",SUMIFS(Entries!$E$2:$E$5000,Entries!$C$2:$C$5000,"Actual",Entries!$A$2:$A$5000,"&gt;="&amp;$A100,Entries!$A$2:$A$5000,"&lt;"&amp;EDATE($A100,1),Entries!$B$2:$B$5000,AM$1))</f>
        <v/>
      </c>
      <c r="AN100" s="23">
        <f>IF(OR(AN$1="",$BM100=0),"",SUMIFS(Entries!$E$2:$E$5000,Entries!$C$2:$C$5000,"Actual",Entries!$A$2:$A$5000,"&gt;="&amp;$A100,Entries!$A$2:$A$5000,"&lt;"&amp;EDATE($A100,1),Entries!$B$2:$B$5000,AN$1))</f>
        <v/>
      </c>
      <c r="AO100" s="23">
        <f>IF(OR(AO$1="",$BM100=0),"",SUMIFS(Entries!$E$2:$E$5000,Entries!$C$2:$C$5000,"Actual",Entries!$A$2:$A$5000,"&gt;="&amp;$A100,Entries!$A$2:$A$5000,"&lt;"&amp;EDATE($A100,1),Entries!$B$2:$B$5000,AO$1))</f>
        <v/>
      </c>
      <c r="AP100" s="23">
        <f>IF(OR(AP$1="",$BM100=0),"",SUMIFS(Entries!$E$2:$E$5000,Entries!$C$2:$C$5000,"Actual",Entries!$A$2:$A$5000,"&gt;="&amp;$A100,Entries!$A$2:$A$5000,"&lt;"&amp;EDATE($A100,1),Entries!$B$2:$B$5000,AP$1))</f>
        <v/>
      </c>
      <c r="AR100" s="23">
        <f>IF(OR(AR$1="",$BM100=0),"",IFERROR(LOOKUP(2,1/((Budgets!$A$2:$A$200=AR$1)*(Budgets!$B$2:$B$200&lt;EDATE($A100,1))),Budgets!$C$2:$C$200),0))</f>
        <v/>
      </c>
      <c r="AS100" s="23">
        <f>IF(OR(AS$1="",$BM100=0),"",IFERROR(LOOKUP(2,1/((Budgets!$A$2:$A$200=AS$1)*(Budgets!$B$2:$B$200&lt;EDATE($A100,1))),Budgets!$C$2:$C$200),0))</f>
        <v/>
      </c>
      <c r="AT100" s="23">
        <f>IF(OR(AT$1="",$BM100=0),"",IFERROR(LOOKUP(2,1/((Budgets!$A$2:$A$200=AT$1)*(Budgets!$B$2:$B$200&lt;EDATE($A100,1))),Budgets!$C$2:$C$200),0))</f>
        <v/>
      </c>
      <c r="AU100" s="23">
        <f>IF(OR(AU$1="",$BM100=0),"",IFERROR(LOOKUP(2,1/((Budgets!$A$2:$A$200=AU$1)*(Budgets!$B$2:$B$200&lt;EDATE($A100,1))),Budgets!$C$2:$C$200),0))</f>
        <v/>
      </c>
      <c r="AV100" s="23">
        <f>IF(OR(AV$1="",$BM100=0),"",IFERROR(LOOKUP(2,1/((Budgets!$A$2:$A$200=AV$1)*(Budgets!$B$2:$B$200&lt;EDATE($A100,1))),Budgets!$C$2:$C$200),0))</f>
        <v/>
      </c>
      <c r="AW100" s="23">
        <f>IF(OR(AW$1="",$BM100=0),"",IFERROR(LOOKUP(2,1/((Budgets!$A$2:$A$200=AW$1)*(Budgets!$B$2:$B$200&lt;EDATE($A100,1))),Budgets!$C$2:$C$200),0))</f>
        <v/>
      </c>
      <c r="AX100" s="23">
        <f>IF(OR(AX$1="",$BM100=0),"",IFERROR(LOOKUP(2,1/((Budgets!$A$2:$A$200=AX$1)*(Budgets!$B$2:$B$200&lt;EDATE($A100,1))),Budgets!$C$2:$C$200),0))</f>
        <v/>
      </c>
      <c r="AY100" s="23">
        <f>IF(OR(AY$1="",$BM100=0),"",IFERROR(LOOKUP(2,1/((Budgets!$A$2:$A$200=AY$1)*(Budgets!$B$2:$B$200&lt;EDATE($A100,1))),Budgets!$C$2:$C$200),0))</f>
        <v/>
      </c>
      <c r="AZ100" s="23">
        <f>IF(OR(AZ$1="",$BM100=0),"",IFERROR(LOOKUP(2,1/((Budgets!$A$2:$A$200=AZ$1)*(Budgets!$B$2:$B$200&lt;EDATE($A100,1))),Budgets!$C$2:$C$200),0))</f>
        <v/>
      </c>
      <c r="BA100" s="23">
        <f>IF(OR(BA$1="",$BM100=0),"",IFERROR(LOOKUP(2,1/((Budgets!$A$2:$A$200=BA$1)*(Budgets!$B$2:$B$200&lt;EDATE($A100,1))),Budgets!$C$2:$C$200),0))</f>
        <v/>
      </c>
      <c r="BB100" s="23">
        <f>IF(OR(BB$1="",$BM100=0),"",IFERROR(LOOKUP(2,1/((Budgets!$A$2:$A$200=BB$1)*(Budgets!$B$2:$B$200&lt;EDATE($A100,1))),Budgets!$C$2:$C$200),0))</f>
        <v/>
      </c>
      <c r="BC100" s="23">
        <f>IF(OR(BC$1="",$BM100=0),"",IFERROR(LOOKUP(2,1/((Budgets!$A$2:$A$200=BC$1)*(Budgets!$B$2:$B$200&lt;EDATE($A100,1))),Budgets!$C$2:$C$200),0))</f>
        <v/>
      </c>
      <c r="BD100" s="23">
        <f>IF(OR(BD$1="",$BM100=0),"",IFERROR(LOOKUP(2,1/((Budgets!$A$2:$A$200=BD$1)*(Budgets!$B$2:$B$200&lt;EDATE($A100,1))),Budgets!$C$2:$C$200),0))</f>
        <v/>
      </c>
      <c r="BE100" s="23">
        <f>IF(OR(BE$1="",$BM100=0),"",IFERROR(LOOKUP(2,1/((Budgets!$A$2:$A$200=BE$1)*(Budgets!$B$2:$B$200&lt;EDATE($A100,1))),Budgets!$C$2:$C$200),0))</f>
        <v/>
      </c>
      <c r="BF100" s="23">
        <f>IF(OR(BF$1="",$BM100=0),"",IFERROR(LOOKUP(2,1/((Budgets!$A$2:$A$200=BF$1)*(Budgets!$B$2:$B$200&lt;EDATE($A100,1))),Budgets!$C$2:$C$200),0))</f>
        <v/>
      </c>
      <c r="BG100" s="23">
        <f>IF(OR(BG$1="",$BM100=0),"",IFERROR(LOOKUP(2,1/((Budgets!$A$2:$A$200=BG$1)*(Budgets!$B$2:$B$200&lt;EDATE($A100,1))),Budgets!$C$2:$C$200),0))</f>
        <v/>
      </c>
      <c r="BH100" s="23">
        <f>IF(OR(BH$1="",$BM100=0),"",IFERROR(LOOKUP(2,1/((Budgets!$A$2:$A$200=BH$1)*(Budgets!$B$2:$B$200&lt;EDATE($A100,1))),Budgets!$C$2:$C$200),0))</f>
        <v/>
      </c>
      <c r="BI100" s="23">
        <f>IF(OR(BI$1="",$BM100=0),"",IFERROR(LOOKUP(2,1/((Budgets!$A$2:$A$200=BI$1)*(Budgets!$B$2:$B$200&lt;EDATE($A100,1))),Budgets!$C$2:$C$200),0))</f>
        <v/>
      </c>
      <c r="BJ100" s="23">
        <f>IF(OR(BJ$1="",$BM100=0),"",IFERROR(LOOKUP(2,1/((Budgets!$A$2:$A$200=BJ$1)*(Budgets!$B$2:$B$200&lt;EDATE($A100,1))),Budgets!$C$2:$C$200),0))</f>
        <v/>
      </c>
      <c r="BK100" s="23">
        <f>IF(OR(BK$1="",$BM100=0),"",IFERROR(LOOKUP(2,1/((Budgets!$A$2:$A$200=BK$1)*(Budgets!$B$2:$B$200&lt;EDATE($A100,1))),Budgets!$C$2:$C$200),0))</f>
        <v/>
      </c>
      <c r="BM100" s="21">
        <f>COUNTIFS(Entries!$A$2:$A$5000,"&gt;="&amp;$A100,Entries!$A$2:$A$5000,"&lt;"&amp;EDATE($A100,1))</f>
        <v/>
      </c>
    </row>
    <row r="101">
      <c r="A101" s="22" t="n">
        <v>42461</v>
      </c>
      <c r="B101" s="23">
        <f>IF($BM101=0,NA(),SUMIFS(Entries!$E$2:$E$5000,Entries!$C$2:$C$5000,"Income",Entries!$A$2:$A$5000,"&gt;="&amp;$A101,Entries!$A$2:$A$5000,"&lt;"&amp;EDATE($A101,1)))</f>
        <v/>
      </c>
      <c r="C101" s="23">
        <f>IF($BM101=0,"",SUMIFS(Entries!$E$2:$E$5000,Entries!$C$2:$C$5000,"Actual",Entries!$A$2:$A$5000,"&gt;="&amp;$A101,Entries!$A$2:$A$5000,"&lt;"&amp;EDATE($A101,1)))</f>
        <v/>
      </c>
      <c r="D101" s="23">
        <f>IF($BM101=0,"",SUMIFS(Entries!$E$2:$E$5000,Entries!$C$2:$C$5000,"One-off",Entries!$A$2:$A$5000,"&gt;="&amp;$A101,Entries!$A$2:$A$5000,"&lt;"&amp;EDATE($A101,1)))</f>
        <v/>
      </c>
      <c r="E101" s="23">
        <f>IF($BM101=0,NA(),C101+D101)</f>
        <v/>
      </c>
      <c r="F101" s="23">
        <f>IF($BM101=0,"",SUM(AR101:BK101))</f>
        <v/>
      </c>
      <c r="G101" s="23">
        <f>IF($BM101=0,"",B101-E101)</f>
        <v/>
      </c>
      <c r="H101" s="23">
        <f>IF($BM101=0,"",SUM($G$2:G101))</f>
        <v/>
      </c>
      <c r="I101" s="23">
        <f>IF($BM101=0,"",SUMIFS(Entries!$G$2:$G$5000,Entries!$A$2:$A$5000,"&gt;="&amp;$A101,Entries!$A$2:$A$5000,"&lt;"&amp;EDATE($A101,1)))</f>
        <v/>
      </c>
      <c r="J101" s="23">
        <f>IF($BM101=0,NA(),H101)</f>
        <v/>
      </c>
      <c r="K101" s="23">
        <f>IF($BM101=0,"",SUMIFS(Entries!$E$2:$E$5000,Entries!$C$2:$C$5000,"Income",Entries!$A$2:$A$5000,"&gt;="&amp;EDATE($A101,-11),Entries!$A$2:$A$5000,"&lt;"&amp;EDATE($A101,1))/COUNTIFS($A$2:$A$400,"&gt;="&amp;EDATE($A101,-11),$A$2:$A$400,"&lt;"&amp;EDATE($A101,1),$BM$2:$BM$400,"&gt;0"))</f>
      </c>
      <c r="L101" s="23">
        <f>IF($BM101=0,"",(SUMIFS(Entries!$E$2:$E$5000,Entries!$C$2:$C$5000,"Actual",Entries!$A$2:$A$5000,"&gt;="&amp;EDATE($A101,-11),Entries!$A$2:$A$5000,"&lt;"&amp;EDATE($A101,1))+SUMIFS(Entries!$E$2:$E$5000,Entries!$C$2:$C$5000,"One-off",Entries!$A$2:$A$5000,"&gt;="&amp;EDATE($A101,-11),Entries!$A$2:$A$5000,"&lt;"&amp;EDATE($A101,1)))/COUNTIFS($A$2:$A$400,"&gt;="&amp;EDATE($A101,-11),$A$2:$A$400,"&lt;"&amp;EDATE($A101,1),$BM$2:$BM$400,"&gt;0"))</f>
      </c>
      <c r="M101" s="24">
        <f>IF($BM101=0,NA(),IFERROR((K101-L101)/K101,0))</f>
        <v/>
      </c>
      <c r="N101" s="23">
        <f>IF($BM101=0,NA(),SUMIFS(Entries!$E$2:$E$5000,Entries!$D$2:$D$5000,"Core",Entries!$A$2:$A$5000,"&gt;="&amp;$A101,Entries!$A$2:$A$5000,"&lt;"&amp;EDATE($A101,1)))</f>
        <v/>
      </c>
      <c r="O101" s="23">
        <f>IF($BM101=0,NA(),SUMIFS(Entries!$E$2:$E$5000,Entries!$D$2:$D$5000,"Over &amp; above",Entries!$A$2:$A$5000,"&gt;="&amp;$A101,Entries!$A$2:$A$5000,"&lt;"&amp;EDATE($A101,1)))</f>
        <v/>
      </c>
      <c r="P101" s="23">
        <f>IF($BM101=0,NA(),SUMIFS(Entries!$E$2:$E$5000,Entries!$D$2:$D$5000,"One-off",Entries!$A$2:$A$5000,"&gt;="&amp;$A101,Entries!$A$2:$A$5000,"&lt;"&amp;EDATE($A101,1)))</f>
        <v/>
      </c>
      <c r="Q101" s="23">
        <f>IF($BM101=0,NA(),SUMIFS(Entries!$E$2:$E$5000,Entries!$D$2:$D$5000,"Reimbursable",Entries!$A$2:$A$5000,"&gt;="&amp;$A101,Entries!$A$2:$A$5000,"&lt;"&amp;EDATE($A101,1)))</f>
        <v/>
      </c>
      <c r="R101" s="23">
        <f>IF($BM101=0,NA(),SUMIFS(Entries!$E$2:$E$5000,Entries!$D$2:$D$5000,"Investment",Entries!$A$2:$A$5000,"&gt;="&amp;$A101,Entries!$A$2:$A$5000,"&lt;"&amp;EDATE($A101,1)))</f>
        <v/>
      </c>
      <c r="S101" s="23">
        <f>IF($BM101=0,NA(),N101+O101)</f>
        <v/>
      </c>
      <c r="T101" s="23">
        <f>IF($BM101=0,"",E101-Q101)</f>
        <v/>
      </c>
      <c r="W101" s="23">
        <f>IF(OR(W$1="",$BM101=0),"",SUMIFS(Entries!$E$2:$E$5000,Entries!$C$2:$C$5000,"Actual",Entries!$A$2:$A$5000,"&gt;="&amp;$A101,Entries!$A$2:$A$5000,"&lt;"&amp;EDATE($A101,1),Entries!$B$2:$B$5000,W$1))</f>
        <v/>
      </c>
      <c r="X101" s="23">
        <f>IF(OR(X$1="",$BM101=0),"",SUMIFS(Entries!$E$2:$E$5000,Entries!$C$2:$C$5000,"Actual",Entries!$A$2:$A$5000,"&gt;="&amp;$A101,Entries!$A$2:$A$5000,"&lt;"&amp;EDATE($A101,1),Entries!$B$2:$B$5000,X$1))</f>
        <v/>
      </c>
      <c r="Y101" s="23">
        <f>IF(OR(Y$1="",$BM101=0),"",SUMIFS(Entries!$E$2:$E$5000,Entries!$C$2:$C$5000,"Actual",Entries!$A$2:$A$5000,"&gt;="&amp;$A101,Entries!$A$2:$A$5000,"&lt;"&amp;EDATE($A101,1),Entries!$B$2:$B$5000,Y$1))</f>
        <v/>
      </c>
      <c r="Z101" s="23">
        <f>IF(OR(Z$1="",$BM101=0),"",SUMIFS(Entries!$E$2:$E$5000,Entries!$C$2:$C$5000,"Actual",Entries!$A$2:$A$5000,"&gt;="&amp;$A101,Entries!$A$2:$A$5000,"&lt;"&amp;EDATE($A101,1),Entries!$B$2:$B$5000,Z$1))</f>
        <v/>
      </c>
      <c r="AA101" s="23">
        <f>IF(OR(AA$1="",$BM101=0),"",SUMIFS(Entries!$E$2:$E$5000,Entries!$C$2:$C$5000,"Actual",Entries!$A$2:$A$5000,"&gt;="&amp;$A101,Entries!$A$2:$A$5000,"&lt;"&amp;EDATE($A101,1),Entries!$B$2:$B$5000,AA$1))</f>
        <v/>
      </c>
      <c r="AB101" s="23">
        <f>IF(OR(AB$1="",$BM101=0),"",SUMIFS(Entries!$E$2:$E$5000,Entries!$C$2:$C$5000,"Actual",Entries!$A$2:$A$5000,"&gt;="&amp;$A101,Entries!$A$2:$A$5000,"&lt;"&amp;EDATE($A101,1),Entries!$B$2:$B$5000,AB$1))</f>
        <v/>
      </c>
      <c r="AC101" s="23">
        <f>IF(OR(AC$1="",$BM101=0),"",SUMIFS(Entries!$E$2:$E$5000,Entries!$C$2:$C$5000,"Actual",Entries!$A$2:$A$5000,"&gt;="&amp;$A101,Entries!$A$2:$A$5000,"&lt;"&amp;EDATE($A101,1),Entries!$B$2:$B$5000,AC$1))</f>
        <v/>
      </c>
      <c r="AD101" s="23">
        <f>IF(OR(AD$1="",$BM101=0),"",SUMIFS(Entries!$E$2:$E$5000,Entries!$C$2:$C$5000,"Actual",Entries!$A$2:$A$5000,"&gt;="&amp;$A101,Entries!$A$2:$A$5000,"&lt;"&amp;EDATE($A101,1),Entries!$B$2:$B$5000,AD$1))</f>
        <v/>
      </c>
      <c r="AE101" s="23">
        <f>IF(OR(AE$1="",$BM101=0),"",SUMIFS(Entries!$E$2:$E$5000,Entries!$C$2:$C$5000,"Actual",Entries!$A$2:$A$5000,"&gt;="&amp;$A101,Entries!$A$2:$A$5000,"&lt;"&amp;EDATE($A101,1),Entries!$B$2:$B$5000,AE$1))</f>
        <v/>
      </c>
      <c r="AF101" s="23">
        <f>IF(OR(AF$1="",$BM101=0),"",SUMIFS(Entries!$E$2:$E$5000,Entries!$C$2:$C$5000,"Actual",Entries!$A$2:$A$5000,"&gt;="&amp;$A101,Entries!$A$2:$A$5000,"&lt;"&amp;EDATE($A101,1),Entries!$B$2:$B$5000,AF$1))</f>
        <v/>
      </c>
      <c r="AG101" s="23">
        <f>IF(OR(AG$1="",$BM101=0),"",SUMIFS(Entries!$E$2:$E$5000,Entries!$C$2:$C$5000,"Actual",Entries!$A$2:$A$5000,"&gt;="&amp;$A101,Entries!$A$2:$A$5000,"&lt;"&amp;EDATE($A101,1),Entries!$B$2:$B$5000,AG$1))</f>
        <v/>
      </c>
      <c r="AH101" s="23">
        <f>IF(OR(AH$1="",$BM101=0),"",SUMIFS(Entries!$E$2:$E$5000,Entries!$C$2:$C$5000,"Actual",Entries!$A$2:$A$5000,"&gt;="&amp;$A101,Entries!$A$2:$A$5000,"&lt;"&amp;EDATE($A101,1),Entries!$B$2:$B$5000,AH$1))</f>
        <v/>
      </c>
      <c r="AI101" s="23">
        <f>IF(OR(AI$1="",$BM101=0),"",SUMIFS(Entries!$E$2:$E$5000,Entries!$C$2:$C$5000,"Actual",Entries!$A$2:$A$5000,"&gt;="&amp;$A101,Entries!$A$2:$A$5000,"&lt;"&amp;EDATE($A101,1),Entries!$B$2:$B$5000,AI$1))</f>
        <v/>
      </c>
      <c r="AJ101" s="23">
        <f>IF(OR(AJ$1="",$BM101=0),"",SUMIFS(Entries!$E$2:$E$5000,Entries!$C$2:$C$5000,"Actual",Entries!$A$2:$A$5000,"&gt;="&amp;$A101,Entries!$A$2:$A$5000,"&lt;"&amp;EDATE($A101,1),Entries!$B$2:$B$5000,AJ$1))</f>
        <v/>
      </c>
      <c r="AK101" s="23">
        <f>IF(OR(AK$1="",$BM101=0),"",SUMIFS(Entries!$E$2:$E$5000,Entries!$C$2:$C$5000,"Actual",Entries!$A$2:$A$5000,"&gt;="&amp;$A101,Entries!$A$2:$A$5000,"&lt;"&amp;EDATE($A101,1),Entries!$B$2:$B$5000,AK$1))</f>
        <v/>
      </c>
      <c r="AL101" s="23">
        <f>IF(OR(AL$1="",$BM101=0),"",SUMIFS(Entries!$E$2:$E$5000,Entries!$C$2:$C$5000,"Actual",Entries!$A$2:$A$5000,"&gt;="&amp;$A101,Entries!$A$2:$A$5000,"&lt;"&amp;EDATE($A101,1),Entries!$B$2:$B$5000,AL$1))</f>
        <v/>
      </c>
      <c r="AM101" s="23">
        <f>IF(OR(AM$1="",$BM101=0),"",SUMIFS(Entries!$E$2:$E$5000,Entries!$C$2:$C$5000,"Actual",Entries!$A$2:$A$5000,"&gt;="&amp;$A101,Entries!$A$2:$A$5000,"&lt;"&amp;EDATE($A101,1),Entries!$B$2:$B$5000,AM$1))</f>
        <v/>
      </c>
      <c r="AN101" s="23">
        <f>IF(OR(AN$1="",$BM101=0),"",SUMIFS(Entries!$E$2:$E$5000,Entries!$C$2:$C$5000,"Actual",Entries!$A$2:$A$5000,"&gt;="&amp;$A101,Entries!$A$2:$A$5000,"&lt;"&amp;EDATE($A101,1),Entries!$B$2:$B$5000,AN$1))</f>
        <v/>
      </c>
      <c r="AO101" s="23">
        <f>IF(OR(AO$1="",$BM101=0),"",SUMIFS(Entries!$E$2:$E$5000,Entries!$C$2:$C$5000,"Actual",Entries!$A$2:$A$5000,"&gt;="&amp;$A101,Entries!$A$2:$A$5000,"&lt;"&amp;EDATE($A101,1),Entries!$B$2:$B$5000,AO$1))</f>
        <v/>
      </c>
      <c r="AP101" s="23">
        <f>IF(OR(AP$1="",$BM101=0),"",SUMIFS(Entries!$E$2:$E$5000,Entries!$C$2:$C$5000,"Actual",Entries!$A$2:$A$5000,"&gt;="&amp;$A101,Entries!$A$2:$A$5000,"&lt;"&amp;EDATE($A101,1),Entries!$B$2:$B$5000,AP$1))</f>
        <v/>
      </c>
      <c r="AR101" s="23">
        <f>IF(OR(AR$1="",$BM101=0),"",IFERROR(LOOKUP(2,1/((Budgets!$A$2:$A$200=AR$1)*(Budgets!$B$2:$B$200&lt;EDATE($A101,1))),Budgets!$C$2:$C$200),0))</f>
        <v/>
      </c>
      <c r="AS101" s="23">
        <f>IF(OR(AS$1="",$BM101=0),"",IFERROR(LOOKUP(2,1/((Budgets!$A$2:$A$200=AS$1)*(Budgets!$B$2:$B$200&lt;EDATE($A101,1))),Budgets!$C$2:$C$200),0))</f>
        <v/>
      </c>
      <c r="AT101" s="23">
        <f>IF(OR(AT$1="",$BM101=0),"",IFERROR(LOOKUP(2,1/((Budgets!$A$2:$A$200=AT$1)*(Budgets!$B$2:$B$200&lt;EDATE($A101,1))),Budgets!$C$2:$C$200),0))</f>
        <v/>
      </c>
      <c r="AU101" s="23">
        <f>IF(OR(AU$1="",$BM101=0),"",IFERROR(LOOKUP(2,1/((Budgets!$A$2:$A$200=AU$1)*(Budgets!$B$2:$B$200&lt;EDATE($A101,1))),Budgets!$C$2:$C$200),0))</f>
        <v/>
      </c>
      <c r="AV101" s="23">
        <f>IF(OR(AV$1="",$BM101=0),"",IFERROR(LOOKUP(2,1/((Budgets!$A$2:$A$200=AV$1)*(Budgets!$B$2:$B$200&lt;EDATE($A101,1))),Budgets!$C$2:$C$200),0))</f>
        <v/>
      </c>
      <c r="AW101" s="23">
        <f>IF(OR(AW$1="",$BM101=0),"",IFERROR(LOOKUP(2,1/((Budgets!$A$2:$A$200=AW$1)*(Budgets!$B$2:$B$200&lt;EDATE($A101,1))),Budgets!$C$2:$C$200),0))</f>
        <v/>
      </c>
      <c r="AX101" s="23">
        <f>IF(OR(AX$1="",$BM101=0),"",IFERROR(LOOKUP(2,1/((Budgets!$A$2:$A$200=AX$1)*(Budgets!$B$2:$B$200&lt;EDATE($A101,1))),Budgets!$C$2:$C$200),0))</f>
        <v/>
      </c>
      <c r="AY101" s="23">
        <f>IF(OR(AY$1="",$BM101=0),"",IFERROR(LOOKUP(2,1/((Budgets!$A$2:$A$200=AY$1)*(Budgets!$B$2:$B$200&lt;EDATE($A101,1))),Budgets!$C$2:$C$200),0))</f>
        <v/>
      </c>
      <c r="AZ101" s="23">
        <f>IF(OR(AZ$1="",$BM101=0),"",IFERROR(LOOKUP(2,1/((Budgets!$A$2:$A$200=AZ$1)*(Budgets!$B$2:$B$200&lt;EDATE($A101,1))),Budgets!$C$2:$C$200),0))</f>
        <v/>
      </c>
      <c r="BA101" s="23">
        <f>IF(OR(BA$1="",$BM101=0),"",IFERROR(LOOKUP(2,1/((Budgets!$A$2:$A$200=BA$1)*(Budgets!$B$2:$B$200&lt;EDATE($A101,1))),Budgets!$C$2:$C$200),0))</f>
        <v/>
      </c>
      <c r="BB101" s="23">
        <f>IF(OR(BB$1="",$BM101=0),"",IFERROR(LOOKUP(2,1/((Budgets!$A$2:$A$200=BB$1)*(Budgets!$B$2:$B$200&lt;EDATE($A101,1))),Budgets!$C$2:$C$200),0))</f>
        <v/>
      </c>
      <c r="BC101" s="23">
        <f>IF(OR(BC$1="",$BM101=0),"",IFERROR(LOOKUP(2,1/((Budgets!$A$2:$A$200=BC$1)*(Budgets!$B$2:$B$200&lt;EDATE($A101,1))),Budgets!$C$2:$C$200),0))</f>
        <v/>
      </c>
      <c r="BD101" s="23">
        <f>IF(OR(BD$1="",$BM101=0),"",IFERROR(LOOKUP(2,1/((Budgets!$A$2:$A$200=BD$1)*(Budgets!$B$2:$B$200&lt;EDATE($A101,1))),Budgets!$C$2:$C$200),0))</f>
        <v/>
      </c>
      <c r="BE101" s="23">
        <f>IF(OR(BE$1="",$BM101=0),"",IFERROR(LOOKUP(2,1/((Budgets!$A$2:$A$200=BE$1)*(Budgets!$B$2:$B$200&lt;EDATE($A101,1))),Budgets!$C$2:$C$200),0))</f>
        <v/>
      </c>
      <c r="BF101" s="23">
        <f>IF(OR(BF$1="",$BM101=0),"",IFERROR(LOOKUP(2,1/((Budgets!$A$2:$A$200=BF$1)*(Budgets!$B$2:$B$200&lt;EDATE($A101,1))),Budgets!$C$2:$C$200),0))</f>
        <v/>
      </c>
      <c r="BG101" s="23">
        <f>IF(OR(BG$1="",$BM101=0),"",IFERROR(LOOKUP(2,1/((Budgets!$A$2:$A$200=BG$1)*(Budgets!$B$2:$B$200&lt;EDATE($A101,1))),Budgets!$C$2:$C$200),0))</f>
        <v/>
      </c>
      <c r="BH101" s="23">
        <f>IF(OR(BH$1="",$BM101=0),"",IFERROR(LOOKUP(2,1/((Budgets!$A$2:$A$200=BH$1)*(Budgets!$B$2:$B$200&lt;EDATE($A101,1))),Budgets!$C$2:$C$200),0))</f>
        <v/>
      </c>
      <c r="BI101" s="23">
        <f>IF(OR(BI$1="",$BM101=0),"",IFERROR(LOOKUP(2,1/((Budgets!$A$2:$A$200=BI$1)*(Budgets!$B$2:$B$200&lt;EDATE($A101,1))),Budgets!$C$2:$C$200),0))</f>
        <v/>
      </c>
      <c r="BJ101" s="23">
        <f>IF(OR(BJ$1="",$BM101=0),"",IFERROR(LOOKUP(2,1/((Budgets!$A$2:$A$200=BJ$1)*(Budgets!$B$2:$B$200&lt;EDATE($A101,1))),Budgets!$C$2:$C$200),0))</f>
        <v/>
      </c>
      <c r="BK101" s="23">
        <f>IF(OR(BK$1="",$BM101=0),"",IFERROR(LOOKUP(2,1/((Budgets!$A$2:$A$200=BK$1)*(Budgets!$B$2:$B$200&lt;EDATE($A101,1))),Budgets!$C$2:$C$200),0))</f>
        <v/>
      </c>
      <c r="BM101" s="21">
        <f>COUNTIFS(Entries!$A$2:$A$5000,"&gt;="&amp;$A101,Entries!$A$2:$A$5000,"&lt;"&amp;EDATE($A101,1))</f>
        <v/>
      </c>
    </row>
    <row r="102">
      <c r="A102" s="22" t="n">
        <v>42491</v>
      </c>
      <c r="B102" s="23">
        <f>IF($BM102=0,NA(),SUMIFS(Entries!$E$2:$E$5000,Entries!$C$2:$C$5000,"Income",Entries!$A$2:$A$5000,"&gt;="&amp;$A102,Entries!$A$2:$A$5000,"&lt;"&amp;EDATE($A102,1)))</f>
        <v/>
      </c>
      <c r="C102" s="23">
        <f>IF($BM102=0,"",SUMIFS(Entries!$E$2:$E$5000,Entries!$C$2:$C$5000,"Actual",Entries!$A$2:$A$5000,"&gt;="&amp;$A102,Entries!$A$2:$A$5000,"&lt;"&amp;EDATE($A102,1)))</f>
        <v/>
      </c>
      <c r="D102" s="23">
        <f>IF($BM102=0,"",SUMIFS(Entries!$E$2:$E$5000,Entries!$C$2:$C$5000,"One-off",Entries!$A$2:$A$5000,"&gt;="&amp;$A102,Entries!$A$2:$A$5000,"&lt;"&amp;EDATE($A102,1)))</f>
        <v/>
      </c>
      <c r="E102" s="23">
        <f>IF($BM102=0,NA(),C102+D102)</f>
        <v/>
      </c>
      <c r="F102" s="23">
        <f>IF($BM102=0,"",SUM(AR102:BK102))</f>
        <v/>
      </c>
      <c r="G102" s="23">
        <f>IF($BM102=0,"",B102-E102)</f>
        <v/>
      </c>
      <c r="H102" s="23">
        <f>IF($BM102=0,"",SUM($G$2:G102))</f>
        <v/>
      </c>
      <c r="I102" s="23">
        <f>IF($BM102=0,"",SUMIFS(Entries!$G$2:$G$5000,Entries!$A$2:$A$5000,"&gt;="&amp;$A102,Entries!$A$2:$A$5000,"&lt;"&amp;EDATE($A102,1)))</f>
        <v/>
      </c>
      <c r="J102" s="23">
        <f>IF($BM102=0,NA(),H102)</f>
        <v/>
      </c>
      <c r="K102" s="23">
        <f>IF($BM102=0,"",SUMIFS(Entries!$E$2:$E$5000,Entries!$C$2:$C$5000,"Income",Entries!$A$2:$A$5000,"&gt;="&amp;EDATE($A102,-11),Entries!$A$2:$A$5000,"&lt;"&amp;EDATE($A102,1))/COUNTIFS($A$2:$A$400,"&gt;="&amp;EDATE($A102,-11),$A$2:$A$400,"&lt;"&amp;EDATE($A102,1),$BM$2:$BM$400,"&gt;0"))</f>
      </c>
      <c r="L102" s="23">
        <f>IF($BM102=0,"",(SUMIFS(Entries!$E$2:$E$5000,Entries!$C$2:$C$5000,"Actual",Entries!$A$2:$A$5000,"&gt;="&amp;EDATE($A102,-11),Entries!$A$2:$A$5000,"&lt;"&amp;EDATE($A102,1))+SUMIFS(Entries!$E$2:$E$5000,Entries!$C$2:$C$5000,"One-off",Entries!$A$2:$A$5000,"&gt;="&amp;EDATE($A102,-11),Entries!$A$2:$A$5000,"&lt;"&amp;EDATE($A102,1)))/COUNTIFS($A$2:$A$400,"&gt;="&amp;EDATE($A102,-11),$A$2:$A$400,"&lt;"&amp;EDATE($A102,1),$BM$2:$BM$400,"&gt;0"))</f>
      </c>
      <c r="M102" s="24">
        <f>IF($BM102=0,NA(),IFERROR((K102-L102)/K102,0))</f>
        <v/>
      </c>
      <c r="N102" s="23">
        <f>IF($BM102=0,NA(),SUMIFS(Entries!$E$2:$E$5000,Entries!$D$2:$D$5000,"Core",Entries!$A$2:$A$5000,"&gt;="&amp;$A102,Entries!$A$2:$A$5000,"&lt;"&amp;EDATE($A102,1)))</f>
        <v/>
      </c>
      <c r="O102" s="23">
        <f>IF($BM102=0,NA(),SUMIFS(Entries!$E$2:$E$5000,Entries!$D$2:$D$5000,"Over &amp; above",Entries!$A$2:$A$5000,"&gt;="&amp;$A102,Entries!$A$2:$A$5000,"&lt;"&amp;EDATE($A102,1)))</f>
        <v/>
      </c>
      <c r="P102" s="23">
        <f>IF($BM102=0,NA(),SUMIFS(Entries!$E$2:$E$5000,Entries!$D$2:$D$5000,"One-off",Entries!$A$2:$A$5000,"&gt;="&amp;$A102,Entries!$A$2:$A$5000,"&lt;"&amp;EDATE($A102,1)))</f>
        <v/>
      </c>
      <c r="Q102" s="23">
        <f>IF($BM102=0,NA(),SUMIFS(Entries!$E$2:$E$5000,Entries!$D$2:$D$5000,"Reimbursable",Entries!$A$2:$A$5000,"&gt;="&amp;$A102,Entries!$A$2:$A$5000,"&lt;"&amp;EDATE($A102,1)))</f>
        <v/>
      </c>
      <c r="R102" s="23">
        <f>IF($BM102=0,NA(),SUMIFS(Entries!$E$2:$E$5000,Entries!$D$2:$D$5000,"Investment",Entries!$A$2:$A$5000,"&gt;="&amp;$A102,Entries!$A$2:$A$5000,"&lt;"&amp;EDATE($A102,1)))</f>
        <v/>
      </c>
      <c r="S102" s="23">
        <f>IF($BM102=0,NA(),N102+O102)</f>
        <v/>
      </c>
      <c r="T102" s="23">
        <f>IF($BM102=0,"",E102-Q102)</f>
        <v/>
      </c>
      <c r="W102" s="23">
        <f>IF(OR(W$1="",$BM102=0),"",SUMIFS(Entries!$E$2:$E$5000,Entries!$C$2:$C$5000,"Actual",Entries!$A$2:$A$5000,"&gt;="&amp;$A102,Entries!$A$2:$A$5000,"&lt;"&amp;EDATE($A102,1),Entries!$B$2:$B$5000,W$1))</f>
        <v/>
      </c>
      <c r="X102" s="23">
        <f>IF(OR(X$1="",$BM102=0),"",SUMIFS(Entries!$E$2:$E$5000,Entries!$C$2:$C$5000,"Actual",Entries!$A$2:$A$5000,"&gt;="&amp;$A102,Entries!$A$2:$A$5000,"&lt;"&amp;EDATE($A102,1),Entries!$B$2:$B$5000,X$1))</f>
        <v/>
      </c>
      <c r="Y102" s="23">
        <f>IF(OR(Y$1="",$BM102=0),"",SUMIFS(Entries!$E$2:$E$5000,Entries!$C$2:$C$5000,"Actual",Entries!$A$2:$A$5000,"&gt;="&amp;$A102,Entries!$A$2:$A$5000,"&lt;"&amp;EDATE($A102,1),Entries!$B$2:$B$5000,Y$1))</f>
        <v/>
      </c>
      <c r="Z102" s="23">
        <f>IF(OR(Z$1="",$BM102=0),"",SUMIFS(Entries!$E$2:$E$5000,Entries!$C$2:$C$5000,"Actual",Entries!$A$2:$A$5000,"&gt;="&amp;$A102,Entries!$A$2:$A$5000,"&lt;"&amp;EDATE($A102,1),Entries!$B$2:$B$5000,Z$1))</f>
        <v/>
      </c>
      <c r="AA102" s="23">
        <f>IF(OR(AA$1="",$BM102=0),"",SUMIFS(Entries!$E$2:$E$5000,Entries!$C$2:$C$5000,"Actual",Entries!$A$2:$A$5000,"&gt;="&amp;$A102,Entries!$A$2:$A$5000,"&lt;"&amp;EDATE($A102,1),Entries!$B$2:$B$5000,AA$1))</f>
        <v/>
      </c>
      <c r="AB102" s="23">
        <f>IF(OR(AB$1="",$BM102=0),"",SUMIFS(Entries!$E$2:$E$5000,Entries!$C$2:$C$5000,"Actual",Entries!$A$2:$A$5000,"&gt;="&amp;$A102,Entries!$A$2:$A$5000,"&lt;"&amp;EDATE($A102,1),Entries!$B$2:$B$5000,AB$1))</f>
        <v/>
      </c>
      <c r="AC102" s="23">
        <f>IF(OR(AC$1="",$BM102=0),"",SUMIFS(Entries!$E$2:$E$5000,Entries!$C$2:$C$5000,"Actual",Entries!$A$2:$A$5000,"&gt;="&amp;$A102,Entries!$A$2:$A$5000,"&lt;"&amp;EDATE($A102,1),Entries!$B$2:$B$5000,AC$1))</f>
        <v/>
      </c>
      <c r="AD102" s="23">
        <f>IF(OR(AD$1="",$BM102=0),"",SUMIFS(Entries!$E$2:$E$5000,Entries!$C$2:$C$5000,"Actual",Entries!$A$2:$A$5000,"&gt;="&amp;$A102,Entries!$A$2:$A$5000,"&lt;"&amp;EDATE($A102,1),Entries!$B$2:$B$5000,AD$1))</f>
        <v/>
      </c>
      <c r="AE102" s="23">
        <f>IF(OR(AE$1="",$BM102=0),"",SUMIFS(Entries!$E$2:$E$5000,Entries!$C$2:$C$5000,"Actual",Entries!$A$2:$A$5000,"&gt;="&amp;$A102,Entries!$A$2:$A$5000,"&lt;"&amp;EDATE($A102,1),Entries!$B$2:$B$5000,AE$1))</f>
        <v/>
      </c>
      <c r="AF102" s="23">
        <f>IF(OR(AF$1="",$BM102=0),"",SUMIFS(Entries!$E$2:$E$5000,Entries!$C$2:$C$5000,"Actual",Entries!$A$2:$A$5000,"&gt;="&amp;$A102,Entries!$A$2:$A$5000,"&lt;"&amp;EDATE($A102,1),Entries!$B$2:$B$5000,AF$1))</f>
        <v/>
      </c>
      <c r="AG102" s="23">
        <f>IF(OR(AG$1="",$BM102=0),"",SUMIFS(Entries!$E$2:$E$5000,Entries!$C$2:$C$5000,"Actual",Entries!$A$2:$A$5000,"&gt;="&amp;$A102,Entries!$A$2:$A$5000,"&lt;"&amp;EDATE($A102,1),Entries!$B$2:$B$5000,AG$1))</f>
        <v/>
      </c>
      <c r="AH102" s="23">
        <f>IF(OR(AH$1="",$BM102=0),"",SUMIFS(Entries!$E$2:$E$5000,Entries!$C$2:$C$5000,"Actual",Entries!$A$2:$A$5000,"&gt;="&amp;$A102,Entries!$A$2:$A$5000,"&lt;"&amp;EDATE($A102,1),Entries!$B$2:$B$5000,AH$1))</f>
        <v/>
      </c>
      <c r="AI102" s="23">
        <f>IF(OR(AI$1="",$BM102=0),"",SUMIFS(Entries!$E$2:$E$5000,Entries!$C$2:$C$5000,"Actual",Entries!$A$2:$A$5000,"&gt;="&amp;$A102,Entries!$A$2:$A$5000,"&lt;"&amp;EDATE($A102,1),Entries!$B$2:$B$5000,AI$1))</f>
        <v/>
      </c>
      <c r="AJ102" s="23">
        <f>IF(OR(AJ$1="",$BM102=0),"",SUMIFS(Entries!$E$2:$E$5000,Entries!$C$2:$C$5000,"Actual",Entries!$A$2:$A$5000,"&gt;="&amp;$A102,Entries!$A$2:$A$5000,"&lt;"&amp;EDATE($A102,1),Entries!$B$2:$B$5000,AJ$1))</f>
        <v/>
      </c>
      <c r="AK102" s="23">
        <f>IF(OR(AK$1="",$BM102=0),"",SUMIFS(Entries!$E$2:$E$5000,Entries!$C$2:$C$5000,"Actual",Entries!$A$2:$A$5000,"&gt;="&amp;$A102,Entries!$A$2:$A$5000,"&lt;"&amp;EDATE($A102,1),Entries!$B$2:$B$5000,AK$1))</f>
        <v/>
      </c>
      <c r="AL102" s="23">
        <f>IF(OR(AL$1="",$BM102=0),"",SUMIFS(Entries!$E$2:$E$5000,Entries!$C$2:$C$5000,"Actual",Entries!$A$2:$A$5000,"&gt;="&amp;$A102,Entries!$A$2:$A$5000,"&lt;"&amp;EDATE($A102,1),Entries!$B$2:$B$5000,AL$1))</f>
        <v/>
      </c>
      <c r="AM102" s="23">
        <f>IF(OR(AM$1="",$BM102=0),"",SUMIFS(Entries!$E$2:$E$5000,Entries!$C$2:$C$5000,"Actual",Entries!$A$2:$A$5000,"&gt;="&amp;$A102,Entries!$A$2:$A$5000,"&lt;"&amp;EDATE($A102,1),Entries!$B$2:$B$5000,AM$1))</f>
        <v/>
      </c>
      <c r="AN102" s="23">
        <f>IF(OR(AN$1="",$BM102=0),"",SUMIFS(Entries!$E$2:$E$5000,Entries!$C$2:$C$5000,"Actual",Entries!$A$2:$A$5000,"&gt;="&amp;$A102,Entries!$A$2:$A$5000,"&lt;"&amp;EDATE($A102,1),Entries!$B$2:$B$5000,AN$1))</f>
        <v/>
      </c>
      <c r="AO102" s="23">
        <f>IF(OR(AO$1="",$BM102=0),"",SUMIFS(Entries!$E$2:$E$5000,Entries!$C$2:$C$5000,"Actual",Entries!$A$2:$A$5000,"&gt;="&amp;$A102,Entries!$A$2:$A$5000,"&lt;"&amp;EDATE($A102,1),Entries!$B$2:$B$5000,AO$1))</f>
        <v/>
      </c>
      <c r="AP102" s="23">
        <f>IF(OR(AP$1="",$BM102=0),"",SUMIFS(Entries!$E$2:$E$5000,Entries!$C$2:$C$5000,"Actual",Entries!$A$2:$A$5000,"&gt;="&amp;$A102,Entries!$A$2:$A$5000,"&lt;"&amp;EDATE($A102,1),Entries!$B$2:$B$5000,AP$1))</f>
        <v/>
      </c>
      <c r="AR102" s="23">
        <f>IF(OR(AR$1="",$BM102=0),"",IFERROR(LOOKUP(2,1/((Budgets!$A$2:$A$200=AR$1)*(Budgets!$B$2:$B$200&lt;EDATE($A102,1))),Budgets!$C$2:$C$200),0))</f>
        <v/>
      </c>
      <c r="AS102" s="23">
        <f>IF(OR(AS$1="",$BM102=0),"",IFERROR(LOOKUP(2,1/((Budgets!$A$2:$A$200=AS$1)*(Budgets!$B$2:$B$200&lt;EDATE($A102,1))),Budgets!$C$2:$C$200),0))</f>
        <v/>
      </c>
      <c r="AT102" s="23">
        <f>IF(OR(AT$1="",$BM102=0),"",IFERROR(LOOKUP(2,1/((Budgets!$A$2:$A$200=AT$1)*(Budgets!$B$2:$B$200&lt;EDATE($A102,1))),Budgets!$C$2:$C$200),0))</f>
        <v/>
      </c>
      <c r="AU102" s="23">
        <f>IF(OR(AU$1="",$BM102=0),"",IFERROR(LOOKUP(2,1/((Budgets!$A$2:$A$200=AU$1)*(Budgets!$B$2:$B$200&lt;EDATE($A102,1))),Budgets!$C$2:$C$200),0))</f>
        <v/>
      </c>
      <c r="AV102" s="23">
        <f>IF(OR(AV$1="",$BM102=0),"",IFERROR(LOOKUP(2,1/((Budgets!$A$2:$A$200=AV$1)*(Budgets!$B$2:$B$200&lt;EDATE($A102,1))),Budgets!$C$2:$C$200),0))</f>
        <v/>
      </c>
      <c r="AW102" s="23">
        <f>IF(OR(AW$1="",$BM102=0),"",IFERROR(LOOKUP(2,1/((Budgets!$A$2:$A$200=AW$1)*(Budgets!$B$2:$B$200&lt;EDATE($A102,1))),Budgets!$C$2:$C$200),0))</f>
        <v/>
      </c>
      <c r="AX102" s="23">
        <f>IF(OR(AX$1="",$BM102=0),"",IFERROR(LOOKUP(2,1/((Budgets!$A$2:$A$200=AX$1)*(Budgets!$B$2:$B$200&lt;EDATE($A102,1))),Budgets!$C$2:$C$200),0))</f>
        <v/>
      </c>
      <c r="AY102" s="23">
        <f>IF(OR(AY$1="",$BM102=0),"",IFERROR(LOOKUP(2,1/((Budgets!$A$2:$A$200=AY$1)*(Budgets!$B$2:$B$200&lt;EDATE($A102,1))),Budgets!$C$2:$C$200),0))</f>
        <v/>
      </c>
      <c r="AZ102" s="23">
        <f>IF(OR(AZ$1="",$BM102=0),"",IFERROR(LOOKUP(2,1/((Budgets!$A$2:$A$200=AZ$1)*(Budgets!$B$2:$B$200&lt;EDATE($A102,1))),Budgets!$C$2:$C$200),0))</f>
        <v/>
      </c>
      <c r="BA102" s="23">
        <f>IF(OR(BA$1="",$BM102=0),"",IFERROR(LOOKUP(2,1/((Budgets!$A$2:$A$200=BA$1)*(Budgets!$B$2:$B$200&lt;EDATE($A102,1))),Budgets!$C$2:$C$200),0))</f>
        <v/>
      </c>
      <c r="BB102" s="23">
        <f>IF(OR(BB$1="",$BM102=0),"",IFERROR(LOOKUP(2,1/((Budgets!$A$2:$A$200=BB$1)*(Budgets!$B$2:$B$200&lt;EDATE($A102,1))),Budgets!$C$2:$C$200),0))</f>
        <v/>
      </c>
      <c r="BC102" s="23">
        <f>IF(OR(BC$1="",$BM102=0),"",IFERROR(LOOKUP(2,1/((Budgets!$A$2:$A$200=BC$1)*(Budgets!$B$2:$B$200&lt;EDATE($A102,1))),Budgets!$C$2:$C$200),0))</f>
        <v/>
      </c>
      <c r="BD102" s="23">
        <f>IF(OR(BD$1="",$BM102=0),"",IFERROR(LOOKUP(2,1/((Budgets!$A$2:$A$200=BD$1)*(Budgets!$B$2:$B$200&lt;EDATE($A102,1))),Budgets!$C$2:$C$200),0))</f>
        <v/>
      </c>
      <c r="BE102" s="23">
        <f>IF(OR(BE$1="",$BM102=0),"",IFERROR(LOOKUP(2,1/((Budgets!$A$2:$A$200=BE$1)*(Budgets!$B$2:$B$200&lt;EDATE($A102,1))),Budgets!$C$2:$C$200),0))</f>
        <v/>
      </c>
      <c r="BF102" s="23">
        <f>IF(OR(BF$1="",$BM102=0),"",IFERROR(LOOKUP(2,1/((Budgets!$A$2:$A$200=BF$1)*(Budgets!$B$2:$B$200&lt;EDATE($A102,1))),Budgets!$C$2:$C$200),0))</f>
        <v/>
      </c>
      <c r="BG102" s="23">
        <f>IF(OR(BG$1="",$BM102=0),"",IFERROR(LOOKUP(2,1/((Budgets!$A$2:$A$200=BG$1)*(Budgets!$B$2:$B$200&lt;EDATE($A102,1))),Budgets!$C$2:$C$200),0))</f>
        <v/>
      </c>
      <c r="BH102" s="23">
        <f>IF(OR(BH$1="",$BM102=0),"",IFERROR(LOOKUP(2,1/((Budgets!$A$2:$A$200=BH$1)*(Budgets!$B$2:$B$200&lt;EDATE($A102,1))),Budgets!$C$2:$C$200),0))</f>
        <v/>
      </c>
      <c r="BI102" s="23">
        <f>IF(OR(BI$1="",$BM102=0),"",IFERROR(LOOKUP(2,1/((Budgets!$A$2:$A$200=BI$1)*(Budgets!$B$2:$B$200&lt;EDATE($A102,1))),Budgets!$C$2:$C$200),0))</f>
        <v/>
      </c>
      <c r="BJ102" s="23">
        <f>IF(OR(BJ$1="",$BM102=0),"",IFERROR(LOOKUP(2,1/((Budgets!$A$2:$A$200=BJ$1)*(Budgets!$B$2:$B$200&lt;EDATE($A102,1))),Budgets!$C$2:$C$200),0))</f>
        <v/>
      </c>
      <c r="BK102" s="23">
        <f>IF(OR(BK$1="",$BM102=0),"",IFERROR(LOOKUP(2,1/((Budgets!$A$2:$A$200=BK$1)*(Budgets!$B$2:$B$200&lt;EDATE($A102,1))),Budgets!$C$2:$C$200),0))</f>
        <v/>
      </c>
      <c r="BM102" s="21">
        <f>COUNTIFS(Entries!$A$2:$A$5000,"&gt;="&amp;$A102,Entries!$A$2:$A$5000,"&lt;"&amp;EDATE($A102,1))</f>
        <v/>
      </c>
    </row>
    <row r="103">
      <c r="A103" s="22" t="n">
        <v>42522</v>
      </c>
      <c r="B103" s="23">
        <f>IF($BM103=0,NA(),SUMIFS(Entries!$E$2:$E$5000,Entries!$C$2:$C$5000,"Income",Entries!$A$2:$A$5000,"&gt;="&amp;$A103,Entries!$A$2:$A$5000,"&lt;"&amp;EDATE($A103,1)))</f>
        <v/>
      </c>
      <c r="C103" s="23">
        <f>IF($BM103=0,"",SUMIFS(Entries!$E$2:$E$5000,Entries!$C$2:$C$5000,"Actual",Entries!$A$2:$A$5000,"&gt;="&amp;$A103,Entries!$A$2:$A$5000,"&lt;"&amp;EDATE($A103,1)))</f>
        <v/>
      </c>
      <c r="D103" s="23">
        <f>IF($BM103=0,"",SUMIFS(Entries!$E$2:$E$5000,Entries!$C$2:$C$5000,"One-off",Entries!$A$2:$A$5000,"&gt;="&amp;$A103,Entries!$A$2:$A$5000,"&lt;"&amp;EDATE($A103,1)))</f>
        <v/>
      </c>
      <c r="E103" s="23">
        <f>IF($BM103=0,NA(),C103+D103)</f>
        <v/>
      </c>
      <c r="F103" s="23">
        <f>IF($BM103=0,"",SUM(AR103:BK103))</f>
        <v/>
      </c>
      <c r="G103" s="23">
        <f>IF($BM103=0,"",B103-E103)</f>
        <v/>
      </c>
      <c r="H103" s="23">
        <f>IF($BM103=0,"",SUM($G$2:G103))</f>
        <v/>
      </c>
      <c r="I103" s="23">
        <f>IF($BM103=0,"",SUMIFS(Entries!$G$2:$G$5000,Entries!$A$2:$A$5000,"&gt;="&amp;$A103,Entries!$A$2:$A$5000,"&lt;"&amp;EDATE($A103,1)))</f>
        <v/>
      </c>
      <c r="J103" s="23">
        <f>IF($BM103=0,NA(),H103)</f>
        <v/>
      </c>
      <c r="K103" s="23">
        <f>IF($BM103=0,"",SUMIFS(Entries!$E$2:$E$5000,Entries!$C$2:$C$5000,"Income",Entries!$A$2:$A$5000,"&gt;="&amp;EDATE($A103,-11),Entries!$A$2:$A$5000,"&lt;"&amp;EDATE($A103,1))/COUNTIFS($A$2:$A$400,"&gt;="&amp;EDATE($A103,-11),$A$2:$A$400,"&lt;"&amp;EDATE($A103,1),$BM$2:$BM$400,"&gt;0"))</f>
      </c>
      <c r="L103" s="23">
        <f>IF($BM103=0,"",(SUMIFS(Entries!$E$2:$E$5000,Entries!$C$2:$C$5000,"Actual",Entries!$A$2:$A$5000,"&gt;="&amp;EDATE($A103,-11),Entries!$A$2:$A$5000,"&lt;"&amp;EDATE($A103,1))+SUMIFS(Entries!$E$2:$E$5000,Entries!$C$2:$C$5000,"One-off",Entries!$A$2:$A$5000,"&gt;="&amp;EDATE($A103,-11),Entries!$A$2:$A$5000,"&lt;"&amp;EDATE($A103,1)))/COUNTIFS($A$2:$A$400,"&gt;="&amp;EDATE($A103,-11),$A$2:$A$400,"&lt;"&amp;EDATE($A103,1),$BM$2:$BM$400,"&gt;0"))</f>
      </c>
      <c r="M103" s="24">
        <f>IF($BM103=0,NA(),IFERROR((K103-L103)/K103,0))</f>
        <v/>
      </c>
      <c r="N103" s="23">
        <f>IF($BM103=0,NA(),SUMIFS(Entries!$E$2:$E$5000,Entries!$D$2:$D$5000,"Core",Entries!$A$2:$A$5000,"&gt;="&amp;$A103,Entries!$A$2:$A$5000,"&lt;"&amp;EDATE($A103,1)))</f>
        <v/>
      </c>
      <c r="O103" s="23">
        <f>IF($BM103=0,NA(),SUMIFS(Entries!$E$2:$E$5000,Entries!$D$2:$D$5000,"Over &amp; above",Entries!$A$2:$A$5000,"&gt;="&amp;$A103,Entries!$A$2:$A$5000,"&lt;"&amp;EDATE($A103,1)))</f>
        <v/>
      </c>
      <c r="P103" s="23">
        <f>IF($BM103=0,NA(),SUMIFS(Entries!$E$2:$E$5000,Entries!$D$2:$D$5000,"One-off",Entries!$A$2:$A$5000,"&gt;="&amp;$A103,Entries!$A$2:$A$5000,"&lt;"&amp;EDATE($A103,1)))</f>
        <v/>
      </c>
      <c r="Q103" s="23">
        <f>IF($BM103=0,NA(),SUMIFS(Entries!$E$2:$E$5000,Entries!$D$2:$D$5000,"Reimbursable",Entries!$A$2:$A$5000,"&gt;="&amp;$A103,Entries!$A$2:$A$5000,"&lt;"&amp;EDATE($A103,1)))</f>
        <v/>
      </c>
      <c r="R103" s="23">
        <f>IF($BM103=0,NA(),SUMIFS(Entries!$E$2:$E$5000,Entries!$D$2:$D$5000,"Investment",Entries!$A$2:$A$5000,"&gt;="&amp;$A103,Entries!$A$2:$A$5000,"&lt;"&amp;EDATE($A103,1)))</f>
        <v/>
      </c>
      <c r="S103" s="23">
        <f>IF($BM103=0,NA(),N103+O103)</f>
        <v/>
      </c>
      <c r="T103" s="23">
        <f>IF($BM103=0,"",E103-Q103)</f>
        <v/>
      </c>
      <c r="W103" s="23">
        <f>IF(OR(W$1="",$BM103=0),"",SUMIFS(Entries!$E$2:$E$5000,Entries!$C$2:$C$5000,"Actual",Entries!$A$2:$A$5000,"&gt;="&amp;$A103,Entries!$A$2:$A$5000,"&lt;"&amp;EDATE($A103,1),Entries!$B$2:$B$5000,W$1))</f>
        <v/>
      </c>
      <c r="X103" s="23">
        <f>IF(OR(X$1="",$BM103=0),"",SUMIFS(Entries!$E$2:$E$5000,Entries!$C$2:$C$5000,"Actual",Entries!$A$2:$A$5000,"&gt;="&amp;$A103,Entries!$A$2:$A$5000,"&lt;"&amp;EDATE($A103,1),Entries!$B$2:$B$5000,X$1))</f>
        <v/>
      </c>
      <c r="Y103" s="23">
        <f>IF(OR(Y$1="",$BM103=0),"",SUMIFS(Entries!$E$2:$E$5000,Entries!$C$2:$C$5000,"Actual",Entries!$A$2:$A$5000,"&gt;="&amp;$A103,Entries!$A$2:$A$5000,"&lt;"&amp;EDATE($A103,1),Entries!$B$2:$B$5000,Y$1))</f>
        <v/>
      </c>
      <c r="Z103" s="23">
        <f>IF(OR(Z$1="",$BM103=0),"",SUMIFS(Entries!$E$2:$E$5000,Entries!$C$2:$C$5000,"Actual",Entries!$A$2:$A$5000,"&gt;="&amp;$A103,Entries!$A$2:$A$5000,"&lt;"&amp;EDATE($A103,1),Entries!$B$2:$B$5000,Z$1))</f>
        <v/>
      </c>
      <c r="AA103" s="23">
        <f>IF(OR(AA$1="",$BM103=0),"",SUMIFS(Entries!$E$2:$E$5000,Entries!$C$2:$C$5000,"Actual",Entries!$A$2:$A$5000,"&gt;="&amp;$A103,Entries!$A$2:$A$5000,"&lt;"&amp;EDATE($A103,1),Entries!$B$2:$B$5000,AA$1))</f>
        <v/>
      </c>
      <c r="AB103" s="23">
        <f>IF(OR(AB$1="",$BM103=0),"",SUMIFS(Entries!$E$2:$E$5000,Entries!$C$2:$C$5000,"Actual",Entries!$A$2:$A$5000,"&gt;="&amp;$A103,Entries!$A$2:$A$5000,"&lt;"&amp;EDATE($A103,1),Entries!$B$2:$B$5000,AB$1))</f>
        <v/>
      </c>
      <c r="AC103" s="23">
        <f>IF(OR(AC$1="",$BM103=0),"",SUMIFS(Entries!$E$2:$E$5000,Entries!$C$2:$C$5000,"Actual",Entries!$A$2:$A$5000,"&gt;="&amp;$A103,Entries!$A$2:$A$5000,"&lt;"&amp;EDATE($A103,1),Entries!$B$2:$B$5000,AC$1))</f>
        <v/>
      </c>
      <c r="AD103" s="23">
        <f>IF(OR(AD$1="",$BM103=0),"",SUMIFS(Entries!$E$2:$E$5000,Entries!$C$2:$C$5000,"Actual",Entries!$A$2:$A$5000,"&gt;="&amp;$A103,Entries!$A$2:$A$5000,"&lt;"&amp;EDATE($A103,1),Entries!$B$2:$B$5000,AD$1))</f>
        <v/>
      </c>
      <c r="AE103" s="23">
        <f>IF(OR(AE$1="",$BM103=0),"",SUMIFS(Entries!$E$2:$E$5000,Entries!$C$2:$C$5000,"Actual",Entries!$A$2:$A$5000,"&gt;="&amp;$A103,Entries!$A$2:$A$5000,"&lt;"&amp;EDATE($A103,1),Entries!$B$2:$B$5000,AE$1))</f>
        <v/>
      </c>
      <c r="AF103" s="23">
        <f>IF(OR(AF$1="",$BM103=0),"",SUMIFS(Entries!$E$2:$E$5000,Entries!$C$2:$C$5000,"Actual",Entries!$A$2:$A$5000,"&gt;="&amp;$A103,Entries!$A$2:$A$5000,"&lt;"&amp;EDATE($A103,1),Entries!$B$2:$B$5000,AF$1))</f>
        <v/>
      </c>
      <c r="AG103" s="23">
        <f>IF(OR(AG$1="",$BM103=0),"",SUMIFS(Entries!$E$2:$E$5000,Entries!$C$2:$C$5000,"Actual",Entries!$A$2:$A$5000,"&gt;="&amp;$A103,Entries!$A$2:$A$5000,"&lt;"&amp;EDATE($A103,1),Entries!$B$2:$B$5000,AG$1))</f>
        <v/>
      </c>
      <c r="AH103" s="23">
        <f>IF(OR(AH$1="",$BM103=0),"",SUMIFS(Entries!$E$2:$E$5000,Entries!$C$2:$C$5000,"Actual",Entries!$A$2:$A$5000,"&gt;="&amp;$A103,Entries!$A$2:$A$5000,"&lt;"&amp;EDATE($A103,1),Entries!$B$2:$B$5000,AH$1))</f>
        <v/>
      </c>
      <c r="AI103" s="23">
        <f>IF(OR(AI$1="",$BM103=0),"",SUMIFS(Entries!$E$2:$E$5000,Entries!$C$2:$C$5000,"Actual",Entries!$A$2:$A$5000,"&gt;="&amp;$A103,Entries!$A$2:$A$5000,"&lt;"&amp;EDATE($A103,1),Entries!$B$2:$B$5000,AI$1))</f>
        <v/>
      </c>
      <c r="AJ103" s="23">
        <f>IF(OR(AJ$1="",$BM103=0),"",SUMIFS(Entries!$E$2:$E$5000,Entries!$C$2:$C$5000,"Actual",Entries!$A$2:$A$5000,"&gt;="&amp;$A103,Entries!$A$2:$A$5000,"&lt;"&amp;EDATE($A103,1),Entries!$B$2:$B$5000,AJ$1))</f>
        <v/>
      </c>
      <c r="AK103" s="23">
        <f>IF(OR(AK$1="",$BM103=0),"",SUMIFS(Entries!$E$2:$E$5000,Entries!$C$2:$C$5000,"Actual",Entries!$A$2:$A$5000,"&gt;="&amp;$A103,Entries!$A$2:$A$5000,"&lt;"&amp;EDATE($A103,1),Entries!$B$2:$B$5000,AK$1))</f>
        <v/>
      </c>
      <c r="AL103" s="23">
        <f>IF(OR(AL$1="",$BM103=0),"",SUMIFS(Entries!$E$2:$E$5000,Entries!$C$2:$C$5000,"Actual",Entries!$A$2:$A$5000,"&gt;="&amp;$A103,Entries!$A$2:$A$5000,"&lt;"&amp;EDATE($A103,1),Entries!$B$2:$B$5000,AL$1))</f>
        <v/>
      </c>
      <c r="AM103" s="23">
        <f>IF(OR(AM$1="",$BM103=0),"",SUMIFS(Entries!$E$2:$E$5000,Entries!$C$2:$C$5000,"Actual",Entries!$A$2:$A$5000,"&gt;="&amp;$A103,Entries!$A$2:$A$5000,"&lt;"&amp;EDATE($A103,1),Entries!$B$2:$B$5000,AM$1))</f>
        <v/>
      </c>
      <c r="AN103" s="23">
        <f>IF(OR(AN$1="",$BM103=0),"",SUMIFS(Entries!$E$2:$E$5000,Entries!$C$2:$C$5000,"Actual",Entries!$A$2:$A$5000,"&gt;="&amp;$A103,Entries!$A$2:$A$5000,"&lt;"&amp;EDATE($A103,1),Entries!$B$2:$B$5000,AN$1))</f>
        <v/>
      </c>
      <c r="AO103" s="23">
        <f>IF(OR(AO$1="",$BM103=0),"",SUMIFS(Entries!$E$2:$E$5000,Entries!$C$2:$C$5000,"Actual",Entries!$A$2:$A$5000,"&gt;="&amp;$A103,Entries!$A$2:$A$5000,"&lt;"&amp;EDATE($A103,1),Entries!$B$2:$B$5000,AO$1))</f>
        <v/>
      </c>
      <c r="AP103" s="23">
        <f>IF(OR(AP$1="",$BM103=0),"",SUMIFS(Entries!$E$2:$E$5000,Entries!$C$2:$C$5000,"Actual",Entries!$A$2:$A$5000,"&gt;="&amp;$A103,Entries!$A$2:$A$5000,"&lt;"&amp;EDATE($A103,1),Entries!$B$2:$B$5000,AP$1))</f>
        <v/>
      </c>
      <c r="AR103" s="23">
        <f>IF(OR(AR$1="",$BM103=0),"",IFERROR(LOOKUP(2,1/((Budgets!$A$2:$A$200=AR$1)*(Budgets!$B$2:$B$200&lt;EDATE($A103,1))),Budgets!$C$2:$C$200),0))</f>
        <v/>
      </c>
      <c r="AS103" s="23">
        <f>IF(OR(AS$1="",$BM103=0),"",IFERROR(LOOKUP(2,1/((Budgets!$A$2:$A$200=AS$1)*(Budgets!$B$2:$B$200&lt;EDATE($A103,1))),Budgets!$C$2:$C$200),0))</f>
        <v/>
      </c>
      <c r="AT103" s="23">
        <f>IF(OR(AT$1="",$BM103=0),"",IFERROR(LOOKUP(2,1/((Budgets!$A$2:$A$200=AT$1)*(Budgets!$B$2:$B$200&lt;EDATE($A103,1))),Budgets!$C$2:$C$200),0))</f>
        <v/>
      </c>
      <c r="AU103" s="23">
        <f>IF(OR(AU$1="",$BM103=0),"",IFERROR(LOOKUP(2,1/((Budgets!$A$2:$A$200=AU$1)*(Budgets!$B$2:$B$200&lt;EDATE($A103,1))),Budgets!$C$2:$C$200),0))</f>
        <v/>
      </c>
      <c r="AV103" s="23">
        <f>IF(OR(AV$1="",$BM103=0),"",IFERROR(LOOKUP(2,1/((Budgets!$A$2:$A$200=AV$1)*(Budgets!$B$2:$B$200&lt;EDATE($A103,1))),Budgets!$C$2:$C$200),0))</f>
        <v/>
      </c>
      <c r="AW103" s="23">
        <f>IF(OR(AW$1="",$BM103=0),"",IFERROR(LOOKUP(2,1/((Budgets!$A$2:$A$200=AW$1)*(Budgets!$B$2:$B$200&lt;EDATE($A103,1))),Budgets!$C$2:$C$200),0))</f>
        <v/>
      </c>
      <c r="AX103" s="23">
        <f>IF(OR(AX$1="",$BM103=0),"",IFERROR(LOOKUP(2,1/((Budgets!$A$2:$A$200=AX$1)*(Budgets!$B$2:$B$200&lt;EDATE($A103,1))),Budgets!$C$2:$C$200),0))</f>
        <v/>
      </c>
      <c r="AY103" s="23">
        <f>IF(OR(AY$1="",$BM103=0),"",IFERROR(LOOKUP(2,1/((Budgets!$A$2:$A$200=AY$1)*(Budgets!$B$2:$B$200&lt;EDATE($A103,1))),Budgets!$C$2:$C$200),0))</f>
        <v/>
      </c>
      <c r="AZ103" s="23">
        <f>IF(OR(AZ$1="",$BM103=0),"",IFERROR(LOOKUP(2,1/((Budgets!$A$2:$A$200=AZ$1)*(Budgets!$B$2:$B$200&lt;EDATE($A103,1))),Budgets!$C$2:$C$200),0))</f>
        <v/>
      </c>
      <c r="BA103" s="23">
        <f>IF(OR(BA$1="",$BM103=0),"",IFERROR(LOOKUP(2,1/((Budgets!$A$2:$A$200=BA$1)*(Budgets!$B$2:$B$200&lt;EDATE($A103,1))),Budgets!$C$2:$C$200),0))</f>
        <v/>
      </c>
      <c r="BB103" s="23">
        <f>IF(OR(BB$1="",$BM103=0),"",IFERROR(LOOKUP(2,1/((Budgets!$A$2:$A$200=BB$1)*(Budgets!$B$2:$B$200&lt;EDATE($A103,1))),Budgets!$C$2:$C$200),0))</f>
        <v/>
      </c>
      <c r="BC103" s="23">
        <f>IF(OR(BC$1="",$BM103=0),"",IFERROR(LOOKUP(2,1/((Budgets!$A$2:$A$200=BC$1)*(Budgets!$B$2:$B$200&lt;EDATE($A103,1))),Budgets!$C$2:$C$200),0))</f>
        <v/>
      </c>
      <c r="BD103" s="23">
        <f>IF(OR(BD$1="",$BM103=0),"",IFERROR(LOOKUP(2,1/((Budgets!$A$2:$A$200=BD$1)*(Budgets!$B$2:$B$200&lt;EDATE($A103,1))),Budgets!$C$2:$C$200),0))</f>
        <v/>
      </c>
      <c r="BE103" s="23">
        <f>IF(OR(BE$1="",$BM103=0),"",IFERROR(LOOKUP(2,1/((Budgets!$A$2:$A$200=BE$1)*(Budgets!$B$2:$B$200&lt;EDATE($A103,1))),Budgets!$C$2:$C$200),0))</f>
        <v/>
      </c>
      <c r="BF103" s="23">
        <f>IF(OR(BF$1="",$BM103=0),"",IFERROR(LOOKUP(2,1/((Budgets!$A$2:$A$200=BF$1)*(Budgets!$B$2:$B$200&lt;EDATE($A103,1))),Budgets!$C$2:$C$200),0))</f>
        <v/>
      </c>
      <c r="BG103" s="23">
        <f>IF(OR(BG$1="",$BM103=0),"",IFERROR(LOOKUP(2,1/((Budgets!$A$2:$A$200=BG$1)*(Budgets!$B$2:$B$200&lt;EDATE($A103,1))),Budgets!$C$2:$C$200),0))</f>
        <v/>
      </c>
      <c r="BH103" s="23">
        <f>IF(OR(BH$1="",$BM103=0),"",IFERROR(LOOKUP(2,1/((Budgets!$A$2:$A$200=BH$1)*(Budgets!$B$2:$B$200&lt;EDATE($A103,1))),Budgets!$C$2:$C$200),0))</f>
        <v/>
      </c>
      <c r="BI103" s="23">
        <f>IF(OR(BI$1="",$BM103=0),"",IFERROR(LOOKUP(2,1/((Budgets!$A$2:$A$200=BI$1)*(Budgets!$B$2:$B$200&lt;EDATE($A103,1))),Budgets!$C$2:$C$200),0))</f>
        <v/>
      </c>
      <c r="BJ103" s="23">
        <f>IF(OR(BJ$1="",$BM103=0),"",IFERROR(LOOKUP(2,1/((Budgets!$A$2:$A$200=BJ$1)*(Budgets!$B$2:$B$200&lt;EDATE($A103,1))),Budgets!$C$2:$C$200),0))</f>
        <v/>
      </c>
      <c r="BK103" s="23">
        <f>IF(OR(BK$1="",$BM103=0),"",IFERROR(LOOKUP(2,1/((Budgets!$A$2:$A$200=BK$1)*(Budgets!$B$2:$B$200&lt;EDATE($A103,1))),Budgets!$C$2:$C$200),0))</f>
        <v/>
      </c>
      <c r="BM103" s="21">
        <f>COUNTIFS(Entries!$A$2:$A$5000,"&gt;="&amp;$A103,Entries!$A$2:$A$5000,"&lt;"&amp;EDATE($A103,1))</f>
        <v/>
      </c>
    </row>
    <row r="104">
      <c r="A104" s="22" t="n">
        <v>42552</v>
      </c>
      <c r="B104" s="23">
        <f>IF($BM104=0,NA(),SUMIFS(Entries!$E$2:$E$5000,Entries!$C$2:$C$5000,"Income",Entries!$A$2:$A$5000,"&gt;="&amp;$A104,Entries!$A$2:$A$5000,"&lt;"&amp;EDATE($A104,1)))</f>
        <v/>
      </c>
      <c r="C104" s="23">
        <f>IF($BM104=0,"",SUMIFS(Entries!$E$2:$E$5000,Entries!$C$2:$C$5000,"Actual",Entries!$A$2:$A$5000,"&gt;="&amp;$A104,Entries!$A$2:$A$5000,"&lt;"&amp;EDATE($A104,1)))</f>
        <v/>
      </c>
      <c r="D104" s="23">
        <f>IF($BM104=0,"",SUMIFS(Entries!$E$2:$E$5000,Entries!$C$2:$C$5000,"One-off",Entries!$A$2:$A$5000,"&gt;="&amp;$A104,Entries!$A$2:$A$5000,"&lt;"&amp;EDATE($A104,1)))</f>
        <v/>
      </c>
      <c r="E104" s="23">
        <f>IF($BM104=0,NA(),C104+D104)</f>
        <v/>
      </c>
      <c r="F104" s="23">
        <f>IF($BM104=0,"",SUM(AR104:BK104))</f>
        <v/>
      </c>
      <c r="G104" s="23">
        <f>IF($BM104=0,"",B104-E104)</f>
        <v/>
      </c>
      <c r="H104" s="23">
        <f>IF($BM104=0,"",SUM($G$2:G104))</f>
        <v/>
      </c>
      <c r="I104" s="23">
        <f>IF($BM104=0,"",SUMIFS(Entries!$G$2:$G$5000,Entries!$A$2:$A$5000,"&gt;="&amp;$A104,Entries!$A$2:$A$5000,"&lt;"&amp;EDATE($A104,1)))</f>
        <v/>
      </c>
      <c r="J104" s="23">
        <f>IF($BM104=0,NA(),H104)</f>
        <v/>
      </c>
      <c r="K104" s="23">
        <f>IF($BM104=0,"",SUMIFS(Entries!$E$2:$E$5000,Entries!$C$2:$C$5000,"Income",Entries!$A$2:$A$5000,"&gt;="&amp;EDATE($A104,-11),Entries!$A$2:$A$5000,"&lt;"&amp;EDATE($A104,1))/COUNTIFS($A$2:$A$400,"&gt;="&amp;EDATE($A104,-11),$A$2:$A$400,"&lt;"&amp;EDATE($A104,1),$BM$2:$BM$400,"&gt;0"))</f>
      </c>
      <c r="L104" s="23">
        <f>IF($BM104=0,"",(SUMIFS(Entries!$E$2:$E$5000,Entries!$C$2:$C$5000,"Actual",Entries!$A$2:$A$5000,"&gt;="&amp;EDATE($A104,-11),Entries!$A$2:$A$5000,"&lt;"&amp;EDATE($A104,1))+SUMIFS(Entries!$E$2:$E$5000,Entries!$C$2:$C$5000,"One-off",Entries!$A$2:$A$5000,"&gt;="&amp;EDATE($A104,-11),Entries!$A$2:$A$5000,"&lt;"&amp;EDATE($A104,1)))/COUNTIFS($A$2:$A$400,"&gt;="&amp;EDATE($A104,-11),$A$2:$A$400,"&lt;"&amp;EDATE($A104,1),$BM$2:$BM$400,"&gt;0"))</f>
      </c>
      <c r="M104" s="24">
        <f>IF($BM104=0,NA(),IFERROR((K104-L104)/K104,0))</f>
        <v/>
      </c>
      <c r="N104" s="23">
        <f>IF($BM104=0,NA(),SUMIFS(Entries!$E$2:$E$5000,Entries!$D$2:$D$5000,"Core",Entries!$A$2:$A$5000,"&gt;="&amp;$A104,Entries!$A$2:$A$5000,"&lt;"&amp;EDATE($A104,1)))</f>
        <v/>
      </c>
      <c r="O104" s="23">
        <f>IF($BM104=0,NA(),SUMIFS(Entries!$E$2:$E$5000,Entries!$D$2:$D$5000,"Over &amp; above",Entries!$A$2:$A$5000,"&gt;="&amp;$A104,Entries!$A$2:$A$5000,"&lt;"&amp;EDATE($A104,1)))</f>
        <v/>
      </c>
      <c r="P104" s="23">
        <f>IF($BM104=0,NA(),SUMIFS(Entries!$E$2:$E$5000,Entries!$D$2:$D$5000,"One-off",Entries!$A$2:$A$5000,"&gt;="&amp;$A104,Entries!$A$2:$A$5000,"&lt;"&amp;EDATE($A104,1)))</f>
        <v/>
      </c>
      <c r="Q104" s="23">
        <f>IF($BM104=0,NA(),SUMIFS(Entries!$E$2:$E$5000,Entries!$D$2:$D$5000,"Reimbursable",Entries!$A$2:$A$5000,"&gt;="&amp;$A104,Entries!$A$2:$A$5000,"&lt;"&amp;EDATE($A104,1)))</f>
        <v/>
      </c>
      <c r="R104" s="23">
        <f>IF($BM104=0,NA(),SUMIFS(Entries!$E$2:$E$5000,Entries!$D$2:$D$5000,"Investment",Entries!$A$2:$A$5000,"&gt;="&amp;$A104,Entries!$A$2:$A$5000,"&lt;"&amp;EDATE($A104,1)))</f>
        <v/>
      </c>
      <c r="S104" s="23">
        <f>IF($BM104=0,NA(),N104+O104)</f>
        <v/>
      </c>
      <c r="T104" s="23">
        <f>IF($BM104=0,"",E104-Q104)</f>
        <v/>
      </c>
      <c r="W104" s="23">
        <f>IF(OR(W$1="",$BM104=0),"",SUMIFS(Entries!$E$2:$E$5000,Entries!$C$2:$C$5000,"Actual",Entries!$A$2:$A$5000,"&gt;="&amp;$A104,Entries!$A$2:$A$5000,"&lt;"&amp;EDATE($A104,1),Entries!$B$2:$B$5000,W$1))</f>
        <v/>
      </c>
      <c r="X104" s="23">
        <f>IF(OR(X$1="",$BM104=0),"",SUMIFS(Entries!$E$2:$E$5000,Entries!$C$2:$C$5000,"Actual",Entries!$A$2:$A$5000,"&gt;="&amp;$A104,Entries!$A$2:$A$5000,"&lt;"&amp;EDATE($A104,1),Entries!$B$2:$B$5000,X$1))</f>
        <v/>
      </c>
      <c r="Y104" s="23">
        <f>IF(OR(Y$1="",$BM104=0),"",SUMIFS(Entries!$E$2:$E$5000,Entries!$C$2:$C$5000,"Actual",Entries!$A$2:$A$5000,"&gt;="&amp;$A104,Entries!$A$2:$A$5000,"&lt;"&amp;EDATE($A104,1),Entries!$B$2:$B$5000,Y$1))</f>
        <v/>
      </c>
      <c r="Z104" s="23">
        <f>IF(OR(Z$1="",$BM104=0),"",SUMIFS(Entries!$E$2:$E$5000,Entries!$C$2:$C$5000,"Actual",Entries!$A$2:$A$5000,"&gt;="&amp;$A104,Entries!$A$2:$A$5000,"&lt;"&amp;EDATE($A104,1),Entries!$B$2:$B$5000,Z$1))</f>
        <v/>
      </c>
      <c r="AA104" s="23">
        <f>IF(OR(AA$1="",$BM104=0),"",SUMIFS(Entries!$E$2:$E$5000,Entries!$C$2:$C$5000,"Actual",Entries!$A$2:$A$5000,"&gt;="&amp;$A104,Entries!$A$2:$A$5000,"&lt;"&amp;EDATE($A104,1),Entries!$B$2:$B$5000,AA$1))</f>
        <v/>
      </c>
      <c r="AB104" s="23">
        <f>IF(OR(AB$1="",$BM104=0),"",SUMIFS(Entries!$E$2:$E$5000,Entries!$C$2:$C$5000,"Actual",Entries!$A$2:$A$5000,"&gt;="&amp;$A104,Entries!$A$2:$A$5000,"&lt;"&amp;EDATE($A104,1),Entries!$B$2:$B$5000,AB$1))</f>
        <v/>
      </c>
      <c r="AC104" s="23">
        <f>IF(OR(AC$1="",$BM104=0),"",SUMIFS(Entries!$E$2:$E$5000,Entries!$C$2:$C$5000,"Actual",Entries!$A$2:$A$5000,"&gt;="&amp;$A104,Entries!$A$2:$A$5000,"&lt;"&amp;EDATE($A104,1),Entries!$B$2:$B$5000,AC$1))</f>
        <v/>
      </c>
      <c r="AD104" s="23">
        <f>IF(OR(AD$1="",$BM104=0),"",SUMIFS(Entries!$E$2:$E$5000,Entries!$C$2:$C$5000,"Actual",Entries!$A$2:$A$5000,"&gt;="&amp;$A104,Entries!$A$2:$A$5000,"&lt;"&amp;EDATE($A104,1),Entries!$B$2:$B$5000,AD$1))</f>
        <v/>
      </c>
      <c r="AE104" s="23">
        <f>IF(OR(AE$1="",$BM104=0),"",SUMIFS(Entries!$E$2:$E$5000,Entries!$C$2:$C$5000,"Actual",Entries!$A$2:$A$5000,"&gt;="&amp;$A104,Entries!$A$2:$A$5000,"&lt;"&amp;EDATE($A104,1),Entries!$B$2:$B$5000,AE$1))</f>
        <v/>
      </c>
      <c r="AF104" s="23">
        <f>IF(OR(AF$1="",$BM104=0),"",SUMIFS(Entries!$E$2:$E$5000,Entries!$C$2:$C$5000,"Actual",Entries!$A$2:$A$5000,"&gt;="&amp;$A104,Entries!$A$2:$A$5000,"&lt;"&amp;EDATE($A104,1),Entries!$B$2:$B$5000,AF$1))</f>
        <v/>
      </c>
      <c r="AG104" s="23">
        <f>IF(OR(AG$1="",$BM104=0),"",SUMIFS(Entries!$E$2:$E$5000,Entries!$C$2:$C$5000,"Actual",Entries!$A$2:$A$5000,"&gt;="&amp;$A104,Entries!$A$2:$A$5000,"&lt;"&amp;EDATE($A104,1),Entries!$B$2:$B$5000,AG$1))</f>
        <v/>
      </c>
      <c r="AH104" s="23">
        <f>IF(OR(AH$1="",$BM104=0),"",SUMIFS(Entries!$E$2:$E$5000,Entries!$C$2:$C$5000,"Actual",Entries!$A$2:$A$5000,"&gt;="&amp;$A104,Entries!$A$2:$A$5000,"&lt;"&amp;EDATE($A104,1),Entries!$B$2:$B$5000,AH$1))</f>
        <v/>
      </c>
      <c r="AI104" s="23">
        <f>IF(OR(AI$1="",$BM104=0),"",SUMIFS(Entries!$E$2:$E$5000,Entries!$C$2:$C$5000,"Actual",Entries!$A$2:$A$5000,"&gt;="&amp;$A104,Entries!$A$2:$A$5000,"&lt;"&amp;EDATE($A104,1),Entries!$B$2:$B$5000,AI$1))</f>
        <v/>
      </c>
      <c r="AJ104" s="23">
        <f>IF(OR(AJ$1="",$BM104=0),"",SUMIFS(Entries!$E$2:$E$5000,Entries!$C$2:$C$5000,"Actual",Entries!$A$2:$A$5000,"&gt;="&amp;$A104,Entries!$A$2:$A$5000,"&lt;"&amp;EDATE($A104,1),Entries!$B$2:$B$5000,AJ$1))</f>
        <v/>
      </c>
      <c r="AK104" s="23">
        <f>IF(OR(AK$1="",$BM104=0),"",SUMIFS(Entries!$E$2:$E$5000,Entries!$C$2:$C$5000,"Actual",Entries!$A$2:$A$5000,"&gt;="&amp;$A104,Entries!$A$2:$A$5000,"&lt;"&amp;EDATE($A104,1),Entries!$B$2:$B$5000,AK$1))</f>
        <v/>
      </c>
      <c r="AL104" s="23">
        <f>IF(OR(AL$1="",$BM104=0),"",SUMIFS(Entries!$E$2:$E$5000,Entries!$C$2:$C$5000,"Actual",Entries!$A$2:$A$5000,"&gt;="&amp;$A104,Entries!$A$2:$A$5000,"&lt;"&amp;EDATE($A104,1),Entries!$B$2:$B$5000,AL$1))</f>
        <v/>
      </c>
      <c r="AM104" s="23">
        <f>IF(OR(AM$1="",$BM104=0),"",SUMIFS(Entries!$E$2:$E$5000,Entries!$C$2:$C$5000,"Actual",Entries!$A$2:$A$5000,"&gt;="&amp;$A104,Entries!$A$2:$A$5000,"&lt;"&amp;EDATE($A104,1),Entries!$B$2:$B$5000,AM$1))</f>
        <v/>
      </c>
      <c r="AN104" s="23">
        <f>IF(OR(AN$1="",$BM104=0),"",SUMIFS(Entries!$E$2:$E$5000,Entries!$C$2:$C$5000,"Actual",Entries!$A$2:$A$5000,"&gt;="&amp;$A104,Entries!$A$2:$A$5000,"&lt;"&amp;EDATE($A104,1),Entries!$B$2:$B$5000,AN$1))</f>
        <v/>
      </c>
      <c r="AO104" s="23">
        <f>IF(OR(AO$1="",$BM104=0),"",SUMIFS(Entries!$E$2:$E$5000,Entries!$C$2:$C$5000,"Actual",Entries!$A$2:$A$5000,"&gt;="&amp;$A104,Entries!$A$2:$A$5000,"&lt;"&amp;EDATE($A104,1),Entries!$B$2:$B$5000,AO$1))</f>
        <v/>
      </c>
      <c r="AP104" s="23">
        <f>IF(OR(AP$1="",$BM104=0),"",SUMIFS(Entries!$E$2:$E$5000,Entries!$C$2:$C$5000,"Actual",Entries!$A$2:$A$5000,"&gt;="&amp;$A104,Entries!$A$2:$A$5000,"&lt;"&amp;EDATE($A104,1),Entries!$B$2:$B$5000,AP$1))</f>
        <v/>
      </c>
      <c r="AR104" s="23">
        <f>IF(OR(AR$1="",$BM104=0),"",IFERROR(LOOKUP(2,1/((Budgets!$A$2:$A$200=AR$1)*(Budgets!$B$2:$B$200&lt;EDATE($A104,1))),Budgets!$C$2:$C$200),0))</f>
        <v/>
      </c>
      <c r="AS104" s="23">
        <f>IF(OR(AS$1="",$BM104=0),"",IFERROR(LOOKUP(2,1/((Budgets!$A$2:$A$200=AS$1)*(Budgets!$B$2:$B$200&lt;EDATE($A104,1))),Budgets!$C$2:$C$200),0))</f>
        <v/>
      </c>
      <c r="AT104" s="23">
        <f>IF(OR(AT$1="",$BM104=0),"",IFERROR(LOOKUP(2,1/((Budgets!$A$2:$A$200=AT$1)*(Budgets!$B$2:$B$200&lt;EDATE($A104,1))),Budgets!$C$2:$C$200),0))</f>
        <v/>
      </c>
      <c r="AU104" s="23">
        <f>IF(OR(AU$1="",$BM104=0),"",IFERROR(LOOKUP(2,1/((Budgets!$A$2:$A$200=AU$1)*(Budgets!$B$2:$B$200&lt;EDATE($A104,1))),Budgets!$C$2:$C$200),0))</f>
        <v/>
      </c>
      <c r="AV104" s="23">
        <f>IF(OR(AV$1="",$BM104=0),"",IFERROR(LOOKUP(2,1/((Budgets!$A$2:$A$200=AV$1)*(Budgets!$B$2:$B$200&lt;EDATE($A104,1))),Budgets!$C$2:$C$200),0))</f>
        <v/>
      </c>
      <c r="AW104" s="23">
        <f>IF(OR(AW$1="",$BM104=0),"",IFERROR(LOOKUP(2,1/((Budgets!$A$2:$A$200=AW$1)*(Budgets!$B$2:$B$200&lt;EDATE($A104,1))),Budgets!$C$2:$C$200),0))</f>
        <v/>
      </c>
      <c r="AX104" s="23">
        <f>IF(OR(AX$1="",$BM104=0),"",IFERROR(LOOKUP(2,1/((Budgets!$A$2:$A$200=AX$1)*(Budgets!$B$2:$B$200&lt;EDATE($A104,1))),Budgets!$C$2:$C$200),0))</f>
        <v/>
      </c>
      <c r="AY104" s="23">
        <f>IF(OR(AY$1="",$BM104=0),"",IFERROR(LOOKUP(2,1/((Budgets!$A$2:$A$200=AY$1)*(Budgets!$B$2:$B$200&lt;EDATE($A104,1))),Budgets!$C$2:$C$200),0))</f>
        <v/>
      </c>
      <c r="AZ104" s="23">
        <f>IF(OR(AZ$1="",$BM104=0),"",IFERROR(LOOKUP(2,1/((Budgets!$A$2:$A$200=AZ$1)*(Budgets!$B$2:$B$200&lt;EDATE($A104,1))),Budgets!$C$2:$C$200),0))</f>
        <v/>
      </c>
      <c r="BA104" s="23">
        <f>IF(OR(BA$1="",$BM104=0),"",IFERROR(LOOKUP(2,1/((Budgets!$A$2:$A$200=BA$1)*(Budgets!$B$2:$B$200&lt;EDATE($A104,1))),Budgets!$C$2:$C$200),0))</f>
        <v/>
      </c>
      <c r="BB104" s="23">
        <f>IF(OR(BB$1="",$BM104=0),"",IFERROR(LOOKUP(2,1/((Budgets!$A$2:$A$200=BB$1)*(Budgets!$B$2:$B$200&lt;EDATE($A104,1))),Budgets!$C$2:$C$200),0))</f>
        <v/>
      </c>
      <c r="BC104" s="23">
        <f>IF(OR(BC$1="",$BM104=0),"",IFERROR(LOOKUP(2,1/((Budgets!$A$2:$A$200=BC$1)*(Budgets!$B$2:$B$200&lt;EDATE($A104,1))),Budgets!$C$2:$C$200),0))</f>
        <v/>
      </c>
      <c r="BD104" s="23">
        <f>IF(OR(BD$1="",$BM104=0),"",IFERROR(LOOKUP(2,1/((Budgets!$A$2:$A$200=BD$1)*(Budgets!$B$2:$B$200&lt;EDATE($A104,1))),Budgets!$C$2:$C$200),0))</f>
        <v/>
      </c>
      <c r="BE104" s="23">
        <f>IF(OR(BE$1="",$BM104=0),"",IFERROR(LOOKUP(2,1/((Budgets!$A$2:$A$200=BE$1)*(Budgets!$B$2:$B$200&lt;EDATE($A104,1))),Budgets!$C$2:$C$200),0))</f>
        <v/>
      </c>
      <c r="BF104" s="23">
        <f>IF(OR(BF$1="",$BM104=0),"",IFERROR(LOOKUP(2,1/((Budgets!$A$2:$A$200=BF$1)*(Budgets!$B$2:$B$200&lt;EDATE($A104,1))),Budgets!$C$2:$C$200),0))</f>
        <v/>
      </c>
      <c r="BG104" s="23">
        <f>IF(OR(BG$1="",$BM104=0),"",IFERROR(LOOKUP(2,1/((Budgets!$A$2:$A$200=BG$1)*(Budgets!$B$2:$B$200&lt;EDATE($A104,1))),Budgets!$C$2:$C$200),0))</f>
        <v/>
      </c>
      <c r="BH104" s="23">
        <f>IF(OR(BH$1="",$BM104=0),"",IFERROR(LOOKUP(2,1/((Budgets!$A$2:$A$200=BH$1)*(Budgets!$B$2:$B$200&lt;EDATE($A104,1))),Budgets!$C$2:$C$200),0))</f>
        <v/>
      </c>
      <c r="BI104" s="23">
        <f>IF(OR(BI$1="",$BM104=0),"",IFERROR(LOOKUP(2,1/((Budgets!$A$2:$A$200=BI$1)*(Budgets!$B$2:$B$200&lt;EDATE($A104,1))),Budgets!$C$2:$C$200),0))</f>
        <v/>
      </c>
      <c r="BJ104" s="23">
        <f>IF(OR(BJ$1="",$BM104=0),"",IFERROR(LOOKUP(2,1/((Budgets!$A$2:$A$200=BJ$1)*(Budgets!$B$2:$B$200&lt;EDATE($A104,1))),Budgets!$C$2:$C$200),0))</f>
        <v/>
      </c>
      <c r="BK104" s="23">
        <f>IF(OR(BK$1="",$BM104=0),"",IFERROR(LOOKUP(2,1/((Budgets!$A$2:$A$200=BK$1)*(Budgets!$B$2:$B$200&lt;EDATE($A104,1))),Budgets!$C$2:$C$200),0))</f>
        <v/>
      </c>
      <c r="BM104" s="21">
        <f>COUNTIFS(Entries!$A$2:$A$5000,"&gt;="&amp;$A104,Entries!$A$2:$A$5000,"&lt;"&amp;EDATE($A104,1))</f>
        <v/>
      </c>
    </row>
    <row r="105">
      <c r="A105" s="22" t="n">
        <v>42583</v>
      </c>
      <c r="B105" s="23">
        <f>IF($BM105=0,NA(),SUMIFS(Entries!$E$2:$E$5000,Entries!$C$2:$C$5000,"Income",Entries!$A$2:$A$5000,"&gt;="&amp;$A105,Entries!$A$2:$A$5000,"&lt;"&amp;EDATE($A105,1)))</f>
        <v/>
      </c>
      <c r="C105" s="23">
        <f>IF($BM105=0,"",SUMIFS(Entries!$E$2:$E$5000,Entries!$C$2:$C$5000,"Actual",Entries!$A$2:$A$5000,"&gt;="&amp;$A105,Entries!$A$2:$A$5000,"&lt;"&amp;EDATE($A105,1)))</f>
        <v/>
      </c>
      <c r="D105" s="23">
        <f>IF($BM105=0,"",SUMIFS(Entries!$E$2:$E$5000,Entries!$C$2:$C$5000,"One-off",Entries!$A$2:$A$5000,"&gt;="&amp;$A105,Entries!$A$2:$A$5000,"&lt;"&amp;EDATE($A105,1)))</f>
        <v/>
      </c>
      <c r="E105" s="23">
        <f>IF($BM105=0,NA(),C105+D105)</f>
        <v/>
      </c>
      <c r="F105" s="23">
        <f>IF($BM105=0,"",SUM(AR105:BK105))</f>
        <v/>
      </c>
      <c r="G105" s="23">
        <f>IF($BM105=0,"",B105-E105)</f>
        <v/>
      </c>
      <c r="H105" s="23">
        <f>IF($BM105=0,"",SUM($G$2:G105))</f>
        <v/>
      </c>
      <c r="I105" s="23">
        <f>IF($BM105=0,"",SUMIFS(Entries!$G$2:$G$5000,Entries!$A$2:$A$5000,"&gt;="&amp;$A105,Entries!$A$2:$A$5000,"&lt;"&amp;EDATE($A105,1)))</f>
        <v/>
      </c>
      <c r="J105" s="23">
        <f>IF($BM105=0,NA(),H105)</f>
        <v/>
      </c>
      <c r="K105" s="23">
        <f>IF($BM105=0,"",SUMIFS(Entries!$E$2:$E$5000,Entries!$C$2:$C$5000,"Income",Entries!$A$2:$A$5000,"&gt;="&amp;EDATE($A105,-11),Entries!$A$2:$A$5000,"&lt;"&amp;EDATE($A105,1))/COUNTIFS($A$2:$A$400,"&gt;="&amp;EDATE($A105,-11),$A$2:$A$400,"&lt;"&amp;EDATE($A105,1),$BM$2:$BM$400,"&gt;0"))</f>
      </c>
      <c r="L105" s="23">
        <f>IF($BM105=0,"",(SUMIFS(Entries!$E$2:$E$5000,Entries!$C$2:$C$5000,"Actual",Entries!$A$2:$A$5000,"&gt;="&amp;EDATE($A105,-11),Entries!$A$2:$A$5000,"&lt;"&amp;EDATE($A105,1))+SUMIFS(Entries!$E$2:$E$5000,Entries!$C$2:$C$5000,"One-off",Entries!$A$2:$A$5000,"&gt;="&amp;EDATE($A105,-11),Entries!$A$2:$A$5000,"&lt;"&amp;EDATE($A105,1)))/COUNTIFS($A$2:$A$400,"&gt;="&amp;EDATE($A105,-11),$A$2:$A$400,"&lt;"&amp;EDATE($A105,1),$BM$2:$BM$400,"&gt;0"))</f>
      </c>
      <c r="M105" s="24">
        <f>IF($BM105=0,NA(),IFERROR((K105-L105)/K105,0))</f>
        <v/>
      </c>
      <c r="N105" s="23">
        <f>IF($BM105=0,NA(),SUMIFS(Entries!$E$2:$E$5000,Entries!$D$2:$D$5000,"Core",Entries!$A$2:$A$5000,"&gt;="&amp;$A105,Entries!$A$2:$A$5000,"&lt;"&amp;EDATE($A105,1)))</f>
        <v/>
      </c>
      <c r="O105" s="23">
        <f>IF($BM105=0,NA(),SUMIFS(Entries!$E$2:$E$5000,Entries!$D$2:$D$5000,"Over &amp; above",Entries!$A$2:$A$5000,"&gt;="&amp;$A105,Entries!$A$2:$A$5000,"&lt;"&amp;EDATE($A105,1)))</f>
        <v/>
      </c>
      <c r="P105" s="23">
        <f>IF($BM105=0,NA(),SUMIFS(Entries!$E$2:$E$5000,Entries!$D$2:$D$5000,"One-off",Entries!$A$2:$A$5000,"&gt;="&amp;$A105,Entries!$A$2:$A$5000,"&lt;"&amp;EDATE($A105,1)))</f>
        <v/>
      </c>
      <c r="Q105" s="23">
        <f>IF($BM105=0,NA(),SUMIFS(Entries!$E$2:$E$5000,Entries!$D$2:$D$5000,"Reimbursable",Entries!$A$2:$A$5000,"&gt;="&amp;$A105,Entries!$A$2:$A$5000,"&lt;"&amp;EDATE($A105,1)))</f>
        <v/>
      </c>
      <c r="R105" s="23">
        <f>IF($BM105=0,NA(),SUMIFS(Entries!$E$2:$E$5000,Entries!$D$2:$D$5000,"Investment",Entries!$A$2:$A$5000,"&gt;="&amp;$A105,Entries!$A$2:$A$5000,"&lt;"&amp;EDATE($A105,1)))</f>
        <v/>
      </c>
      <c r="S105" s="23">
        <f>IF($BM105=0,NA(),N105+O105)</f>
        <v/>
      </c>
      <c r="T105" s="23">
        <f>IF($BM105=0,"",E105-Q105)</f>
        <v/>
      </c>
      <c r="W105" s="23">
        <f>IF(OR(W$1="",$BM105=0),"",SUMIFS(Entries!$E$2:$E$5000,Entries!$C$2:$C$5000,"Actual",Entries!$A$2:$A$5000,"&gt;="&amp;$A105,Entries!$A$2:$A$5000,"&lt;"&amp;EDATE($A105,1),Entries!$B$2:$B$5000,W$1))</f>
        <v/>
      </c>
      <c r="X105" s="23">
        <f>IF(OR(X$1="",$BM105=0),"",SUMIFS(Entries!$E$2:$E$5000,Entries!$C$2:$C$5000,"Actual",Entries!$A$2:$A$5000,"&gt;="&amp;$A105,Entries!$A$2:$A$5000,"&lt;"&amp;EDATE($A105,1),Entries!$B$2:$B$5000,X$1))</f>
        <v/>
      </c>
      <c r="Y105" s="23">
        <f>IF(OR(Y$1="",$BM105=0),"",SUMIFS(Entries!$E$2:$E$5000,Entries!$C$2:$C$5000,"Actual",Entries!$A$2:$A$5000,"&gt;="&amp;$A105,Entries!$A$2:$A$5000,"&lt;"&amp;EDATE($A105,1),Entries!$B$2:$B$5000,Y$1))</f>
        <v/>
      </c>
      <c r="Z105" s="23">
        <f>IF(OR(Z$1="",$BM105=0),"",SUMIFS(Entries!$E$2:$E$5000,Entries!$C$2:$C$5000,"Actual",Entries!$A$2:$A$5000,"&gt;="&amp;$A105,Entries!$A$2:$A$5000,"&lt;"&amp;EDATE($A105,1),Entries!$B$2:$B$5000,Z$1))</f>
        <v/>
      </c>
      <c r="AA105" s="23">
        <f>IF(OR(AA$1="",$BM105=0),"",SUMIFS(Entries!$E$2:$E$5000,Entries!$C$2:$C$5000,"Actual",Entries!$A$2:$A$5000,"&gt;="&amp;$A105,Entries!$A$2:$A$5000,"&lt;"&amp;EDATE($A105,1),Entries!$B$2:$B$5000,AA$1))</f>
        <v/>
      </c>
      <c r="AB105" s="23">
        <f>IF(OR(AB$1="",$BM105=0),"",SUMIFS(Entries!$E$2:$E$5000,Entries!$C$2:$C$5000,"Actual",Entries!$A$2:$A$5000,"&gt;="&amp;$A105,Entries!$A$2:$A$5000,"&lt;"&amp;EDATE($A105,1),Entries!$B$2:$B$5000,AB$1))</f>
        <v/>
      </c>
      <c r="AC105" s="23">
        <f>IF(OR(AC$1="",$BM105=0),"",SUMIFS(Entries!$E$2:$E$5000,Entries!$C$2:$C$5000,"Actual",Entries!$A$2:$A$5000,"&gt;="&amp;$A105,Entries!$A$2:$A$5000,"&lt;"&amp;EDATE($A105,1),Entries!$B$2:$B$5000,AC$1))</f>
        <v/>
      </c>
      <c r="AD105" s="23">
        <f>IF(OR(AD$1="",$BM105=0),"",SUMIFS(Entries!$E$2:$E$5000,Entries!$C$2:$C$5000,"Actual",Entries!$A$2:$A$5000,"&gt;="&amp;$A105,Entries!$A$2:$A$5000,"&lt;"&amp;EDATE($A105,1),Entries!$B$2:$B$5000,AD$1))</f>
        <v/>
      </c>
      <c r="AE105" s="23">
        <f>IF(OR(AE$1="",$BM105=0),"",SUMIFS(Entries!$E$2:$E$5000,Entries!$C$2:$C$5000,"Actual",Entries!$A$2:$A$5000,"&gt;="&amp;$A105,Entries!$A$2:$A$5000,"&lt;"&amp;EDATE($A105,1),Entries!$B$2:$B$5000,AE$1))</f>
        <v/>
      </c>
      <c r="AF105" s="23">
        <f>IF(OR(AF$1="",$BM105=0),"",SUMIFS(Entries!$E$2:$E$5000,Entries!$C$2:$C$5000,"Actual",Entries!$A$2:$A$5000,"&gt;="&amp;$A105,Entries!$A$2:$A$5000,"&lt;"&amp;EDATE($A105,1),Entries!$B$2:$B$5000,AF$1))</f>
        <v/>
      </c>
      <c r="AG105" s="23">
        <f>IF(OR(AG$1="",$BM105=0),"",SUMIFS(Entries!$E$2:$E$5000,Entries!$C$2:$C$5000,"Actual",Entries!$A$2:$A$5000,"&gt;="&amp;$A105,Entries!$A$2:$A$5000,"&lt;"&amp;EDATE($A105,1),Entries!$B$2:$B$5000,AG$1))</f>
        <v/>
      </c>
      <c r="AH105" s="23">
        <f>IF(OR(AH$1="",$BM105=0),"",SUMIFS(Entries!$E$2:$E$5000,Entries!$C$2:$C$5000,"Actual",Entries!$A$2:$A$5000,"&gt;="&amp;$A105,Entries!$A$2:$A$5000,"&lt;"&amp;EDATE($A105,1),Entries!$B$2:$B$5000,AH$1))</f>
        <v/>
      </c>
      <c r="AI105" s="23">
        <f>IF(OR(AI$1="",$BM105=0),"",SUMIFS(Entries!$E$2:$E$5000,Entries!$C$2:$C$5000,"Actual",Entries!$A$2:$A$5000,"&gt;="&amp;$A105,Entries!$A$2:$A$5000,"&lt;"&amp;EDATE($A105,1),Entries!$B$2:$B$5000,AI$1))</f>
        <v/>
      </c>
      <c r="AJ105" s="23">
        <f>IF(OR(AJ$1="",$BM105=0),"",SUMIFS(Entries!$E$2:$E$5000,Entries!$C$2:$C$5000,"Actual",Entries!$A$2:$A$5000,"&gt;="&amp;$A105,Entries!$A$2:$A$5000,"&lt;"&amp;EDATE($A105,1),Entries!$B$2:$B$5000,AJ$1))</f>
        <v/>
      </c>
      <c r="AK105" s="23">
        <f>IF(OR(AK$1="",$BM105=0),"",SUMIFS(Entries!$E$2:$E$5000,Entries!$C$2:$C$5000,"Actual",Entries!$A$2:$A$5000,"&gt;="&amp;$A105,Entries!$A$2:$A$5000,"&lt;"&amp;EDATE($A105,1),Entries!$B$2:$B$5000,AK$1))</f>
        <v/>
      </c>
      <c r="AL105" s="23">
        <f>IF(OR(AL$1="",$BM105=0),"",SUMIFS(Entries!$E$2:$E$5000,Entries!$C$2:$C$5000,"Actual",Entries!$A$2:$A$5000,"&gt;="&amp;$A105,Entries!$A$2:$A$5000,"&lt;"&amp;EDATE($A105,1),Entries!$B$2:$B$5000,AL$1))</f>
        <v/>
      </c>
      <c r="AM105" s="23">
        <f>IF(OR(AM$1="",$BM105=0),"",SUMIFS(Entries!$E$2:$E$5000,Entries!$C$2:$C$5000,"Actual",Entries!$A$2:$A$5000,"&gt;="&amp;$A105,Entries!$A$2:$A$5000,"&lt;"&amp;EDATE($A105,1),Entries!$B$2:$B$5000,AM$1))</f>
        <v/>
      </c>
      <c r="AN105" s="23">
        <f>IF(OR(AN$1="",$BM105=0),"",SUMIFS(Entries!$E$2:$E$5000,Entries!$C$2:$C$5000,"Actual",Entries!$A$2:$A$5000,"&gt;="&amp;$A105,Entries!$A$2:$A$5000,"&lt;"&amp;EDATE($A105,1),Entries!$B$2:$B$5000,AN$1))</f>
        <v/>
      </c>
      <c r="AO105" s="23">
        <f>IF(OR(AO$1="",$BM105=0),"",SUMIFS(Entries!$E$2:$E$5000,Entries!$C$2:$C$5000,"Actual",Entries!$A$2:$A$5000,"&gt;="&amp;$A105,Entries!$A$2:$A$5000,"&lt;"&amp;EDATE($A105,1),Entries!$B$2:$B$5000,AO$1))</f>
        <v/>
      </c>
      <c r="AP105" s="23">
        <f>IF(OR(AP$1="",$BM105=0),"",SUMIFS(Entries!$E$2:$E$5000,Entries!$C$2:$C$5000,"Actual",Entries!$A$2:$A$5000,"&gt;="&amp;$A105,Entries!$A$2:$A$5000,"&lt;"&amp;EDATE($A105,1),Entries!$B$2:$B$5000,AP$1))</f>
        <v/>
      </c>
      <c r="AR105" s="23">
        <f>IF(OR(AR$1="",$BM105=0),"",IFERROR(LOOKUP(2,1/((Budgets!$A$2:$A$200=AR$1)*(Budgets!$B$2:$B$200&lt;EDATE($A105,1))),Budgets!$C$2:$C$200),0))</f>
        <v/>
      </c>
      <c r="AS105" s="23">
        <f>IF(OR(AS$1="",$BM105=0),"",IFERROR(LOOKUP(2,1/((Budgets!$A$2:$A$200=AS$1)*(Budgets!$B$2:$B$200&lt;EDATE($A105,1))),Budgets!$C$2:$C$200),0))</f>
        <v/>
      </c>
      <c r="AT105" s="23">
        <f>IF(OR(AT$1="",$BM105=0),"",IFERROR(LOOKUP(2,1/((Budgets!$A$2:$A$200=AT$1)*(Budgets!$B$2:$B$200&lt;EDATE($A105,1))),Budgets!$C$2:$C$200),0))</f>
        <v/>
      </c>
      <c r="AU105" s="23">
        <f>IF(OR(AU$1="",$BM105=0),"",IFERROR(LOOKUP(2,1/((Budgets!$A$2:$A$200=AU$1)*(Budgets!$B$2:$B$200&lt;EDATE($A105,1))),Budgets!$C$2:$C$200),0))</f>
        <v/>
      </c>
      <c r="AV105" s="23">
        <f>IF(OR(AV$1="",$BM105=0),"",IFERROR(LOOKUP(2,1/((Budgets!$A$2:$A$200=AV$1)*(Budgets!$B$2:$B$200&lt;EDATE($A105,1))),Budgets!$C$2:$C$200),0))</f>
        <v/>
      </c>
      <c r="AW105" s="23">
        <f>IF(OR(AW$1="",$BM105=0),"",IFERROR(LOOKUP(2,1/((Budgets!$A$2:$A$200=AW$1)*(Budgets!$B$2:$B$200&lt;EDATE($A105,1))),Budgets!$C$2:$C$200),0))</f>
        <v/>
      </c>
      <c r="AX105" s="23">
        <f>IF(OR(AX$1="",$BM105=0),"",IFERROR(LOOKUP(2,1/((Budgets!$A$2:$A$200=AX$1)*(Budgets!$B$2:$B$200&lt;EDATE($A105,1))),Budgets!$C$2:$C$200),0))</f>
        <v/>
      </c>
      <c r="AY105" s="23">
        <f>IF(OR(AY$1="",$BM105=0),"",IFERROR(LOOKUP(2,1/((Budgets!$A$2:$A$200=AY$1)*(Budgets!$B$2:$B$200&lt;EDATE($A105,1))),Budgets!$C$2:$C$200),0))</f>
        <v/>
      </c>
      <c r="AZ105" s="23">
        <f>IF(OR(AZ$1="",$BM105=0),"",IFERROR(LOOKUP(2,1/((Budgets!$A$2:$A$200=AZ$1)*(Budgets!$B$2:$B$200&lt;EDATE($A105,1))),Budgets!$C$2:$C$200),0))</f>
        <v/>
      </c>
      <c r="BA105" s="23">
        <f>IF(OR(BA$1="",$BM105=0),"",IFERROR(LOOKUP(2,1/((Budgets!$A$2:$A$200=BA$1)*(Budgets!$B$2:$B$200&lt;EDATE($A105,1))),Budgets!$C$2:$C$200),0))</f>
        <v/>
      </c>
      <c r="BB105" s="23">
        <f>IF(OR(BB$1="",$BM105=0),"",IFERROR(LOOKUP(2,1/((Budgets!$A$2:$A$200=BB$1)*(Budgets!$B$2:$B$200&lt;EDATE($A105,1))),Budgets!$C$2:$C$200),0))</f>
        <v/>
      </c>
      <c r="BC105" s="23">
        <f>IF(OR(BC$1="",$BM105=0),"",IFERROR(LOOKUP(2,1/((Budgets!$A$2:$A$200=BC$1)*(Budgets!$B$2:$B$200&lt;EDATE($A105,1))),Budgets!$C$2:$C$200),0))</f>
        <v/>
      </c>
      <c r="BD105" s="23">
        <f>IF(OR(BD$1="",$BM105=0),"",IFERROR(LOOKUP(2,1/((Budgets!$A$2:$A$200=BD$1)*(Budgets!$B$2:$B$200&lt;EDATE($A105,1))),Budgets!$C$2:$C$200),0))</f>
        <v/>
      </c>
      <c r="BE105" s="23">
        <f>IF(OR(BE$1="",$BM105=0),"",IFERROR(LOOKUP(2,1/((Budgets!$A$2:$A$200=BE$1)*(Budgets!$B$2:$B$200&lt;EDATE($A105,1))),Budgets!$C$2:$C$200),0))</f>
        <v/>
      </c>
      <c r="BF105" s="23">
        <f>IF(OR(BF$1="",$BM105=0),"",IFERROR(LOOKUP(2,1/((Budgets!$A$2:$A$200=BF$1)*(Budgets!$B$2:$B$200&lt;EDATE($A105,1))),Budgets!$C$2:$C$200),0))</f>
        <v/>
      </c>
      <c r="BG105" s="23">
        <f>IF(OR(BG$1="",$BM105=0),"",IFERROR(LOOKUP(2,1/((Budgets!$A$2:$A$200=BG$1)*(Budgets!$B$2:$B$200&lt;EDATE($A105,1))),Budgets!$C$2:$C$200),0))</f>
        <v/>
      </c>
      <c r="BH105" s="23">
        <f>IF(OR(BH$1="",$BM105=0),"",IFERROR(LOOKUP(2,1/((Budgets!$A$2:$A$200=BH$1)*(Budgets!$B$2:$B$200&lt;EDATE($A105,1))),Budgets!$C$2:$C$200),0))</f>
        <v/>
      </c>
      <c r="BI105" s="23">
        <f>IF(OR(BI$1="",$BM105=0),"",IFERROR(LOOKUP(2,1/((Budgets!$A$2:$A$200=BI$1)*(Budgets!$B$2:$B$200&lt;EDATE($A105,1))),Budgets!$C$2:$C$200),0))</f>
        <v/>
      </c>
      <c r="BJ105" s="23">
        <f>IF(OR(BJ$1="",$BM105=0),"",IFERROR(LOOKUP(2,1/((Budgets!$A$2:$A$200=BJ$1)*(Budgets!$B$2:$B$200&lt;EDATE($A105,1))),Budgets!$C$2:$C$200),0))</f>
        <v/>
      </c>
      <c r="BK105" s="23">
        <f>IF(OR(BK$1="",$BM105=0),"",IFERROR(LOOKUP(2,1/((Budgets!$A$2:$A$200=BK$1)*(Budgets!$B$2:$B$200&lt;EDATE($A105,1))),Budgets!$C$2:$C$200),0))</f>
        <v/>
      </c>
      <c r="BM105" s="21">
        <f>COUNTIFS(Entries!$A$2:$A$5000,"&gt;="&amp;$A105,Entries!$A$2:$A$5000,"&lt;"&amp;EDATE($A105,1))</f>
        <v/>
      </c>
    </row>
    <row r="106">
      <c r="A106" s="22" t="n">
        <v>42614</v>
      </c>
      <c r="B106" s="23">
        <f>IF($BM106=0,NA(),SUMIFS(Entries!$E$2:$E$5000,Entries!$C$2:$C$5000,"Income",Entries!$A$2:$A$5000,"&gt;="&amp;$A106,Entries!$A$2:$A$5000,"&lt;"&amp;EDATE($A106,1)))</f>
        <v/>
      </c>
      <c r="C106" s="23">
        <f>IF($BM106=0,"",SUMIFS(Entries!$E$2:$E$5000,Entries!$C$2:$C$5000,"Actual",Entries!$A$2:$A$5000,"&gt;="&amp;$A106,Entries!$A$2:$A$5000,"&lt;"&amp;EDATE($A106,1)))</f>
        <v/>
      </c>
      <c r="D106" s="23">
        <f>IF($BM106=0,"",SUMIFS(Entries!$E$2:$E$5000,Entries!$C$2:$C$5000,"One-off",Entries!$A$2:$A$5000,"&gt;="&amp;$A106,Entries!$A$2:$A$5000,"&lt;"&amp;EDATE($A106,1)))</f>
        <v/>
      </c>
      <c r="E106" s="23">
        <f>IF($BM106=0,NA(),C106+D106)</f>
        <v/>
      </c>
      <c r="F106" s="23">
        <f>IF($BM106=0,"",SUM(AR106:BK106))</f>
        <v/>
      </c>
      <c r="G106" s="23">
        <f>IF($BM106=0,"",B106-E106)</f>
        <v/>
      </c>
      <c r="H106" s="23">
        <f>IF($BM106=0,"",SUM($G$2:G106))</f>
        <v/>
      </c>
      <c r="I106" s="23">
        <f>IF($BM106=0,"",SUMIFS(Entries!$G$2:$G$5000,Entries!$A$2:$A$5000,"&gt;="&amp;$A106,Entries!$A$2:$A$5000,"&lt;"&amp;EDATE($A106,1)))</f>
        <v/>
      </c>
      <c r="J106" s="23">
        <f>IF($BM106=0,NA(),H106)</f>
        <v/>
      </c>
      <c r="K106" s="23">
        <f>IF($BM106=0,"",SUMIFS(Entries!$E$2:$E$5000,Entries!$C$2:$C$5000,"Income",Entries!$A$2:$A$5000,"&gt;="&amp;EDATE($A106,-11),Entries!$A$2:$A$5000,"&lt;"&amp;EDATE($A106,1))/COUNTIFS($A$2:$A$400,"&gt;="&amp;EDATE($A106,-11),$A$2:$A$400,"&lt;"&amp;EDATE($A106,1),$BM$2:$BM$400,"&gt;0"))</f>
      </c>
      <c r="L106" s="23">
        <f>IF($BM106=0,"",(SUMIFS(Entries!$E$2:$E$5000,Entries!$C$2:$C$5000,"Actual",Entries!$A$2:$A$5000,"&gt;="&amp;EDATE($A106,-11),Entries!$A$2:$A$5000,"&lt;"&amp;EDATE($A106,1))+SUMIFS(Entries!$E$2:$E$5000,Entries!$C$2:$C$5000,"One-off",Entries!$A$2:$A$5000,"&gt;="&amp;EDATE($A106,-11),Entries!$A$2:$A$5000,"&lt;"&amp;EDATE($A106,1)))/COUNTIFS($A$2:$A$400,"&gt;="&amp;EDATE($A106,-11),$A$2:$A$400,"&lt;"&amp;EDATE($A106,1),$BM$2:$BM$400,"&gt;0"))</f>
      </c>
      <c r="M106" s="24">
        <f>IF($BM106=0,NA(),IFERROR((K106-L106)/K106,0))</f>
        <v/>
      </c>
      <c r="N106" s="23">
        <f>IF($BM106=0,NA(),SUMIFS(Entries!$E$2:$E$5000,Entries!$D$2:$D$5000,"Core",Entries!$A$2:$A$5000,"&gt;="&amp;$A106,Entries!$A$2:$A$5000,"&lt;"&amp;EDATE($A106,1)))</f>
        <v/>
      </c>
      <c r="O106" s="23">
        <f>IF($BM106=0,NA(),SUMIFS(Entries!$E$2:$E$5000,Entries!$D$2:$D$5000,"Over &amp; above",Entries!$A$2:$A$5000,"&gt;="&amp;$A106,Entries!$A$2:$A$5000,"&lt;"&amp;EDATE($A106,1)))</f>
        <v/>
      </c>
      <c r="P106" s="23">
        <f>IF($BM106=0,NA(),SUMIFS(Entries!$E$2:$E$5000,Entries!$D$2:$D$5000,"One-off",Entries!$A$2:$A$5000,"&gt;="&amp;$A106,Entries!$A$2:$A$5000,"&lt;"&amp;EDATE($A106,1)))</f>
        <v/>
      </c>
      <c r="Q106" s="23">
        <f>IF($BM106=0,NA(),SUMIFS(Entries!$E$2:$E$5000,Entries!$D$2:$D$5000,"Reimbursable",Entries!$A$2:$A$5000,"&gt;="&amp;$A106,Entries!$A$2:$A$5000,"&lt;"&amp;EDATE($A106,1)))</f>
        <v/>
      </c>
      <c r="R106" s="23">
        <f>IF($BM106=0,NA(),SUMIFS(Entries!$E$2:$E$5000,Entries!$D$2:$D$5000,"Investment",Entries!$A$2:$A$5000,"&gt;="&amp;$A106,Entries!$A$2:$A$5000,"&lt;"&amp;EDATE($A106,1)))</f>
        <v/>
      </c>
      <c r="S106" s="23">
        <f>IF($BM106=0,NA(),N106+O106)</f>
        <v/>
      </c>
      <c r="T106" s="23">
        <f>IF($BM106=0,"",E106-Q106)</f>
        <v/>
      </c>
      <c r="W106" s="23">
        <f>IF(OR(W$1="",$BM106=0),"",SUMIFS(Entries!$E$2:$E$5000,Entries!$C$2:$C$5000,"Actual",Entries!$A$2:$A$5000,"&gt;="&amp;$A106,Entries!$A$2:$A$5000,"&lt;"&amp;EDATE($A106,1),Entries!$B$2:$B$5000,W$1))</f>
        <v/>
      </c>
      <c r="X106" s="23">
        <f>IF(OR(X$1="",$BM106=0),"",SUMIFS(Entries!$E$2:$E$5000,Entries!$C$2:$C$5000,"Actual",Entries!$A$2:$A$5000,"&gt;="&amp;$A106,Entries!$A$2:$A$5000,"&lt;"&amp;EDATE($A106,1),Entries!$B$2:$B$5000,X$1))</f>
        <v/>
      </c>
      <c r="Y106" s="23">
        <f>IF(OR(Y$1="",$BM106=0),"",SUMIFS(Entries!$E$2:$E$5000,Entries!$C$2:$C$5000,"Actual",Entries!$A$2:$A$5000,"&gt;="&amp;$A106,Entries!$A$2:$A$5000,"&lt;"&amp;EDATE($A106,1),Entries!$B$2:$B$5000,Y$1))</f>
        <v/>
      </c>
      <c r="Z106" s="23">
        <f>IF(OR(Z$1="",$BM106=0),"",SUMIFS(Entries!$E$2:$E$5000,Entries!$C$2:$C$5000,"Actual",Entries!$A$2:$A$5000,"&gt;="&amp;$A106,Entries!$A$2:$A$5000,"&lt;"&amp;EDATE($A106,1),Entries!$B$2:$B$5000,Z$1))</f>
        <v/>
      </c>
      <c r="AA106" s="23">
        <f>IF(OR(AA$1="",$BM106=0),"",SUMIFS(Entries!$E$2:$E$5000,Entries!$C$2:$C$5000,"Actual",Entries!$A$2:$A$5000,"&gt;="&amp;$A106,Entries!$A$2:$A$5000,"&lt;"&amp;EDATE($A106,1),Entries!$B$2:$B$5000,AA$1))</f>
        <v/>
      </c>
      <c r="AB106" s="23">
        <f>IF(OR(AB$1="",$BM106=0),"",SUMIFS(Entries!$E$2:$E$5000,Entries!$C$2:$C$5000,"Actual",Entries!$A$2:$A$5000,"&gt;="&amp;$A106,Entries!$A$2:$A$5000,"&lt;"&amp;EDATE($A106,1),Entries!$B$2:$B$5000,AB$1))</f>
        <v/>
      </c>
      <c r="AC106" s="23">
        <f>IF(OR(AC$1="",$BM106=0),"",SUMIFS(Entries!$E$2:$E$5000,Entries!$C$2:$C$5000,"Actual",Entries!$A$2:$A$5000,"&gt;="&amp;$A106,Entries!$A$2:$A$5000,"&lt;"&amp;EDATE($A106,1),Entries!$B$2:$B$5000,AC$1))</f>
        <v/>
      </c>
      <c r="AD106" s="23">
        <f>IF(OR(AD$1="",$BM106=0),"",SUMIFS(Entries!$E$2:$E$5000,Entries!$C$2:$C$5000,"Actual",Entries!$A$2:$A$5000,"&gt;="&amp;$A106,Entries!$A$2:$A$5000,"&lt;"&amp;EDATE($A106,1),Entries!$B$2:$B$5000,AD$1))</f>
        <v/>
      </c>
      <c r="AE106" s="23">
        <f>IF(OR(AE$1="",$BM106=0),"",SUMIFS(Entries!$E$2:$E$5000,Entries!$C$2:$C$5000,"Actual",Entries!$A$2:$A$5000,"&gt;="&amp;$A106,Entries!$A$2:$A$5000,"&lt;"&amp;EDATE($A106,1),Entries!$B$2:$B$5000,AE$1))</f>
        <v/>
      </c>
      <c r="AF106" s="23">
        <f>IF(OR(AF$1="",$BM106=0),"",SUMIFS(Entries!$E$2:$E$5000,Entries!$C$2:$C$5000,"Actual",Entries!$A$2:$A$5000,"&gt;="&amp;$A106,Entries!$A$2:$A$5000,"&lt;"&amp;EDATE($A106,1),Entries!$B$2:$B$5000,AF$1))</f>
        <v/>
      </c>
      <c r="AG106" s="23">
        <f>IF(OR(AG$1="",$BM106=0),"",SUMIFS(Entries!$E$2:$E$5000,Entries!$C$2:$C$5000,"Actual",Entries!$A$2:$A$5000,"&gt;="&amp;$A106,Entries!$A$2:$A$5000,"&lt;"&amp;EDATE($A106,1),Entries!$B$2:$B$5000,AG$1))</f>
        <v/>
      </c>
      <c r="AH106" s="23">
        <f>IF(OR(AH$1="",$BM106=0),"",SUMIFS(Entries!$E$2:$E$5000,Entries!$C$2:$C$5000,"Actual",Entries!$A$2:$A$5000,"&gt;="&amp;$A106,Entries!$A$2:$A$5000,"&lt;"&amp;EDATE($A106,1),Entries!$B$2:$B$5000,AH$1))</f>
        <v/>
      </c>
      <c r="AI106" s="23">
        <f>IF(OR(AI$1="",$BM106=0),"",SUMIFS(Entries!$E$2:$E$5000,Entries!$C$2:$C$5000,"Actual",Entries!$A$2:$A$5000,"&gt;="&amp;$A106,Entries!$A$2:$A$5000,"&lt;"&amp;EDATE($A106,1),Entries!$B$2:$B$5000,AI$1))</f>
        <v/>
      </c>
      <c r="AJ106" s="23">
        <f>IF(OR(AJ$1="",$BM106=0),"",SUMIFS(Entries!$E$2:$E$5000,Entries!$C$2:$C$5000,"Actual",Entries!$A$2:$A$5000,"&gt;="&amp;$A106,Entries!$A$2:$A$5000,"&lt;"&amp;EDATE($A106,1),Entries!$B$2:$B$5000,AJ$1))</f>
        <v/>
      </c>
      <c r="AK106" s="23">
        <f>IF(OR(AK$1="",$BM106=0),"",SUMIFS(Entries!$E$2:$E$5000,Entries!$C$2:$C$5000,"Actual",Entries!$A$2:$A$5000,"&gt;="&amp;$A106,Entries!$A$2:$A$5000,"&lt;"&amp;EDATE($A106,1),Entries!$B$2:$B$5000,AK$1))</f>
        <v/>
      </c>
      <c r="AL106" s="23">
        <f>IF(OR(AL$1="",$BM106=0),"",SUMIFS(Entries!$E$2:$E$5000,Entries!$C$2:$C$5000,"Actual",Entries!$A$2:$A$5000,"&gt;="&amp;$A106,Entries!$A$2:$A$5000,"&lt;"&amp;EDATE($A106,1),Entries!$B$2:$B$5000,AL$1))</f>
        <v/>
      </c>
      <c r="AM106" s="23">
        <f>IF(OR(AM$1="",$BM106=0),"",SUMIFS(Entries!$E$2:$E$5000,Entries!$C$2:$C$5000,"Actual",Entries!$A$2:$A$5000,"&gt;="&amp;$A106,Entries!$A$2:$A$5000,"&lt;"&amp;EDATE($A106,1),Entries!$B$2:$B$5000,AM$1))</f>
        <v/>
      </c>
      <c r="AN106" s="23">
        <f>IF(OR(AN$1="",$BM106=0),"",SUMIFS(Entries!$E$2:$E$5000,Entries!$C$2:$C$5000,"Actual",Entries!$A$2:$A$5000,"&gt;="&amp;$A106,Entries!$A$2:$A$5000,"&lt;"&amp;EDATE($A106,1),Entries!$B$2:$B$5000,AN$1))</f>
        <v/>
      </c>
      <c r="AO106" s="23">
        <f>IF(OR(AO$1="",$BM106=0),"",SUMIFS(Entries!$E$2:$E$5000,Entries!$C$2:$C$5000,"Actual",Entries!$A$2:$A$5000,"&gt;="&amp;$A106,Entries!$A$2:$A$5000,"&lt;"&amp;EDATE($A106,1),Entries!$B$2:$B$5000,AO$1))</f>
        <v/>
      </c>
      <c r="AP106" s="23">
        <f>IF(OR(AP$1="",$BM106=0),"",SUMIFS(Entries!$E$2:$E$5000,Entries!$C$2:$C$5000,"Actual",Entries!$A$2:$A$5000,"&gt;="&amp;$A106,Entries!$A$2:$A$5000,"&lt;"&amp;EDATE($A106,1),Entries!$B$2:$B$5000,AP$1))</f>
        <v/>
      </c>
      <c r="AR106" s="23">
        <f>IF(OR(AR$1="",$BM106=0),"",IFERROR(LOOKUP(2,1/((Budgets!$A$2:$A$200=AR$1)*(Budgets!$B$2:$B$200&lt;EDATE($A106,1))),Budgets!$C$2:$C$200),0))</f>
        <v/>
      </c>
      <c r="AS106" s="23">
        <f>IF(OR(AS$1="",$BM106=0),"",IFERROR(LOOKUP(2,1/((Budgets!$A$2:$A$200=AS$1)*(Budgets!$B$2:$B$200&lt;EDATE($A106,1))),Budgets!$C$2:$C$200),0))</f>
        <v/>
      </c>
      <c r="AT106" s="23">
        <f>IF(OR(AT$1="",$BM106=0),"",IFERROR(LOOKUP(2,1/((Budgets!$A$2:$A$200=AT$1)*(Budgets!$B$2:$B$200&lt;EDATE($A106,1))),Budgets!$C$2:$C$200),0))</f>
        <v/>
      </c>
      <c r="AU106" s="23">
        <f>IF(OR(AU$1="",$BM106=0),"",IFERROR(LOOKUP(2,1/((Budgets!$A$2:$A$200=AU$1)*(Budgets!$B$2:$B$200&lt;EDATE($A106,1))),Budgets!$C$2:$C$200),0))</f>
        <v/>
      </c>
      <c r="AV106" s="23">
        <f>IF(OR(AV$1="",$BM106=0),"",IFERROR(LOOKUP(2,1/((Budgets!$A$2:$A$200=AV$1)*(Budgets!$B$2:$B$200&lt;EDATE($A106,1))),Budgets!$C$2:$C$200),0))</f>
        <v/>
      </c>
      <c r="AW106" s="23">
        <f>IF(OR(AW$1="",$BM106=0),"",IFERROR(LOOKUP(2,1/((Budgets!$A$2:$A$200=AW$1)*(Budgets!$B$2:$B$200&lt;EDATE($A106,1))),Budgets!$C$2:$C$200),0))</f>
        <v/>
      </c>
      <c r="AX106" s="23">
        <f>IF(OR(AX$1="",$BM106=0),"",IFERROR(LOOKUP(2,1/((Budgets!$A$2:$A$200=AX$1)*(Budgets!$B$2:$B$200&lt;EDATE($A106,1))),Budgets!$C$2:$C$200),0))</f>
        <v/>
      </c>
      <c r="AY106" s="23">
        <f>IF(OR(AY$1="",$BM106=0),"",IFERROR(LOOKUP(2,1/((Budgets!$A$2:$A$200=AY$1)*(Budgets!$B$2:$B$200&lt;EDATE($A106,1))),Budgets!$C$2:$C$200),0))</f>
        <v/>
      </c>
      <c r="AZ106" s="23">
        <f>IF(OR(AZ$1="",$BM106=0),"",IFERROR(LOOKUP(2,1/((Budgets!$A$2:$A$200=AZ$1)*(Budgets!$B$2:$B$200&lt;EDATE($A106,1))),Budgets!$C$2:$C$200),0))</f>
        <v/>
      </c>
      <c r="BA106" s="23">
        <f>IF(OR(BA$1="",$BM106=0),"",IFERROR(LOOKUP(2,1/((Budgets!$A$2:$A$200=BA$1)*(Budgets!$B$2:$B$200&lt;EDATE($A106,1))),Budgets!$C$2:$C$200),0))</f>
        <v/>
      </c>
      <c r="BB106" s="23">
        <f>IF(OR(BB$1="",$BM106=0),"",IFERROR(LOOKUP(2,1/((Budgets!$A$2:$A$200=BB$1)*(Budgets!$B$2:$B$200&lt;EDATE($A106,1))),Budgets!$C$2:$C$200),0))</f>
        <v/>
      </c>
      <c r="BC106" s="23">
        <f>IF(OR(BC$1="",$BM106=0),"",IFERROR(LOOKUP(2,1/((Budgets!$A$2:$A$200=BC$1)*(Budgets!$B$2:$B$200&lt;EDATE($A106,1))),Budgets!$C$2:$C$200),0))</f>
        <v/>
      </c>
      <c r="BD106" s="23">
        <f>IF(OR(BD$1="",$BM106=0),"",IFERROR(LOOKUP(2,1/((Budgets!$A$2:$A$200=BD$1)*(Budgets!$B$2:$B$200&lt;EDATE($A106,1))),Budgets!$C$2:$C$200),0))</f>
        <v/>
      </c>
      <c r="BE106" s="23">
        <f>IF(OR(BE$1="",$BM106=0),"",IFERROR(LOOKUP(2,1/((Budgets!$A$2:$A$200=BE$1)*(Budgets!$B$2:$B$200&lt;EDATE($A106,1))),Budgets!$C$2:$C$200),0))</f>
        <v/>
      </c>
      <c r="BF106" s="23">
        <f>IF(OR(BF$1="",$BM106=0),"",IFERROR(LOOKUP(2,1/((Budgets!$A$2:$A$200=BF$1)*(Budgets!$B$2:$B$200&lt;EDATE($A106,1))),Budgets!$C$2:$C$200),0))</f>
        <v/>
      </c>
      <c r="BG106" s="23">
        <f>IF(OR(BG$1="",$BM106=0),"",IFERROR(LOOKUP(2,1/((Budgets!$A$2:$A$200=BG$1)*(Budgets!$B$2:$B$200&lt;EDATE($A106,1))),Budgets!$C$2:$C$200),0))</f>
        <v/>
      </c>
      <c r="BH106" s="23">
        <f>IF(OR(BH$1="",$BM106=0),"",IFERROR(LOOKUP(2,1/((Budgets!$A$2:$A$200=BH$1)*(Budgets!$B$2:$B$200&lt;EDATE($A106,1))),Budgets!$C$2:$C$200),0))</f>
        <v/>
      </c>
      <c r="BI106" s="23">
        <f>IF(OR(BI$1="",$BM106=0),"",IFERROR(LOOKUP(2,1/((Budgets!$A$2:$A$200=BI$1)*(Budgets!$B$2:$B$200&lt;EDATE($A106,1))),Budgets!$C$2:$C$200),0))</f>
        <v/>
      </c>
      <c r="BJ106" s="23">
        <f>IF(OR(BJ$1="",$BM106=0),"",IFERROR(LOOKUP(2,1/((Budgets!$A$2:$A$200=BJ$1)*(Budgets!$B$2:$B$200&lt;EDATE($A106,1))),Budgets!$C$2:$C$200),0))</f>
        <v/>
      </c>
      <c r="BK106" s="23">
        <f>IF(OR(BK$1="",$BM106=0),"",IFERROR(LOOKUP(2,1/((Budgets!$A$2:$A$200=BK$1)*(Budgets!$B$2:$B$200&lt;EDATE($A106,1))),Budgets!$C$2:$C$200),0))</f>
        <v/>
      </c>
      <c r="BM106" s="21">
        <f>COUNTIFS(Entries!$A$2:$A$5000,"&gt;="&amp;$A106,Entries!$A$2:$A$5000,"&lt;"&amp;EDATE($A106,1))</f>
        <v/>
      </c>
    </row>
    <row r="107">
      <c r="A107" s="22" t="n">
        <v>42644</v>
      </c>
      <c r="B107" s="23">
        <f>IF($BM107=0,NA(),SUMIFS(Entries!$E$2:$E$5000,Entries!$C$2:$C$5000,"Income",Entries!$A$2:$A$5000,"&gt;="&amp;$A107,Entries!$A$2:$A$5000,"&lt;"&amp;EDATE($A107,1)))</f>
        <v/>
      </c>
      <c r="C107" s="23">
        <f>IF($BM107=0,"",SUMIFS(Entries!$E$2:$E$5000,Entries!$C$2:$C$5000,"Actual",Entries!$A$2:$A$5000,"&gt;="&amp;$A107,Entries!$A$2:$A$5000,"&lt;"&amp;EDATE($A107,1)))</f>
        <v/>
      </c>
      <c r="D107" s="23">
        <f>IF($BM107=0,"",SUMIFS(Entries!$E$2:$E$5000,Entries!$C$2:$C$5000,"One-off",Entries!$A$2:$A$5000,"&gt;="&amp;$A107,Entries!$A$2:$A$5000,"&lt;"&amp;EDATE($A107,1)))</f>
        <v/>
      </c>
      <c r="E107" s="23">
        <f>IF($BM107=0,NA(),C107+D107)</f>
        <v/>
      </c>
      <c r="F107" s="23">
        <f>IF($BM107=0,"",SUM(AR107:BK107))</f>
        <v/>
      </c>
      <c r="G107" s="23">
        <f>IF($BM107=0,"",B107-E107)</f>
        <v/>
      </c>
      <c r="H107" s="23">
        <f>IF($BM107=0,"",SUM($G$2:G107))</f>
        <v/>
      </c>
      <c r="I107" s="23">
        <f>IF($BM107=0,"",SUMIFS(Entries!$G$2:$G$5000,Entries!$A$2:$A$5000,"&gt;="&amp;$A107,Entries!$A$2:$A$5000,"&lt;"&amp;EDATE($A107,1)))</f>
        <v/>
      </c>
      <c r="J107" s="23">
        <f>IF($BM107=0,NA(),H107)</f>
        <v/>
      </c>
      <c r="K107" s="23">
        <f>IF($BM107=0,"",SUMIFS(Entries!$E$2:$E$5000,Entries!$C$2:$C$5000,"Income",Entries!$A$2:$A$5000,"&gt;="&amp;EDATE($A107,-11),Entries!$A$2:$A$5000,"&lt;"&amp;EDATE($A107,1))/COUNTIFS($A$2:$A$400,"&gt;="&amp;EDATE($A107,-11),$A$2:$A$400,"&lt;"&amp;EDATE($A107,1),$BM$2:$BM$400,"&gt;0"))</f>
      </c>
      <c r="L107" s="23">
        <f>IF($BM107=0,"",(SUMIFS(Entries!$E$2:$E$5000,Entries!$C$2:$C$5000,"Actual",Entries!$A$2:$A$5000,"&gt;="&amp;EDATE($A107,-11),Entries!$A$2:$A$5000,"&lt;"&amp;EDATE($A107,1))+SUMIFS(Entries!$E$2:$E$5000,Entries!$C$2:$C$5000,"One-off",Entries!$A$2:$A$5000,"&gt;="&amp;EDATE($A107,-11),Entries!$A$2:$A$5000,"&lt;"&amp;EDATE($A107,1)))/COUNTIFS($A$2:$A$400,"&gt;="&amp;EDATE($A107,-11),$A$2:$A$400,"&lt;"&amp;EDATE($A107,1),$BM$2:$BM$400,"&gt;0"))</f>
      </c>
      <c r="M107" s="24">
        <f>IF($BM107=0,NA(),IFERROR((K107-L107)/K107,0))</f>
        <v/>
      </c>
      <c r="N107" s="23">
        <f>IF($BM107=0,NA(),SUMIFS(Entries!$E$2:$E$5000,Entries!$D$2:$D$5000,"Core",Entries!$A$2:$A$5000,"&gt;="&amp;$A107,Entries!$A$2:$A$5000,"&lt;"&amp;EDATE($A107,1)))</f>
        <v/>
      </c>
      <c r="O107" s="23">
        <f>IF($BM107=0,NA(),SUMIFS(Entries!$E$2:$E$5000,Entries!$D$2:$D$5000,"Over &amp; above",Entries!$A$2:$A$5000,"&gt;="&amp;$A107,Entries!$A$2:$A$5000,"&lt;"&amp;EDATE($A107,1)))</f>
        <v/>
      </c>
      <c r="P107" s="23">
        <f>IF($BM107=0,NA(),SUMIFS(Entries!$E$2:$E$5000,Entries!$D$2:$D$5000,"One-off",Entries!$A$2:$A$5000,"&gt;="&amp;$A107,Entries!$A$2:$A$5000,"&lt;"&amp;EDATE($A107,1)))</f>
        <v/>
      </c>
      <c r="Q107" s="23">
        <f>IF($BM107=0,NA(),SUMIFS(Entries!$E$2:$E$5000,Entries!$D$2:$D$5000,"Reimbursable",Entries!$A$2:$A$5000,"&gt;="&amp;$A107,Entries!$A$2:$A$5000,"&lt;"&amp;EDATE($A107,1)))</f>
        <v/>
      </c>
      <c r="R107" s="23">
        <f>IF($BM107=0,NA(),SUMIFS(Entries!$E$2:$E$5000,Entries!$D$2:$D$5000,"Investment",Entries!$A$2:$A$5000,"&gt;="&amp;$A107,Entries!$A$2:$A$5000,"&lt;"&amp;EDATE($A107,1)))</f>
        <v/>
      </c>
      <c r="S107" s="23">
        <f>IF($BM107=0,NA(),N107+O107)</f>
        <v/>
      </c>
      <c r="T107" s="23">
        <f>IF($BM107=0,"",E107-Q107)</f>
        <v/>
      </c>
      <c r="W107" s="23">
        <f>IF(OR(W$1="",$BM107=0),"",SUMIFS(Entries!$E$2:$E$5000,Entries!$C$2:$C$5000,"Actual",Entries!$A$2:$A$5000,"&gt;="&amp;$A107,Entries!$A$2:$A$5000,"&lt;"&amp;EDATE($A107,1),Entries!$B$2:$B$5000,W$1))</f>
        <v/>
      </c>
      <c r="X107" s="23">
        <f>IF(OR(X$1="",$BM107=0),"",SUMIFS(Entries!$E$2:$E$5000,Entries!$C$2:$C$5000,"Actual",Entries!$A$2:$A$5000,"&gt;="&amp;$A107,Entries!$A$2:$A$5000,"&lt;"&amp;EDATE($A107,1),Entries!$B$2:$B$5000,X$1))</f>
        <v/>
      </c>
      <c r="Y107" s="23">
        <f>IF(OR(Y$1="",$BM107=0),"",SUMIFS(Entries!$E$2:$E$5000,Entries!$C$2:$C$5000,"Actual",Entries!$A$2:$A$5000,"&gt;="&amp;$A107,Entries!$A$2:$A$5000,"&lt;"&amp;EDATE($A107,1),Entries!$B$2:$B$5000,Y$1))</f>
        <v/>
      </c>
      <c r="Z107" s="23">
        <f>IF(OR(Z$1="",$BM107=0),"",SUMIFS(Entries!$E$2:$E$5000,Entries!$C$2:$C$5000,"Actual",Entries!$A$2:$A$5000,"&gt;="&amp;$A107,Entries!$A$2:$A$5000,"&lt;"&amp;EDATE($A107,1),Entries!$B$2:$B$5000,Z$1))</f>
        <v/>
      </c>
      <c r="AA107" s="23">
        <f>IF(OR(AA$1="",$BM107=0),"",SUMIFS(Entries!$E$2:$E$5000,Entries!$C$2:$C$5000,"Actual",Entries!$A$2:$A$5000,"&gt;="&amp;$A107,Entries!$A$2:$A$5000,"&lt;"&amp;EDATE($A107,1),Entries!$B$2:$B$5000,AA$1))</f>
        <v/>
      </c>
      <c r="AB107" s="23">
        <f>IF(OR(AB$1="",$BM107=0),"",SUMIFS(Entries!$E$2:$E$5000,Entries!$C$2:$C$5000,"Actual",Entries!$A$2:$A$5000,"&gt;="&amp;$A107,Entries!$A$2:$A$5000,"&lt;"&amp;EDATE($A107,1),Entries!$B$2:$B$5000,AB$1))</f>
        <v/>
      </c>
      <c r="AC107" s="23">
        <f>IF(OR(AC$1="",$BM107=0),"",SUMIFS(Entries!$E$2:$E$5000,Entries!$C$2:$C$5000,"Actual",Entries!$A$2:$A$5000,"&gt;="&amp;$A107,Entries!$A$2:$A$5000,"&lt;"&amp;EDATE($A107,1),Entries!$B$2:$B$5000,AC$1))</f>
        <v/>
      </c>
      <c r="AD107" s="23">
        <f>IF(OR(AD$1="",$BM107=0),"",SUMIFS(Entries!$E$2:$E$5000,Entries!$C$2:$C$5000,"Actual",Entries!$A$2:$A$5000,"&gt;="&amp;$A107,Entries!$A$2:$A$5000,"&lt;"&amp;EDATE($A107,1),Entries!$B$2:$B$5000,AD$1))</f>
        <v/>
      </c>
      <c r="AE107" s="23">
        <f>IF(OR(AE$1="",$BM107=0),"",SUMIFS(Entries!$E$2:$E$5000,Entries!$C$2:$C$5000,"Actual",Entries!$A$2:$A$5000,"&gt;="&amp;$A107,Entries!$A$2:$A$5000,"&lt;"&amp;EDATE($A107,1),Entries!$B$2:$B$5000,AE$1))</f>
        <v/>
      </c>
      <c r="AF107" s="23">
        <f>IF(OR(AF$1="",$BM107=0),"",SUMIFS(Entries!$E$2:$E$5000,Entries!$C$2:$C$5000,"Actual",Entries!$A$2:$A$5000,"&gt;="&amp;$A107,Entries!$A$2:$A$5000,"&lt;"&amp;EDATE($A107,1),Entries!$B$2:$B$5000,AF$1))</f>
        <v/>
      </c>
      <c r="AG107" s="23">
        <f>IF(OR(AG$1="",$BM107=0),"",SUMIFS(Entries!$E$2:$E$5000,Entries!$C$2:$C$5000,"Actual",Entries!$A$2:$A$5000,"&gt;="&amp;$A107,Entries!$A$2:$A$5000,"&lt;"&amp;EDATE($A107,1),Entries!$B$2:$B$5000,AG$1))</f>
        <v/>
      </c>
      <c r="AH107" s="23">
        <f>IF(OR(AH$1="",$BM107=0),"",SUMIFS(Entries!$E$2:$E$5000,Entries!$C$2:$C$5000,"Actual",Entries!$A$2:$A$5000,"&gt;="&amp;$A107,Entries!$A$2:$A$5000,"&lt;"&amp;EDATE($A107,1),Entries!$B$2:$B$5000,AH$1))</f>
        <v/>
      </c>
      <c r="AI107" s="23">
        <f>IF(OR(AI$1="",$BM107=0),"",SUMIFS(Entries!$E$2:$E$5000,Entries!$C$2:$C$5000,"Actual",Entries!$A$2:$A$5000,"&gt;="&amp;$A107,Entries!$A$2:$A$5000,"&lt;"&amp;EDATE($A107,1),Entries!$B$2:$B$5000,AI$1))</f>
        <v/>
      </c>
      <c r="AJ107" s="23">
        <f>IF(OR(AJ$1="",$BM107=0),"",SUMIFS(Entries!$E$2:$E$5000,Entries!$C$2:$C$5000,"Actual",Entries!$A$2:$A$5000,"&gt;="&amp;$A107,Entries!$A$2:$A$5000,"&lt;"&amp;EDATE($A107,1),Entries!$B$2:$B$5000,AJ$1))</f>
        <v/>
      </c>
      <c r="AK107" s="23">
        <f>IF(OR(AK$1="",$BM107=0),"",SUMIFS(Entries!$E$2:$E$5000,Entries!$C$2:$C$5000,"Actual",Entries!$A$2:$A$5000,"&gt;="&amp;$A107,Entries!$A$2:$A$5000,"&lt;"&amp;EDATE($A107,1),Entries!$B$2:$B$5000,AK$1))</f>
        <v/>
      </c>
      <c r="AL107" s="23">
        <f>IF(OR(AL$1="",$BM107=0),"",SUMIFS(Entries!$E$2:$E$5000,Entries!$C$2:$C$5000,"Actual",Entries!$A$2:$A$5000,"&gt;="&amp;$A107,Entries!$A$2:$A$5000,"&lt;"&amp;EDATE($A107,1),Entries!$B$2:$B$5000,AL$1))</f>
        <v/>
      </c>
      <c r="AM107" s="23">
        <f>IF(OR(AM$1="",$BM107=0),"",SUMIFS(Entries!$E$2:$E$5000,Entries!$C$2:$C$5000,"Actual",Entries!$A$2:$A$5000,"&gt;="&amp;$A107,Entries!$A$2:$A$5000,"&lt;"&amp;EDATE($A107,1),Entries!$B$2:$B$5000,AM$1))</f>
        <v/>
      </c>
      <c r="AN107" s="23">
        <f>IF(OR(AN$1="",$BM107=0),"",SUMIFS(Entries!$E$2:$E$5000,Entries!$C$2:$C$5000,"Actual",Entries!$A$2:$A$5000,"&gt;="&amp;$A107,Entries!$A$2:$A$5000,"&lt;"&amp;EDATE($A107,1),Entries!$B$2:$B$5000,AN$1))</f>
        <v/>
      </c>
      <c r="AO107" s="23">
        <f>IF(OR(AO$1="",$BM107=0),"",SUMIFS(Entries!$E$2:$E$5000,Entries!$C$2:$C$5000,"Actual",Entries!$A$2:$A$5000,"&gt;="&amp;$A107,Entries!$A$2:$A$5000,"&lt;"&amp;EDATE($A107,1),Entries!$B$2:$B$5000,AO$1))</f>
        <v/>
      </c>
      <c r="AP107" s="23">
        <f>IF(OR(AP$1="",$BM107=0),"",SUMIFS(Entries!$E$2:$E$5000,Entries!$C$2:$C$5000,"Actual",Entries!$A$2:$A$5000,"&gt;="&amp;$A107,Entries!$A$2:$A$5000,"&lt;"&amp;EDATE($A107,1),Entries!$B$2:$B$5000,AP$1))</f>
        <v/>
      </c>
      <c r="AR107" s="23">
        <f>IF(OR(AR$1="",$BM107=0),"",IFERROR(LOOKUP(2,1/((Budgets!$A$2:$A$200=AR$1)*(Budgets!$B$2:$B$200&lt;EDATE($A107,1))),Budgets!$C$2:$C$200),0))</f>
        <v/>
      </c>
      <c r="AS107" s="23">
        <f>IF(OR(AS$1="",$BM107=0),"",IFERROR(LOOKUP(2,1/((Budgets!$A$2:$A$200=AS$1)*(Budgets!$B$2:$B$200&lt;EDATE($A107,1))),Budgets!$C$2:$C$200),0))</f>
        <v/>
      </c>
      <c r="AT107" s="23">
        <f>IF(OR(AT$1="",$BM107=0),"",IFERROR(LOOKUP(2,1/((Budgets!$A$2:$A$200=AT$1)*(Budgets!$B$2:$B$200&lt;EDATE($A107,1))),Budgets!$C$2:$C$200),0))</f>
        <v/>
      </c>
      <c r="AU107" s="23">
        <f>IF(OR(AU$1="",$BM107=0),"",IFERROR(LOOKUP(2,1/((Budgets!$A$2:$A$200=AU$1)*(Budgets!$B$2:$B$200&lt;EDATE($A107,1))),Budgets!$C$2:$C$200),0))</f>
        <v/>
      </c>
      <c r="AV107" s="23">
        <f>IF(OR(AV$1="",$BM107=0),"",IFERROR(LOOKUP(2,1/((Budgets!$A$2:$A$200=AV$1)*(Budgets!$B$2:$B$200&lt;EDATE($A107,1))),Budgets!$C$2:$C$200),0))</f>
        <v/>
      </c>
      <c r="AW107" s="23">
        <f>IF(OR(AW$1="",$BM107=0),"",IFERROR(LOOKUP(2,1/((Budgets!$A$2:$A$200=AW$1)*(Budgets!$B$2:$B$200&lt;EDATE($A107,1))),Budgets!$C$2:$C$200),0))</f>
        <v/>
      </c>
      <c r="AX107" s="23">
        <f>IF(OR(AX$1="",$BM107=0),"",IFERROR(LOOKUP(2,1/((Budgets!$A$2:$A$200=AX$1)*(Budgets!$B$2:$B$200&lt;EDATE($A107,1))),Budgets!$C$2:$C$200),0))</f>
        <v/>
      </c>
      <c r="AY107" s="23">
        <f>IF(OR(AY$1="",$BM107=0),"",IFERROR(LOOKUP(2,1/((Budgets!$A$2:$A$200=AY$1)*(Budgets!$B$2:$B$200&lt;EDATE($A107,1))),Budgets!$C$2:$C$200),0))</f>
        <v/>
      </c>
      <c r="AZ107" s="23">
        <f>IF(OR(AZ$1="",$BM107=0),"",IFERROR(LOOKUP(2,1/((Budgets!$A$2:$A$200=AZ$1)*(Budgets!$B$2:$B$200&lt;EDATE($A107,1))),Budgets!$C$2:$C$200),0))</f>
        <v/>
      </c>
      <c r="BA107" s="23">
        <f>IF(OR(BA$1="",$BM107=0),"",IFERROR(LOOKUP(2,1/((Budgets!$A$2:$A$200=BA$1)*(Budgets!$B$2:$B$200&lt;EDATE($A107,1))),Budgets!$C$2:$C$200),0))</f>
        <v/>
      </c>
      <c r="BB107" s="23">
        <f>IF(OR(BB$1="",$BM107=0),"",IFERROR(LOOKUP(2,1/((Budgets!$A$2:$A$200=BB$1)*(Budgets!$B$2:$B$200&lt;EDATE($A107,1))),Budgets!$C$2:$C$200),0))</f>
        <v/>
      </c>
      <c r="BC107" s="23">
        <f>IF(OR(BC$1="",$BM107=0),"",IFERROR(LOOKUP(2,1/((Budgets!$A$2:$A$200=BC$1)*(Budgets!$B$2:$B$200&lt;EDATE($A107,1))),Budgets!$C$2:$C$200),0))</f>
        <v/>
      </c>
      <c r="BD107" s="23">
        <f>IF(OR(BD$1="",$BM107=0),"",IFERROR(LOOKUP(2,1/((Budgets!$A$2:$A$200=BD$1)*(Budgets!$B$2:$B$200&lt;EDATE($A107,1))),Budgets!$C$2:$C$200),0))</f>
        <v/>
      </c>
      <c r="BE107" s="23">
        <f>IF(OR(BE$1="",$BM107=0),"",IFERROR(LOOKUP(2,1/((Budgets!$A$2:$A$200=BE$1)*(Budgets!$B$2:$B$200&lt;EDATE($A107,1))),Budgets!$C$2:$C$200),0))</f>
        <v/>
      </c>
      <c r="BF107" s="23">
        <f>IF(OR(BF$1="",$BM107=0),"",IFERROR(LOOKUP(2,1/((Budgets!$A$2:$A$200=BF$1)*(Budgets!$B$2:$B$200&lt;EDATE($A107,1))),Budgets!$C$2:$C$200),0))</f>
        <v/>
      </c>
      <c r="BG107" s="23">
        <f>IF(OR(BG$1="",$BM107=0),"",IFERROR(LOOKUP(2,1/((Budgets!$A$2:$A$200=BG$1)*(Budgets!$B$2:$B$200&lt;EDATE($A107,1))),Budgets!$C$2:$C$200),0))</f>
        <v/>
      </c>
      <c r="BH107" s="23">
        <f>IF(OR(BH$1="",$BM107=0),"",IFERROR(LOOKUP(2,1/((Budgets!$A$2:$A$200=BH$1)*(Budgets!$B$2:$B$200&lt;EDATE($A107,1))),Budgets!$C$2:$C$200),0))</f>
        <v/>
      </c>
      <c r="BI107" s="23">
        <f>IF(OR(BI$1="",$BM107=0),"",IFERROR(LOOKUP(2,1/((Budgets!$A$2:$A$200=BI$1)*(Budgets!$B$2:$B$200&lt;EDATE($A107,1))),Budgets!$C$2:$C$200),0))</f>
        <v/>
      </c>
      <c r="BJ107" s="23">
        <f>IF(OR(BJ$1="",$BM107=0),"",IFERROR(LOOKUP(2,1/((Budgets!$A$2:$A$200=BJ$1)*(Budgets!$B$2:$B$200&lt;EDATE($A107,1))),Budgets!$C$2:$C$200),0))</f>
        <v/>
      </c>
      <c r="BK107" s="23">
        <f>IF(OR(BK$1="",$BM107=0),"",IFERROR(LOOKUP(2,1/((Budgets!$A$2:$A$200=BK$1)*(Budgets!$B$2:$B$200&lt;EDATE($A107,1))),Budgets!$C$2:$C$200),0))</f>
        <v/>
      </c>
      <c r="BM107" s="21">
        <f>COUNTIFS(Entries!$A$2:$A$5000,"&gt;="&amp;$A107,Entries!$A$2:$A$5000,"&lt;"&amp;EDATE($A107,1))</f>
        <v/>
      </c>
    </row>
    <row r="108">
      <c r="A108" s="22" t="n">
        <v>42675</v>
      </c>
      <c r="B108" s="23">
        <f>IF($BM108=0,NA(),SUMIFS(Entries!$E$2:$E$5000,Entries!$C$2:$C$5000,"Income",Entries!$A$2:$A$5000,"&gt;="&amp;$A108,Entries!$A$2:$A$5000,"&lt;"&amp;EDATE($A108,1)))</f>
        <v/>
      </c>
      <c r="C108" s="23">
        <f>IF($BM108=0,"",SUMIFS(Entries!$E$2:$E$5000,Entries!$C$2:$C$5000,"Actual",Entries!$A$2:$A$5000,"&gt;="&amp;$A108,Entries!$A$2:$A$5000,"&lt;"&amp;EDATE($A108,1)))</f>
        <v/>
      </c>
      <c r="D108" s="23">
        <f>IF($BM108=0,"",SUMIFS(Entries!$E$2:$E$5000,Entries!$C$2:$C$5000,"One-off",Entries!$A$2:$A$5000,"&gt;="&amp;$A108,Entries!$A$2:$A$5000,"&lt;"&amp;EDATE($A108,1)))</f>
        <v/>
      </c>
      <c r="E108" s="23">
        <f>IF($BM108=0,NA(),C108+D108)</f>
        <v/>
      </c>
      <c r="F108" s="23">
        <f>IF($BM108=0,"",SUM(AR108:BK108))</f>
        <v/>
      </c>
      <c r="G108" s="23">
        <f>IF($BM108=0,"",B108-E108)</f>
        <v/>
      </c>
      <c r="H108" s="23">
        <f>IF($BM108=0,"",SUM($G$2:G108))</f>
        <v/>
      </c>
      <c r="I108" s="23">
        <f>IF($BM108=0,"",SUMIFS(Entries!$G$2:$G$5000,Entries!$A$2:$A$5000,"&gt;="&amp;$A108,Entries!$A$2:$A$5000,"&lt;"&amp;EDATE($A108,1)))</f>
        <v/>
      </c>
      <c r="J108" s="23">
        <f>IF($BM108=0,NA(),H108)</f>
        <v/>
      </c>
      <c r="K108" s="23">
        <f>IF($BM108=0,"",SUMIFS(Entries!$E$2:$E$5000,Entries!$C$2:$C$5000,"Income",Entries!$A$2:$A$5000,"&gt;="&amp;EDATE($A108,-11),Entries!$A$2:$A$5000,"&lt;"&amp;EDATE($A108,1))/COUNTIFS($A$2:$A$400,"&gt;="&amp;EDATE($A108,-11),$A$2:$A$400,"&lt;"&amp;EDATE($A108,1),$BM$2:$BM$400,"&gt;0"))</f>
      </c>
      <c r="L108" s="23">
        <f>IF($BM108=0,"",(SUMIFS(Entries!$E$2:$E$5000,Entries!$C$2:$C$5000,"Actual",Entries!$A$2:$A$5000,"&gt;="&amp;EDATE($A108,-11),Entries!$A$2:$A$5000,"&lt;"&amp;EDATE($A108,1))+SUMIFS(Entries!$E$2:$E$5000,Entries!$C$2:$C$5000,"One-off",Entries!$A$2:$A$5000,"&gt;="&amp;EDATE($A108,-11),Entries!$A$2:$A$5000,"&lt;"&amp;EDATE($A108,1)))/COUNTIFS($A$2:$A$400,"&gt;="&amp;EDATE($A108,-11),$A$2:$A$400,"&lt;"&amp;EDATE($A108,1),$BM$2:$BM$400,"&gt;0"))</f>
      </c>
      <c r="M108" s="24">
        <f>IF($BM108=0,NA(),IFERROR((K108-L108)/K108,0))</f>
        <v/>
      </c>
      <c r="N108" s="23">
        <f>IF($BM108=0,NA(),SUMIFS(Entries!$E$2:$E$5000,Entries!$D$2:$D$5000,"Core",Entries!$A$2:$A$5000,"&gt;="&amp;$A108,Entries!$A$2:$A$5000,"&lt;"&amp;EDATE($A108,1)))</f>
        <v/>
      </c>
      <c r="O108" s="23">
        <f>IF($BM108=0,NA(),SUMIFS(Entries!$E$2:$E$5000,Entries!$D$2:$D$5000,"Over &amp; above",Entries!$A$2:$A$5000,"&gt;="&amp;$A108,Entries!$A$2:$A$5000,"&lt;"&amp;EDATE($A108,1)))</f>
        <v/>
      </c>
      <c r="P108" s="23">
        <f>IF($BM108=0,NA(),SUMIFS(Entries!$E$2:$E$5000,Entries!$D$2:$D$5000,"One-off",Entries!$A$2:$A$5000,"&gt;="&amp;$A108,Entries!$A$2:$A$5000,"&lt;"&amp;EDATE($A108,1)))</f>
        <v/>
      </c>
      <c r="Q108" s="23">
        <f>IF($BM108=0,NA(),SUMIFS(Entries!$E$2:$E$5000,Entries!$D$2:$D$5000,"Reimbursable",Entries!$A$2:$A$5000,"&gt;="&amp;$A108,Entries!$A$2:$A$5000,"&lt;"&amp;EDATE($A108,1)))</f>
        <v/>
      </c>
      <c r="R108" s="23">
        <f>IF($BM108=0,NA(),SUMIFS(Entries!$E$2:$E$5000,Entries!$D$2:$D$5000,"Investment",Entries!$A$2:$A$5000,"&gt;="&amp;$A108,Entries!$A$2:$A$5000,"&lt;"&amp;EDATE($A108,1)))</f>
        <v/>
      </c>
      <c r="S108" s="23">
        <f>IF($BM108=0,NA(),N108+O108)</f>
        <v/>
      </c>
      <c r="T108" s="23">
        <f>IF($BM108=0,"",E108-Q108)</f>
        <v/>
      </c>
      <c r="W108" s="23">
        <f>IF(OR(W$1="",$BM108=0),"",SUMIFS(Entries!$E$2:$E$5000,Entries!$C$2:$C$5000,"Actual",Entries!$A$2:$A$5000,"&gt;="&amp;$A108,Entries!$A$2:$A$5000,"&lt;"&amp;EDATE($A108,1),Entries!$B$2:$B$5000,W$1))</f>
        <v/>
      </c>
      <c r="X108" s="23">
        <f>IF(OR(X$1="",$BM108=0),"",SUMIFS(Entries!$E$2:$E$5000,Entries!$C$2:$C$5000,"Actual",Entries!$A$2:$A$5000,"&gt;="&amp;$A108,Entries!$A$2:$A$5000,"&lt;"&amp;EDATE($A108,1),Entries!$B$2:$B$5000,X$1))</f>
        <v/>
      </c>
      <c r="Y108" s="23">
        <f>IF(OR(Y$1="",$BM108=0),"",SUMIFS(Entries!$E$2:$E$5000,Entries!$C$2:$C$5000,"Actual",Entries!$A$2:$A$5000,"&gt;="&amp;$A108,Entries!$A$2:$A$5000,"&lt;"&amp;EDATE($A108,1),Entries!$B$2:$B$5000,Y$1))</f>
        <v/>
      </c>
      <c r="Z108" s="23">
        <f>IF(OR(Z$1="",$BM108=0),"",SUMIFS(Entries!$E$2:$E$5000,Entries!$C$2:$C$5000,"Actual",Entries!$A$2:$A$5000,"&gt;="&amp;$A108,Entries!$A$2:$A$5000,"&lt;"&amp;EDATE($A108,1),Entries!$B$2:$B$5000,Z$1))</f>
        <v/>
      </c>
      <c r="AA108" s="23">
        <f>IF(OR(AA$1="",$BM108=0),"",SUMIFS(Entries!$E$2:$E$5000,Entries!$C$2:$C$5000,"Actual",Entries!$A$2:$A$5000,"&gt;="&amp;$A108,Entries!$A$2:$A$5000,"&lt;"&amp;EDATE($A108,1),Entries!$B$2:$B$5000,AA$1))</f>
        <v/>
      </c>
      <c r="AB108" s="23">
        <f>IF(OR(AB$1="",$BM108=0),"",SUMIFS(Entries!$E$2:$E$5000,Entries!$C$2:$C$5000,"Actual",Entries!$A$2:$A$5000,"&gt;="&amp;$A108,Entries!$A$2:$A$5000,"&lt;"&amp;EDATE($A108,1),Entries!$B$2:$B$5000,AB$1))</f>
        <v/>
      </c>
      <c r="AC108" s="23">
        <f>IF(OR(AC$1="",$BM108=0),"",SUMIFS(Entries!$E$2:$E$5000,Entries!$C$2:$C$5000,"Actual",Entries!$A$2:$A$5000,"&gt;="&amp;$A108,Entries!$A$2:$A$5000,"&lt;"&amp;EDATE($A108,1),Entries!$B$2:$B$5000,AC$1))</f>
        <v/>
      </c>
      <c r="AD108" s="23">
        <f>IF(OR(AD$1="",$BM108=0),"",SUMIFS(Entries!$E$2:$E$5000,Entries!$C$2:$C$5000,"Actual",Entries!$A$2:$A$5000,"&gt;="&amp;$A108,Entries!$A$2:$A$5000,"&lt;"&amp;EDATE($A108,1),Entries!$B$2:$B$5000,AD$1))</f>
        <v/>
      </c>
      <c r="AE108" s="23">
        <f>IF(OR(AE$1="",$BM108=0),"",SUMIFS(Entries!$E$2:$E$5000,Entries!$C$2:$C$5000,"Actual",Entries!$A$2:$A$5000,"&gt;="&amp;$A108,Entries!$A$2:$A$5000,"&lt;"&amp;EDATE($A108,1),Entries!$B$2:$B$5000,AE$1))</f>
        <v/>
      </c>
      <c r="AF108" s="23">
        <f>IF(OR(AF$1="",$BM108=0),"",SUMIFS(Entries!$E$2:$E$5000,Entries!$C$2:$C$5000,"Actual",Entries!$A$2:$A$5000,"&gt;="&amp;$A108,Entries!$A$2:$A$5000,"&lt;"&amp;EDATE($A108,1),Entries!$B$2:$B$5000,AF$1))</f>
        <v/>
      </c>
      <c r="AG108" s="23">
        <f>IF(OR(AG$1="",$BM108=0),"",SUMIFS(Entries!$E$2:$E$5000,Entries!$C$2:$C$5000,"Actual",Entries!$A$2:$A$5000,"&gt;="&amp;$A108,Entries!$A$2:$A$5000,"&lt;"&amp;EDATE($A108,1),Entries!$B$2:$B$5000,AG$1))</f>
        <v/>
      </c>
      <c r="AH108" s="23">
        <f>IF(OR(AH$1="",$BM108=0),"",SUMIFS(Entries!$E$2:$E$5000,Entries!$C$2:$C$5000,"Actual",Entries!$A$2:$A$5000,"&gt;="&amp;$A108,Entries!$A$2:$A$5000,"&lt;"&amp;EDATE($A108,1),Entries!$B$2:$B$5000,AH$1))</f>
        <v/>
      </c>
      <c r="AI108" s="23">
        <f>IF(OR(AI$1="",$BM108=0),"",SUMIFS(Entries!$E$2:$E$5000,Entries!$C$2:$C$5000,"Actual",Entries!$A$2:$A$5000,"&gt;="&amp;$A108,Entries!$A$2:$A$5000,"&lt;"&amp;EDATE($A108,1),Entries!$B$2:$B$5000,AI$1))</f>
        <v/>
      </c>
      <c r="AJ108" s="23">
        <f>IF(OR(AJ$1="",$BM108=0),"",SUMIFS(Entries!$E$2:$E$5000,Entries!$C$2:$C$5000,"Actual",Entries!$A$2:$A$5000,"&gt;="&amp;$A108,Entries!$A$2:$A$5000,"&lt;"&amp;EDATE($A108,1),Entries!$B$2:$B$5000,AJ$1))</f>
        <v/>
      </c>
      <c r="AK108" s="23">
        <f>IF(OR(AK$1="",$BM108=0),"",SUMIFS(Entries!$E$2:$E$5000,Entries!$C$2:$C$5000,"Actual",Entries!$A$2:$A$5000,"&gt;="&amp;$A108,Entries!$A$2:$A$5000,"&lt;"&amp;EDATE($A108,1),Entries!$B$2:$B$5000,AK$1))</f>
        <v/>
      </c>
      <c r="AL108" s="23">
        <f>IF(OR(AL$1="",$BM108=0),"",SUMIFS(Entries!$E$2:$E$5000,Entries!$C$2:$C$5000,"Actual",Entries!$A$2:$A$5000,"&gt;="&amp;$A108,Entries!$A$2:$A$5000,"&lt;"&amp;EDATE($A108,1),Entries!$B$2:$B$5000,AL$1))</f>
        <v/>
      </c>
      <c r="AM108" s="23">
        <f>IF(OR(AM$1="",$BM108=0),"",SUMIFS(Entries!$E$2:$E$5000,Entries!$C$2:$C$5000,"Actual",Entries!$A$2:$A$5000,"&gt;="&amp;$A108,Entries!$A$2:$A$5000,"&lt;"&amp;EDATE($A108,1),Entries!$B$2:$B$5000,AM$1))</f>
        <v/>
      </c>
      <c r="AN108" s="23">
        <f>IF(OR(AN$1="",$BM108=0),"",SUMIFS(Entries!$E$2:$E$5000,Entries!$C$2:$C$5000,"Actual",Entries!$A$2:$A$5000,"&gt;="&amp;$A108,Entries!$A$2:$A$5000,"&lt;"&amp;EDATE($A108,1),Entries!$B$2:$B$5000,AN$1))</f>
        <v/>
      </c>
      <c r="AO108" s="23">
        <f>IF(OR(AO$1="",$BM108=0),"",SUMIFS(Entries!$E$2:$E$5000,Entries!$C$2:$C$5000,"Actual",Entries!$A$2:$A$5000,"&gt;="&amp;$A108,Entries!$A$2:$A$5000,"&lt;"&amp;EDATE($A108,1),Entries!$B$2:$B$5000,AO$1))</f>
        <v/>
      </c>
      <c r="AP108" s="23">
        <f>IF(OR(AP$1="",$BM108=0),"",SUMIFS(Entries!$E$2:$E$5000,Entries!$C$2:$C$5000,"Actual",Entries!$A$2:$A$5000,"&gt;="&amp;$A108,Entries!$A$2:$A$5000,"&lt;"&amp;EDATE($A108,1),Entries!$B$2:$B$5000,AP$1))</f>
        <v/>
      </c>
      <c r="AR108" s="23">
        <f>IF(OR(AR$1="",$BM108=0),"",IFERROR(LOOKUP(2,1/((Budgets!$A$2:$A$200=AR$1)*(Budgets!$B$2:$B$200&lt;EDATE($A108,1))),Budgets!$C$2:$C$200),0))</f>
        <v/>
      </c>
      <c r="AS108" s="23">
        <f>IF(OR(AS$1="",$BM108=0),"",IFERROR(LOOKUP(2,1/((Budgets!$A$2:$A$200=AS$1)*(Budgets!$B$2:$B$200&lt;EDATE($A108,1))),Budgets!$C$2:$C$200),0))</f>
        <v/>
      </c>
      <c r="AT108" s="23">
        <f>IF(OR(AT$1="",$BM108=0),"",IFERROR(LOOKUP(2,1/((Budgets!$A$2:$A$200=AT$1)*(Budgets!$B$2:$B$200&lt;EDATE($A108,1))),Budgets!$C$2:$C$200),0))</f>
        <v/>
      </c>
      <c r="AU108" s="23">
        <f>IF(OR(AU$1="",$BM108=0),"",IFERROR(LOOKUP(2,1/((Budgets!$A$2:$A$200=AU$1)*(Budgets!$B$2:$B$200&lt;EDATE($A108,1))),Budgets!$C$2:$C$200),0))</f>
        <v/>
      </c>
      <c r="AV108" s="23">
        <f>IF(OR(AV$1="",$BM108=0),"",IFERROR(LOOKUP(2,1/((Budgets!$A$2:$A$200=AV$1)*(Budgets!$B$2:$B$200&lt;EDATE($A108,1))),Budgets!$C$2:$C$200),0))</f>
        <v/>
      </c>
      <c r="AW108" s="23">
        <f>IF(OR(AW$1="",$BM108=0),"",IFERROR(LOOKUP(2,1/((Budgets!$A$2:$A$200=AW$1)*(Budgets!$B$2:$B$200&lt;EDATE($A108,1))),Budgets!$C$2:$C$200),0))</f>
        <v/>
      </c>
      <c r="AX108" s="23">
        <f>IF(OR(AX$1="",$BM108=0),"",IFERROR(LOOKUP(2,1/((Budgets!$A$2:$A$200=AX$1)*(Budgets!$B$2:$B$200&lt;EDATE($A108,1))),Budgets!$C$2:$C$200),0))</f>
        <v/>
      </c>
      <c r="AY108" s="23">
        <f>IF(OR(AY$1="",$BM108=0),"",IFERROR(LOOKUP(2,1/((Budgets!$A$2:$A$200=AY$1)*(Budgets!$B$2:$B$200&lt;EDATE($A108,1))),Budgets!$C$2:$C$200),0))</f>
        <v/>
      </c>
      <c r="AZ108" s="23">
        <f>IF(OR(AZ$1="",$BM108=0),"",IFERROR(LOOKUP(2,1/((Budgets!$A$2:$A$200=AZ$1)*(Budgets!$B$2:$B$200&lt;EDATE($A108,1))),Budgets!$C$2:$C$200),0))</f>
        <v/>
      </c>
      <c r="BA108" s="23">
        <f>IF(OR(BA$1="",$BM108=0),"",IFERROR(LOOKUP(2,1/((Budgets!$A$2:$A$200=BA$1)*(Budgets!$B$2:$B$200&lt;EDATE($A108,1))),Budgets!$C$2:$C$200),0))</f>
        <v/>
      </c>
      <c r="BB108" s="23">
        <f>IF(OR(BB$1="",$BM108=0),"",IFERROR(LOOKUP(2,1/((Budgets!$A$2:$A$200=BB$1)*(Budgets!$B$2:$B$200&lt;EDATE($A108,1))),Budgets!$C$2:$C$200),0))</f>
        <v/>
      </c>
      <c r="BC108" s="23">
        <f>IF(OR(BC$1="",$BM108=0),"",IFERROR(LOOKUP(2,1/((Budgets!$A$2:$A$200=BC$1)*(Budgets!$B$2:$B$200&lt;EDATE($A108,1))),Budgets!$C$2:$C$200),0))</f>
        <v/>
      </c>
      <c r="BD108" s="23">
        <f>IF(OR(BD$1="",$BM108=0),"",IFERROR(LOOKUP(2,1/((Budgets!$A$2:$A$200=BD$1)*(Budgets!$B$2:$B$200&lt;EDATE($A108,1))),Budgets!$C$2:$C$200),0))</f>
        <v/>
      </c>
      <c r="BE108" s="23">
        <f>IF(OR(BE$1="",$BM108=0),"",IFERROR(LOOKUP(2,1/((Budgets!$A$2:$A$200=BE$1)*(Budgets!$B$2:$B$200&lt;EDATE($A108,1))),Budgets!$C$2:$C$200),0))</f>
        <v/>
      </c>
      <c r="BF108" s="23">
        <f>IF(OR(BF$1="",$BM108=0),"",IFERROR(LOOKUP(2,1/((Budgets!$A$2:$A$200=BF$1)*(Budgets!$B$2:$B$200&lt;EDATE($A108,1))),Budgets!$C$2:$C$200),0))</f>
        <v/>
      </c>
      <c r="BG108" s="23">
        <f>IF(OR(BG$1="",$BM108=0),"",IFERROR(LOOKUP(2,1/((Budgets!$A$2:$A$200=BG$1)*(Budgets!$B$2:$B$200&lt;EDATE($A108,1))),Budgets!$C$2:$C$200),0))</f>
        <v/>
      </c>
      <c r="BH108" s="23">
        <f>IF(OR(BH$1="",$BM108=0),"",IFERROR(LOOKUP(2,1/((Budgets!$A$2:$A$200=BH$1)*(Budgets!$B$2:$B$200&lt;EDATE($A108,1))),Budgets!$C$2:$C$200),0))</f>
        <v/>
      </c>
      <c r="BI108" s="23">
        <f>IF(OR(BI$1="",$BM108=0),"",IFERROR(LOOKUP(2,1/((Budgets!$A$2:$A$200=BI$1)*(Budgets!$B$2:$B$200&lt;EDATE($A108,1))),Budgets!$C$2:$C$200),0))</f>
        <v/>
      </c>
      <c r="BJ108" s="23">
        <f>IF(OR(BJ$1="",$BM108=0),"",IFERROR(LOOKUP(2,1/((Budgets!$A$2:$A$200=BJ$1)*(Budgets!$B$2:$B$200&lt;EDATE($A108,1))),Budgets!$C$2:$C$200),0))</f>
        <v/>
      </c>
      <c r="BK108" s="23">
        <f>IF(OR(BK$1="",$BM108=0),"",IFERROR(LOOKUP(2,1/((Budgets!$A$2:$A$200=BK$1)*(Budgets!$B$2:$B$200&lt;EDATE($A108,1))),Budgets!$C$2:$C$200),0))</f>
        <v/>
      </c>
      <c r="BM108" s="21">
        <f>COUNTIFS(Entries!$A$2:$A$5000,"&gt;="&amp;$A108,Entries!$A$2:$A$5000,"&lt;"&amp;EDATE($A108,1))</f>
        <v/>
      </c>
    </row>
    <row r="109">
      <c r="A109" s="22" t="n">
        <v>42705</v>
      </c>
      <c r="B109" s="23">
        <f>IF($BM109=0,NA(),SUMIFS(Entries!$E$2:$E$5000,Entries!$C$2:$C$5000,"Income",Entries!$A$2:$A$5000,"&gt;="&amp;$A109,Entries!$A$2:$A$5000,"&lt;"&amp;EDATE($A109,1)))</f>
        <v/>
      </c>
      <c r="C109" s="23">
        <f>IF($BM109=0,"",SUMIFS(Entries!$E$2:$E$5000,Entries!$C$2:$C$5000,"Actual",Entries!$A$2:$A$5000,"&gt;="&amp;$A109,Entries!$A$2:$A$5000,"&lt;"&amp;EDATE($A109,1)))</f>
        <v/>
      </c>
      <c r="D109" s="23">
        <f>IF($BM109=0,"",SUMIFS(Entries!$E$2:$E$5000,Entries!$C$2:$C$5000,"One-off",Entries!$A$2:$A$5000,"&gt;="&amp;$A109,Entries!$A$2:$A$5000,"&lt;"&amp;EDATE($A109,1)))</f>
        <v/>
      </c>
      <c r="E109" s="23">
        <f>IF($BM109=0,NA(),C109+D109)</f>
        <v/>
      </c>
      <c r="F109" s="23">
        <f>IF($BM109=0,"",SUM(AR109:BK109))</f>
        <v/>
      </c>
      <c r="G109" s="23">
        <f>IF($BM109=0,"",B109-E109)</f>
        <v/>
      </c>
      <c r="H109" s="23">
        <f>IF($BM109=0,"",SUM($G$2:G109))</f>
        <v/>
      </c>
      <c r="I109" s="23">
        <f>IF($BM109=0,"",SUMIFS(Entries!$G$2:$G$5000,Entries!$A$2:$A$5000,"&gt;="&amp;$A109,Entries!$A$2:$A$5000,"&lt;"&amp;EDATE($A109,1)))</f>
        <v/>
      </c>
      <c r="J109" s="23">
        <f>IF($BM109=0,NA(),H109)</f>
        <v/>
      </c>
      <c r="K109" s="23">
        <f>IF($BM109=0,"",SUMIFS(Entries!$E$2:$E$5000,Entries!$C$2:$C$5000,"Income",Entries!$A$2:$A$5000,"&gt;="&amp;EDATE($A109,-11),Entries!$A$2:$A$5000,"&lt;"&amp;EDATE($A109,1))/COUNTIFS($A$2:$A$400,"&gt;="&amp;EDATE($A109,-11),$A$2:$A$400,"&lt;"&amp;EDATE($A109,1),$BM$2:$BM$400,"&gt;0"))</f>
      </c>
      <c r="L109" s="23">
        <f>IF($BM109=0,"",(SUMIFS(Entries!$E$2:$E$5000,Entries!$C$2:$C$5000,"Actual",Entries!$A$2:$A$5000,"&gt;="&amp;EDATE($A109,-11),Entries!$A$2:$A$5000,"&lt;"&amp;EDATE($A109,1))+SUMIFS(Entries!$E$2:$E$5000,Entries!$C$2:$C$5000,"One-off",Entries!$A$2:$A$5000,"&gt;="&amp;EDATE($A109,-11),Entries!$A$2:$A$5000,"&lt;"&amp;EDATE($A109,1)))/COUNTIFS($A$2:$A$400,"&gt;="&amp;EDATE($A109,-11),$A$2:$A$400,"&lt;"&amp;EDATE($A109,1),$BM$2:$BM$400,"&gt;0"))</f>
      </c>
      <c r="M109" s="24">
        <f>IF($BM109=0,NA(),IFERROR((K109-L109)/K109,0))</f>
        <v/>
      </c>
      <c r="N109" s="23">
        <f>IF($BM109=0,NA(),SUMIFS(Entries!$E$2:$E$5000,Entries!$D$2:$D$5000,"Core",Entries!$A$2:$A$5000,"&gt;="&amp;$A109,Entries!$A$2:$A$5000,"&lt;"&amp;EDATE($A109,1)))</f>
        <v/>
      </c>
      <c r="O109" s="23">
        <f>IF($BM109=0,NA(),SUMIFS(Entries!$E$2:$E$5000,Entries!$D$2:$D$5000,"Over &amp; above",Entries!$A$2:$A$5000,"&gt;="&amp;$A109,Entries!$A$2:$A$5000,"&lt;"&amp;EDATE($A109,1)))</f>
        <v/>
      </c>
      <c r="P109" s="23">
        <f>IF($BM109=0,NA(),SUMIFS(Entries!$E$2:$E$5000,Entries!$D$2:$D$5000,"One-off",Entries!$A$2:$A$5000,"&gt;="&amp;$A109,Entries!$A$2:$A$5000,"&lt;"&amp;EDATE($A109,1)))</f>
        <v/>
      </c>
      <c r="Q109" s="23">
        <f>IF($BM109=0,NA(),SUMIFS(Entries!$E$2:$E$5000,Entries!$D$2:$D$5000,"Reimbursable",Entries!$A$2:$A$5000,"&gt;="&amp;$A109,Entries!$A$2:$A$5000,"&lt;"&amp;EDATE($A109,1)))</f>
        <v/>
      </c>
      <c r="R109" s="23">
        <f>IF($BM109=0,NA(),SUMIFS(Entries!$E$2:$E$5000,Entries!$D$2:$D$5000,"Investment",Entries!$A$2:$A$5000,"&gt;="&amp;$A109,Entries!$A$2:$A$5000,"&lt;"&amp;EDATE($A109,1)))</f>
        <v/>
      </c>
      <c r="S109" s="23">
        <f>IF($BM109=0,NA(),N109+O109)</f>
        <v/>
      </c>
      <c r="T109" s="23">
        <f>IF($BM109=0,"",E109-Q109)</f>
        <v/>
      </c>
      <c r="W109" s="23">
        <f>IF(OR(W$1="",$BM109=0),"",SUMIFS(Entries!$E$2:$E$5000,Entries!$C$2:$C$5000,"Actual",Entries!$A$2:$A$5000,"&gt;="&amp;$A109,Entries!$A$2:$A$5000,"&lt;"&amp;EDATE($A109,1),Entries!$B$2:$B$5000,W$1))</f>
        <v/>
      </c>
      <c r="X109" s="23">
        <f>IF(OR(X$1="",$BM109=0),"",SUMIFS(Entries!$E$2:$E$5000,Entries!$C$2:$C$5000,"Actual",Entries!$A$2:$A$5000,"&gt;="&amp;$A109,Entries!$A$2:$A$5000,"&lt;"&amp;EDATE($A109,1),Entries!$B$2:$B$5000,X$1))</f>
        <v/>
      </c>
      <c r="Y109" s="23">
        <f>IF(OR(Y$1="",$BM109=0),"",SUMIFS(Entries!$E$2:$E$5000,Entries!$C$2:$C$5000,"Actual",Entries!$A$2:$A$5000,"&gt;="&amp;$A109,Entries!$A$2:$A$5000,"&lt;"&amp;EDATE($A109,1),Entries!$B$2:$B$5000,Y$1))</f>
        <v/>
      </c>
      <c r="Z109" s="23">
        <f>IF(OR(Z$1="",$BM109=0),"",SUMIFS(Entries!$E$2:$E$5000,Entries!$C$2:$C$5000,"Actual",Entries!$A$2:$A$5000,"&gt;="&amp;$A109,Entries!$A$2:$A$5000,"&lt;"&amp;EDATE($A109,1),Entries!$B$2:$B$5000,Z$1))</f>
        <v/>
      </c>
      <c r="AA109" s="23">
        <f>IF(OR(AA$1="",$BM109=0),"",SUMIFS(Entries!$E$2:$E$5000,Entries!$C$2:$C$5000,"Actual",Entries!$A$2:$A$5000,"&gt;="&amp;$A109,Entries!$A$2:$A$5000,"&lt;"&amp;EDATE($A109,1),Entries!$B$2:$B$5000,AA$1))</f>
        <v/>
      </c>
      <c r="AB109" s="23">
        <f>IF(OR(AB$1="",$BM109=0),"",SUMIFS(Entries!$E$2:$E$5000,Entries!$C$2:$C$5000,"Actual",Entries!$A$2:$A$5000,"&gt;="&amp;$A109,Entries!$A$2:$A$5000,"&lt;"&amp;EDATE($A109,1),Entries!$B$2:$B$5000,AB$1))</f>
        <v/>
      </c>
      <c r="AC109" s="23">
        <f>IF(OR(AC$1="",$BM109=0),"",SUMIFS(Entries!$E$2:$E$5000,Entries!$C$2:$C$5000,"Actual",Entries!$A$2:$A$5000,"&gt;="&amp;$A109,Entries!$A$2:$A$5000,"&lt;"&amp;EDATE($A109,1),Entries!$B$2:$B$5000,AC$1))</f>
        <v/>
      </c>
      <c r="AD109" s="23">
        <f>IF(OR(AD$1="",$BM109=0),"",SUMIFS(Entries!$E$2:$E$5000,Entries!$C$2:$C$5000,"Actual",Entries!$A$2:$A$5000,"&gt;="&amp;$A109,Entries!$A$2:$A$5000,"&lt;"&amp;EDATE($A109,1),Entries!$B$2:$B$5000,AD$1))</f>
        <v/>
      </c>
      <c r="AE109" s="23">
        <f>IF(OR(AE$1="",$BM109=0),"",SUMIFS(Entries!$E$2:$E$5000,Entries!$C$2:$C$5000,"Actual",Entries!$A$2:$A$5000,"&gt;="&amp;$A109,Entries!$A$2:$A$5000,"&lt;"&amp;EDATE($A109,1),Entries!$B$2:$B$5000,AE$1))</f>
        <v/>
      </c>
      <c r="AF109" s="23">
        <f>IF(OR(AF$1="",$BM109=0),"",SUMIFS(Entries!$E$2:$E$5000,Entries!$C$2:$C$5000,"Actual",Entries!$A$2:$A$5000,"&gt;="&amp;$A109,Entries!$A$2:$A$5000,"&lt;"&amp;EDATE($A109,1),Entries!$B$2:$B$5000,AF$1))</f>
        <v/>
      </c>
      <c r="AG109" s="23">
        <f>IF(OR(AG$1="",$BM109=0),"",SUMIFS(Entries!$E$2:$E$5000,Entries!$C$2:$C$5000,"Actual",Entries!$A$2:$A$5000,"&gt;="&amp;$A109,Entries!$A$2:$A$5000,"&lt;"&amp;EDATE($A109,1),Entries!$B$2:$B$5000,AG$1))</f>
        <v/>
      </c>
      <c r="AH109" s="23">
        <f>IF(OR(AH$1="",$BM109=0),"",SUMIFS(Entries!$E$2:$E$5000,Entries!$C$2:$C$5000,"Actual",Entries!$A$2:$A$5000,"&gt;="&amp;$A109,Entries!$A$2:$A$5000,"&lt;"&amp;EDATE($A109,1),Entries!$B$2:$B$5000,AH$1))</f>
        <v/>
      </c>
      <c r="AI109" s="23">
        <f>IF(OR(AI$1="",$BM109=0),"",SUMIFS(Entries!$E$2:$E$5000,Entries!$C$2:$C$5000,"Actual",Entries!$A$2:$A$5000,"&gt;="&amp;$A109,Entries!$A$2:$A$5000,"&lt;"&amp;EDATE($A109,1),Entries!$B$2:$B$5000,AI$1))</f>
        <v/>
      </c>
      <c r="AJ109" s="23">
        <f>IF(OR(AJ$1="",$BM109=0),"",SUMIFS(Entries!$E$2:$E$5000,Entries!$C$2:$C$5000,"Actual",Entries!$A$2:$A$5000,"&gt;="&amp;$A109,Entries!$A$2:$A$5000,"&lt;"&amp;EDATE($A109,1),Entries!$B$2:$B$5000,AJ$1))</f>
        <v/>
      </c>
      <c r="AK109" s="23">
        <f>IF(OR(AK$1="",$BM109=0),"",SUMIFS(Entries!$E$2:$E$5000,Entries!$C$2:$C$5000,"Actual",Entries!$A$2:$A$5000,"&gt;="&amp;$A109,Entries!$A$2:$A$5000,"&lt;"&amp;EDATE($A109,1),Entries!$B$2:$B$5000,AK$1))</f>
        <v/>
      </c>
      <c r="AL109" s="23">
        <f>IF(OR(AL$1="",$BM109=0),"",SUMIFS(Entries!$E$2:$E$5000,Entries!$C$2:$C$5000,"Actual",Entries!$A$2:$A$5000,"&gt;="&amp;$A109,Entries!$A$2:$A$5000,"&lt;"&amp;EDATE($A109,1),Entries!$B$2:$B$5000,AL$1))</f>
        <v/>
      </c>
      <c r="AM109" s="23">
        <f>IF(OR(AM$1="",$BM109=0),"",SUMIFS(Entries!$E$2:$E$5000,Entries!$C$2:$C$5000,"Actual",Entries!$A$2:$A$5000,"&gt;="&amp;$A109,Entries!$A$2:$A$5000,"&lt;"&amp;EDATE($A109,1),Entries!$B$2:$B$5000,AM$1))</f>
        <v/>
      </c>
      <c r="AN109" s="23">
        <f>IF(OR(AN$1="",$BM109=0),"",SUMIFS(Entries!$E$2:$E$5000,Entries!$C$2:$C$5000,"Actual",Entries!$A$2:$A$5000,"&gt;="&amp;$A109,Entries!$A$2:$A$5000,"&lt;"&amp;EDATE($A109,1),Entries!$B$2:$B$5000,AN$1))</f>
        <v/>
      </c>
      <c r="AO109" s="23">
        <f>IF(OR(AO$1="",$BM109=0),"",SUMIFS(Entries!$E$2:$E$5000,Entries!$C$2:$C$5000,"Actual",Entries!$A$2:$A$5000,"&gt;="&amp;$A109,Entries!$A$2:$A$5000,"&lt;"&amp;EDATE($A109,1),Entries!$B$2:$B$5000,AO$1))</f>
        <v/>
      </c>
      <c r="AP109" s="23">
        <f>IF(OR(AP$1="",$BM109=0),"",SUMIFS(Entries!$E$2:$E$5000,Entries!$C$2:$C$5000,"Actual",Entries!$A$2:$A$5000,"&gt;="&amp;$A109,Entries!$A$2:$A$5000,"&lt;"&amp;EDATE($A109,1),Entries!$B$2:$B$5000,AP$1))</f>
        <v/>
      </c>
      <c r="AR109" s="23">
        <f>IF(OR(AR$1="",$BM109=0),"",IFERROR(LOOKUP(2,1/((Budgets!$A$2:$A$200=AR$1)*(Budgets!$B$2:$B$200&lt;EDATE($A109,1))),Budgets!$C$2:$C$200),0))</f>
        <v/>
      </c>
      <c r="AS109" s="23">
        <f>IF(OR(AS$1="",$BM109=0),"",IFERROR(LOOKUP(2,1/((Budgets!$A$2:$A$200=AS$1)*(Budgets!$B$2:$B$200&lt;EDATE($A109,1))),Budgets!$C$2:$C$200),0))</f>
        <v/>
      </c>
      <c r="AT109" s="23">
        <f>IF(OR(AT$1="",$BM109=0),"",IFERROR(LOOKUP(2,1/((Budgets!$A$2:$A$200=AT$1)*(Budgets!$B$2:$B$200&lt;EDATE($A109,1))),Budgets!$C$2:$C$200),0))</f>
        <v/>
      </c>
      <c r="AU109" s="23">
        <f>IF(OR(AU$1="",$BM109=0),"",IFERROR(LOOKUP(2,1/((Budgets!$A$2:$A$200=AU$1)*(Budgets!$B$2:$B$200&lt;EDATE($A109,1))),Budgets!$C$2:$C$200),0))</f>
        <v/>
      </c>
      <c r="AV109" s="23">
        <f>IF(OR(AV$1="",$BM109=0),"",IFERROR(LOOKUP(2,1/((Budgets!$A$2:$A$200=AV$1)*(Budgets!$B$2:$B$200&lt;EDATE($A109,1))),Budgets!$C$2:$C$200),0))</f>
        <v/>
      </c>
      <c r="AW109" s="23">
        <f>IF(OR(AW$1="",$BM109=0),"",IFERROR(LOOKUP(2,1/((Budgets!$A$2:$A$200=AW$1)*(Budgets!$B$2:$B$200&lt;EDATE($A109,1))),Budgets!$C$2:$C$200),0))</f>
        <v/>
      </c>
      <c r="AX109" s="23">
        <f>IF(OR(AX$1="",$BM109=0),"",IFERROR(LOOKUP(2,1/((Budgets!$A$2:$A$200=AX$1)*(Budgets!$B$2:$B$200&lt;EDATE($A109,1))),Budgets!$C$2:$C$200),0))</f>
        <v/>
      </c>
      <c r="AY109" s="23">
        <f>IF(OR(AY$1="",$BM109=0),"",IFERROR(LOOKUP(2,1/((Budgets!$A$2:$A$200=AY$1)*(Budgets!$B$2:$B$200&lt;EDATE($A109,1))),Budgets!$C$2:$C$200),0))</f>
        <v/>
      </c>
      <c r="AZ109" s="23">
        <f>IF(OR(AZ$1="",$BM109=0),"",IFERROR(LOOKUP(2,1/((Budgets!$A$2:$A$200=AZ$1)*(Budgets!$B$2:$B$200&lt;EDATE($A109,1))),Budgets!$C$2:$C$200),0))</f>
        <v/>
      </c>
      <c r="BA109" s="23">
        <f>IF(OR(BA$1="",$BM109=0),"",IFERROR(LOOKUP(2,1/((Budgets!$A$2:$A$200=BA$1)*(Budgets!$B$2:$B$200&lt;EDATE($A109,1))),Budgets!$C$2:$C$200),0))</f>
        <v/>
      </c>
      <c r="BB109" s="23">
        <f>IF(OR(BB$1="",$BM109=0),"",IFERROR(LOOKUP(2,1/((Budgets!$A$2:$A$200=BB$1)*(Budgets!$B$2:$B$200&lt;EDATE($A109,1))),Budgets!$C$2:$C$200),0))</f>
        <v/>
      </c>
      <c r="BC109" s="23">
        <f>IF(OR(BC$1="",$BM109=0),"",IFERROR(LOOKUP(2,1/((Budgets!$A$2:$A$200=BC$1)*(Budgets!$B$2:$B$200&lt;EDATE($A109,1))),Budgets!$C$2:$C$200),0))</f>
        <v/>
      </c>
      <c r="BD109" s="23">
        <f>IF(OR(BD$1="",$BM109=0),"",IFERROR(LOOKUP(2,1/((Budgets!$A$2:$A$200=BD$1)*(Budgets!$B$2:$B$200&lt;EDATE($A109,1))),Budgets!$C$2:$C$200),0))</f>
        <v/>
      </c>
      <c r="BE109" s="23">
        <f>IF(OR(BE$1="",$BM109=0),"",IFERROR(LOOKUP(2,1/((Budgets!$A$2:$A$200=BE$1)*(Budgets!$B$2:$B$200&lt;EDATE($A109,1))),Budgets!$C$2:$C$200),0))</f>
        <v/>
      </c>
      <c r="BF109" s="23">
        <f>IF(OR(BF$1="",$BM109=0),"",IFERROR(LOOKUP(2,1/((Budgets!$A$2:$A$200=BF$1)*(Budgets!$B$2:$B$200&lt;EDATE($A109,1))),Budgets!$C$2:$C$200),0))</f>
        <v/>
      </c>
      <c r="BG109" s="23">
        <f>IF(OR(BG$1="",$BM109=0),"",IFERROR(LOOKUP(2,1/((Budgets!$A$2:$A$200=BG$1)*(Budgets!$B$2:$B$200&lt;EDATE($A109,1))),Budgets!$C$2:$C$200),0))</f>
        <v/>
      </c>
      <c r="BH109" s="23">
        <f>IF(OR(BH$1="",$BM109=0),"",IFERROR(LOOKUP(2,1/((Budgets!$A$2:$A$200=BH$1)*(Budgets!$B$2:$B$200&lt;EDATE($A109,1))),Budgets!$C$2:$C$200),0))</f>
        <v/>
      </c>
      <c r="BI109" s="23">
        <f>IF(OR(BI$1="",$BM109=0),"",IFERROR(LOOKUP(2,1/((Budgets!$A$2:$A$200=BI$1)*(Budgets!$B$2:$B$200&lt;EDATE($A109,1))),Budgets!$C$2:$C$200),0))</f>
        <v/>
      </c>
      <c r="BJ109" s="23">
        <f>IF(OR(BJ$1="",$BM109=0),"",IFERROR(LOOKUP(2,1/((Budgets!$A$2:$A$200=BJ$1)*(Budgets!$B$2:$B$200&lt;EDATE($A109,1))),Budgets!$C$2:$C$200),0))</f>
        <v/>
      </c>
      <c r="BK109" s="23">
        <f>IF(OR(BK$1="",$BM109=0),"",IFERROR(LOOKUP(2,1/((Budgets!$A$2:$A$200=BK$1)*(Budgets!$B$2:$B$200&lt;EDATE($A109,1))),Budgets!$C$2:$C$200),0))</f>
        <v/>
      </c>
      <c r="BM109" s="21">
        <f>COUNTIFS(Entries!$A$2:$A$5000,"&gt;="&amp;$A109,Entries!$A$2:$A$5000,"&lt;"&amp;EDATE($A109,1))</f>
        <v/>
      </c>
    </row>
    <row r="110">
      <c r="A110" s="22" t="n">
        <v>42736</v>
      </c>
      <c r="B110" s="23">
        <f>IF($BM110=0,NA(),SUMIFS(Entries!$E$2:$E$5000,Entries!$C$2:$C$5000,"Income",Entries!$A$2:$A$5000,"&gt;="&amp;$A110,Entries!$A$2:$A$5000,"&lt;"&amp;EDATE($A110,1)))</f>
        <v/>
      </c>
      <c r="C110" s="23">
        <f>IF($BM110=0,"",SUMIFS(Entries!$E$2:$E$5000,Entries!$C$2:$C$5000,"Actual",Entries!$A$2:$A$5000,"&gt;="&amp;$A110,Entries!$A$2:$A$5000,"&lt;"&amp;EDATE($A110,1)))</f>
        <v/>
      </c>
      <c r="D110" s="23">
        <f>IF($BM110=0,"",SUMIFS(Entries!$E$2:$E$5000,Entries!$C$2:$C$5000,"One-off",Entries!$A$2:$A$5000,"&gt;="&amp;$A110,Entries!$A$2:$A$5000,"&lt;"&amp;EDATE($A110,1)))</f>
        <v/>
      </c>
      <c r="E110" s="23">
        <f>IF($BM110=0,NA(),C110+D110)</f>
        <v/>
      </c>
      <c r="F110" s="23">
        <f>IF($BM110=0,"",SUM(AR110:BK110))</f>
        <v/>
      </c>
      <c r="G110" s="23">
        <f>IF($BM110=0,"",B110-E110)</f>
        <v/>
      </c>
      <c r="H110" s="23">
        <f>IF($BM110=0,"",SUM($G$2:G110))</f>
        <v/>
      </c>
      <c r="I110" s="23">
        <f>IF($BM110=0,"",SUMIFS(Entries!$G$2:$G$5000,Entries!$A$2:$A$5000,"&gt;="&amp;$A110,Entries!$A$2:$A$5000,"&lt;"&amp;EDATE($A110,1)))</f>
        <v/>
      </c>
      <c r="J110" s="23">
        <f>IF($BM110=0,NA(),H110)</f>
        <v/>
      </c>
      <c r="K110" s="23">
        <f>IF($BM110=0,"",SUMIFS(Entries!$E$2:$E$5000,Entries!$C$2:$C$5000,"Income",Entries!$A$2:$A$5000,"&gt;="&amp;EDATE($A110,-11),Entries!$A$2:$A$5000,"&lt;"&amp;EDATE($A110,1))/COUNTIFS($A$2:$A$400,"&gt;="&amp;EDATE($A110,-11),$A$2:$A$400,"&lt;"&amp;EDATE($A110,1),$BM$2:$BM$400,"&gt;0"))</f>
      </c>
      <c r="L110" s="23">
        <f>IF($BM110=0,"",(SUMIFS(Entries!$E$2:$E$5000,Entries!$C$2:$C$5000,"Actual",Entries!$A$2:$A$5000,"&gt;="&amp;EDATE($A110,-11),Entries!$A$2:$A$5000,"&lt;"&amp;EDATE($A110,1))+SUMIFS(Entries!$E$2:$E$5000,Entries!$C$2:$C$5000,"One-off",Entries!$A$2:$A$5000,"&gt;="&amp;EDATE($A110,-11),Entries!$A$2:$A$5000,"&lt;"&amp;EDATE($A110,1)))/COUNTIFS($A$2:$A$400,"&gt;="&amp;EDATE($A110,-11),$A$2:$A$400,"&lt;"&amp;EDATE($A110,1),$BM$2:$BM$400,"&gt;0"))</f>
      </c>
      <c r="M110" s="24">
        <f>IF($BM110=0,NA(),IFERROR((K110-L110)/K110,0))</f>
        <v/>
      </c>
      <c r="N110" s="23">
        <f>IF($BM110=0,NA(),SUMIFS(Entries!$E$2:$E$5000,Entries!$D$2:$D$5000,"Core",Entries!$A$2:$A$5000,"&gt;="&amp;$A110,Entries!$A$2:$A$5000,"&lt;"&amp;EDATE($A110,1)))</f>
        <v/>
      </c>
      <c r="O110" s="23">
        <f>IF($BM110=0,NA(),SUMIFS(Entries!$E$2:$E$5000,Entries!$D$2:$D$5000,"Over &amp; above",Entries!$A$2:$A$5000,"&gt;="&amp;$A110,Entries!$A$2:$A$5000,"&lt;"&amp;EDATE($A110,1)))</f>
        <v/>
      </c>
      <c r="P110" s="23">
        <f>IF($BM110=0,NA(),SUMIFS(Entries!$E$2:$E$5000,Entries!$D$2:$D$5000,"One-off",Entries!$A$2:$A$5000,"&gt;="&amp;$A110,Entries!$A$2:$A$5000,"&lt;"&amp;EDATE($A110,1)))</f>
        <v/>
      </c>
      <c r="Q110" s="23">
        <f>IF($BM110=0,NA(),SUMIFS(Entries!$E$2:$E$5000,Entries!$D$2:$D$5000,"Reimbursable",Entries!$A$2:$A$5000,"&gt;="&amp;$A110,Entries!$A$2:$A$5000,"&lt;"&amp;EDATE($A110,1)))</f>
        <v/>
      </c>
      <c r="R110" s="23">
        <f>IF($BM110=0,NA(),SUMIFS(Entries!$E$2:$E$5000,Entries!$D$2:$D$5000,"Investment",Entries!$A$2:$A$5000,"&gt;="&amp;$A110,Entries!$A$2:$A$5000,"&lt;"&amp;EDATE($A110,1)))</f>
        <v/>
      </c>
      <c r="S110" s="23">
        <f>IF($BM110=0,NA(),N110+O110)</f>
        <v/>
      </c>
      <c r="T110" s="23">
        <f>IF($BM110=0,"",E110-Q110)</f>
        <v/>
      </c>
      <c r="W110" s="23">
        <f>IF(OR(W$1="",$BM110=0),"",SUMIFS(Entries!$E$2:$E$5000,Entries!$C$2:$C$5000,"Actual",Entries!$A$2:$A$5000,"&gt;="&amp;$A110,Entries!$A$2:$A$5000,"&lt;"&amp;EDATE($A110,1),Entries!$B$2:$B$5000,W$1))</f>
        <v/>
      </c>
      <c r="X110" s="23">
        <f>IF(OR(X$1="",$BM110=0),"",SUMIFS(Entries!$E$2:$E$5000,Entries!$C$2:$C$5000,"Actual",Entries!$A$2:$A$5000,"&gt;="&amp;$A110,Entries!$A$2:$A$5000,"&lt;"&amp;EDATE($A110,1),Entries!$B$2:$B$5000,X$1))</f>
        <v/>
      </c>
      <c r="Y110" s="23">
        <f>IF(OR(Y$1="",$BM110=0),"",SUMIFS(Entries!$E$2:$E$5000,Entries!$C$2:$C$5000,"Actual",Entries!$A$2:$A$5000,"&gt;="&amp;$A110,Entries!$A$2:$A$5000,"&lt;"&amp;EDATE($A110,1),Entries!$B$2:$B$5000,Y$1))</f>
        <v/>
      </c>
      <c r="Z110" s="23">
        <f>IF(OR(Z$1="",$BM110=0),"",SUMIFS(Entries!$E$2:$E$5000,Entries!$C$2:$C$5000,"Actual",Entries!$A$2:$A$5000,"&gt;="&amp;$A110,Entries!$A$2:$A$5000,"&lt;"&amp;EDATE($A110,1),Entries!$B$2:$B$5000,Z$1))</f>
        <v/>
      </c>
      <c r="AA110" s="23">
        <f>IF(OR(AA$1="",$BM110=0),"",SUMIFS(Entries!$E$2:$E$5000,Entries!$C$2:$C$5000,"Actual",Entries!$A$2:$A$5000,"&gt;="&amp;$A110,Entries!$A$2:$A$5000,"&lt;"&amp;EDATE($A110,1),Entries!$B$2:$B$5000,AA$1))</f>
        <v/>
      </c>
      <c r="AB110" s="23">
        <f>IF(OR(AB$1="",$BM110=0),"",SUMIFS(Entries!$E$2:$E$5000,Entries!$C$2:$C$5000,"Actual",Entries!$A$2:$A$5000,"&gt;="&amp;$A110,Entries!$A$2:$A$5000,"&lt;"&amp;EDATE($A110,1),Entries!$B$2:$B$5000,AB$1))</f>
        <v/>
      </c>
      <c r="AC110" s="23">
        <f>IF(OR(AC$1="",$BM110=0),"",SUMIFS(Entries!$E$2:$E$5000,Entries!$C$2:$C$5000,"Actual",Entries!$A$2:$A$5000,"&gt;="&amp;$A110,Entries!$A$2:$A$5000,"&lt;"&amp;EDATE($A110,1),Entries!$B$2:$B$5000,AC$1))</f>
        <v/>
      </c>
      <c r="AD110" s="23">
        <f>IF(OR(AD$1="",$BM110=0),"",SUMIFS(Entries!$E$2:$E$5000,Entries!$C$2:$C$5000,"Actual",Entries!$A$2:$A$5000,"&gt;="&amp;$A110,Entries!$A$2:$A$5000,"&lt;"&amp;EDATE($A110,1),Entries!$B$2:$B$5000,AD$1))</f>
        <v/>
      </c>
      <c r="AE110" s="23">
        <f>IF(OR(AE$1="",$BM110=0),"",SUMIFS(Entries!$E$2:$E$5000,Entries!$C$2:$C$5000,"Actual",Entries!$A$2:$A$5000,"&gt;="&amp;$A110,Entries!$A$2:$A$5000,"&lt;"&amp;EDATE($A110,1),Entries!$B$2:$B$5000,AE$1))</f>
        <v/>
      </c>
      <c r="AF110" s="23">
        <f>IF(OR(AF$1="",$BM110=0),"",SUMIFS(Entries!$E$2:$E$5000,Entries!$C$2:$C$5000,"Actual",Entries!$A$2:$A$5000,"&gt;="&amp;$A110,Entries!$A$2:$A$5000,"&lt;"&amp;EDATE($A110,1),Entries!$B$2:$B$5000,AF$1))</f>
        <v/>
      </c>
      <c r="AG110" s="23">
        <f>IF(OR(AG$1="",$BM110=0),"",SUMIFS(Entries!$E$2:$E$5000,Entries!$C$2:$C$5000,"Actual",Entries!$A$2:$A$5000,"&gt;="&amp;$A110,Entries!$A$2:$A$5000,"&lt;"&amp;EDATE($A110,1),Entries!$B$2:$B$5000,AG$1))</f>
        <v/>
      </c>
      <c r="AH110" s="23">
        <f>IF(OR(AH$1="",$BM110=0),"",SUMIFS(Entries!$E$2:$E$5000,Entries!$C$2:$C$5000,"Actual",Entries!$A$2:$A$5000,"&gt;="&amp;$A110,Entries!$A$2:$A$5000,"&lt;"&amp;EDATE($A110,1),Entries!$B$2:$B$5000,AH$1))</f>
        <v/>
      </c>
      <c r="AI110" s="23">
        <f>IF(OR(AI$1="",$BM110=0),"",SUMIFS(Entries!$E$2:$E$5000,Entries!$C$2:$C$5000,"Actual",Entries!$A$2:$A$5000,"&gt;="&amp;$A110,Entries!$A$2:$A$5000,"&lt;"&amp;EDATE($A110,1),Entries!$B$2:$B$5000,AI$1))</f>
        <v/>
      </c>
      <c r="AJ110" s="23">
        <f>IF(OR(AJ$1="",$BM110=0),"",SUMIFS(Entries!$E$2:$E$5000,Entries!$C$2:$C$5000,"Actual",Entries!$A$2:$A$5000,"&gt;="&amp;$A110,Entries!$A$2:$A$5000,"&lt;"&amp;EDATE($A110,1),Entries!$B$2:$B$5000,AJ$1))</f>
        <v/>
      </c>
      <c r="AK110" s="23">
        <f>IF(OR(AK$1="",$BM110=0),"",SUMIFS(Entries!$E$2:$E$5000,Entries!$C$2:$C$5000,"Actual",Entries!$A$2:$A$5000,"&gt;="&amp;$A110,Entries!$A$2:$A$5000,"&lt;"&amp;EDATE($A110,1),Entries!$B$2:$B$5000,AK$1))</f>
        <v/>
      </c>
      <c r="AL110" s="23">
        <f>IF(OR(AL$1="",$BM110=0),"",SUMIFS(Entries!$E$2:$E$5000,Entries!$C$2:$C$5000,"Actual",Entries!$A$2:$A$5000,"&gt;="&amp;$A110,Entries!$A$2:$A$5000,"&lt;"&amp;EDATE($A110,1),Entries!$B$2:$B$5000,AL$1))</f>
        <v/>
      </c>
      <c r="AM110" s="23">
        <f>IF(OR(AM$1="",$BM110=0),"",SUMIFS(Entries!$E$2:$E$5000,Entries!$C$2:$C$5000,"Actual",Entries!$A$2:$A$5000,"&gt;="&amp;$A110,Entries!$A$2:$A$5000,"&lt;"&amp;EDATE($A110,1),Entries!$B$2:$B$5000,AM$1))</f>
        <v/>
      </c>
      <c r="AN110" s="23">
        <f>IF(OR(AN$1="",$BM110=0),"",SUMIFS(Entries!$E$2:$E$5000,Entries!$C$2:$C$5000,"Actual",Entries!$A$2:$A$5000,"&gt;="&amp;$A110,Entries!$A$2:$A$5000,"&lt;"&amp;EDATE($A110,1),Entries!$B$2:$B$5000,AN$1))</f>
        <v/>
      </c>
      <c r="AO110" s="23">
        <f>IF(OR(AO$1="",$BM110=0),"",SUMIFS(Entries!$E$2:$E$5000,Entries!$C$2:$C$5000,"Actual",Entries!$A$2:$A$5000,"&gt;="&amp;$A110,Entries!$A$2:$A$5000,"&lt;"&amp;EDATE($A110,1),Entries!$B$2:$B$5000,AO$1))</f>
        <v/>
      </c>
      <c r="AP110" s="23">
        <f>IF(OR(AP$1="",$BM110=0),"",SUMIFS(Entries!$E$2:$E$5000,Entries!$C$2:$C$5000,"Actual",Entries!$A$2:$A$5000,"&gt;="&amp;$A110,Entries!$A$2:$A$5000,"&lt;"&amp;EDATE($A110,1),Entries!$B$2:$B$5000,AP$1))</f>
        <v/>
      </c>
      <c r="AR110" s="23">
        <f>IF(OR(AR$1="",$BM110=0),"",IFERROR(LOOKUP(2,1/((Budgets!$A$2:$A$200=AR$1)*(Budgets!$B$2:$B$200&lt;EDATE($A110,1))),Budgets!$C$2:$C$200),0))</f>
        <v/>
      </c>
      <c r="AS110" s="23">
        <f>IF(OR(AS$1="",$BM110=0),"",IFERROR(LOOKUP(2,1/((Budgets!$A$2:$A$200=AS$1)*(Budgets!$B$2:$B$200&lt;EDATE($A110,1))),Budgets!$C$2:$C$200),0))</f>
        <v/>
      </c>
      <c r="AT110" s="23">
        <f>IF(OR(AT$1="",$BM110=0),"",IFERROR(LOOKUP(2,1/((Budgets!$A$2:$A$200=AT$1)*(Budgets!$B$2:$B$200&lt;EDATE($A110,1))),Budgets!$C$2:$C$200),0))</f>
        <v/>
      </c>
      <c r="AU110" s="23">
        <f>IF(OR(AU$1="",$BM110=0),"",IFERROR(LOOKUP(2,1/((Budgets!$A$2:$A$200=AU$1)*(Budgets!$B$2:$B$200&lt;EDATE($A110,1))),Budgets!$C$2:$C$200),0))</f>
        <v/>
      </c>
      <c r="AV110" s="23">
        <f>IF(OR(AV$1="",$BM110=0),"",IFERROR(LOOKUP(2,1/((Budgets!$A$2:$A$200=AV$1)*(Budgets!$B$2:$B$200&lt;EDATE($A110,1))),Budgets!$C$2:$C$200),0))</f>
        <v/>
      </c>
      <c r="AW110" s="23">
        <f>IF(OR(AW$1="",$BM110=0),"",IFERROR(LOOKUP(2,1/((Budgets!$A$2:$A$200=AW$1)*(Budgets!$B$2:$B$200&lt;EDATE($A110,1))),Budgets!$C$2:$C$200),0))</f>
        <v/>
      </c>
      <c r="AX110" s="23">
        <f>IF(OR(AX$1="",$BM110=0),"",IFERROR(LOOKUP(2,1/((Budgets!$A$2:$A$200=AX$1)*(Budgets!$B$2:$B$200&lt;EDATE($A110,1))),Budgets!$C$2:$C$200),0))</f>
        <v/>
      </c>
      <c r="AY110" s="23">
        <f>IF(OR(AY$1="",$BM110=0),"",IFERROR(LOOKUP(2,1/((Budgets!$A$2:$A$200=AY$1)*(Budgets!$B$2:$B$200&lt;EDATE($A110,1))),Budgets!$C$2:$C$200),0))</f>
        <v/>
      </c>
      <c r="AZ110" s="23">
        <f>IF(OR(AZ$1="",$BM110=0),"",IFERROR(LOOKUP(2,1/((Budgets!$A$2:$A$200=AZ$1)*(Budgets!$B$2:$B$200&lt;EDATE($A110,1))),Budgets!$C$2:$C$200),0))</f>
        <v/>
      </c>
      <c r="BA110" s="23">
        <f>IF(OR(BA$1="",$BM110=0),"",IFERROR(LOOKUP(2,1/((Budgets!$A$2:$A$200=BA$1)*(Budgets!$B$2:$B$200&lt;EDATE($A110,1))),Budgets!$C$2:$C$200),0))</f>
        <v/>
      </c>
      <c r="BB110" s="23">
        <f>IF(OR(BB$1="",$BM110=0),"",IFERROR(LOOKUP(2,1/((Budgets!$A$2:$A$200=BB$1)*(Budgets!$B$2:$B$200&lt;EDATE($A110,1))),Budgets!$C$2:$C$200),0))</f>
        <v/>
      </c>
      <c r="BC110" s="23">
        <f>IF(OR(BC$1="",$BM110=0),"",IFERROR(LOOKUP(2,1/((Budgets!$A$2:$A$200=BC$1)*(Budgets!$B$2:$B$200&lt;EDATE($A110,1))),Budgets!$C$2:$C$200),0))</f>
        <v/>
      </c>
      <c r="BD110" s="23">
        <f>IF(OR(BD$1="",$BM110=0),"",IFERROR(LOOKUP(2,1/((Budgets!$A$2:$A$200=BD$1)*(Budgets!$B$2:$B$200&lt;EDATE($A110,1))),Budgets!$C$2:$C$200),0))</f>
        <v/>
      </c>
      <c r="BE110" s="23">
        <f>IF(OR(BE$1="",$BM110=0),"",IFERROR(LOOKUP(2,1/((Budgets!$A$2:$A$200=BE$1)*(Budgets!$B$2:$B$200&lt;EDATE($A110,1))),Budgets!$C$2:$C$200),0))</f>
        <v/>
      </c>
      <c r="BF110" s="23">
        <f>IF(OR(BF$1="",$BM110=0),"",IFERROR(LOOKUP(2,1/((Budgets!$A$2:$A$200=BF$1)*(Budgets!$B$2:$B$200&lt;EDATE($A110,1))),Budgets!$C$2:$C$200),0))</f>
        <v/>
      </c>
      <c r="BG110" s="23">
        <f>IF(OR(BG$1="",$BM110=0),"",IFERROR(LOOKUP(2,1/((Budgets!$A$2:$A$200=BG$1)*(Budgets!$B$2:$B$200&lt;EDATE($A110,1))),Budgets!$C$2:$C$200),0))</f>
        <v/>
      </c>
      <c r="BH110" s="23">
        <f>IF(OR(BH$1="",$BM110=0),"",IFERROR(LOOKUP(2,1/((Budgets!$A$2:$A$200=BH$1)*(Budgets!$B$2:$B$200&lt;EDATE($A110,1))),Budgets!$C$2:$C$200),0))</f>
        <v/>
      </c>
      <c r="BI110" s="23">
        <f>IF(OR(BI$1="",$BM110=0),"",IFERROR(LOOKUP(2,1/((Budgets!$A$2:$A$200=BI$1)*(Budgets!$B$2:$B$200&lt;EDATE($A110,1))),Budgets!$C$2:$C$200),0))</f>
        <v/>
      </c>
      <c r="BJ110" s="23">
        <f>IF(OR(BJ$1="",$BM110=0),"",IFERROR(LOOKUP(2,1/((Budgets!$A$2:$A$200=BJ$1)*(Budgets!$B$2:$B$200&lt;EDATE($A110,1))),Budgets!$C$2:$C$200),0))</f>
        <v/>
      </c>
      <c r="BK110" s="23">
        <f>IF(OR(BK$1="",$BM110=0),"",IFERROR(LOOKUP(2,1/((Budgets!$A$2:$A$200=BK$1)*(Budgets!$B$2:$B$200&lt;EDATE($A110,1))),Budgets!$C$2:$C$200),0))</f>
        <v/>
      </c>
      <c r="BM110" s="21">
        <f>COUNTIFS(Entries!$A$2:$A$5000,"&gt;="&amp;$A110,Entries!$A$2:$A$5000,"&lt;"&amp;EDATE($A110,1))</f>
        <v/>
      </c>
    </row>
    <row r="111">
      <c r="A111" s="22" t="n">
        <v>42767</v>
      </c>
      <c r="B111" s="23">
        <f>IF($BM111=0,NA(),SUMIFS(Entries!$E$2:$E$5000,Entries!$C$2:$C$5000,"Income",Entries!$A$2:$A$5000,"&gt;="&amp;$A111,Entries!$A$2:$A$5000,"&lt;"&amp;EDATE($A111,1)))</f>
        <v/>
      </c>
      <c r="C111" s="23">
        <f>IF($BM111=0,"",SUMIFS(Entries!$E$2:$E$5000,Entries!$C$2:$C$5000,"Actual",Entries!$A$2:$A$5000,"&gt;="&amp;$A111,Entries!$A$2:$A$5000,"&lt;"&amp;EDATE($A111,1)))</f>
        <v/>
      </c>
      <c r="D111" s="23">
        <f>IF($BM111=0,"",SUMIFS(Entries!$E$2:$E$5000,Entries!$C$2:$C$5000,"One-off",Entries!$A$2:$A$5000,"&gt;="&amp;$A111,Entries!$A$2:$A$5000,"&lt;"&amp;EDATE($A111,1)))</f>
        <v/>
      </c>
      <c r="E111" s="23">
        <f>IF($BM111=0,NA(),C111+D111)</f>
        <v/>
      </c>
      <c r="F111" s="23">
        <f>IF($BM111=0,"",SUM(AR111:BK111))</f>
        <v/>
      </c>
      <c r="G111" s="23">
        <f>IF($BM111=0,"",B111-E111)</f>
        <v/>
      </c>
      <c r="H111" s="23">
        <f>IF($BM111=0,"",SUM($G$2:G111))</f>
        <v/>
      </c>
      <c r="I111" s="23">
        <f>IF($BM111=0,"",SUMIFS(Entries!$G$2:$G$5000,Entries!$A$2:$A$5000,"&gt;="&amp;$A111,Entries!$A$2:$A$5000,"&lt;"&amp;EDATE($A111,1)))</f>
        <v/>
      </c>
      <c r="J111" s="23">
        <f>IF($BM111=0,NA(),H111)</f>
        <v/>
      </c>
      <c r="K111" s="23">
        <f>IF($BM111=0,"",SUMIFS(Entries!$E$2:$E$5000,Entries!$C$2:$C$5000,"Income",Entries!$A$2:$A$5000,"&gt;="&amp;EDATE($A111,-11),Entries!$A$2:$A$5000,"&lt;"&amp;EDATE($A111,1))/COUNTIFS($A$2:$A$400,"&gt;="&amp;EDATE($A111,-11),$A$2:$A$400,"&lt;"&amp;EDATE($A111,1),$BM$2:$BM$400,"&gt;0"))</f>
      </c>
      <c r="L111" s="23">
        <f>IF($BM111=0,"",(SUMIFS(Entries!$E$2:$E$5000,Entries!$C$2:$C$5000,"Actual",Entries!$A$2:$A$5000,"&gt;="&amp;EDATE($A111,-11),Entries!$A$2:$A$5000,"&lt;"&amp;EDATE($A111,1))+SUMIFS(Entries!$E$2:$E$5000,Entries!$C$2:$C$5000,"One-off",Entries!$A$2:$A$5000,"&gt;="&amp;EDATE($A111,-11),Entries!$A$2:$A$5000,"&lt;"&amp;EDATE($A111,1)))/COUNTIFS($A$2:$A$400,"&gt;="&amp;EDATE($A111,-11),$A$2:$A$400,"&lt;"&amp;EDATE($A111,1),$BM$2:$BM$400,"&gt;0"))</f>
      </c>
      <c r="M111" s="24">
        <f>IF($BM111=0,NA(),IFERROR((K111-L111)/K111,0))</f>
        <v/>
      </c>
      <c r="N111" s="23">
        <f>IF($BM111=0,NA(),SUMIFS(Entries!$E$2:$E$5000,Entries!$D$2:$D$5000,"Core",Entries!$A$2:$A$5000,"&gt;="&amp;$A111,Entries!$A$2:$A$5000,"&lt;"&amp;EDATE($A111,1)))</f>
        <v/>
      </c>
      <c r="O111" s="23">
        <f>IF($BM111=0,NA(),SUMIFS(Entries!$E$2:$E$5000,Entries!$D$2:$D$5000,"Over &amp; above",Entries!$A$2:$A$5000,"&gt;="&amp;$A111,Entries!$A$2:$A$5000,"&lt;"&amp;EDATE($A111,1)))</f>
        <v/>
      </c>
      <c r="P111" s="23">
        <f>IF($BM111=0,NA(),SUMIFS(Entries!$E$2:$E$5000,Entries!$D$2:$D$5000,"One-off",Entries!$A$2:$A$5000,"&gt;="&amp;$A111,Entries!$A$2:$A$5000,"&lt;"&amp;EDATE($A111,1)))</f>
        <v/>
      </c>
      <c r="Q111" s="23">
        <f>IF($BM111=0,NA(),SUMIFS(Entries!$E$2:$E$5000,Entries!$D$2:$D$5000,"Reimbursable",Entries!$A$2:$A$5000,"&gt;="&amp;$A111,Entries!$A$2:$A$5000,"&lt;"&amp;EDATE($A111,1)))</f>
        <v/>
      </c>
      <c r="R111" s="23">
        <f>IF($BM111=0,NA(),SUMIFS(Entries!$E$2:$E$5000,Entries!$D$2:$D$5000,"Investment",Entries!$A$2:$A$5000,"&gt;="&amp;$A111,Entries!$A$2:$A$5000,"&lt;"&amp;EDATE($A111,1)))</f>
        <v/>
      </c>
      <c r="S111" s="23">
        <f>IF($BM111=0,NA(),N111+O111)</f>
        <v/>
      </c>
      <c r="T111" s="23">
        <f>IF($BM111=0,"",E111-Q111)</f>
        <v/>
      </c>
      <c r="W111" s="23">
        <f>IF(OR(W$1="",$BM111=0),"",SUMIFS(Entries!$E$2:$E$5000,Entries!$C$2:$C$5000,"Actual",Entries!$A$2:$A$5000,"&gt;="&amp;$A111,Entries!$A$2:$A$5000,"&lt;"&amp;EDATE($A111,1),Entries!$B$2:$B$5000,W$1))</f>
        <v/>
      </c>
      <c r="X111" s="23">
        <f>IF(OR(X$1="",$BM111=0),"",SUMIFS(Entries!$E$2:$E$5000,Entries!$C$2:$C$5000,"Actual",Entries!$A$2:$A$5000,"&gt;="&amp;$A111,Entries!$A$2:$A$5000,"&lt;"&amp;EDATE($A111,1),Entries!$B$2:$B$5000,X$1))</f>
        <v/>
      </c>
      <c r="Y111" s="23">
        <f>IF(OR(Y$1="",$BM111=0),"",SUMIFS(Entries!$E$2:$E$5000,Entries!$C$2:$C$5000,"Actual",Entries!$A$2:$A$5000,"&gt;="&amp;$A111,Entries!$A$2:$A$5000,"&lt;"&amp;EDATE($A111,1),Entries!$B$2:$B$5000,Y$1))</f>
        <v/>
      </c>
      <c r="Z111" s="23">
        <f>IF(OR(Z$1="",$BM111=0),"",SUMIFS(Entries!$E$2:$E$5000,Entries!$C$2:$C$5000,"Actual",Entries!$A$2:$A$5000,"&gt;="&amp;$A111,Entries!$A$2:$A$5000,"&lt;"&amp;EDATE($A111,1),Entries!$B$2:$B$5000,Z$1))</f>
        <v/>
      </c>
      <c r="AA111" s="23">
        <f>IF(OR(AA$1="",$BM111=0),"",SUMIFS(Entries!$E$2:$E$5000,Entries!$C$2:$C$5000,"Actual",Entries!$A$2:$A$5000,"&gt;="&amp;$A111,Entries!$A$2:$A$5000,"&lt;"&amp;EDATE($A111,1),Entries!$B$2:$B$5000,AA$1))</f>
        <v/>
      </c>
      <c r="AB111" s="23">
        <f>IF(OR(AB$1="",$BM111=0),"",SUMIFS(Entries!$E$2:$E$5000,Entries!$C$2:$C$5000,"Actual",Entries!$A$2:$A$5000,"&gt;="&amp;$A111,Entries!$A$2:$A$5000,"&lt;"&amp;EDATE($A111,1),Entries!$B$2:$B$5000,AB$1))</f>
        <v/>
      </c>
      <c r="AC111" s="23">
        <f>IF(OR(AC$1="",$BM111=0),"",SUMIFS(Entries!$E$2:$E$5000,Entries!$C$2:$C$5000,"Actual",Entries!$A$2:$A$5000,"&gt;="&amp;$A111,Entries!$A$2:$A$5000,"&lt;"&amp;EDATE($A111,1),Entries!$B$2:$B$5000,AC$1))</f>
        <v/>
      </c>
      <c r="AD111" s="23">
        <f>IF(OR(AD$1="",$BM111=0),"",SUMIFS(Entries!$E$2:$E$5000,Entries!$C$2:$C$5000,"Actual",Entries!$A$2:$A$5000,"&gt;="&amp;$A111,Entries!$A$2:$A$5000,"&lt;"&amp;EDATE($A111,1),Entries!$B$2:$B$5000,AD$1))</f>
        <v/>
      </c>
      <c r="AE111" s="23">
        <f>IF(OR(AE$1="",$BM111=0),"",SUMIFS(Entries!$E$2:$E$5000,Entries!$C$2:$C$5000,"Actual",Entries!$A$2:$A$5000,"&gt;="&amp;$A111,Entries!$A$2:$A$5000,"&lt;"&amp;EDATE($A111,1),Entries!$B$2:$B$5000,AE$1))</f>
        <v/>
      </c>
      <c r="AF111" s="23">
        <f>IF(OR(AF$1="",$BM111=0),"",SUMIFS(Entries!$E$2:$E$5000,Entries!$C$2:$C$5000,"Actual",Entries!$A$2:$A$5000,"&gt;="&amp;$A111,Entries!$A$2:$A$5000,"&lt;"&amp;EDATE($A111,1),Entries!$B$2:$B$5000,AF$1))</f>
        <v/>
      </c>
      <c r="AG111" s="23">
        <f>IF(OR(AG$1="",$BM111=0),"",SUMIFS(Entries!$E$2:$E$5000,Entries!$C$2:$C$5000,"Actual",Entries!$A$2:$A$5000,"&gt;="&amp;$A111,Entries!$A$2:$A$5000,"&lt;"&amp;EDATE($A111,1),Entries!$B$2:$B$5000,AG$1))</f>
        <v/>
      </c>
      <c r="AH111" s="23">
        <f>IF(OR(AH$1="",$BM111=0),"",SUMIFS(Entries!$E$2:$E$5000,Entries!$C$2:$C$5000,"Actual",Entries!$A$2:$A$5000,"&gt;="&amp;$A111,Entries!$A$2:$A$5000,"&lt;"&amp;EDATE($A111,1),Entries!$B$2:$B$5000,AH$1))</f>
        <v/>
      </c>
      <c r="AI111" s="23">
        <f>IF(OR(AI$1="",$BM111=0),"",SUMIFS(Entries!$E$2:$E$5000,Entries!$C$2:$C$5000,"Actual",Entries!$A$2:$A$5000,"&gt;="&amp;$A111,Entries!$A$2:$A$5000,"&lt;"&amp;EDATE($A111,1),Entries!$B$2:$B$5000,AI$1))</f>
        <v/>
      </c>
      <c r="AJ111" s="23">
        <f>IF(OR(AJ$1="",$BM111=0),"",SUMIFS(Entries!$E$2:$E$5000,Entries!$C$2:$C$5000,"Actual",Entries!$A$2:$A$5000,"&gt;="&amp;$A111,Entries!$A$2:$A$5000,"&lt;"&amp;EDATE($A111,1),Entries!$B$2:$B$5000,AJ$1))</f>
        <v/>
      </c>
      <c r="AK111" s="23">
        <f>IF(OR(AK$1="",$BM111=0),"",SUMIFS(Entries!$E$2:$E$5000,Entries!$C$2:$C$5000,"Actual",Entries!$A$2:$A$5000,"&gt;="&amp;$A111,Entries!$A$2:$A$5000,"&lt;"&amp;EDATE($A111,1),Entries!$B$2:$B$5000,AK$1))</f>
        <v/>
      </c>
      <c r="AL111" s="23">
        <f>IF(OR(AL$1="",$BM111=0),"",SUMIFS(Entries!$E$2:$E$5000,Entries!$C$2:$C$5000,"Actual",Entries!$A$2:$A$5000,"&gt;="&amp;$A111,Entries!$A$2:$A$5000,"&lt;"&amp;EDATE($A111,1),Entries!$B$2:$B$5000,AL$1))</f>
        <v/>
      </c>
      <c r="AM111" s="23">
        <f>IF(OR(AM$1="",$BM111=0),"",SUMIFS(Entries!$E$2:$E$5000,Entries!$C$2:$C$5000,"Actual",Entries!$A$2:$A$5000,"&gt;="&amp;$A111,Entries!$A$2:$A$5000,"&lt;"&amp;EDATE($A111,1),Entries!$B$2:$B$5000,AM$1))</f>
        <v/>
      </c>
      <c r="AN111" s="23">
        <f>IF(OR(AN$1="",$BM111=0),"",SUMIFS(Entries!$E$2:$E$5000,Entries!$C$2:$C$5000,"Actual",Entries!$A$2:$A$5000,"&gt;="&amp;$A111,Entries!$A$2:$A$5000,"&lt;"&amp;EDATE($A111,1),Entries!$B$2:$B$5000,AN$1))</f>
        <v/>
      </c>
      <c r="AO111" s="23">
        <f>IF(OR(AO$1="",$BM111=0),"",SUMIFS(Entries!$E$2:$E$5000,Entries!$C$2:$C$5000,"Actual",Entries!$A$2:$A$5000,"&gt;="&amp;$A111,Entries!$A$2:$A$5000,"&lt;"&amp;EDATE($A111,1),Entries!$B$2:$B$5000,AO$1))</f>
        <v/>
      </c>
      <c r="AP111" s="23">
        <f>IF(OR(AP$1="",$BM111=0),"",SUMIFS(Entries!$E$2:$E$5000,Entries!$C$2:$C$5000,"Actual",Entries!$A$2:$A$5000,"&gt;="&amp;$A111,Entries!$A$2:$A$5000,"&lt;"&amp;EDATE($A111,1),Entries!$B$2:$B$5000,AP$1))</f>
        <v/>
      </c>
      <c r="AR111" s="23">
        <f>IF(OR(AR$1="",$BM111=0),"",IFERROR(LOOKUP(2,1/((Budgets!$A$2:$A$200=AR$1)*(Budgets!$B$2:$B$200&lt;EDATE($A111,1))),Budgets!$C$2:$C$200),0))</f>
        <v/>
      </c>
      <c r="AS111" s="23">
        <f>IF(OR(AS$1="",$BM111=0),"",IFERROR(LOOKUP(2,1/((Budgets!$A$2:$A$200=AS$1)*(Budgets!$B$2:$B$200&lt;EDATE($A111,1))),Budgets!$C$2:$C$200),0))</f>
        <v/>
      </c>
      <c r="AT111" s="23">
        <f>IF(OR(AT$1="",$BM111=0),"",IFERROR(LOOKUP(2,1/((Budgets!$A$2:$A$200=AT$1)*(Budgets!$B$2:$B$200&lt;EDATE($A111,1))),Budgets!$C$2:$C$200),0))</f>
        <v/>
      </c>
      <c r="AU111" s="23">
        <f>IF(OR(AU$1="",$BM111=0),"",IFERROR(LOOKUP(2,1/((Budgets!$A$2:$A$200=AU$1)*(Budgets!$B$2:$B$200&lt;EDATE($A111,1))),Budgets!$C$2:$C$200),0))</f>
        <v/>
      </c>
      <c r="AV111" s="23">
        <f>IF(OR(AV$1="",$BM111=0),"",IFERROR(LOOKUP(2,1/((Budgets!$A$2:$A$200=AV$1)*(Budgets!$B$2:$B$200&lt;EDATE($A111,1))),Budgets!$C$2:$C$200),0))</f>
        <v/>
      </c>
      <c r="AW111" s="23">
        <f>IF(OR(AW$1="",$BM111=0),"",IFERROR(LOOKUP(2,1/((Budgets!$A$2:$A$200=AW$1)*(Budgets!$B$2:$B$200&lt;EDATE($A111,1))),Budgets!$C$2:$C$200),0))</f>
        <v/>
      </c>
      <c r="AX111" s="23">
        <f>IF(OR(AX$1="",$BM111=0),"",IFERROR(LOOKUP(2,1/((Budgets!$A$2:$A$200=AX$1)*(Budgets!$B$2:$B$200&lt;EDATE($A111,1))),Budgets!$C$2:$C$200),0))</f>
        <v/>
      </c>
      <c r="AY111" s="23">
        <f>IF(OR(AY$1="",$BM111=0),"",IFERROR(LOOKUP(2,1/((Budgets!$A$2:$A$200=AY$1)*(Budgets!$B$2:$B$200&lt;EDATE($A111,1))),Budgets!$C$2:$C$200),0))</f>
        <v/>
      </c>
      <c r="AZ111" s="23">
        <f>IF(OR(AZ$1="",$BM111=0),"",IFERROR(LOOKUP(2,1/((Budgets!$A$2:$A$200=AZ$1)*(Budgets!$B$2:$B$200&lt;EDATE($A111,1))),Budgets!$C$2:$C$200),0))</f>
        <v/>
      </c>
      <c r="BA111" s="23">
        <f>IF(OR(BA$1="",$BM111=0),"",IFERROR(LOOKUP(2,1/((Budgets!$A$2:$A$200=BA$1)*(Budgets!$B$2:$B$200&lt;EDATE($A111,1))),Budgets!$C$2:$C$200),0))</f>
        <v/>
      </c>
      <c r="BB111" s="23">
        <f>IF(OR(BB$1="",$BM111=0),"",IFERROR(LOOKUP(2,1/((Budgets!$A$2:$A$200=BB$1)*(Budgets!$B$2:$B$200&lt;EDATE($A111,1))),Budgets!$C$2:$C$200),0))</f>
        <v/>
      </c>
      <c r="BC111" s="23">
        <f>IF(OR(BC$1="",$BM111=0),"",IFERROR(LOOKUP(2,1/((Budgets!$A$2:$A$200=BC$1)*(Budgets!$B$2:$B$200&lt;EDATE($A111,1))),Budgets!$C$2:$C$200),0))</f>
        <v/>
      </c>
      <c r="BD111" s="23">
        <f>IF(OR(BD$1="",$BM111=0),"",IFERROR(LOOKUP(2,1/((Budgets!$A$2:$A$200=BD$1)*(Budgets!$B$2:$B$200&lt;EDATE($A111,1))),Budgets!$C$2:$C$200),0))</f>
        <v/>
      </c>
      <c r="BE111" s="23">
        <f>IF(OR(BE$1="",$BM111=0),"",IFERROR(LOOKUP(2,1/((Budgets!$A$2:$A$200=BE$1)*(Budgets!$B$2:$B$200&lt;EDATE($A111,1))),Budgets!$C$2:$C$200),0))</f>
        <v/>
      </c>
      <c r="BF111" s="23">
        <f>IF(OR(BF$1="",$BM111=0),"",IFERROR(LOOKUP(2,1/((Budgets!$A$2:$A$200=BF$1)*(Budgets!$B$2:$B$200&lt;EDATE($A111,1))),Budgets!$C$2:$C$200),0))</f>
        <v/>
      </c>
      <c r="BG111" s="23">
        <f>IF(OR(BG$1="",$BM111=0),"",IFERROR(LOOKUP(2,1/((Budgets!$A$2:$A$200=BG$1)*(Budgets!$B$2:$B$200&lt;EDATE($A111,1))),Budgets!$C$2:$C$200),0))</f>
        <v/>
      </c>
      <c r="BH111" s="23">
        <f>IF(OR(BH$1="",$BM111=0),"",IFERROR(LOOKUP(2,1/((Budgets!$A$2:$A$200=BH$1)*(Budgets!$B$2:$B$200&lt;EDATE($A111,1))),Budgets!$C$2:$C$200),0))</f>
        <v/>
      </c>
      <c r="BI111" s="23">
        <f>IF(OR(BI$1="",$BM111=0),"",IFERROR(LOOKUP(2,1/((Budgets!$A$2:$A$200=BI$1)*(Budgets!$B$2:$B$200&lt;EDATE($A111,1))),Budgets!$C$2:$C$200),0))</f>
        <v/>
      </c>
      <c r="BJ111" s="23">
        <f>IF(OR(BJ$1="",$BM111=0),"",IFERROR(LOOKUP(2,1/((Budgets!$A$2:$A$200=BJ$1)*(Budgets!$B$2:$B$200&lt;EDATE($A111,1))),Budgets!$C$2:$C$200),0))</f>
        <v/>
      </c>
      <c r="BK111" s="23">
        <f>IF(OR(BK$1="",$BM111=0),"",IFERROR(LOOKUP(2,1/((Budgets!$A$2:$A$200=BK$1)*(Budgets!$B$2:$B$200&lt;EDATE($A111,1))),Budgets!$C$2:$C$200),0))</f>
        <v/>
      </c>
      <c r="BM111" s="21">
        <f>COUNTIFS(Entries!$A$2:$A$5000,"&gt;="&amp;$A111,Entries!$A$2:$A$5000,"&lt;"&amp;EDATE($A111,1))</f>
        <v/>
      </c>
    </row>
    <row r="112">
      <c r="A112" s="22" t="n">
        <v>42795</v>
      </c>
      <c r="B112" s="23">
        <f>IF($BM112=0,NA(),SUMIFS(Entries!$E$2:$E$5000,Entries!$C$2:$C$5000,"Income",Entries!$A$2:$A$5000,"&gt;="&amp;$A112,Entries!$A$2:$A$5000,"&lt;"&amp;EDATE($A112,1)))</f>
        <v/>
      </c>
      <c r="C112" s="23">
        <f>IF($BM112=0,"",SUMIFS(Entries!$E$2:$E$5000,Entries!$C$2:$C$5000,"Actual",Entries!$A$2:$A$5000,"&gt;="&amp;$A112,Entries!$A$2:$A$5000,"&lt;"&amp;EDATE($A112,1)))</f>
        <v/>
      </c>
      <c r="D112" s="23">
        <f>IF($BM112=0,"",SUMIFS(Entries!$E$2:$E$5000,Entries!$C$2:$C$5000,"One-off",Entries!$A$2:$A$5000,"&gt;="&amp;$A112,Entries!$A$2:$A$5000,"&lt;"&amp;EDATE($A112,1)))</f>
        <v/>
      </c>
      <c r="E112" s="23">
        <f>IF($BM112=0,NA(),C112+D112)</f>
        <v/>
      </c>
      <c r="F112" s="23">
        <f>IF($BM112=0,"",SUM(AR112:BK112))</f>
        <v/>
      </c>
      <c r="G112" s="23">
        <f>IF($BM112=0,"",B112-E112)</f>
        <v/>
      </c>
      <c r="H112" s="23">
        <f>IF($BM112=0,"",SUM($G$2:G112))</f>
        <v/>
      </c>
      <c r="I112" s="23">
        <f>IF($BM112=0,"",SUMIFS(Entries!$G$2:$G$5000,Entries!$A$2:$A$5000,"&gt;="&amp;$A112,Entries!$A$2:$A$5000,"&lt;"&amp;EDATE($A112,1)))</f>
        <v/>
      </c>
      <c r="J112" s="23">
        <f>IF($BM112=0,NA(),H112)</f>
        <v/>
      </c>
      <c r="K112" s="23">
        <f>IF($BM112=0,"",SUMIFS(Entries!$E$2:$E$5000,Entries!$C$2:$C$5000,"Income",Entries!$A$2:$A$5000,"&gt;="&amp;EDATE($A112,-11),Entries!$A$2:$A$5000,"&lt;"&amp;EDATE($A112,1))/COUNTIFS($A$2:$A$400,"&gt;="&amp;EDATE($A112,-11),$A$2:$A$400,"&lt;"&amp;EDATE($A112,1),$BM$2:$BM$400,"&gt;0"))</f>
      </c>
      <c r="L112" s="23">
        <f>IF($BM112=0,"",(SUMIFS(Entries!$E$2:$E$5000,Entries!$C$2:$C$5000,"Actual",Entries!$A$2:$A$5000,"&gt;="&amp;EDATE($A112,-11),Entries!$A$2:$A$5000,"&lt;"&amp;EDATE($A112,1))+SUMIFS(Entries!$E$2:$E$5000,Entries!$C$2:$C$5000,"One-off",Entries!$A$2:$A$5000,"&gt;="&amp;EDATE($A112,-11),Entries!$A$2:$A$5000,"&lt;"&amp;EDATE($A112,1)))/COUNTIFS($A$2:$A$400,"&gt;="&amp;EDATE($A112,-11),$A$2:$A$400,"&lt;"&amp;EDATE($A112,1),$BM$2:$BM$400,"&gt;0"))</f>
      </c>
      <c r="M112" s="24">
        <f>IF($BM112=0,NA(),IFERROR((K112-L112)/K112,0))</f>
        <v/>
      </c>
      <c r="N112" s="23">
        <f>IF($BM112=0,NA(),SUMIFS(Entries!$E$2:$E$5000,Entries!$D$2:$D$5000,"Core",Entries!$A$2:$A$5000,"&gt;="&amp;$A112,Entries!$A$2:$A$5000,"&lt;"&amp;EDATE($A112,1)))</f>
        <v/>
      </c>
      <c r="O112" s="23">
        <f>IF($BM112=0,NA(),SUMIFS(Entries!$E$2:$E$5000,Entries!$D$2:$D$5000,"Over &amp; above",Entries!$A$2:$A$5000,"&gt;="&amp;$A112,Entries!$A$2:$A$5000,"&lt;"&amp;EDATE($A112,1)))</f>
        <v/>
      </c>
      <c r="P112" s="23">
        <f>IF($BM112=0,NA(),SUMIFS(Entries!$E$2:$E$5000,Entries!$D$2:$D$5000,"One-off",Entries!$A$2:$A$5000,"&gt;="&amp;$A112,Entries!$A$2:$A$5000,"&lt;"&amp;EDATE($A112,1)))</f>
        <v/>
      </c>
      <c r="Q112" s="23">
        <f>IF($BM112=0,NA(),SUMIFS(Entries!$E$2:$E$5000,Entries!$D$2:$D$5000,"Reimbursable",Entries!$A$2:$A$5000,"&gt;="&amp;$A112,Entries!$A$2:$A$5000,"&lt;"&amp;EDATE($A112,1)))</f>
        <v/>
      </c>
      <c r="R112" s="23">
        <f>IF($BM112=0,NA(),SUMIFS(Entries!$E$2:$E$5000,Entries!$D$2:$D$5000,"Investment",Entries!$A$2:$A$5000,"&gt;="&amp;$A112,Entries!$A$2:$A$5000,"&lt;"&amp;EDATE($A112,1)))</f>
        <v/>
      </c>
      <c r="S112" s="23">
        <f>IF($BM112=0,NA(),N112+O112)</f>
        <v/>
      </c>
      <c r="T112" s="23">
        <f>IF($BM112=0,"",E112-Q112)</f>
        <v/>
      </c>
      <c r="W112" s="23">
        <f>IF(OR(W$1="",$BM112=0),"",SUMIFS(Entries!$E$2:$E$5000,Entries!$C$2:$C$5000,"Actual",Entries!$A$2:$A$5000,"&gt;="&amp;$A112,Entries!$A$2:$A$5000,"&lt;"&amp;EDATE($A112,1),Entries!$B$2:$B$5000,W$1))</f>
        <v/>
      </c>
      <c r="X112" s="23">
        <f>IF(OR(X$1="",$BM112=0),"",SUMIFS(Entries!$E$2:$E$5000,Entries!$C$2:$C$5000,"Actual",Entries!$A$2:$A$5000,"&gt;="&amp;$A112,Entries!$A$2:$A$5000,"&lt;"&amp;EDATE($A112,1),Entries!$B$2:$B$5000,X$1))</f>
        <v/>
      </c>
      <c r="Y112" s="23">
        <f>IF(OR(Y$1="",$BM112=0),"",SUMIFS(Entries!$E$2:$E$5000,Entries!$C$2:$C$5000,"Actual",Entries!$A$2:$A$5000,"&gt;="&amp;$A112,Entries!$A$2:$A$5000,"&lt;"&amp;EDATE($A112,1),Entries!$B$2:$B$5000,Y$1))</f>
        <v/>
      </c>
      <c r="Z112" s="23">
        <f>IF(OR(Z$1="",$BM112=0),"",SUMIFS(Entries!$E$2:$E$5000,Entries!$C$2:$C$5000,"Actual",Entries!$A$2:$A$5000,"&gt;="&amp;$A112,Entries!$A$2:$A$5000,"&lt;"&amp;EDATE($A112,1),Entries!$B$2:$B$5000,Z$1))</f>
        <v/>
      </c>
      <c r="AA112" s="23">
        <f>IF(OR(AA$1="",$BM112=0),"",SUMIFS(Entries!$E$2:$E$5000,Entries!$C$2:$C$5000,"Actual",Entries!$A$2:$A$5000,"&gt;="&amp;$A112,Entries!$A$2:$A$5000,"&lt;"&amp;EDATE($A112,1),Entries!$B$2:$B$5000,AA$1))</f>
        <v/>
      </c>
      <c r="AB112" s="23">
        <f>IF(OR(AB$1="",$BM112=0),"",SUMIFS(Entries!$E$2:$E$5000,Entries!$C$2:$C$5000,"Actual",Entries!$A$2:$A$5000,"&gt;="&amp;$A112,Entries!$A$2:$A$5000,"&lt;"&amp;EDATE($A112,1),Entries!$B$2:$B$5000,AB$1))</f>
        <v/>
      </c>
      <c r="AC112" s="23">
        <f>IF(OR(AC$1="",$BM112=0),"",SUMIFS(Entries!$E$2:$E$5000,Entries!$C$2:$C$5000,"Actual",Entries!$A$2:$A$5000,"&gt;="&amp;$A112,Entries!$A$2:$A$5000,"&lt;"&amp;EDATE($A112,1),Entries!$B$2:$B$5000,AC$1))</f>
        <v/>
      </c>
      <c r="AD112" s="23">
        <f>IF(OR(AD$1="",$BM112=0),"",SUMIFS(Entries!$E$2:$E$5000,Entries!$C$2:$C$5000,"Actual",Entries!$A$2:$A$5000,"&gt;="&amp;$A112,Entries!$A$2:$A$5000,"&lt;"&amp;EDATE($A112,1),Entries!$B$2:$B$5000,AD$1))</f>
        <v/>
      </c>
      <c r="AE112" s="23">
        <f>IF(OR(AE$1="",$BM112=0),"",SUMIFS(Entries!$E$2:$E$5000,Entries!$C$2:$C$5000,"Actual",Entries!$A$2:$A$5000,"&gt;="&amp;$A112,Entries!$A$2:$A$5000,"&lt;"&amp;EDATE($A112,1),Entries!$B$2:$B$5000,AE$1))</f>
        <v/>
      </c>
      <c r="AF112" s="23">
        <f>IF(OR(AF$1="",$BM112=0),"",SUMIFS(Entries!$E$2:$E$5000,Entries!$C$2:$C$5000,"Actual",Entries!$A$2:$A$5000,"&gt;="&amp;$A112,Entries!$A$2:$A$5000,"&lt;"&amp;EDATE($A112,1),Entries!$B$2:$B$5000,AF$1))</f>
        <v/>
      </c>
      <c r="AG112" s="23">
        <f>IF(OR(AG$1="",$BM112=0),"",SUMIFS(Entries!$E$2:$E$5000,Entries!$C$2:$C$5000,"Actual",Entries!$A$2:$A$5000,"&gt;="&amp;$A112,Entries!$A$2:$A$5000,"&lt;"&amp;EDATE($A112,1),Entries!$B$2:$B$5000,AG$1))</f>
        <v/>
      </c>
      <c r="AH112" s="23">
        <f>IF(OR(AH$1="",$BM112=0),"",SUMIFS(Entries!$E$2:$E$5000,Entries!$C$2:$C$5000,"Actual",Entries!$A$2:$A$5000,"&gt;="&amp;$A112,Entries!$A$2:$A$5000,"&lt;"&amp;EDATE($A112,1),Entries!$B$2:$B$5000,AH$1))</f>
        <v/>
      </c>
      <c r="AI112" s="23">
        <f>IF(OR(AI$1="",$BM112=0),"",SUMIFS(Entries!$E$2:$E$5000,Entries!$C$2:$C$5000,"Actual",Entries!$A$2:$A$5000,"&gt;="&amp;$A112,Entries!$A$2:$A$5000,"&lt;"&amp;EDATE($A112,1),Entries!$B$2:$B$5000,AI$1))</f>
        <v/>
      </c>
      <c r="AJ112" s="23">
        <f>IF(OR(AJ$1="",$BM112=0),"",SUMIFS(Entries!$E$2:$E$5000,Entries!$C$2:$C$5000,"Actual",Entries!$A$2:$A$5000,"&gt;="&amp;$A112,Entries!$A$2:$A$5000,"&lt;"&amp;EDATE($A112,1),Entries!$B$2:$B$5000,AJ$1))</f>
        <v/>
      </c>
      <c r="AK112" s="23">
        <f>IF(OR(AK$1="",$BM112=0),"",SUMIFS(Entries!$E$2:$E$5000,Entries!$C$2:$C$5000,"Actual",Entries!$A$2:$A$5000,"&gt;="&amp;$A112,Entries!$A$2:$A$5000,"&lt;"&amp;EDATE($A112,1),Entries!$B$2:$B$5000,AK$1))</f>
        <v/>
      </c>
      <c r="AL112" s="23">
        <f>IF(OR(AL$1="",$BM112=0),"",SUMIFS(Entries!$E$2:$E$5000,Entries!$C$2:$C$5000,"Actual",Entries!$A$2:$A$5000,"&gt;="&amp;$A112,Entries!$A$2:$A$5000,"&lt;"&amp;EDATE($A112,1),Entries!$B$2:$B$5000,AL$1))</f>
        <v/>
      </c>
      <c r="AM112" s="23">
        <f>IF(OR(AM$1="",$BM112=0),"",SUMIFS(Entries!$E$2:$E$5000,Entries!$C$2:$C$5000,"Actual",Entries!$A$2:$A$5000,"&gt;="&amp;$A112,Entries!$A$2:$A$5000,"&lt;"&amp;EDATE($A112,1),Entries!$B$2:$B$5000,AM$1))</f>
        <v/>
      </c>
      <c r="AN112" s="23">
        <f>IF(OR(AN$1="",$BM112=0),"",SUMIFS(Entries!$E$2:$E$5000,Entries!$C$2:$C$5000,"Actual",Entries!$A$2:$A$5000,"&gt;="&amp;$A112,Entries!$A$2:$A$5000,"&lt;"&amp;EDATE($A112,1),Entries!$B$2:$B$5000,AN$1))</f>
        <v/>
      </c>
      <c r="AO112" s="23">
        <f>IF(OR(AO$1="",$BM112=0),"",SUMIFS(Entries!$E$2:$E$5000,Entries!$C$2:$C$5000,"Actual",Entries!$A$2:$A$5000,"&gt;="&amp;$A112,Entries!$A$2:$A$5000,"&lt;"&amp;EDATE($A112,1),Entries!$B$2:$B$5000,AO$1))</f>
        <v/>
      </c>
      <c r="AP112" s="23">
        <f>IF(OR(AP$1="",$BM112=0),"",SUMIFS(Entries!$E$2:$E$5000,Entries!$C$2:$C$5000,"Actual",Entries!$A$2:$A$5000,"&gt;="&amp;$A112,Entries!$A$2:$A$5000,"&lt;"&amp;EDATE($A112,1),Entries!$B$2:$B$5000,AP$1))</f>
        <v/>
      </c>
      <c r="AR112" s="23">
        <f>IF(OR(AR$1="",$BM112=0),"",IFERROR(LOOKUP(2,1/((Budgets!$A$2:$A$200=AR$1)*(Budgets!$B$2:$B$200&lt;EDATE($A112,1))),Budgets!$C$2:$C$200),0))</f>
        <v/>
      </c>
      <c r="AS112" s="23">
        <f>IF(OR(AS$1="",$BM112=0),"",IFERROR(LOOKUP(2,1/((Budgets!$A$2:$A$200=AS$1)*(Budgets!$B$2:$B$200&lt;EDATE($A112,1))),Budgets!$C$2:$C$200),0))</f>
        <v/>
      </c>
      <c r="AT112" s="23">
        <f>IF(OR(AT$1="",$BM112=0),"",IFERROR(LOOKUP(2,1/((Budgets!$A$2:$A$200=AT$1)*(Budgets!$B$2:$B$200&lt;EDATE($A112,1))),Budgets!$C$2:$C$200),0))</f>
        <v/>
      </c>
      <c r="AU112" s="23">
        <f>IF(OR(AU$1="",$BM112=0),"",IFERROR(LOOKUP(2,1/((Budgets!$A$2:$A$200=AU$1)*(Budgets!$B$2:$B$200&lt;EDATE($A112,1))),Budgets!$C$2:$C$200),0))</f>
        <v/>
      </c>
      <c r="AV112" s="23">
        <f>IF(OR(AV$1="",$BM112=0),"",IFERROR(LOOKUP(2,1/((Budgets!$A$2:$A$200=AV$1)*(Budgets!$B$2:$B$200&lt;EDATE($A112,1))),Budgets!$C$2:$C$200),0))</f>
        <v/>
      </c>
      <c r="AW112" s="23">
        <f>IF(OR(AW$1="",$BM112=0),"",IFERROR(LOOKUP(2,1/((Budgets!$A$2:$A$200=AW$1)*(Budgets!$B$2:$B$200&lt;EDATE($A112,1))),Budgets!$C$2:$C$200),0))</f>
        <v/>
      </c>
      <c r="AX112" s="23">
        <f>IF(OR(AX$1="",$BM112=0),"",IFERROR(LOOKUP(2,1/((Budgets!$A$2:$A$200=AX$1)*(Budgets!$B$2:$B$200&lt;EDATE($A112,1))),Budgets!$C$2:$C$200),0))</f>
        <v/>
      </c>
      <c r="AY112" s="23">
        <f>IF(OR(AY$1="",$BM112=0),"",IFERROR(LOOKUP(2,1/((Budgets!$A$2:$A$200=AY$1)*(Budgets!$B$2:$B$200&lt;EDATE($A112,1))),Budgets!$C$2:$C$200),0))</f>
        <v/>
      </c>
      <c r="AZ112" s="23">
        <f>IF(OR(AZ$1="",$BM112=0),"",IFERROR(LOOKUP(2,1/((Budgets!$A$2:$A$200=AZ$1)*(Budgets!$B$2:$B$200&lt;EDATE($A112,1))),Budgets!$C$2:$C$200),0))</f>
        <v/>
      </c>
      <c r="BA112" s="23">
        <f>IF(OR(BA$1="",$BM112=0),"",IFERROR(LOOKUP(2,1/((Budgets!$A$2:$A$200=BA$1)*(Budgets!$B$2:$B$200&lt;EDATE($A112,1))),Budgets!$C$2:$C$200),0))</f>
        <v/>
      </c>
      <c r="BB112" s="23">
        <f>IF(OR(BB$1="",$BM112=0),"",IFERROR(LOOKUP(2,1/((Budgets!$A$2:$A$200=BB$1)*(Budgets!$B$2:$B$200&lt;EDATE($A112,1))),Budgets!$C$2:$C$200),0))</f>
        <v/>
      </c>
      <c r="BC112" s="23">
        <f>IF(OR(BC$1="",$BM112=0),"",IFERROR(LOOKUP(2,1/((Budgets!$A$2:$A$200=BC$1)*(Budgets!$B$2:$B$200&lt;EDATE($A112,1))),Budgets!$C$2:$C$200),0))</f>
        <v/>
      </c>
      <c r="BD112" s="23">
        <f>IF(OR(BD$1="",$BM112=0),"",IFERROR(LOOKUP(2,1/((Budgets!$A$2:$A$200=BD$1)*(Budgets!$B$2:$B$200&lt;EDATE($A112,1))),Budgets!$C$2:$C$200),0))</f>
        <v/>
      </c>
      <c r="BE112" s="23">
        <f>IF(OR(BE$1="",$BM112=0),"",IFERROR(LOOKUP(2,1/((Budgets!$A$2:$A$200=BE$1)*(Budgets!$B$2:$B$200&lt;EDATE($A112,1))),Budgets!$C$2:$C$200),0))</f>
        <v/>
      </c>
      <c r="BF112" s="23">
        <f>IF(OR(BF$1="",$BM112=0),"",IFERROR(LOOKUP(2,1/((Budgets!$A$2:$A$200=BF$1)*(Budgets!$B$2:$B$200&lt;EDATE($A112,1))),Budgets!$C$2:$C$200),0))</f>
        <v/>
      </c>
      <c r="BG112" s="23">
        <f>IF(OR(BG$1="",$BM112=0),"",IFERROR(LOOKUP(2,1/((Budgets!$A$2:$A$200=BG$1)*(Budgets!$B$2:$B$200&lt;EDATE($A112,1))),Budgets!$C$2:$C$200),0))</f>
        <v/>
      </c>
      <c r="BH112" s="23">
        <f>IF(OR(BH$1="",$BM112=0),"",IFERROR(LOOKUP(2,1/((Budgets!$A$2:$A$200=BH$1)*(Budgets!$B$2:$B$200&lt;EDATE($A112,1))),Budgets!$C$2:$C$200),0))</f>
        <v/>
      </c>
      <c r="BI112" s="23">
        <f>IF(OR(BI$1="",$BM112=0),"",IFERROR(LOOKUP(2,1/((Budgets!$A$2:$A$200=BI$1)*(Budgets!$B$2:$B$200&lt;EDATE($A112,1))),Budgets!$C$2:$C$200),0))</f>
        <v/>
      </c>
      <c r="BJ112" s="23">
        <f>IF(OR(BJ$1="",$BM112=0),"",IFERROR(LOOKUP(2,1/((Budgets!$A$2:$A$200=BJ$1)*(Budgets!$B$2:$B$200&lt;EDATE($A112,1))),Budgets!$C$2:$C$200),0))</f>
        <v/>
      </c>
      <c r="BK112" s="23">
        <f>IF(OR(BK$1="",$BM112=0),"",IFERROR(LOOKUP(2,1/((Budgets!$A$2:$A$200=BK$1)*(Budgets!$B$2:$B$200&lt;EDATE($A112,1))),Budgets!$C$2:$C$200),0))</f>
        <v/>
      </c>
      <c r="BM112" s="21">
        <f>COUNTIFS(Entries!$A$2:$A$5000,"&gt;="&amp;$A112,Entries!$A$2:$A$5000,"&lt;"&amp;EDATE($A112,1))</f>
        <v/>
      </c>
    </row>
    <row r="113">
      <c r="A113" s="22" t="n">
        <v>42826</v>
      </c>
      <c r="B113" s="23">
        <f>IF($BM113=0,NA(),SUMIFS(Entries!$E$2:$E$5000,Entries!$C$2:$C$5000,"Income",Entries!$A$2:$A$5000,"&gt;="&amp;$A113,Entries!$A$2:$A$5000,"&lt;"&amp;EDATE($A113,1)))</f>
        <v/>
      </c>
      <c r="C113" s="23">
        <f>IF($BM113=0,"",SUMIFS(Entries!$E$2:$E$5000,Entries!$C$2:$C$5000,"Actual",Entries!$A$2:$A$5000,"&gt;="&amp;$A113,Entries!$A$2:$A$5000,"&lt;"&amp;EDATE($A113,1)))</f>
        <v/>
      </c>
      <c r="D113" s="23">
        <f>IF($BM113=0,"",SUMIFS(Entries!$E$2:$E$5000,Entries!$C$2:$C$5000,"One-off",Entries!$A$2:$A$5000,"&gt;="&amp;$A113,Entries!$A$2:$A$5000,"&lt;"&amp;EDATE($A113,1)))</f>
        <v/>
      </c>
      <c r="E113" s="23">
        <f>IF($BM113=0,NA(),C113+D113)</f>
        <v/>
      </c>
      <c r="F113" s="23">
        <f>IF($BM113=0,"",SUM(AR113:BK113))</f>
        <v/>
      </c>
      <c r="G113" s="23">
        <f>IF($BM113=0,"",B113-E113)</f>
        <v/>
      </c>
      <c r="H113" s="23">
        <f>IF($BM113=0,"",SUM($G$2:G113))</f>
        <v/>
      </c>
      <c r="I113" s="23">
        <f>IF($BM113=0,"",SUMIFS(Entries!$G$2:$G$5000,Entries!$A$2:$A$5000,"&gt;="&amp;$A113,Entries!$A$2:$A$5000,"&lt;"&amp;EDATE($A113,1)))</f>
        <v/>
      </c>
      <c r="J113" s="23">
        <f>IF($BM113=0,NA(),H113)</f>
        <v/>
      </c>
      <c r="K113" s="23">
        <f>IF($BM113=0,"",SUMIFS(Entries!$E$2:$E$5000,Entries!$C$2:$C$5000,"Income",Entries!$A$2:$A$5000,"&gt;="&amp;EDATE($A113,-11),Entries!$A$2:$A$5000,"&lt;"&amp;EDATE($A113,1))/COUNTIFS($A$2:$A$400,"&gt;="&amp;EDATE($A113,-11),$A$2:$A$400,"&lt;"&amp;EDATE($A113,1),$BM$2:$BM$400,"&gt;0"))</f>
      </c>
      <c r="L113" s="23">
        <f>IF($BM113=0,"",(SUMIFS(Entries!$E$2:$E$5000,Entries!$C$2:$C$5000,"Actual",Entries!$A$2:$A$5000,"&gt;="&amp;EDATE($A113,-11),Entries!$A$2:$A$5000,"&lt;"&amp;EDATE($A113,1))+SUMIFS(Entries!$E$2:$E$5000,Entries!$C$2:$C$5000,"One-off",Entries!$A$2:$A$5000,"&gt;="&amp;EDATE($A113,-11),Entries!$A$2:$A$5000,"&lt;"&amp;EDATE($A113,1)))/COUNTIFS($A$2:$A$400,"&gt;="&amp;EDATE($A113,-11),$A$2:$A$400,"&lt;"&amp;EDATE($A113,1),$BM$2:$BM$400,"&gt;0"))</f>
      </c>
      <c r="M113" s="24">
        <f>IF($BM113=0,NA(),IFERROR((K113-L113)/K113,0))</f>
        <v/>
      </c>
      <c r="N113" s="23">
        <f>IF($BM113=0,NA(),SUMIFS(Entries!$E$2:$E$5000,Entries!$D$2:$D$5000,"Core",Entries!$A$2:$A$5000,"&gt;="&amp;$A113,Entries!$A$2:$A$5000,"&lt;"&amp;EDATE($A113,1)))</f>
        <v/>
      </c>
      <c r="O113" s="23">
        <f>IF($BM113=0,NA(),SUMIFS(Entries!$E$2:$E$5000,Entries!$D$2:$D$5000,"Over &amp; above",Entries!$A$2:$A$5000,"&gt;="&amp;$A113,Entries!$A$2:$A$5000,"&lt;"&amp;EDATE($A113,1)))</f>
        <v/>
      </c>
      <c r="P113" s="23">
        <f>IF($BM113=0,NA(),SUMIFS(Entries!$E$2:$E$5000,Entries!$D$2:$D$5000,"One-off",Entries!$A$2:$A$5000,"&gt;="&amp;$A113,Entries!$A$2:$A$5000,"&lt;"&amp;EDATE($A113,1)))</f>
        <v/>
      </c>
      <c r="Q113" s="23">
        <f>IF($BM113=0,NA(),SUMIFS(Entries!$E$2:$E$5000,Entries!$D$2:$D$5000,"Reimbursable",Entries!$A$2:$A$5000,"&gt;="&amp;$A113,Entries!$A$2:$A$5000,"&lt;"&amp;EDATE($A113,1)))</f>
        <v/>
      </c>
      <c r="R113" s="23">
        <f>IF($BM113=0,NA(),SUMIFS(Entries!$E$2:$E$5000,Entries!$D$2:$D$5000,"Investment",Entries!$A$2:$A$5000,"&gt;="&amp;$A113,Entries!$A$2:$A$5000,"&lt;"&amp;EDATE($A113,1)))</f>
        <v/>
      </c>
      <c r="S113" s="23">
        <f>IF($BM113=0,NA(),N113+O113)</f>
        <v/>
      </c>
      <c r="T113" s="23">
        <f>IF($BM113=0,"",E113-Q113)</f>
        <v/>
      </c>
      <c r="W113" s="23">
        <f>IF(OR(W$1="",$BM113=0),"",SUMIFS(Entries!$E$2:$E$5000,Entries!$C$2:$C$5000,"Actual",Entries!$A$2:$A$5000,"&gt;="&amp;$A113,Entries!$A$2:$A$5000,"&lt;"&amp;EDATE($A113,1),Entries!$B$2:$B$5000,W$1))</f>
        <v/>
      </c>
      <c r="X113" s="23">
        <f>IF(OR(X$1="",$BM113=0),"",SUMIFS(Entries!$E$2:$E$5000,Entries!$C$2:$C$5000,"Actual",Entries!$A$2:$A$5000,"&gt;="&amp;$A113,Entries!$A$2:$A$5000,"&lt;"&amp;EDATE($A113,1),Entries!$B$2:$B$5000,X$1))</f>
        <v/>
      </c>
      <c r="Y113" s="23">
        <f>IF(OR(Y$1="",$BM113=0),"",SUMIFS(Entries!$E$2:$E$5000,Entries!$C$2:$C$5000,"Actual",Entries!$A$2:$A$5000,"&gt;="&amp;$A113,Entries!$A$2:$A$5000,"&lt;"&amp;EDATE($A113,1),Entries!$B$2:$B$5000,Y$1))</f>
        <v/>
      </c>
      <c r="Z113" s="23">
        <f>IF(OR(Z$1="",$BM113=0),"",SUMIFS(Entries!$E$2:$E$5000,Entries!$C$2:$C$5000,"Actual",Entries!$A$2:$A$5000,"&gt;="&amp;$A113,Entries!$A$2:$A$5000,"&lt;"&amp;EDATE($A113,1),Entries!$B$2:$B$5000,Z$1))</f>
        <v/>
      </c>
      <c r="AA113" s="23">
        <f>IF(OR(AA$1="",$BM113=0),"",SUMIFS(Entries!$E$2:$E$5000,Entries!$C$2:$C$5000,"Actual",Entries!$A$2:$A$5000,"&gt;="&amp;$A113,Entries!$A$2:$A$5000,"&lt;"&amp;EDATE($A113,1),Entries!$B$2:$B$5000,AA$1))</f>
        <v/>
      </c>
      <c r="AB113" s="23">
        <f>IF(OR(AB$1="",$BM113=0),"",SUMIFS(Entries!$E$2:$E$5000,Entries!$C$2:$C$5000,"Actual",Entries!$A$2:$A$5000,"&gt;="&amp;$A113,Entries!$A$2:$A$5000,"&lt;"&amp;EDATE($A113,1),Entries!$B$2:$B$5000,AB$1))</f>
        <v/>
      </c>
      <c r="AC113" s="23">
        <f>IF(OR(AC$1="",$BM113=0),"",SUMIFS(Entries!$E$2:$E$5000,Entries!$C$2:$C$5000,"Actual",Entries!$A$2:$A$5000,"&gt;="&amp;$A113,Entries!$A$2:$A$5000,"&lt;"&amp;EDATE($A113,1),Entries!$B$2:$B$5000,AC$1))</f>
        <v/>
      </c>
      <c r="AD113" s="23">
        <f>IF(OR(AD$1="",$BM113=0),"",SUMIFS(Entries!$E$2:$E$5000,Entries!$C$2:$C$5000,"Actual",Entries!$A$2:$A$5000,"&gt;="&amp;$A113,Entries!$A$2:$A$5000,"&lt;"&amp;EDATE($A113,1),Entries!$B$2:$B$5000,AD$1))</f>
        <v/>
      </c>
      <c r="AE113" s="23">
        <f>IF(OR(AE$1="",$BM113=0),"",SUMIFS(Entries!$E$2:$E$5000,Entries!$C$2:$C$5000,"Actual",Entries!$A$2:$A$5000,"&gt;="&amp;$A113,Entries!$A$2:$A$5000,"&lt;"&amp;EDATE($A113,1),Entries!$B$2:$B$5000,AE$1))</f>
        <v/>
      </c>
      <c r="AF113" s="23">
        <f>IF(OR(AF$1="",$BM113=0),"",SUMIFS(Entries!$E$2:$E$5000,Entries!$C$2:$C$5000,"Actual",Entries!$A$2:$A$5000,"&gt;="&amp;$A113,Entries!$A$2:$A$5000,"&lt;"&amp;EDATE($A113,1),Entries!$B$2:$B$5000,AF$1))</f>
        <v/>
      </c>
      <c r="AG113" s="23">
        <f>IF(OR(AG$1="",$BM113=0),"",SUMIFS(Entries!$E$2:$E$5000,Entries!$C$2:$C$5000,"Actual",Entries!$A$2:$A$5000,"&gt;="&amp;$A113,Entries!$A$2:$A$5000,"&lt;"&amp;EDATE($A113,1),Entries!$B$2:$B$5000,AG$1))</f>
        <v/>
      </c>
      <c r="AH113" s="23">
        <f>IF(OR(AH$1="",$BM113=0),"",SUMIFS(Entries!$E$2:$E$5000,Entries!$C$2:$C$5000,"Actual",Entries!$A$2:$A$5000,"&gt;="&amp;$A113,Entries!$A$2:$A$5000,"&lt;"&amp;EDATE($A113,1),Entries!$B$2:$B$5000,AH$1))</f>
        <v/>
      </c>
      <c r="AI113" s="23">
        <f>IF(OR(AI$1="",$BM113=0),"",SUMIFS(Entries!$E$2:$E$5000,Entries!$C$2:$C$5000,"Actual",Entries!$A$2:$A$5000,"&gt;="&amp;$A113,Entries!$A$2:$A$5000,"&lt;"&amp;EDATE($A113,1),Entries!$B$2:$B$5000,AI$1))</f>
        <v/>
      </c>
      <c r="AJ113" s="23">
        <f>IF(OR(AJ$1="",$BM113=0),"",SUMIFS(Entries!$E$2:$E$5000,Entries!$C$2:$C$5000,"Actual",Entries!$A$2:$A$5000,"&gt;="&amp;$A113,Entries!$A$2:$A$5000,"&lt;"&amp;EDATE($A113,1),Entries!$B$2:$B$5000,AJ$1))</f>
        <v/>
      </c>
      <c r="AK113" s="23">
        <f>IF(OR(AK$1="",$BM113=0),"",SUMIFS(Entries!$E$2:$E$5000,Entries!$C$2:$C$5000,"Actual",Entries!$A$2:$A$5000,"&gt;="&amp;$A113,Entries!$A$2:$A$5000,"&lt;"&amp;EDATE($A113,1),Entries!$B$2:$B$5000,AK$1))</f>
        <v/>
      </c>
      <c r="AL113" s="23">
        <f>IF(OR(AL$1="",$BM113=0),"",SUMIFS(Entries!$E$2:$E$5000,Entries!$C$2:$C$5000,"Actual",Entries!$A$2:$A$5000,"&gt;="&amp;$A113,Entries!$A$2:$A$5000,"&lt;"&amp;EDATE($A113,1),Entries!$B$2:$B$5000,AL$1))</f>
        <v/>
      </c>
      <c r="AM113" s="23">
        <f>IF(OR(AM$1="",$BM113=0),"",SUMIFS(Entries!$E$2:$E$5000,Entries!$C$2:$C$5000,"Actual",Entries!$A$2:$A$5000,"&gt;="&amp;$A113,Entries!$A$2:$A$5000,"&lt;"&amp;EDATE($A113,1),Entries!$B$2:$B$5000,AM$1))</f>
        <v/>
      </c>
      <c r="AN113" s="23">
        <f>IF(OR(AN$1="",$BM113=0),"",SUMIFS(Entries!$E$2:$E$5000,Entries!$C$2:$C$5000,"Actual",Entries!$A$2:$A$5000,"&gt;="&amp;$A113,Entries!$A$2:$A$5000,"&lt;"&amp;EDATE($A113,1),Entries!$B$2:$B$5000,AN$1))</f>
        <v/>
      </c>
      <c r="AO113" s="23">
        <f>IF(OR(AO$1="",$BM113=0),"",SUMIFS(Entries!$E$2:$E$5000,Entries!$C$2:$C$5000,"Actual",Entries!$A$2:$A$5000,"&gt;="&amp;$A113,Entries!$A$2:$A$5000,"&lt;"&amp;EDATE($A113,1),Entries!$B$2:$B$5000,AO$1))</f>
        <v/>
      </c>
      <c r="AP113" s="23">
        <f>IF(OR(AP$1="",$BM113=0),"",SUMIFS(Entries!$E$2:$E$5000,Entries!$C$2:$C$5000,"Actual",Entries!$A$2:$A$5000,"&gt;="&amp;$A113,Entries!$A$2:$A$5000,"&lt;"&amp;EDATE($A113,1),Entries!$B$2:$B$5000,AP$1))</f>
        <v/>
      </c>
      <c r="AR113" s="23">
        <f>IF(OR(AR$1="",$BM113=0),"",IFERROR(LOOKUP(2,1/((Budgets!$A$2:$A$200=AR$1)*(Budgets!$B$2:$B$200&lt;EDATE($A113,1))),Budgets!$C$2:$C$200),0))</f>
        <v/>
      </c>
      <c r="AS113" s="23">
        <f>IF(OR(AS$1="",$BM113=0),"",IFERROR(LOOKUP(2,1/((Budgets!$A$2:$A$200=AS$1)*(Budgets!$B$2:$B$200&lt;EDATE($A113,1))),Budgets!$C$2:$C$200),0))</f>
        <v/>
      </c>
      <c r="AT113" s="23">
        <f>IF(OR(AT$1="",$BM113=0),"",IFERROR(LOOKUP(2,1/((Budgets!$A$2:$A$200=AT$1)*(Budgets!$B$2:$B$200&lt;EDATE($A113,1))),Budgets!$C$2:$C$200),0))</f>
        <v/>
      </c>
      <c r="AU113" s="23">
        <f>IF(OR(AU$1="",$BM113=0),"",IFERROR(LOOKUP(2,1/((Budgets!$A$2:$A$200=AU$1)*(Budgets!$B$2:$B$200&lt;EDATE($A113,1))),Budgets!$C$2:$C$200),0))</f>
        <v/>
      </c>
      <c r="AV113" s="23">
        <f>IF(OR(AV$1="",$BM113=0),"",IFERROR(LOOKUP(2,1/((Budgets!$A$2:$A$200=AV$1)*(Budgets!$B$2:$B$200&lt;EDATE($A113,1))),Budgets!$C$2:$C$200),0))</f>
        <v/>
      </c>
      <c r="AW113" s="23">
        <f>IF(OR(AW$1="",$BM113=0),"",IFERROR(LOOKUP(2,1/((Budgets!$A$2:$A$200=AW$1)*(Budgets!$B$2:$B$200&lt;EDATE($A113,1))),Budgets!$C$2:$C$200),0))</f>
        <v/>
      </c>
      <c r="AX113" s="23">
        <f>IF(OR(AX$1="",$BM113=0),"",IFERROR(LOOKUP(2,1/((Budgets!$A$2:$A$200=AX$1)*(Budgets!$B$2:$B$200&lt;EDATE($A113,1))),Budgets!$C$2:$C$200),0))</f>
        <v/>
      </c>
      <c r="AY113" s="23">
        <f>IF(OR(AY$1="",$BM113=0),"",IFERROR(LOOKUP(2,1/((Budgets!$A$2:$A$200=AY$1)*(Budgets!$B$2:$B$200&lt;EDATE($A113,1))),Budgets!$C$2:$C$200),0))</f>
        <v/>
      </c>
      <c r="AZ113" s="23">
        <f>IF(OR(AZ$1="",$BM113=0),"",IFERROR(LOOKUP(2,1/((Budgets!$A$2:$A$200=AZ$1)*(Budgets!$B$2:$B$200&lt;EDATE($A113,1))),Budgets!$C$2:$C$200),0))</f>
        <v/>
      </c>
      <c r="BA113" s="23">
        <f>IF(OR(BA$1="",$BM113=0),"",IFERROR(LOOKUP(2,1/((Budgets!$A$2:$A$200=BA$1)*(Budgets!$B$2:$B$200&lt;EDATE($A113,1))),Budgets!$C$2:$C$200),0))</f>
        <v/>
      </c>
      <c r="BB113" s="23">
        <f>IF(OR(BB$1="",$BM113=0),"",IFERROR(LOOKUP(2,1/((Budgets!$A$2:$A$200=BB$1)*(Budgets!$B$2:$B$200&lt;EDATE($A113,1))),Budgets!$C$2:$C$200),0))</f>
        <v/>
      </c>
      <c r="BC113" s="23">
        <f>IF(OR(BC$1="",$BM113=0),"",IFERROR(LOOKUP(2,1/((Budgets!$A$2:$A$200=BC$1)*(Budgets!$B$2:$B$200&lt;EDATE($A113,1))),Budgets!$C$2:$C$200),0))</f>
        <v/>
      </c>
      <c r="BD113" s="23">
        <f>IF(OR(BD$1="",$BM113=0),"",IFERROR(LOOKUP(2,1/((Budgets!$A$2:$A$200=BD$1)*(Budgets!$B$2:$B$200&lt;EDATE($A113,1))),Budgets!$C$2:$C$200),0))</f>
        <v/>
      </c>
      <c r="BE113" s="23">
        <f>IF(OR(BE$1="",$BM113=0),"",IFERROR(LOOKUP(2,1/((Budgets!$A$2:$A$200=BE$1)*(Budgets!$B$2:$B$200&lt;EDATE($A113,1))),Budgets!$C$2:$C$200),0))</f>
        <v/>
      </c>
      <c r="BF113" s="23">
        <f>IF(OR(BF$1="",$BM113=0),"",IFERROR(LOOKUP(2,1/((Budgets!$A$2:$A$200=BF$1)*(Budgets!$B$2:$B$200&lt;EDATE($A113,1))),Budgets!$C$2:$C$200),0))</f>
        <v/>
      </c>
      <c r="BG113" s="23">
        <f>IF(OR(BG$1="",$BM113=0),"",IFERROR(LOOKUP(2,1/((Budgets!$A$2:$A$200=BG$1)*(Budgets!$B$2:$B$200&lt;EDATE($A113,1))),Budgets!$C$2:$C$200),0))</f>
        <v/>
      </c>
      <c r="BH113" s="23">
        <f>IF(OR(BH$1="",$BM113=0),"",IFERROR(LOOKUP(2,1/((Budgets!$A$2:$A$200=BH$1)*(Budgets!$B$2:$B$200&lt;EDATE($A113,1))),Budgets!$C$2:$C$200),0))</f>
        <v/>
      </c>
      <c r="BI113" s="23">
        <f>IF(OR(BI$1="",$BM113=0),"",IFERROR(LOOKUP(2,1/((Budgets!$A$2:$A$200=BI$1)*(Budgets!$B$2:$B$200&lt;EDATE($A113,1))),Budgets!$C$2:$C$200),0))</f>
        <v/>
      </c>
      <c r="BJ113" s="23">
        <f>IF(OR(BJ$1="",$BM113=0),"",IFERROR(LOOKUP(2,1/((Budgets!$A$2:$A$200=BJ$1)*(Budgets!$B$2:$B$200&lt;EDATE($A113,1))),Budgets!$C$2:$C$200),0))</f>
        <v/>
      </c>
      <c r="BK113" s="23">
        <f>IF(OR(BK$1="",$BM113=0),"",IFERROR(LOOKUP(2,1/((Budgets!$A$2:$A$200=BK$1)*(Budgets!$B$2:$B$200&lt;EDATE($A113,1))),Budgets!$C$2:$C$200),0))</f>
        <v/>
      </c>
      <c r="BM113" s="21">
        <f>COUNTIFS(Entries!$A$2:$A$5000,"&gt;="&amp;$A113,Entries!$A$2:$A$5000,"&lt;"&amp;EDATE($A113,1))</f>
        <v/>
      </c>
    </row>
    <row r="114">
      <c r="A114" s="22" t="n">
        <v>42856</v>
      </c>
      <c r="B114" s="23">
        <f>IF($BM114=0,NA(),SUMIFS(Entries!$E$2:$E$5000,Entries!$C$2:$C$5000,"Income",Entries!$A$2:$A$5000,"&gt;="&amp;$A114,Entries!$A$2:$A$5000,"&lt;"&amp;EDATE($A114,1)))</f>
        <v/>
      </c>
      <c r="C114" s="23">
        <f>IF($BM114=0,"",SUMIFS(Entries!$E$2:$E$5000,Entries!$C$2:$C$5000,"Actual",Entries!$A$2:$A$5000,"&gt;="&amp;$A114,Entries!$A$2:$A$5000,"&lt;"&amp;EDATE($A114,1)))</f>
        <v/>
      </c>
      <c r="D114" s="23">
        <f>IF($BM114=0,"",SUMIFS(Entries!$E$2:$E$5000,Entries!$C$2:$C$5000,"One-off",Entries!$A$2:$A$5000,"&gt;="&amp;$A114,Entries!$A$2:$A$5000,"&lt;"&amp;EDATE($A114,1)))</f>
        <v/>
      </c>
      <c r="E114" s="23">
        <f>IF($BM114=0,NA(),C114+D114)</f>
        <v/>
      </c>
      <c r="F114" s="23">
        <f>IF($BM114=0,"",SUM(AR114:BK114))</f>
        <v/>
      </c>
      <c r="G114" s="23">
        <f>IF($BM114=0,"",B114-E114)</f>
        <v/>
      </c>
      <c r="H114" s="23">
        <f>IF($BM114=0,"",SUM($G$2:G114))</f>
        <v/>
      </c>
      <c r="I114" s="23">
        <f>IF($BM114=0,"",SUMIFS(Entries!$G$2:$G$5000,Entries!$A$2:$A$5000,"&gt;="&amp;$A114,Entries!$A$2:$A$5000,"&lt;"&amp;EDATE($A114,1)))</f>
        <v/>
      </c>
      <c r="J114" s="23">
        <f>IF($BM114=0,NA(),H114)</f>
        <v/>
      </c>
      <c r="K114" s="23">
        <f>IF($BM114=0,"",SUMIFS(Entries!$E$2:$E$5000,Entries!$C$2:$C$5000,"Income",Entries!$A$2:$A$5000,"&gt;="&amp;EDATE($A114,-11),Entries!$A$2:$A$5000,"&lt;"&amp;EDATE($A114,1))/COUNTIFS($A$2:$A$400,"&gt;="&amp;EDATE($A114,-11),$A$2:$A$400,"&lt;"&amp;EDATE($A114,1),$BM$2:$BM$400,"&gt;0"))</f>
      </c>
      <c r="L114" s="23">
        <f>IF($BM114=0,"",(SUMIFS(Entries!$E$2:$E$5000,Entries!$C$2:$C$5000,"Actual",Entries!$A$2:$A$5000,"&gt;="&amp;EDATE($A114,-11),Entries!$A$2:$A$5000,"&lt;"&amp;EDATE($A114,1))+SUMIFS(Entries!$E$2:$E$5000,Entries!$C$2:$C$5000,"One-off",Entries!$A$2:$A$5000,"&gt;="&amp;EDATE($A114,-11),Entries!$A$2:$A$5000,"&lt;"&amp;EDATE($A114,1)))/COUNTIFS($A$2:$A$400,"&gt;="&amp;EDATE($A114,-11),$A$2:$A$400,"&lt;"&amp;EDATE($A114,1),$BM$2:$BM$400,"&gt;0"))</f>
      </c>
      <c r="M114" s="24">
        <f>IF($BM114=0,NA(),IFERROR((K114-L114)/K114,0))</f>
        <v/>
      </c>
      <c r="N114" s="23">
        <f>IF($BM114=0,NA(),SUMIFS(Entries!$E$2:$E$5000,Entries!$D$2:$D$5000,"Core",Entries!$A$2:$A$5000,"&gt;="&amp;$A114,Entries!$A$2:$A$5000,"&lt;"&amp;EDATE($A114,1)))</f>
        <v/>
      </c>
      <c r="O114" s="23">
        <f>IF($BM114=0,NA(),SUMIFS(Entries!$E$2:$E$5000,Entries!$D$2:$D$5000,"Over &amp; above",Entries!$A$2:$A$5000,"&gt;="&amp;$A114,Entries!$A$2:$A$5000,"&lt;"&amp;EDATE($A114,1)))</f>
        <v/>
      </c>
      <c r="P114" s="23">
        <f>IF($BM114=0,NA(),SUMIFS(Entries!$E$2:$E$5000,Entries!$D$2:$D$5000,"One-off",Entries!$A$2:$A$5000,"&gt;="&amp;$A114,Entries!$A$2:$A$5000,"&lt;"&amp;EDATE($A114,1)))</f>
        <v/>
      </c>
      <c r="Q114" s="23">
        <f>IF($BM114=0,NA(),SUMIFS(Entries!$E$2:$E$5000,Entries!$D$2:$D$5000,"Reimbursable",Entries!$A$2:$A$5000,"&gt;="&amp;$A114,Entries!$A$2:$A$5000,"&lt;"&amp;EDATE($A114,1)))</f>
        <v/>
      </c>
      <c r="R114" s="23">
        <f>IF($BM114=0,NA(),SUMIFS(Entries!$E$2:$E$5000,Entries!$D$2:$D$5000,"Investment",Entries!$A$2:$A$5000,"&gt;="&amp;$A114,Entries!$A$2:$A$5000,"&lt;"&amp;EDATE($A114,1)))</f>
        <v/>
      </c>
      <c r="S114" s="23">
        <f>IF($BM114=0,NA(),N114+O114)</f>
        <v/>
      </c>
      <c r="T114" s="23">
        <f>IF($BM114=0,"",E114-Q114)</f>
        <v/>
      </c>
      <c r="W114" s="23">
        <f>IF(OR(W$1="",$BM114=0),"",SUMIFS(Entries!$E$2:$E$5000,Entries!$C$2:$C$5000,"Actual",Entries!$A$2:$A$5000,"&gt;="&amp;$A114,Entries!$A$2:$A$5000,"&lt;"&amp;EDATE($A114,1),Entries!$B$2:$B$5000,W$1))</f>
        <v/>
      </c>
      <c r="X114" s="23">
        <f>IF(OR(X$1="",$BM114=0),"",SUMIFS(Entries!$E$2:$E$5000,Entries!$C$2:$C$5000,"Actual",Entries!$A$2:$A$5000,"&gt;="&amp;$A114,Entries!$A$2:$A$5000,"&lt;"&amp;EDATE($A114,1),Entries!$B$2:$B$5000,X$1))</f>
        <v/>
      </c>
      <c r="Y114" s="23">
        <f>IF(OR(Y$1="",$BM114=0),"",SUMIFS(Entries!$E$2:$E$5000,Entries!$C$2:$C$5000,"Actual",Entries!$A$2:$A$5000,"&gt;="&amp;$A114,Entries!$A$2:$A$5000,"&lt;"&amp;EDATE($A114,1),Entries!$B$2:$B$5000,Y$1))</f>
        <v/>
      </c>
      <c r="Z114" s="23">
        <f>IF(OR(Z$1="",$BM114=0),"",SUMIFS(Entries!$E$2:$E$5000,Entries!$C$2:$C$5000,"Actual",Entries!$A$2:$A$5000,"&gt;="&amp;$A114,Entries!$A$2:$A$5000,"&lt;"&amp;EDATE($A114,1),Entries!$B$2:$B$5000,Z$1))</f>
        <v/>
      </c>
      <c r="AA114" s="23">
        <f>IF(OR(AA$1="",$BM114=0),"",SUMIFS(Entries!$E$2:$E$5000,Entries!$C$2:$C$5000,"Actual",Entries!$A$2:$A$5000,"&gt;="&amp;$A114,Entries!$A$2:$A$5000,"&lt;"&amp;EDATE($A114,1),Entries!$B$2:$B$5000,AA$1))</f>
        <v/>
      </c>
      <c r="AB114" s="23">
        <f>IF(OR(AB$1="",$BM114=0),"",SUMIFS(Entries!$E$2:$E$5000,Entries!$C$2:$C$5000,"Actual",Entries!$A$2:$A$5000,"&gt;="&amp;$A114,Entries!$A$2:$A$5000,"&lt;"&amp;EDATE($A114,1),Entries!$B$2:$B$5000,AB$1))</f>
        <v/>
      </c>
      <c r="AC114" s="23">
        <f>IF(OR(AC$1="",$BM114=0),"",SUMIFS(Entries!$E$2:$E$5000,Entries!$C$2:$C$5000,"Actual",Entries!$A$2:$A$5000,"&gt;="&amp;$A114,Entries!$A$2:$A$5000,"&lt;"&amp;EDATE($A114,1),Entries!$B$2:$B$5000,AC$1))</f>
        <v/>
      </c>
      <c r="AD114" s="23">
        <f>IF(OR(AD$1="",$BM114=0),"",SUMIFS(Entries!$E$2:$E$5000,Entries!$C$2:$C$5000,"Actual",Entries!$A$2:$A$5000,"&gt;="&amp;$A114,Entries!$A$2:$A$5000,"&lt;"&amp;EDATE($A114,1),Entries!$B$2:$B$5000,AD$1))</f>
        <v/>
      </c>
      <c r="AE114" s="23">
        <f>IF(OR(AE$1="",$BM114=0),"",SUMIFS(Entries!$E$2:$E$5000,Entries!$C$2:$C$5000,"Actual",Entries!$A$2:$A$5000,"&gt;="&amp;$A114,Entries!$A$2:$A$5000,"&lt;"&amp;EDATE($A114,1),Entries!$B$2:$B$5000,AE$1))</f>
        <v/>
      </c>
      <c r="AF114" s="23">
        <f>IF(OR(AF$1="",$BM114=0),"",SUMIFS(Entries!$E$2:$E$5000,Entries!$C$2:$C$5000,"Actual",Entries!$A$2:$A$5000,"&gt;="&amp;$A114,Entries!$A$2:$A$5000,"&lt;"&amp;EDATE($A114,1),Entries!$B$2:$B$5000,AF$1))</f>
        <v/>
      </c>
      <c r="AG114" s="23">
        <f>IF(OR(AG$1="",$BM114=0),"",SUMIFS(Entries!$E$2:$E$5000,Entries!$C$2:$C$5000,"Actual",Entries!$A$2:$A$5000,"&gt;="&amp;$A114,Entries!$A$2:$A$5000,"&lt;"&amp;EDATE($A114,1),Entries!$B$2:$B$5000,AG$1))</f>
        <v/>
      </c>
      <c r="AH114" s="23">
        <f>IF(OR(AH$1="",$BM114=0),"",SUMIFS(Entries!$E$2:$E$5000,Entries!$C$2:$C$5000,"Actual",Entries!$A$2:$A$5000,"&gt;="&amp;$A114,Entries!$A$2:$A$5000,"&lt;"&amp;EDATE($A114,1),Entries!$B$2:$B$5000,AH$1))</f>
        <v/>
      </c>
      <c r="AI114" s="23">
        <f>IF(OR(AI$1="",$BM114=0),"",SUMIFS(Entries!$E$2:$E$5000,Entries!$C$2:$C$5000,"Actual",Entries!$A$2:$A$5000,"&gt;="&amp;$A114,Entries!$A$2:$A$5000,"&lt;"&amp;EDATE($A114,1),Entries!$B$2:$B$5000,AI$1))</f>
        <v/>
      </c>
      <c r="AJ114" s="23">
        <f>IF(OR(AJ$1="",$BM114=0),"",SUMIFS(Entries!$E$2:$E$5000,Entries!$C$2:$C$5000,"Actual",Entries!$A$2:$A$5000,"&gt;="&amp;$A114,Entries!$A$2:$A$5000,"&lt;"&amp;EDATE($A114,1),Entries!$B$2:$B$5000,AJ$1))</f>
        <v/>
      </c>
      <c r="AK114" s="23">
        <f>IF(OR(AK$1="",$BM114=0),"",SUMIFS(Entries!$E$2:$E$5000,Entries!$C$2:$C$5000,"Actual",Entries!$A$2:$A$5000,"&gt;="&amp;$A114,Entries!$A$2:$A$5000,"&lt;"&amp;EDATE($A114,1),Entries!$B$2:$B$5000,AK$1))</f>
        <v/>
      </c>
      <c r="AL114" s="23">
        <f>IF(OR(AL$1="",$BM114=0),"",SUMIFS(Entries!$E$2:$E$5000,Entries!$C$2:$C$5000,"Actual",Entries!$A$2:$A$5000,"&gt;="&amp;$A114,Entries!$A$2:$A$5000,"&lt;"&amp;EDATE($A114,1),Entries!$B$2:$B$5000,AL$1))</f>
        <v/>
      </c>
      <c r="AM114" s="23">
        <f>IF(OR(AM$1="",$BM114=0),"",SUMIFS(Entries!$E$2:$E$5000,Entries!$C$2:$C$5000,"Actual",Entries!$A$2:$A$5000,"&gt;="&amp;$A114,Entries!$A$2:$A$5000,"&lt;"&amp;EDATE($A114,1),Entries!$B$2:$B$5000,AM$1))</f>
        <v/>
      </c>
      <c r="AN114" s="23">
        <f>IF(OR(AN$1="",$BM114=0),"",SUMIFS(Entries!$E$2:$E$5000,Entries!$C$2:$C$5000,"Actual",Entries!$A$2:$A$5000,"&gt;="&amp;$A114,Entries!$A$2:$A$5000,"&lt;"&amp;EDATE($A114,1),Entries!$B$2:$B$5000,AN$1))</f>
        <v/>
      </c>
      <c r="AO114" s="23">
        <f>IF(OR(AO$1="",$BM114=0),"",SUMIFS(Entries!$E$2:$E$5000,Entries!$C$2:$C$5000,"Actual",Entries!$A$2:$A$5000,"&gt;="&amp;$A114,Entries!$A$2:$A$5000,"&lt;"&amp;EDATE($A114,1),Entries!$B$2:$B$5000,AO$1))</f>
        <v/>
      </c>
      <c r="AP114" s="23">
        <f>IF(OR(AP$1="",$BM114=0),"",SUMIFS(Entries!$E$2:$E$5000,Entries!$C$2:$C$5000,"Actual",Entries!$A$2:$A$5000,"&gt;="&amp;$A114,Entries!$A$2:$A$5000,"&lt;"&amp;EDATE($A114,1),Entries!$B$2:$B$5000,AP$1))</f>
        <v/>
      </c>
      <c r="AR114" s="23">
        <f>IF(OR(AR$1="",$BM114=0),"",IFERROR(LOOKUP(2,1/((Budgets!$A$2:$A$200=AR$1)*(Budgets!$B$2:$B$200&lt;EDATE($A114,1))),Budgets!$C$2:$C$200),0))</f>
        <v/>
      </c>
      <c r="AS114" s="23">
        <f>IF(OR(AS$1="",$BM114=0),"",IFERROR(LOOKUP(2,1/((Budgets!$A$2:$A$200=AS$1)*(Budgets!$B$2:$B$200&lt;EDATE($A114,1))),Budgets!$C$2:$C$200),0))</f>
        <v/>
      </c>
      <c r="AT114" s="23">
        <f>IF(OR(AT$1="",$BM114=0),"",IFERROR(LOOKUP(2,1/((Budgets!$A$2:$A$200=AT$1)*(Budgets!$B$2:$B$200&lt;EDATE($A114,1))),Budgets!$C$2:$C$200),0))</f>
        <v/>
      </c>
      <c r="AU114" s="23">
        <f>IF(OR(AU$1="",$BM114=0),"",IFERROR(LOOKUP(2,1/((Budgets!$A$2:$A$200=AU$1)*(Budgets!$B$2:$B$200&lt;EDATE($A114,1))),Budgets!$C$2:$C$200),0))</f>
        <v/>
      </c>
      <c r="AV114" s="23">
        <f>IF(OR(AV$1="",$BM114=0),"",IFERROR(LOOKUP(2,1/((Budgets!$A$2:$A$200=AV$1)*(Budgets!$B$2:$B$200&lt;EDATE($A114,1))),Budgets!$C$2:$C$200),0))</f>
        <v/>
      </c>
      <c r="AW114" s="23">
        <f>IF(OR(AW$1="",$BM114=0),"",IFERROR(LOOKUP(2,1/((Budgets!$A$2:$A$200=AW$1)*(Budgets!$B$2:$B$200&lt;EDATE($A114,1))),Budgets!$C$2:$C$200),0))</f>
        <v/>
      </c>
      <c r="AX114" s="23">
        <f>IF(OR(AX$1="",$BM114=0),"",IFERROR(LOOKUP(2,1/((Budgets!$A$2:$A$200=AX$1)*(Budgets!$B$2:$B$200&lt;EDATE($A114,1))),Budgets!$C$2:$C$200),0))</f>
        <v/>
      </c>
      <c r="AY114" s="23">
        <f>IF(OR(AY$1="",$BM114=0),"",IFERROR(LOOKUP(2,1/((Budgets!$A$2:$A$200=AY$1)*(Budgets!$B$2:$B$200&lt;EDATE($A114,1))),Budgets!$C$2:$C$200),0))</f>
        <v/>
      </c>
      <c r="AZ114" s="23">
        <f>IF(OR(AZ$1="",$BM114=0),"",IFERROR(LOOKUP(2,1/((Budgets!$A$2:$A$200=AZ$1)*(Budgets!$B$2:$B$200&lt;EDATE($A114,1))),Budgets!$C$2:$C$200),0))</f>
        <v/>
      </c>
      <c r="BA114" s="23">
        <f>IF(OR(BA$1="",$BM114=0),"",IFERROR(LOOKUP(2,1/((Budgets!$A$2:$A$200=BA$1)*(Budgets!$B$2:$B$200&lt;EDATE($A114,1))),Budgets!$C$2:$C$200),0))</f>
        <v/>
      </c>
      <c r="BB114" s="23">
        <f>IF(OR(BB$1="",$BM114=0),"",IFERROR(LOOKUP(2,1/((Budgets!$A$2:$A$200=BB$1)*(Budgets!$B$2:$B$200&lt;EDATE($A114,1))),Budgets!$C$2:$C$200),0))</f>
        <v/>
      </c>
      <c r="BC114" s="23">
        <f>IF(OR(BC$1="",$BM114=0),"",IFERROR(LOOKUP(2,1/((Budgets!$A$2:$A$200=BC$1)*(Budgets!$B$2:$B$200&lt;EDATE($A114,1))),Budgets!$C$2:$C$200),0))</f>
        <v/>
      </c>
      <c r="BD114" s="23">
        <f>IF(OR(BD$1="",$BM114=0),"",IFERROR(LOOKUP(2,1/((Budgets!$A$2:$A$200=BD$1)*(Budgets!$B$2:$B$200&lt;EDATE($A114,1))),Budgets!$C$2:$C$200),0))</f>
        <v/>
      </c>
      <c r="BE114" s="23">
        <f>IF(OR(BE$1="",$BM114=0),"",IFERROR(LOOKUP(2,1/((Budgets!$A$2:$A$200=BE$1)*(Budgets!$B$2:$B$200&lt;EDATE($A114,1))),Budgets!$C$2:$C$200),0))</f>
        <v/>
      </c>
      <c r="BF114" s="23">
        <f>IF(OR(BF$1="",$BM114=0),"",IFERROR(LOOKUP(2,1/((Budgets!$A$2:$A$200=BF$1)*(Budgets!$B$2:$B$200&lt;EDATE($A114,1))),Budgets!$C$2:$C$200),0))</f>
        <v/>
      </c>
      <c r="BG114" s="23">
        <f>IF(OR(BG$1="",$BM114=0),"",IFERROR(LOOKUP(2,1/((Budgets!$A$2:$A$200=BG$1)*(Budgets!$B$2:$B$200&lt;EDATE($A114,1))),Budgets!$C$2:$C$200),0))</f>
        <v/>
      </c>
      <c r="BH114" s="23">
        <f>IF(OR(BH$1="",$BM114=0),"",IFERROR(LOOKUP(2,1/((Budgets!$A$2:$A$200=BH$1)*(Budgets!$B$2:$B$200&lt;EDATE($A114,1))),Budgets!$C$2:$C$200),0))</f>
        <v/>
      </c>
      <c r="BI114" s="23">
        <f>IF(OR(BI$1="",$BM114=0),"",IFERROR(LOOKUP(2,1/((Budgets!$A$2:$A$200=BI$1)*(Budgets!$B$2:$B$200&lt;EDATE($A114,1))),Budgets!$C$2:$C$200),0))</f>
        <v/>
      </c>
      <c r="BJ114" s="23">
        <f>IF(OR(BJ$1="",$BM114=0),"",IFERROR(LOOKUP(2,1/((Budgets!$A$2:$A$200=BJ$1)*(Budgets!$B$2:$B$200&lt;EDATE($A114,1))),Budgets!$C$2:$C$200),0))</f>
        <v/>
      </c>
      <c r="BK114" s="23">
        <f>IF(OR(BK$1="",$BM114=0),"",IFERROR(LOOKUP(2,1/((Budgets!$A$2:$A$200=BK$1)*(Budgets!$B$2:$B$200&lt;EDATE($A114,1))),Budgets!$C$2:$C$200),0))</f>
        <v/>
      </c>
      <c r="BM114" s="21">
        <f>COUNTIFS(Entries!$A$2:$A$5000,"&gt;="&amp;$A114,Entries!$A$2:$A$5000,"&lt;"&amp;EDATE($A114,1))</f>
        <v/>
      </c>
    </row>
    <row r="115">
      <c r="A115" s="22" t="n">
        <v>42887</v>
      </c>
      <c r="B115" s="23">
        <f>IF($BM115=0,NA(),SUMIFS(Entries!$E$2:$E$5000,Entries!$C$2:$C$5000,"Income",Entries!$A$2:$A$5000,"&gt;="&amp;$A115,Entries!$A$2:$A$5000,"&lt;"&amp;EDATE($A115,1)))</f>
        <v/>
      </c>
      <c r="C115" s="23">
        <f>IF($BM115=0,"",SUMIFS(Entries!$E$2:$E$5000,Entries!$C$2:$C$5000,"Actual",Entries!$A$2:$A$5000,"&gt;="&amp;$A115,Entries!$A$2:$A$5000,"&lt;"&amp;EDATE($A115,1)))</f>
        <v/>
      </c>
      <c r="D115" s="23">
        <f>IF($BM115=0,"",SUMIFS(Entries!$E$2:$E$5000,Entries!$C$2:$C$5000,"One-off",Entries!$A$2:$A$5000,"&gt;="&amp;$A115,Entries!$A$2:$A$5000,"&lt;"&amp;EDATE($A115,1)))</f>
        <v/>
      </c>
      <c r="E115" s="23">
        <f>IF($BM115=0,NA(),C115+D115)</f>
        <v/>
      </c>
      <c r="F115" s="23">
        <f>IF($BM115=0,"",SUM(AR115:BK115))</f>
        <v/>
      </c>
      <c r="G115" s="23">
        <f>IF($BM115=0,"",B115-E115)</f>
        <v/>
      </c>
      <c r="H115" s="23">
        <f>IF($BM115=0,"",SUM($G$2:G115))</f>
        <v/>
      </c>
      <c r="I115" s="23">
        <f>IF($BM115=0,"",SUMIFS(Entries!$G$2:$G$5000,Entries!$A$2:$A$5000,"&gt;="&amp;$A115,Entries!$A$2:$A$5000,"&lt;"&amp;EDATE($A115,1)))</f>
        <v/>
      </c>
      <c r="J115" s="23">
        <f>IF($BM115=0,NA(),H115)</f>
        <v/>
      </c>
      <c r="K115" s="23">
        <f>IF($BM115=0,"",SUMIFS(Entries!$E$2:$E$5000,Entries!$C$2:$C$5000,"Income",Entries!$A$2:$A$5000,"&gt;="&amp;EDATE($A115,-11),Entries!$A$2:$A$5000,"&lt;"&amp;EDATE($A115,1))/COUNTIFS($A$2:$A$400,"&gt;="&amp;EDATE($A115,-11),$A$2:$A$400,"&lt;"&amp;EDATE($A115,1),$BM$2:$BM$400,"&gt;0"))</f>
      </c>
      <c r="L115" s="23">
        <f>IF($BM115=0,"",(SUMIFS(Entries!$E$2:$E$5000,Entries!$C$2:$C$5000,"Actual",Entries!$A$2:$A$5000,"&gt;="&amp;EDATE($A115,-11),Entries!$A$2:$A$5000,"&lt;"&amp;EDATE($A115,1))+SUMIFS(Entries!$E$2:$E$5000,Entries!$C$2:$C$5000,"One-off",Entries!$A$2:$A$5000,"&gt;="&amp;EDATE($A115,-11),Entries!$A$2:$A$5000,"&lt;"&amp;EDATE($A115,1)))/COUNTIFS($A$2:$A$400,"&gt;="&amp;EDATE($A115,-11),$A$2:$A$400,"&lt;"&amp;EDATE($A115,1),$BM$2:$BM$400,"&gt;0"))</f>
      </c>
      <c r="M115" s="24">
        <f>IF($BM115=0,NA(),IFERROR((K115-L115)/K115,0))</f>
        <v/>
      </c>
      <c r="N115" s="23">
        <f>IF($BM115=0,NA(),SUMIFS(Entries!$E$2:$E$5000,Entries!$D$2:$D$5000,"Core",Entries!$A$2:$A$5000,"&gt;="&amp;$A115,Entries!$A$2:$A$5000,"&lt;"&amp;EDATE($A115,1)))</f>
        <v/>
      </c>
      <c r="O115" s="23">
        <f>IF($BM115=0,NA(),SUMIFS(Entries!$E$2:$E$5000,Entries!$D$2:$D$5000,"Over &amp; above",Entries!$A$2:$A$5000,"&gt;="&amp;$A115,Entries!$A$2:$A$5000,"&lt;"&amp;EDATE($A115,1)))</f>
        <v/>
      </c>
      <c r="P115" s="23">
        <f>IF($BM115=0,NA(),SUMIFS(Entries!$E$2:$E$5000,Entries!$D$2:$D$5000,"One-off",Entries!$A$2:$A$5000,"&gt;="&amp;$A115,Entries!$A$2:$A$5000,"&lt;"&amp;EDATE($A115,1)))</f>
        <v/>
      </c>
      <c r="Q115" s="23">
        <f>IF($BM115=0,NA(),SUMIFS(Entries!$E$2:$E$5000,Entries!$D$2:$D$5000,"Reimbursable",Entries!$A$2:$A$5000,"&gt;="&amp;$A115,Entries!$A$2:$A$5000,"&lt;"&amp;EDATE($A115,1)))</f>
        <v/>
      </c>
      <c r="R115" s="23">
        <f>IF($BM115=0,NA(),SUMIFS(Entries!$E$2:$E$5000,Entries!$D$2:$D$5000,"Investment",Entries!$A$2:$A$5000,"&gt;="&amp;$A115,Entries!$A$2:$A$5000,"&lt;"&amp;EDATE($A115,1)))</f>
        <v/>
      </c>
      <c r="S115" s="23">
        <f>IF($BM115=0,NA(),N115+O115)</f>
        <v/>
      </c>
      <c r="T115" s="23">
        <f>IF($BM115=0,"",E115-Q115)</f>
        <v/>
      </c>
      <c r="W115" s="23">
        <f>IF(OR(W$1="",$BM115=0),"",SUMIFS(Entries!$E$2:$E$5000,Entries!$C$2:$C$5000,"Actual",Entries!$A$2:$A$5000,"&gt;="&amp;$A115,Entries!$A$2:$A$5000,"&lt;"&amp;EDATE($A115,1),Entries!$B$2:$B$5000,W$1))</f>
        <v/>
      </c>
      <c r="X115" s="23">
        <f>IF(OR(X$1="",$BM115=0),"",SUMIFS(Entries!$E$2:$E$5000,Entries!$C$2:$C$5000,"Actual",Entries!$A$2:$A$5000,"&gt;="&amp;$A115,Entries!$A$2:$A$5000,"&lt;"&amp;EDATE($A115,1),Entries!$B$2:$B$5000,X$1))</f>
        <v/>
      </c>
      <c r="Y115" s="23">
        <f>IF(OR(Y$1="",$BM115=0),"",SUMIFS(Entries!$E$2:$E$5000,Entries!$C$2:$C$5000,"Actual",Entries!$A$2:$A$5000,"&gt;="&amp;$A115,Entries!$A$2:$A$5000,"&lt;"&amp;EDATE($A115,1),Entries!$B$2:$B$5000,Y$1))</f>
        <v/>
      </c>
      <c r="Z115" s="23">
        <f>IF(OR(Z$1="",$BM115=0),"",SUMIFS(Entries!$E$2:$E$5000,Entries!$C$2:$C$5000,"Actual",Entries!$A$2:$A$5000,"&gt;="&amp;$A115,Entries!$A$2:$A$5000,"&lt;"&amp;EDATE($A115,1),Entries!$B$2:$B$5000,Z$1))</f>
        <v/>
      </c>
      <c r="AA115" s="23">
        <f>IF(OR(AA$1="",$BM115=0),"",SUMIFS(Entries!$E$2:$E$5000,Entries!$C$2:$C$5000,"Actual",Entries!$A$2:$A$5000,"&gt;="&amp;$A115,Entries!$A$2:$A$5000,"&lt;"&amp;EDATE($A115,1),Entries!$B$2:$B$5000,AA$1))</f>
        <v/>
      </c>
      <c r="AB115" s="23">
        <f>IF(OR(AB$1="",$BM115=0),"",SUMIFS(Entries!$E$2:$E$5000,Entries!$C$2:$C$5000,"Actual",Entries!$A$2:$A$5000,"&gt;="&amp;$A115,Entries!$A$2:$A$5000,"&lt;"&amp;EDATE($A115,1),Entries!$B$2:$B$5000,AB$1))</f>
        <v/>
      </c>
      <c r="AC115" s="23">
        <f>IF(OR(AC$1="",$BM115=0),"",SUMIFS(Entries!$E$2:$E$5000,Entries!$C$2:$C$5000,"Actual",Entries!$A$2:$A$5000,"&gt;="&amp;$A115,Entries!$A$2:$A$5000,"&lt;"&amp;EDATE($A115,1),Entries!$B$2:$B$5000,AC$1))</f>
        <v/>
      </c>
      <c r="AD115" s="23">
        <f>IF(OR(AD$1="",$BM115=0),"",SUMIFS(Entries!$E$2:$E$5000,Entries!$C$2:$C$5000,"Actual",Entries!$A$2:$A$5000,"&gt;="&amp;$A115,Entries!$A$2:$A$5000,"&lt;"&amp;EDATE($A115,1),Entries!$B$2:$B$5000,AD$1))</f>
        <v/>
      </c>
      <c r="AE115" s="23">
        <f>IF(OR(AE$1="",$BM115=0),"",SUMIFS(Entries!$E$2:$E$5000,Entries!$C$2:$C$5000,"Actual",Entries!$A$2:$A$5000,"&gt;="&amp;$A115,Entries!$A$2:$A$5000,"&lt;"&amp;EDATE($A115,1),Entries!$B$2:$B$5000,AE$1))</f>
        <v/>
      </c>
      <c r="AF115" s="23">
        <f>IF(OR(AF$1="",$BM115=0),"",SUMIFS(Entries!$E$2:$E$5000,Entries!$C$2:$C$5000,"Actual",Entries!$A$2:$A$5000,"&gt;="&amp;$A115,Entries!$A$2:$A$5000,"&lt;"&amp;EDATE($A115,1),Entries!$B$2:$B$5000,AF$1))</f>
        <v/>
      </c>
      <c r="AG115" s="23">
        <f>IF(OR(AG$1="",$BM115=0),"",SUMIFS(Entries!$E$2:$E$5000,Entries!$C$2:$C$5000,"Actual",Entries!$A$2:$A$5000,"&gt;="&amp;$A115,Entries!$A$2:$A$5000,"&lt;"&amp;EDATE($A115,1),Entries!$B$2:$B$5000,AG$1))</f>
        <v/>
      </c>
      <c r="AH115" s="23">
        <f>IF(OR(AH$1="",$BM115=0),"",SUMIFS(Entries!$E$2:$E$5000,Entries!$C$2:$C$5000,"Actual",Entries!$A$2:$A$5000,"&gt;="&amp;$A115,Entries!$A$2:$A$5000,"&lt;"&amp;EDATE($A115,1),Entries!$B$2:$B$5000,AH$1))</f>
        <v/>
      </c>
      <c r="AI115" s="23">
        <f>IF(OR(AI$1="",$BM115=0),"",SUMIFS(Entries!$E$2:$E$5000,Entries!$C$2:$C$5000,"Actual",Entries!$A$2:$A$5000,"&gt;="&amp;$A115,Entries!$A$2:$A$5000,"&lt;"&amp;EDATE($A115,1),Entries!$B$2:$B$5000,AI$1))</f>
        <v/>
      </c>
      <c r="AJ115" s="23">
        <f>IF(OR(AJ$1="",$BM115=0),"",SUMIFS(Entries!$E$2:$E$5000,Entries!$C$2:$C$5000,"Actual",Entries!$A$2:$A$5000,"&gt;="&amp;$A115,Entries!$A$2:$A$5000,"&lt;"&amp;EDATE($A115,1),Entries!$B$2:$B$5000,AJ$1))</f>
        <v/>
      </c>
      <c r="AK115" s="23">
        <f>IF(OR(AK$1="",$BM115=0),"",SUMIFS(Entries!$E$2:$E$5000,Entries!$C$2:$C$5000,"Actual",Entries!$A$2:$A$5000,"&gt;="&amp;$A115,Entries!$A$2:$A$5000,"&lt;"&amp;EDATE($A115,1),Entries!$B$2:$B$5000,AK$1))</f>
        <v/>
      </c>
      <c r="AL115" s="23">
        <f>IF(OR(AL$1="",$BM115=0),"",SUMIFS(Entries!$E$2:$E$5000,Entries!$C$2:$C$5000,"Actual",Entries!$A$2:$A$5000,"&gt;="&amp;$A115,Entries!$A$2:$A$5000,"&lt;"&amp;EDATE($A115,1),Entries!$B$2:$B$5000,AL$1))</f>
        <v/>
      </c>
      <c r="AM115" s="23">
        <f>IF(OR(AM$1="",$BM115=0),"",SUMIFS(Entries!$E$2:$E$5000,Entries!$C$2:$C$5000,"Actual",Entries!$A$2:$A$5000,"&gt;="&amp;$A115,Entries!$A$2:$A$5000,"&lt;"&amp;EDATE($A115,1),Entries!$B$2:$B$5000,AM$1))</f>
        <v/>
      </c>
      <c r="AN115" s="23">
        <f>IF(OR(AN$1="",$BM115=0),"",SUMIFS(Entries!$E$2:$E$5000,Entries!$C$2:$C$5000,"Actual",Entries!$A$2:$A$5000,"&gt;="&amp;$A115,Entries!$A$2:$A$5000,"&lt;"&amp;EDATE($A115,1),Entries!$B$2:$B$5000,AN$1))</f>
        <v/>
      </c>
      <c r="AO115" s="23">
        <f>IF(OR(AO$1="",$BM115=0),"",SUMIFS(Entries!$E$2:$E$5000,Entries!$C$2:$C$5000,"Actual",Entries!$A$2:$A$5000,"&gt;="&amp;$A115,Entries!$A$2:$A$5000,"&lt;"&amp;EDATE($A115,1),Entries!$B$2:$B$5000,AO$1))</f>
        <v/>
      </c>
      <c r="AP115" s="23">
        <f>IF(OR(AP$1="",$BM115=0),"",SUMIFS(Entries!$E$2:$E$5000,Entries!$C$2:$C$5000,"Actual",Entries!$A$2:$A$5000,"&gt;="&amp;$A115,Entries!$A$2:$A$5000,"&lt;"&amp;EDATE($A115,1),Entries!$B$2:$B$5000,AP$1))</f>
        <v/>
      </c>
      <c r="AR115" s="23">
        <f>IF(OR(AR$1="",$BM115=0),"",IFERROR(LOOKUP(2,1/((Budgets!$A$2:$A$200=AR$1)*(Budgets!$B$2:$B$200&lt;EDATE($A115,1))),Budgets!$C$2:$C$200),0))</f>
        <v/>
      </c>
      <c r="AS115" s="23">
        <f>IF(OR(AS$1="",$BM115=0),"",IFERROR(LOOKUP(2,1/((Budgets!$A$2:$A$200=AS$1)*(Budgets!$B$2:$B$200&lt;EDATE($A115,1))),Budgets!$C$2:$C$200),0))</f>
        <v/>
      </c>
      <c r="AT115" s="23">
        <f>IF(OR(AT$1="",$BM115=0),"",IFERROR(LOOKUP(2,1/((Budgets!$A$2:$A$200=AT$1)*(Budgets!$B$2:$B$200&lt;EDATE($A115,1))),Budgets!$C$2:$C$200),0))</f>
        <v/>
      </c>
      <c r="AU115" s="23">
        <f>IF(OR(AU$1="",$BM115=0),"",IFERROR(LOOKUP(2,1/((Budgets!$A$2:$A$200=AU$1)*(Budgets!$B$2:$B$200&lt;EDATE($A115,1))),Budgets!$C$2:$C$200),0))</f>
        <v/>
      </c>
      <c r="AV115" s="23">
        <f>IF(OR(AV$1="",$BM115=0),"",IFERROR(LOOKUP(2,1/((Budgets!$A$2:$A$200=AV$1)*(Budgets!$B$2:$B$200&lt;EDATE($A115,1))),Budgets!$C$2:$C$200),0))</f>
        <v/>
      </c>
      <c r="AW115" s="23">
        <f>IF(OR(AW$1="",$BM115=0),"",IFERROR(LOOKUP(2,1/((Budgets!$A$2:$A$200=AW$1)*(Budgets!$B$2:$B$200&lt;EDATE($A115,1))),Budgets!$C$2:$C$200),0))</f>
        <v/>
      </c>
      <c r="AX115" s="23">
        <f>IF(OR(AX$1="",$BM115=0),"",IFERROR(LOOKUP(2,1/((Budgets!$A$2:$A$200=AX$1)*(Budgets!$B$2:$B$200&lt;EDATE($A115,1))),Budgets!$C$2:$C$200),0))</f>
        <v/>
      </c>
      <c r="AY115" s="23">
        <f>IF(OR(AY$1="",$BM115=0),"",IFERROR(LOOKUP(2,1/((Budgets!$A$2:$A$200=AY$1)*(Budgets!$B$2:$B$200&lt;EDATE($A115,1))),Budgets!$C$2:$C$200),0))</f>
        <v/>
      </c>
      <c r="AZ115" s="23">
        <f>IF(OR(AZ$1="",$BM115=0),"",IFERROR(LOOKUP(2,1/((Budgets!$A$2:$A$200=AZ$1)*(Budgets!$B$2:$B$200&lt;EDATE($A115,1))),Budgets!$C$2:$C$200),0))</f>
        <v/>
      </c>
      <c r="BA115" s="23">
        <f>IF(OR(BA$1="",$BM115=0),"",IFERROR(LOOKUP(2,1/((Budgets!$A$2:$A$200=BA$1)*(Budgets!$B$2:$B$200&lt;EDATE($A115,1))),Budgets!$C$2:$C$200),0))</f>
        <v/>
      </c>
      <c r="BB115" s="23">
        <f>IF(OR(BB$1="",$BM115=0),"",IFERROR(LOOKUP(2,1/((Budgets!$A$2:$A$200=BB$1)*(Budgets!$B$2:$B$200&lt;EDATE($A115,1))),Budgets!$C$2:$C$200),0))</f>
        <v/>
      </c>
      <c r="BC115" s="23">
        <f>IF(OR(BC$1="",$BM115=0),"",IFERROR(LOOKUP(2,1/((Budgets!$A$2:$A$200=BC$1)*(Budgets!$B$2:$B$200&lt;EDATE($A115,1))),Budgets!$C$2:$C$200),0))</f>
        <v/>
      </c>
      <c r="BD115" s="23">
        <f>IF(OR(BD$1="",$BM115=0),"",IFERROR(LOOKUP(2,1/((Budgets!$A$2:$A$200=BD$1)*(Budgets!$B$2:$B$200&lt;EDATE($A115,1))),Budgets!$C$2:$C$200),0))</f>
        <v/>
      </c>
      <c r="BE115" s="23">
        <f>IF(OR(BE$1="",$BM115=0),"",IFERROR(LOOKUP(2,1/((Budgets!$A$2:$A$200=BE$1)*(Budgets!$B$2:$B$200&lt;EDATE($A115,1))),Budgets!$C$2:$C$200),0))</f>
        <v/>
      </c>
      <c r="BF115" s="23">
        <f>IF(OR(BF$1="",$BM115=0),"",IFERROR(LOOKUP(2,1/((Budgets!$A$2:$A$200=BF$1)*(Budgets!$B$2:$B$200&lt;EDATE($A115,1))),Budgets!$C$2:$C$200),0))</f>
        <v/>
      </c>
      <c r="BG115" s="23">
        <f>IF(OR(BG$1="",$BM115=0),"",IFERROR(LOOKUP(2,1/((Budgets!$A$2:$A$200=BG$1)*(Budgets!$B$2:$B$200&lt;EDATE($A115,1))),Budgets!$C$2:$C$200),0))</f>
        <v/>
      </c>
      <c r="BH115" s="23">
        <f>IF(OR(BH$1="",$BM115=0),"",IFERROR(LOOKUP(2,1/((Budgets!$A$2:$A$200=BH$1)*(Budgets!$B$2:$B$200&lt;EDATE($A115,1))),Budgets!$C$2:$C$200),0))</f>
        <v/>
      </c>
      <c r="BI115" s="23">
        <f>IF(OR(BI$1="",$BM115=0),"",IFERROR(LOOKUP(2,1/((Budgets!$A$2:$A$200=BI$1)*(Budgets!$B$2:$B$200&lt;EDATE($A115,1))),Budgets!$C$2:$C$200),0))</f>
        <v/>
      </c>
      <c r="BJ115" s="23">
        <f>IF(OR(BJ$1="",$BM115=0),"",IFERROR(LOOKUP(2,1/((Budgets!$A$2:$A$200=BJ$1)*(Budgets!$B$2:$B$200&lt;EDATE($A115,1))),Budgets!$C$2:$C$200),0))</f>
        <v/>
      </c>
      <c r="BK115" s="23">
        <f>IF(OR(BK$1="",$BM115=0),"",IFERROR(LOOKUP(2,1/((Budgets!$A$2:$A$200=BK$1)*(Budgets!$B$2:$B$200&lt;EDATE($A115,1))),Budgets!$C$2:$C$200),0))</f>
        <v/>
      </c>
      <c r="BM115" s="21">
        <f>COUNTIFS(Entries!$A$2:$A$5000,"&gt;="&amp;$A115,Entries!$A$2:$A$5000,"&lt;"&amp;EDATE($A115,1))</f>
        <v/>
      </c>
    </row>
    <row r="116">
      <c r="A116" s="22" t="n">
        <v>42917</v>
      </c>
      <c r="B116" s="23">
        <f>IF($BM116=0,NA(),SUMIFS(Entries!$E$2:$E$5000,Entries!$C$2:$C$5000,"Income",Entries!$A$2:$A$5000,"&gt;="&amp;$A116,Entries!$A$2:$A$5000,"&lt;"&amp;EDATE($A116,1)))</f>
        <v/>
      </c>
      <c r="C116" s="23">
        <f>IF($BM116=0,"",SUMIFS(Entries!$E$2:$E$5000,Entries!$C$2:$C$5000,"Actual",Entries!$A$2:$A$5000,"&gt;="&amp;$A116,Entries!$A$2:$A$5000,"&lt;"&amp;EDATE($A116,1)))</f>
        <v/>
      </c>
      <c r="D116" s="23">
        <f>IF($BM116=0,"",SUMIFS(Entries!$E$2:$E$5000,Entries!$C$2:$C$5000,"One-off",Entries!$A$2:$A$5000,"&gt;="&amp;$A116,Entries!$A$2:$A$5000,"&lt;"&amp;EDATE($A116,1)))</f>
        <v/>
      </c>
      <c r="E116" s="23">
        <f>IF($BM116=0,NA(),C116+D116)</f>
        <v/>
      </c>
      <c r="F116" s="23">
        <f>IF($BM116=0,"",SUM(AR116:BK116))</f>
        <v/>
      </c>
      <c r="G116" s="23">
        <f>IF($BM116=0,"",B116-E116)</f>
        <v/>
      </c>
      <c r="H116" s="23">
        <f>IF($BM116=0,"",SUM($G$2:G116))</f>
        <v/>
      </c>
      <c r="I116" s="23">
        <f>IF($BM116=0,"",SUMIFS(Entries!$G$2:$G$5000,Entries!$A$2:$A$5000,"&gt;="&amp;$A116,Entries!$A$2:$A$5000,"&lt;"&amp;EDATE($A116,1)))</f>
        <v/>
      </c>
      <c r="J116" s="23">
        <f>IF($BM116=0,NA(),H116)</f>
        <v/>
      </c>
      <c r="K116" s="23">
        <f>IF($BM116=0,"",SUMIFS(Entries!$E$2:$E$5000,Entries!$C$2:$C$5000,"Income",Entries!$A$2:$A$5000,"&gt;="&amp;EDATE($A116,-11),Entries!$A$2:$A$5000,"&lt;"&amp;EDATE($A116,1))/COUNTIFS($A$2:$A$400,"&gt;="&amp;EDATE($A116,-11),$A$2:$A$400,"&lt;"&amp;EDATE($A116,1),$BM$2:$BM$400,"&gt;0"))</f>
      </c>
      <c r="L116" s="23">
        <f>IF($BM116=0,"",(SUMIFS(Entries!$E$2:$E$5000,Entries!$C$2:$C$5000,"Actual",Entries!$A$2:$A$5000,"&gt;="&amp;EDATE($A116,-11),Entries!$A$2:$A$5000,"&lt;"&amp;EDATE($A116,1))+SUMIFS(Entries!$E$2:$E$5000,Entries!$C$2:$C$5000,"One-off",Entries!$A$2:$A$5000,"&gt;="&amp;EDATE($A116,-11),Entries!$A$2:$A$5000,"&lt;"&amp;EDATE($A116,1)))/COUNTIFS($A$2:$A$400,"&gt;="&amp;EDATE($A116,-11),$A$2:$A$400,"&lt;"&amp;EDATE($A116,1),$BM$2:$BM$400,"&gt;0"))</f>
      </c>
      <c r="M116" s="24">
        <f>IF($BM116=0,NA(),IFERROR((K116-L116)/K116,0))</f>
        <v/>
      </c>
      <c r="N116" s="23">
        <f>IF($BM116=0,NA(),SUMIFS(Entries!$E$2:$E$5000,Entries!$D$2:$D$5000,"Core",Entries!$A$2:$A$5000,"&gt;="&amp;$A116,Entries!$A$2:$A$5000,"&lt;"&amp;EDATE($A116,1)))</f>
        <v/>
      </c>
      <c r="O116" s="23">
        <f>IF($BM116=0,NA(),SUMIFS(Entries!$E$2:$E$5000,Entries!$D$2:$D$5000,"Over &amp; above",Entries!$A$2:$A$5000,"&gt;="&amp;$A116,Entries!$A$2:$A$5000,"&lt;"&amp;EDATE($A116,1)))</f>
        <v/>
      </c>
      <c r="P116" s="23">
        <f>IF($BM116=0,NA(),SUMIFS(Entries!$E$2:$E$5000,Entries!$D$2:$D$5000,"One-off",Entries!$A$2:$A$5000,"&gt;="&amp;$A116,Entries!$A$2:$A$5000,"&lt;"&amp;EDATE($A116,1)))</f>
        <v/>
      </c>
      <c r="Q116" s="23">
        <f>IF($BM116=0,NA(),SUMIFS(Entries!$E$2:$E$5000,Entries!$D$2:$D$5000,"Reimbursable",Entries!$A$2:$A$5000,"&gt;="&amp;$A116,Entries!$A$2:$A$5000,"&lt;"&amp;EDATE($A116,1)))</f>
        <v/>
      </c>
      <c r="R116" s="23">
        <f>IF($BM116=0,NA(),SUMIFS(Entries!$E$2:$E$5000,Entries!$D$2:$D$5000,"Investment",Entries!$A$2:$A$5000,"&gt;="&amp;$A116,Entries!$A$2:$A$5000,"&lt;"&amp;EDATE($A116,1)))</f>
        <v/>
      </c>
      <c r="S116" s="23">
        <f>IF($BM116=0,NA(),N116+O116)</f>
        <v/>
      </c>
      <c r="T116" s="23">
        <f>IF($BM116=0,"",E116-Q116)</f>
        <v/>
      </c>
      <c r="W116" s="23">
        <f>IF(OR(W$1="",$BM116=0),"",SUMIFS(Entries!$E$2:$E$5000,Entries!$C$2:$C$5000,"Actual",Entries!$A$2:$A$5000,"&gt;="&amp;$A116,Entries!$A$2:$A$5000,"&lt;"&amp;EDATE($A116,1),Entries!$B$2:$B$5000,W$1))</f>
        <v/>
      </c>
      <c r="X116" s="23">
        <f>IF(OR(X$1="",$BM116=0),"",SUMIFS(Entries!$E$2:$E$5000,Entries!$C$2:$C$5000,"Actual",Entries!$A$2:$A$5000,"&gt;="&amp;$A116,Entries!$A$2:$A$5000,"&lt;"&amp;EDATE($A116,1),Entries!$B$2:$B$5000,X$1))</f>
        <v/>
      </c>
      <c r="Y116" s="23">
        <f>IF(OR(Y$1="",$BM116=0),"",SUMIFS(Entries!$E$2:$E$5000,Entries!$C$2:$C$5000,"Actual",Entries!$A$2:$A$5000,"&gt;="&amp;$A116,Entries!$A$2:$A$5000,"&lt;"&amp;EDATE($A116,1),Entries!$B$2:$B$5000,Y$1))</f>
        <v/>
      </c>
      <c r="Z116" s="23">
        <f>IF(OR(Z$1="",$BM116=0),"",SUMIFS(Entries!$E$2:$E$5000,Entries!$C$2:$C$5000,"Actual",Entries!$A$2:$A$5000,"&gt;="&amp;$A116,Entries!$A$2:$A$5000,"&lt;"&amp;EDATE($A116,1),Entries!$B$2:$B$5000,Z$1))</f>
        <v/>
      </c>
      <c r="AA116" s="23">
        <f>IF(OR(AA$1="",$BM116=0),"",SUMIFS(Entries!$E$2:$E$5000,Entries!$C$2:$C$5000,"Actual",Entries!$A$2:$A$5000,"&gt;="&amp;$A116,Entries!$A$2:$A$5000,"&lt;"&amp;EDATE($A116,1),Entries!$B$2:$B$5000,AA$1))</f>
        <v/>
      </c>
      <c r="AB116" s="23">
        <f>IF(OR(AB$1="",$BM116=0),"",SUMIFS(Entries!$E$2:$E$5000,Entries!$C$2:$C$5000,"Actual",Entries!$A$2:$A$5000,"&gt;="&amp;$A116,Entries!$A$2:$A$5000,"&lt;"&amp;EDATE($A116,1),Entries!$B$2:$B$5000,AB$1))</f>
        <v/>
      </c>
      <c r="AC116" s="23">
        <f>IF(OR(AC$1="",$BM116=0),"",SUMIFS(Entries!$E$2:$E$5000,Entries!$C$2:$C$5000,"Actual",Entries!$A$2:$A$5000,"&gt;="&amp;$A116,Entries!$A$2:$A$5000,"&lt;"&amp;EDATE($A116,1),Entries!$B$2:$B$5000,AC$1))</f>
        <v/>
      </c>
      <c r="AD116" s="23">
        <f>IF(OR(AD$1="",$BM116=0),"",SUMIFS(Entries!$E$2:$E$5000,Entries!$C$2:$C$5000,"Actual",Entries!$A$2:$A$5000,"&gt;="&amp;$A116,Entries!$A$2:$A$5000,"&lt;"&amp;EDATE($A116,1),Entries!$B$2:$B$5000,AD$1))</f>
        <v/>
      </c>
      <c r="AE116" s="23">
        <f>IF(OR(AE$1="",$BM116=0),"",SUMIFS(Entries!$E$2:$E$5000,Entries!$C$2:$C$5000,"Actual",Entries!$A$2:$A$5000,"&gt;="&amp;$A116,Entries!$A$2:$A$5000,"&lt;"&amp;EDATE($A116,1),Entries!$B$2:$B$5000,AE$1))</f>
        <v/>
      </c>
      <c r="AF116" s="23">
        <f>IF(OR(AF$1="",$BM116=0),"",SUMIFS(Entries!$E$2:$E$5000,Entries!$C$2:$C$5000,"Actual",Entries!$A$2:$A$5000,"&gt;="&amp;$A116,Entries!$A$2:$A$5000,"&lt;"&amp;EDATE($A116,1),Entries!$B$2:$B$5000,AF$1))</f>
        <v/>
      </c>
      <c r="AG116" s="23">
        <f>IF(OR(AG$1="",$BM116=0),"",SUMIFS(Entries!$E$2:$E$5000,Entries!$C$2:$C$5000,"Actual",Entries!$A$2:$A$5000,"&gt;="&amp;$A116,Entries!$A$2:$A$5000,"&lt;"&amp;EDATE($A116,1),Entries!$B$2:$B$5000,AG$1))</f>
        <v/>
      </c>
      <c r="AH116" s="23">
        <f>IF(OR(AH$1="",$BM116=0),"",SUMIFS(Entries!$E$2:$E$5000,Entries!$C$2:$C$5000,"Actual",Entries!$A$2:$A$5000,"&gt;="&amp;$A116,Entries!$A$2:$A$5000,"&lt;"&amp;EDATE($A116,1),Entries!$B$2:$B$5000,AH$1))</f>
        <v/>
      </c>
      <c r="AI116" s="23">
        <f>IF(OR(AI$1="",$BM116=0),"",SUMIFS(Entries!$E$2:$E$5000,Entries!$C$2:$C$5000,"Actual",Entries!$A$2:$A$5000,"&gt;="&amp;$A116,Entries!$A$2:$A$5000,"&lt;"&amp;EDATE($A116,1),Entries!$B$2:$B$5000,AI$1))</f>
        <v/>
      </c>
      <c r="AJ116" s="23">
        <f>IF(OR(AJ$1="",$BM116=0),"",SUMIFS(Entries!$E$2:$E$5000,Entries!$C$2:$C$5000,"Actual",Entries!$A$2:$A$5000,"&gt;="&amp;$A116,Entries!$A$2:$A$5000,"&lt;"&amp;EDATE($A116,1),Entries!$B$2:$B$5000,AJ$1))</f>
        <v/>
      </c>
      <c r="AK116" s="23">
        <f>IF(OR(AK$1="",$BM116=0),"",SUMIFS(Entries!$E$2:$E$5000,Entries!$C$2:$C$5000,"Actual",Entries!$A$2:$A$5000,"&gt;="&amp;$A116,Entries!$A$2:$A$5000,"&lt;"&amp;EDATE($A116,1),Entries!$B$2:$B$5000,AK$1))</f>
        <v/>
      </c>
      <c r="AL116" s="23">
        <f>IF(OR(AL$1="",$BM116=0),"",SUMIFS(Entries!$E$2:$E$5000,Entries!$C$2:$C$5000,"Actual",Entries!$A$2:$A$5000,"&gt;="&amp;$A116,Entries!$A$2:$A$5000,"&lt;"&amp;EDATE($A116,1),Entries!$B$2:$B$5000,AL$1))</f>
        <v/>
      </c>
      <c r="AM116" s="23">
        <f>IF(OR(AM$1="",$BM116=0),"",SUMIFS(Entries!$E$2:$E$5000,Entries!$C$2:$C$5000,"Actual",Entries!$A$2:$A$5000,"&gt;="&amp;$A116,Entries!$A$2:$A$5000,"&lt;"&amp;EDATE($A116,1),Entries!$B$2:$B$5000,AM$1))</f>
        <v/>
      </c>
      <c r="AN116" s="23">
        <f>IF(OR(AN$1="",$BM116=0),"",SUMIFS(Entries!$E$2:$E$5000,Entries!$C$2:$C$5000,"Actual",Entries!$A$2:$A$5000,"&gt;="&amp;$A116,Entries!$A$2:$A$5000,"&lt;"&amp;EDATE($A116,1),Entries!$B$2:$B$5000,AN$1))</f>
        <v/>
      </c>
      <c r="AO116" s="23">
        <f>IF(OR(AO$1="",$BM116=0),"",SUMIFS(Entries!$E$2:$E$5000,Entries!$C$2:$C$5000,"Actual",Entries!$A$2:$A$5000,"&gt;="&amp;$A116,Entries!$A$2:$A$5000,"&lt;"&amp;EDATE($A116,1),Entries!$B$2:$B$5000,AO$1))</f>
        <v/>
      </c>
      <c r="AP116" s="23">
        <f>IF(OR(AP$1="",$BM116=0),"",SUMIFS(Entries!$E$2:$E$5000,Entries!$C$2:$C$5000,"Actual",Entries!$A$2:$A$5000,"&gt;="&amp;$A116,Entries!$A$2:$A$5000,"&lt;"&amp;EDATE($A116,1),Entries!$B$2:$B$5000,AP$1))</f>
        <v/>
      </c>
      <c r="AR116" s="23">
        <f>IF(OR(AR$1="",$BM116=0),"",IFERROR(LOOKUP(2,1/((Budgets!$A$2:$A$200=AR$1)*(Budgets!$B$2:$B$200&lt;EDATE($A116,1))),Budgets!$C$2:$C$200),0))</f>
        <v/>
      </c>
      <c r="AS116" s="23">
        <f>IF(OR(AS$1="",$BM116=0),"",IFERROR(LOOKUP(2,1/((Budgets!$A$2:$A$200=AS$1)*(Budgets!$B$2:$B$200&lt;EDATE($A116,1))),Budgets!$C$2:$C$200),0))</f>
        <v/>
      </c>
      <c r="AT116" s="23">
        <f>IF(OR(AT$1="",$BM116=0),"",IFERROR(LOOKUP(2,1/((Budgets!$A$2:$A$200=AT$1)*(Budgets!$B$2:$B$200&lt;EDATE($A116,1))),Budgets!$C$2:$C$200),0))</f>
        <v/>
      </c>
      <c r="AU116" s="23">
        <f>IF(OR(AU$1="",$BM116=0),"",IFERROR(LOOKUP(2,1/((Budgets!$A$2:$A$200=AU$1)*(Budgets!$B$2:$B$200&lt;EDATE($A116,1))),Budgets!$C$2:$C$200),0))</f>
        <v/>
      </c>
      <c r="AV116" s="23">
        <f>IF(OR(AV$1="",$BM116=0),"",IFERROR(LOOKUP(2,1/((Budgets!$A$2:$A$200=AV$1)*(Budgets!$B$2:$B$200&lt;EDATE($A116,1))),Budgets!$C$2:$C$200),0))</f>
        <v/>
      </c>
      <c r="AW116" s="23">
        <f>IF(OR(AW$1="",$BM116=0),"",IFERROR(LOOKUP(2,1/((Budgets!$A$2:$A$200=AW$1)*(Budgets!$B$2:$B$200&lt;EDATE($A116,1))),Budgets!$C$2:$C$200),0))</f>
        <v/>
      </c>
      <c r="AX116" s="23">
        <f>IF(OR(AX$1="",$BM116=0),"",IFERROR(LOOKUP(2,1/((Budgets!$A$2:$A$200=AX$1)*(Budgets!$B$2:$B$200&lt;EDATE($A116,1))),Budgets!$C$2:$C$200),0))</f>
        <v/>
      </c>
      <c r="AY116" s="23">
        <f>IF(OR(AY$1="",$BM116=0),"",IFERROR(LOOKUP(2,1/((Budgets!$A$2:$A$200=AY$1)*(Budgets!$B$2:$B$200&lt;EDATE($A116,1))),Budgets!$C$2:$C$200),0))</f>
        <v/>
      </c>
      <c r="AZ116" s="23">
        <f>IF(OR(AZ$1="",$BM116=0),"",IFERROR(LOOKUP(2,1/((Budgets!$A$2:$A$200=AZ$1)*(Budgets!$B$2:$B$200&lt;EDATE($A116,1))),Budgets!$C$2:$C$200),0))</f>
        <v/>
      </c>
      <c r="BA116" s="23">
        <f>IF(OR(BA$1="",$BM116=0),"",IFERROR(LOOKUP(2,1/((Budgets!$A$2:$A$200=BA$1)*(Budgets!$B$2:$B$200&lt;EDATE($A116,1))),Budgets!$C$2:$C$200),0))</f>
        <v/>
      </c>
      <c r="BB116" s="23">
        <f>IF(OR(BB$1="",$BM116=0),"",IFERROR(LOOKUP(2,1/((Budgets!$A$2:$A$200=BB$1)*(Budgets!$B$2:$B$200&lt;EDATE($A116,1))),Budgets!$C$2:$C$200),0))</f>
        <v/>
      </c>
      <c r="BC116" s="23">
        <f>IF(OR(BC$1="",$BM116=0),"",IFERROR(LOOKUP(2,1/((Budgets!$A$2:$A$200=BC$1)*(Budgets!$B$2:$B$200&lt;EDATE($A116,1))),Budgets!$C$2:$C$200),0))</f>
        <v/>
      </c>
      <c r="BD116" s="23">
        <f>IF(OR(BD$1="",$BM116=0),"",IFERROR(LOOKUP(2,1/((Budgets!$A$2:$A$200=BD$1)*(Budgets!$B$2:$B$200&lt;EDATE($A116,1))),Budgets!$C$2:$C$200),0))</f>
        <v/>
      </c>
      <c r="BE116" s="23">
        <f>IF(OR(BE$1="",$BM116=0),"",IFERROR(LOOKUP(2,1/((Budgets!$A$2:$A$200=BE$1)*(Budgets!$B$2:$B$200&lt;EDATE($A116,1))),Budgets!$C$2:$C$200),0))</f>
        <v/>
      </c>
      <c r="BF116" s="23">
        <f>IF(OR(BF$1="",$BM116=0),"",IFERROR(LOOKUP(2,1/((Budgets!$A$2:$A$200=BF$1)*(Budgets!$B$2:$B$200&lt;EDATE($A116,1))),Budgets!$C$2:$C$200),0))</f>
        <v/>
      </c>
      <c r="BG116" s="23">
        <f>IF(OR(BG$1="",$BM116=0),"",IFERROR(LOOKUP(2,1/((Budgets!$A$2:$A$200=BG$1)*(Budgets!$B$2:$B$200&lt;EDATE($A116,1))),Budgets!$C$2:$C$200),0))</f>
        <v/>
      </c>
      <c r="BH116" s="23">
        <f>IF(OR(BH$1="",$BM116=0),"",IFERROR(LOOKUP(2,1/((Budgets!$A$2:$A$200=BH$1)*(Budgets!$B$2:$B$200&lt;EDATE($A116,1))),Budgets!$C$2:$C$200),0))</f>
        <v/>
      </c>
      <c r="BI116" s="23">
        <f>IF(OR(BI$1="",$BM116=0),"",IFERROR(LOOKUP(2,1/((Budgets!$A$2:$A$200=BI$1)*(Budgets!$B$2:$B$200&lt;EDATE($A116,1))),Budgets!$C$2:$C$200),0))</f>
        <v/>
      </c>
      <c r="BJ116" s="23">
        <f>IF(OR(BJ$1="",$BM116=0),"",IFERROR(LOOKUP(2,1/((Budgets!$A$2:$A$200=BJ$1)*(Budgets!$B$2:$B$200&lt;EDATE($A116,1))),Budgets!$C$2:$C$200),0))</f>
        <v/>
      </c>
      <c r="BK116" s="23">
        <f>IF(OR(BK$1="",$BM116=0),"",IFERROR(LOOKUP(2,1/((Budgets!$A$2:$A$200=BK$1)*(Budgets!$B$2:$B$200&lt;EDATE($A116,1))),Budgets!$C$2:$C$200),0))</f>
        <v/>
      </c>
      <c r="BM116" s="21">
        <f>COUNTIFS(Entries!$A$2:$A$5000,"&gt;="&amp;$A116,Entries!$A$2:$A$5000,"&lt;"&amp;EDATE($A116,1))</f>
        <v/>
      </c>
    </row>
    <row r="117">
      <c r="A117" s="22" t="n">
        <v>42948</v>
      </c>
      <c r="B117" s="23">
        <f>IF($BM117=0,NA(),SUMIFS(Entries!$E$2:$E$5000,Entries!$C$2:$C$5000,"Income",Entries!$A$2:$A$5000,"&gt;="&amp;$A117,Entries!$A$2:$A$5000,"&lt;"&amp;EDATE($A117,1)))</f>
        <v/>
      </c>
      <c r="C117" s="23">
        <f>IF($BM117=0,"",SUMIFS(Entries!$E$2:$E$5000,Entries!$C$2:$C$5000,"Actual",Entries!$A$2:$A$5000,"&gt;="&amp;$A117,Entries!$A$2:$A$5000,"&lt;"&amp;EDATE($A117,1)))</f>
        <v/>
      </c>
      <c r="D117" s="23">
        <f>IF($BM117=0,"",SUMIFS(Entries!$E$2:$E$5000,Entries!$C$2:$C$5000,"One-off",Entries!$A$2:$A$5000,"&gt;="&amp;$A117,Entries!$A$2:$A$5000,"&lt;"&amp;EDATE($A117,1)))</f>
        <v/>
      </c>
      <c r="E117" s="23">
        <f>IF($BM117=0,NA(),C117+D117)</f>
        <v/>
      </c>
      <c r="F117" s="23">
        <f>IF($BM117=0,"",SUM(AR117:BK117))</f>
        <v/>
      </c>
      <c r="G117" s="23">
        <f>IF($BM117=0,"",B117-E117)</f>
        <v/>
      </c>
      <c r="H117" s="23">
        <f>IF($BM117=0,"",SUM($G$2:G117))</f>
        <v/>
      </c>
      <c r="I117" s="23">
        <f>IF($BM117=0,"",SUMIFS(Entries!$G$2:$G$5000,Entries!$A$2:$A$5000,"&gt;="&amp;$A117,Entries!$A$2:$A$5000,"&lt;"&amp;EDATE($A117,1)))</f>
        <v/>
      </c>
      <c r="J117" s="23">
        <f>IF($BM117=0,NA(),H117)</f>
        <v/>
      </c>
      <c r="K117" s="23">
        <f>IF($BM117=0,"",SUMIFS(Entries!$E$2:$E$5000,Entries!$C$2:$C$5000,"Income",Entries!$A$2:$A$5000,"&gt;="&amp;EDATE($A117,-11),Entries!$A$2:$A$5000,"&lt;"&amp;EDATE($A117,1))/COUNTIFS($A$2:$A$400,"&gt;="&amp;EDATE($A117,-11),$A$2:$A$400,"&lt;"&amp;EDATE($A117,1),$BM$2:$BM$400,"&gt;0"))</f>
      </c>
      <c r="L117" s="23">
        <f>IF($BM117=0,"",(SUMIFS(Entries!$E$2:$E$5000,Entries!$C$2:$C$5000,"Actual",Entries!$A$2:$A$5000,"&gt;="&amp;EDATE($A117,-11),Entries!$A$2:$A$5000,"&lt;"&amp;EDATE($A117,1))+SUMIFS(Entries!$E$2:$E$5000,Entries!$C$2:$C$5000,"One-off",Entries!$A$2:$A$5000,"&gt;="&amp;EDATE($A117,-11),Entries!$A$2:$A$5000,"&lt;"&amp;EDATE($A117,1)))/COUNTIFS($A$2:$A$400,"&gt;="&amp;EDATE($A117,-11),$A$2:$A$400,"&lt;"&amp;EDATE($A117,1),$BM$2:$BM$400,"&gt;0"))</f>
      </c>
      <c r="M117" s="24">
        <f>IF($BM117=0,NA(),IFERROR((K117-L117)/K117,0))</f>
        <v/>
      </c>
      <c r="N117" s="23">
        <f>IF($BM117=0,NA(),SUMIFS(Entries!$E$2:$E$5000,Entries!$D$2:$D$5000,"Core",Entries!$A$2:$A$5000,"&gt;="&amp;$A117,Entries!$A$2:$A$5000,"&lt;"&amp;EDATE($A117,1)))</f>
        <v/>
      </c>
      <c r="O117" s="23">
        <f>IF($BM117=0,NA(),SUMIFS(Entries!$E$2:$E$5000,Entries!$D$2:$D$5000,"Over &amp; above",Entries!$A$2:$A$5000,"&gt;="&amp;$A117,Entries!$A$2:$A$5000,"&lt;"&amp;EDATE($A117,1)))</f>
        <v/>
      </c>
      <c r="P117" s="23">
        <f>IF($BM117=0,NA(),SUMIFS(Entries!$E$2:$E$5000,Entries!$D$2:$D$5000,"One-off",Entries!$A$2:$A$5000,"&gt;="&amp;$A117,Entries!$A$2:$A$5000,"&lt;"&amp;EDATE($A117,1)))</f>
        <v/>
      </c>
      <c r="Q117" s="23">
        <f>IF($BM117=0,NA(),SUMIFS(Entries!$E$2:$E$5000,Entries!$D$2:$D$5000,"Reimbursable",Entries!$A$2:$A$5000,"&gt;="&amp;$A117,Entries!$A$2:$A$5000,"&lt;"&amp;EDATE($A117,1)))</f>
        <v/>
      </c>
      <c r="R117" s="23">
        <f>IF($BM117=0,NA(),SUMIFS(Entries!$E$2:$E$5000,Entries!$D$2:$D$5000,"Investment",Entries!$A$2:$A$5000,"&gt;="&amp;$A117,Entries!$A$2:$A$5000,"&lt;"&amp;EDATE($A117,1)))</f>
        <v/>
      </c>
      <c r="S117" s="23">
        <f>IF($BM117=0,NA(),N117+O117)</f>
        <v/>
      </c>
      <c r="T117" s="23">
        <f>IF($BM117=0,"",E117-Q117)</f>
        <v/>
      </c>
      <c r="W117" s="23">
        <f>IF(OR(W$1="",$BM117=0),"",SUMIFS(Entries!$E$2:$E$5000,Entries!$C$2:$C$5000,"Actual",Entries!$A$2:$A$5000,"&gt;="&amp;$A117,Entries!$A$2:$A$5000,"&lt;"&amp;EDATE($A117,1),Entries!$B$2:$B$5000,W$1))</f>
        <v/>
      </c>
      <c r="X117" s="23">
        <f>IF(OR(X$1="",$BM117=0),"",SUMIFS(Entries!$E$2:$E$5000,Entries!$C$2:$C$5000,"Actual",Entries!$A$2:$A$5000,"&gt;="&amp;$A117,Entries!$A$2:$A$5000,"&lt;"&amp;EDATE($A117,1),Entries!$B$2:$B$5000,X$1))</f>
        <v/>
      </c>
      <c r="Y117" s="23">
        <f>IF(OR(Y$1="",$BM117=0),"",SUMIFS(Entries!$E$2:$E$5000,Entries!$C$2:$C$5000,"Actual",Entries!$A$2:$A$5000,"&gt;="&amp;$A117,Entries!$A$2:$A$5000,"&lt;"&amp;EDATE($A117,1),Entries!$B$2:$B$5000,Y$1))</f>
        <v/>
      </c>
      <c r="Z117" s="23">
        <f>IF(OR(Z$1="",$BM117=0),"",SUMIFS(Entries!$E$2:$E$5000,Entries!$C$2:$C$5000,"Actual",Entries!$A$2:$A$5000,"&gt;="&amp;$A117,Entries!$A$2:$A$5000,"&lt;"&amp;EDATE($A117,1),Entries!$B$2:$B$5000,Z$1))</f>
        <v/>
      </c>
      <c r="AA117" s="23">
        <f>IF(OR(AA$1="",$BM117=0),"",SUMIFS(Entries!$E$2:$E$5000,Entries!$C$2:$C$5000,"Actual",Entries!$A$2:$A$5000,"&gt;="&amp;$A117,Entries!$A$2:$A$5000,"&lt;"&amp;EDATE($A117,1),Entries!$B$2:$B$5000,AA$1))</f>
        <v/>
      </c>
      <c r="AB117" s="23">
        <f>IF(OR(AB$1="",$BM117=0),"",SUMIFS(Entries!$E$2:$E$5000,Entries!$C$2:$C$5000,"Actual",Entries!$A$2:$A$5000,"&gt;="&amp;$A117,Entries!$A$2:$A$5000,"&lt;"&amp;EDATE($A117,1),Entries!$B$2:$B$5000,AB$1))</f>
        <v/>
      </c>
      <c r="AC117" s="23">
        <f>IF(OR(AC$1="",$BM117=0),"",SUMIFS(Entries!$E$2:$E$5000,Entries!$C$2:$C$5000,"Actual",Entries!$A$2:$A$5000,"&gt;="&amp;$A117,Entries!$A$2:$A$5000,"&lt;"&amp;EDATE($A117,1),Entries!$B$2:$B$5000,AC$1))</f>
        <v/>
      </c>
      <c r="AD117" s="23">
        <f>IF(OR(AD$1="",$BM117=0),"",SUMIFS(Entries!$E$2:$E$5000,Entries!$C$2:$C$5000,"Actual",Entries!$A$2:$A$5000,"&gt;="&amp;$A117,Entries!$A$2:$A$5000,"&lt;"&amp;EDATE($A117,1),Entries!$B$2:$B$5000,AD$1))</f>
        <v/>
      </c>
      <c r="AE117" s="23">
        <f>IF(OR(AE$1="",$BM117=0),"",SUMIFS(Entries!$E$2:$E$5000,Entries!$C$2:$C$5000,"Actual",Entries!$A$2:$A$5000,"&gt;="&amp;$A117,Entries!$A$2:$A$5000,"&lt;"&amp;EDATE($A117,1),Entries!$B$2:$B$5000,AE$1))</f>
        <v/>
      </c>
      <c r="AF117" s="23">
        <f>IF(OR(AF$1="",$BM117=0),"",SUMIFS(Entries!$E$2:$E$5000,Entries!$C$2:$C$5000,"Actual",Entries!$A$2:$A$5000,"&gt;="&amp;$A117,Entries!$A$2:$A$5000,"&lt;"&amp;EDATE($A117,1),Entries!$B$2:$B$5000,AF$1))</f>
        <v/>
      </c>
      <c r="AG117" s="23">
        <f>IF(OR(AG$1="",$BM117=0),"",SUMIFS(Entries!$E$2:$E$5000,Entries!$C$2:$C$5000,"Actual",Entries!$A$2:$A$5000,"&gt;="&amp;$A117,Entries!$A$2:$A$5000,"&lt;"&amp;EDATE($A117,1),Entries!$B$2:$B$5000,AG$1))</f>
        <v/>
      </c>
      <c r="AH117" s="23">
        <f>IF(OR(AH$1="",$BM117=0),"",SUMIFS(Entries!$E$2:$E$5000,Entries!$C$2:$C$5000,"Actual",Entries!$A$2:$A$5000,"&gt;="&amp;$A117,Entries!$A$2:$A$5000,"&lt;"&amp;EDATE($A117,1),Entries!$B$2:$B$5000,AH$1))</f>
        <v/>
      </c>
      <c r="AI117" s="23">
        <f>IF(OR(AI$1="",$BM117=0),"",SUMIFS(Entries!$E$2:$E$5000,Entries!$C$2:$C$5000,"Actual",Entries!$A$2:$A$5000,"&gt;="&amp;$A117,Entries!$A$2:$A$5000,"&lt;"&amp;EDATE($A117,1),Entries!$B$2:$B$5000,AI$1))</f>
        <v/>
      </c>
      <c r="AJ117" s="23">
        <f>IF(OR(AJ$1="",$BM117=0),"",SUMIFS(Entries!$E$2:$E$5000,Entries!$C$2:$C$5000,"Actual",Entries!$A$2:$A$5000,"&gt;="&amp;$A117,Entries!$A$2:$A$5000,"&lt;"&amp;EDATE($A117,1),Entries!$B$2:$B$5000,AJ$1))</f>
        <v/>
      </c>
      <c r="AK117" s="23">
        <f>IF(OR(AK$1="",$BM117=0),"",SUMIFS(Entries!$E$2:$E$5000,Entries!$C$2:$C$5000,"Actual",Entries!$A$2:$A$5000,"&gt;="&amp;$A117,Entries!$A$2:$A$5000,"&lt;"&amp;EDATE($A117,1),Entries!$B$2:$B$5000,AK$1))</f>
        <v/>
      </c>
      <c r="AL117" s="23">
        <f>IF(OR(AL$1="",$BM117=0),"",SUMIFS(Entries!$E$2:$E$5000,Entries!$C$2:$C$5000,"Actual",Entries!$A$2:$A$5000,"&gt;="&amp;$A117,Entries!$A$2:$A$5000,"&lt;"&amp;EDATE($A117,1),Entries!$B$2:$B$5000,AL$1))</f>
        <v/>
      </c>
      <c r="AM117" s="23">
        <f>IF(OR(AM$1="",$BM117=0),"",SUMIFS(Entries!$E$2:$E$5000,Entries!$C$2:$C$5000,"Actual",Entries!$A$2:$A$5000,"&gt;="&amp;$A117,Entries!$A$2:$A$5000,"&lt;"&amp;EDATE($A117,1),Entries!$B$2:$B$5000,AM$1))</f>
        <v/>
      </c>
      <c r="AN117" s="23">
        <f>IF(OR(AN$1="",$BM117=0),"",SUMIFS(Entries!$E$2:$E$5000,Entries!$C$2:$C$5000,"Actual",Entries!$A$2:$A$5000,"&gt;="&amp;$A117,Entries!$A$2:$A$5000,"&lt;"&amp;EDATE($A117,1),Entries!$B$2:$B$5000,AN$1))</f>
        <v/>
      </c>
      <c r="AO117" s="23">
        <f>IF(OR(AO$1="",$BM117=0),"",SUMIFS(Entries!$E$2:$E$5000,Entries!$C$2:$C$5000,"Actual",Entries!$A$2:$A$5000,"&gt;="&amp;$A117,Entries!$A$2:$A$5000,"&lt;"&amp;EDATE($A117,1),Entries!$B$2:$B$5000,AO$1))</f>
        <v/>
      </c>
      <c r="AP117" s="23">
        <f>IF(OR(AP$1="",$BM117=0),"",SUMIFS(Entries!$E$2:$E$5000,Entries!$C$2:$C$5000,"Actual",Entries!$A$2:$A$5000,"&gt;="&amp;$A117,Entries!$A$2:$A$5000,"&lt;"&amp;EDATE($A117,1),Entries!$B$2:$B$5000,AP$1))</f>
        <v/>
      </c>
      <c r="AR117" s="23">
        <f>IF(OR(AR$1="",$BM117=0),"",IFERROR(LOOKUP(2,1/((Budgets!$A$2:$A$200=AR$1)*(Budgets!$B$2:$B$200&lt;EDATE($A117,1))),Budgets!$C$2:$C$200),0))</f>
        <v/>
      </c>
      <c r="AS117" s="23">
        <f>IF(OR(AS$1="",$BM117=0),"",IFERROR(LOOKUP(2,1/((Budgets!$A$2:$A$200=AS$1)*(Budgets!$B$2:$B$200&lt;EDATE($A117,1))),Budgets!$C$2:$C$200),0))</f>
        <v/>
      </c>
      <c r="AT117" s="23">
        <f>IF(OR(AT$1="",$BM117=0),"",IFERROR(LOOKUP(2,1/((Budgets!$A$2:$A$200=AT$1)*(Budgets!$B$2:$B$200&lt;EDATE($A117,1))),Budgets!$C$2:$C$200),0))</f>
        <v/>
      </c>
      <c r="AU117" s="23">
        <f>IF(OR(AU$1="",$BM117=0),"",IFERROR(LOOKUP(2,1/((Budgets!$A$2:$A$200=AU$1)*(Budgets!$B$2:$B$200&lt;EDATE($A117,1))),Budgets!$C$2:$C$200),0))</f>
        <v/>
      </c>
      <c r="AV117" s="23">
        <f>IF(OR(AV$1="",$BM117=0),"",IFERROR(LOOKUP(2,1/((Budgets!$A$2:$A$200=AV$1)*(Budgets!$B$2:$B$200&lt;EDATE($A117,1))),Budgets!$C$2:$C$200),0))</f>
        <v/>
      </c>
      <c r="AW117" s="23">
        <f>IF(OR(AW$1="",$BM117=0),"",IFERROR(LOOKUP(2,1/((Budgets!$A$2:$A$200=AW$1)*(Budgets!$B$2:$B$200&lt;EDATE($A117,1))),Budgets!$C$2:$C$200),0))</f>
        <v/>
      </c>
      <c r="AX117" s="23">
        <f>IF(OR(AX$1="",$BM117=0),"",IFERROR(LOOKUP(2,1/((Budgets!$A$2:$A$200=AX$1)*(Budgets!$B$2:$B$200&lt;EDATE($A117,1))),Budgets!$C$2:$C$200),0))</f>
        <v/>
      </c>
      <c r="AY117" s="23">
        <f>IF(OR(AY$1="",$BM117=0),"",IFERROR(LOOKUP(2,1/((Budgets!$A$2:$A$200=AY$1)*(Budgets!$B$2:$B$200&lt;EDATE($A117,1))),Budgets!$C$2:$C$200),0))</f>
        <v/>
      </c>
      <c r="AZ117" s="23">
        <f>IF(OR(AZ$1="",$BM117=0),"",IFERROR(LOOKUP(2,1/((Budgets!$A$2:$A$200=AZ$1)*(Budgets!$B$2:$B$200&lt;EDATE($A117,1))),Budgets!$C$2:$C$200),0))</f>
        <v/>
      </c>
      <c r="BA117" s="23">
        <f>IF(OR(BA$1="",$BM117=0),"",IFERROR(LOOKUP(2,1/((Budgets!$A$2:$A$200=BA$1)*(Budgets!$B$2:$B$200&lt;EDATE($A117,1))),Budgets!$C$2:$C$200),0))</f>
        <v/>
      </c>
      <c r="BB117" s="23">
        <f>IF(OR(BB$1="",$BM117=0),"",IFERROR(LOOKUP(2,1/((Budgets!$A$2:$A$200=BB$1)*(Budgets!$B$2:$B$200&lt;EDATE($A117,1))),Budgets!$C$2:$C$200),0))</f>
        <v/>
      </c>
      <c r="BC117" s="23">
        <f>IF(OR(BC$1="",$BM117=0),"",IFERROR(LOOKUP(2,1/((Budgets!$A$2:$A$200=BC$1)*(Budgets!$B$2:$B$200&lt;EDATE($A117,1))),Budgets!$C$2:$C$200),0))</f>
        <v/>
      </c>
      <c r="BD117" s="23">
        <f>IF(OR(BD$1="",$BM117=0),"",IFERROR(LOOKUP(2,1/((Budgets!$A$2:$A$200=BD$1)*(Budgets!$B$2:$B$200&lt;EDATE($A117,1))),Budgets!$C$2:$C$200),0))</f>
        <v/>
      </c>
      <c r="BE117" s="23">
        <f>IF(OR(BE$1="",$BM117=0),"",IFERROR(LOOKUP(2,1/((Budgets!$A$2:$A$200=BE$1)*(Budgets!$B$2:$B$200&lt;EDATE($A117,1))),Budgets!$C$2:$C$200),0))</f>
        <v/>
      </c>
      <c r="BF117" s="23">
        <f>IF(OR(BF$1="",$BM117=0),"",IFERROR(LOOKUP(2,1/((Budgets!$A$2:$A$200=BF$1)*(Budgets!$B$2:$B$200&lt;EDATE($A117,1))),Budgets!$C$2:$C$200),0))</f>
        <v/>
      </c>
      <c r="BG117" s="23">
        <f>IF(OR(BG$1="",$BM117=0),"",IFERROR(LOOKUP(2,1/((Budgets!$A$2:$A$200=BG$1)*(Budgets!$B$2:$B$200&lt;EDATE($A117,1))),Budgets!$C$2:$C$200),0))</f>
        <v/>
      </c>
      <c r="BH117" s="23">
        <f>IF(OR(BH$1="",$BM117=0),"",IFERROR(LOOKUP(2,1/((Budgets!$A$2:$A$200=BH$1)*(Budgets!$B$2:$B$200&lt;EDATE($A117,1))),Budgets!$C$2:$C$200),0))</f>
        <v/>
      </c>
      <c r="BI117" s="23">
        <f>IF(OR(BI$1="",$BM117=0),"",IFERROR(LOOKUP(2,1/((Budgets!$A$2:$A$200=BI$1)*(Budgets!$B$2:$B$200&lt;EDATE($A117,1))),Budgets!$C$2:$C$200),0))</f>
        <v/>
      </c>
      <c r="BJ117" s="23">
        <f>IF(OR(BJ$1="",$BM117=0),"",IFERROR(LOOKUP(2,1/((Budgets!$A$2:$A$200=BJ$1)*(Budgets!$B$2:$B$200&lt;EDATE($A117,1))),Budgets!$C$2:$C$200),0))</f>
        <v/>
      </c>
      <c r="BK117" s="23">
        <f>IF(OR(BK$1="",$BM117=0),"",IFERROR(LOOKUP(2,1/((Budgets!$A$2:$A$200=BK$1)*(Budgets!$B$2:$B$200&lt;EDATE($A117,1))),Budgets!$C$2:$C$200),0))</f>
        <v/>
      </c>
      <c r="BM117" s="21">
        <f>COUNTIFS(Entries!$A$2:$A$5000,"&gt;="&amp;$A117,Entries!$A$2:$A$5000,"&lt;"&amp;EDATE($A117,1))</f>
        <v/>
      </c>
    </row>
    <row r="118">
      <c r="A118" s="22" t="n">
        <v>42979</v>
      </c>
      <c r="B118" s="23">
        <f>IF($BM118=0,NA(),SUMIFS(Entries!$E$2:$E$5000,Entries!$C$2:$C$5000,"Income",Entries!$A$2:$A$5000,"&gt;="&amp;$A118,Entries!$A$2:$A$5000,"&lt;"&amp;EDATE($A118,1)))</f>
        <v/>
      </c>
      <c r="C118" s="23">
        <f>IF($BM118=0,"",SUMIFS(Entries!$E$2:$E$5000,Entries!$C$2:$C$5000,"Actual",Entries!$A$2:$A$5000,"&gt;="&amp;$A118,Entries!$A$2:$A$5000,"&lt;"&amp;EDATE($A118,1)))</f>
        <v/>
      </c>
      <c r="D118" s="23">
        <f>IF($BM118=0,"",SUMIFS(Entries!$E$2:$E$5000,Entries!$C$2:$C$5000,"One-off",Entries!$A$2:$A$5000,"&gt;="&amp;$A118,Entries!$A$2:$A$5000,"&lt;"&amp;EDATE($A118,1)))</f>
        <v/>
      </c>
      <c r="E118" s="23">
        <f>IF($BM118=0,NA(),C118+D118)</f>
        <v/>
      </c>
      <c r="F118" s="23">
        <f>IF($BM118=0,"",SUM(AR118:BK118))</f>
        <v/>
      </c>
      <c r="G118" s="23">
        <f>IF($BM118=0,"",B118-E118)</f>
        <v/>
      </c>
      <c r="H118" s="23">
        <f>IF($BM118=0,"",SUM($G$2:G118))</f>
        <v/>
      </c>
      <c r="I118" s="23">
        <f>IF($BM118=0,"",SUMIFS(Entries!$G$2:$G$5000,Entries!$A$2:$A$5000,"&gt;="&amp;$A118,Entries!$A$2:$A$5000,"&lt;"&amp;EDATE($A118,1)))</f>
        <v/>
      </c>
      <c r="J118" s="23">
        <f>IF($BM118=0,NA(),H118)</f>
        <v/>
      </c>
      <c r="K118" s="23">
        <f>IF($BM118=0,"",SUMIFS(Entries!$E$2:$E$5000,Entries!$C$2:$C$5000,"Income",Entries!$A$2:$A$5000,"&gt;="&amp;EDATE($A118,-11),Entries!$A$2:$A$5000,"&lt;"&amp;EDATE($A118,1))/COUNTIFS($A$2:$A$400,"&gt;="&amp;EDATE($A118,-11),$A$2:$A$400,"&lt;"&amp;EDATE($A118,1),$BM$2:$BM$400,"&gt;0"))</f>
      </c>
      <c r="L118" s="23">
        <f>IF($BM118=0,"",(SUMIFS(Entries!$E$2:$E$5000,Entries!$C$2:$C$5000,"Actual",Entries!$A$2:$A$5000,"&gt;="&amp;EDATE($A118,-11),Entries!$A$2:$A$5000,"&lt;"&amp;EDATE($A118,1))+SUMIFS(Entries!$E$2:$E$5000,Entries!$C$2:$C$5000,"One-off",Entries!$A$2:$A$5000,"&gt;="&amp;EDATE($A118,-11),Entries!$A$2:$A$5000,"&lt;"&amp;EDATE($A118,1)))/COUNTIFS($A$2:$A$400,"&gt;="&amp;EDATE($A118,-11),$A$2:$A$400,"&lt;"&amp;EDATE($A118,1),$BM$2:$BM$400,"&gt;0"))</f>
      </c>
      <c r="M118" s="24">
        <f>IF($BM118=0,NA(),IFERROR((K118-L118)/K118,0))</f>
        <v/>
      </c>
      <c r="N118" s="23">
        <f>IF($BM118=0,NA(),SUMIFS(Entries!$E$2:$E$5000,Entries!$D$2:$D$5000,"Core",Entries!$A$2:$A$5000,"&gt;="&amp;$A118,Entries!$A$2:$A$5000,"&lt;"&amp;EDATE($A118,1)))</f>
        <v/>
      </c>
      <c r="O118" s="23">
        <f>IF($BM118=0,NA(),SUMIFS(Entries!$E$2:$E$5000,Entries!$D$2:$D$5000,"Over &amp; above",Entries!$A$2:$A$5000,"&gt;="&amp;$A118,Entries!$A$2:$A$5000,"&lt;"&amp;EDATE($A118,1)))</f>
        <v/>
      </c>
      <c r="P118" s="23">
        <f>IF($BM118=0,NA(),SUMIFS(Entries!$E$2:$E$5000,Entries!$D$2:$D$5000,"One-off",Entries!$A$2:$A$5000,"&gt;="&amp;$A118,Entries!$A$2:$A$5000,"&lt;"&amp;EDATE($A118,1)))</f>
        <v/>
      </c>
      <c r="Q118" s="23">
        <f>IF($BM118=0,NA(),SUMIFS(Entries!$E$2:$E$5000,Entries!$D$2:$D$5000,"Reimbursable",Entries!$A$2:$A$5000,"&gt;="&amp;$A118,Entries!$A$2:$A$5000,"&lt;"&amp;EDATE($A118,1)))</f>
        <v/>
      </c>
      <c r="R118" s="23">
        <f>IF($BM118=0,NA(),SUMIFS(Entries!$E$2:$E$5000,Entries!$D$2:$D$5000,"Investment",Entries!$A$2:$A$5000,"&gt;="&amp;$A118,Entries!$A$2:$A$5000,"&lt;"&amp;EDATE($A118,1)))</f>
        <v/>
      </c>
      <c r="S118" s="23">
        <f>IF($BM118=0,NA(),N118+O118)</f>
        <v/>
      </c>
      <c r="T118" s="23">
        <f>IF($BM118=0,"",E118-Q118)</f>
        <v/>
      </c>
      <c r="W118" s="23">
        <f>IF(OR(W$1="",$BM118=0),"",SUMIFS(Entries!$E$2:$E$5000,Entries!$C$2:$C$5000,"Actual",Entries!$A$2:$A$5000,"&gt;="&amp;$A118,Entries!$A$2:$A$5000,"&lt;"&amp;EDATE($A118,1),Entries!$B$2:$B$5000,W$1))</f>
        <v/>
      </c>
      <c r="X118" s="23">
        <f>IF(OR(X$1="",$BM118=0),"",SUMIFS(Entries!$E$2:$E$5000,Entries!$C$2:$C$5000,"Actual",Entries!$A$2:$A$5000,"&gt;="&amp;$A118,Entries!$A$2:$A$5000,"&lt;"&amp;EDATE($A118,1),Entries!$B$2:$B$5000,X$1))</f>
        <v/>
      </c>
      <c r="Y118" s="23">
        <f>IF(OR(Y$1="",$BM118=0),"",SUMIFS(Entries!$E$2:$E$5000,Entries!$C$2:$C$5000,"Actual",Entries!$A$2:$A$5000,"&gt;="&amp;$A118,Entries!$A$2:$A$5000,"&lt;"&amp;EDATE($A118,1),Entries!$B$2:$B$5000,Y$1))</f>
        <v/>
      </c>
      <c r="Z118" s="23">
        <f>IF(OR(Z$1="",$BM118=0),"",SUMIFS(Entries!$E$2:$E$5000,Entries!$C$2:$C$5000,"Actual",Entries!$A$2:$A$5000,"&gt;="&amp;$A118,Entries!$A$2:$A$5000,"&lt;"&amp;EDATE($A118,1),Entries!$B$2:$B$5000,Z$1))</f>
        <v/>
      </c>
      <c r="AA118" s="23">
        <f>IF(OR(AA$1="",$BM118=0),"",SUMIFS(Entries!$E$2:$E$5000,Entries!$C$2:$C$5000,"Actual",Entries!$A$2:$A$5000,"&gt;="&amp;$A118,Entries!$A$2:$A$5000,"&lt;"&amp;EDATE($A118,1),Entries!$B$2:$B$5000,AA$1))</f>
        <v/>
      </c>
      <c r="AB118" s="23">
        <f>IF(OR(AB$1="",$BM118=0),"",SUMIFS(Entries!$E$2:$E$5000,Entries!$C$2:$C$5000,"Actual",Entries!$A$2:$A$5000,"&gt;="&amp;$A118,Entries!$A$2:$A$5000,"&lt;"&amp;EDATE($A118,1),Entries!$B$2:$B$5000,AB$1))</f>
        <v/>
      </c>
      <c r="AC118" s="23">
        <f>IF(OR(AC$1="",$BM118=0),"",SUMIFS(Entries!$E$2:$E$5000,Entries!$C$2:$C$5000,"Actual",Entries!$A$2:$A$5000,"&gt;="&amp;$A118,Entries!$A$2:$A$5000,"&lt;"&amp;EDATE($A118,1),Entries!$B$2:$B$5000,AC$1))</f>
        <v/>
      </c>
      <c r="AD118" s="23">
        <f>IF(OR(AD$1="",$BM118=0),"",SUMIFS(Entries!$E$2:$E$5000,Entries!$C$2:$C$5000,"Actual",Entries!$A$2:$A$5000,"&gt;="&amp;$A118,Entries!$A$2:$A$5000,"&lt;"&amp;EDATE($A118,1),Entries!$B$2:$B$5000,AD$1))</f>
        <v/>
      </c>
      <c r="AE118" s="23">
        <f>IF(OR(AE$1="",$BM118=0),"",SUMIFS(Entries!$E$2:$E$5000,Entries!$C$2:$C$5000,"Actual",Entries!$A$2:$A$5000,"&gt;="&amp;$A118,Entries!$A$2:$A$5000,"&lt;"&amp;EDATE($A118,1),Entries!$B$2:$B$5000,AE$1))</f>
        <v/>
      </c>
      <c r="AF118" s="23">
        <f>IF(OR(AF$1="",$BM118=0),"",SUMIFS(Entries!$E$2:$E$5000,Entries!$C$2:$C$5000,"Actual",Entries!$A$2:$A$5000,"&gt;="&amp;$A118,Entries!$A$2:$A$5000,"&lt;"&amp;EDATE($A118,1),Entries!$B$2:$B$5000,AF$1))</f>
        <v/>
      </c>
      <c r="AG118" s="23">
        <f>IF(OR(AG$1="",$BM118=0),"",SUMIFS(Entries!$E$2:$E$5000,Entries!$C$2:$C$5000,"Actual",Entries!$A$2:$A$5000,"&gt;="&amp;$A118,Entries!$A$2:$A$5000,"&lt;"&amp;EDATE($A118,1),Entries!$B$2:$B$5000,AG$1))</f>
        <v/>
      </c>
      <c r="AH118" s="23">
        <f>IF(OR(AH$1="",$BM118=0),"",SUMIFS(Entries!$E$2:$E$5000,Entries!$C$2:$C$5000,"Actual",Entries!$A$2:$A$5000,"&gt;="&amp;$A118,Entries!$A$2:$A$5000,"&lt;"&amp;EDATE($A118,1),Entries!$B$2:$B$5000,AH$1))</f>
        <v/>
      </c>
      <c r="AI118" s="23">
        <f>IF(OR(AI$1="",$BM118=0),"",SUMIFS(Entries!$E$2:$E$5000,Entries!$C$2:$C$5000,"Actual",Entries!$A$2:$A$5000,"&gt;="&amp;$A118,Entries!$A$2:$A$5000,"&lt;"&amp;EDATE($A118,1),Entries!$B$2:$B$5000,AI$1))</f>
        <v/>
      </c>
      <c r="AJ118" s="23">
        <f>IF(OR(AJ$1="",$BM118=0),"",SUMIFS(Entries!$E$2:$E$5000,Entries!$C$2:$C$5000,"Actual",Entries!$A$2:$A$5000,"&gt;="&amp;$A118,Entries!$A$2:$A$5000,"&lt;"&amp;EDATE($A118,1),Entries!$B$2:$B$5000,AJ$1))</f>
        <v/>
      </c>
      <c r="AK118" s="23">
        <f>IF(OR(AK$1="",$BM118=0),"",SUMIFS(Entries!$E$2:$E$5000,Entries!$C$2:$C$5000,"Actual",Entries!$A$2:$A$5000,"&gt;="&amp;$A118,Entries!$A$2:$A$5000,"&lt;"&amp;EDATE($A118,1),Entries!$B$2:$B$5000,AK$1))</f>
        <v/>
      </c>
      <c r="AL118" s="23">
        <f>IF(OR(AL$1="",$BM118=0),"",SUMIFS(Entries!$E$2:$E$5000,Entries!$C$2:$C$5000,"Actual",Entries!$A$2:$A$5000,"&gt;="&amp;$A118,Entries!$A$2:$A$5000,"&lt;"&amp;EDATE($A118,1),Entries!$B$2:$B$5000,AL$1))</f>
        <v/>
      </c>
      <c r="AM118" s="23">
        <f>IF(OR(AM$1="",$BM118=0),"",SUMIFS(Entries!$E$2:$E$5000,Entries!$C$2:$C$5000,"Actual",Entries!$A$2:$A$5000,"&gt;="&amp;$A118,Entries!$A$2:$A$5000,"&lt;"&amp;EDATE($A118,1),Entries!$B$2:$B$5000,AM$1))</f>
        <v/>
      </c>
      <c r="AN118" s="23">
        <f>IF(OR(AN$1="",$BM118=0),"",SUMIFS(Entries!$E$2:$E$5000,Entries!$C$2:$C$5000,"Actual",Entries!$A$2:$A$5000,"&gt;="&amp;$A118,Entries!$A$2:$A$5000,"&lt;"&amp;EDATE($A118,1),Entries!$B$2:$B$5000,AN$1))</f>
        <v/>
      </c>
      <c r="AO118" s="23">
        <f>IF(OR(AO$1="",$BM118=0),"",SUMIFS(Entries!$E$2:$E$5000,Entries!$C$2:$C$5000,"Actual",Entries!$A$2:$A$5000,"&gt;="&amp;$A118,Entries!$A$2:$A$5000,"&lt;"&amp;EDATE($A118,1),Entries!$B$2:$B$5000,AO$1))</f>
        <v/>
      </c>
      <c r="AP118" s="23">
        <f>IF(OR(AP$1="",$BM118=0),"",SUMIFS(Entries!$E$2:$E$5000,Entries!$C$2:$C$5000,"Actual",Entries!$A$2:$A$5000,"&gt;="&amp;$A118,Entries!$A$2:$A$5000,"&lt;"&amp;EDATE($A118,1),Entries!$B$2:$B$5000,AP$1))</f>
        <v/>
      </c>
      <c r="AR118" s="23">
        <f>IF(OR(AR$1="",$BM118=0),"",IFERROR(LOOKUP(2,1/((Budgets!$A$2:$A$200=AR$1)*(Budgets!$B$2:$B$200&lt;EDATE($A118,1))),Budgets!$C$2:$C$200),0))</f>
        <v/>
      </c>
      <c r="AS118" s="23">
        <f>IF(OR(AS$1="",$BM118=0),"",IFERROR(LOOKUP(2,1/((Budgets!$A$2:$A$200=AS$1)*(Budgets!$B$2:$B$200&lt;EDATE($A118,1))),Budgets!$C$2:$C$200),0))</f>
        <v/>
      </c>
      <c r="AT118" s="23">
        <f>IF(OR(AT$1="",$BM118=0),"",IFERROR(LOOKUP(2,1/((Budgets!$A$2:$A$200=AT$1)*(Budgets!$B$2:$B$200&lt;EDATE($A118,1))),Budgets!$C$2:$C$200),0))</f>
        <v/>
      </c>
      <c r="AU118" s="23">
        <f>IF(OR(AU$1="",$BM118=0),"",IFERROR(LOOKUP(2,1/((Budgets!$A$2:$A$200=AU$1)*(Budgets!$B$2:$B$200&lt;EDATE($A118,1))),Budgets!$C$2:$C$200),0))</f>
        <v/>
      </c>
      <c r="AV118" s="23">
        <f>IF(OR(AV$1="",$BM118=0),"",IFERROR(LOOKUP(2,1/((Budgets!$A$2:$A$200=AV$1)*(Budgets!$B$2:$B$200&lt;EDATE($A118,1))),Budgets!$C$2:$C$200),0))</f>
        <v/>
      </c>
      <c r="AW118" s="23">
        <f>IF(OR(AW$1="",$BM118=0),"",IFERROR(LOOKUP(2,1/((Budgets!$A$2:$A$200=AW$1)*(Budgets!$B$2:$B$200&lt;EDATE($A118,1))),Budgets!$C$2:$C$200),0))</f>
        <v/>
      </c>
      <c r="AX118" s="23">
        <f>IF(OR(AX$1="",$BM118=0),"",IFERROR(LOOKUP(2,1/((Budgets!$A$2:$A$200=AX$1)*(Budgets!$B$2:$B$200&lt;EDATE($A118,1))),Budgets!$C$2:$C$200),0))</f>
        <v/>
      </c>
      <c r="AY118" s="23">
        <f>IF(OR(AY$1="",$BM118=0),"",IFERROR(LOOKUP(2,1/((Budgets!$A$2:$A$200=AY$1)*(Budgets!$B$2:$B$200&lt;EDATE($A118,1))),Budgets!$C$2:$C$200),0))</f>
        <v/>
      </c>
      <c r="AZ118" s="23">
        <f>IF(OR(AZ$1="",$BM118=0),"",IFERROR(LOOKUP(2,1/((Budgets!$A$2:$A$200=AZ$1)*(Budgets!$B$2:$B$200&lt;EDATE($A118,1))),Budgets!$C$2:$C$200),0))</f>
        <v/>
      </c>
      <c r="BA118" s="23">
        <f>IF(OR(BA$1="",$BM118=0),"",IFERROR(LOOKUP(2,1/((Budgets!$A$2:$A$200=BA$1)*(Budgets!$B$2:$B$200&lt;EDATE($A118,1))),Budgets!$C$2:$C$200),0))</f>
        <v/>
      </c>
      <c r="BB118" s="23">
        <f>IF(OR(BB$1="",$BM118=0),"",IFERROR(LOOKUP(2,1/((Budgets!$A$2:$A$200=BB$1)*(Budgets!$B$2:$B$200&lt;EDATE($A118,1))),Budgets!$C$2:$C$200),0))</f>
        <v/>
      </c>
      <c r="BC118" s="23">
        <f>IF(OR(BC$1="",$BM118=0),"",IFERROR(LOOKUP(2,1/((Budgets!$A$2:$A$200=BC$1)*(Budgets!$B$2:$B$200&lt;EDATE($A118,1))),Budgets!$C$2:$C$200),0))</f>
        <v/>
      </c>
      <c r="BD118" s="23">
        <f>IF(OR(BD$1="",$BM118=0),"",IFERROR(LOOKUP(2,1/((Budgets!$A$2:$A$200=BD$1)*(Budgets!$B$2:$B$200&lt;EDATE($A118,1))),Budgets!$C$2:$C$200),0))</f>
        <v/>
      </c>
      <c r="BE118" s="23">
        <f>IF(OR(BE$1="",$BM118=0),"",IFERROR(LOOKUP(2,1/((Budgets!$A$2:$A$200=BE$1)*(Budgets!$B$2:$B$200&lt;EDATE($A118,1))),Budgets!$C$2:$C$200),0))</f>
        <v/>
      </c>
      <c r="BF118" s="23">
        <f>IF(OR(BF$1="",$BM118=0),"",IFERROR(LOOKUP(2,1/((Budgets!$A$2:$A$200=BF$1)*(Budgets!$B$2:$B$200&lt;EDATE($A118,1))),Budgets!$C$2:$C$200),0))</f>
        <v/>
      </c>
      <c r="BG118" s="23">
        <f>IF(OR(BG$1="",$BM118=0),"",IFERROR(LOOKUP(2,1/((Budgets!$A$2:$A$200=BG$1)*(Budgets!$B$2:$B$200&lt;EDATE($A118,1))),Budgets!$C$2:$C$200),0))</f>
        <v/>
      </c>
      <c r="BH118" s="23">
        <f>IF(OR(BH$1="",$BM118=0),"",IFERROR(LOOKUP(2,1/((Budgets!$A$2:$A$200=BH$1)*(Budgets!$B$2:$B$200&lt;EDATE($A118,1))),Budgets!$C$2:$C$200),0))</f>
        <v/>
      </c>
      <c r="BI118" s="23">
        <f>IF(OR(BI$1="",$BM118=0),"",IFERROR(LOOKUP(2,1/((Budgets!$A$2:$A$200=BI$1)*(Budgets!$B$2:$B$200&lt;EDATE($A118,1))),Budgets!$C$2:$C$200),0))</f>
        <v/>
      </c>
      <c r="BJ118" s="23">
        <f>IF(OR(BJ$1="",$BM118=0),"",IFERROR(LOOKUP(2,1/((Budgets!$A$2:$A$200=BJ$1)*(Budgets!$B$2:$B$200&lt;EDATE($A118,1))),Budgets!$C$2:$C$200),0))</f>
        <v/>
      </c>
      <c r="BK118" s="23">
        <f>IF(OR(BK$1="",$BM118=0),"",IFERROR(LOOKUP(2,1/((Budgets!$A$2:$A$200=BK$1)*(Budgets!$B$2:$B$200&lt;EDATE($A118,1))),Budgets!$C$2:$C$200),0))</f>
        <v/>
      </c>
      <c r="BM118" s="21">
        <f>COUNTIFS(Entries!$A$2:$A$5000,"&gt;="&amp;$A118,Entries!$A$2:$A$5000,"&lt;"&amp;EDATE($A118,1))</f>
        <v/>
      </c>
    </row>
    <row r="119">
      <c r="A119" s="22" t="n">
        <v>43009</v>
      </c>
      <c r="B119" s="23">
        <f>IF($BM119=0,NA(),SUMIFS(Entries!$E$2:$E$5000,Entries!$C$2:$C$5000,"Income",Entries!$A$2:$A$5000,"&gt;="&amp;$A119,Entries!$A$2:$A$5000,"&lt;"&amp;EDATE($A119,1)))</f>
        <v/>
      </c>
      <c r="C119" s="23">
        <f>IF($BM119=0,"",SUMIFS(Entries!$E$2:$E$5000,Entries!$C$2:$C$5000,"Actual",Entries!$A$2:$A$5000,"&gt;="&amp;$A119,Entries!$A$2:$A$5000,"&lt;"&amp;EDATE($A119,1)))</f>
        <v/>
      </c>
      <c r="D119" s="23">
        <f>IF($BM119=0,"",SUMIFS(Entries!$E$2:$E$5000,Entries!$C$2:$C$5000,"One-off",Entries!$A$2:$A$5000,"&gt;="&amp;$A119,Entries!$A$2:$A$5000,"&lt;"&amp;EDATE($A119,1)))</f>
        <v/>
      </c>
      <c r="E119" s="23">
        <f>IF($BM119=0,NA(),C119+D119)</f>
        <v/>
      </c>
      <c r="F119" s="23">
        <f>IF($BM119=0,"",SUM(AR119:BK119))</f>
        <v/>
      </c>
      <c r="G119" s="23">
        <f>IF($BM119=0,"",B119-E119)</f>
        <v/>
      </c>
      <c r="H119" s="23">
        <f>IF($BM119=0,"",SUM($G$2:G119))</f>
        <v/>
      </c>
      <c r="I119" s="23">
        <f>IF($BM119=0,"",SUMIFS(Entries!$G$2:$G$5000,Entries!$A$2:$A$5000,"&gt;="&amp;$A119,Entries!$A$2:$A$5000,"&lt;"&amp;EDATE($A119,1)))</f>
        <v/>
      </c>
      <c r="J119" s="23">
        <f>IF($BM119=0,NA(),H119)</f>
        <v/>
      </c>
      <c r="K119" s="23">
        <f>IF($BM119=0,"",SUMIFS(Entries!$E$2:$E$5000,Entries!$C$2:$C$5000,"Income",Entries!$A$2:$A$5000,"&gt;="&amp;EDATE($A119,-11),Entries!$A$2:$A$5000,"&lt;"&amp;EDATE($A119,1))/COUNTIFS($A$2:$A$400,"&gt;="&amp;EDATE($A119,-11),$A$2:$A$400,"&lt;"&amp;EDATE($A119,1),$BM$2:$BM$400,"&gt;0"))</f>
      </c>
      <c r="L119" s="23">
        <f>IF($BM119=0,"",(SUMIFS(Entries!$E$2:$E$5000,Entries!$C$2:$C$5000,"Actual",Entries!$A$2:$A$5000,"&gt;="&amp;EDATE($A119,-11),Entries!$A$2:$A$5000,"&lt;"&amp;EDATE($A119,1))+SUMIFS(Entries!$E$2:$E$5000,Entries!$C$2:$C$5000,"One-off",Entries!$A$2:$A$5000,"&gt;="&amp;EDATE($A119,-11),Entries!$A$2:$A$5000,"&lt;"&amp;EDATE($A119,1)))/COUNTIFS($A$2:$A$400,"&gt;="&amp;EDATE($A119,-11),$A$2:$A$400,"&lt;"&amp;EDATE($A119,1),$BM$2:$BM$400,"&gt;0"))</f>
      </c>
      <c r="M119" s="24">
        <f>IF($BM119=0,NA(),IFERROR((K119-L119)/K119,0))</f>
        <v/>
      </c>
      <c r="N119" s="23">
        <f>IF($BM119=0,NA(),SUMIFS(Entries!$E$2:$E$5000,Entries!$D$2:$D$5000,"Core",Entries!$A$2:$A$5000,"&gt;="&amp;$A119,Entries!$A$2:$A$5000,"&lt;"&amp;EDATE($A119,1)))</f>
        <v/>
      </c>
      <c r="O119" s="23">
        <f>IF($BM119=0,NA(),SUMIFS(Entries!$E$2:$E$5000,Entries!$D$2:$D$5000,"Over &amp; above",Entries!$A$2:$A$5000,"&gt;="&amp;$A119,Entries!$A$2:$A$5000,"&lt;"&amp;EDATE($A119,1)))</f>
        <v/>
      </c>
      <c r="P119" s="23">
        <f>IF($BM119=0,NA(),SUMIFS(Entries!$E$2:$E$5000,Entries!$D$2:$D$5000,"One-off",Entries!$A$2:$A$5000,"&gt;="&amp;$A119,Entries!$A$2:$A$5000,"&lt;"&amp;EDATE($A119,1)))</f>
        <v/>
      </c>
      <c r="Q119" s="23">
        <f>IF($BM119=0,NA(),SUMIFS(Entries!$E$2:$E$5000,Entries!$D$2:$D$5000,"Reimbursable",Entries!$A$2:$A$5000,"&gt;="&amp;$A119,Entries!$A$2:$A$5000,"&lt;"&amp;EDATE($A119,1)))</f>
        <v/>
      </c>
      <c r="R119" s="23">
        <f>IF($BM119=0,NA(),SUMIFS(Entries!$E$2:$E$5000,Entries!$D$2:$D$5000,"Investment",Entries!$A$2:$A$5000,"&gt;="&amp;$A119,Entries!$A$2:$A$5000,"&lt;"&amp;EDATE($A119,1)))</f>
        <v/>
      </c>
      <c r="S119" s="23">
        <f>IF($BM119=0,NA(),N119+O119)</f>
        <v/>
      </c>
      <c r="T119" s="23">
        <f>IF($BM119=0,"",E119-Q119)</f>
        <v/>
      </c>
      <c r="W119" s="23">
        <f>IF(OR(W$1="",$BM119=0),"",SUMIFS(Entries!$E$2:$E$5000,Entries!$C$2:$C$5000,"Actual",Entries!$A$2:$A$5000,"&gt;="&amp;$A119,Entries!$A$2:$A$5000,"&lt;"&amp;EDATE($A119,1),Entries!$B$2:$B$5000,W$1))</f>
        <v/>
      </c>
      <c r="X119" s="23">
        <f>IF(OR(X$1="",$BM119=0),"",SUMIFS(Entries!$E$2:$E$5000,Entries!$C$2:$C$5000,"Actual",Entries!$A$2:$A$5000,"&gt;="&amp;$A119,Entries!$A$2:$A$5000,"&lt;"&amp;EDATE($A119,1),Entries!$B$2:$B$5000,X$1))</f>
        <v/>
      </c>
      <c r="Y119" s="23">
        <f>IF(OR(Y$1="",$BM119=0),"",SUMIFS(Entries!$E$2:$E$5000,Entries!$C$2:$C$5000,"Actual",Entries!$A$2:$A$5000,"&gt;="&amp;$A119,Entries!$A$2:$A$5000,"&lt;"&amp;EDATE($A119,1),Entries!$B$2:$B$5000,Y$1))</f>
        <v/>
      </c>
      <c r="Z119" s="23">
        <f>IF(OR(Z$1="",$BM119=0),"",SUMIFS(Entries!$E$2:$E$5000,Entries!$C$2:$C$5000,"Actual",Entries!$A$2:$A$5000,"&gt;="&amp;$A119,Entries!$A$2:$A$5000,"&lt;"&amp;EDATE($A119,1),Entries!$B$2:$B$5000,Z$1))</f>
        <v/>
      </c>
      <c r="AA119" s="23">
        <f>IF(OR(AA$1="",$BM119=0),"",SUMIFS(Entries!$E$2:$E$5000,Entries!$C$2:$C$5000,"Actual",Entries!$A$2:$A$5000,"&gt;="&amp;$A119,Entries!$A$2:$A$5000,"&lt;"&amp;EDATE($A119,1),Entries!$B$2:$B$5000,AA$1))</f>
        <v/>
      </c>
      <c r="AB119" s="23">
        <f>IF(OR(AB$1="",$BM119=0),"",SUMIFS(Entries!$E$2:$E$5000,Entries!$C$2:$C$5000,"Actual",Entries!$A$2:$A$5000,"&gt;="&amp;$A119,Entries!$A$2:$A$5000,"&lt;"&amp;EDATE($A119,1),Entries!$B$2:$B$5000,AB$1))</f>
        <v/>
      </c>
      <c r="AC119" s="23">
        <f>IF(OR(AC$1="",$BM119=0),"",SUMIFS(Entries!$E$2:$E$5000,Entries!$C$2:$C$5000,"Actual",Entries!$A$2:$A$5000,"&gt;="&amp;$A119,Entries!$A$2:$A$5000,"&lt;"&amp;EDATE($A119,1),Entries!$B$2:$B$5000,AC$1))</f>
        <v/>
      </c>
      <c r="AD119" s="23">
        <f>IF(OR(AD$1="",$BM119=0),"",SUMIFS(Entries!$E$2:$E$5000,Entries!$C$2:$C$5000,"Actual",Entries!$A$2:$A$5000,"&gt;="&amp;$A119,Entries!$A$2:$A$5000,"&lt;"&amp;EDATE($A119,1),Entries!$B$2:$B$5000,AD$1))</f>
        <v/>
      </c>
      <c r="AE119" s="23">
        <f>IF(OR(AE$1="",$BM119=0),"",SUMIFS(Entries!$E$2:$E$5000,Entries!$C$2:$C$5000,"Actual",Entries!$A$2:$A$5000,"&gt;="&amp;$A119,Entries!$A$2:$A$5000,"&lt;"&amp;EDATE($A119,1),Entries!$B$2:$B$5000,AE$1))</f>
        <v/>
      </c>
      <c r="AF119" s="23">
        <f>IF(OR(AF$1="",$BM119=0),"",SUMIFS(Entries!$E$2:$E$5000,Entries!$C$2:$C$5000,"Actual",Entries!$A$2:$A$5000,"&gt;="&amp;$A119,Entries!$A$2:$A$5000,"&lt;"&amp;EDATE($A119,1),Entries!$B$2:$B$5000,AF$1))</f>
        <v/>
      </c>
      <c r="AG119" s="23">
        <f>IF(OR(AG$1="",$BM119=0),"",SUMIFS(Entries!$E$2:$E$5000,Entries!$C$2:$C$5000,"Actual",Entries!$A$2:$A$5000,"&gt;="&amp;$A119,Entries!$A$2:$A$5000,"&lt;"&amp;EDATE($A119,1),Entries!$B$2:$B$5000,AG$1))</f>
        <v/>
      </c>
      <c r="AH119" s="23">
        <f>IF(OR(AH$1="",$BM119=0),"",SUMIFS(Entries!$E$2:$E$5000,Entries!$C$2:$C$5000,"Actual",Entries!$A$2:$A$5000,"&gt;="&amp;$A119,Entries!$A$2:$A$5000,"&lt;"&amp;EDATE($A119,1),Entries!$B$2:$B$5000,AH$1))</f>
        <v/>
      </c>
      <c r="AI119" s="23">
        <f>IF(OR(AI$1="",$BM119=0),"",SUMIFS(Entries!$E$2:$E$5000,Entries!$C$2:$C$5000,"Actual",Entries!$A$2:$A$5000,"&gt;="&amp;$A119,Entries!$A$2:$A$5000,"&lt;"&amp;EDATE($A119,1),Entries!$B$2:$B$5000,AI$1))</f>
        <v/>
      </c>
      <c r="AJ119" s="23">
        <f>IF(OR(AJ$1="",$BM119=0),"",SUMIFS(Entries!$E$2:$E$5000,Entries!$C$2:$C$5000,"Actual",Entries!$A$2:$A$5000,"&gt;="&amp;$A119,Entries!$A$2:$A$5000,"&lt;"&amp;EDATE($A119,1),Entries!$B$2:$B$5000,AJ$1))</f>
        <v/>
      </c>
      <c r="AK119" s="23">
        <f>IF(OR(AK$1="",$BM119=0),"",SUMIFS(Entries!$E$2:$E$5000,Entries!$C$2:$C$5000,"Actual",Entries!$A$2:$A$5000,"&gt;="&amp;$A119,Entries!$A$2:$A$5000,"&lt;"&amp;EDATE($A119,1),Entries!$B$2:$B$5000,AK$1))</f>
        <v/>
      </c>
      <c r="AL119" s="23">
        <f>IF(OR(AL$1="",$BM119=0),"",SUMIFS(Entries!$E$2:$E$5000,Entries!$C$2:$C$5000,"Actual",Entries!$A$2:$A$5000,"&gt;="&amp;$A119,Entries!$A$2:$A$5000,"&lt;"&amp;EDATE($A119,1),Entries!$B$2:$B$5000,AL$1))</f>
        <v/>
      </c>
      <c r="AM119" s="23">
        <f>IF(OR(AM$1="",$BM119=0),"",SUMIFS(Entries!$E$2:$E$5000,Entries!$C$2:$C$5000,"Actual",Entries!$A$2:$A$5000,"&gt;="&amp;$A119,Entries!$A$2:$A$5000,"&lt;"&amp;EDATE($A119,1),Entries!$B$2:$B$5000,AM$1))</f>
        <v/>
      </c>
      <c r="AN119" s="23">
        <f>IF(OR(AN$1="",$BM119=0),"",SUMIFS(Entries!$E$2:$E$5000,Entries!$C$2:$C$5000,"Actual",Entries!$A$2:$A$5000,"&gt;="&amp;$A119,Entries!$A$2:$A$5000,"&lt;"&amp;EDATE($A119,1),Entries!$B$2:$B$5000,AN$1))</f>
        <v/>
      </c>
      <c r="AO119" s="23">
        <f>IF(OR(AO$1="",$BM119=0),"",SUMIFS(Entries!$E$2:$E$5000,Entries!$C$2:$C$5000,"Actual",Entries!$A$2:$A$5000,"&gt;="&amp;$A119,Entries!$A$2:$A$5000,"&lt;"&amp;EDATE($A119,1),Entries!$B$2:$B$5000,AO$1))</f>
        <v/>
      </c>
      <c r="AP119" s="23">
        <f>IF(OR(AP$1="",$BM119=0),"",SUMIFS(Entries!$E$2:$E$5000,Entries!$C$2:$C$5000,"Actual",Entries!$A$2:$A$5000,"&gt;="&amp;$A119,Entries!$A$2:$A$5000,"&lt;"&amp;EDATE($A119,1),Entries!$B$2:$B$5000,AP$1))</f>
        <v/>
      </c>
      <c r="AR119" s="23">
        <f>IF(OR(AR$1="",$BM119=0),"",IFERROR(LOOKUP(2,1/((Budgets!$A$2:$A$200=AR$1)*(Budgets!$B$2:$B$200&lt;EDATE($A119,1))),Budgets!$C$2:$C$200),0))</f>
        <v/>
      </c>
      <c r="AS119" s="23">
        <f>IF(OR(AS$1="",$BM119=0),"",IFERROR(LOOKUP(2,1/((Budgets!$A$2:$A$200=AS$1)*(Budgets!$B$2:$B$200&lt;EDATE($A119,1))),Budgets!$C$2:$C$200),0))</f>
        <v/>
      </c>
      <c r="AT119" s="23">
        <f>IF(OR(AT$1="",$BM119=0),"",IFERROR(LOOKUP(2,1/((Budgets!$A$2:$A$200=AT$1)*(Budgets!$B$2:$B$200&lt;EDATE($A119,1))),Budgets!$C$2:$C$200),0))</f>
        <v/>
      </c>
      <c r="AU119" s="23">
        <f>IF(OR(AU$1="",$BM119=0),"",IFERROR(LOOKUP(2,1/((Budgets!$A$2:$A$200=AU$1)*(Budgets!$B$2:$B$200&lt;EDATE($A119,1))),Budgets!$C$2:$C$200),0))</f>
        <v/>
      </c>
      <c r="AV119" s="23">
        <f>IF(OR(AV$1="",$BM119=0),"",IFERROR(LOOKUP(2,1/((Budgets!$A$2:$A$200=AV$1)*(Budgets!$B$2:$B$200&lt;EDATE($A119,1))),Budgets!$C$2:$C$200),0))</f>
        <v/>
      </c>
      <c r="AW119" s="23">
        <f>IF(OR(AW$1="",$BM119=0),"",IFERROR(LOOKUP(2,1/((Budgets!$A$2:$A$200=AW$1)*(Budgets!$B$2:$B$200&lt;EDATE($A119,1))),Budgets!$C$2:$C$200),0))</f>
        <v/>
      </c>
      <c r="AX119" s="23">
        <f>IF(OR(AX$1="",$BM119=0),"",IFERROR(LOOKUP(2,1/((Budgets!$A$2:$A$200=AX$1)*(Budgets!$B$2:$B$200&lt;EDATE($A119,1))),Budgets!$C$2:$C$200),0))</f>
        <v/>
      </c>
      <c r="AY119" s="23">
        <f>IF(OR(AY$1="",$BM119=0),"",IFERROR(LOOKUP(2,1/((Budgets!$A$2:$A$200=AY$1)*(Budgets!$B$2:$B$200&lt;EDATE($A119,1))),Budgets!$C$2:$C$200),0))</f>
        <v/>
      </c>
      <c r="AZ119" s="23">
        <f>IF(OR(AZ$1="",$BM119=0),"",IFERROR(LOOKUP(2,1/((Budgets!$A$2:$A$200=AZ$1)*(Budgets!$B$2:$B$200&lt;EDATE($A119,1))),Budgets!$C$2:$C$200),0))</f>
        <v/>
      </c>
      <c r="BA119" s="23">
        <f>IF(OR(BA$1="",$BM119=0),"",IFERROR(LOOKUP(2,1/((Budgets!$A$2:$A$200=BA$1)*(Budgets!$B$2:$B$200&lt;EDATE($A119,1))),Budgets!$C$2:$C$200),0))</f>
        <v/>
      </c>
      <c r="BB119" s="23">
        <f>IF(OR(BB$1="",$BM119=0),"",IFERROR(LOOKUP(2,1/((Budgets!$A$2:$A$200=BB$1)*(Budgets!$B$2:$B$200&lt;EDATE($A119,1))),Budgets!$C$2:$C$200),0))</f>
        <v/>
      </c>
      <c r="BC119" s="23">
        <f>IF(OR(BC$1="",$BM119=0),"",IFERROR(LOOKUP(2,1/((Budgets!$A$2:$A$200=BC$1)*(Budgets!$B$2:$B$200&lt;EDATE($A119,1))),Budgets!$C$2:$C$200),0))</f>
        <v/>
      </c>
      <c r="BD119" s="23">
        <f>IF(OR(BD$1="",$BM119=0),"",IFERROR(LOOKUP(2,1/((Budgets!$A$2:$A$200=BD$1)*(Budgets!$B$2:$B$200&lt;EDATE($A119,1))),Budgets!$C$2:$C$200),0))</f>
        <v/>
      </c>
      <c r="BE119" s="23">
        <f>IF(OR(BE$1="",$BM119=0),"",IFERROR(LOOKUP(2,1/((Budgets!$A$2:$A$200=BE$1)*(Budgets!$B$2:$B$200&lt;EDATE($A119,1))),Budgets!$C$2:$C$200),0))</f>
        <v/>
      </c>
      <c r="BF119" s="23">
        <f>IF(OR(BF$1="",$BM119=0),"",IFERROR(LOOKUP(2,1/((Budgets!$A$2:$A$200=BF$1)*(Budgets!$B$2:$B$200&lt;EDATE($A119,1))),Budgets!$C$2:$C$200),0))</f>
        <v/>
      </c>
      <c r="BG119" s="23">
        <f>IF(OR(BG$1="",$BM119=0),"",IFERROR(LOOKUP(2,1/((Budgets!$A$2:$A$200=BG$1)*(Budgets!$B$2:$B$200&lt;EDATE($A119,1))),Budgets!$C$2:$C$200),0))</f>
        <v/>
      </c>
      <c r="BH119" s="23">
        <f>IF(OR(BH$1="",$BM119=0),"",IFERROR(LOOKUP(2,1/((Budgets!$A$2:$A$200=BH$1)*(Budgets!$B$2:$B$200&lt;EDATE($A119,1))),Budgets!$C$2:$C$200),0))</f>
        <v/>
      </c>
      <c r="BI119" s="23">
        <f>IF(OR(BI$1="",$BM119=0),"",IFERROR(LOOKUP(2,1/((Budgets!$A$2:$A$200=BI$1)*(Budgets!$B$2:$B$200&lt;EDATE($A119,1))),Budgets!$C$2:$C$200),0))</f>
        <v/>
      </c>
      <c r="BJ119" s="23">
        <f>IF(OR(BJ$1="",$BM119=0),"",IFERROR(LOOKUP(2,1/((Budgets!$A$2:$A$200=BJ$1)*(Budgets!$B$2:$B$200&lt;EDATE($A119,1))),Budgets!$C$2:$C$200),0))</f>
        <v/>
      </c>
      <c r="BK119" s="23">
        <f>IF(OR(BK$1="",$BM119=0),"",IFERROR(LOOKUP(2,1/((Budgets!$A$2:$A$200=BK$1)*(Budgets!$B$2:$B$200&lt;EDATE($A119,1))),Budgets!$C$2:$C$200),0))</f>
        <v/>
      </c>
      <c r="BM119" s="21">
        <f>COUNTIFS(Entries!$A$2:$A$5000,"&gt;="&amp;$A119,Entries!$A$2:$A$5000,"&lt;"&amp;EDATE($A119,1))</f>
        <v/>
      </c>
    </row>
    <row r="120">
      <c r="A120" s="22" t="n">
        <v>43040</v>
      </c>
      <c r="B120" s="23">
        <f>IF($BM120=0,NA(),SUMIFS(Entries!$E$2:$E$5000,Entries!$C$2:$C$5000,"Income",Entries!$A$2:$A$5000,"&gt;="&amp;$A120,Entries!$A$2:$A$5000,"&lt;"&amp;EDATE($A120,1)))</f>
        <v/>
      </c>
      <c r="C120" s="23">
        <f>IF($BM120=0,"",SUMIFS(Entries!$E$2:$E$5000,Entries!$C$2:$C$5000,"Actual",Entries!$A$2:$A$5000,"&gt;="&amp;$A120,Entries!$A$2:$A$5000,"&lt;"&amp;EDATE($A120,1)))</f>
        <v/>
      </c>
      <c r="D120" s="23">
        <f>IF($BM120=0,"",SUMIFS(Entries!$E$2:$E$5000,Entries!$C$2:$C$5000,"One-off",Entries!$A$2:$A$5000,"&gt;="&amp;$A120,Entries!$A$2:$A$5000,"&lt;"&amp;EDATE($A120,1)))</f>
        <v/>
      </c>
      <c r="E120" s="23">
        <f>IF($BM120=0,NA(),C120+D120)</f>
        <v/>
      </c>
      <c r="F120" s="23">
        <f>IF($BM120=0,"",SUM(AR120:BK120))</f>
        <v/>
      </c>
      <c r="G120" s="23">
        <f>IF($BM120=0,"",B120-E120)</f>
        <v/>
      </c>
      <c r="H120" s="23">
        <f>IF($BM120=0,"",SUM($G$2:G120))</f>
        <v/>
      </c>
      <c r="I120" s="23">
        <f>IF($BM120=0,"",SUMIFS(Entries!$G$2:$G$5000,Entries!$A$2:$A$5000,"&gt;="&amp;$A120,Entries!$A$2:$A$5000,"&lt;"&amp;EDATE($A120,1)))</f>
        <v/>
      </c>
      <c r="J120" s="23">
        <f>IF($BM120=0,NA(),H120)</f>
        <v/>
      </c>
      <c r="K120" s="23">
        <f>IF($BM120=0,"",SUMIFS(Entries!$E$2:$E$5000,Entries!$C$2:$C$5000,"Income",Entries!$A$2:$A$5000,"&gt;="&amp;EDATE($A120,-11),Entries!$A$2:$A$5000,"&lt;"&amp;EDATE($A120,1))/COUNTIFS($A$2:$A$400,"&gt;="&amp;EDATE($A120,-11),$A$2:$A$400,"&lt;"&amp;EDATE($A120,1),$BM$2:$BM$400,"&gt;0"))</f>
      </c>
      <c r="L120" s="23">
        <f>IF($BM120=0,"",(SUMIFS(Entries!$E$2:$E$5000,Entries!$C$2:$C$5000,"Actual",Entries!$A$2:$A$5000,"&gt;="&amp;EDATE($A120,-11),Entries!$A$2:$A$5000,"&lt;"&amp;EDATE($A120,1))+SUMIFS(Entries!$E$2:$E$5000,Entries!$C$2:$C$5000,"One-off",Entries!$A$2:$A$5000,"&gt;="&amp;EDATE($A120,-11),Entries!$A$2:$A$5000,"&lt;"&amp;EDATE($A120,1)))/COUNTIFS($A$2:$A$400,"&gt;="&amp;EDATE($A120,-11),$A$2:$A$400,"&lt;"&amp;EDATE($A120,1),$BM$2:$BM$400,"&gt;0"))</f>
      </c>
      <c r="M120" s="24">
        <f>IF($BM120=0,NA(),IFERROR((K120-L120)/K120,0))</f>
        <v/>
      </c>
      <c r="N120" s="23">
        <f>IF($BM120=0,NA(),SUMIFS(Entries!$E$2:$E$5000,Entries!$D$2:$D$5000,"Core",Entries!$A$2:$A$5000,"&gt;="&amp;$A120,Entries!$A$2:$A$5000,"&lt;"&amp;EDATE($A120,1)))</f>
        <v/>
      </c>
      <c r="O120" s="23">
        <f>IF($BM120=0,NA(),SUMIFS(Entries!$E$2:$E$5000,Entries!$D$2:$D$5000,"Over &amp; above",Entries!$A$2:$A$5000,"&gt;="&amp;$A120,Entries!$A$2:$A$5000,"&lt;"&amp;EDATE($A120,1)))</f>
        <v/>
      </c>
      <c r="P120" s="23">
        <f>IF($BM120=0,NA(),SUMIFS(Entries!$E$2:$E$5000,Entries!$D$2:$D$5000,"One-off",Entries!$A$2:$A$5000,"&gt;="&amp;$A120,Entries!$A$2:$A$5000,"&lt;"&amp;EDATE($A120,1)))</f>
        <v/>
      </c>
      <c r="Q120" s="23">
        <f>IF($BM120=0,NA(),SUMIFS(Entries!$E$2:$E$5000,Entries!$D$2:$D$5000,"Reimbursable",Entries!$A$2:$A$5000,"&gt;="&amp;$A120,Entries!$A$2:$A$5000,"&lt;"&amp;EDATE($A120,1)))</f>
        <v/>
      </c>
      <c r="R120" s="23">
        <f>IF($BM120=0,NA(),SUMIFS(Entries!$E$2:$E$5000,Entries!$D$2:$D$5000,"Investment",Entries!$A$2:$A$5000,"&gt;="&amp;$A120,Entries!$A$2:$A$5000,"&lt;"&amp;EDATE($A120,1)))</f>
        <v/>
      </c>
      <c r="S120" s="23">
        <f>IF($BM120=0,NA(),N120+O120)</f>
        <v/>
      </c>
      <c r="T120" s="23">
        <f>IF($BM120=0,"",E120-Q120)</f>
        <v/>
      </c>
      <c r="W120" s="23">
        <f>IF(OR(W$1="",$BM120=0),"",SUMIFS(Entries!$E$2:$E$5000,Entries!$C$2:$C$5000,"Actual",Entries!$A$2:$A$5000,"&gt;="&amp;$A120,Entries!$A$2:$A$5000,"&lt;"&amp;EDATE($A120,1),Entries!$B$2:$B$5000,W$1))</f>
        <v/>
      </c>
      <c r="X120" s="23">
        <f>IF(OR(X$1="",$BM120=0),"",SUMIFS(Entries!$E$2:$E$5000,Entries!$C$2:$C$5000,"Actual",Entries!$A$2:$A$5000,"&gt;="&amp;$A120,Entries!$A$2:$A$5000,"&lt;"&amp;EDATE($A120,1),Entries!$B$2:$B$5000,X$1))</f>
        <v/>
      </c>
      <c r="Y120" s="23">
        <f>IF(OR(Y$1="",$BM120=0),"",SUMIFS(Entries!$E$2:$E$5000,Entries!$C$2:$C$5000,"Actual",Entries!$A$2:$A$5000,"&gt;="&amp;$A120,Entries!$A$2:$A$5000,"&lt;"&amp;EDATE($A120,1),Entries!$B$2:$B$5000,Y$1))</f>
        <v/>
      </c>
      <c r="Z120" s="23">
        <f>IF(OR(Z$1="",$BM120=0),"",SUMIFS(Entries!$E$2:$E$5000,Entries!$C$2:$C$5000,"Actual",Entries!$A$2:$A$5000,"&gt;="&amp;$A120,Entries!$A$2:$A$5000,"&lt;"&amp;EDATE($A120,1),Entries!$B$2:$B$5000,Z$1))</f>
        <v/>
      </c>
      <c r="AA120" s="23">
        <f>IF(OR(AA$1="",$BM120=0),"",SUMIFS(Entries!$E$2:$E$5000,Entries!$C$2:$C$5000,"Actual",Entries!$A$2:$A$5000,"&gt;="&amp;$A120,Entries!$A$2:$A$5000,"&lt;"&amp;EDATE($A120,1),Entries!$B$2:$B$5000,AA$1))</f>
        <v/>
      </c>
      <c r="AB120" s="23">
        <f>IF(OR(AB$1="",$BM120=0),"",SUMIFS(Entries!$E$2:$E$5000,Entries!$C$2:$C$5000,"Actual",Entries!$A$2:$A$5000,"&gt;="&amp;$A120,Entries!$A$2:$A$5000,"&lt;"&amp;EDATE($A120,1),Entries!$B$2:$B$5000,AB$1))</f>
        <v/>
      </c>
      <c r="AC120" s="23">
        <f>IF(OR(AC$1="",$BM120=0),"",SUMIFS(Entries!$E$2:$E$5000,Entries!$C$2:$C$5000,"Actual",Entries!$A$2:$A$5000,"&gt;="&amp;$A120,Entries!$A$2:$A$5000,"&lt;"&amp;EDATE($A120,1),Entries!$B$2:$B$5000,AC$1))</f>
        <v/>
      </c>
      <c r="AD120" s="23">
        <f>IF(OR(AD$1="",$BM120=0),"",SUMIFS(Entries!$E$2:$E$5000,Entries!$C$2:$C$5000,"Actual",Entries!$A$2:$A$5000,"&gt;="&amp;$A120,Entries!$A$2:$A$5000,"&lt;"&amp;EDATE($A120,1),Entries!$B$2:$B$5000,AD$1))</f>
        <v/>
      </c>
      <c r="AE120" s="23">
        <f>IF(OR(AE$1="",$BM120=0),"",SUMIFS(Entries!$E$2:$E$5000,Entries!$C$2:$C$5000,"Actual",Entries!$A$2:$A$5000,"&gt;="&amp;$A120,Entries!$A$2:$A$5000,"&lt;"&amp;EDATE($A120,1),Entries!$B$2:$B$5000,AE$1))</f>
        <v/>
      </c>
      <c r="AF120" s="23">
        <f>IF(OR(AF$1="",$BM120=0),"",SUMIFS(Entries!$E$2:$E$5000,Entries!$C$2:$C$5000,"Actual",Entries!$A$2:$A$5000,"&gt;="&amp;$A120,Entries!$A$2:$A$5000,"&lt;"&amp;EDATE($A120,1),Entries!$B$2:$B$5000,AF$1))</f>
        <v/>
      </c>
      <c r="AG120" s="23">
        <f>IF(OR(AG$1="",$BM120=0),"",SUMIFS(Entries!$E$2:$E$5000,Entries!$C$2:$C$5000,"Actual",Entries!$A$2:$A$5000,"&gt;="&amp;$A120,Entries!$A$2:$A$5000,"&lt;"&amp;EDATE($A120,1),Entries!$B$2:$B$5000,AG$1))</f>
        <v/>
      </c>
      <c r="AH120" s="23">
        <f>IF(OR(AH$1="",$BM120=0),"",SUMIFS(Entries!$E$2:$E$5000,Entries!$C$2:$C$5000,"Actual",Entries!$A$2:$A$5000,"&gt;="&amp;$A120,Entries!$A$2:$A$5000,"&lt;"&amp;EDATE($A120,1),Entries!$B$2:$B$5000,AH$1))</f>
        <v/>
      </c>
      <c r="AI120" s="23">
        <f>IF(OR(AI$1="",$BM120=0),"",SUMIFS(Entries!$E$2:$E$5000,Entries!$C$2:$C$5000,"Actual",Entries!$A$2:$A$5000,"&gt;="&amp;$A120,Entries!$A$2:$A$5000,"&lt;"&amp;EDATE($A120,1),Entries!$B$2:$B$5000,AI$1))</f>
        <v/>
      </c>
      <c r="AJ120" s="23">
        <f>IF(OR(AJ$1="",$BM120=0),"",SUMIFS(Entries!$E$2:$E$5000,Entries!$C$2:$C$5000,"Actual",Entries!$A$2:$A$5000,"&gt;="&amp;$A120,Entries!$A$2:$A$5000,"&lt;"&amp;EDATE($A120,1),Entries!$B$2:$B$5000,AJ$1))</f>
        <v/>
      </c>
      <c r="AK120" s="23">
        <f>IF(OR(AK$1="",$BM120=0),"",SUMIFS(Entries!$E$2:$E$5000,Entries!$C$2:$C$5000,"Actual",Entries!$A$2:$A$5000,"&gt;="&amp;$A120,Entries!$A$2:$A$5000,"&lt;"&amp;EDATE($A120,1),Entries!$B$2:$B$5000,AK$1))</f>
        <v/>
      </c>
      <c r="AL120" s="23">
        <f>IF(OR(AL$1="",$BM120=0),"",SUMIFS(Entries!$E$2:$E$5000,Entries!$C$2:$C$5000,"Actual",Entries!$A$2:$A$5000,"&gt;="&amp;$A120,Entries!$A$2:$A$5000,"&lt;"&amp;EDATE($A120,1),Entries!$B$2:$B$5000,AL$1))</f>
        <v/>
      </c>
      <c r="AM120" s="23">
        <f>IF(OR(AM$1="",$BM120=0),"",SUMIFS(Entries!$E$2:$E$5000,Entries!$C$2:$C$5000,"Actual",Entries!$A$2:$A$5000,"&gt;="&amp;$A120,Entries!$A$2:$A$5000,"&lt;"&amp;EDATE($A120,1),Entries!$B$2:$B$5000,AM$1))</f>
        <v/>
      </c>
      <c r="AN120" s="23">
        <f>IF(OR(AN$1="",$BM120=0),"",SUMIFS(Entries!$E$2:$E$5000,Entries!$C$2:$C$5000,"Actual",Entries!$A$2:$A$5000,"&gt;="&amp;$A120,Entries!$A$2:$A$5000,"&lt;"&amp;EDATE($A120,1),Entries!$B$2:$B$5000,AN$1))</f>
        <v/>
      </c>
      <c r="AO120" s="23">
        <f>IF(OR(AO$1="",$BM120=0),"",SUMIFS(Entries!$E$2:$E$5000,Entries!$C$2:$C$5000,"Actual",Entries!$A$2:$A$5000,"&gt;="&amp;$A120,Entries!$A$2:$A$5000,"&lt;"&amp;EDATE($A120,1),Entries!$B$2:$B$5000,AO$1))</f>
        <v/>
      </c>
      <c r="AP120" s="23">
        <f>IF(OR(AP$1="",$BM120=0),"",SUMIFS(Entries!$E$2:$E$5000,Entries!$C$2:$C$5000,"Actual",Entries!$A$2:$A$5000,"&gt;="&amp;$A120,Entries!$A$2:$A$5000,"&lt;"&amp;EDATE($A120,1),Entries!$B$2:$B$5000,AP$1))</f>
        <v/>
      </c>
      <c r="AR120" s="23">
        <f>IF(OR(AR$1="",$BM120=0),"",IFERROR(LOOKUP(2,1/((Budgets!$A$2:$A$200=AR$1)*(Budgets!$B$2:$B$200&lt;EDATE($A120,1))),Budgets!$C$2:$C$200),0))</f>
        <v/>
      </c>
      <c r="AS120" s="23">
        <f>IF(OR(AS$1="",$BM120=0),"",IFERROR(LOOKUP(2,1/((Budgets!$A$2:$A$200=AS$1)*(Budgets!$B$2:$B$200&lt;EDATE($A120,1))),Budgets!$C$2:$C$200),0))</f>
        <v/>
      </c>
      <c r="AT120" s="23">
        <f>IF(OR(AT$1="",$BM120=0),"",IFERROR(LOOKUP(2,1/((Budgets!$A$2:$A$200=AT$1)*(Budgets!$B$2:$B$200&lt;EDATE($A120,1))),Budgets!$C$2:$C$200),0))</f>
        <v/>
      </c>
      <c r="AU120" s="23">
        <f>IF(OR(AU$1="",$BM120=0),"",IFERROR(LOOKUP(2,1/((Budgets!$A$2:$A$200=AU$1)*(Budgets!$B$2:$B$200&lt;EDATE($A120,1))),Budgets!$C$2:$C$200),0))</f>
        <v/>
      </c>
      <c r="AV120" s="23">
        <f>IF(OR(AV$1="",$BM120=0),"",IFERROR(LOOKUP(2,1/((Budgets!$A$2:$A$200=AV$1)*(Budgets!$B$2:$B$200&lt;EDATE($A120,1))),Budgets!$C$2:$C$200),0))</f>
        <v/>
      </c>
      <c r="AW120" s="23">
        <f>IF(OR(AW$1="",$BM120=0),"",IFERROR(LOOKUP(2,1/((Budgets!$A$2:$A$200=AW$1)*(Budgets!$B$2:$B$200&lt;EDATE($A120,1))),Budgets!$C$2:$C$200),0))</f>
        <v/>
      </c>
      <c r="AX120" s="23">
        <f>IF(OR(AX$1="",$BM120=0),"",IFERROR(LOOKUP(2,1/((Budgets!$A$2:$A$200=AX$1)*(Budgets!$B$2:$B$200&lt;EDATE($A120,1))),Budgets!$C$2:$C$200),0))</f>
        <v/>
      </c>
      <c r="AY120" s="23">
        <f>IF(OR(AY$1="",$BM120=0),"",IFERROR(LOOKUP(2,1/((Budgets!$A$2:$A$200=AY$1)*(Budgets!$B$2:$B$200&lt;EDATE($A120,1))),Budgets!$C$2:$C$200),0))</f>
        <v/>
      </c>
      <c r="AZ120" s="23">
        <f>IF(OR(AZ$1="",$BM120=0),"",IFERROR(LOOKUP(2,1/((Budgets!$A$2:$A$200=AZ$1)*(Budgets!$B$2:$B$200&lt;EDATE($A120,1))),Budgets!$C$2:$C$200),0))</f>
        <v/>
      </c>
      <c r="BA120" s="23">
        <f>IF(OR(BA$1="",$BM120=0),"",IFERROR(LOOKUP(2,1/((Budgets!$A$2:$A$200=BA$1)*(Budgets!$B$2:$B$200&lt;EDATE($A120,1))),Budgets!$C$2:$C$200),0))</f>
        <v/>
      </c>
      <c r="BB120" s="23">
        <f>IF(OR(BB$1="",$BM120=0),"",IFERROR(LOOKUP(2,1/((Budgets!$A$2:$A$200=BB$1)*(Budgets!$B$2:$B$200&lt;EDATE($A120,1))),Budgets!$C$2:$C$200),0))</f>
        <v/>
      </c>
      <c r="BC120" s="23">
        <f>IF(OR(BC$1="",$BM120=0),"",IFERROR(LOOKUP(2,1/((Budgets!$A$2:$A$200=BC$1)*(Budgets!$B$2:$B$200&lt;EDATE($A120,1))),Budgets!$C$2:$C$200),0))</f>
        <v/>
      </c>
      <c r="BD120" s="23">
        <f>IF(OR(BD$1="",$BM120=0),"",IFERROR(LOOKUP(2,1/((Budgets!$A$2:$A$200=BD$1)*(Budgets!$B$2:$B$200&lt;EDATE($A120,1))),Budgets!$C$2:$C$200),0))</f>
        <v/>
      </c>
      <c r="BE120" s="23">
        <f>IF(OR(BE$1="",$BM120=0),"",IFERROR(LOOKUP(2,1/((Budgets!$A$2:$A$200=BE$1)*(Budgets!$B$2:$B$200&lt;EDATE($A120,1))),Budgets!$C$2:$C$200),0))</f>
        <v/>
      </c>
      <c r="BF120" s="23">
        <f>IF(OR(BF$1="",$BM120=0),"",IFERROR(LOOKUP(2,1/((Budgets!$A$2:$A$200=BF$1)*(Budgets!$B$2:$B$200&lt;EDATE($A120,1))),Budgets!$C$2:$C$200),0))</f>
        <v/>
      </c>
      <c r="BG120" s="23">
        <f>IF(OR(BG$1="",$BM120=0),"",IFERROR(LOOKUP(2,1/((Budgets!$A$2:$A$200=BG$1)*(Budgets!$B$2:$B$200&lt;EDATE($A120,1))),Budgets!$C$2:$C$200),0))</f>
        <v/>
      </c>
      <c r="BH120" s="23">
        <f>IF(OR(BH$1="",$BM120=0),"",IFERROR(LOOKUP(2,1/((Budgets!$A$2:$A$200=BH$1)*(Budgets!$B$2:$B$200&lt;EDATE($A120,1))),Budgets!$C$2:$C$200),0))</f>
        <v/>
      </c>
      <c r="BI120" s="23">
        <f>IF(OR(BI$1="",$BM120=0),"",IFERROR(LOOKUP(2,1/((Budgets!$A$2:$A$200=BI$1)*(Budgets!$B$2:$B$200&lt;EDATE($A120,1))),Budgets!$C$2:$C$200),0))</f>
        <v/>
      </c>
      <c r="BJ120" s="23">
        <f>IF(OR(BJ$1="",$BM120=0),"",IFERROR(LOOKUP(2,1/((Budgets!$A$2:$A$200=BJ$1)*(Budgets!$B$2:$B$200&lt;EDATE($A120,1))),Budgets!$C$2:$C$200),0))</f>
        <v/>
      </c>
      <c r="BK120" s="23">
        <f>IF(OR(BK$1="",$BM120=0),"",IFERROR(LOOKUP(2,1/((Budgets!$A$2:$A$200=BK$1)*(Budgets!$B$2:$B$200&lt;EDATE($A120,1))),Budgets!$C$2:$C$200),0))</f>
        <v/>
      </c>
      <c r="BM120" s="21">
        <f>COUNTIFS(Entries!$A$2:$A$5000,"&gt;="&amp;$A120,Entries!$A$2:$A$5000,"&lt;"&amp;EDATE($A120,1))</f>
        <v/>
      </c>
    </row>
    <row r="121">
      <c r="A121" s="22" t="n">
        <v>43070</v>
      </c>
      <c r="B121" s="23">
        <f>IF($BM121=0,NA(),SUMIFS(Entries!$E$2:$E$5000,Entries!$C$2:$C$5000,"Income",Entries!$A$2:$A$5000,"&gt;="&amp;$A121,Entries!$A$2:$A$5000,"&lt;"&amp;EDATE($A121,1)))</f>
        <v/>
      </c>
      <c r="C121" s="23">
        <f>IF($BM121=0,"",SUMIFS(Entries!$E$2:$E$5000,Entries!$C$2:$C$5000,"Actual",Entries!$A$2:$A$5000,"&gt;="&amp;$A121,Entries!$A$2:$A$5000,"&lt;"&amp;EDATE($A121,1)))</f>
        <v/>
      </c>
      <c r="D121" s="23">
        <f>IF($BM121=0,"",SUMIFS(Entries!$E$2:$E$5000,Entries!$C$2:$C$5000,"One-off",Entries!$A$2:$A$5000,"&gt;="&amp;$A121,Entries!$A$2:$A$5000,"&lt;"&amp;EDATE($A121,1)))</f>
        <v/>
      </c>
      <c r="E121" s="23">
        <f>IF($BM121=0,NA(),C121+D121)</f>
        <v/>
      </c>
      <c r="F121" s="23">
        <f>IF($BM121=0,"",SUM(AR121:BK121))</f>
        <v/>
      </c>
      <c r="G121" s="23">
        <f>IF($BM121=0,"",B121-E121)</f>
        <v/>
      </c>
      <c r="H121" s="23">
        <f>IF($BM121=0,"",SUM($G$2:G121))</f>
        <v/>
      </c>
      <c r="I121" s="23">
        <f>IF($BM121=0,"",SUMIFS(Entries!$G$2:$G$5000,Entries!$A$2:$A$5000,"&gt;="&amp;$A121,Entries!$A$2:$A$5000,"&lt;"&amp;EDATE($A121,1)))</f>
        <v/>
      </c>
      <c r="J121" s="23">
        <f>IF($BM121=0,NA(),H121)</f>
        <v/>
      </c>
      <c r="K121" s="23">
        <f>IF($BM121=0,"",SUMIFS(Entries!$E$2:$E$5000,Entries!$C$2:$C$5000,"Income",Entries!$A$2:$A$5000,"&gt;="&amp;EDATE($A121,-11),Entries!$A$2:$A$5000,"&lt;"&amp;EDATE($A121,1))/COUNTIFS($A$2:$A$400,"&gt;="&amp;EDATE($A121,-11),$A$2:$A$400,"&lt;"&amp;EDATE($A121,1),$BM$2:$BM$400,"&gt;0"))</f>
      </c>
      <c r="L121" s="23">
        <f>IF($BM121=0,"",(SUMIFS(Entries!$E$2:$E$5000,Entries!$C$2:$C$5000,"Actual",Entries!$A$2:$A$5000,"&gt;="&amp;EDATE($A121,-11),Entries!$A$2:$A$5000,"&lt;"&amp;EDATE($A121,1))+SUMIFS(Entries!$E$2:$E$5000,Entries!$C$2:$C$5000,"One-off",Entries!$A$2:$A$5000,"&gt;="&amp;EDATE($A121,-11),Entries!$A$2:$A$5000,"&lt;"&amp;EDATE($A121,1)))/COUNTIFS($A$2:$A$400,"&gt;="&amp;EDATE($A121,-11),$A$2:$A$400,"&lt;"&amp;EDATE($A121,1),$BM$2:$BM$400,"&gt;0"))</f>
      </c>
      <c r="M121" s="24">
        <f>IF($BM121=0,NA(),IFERROR((K121-L121)/K121,0))</f>
        <v/>
      </c>
      <c r="N121" s="23">
        <f>IF($BM121=0,NA(),SUMIFS(Entries!$E$2:$E$5000,Entries!$D$2:$D$5000,"Core",Entries!$A$2:$A$5000,"&gt;="&amp;$A121,Entries!$A$2:$A$5000,"&lt;"&amp;EDATE($A121,1)))</f>
        <v/>
      </c>
      <c r="O121" s="23">
        <f>IF($BM121=0,NA(),SUMIFS(Entries!$E$2:$E$5000,Entries!$D$2:$D$5000,"Over &amp; above",Entries!$A$2:$A$5000,"&gt;="&amp;$A121,Entries!$A$2:$A$5000,"&lt;"&amp;EDATE($A121,1)))</f>
        <v/>
      </c>
      <c r="P121" s="23">
        <f>IF($BM121=0,NA(),SUMIFS(Entries!$E$2:$E$5000,Entries!$D$2:$D$5000,"One-off",Entries!$A$2:$A$5000,"&gt;="&amp;$A121,Entries!$A$2:$A$5000,"&lt;"&amp;EDATE($A121,1)))</f>
        <v/>
      </c>
      <c r="Q121" s="23">
        <f>IF($BM121=0,NA(),SUMIFS(Entries!$E$2:$E$5000,Entries!$D$2:$D$5000,"Reimbursable",Entries!$A$2:$A$5000,"&gt;="&amp;$A121,Entries!$A$2:$A$5000,"&lt;"&amp;EDATE($A121,1)))</f>
        <v/>
      </c>
      <c r="R121" s="23">
        <f>IF($BM121=0,NA(),SUMIFS(Entries!$E$2:$E$5000,Entries!$D$2:$D$5000,"Investment",Entries!$A$2:$A$5000,"&gt;="&amp;$A121,Entries!$A$2:$A$5000,"&lt;"&amp;EDATE($A121,1)))</f>
        <v/>
      </c>
      <c r="S121" s="23">
        <f>IF($BM121=0,NA(),N121+O121)</f>
        <v/>
      </c>
      <c r="T121" s="23">
        <f>IF($BM121=0,"",E121-Q121)</f>
        <v/>
      </c>
      <c r="W121" s="23">
        <f>IF(OR(W$1="",$BM121=0),"",SUMIFS(Entries!$E$2:$E$5000,Entries!$C$2:$C$5000,"Actual",Entries!$A$2:$A$5000,"&gt;="&amp;$A121,Entries!$A$2:$A$5000,"&lt;"&amp;EDATE($A121,1),Entries!$B$2:$B$5000,W$1))</f>
        <v/>
      </c>
      <c r="X121" s="23">
        <f>IF(OR(X$1="",$BM121=0),"",SUMIFS(Entries!$E$2:$E$5000,Entries!$C$2:$C$5000,"Actual",Entries!$A$2:$A$5000,"&gt;="&amp;$A121,Entries!$A$2:$A$5000,"&lt;"&amp;EDATE($A121,1),Entries!$B$2:$B$5000,X$1))</f>
        <v/>
      </c>
      <c r="Y121" s="23">
        <f>IF(OR(Y$1="",$BM121=0),"",SUMIFS(Entries!$E$2:$E$5000,Entries!$C$2:$C$5000,"Actual",Entries!$A$2:$A$5000,"&gt;="&amp;$A121,Entries!$A$2:$A$5000,"&lt;"&amp;EDATE($A121,1),Entries!$B$2:$B$5000,Y$1))</f>
        <v/>
      </c>
      <c r="Z121" s="23">
        <f>IF(OR(Z$1="",$BM121=0),"",SUMIFS(Entries!$E$2:$E$5000,Entries!$C$2:$C$5000,"Actual",Entries!$A$2:$A$5000,"&gt;="&amp;$A121,Entries!$A$2:$A$5000,"&lt;"&amp;EDATE($A121,1),Entries!$B$2:$B$5000,Z$1))</f>
        <v/>
      </c>
      <c r="AA121" s="23">
        <f>IF(OR(AA$1="",$BM121=0),"",SUMIFS(Entries!$E$2:$E$5000,Entries!$C$2:$C$5000,"Actual",Entries!$A$2:$A$5000,"&gt;="&amp;$A121,Entries!$A$2:$A$5000,"&lt;"&amp;EDATE($A121,1),Entries!$B$2:$B$5000,AA$1))</f>
        <v/>
      </c>
      <c r="AB121" s="23">
        <f>IF(OR(AB$1="",$BM121=0),"",SUMIFS(Entries!$E$2:$E$5000,Entries!$C$2:$C$5000,"Actual",Entries!$A$2:$A$5000,"&gt;="&amp;$A121,Entries!$A$2:$A$5000,"&lt;"&amp;EDATE($A121,1),Entries!$B$2:$B$5000,AB$1))</f>
        <v/>
      </c>
      <c r="AC121" s="23">
        <f>IF(OR(AC$1="",$BM121=0),"",SUMIFS(Entries!$E$2:$E$5000,Entries!$C$2:$C$5000,"Actual",Entries!$A$2:$A$5000,"&gt;="&amp;$A121,Entries!$A$2:$A$5000,"&lt;"&amp;EDATE($A121,1),Entries!$B$2:$B$5000,AC$1))</f>
        <v/>
      </c>
      <c r="AD121" s="23">
        <f>IF(OR(AD$1="",$BM121=0),"",SUMIFS(Entries!$E$2:$E$5000,Entries!$C$2:$C$5000,"Actual",Entries!$A$2:$A$5000,"&gt;="&amp;$A121,Entries!$A$2:$A$5000,"&lt;"&amp;EDATE($A121,1),Entries!$B$2:$B$5000,AD$1))</f>
        <v/>
      </c>
      <c r="AE121" s="23">
        <f>IF(OR(AE$1="",$BM121=0),"",SUMIFS(Entries!$E$2:$E$5000,Entries!$C$2:$C$5000,"Actual",Entries!$A$2:$A$5000,"&gt;="&amp;$A121,Entries!$A$2:$A$5000,"&lt;"&amp;EDATE($A121,1),Entries!$B$2:$B$5000,AE$1))</f>
        <v/>
      </c>
      <c r="AF121" s="23">
        <f>IF(OR(AF$1="",$BM121=0),"",SUMIFS(Entries!$E$2:$E$5000,Entries!$C$2:$C$5000,"Actual",Entries!$A$2:$A$5000,"&gt;="&amp;$A121,Entries!$A$2:$A$5000,"&lt;"&amp;EDATE($A121,1),Entries!$B$2:$B$5000,AF$1))</f>
        <v/>
      </c>
      <c r="AG121" s="23">
        <f>IF(OR(AG$1="",$BM121=0),"",SUMIFS(Entries!$E$2:$E$5000,Entries!$C$2:$C$5000,"Actual",Entries!$A$2:$A$5000,"&gt;="&amp;$A121,Entries!$A$2:$A$5000,"&lt;"&amp;EDATE($A121,1),Entries!$B$2:$B$5000,AG$1))</f>
        <v/>
      </c>
      <c r="AH121" s="23">
        <f>IF(OR(AH$1="",$BM121=0),"",SUMIFS(Entries!$E$2:$E$5000,Entries!$C$2:$C$5000,"Actual",Entries!$A$2:$A$5000,"&gt;="&amp;$A121,Entries!$A$2:$A$5000,"&lt;"&amp;EDATE($A121,1),Entries!$B$2:$B$5000,AH$1))</f>
        <v/>
      </c>
      <c r="AI121" s="23">
        <f>IF(OR(AI$1="",$BM121=0),"",SUMIFS(Entries!$E$2:$E$5000,Entries!$C$2:$C$5000,"Actual",Entries!$A$2:$A$5000,"&gt;="&amp;$A121,Entries!$A$2:$A$5000,"&lt;"&amp;EDATE($A121,1),Entries!$B$2:$B$5000,AI$1))</f>
        <v/>
      </c>
      <c r="AJ121" s="23">
        <f>IF(OR(AJ$1="",$BM121=0),"",SUMIFS(Entries!$E$2:$E$5000,Entries!$C$2:$C$5000,"Actual",Entries!$A$2:$A$5000,"&gt;="&amp;$A121,Entries!$A$2:$A$5000,"&lt;"&amp;EDATE($A121,1),Entries!$B$2:$B$5000,AJ$1))</f>
        <v/>
      </c>
      <c r="AK121" s="23">
        <f>IF(OR(AK$1="",$BM121=0),"",SUMIFS(Entries!$E$2:$E$5000,Entries!$C$2:$C$5000,"Actual",Entries!$A$2:$A$5000,"&gt;="&amp;$A121,Entries!$A$2:$A$5000,"&lt;"&amp;EDATE($A121,1),Entries!$B$2:$B$5000,AK$1))</f>
        <v/>
      </c>
      <c r="AL121" s="23">
        <f>IF(OR(AL$1="",$BM121=0),"",SUMIFS(Entries!$E$2:$E$5000,Entries!$C$2:$C$5000,"Actual",Entries!$A$2:$A$5000,"&gt;="&amp;$A121,Entries!$A$2:$A$5000,"&lt;"&amp;EDATE($A121,1),Entries!$B$2:$B$5000,AL$1))</f>
        <v/>
      </c>
      <c r="AM121" s="23">
        <f>IF(OR(AM$1="",$BM121=0),"",SUMIFS(Entries!$E$2:$E$5000,Entries!$C$2:$C$5000,"Actual",Entries!$A$2:$A$5000,"&gt;="&amp;$A121,Entries!$A$2:$A$5000,"&lt;"&amp;EDATE($A121,1),Entries!$B$2:$B$5000,AM$1))</f>
        <v/>
      </c>
      <c r="AN121" s="23">
        <f>IF(OR(AN$1="",$BM121=0),"",SUMIFS(Entries!$E$2:$E$5000,Entries!$C$2:$C$5000,"Actual",Entries!$A$2:$A$5000,"&gt;="&amp;$A121,Entries!$A$2:$A$5000,"&lt;"&amp;EDATE($A121,1),Entries!$B$2:$B$5000,AN$1))</f>
        <v/>
      </c>
      <c r="AO121" s="23">
        <f>IF(OR(AO$1="",$BM121=0),"",SUMIFS(Entries!$E$2:$E$5000,Entries!$C$2:$C$5000,"Actual",Entries!$A$2:$A$5000,"&gt;="&amp;$A121,Entries!$A$2:$A$5000,"&lt;"&amp;EDATE($A121,1),Entries!$B$2:$B$5000,AO$1))</f>
        <v/>
      </c>
      <c r="AP121" s="23">
        <f>IF(OR(AP$1="",$BM121=0),"",SUMIFS(Entries!$E$2:$E$5000,Entries!$C$2:$C$5000,"Actual",Entries!$A$2:$A$5000,"&gt;="&amp;$A121,Entries!$A$2:$A$5000,"&lt;"&amp;EDATE($A121,1),Entries!$B$2:$B$5000,AP$1))</f>
        <v/>
      </c>
      <c r="AR121" s="23">
        <f>IF(OR(AR$1="",$BM121=0),"",IFERROR(LOOKUP(2,1/((Budgets!$A$2:$A$200=AR$1)*(Budgets!$B$2:$B$200&lt;EDATE($A121,1))),Budgets!$C$2:$C$200),0))</f>
        <v/>
      </c>
      <c r="AS121" s="23">
        <f>IF(OR(AS$1="",$BM121=0),"",IFERROR(LOOKUP(2,1/((Budgets!$A$2:$A$200=AS$1)*(Budgets!$B$2:$B$200&lt;EDATE($A121,1))),Budgets!$C$2:$C$200),0))</f>
        <v/>
      </c>
      <c r="AT121" s="23">
        <f>IF(OR(AT$1="",$BM121=0),"",IFERROR(LOOKUP(2,1/((Budgets!$A$2:$A$200=AT$1)*(Budgets!$B$2:$B$200&lt;EDATE($A121,1))),Budgets!$C$2:$C$200),0))</f>
        <v/>
      </c>
      <c r="AU121" s="23">
        <f>IF(OR(AU$1="",$BM121=0),"",IFERROR(LOOKUP(2,1/((Budgets!$A$2:$A$200=AU$1)*(Budgets!$B$2:$B$200&lt;EDATE($A121,1))),Budgets!$C$2:$C$200),0))</f>
        <v/>
      </c>
      <c r="AV121" s="23">
        <f>IF(OR(AV$1="",$BM121=0),"",IFERROR(LOOKUP(2,1/((Budgets!$A$2:$A$200=AV$1)*(Budgets!$B$2:$B$200&lt;EDATE($A121,1))),Budgets!$C$2:$C$200),0))</f>
        <v/>
      </c>
      <c r="AW121" s="23">
        <f>IF(OR(AW$1="",$BM121=0),"",IFERROR(LOOKUP(2,1/((Budgets!$A$2:$A$200=AW$1)*(Budgets!$B$2:$B$200&lt;EDATE($A121,1))),Budgets!$C$2:$C$200),0))</f>
        <v/>
      </c>
      <c r="AX121" s="23">
        <f>IF(OR(AX$1="",$BM121=0),"",IFERROR(LOOKUP(2,1/((Budgets!$A$2:$A$200=AX$1)*(Budgets!$B$2:$B$200&lt;EDATE($A121,1))),Budgets!$C$2:$C$200),0))</f>
        <v/>
      </c>
      <c r="AY121" s="23">
        <f>IF(OR(AY$1="",$BM121=0),"",IFERROR(LOOKUP(2,1/((Budgets!$A$2:$A$200=AY$1)*(Budgets!$B$2:$B$200&lt;EDATE($A121,1))),Budgets!$C$2:$C$200),0))</f>
        <v/>
      </c>
      <c r="AZ121" s="23">
        <f>IF(OR(AZ$1="",$BM121=0),"",IFERROR(LOOKUP(2,1/((Budgets!$A$2:$A$200=AZ$1)*(Budgets!$B$2:$B$200&lt;EDATE($A121,1))),Budgets!$C$2:$C$200),0))</f>
        <v/>
      </c>
      <c r="BA121" s="23">
        <f>IF(OR(BA$1="",$BM121=0),"",IFERROR(LOOKUP(2,1/((Budgets!$A$2:$A$200=BA$1)*(Budgets!$B$2:$B$200&lt;EDATE($A121,1))),Budgets!$C$2:$C$200),0))</f>
        <v/>
      </c>
      <c r="BB121" s="23">
        <f>IF(OR(BB$1="",$BM121=0),"",IFERROR(LOOKUP(2,1/((Budgets!$A$2:$A$200=BB$1)*(Budgets!$B$2:$B$200&lt;EDATE($A121,1))),Budgets!$C$2:$C$200),0))</f>
        <v/>
      </c>
      <c r="BC121" s="23">
        <f>IF(OR(BC$1="",$BM121=0),"",IFERROR(LOOKUP(2,1/((Budgets!$A$2:$A$200=BC$1)*(Budgets!$B$2:$B$200&lt;EDATE($A121,1))),Budgets!$C$2:$C$200),0))</f>
        <v/>
      </c>
      <c r="BD121" s="23">
        <f>IF(OR(BD$1="",$BM121=0),"",IFERROR(LOOKUP(2,1/((Budgets!$A$2:$A$200=BD$1)*(Budgets!$B$2:$B$200&lt;EDATE($A121,1))),Budgets!$C$2:$C$200),0))</f>
        <v/>
      </c>
      <c r="BE121" s="23">
        <f>IF(OR(BE$1="",$BM121=0),"",IFERROR(LOOKUP(2,1/((Budgets!$A$2:$A$200=BE$1)*(Budgets!$B$2:$B$200&lt;EDATE($A121,1))),Budgets!$C$2:$C$200),0))</f>
        <v/>
      </c>
      <c r="BF121" s="23">
        <f>IF(OR(BF$1="",$BM121=0),"",IFERROR(LOOKUP(2,1/((Budgets!$A$2:$A$200=BF$1)*(Budgets!$B$2:$B$200&lt;EDATE($A121,1))),Budgets!$C$2:$C$200),0))</f>
        <v/>
      </c>
      <c r="BG121" s="23">
        <f>IF(OR(BG$1="",$BM121=0),"",IFERROR(LOOKUP(2,1/((Budgets!$A$2:$A$200=BG$1)*(Budgets!$B$2:$B$200&lt;EDATE($A121,1))),Budgets!$C$2:$C$200),0))</f>
        <v/>
      </c>
      <c r="BH121" s="23">
        <f>IF(OR(BH$1="",$BM121=0),"",IFERROR(LOOKUP(2,1/((Budgets!$A$2:$A$200=BH$1)*(Budgets!$B$2:$B$200&lt;EDATE($A121,1))),Budgets!$C$2:$C$200),0))</f>
        <v/>
      </c>
      <c r="BI121" s="23">
        <f>IF(OR(BI$1="",$BM121=0),"",IFERROR(LOOKUP(2,1/((Budgets!$A$2:$A$200=BI$1)*(Budgets!$B$2:$B$200&lt;EDATE($A121,1))),Budgets!$C$2:$C$200),0))</f>
        <v/>
      </c>
      <c r="BJ121" s="23">
        <f>IF(OR(BJ$1="",$BM121=0),"",IFERROR(LOOKUP(2,1/((Budgets!$A$2:$A$200=BJ$1)*(Budgets!$B$2:$B$200&lt;EDATE($A121,1))),Budgets!$C$2:$C$200),0))</f>
        <v/>
      </c>
      <c r="BK121" s="23">
        <f>IF(OR(BK$1="",$BM121=0),"",IFERROR(LOOKUP(2,1/((Budgets!$A$2:$A$200=BK$1)*(Budgets!$B$2:$B$200&lt;EDATE($A121,1))),Budgets!$C$2:$C$200),0))</f>
        <v/>
      </c>
      <c r="BM121" s="21">
        <f>COUNTIFS(Entries!$A$2:$A$5000,"&gt;="&amp;$A121,Entries!$A$2:$A$5000,"&lt;"&amp;EDATE($A121,1))</f>
        <v/>
      </c>
    </row>
    <row r="122">
      <c r="A122" s="22" t="n">
        <v>43101</v>
      </c>
      <c r="B122" s="23">
        <f>IF($BM122=0,NA(),SUMIFS(Entries!$E$2:$E$5000,Entries!$C$2:$C$5000,"Income",Entries!$A$2:$A$5000,"&gt;="&amp;$A122,Entries!$A$2:$A$5000,"&lt;"&amp;EDATE($A122,1)))</f>
        <v/>
      </c>
      <c r="C122" s="23">
        <f>IF($BM122=0,"",SUMIFS(Entries!$E$2:$E$5000,Entries!$C$2:$C$5000,"Actual",Entries!$A$2:$A$5000,"&gt;="&amp;$A122,Entries!$A$2:$A$5000,"&lt;"&amp;EDATE($A122,1)))</f>
        <v/>
      </c>
      <c r="D122" s="23">
        <f>IF($BM122=0,"",SUMIFS(Entries!$E$2:$E$5000,Entries!$C$2:$C$5000,"One-off",Entries!$A$2:$A$5000,"&gt;="&amp;$A122,Entries!$A$2:$A$5000,"&lt;"&amp;EDATE($A122,1)))</f>
        <v/>
      </c>
      <c r="E122" s="23">
        <f>IF($BM122=0,NA(),C122+D122)</f>
        <v/>
      </c>
      <c r="F122" s="23">
        <f>IF($BM122=0,"",SUM(AR122:BK122))</f>
        <v/>
      </c>
      <c r="G122" s="23">
        <f>IF($BM122=0,"",B122-E122)</f>
        <v/>
      </c>
      <c r="H122" s="23">
        <f>IF($BM122=0,"",SUM($G$2:G122))</f>
        <v/>
      </c>
      <c r="I122" s="23">
        <f>IF($BM122=0,"",SUMIFS(Entries!$G$2:$G$5000,Entries!$A$2:$A$5000,"&gt;="&amp;$A122,Entries!$A$2:$A$5000,"&lt;"&amp;EDATE($A122,1)))</f>
        <v/>
      </c>
      <c r="J122" s="23">
        <f>IF($BM122=0,NA(),H122)</f>
        <v/>
      </c>
      <c r="K122" s="23">
        <f>IF($BM122=0,"",SUMIFS(Entries!$E$2:$E$5000,Entries!$C$2:$C$5000,"Income",Entries!$A$2:$A$5000,"&gt;="&amp;EDATE($A122,-11),Entries!$A$2:$A$5000,"&lt;"&amp;EDATE($A122,1))/COUNTIFS($A$2:$A$400,"&gt;="&amp;EDATE($A122,-11),$A$2:$A$400,"&lt;"&amp;EDATE($A122,1),$BM$2:$BM$400,"&gt;0"))</f>
      </c>
      <c r="L122" s="23">
        <f>IF($BM122=0,"",(SUMIFS(Entries!$E$2:$E$5000,Entries!$C$2:$C$5000,"Actual",Entries!$A$2:$A$5000,"&gt;="&amp;EDATE($A122,-11),Entries!$A$2:$A$5000,"&lt;"&amp;EDATE($A122,1))+SUMIFS(Entries!$E$2:$E$5000,Entries!$C$2:$C$5000,"One-off",Entries!$A$2:$A$5000,"&gt;="&amp;EDATE($A122,-11),Entries!$A$2:$A$5000,"&lt;"&amp;EDATE($A122,1)))/COUNTIFS($A$2:$A$400,"&gt;="&amp;EDATE($A122,-11),$A$2:$A$400,"&lt;"&amp;EDATE($A122,1),$BM$2:$BM$400,"&gt;0"))</f>
      </c>
      <c r="M122" s="24">
        <f>IF($BM122=0,NA(),IFERROR((K122-L122)/K122,0))</f>
        <v/>
      </c>
      <c r="N122" s="23">
        <f>IF($BM122=0,NA(),SUMIFS(Entries!$E$2:$E$5000,Entries!$D$2:$D$5000,"Core",Entries!$A$2:$A$5000,"&gt;="&amp;$A122,Entries!$A$2:$A$5000,"&lt;"&amp;EDATE($A122,1)))</f>
        <v/>
      </c>
      <c r="O122" s="23">
        <f>IF($BM122=0,NA(),SUMIFS(Entries!$E$2:$E$5000,Entries!$D$2:$D$5000,"Over &amp; above",Entries!$A$2:$A$5000,"&gt;="&amp;$A122,Entries!$A$2:$A$5000,"&lt;"&amp;EDATE($A122,1)))</f>
        <v/>
      </c>
      <c r="P122" s="23">
        <f>IF($BM122=0,NA(),SUMIFS(Entries!$E$2:$E$5000,Entries!$D$2:$D$5000,"One-off",Entries!$A$2:$A$5000,"&gt;="&amp;$A122,Entries!$A$2:$A$5000,"&lt;"&amp;EDATE($A122,1)))</f>
        <v/>
      </c>
      <c r="Q122" s="23">
        <f>IF($BM122=0,NA(),SUMIFS(Entries!$E$2:$E$5000,Entries!$D$2:$D$5000,"Reimbursable",Entries!$A$2:$A$5000,"&gt;="&amp;$A122,Entries!$A$2:$A$5000,"&lt;"&amp;EDATE($A122,1)))</f>
        <v/>
      </c>
      <c r="R122" s="23">
        <f>IF($BM122=0,NA(),SUMIFS(Entries!$E$2:$E$5000,Entries!$D$2:$D$5000,"Investment",Entries!$A$2:$A$5000,"&gt;="&amp;$A122,Entries!$A$2:$A$5000,"&lt;"&amp;EDATE($A122,1)))</f>
        <v/>
      </c>
      <c r="S122" s="23">
        <f>IF($BM122=0,NA(),N122+O122)</f>
        <v/>
      </c>
      <c r="T122" s="23">
        <f>IF($BM122=0,"",E122-Q122)</f>
        <v/>
      </c>
      <c r="W122" s="23">
        <f>IF(OR(W$1="",$BM122=0),"",SUMIFS(Entries!$E$2:$E$5000,Entries!$C$2:$C$5000,"Actual",Entries!$A$2:$A$5000,"&gt;="&amp;$A122,Entries!$A$2:$A$5000,"&lt;"&amp;EDATE($A122,1),Entries!$B$2:$B$5000,W$1))</f>
        <v/>
      </c>
      <c r="X122" s="23">
        <f>IF(OR(X$1="",$BM122=0),"",SUMIFS(Entries!$E$2:$E$5000,Entries!$C$2:$C$5000,"Actual",Entries!$A$2:$A$5000,"&gt;="&amp;$A122,Entries!$A$2:$A$5000,"&lt;"&amp;EDATE($A122,1),Entries!$B$2:$B$5000,X$1))</f>
        <v/>
      </c>
      <c r="Y122" s="23">
        <f>IF(OR(Y$1="",$BM122=0),"",SUMIFS(Entries!$E$2:$E$5000,Entries!$C$2:$C$5000,"Actual",Entries!$A$2:$A$5000,"&gt;="&amp;$A122,Entries!$A$2:$A$5000,"&lt;"&amp;EDATE($A122,1),Entries!$B$2:$B$5000,Y$1))</f>
        <v/>
      </c>
      <c r="Z122" s="23">
        <f>IF(OR(Z$1="",$BM122=0),"",SUMIFS(Entries!$E$2:$E$5000,Entries!$C$2:$C$5000,"Actual",Entries!$A$2:$A$5000,"&gt;="&amp;$A122,Entries!$A$2:$A$5000,"&lt;"&amp;EDATE($A122,1),Entries!$B$2:$B$5000,Z$1))</f>
        <v/>
      </c>
      <c r="AA122" s="23">
        <f>IF(OR(AA$1="",$BM122=0),"",SUMIFS(Entries!$E$2:$E$5000,Entries!$C$2:$C$5000,"Actual",Entries!$A$2:$A$5000,"&gt;="&amp;$A122,Entries!$A$2:$A$5000,"&lt;"&amp;EDATE($A122,1),Entries!$B$2:$B$5000,AA$1))</f>
        <v/>
      </c>
      <c r="AB122" s="23">
        <f>IF(OR(AB$1="",$BM122=0),"",SUMIFS(Entries!$E$2:$E$5000,Entries!$C$2:$C$5000,"Actual",Entries!$A$2:$A$5000,"&gt;="&amp;$A122,Entries!$A$2:$A$5000,"&lt;"&amp;EDATE($A122,1),Entries!$B$2:$B$5000,AB$1))</f>
        <v/>
      </c>
      <c r="AC122" s="23">
        <f>IF(OR(AC$1="",$BM122=0),"",SUMIFS(Entries!$E$2:$E$5000,Entries!$C$2:$C$5000,"Actual",Entries!$A$2:$A$5000,"&gt;="&amp;$A122,Entries!$A$2:$A$5000,"&lt;"&amp;EDATE($A122,1),Entries!$B$2:$B$5000,AC$1))</f>
        <v/>
      </c>
      <c r="AD122" s="23">
        <f>IF(OR(AD$1="",$BM122=0),"",SUMIFS(Entries!$E$2:$E$5000,Entries!$C$2:$C$5000,"Actual",Entries!$A$2:$A$5000,"&gt;="&amp;$A122,Entries!$A$2:$A$5000,"&lt;"&amp;EDATE($A122,1),Entries!$B$2:$B$5000,AD$1))</f>
        <v/>
      </c>
      <c r="AE122" s="23">
        <f>IF(OR(AE$1="",$BM122=0),"",SUMIFS(Entries!$E$2:$E$5000,Entries!$C$2:$C$5000,"Actual",Entries!$A$2:$A$5000,"&gt;="&amp;$A122,Entries!$A$2:$A$5000,"&lt;"&amp;EDATE($A122,1),Entries!$B$2:$B$5000,AE$1))</f>
        <v/>
      </c>
      <c r="AF122" s="23">
        <f>IF(OR(AF$1="",$BM122=0),"",SUMIFS(Entries!$E$2:$E$5000,Entries!$C$2:$C$5000,"Actual",Entries!$A$2:$A$5000,"&gt;="&amp;$A122,Entries!$A$2:$A$5000,"&lt;"&amp;EDATE($A122,1),Entries!$B$2:$B$5000,AF$1))</f>
        <v/>
      </c>
      <c r="AG122" s="23">
        <f>IF(OR(AG$1="",$BM122=0),"",SUMIFS(Entries!$E$2:$E$5000,Entries!$C$2:$C$5000,"Actual",Entries!$A$2:$A$5000,"&gt;="&amp;$A122,Entries!$A$2:$A$5000,"&lt;"&amp;EDATE($A122,1),Entries!$B$2:$B$5000,AG$1))</f>
        <v/>
      </c>
      <c r="AH122" s="23">
        <f>IF(OR(AH$1="",$BM122=0),"",SUMIFS(Entries!$E$2:$E$5000,Entries!$C$2:$C$5000,"Actual",Entries!$A$2:$A$5000,"&gt;="&amp;$A122,Entries!$A$2:$A$5000,"&lt;"&amp;EDATE($A122,1),Entries!$B$2:$B$5000,AH$1))</f>
        <v/>
      </c>
      <c r="AI122" s="23">
        <f>IF(OR(AI$1="",$BM122=0),"",SUMIFS(Entries!$E$2:$E$5000,Entries!$C$2:$C$5000,"Actual",Entries!$A$2:$A$5000,"&gt;="&amp;$A122,Entries!$A$2:$A$5000,"&lt;"&amp;EDATE($A122,1),Entries!$B$2:$B$5000,AI$1))</f>
        <v/>
      </c>
      <c r="AJ122" s="23">
        <f>IF(OR(AJ$1="",$BM122=0),"",SUMIFS(Entries!$E$2:$E$5000,Entries!$C$2:$C$5000,"Actual",Entries!$A$2:$A$5000,"&gt;="&amp;$A122,Entries!$A$2:$A$5000,"&lt;"&amp;EDATE($A122,1),Entries!$B$2:$B$5000,AJ$1))</f>
        <v/>
      </c>
      <c r="AK122" s="23">
        <f>IF(OR(AK$1="",$BM122=0),"",SUMIFS(Entries!$E$2:$E$5000,Entries!$C$2:$C$5000,"Actual",Entries!$A$2:$A$5000,"&gt;="&amp;$A122,Entries!$A$2:$A$5000,"&lt;"&amp;EDATE($A122,1),Entries!$B$2:$B$5000,AK$1))</f>
        <v/>
      </c>
      <c r="AL122" s="23">
        <f>IF(OR(AL$1="",$BM122=0),"",SUMIFS(Entries!$E$2:$E$5000,Entries!$C$2:$C$5000,"Actual",Entries!$A$2:$A$5000,"&gt;="&amp;$A122,Entries!$A$2:$A$5000,"&lt;"&amp;EDATE($A122,1),Entries!$B$2:$B$5000,AL$1))</f>
        <v/>
      </c>
      <c r="AM122" s="23">
        <f>IF(OR(AM$1="",$BM122=0),"",SUMIFS(Entries!$E$2:$E$5000,Entries!$C$2:$C$5000,"Actual",Entries!$A$2:$A$5000,"&gt;="&amp;$A122,Entries!$A$2:$A$5000,"&lt;"&amp;EDATE($A122,1),Entries!$B$2:$B$5000,AM$1))</f>
        <v/>
      </c>
      <c r="AN122" s="23">
        <f>IF(OR(AN$1="",$BM122=0),"",SUMIFS(Entries!$E$2:$E$5000,Entries!$C$2:$C$5000,"Actual",Entries!$A$2:$A$5000,"&gt;="&amp;$A122,Entries!$A$2:$A$5000,"&lt;"&amp;EDATE($A122,1),Entries!$B$2:$B$5000,AN$1))</f>
        <v/>
      </c>
      <c r="AO122" s="23">
        <f>IF(OR(AO$1="",$BM122=0),"",SUMIFS(Entries!$E$2:$E$5000,Entries!$C$2:$C$5000,"Actual",Entries!$A$2:$A$5000,"&gt;="&amp;$A122,Entries!$A$2:$A$5000,"&lt;"&amp;EDATE($A122,1),Entries!$B$2:$B$5000,AO$1))</f>
        <v/>
      </c>
      <c r="AP122" s="23">
        <f>IF(OR(AP$1="",$BM122=0),"",SUMIFS(Entries!$E$2:$E$5000,Entries!$C$2:$C$5000,"Actual",Entries!$A$2:$A$5000,"&gt;="&amp;$A122,Entries!$A$2:$A$5000,"&lt;"&amp;EDATE($A122,1),Entries!$B$2:$B$5000,AP$1))</f>
        <v/>
      </c>
      <c r="AR122" s="23">
        <f>IF(OR(AR$1="",$BM122=0),"",IFERROR(LOOKUP(2,1/((Budgets!$A$2:$A$200=AR$1)*(Budgets!$B$2:$B$200&lt;EDATE($A122,1))),Budgets!$C$2:$C$200),0))</f>
        <v/>
      </c>
      <c r="AS122" s="23">
        <f>IF(OR(AS$1="",$BM122=0),"",IFERROR(LOOKUP(2,1/((Budgets!$A$2:$A$200=AS$1)*(Budgets!$B$2:$B$200&lt;EDATE($A122,1))),Budgets!$C$2:$C$200),0))</f>
        <v/>
      </c>
      <c r="AT122" s="23">
        <f>IF(OR(AT$1="",$BM122=0),"",IFERROR(LOOKUP(2,1/((Budgets!$A$2:$A$200=AT$1)*(Budgets!$B$2:$B$200&lt;EDATE($A122,1))),Budgets!$C$2:$C$200),0))</f>
        <v/>
      </c>
      <c r="AU122" s="23">
        <f>IF(OR(AU$1="",$BM122=0),"",IFERROR(LOOKUP(2,1/((Budgets!$A$2:$A$200=AU$1)*(Budgets!$B$2:$B$200&lt;EDATE($A122,1))),Budgets!$C$2:$C$200),0))</f>
        <v/>
      </c>
      <c r="AV122" s="23">
        <f>IF(OR(AV$1="",$BM122=0),"",IFERROR(LOOKUP(2,1/((Budgets!$A$2:$A$200=AV$1)*(Budgets!$B$2:$B$200&lt;EDATE($A122,1))),Budgets!$C$2:$C$200),0))</f>
        <v/>
      </c>
      <c r="AW122" s="23">
        <f>IF(OR(AW$1="",$BM122=0),"",IFERROR(LOOKUP(2,1/((Budgets!$A$2:$A$200=AW$1)*(Budgets!$B$2:$B$200&lt;EDATE($A122,1))),Budgets!$C$2:$C$200),0))</f>
        <v/>
      </c>
      <c r="AX122" s="23">
        <f>IF(OR(AX$1="",$BM122=0),"",IFERROR(LOOKUP(2,1/((Budgets!$A$2:$A$200=AX$1)*(Budgets!$B$2:$B$200&lt;EDATE($A122,1))),Budgets!$C$2:$C$200),0))</f>
        <v/>
      </c>
      <c r="AY122" s="23">
        <f>IF(OR(AY$1="",$BM122=0),"",IFERROR(LOOKUP(2,1/((Budgets!$A$2:$A$200=AY$1)*(Budgets!$B$2:$B$200&lt;EDATE($A122,1))),Budgets!$C$2:$C$200),0))</f>
        <v/>
      </c>
      <c r="AZ122" s="23">
        <f>IF(OR(AZ$1="",$BM122=0),"",IFERROR(LOOKUP(2,1/((Budgets!$A$2:$A$200=AZ$1)*(Budgets!$B$2:$B$200&lt;EDATE($A122,1))),Budgets!$C$2:$C$200),0))</f>
        <v/>
      </c>
      <c r="BA122" s="23">
        <f>IF(OR(BA$1="",$BM122=0),"",IFERROR(LOOKUP(2,1/((Budgets!$A$2:$A$200=BA$1)*(Budgets!$B$2:$B$200&lt;EDATE($A122,1))),Budgets!$C$2:$C$200),0))</f>
        <v/>
      </c>
      <c r="BB122" s="23">
        <f>IF(OR(BB$1="",$BM122=0),"",IFERROR(LOOKUP(2,1/((Budgets!$A$2:$A$200=BB$1)*(Budgets!$B$2:$B$200&lt;EDATE($A122,1))),Budgets!$C$2:$C$200),0))</f>
        <v/>
      </c>
      <c r="BC122" s="23">
        <f>IF(OR(BC$1="",$BM122=0),"",IFERROR(LOOKUP(2,1/((Budgets!$A$2:$A$200=BC$1)*(Budgets!$B$2:$B$200&lt;EDATE($A122,1))),Budgets!$C$2:$C$200),0))</f>
        <v/>
      </c>
      <c r="BD122" s="23">
        <f>IF(OR(BD$1="",$BM122=0),"",IFERROR(LOOKUP(2,1/((Budgets!$A$2:$A$200=BD$1)*(Budgets!$B$2:$B$200&lt;EDATE($A122,1))),Budgets!$C$2:$C$200),0))</f>
        <v/>
      </c>
      <c r="BE122" s="23">
        <f>IF(OR(BE$1="",$BM122=0),"",IFERROR(LOOKUP(2,1/((Budgets!$A$2:$A$200=BE$1)*(Budgets!$B$2:$B$200&lt;EDATE($A122,1))),Budgets!$C$2:$C$200),0))</f>
        <v/>
      </c>
      <c r="BF122" s="23">
        <f>IF(OR(BF$1="",$BM122=0),"",IFERROR(LOOKUP(2,1/((Budgets!$A$2:$A$200=BF$1)*(Budgets!$B$2:$B$200&lt;EDATE($A122,1))),Budgets!$C$2:$C$200),0))</f>
        <v/>
      </c>
      <c r="BG122" s="23">
        <f>IF(OR(BG$1="",$BM122=0),"",IFERROR(LOOKUP(2,1/((Budgets!$A$2:$A$200=BG$1)*(Budgets!$B$2:$B$200&lt;EDATE($A122,1))),Budgets!$C$2:$C$200),0))</f>
        <v/>
      </c>
      <c r="BH122" s="23">
        <f>IF(OR(BH$1="",$BM122=0),"",IFERROR(LOOKUP(2,1/((Budgets!$A$2:$A$200=BH$1)*(Budgets!$B$2:$B$200&lt;EDATE($A122,1))),Budgets!$C$2:$C$200),0))</f>
        <v/>
      </c>
      <c r="BI122" s="23">
        <f>IF(OR(BI$1="",$BM122=0),"",IFERROR(LOOKUP(2,1/((Budgets!$A$2:$A$200=BI$1)*(Budgets!$B$2:$B$200&lt;EDATE($A122,1))),Budgets!$C$2:$C$200),0))</f>
        <v/>
      </c>
      <c r="BJ122" s="23">
        <f>IF(OR(BJ$1="",$BM122=0),"",IFERROR(LOOKUP(2,1/((Budgets!$A$2:$A$200=BJ$1)*(Budgets!$B$2:$B$200&lt;EDATE($A122,1))),Budgets!$C$2:$C$200),0))</f>
        <v/>
      </c>
      <c r="BK122" s="23">
        <f>IF(OR(BK$1="",$BM122=0),"",IFERROR(LOOKUP(2,1/((Budgets!$A$2:$A$200=BK$1)*(Budgets!$B$2:$B$200&lt;EDATE($A122,1))),Budgets!$C$2:$C$200),0))</f>
        <v/>
      </c>
      <c r="BM122" s="21">
        <f>COUNTIFS(Entries!$A$2:$A$5000,"&gt;="&amp;$A122,Entries!$A$2:$A$5000,"&lt;"&amp;EDATE($A122,1))</f>
        <v/>
      </c>
    </row>
    <row r="123">
      <c r="A123" s="22" t="n">
        <v>43132</v>
      </c>
      <c r="B123" s="23">
        <f>IF($BM123=0,NA(),SUMIFS(Entries!$E$2:$E$5000,Entries!$C$2:$C$5000,"Income",Entries!$A$2:$A$5000,"&gt;="&amp;$A123,Entries!$A$2:$A$5000,"&lt;"&amp;EDATE($A123,1)))</f>
        <v/>
      </c>
      <c r="C123" s="23">
        <f>IF($BM123=0,"",SUMIFS(Entries!$E$2:$E$5000,Entries!$C$2:$C$5000,"Actual",Entries!$A$2:$A$5000,"&gt;="&amp;$A123,Entries!$A$2:$A$5000,"&lt;"&amp;EDATE($A123,1)))</f>
        <v/>
      </c>
      <c r="D123" s="23">
        <f>IF($BM123=0,"",SUMIFS(Entries!$E$2:$E$5000,Entries!$C$2:$C$5000,"One-off",Entries!$A$2:$A$5000,"&gt;="&amp;$A123,Entries!$A$2:$A$5000,"&lt;"&amp;EDATE($A123,1)))</f>
        <v/>
      </c>
      <c r="E123" s="23">
        <f>IF($BM123=0,NA(),C123+D123)</f>
        <v/>
      </c>
      <c r="F123" s="23">
        <f>IF($BM123=0,"",SUM(AR123:BK123))</f>
        <v/>
      </c>
      <c r="G123" s="23">
        <f>IF($BM123=0,"",B123-E123)</f>
        <v/>
      </c>
      <c r="H123" s="23">
        <f>IF($BM123=0,"",SUM($G$2:G123))</f>
        <v/>
      </c>
      <c r="I123" s="23">
        <f>IF($BM123=0,"",SUMIFS(Entries!$G$2:$G$5000,Entries!$A$2:$A$5000,"&gt;="&amp;$A123,Entries!$A$2:$A$5000,"&lt;"&amp;EDATE($A123,1)))</f>
        <v/>
      </c>
      <c r="J123" s="23">
        <f>IF($BM123=0,NA(),H123)</f>
        <v/>
      </c>
      <c r="K123" s="23">
        <f>IF($BM123=0,"",SUMIFS(Entries!$E$2:$E$5000,Entries!$C$2:$C$5000,"Income",Entries!$A$2:$A$5000,"&gt;="&amp;EDATE($A123,-11),Entries!$A$2:$A$5000,"&lt;"&amp;EDATE($A123,1))/COUNTIFS($A$2:$A$400,"&gt;="&amp;EDATE($A123,-11),$A$2:$A$400,"&lt;"&amp;EDATE($A123,1),$BM$2:$BM$400,"&gt;0"))</f>
      </c>
      <c r="L123" s="23">
        <f>IF($BM123=0,"",(SUMIFS(Entries!$E$2:$E$5000,Entries!$C$2:$C$5000,"Actual",Entries!$A$2:$A$5000,"&gt;="&amp;EDATE($A123,-11),Entries!$A$2:$A$5000,"&lt;"&amp;EDATE($A123,1))+SUMIFS(Entries!$E$2:$E$5000,Entries!$C$2:$C$5000,"One-off",Entries!$A$2:$A$5000,"&gt;="&amp;EDATE($A123,-11),Entries!$A$2:$A$5000,"&lt;"&amp;EDATE($A123,1)))/COUNTIFS($A$2:$A$400,"&gt;="&amp;EDATE($A123,-11),$A$2:$A$400,"&lt;"&amp;EDATE($A123,1),$BM$2:$BM$400,"&gt;0"))</f>
      </c>
      <c r="M123" s="24">
        <f>IF($BM123=0,NA(),IFERROR((K123-L123)/K123,0))</f>
        <v/>
      </c>
      <c r="N123" s="23">
        <f>IF($BM123=0,NA(),SUMIFS(Entries!$E$2:$E$5000,Entries!$D$2:$D$5000,"Core",Entries!$A$2:$A$5000,"&gt;="&amp;$A123,Entries!$A$2:$A$5000,"&lt;"&amp;EDATE($A123,1)))</f>
        <v/>
      </c>
      <c r="O123" s="23">
        <f>IF($BM123=0,NA(),SUMIFS(Entries!$E$2:$E$5000,Entries!$D$2:$D$5000,"Over &amp; above",Entries!$A$2:$A$5000,"&gt;="&amp;$A123,Entries!$A$2:$A$5000,"&lt;"&amp;EDATE($A123,1)))</f>
        <v/>
      </c>
      <c r="P123" s="23">
        <f>IF($BM123=0,NA(),SUMIFS(Entries!$E$2:$E$5000,Entries!$D$2:$D$5000,"One-off",Entries!$A$2:$A$5000,"&gt;="&amp;$A123,Entries!$A$2:$A$5000,"&lt;"&amp;EDATE($A123,1)))</f>
        <v/>
      </c>
      <c r="Q123" s="23">
        <f>IF($BM123=0,NA(),SUMIFS(Entries!$E$2:$E$5000,Entries!$D$2:$D$5000,"Reimbursable",Entries!$A$2:$A$5000,"&gt;="&amp;$A123,Entries!$A$2:$A$5000,"&lt;"&amp;EDATE($A123,1)))</f>
        <v/>
      </c>
      <c r="R123" s="23">
        <f>IF($BM123=0,NA(),SUMIFS(Entries!$E$2:$E$5000,Entries!$D$2:$D$5000,"Investment",Entries!$A$2:$A$5000,"&gt;="&amp;$A123,Entries!$A$2:$A$5000,"&lt;"&amp;EDATE($A123,1)))</f>
        <v/>
      </c>
      <c r="S123" s="23">
        <f>IF($BM123=0,NA(),N123+O123)</f>
        <v/>
      </c>
      <c r="T123" s="23">
        <f>IF($BM123=0,"",E123-Q123)</f>
        <v/>
      </c>
      <c r="W123" s="23">
        <f>IF(OR(W$1="",$BM123=0),"",SUMIFS(Entries!$E$2:$E$5000,Entries!$C$2:$C$5000,"Actual",Entries!$A$2:$A$5000,"&gt;="&amp;$A123,Entries!$A$2:$A$5000,"&lt;"&amp;EDATE($A123,1),Entries!$B$2:$B$5000,W$1))</f>
        <v/>
      </c>
      <c r="X123" s="23">
        <f>IF(OR(X$1="",$BM123=0),"",SUMIFS(Entries!$E$2:$E$5000,Entries!$C$2:$C$5000,"Actual",Entries!$A$2:$A$5000,"&gt;="&amp;$A123,Entries!$A$2:$A$5000,"&lt;"&amp;EDATE($A123,1),Entries!$B$2:$B$5000,X$1))</f>
        <v/>
      </c>
      <c r="Y123" s="23">
        <f>IF(OR(Y$1="",$BM123=0),"",SUMIFS(Entries!$E$2:$E$5000,Entries!$C$2:$C$5000,"Actual",Entries!$A$2:$A$5000,"&gt;="&amp;$A123,Entries!$A$2:$A$5000,"&lt;"&amp;EDATE($A123,1),Entries!$B$2:$B$5000,Y$1))</f>
        <v/>
      </c>
      <c r="Z123" s="23">
        <f>IF(OR(Z$1="",$BM123=0),"",SUMIFS(Entries!$E$2:$E$5000,Entries!$C$2:$C$5000,"Actual",Entries!$A$2:$A$5000,"&gt;="&amp;$A123,Entries!$A$2:$A$5000,"&lt;"&amp;EDATE($A123,1),Entries!$B$2:$B$5000,Z$1))</f>
        <v/>
      </c>
      <c r="AA123" s="23">
        <f>IF(OR(AA$1="",$BM123=0),"",SUMIFS(Entries!$E$2:$E$5000,Entries!$C$2:$C$5000,"Actual",Entries!$A$2:$A$5000,"&gt;="&amp;$A123,Entries!$A$2:$A$5000,"&lt;"&amp;EDATE($A123,1),Entries!$B$2:$B$5000,AA$1))</f>
        <v/>
      </c>
      <c r="AB123" s="23">
        <f>IF(OR(AB$1="",$BM123=0),"",SUMIFS(Entries!$E$2:$E$5000,Entries!$C$2:$C$5000,"Actual",Entries!$A$2:$A$5000,"&gt;="&amp;$A123,Entries!$A$2:$A$5000,"&lt;"&amp;EDATE($A123,1),Entries!$B$2:$B$5000,AB$1))</f>
        <v/>
      </c>
      <c r="AC123" s="23">
        <f>IF(OR(AC$1="",$BM123=0),"",SUMIFS(Entries!$E$2:$E$5000,Entries!$C$2:$C$5000,"Actual",Entries!$A$2:$A$5000,"&gt;="&amp;$A123,Entries!$A$2:$A$5000,"&lt;"&amp;EDATE($A123,1),Entries!$B$2:$B$5000,AC$1))</f>
        <v/>
      </c>
      <c r="AD123" s="23">
        <f>IF(OR(AD$1="",$BM123=0),"",SUMIFS(Entries!$E$2:$E$5000,Entries!$C$2:$C$5000,"Actual",Entries!$A$2:$A$5000,"&gt;="&amp;$A123,Entries!$A$2:$A$5000,"&lt;"&amp;EDATE($A123,1),Entries!$B$2:$B$5000,AD$1))</f>
        <v/>
      </c>
      <c r="AE123" s="23">
        <f>IF(OR(AE$1="",$BM123=0),"",SUMIFS(Entries!$E$2:$E$5000,Entries!$C$2:$C$5000,"Actual",Entries!$A$2:$A$5000,"&gt;="&amp;$A123,Entries!$A$2:$A$5000,"&lt;"&amp;EDATE($A123,1),Entries!$B$2:$B$5000,AE$1))</f>
        <v/>
      </c>
      <c r="AF123" s="23">
        <f>IF(OR(AF$1="",$BM123=0),"",SUMIFS(Entries!$E$2:$E$5000,Entries!$C$2:$C$5000,"Actual",Entries!$A$2:$A$5000,"&gt;="&amp;$A123,Entries!$A$2:$A$5000,"&lt;"&amp;EDATE($A123,1),Entries!$B$2:$B$5000,AF$1))</f>
        <v/>
      </c>
      <c r="AG123" s="23">
        <f>IF(OR(AG$1="",$BM123=0),"",SUMIFS(Entries!$E$2:$E$5000,Entries!$C$2:$C$5000,"Actual",Entries!$A$2:$A$5000,"&gt;="&amp;$A123,Entries!$A$2:$A$5000,"&lt;"&amp;EDATE($A123,1),Entries!$B$2:$B$5000,AG$1))</f>
        <v/>
      </c>
      <c r="AH123" s="23">
        <f>IF(OR(AH$1="",$BM123=0),"",SUMIFS(Entries!$E$2:$E$5000,Entries!$C$2:$C$5000,"Actual",Entries!$A$2:$A$5000,"&gt;="&amp;$A123,Entries!$A$2:$A$5000,"&lt;"&amp;EDATE($A123,1),Entries!$B$2:$B$5000,AH$1))</f>
        <v/>
      </c>
      <c r="AI123" s="23">
        <f>IF(OR(AI$1="",$BM123=0),"",SUMIFS(Entries!$E$2:$E$5000,Entries!$C$2:$C$5000,"Actual",Entries!$A$2:$A$5000,"&gt;="&amp;$A123,Entries!$A$2:$A$5000,"&lt;"&amp;EDATE($A123,1),Entries!$B$2:$B$5000,AI$1))</f>
        <v/>
      </c>
      <c r="AJ123" s="23">
        <f>IF(OR(AJ$1="",$BM123=0),"",SUMIFS(Entries!$E$2:$E$5000,Entries!$C$2:$C$5000,"Actual",Entries!$A$2:$A$5000,"&gt;="&amp;$A123,Entries!$A$2:$A$5000,"&lt;"&amp;EDATE($A123,1),Entries!$B$2:$B$5000,AJ$1))</f>
        <v/>
      </c>
      <c r="AK123" s="23">
        <f>IF(OR(AK$1="",$BM123=0),"",SUMIFS(Entries!$E$2:$E$5000,Entries!$C$2:$C$5000,"Actual",Entries!$A$2:$A$5000,"&gt;="&amp;$A123,Entries!$A$2:$A$5000,"&lt;"&amp;EDATE($A123,1),Entries!$B$2:$B$5000,AK$1))</f>
        <v/>
      </c>
      <c r="AL123" s="23">
        <f>IF(OR(AL$1="",$BM123=0),"",SUMIFS(Entries!$E$2:$E$5000,Entries!$C$2:$C$5000,"Actual",Entries!$A$2:$A$5000,"&gt;="&amp;$A123,Entries!$A$2:$A$5000,"&lt;"&amp;EDATE($A123,1),Entries!$B$2:$B$5000,AL$1))</f>
        <v/>
      </c>
      <c r="AM123" s="23">
        <f>IF(OR(AM$1="",$BM123=0),"",SUMIFS(Entries!$E$2:$E$5000,Entries!$C$2:$C$5000,"Actual",Entries!$A$2:$A$5000,"&gt;="&amp;$A123,Entries!$A$2:$A$5000,"&lt;"&amp;EDATE($A123,1),Entries!$B$2:$B$5000,AM$1))</f>
        <v/>
      </c>
      <c r="AN123" s="23">
        <f>IF(OR(AN$1="",$BM123=0),"",SUMIFS(Entries!$E$2:$E$5000,Entries!$C$2:$C$5000,"Actual",Entries!$A$2:$A$5000,"&gt;="&amp;$A123,Entries!$A$2:$A$5000,"&lt;"&amp;EDATE($A123,1),Entries!$B$2:$B$5000,AN$1))</f>
        <v/>
      </c>
      <c r="AO123" s="23">
        <f>IF(OR(AO$1="",$BM123=0),"",SUMIFS(Entries!$E$2:$E$5000,Entries!$C$2:$C$5000,"Actual",Entries!$A$2:$A$5000,"&gt;="&amp;$A123,Entries!$A$2:$A$5000,"&lt;"&amp;EDATE($A123,1),Entries!$B$2:$B$5000,AO$1))</f>
        <v/>
      </c>
      <c r="AP123" s="23">
        <f>IF(OR(AP$1="",$BM123=0),"",SUMIFS(Entries!$E$2:$E$5000,Entries!$C$2:$C$5000,"Actual",Entries!$A$2:$A$5000,"&gt;="&amp;$A123,Entries!$A$2:$A$5000,"&lt;"&amp;EDATE($A123,1),Entries!$B$2:$B$5000,AP$1))</f>
        <v/>
      </c>
      <c r="AR123" s="23">
        <f>IF(OR(AR$1="",$BM123=0),"",IFERROR(LOOKUP(2,1/((Budgets!$A$2:$A$200=AR$1)*(Budgets!$B$2:$B$200&lt;EDATE($A123,1))),Budgets!$C$2:$C$200),0))</f>
        <v/>
      </c>
      <c r="AS123" s="23">
        <f>IF(OR(AS$1="",$BM123=0),"",IFERROR(LOOKUP(2,1/((Budgets!$A$2:$A$200=AS$1)*(Budgets!$B$2:$B$200&lt;EDATE($A123,1))),Budgets!$C$2:$C$200),0))</f>
        <v/>
      </c>
      <c r="AT123" s="23">
        <f>IF(OR(AT$1="",$BM123=0),"",IFERROR(LOOKUP(2,1/((Budgets!$A$2:$A$200=AT$1)*(Budgets!$B$2:$B$200&lt;EDATE($A123,1))),Budgets!$C$2:$C$200),0))</f>
        <v/>
      </c>
      <c r="AU123" s="23">
        <f>IF(OR(AU$1="",$BM123=0),"",IFERROR(LOOKUP(2,1/((Budgets!$A$2:$A$200=AU$1)*(Budgets!$B$2:$B$200&lt;EDATE($A123,1))),Budgets!$C$2:$C$200),0))</f>
        <v/>
      </c>
      <c r="AV123" s="23">
        <f>IF(OR(AV$1="",$BM123=0),"",IFERROR(LOOKUP(2,1/((Budgets!$A$2:$A$200=AV$1)*(Budgets!$B$2:$B$200&lt;EDATE($A123,1))),Budgets!$C$2:$C$200),0))</f>
        <v/>
      </c>
      <c r="AW123" s="23">
        <f>IF(OR(AW$1="",$BM123=0),"",IFERROR(LOOKUP(2,1/((Budgets!$A$2:$A$200=AW$1)*(Budgets!$B$2:$B$200&lt;EDATE($A123,1))),Budgets!$C$2:$C$200),0))</f>
        <v/>
      </c>
      <c r="AX123" s="23">
        <f>IF(OR(AX$1="",$BM123=0),"",IFERROR(LOOKUP(2,1/((Budgets!$A$2:$A$200=AX$1)*(Budgets!$B$2:$B$200&lt;EDATE($A123,1))),Budgets!$C$2:$C$200),0))</f>
        <v/>
      </c>
      <c r="AY123" s="23">
        <f>IF(OR(AY$1="",$BM123=0),"",IFERROR(LOOKUP(2,1/((Budgets!$A$2:$A$200=AY$1)*(Budgets!$B$2:$B$200&lt;EDATE($A123,1))),Budgets!$C$2:$C$200),0))</f>
        <v/>
      </c>
      <c r="AZ123" s="23">
        <f>IF(OR(AZ$1="",$BM123=0),"",IFERROR(LOOKUP(2,1/((Budgets!$A$2:$A$200=AZ$1)*(Budgets!$B$2:$B$200&lt;EDATE($A123,1))),Budgets!$C$2:$C$200),0))</f>
        <v/>
      </c>
      <c r="BA123" s="23">
        <f>IF(OR(BA$1="",$BM123=0),"",IFERROR(LOOKUP(2,1/((Budgets!$A$2:$A$200=BA$1)*(Budgets!$B$2:$B$200&lt;EDATE($A123,1))),Budgets!$C$2:$C$200),0))</f>
        <v/>
      </c>
      <c r="BB123" s="23">
        <f>IF(OR(BB$1="",$BM123=0),"",IFERROR(LOOKUP(2,1/((Budgets!$A$2:$A$200=BB$1)*(Budgets!$B$2:$B$200&lt;EDATE($A123,1))),Budgets!$C$2:$C$200),0))</f>
        <v/>
      </c>
      <c r="BC123" s="23">
        <f>IF(OR(BC$1="",$BM123=0),"",IFERROR(LOOKUP(2,1/((Budgets!$A$2:$A$200=BC$1)*(Budgets!$B$2:$B$200&lt;EDATE($A123,1))),Budgets!$C$2:$C$200),0))</f>
        <v/>
      </c>
      <c r="BD123" s="23">
        <f>IF(OR(BD$1="",$BM123=0),"",IFERROR(LOOKUP(2,1/((Budgets!$A$2:$A$200=BD$1)*(Budgets!$B$2:$B$200&lt;EDATE($A123,1))),Budgets!$C$2:$C$200),0))</f>
        <v/>
      </c>
      <c r="BE123" s="23">
        <f>IF(OR(BE$1="",$BM123=0),"",IFERROR(LOOKUP(2,1/((Budgets!$A$2:$A$200=BE$1)*(Budgets!$B$2:$B$200&lt;EDATE($A123,1))),Budgets!$C$2:$C$200),0))</f>
        <v/>
      </c>
      <c r="BF123" s="23">
        <f>IF(OR(BF$1="",$BM123=0),"",IFERROR(LOOKUP(2,1/((Budgets!$A$2:$A$200=BF$1)*(Budgets!$B$2:$B$200&lt;EDATE($A123,1))),Budgets!$C$2:$C$200),0))</f>
        <v/>
      </c>
      <c r="BG123" s="23">
        <f>IF(OR(BG$1="",$BM123=0),"",IFERROR(LOOKUP(2,1/((Budgets!$A$2:$A$200=BG$1)*(Budgets!$B$2:$B$200&lt;EDATE($A123,1))),Budgets!$C$2:$C$200),0))</f>
        <v/>
      </c>
      <c r="BH123" s="23">
        <f>IF(OR(BH$1="",$BM123=0),"",IFERROR(LOOKUP(2,1/((Budgets!$A$2:$A$200=BH$1)*(Budgets!$B$2:$B$200&lt;EDATE($A123,1))),Budgets!$C$2:$C$200),0))</f>
        <v/>
      </c>
      <c r="BI123" s="23">
        <f>IF(OR(BI$1="",$BM123=0),"",IFERROR(LOOKUP(2,1/((Budgets!$A$2:$A$200=BI$1)*(Budgets!$B$2:$B$200&lt;EDATE($A123,1))),Budgets!$C$2:$C$200),0))</f>
        <v/>
      </c>
      <c r="BJ123" s="23">
        <f>IF(OR(BJ$1="",$BM123=0),"",IFERROR(LOOKUP(2,1/((Budgets!$A$2:$A$200=BJ$1)*(Budgets!$B$2:$B$200&lt;EDATE($A123,1))),Budgets!$C$2:$C$200),0))</f>
        <v/>
      </c>
      <c r="BK123" s="23">
        <f>IF(OR(BK$1="",$BM123=0),"",IFERROR(LOOKUP(2,1/((Budgets!$A$2:$A$200=BK$1)*(Budgets!$B$2:$B$200&lt;EDATE($A123,1))),Budgets!$C$2:$C$200),0))</f>
        <v/>
      </c>
      <c r="BM123" s="21">
        <f>COUNTIFS(Entries!$A$2:$A$5000,"&gt;="&amp;$A123,Entries!$A$2:$A$5000,"&lt;"&amp;EDATE($A123,1))</f>
        <v/>
      </c>
    </row>
    <row r="124">
      <c r="A124" s="22" t="n">
        <v>43160</v>
      </c>
      <c r="B124" s="23">
        <f>IF($BM124=0,NA(),SUMIFS(Entries!$E$2:$E$5000,Entries!$C$2:$C$5000,"Income",Entries!$A$2:$A$5000,"&gt;="&amp;$A124,Entries!$A$2:$A$5000,"&lt;"&amp;EDATE($A124,1)))</f>
        <v/>
      </c>
      <c r="C124" s="23">
        <f>IF($BM124=0,"",SUMIFS(Entries!$E$2:$E$5000,Entries!$C$2:$C$5000,"Actual",Entries!$A$2:$A$5000,"&gt;="&amp;$A124,Entries!$A$2:$A$5000,"&lt;"&amp;EDATE($A124,1)))</f>
        <v/>
      </c>
      <c r="D124" s="23">
        <f>IF($BM124=0,"",SUMIFS(Entries!$E$2:$E$5000,Entries!$C$2:$C$5000,"One-off",Entries!$A$2:$A$5000,"&gt;="&amp;$A124,Entries!$A$2:$A$5000,"&lt;"&amp;EDATE($A124,1)))</f>
        <v/>
      </c>
      <c r="E124" s="23">
        <f>IF($BM124=0,NA(),C124+D124)</f>
        <v/>
      </c>
      <c r="F124" s="23">
        <f>IF($BM124=0,"",SUM(AR124:BK124))</f>
        <v/>
      </c>
      <c r="G124" s="23">
        <f>IF($BM124=0,"",B124-E124)</f>
        <v/>
      </c>
      <c r="H124" s="23">
        <f>IF($BM124=0,"",SUM($G$2:G124))</f>
        <v/>
      </c>
      <c r="I124" s="23">
        <f>IF($BM124=0,"",SUMIFS(Entries!$G$2:$G$5000,Entries!$A$2:$A$5000,"&gt;="&amp;$A124,Entries!$A$2:$A$5000,"&lt;"&amp;EDATE($A124,1)))</f>
        <v/>
      </c>
      <c r="J124" s="23">
        <f>IF($BM124=0,NA(),H124)</f>
        <v/>
      </c>
      <c r="K124" s="23">
        <f>IF($BM124=0,"",SUMIFS(Entries!$E$2:$E$5000,Entries!$C$2:$C$5000,"Income",Entries!$A$2:$A$5000,"&gt;="&amp;EDATE($A124,-11),Entries!$A$2:$A$5000,"&lt;"&amp;EDATE($A124,1))/COUNTIFS($A$2:$A$400,"&gt;="&amp;EDATE($A124,-11),$A$2:$A$400,"&lt;"&amp;EDATE($A124,1),$BM$2:$BM$400,"&gt;0"))</f>
      </c>
      <c r="L124" s="23">
        <f>IF($BM124=0,"",(SUMIFS(Entries!$E$2:$E$5000,Entries!$C$2:$C$5000,"Actual",Entries!$A$2:$A$5000,"&gt;="&amp;EDATE($A124,-11),Entries!$A$2:$A$5000,"&lt;"&amp;EDATE($A124,1))+SUMIFS(Entries!$E$2:$E$5000,Entries!$C$2:$C$5000,"One-off",Entries!$A$2:$A$5000,"&gt;="&amp;EDATE($A124,-11),Entries!$A$2:$A$5000,"&lt;"&amp;EDATE($A124,1)))/COUNTIFS($A$2:$A$400,"&gt;="&amp;EDATE($A124,-11),$A$2:$A$400,"&lt;"&amp;EDATE($A124,1),$BM$2:$BM$400,"&gt;0"))</f>
      </c>
      <c r="M124" s="24">
        <f>IF($BM124=0,NA(),IFERROR((K124-L124)/K124,0))</f>
        <v/>
      </c>
      <c r="N124" s="23">
        <f>IF($BM124=0,NA(),SUMIFS(Entries!$E$2:$E$5000,Entries!$D$2:$D$5000,"Core",Entries!$A$2:$A$5000,"&gt;="&amp;$A124,Entries!$A$2:$A$5000,"&lt;"&amp;EDATE($A124,1)))</f>
        <v/>
      </c>
      <c r="O124" s="23">
        <f>IF($BM124=0,NA(),SUMIFS(Entries!$E$2:$E$5000,Entries!$D$2:$D$5000,"Over &amp; above",Entries!$A$2:$A$5000,"&gt;="&amp;$A124,Entries!$A$2:$A$5000,"&lt;"&amp;EDATE($A124,1)))</f>
        <v/>
      </c>
      <c r="P124" s="23">
        <f>IF($BM124=0,NA(),SUMIFS(Entries!$E$2:$E$5000,Entries!$D$2:$D$5000,"One-off",Entries!$A$2:$A$5000,"&gt;="&amp;$A124,Entries!$A$2:$A$5000,"&lt;"&amp;EDATE($A124,1)))</f>
        <v/>
      </c>
      <c r="Q124" s="23">
        <f>IF($BM124=0,NA(),SUMIFS(Entries!$E$2:$E$5000,Entries!$D$2:$D$5000,"Reimbursable",Entries!$A$2:$A$5000,"&gt;="&amp;$A124,Entries!$A$2:$A$5000,"&lt;"&amp;EDATE($A124,1)))</f>
        <v/>
      </c>
      <c r="R124" s="23">
        <f>IF($BM124=0,NA(),SUMIFS(Entries!$E$2:$E$5000,Entries!$D$2:$D$5000,"Investment",Entries!$A$2:$A$5000,"&gt;="&amp;$A124,Entries!$A$2:$A$5000,"&lt;"&amp;EDATE($A124,1)))</f>
        <v/>
      </c>
      <c r="S124" s="23">
        <f>IF($BM124=0,NA(),N124+O124)</f>
        <v/>
      </c>
      <c r="T124" s="23">
        <f>IF($BM124=0,"",E124-Q124)</f>
        <v/>
      </c>
      <c r="W124" s="23">
        <f>IF(OR(W$1="",$BM124=0),"",SUMIFS(Entries!$E$2:$E$5000,Entries!$C$2:$C$5000,"Actual",Entries!$A$2:$A$5000,"&gt;="&amp;$A124,Entries!$A$2:$A$5000,"&lt;"&amp;EDATE($A124,1),Entries!$B$2:$B$5000,W$1))</f>
        <v/>
      </c>
      <c r="X124" s="23">
        <f>IF(OR(X$1="",$BM124=0),"",SUMIFS(Entries!$E$2:$E$5000,Entries!$C$2:$C$5000,"Actual",Entries!$A$2:$A$5000,"&gt;="&amp;$A124,Entries!$A$2:$A$5000,"&lt;"&amp;EDATE($A124,1),Entries!$B$2:$B$5000,X$1))</f>
        <v/>
      </c>
      <c r="Y124" s="23">
        <f>IF(OR(Y$1="",$BM124=0),"",SUMIFS(Entries!$E$2:$E$5000,Entries!$C$2:$C$5000,"Actual",Entries!$A$2:$A$5000,"&gt;="&amp;$A124,Entries!$A$2:$A$5000,"&lt;"&amp;EDATE($A124,1),Entries!$B$2:$B$5000,Y$1))</f>
        <v/>
      </c>
      <c r="Z124" s="23">
        <f>IF(OR(Z$1="",$BM124=0),"",SUMIFS(Entries!$E$2:$E$5000,Entries!$C$2:$C$5000,"Actual",Entries!$A$2:$A$5000,"&gt;="&amp;$A124,Entries!$A$2:$A$5000,"&lt;"&amp;EDATE($A124,1),Entries!$B$2:$B$5000,Z$1))</f>
        <v/>
      </c>
      <c r="AA124" s="23">
        <f>IF(OR(AA$1="",$BM124=0),"",SUMIFS(Entries!$E$2:$E$5000,Entries!$C$2:$C$5000,"Actual",Entries!$A$2:$A$5000,"&gt;="&amp;$A124,Entries!$A$2:$A$5000,"&lt;"&amp;EDATE($A124,1),Entries!$B$2:$B$5000,AA$1))</f>
        <v/>
      </c>
      <c r="AB124" s="23">
        <f>IF(OR(AB$1="",$BM124=0),"",SUMIFS(Entries!$E$2:$E$5000,Entries!$C$2:$C$5000,"Actual",Entries!$A$2:$A$5000,"&gt;="&amp;$A124,Entries!$A$2:$A$5000,"&lt;"&amp;EDATE($A124,1),Entries!$B$2:$B$5000,AB$1))</f>
        <v/>
      </c>
      <c r="AC124" s="23">
        <f>IF(OR(AC$1="",$BM124=0),"",SUMIFS(Entries!$E$2:$E$5000,Entries!$C$2:$C$5000,"Actual",Entries!$A$2:$A$5000,"&gt;="&amp;$A124,Entries!$A$2:$A$5000,"&lt;"&amp;EDATE($A124,1),Entries!$B$2:$B$5000,AC$1))</f>
        <v/>
      </c>
      <c r="AD124" s="23">
        <f>IF(OR(AD$1="",$BM124=0),"",SUMIFS(Entries!$E$2:$E$5000,Entries!$C$2:$C$5000,"Actual",Entries!$A$2:$A$5000,"&gt;="&amp;$A124,Entries!$A$2:$A$5000,"&lt;"&amp;EDATE($A124,1),Entries!$B$2:$B$5000,AD$1))</f>
        <v/>
      </c>
      <c r="AE124" s="23">
        <f>IF(OR(AE$1="",$BM124=0),"",SUMIFS(Entries!$E$2:$E$5000,Entries!$C$2:$C$5000,"Actual",Entries!$A$2:$A$5000,"&gt;="&amp;$A124,Entries!$A$2:$A$5000,"&lt;"&amp;EDATE($A124,1),Entries!$B$2:$B$5000,AE$1))</f>
        <v/>
      </c>
      <c r="AF124" s="23">
        <f>IF(OR(AF$1="",$BM124=0),"",SUMIFS(Entries!$E$2:$E$5000,Entries!$C$2:$C$5000,"Actual",Entries!$A$2:$A$5000,"&gt;="&amp;$A124,Entries!$A$2:$A$5000,"&lt;"&amp;EDATE($A124,1),Entries!$B$2:$B$5000,AF$1))</f>
        <v/>
      </c>
      <c r="AG124" s="23">
        <f>IF(OR(AG$1="",$BM124=0),"",SUMIFS(Entries!$E$2:$E$5000,Entries!$C$2:$C$5000,"Actual",Entries!$A$2:$A$5000,"&gt;="&amp;$A124,Entries!$A$2:$A$5000,"&lt;"&amp;EDATE($A124,1),Entries!$B$2:$B$5000,AG$1))</f>
        <v/>
      </c>
      <c r="AH124" s="23">
        <f>IF(OR(AH$1="",$BM124=0),"",SUMIFS(Entries!$E$2:$E$5000,Entries!$C$2:$C$5000,"Actual",Entries!$A$2:$A$5000,"&gt;="&amp;$A124,Entries!$A$2:$A$5000,"&lt;"&amp;EDATE($A124,1),Entries!$B$2:$B$5000,AH$1))</f>
        <v/>
      </c>
      <c r="AI124" s="23">
        <f>IF(OR(AI$1="",$BM124=0),"",SUMIFS(Entries!$E$2:$E$5000,Entries!$C$2:$C$5000,"Actual",Entries!$A$2:$A$5000,"&gt;="&amp;$A124,Entries!$A$2:$A$5000,"&lt;"&amp;EDATE($A124,1),Entries!$B$2:$B$5000,AI$1))</f>
        <v/>
      </c>
      <c r="AJ124" s="23">
        <f>IF(OR(AJ$1="",$BM124=0),"",SUMIFS(Entries!$E$2:$E$5000,Entries!$C$2:$C$5000,"Actual",Entries!$A$2:$A$5000,"&gt;="&amp;$A124,Entries!$A$2:$A$5000,"&lt;"&amp;EDATE($A124,1),Entries!$B$2:$B$5000,AJ$1))</f>
        <v/>
      </c>
      <c r="AK124" s="23">
        <f>IF(OR(AK$1="",$BM124=0),"",SUMIFS(Entries!$E$2:$E$5000,Entries!$C$2:$C$5000,"Actual",Entries!$A$2:$A$5000,"&gt;="&amp;$A124,Entries!$A$2:$A$5000,"&lt;"&amp;EDATE($A124,1),Entries!$B$2:$B$5000,AK$1))</f>
        <v/>
      </c>
      <c r="AL124" s="23">
        <f>IF(OR(AL$1="",$BM124=0),"",SUMIFS(Entries!$E$2:$E$5000,Entries!$C$2:$C$5000,"Actual",Entries!$A$2:$A$5000,"&gt;="&amp;$A124,Entries!$A$2:$A$5000,"&lt;"&amp;EDATE($A124,1),Entries!$B$2:$B$5000,AL$1))</f>
        <v/>
      </c>
      <c r="AM124" s="23">
        <f>IF(OR(AM$1="",$BM124=0),"",SUMIFS(Entries!$E$2:$E$5000,Entries!$C$2:$C$5000,"Actual",Entries!$A$2:$A$5000,"&gt;="&amp;$A124,Entries!$A$2:$A$5000,"&lt;"&amp;EDATE($A124,1),Entries!$B$2:$B$5000,AM$1))</f>
        <v/>
      </c>
      <c r="AN124" s="23">
        <f>IF(OR(AN$1="",$BM124=0),"",SUMIFS(Entries!$E$2:$E$5000,Entries!$C$2:$C$5000,"Actual",Entries!$A$2:$A$5000,"&gt;="&amp;$A124,Entries!$A$2:$A$5000,"&lt;"&amp;EDATE($A124,1),Entries!$B$2:$B$5000,AN$1))</f>
        <v/>
      </c>
      <c r="AO124" s="23">
        <f>IF(OR(AO$1="",$BM124=0),"",SUMIFS(Entries!$E$2:$E$5000,Entries!$C$2:$C$5000,"Actual",Entries!$A$2:$A$5000,"&gt;="&amp;$A124,Entries!$A$2:$A$5000,"&lt;"&amp;EDATE($A124,1),Entries!$B$2:$B$5000,AO$1))</f>
        <v/>
      </c>
      <c r="AP124" s="23">
        <f>IF(OR(AP$1="",$BM124=0),"",SUMIFS(Entries!$E$2:$E$5000,Entries!$C$2:$C$5000,"Actual",Entries!$A$2:$A$5000,"&gt;="&amp;$A124,Entries!$A$2:$A$5000,"&lt;"&amp;EDATE($A124,1),Entries!$B$2:$B$5000,AP$1))</f>
        <v/>
      </c>
      <c r="AR124" s="23">
        <f>IF(OR(AR$1="",$BM124=0),"",IFERROR(LOOKUP(2,1/((Budgets!$A$2:$A$200=AR$1)*(Budgets!$B$2:$B$200&lt;EDATE($A124,1))),Budgets!$C$2:$C$200),0))</f>
        <v/>
      </c>
      <c r="AS124" s="23">
        <f>IF(OR(AS$1="",$BM124=0),"",IFERROR(LOOKUP(2,1/((Budgets!$A$2:$A$200=AS$1)*(Budgets!$B$2:$B$200&lt;EDATE($A124,1))),Budgets!$C$2:$C$200),0))</f>
        <v/>
      </c>
      <c r="AT124" s="23">
        <f>IF(OR(AT$1="",$BM124=0),"",IFERROR(LOOKUP(2,1/((Budgets!$A$2:$A$200=AT$1)*(Budgets!$B$2:$B$200&lt;EDATE($A124,1))),Budgets!$C$2:$C$200),0))</f>
        <v/>
      </c>
      <c r="AU124" s="23">
        <f>IF(OR(AU$1="",$BM124=0),"",IFERROR(LOOKUP(2,1/((Budgets!$A$2:$A$200=AU$1)*(Budgets!$B$2:$B$200&lt;EDATE($A124,1))),Budgets!$C$2:$C$200),0))</f>
        <v/>
      </c>
      <c r="AV124" s="23">
        <f>IF(OR(AV$1="",$BM124=0),"",IFERROR(LOOKUP(2,1/((Budgets!$A$2:$A$200=AV$1)*(Budgets!$B$2:$B$200&lt;EDATE($A124,1))),Budgets!$C$2:$C$200),0))</f>
        <v/>
      </c>
      <c r="AW124" s="23">
        <f>IF(OR(AW$1="",$BM124=0),"",IFERROR(LOOKUP(2,1/((Budgets!$A$2:$A$200=AW$1)*(Budgets!$B$2:$B$200&lt;EDATE($A124,1))),Budgets!$C$2:$C$200),0))</f>
        <v/>
      </c>
      <c r="AX124" s="23">
        <f>IF(OR(AX$1="",$BM124=0),"",IFERROR(LOOKUP(2,1/((Budgets!$A$2:$A$200=AX$1)*(Budgets!$B$2:$B$200&lt;EDATE($A124,1))),Budgets!$C$2:$C$200),0))</f>
        <v/>
      </c>
      <c r="AY124" s="23">
        <f>IF(OR(AY$1="",$BM124=0),"",IFERROR(LOOKUP(2,1/((Budgets!$A$2:$A$200=AY$1)*(Budgets!$B$2:$B$200&lt;EDATE($A124,1))),Budgets!$C$2:$C$200),0))</f>
        <v/>
      </c>
      <c r="AZ124" s="23">
        <f>IF(OR(AZ$1="",$BM124=0),"",IFERROR(LOOKUP(2,1/((Budgets!$A$2:$A$200=AZ$1)*(Budgets!$B$2:$B$200&lt;EDATE($A124,1))),Budgets!$C$2:$C$200),0))</f>
        <v/>
      </c>
      <c r="BA124" s="23">
        <f>IF(OR(BA$1="",$BM124=0),"",IFERROR(LOOKUP(2,1/((Budgets!$A$2:$A$200=BA$1)*(Budgets!$B$2:$B$200&lt;EDATE($A124,1))),Budgets!$C$2:$C$200),0))</f>
        <v/>
      </c>
      <c r="BB124" s="23">
        <f>IF(OR(BB$1="",$BM124=0),"",IFERROR(LOOKUP(2,1/((Budgets!$A$2:$A$200=BB$1)*(Budgets!$B$2:$B$200&lt;EDATE($A124,1))),Budgets!$C$2:$C$200),0))</f>
        <v/>
      </c>
      <c r="BC124" s="23">
        <f>IF(OR(BC$1="",$BM124=0),"",IFERROR(LOOKUP(2,1/((Budgets!$A$2:$A$200=BC$1)*(Budgets!$B$2:$B$200&lt;EDATE($A124,1))),Budgets!$C$2:$C$200),0))</f>
        <v/>
      </c>
      <c r="BD124" s="23">
        <f>IF(OR(BD$1="",$BM124=0),"",IFERROR(LOOKUP(2,1/((Budgets!$A$2:$A$200=BD$1)*(Budgets!$B$2:$B$200&lt;EDATE($A124,1))),Budgets!$C$2:$C$200),0))</f>
        <v/>
      </c>
      <c r="BE124" s="23">
        <f>IF(OR(BE$1="",$BM124=0),"",IFERROR(LOOKUP(2,1/((Budgets!$A$2:$A$200=BE$1)*(Budgets!$B$2:$B$200&lt;EDATE($A124,1))),Budgets!$C$2:$C$200),0))</f>
        <v/>
      </c>
      <c r="BF124" s="23">
        <f>IF(OR(BF$1="",$BM124=0),"",IFERROR(LOOKUP(2,1/((Budgets!$A$2:$A$200=BF$1)*(Budgets!$B$2:$B$200&lt;EDATE($A124,1))),Budgets!$C$2:$C$200),0))</f>
        <v/>
      </c>
      <c r="BG124" s="23">
        <f>IF(OR(BG$1="",$BM124=0),"",IFERROR(LOOKUP(2,1/((Budgets!$A$2:$A$200=BG$1)*(Budgets!$B$2:$B$200&lt;EDATE($A124,1))),Budgets!$C$2:$C$200),0))</f>
        <v/>
      </c>
      <c r="BH124" s="23">
        <f>IF(OR(BH$1="",$BM124=0),"",IFERROR(LOOKUP(2,1/((Budgets!$A$2:$A$200=BH$1)*(Budgets!$B$2:$B$200&lt;EDATE($A124,1))),Budgets!$C$2:$C$200),0))</f>
        <v/>
      </c>
      <c r="BI124" s="23">
        <f>IF(OR(BI$1="",$BM124=0),"",IFERROR(LOOKUP(2,1/((Budgets!$A$2:$A$200=BI$1)*(Budgets!$B$2:$B$200&lt;EDATE($A124,1))),Budgets!$C$2:$C$200),0))</f>
        <v/>
      </c>
      <c r="BJ124" s="23">
        <f>IF(OR(BJ$1="",$BM124=0),"",IFERROR(LOOKUP(2,1/((Budgets!$A$2:$A$200=BJ$1)*(Budgets!$B$2:$B$200&lt;EDATE($A124,1))),Budgets!$C$2:$C$200),0))</f>
        <v/>
      </c>
      <c r="BK124" s="23">
        <f>IF(OR(BK$1="",$BM124=0),"",IFERROR(LOOKUP(2,1/((Budgets!$A$2:$A$200=BK$1)*(Budgets!$B$2:$B$200&lt;EDATE($A124,1))),Budgets!$C$2:$C$200),0))</f>
        <v/>
      </c>
      <c r="BM124" s="21">
        <f>COUNTIFS(Entries!$A$2:$A$5000,"&gt;="&amp;$A124,Entries!$A$2:$A$5000,"&lt;"&amp;EDATE($A124,1))</f>
        <v/>
      </c>
    </row>
    <row r="125">
      <c r="A125" s="22" t="n">
        <v>43191</v>
      </c>
      <c r="B125" s="23">
        <f>IF($BM125=0,NA(),SUMIFS(Entries!$E$2:$E$5000,Entries!$C$2:$C$5000,"Income",Entries!$A$2:$A$5000,"&gt;="&amp;$A125,Entries!$A$2:$A$5000,"&lt;"&amp;EDATE($A125,1)))</f>
        <v/>
      </c>
      <c r="C125" s="23">
        <f>IF($BM125=0,"",SUMIFS(Entries!$E$2:$E$5000,Entries!$C$2:$C$5000,"Actual",Entries!$A$2:$A$5000,"&gt;="&amp;$A125,Entries!$A$2:$A$5000,"&lt;"&amp;EDATE($A125,1)))</f>
        <v/>
      </c>
      <c r="D125" s="23">
        <f>IF($BM125=0,"",SUMIFS(Entries!$E$2:$E$5000,Entries!$C$2:$C$5000,"One-off",Entries!$A$2:$A$5000,"&gt;="&amp;$A125,Entries!$A$2:$A$5000,"&lt;"&amp;EDATE($A125,1)))</f>
        <v/>
      </c>
      <c r="E125" s="23">
        <f>IF($BM125=0,NA(),C125+D125)</f>
        <v/>
      </c>
      <c r="F125" s="23">
        <f>IF($BM125=0,"",SUM(AR125:BK125))</f>
        <v/>
      </c>
      <c r="G125" s="23">
        <f>IF($BM125=0,"",B125-E125)</f>
        <v/>
      </c>
      <c r="H125" s="23">
        <f>IF($BM125=0,"",SUM($G$2:G125))</f>
        <v/>
      </c>
      <c r="I125" s="23">
        <f>IF($BM125=0,"",SUMIFS(Entries!$G$2:$G$5000,Entries!$A$2:$A$5000,"&gt;="&amp;$A125,Entries!$A$2:$A$5000,"&lt;"&amp;EDATE($A125,1)))</f>
        <v/>
      </c>
      <c r="J125" s="23">
        <f>IF($BM125=0,NA(),H125)</f>
        <v/>
      </c>
      <c r="K125" s="23">
        <f>IF($BM125=0,"",SUMIFS(Entries!$E$2:$E$5000,Entries!$C$2:$C$5000,"Income",Entries!$A$2:$A$5000,"&gt;="&amp;EDATE($A125,-11),Entries!$A$2:$A$5000,"&lt;"&amp;EDATE($A125,1))/COUNTIFS($A$2:$A$400,"&gt;="&amp;EDATE($A125,-11),$A$2:$A$400,"&lt;"&amp;EDATE($A125,1),$BM$2:$BM$400,"&gt;0"))</f>
      </c>
      <c r="L125" s="23">
        <f>IF($BM125=0,"",(SUMIFS(Entries!$E$2:$E$5000,Entries!$C$2:$C$5000,"Actual",Entries!$A$2:$A$5000,"&gt;="&amp;EDATE($A125,-11),Entries!$A$2:$A$5000,"&lt;"&amp;EDATE($A125,1))+SUMIFS(Entries!$E$2:$E$5000,Entries!$C$2:$C$5000,"One-off",Entries!$A$2:$A$5000,"&gt;="&amp;EDATE($A125,-11),Entries!$A$2:$A$5000,"&lt;"&amp;EDATE($A125,1)))/COUNTIFS($A$2:$A$400,"&gt;="&amp;EDATE($A125,-11),$A$2:$A$400,"&lt;"&amp;EDATE($A125,1),$BM$2:$BM$400,"&gt;0"))</f>
      </c>
      <c r="M125" s="24">
        <f>IF($BM125=0,NA(),IFERROR((K125-L125)/K125,0))</f>
        <v/>
      </c>
      <c r="N125" s="23">
        <f>IF($BM125=0,NA(),SUMIFS(Entries!$E$2:$E$5000,Entries!$D$2:$D$5000,"Core",Entries!$A$2:$A$5000,"&gt;="&amp;$A125,Entries!$A$2:$A$5000,"&lt;"&amp;EDATE($A125,1)))</f>
        <v/>
      </c>
      <c r="O125" s="23">
        <f>IF($BM125=0,NA(),SUMIFS(Entries!$E$2:$E$5000,Entries!$D$2:$D$5000,"Over &amp; above",Entries!$A$2:$A$5000,"&gt;="&amp;$A125,Entries!$A$2:$A$5000,"&lt;"&amp;EDATE($A125,1)))</f>
        <v/>
      </c>
      <c r="P125" s="23">
        <f>IF($BM125=0,NA(),SUMIFS(Entries!$E$2:$E$5000,Entries!$D$2:$D$5000,"One-off",Entries!$A$2:$A$5000,"&gt;="&amp;$A125,Entries!$A$2:$A$5000,"&lt;"&amp;EDATE($A125,1)))</f>
        <v/>
      </c>
      <c r="Q125" s="23">
        <f>IF($BM125=0,NA(),SUMIFS(Entries!$E$2:$E$5000,Entries!$D$2:$D$5000,"Reimbursable",Entries!$A$2:$A$5000,"&gt;="&amp;$A125,Entries!$A$2:$A$5000,"&lt;"&amp;EDATE($A125,1)))</f>
        <v/>
      </c>
      <c r="R125" s="23">
        <f>IF($BM125=0,NA(),SUMIFS(Entries!$E$2:$E$5000,Entries!$D$2:$D$5000,"Investment",Entries!$A$2:$A$5000,"&gt;="&amp;$A125,Entries!$A$2:$A$5000,"&lt;"&amp;EDATE($A125,1)))</f>
        <v/>
      </c>
      <c r="S125" s="23">
        <f>IF($BM125=0,NA(),N125+O125)</f>
        <v/>
      </c>
      <c r="T125" s="23">
        <f>IF($BM125=0,"",E125-Q125)</f>
        <v/>
      </c>
      <c r="W125" s="23">
        <f>IF(OR(W$1="",$BM125=0),"",SUMIFS(Entries!$E$2:$E$5000,Entries!$C$2:$C$5000,"Actual",Entries!$A$2:$A$5000,"&gt;="&amp;$A125,Entries!$A$2:$A$5000,"&lt;"&amp;EDATE($A125,1),Entries!$B$2:$B$5000,W$1))</f>
        <v/>
      </c>
      <c r="X125" s="23">
        <f>IF(OR(X$1="",$BM125=0),"",SUMIFS(Entries!$E$2:$E$5000,Entries!$C$2:$C$5000,"Actual",Entries!$A$2:$A$5000,"&gt;="&amp;$A125,Entries!$A$2:$A$5000,"&lt;"&amp;EDATE($A125,1),Entries!$B$2:$B$5000,X$1))</f>
        <v/>
      </c>
      <c r="Y125" s="23">
        <f>IF(OR(Y$1="",$BM125=0),"",SUMIFS(Entries!$E$2:$E$5000,Entries!$C$2:$C$5000,"Actual",Entries!$A$2:$A$5000,"&gt;="&amp;$A125,Entries!$A$2:$A$5000,"&lt;"&amp;EDATE($A125,1),Entries!$B$2:$B$5000,Y$1))</f>
        <v/>
      </c>
      <c r="Z125" s="23">
        <f>IF(OR(Z$1="",$BM125=0),"",SUMIFS(Entries!$E$2:$E$5000,Entries!$C$2:$C$5000,"Actual",Entries!$A$2:$A$5000,"&gt;="&amp;$A125,Entries!$A$2:$A$5000,"&lt;"&amp;EDATE($A125,1),Entries!$B$2:$B$5000,Z$1))</f>
        <v/>
      </c>
      <c r="AA125" s="23">
        <f>IF(OR(AA$1="",$BM125=0),"",SUMIFS(Entries!$E$2:$E$5000,Entries!$C$2:$C$5000,"Actual",Entries!$A$2:$A$5000,"&gt;="&amp;$A125,Entries!$A$2:$A$5000,"&lt;"&amp;EDATE($A125,1),Entries!$B$2:$B$5000,AA$1))</f>
        <v/>
      </c>
      <c r="AB125" s="23">
        <f>IF(OR(AB$1="",$BM125=0),"",SUMIFS(Entries!$E$2:$E$5000,Entries!$C$2:$C$5000,"Actual",Entries!$A$2:$A$5000,"&gt;="&amp;$A125,Entries!$A$2:$A$5000,"&lt;"&amp;EDATE($A125,1),Entries!$B$2:$B$5000,AB$1))</f>
        <v/>
      </c>
      <c r="AC125" s="23">
        <f>IF(OR(AC$1="",$BM125=0),"",SUMIFS(Entries!$E$2:$E$5000,Entries!$C$2:$C$5000,"Actual",Entries!$A$2:$A$5000,"&gt;="&amp;$A125,Entries!$A$2:$A$5000,"&lt;"&amp;EDATE($A125,1),Entries!$B$2:$B$5000,AC$1))</f>
        <v/>
      </c>
      <c r="AD125" s="23">
        <f>IF(OR(AD$1="",$BM125=0),"",SUMIFS(Entries!$E$2:$E$5000,Entries!$C$2:$C$5000,"Actual",Entries!$A$2:$A$5000,"&gt;="&amp;$A125,Entries!$A$2:$A$5000,"&lt;"&amp;EDATE($A125,1),Entries!$B$2:$B$5000,AD$1))</f>
        <v/>
      </c>
      <c r="AE125" s="23">
        <f>IF(OR(AE$1="",$BM125=0),"",SUMIFS(Entries!$E$2:$E$5000,Entries!$C$2:$C$5000,"Actual",Entries!$A$2:$A$5000,"&gt;="&amp;$A125,Entries!$A$2:$A$5000,"&lt;"&amp;EDATE($A125,1),Entries!$B$2:$B$5000,AE$1))</f>
        <v/>
      </c>
      <c r="AF125" s="23">
        <f>IF(OR(AF$1="",$BM125=0),"",SUMIFS(Entries!$E$2:$E$5000,Entries!$C$2:$C$5000,"Actual",Entries!$A$2:$A$5000,"&gt;="&amp;$A125,Entries!$A$2:$A$5000,"&lt;"&amp;EDATE($A125,1),Entries!$B$2:$B$5000,AF$1))</f>
        <v/>
      </c>
      <c r="AG125" s="23">
        <f>IF(OR(AG$1="",$BM125=0),"",SUMIFS(Entries!$E$2:$E$5000,Entries!$C$2:$C$5000,"Actual",Entries!$A$2:$A$5000,"&gt;="&amp;$A125,Entries!$A$2:$A$5000,"&lt;"&amp;EDATE($A125,1),Entries!$B$2:$B$5000,AG$1))</f>
        <v/>
      </c>
      <c r="AH125" s="23">
        <f>IF(OR(AH$1="",$BM125=0),"",SUMIFS(Entries!$E$2:$E$5000,Entries!$C$2:$C$5000,"Actual",Entries!$A$2:$A$5000,"&gt;="&amp;$A125,Entries!$A$2:$A$5000,"&lt;"&amp;EDATE($A125,1),Entries!$B$2:$B$5000,AH$1))</f>
        <v/>
      </c>
      <c r="AI125" s="23">
        <f>IF(OR(AI$1="",$BM125=0),"",SUMIFS(Entries!$E$2:$E$5000,Entries!$C$2:$C$5000,"Actual",Entries!$A$2:$A$5000,"&gt;="&amp;$A125,Entries!$A$2:$A$5000,"&lt;"&amp;EDATE($A125,1),Entries!$B$2:$B$5000,AI$1))</f>
        <v/>
      </c>
      <c r="AJ125" s="23">
        <f>IF(OR(AJ$1="",$BM125=0),"",SUMIFS(Entries!$E$2:$E$5000,Entries!$C$2:$C$5000,"Actual",Entries!$A$2:$A$5000,"&gt;="&amp;$A125,Entries!$A$2:$A$5000,"&lt;"&amp;EDATE($A125,1),Entries!$B$2:$B$5000,AJ$1))</f>
        <v/>
      </c>
      <c r="AK125" s="23">
        <f>IF(OR(AK$1="",$BM125=0),"",SUMIFS(Entries!$E$2:$E$5000,Entries!$C$2:$C$5000,"Actual",Entries!$A$2:$A$5000,"&gt;="&amp;$A125,Entries!$A$2:$A$5000,"&lt;"&amp;EDATE($A125,1),Entries!$B$2:$B$5000,AK$1))</f>
        <v/>
      </c>
      <c r="AL125" s="23">
        <f>IF(OR(AL$1="",$BM125=0),"",SUMIFS(Entries!$E$2:$E$5000,Entries!$C$2:$C$5000,"Actual",Entries!$A$2:$A$5000,"&gt;="&amp;$A125,Entries!$A$2:$A$5000,"&lt;"&amp;EDATE($A125,1),Entries!$B$2:$B$5000,AL$1))</f>
        <v/>
      </c>
      <c r="AM125" s="23">
        <f>IF(OR(AM$1="",$BM125=0),"",SUMIFS(Entries!$E$2:$E$5000,Entries!$C$2:$C$5000,"Actual",Entries!$A$2:$A$5000,"&gt;="&amp;$A125,Entries!$A$2:$A$5000,"&lt;"&amp;EDATE($A125,1),Entries!$B$2:$B$5000,AM$1))</f>
        <v/>
      </c>
      <c r="AN125" s="23">
        <f>IF(OR(AN$1="",$BM125=0),"",SUMIFS(Entries!$E$2:$E$5000,Entries!$C$2:$C$5000,"Actual",Entries!$A$2:$A$5000,"&gt;="&amp;$A125,Entries!$A$2:$A$5000,"&lt;"&amp;EDATE($A125,1),Entries!$B$2:$B$5000,AN$1))</f>
        <v/>
      </c>
      <c r="AO125" s="23">
        <f>IF(OR(AO$1="",$BM125=0),"",SUMIFS(Entries!$E$2:$E$5000,Entries!$C$2:$C$5000,"Actual",Entries!$A$2:$A$5000,"&gt;="&amp;$A125,Entries!$A$2:$A$5000,"&lt;"&amp;EDATE($A125,1),Entries!$B$2:$B$5000,AO$1))</f>
        <v/>
      </c>
      <c r="AP125" s="23">
        <f>IF(OR(AP$1="",$BM125=0),"",SUMIFS(Entries!$E$2:$E$5000,Entries!$C$2:$C$5000,"Actual",Entries!$A$2:$A$5000,"&gt;="&amp;$A125,Entries!$A$2:$A$5000,"&lt;"&amp;EDATE($A125,1),Entries!$B$2:$B$5000,AP$1))</f>
        <v/>
      </c>
      <c r="AR125" s="23">
        <f>IF(OR(AR$1="",$BM125=0),"",IFERROR(LOOKUP(2,1/((Budgets!$A$2:$A$200=AR$1)*(Budgets!$B$2:$B$200&lt;EDATE($A125,1))),Budgets!$C$2:$C$200),0))</f>
        <v/>
      </c>
      <c r="AS125" s="23">
        <f>IF(OR(AS$1="",$BM125=0),"",IFERROR(LOOKUP(2,1/((Budgets!$A$2:$A$200=AS$1)*(Budgets!$B$2:$B$200&lt;EDATE($A125,1))),Budgets!$C$2:$C$200),0))</f>
        <v/>
      </c>
      <c r="AT125" s="23">
        <f>IF(OR(AT$1="",$BM125=0),"",IFERROR(LOOKUP(2,1/((Budgets!$A$2:$A$200=AT$1)*(Budgets!$B$2:$B$200&lt;EDATE($A125,1))),Budgets!$C$2:$C$200),0))</f>
        <v/>
      </c>
      <c r="AU125" s="23">
        <f>IF(OR(AU$1="",$BM125=0),"",IFERROR(LOOKUP(2,1/((Budgets!$A$2:$A$200=AU$1)*(Budgets!$B$2:$B$200&lt;EDATE($A125,1))),Budgets!$C$2:$C$200),0))</f>
        <v/>
      </c>
      <c r="AV125" s="23">
        <f>IF(OR(AV$1="",$BM125=0),"",IFERROR(LOOKUP(2,1/((Budgets!$A$2:$A$200=AV$1)*(Budgets!$B$2:$B$200&lt;EDATE($A125,1))),Budgets!$C$2:$C$200),0))</f>
        <v/>
      </c>
      <c r="AW125" s="23">
        <f>IF(OR(AW$1="",$BM125=0),"",IFERROR(LOOKUP(2,1/((Budgets!$A$2:$A$200=AW$1)*(Budgets!$B$2:$B$200&lt;EDATE($A125,1))),Budgets!$C$2:$C$200),0))</f>
        <v/>
      </c>
      <c r="AX125" s="23">
        <f>IF(OR(AX$1="",$BM125=0),"",IFERROR(LOOKUP(2,1/((Budgets!$A$2:$A$200=AX$1)*(Budgets!$B$2:$B$200&lt;EDATE($A125,1))),Budgets!$C$2:$C$200),0))</f>
        <v/>
      </c>
      <c r="AY125" s="23">
        <f>IF(OR(AY$1="",$BM125=0),"",IFERROR(LOOKUP(2,1/((Budgets!$A$2:$A$200=AY$1)*(Budgets!$B$2:$B$200&lt;EDATE($A125,1))),Budgets!$C$2:$C$200),0))</f>
        <v/>
      </c>
      <c r="AZ125" s="23">
        <f>IF(OR(AZ$1="",$BM125=0),"",IFERROR(LOOKUP(2,1/((Budgets!$A$2:$A$200=AZ$1)*(Budgets!$B$2:$B$200&lt;EDATE($A125,1))),Budgets!$C$2:$C$200),0))</f>
        <v/>
      </c>
      <c r="BA125" s="23">
        <f>IF(OR(BA$1="",$BM125=0),"",IFERROR(LOOKUP(2,1/((Budgets!$A$2:$A$200=BA$1)*(Budgets!$B$2:$B$200&lt;EDATE($A125,1))),Budgets!$C$2:$C$200),0))</f>
        <v/>
      </c>
      <c r="BB125" s="23">
        <f>IF(OR(BB$1="",$BM125=0),"",IFERROR(LOOKUP(2,1/((Budgets!$A$2:$A$200=BB$1)*(Budgets!$B$2:$B$200&lt;EDATE($A125,1))),Budgets!$C$2:$C$200),0))</f>
        <v/>
      </c>
      <c r="BC125" s="23">
        <f>IF(OR(BC$1="",$BM125=0),"",IFERROR(LOOKUP(2,1/((Budgets!$A$2:$A$200=BC$1)*(Budgets!$B$2:$B$200&lt;EDATE($A125,1))),Budgets!$C$2:$C$200),0))</f>
        <v/>
      </c>
      <c r="BD125" s="23">
        <f>IF(OR(BD$1="",$BM125=0),"",IFERROR(LOOKUP(2,1/((Budgets!$A$2:$A$200=BD$1)*(Budgets!$B$2:$B$200&lt;EDATE($A125,1))),Budgets!$C$2:$C$200),0))</f>
        <v/>
      </c>
      <c r="BE125" s="23">
        <f>IF(OR(BE$1="",$BM125=0),"",IFERROR(LOOKUP(2,1/((Budgets!$A$2:$A$200=BE$1)*(Budgets!$B$2:$B$200&lt;EDATE($A125,1))),Budgets!$C$2:$C$200),0))</f>
        <v/>
      </c>
      <c r="BF125" s="23">
        <f>IF(OR(BF$1="",$BM125=0),"",IFERROR(LOOKUP(2,1/((Budgets!$A$2:$A$200=BF$1)*(Budgets!$B$2:$B$200&lt;EDATE($A125,1))),Budgets!$C$2:$C$200),0))</f>
        <v/>
      </c>
      <c r="BG125" s="23">
        <f>IF(OR(BG$1="",$BM125=0),"",IFERROR(LOOKUP(2,1/((Budgets!$A$2:$A$200=BG$1)*(Budgets!$B$2:$B$200&lt;EDATE($A125,1))),Budgets!$C$2:$C$200),0))</f>
        <v/>
      </c>
      <c r="BH125" s="23">
        <f>IF(OR(BH$1="",$BM125=0),"",IFERROR(LOOKUP(2,1/((Budgets!$A$2:$A$200=BH$1)*(Budgets!$B$2:$B$200&lt;EDATE($A125,1))),Budgets!$C$2:$C$200),0))</f>
        <v/>
      </c>
      <c r="BI125" s="23">
        <f>IF(OR(BI$1="",$BM125=0),"",IFERROR(LOOKUP(2,1/((Budgets!$A$2:$A$200=BI$1)*(Budgets!$B$2:$B$200&lt;EDATE($A125,1))),Budgets!$C$2:$C$200),0))</f>
        <v/>
      </c>
      <c r="BJ125" s="23">
        <f>IF(OR(BJ$1="",$BM125=0),"",IFERROR(LOOKUP(2,1/((Budgets!$A$2:$A$200=BJ$1)*(Budgets!$B$2:$B$200&lt;EDATE($A125,1))),Budgets!$C$2:$C$200),0))</f>
        <v/>
      </c>
      <c r="BK125" s="23">
        <f>IF(OR(BK$1="",$BM125=0),"",IFERROR(LOOKUP(2,1/((Budgets!$A$2:$A$200=BK$1)*(Budgets!$B$2:$B$200&lt;EDATE($A125,1))),Budgets!$C$2:$C$200),0))</f>
        <v/>
      </c>
      <c r="BM125" s="21">
        <f>COUNTIFS(Entries!$A$2:$A$5000,"&gt;="&amp;$A125,Entries!$A$2:$A$5000,"&lt;"&amp;EDATE($A125,1))</f>
        <v/>
      </c>
    </row>
    <row r="126">
      <c r="A126" s="22" t="n">
        <v>43221</v>
      </c>
      <c r="B126" s="23">
        <f>IF($BM126=0,NA(),SUMIFS(Entries!$E$2:$E$5000,Entries!$C$2:$C$5000,"Income",Entries!$A$2:$A$5000,"&gt;="&amp;$A126,Entries!$A$2:$A$5000,"&lt;"&amp;EDATE($A126,1)))</f>
        <v/>
      </c>
      <c r="C126" s="23">
        <f>IF($BM126=0,"",SUMIFS(Entries!$E$2:$E$5000,Entries!$C$2:$C$5000,"Actual",Entries!$A$2:$A$5000,"&gt;="&amp;$A126,Entries!$A$2:$A$5000,"&lt;"&amp;EDATE($A126,1)))</f>
        <v/>
      </c>
      <c r="D126" s="23">
        <f>IF($BM126=0,"",SUMIFS(Entries!$E$2:$E$5000,Entries!$C$2:$C$5000,"One-off",Entries!$A$2:$A$5000,"&gt;="&amp;$A126,Entries!$A$2:$A$5000,"&lt;"&amp;EDATE($A126,1)))</f>
        <v/>
      </c>
      <c r="E126" s="23">
        <f>IF($BM126=0,NA(),C126+D126)</f>
        <v/>
      </c>
      <c r="F126" s="23">
        <f>IF($BM126=0,"",SUM(AR126:BK126))</f>
        <v/>
      </c>
      <c r="G126" s="23">
        <f>IF($BM126=0,"",B126-E126)</f>
        <v/>
      </c>
      <c r="H126" s="23">
        <f>IF($BM126=0,"",SUM($G$2:G126))</f>
        <v/>
      </c>
      <c r="I126" s="23">
        <f>IF($BM126=0,"",SUMIFS(Entries!$G$2:$G$5000,Entries!$A$2:$A$5000,"&gt;="&amp;$A126,Entries!$A$2:$A$5000,"&lt;"&amp;EDATE($A126,1)))</f>
        <v/>
      </c>
      <c r="J126" s="23">
        <f>IF($BM126=0,NA(),H126)</f>
        <v/>
      </c>
      <c r="K126" s="23">
        <f>IF($BM126=0,"",SUMIFS(Entries!$E$2:$E$5000,Entries!$C$2:$C$5000,"Income",Entries!$A$2:$A$5000,"&gt;="&amp;EDATE($A126,-11),Entries!$A$2:$A$5000,"&lt;"&amp;EDATE($A126,1))/COUNTIFS($A$2:$A$400,"&gt;="&amp;EDATE($A126,-11),$A$2:$A$400,"&lt;"&amp;EDATE($A126,1),$BM$2:$BM$400,"&gt;0"))</f>
      </c>
      <c r="L126" s="23">
        <f>IF($BM126=0,"",(SUMIFS(Entries!$E$2:$E$5000,Entries!$C$2:$C$5000,"Actual",Entries!$A$2:$A$5000,"&gt;="&amp;EDATE($A126,-11),Entries!$A$2:$A$5000,"&lt;"&amp;EDATE($A126,1))+SUMIFS(Entries!$E$2:$E$5000,Entries!$C$2:$C$5000,"One-off",Entries!$A$2:$A$5000,"&gt;="&amp;EDATE($A126,-11),Entries!$A$2:$A$5000,"&lt;"&amp;EDATE($A126,1)))/COUNTIFS($A$2:$A$400,"&gt;="&amp;EDATE($A126,-11),$A$2:$A$400,"&lt;"&amp;EDATE($A126,1),$BM$2:$BM$400,"&gt;0"))</f>
      </c>
      <c r="M126" s="24">
        <f>IF($BM126=0,NA(),IFERROR((K126-L126)/K126,0))</f>
        <v/>
      </c>
      <c r="N126" s="23">
        <f>IF($BM126=0,NA(),SUMIFS(Entries!$E$2:$E$5000,Entries!$D$2:$D$5000,"Core",Entries!$A$2:$A$5000,"&gt;="&amp;$A126,Entries!$A$2:$A$5000,"&lt;"&amp;EDATE($A126,1)))</f>
        <v/>
      </c>
      <c r="O126" s="23">
        <f>IF($BM126=0,NA(),SUMIFS(Entries!$E$2:$E$5000,Entries!$D$2:$D$5000,"Over &amp; above",Entries!$A$2:$A$5000,"&gt;="&amp;$A126,Entries!$A$2:$A$5000,"&lt;"&amp;EDATE($A126,1)))</f>
        <v/>
      </c>
      <c r="P126" s="23">
        <f>IF($BM126=0,NA(),SUMIFS(Entries!$E$2:$E$5000,Entries!$D$2:$D$5000,"One-off",Entries!$A$2:$A$5000,"&gt;="&amp;$A126,Entries!$A$2:$A$5000,"&lt;"&amp;EDATE($A126,1)))</f>
        <v/>
      </c>
      <c r="Q126" s="23">
        <f>IF($BM126=0,NA(),SUMIFS(Entries!$E$2:$E$5000,Entries!$D$2:$D$5000,"Reimbursable",Entries!$A$2:$A$5000,"&gt;="&amp;$A126,Entries!$A$2:$A$5000,"&lt;"&amp;EDATE($A126,1)))</f>
        <v/>
      </c>
      <c r="R126" s="23">
        <f>IF($BM126=0,NA(),SUMIFS(Entries!$E$2:$E$5000,Entries!$D$2:$D$5000,"Investment",Entries!$A$2:$A$5000,"&gt;="&amp;$A126,Entries!$A$2:$A$5000,"&lt;"&amp;EDATE($A126,1)))</f>
        <v/>
      </c>
      <c r="S126" s="23">
        <f>IF($BM126=0,NA(),N126+O126)</f>
        <v/>
      </c>
      <c r="T126" s="23">
        <f>IF($BM126=0,"",E126-Q126)</f>
        <v/>
      </c>
      <c r="W126" s="23">
        <f>IF(OR(W$1="",$BM126=0),"",SUMIFS(Entries!$E$2:$E$5000,Entries!$C$2:$C$5000,"Actual",Entries!$A$2:$A$5000,"&gt;="&amp;$A126,Entries!$A$2:$A$5000,"&lt;"&amp;EDATE($A126,1),Entries!$B$2:$B$5000,W$1))</f>
        <v/>
      </c>
      <c r="X126" s="23">
        <f>IF(OR(X$1="",$BM126=0),"",SUMIFS(Entries!$E$2:$E$5000,Entries!$C$2:$C$5000,"Actual",Entries!$A$2:$A$5000,"&gt;="&amp;$A126,Entries!$A$2:$A$5000,"&lt;"&amp;EDATE($A126,1),Entries!$B$2:$B$5000,X$1))</f>
        <v/>
      </c>
      <c r="Y126" s="23">
        <f>IF(OR(Y$1="",$BM126=0),"",SUMIFS(Entries!$E$2:$E$5000,Entries!$C$2:$C$5000,"Actual",Entries!$A$2:$A$5000,"&gt;="&amp;$A126,Entries!$A$2:$A$5000,"&lt;"&amp;EDATE($A126,1),Entries!$B$2:$B$5000,Y$1))</f>
        <v/>
      </c>
      <c r="Z126" s="23">
        <f>IF(OR(Z$1="",$BM126=0),"",SUMIFS(Entries!$E$2:$E$5000,Entries!$C$2:$C$5000,"Actual",Entries!$A$2:$A$5000,"&gt;="&amp;$A126,Entries!$A$2:$A$5000,"&lt;"&amp;EDATE($A126,1),Entries!$B$2:$B$5000,Z$1))</f>
        <v/>
      </c>
      <c r="AA126" s="23">
        <f>IF(OR(AA$1="",$BM126=0),"",SUMIFS(Entries!$E$2:$E$5000,Entries!$C$2:$C$5000,"Actual",Entries!$A$2:$A$5000,"&gt;="&amp;$A126,Entries!$A$2:$A$5000,"&lt;"&amp;EDATE($A126,1),Entries!$B$2:$B$5000,AA$1))</f>
        <v/>
      </c>
      <c r="AB126" s="23">
        <f>IF(OR(AB$1="",$BM126=0),"",SUMIFS(Entries!$E$2:$E$5000,Entries!$C$2:$C$5000,"Actual",Entries!$A$2:$A$5000,"&gt;="&amp;$A126,Entries!$A$2:$A$5000,"&lt;"&amp;EDATE($A126,1),Entries!$B$2:$B$5000,AB$1))</f>
        <v/>
      </c>
      <c r="AC126" s="23">
        <f>IF(OR(AC$1="",$BM126=0),"",SUMIFS(Entries!$E$2:$E$5000,Entries!$C$2:$C$5000,"Actual",Entries!$A$2:$A$5000,"&gt;="&amp;$A126,Entries!$A$2:$A$5000,"&lt;"&amp;EDATE($A126,1),Entries!$B$2:$B$5000,AC$1))</f>
        <v/>
      </c>
      <c r="AD126" s="23">
        <f>IF(OR(AD$1="",$BM126=0),"",SUMIFS(Entries!$E$2:$E$5000,Entries!$C$2:$C$5000,"Actual",Entries!$A$2:$A$5000,"&gt;="&amp;$A126,Entries!$A$2:$A$5000,"&lt;"&amp;EDATE($A126,1),Entries!$B$2:$B$5000,AD$1))</f>
        <v/>
      </c>
      <c r="AE126" s="23">
        <f>IF(OR(AE$1="",$BM126=0),"",SUMIFS(Entries!$E$2:$E$5000,Entries!$C$2:$C$5000,"Actual",Entries!$A$2:$A$5000,"&gt;="&amp;$A126,Entries!$A$2:$A$5000,"&lt;"&amp;EDATE($A126,1),Entries!$B$2:$B$5000,AE$1))</f>
        <v/>
      </c>
      <c r="AF126" s="23">
        <f>IF(OR(AF$1="",$BM126=0),"",SUMIFS(Entries!$E$2:$E$5000,Entries!$C$2:$C$5000,"Actual",Entries!$A$2:$A$5000,"&gt;="&amp;$A126,Entries!$A$2:$A$5000,"&lt;"&amp;EDATE($A126,1),Entries!$B$2:$B$5000,AF$1))</f>
        <v/>
      </c>
      <c r="AG126" s="23">
        <f>IF(OR(AG$1="",$BM126=0),"",SUMIFS(Entries!$E$2:$E$5000,Entries!$C$2:$C$5000,"Actual",Entries!$A$2:$A$5000,"&gt;="&amp;$A126,Entries!$A$2:$A$5000,"&lt;"&amp;EDATE($A126,1),Entries!$B$2:$B$5000,AG$1))</f>
        <v/>
      </c>
      <c r="AH126" s="23">
        <f>IF(OR(AH$1="",$BM126=0),"",SUMIFS(Entries!$E$2:$E$5000,Entries!$C$2:$C$5000,"Actual",Entries!$A$2:$A$5000,"&gt;="&amp;$A126,Entries!$A$2:$A$5000,"&lt;"&amp;EDATE($A126,1),Entries!$B$2:$B$5000,AH$1))</f>
        <v/>
      </c>
      <c r="AI126" s="23">
        <f>IF(OR(AI$1="",$BM126=0),"",SUMIFS(Entries!$E$2:$E$5000,Entries!$C$2:$C$5000,"Actual",Entries!$A$2:$A$5000,"&gt;="&amp;$A126,Entries!$A$2:$A$5000,"&lt;"&amp;EDATE($A126,1),Entries!$B$2:$B$5000,AI$1))</f>
        <v/>
      </c>
      <c r="AJ126" s="23">
        <f>IF(OR(AJ$1="",$BM126=0),"",SUMIFS(Entries!$E$2:$E$5000,Entries!$C$2:$C$5000,"Actual",Entries!$A$2:$A$5000,"&gt;="&amp;$A126,Entries!$A$2:$A$5000,"&lt;"&amp;EDATE($A126,1),Entries!$B$2:$B$5000,AJ$1))</f>
        <v/>
      </c>
      <c r="AK126" s="23">
        <f>IF(OR(AK$1="",$BM126=0),"",SUMIFS(Entries!$E$2:$E$5000,Entries!$C$2:$C$5000,"Actual",Entries!$A$2:$A$5000,"&gt;="&amp;$A126,Entries!$A$2:$A$5000,"&lt;"&amp;EDATE($A126,1),Entries!$B$2:$B$5000,AK$1))</f>
        <v/>
      </c>
      <c r="AL126" s="23">
        <f>IF(OR(AL$1="",$BM126=0),"",SUMIFS(Entries!$E$2:$E$5000,Entries!$C$2:$C$5000,"Actual",Entries!$A$2:$A$5000,"&gt;="&amp;$A126,Entries!$A$2:$A$5000,"&lt;"&amp;EDATE($A126,1),Entries!$B$2:$B$5000,AL$1))</f>
        <v/>
      </c>
      <c r="AM126" s="23">
        <f>IF(OR(AM$1="",$BM126=0),"",SUMIFS(Entries!$E$2:$E$5000,Entries!$C$2:$C$5000,"Actual",Entries!$A$2:$A$5000,"&gt;="&amp;$A126,Entries!$A$2:$A$5000,"&lt;"&amp;EDATE($A126,1),Entries!$B$2:$B$5000,AM$1))</f>
        <v/>
      </c>
      <c r="AN126" s="23">
        <f>IF(OR(AN$1="",$BM126=0),"",SUMIFS(Entries!$E$2:$E$5000,Entries!$C$2:$C$5000,"Actual",Entries!$A$2:$A$5000,"&gt;="&amp;$A126,Entries!$A$2:$A$5000,"&lt;"&amp;EDATE($A126,1),Entries!$B$2:$B$5000,AN$1))</f>
        <v/>
      </c>
      <c r="AO126" s="23">
        <f>IF(OR(AO$1="",$BM126=0),"",SUMIFS(Entries!$E$2:$E$5000,Entries!$C$2:$C$5000,"Actual",Entries!$A$2:$A$5000,"&gt;="&amp;$A126,Entries!$A$2:$A$5000,"&lt;"&amp;EDATE($A126,1),Entries!$B$2:$B$5000,AO$1))</f>
        <v/>
      </c>
      <c r="AP126" s="23">
        <f>IF(OR(AP$1="",$BM126=0),"",SUMIFS(Entries!$E$2:$E$5000,Entries!$C$2:$C$5000,"Actual",Entries!$A$2:$A$5000,"&gt;="&amp;$A126,Entries!$A$2:$A$5000,"&lt;"&amp;EDATE($A126,1),Entries!$B$2:$B$5000,AP$1))</f>
        <v/>
      </c>
      <c r="AR126" s="23">
        <f>IF(OR(AR$1="",$BM126=0),"",IFERROR(LOOKUP(2,1/((Budgets!$A$2:$A$200=AR$1)*(Budgets!$B$2:$B$200&lt;EDATE($A126,1))),Budgets!$C$2:$C$200),0))</f>
        <v/>
      </c>
      <c r="AS126" s="23">
        <f>IF(OR(AS$1="",$BM126=0),"",IFERROR(LOOKUP(2,1/((Budgets!$A$2:$A$200=AS$1)*(Budgets!$B$2:$B$200&lt;EDATE($A126,1))),Budgets!$C$2:$C$200),0))</f>
        <v/>
      </c>
      <c r="AT126" s="23">
        <f>IF(OR(AT$1="",$BM126=0),"",IFERROR(LOOKUP(2,1/((Budgets!$A$2:$A$200=AT$1)*(Budgets!$B$2:$B$200&lt;EDATE($A126,1))),Budgets!$C$2:$C$200),0))</f>
        <v/>
      </c>
      <c r="AU126" s="23">
        <f>IF(OR(AU$1="",$BM126=0),"",IFERROR(LOOKUP(2,1/((Budgets!$A$2:$A$200=AU$1)*(Budgets!$B$2:$B$200&lt;EDATE($A126,1))),Budgets!$C$2:$C$200),0))</f>
        <v/>
      </c>
      <c r="AV126" s="23">
        <f>IF(OR(AV$1="",$BM126=0),"",IFERROR(LOOKUP(2,1/((Budgets!$A$2:$A$200=AV$1)*(Budgets!$B$2:$B$200&lt;EDATE($A126,1))),Budgets!$C$2:$C$200),0))</f>
        <v/>
      </c>
      <c r="AW126" s="23">
        <f>IF(OR(AW$1="",$BM126=0),"",IFERROR(LOOKUP(2,1/((Budgets!$A$2:$A$200=AW$1)*(Budgets!$B$2:$B$200&lt;EDATE($A126,1))),Budgets!$C$2:$C$200),0))</f>
        <v/>
      </c>
      <c r="AX126" s="23">
        <f>IF(OR(AX$1="",$BM126=0),"",IFERROR(LOOKUP(2,1/((Budgets!$A$2:$A$200=AX$1)*(Budgets!$B$2:$B$200&lt;EDATE($A126,1))),Budgets!$C$2:$C$200),0))</f>
        <v/>
      </c>
      <c r="AY126" s="23">
        <f>IF(OR(AY$1="",$BM126=0),"",IFERROR(LOOKUP(2,1/((Budgets!$A$2:$A$200=AY$1)*(Budgets!$B$2:$B$200&lt;EDATE($A126,1))),Budgets!$C$2:$C$200),0))</f>
        <v/>
      </c>
      <c r="AZ126" s="23">
        <f>IF(OR(AZ$1="",$BM126=0),"",IFERROR(LOOKUP(2,1/((Budgets!$A$2:$A$200=AZ$1)*(Budgets!$B$2:$B$200&lt;EDATE($A126,1))),Budgets!$C$2:$C$200),0))</f>
        <v/>
      </c>
      <c r="BA126" s="23">
        <f>IF(OR(BA$1="",$BM126=0),"",IFERROR(LOOKUP(2,1/((Budgets!$A$2:$A$200=BA$1)*(Budgets!$B$2:$B$200&lt;EDATE($A126,1))),Budgets!$C$2:$C$200),0))</f>
        <v/>
      </c>
      <c r="BB126" s="23">
        <f>IF(OR(BB$1="",$BM126=0),"",IFERROR(LOOKUP(2,1/((Budgets!$A$2:$A$200=BB$1)*(Budgets!$B$2:$B$200&lt;EDATE($A126,1))),Budgets!$C$2:$C$200),0))</f>
        <v/>
      </c>
      <c r="BC126" s="23">
        <f>IF(OR(BC$1="",$BM126=0),"",IFERROR(LOOKUP(2,1/((Budgets!$A$2:$A$200=BC$1)*(Budgets!$B$2:$B$200&lt;EDATE($A126,1))),Budgets!$C$2:$C$200),0))</f>
        <v/>
      </c>
      <c r="BD126" s="23">
        <f>IF(OR(BD$1="",$BM126=0),"",IFERROR(LOOKUP(2,1/((Budgets!$A$2:$A$200=BD$1)*(Budgets!$B$2:$B$200&lt;EDATE($A126,1))),Budgets!$C$2:$C$200),0))</f>
        <v/>
      </c>
      <c r="BE126" s="23">
        <f>IF(OR(BE$1="",$BM126=0),"",IFERROR(LOOKUP(2,1/((Budgets!$A$2:$A$200=BE$1)*(Budgets!$B$2:$B$200&lt;EDATE($A126,1))),Budgets!$C$2:$C$200),0))</f>
        <v/>
      </c>
      <c r="BF126" s="23">
        <f>IF(OR(BF$1="",$BM126=0),"",IFERROR(LOOKUP(2,1/((Budgets!$A$2:$A$200=BF$1)*(Budgets!$B$2:$B$200&lt;EDATE($A126,1))),Budgets!$C$2:$C$200),0))</f>
        <v/>
      </c>
      <c r="BG126" s="23">
        <f>IF(OR(BG$1="",$BM126=0),"",IFERROR(LOOKUP(2,1/((Budgets!$A$2:$A$200=BG$1)*(Budgets!$B$2:$B$200&lt;EDATE($A126,1))),Budgets!$C$2:$C$200),0))</f>
        <v/>
      </c>
      <c r="BH126" s="23">
        <f>IF(OR(BH$1="",$BM126=0),"",IFERROR(LOOKUP(2,1/((Budgets!$A$2:$A$200=BH$1)*(Budgets!$B$2:$B$200&lt;EDATE($A126,1))),Budgets!$C$2:$C$200),0))</f>
        <v/>
      </c>
      <c r="BI126" s="23">
        <f>IF(OR(BI$1="",$BM126=0),"",IFERROR(LOOKUP(2,1/((Budgets!$A$2:$A$200=BI$1)*(Budgets!$B$2:$B$200&lt;EDATE($A126,1))),Budgets!$C$2:$C$200),0))</f>
        <v/>
      </c>
      <c r="BJ126" s="23">
        <f>IF(OR(BJ$1="",$BM126=0),"",IFERROR(LOOKUP(2,1/((Budgets!$A$2:$A$200=BJ$1)*(Budgets!$B$2:$B$200&lt;EDATE($A126,1))),Budgets!$C$2:$C$200),0))</f>
        <v/>
      </c>
      <c r="BK126" s="23">
        <f>IF(OR(BK$1="",$BM126=0),"",IFERROR(LOOKUP(2,1/((Budgets!$A$2:$A$200=BK$1)*(Budgets!$B$2:$B$200&lt;EDATE($A126,1))),Budgets!$C$2:$C$200),0))</f>
        <v/>
      </c>
      <c r="BM126" s="21">
        <f>COUNTIFS(Entries!$A$2:$A$5000,"&gt;="&amp;$A126,Entries!$A$2:$A$5000,"&lt;"&amp;EDATE($A126,1))</f>
        <v/>
      </c>
    </row>
    <row r="127">
      <c r="A127" s="22" t="n">
        <v>43252</v>
      </c>
      <c r="B127" s="23">
        <f>IF($BM127=0,NA(),SUMIFS(Entries!$E$2:$E$5000,Entries!$C$2:$C$5000,"Income",Entries!$A$2:$A$5000,"&gt;="&amp;$A127,Entries!$A$2:$A$5000,"&lt;"&amp;EDATE($A127,1)))</f>
        <v/>
      </c>
      <c r="C127" s="23">
        <f>IF($BM127=0,"",SUMIFS(Entries!$E$2:$E$5000,Entries!$C$2:$C$5000,"Actual",Entries!$A$2:$A$5000,"&gt;="&amp;$A127,Entries!$A$2:$A$5000,"&lt;"&amp;EDATE($A127,1)))</f>
        <v/>
      </c>
      <c r="D127" s="23">
        <f>IF($BM127=0,"",SUMIFS(Entries!$E$2:$E$5000,Entries!$C$2:$C$5000,"One-off",Entries!$A$2:$A$5000,"&gt;="&amp;$A127,Entries!$A$2:$A$5000,"&lt;"&amp;EDATE($A127,1)))</f>
        <v/>
      </c>
      <c r="E127" s="23">
        <f>IF($BM127=0,NA(),C127+D127)</f>
        <v/>
      </c>
      <c r="F127" s="23">
        <f>IF($BM127=0,"",SUM(AR127:BK127))</f>
        <v/>
      </c>
      <c r="G127" s="23">
        <f>IF($BM127=0,"",B127-E127)</f>
        <v/>
      </c>
      <c r="H127" s="23">
        <f>IF($BM127=0,"",SUM($G$2:G127))</f>
        <v/>
      </c>
      <c r="I127" s="23">
        <f>IF($BM127=0,"",SUMIFS(Entries!$G$2:$G$5000,Entries!$A$2:$A$5000,"&gt;="&amp;$A127,Entries!$A$2:$A$5000,"&lt;"&amp;EDATE($A127,1)))</f>
        <v/>
      </c>
      <c r="J127" s="23">
        <f>IF($BM127=0,NA(),H127)</f>
        <v/>
      </c>
      <c r="K127" s="23">
        <f>IF($BM127=0,"",SUMIFS(Entries!$E$2:$E$5000,Entries!$C$2:$C$5000,"Income",Entries!$A$2:$A$5000,"&gt;="&amp;EDATE($A127,-11),Entries!$A$2:$A$5000,"&lt;"&amp;EDATE($A127,1))/COUNTIFS($A$2:$A$400,"&gt;="&amp;EDATE($A127,-11),$A$2:$A$400,"&lt;"&amp;EDATE($A127,1),$BM$2:$BM$400,"&gt;0"))</f>
      </c>
      <c r="L127" s="23">
        <f>IF($BM127=0,"",(SUMIFS(Entries!$E$2:$E$5000,Entries!$C$2:$C$5000,"Actual",Entries!$A$2:$A$5000,"&gt;="&amp;EDATE($A127,-11),Entries!$A$2:$A$5000,"&lt;"&amp;EDATE($A127,1))+SUMIFS(Entries!$E$2:$E$5000,Entries!$C$2:$C$5000,"One-off",Entries!$A$2:$A$5000,"&gt;="&amp;EDATE($A127,-11),Entries!$A$2:$A$5000,"&lt;"&amp;EDATE($A127,1)))/COUNTIFS($A$2:$A$400,"&gt;="&amp;EDATE($A127,-11),$A$2:$A$400,"&lt;"&amp;EDATE($A127,1),$BM$2:$BM$400,"&gt;0"))</f>
      </c>
      <c r="M127" s="24">
        <f>IF($BM127=0,NA(),IFERROR((K127-L127)/K127,0))</f>
        <v/>
      </c>
      <c r="N127" s="23">
        <f>IF($BM127=0,NA(),SUMIFS(Entries!$E$2:$E$5000,Entries!$D$2:$D$5000,"Core",Entries!$A$2:$A$5000,"&gt;="&amp;$A127,Entries!$A$2:$A$5000,"&lt;"&amp;EDATE($A127,1)))</f>
        <v/>
      </c>
      <c r="O127" s="23">
        <f>IF($BM127=0,NA(),SUMIFS(Entries!$E$2:$E$5000,Entries!$D$2:$D$5000,"Over &amp; above",Entries!$A$2:$A$5000,"&gt;="&amp;$A127,Entries!$A$2:$A$5000,"&lt;"&amp;EDATE($A127,1)))</f>
        <v/>
      </c>
      <c r="P127" s="23">
        <f>IF($BM127=0,NA(),SUMIFS(Entries!$E$2:$E$5000,Entries!$D$2:$D$5000,"One-off",Entries!$A$2:$A$5000,"&gt;="&amp;$A127,Entries!$A$2:$A$5000,"&lt;"&amp;EDATE($A127,1)))</f>
        <v/>
      </c>
      <c r="Q127" s="23">
        <f>IF($BM127=0,NA(),SUMIFS(Entries!$E$2:$E$5000,Entries!$D$2:$D$5000,"Reimbursable",Entries!$A$2:$A$5000,"&gt;="&amp;$A127,Entries!$A$2:$A$5000,"&lt;"&amp;EDATE($A127,1)))</f>
        <v/>
      </c>
      <c r="R127" s="23">
        <f>IF($BM127=0,NA(),SUMIFS(Entries!$E$2:$E$5000,Entries!$D$2:$D$5000,"Investment",Entries!$A$2:$A$5000,"&gt;="&amp;$A127,Entries!$A$2:$A$5000,"&lt;"&amp;EDATE($A127,1)))</f>
        <v/>
      </c>
      <c r="S127" s="23">
        <f>IF($BM127=0,NA(),N127+O127)</f>
        <v/>
      </c>
      <c r="T127" s="23">
        <f>IF($BM127=0,"",E127-Q127)</f>
        <v/>
      </c>
      <c r="W127" s="23">
        <f>IF(OR(W$1="",$BM127=0),"",SUMIFS(Entries!$E$2:$E$5000,Entries!$C$2:$C$5000,"Actual",Entries!$A$2:$A$5000,"&gt;="&amp;$A127,Entries!$A$2:$A$5000,"&lt;"&amp;EDATE($A127,1),Entries!$B$2:$B$5000,W$1))</f>
        <v/>
      </c>
      <c r="X127" s="23">
        <f>IF(OR(X$1="",$BM127=0),"",SUMIFS(Entries!$E$2:$E$5000,Entries!$C$2:$C$5000,"Actual",Entries!$A$2:$A$5000,"&gt;="&amp;$A127,Entries!$A$2:$A$5000,"&lt;"&amp;EDATE($A127,1),Entries!$B$2:$B$5000,X$1))</f>
        <v/>
      </c>
      <c r="Y127" s="23">
        <f>IF(OR(Y$1="",$BM127=0),"",SUMIFS(Entries!$E$2:$E$5000,Entries!$C$2:$C$5000,"Actual",Entries!$A$2:$A$5000,"&gt;="&amp;$A127,Entries!$A$2:$A$5000,"&lt;"&amp;EDATE($A127,1),Entries!$B$2:$B$5000,Y$1))</f>
        <v/>
      </c>
      <c r="Z127" s="23">
        <f>IF(OR(Z$1="",$BM127=0),"",SUMIFS(Entries!$E$2:$E$5000,Entries!$C$2:$C$5000,"Actual",Entries!$A$2:$A$5000,"&gt;="&amp;$A127,Entries!$A$2:$A$5000,"&lt;"&amp;EDATE($A127,1),Entries!$B$2:$B$5000,Z$1))</f>
        <v/>
      </c>
      <c r="AA127" s="23">
        <f>IF(OR(AA$1="",$BM127=0),"",SUMIFS(Entries!$E$2:$E$5000,Entries!$C$2:$C$5000,"Actual",Entries!$A$2:$A$5000,"&gt;="&amp;$A127,Entries!$A$2:$A$5000,"&lt;"&amp;EDATE($A127,1),Entries!$B$2:$B$5000,AA$1))</f>
        <v/>
      </c>
      <c r="AB127" s="23">
        <f>IF(OR(AB$1="",$BM127=0),"",SUMIFS(Entries!$E$2:$E$5000,Entries!$C$2:$C$5000,"Actual",Entries!$A$2:$A$5000,"&gt;="&amp;$A127,Entries!$A$2:$A$5000,"&lt;"&amp;EDATE($A127,1),Entries!$B$2:$B$5000,AB$1))</f>
        <v/>
      </c>
      <c r="AC127" s="23">
        <f>IF(OR(AC$1="",$BM127=0),"",SUMIFS(Entries!$E$2:$E$5000,Entries!$C$2:$C$5000,"Actual",Entries!$A$2:$A$5000,"&gt;="&amp;$A127,Entries!$A$2:$A$5000,"&lt;"&amp;EDATE($A127,1),Entries!$B$2:$B$5000,AC$1))</f>
        <v/>
      </c>
      <c r="AD127" s="23">
        <f>IF(OR(AD$1="",$BM127=0),"",SUMIFS(Entries!$E$2:$E$5000,Entries!$C$2:$C$5000,"Actual",Entries!$A$2:$A$5000,"&gt;="&amp;$A127,Entries!$A$2:$A$5000,"&lt;"&amp;EDATE($A127,1),Entries!$B$2:$B$5000,AD$1))</f>
        <v/>
      </c>
      <c r="AE127" s="23">
        <f>IF(OR(AE$1="",$BM127=0),"",SUMIFS(Entries!$E$2:$E$5000,Entries!$C$2:$C$5000,"Actual",Entries!$A$2:$A$5000,"&gt;="&amp;$A127,Entries!$A$2:$A$5000,"&lt;"&amp;EDATE($A127,1),Entries!$B$2:$B$5000,AE$1))</f>
        <v/>
      </c>
      <c r="AF127" s="23">
        <f>IF(OR(AF$1="",$BM127=0),"",SUMIFS(Entries!$E$2:$E$5000,Entries!$C$2:$C$5000,"Actual",Entries!$A$2:$A$5000,"&gt;="&amp;$A127,Entries!$A$2:$A$5000,"&lt;"&amp;EDATE($A127,1),Entries!$B$2:$B$5000,AF$1))</f>
        <v/>
      </c>
      <c r="AG127" s="23">
        <f>IF(OR(AG$1="",$BM127=0),"",SUMIFS(Entries!$E$2:$E$5000,Entries!$C$2:$C$5000,"Actual",Entries!$A$2:$A$5000,"&gt;="&amp;$A127,Entries!$A$2:$A$5000,"&lt;"&amp;EDATE($A127,1),Entries!$B$2:$B$5000,AG$1))</f>
        <v/>
      </c>
      <c r="AH127" s="23">
        <f>IF(OR(AH$1="",$BM127=0),"",SUMIFS(Entries!$E$2:$E$5000,Entries!$C$2:$C$5000,"Actual",Entries!$A$2:$A$5000,"&gt;="&amp;$A127,Entries!$A$2:$A$5000,"&lt;"&amp;EDATE($A127,1),Entries!$B$2:$B$5000,AH$1))</f>
        <v/>
      </c>
      <c r="AI127" s="23">
        <f>IF(OR(AI$1="",$BM127=0),"",SUMIFS(Entries!$E$2:$E$5000,Entries!$C$2:$C$5000,"Actual",Entries!$A$2:$A$5000,"&gt;="&amp;$A127,Entries!$A$2:$A$5000,"&lt;"&amp;EDATE($A127,1),Entries!$B$2:$B$5000,AI$1))</f>
        <v/>
      </c>
      <c r="AJ127" s="23">
        <f>IF(OR(AJ$1="",$BM127=0),"",SUMIFS(Entries!$E$2:$E$5000,Entries!$C$2:$C$5000,"Actual",Entries!$A$2:$A$5000,"&gt;="&amp;$A127,Entries!$A$2:$A$5000,"&lt;"&amp;EDATE($A127,1),Entries!$B$2:$B$5000,AJ$1))</f>
        <v/>
      </c>
      <c r="AK127" s="23">
        <f>IF(OR(AK$1="",$BM127=0),"",SUMIFS(Entries!$E$2:$E$5000,Entries!$C$2:$C$5000,"Actual",Entries!$A$2:$A$5000,"&gt;="&amp;$A127,Entries!$A$2:$A$5000,"&lt;"&amp;EDATE($A127,1),Entries!$B$2:$B$5000,AK$1))</f>
        <v/>
      </c>
      <c r="AL127" s="23">
        <f>IF(OR(AL$1="",$BM127=0),"",SUMIFS(Entries!$E$2:$E$5000,Entries!$C$2:$C$5000,"Actual",Entries!$A$2:$A$5000,"&gt;="&amp;$A127,Entries!$A$2:$A$5000,"&lt;"&amp;EDATE($A127,1),Entries!$B$2:$B$5000,AL$1))</f>
        <v/>
      </c>
      <c r="AM127" s="23">
        <f>IF(OR(AM$1="",$BM127=0),"",SUMIFS(Entries!$E$2:$E$5000,Entries!$C$2:$C$5000,"Actual",Entries!$A$2:$A$5000,"&gt;="&amp;$A127,Entries!$A$2:$A$5000,"&lt;"&amp;EDATE($A127,1),Entries!$B$2:$B$5000,AM$1))</f>
        <v/>
      </c>
      <c r="AN127" s="23">
        <f>IF(OR(AN$1="",$BM127=0),"",SUMIFS(Entries!$E$2:$E$5000,Entries!$C$2:$C$5000,"Actual",Entries!$A$2:$A$5000,"&gt;="&amp;$A127,Entries!$A$2:$A$5000,"&lt;"&amp;EDATE($A127,1),Entries!$B$2:$B$5000,AN$1))</f>
        <v/>
      </c>
      <c r="AO127" s="23">
        <f>IF(OR(AO$1="",$BM127=0),"",SUMIFS(Entries!$E$2:$E$5000,Entries!$C$2:$C$5000,"Actual",Entries!$A$2:$A$5000,"&gt;="&amp;$A127,Entries!$A$2:$A$5000,"&lt;"&amp;EDATE($A127,1),Entries!$B$2:$B$5000,AO$1))</f>
        <v/>
      </c>
      <c r="AP127" s="23">
        <f>IF(OR(AP$1="",$BM127=0),"",SUMIFS(Entries!$E$2:$E$5000,Entries!$C$2:$C$5000,"Actual",Entries!$A$2:$A$5000,"&gt;="&amp;$A127,Entries!$A$2:$A$5000,"&lt;"&amp;EDATE($A127,1),Entries!$B$2:$B$5000,AP$1))</f>
        <v/>
      </c>
      <c r="AR127" s="23">
        <f>IF(OR(AR$1="",$BM127=0),"",IFERROR(LOOKUP(2,1/((Budgets!$A$2:$A$200=AR$1)*(Budgets!$B$2:$B$200&lt;EDATE($A127,1))),Budgets!$C$2:$C$200),0))</f>
        <v/>
      </c>
      <c r="AS127" s="23">
        <f>IF(OR(AS$1="",$BM127=0),"",IFERROR(LOOKUP(2,1/((Budgets!$A$2:$A$200=AS$1)*(Budgets!$B$2:$B$200&lt;EDATE($A127,1))),Budgets!$C$2:$C$200),0))</f>
        <v/>
      </c>
      <c r="AT127" s="23">
        <f>IF(OR(AT$1="",$BM127=0),"",IFERROR(LOOKUP(2,1/((Budgets!$A$2:$A$200=AT$1)*(Budgets!$B$2:$B$200&lt;EDATE($A127,1))),Budgets!$C$2:$C$200),0))</f>
        <v/>
      </c>
      <c r="AU127" s="23">
        <f>IF(OR(AU$1="",$BM127=0),"",IFERROR(LOOKUP(2,1/((Budgets!$A$2:$A$200=AU$1)*(Budgets!$B$2:$B$200&lt;EDATE($A127,1))),Budgets!$C$2:$C$200),0))</f>
        <v/>
      </c>
      <c r="AV127" s="23">
        <f>IF(OR(AV$1="",$BM127=0),"",IFERROR(LOOKUP(2,1/((Budgets!$A$2:$A$200=AV$1)*(Budgets!$B$2:$B$200&lt;EDATE($A127,1))),Budgets!$C$2:$C$200),0))</f>
        <v/>
      </c>
      <c r="AW127" s="23">
        <f>IF(OR(AW$1="",$BM127=0),"",IFERROR(LOOKUP(2,1/((Budgets!$A$2:$A$200=AW$1)*(Budgets!$B$2:$B$200&lt;EDATE($A127,1))),Budgets!$C$2:$C$200),0))</f>
        <v/>
      </c>
      <c r="AX127" s="23">
        <f>IF(OR(AX$1="",$BM127=0),"",IFERROR(LOOKUP(2,1/((Budgets!$A$2:$A$200=AX$1)*(Budgets!$B$2:$B$200&lt;EDATE($A127,1))),Budgets!$C$2:$C$200),0))</f>
        <v/>
      </c>
      <c r="AY127" s="23">
        <f>IF(OR(AY$1="",$BM127=0),"",IFERROR(LOOKUP(2,1/((Budgets!$A$2:$A$200=AY$1)*(Budgets!$B$2:$B$200&lt;EDATE($A127,1))),Budgets!$C$2:$C$200),0))</f>
        <v/>
      </c>
      <c r="AZ127" s="23">
        <f>IF(OR(AZ$1="",$BM127=0),"",IFERROR(LOOKUP(2,1/((Budgets!$A$2:$A$200=AZ$1)*(Budgets!$B$2:$B$200&lt;EDATE($A127,1))),Budgets!$C$2:$C$200),0))</f>
        <v/>
      </c>
      <c r="BA127" s="23">
        <f>IF(OR(BA$1="",$BM127=0),"",IFERROR(LOOKUP(2,1/((Budgets!$A$2:$A$200=BA$1)*(Budgets!$B$2:$B$200&lt;EDATE($A127,1))),Budgets!$C$2:$C$200),0))</f>
        <v/>
      </c>
      <c r="BB127" s="23">
        <f>IF(OR(BB$1="",$BM127=0),"",IFERROR(LOOKUP(2,1/((Budgets!$A$2:$A$200=BB$1)*(Budgets!$B$2:$B$200&lt;EDATE($A127,1))),Budgets!$C$2:$C$200),0))</f>
        <v/>
      </c>
      <c r="BC127" s="23">
        <f>IF(OR(BC$1="",$BM127=0),"",IFERROR(LOOKUP(2,1/((Budgets!$A$2:$A$200=BC$1)*(Budgets!$B$2:$B$200&lt;EDATE($A127,1))),Budgets!$C$2:$C$200),0))</f>
        <v/>
      </c>
      <c r="BD127" s="23">
        <f>IF(OR(BD$1="",$BM127=0),"",IFERROR(LOOKUP(2,1/((Budgets!$A$2:$A$200=BD$1)*(Budgets!$B$2:$B$200&lt;EDATE($A127,1))),Budgets!$C$2:$C$200),0))</f>
        <v/>
      </c>
      <c r="BE127" s="23">
        <f>IF(OR(BE$1="",$BM127=0),"",IFERROR(LOOKUP(2,1/((Budgets!$A$2:$A$200=BE$1)*(Budgets!$B$2:$B$200&lt;EDATE($A127,1))),Budgets!$C$2:$C$200),0))</f>
        <v/>
      </c>
      <c r="BF127" s="23">
        <f>IF(OR(BF$1="",$BM127=0),"",IFERROR(LOOKUP(2,1/((Budgets!$A$2:$A$200=BF$1)*(Budgets!$B$2:$B$200&lt;EDATE($A127,1))),Budgets!$C$2:$C$200),0))</f>
        <v/>
      </c>
      <c r="BG127" s="23">
        <f>IF(OR(BG$1="",$BM127=0),"",IFERROR(LOOKUP(2,1/((Budgets!$A$2:$A$200=BG$1)*(Budgets!$B$2:$B$200&lt;EDATE($A127,1))),Budgets!$C$2:$C$200),0))</f>
        <v/>
      </c>
      <c r="BH127" s="23">
        <f>IF(OR(BH$1="",$BM127=0),"",IFERROR(LOOKUP(2,1/((Budgets!$A$2:$A$200=BH$1)*(Budgets!$B$2:$B$200&lt;EDATE($A127,1))),Budgets!$C$2:$C$200),0))</f>
        <v/>
      </c>
      <c r="BI127" s="23">
        <f>IF(OR(BI$1="",$BM127=0),"",IFERROR(LOOKUP(2,1/((Budgets!$A$2:$A$200=BI$1)*(Budgets!$B$2:$B$200&lt;EDATE($A127,1))),Budgets!$C$2:$C$200),0))</f>
        <v/>
      </c>
      <c r="BJ127" s="23">
        <f>IF(OR(BJ$1="",$BM127=0),"",IFERROR(LOOKUP(2,1/((Budgets!$A$2:$A$200=BJ$1)*(Budgets!$B$2:$B$200&lt;EDATE($A127,1))),Budgets!$C$2:$C$200),0))</f>
        <v/>
      </c>
      <c r="BK127" s="23">
        <f>IF(OR(BK$1="",$BM127=0),"",IFERROR(LOOKUP(2,1/((Budgets!$A$2:$A$200=BK$1)*(Budgets!$B$2:$B$200&lt;EDATE($A127,1))),Budgets!$C$2:$C$200),0))</f>
        <v/>
      </c>
      <c r="BM127" s="21">
        <f>COUNTIFS(Entries!$A$2:$A$5000,"&gt;="&amp;$A127,Entries!$A$2:$A$5000,"&lt;"&amp;EDATE($A127,1))</f>
        <v/>
      </c>
    </row>
    <row r="128">
      <c r="A128" s="22" t="n">
        <v>43282</v>
      </c>
      <c r="B128" s="23">
        <f>IF($BM128=0,NA(),SUMIFS(Entries!$E$2:$E$5000,Entries!$C$2:$C$5000,"Income",Entries!$A$2:$A$5000,"&gt;="&amp;$A128,Entries!$A$2:$A$5000,"&lt;"&amp;EDATE($A128,1)))</f>
        <v/>
      </c>
      <c r="C128" s="23">
        <f>IF($BM128=0,"",SUMIFS(Entries!$E$2:$E$5000,Entries!$C$2:$C$5000,"Actual",Entries!$A$2:$A$5000,"&gt;="&amp;$A128,Entries!$A$2:$A$5000,"&lt;"&amp;EDATE($A128,1)))</f>
        <v/>
      </c>
      <c r="D128" s="23">
        <f>IF($BM128=0,"",SUMIFS(Entries!$E$2:$E$5000,Entries!$C$2:$C$5000,"One-off",Entries!$A$2:$A$5000,"&gt;="&amp;$A128,Entries!$A$2:$A$5000,"&lt;"&amp;EDATE($A128,1)))</f>
        <v/>
      </c>
      <c r="E128" s="23">
        <f>IF($BM128=0,NA(),C128+D128)</f>
        <v/>
      </c>
      <c r="F128" s="23">
        <f>IF($BM128=0,"",SUM(AR128:BK128))</f>
        <v/>
      </c>
      <c r="G128" s="23">
        <f>IF($BM128=0,"",B128-E128)</f>
        <v/>
      </c>
      <c r="H128" s="23">
        <f>IF($BM128=0,"",SUM($G$2:G128))</f>
        <v/>
      </c>
      <c r="I128" s="23">
        <f>IF($BM128=0,"",SUMIFS(Entries!$G$2:$G$5000,Entries!$A$2:$A$5000,"&gt;="&amp;$A128,Entries!$A$2:$A$5000,"&lt;"&amp;EDATE($A128,1)))</f>
        <v/>
      </c>
      <c r="J128" s="23">
        <f>IF($BM128=0,NA(),H128)</f>
        <v/>
      </c>
      <c r="K128" s="23">
        <f>IF($BM128=0,"",SUMIFS(Entries!$E$2:$E$5000,Entries!$C$2:$C$5000,"Income",Entries!$A$2:$A$5000,"&gt;="&amp;EDATE($A128,-11),Entries!$A$2:$A$5000,"&lt;"&amp;EDATE($A128,1))/COUNTIFS($A$2:$A$400,"&gt;="&amp;EDATE($A128,-11),$A$2:$A$400,"&lt;"&amp;EDATE($A128,1),$BM$2:$BM$400,"&gt;0"))</f>
      </c>
      <c r="L128" s="23">
        <f>IF($BM128=0,"",(SUMIFS(Entries!$E$2:$E$5000,Entries!$C$2:$C$5000,"Actual",Entries!$A$2:$A$5000,"&gt;="&amp;EDATE($A128,-11),Entries!$A$2:$A$5000,"&lt;"&amp;EDATE($A128,1))+SUMIFS(Entries!$E$2:$E$5000,Entries!$C$2:$C$5000,"One-off",Entries!$A$2:$A$5000,"&gt;="&amp;EDATE($A128,-11),Entries!$A$2:$A$5000,"&lt;"&amp;EDATE($A128,1)))/COUNTIFS($A$2:$A$400,"&gt;="&amp;EDATE($A128,-11),$A$2:$A$400,"&lt;"&amp;EDATE($A128,1),$BM$2:$BM$400,"&gt;0"))</f>
      </c>
      <c r="M128" s="24">
        <f>IF($BM128=0,NA(),IFERROR((K128-L128)/K128,0))</f>
        <v/>
      </c>
      <c r="N128" s="23">
        <f>IF($BM128=0,NA(),SUMIFS(Entries!$E$2:$E$5000,Entries!$D$2:$D$5000,"Core",Entries!$A$2:$A$5000,"&gt;="&amp;$A128,Entries!$A$2:$A$5000,"&lt;"&amp;EDATE($A128,1)))</f>
        <v/>
      </c>
      <c r="O128" s="23">
        <f>IF($BM128=0,NA(),SUMIFS(Entries!$E$2:$E$5000,Entries!$D$2:$D$5000,"Over &amp; above",Entries!$A$2:$A$5000,"&gt;="&amp;$A128,Entries!$A$2:$A$5000,"&lt;"&amp;EDATE($A128,1)))</f>
        <v/>
      </c>
      <c r="P128" s="23">
        <f>IF($BM128=0,NA(),SUMIFS(Entries!$E$2:$E$5000,Entries!$D$2:$D$5000,"One-off",Entries!$A$2:$A$5000,"&gt;="&amp;$A128,Entries!$A$2:$A$5000,"&lt;"&amp;EDATE($A128,1)))</f>
        <v/>
      </c>
      <c r="Q128" s="23">
        <f>IF($BM128=0,NA(),SUMIFS(Entries!$E$2:$E$5000,Entries!$D$2:$D$5000,"Reimbursable",Entries!$A$2:$A$5000,"&gt;="&amp;$A128,Entries!$A$2:$A$5000,"&lt;"&amp;EDATE($A128,1)))</f>
        <v/>
      </c>
      <c r="R128" s="23">
        <f>IF($BM128=0,NA(),SUMIFS(Entries!$E$2:$E$5000,Entries!$D$2:$D$5000,"Investment",Entries!$A$2:$A$5000,"&gt;="&amp;$A128,Entries!$A$2:$A$5000,"&lt;"&amp;EDATE($A128,1)))</f>
        <v/>
      </c>
      <c r="S128" s="23">
        <f>IF($BM128=0,NA(),N128+O128)</f>
        <v/>
      </c>
      <c r="T128" s="23">
        <f>IF($BM128=0,"",E128-Q128)</f>
        <v/>
      </c>
      <c r="W128" s="23">
        <f>IF(OR(W$1="",$BM128=0),"",SUMIFS(Entries!$E$2:$E$5000,Entries!$C$2:$C$5000,"Actual",Entries!$A$2:$A$5000,"&gt;="&amp;$A128,Entries!$A$2:$A$5000,"&lt;"&amp;EDATE($A128,1),Entries!$B$2:$B$5000,W$1))</f>
        <v/>
      </c>
      <c r="X128" s="23">
        <f>IF(OR(X$1="",$BM128=0),"",SUMIFS(Entries!$E$2:$E$5000,Entries!$C$2:$C$5000,"Actual",Entries!$A$2:$A$5000,"&gt;="&amp;$A128,Entries!$A$2:$A$5000,"&lt;"&amp;EDATE($A128,1),Entries!$B$2:$B$5000,X$1))</f>
        <v/>
      </c>
      <c r="Y128" s="23">
        <f>IF(OR(Y$1="",$BM128=0),"",SUMIFS(Entries!$E$2:$E$5000,Entries!$C$2:$C$5000,"Actual",Entries!$A$2:$A$5000,"&gt;="&amp;$A128,Entries!$A$2:$A$5000,"&lt;"&amp;EDATE($A128,1),Entries!$B$2:$B$5000,Y$1))</f>
        <v/>
      </c>
      <c r="Z128" s="23">
        <f>IF(OR(Z$1="",$BM128=0),"",SUMIFS(Entries!$E$2:$E$5000,Entries!$C$2:$C$5000,"Actual",Entries!$A$2:$A$5000,"&gt;="&amp;$A128,Entries!$A$2:$A$5000,"&lt;"&amp;EDATE($A128,1),Entries!$B$2:$B$5000,Z$1))</f>
        <v/>
      </c>
      <c r="AA128" s="23">
        <f>IF(OR(AA$1="",$BM128=0),"",SUMIFS(Entries!$E$2:$E$5000,Entries!$C$2:$C$5000,"Actual",Entries!$A$2:$A$5000,"&gt;="&amp;$A128,Entries!$A$2:$A$5000,"&lt;"&amp;EDATE($A128,1),Entries!$B$2:$B$5000,AA$1))</f>
        <v/>
      </c>
      <c r="AB128" s="23">
        <f>IF(OR(AB$1="",$BM128=0),"",SUMIFS(Entries!$E$2:$E$5000,Entries!$C$2:$C$5000,"Actual",Entries!$A$2:$A$5000,"&gt;="&amp;$A128,Entries!$A$2:$A$5000,"&lt;"&amp;EDATE($A128,1),Entries!$B$2:$B$5000,AB$1))</f>
        <v/>
      </c>
      <c r="AC128" s="23">
        <f>IF(OR(AC$1="",$BM128=0),"",SUMIFS(Entries!$E$2:$E$5000,Entries!$C$2:$C$5000,"Actual",Entries!$A$2:$A$5000,"&gt;="&amp;$A128,Entries!$A$2:$A$5000,"&lt;"&amp;EDATE($A128,1),Entries!$B$2:$B$5000,AC$1))</f>
        <v/>
      </c>
      <c r="AD128" s="23">
        <f>IF(OR(AD$1="",$BM128=0),"",SUMIFS(Entries!$E$2:$E$5000,Entries!$C$2:$C$5000,"Actual",Entries!$A$2:$A$5000,"&gt;="&amp;$A128,Entries!$A$2:$A$5000,"&lt;"&amp;EDATE($A128,1),Entries!$B$2:$B$5000,AD$1))</f>
        <v/>
      </c>
      <c r="AE128" s="23">
        <f>IF(OR(AE$1="",$BM128=0),"",SUMIFS(Entries!$E$2:$E$5000,Entries!$C$2:$C$5000,"Actual",Entries!$A$2:$A$5000,"&gt;="&amp;$A128,Entries!$A$2:$A$5000,"&lt;"&amp;EDATE($A128,1),Entries!$B$2:$B$5000,AE$1))</f>
        <v/>
      </c>
      <c r="AF128" s="23">
        <f>IF(OR(AF$1="",$BM128=0),"",SUMIFS(Entries!$E$2:$E$5000,Entries!$C$2:$C$5000,"Actual",Entries!$A$2:$A$5000,"&gt;="&amp;$A128,Entries!$A$2:$A$5000,"&lt;"&amp;EDATE($A128,1),Entries!$B$2:$B$5000,AF$1))</f>
        <v/>
      </c>
      <c r="AG128" s="23">
        <f>IF(OR(AG$1="",$BM128=0),"",SUMIFS(Entries!$E$2:$E$5000,Entries!$C$2:$C$5000,"Actual",Entries!$A$2:$A$5000,"&gt;="&amp;$A128,Entries!$A$2:$A$5000,"&lt;"&amp;EDATE($A128,1),Entries!$B$2:$B$5000,AG$1))</f>
        <v/>
      </c>
      <c r="AH128" s="23">
        <f>IF(OR(AH$1="",$BM128=0),"",SUMIFS(Entries!$E$2:$E$5000,Entries!$C$2:$C$5000,"Actual",Entries!$A$2:$A$5000,"&gt;="&amp;$A128,Entries!$A$2:$A$5000,"&lt;"&amp;EDATE($A128,1),Entries!$B$2:$B$5000,AH$1))</f>
        <v/>
      </c>
      <c r="AI128" s="23">
        <f>IF(OR(AI$1="",$BM128=0),"",SUMIFS(Entries!$E$2:$E$5000,Entries!$C$2:$C$5000,"Actual",Entries!$A$2:$A$5000,"&gt;="&amp;$A128,Entries!$A$2:$A$5000,"&lt;"&amp;EDATE($A128,1),Entries!$B$2:$B$5000,AI$1))</f>
        <v/>
      </c>
      <c r="AJ128" s="23">
        <f>IF(OR(AJ$1="",$BM128=0),"",SUMIFS(Entries!$E$2:$E$5000,Entries!$C$2:$C$5000,"Actual",Entries!$A$2:$A$5000,"&gt;="&amp;$A128,Entries!$A$2:$A$5000,"&lt;"&amp;EDATE($A128,1),Entries!$B$2:$B$5000,AJ$1))</f>
        <v/>
      </c>
      <c r="AK128" s="23">
        <f>IF(OR(AK$1="",$BM128=0),"",SUMIFS(Entries!$E$2:$E$5000,Entries!$C$2:$C$5000,"Actual",Entries!$A$2:$A$5000,"&gt;="&amp;$A128,Entries!$A$2:$A$5000,"&lt;"&amp;EDATE($A128,1),Entries!$B$2:$B$5000,AK$1))</f>
        <v/>
      </c>
      <c r="AL128" s="23">
        <f>IF(OR(AL$1="",$BM128=0),"",SUMIFS(Entries!$E$2:$E$5000,Entries!$C$2:$C$5000,"Actual",Entries!$A$2:$A$5000,"&gt;="&amp;$A128,Entries!$A$2:$A$5000,"&lt;"&amp;EDATE($A128,1),Entries!$B$2:$B$5000,AL$1))</f>
        <v/>
      </c>
      <c r="AM128" s="23">
        <f>IF(OR(AM$1="",$BM128=0),"",SUMIFS(Entries!$E$2:$E$5000,Entries!$C$2:$C$5000,"Actual",Entries!$A$2:$A$5000,"&gt;="&amp;$A128,Entries!$A$2:$A$5000,"&lt;"&amp;EDATE($A128,1),Entries!$B$2:$B$5000,AM$1))</f>
        <v/>
      </c>
      <c r="AN128" s="23">
        <f>IF(OR(AN$1="",$BM128=0),"",SUMIFS(Entries!$E$2:$E$5000,Entries!$C$2:$C$5000,"Actual",Entries!$A$2:$A$5000,"&gt;="&amp;$A128,Entries!$A$2:$A$5000,"&lt;"&amp;EDATE($A128,1),Entries!$B$2:$B$5000,AN$1))</f>
        <v/>
      </c>
      <c r="AO128" s="23">
        <f>IF(OR(AO$1="",$BM128=0),"",SUMIFS(Entries!$E$2:$E$5000,Entries!$C$2:$C$5000,"Actual",Entries!$A$2:$A$5000,"&gt;="&amp;$A128,Entries!$A$2:$A$5000,"&lt;"&amp;EDATE($A128,1),Entries!$B$2:$B$5000,AO$1))</f>
        <v/>
      </c>
      <c r="AP128" s="23">
        <f>IF(OR(AP$1="",$BM128=0),"",SUMIFS(Entries!$E$2:$E$5000,Entries!$C$2:$C$5000,"Actual",Entries!$A$2:$A$5000,"&gt;="&amp;$A128,Entries!$A$2:$A$5000,"&lt;"&amp;EDATE($A128,1),Entries!$B$2:$B$5000,AP$1))</f>
        <v/>
      </c>
      <c r="AR128" s="23">
        <f>IF(OR(AR$1="",$BM128=0),"",IFERROR(LOOKUP(2,1/((Budgets!$A$2:$A$200=AR$1)*(Budgets!$B$2:$B$200&lt;EDATE($A128,1))),Budgets!$C$2:$C$200),0))</f>
        <v/>
      </c>
      <c r="AS128" s="23">
        <f>IF(OR(AS$1="",$BM128=0),"",IFERROR(LOOKUP(2,1/((Budgets!$A$2:$A$200=AS$1)*(Budgets!$B$2:$B$200&lt;EDATE($A128,1))),Budgets!$C$2:$C$200),0))</f>
        <v/>
      </c>
      <c r="AT128" s="23">
        <f>IF(OR(AT$1="",$BM128=0),"",IFERROR(LOOKUP(2,1/((Budgets!$A$2:$A$200=AT$1)*(Budgets!$B$2:$B$200&lt;EDATE($A128,1))),Budgets!$C$2:$C$200),0))</f>
        <v/>
      </c>
      <c r="AU128" s="23">
        <f>IF(OR(AU$1="",$BM128=0),"",IFERROR(LOOKUP(2,1/((Budgets!$A$2:$A$200=AU$1)*(Budgets!$B$2:$B$200&lt;EDATE($A128,1))),Budgets!$C$2:$C$200),0))</f>
        <v/>
      </c>
      <c r="AV128" s="23">
        <f>IF(OR(AV$1="",$BM128=0),"",IFERROR(LOOKUP(2,1/((Budgets!$A$2:$A$200=AV$1)*(Budgets!$B$2:$B$200&lt;EDATE($A128,1))),Budgets!$C$2:$C$200),0))</f>
        <v/>
      </c>
      <c r="AW128" s="23">
        <f>IF(OR(AW$1="",$BM128=0),"",IFERROR(LOOKUP(2,1/((Budgets!$A$2:$A$200=AW$1)*(Budgets!$B$2:$B$200&lt;EDATE($A128,1))),Budgets!$C$2:$C$200),0))</f>
        <v/>
      </c>
      <c r="AX128" s="23">
        <f>IF(OR(AX$1="",$BM128=0),"",IFERROR(LOOKUP(2,1/((Budgets!$A$2:$A$200=AX$1)*(Budgets!$B$2:$B$200&lt;EDATE($A128,1))),Budgets!$C$2:$C$200),0))</f>
        <v/>
      </c>
      <c r="AY128" s="23">
        <f>IF(OR(AY$1="",$BM128=0),"",IFERROR(LOOKUP(2,1/((Budgets!$A$2:$A$200=AY$1)*(Budgets!$B$2:$B$200&lt;EDATE($A128,1))),Budgets!$C$2:$C$200),0))</f>
        <v/>
      </c>
      <c r="AZ128" s="23">
        <f>IF(OR(AZ$1="",$BM128=0),"",IFERROR(LOOKUP(2,1/((Budgets!$A$2:$A$200=AZ$1)*(Budgets!$B$2:$B$200&lt;EDATE($A128,1))),Budgets!$C$2:$C$200),0))</f>
        <v/>
      </c>
      <c r="BA128" s="23">
        <f>IF(OR(BA$1="",$BM128=0),"",IFERROR(LOOKUP(2,1/((Budgets!$A$2:$A$200=BA$1)*(Budgets!$B$2:$B$200&lt;EDATE($A128,1))),Budgets!$C$2:$C$200),0))</f>
        <v/>
      </c>
      <c r="BB128" s="23">
        <f>IF(OR(BB$1="",$BM128=0),"",IFERROR(LOOKUP(2,1/((Budgets!$A$2:$A$200=BB$1)*(Budgets!$B$2:$B$200&lt;EDATE($A128,1))),Budgets!$C$2:$C$200),0))</f>
        <v/>
      </c>
      <c r="BC128" s="23">
        <f>IF(OR(BC$1="",$BM128=0),"",IFERROR(LOOKUP(2,1/((Budgets!$A$2:$A$200=BC$1)*(Budgets!$B$2:$B$200&lt;EDATE($A128,1))),Budgets!$C$2:$C$200),0))</f>
        <v/>
      </c>
      <c r="BD128" s="23">
        <f>IF(OR(BD$1="",$BM128=0),"",IFERROR(LOOKUP(2,1/((Budgets!$A$2:$A$200=BD$1)*(Budgets!$B$2:$B$200&lt;EDATE($A128,1))),Budgets!$C$2:$C$200),0))</f>
        <v/>
      </c>
      <c r="BE128" s="23">
        <f>IF(OR(BE$1="",$BM128=0),"",IFERROR(LOOKUP(2,1/((Budgets!$A$2:$A$200=BE$1)*(Budgets!$B$2:$B$200&lt;EDATE($A128,1))),Budgets!$C$2:$C$200),0))</f>
        <v/>
      </c>
      <c r="BF128" s="23">
        <f>IF(OR(BF$1="",$BM128=0),"",IFERROR(LOOKUP(2,1/((Budgets!$A$2:$A$200=BF$1)*(Budgets!$B$2:$B$200&lt;EDATE($A128,1))),Budgets!$C$2:$C$200),0))</f>
        <v/>
      </c>
      <c r="BG128" s="23">
        <f>IF(OR(BG$1="",$BM128=0),"",IFERROR(LOOKUP(2,1/((Budgets!$A$2:$A$200=BG$1)*(Budgets!$B$2:$B$200&lt;EDATE($A128,1))),Budgets!$C$2:$C$200),0))</f>
        <v/>
      </c>
      <c r="BH128" s="23">
        <f>IF(OR(BH$1="",$BM128=0),"",IFERROR(LOOKUP(2,1/((Budgets!$A$2:$A$200=BH$1)*(Budgets!$B$2:$B$200&lt;EDATE($A128,1))),Budgets!$C$2:$C$200),0))</f>
        <v/>
      </c>
      <c r="BI128" s="23">
        <f>IF(OR(BI$1="",$BM128=0),"",IFERROR(LOOKUP(2,1/((Budgets!$A$2:$A$200=BI$1)*(Budgets!$B$2:$B$200&lt;EDATE($A128,1))),Budgets!$C$2:$C$200),0))</f>
        <v/>
      </c>
      <c r="BJ128" s="23">
        <f>IF(OR(BJ$1="",$BM128=0),"",IFERROR(LOOKUP(2,1/((Budgets!$A$2:$A$200=BJ$1)*(Budgets!$B$2:$B$200&lt;EDATE($A128,1))),Budgets!$C$2:$C$200),0))</f>
        <v/>
      </c>
      <c r="BK128" s="23">
        <f>IF(OR(BK$1="",$BM128=0),"",IFERROR(LOOKUP(2,1/((Budgets!$A$2:$A$200=BK$1)*(Budgets!$B$2:$B$200&lt;EDATE($A128,1))),Budgets!$C$2:$C$200),0))</f>
        <v/>
      </c>
      <c r="BM128" s="21">
        <f>COUNTIFS(Entries!$A$2:$A$5000,"&gt;="&amp;$A128,Entries!$A$2:$A$5000,"&lt;"&amp;EDATE($A128,1))</f>
        <v/>
      </c>
    </row>
    <row r="129">
      <c r="A129" s="22" t="n">
        <v>43313</v>
      </c>
      <c r="B129" s="23">
        <f>IF($BM129=0,NA(),SUMIFS(Entries!$E$2:$E$5000,Entries!$C$2:$C$5000,"Income",Entries!$A$2:$A$5000,"&gt;="&amp;$A129,Entries!$A$2:$A$5000,"&lt;"&amp;EDATE($A129,1)))</f>
        <v/>
      </c>
      <c r="C129" s="23">
        <f>IF($BM129=0,"",SUMIFS(Entries!$E$2:$E$5000,Entries!$C$2:$C$5000,"Actual",Entries!$A$2:$A$5000,"&gt;="&amp;$A129,Entries!$A$2:$A$5000,"&lt;"&amp;EDATE($A129,1)))</f>
        <v/>
      </c>
      <c r="D129" s="23">
        <f>IF($BM129=0,"",SUMIFS(Entries!$E$2:$E$5000,Entries!$C$2:$C$5000,"One-off",Entries!$A$2:$A$5000,"&gt;="&amp;$A129,Entries!$A$2:$A$5000,"&lt;"&amp;EDATE($A129,1)))</f>
        <v/>
      </c>
      <c r="E129" s="23">
        <f>IF($BM129=0,NA(),C129+D129)</f>
        <v/>
      </c>
      <c r="F129" s="23">
        <f>IF($BM129=0,"",SUM(AR129:BK129))</f>
        <v/>
      </c>
      <c r="G129" s="23">
        <f>IF($BM129=0,"",B129-E129)</f>
        <v/>
      </c>
      <c r="H129" s="23">
        <f>IF($BM129=0,"",SUM($G$2:G129))</f>
        <v/>
      </c>
      <c r="I129" s="23">
        <f>IF($BM129=0,"",SUMIFS(Entries!$G$2:$G$5000,Entries!$A$2:$A$5000,"&gt;="&amp;$A129,Entries!$A$2:$A$5000,"&lt;"&amp;EDATE($A129,1)))</f>
        <v/>
      </c>
      <c r="J129" s="23">
        <f>IF($BM129=0,NA(),H129)</f>
        <v/>
      </c>
      <c r="K129" s="23">
        <f>IF($BM129=0,"",SUMIFS(Entries!$E$2:$E$5000,Entries!$C$2:$C$5000,"Income",Entries!$A$2:$A$5000,"&gt;="&amp;EDATE($A129,-11),Entries!$A$2:$A$5000,"&lt;"&amp;EDATE($A129,1))/COUNTIFS($A$2:$A$400,"&gt;="&amp;EDATE($A129,-11),$A$2:$A$400,"&lt;"&amp;EDATE($A129,1),$BM$2:$BM$400,"&gt;0"))</f>
      </c>
      <c r="L129" s="23">
        <f>IF($BM129=0,"",(SUMIFS(Entries!$E$2:$E$5000,Entries!$C$2:$C$5000,"Actual",Entries!$A$2:$A$5000,"&gt;="&amp;EDATE($A129,-11),Entries!$A$2:$A$5000,"&lt;"&amp;EDATE($A129,1))+SUMIFS(Entries!$E$2:$E$5000,Entries!$C$2:$C$5000,"One-off",Entries!$A$2:$A$5000,"&gt;="&amp;EDATE($A129,-11),Entries!$A$2:$A$5000,"&lt;"&amp;EDATE($A129,1)))/COUNTIFS($A$2:$A$400,"&gt;="&amp;EDATE($A129,-11),$A$2:$A$400,"&lt;"&amp;EDATE($A129,1),$BM$2:$BM$400,"&gt;0"))</f>
      </c>
      <c r="M129" s="24">
        <f>IF($BM129=0,NA(),IFERROR((K129-L129)/K129,0))</f>
        <v/>
      </c>
      <c r="N129" s="23">
        <f>IF($BM129=0,NA(),SUMIFS(Entries!$E$2:$E$5000,Entries!$D$2:$D$5000,"Core",Entries!$A$2:$A$5000,"&gt;="&amp;$A129,Entries!$A$2:$A$5000,"&lt;"&amp;EDATE($A129,1)))</f>
        <v/>
      </c>
      <c r="O129" s="23">
        <f>IF($BM129=0,NA(),SUMIFS(Entries!$E$2:$E$5000,Entries!$D$2:$D$5000,"Over &amp; above",Entries!$A$2:$A$5000,"&gt;="&amp;$A129,Entries!$A$2:$A$5000,"&lt;"&amp;EDATE($A129,1)))</f>
        <v/>
      </c>
      <c r="P129" s="23">
        <f>IF($BM129=0,NA(),SUMIFS(Entries!$E$2:$E$5000,Entries!$D$2:$D$5000,"One-off",Entries!$A$2:$A$5000,"&gt;="&amp;$A129,Entries!$A$2:$A$5000,"&lt;"&amp;EDATE($A129,1)))</f>
        <v/>
      </c>
      <c r="Q129" s="23">
        <f>IF($BM129=0,NA(),SUMIFS(Entries!$E$2:$E$5000,Entries!$D$2:$D$5000,"Reimbursable",Entries!$A$2:$A$5000,"&gt;="&amp;$A129,Entries!$A$2:$A$5000,"&lt;"&amp;EDATE($A129,1)))</f>
        <v/>
      </c>
      <c r="R129" s="23">
        <f>IF($BM129=0,NA(),SUMIFS(Entries!$E$2:$E$5000,Entries!$D$2:$D$5000,"Investment",Entries!$A$2:$A$5000,"&gt;="&amp;$A129,Entries!$A$2:$A$5000,"&lt;"&amp;EDATE($A129,1)))</f>
        <v/>
      </c>
      <c r="S129" s="23">
        <f>IF($BM129=0,NA(),N129+O129)</f>
        <v/>
      </c>
      <c r="T129" s="23">
        <f>IF($BM129=0,"",E129-Q129)</f>
        <v/>
      </c>
      <c r="W129" s="23">
        <f>IF(OR(W$1="",$BM129=0),"",SUMIFS(Entries!$E$2:$E$5000,Entries!$C$2:$C$5000,"Actual",Entries!$A$2:$A$5000,"&gt;="&amp;$A129,Entries!$A$2:$A$5000,"&lt;"&amp;EDATE($A129,1),Entries!$B$2:$B$5000,W$1))</f>
        <v/>
      </c>
      <c r="X129" s="23">
        <f>IF(OR(X$1="",$BM129=0),"",SUMIFS(Entries!$E$2:$E$5000,Entries!$C$2:$C$5000,"Actual",Entries!$A$2:$A$5000,"&gt;="&amp;$A129,Entries!$A$2:$A$5000,"&lt;"&amp;EDATE($A129,1),Entries!$B$2:$B$5000,X$1))</f>
        <v/>
      </c>
      <c r="Y129" s="23">
        <f>IF(OR(Y$1="",$BM129=0),"",SUMIFS(Entries!$E$2:$E$5000,Entries!$C$2:$C$5000,"Actual",Entries!$A$2:$A$5000,"&gt;="&amp;$A129,Entries!$A$2:$A$5000,"&lt;"&amp;EDATE($A129,1),Entries!$B$2:$B$5000,Y$1))</f>
        <v/>
      </c>
      <c r="Z129" s="23">
        <f>IF(OR(Z$1="",$BM129=0),"",SUMIFS(Entries!$E$2:$E$5000,Entries!$C$2:$C$5000,"Actual",Entries!$A$2:$A$5000,"&gt;="&amp;$A129,Entries!$A$2:$A$5000,"&lt;"&amp;EDATE($A129,1),Entries!$B$2:$B$5000,Z$1))</f>
        <v/>
      </c>
      <c r="AA129" s="23">
        <f>IF(OR(AA$1="",$BM129=0),"",SUMIFS(Entries!$E$2:$E$5000,Entries!$C$2:$C$5000,"Actual",Entries!$A$2:$A$5000,"&gt;="&amp;$A129,Entries!$A$2:$A$5000,"&lt;"&amp;EDATE($A129,1),Entries!$B$2:$B$5000,AA$1))</f>
        <v/>
      </c>
      <c r="AB129" s="23">
        <f>IF(OR(AB$1="",$BM129=0),"",SUMIFS(Entries!$E$2:$E$5000,Entries!$C$2:$C$5000,"Actual",Entries!$A$2:$A$5000,"&gt;="&amp;$A129,Entries!$A$2:$A$5000,"&lt;"&amp;EDATE($A129,1),Entries!$B$2:$B$5000,AB$1))</f>
        <v/>
      </c>
      <c r="AC129" s="23">
        <f>IF(OR(AC$1="",$BM129=0),"",SUMIFS(Entries!$E$2:$E$5000,Entries!$C$2:$C$5000,"Actual",Entries!$A$2:$A$5000,"&gt;="&amp;$A129,Entries!$A$2:$A$5000,"&lt;"&amp;EDATE($A129,1),Entries!$B$2:$B$5000,AC$1))</f>
        <v/>
      </c>
      <c r="AD129" s="23">
        <f>IF(OR(AD$1="",$BM129=0),"",SUMIFS(Entries!$E$2:$E$5000,Entries!$C$2:$C$5000,"Actual",Entries!$A$2:$A$5000,"&gt;="&amp;$A129,Entries!$A$2:$A$5000,"&lt;"&amp;EDATE($A129,1),Entries!$B$2:$B$5000,AD$1))</f>
        <v/>
      </c>
      <c r="AE129" s="23">
        <f>IF(OR(AE$1="",$BM129=0),"",SUMIFS(Entries!$E$2:$E$5000,Entries!$C$2:$C$5000,"Actual",Entries!$A$2:$A$5000,"&gt;="&amp;$A129,Entries!$A$2:$A$5000,"&lt;"&amp;EDATE($A129,1),Entries!$B$2:$B$5000,AE$1))</f>
        <v/>
      </c>
      <c r="AF129" s="23">
        <f>IF(OR(AF$1="",$BM129=0),"",SUMIFS(Entries!$E$2:$E$5000,Entries!$C$2:$C$5000,"Actual",Entries!$A$2:$A$5000,"&gt;="&amp;$A129,Entries!$A$2:$A$5000,"&lt;"&amp;EDATE($A129,1),Entries!$B$2:$B$5000,AF$1))</f>
        <v/>
      </c>
      <c r="AG129" s="23">
        <f>IF(OR(AG$1="",$BM129=0),"",SUMIFS(Entries!$E$2:$E$5000,Entries!$C$2:$C$5000,"Actual",Entries!$A$2:$A$5000,"&gt;="&amp;$A129,Entries!$A$2:$A$5000,"&lt;"&amp;EDATE($A129,1),Entries!$B$2:$B$5000,AG$1))</f>
        <v/>
      </c>
      <c r="AH129" s="23">
        <f>IF(OR(AH$1="",$BM129=0),"",SUMIFS(Entries!$E$2:$E$5000,Entries!$C$2:$C$5000,"Actual",Entries!$A$2:$A$5000,"&gt;="&amp;$A129,Entries!$A$2:$A$5000,"&lt;"&amp;EDATE($A129,1),Entries!$B$2:$B$5000,AH$1))</f>
        <v/>
      </c>
      <c r="AI129" s="23">
        <f>IF(OR(AI$1="",$BM129=0),"",SUMIFS(Entries!$E$2:$E$5000,Entries!$C$2:$C$5000,"Actual",Entries!$A$2:$A$5000,"&gt;="&amp;$A129,Entries!$A$2:$A$5000,"&lt;"&amp;EDATE($A129,1),Entries!$B$2:$B$5000,AI$1))</f>
        <v/>
      </c>
      <c r="AJ129" s="23">
        <f>IF(OR(AJ$1="",$BM129=0),"",SUMIFS(Entries!$E$2:$E$5000,Entries!$C$2:$C$5000,"Actual",Entries!$A$2:$A$5000,"&gt;="&amp;$A129,Entries!$A$2:$A$5000,"&lt;"&amp;EDATE($A129,1),Entries!$B$2:$B$5000,AJ$1))</f>
        <v/>
      </c>
      <c r="AK129" s="23">
        <f>IF(OR(AK$1="",$BM129=0),"",SUMIFS(Entries!$E$2:$E$5000,Entries!$C$2:$C$5000,"Actual",Entries!$A$2:$A$5000,"&gt;="&amp;$A129,Entries!$A$2:$A$5000,"&lt;"&amp;EDATE($A129,1),Entries!$B$2:$B$5000,AK$1))</f>
        <v/>
      </c>
      <c r="AL129" s="23">
        <f>IF(OR(AL$1="",$BM129=0),"",SUMIFS(Entries!$E$2:$E$5000,Entries!$C$2:$C$5000,"Actual",Entries!$A$2:$A$5000,"&gt;="&amp;$A129,Entries!$A$2:$A$5000,"&lt;"&amp;EDATE($A129,1),Entries!$B$2:$B$5000,AL$1))</f>
        <v/>
      </c>
      <c r="AM129" s="23">
        <f>IF(OR(AM$1="",$BM129=0),"",SUMIFS(Entries!$E$2:$E$5000,Entries!$C$2:$C$5000,"Actual",Entries!$A$2:$A$5000,"&gt;="&amp;$A129,Entries!$A$2:$A$5000,"&lt;"&amp;EDATE($A129,1),Entries!$B$2:$B$5000,AM$1))</f>
        <v/>
      </c>
      <c r="AN129" s="23">
        <f>IF(OR(AN$1="",$BM129=0),"",SUMIFS(Entries!$E$2:$E$5000,Entries!$C$2:$C$5000,"Actual",Entries!$A$2:$A$5000,"&gt;="&amp;$A129,Entries!$A$2:$A$5000,"&lt;"&amp;EDATE($A129,1),Entries!$B$2:$B$5000,AN$1))</f>
        <v/>
      </c>
      <c r="AO129" s="23">
        <f>IF(OR(AO$1="",$BM129=0),"",SUMIFS(Entries!$E$2:$E$5000,Entries!$C$2:$C$5000,"Actual",Entries!$A$2:$A$5000,"&gt;="&amp;$A129,Entries!$A$2:$A$5000,"&lt;"&amp;EDATE($A129,1),Entries!$B$2:$B$5000,AO$1))</f>
        <v/>
      </c>
      <c r="AP129" s="23">
        <f>IF(OR(AP$1="",$BM129=0),"",SUMIFS(Entries!$E$2:$E$5000,Entries!$C$2:$C$5000,"Actual",Entries!$A$2:$A$5000,"&gt;="&amp;$A129,Entries!$A$2:$A$5000,"&lt;"&amp;EDATE($A129,1),Entries!$B$2:$B$5000,AP$1))</f>
        <v/>
      </c>
      <c r="AR129" s="23">
        <f>IF(OR(AR$1="",$BM129=0),"",IFERROR(LOOKUP(2,1/((Budgets!$A$2:$A$200=AR$1)*(Budgets!$B$2:$B$200&lt;EDATE($A129,1))),Budgets!$C$2:$C$200),0))</f>
        <v/>
      </c>
      <c r="AS129" s="23">
        <f>IF(OR(AS$1="",$BM129=0),"",IFERROR(LOOKUP(2,1/((Budgets!$A$2:$A$200=AS$1)*(Budgets!$B$2:$B$200&lt;EDATE($A129,1))),Budgets!$C$2:$C$200),0))</f>
        <v/>
      </c>
      <c r="AT129" s="23">
        <f>IF(OR(AT$1="",$BM129=0),"",IFERROR(LOOKUP(2,1/((Budgets!$A$2:$A$200=AT$1)*(Budgets!$B$2:$B$200&lt;EDATE($A129,1))),Budgets!$C$2:$C$200),0))</f>
        <v/>
      </c>
      <c r="AU129" s="23">
        <f>IF(OR(AU$1="",$BM129=0),"",IFERROR(LOOKUP(2,1/((Budgets!$A$2:$A$200=AU$1)*(Budgets!$B$2:$B$200&lt;EDATE($A129,1))),Budgets!$C$2:$C$200),0))</f>
        <v/>
      </c>
      <c r="AV129" s="23">
        <f>IF(OR(AV$1="",$BM129=0),"",IFERROR(LOOKUP(2,1/((Budgets!$A$2:$A$200=AV$1)*(Budgets!$B$2:$B$200&lt;EDATE($A129,1))),Budgets!$C$2:$C$200),0))</f>
        <v/>
      </c>
      <c r="AW129" s="23">
        <f>IF(OR(AW$1="",$BM129=0),"",IFERROR(LOOKUP(2,1/((Budgets!$A$2:$A$200=AW$1)*(Budgets!$B$2:$B$200&lt;EDATE($A129,1))),Budgets!$C$2:$C$200),0))</f>
        <v/>
      </c>
      <c r="AX129" s="23">
        <f>IF(OR(AX$1="",$BM129=0),"",IFERROR(LOOKUP(2,1/((Budgets!$A$2:$A$200=AX$1)*(Budgets!$B$2:$B$200&lt;EDATE($A129,1))),Budgets!$C$2:$C$200),0))</f>
        <v/>
      </c>
      <c r="AY129" s="23">
        <f>IF(OR(AY$1="",$BM129=0),"",IFERROR(LOOKUP(2,1/((Budgets!$A$2:$A$200=AY$1)*(Budgets!$B$2:$B$200&lt;EDATE($A129,1))),Budgets!$C$2:$C$200),0))</f>
        <v/>
      </c>
      <c r="AZ129" s="23">
        <f>IF(OR(AZ$1="",$BM129=0),"",IFERROR(LOOKUP(2,1/((Budgets!$A$2:$A$200=AZ$1)*(Budgets!$B$2:$B$200&lt;EDATE($A129,1))),Budgets!$C$2:$C$200),0))</f>
        <v/>
      </c>
      <c r="BA129" s="23">
        <f>IF(OR(BA$1="",$BM129=0),"",IFERROR(LOOKUP(2,1/((Budgets!$A$2:$A$200=BA$1)*(Budgets!$B$2:$B$200&lt;EDATE($A129,1))),Budgets!$C$2:$C$200),0))</f>
        <v/>
      </c>
      <c r="BB129" s="23">
        <f>IF(OR(BB$1="",$BM129=0),"",IFERROR(LOOKUP(2,1/((Budgets!$A$2:$A$200=BB$1)*(Budgets!$B$2:$B$200&lt;EDATE($A129,1))),Budgets!$C$2:$C$200),0))</f>
        <v/>
      </c>
      <c r="BC129" s="23">
        <f>IF(OR(BC$1="",$BM129=0),"",IFERROR(LOOKUP(2,1/((Budgets!$A$2:$A$200=BC$1)*(Budgets!$B$2:$B$200&lt;EDATE($A129,1))),Budgets!$C$2:$C$200),0))</f>
        <v/>
      </c>
      <c r="BD129" s="23">
        <f>IF(OR(BD$1="",$BM129=0),"",IFERROR(LOOKUP(2,1/((Budgets!$A$2:$A$200=BD$1)*(Budgets!$B$2:$B$200&lt;EDATE($A129,1))),Budgets!$C$2:$C$200),0))</f>
        <v/>
      </c>
      <c r="BE129" s="23">
        <f>IF(OR(BE$1="",$BM129=0),"",IFERROR(LOOKUP(2,1/((Budgets!$A$2:$A$200=BE$1)*(Budgets!$B$2:$B$200&lt;EDATE($A129,1))),Budgets!$C$2:$C$200),0))</f>
        <v/>
      </c>
      <c r="BF129" s="23">
        <f>IF(OR(BF$1="",$BM129=0),"",IFERROR(LOOKUP(2,1/((Budgets!$A$2:$A$200=BF$1)*(Budgets!$B$2:$B$200&lt;EDATE($A129,1))),Budgets!$C$2:$C$200),0))</f>
        <v/>
      </c>
      <c r="BG129" s="23">
        <f>IF(OR(BG$1="",$BM129=0),"",IFERROR(LOOKUP(2,1/((Budgets!$A$2:$A$200=BG$1)*(Budgets!$B$2:$B$200&lt;EDATE($A129,1))),Budgets!$C$2:$C$200),0))</f>
        <v/>
      </c>
      <c r="BH129" s="23">
        <f>IF(OR(BH$1="",$BM129=0),"",IFERROR(LOOKUP(2,1/((Budgets!$A$2:$A$200=BH$1)*(Budgets!$B$2:$B$200&lt;EDATE($A129,1))),Budgets!$C$2:$C$200),0))</f>
        <v/>
      </c>
      <c r="BI129" s="23">
        <f>IF(OR(BI$1="",$BM129=0),"",IFERROR(LOOKUP(2,1/((Budgets!$A$2:$A$200=BI$1)*(Budgets!$B$2:$B$200&lt;EDATE($A129,1))),Budgets!$C$2:$C$200),0))</f>
        <v/>
      </c>
      <c r="BJ129" s="23">
        <f>IF(OR(BJ$1="",$BM129=0),"",IFERROR(LOOKUP(2,1/((Budgets!$A$2:$A$200=BJ$1)*(Budgets!$B$2:$B$200&lt;EDATE($A129,1))),Budgets!$C$2:$C$200),0))</f>
        <v/>
      </c>
      <c r="BK129" s="23">
        <f>IF(OR(BK$1="",$BM129=0),"",IFERROR(LOOKUP(2,1/((Budgets!$A$2:$A$200=BK$1)*(Budgets!$B$2:$B$200&lt;EDATE($A129,1))),Budgets!$C$2:$C$200),0))</f>
        <v/>
      </c>
      <c r="BM129" s="21">
        <f>COUNTIFS(Entries!$A$2:$A$5000,"&gt;="&amp;$A129,Entries!$A$2:$A$5000,"&lt;"&amp;EDATE($A129,1))</f>
        <v/>
      </c>
    </row>
    <row r="130">
      <c r="A130" s="22" t="n">
        <v>43344</v>
      </c>
      <c r="B130" s="23">
        <f>IF($BM130=0,NA(),SUMIFS(Entries!$E$2:$E$5000,Entries!$C$2:$C$5000,"Income",Entries!$A$2:$A$5000,"&gt;="&amp;$A130,Entries!$A$2:$A$5000,"&lt;"&amp;EDATE($A130,1)))</f>
        <v/>
      </c>
      <c r="C130" s="23">
        <f>IF($BM130=0,"",SUMIFS(Entries!$E$2:$E$5000,Entries!$C$2:$C$5000,"Actual",Entries!$A$2:$A$5000,"&gt;="&amp;$A130,Entries!$A$2:$A$5000,"&lt;"&amp;EDATE($A130,1)))</f>
        <v/>
      </c>
      <c r="D130" s="23">
        <f>IF($BM130=0,"",SUMIFS(Entries!$E$2:$E$5000,Entries!$C$2:$C$5000,"One-off",Entries!$A$2:$A$5000,"&gt;="&amp;$A130,Entries!$A$2:$A$5000,"&lt;"&amp;EDATE($A130,1)))</f>
        <v/>
      </c>
      <c r="E130" s="23">
        <f>IF($BM130=0,NA(),C130+D130)</f>
        <v/>
      </c>
      <c r="F130" s="23">
        <f>IF($BM130=0,"",SUM(AR130:BK130))</f>
        <v/>
      </c>
      <c r="G130" s="23">
        <f>IF($BM130=0,"",B130-E130)</f>
        <v/>
      </c>
      <c r="H130" s="23">
        <f>IF($BM130=0,"",SUM($G$2:G130))</f>
        <v/>
      </c>
      <c r="I130" s="23">
        <f>IF($BM130=0,"",SUMIFS(Entries!$G$2:$G$5000,Entries!$A$2:$A$5000,"&gt;="&amp;$A130,Entries!$A$2:$A$5000,"&lt;"&amp;EDATE($A130,1)))</f>
        <v/>
      </c>
      <c r="J130" s="23">
        <f>IF($BM130=0,NA(),H130)</f>
        <v/>
      </c>
      <c r="K130" s="23">
        <f>IF($BM130=0,"",SUMIFS(Entries!$E$2:$E$5000,Entries!$C$2:$C$5000,"Income",Entries!$A$2:$A$5000,"&gt;="&amp;EDATE($A130,-11),Entries!$A$2:$A$5000,"&lt;"&amp;EDATE($A130,1))/COUNTIFS($A$2:$A$400,"&gt;="&amp;EDATE($A130,-11),$A$2:$A$400,"&lt;"&amp;EDATE($A130,1),$BM$2:$BM$400,"&gt;0"))</f>
      </c>
      <c r="L130" s="23">
        <f>IF($BM130=0,"",(SUMIFS(Entries!$E$2:$E$5000,Entries!$C$2:$C$5000,"Actual",Entries!$A$2:$A$5000,"&gt;="&amp;EDATE($A130,-11),Entries!$A$2:$A$5000,"&lt;"&amp;EDATE($A130,1))+SUMIFS(Entries!$E$2:$E$5000,Entries!$C$2:$C$5000,"One-off",Entries!$A$2:$A$5000,"&gt;="&amp;EDATE($A130,-11),Entries!$A$2:$A$5000,"&lt;"&amp;EDATE($A130,1)))/COUNTIFS($A$2:$A$400,"&gt;="&amp;EDATE($A130,-11),$A$2:$A$400,"&lt;"&amp;EDATE($A130,1),$BM$2:$BM$400,"&gt;0"))</f>
      </c>
      <c r="M130" s="24">
        <f>IF($BM130=0,NA(),IFERROR((K130-L130)/K130,0))</f>
        <v/>
      </c>
      <c r="N130" s="23">
        <f>IF($BM130=0,NA(),SUMIFS(Entries!$E$2:$E$5000,Entries!$D$2:$D$5000,"Core",Entries!$A$2:$A$5000,"&gt;="&amp;$A130,Entries!$A$2:$A$5000,"&lt;"&amp;EDATE($A130,1)))</f>
        <v/>
      </c>
      <c r="O130" s="23">
        <f>IF($BM130=0,NA(),SUMIFS(Entries!$E$2:$E$5000,Entries!$D$2:$D$5000,"Over &amp; above",Entries!$A$2:$A$5000,"&gt;="&amp;$A130,Entries!$A$2:$A$5000,"&lt;"&amp;EDATE($A130,1)))</f>
        <v/>
      </c>
      <c r="P130" s="23">
        <f>IF($BM130=0,NA(),SUMIFS(Entries!$E$2:$E$5000,Entries!$D$2:$D$5000,"One-off",Entries!$A$2:$A$5000,"&gt;="&amp;$A130,Entries!$A$2:$A$5000,"&lt;"&amp;EDATE($A130,1)))</f>
        <v/>
      </c>
      <c r="Q130" s="23">
        <f>IF($BM130=0,NA(),SUMIFS(Entries!$E$2:$E$5000,Entries!$D$2:$D$5000,"Reimbursable",Entries!$A$2:$A$5000,"&gt;="&amp;$A130,Entries!$A$2:$A$5000,"&lt;"&amp;EDATE($A130,1)))</f>
        <v/>
      </c>
      <c r="R130" s="23">
        <f>IF($BM130=0,NA(),SUMIFS(Entries!$E$2:$E$5000,Entries!$D$2:$D$5000,"Investment",Entries!$A$2:$A$5000,"&gt;="&amp;$A130,Entries!$A$2:$A$5000,"&lt;"&amp;EDATE($A130,1)))</f>
        <v/>
      </c>
      <c r="S130" s="23">
        <f>IF($BM130=0,NA(),N130+O130)</f>
        <v/>
      </c>
      <c r="T130" s="23">
        <f>IF($BM130=0,"",E130-Q130)</f>
        <v/>
      </c>
      <c r="W130" s="23">
        <f>IF(OR(W$1="",$BM130=0),"",SUMIFS(Entries!$E$2:$E$5000,Entries!$C$2:$C$5000,"Actual",Entries!$A$2:$A$5000,"&gt;="&amp;$A130,Entries!$A$2:$A$5000,"&lt;"&amp;EDATE($A130,1),Entries!$B$2:$B$5000,W$1))</f>
        <v/>
      </c>
      <c r="X130" s="23">
        <f>IF(OR(X$1="",$BM130=0),"",SUMIFS(Entries!$E$2:$E$5000,Entries!$C$2:$C$5000,"Actual",Entries!$A$2:$A$5000,"&gt;="&amp;$A130,Entries!$A$2:$A$5000,"&lt;"&amp;EDATE($A130,1),Entries!$B$2:$B$5000,X$1))</f>
        <v/>
      </c>
      <c r="Y130" s="23">
        <f>IF(OR(Y$1="",$BM130=0),"",SUMIFS(Entries!$E$2:$E$5000,Entries!$C$2:$C$5000,"Actual",Entries!$A$2:$A$5000,"&gt;="&amp;$A130,Entries!$A$2:$A$5000,"&lt;"&amp;EDATE($A130,1),Entries!$B$2:$B$5000,Y$1))</f>
        <v/>
      </c>
      <c r="Z130" s="23">
        <f>IF(OR(Z$1="",$BM130=0),"",SUMIFS(Entries!$E$2:$E$5000,Entries!$C$2:$C$5000,"Actual",Entries!$A$2:$A$5000,"&gt;="&amp;$A130,Entries!$A$2:$A$5000,"&lt;"&amp;EDATE($A130,1),Entries!$B$2:$B$5000,Z$1))</f>
        <v/>
      </c>
      <c r="AA130" s="23">
        <f>IF(OR(AA$1="",$BM130=0),"",SUMIFS(Entries!$E$2:$E$5000,Entries!$C$2:$C$5000,"Actual",Entries!$A$2:$A$5000,"&gt;="&amp;$A130,Entries!$A$2:$A$5000,"&lt;"&amp;EDATE($A130,1),Entries!$B$2:$B$5000,AA$1))</f>
        <v/>
      </c>
      <c r="AB130" s="23">
        <f>IF(OR(AB$1="",$BM130=0),"",SUMIFS(Entries!$E$2:$E$5000,Entries!$C$2:$C$5000,"Actual",Entries!$A$2:$A$5000,"&gt;="&amp;$A130,Entries!$A$2:$A$5000,"&lt;"&amp;EDATE($A130,1),Entries!$B$2:$B$5000,AB$1))</f>
        <v/>
      </c>
      <c r="AC130" s="23">
        <f>IF(OR(AC$1="",$BM130=0),"",SUMIFS(Entries!$E$2:$E$5000,Entries!$C$2:$C$5000,"Actual",Entries!$A$2:$A$5000,"&gt;="&amp;$A130,Entries!$A$2:$A$5000,"&lt;"&amp;EDATE($A130,1),Entries!$B$2:$B$5000,AC$1))</f>
        <v/>
      </c>
      <c r="AD130" s="23">
        <f>IF(OR(AD$1="",$BM130=0),"",SUMIFS(Entries!$E$2:$E$5000,Entries!$C$2:$C$5000,"Actual",Entries!$A$2:$A$5000,"&gt;="&amp;$A130,Entries!$A$2:$A$5000,"&lt;"&amp;EDATE($A130,1),Entries!$B$2:$B$5000,AD$1))</f>
        <v/>
      </c>
      <c r="AE130" s="23">
        <f>IF(OR(AE$1="",$BM130=0),"",SUMIFS(Entries!$E$2:$E$5000,Entries!$C$2:$C$5000,"Actual",Entries!$A$2:$A$5000,"&gt;="&amp;$A130,Entries!$A$2:$A$5000,"&lt;"&amp;EDATE($A130,1),Entries!$B$2:$B$5000,AE$1))</f>
        <v/>
      </c>
      <c r="AF130" s="23">
        <f>IF(OR(AF$1="",$BM130=0),"",SUMIFS(Entries!$E$2:$E$5000,Entries!$C$2:$C$5000,"Actual",Entries!$A$2:$A$5000,"&gt;="&amp;$A130,Entries!$A$2:$A$5000,"&lt;"&amp;EDATE($A130,1),Entries!$B$2:$B$5000,AF$1))</f>
        <v/>
      </c>
      <c r="AG130" s="23">
        <f>IF(OR(AG$1="",$BM130=0),"",SUMIFS(Entries!$E$2:$E$5000,Entries!$C$2:$C$5000,"Actual",Entries!$A$2:$A$5000,"&gt;="&amp;$A130,Entries!$A$2:$A$5000,"&lt;"&amp;EDATE($A130,1),Entries!$B$2:$B$5000,AG$1))</f>
        <v/>
      </c>
      <c r="AH130" s="23">
        <f>IF(OR(AH$1="",$BM130=0),"",SUMIFS(Entries!$E$2:$E$5000,Entries!$C$2:$C$5000,"Actual",Entries!$A$2:$A$5000,"&gt;="&amp;$A130,Entries!$A$2:$A$5000,"&lt;"&amp;EDATE($A130,1),Entries!$B$2:$B$5000,AH$1))</f>
        <v/>
      </c>
      <c r="AI130" s="23">
        <f>IF(OR(AI$1="",$BM130=0),"",SUMIFS(Entries!$E$2:$E$5000,Entries!$C$2:$C$5000,"Actual",Entries!$A$2:$A$5000,"&gt;="&amp;$A130,Entries!$A$2:$A$5000,"&lt;"&amp;EDATE($A130,1),Entries!$B$2:$B$5000,AI$1))</f>
        <v/>
      </c>
      <c r="AJ130" s="23">
        <f>IF(OR(AJ$1="",$BM130=0),"",SUMIFS(Entries!$E$2:$E$5000,Entries!$C$2:$C$5000,"Actual",Entries!$A$2:$A$5000,"&gt;="&amp;$A130,Entries!$A$2:$A$5000,"&lt;"&amp;EDATE($A130,1),Entries!$B$2:$B$5000,AJ$1))</f>
        <v/>
      </c>
      <c r="AK130" s="23">
        <f>IF(OR(AK$1="",$BM130=0),"",SUMIFS(Entries!$E$2:$E$5000,Entries!$C$2:$C$5000,"Actual",Entries!$A$2:$A$5000,"&gt;="&amp;$A130,Entries!$A$2:$A$5000,"&lt;"&amp;EDATE($A130,1),Entries!$B$2:$B$5000,AK$1))</f>
        <v/>
      </c>
      <c r="AL130" s="23">
        <f>IF(OR(AL$1="",$BM130=0),"",SUMIFS(Entries!$E$2:$E$5000,Entries!$C$2:$C$5000,"Actual",Entries!$A$2:$A$5000,"&gt;="&amp;$A130,Entries!$A$2:$A$5000,"&lt;"&amp;EDATE($A130,1),Entries!$B$2:$B$5000,AL$1))</f>
        <v/>
      </c>
      <c r="AM130" s="23">
        <f>IF(OR(AM$1="",$BM130=0),"",SUMIFS(Entries!$E$2:$E$5000,Entries!$C$2:$C$5000,"Actual",Entries!$A$2:$A$5000,"&gt;="&amp;$A130,Entries!$A$2:$A$5000,"&lt;"&amp;EDATE($A130,1),Entries!$B$2:$B$5000,AM$1))</f>
        <v/>
      </c>
      <c r="AN130" s="23">
        <f>IF(OR(AN$1="",$BM130=0),"",SUMIFS(Entries!$E$2:$E$5000,Entries!$C$2:$C$5000,"Actual",Entries!$A$2:$A$5000,"&gt;="&amp;$A130,Entries!$A$2:$A$5000,"&lt;"&amp;EDATE($A130,1),Entries!$B$2:$B$5000,AN$1))</f>
        <v/>
      </c>
      <c r="AO130" s="23">
        <f>IF(OR(AO$1="",$BM130=0),"",SUMIFS(Entries!$E$2:$E$5000,Entries!$C$2:$C$5000,"Actual",Entries!$A$2:$A$5000,"&gt;="&amp;$A130,Entries!$A$2:$A$5000,"&lt;"&amp;EDATE($A130,1),Entries!$B$2:$B$5000,AO$1))</f>
        <v/>
      </c>
      <c r="AP130" s="23">
        <f>IF(OR(AP$1="",$BM130=0),"",SUMIFS(Entries!$E$2:$E$5000,Entries!$C$2:$C$5000,"Actual",Entries!$A$2:$A$5000,"&gt;="&amp;$A130,Entries!$A$2:$A$5000,"&lt;"&amp;EDATE($A130,1),Entries!$B$2:$B$5000,AP$1))</f>
        <v/>
      </c>
      <c r="AR130" s="23">
        <f>IF(OR(AR$1="",$BM130=0),"",IFERROR(LOOKUP(2,1/((Budgets!$A$2:$A$200=AR$1)*(Budgets!$B$2:$B$200&lt;EDATE($A130,1))),Budgets!$C$2:$C$200),0))</f>
        <v/>
      </c>
      <c r="AS130" s="23">
        <f>IF(OR(AS$1="",$BM130=0),"",IFERROR(LOOKUP(2,1/((Budgets!$A$2:$A$200=AS$1)*(Budgets!$B$2:$B$200&lt;EDATE($A130,1))),Budgets!$C$2:$C$200),0))</f>
        <v/>
      </c>
      <c r="AT130" s="23">
        <f>IF(OR(AT$1="",$BM130=0),"",IFERROR(LOOKUP(2,1/((Budgets!$A$2:$A$200=AT$1)*(Budgets!$B$2:$B$200&lt;EDATE($A130,1))),Budgets!$C$2:$C$200),0))</f>
        <v/>
      </c>
      <c r="AU130" s="23">
        <f>IF(OR(AU$1="",$BM130=0),"",IFERROR(LOOKUP(2,1/((Budgets!$A$2:$A$200=AU$1)*(Budgets!$B$2:$B$200&lt;EDATE($A130,1))),Budgets!$C$2:$C$200),0))</f>
        <v/>
      </c>
      <c r="AV130" s="23">
        <f>IF(OR(AV$1="",$BM130=0),"",IFERROR(LOOKUP(2,1/((Budgets!$A$2:$A$200=AV$1)*(Budgets!$B$2:$B$200&lt;EDATE($A130,1))),Budgets!$C$2:$C$200),0))</f>
        <v/>
      </c>
      <c r="AW130" s="23">
        <f>IF(OR(AW$1="",$BM130=0),"",IFERROR(LOOKUP(2,1/((Budgets!$A$2:$A$200=AW$1)*(Budgets!$B$2:$B$200&lt;EDATE($A130,1))),Budgets!$C$2:$C$200),0))</f>
        <v/>
      </c>
      <c r="AX130" s="23">
        <f>IF(OR(AX$1="",$BM130=0),"",IFERROR(LOOKUP(2,1/((Budgets!$A$2:$A$200=AX$1)*(Budgets!$B$2:$B$200&lt;EDATE($A130,1))),Budgets!$C$2:$C$200),0))</f>
        <v/>
      </c>
      <c r="AY130" s="23">
        <f>IF(OR(AY$1="",$BM130=0),"",IFERROR(LOOKUP(2,1/((Budgets!$A$2:$A$200=AY$1)*(Budgets!$B$2:$B$200&lt;EDATE($A130,1))),Budgets!$C$2:$C$200),0))</f>
        <v/>
      </c>
      <c r="AZ130" s="23">
        <f>IF(OR(AZ$1="",$BM130=0),"",IFERROR(LOOKUP(2,1/((Budgets!$A$2:$A$200=AZ$1)*(Budgets!$B$2:$B$200&lt;EDATE($A130,1))),Budgets!$C$2:$C$200),0))</f>
        <v/>
      </c>
      <c r="BA130" s="23">
        <f>IF(OR(BA$1="",$BM130=0),"",IFERROR(LOOKUP(2,1/((Budgets!$A$2:$A$200=BA$1)*(Budgets!$B$2:$B$200&lt;EDATE($A130,1))),Budgets!$C$2:$C$200),0))</f>
        <v/>
      </c>
      <c r="BB130" s="23">
        <f>IF(OR(BB$1="",$BM130=0),"",IFERROR(LOOKUP(2,1/((Budgets!$A$2:$A$200=BB$1)*(Budgets!$B$2:$B$200&lt;EDATE($A130,1))),Budgets!$C$2:$C$200),0))</f>
        <v/>
      </c>
      <c r="BC130" s="23">
        <f>IF(OR(BC$1="",$BM130=0),"",IFERROR(LOOKUP(2,1/((Budgets!$A$2:$A$200=BC$1)*(Budgets!$B$2:$B$200&lt;EDATE($A130,1))),Budgets!$C$2:$C$200),0))</f>
        <v/>
      </c>
      <c r="BD130" s="23">
        <f>IF(OR(BD$1="",$BM130=0),"",IFERROR(LOOKUP(2,1/((Budgets!$A$2:$A$200=BD$1)*(Budgets!$B$2:$B$200&lt;EDATE($A130,1))),Budgets!$C$2:$C$200),0))</f>
        <v/>
      </c>
      <c r="BE130" s="23">
        <f>IF(OR(BE$1="",$BM130=0),"",IFERROR(LOOKUP(2,1/((Budgets!$A$2:$A$200=BE$1)*(Budgets!$B$2:$B$200&lt;EDATE($A130,1))),Budgets!$C$2:$C$200),0))</f>
        <v/>
      </c>
      <c r="BF130" s="23">
        <f>IF(OR(BF$1="",$BM130=0),"",IFERROR(LOOKUP(2,1/((Budgets!$A$2:$A$200=BF$1)*(Budgets!$B$2:$B$200&lt;EDATE($A130,1))),Budgets!$C$2:$C$200),0))</f>
        <v/>
      </c>
      <c r="BG130" s="23">
        <f>IF(OR(BG$1="",$BM130=0),"",IFERROR(LOOKUP(2,1/((Budgets!$A$2:$A$200=BG$1)*(Budgets!$B$2:$B$200&lt;EDATE($A130,1))),Budgets!$C$2:$C$200),0))</f>
        <v/>
      </c>
      <c r="BH130" s="23">
        <f>IF(OR(BH$1="",$BM130=0),"",IFERROR(LOOKUP(2,1/((Budgets!$A$2:$A$200=BH$1)*(Budgets!$B$2:$B$200&lt;EDATE($A130,1))),Budgets!$C$2:$C$200),0))</f>
        <v/>
      </c>
      <c r="BI130" s="23">
        <f>IF(OR(BI$1="",$BM130=0),"",IFERROR(LOOKUP(2,1/((Budgets!$A$2:$A$200=BI$1)*(Budgets!$B$2:$B$200&lt;EDATE($A130,1))),Budgets!$C$2:$C$200),0))</f>
        <v/>
      </c>
      <c r="BJ130" s="23">
        <f>IF(OR(BJ$1="",$BM130=0),"",IFERROR(LOOKUP(2,1/((Budgets!$A$2:$A$200=BJ$1)*(Budgets!$B$2:$B$200&lt;EDATE($A130,1))),Budgets!$C$2:$C$200),0))</f>
        <v/>
      </c>
      <c r="BK130" s="23">
        <f>IF(OR(BK$1="",$BM130=0),"",IFERROR(LOOKUP(2,1/((Budgets!$A$2:$A$200=BK$1)*(Budgets!$B$2:$B$200&lt;EDATE($A130,1))),Budgets!$C$2:$C$200),0))</f>
        <v/>
      </c>
      <c r="BM130" s="21">
        <f>COUNTIFS(Entries!$A$2:$A$5000,"&gt;="&amp;$A130,Entries!$A$2:$A$5000,"&lt;"&amp;EDATE($A130,1))</f>
        <v/>
      </c>
    </row>
    <row r="131">
      <c r="A131" s="22" t="n">
        <v>43374</v>
      </c>
      <c r="B131" s="23">
        <f>IF($BM131=0,NA(),SUMIFS(Entries!$E$2:$E$5000,Entries!$C$2:$C$5000,"Income",Entries!$A$2:$A$5000,"&gt;="&amp;$A131,Entries!$A$2:$A$5000,"&lt;"&amp;EDATE($A131,1)))</f>
        <v/>
      </c>
      <c r="C131" s="23">
        <f>IF($BM131=0,"",SUMIFS(Entries!$E$2:$E$5000,Entries!$C$2:$C$5000,"Actual",Entries!$A$2:$A$5000,"&gt;="&amp;$A131,Entries!$A$2:$A$5000,"&lt;"&amp;EDATE($A131,1)))</f>
        <v/>
      </c>
      <c r="D131" s="23">
        <f>IF($BM131=0,"",SUMIFS(Entries!$E$2:$E$5000,Entries!$C$2:$C$5000,"One-off",Entries!$A$2:$A$5000,"&gt;="&amp;$A131,Entries!$A$2:$A$5000,"&lt;"&amp;EDATE($A131,1)))</f>
        <v/>
      </c>
      <c r="E131" s="23">
        <f>IF($BM131=0,NA(),C131+D131)</f>
        <v/>
      </c>
      <c r="F131" s="23">
        <f>IF($BM131=0,"",SUM(AR131:BK131))</f>
        <v/>
      </c>
      <c r="G131" s="23">
        <f>IF($BM131=0,"",B131-E131)</f>
        <v/>
      </c>
      <c r="H131" s="23">
        <f>IF($BM131=0,"",SUM($G$2:G131))</f>
        <v/>
      </c>
      <c r="I131" s="23">
        <f>IF($BM131=0,"",SUMIFS(Entries!$G$2:$G$5000,Entries!$A$2:$A$5000,"&gt;="&amp;$A131,Entries!$A$2:$A$5000,"&lt;"&amp;EDATE($A131,1)))</f>
        <v/>
      </c>
      <c r="J131" s="23">
        <f>IF($BM131=0,NA(),H131)</f>
        <v/>
      </c>
      <c r="K131" s="23">
        <f>IF($BM131=0,"",SUMIFS(Entries!$E$2:$E$5000,Entries!$C$2:$C$5000,"Income",Entries!$A$2:$A$5000,"&gt;="&amp;EDATE($A131,-11),Entries!$A$2:$A$5000,"&lt;"&amp;EDATE($A131,1))/COUNTIFS($A$2:$A$400,"&gt;="&amp;EDATE($A131,-11),$A$2:$A$400,"&lt;"&amp;EDATE($A131,1),$BM$2:$BM$400,"&gt;0"))</f>
      </c>
      <c r="L131" s="23">
        <f>IF($BM131=0,"",(SUMIFS(Entries!$E$2:$E$5000,Entries!$C$2:$C$5000,"Actual",Entries!$A$2:$A$5000,"&gt;="&amp;EDATE($A131,-11),Entries!$A$2:$A$5000,"&lt;"&amp;EDATE($A131,1))+SUMIFS(Entries!$E$2:$E$5000,Entries!$C$2:$C$5000,"One-off",Entries!$A$2:$A$5000,"&gt;="&amp;EDATE($A131,-11),Entries!$A$2:$A$5000,"&lt;"&amp;EDATE($A131,1)))/COUNTIFS($A$2:$A$400,"&gt;="&amp;EDATE($A131,-11),$A$2:$A$400,"&lt;"&amp;EDATE($A131,1),$BM$2:$BM$400,"&gt;0"))</f>
      </c>
      <c r="M131" s="24">
        <f>IF($BM131=0,NA(),IFERROR((K131-L131)/K131,0))</f>
        <v/>
      </c>
      <c r="N131" s="23">
        <f>IF($BM131=0,NA(),SUMIFS(Entries!$E$2:$E$5000,Entries!$D$2:$D$5000,"Core",Entries!$A$2:$A$5000,"&gt;="&amp;$A131,Entries!$A$2:$A$5000,"&lt;"&amp;EDATE($A131,1)))</f>
        <v/>
      </c>
      <c r="O131" s="23">
        <f>IF($BM131=0,NA(),SUMIFS(Entries!$E$2:$E$5000,Entries!$D$2:$D$5000,"Over &amp; above",Entries!$A$2:$A$5000,"&gt;="&amp;$A131,Entries!$A$2:$A$5000,"&lt;"&amp;EDATE($A131,1)))</f>
        <v/>
      </c>
      <c r="P131" s="23">
        <f>IF($BM131=0,NA(),SUMIFS(Entries!$E$2:$E$5000,Entries!$D$2:$D$5000,"One-off",Entries!$A$2:$A$5000,"&gt;="&amp;$A131,Entries!$A$2:$A$5000,"&lt;"&amp;EDATE($A131,1)))</f>
        <v/>
      </c>
      <c r="Q131" s="23">
        <f>IF($BM131=0,NA(),SUMIFS(Entries!$E$2:$E$5000,Entries!$D$2:$D$5000,"Reimbursable",Entries!$A$2:$A$5000,"&gt;="&amp;$A131,Entries!$A$2:$A$5000,"&lt;"&amp;EDATE($A131,1)))</f>
        <v/>
      </c>
      <c r="R131" s="23">
        <f>IF($BM131=0,NA(),SUMIFS(Entries!$E$2:$E$5000,Entries!$D$2:$D$5000,"Investment",Entries!$A$2:$A$5000,"&gt;="&amp;$A131,Entries!$A$2:$A$5000,"&lt;"&amp;EDATE($A131,1)))</f>
        <v/>
      </c>
      <c r="S131" s="23">
        <f>IF($BM131=0,NA(),N131+O131)</f>
        <v/>
      </c>
      <c r="T131" s="23">
        <f>IF($BM131=0,"",E131-Q131)</f>
        <v/>
      </c>
      <c r="W131" s="23">
        <f>IF(OR(W$1="",$BM131=0),"",SUMIFS(Entries!$E$2:$E$5000,Entries!$C$2:$C$5000,"Actual",Entries!$A$2:$A$5000,"&gt;="&amp;$A131,Entries!$A$2:$A$5000,"&lt;"&amp;EDATE($A131,1),Entries!$B$2:$B$5000,W$1))</f>
        <v/>
      </c>
      <c r="X131" s="23">
        <f>IF(OR(X$1="",$BM131=0),"",SUMIFS(Entries!$E$2:$E$5000,Entries!$C$2:$C$5000,"Actual",Entries!$A$2:$A$5000,"&gt;="&amp;$A131,Entries!$A$2:$A$5000,"&lt;"&amp;EDATE($A131,1),Entries!$B$2:$B$5000,X$1))</f>
        <v/>
      </c>
      <c r="Y131" s="23">
        <f>IF(OR(Y$1="",$BM131=0),"",SUMIFS(Entries!$E$2:$E$5000,Entries!$C$2:$C$5000,"Actual",Entries!$A$2:$A$5000,"&gt;="&amp;$A131,Entries!$A$2:$A$5000,"&lt;"&amp;EDATE($A131,1),Entries!$B$2:$B$5000,Y$1))</f>
        <v/>
      </c>
      <c r="Z131" s="23">
        <f>IF(OR(Z$1="",$BM131=0),"",SUMIFS(Entries!$E$2:$E$5000,Entries!$C$2:$C$5000,"Actual",Entries!$A$2:$A$5000,"&gt;="&amp;$A131,Entries!$A$2:$A$5000,"&lt;"&amp;EDATE($A131,1),Entries!$B$2:$B$5000,Z$1))</f>
        <v/>
      </c>
      <c r="AA131" s="23">
        <f>IF(OR(AA$1="",$BM131=0),"",SUMIFS(Entries!$E$2:$E$5000,Entries!$C$2:$C$5000,"Actual",Entries!$A$2:$A$5000,"&gt;="&amp;$A131,Entries!$A$2:$A$5000,"&lt;"&amp;EDATE($A131,1),Entries!$B$2:$B$5000,AA$1))</f>
        <v/>
      </c>
      <c r="AB131" s="23">
        <f>IF(OR(AB$1="",$BM131=0),"",SUMIFS(Entries!$E$2:$E$5000,Entries!$C$2:$C$5000,"Actual",Entries!$A$2:$A$5000,"&gt;="&amp;$A131,Entries!$A$2:$A$5000,"&lt;"&amp;EDATE($A131,1),Entries!$B$2:$B$5000,AB$1))</f>
        <v/>
      </c>
      <c r="AC131" s="23">
        <f>IF(OR(AC$1="",$BM131=0),"",SUMIFS(Entries!$E$2:$E$5000,Entries!$C$2:$C$5000,"Actual",Entries!$A$2:$A$5000,"&gt;="&amp;$A131,Entries!$A$2:$A$5000,"&lt;"&amp;EDATE($A131,1),Entries!$B$2:$B$5000,AC$1))</f>
        <v/>
      </c>
      <c r="AD131" s="23">
        <f>IF(OR(AD$1="",$BM131=0),"",SUMIFS(Entries!$E$2:$E$5000,Entries!$C$2:$C$5000,"Actual",Entries!$A$2:$A$5000,"&gt;="&amp;$A131,Entries!$A$2:$A$5000,"&lt;"&amp;EDATE($A131,1),Entries!$B$2:$B$5000,AD$1))</f>
        <v/>
      </c>
      <c r="AE131" s="23">
        <f>IF(OR(AE$1="",$BM131=0),"",SUMIFS(Entries!$E$2:$E$5000,Entries!$C$2:$C$5000,"Actual",Entries!$A$2:$A$5000,"&gt;="&amp;$A131,Entries!$A$2:$A$5000,"&lt;"&amp;EDATE($A131,1),Entries!$B$2:$B$5000,AE$1))</f>
        <v/>
      </c>
      <c r="AF131" s="23">
        <f>IF(OR(AF$1="",$BM131=0),"",SUMIFS(Entries!$E$2:$E$5000,Entries!$C$2:$C$5000,"Actual",Entries!$A$2:$A$5000,"&gt;="&amp;$A131,Entries!$A$2:$A$5000,"&lt;"&amp;EDATE($A131,1),Entries!$B$2:$B$5000,AF$1))</f>
        <v/>
      </c>
      <c r="AG131" s="23">
        <f>IF(OR(AG$1="",$BM131=0),"",SUMIFS(Entries!$E$2:$E$5000,Entries!$C$2:$C$5000,"Actual",Entries!$A$2:$A$5000,"&gt;="&amp;$A131,Entries!$A$2:$A$5000,"&lt;"&amp;EDATE($A131,1),Entries!$B$2:$B$5000,AG$1))</f>
        <v/>
      </c>
      <c r="AH131" s="23">
        <f>IF(OR(AH$1="",$BM131=0),"",SUMIFS(Entries!$E$2:$E$5000,Entries!$C$2:$C$5000,"Actual",Entries!$A$2:$A$5000,"&gt;="&amp;$A131,Entries!$A$2:$A$5000,"&lt;"&amp;EDATE($A131,1),Entries!$B$2:$B$5000,AH$1))</f>
        <v/>
      </c>
      <c r="AI131" s="23">
        <f>IF(OR(AI$1="",$BM131=0),"",SUMIFS(Entries!$E$2:$E$5000,Entries!$C$2:$C$5000,"Actual",Entries!$A$2:$A$5000,"&gt;="&amp;$A131,Entries!$A$2:$A$5000,"&lt;"&amp;EDATE($A131,1),Entries!$B$2:$B$5000,AI$1))</f>
        <v/>
      </c>
      <c r="AJ131" s="23">
        <f>IF(OR(AJ$1="",$BM131=0),"",SUMIFS(Entries!$E$2:$E$5000,Entries!$C$2:$C$5000,"Actual",Entries!$A$2:$A$5000,"&gt;="&amp;$A131,Entries!$A$2:$A$5000,"&lt;"&amp;EDATE($A131,1),Entries!$B$2:$B$5000,AJ$1))</f>
        <v/>
      </c>
      <c r="AK131" s="23">
        <f>IF(OR(AK$1="",$BM131=0),"",SUMIFS(Entries!$E$2:$E$5000,Entries!$C$2:$C$5000,"Actual",Entries!$A$2:$A$5000,"&gt;="&amp;$A131,Entries!$A$2:$A$5000,"&lt;"&amp;EDATE($A131,1),Entries!$B$2:$B$5000,AK$1))</f>
        <v/>
      </c>
      <c r="AL131" s="23">
        <f>IF(OR(AL$1="",$BM131=0),"",SUMIFS(Entries!$E$2:$E$5000,Entries!$C$2:$C$5000,"Actual",Entries!$A$2:$A$5000,"&gt;="&amp;$A131,Entries!$A$2:$A$5000,"&lt;"&amp;EDATE($A131,1),Entries!$B$2:$B$5000,AL$1))</f>
        <v/>
      </c>
      <c r="AM131" s="23">
        <f>IF(OR(AM$1="",$BM131=0),"",SUMIFS(Entries!$E$2:$E$5000,Entries!$C$2:$C$5000,"Actual",Entries!$A$2:$A$5000,"&gt;="&amp;$A131,Entries!$A$2:$A$5000,"&lt;"&amp;EDATE($A131,1),Entries!$B$2:$B$5000,AM$1))</f>
        <v/>
      </c>
      <c r="AN131" s="23">
        <f>IF(OR(AN$1="",$BM131=0),"",SUMIFS(Entries!$E$2:$E$5000,Entries!$C$2:$C$5000,"Actual",Entries!$A$2:$A$5000,"&gt;="&amp;$A131,Entries!$A$2:$A$5000,"&lt;"&amp;EDATE($A131,1),Entries!$B$2:$B$5000,AN$1))</f>
        <v/>
      </c>
      <c r="AO131" s="23">
        <f>IF(OR(AO$1="",$BM131=0),"",SUMIFS(Entries!$E$2:$E$5000,Entries!$C$2:$C$5000,"Actual",Entries!$A$2:$A$5000,"&gt;="&amp;$A131,Entries!$A$2:$A$5000,"&lt;"&amp;EDATE($A131,1),Entries!$B$2:$B$5000,AO$1))</f>
        <v/>
      </c>
      <c r="AP131" s="23">
        <f>IF(OR(AP$1="",$BM131=0),"",SUMIFS(Entries!$E$2:$E$5000,Entries!$C$2:$C$5000,"Actual",Entries!$A$2:$A$5000,"&gt;="&amp;$A131,Entries!$A$2:$A$5000,"&lt;"&amp;EDATE($A131,1),Entries!$B$2:$B$5000,AP$1))</f>
        <v/>
      </c>
      <c r="AR131" s="23">
        <f>IF(OR(AR$1="",$BM131=0),"",IFERROR(LOOKUP(2,1/((Budgets!$A$2:$A$200=AR$1)*(Budgets!$B$2:$B$200&lt;EDATE($A131,1))),Budgets!$C$2:$C$200),0))</f>
        <v/>
      </c>
      <c r="AS131" s="23">
        <f>IF(OR(AS$1="",$BM131=0),"",IFERROR(LOOKUP(2,1/((Budgets!$A$2:$A$200=AS$1)*(Budgets!$B$2:$B$200&lt;EDATE($A131,1))),Budgets!$C$2:$C$200),0))</f>
        <v/>
      </c>
      <c r="AT131" s="23">
        <f>IF(OR(AT$1="",$BM131=0),"",IFERROR(LOOKUP(2,1/((Budgets!$A$2:$A$200=AT$1)*(Budgets!$B$2:$B$200&lt;EDATE($A131,1))),Budgets!$C$2:$C$200),0))</f>
        <v/>
      </c>
      <c r="AU131" s="23">
        <f>IF(OR(AU$1="",$BM131=0),"",IFERROR(LOOKUP(2,1/((Budgets!$A$2:$A$200=AU$1)*(Budgets!$B$2:$B$200&lt;EDATE($A131,1))),Budgets!$C$2:$C$200),0))</f>
        <v/>
      </c>
      <c r="AV131" s="23">
        <f>IF(OR(AV$1="",$BM131=0),"",IFERROR(LOOKUP(2,1/((Budgets!$A$2:$A$200=AV$1)*(Budgets!$B$2:$B$200&lt;EDATE($A131,1))),Budgets!$C$2:$C$200),0))</f>
        <v/>
      </c>
      <c r="AW131" s="23">
        <f>IF(OR(AW$1="",$BM131=0),"",IFERROR(LOOKUP(2,1/((Budgets!$A$2:$A$200=AW$1)*(Budgets!$B$2:$B$200&lt;EDATE($A131,1))),Budgets!$C$2:$C$200),0))</f>
        <v/>
      </c>
      <c r="AX131" s="23">
        <f>IF(OR(AX$1="",$BM131=0),"",IFERROR(LOOKUP(2,1/((Budgets!$A$2:$A$200=AX$1)*(Budgets!$B$2:$B$200&lt;EDATE($A131,1))),Budgets!$C$2:$C$200),0))</f>
        <v/>
      </c>
      <c r="AY131" s="23">
        <f>IF(OR(AY$1="",$BM131=0),"",IFERROR(LOOKUP(2,1/((Budgets!$A$2:$A$200=AY$1)*(Budgets!$B$2:$B$200&lt;EDATE($A131,1))),Budgets!$C$2:$C$200),0))</f>
        <v/>
      </c>
      <c r="AZ131" s="23">
        <f>IF(OR(AZ$1="",$BM131=0),"",IFERROR(LOOKUP(2,1/((Budgets!$A$2:$A$200=AZ$1)*(Budgets!$B$2:$B$200&lt;EDATE($A131,1))),Budgets!$C$2:$C$200),0))</f>
        <v/>
      </c>
      <c r="BA131" s="23">
        <f>IF(OR(BA$1="",$BM131=0),"",IFERROR(LOOKUP(2,1/((Budgets!$A$2:$A$200=BA$1)*(Budgets!$B$2:$B$200&lt;EDATE($A131,1))),Budgets!$C$2:$C$200),0))</f>
        <v/>
      </c>
      <c r="BB131" s="23">
        <f>IF(OR(BB$1="",$BM131=0),"",IFERROR(LOOKUP(2,1/((Budgets!$A$2:$A$200=BB$1)*(Budgets!$B$2:$B$200&lt;EDATE($A131,1))),Budgets!$C$2:$C$200),0))</f>
        <v/>
      </c>
      <c r="BC131" s="23">
        <f>IF(OR(BC$1="",$BM131=0),"",IFERROR(LOOKUP(2,1/((Budgets!$A$2:$A$200=BC$1)*(Budgets!$B$2:$B$200&lt;EDATE($A131,1))),Budgets!$C$2:$C$200),0))</f>
        <v/>
      </c>
      <c r="BD131" s="23">
        <f>IF(OR(BD$1="",$BM131=0),"",IFERROR(LOOKUP(2,1/((Budgets!$A$2:$A$200=BD$1)*(Budgets!$B$2:$B$200&lt;EDATE($A131,1))),Budgets!$C$2:$C$200),0))</f>
        <v/>
      </c>
      <c r="BE131" s="23">
        <f>IF(OR(BE$1="",$BM131=0),"",IFERROR(LOOKUP(2,1/((Budgets!$A$2:$A$200=BE$1)*(Budgets!$B$2:$B$200&lt;EDATE($A131,1))),Budgets!$C$2:$C$200),0))</f>
        <v/>
      </c>
      <c r="BF131" s="23">
        <f>IF(OR(BF$1="",$BM131=0),"",IFERROR(LOOKUP(2,1/((Budgets!$A$2:$A$200=BF$1)*(Budgets!$B$2:$B$200&lt;EDATE($A131,1))),Budgets!$C$2:$C$200),0))</f>
        <v/>
      </c>
      <c r="BG131" s="23">
        <f>IF(OR(BG$1="",$BM131=0),"",IFERROR(LOOKUP(2,1/((Budgets!$A$2:$A$200=BG$1)*(Budgets!$B$2:$B$200&lt;EDATE($A131,1))),Budgets!$C$2:$C$200),0))</f>
        <v/>
      </c>
      <c r="BH131" s="23">
        <f>IF(OR(BH$1="",$BM131=0),"",IFERROR(LOOKUP(2,1/((Budgets!$A$2:$A$200=BH$1)*(Budgets!$B$2:$B$200&lt;EDATE($A131,1))),Budgets!$C$2:$C$200),0))</f>
        <v/>
      </c>
      <c r="BI131" s="23">
        <f>IF(OR(BI$1="",$BM131=0),"",IFERROR(LOOKUP(2,1/((Budgets!$A$2:$A$200=BI$1)*(Budgets!$B$2:$B$200&lt;EDATE($A131,1))),Budgets!$C$2:$C$200),0))</f>
        <v/>
      </c>
      <c r="BJ131" s="23">
        <f>IF(OR(BJ$1="",$BM131=0),"",IFERROR(LOOKUP(2,1/((Budgets!$A$2:$A$200=BJ$1)*(Budgets!$B$2:$B$200&lt;EDATE($A131,1))),Budgets!$C$2:$C$200),0))</f>
        <v/>
      </c>
      <c r="BK131" s="23">
        <f>IF(OR(BK$1="",$BM131=0),"",IFERROR(LOOKUP(2,1/((Budgets!$A$2:$A$200=BK$1)*(Budgets!$B$2:$B$200&lt;EDATE($A131,1))),Budgets!$C$2:$C$200),0))</f>
        <v/>
      </c>
      <c r="BM131" s="21">
        <f>COUNTIFS(Entries!$A$2:$A$5000,"&gt;="&amp;$A131,Entries!$A$2:$A$5000,"&lt;"&amp;EDATE($A131,1))</f>
        <v/>
      </c>
    </row>
    <row r="132">
      <c r="A132" s="22" t="n">
        <v>43405</v>
      </c>
      <c r="B132" s="23">
        <f>IF($BM132=0,NA(),SUMIFS(Entries!$E$2:$E$5000,Entries!$C$2:$C$5000,"Income",Entries!$A$2:$A$5000,"&gt;="&amp;$A132,Entries!$A$2:$A$5000,"&lt;"&amp;EDATE($A132,1)))</f>
        <v/>
      </c>
      <c r="C132" s="23">
        <f>IF($BM132=0,"",SUMIFS(Entries!$E$2:$E$5000,Entries!$C$2:$C$5000,"Actual",Entries!$A$2:$A$5000,"&gt;="&amp;$A132,Entries!$A$2:$A$5000,"&lt;"&amp;EDATE($A132,1)))</f>
        <v/>
      </c>
      <c r="D132" s="23">
        <f>IF($BM132=0,"",SUMIFS(Entries!$E$2:$E$5000,Entries!$C$2:$C$5000,"One-off",Entries!$A$2:$A$5000,"&gt;="&amp;$A132,Entries!$A$2:$A$5000,"&lt;"&amp;EDATE($A132,1)))</f>
        <v/>
      </c>
      <c r="E132" s="23">
        <f>IF($BM132=0,NA(),C132+D132)</f>
        <v/>
      </c>
      <c r="F132" s="23">
        <f>IF($BM132=0,"",SUM(AR132:BK132))</f>
        <v/>
      </c>
      <c r="G132" s="23">
        <f>IF($BM132=0,"",B132-E132)</f>
        <v/>
      </c>
      <c r="H132" s="23">
        <f>IF($BM132=0,"",SUM($G$2:G132))</f>
        <v/>
      </c>
      <c r="I132" s="23">
        <f>IF($BM132=0,"",SUMIFS(Entries!$G$2:$G$5000,Entries!$A$2:$A$5000,"&gt;="&amp;$A132,Entries!$A$2:$A$5000,"&lt;"&amp;EDATE($A132,1)))</f>
        <v/>
      </c>
      <c r="J132" s="23">
        <f>IF($BM132=0,NA(),H132)</f>
        <v/>
      </c>
      <c r="K132" s="23">
        <f>IF($BM132=0,"",SUMIFS(Entries!$E$2:$E$5000,Entries!$C$2:$C$5000,"Income",Entries!$A$2:$A$5000,"&gt;="&amp;EDATE($A132,-11),Entries!$A$2:$A$5000,"&lt;"&amp;EDATE($A132,1))/COUNTIFS($A$2:$A$400,"&gt;="&amp;EDATE($A132,-11),$A$2:$A$400,"&lt;"&amp;EDATE($A132,1),$BM$2:$BM$400,"&gt;0"))</f>
      </c>
      <c r="L132" s="23">
        <f>IF($BM132=0,"",(SUMIFS(Entries!$E$2:$E$5000,Entries!$C$2:$C$5000,"Actual",Entries!$A$2:$A$5000,"&gt;="&amp;EDATE($A132,-11),Entries!$A$2:$A$5000,"&lt;"&amp;EDATE($A132,1))+SUMIFS(Entries!$E$2:$E$5000,Entries!$C$2:$C$5000,"One-off",Entries!$A$2:$A$5000,"&gt;="&amp;EDATE($A132,-11),Entries!$A$2:$A$5000,"&lt;"&amp;EDATE($A132,1)))/COUNTIFS($A$2:$A$400,"&gt;="&amp;EDATE($A132,-11),$A$2:$A$400,"&lt;"&amp;EDATE($A132,1),$BM$2:$BM$400,"&gt;0"))</f>
      </c>
      <c r="M132" s="24">
        <f>IF($BM132=0,NA(),IFERROR((K132-L132)/K132,0))</f>
        <v/>
      </c>
      <c r="N132" s="23">
        <f>IF($BM132=0,NA(),SUMIFS(Entries!$E$2:$E$5000,Entries!$D$2:$D$5000,"Core",Entries!$A$2:$A$5000,"&gt;="&amp;$A132,Entries!$A$2:$A$5000,"&lt;"&amp;EDATE($A132,1)))</f>
        <v/>
      </c>
      <c r="O132" s="23">
        <f>IF($BM132=0,NA(),SUMIFS(Entries!$E$2:$E$5000,Entries!$D$2:$D$5000,"Over &amp; above",Entries!$A$2:$A$5000,"&gt;="&amp;$A132,Entries!$A$2:$A$5000,"&lt;"&amp;EDATE($A132,1)))</f>
        <v/>
      </c>
      <c r="P132" s="23">
        <f>IF($BM132=0,NA(),SUMIFS(Entries!$E$2:$E$5000,Entries!$D$2:$D$5000,"One-off",Entries!$A$2:$A$5000,"&gt;="&amp;$A132,Entries!$A$2:$A$5000,"&lt;"&amp;EDATE($A132,1)))</f>
        <v/>
      </c>
      <c r="Q132" s="23">
        <f>IF($BM132=0,NA(),SUMIFS(Entries!$E$2:$E$5000,Entries!$D$2:$D$5000,"Reimbursable",Entries!$A$2:$A$5000,"&gt;="&amp;$A132,Entries!$A$2:$A$5000,"&lt;"&amp;EDATE($A132,1)))</f>
        <v/>
      </c>
      <c r="R132" s="23">
        <f>IF($BM132=0,NA(),SUMIFS(Entries!$E$2:$E$5000,Entries!$D$2:$D$5000,"Investment",Entries!$A$2:$A$5000,"&gt;="&amp;$A132,Entries!$A$2:$A$5000,"&lt;"&amp;EDATE($A132,1)))</f>
        <v/>
      </c>
      <c r="S132" s="23">
        <f>IF($BM132=0,NA(),N132+O132)</f>
        <v/>
      </c>
      <c r="T132" s="23">
        <f>IF($BM132=0,"",E132-Q132)</f>
        <v/>
      </c>
      <c r="W132" s="23">
        <f>IF(OR(W$1="",$BM132=0),"",SUMIFS(Entries!$E$2:$E$5000,Entries!$C$2:$C$5000,"Actual",Entries!$A$2:$A$5000,"&gt;="&amp;$A132,Entries!$A$2:$A$5000,"&lt;"&amp;EDATE($A132,1),Entries!$B$2:$B$5000,W$1))</f>
        <v/>
      </c>
      <c r="X132" s="23">
        <f>IF(OR(X$1="",$BM132=0),"",SUMIFS(Entries!$E$2:$E$5000,Entries!$C$2:$C$5000,"Actual",Entries!$A$2:$A$5000,"&gt;="&amp;$A132,Entries!$A$2:$A$5000,"&lt;"&amp;EDATE($A132,1),Entries!$B$2:$B$5000,X$1))</f>
        <v/>
      </c>
      <c r="Y132" s="23">
        <f>IF(OR(Y$1="",$BM132=0),"",SUMIFS(Entries!$E$2:$E$5000,Entries!$C$2:$C$5000,"Actual",Entries!$A$2:$A$5000,"&gt;="&amp;$A132,Entries!$A$2:$A$5000,"&lt;"&amp;EDATE($A132,1),Entries!$B$2:$B$5000,Y$1))</f>
        <v/>
      </c>
      <c r="Z132" s="23">
        <f>IF(OR(Z$1="",$BM132=0),"",SUMIFS(Entries!$E$2:$E$5000,Entries!$C$2:$C$5000,"Actual",Entries!$A$2:$A$5000,"&gt;="&amp;$A132,Entries!$A$2:$A$5000,"&lt;"&amp;EDATE($A132,1),Entries!$B$2:$B$5000,Z$1))</f>
        <v/>
      </c>
      <c r="AA132" s="23">
        <f>IF(OR(AA$1="",$BM132=0),"",SUMIFS(Entries!$E$2:$E$5000,Entries!$C$2:$C$5000,"Actual",Entries!$A$2:$A$5000,"&gt;="&amp;$A132,Entries!$A$2:$A$5000,"&lt;"&amp;EDATE($A132,1),Entries!$B$2:$B$5000,AA$1))</f>
        <v/>
      </c>
      <c r="AB132" s="23">
        <f>IF(OR(AB$1="",$BM132=0),"",SUMIFS(Entries!$E$2:$E$5000,Entries!$C$2:$C$5000,"Actual",Entries!$A$2:$A$5000,"&gt;="&amp;$A132,Entries!$A$2:$A$5000,"&lt;"&amp;EDATE($A132,1),Entries!$B$2:$B$5000,AB$1))</f>
        <v/>
      </c>
      <c r="AC132" s="23">
        <f>IF(OR(AC$1="",$BM132=0),"",SUMIFS(Entries!$E$2:$E$5000,Entries!$C$2:$C$5000,"Actual",Entries!$A$2:$A$5000,"&gt;="&amp;$A132,Entries!$A$2:$A$5000,"&lt;"&amp;EDATE($A132,1),Entries!$B$2:$B$5000,AC$1))</f>
        <v/>
      </c>
      <c r="AD132" s="23">
        <f>IF(OR(AD$1="",$BM132=0),"",SUMIFS(Entries!$E$2:$E$5000,Entries!$C$2:$C$5000,"Actual",Entries!$A$2:$A$5000,"&gt;="&amp;$A132,Entries!$A$2:$A$5000,"&lt;"&amp;EDATE($A132,1),Entries!$B$2:$B$5000,AD$1))</f>
        <v/>
      </c>
      <c r="AE132" s="23">
        <f>IF(OR(AE$1="",$BM132=0),"",SUMIFS(Entries!$E$2:$E$5000,Entries!$C$2:$C$5000,"Actual",Entries!$A$2:$A$5000,"&gt;="&amp;$A132,Entries!$A$2:$A$5000,"&lt;"&amp;EDATE($A132,1),Entries!$B$2:$B$5000,AE$1))</f>
        <v/>
      </c>
      <c r="AF132" s="23">
        <f>IF(OR(AF$1="",$BM132=0),"",SUMIFS(Entries!$E$2:$E$5000,Entries!$C$2:$C$5000,"Actual",Entries!$A$2:$A$5000,"&gt;="&amp;$A132,Entries!$A$2:$A$5000,"&lt;"&amp;EDATE($A132,1),Entries!$B$2:$B$5000,AF$1))</f>
        <v/>
      </c>
      <c r="AG132" s="23">
        <f>IF(OR(AG$1="",$BM132=0),"",SUMIFS(Entries!$E$2:$E$5000,Entries!$C$2:$C$5000,"Actual",Entries!$A$2:$A$5000,"&gt;="&amp;$A132,Entries!$A$2:$A$5000,"&lt;"&amp;EDATE($A132,1),Entries!$B$2:$B$5000,AG$1))</f>
        <v/>
      </c>
      <c r="AH132" s="23">
        <f>IF(OR(AH$1="",$BM132=0),"",SUMIFS(Entries!$E$2:$E$5000,Entries!$C$2:$C$5000,"Actual",Entries!$A$2:$A$5000,"&gt;="&amp;$A132,Entries!$A$2:$A$5000,"&lt;"&amp;EDATE($A132,1),Entries!$B$2:$B$5000,AH$1))</f>
        <v/>
      </c>
      <c r="AI132" s="23">
        <f>IF(OR(AI$1="",$BM132=0),"",SUMIFS(Entries!$E$2:$E$5000,Entries!$C$2:$C$5000,"Actual",Entries!$A$2:$A$5000,"&gt;="&amp;$A132,Entries!$A$2:$A$5000,"&lt;"&amp;EDATE($A132,1),Entries!$B$2:$B$5000,AI$1))</f>
        <v/>
      </c>
      <c r="AJ132" s="23">
        <f>IF(OR(AJ$1="",$BM132=0),"",SUMIFS(Entries!$E$2:$E$5000,Entries!$C$2:$C$5000,"Actual",Entries!$A$2:$A$5000,"&gt;="&amp;$A132,Entries!$A$2:$A$5000,"&lt;"&amp;EDATE($A132,1),Entries!$B$2:$B$5000,AJ$1))</f>
        <v/>
      </c>
      <c r="AK132" s="23">
        <f>IF(OR(AK$1="",$BM132=0),"",SUMIFS(Entries!$E$2:$E$5000,Entries!$C$2:$C$5000,"Actual",Entries!$A$2:$A$5000,"&gt;="&amp;$A132,Entries!$A$2:$A$5000,"&lt;"&amp;EDATE($A132,1),Entries!$B$2:$B$5000,AK$1))</f>
        <v/>
      </c>
      <c r="AL132" s="23">
        <f>IF(OR(AL$1="",$BM132=0),"",SUMIFS(Entries!$E$2:$E$5000,Entries!$C$2:$C$5000,"Actual",Entries!$A$2:$A$5000,"&gt;="&amp;$A132,Entries!$A$2:$A$5000,"&lt;"&amp;EDATE($A132,1),Entries!$B$2:$B$5000,AL$1))</f>
        <v/>
      </c>
      <c r="AM132" s="23">
        <f>IF(OR(AM$1="",$BM132=0),"",SUMIFS(Entries!$E$2:$E$5000,Entries!$C$2:$C$5000,"Actual",Entries!$A$2:$A$5000,"&gt;="&amp;$A132,Entries!$A$2:$A$5000,"&lt;"&amp;EDATE($A132,1),Entries!$B$2:$B$5000,AM$1))</f>
        <v/>
      </c>
      <c r="AN132" s="23">
        <f>IF(OR(AN$1="",$BM132=0),"",SUMIFS(Entries!$E$2:$E$5000,Entries!$C$2:$C$5000,"Actual",Entries!$A$2:$A$5000,"&gt;="&amp;$A132,Entries!$A$2:$A$5000,"&lt;"&amp;EDATE($A132,1),Entries!$B$2:$B$5000,AN$1))</f>
        <v/>
      </c>
      <c r="AO132" s="23">
        <f>IF(OR(AO$1="",$BM132=0),"",SUMIFS(Entries!$E$2:$E$5000,Entries!$C$2:$C$5000,"Actual",Entries!$A$2:$A$5000,"&gt;="&amp;$A132,Entries!$A$2:$A$5000,"&lt;"&amp;EDATE($A132,1),Entries!$B$2:$B$5000,AO$1))</f>
        <v/>
      </c>
      <c r="AP132" s="23">
        <f>IF(OR(AP$1="",$BM132=0),"",SUMIFS(Entries!$E$2:$E$5000,Entries!$C$2:$C$5000,"Actual",Entries!$A$2:$A$5000,"&gt;="&amp;$A132,Entries!$A$2:$A$5000,"&lt;"&amp;EDATE($A132,1),Entries!$B$2:$B$5000,AP$1))</f>
        <v/>
      </c>
      <c r="AR132" s="23">
        <f>IF(OR(AR$1="",$BM132=0),"",IFERROR(LOOKUP(2,1/((Budgets!$A$2:$A$200=AR$1)*(Budgets!$B$2:$B$200&lt;EDATE($A132,1))),Budgets!$C$2:$C$200),0))</f>
        <v/>
      </c>
      <c r="AS132" s="23">
        <f>IF(OR(AS$1="",$BM132=0),"",IFERROR(LOOKUP(2,1/((Budgets!$A$2:$A$200=AS$1)*(Budgets!$B$2:$B$200&lt;EDATE($A132,1))),Budgets!$C$2:$C$200),0))</f>
        <v/>
      </c>
      <c r="AT132" s="23">
        <f>IF(OR(AT$1="",$BM132=0),"",IFERROR(LOOKUP(2,1/((Budgets!$A$2:$A$200=AT$1)*(Budgets!$B$2:$B$200&lt;EDATE($A132,1))),Budgets!$C$2:$C$200),0))</f>
        <v/>
      </c>
      <c r="AU132" s="23">
        <f>IF(OR(AU$1="",$BM132=0),"",IFERROR(LOOKUP(2,1/((Budgets!$A$2:$A$200=AU$1)*(Budgets!$B$2:$B$200&lt;EDATE($A132,1))),Budgets!$C$2:$C$200),0))</f>
        <v/>
      </c>
      <c r="AV132" s="23">
        <f>IF(OR(AV$1="",$BM132=0),"",IFERROR(LOOKUP(2,1/((Budgets!$A$2:$A$200=AV$1)*(Budgets!$B$2:$B$200&lt;EDATE($A132,1))),Budgets!$C$2:$C$200),0))</f>
        <v/>
      </c>
      <c r="AW132" s="23">
        <f>IF(OR(AW$1="",$BM132=0),"",IFERROR(LOOKUP(2,1/((Budgets!$A$2:$A$200=AW$1)*(Budgets!$B$2:$B$200&lt;EDATE($A132,1))),Budgets!$C$2:$C$200),0))</f>
        <v/>
      </c>
      <c r="AX132" s="23">
        <f>IF(OR(AX$1="",$BM132=0),"",IFERROR(LOOKUP(2,1/((Budgets!$A$2:$A$200=AX$1)*(Budgets!$B$2:$B$200&lt;EDATE($A132,1))),Budgets!$C$2:$C$200),0))</f>
        <v/>
      </c>
      <c r="AY132" s="23">
        <f>IF(OR(AY$1="",$BM132=0),"",IFERROR(LOOKUP(2,1/((Budgets!$A$2:$A$200=AY$1)*(Budgets!$B$2:$B$200&lt;EDATE($A132,1))),Budgets!$C$2:$C$200),0))</f>
        <v/>
      </c>
      <c r="AZ132" s="23">
        <f>IF(OR(AZ$1="",$BM132=0),"",IFERROR(LOOKUP(2,1/((Budgets!$A$2:$A$200=AZ$1)*(Budgets!$B$2:$B$200&lt;EDATE($A132,1))),Budgets!$C$2:$C$200),0))</f>
        <v/>
      </c>
      <c r="BA132" s="23">
        <f>IF(OR(BA$1="",$BM132=0),"",IFERROR(LOOKUP(2,1/((Budgets!$A$2:$A$200=BA$1)*(Budgets!$B$2:$B$200&lt;EDATE($A132,1))),Budgets!$C$2:$C$200),0))</f>
        <v/>
      </c>
      <c r="BB132" s="23">
        <f>IF(OR(BB$1="",$BM132=0),"",IFERROR(LOOKUP(2,1/((Budgets!$A$2:$A$200=BB$1)*(Budgets!$B$2:$B$200&lt;EDATE($A132,1))),Budgets!$C$2:$C$200),0))</f>
        <v/>
      </c>
      <c r="BC132" s="23">
        <f>IF(OR(BC$1="",$BM132=0),"",IFERROR(LOOKUP(2,1/((Budgets!$A$2:$A$200=BC$1)*(Budgets!$B$2:$B$200&lt;EDATE($A132,1))),Budgets!$C$2:$C$200),0))</f>
        <v/>
      </c>
      <c r="BD132" s="23">
        <f>IF(OR(BD$1="",$BM132=0),"",IFERROR(LOOKUP(2,1/((Budgets!$A$2:$A$200=BD$1)*(Budgets!$B$2:$B$200&lt;EDATE($A132,1))),Budgets!$C$2:$C$200),0))</f>
        <v/>
      </c>
      <c r="BE132" s="23">
        <f>IF(OR(BE$1="",$BM132=0),"",IFERROR(LOOKUP(2,1/((Budgets!$A$2:$A$200=BE$1)*(Budgets!$B$2:$B$200&lt;EDATE($A132,1))),Budgets!$C$2:$C$200),0))</f>
        <v/>
      </c>
      <c r="BF132" s="23">
        <f>IF(OR(BF$1="",$BM132=0),"",IFERROR(LOOKUP(2,1/((Budgets!$A$2:$A$200=BF$1)*(Budgets!$B$2:$B$200&lt;EDATE($A132,1))),Budgets!$C$2:$C$200),0))</f>
        <v/>
      </c>
      <c r="BG132" s="23">
        <f>IF(OR(BG$1="",$BM132=0),"",IFERROR(LOOKUP(2,1/((Budgets!$A$2:$A$200=BG$1)*(Budgets!$B$2:$B$200&lt;EDATE($A132,1))),Budgets!$C$2:$C$200),0))</f>
        <v/>
      </c>
      <c r="BH132" s="23">
        <f>IF(OR(BH$1="",$BM132=0),"",IFERROR(LOOKUP(2,1/((Budgets!$A$2:$A$200=BH$1)*(Budgets!$B$2:$B$200&lt;EDATE($A132,1))),Budgets!$C$2:$C$200),0))</f>
        <v/>
      </c>
      <c r="BI132" s="23">
        <f>IF(OR(BI$1="",$BM132=0),"",IFERROR(LOOKUP(2,1/((Budgets!$A$2:$A$200=BI$1)*(Budgets!$B$2:$B$200&lt;EDATE($A132,1))),Budgets!$C$2:$C$200),0))</f>
        <v/>
      </c>
      <c r="BJ132" s="23">
        <f>IF(OR(BJ$1="",$BM132=0),"",IFERROR(LOOKUP(2,1/((Budgets!$A$2:$A$200=BJ$1)*(Budgets!$B$2:$B$200&lt;EDATE($A132,1))),Budgets!$C$2:$C$200),0))</f>
        <v/>
      </c>
      <c r="BK132" s="23">
        <f>IF(OR(BK$1="",$BM132=0),"",IFERROR(LOOKUP(2,1/((Budgets!$A$2:$A$200=BK$1)*(Budgets!$B$2:$B$200&lt;EDATE($A132,1))),Budgets!$C$2:$C$200),0))</f>
        <v/>
      </c>
      <c r="BM132" s="21">
        <f>COUNTIFS(Entries!$A$2:$A$5000,"&gt;="&amp;$A132,Entries!$A$2:$A$5000,"&lt;"&amp;EDATE($A132,1))</f>
        <v/>
      </c>
    </row>
    <row r="133">
      <c r="A133" s="22" t="n">
        <v>43435</v>
      </c>
      <c r="B133" s="23">
        <f>IF($BM133=0,NA(),SUMIFS(Entries!$E$2:$E$5000,Entries!$C$2:$C$5000,"Income",Entries!$A$2:$A$5000,"&gt;="&amp;$A133,Entries!$A$2:$A$5000,"&lt;"&amp;EDATE($A133,1)))</f>
        <v/>
      </c>
      <c r="C133" s="23">
        <f>IF($BM133=0,"",SUMIFS(Entries!$E$2:$E$5000,Entries!$C$2:$C$5000,"Actual",Entries!$A$2:$A$5000,"&gt;="&amp;$A133,Entries!$A$2:$A$5000,"&lt;"&amp;EDATE($A133,1)))</f>
        <v/>
      </c>
      <c r="D133" s="23">
        <f>IF($BM133=0,"",SUMIFS(Entries!$E$2:$E$5000,Entries!$C$2:$C$5000,"One-off",Entries!$A$2:$A$5000,"&gt;="&amp;$A133,Entries!$A$2:$A$5000,"&lt;"&amp;EDATE($A133,1)))</f>
        <v/>
      </c>
      <c r="E133" s="23">
        <f>IF($BM133=0,NA(),C133+D133)</f>
        <v/>
      </c>
      <c r="F133" s="23">
        <f>IF($BM133=0,"",SUM(AR133:BK133))</f>
        <v/>
      </c>
      <c r="G133" s="23">
        <f>IF($BM133=0,"",B133-E133)</f>
        <v/>
      </c>
      <c r="H133" s="23">
        <f>IF($BM133=0,"",SUM($G$2:G133))</f>
        <v/>
      </c>
      <c r="I133" s="23">
        <f>IF($BM133=0,"",SUMIFS(Entries!$G$2:$G$5000,Entries!$A$2:$A$5000,"&gt;="&amp;$A133,Entries!$A$2:$A$5000,"&lt;"&amp;EDATE($A133,1)))</f>
        <v/>
      </c>
      <c r="J133" s="23">
        <f>IF($BM133=0,NA(),H133)</f>
        <v/>
      </c>
      <c r="K133" s="23">
        <f>IF($BM133=0,"",SUMIFS(Entries!$E$2:$E$5000,Entries!$C$2:$C$5000,"Income",Entries!$A$2:$A$5000,"&gt;="&amp;EDATE($A133,-11),Entries!$A$2:$A$5000,"&lt;"&amp;EDATE($A133,1))/COUNTIFS($A$2:$A$400,"&gt;="&amp;EDATE($A133,-11),$A$2:$A$400,"&lt;"&amp;EDATE($A133,1),$BM$2:$BM$400,"&gt;0"))</f>
      </c>
      <c r="L133" s="23">
        <f>IF($BM133=0,"",(SUMIFS(Entries!$E$2:$E$5000,Entries!$C$2:$C$5000,"Actual",Entries!$A$2:$A$5000,"&gt;="&amp;EDATE($A133,-11),Entries!$A$2:$A$5000,"&lt;"&amp;EDATE($A133,1))+SUMIFS(Entries!$E$2:$E$5000,Entries!$C$2:$C$5000,"One-off",Entries!$A$2:$A$5000,"&gt;="&amp;EDATE($A133,-11),Entries!$A$2:$A$5000,"&lt;"&amp;EDATE($A133,1)))/COUNTIFS($A$2:$A$400,"&gt;="&amp;EDATE($A133,-11),$A$2:$A$400,"&lt;"&amp;EDATE($A133,1),$BM$2:$BM$400,"&gt;0"))</f>
      </c>
      <c r="M133" s="24">
        <f>IF($BM133=0,NA(),IFERROR((K133-L133)/K133,0))</f>
        <v/>
      </c>
      <c r="N133" s="23">
        <f>IF($BM133=0,NA(),SUMIFS(Entries!$E$2:$E$5000,Entries!$D$2:$D$5000,"Core",Entries!$A$2:$A$5000,"&gt;="&amp;$A133,Entries!$A$2:$A$5000,"&lt;"&amp;EDATE($A133,1)))</f>
        <v/>
      </c>
      <c r="O133" s="23">
        <f>IF($BM133=0,NA(),SUMIFS(Entries!$E$2:$E$5000,Entries!$D$2:$D$5000,"Over &amp; above",Entries!$A$2:$A$5000,"&gt;="&amp;$A133,Entries!$A$2:$A$5000,"&lt;"&amp;EDATE($A133,1)))</f>
        <v/>
      </c>
      <c r="P133" s="23">
        <f>IF($BM133=0,NA(),SUMIFS(Entries!$E$2:$E$5000,Entries!$D$2:$D$5000,"One-off",Entries!$A$2:$A$5000,"&gt;="&amp;$A133,Entries!$A$2:$A$5000,"&lt;"&amp;EDATE($A133,1)))</f>
        <v/>
      </c>
      <c r="Q133" s="23">
        <f>IF($BM133=0,NA(),SUMIFS(Entries!$E$2:$E$5000,Entries!$D$2:$D$5000,"Reimbursable",Entries!$A$2:$A$5000,"&gt;="&amp;$A133,Entries!$A$2:$A$5000,"&lt;"&amp;EDATE($A133,1)))</f>
        <v/>
      </c>
      <c r="R133" s="23">
        <f>IF($BM133=0,NA(),SUMIFS(Entries!$E$2:$E$5000,Entries!$D$2:$D$5000,"Investment",Entries!$A$2:$A$5000,"&gt;="&amp;$A133,Entries!$A$2:$A$5000,"&lt;"&amp;EDATE($A133,1)))</f>
        <v/>
      </c>
      <c r="S133" s="23">
        <f>IF($BM133=0,NA(),N133+O133)</f>
        <v/>
      </c>
      <c r="T133" s="23">
        <f>IF($BM133=0,"",E133-Q133)</f>
        <v/>
      </c>
      <c r="W133" s="23">
        <f>IF(OR(W$1="",$BM133=0),"",SUMIFS(Entries!$E$2:$E$5000,Entries!$C$2:$C$5000,"Actual",Entries!$A$2:$A$5000,"&gt;="&amp;$A133,Entries!$A$2:$A$5000,"&lt;"&amp;EDATE($A133,1),Entries!$B$2:$B$5000,W$1))</f>
        <v/>
      </c>
      <c r="X133" s="23">
        <f>IF(OR(X$1="",$BM133=0),"",SUMIFS(Entries!$E$2:$E$5000,Entries!$C$2:$C$5000,"Actual",Entries!$A$2:$A$5000,"&gt;="&amp;$A133,Entries!$A$2:$A$5000,"&lt;"&amp;EDATE($A133,1),Entries!$B$2:$B$5000,X$1))</f>
        <v/>
      </c>
      <c r="Y133" s="23">
        <f>IF(OR(Y$1="",$BM133=0),"",SUMIFS(Entries!$E$2:$E$5000,Entries!$C$2:$C$5000,"Actual",Entries!$A$2:$A$5000,"&gt;="&amp;$A133,Entries!$A$2:$A$5000,"&lt;"&amp;EDATE($A133,1),Entries!$B$2:$B$5000,Y$1))</f>
        <v/>
      </c>
      <c r="Z133" s="23">
        <f>IF(OR(Z$1="",$BM133=0),"",SUMIFS(Entries!$E$2:$E$5000,Entries!$C$2:$C$5000,"Actual",Entries!$A$2:$A$5000,"&gt;="&amp;$A133,Entries!$A$2:$A$5000,"&lt;"&amp;EDATE($A133,1),Entries!$B$2:$B$5000,Z$1))</f>
        <v/>
      </c>
      <c r="AA133" s="23">
        <f>IF(OR(AA$1="",$BM133=0),"",SUMIFS(Entries!$E$2:$E$5000,Entries!$C$2:$C$5000,"Actual",Entries!$A$2:$A$5000,"&gt;="&amp;$A133,Entries!$A$2:$A$5000,"&lt;"&amp;EDATE($A133,1),Entries!$B$2:$B$5000,AA$1))</f>
        <v/>
      </c>
      <c r="AB133" s="23">
        <f>IF(OR(AB$1="",$BM133=0),"",SUMIFS(Entries!$E$2:$E$5000,Entries!$C$2:$C$5000,"Actual",Entries!$A$2:$A$5000,"&gt;="&amp;$A133,Entries!$A$2:$A$5000,"&lt;"&amp;EDATE($A133,1),Entries!$B$2:$B$5000,AB$1))</f>
        <v/>
      </c>
      <c r="AC133" s="23">
        <f>IF(OR(AC$1="",$BM133=0),"",SUMIFS(Entries!$E$2:$E$5000,Entries!$C$2:$C$5000,"Actual",Entries!$A$2:$A$5000,"&gt;="&amp;$A133,Entries!$A$2:$A$5000,"&lt;"&amp;EDATE($A133,1),Entries!$B$2:$B$5000,AC$1))</f>
        <v/>
      </c>
      <c r="AD133" s="23">
        <f>IF(OR(AD$1="",$BM133=0),"",SUMIFS(Entries!$E$2:$E$5000,Entries!$C$2:$C$5000,"Actual",Entries!$A$2:$A$5000,"&gt;="&amp;$A133,Entries!$A$2:$A$5000,"&lt;"&amp;EDATE($A133,1),Entries!$B$2:$B$5000,AD$1))</f>
        <v/>
      </c>
      <c r="AE133" s="23">
        <f>IF(OR(AE$1="",$BM133=0),"",SUMIFS(Entries!$E$2:$E$5000,Entries!$C$2:$C$5000,"Actual",Entries!$A$2:$A$5000,"&gt;="&amp;$A133,Entries!$A$2:$A$5000,"&lt;"&amp;EDATE($A133,1),Entries!$B$2:$B$5000,AE$1))</f>
        <v/>
      </c>
      <c r="AF133" s="23">
        <f>IF(OR(AF$1="",$BM133=0),"",SUMIFS(Entries!$E$2:$E$5000,Entries!$C$2:$C$5000,"Actual",Entries!$A$2:$A$5000,"&gt;="&amp;$A133,Entries!$A$2:$A$5000,"&lt;"&amp;EDATE($A133,1),Entries!$B$2:$B$5000,AF$1))</f>
        <v/>
      </c>
      <c r="AG133" s="23">
        <f>IF(OR(AG$1="",$BM133=0),"",SUMIFS(Entries!$E$2:$E$5000,Entries!$C$2:$C$5000,"Actual",Entries!$A$2:$A$5000,"&gt;="&amp;$A133,Entries!$A$2:$A$5000,"&lt;"&amp;EDATE($A133,1),Entries!$B$2:$B$5000,AG$1))</f>
        <v/>
      </c>
      <c r="AH133" s="23">
        <f>IF(OR(AH$1="",$BM133=0),"",SUMIFS(Entries!$E$2:$E$5000,Entries!$C$2:$C$5000,"Actual",Entries!$A$2:$A$5000,"&gt;="&amp;$A133,Entries!$A$2:$A$5000,"&lt;"&amp;EDATE($A133,1),Entries!$B$2:$B$5000,AH$1))</f>
        <v/>
      </c>
      <c r="AI133" s="23">
        <f>IF(OR(AI$1="",$BM133=0),"",SUMIFS(Entries!$E$2:$E$5000,Entries!$C$2:$C$5000,"Actual",Entries!$A$2:$A$5000,"&gt;="&amp;$A133,Entries!$A$2:$A$5000,"&lt;"&amp;EDATE($A133,1),Entries!$B$2:$B$5000,AI$1))</f>
        <v/>
      </c>
      <c r="AJ133" s="23">
        <f>IF(OR(AJ$1="",$BM133=0),"",SUMIFS(Entries!$E$2:$E$5000,Entries!$C$2:$C$5000,"Actual",Entries!$A$2:$A$5000,"&gt;="&amp;$A133,Entries!$A$2:$A$5000,"&lt;"&amp;EDATE($A133,1),Entries!$B$2:$B$5000,AJ$1))</f>
        <v/>
      </c>
      <c r="AK133" s="23">
        <f>IF(OR(AK$1="",$BM133=0),"",SUMIFS(Entries!$E$2:$E$5000,Entries!$C$2:$C$5000,"Actual",Entries!$A$2:$A$5000,"&gt;="&amp;$A133,Entries!$A$2:$A$5000,"&lt;"&amp;EDATE($A133,1),Entries!$B$2:$B$5000,AK$1))</f>
        <v/>
      </c>
      <c r="AL133" s="23">
        <f>IF(OR(AL$1="",$BM133=0),"",SUMIFS(Entries!$E$2:$E$5000,Entries!$C$2:$C$5000,"Actual",Entries!$A$2:$A$5000,"&gt;="&amp;$A133,Entries!$A$2:$A$5000,"&lt;"&amp;EDATE($A133,1),Entries!$B$2:$B$5000,AL$1))</f>
        <v/>
      </c>
      <c r="AM133" s="23">
        <f>IF(OR(AM$1="",$BM133=0),"",SUMIFS(Entries!$E$2:$E$5000,Entries!$C$2:$C$5000,"Actual",Entries!$A$2:$A$5000,"&gt;="&amp;$A133,Entries!$A$2:$A$5000,"&lt;"&amp;EDATE($A133,1),Entries!$B$2:$B$5000,AM$1))</f>
        <v/>
      </c>
      <c r="AN133" s="23">
        <f>IF(OR(AN$1="",$BM133=0),"",SUMIFS(Entries!$E$2:$E$5000,Entries!$C$2:$C$5000,"Actual",Entries!$A$2:$A$5000,"&gt;="&amp;$A133,Entries!$A$2:$A$5000,"&lt;"&amp;EDATE($A133,1),Entries!$B$2:$B$5000,AN$1))</f>
        <v/>
      </c>
      <c r="AO133" s="23">
        <f>IF(OR(AO$1="",$BM133=0),"",SUMIFS(Entries!$E$2:$E$5000,Entries!$C$2:$C$5000,"Actual",Entries!$A$2:$A$5000,"&gt;="&amp;$A133,Entries!$A$2:$A$5000,"&lt;"&amp;EDATE($A133,1),Entries!$B$2:$B$5000,AO$1))</f>
        <v/>
      </c>
      <c r="AP133" s="23">
        <f>IF(OR(AP$1="",$BM133=0),"",SUMIFS(Entries!$E$2:$E$5000,Entries!$C$2:$C$5000,"Actual",Entries!$A$2:$A$5000,"&gt;="&amp;$A133,Entries!$A$2:$A$5000,"&lt;"&amp;EDATE($A133,1),Entries!$B$2:$B$5000,AP$1))</f>
        <v/>
      </c>
      <c r="AR133" s="23">
        <f>IF(OR(AR$1="",$BM133=0),"",IFERROR(LOOKUP(2,1/((Budgets!$A$2:$A$200=AR$1)*(Budgets!$B$2:$B$200&lt;EDATE($A133,1))),Budgets!$C$2:$C$200),0))</f>
        <v/>
      </c>
      <c r="AS133" s="23">
        <f>IF(OR(AS$1="",$BM133=0),"",IFERROR(LOOKUP(2,1/((Budgets!$A$2:$A$200=AS$1)*(Budgets!$B$2:$B$200&lt;EDATE($A133,1))),Budgets!$C$2:$C$200),0))</f>
        <v/>
      </c>
      <c r="AT133" s="23">
        <f>IF(OR(AT$1="",$BM133=0),"",IFERROR(LOOKUP(2,1/((Budgets!$A$2:$A$200=AT$1)*(Budgets!$B$2:$B$200&lt;EDATE($A133,1))),Budgets!$C$2:$C$200),0))</f>
        <v/>
      </c>
      <c r="AU133" s="23">
        <f>IF(OR(AU$1="",$BM133=0),"",IFERROR(LOOKUP(2,1/((Budgets!$A$2:$A$200=AU$1)*(Budgets!$B$2:$B$200&lt;EDATE($A133,1))),Budgets!$C$2:$C$200),0))</f>
        <v/>
      </c>
      <c r="AV133" s="23">
        <f>IF(OR(AV$1="",$BM133=0),"",IFERROR(LOOKUP(2,1/((Budgets!$A$2:$A$200=AV$1)*(Budgets!$B$2:$B$200&lt;EDATE($A133,1))),Budgets!$C$2:$C$200),0))</f>
        <v/>
      </c>
      <c r="AW133" s="23">
        <f>IF(OR(AW$1="",$BM133=0),"",IFERROR(LOOKUP(2,1/((Budgets!$A$2:$A$200=AW$1)*(Budgets!$B$2:$B$200&lt;EDATE($A133,1))),Budgets!$C$2:$C$200),0))</f>
        <v/>
      </c>
      <c r="AX133" s="23">
        <f>IF(OR(AX$1="",$BM133=0),"",IFERROR(LOOKUP(2,1/((Budgets!$A$2:$A$200=AX$1)*(Budgets!$B$2:$B$200&lt;EDATE($A133,1))),Budgets!$C$2:$C$200),0))</f>
        <v/>
      </c>
      <c r="AY133" s="23">
        <f>IF(OR(AY$1="",$BM133=0),"",IFERROR(LOOKUP(2,1/((Budgets!$A$2:$A$200=AY$1)*(Budgets!$B$2:$B$200&lt;EDATE($A133,1))),Budgets!$C$2:$C$200),0))</f>
        <v/>
      </c>
      <c r="AZ133" s="23">
        <f>IF(OR(AZ$1="",$BM133=0),"",IFERROR(LOOKUP(2,1/((Budgets!$A$2:$A$200=AZ$1)*(Budgets!$B$2:$B$200&lt;EDATE($A133,1))),Budgets!$C$2:$C$200),0))</f>
        <v/>
      </c>
      <c r="BA133" s="23">
        <f>IF(OR(BA$1="",$BM133=0),"",IFERROR(LOOKUP(2,1/((Budgets!$A$2:$A$200=BA$1)*(Budgets!$B$2:$B$200&lt;EDATE($A133,1))),Budgets!$C$2:$C$200),0))</f>
        <v/>
      </c>
      <c r="BB133" s="23">
        <f>IF(OR(BB$1="",$BM133=0),"",IFERROR(LOOKUP(2,1/((Budgets!$A$2:$A$200=BB$1)*(Budgets!$B$2:$B$200&lt;EDATE($A133,1))),Budgets!$C$2:$C$200),0))</f>
        <v/>
      </c>
      <c r="BC133" s="23">
        <f>IF(OR(BC$1="",$BM133=0),"",IFERROR(LOOKUP(2,1/((Budgets!$A$2:$A$200=BC$1)*(Budgets!$B$2:$B$200&lt;EDATE($A133,1))),Budgets!$C$2:$C$200),0))</f>
        <v/>
      </c>
      <c r="BD133" s="23">
        <f>IF(OR(BD$1="",$BM133=0),"",IFERROR(LOOKUP(2,1/((Budgets!$A$2:$A$200=BD$1)*(Budgets!$B$2:$B$200&lt;EDATE($A133,1))),Budgets!$C$2:$C$200),0))</f>
        <v/>
      </c>
      <c r="BE133" s="23">
        <f>IF(OR(BE$1="",$BM133=0),"",IFERROR(LOOKUP(2,1/((Budgets!$A$2:$A$200=BE$1)*(Budgets!$B$2:$B$200&lt;EDATE($A133,1))),Budgets!$C$2:$C$200),0))</f>
        <v/>
      </c>
      <c r="BF133" s="23">
        <f>IF(OR(BF$1="",$BM133=0),"",IFERROR(LOOKUP(2,1/((Budgets!$A$2:$A$200=BF$1)*(Budgets!$B$2:$B$200&lt;EDATE($A133,1))),Budgets!$C$2:$C$200),0))</f>
        <v/>
      </c>
      <c r="BG133" s="23">
        <f>IF(OR(BG$1="",$BM133=0),"",IFERROR(LOOKUP(2,1/((Budgets!$A$2:$A$200=BG$1)*(Budgets!$B$2:$B$200&lt;EDATE($A133,1))),Budgets!$C$2:$C$200),0))</f>
        <v/>
      </c>
      <c r="BH133" s="23">
        <f>IF(OR(BH$1="",$BM133=0),"",IFERROR(LOOKUP(2,1/((Budgets!$A$2:$A$200=BH$1)*(Budgets!$B$2:$B$200&lt;EDATE($A133,1))),Budgets!$C$2:$C$200),0))</f>
        <v/>
      </c>
      <c r="BI133" s="23">
        <f>IF(OR(BI$1="",$BM133=0),"",IFERROR(LOOKUP(2,1/((Budgets!$A$2:$A$200=BI$1)*(Budgets!$B$2:$B$200&lt;EDATE($A133,1))),Budgets!$C$2:$C$200),0))</f>
        <v/>
      </c>
      <c r="BJ133" s="23">
        <f>IF(OR(BJ$1="",$BM133=0),"",IFERROR(LOOKUP(2,1/((Budgets!$A$2:$A$200=BJ$1)*(Budgets!$B$2:$B$200&lt;EDATE($A133,1))),Budgets!$C$2:$C$200),0))</f>
        <v/>
      </c>
      <c r="BK133" s="23">
        <f>IF(OR(BK$1="",$BM133=0),"",IFERROR(LOOKUP(2,1/((Budgets!$A$2:$A$200=BK$1)*(Budgets!$B$2:$B$200&lt;EDATE($A133,1))),Budgets!$C$2:$C$200),0))</f>
        <v/>
      </c>
      <c r="BM133" s="21">
        <f>COUNTIFS(Entries!$A$2:$A$5000,"&gt;="&amp;$A133,Entries!$A$2:$A$5000,"&lt;"&amp;EDATE($A133,1))</f>
        <v/>
      </c>
    </row>
    <row r="134">
      <c r="A134" s="22" t="n">
        <v>43466</v>
      </c>
      <c r="B134" s="23">
        <f>IF($BM134=0,NA(),SUMIFS(Entries!$E$2:$E$5000,Entries!$C$2:$C$5000,"Income",Entries!$A$2:$A$5000,"&gt;="&amp;$A134,Entries!$A$2:$A$5000,"&lt;"&amp;EDATE($A134,1)))</f>
        <v/>
      </c>
      <c r="C134" s="23">
        <f>IF($BM134=0,"",SUMIFS(Entries!$E$2:$E$5000,Entries!$C$2:$C$5000,"Actual",Entries!$A$2:$A$5000,"&gt;="&amp;$A134,Entries!$A$2:$A$5000,"&lt;"&amp;EDATE($A134,1)))</f>
        <v/>
      </c>
      <c r="D134" s="23">
        <f>IF($BM134=0,"",SUMIFS(Entries!$E$2:$E$5000,Entries!$C$2:$C$5000,"One-off",Entries!$A$2:$A$5000,"&gt;="&amp;$A134,Entries!$A$2:$A$5000,"&lt;"&amp;EDATE($A134,1)))</f>
        <v/>
      </c>
      <c r="E134" s="23">
        <f>IF($BM134=0,NA(),C134+D134)</f>
        <v/>
      </c>
      <c r="F134" s="23">
        <f>IF($BM134=0,"",SUM(AR134:BK134))</f>
        <v/>
      </c>
      <c r="G134" s="23">
        <f>IF($BM134=0,"",B134-E134)</f>
        <v/>
      </c>
      <c r="H134" s="23">
        <f>IF($BM134=0,"",SUM($G$2:G134))</f>
        <v/>
      </c>
      <c r="I134" s="23">
        <f>IF($BM134=0,"",SUMIFS(Entries!$G$2:$G$5000,Entries!$A$2:$A$5000,"&gt;="&amp;$A134,Entries!$A$2:$A$5000,"&lt;"&amp;EDATE($A134,1)))</f>
        <v/>
      </c>
      <c r="J134" s="23">
        <f>IF($BM134=0,NA(),H134)</f>
        <v/>
      </c>
      <c r="K134" s="23">
        <f>IF($BM134=0,"",SUMIFS(Entries!$E$2:$E$5000,Entries!$C$2:$C$5000,"Income",Entries!$A$2:$A$5000,"&gt;="&amp;EDATE($A134,-11),Entries!$A$2:$A$5000,"&lt;"&amp;EDATE($A134,1))/COUNTIFS($A$2:$A$400,"&gt;="&amp;EDATE($A134,-11),$A$2:$A$400,"&lt;"&amp;EDATE($A134,1),$BM$2:$BM$400,"&gt;0"))</f>
      </c>
      <c r="L134" s="23">
        <f>IF($BM134=0,"",(SUMIFS(Entries!$E$2:$E$5000,Entries!$C$2:$C$5000,"Actual",Entries!$A$2:$A$5000,"&gt;="&amp;EDATE($A134,-11),Entries!$A$2:$A$5000,"&lt;"&amp;EDATE($A134,1))+SUMIFS(Entries!$E$2:$E$5000,Entries!$C$2:$C$5000,"One-off",Entries!$A$2:$A$5000,"&gt;="&amp;EDATE($A134,-11),Entries!$A$2:$A$5000,"&lt;"&amp;EDATE($A134,1)))/COUNTIFS($A$2:$A$400,"&gt;="&amp;EDATE($A134,-11),$A$2:$A$400,"&lt;"&amp;EDATE($A134,1),$BM$2:$BM$400,"&gt;0"))</f>
      </c>
      <c r="M134" s="24">
        <f>IF($BM134=0,NA(),IFERROR((K134-L134)/K134,0))</f>
        <v/>
      </c>
      <c r="N134" s="23">
        <f>IF($BM134=0,NA(),SUMIFS(Entries!$E$2:$E$5000,Entries!$D$2:$D$5000,"Core",Entries!$A$2:$A$5000,"&gt;="&amp;$A134,Entries!$A$2:$A$5000,"&lt;"&amp;EDATE($A134,1)))</f>
        <v/>
      </c>
      <c r="O134" s="23">
        <f>IF($BM134=0,NA(),SUMIFS(Entries!$E$2:$E$5000,Entries!$D$2:$D$5000,"Over &amp; above",Entries!$A$2:$A$5000,"&gt;="&amp;$A134,Entries!$A$2:$A$5000,"&lt;"&amp;EDATE($A134,1)))</f>
        <v/>
      </c>
      <c r="P134" s="23">
        <f>IF($BM134=0,NA(),SUMIFS(Entries!$E$2:$E$5000,Entries!$D$2:$D$5000,"One-off",Entries!$A$2:$A$5000,"&gt;="&amp;$A134,Entries!$A$2:$A$5000,"&lt;"&amp;EDATE($A134,1)))</f>
        <v/>
      </c>
      <c r="Q134" s="23">
        <f>IF($BM134=0,NA(),SUMIFS(Entries!$E$2:$E$5000,Entries!$D$2:$D$5000,"Reimbursable",Entries!$A$2:$A$5000,"&gt;="&amp;$A134,Entries!$A$2:$A$5000,"&lt;"&amp;EDATE($A134,1)))</f>
        <v/>
      </c>
      <c r="R134" s="23">
        <f>IF($BM134=0,NA(),SUMIFS(Entries!$E$2:$E$5000,Entries!$D$2:$D$5000,"Investment",Entries!$A$2:$A$5000,"&gt;="&amp;$A134,Entries!$A$2:$A$5000,"&lt;"&amp;EDATE($A134,1)))</f>
        <v/>
      </c>
      <c r="S134" s="23">
        <f>IF($BM134=0,NA(),N134+O134)</f>
        <v/>
      </c>
      <c r="T134" s="23">
        <f>IF($BM134=0,"",E134-Q134)</f>
        <v/>
      </c>
      <c r="W134" s="23">
        <f>IF(OR(W$1="",$BM134=0),"",SUMIFS(Entries!$E$2:$E$5000,Entries!$C$2:$C$5000,"Actual",Entries!$A$2:$A$5000,"&gt;="&amp;$A134,Entries!$A$2:$A$5000,"&lt;"&amp;EDATE($A134,1),Entries!$B$2:$B$5000,W$1))</f>
        <v/>
      </c>
      <c r="X134" s="23">
        <f>IF(OR(X$1="",$BM134=0),"",SUMIFS(Entries!$E$2:$E$5000,Entries!$C$2:$C$5000,"Actual",Entries!$A$2:$A$5000,"&gt;="&amp;$A134,Entries!$A$2:$A$5000,"&lt;"&amp;EDATE($A134,1),Entries!$B$2:$B$5000,X$1))</f>
        <v/>
      </c>
      <c r="Y134" s="23">
        <f>IF(OR(Y$1="",$BM134=0),"",SUMIFS(Entries!$E$2:$E$5000,Entries!$C$2:$C$5000,"Actual",Entries!$A$2:$A$5000,"&gt;="&amp;$A134,Entries!$A$2:$A$5000,"&lt;"&amp;EDATE($A134,1),Entries!$B$2:$B$5000,Y$1))</f>
        <v/>
      </c>
      <c r="Z134" s="23">
        <f>IF(OR(Z$1="",$BM134=0),"",SUMIFS(Entries!$E$2:$E$5000,Entries!$C$2:$C$5000,"Actual",Entries!$A$2:$A$5000,"&gt;="&amp;$A134,Entries!$A$2:$A$5000,"&lt;"&amp;EDATE($A134,1),Entries!$B$2:$B$5000,Z$1))</f>
        <v/>
      </c>
      <c r="AA134" s="23">
        <f>IF(OR(AA$1="",$BM134=0),"",SUMIFS(Entries!$E$2:$E$5000,Entries!$C$2:$C$5000,"Actual",Entries!$A$2:$A$5000,"&gt;="&amp;$A134,Entries!$A$2:$A$5000,"&lt;"&amp;EDATE($A134,1),Entries!$B$2:$B$5000,AA$1))</f>
        <v/>
      </c>
      <c r="AB134" s="23">
        <f>IF(OR(AB$1="",$BM134=0),"",SUMIFS(Entries!$E$2:$E$5000,Entries!$C$2:$C$5000,"Actual",Entries!$A$2:$A$5000,"&gt;="&amp;$A134,Entries!$A$2:$A$5000,"&lt;"&amp;EDATE($A134,1),Entries!$B$2:$B$5000,AB$1))</f>
        <v/>
      </c>
      <c r="AC134" s="23">
        <f>IF(OR(AC$1="",$BM134=0),"",SUMIFS(Entries!$E$2:$E$5000,Entries!$C$2:$C$5000,"Actual",Entries!$A$2:$A$5000,"&gt;="&amp;$A134,Entries!$A$2:$A$5000,"&lt;"&amp;EDATE($A134,1),Entries!$B$2:$B$5000,AC$1))</f>
        <v/>
      </c>
      <c r="AD134" s="23">
        <f>IF(OR(AD$1="",$BM134=0),"",SUMIFS(Entries!$E$2:$E$5000,Entries!$C$2:$C$5000,"Actual",Entries!$A$2:$A$5000,"&gt;="&amp;$A134,Entries!$A$2:$A$5000,"&lt;"&amp;EDATE($A134,1),Entries!$B$2:$B$5000,AD$1))</f>
        <v/>
      </c>
      <c r="AE134" s="23">
        <f>IF(OR(AE$1="",$BM134=0),"",SUMIFS(Entries!$E$2:$E$5000,Entries!$C$2:$C$5000,"Actual",Entries!$A$2:$A$5000,"&gt;="&amp;$A134,Entries!$A$2:$A$5000,"&lt;"&amp;EDATE($A134,1),Entries!$B$2:$B$5000,AE$1))</f>
        <v/>
      </c>
      <c r="AF134" s="23">
        <f>IF(OR(AF$1="",$BM134=0),"",SUMIFS(Entries!$E$2:$E$5000,Entries!$C$2:$C$5000,"Actual",Entries!$A$2:$A$5000,"&gt;="&amp;$A134,Entries!$A$2:$A$5000,"&lt;"&amp;EDATE($A134,1),Entries!$B$2:$B$5000,AF$1))</f>
        <v/>
      </c>
      <c r="AG134" s="23">
        <f>IF(OR(AG$1="",$BM134=0),"",SUMIFS(Entries!$E$2:$E$5000,Entries!$C$2:$C$5000,"Actual",Entries!$A$2:$A$5000,"&gt;="&amp;$A134,Entries!$A$2:$A$5000,"&lt;"&amp;EDATE($A134,1),Entries!$B$2:$B$5000,AG$1))</f>
        <v/>
      </c>
      <c r="AH134" s="23">
        <f>IF(OR(AH$1="",$BM134=0),"",SUMIFS(Entries!$E$2:$E$5000,Entries!$C$2:$C$5000,"Actual",Entries!$A$2:$A$5000,"&gt;="&amp;$A134,Entries!$A$2:$A$5000,"&lt;"&amp;EDATE($A134,1),Entries!$B$2:$B$5000,AH$1))</f>
        <v/>
      </c>
      <c r="AI134" s="23">
        <f>IF(OR(AI$1="",$BM134=0),"",SUMIFS(Entries!$E$2:$E$5000,Entries!$C$2:$C$5000,"Actual",Entries!$A$2:$A$5000,"&gt;="&amp;$A134,Entries!$A$2:$A$5000,"&lt;"&amp;EDATE($A134,1),Entries!$B$2:$B$5000,AI$1))</f>
        <v/>
      </c>
      <c r="AJ134" s="23">
        <f>IF(OR(AJ$1="",$BM134=0),"",SUMIFS(Entries!$E$2:$E$5000,Entries!$C$2:$C$5000,"Actual",Entries!$A$2:$A$5000,"&gt;="&amp;$A134,Entries!$A$2:$A$5000,"&lt;"&amp;EDATE($A134,1),Entries!$B$2:$B$5000,AJ$1))</f>
        <v/>
      </c>
      <c r="AK134" s="23">
        <f>IF(OR(AK$1="",$BM134=0),"",SUMIFS(Entries!$E$2:$E$5000,Entries!$C$2:$C$5000,"Actual",Entries!$A$2:$A$5000,"&gt;="&amp;$A134,Entries!$A$2:$A$5000,"&lt;"&amp;EDATE($A134,1),Entries!$B$2:$B$5000,AK$1))</f>
        <v/>
      </c>
      <c r="AL134" s="23">
        <f>IF(OR(AL$1="",$BM134=0),"",SUMIFS(Entries!$E$2:$E$5000,Entries!$C$2:$C$5000,"Actual",Entries!$A$2:$A$5000,"&gt;="&amp;$A134,Entries!$A$2:$A$5000,"&lt;"&amp;EDATE($A134,1),Entries!$B$2:$B$5000,AL$1))</f>
        <v/>
      </c>
      <c r="AM134" s="23">
        <f>IF(OR(AM$1="",$BM134=0),"",SUMIFS(Entries!$E$2:$E$5000,Entries!$C$2:$C$5000,"Actual",Entries!$A$2:$A$5000,"&gt;="&amp;$A134,Entries!$A$2:$A$5000,"&lt;"&amp;EDATE($A134,1),Entries!$B$2:$B$5000,AM$1))</f>
        <v/>
      </c>
      <c r="AN134" s="23">
        <f>IF(OR(AN$1="",$BM134=0),"",SUMIFS(Entries!$E$2:$E$5000,Entries!$C$2:$C$5000,"Actual",Entries!$A$2:$A$5000,"&gt;="&amp;$A134,Entries!$A$2:$A$5000,"&lt;"&amp;EDATE($A134,1),Entries!$B$2:$B$5000,AN$1))</f>
        <v/>
      </c>
      <c r="AO134" s="23">
        <f>IF(OR(AO$1="",$BM134=0),"",SUMIFS(Entries!$E$2:$E$5000,Entries!$C$2:$C$5000,"Actual",Entries!$A$2:$A$5000,"&gt;="&amp;$A134,Entries!$A$2:$A$5000,"&lt;"&amp;EDATE($A134,1),Entries!$B$2:$B$5000,AO$1))</f>
        <v/>
      </c>
      <c r="AP134" s="23">
        <f>IF(OR(AP$1="",$BM134=0),"",SUMIFS(Entries!$E$2:$E$5000,Entries!$C$2:$C$5000,"Actual",Entries!$A$2:$A$5000,"&gt;="&amp;$A134,Entries!$A$2:$A$5000,"&lt;"&amp;EDATE($A134,1),Entries!$B$2:$B$5000,AP$1))</f>
        <v/>
      </c>
      <c r="AR134" s="23">
        <f>IF(OR(AR$1="",$BM134=0),"",IFERROR(LOOKUP(2,1/((Budgets!$A$2:$A$200=AR$1)*(Budgets!$B$2:$B$200&lt;EDATE($A134,1))),Budgets!$C$2:$C$200),0))</f>
        <v/>
      </c>
      <c r="AS134" s="23">
        <f>IF(OR(AS$1="",$BM134=0),"",IFERROR(LOOKUP(2,1/((Budgets!$A$2:$A$200=AS$1)*(Budgets!$B$2:$B$200&lt;EDATE($A134,1))),Budgets!$C$2:$C$200),0))</f>
        <v/>
      </c>
      <c r="AT134" s="23">
        <f>IF(OR(AT$1="",$BM134=0),"",IFERROR(LOOKUP(2,1/((Budgets!$A$2:$A$200=AT$1)*(Budgets!$B$2:$B$200&lt;EDATE($A134,1))),Budgets!$C$2:$C$200),0))</f>
        <v/>
      </c>
      <c r="AU134" s="23">
        <f>IF(OR(AU$1="",$BM134=0),"",IFERROR(LOOKUP(2,1/((Budgets!$A$2:$A$200=AU$1)*(Budgets!$B$2:$B$200&lt;EDATE($A134,1))),Budgets!$C$2:$C$200),0))</f>
        <v/>
      </c>
      <c r="AV134" s="23">
        <f>IF(OR(AV$1="",$BM134=0),"",IFERROR(LOOKUP(2,1/((Budgets!$A$2:$A$200=AV$1)*(Budgets!$B$2:$B$200&lt;EDATE($A134,1))),Budgets!$C$2:$C$200),0))</f>
        <v/>
      </c>
      <c r="AW134" s="23">
        <f>IF(OR(AW$1="",$BM134=0),"",IFERROR(LOOKUP(2,1/((Budgets!$A$2:$A$200=AW$1)*(Budgets!$B$2:$B$200&lt;EDATE($A134,1))),Budgets!$C$2:$C$200),0))</f>
        <v/>
      </c>
      <c r="AX134" s="23">
        <f>IF(OR(AX$1="",$BM134=0),"",IFERROR(LOOKUP(2,1/((Budgets!$A$2:$A$200=AX$1)*(Budgets!$B$2:$B$200&lt;EDATE($A134,1))),Budgets!$C$2:$C$200),0))</f>
        <v/>
      </c>
      <c r="AY134" s="23">
        <f>IF(OR(AY$1="",$BM134=0),"",IFERROR(LOOKUP(2,1/((Budgets!$A$2:$A$200=AY$1)*(Budgets!$B$2:$B$200&lt;EDATE($A134,1))),Budgets!$C$2:$C$200),0))</f>
        <v/>
      </c>
      <c r="AZ134" s="23">
        <f>IF(OR(AZ$1="",$BM134=0),"",IFERROR(LOOKUP(2,1/((Budgets!$A$2:$A$200=AZ$1)*(Budgets!$B$2:$B$200&lt;EDATE($A134,1))),Budgets!$C$2:$C$200),0))</f>
        <v/>
      </c>
      <c r="BA134" s="23">
        <f>IF(OR(BA$1="",$BM134=0),"",IFERROR(LOOKUP(2,1/((Budgets!$A$2:$A$200=BA$1)*(Budgets!$B$2:$B$200&lt;EDATE($A134,1))),Budgets!$C$2:$C$200),0))</f>
        <v/>
      </c>
      <c r="BB134" s="23">
        <f>IF(OR(BB$1="",$BM134=0),"",IFERROR(LOOKUP(2,1/((Budgets!$A$2:$A$200=BB$1)*(Budgets!$B$2:$B$200&lt;EDATE($A134,1))),Budgets!$C$2:$C$200),0))</f>
        <v/>
      </c>
      <c r="BC134" s="23">
        <f>IF(OR(BC$1="",$BM134=0),"",IFERROR(LOOKUP(2,1/((Budgets!$A$2:$A$200=BC$1)*(Budgets!$B$2:$B$200&lt;EDATE($A134,1))),Budgets!$C$2:$C$200),0))</f>
        <v/>
      </c>
      <c r="BD134" s="23">
        <f>IF(OR(BD$1="",$BM134=0),"",IFERROR(LOOKUP(2,1/((Budgets!$A$2:$A$200=BD$1)*(Budgets!$B$2:$B$200&lt;EDATE($A134,1))),Budgets!$C$2:$C$200),0))</f>
        <v/>
      </c>
      <c r="BE134" s="23">
        <f>IF(OR(BE$1="",$BM134=0),"",IFERROR(LOOKUP(2,1/((Budgets!$A$2:$A$200=BE$1)*(Budgets!$B$2:$B$200&lt;EDATE($A134,1))),Budgets!$C$2:$C$200),0))</f>
        <v/>
      </c>
      <c r="BF134" s="23">
        <f>IF(OR(BF$1="",$BM134=0),"",IFERROR(LOOKUP(2,1/((Budgets!$A$2:$A$200=BF$1)*(Budgets!$B$2:$B$200&lt;EDATE($A134,1))),Budgets!$C$2:$C$200),0))</f>
        <v/>
      </c>
      <c r="BG134" s="23">
        <f>IF(OR(BG$1="",$BM134=0),"",IFERROR(LOOKUP(2,1/((Budgets!$A$2:$A$200=BG$1)*(Budgets!$B$2:$B$200&lt;EDATE($A134,1))),Budgets!$C$2:$C$200),0))</f>
        <v/>
      </c>
      <c r="BH134" s="23">
        <f>IF(OR(BH$1="",$BM134=0),"",IFERROR(LOOKUP(2,1/((Budgets!$A$2:$A$200=BH$1)*(Budgets!$B$2:$B$200&lt;EDATE($A134,1))),Budgets!$C$2:$C$200),0))</f>
        <v/>
      </c>
      <c r="BI134" s="23">
        <f>IF(OR(BI$1="",$BM134=0),"",IFERROR(LOOKUP(2,1/((Budgets!$A$2:$A$200=BI$1)*(Budgets!$B$2:$B$200&lt;EDATE($A134,1))),Budgets!$C$2:$C$200),0))</f>
        <v/>
      </c>
      <c r="BJ134" s="23">
        <f>IF(OR(BJ$1="",$BM134=0),"",IFERROR(LOOKUP(2,1/((Budgets!$A$2:$A$200=BJ$1)*(Budgets!$B$2:$B$200&lt;EDATE($A134,1))),Budgets!$C$2:$C$200),0))</f>
        <v/>
      </c>
      <c r="BK134" s="23">
        <f>IF(OR(BK$1="",$BM134=0),"",IFERROR(LOOKUP(2,1/((Budgets!$A$2:$A$200=BK$1)*(Budgets!$B$2:$B$200&lt;EDATE($A134,1))),Budgets!$C$2:$C$200),0))</f>
        <v/>
      </c>
      <c r="BM134" s="21">
        <f>COUNTIFS(Entries!$A$2:$A$5000,"&gt;="&amp;$A134,Entries!$A$2:$A$5000,"&lt;"&amp;EDATE($A134,1))</f>
        <v/>
      </c>
    </row>
    <row r="135">
      <c r="A135" s="22" t="n">
        <v>43497</v>
      </c>
      <c r="B135" s="23">
        <f>IF($BM135=0,NA(),SUMIFS(Entries!$E$2:$E$5000,Entries!$C$2:$C$5000,"Income",Entries!$A$2:$A$5000,"&gt;="&amp;$A135,Entries!$A$2:$A$5000,"&lt;"&amp;EDATE($A135,1)))</f>
        <v/>
      </c>
      <c r="C135" s="23">
        <f>IF($BM135=0,"",SUMIFS(Entries!$E$2:$E$5000,Entries!$C$2:$C$5000,"Actual",Entries!$A$2:$A$5000,"&gt;="&amp;$A135,Entries!$A$2:$A$5000,"&lt;"&amp;EDATE($A135,1)))</f>
        <v/>
      </c>
      <c r="D135" s="23">
        <f>IF($BM135=0,"",SUMIFS(Entries!$E$2:$E$5000,Entries!$C$2:$C$5000,"One-off",Entries!$A$2:$A$5000,"&gt;="&amp;$A135,Entries!$A$2:$A$5000,"&lt;"&amp;EDATE($A135,1)))</f>
        <v/>
      </c>
      <c r="E135" s="23">
        <f>IF($BM135=0,NA(),C135+D135)</f>
        <v/>
      </c>
      <c r="F135" s="23">
        <f>IF($BM135=0,"",SUM(AR135:BK135))</f>
        <v/>
      </c>
      <c r="G135" s="23">
        <f>IF($BM135=0,"",B135-E135)</f>
        <v/>
      </c>
      <c r="H135" s="23">
        <f>IF($BM135=0,"",SUM($G$2:G135))</f>
        <v/>
      </c>
      <c r="I135" s="23">
        <f>IF($BM135=0,"",SUMIFS(Entries!$G$2:$G$5000,Entries!$A$2:$A$5000,"&gt;="&amp;$A135,Entries!$A$2:$A$5000,"&lt;"&amp;EDATE($A135,1)))</f>
        <v/>
      </c>
      <c r="J135" s="23">
        <f>IF($BM135=0,NA(),H135)</f>
        <v/>
      </c>
      <c r="K135" s="23">
        <f>IF($BM135=0,"",SUMIFS(Entries!$E$2:$E$5000,Entries!$C$2:$C$5000,"Income",Entries!$A$2:$A$5000,"&gt;="&amp;EDATE($A135,-11),Entries!$A$2:$A$5000,"&lt;"&amp;EDATE($A135,1))/COUNTIFS($A$2:$A$400,"&gt;="&amp;EDATE($A135,-11),$A$2:$A$400,"&lt;"&amp;EDATE($A135,1),$BM$2:$BM$400,"&gt;0"))</f>
      </c>
      <c r="L135" s="23">
        <f>IF($BM135=0,"",(SUMIFS(Entries!$E$2:$E$5000,Entries!$C$2:$C$5000,"Actual",Entries!$A$2:$A$5000,"&gt;="&amp;EDATE($A135,-11),Entries!$A$2:$A$5000,"&lt;"&amp;EDATE($A135,1))+SUMIFS(Entries!$E$2:$E$5000,Entries!$C$2:$C$5000,"One-off",Entries!$A$2:$A$5000,"&gt;="&amp;EDATE($A135,-11),Entries!$A$2:$A$5000,"&lt;"&amp;EDATE($A135,1)))/COUNTIFS($A$2:$A$400,"&gt;="&amp;EDATE($A135,-11),$A$2:$A$400,"&lt;"&amp;EDATE($A135,1),$BM$2:$BM$400,"&gt;0"))</f>
      </c>
      <c r="M135" s="24">
        <f>IF($BM135=0,NA(),IFERROR((K135-L135)/K135,0))</f>
        <v/>
      </c>
      <c r="N135" s="23">
        <f>IF($BM135=0,NA(),SUMIFS(Entries!$E$2:$E$5000,Entries!$D$2:$D$5000,"Core",Entries!$A$2:$A$5000,"&gt;="&amp;$A135,Entries!$A$2:$A$5000,"&lt;"&amp;EDATE($A135,1)))</f>
        <v/>
      </c>
      <c r="O135" s="23">
        <f>IF($BM135=0,NA(),SUMIFS(Entries!$E$2:$E$5000,Entries!$D$2:$D$5000,"Over &amp; above",Entries!$A$2:$A$5000,"&gt;="&amp;$A135,Entries!$A$2:$A$5000,"&lt;"&amp;EDATE($A135,1)))</f>
        <v/>
      </c>
      <c r="P135" s="23">
        <f>IF($BM135=0,NA(),SUMIFS(Entries!$E$2:$E$5000,Entries!$D$2:$D$5000,"One-off",Entries!$A$2:$A$5000,"&gt;="&amp;$A135,Entries!$A$2:$A$5000,"&lt;"&amp;EDATE($A135,1)))</f>
        <v/>
      </c>
      <c r="Q135" s="23">
        <f>IF($BM135=0,NA(),SUMIFS(Entries!$E$2:$E$5000,Entries!$D$2:$D$5000,"Reimbursable",Entries!$A$2:$A$5000,"&gt;="&amp;$A135,Entries!$A$2:$A$5000,"&lt;"&amp;EDATE($A135,1)))</f>
        <v/>
      </c>
      <c r="R135" s="23">
        <f>IF($BM135=0,NA(),SUMIFS(Entries!$E$2:$E$5000,Entries!$D$2:$D$5000,"Investment",Entries!$A$2:$A$5000,"&gt;="&amp;$A135,Entries!$A$2:$A$5000,"&lt;"&amp;EDATE($A135,1)))</f>
        <v/>
      </c>
      <c r="S135" s="23">
        <f>IF($BM135=0,NA(),N135+O135)</f>
        <v/>
      </c>
      <c r="T135" s="23">
        <f>IF($BM135=0,"",E135-Q135)</f>
        <v/>
      </c>
      <c r="W135" s="23">
        <f>IF(OR(W$1="",$BM135=0),"",SUMIFS(Entries!$E$2:$E$5000,Entries!$C$2:$C$5000,"Actual",Entries!$A$2:$A$5000,"&gt;="&amp;$A135,Entries!$A$2:$A$5000,"&lt;"&amp;EDATE($A135,1),Entries!$B$2:$B$5000,W$1))</f>
        <v/>
      </c>
      <c r="X135" s="23">
        <f>IF(OR(X$1="",$BM135=0),"",SUMIFS(Entries!$E$2:$E$5000,Entries!$C$2:$C$5000,"Actual",Entries!$A$2:$A$5000,"&gt;="&amp;$A135,Entries!$A$2:$A$5000,"&lt;"&amp;EDATE($A135,1),Entries!$B$2:$B$5000,X$1))</f>
        <v/>
      </c>
      <c r="Y135" s="23">
        <f>IF(OR(Y$1="",$BM135=0),"",SUMIFS(Entries!$E$2:$E$5000,Entries!$C$2:$C$5000,"Actual",Entries!$A$2:$A$5000,"&gt;="&amp;$A135,Entries!$A$2:$A$5000,"&lt;"&amp;EDATE($A135,1),Entries!$B$2:$B$5000,Y$1))</f>
        <v/>
      </c>
      <c r="Z135" s="23">
        <f>IF(OR(Z$1="",$BM135=0),"",SUMIFS(Entries!$E$2:$E$5000,Entries!$C$2:$C$5000,"Actual",Entries!$A$2:$A$5000,"&gt;="&amp;$A135,Entries!$A$2:$A$5000,"&lt;"&amp;EDATE($A135,1),Entries!$B$2:$B$5000,Z$1))</f>
        <v/>
      </c>
      <c r="AA135" s="23">
        <f>IF(OR(AA$1="",$BM135=0),"",SUMIFS(Entries!$E$2:$E$5000,Entries!$C$2:$C$5000,"Actual",Entries!$A$2:$A$5000,"&gt;="&amp;$A135,Entries!$A$2:$A$5000,"&lt;"&amp;EDATE($A135,1),Entries!$B$2:$B$5000,AA$1))</f>
        <v/>
      </c>
      <c r="AB135" s="23">
        <f>IF(OR(AB$1="",$BM135=0),"",SUMIFS(Entries!$E$2:$E$5000,Entries!$C$2:$C$5000,"Actual",Entries!$A$2:$A$5000,"&gt;="&amp;$A135,Entries!$A$2:$A$5000,"&lt;"&amp;EDATE($A135,1),Entries!$B$2:$B$5000,AB$1))</f>
        <v/>
      </c>
      <c r="AC135" s="23">
        <f>IF(OR(AC$1="",$BM135=0),"",SUMIFS(Entries!$E$2:$E$5000,Entries!$C$2:$C$5000,"Actual",Entries!$A$2:$A$5000,"&gt;="&amp;$A135,Entries!$A$2:$A$5000,"&lt;"&amp;EDATE($A135,1),Entries!$B$2:$B$5000,AC$1))</f>
        <v/>
      </c>
      <c r="AD135" s="23">
        <f>IF(OR(AD$1="",$BM135=0),"",SUMIFS(Entries!$E$2:$E$5000,Entries!$C$2:$C$5000,"Actual",Entries!$A$2:$A$5000,"&gt;="&amp;$A135,Entries!$A$2:$A$5000,"&lt;"&amp;EDATE($A135,1),Entries!$B$2:$B$5000,AD$1))</f>
        <v/>
      </c>
      <c r="AE135" s="23">
        <f>IF(OR(AE$1="",$BM135=0),"",SUMIFS(Entries!$E$2:$E$5000,Entries!$C$2:$C$5000,"Actual",Entries!$A$2:$A$5000,"&gt;="&amp;$A135,Entries!$A$2:$A$5000,"&lt;"&amp;EDATE($A135,1),Entries!$B$2:$B$5000,AE$1))</f>
        <v/>
      </c>
      <c r="AF135" s="23">
        <f>IF(OR(AF$1="",$BM135=0),"",SUMIFS(Entries!$E$2:$E$5000,Entries!$C$2:$C$5000,"Actual",Entries!$A$2:$A$5000,"&gt;="&amp;$A135,Entries!$A$2:$A$5000,"&lt;"&amp;EDATE($A135,1),Entries!$B$2:$B$5000,AF$1))</f>
        <v/>
      </c>
      <c r="AG135" s="23">
        <f>IF(OR(AG$1="",$BM135=0),"",SUMIFS(Entries!$E$2:$E$5000,Entries!$C$2:$C$5000,"Actual",Entries!$A$2:$A$5000,"&gt;="&amp;$A135,Entries!$A$2:$A$5000,"&lt;"&amp;EDATE($A135,1),Entries!$B$2:$B$5000,AG$1))</f>
        <v/>
      </c>
      <c r="AH135" s="23">
        <f>IF(OR(AH$1="",$BM135=0),"",SUMIFS(Entries!$E$2:$E$5000,Entries!$C$2:$C$5000,"Actual",Entries!$A$2:$A$5000,"&gt;="&amp;$A135,Entries!$A$2:$A$5000,"&lt;"&amp;EDATE($A135,1),Entries!$B$2:$B$5000,AH$1))</f>
        <v/>
      </c>
      <c r="AI135" s="23">
        <f>IF(OR(AI$1="",$BM135=0),"",SUMIFS(Entries!$E$2:$E$5000,Entries!$C$2:$C$5000,"Actual",Entries!$A$2:$A$5000,"&gt;="&amp;$A135,Entries!$A$2:$A$5000,"&lt;"&amp;EDATE($A135,1),Entries!$B$2:$B$5000,AI$1))</f>
        <v/>
      </c>
      <c r="AJ135" s="23">
        <f>IF(OR(AJ$1="",$BM135=0),"",SUMIFS(Entries!$E$2:$E$5000,Entries!$C$2:$C$5000,"Actual",Entries!$A$2:$A$5000,"&gt;="&amp;$A135,Entries!$A$2:$A$5000,"&lt;"&amp;EDATE($A135,1),Entries!$B$2:$B$5000,AJ$1))</f>
        <v/>
      </c>
      <c r="AK135" s="23">
        <f>IF(OR(AK$1="",$BM135=0),"",SUMIFS(Entries!$E$2:$E$5000,Entries!$C$2:$C$5000,"Actual",Entries!$A$2:$A$5000,"&gt;="&amp;$A135,Entries!$A$2:$A$5000,"&lt;"&amp;EDATE($A135,1),Entries!$B$2:$B$5000,AK$1))</f>
        <v/>
      </c>
      <c r="AL135" s="23">
        <f>IF(OR(AL$1="",$BM135=0),"",SUMIFS(Entries!$E$2:$E$5000,Entries!$C$2:$C$5000,"Actual",Entries!$A$2:$A$5000,"&gt;="&amp;$A135,Entries!$A$2:$A$5000,"&lt;"&amp;EDATE($A135,1),Entries!$B$2:$B$5000,AL$1))</f>
        <v/>
      </c>
      <c r="AM135" s="23">
        <f>IF(OR(AM$1="",$BM135=0),"",SUMIFS(Entries!$E$2:$E$5000,Entries!$C$2:$C$5000,"Actual",Entries!$A$2:$A$5000,"&gt;="&amp;$A135,Entries!$A$2:$A$5000,"&lt;"&amp;EDATE($A135,1),Entries!$B$2:$B$5000,AM$1))</f>
        <v/>
      </c>
      <c r="AN135" s="23">
        <f>IF(OR(AN$1="",$BM135=0),"",SUMIFS(Entries!$E$2:$E$5000,Entries!$C$2:$C$5000,"Actual",Entries!$A$2:$A$5000,"&gt;="&amp;$A135,Entries!$A$2:$A$5000,"&lt;"&amp;EDATE($A135,1),Entries!$B$2:$B$5000,AN$1))</f>
        <v/>
      </c>
      <c r="AO135" s="23">
        <f>IF(OR(AO$1="",$BM135=0),"",SUMIFS(Entries!$E$2:$E$5000,Entries!$C$2:$C$5000,"Actual",Entries!$A$2:$A$5000,"&gt;="&amp;$A135,Entries!$A$2:$A$5000,"&lt;"&amp;EDATE($A135,1),Entries!$B$2:$B$5000,AO$1))</f>
        <v/>
      </c>
      <c r="AP135" s="23">
        <f>IF(OR(AP$1="",$BM135=0),"",SUMIFS(Entries!$E$2:$E$5000,Entries!$C$2:$C$5000,"Actual",Entries!$A$2:$A$5000,"&gt;="&amp;$A135,Entries!$A$2:$A$5000,"&lt;"&amp;EDATE($A135,1),Entries!$B$2:$B$5000,AP$1))</f>
        <v/>
      </c>
      <c r="AR135" s="23">
        <f>IF(OR(AR$1="",$BM135=0),"",IFERROR(LOOKUP(2,1/((Budgets!$A$2:$A$200=AR$1)*(Budgets!$B$2:$B$200&lt;EDATE($A135,1))),Budgets!$C$2:$C$200),0))</f>
        <v/>
      </c>
      <c r="AS135" s="23">
        <f>IF(OR(AS$1="",$BM135=0),"",IFERROR(LOOKUP(2,1/((Budgets!$A$2:$A$200=AS$1)*(Budgets!$B$2:$B$200&lt;EDATE($A135,1))),Budgets!$C$2:$C$200),0))</f>
        <v/>
      </c>
      <c r="AT135" s="23">
        <f>IF(OR(AT$1="",$BM135=0),"",IFERROR(LOOKUP(2,1/((Budgets!$A$2:$A$200=AT$1)*(Budgets!$B$2:$B$200&lt;EDATE($A135,1))),Budgets!$C$2:$C$200),0))</f>
        <v/>
      </c>
      <c r="AU135" s="23">
        <f>IF(OR(AU$1="",$BM135=0),"",IFERROR(LOOKUP(2,1/((Budgets!$A$2:$A$200=AU$1)*(Budgets!$B$2:$B$200&lt;EDATE($A135,1))),Budgets!$C$2:$C$200),0))</f>
        <v/>
      </c>
      <c r="AV135" s="23">
        <f>IF(OR(AV$1="",$BM135=0),"",IFERROR(LOOKUP(2,1/((Budgets!$A$2:$A$200=AV$1)*(Budgets!$B$2:$B$200&lt;EDATE($A135,1))),Budgets!$C$2:$C$200),0))</f>
        <v/>
      </c>
      <c r="AW135" s="23">
        <f>IF(OR(AW$1="",$BM135=0),"",IFERROR(LOOKUP(2,1/((Budgets!$A$2:$A$200=AW$1)*(Budgets!$B$2:$B$200&lt;EDATE($A135,1))),Budgets!$C$2:$C$200),0))</f>
        <v/>
      </c>
      <c r="AX135" s="23">
        <f>IF(OR(AX$1="",$BM135=0),"",IFERROR(LOOKUP(2,1/((Budgets!$A$2:$A$200=AX$1)*(Budgets!$B$2:$B$200&lt;EDATE($A135,1))),Budgets!$C$2:$C$200),0))</f>
        <v/>
      </c>
      <c r="AY135" s="23">
        <f>IF(OR(AY$1="",$BM135=0),"",IFERROR(LOOKUP(2,1/((Budgets!$A$2:$A$200=AY$1)*(Budgets!$B$2:$B$200&lt;EDATE($A135,1))),Budgets!$C$2:$C$200),0))</f>
        <v/>
      </c>
      <c r="AZ135" s="23">
        <f>IF(OR(AZ$1="",$BM135=0),"",IFERROR(LOOKUP(2,1/((Budgets!$A$2:$A$200=AZ$1)*(Budgets!$B$2:$B$200&lt;EDATE($A135,1))),Budgets!$C$2:$C$200),0))</f>
        <v/>
      </c>
      <c r="BA135" s="23">
        <f>IF(OR(BA$1="",$BM135=0),"",IFERROR(LOOKUP(2,1/((Budgets!$A$2:$A$200=BA$1)*(Budgets!$B$2:$B$200&lt;EDATE($A135,1))),Budgets!$C$2:$C$200),0))</f>
        <v/>
      </c>
      <c r="BB135" s="23">
        <f>IF(OR(BB$1="",$BM135=0),"",IFERROR(LOOKUP(2,1/((Budgets!$A$2:$A$200=BB$1)*(Budgets!$B$2:$B$200&lt;EDATE($A135,1))),Budgets!$C$2:$C$200),0))</f>
        <v/>
      </c>
      <c r="BC135" s="23">
        <f>IF(OR(BC$1="",$BM135=0),"",IFERROR(LOOKUP(2,1/((Budgets!$A$2:$A$200=BC$1)*(Budgets!$B$2:$B$200&lt;EDATE($A135,1))),Budgets!$C$2:$C$200),0))</f>
        <v/>
      </c>
      <c r="BD135" s="23">
        <f>IF(OR(BD$1="",$BM135=0),"",IFERROR(LOOKUP(2,1/((Budgets!$A$2:$A$200=BD$1)*(Budgets!$B$2:$B$200&lt;EDATE($A135,1))),Budgets!$C$2:$C$200),0))</f>
        <v/>
      </c>
      <c r="BE135" s="23">
        <f>IF(OR(BE$1="",$BM135=0),"",IFERROR(LOOKUP(2,1/((Budgets!$A$2:$A$200=BE$1)*(Budgets!$B$2:$B$200&lt;EDATE($A135,1))),Budgets!$C$2:$C$200),0))</f>
        <v/>
      </c>
      <c r="BF135" s="23">
        <f>IF(OR(BF$1="",$BM135=0),"",IFERROR(LOOKUP(2,1/((Budgets!$A$2:$A$200=BF$1)*(Budgets!$B$2:$B$200&lt;EDATE($A135,1))),Budgets!$C$2:$C$200),0))</f>
        <v/>
      </c>
      <c r="BG135" s="23">
        <f>IF(OR(BG$1="",$BM135=0),"",IFERROR(LOOKUP(2,1/((Budgets!$A$2:$A$200=BG$1)*(Budgets!$B$2:$B$200&lt;EDATE($A135,1))),Budgets!$C$2:$C$200),0))</f>
        <v/>
      </c>
      <c r="BH135" s="23">
        <f>IF(OR(BH$1="",$BM135=0),"",IFERROR(LOOKUP(2,1/((Budgets!$A$2:$A$200=BH$1)*(Budgets!$B$2:$B$200&lt;EDATE($A135,1))),Budgets!$C$2:$C$200),0))</f>
        <v/>
      </c>
      <c r="BI135" s="23">
        <f>IF(OR(BI$1="",$BM135=0),"",IFERROR(LOOKUP(2,1/((Budgets!$A$2:$A$200=BI$1)*(Budgets!$B$2:$B$200&lt;EDATE($A135,1))),Budgets!$C$2:$C$200),0))</f>
        <v/>
      </c>
      <c r="BJ135" s="23">
        <f>IF(OR(BJ$1="",$BM135=0),"",IFERROR(LOOKUP(2,1/((Budgets!$A$2:$A$200=BJ$1)*(Budgets!$B$2:$B$200&lt;EDATE($A135,1))),Budgets!$C$2:$C$200),0))</f>
        <v/>
      </c>
      <c r="BK135" s="23">
        <f>IF(OR(BK$1="",$BM135=0),"",IFERROR(LOOKUP(2,1/((Budgets!$A$2:$A$200=BK$1)*(Budgets!$B$2:$B$200&lt;EDATE($A135,1))),Budgets!$C$2:$C$200),0))</f>
        <v/>
      </c>
      <c r="BM135" s="21">
        <f>COUNTIFS(Entries!$A$2:$A$5000,"&gt;="&amp;$A135,Entries!$A$2:$A$5000,"&lt;"&amp;EDATE($A135,1))</f>
        <v/>
      </c>
    </row>
    <row r="136">
      <c r="A136" s="22" t="n">
        <v>43525</v>
      </c>
      <c r="B136" s="23">
        <f>IF($BM136=0,NA(),SUMIFS(Entries!$E$2:$E$5000,Entries!$C$2:$C$5000,"Income",Entries!$A$2:$A$5000,"&gt;="&amp;$A136,Entries!$A$2:$A$5000,"&lt;"&amp;EDATE($A136,1)))</f>
        <v/>
      </c>
      <c r="C136" s="23">
        <f>IF($BM136=0,"",SUMIFS(Entries!$E$2:$E$5000,Entries!$C$2:$C$5000,"Actual",Entries!$A$2:$A$5000,"&gt;="&amp;$A136,Entries!$A$2:$A$5000,"&lt;"&amp;EDATE($A136,1)))</f>
        <v/>
      </c>
      <c r="D136" s="23">
        <f>IF($BM136=0,"",SUMIFS(Entries!$E$2:$E$5000,Entries!$C$2:$C$5000,"One-off",Entries!$A$2:$A$5000,"&gt;="&amp;$A136,Entries!$A$2:$A$5000,"&lt;"&amp;EDATE($A136,1)))</f>
        <v/>
      </c>
      <c r="E136" s="23">
        <f>IF($BM136=0,NA(),C136+D136)</f>
        <v/>
      </c>
      <c r="F136" s="23">
        <f>IF($BM136=0,"",SUM(AR136:BK136))</f>
        <v/>
      </c>
      <c r="G136" s="23">
        <f>IF($BM136=0,"",B136-E136)</f>
        <v/>
      </c>
      <c r="H136" s="23">
        <f>IF($BM136=0,"",SUM($G$2:G136))</f>
        <v/>
      </c>
      <c r="I136" s="23">
        <f>IF($BM136=0,"",SUMIFS(Entries!$G$2:$G$5000,Entries!$A$2:$A$5000,"&gt;="&amp;$A136,Entries!$A$2:$A$5000,"&lt;"&amp;EDATE($A136,1)))</f>
        <v/>
      </c>
      <c r="J136" s="23">
        <f>IF($BM136=0,NA(),H136)</f>
        <v/>
      </c>
      <c r="K136" s="23">
        <f>IF($BM136=0,"",SUMIFS(Entries!$E$2:$E$5000,Entries!$C$2:$C$5000,"Income",Entries!$A$2:$A$5000,"&gt;="&amp;EDATE($A136,-11),Entries!$A$2:$A$5000,"&lt;"&amp;EDATE($A136,1))/COUNTIFS($A$2:$A$400,"&gt;="&amp;EDATE($A136,-11),$A$2:$A$400,"&lt;"&amp;EDATE($A136,1),$BM$2:$BM$400,"&gt;0"))</f>
      </c>
      <c r="L136" s="23">
        <f>IF($BM136=0,"",(SUMIFS(Entries!$E$2:$E$5000,Entries!$C$2:$C$5000,"Actual",Entries!$A$2:$A$5000,"&gt;="&amp;EDATE($A136,-11),Entries!$A$2:$A$5000,"&lt;"&amp;EDATE($A136,1))+SUMIFS(Entries!$E$2:$E$5000,Entries!$C$2:$C$5000,"One-off",Entries!$A$2:$A$5000,"&gt;="&amp;EDATE($A136,-11),Entries!$A$2:$A$5000,"&lt;"&amp;EDATE($A136,1)))/COUNTIFS($A$2:$A$400,"&gt;="&amp;EDATE($A136,-11),$A$2:$A$400,"&lt;"&amp;EDATE($A136,1),$BM$2:$BM$400,"&gt;0"))</f>
      </c>
      <c r="M136" s="24">
        <f>IF($BM136=0,NA(),IFERROR((K136-L136)/K136,0))</f>
        <v/>
      </c>
      <c r="N136" s="23">
        <f>IF($BM136=0,NA(),SUMIFS(Entries!$E$2:$E$5000,Entries!$D$2:$D$5000,"Core",Entries!$A$2:$A$5000,"&gt;="&amp;$A136,Entries!$A$2:$A$5000,"&lt;"&amp;EDATE($A136,1)))</f>
        <v/>
      </c>
      <c r="O136" s="23">
        <f>IF($BM136=0,NA(),SUMIFS(Entries!$E$2:$E$5000,Entries!$D$2:$D$5000,"Over &amp; above",Entries!$A$2:$A$5000,"&gt;="&amp;$A136,Entries!$A$2:$A$5000,"&lt;"&amp;EDATE($A136,1)))</f>
        <v/>
      </c>
      <c r="P136" s="23">
        <f>IF($BM136=0,NA(),SUMIFS(Entries!$E$2:$E$5000,Entries!$D$2:$D$5000,"One-off",Entries!$A$2:$A$5000,"&gt;="&amp;$A136,Entries!$A$2:$A$5000,"&lt;"&amp;EDATE($A136,1)))</f>
        <v/>
      </c>
      <c r="Q136" s="23">
        <f>IF($BM136=0,NA(),SUMIFS(Entries!$E$2:$E$5000,Entries!$D$2:$D$5000,"Reimbursable",Entries!$A$2:$A$5000,"&gt;="&amp;$A136,Entries!$A$2:$A$5000,"&lt;"&amp;EDATE($A136,1)))</f>
        <v/>
      </c>
      <c r="R136" s="23">
        <f>IF($BM136=0,NA(),SUMIFS(Entries!$E$2:$E$5000,Entries!$D$2:$D$5000,"Investment",Entries!$A$2:$A$5000,"&gt;="&amp;$A136,Entries!$A$2:$A$5000,"&lt;"&amp;EDATE($A136,1)))</f>
        <v/>
      </c>
      <c r="S136" s="23">
        <f>IF($BM136=0,NA(),N136+O136)</f>
        <v/>
      </c>
      <c r="T136" s="23">
        <f>IF($BM136=0,"",E136-Q136)</f>
        <v/>
      </c>
      <c r="W136" s="23">
        <f>IF(OR(W$1="",$BM136=0),"",SUMIFS(Entries!$E$2:$E$5000,Entries!$C$2:$C$5000,"Actual",Entries!$A$2:$A$5000,"&gt;="&amp;$A136,Entries!$A$2:$A$5000,"&lt;"&amp;EDATE($A136,1),Entries!$B$2:$B$5000,W$1))</f>
        <v/>
      </c>
      <c r="X136" s="23">
        <f>IF(OR(X$1="",$BM136=0),"",SUMIFS(Entries!$E$2:$E$5000,Entries!$C$2:$C$5000,"Actual",Entries!$A$2:$A$5000,"&gt;="&amp;$A136,Entries!$A$2:$A$5000,"&lt;"&amp;EDATE($A136,1),Entries!$B$2:$B$5000,X$1))</f>
        <v/>
      </c>
      <c r="Y136" s="23">
        <f>IF(OR(Y$1="",$BM136=0),"",SUMIFS(Entries!$E$2:$E$5000,Entries!$C$2:$C$5000,"Actual",Entries!$A$2:$A$5000,"&gt;="&amp;$A136,Entries!$A$2:$A$5000,"&lt;"&amp;EDATE($A136,1),Entries!$B$2:$B$5000,Y$1))</f>
        <v/>
      </c>
      <c r="Z136" s="23">
        <f>IF(OR(Z$1="",$BM136=0),"",SUMIFS(Entries!$E$2:$E$5000,Entries!$C$2:$C$5000,"Actual",Entries!$A$2:$A$5000,"&gt;="&amp;$A136,Entries!$A$2:$A$5000,"&lt;"&amp;EDATE($A136,1),Entries!$B$2:$B$5000,Z$1))</f>
        <v/>
      </c>
      <c r="AA136" s="23">
        <f>IF(OR(AA$1="",$BM136=0),"",SUMIFS(Entries!$E$2:$E$5000,Entries!$C$2:$C$5000,"Actual",Entries!$A$2:$A$5000,"&gt;="&amp;$A136,Entries!$A$2:$A$5000,"&lt;"&amp;EDATE($A136,1),Entries!$B$2:$B$5000,AA$1))</f>
        <v/>
      </c>
      <c r="AB136" s="23">
        <f>IF(OR(AB$1="",$BM136=0),"",SUMIFS(Entries!$E$2:$E$5000,Entries!$C$2:$C$5000,"Actual",Entries!$A$2:$A$5000,"&gt;="&amp;$A136,Entries!$A$2:$A$5000,"&lt;"&amp;EDATE($A136,1),Entries!$B$2:$B$5000,AB$1))</f>
        <v/>
      </c>
      <c r="AC136" s="23">
        <f>IF(OR(AC$1="",$BM136=0),"",SUMIFS(Entries!$E$2:$E$5000,Entries!$C$2:$C$5000,"Actual",Entries!$A$2:$A$5000,"&gt;="&amp;$A136,Entries!$A$2:$A$5000,"&lt;"&amp;EDATE($A136,1),Entries!$B$2:$B$5000,AC$1))</f>
        <v/>
      </c>
      <c r="AD136" s="23">
        <f>IF(OR(AD$1="",$BM136=0),"",SUMIFS(Entries!$E$2:$E$5000,Entries!$C$2:$C$5000,"Actual",Entries!$A$2:$A$5000,"&gt;="&amp;$A136,Entries!$A$2:$A$5000,"&lt;"&amp;EDATE($A136,1),Entries!$B$2:$B$5000,AD$1))</f>
        <v/>
      </c>
      <c r="AE136" s="23">
        <f>IF(OR(AE$1="",$BM136=0),"",SUMIFS(Entries!$E$2:$E$5000,Entries!$C$2:$C$5000,"Actual",Entries!$A$2:$A$5000,"&gt;="&amp;$A136,Entries!$A$2:$A$5000,"&lt;"&amp;EDATE($A136,1),Entries!$B$2:$B$5000,AE$1))</f>
        <v/>
      </c>
      <c r="AF136" s="23">
        <f>IF(OR(AF$1="",$BM136=0),"",SUMIFS(Entries!$E$2:$E$5000,Entries!$C$2:$C$5000,"Actual",Entries!$A$2:$A$5000,"&gt;="&amp;$A136,Entries!$A$2:$A$5000,"&lt;"&amp;EDATE($A136,1),Entries!$B$2:$B$5000,AF$1))</f>
        <v/>
      </c>
      <c r="AG136" s="23">
        <f>IF(OR(AG$1="",$BM136=0),"",SUMIFS(Entries!$E$2:$E$5000,Entries!$C$2:$C$5000,"Actual",Entries!$A$2:$A$5000,"&gt;="&amp;$A136,Entries!$A$2:$A$5000,"&lt;"&amp;EDATE($A136,1),Entries!$B$2:$B$5000,AG$1))</f>
        <v/>
      </c>
      <c r="AH136" s="23">
        <f>IF(OR(AH$1="",$BM136=0),"",SUMIFS(Entries!$E$2:$E$5000,Entries!$C$2:$C$5000,"Actual",Entries!$A$2:$A$5000,"&gt;="&amp;$A136,Entries!$A$2:$A$5000,"&lt;"&amp;EDATE($A136,1),Entries!$B$2:$B$5000,AH$1))</f>
        <v/>
      </c>
      <c r="AI136" s="23">
        <f>IF(OR(AI$1="",$BM136=0),"",SUMIFS(Entries!$E$2:$E$5000,Entries!$C$2:$C$5000,"Actual",Entries!$A$2:$A$5000,"&gt;="&amp;$A136,Entries!$A$2:$A$5000,"&lt;"&amp;EDATE($A136,1),Entries!$B$2:$B$5000,AI$1))</f>
        <v/>
      </c>
      <c r="AJ136" s="23">
        <f>IF(OR(AJ$1="",$BM136=0),"",SUMIFS(Entries!$E$2:$E$5000,Entries!$C$2:$C$5000,"Actual",Entries!$A$2:$A$5000,"&gt;="&amp;$A136,Entries!$A$2:$A$5000,"&lt;"&amp;EDATE($A136,1),Entries!$B$2:$B$5000,AJ$1))</f>
        <v/>
      </c>
      <c r="AK136" s="23">
        <f>IF(OR(AK$1="",$BM136=0),"",SUMIFS(Entries!$E$2:$E$5000,Entries!$C$2:$C$5000,"Actual",Entries!$A$2:$A$5000,"&gt;="&amp;$A136,Entries!$A$2:$A$5000,"&lt;"&amp;EDATE($A136,1),Entries!$B$2:$B$5000,AK$1))</f>
        <v/>
      </c>
      <c r="AL136" s="23">
        <f>IF(OR(AL$1="",$BM136=0),"",SUMIFS(Entries!$E$2:$E$5000,Entries!$C$2:$C$5000,"Actual",Entries!$A$2:$A$5000,"&gt;="&amp;$A136,Entries!$A$2:$A$5000,"&lt;"&amp;EDATE($A136,1),Entries!$B$2:$B$5000,AL$1))</f>
        <v/>
      </c>
      <c r="AM136" s="23">
        <f>IF(OR(AM$1="",$BM136=0),"",SUMIFS(Entries!$E$2:$E$5000,Entries!$C$2:$C$5000,"Actual",Entries!$A$2:$A$5000,"&gt;="&amp;$A136,Entries!$A$2:$A$5000,"&lt;"&amp;EDATE($A136,1),Entries!$B$2:$B$5000,AM$1))</f>
        <v/>
      </c>
      <c r="AN136" s="23">
        <f>IF(OR(AN$1="",$BM136=0),"",SUMIFS(Entries!$E$2:$E$5000,Entries!$C$2:$C$5000,"Actual",Entries!$A$2:$A$5000,"&gt;="&amp;$A136,Entries!$A$2:$A$5000,"&lt;"&amp;EDATE($A136,1),Entries!$B$2:$B$5000,AN$1))</f>
        <v/>
      </c>
      <c r="AO136" s="23">
        <f>IF(OR(AO$1="",$BM136=0),"",SUMIFS(Entries!$E$2:$E$5000,Entries!$C$2:$C$5000,"Actual",Entries!$A$2:$A$5000,"&gt;="&amp;$A136,Entries!$A$2:$A$5000,"&lt;"&amp;EDATE($A136,1),Entries!$B$2:$B$5000,AO$1))</f>
        <v/>
      </c>
      <c r="AP136" s="23">
        <f>IF(OR(AP$1="",$BM136=0),"",SUMIFS(Entries!$E$2:$E$5000,Entries!$C$2:$C$5000,"Actual",Entries!$A$2:$A$5000,"&gt;="&amp;$A136,Entries!$A$2:$A$5000,"&lt;"&amp;EDATE($A136,1),Entries!$B$2:$B$5000,AP$1))</f>
        <v/>
      </c>
      <c r="AR136" s="23">
        <f>IF(OR(AR$1="",$BM136=0),"",IFERROR(LOOKUP(2,1/((Budgets!$A$2:$A$200=AR$1)*(Budgets!$B$2:$B$200&lt;EDATE($A136,1))),Budgets!$C$2:$C$200),0))</f>
        <v/>
      </c>
      <c r="AS136" s="23">
        <f>IF(OR(AS$1="",$BM136=0),"",IFERROR(LOOKUP(2,1/((Budgets!$A$2:$A$200=AS$1)*(Budgets!$B$2:$B$200&lt;EDATE($A136,1))),Budgets!$C$2:$C$200),0))</f>
        <v/>
      </c>
      <c r="AT136" s="23">
        <f>IF(OR(AT$1="",$BM136=0),"",IFERROR(LOOKUP(2,1/((Budgets!$A$2:$A$200=AT$1)*(Budgets!$B$2:$B$200&lt;EDATE($A136,1))),Budgets!$C$2:$C$200),0))</f>
        <v/>
      </c>
      <c r="AU136" s="23">
        <f>IF(OR(AU$1="",$BM136=0),"",IFERROR(LOOKUP(2,1/((Budgets!$A$2:$A$200=AU$1)*(Budgets!$B$2:$B$200&lt;EDATE($A136,1))),Budgets!$C$2:$C$200),0))</f>
        <v/>
      </c>
      <c r="AV136" s="23">
        <f>IF(OR(AV$1="",$BM136=0),"",IFERROR(LOOKUP(2,1/((Budgets!$A$2:$A$200=AV$1)*(Budgets!$B$2:$B$200&lt;EDATE($A136,1))),Budgets!$C$2:$C$200),0))</f>
        <v/>
      </c>
      <c r="AW136" s="23">
        <f>IF(OR(AW$1="",$BM136=0),"",IFERROR(LOOKUP(2,1/((Budgets!$A$2:$A$200=AW$1)*(Budgets!$B$2:$B$200&lt;EDATE($A136,1))),Budgets!$C$2:$C$200),0))</f>
        <v/>
      </c>
      <c r="AX136" s="23">
        <f>IF(OR(AX$1="",$BM136=0),"",IFERROR(LOOKUP(2,1/((Budgets!$A$2:$A$200=AX$1)*(Budgets!$B$2:$B$200&lt;EDATE($A136,1))),Budgets!$C$2:$C$200),0))</f>
        <v/>
      </c>
      <c r="AY136" s="23">
        <f>IF(OR(AY$1="",$BM136=0),"",IFERROR(LOOKUP(2,1/((Budgets!$A$2:$A$200=AY$1)*(Budgets!$B$2:$B$200&lt;EDATE($A136,1))),Budgets!$C$2:$C$200),0))</f>
        <v/>
      </c>
      <c r="AZ136" s="23">
        <f>IF(OR(AZ$1="",$BM136=0),"",IFERROR(LOOKUP(2,1/((Budgets!$A$2:$A$200=AZ$1)*(Budgets!$B$2:$B$200&lt;EDATE($A136,1))),Budgets!$C$2:$C$200),0))</f>
        <v/>
      </c>
      <c r="BA136" s="23">
        <f>IF(OR(BA$1="",$BM136=0),"",IFERROR(LOOKUP(2,1/((Budgets!$A$2:$A$200=BA$1)*(Budgets!$B$2:$B$200&lt;EDATE($A136,1))),Budgets!$C$2:$C$200),0))</f>
        <v/>
      </c>
      <c r="BB136" s="23">
        <f>IF(OR(BB$1="",$BM136=0),"",IFERROR(LOOKUP(2,1/((Budgets!$A$2:$A$200=BB$1)*(Budgets!$B$2:$B$200&lt;EDATE($A136,1))),Budgets!$C$2:$C$200),0))</f>
        <v/>
      </c>
      <c r="BC136" s="23">
        <f>IF(OR(BC$1="",$BM136=0),"",IFERROR(LOOKUP(2,1/((Budgets!$A$2:$A$200=BC$1)*(Budgets!$B$2:$B$200&lt;EDATE($A136,1))),Budgets!$C$2:$C$200),0))</f>
        <v/>
      </c>
      <c r="BD136" s="23">
        <f>IF(OR(BD$1="",$BM136=0),"",IFERROR(LOOKUP(2,1/((Budgets!$A$2:$A$200=BD$1)*(Budgets!$B$2:$B$200&lt;EDATE($A136,1))),Budgets!$C$2:$C$200),0))</f>
        <v/>
      </c>
      <c r="BE136" s="23">
        <f>IF(OR(BE$1="",$BM136=0),"",IFERROR(LOOKUP(2,1/((Budgets!$A$2:$A$200=BE$1)*(Budgets!$B$2:$B$200&lt;EDATE($A136,1))),Budgets!$C$2:$C$200),0))</f>
        <v/>
      </c>
      <c r="BF136" s="23">
        <f>IF(OR(BF$1="",$BM136=0),"",IFERROR(LOOKUP(2,1/((Budgets!$A$2:$A$200=BF$1)*(Budgets!$B$2:$B$200&lt;EDATE($A136,1))),Budgets!$C$2:$C$200),0))</f>
        <v/>
      </c>
      <c r="BG136" s="23">
        <f>IF(OR(BG$1="",$BM136=0),"",IFERROR(LOOKUP(2,1/((Budgets!$A$2:$A$200=BG$1)*(Budgets!$B$2:$B$200&lt;EDATE($A136,1))),Budgets!$C$2:$C$200),0))</f>
        <v/>
      </c>
      <c r="BH136" s="23">
        <f>IF(OR(BH$1="",$BM136=0),"",IFERROR(LOOKUP(2,1/((Budgets!$A$2:$A$200=BH$1)*(Budgets!$B$2:$B$200&lt;EDATE($A136,1))),Budgets!$C$2:$C$200),0))</f>
        <v/>
      </c>
      <c r="BI136" s="23">
        <f>IF(OR(BI$1="",$BM136=0),"",IFERROR(LOOKUP(2,1/((Budgets!$A$2:$A$200=BI$1)*(Budgets!$B$2:$B$200&lt;EDATE($A136,1))),Budgets!$C$2:$C$200),0))</f>
        <v/>
      </c>
      <c r="BJ136" s="23">
        <f>IF(OR(BJ$1="",$BM136=0),"",IFERROR(LOOKUP(2,1/((Budgets!$A$2:$A$200=BJ$1)*(Budgets!$B$2:$B$200&lt;EDATE($A136,1))),Budgets!$C$2:$C$200),0))</f>
        <v/>
      </c>
      <c r="BK136" s="23">
        <f>IF(OR(BK$1="",$BM136=0),"",IFERROR(LOOKUP(2,1/((Budgets!$A$2:$A$200=BK$1)*(Budgets!$B$2:$B$200&lt;EDATE($A136,1))),Budgets!$C$2:$C$200),0))</f>
        <v/>
      </c>
      <c r="BM136" s="21">
        <f>COUNTIFS(Entries!$A$2:$A$5000,"&gt;="&amp;$A136,Entries!$A$2:$A$5000,"&lt;"&amp;EDATE($A136,1))</f>
        <v/>
      </c>
    </row>
    <row r="137">
      <c r="A137" s="22" t="n">
        <v>43556</v>
      </c>
      <c r="B137" s="23">
        <f>IF($BM137=0,NA(),SUMIFS(Entries!$E$2:$E$5000,Entries!$C$2:$C$5000,"Income",Entries!$A$2:$A$5000,"&gt;="&amp;$A137,Entries!$A$2:$A$5000,"&lt;"&amp;EDATE($A137,1)))</f>
        <v/>
      </c>
      <c r="C137" s="23">
        <f>IF($BM137=0,"",SUMIFS(Entries!$E$2:$E$5000,Entries!$C$2:$C$5000,"Actual",Entries!$A$2:$A$5000,"&gt;="&amp;$A137,Entries!$A$2:$A$5000,"&lt;"&amp;EDATE($A137,1)))</f>
        <v/>
      </c>
      <c r="D137" s="23">
        <f>IF($BM137=0,"",SUMIFS(Entries!$E$2:$E$5000,Entries!$C$2:$C$5000,"One-off",Entries!$A$2:$A$5000,"&gt;="&amp;$A137,Entries!$A$2:$A$5000,"&lt;"&amp;EDATE($A137,1)))</f>
        <v/>
      </c>
      <c r="E137" s="23">
        <f>IF($BM137=0,NA(),C137+D137)</f>
        <v/>
      </c>
      <c r="F137" s="23">
        <f>IF($BM137=0,"",SUM(AR137:BK137))</f>
        <v/>
      </c>
      <c r="G137" s="23">
        <f>IF($BM137=0,"",B137-E137)</f>
        <v/>
      </c>
      <c r="H137" s="23">
        <f>IF($BM137=0,"",SUM($G$2:G137))</f>
        <v/>
      </c>
      <c r="I137" s="23">
        <f>IF($BM137=0,"",SUMIFS(Entries!$G$2:$G$5000,Entries!$A$2:$A$5000,"&gt;="&amp;$A137,Entries!$A$2:$A$5000,"&lt;"&amp;EDATE($A137,1)))</f>
        <v/>
      </c>
      <c r="J137" s="23">
        <f>IF($BM137=0,NA(),H137)</f>
        <v/>
      </c>
      <c r="K137" s="23">
        <f>IF($BM137=0,"",SUMIFS(Entries!$E$2:$E$5000,Entries!$C$2:$C$5000,"Income",Entries!$A$2:$A$5000,"&gt;="&amp;EDATE($A137,-11),Entries!$A$2:$A$5000,"&lt;"&amp;EDATE($A137,1))/COUNTIFS($A$2:$A$400,"&gt;="&amp;EDATE($A137,-11),$A$2:$A$400,"&lt;"&amp;EDATE($A137,1),$BM$2:$BM$400,"&gt;0"))</f>
      </c>
      <c r="L137" s="23">
        <f>IF($BM137=0,"",(SUMIFS(Entries!$E$2:$E$5000,Entries!$C$2:$C$5000,"Actual",Entries!$A$2:$A$5000,"&gt;="&amp;EDATE($A137,-11),Entries!$A$2:$A$5000,"&lt;"&amp;EDATE($A137,1))+SUMIFS(Entries!$E$2:$E$5000,Entries!$C$2:$C$5000,"One-off",Entries!$A$2:$A$5000,"&gt;="&amp;EDATE($A137,-11),Entries!$A$2:$A$5000,"&lt;"&amp;EDATE($A137,1)))/COUNTIFS($A$2:$A$400,"&gt;="&amp;EDATE($A137,-11),$A$2:$A$400,"&lt;"&amp;EDATE($A137,1),$BM$2:$BM$400,"&gt;0"))</f>
      </c>
      <c r="M137" s="24">
        <f>IF($BM137=0,NA(),IFERROR((K137-L137)/K137,0))</f>
        <v/>
      </c>
      <c r="N137" s="23">
        <f>IF($BM137=0,NA(),SUMIFS(Entries!$E$2:$E$5000,Entries!$D$2:$D$5000,"Core",Entries!$A$2:$A$5000,"&gt;="&amp;$A137,Entries!$A$2:$A$5000,"&lt;"&amp;EDATE($A137,1)))</f>
        <v/>
      </c>
      <c r="O137" s="23">
        <f>IF($BM137=0,NA(),SUMIFS(Entries!$E$2:$E$5000,Entries!$D$2:$D$5000,"Over &amp; above",Entries!$A$2:$A$5000,"&gt;="&amp;$A137,Entries!$A$2:$A$5000,"&lt;"&amp;EDATE($A137,1)))</f>
        <v/>
      </c>
      <c r="P137" s="23">
        <f>IF($BM137=0,NA(),SUMIFS(Entries!$E$2:$E$5000,Entries!$D$2:$D$5000,"One-off",Entries!$A$2:$A$5000,"&gt;="&amp;$A137,Entries!$A$2:$A$5000,"&lt;"&amp;EDATE($A137,1)))</f>
        <v/>
      </c>
      <c r="Q137" s="23">
        <f>IF($BM137=0,NA(),SUMIFS(Entries!$E$2:$E$5000,Entries!$D$2:$D$5000,"Reimbursable",Entries!$A$2:$A$5000,"&gt;="&amp;$A137,Entries!$A$2:$A$5000,"&lt;"&amp;EDATE($A137,1)))</f>
        <v/>
      </c>
      <c r="R137" s="23">
        <f>IF($BM137=0,NA(),SUMIFS(Entries!$E$2:$E$5000,Entries!$D$2:$D$5000,"Investment",Entries!$A$2:$A$5000,"&gt;="&amp;$A137,Entries!$A$2:$A$5000,"&lt;"&amp;EDATE($A137,1)))</f>
        <v/>
      </c>
      <c r="S137" s="23">
        <f>IF($BM137=0,NA(),N137+O137)</f>
        <v/>
      </c>
      <c r="T137" s="23">
        <f>IF($BM137=0,"",E137-Q137)</f>
        <v/>
      </c>
      <c r="W137" s="23">
        <f>IF(OR(W$1="",$BM137=0),"",SUMIFS(Entries!$E$2:$E$5000,Entries!$C$2:$C$5000,"Actual",Entries!$A$2:$A$5000,"&gt;="&amp;$A137,Entries!$A$2:$A$5000,"&lt;"&amp;EDATE($A137,1),Entries!$B$2:$B$5000,W$1))</f>
        <v/>
      </c>
      <c r="X137" s="23">
        <f>IF(OR(X$1="",$BM137=0),"",SUMIFS(Entries!$E$2:$E$5000,Entries!$C$2:$C$5000,"Actual",Entries!$A$2:$A$5000,"&gt;="&amp;$A137,Entries!$A$2:$A$5000,"&lt;"&amp;EDATE($A137,1),Entries!$B$2:$B$5000,X$1))</f>
        <v/>
      </c>
      <c r="Y137" s="23">
        <f>IF(OR(Y$1="",$BM137=0),"",SUMIFS(Entries!$E$2:$E$5000,Entries!$C$2:$C$5000,"Actual",Entries!$A$2:$A$5000,"&gt;="&amp;$A137,Entries!$A$2:$A$5000,"&lt;"&amp;EDATE($A137,1),Entries!$B$2:$B$5000,Y$1))</f>
        <v/>
      </c>
      <c r="Z137" s="23">
        <f>IF(OR(Z$1="",$BM137=0),"",SUMIFS(Entries!$E$2:$E$5000,Entries!$C$2:$C$5000,"Actual",Entries!$A$2:$A$5000,"&gt;="&amp;$A137,Entries!$A$2:$A$5000,"&lt;"&amp;EDATE($A137,1),Entries!$B$2:$B$5000,Z$1))</f>
        <v/>
      </c>
      <c r="AA137" s="23">
        <f>IF(OR(AA$1="",$BM137=0),"",SUMIFS(Entries!$E$2:$E$5000,Entries!$C$2:$C$5000,"Actual",Entries!$A$2:$A$5000,"&gt;="&amp;$A137,Entries!$A$2:$A$5000,"&lt;"&amp;EDATE($A137,1),Entries!$B$2:$B$5000,AA$1))</f>
        <v/>
      </c>
      <c r="AB137" s="23">
        <f>IF(OR(AB$1="",$BM137=0),"",SUMIFS(Entries!$E$2:$E$5000,Entries!$C$2:$C$5000,"Actual",Entries!$A$2:$A$5000,"&gt;="&amp;$A137,Entries!$A$2:$A$5000,"&lt;"&amp;EDATE($A137,1),Entries!$B$2:$B$5000,AB$1))</f>
        <v/>
      </c>
      <c r="AC137" s="23">
        <f>IF(OR(AC$1="",$BM137=0),"",SUMIFS(Entries!$E$2:$E$5000,Entries!$C$2:$C$5000,"Actual",Entries!$A$2:$A$5000,"&gt;="&amp;$A137,Entries!$A$2:$A$5000,"&lt;"&amp;EDATE($A137,1),Entries!$B$2:$B$5000,AC$1))</f>
        <v/>
      </c>
      <c r="AD137" s="23">
        <f>IF(OR(AD$1="",$BM137=0),"",SUMIFS(Entries!$E$2:$E$5000,Entries!$C$2:$C$5000,"Actual",Entries!$A$2:$A$5000,"&gt;="&amp;$A137,Entries!$A$2:$A$5000,"&lt;"&amp;EDATE($A137,1),Entries!$B$2:$B$5000,AD$1))</f>
        <v/>
      </c>
      <c r="AE137" s="23">
        <f>IF(OR(AE$1="",$BM137=0),"",SUMIFS(Entries!$E$2:$E$5000,Entries!$C$2:$C$5000,"Actual",Entries!$A$2:$A$5000,"&gt;="&amp;$A137,Entries!$A$2:$A$5000,"&lt;"&amp;EDATE($A137,1),Entries!$B$2:$B$5000,AE$1))</f>
        <v/>
      </c>
      <c r="AF137" s="23">
        <f>IF(OR(AF$1="",$BM137=0),"",SUMIFS(Entries!$E$2:$E$5000,Entries!$C$2:$C$5000,"Actual",Entries!$A$2:$A$5000,"&gt;="&amp;$A137,Entries!$A$2:$A$5000,"&lt;"&amp;EDATE($A137,1),Entries!$B$2:$B$5000,AF$1))</f>
        <v/>
      </c>
      <c r="AG137" s="23">
        <f>IF(OR(AG$1="",$BM137=0),"",SUMIFS(Entries!$E$2:$E$5000,Entries!$C$2:$C$5000,"Actual",Entries!$A$2:$A$5000,"&gt;="&amp;$A137,Entries!$A$2:$A$5000,"&lt;"&amp;EDATE($A137,1),Entries!$B$2:$B$5000,AG$1))</f>
        <v/>
      </c>
      <c r="AH137" s="23">
        <f>IF(OR(AH$1="",$BM137=0),"",SUMIFS(Entries!$E$2:$E$5000,Entries!$C$2:$C$5000,"Actual",Entries!$A$2:$A$5000,"&gt;="&amp;$A137,Entries!$A$2:$A$5000,"&lt;"&amp;EDATE($A137,1),Entries!$B$2:$B$5000,AH$1))</f>
        <v/>
      </c>
      <c r="AI137" s="23">
        <f>IF(OR(AI$1="",$BM137=0),"",SUMIFS(Entries!$E$2:$E$5000,Entries!$C$2:$C$5000,"Actual",Entries!$A$2:$A$5000,"&gt;="&amp;$A137,Entries!$A$2:$A$5000,"&lt;"&amp;EDATE($A137,1),Entries!$B$2:$B$5000,AI$1))</f>
        <v/>
      </c>
      <c r="AJ137" s="23">
        <f>IF(OR(AJ$1="",$BM137=0),"",SUMIFS(Entries!$E$2:$E$5000,Entries!$C$2:$C$5000,"Actual",Entries!$A$2:$A$5000,"&gt;="&amp;$A137,Entries!$A$2:$A$5000,"&lt;"&amp;EDATE($A137,1),Entries!$B$2:$B$5000,AJ$1))</f>
        <v/>
      </c>
      <c r="AK137" s="23">
        <f>IF(OR(AK$1="",$BM137=0),"",SUMIFS(Entries!$E$2:$E$5000,Entries!$C$2:$C$5000,"Actual",Entries!$A$2:$A$5000,"&gt;="&amp;$A137,Entries!$A$2:$A$5000,"&lt;"&amp;EDATE($A137,1),Entries!$B$2:$B$5000,AK$1))</f>
        <v/>
      </c>
      <c r="AL137" s="23">
        <f>IF(OR(AL$1="",$BM137=0),"",SUMIFS(Entries!$E$2:$E$5000,Entries!$C$2:$C$5000,"Actual",Entries!$A$2:$A$5000,"&gt;="&amp;$A137,Entries!$A$2:$A$5000,"&lt;"&amp;EDATE($A137,1),Entries!$B$2:$B$5000,AL$1))</f>
        <v/>
      </c>
      <c r="AM137" s="23">
        <f>IF(OR(AM$1="",$BM137=0),"",SUMIFS(Entries!$E$2:$E$5000,Entries!$C$2:$C$5000,"Actual",Entries!$A$2:$A$5000,"&gt;="&amp;$A137,Entries!$A$2:$A$5000,"&lt;"&amp;EDATE($A137,1),Entries!$B$2:$B$5000,AM$1))</f>
        <v/>
      </c>
      <c r="AN137" s="23">
        <f>IF(OR(AN$1="",$BM137=0),"",SUMIFS(Entries!$E$2:$E$5000,Entries!$C$2:$C$5000,"Actual",Entries!$A$2:$A$5000,"&gt;="&amp;$A137,Entries!$A$2:$A$5000,"&lt;"&amp;EDATE($A137,1),Entries!$B$2:$B$5000,AN$1))</f>
        <v/>
      </c>
      <c r="AO137" s="23">
        <f>IF(OR(AO$1="",$BM137=0),"",SUMIFS(Entries!$E$2:$E$5000,Entries!$C$2:$C$5000,"Actual",Entries!$A$2:$A$5000,"&gt;="&amp;$A137,Entries!$A$2:$A$5000,"&lt;"&amp;EDATE($A137,1),Entries!$B$2:$B$5000,AO$1))</f>
        <v/>
      </c>
      <c r="AP137" s="23">
        <f>IF(OR(AP$1="",$BM137=0),"",SUMIFS(Entries!$E$2:$E$5000,Entries!$C$2:$C$5000,"Actual",Entries!$A$2:$A$5000,"&gt;="&amp;$A137,Entries!$A$2:$A$5000,"&lt;"&amp;EDATE($A137,1),Entries!$B$2:$B$5000,AP$1))</f>
        <v/>
      </c>
      <c r="AR137" s="23">
        <f>IF(OR(AR$1="",$BM137=0),"",IFERROR(LOOKUP(2,1/((Budgets!$A$2:$A$200=AR$1)*(Budgets!$B$2:$B$200&lt;EDATE($A137,1))),Budgets!$C$2:$C$200),0))</f>
        <v/>
      </c>
      <c r="AS137" s="23">
        <f>IF(OR(AS$1="",$BM137=0),"",IFERROR(LOOKUP(2,1/((Budgets!$A$2:$A$200=AS$1)*(Budgets!$B$2:$B$200&lt;EDATE($A137,1))),Budgets!$C$2:$C$200),0))</f>
        <v/>
      </c>
      <c r="AT137" s="23">
        <f>IF(OR(AT$1="",$BM137=0),"",IFERROR(LOOKUP(2,1/((Budgets!$A$2:$A$200=AT$1)*(Budgets!$B$2:$B$200&lt;EDATE($A137,1))),Budgets!$C$2:$C$200),0))</f>
        <v/>
      </c>
      <c r="AU137" s="23">
        <f>IF(OR(AU$1="",$BM137=0),"",IFERROR(LOOKUP(2,1/((Budgets!$A$2:$A$200=AU$1)*(Budgets!$B$2:$B$200&lt;EDATE($A137,1))),Budgets!$C$2:$C$200),0))</f>
        <v/>
      </c>
      <c r="AV137" s="23">
        <f>IF(OR(AV$1="",$BM137=0),"",IFERROR(LOOKUP(2,1/((Budgets!$A$2:$A$200=AV$1)*(Budgets!$B$2:$B$200&lt;EDATE($A137,1))),Budgets!$C$2:$C$200),0))</f>
        <v/>
      </c>
      <c r="AW137" s="23">
        <f>IF(OR(AW$1="",$BM137=0),"",IFERROR(LOOKUP(2,1/((Budgets!$A$2:$A$200=AW$1)*(Budgets!$B$2:$B$200&lt;EDATE($A137,1))),Budgets!$C$2:$C$200),0))</f>
        <v/>
      </c>
      <c r="AX137" s="23">
        <f>IF(OR(AX$1="",$BM137=0),"",IFERROR(LOOKUP(2,1/((Budgets!$A$2:$A$200=AX$1)*(Budgets!$B$2:$B$200&lt;EDATE($A137,1))),Budgets!$C$2:$C$200),0))</f>
        <v/>
      </c>
      <c r="AY137" s="23">
        <f>IF(OR(AY$1="",$BM137=0),"",IFERROR(LOOKUP(2,1/((Budgets!$A$2:$A$200=AY$1)*(Budgets!$B$2:$B$200&lt;EDATE($A137,1))),Budgets!$C$2:$C$200),0))</f>
        <v/>
      </c>
      <c r="AZ137" s="23">
        <f>IF(OR(AZ$1="",$BM137=0),"",IFERROR(LOOKUP(2,1/((Budgets!$A$2:$A$200=AZ$1)*(Budgets!$B$2:$B$200&lt;EDATE($A137,1))),Budgets!$C$2:$C$200),0))</f>
        <v/>
      </c>
      <c r="BA137" s="23">
        <f>IF(OR(BA$1="",$BM137=0),"",IFERROR(LOOKUP(2,1/((Budgets!$A$2:$A$200=BA$1)*(Budgets!$B$2:$B$200&lt;EDATE($A137,1))),Budgets!$C$2:$C$200),0))</f>
        <v/>
      </c>
      <c r="BB137" s="23">
        <f>IF(OR(BB$1="",$BM137=0),"",IFERROR(LOOKUP(2,1/((Budgets!$A$2:$A$200=BB$1)*(Budgets!$B$2:$B$200&lt;EDATE($A137,1))),Budgets!$C$2:$C$200),0))</f>
        <v/>
      </c>
      <c r="BC137" s="23">
        <f>IF(OR(BC$1="",$BM137=0),"",IFERROR(LOOKUP(2,1/((Budgets!$A$2:$A$200=BC$1)*(Budgets!$B$2:$B$200&lt;EDATE($A137,1))),Budgets!$C$2:$C$200),0))</f>
        <v/>
      </c>
      <c r="BD137" s="23">
        <f>IF(OR(BD$1="",$BM137=0),"",IFERROR(LOOKUP(2,1/((Budgets!$A$2:$A$200=BD$1)*(Budgets!$B$2:$B$200&lt;EDATE($A137,1))),Budgets!$C$2:$C$200),0))</f>
        <v/>
      </c>
      <c r="BE137" s="23">
        <f>IF(OR(BE$1="",$BM137=0),"",IFERROR(LOOKUP(2,1/((Budgets!$A$2:$A$200=BE$1)*(Budgets!$B$2:$B$200&lt;EDATE($A137,1))),Budgets!$C$2:$C$200),0))</f>
        <v/>
      </c>
      <c r="BF137" s="23">
        <f>IF(OR(BF$1="",$BM137=0),"",IFERROR(LOOKUP(2,1/((Budgets!$A$2:$A$200=BF$1)*(Budgets!$B$2:$B$200&lt;EDATE($A137,1))),Budgets!$C$2:$C$200),0))</f>
        <v/>
      </c>
      <c r="BG137" s="23">
        <f>IF(OR(BG$1="",$BM137=0),"",IFERROR(LOOKUP(2,1/((Budgets!$A$2:$A$200=BG$1)*(Budgets!$B$2:$B$200&lt;EDATE($A137,1))),Budgets!$C$2:$C$200),0))</f>
        <v/>
      </c>
      <c r="BH137" s="23">
        <f>IF(OR(BH$1="",$BM137=0),"",IFERROR(LOOKUP(2,1/((Budgets!$A$2:$A$200=BH$1)*(Budgets!$B$2:$B$200&lt;EDATE($A137,1))),Budgets!$C$2:$C$200),0))</f>
        <v/>
      </c>
      <c r="BI137" s="23">
        <f>IF(OR(BI$1="",$BM137=0),"",IFERROR(LOOKUP(2,1/((Budgets!$A$2:$A$200=BI$1)*(Budgets!$B$2:$B$200&lt;EDATE($A137,1))),Budgets!$C$2:$C$200),0))</f>
        <v/>
      </c>
      <c r="BJ137" s="23">
        <f>IF(OR(BJ$1="",$BM137=0),"",IFERROR(LOOKUP(2,1/((Budgets!$A$2:$A$200=BJ$1)*(Budgets!$B$2:$B$200&lt;EDATE($A137,1))),Budgets!$C$2:$C$200),0))</f>
        <v/>
      </c>
      <c r="BK137" s="23">
        <f>IF(OR(BK$1="",$BM137=0),"",IFERROR(LOOKUP(2,1/((Budgets!$A$2:$A$200=BK$1)*(Budgets!$B$2:$B$200&lt;EDATE($A137,1))),Budgets!$C$2:$C$200),0))</f>
        <v/>
      </c>
      <c r="BM137" s="21">
        <f>COUNTIFS(Entries!$A$2:$A$5000,"&gt;="&amp;$A137,Entries!$A$2:$A$5000,"&lt;"&amp;EDATE($A137,1))</f>
        <v/>
      </c>
    </row>
    <row r="138">
      <c r="A138" s="22" t="n">
        <v>43586</v>
      </c>
      <c r="B138" s="23">
        <f>IF($BM138=0,NA(),SUMIFS(Entries!$E$2:$E$5000,Entries!$C$2:$C$5000,"Income",Entries!$A$2:$A$5000,"&gt;="&amp;$A138,Entries!$A$2:$A$5000,"&lt;"&amp;EDATE($A138,1)))</f>
        <v/>
      </c>
      <c r="C138" s="23">
        <f>IF($BM138=0,"",SUMIFS(Entries!$E$2:$E$5000,Entries!$C$2:$C$5000,"Actual",Entries!$A$2:$A$5000,"&gt;="&amp;$A138,Entries!$A$2:$A$5000,"&lt;"&amp;EDATE($A138,1)))</f>
        <v/>
      </c>
      <c r="D138" s="23">
        <f>IF($BM138=0,"",SUMIFS(Entries!$E$2:$E$5000,Entries!$C$2:$C$5000,"One-off",Entries!$A$2:$A$5000,"&gt;="&amp;$A138,Entries!$A$2:$A$5000,"&lt;"&amp;EDATE($A138,1)))</f>
        <v/>
      </c>
      <c r="E138" s="23">
        <f>IF($BM138=0,NA(),C138+D138)</f>
        <v/>
      </c>
      <c r="F138" s="23">
        <f>IF($BM138=0,"",SUM(AR138:BK138))</f>
        <v/>
      </c>
      <c r="G138" s="23">
        <f>IF($BM138=0,"",B138-E138)</f>
        <v/>
      </c>
      <c r="H138" s="23">
        <f>IF($BM138=0,"",SUM($G$2:G138))</f>
        <v/>
      </c>
      <c r="I138" s="23">
        <f>IF($BM138=0,"",SUMIFS(Entries!$G$2:$G$5000,Entries!$A$2:$A$5000,"&gt;="&amp;$A138,Entries!$A$2:$A$5000,"&lt;"&amp;EDATE($A138,1)))</f>
        <v/>
      </c>
      <c r="J138" s="23">
        <f>IF($BM138=0,NA(),H138)</f>
        <v/>
      </c>
      <c r="K138" s="23">
        <f>IF($BM138=0,"",SUMIFS(Entries!$E$2:$E$5000,Entries!$C$2:$C$5000,"Income",Entries!$A$2:$A$5000,"&gt;="&amp;EDATE($A138,-11),Entries!$A$2:$A$5000,"&lt;"&amp;EDATE($A138,1))/COUNTIFS($A$2:$A$400,"&gt;="&amp;EDATE($A138,-11),$A$2:$A$400,"&lt;"&amp;EDATE($A138,1),$BM$2:$BM$400,"&gt;0"))</f>
      </c>
      <c r="L138" s="23">
        <f>IF($BM138=0,"",(SUMIFS(Entries!$E$2:$E$5000,Entries!$C$2:$C$5000,"Actual",Entries!$A$2:$A$5000,"&gt;="&amp;EDATE($A138,-11),Entries!$A$2:$A$5000,"&lt;"&amp;EDATE($A138,1))+SUMIFS(Entries!$E$2:$E$5000,Entries!$C$2:$C$5000,"One-off",Entries!$A$2:$A$5000,"&gt;="&amp;EDATE($A138,-11),Entries!$A$2:$A$5000,"&lt;"&amp;EDATE($A138,1)))/COUNTIFS($A$2:$A$400,"&gt;="&amp;EDATE($A138,-11),$A$2:$A$400,"&lt;"&amp;EDATE($A138,1),$BM$2:$BM$400,"&gt;0"))</f>
      </c>
      <c r="M138" s="24">
        <f>IF($BM138=0,NA(),IFERROR((K138-L138)/K138,0))</f>
        <v/>
      </c>
      <c r="N138" s="23">
        <f>IF($BM138=0,NA(),SUMIFS(Entries!$E$2:$E$5000,Entries!$D$2:$D$5000,"Core",Entries!$A$2:$A$5000,"&gt;="&amp;$A138,Entries!$A$2:$A$5000,"&lt;"&amp;EDATE($A138,1)))</f>
        <v/>
      </c>
      <c r="O138" s="23">
        <f>IF($BM138=0,NA(),SUMIFS(Entries!$E$2:$E$5000,Entries!$D$2:$D$5000,"Over &amp; above",Entries!$A$2:$A$5000,"&gt;="&amp;$A138,Entries!$A$2:$A$5000,"&lt;"&amp;EDATE($A138,1)))</f>
        <v/>
      </c>
      <c r="P138" s="23">
        <f>IF($BM138=0,NA(),SUMIFS(Entries!$E$2:$E$5000,Entries!$D$2:$D$5000,"One-off",Entries!$A$2:$A$5000,"&gt;="&amp;$A138,Entries!$A$2:$A$5000,"&lt;"&amp;EDATE($A138,1)))</f>
        <v/>
      </c>
      <c r="Q138" s="23">
        <f>IF($BM138=0,NA(),SUMIFS(Entries!$E$2:$E$5000,Entries!$D$2:$D$5000,"Reimbursable",Entries!$A$2:$A$5000,"&gt;="&amp;$A138,Entries!$A$2:$A$5000,"&lt;"&amp;EDATE($A138,1)))</f>
        <v/>
      </c>
      <c r="R138" s="23">
        <f>IF($BM138=0,NA(),SUMIFS(Entries!$E$2:$E$5000,Entries!$D$2:$D$5000,"Investment",Entries!$A$2:$A$5000,"&gt;="&amp;$A138,Entries!$A$2:$A$5000,"&lt;"&amp;EDATE($A138,1)))</f>
        <v/>
      </c>
      <c r="S138" s="23">
        <f>IF($BM138=0,NA(),N138+O138)</f>
        <v/>
      </c>
      <c r="T138" s="23">
        <f>IF($BM138=0,"",E138-Q138)</f>
        <v/>
      </c>
      <c r="W138" s="23">
        <f>IF(OR(W$1="",$BM138=0),"",SUMIFS(Entries!$E$2:$E$5000,Entries!$C$2:$C$5000,"Actual",Entries!$A$2:$A$5000,"&gt;="&amp;$A138,Entries!$A$2:$A$5000,"&lt;"&amp;EDATE($A138,1),Entries!$B$2:$B$5000,W$1))</f>
        <v/>
      </c>
      <c r="X138" s="23">
        <f>IF(OR(X$1="",$BM138=0),"",SUMIFS(Entries!$E$2:$E$5000,Entries!$C$2:$C$5000,"Actual",Entries!$A$2:$A$5000,"&gt;="&amp;$A138,Entries!$A$2:$A$5000,"&lt;"&amp;EDATE($A138,1),Entries!$B$2:$B$5000,X$1))</f>
        <v/>
      </c>
      <c r="Y138" s="23">
        <f>IF(OR(Y$1="",$BM138=0),"",SUMIFS(Entries!$E$2:$E$5000,Entries!$C$2:$C$5000,"Actual",Entries!$A$2:$A$5000,"&gt;="&amp;$A138,Entries!$A$2:$A$5000,"&lt;"&amp;EDATE($A138,1),Entries!$B$2:$B$5000,Y$1))</f>
        <v/>
      </c>
      <c r="Z138" s="23">
        <f>IF(OR(Z$1="",$BM138=0),"",SUMIFS(Entries!$E$2:$E$5000,Entries!$C$2:$C$5000,"Actual",Entries!$A$2:$A$5000,"&gt;="&amp;$A138,Entries!$A$2:$A$5000,"&lt;"&amp;EDATE($A138,1),Entries!$B$2:$B$5000,Z$1))</f>
        <v/>
      </c>
      <c r="AA138" s="23">
        <f>IF(OR(AA$1="",$BM138=0),"",SUMIFS(Entries!$E$2:$E$5000,Entries!$C$2:$C$5000,"Actual",Entries!$A$2:$A$5000,"&gt;="&amp;$A138,Entries!$A$2:$A$5000,"&lt;"&amp;EDATE($A138,1),Entries!$B$2:$B$5000,AA$1))</f>
        <v/>
      </c>
      <c r="AB138" s="23">
        <f>IF(OR(AB$1="",$BM138=0),"",SUMIFS(Entries!$E$2:$E$5000,Entries!$C$2:$C$5000,"Actual",Entries!$A$2:$A$5000,"&gt;="&amp;$A138,Entries!$A$2:$A$5000,"&lt;"&amp;EDATE($A138,1),Entries!$B$2:$B$5000,AB$1))</f>
        <v/>
      </c>
      <c r="AC138" s="23">
        <f>IF(OR(AC$1="",$BM138=0),"",SUMIFS(Entries!$E$2:$E$5000,Entries!$C$2:$C$5000,"Actual",Entries!$A$2:$A$5000,"&gt;="&amp;$A138,Entries!$A$2:$A$5000,"&lt;"&amp;EDATE($A138,1),Entries!$B$2:$B$5000,AC$1))</f>
        <v/>
      </c>
      <c r="AD138" s="23">
        <f>IF(OR(AD$1="",$BM138=0),"",SUMIFS(Entries!$E$2:$E$5000,Entries!$C$2:$C$5000,"Actual",Entries!$A$2:$A$5000,"&gt;="&amp;$A138,Entries!$A$2:$A$5000,"&lt;"&amp;EDATE($A138,1),Entries!$B$2:$B$5000,AD$1))</f>
        <v/>
      </c>
      <c r="AE138" s="23">
        <f>IF(OR(AE$1="",$BM138=0),"",SUMIFS(Entries!$E$2:$E$5000,Entries!$C$2:$C$5000,"Actual",Entries!$A$2:$A$5000,"&gt;="&amp;$A138,Entries!$A$2:$A$5000,"&lt;"&amp;EDATE($A138,1),Entries!$B$2:$B$5000,AE$1))</f>
        <v/>
      </c>
      <c r="AF138" s="23">
        <f>IF(OR(AF$1="",$BM138=0),"",SUMIFS(Entries!$E$2:$E$5000,Entries!$C$2:$C$5000,"Actual",Entries!$A$2:$A$5000,"&gt;="&amp;$A138,Entries!$A$2:$A$5000,"&lt;"&amp;EDATE($A138,1),Entries!$B$2:$B$5000,AF$1))</f>
        <v/>
      </c>
      <c r="AG138" s="23">
        <f>IF(OR(AG$1="",$BM138=0),"",SUMIFS(Entries!$E$2:$E$5000,Entries!$C$2:$C$5000,"Actual",Entries!$A$2:$A$5000,"&gt;="&amp;$A138,Entries!$A$2:$A$5000,"&lt;"&amp;EDATE($A138,1),Entries!$B$2:$B$5000,AG$1))</f>
        <v/>
      </c>
      <c r="AH138" s="23">
        <f>IF(OR(AH$1="",$BM138=0),"",SUMIFS(Entries!$E$2:$E$5000,Entries!$C$2:$C$5000,"Actual",Entries!$A$2:$A$5000,"&gt;="&amp;$A138,Entries!$A$2:$A$5000,"&lt;"&amp;EDATE($A138,1),Entries!$B$2:$B$5000,AH$1))</f>
        <v/>
      </c>
      <c r="AI138" s="23">
        <f>IF(OR(AI$1="",$BM138=0),"",SUMIFS(Entries!$E$2:$E$5000,Entries!$C$2:$C$5000,"Actual",Entries!$A$2:$A$5000,"&gt;="&amp;$A138,Entries!$A$2:$A$5000,"&lt;"&amp;EDATE($A138,1),Entries!$B$2:$B$5000,AI$1))</f>
        <v/>
      </c>
      <c r="AJ138" s="23">
        <f>IF(OR(AJ$1="",$BM138=0),"",SUMIFS(Entries!$E$2:$E$5000,Entries!$C$2:$C$5000,"Actual",Entries!$A$2:$A$5000,"&gt;="&amp;$A138,Entries!$A$2:$A$5000,"&lt;"&amp;EDATE($A138,1),Entries!$B$2:$B$5000,AJ$1))</f>
        <v/>
      </c>
      <c r="AK138" s="23">
        <f>IF(OR(AK$1="",$BM138=0),"",SUMIFS(Entries!$E$2:$E$5000,Entries!$C$2:$C$5000,"Actual",Entries!$A$2:$A$5000,"&gt;="&amp;$A138,Entries!$A$2:$A$5000,"&lt;"&amp;EDATE($A138,1),Entries!$B$2:$B$5000,AK$1))</f>
        <v/>
      </c>
      <c r="AL138" s="23">
        <f>IF(OR(AL$1="",$BM138=0),"",SUMIFS(Entries!$E$2:$E$5000,Entries!$C$2:$C$5000,"Actual",Entries!$A$2:$A$5000,"&gt;="&amp;$A138,Entries!$A$2:$A$5000,"&lt;"&amp;EDATE($A138,1),Entries!$B$2:$B$5000,AL$1))</f>
        <v/>
      </c>
      <c r="AM138" s="23">
        <f>IF(OR(AM$1="",$BM138=0),"",SUMIFS(Entries!$E$2:$E$5000,Entries!$C$2:$C$5000,"Actual",Entries!$A$2:$A$5000,"&gt;="&amp;$A138,Entries!$A$2:$A$5000,"&lt;"&amp;EDATE($A138,1),Entries!$B$2:$B$5000,AM$1))</f>
        <v/>
      </c>
      <c r="AN138" s="23">
        <f>IF(OR(AN$1="",$BM138=0),"",SUMIFS(Entries!$E$2:$E$5000,Entries!$C$2:$C$5000,"Actual",Entries!$A$2:$A$5000,"&gt;="&amp;$A138,Entries!$A$2:$A$5000,"&lt;"&amp;EDATE($A138,1),Entries!$B$2:$B$5000,AN$1))</f>
        <v/>
      </c>
      <c r="AO138" s="23">
        <f>IF(OR(AO$1="",$BM138=0),"",SUMIFS(Entries!$E$2:$E$5000,Entries!$C$2:$C$5000,"Actual",Entries!$A$2:$A$5000,"&gt;="&amp;$A138,Entries!$A$2:$A$5000,"&lt;"&amp;EDATE($A138,1),Entries!$B$2:$B$5000,AO$1))</f>
        <v/>
      </c>
      <c r="AP138" s="23">
        <f>IF(OR(AP$1="",$BM138=0),"",SUMIFS(Entries!$E$2:$E$5000,Entries!$C$2:$C$5000,"Actual",Entries!$A$2:$A$5000,"&gt;="&amp;$A138,Entries!$A$2:$A$5000,"&lt;"&amp;EDATE($A138,1),Entries!$B$2:$B$5000,AP$1))</f>
        <v/>
      </c>
      <c r="AR138" s="23">
        <f>IF(OR(AR$1="",$BM138=0),"",IFERROR(LOOKUP(2,1/((Budgets!$A$2:$A$200=AR$1)*(Budgets!$B$2:$B$200&lt;EDATE($A138,1))),Budgets!$C$2:$C$200),0))</f>
        <v/>
      </c>
      <c r="AS138" s="23">
        <f>IF(OR(AS$1="",$BM138=0),"",IFERROR(LOOKUP(2,1/((Budgets!$A$2:$A$200=AS$1)*(Budgets!$B$2:$B$200&lt;EDATE($A138,1))),Budgets!$C$2:$C$200),0))</f>
        <v/>
      </c>
      <c r="AT138" s="23">
        <f>IF(OR(AT$1="",$BM138=0),"",IFERROR(LOOKUP(2,1/((Budgets!$A$2:$A$200=AT$1)*(Budgets!$B$2:$B$200&lt;EDATE($A138,1))),Budgets!$C$2:$C$200),0))</f>
        <v/>
      </c>
      <c r="AU138" s="23">
        <f>IF(OR(AU$1="",$BM138=0),"",IFERROR(LOOKUP(2,1/((Budgets!$A$2:$A$200=AU$1)*(Budgets!$B$2:$B$200&lt;EDATE($A138,1))),Budgets!$C$2:$C$200),0))</f>
        <v/>
      </c>
      <c r="AV138" s="23">
        <f>IF(OR(AV$1="",$BM138=0),"",IFERROR(LOOKUP(2,1/((Budgets!$A$2:$A$200=AV$1)*(Budgets!$B$2:$B$200&lt;EDATE($A138,1))),Budgets!$C$2:$C$200),0))</f>
        <v/>
      </c>
      <c r="AW138" s="23">
        <f>IF(OR(AW$1="",$BM138=0),"",IFERROR(LOOKUP(2,1/((Budgets!$A$2:$A$200=AW$1)*(Budgets!$B$2:$B$200&lt;EDATE($A138,1))),Budgets!$C$2:$C$200),0))</f>
        <v/>
      </c>
      <c r="AX138" s="23">
        <f>IF(OR(AX$1="",$BM138=0),"",IFERROR(LOOKUP(2,1/((Budgets!$A$2:$A$200=AX$1)*(Budgets!$B$2:$B$200&lt;EDATE($A138,1))),Budgets!$C$2:$C$200),0))</f>
        <v/>
      </c>
      <c r="AY138" s="23">
        <f>IF(OR(AY$1="",$BM138=0),"",IFERROR(LOOKUP(2,1/((Budgets!$A$2:$A$200=AY$1)*(Budgets!$B$2:$B$200&lt;EDATE($A138,1))),Budgets!$C$2:$C$200),0))</f>
        <v/>
      </c>
      <c r="AZ138" s="23">
        <f>IF(OR(AZ$1="",$BM138=0),"",IFERROR(LOOKUP(2,1/((Budgets!$A$2:$A$200=AZ$1)*(Budgets!$B$2:$B$200&lt;EDATE($A138,1))),Budgets!$C$2:$C$200),0))</f>
        <v/>
      </c>
      <c r="BA138" s="23">
        <f>IF(OR(BA$1="",$BM138=0),"",IFERROR(LOOKUP(2,1/((Budgets!$A$2:$A$200=BA$1)*(Budgets!$B$2:$B$200&lt;EDATE($A138,1))),Budgets!$C$2:$C$200),0))</f>
        <v/>
      </c>
      <c r="BB138" s="23">
        <f>IF(OR(BB$1="",$BM138=0),"",IFERROR(LOOKUP(2,1/((Budgets!$A$2:$A$200=BB$1)*(Budgets!$B$2:$B$200&lt;EDATE($A138,1))),Budgets!$C$2:$C$200),0))</f>
        <v/>
      </c>
      <c r="BC138" s="23">
        <f>IF(OR(BC$1="",$BM138=0),"",IFERROR(LOOKUP(2,1/((Budgets!$A$2:$A$200=BC$1)*(Budgets!$B$2:$B$200&lt;EDATE($A138,1))),Budgets!$C$2:$C$200),0))</f>
        <v/>
      </c>
      <c r="BD138" s="23">
        <f>IF(OR(BD$1="",$BM138=0),"",IFERROR(LOOKUP(2,1/((Budgets!$A$2:$A$200=BD$1)*(Budgets!$B$2:$B$200&lt;EDATE($A138,1))),Budgets!$C$2:$C$200),0))</f>
        <v/>
      </c>
      <c r="BE138" s="23">
        <f>IF(OR(BE$1="",$BM138=0),"",IFERROR(LOOKUP(2,1/((Budgets!$A$2:$A$200=BE$1)*(Budgets!$B$2:$B$200&lt;EDATE($A138,1))),Budgets!$C$2:$C$200),0))</f>
        <v/>
      </c>
      <c r="BF138" s="23">
        <f>IF(OR(BF$1="",$BM138=0),"",IFERROR(LOOKUP(2,1/((Budgets!$A$2:$A$200=BF$1)*(Budgets!$B$2:$B$200&lt;EDATE($A138,1))),Budgets!$C$2:$C$200),0))</f>
        <v/>
      </c>
      <c r="BG138" s="23">
        <f>IF(OR(BG$1="",$BM138=0),"",IFERROR(LOOKUP(2,1/((Budgets!$A$2:$A$200=BG$1)*(Budgets!$B$2:$B$200&lt;EDATE($A138,1))),Budgets!$C$2:$C$200),0))</f>
        <v/>
      </c>
      <c r="BH138" s="23">
        <f>IF(OR(BH$1="",$BM138=0),"",IFERROR(LOOKUP(2,1/((Budgets!$A$2:$A$200=BH$1)*(Budgets!$B$2:$B$200&lt;EDATE($A138,1))),Budgets!$C$2:$C$200),0))</f>
        <v/>
      </c>
      <c r="BI138" s="23">
        <f>IF(OR(BI$1="",$BM138=0),"",IFERROR(LOOKUP(2,1/((Budgets!$A$2:$A$200=BI$1)*(Budgets!$B$2:$B$200&lt;EDATE($A138,1))),Budgets!$C$2:$C$200),0))</f>
        <v/>
      </c>
      <c r="BJ138" s="23">
        <f>IF(OR(BJ$1="",$BM138=0),"",IFERROR(LOOKUP(2,1/((Budgets!$A$2:$A$200=BJ$1)*(Budgets!$B$2:$B$200&lt;EDATE($A138,1))),Budgets!$C$2:$C$200),0))</f>
        <v/>
      </c>
      <c r="BK138" s="23">
        <f>IF(OR(BK$1="",$BM138=0),"",IFERROR(LOOKUP(2,1/((Budgets!$A$2:$A$200=BK$1)*(Budgets!$B$2:$B$200&lt;EDATE($A138,1))),Budgets!$C$2:$C$200),0))</f>
        <v/>
      </c>
      <c r="BM138" s="21">
        <f>COUNTIFS(Entries!$A$2:$A$5000,"&gt;="&amp;$A138,Entries!$A$2:$A$5000,"&lt;"&amp;EDATE($A138,1))</f>
        <v/>
      </c>
    </row>
    <row r="139">
      <c r="A139" s="22" t="n">
        <v>43617</v>
      </c>
      <c r="B139" s="23">
        <f>IF($BM139=0,NA(),SUMIFS(Entries!$E$2:$E$5000,Entries!$C$2:$C$5000,"Income",Entries!$A$2:$A$5000,"&gt;="&amp;$A139,Entries!$A$2:$A$5000,"&lt;"&amp;EDATE($A139,1)))</f>
        <v/>
      </c>
      <c r="C139" s="23">
        <f>IF($BM139=0,"",SUMIFS(Entries!$E$2:$E$5000,Entries!$C$2:$C$5000,"Actual",Entries!$A$2:$A$5000,"&gt;="&amp;$A139,Entries!$A$2:$A$5000,"&lt;"&amp;EDATE($A139,1)))</f>
        <v/>
      </c>
      <c r="D139" s="23">
        <f>IF($BM139=0,"",SUMIFS(Entries!$E$2:$E$5000,Entries!$C$2:$C$5000,"One-off",Entries!$A$2:$A$5000,"&gt;="&amp;$A139,Entries!$A$2:$A$5000,"&lt;"&amp;EDATE($A139,1)))</f>
        <v/>
      </c>
      <c r="E139" s="23">
        <f>IF($BM139=0,NA(),C139+D139)</f>
        <v/>
      </c>
      <c r="F139" s="23">
        <f>IF($BM139=0,"",SUM(AR139:BK139))</f>
        <v/>
      </c>
      <c r="G139" s="23">
        <f>IF($BM139=0,"",B139-E139)</f>
        <v/>
      </c>
      <c r="H139" s="23">
        <f>IF($BM139=0,"",SUM($G$2:G139))</f>
        <v/>
      </c>
      <c r="I139" s="23">
        <f>IF($BM139=0,"",SUMIFS(Entries!$G$2:$G$5000,Entries!$A$2:$A$5000,"&gt;="&amp;$A139,Entries!$A$2:$A$5000,"&lt;"&amp;EDATE($A139,1)))</f>
        <v/>
      </c>
      <c r="J139" s="23">
        <f>IF($BM139=0,NA(),H139)</f>
        <v/>
      </c>
      <c r="K139" s="23">
        <f>IF($BM139=0,"",SUMIFS(Entries!$E$2:$E$5000,Entries!$C$2:$C$5000,"Income",Entries!$A$2:$A$5000,"&gt;="&amp;EDATE($A139,-11),Entries!$A$2:$A$5000,"&lt;"&amp;EDATE($A139,1))/COUNTIFS($A$2:$A$400,"&gt;="&amp;EDATE($A139,-11),$A$2:$A$400,"&lt;"&amp;EDATE($A139,1),$BM$2:$BM$400,"&gt;0"))</f>
      </c>
      <c r="L139" s="23">
        <f>IF($BM139=0,"",(SUMIFS(Entries!$E$2:$E$5000,Entries!$C$2:$C$5000,"Actual",Entries!$A$2:$A$5000,"&gt;="&amp;EDATE($A139,-11),Entries!$A$2:$A$5000,"&lt;"&amp;EDATE($A139,1))+SUMIFS(Entries!$E$2:$E$5000,Entries!$C$2:$C$5000,"One-off",Entries!$A$2:$A$5000,"&gt;="&amp;EDATE($A139,-11),Entries!$A$2:$A$5000,"&lt;"&amp;EDATE($A139,1)))/COUNTIFS($A$2:$A$400,"&gt;="&amp;EDATE($A139,-11),$A$2:$A$400,"&lt;"&amp;EDATE($A139,1),$BM$2:$BM$400,"&gt;0"))</f>
      </c>
      <c r="M139" s="24">
        <f>IF($BM139=0,NA(),IFERROR((K139-L139)/K139,0))</f>
        <v/>
      </c>
      <c r="N139" s="23">
        <f>IF($BM139=0,NA(),SUMIFS(Entries!$E$2:$E$5000,Entries!$D$2:$D$5000,"Core",Entries!$A$2:$A$5000,"&gt;="&amp;$A139,Entries!$A$2:$A$5000,"&lt;"&amp;EDATE($A139,1)))</f>
        <v/>
      </c>
      <c r="O139" s="23">
        <f>IF($BM139=0,NA(),SUMIFS(Entries!$E$2:$E$5000,Entries!$D$2:$D$5000,"Over &amp; above",Entries!$A$2:$A$5000,"&gt;="&amp;$A139,Entries!$A$2:$A$5000,"&lt;"&amp;EDATE($A139,1)))</f>
        <v/>
      </c>
      <c r="P139" s="23">
        <f>IF($BM139=0,NA(),SUMIFS(Entries!$E$2:$E$5000,Entries!$D$2:$D$5000,"One-off",Entries!$A$2:$A$5000,"&gt;="&amp;$A139,Entries!$A$2:$A$5000,"&lt;"&amp;EDATE($A139,1)))</f>
        <v/>
      </c>
      <c r="Q139" s="23">
        <f>IF($BM139=0,NA(),SUMIFS(Entries!$E$2:$E$5000,Entries!$D$2:$D$5000,"Reimbursable",Entries!$A$2:$A$5000,"&gt;="&amp;$A139,Entries!$A$2:$A$5000,"&lt;"&amp;EDATE($A139,1)))</f>
        <v/>
      </c>
      <c r="R139" s="23">
        <f>IF($BM139=0,NA(),SUMIFS(Entries!$E$2:$E$5000,Entries!$D$2:$D$5000,"Investment",Entries!$A$2:$A$5000,"&gt;="&amp;$A139,Entries!$A$2:$A$5000,"&lt;"&amp;EDATE($A139,1)))</f>
        <v/>
      </c>
      <c r="S139" s="23">
        <f>IF($BM139=0,NA(),N139+O139)</f>
        <v/>
      </c>
      <c r="T139" s="23">
        <f>IF($BM139=0,"",E139-Q139)</f>
        <v/>
      </c>
      <c r="W139" s="23">
        <f>IF(OR(W$1="",$BM139=0),"",SUMIFS(Entries!$E$2:$E$5000,Entries!$C$2:$C$5000,"Actual",Entries!$A$2:$A$5000,"&gt;="&amp;$A139,Entries!$A$2:$A$5000,"&lt;"&amp;EDATE($A139,1),Entries!$B$2:$B$5000,W$1))</f>
        <v/>
      </c>
      <c r="X139" s="23">
        <f>IF(OR(X$1="",$BM139=0),"",SUMIFS(Entries!$E$2:$E$5000,Entries!$C$2:$C$5000,"Actual",Entries!$A$2:$A$5000,"&gt;="&amp;$A139,Entries!$A$2:$A$5000,"&lt;"&amp;EDATE($A139,1),Entries!$B$2:$B$5000,X$1))</f>
        <v/>
      </c>
      <c r="Y139" s="23">
        <f>IF(OR(Y$1="",$BM139=0),"",SUMIFS(Entries!$E$2:$E$5000,Entries!$C$2:$C$5000,"Actual",Entries!$A$2:$A$5000,"&gt;="&amp;$A139,Entries!$A$2:$A$5000,"&lt;"&amp;EDATE($A139,1),Entries!$B$2:$B$5000,Y$1))</f>
        <v/>
      </c>
      <c r="Z139" s="23">
        <f>IF(OR(Z$1="",$BM139=0),"",SUMIFS(Entries!$E$2:$E$5000,Entries!$C$2:$C$5000,"Actual",Entries!$A$2:$A$5000,"&gt;="&amp;$A139,Entries!$A$2:$A$5000,"&lt;"&amp;EDATE($A139,1),Entries!$B$2:$B$5000,Z$1))</f>
        <v/>
      </c>
      <c r="AA139" s="23">
        <f>IF(OR(AA$1="",$BM139=0),"",SUMIFS(Entries!$E$2:$E$5000,Entries!$C$2:$C$5000,"Actual",Entries!$A$2:$A$5000,"&gt;="&amp;$A139,Entries!$A$2:$A$5000,"&lt;"&amp;EDATE($A139,1),Entries!$B$2:$B$5000,AA$1))</f>
        <v/>
      </c>
      <c r="AB139" s="23">
        <f>IF(OR(AB$1="",$BM139=0),"",SUMIFS(Entries!$E$2:$E$5000,Entries!$C$2:$C$5000,"Actual",Entries!$A$2:$A$5000,"&gt;="&amp;$A139,Entries!$A$2:$A$5000,"&lt;"&amp;EDATE($A139,1),Entries!$B$2:$B$5000,AB$1))</f>
        <v/>
      </c>
      <c r="AC139" s="23">
        <f>IF(OR(AC$1="",$BM139=0),"",SUMIFS(Entries!$E$2:$E$5000,Entries!$C$2:$C$5000,"Actual",Entries!$A$2:$A$5000,"&gt;="&amp;$A139,Entries!$A$2:$A$5000,"&lt;"&amp;EDATE($A139,1),Entries!$B$2:$B$5000,AC$1))</f>
        <v/>
      </c>
      <c r="AD139" s="23">
        <f>IF(OR(AD$1="",$BM139=0),"",SUMIFS(Entries!$E$2:$E$5000,Entries!$C$2:$C$5000,"Actual",Entries!$A$2:$A$5000,"&gt;="&amp;$A139,Entries!$A$2:$A$5000,"&lt;"&amp;EDATE($A139,1),Entries!$B$2:$B$5000,AD$1))</f>
        <v/>
      </c>
      <c r="AE139" s="23">
        <f>IF(OR(AE$1="",$BM139=0),"",SUMIFS(Entries!$E$2:$E$5000,Entries!$C$2:$C$5000,"Actual",Entries!$A$2:$A$5000,"&gt;="&amp;$A139,Entries!$A$2:$A$5000,"&lt;"&amp;EDATE($A139,1),Entries!$B$2:$B$5000,AE$1))</f>
        <v/>
      </c>
      <c r="AF139" s="23">
        <f>IF(OR(AF$1="",$BM139=0),"",SUMIFS(Entries!$E$2:$E$5000,Entries!$C$2:$C$5000,"Actual",Entries!$A$2:$A$5000,"&gt;="&amp;$A139,Entries!$A$2:$A$5000,"&lt;"&amp;EDATE($A139,1),Entries!$B$2:$B$5000,AF$1))</f>
        <v/>
      </c>
      <c r="AG139" s="23">
        <f>IF(OR(AG$1="",$BM139=0),"",SUMIFS(Entries!$E$2:$E$5000,Entries!$C$2:$C$5000,"Actual",Entries!$A$2:$A$5000,"&gt;="&amp;$A139,Entries!$A$2:$A$5000,"&lt;"&amp;EDATE($A139,1),Entries!$B$2:$B$5000,AG$1))</f>
        <v/>
      </c>
      <c r="AH139" s="23">
        <f>IF(OR(AH$1="",$BM139=0),"",SUMIFS(Entries!$E$2:$E$5000,Entries!$C$2:$C$5000,"Actual",Entries!$A$2:$A$5000,"&gt;="&amp;$A139,Entries!$A$2:$A$5000,"&lt;"&amp;EDATE($A139,1),Entries!$B$2:$B$5000,AH$1))</f>
        <v/>
      </c>
      <c r="AI139" s="23">
        <f>IF(OR(AI$1="",$BM139=0),"",SUMIFS(Entries!$E$2:$E$5000,Entries!$C$2:$C$5000,"Actual",Entries!$A$2:$A$5000,"&gt;="&amp;$A139,Entries!$A$2:$A$5000,"&lt;"&amp;EDATE($A139,1),Entries!$B$2:$B$5000,AI$1))</f>
        <v/>
      </c>
      <c r="AJ139" s="23">
        <f>IF(OR(AJ$1="",$BM139=0),"",SUMIFS(Entries!$E$2:$E$5000,Entries!$C$2:$C$5000,"Actual",Entries!$A$2:$A$5000,"&gt;="&amp;$A139,Entries!$A$2:$A$5000,"&lt;"&amp;EDATE($A139,1),Entries!$B$2:$B$5000,AJ$1))</f>
        <v/>
      </c>
      <c r="AK139" s="23">
        <f>IF(OR(AK$1="",$BM139=0),"",SUMIFS(Entries!$E$2:$E$5000,Entries!$C$2:$C$5000,"Actual",Entries!$A$2:$A$5000,"&gt;="&amp;$A139,Entries!$A$2:$A$5000,"&lt;"&amp;EDATE($A139,1),Entries!$B$2:$B$5000,AK$1))</f>
        <v/>
      </c>
      <c r="AL139" s="23">
        <f>IF(OR(AL$1="",$BM139=0),"",SUMIFS(Entries!$E$2:$E$5000,Entries!$C$2:$C$5000,"Actual",Entries!$A$2:$A$5000,"&gt;="&amp;$A139,Entries!$A$2:$A$5000,"&lt;"&amp;EDATE($A139,1),Entries!$B$2:$B$5000,AL$1))</f>
        <v/>
      </c>
      <c r="AM139" s="23">
        <f>IF(OR(AM$1="",$BM139=0),"",SUMIFS(Entries!$E$2:$E$5000,Entries!$C$2:$C$5000,"Actual",Entries!$A$2:$A$5000,"&gt;="&amp;$A139,Entries!$A$2:$A$5000,"&lt;"&amp;EDATE($A139,1),Entries!$B$2:$B$5000,AM$1))</f>
        <v/>
      </c>
      <c r="AN139" s="23">
        <f>IF(OR(AN$1="",$BM139=0),"",SUMIFS(Entries!$E$2:$E$5000,Entries!$C$2:$C$5000,"Actual",Entries!$A$2:$A$5000,"&gt;="&amp;$A139,Entries!$A$2:$A$5000,"&lt;"&amp;EDATE($A139,1),Entries!$B$2:$B$5000,AN$1))</f>
        <v/>
      </c>
      <c r="AO139" s="23">
        <f>IF(OR(AO$1="",$BM139=0),"",SUMIFS(Entries!$E$2:$E$5000,Entries!$C$2:$C$5000,"Actual",Entries!$A$2:$A$5000,"&gt;="&amp;$A139,Entries!$A$2:$A$5000,"&lt;"&amp;EDATE($A139,1),Entries!$B$2:$B$5000,AO$1))</f>
        <v/>
      </c>
      <c r="AP139" s="23">
        <f>IF(OR(AP$1="",$BM139=0),"",SUMIFS(Entries!$E$2:$E$5000,Entries!$C$2:$C$5000,"Actual",Entries!$A$2:$A$5000,"&gt;="&amp;$A139,Entries!$A$2:$A$5000,"&lt;"&amp;EDATE($A139,1),Entries!$B$2:$B$5000,AP$1))</f>
        <v/>
      </c>
      <c r="AR139" s="23">
        <f>IF(OR(AR$1="",$BM139=0),"",IFERROR(LOOKUP(2,1/((Budgets!$A$2:$A$200=AR$1)*(Budgets!$B$2:$B$200&lt;EDATE($A139,1))),Budgets!$C$2:$C$200),0))</f>
        <v/>
      </c>
      <c r="AS139" s="23">
        <f>IF(OR(AS$1="",$BM139=0),"",IFERROR(LOOKUP(2,1/((Budgets!$A$2:$A$200=AS$1)*(Budgets!$B$2:$B$200&lt;EDATE($A139,1))),Budgets!$C$2:$C$200),0))</f>
        <v/>
      </c>
      <c r="AT139" s="23">
        <f>IF(OR(AT$1="",$BM139=0),"",IFERROR(LOOKUP(2,1/((Budgets!$A$2:$A$200=AT$1)*(Budgets!$B$2:$B$200&lt;EDATE($A139,1))),Budgets!$C$2:$C$200),0))</f>
        <v/>
      </c>
      <c r="AU139" s="23">
        <f>IF(OR(AU$1="",$BM139=0),"",IFERROR(LOOKUP(2,1/((Budgets!$A$2:$A$200=AU$1)*(Budgets!$B$2:$B$200&lt;EDATE($A139,1))),Budgets!$C$2:$C$200),0))</f>
        <v/>
      </c>
      <c r="AV139" s="23">
        <f>IF(OR(AV$1="",$BM139=0),"",IFERROR(LOOKUP(2,1/((Budgets!$A$2:$A$200=AV$1)*(Budgets!$B$2:$B$200&lt;EDATE($A139,1))),Budgets!$C$2:$C$200),0))</f>
        <v/>
      </c>
      <c r="AW139" s="23">
        <f>IF(OR(AW$1="",$BM139=0),"",IFERROR(LOOKUP(2,1/((Budgets!$A$2:$A$200=AW$1)*(Budgets!$B$2:$B$200&lt;EDATE($A139,1))),Budgets!$C$2:$C$200),0))</f>
        <v/>
      </c>
      <c r="AX139" s="23">
        <f>IF(OR(AX$1="",$BM139=0),"",IFERROR(LOOKUP(2,1/((Budgets!$A$2:$A$200=AX$1)*(Budgets!$B$2:$B$200&lt;EDATE($A139,1))),Budgets!$C$2:$C$200),0))</f>
        <v/>
      </c>
      <c r="AY139" s="23">
        <f>IF(OR(AY$1="",$BM139=0),"",IFERROR(LOOKUP(2,1/((Budgets!$A$2:$A$200=AY$1)*(Budgets!$B$2:$B$200&lt;EDATE($A139,1))),Budgets!$C$2:$C$200),0))</f>
        <v/>
      </c>
      <c r="AZ139" s="23">
        <f>IF(OR(AZ$1="",$BM139=0),"",IFERROR(LOOKUP(2,1/((Budgets!$A$2:$A$200=AZ$1)*(Budgets!$B$2:$B$200&lt;EDATE($A139,1))),Budgets!$C$2:$C$200),0))</f>
        <v/>
      </c>
      <c r="BA139" s="23">
        <f>IF(OR(BA$1="",$BM139=0),"",IFERROR(LOOKUP(2,1/((Budgets!$A$2:$A$200=BA$1)*(Budgets!$B$2:$B$200&lt;EDATE($A139,1))),Budgets!$C$2:$C$200),0))</f>
        <v/>
      </c>
      <c r="BB139" s="23">
        <f>IF(OR(BB$1="",$BM139=0),"",IFERROR(LOOKUP(2,1/((Budgets!$A$2:$A$200=BB$1)*(Budgets!$B$2:$B$200&lt;EDATE($A139,1))),Budgets!$C$2:$C$200),0))</f>
        <v/>
      </c>
      <c r="BC139" s="23">
        <f>IF(OR(BC$1="",$BM139=0),"",IFERROR(LOOKUP(2,1/((Budgets!$A$2:$A$200=BC$1)*(Budgets!$B$2:$B$200&lt;EDATE($A139,1))),Budgets!$C$2:$C$200),0))</f>
        <v/>
      </c>
      <c r="BD139" s="23">
        <f>IF(OR(BD$1="",$BM139=0),"",IFERROR(LOOKUP(2,1/((Budgets!$A$2:$A$200=BD$1)*(Budgets!$B$2:$B$200&lt;EDATE($A139,1))),Budgets!$C$2:$C$200),0))</f>
        <v/>
      </c>
      <c r="BE139" s="23">
        <f>IF(OR(BE$1="",$BM139=0),"",IFERROR(LOOKUP(2,1/((Budgets!$A$2:$A$200=BE$1)*(Budgets!$B$2:$B$200&lt;EDATE($A139,1))),Budgets!$C$2:$C$200),0))</f>
        <v/>
      </c>
      <c r="BF139" s="23">
        <f>IF(OR(BF$1="",$BM139=0),"",IFERROR(LOOKUP(2,1/((Budgets!$A$2:$A$200=BF$1)*(Budgets!$B$2:$B$200&lt;EDATE($A139,1))),Budgets!$C$2:$C$200),0))</f>
        <v/>
      </c>
      <c r="BG139" s="23">
        <f>IF(OR(BG$1="",$BM139=0),"",IFERROR(LOOKUP(2,1/((Budgets!$A$2:$A$200=BG$1)*(Budgets!$B$2:$B$200&lt;EDATE($A139,1))),Budgets!$C$2:$C$200),0))</f>
        <v/>
      </c>
      <c r="BH139" s="23">
        <f>IF(OR(BH$1="",$BM139=0),"",IFERROR(LOOKUP(2,1/((Budgets!$A$2:$A$200=BH$1)*(Budgets!$B$2:$B$200&lt;EDATE($A139,1))),Budgets!$C$2:$C$200),0))</f>
        <v/>
      </c>
      <c r="BI139" s="23">
        <f>IF(OR(BI$1="",$BM139=0),"",IFERROR(LOOKUP(2,1/((Budgets!$A$2:$A$200=BI$1)*(Budgets!$B$2:$B$200&lt;EDATE($A139,1))),Budgets!$C$2:$C$200),0))</f>
        <v/>
      </c>
      <c r="BJ139" s="23">
        <f>IF(OR(BJ$1="",$BM139=0),"",IFERROR(LOOKUP(2,1/((Budgets!$A$2:$A$200=BJ$1)*(Budgets!$B$2:$B$200&lt;EDATE($A139,1))),Budgets!$C$2:$C$200),0))</f>
        <v/>
      </c>
      <c r="BK139" s="23">
        <f>IF(OR(BK$1="",$BM139=0),"",IFERROR(LOOKUP(2,1/((Budgets!$A$2:$A$200=BK$1)*(Budgets!$B$2:$B$200&lt;EDATE($A139,1))),Budgets!$C$2:$C$200),0))</f>
        <v/>
      </c>
      <c r="BM139" s="21">
        <f>COUNTIFS(Entries!$A$2:$A$5000,"&gt;="&amp;$A139,Entries!$A$2:$A$5000,"&lt;"&amp;EDATE($A139,1))</f>
        <v/>
      </c>
    </row>
    <row r="140">
      <c r="A140" s="22" t="n">
        <v>43647</v>
      </c>
      <c r="B140" s="23">
        <f>IF($BM140=0,NA(),SUMIFS(Entries!$E$2:$E$5000,Entries!$C$2:$C$5000,"Income",Entries!$A$2:$A$5000,"&gt;="&amp;$A140,Entries!$A$2:$A$5000,"&lt;"&amp;EDATE($A140,1)))</f>
        <v/>
      </c>
      <c r="C140" s="23">
        <f>IF($BM140=0,"",SUMIFS(Entries!$E$2:$E$5000,Entries!$C$2:$C$5000,"Actual",Entries!$A$2:$A$5000,"&gt;="&amp;$A140,Entries!$A$2:$A$5000,"&lt;"&amp;EDATE($A140,1)))</f>
        <v/>
      </c>
      <c r="D140" s="23">
        <f>IF($BM140=0,"",SUMIFS(Entries!$E$2:$E$5000,Entries!$C$2:$C$5000,"One-off",Entries!$A$2:$A$5000,"&gt;="&amp;$A140,Entries!$A$2:$A$5000,"&lt;"&amp;EDATE($A140,1)))</f>
        <v/>
      </c>
      <c r="E140" s="23">
        <f>IF($BM140=0,NA(),C140+D140)</f>
        <v/>
      </c>
      <c r="F140" s="23">
        <f>IF($BM140=0,"",SUM(AR140:BK140))</f>
        <v/>
      </c>
      <c r="G140" s="23">
        <f>IF($BM140=0,"",B140-E140)</f>
        <v/>
      </c>
      <c r="H140" s="23">
        <f>IF($BM140=0,"",SUM($G$2:G140))</f>
        <v/>
      </c>
      <c r="I140" s="23">
        <f>IF($BM140=0,"",SUMIFS(Entries!$G$2:$G$5000,Entries!$A$2:$A$5000,"&gt;="&amp;$A140,Entries!$A$2:$A$5000,"&lt;"&amp;EDATE($A140,1)))</f>
        <v/>
      </c>
      <c r="J140" s="23">
        <f>IF($BM140=0,NA(),H140)</f>
        <v/>
      </c>
      <c r="K140" s="23">
        <f>IF($BM140=0,"",SUMIFS(Entries!$E$2:$E$5000,Entries!$C$2:$C$5000,"Income",Entries!$A$2:$A$5000,"&gt;="&amp;EDATE($A140,-11),Entries!$A$2:$A$5000,"&lt;"&amp;EDATE($A140,1))/COUNTIFS($A$2:$A$400,"&gt;="&amp;EDATE($A140,-11),$A$2:$A$400,"&lt;"&amp;EDATE($A140,1),$BM$2:$BM$400,"&gt;0"))</f>
      </c>
      <c r="L140" s="23">
        <f>IF($BM140=0,"",(SUMIFS(Entries!$E$2:$E$5000,Entries!$C$2:$C$5000,"Actual",Entries!$A$2:$A$5000,"&gt;="&amp;EDATE($A140,-11),Entries!$A$2:$A$5000,"&lt;"&amp;EDATE($A140,1))+SUMIFS(Entries!$E$2:$E$5000,Entries!$C$2:$C$5000,"One-off",Entries!$A$2:$A$5000,"&gt;="&amp;EDATE($A140,-11),Entries!$A$2:$A$5000,"&lt;"&amp;EDATE($A140,1)))/COUNTIFS($A$2:$A$400,"&gt;="&amp;EDATE($A140,-11),$A$2:$A$400,"&lt;"&amp;EDATE($A140,1),$BM$2:$BM$400,"&gt;0"))</f>
      </c>
      <c r="M140" s="24">
        <f>IF($BM140=0,NA(),IFERROR((K140-L140)/K140,0))</f>
        <v/>
      </c>
      <c r="N140" s="23">
        <f>IF($BM140=0,NA(),SUMIFS(Entries!$E$2:$E$5000,Entries!$D$2:$D$5000,"Core",Entries!$A$2:$A$5000,"&gt;="&amp;$A140,Entries!$A$2:$A$5000,"&lt;"&amp;EDATE($A140,1)))</f>
        <v/>
      </c>
      <c r="O140" s="23">
        <f>IF($BM140=0,NA(),SUMIFS(Entries!$E$2:$E$5000,Entries!$D$2:$D$5000,"Over &amp; above",Entries!$A$2:$A$5000,"&gt;="&amp;$A140,Entries!$A$2:$A$5000,"&lt;"&amp;EDATE($A140,1)))</f>
        <v/>
      </c>
      <c r="P140" s="23">
        <f>IF($BM140=0,NA(),SUMIFS(Entries!$E$2:$E$5000,Entries!$D$2:$D$5000,"One-off",Entries!$A$2:$A$5000,"&gt;="&amp;$A140,Entries!$A$2:$A$5000,"&lt;"&amp;EDATE($A140,1)))</f>
        <v/>
      </c>
      <c r="Q140" s="23">
        <f>IF($BM140=0,NA(),SUMIFS(Entries!$E$2:$E$5000,Entries!$D$2:$D$5000,"Reimbursable",Entries!$A$2:$A$5000,"&gt;="&amp;$A140,Entries!$A$2:$A$5000,"&lt;"&amp;EDATE($A140,1)))</f>
        <v/>
      </c>
      <c r="R140" s="23">
        <f>IF($BM140=0,NA(),SUMIFS(Entries!$E$2:$E$5000,Entries!$D$2:$D$5000,"Investment",Entries!$A$2:$A$5000,"&gt;="&amp;$A140,Entries!$A$2:$A$5000,"&lt;"&amp;EDATE($A140,1)))</f>
        <v/>
      </c>
      <c r="S140" s="23">
        <f>IF($BM140=0,NA(),N140+O140)</f>
        <v/>
      </c>
      <c r="T140" s="23">
        <f>IF($BM140=0,"",E140-Q140)</f>
        <v/>
      </c>
      <c r="W140" s="23">
        <f>IF(OR(W$1="",$BM140=0),"",SUMIFS(Entries!$E$2:$E$5000,Entries!$C$2:$C$5000,"Actual",Entries!$A$2:$A$5000,"&gt;="&amp;$A140,Entries!$A$2:$A$5000,"&lt;"&amp;EDATE($A140,1),Entries!$B$2:$B$5000,W$1))</f>
        <v/>
      </c>
      <c r="X140" s="23">
        <f>IF(OR(X$1="",$BM140=0),"",SUMIFS(Entries!$E$2:$E$5000,Entries!$C$2:$C$5000,"Actual",Entries!$A$2:$A$5000,"&gt;="&amp;$A140,Entries!$A$2:$A$5000,"&lt;"&amp;EDATE($A140,1),Entries!$B$2:$B$5000,X$1))</f>
        <v/>
      </c>
      <c r="Y140" s="23">
        <f>IF(OR(Y$1="",$BM140=0),"",SUMIFS(Entries!$E$2:$E$5000,Entries!$C$2:$C$5000,"Actual",Entries!$A$2:$A$5000,"&gt;="&amp;$A140,Entries!$A$2:$A$5000,"&lt;"&amp;EDATE($A140,1),Entries!$B$2:$B$5000,Y$1))</f>
        <v/>
      </c>
      <c r="Z140" s="23">
        <f>IF(OR(Z$1="",$BM140=0),"",SUMIFS(Entries!$E$2:$E$5000,Entries!$C$2:$C$5000,"Actual",Entries!$A$2:$A$5000,"&gt;="&amp;$A140,Entries!$A$2:$A$5000,"&lt;"&amp;EDATE($A140,1),Entries!$B$2:$B$5000,Z$1))</f>
        <v/>
      </c>
      <c r="AA140" s="23">
        <f>IF(OR(AA$1="",$BM140=0),"",SUMIFS(Entries!$E$2:$E$5000,Entries!$C$2:$C$5000,"Actual",Entries!$A$2:$A$5000,"&gt;="&amp;$A140,Entries!$A$2:$A$5000,"&lt;"&amp;EDATE($A140,1),Entries!$B$2:$B$5000,AA$1))</f>
        <v/>
      </c>
      <c r="AB140" s="23">
        <f>IF(OR(AB$1="",$BM140=0),"",SUMIFS(Entries!$E$2:$E$5000,Entries!$C$2:$C$5000,"Actual",Entries!$A$2:$A$5000,"&gt;="&amp;$A140,Entries!$A$2:$A$5000,"&lt;"&amp;EDATE($A140,1),Entries!$B$2:$B$5000,AB$1))</f>
        <v/>
      </c>
      <c r="AC140" s="23">
        <f>IF(OR(AC$1="",$BM140=0),"",SUMIFS(Entries!$E$2:$E$5000,Entries!$C$2:$C$5000,"Actual",Entries!$A$2:$A$5000,"&gt;="&amp;$A140,Entries!$A$2:$A$5000,"&lt;"&amp;EDATE($A140,1),Entries!$B$2:$B$5000,AC$1))</f>
        <v/>
      </c>
      <c r="AD140" s="23">
        <f>IF(OR(AD$1="",$BM140=0),"",SUMIFS(Entries!$E$2:$E$5000,Entries!$C$2:$C$5000,"Actual",Entries!$A$2:$A$5000,"&gt;="&amp;$A140,Entries!$A$2:$A$5000,"&lt;"&amp;EDATE($A140,1),Entries!$B$2:$B$5000,AD$1))</f>
        <v/>
      </c>
      <c r="AE140" s="23">
        <f>IF(OR(AE$1="",$BM140=0),"",SUMIFS(Entries!$E$2:$E$5000,Entries!$C$2:$C$5000,"Actual",Entries!$A$2:$A$5000,"&gt;="&amp;$A140,Entries!$A$2:$A$5000,"&lt;"&amp;EDATE($A140,1),Entries!$B$2:$B$5000,AE$1))</f>
        <v/>
      </c>
      <c r="AF140" s="23">
        <f>IF(OR(AF$1="",$BM140=0),"",SUMIFS(Entries!$E$2:$E$5000,Entries!$C$2:$C$5000,"Actual",Entries!$A$2:$A$5000,"&gt;="&amp;$A140,Entries!$A$2:$A$5000,"&lt;"&amp;EDATE($A140,1),Entries!$B$2:$B$5000,AF$1))</f>
        <v/>
      </c>
      <c r="AG140" s="23">
        <f>IF(OR(AG$1="",$BM140=0),"",SUMIFS(Entries!$E$2:$E$5000,Entries!$C$2:$C$5000,"Actual",Entries!$A$2:$A$5000,"&gt;="&amp;$A140,Entries!$A$2:$A$5000,"&lt;"&amp;EDATE($A140,1),Entries!$B$2:$B$5000,AG$1))</f>
        <v/>
      </c>
      <c r="AH140" s="23">
        <f>IF(OR(AH$1="",$BM140=0),"",SUMIFS(Entries!$E$2:$E$5000,Entries!$C$2:$C$5000,"Actual",Entries!$A$2:$A$5000,"&gt;="&amp;$A140,Entries!$A$2:$A$5000,"&lt;"&amp;EDATE($A140,1),Entries!$B$2:$B$5000,AH$1))</f>
        <v/>
      </c>
      <c r="AI140" s="23">
        <f>IF(OR(AI$1="",$BM140=0),"",SUMIFS(Entries!$E$2:$E$5000,Entries!$C$2:$C$5000,"Actual",Entries!$A$2:$A$5000,"&gt;="&amp;$A140,Entries!$A$2:$A$5000,"&lt;"&amp;EDATE($A140,1),Entries!$B$2:$B$5000,AI$1))</f>
        <v/>
      </c>
      <c r="AJ140" s="23">
        <f>IF(OR(AJ$1="",$BM140=0),"",SUMIFS(Entries!$E$2:$E$5000,Entries!$C$2:$C$5000,"Actual",Entries!$A$2:$A$5000,"&gt;="&amp;$A140,Entries!$A$2:$A$5000,"&lt;"&amp;EDATE($A140,1),Entries!$B$2:$B$5000,AJ$1))</f>
        <v/>
      </c>
      <c r="AK140" s="23">
        <f>IF(OR(AK$1="",$BM140=0),"",SUMIFS(Entries!$E$2:$E$5000,Entries!$C$2:$C$5000,"Actual",Entries!$A$2:$A$5000,"&gt;="&amp;$A140,Entries!$A$2:$A$5000,"&lt;"&amp;EDATE($A140,1),Entries!$B$2:$B$5000,AK$1))</f>
        <v/>
      </c>
      <c r="AL140" s="23">
        <f>IF(OR(AL$1="",$BM140=0),"",SUMIFS(Entries!$E$2:$E$5000,Entries!$C$2:$C$5000,"Actual",Entries!$A$2:$A$5000,"&gt;="&amp;$A140,Entries!$A$2:$A$5000,"&lt;"&amp;EDATE($A140,1),Entries!$B$2:$B$5000,AL$1))</f>
        <v/>
      </c>
      <c r="AM140" s="23">
        <f>IF(OR(AM$1="",$BM140=0),"",SUMIFS(Entries!$E$2:$E$5000,Entries!$C$2:$C$5000,"Actual",Entries!$A$2:$A$5000,"&gt;="&amp;$A140,Entries!$A$2:$A$5000,"&lt;"&amp;EDATE($A140,1),Entries!$B$2:$B$5000,AM$1))</f>
        <v/>
      </c>
      <c r="AN140" s="23">
        <f>IF(OR(AN$1="",$BM140=0),"",SUMIFS(Entries!$E$2:$E$5000,Entries!$C$2:$C$5000,"Actual",Entries!$A$2:$A$5000,"&gt;="&amp;$A140,Entries!$A$2:$A$5000,"&lt;"&amp;EDATE($A140,1),Entries!$B$2:$B$5000,AN$1))</f>
        <v/>
      </c>
      <c r="AO140" s="23">
        <f>IF(OR(AO$1="",$BM140=0),"",SUMIFS(Entries!$E$2:$E$5000,Entries!$C$2:$C$5000,"Actual",Entries!$A$2:$A$5000,"&gt;="&amp;$A140,Entries!$A$2:$A$5000,"&lt;"&amp;EDATE($A140,1),Entries!$B$2:$B$5000,AO$1))</f>
        <v/>
      </c>
      <c r="AP140" s="23">
        <f>IF(OR(AP$1="",$BM140=0),"",SUMIFS(Entries!$E$2:$E$5000,Entries!$C$2:$C$5000,"Actual",Entries!$A$2:$A$5000,"&gt;="&amp;$A140,Entries!$A$2:$A$5000,"&lt;"&amp;EDATE($A140,1),Entries!$B$2:$B$5000,AP$1))</f>
        <v/>
      </c>
      <c r="AR140" s="23">
        <f>IF(OR(AR$1="",$BM140=0),"",IFERROR(LOOKUP(2,1/((Budgets!$A$2:$A$200=AR$1)*(Budgets!$B$2:$B$200&lt;EDATE($A140,1))),Budgets!$C$2:$C$200),0))</f>
        <v/>
      </c>
      <c r="AS140" s="23">
        <f>IF(OR(AS$1="",$BM140=0),"",IFERROR(LOOKUP(2,1/((Budgets!$A$2:$A$200=AS$1)*(Budgets!$B$2:$B$200&lt;EDATE($A140,1))),Budgets!$C$2:$C$200),0))</f>
        <v/>
      </c>
      <c r="AT140" s="23">
        <f>IF(OR(AT$1="",$BM140=0),"",IFERROR(LOOKUP(2,1/((Budgets!$A$2:$A$200=AT$1)*(Budgets!$B$2:$B$200&lt;EDATE($A140,1))),Budgets!$C$2:$C$200),0))</f>
        <v/>
      </c>
      <c r="AU140" s="23">
        <f>IF(OR(AU$1="",$BM140=0),"",IFERROR(LOOKUP(2,1/((Budgets!$A$2:$A$200=AU$1)*(Budgets!$B$2:$B$200&lt;EDATE($A140,1))),Budgets!$C$2:$C$200),0))</f>
        <v/>
      </c>
      <c r="AV140" s="23">
        <f>IF(OR(AV$1="",$BM140=0),"",IFERROR(LOOKUP(2,1/((Budgets!$A$2:$A$200=AV$1)*(Budgets!$B$2:$B$200&lt;EDATE($A140,1))),Budgets!$C$2:$C$200),0))</f>
        <v/>
      </c>
      <c r="AW140" s="23">
        <f>IF(OR(AW$1="",$BM140=0),"",IFERROR(LOOKUP(2,1/((Budgets!$A$2:$A$200=AW$1)*(Budgets!$B$2:$B$200&lt;EDATE($A140,1))),Budgets!$C$2:$C$200),0))</f>
        <v/>
      </c>
      <c r="AX140" s="23">
        <f>IF(OR(AX$1="",$BM140=0),"",IFERROR(LOOKUP(2,1/((Budgets!$A$2:$A$200=AX$1)*(Budgets!$B$2:$B$200&lt;EDATE($A140,1))),Budgets!$C$2:$C$200),0))</f>
        <v/>
      </c>
      <c r="AY140" s="23">
        <f>IF(OR(AY$1="",$BM140=0),"",IFERROR(LOOKUP(2,1/((Budgets!$A$2:$A$200=AY$1)*(Budgets!$B$2:$B$200&lt;EDATE($A140,1))),Budgets!$C$2:$C$200),0))</f>
        <v/>
      </c>
      <c r="AZ140" s="23">
        <f>IF(OR(AZ$1="",$BM140=0),"",IFERROR(LOOKUP(2,1/((Budgets!$A$2:$A$200=AZ$1)*(Budgets!$B$2:$B$200&lt;EDATE($A140,1))),Budgets!$C$2:$C$200),0))</f>
        <v/>
      </c>
      <c r="BA140" s="23">
        <f>IF(OR(BA$1="",$BM140=0),"",IFERROR(LOOKUP(2,1/((Budgets!$A$2:$A$200=BA$1)*(Budgets!$B$2:$B$200&lt;EDATE($A140,1))),Budgets!$C$2:$C$200),0))</f>
        <v/>
      </c>
      <c r="BB140" s="23">
        <f>IF(OR(BB$1="",$BM140=0),"",IFERROR(LOOKUP(2,1/((Budgets!$A$2:$A$200=BB$1)*(Budgets!$B$2:$B$200&lt;EDATE($A140,1))),Budgets!$C$2:$C$200),0))</f>
        <v/>
      </c>
      <c r="BC140" s="23">
        <f>IF(OR(BC$1="",$BM140=0),"",IFERROR(LOOKUP(2,1/((Budgets!$A$2:$A$200=BC$1)*(Budgets!$B$2:$B$200&lt;EDATE($A140,1))),Budgets!$C$2:$C$200),0))</f>
        <v/>
      </c>
      <c r="BD140" s="23">
        <f>IF(OR(BD$1="",$BM140=0),"",IFERROR(LOOKUP(2,1/((Budgets!$A$2:$A$200=BD$1)*(Budgets!$B$2:$B$200&lt;EDATE($A140,1))),Budgets!$C$2:$C$200),0))</f>
        <v/>
      </c>
      <c r="BE140" s="23">
        <f>IF(OR(BE$1="",$BM140=0),"",IFERROR(LOOKUP(2,1/((Budgets!$A$2:$A$200=BE$1)*(Budgets!$B$2:$B$200&lt;EDATE($A140,1))),Budgets!$C$2:$C$200),0))</f>
        <v/>
      </c>
      <c r="BF140" s="23">
        <f>IF(OR(BF$1="",$BM140=0),"",IFERROR(LOOKUP(2,1/((Budgets!$A$2:$A$200=BF$1)*(Budgets!$B$2:$B$200&lt;EDATE($A140,1))),Budgets!$C$2:$C$200),0))</f>
        <v/>
      </c>
      <c r="BG140" s="23">
        <f>IF(OR(BG$1="",$BM140=0),"",IFERROR(LOOKUP(2,1/((Budgets!$A$2:$A$200=BG$1)*(Budgets!$B$2:$B$200&lt;EDATE($A140,1))),Budgets!$C$2:$C$200),0))</f>
        <v/>
      </c>
      <c r="BH140" s="23">
        <f>IF(OR(BH$1="",$BM140=0),"",IFERROR(LOOKUP(2,1/((Budgets!$A$2:$A$200=BH$1)*(Budgets!$B$2:$B$200&lt;EDATE($A140,1))),Budgets!$C$2:$C$200),0))</f>
        <v/>
      </c>
      <c r="BI140" s="23">
        <f>IF(OR(BI$1="",$BM140=0),"",IFERROR(LOOKUP(2,1/((Budgets!$A$2:$A$200=BI$1)*(Budgets!$B$2:$B$200&lt;EDATE($A140,1))),Budgets!$C$2:$C$200),0))</f>
        <v/>
      </c>
      <c r="BJ140" s="23">
        <f>IF(OR(BJ$1="",$BM140=0),"",IFERROR(LOOKUP(2,1/((Budgets!$A$2:$A$200=BJ$1)*(Budgets!$B$2:$B$200&lt;EDATE($A140,1))),Budgets!$C$2:$C$200),0))</f>
        <v/>
      </c>
      <c r="BK140" s="23">
        <f>IF(OR(BK$1="",$BM140=0),"",IFERROR(LOOKUP(2,1/((Budgets!$A$2:$A$200=BK$1)*(Budgets!$B$2:$B$200&lt;EDATE($A140,1))),Budgets!$C$2:$C$200),0))</f>
        <v/>
      </c>
      <c r="BM140" s="21">
        <f>COUNTIFS(Entries!$A$2:$A$5000,"&gt;="&amp;$A140,Entries!$A$2:$A$5000,"&lt;"&amp;EDATE($A140,1))</f>
        <v/>
      </c>
    </row>
    <row r="141">
      <c r="A141" s="22" t="n">
        <v>43678</v>
      </c>
      <c r="B141" s="23">
        <f>IF($BM141=0,NA(),SUMIFS(Entries!$E$2:$E$5000,Entries!$C$2:$C$5000,"Income",Entries!$A$2:$A$5000,"&gt;="&amp;$A141,Entries!$A$2:$A$5000,"&lt;"&amp;EDATE($A141,1)))</f>
        <v/>
      </c>
      <c r="C141" s="23">
        <f>IF($BM141=0,"",SUMIFS(Entries!$E$2:$E$5000,Entries!$C$2:$C$5000,"Actual",Entries!$A$2:$A$5000,"&gt;="&amp;$A141,Entries!$A$2:$A$5000,"&lt;"&amp;EDATE($A141,1)))</f>
        <v/>
      </c>
      <c r="D141" s="23">
        <f>IF($BM141=0,"",SUMIFS(Entries!$E$2:$E$5000,Entries!$C$2:$C$5000,"One-off",Entries!$A$2:$A$5000,"&gt;="&amp;$A141,Entries!$A$2:$A$5000,"&lt;"&amp;EDATE($A141,1)))</f>
        <v/>
      </c>
      <c r="E141" s="23">
        <f>IF($BM141=0,NA(),C141+D141)</f>
        <v/>
      </c>
      <c r="F141" s="23">
        <f>IF($BM141=0,"",SUM(AR141:BK141))</f>
        <v/>
      </c>
      <c r="G141" s="23">
        <f>IF($BM141=0,"",B141-E141)</f>
        <v/>
      </c>
      <c r="H141" s="23">
        <f>IF($BM141=0,"",SUM($G$2:G141))</f>
        <v/>
      </c>
      <c r="I141" s="23">
        <f>IF($BM141=0,"",SUMIFS(Entries!$G$2:$G$5000,Entries!$A$2:$A$5000,"&gt;="&amp;$A141,Entries!$A$2:$A$5000,"&lt;"&amp;EDATE($A141,1)))</f>
        <v/>
      </c>
      <c r="J141" s="23">
        <f>IF($BM141=0,NA(),H141)</f>
        <v/>
      </c>
      <c r="K141" s="23">
        <f>IF($BM141=0,"",SUMIFS(Entries!$E$2:$E$5000,Entries!$C$2:$C$5000,"Income",Entries!$A$2:$A$5000,"&gt;="&amp;EDATE($A141,-11),Entries!$A$2:$A$5000,"&lt;"&amp;EDATE($A141,1))/COUNTIFS($A$2:$A$400,"&gt;="&amp;EDATE($A141,-11),$A$2:$A$400,"&lt;"&amp;EDATE($A141,1),$BM$2:$BM$400,"&gt;0"))</f>
      </c>
      <c r="L141" s="23">
        <f>IF($BM141=0,"",(SUMIFS(Entries!$E$2:$E$5000,Entries!$C$2:$C$5000,"Actual",Entries!$A$2:$A$5000,"&gt;="&amp;EDATE($A141,-11),Entries!$A$2:$A$5000,"&lt;"&amp;EDATE($A141,1))+SUMIFS(Entries!$E$2:$E$5000,Entries!$C$2:$C$5000,"One-off",Entries!$A$2:$A$5000,"&gt;="&amp;EDATE($A141,-11),Entries!$A$2:$A$5000,"&lt;"&amp;EDATE($A141,1)))/COUNTIFS($A$2:$A$400,"&gt;="&amp;EDATE($A141,-11),$A$2:$A$400,"&lt;"&amp;EDATE($A141,1),$BM$2:$BM$400,"&gt;0"))</f>
      </c>
      <c r="M141" s="24">
        <f>IF($BM141=0,NA(),IFERROR((K141-L141)/K141,0))</f>
        <v/>
      </c>
      <c r="N141" s="23">
        <f>IF($BM141=0,NA(),SUMIFS(Entries!$E$2:$E$5000,Entries!$D$2:$D$5000,"Core",Entries!$A$2:$A$5000,"&gt;="&amp;$A141,Entries!$A$2:$A$5000,"&lt;"&amp;EDATE($A141,1)))</f>
        <v/>
      </c>
      <c r="O141" s="23">
        <f>IF($BM141=0,NA(),SUMIFS(Entries!$E$2:$E$5000,Entries!$D$2:$D$5000,"Over &amp; above",Entries!$A$2:$A$5000,"&gt;="&amp;$A141,Entries!$A$2:$A$5000,"&lt;"&amp;EDATE($A141,1)))</f>
        <v/>
      </c>
      <c r="P141" s="23">
        <f>IF($BM141=0,NA(),SUMIFS(Entries!$E$2:$E$5000,Entries!$D$2:$D$5000,"One-off",Entries!$A$2:$A$5000,"&gt;="&amp;$A141,Entries!$A$2:$A$5000,"&lt;"&amp;EDATE($A141,1)))</f>
        <v/>
      </c>
      <c r="Q141" s="23">
        <f>IF($BM141=0,NA(),SUMIFS(Entries!$E$2:$E$5000,Entries!$D$2:$D$5000,"Reimbursable",Entries!$A$2:$A$5000,"&gt;="&amp;$A141,Entries!$A$2:$A$5000,"&lt;"&amp;EDATE($A141,1)))</f>
        <v/>
      </c>
      <c r="R141" s="23">
        <f>IF($BM141=0,NA(),SUMIFS(Entries!$E$2:$E$5000,Entries!$D$2:$D$5000,"Investment",Entries!$A$2:$A$5000,"&gt;="&amp;$A141,Entries!$A$2:$A$5000,"&lt;"&amp;EDATE($A141,1)))</f>
        <v/>
      </c>
      <c r="S141" s="23">
        <f>IF($BM141=0,NA(),N141+O141)</f>
        <v/>
      </c>
      <c r="T141" s="23">
        <f>IF($BM141=0,"",E141-Q141)</f>
        <v/>
      </c>
      <c r="W141" s="23">
        <f>IF(OR(W$1="",$BM141=0),"",SUMIFS(Entries!$E$2:$E$5000,Entries!$C$2:$C$5000,"Actual",Entries!$A$2:$A$5000,"&gt;="&amp;$A141,Entries!$A$2:$A$5000,"&lt;"&amp;EDATE($A141,1),Entries!$B$2:$B$5000,W$1))</f>
        <v/>
      </c>
      <c r="X141" s="23">
        <f>IF(OR(X$1="",$BM141=0),"",SUMIFS(Entries!$E$2:$E$5000,Entries!$C$2:$C$5000,"Actual",Entries!$A$2:$A$5000,"&gt;="&amp;$A141,Entries!$A$2:$A$5000,"&lt;"&amp;EDATE($A141,1),Entries!$B$2:$B$5000,X$1))</f>
        <v/>
      </c>
      <c r="Y141" s="23">
        <f>IF(OR(Y$1="",$BM141=0),"",SUMIFS(Entries!$E$2:$E$5000,Entries!$C$2:$C$5000,"Actual",Entries!$A$2:$A$5000,"&gt;="&amp;$A141,Entries!$A$2:$A$5000,"&lt;"&amp;EDATE($A141,1),Entries!$B$2:$B$5000,Y$1))</f>
        <v/>
      </c>
      <c r="Z141" s="23">
        <f>IF(OR(Z$1="",$BM141=0),"",SUMIFS(Entries!$E$2:$E$5000,Entries!$C$2:$C$5000,"Actual",Entries!$A$2:$A$5000,"&gt;="&amp;$A141,Entries!$A$2:$A$5000,"&lt;"&amp;EDATE($A141,1),Entries!$B$2:$B$5000,Z$1))</f>
        <v/>
      </c>
      <c r="AA141" s="23">
        <f>IF(OR(AA$1="",$BM141=0),"",SUMIFS(Entries!$E$2:$E$5000,Entries!$C$2:$C$5000,"Actual",Entries!$A$2:$A$5000,"&gt;="&amp;$A141,Entries!$A$2:$A$5000,"&lt;"&amp;EDATE($A141,1),Entries!$B$2:$B$5000,AA$1))</f>
        <v/>
      </c>
      <c r="AB141" s="23">
        <f>IF(OR(AB$1="",$BM141=0),"",SUMIFS(Entries!$E$2:$E$5000,Entries!$C$2:$C$5000,"Actual",Entries!$A$2:$A$5000,"&gt;="&amp;$A141,Entries!$A$2:$A$5000,"&lt;"&amp;EDATE($A141,1),Entries!$B$2:$B$5000,AB$1))</f>
        <v/>
      </c>
      <c r="AC141" s="23">
        <f>IF(OR(AC$1="",$BM141=0),"",SUMIFS(Entries!$E$2:$E$5000,Entries!$C$2:$C$5000,"Actual",Entries!$A$2:$A$5000,"&gt;="&amp;$A141,Entries!$A$2:$A$5000,"&lt;"&amp;EDATE($A141,1),Entries!$B$2:$B$5000,AC$1))</f>
        <v/>
      </c>
      <c r="AD141" s="23">
        <f>IF(OR(AD$1="",$BM141=0),"",SUMIFS(Entries!$E$2:$E$5000,Entries!$C$2:$C$5000,"Actual",Entries!$A$2:$A$5000,"&gt;="&amp;$A141,Entries!$A$2:$A$5000,"&lt;"&amp;EDATE($A141,1),Entries!$B$2:$B$5000,AD$1))</f>
        <v/>
      </c>
      <c r="AE141" s="23">
        <f>IF(OR(AE$1="",$BM141=0),"",SUMIFS(Entries!$E$2:$E$5000,Entries!$C$2:$C$5000,"Actual",Entries!$A$2:$A$5000,"&gt;="&amp;$A141,Entries!$A$2:$A$5000,"&lt;"&amp;EDATE($A141,1),Entries!$B$2:$B$5000,AE$1))</f>
        <v/>
      </c>
      <c r="AF141" s="23">
        <f>IF(OR(AF$1="",$BM141=0),"",SUMIFS(Entries!$E$2:$E$5000,Entries!$C$2:$C$5000,"Actual",Entries!$A$2:$A$5000,"&gt;="&amp;$A141,Entries!$A$2:$A$5000,"&lt;"&amp;EDATE($A141,1),Entries!$B$2:$B$5000,AF$1))</f>
        <v/>
      </c>
      <c r="AG141" s="23">
        <f>IF(OR(AG$1="",$BM141=0),"",SUMIFS(Entries!$E$2:$E$5000,Entries!$C$2:$C$5000,"Actual",Entries!$A$2:$A$5000,"&gt;="&amp;$A141,Entries!$A$2:$A$5000,"&lt;"&amp;EDATE($A141,1),Entries!$B$2:$B$5000,AG$1))</f>
        <v/>
      </c>
      <c r="AH141" s="23">
        <f>IF(OR(AH$1="",$BM141=0),"",SUMIFS(Entries!$E$2:$E$5000,Entries!$C$2:$C$5000,"Actual",Entries!$A$2:$A$5000,"&gt;="&amp;$A141,Entries!$A$2:$A$5000,"&lt;"&amp;EDATE($A141,1),Entries!$B$2:$B$5000,AH$1))</f>
        <v/>
      </c>
      <c r="AI141" s="23">
        <f>IF(OR(AI$1="",$BM141=0),"",SUMIFS(Entries!$E$2:$E$5000,Entries!$C$2:$C$5000,"Actual",Entries!$A$2:$A$5000,"&gt;="&amp;$A141,Entries!$A$2:$A$5000,"&lt;"&amp;EDATE($A141,1),Entries!$B$2:$B$5000,AI$1))</f>
        <v/>
      </c>
      <c r="AJ141" s="23">
        <f>IF(OR(AJ$1="",$BM141=0),"",SUMIFS(Entries!$E$2:$E$5000,Entries!$C$2:$C$5000,"Actual",Entries!$A$2:$A$5000,"&gt;="&amp;$A141,Entries!$A$2:$A$5000,"&lt;"&amp;EDATE($A141,1),Entries!$B$2:$B$5000,AJ$1))</f>
        <v/>
      </c>
      <c r="AK141" s="23">
        <f>IF(OR(AK$1="",$BM141=0),"",SUMIFS(Entries!$E$2:$E$5000,Entries!$C$2:$C$5000,"Actual",Entries!$A$2:$A$5000,"&gt;="&amp;$A141,Entries!$A$2:$A$5000,"&lt;"&amp;EDATE($A141,1),Entries!$B$2:$B$5000,AK$1))</f>
        <v/>
      </c>
      <c r="AL141" s="23">
        <f>IF(OR(AL$1="",$BM141=0),"",SUMIFS(Entries!$E$2:$E$5000,Entries!$C$2:$C$5000,"Actual",Entries!$A$2:$A$5000,"&gt;="&amp;$A141,Entries!$A$2:$A$5000,"&lt;"&amp;EDATE($A141,1),Entries!$B$2:$B$5000,AL$1))</f>
        <v/>
      </c>
      <c r="AM141" s="23">
        <f>IF(OR(AM$1="",$BM141=0),"",SUMIFS(Entries!$E$2:$E$5000,Entries!$C$2:$C$5000,"Actual",Entries!$A$2:$A$5000,"&gt;="&amp;$A141,Entries!$A$2:$A$5000,"&lt;"&amp;EDATE($A141,1),Entries!$B$2:$B$5000,AM$1))</f>
        <v/>
      </c>
      <c r="AN141" s="23">
        <f>IF(OR(AN$1="",$BM141=0),"",SUMIFS(Entries!$E$2:$E$5000,Entries!$C$2:$C$5000,"Actual",Entries!$A$2:$A$5000,"&gt;="&amp;$A141,Entries!$A$2:$A$5000,"&lt;"&amp;EDATE($A141,1),Entries!$B$2:$B$5000,AN$1))</f>
        <v/>
      </c>
      <c r="AO141" s="23">
        <f>IF(OR(AO$1="",$BM141=0),"",SUMIFS(Entries!$E$2:$E$5000,Entries!$C$2:$C$5000,"Actual",Entries!$A$2:$A$5000,"&gt;="&amp;$A141,Entries!$A$2:$A$5000,"&lt;"&amp;EDATE($A141,1),Entries!$B$2:$B$5000,AO$1))</f>
        <v/>
      </c>
      <c r="AP141" s="23">
        <f>IF(OR(AP$1="",$BM141=0),"",SUMIFS(Entries!$E$2:$E$5000,Entries!$C$2:$C$5000,"Actual",Entries!$A$2:$A$5000,"&gt;="&amp;$A141,Entries!$A$2:$A$5000,"&lt;"&amp;EDATE($A141,1),Entries!$B$2:$B$5000,AP$1))</f>
        <v/>
      </c>
      <c r="AR141" s="23">
        <f>IF(OR(AR$1="",$BM141=0),"",IFERROR(LOOKUP(2,1/((Budgets!$A$2:$A$200=AR$1)*(Budgets!$B$2:$B$200&lt;EDATE($A141,1))),Budgets!$C$2:$C$200),0))</f>
        <v/>
      </c>
      <c r="AS141" s="23">
        <f>IF(OR(AS$1="",$BM141=0),"",IFERROR(LOOKUP(2,1/((Budgets!$A$2:$A$200=AS$1)*(Budgets!$B$2:$B$200&lt;EDATE($A141,1))),Budgets!$C$2:$C$200),0))</f>
        <v/>
      </c>
      <c r="AT141" s="23">
        <f>IF(OR(AT$1="",$BM141=0),"",IFERROR(LOOKUP(2,1/((Budgets!$A$2:$A$200=AT$1)*(Budgets!$B$2:$B$200&lt;EDATE($A141,1))),Budgets!$C$2:$C$200),0))</f>
        <v/>
      </c>
      <c r="AU141" s="23">
        <f>IF(OR(AU$1="",$BM141=0),"",IFERROR(LOOKUP(2,1/((Budgets!$A$2:$A$200=AU$1)*(Budgets!$B$2:$B$200&lt;EDATE($A141,1))),Budgets!$C$2:$C$200),0))</f>
        <v/>
      </c>
      <c r="AV141" s="23">
        <f>IF(OR(AV$1="",$BM141=0),"",IFERROR(LOOKUP(2,1/((Budgets!$A$2:$A$200=AV$1)*(Budgets!$B$2:$B$200&lt;EDATE($A141,1))),Budgets!$C$2:$C$200),0))</f>
        <v/>
      </c>
      <c r="AW141" s="23">
        <f>IF(OR(AW$1="",$BM141=0),"",IFERROR(LOOKUP(2,1/((Budgets!$A$2:$A$200=AW$1)*(Budgets!$B$2:$B$200&lt;EDATE($A141,1))),Budgets!$C$2:$C$200),0))</f>
        <v/>
      </c>
      <c r="AX141" s="23">
        <f>IF(OR(AX$1="",$BM141=0),"",IFERROR(LOOKUP(2,1/((Budgets!$A$2:$A$200=AX$1)*(Budgets!$B$2:$B$200&lt;EDATE($A141,1))),Budgets!$C$2:$C$200),0))</f>
        <v/>
      </c>
      <c r="AY141" s="23">
        <f>IF(OR(AY$1="",$BM141=0),"",IFERROR(LOOKUP(2,1/((Budgets!$A$2:$A$200=AY$1)*(Budgets!$B$2:$B$200&lt;EDATE($A141,1))),Budgets!$C$2:$C$200),0))</f>
        <v/>
      </c>
      <c r="AZ141" s="23">
        <f>IF(OR(AZ$1="",$BM141=0),"",IFERROR(LOOKUP(2,1/((Budgets!$A$2:$A$200=AZ$1)*(Budgets!$B$2:$B$200&lt;EDATE($A141,1))),Budgets!$C$2:$C$200),0))</f>
        <v/>
      </c>
      <c r="BA141" s="23">
        <f>IF(OR(BA$1="",$BM141=0),"",IFERROR(LOOKUP(2,1/((Budgets!$A$2:$A$200=BA$1)*(Budgets!$B$2:$B$200&lt;EDATE($A141,1))),Budgets!$C$2:$C$200),0))</f>
        <v/>
      </c>
      <c r="BB141" s="23">
        <f>IF(OR(BB$1="",$BM141=0),"",IFERROR(LOOKUP(2,1/((Budgets!$A$2:$A$200=BB$1)*(Budgets!$B$2:$B$200&lt;EDATE($A141,1))),Budgets!$C$2:$C$200),0))</f>
        <v/>
      </c>
      <c r="BC141" s="23">
        <f>IF(OR(BC$1="",$BM141=0),"",IFERROR(LOOKUP(2,1/((Budgets!$A$2:$A$200=BC$1)*(Budgets!$B$2:$B$200&lt;EDATE($A141,1))),Budgets!$C$2:$C$200),0))</f>
        <v/>
      </c>
      <c r="BD141" s="23">
        <f>IF(OR(BD$1="",$BM141=0),"",IFERROR(LOOKUP(2,1/((Budgets!$A$2:$A$200=BD$1)*(Budgets!$B$2:$B$200&lt;EDATE($A141,1))),Budgets!$C$2:$C$200),0))</f>
        <v/>
      </c>
      <c r="BE141" s="23">
        <f>IF(OR(BE$1="",$BM141=0),"",IFERROR(LOOKUP(2,1/((Budgets!$A$2:$A$200=BE$1)*(Budgets!$B$2:$B$200&lt;EDATE($A141,1))),Budgets!$C$2:$C$200),0))</f>
        <v/>
      </c>
      <c r="BF141" s="23">
        <f>IF(OR(BF$1="",$BM141=0),"",IFERROR(LOOKUP(2,1/((Budgets!$A$2:$A$200=BF$1)*(Budgets!$B$2:$B$200&lt;EDATE($A141,1))),Budgets!$C$2:$C$200),0))</f>
        <v/>
      </c>
      <c r="BG141" s="23">
        <f>IF(OR(BG$1="",$BM141=0),"",IFERROR(LOOKUP(2,1/((Budgets!$A$2:$A$200=BG$1)*(Budgets!$B$2:$B$200&lt;EDATE($A141,1))),Budgets!$C$2:$C$200),0))</f>
        <v/>
      </c>
      <c r="BH141" s="23">
        <f>IF(OR(BH$1="",$BM141=0),"",IFERROR(LOOKUP(2,1/((Budgets!$A$2:$A$200=BH$1)*(Budgets!$B$2:$B$200&lt;EDATE($A141,1))),Budgets!$C$2:$C$200),0))</f>
        <v/>
      </c>
      <c r="BI141" s="23">
        <f>IF(OR(BI$1="",$BM141=0),"",IFERROR(LOOKUP(2,1/((Budgets!$A$2:$A$200=BI$1)*(Budgets!$B$2:$B$200&lt;EDATE($A141,1))),Budgets!$C$2:$C$200),0))</f>
        <v/>
      </c>
      <c r="BJ141" s="23">
        <f>IF(OR(BJ$1="",$BM141=0),"",IFERROR(LOOKUP(2,1/((Budgets!$A$2:$A$200=BJ$1)*(Budgets!$B$2:$B$200&lt;EDATE($A141,1))),Budgets!$C$2:$C$200),0))</f>
        <v/>
      </c>
      <c r="BK141" s="23">
        <f>IF(OR(BK$1="",$BM141=0),"",IFERROR(LOOKUP(2,1/((Budgets!$A$2:$A$200=BK$1)*(Budgets!$B$2:$B$200&lt;EDATE($A141,1))),Budgets!$C$2:$C$200),0))</f>
        <v/>
      </c>
      <c r="BM141" s="21">
        <f>COUNTIFS(Entries!$A$2:$A$5000,"&gt;="&amp;$A141,Entries!$A$2:$A$5000,"&lt;"&amp;EDATE($A141,1))</f>
        <v/>
      </c>
    </row>
    <row r="142">
      <c r="A142" s="22" t="n">
        <v>43709</v>
      </c>
      <c r="B142" s="23">
        <f>IF($BM142=0,NA(),SUMIFS(Entries!$E$2:$E$5000,Entries!$C$2:$C$5000,"Income",Entries!$A$2:$A$5000,"&gt;="&amp;$A142,Entries!$A$2:$A$5000,"&lt;"&amp;EDATE($A142,1)))</f>
        <v/>
      </c>
      <c r="C142" s="23">
        <f>IF($BM142=0,"",SUMIFS(Entries!$E$2:$E$5000,Entries!$C$2:$C$5000,"Actual",Entries!$A$2:$A$5000,"&gt;="&amp;$A142,Entries!$A$2:$A$5000,"&lt;"&amp;EDATE($A142,1)))</f>
        <v/>
      </c>
      <c r="D142" s="23">
        <f>IF($BM142=0,"",SUMIFS(Entries!$E$2:$E$5000,Entries!$C$2:$C$5000,"One-off",Entries!$A$2:$A$5000,"&gt;="&amp;$A142,Entries!$A$2:$A$5000,"&lt;"&amp;EDATE($A142,1)))</f>
        <v/>
      </c>
      <c r="E142" s="23">
        <f>IF($BM142=0,NA(),C142+D142)</f>
        <v/>
      </c>
      <c r="F142" s="23">
        <f>IF($BM142=0,"",SUM(AR142:BK142))</f>
        <v/>
      </c>
      <c r="G142" s="23">
        <f>IF($BM142=0,"",B142-E142)</f>
        <v/>
      </c>
      <c r="H142" s="23">
        <f>IF($BM142=0,"",SUM($G$2:G142))</f>
        <v/>
      </c>
      <c r="I142" s="23">
        <f>IF($BM142=0,"",SUMIFS(Entries!$G$2:$G$5000,Entries!$A$2:$A$5000,"&gt;="&amp;$A142,Entries!$A$2:$A$5000,"&lt;"&amp;EDATE($A142,1)))</f>
        <v/>
      </c>
      <c r="J142" s="23">
        <f>IF($BM142=0,NA(),H142)</f>
        <v/>
      </c>
      <c r="K142" s="23">
        <f>IF($BM142=0,"",SUMIFS(Entries!$E$2:$E$5000,Entries!$C$2:$C$5000,"Income",Entries!$A$2:$A$5000,"&gt;="&amp;EDATE($A142,-11),Entries!$A$2:$A$5000,"&lt;"&amp;EDATE($A142,1))/COUNTIFS($A$2:$A$400,"&gt;="&amp;EDATE($A142,-11),$A$2:$A$400,"&lt;"&amp;EDATE($A142,1),$BM$2:$BM$400,"&gt;0"))</f>
      </c>
      <c r="L142" s="23">
        <f>IF($BM142=0,"",(SUMIFS(Entries!$E$2:$E$5000,Entries!$C$2:$C$5000,"Actual",Entries!$A$2:$A$5000,"&gt;="&amp;EDATE($A142,-11),Entries!$A$2:$A$5000,"&lt;"&amp;EDATE($A142,1))+SUMIFS(Entries!$E$2:$E$5000,Entries!$C$2:$C$5000,"One-off",Entries!$A$2:$A$5000,"&gt;="&amp;EDATE($A142,-11),Entries!$A$2:$A$5000,"&lt;"&amp;EDATE($A142,1)))/COUNTIFS($A$2:$A$400,"&gt;="&amp;EDATE($A142,-11),$A$2:$A$400,"&lt;"&amp;EDATE($A142,1),$BM$2:$BM$400,"&gt;0"))</f>
      </c>
      <c r="M142" s="24">
        <f>IF($BM142=0,NA(),IFERROR((K142-L142)/K142,0))</f>
        <v/>
      </c>
      <c r="N142" s="23">
        <f>IF($BM142=0,NA(),SUMIFS(Entries!$E$2:$E$5000,Entries!$D$2:$D$5000,"Core",Entries!$A$2:$A$5000,"&gt;="&amp;$A142,Entries!$A$2:$A$5000,"&lt;"&amp;EDATE($A142,1)))</f>
        <v/>
      </c>
      <c r="O142" s="23">
        <f>IF($BM142=0,NA(),SUMIFS(Entries!$E$2:$E$5000,Entries!$D$2:$D$5000,"Over &amp; above",Entries!$A$2:$A$5000,"&gt;="&amp;$A142,Entries!$A$2:$A$5000,"&lt;"&amp;EDATE($A142,1)))</f>
        <v/>
      </c>
      <c r="P142" s="23">
        <f>IF($BM142=0,NA(),SUMIFS(Entries!$E$2:$E$5000,Entries!$D$2:$D$5000,"One-off",Entries!$A$2:$A$5000,"&gt;="&amp;$A142,Entries!$A$2:$A$5000,"&lt;"&amp;EDATE($A142,1)))</f>
        <v/>
      </c>
      <c r="Q142" s="23">
        <f>IF($BM142=0,NA(),SUMIFS(Entries!$E$2:$E$5000,Entries!$D$2:$D$5000,"Reimbursable",Entries!$A$2:$A$5000,"&gt;="&amp;$A142,Entries!$A$2:$A$5000,"&lt;"&amp;EDATE($A142,1)))</f>
        <v/>
      </c>
      <c r="R142" s="23">
        <f>IF($BM142=0,NA(),SUMIFS(Entries!$E$2:$E$5000,Entries!$D$2:$D$5000,"Investment",Entries!$A$2:$A$5000,"&gt;="&amp;$A142,Entries!$A$2:$A$5000,"&lt;"&amp;EDATE($A142,1)))</f>
        <v/>
      </c>
      <c r="S142" s="23">
        <f>IF($BM142=0,NA(),N142+O142)</f>
        <v/>
      </c>
      <c r="T142" s="23">
        <f>IF($BM142=0,"",E142-Q142)</f>
        <v/>
      </c>
      <c r="W142" s="23">
        <f>IF(OR(W$1="",$BM142=0),"",SUMIFS(Entries!$E$2:$E$5000,Entries!$C$2:$C$5000,"Actual",Entries!$A$2:$A$5000,"&gt;="&amp;$A142,Entries!$A$2:$A$5000,"&lt;"&amp;EDATE($A142,1),Entries!$B$2:$B$5000,W$1))</f>
        <v/>
      </c>
      <c r="X142" s="23">
        <f>IF(OR(X$1="",$BM142=0),"",SUMIFS(Entries!$E$2:$E$5000,Entries!$C$2:$C$5000,"Actual",Entries!$A$2:$A$5000,"&gt;="&amp;$A142,Entries!$A$2:$A$5000,"&lt;"&amp;EDATE($A142,1),Entries!$B$2:$B$5000,X$1))</f>
        <v/>
      </c>
      <c r="Y142" s="23">
        <f>IF(OR(Y$1="",$BM142=0),"",SUMIFS(Entries!$E$2:$E$5000,Entries!$C$2:$C$5000,"Actual",Entries!$A$2:$A$5000,"&gt;="&amp;$A142,Entries!$A$2:$A$5000,"&lt;"&amp;EDATE($A142,1),Entries!$B$2:$B$5000,Y$1))</f>
        <v/>
      </c>
      <c r="Z142" s="23">
        <f>IF(OR(Z$1="",$BM142=0),"",SUMIFS(Entries!$E$2:$E$5000,Entries!$C$2:$C$5000,"Actual",Entries!$A$2:$A$5000,"&gt;="&amp;$A142,Entries!$A$2:$A$5000,"&lt;"&amp;EDATE($A142,1),Entries!$B$2:$B$5000,Z$1))</f>
        <v/>
      </c>
      <c r="AA142" s="23">
        <f>IF(OR(AA$1="",$BM142=0),"",SUMIFS(Entries!$E$2:$E$5000,Entries!$C$2:$C$5000,"Actual",Entries!$A$2:$A$5000,"&gt;="&amp;$A142,Entries!$A$2:$A$5000,"&lt;"&amp;EDATE($A142,1),Entries!$B$2:$B$5000,AA$1))</f>
        <v/>
      </c>
      <c r="AB142" s="23">
        <f>IF(OR(AB$1="",$BM142=0),"",SUMIFS(Entries!$E$2:$E$5000,Entries!$C$2:$C$5000,"Actual",Entries!$A$2:$A$5000,"&gt;="&amp;$A142,Entries!$A$2:$A$5000,"&lt;"&amp;EDATE($A142,1),Entries!$B$2:$B$5000,AB$1))</f>
        <v/>
      </c>
      <c r="AC142" s="23">
        <f>IF(OR(AC$1="",$BM142=0),"",SUMIFS(Entries!$E$2:$E$5000,Entries!$C$2:$C$5000,"Actual",Entries!$A$2:$A$5000,"&gt;="&amp;$A142,Entries!$A$2:$A$5000,"&lt;"&amp;EDATE($A142,1),Entries!$B$2:$B$5000,AC$1))</f>
        <v/>
      </c>
      <c r="AD142" s="23">
        <f>IF(OR(AD$1="",$BM142=0),"",SUMIFS(Entries!$E$2:$E$5000,Entries!$C$2:$C$5000,"Actual",Entries!$A$2:$A$5000,"&gt;="&amp;$A142,Entries!$A$2:$A$5000,"&lt;"&amp;EDATE($A142,1),Entries!$B$2:$B$5000,AD$1))</f>
        <v/>
      </c>
      <c r="AE142" s="23">
        <f>IF(OR(AE$1="",$BM142=0),"",SUMIFS(Entries!$E$2:$E$5000,Entries!$C$2:$C$5000,"Actual",Entries!$A$2:$A$5000,"&gt;="&amp;$A142,Entries!$A$2:$A$5000,"&lt;"&amp;EDATE($A142,1),Entries!$B$2:$B$5000,AE$1))</f>
        <v/>
      </c>
      <c r="AF142" s="23">
        <f>IF(OR(AF$1="",$BM142=0),"",SUMIFS(Entries!$E$2:$E$5000,Entries!$C$2:$C$5000,"Actual",Entries!$A$2:$A$5000,"&gt;="&amp;$A142,Entries!$A$2:$A$5000,"&lt;"&amp;EDATE($A142,1),Entries!$B$2:$B$5000,AF$1))</f>
        <v/>
      </c>
      <c r="AG142" s="23">
        <f>IF(OR(AG$1="",$BM142=0),"",SUMIFS(Entries!$E$2:$E$5000,Entries!$C$2:$C$5000,"Actual",Entries!$A$2:$A$5000,"&gt;="&amp;$A142,Entries!$A$2:$A$5000,"&lt;"&amp;EDATE($A142,1),Entries!$B$2:$B$5000,AG$1))</f>
        <v/>
      </c>
      <c r="AH142" s="23">
        <f>IF(OR(AH$1="",$BM142=0),"",SUMIFS(Entries!$E$2:$E$5000,Entries!$C$2:$C$5000,"Actual",Entries!$A$2:$A$5000,"&gt;="&amp;$A142,Entries!$A$2:$A$5000,"&lt;"&amp;EDATE($A142,1),Entries!$B$2:$B$5000,AH$1))</f>
        <v/>
      </c>
      <c r="AI142" s="23">
        <f>IF(OR(AI$1="",$BM142=0),"",SUMIFS(Entries!$E$2:$E$5000,Entries!$C$2:$C$5000,"Actual",Entries!$A$2:$A$5000,"&gt;="&amp;$A142,Entries!$A$2:$A$5000,"&lt;"&amp;EDATE($A142,1),Entries!$B$2:$B$5000,AI$1))</f>
        <v/>
      </c>
      <c r="AJ142" s="23">
        <f>IF(OR(AJ$1="",$BM142=0),"",SUMIFS(Entries!$E$2:$E$5000,Entries!$C$2:$C$5000,"Actual",Entries!$A$2:$A$5000,"&gt;="&amp;$A142,Entries!$A$2:$A$5000,"&lt;"&amp;EDATE($A142,1),Entries!$B$2:$B$5000,AJ$1))</f>
        <v/>
      </c>
      <c r="AK142" s="23">
        <f>IF(OR(AK$1="",$BM142=0),"",SUMIFS(Entries!$E$2:$E$5000,Entries!$C$2:$C$5000,"Actual",Entries!$A$2:$A$5000,"&gt;="&amp;$A142,Entries!$A$2:$A$5000,"&lt;"&amp;EDATE($A142,1),Entries!$B$2:$B$5000,AK$1))</f>
        <v/>
      </c>
      <c r="AL142" s="23">
        <f>IF(OR(AL$1="",$BM142=0),"",SUMIFS(Entries!$E$2:$E$5000,Entries!$C$2:$C$5000,"Actual",Entries!$A$2:$A$5000,"&gt;="&amp;$A142,Entries!$A$2:$A$5000,"&lt;"&amp;EDATE($A142,1),Entries!$B$2:$B$5000,AL$1))</f>
        <v/>
      </c>
      <c r="AM142" s="23">
        <f>IF(OR(AM$1="",$BM142=0),"",SUMIFS(Entries!$E$2:$E$5000,Entries!$C$2:$C$5000,"Actual",Entries!$A$2:$A$5000,"&gt;="&amp;$A142,Entries!$A$2:$A$5000,"&lt;"&amp;EDATE($A142,1),Entries!$B$2:$B$5000,AM$1))</f>
        <v/>
      </c>
      <c r="AN142" s="23">
        <f>IF(OR(AN$1="",$BM142=0),"",SUMIFS(Entries!$E$2:$E$5000,Entries!$C$2:$C$5000,"Actual",Entries!$A$2:$A$5000,"&gt;="&amp;$A142,Entries!$A$2:$A$5000,"&lt;"&amp;EDATE($A142,1),Entries!$B$2:$B$5000,AN$1))</f>
        <v/>
      </c>
      <c r="AO142" s="23">
        <f>IF(OR(AO$1="",$BM142=0),"",SUMIFS(Entries!$E$2:$E$5000,Entries!$C$2:$C$5000,"Actual",Entries!$A$2:$A$5000,"&gt;="&amp;$A142,Entries!$A$2:$A$5000,"&lt;"&amp;EDATE($A142,1),Entries!$B$2:$B$5000,AO$1))</f>
        <v/>
      </c>
      <c r="AP142" s="23">
        <f>IF(OR(AP$1="",$BM142=0),"",SUMIFS(Entries!$E$2:$E$5000,Entries!$C$2:$C$5000,"Actual",Entries!$A$2:$A$5000,"&gt;="&amp;$A142,Entries!$A$2:$A$5000,"&lt;"&amp;EDATE($A142,1),Entries!$B$2:$B$5000,AP$1))</f>
        <v/>
      </c>
      <c r="AR142" s="23">
        <f>IF(OR(AR$1="",$BM142=0),"",IFERROR(LOOKUP(2,1/((Budgets!$A$2:$A$200=AR$1)*(Budgets!$B$2:$B$200&lt;EDATE($A142,1))),Budgets!$C$2:$C$200),0))</f>
        <v/>
      </c>
      <c r="AS142" s="23">
        <f>IF(OR(AS$1="",$BM142=0),"",IFERROR(LOOKUP(2,1/((Budgets!$A$2:$A$200=AS$1)*(Budgets!$B$2:$B$200&lt;EDATE($A142,1))),Budgets!$C$2:$C$200),0))</f>
        <v/>
      </c>
      <c r="AT142" s="23">
        <f>IF(OR(AT$1="",$BM142=0),"",IFERROR(LOOKUP(2,1/((Budgets!$A$2:$A$200=AT$1)*(Budgets!$B$2:$B$200&lt;EDATE($A142,1))),Budgets!$C$2:$C$200),0))</f>
        <v/>
      </c>
      <c r="AU142" s="23">
        <f>IF(OR(AU$1="",$BM142=0),"",IFERROR(LOOKUP(2,1/((Budgets!$A$2:$A$200=AU$1)*(Budgets!$B$2:$B$200&lt;EDATE($A142,1))),Budgets!$C$2:$C$200),0))</f>
        <v/>
      </c>
      <c r="AV142" s="23">
        <f>IF(OR(AV$1="",$BM142=0),"",IFERROR(LOOKUP(2,1/((Budgets!$A$2:$A$200=AV$1)*(Budgets!$B$2:$B$200&lt;EDATE($A142,1))),Budgets!$C$2:$C$200),0))</f>
        <v/>
      </c>
      <c r="AW142" s="23">
        <f>IF(OR(AW$1="",$BM142=0),"",IFERROR(LOOKUP(2,1/((Budgets!$A$2:$A$200=AW$1)*(Budgets!$B$2:$B$200&lt;EDATE($A142,1))),Budgets!$C$2:$C$200),0))</f>
        <v/>
      </c>
      <c r="AX142" s="23">
        <f>IF(OR(AX$1="",$BM142=0),"",IFERROR(LOOKUP(2,1/((Budgets!$A$2:$A$200=AX$1)*(Budgets!$B$2:$B$200&lt;EDATE($A142,1))),Budgets!$C$2:$C$200),0))</f>
        <v/>
      </c>
      <c r="AY142" s="23">
        <f>IF(OR(AY$1="",$BM142=0),"",IFERROR(LOOKUP(2,1/((Budgets!$A$2:$A$200=AY$1)*(Budgets!$B$2:$B$200&lt;EDATE($A142,1))),Budgets!$C$2:$C$200),0))</f>
        <v/>
      </c>
      <c r="AZ142" s="23">
        <f>IF(OR(AZ$1="",$BM142=0),"",IFERROR(LOOKUP(2,1/((Budgets!$A$2:$A$200=AZ$1)*(Budgets!$B$2:$B$200&lt;EDATE($A142,1))),Budgets!$C$2:$C$200),0))</f>
        <v/>
      </c>
      <c r="BA142" s="23">
        <f>IF(OR(BA$1="",$BM142=0),"",IFERROR(LOOKUP(2,1/((Budgets!$A$2:$A$200=BA$1)*(Budgets!$B$2:$B$200&lt;EDATE($A142,1))),Budgets!$C$2:$C$200),0))</f>
        <v/>
      </c>
      <c r="BB142" s="23">
        <f>IF(OR(BB$1="",$BM142=0),"",IFERROR(LOOKUP(2,1/((Budgets!$A$2:$A$200=BB$1)*(Budgets!$B$2:$B$200&lt;EDATE($A142,1))),Budgets!$C$2:$C$200),0))</f>
        <v/>
      </c>
      <c r="BC142" s="23">
        <f>IF(OR(BC$1="",$BM142=0),"",IFERROR(LOOKUP(2,1/((Budgets!$A$2:$A$200=BC$1)*(Budgets!$B$2:$B$200&lt;EDATE($A142,1))),Budgets!$C$2:$C$200),0))</f>
        <v/>
      </c>
      <c r="BD142" s="23">
        <f>IF(OR(BD$1="",$BM142=0),"",IFERROR(LOOKUP(2,1/((Budgets!$A$2:$A$200=BD$1)*(Budgets!$B$2:$B$200&lt;EDATE($A142,1))),Budgets!$C$2:$C$200),0))</f>
        <v/>
      </c>
      <c r="BE142" s="23">
        <f>IF(OR(BE$1="",$BM142=0),"",IFERROR(LOOKUP(2,1/((Budgets!$A$2:$A$200=BE$1)*(Budgets!$B$2:$B$200&lt;EDATE($A142,1))),Budgets!$C$2:$C$200),0))</f>
        <v/>
      </c>
      <c r="BF142" s="23">
        <f>IF(OR(BF$1="",$BM142=0),"",IFERROR(LOOKUP(2,1/((Budgets!$A$2:$A$200=BF$1)*(Budgets!$B$2:$B$200&lt;EDATE($A142,1))),Budgets!$C$2:$C$200),0))</f>
        <v/>
      </c>
      <c r="BG142" s="23">
        <f>IF(OR(BG$1="",$BM142=0),"",IFERROR(LOOKUP(2,1/((Budgets!$A$2:$A$200=BG$1)*(Budgets!$B$2:$B$200&lt;EDATE($A142,1))),Budgets!$C$2:$C$200),0))</f>
        <v/>
      </c>
      <c r="BH142" s="23">
        <f>IF(OR(BH$1="",$BM142=0),"",IFERROR(LOOKUP(2,1/((Budgets!$A$2:$A$200=BH$1)*(Budgets!$B$2:$B$200&lt;EDATE($A142,1))),Budgets!$C$2:$C$200),0))</f>
        <v/>
      </c>
      <c r="BI142" s="23">
        <f>IF(OR(BI$1="",$BM142=0),"",IFERROR(LOOKUP(2,1/((Budgets!$A$2:$A$200=BI$1)*(Budgets!$B$2:$B$200&lt;EDATE($A142,1))),Budgets!$C$2:$C$200),0))</f>
        <v/>
      </c>
      <c r="BJ142" s="23">
        <f>IF(OR(BJ$1="",$BM142=0),"",IFERROR(LOOKUP(2,1/((Budgets!$A$2:$A$200=BJ$1)*(Budgets!$B$2:$B$200&lt;EDATE($A142,1))),Budgets!$C$2:$C$200),0))</f>
        <v/>
      </c>
      <c r="BK142" s="23">
        <f>IF(OR(BK$1="",$BM142=0),"",IFERROR(LOOKUP(2,1/((Budgets!$A$2:$A$200=BK$1)*(Budgets!$B$2:$B$200&lt;EDATE($A142,1))),Budgets!$C$2:$C$200),0))</f>
        <v/>
      </c>
      <c r="BM142" s="21">
        <f>COUNTIFS(Entries!$A$2:$A$5000,"&gt;="&amp;$A142,Entries!$A$2:$A$5000,"&lt;"&amp;EDATE($A142,1))</f>
        <v/>
      </c>
    </row>
    <row r="143">
      <c r="A143" s="22" t="n">
        <v>43739</v>
      </c>
      <c r="B143" s="23">
        <f>IF($BM143=0,NA(),SUMIFS(Entries!$E$2:$E$5000,Entries!$C$2:$C$5000,"Income",Entries!$A$2:$A$5000,"&gt;="&amp;$A143,Entries!$A$2:$A$5000,"&lt;"&amp;EDATE($A143,1)))</f>
        <v/>
      </c>
      <c r="C143" s="23">
        <f>IF($BM143=0,"",SUMIFS(Entries!$E$2:$E$5000,Entries!$C$2:$C$5000,"Actual",Entries!$A$2:$A$5000,"&gt;="&amp;$A143,Entries!$A$2:$A$5000,"&lt;"&amp;EDATE($A143,1)))</f>
        <v/>
      </c>
      <c r="D143" s="23">
        <f>IF($BM143=0,"",SUMIFS(Entries!$E$2:$E$5000,Entries!$C$2:$C$5000,"One-off",Entries!$A$2:$A$5000,"&gt;="&amp;$A143,Entries!$A$2:$A$5000,"&lt;"&amp;EDATE($A143,1)))</f>
        <v/>
      </c>
      <c r="E143" s="23">
        <f>IF($BM143=0,NA(),C143+D143)</f>
        <v/>
      </c>
      <c r="F143" s="23">
        <f>IF($BM143=0,"",SUM(AR143:BK143))</f>
        <v/>
      </c>
      <c r="G143" s="23">
        <f>IF($BM143=0,"",B143-E143)</f>
        <v/>
      </c>
      <c r="H143" s="23">
        <f>IF($BM143=0,"",SUM($G$2:G143))</f>
        <v/>
      </c>
      <c r="I143" s="23">
        <f>IF($BM143=0,"",SUMIFS(Entries!$G$2:$G$5000,Entries!$A$2:$A$5000,"&gt;="&amp;$A143,Entries!$A$2:$A$5000,"&lt;"&amp;EDATE($A143,1)))</f>
        <v/>
      </c>
      <c r="J143" s="23">
        <f>IF($BM143=0,NA(),H143)</f>
        <v/>
      </c>
      <c r="K143" s="23">
        <f>IF($BM143=0,"",SUMIFS(Entries!$E$2:$E$5000,Entries!$C$2:$C$5000,"Income",Entries!$A$2:$A$5000,"&gt;="&amp;EDATE($A143,-11),Entries!$A$2:$A$5000,"&lt;"&amp;EDATE($A143,1))/COUNTIFS($A$2:$A$400,"&gt;="&amp;EDATE($A143,-11),$A$2:$A$400,"&lt;"&amp;EDATE($A143,1),$BM$2:$BM$400,"&gt;0"))</f>
      </c>
      <c r="L143" s="23">
        <f>IF($BM143=0,"",(SUMIFS(Entries!$E$2:$E$5000,Entries!$C$2:$C$5000,"Actual",Entries!$A$2:$A$5000,"&gt;="&amp;EDATE($A143,-11),Entries!$A$2:$A$5000,"&lt;"&amp;EDATE($A143,1))+SUMIFS(Entries!$E$2:$E$5000,Entries!$C$2:$C$5000,"One-off",Entries!$A$2:$A$5000,"&gt;="&amp;EDATE($A143,-11),Entries!$A$2:$A$5000,"&lt;"&amp;EDATE($A143,1)))/COUNTIFS($A$2:$A$400,"&gt;="&amp;EDATE($A143,-11),$A$2:$A$400,"&lt;"&amp;EDATE($A143,1),$BM$2:$BM$400,"&gt;0"))</f>
      </c>
      <c r="M143" s="24">
        <f>IF($BM143=0,NA(),IFERROR((K143-L143)/K143,0))</f>
        <v/>
      </c>
      <c r="N143" s="23">
        <f>IF($BM143=0,NA(),SUMIFS(Entries!$E$2:$E$5000,Entries!$D$2:$D$5000,"Core",Entries!$A$2:$A$5000,"&gt;="&amp;$A143,Entries!$A$2:$A$5000,"&lt;"&amp;EDATE($A143,1)))</f>
        <v/>
      </c>
      <c r="O143" s="23">
        <f>IF($BM143=0,NA(),SUMIFS(Entries!$E$2:$E$5000,Entries!$D$2:$D$5000,"Over &amp; above",Entries!$A$2:$A$5000,"&gt;="&amp;$A143,Entries!$A$2:$A$5000,"&lt;"&amp;EDATE($A143,1)))</f>
        <v/>
      </c>
      <c r="P143" s="23">
        <f>IF($BM143=0,NA(),SUMIFS(Entries!$E$2:$E$5000,Entries!$D$2:$D$5000,"One-off",Entries!$A$2:$A$5000,"&gt;="&amp;$A143,Entries!$A$2:$A$5000,"&lt;"&amp;EDATE($A143,1)))</f>
        <v/>
      </c>
      <c r="Q143" s="23">
        <f>IF($BM143=0,NA(),SUMIFS(Entries!$E$2:$E$5000,Entries!$D$2:$D$5000,"Reimbursable",Entries!$A$2:$A$5000,"&gt;="&amp;$A143,Entries!$A$2:$A$5000,"&lt;"&amp;EDATE($A143,1)))</f>
        <v/>
      </c>
      <c r="R143" s="23">
        <f>IF($BM143=0,NA(),SUMIFS(Entries!$E$2:$E$5000,Entries!$D$2:$D$5000,"Investment",Entries!$A$2:$A$5000,"&gt;="&amp;$A143,Entries!$A$2:$A$5000,"&lt;"&amp;EDATE($A143,1)))</f>
        <v/>
      </c>
      <c r="S143" s="23">
        <f>IF($BM143=0,NA(),N143+O143)</f>
        <v/>
      </c>
      <c r="T143" s="23">
        <f>IF($BM143=0,"",E143-Q143)</f>
        <v/>
      </c>
      <c r="W143" s="23">
        <f>IF(OR(W$1="",$BM143=0),"",SUMIFS(Entries!$E$2:$E$5000,Entries!$C$2:$C$5000,"Actual",Entries!$A$2:$A$5000,"&gt;="&amp;$A143,Entries!$A$2:$A$5000,"&lt;"&amp;EDATE($A143,1),Entries!$B$2:$B$5000,W$1))</f>
        <v/>
      </c>
      <c r="X143" s="23">
        <f>IF(OR(X$1="",$BM143=0),"",SUMIFS(Entries!$E$2:$E$5000,Entries!$C$2:$C$5000,"Actual",Entries!$A$2:$A$5000,"&gt;="&amp;$A143,Entries!$A$2:$A$5000,"&lt;"&amp;EDATE($A143,1),Entries!$B$2:$B$5000,X$1))</f>
        <v/>
      </c>
      <c r="Y143" s="23">
        <f>IF(OR(Y$1="",$BM143=0),"",SUMIFS(Entries!$E$2:$E$5000,Entries!$C$2:$C$5000,"Actual",Entries!$A$2:$A$5000,"&gt;="&amp;$A143,Entries!$A$2:$A$5000,"&lt;"&amp;EDATE($A143,1),Entries!$B$2:$B$5000,Y$1))</f>
        <v/>
      </c>
      <c r="Z143" s="23">
        <f>IF(OR(Z$1="",$BM143=0),"",SUMIFS(Entries!$E$2:$E$5000,Entries!$C$2:$C$5000,"Actual",Entries!$A$2:$A$5000,"&gt;="&amp;$A143,Entries!$A$2:$A$5000,"&lt;"&amp;EDATE($A143,1),Entries!$B$2:$B$5000,Z$1))</f>
        <v/>
      </c>
      <c r="AA143" s="23">
        <f>IF(OR(AA$1="",$BM143=0),"",SUMIFS(Entries!$E$2:$E$5000,Entries!$C$2:$C$5000,"Actual",Entries!$A$2:$A$5000,"&gt;="&amp;$A143,Entries!$A$2:$A$5000,"&lt;"&amp;EDATE($A143,1),Entries!$B$2:$B$5000,AA$1))</f>
        <v/>
      </c>
      <c r="AB143" s="23">
        <f>IF(OR(AB$1="",$BM143=0),"",SUMIFS(Entries!$E$2:$E$5000,Entries!$C$2:$C$5000,"Actual",Entries!$A$2:$A$5000,"&gt;="&amp;$A143,Entries!$A$2:$A$5000,"&lt;"&amp;EDATE($A143,1),Entries!$B$2:$B$5000,AB$1))</f>
        <v/>
      </c>
      <c r="AC143" s="23">
        <f>IF(OR(AC$1="",$BM143=0),"",SUMIFS(Entries!$E$2:$E$5000,Entries!$C$2:$C$5000,"Actual",Entries!$A$2:$A$5000,"&gt;="&amp;$A143,Entries!$A$2:$A$5000,"&lt;"&amp;EDATE($A143,1),Entries!$B$2:$B$5000,AC$1))</f>
        <v/>
      </c>
      <c r="AD143" s="23">
        <f>IF(OR(AD$1="",$BM143=0),"",SUMIFS(Entries!$E$2:$E$5000,Entries!$C$2:$C$5000,"Actual",Entries!$A$2:$A$5000,"&gt;="&amp;$A143,Entries!$A$2:$A$5000,"&lt;"&amp;EDATE($A143,1),Entries!$B$2:$B$5000,AD$1))</f>
        <v/>
      </c>
      <c r="AE143" s="23">
        <f>IF(OR(AE$1="",$BM143=0),"",SUMIFS(Entries!$E$2:$E$5000,Entries!$C$2:$C$5000,"Actual",Entries!$A$2:$A$5000,"&gt;="&amp;$A143,Entries!$A$2:$A$5000,"&lt;"&amp;EDATE($A143,1),Entries!$B$2:$B$5000,AE$1))</f>
        <v/>
      </c>
      <c r="AF143" s="23">
        <f>IF(OR(AF$1="",$BM143=0),"",SUMIFS(Entries!$E$2:$E$5000,Entries!$C$2:$C$5000,"Actual",Entries!$A$2:$A$5000,"&gt;="&amp;$A143,Entries!$A$2:$A$5000,"&lt;"&amp;EDATE($A143,1),Entries!$B$2:$B$5000,AF$1))</f>
        <v/>
      </c>
      <c r="AG143" s="23">
        <f>IF(OR(AG$1="",$BM143=0),"",SUMIFS(Entries!$E$2:$E$5000,Entries!$C$2:$C$5000,"Actual",Entries!$A$2:$A$5000,"&gt;="&amp;$A143,Entries!$A$2:$A$5000,"&lt;"&amp;EDATE($A143,1),Entries!$B$2:$B$5000,AG$1))</f>
        <v/>
      </c>
      <c r="AH143" s="23">
        <f>IF(OR(AH$1="",$BM143=0),"",SUMIFS(Entries!$E$2:$E$5000,Entries!$C$2:$C$5000,"Actual",Entries!$A$2:$A$5000,"&gt;="&amp;$A143,Entries!$A$2:$A$5000,"&lt;"&amp;EDATE($A143,1),Entries!$B$2:$B$5000,AH$1))</f>
        <v/>
      </c>
      <c r="AI143" s="23">
        <f>IF(OR(AI$1="",$BM143=0),"",SUMIFS(Entries!$E$2:$E$5000,Entries!$C$2:$C$5000,"Actual",Entries!$A$2:$A$5000,"&gt;="&amp;$A143,Entries!$A$2:$A$5000,"&lt;"&amp;EDATE($A143,1),Entries!$B$2:$B$5000,AI$1))</f>
        <v/>
      </c>
      <c r="AJ143" s="23">
        <f>IF(OR(AJ$1="",$BM143=0),"",SUMIFS(Entries!$E$2:$E$5000,Entries!$C$2:$C$5000,"Actual",Entries!$A$2:$A$5000,"&gt;="&amp;$A143,Entries!$A$2:$A$5000,"&lt;"&amp;EDATE($A143,1),Entries!$B$2:$B$5000,AJ$1))</f>
        <v/>
      </c>
      <c r="AK143" s="23">
        <f>IF(OR(AK$1="",$BM143=0),"",SUMIFS(Entries!$E$2:$E$5000,Entries!$C$2:$C$5000,"Actual",Entries!$A$2:$A$5000,"&gt;="&amp;$A143,Entries!$A$2:$A$5000,"&lt;"&amp;EDATE($A143,1),Entries!$B$2:$B$5000,AK$1))</f>
        <v/>
      </c>
      <c r="AL143" s="23">
        <f>IF(OR(AL$1="",$BM143=0),"",SUMIFS(Entries!$E$2:$E$5000,Entries!$C$2:$C$5000,"Actual",Entries!$A$2:$A$5000,"&gt;="&amp;$A143,Entries!$A$2:$A$5000,"&lt;"&amp;EDATE($A143,1),Entries!$B$2:$B$5000,AL$1))</f>
        <v/>
      </c>
      <c r="AM143" s="23">
        <f>IF(OR(AM$1="",$BM143=0),"",SUMIFS(Entries!$E$2:$E$5000,Entries!$C$2:$C$5000,"Actual",Entries!$A$2:$A$5000,"&gt;="&amp;$A143,Entries!$A$2:$A$5000,"&lt;"&amp;EDATE($A143,1),Entries!$B$2:$B$5000,AM$1))</f>
        <v/>
      </c>
      <c r="AN143" s="23">
        <f>IF(OR(AN$1="",$BM143=0),"",SUMIFS(Entries!$E$2:$E$5000,Entries!$C$2:$C$5000,"Actual",Entries!$A$2:$A$5000,"&gt;="&amp;$A143,Entries!$A$2:$A$5000,"&lt;"&amp;EDATE($A143,1),Entries!$B$2:$B$5000,AN$1))</f>
        <v/>
      </c>
      <c r="AO143" s="23">
        <f>IF(OR(AO$1="",$BM143=0),"",SUMIFS(Entries!$E$2:$E$5000,Entries!$C$2:$C$5000,"Actual",Entries!$A$2:$A$5000,"&gt;="&amp;$A143,Entries!$A$2:$A$5000,"&lt;"&amp;EDATE($A143,1),Entries!$B$2:$B$5000,AO$1))</f>
        <v/>
      </c>
      <c r="AP143" s="23">
        <f>IF(OR(AP$1="",$BM143=0),"",SUMIFS(Entries!$E$2:$E$5000,Entries!$C$2:$C$5000,"Actual",Entries!$A$2:$A$5000,"&gt;="&amp;$A143,Entries!$A$2:$A$5000,"&lt;"&amp;EDATE($A143,1),Entries!$B$2:$B$5000,AP$1))</f>
        <v/>
      </c>
      <c r="AR143" s="23">
        <f>IF(OR(AR$1="",$BM143=0),"",IFERROR(LOOKUP(2,1/((Budgets!$A$2:$A$200=AR$1)*(Budgets!$B$2:$B$200&lt;EDATE($A143,1))),Budgets!$C$2:$C$200),0))</f>
        <v/>
      </c>
      <c r="AS143" s="23">
        <f>IF(OR(AS$1="",$BM143=0),"",IFERROR(LOOKUP(2,1/((Budgets!$A$2:$A$200=AS$1)*(Budgets!$B$2:$B$200&lt;EDATE($A143,1))),Budgets!$C$2:$C$200),0))</f>
        <v/>
      </c>
      <c r="AT143" s="23">
        <f>IF(OR(AT$1="",$BM143=0),"",IFERROR(LOOKUP(2,1/((Budgets!$A$2:$A$200=AT$1)*(Budgets!$B$2:$B$200&lt;EDATE($A143,1))),Budgets!$C$2:$C$200),0))</f>
        <v/>
      </c>
      <c r="AU143" s="23">
        <f>IF(OR(AU$1="",$BM143=0),"",IFERROR(LOOKUP(2,1/((Budgets!$A$2:$A$200=AU$1)*(Budgets!$B$2:$B$200&lt;EDATE($A143,1))),Budgets!$C$2:$C$200),0))</f>
        <v/>
      </c>
      <c r="AV143" s="23">
        <f>IF(OR(AV$1="",$BM143=0),"",IFERROR(LOOKUP(2,1/((Budgets!$A$2:$A$200=AV$1)*(Budgets!$B$2:$B$200&lt;EDATE($A143,1))),Budgets!$C$2:$C$200),0))</f>
        <v/>
      </c>
      <c r="AW143" s="23">
        <f>IF(OR(AW$1="",$BM143=0),"",IFERROR(LOOKUP(2,1/((Budgets!$A$2:$A$200=AW$1)*(Budgets!$B$2:$B$200&lt;EDATE($A143,1))),Budgets!$C$2:$C$200),0))</f>
        <v/>
      </c>
      <c r="AX143" s="23">
        <f>IF(OR(AX$1="",$BM143=0),"",IFERROR(LOOKUP(2,1/((Budgets!$A$2:$A$200=AX$1)*(Budgets!$B$2:$B$200&lt;EDATE($A143,1))),Budgets!$C$2:$C$200),0))</f>
        <v/>
      </c>
      <c r="AY143" s="23">
        <f>IF(OR(AY$1="",$BM143=0),"",IFERROR(LOOKUP(2,1/((Budgets!$A$2:$A$200=AY$1)*(Budgets!$B$2:$B$200&lt;EDATE($A143,1))),Budgets!$C$2:$C$200),0))</f>
        <v/>
      </c>
      <c r="AZ143" s="23">
        <f>IF(OR(AZ$1="",$BM143=0),"",IFERROR(LOOKUP(2,1/((Budgets!$A$2:$A$200=AZ$1)*(Budgets!$B$2:$B$200&lt;EDATE($A143,1))),Budgets!$C$2:$C$200),0))</f>
        <v/>
      </c>
      <c r="BA143" s="23">
        <f>IF(OR(BA$1="",$BM143=0),"",IFERROR(LOOKUP(2,1/((Budgets!$A$2:$A$200=BA$1)*(Budgets!$B$2:$B$200&lt;EDATE($A143,1))),Budgets!$C$2:$C$200),0))</f>
        <v/>
      </c>
      <c r="BB143" s="23">
        <f>IF(OR(BB$1="",$BM143=0),"",IFERROR(LOOKUP(2,1/((Budgets!$A$2:$A$200=BB$1)*(Budgets!$B$2:$B$200&lt;EDATE($A143,1))),Budgets!$C$2:$C$200),0))</f>
        <v/>
      </c>
      <c r="BC143" s="23">
        <f>IF(OR(BC$1="",$BM143=0),"",IFERROR(LOOKUP(2,1/((Budgets!$A$2:$A$200=BC$1)*(Budgets!$B$2:$B$200&lt;EDATE($A143,1))),Budgets!$C$2:$C$200),0))</f>
        <v/>
      </c>
      <c r="BD143" s="23">
        <f>IF(OR(BD$1="",$BM143=0),"",IFERROR(LOOKUP(2,1/((Budgets!$A$2:$A$200=BD$1)*(Budgets!$B$2:$B$200&lt;EDATE($A143,1))),Budgets!$C$2:$C$200),0))</f>
        <v/>
      </c>
      <c r="BE143" s="23">
        <f>IF(OR(BE$1="",$BM143=0),"",IFERROR(LOOKUP(2,1/((Budgets!$A$2:$A$200=BE$1)*(Budgets!$B$2:$B$200&lt;EDATE($A143,1))),Budgets!$C$2:$C$200),0))</f>
        <v/>
      </c>
      <c r="BF143" s="23">
        <f>IF(OR(BF$1="",$BM143=0),"",IFERROR(LOOKUP(2,1/((Budgets!$A$2:$A$200=BF$1)*(Budgets!$B$2:$B$200&lt;EDATE($A143,1))),Budgets!$C$2:$C$200),0))</f>
        <v/>
      </c>
      <c r="BG143" s="23">
        <f>IF(OR(BG$1="",$BM143=0),"",IFERROR(LOOKUP(2,1/((Budgets!$A$2:$A$200=BG$1)*(Budgets!$B$2:$B$200&lt;EDATE($A143,1))),Budgets!$C$2:$C$200),0))</f>
        <v/>
      </c>
      <c r="BH143" s="23">
        <f>IF(OR(BH$1="",$BM143=0),"",IFERROR(LOOKUP(2,1/((Budgets!$A$2:$A$200=BH$1)*(Budgets!$B$2:$B$200&lt;EDATE($A143,1))),Budgets!$C$2:$C$200),0))</f>
        <v/>
      </c>
      <c r="BI143" s="23">
        <f>IF(OR(BI$1="",$BM143=0),"",IFERROR(LOOKUP(2,1/((Budgets!$A$2:$A$200=BI$1)*(Budgets!$B$2:$B$200&lt;EDATE($A143,1))),Budgets!$C$2:$C$200),0))</f>
        <v/>
      </c>
      <c r="BJ143" s="23">
        <f>IF(OR(BJ$1="",$BM143=0),"",IFERROR(LOOKUP(2,1/((Budgets!$A$2:$A$200=BJ$1)*(Budgets!$B$2:$B$200&lt;EDATE($A143,1))),Budgets!$C$2:$C$200),0))</f>
        <v/>
      </c>
      <c r="BK143" s="23">
        <f>IF(OR(BK$1="",$BM143=0),"",IFERROR(LOOKUP(2,1/((Budgets!$A$2:$A$200=BK$1)*(Budgets!$B$2:$B$200&lt;EDATE($A143,1))),Budgets!$C$2:$C$200),0))</f>
        <v/>
      </c>
      <c r="BM143" s="21">
        <f>COUNTIFS(Entries!$A$2:$A$5000,"&gt;="&amp;$A143,Entries!$A$2:$A$5000,"&lt;"&amp;EDATE($A143,1))</f>
        <v/>
      </c>
    </row>
    <row r="144">
      <c r="A144" s="22" t="n">
        <v>43770</v>
      </c>
      <c r="B144" s="23">
        <f>IF($BM144=0,NA(),SUMIFS(Entries!$E$2:$E$5000,Entries!$C$2:$C$5000,"Income",Entries!$A$2:$A$5000,"&gt;="&amp;$A144,Entries!$A$2:$A$5000,"&lt;"&amp;EDATE($A144,1)))</f>
        <v/>
      </c>
      <c r="C144" s="23">
        <f>IF($BM144=0,"",SUMIFS(Entries!$E$2:$E$5000,Entries!$C$2:$C$5000,"Actual",Entries!$A$2:$A$5000,"&gt;="&amp;$A144,Entries!$A$2:$A$5000,"&lt;"&amp;EDATE($A144,1)))</f>
        <v/>
      </c>
      <c r="D144" s="23">
        <f>IF($BM144=0,"",SUMIFS(Entries!$E$2:$E$5000,Entries!$C$2:$C$5000,"One-off",Entries!$A$2:$A$5000,"&gt;="&amp;$A144,Entries!$A$2:$A$5000,"&lt;"&amp;EDATE($A144,1)))</f>
        <v/>
      </c>
      <c r="E144" s="23">
        <f>IF($BM144=0,NA(),C144+D144)</f>
        <v/>
      </c>
      <c r="F144" s="23">
        <f>IF($BM144=0,"",SUM(AR144:BK144))</f>
        <v/>
      </c>
      <c r="G144" s="23">
        <f>IF($BM144=0,"",B144-E144)</f>
        <v/>
      </c>
      <c r="H144" s="23">
        <f>IF($BM144=0,"",SUM($G$2:G144))</f>
        <v/>
      </c>
      <c r="I144" s="23">
        <f>IF($BM144=0,"",SUMIFS(Entries!$G$2:$G$5000,Entries!$A$2:$A$5000,"&gt;="&amp;$A144,Entries!$A$2:$A$5000,"&lt;"&amp;EDATE($A144,1)))</f>
        <v/>
      </c>
      <c r="J144" s="23">
        <f>IF($BM144=0,NA(),H144)</f>
        <v/>
      </c>
      <c r="K144" s="23">
        <f>IF($BM144=0,"",SUMIFS(Entries!$E$2:$E$5000,Entries!$C$2:$C$5000,"Income",Entries!$A$2:$A$5000,"&gt;="&amp;EDATE($A144,-11),Entries!$A$2:$A$5000,"&lt;"&amp;EDATE($A144,1))/COUNTIFS($A$2:$A$400,"&gt;="&amp;EDATE($A144,-11),$A$2:$A$400,"&lt;"&amp;EDATE($A144,1),$BM$2:$BM$400,"&gt;0"))</f>
      </c>
      <c r="L144" s="23">
        <f>IF($BM144=0,"",(SUMIFS(Entries!$E$2:$E$5000,Entries!$C$2:$C$5000,"Actual",Entries!$A$2:$A$5000,"&gt;="&amp;EDATE($A144,-11),Entries!$A$2:$A$5000,"&lt;"&amp;EDATE($A144,1))+SUMIFS(Entries!$E$2:$E$5000,Entries!$C$2:$C$5000,"One-off",Entries!$A$2:$A$5000,"&gt;="&amp;EDATE($A144,-11),Entries!$A$2:$A$5000,"&lt;"&amp;EDATE($A144,1)))/COUNTIFS($A$2:$A$400,"&gt;="&amp;EDATE($A144,-11),$A$2:$A$400,"&lt;"&amp;EDATE($A144,1),$BM$2:$BM$400,"&gt;0"))</f>
      </c>
      <c r="M144" s="24">
        <f>IF($BM144=0,NA(),IFERROR((K144-L144)/K144,0))</f>
        <v/>
      </c>
      <c r="N144" s="23">
        <f>IF($BM144=0,NA(),SUMIFS(Entries!$E$2:$E$5000,Entries!$D$2:$D$5000,"Core",Entries!$A$2:$A$5000,"&gt;="&amp;$A144,Entries!$A$2:$A$5000,"&lt;"&amp;EDATE($A144,1)))</f>
        <v/>
      </c>
      <c r="O144" s="23">
        <f>IF($BM144=0,NA(),SUMIFS(Entries!$E$2:$E$5000,Entries!$D$2:$D$5000,"Over &amp; above",Entries!$A$2:$A$5000,"&gt;="&amp;$A144,Entries!$A$2:$A$5000,"&lt;"&amp;EDATE($A144,1)))</f>
        <v/>
      </c>
      <c r="P144" s="23">
        <f>IF($BM144=0,NA(),SUMIFS(Entries!$E$2:$E$5000,Entries!$D$2:$D$5000,"One-off",Entries!$A$2:$A$5000,"&gt;="&amp;$A144,Entries!$A$2:$A$5000,"&lt;"&amp;EDATE($A144,1)))</f>
        <v/>
      </c>
      <c r="Q144" s="23">
        <f>IF($BM144=0,NA(),SUMIFS(Entries!$E$2:$E$5000,Entries!$D$2:$D$5000,"Reimbursable",Entries!$A$2:$A$5000,"&gt;="&amp;$A144,Entries!$A$2:$A$5000,"&lt;"&amp;EDATE($A144,1)))</f>
        <v/>
      </c>
      <c r="R144" s="23">
        <f>IF($BM144=0,NA(),SUMIFS(Entries!$E$2:$E$5000,Entries!$D$2:$D$5000,"Investment",Entries!$A$2:$A$5000,"&gt;="&amp;$A144,Entries!$A$2:$A$5000,"&lt;"&amp;EDATE($A144,1)))</f>
        <v/>
      </c>
      <c r="S144" s="23">
        <f>IF($BM144=0,NA(),N144+O144)</f>
        <v/>
      </c>
      <c r="T144" s="23">
        <f>IF($BM144=0,"",E144-Q144)</f>
        <v/>
      </c>
      <c r="W144" s="23">
        <f>IF(OR(W$1="",$BM144=0),"",SUMIFS(Entries!$E$2:$E$5000,Entries!$C$2:$C$5000,"Actual",Entries!$A$2:$A$5000,"&gt;="&amp;$A144,Entries!$A$2:$A$5000,"&lt;"&amp;EDATE($A144,1),Entries!$B$2:$B$5000,W$1))</f>
        <v/>
      </c>
      <c r="X144" s="23">
        <f>IF(OR(X$1="",$BM144=0),"",SUMIFS(Entries!$E$2:$E$5000,Entries!$C$2:$C$5000,"Actual",Entries!$A$2:$A$5000,"&gt;="&amp;$A144,Entries!$A$2:$A$5000,"&lt;"&amp;EDATE($A144,1),Entries!$B$2:$B$5000,X$1))</f>
        <v/>
      </c>
      <c r="Y144" s="23">
        <f>IF(OR(Y$1="",$BM144=0),"",SUMIFS(Entries!$E$2:$E$5000,Entries!$C$2:$C$5000,"Actual",Entries!$A$2:$A$5000,"&gt;="&amp;$A144,Entries!$A$2:$A$5000,"&lt;"&amp;EDATE($A144,1),Entries!$B$2:$B$5000,Y$1))</f>
        <v/>
      </c>
      <c r="Z144" s="23">
        <f>IF(OR(Z$1="",$BM144=0),"",SUMIFS(Entries!$E$2:$E$5000,Entries!$C$2:$C$5000,"Actual",Entries!$A$2:$A$5000,"&gt;="&amp;$A144,Entries!$A$2:$A$5000,"&lt;"&amp;EDATE($A144,1),Entries!$B$2:$B$5000,Z$1))</f>
        <v/>
      </c>
      <c r="AA144" s="23">
        <f>IF(OR(AA$1="",$BM144=0),"",SUMIFS(Entries!$E$2:$E$5000,Entries!$C$2:$C$5000,"Actual",Entries!$A$2:$A$5000,"&gt;="&amp;$A144,Entries!$A$2:$A$5000,"&lt;"&amp;EDATE($A144,1),Entries!$B$2:$B$5000,AA$1))</f>
        <v/>
      </c>
      <c r="AB144" s="23">
        <f>IF(OR(AB$1="",$BM144=0),"",SUMIFS(Entries!$E$2:$E$5000,Entries!$C$2:$C$5000,"Actual",Entries!$A$2:$A$5000,"&gt;="&amp;$A144,Entries!$A$2:$A$5000,"&lt;"&amp;EDATE($A144,1),Entries!$B$2:$B$5000,AB$1))</f>
        <v/>
      </c>
      <c r="AC144" s="23">
        <f>IF(OR(AC$1="",$BM144=0),"",SUMIFS(Entries!$E$2:$E$5000,Entries!$C$2:$C$5000,"Actual",Entries!$A$2:$A$5000,"&gt;="&amp;$A144,Entries!$A$2:$A$5000,"&lt;"&amp;EDATE($A144,1),Entries!$B$2:$B$5000,AC$1))</f>
        <v/>
      </c>
      <c r="AD144" s="23">
        <f>IF(OR(AD$1="",$BM144=0),"",SUMIFS(Entries!$E$2:$E$5000,Entries!$C$2:$C$5000,"Actual",Entries!$A$2:$A$5000,"&gt;="&amp;$A144,Entries!$A$2:$A$5000,"&lt;"&amp;EDATE($A144,1),Entries!$B$2:$B$5000,AD$1))</f>
        <v/>
      </c>
      <c r="AE144" s="23">
        <f>IF(OR(AE$1="",$BM144=0),"",SUMIFS(Entries!$E$2:$E$5000,Entries!$C$2:$C$5000,"Actual",Entries!$A$2:$A$5000,"&gt;="&amp;$A144,Entries!$A$2:$A$5000,"&lt;"&amp;EDATE($A144,1),Entries!$B$2:$B$5000,AE$1))</f>
        <v/>
      </c>
      <c r="AF144" s="23">
        <f>IF(OR(AF$1="",$BM144=0),"",SUMIFS(Entries!$E$2:$E$5000,Entries!$C$2:$C$5000,"Actual",Entries!$A$2:$A$5000,"&gt;="&amp;$A144,Entries!$A$2:$A$5000,"&lt;"&amp;EDATE($A144,1),Entries!$B$2:$B$5000,AF$1))</f>
        <v/>
      </c>
      <c r="AG144" s="23">
        <f>IF(OR(AG$1="",$BM144=0),"",SUMIFS(Entries!$E$2:$E$5000,Entries!$C$2:$C$5000,"Actual",Entries!$A$2:$A$5000,"&gt;="&amp;$A144,Entries!$A$2:$A$5000,"&lt;"&amp;EDATE($A144,1),Entries!$B$2:$B$5000,AG$1))</f>
        <v/>
      </c>
      <c r="AH144" s="23">
        <f>IF(OR(AH$1="",$BM144=0),"",SUMIFS(Entries!$E$2:$E$5000,Entries!$C$2:$C$5000,"Actual",Entries!$A$2:$A$5000,"&gt;="&amp;$A144,Entries!$A$2:$A$5000,"&lt;"&amp;EDATE($A144,1),Entries!$B$2:$B$5000,AH$1))</f>
        <v/>
      </c>
      <c r="AI144" s="23">
        <f>IF(OR(AI$1="",$BM144=0),"",SUMIFS(Entries!$E$2:$E$5000,Entries!$C$2:$C$5000,"Actual",Entries!$A$2:$A$5000,"&gt;="&amp;$A144,Entries!$A$2:$A$5000,"&lt;"&amp;EDATE($A144,1),Entries!$B$2:$B$5000,AI$1))</f>
        <v/>
      </c>
      <c r="AJ144" s="23">
        <f>IF(OR(AJ$1="",$BM144=0),"",SUMIFS(Entries!$E$2:$E$5000,Entries!$C$2:$C$5000,"Actual",Entries!$A$2:$A$5000,"&gt;="&amp;$A144,Entries!$A$2:$A$5000,"&lt;"&amp;EDATE($A144,1),Entries!$B$2:$B$5000,AJ$1))</f>
        <v/>
      </c>
      <c r="AK144" s="23">
        <f>IF(OR(AK$1="",$BM144=0),"",SUMIFS(Entries!$E$2:$E$5000,Entries!$C$2:$C$5000,"Actual",Entries!$A$2:$A$5000,"&gt;="&amp;$A144,Entries!$A$2:$A$5000,"&lt;"&amp;EDATE($A144,1),Entries!$B$2:$B$5000,AK$1))</f>
        <v/>
      </c>
      <c r="AL144" s="23">
        <f>IF(OR(AL$1="",$BM144=0),"",SUMIFS(Entries!$E$2:$E$5000,Entries!$C$2:$C$5000,"Actual",Entries!$A$2:$A$5000,"&gt;="&amp;$A144,Entries!$A$2:$A$5000,"&lt;"&amp;EDATE($A144,1),Entries!$B$2:$B$5000,AL$1))</f>
        <v/>
      </c>
      <c r="AM144" s="23">
        <f>IF(OR(AM$1="",$BM144=0),"",SUMIFS(Entries!$E$2:$E$5000,Entries!$C$2:$C$5000,"Actual",Entries!$A$2:$A$5000,"&gt;="&amp;$A144,Entries!$A$2:$A$5000,"&lt;"&amp;EDATE($A144,1),Entries!$B$2:$B$5000,AM$1))</f>
        <v/>
      </c>
      <c r="AN144" s="23">
        <f>IF(OR(AN$1="",$BM144=0),"",SUMIFS(Entries!$E$2:$E$5000,Entries!$C$2:$C$5000,"Actual",Entries!$A$2:$A$5000,"&gt;="&amp;$A144,Entries!$A$2:$A$5000,"&lt;"&amp;EDATE($A144,1),Entries!$B$2:$B$5000,AN$1))</f>
        <v/>
      </c>
      <c r="AO144" s="23">
        <f>IF(OR(AO$1="",$BM144=0),"",SUMIFS(Entries!$E$2:$E$5000,Entries!$C$2:$C$5000,"Actual",Entries!$A$2:$A$5000,"&gt;="&amp;$A144,Entries!$A$2:$A$5000,"&lt;"&amp;EDATE($A144,1),Entries!$B$2:$B$5000,AO$1))</f>
        <v/>
      </c>
      <c r="AP144" s="23">
        <f>IF(OR(AP$1="",$BM144=0),"",SUMIFS(Entries!$E$2:$E$5000,Entries!$C$2:$C$5000,"Actual",Entries!$A$2:$A$5000,"&gt;="&amp;$A144,Entries!$A$2:$A$5000,"&lt;"&amp;EDATE($A144,1),Entries!$B$2:$B$5000,AP$1))</f>
        <v/>
      </c>
      <c r="AR144" s="23">
        <f>IF(OR(AR$1="",$BM144=0),"",IFERROR(LOOKUP(2,1/((Budgets!$A$2:$A$200=AR$1)*(Budgets!$B$2:$B$200&lt;EDATE($A144,1))),Budgets!$C$2:$C$200),0))</f>
        <v/>
      </c>
      <c r="AS144" s="23">
        <f>IF(OR(AS$1="",$BM144=0),"",IFERROR(LOOKUP(2,1/((Budgets!$A$2:$A$200=AS$1)*(Budgets!$B$2:$B$200&lt;EDATE($A144,1))),Budgets!$C$2:$C$200),0))</f>
        <v/>
      </c>
      <c r="AT144" s="23">
        <f>IF(OR(AT$1="",$BM144=0),"",IFERROR(LOOKUP(2,1/((Budgets!$A$2:$A$200=AT$1)*(Budgets!$B$2:$B$200&lt;EDATE($A144,1))),Budgets!$C$2:$C$200),0))</f>
        <v/>
      </c>
      <c r="AU144" s="23">
        <f>IF(OR(AU$1="",$BM144=0),"",IFERROR(LOOKUP(2,1/((Budgets!$A$2:$A$200=AU$1)*(Budgets!$B$2:$B$200&lt;EDATE($A144,1))),Budgets!$C$2:$C$200),0))</f>
        <v/>
      </c>
      <c r="AV144" s="23">
        <f>IF(OR(AV$1="",$BM144=0),"",IFERROR(LOOKUP(2,1/((Budgets!$A$2:$A$200=AV$1)*(Budgets!$B$2:$B$200&lt;EDATE($A144,1))),Budgets!$C$2:$C$200),0))</f>
        <v/>
      </c>
      <c r="AW144" s="23">
        <f>IF(OR(AW$1="",$BM144=0),"",IFERROR(LOOKUP(2,1/((Budgets!$A$2:$A$200=AW$1)*(Budgets!$B$2:$B$200&lt;EDATE($A144,1))),Budgets!$C$2:$C$200),0))</f>
        <v/>
      </c>
      <c r="AX144" s="23">
        <f>IF(OR(AX$1="",$BM144=0),"",IFERROR(LOOKUP(2,1/((Budgets!$A$2:$A$200=AX$1)*(Budgets!$B$2:$B$200&lt;EDATE($A144,1))),Budgets!$C$2:$C$200),0))</f>
        <v/>
      </c>
      <c r="AY144" s="23">
        <f>IF(OR(AY$1="",$BM144=0),"",IFERROR(LOOKUP(2,1/((Budgets!$A$2:$A$200=AY$1)*(Budgets!$B$2:$B$200&lt;EDATE($A144,1))),Budgets!$C$2:$C$200),0))</f>
        <v/>
      </c>
      <c r="AZ144" s="23">
        <f>IF(OR(AZ$1="",$BM144=0),"",IFERROR(LOOKUP(2,1/((Budgets!$A$2:$A$200=AZ$1)*(Budgets!$B$2:$B$200&lt;EDATE($A144,1))),Budgets!$C$2:$C$200),0))</f>
        <v/>
      </c>
      <c r="BA144" s="23">
        <f>IF(OR(BA$1="",$BM144=0),"",IFERROR(LOOKUP(2,1/((Budgets!$A$2:$A$200=BA$1)*(Budgets!$B$2:$B$200&lt;EDATE($A144,1))),Budgets!$C$2:$C$200),0))</f>
        <v/>
      </c>
      <c r="BB144" s="23">
        <f>IF(OR(BB$1="",$BM144=0),"",IFERROR(LOOKUP(2,1/((Budgets!$A$2:$A$200=BB$1)*(Budgets!$B$2:$B$200&lt;EDATE($A144,1))),Budgets!$C$2:$C$200),0))</f>
        <v/>
      </c>
      <c r="BC144" s="23">
        <f>IF(OR(BC$1="",$BM144=0),"",IFERROR(LOOKUP(2,1/((Budgets!$A$2:$A$200=BC$1)*(Budgets!$B$2:$B$200&lt;EDATE($A144,1))),Budgets!$C$2:$C$200),0))</f>
        <v/>
      </c>
      <c r="BD144" s="23">
        <f>IF(OR(BD$1="",$BM144=0),"",IFERROR(LOOKUP(2,1/((Budgets!$A$2:$A$200=BD$1)*(Budgets!$B$2:$B$200&lt;EDATE($A144,1))),Budgets!$C$2:$C$200),0))</f>
        <v/>
      </c>
      <c r="BE144" s="23">
        <f>IF(OR(BE$1="",$BM144=0),"",IFERROR(LOOKUP(2,1/((Budgets!$A$2:$A$200=BE$1)*(Budgets!$B$2:$B$200&lt;EDATE($A144,1))),Budgets!$C$2:$C$200),0))</f>
        <v/>
      </c>
      <c r="BF144" s="23">
        <f>IF(OR(BF$1="",$BM144=0),"",IFERROR(LOOKUP(2,1/((Budgets!$A$2:$A$200=BF$1)*(Budgets!$B$2:$B$200&lt;EDATE($A144,1))),Budgets!$C$2:$C$200),0))</f>
        <v/>
      </c>
      <c r="BG144" s="23">
        <f>IF(OR(BG$1="",$BM144=0),"",IFERROR(LOOKUP(2,1/((Budgets!$A$2:$A$200=BG$1)*(Budgets!$B$2:$B$200&lt;EDATE($A144,1))),Budgets!$C$2:$C$200),0))</f>
        <v/>
      </c>
      <c r="BH144" s="23">
        <f>IF(OR(BH$1="",$BM144=0),"",IFERROR(LOOKUP(2,1/((Budgets!$A$2:$A$200=BH$1)*(Budgets!$B$2:$B$200&lt;EDATE($A144,1))),Budgets!$C$2:$C$200),0))</f>
        <v/>
      </c>
      <c r="BI144" s="23">
        <f>IF(OR(BI$1="",$BM144=0),"",IFERROR(LOOKUP(2,1/((Budgets!$A$2:$A$200=BI$1)*(Budgets!$B$2:$B$200&lt;EDATE($A144,1))),Budgets!$C$2:$C$200),0))</f>
        <v/>
      </c>
      <c r="BJ144" s="23">
        <f>IF(OR(BJ$1="",$BM144=0),"",IFERROR(LOOKUP(2,1/((Budgets!$A$2:$A$200=BJ$1)*(Budgets!$B$2:$B$200&lt;EDATE($A144,1))),Budgets!$C$2:$C$200),0))</f>
        <v/>
      </c>
      <c r="BK144" s="23">
        <f>IF(OR(BK$1="",$BM144=0),"",IFERROR(LOOKUP(2,1/((Budgets!$A$2:$A$200=BK$1)*(Budgets!$B$2:$B$200&lt;EDATE($A144,1))),Budgets!$C$2:$C$200),0))</f>
        <v/>
      </c>
      <c r="BM144" s="21">
        <f>COUNTIFS(Entries!$A$2:$A$5000,"&gt;="&amp;$A144,Entries!$A$2:$A$5000,"&lt;"&amp;EDATE($A144,1))</f>
        <v/>
      </c>
    </row>
    <row r="145">
      <c r="A145" s="22" t="n">
        <v>43800</v>
      </c>
      <c r="B145" s="23">
        <f>IF($BM145=0,NA(),SUMIFS(Entries!$E$2:$E$5000,Entries!$C$2:$C$5000,"Income",Entries!$A$2:$A$5000,"&gt;="&amp;$A145,Entries!$A$2:$A$5000,"&lt;"&amp;EDATE($A145,1)))</f>
        <v/>
      </c>
      <c r="C145" s="23">
        <f>IF($BM145=0,"",SUMIFS(Entries!$E$2:$E$5000,Entries!$C$2:$C$5000,"Actual",Entries!$A$2:$A$5000,"&gt;="&amp;$A145,Entries!$A$2:$A$5000,"&lt;"&amp;EDATE($A145,1)))</f>
        <v/>
      </c>
      <c r="D145" s="23">
        <f>IF($BM145=0,"",SUMIFS(Entries!$E$2:$E$5000,Entries!$C$2:$C$5000,"One-off",Entries!$A$2:$A$5000,"&gt;="&amp;$A145,Entries!$A$2:$A$5000,"&lt;"&amp;EDATE($A145,1)))</f>
        <v/>
      </c>
      <c r="E145" s="23">
        <f>IF($BM145=0,NA(),C145+D145)</f>
        <v/>
      </c>
      <c r="F145" s="23">
        <f>IF($BM145=0,"",SUM(AR145:BK145))</f>
        <v/>
      </c>
      <c r="G145" s="23">
        <f>IF($BM145=0,"",B145-E145)</f>
        <v/>
      </c>
      <c r="H145" s="23">
        <f>IF($BM145=0,"",SUM($G$2:G145))</f>
        <v/>
      </c>
      <c r="I145" s="23">
        <f>IF($BM145=0,"",SUMIFS(Entries!$G$2:$G$5000,Entries!$A$2:$A$5000,"&gt;="&amp;$A145,Entries!$A$2:$A$5000,"&lt;"&amp;EDATE($A145,1)))</f>
        <v/>
      </c>
      <c r="J145" s="23">
        <f>IF($BM145=0,NA(),H145)</f>
        <v/>
      </c>
      <c r="K145" s="23">
        <f>IF($BM145=0,"",SUMIFS(Entries!$E$2:$E$5000,Entries!$C$2:$C$5000,"Income",Entries!$A$2:$A$5000,"&gt;="&amp;EDATE($A145,-11),Entries!$A$2:$A$5000,"&lt;"&amp;EDATE($A145,1))/COUNTIFS($A$2:$A$400,"&gt;="&amp;EDATE($A145,-11),$A$2:$A$400,"&lt;"&amp;EDATE($A145,1),$BM$2:$BM$400,"&gt;0"))</f>
      </c>
      <c r="L145" s="23">
        <f>IF($BM145=0,"",(SUMIFS(Entries!$E$2:$E$5000,Entries!$C$2:$C$5000,"Actual",Entries!$A$2:$A$5000,"&gt;="&amp;EDATE($A145,-11),Entries!$A$2:$A$5000,"&lt;"&amp;EDATE($A145,1))+SUMIFS(Entries!$E$2:$E$5000,Entries!$C$2:$C$5000,"One-off",Entries!$A$2:$A$5000,"&gt;="&amp;EDATE($A145,-11),Entries!$A$2:$A$5000,"&lt;"&amp;EDATE($A145,1)))/COUNTIFS($A$2:$A$400,"&gt;="&amp;EDATE($A145,-11),$A$2:$A$400,"&lt;"&amp;EDATE($A145,1),$BM$2:$BM$400,"&gt;0"))</f>
      </c>
      <c r="M145" s="24">
        <f>IF($BM145=0,NA(),IFERROR((K145-L145)/K145,0))</f>
        <v/>
      </c>
      <c r="N145" s="23">
        <f>IF($BM145=0,NA(),SUMIFS(Entries!$E$2:$E$5000,Entries!$D$2:$D$5000,"Core",Entries!$A$2:$A$5000,"&gt;="&amp;$A145,Entries!$A$2:$A$5000,"&lt;"&amp;EDATE($A145,1)))</f>
        <v/>
      </c>
      <c r="O145" s="23">
        <f>IF($BM145=0,NA(),SUMIFS(Entries!$E$2:$E$5000,Entries!$D$2:$D$5000,"Over &amp; above",Entries!$A$2:$A$5000,"&gt;="&amp;$A145,Entries!$A$2:$A$5000,"&lt;"&amp;EDATE($A145,1)))</f>
        <v/>
      </c>
      <c r="P145" s="23">
        <f>IF($BM145=0,NA(),SUMIFS(Entries!$E$2:$E$5000,Entries!$D$2:$D$5000,"One-off",Entries!$A$2:$A$5000,"&gt;="&amp;$A145,Entries!$A$2:$A$5000,"&lt;"&amp;EDATE($A145,1)))</f>
        <v/>
      </c>
      <c r="Q145" s="23">
        <f>IF($BM145=0,NA(),SUMIFS(Entries!$E$2:$E$5000,Entries!$D$2:$D$5000,"Reimbursable",Entries!$A$2:$A$5000,"&gt;="&amp;$A145,Entries!$A$2:$A$5000,"&lt;"&amp;EDATE($A145,1)))</f>
        <v/>
      </c>
      <c r="R145" s="23">
        <f>IF($BM145=0,NA(),SUMIFS(Entries!$E$2:$E$5000,Entries!$D$2:$D$5000,"Investment",Entries!$A$2:$A$5000,"&gt;="&amp;$A145,Entries!$A$2:$A$5000,"&lt;"&amp;EDATE($A145,1)))</f>
        <v/>
      </c>
      <c r="S145" s="23">
        <f>IF($BM145=0,NA(),N145+O145)</f>
        <v/>
      </c>
      <c r="T145" s="23">
        <f>IF($BM145=0,"",E145-Q145)</f>
        <v/>
      </c>
      <c r="W145" s="23">
        <f>IF(OR(W$1="",$BM145=0),"",SUMIFS(Entries!$E$2:$E$5000,Entries!$C$2:$C$5000,"Actual",Entries!$A$2:$A$5000,"&gt;="&amp;$A145,Entries!$A$2:$A$5000,"&lt;"&amp;EDATE($A145,1),Entries!$B$2:$B$5000,W$1))</f>
        <v/>
      </c>
      <c r="X145" s="23">
        <f>IF(OR(X$1="",$BM145=0),"",SUMIFS(Entries!$E$2:$E$5000,Entries!$C$2:$C$5000,"Actual",Entries!$A$2:$A$5000,"&gt;="&amp;$A145,Entries!$A$2:$A$5000,"&lt;"&amp;EDATE($A145,1),Entries!$B$2:$B$5000,X$1))</f>
        <v/>
      </c>
      <c r="Y145" s="23">
        <f>IF(OR(Y$1="",$BM145=0),"",SUMIFS(Entries!$E$2:$E$5000,Entries!$C$2:$C$5000,"Actual",Entries!$A$2:$A$5000,"&gt;="&amp;$A145,Entries!$A$2:$A$5000,"&lt;"&amp;EDATE($A145,1),Entries!$B$2:$B$5000,Y$1))</f>
        <v/>
      </c>
      <c r="Z145" s="23">
        <f>IF(OR(Z$1="",$BM145=0),"",SUMIFS(Entries!$E$2:$E$5000,Entries!$C$2:$C$5000,"Actual",Entries!$A$2:$A$5000,"&gt;="&amp;$A145,Entries!$A$2:$A$5000,"&lt;"&amp;EDATE($A145,1),Entries!$B$2:$B$5000,Z$1))</f>
        <v/>
      </c>
      <c r="AA145" s="23">
        <f>IF(OR(AA$1="",$BM145=0),"",SUMIFS(Entries!$E$2:$E$5000,Entries!$C$2:$C$5000,"Actual",Entries!$A$2:$A$5000,"&gt;="&amp;$A145,Entries!$A$2:$A$5000,"&lt;"&amp;EDATE($A145,1),Entries!$B$2:$B$5000,AA$1))</f>
        <v/>
      </c>
      <c r="AB145" s="23">
        <f>IF(OR(AB$1="",$BM145=0),"",SUMIFS(Entries!$E$2:$E$5000,Entries!$C$2:$C$5000,"Actual",Entries!$A$2:$A$5000,"&gt;="&amp;$A145,Entries!$A$2:$A$5000,"&lt;"&amp;EDATE($A145,1),Entries!$B$2:$B$5000,AB$1))</f>
        <v/>
      </c>
      <c r="AC145" s="23">
        <f>IF(OR(AC$1="",$BM145=0),"",SUMIFS(Entries!$E$2:$E$5000,Entries!$C$2:$C$5000,"Actual",Entries!$A$2:$A$5000,"&gt;="&amp;$A145,Entries!$A$2:$A$5000,"&lt;"&amp;EDATE($A145,1),Entries!$B$2:$B$5000,AC$1))</f>
        <v/>
      </c>
      <c r="AD145" s="23">
        <f>IF(OR(AD$1="",$BM145=0),"",SUMIFS(Entries!$E$2:$E$5000,Entries!$C$2:$C$5000,"Actual",Entries!$A$2:$A$5000,"&gt;="&amp;$A145,Entries!$A$2:$A$5000,"&lt;"&amp;EDATE($A145,1),Entries!$B$2:$B$5000,AD$1))</f>
        <v/>
      </c>
      <c r="AE145" s="23">
        <f>IF(OR(AE$1="",$BM145=0),"",SUMIFS(Entries!$E$2:$E$5000,Entries!$C$2:$C$5000,"Actual",Entries!$A$2:$A$5000,"&gt;="&amp;$A145,Entries!$A$2:$A$5000,"&lt;"&amp;EDATE($A145,1),Entries!$B$2:$B$5000,AE$1))</f>
        <v/>
      </c>
      <c r="AF145" s="23">
        <f>IF(OR(AF$1="",$BM145=0),"",SUMIFS(Entries!$E$2:$E$5000,Entries!$C$2:$C$5000,"Actual",Entries!$A$2:$A$5000,"&gt;="&amp;$A145,Entries!$A$2:$A$5000,"&lt;"&amp;EDATE($A145,1),Entries!$B$2:$B$5000,AF$1))</f>
        <v/>
      </c>
      <c r="AG145" s="23">
        <f>IF(OR(AG$1="",$BM145=0),"",SUMIFS(Entries!$E$2:$E$5000,Entries!$C$2:$C$5000,"Actual",Entries!$A$2:$A$5000,"&gt;="&amp;$A145,Entries!$A$2:$A$5000,"&lt;"&amp;EDATE($A145,1),Entries!$B$2:$B$5000,AG$1))</f>
        <v/>
      </c>
      <c r="AH145" s="23">
        <f>IF(OR(AH$1="",$BM145=0),"",SUMIFS(Entries!$E$2:$E$5000,Entries!$C$2:$C$5000,"Actual",Entries!$A$2:$A$5000,"&gt;="&amp;$A145,Entries!$A$2:$A$5000,"&lt;"&amp;EDATE($A145,1),Entries!$B$2:$B$5000,AH$1))</f>
        <v/>
      </c>
      <c r="AI145" s="23">
        <f>IF(OR(AI$1="",$BM145=0),"",SUMIFS(Entries!$E$2:$E$5000,Entries!$C$2:$C$5000,"Actual",Entries!$A$2:$A$5000,"&gt;="&amp;$A145,Entries!$A$2:$A$5000,"&lt;"&amp;EDATE($A145,1),Entries!$B$2:$B$5000,AI$1))</f>
        <v/>
      </c>
      <c r="AJ145" s="23">
        <f>IF(OR(AJ$1="",$BM145=0),"",SUMIFS(Entries!$E$2:$E$5000,Entries!$C$2:$C$5000,"Actual",Entries!$A$2:$A$5000,"&gt;="&amp;$A145,Entries!$A$2:$A$5000,"&lt;"&amp;EDATE($A145,1),Entries!$B$2:$B$5000,AJ$1))</f>
        <v/>
      </c>
      <c r="AK145" s="23">
        <f>IF(OR(AK$1="",$BM145=0),"",SUMIFS(Entries!$E$2:$E$5000,Entries!$C$2:$C$5000,"Actual",Entries!$A$2:$A$5000,"&gt;="&amp;$A145,Entries!$A$2:$A$5000,"&lt;"&amp;EDATE($A145,1),Entries!$B$2:$B$5000,AK$1))</f>
        <v/>
      </c>
      <c r="AL145" s="23">
        <f>IF(OR(AL$1="",$BM145=0),"",SUMIFS(Entries!$E$2:$E$5000,Entries!$C$2:$C$5000,"Actual",Entries!$A$2:$A$5000,"&gt;="&amp;$A145,Entries!$A$2:$A$5000,"&lt;"&amp;EDATE($A145,1),Entries!$B$2:$B$5000,AL$1))</f>
        <v/>
      </c>
      <c r="AM145" s="23">
        <f>IF(OR(AM$1="",$BM145=0),"",SUMIFS(Entries!$E$2:$E$5000,Entries!$C$2:$C$5000,"Actual",Entries!$A$2:$A$5000,"&gt;="&amp;$A145,Entries!$A$2:$A$5000,"&lt;"&amp;EDATE($A145,1),Entries!$B$2:$B$5000,AM$1))</f>
        <v/>
      </c>
      <c r="AN145" s="23">
        <f>IF(OR(AN$1="",$BM145=0),"",SUMIFS(Entries!$E$2:$E$5000,Entries!$C$2:$C$5000,"Actual",Entries!$A$2:$A$5000,"&gt;="&amp;$A145,Entries!$A$2:$A$5000,"&lt;"&amp;EDATE($A145,1),Entries!$B$2:$B$5000,AN$1))</f>
        <v/>
      </c>
      <c r="AO145" s="23">
        <f>IF(OR(AO$1="",$BM145=0),"",SUMIFS(Entries!$E$2:$E$5000,Entries!$C$2:$C$5000,"Actual",Entries!$A$2:$A$5000,"&gt;="&amp;$A145,Entries!$A$2:$A$5000,"&lt;"&amp;EDATE($A145,1),Entries!$B$2:$B$5000,AO$1))</f>
        <v/>
      </c>
      <c r="AP145" s="23">
        <f>IF(OR(AP$1="",$BM145=0),"",SUMIFS(Entries!$E$2:$E$5000,Entries!$C$2:$C$5000,"Actual",Entries!$A$2:$A$5000,"&gt;="&amp;$A145,Entries!$A$2:$A$5000,"&lt;"&amp;EDATE($A145,1),Entries!$B$2:$B$5000,AP$1))</f>
        <v/>
      </c>
      <c r="AR145" s="23">
        <f>IF(OR(AR$1="",$BM145=0),"",IFERROR(LOOKUP(2,1/((Budgets!$A$2:$A$200=AR$1)*(Budgets!$B$2:$B$200&lt;EDATE($A145,1))),Budgets!$C$2:$C$200),0))</f>
        <v/>
      </c>
      <c r="AS145" s="23">
        <f>IF(OR(AS$1="",$BM145=0),"",IFERROR(LOOKUP(2,1/((Budgets!$A$2:$A$200=AS$1)*(Budgets!$B$2:$B$200&lt;EDATE($A145,1))),Budgets!$C$2:$C$200),0))</f>
        <v/>
      </c>
      <c r="AT145" s="23">
        <f>IF(OR(AT$1="",$BM145=0),"",IFERROR(LOOKUP(2,1/((Budgets!$A$2:$A$200=AT$1)*(Budgets!$B$2:$B$200&lt;EDATE($A145,1))),Budgets!$C$2:$C$200),0))</f>
        <v/>
      </c>
      <c r="AU145" s="23">
        <f>IF(OR(AU$1="",$BM145=0),"",IFERROR(LOOKUP(2,1/((Budgets!$A$2:$A$200=AU$1)*(Budgets!$B$2:$B$200&lt;EDATE($A145,1))),Budgets!$C$2:$C$200),0))</f>
        <v/>
      </c>
      <c r="AV145" s="23">
        <f>IF(OR(AV$1="",$BM145=0),"",IFERROR(LOOKUP(2,1/((Budgets!$A$2:$A$200=AV$1)*(Budgets!$B$2:$B$200&lt;EDATE($A145,1))),Budgets!$C$2:$C$200),0))</f>
        <v/>
      </c>
      <c r="AW145" s="23">
        <f>IF(OR(AW$1="",$BM145=0),"",IFERROR(LOOKUP(2,1/((Budgets!$A$2:$A$200=AW$1)*(Budgets!$B$2:$B$200&lt;EDATE($A145,1))),Budgets!$C$2:$C$200),0))</f>
        <v/>
      </c>
      <c r="AX145" s="23">
        <f>IF(OR(AX$1="",$BM145=0),"",IFERROR(LOOKUP(2,1/((Budgets!$A$2:$A$200=AX$1)*(Budgets!$B$2:$B$200&lt;EDATE($A145,1))),Budgets!$C$2:$C$200),0))</f>
        <v/>
      </c>
      <c r="AY145" s="23">
        <f>IF(OR(AY$1="",$BM145=0),"",IFERROR(LOOKUP(2,1/((Budgets!$A$2:$A$200=AY$1)*(Budgets!$B$2:$B$200&lt;EDATE($A145,1))),Budgets!$C$2:$C$200),0))</f>
        <v/>
      </c>
      <c r="AZ145" s="23">
        <f>IF(OR(AZ$1="",$BM145=0),"",IFERROR(LOOKUP(2,1/((Budgets!$A$2:$A$200=AZ$1)*(Budgets!$B$2:$B$200&lt;EDATE($A145,1))),Budgets!$C$2:$C$200),0))</f>
        <v/>
      </c>
      <c r="BA145" s="23">
        <f>IF(OR(BA$1="",$BM145=0),"",IFERROR(LOOKUP(2,1/((Budgets!$A$2:$A$200=BA$1)*(Budgets!$B$2:$B$200&lt;EDATE($A145,1))),Budgets!$C$2:$C$200),0))</f>
        <v/>
      </c>
      <c r="BB145" s="23">
        <f>IF(OR(BB$1="",$BM145=0),"",IFERROR(LOOKUP(2,1/((Budgets!$A$2:$A$200=BB$1)*(Budgets!$B$2:$B$200&lt;EDATE($A145,1))),Budgets!$C$2:$C$200),0))</f>
        <v/>
      </c>
      <c r="BC145" s="23">
        <f>IF(OR(BC$1="",$BM145=0),"",IFERROR(LOOKUP(2,1/((Budgets!$A$2:$A$200=BC$1)*(Budgets!$B$2:$B$200&lt;EDATE($A145,1))),Budgets!$C$2:$C$200),0))</f>
        <v/>
      </c>
      <c r="BD145" s="23">
        <f>IF(OR(BD$1="",$BM145=0),"",IFERROR(LOOKUP(2,1/((Budgets!$A$2:$A$200=BD$1)*(Budgets!$B$2:$B$200&lt;EDATE($A145,1))),Budgets!$C$2:$C$200),0))</f>
        <v/>
      </c>
      <c r="BE145" s="23">
        <f>IF(OR(BE$1="",$BM145=0),"",IFERROR(LOOKUP(2,1/((Budgets!$A$2:$A$200=BE$1)*(Budgets!$B$2:$B$200&lt;EDATE($A145,1))),Budgets!$C$2:$C$200),0))</f>
        <v/>
      </c>
      <c r="BF145" s="23">
        <f>IF(OR(BF$1="",$BM145=0),"",IFERROR(LOOKUP(2,1/((Budgets!$A$2:$A$200=BF$1)*(Budgets!$B$2:$B$200&lt;EDATE($A145,1))),Budgets!$C$2:$C$200),0))</f>
        <v/>
      </c>
      <c r="BG145" s="23">
        <f>IF(OR(BG$1="",$BM145=0),"",IFERROR(LOOKUP(2,1/((Budgets!$A$2:$A$200=BG$1)*(Budgets!$B$2:$B$200&lt;EDATE($A145,1))),Budgets!$C$2:$C$200),0))</f>
        <v/>
      </c>
      <c r="BH145" s="23">
        <f>IF(OR(BH$1="",$BM145=0),"",IFERROR(LOOKUP(2,1/((Budgets!$A$2:$A$200=BH$1)*(Budgets!$B$2:$B$200&lt;EDATE($A145,1))),Budgets!$C$2:$C$200),0))</f>
        <v/>
      </c>
      <c r="BI145" s="23">
        <f>IF(OR(BI$1="",$BM145=0),"",IFERROR(LOOKUP(2,1/((Budgets!$A$2:$A$200=BI$1)*(Budgets!$B$2:$B$200&lt;EDATE($A145,1))),Budgets!$C$2:$C$200),0))</f>
        <v/>
      </c>
      <c r="BJ145" s="23">
        <f>IF(OR(BJ$1="",$BM145=0),"",IFERROR(LOOKUP(2,1/((Budgets!$A$2:$A$200=BJ$1)*(Budgets!$B$2:$B$200&lt;EDATE($A145,1))),Budgets!$C$2:$C$200),0))</f>
        <v/>
      </c>
      <c r="BK145" s="23">
        <f>IF(OR(BK$1="",$BM145=0),"",IFERROR(LOOKUP(2,1/((Budgets!$A$2:$A$200=BK$1)*(Budgets!$B$2:$B$200&lt;EDATE($A145,1))),Budgets!$C$2:$C$200),0))</f>
        <v/>
      </c>
      <c r="BM145" s="21">
        <f>COUNTIFS(Entries!$A$2:$A$5000,"&gt;="&amp;$A145,Entries!$A$2:$A$5000,"&lt;"&amp;EDATE($A145,1))</f>
        <v/>
      </c>
    </row>
    <row r="146">
      <c r="A146" s="22" t="n">
        <v>43831</v>
      </c>
      <c r="B146" s="23">
        <f>IF($BM146=0,NA(),SUMIFS(Entries!$E$2:$E$5000,Entries!$C$2:$C$5000,"Income",Entries!$A$2:$A$5000,"&gt;="&amp;$A146,Entries!$A$2:$A$5000,"&lt;"&amp;EDATE($A146,1)))</f>
        <v/>
      </c>
      <c r="C146" s="23">
        <f>IF($BM146=0,"",SUMIFS(Entries!$E$2:$E$5000,Entries!$C$2:$C$5000,"Actual",Entries!$A$2:$A$5000,"&gt;="&amp;$A146,Entries!$A$2:$A$5000,"&lt;"&amp;EDATE($A146,1)))</f>
        <v/>
      </c>
      <c r="D146" s="23">
        <f>IF($BM146=0,"",SUMIFS(Entries!$E$2:$E$5000,Entries!$C$2:$C$5000,"One-off",Entries!$A$2:$A$5000,"&gt;="&amp;$A146,Entries!$A$2:$A$5000,"&lt;"&amp;EDATE($A146,1)))</f>
        <v/>
      </c>
      <c r="E146" s="23">
        <f>IF($BM146=0,NA(),C146+D146)</f>
        <v/>
      </c>
      <c r="F146" s="23">
        <f>IF($BM146=0,"",SUM(AR146:BK146))</f>
        <v/>
      </c>
      <c r="G146" s="23">
        <f>IF($BM146=0,"",B146-E146)</f>
        <v/>
      </c>
      <c r="H146" s="23">
        <f>IF($BM146=0,"",SUM($G$2:G146))</f>
        <v/>
      </c>
      <c r="I146" s="23">
        <f>IF($BM146=0,"",SUMIFS(Entries!$G$2:$G$5000,Entries!$A$2:$A$5000,"&gt;="&amp;$A146,Entries!$A$2:$A$5000,"&lt;"&amp;EDATE($A146,1)))</f>
        <v/>
      </c>
      <c r="J146" s="23">
        <f>IF($BM146=0,NA(),H146)</f>
        <v/>
      </c>
      <c r="K146" s="23">
        <f>IF($BM146=0,"",SUMIFS(Entries!$E$2:$E$5000,Entries!$C$2:$C$5000,"Income",Entries!$A$2:$A$5000,"&gt;="&amp;EDATE($A146,-11),Entries!$A$2:$A$5000,"&lt;"&amp;EDATE($A146,1))/COUNTIFS($A$2:$A$400,"&gt;="&amp;EDATE($A146,-11),$A$2:$A$400,"&lt;"&amp;EDATE($A146,1),$BM$2:$BM$400,"&gt;0"))</f>
      </c>
      <c r="L146" s="23">
        <f>IF($BM146=0,"",(SUMIFS(Entries!$E$2:$E$5000,Entries!$C$2:$C$5000,"Actual",Entries!$A$2:$A$5000,"&gt;="&amp;EDATE($A146,-11),Entries!$A$2:$A$5000,"&lt;"&amp;EDATE($A146,1))+SUMIFS(Entries!$E$2:$E$5000,Entries!$C$2:$C$5000,"One-off",Entries!$A$2:$A$5000,"&gt;="&amp;EDATE($A146,-11),Entries!$A$2:$A$5000,"&lt;"&amp;EDATE($A146,1)))/COUNTIFS($A$2:$A$400,"&gt;="&amp;EDATE($A146,-11),$A$2:$A$400,"&lt;"&amp;EDATE($A146,1),$BM$2:$BM$400,"&gt;0"))</f>
      </c>
      <c r="M146" s="24">
        <f>IF($BM146=0,NA(),IFERROR((K146-L146)/K146,0))</f>
        <v/>
      </c>
      <c r="N146" s="23">
        <f>IF($BM146=0,NA(),SUMIFS(Entries!$E$2:$E$5000,Entries!$D$2:$D$5000,"Core",Entries!$A$2:$A$5000,"&gt;="&amp;$A146,Entries!$A$2:$A$5000,"&lt;"&amp;EDATE($A146,1)))</f>
        <v/>
      </c>
      <c r="O146" s="23">
        <f>IF($BM146=0,NA(),SUMIFS(Entries!$E$2:$E$5000,Entries!$D$2:$D$5000,"Over &amp; above",Entries!$A$2:$A$5000,"&gt;="&amp;$A146,Entries!$A$2:$A$5000,"&lt;"&amp;EDATE($A146,1)))</f>
        <v/>
      </c>
      <c r="P146" s="23">
        <f>IF($BM146=0,NA(),SUMIFS(Entries!$E$2:$E$5000,Entries!$D$2:$D$5000,"One-off",Entries!$A$2:$A$5000,"&gt;="&amp;$A146,Entries!$A$2:$A$5000,"&lt;"&amp;EDATE($A146,1)))</f>
        <v/>
      </c>
      <c r="Q146" s="23">
        <f>IF($BM146=0,NA(),SUMIFS(Entries!$E$2:$E$5000,Entries!$D$2:$D$5000,"Reimbursable",Entries!$A$2:$A$5000,"&gt;="&amp;$A146,Entries!$A$2:$A$5000,"&lt;"&amp;EDATE($A146,1)))</f>
        <v/>
      </c>
      <c r="R146" s="23">
        <f>IF($BM146=0,NA(),SUMIFS(Entries!$E$2:$E$5000,Entries!$D$2:$D$5000,"Investment",Entries!$A$2:$A$5000,"&gt;="&amp;$A146,Entries!$A$2:$A$5000,"&lt;"&amp;EDATE($A146,1)))</f>
        <v/>
      </c>
      <c r="S146" s="23">
        <f>IF($BM146=0,NA(),N146+O146)</f>
        <v/>
      </c>
      <c r="T146" s="23">
        <f>IF($BM146=0,"",E146-Q146)</f>
        <v/>
      </c>
      <c r="W146" s="23">
        <f>IF(OR(W$1="",$BM146=0),"",SUMIFS(Entries!$E$2:$E$5000,Entries!$C$2:$C$5000,"Actual",Entries!$A$2:$A$5000,"&gt;="&amp;$A146,Entries!$A$2:$A$5000,"&lt;"&amp;EDATE($A146,1),Entries!$B$2:$B$5000,W$1))</f>
        <v/>
      </c>
      <c r="X146" s="23">
        <f>IF(OR(X$1="",$BM146=0),"",SUMIFS(Entries!$E$2:$E$5000,Entries!$C$2:$C$5000,"Actual",Entries!$A$2:$A$5000,"&gt;="&amp;$A146,Entries!$A$2:$A$5000,"&lt;"&amp;EDATE($A146,1),Entries!$B$2:$B$5000,X$1))</f>
        <v/>
      </c>
      <c r="Y146" s="23">
        <f>IF(OR(Y$1="",$BM146=0),"",SUMIFS(Entries!$E$2:$E$5000,Entries!$C$2:$C$5000,"Actual",Entries!$A$2:$A$5000,"&gt;="&amp;$A146,Entries!$A$2:$A$5000,"&lt;"&amp;EDATE($A146,1),Entries!$B$2:$B$5000,Y$1))</f>
        <v/>
      </c>
      <c r="Z146" s="23">
        <f>IF(OR(Z$1="",$BM146=0),"",SUMIFS(Entries!$E$2:$E$5000,Entries!$C$2:$C$5000,"Actual",Entries!$A$2:$A$5000,"&gt;="&amp;$A146,Entries!$A$2:$A$5000,"&lt;"&amp;EDATE($A146,1),Entries!$B$2:$B$5000,Z$1))</f>
        <v/>
      </c>
      <c r="AA146" s="23">
        <f>IF(OR(AA$1="",$BM146=0),"",SUMIFS(Entries!$E$2:$E$5000,Entries!$C$2:$C$5000,"Actual",Entries!$A$2:$A$5000,"&gt;="&amp;$A146,Entries!$A$2:$A$5000,"&lt;"&amp;EDATE($A146,1),Entries!$B$2:$B$5000,AA$1))</f>
        <v/>
      </c>
      <c r="AB146" s="23">
        <f>IF(OR(AB$1="",$BM146=0),"",SUMIFS(Entries!$E$2:$E$5000,Entries!$C$2:$C$5000,"Actual",Entries!$A$2:$A$5000,"&gt;="&amp;$A146,Entries!$A$2:$A$5000,"&lt;"&amp;EDATE($A146,1),Entries!$B$2:$B$5000,AB$1))</f>
        <v/>
      </c>
      <c r="AC146" s="23">
        <f>IF(OR(AC$1="",$BM146=0),"",SUMIFS(Entries!$E$2:$E$5000,Entries!$C$2:$C$5000,"Actual",Entries!$A$2:$A$5000,"&gt;="&amp;$A146,Entries!$A$2:$A$5000,"&lt;"&amp;EDATE($A146,1),Entries!$B$2:$B$5000,AC$1))</f>
        <v/>
      </c>
      <c r="AD146" s="23">
        <f>IF(OR(AD$1="",$BM146=0),"",SUMIFS(Entries!$E$2:$E$5000,Entries!$C$2:$C$5000,"Actual",Entries!$A$2:$A$5000,"&gt;="&amp;$A146,Entries!$A$2:$A$5000,"&lt;"&amp;EDATE($A146,1),Entries!$B$2:$B$5000,AD$1))</f>
        <v/>
      </c>
      <c r="AE146" s="23">
        <f>IF(OR(AE$1="",$BM146=0),"",SUMIFS(Entries!$E$2:$E$5000,Entries!$C$2:$C$5000,"Actual",Entries!$A$2:$A$5000,"&gt;="&amp;$A146,Entries!$A$2:$A$5000,"&lt;"&amp;EDATE($A146,1),Entries!$B$2:$B$5000,AE$1))</f>
        <v/>
      </c>
      <c r="AF146" s="23">
        <f>IF(OR(AF$1="",$BM146=0),"",SUMIFS(Entries!$E$2:$E$5000,Entries!$C$2:$C$5000,"Actual",Entries!$A$2:$A$5000,"&gt;="&amp;$A146,Entries!$A$2:$A$5000,"&lt;"&amp;EDATE($A146,1),Entries!$B$2:$B$5000,AF$1))</f>
        <v/>
      </c>
      <c r="AG146" s="23">
        <f>IF(OR(AG$1="",$BM146=0),"",SUMIFS(Entries!$E$2:$E$5000,Entries!$C$2:$C$5000,"Actual",Entries!$A$2:$A$5000,"&gt;="&amp;$A146,Entries!$A$2:$A$5000,"&lt;"&amp;EDATE($A146,1),Entries!$B$2:$B$5000,AG$1))</f>
        <v/>
      </c>
      <c r="AH146" s="23">
        <f>IF(OR(AH$1="",$BM146=0),"",SUMIFS(Entries!$E$2:$E$5000,Entries!$C$2:$C$5000,"Actual",Entries!$A$2:$A$5000,"&gt;="&amp;$A146,Entries!$A$2:$A$5000,"&lt;"&amp;EDATE($A146,1),Entries!$B$2:$B$5000,AH$1))</f>
        <v/>
      </c>
      <c r="AI146" s="23">
        <f>IF(OR(AI$1="",$BM146=0),"",SUMIFS(Entries!$E$2:$E$5000,Entries!$C$2:$C$5000,"Actual",Entries!$A$2:$A$5000,"&gt;="&amp;$A146,Entries!$A$2:$A$5000,"&lt;"&amp;EDATE($A146,1),Entries!$B$2:$B$5000,AI$1))</f>
        <v/>
      </c>
      <c r="AJ146" s="23">
        <f>IF(OR(AJ$1="",$BM146=0),"",SUMIFS(Entries!$E$2:$E$5000,Entries!$C$2:$C$5000,"Actual",Entries!$A$2:$A$5000,"&gt;="&amp;$A146,Entries!$A$2:$A$5000,"&lt;"&amp;EDATE($A146,1),Entries!$B$2:$B$5000,AJ$1))</f>
        <v/>
      </c>
      <c r="AK146" s="23">
        <f>IF(OR(AK$1="",$BM146=0),"",SUMIFS(Entries!$E$2:$E$5000,Entries!$C$2:$C$5000,"Actual",Entries!$A$2:$A$5000,"&gt;="&amp;$A146,Entries!$A$2:$A$5000,"&lt;"&amp;EDATE($A146,1),Entries!$B$2:$B$5000,AK$1))</f>
        <v/>
      </c>
      <c r="AL146" s="23">
        <f>IF(OR(AL$1="",$BM146=0),"",SUMIFS(Entries!$E$2:$E$5000,Entries!$C$2:$C$5000,"Actual",Entries!$A$2:$A$5000,"&gt;="&amp;$A146,Entries!$A$2:$A$5000,"&lt;"&amp;EDATE($A146,1),Entries!$B$2:$B$5000,AL$1))</f>
        <v/>
      </c>
      <c r="AM146" s="23">
        <f>IF(OR(AM$1="",$BM146=0),"",SUMIFS(Entries!$E$2:$E$5000,Entries!$C$2:$C$5000,"Actual",Entries!$A$2:$A$5000,"&gt;="&amp;$A146,Entries!$A$2:$A$5000,"&lt;"&amp;EDATE($A146,1),Entries!$B$2:$B$5000,AM$1))</f>
        <v/>
      </c>
      <c r="AN146" s="23">
        <f>IF(OR(AN$1="",$BM146=0),"",SUMIFS(Entries!$E$2:$E$5000,Entries!$C$2:$C$5000,"Actual",Entries!$A$2:$A$5000,"&gt;="&amp;$A146,Entries!$A$2:$A$5000,"&lt;"&amp;EDATE($A146,1),Entries!$B$2:$B$5000,AN$1))</f>
        <v/>
      </c>
      <c r="AO146" s="23">
        <f>IF(OR(AO$1="",$BM146=0),"",SUMIFS(Entries!$E$2:$E$5000,Entries!$C$2:$C$5000,"Actual",Entries!$A$2:$A$5000,"&gt;="&amp;$A146,Entries!$A$2:$A$5000,"&lt;"&amp;EDATE($A146,1),Entries!$B$2:$B$5000,AO$1))</f>
        <v/>
      </c>
      <c r="AP146" s="23">
        <f>IF(OR(AP$1="",$BM146=0),"",SUMIFS(Entries!$E$2:$E$5000,Entries!$C$2:$C$5000,"Actual",Entries!$A$2:$A$5000,"&gt;="&amp;$A146,Entries!$A$2:$A$5000,"&lt;"&amp;EDATE($A146,1),Entries!$B$2:$B$5000,AP$1))</f>
        <v/>
      </c>
      <c r="AR146" s="23">
        <f>IF(OR(AR$1="",$BM146=0),"",IFERROR(LOOKUP(2,1/((Budgets!$A$2:$A$200=AR$1)*(Budgets!$B$2:$B$200&lt;EDATE($A146,1))),Budgets!$C$2:$C$200),0))</f>
        <v/>
      </c>
      <c r="AS146" s="23">
        <f>IF(OR(AS$1="",$BM146=0),"",IFERROR(LOOKUP(2,1/((Budgets!$A$2:$A$200=AS$1)*(Budgets!$B$2:$B$200&lt;EDATE($A146,1))),Budgets!$C$2:$C$200),0))</f>
        <v/>
      </c>
      <c r="AT146" s="23">
        <f>IF(OR(AT$1="",$BM146=0),"",IFERROR(LOOKUP(2,1/((Budgets!$A$2:$A$200=AT$1)*(Budgets!$B$2:$B$200&lt;EDATE($A146,1))),Budgets!$C$2:$C$200),0))</f>
        <v/>
      </c>
      <c r="AU146" s="23">
        <f>IF(OR(AU$1="",$BM146=0),"",IFERROR(LOOKUP(2,1/((Budgets!$A$2:$A$200=AU$1)*(Budgets!$B$2:$B$200&lt;EDATE($A146,1))),Budgets!$C$2:$C$200),0))</f>
        <v/>
      </c>
      <c r="AV146" s="23">
        <f>IF(OR(AV$1="",$BM146=0),"",IFERROR(LOOKUP(2,1/((Budgets!$A$2:$A$200=AV$1)*(Budgets!$B$2:$B$200&lt;EDATE($A146,1))),Budgets!$C$2:$C$200),0))</f>
        <v/>
      </c>
      <c r="AW146" s="23">
        <f>IF(OR(AW$1="",$BM146=0),"",IFERROR(LOOKUP(2,1/((Budgets!$A$2:$A$200=AW$1)*(Budgets!$B$2:$B$200&lt;EDATE($A146,1))),Budgets!$C$2:$C$200),0))</f>
        <v/>
      </c>
      <c r="AX146" s="23">
        <f>IF(OR(AX$1="",$BM146=0),"",IFERROR(LOOKUP(2,1/((Budgets!$A$2:$A$200=AX$1)*(Budgets!$B$2:$B$200&lt;EDATE($A146,1))),Budgets!$C$2:$C$200),0))</f>
        <v/>
      </c>
      <c r="AY146" s="23">
        <f>IF(OR(AY$1="",$BM146=0),"",IFERROR(LOOKUP(2,1/((Budgets!$A$2:$A$200=AY$1)*(Budgets!$B$2:$B$200&lt;EDATE($A146,1))),Budgets!$C$2:$C$200),0))</f>
        <v/>
      </c>
      <c r="AZ146" s="23">
        <f>IF(OR(AZ$1="",$BM146=0),"",IFERROR(LOOKUP(2,1/((Budgets!$A$2:$A$200=AZ$1)*(Budgets!$B$2:$B$200&lt;EDATE($A146,1))),Budgets!$C$2:$C$200),0))</f>
        <v/>
      </c>
      <c r="BA146" s="23">
        <f>IF(OR(BA$1="",$BM146=0),"",IFERROR(LOOKUP(2,1/((Budgets!$A$2:$A$200=BA$1)*(Budgets!$B$2:$B$200&lt;EDATE($A146,1))),Budgets!$C$2:$C$200),0))</f>
        <v/>
      </c>
      <c r="BB146" s="23">
        <f>IF(OR(BB$1="",$BM146=0),"",IFERROR(LOOKUP(2,1/((Budgets!$A$2:$A$200=BB$1)*(Budgets!$B$2:$B$200&lt;EDATE($A146,1))),Budgets!$C$2:$C$200),0))</f>
        <v/>
      </c>
      <c r="BC146" s="23">
        <f>IF(OR(BC$1="",$BM146=0),"",IFERROR(LOOKUP(2,1/((Budgets!$A$2:$A$200=BC$1)*(Budgets!$B$2:$B$200&lt;EDATE($A146,1))),Budgets!$C$2:$C$200),0))</f>
        <v/>
      </c>
      <c r="BD146" s="23">
        <f>IF(OR(BD$1="",$BM146=0),"",IFERROR(LOOKUP(2,1/((Budgets!$A$2:$A$200=BD$1)*(Budgets!$B$2:$B$200&lt;EDATE($A146,1))),Budgets!$C$2:$C$200),0))</f>
        <v/>
      </c>
      <c r="BE146" s="23">
        <f>IF(OR(BE$1="",$BM146=0),"",IFERROR(LOOKUP(2,1/((Budgets!$A$2:$A$200=BE$1)*(Budgets!$B$2:$B$200&lt;EDATE($A146,1))),Budgets!$C$2:$C$200),0))</f>
        <v/>
      </c>
      <c r="BF146" s="23">
        <f>IF(OR(BF$1="",$BM146=0),"",IFERROR(LOOKUP(2,1/((Budgets!$A$2:$A$200=BF$1)*(Budgets!$B$2:$B$200&lt;EDATE($A146,1))),Budgets!$C$2:$C$200),0))</f>
        <v/>
      </c>
      <c r="BG146" s="23">
        <f>IF(OR(BG$1="",$BM146=0),"",IFERROR(LOOKUP(2,1/((Budgets!$A$2:$A$200=BG$1)*(Budgets!$B$2:$B$200&lt;EDATE($A146,1))),Budgets!$C$2:$C$200),0))</f>
        <v/>
      </c>
      <c r="BH146" s="23">
        <f>IF(OR(BH$1="",$BM146=0),"",IFERROR(LOOKUP(2,1/((Budgets!$A$2:$A$200=BH$1)*(Budgets!$B$2:$B$200&lt;EDATE($A146,1))),Budgets!$C$2:$C$200),0))</f>
        <v/>
      </c>
      <c r="BI146" s="23">
        <f>IF(OR(BI$1="",$BM146=0),"",IFERROR(LOOKUP(2,1/((Budgets!$A$2:$A$200=BI$1)*(Budgets!$B$2:$B$200&lt;EDATE($A146,1))),Budgets!$C$2:$C$200),0))</f>
        <v/>
      </c>
      <c r="BJ146" s="23">
        <f>IF(OR(BJ$1="",$BM146=0),"",IFERROR(LOOKUP(2,1/((Budgets!$A$2:$A$200=BJ$1)*(Budgets!$B$2:$B$200&lt;EDATE($A146,1))),Budgets!$C$2:$C$200),0))</f>
        <v/>
      </c>
      <c r="BK146" s="23">
        <f>IF(OR(BK$1="",$BM146=0),"",IFERROR(LOOKUP(2,1/((Budgets!$A$2:$A$200=BK$1)*(Budgets!$B$2:$B$200&lt;EDATE($A146,1))),Budgets!$C$2:$C$200),0))</f>
        <v/>
      </c>
      <c r="BM146" s="21">
        <f>COUNTIFS(Entries!$A$2:$A$5000,"&gt;="&amp;$A146,Entries!$A$2:$A$5000,"&lt;"&amp;EDATE($A146,1))</f>
        <v/>
      </c>
    </row>
    <row r="147">
      <c r="A147" s="22" t="n">
        <v>43862</v>
      </c>
      <c r="B147" s="23">
        <f>IF($BM147=0,NA(),SUMIFS(Entries!$E$2:$E$5000,Entries!$C$2:$C$5000,"Income",Entries!$A$2:$A$5000,"&gt;="&amp;$A147,Entries!$A$2:$A$5000,"&lt;"&amp;EDATE($A147,1)))</f>
        <v/>
      </c>
      <c r="C147" s="23">
        <f>IF($BM147=0,"",SUMIFS(Entries!$E$2:$E$5000,Entries!$C$2:$C$5000,"Actual",Entries!$A$2:$A$5000,"&gt;="&amp;$A147,Entries!$A$2:$A$5000,"&lt;"&amp;EDATE($A147,1)))</f>
        <v/>
      </c>
      <c r="D147" s="23">
        <f>IF($BM147=0,"",SUMIFS(Entries!$E$2:$E$5000,Entries!$C$2:$C$5000,"One-off",Entries!$A$2:$A$5000,"&gt;="&amp;$A147,Entries!$A$2:$A$5000,"&lt;"&amp;EDATE($A147,1)))</f>
        <v/>
      </c>
      <c r="E147" s="23">
        <f>IF($BM147=0,NA(),C147+D147)</f>
        <v/>
      </c>
      <c r="F147" s="23">
        <f>IF($BM147=0,"",SUM(AR147:BK147))</f>
        <v/>
      </c>
      <c r="G147" s="23">
        <f>IF($BM147=0,"",B147-E147)</f>
        <v/>
      </c>
      <c r="H147" s="23">
        <f>IF($BM147=0,"",SUM($G$2:G147))</f>
        <v/>
      </c>
      <c r="I147" s="23">
        <f>IF($BM147=0,"",SUMIFS(Entries!$G$2:$G$5000,Entries!$A$2:$A$5000,"&gt;="&amp;$A147,Entries!$A$2:$A$5000,"&lt;"&amp;EDATE($A147,1)))</f>
        <v/>
      </c>
      <c r="J147" s="23">
        <f>IF($BM147=0,NA(),H147)</f>
        <v/>
      </c>
      <c r="K147" s="23">
        <f>IF($BM147=0,"",SUMIFS(Entries!$E$2:$E$5000,Entries!$C$2:$C$5000,"Income",Entries!$A$2:$A$5000,"&gt;="&amp;EDATE($A147,-11),Entries!$A$2:$A$5000,"&lt;"&amp;EDATE($A147,1))/COUNTIFS($A$2:$A$400,"&gt;="&amp;EDATE($A147,-11),$A$2:$A$400,"&lt;"&amp;EDATE($A147,1),$BM$2:$BM$400,"&gt;0"))</f>
      </c>
      <c r="L147" s="23">
        <f>IF($BM147=0,"",(SUMIFS(Entries!$E$2:$E$5000,Entries!$C$2:$C$5000,"Actual",Entries!$A$2:$A$5000,"&gt;="&amp;EDATE($A147,-11),Entries!$A$2:$A$5000,"&lt;"&amp;EDATE($A147,1))+SUMIFS(Entries!$E$2:$E$5000,Entries!$C$2:$C$5000,"One-off",Entries!$A$2:$A$5000,"&gt;="&amp;EDATE($A147,-11),Entries!$A$2:$A$5000,"&lt;"&amp;EDATE($A147,1)))/COUNTIFS($A$2:$A$400,"&gt;="&amp;EDATE($A147,-11),$A$2:$A$400,"&lt;"&amp;EDATE($A147,1),$BM$2:$BM$400,"&gt;0"))</f>
      </c>
      <c r="M147" s="24">
        <f>IF($BM147=0,NA(),IFERROR((K147-L147)/K147,0))</f>
        <v/>
      </c>
      <c r="N147" s="23">
        <f>IF($BM147=0,NA(),SUMIFS(Entries!$E$2:$E$5000,Entries!$D$2:$D$5000,"Core",Entries!$A$2:$A$5000,"&gt;="&amp;$A147,Entries!$A$2:$A$5000,"&lt;"&amp;EDATE($A147,1)))</f>
        <v/>
      </c>
      <c r="O147" s="23">
        <f>IF($BM147=0,NA(),SUMIFS(Entries!$E$2:$E$5000,Entries!$D$2:$D$5000,"Over &amp; above",Entries!$A$2:$A$5000,"&gt;="&amp;$A147,Entries!$A$2:$A$5000,"&lt;"&amp;EDATE($A147,1)))</f>
        <v/>
      </c>
      <c r="P147" s="23">
        <f>IF($BM147=0,NA(),SUMIFS(Entries!$E$2:$E$5000,Entries!$D$2:$D$5000,"One-off",Entries!$A$2:$A$5000,"&gt;="&amp;$A147,Entries!$A$2:$A$5000,"&lt;"&amp;EDATE($A147,1)))</f>
        <v/>
      </c>
      <c r="Q147" s="23">
        <f>IF($BM147=0,NA(),SUMIFS(Entries!$E$2:$E$5000,Entries!$D$2:$D$5000,"Reimbursable",Entries!$A$2:$A$5000,"&gt;="&amp;$A147,Entries!$A$2:$A$5000,"&lt;"&amp;EDATE($A147,1)))</f>
        <v/>
      </c>
      <c r="R147" s="23">
        <f>IF($BM147=0,NA(),SUMIFS(Entries!$E$2:$E$5000,Entries!$D$2:$D$5000,"Investment",Entries!$A$2:$A$5000,"&gt;="&amp;$A147,Entries!$A$2:$A$5000,"&lt;"&amp;EDATE($A147,1)))</f>
        <v/>
      </c>
      <c r="S147" s="23">
        <f>IF($BM147=0,NA(),N147+O147)</f>
        <v/>
      </c>
      <c r="T147" s="23">
        <f>IF($BM147=0,"",E147-Q147)</f>
        <v/>
      </c>
      <c r="W147" s="23">
        <f>IF(OR(W$1="",$BM147=0),"",SUMIFS(Entries!$E$2:$E$5000,Entries!$C$2:$C$5000,"Actual",Entries!$A$2:$A$5000,"&gt;="&amp;$A147,Entries!$A$2:$A$5000,"&lt;"&amp;EDATE($A147,1),Entries!$B$2:$B$5000,W$1))</f>
        <v/>
      </c>
      <c r="X147" s="23">
        <f>IF(OR(X$1="",$BM147=0),"",SUMIFS(Entries!$E$2:$E$5000,Entries!$C$2:$C$5000,"Actual",Entries!$A$2:$A$5000,"&gt;="&amp;$A147,Entries!$A$2:$A$5000,"&lt;"&amp;EDATE($A147,1),Entries!$B$2:$B$5000,X$1))</f>
        <v/>
      </c>
      <c r="Y147" s="23">
        <f>IF(OR(Y$1="",$BM147=0),"",SUMIFS(Entries!$E$2:$E$5000,Entries!$C$2:$C$5000,"Actual",Entries!$A$2:$A$5000,"&gt;="&amp;$A147,Entries!$A$2:$A$5000,"&lt;"&amp;EDATE($A147,1),Entries!$B$2:$B$5000,Y$1))</f>
        <v/>
      </c>
      <c r="Z147" s="23">
        <f>IF(OR(Z$1="",$BM147=0),"",SUMIFS(Entries!$E$2:$E$5000,Entries!$C$2:$C$5000,"Actual",Entries!$A$2:$A$5000,"&gt;="&amp;$A147,Entries!$A$2:$A$5000,"&lt;"&amp;EDATE($A147,1),Entries!$B$2:$B$5000,Z$1))</f>
        <v/>
      </c>
      <c r="AA147" s="23">
        <f>IF(OR(AA$1="",$BM147=0),"",SUMIFS(Entries!$E$2:$E$5000,Entries!$C$2:$C$5000,"Actual",Entries!$A$2:$A$5000,"&gt;="&amp;$A147,Entries!$A$2:$A$5000,"&lt;"&amp;EDATE($A147,1),Entries!$B$2:$B$5000,AA$1))</f>
        <v/>
      </c>
      <c r="AB147" s="23">
        <f>IF(OR(AB$1="",$BM147=0),"",SUMIFS(Entries!$E$2:$E$5000,Entries!$C$2:$C$5000,"Actual",Entries!$A$2:$A$5000,"&gt;="&amp;$A147,Entries!$A$2:$A$5000,"&lt;"&amp;EDATE($A147,1),Entries!$B$2:$B$5000,AB$1))</f>
        <v/>
      </c>
      <c r="AC147" s="23">
        <f>IF(OR(AC$1="",$BM147=0),"",SUMIFS(Entries!$E$2:$E$5000,Entries!$C$2:$C$5000,"Actual",Entries!$A$2:$A$5000,"&gt;="&amp;$A147,Entries!$A$2:$A$5000,"&lt;"&amp;EDATE($A147,1),Entries!$B$2:$B$5000,AC$1))</f>
        <v/>
      </c>
      <c r="AD147" s="23">
        <f>IF(OR(AD$1="",$BM147=0),"",SUMIFS(Entries!$E$2:$E$5000,Entries!$C$2:$C$5000,"Actual",Entries!$A$2:$A$5000,"&gt;="&amp;$A147,Entries!$A$2:$A$5000,"&lt;"&amp;EDATE($A147,1),Entries!$B$2:$B$5000,AD$1))</f>
        <v/>
      </c>
      <c r="AE147" s="23">
        <f>IF(OR(AE$1="",$BM147=0),"",SUMIFS(Entries!$E$2:$E$5000,Entries!$C$2:$C$5000,"Actual",Entries!$A$2:$A$5000,"&gt;="&amp;$A147,Entries!$A$2:$A$5000,"&lt;"&amp;EDATE($A147,1),Entries!$B$2:$B$5000,AE$1))</f>
        <v/>
      </c>
      <c r="AF147" s="23">
        <f>IF(OR(AF$1="",$BM147=0),"",SUMIFS(Entries!$E$2:$E$5000,Entries!$C$2:$C$5000,"Actual",Entries!$A$2:$A$5000,"&gt;="&amp;$A147,Entries!$A$2:$A$5000,"&lt;"&amp;EDATE($A147,1),Entries!$B$2:$B$5000,AF$1))</f>
        <v/>
      </c>
      <c r="AG147" s="23">
        <f>IF(OR(AG$1="",$BM147=0),"",SUMIFS(Entries!$E$2:$E$5000,Entries!$C$2:$C$5000,"Actual",Entries!$A$2:$A$5000,"&gt;="&amp;$A147,Entries!$A$2:$A$5000,"&lt;"&amp;EDATE($A147,1),Entries!$B$2:$B$5000,AG$1))</f>
        <v/>
      </c>
      <c r="AH147" s="23">
        <f>IF(OR(AH$1="",$BM147=0),"",SUMIFS(Entries!$E$2:$E$5000,Entries!$C$2:$C$5000,"Actual",Entries!$A$2:$A$5000,"&gt;="&amp;$A147,Entries!$A$2:$A$5000,"&lt;"&amp;EDATE($A147,1),Entries!$B$2:$B$5000,AH$1))</f>
        <v/>
      </c>
      <c r="AI147" s="23">
        <f>IF(OR(AI$1="",$BM147=0),"",SUMIFS(Entries!$E$2:$E$5000,Entries!$C$2:$C$5000,"Actual",Entries!$A$2:$A$5000,"&gt;="&amp;$A147,Entries!$A$2:$A$5000,"&lt;"&amp;EDATE($A147,1),Entries!$B$2:$B$5000,AI$1))</f>
        <v/>
      </c>
      <c r="AJ147" s="23">
        <f>IF(OR(AJ$1="",$BM147=0),"",SUMIFS(Entries!$E$2:$E$5000,Entries!$C$2:$C$5000,"Actual",Entries!$A$2:$A$5000,"&gt;="&amp;$A147,Entries!$A$2:$A$5000,"&lt;"&amp;EDATE($A147,1),Entries!$B$2:$B$5000,AJ$1))</f>
        <v/>
      </c>
      <c r="AK147" s="23">
        <f>IF(OR(AK$1="",$BM147=0),"",SUMIFS(Entries!$E$2:$E$5000,Entries!$C$2:$C$5000,"Actual",Entries!$A$2:$A$5000,"&gt;="&amp;$A147,Entries!$A$2:$A$5000,"&lt;"&amp;EDATE($A147,1),Entries!$B$2:$B$5000,AK$1))</f>
        <v/>
      </c>
      <c r="AL147" s="23">
        <f>IF(OR(AL$1="",$BM147=0),"",SUMIFS(Entries!$E$2:$E$5000,Entries!$C$2:$C$5000,"Actual",Entries!$A$2:$A$5000,"&gt;="&amp;$A147,Entries!$A$2:$A$5000,"&lt;"&amp;EDATE($A147,1),Entries!$B$2:$B$5000,AL$1))</f>
        <v/>
      </c>
      <c r="AM147" s="23">
        <f>IF(OR(AM$1="",$BM147=0),"",SUMIFS(Entries!$E$2:$E$5000,Entries!$C$2:$C$5000,"Actual",Entries!$A$2:$A$5000,"&gt;="&amp;$A147,Entries!$A$2:$A$5000,"&lt;"&amp;EDATE($A147,1),Entries!$B$2:$B$5000,AM$1))</f>
        <v/>
      </c>
      <c r="AN147" s="23">
        <f>IF(OR(AN$1="",$BM147=0),"",SUMIFS(Entries!$E$2:$E$5000,Entries!$C$2:$C$5000,"Actual",Entries!$A$2:$A$5000,"&gt;="&amp;$A147,Entries!$A$2:$A$5000,"&lt;"&amp;EDATE($A147,1),Entries!$B$2:$B$5000,AN$1))</f>
        <v/>
      </c>
      <c r="AO147" s="23">
        <f>IF(OR(AO$1="",$BM147=0),"",SUMIFS(Entries!$E$2:$E$5000,Entries!$C$2:$C$5000,"Actual",Entries!$A$2:$A$5000,"&gt;="&amp;$A147,Entries!$A$2:$A$5000,"&lt;"&amp;EDATE($A147,1),Entries!$B$2:$B$5000,AO$1))</f>
        <v/>
      </c>
      <c r="AP147" s="23">
        <f>IF(OR(AP$1="",$BM147=0),"",SUMIFS(Entries!$E$2:$E$5000,Entries!$C$2:$C$5000,"Actual",Entries!$A$2:$A$5000,"&gt;="&amp;$A147,Entries!$A$2:$A$5000,"&lt;"&amp;EDATE($A147,1),Entries!$B$2:$B$5000,AP$1))</f>
        <v/>
      </c>
      <c r="AR147" s="23">
        <f>IF(OR(AR$1="",$BM147=0),"",IFERROR(LOOKUP(2,1/((Budgets!$A$2:$A$200=AR$1)*(Budgets!$B$2:$B$200&lt;EDATE($A147,1))),Budgets!$C$2:$C$200),0))</f>
        <v/>
      </c>
      <c r="AS147" s="23">
        <f>IF(OR(AS$1="",$BM147=0),"",IFERROR(LOOKUP(2,1/((Budgets!$A$2:$A$200=AS$1)*(Budgets!$B$2:$B$200&lt;EDATE($A147,1))),Budgets!$C$2:$C$200),0))</f>
        <v/>
      </c>
      <c r="AT147" s="23">
        <f>IF(OR(AT$1="",$BM147=0),"",IFERROR(LOOKUP(2,1/((Budgets!$A$2:$A$200=AT$1)*(Budgets!$B$2:$B$200&lt;EDATE($A147,1))),Budgets!$C$2:$C$200),0))</f>
        <v/>
      </c>
      <c r="AU147" s="23">
        <f>IF(OR(AU$1="",$BM147=0),"",IFERROR(LOOKUP(2,1/((Budgets!$A$2:$A$200=AU$1)*(Budgets!$B$2:$B$200&lt;EDATE($A147,1))),Budgets!$C$2:$C$200),0))</f>
        <v/>
      </c>
      <c r="AV147" s="23">
        <f>IF(OR(AV$1="",$BM147=0),"",IFERROR(LOOKUP(2,1/((Budgets!$A$2:$A$200=AV$1)*(Budgets!$B$2:$B$200&lt;EDATE($A147,1))),Budgets!$C$2:$C$200),0))</f>
        <v/>
      </c>
      <c r="AW147" s="23">
        <f>IF(OR(AW$1="",$BM147=0),"",IFERROR(LOOKUP(2,1/((Budgets!$A$2:$A$200=AW$1)*(Budgets!$B$2:$B$200&lt;EDATE($A147,1))),Budgets!$C$2:$C$200),0))</f>
        <v/>
      </c>
      <c r="AX147" s="23">
        <f>IF(OR(AX$1="",$BM147=0),"",IFERROR(LOOKUP(2,1/((Budgets!$A$2:$A$200=AX$1)*(Budgets!$B$2:$B$200&lt;EDATE($A147,1))),Budgets!$C$2:$C$200),0))</f>
        <v/>
      </c>
      <c r="AY147" s="23">
        <f>IF(OR(AY$1="",$BM147=0),"",IFERROR(LOOKUP(2,1/((Budgets!$A$2:$A$200=AY$1)*(Budgets!$B$2:$B$200&lt;EDATE($A147,1))),Budgets!$C$2:$C$200),0))</f>
        <v/>
      </c>
      <c r="AZ147" s="23">
        <f>IF(OR(AZ$1="",$BM147=0),"",IFERROR(LOOKUP(2,1/((Budgets!$A$2:$A$200=AZ$1)*(Budgets!$B$2:$B$200&lt;EDATE($A147,1))),Budgets!$C$2:$C$200),0))</f>
        <v/>
      </c>
      <c r="BA147" s="23">
        <f>IF(OR(BA$1="",$BM147=0),"",IFERROR(LOOKUP(2,1/((Budgets!$A$2:$A$200=BA$1)*(Budgets!$B$2:$B$200&lt;EDATE($A147,1))),Budgets!$C$2:$C$200),0))</f>
        <v/>
      </c>
      <c r="BB147" s="23">
        <f>IF(OR(BB$1="",$BM147=0),"",IFERROR(LOOKUP(2,1/((Budgets!$A$2:$A$200=BB$1)*(Budgets!$B$2:$B$200&lt;EDATE($A147,1))),Budgets!$C$2:$C$200),0))</f>
        <v/>
      </c>
      <c r="BC147" s="23">
        <f>IF(OR(BC$1="",$BM147=0),"",IFERROR(LOOKUP(2,1/((Budgets!$A$2:$A$200=BC$1)*(Budgets!$B$2:$B$200&lt;EDATE($A147,1))),Budgets!$C$2:$C$200),0))</f>
        <v/>
      </c>
      <c r="BD147" s="23">
        <f>IF(OR(BD$1="",$BM147=0),"",IFERROR(LOOKUP(2,1/((Budgets!$A$2:$A$200=BD$1)*(Budgets!$B$2:$B$200&lt;EDATE($A147,1))),Budgets!$C$2:$C$200),0))</f>
        <v/>
      </c>
      <c r="BE147" s="23">
        <f>IF(OR(BE$1="",$BM147=0),"",IFERROR(LOOKUP(2,1/((Budgets!$A$2:$A$200=BE$1)*(Budgets!$B$2:$B$200&lt;EDATE($A147,1))),Budgets!$C$2:$C$200),0))</f>
        <v/>
      </c>
      <c r="BF147" s="23">
        <f>IF(OR(BF$1="",$BM147=0),"",IFERROR(LOOKUP(2,1/((Budgets!$A$2:$A$200=BF$1)*(Budgets!$B$2:$B$200&lt;EDATE($A147,1))),Budgets!$C$2:$C$200),0))</f>
        <v/>
      </c>
      <c r="BG147" s="23">
        <f>IF(OR(BG$1="",$BM147=0),"",IFERROR(LOOKUP(2,1/((Budgets!$A$2:$A$200=BG$1)*(Budgets!$B$2:$B$200&lt;EDATE($A147,1))),Budgets!$C$2:$C$200),0))</f>
        <v/>
      </c>
      <c r="BH147" s="23">
        <f>IF(OR(BH$1="",$BM147=0),"",IFERROR(LOOKUP(2,1/((Budgets!$A$2:$A$200=BH$1)*(Budgets!$B$2:$B$200&lt;EDATE($A147,1))),Budgets!$C$2:$C$200),0))</f>
        <v/>
      </c>
      <c r="BI147" s="23">
        <f>IF(OR(BI$1="",$BM147=0),"",IFERROR(LOOKUP(2,1/((Budgets!$A$2:$A$200=BI$1)*(Budgets!$B$2:$B$200&lt;EDATE($A147,1))),Budgets!$C$2:$C$200),0))</f>
        <v/>
      </c>
      <c r="BJ147" s="23">
        <f>IF(OR(BJ$1="",$BM147=0),"",IFERROR(LOOKUP(2,1/((Budgets!$A$2:$A$200=BJ$1)*(Budgets!$B$2:$B$200&lt;EDATE($A147,1))),Budgets!$C$2:$C$200),0))</f>
        <v/>
      </c>
      <c r="BK147" s="23">
        <f>IF(OR(BK$1="",$BM147=0),"",IFERROR(LOOKUP(2,1/((Budgets!$A$2:$A$200=BK$1)*(Budgets!$B$2:$B$200&lt;EDATE($A147,1))),Budgets!$C$2:$C$200),0))</f>
        <v/>
      </c>
      <c r="BM147" s="21">
        <f>COUNTIFS(Entries!$A$2:$A$5000,"&gt;="&amp;$A147,Entries!$A$2:$A$5000,"&lt;"&amp;EDATE($A147,1))</f>
        <v/>
      </c>
    </row>
    <row r="148">
      <c r="A148" s="22" t="n">
        <v>43891</v>
      </c>
      <c r="B148" s="23">
        <f>IF($BM148=0,NA(),SUMIFS(Entries!$E$2:$E$5000,Entries!$C$2:$C$5000,"Income",Entries!$A$2:$A$5000,"&gt;="&amp;$A148,Entries!$A$2:$A$5000,"&lt;"&amp;EDATE($A148,1)))</f>
        <v/>
      </c>
      <c r="C148" s="23">
        <f>IF($BM148=0,"",SUMIFS(Entries!$E$2:$E$5000,Entries!$C$2:$C$5000,"Actual",Entries!$A$2:$A$5000,"&gt;="&amp;$A148,Entries!$A$2:$A$5000,"&lt;"&amp;EDATE($A148,1)))</f>
        <v/>
      </c>
      <c r="D148" s="23">
        <f>IF($BM148=0,"",SUMIFS(Entries!$E$2:$E$5000,Entries!$C$2:$C$5000,"One-off",Entries!$A$2:$A$5000,"&gt;="&amp;$A148,Entries!$A$2:$A$5000,"&lt;"&amp;EDATE($A148,1)))</f>
        <v/>
      </c>
      <c r="E148" s="23">
        <f>IF($BM148=0,NA(),C148+D148)</f>
        <v/>
      </c>
      <c r="F148" s="23">
        <f>IF($BM148=0,"",SUM(AR148:BK148))</f>
        <v/>
      </c>
      <c r="G148" s="23">
        <f>IF($BM148=0,"",B148-E148)</f>
        <v/>
      </c>
      <c r="H148" s="23">
        <f>IF($BM148=0,"",SUM($G$2:G148))</f>
        <v/>
      </c>
      <c r="I148" s="23">
        <f>IF($BM148=0,"",SUMIFS(Entries!$G$2:$G$5000,Entries!$A$2:$A$5000,"&gt;="&amp;$A148,Entries!$A$2:$A$5000,"&lt;"&amp;EDATE($A148,1)))</f>
        <v/>
      </c>
      <c r="J148" s="23">
        <f>IF($BM148=0,NA(),H148)</f>
        <v/>
      </c>
      <c r="K148" s="23">
        <f>IF($BM148=0,"",SUMIFS(Entries!$E$2:$E$5000,Entries!$C$2:$C$5000,"Income",Entries!$A$2:$A$5000,"&gt;="&amp;EDATE($A148,-11),Entries!$A$2:$A$5000,"&lt;"&amp;EDATE($A148,1))/COUNTIFS($A$2:$A$400,"&gt;="&amp;EDATE($A148,-11),$A$2:$A$400,"&lt;"&amp;EDATE($A148,1),$BM$2:$BM$400,"&gt;0"))</f>
      </c>
      <c r="L148" s="23">
        <f>IF($BM148=0,"",(SUMIFS(Entries!$E$2:$E$5000,Entries!$C$2:$C$5000,"Actual",Entries!$A$2:$A$5000,"&gt;="&amp;EDATE($A148,-11),Entries!$A$2:$A$5000,"&lt;"&amp;EDATE($A148,1))+SUMIFS(Entries!$E$2:$E$5000,Entries!$C$2:$C$5000,"One-off",Entries!$A$2:$A$5000,"&gt;="&amp;EDATE($A148,-11),Entries!$A$2:$A$5000,"&lt;"&amp;EDATE($A148,1)))/COUNTIFS($A$2:$A$400,"&gt;="&amp;EDATE($A148,-11),$A$2:$A$400,"&lt;"&amp;EDATE($A148,1),$BM$2:$BM$400,"&gt;0"))</f>
      </c>
      <c r="M148" s="24">
        <f>IF($BM148=0,NA(),IFERROR((K148-L148)/K148,0))</f>
        <v/>
      </c>
      <c r="N148" s="23">
        <f>IF($BM148=0,NA(),SUMIFS(Entries!$E$2:$E$5000,Entries!$D$2:$D$5000,"Core",Entries!$A$2:$A$5000,"&gt;="&amp;$A148,Entries!$A$2:$A$5000,"&lt;"&amp;EDATE($A148,1)))</f>
        <v/>
      </c>
      <c r="O148" s="23">
        <f>IF($BM148=0,NA(),SUMIFS(Entries!$E$2:$E$5000,Entries!$D$2:$D$5000,"Over &amp; above",Entries!$A$2:$A$5000,"&gt;="&amp;$A148,Entries!$A$2:$A$5000,"&lt;"&amp;EDATE($A148,1)))</f>
        <v/>
      </c>
      <c r="P148" s="23">
        <f>IF($BM148=0,NA(),SUMIFS(Entries!$E$2:$E$5000,Entries!$D$2:$D$5000,"One-off",Entries!$A$2:$A$5000,"&gt;="&amp;$A148,Entries!$A$2:$A$5000,"&lt;"&amp;EDATE($A148,1)))</f>
        <v/>
      </c>
      <c r="Q148" s="23">
        <f>IF($BM148=0,NA(),SUMIFS(Entries!$E$2:$E$5000,Entries!$D$2:$D$5000,"Reimbursable",Entries!$A$2:$A$5000,"&gt;="&amp;$A148,Entries!$A$2:$A$5000,"&lt;"&amp;EDATE($A148,1)))</f>
        <v/>
      </c>
      <c r="R148" s="23">
        <f>IF($BM148=0,NA(),SUMIFS(Entries!$E$2:$E$5000,Entries!$D$2:$D$5000,"Investment",Entries!$A$2:$A$5000,"&gt;="&amp;$A148,Entries!$A$2:$A$5000,"&lt;"&amp;EDATE($A148,1)))</f>
        <v/>
      </c>
      <c r="S148" s="23">
        <f>IF($BM148=0,NA(),N148+O148)</f>
        <v/>
      </c>
      <c r="T148" s="23">
        <f>IF($BM148=0,"",E148-Q148)</f>
        <v/>
      </c>
      <c r="W148" s="23">
        <f>IF(OR(W$1="",$BM148=0),"",SUMIFS(Entries!$E$2:$E$5000,Entries!$C$2:$C$5000,"Actual",Entries!$A$2:$A$5000,"&gt;="&amp;$A148,Entries!$A$2:$A$5000,"&lt;"&amp;EDATE($A148,1),Entries!$B$2:$B$5000,W$1))</f>
        <v/>
      </c>
      <c r="X148" s="23">
        <f>IF(OR(X$1="",$BM148=0),"",SUMIFS(Entries!$E$2:$E$5000,Entries!$C$2:$C$5000,"Actual",Entries!$A$2:$A$5000,"&gt;="&amp;$A148,Entries!$A$2:$A$5000,"&lt;"&amp;EDATE($A148,1),Entries!$B$2:$B$5000,X$1))</f>
        <v/>
      </c>
      <c r="Y148" s="23">
        <f>IF(OR(Y$1="",$BM148=0),"",SUMIFS(Entries!$E$2:$E$5000,Entries!$C$2:$C$5000,"Actual",Entries!$A$2:$A$5000,"&gt;="&amp;$A148,Entries!$A$2:$A$5000,"&lt;"&amp;EDATE($A148,1),Entries!$B$2:$B$5000,Y$1))</f>
        <v/>
      </c>
      <c r="Z148" s="23">
        <f>IF(OR(Z$1="",$BM148=0),"",SUMIFS(Entries!$E$2:$E$5000,Entries!$C$2:$C$5000,"Actual",Entries!$A$2:$A$5000,"&gt;="&amp;$A148,Entries!$A$2:$A$5000,"&lt;"&amp;EDATE($A148,1),Entries!$B$2:$B$5000,Z$1))</f>
        <v/>
      </c>
      <c r="AA148" s="23">
        <f>IF(OR(AA$1="",$BM148=0),"",SUMIFS(Entries!$E$2:$E$5000,Entries!$C$2:$C$5000,"Actual",Entries!$A$2:$A$5000,"&gt;="&amp;$A148,Entries!$A$2:$A$5000,"&lt;"&amp;EDATE($A148,1),Entries!$B$2:$B$5000,AA$1))</f>
        <v/>
      </c>
      <c r="AB148" s="23">
        <f>IF(OR(AB$1="",$BM148=0),"",SUMIFS(Entries!$E$2:$E$5000,Entries!$C$2:$C$5000,"Actual",Entries!$A$2:$A$5000,"&gt;="&amp;$A148,Entries!$A$2:$A$5000,"&lt;"&amp;EDATE($A148,1),Entries!$B$2:$B$5000,AB$1))</f>
        <v/>
      </c>
      <c r="AC148" s="23">
        <f>IF(OR(AC$1="",$BM148=0),"",SUMIFS(Entries!$E$2:$E$5000,Entries!$C$2:$C$5000,"Actual",Entries!$A$2:$A$5000,"&gt;="&amp;$A148,Entries!$A$2:$A$5000,"&lt;"&amp;EDATE($A148,1),Entries!$B$2:$B$5000,AC$1))</f>
        <v/>
      </c>
      <c r="AD148" s="23">
        <f>IF(OR(AD$1="",$BM148=0),"",SUMIFS(Entries!$E$2:$E$5000,Entries!$C$2:$C$5000,"Actual",Entries!$A$2:$A$5000,"&gt;="&amp;$A148,Entries!$A$2:$A$5000,"&lt;"&amp;EDATE($A148,1),Entries!$B$2:$B$5000,AD$1))</f>
        <v/>
      </c>
      <c r="AE148" s="23">
        <f>IF(OR(AE$1="",$BM148=0),"",SUMIFS(Entries!$E$2:$E$5000,Entries!$C$2:$C$5000,"Actual",Entries!$A$2:$A$5000,"&gt;="&amp;$A148,Entries!$A$2:$A$5000,"&lt;"&amp;EDATE($A148,1),Entries!$B$2:$B$5000,AE$1))</f>
        <v/>
      </c>
      <c r="AF148" s="23">
        <f>IF(OR(AF$1="",$BM148=0),"",SUMIFS(Entries!$E$2:$E$5000,Entries!$C$2:$C$5000,"Actual",Entries!$A$2:$A$5000,"&gt;="&amp;$A148,Entries!$A$2:$A$5000,"&lt;"&amp;EDATE($A148,1),Entries!$B$2:$B$5000,AF$1))</f>
        <v/>
      </c>
      <c r="AG148" s="23">
        <f>IF(OR(AG$1="",$BM148=0),"",SUMIFS(Entries!$E$2:$E$5000,Entries!$C$2:$C$5000,"Actual",Entries!$A$2:$A$5000,"&gt;="&amp;$A148,Entries!$A$2:$A$5000,"&lt;"&amp;EDATE($A148,1),Entries!$B$2:$B$5000,AG$1))</f>
        <v/>
      </c>
      <c r="AH148" s="23">
        <f>IF(OR(AH$1="",$BM148=0),"",SUMIFS(Entries!$E$2:$E$5000,Entries!$C$2:$C$5000,"Actual",Entries!$A$2:$A$5000,"&gt;="&amp;$A148,Entries!$A$2:$A$5000,"&lt;"&amp;EDATE($A148,1),Entries!$B$2:$B$5000,AH$1))</f>
        <v/>
      </c>
      <c r="AI148" s="23">
        <f>IF(OR(AI$1="",$BM148=0),"",SUMIFS(Entries!$E$2:$E$5000,Entries!$C$2:$C$5000,"Actual",Entries!$A$2:$A$5000,"&gt;="&amp;$A148,Entries!$A$2:$A$5000,"&lt;"&amp;EDATE($A148,1),Entries!$B$2:$B$5000,AI$1))</f>
        <v/>
      </c>
      <c r="AJ148" s="23">
        <f>IF(OR(AJ$1="",$BM148=0),"",SUMIFS(Entries!$E$2:$E$5000,Entries!$C$2:$C$5000,"Actual",Entries!$A$2:$A$5000,"&gt;="&amp;$A148,Entries!$A$2:$A$5000,"&lt;"&amp;EDATE($A148,1),Entries!$B$2:$B$5000,AJ$1))</f>
        <v/>
      </c>
      <c r="AK148" s="23">
        <f>IF(OR(AK$1="",$BM148=0),"",SUMIFS(Entries!$E$2:$E$5000,Entries!$C$2:$C$5000,"Actual",Entries!$A$2:$A$5000,"&gt;="&amp;$A148,Entries!$A$2:$A$5000,"&lt;"&amp;EDATE($A148,1),Entries!$B$2:$B$5000,AK$1))</f>
        <v/>
      </c>
      <c r="AL148" s="23">
        <f>IF(OR(AL$1="",$BM148=0),"",SUMIFS(Entries!$E$2:$E$5000,Entries!$C$2:$C$5000,"Actual",Entries!$A$2:$A$5000,"&gt;="&amp;$A148,Entries!$A$2:$A$5000,"&lt;"&amp;EDATE($A148,1),Entries!$B$2:$B$5000,AL$1))</f>
        <v/>
      </c>
      <c r="AM148" s="23">
        <f>IF(OR(AM$1="",$BM148=0),"",SUMIFS(Entries!$E$2:$E$5000,Entries!$C$2:$C$5000,"Actual",Entries!$A$2:$A$5000,"&gt;="&amp;$A148,Entries!$A$2:$A$5000,"&lt;"&amp;EDATE($A148,1),Entries!$B$2:$B$5000,AM$1))</f>
        <v/>
      </c>
      <c r="AN148" s="23">
        <f>IF(OR(AN$1="",$BM148=0),"",SUMIFS(Entries!$E$2:$E$5000,Entries!$C$2:$C$5000,"Actual",Entries!$A$2:$A$5000,"&gt;="&amp;$A148,Entries!$A$2:$A$5000,"&lt;"&amp;EDATE($A148,1),Entries!$B$2:$B$5000,AN$1))</f>
        <v/>
      </c>
      <c r="AO148" s="23">
        <f>IF(OR(AO$1="",$BM148=0),"",SUMIFS(Entries!$E$2:$E$5000,Entries!$C$2:$C$5000,"Actual",Entries!$A$2:$A$5000,"&gt;="&amp;$A148,Entries!$A$2:$A$5000,"&lt;"&amp;EDATE($A148,1),Entries!$B$2:$B$5000,AO$1))</f>
        <v/>
      </c>
      <c r="AP148" s="23">
        <f>IF(OR(AP$1="",$BM148=0),"",SUMIFS(Entries!$E$2:$E$5000,Entries!$C$2:$C$5000,"Actual",Entries!$A$2:$A$5000,"&gt;="&amp;$A148,Entries!$A$2:$A$5000,"&lt;"&amp;EDATE($A148,1),Entries!$B$2:$B$5000,AP$1))</f>
        <v/>
      </c>
      <c r="AR148" s="23">
        <f>IF(OR(AR$1="",$BM148=0),"",IFERROR(LOOKUP(2,1/((Budgets!$A$2:$A$200=AR$1)*(Budgets!$B$2:$B$200&lt;EDATE($A148,1))),Budgets!$C$2:$C$200),0))</f>
        <v/>
      </c>
      <c r="AS148" s="23">
        <f>IF(OR(AS$1="",$BM148=0),"",IFERROR(LOOKUP(2,1/((Budgets!$A$2:$A$200=AS$1)*(Budgets!$B$2:$B$200&lt;EDATE($A148,1))),Budgets!$C$2:$C$200),0))</f>
        <v/>
      </c>
      <c r="AT148" s="23">
        <f>IF(OR(AT$1="",$BM148=0),"",IFERROR(LOOKUP(2,1/((Budgets!$A$2:$A$200=AT$1)*(Budgets!$B$2:$B$200&lt;EDATE($A148,1))),Budgets!$C$2:$C$200),0))</f>
        <v/>
      </c>
      <c r="AU148" s="23">
        <f>IF(OR(AU$1="",$BM148=0),"",IFERROR(LOOKUP(2,1/((Budgets!$A$2:$A$200=AU$1)*(Budgets!$B$2:$B$200&lt;EDATE($A148,1))),Budgets!$C$2:$C$200),0))</f>
        <v/>
      </c>
      <c r="AV148" s="23">
        <f>IF(OR(AV$1="",$BM148=0),"",IFERROR(LOOKUP(2,1/((Budgets!$A$2:$A$200=AV$1)*(Budgets!$B$2:$B$200&lt;EDATE($A148,1))),Budgets!$C$2:$C$200),0))</f>
        <v/>
      </c>
      <c r="AW148" s="23">
        <f>IF(OR(AW$1="",$BM148=0),"",IFERROR(LOOKUP(2,1/((Budgets!$A$2:$A$200=AW$1)*(Budgets!$B$2:$B$200&lt;EDATE($A148,1))),Budgets!$C$2:$C$200),0))</f>
        <v/>
      </c>
      <c r="AX148" s="23">
        <f>IF(OR(AX$1="",$BM148=0),"",IFERROR(LOOKUP(2,1/((Budgets!$A$2:$A$200=AX$1)*(Budgets!$B$2:$B$200&lt;EDATE($A148,1))),Budgets!$C$2:$C$200),0))</f>
        <v/>
      </c>
      <c r="AY148" s="23">
        <f>IF(OR(AY$1="",$BM148=0),"",IFERROR(LOOKUP(2,1/((Budgets!$A$2:$A$200=AY$1)*(Budgets!$B$2:$B$200&lt;EDATE($A148,1))),Budgets!$C$2:$C$200),0))</f>
        <v/>
      </c>
      <c r="AZ148" s="23">
        <f>IF(OR(AZ$1="",$BM148=0),"",IFERROR(LOOKUP(2,1/((Budgets!$A$2:$A$200=AZ$1)*(Budgets!$B$2:$B$200&lt;EDATE($A148,1))),Budgets!$C$2:$C$200),0))</f>
        <v/>
      </c>
      <c r="BA148" s="23">
        <f>IF(OR(BA$1="",$BM148=0),"",IFERROR(LOOKUP(2,1/((Budgets!$A$2:$A$200=BA$1)*(Budgets!$B$2:$B$200&lt;EDATE($A148,1))),Budgets!$C$2:$C$200),0))</f>
        <v/>
      </c>
      <c r="BB148" s="23">
        <f>IF(OR(BB$1="",$BM148=0),"",IFERROR(LOOKUP(2,1/((Budgets!$A$2:$A$200=BB$1)*(Budgets!$B$2:$B$200&lt;EDATE($A148,1))),Budgets!$C$2:$C$200),0))</f>
        <v/>
      </c>
      <c r="BC148" s="23">
        <f>IF(OR(BC$1="",$BM148=0),"",IFERROR(LOOKUP(2,1/((Budgets!$A$2:$A$200=BC$1)*(Budgets!$B$2:$B$200&lt;EDATE($A148,1))),Budgets!$C$2:$C$200),0))</f>
        <v/>
      </c>
      <c r="BD148" s="23">
        <f>IF(OR(BD$1="",$BM148=0),"",IFERROR(LOOKUP(2,1/((Budgets!$A$2:$A$200=BD$1)*(Budgets!$B$2:$B$200&lt;EDATE($A148,1))),Budgets!$C$2:$C$200),0))</f>
        <v/>
      </c>
      <c r="BE148" s="23">
        <f>IF(OR(BE$1="",$BM148=0),"",IFERROR(LOOKUP(2,1/((Budgets!$A$2:$A$200=BE$1)*(Budgets!$B$2:$B$200&lt;EDATE($A148,1))),Budgets!$C$2:$C$200),0))</f>
        <v/>
      </c>
      <c r="BF148" s="23">
        <f>IF(OR(BF$1="",$BM148=0),"",IFERROR(LOOKUP(2,1/((Budgets!$A$2:$A$200=BF$1)*(Budgets!$B$2:$B$200&lt;EDATE($A148,1))),Budgets!$C$2:$C$200),0))</f>
        <v/>
      </c>
      <c r="BG148" s="23">
        <f>IF(OR(BG$1="",$BM148=0),"",IFERROR(LOOKUP(2,1/((Budgets!$A$2:$A$200=BG$1)*(Budgets!$B$2:$B$200&lt;EDATE($A148,1))),Budgets!$C$2:$C$200),0))</f>
        <v/>
      </c>
      <c r="BH148" s="23">
        <f>IF(OR(BH$1="",$BM148=0),"",IFERROR(LOOKUP(2,1/((Budgets!$A$2:$A$200=BH$1)*(Budgets!$B$2:$B$200&lt;EDATE($A148,1))),Budgets!$C$2:$C$200),0))</f>
        <v/>
      </c>
      <c r="BI148" s="23">
        <f>IF(OR(BI$1="",$BM148=0),"",IFERROR(LOOKUP(2,1/((Budgets!$A$2:$A$200=BI$1)*(Budgets!$B$2:$B$200&lt;EDATE($A148,1))),Budgets!$C$2:$C$200),0))</f>
        <v/>
      </c>
      <c r="BJ148" s="23">
        <f>IF(OR(BJ$1="",$BM148=0),"",IFERROR(LOOKUP(2,1/((Budgets!$A$2:$A$200=BJ$1)*(Budgets!$B$2:$B$200&lt;EDATE($A148,1))),Budgets!$C$2:$C$200),0))</f>
        <v/>
      </c>
      <c r="BK148" s="23">
        <f>IF(OR(BK$1="",$BM148=0),"",IFERROR(LOOKUP(2,1/((Budgets!$A$2:$A$200=BK$1)*(Budgets!$B$2:$B$200&lt;EDATE($A148,1))),Budgets!$C$2:$C$200),0))</f>
        <v/>
      </c>
      <c r="BM148" s="21">
        <f>COUNTIFS(Entries!$A$2:$A$5000,"&gt;="&amp;$A148,Entries!$A$2:$A$5000,"&lt;"&amp;EDATE($A148,1))</f>
        <v/>
      </c>
    </row>
    <row r="149">
      <c r="A149" s="22" t="n">
        <v>43922</v>
      </c>
      <c r="B149" s="23">
        <f>IF($BM149=0,NA(),SUMIFS(Entries!$E$2:$E$5000,Entries!$C$2:$C$5000,"Income",Entries!$A$2:$A$5000,"&gt;="&amp;$A149,Entries!$A$2:$A$5000,"&lt;"&amp;EDATE($A149,1)))</f>
        <v/>
      </c>
      <c r="C149" s="23">
        <f>IF($BM149=0,"",SUMIFS(Entries!$E$2:$E$5000,Entries!$C$2:$C$5000,"Actual",Entries!$A$2:$A$5000,"&gt;="&amp;$A149,Entries!$A$2:$A$5000,"&lt;"&amp;EDATE($A149,1)))</f>
        <v/>
      </c>
      <c r="D149" s="23">
        <f>IF($BM149=0,"",SUMIFS(Entries!$E$2:$E$5000,Entries!$C$2:$C$5000,"One-off",Entries!$A$2:$A$5000,"&gt;="&amp;$A149,Entries!$A$2:$A$5000,"&lt;"&amp;EDATE($A149,1)))</f>
        <v/>
      </c>
      <c r="E149" s="23">
        <f>IF($BM149=0,NA(),C149+D149)</f>
        <v/>
      </c>
      <c r="F149" s="23">
        <f>IF($BM149=0,"",SUM(AR149:BK149))</f>
        <v/>
      </c>
      <c r="G149" s="23">
        <f>IF($BM149=0,"",B149-E149)</f>
        <v/>
      </c>
      <c r="H149" s="23">
        <f>IF($BM149=0,"",SUM($G$2:G149))</f>
        <v/>
      </c>
      <c r="I149" s="23">
        <f>IF($BM149=0,"",SUMIFS(Entries!$G$2:$G$5000,Entries!$A$2:$A$5000,"&gt;="&amp;$A149,Entries!$A$2:$A$5000,"&lt;"&amp;EDATE($A149,1)))</f>
        <v/>
      </c>
      <c r="J149" s="23">
        <f>IF($BM149=0,NA(),H149)</f>
        <v/>
      </c>
      <c r="K149" s="23">
        <f>IF($BM149=0,"",SUMIFS(Entries!$E$2:$E$5000,Entries!$C$2:$C$5000,"Income",Entries!$A$2:$A$5000,"&gt;="&amp;EDATE($A149,-11),Entries!$A$2:$A$5000,"&lt;"&amp;EDATE($A149,1))/COUNTIFS($A$2:$A$400,"&gt;="&amp;EDATE($A149,-11),$A$2:$A$400,"&lt;"&amp;EDATE($A149,1),$BM$2:$BM$400,"&gt;0"))</f>
      </c>
      <c r="L149" s="23">
        <f>IF($BM149=0,"",(SUMIFS(Entries!$E$2:$E$5000,Entries!$C$2:$C$5000,"Actual",Entries!$A$2:$A$5000,"&gt;="&amp;EDATE($A149,-11),Entries!$A$2:$A$5000,"&lt;"&amp;EDATE($A149,1))+SUMIFS(Entries!$E$2:$E$5000,Entries!$C$2:$C$5000,"One-off",Entries!$A$2:$A$5000,"&gt;="&amp;EDATE($A149,-11),Entries!$A$2:$A$5000,"&lt;"&amp;EDATE($A149,1)))/COUNTIFS($A$2:$A$400,"&gt;="&amp;EDATE($A149,-11),$A$2:$A$400,"&lt;"&amp;EDATE($A149,1),$BM$2:$BM$400,"&gt;0"))</f>
      </c>
      <c r="M149" s="24">
        <f>IF($BM149=0,NA(),IFERROR((K149-L149)/K149,0))</f>
        <v/>
      </c>
      <c r="N149" s="23">
        <f>IF($BM149=0,NA(),SUMIFS(Entries!$E$2:$E$5000,Entries!$D$2:$D$5000,"Core",Entries!$A$2:$A$5000,"&gt;="&amp;$A149,Entries!$A$2:$A$5000,"&lt;"&amp;EDATE($A149,1)))</f>
        <v/>
      </c>
      <c r="O149" s="23">
        <f>IF($BM149=0,NA(),SUMIFS(Entries!$E$2:$E$5000,Entries!$D$2:$D$5000,"Over &amp; above",Entries!$A$2:$A$5000,"&gt;="&amp;$A149,Entries!$A$2:$A$5000,"&lt;"&amp;EDATE($A149,1)))</f>
        <v/>
      </c>
      <c r="P149" s="23">
        <f>IF($BM149=0,NA(),SUMIFS(Entries!$E$2:$E$5000,Entries!$D$2:$D$5000,"One-off",Entries!$A$2:$A$5000,"&gt;="&amp;$A149,Entries!$A$2:$A$5000,"&lt;"&amp;EDATE($A149,1)))</f>
        <v/>
      </c>
      <c r="Q149" s="23">
        <f>IF($BM149=0,NA(),SUMIFS(Entries!$E$2:$E$5000,Entries!$D$2:$D$5000,"Reimbursable",Entries!$A$2:$A$5000,"&gt;="&amp;$A149,Entries!$A$2:$A$5000,"&lt;"&amp;EDATE($A149,1)))</f>
        <v/>
      </c>
      <c r="R149" s="23">
        <f>IF($BM149=0,NA(),SUMIFS(Entries!$E$2:$E$5000,Entries!$D$2:$D$5000,"Investment",Entries!$A$2:$A$5000,"&gt;="&amp;$A149,Entries!$A$2:$A$5000,"&lt;"&amp;EDATE($A149,1)))</f>
        <v/>
      </c>
      <c r="S149" s="23">
        <f>IF($BM149=0,NA(),N149+O149)</f>
        <v/>
      </c>
      <c r="T149" s="23">
        <f>IF($BM149=0,"",E149-Q149)</f>
        <v/>
      </c>
      <c r="W149" s="23">
        <f>IF(OR(W$1="",$BM149=0),"",SUMIFS(Entries!$E$2:$E$5000,Entries!$C$2:$C$5000,"Actual",Entries!$A$2:$A$5000,"&gt;="&amp;$A149,Entries!$A$2:$A$5000,"&lt;"&amp;EDATE($A149,1),Entries!$B$2:$B$5000,W$1))</f>
        <v/>
      </c>
      <c r="X149" s="23">
        <f>IF(OR(X$1="",$BM149=0),"",SUMIFS(Entries!$E$2:$E$5000,Entries!$C$2:$C$5000,"Actual",Entries!$A$2:$A$5000,"&gt;="&amp;$A149,Entries!$A$2:$A$5000,"&lt;"&amp;EDATE($A149,1),Entries!$B$2:$B$5000,X$1))</f>
        <v/>
      </c>
      <c r="Y149" s="23">
        <f>IF(OR(Y$1="",$BM149=0),"",SUMIFS(Entries!$E$2:$E$5000,Entries!$C$2:$C$5000,"Actual",Entries!$A$2:$A$5000,"&gt;="&amp;$A149,Entries!$A$2:$A$5000,"&lt;"&amp;EDATE($A149,1),Entries!$B$2:$B$5000,Y$1))</f>
        <v/>
      </c>
      <c r="Z149" s="23">
        <f>IF(OR(Z$1="",$BM149=0),"",SUMIFS(Entries!$E$2:$E$5000,Entries!$C$2:$C$5000,"Actual",Entries!$A$2:$A$5000,"&gt;="&amp;$A149,Entries!$A$2:$A$5000,"&lt;"&amp;EDATE($A149,1),Entries!$B$2:$B$5000,Z$1))</f>
        <v/>
      </c>
      <c r="AA149" s="23">
        <f>IF(OR(AA$1="",$BM149=0),"",SUMIFS(Entries!$E$2:$E$5000,Entries!$C$2:$C$5000,"Actual",Entries!$A$2:$A$5000,"&gt;="&amp;$A149,Entries!$A$2:$A$5000,"&lt;"&amp;EDATE($A149,1),Entries!$B$2:$B$5000,AA$1))</f>
        <v/>
      </c>
      <c r="AB149" s="23">
        <f>IF(OR(AB$1="",$BM149=0),"",SUMIFS(Entries!$E$2:$E$5000,Entries!$C$2:$C$5000,"Actual",Entries!$A$2:$A$5000,"&gt;="&amp;$A149,Entries!$A$2:$A$5000,"&lt;"&amp;EDATE($A149,1),Entries!$B$2:$B$5000,AB$1))</f>
        <v/>
      </c>
      <c r="AC149" s="23">
        <f>IF(OR(AC$1="",$BM149=0),"",SUMIFS(Entries!$E$2:$E$5000,Entries!$C$2:$C$5000,"Actual",Entries!$A$2:$A$5000,"&gt;="&amp;$A149,Entries!$A$2:$A$5000,"&lt;"&amp;EDATE($A149,1),Entries!$B$2:$B$5000,AC$1))</f>
        <v/>
      </c>
      <c r="AD149" s="23">
        <f>IF(OR(AD$1="",$BM149=0),"",SUMIFS(Entries!$E$2:$E$5000,Entries!$C$2:$C$5000,"Actual",Entries!$A$2:$A$5000,"&gt;="&amp;$A149,Entries!$A$2:$A$5000,"&lt;"&amp;EDATE($A149,1),Entries!$B$2:$B$5000,AD$1))</f>
        <v/>
      </c>
      <c r="AE149" s="23">
        <f>IF(OR(AE$1="",$BM149=0),"",SUMIFS(Entries!$E$2:$E$5000,Entries!$C$2:$C$5000,"Actual",Entries!$A$2:$A$5000,"&gt;="&amp;$A149,Entries!$A$2:$A$5000,"&lt;"&amp;EDATE($A149,1),Entries!$B$2:$B$5000,AE$1))</f>
        <v/>
      </c>
      <c r="AF149" s="23">
        <f>IF(OR(AF$1="",$BM149=0),"",SUMIFS(Entries!$E$2:$E$5000,Entries!$C$2:$C$5000,"Actual",Entries!$A$2:$A$5000,"&gt;="&amp;$A149,Entries!$A$2:$A$5000,"&lt;"&amp;EDATE($A149,1),Entries!$B$2:$B$5000,AF$1))</f>
        <v/>
      </c>
      <c r="AG149" s="23">
        <f>IF(OR(AG$1="",$BM149=0),"",SUMIFS(Entries!$E$2:$E$5000,Entries!$C$2:$C$5000,"Actual",Entries!$A$2:$A$5000,"&gt;="&amp;$A149,Entries!$A$2:$A$5000,"&lt;"&amp;EDATE($A149,1),Entries!$B$2:$B$5000,AG$1))</f>
        <v/>
      </c>
      <c r="AH149" s="23">
        <f>IF(OR(AH$1="",$BM149=0),"",SUMIFS(Entries!$E$2:$E$5000,Entries!$C$2:$C$5000,"Actual",Entries!$A$2:$A$5000,"&gt;="&amp;$A149,Entries!$A$2:$A$5000,"&lt;"&amp;EDATE($A149,1),Entries!$B$2:$B$5000,AH$1))</f>
        <v/>
      </c>
      <c r="AI149" s="23">
        <f>IF(OR(AI$1="",$BM149=0),"",SUMIFS(Entries!$E$2:$E$5000,Entries!$C$2:$C$5000,"Actual",Entries!$A$2:$A$5000,"&gt;="&amp;$A149,Entries!$A$2:$A$5000,"&lt;"&amp;EDATE($A149,1),Entries!$B$2:$B$5000,AI$1))</f>
        <v/>
      </c>
      <c r="AJ149" s="23">
        <f>IF(OR(AJ$1="",$BM149=0),"",SUMIFS(Entries!$E$2:$E$5000,Entries!$C$2:$C$5000,"Actual",Entries!$A$2:$A$5000,"&gt;="&amp;$A149,Entries!$A$2:$A$5000,"&lt;"&amp;EDATE($A149,1),Entries!$B$2:$B$5000,AJ$1))</f>
        <v/>
      </c>
      <c r="AK149" s="23">
        <f>IF(OR(AK$1="",$BM149=0),"",SUMIFS(Entries!$E$2:$E$5000,Entries!$C$2:$C$5000,"Actual",Entries!$A$2:$A$5000,"&gt;="&amp;$A149,Entries!$A$2:$A$5000,"&lt;"&amp;EDATE($A149,1),Entries!$B$2:$B$5000,AK$1))</f>
        <v/>
      </c>
      <c r="AL149" s="23">
        <f>IF(OR(AL$1="",$BM149=0),"",SUMIFS(Entries!$E$2:$E$5000,Entries!$C$2:$C$5000,"Actual",Entries!$A$2:$A$5000,"&gt;="&amp;$A149,Entries!$A$2:$A$5000,"&lt;"&amp;EDATE($A149,1),Entries!$B$2:$B$5000,AL$1))</f>
        <v/>
      </c>
      <c r="AM149" s="23">
        <f>IF(OR(AM$1="",$BM149=0),"",SUMIFS(Entries!$E$2:$E$5000,Entries!$C$2:$C$5000,"Actual",Entries!$A$2:$A$5000,"&gt;="&amp;$A149,Entries!$A$2:$A$5000,"&lt;"&amp;EDATE($A149,1),Entries!$B$2:$B$5000,AM$1))</f>
        <v/>
      </c>
      <c r="AN149" s="23">
        <f>IF(OR(AN$1="",$BM149=0),"",SUMIFS(Entries!$E$2:$E$5000,Entries!$C$2:$C$5000,"Actual",Entries!$A$2:$A$5000,"&gt;="&amp;$A149,Entries!$A$2:$A$5000,"&lt;"&amp;EDATE($A149,1),Entries!$B$2:$B$5000,AN$1))</f>
        <v/>
      </c>
      <c r="AO149" s="23">
        <f>IF(OR(AO$1="",$BM149=0),"",SUMIFS(Entries!$E$2:$E$5000,Entries!$C$2:$C$5000,"Actual",Entries!$A$2:$A$5000,"&gt;="&amp;$A149,Entries!$A$2:$A$5000,"&lt;"&amp;EDATE($A149,1),Entries!$B$2:$B$5000,AO$1))</f>
        <v/>
      </c>
      <c r="AP149" s="23">
        <f>IF(OR(AP$1="",$BM149=0),"",SUMIFS(Entries!$E$2:$E$5000,Entries!$C$2:$C$5000,"Actual",Entries!$A$2:$A$5000,"&gt;="&amp;$A149,Entries!$A$2:$A$5000,"&lt;"&amp;EDATE($A149,1),Entries!$B$2:$B$5000,AP$1))</f>
        <v/>
      </c>
      <c r="AR149" s="23">
        <f>IF(OR(AR$1="",$BM149=0),"",IFERROR(LOOKUP(2,1/((Budgets!$A$2:$A$200=AR$1)*(Budgets!$B$2:$B$200&lt;EDATE($A149,1))),Budgets!$C$2:$C$200),0))</f>
        <v/>
      </c>
      <c r="AS149" s="23">
        <f>IF(OR(AS$1="",$BM149=0),"",IFERROR(LOOKUP(2,1/((Budgets!$A$2:$A$200=AS$1)*(Budgets!$B$2:$B$200&lt;EDATE($A149,1))),Budgets!$C$2:$C$200),0))</f>
        <v/>
      </c>
      <c r="AT149" s="23">
        <f>IF(OR(AT$1="",$BM149=0),"",IFERROR(LOOKUP(2,1/((Budgets!$A$2:$A$200=AT$1)*(Budgets!$B$2:$B$200&lt;EDATE($A149,1))),Budgets!$C$2:$C$200),0))</f>
        <v/>
      </c>
      <c r="AU149" s="23">
        <f>IF(OR(AU$1="",$BM149=0),"",IFERROR(LOOKUP(2,1/((Budgets!$A$2:$A$200=AU$1)*(Budgets!$B$2:$B$200&lt;EDATE($A149,1))),Budgets!$C$2:$C$200),0))</f>
        <v/>
      </c>
      <c r="AV149" s="23">
        <f>IF(OR(AV$1="",$BM149=0),"",IFERROR(LOOKUP(2,1/((Budgets!$A$2:$A$200=AV$1)*(Budgets!$B$2:$B$200&lt;EDATE($A149,1))),Budgets!$C$2:$C$200),0))</f>
        <v/>
      </c>
      <c r="AW149" s="23">
        <f>IF(OR(AW$1="",$BM149=0),"",IFERROR(LOOKUP(2,1/((Budgets!$A$2:$A$200=AW$1)*(Budgets!$B$2:$B$200&lt;EDATE($A149,1))),Budgets!$C$2:$C$200),0))</f>
        <v/>
      </c>
      <c r="AX149" s="23">
        <f>IF(OR(AX$1="",$BM149=0),"",IFERROR(LOOKUP(2,1/((Budgets!$A$2:$A$200=AX$1)*(Budgets!$B$2:$B$200&lt;EDATE($A149,1))),Budgets!$C$2:$C$200),0))</f>
        <v/>
      </c>
      <c r="AY149" s="23">
        <f>IF(OR(AY$1="",$BM149=0),"",IFERROR(LOOKUP(2,1/((Budgets!$A$2:$A$200=AY$1)*(Budgets!$B$2:$B$200&lt;EDATE($A149,1))),Budgets!$C$2:$C$200),0))</f>
        <v/>
      </c>
      <c r="AZ149" s="23">
        <f>IF(OR(AZ$1="",$BM149=0),"",IFERROR(LOOKUP(2,1/((Budgets!$A$2:$A$200=AZ$1)*(Budgets!$B$2:$B$200&lt;EDATE($A149,1))),Budgets!$C$2:$C$200),0))</f>
        <v/>
      </c>
      <c r="BA149" s="23">
        <f>IF(OR(BA$1="",$BM149=0),"",IFERROR(LOOKUP(2,1/((Budgets!$A$2:$A$200=BA$1)*(Budgets!$B$2:$B$200&lt;EDATE($A149,1))),Budgets!$C$2:$C$200),0))</f>
        <v/>
      </c>
      <c r="BB149" s="23">
        <f>IF(OR(BB$1="",$BM149=0),"",IFERROR(LOOKUP(2,1/((Budgets!$A$2:$A$200=BB$1)*(Budgets!$B$2:$B$200&lt;EDATE($A149,1))),Budgets!$C$2:$C$200),0))</f>
        <v/>
      </c>
      <c r="BC149" s="23">
        <f>IF(OR(BC$1="",$BM149=0),"",IFERROR(LOOKUP(2,1/((Budgets!$A$2:$A$200=BC$1)*(Budgets!$B$2:$B$200&lt;EDATE($A149,1))),Budgets!$C$2:$C$200),0))</f>
        <v/>
      </c>
      <c r="BD149" s="23">
        <f>IF(OR(BD$1="",$BM149=0),"",IFERROR(LOOKUP(2,1/((Budgets!$A$2:$A$200=BD$1)*(Budgets!$B$2:$B$200&lt;EDATE($A149,1))),Budgets!$C$2:$C$200),0))</f>
        <v/>
      </c>
      <c r="BE149" s="23">
        <f>IF(OR(BE$1="",$BM149=0),"",IFERROR(LOOKUP(2,1/((Budgets!$A$2:$A$200=BE$1)*(Budgets!$B$2:$B$200&lt;EDATE($A149,1))),Budgets!$C$2:$C$200),0))</f>
        <v/>
      </c>
      <c r="BF149" s="23">
        <f>IF(OR(BF$1="",$BM149=0),"",IFERROR(LOOKUP(2,1/((Budgets!$A$2:$A$200=BF$1)*(Budgets!$B$2:$B$200&lt;EDATE($A149,1))),Budgets!$C$2:$C$200),0))</f>
        <v/>
      </c>
      <c r="BG149" s="23">
        <f>IF(OR(BG$1="",$BM149=0),"",IFERROR(LOOKUP(2,1/((Budgets!$A$2:$A$200=BG$1)*(Budgets!$B$2:$B$200&lt;EDATE($A149,1))),Budgets!$C$2:$C$200),0))</f>
        <v/>
      </c>
      <c r="BH149" s="23">
        <f>IF(OR(BH$1="",$BM149=0),"",IFERROR(LOOKUP(2,1/((Budgets!$A$2:$A$200=BH$1)*(Budgets!$B$2:$B$200&lt;EDATE($A149,1))),Budgets!$C$2:$C$200),0))</f>
        <v/>
      </c>
      <c r="BI149" s="23">
        <f>IF(OR(BI$1="",$BM149=0),"",IFERROR(LOOKUP(2,1/((Budgets!$A$2:$A$200=BI$1)*(Budgets!$B$2:$B$200&lt;EDATE($A149,1))),Budgets!$C$2:$C$200),0))</f>
        <v/>
      </c>
      <c r="BJ149" s="23">
        <f>IF(OR(BJ$1="",$BM149=0),"",IFERROR(LOOKUP(2,1/((Budgets!$A$2:$A$200=BJ$1)*(Budgets!$B$2:$B$200&lt;EDATE($A149,1))),Budgets!$C$2:$C$200),0))</f>
        <v/>
      </c>
      <c r="BK149" s="23">
        <f>IF(OR(BK$1="",$BM149=0),"",IFERROR(LOOKUP(2,1/((Budgets!$A$2:$A$200=BK$1)*(Budgets!$B$2:$B$200&lt;EDATE($A149,1))),Budgets!$C$2:$C$200),0))</f>
        <v/>
      </c>
      <c r="BM149" s="21">
        <f>COUNTIFS(Entries!$A$2:$A$5000,"&gt;="&amp;$A149,Entries!$A$2:$A$5000,"&lt;"&amp;EDATE($A149,1))</f>
        <v/>
      </c>
    </row>
    <row r="150">
      <c r="A150" s="22" t="n">
        <v>43952</v>
      </c>
      <c r="B150" s="23">
        <f>IF($BM150=0,NA(),SUMIFS(Entries!$E$2:$E$5000,Entries!$C$2:$C$5000,"Income",Entries!$A$2:$A$5000,"&gt;="&amp;$A150,Entries!$A$2:$A$5000,"&lt;"&amp;EDATE($A150,1)))</f>
        <v/>
      </c>
      <c r="C150" s="23">
        <f>IF($BM150=0,"",SUMIFS(Entries!$E$2:$E$5000,Entries!$C$2:$C$5000,"Actual",Entries!$A$2:$A$5000,"&gt;="&amp;$A150,Entries!$A$2:$A$5000,"&lt;"&amp;EDATE($A150,1)))</f>
        <v/>
      </c>
      <c r="D150" s="23">
        <f>IF($BM150=0,"",SUMIFS(Entries!$E$2:$E$5000,Entries!$C$2:$C$5000,"One-off",Entries!$A$2:$A$5000,"&gt;="&amp;$A150,Entries!$A$2:$A$5000,"&lt;"&amp;EDATE($A150,1)))</f>
        <v/>
      </c>
      <c r="E150" s="23">
        <f>IF($BM150=0,NA(),C150+D150)</f>
        <v/>
      </c>
      <c r="F150" s="23">
        <f>IF($BM150=0,"",SUM(AR150:BK150))</f>
        <v/>
      </c>
      <c r="G150" s="23">
        <f>IF($BM150=0,"",B150-E150)</f>
        <v/>
      </c>
      <c r="H150" s="23">
        <f>IF($BM150=0,"",SUM($G$2:G150))</f>
        <v/>
      </c>
      <c r="I150" s="23">
        <f>IF($BM150=0,"",SUMIFS(Entries!$G$2:$G$5000,Entries!$A$2:$A$5000,"&gt;="&amp;$A150,Entries!$A$2:$A$5000,"&lt;"&amp;EDATE($A150,1)))</f>
        <v/>
      </c>
      <c r="J150" s="23">
        <f>IF($BM150=0,NA(),H150)</f>
        <v/>
      </c>
      <c r="K150" s="23">
        <f>IF($BM150=0,"",SUMIFS(Entries!$E$2:$E$5000,Entries!$C$2:$C$5000,"Income",Entries!$A$2:$A$5000,"&gt;="&amp;EDATE($A150,-11),Entries!$A$2:$A$5000,"&lt;"&amp;EDATE($A150,1))/COUNTIFS($A$2:$A$400,"&gt;="&amp;EDATE($A150,-11),$A$2:$A$400,"&lt;"&amp;EDATE($A150,1),$BM$2:$BM$400,"&gt;0"))</f>
      </c>
      <c r="L150" s="23">
        <f>IF($BM150=0,"",(SUMIFS(Entries!$E$2:$E$5000,Entries!$C$2:$C$5000,"Actual",Entries!$A$2:$A$5000,"&gt;="&amp;EDATE($A150,-11),Entries!$A$2:$A$5000,"&lt;"&amp;EDATE($A150,1))+SUMIFS(Entries!$E$2:$E$5000,Entries!$C$2:$C$5000,"One-off",Entries!$A$2:$A$5000,"&gt;="&amp;EDATE($A150,-11),Entries!$A$2:$A$5000,"&lt;"&amp;EDATE($A150,1)))/COUNTIFS($A$2:$A$400,"&gt;="&amp;EDATE($A150,-11),$A$2:$A$400,"&lt;"&amp;EDATE($A150,1),$BM$2:$BM$400,"&gt;0"))</f>
      </c>
      <c r="M150" s="24">
        <f>IF($BM150=0,NA(),IFERROR((K150-L150)/K150,0))</f>
        <v/>
      </c>
      <c r="N150" s="23">
        <f>IF($BM150=0,NA(),SUMIFS(Entries!$E$2:$E$5000,Entries!$D$2:$D$5000,"Core",Entries!$A$2:$A$5000,"&gt;="&amp;$A150,Entries!$A$2:$A$5000,"&lt;"&amp;EDATE($A150,1)))</f>
        <v/>
      </c>
      <c r="O150" s="23">
        <f>IF($BM150=0,NA(),SUMIFS(Entries!$E$2:$E$5000,Entries!$D$2:$D$5000,"Over &amp; above",Entries!$A$2:$A$5000,"&gt;="&amp;$A150,Entries!$A$2:$A$5000,"&lt;"&amp;EDATE($A150,1)))</f>
        <v/>
      </c>
      <c r="P150" s="23">
        <f>IF($BM150=0,NA(),SUMIFS(Entries!$E$2:$E$5000,Entries!$D$2:$D$5000,"One-off",Entries!$A$2:$A$5000,"&gt;="&amp;$A150,Entries!$A$2:$A$5000,"&lt;"&amp;EDATE($A150,1)))</f>
        <v/>
      </c>
      <c r="Q150" s="23">
        <f>IF($BM150=0,NA(),SUMIFS(Entries!$E$2:$E$5000,Entries!$D$2:$D$5000,"Reimbursable",Entries!$A$2:$A$5000,"&gt;="&amp;$A150,Entries!$A$2:$A$5000,"&lt;"&amp;EDATE($A150,1)))</f>
        <v/>
      </c>
      <c r="R150" s="23">
        <f>IF($BM150=0,NA(),SUMIFS(Entries!$E$2:$E$5000,Entries!$D$2:$D$5000,"Investment",Entries!$A$2:$A$5000,"&gt;="&amp;$A150,Entries!$A$2:$A$5000,"&lt;"&amp;EDATE($A150,1)))</f>
        <v/>
      </c>
      <c r="S150" s="23">
        <f>IF($BM150=0,NA(),N150+O150)</f>
        <v/>
      </c>
      <c r="T150" s="23">
        <f>IF($BM150=0,"",E150-Q150)</f>
        <v/>
      </c>
      <c r="W150" s="23">
        <f>IF(OR(W$1="",$BM150=0),"",SUMIFS(Entries!$E$2:$E$5000,Entries!$C$2:$C$5000,"Actual",Entries!$A$2:$A$5000,"&gt;="&amp;$A150,Entries!$A$2:$A$5000,"&lt;"&amp;EDATE($A150,1),Entries!$B$2:$B$5000,W$1))</f>
        <v/>
      </c>
      <c r="X150" s="23">
        <f>IF(OR(X$1="",$BM150=0),"",SUMIFS(Entries!$E$2:$E$5000,Entries!$C$2:$C$5000,"Actual",Entries!$A$2:$A$5000,"&gt;="&amp;$A150,Entries!$A$2:$A$5000,"&lt;"&amp;EDATE($A150,1),Entries!$B$2:$B$5000,X$1))</f>
        <v/>
      </c>
      <c r="Y150" s="23">
        <f>IF(OR(Y$1="",$BM150=0),"",SUMIFS(Entries!$E$2:$E$5000,Entries!$C$2:$C$5000,"Actual",Entries!$A$2:$A$5000,"&gt;="&amp;$A150,Entries!$A$2:$A$5000,"&lt;"&amp;EDATE($A150,1),Entries!$B$2:$B$5000,Y$1))</f>
        <v/>
      </c>
      <c r="Z150" s="23">
        <f>IF(OR(Z$1="",$BM150=0),"",SUMIFS(Entries!$E$2:$E$5000,Entries!$C$2:$C$5000,"Actual",Entries!$A$2:$A$5000,"&gt;="&amp;$A150,Entries!$A$2:$A$5000,"&lt;"&amp;EDATE($A150,1),Entries!$B$2:$B$5000,Z$1))</f>
        <v/>
      </c>
      <c r="AA150" s="23">
        <f>IF(OR(AA$1="",$BM150=0),"",SUMIFS(Entries!$E$2:$E$5000,Entries!$C$2:$C$5000,"Actual",Entries!$A$2:$A$5000,"&gt;="&amp;$A150,Entries!$A$2:$A$5000,"&lt;"&amp;EDATE($A150,1),Entries!$B$2:$B$5000,AA$1))</f>
        <v/>
      </c>
      <c r="AB150" s="23">
        <f>IF(OR(AB$1="",$BM150=0),"",SUMIFS(Entries!$E$2:$E$5000,Entries!$C$2:$C$5000,"Actual",Entries!$A$2:$A$5000,"&gt;="&amp;$A150,Entries!$A$2:$A$5000,"&lt;"&amp;EDATE($A150,1),Entries!$B$2:$B$5000,AB$1))</f>
        <v/>
      </c>
      <c r="AC150" s="23">
        <f>IF(OR(AC$1="",$BM150=0),"",SUMIFS(Entries!$E$2:$E$5000,Entries!$C$2:$C$5000,"Actual",Entries!$A$2:$A$5000,"&gt;="&amp;$A150,Entries!$A$2:$A$5000,"&lt;"&amp;EDATE($A150,1),Entries!$B$2:$B$5000,AC$1))</f>
        <v/>
      </c>
      <c r="AD150" s="23">
        <f>IF(OR(AD$1="",$BM150=0),"",SUMIFS(Entries!$E$2:$E$5000,Entries!$C$2:$C$5000,"Actual",Entries!$A$2:$A$5000,"&gt;="&amp;$A150,Entries!$A$2:$A$5000,"&lt;"&amp;EDATE($A150,1),Entries!$B$2:$B$5000,AD$1))</f>
        <v/>
      </c>
      <c r="AE150" s="23">
        <f>IF(OR(AE$1="",$BM150=0),"",SUMIFS(Entries!$E$2:$E$5000,Entries!$C$2:$C$5000,"Actual",Entries!$A$2:$A$5000,"&gt;="&amp;$A150,Entries!$A$2:$A$5000,"&lt;"&amp;EDATE($A150,1),Entries!$B$2:$B$5000,AE$1))</f>
        <v/>
      </c>
      <c r="AF150" s="23">
        <f>IF(OR(AF$1="",$BM150=0),"",SUMIFS(Entries!$E$2:$E$5000,Entries!$C$2:$C$5000,"Actual",Entries!$A$2:$A$5000,"&gt;="&amp;$A150,Entries!$A$2:$A$5000,"&lt;"&amp;EDATE($A150,1),Entries!$B$2:$B$5000,AF$1))</f>
        <v/>
      </c>
      <c r="AG150" s="23">
        <f>IF(OR(AG$1="",$BM150=0),"",SUMIFS(Entries!$E$2:$E$5000,Entries!$C$2:$C$5000,"Actual",Entries!$A$2:$A$5000,"&gt;="&amp;$A150,Entries!$A$2:$A$5000,"&lt;"&amp;EDATE($A150,1),Entries!$B$2:$B$5000,AG$1))</f>
        <v/>
      </c>
      <c r="AH150" s="23">
        <f>IF(OR(AH$1="",$BM150=0),"",SUMIFS(Entries!$E$2:$E$5000,Entries!$C$2:$C$5000,"Actual",Entries!$A$2:$A$5000,"&gt;="&amp;$A150,Entries!$A$2:$A$5000,"&lt;"&amp;EDATE($A150,1),Entries!$B$2:$B$5000,AH$1))</f>
        <v/>
      </c>
      <c r="AI150" s="23">
        <f>IF(OR(AI$1="",$BM150=0),"",SUMIFS(Entries!$E$2:$E$5000,Entries!$C$2:$C$5000,"Actual",Entries!$A$2:$A$5000,"&gt;="&amp;$A150,Entries!$A$2:$A$5000,"&lt;"&amp;EDATE($A150,1),Entries!$B$2:$B$5000,AI$1))</f>
        <v/>
      </c>
      <c r="AJ150" s="23">
        <f>IF(OR(AJ$1="",$BM150=0),"",SUMIFS(Entries!$E$2:$E$5000,Entries!$C$2:$C$5000,"Actual",Entries!$A$2:$A$5000,"&gt;="&amp;$A150,Entries!$A$2:$A$5000,"&lt;"&amp;EDATE($A150,1),Entries!$B$2:$B$5000,AJ$1))</f>
        <v/>
      </c>
      <c r="AK150" s="23">
        <f>IF(OR(AK$1="",$BM150=0),"",SUMIFS(Entries!$E$2:$E$5000,Entries!$C$2:$C$5000,"Actual",Entries!$A$2:$A$5000,"&gt;="&amp;$A150,Entries!$A$2:$A$5000,"&lt;"&amp;EDATE($A150,1),Entries!$B$2:$B$5000,AK$1))</f>
        <v/>
      </c>
      <c r="AL150" s="23">
        <f>IF(OR(AL$1="",$BM150=0),"",SUMIFS(Entries!$E$2:$E$5000,Entries!$C$2:$C$5000,"Actual",Entries!$A$2:$A$5000,"&gt;="&amp;$A150,Entries!$A$2:$A$5000,"&lt;"&amp;EDATE($A150,1),Entries!$B$2:$B$5000,AL$1))</f>
        <v/>
      </c>
      <c r="AM150" s="23">
        <f>IF(OR(AM$1="",$BM150=0),"",SUMIFS(Entries!$E$2:$E$5000,Entries!$C$2:$C$5000,"Actual",Entries!$A$2:$A$5000,"&gt;="&amp;$A150,Entries!$A$2:$A$5000,"&lt;"&amp;EDATE($A150,1),Entries!$B$2:$B$5000,AM$1))</f>
        <v/>
      </c>
      <c r="AN150" s="23">
        <f>IF(OR(AN$1="",$BM150=0),"",SUMIFS(Entries!$E$2:$E$5000,Entries!$C$2:$C$5000,"Actual",Entries!$A$2:$A$5000,"&gt;="&amp;$A150,Entries!$A$2:$A$5000,"&lt;"&amp;EDATE($A150,1),Entries!$B$2:$B$5000,AN$1))</f>
        <v/>
      </c>
      <c r="AO150" s="23">
        <f>IF(OR(AO$1="",$BM150=0),"",SUMIFS(Entries!$E$2:$E$5000,Entries!$C$2:$C$5000,"Actual",Entries!$A$2:$A$5000,"&gt;="&amp;$A150,Entries!$A$2:$A$5000,"&lt;"&amp;EDATE($A150,1),Entries!$B$2:$B$5000,AO$1))</f>
        <v/>
      </c>
      <c r="AP150" s="23">
        <f>IF(OR(AP$1="",$BM150=0),"",SUMIFS(Entries!$E$2:$E$5000,Entries!$C$2:$C$5000,"Actual",Entries!$A$2:$A$5000,"&gt;="&amp;$A150,Entries!$A$2:$A$5000,"&lt;"&amp;EDATE($A150,1),Entries!$B$2:$B$5000,AP$1))</f>
        <v/>
      </c>
      <c r="AR150" s="23">
        <f>IF(OR(AR$1="",$BM150=0),"",IFERROR(LOOKUP(2,1/((Budgets!$A$2:$A$200=AR$1)*(Budgets!$B$2:$B$200&lt;EDATE($A150,1))),Budgets!$C$2:$C$200),0))</f>
        <v/>
      </c>
      <c r="AS150" s="23">
        <f>IF(OR(AS$1="",$BM150=0),"",IFERROR(LOOKUP(2,1/((Budgets!$A$2:$A$200=AS$1)*(Budgets!$B$2:$B$200&lt;EDATE($A150,1))),Budgets!$C$2:$C$200),0))</f>
        <v/>
      </c>
      <c r="AT150" s="23">
        <f>IF(OR(AT$1="",$BM150=0),"",IFERROR(LOOKUP(2,1/((Budgets!$A$2:$A$200=AT$1)*(Budgets!$B$2:$B$200&lt;EDATE($A150,1))),Budgets!$C$2:$C$200),0))</f>
        <v/>
      </c>
      <c r="AU150" s="23">
        <f>IF(OR(AU$1="",$BM150=0),"",IFERROR(LOOKUP(2,1/((Budgets!$A$2:$A$200=AU$1)*(Budgets!$B$2:$B$200&lt;EDATE($A150,1))),Budgets!$C$2:$C$200),0))</f>
        <v/>
      </c>
      <c r="AV150" s="23">
        <f>IF(OR(AV$1="",$BM150=0),"",IFERROR(LOOKUP(2,1/((Budgets!$A$2:$A$200=AV$1)*(Budgets!$B$2:$B$200&lt;EDATE($A150,1))),Budgets!$C$2:$C$200),0))</f>
        <v/>
      </c>
      <c r="AW150" s="23">
        <f>IF(OR(AW$1="",$BM150=0),"",IFERROR(LOOKUP(2,1/((Budgets!$A$2:$A$200=AW$1)*(Budgets!$B$2:$B$200&lt;EDATE($A150,1))),Budgets!$C$2:$C$200),0))</f>
        <v/>
      </c>
      <c r="AX150" s="23">
        <f>IF(OR(AX$1="",$BM150=0),"",IFERROR(LOOKUP(2,1/((Budgets!$A$2:$A$200=AX$1)*(Budgets!$B$2:$B$200&lt;EDATE($A150,1))),Budgets!$C$2:$C$200),0))</f>
        <v/>
      </c>
      <c r="AY150" s="23">
        <f>IF(OR(AY$1="",$BM150=0),"",IFERROR(LOOKUP(2,1/((Budgets!$A$2:$A$200=AY$1)*(Budgets!$B$2:$B$200&lt;EDATE($A150,1))),Budgets!$C$2:$C$200),0))</f>
        <v/>
      </c>
      <c r="AZ150" s="23">
        <f>IF(OR(AZ$1="",$BM150=0),"",IFERROR(LOOKUP(2,1/((Budgets!$A$2:$A$200=AZ$1)*(Budgets!$B$2:$B$200&lt;EDATE($A150,1))),Budgets!$C$2:$C$200),0))</f>
        <v/>
      </c>
      <c r="BA150" s="23">
        <f>IF(OR(BA$1="",$BM150=0),"",IFERROR(LOOKUP(2,1/((Budgets!$A$2:$A$200=BA$1)*(Budgets!$B$2:$B$200&lt;EDATE($A150,1))),Budgets!$C$2:$C$200),0))</f>
        <v/>
      </c>
      <c r="BB150" s="23">
        <f>IF(OR(BB$1="",$BM150=0),"",IFERROR(LOOKUP(2,1/((Budgets!$A$2:$A$200=BB$1)*(Budgets!$B$2:$B$200&lt;EDATE($A150,1))),Budgets!$C$2:$C$200),0))</f>
        <v/>
      </c>
      <c r="BC150" s="23">
        <f>IF(OR(BC$1="",$BM150=0),"",IFERROR(LOOKUP(2,1/((Budgets!$A$2:$A$200=BC$1)*(Budgets!$B$2:$B$200&lt;EDATE($A150,1))),Budgets!$C$2:$C$200),0))</f>
        <v/>
      </c>
      <c r="BD150" s="23">
        <f>IF(OR(BD$1="",$BM150=0),"",IFERROR(LOOKUP(2,1/((Budgets!$A$2:$A$200=BD$1)*(Budgets!$B$2:$B$200&lt;EDATE($A150,1))),Budgets!$C$2:$C$200),0))</f>
        <v/>
      </c>
      <c r="BE150" s="23">
        <f>IF(OR(BE$1="",$BM150=0),"",IFERROR(LOOKUP(2,1/((Budgets!$A$2:$A$200=BE$1)*(Budgets!$B$2:$B$200&lt;EDATE($A150,1))),Budgets!$C$2:$C$200),0))</f>
        <v/>
      </c>
      <c r="BF150" s="23">
        <f>IF(OR(BF$1="",$BM150=0),"",IFERROR(LOOKUP(2,1/((Budgets!$A$2:$A$200=BF$1)*(Budgets!$B$2:$B$200&lt;EDATE($A150,1))),Budgets!$C$2:$C$200),0))</f>
        <v/>
      </c>
      <c r="BG150" s="23">
        <f>IF(OR(BG$1="",$BM150=0),"",IFERROR(LOOKUP(2,1/((Budgets!$A$2:$A$200=BG$1)*(Budgets!$B$2:$B$200&lt;EDATE($A150,1))),Budgets!$C$2:$C$200),0))</f>
        <v/>
      </c>
      <c r="BH150" s="23">
        <f>IF(OR(BH$1="",$BM150=0),"",IFERROR(LOOKUP(2,1/((Budgets!$A$2:$A$200=BH$1)*(Budgets!$B$2:$B$200&lt;EDATE($A150,1))),Budgets!$C$2:$C$200),0))</f>
        <v/>
      </c>
      <c r="BI150" s="23">
        <f>IF(OR(BI$1="",$BM150=0),"",IFERROR(LOOKUP(2,1/((Budgets!$A$2:$A$200=BI$1)*(Budgets!$B$2:$B$200&lt;EDATE($A150,1))),Budgets!$C$2:$C$200),0))</f>
        <v/>
      </c>
      <c r="BJ150" s="23">
        <f>IF(OR(BJ$1="",$BM150=0),"",IFERROR(LOOKUP(2,1/((Budgets!$A$2:$A$200=BJ$1)*(Budgets!$B$2:$B$200&lt;EDATE($A150,1))),Budgets!$C$2:$C$200),0))</f>
        <v/>
      </c>
      <c r="BK150" s="23">
        <f>IF(OR(BK$1="",$BM150=0),"",IFERROR(LOOKUP(2,1/((Budgets!$A$2:$A$200=BK$1)*(Budgets!$B$2:$B$200&lt;EDATE($A150,1))),Budgets!$C$2:$C$200),0))</f>
        <v/>
      </c>
      <c r="BM150" s="21">
        <f>COUNTIFS(Entries!$A$2:$A$5000,"&gt;="&amp;$A150,Entries!$A$2:$A$5000,"&lt;"&amp;EDATE($A150,1))</f>
        <v/>
      </c>
    </row>
    <row r="151">
      <c r="A151" s="22" t="n">
        <v>43983</v>
      </c>
      <c r="B151" s="23">
        <f>IF($BM151=0,NA(),SUMIFS(Entries!$E$2:$E$5000,Entries!$C$2:$C$5000,"Income",Entries!$A$2:$A$5000,"&gt;="&amp;$A151,Entries!$A$2:$A$5000,"&lt;"&amp;EDATE($A151,1)))</f>
        <v/>
      </c>
      <c r="C151" s="23">
        <f>IF($BM151=0,"",SUMIFS(Entries!$E$2:$E$5000,Entries!$C$2:$C$5000,"Actual",Entries!$A$2:$A$5000,"&gt;="&amp;$A151,Entries!$A$2:$A$5000,"&lt;"&amp;EDATE($A151,1)))</f>
        <v/>
      </c>
      <c r="D151" s="23">
        <f>IF($BM151=0,"",SUMIFS(Entries!$E$2:$E$5000,Entries!$C$2:$C$5000,"One-off",Entries!$A$2:$A$5000,"&gt;="&amp;$A151,Entries!$A$2:$A$5000,"&lt;"&amp;EDATE($A151,1)))</f>
        <v/>
      </c>
      <c r="E151" s="23">
        <f>IF($BM151=0,NA(),C151+D151)</f>
        <v/>
      </c>
      <c r="F151" s="23">
        <f>IF($BM151=0,"",SUM(AR151:BK151))</f>
        <v/>
      </c>
      <c r="G151" s="23">
        <f>IF($BM151=0,"",B151-E151)</f>
        <v/>
      </c>
      <c r="H151" s="23">
        <f>IF($BM151=0,"",SUM($G$2:G151))</f>
        <v/>
      </c>
      <c r="I151" s="23">
        <f>IF($BM151=0,"",SUMIFS(Entries!$G$2:$G$5000,Entries!$A$2:$A$5000,"&gt;="&amp;$A151,Entries!$A$2:$A$5000,"&lt;"&amp;EDATE($A151,1)))</f>
        <v/>
      </c>
      <c r="J151" s="23">
        <f>IF($BM151=0,NA(),H151)</f>
        <v/>
      </c>
      <c r="K151" s="23">
        <f>IF($BM151=0,"",SUMIFS(Entries!$E$2:$E$5000,Entries!$C$2:$C$5000,"Income",Entries!$A$2:$A$5000,"&gt;="&amp;EDATE($A151,-11),Entries!$A$2:$A$5000,"&lt;"&amp;EDATE($A151,1))/COUNTIFS($A$2:$A$400,"&gt;="&amp;EDATE($A151,-11),$A$2:$A$400,"&lt;"&amp;EDATE($A151,1),$BM$2:$BM$400,"&gt;0"))</f>
      </c>
      <c r="L151" s="23">
        <f>IF($BM151=0,"",(SUMIFS(Entries!$E$2:$E$5000,Entries!$C$2:$C$5000,"Actual",Entries!$A$2:$A$5000,"&gt;="&amp;EDATE($A151,-11),Entries!$A$2:$A$5000,"&lt;"&amp;EDATE($A151,1))+SUMIFS(Entries!$E$2:$E$5000,Entries!$C$2:$C$5000,"One-off",Entries!$A$2:$A$5000,"&gt;="&amp;EDATE($A151,-11),Entries!$A$2:$A$5000,"&lt;"&amp;EDATE($A151,1)))/COUNTIFS($A$2:$A$400,"&gt;="&amp;EDATE($A151,-11),$A$2:$A$400,"&lt;"&amp;EDATE($A151,1),$BM$2:$BM$400,"&gt;0"))</f>
      </c>
      <c r="M151" s="24">
        <f>IF($BM151=0,NA(),IFERROR((K151-L151)/K151,0))</f>
        <v/>
      </c>
      <c r="N151" s="23">
        <f>IF($BM151=0,NA(),SUMIFS(Entries!$E$2:$E$5000,Entries!$D$2:$D$5000,"Core",Entries!$A$2:$A$5000,"&gt;="&amp;$A151,Entries!$A$2:$A$5000,"&lt;"&amp;EDATE($A151,1)))</f>
        <v/>
      </c>
      <c r="O151" s="23">
        <f>IF($BM151=0,NA(),SUMIFS(Entries!$E$2:$E$5000,Entries!$D$2:$D$5000,"Over &amp; above",Entries!$A$2:$A$5000,"&gt;="&amp;$A151,Entries!$A$2:$A$5000,"&lt;"&amp;EDATE($A151,1)))</f>
        <v/>
      </c>
      <c r="P151" s="23">
        <f>IF($BM151=0,NA(),SUMIFS(Entries!$E$2:$E$5000,Entries!$D$2:$D$5000,"One-off",Entries!$A$2:$A$5000,"&gt;="&amp;$A151,Entries!$A$2:$A$5000,"&lt;"&amp;EDATE($A151,1)))</f>
        <v/>
      </c>
      <c r="Q151" s="23">
        <f>IF($BM151=0,NA(),SUMIFS(Entries!$E$2:$E$5000,Entries!$D$2:$D$5000,"Reimbursable",Entries!$A$2:$A$5000,"&gt;="&amp;$A151,Entries!$A$2:$A$5000,"&lt;"&amp;EDATE($A151,1)))</f>
        <v/>
      </c>
      <c r="R151" s="23">
        <f>IF($BM151=0,NA(),SUMIFS(Entries!$E$2:$E$5000,Entries!$D$2:$D$5000,"Investment",Entries!$A$2:$A$5000,"&gt;="&amp;$A151,Entries!$A$2:$A$5000,"&lt;"&amp;EDATE($A151,1)))</f>
        <v/>
      </c>
      <c r="S151" s="23">
        <f>IF($BM151=0,NA(),N151+O151)</f>
        <v/>
      </c>
      <c r="T151" s="23">
        <f>IF($BM151=0,"",E151-Q151)</f>
        <v/>
      </c>
      <c r="W151" s="23">
        <f>IF(OR(W$1="",$BM151=0),"",SUMIFS(Entries!$E$2:$E$5000,Entries!$C$2:$C$5000,"Actual",Entries!$A$2:$A$5000,"&gt;="&amp;$A151,Entries!$A$2:$A$5000,"&lt;"&amp;EDATE($A151,1),Entries!$B$2:$B$5000,W$1))</f>
        <v/>
      </c>
      <c r="X151" s="23">
        <f>IF(OR(X$1="",$BM151=0),"",SUMIFS(Entries!$E$2:$E$5000,Entries!$C$2:$C$5000,"Actual",Entries!$A$2:$A$5000,"&gt;="&amp;$A151,Entries!$A$2:$A$5000,"&lt;"&amp;EDATE($A151,1),Entries!$B$2:$B$5000,X$1))</f>
        <v/>
      </c>
      <c r="Y151" s="23">
        <f>IF(OR(Y$1="",$BM151=0),"",SUMIFS(Entries!$E$2:$E$5000,Entries!$C$2:$C$5000,"Actual",Entries!$A$2:$A$5000,"&gt;="&amp;$A151,Entries!$A$2:$A$5000,"&lt;"&amp;EDATE($A151,1),Entries!$B$2:$B$5000,Y$1))</f>
        <v/>
      </c>
      <c r="Z151" s="23">
        <f>IF(OR(Z$1="",$BM151=0),"",SUMIFS(Entries!$E$2:$E$5000,Entries!$C$2:$C$5000,"Actual",Entries!$A$2:$A$5000,"&gt;="&amp;$A151,Entries!$A$2:$A$5000,"&lt;"&amp;EDATE($A151,1),Entries!$B$2:$B$5000,Z$1))</f>
        <v/>
      </c>
      <c r="AA151" s="23">
        <f>IF(OR(AA$1="",$BM151=0),"",SUMIFS(Entries!$E$2:$E$5000,Entries!$C$2:$C$5000,"Actual",Entries!$A$2:$A$5000,"&gt;="&amp;$A151,Entries!$A$2:$A$5000,"&lt;"&amp;EDATE($A151,1),Entries!$B$2:$B$5000,AA$1))</f>
        <v/>
      </c>
      <c r="AB151" s="23">
        <f>IF(OR(AB$1="",$BM151=0),"",SUMIFS(Entries!$E$2:$E$5000,Entries!$C$2:$C$5000,"Actual",Entries!$A$2:$A$5000,"&gt;="&amp;$A151,Entries!$A$2:$A$5000,"&lt;"&amp;EDATE($A151,1),Entries!$B$2:$B$5000,AB$1))</f>
        <v/>
      </c>
      <c r="AC151" s="23">
        <f>IF(OR(AC$1="",$BM151=0),"",SUMIFS(Entries!$E$2:$E$5000,Entries!$C$2:$C$5000,"Actual",Entries!$A$2:$A$5000,"&gt;="&amp;$A151,Entries!$A$2:$A$5000,"&lt;"&amp;EDATE($A151,1),Entries!$B$2:$B$5000,AC$1))</f>
        <v/>
      </c>
      <c r="AD151" s="23">
        <f>IF(OR(AD$1="",$BM151=0),"",SUMIFS(Entries!$E$2:$E$5000,Entries!$C$2:$C$5000,"Actual",Entries!$A$2:$A$5000,"&gt;="&amp;$A151,Entries!$A$2:$A$5000,"&lt;"&amp;EDATE($A151,1),Entries!$B$2:$B$5000,AD$1))</f>
        <v/>
      </c>
      <c r="AE151" s="23">
        <f>IF(OR(AE$1="",$BM151=0),"",SUMIFS(Entries!$E$2:$E$5000,Entries!$C$2:$C$5000,"Actual",Entries!$A$2:$A$5000,"&gt;="&amp;$A151,Entries!$A$2:$A$5000,"&lt;"&amp;EDATE($A151,1),Entries!$B$2:$B$5000,AE$1))</f>
        <v/>
      </c>
      <c r="AF151" s="23">
        <f>IF(OR(AF$1="",$BM151=0),"",SUMIFS(Entries!$E$2:$E$5000,Entries!$C$2:$C$5000,"Actual",Entries!$A$2:$A$5000,"&gt;="&amp;$A151,Entries!$A$2:$A$5000,"&lt;"&amp;EDATE($A151,1),Entries!$B$2:$B$5000,AF$1))</f>
        <v/>
      </c>
      <c r="AG151" s="23">
        <f>IF(OR(AG$1="",$BM151=0),"",SUMIFS(Entries!$E$2:$E$5000,Entries!$C$2:$C$5000,"Actual",Entries!$A$2:$A$5000,"&gt;="&amp;$A151,Entries!$A$2:$A$5000,"&lt;"&amp;EDATE($A151,1),Entries!$B$2:$B$5000,AG$1))</f>
        <v/>
      </c>
      <c r="AH151" s="23">
        <f>IF(OR(AH$1="",$BM151=0),"",SUMIFS(Entries!$E$2:$E$5000,Entries!$C$2:$C$5000,"Actual",Entries!$A$2:$A$5000,"&gt;="&amp;$A151,Entries!$A$2:$A$5000,"&lt;"&amp;EDATE($A151,1),Entries!$B$2:$B$5000,AH$1))</f>
        <v/>
      </c>
      <c r="AI151" s="23">
        <f>IF(OR(AI$1="",$BM151=0),"",SUMIFS(Entries!$E$2:$E$5000,Entries!$C$2:$C$5000,"Actual",Entries!$A$2:$A$5000,"&gt;="&amp;$A151,Entries!$A$2:$A$5000,"&lt;"&amp;EDATE($A151,1),Entries!$B$2:$B$5000,AI$1))</f>
        <v/>
      </c>
      <c r="AJ151" s="23">
        <f>IF(OR(AJ$1="",$BM151=0),"",SUMIFS(Entries!$E$2:$E$5000,Entries!$C$2:$C$5000,"Actual",Entries!$A$2:$A$5000,"&gt;="&amp;$A151,Entries!$A$2:$A$5000,"&lt;"&amp;EDATE($A151,1),Entries!$B$2:$B$5000,AJ$1))</f>
        <v/>
      </c>
      <c r="AK151" s="23">
        <f>IF(OR(AK$1="",$BM151=0),"",SUMIFS(Entries!$E$2:$E$5000,Entries!$C$2:$C$5000,"Actual",Entries!$A$2:$A$5000,"&gt;="&amp;$A151,Entries!$A$2:$A$5000,"&lt;"&amp;EDATE($A151,1),Entries!$B$2:$B$5000,AK$1))</f>
        <v/>
      </c>
      <c r="AL151" s="23">
        <f>IF(OR(AL$1="",$BM151=0),"",SUMIFS(Entries!$E$2:$E$5000,Entries!$C$2:$C$5000,"Actual",Entries!$A$2:$A$5000,"&gt;="&amp;$A151,Entries!$A$2:$A$5000,"&lt;"&amp;EDATE($A151,1),Entries!$B$2:$B$5000,AL$1))</f>
        <v/>
      </c>
      <c r="AM151" s="23">
        <f>IF(OR(AM$1="",$BM151=0),"",SUMIFS(Entries!$E$2:$E$5000,Entries!$C$2:$C$5000,"Actual",Entries!$A$2:$A$5000,"&gt;="&amp;$A151,Entries!$A$2:$A$5000,"&lt;"&amp;EDATE($A151,1),Entries!$B$2:$B$5000,AM$1))</f>
        <v/>
      </c>
      <c r="AN151" s="23">
        <f>IF(OR(AN$1="",$BM151=0),"",SUMIFS(Entries!$E$2:$E$5000,Entries!$C$2:$C$5000,"Actual",Entries!$A$2:$A$5000,"&gt;="&amp;$A151,Entries!$A$2:$A$5000,"&lt;"&amp;EDATE($A151,1),Entries!$B$2:$B$5000,AN$1))</f>
        <v/>
      </c>
      <c r="AO151" s="23">
        <f>IF(OR(AO$1="",$BM151=0),"",SUMIFS(Entries!$E$2:$E$5000,Entries!$C$2:$C$5000,"Actual",Entries!$A$2:$A$5000,"&gt;="&amp;$A151,Entries!$A$2:$A$5000,"&lt;"&amp;EDATE($A151,1),Entries!$B$2:$B$5000,AO$1))</f>
        <v/>
      </c>
      <c r="AP151" s="23">
        <f>IF(OR(AP$1="",$BM151=0),"",SUMIFS(Entries!$E$2:$E$5000,Entries!$C$2:$C$5000,"Actual",Entries!$A$2:$A$5000,"&gt;="&amp;$A151,Entries!$A$2:$A$5000,"&lt;"&amp;EDATE($A151,1),Entries!$B$2:$B$5000,AP$1))</f>
        <v/>
      </c>
      <c r="AR151" s="23">
        <f>IF(OR(AR$1="",$BM151=0),"",IFERROR(LOOKUP(2,1/((Budgets!$A$2:$A$200=AR$1)*(Budgets!$B$2:$B$200&lt;EDATE($A151,1))),Budgets!$C$2:$C$200),0))</f>
        <v/>
      </c>
      <c r="AS151" s="23">
        <f>IF(OR(AS$1="",$BM151=0),"",IFERROR(LOOKUP(2,1/((Budgets!$A$2:$A$200=AS$1)*(Budgets!$B$2:$B$200&lt;EDATE($A151,1))),Budgets!$C$2:$C$200),0))</f>
        <v/>
      </c>
      <c r="AT151" s="23">
        <f>IF(OR(AT$1="",$BM151=0),"",IFERROR(LOOKUP(2,1/((Budgets!$A$2:$A$200=AT$1)*(Budgets!$B$2:$B$200&lt;EDATE($A151,1))),Budgets!$C$2:$C$200),0))</f>
        <v/>
      </c>
      <c r="AU151" s="23">
        <f>IF(OR(AU$1="",$BM151=0),"",IFERROR(LOOKUP(2,1/((Budgets!$A$2:$A$200=AU$1)*(Budgets!$B$2:$B$200&lt;EDATE($A151,1))),Budgets!$C$2:$C$200),0))</f>
        <v/>
      </c>
      <c r="AV151" s="23">
        <f>IF(OR(AV$1="",$BM151=0),"",IFERROR(LOOKUP(2,1/((Budgets!$A$2:$A$200=AV$1)*(Budgets!$B$2:$B$200&lt;EDATE($A151,1))),Budgets!$C$2:$C$200),0))</f>
        <v/>
      </c>
      <c r="AW151" s="23">
        <f>IF(OR(AW$1="",$BM151=0),"",IFERROR(LOOKUP(2,1/((Budgets!$A$2:$A$200=AW$1)*(Budgets!$B$2:$B$200&lt;EDATE($A151,1))),Budgets!$C$2:$C$200),0))</f>
        <v/>
      </c>
      <c r="AX151" s="23">
        <f>IF(OR(AX$1="",$BM151=0),"",IFERROR(LOOKUP(2,1/((Budgets!$A$2:$A$200=AX$1)*(Budgets!$B$2:$B$200&lt;EDATE($A151,1))),Budgets!$C$2:$C$200),0))</f>
        <v/>
      </c>
      <c r="AY151" s="23">
        <f>IF(OR(AY$1="",$BM151=0),"",IFERROR(LOOKUP(2,1/((Budgets!$A$2:$A$200=AY$1)*(Budgets!$B$2:$B$200&lt;EDATE($A151,1))),Budgets!$C$2:$C$200),0))</f>
        <v/>
      </c>
      <c r="AZ151" s="23">
        <f>IF(OR(AZ$1="",$BM151=0),"",IFERROR(LOOKUP(2,1/((Budgets!$A$2:$A$200=AZ$1)*(Budgets!$B$2:$B$200&lt;EDATE($A151,1))),Budgets!$C$2:$C$200),0))</f>
        <v/>
      </c>
      <c r="BA151" s="23">
        <f>IF(OR(BA$1="",$BM151=0),"",IFERROR(LOOKUP(2,1/((Budgets!$A$2:$A$200=BA$1)*(Budgets!$B$2:$B$200&lt;EDATE($A151,1))),Budgets!$C$2:$C$200),0))</f>
        <v/>
      </c>
      <c r="BB151" s="23">
        <f>IF(OR(BB$1="",$BM151=0),"",IFERROR(LOOKUP(2,1/((Budgets!$A$2:$A$200=BB$1)*(Budgets!$B$2:$B$200&lt;EDATE($A151,1))),Budgets!$C$2:$C$200),0))</f>
        <v/>
      </c>
      <c r="BC151" s="23">
        <f>IF(OR(BC$1="",$BM151=0),"",IFERROR(LOOKUP(2,1/((Budgets!$A$2:$A$200=BC$1)*(Budgets!$B$2:$B$200&lt;EDATE($A151,1))),Budgets!$C$2:$C$200),0))</f>
        <v/>
      </c>
      <c r="BD151" s="23">
        <f>IF(OR(BD$1="",$BM151=0),"",IFERROR(LOOKUP(2,1/((Budgets!$A$2:$A$200=BD$1)*(Budgets!$B$2:$B$200&lt;EDATE($A151,1))),Budgets!$C$2:$C$200),0))</f>
        <v/>
      </c>
      <c r="BE151" s="23">
        <f>IF(OR(BE$1="",$BM151=0),"",IFERROR(LOOKUP(2,1/((Budgets!$A$2:$A$200=BE$1)*(Budgets!$B$2:$B$200&lt;EDATE($A151,1))),Budgets!$C$2:$C$200),0))</f>
        <v/>
      </c>
      <c r="BF151" s="23">
        <f>IF(OR(BF$1="",$BM151=0),"",IFERROR(LOOKUP(2,1/((Budgets!$A$2:$A$200=BF$1)*(Budgets!$B$2:$B$200&lt;EDATE($A151,1))),Budgets!$C$2:$C$200),0))</f>
        <v/>
      </c>
      <c r="BG151" s="23">
        <f>IF(OR(BG$1="",$BM151=0),"",IFERROR(LOOKUP(2,1/((Budgets!$A$2:$A$200=BG$1)*(Budgets!$B$2:$B$200&lt;EDATE($A151,1))),Budgets!$C$2:$C$200),0))</f>
        <v/>
      </c>
      <c r="BH151" s="23">
        <f>IF(OR(BH$1="",$BM151=0),"",IFERROR(LOOKUP(2,1/((Budgets!$A$2:$A$200=BH$1)*(Budgets!$B$2:$B$200&lt;EDATE($A151,1))),Budgets!$C$2:$C$200),0))</f>
        <v/>
      </c>
      <c r="BI151" s="23">
        <f>IF(OR(BI$1="",$BM151=0),"",IFERROR(LOOKUP(2,1/((Budgets!$A$2:$A$200=BI$1)*(Budgets!$B$2:$B$200&lt;EDATE($A151,1))),Budgets!$C$2:$C$200),0))</f>
        <v/>
      </c>
      <c r="BJ151" s="23">
        <f>IF(OR(BJ$1="",$BM151=0),"",IFERROR(LOOKUP(2,1/((Budgets!$A$2:$A$200=BJ$1)*(Budgets!$B$2:$B$200&lt;EDATE($A151,1))),Budgets!$C$2:$C$200),0))</f>
        <v/>
      </c>
      <c r="BK151" s="23">
        <f>IF(OR(BK$1="",$BM151=0),"",IFERROR(LOOKUP(2,1/((Budgets!$A$2:$A$200=BK$1)*(Budgets!$B$2:$B$200&lt;EDATE($A151,1))),Budgets!$C$2:$C$200),0))</f>
        <v/>
      </c>
      <c r="BM151" s="21">
        <f>COUNTIFS(Entries!$A$2:$A$5000,"&gt;="&amp;$A151,Entries!$A$2:$A$5000,"&lt;"&amp;EDATE($A151,1))</f>
        <v/>
      </c>
    </row>
    <row r="152">
      <c r="A152" s="22" t="n">
        <v>44013</v>
      </c>
      <c r="B152" s="23">
        <f>IF($BM152=0,NA(),SUMIFS(Entries!$E$2:$E$5000,Entries!$C$2:$C$5000,"Income",Entries!$A$2:$A$5000,"&gt;="&amp;$A152,Entries!$A$2:$A$5000,"&lt;"&amp;EDATE($A152,1)))</f>
        <v/>
      </c>
      <c r="C152" s="23">
        <f>IF($BM152=0,"",SUMIFS(Entries!$E$2:$E$5000,Entries!$C$2:$C$5000,"Actual",Entries!$A$2:$A$5000,"&gt;="&amp;$A152,Entries!$A$2:$A$5000,"&lt;"&amp;EDATE($A152,1)))</f>
        <v/>
      </c>
      <c r="D152" s="23">
        <f>IF($BM152=0,"",SUMIFS(Entries!$E$2:$E$5000,Entries!$C$2:$C$5000,"One-off",Entries!$A$2:$A$5000,"&gt;="&amp;$A152,Entries!$A$2:$A$5000,"&lt;"&amp;EDATE($A152,1)))</f>
        <v/>
      </c>
      <c r="E152" s="23">
        <f>IF($BM152=0,NA(),C152+D152)</f>
        <v/>
      </c>
      <c r="F152" s="23">
        <f>IF($BM152=0,"",SUM(AR152:BK152))</f>
        <v/>
      </c>
      <c r="G152" s="23">
        <f>IF($BM152=0,"",B152-E152)</f>
        <v/>
      </c>
      <c r="H152" s="23">
        <f>IF($BM152=0,"",SUM($G$2:G152))</f>
        <v/>
      </c>
      <c r="I152" s="23">
        <f>IF($BM152=0,"",SUMIFS(Entries!$G$2:$G$5000,Entries!$A$2:$A$5000,"&gt;="&amp;$A152,Entries!$A$2:$A$5000,"&lt;"&amp;EDATE($A152,1)))</f>
        <v/>
      </c>
      <c r="J152" s="23">
        <f>IF($BM152=0,NA(),H152)</f>
        <v/>
      </c>
      <c r="K152" s="23">
        <f>IF($BM152=0,"",SUMIFS(Entries!$E$2:$E$5000,Entries!$C$2:$C$5000,"Income",Entries!$A$2:$A$5000,"&gt;="&amp;EDATE($A152,-11),Entries!$A$2:$A$5000,"&lt;"&amp;EDATE($A152,1))/COUNTIFS($A$2:$A$400,"&gt;="&amp;EDATE($A152,-11),$A$2:$A$400,"&lt;"&amp;EDATE($A152,1),$BM$2:$BM$400,"&gt;0"))</f>
      </c>
      <c r="L152" s="23">
        <f>IF($BM152=0,"",(SUMIFS(Entries!$E$2:$E$5000,Entries!$C$2:$C$5000,"Actual",Entries!$A$2:$A$5000,"&gt;="&amp;EDATE($A152,-11),Entries!$A$2:$A$5000,"&lt;"&amp;EDATE($A152,1))+SUMIFS(Entries!$E$2:$E$5000,Entries!$C$2:$C$5000,"One-off",Entries!$A$2:$A$5000,"&gt;="&amp;EDATE($A152,-11),Entries!$A$2:$A$5000,"&lt;"&amp;EDATE($A152,1)))/COUNTIFS($A$2:$A$400,"&gt;="&amp;EDATE($A152,-11),$A$2:$A$400,"&lt;"&amp;EDATE($A152,1),$BM$2:$BM$400,"&gt;0"))</f>
      </c>
      <c r="M152" s="24">
        <f>IF($BM152=0,NA(),IFERROR((K152-L152)/K152,0))</f>
        <v/>
      </c>
      <c r="N152" s="23">
        <f>IF($BM152=0,NA(),SUMIFS(Entries!$E$2:$E$5000,Entries!$D$2:$D$5000,"Core",Entries!$A$2:$A$5000,"&gt;="&amp;$A152,Entries!$A$2:$A$5000,"&lt;"&amp;EDATE($A152,1)))</f>
        <v/>
      </c>
      <c r="O152" s="23">
        <f>IF($BM152=0,NA(),SUMIFS(Entries!$E$2:$E$5000,Entries!$D$2:$D$5000,"Over &amp; above",Entries!$A$2:$A$5000,"&gt;="&amp;$A152,Entries!$A$2:$A$5000,"&lt;"&amp;EDATE($A152,1)))</f>
        <v/>
      </c>
      <c r="P152" s="23">
        <f>IF($BM152=0,NA(),SUMIFS(Entries!$E$2:$E$5000,Entries!$D$2:$D$5000,"One-off",Entries!$A$2:$A$5000,"&gt;="&amp;$A152,Entries!$A$2:$A$5000,"&lt;"&amp;EDATE($A152,1)))</f>
        <v/>
      </c>
      <c r="Q152" s="23">
        <f>IF($BM152=0,NA(),SUMIFS(Entries!$E$2:$E$5000,Entries!$D$2:$D$5000,"Reimbursable",Entries!$A$2:$A$5000,"&gt;="&amp;$A152,Entries!$A$2:$A$5000,"&lt;"&amp;EDATE($A152,1)))</f>
        <v/>
      </c>
      <c r="R152" s="23">
        <f>IF($BM152=0,NA(),SUMIFS(Entries!$E$2:$E$5000,Entries!$D$2:$D$5000,"Investment",Entries!$A$2:$A$5000,"&gt;="&amp;$A152,Entries!$A$2:$A$5000,"&lt;"&amp;EDATE($A152,1)))</f>
        <v/>
      </c>
      <c r="S152" s="23">
        <f>IF($BM152=0,NA(),N152+O152)</f>
        <v/>
      </c>
      <c r="T152" s="23">
        <f>IF($BM152=0,"",E152-Q152)</f>
        <v/>
      </c>
      <c r="W152" s="23">
        <f>IF(OR(W$1="",$BM152=0),"",SUMIFS(Entries!$E$2:$E$5000,Entries!$C$2:$C$5000,"Actual",Entries!$A$2:$A$5000,"&gt;="&amp;$A152,Entries!$A$2:$A$5000,"&lt;"&amp;EDATE($A152,1),Entries!$B$2:$B$5000,W$1))</f>
        <v/>
      </c>
      <c r="X152" s="23">
        <f>IF(OR(X$1="",$BM152=0),"",SUMIFS(Entries!$E$2:$E$5000,Entries!$C$2:$C$5000,"Actual",Entries!$A$2:$A$5000,"&gt;="&amp;$A152,Entries!$A$2:$A$5000,"&lt;"&amp;EDATE($A152,1),Entries!$B$2:$B$5000,X$1))</f>
        <v/>
      </c>
      <c r="Y152" s="23">
        <f>IF(OR(Y$1="",$BM152=0),"",SUMIFS(Entries!$E$2:$E$5000,Entries!$C$2:$C$5000,"Actual",Entries!$A$2:$A$5000,"&gt;="&amp;$A152,Entries!$A$2:$A$5000,"&lt;"&amp;EDATE($A152,1),Entries!$B$2:$B$5000,Y$1))</f>
        <v/>
      </c>
      <c r="Z152" s="23">
        <f>IF(OR(Z$1="",$BM152=0),"",SUMIFS(Entries!$E$2:$E$5000,Entries!$C$2:$C$5000,"Actual",Entries!$A$2:$A$5000,"&gt;="&amp;$A152,Entries!$A$2:$A$5000,"&lt;"&amp;EDATE($A152,1),Entries!$B$2:$B$5000,Z$1))</f>
        <v/>
      </c>
      <c r="AA152" s="23">
        <f>IF(OR(AA$1="",$BM152=0),"",SUMIFS(Entries!$E$2:$E$5000,Entries!$C$2:$C$5000,"Actual",Entries!$A$2:$A$5000,"&gt;="&amp;$A152,Entries!$A$2:$A$5000,"&lt;"&amp;EDATE($A152,1),Entries!$B$2:$B$5000,AA$1))</f>
        <v/>
      </c>
      <c r="AB152" s="23">
        <f>IF(OR(AB$1="",$BM152=0),"",SUMIFS(Entries!$E$2:$E$5000,Entries!$C$2:$C$5000,"Actual",Entries!$A$2:$A$5000,"&gt;="&amp;$A152,Entries!$A$2:$A$5000,"&lt;"&amp;EDATE($A152,1),Entries!$B$2:$B$5000,AB$1))</f>
        <v/>
      </c>
      <c r="AC152" s="23">
        <f>IF(OR(AC$1="",$BM152=0),"",SUMIFS(Entries!$E$2:$E$5000,Entries!$C$2:$C$5000,"Actual",Entries!$A$2:$A$5000,"&gt;="&amp;$A152,Entries!$A$2:$A$5000,"&lt;"&amp;EDATE($A152,1),Entries!$B$2:$B$5000,AC$1))</f>
        <v/>
      </c>
      <c r="AD152" s="23">
        <f>IF(OR(AD$1="",$BM152=0),"",SUMIFS(Entries!$E$2:$E$5000,Entries!$C$2:$C$5000,"Actual",Entries!$A$2:$A$5000,"&gt;="&amp;$A152,Entries!$A$2:$A$5000,"&lt;"&amp;EDATE($A152,1),Entries!$B$2:$B$5000,AD$1))</f>
        <v/>
      </c>
      <c r="AE152" s="23">
        <f>IF(OR(AE$1="",$BM152=0),"",SUMIFS(Entries!$E$2:$E$5000,Entries!$C$2:$C$5000,"Actual",Entries!$A$2:$A$5000,"&gt;="&amp;$A152,Entries!$A$2:$A$5000,"&lt;"&amp;EDATE($A152,1),Entries!$B$2:$B$5000,AE$1))</f>
        <v/>
      </c>
      <c r="AF152" s="23">
        <f>IF(OR(AF$1="",$BM152=0),"",SUMIFS(Entries!$E$2:$E$5000,Entries!$C$2:$C$5000,"Actual",Entries!$A$2:$A$5000,"&gt;="&amp;$A152,Entries!$A$2:$A$5000,"&lt;"&amp;EDATE($A152,1),Entries!$B$2:$B$5000,AF$1))</f>
        <v/>
      </c>
      <c r="AG152" s="23">
        <f>IF(OR(AG$1="",$BM152=0),"",SUMIFS(Entries!$E$2:$E$5000,Entries!$C$2:$C$5000,"Actual",Entries!$A$2:$A$5000,"&gt;="&amp;$A152,Entries!$A$2:$A$5000,"&lt;"&amp;EDATE($A152,1),Entries!$B$2:$B$5000,AG$1))</f>
        <v/>
      </c>
      <c r="AH152" s="23">
        <f>IF(OR(AH$1="",$BM152=0),"",SUMIFS(Entries!$E$2:$E$5000,Entries!$C$2:$C$5000,"Actual",Entries!$A$2:$A$5000,"&gt;="&amp;$A152,Entries!$A$2:$A$5000,"&lt;"&amp;EDATE($A152,1),Entries!$B$2:$B$5000,AH$1))</f>
        <v/>
      </c>
      <c r="AI152" s="23">
        <f>IF(OR(AI$1="",$BM152=0),"",SUMIFS(Entries!$E$2:$E$5000,Entries!$C$2:$C$5000,"Actual",Entries!$A$2:$A$5000,"&gt;="&amp;$A152,Entries!$A$2:$A$5000,"&lt;"&amp;EDATE($A152,1),Entries!$B$2:$B$5000,AI$1))</f>
        <v/>
      </c>
      <c r="AJ152" s="23">
        <f>IF(OR(AJ$1="",$BM152=0),"",SUMIFS(Entries!$E$2:$E$5000,Entries!$C$2:$C$5000,"Actual",Entries!$A$2:$A$5000,"&gt;="&amp;$A152,Entries!$A$2:$A$5000,"&lt;"&amp;EDATE($A152,1),Entries!$B$2:$B$5000,AJ$1))</f>
        <v/>
      </c>
      <c r="AK152" s="23">
        <f>IF(OR(AK$1="",$BM152=0),"",SUMIFS(Entries!$E$2:$E$5000,Entries!$C$2:$C$5000,"Actual",Entries!$A$2:$A$5000,"&gt;="&amp;$A152,Entries!$A$2:$A$5000,"&lt;"&amp;EDATE($A152,1),Entries!$B$2:$B$5000,AK$1))</f>
        <v/>
      </c>
      <c r="AL152" s="23">
        <f>IF(OR(AL$1="",$BM152=0),"",SUMIFS(Entries!$E$2:$E$5000,Entries!$C$2:$C$5000,"Actual",Entries!$A$2:$A$5000,"&gt;="&amp;$A152,Entries!$A$2:$A$5000,"&lt;"&amp;EDATE($A152,1),Entries!$B$2:$B$5000,AL$1))</f>
        <v/>
      </c>
      <c r="AM152" s="23">
        <f>IF(OR(AM$1="",$BM152=0),"",SUMIFS(Entries!$E$2:$E$5000,Entries!$C$2:$C$5000,"Actual",Entries!$A$2:$A$5000,"&gt;="&amp;$A152,Entries!$A$2:$A$5000,"&lt;"&amp;EDATE($A152,1),Entries!$B$2:$B$5000,AM$1))</f>
        <v/>
      </c>
      <c r="AN152" s="23">
        <f>IF(OR(AN$1="",$BM152=0),"",SUMIFS(Entries!$E$2:$E$5000,Entries!$C$2:$C$5000,"Actual",Entries!$A$2:$A$5000,"&gt;="&amp;$A152,Entries!$A$2:$A$5000,"&lt;"&amp;EDATE($A152,1),Entries!$B$2:$B$5000,AN$1))</f>
        <v/>
      </c>
      <c r="AO152" s="23">
        <f>IF(OR(AO$1="",$BM152=0),"",SUMIFS(Entries!$E$2:$E$5000,Entries!$C$2:$C$5000,"Actual",Entries!$A$2:$A$5000,"&gt;="&amp;$A152,Entries!$A$2:$A$5000,"&lt;"&amp;EDATE($A152,1),Entries!$B$2:$B$5000,AO$1))</f>
        <v/>
      </c>
      <c r="AP152" s="23">
        <f>IF(OR(AP$1="",$BM152=0),"",SUMIFS(Entries!$E$2:$E$5000,Entries!$C$2:$C$5000,"Actual",Entries!$A$2:$A$5000,"&gt;="&amp;$A152,Entries!$A$2:$A$5000,"&lt;"&amp;EDATE($A152,1),Entries!$B$2:$B$5000,AP$1))</f>
        <v/>
      </c>
      <c r="AR152" s="23">
        <f>IF(OR(AR$1="",$BM152=0),"",IFERROR(LOOKUP(2,1/((Budgets!$A$2:$A$200=AR$1)*(Budgets!$B$2:$B$200&lt;EDATE($A152,1))),Budgets!$C$2:$C$200),0))</f>
        <v/>
      </c>
      <c r="AS152" s="23">
        <f>IF(OR(AS$1="",$BM152=0),"",IFERROR(LOOKUP(2,1/((Budgets!$A$2:$A$200=AS$1)*(Budgets!$B$2:$B$200&lt;EDATE($A152,1))),Budgets!$C$2:$C$200),0))</f>
        <v/>
      </c>
      <c r="AT152" s="23">
        <f>IF(OR(AT$1="",$BM152=0),"",IFERROR(LOOKUP(2,1/((Budgets!$A$2:$A$200=AT$1)*(Budgets!$B$2:$B$200&lt;EDATE($A152,1))),Budgets!$C$2:$C$200),0))</f>
        <v/>
      </c>
      <c r="AU152" s="23">
        <f>IF(OR(AU$1="",$BM152=0),"",IFERROR(LOOKUP(2,1/((Budgets!$A$2:$A$200=AU$1)*(Budgets!$B$2:$B$200&lt;EDATE($A152,1))),Budgets!$C$2:$C$200),0))</f>
        <v/>
      </c>
      <c r="AV152" s="23">
        <f>IF(OR(AV$1="",$BM152=0),"",IFERROR(LOOKUP(2,1/((Budgets!$A$2:$A$200=AV$1)*(Budgets!$B$2:$B$200&lt;EDATE($A152,1))),Budgets!$C$2:$C$200),0))</f>
        <v/>
      </c>
      <c r="AW152" s="23">
        <f>IF(OR(AW$1="",$BM152=0),"",IFERROR(LOOKUP(2,1/((Budgets!$A$2:$A$200=AW$1)*(Budgets!$B$2:$B$200&lt;EDATE($A152,1))),Budgets!$C$2:$C$200),0))</f>
        <v/>
      </c>
      <c r="AX152" s="23">
        <f>IF(OR(AX$1="",$BM152=0),"",IFERROR(LOOKUP(2,1/((Budgets!$A$2:$A$200=AX$1)*(Budgets!$B$2:$B$200&lt;EDATE($A152,1))),Budgets!$C$2:$C$200),0))</f>
        <v/>
      </c>
      <c r="AY152" s="23">
        <f>IF(OR(AY$1="",$BM152=0),"",IFERROR(LOOKUP(2,1/((Budgets!$A$2:$A$200=AY$1)*(Budgets!$B$2:$B$200&lt;EDATE($A152,1))),Budgets!$C$2:$C$200),0))</f>
        <v/>
      </c>
      <c r="AZ152" s="23">
        <f>IF(OR(AZ$1="",$BM152=0),"",IFERROR(LOOKUP(2,1/((Budgets!$A$2:$A$200=AZ$1)*(Budgets!$B$2:$B$200&lt;EDATE($A152,1))),Budgets!$C$2:$C$200),0))</f>
        <v/>
      </c>
      <c r="BA152" s="23">
        <f>IF(OR(BA$1="",$BM152=0),"",IFERROR(LOOKUP(2,1/((Budgets!$A$2:$A$200=BA$1)*(Budgets!$B$2:$B$200&lt;EDATE($A152,1))),Budgets!$C$2:$C$200),0))</f>
        <v/>
      </c>
      <c r="BB152" s="23">
        <f>IF(OR(BB$1="",$BM152=0),"",IFERROR(LOOKUP(2,1/((Budgets!$A$2:$A$200=BB$1)*(Budgets!$B$2:$B$200&lt;EDATE($A152,1))),Budgets!$C$2:$C$200),0))</f>
        <v/>
      </c>
      <c r="BC152" s="23">
        <f>IF(OR(BC$1="",$BM152=0),"",IFERROR(LOOKUP(2,1/((Budgets!$A$2:$A$200=BC$1)*(Budgets!$B$2:$B$200&lt;EDATE($A152,1))),Budgets!$C$2:$C$200),0))</f>
        <v/>
      </c>
      <c r="BD152" s="23">
        <f>IF(OR(BD$1="",$BM152=0),"",IFERROR(LOOKUP(2,1/((Budgets!$A$2:$A$200=BD$1)*(Budgets!$B$2:$B$200&lt;EDATE($A152,1))),Budgets!$C$2:$C$200),0))</f>
        <v/>
      </c>
      <c r="BE152" s="23">
        <f>IF(OR(BE$1="",$BM152=0),"",IFERROR(LOOKUP(2,1/((Budgets!$A$2:$A$200=BE$1)*(Budgets!$B$2:$B$200&lt;EDATE($A152,1))),Budgets!$C$2:$C$200),0))</f>
        <v/>
      </c>
      <c r="BF152" s="23">
        <f>IF(OR(BF$1="",$BM152=0),"",IFERROR(LOOKUP(2,1/((Budgets!$A$2:$A$200=BF$1)*(Budgets!$B$2:$B$200&lt;EDATE($A152,1))),Budgets!$C$2:$C$200),0))</f>
        <v/>
      </c>
      <c r="BG152" s="23">
        <f>IF(OR(BG$1="",$BM152=0),"",IFERROR(LOOKUP(2,1/((Budgets!$A$2:$A$200=BG$1)*(Budgets!$B$2:$B$200&lt;EDATE($A152,1))),Budgets!$C$2:$C$200),0))</f>
        <v/>
      </c>
      <c r="BH152" s="23">
        <f>IF(OR(BH$1="",$BM152=0),"",IFERROR(LOOKUP(2,1/((Budgets!$A$2:$A$200=BH$1)*(Budgets!$B$2:$B$200&lt;EDATE($A152,1))),Budgets!$C$2:$C$200),0))</f>
        <v/>
      </c>
      <c r="BI152" s="23">
        <f>IF(OR(BI$1="",$BM152=0),"",IFERROR(LOOKUP(2,1/((Budgets!$A$2:$A$200=BI$1)*(Budgets!$B$2:$B$200&lt;EDATE($A152,1))),Budgets!$C$2:$C$200),0))</f>
        <v/>
      </c>
      <c r="BJ152" s="23">
        <f>IF(OR(BJ$1="",$BM152=0),"",IFERROR(LOOKUP(2,1/((Budgets!$A$2:$A$200=BJ$1)*(Budgets!$B$2:$B$200&lt;EDATE($A152,1))),Budgets!$C$2:$C$200),0))</f>
        <v/>
      </c>
      <c r="BK152" s="23">
        <f>IF(OR(BK$1="",$BM152=0),"",IFERROR(LOOKUP(2,1/((Budgets!$A$2:$A$200=BK$1)*(Budgets!$B$2:$B$200&lt;EDATE($A152,1))),Budgets!$C$2:$C$200),0))</f>
        <v/>
      </c>
      <c r="BM152" s="21">
        <f>COUNTIFS(Entries!$A$2:$A$5000,"&gt;="&amp;$A152,Entries!$A$2:$A$5000,"&lt;"&amp;EDATE($A152,1))</f>
        <v/>
      </c>
    </row>
    <row r="153">
      <c r="A153" s="22" t="n">
        <v>44044</v>
      </c>
      <c r="B153" s="23">
        <f>IF($BM153=0,NA(),SUMIFS(Entries!$E$2:$E$5000,Entries!$C$2:$C$5000,"Income",Entries!$A$2:$A$5000,"&gt;="&amp;$A153,Entries!$A$2:$A$5000,"&lt;"&amp;EDATE($A153,1)))</f>
        <v/>
      </c>
      <c r="C153" s="23">
        <f>IF($BM153=0,"",SUMIFS(Entries!$E$2:$E$5000,Entries!$C$2:$C$5000,"Actual",Entries!$A$2:$A$5000,"&gt;="&amp;$A153,Entries!$A$2:$A$5000,"&lt;"&amp;EDATE($A153,1)))</f>
        <v/>
      </c>
      <c r="D153" s="23">
        <f>IF($BM153=0,"",SUMIFS(Entries!$E$2:$E$5000,Entries!$C$2:$C$5000,"One-off",Entries!$A$2:$A$5000,"&gt;="&amp;$A153,Entries!$A$2:$A$5000,"&lt;"&amp;EDATE($A153,1)))</f>
        <v/>
      </c>
      <c r="E153" s="23">
        <f>IF($BM153=0,NA(),C153+D153)</f>
        <v/>
      </c>
      <c r="F153" s="23">
        <f>IF($BM153=0,"",SUM(AR153:BK153))</f>
        <v/>
      </c>
      <c r="G153" s="23">
        <f>IF($BM153=0,"",B153-E153)</f>
        <v/>
      </c>
      <c r="H153" s="23">
        <f>IF($BM153=0,"",SUM($G$2:G153))</f>
        <v/>
      </c>
      <c r="I153" s="23">
        <f>IF($BM153=0,"",SUMIFS(Entries!$G$2:$G$5000,Entries!$A$2:$A$5000,"&gt;="&amp;$A153,Entries!$A$2:$A$5000,"&lt;"&amp;EDATE($A153,1)))</f>
        <v/>
      </c>
      <c r="J153" s="23">
        <f>IF($BM153=0,NA(),H153)</f>
        <v/>
      </c>
      <c r="K153" s="23">
        <f>IF($BM153=0,"",SUMIFS(Entries!$E$2:$E$5000,Entries!$C$2:$C$5000,"Income",Entries!$A$2:$A$5000,"&gt;="&amp;EDATE($A153,-11),Entries!$A$2:$A$5000,"&lt;"&amp;EDATE($A153,1))/COUNTIFS($A$2:$A$400,"&gt;="&amp;EDATE($A153,-11),$A$2:$A$400,"&lt;"&amp;EDATE($A153,1),$BM$2:$BM$400,"&gt;0"))</f>
      </c>
      <c r="L153" s="23">
        <f>IF($BM153=0,"",(SUMIFS(Entries!$E$2:$E$5000,Entries!$C$2:$C$5000,"Actual",Entries!$A$2:$A$5000,"&gt;="&amp;EDATE($A153,-11),Entries!$A$2:$A$5000,"&lt;"&amp;EDATE($A153,1))+SUMIFS(Entries!$E$2:$E$5000,Entries!$C$2:$C$5000,"One-off",Entries!$A$2:$A$5000,"&gt;="&amp;EDATE($A153,-11),Entries!$A$2:$A$5000,"&lt;"&amp;EDATE($A153,1)))/COUNTIFS($A$2:$A$400,"&gt;="&amp;EDATE($A153,-11),$A$2:$A$400,"&lt;"&amp;EDATE($A153,1),$BM$2:$BM$400,"&gt;0"))</f>
      </c>
      <c r="M153" s="24">
        <f>IF($BM153=0,NA(),IFERROR((K153-L153)/K153,0))</f>
        <v/>
      </c>
      <c r="N153" s="23">
        <f>IF($BM153=0,NA(),SUMIFS(Entries!$E$2:$E$5000,Entries!$D$2:$D$5000,"Core",Entries!$A$2:$A$5000,"&gt;="&amp;$A153,Entries!$A$2:$A$5000,"&lt;"&amp;EDATE($A153,1)))</f>
        <v/>
      </c>
      <c r="O153" s="23">
        <f>IF($BM153=0,NA(),SUMIFS(Entries!$E$2:$E$5000,Entries!$D$2:$D$5000,"Over &amp; above",Entries!$A$2:$A$5000,"&gt;="&amp;$A153,Entries!$A$2:$A$5000,"&lt;"&amp;EDATE($A153,1)))</f>
        <v/>
      </c>
      <c r="P153" s="23">
        <f>IF($BM153=0,NA(),SUMIFS(Entries!$E$2:$E$5000,Entries!$D$2:$D$5000,"One-off",Entries!$A$2:$A$5000,"&gt;="&amp;$A153,Entries!$A$2:$A$5000,"&lt;"&amp;EDATE($A153,1)))</f>
        <v/>
      </c>
      <c r="Q153" s="23">
        <f>IF($BM153=0,NA(),SUMIFS(Entries!$E$2:$E$5000,Entries!$D$2:$D$5000,"Reimbursable",Entries!$A$2:$A$5000,"&gt;="&amp;$A153,Entries!$A$2:$A$5000,"&lt;"&amp;EDATE($A153,1)))</f>
        <v/>
      </c>
      <c r="R153" s="23">
        <f>IF($BM153=0,NA(),SUMIFS(Entries!$E$2:$E$5000,Entries!$D$2:$D$5000,"Investment",Entries!$A$2:$A$5000,"&gt;="&amp;$A153,Entries!$A$2:$A$5000,"&lt;"&amp;EDATE($A153,1)))</f>
        <v/>
      </c>
      <c r="S153" s="23">
        <f>IF($BM153=0,NA(),N153+O153)</f>
        <v/>
      </c>
      <c r="T153" s="23">
        <f>IF($BM153=0,"",E153-Q153)</f>
        <v/>
      </c>
      <c r="W153" s="23">
        <f>IF(OR(W$1="",$BM153=0),"",SUMIFS(Entries!$E$2:$E$5000,Entries!$C$2:$C$5000,"Actual",Entries!$A$2:$A$5000,"&gt;="&amp;$A153,Entries!$A$2:$A$5000,"&lt;"&amp;EDATE($A153,1),Entries!$B$2:$B$5000,W$1))</f>
        <v/>
      </c>
      <c r="X153" s="23">
        <f>IF(OR(X$1="",$BM153=0),"",SUMIFS(Entries!$E$2:$E$5000,Entries!$C$2:$C$5000,"Actual",Entries!$A$2:$A$5000,"&gt;="&amp;$A153,Entries!$A$2:$A$5000,"&lt;"&amp;EDATE($A153,1),Entries!$B$2:$B$5000,X$1))</f>
        <v/>
      </c>
      <c r="Y153" s="23">
        <f>IF(OR(Y$1="",$BM153=0),"",SUMIFS(Entries!$E$2:$E$5000,Entries!$C$2:$C$5000,"Actual",Entries!$A$2:$A$5000,"&gt;="&amp;$A153,Entries!$A$2:$A$5000,"&lt;"&amp;EDATE($A153,1),Entries!$B$2:$B$5000,Y$1))</f>
        <v/>
      </c>
      <c r="Z153" s="23">
        <f>IF(OR(Z$1="",$BM153=0),"",SUMIFS(Entries!$E$2:$E$5000,Entries!$C$2:$C$5000,"Actual",Entries!$A$2:$A$5000,"&gt;="&amp;$A153,Entries!$A$2:$A$5000,"&lt;"&amp;EDATE($A153,1),Entries!$B$2:$B$5000,Z$1))</f>
        <v/>
      </c>
      <c r="AA153" s="23">
        <f>IF(OR(AA$1="",$BM153=0),"",SUMIFS(Entries!$E$2:$E$5000,Entries!$C$2:$C$5000,"Actual",Entries!$A$2:$A$5000,"&gt;="&amp;$A153,Entries!$A$2:$A$5000,"&lt;"&amp;EDATE($A153,1),Entries!$B$2:$B$5000,AA$1))</f>
        <v/>
      </c>
      <c r="AB153" s="23">
        <f>IF(OR(AB$1="",$BM153=0),"",SUMIFS(Entries!$E$2:$E$5000,Entries!$C$2:$C$5000,"Actual",Entries!$A$2:$A$5000,"&gt;="&amp;$A153,Entries!$A$2:$A$5000,"&lt;"&amp;EDATE($A153,1),Entries!$B$2:$B$5000,AB$1))</f>
        <v/>
      </c>
      <c r="AC153" s="23">
        <f>IF(OR(AC$1="",$BM153=0),"",SUMIFS(Entries!$E$2:$E$5000,Entries!$C$2:$C$5000,"Actual",Entries!$A$2:$A$5000,"&gt;="&amp;$A153,Entries!$A$2:$A$5000,"&lt;"&amp;EDATE($A153,1),Entries!$B$2:$B$5000,AC$1))</f>
        <v/>
      </c>
      <c r="AD153" s="23">
        <f>IF(OR(AD$1="",$BM153=0),"",SUMIFS(Entries!$E$2:$E$5000,Entries!$C$2:$C$5000,"Actual",Entries!$A$2:$A$5000,"&gt;="&amp;$A153,Entries!$A$2:$A$5000,"&lt;"&amp;EDATE($A153,1),Entries!$B$2:$B$5000,AD$1))</f>
        <v/>
      </c>
      <c r="AE153" s="23">
        <f>IF(OR(AE$1="",$BM153=0),"",SUMIFS(Entries!$E$2:$E$5000,Entries!$C$2:$C$5000,"Actual",Entries!$A$2:$A$5000,"&gt;="&amp;$A153,Entries!$A$2:$A$5000,"&lt;"&amp;EDATE($A153,1),Entries!$B$2:$B$5000,AE$1))</f>
        <v/>
      </c>
      <c r="AF153" s="23">
        <f>IF(OR(AF$1="",$BM153=0),"",SUMIFS(Entries!$E$2:$E$5000,Entries!$C$2:$C$5000,"Actual",Entries!$A$2:$A$5000,"&gt;="&amp;$A153,Entries!$A$2:$A$5000,"&lt;"&amp;EDATE($A153,1),Entries!$B$2:$B$5000,AF$1))</f>
        <v/>
      </c>
      <c r="AG153" s="23">
        <f>IF(OR(AG$1="",$BM153=0),"",SUMIFS(Entries!$E$2:$E$5000,Entries!$C$2:$C$5000,"Actual",Entries!$A$2:$A$5000,"&gt;="&amp;$A153,Entries!$A$2:$A$5000,"&lt;"&amp;EDATE($A153,1),Entries!$B$2:$B$5000,AG$1))</f>
        <v/>
      </c>
      <c r="AH153" s="23">
        <f>IF(OR(AH$1="",$BM153=0),"",SUMIFS(Entries!$E$2:$E$5000,Entries!$C$2:$C$5000,"Actual",Entries!$A$2:$A$5000,"&gt;="&amp;$A153,Entries!$A$2:$A$5000,"&lt;"&amp;EDATE($A153,1),Entries!$B$2:$B$5000,AH$1))</f>
        <v/>
      </c>
      <c r="AI153" s="23">
        <f>IF(OR(AI$1="",$BM153=0),"",SUMIFS(Entries!$E$2:$E$5000,Entries!$C$2:$C$5000,"Actual",Entries!$A$2:$A$5000,"&gt;="&amp;$A153,Entries!$A$2:$A$5000,"&lt;"&amp;EDATE($A153,1),Entries!$B$2:$B$5000,AI$1))</f>
        <v/>
      </c>
      <c r="AJ153" s="23">
        <f>IF(OR(AJ$1="",$BM153=0),"",SUMIFS(Entries!$E$2:$E$5000,Entries!$C$2:$C$5000,"Actual",Entries!$A$2:$A$5000,"&gt;="&amp;$A153,Entries!$A$2:$A$5000,"&lt;"&amp;EDATE($A153,1),Entries!$B$2:$B$5000,AJ$1))</f>
        <v/>
      </c>
      <c r="AK153" s="23">
        <f>IF(OR(AK$1="",$BM153=0),"",SUMIFS(Entries!$E$2:$E$5000,Entries!$C$2:$C$5000,"Actual",Entries!$A$2:$A$5000,"&gt;="&amp;$A153,Entries!$A$2:$A$5000,"&lt;"&amp;EDATE($A153,1),Entries!$B$2:$B$5000,AK$1))</f>
        <v/>
      </c>
      <c r="AL153" s="23">
        <f>IF(OR(AL$1="",$BM153=0),"",SUMIFS(Entries!$E$2:$E$5000,Entries!$C$2:$C$5000,"Actual",Entries!$A$2:$A$5000,"&gt;="&amp;$A153,Entries!$A$2:$A$5000,"&lt;"&amp;EDATE($A153,1),Entries!$B$2:$B$5000,AL$1))</f>
        <v/>
      </c>
      <c r="AM153" s="23">
        <f>IF(OR(AM$1="",$BM153=0),"",SUMIFS(Entries!$E$2:$E$5000,Entries!$C$2:$C$5000,"Actual",Entries!$A$2:$A$5000,"&gt;="&amp;$A153,Entries!$A$2:$A$5000,"&lt;"&amp;EDATE($A153,1),Entries!$B$2:$B$5000,AM$1))</f>
        <v/>
      </c>
      <c r="AN153" s="23">
        <f>IF(OR(AN$1="",$BM153=0),"",SUMIFS(Entries!$E$2:$E$5000,Entries!$C$2:$C$5000,"Actual",Entries!$A$2:$A$5000,"&gt;="&amp;$A153,Entries!$A$2:$A$5000,"&lt;"&amp;EDATE($A153,1),Entries!$B$2:$B$5000,AN$1))</f>
        <v/>
      </c>
      <c r="AO153" s="23">
        <f>IF(OR(AO$1="",$BM153=0),"",SUMIFS(Entries!$E$2:$E$5000,Entries!$C$2:$C$5000,"Actual",Entries!$A$2:$A$5000,"&gt;="&amp;$A153,Entries!$A$2:$A$5000,"&lt;"&amp;EDATE($A153,1),Entries!$B$2:$B$5000,AO$1))</f>
        <v/>
      </c>
      <c r="AP153" s="23">
        <f>IF(OR(AP$1="",$BM153=0),"",SUMIFS(Entries!$E$2:$E$5000,Entries!$C$2:$C$5000,"Actual",Entries!$A$2:$A$5000,"&gt;="&amp;$A153,Entries!$A$2:$A$5000,"&lt;"&amp;EDATE($A153,1),Entries!$B$2:$B$5000,AP$1))</f>
        <v/>
      </c>
      <c r="AR153" s="23">
        <f>IF(OR(AR$1="",$BM153=0),"",IFERROR(LOOKUP(2,1/((Budgets!$A$2:$A$200=AR$1)*(Budgets!$B$2:$B$200&lt;EDATE($A153,1))),Budgets!$C$2:$C$200),0))</f>
        <v/>
      </c>
      <c r="AS153" s="23">
        <f>IF(OR(AS$1="",$BM153=0),"",IFERROR(LOOKUP(2,1/((Budgets!$A$2:$A$200=AS$1)*(Budgets!$B$2:$B$200&lt;EDATE($A153,1))),Budgets!$C$2:$C$200),0))</f>
        <v/>
      </c>
      <c r="AT153" s="23">
        <f>IF(OR(AT$1="",$BM153=0),"",IFERROR(LOOKUP(2,1/((Budgets!$A$2:$A$200=AT$1)*(Budgets!$B$2:$B$200&lt;EDATE($A153,1))),Budgets!$C$2:$C$200),0))</f>
        <v/>
      </c>
      <c r="AU153" s="23">
        <f>IF(OR(AU$1="",$BM153=0),"",IFERROR(LOOKUP(2,1/((Budgets!$A$2:$A$200=AU$1)*(Budgets!$B$2:$B$200&lt;EDATE($A153,1))),Budgets!$C$2:$C$200),0))</f>
        <v/>
      </c>
      <c r="AV153" s="23">
        <f>IF(OR(AV$1="",$BM153=0),"",IFERROR(LOOKUP(2,1/((Budgets!$A$2:$A$200=AV$1)*(Budgets!$B$2:$B$200&lt;EDATE($A153,1))),Budgets!$C$2:$C$200),0))</f>
        <v/>
      </c>
      <c r="AW153" s="23">
        <f>IF(OR(AW$1="",$BM153=0),"",IFERROR(LOOKUP(2,1/((Budgets!$A$2:$A$200=AW$1)*(Budgets!$B$2:$B$200&lt;EDATE($A153,1))),Budgets!$C$2:$C$200),0))</f>
        <v/>
      </c>
      <c r="AX153" s="23">
        <f>IF(OR(AX$1="",$BM153=0),"",IFERROR(LOOKUP(2,1/((Budgets!$A$2:$A$200=AX$1)*(Budgets!$B$2:$B$200&lt;EDATE($A153,1))),Budgets!$C$2:$C$200),0))</f>
        <v/>
      </c>
      <c r="AY153" s="23">
        <f>IF(OR(AY$1="",$BM153=0),"",IFERROR(LOOKUP(2,1/((Budgets!$A$2:$A$200=AY$1)*(Budgets!$B$2:$B$200&lt;EDATE($A153,1))),Budgets!$C$2:$C$200),0))</f>
        <v/>
      </c>
      <c r="AZ153" s="23">
        <f>IF(OR(AZ$1="",$BM153=0),"",IFERROR(LOOKUP(2,1/((Budgets!$A$2:$A$200=AZ$1)*(Budgets!$B$2:$B$200&lt;EDATE($A153,1))),Budgets!$C$2:$C$200),0))</f>
        <v/>
      </c>
      <c r="BA153" s="23">
        <f>IF(OR(BA$1="",$BM153=0),"",IFERROR(LOOKUP(2,1/((Budgets!$A$2:$A$200=BA$1)*(Budgets!$B$2:$B$200&lt;EDATE($A153,1))),Budgets!$C$2:$C$200),0))</f>
        <v/>
      </c>
      <c r="BB153" s="23">
        <f>IF(OR(BB$1="",$BM153=0),"",IFERROR(LOOKUP(2,1/((Budgets!$A$2:$A$200=BB$1)*(Budgets!$B$2:$B$200&lt;EDATE($A153,1))),Budgets!$C$2:$C$200),0))</f>
        <v/>
      </c>
      <c r="BC153" s="23">
        <f>IF(OR(BC$1="",$BM153=0),"",IFERROR(LOOKUP(2,1/((Budgets!$A$2:$A$200=BC$1)*(Budgets!$B$2:$B$200&lt;EDATE($A153,1))),Budgets!$C$2:$C$200),0))</f>
        <v/>
      </c>
      <c r="BD153" s="23">
        <f>IF(OR(BD$1="",$BM153=0),"",IFERROR(LOOKUP(2,1/((Budgets!$A$2:$A$200=BD$1)*(Budgets!$B$2:$B$200&lt;EDATE($A153,1))),Budgets!$C$2:$C$200),0))</f>
        <v/>
      </c>
      <c r="BE153" s="23">
        <f>IF(OR(BE$1="",$BM153=0),"",IFERROR(LOOKUP(2,1/((Budgets!$A$2:$A$200=BE$1)*(Budgets!$B$2:$B$200&lt;EDATE($A153,1))),Budgets!$C$2:$C$200),0))</f>
        <v/>
      </c>
      <c r="BF153" s="23">
        <f>IF(OR(BF$1="",$BM153=0),"",IFERROR(LOOKUP(2,1/((Budgets!$A$2:$A$200=BF$1)*(Budgets!$B$2:$B$200&lt;EDATE($A153,1))),Budgets!$C$2:$C$200),0))</f>
        <v/>
      </c>
      <c r="BG153" s="23">
        <f>IF(OR(BG$1="",$BM153=0),"",IFERROR(LOOKUP(2,1/((Budgets!$A$2:$A$200=BG$1)*(Budgets!$B$2:$B$200&lt;EDATE($A153,1))),Budgets!$C$2:$C$200),0))</f>
        <v/>
      </c>
      <c r="BH153" s="23">
        <f>IF(OR(BH$1="",$BM153=0),"",IFERROR(LOOKUP(2,1/((Budgets!$A$2:$A$200=BH$1)*(Budgets!$B$2:$B$200&lt;EDATE($A153,1))),Budgets!$C$2:$C$200),0))</f>
        <v/>
      </c>
      <c r="BI153" s="23">
        <f>IF(OR(BI$1="",$BM153=0),"",IFERROR(LOOKUP(2,1/((Budgets!$A$2:$A$200=BI$1)*(Budgets!$B$2:$B$200&lt;EDATE($A153,1))),Budgets!$C$2:$C$200),0))</f>
        <v/>
      </c>
      <c r="BJ153" s="23">
        <f>IF(OR(BJ$1="",$BM153=0),"",IFERROR(LOOKUP(2,1/((Budgets!$A$2:$A$200=BJ$1)*(Budgets!$B$2:$B$200&lt;EDATE($A153,1))),Budgets!$C$2:$C$200),0))</f>
        <v/>
      </c>
      <c r="BK153" s="23">
        <f>IF(OR(BK$1="",$BM153=0),"",IFERROR(LOOKUP(2,1/((Budgets!$A$2:$A$200=BK$1)*(Budgets!$B$2:$B$200&lt;EDATE($A153,1))),Budgets!$C$2:$C$200),0))</f>
        <v/>
      </c>
      <c r="BM153" s="21">
        <f>COUNTIFS(Entries!$A$2:$A$5000,"&gt;="&amp;$A153,Entries!$A$2:$A$5000,"&lt;"&amp;EDATE($A153,1))</f>
        <v/>
      </c>
    </row>
    <row r="154">
      <c r="A154" s="22" t="n">
        <v>44075</v>
      </c>
      <c r="B154" s="23">
        <f>IF($BM154=0,NA(),SUMIFS(Entries!$E$2:$E$5000,Entries!$C$2:$C$5000,"Income",Entries!$A$2:$A$5000,"&gt;="&amp;$A154,Entries!$A$2:$A$5000,"&lt;"&amp;EDATE($A154,1)))</f>
        <v/>
      </c>
      <c r="C154" s="23">
        <f>IF($BM154=0,"",SUMIFS(Entries!$E$2:$E$5000,Entries!$C$2:$C$5000,"Actual",Entries!$A$2:$A$5000,"&gt;="&amp;$A154,Entries!$A$2:$A$5000,"&lt;"&amp;EDATE($A154,1)))</f>
        <v/>
      </c>
      <c r="D154" s="23">
        <f>IF($BM154=0,"",SUMIFS(Entries!$E$2:$E$5000,Entries!$C$2:$C$5000,"One-off",Entries!$A$2:$A$5000,"&gt;="&amp;$A154,Entries!$A$2:$A$5000,"&lt;"&amp;EDATE($A154,1)))</f>
        <v/>
      </c>
      <c r="E154" s="23">
        <f>IF($BM154=0,NA(),C154+D154)</f>
        <v/>
      </c>
      <c r="F154" s="23">
        <f>IF($BM154=0,"",SUM(AR154:BK154))</f>
        <v/>
      </c>
      <c r="G154" s="23">
        <f>IF($BM154=0,"",B154-E154)</f>
        <v/>
      </c>
      <c r="H154" s="23">
        <f>IF($BM154=0,"",SUM($G$2:G154))</f>
        <v/>
      </c>
      <c r="I154" s="23">
        <f>IF($BM154=0,"",SUMIFS(Entries!$G$2:$G$5000,Entries!$A$2:$A$5000,"&gt;="&amp;$A154,Entries!$A$2:$A$5000,"&lt;"&amp;EDATE($A154,1)))</f>
        <v/>
      </c>
      <c r="J154" s="23">
        <f>IF($BM154=0,NA(),H154)</f>
        <v/>
      </c>
      <c r="K154" s="23">
        <f>IF($BM154=0,"",SUMIFS(Entries!$E$2:$E$5000,Entries!$C$2:$C$5000,"Income",Entries!$A$2:$A$5000,"&gt;="&amp;EDATE($A154,-11),Entries!$A$2:$A$5000,"&lt;"&amp;EDATE($A154,1))/COUNTIFS($A$2:$A$400,"&gt;="&amp;EDATE($A154,-11),$A$2:$A$400,"&lt;"&amp;EDATE($A154,1),$BM$2:$BM$400,"&gt;0"))</f>
      </c>
      <c r="L154" s="23">
        <f>IF($BM154=0,"",(SUMIFS(Entries!$E$2:$E$5000,Entries!$C$2:$C$5000,"Actual",Entries!$A$2:$A$5000,"&gt;="&amp;EDATE($A154,-11),Entries!$A$2:$A$5000,"&lt;"&amp;EDATE($A154,1))+SUMIFS(Entries!$E$2:$E$5000,Entries!$C$2:$C$5000,"One-off",Entries!$A$2:$A$5000,"&gt;="&amp;EDATE($A154,-11),Entries!$A$2:$A$5000,"&lt;"&amp;EDATE($A154,1)))/COUNTIFS($A$2:$A$400,"&gt;="&amp;EDATE($A154,-11),$A$2:$A$400,"&lt;"&amp;EDATE($A154,1),$BM$2:$BM$400,"&gt;0"))</f>
      </c>
      <c r="M154" s="24">
        <f>IF($BM154=0,NA(),IFERROR((K154-L154)/K154,0))</f>
        <v/>
      </c>
      <c r="N154" s="23">
        <f>IF($BM154=0,NA(),SUMIFS(Entries!$E$2:$E$5000,Entries!$D$2:$D$5000,"Core",Entries!$A$2:$A$5000,"&gt;="&amp;$A154,Entries!$A$2:$A$5000,"&lt;"&amp;EDATE($A154,1)))</f>
        <v/>
      </c>
      <c r="O154" s="23">
        <f>IF($BM154=0,NA(),SUMIFS(Entries!$E$2:$E$5000,Entries!$D$2:$D$5000,"Over &amp; above",Entries!$A$2:$A$5000,"&gt;="&amp;$A154,Entries!$A$2:$A$5000,"&lt;"&amp;EDATE($A154,1)))</f>
        <v/>
      </c>
      <c r="P154" s="23">
        <f>IF($BM154=0,NA(),SUMIFS(Entries!$E$2:$E$5000,Entries!$D$2:$D$5000,"One-off",Entries!$A$2:$A$5000,"&gt;="&amp;$A154,Entries!$A$2:$A$5000,"&lt;"&amp;EDATE($A154,1)))</f>
        <v/>
      </c>
      <c r="Q154" s="23">
        <f>IF($BM154=0,NA(),SUMIFS(Entries!$E$2:$E$5000,Entries!$D$2:$D$5000,"Reimbursable",Entries!$A$2:$A$5000,"&gt;="&amp;$A154,Entries!$A$2:$A$5000,"&lt;"&amp;EDATE($A154,1)))</f>
        <v/>
      </c>
      <c r="R154" s="23">
        <f>IF($BM154=0,NA(),SUMIFS(Entries!$E$2:$E$5000,Entries!$D$2:$D$5000,"Investment",Entries!$A$2:$A$5000,"&gt;="&amp;$A154,Entries!$A$2:$A$5000,"&lt;"&amp;EDATE($A154,1)))</f>
        <v/>
      </c>
      <c r="S154" s="23">
        <f>IF($BM154=0,NA(),N154+O154)</f>
        <v/>
      </c>
      <c r="T154" s="23">
        <f>IF($BM154=0,"",E154-Q154)</f>
        <v/>
      </c>
      <c r="W154" s="23">
        <f>IF(OR(W$1="",$BM154=0),"",SUMIFS(Entries!$E$2:$E$5000,Entries!$C$2:$C$5000,"Actual",Entries!$A$2:$A$5000,"&gt;="&amp;$A154,Entries!$A$2:$A$5000,"&lt;"&amp;EDATE($A154,1),Entries!$B$2:$B$5000,W$1))</f>
        <v/>
      </c>
      <c r="X154" s="23">
        <f>IF(OR(X$1="",$BM154=0),"",SUMIFS(Entries!$E$2:$E$5000,Entries!$C$2:$C$5000,"Actual",Entries!$A$2:$A$5000,"&gt;="&amp;$A154,Entries!$A$2:$A$5000,"&lt;"&amp;EDATE($A154,1),Entries!$B$2:$B$5000,X$1))</f>
        <v/>
      </c>
      <c r="Y154" s="23">
        <f>IF(OR(Y$1="",$BM154=0),"",SUMIFS(Entries!$E$2:$E$5000,Entries!$C$2:$C$5000,"Actual",Entries!$A$2:$A$5000,"&gt;="&amp;$A154,Entries!$A$2:$A$5000,"&lt;"&amp;EDATE($A154,1),Entries!$B$2:$B$5000,Y$1))</f>
        <v/>
      </c>
      <c r="Z154" s="23">
        <f>IF(OR(Z$1="",$BM154=0),"",SUMIFS(Entries!$E$2:$E$5000,Entries!$C$2:$C$5000,"Actual",Entries!$A$2:$A$5000,"&gt;="&amp;$A154,Entries!$A$2:$A$5000,"&lt;"&amp;EDATE($A154,1),Entries!$B$2:$B$5000,Z$1))</f>
        <v/>
      </c>
      <c r="AA154" s="23">
        <f>IF(OR(AA$1="",$BM154=0),"",SUMIFS(Entries!$E$2:$E$5000,Entries!$C$2:$C$5000,"Actual",Entries!$A$2:$A$5000,"&gt;="&amp;$A154,Entries!$A$2:$A$5000,"&lt;"&amp;EDATE($A154,1),Entries!$B$2:$B$5000,AA$1))</f>
        <v/>
      </c>
      <c r="AB154" s="23">
        <f>IF(OR(AB$1="",$BM154=0),"",SUMIFS(Entries!$E$2:$E$5000,Entries!$C$2:$C$5000,"Actual",Entries!$A$2:$A$5000,"&gt;="&amp;$A154,Entries!$A$2:$A$5000,"&lt;"&amp;EDATE($A154,1),Entries!$B$2:$B$5000,AB$1))</f>
        <v/>
      </c>
      <c r="AC154" s="23">
        <f>IF(OR(AC$1="",$BM154=0),"",SUMIFS(Entries!$E$2:$E$5000,Entries!$C$2:$C$5000,"Actual",Entries!$A$2:$A$5000,"&gt;="&amp;$A154,Entries!$A$2:$A$5000,"&lt;"&amp;EDATE($A154,1),Entries!$B$2:$B$5000,AC$1))</f>
        <v/>
      </c>
      <c r="AD154" s="23">
        <f>IF(OR(AD$1="",$BM154=0),"",SUMIFS(Entries!$E$2:$E$5000,Entries!$C$2:$C$5000,"Actual",Entries!$A$2:$A$5000,"&gt;="&amp;$A154,Entries!$A$2:$A$5000,"&lt;"&amp;EDATE($A154,1),Entries!$B$2:$B$5000,AD$1))</f>
        <v/>
      </c>
      <c r="AE154" s="23">
        <f>IF(OR(AE$1="",$BM154=0),"",SUMIFS(Entries!$E$2:$E$5000,Entries!$C$2:$C$5000,"Actual",Entries!$A$2:$A$5000,"&gt;="&amp;$A154,Entries!$A$2:$A$5000,"&lt;"&amp;EDATE($A154,1),Entries!$B$2:$B$5000,AE$1))</f>
        <v/>
      </c>
      <c r="AF154" s="23">
        <f>IF(OR(AF$1="",$BM154=0),"",SUMIFS(Entries!$E$2:$E$5000,Entries!$C$2:$C$5000,"Actual",Entries!$A$2:$A$5000,"&gt;="&amp;$A154,Entries!$A$2:$A$5000,"&lt;"&amp;EDATE($A154,1),Entries!$B$2:$B$5000,AF$1))</f>
        <v/>
      </c>
      <c r="AG154" s="23">
        <f>IF(OR(AG$1="",$BM154=0),"",SUMIFS(Entries!$E$2:$E$5000,Entries!$C$2:$C$5000,"Actual",Entries!$A$2:$A$5000,"&gt;="&amp;$A154,Entries!$A$2:$A$5000,"&lt;"&amp;EDATE($A154,1),Entries!$B$2:$B$5000,AG$1))</f>
        <v/>
      </c>
      <c r="AH154" s="23">
        <f>IF(OR(AH$1="",$BM154=0),"",SUMIFS(Entries!$E$2:$E$5000,Entries!$C$2:$C$5000,"Actual",Entries!$A$2:$A$5000,"&gt;="&amp;$A154,Entries!$A$2:$A$5000,"&lt;"&amp;EDATE($A154,1),Entries!$B$2:$B$5000,AH$1))</f>
        <v/>
      </c>
      <c r="AI154" s="23">
        <f>IF(OR(AI$1="",$BM154=0),"",SUMIFS(Entries!$E$2:$E$5000,Entries!$C$2:$C$5000,"Actual",Entries!$A$2:$A$5000,"&gt;="&amp;$A154,Entries!$A$2:$A$5000,"&lt;"&amp;EDATE($A154,1),Entries!$B$2:$B$5000,AI$1))</f>
        <v/>
      </c>
      <c r="AJ154" s="23">
        <f>IF(OR(AJ$1="",$BM154=0),"",SUMIFS(Entries!$E$2:$E$5000,Entries!$C$2:$C$5000,"Actual",Entries!$A$2:$A$5000,"&gt;="&amp;$A154,Entries!$A$2:$A$5000,"&lt;"&amp;EDATE($A154,1),Entries!$B$2:$B$5000,AJ$1))</f>
        <v/>
      </c>
      <c r="AK154" s="23">
        <f>IF(OR(AK$1="",$BM154=0),"",SUMIFS(Entries!$E$2:$E$5000,Entries!$C$2:$C$5000,"Actual",Entries!$A$2:$A$5000,"&gt;="&amp;$A154,Entries!$A$2:$A$5000,"&lt;"&amp;EDATE($A154,1),Entries!$B$2:$B$5000,AK$1))</f>
        <v/>
      </c>
      <c r="AL154" s="23">
        <f>IF(OR(AL$1="",$BM154=0),"",SUMIFS(Entries!$E$2:$E$5000,Entries!$C$2:$C$5000,"Actual",Entries!$A$2:$A$5000,"&gt;="&amp;$A154,Entries!$A$2:$A$5000,"&lt;"&amp;EDATE($A154,1),Entries!$B$2:$B$5000,AL$1))</f>
        <v/>
      </c>
      <c r="AM154" s="23">
        <f>IF(OR(AM$1="",$BM154=0),"",SUMIFS(Entries!$E$2:$E$5000,Entries!$C$2:$C$5000,"Actual",Entries!$A$2:$A$5000,"&gt;="&amp;$A154,Entries!$A$2:$A$5000,"&lt;"&amp;EDATE($A154,1),Entries!$B$2:$B$5000,AM$1))</f>
        <v/>
      </c>
      <c r="AN154" s="23">
        <f>IF(OR(AN$1="",$BM154=0),"",SUMIFS(Entries!$E$2:$E$5000,Entries!$C$2:$C$5000,"Actual",Entries!$A$2:$A$5000,"&gt;="&amp;$A154,Entries!$A$2:$A$5000,"&lt;"&amp;EDATE($A154,1),Entries!$B$2:$B$5000,AN$1))</f>
        <v/>
      </c>
      <c r="AO154" s="23">
        <f>IF(OR(AO$1="",$BM154=0),"",SUMIFS(Entries!$E$2:$E$5000,Entries!$C$2:$C$5000,"Actual",Entries!$A$2:$A$5000,"&gt;="&amp;$A154,Entries!$A$2:$A$5000,"&lt;"&amp;EDATE($A154,1),Entries!$B$2:$B$5000,AO$1))</f>
        <v/>
      </c>
      <c r="AP154" s="23">
        <f>IF(OR(AP$1="",$BM154=0),"",SUMIFS(Entries!$E$2:$E$5000,Entries!$C$2:$C$5000,"Actual",Entries!$A$2:$A$5000,"&gt;="&amp;$A154,Entries!$A$2:$A$5000,"&lt;"&amp;EDATE($A154,1),Entries!$B$2:$B$5000,AP$1))</f>
        <v/>
      </c>
      <c r="AR154" s="23">
        <f>IF(OR(AR$1="",$BM154=0),"",IFERROR(LOOKUP(2,1/((Budgets!$A$2:$A$200=AR$1)*(Budgets!$B$2:$B$200&lt;EDATE($A154,1))),Budgets!$C$2:$C$200),0))</f>
        <v/>
      </c>
      <c r="AS154" s="23">
        <f>IF(OR(AS$1="",$BM154=0),"",IFERROR(LOOKUP(2,1/((Budgets!$A$2:$A$200=AS$1)*(Budgets!$B$2:$B$200&lt;EDATE($A154,1))),Budgets!$C$2:$C$200),0))</f>
        <v/>
      </c>
      <c r="AT154" s="23">
        <f>IF(OR(AT$1="",$BM154=0),"",IFERROR(LOOKUP(2,1/((Budgets!$A$2:$A$200=AT$1)*(Budgets!$B$2:$B$200&lt;EDATE($A154,1))),Budgets!$C$2:$C$200),0))</f>
        <v/>
      </c>
      <c r="AU154" s="23">
        <f>IF(OR(AU$1="",$BM154=0),"",IFERROR(LOOKUP(2,1/((Budgets!$A$2:$A$200=AU$1)*(Budgets!$B$2:$B$200&lt;EDATE($A154,1))),Budgets!$C$2:$C$200),0))</f>
        <v/>
      </c>
      <c r="AV154" s="23">
        <f>IF(OR(AV$1="",$BM154=0),"",IFERROR(LOOKUP(2,1/((Budgets!$A$2:$A$200=AV$1)*(Budgets!$B$2:$B$200&lt;EDATE($A154,1))),Budgets!$C$2:$C$200),0))</f>
        <v/>
      </c>
      <c r="AW154" s="23">
        <f>IF(OR(AW$1="",$BM154=0),"",IFERROR(LOOKUP(2,1/((Budgets!$A$2:$A$200=AW$1)*(Budgets!$B$2:$B$200&lt;EDATE($A154,1))),Budgets!$C$2:$C$200),0))</f>
        <v/>
      </c>
      <c r="AX154" s="23">
        <f>IF(OR(AX$1="",$BM154=0),"",IFERROR(LOOKUP(2,1/((Budgets!$A$2:$A$200=AX$1)*(Budgets!$B$2:$B$200&lt;EDATE($A154,1))),Budgets!$C$2:$C$200),0))</f>
        <v/>
      </c>
      <c r="AY154" s="23">
        <f>IF(OR(AY$1="",$BM154=0),"",IFERROR(LOOKUP(2,1/((Budgets!$A$2:$A$200=AY$1)*(Budgets!$B$2:$B$200&lt;EDATE($A154,1))),Budgets!$C$2:$C$200),0))</f>
        <v/>
      </c>
      <c r="AZ154" s="23">
        <f>IF(OR(AZ$1="",$BM154=0),"",IFERROR(LOOKUP(2,1/((Budgets!$A$2:$A$200=AZ$1)*(Budgets!$B$2:$B$200&lt;EDATE($A154,1))),Budgets!$C$2:$C$200),0))</f>
        <v/>
      </c>
      <c r="BA154" s="23">
        <f>IF(OR(BA$1="",$BM154=0),"",IFERROR(LOOKUP(2,1/((Budgets!$A$2:$A$200=BA$1)*(Budgets!$B$2:$B$200&lt;EDATE($A154,1))),Budgets!$C$2:$C$200),0))</f>
        <v/>
      </c>
      <c r="BB154" s="23">
        <f>IF(OR(BB$1="",$BM154=0),"",IFERROR(LOOKUP(2,1/((Budgets!$A$2:$A$200=BB$1)*(Budgets!$B$2:$B$200&lt;EDATE($A154,1))),Budgets!$C$2:$C$200),0))</f>
        <v/>
      </c>
      <c r="BC154" s="23">
        <f>IF(OR(BC$1="",$BM154=0),"",IFERROR(LOOKUP(2,1/((Budgets!$A$2:$A$200=BC$1)*(Budgets!$B$2:$B$200&lt;EDATE($A154,1))),Budgets!$C$2:$C$200),0))</f>
        <v/>
      </c>
      <c r="BD154" s="23">
        <f>IF(OR(BD$1="",$BM154=0),"",IFERROR(LOOKUP(2,1/((Budgets!$A$2:$A$200=BD$1)*(Budgets!$B$2:$B$200&lt;EDATE($A154,1))),Budgets!$C$2:$C$200),0))</f>
        <v/>
      </c>
      <c r="BE154" s="23">
        <f>IF(OR(BE$1="",$BM154=0),"",IFERROR(LOOKUP(2,1/((Budgets!$A$2:$A$200=BE$1)*(Budgets!$B$2:$B$200&lt;EDATE($A154,1))),Budgets!$C$2:$C$200),0))</f>
        <v/>
      </c>
      <c r="BF154" s="23">
        <f>IF(OR(BF$1="",$BM154=0),"",IFERROR(LOOKUP(2,1/((Budgets!$A$2:$A$200=BF$1)*(Budgets!$B$2:$B$200&lt;EDATE($A154,1))),Budgets!$C$2:$C$200),0))</f>
        <v/>
      </c>
      <c r="BG154" s="23">
        <f>IF(OR(BG$1="",$BM154=0),"",IFERROR(LOOKUP(2,1/((Budgets!$A$2:$A$200=BG$1)*(Budgets!$B$2:$B$200&lt;EDATE($A154,1))),Budgets!$C$2:$C$200),0))</f>
        <v/>
      </c>
      <c r="BH154" s="23">
        <f>IF(OR(BH$1="",$BM154=0),"",IFERROR(LOOKUP(2,1/((Budgets!$A$2:$A$200=BH$1)*(Budgets!$B$2:$B$200&lt;EDATE($A154,1))),Budgets!$C$2:$C$200),0))</f>
        <v/>
      </c>
      <c r="BI154" s="23">
        <f>IF(OR(BI$1="",$BM154=0),"",IFERROR(LOOKUP(2,1/((Budgets!$A$2:$A$200=BI$1)*(Budgets!$B$2:$B$200&lt;EDATE($A154,1))),Budgets!$C$2:$C$200),0))</f>
        <v/>
      </c>
      <c r="BJ154" s="23">
        <f>IF(OR(BJ$1="",$BM154=0),"",IFERROR(LOOKUP(2,1/((Budgets!$A$2:$A$200=BJ$1)*(Budgets!$B$2:$B$200&lt;EDATE($A154,1))),Budgets!$C$2:$C$200),0))</f>
        <v/>
      </c>
      <c r="BK154" s="23">
        <f>IF(OR(BK$1="",$BM154=0),"",IFERROR(LOOKUP(2,1/((Budgets!$A$2:$A$200=BK$1)*(Budgets!$B$2:$B$200&lt;EDATE($A154,1))),Budgets!$C$2:$C$200),0))</f>
        <v/>
      </c>
      <c r="BM154" s="21">
        <f>COUNTIFS(Entries!$A$2:$A$5000,"&gt;="&amp;$A154,Entries!$A$2:$A$5000,"&lt;"&amp;EDATE($A154,1))</f>
        <v/>
      </c>
    </row>
    <row r="155">
      <c r="A155" s="22" t="n">
        <v>44105</v>
      </c>
      <c r="B155" s="23">
        <f>IF($BM155=0,NA(),SUMIFS(Entries!$E$2:$E$5000,Entries!$C$2:$C$5000,"Income",Entries!$A$2:$A$5000,"&gt;="&amp;$A155,Entries!$A$2:$A$5000,"&lt;"&amp;EDATE($A155,1)))</f>
        <v/>
      </c>
      <c r="C155" s="23">
        <f>IF($BM155=0,"",SUMIFS(Entries!$E$2:$E$5000,Entries!$C$2:$C$5000,"Actual",Entries!$A$2:$A$5000,"&gt;="&amp;$A155,Entries!$A$2:$A$5000,"&lt;"&amp;EDATE($A155,1)))</f>
        <v/>
      </c>
      <c r="D155" s="23">
        <f>IF($BM155=0,"",SUMIFS(Entries!$E$2:$E$5000,Entries!$C$2:$C$5000,"One-off",Entries!$A$2:$A$5000,"&gt;="&amp;$A155,Entries!$A$2:$A$5000,"&lt;"&amp;EDATE($A155,1)))</f>
        <v/>
      </c>
      <c r="E155" s="23">
        <f>IF($BM155=0,NA(),C155+D155)</f>
        <v/>
      </c>
      <c r="F155" s="23">
        <f>IF($BM155=0,"",SUM(AR155:BK155))</f>
        <v/>
      </c>
      <c r="G155" s="23">
        <f>IF($BM155=0,"",B155-E155)</f>
        <v/>
      </c>
      <c r="H155" s="23">
        <f>IF($BM155=0,"",SUM($G$2:G155))</f>
        <v/>
      </c>
      <c r="I155" s="23">
        <f>IF($BM155=0,"",SUMIFS(Entries!$G$2:$G$5000,Entries!$A$2:$A$5000,"&gt;="&amp;$A155,Entries!$A$2:$A$5000,"&lt;"&amp;EDATE($A155,1)))</f>
        <v/>
      </c>
      <c r="J155" s="23">
        <f>IF($BM155=0,NA(),H155)</f>
        <v/>
      </c>
      <c r="K155" s="23">
        <f>IF($BM155=0,"",SUMIFS(Entries!$E$2:$E$5000,Entries!$C$2:$C$5000,"Income",Entries!$A$2:$A$5000,"&gt;="&amp;EDATE($A155,-11),Entries!$A$2:$A$5000,"&lt;"&amp;EDATE($A155,1))/COUNTIFS($A$2:$A$400,"&gt;="&amp;EDATE($A155,-11),$A$2:$A$400,"&lt;"&amp;EDATE($A155,1),$BM$2:$BM$400,"&gt;0"))</f>
      </c>
      <c r="L155" s="23">
        <f>IF($BM155=0,"",(SUMIFS(Entries!$E$2:$E$5000,Entries!$C$2:$C$5000,"Actual",Entries!$A$2:$A$5000,"&gt;="&amp;EDATE($A155,-11),Entries!$A$2:$A$5000,"&lt;"&amp;EDATE($A155,1))+SUMIFS(Entries!$E$2:$E$5000,Entries!$C$2:$C$5000,"One-off",Entries!$A$2:$A$5000,"&gt;="&amp;EDATE($A155,-11),Entries!$A$2:$A$5000,"&lt;"&amp;EDATE($A155,1)))/COUNTIFS($A$2:$A$400,"&gt;="&amp;EDATE($A155,-11),$A$2:$A$400,"&lt;"&amp;EDATE($A155,1),$BM$2:$BM$400,"&gt;0"))</f>
      </c>
      <c r="M155" s="24">
        <f>IF($BM155=0,NA(),IFERROR((K155-L155)/K155,0))</f>
        <v/>
      </c>
      <c r="N155" s="23">
        <f>IF($BM155=0,NA(),SUMIFS(Entries!$E$2:$E$5000,Entries!$D$2:$D$5000,"Core",Entries!$A$2:$A$5000,"&gt;="&amp;$A155,Entries!$A$2:$A$5000,"&lt;"&amp;EDATE($A155,1)))</f>
        <v/>
      </c>
      <c r="O155" s="23">
        <f>IF($BM155=0,NA(),SUMIFS(Entries!$E$2:$E$5000,Entries!$D$2:$D$5000,"Over &amp; above",Entries!$A$2:$A$5000,"&gt;="&amp;$A155,Entries!$A$2:$A$5000,"&lt;"&amp;EDATE($A155,1)))</f>
        <v/>
      </c>
      <c r="P155" s="23">
        <f>IF($BM155=0,NA(),SUMIFS(Entries!$E$2:$E$5000,Entries!$D$2:$D$5000,"One-off",Entries!$A$2:$A$5000,"&gt;="&amp;$A155,Entries!$A$2:$A$5000,"&lt;"&amp;EDATE($A155,1)))</f>
        <v/>
      </c>
      <c r="Q155" s="23">
        <f>IF($BM155=0,NA(),SUMIFS(Entries!$E$2:$E$5000,Entries!$D$2:$D$5000,"Reimbursable",Entries!$A$2:$A$5000,"&gt;="&amp;$A155,Entries!$A$2:$A$5000,"&lt;"&amp;EDATE($A155,1)))</f>
        <v/>
      </c>
      <c r="R155" s="23">
        <f>IF($BM155=0,NA(),SUMIFS(Entries!$E$2:$E$5000,Entries!$D$2:$D$5000,"Investment",Entries!$A$2:$A$5000,"&gt;="&amp;$A155,Entries!$A$2:$A$5000,"&lt;"&amp;EDATE($A155,1)))</f>
        <v/>
      </c>
      <c r="S155" s="23">
        <f>IF($BM155=0,NA(),N155+O155)</f>
        <v/>
      </c>
      <c r="T155" s="23">
        <f>IF($BM155=0,"",E155-Q155)</f>
        <v/>
      </c>
      <c r="W155" s="23">
        <f>IF(OR(W$1="",$BM155=0),"",SUMIFS(Entries!$E$2:$E$5000,Entries!$C$2:$C$5000,"Actual",Entries!$A$2:$A$5000,"&gt;="&amp;$A155,Entries!$A$2:$A$5000,"&lt;"&amp;EDATE($A155,1),Entries!$B$2:$B$5000,W$1))</f>
        <v/>
      </c>
      <c r="X155" s="23">
        <f>IF(OR(X$1="",$BM155=0),"",SUMIFS(Entries!$E$2:$E$5000,Entries!$C$2:$C$5000,"Actual",Entries!$A$2:$A$5000,"&gt;="&amp;$A155,Entries!$A$2:$A$5000,"&lt;"&amp;EDATE($A155,1),Entries!$B$2:$B$5000,X$1))</f>
        <v/>
      </c>
      <c r="Y155" s="23">
        <f>IF(OR(Y$1="",$BM155=0),"",SUMIFS(Entries!$E$2:$E$5000,Entries!$C$2:$C$5000,"Actual",Entries!$A$2:$A$5000,"&gt;="&amp;$A155,Entries!$A$2:$A$5000,"&lt;"&amp;EDATE($A155,1),Entries!$B$2:$B$5000,Y$1))</f>
        <v/>
      </c>
      <c r="Z155" s="23">
        <f>IF(OR(Z$1="",$BM155=0),"",SUMIFS(Entries!$E$2:$E$5000,Entries!$C$2:$C$5000,"Actual",Entries!$A$2:$A$5000,"&gt;="&amp;$A155,Entries!$A$2:$A$5000,"&lt;"&amp;EDATE($A155,1),Entries!$B$2:$B$5000,Z$1))</f>
        <v/>
      </c>
      <c r="AA155" s="23">
        <f>IF(OR(AA$1="",$BM155=0),"",SUMIFS(Entries!$E$2:$E$5000,Entries!$C$2:$C$5000,"Actual",Entries!$A$2:$A$5000,"&gt;="&amp;$A155,Entries!$A$2:$A$5000,"&lt;"&amp;EDATE($A155,1),Entries!$B$2:$B$5000,AA$1))</f>
        <v/>
      </c>
      <c r="AB155" s="23">
        <f>IF(OR(AB$1="",$BM155=0),"",SUMIFS(Entries!$E$2:$E$5000,Entries!$C$2:$C$5000,"Actual",Entries!$A$2:$A$5000,"&gt;="&amp;$A155,Entries!$A$2:$A$5000,"&lt;"&amp;EDATE($A155,1),Entries!$B$2:$B$5000,AB$1))</f>
        <v/>
      </c>
      <c r="AC155" s="23">
        <f>IF(OR(AC$1="",$BM155=0),"",SUMIFS(Entries!$E$2:$E$5000,Entries!$C$2:$C$5000,"Actual",Entries!$A$2:$A$5000,"&gt;="&amp;$A155,Entries!$A$2:$A$5000,"&lt;"&amp;EDATE($A155,1),Entries!$B$2:$B$5000,AC$1))</f>
        <v/>
      </c>
      <c r="AD155" s="23">
        <f>IF(OR(AD$1="",$BM155=0),"",SUMIFS(Entries!$E$2:$E$5000,Entries!$C$2:$C$5000,"Actual",Entries!$A$2:$A$5000,"&gt;="&amp;$A155,Entries!$A$2:$A$5000,"&lt;"&amp;EDATE($A155,1),Entries!$B$2:$B$5000,AD$1))</f>
        <v/>
      </c>
      <c r="AE155" s="23">
        <f>IF(OR(AE$1="",$BM155=0),"",SUMIFS(Entries!$E$2:$E$5000,Entries!$C$2:$C$5000,"Actual",Entries!$A$2:$A$5000,"&gt;="&amp;$A155,Entries!$A$2:$A$5000,"&lt;"&amp;EDATE($A155,1),Entries!$B$2:$B$5000,AE$1))</f>
        <v/>
      </c>
      <c r="AF155" s="23">
        <f>IF(OR(AF$1="",$BM155=0),"",SUMIFS(Entries!$E$2:$E$5000,Entries!$C$2:$C$5000,"Actual",Entries!$A$2:$A$5000,"&gt;="&amp;$A155,Entries!$A$2:$A$5000,"&lt;"&amp;EDATE($A155,1),Entries!$B$2:$B$5000,AF$1))</f>
        <v/>
      </c>
      <c r="AG155" s="23">
        <f>IF(OR(AG$1="",$BM155=0),"",SUMIFS(Entries!$E$2:$E$5000,Entries!$C$2:$C$5000,"Actual",Entries!$A$2:$A$5000,"&gt;="&amp;$A155,Entries!$A$2:$A$5000,"&lt;"&amp;EDATE($A155,1),Entries!$B$2:$B$5000,AG$1))</f>
        <v/>
      </c>
      <c r="AH155" s="23">
        <f>IF(OR(AH$1="",$BM155=0),"",SUMIFS(Entries!$E$2:$E$5000,Entries!$C$2:$C$5000,"Actual",Entries!$A$2:$A$5000,"&gt;="&amp;$A155,Entries!$A$2:$A$5000,"&lt;"&amp;EDATE($A155,1),Entries!$B$2:$B$5000,AH$1))</f>
        <v/>
      </c>
      <c r="AI155" s="23">
        <f>IF(OR(AI$1="",$BM155=0),"",SUMIFS(Entries!$E$2:$E$5000,Entries!$C$2:$C$5000,"Actual",Entries!$A$2:$A$5000,"&gt;="&amp;$A155,Entries!$A$2:$A$5000,"&lt;"&amp;EDATE($A155,1),Entries!$B$2:$B$5000,AI$1))</f>
        <v/>
      </c>
      <c r="AJ155" s="23">
        <f>IF(OR(AJ$1="",$BM155=0),"",SUMIFS(Entries!$E$2:$E$5000,Entries!$C$2:$C$5000,"Actual",Entries!$A$2:$A$5000,"&gt;="&amp;$A155,Entries!$A$2:$A$5000,"&lt;"&amp;EDATE($A155,1),Entries!$B$2:$B$5000,AJ$1))</f>
        <v/>
      </c>
      <c r="AK155" s="23">
        <f>IF(OR(AK$1="",$BM155=0),"",SUMIFS(Entries!$E$2:$E$5000,Entries!$C$2:$C$5000,"Actual",Entries!$A$2:$A$5000,"&gt;="&amp;$A155,Entries!$A$2:$A$5000,"&lt;"&amp;EDATE($A155,1),Entries!$B$2:$B$5000,AK$1))</f>
        <v/>
      </c>
      <c r="AL155" s="23">
        <f>IF(OR(AL$1="",$BM155=0),"",SUMIFS(Entries!$E$2:$E$5000,Entries!$C$2:$C$5000,"Actual",Entries!$A$2:$A$5000,"&gt;="&amp;$A155,Entries!$A$2:$A$5000,"&lt;"&amp;EDATE($A155,1),Entries!$B$2:$B$5000,AL$1))</f>
        <v/>
      </c>
      <c r="AM155" s="23">
        <f>IF(OR(AM$1="",$BM155=0),"",SUMIFS(Entries!$E$2:$E$5000,Entries!$C$2:$C$5000,"Actual",Entries!$A$2:$A$5000,"&gt;="&amp;$A155,Entries!$A$2:$A$5000,"&lt;"&amp;EDATE($A155,1),Entries!$B$2:$B$5000,AM$1))</f>
        <v/>
      </c>
      <c r="AN155" s="23">
        <f>IF(OR(AN$1="",$BM155=0),"",SUMIFS(Entries!$E$2:$E$5000,Entries!$C$2:$C$5000,"Actual",Entries!$A$2:$A$5000,"&gt;="&amp;$A155,Entries!$A$2:$A$5000,"&lt;"&amp;EDATE($A155,1),Entries!$B$2:$B$5000,AN$1))</f>
        <v/>
      </c>
      <c r="AO155" s="23">
        <f>IF(OR(AO$1="",$BM155=0),"",SUMIFS(Entries!$E$2:$E$5000,Entries!$C$2:$C$5000,"Actual",Entries!$A$2:$A$5000,"&gt;="&amp;$A155,Entries!$A$2:$A$5000,"&lt;"&amp;EDATE($A155,1),Entries!$B$2:$B$5000,AO$1))</f>
        <v/>
      </c>
      <c r="AP155" s="23">
        <f>IF(OR(AP$1="",$BM155=0),"",SUMIFS(Entries!$E$2:$E$5000,Entries!$C$2:$C$5000,"Actual",Entries!$A$2:$A$5000,"&gt;="&amp;$A155,Entries!$A$2:$A$5000,"&lt;"&amp;EDATE($A155,1),Entries!$B$2:$B$5000,AP$1))</f>
        <v/>
      </c>
      <c r="AR155" s="23">
        <f>IF(OR(AR$1="",$BM155=0),"",IFERROR(LOOKUP(2,1/((Budgets!$A$2:$A$200=AR$1)*(Budgets!$B$2:$B$200&lt;EDATE($A155,1))),Budgets!$C$2:$C$200),0))</f>
        <v/>
      </c>
      <c r="AS155" s="23">
        <f>IF(OR(AS$1="",$BM155=0),"",IFERROR(LOOKUP(2,1/((Budgets!$A$2:$A$200=AS$1)*(Budgets!$B$2:$B$200&lt;EDATE($A155,1))),Budgets!$C$2:$C$200),0))</f>
        <v/>
      </c>
      <c r="AT155" s="23">
        <f>IF(OR(AT$1="",$BM155=0),"",IFERROR(LOOKUP(2,1/((Budgets!$A$2:$A$200=AT$1)*(Budgets!$B$2:$B$200&lt;EDATE($A155,1))),Budgets!$C$2:$C$200),0))</f>
        <v/>
      </c>
      <c r="AU155" s="23">
        <f>IF(OR(AU$1="",$BM155=0),"",IFERROR(LOOKUP(2,1/((Budgets!$A$2:$A$200=AU$1)*(Budgets!$B$2:$B$200&lt;EDATE($A155,1))),Budgets!$C$2:$C$200),0))</f>
        <v/>
      </c>
      <c r="AV155" s="23">
        <f>IF(OR(AV$1="",$BM155=0),"",IFERROR(LOOKUP(2,1/((Budgets!$A$2:$A$200=AV$1)*(Budgets!$B$2:$B$200&lt;EDATE($A155,1))),Budgets!$C$2:$C$200),0))</f>
        <v/>
      </c>
      <c r="AW155" s="23">
        <f>IF(OR(AW$1="",$BM155=0),"",IFERROR(LOOKUP(2,1/((Budgets!$A$2:$A$200=AW$1)*(Budgets!$B$2:$B$200&lt;EDATE($A155,1))),Budgets!$C$2:$C$200),0))</f>
        <v/>
      </c>
      <c r="AX155" s="23">
        <f>IF(OR(AX$1="",$BM155=0),"",IFERROR(LOOKUP(2,1/((Budgets!$A$2:$A$200=AX$1)*(Budgets!$B$2:$B$200&lt;EDATE($A155,1))),Budgets!$C$2:$C$200),0))</f>
        <v/>
      </c>
      <c r="AY155" s="23">
        <f>IF(OR(AY$1="",$BM155=0),"",IFERROR(LOOKUP(2,1/((Budgets!$A$2:$A$200=AY$1)*(Budgets!$B$2:$B$200&lt;EDATE($A155,1))),Budgets!$C$2:$C$200),0))</f>
        <v/>
      </c>
      <c r="AZ155" s="23">
        <f>IF(OR(AZ$1="",$BM155=0),"",IFERROR(LOOKUP(2,1/((Budgets!$A$2:$A$200=AZ$1)*(Budgets!$B$2:$B$200&lt;EDATE($A155,1))),Budgets!$C$2:$C$200),0))</f>
        <v/>
      </c>
      <c r="BA155" s="23">
        <f>IF(OR(BA$1="",$BM155=0),"",IFERROR(LOOKUP(2,1/((Budgets!$A$2:$A$200=BA$1)*(Budgets!$B$2:$B$200&lt;EDATE($A155,1))),Budgets!$C$2:$C$200),0))</f>
        <v/>
      </c>
      <c r="BB155" s="23">
        <f>IF(OR(BB$1="",$BM155=0),"",IFERROR(LOOKUP(2,1/((Budgets!$A$2:$A$200=BB$1)*(Budgets!$B$2:$B$200&lt;EDATE($A155,1))),Budgets!$C$2:$C$200),0))</f>
        <v/>
      </c>
      <c r="BC155" s="23">
        <f>IF(OR(BC$1="",$BM155=0),"",IFERROR(LOOKUP(2,1/((Budgets!$A$2:$A$200=BC$1)*(Budgets!$B$2:$B$200&lt;EDATE($A155,1))),Budgets!$C$2:$C$200),0))</f>
        <v/>
      </c>
      <c r="BD155" s="23">
        <f>IF(OR(BD$1="",$BM155=0),"",IFERROR(LOOKUP(2,1/((Budgets!$A$2:$A$200=BD$1)*(Budgets!$B$2:$B$200&lt;EDATE($A155,1))),Budgets!$C$2:$C$200),0))</f>
        <v/>
      </c>
      <c r="BE155" s="23">
        <f>IF(OR(BE$1="",$BM155=0),"",IFERROR(LOOKUP(2,1/((Budgets!$A$2:$A$200=BE$1)*(Budgets!$B$2:$B$200&lt;EDATE($A155,1))),Budgets!$C$2:$C$200),0))</f>
        <v/>
      </c>
      <c r="BF155" s="23">
        <f>IF(OR(BF$1="",$BM155=0),"",IFERROR(LOOKUP(2,1/((Budgets!$A$2:$A$200=BF$1)*(Budgets!$B$2:$B$200&lt;EDATE($A155,1))),Budgets!$C$2:$C$200),0))</f>
        <v/>
      </c>
      <c r="BG155" s="23">
        <f>IF(OR(BG$1="",$BM155=0),"",IFERROR(LOOKUP(2,1/((Budgets!$A$2:$A$200=BG$1)*(Budgets!$B$2:$B$200&lt;EDATE($A155,1))),Budgets!$C$2:$C$200),0))</f>
        <v/>
      </c>
      <c r="BH155" s="23">
        <f>IF(OR(BH$1="",$BM155=0),"",IFERROR(LOOKUP(2,1/((Budgets!$A$2:$A$200=BH$1)*(Budgets!$B$2:$B$200&lt;EDATE($A155,1))),Budgets!$C$2:$C$200),0))</f>
        <v/>
      </c>
      <c r="BI155" s="23">
        <f>IF(OR(BI$1="",$BM155=0),"",IFERROR(LOOKUP(2,1/((Budgets!$A$2:$A$200=BI$1)*(Budgets!$B$2:$B$200&lt;EDATE($A155,1))),Budgets!$C$2:$C$200),0))</f>
        <v/>
      </c>
      <c r="BJ155" s="23">
        <f>IF(OR(BJ$1="",$BM155=0),"",IFERROR(LOOKUP(2,1/((Budgets!$A$2:$A$200=BJ$1)*(Budgets!$B$2:$B$200&lt;EDATE($A155,1))),Budgets!$C$2:$C$200),0))</f>
        <v/>
      </c>
      <c r="BK155" s="23">
        <f>IF(OR(BK$1="",$BM155=0),"",IFERROR(LOOKUP(2,1/((Budgets!$A$2:$A$200=BK$1)*(Budgets!$B$2:$B$200&lt;EDATE($A155,1))),Budgets!$C$2:$C$200),0))</f>
        <v/>
      </c>
      <c r="BM155" s="21">
        <f>COUNTIFS(Entries!$A$2:$A$5000,"&gt;="&amp;$A155,Entries!$A$2:$A$5000,"&lt;"&amp;EDATE($A155,1))</f>
        <v/>
      </c>
    </row>
    <row r="156">
      <c r="A156" s="22" t="n">
        <v>44136</v>
      </c>
      <c r="B156" s="23">
        <f>IF($BM156=0,NA(),SUMIFS(Entries!$E$2:$E$5000,Entries!$C$2:$C$5000,"Income",Entries!$A$2:$A$5000,"&gt;="&amp;$A156,Entries!$A$2:$A$5000,"&lt;"&amp;EDATE($A156,1)))</f>
        <v/>
      </c>
      <c r="C156" s="23">
        <f>IF($BM156=0,"",SUMIFS(Entries!$E$2:$E$5000,Entries!$C$2:$C$5000,"Actual",Entries!$A$2:$A$5000,"&gt;="&amp;$A156,Entries!$A$2:$A$5000,"&lt;"&amp;EDATE($A156,1)))</f>
        <v/>
      </c>
      <c r="D156" s="23">
        <f>IF($BM156=0,"",SUMIFS(Entries!$E$2:$E$5000,Entries!$C$2:$C$5000,"One-off",Entries!$A$2:$A$5000,"&gt;="&amp;$A156,Entries!$A$2:$A$5000,"&lt;"&amp;EDATE($A156,1)))</f>
        <v/>
      </c>
      <c r="E156" s="23">
        <f>IF($BM156=0,NA(),C156+D156)</f>
        <v/>
      </c>
      <c r="F156" s="23">
        <f>IF($BM156=0,"",SUM(AR156:BK156))</f>
        <v/>
      </c>
      <c r="G156" s="23">
        <f>IF($BM156=0,"",B156-E156)</f>
        <v/>
      </c>
      <c r="H156" s="23">
        <f>IF($BM156=0,"",SUM($G$2:G156))</f>
        <v/>
      </c>
      <c r="I156" s="23">
        <f>IF($BM156=0,"",SUMIFS(Entries!$G$2:$G$5000,Entries!$A$2:$A$5000,"&gt;="&amp;$A156,Entries!$A$2:$A$5000,"&lt;"&amp;EDATE($A156,1)))</f>
        <v/>
      </c>
      <c r="J156" s="23">
        <f>IF($BM156=0,NA(),H156)</f>
        <v/>
      </c>
      <c r="K156" s="23">
        <f>IF($BM156=0,"",SUMIFS(Entries!$E$2:$E$5000,Entries!$C$2:$C$5000,"Income",Entries!$A$2:$A$5000,"&gt;="&amp;EDATE($A156,-11),Entries!$A$2:$A$5000,"&lt;"&amp;EDATE($A156,1))/COUNTIFS($A$2:$A$400,"&gt;="&amp;EDATE($A156,-11),$A$2:$A$400,"&lt;"&amp;EDATE($A156,1),$BM$2:$BM$400,"&gt;0"))</f>
      </c>
      <c r="L156" s="23">
        <f>IF($BM156=0,"",(SUMIFS(Entries!$E$2:$E$5000,Entries!$C$2:$C$5000,"Actual",Entries!$A$2:$A$5000,"&gt;="&amp;EDATE($A156,-11),Entries!$A$2:$A$5000,"&lt;"&amp;EDATE($A156,1))+SUMIFS(Entries!$E$2:$E$5000,Entries!$C$2:$C$5000,"One-off",Entries!$A$2:$A$5000,"&gt;="&amp;EDATE($A156,-11),Entries!$A$2:$A$5000,"&lt;"&amp;EDATE($A156,1)))/COUNTIFS($A$2:$A$400,"&gt;="&amp;EDATE($A156,-11),$A$2:$A$400,"&lt;"&amp;EDATE($A156,1),$BM$2:$BM$400,"&gt;0"))</f>
      </c>
      <c r="M156" s="24">
        <f>IF($BM156=0,NA(),IFERROR((K156-L156)/K156,0))</f>
        <v/>
      </c>
      <c r="N156" s="23">
        <f>IF($BM156=0,NA(),SUMIFS(Entries!$E$2:$E$5000,Entries!$D$2:$D$5000,"Core",Entries!$A$2:$A$5000,"&gt;="&amp;$A156,Entries!$A$2:$A$5000,"&lt;"&amp;EDATE($A156,1)))</f>
        <v/>
      </c>
      <c r="O156" s="23">
        <f>IF($BM156=0,NA(),SUMIFS(Entries!$E$2:$E$5000,Entries!$D$2:$D$5000,"Over &amp; above",Entries!$A$2:$A$5000,"&gt;="&amp;$A156,Entries!$A$2:$A$5000,"&lt;"&amp;EDATE($A156,1)))</f>
        <v/>
      </c>
      <c r="P156" s="23">
        <f>IF($BM156=0,NA(),SUMIFS(Entries!$E$2:$E$5000,Entries!$D$2:$D$5000,"One-off",Entries!$A$2:$A$5000,"&gt;="&amp;$A156,Entries!$A$2:$A$5000,"&lt;"&amp;EDATE($A156,1)))</f>
        <v/>
      </c>
      <c r="Q156" s="23">
        <f>IF($BM156=0,NA(),SUMIFS(Entries!$E$2:$E$5000,Entries!$D$2:$D$5000,"Reimbursable",Entries!$A$2:$A$5000,"&gt;="&amp;$A156,Entries!$A$2:$A$5000,"&lt;"&amp;EDATE($A156,1)))</f>
        <v/>
      </c>
      <c r="R156" s="23">
        <f>IF($BM156=0,NA(),SUMIFS(Entries!$E$2:$E$5000,Entries!$D$2:$D$5000,"Investment",Entries!$A$2:$A$5000,"&gt;="&amp;$A156,Entries!$A$2:$A$5000,"&lt;"&amp;EDATE($A156,1)))</f>
        <v/>
      </c>
      <c r="S156" s="23">
        <f>IF($BM156=0,NA(),N156+O156)</f>
        <v/>
      </c>
      <c r="T156" s="23">
        <f>IF($BM156=0,"",E156-Q156)</f>
        <v/>
      </c>
      <c r="W156" s="23">
        <f>IF(OR(W$1="",$BM156=0),"",SUMIFS(Entries!$E$2:$E$5000,Entries!$C$2:$C$5000,"Actual",Entries!$A$2:$A$5000,"&gt;="&amp;$A156,Entries!$A$2:$A$5000,"&lt;"&amp;EDATE($A156,1),Entries!$B$2:$B$5000,W$1))</f>
        <v/>
      </c>
      <c r="X156" s="23">
        <f>IF(OR(X$1="",$BM156=0),"",SUMIFS(Entries!$E$2:$E$5000,Entries!$C$2:$C$5000,"Actual",Entries!$A$2:$A$5000,"&gt;="&amp;$A156,Entries!$A$2:$A$5000,"&lt;"&amp;EDATE($A156,1),Entries!$B$2:$B$5000,X$1))</f>
        <v/>
      </c>
      <c r="Y156" s="23">
        <f>IF(OR(Y$1="",$BM156=0),"",SUMIFS(Entries!$E$2:$E$5000,Entries!$C$2:$C$5000,"Actual",Entries!$A$2:$A$5000,"&gt;="&amp;$A156,Entries!$A$2:$A$5000,"&lt;"&amp;EDATE($A156,1),Entries!$B$2:$B$5000,Y$1))</f>
        <v/>
      </c>
      <c r="Z156" s="23">
        <f>IF(OR(Z$1="",$BM156=0),"",SUMIFS(Entries!$E$2:$E$5000,Entries!$C$2:$C$5000,"Actual",Entries!$A$2:$A$5000,"&gt;="&amp;$A156,Entries!$A$2:$A$5000,"&lt;"&amp;EDATE($A156,1),Entries!$B$2:$B$5000,Z$1))</f>
        <v/>
      </c>
      <c r="AA156" s="23">
        <f>IF(OR(AA$1="",$BM156=0),"",SUMIFS(Entries!$E$2:$E$5000,Entries!$C$2:$C$5000,"Actual",Entries!$A$2:$A$5000,"&gt;="&amp;$A156,Entries!$A$2:$A$5000,"&lt;"&amp;EDATE($A156,1),Entries!$B$2:$B$5000,AA$1))</f>
        <v/>
      </c>
      <c r="AB156" s="23">
        <f>IF(OR(AB$1="",$BM156=0),"",SUMIFS(Entries!$E$2:$E$5000,Entries!$C$2:$C$5000,"Actual",Entries!$A$2:$A$5000,"&gt;="&amp;$A156,Entries!$A$2:$A$5000,"&lt;"&amp;EDATE($A156,1),Entries!$B$2:$B$5000,AB$1))</f>
        <v/>
      </c>
      <c r="AC156" s="23">
        <f>IF(OR(AC$1="",$BM156=0),"",SUMIFS(Entries!$E$2:$E$5000,Entries!$C$2:$C$5000,"Actual",Entries!$A$2:$A$5000,"&gt;="&amp;$A156,Entries!$A$2:$A$5000,"&lt;"&amp;EDATE($A156,1),Entries!$B$2:$B$5000,AC$1))</f>
        <v/>
      </c>
      <c r="AD156" s="23">
        <f>IF(OR(AD$1="",$BM156=0),"",SUMIFS(Entries!$E$2:$E$5000,Entries!$C$2:$C$5000,"Actual",Entries!$A$2:$A$5000,"&gt;="&amp;$A156,Entries!$A$2:$A$5000,"&lt;"&amp;EDATE($A156,1),Entries!$B$2:$B$5000,AD$1))</f>
        <v/>
      </c>
      <c r="AE156" s="23">
        <f>IF(OR(AE$1="",$BM156=0),"",SUMIFS(Entries!$E$2:$E$5000,Entries!$C$2:$C$5000,"Actual",Entries!$A$2:$A$5000,"&gt;="&amp;$A156,Entries!$A$2:$A$5000,"&lt;"&amp;EDATE($A156,1),Entries!$B$2:$B$5000,AE$1))</f>
        <v/>
      </c>
      <c r="AF156" s="23">
        <f>IF(OR(AF$1="",$BM156=0),"",SUMIFS(Entries!$E$2:$E$5000,Entries!$C$2:$C$5000,"Actual",Entries!$A$2:$A$5000,"&gt;="&amp;$A156,Entries!$A$2:$A$5000,"&lt;"&amp;EDATE($A156,1),Entries!$B$2:$B$5000,AF$1))</f>
        <v/>
      </c>
      <c r="AG156" s="23">
        <f>IF(OR(AG$1="",$BM156=0),"",SUMIFS(Entries!$E$2:$E$5000,Entries!$C$2:$C$5000,"Actual",Entries!$A$2:$A$5000,"&gt;="&amp;$A156,Entries!$A$2:$A$5000,"&lt;"&amp;EDATE($A156,1),Entries!$B$2:$B$5000,AG$1))</f>
        <v/>
      </c>
      <c r="AH156" s="23">
        <f>IF(OR(AH$1="",$BM156=0),"",SUMIFS(Entries!$E$2:$E$5000,Entries!$C$2:$C$5000,"Actual",Entries!$A$2:$A$5000,"&gt;="&amp;$A156,Entries!$A$2:$A$5000,"&lt;"&amp;EDATE($A156,1),Entries!$B$2:$B$5000,AH$1))</f>
        <v/>
      </c>
      <c r="AI156" s="23">
        <f>IF(OR(AI$1="",$BM156=0),"",SUMIFS(Entries!$E$2:$E$5000,Entries!$C$2:$C$5000,"Actual",Entries!$A$2:$A$5000,"&gt;="&amp;$A156,Entries!$A$2:$A$5000,"&lt;"&amp;EDATE($A156,1),Entries!$B$2:$B$5000,AI$1))</f>
        <v/>
      </c>
      <c r="AJ156" s="23">
        <f>IF(OR(AJ$1="",$BM156=0),"",SUMIFS(Entries!$E$2:$E$5000,Entries!$C$2:$C$5000,"Actual",Entries!$A$2:$A$5000,"&gt;="&amp;$A156,Entries!$A$2:$A$5000,"&lt;"&amp;EDATE($A156,1),Entries!$B$2:$B$5000,AJ$1))</f>
        <v/>
      </c>
      <c r="AK156" s="23">
        <f>IF(OR(AK$1="",$BM156=0),"",SUMIFS(Entries!$E$2:$E$5000,Entries!$C$2:$C$5000,"Actual",Entries!$A$2:$A$5000,"&gt;="&amp;$A156,Entries!$A$2:$A$5000,"&lt;"&amp;EDATE($A156,1),Entries!$B$2:$B$5000,AK$1))</f>
        <v/>
      </c>
      <c r="AL156" s="23">
        <f>IF(OR(AL$1="",$BM156=0),"",SUMIFS(Entries!$E$2:$E$5000,Entries!$C$2:$C$5000,"Actual",Entries!$A$2:$A$5000,"&gt;="&amp;$A156,Entries!$A$2:$A$5000,"&lt;"&amp;EDATE($A156,1),Entries!$B$2:$B$5000,AL$1))</f>
        <v/>
      </c>
      <c r="AM156" s="23">
        <f>IF(OR(AM$1="",$BM156=0),"",SUMIFS(Entries!$E$2:$E$5000,Entries!$C$2:$C$5000,"Actual",Entries!$A$2:$A$5000,"&gt;="&amp;$A156,Entries!$A$2:$A$5000,"&lt;"&amp;EDATE($A156,1),Entries!$B$2:$B$5000,AM$1))</f>
        <v/>
      </c>
      <c r="AN156" s="23">
        <f>IF(OR(AN$1="",$BM156=0),"",SUMIFS(Entries!$E$2:$E$5000,Entries!$C$2:$C$5000,"Actual",Entries!$A$2:$A$5000,"&gt;="&amp;$A156,Entries!$A$2:$A$5000,"&lt;"&amp;EDATE($A156,1),Entries!$B$2:$B$5000,AN$1))</f>
        <v/>
      </c>
      <c r="AO156" s="23">
        <f>IF(OR(AO$1="",$BM156=0),"",SUMIFS(Entries!$E$2:$E$5000,Entries!$C$2:$C$5000,"Actual",Entries!$A$2:$A$5000,"&gt;="&amp;$A156,Entries!$A$2:$A$5000,"&lt;"&amp;EDATE($A156,1),Entries!$B$2:$B$5000,AO$1))</f>
        <v/>
      </c>
      <c r="AP156" s="23">
        <f>IF(OR(AP$1="",$BM156=0),"",SUMIFS(Entries!$E$2:$E$5000,Entries!$C$2:$C$5000,"Actual",Entries!$A$2:$A$5000,"&gt;="&amp;$A156,Entries!$A$2:$A$5000,"&lt;"&amp;EDATE($A156,1),Entries!$B$2:$B$5000,AP$1))</f>
        <v/>
      </c>
      <c r="AR156" s="23">
        <f>IF(OR(AR$1="",$BM156=0),"",IFERROR(LOOKUP(2,1/((Budgets!$A$2:$A$200=AR$1)*(Budgets!$B$2:$B$200&lt;EDATE($A156,1))),Budgets!$C$2:$C$200),0))</f>
        <v/>
      </c>
      <c r="AS156" s="23">
        <f>IF(OR(AS$1="",$BM156=0),"",IFERROR(LOOKUP(2,1/((Budgets!$A$2:$A$200=AS$1)*(Budgets!$B$2:$B$200&lt;EDATE($A156,1))),Budgets!$C$2:$C$200),0))</f>
        <v/>
      </c>
      <c r="AT156" s="23">
        <f>IF(OR(AT$1="",$BM156=0),"",IFERROR(LOOKUP(2,1/((Budgets!$A$2:$A$200=AT$1)*(Budgets!$B$2:$B$200&lt;EDATE($A156,1))),Budgets!$C$2:$C$200),0))</f>
        <v/>
      </c>
      <c r="AU156" s="23">
        <f>IF(OR(AU$1="",$BM156=0),"",IFERROR(LOOKUP(2,1/((Budgets!$A$2:$A$200=AU$1)*(Budgets!$B$2:$B$200&lt;EDATE($A156,1))),Budgets!$C$2:$C$200),0))</f>
        <v/>
      </c>
      <c r="AV156" s="23">
        <f>IF(OR(AV$1="",$BM156=0),"",IFERROR(LOOKUP(2,1/((Budgets!$A$2:$A$200=AV$1)*(Budgets!$B$2:$B$200&lt;EDATE($A156,1))),Budgets!$C$2:$C$200),0))</f>
        <v/>
      </c>
      <c r="AW156" s="23">
        <f>IF(OR(AW$1="",$BM156=0),"",IFERROR(LOOKUP(2,1/((Budgets!$A$2:$A$200=AW$1)*(Budgets!$B$2:$B$200&lt;EDATE($A156,1))),Budgets!$C$2:$C$200),0))</f>
        <v/>
      </c>
      <c r="AX156" s="23">
        <f>IF(OR(AX$1="",$BM156=0),"",IFERROR(LOOKUP(2,1/((Budgets!$A$2:$A$200=AX$1)*(Budgets!$B$2:$B$200&lt;EDATE($A156,1))),Budgets!$C$2:$C$200),0))</f>
        <v/>
      </c>
      <c r="AY156" s="23">
        <f>IF(OR(AY$1="",$BM156=0),"",IFERROR(LOOKUP(2,1/((Budgets!$A$2:$A$200=AY$1)*(Budgets!$B$2:$B$200&lt;EDATE($A156,1))),Budgets!$C$2:$C$200),0))</f>
        <v/>
      </c>
      <c r="AZ156" s="23">
        <f>IF(OR(AZ$1="",$BM156=0),"",IFERROR(LOOKUP(2,1/((Budgets!$A$2:$A$200=AZ$1)*(Budgets!$B$2:$B$200&lt;EDATE($A156,1))),Budgets!$C$2:$C$200),0))</f>
        <v/>
      </c>
      <c r="BA156" s="23">
        <f>IF(OR(BA$1="",$BM156=0),"",IFERROR(LOOKUP(2,1/((Budgets!$A$2:$A$200=BA$1)*(Budgets!$B$2:$B$200&lt;EDATE($A156,1))),Budgets!$C$2:$C$200),0))</f>
        <v/>
      </c>
      <c r="BB156" s="23">
        <f>IF(OR(BB$1="",$BM156=0),"",IFERROR(LOOKUP(2,1/((Budgets!$A$2:$A$200=BB$1)*(Budgets!$B$2:$B$200&lt;EDATE($A156,1))),Budgets!$C$2:$C$200),0))</f>
        <v/>
      </c>
      <c r="BC156" s="23">
        <f>IF(OR(BC$1="",$BM156=0),"",IFERROR(LOOKUP(2,1/((Budgets!$A$2:$A$200=BC$1)*(Budgets!$B$2:$B$200&lt;EDATE($A156,1))),Budgets!$C$2:$C$200),0))</f>
        <v/>
      </c>
      <c r="BD156" s="23">
        <f>IF(OR(BD$1="",$BM156=0),"",IFERROR(LOOKUP(2,1/((Budgets!$A$2:$A$200=BD$1)*(Budgets!$B$2:$B$200&lt;EDATE($A156,1))),Budgets!$C$2:$C$200),0))</f>
        <v/>
      </c>
      <c r="BE156" s="23">
        <f>IF(OR(BE$1="",$BM156=0),"",IFERROR(LOOKUP(2,1/((Budgets!$A$2:$A$200=BE$1)*(Budgets!$B$2:$B$200&lt;EDATE($A156,1))),Budgets!$C$2:$C$200),0))</f>
        <v/>
      </c>
      <c r="BF156" s="23">
        <f>IF(OR(BF$1="",$BM156=0),"",IFERROR(LOOKUP(2,1/((Budgets!$A$2:$A$200=BF$1)*(Budgets!$B$2:$B$200&lt;EDATE($A156,1))),Budgets!$C$2:$C$200),0))</f>
        <v/>
      </c>
      <c r="BG156" s="23">
        <f>IF(OR(BG$1="",$BM156=0),"",IFERROR(LOOKUP(2,1/((Budgets!$A$2:$A$200=BG$1)*(Budgets!$B$2:$B$200&lt;EDATE($A156,1))),Budgets!$C$2:$C$200),0))</f>
        <v/>
      </c>
      <c r="BH156" s="23">
        <f>IF(OR(BH$1="",$BM156=0),"",IFERROR(LOOKUP(2,1/((Budgets!$A$2:$A$200=BH$1)*(Budgets!$B$2:$B$200&lt;EDATE($A156,1))),Budgets!$C$2:$C$200),0))</f>
        <v/>
      </c>
      <c r="BI156" s="23">
        <f>IF(OR(BI$1="",$BM156=0),"",IFERROR(LOOKUP(2,1/((Budgets!$A$2:$A$200=BI$1)*(Budgets!$B$2:$B$200&lt;EDATE($A156,1))),Budgets!$C$2:$C$200),0))</f>
        <v/>
      </c>
      <c r="BJ156" s="23">
        <f>IF(OR(BJ$1="",$BM156=0),"",IFERROR(LOOKUP(2,1/((Budgets!$A$2:$A$200=BJ$1)*(Budgets!$B$2:$B$200&lt;EDATE($A156,1))),Budgets!$C$2:$C$200),0))</f>
        <v/>
      </c>
      <c r="BK156" s="23">
        <f>IF(OR(BK$1="",$BM156=0),"",IFERROR(LOOKUP(2,1/((Budgets!$A$2:$A$200=BK$1)*(Budgets!$B$2:$B$200&lt;EDATE($A156,1))),Budgets!$C$2:$C$200),0))</f>
        <v/>
      </c>
      <c r="BM156" s="21">
        <f>COUNTIFS(Entries!$A$2:$A$5000,"&gt;="&amp;$A156,Entries!$A$2:$A$5000,"&lt;"&amp;EDATE($A156,1))</f>
        <v/>
      </c>
    </row>
    <row r="157">
      <c r="A157" s="22" t="n">
        <v>44166</v>
      </c>
      <c r="B157" s="23">
        <f>IF($BM157=0,NA(),SUMIFS(Entries!$E$2:$E$5000,Entries!$C$2:$C$5000,"Income",Entries!$A$2:$A$5000,"&gt;="&amp;$A157,Entries!$A$2:$A$5000,"&lt;"&amp;EDATE($A157,1)))</f>
        <v/>
      </c>
      <c r="C157" s="23">
        <f>IF($BM157=0,"",SUMIFS(Entries!$E$2:$E$5000,Entries!$C$2:$C$5000,"Actual",Entries!$A$2:$A$5000,"&gt;="&amp;$A157,Entries!$A$2:$A$5000,"&lt;"&amp;EDATE($A157,1)))</f>
        <v/>
      </c>
      <c r="D157" s="23">
        <f>IF($BM157=0,"",SUMIFS(Entries!$E$2:$E$5000,Entries!$C$2:$C$5000,"One-off",Entries!$A$2:$A$5000,"&gt;="&amp;$A157,Entries!$A$2:$A$5000,"&lt;"&amp;EDATE($A157,1)))</f>
        <v/>
      </c>
      <c r="E157" s="23">
        <f>IF($BM157=0,NA(),C157+D157)</f>
        <v/>
      </c>
      <c r="F157" s="23">
        <f>IF($BM157=0,"",SUM(AR157:BK157))</f>
        <v/>
      </c>
      <c r="G157" s="23">
        <f>IF($BM157=0,"",B157-E157)</f>
        <v/>
      </c>
      <c r="H157" s="23">
        <f>IF($BM157=0,"",SUM($G$2:G157))</f>
        <v/>
      </c>
      <c r="I157" s="23">
        <f>IF($BM157=0,"",SUMIFS(Entries!$G$2:$G$5000,Entries!$A$2:$A$5000,"&gt;="&amp;$A157,Entries!$A$2:$A$5000,"&lt;"&amp;EDATE($A157,1)))</f>
        <v/>
      </c>
      <c r="J157" s="23">
        <f>IF($BM157=0,NA(),H157)</f>
        <v/>
      </c>
      <c r="K157" s="23">
        <f>IF($BM157=0,"",SUMIFS(Entries!$E$2:$E$5000,Entries!$C$2:$C$5000,"Income",Entries!$A$2:$A$5000,"&gt;="&amp;EDATE($A157,-11),Entries!$A$2:$A$5000,"&lt;"&amp;EDATE($A157,1))/COUNTIFS($A$2:$A$400,"&gt;="&amp;EDATE($A157,-11),$A$2:$A$400,"&lt;"&amp;EDATE($A157,1),$BM$2:$BM$400,"&gt;0"))</f>
      </c>
      <c r="L157" s="23">
        <f>IF($BM157=0,"",(SUMIFS(Entries!$E$2:$E$5000,Entries!$C$2:$C$5000,"Actual",Entries!$A$2:$A$5000,"&gt;="&amp;EDATE($A157,-11),Entries!$A$2:$A$5000,"&lt;"&amp;EDATE($A157,1))+SUMIFS(Entries!$E$2:$E$5000,Entries!$C$2:$C$5000,"One-off",Entries!$A$2:$A$5000,"&gt;="&amp;EDATE($A157,-11),Entries!$A$2:$A$5000,"&lt;"&amp;EDATE($A157,1)))/COUNTIFS($A$2:$A$400,"&gt;="&amp;EDATE($A157,-11),$A$2:$A$400,"&lt;"&amp;EDATE($A157,1),$BM$2:$BM$400,"&gt;0"))</f>
      </c>
      <c r="M157" s="24">
        <f>IF($BM157=0,NA(),IFERROR((K157-L157)/K157,0))</f>
        <v/>
      </c>
      <c r="N157" s="23">
        <f>IF($BM157=0,NA(),SUMIFS(Entries!$E$2:$E$5000,Entries!$D$2:$D$5000,"Core",Entries!$A$2:$A$5000,"&gt;="&amp;$A157,Entries!$A$2:$A$5000,"&lt;"&amp;EDATE($A157,1)))</f>
        <v/>
      </c>
      <c r="O157" s="23">
        <f>IF($BM157=0,NA(),SUMIFS(Entries!$E$2:$E$5000,Entries!$D$2:$D$5000,"Over &amp; above",Entries!$A$2:$A$5000,"&gt;="&amp;$A157,Entries!$A$2:$A$5000,"&lt;"&amp;EDATE($A157,1)))</f>
        <v/>
      </c>
      <c r="P157" s="23">
        <f>IF($BM157=0,NA(),SUMIFS(Entries!$E$2:$E$5000,Entries!$D$2:$D$5000,"One-off",Entries!$A$2:$A$5000,"&gt;="&amp;$A157,Entries!$A$2:$A$5000,"&lt;"&amp;EDATE($A157,1)))</f>
        <v/>
      </c>
      <c r="Q157" s="23">
        <f>IF($BM157=0,NA(),SUMIFS(Entries!$E$2:$E$5000,Entries!$D$2:$D$5000,"Reimbursable",Entries!$A$2:$A$5000,"&gt;="&amp;$A157,Entries!$A$2:$A$5000,"&lt;"&amp;EDATE($A157,1)))</f>
        <v/>
      </c>
      <c r="R157" s="23">
        <f>IF($BM157=0,NA(),SUMIFS(Entries!$E$2:$E$5000,Entries!$D$2:$D$5000,"Investment",Entries!$A$2:$A$5000,"&gt;="&amp;$A157,Entries!$A$2:$A$5000,"&lt;"&amp;EDATE($A157,1)))</f>
        <v/>
      </c>
      <c r="S157" s="23">
        <f>IF($BM157=0,NA(),N157+O157)</f>
        <v/>
      </c>
      <c r="T157" s="23">
        <f>IF($BM157=0,"",E157-Q157)</f>
        <v/>
      </c>
      <c r="W157" s="23">
        <f>IF(OR(W$1="",$BM157=0),"",SUMIFS(Entries!$E$2:$E$5000,Entries!$C$2:$C$5000,"Actual",Entries!$A$2:$A$5000,"&gt;="&amp;$A157,Entries!$A$2:$A$5000,"&lt;"&amp;EDATE($A157,1),Entries!$B$2:$B$5000,W$1))</f>
        <v/>
      </c>
      <c r="X157" s="23">
        <f>IF(OR(X$1="",$BM157=0),"",SUMIFS(Entries!$E$2:$E$5000,Entries!$C$2:$C$5000,"Actual",Entries!$A$2:$A$5000,"&gt;="&amp;$A157,Entries!$A$2:$A$5000,"&lt;"&amp;EDATE($A157,1),Entries!$B$2:$B$5000,X$1))</f>
        <v/>
      </c>
      <c r="Y157" s="23">
        <f>IF(OR(Y$1="",$BM157=0),"",SUMIFS(Entries!$E$2:$E$5000,Entries!$C$2:$C$5000,"Actual",Entries!$A$2:$A$5000,"&gt;="&amp;$A157,Entries!$A$2:$A$5000,"&lt;"&amp;EDATE($A157,1),Entries!$B$2:$B$5000,Y$1))</f>
        <v/>
      </c>
      <c r="Z157" s="23">
        <f>IF(OR(Z$1="",$BM157=0),"",SUMIFS(Entries!$E$2:$E$5000,Entries!$C$2:$C$5000,"Actual",Entries!$A$2:$A$5000,"&gt;="&amp;$A157,Entries!$A$2:$A$5000,"&lt;"&amp;EDATE($A157,1),Entries!$B$2:$B$5000,Z$1))</f>
        <v/>
      </c>
      <c r="AA157" s="23">
        <f>IF(OR(AA$1="",$BM157=0),"",SUMIFS(Entries!$E$2:$E$5000,Entries!$C$2:$C$5000,"Actual",Entries!$A$2:$A$5000,"&gt;="&amp;$A157,Entries!$A$2:$A$5000,"&lt;"&amp;EDATE($A157,1),Entries!$B$2:$B$5000,AA$1))</f>
        <v/>
      </c>
      <c r="AB157" s="23">
        <f>IF(OR(AB$1="",$BM157=0),"",SUMIFS(Entries!$E$2:$E$5000,Entries!$C$2:$C$5000,"Actual",Entries!$A$2:$A$5000,"&gt;="&amp;$A157,Entries!$A$2:$A$5000,"&lt;"&amp;EDATE($A157,1),Entries!$B$2:$B$5000,AB$1))</f>
        <v/>
      </c>
      <c r="AC157" s="23">
        <f>IF(OR(AC$1="",$BM157=0),"",SUMIFS(Entries!$E$2:$E$5000,Entries!$C$2:$C$5000,"Actual",Entries!$A$2:$A$5000,"&gt;="&amp;$A157,Entries!$A$2:$A$5000,"&lt;"&amp;EDATE($A157,1),Entries!$B$2:$B$5000,AC$1))</f>
        <v/>
      </c>
      <c r="AD157" s="23">
        <f>IF(OR(AD$1="",$BM157=0),"",SUMIFS(Entries!$E$2:$E$5000,Entries!$C$2:$C$5000,"Actual",Entries!$A$2:$A$5000,"&gt;="&amp;$A157,Entries!$A$2:$A$5000,"&lt;"&amp;EDATE($A157,1),Entries!$B$2:$B$5000,AD$1))</f>
        <v/>
      </c>
      <c r="AE157" s="23">
        <f>IF(OR(AE$1="",$BM157=0),"",SUMIFS(Entries!$E$2:$E$5000,Entries!$C$2:$C$5000,"Actual",Entries!$A$2:$A$5000,"&gt;="&amp;$A157,Entries!$A$2:$A$5000,"&lt;"&amp;EDATE($A157,1),Entries!$B$2:$B$5000,AE$1))</f>
        <v/>
      </c>
      <c r="AF157" s="23">
        <f>IF(OR(AF$1="",$BM157=0),"",SUMIFS(Entries!$E$2:$E$5000,Entries!$C$2:$C$5000,"Actual",Entries!$A$2:$A$5000,"&gt;="&amp;$A157,Entries!$A$2:$A$5000,"&lt;"&amp;EDATE($A157,1),Entries!$B$2:$B$5000,AF$1))</f>
        <v/>
      </c>
      <c r="AG157" s="23">
        <f>IF(OR(AG$1="",$BM157=0),"",SUMIFS(Entries!$E$2:$E$5000,Entries!$C$2:$C$5000,"Actual",Entries!$A$2:$A$5000,"&gt;="&amp;$A157,Entries!$A$2:$A$5000,"&lt;"&amp;EDATE($A157,1),Entries!$B$2:$B$5000,AG$1))</f>
        <v/>
      </c>
      <c r="AH157" s="23">
        <f>IF(OR(AH$1="",$BM157=0),"",SUMIFS(Entries!$E$2:$E$5000,Entries!$C$2:$C$5000,"Actual",Entries!$A$2:$A$5000,"&gt;="&amp;$A157,Entries!$A$2:$A$5000,"&lt;"&amp;EDATE($A157,1),Entries!$B$2:$B$5000,AH$1))</f>
        <v/>
      </c>
      <c r="AI157" s="23">
        <f>IF(OR(AI$1="",$BM157=0),"",SUMIFS(Entries!$E$2:$E$5000,Entries!$C$2:$C$5000,"Actual",Entries!$A$2:$A$5000,"&gt;="&amp;$A157,Entries!$A$2:$A$5000,"&lt;"&amp;EDATE($A157,1),Entries!$B$2:$B$5000,AI$1))</f>
        <v/>
      </c>
      <c r="AJ157" s="23">
        <f>IF(OR(AJ$1="",$BM157=0),"",SUMIFS(Entries!$E$2:$E$5000,Entries!$C$2:$C$5000,"Actual",Entries!$A$2:$A$5000,"&gt;="&amp;$A157,Entries!$A$2:$A$5000,"&lt;"&amp;EDATE($A157,1),Entries!$B$2:$B$5000,AJ$1))</f>
        <v/>
      </c>
      <c r="AK157" s="23">
        <f>IF(OR(AK$1="",$BM157=0),"",SUMIFS(Entries!$E$2:$E$5000,Entries!$C$2:$C$5000,"Actual",Entries!$A$2:$A$5000,"&gt;="&amp;$A157,Entries!$A$2:$A$5000,"&lt;"&amp;EDATE($A157,1),Entries!$B$2:$B$5000,AK$1))</f>
        <v/>
      </c>
      <c r="AL157" s="23">
        <f>IF(OR(AL$1="",$BM157=0),"",SUMIFS(Entries!$E$2:$E$5000,Entries!$C$2:$C$5000,"Actual",Entries!$A$2:$A$5000,"&gt;="&amp;$A157,Entries!$A$2:$A$5000,"&lt;"&amp;EDATE($A157,1),Entries!$B$2:$B$5000,AL$1))</f>
        <v/>
      </c>
      <c r="AM157" s="23">
        <f>IF(OR(AM$1="",$BM157=0),"",SUMIFS(Entries!$E$2:$E$5000,Entries!$C$2:$C$5000,"Actual",Entries!$A$2:$A$5000,"&gt;="&amp;$A157,Entries!$A$2:$A$5000,"&lt;"&amp;EDATE($A157,1),Entries!$B$2:$B$5000,AM$1))</f>
        <v/>
      </c>
      <c r="AN157" s="23">
        <f>IF(OR(AN$1="",$BM157=0),"",SUMIFS(Entries!$E$2:$E$5000,Entries!$C$2:$C$5000,"Actual",Entries!$A$2:$A$5000,"&gt;="&amp;$A157,Entries!$A$2:$A$5000,"&lt;"&amp;EDATE($A157,1),Entries!$B$2:$B$5000,AN$1))</f>
        <v/>
      </c>
      <c r="AO157" s="23">
        <f>IF(OR(AO$1="",$BM157=0),"",SUMIFS(Entries!$E$2:$E$5000,Entries!$C$2:$C$5000,"Actual",Entries!$A$2:$A$5000,"&gt;="&amp;$A157,Entries!$A$2:$A$5000,"&lt;"&amp;EDATE($A157,1),Entries!$B$2:$B$5000,AO$1))</f>
        <v/>
      </c>
      <c r="AP157" s="23">
        <f>IF(OR(AP$1="",$BM157=0),"",SUMIFS(Entries!$E$2:$E$5000,Entries!$C$2:$C$5000,"Actual",Entries!$A$2:$A$5000,"&gt;="&amp;$A157,Entries!$A$2:$A$5000,"&lt;"&amp;EDATE($A157,1),Entries!$B$2:$B$5000,AP$1))</f>
        <v/>
      </c>
      <c r="AR157" s="23">
        <f>IF(OR(AR$1="",$BM157=0),"",IFERROR(LOOKUP(2,1/((Budgets!$A$2:$A$200=AR$1)*(Budgets!$B$2:$B$200&lt;EDATE($A157,1))),Budgets!$C$2:$C$200),0))</f>
        <v/>
      </c>
      <c r="AS157" s="23">
        <f>IF(OR(AS$1="",$BM157=0),"",IFERROR(LOOKUP(2,1/((Budgets!$A$2:$A$200=AS$1)*(Budgets!$B$2:$B$200&lt;EDATE($A157,1))),Budgets!$C$2:$C$200),0))</f>
        <v/>
      </c>
      <c r="AT157" s="23">
        <f>IF(OR(AT$1="",$BM157=0),"",IFERROR(LOOKUP(2,1/((Budgets!$A$2:$A$200=AT$1)*(Budgets!$B$2:$B$200&lt;EDATE($A157,1))),Budgets!$C$2:$C$200),0))</f>
        <v/>
      </c>
      <c r="AU157" s="23">
        <f>IF(OR(AU$1="",$BM157=0),"",IFERROR(LOOKUP(2,1/((Budgets!$A$2:$A$200=AU$1)*(Budgets!$B$2:$B$200&lt;EDATE($A157,1))),Budgets!$C$2:$C$200),0))</f>
        <v/>
      </c>
      <c r="AV157" s="23">
        <f>IF(OR(AV$1="",$BM157=0),"",IFERROR(LOOKUP(2,1/((Budgets!$A$2:$A$200=AV$1)*(Budgets!$B$2:$B$200&lt;EDATE($A157,1))),Budgets!$C$2:$C$200),0))</f>
        <v/>
      </c>
      <c r="AW157" s="23">
        <f>IF(OR(AW$1="",$BM157=0),"",IFERROR(LOOKUP(2,1/((Budgets!$A$2:$A$200=AW$1)*(Budgets!$B$2:$B$200&lt;EDATE($A157,1))),Budgets!$C$2:$C$200),0))</f>
        <v/>
      </c>
      <c r="AX157" s="23">
        <f>IF(OR(AX$1="",$BM157=0),"",IFERROR(LOOKUP(2,1/((Budgets!$A$2:$A$200=AX$1)*(Budgets!$B$2:$B$200&lt;EDATE($A157,1))),Budgets!$C$2:$C$200),0))</f>
        <v/>
      </c>
      <c r="AY157" s="23">
        <f>IF(OR(AY$1="",$BM157=0),"",IFERROR(LOOKUP(2,1/((Budgets!$A$2:$A$200=AY$1)*(Budgets!$B$2:$B$200&lt;EDATE($A157,1))),Budgets!$C$2:$C$200),0))</f>
        <v/>
      </c>
      <c r="AZ157" s="23">
        <f>IF(OR(AZ$1="",$BM157=0),"",IFERROR(LOOKUP(2,1/((Budgets!$A$2:$A$200=AZ$1)*(Budgets!$B$2:$B$200&lt;EDATE($A157,1))),Budgets!$C$2:$C$200),0))</f>
        <v/>
      </c>
      <c r="BA157" s="23">
        <f>IF(OR(BA$1="",$BM157=0),"",IFERROR(LOOKUP(2,1/((Budgets!$A$2:$A$200=BA$1)*(Budgets!$B$2:$B$200&lt;EDATE($A157,1))),Budgets!$C$2:$C$200),0))</f>
        <v/>
      </c>
      <c r="BB157" s="23">
        <f>IF(OR(BB$1="",$BM157=0),"",IFERROR(LOOKUP(2,1/((Budgets!$A$2:$A$200=BB$1)*(Budgets!$B$2:$B$200&lt;EDATE($A157,1))),Budgets!$C$2:$C$200),0))</f>
        <v/>
      </c>
      <c r="BC157" s="23">
        <f>IF(OR(BC$1="",$BM157=0),"",IFERROR(LOOKUP(2,1/((Budgets!$A$2:$A$200=BC$1)*(Budgets!$B$2:$B$200&lt;EDATE($A157,1))),Budgets!$C$2:$C$200),0))</f>
        <v/>
      </c>
      <c r="BD157" s="23">
        <f>IF(OR(BD$1="",$BM157=0),"",IFERROR(LOOKUP(2,1/((Budgets!$A$2:$A$200=BD$1)*(Budgets!$B$2:$B$200&lt;EDATE($A157,1))),Budgets!$C$2:$C$200),0))</f>
        <v/>
      </c>
      <c r="BE157" s="23">
        <f>IF(OR(BE$1="",$BM157=0),"",IFERROR(LOOKUP(2,1/((Budgets!$A$2:$A$200=BE$1)*(Budgets!$B$2:$B$200&lt;EDATE($A157,1))),Budgets!$C$2:$C$200),0))</f>
        <v/>
      </c>
      <c r="BF157" s="23">
        <f>IF(OR(BF$1="",$BM157=0),"",IFERROR(LOOKUP(2,1/((Budgets!$A$2:$A$200=BF$1)*(Budgets!$B$2:$B$200&lt;EDATE($A157,1))),Budgets!$C$2:$C$200),0))</f>
        <v/>
      </c>
      <c r="BG157" s="23">
        <f>IF(OR(BG$1="",$BM157=0),"",IFERROR(LOOKUP(2,1/((Budgets!$A$2:$A$200=BG$1)*(Budgets!$B$2:$B$200&lt;EDATE($A157,1))),Budgets!$C$2:$C$200),0))</f>
        <v/>
      </c>
      <c r="BH157" s="23">
        <f>IF(OR(BH$1="",$BM157=0),"",IFERROR(LOOKUP(2,1/((Budgets!$A$2:$A$200=BH$1)*(Budgets!$B$2:$B$200&lt;EDATE($A157,1))),Budgets!$C$2:$C$200),0))</f>
        <v/>
      </c>
      <c r="BI157" s="23">
        <f>IF(OR(BI$1="",$BM157=0),"",IFERROR(LOOKUP(2,1/((Budgets!$A$2:$A$200=BI$1)*(Budgets!$B$2:$B$200&lt;EDATE($A157,1))),Budgets!$C$2:$C$200),0))</f>
        <v/>
      </c>
      <c r="BJ157" s="23">
        <f>IF(OR(BJ$1="",$BM157=0),"",IFERROR(LOOKUP(2,1/((Budgets!$A$2:$A$200=BJ$1)*(Budgets!$B$2:$B$200&lt;EDATE($A157,1))),Budgets!$C$2:$C$200),0))</f>
        <v/>
      </c>
      <c r="BK157" s="23">
        <f>IF(OR(BK$1="",$BM157=0),"",IFERROR(LOOKUP(2,1/((Budgets!$A$2:$A$200=BK$1)*(Budgets!$B$2:$B$200&lt;EDATE($A157,1))),Budgets!$C$2:$C$200),0))</f>
        <v/>
      </c>
      <c r="BM157" s="21">
        <f>COUNTIFS(Entries!$A$2:$A$5000,"&gt;="&amp;$A157,Entries!$A$2:$A$5000,"&lt;"&amp;EDATE($A157,1))</f>
        <v/>
      </c>
    </row>
    <row r="158">
      <c r="A158" s="22" t="n">
        <v>44197</v>
      </c>
      <c r="B158" s="23">
        <f>IF($BM158=0,NA(),SUMIFS(Entries!$E$2:$E$5000,Entries!$C$2:$C$5000,"Income",Entries!$A$2:$A$5000,"&gt;="&amp;$A158,Entries!$A$2:$A$5000,"&lt;"&amp;EDATE($A158,1)))</f>
        <v/>
      </c>
      <c r="C158" s="23">
        <f>IF($BM158=0,"",SUMIFS(Entries!$E$2:$E$5000,Entries!$C$2:$C$5000,"Actual",Entries!$A$2:$A$5000,"&gt;="&amp;$A158,Entries!$A$2:$A$5000,"&lt;"&amp;EDATE($A158,1)))</f>
        <v/>
      </c>
      <c r="D158" s="23">
        <f>IF($BM158=0,"",SUMIFS(Entries!$E$2:$E$5000,Entries!$C$2:$C$5000,"One-off",Entries!$A$2:$A$5000,"&gt;="&amp;$A158,Entries!$A$2:$A$5000,"&lt;"&amp;EDATE($A158,1)))</f>
        <v/>
      </c>
      <c r="E158" s="23">
        <f>IF($BM158=0,NA(),C158+D158)</f>
        <v/>
      </c>
      <c r="F158" s="23">
        <f>IF($BM158=0,"",SUM(AR158:BK158))</f>
        <v/>
      </c>
      <c r="G158" s="23">
        <f>IF($BM158=0,"",B158-E158)</f>
        <v/>
      </c>
      <c r="H158" s="23">
        <f>IF($BM158=0,"",SUM($G$2:G158))</f>
        <v/>
      </c>
      <c r="I158" s="23">
        <f>IF($BM158=0,"",SUMIFS(Entries!$G$2:$G$5000,Entries!$A$2:$A$5000,"&gt;="&amp;$A158,Entries!$A$2:$A$5000,"&lt;"&amp;EDATE($A158,1)))</f>
        <v/>
      </c>
      <c r="J158" s="23">
        <f>IF($BM158=0,NA(),H158)</f>
        <v/>
      </c>
      <c r="K158" s="23">
        <f>IF($BM158=0,"",SUMIFS(Entries!$E$2:$E$5000,Entries!$C$2:$C$5000,"Income",Entries!$A$2:$A$5000,"&gt;="&amp;EDATE($A158,-11),Entries!$A$2:$A$5000,"&lt;"&amp;EDATE($A158,1))/COUNTIFS($A$2:$A$400,"&gt;="&amp;EDATE($A158,-11),$A$2:$A$400,"&lt;"&amp;EDATE($A158,1),$BM$2:$BM$400,"&gt;0"))</f>
      </c>
      <c r="L158" s="23">
        <f>IF($BM158=0,"",(SUMIFS(Entries!$E$2:$E$5000,Entries!$C$2:$C$5000,"Actual",Entries!$A$2:$A$5000,"&gt;="&amp;EDATE($A158,-11),Entries!$A$2:$A$5000,"&lt;"&amp;EDATE($A158,1))+SUMIFS(Entries!$E$2:$E$5000,Entries!$C$2:$C$5000,"One-off",Entries!$A$2:$A$5000,"&gt;="&amp;EDATE($A158,-11),Entries!$A$2:$A$5000,"&lt;"&amp;EDATE($A158,1)))/COUNTIFS($A$2:$A$400,"&gt;="&amp;EDATE($A158,-11),$A$2:$A$400,"&lt;"&amp;EDATE($A158,1),$BM$2:$BM$400,"&gt;0"))</f>
      </c>
      <c r="M158" s="24">
        <f>IF($BM158=0,NA(),IFERROR((K158-L158)/K158,0))</f>
        <v/>
      </c>
      <c r="N158" s="23">
        <f>IF($BM158=0,NA(),SUMIFS(Entries!$E$2:$E$5000,Entries!$D$2:$D$5000,"Core",Entries!$A$2:$A$5000,"&gt;="&amp;$A158,Entries!$A$2:$A$5000,"&lt;"&amp;EDATE($A158,1)))</f>
        <v/>
      </c>
      <c r="O158" s="23">
        <f>IF($BM158=0,NA(),SUMIFS(Entries!$E$2:$E$5000,Entries!$D$2:$D$5000,"Over &amp; above",Entries!$A$2:$A$5000,"&gt;="&amp;$A158,Entries!$A$2:$A$5000,"&lt;"&amp;EDATE($A158,1)))</f>
        <v/>
      </c>
      <c r="P158" s="23">
        <f>IF($BM158=0,NA(),SUMIFS(Entries!$E$2:$E$5000,Entries!$D$2:$D$5000,"One-off",Entries!$A$2:$A$5000,"&gt;="&amp;$A158,Entries!$A$2:$A$5000,"&lt;"&amp;EDATE($A158,1)))</f>
        <v/>
      </c>
      <c r="Q158" s="23">
        <f>IF($BM158=0,NA(),SUMIFS(Entries!$E$2:$E$5000,Entries!$D$2:$D$5000,"Reimbursable",Entries!$A$2:$A$5000,"&gt;="&amp;$A158,Entries!$A$2:$A$5000,"&lt;"&amp;EDATE($A158,1)))</f>
        <v/>
      </c>
      <c r="R158" s="23">
        <f>IF($BM158=0,NA(),SUMIFS(Entries!$E$2:$E$5000,Entries!$D$2:$D$5000,"Investment",Entries!$A$2:$A$5000,"&gt;="&amp;$A158,Entries!$A$2:$A$5000,"&lt;"&amp;EDATE($A158,1)))</f>
        <v/>
      </c>
      <c r="S158" s="23">
        <f>IF($BM158=0,NA(),N158+O158)</f>
        <v/>
      </c>
      <c r="T158" s="23">
        <f>IF($BM158=0,"",E158-Q158)</f>
        <v/>
      </c>
      <c r="W158" s="23">
        <f>IF(OR(W$1="",$BM158=0),"",SUMIFS(Entries!$E$2:$E$5000,Entries!$C$2:$C$5000,"Actual",Entries!$A$2:$A$5000,"&gt;="&amp;$A158,Entries!$A$2:$A$5000,"&lt;"&amp;EDATE($A158,1),Entries!$B$2:$B$5000,W$1))</f>
        <v/>
      </c>
      <c r="X158" s="23">
        <f>IF(OR(X$1="",$BM158=0),"",SUMIFS(Entries!$E$2:$E$5000,Entries!$C$2:$C$5000,"Actual",Entries!$A$2:$A$5000,"&gt;="&amp;$A158,Entries!$A$2:$A$5000,"&lt;"&amp;EDATE($A158,1),Entries!$B$2:$B$5000,X$1))</f>
        <v/>
      </c>
      <c r="Y158" s="23">
        <f>IF(OR(Y$1="",$BM158=0),"",SUMIFS(Entries!$E$2:$E$5000,Entries!$C$2:$C$5000,"Actual",Entries!$A$2:$A$5000,"&gt;="&amp;$A158,Entries!$A$2:$A$5000,"&lt;"&amp;EDATE($A158,1),Entries!$B$2:$B$5000,Y$1))</f>
        <v/>
      </c>
      <c r="Z158" s="23">
        <f>IF(OR(Z$1="",$BM158=0),"",SUMIFS(Entries!$E$2:$E$5000,Entries!$C$2:$C$5000,"Actual",Entries!$A$2:$A$5000,"&gt;="&amp;$A158,Entries!$A$2:$A$5000,"&lt;"&amp;EDATE($A158,1),Entries!$B$2:$B$5000,Z$1))</f>
        <v/>
      </c>
      <c r="AA158" s="23">
        <f>IF(OR(AA$1="",$BM158=0),"",SUMIFS(Entries!$E$2:$E$5000,Entries!$C$2:$C$5000,"Actual",Entries!$A$2:$A$5000,"&gt;="&amp;$A158,Entries!$A$2:$A$5000,"&lt;"&amp;EDATE($A158,1),Entries!$B$2:$B$5000,AA$1))</f>
        <v/>
      </c>
      <c r="AB158" s="23">
        <f>IF(OR(AB$1="",$BM158=0),"",SUMIFS(Entries!$E$2:$E$5000,Entries!$C$2:$C$5000,"Actual",Entries!$A$2:$A$5000,"&gt;="&amp;$A158,Entries!$A$2:$A$5000,"&lt;"&amp;EDATE($A158,1),Entries!$B$2:$B$5000,AB$1))</f>
        <v/>
      </c>
      <c r="AC158" s="23">
        <f>IF(OR(AC$1="",$BM158=0),"",SUMIFS(Entries!$E$2:$E$5000,Entries!$C$2:$C$5000,"Actual",Entries!$A$2:$A$5000,"&gt;="&amp;$A158,Entries!$A$2:$A$5000,"&lt;"&amp;EDATE($A158,1),Entries!$B$2:$B$5000,AC$1))</f>
        <v/>
      </c>
      <c r="AD158" s="23">
        <f>IF(OR(AD$1="",$BM158=0),"",SUMIFS(Entries!$E$2:$E$5000,Entries!$C$2:$C$5000,"Actual",Entries!$A$2:$A$5000,"&gt;="&amp;$A158,Entries!$A$2:$A$5000,"&lt;"&amp;EDATE($A158,1),Entries!$B$2:$B$5000,AD$1))</f>
        <v/>
      </c>
      <c r="AE158" s="23">
        <f>IF(OR(AE$1="",$BM158=0),"",SUMIFS(Entries!$E$2:$E$5000,Entries!$C$2:$C$5000,"Actual",Entries!$A$2:$A$5000,"&gt;="&amp;$A158,Entries!$A$2:$A$5000,"&lt;"&amp;EDATE($A158,1),Entries!$B$2:$B$5000,AE$1))</f>
        <v/>
      </c>
      <c r="AF158" s="23">
        <f>IF(OR(AF$1="",$BM158=0),"",SUMIFS(Entries!$E$2:$E$5000,Entries!$C$2:$C$5000,"Actual",Entries!$A$2:$A$5000,"&gt;="&amp;$A158,Entries!$A$2:$A$5000,"&lt;"&amp;EDATE($A158,1),Entries!$B$2:$B$5000,AF$1))</f>
        <v/>
      </c>
      <c r="AG158" s="23">
        <f>IF(OR(AG$1="",$BM158=0),"",SUMIFS(Entries!$E$2:$E$5000,Entries!$C$2:$C$5000,"Actual",Entries!$A$2:$A$5000,"&gt;="&amp;$A158,Entries!$A$2:$A$5000,"&lt;"&amp;EDATE($A158,1),Entries!$B$2:$B$5000,AG$1))</f>
        <v/>
      </c>
      <c r="AH158" s="23">
        <f>IF(OR(AH$1="",$BM158=0),"",SUMIFS(Entries!$E$2:$E$5000,Entries!$C$2:$C$5000,"Actual",Entries!$A$2:$A$5000,"&gt;="&amp;$A158,Entries!$A$2:$A$5000,"&lt;"&amp;EDATE($A158,1),Entries!$B$2:$B$5000,AH$1))</f>
        <v/>
      </c>
      <c r="AI158" s="23">
        <f>IF(OR(AI$1="",$BM158=0),"",SUMIFS(Entries!$E$2:$E$5000,Entries!$C$2:$C$5000,"Actual",Entries!$A$2:$A$5000,"&gt;="&amp;$A158,Entries!$A$2:$A$5000,"&lt;"&amp;EDATE($A158,1),Entries!$B$2:$B$5000,AI$1))</f>
        <v/>
      </c>
      <c r="AJ158" s="23">
        <f>IF(OR(AJ$1="",$BM158=0),"",SUMIFS(Entries!$E$2:$E$5000,Entries!$C$2:$C$5000,"Actual",Entries!$A$2:$A$5000,"&gt;="&amp;$A158,Entries!$A$2:$A$5000,"&lt;"&amp;EDATE($A158,1),Entries!$B$2:$B$5000,AJ$1))</f>
        <v/>
      </c>
      <c r="AK158" s="23">
        <f>IF(OR(AK$1="",$BM158=0),"",SUMIFS(Entries!$E$2:$E$5000,Entries!$C$2:$C$5000,"Actual",Entries!$A$2:$A$5000,"&gt;="&amp;$A158,Entries!$A$2:$A$5000,"&lt;"&amp;EDATE($A158,1),Entries!$B$2:$B$5000,AK$1))</f>
        <v/>
      </c>
      <c r="AL158" s="23">
        <f>IF(OR(AL$1="",$BM158=0),"",SUMIFS(Entries!$E$2:$E$5000,Entries!$C$2:$C$5000,"Actual",Entries!$A$2:$A$5000,"&gt;="&amp;$A158,Entries!$A$2:$A$5000,"&lt;"&amp;EDATE($A158,1),Entries!$B$2:$B$5000,AL$1))</f>
        <v/>
      </c>
      <c r="AM158" s="23">
        <f>IF(OR(AM$1="",$BM158=0),"",SUMIFS(Entries!$E$2:$E$5000,Entries!$C$2:$C$5000,"Actual",Entries!$A$2:$A$5000,"&gt;="&amp;$A158,Entries!$A$2:$A$5000,"&lt;"&amp;EDATE($A158,1),Entries!$B$2:$B$5000,AM$1))</f>
        <v/>
      </c>
      <c r="AN158" s="23">
        <f>IF(OR(AN$1="",$BM158=0),"",SUMIFS(Entries!$E$2:$E$5000,Entries!$C$2:$C$5000,"Actual",Entries!$A$2:$A$5000,"&gt;="&amp;$A158,Entries!$A$2:$A$5000,"&lt;"&amp;EDATE($A158,1),Entries!$B$2:$B$5000,AN$1))</f>
        <v/>
      </c>
      <c r="AO158" s="23">
        <f>IF(OR(AO$1="",$BM158=0),"",SUMIFS(Entries!$E$2:$E$5000,Entries!$C$2:$C$5000,"Actual",Entries!$A$2:$A$5000,"&gt;="&amp;$A158,Entries!$A$2:$A$5000,"&lt;"&amp;EDATE($A158,1),Entries!$B$2:$B$5000,AO$1))</f>
        <v/>
      </c>
      <c r="AP158" s="23">
        <f>IF(OR(AP$1="",$BM158=0),"",SUMIFS(Entries!$E$2:$E$5000,Entries!$C$2:$C$5000,"Actual",Entries!$A$2:$A$5000,"&gt;="&amp;$A158,Entries!$A$2:$A$5000,"&lt;"&amp;EDATE($A158,1),Entries!$B$2:$B$5000,AP$1))</f>
        <v/>
      </c>
      <c r="AR158" s="23">
        <f>IF(OR(AR$1="",$BM158=0),"",IFERROR(LOOKUP(2,1/((Budgets!$A$2:$A$200=AR$1)*(Budgets!$B$2:$B$200&lt;EDATE($A158,1))),Budgets!$C$2:$C$200),0))</f>
        <v/>
      </c>
      <c r="AS158" s="23">
        <f>IF(OR(AS$1="",$BM158=0),"",IFERROR(LOOKUP(2,1/((Budgets!$A$2:$A$200=AS$1)*(Budgets!$B$2:$B$200&lt;EDATE($A158,1))),Budgets!$C$2:$C$200),0))</f>
        <v/>
      </c>
      <c r="AT158" s="23">
        <f>IF(OR(AT$1="",$BM158=0),"",IFERROR(LOOKUP(2,1/((Budgets!$A$2:$A$200=AT$1)*(Budgets!$B$2:$B$200&lt;EDATE($A158,1))),Budgets!$C$2:$C$200),0))</f>
        <v/>
      </c>
      <c r="AU158" s="23">
        <f>IF(OR(AU$1="",$BM158=0),"",IFERROR(LOOKUP(2,1/((Budgets!$A$2:$A$200=AU$1)*(Budgets!$B$2:$B$200&lt;EDATE($A158,1))),Budgets!$C$2:$C$200),0))</f>
        <v/>
      </c>
      <c r="AV158" s="23">
        <f>IF(OR(AV$1="",$BM158=0),"",IFERROR(LOOKUP(2,1/((Budgets!$A$2:$A$200=AV$1)*(Budgets!$B$2:$B$200&lt;EDATE($A158,1))),Budgets!$C$2:$C$200),0))</f>
        <v/>
      </c>
      <c r="AW158" s="23">
        <f>IF(OR(AW$1="",$BM158=0),"",IFERROR(LOOKUP(2,1/((Budgets!$A$2:$A$200=AW$1)*(Budgets!$B$2:$B$200&lt;EDATE($A158,1))),Budgets!$C$2:$C$200),0))</f>
        <v/>
      </c>
      <c r="AX158" s="23">
        <f>IF(OR(AX$1="",$BM158=0),"",IFERROR(LOOKUP(2,1/((Budgets!$A$2:$A$200=AX$1)*(Budgets!$B$2:$B$200&lt;EDATE($A158,1))),Budgets!$C$2:$C$200),0))</f>
        <v/>
      </c>
      <c r="AY158" s="23">
        <f>IF(OR(AY$1="",$BM158=0),"",IFERROR(LOOKUP(2,1/((Budgets!$A$2:$A$200=AY$1)*(Budgets!$B$2:$B$200&lt;EDATE($A158,1))),Budgets!$C$2:$C$200),0))</f>
        <v/>
      </c>
      <c r="AZ158" s="23">
        <f>IF(OR(AZ$1="",$BM158=0),"",IFERROR(LOOKUP(2,1/((Budgets!$A$2:$A$200=AZ$1)*(Budgets!$B$2:$B$200&lt;EDATE($A158,1))),Budgets!$C$2:$C$200),0))</f>
        <v/>
      </c>
      <c r="BA158" s="23">
        <f>IF(OR(BA$1="",$BM158=0),"",IFERROR(LOOKUP(2,1/((Budgets!$A$2:$A$200=BA$1)*(Budgets!$B$2:$B$200&lt;EDATE($A158,1))),Budgets!$C$2:$C$200),0))</f>
        <v/>
      </c>
      <c r="BB158" s="23">
        <f>IF(OR(BB$1="",$BM158=0),"",IFERROR(LOOKUP(2,1/((Budgets!$A$2:$A$200=BB$1)*(Budgets!$B$2:$B$200&lt;EDATE($A158,1))),Budgets!$C$2:$C$200),0))</f>
        <v/>
      </c>
      <c r="BC158" s="23">
        <f>IF(OR(BC$1="",$BM158=0),"",IFERROR(LOOKUP(2,1/((Budgets!$A$2:$A$200=BC$1)*(Budgets!$B$2:$B$200&lt;EDATE($A158,1))),Budgets!$C$2:$C$200),0))</f>
        <v/>
      </c>
      <c r="BD158" s="23">
        <f>IF(OR(BD$1="",$BM158=0),"",IFERROR(LOOKUP(2,1/((Budgets!$A$2:$A$200=BD$1)*(Budgets!$B$2:$B$200&lt;EDATE($A158,1))),Budgets!$C$2:$C$200),0))</f>
        <v/>
      </c>
      <c r="BE158" s="23">
        <f>IF(OR(BE$1="",$BM158=0),"",IFERROR(LOOKUP(2,1/((Budgets!$A$2:$A$200=BE$1)*(Budgets!$B$2:$B$200&lt;EDATE($A158,1))),Budgets!$C$2:$C$200),0))</f>
        <v/>
      </c>
      <c r="BF158" s="23">
        <f>IF(OR(BF$1="",$BM158=0),"",IFERROR(LOOKUP(2,1/((Budgets!$A$2:$A$200=BF$1)*(Budgets!$B$2:$B$200&lt;EDATE($A158,1))),Budgets!$C$2:$C$200),0))</f>
        <v/>
      </c>
      <c r="BG158" s="23">
        <f>IF(OR(BG$1="",$BM158=0),"",IFERROR(LOOKUP(2,1/((Budgets!$A$2:$A$200=BG$1)*(Budgets!$B$2:$B$200&lt;EDATE($A158,1))),Budgets!$C$2:$C$200),0))</f>
        <v/>
      </c>
      <c r="BH158" s="23">
        <f>IF(OR(BH$1="",$BM158=0),"",IFERROR(LOOKUP(2,1/((Budgets!$A$2:$A$200=BH$1)*(Budgets!$B$2:$B$200&lt;EDATE($A158,1))),Budgets!$C$2:$C$200),0))</f>
        <v/>
      </c>
      <c r="BI158" s="23">
        <f>IF(OR(BI$1="",$BM158=0),"",IFERROR(LOOKUP(2,1/((Budgets!$A$2:$A$200=BI$1)*(Budgets!$B$2:$B$200&lt;EDATE($A158,1))),Budgets!$C$2:$C$200),0))</f>
        <v/>
      </c>
      <c r="BJ158" s="23">
        <f>IF(OR(BJ$1="",$BM158=0),"",IFERROR(LOOKUP(2,1/((Budgets!$A$2:$A$200=BJ$1)*(Budgets!$B$2:$B$200&lt;EDATE($A158,1))),Budgets!$C$2:$C$200),0))</f>
        <v/>
      </c>
      <c r="BK158" s="23">
        <f>IF(OR(BK$1="",$BM158=0),"",IFERROR(LOOKUP(2,1/((Budgets!$A$2:$A$200=BK$1)*(Budgets!$B$2:$B$200&lt;EDATE($A158,1))),Budgets!$C$2:$C$200),0))</f>
        <v/>
      </c>
      <c r="BM158" s="21">
        <f>COUNTIFS(Entries!$A$2:$A$5000,"&gt;="&amp;$A158,Entries!$A$2:$A$5000,"&lt;"&amp;EDATE($A158,1))</f>
        <v/>
      </c>
    </row>
    <row r="159">
      <c r="A159" s="22" t="n">
        <v>44228</v>
      </c>
      <c r="B159" s="23">
        <f>IF($BM159=0,NA(),SUMIFS(Entries!$E$2:$E$5000,Entries!$C$2:$C$5000,"Income",Entries!$A$2:$A$5000,"&gt;="&amp;$A159,Entries!$A$2:$A$5000,"&lt;"&amp;EDATE($A159,1)))</f>
        <v/>
      </c>
      <c r="C159" s="23">
        <f>IF($BM159=0,"",SUMIFS(Entries!$E$2:$E$5000,Entries!$C$2:$C$5000,"Actual",Entries!$A$2:$A$5000,"&gt;="&amp;$A159,Entries!$A$2:$A$5000,"&lt;"&amp;EDATE($A159,1)))</f>
        <v/>
      </c>
      <c r="D159" s="23">
        <f>IF($BM159=0,"",SUMIFS(Entries!$E$2:$E$5000,Entries!$C$2:$C$5000,"One-off",Entries!$A$2:$A$5000,"&gt;="&amp;$A159,Entries!$A$2:$A$5000,"&lt;"&amp;EDATE($A159,1)))</f>
        <v/>
      </c>
      <c r="E159" s="23">
        <f>IF($BM159=0,NA(),C159+D159)</f>
        <v/>
      </c>
      <c r="F159" s="23">
        <f>IF($BM159=0,"",SUM(AR159:BK159))</f>
        <v/>
      </c>
      <c r="G159" s="23">
        <f>IF($BM159=0,"",B159-E159)</f>
        <v/>
      </c>
      <c r="H159" s="23">
        <f>IF($BM159=0,"",SUM($G$2:G159))</f>
        <v/>
      </c>
      <c r="I159" s="23">
        <f>IF($BM159=0,"",SUMIFS(Entries!$G$2:$G$5000,Entries!$A$2:$A$5000,"&gt;="&amp;$A159,Entries!$A$2:$A$5000,"&lt;"&amp;EDATE($A159,1)))</f>
        <v/>
      </c>
      <c r="J159" s="23">
        <f>IF($BM159=0,NA(),H159)</f>
        <v/>
      </c>
      <c r="K159" s="23">
        <f>IF($BM159=0,"",SUMIFS(Entries!$E$2:$E$5000,Entries!$C$2:$C$5000,"Income",Entries!$A$2:$A$5000,"&gt;="&amp;EDATE($A159,-11),Entries!$A$2:$A$5000,"&lt;"&amp;EDATE($A159,1))/COUNTIFS($A$2:$A$400,"&gt;="&amp;EDATE($A159,-11),$A$2:$A$400,"&lt;"&amp;EDATE($A159,1),$BM$2:$BM$400,"&gt;0"))</f>
      </c>
      <c r="L159" s="23">
        <f>IF($BM159=0,"",(SUMIFS(Entries!$E$2:$E$5000,Entries!$C$2:$C$5000,"Actual",Entries!$A$2:$A$5000,"&gt;="&amp;EDATE($A159,-11),Entries!$A$2:$A$5000,"&lt;"&amp;EDATE($A159,1))+SUMIFS(Entries!$E$2:$E$5000,Entries!$C$2:$C$5000,"One-off",Entries!$A$2:$A$5000,"&gt;="&amp;EDATE($A159,-11),Entries!$A$2:$A$5000,"&lt;"&amp;EDATE($A159,1)))/COUNTIFS($A$2:$A$400,"&gt;="&amp;EDATE($A159,-11),$A$2:$A$400,"&lt;"&amp;EDATE($A159,1),$BM$2:$BM$400,"&gt;0"))</f>
      </c>
      <c r="M159" s="24">
        <f>IF($BM159=0,NA(),IFERROR((K159-L159)/K159,0))</f>
        <v/>
      </c>
      <c r="N159" s="23">
        <f>IF($BM159=0,NA(),SUMIFS(Entries!$E$2:$E$5000,Entries!$D$2:$D$5000,"Core",Entries!$A$2:$A$5000,"&gt;="&amp;$A159,Entries!$A$2:$A$5000,"&lt;"&amp;EDATE($A159,1)))</f>
        <v/>
      </c>
      <c r="O159" s="23">
        <f>IF($BM159=0,NA(),SUMIFS(Entries!$E$2:$E$5000,Entries!$D$2:$D$5000,"Over &amp; above",Entries!$A$2:$A$5000,"&gt;="&amp;$A159,Entries!$A$2:$A$5000,"&lt;"&amp;EDATE($A159,1)))</f>
        <v/>
      </c>
      <c r="P159" s="23">
        <f>IF($BM159=0,NA(),SUMIFS(Entries!$E$2:$E$5000,Entries!$D$2:$D$5000,"One-off",Entries!$A$2:$A$5000,"&gt;="&amp;$A159,Entries!$A$2:$A$5000,"&lt;"&amp;EDATE($A159,1)))</f>
        <v/>
      </c>
      <c r="Q159" s="23">
        <f>IF($BM159=0,NA(),SUMIFS(Entries!$E$2:$E$5000,Entries!$D$2:$D$5000,"Reimbursable",Entries!$A$2:$A$5000,"&gt;="&amp;$A159,Entries!$A$2:$A$5000,"&lt;"&amp;EDATE($A159,1)))</f>
        <v/>
      </c>
      <c r="R159" s="23">
        <f>IF($BM159=0,NA(),SUMIFS(Entries!$E$2:$E$5000,Entries!$D$2:$D$5000,"Investment",Entries!$A$2:$A$5000,"&gt;="&amp;$A159,Entries!$A$2:$A$5000,"&lt;"&amp;EDATE($A159,1)))</f>
        <v/>
      </c>
      <c r="S159" s="23">
        <f>IF($BM159=0,NA(),N159+O159)</f>
        <v/>
      </c>
      <c r="T159" s="23">
        <f>IF($BM159=0,"",E159-Q159)</f>
        <v/>
      </c>
      <c r="W159" s="23">
        <f>IF(OR(W$1="",$BM159=0),"",SUMIFS(Entries!$E$2:$E$5000,Entries!$C$2:$C$5000,"Actual",Entries!$A$2:$A$5000,"&gt;="&amp;$A159,Entries!$A$2:$A$5000,"&lt;"&amp;EDATE($A159,1),Entries!$B$2:$B$5000,W$1))</f>
        <v/>
      </c>
      <c r="X159" s="23">
        <f>IF(OR(X$1="",$BM159=0),"",SUMIFS(Entries!$E$2:$E$5000,Entries!$C$2:$C$5000,"Actual",Entries!$A$2:$A$5000,"&gt;="&amp;$A159,Entries!$A$2:$A$5000,"&lt;"&amp;EDATE($A159,1),Entries!$B$2:$B$5000,X$1))</f>
        <v/>
      </c>
      <c r="Y159" s="23">
        <f>IF(OR(Y$1="",$BM159=0),"",SUMIFS(Entries!$E$2:$E$5000,Entries!$C$2:$C$5000,"Actual",Entries!$A$2:$A$5000,"&gt;="&amp;$A159,Entries!$A$2:$A$5000,"&lt;"&amp;EDATE($A159,1),Entries!$B$2:$B$5000,Y$1))</f>
        <v/>
      </c>
      <c r="Z159" s="23">
        <f>IF(OR(Z$1="",$BM159=0),"",SUMIFS(Entries!$E$2:$E$5000,Entries!$C$2:$C$5000,"Actual",Entries!$A$2:$A$5000,"&gt;="&amp;$A159,Entries!$A$2:$A$5000,"&lt;"&amp;EDATE($A159,1),Entries!$B$2:$B$5000,Z$1))</f>
        <v/>
      </c>
      <c r="AA159" s="23">
        <f>IF(OR(AA$1="",$BM159=0),"",SUMIFS(Entries!$E$2:$E$5000,Entries!$C$2:$C$5000,"Actual",Entries!$A$2:$A$5000,"&gt;="&amp;$A159,Entries!$A$2:$A$5000,"&lt;"&amp;EDATE($A159,1),Entries!$B$2:$B$5000,AA$1))</f>
        <v/>
      </c>
      <c r="AB159" s="23">
        <f>IF(OR(AB$1="",$BM159=0),"",SUMIFS(Entries!$E$2:$E$5000,Entries!$C$2:$C$5000,"Actual",Entries!$A$2:$A$5000,"&gt;="&amp;$A159,Entries!$A$2:$A$5000,"&lt;"&amp;EDATE($A159,1),Entries!$B$2:$B$5000,AB$1))</f>
        <v/>
      </c>
      <c r="AC159" s="23">
        <f>IF(OR(AC$1="",$BM159=0),"",SUMIFS(Entries!$E$2:$E$5000,Entries!$C$2:$C$5000,"Actual",Entries!$A$2:$A$5000,"&gt;="&amp;$A159,Entries!$A$2:$A$5000,"&lt;"&amp;EDATE($A159,1),Entries!$B$2:$B$5000,AC$1))</f>
        <v/>
      </c>
      <c r="AD159" s="23">
        <f>IF(OR(AD$1="",$BM159=0),"",SUMIFS(Entries!$E$2:$E$5000,Entries!$C$2:$C$5000,"Actual",Entries!$A$2:$A$5000,"&gt;="&amp;$A159,Entries!$A$2:$A$5000,"&lt;"&amp;EDATE($A159,1),Entries!$B$2:$B$5000,AD$1))</f>
        <v/>
      </c>
      <c r="AE159" s="23">
        <f>IF(OR(AE$1="",$BM159=0),"",SUMIFS(Entries!$E$2:$E$5000,Entries!$C$2:$C$5000,"Actual",Entries!$A$2:$A$5000,"&gt;="&amp;$A159,Entries!$A$2:$A$5000,"&lt;"&amp;EDATE($A159,1),Entries!$B$2:$B$5000,AE$1))</f>
        <v/>
      </c>
      <c r="AF159" s="23">
        <f>IF(OR(AF$1="",$BM159=0),"",SUMIFS(Entries!$E$2:$E$5000,Entries!$C$2:$C$5000,"Actual",Entries!$A$2:$A$5000,"&gt;="&amp;$A159,Entries!$A$2:$A$5000,"&lt;"&amp;EDATE($A159,1),Entries!$B$2:$B$5000,AF$1))</f>
        <v/>
      </c>
      <c r="AG159" s="23">
        <f>IF(OR(AG$1="",$BM159=0),"",SUMIFS(Entries!$E$2:$E$5000,Entries!$C$2:$C$5000,"Actual",Entries!$A$2:$A$5000,"&gt;="&amp;$A159,Entries!$A$2:$A$5000,"&lt;"&amp;EDATE($A159,1),Entries!$B$2:$B$5000,AG$1))</f>
        <v/>
      </c>
      <c r="AH159" s="23">
        <f>IF(OR(AH$1="",$BM159=0),"",SUMIFS(Entries!$E$2:$E$5000,Entries!$C$2:$C$5000,"Actual",Entries!$A$2:$A$5000,"&gt;="&amp;$A159,Entries!$A$2:$A$5000,"&lt;"&amp;EDATE($A159,1),Entries!$B$2:$B$5000,AH$1))</f>
        <v/>
      </c>
      <c r="AI159" s="23">
        <f>IF(OR(AI$1="",$BM159=0),"",SUMIFS(Entries!$E$2:$E$5000,Entries!$C$2:$C$5000,"Actual",Entries!$A$2:$A$5000,"&gt;="&amp;$A159,Entries!$A$2:$A$5000,"&lt;"&amp;EDATE($A159,1),Entries!$B$2:$B$5000,AI$1))</f>
        <v/>
      </c>
      <c r="AJ159" s="23">
        <f>IF(OR(AJ$1="",$BM159=0),"",SUMIFS(Entries!$E$2:$E$5000,Entries!$C$2:$C$5000,"Actual",Entries!$A$2:$A$5000,"&gt;="&amp;$A159,Entries!$A$2:$A$5000,"&lt;"&amp;EDATE($A159,1),Entries!$B$2:$B$5000,AJ$1))</f>
        <v/>
      </c>
      <c r="AK159" s="23">
        <f>IF(OR(AK$1="",$BM159=0),"",SUMIFS(Entries!$E$2:$E$5000,Entries!$C$2:$C$5000,"Actual",Entries!$A$2:$A$5000,"&gt;="&amp;$A159,Entries!$A$2:$A$5000,"&lt;"&amp;EDATE($A159,1),Entries!$B$2:$B$5000,AK$1))</f>
        <v/>
      </c>
      <c r="AL159" s="23">
        <f>IF(OR(AL$1="",$BM159=0),"",SUMIFS(Entries!$E$2:$E$5000,Entries!$C$2:$C$5000,"Actual",Entries!$A$2:$A$5000,"&gt;="&amp;$A159,Entries!$A$2:$A$5000,"&lt;"&amp;EDATE($A159,1),Entries!$B$2:$B$5000,AL$1))</f>
        <v/>
      </c>
      <c r="AM159" s="23">
        <f>IF(OR(AM$1="",$BM159=0),"",SUMIFS(Entries!$E$2:$E$5000,Entries!$C$2:$C$5000,"Actual",Entries!$A$2:$A$5000,"&gt;="&amp;$A159,Entries!$A$2:$A$5000,"&lt;"&amp;EDATE($A159,1),Entries!$B$2:$B$5000,AM$1))</f>
        <v/>
      </c>
      <c r="AN159" s="23">
        <f>IF(OR(AN$1="",$BM159=0),"",SUMIFS(Entries!$E$2:$E$5000,Entries!$C$2:$C$5000,"Actual",Entries!$A$2:$A$5000,"&gt;="&amp;$A159,Entries!$A$2:$A$5000,"&lt;"&amp;EDATE($A159,1),Entries!$B$2:$B$5000,AN$1))</f>
        <v/>
      </c>
      <c r="AO159" s="23">
        <f>IF(OR(AO$1="",$BM159=0),"",SUMIFS(Entries!$E$2:$E$5000,Entries!$C$2:$C$5000,"Actual",Entries!$A$2:$A$5000,"&gt;="&amp;$A159,Entries!$A$2:$A$5000,"&lt;"&amp;EDATE($A159,1),Entries!$B$2:$B$5000,AO$1))</f>
        <v/>
      </c>
      <c r="AP159" s="23">
        <f>IF(OR(AP$1="",$BM159=0),"",SUMIFS(Entries!$E$2:$E$5000,Entries!$C$2:$C$5000,"Actual",Entries!$A$2:$A$5000,"&gt;="&amp;$A159,Entries!$A$2:$A$5000,"&lt;"&amp;EDATE($A159,1),Entries!$B$2:$B$5000,AP$1))</f>
        <v/>
      </c>
      <c r="AR159" s="23">
        <f>IF(OR(AR$1="",$BM159=0),"",IFERROR(LOOKUP(2,1/((Budgets!$A$2:$A$200=AR$1)*(Budgets!$B$2:$B$200&lt;EDATE($A159,1))),Budgets!$C$2:$C$200),0))</f>
        <v/>
      </c>
      <c r="AS159" s="23">
        <f>IF(OR(AS$1="",$BM159=0),"",IFERROR(LOOKUP(2,1/((Budgets!$A$2:$A$200=AS$1)*(Budgets!$B$2:$B$200&lt;EDATE($A159,1))),Budgets!$C$2:$C$200),0))</f>
        <v/>
      </c>
      <c r="AT159" s="23">
        <f>IF(OR(AT$1="",$BM159=0),"",IFERROR(LOOKUP(2,1/((Budgets!$A$2:$A$200=AT$1)*(Budgets!$B$2:$B$200&lt;EDATE($A159,1))),Budgets!$C$2:$C$200),0))</f>
        <v/>
      </c>
      <c r="AU159" s="23">
        <f>IF(OR(AU$1="",$BM159=0),"",IFERROR(LOOKUP(2,1/((Budgets!$A$2:$A$200=AU$1)*(Budgets!$B$2:$B$200&lt;EDATE($A159,1))),Budgets!$C$2:$C$200),0))</f>
        <v/>
      </c>
      <c r="AV159" s="23">
        <f>IF(OR(AV$1="",$BM159=0),"",IFERROR(LOOKUP(2,1/((Budgets!$A$2:$A$200=AV$1)*(Budgets!$B$2:$B$200&lt;EDATE($A159,1))),Budgets!$C$2:$C$200),0))</f>
        <v/>
      </c>
      <c r="AW159" s="23">
        <f>IF(OR(AW$1="",$BM159=0),"",IFERROR(LOOKUP(2,1/((Budgets!$A$2:$A$200=AW$1)*(Budgets!$B$2:$B$200&lt;EDATE($A159,1))),Budgets!$C$2:$C$200),0))</f>
        <v/>
      </c>
      <c r="AX159" s="23">
        <f>IF(OR(AX$1="",$BM159=0),"",IFERROR(LOOKUP(2,1/((Budgets!$A$2:$A$200=AX$1)*(Budgets!$B$2:$B$200&lt;EDATE($A159,1))),Budgets!$C$2:$C$200),0))</f>
        <v/>
      </c>
      <c r="AY159" s="23">
        <f>IF(OR(AY$1="",$BM159=0),"",IFERROR(LOOKUP(2,1/((Budgets!$A$2:$A$200=AY$1)*(Budgets!$B$2:$B$200&lt;EDATE($A159,1))),Budgets!$C$2:$C$200),0))</f>
        <v/>
      </c>
      <c r="AZ159" s="23">
        <f>IF(OR(AZ$1="",$BM159=0),"",IFERROR(LOOKUP(2,1/((Budgets!$A$2:$A$200=AZ$1)*(Budgets!$B$2:$B$200&lt;EDATE($A159,1))),Budgets!$C$2:$C$200),0))</f>
        <v/>
      </c>
      <c r="BA159" s="23">
        <f>IF(OR(BA$1="",$BM159=0),"",IFERROR(LOOKUP(2,1/((Budgets!$A$2:$A$200=BA$1)*(Budgets!$B$2:$B$200&lt;EDATE($A159,1))),Budgets!$C$2:$C$200),0))</f>
        <v/>
      </c>
      <c r="BB159" s="23">
        <f>IF(OR(BB$1="",$BM159=0),"",IFERROR(LOOKUP(2,1/((Budgets!$A$2:$A$200=BB$1)*(Budgets!$B$2:$B$200&lt;EDATE($A159,1))),Budgets!$C$2:$C$200),0))</f>
        <v/>
      </c>
      <c r="BC159" s="23">
        <f>IF(OR(BC$1="",$BM159=0),"",IFERROR(LOOKUP(2,1/((Budgets!$A$2:$A$200=BC$1)*(Budgets!$B$2:$B$200&lt;EDATE($A159,1))),Budgets!$C$2:$C$200),0))</f>
        <v/>
      </c>
      <c r="BD159" s="23">
        <f>IF(OR(BD$1="",$BM159=0),"",IFERROR(LOOKUP(2,1/((Budgets!$A$2:$A$200=BD$1)*(Budgets!$B$2:$B$200&lt;EDATE($A159,1))),Budgets!$C$2:$C$200),0))</f>
        <v/>
      </c>
      <c r="BE159" s="23">
        <f>IF(OR(BE$1="",$BM159=0),"",IFERROR(LOOKUP(2,1/((Budgets!$A$2:$A$200=BE$1)*(Budgets!$B$2:$B$200&lt;EDATE($A159,1))),Budgets!$C$2:$C$200),0))</f>
        <v/>
      </c>
      <c r="BF159" s="23">
        <f>IF(OR(BF$1="",$BM159=0),"",IFERROR(LOOKUP(2,1/((Budgets!$A$2:$A$200=BF$1)*(Budgets!$B$2:$B$200&lt;EDATE($A159,1))),Budgets!$C$2:$C$200),0))</f>
        <v/>
      </c>
      <c r="BG159" s="23">
        <f>IF(OR(BG$1="",$BM159=0),"",IFERROR(LOOKUP(2,1/((Budgets!$A$2:$A$200=BG$1)*(Budgets!$B$2:$B$200&lt;EDATE($A159,1))),Budgets!$C$2:$C$200),0))</f>
        <v/>
      </c>
      <c r="BH159" s="23">
        <f>IF(OR(BH$1="",$BM159=0),"",IFERROR(LOOKUP(2,1/((Budgets!$A$2:$A$200=BH$1)*(Budgets!$B$2:$B$200&lt;EDATE($A159,1))),Budgets!$C$2:$C$200),0))</f>
        <v/>
      </c>
      <c r="BI159" s="23">
        <f>IF(OR(BI$1="",$BM159=0),"",IFERROR(LOOKUP(2,1/((Budgets!$A$2:$A$200=BI$1)*(Budgets!$B$2:$B$200&lt;EDATE($A159,1))),Budgets!$C$2:$C$200),0))</f>
        <v/>
      </c>
      <c r="BJ159" s="23">
        <f>IF(OR(BJ$1="",$BM159=0),"",IFERROR(LOOKUP(2,1/((Budgets!$A$2:$A$200=BJ$1)*(Budgets!$B$2:$B$200&lt;EDATE($A159,1))),Budgets!$C$2:$C$200),0))</f>
        <v/>
      </c>
      <c r="BK159" s="23">
        <f>IF(OR(BK$1="",$BM159=0),"",IFERROR(LOOKUP(2,1/((Budgets!$A$2:$A$200=BK$1)*(Budgets!$B$2:$B$200&lt;EDATE($A159,1))),Budgets!$C$2:$C$200),0))</f>
        <v/>
      </c>
      <c r="BM159" s="21">
        <f>COUNTIFS(Entries!$A$2:$A$5000,"&gt;="&amp;$A159,Entries!$A$2:$A$5000,"&lt;"&amp;EDATE($A159,1))</f>
        <v/>
      </c>
    </row>
    <row r="160">
      <c r="A160" s="22" t="n">
        <v>44256</v>
      </c>
      <c r="B160" s="23">
        <f>IF($BM160=0,NA(),SUMIFS(Entries!$E$2:$E$5000,Entries!$C$2:$C$5000,"Income",Entries!$A$2:$A$5000,"&gt;="&amp;$A160,Entries!$A$2:$A$5000,"&lt;"&amp;EDATE($A160,1)))</f>
        <v/>
      </c>
      <c r="C160" s="23">
        <f>IF($BM160=0,"",SUMIFS(Entries!$E$2:$E$5000,Entries!$C$2:$C$5000,"Actual",Entries!$A$2:$A$5000,"&gt;="&amp;$A160,Entries!$A$2:$A$5000,"&lt;"&amp;EDATE($A160,1)))</f>
        <v/>
      </c>
      <c r="D160" s="23">
        <f>IF($BM160=0,"",SUMIFS(Entries!$E$2:$E$5000,Entries!$C$2:$C$5000,"One-off",Entries!$A$2:$A$5000,"&gt;="&amp;$A160,Entries!$A$2:$A$5000,"&lt;"&amp;EDATE($A160,1)))</f>
        <v/>
      </c>
      <c r="E160" s="23">
        <f>IF($BM160=0,NA(),C160+D160)</f>
        <v/>
      </c>
      <c r="F160" s="23">
        <f>IF($BM160=0,"",SUM(AR160:BK160))</f>
        <v/>
      </c>
      <c r="G160" s="23">
        <f>IF($BM160=0,"",B160-E160)</f>
        <v/>
      </c>
      <c r="H160" s="23">
        <f>IF($BM160=0,"",SUM($G$2:G160))</f>
        <v/>
      </c>
      <c r="I160" s="23">
        <f>IF($BM160=0,"",SUMIFS(Entries!$G$2:$G$5000,Entries!$A$2:$A$5000,"&gt;="&amp;$A160,Entries!$A$2:$A$5000,"&lt;"&amp;EDATE($A160,1)))</f>
        <v/>
      </c>
      <c r="J160" s="23">
        <f>IF($BM160=0,NA(),H160)</f>
        <v/>
      </c>
      <c r="K160" s="23">
        <f>IF($BM160=0,"",SUMIFS(Entries!$E$2:$E$5000,Entries!$C$2:$C$5000,"Income",Entries!$A$2:$A$5000,"&gt;="&amp;EDATE($A160,-11),Entries!$A$2:$A$5000,"&lt;"&amp;EDATE($A160,1))/COUNTIFS($A$2:$A$400,"&gt;="&amp;EDATE($A160,-11),$A$2:$A$400,"&lt;"&amp;EDATE($A160,1),$BM$2:$BM$400,"&gt;0"))</f>
      </c>
      <c r="L160" s="23">
        <f>IF($BM160=0,"",(SUMIFS(Entries!$E$2:$E$5000,Entries!$C$2:$C$5000,"Actual",Entries!$A$2:$A$5000,"&gt;="&amp;EDATE($A160,-11),Entries!$A$2:$A$5000,"&lt;"&amp;EDATE($A160,1))+SUMIFS(Entries!$E$2:$E$5000,Entries!$C$2:$C$5000,"One-off",Entries!$A$2:$A$5000,"&gt;="&amp;EDATE($A160,-11),Entries!$A$2:$A$5000,"&lt;"&amp;EDATE($A160,1)))/COUNTIFS($A$2:$A$400,"&gt;="&amp;EDATE($A160,-11),$A$2:$A$400,"&lt;"&amp;EDATE($A160,1),$BM$2:$BM$400,"&gt;0"))</f>
      </c>
      <c r="M160" s="24">
        <f>IF($BM160=0,NA(),IFERROR((K160-L160)/K160,0))</f>
        <v/>
      </c>
      <c r="N160" s="23">
        <f>IF($BM160=0,NA(),SUMIFS(Entries!$E$2:$E$5000,Entries!$D$2:$D$5000,"Core",Entries!$A$2:$A$5000,"&gt;="&amp;$A160,Entries!$A$2:$A$5000,"&lt;"&amp;EDATE($A160,1)))</f>
        <v/>
      </c>
      <c r="O160" s="23">
        <f>IF($BM160=0,NA(),SUMIFS(Entries!$E$2:$E$5000,Entries!$D$2:$D$5000,"Over &amp; above",Entries!$A$2:$A$5000,"&gt;="&amp;$A160,Entries!$A$2:$A$5000,"&lt;"&amp;EDATE($A160,1)))</f>
        <v/>
      </c>
      <c r="P160" s="23">
        <f>IF($BM160=0,NA(),SUMIFS(Entries!$E$2:$E$5000,Entries!$D$2:$D$5000,"One-off",Entries!$A$2:$A$5000,"&gt;="&amp;$A160,Entries!$A$2:$A$5000,"&lt;"&amp;EDATE($A160,1)))</f>
        <v/>
      </c>
      <c r="Q160" s="23">
        <f>IF($BM160=0,NA(),SUMIFS(Entries!$E$2:$E$5000,Entries!$D$2:$D$5000,"Reimbursable",Entries!$A$2:$A$5000,"&gt;="&amp;$A160,Entries!$A$2:$A$5000,"&lt;"&amp;EDATE($A160,1)))</f>
        <v/>
      </c>
      <c r="R160" s="23">
        <f>IF($BM160=0,NA(),SUMIFS(Entries!$E$2:$E$5000,Entries!$D$2:$D$5000,"Investment",Entries!$A$2:$A$5000,"&gt;="&amp;$A160,Entries!$A$2:$A$5000,"&lt;"&amp;EDATE($A160,1)))</f>
        <v/>
      </c>
      <c r="S160" s="23">
        <f>IF($BM160=0,NA(),N160+O160)</f>
        <v/>
      </c>
      <c r="T160" s="23">
        <f>IF($BM160=0,"",E160-Q160)</f>
        <v/>
      </c>
      <c r="W160" s="23">
        <f>IF(OR(W$1="",$BM160=0),"",SUMIFS(Entries!$E$2:$E$5000,Entries!$C$2:$C$5000,"Actual",Entries!$A$2:$A$5000,"&gt;="&amp;$A160,Entries!$A$2:$A$5000,"&lt;"&amp;EDATE($A160,1),Entries!$B$2:$B$5000,W$1))</f>
        <v/>
      </c>
      <c r="X160" s="23">
        <f>IF(OR(X$1="",$BM160=0),"",SUMIFS(Entries!$E$2:$E$5000,Entries!$C$2:$C$5000,"Actual",Entries!$A$2:$A$5000,"&gt;="&amp;$A160,Entries!$A$2:$A$5000,"&lt;"&amp;EDATE($A160,1),Entries!$B$2:$B$5000,X$1))</f>
        <v/>
      </c>
      <c r="Y160" s="23">
        <f>IF(OR(Y$1="",$BM160=0),"",SUMIFS(Entries!$E$2:$E$5000,Entries!$C$2:$C$5000,"Actual",Entries!$A$2:$A$5000,"&gt;="&amp;$A160,Entries!$A$2:$A$5000,"&lt;"&amp;EDATE($A160,1),Entries!$B$2:$B$5000,Y$1))</f>
        <v/>
      </c>
      <c r="Z160" s="23">
        <f>IF(OR(Z$1="",$BM160=0),"",SUMIFS(Entries!$E$2:$E$5000,Entries!$C$2:$C$5000,"Actual",Entries!$A$2:$A$5000,"&gt;="&amp;$A160,Entries!$A$2:$A$5000,"&lt;"&amp;EDATE($A160,1),Entries!$B$2:$B$5000,Z$1))</f>
        <v/>
      </c>
      <c r="AA160" s="23">
        <f>IF(OR(AA$1="",$BM160=0),"",SUMIFS(Entries!$E$2:$E$5000,Entries!$C$2:$C$5000,"Actual",Entries!$A$2:$A$5000,"&gt;="&amp;$A160,Entries!$A$2:$A$5000,"&lt;"&amp;EDATE($A160,1),Entries!$B$2:$B$5000,AA$1))</f>
        <v/>
      </c>
      <c r="AB160" s="23">
        <f>IF(OR(AB$1="",$BM160=0),"",SUMIFS(Entries!$E$2:$E$5000,Entries!$C$2:$C$5000,"Actual",Entries!$A$2:$A$5000,"&gt;="&amp;$A160,Entries!$A$2:$A$5000,"&lt;"&amp;EDATE($A160,1),Entries!$B$2:$B$5000,AB$1))</f>
        <v/>
      </c>
      <c r="AC160" s="23">
        <f>IF(OR(AC$1="",$BM160=0),"",SUMIFS(Entries!$E$2:$E$5000,Entries!$C$2:$C$5000,"Actual",Entries!$A$2:$A$5000,"&gt;="&amp;$A160,Entries!$A$2:$A$5000,"&lt;"&amp;EDATE($A160,1),Entries!$B$2:$B$5000,AC$1))</f>
        <v/>
      </c>
      <c r="AD160" s="23">
        <f>IF(OR(AD$1="",$BM160=0),"",SUMIFS(Entries!$E$2:$E$5000,Entries!$C$2:$C$5000,"Actual",Entries!$A$2:$A$5000,"&gt;="&amp;$A160,Entries!$A$2:$A$5000,"&lt;"&amp;EDATE($A160,1),Entries!$B$2:$B$5000,AD$1))</f>
        <v/>
      </c>
      <c r="AE160" s="23">
        <f>IF(OR(AE$1="",$BM160=0),"",SUMIFS(Entries!$E$2:$E$5000,Entries!$C$2:$C$5000,"Actual",Entries!$A$2:$A$5000,"&gt;="&amp;$A160,Entries!$A$2:$A$5000,"&lt;"&amp;EDATE($A160,1),Entries!$B$2:$B$5000,AE$1))</f>
        <v/>
      </c>
      <c r="AF160" s="23">
        <f>IF(OR(AF$1="",$BM160=0),"",SUMIFS(Entries!$E$2:$E$5000,Entries!$C$2:$C$5000,"Actual",Entries!$A$2:$A$5000,"&gt;="&amp;$A160,Entries!$A$2:$A$5000,"&lt;"&amp;EDATE($A160,1),Entries!$B$2:$B$5000,AF$1))</f>
        <v/>
      </c>
      <c r="AG160" s="23">
        <f>IF(OR(AG$1="",$BM160=0),"",SUMIFS(Entries!$E$2:$E$5000,Entries!$C$2:$C$5000,"Actual",Entries!$A$2:$A$5000,"&gt;="&amp;$A160,Entries!$A$2:$A$5000,"&lt;"&amp;EDATE($A160,1),Entries!$B$2:$B$5000,AG$1))</f>
        <v/>
      </c>
      <c r="AH160" s="23">
        <f>IF(OR(AH$1="",$BM160=0),"",SUMIFS(Entries!$E$2:$E$5000,Entries!$C$2:$C$5000,"Actual",Entries!$A$2:$A$5000,"&gt;="&amp;$A160,Entries!$A$2:$A$5000,"&lt;"&amp;EDATE($A160,1),Entries!$B$2:$B$5000,AH$1))</f>
        <v/>
      </c>
      <c r="AI160" s="23">
        <f>IF(OR(AI$1="",$BM160=0),"",SUMIFS(Entries!$E$2:$E$5000,Entries!$C$2:$C$5000,"Actual",Entries!$A$2:$A$5000,"&gt;="&amp;$A160,Entries!$A$2:$A$5000,"&lt;"&amp;EDATE($A160,1),Entries!$B$2:$B$5000,AI$1))</f>
        <v/>
      </c>
      <c r="AJ160" s="23">
        <f>IF(OR(AJ$1="",$BM160=0),"",SUMIFS(Entries!$E$2:$E$5000,Entries!$C$2:$C$5000,"Actual",Entries!$A$2:$A$5000,"&gt;="&amp;$A160,Entries!$A$2:$A$5000,"&lt;"&amp;EDATE($A160,1),Entries!$B$2:$B$5000,AJ$1))</f>
        <v/>
      </c>
      <c r="AK160" s="23">
        <f>IF(OR(AK$1="",$BM160=0),"",SUMIFS(Entries!$E$2:$E$5000,Entries!$C$2:$C$5000,"Actual",Entries!$A$2:$A$5000,"&gt;="&amp;$A160,Entries!$A$2:$A$5000,"&lt;"&amp;EDATE($A160,1),Entries!$B$2:$B$5000,AK$1))</f>
        <v/>
      </c>
      <c r="AL160" s="23">
        <f>IF(OR(AL$1="",$BM160=0),"",SUMIFS(Entries!$E$2:$E$5000,Entries!$C$2:$C$5000,"Actual",Entries!$A$2:$A$5000,"&gt;="&amp;$A160,Entries!$A$2:$A$5000,"&lt;"&amp;EDATE($A160,1),Entries!$B$2:$B$5000,AL$1))</f>
        <v/>
      </c>
      <c r="AM160" s="23">
        <f>IF(OR(AM$1="",$BM160=0),"",SUMIFS(Entries!$E$2:$E$5000,Entries!$C$2:$C$5000,"Actual",Entries!$A$2:$A$5000,"&gt;="&amp;$A160,Entries!$A$2:$A$5000,"&lt;"&amp;EDATE($A160,1),Entries!$B$2:$B$5000,AM$1))</f>
        <v/>
      </c>
      <c r="AN160" s="23">
        <f>IF(OR(AN$1="",$BM160=0),"",SUMIFS(Entries!$E$2:$E$5000,Entries!$C$2:$C$5000,"Actual",Entries!$A$2:$A$5000,"&gt;="&amp;$A160,Entries!$A$2:$A$5000,"&lt;"&amp;EDATE($A160,1),Entries!$B$2:$B$5000,AN$1))</f>
        <v/>
      </c>
      <c r="AO160" s="23">
        <f>IF(OR(AO$1="",$BM160=0),"",SUMIFS(Entries!$E$2:$E$5000,Entries!$C$2:$C$5000,"Actual",Entries!$A$2:$A$5000,"&gt;="&amp;$A160,Entries!$A$2:$A$5000,"&lt;"&amp;EDATE($A160,1),Entries!$B$2:$B$5000,AO$1))</f>
        <v/>
      </c>
      <c r="AP160" s="23">
        <f>IF(OR(AP$1="",$BM160=0),"",SUMIFS(Entries!$E$2:$E$5000,Entries!$C$2:$C$5000,"Actual",Entries!$A$2:$A$5000,"&gt;="&amp;$A160,Entries!$A$2:$A$5000,"&lt;"&amp;EDATE($A160,1),Entries!$B$2:$B$5000,AP$1))</f>
        <v/>
      </c>
      <c r="AR160" s="23">
        <f>IF(OR(AR$1="",$BM160=0),"",IFERROR(LOOKUP(2,1/((Budgets!$A$2:$A$200=AR$1)*(Budgets!$B$2:$B$200&lt;EDATE($A160,1))),Budgets!$C$2:$C$200),0))</f>
        <v/>
      </c>
      <c r="AS160" s="23">
        <f>IF(OR(AS$1="",$BM160=0),"",IFERROR(LOOKUP(2,1/((Budgets!$A$2:$A$200=AS$1)*(Budgets!$B$2:$B$200&lt;EDATE($A160,1))),Budgets!$C$2:$C$200),0))</f>
        <v/>
      </c>
      <c r="AT160" s="23">
        <f>IF(OR(AT$1="",$BM160=0),"",IFERROR(LOOKUP(2,1/((Budgets!$A$2:$A$200=AT$1)*(Budgets!$B$2:$B$200&lt;EDATE($A160,1))),Budgets!$C$2:$C$200),0))</f>
        <v/>
      </c>
      <c r="AU160" s="23">
        <f>IF(OR(AU$1="",$BM160=0),"",IFERROR(LOOKUP(2,1/((Budgets!$A$2:$A$200=AU$1)*(Budgets!$B$2:$B$200&lt;EDATE($A160,1))),Budgets!$C$2:$C$200),0))</f>
        <v/>
      </c>
      <c r="AV160" s="23">
        <f>IF(OR(AV$1="",$BM160=0),"",IFERROR(LOOKUP(2,1/((Budgets!$A$2:$A$200=AV$1)*(Budgets!$B$2:$B$200&lt;EDATE($A160,1))),Budgets!$C$2:$C$200),0))</f>
        <v/>
      </c>
      <c r="AW160" s="23">
        <f>IF(OR(AW$1="",$BM160=0),"",IFERROR(LOOKUP(2,1/((Budgets!$A$2:$A$200=AW$1)*(Budgets!$B$2:$B$200&lt;EDATE($A160,1))),Budgets!$C$2:$C$200),0))</f>
        <v/>
      </c>
      <c r="AX160" s="23">
        <f>IF(OR(AX$1="",$BM160=0),"",IFERROR(LOOKUP(2,1/((Budgets!$A$2:$A$200=AX$1)*(Budgets!$B$2:$B$200&lt;EDATE($A160,1))),Budgets!$C$2:$C$200),0))</f>
        <v/>
      </c>
      <c r="AY160" s="23">
        <f>IF(OR(AY$1="",$BM160=0),"",IFERROR(LOOKUP(2,1/((Budgets!$A$2:$A$200=AY$1)*(Budgets!$B$2:$B$200&lt;EDATE($A160,1))),Budgets!$C$2:$C$200),0))</f>
        <v/>
      </c>
      <c r="AZ160" s="23">
        <f>IF(OR(AZ$1="",$BM160=0),"",IFERROR(LOOKUP(2,1/((Budgets!$A$2:$A$200=AZ$1)*(Budgets!$B$2:$B$200&lt;EDATE($A160,1))),Budgets!$C$2:$C$200),0))</f>
        <v/>
      </c>
      <c r="BA160" s="23">
        <f>IF(OR(BA$1="",$BM160=0),"",IFERROR(LOOKUP(2,1/((Budgets!$A$2:$A$200=BA$1)*(Budgets!$B$2:$B$200&lt;EDATE($A160,1))),Budgets!$C$2:$C$200),0))</f>
        <v/>
      </c>
      <c r="BB160" s="23">
        <f>IF(OR(BB$1="",$BM160=0),"",IFERROR(LOOKUP(2,1/((Budgets!$A$2:$A$200=BB$1)*(Budgets!$B$2:$B$200&lt;EDATE($A160,1))),Budgets!$C$2:$C$200),0))</f>
        <v/>
      </c>
      <c r="BC160" s="23">
        <f>IF(OR(BC$1="",$BM160=0),"",IFERROR(LOOKUP(2,1/((Budgets!$A$2:$A$200=BC$1)*(Budgets!$B$2:$B$200&lt;EDATE($A160,1))),Budgets!$C$2:$C$200),0))</f>
        <v/>
      </c>
      <c r="BD160" s="23">
        <f>IF(OR(BD$1="",$BM160=0),"",IFERROR(LOOKUP(2,1/((Budgets!$A$2:$A$200=BD$1)*(Budgets!$B$2:$B$200&lt;EDATE($A160,1))),Budgets!$C$2:$C$200),0))</f>
        <v/>
      </c>
      <c r="BE160" s="23">
        <f>IF(OR(BE$1="",$BM160=0),"",IFERROR(LOOKUP(2,1/((Budgets!$A$2:$A$200=BE$1)*(Budgets!$B$2:$B$200&lt;EDATE($A160,1))),Budgets!$C$2:$C$200),0))</f>
        <v/>
      </c>
      <c r="BF160" s="23">
        <f>IF(OR(BF$1="",$BM160=0),"",IFERROR(LOOKUP(2,1/((Budgets!$A$2:$A$200=BF$1)*(Budgets!$B$2:$B$200&lt;EDATE($A160,1))),Budgets!$C$2:$C$200),0))</f>
        <v/>
      </c>
      <c r="BG160" s="23">
        <f>IF(OR(BG$1="",$BM160=0),"",IFERROR(LOOKUP(2,1/((Budgets!$A$2:$A$200=BG$1)*(Budgets!$B$2:$B$200&lt;EDATE($A160,1))),Budgets!$C$2:$C$200),0))</f>
        <v/>
      </c>
      <c r="BH160" s="23">
        <f>IF(OR(BH$1="",$BM160=0),"",IFERROR(LOOKUP(2,1/((Budgets!$A$2:$A$200=BH$1)*(Budgets!$B$2:$B$200&lt;EDATE($A160,1))),Budgets!$C$2:$C$200),0))</f>
        <v/>
      </c>
      <c r="BI160" s="23">
        <f>IF(OR(BI$1="",$BM160=0),"",IFERROR(LOOKUP(2,1/((Budgets!$A$2:$A$200=BI$1)*(Budgets!$B$2:$B$200&lt;EDATE($A160,1))),Budgets!$C$2:$C$200),0))</f>
        <v/>
      </c>
      <c r="BJ160" s="23">
        <f>IF(OR(BJ$1="",$BM160=0),"",IFERROR(LOOKUP(2,1/((Budgets!$A$2:$A$200=BJ$1)*(Budgets!$B$2:$B$200&lt;EDATE($A160,1))),Budgets!$C$2:$C$200),0))</f>
        <v/>
      </c>
      <c r="BK160" s="23">
        <f>IF(OR(BK$1="",$BM160=0),"",IFERROR(LOOKUP(2,1/((Budgets!$A$2:$A$200=BK$1)*(Budgets!$B$2:$B$200&lt;EDATE($A160,1))),Budgets!$C$2:$C$200),0))</f>
        <v/>
      </c>
      <c r="BM160" s="21">
        <f>COUNTIFS(Entries!$A$2:$A$5000,"&gt;="&amp;$A160,Entries!$A$2:$A$5000,"&lt;"&amp;EDATE($A160,1))</f>
        <v/>
      </c>
    </row>
    <row r="161">
      <c r="A161" s="22" t="n">
        <v>44287</v>
      </c>
      <c r="B161" s="23">
        <f>IF($BM161=0,NA(),SUMIFS(Entries!$E$2:$E$5000,Entries!$C$2:$C$5000,"Income",Entries!$A$2:$A$5000,"&gt;="&amp;$A161,Entries!$A$2:$A$5000,"&lt;"&amp;EDATE($A161,1)))</f>
        <v/>
      </c>
      <c r="C161" s="23">
        <f>IF($BM161=0,"",SUMIFS(Entries!$E$2:$E$5000,Entries!$C$2:$C$5000,"Actual",Entries!$A$2:$A$5000,"&gt;="&amp;$A161,Entries!$A$2:$A$5000,"&lt;"&amp;EDATE($A161,1)))</f>
        <v/>
      </c>
      <c r="D161" s="23">
        <f>IF($BM161=0,"",SUMIFS(Entries!$E$2:$E$5000,Entries!$C$2:$C$5000,"One-off",Entries!$A$2:$A$5000,"&gt;="&amp;$A161,Entries!$A$2:$A$5000,"&lt;"&amp;EDATE($A161,1)))</f>
        <v/>
      </c>
      <c r="E161" s="23">
        <f>IF($BM161=0,NA(),C161+D161)</f>
        <v/>
      </c>
      <c r="F161" s="23">
        <f>IF($BM161=0,"",SUM(AR161:BK161))</f>
        <v/>
      </c>
      <c r="G161" s="23">
        <f>IF($BM161=0,"",B161-E161)</f>
        <v/>
      </c>
      <c r="H161" s="23">
        <f>IF($BM161=0,"",SUM($G$2:G161))</f>
        <v/>
      </c>
      <c r="I161" s="23">
        <f>IF($BM161=0,"",SUMIFS(Entries!$G$2:$G$5000,Entries!$A$2:$A$5000,"&gt;="&amp;$A161,Entries!$A$2:$A$5000,"&lt;"&amp;EDATE($A161,1)))</f>
        <v/>
      </c>
      <c r="J161" s="23">
        <f>IF($BM161=0,NA(),H161)</f>
        <v/>
      </c>
      <c r="K161" s="23">
        <f>IF($BM161=0,"",SUMIFS(Entries!$E$2:$E$5000,Entries!$C$2:$C$5000,"Income",Entries!$A$2:$A$5000,"&gt;="&amp;EDATE($A161,-11),Entries!$A$2:$A$5000,"&lt;"&amp;EDATE($A161,1))/COUNTIFS($A$2:$A$400,"&gt;="&amp;EDATE($A161,-11),$A$2:$A$400,"&lt;"&amp;EDATE($A161,1),$BM$2:$BM$400,"&gt;0"))</f>
      </c>
      <c r="L161" s="23">
        <f>IF($BM161=0,"",(SUMIFS(Entries!$E$2:$E$5000,Entries!$C$2:$C$5000,"Actual",Entries!$A$2:$A$5000,"&gt;="&amp;EDATE($A161,-11),Entries!$A$2:$A$5000,"&lt;"&amp;EDATE($A161,1))+SUMIFS(Entries!$E$2:$E$5000,Entries!$C$2:$C$5000,"One-off",Entries!$A$2:$A$5000,"&gt;="&amp;EDATE($A161,-11),Entries!$A$2:$A$5000,"&lt;"&amp;EDATE($A161,1)))/COUNTIFS($A$2:$A$400,"&gt;="&amp;EDATE($A161,-11),$A$2:$A$400,"&lt;"&amp;EDATE($A161,1),$BM$2:$BM$400,"&gt;0"))</f>
      </c>
      <c r="M161" s="24">
        <f>IF($BM161=0,NA(),IFERROR((K161-L161)/K161,0))</f>
        <v/>
      </c>
      <c r="N161" s="23">
        <f>IF($BM161=0,NA(),SUMIFS(Entries!$E$2:$E$5000,Entries!$D$2:$D$5000,"Core",Entries!$A$2:$A$5000,"&gt;="&amp;$A161,Entries!$A$2:$A$5000,"&lt;"&amp;EDATE($A161,1)))</f>
        <v/>
      </c>
      <c r="O161" s="23">
        <f>IF($BM161=0,NA(),SUMIFS(Entries!$E$2:$E$5000,Entries!$D$2:$D$5000,"Over &amp; above",Entries!$A$2:$A$5000,"&gt;="&amp;$A161,Entries!$A$2:$A$5000,"&lt;"&amp;EDATE($A161,1)))</f>
        <v/>
      </c>
      <c r="P161" s="23">
        <f>IF($BM161=0,NA(),SUMIFS(Entries!$E$2:$E$5000,Entries!$D$2:$D$5000,"One-off",Entries!$A$2:$A$5000,"&gt;="&amp;$A161,Entries!$A$2:$A$5000,"&lt;"&amp;EDATE($A161,1)))</f>
        <v/>
      </c>
      <c r="Q161" s="23">
        <f>IF($BM161=0,NA(),SUMIFS(Entries!$E$2:$E$5000,Entries!$D$2:$D$5000,"Reimbursable",Entries!$A$2:$A$5000,"&gt;="&amp;$A161,Entries!$A$2:$A$5000,"&lt;"&amp;EDATE($A161,1)))</f>
        <v/>
      </c>
      <c r="R161" s="23">
        <f>IF($BM161=0,NA(),SUMIFS(Entries!$E$2:$E$5000,Entries!$D$2:$D$5000,"Investment",Entries!$A$2:$A$5000,"&gt;="&amp;$A161,Entries!$A$2:$A$5000,"&lt;"&amp;EDATE($A161,1)))</f>
        <v/>
      </c>
      <c r="S161" s="23">
        <f>IF($BM161=0,NA(),N161+O161)</f>
        <v/>
      </c>
      <c r="T161" s="23">
        <f>IF($BM161=0,"",E161-Q161)</f>
        <v/>
      </c>
      <c r="W161" s="23">
        <f>IF(OR(W$1="",$BM161=0),"",SUMIFS(Entries!$E$2:$E$5000,Entries!$C$2:$C$5000,"Actual",Entries!$A$2:$A$5000,"&gt;="&amp;$A161,Entries!$A$2:$A$5000,"&lt;"&amp;EDATE($A161,1),Entries!$B$2:$B$5000,W$1))</f>
        <v/>
      </c>
      <c r="X161" s="23">
        <f>IF(OR(X$1="",$BM161=0),"",SUMIFS(Entries!$E$2:$E$5000,Entries!$C$2:$C$5000,"Actual",Entries!$A$2:$A$5000,"&gt;="&amp;$A161,Entries!$A$2:$A$5000,"&lt;"&amp;EDATE($A161,1),Entries!$B$2:$B$5000,X$1))</f>
        <v/>
      </c>
      <c r="Y161" s="23">
        <f>IF(OR(Y$1="",$BM161=0),"",SUMIFS(Entries!$E$2:$E$5000,Entries!$C$2:$C$5000,"Actual",Entries!$A$2:$A$5000,"&gt;="&amp;$A161,Entries!$A$2:$A$5000,"&lt;"&amp;EDATE($A161,1),Entries!$B$2:$B$5000,Y$1))</f>
        <v/>
      </c>
      <c r="Z161" s="23">
        <f>IF(OR(Z$1="",$BM161=0),"",SUMIFS(Entries!$E$2:$E$5000,Entries!$C$2:$C$5000,"Actual",Entries!$A$2:$A$5000,"&gt;="&amp;$A161,Entries!$A$2:$A$5000,"&lt;"&amp;EDATE($A161,1),Entries!$B$2:$B$5000,Z$1))</f>
        <v/>
      </c>
      <c r="AA161" s="23">
        <f>IF(OR(AA$1="",$BM161=0),"",SUMIFS(Entries!$E$2:$E$5000,Entries!$C$2:$C$5000,"Actual",Entries!$A$2:$A$5000,"&gt;="&amp;$A161,Entries!$A$2:$A$5000,"&lt;"&amp;EDATE($A161,1),Entries!$B$2:$B$5000,AA$1))</f>
        <v/>
      </c>
      <c r="AB161" s="23">
        <f>IF(OR(AB$1="",$BM161=0),"",SUMIFS(Entries!$E$2:$E$5000,Entries!$C$2:$C$5000,"Actual",Entries!$A$2:$A$5000,"&gt;="&amp;$A161,Entries!$A$2:$A$5000,"&lt;"&amp;EDATE($A161,1),Entries!$B$2:$B$5000,AB$1))</f>
        <v/>
      </c>
      <c r="AC161" s="23">
        <f>IF(OR(AC$1="",$BM161=0),"",SUMIFS(Entries!$E$2:$E$5000,Entries!$C$2:$C$5000,"Actual",Entries!$A$2:$A$5000,"&gt;="&amp;$A161,Entries!$A$2:$A$5000,"&lt;"&amp;EDATE($A161,1),Entries!$B$2:$B$5000,AC$1))</f>
        <v/>
      </c>
      <c r="AD161" s="23">
        <f>IF(OR(AD$1="",$BM161=0),"",SUMIFS(Entries!$E$2:$E$5000,Entries!$C$2:$C$5000,"Actual",Entries!$A$2:$A$5000,"&gt;="&amp;$A161,Entries!$A$2:$A$5000,"&lt;"&amp;EDATE($A161,1),Entries!$B$2:$B$5000,AD$1))</f>
        <v/>
      </c>
      <c r="AE161" s="23">
        <f>IF(OR(AE$1="",$BM161=0),"",SUMIFS(Entries!$E$2:$E$5000,Entries!$C$2:$C$5000,"Actual",Entries!$A$2:$A$5000,"&gt;="&amp;$A161,Entries!$A$2:$A$5000,"&lt;"&amp;EDATE($A161,1),Entries!$B$2:$B$5000,AE$1))</f>
        <v/>
      </c>
      <c r="AF161" s="23">
        <f>IF(OR(AF$1="",$BM161=0),"",SUMIFS(Entries!$E$2:$E$5000,Entries!$C$2:$C$5000,"Actual",Entries!$A$2:$A$5000,"&gt;="&amp;$A161,Entries!$A$2:$A$5000,"&lt;"&amp;EDATE($A161,1),Entries!$B$2:$B$5000,AF$1))</f>
        <v/>
      </c>
      <c r="AG161" s="23">
        <f>IF(OR(AG$1="",$BM161=0),"",SUMIFS(Entries!$E$2:$E$5000,Entries!$C$2:$C$5000,"Actual",Entries!$A$2:$A$5000,"&gt;="&amp;$A161,Entries!$A$2:$A$5000,"&lt;"&amp;EDATE($A161,1),Entries!$B$2:$B$5000,AG$1))</f>
        <v/>
      </c>
      <c r="AH161" s="23">
        <f>IF(OR(AH$1="",$BM161=0),"",SUMIFS(Entries!$E$2:$E$5000,Entries!$C$2:$C$5000,"Actual",Entries!$A$2:$A$5000,"&gt;="&amp;$A161,Entries!$A$2:$A$5000,"&lt;"&amp;EDATE($A161,1),Entries!$B$2:$B$5000,AH$1))</f>
        <v/>
      </c>
      <c r="AI161" s="23">
        <f>IF(OR(AI$1="",$BM161=0),"",SUMIFS(Entries!$E$2:$E$5000,Entries!$C$2:$C$5000,"Actual",Entries!$A$2:$A$5000,"&gt;="&amp;$A161,Entries!$A$2:$A$5000,"&lt;"&amp;EDATE($A161,1),Entries!$B$2:$B$5000,AI$1))</f>
        <v/>
      </c>
      <c r="AJ161" s="23">
        <f>IF(OR(AJ$1="",$BM161=0),"",SUMIFS(Entries!$E$2:$E$5000,Entries!$C$2:$C$5000,"Actual",Entries!$A$2:$A$5000,"&gt;="&amp;$A161,Entries!$A$2:$A$5000,"&lt;"&amp;EDATE($A161,1),Entries!$B$2:$B$5000,AJ$1))</f>
        <v/>
      </c>
      <c r="AK161" s="23">
        <f>IF(OR(AK$1="",$BM161=0),"",SUMIFS(Entries!$E$2:$E$5000,Entries!$C$2:$C$5000,"Actual",Entries!$A$2:$A$5000,"&gt;="&amp;$A161,Entries!$A$2:$A$5000,"&lt;"&amp;EDATE($A161,1),Entries!$B$2:$B$5000,AK$1))</f>
        <v/>
      </c>
      <c r="AL161" s="23">
        <f>IF(OR(AL$1="",$BM161=0),"",SUMIFS(Entries!$E$2:$E$5000,Entries!$C$2:$C$5000,"Actual",Entries!$A$2:$A$5000,"&gt;="&amp;$A161,Entries!$A$2:$A$5000,"&lt;"&amp;EDATE($A161,1),Entries!$B$2:$B$5000,AL$1))</f>
        <v/>
      </c>
      <c r="AM161" s="23">
        <f>IF(OR(AM$1="",$BM161=0),"",SUMIFS(Entries!$E$2:$E$5000,Entries!$C$2:$C$5000,"Actual",Entries!$A$2:$A$5000,"&gt;="&amp;$A161,Entries!$A$2:$A$5000,"&lt;"&amp;EDATE($A161,1),Entries!$B$2:$B$5000,AM$1))</f>
        <v/>
      </c>
      <c r="AN161" s="23">
        <f>IF(OR(AN$1="",$BM161=0),"",SUMIFS(Entries!$E$2:$E$5000,Entries!$C$2:$C$5000,"Actual",Entries!$A$2:$A$5000,"&gt;="&amp;$A161,Entries!$A$2:$A$5000,"&lt;"&amp;EDATE($A161,1),Entries!$B$2:$B$5000,AN$1))</f>
        <v/>
      </c>
      <c r="AO161" s="23">
        <f>IF(OR(AO$1="",$BM161=0),"",SUMIFS(Entries!$E$2:$E$5000,Entries!$C$2:$C$5000,"Actual",Entries!$A$2:$A$5000,"&gt;="&amp;$A161,Entries!$A$2:$A$5000,"&lt;"&amp;EDATE($A161,1),Entries!$B$2:$B$5000,AO$1))</f>
        <v/>
      </c>
      <c r="AP161" s="23">
        <f>IF(OR(AP$1="",$BM161=0),"",SUMIFS(Entries!$E$2:$E$5000,Entries!$C$2:$C$5000,"Actual",Entries!$A$2:$A$5000,"&gt;="&amp;$A161,Entries!$A$2:$A$5000,"&lt;"&amp;EDATE($A161,1),Entries!$B$2:$B$5000,AP$1))</f>
        <v/>
      </c>
      <c r="AR161" s="23">
        <f>IF(OR(AR$1="",$BM161=0),"",IFERROR(LOOKUP(2,1/((Budgets!$A$2:$A$200=AR$1)*(Budgets!$B$2:$B$200&lt;EDATE($A161,1))),Budgets!$C$2:$C$200),0))</f>
        <v/>
      </c>
      <c r="AS161" s="23">
        <f>IF(OR(AS$1="",$BM161=0),"",IFERROR(LOOKUP(2,1/((Budgets!$A$2:$A$200=AS$1)*(Budgets!$B$2:$B$200&lt;EDATE($A161,1))),Budgets!$C$2:$C$200),0))</f>
        <v/>
      </c>
      <c r="AT161" s="23">
        <f>IF(OR(AT$1="",$BM161=0),"",IFERROR(LOOKUP(2,1/((Budgets!$A$2:$A$200=AT$1)*(Budgets!$B$2:$B$200&lt;EDATE($A161,1))),Budgets!$C$2:$C$200),0))</f>
        <v/>
      </c>
      <c r="AU161" s="23">
        <f>IF(OR(AU$1="",$BM161=0),"",IFERROR(LOOKUP(2,1/((Budgets!$A$2:$A$200=AU$1)*(Budgets!$B$2:$B$200&lt;EDATE($A161,1))),Budgets!$C$2:$C$200),0))</f>
        <v/>
      </c>
      <c r="AV161" s="23">
        <f>IF(OR(AV$1="",$BM161=0),"",IFERROR(LOOKUP(2,1/((Budgets!$A$2:$A$200=AV$1)*(Budgets!$B$2:$B$200&lt;EDATE($A161,1))),Budgets!$C$2:$C$200),0))</f>
        <v/>
      </c>
      <c r="AW161" s="23">
        <f>IF(OR(AW$1="",$BM161=0),"",IFERROR(LOOKUP(2,1/((Budgets!$A$2:$A$200=AW$1)*(Budgets!$B$2:$B$200&lt;EDATE($A161,1))),Budgets!$C$2:$C$200),0))</f>
        <v/>
      </c>
      <c r="AX161" s="23">
        <f>IF(OR(AX$1="",$BM161=0),"",IFERROR(LOOKUP(2,1/((Budgets!$A$2:$A$200=AX$1)*(Budgets!$B$2:$B$200&lt;EDATE($A161,1))),Budgets!$C$2:$C$200),0))</f>
        <v/>
      </c>
      <c r="AY161" s="23">
        <f>IF(OR(AY$1="",$BM161=0),"",IFERROR(LOOKUP(2,1/((Budgets!$A$2:$A$200=AY$1)*(Budgets!$B$2:$B$200&lt;EDATE($A161,1))),Budgets!$C$2:$C$200),0))</f>
        <v/>
      </c>
      <c r="AZ161" s="23">
        <f>IF(OR(AZ$1="",$BM161=0),"",IFERROR(LOOKUP(2,1/((Budgets!$A$2:$A$200=AZ$1)*(Budgets!$B$2:$B$200&lt;EDATE($A161,1))),Budgets!$C$2:$C$200),0))</f>
        <v/>
      </c>
      <c r="BA161" s="23">
        <f>IF(OR(BA$1="",$BM161=0),"",IFERROR(LOOKUP(2,1/((Budgets!$A$2:$A$200=BA$1)*(Budgets!$B$2:$B$200&lt;EDATE($A161,1))),Budgets!$C$2:$C$200),0))</f>
        <v/>
      </c>
      <c r="BB161" s="23">
        <f>IF(OR(BB$1="",$BM161=0),"",IFERROR(LOOKUP(2,1/((Budgets!$A$2:$A$200=BB$1)*(Budgets!$B$2:$B$200&lt;EDATE($A161,1))),Budgets!$C$2:$C$200),0))</f>
        <v/>
      </c>
      <c r="BC161" s="23">
        <f>IF(OR(BC$1="",$BM161=0),"",IFERROR(LOOKUP(2,1/((Budgets!$A$2:$A$200=BC$1)*(Budgets!$B$2:$B$200&lt;EDATE($A161,1))),Budgets!$C$2:$C$200),0))</f>
        <v/>
      </c>
      <c r="BD161" s="23">
        <f>IF(OR(BD$1="",$BM161=0),"",IFERROR(LOOKUP(2,1/((Budgets!$A$2:$A$200=BD$1)*(Budgets!$B$2:$B$200&lt;EDATE($A161,1))),Budgets!$C$2:$C$200),0))</f>
        <v/>
      </c>
      <c r="BE161" s="23">
        <f>IF(OR(BE$1="",$BM161=0),"",IFERROR(LOOKUP(2,1/((Budgets!$A$2:$A$200=BE$1)*(Budgets!$B$2:$B$200&lt;EDATE($A161,1))),Budgets!$C$2:$C$200),0))</f>
        <v/>
      </c>
      <c r="BF161" s="23">
        <f>IF(OR(BF$1="",$BM161=0),"",IFERROR(LOOKUP(2,1/((Budgets!$A$2:$A$200=BF$1)*(Budgets!$B$2:$B$200&lt;EDATE($A161,1))),Budgets!$C$2:$C$200),0))</f>
        <v/>
      </c>
      <c r="BG161" s="23">
        <f>IF(OR(BG$1="",$BM161=0),"",IFERROR(LOOKUP(2,1/((Budgets!$A$2:$A$200=BG$1)*(Budgets!$B$2:$B$200&lt;EDATE($A161,1))),Budgets!$C$2:$C$200),0))</f>
        <v/>
      </c>
      <c r="BH161" s="23">
        <f>IF(OR(BH$1="",$BM161=0),"",IFERROR(LOOKUP(2,1/((Budgets!$A$2:$A$200=BH$1)*(Budgets!$B$2:$B$200&lt;EDATE($A161,1))),Budgets!$C$2:$C$200),0))</f>
        <v/>
      </c>
      <c r="BI161" s="23">
        <f>IF(OR(BI$1="",$BM161=0),"",IFERROR(LOOKUP(2,1/((Budgets!$A$2:$A$200=BI$1)*(Budgets!$B$2:$B$200&lt;EDATE($A161,1))),Budgets!$C$2:$C$200),0))</f>
        <v/>
      </c>
      <c r="BJ161" s="23">
        <f>IF(OR(BJ$1="",$BM161=0),"",IFERROR(LOOKUP(2,1/((Budgets!$A$2:$A$200=BJ$1)*(Budgets!$B$2:$B$200&lt;EDATE($A161,1))),Budgets!$C$2:$C$200),0))</f>
        <v/>
      </c>
      <c r="BK161" s="23">
        <f>IF(OR(BK$1="",$BM161=0),"",IFERROR(LOOKUP(2,1/((Budgets!$A$2:$A$200=BK$1)*(Budgets!$B$2:$B$200&lt;EDATE($A161,1))),Budgets!$C$2:$C$200),0))</f>
        <v/>
      </c>
      <c r="BM161" s="21">
        <f>COUNTIFS(Entries!$A$2:$A$5000,"&gt;="&amp;$A161,Entries!$A$2:$A$5000,"&lt;"&amp;EDATE($A161,1))</f>
        <v/>
      </c>
    </row>
    <row r="162">
      <c r="A162" s="22" t="n">
        <v>44317</v>
      </c>
      <c r="B162" s="23">
        <f>IF($BM162=0,NA(),SUMIFS(Entries!$E$2:$E$5000,Entries!$C$2:$C$5000,"Income",Entries!$A$2:$A$5000,"&gt;="&amp;$A162,Entries!$A$2:$A$5000,"&lt;"&amp;EDATE($A162,1)))</f>
        <v/>
      </c>
      <c r="C162" s="23">
        <f>IF($BM162=0,"",SUMIFS(Entries!$E$2:$E$5000,Entries!$C$2:$C$5000,"Actual",Entries!$A$2:$A$5000,"&gt;="&amp;$A162,Entries!$A$2:$A$5000,"&lt;"&amp;EDATE($A162,1)))</f>
        <v/>
      </c>
      <c r="D162" s="23">
        <f>IF($BM162=0,"",SUMIFS(Entries!$E$2:$E$5000,Entries!$C$2:$C$5000,"One-off",Entries!$A$2:$A$5000,"&gt;="&amp;$A162,Entries!$A$2:$A$5000,"&lt;"&amp;EDATE($A162,1)))</f>
        <v/>
      </c>
      <c r="E162" s="23">
        <f>IF($BM162=0,NA(),C162+D162)</f>
        <v/>
      </c>
      <c r="F162" s="23">
        <f>IF($BM162=0,"",SUM(AR162:BK162))</f>
        <v/>
      </c>
      <c r="G162" s="23">
        <f>IF($BM162=0,"",B162-E162)</f>
        <v/>
      </c>
      <c r="H162" s="23">
        <f>IF($BM162=0,"",SUM($G$2:G162))</f>
        <v/>
      </c>
      <c r="I162" s="23">
        <f>IF($BM162=0,"",SUMIFS(Entries!$G$2:$G$5000,Entries!$A$2:$A$5000,"&gt;="&amp;$A162,Entries!$A$2:$A$5000,"&lt;"&amp;EDATE($A162,1)))</f>
        <v/>
      </c>
      <c r="J162" s="23">
        <f>IF($BM162=0,NA(),H162)</f>
        <v/>
      </c>
      <c r="K162" s="23">
        <f>IF($BM162=0,"",SUMIFS(Entries!$E$2:$E$5000,Entries!$C$2:$C$5000,"Income",Entries!$A$2:$A$5000,"&gt;="&amp;EDATE($A162,-11),Entries!$A$2:$A$5000,"&lt;"&amp;EDATE($A162,1))/COUNTIFS($A$2:$A$400,"&gt;="&amp;EDATE($A162,-11),$A$2:$A$400,"&lt;"&amp;EDATE($A162,1),$BM$2:$BM$400,"&gt;0"))</f>
      </c>
      <c r="L162" s="23">
        <f>IF($BM162=0,"",(SUMIFS(Entries!$E$2:$E$5000,Entries!$C$2:$C$5000,"Actual",Entries!$A$2:$A$5000,"&gt;="&amp;EDATE($A162,-11),Entries!$A$2:$A$5000,"&lt;"&amp;EDATE($A162,1))+SUMIFS(Entries!$E$2:$E$5000,Entries!$C$2:$C$5000,"One-off",Entries!$A$2:$A$5000,"&gt;="&amp;EDATE($A162,-11),Entries!$A$2:$A$5000,"&lt;"&amp;EDATE($A162,1)))/COUNTIFS($A$2:$A$400,"&gt;="&amp;EDATE($A162,-11),$A$2:$A$400,"&lt;"&amp;EDATE($A162,1),$BM$2:$BM$400,"&gt;0"))</f>
      </c>
      <c r="M162" s="24">
        <f>IF($BM162=0,NA(),IFERROR((K162-L162)/K162,0))</f>
        <v/>
      </c>
      <c r="N162" s="23">
        <f>IF($BM162=0,NA(),SUMIFS(Entries!$E$2:$E$5000,Entries!$D$2:$D$5000,"Core",Entries!$A$2:$A$5000,"&gt;="&amp;$A162,Entries!$A$2:$A$5000,"&lt;"&amp;EDATE($A162,1)))</f>
        <v/>
      </c>
      <c r="O162" s="23">
        <f>IF($BM162=0,NA(),SUMIFS(Entries!$E$2:$E$5000,Entries!$D$2:$D$5000,"Over &amp; above",Entries!$A$2:$A$5000,"&gt;="&amp;$A162,Entries!$A$2:$A$5000,"&lt;"&amp;EDATE($A162,1)))</f>
        <v/>
      </c>
      <c r="P162" s="23">
        <f>IF($BM162=0,NA(),SUMIFS(Entries!$E$2:$E$5000,Entries!$D$2:$D$5000,"One-off",Entries!$A$2:$A$5000,"&gt;="&amp;$A162,Entries!$A$2:$A$5000,"&lt;"&amp;EDATE($A162,1)))</f>
        <v/>
      </c>
      <c r="Q162" s="23">
        <f>IF($BM162=0,NA(),SUMIFS(Entries!$E$2:$E$5000,Entries!$D$2:$D$5000,"Reimbursable",Entries!$A$2:$A$5000,"&gt;="&amp;$A162,Entries!$A$2:$A$5000,"&lt;"&amp;EDATE($A162,1)))</f>
        <v/>
      </c>
      <c r="R162" s="23">
        <f>IF($BM162=0,NA(),SUMIFS(Entries!$E$2:$E$5000,Entries!$D$2:$D$5000,"Investment",Entries!$A$2:$A$5000,"&gt;="&amp;$A162,Entries!$A$2:$A$5000,"&lt;"&amp;EDATE($A162,1)))</f>
        <v/>
      </c>
      <c r="S162" s="23">
        <f>IF($BM162=0,NA(),N162+O162)</f>
        <v/>
      </c>
      <c r="T162" s="23">
        <f>IF($BM162=0,"",E162-Q162)</f>
        <v/>
      </c>
      <c r="W162" s="23">
        <f>IF(OR(W$1="",$BM162=0),"",SUMIFS(Entries!$E$2:$E$5000,Entries!$C$2:$C$5000,"Actual",Entries!$A$2:$A$5000,"&gt;="&amp;$A162,Entries!$A$2:$A$5000,"&lt;"&amp;EDATE($A162,1),Entries!$B$2:$B$5000,W$1))</f>
        <v/>
      </c>
      <c r="X162" s="23">
        <f>IF(OR(X$1="",$BM162=0),"",SUMIFS(Entries!$E$2:$E$5000,Entries!$C$2:$C$5000,"Actual",Entries!$A$2:$A$5000,"&gt;="&amp;$A162,Entries!$A$2:$A$5000,"&lt;"&amp;EDATE($A162,1),Entries!$B$2:$B$5000,X$1))</f>
        <v/>
      </c>
      <c r="Y162" s="23">
        <f>IF(OR(Y$1="",$BM162=0),"",SUMIFS(Entries!$E$2:$E$5000,Entries!$C$2:$C$5000,"Actual",Entries!$A$2:$A$5000,"&gt;="&amp;$A162,Entries!$A$2:$A$5000,"&lt;"&amp;EDATE($A162,1),Entries!$B$2:$B$5000,Y$1))</f>
        <v/>
      </c>
      <c r="Z162" s="23">
        <f>IF(OR(Z$1="",$BM162=0),"",SUMIFS(Entries!$E$2:$E$5000,Entries!$C$2:$C$5000,"Actual",Entries!$A$2:$A$5000,"&gt;="&amp;$A162,Entries!$A$2:$A$5000,"&lt;"&amp;EDATE($A162,1),Entries!$B$2:$B$5000,Z$1))</f>
        <v/>
      </c>
      <c r="AA162" s="23">
        <f>IF(OR(AA$1="",$BM162=0),"",SUMIFS(Entries!$E$2:$E$5000,Entries!$C$2:$C$5000,"Actual",Entries!$A$2:$A$5000,"&gt;="&amp;$A162,Entries!$A$2:$A$5000,"&lt;"&amp;EDATE($A162,1),Entries!$B$2:$B$5000,AA$1))</f>
        <v/>
      </c>
      <c r="AB162" s="23">
        <f>IF(OR(AB$1="",$BM162=0),"",SUMIFS(Entries!$E$2:$E$5000,Entries!$C$2:$C$5000,"Actual",Entries!$A$2:$A$5000,"&gt;="&amp;$A162,Entries!$A$2:$A$5000,"&lt;"&amp;EDATE($A162,1),Entries!$B$2:$B$5000,AB$1))</f>
        <v/>
      </c>
      <c r="AC162" s="23">
        <f>IF(OR(AC$1="",$BM162=0),"",SUMIFS(Entries!$E$2:$E$5000,Entries!$C$2:$C$5000,"Actual",Entries!$A$2:$A$5000,"&gt;="&amp;$A162,Entries!$A$2:$A$5000,"&lt;"&amp;EDATE($A162,1),Entries!$B$2:$B$5000,AC$1))</f>
        <v/>
      </c>
      <c r="AD162" s="23">
        <f>IF(OR(AD$1="",$BM162=0),"",SUMIFS(Entries!$E$2:$E$5000,Entries!$C$2:$C$5000,"Actual",Entries!$A$2:$A$5000,"&gt;="&amp;$A162,Entries!$A$2:$A$5000,"&lt;"&amp;EDATE($A162,1),Entries!$B$2:$B$5000,AD$1))</f>
        <v/>
      </c>
      <c r="AE162" s="23">
        <f>IF(OR(AE$1="",$BM162=0),"",SUMIFS(Entries!$E$2:$E$5000,Entries!$C$2:$C$5000,"Actual",Entries!$A$2:$A$5000,"&gt;="&amp;$A162,Entries!$A$2:$A$5000,"&lt;"&amp;EDATE($A162,1),Entries!$B$2:$B$5000,AE$1))</f>
        <v/>
      </c>
      <c r="AF162" s="23">
        <f>IF(OR(AF$1="",$BM162=0),"",SUMIFS(Entries!$E$2:$E$5000,Entries!$C$2:$C$5000,"Actual",Entries!$A$2:$A$5000,"&gt;="&amp;$A162,Entries!$A$2:$A$5000,"&lt;"&amp;EDATE($A162,1),Entries!$B$2:$B$5000,AF$1))</f>
        <v/>
      </c>
      <c r="AG162" s="23">
        <f>IF(OR(AG$1="",$BM162=0),"",SUMIFS(Entries!$E$2:$E$5000,Entries!$C$2:$C$5000,"Actual",Entries!$A$2:$A$5000,"&gt;="&amp;$A162,Entries!$A$2:$A$5000,"&lt;"&amp;EDATE($A162,1),Entries!$B$2:$B$5000,AG$1))</f>
        <v/>
      </c>
      <c r="AH162" s="23">
        <f>IF(OR(AH$1="",$BM162=0),"",SUMIFS(Entries!$E$2:$E$5000,Entries!$C$2:$C$5000,"Actual",Entries!$A$2:$A$5000,"&gt;="&amp;$A162,Entries!$A$2:$A$5000,"&lt;"&amp;EDATE($A162,1),Entries!$B$2:$B$5000,AH$1))</f>
        <v/>
      </c>
      <c r="AI162" s="23">
        <f>IF(OR(AI$1="",$BM162=0),"",SUMIFS(Entries!$E$2:$E$5000,Entries!$C$2:$C$5000,"Actual",Entries!$A$2:$A$5000,"&gt;="&amp;$A162,Entries!$A$2:$A$5000,"&lt;"&amp;EDATE($A162,1),Entries!$B$2:$B$5000,AI$1))</f>
        <v/>
      </c>
      <c r="AJ162" s="23">
        <f>IF(OR(AJ$1="",$BM162=0),"",SUMIFS(Entries!$E$2:$E$5000,Entries!$C$2:$C$5000,"Actual",Entries!$A$2:$A$5000,"&gt;="&amp;$A162,Entries!$A$2:$A$5000,"&lt;"&amp;EDATE($A162,1),Entries!$B$2:$B$5000,AJ$1))</f>
        <v/>
      </c>
      <c r="AK162" s="23">
        <f>IF(OR(AK$1="",$BM162=0),"",SUMIFS(Entries!$E$2:$E$5000,Entries!$C$2:$C$5000,"Actual",Entries!$A$2:$A$5000,"&gt;="&amp;$A162,Entries!$A$2:$A$5000,"&lt;"&amp;EDATE($A162,1),Entries!$B$2:$B$5000,AK$1))</f>
        <v/>
      </c>
      <c r="AL162" s="23">
        <f>IF(OR(AL$1="",$BM162=0),"",SUMIFS(Entries!$E$2:$E$5000,Entries!$C$2:$C$5000,"Actual",Entries!$A$2:$A$5000,"&gt;="&amp;$A162,Entries!$A$2:$A$5000,"&lt;"&amp;EDATE($A162,1),Entries!$B$2:$B$5000,AL$1))</f>
        <v/>
      </c>
      <c r="AM162" s="23">
        <f>IF(OR(AM$1="",$BM162=0),"",SUMIFS(Entries!$E$2:$E$5000,Entries!$C$2:$C$5000,"Actual",Entries!$A$2:$A$5000,"&gt;="&amp;$A162,Entries!$A$2:$A$5000,"&lt;"&amp;EDATE($A162,1),Entries!$B$2:$B$5000,AM$1))</f>
        <v/>
      </c>
      <c r="AN162" s="23">
        <f>IF(OR(AN$1="",$BM162=0),"",SUMIFS(Entries!$E$2:$E$5000,Entries!$C$2:$C$5000,"Actual",Entries!$A$2:$A$5000,"&gt;="&amp;$A162,Entries!$A$2:$A$5000,"&lt;"&amp;EDATE($A162,1),Entries!$B$2:$B$5000,AN$1))</f>
        <v/>
      </c>
      <c r="AO162" s="23">
        <f>IF(OR(AO$1="",$BM162=0),"",SUMIFS(Entries!$E$2:$E$5000,Entries!$C$2:$C$5000,"Actual",Entries!$A$2:$A$5000,"&gt;="&amp;$A162,Entries!$A$2:$A$5000,"&lt;"&amp;EDATE($A162,1),Entries!$B$2:$B$5000,AO$1))</f>
        <v/>
      </c>
      <c r="AP162" s="23">
        <f>IF(OR(AP$1="",$BM162=0),"",SUMIFS(Entries!$E$2:$E$5000,Entries!$C$2:$C$5000,"Actual",Entries!$A$2:$A$5000,"&gt;="&amp;$A162,Entries!$A$2:$A$5000,"&lt;"&amp;EDATE($A162,1),Entries!$B$2:$B$5000,AP$1))</f>
        <v/>
      </c>
      <c r="AR162" s="23">
        <f>IF(OR(AR$1="",$BM162=0),"",IFERROR(LOOKUP(2,1/((Budgets!$A$2:$A$200=AR$1)*(Budgets!$B$2:$B$200&lt;EDATE($A162,1))),Budgets!$C$2:$C$200),0))</f>
        <v/>
      </c>
      <c r="AS162" s="23">
        <f>IF(OR(AS$1="",$BM162=0),"",IFERROR(LOOKUP(2,1/((Budgets!$A$2:$A$200=AS$1)*(Budgets!$B$2:$B$200&lt;EDATE($A162,1))),Budgets!$C$2:$C$200),0))</f>
        <v/>
      </c>
      <c r="AT162" s="23">
        <f>IF(OR(AT$1="",$BM162=0),"",IFERROR(LOOKUP(2,1/((Budgets!$A$2:$A$200=AT$1)*(Budgets!$B$2:$B$200&lt;EDATE($A162,1))),Budgets!$C$2:$C$200),0))</f>
        <v/>
      </c>
      <c r="AU162" s="23">
        <f>IF(OR(AU$1="",$BM162=0),"",IFERROR(LOOKUP(2,1/((Budgets!$A$2:$A$200=AU$1)*(Budgets!$B$2:$B$200&lt;EDATE($A162,1))),Budgets!$C$2:$C$200),0))</f>
        <v/>
      </c>
      <c r="AV162" s="23">
        <f>IF(OR(AV$1="",$BM162=0),"",IFERROR(LOOKUP(2,1/((Budgets!$A$2:$A$200=AV$1)*(Budgets!$B$2:$B$200&lt;EDATE($A162,1))),Budgets!$C$2:$C$200),0))</f>
        <v/>
      </c>
      <c r="AW162" s="23">
        <f>IF(OR(AW$1="",$BM162=0),"",IFERROR(LOOKUP(2,1/((Budgets!$A$2:$A$200=AW$1)*(Budgets!$B$2:$B$200&lt;EDATE($A162,1))),Budgets!$C$2:$C$200),0))</f>
        <v/>
      </c>
      <c r="AX162" s="23">
        <f>IF(OR(AX$1="",$BM162=0),"",IFERROR(LOOKUP(2,1/((Budgets!$A$2:$A$200=AX$1)*(Budgets!$B$2:$B$200&lt;EDATE($A162,1))),Budgets!$C$2:$C$200),0))</f>
        <v/>
      </c>
      <c r="AY162" s="23">
        <f>IF(OR(AY$1="",$BM162=0),"",IFERROR(LOOKUP(2,1/((Budgets!$A$2:$A$200=AY$1)*(Budgets!$B$2:$B$200&lt;EDATE($A162,1))),Budgets!$C$2:$C$200),0))</f>
        <v/>
      </c>
      <c r="AZ162" s="23">
        <f>IF(OR(AZ$1="",$BM162=0),"",IFERROR(LOOKUP(2,1/((Budgets!$A$2:$A$200=AZ$1)*(Budgets!$B$2:$B$200&lt;EDATE($A162,1))),Budgets!$C$2:$C$200),0))</f>
        <v/>
      </c>
      <c r="BA162" s="23">
        <f>IF(OR(BA$1="",$BM162=0),"",IFERROR(LOOKUP(2,1/((Budgets!$A$2:$A$200=BA$1)*(Budgets!$B$2:$B$200&lt;EDATE($A162,1))),Budgets!$C$2:$C$200),0))</f>
        <v/>
      </c>
      <c r="BB162" s="23">
        <f>IF(OR(BB$1="",$BM162=0),"",IFERROR(LOOKUP(2,1/((Budgets!$A$2:$A$200=BB$1)*(Budgets!$B$2:$B$200&lt;EDATE($A162,1))),Budgets!$C$2:$C$200),0))</f>
        <v/>
      </c>
      <c r="BC162" s="23">
        <f>IF(OR(BC$1="",$BM162=0),"",IFERROR(LOOKUP(2,1/((Budgets!$A$2:$A$200=BC$1)*(Budgets!$B$2:$B$200&lt;EDATE($A162,1))),Budgets!$C$2:$C$200),0))</f>
        <v/>
      </c>
      <c r="BD162" s="23">
        <f>IF(OR(BD$1="",$BM162=0),"",IFERROR(LOOKUP(2,1/((Budgets!$A$2:$A$200=BD$1)*(Budgets!$B$2:$B$200&lt;EDATE($A162,1))),Budgets!$C$2:$C$200),0))</f>
        <v/>
      </c>
      <c r="BE162" s="23">
        <f>IF(OR(BE$1="",$BM162=0),"",IFERROR(LOOKUP(2,1/((Budgets!$A$2:$A$200=BE$1)*(Budgets!$B$2:$B$200&lt;EDATE($A162,1))),Budgets!$C$2:$C$200),0))</f>
        <v/>
      </c>
      <c r="BF162" s="23">
        <f>IF(OR(BF$1="",$BM162=0),"",IFERROR(LOOKUP(2,1/((Budgets!$A$2:$A$200=BF$1)*(Budgets!$B$2:$B$200&lt;EDATE($A162,1))),Budgets!$C$2:$C$200),0))</f>
        <v/>
      </c>
      <c r="BG162" s="23">
        <f>IF(OR(BG$1="",$BM162=0),"",IFERROR(LOOKUP(2,1/((Budgets!$A$2:$A$200=BG$1)*(Budgets!$B$2:$B$200&lt;EDATE($A162,1))),Budgets!$C$2:$C$200),0))</f>
        <v/>
      </c>
      <c r="BH162" s="23">
        <f>IF(OR(BH$1="",$BM162=0),"",IFERROR(LOOKUP(2,1/((Budgets!$A$2:$A$200=BH$1)*(Budgets!$B$2:$B$200&lt;EDATE($A162,1))),Budgets!$C$2:$C$200),0))</f>
        <v/>
      </c>
      <c r="BI162" s="23">
        <f>IF(OR(BI$1="",$BM162=0),"",IFERROR(LOOKUP(2,1/((Budgets!$A$2:$A$200=BI$1)*(Budgets!$B$2:$B$200&lt;EDATE($A162,1))),Budgets!$C$2:$C$200),0))</f>
        <v/>
      </c>
      <c r="BJ162" s="23">
        <f>IF(OR(BJ$1="",$BM162=0),"",IFERROR(LOOKUP(2,1/((Budgets!$A$2:$A$200=BJ$1)*(Budgets!$B$2:$B$200&lt;EDATE($A162,1))),Budgets!$C$2:$C$200),0))</f>
        <v/>
      </c>
      <c r="BK162" s="23">
        <f>IF(OR(BK$1="",$BM162=0),"",IFERROR(LOOKUP(2,1/((Budgets!$A$2:$A$200=BK$1)*(Budgets!$B$2:$B$200&lt;EDATE($A162,1))),Budgets!$C$2:$C$200),0))</f>
        <v/>
      </c>
      <c r="BM162" s="21">
        <f>COUNTIFS(Entries!$A$2:$A$5000,"&gt;="&amp;$A162,Entries!$A$2:$A$5000,"&lt;"&amp;EDATE($A162,1))</f>
        <v/>
      </c>
    </row>
    <row r="163">
      <c r="A163" s="22" t="n">
        <v>44348</v>
      </c>
      <c r="B163" s="23">
        <f>IF($BM163=0,NA(),SUMIFS(Entries!$E$2:$E$5000,Entries!$C$2:$C$5000,"Income",Entries!$A$2:$A$5000,"&gt;="&amp;$A163,Entries!$A$2:$A$5000,"&lt;"&amp;EDATE($A163,1)))</f>
        <v/>
      </c>
      <c r="C163" s="23">
        <f>IF($BM163=0,"",SUMIFS(Entries!$E$2:$E$5000,Entries!$C$2:$C$5000,"Actual",Entries!$A$2:$A$5000,"&gt;="&amp;$A163,Entries!$A$2:$A$5000,"&lt;"&amp;EDATE($A163,1)))</f>
        <v/>
      </c>
      <c r="D163" s="23">
        <f>IF($BM163=0,"",SUMIFS(Entries!$E$2:$E$5000,Entries!$C$2:$C$5000,"One-off",Entries!$A$2:$A$5000,"&gt;="&amp;$A163,Entries!$A$2:$A$5000,"&lt;"&amp;EDATE($A163,1)))</f>
        <v/>
      </c>
      <c r="E163" s="23">
        <f>IF($BM163=0,NA(),C163+D163)</f>
        <v/>
      </c>
      <c r="F163" s="23">
        <f>IF($BM163=0,"",SUM(AR163:BK163))</f>
        <v/>
      </c>
      <c r="G163" s="23">
        <f>IF($BM163=0,"",B163-E163)</f>
        <v/>
      </c>
      <c r="H163" s="23">
        <f>IF($BM163=0,"",SUM($G$2:G163))</f>
        <v/>
      </c>
      <c r="I163" s="23">
        <f>IF($BM163=0,"",SUMIFS(Entries!$G$2:$G$5000,Entries!$A$2:$A$5000,"&gt;="&amp;$A163,Entries!$A$2:$A$5000,"&lt;"&amp;EDATE($A163,1)))</f>
        <v/>
      </c>
      <c r="J163" s="23">
        <f>IF($BM163=0,NA(),H163)</f>
        <v/>
      </c>
      <c r="K163" s="23">
        <f>IF($BM163=0,"",SUMIFS(Entries!$E$2:$E$5000,Entries!$C$2:$C$5000,"Income",Entries!$A$2:$A$5000,"&gt;="&amp;EDATE($A163,-11),Entries!$A$2:$A$5000,"&lt;"&amp;EDATE($A163,1))/COUNTIFS($A$2:$A$400,"&gt;="&amp;EDATE($A163,-11),$A$2:$A$400,"&lt;"&amp;EDATE($A163,1),$BM$2:$BM$400,"&gt;0"))</f>
      </c>
      <c r="L163" s="23">
        <f>IF($BM163=0,"",(SUMIFS(Entries!$E$2:$E$5000,Entries!$C$2:$C$5000,"Actual",Entries!$A$2:$A$5000,"&gt;="&amp;EDATE($A163,-11),Entries!$A$2:$A$5000,"&lt;"&amp;EDATE($A163,1))+SUMIFS(Entries!$E$2:$E$5000,Entries!$C$2:$C$5000,"One-off",Entries!$A$2:$A$5000,"&gt;="&amp;EDATE($A163,-11),Entries!$A$2:$A$5000,"&lt;"&amp;EDATE($A163,1)))/COUNTIFS($A$2:$A$400,"&gt;="&amp;EDATE($A163,-11),$A$2:$A$400,"&lt;"&amp;EDATE($A163,1),$BM$2:$BM$400,"&gt;0"))</f>
      </c>
      <c r="M163" s="24">
        <f>IF($BM163=0,NA(),IFERROR((K163-L163)/K163,0))</f>
        <v/>
      </c>
      <c r="N163" s="23">
        <f>IF($BM163=0,NA(),SUMIFS(Entries!$E$2:$E$5000,Entries!$D$2:$D$5000,"Core",Entries!$A$2:$A$5000,"&gt;="&amp;$A163,Entries!$A$2:$A$5000,"&lt;"&amp;EDATE($A163,1)))</f>
        <v/>
      </c>
      <c r="O163" s="23">
        <f>IF($BM163=0,NA(),SUMIFS(Entries!$E$2:$E$5000,Entries!$D$2:$D$5000,"Over &amp; above",Entries!$A$2:$A$5000,"&gt;="&amp;$A163,Entries!$A$2:$A$5000,"&lt;"&amp;EDATE($A163,1)))</f>
        <v/>
      </c>
      <c r="P163" s="23">
        <f>IF($BM163=0,NA(),SUMIFS(Entries!$E$2:$E$5000,Entries!$D$2:$D$5000,"One-off",Entries!$A$2:$A$5000,"&gt;="&amp;$A163,Entries!$A$2:$A$5000,"&lt;"&amp;EDATE($A163,1)))</f>
        <v/>
      </c>
      <c r="Q163" s="23">
        <f>IF($BM163=0,NA(),SUMIFS(Entries!$E$2:$E$5000,Entries!$D$2:$D$5000,"Reimbursable",Entries!$A$2:$A$5000,"&gt;="&amp;$A163,Entries!$A$2:$A$5000,"&lt;"&amp;EDATE($A163,1)))</f>
        <v/>
      </c>
      <c r="R163" s="23">
        <f>IF($BM163=0,NA(),SUMIFS(Entries!$E$2:$E$5000,Entries!$D$2:$D$5000,"Investment",Entries!$A$2:$A$5000,"&gt;="&amp;$A163,Entries!$A$2:$A$5000,"&lt;"&amp;EDATE($A163,1)))</f>
        <v/>
      </c>
      <c r="S163" s="23">
        <f>IF($BM163=0,NA(),N163+O163)</f>
        <v/>
      </c>
      <c r="T163" s="23">
        <f>IF($BM163=0,"",E163-Q163)</f>
        <v/>
      </c>
      <c r="W163" s="23">
        <f>IF(OR(W$1="",$BM163=0),"",SUMIFS(Entries!$E$2:$E$5000,Entries!$C$2:$C$5000,"Actual",Entries!$A$2:$A$5000,"&gt;="&amp;$A163,Entries!$A$2:$A$5000,"&lt;"&amp;EDATE($A163,1),Entries!$B$2:$B$5000,W$1))</f>
        <v/>
      </c>
      <c r="X163" s="23">
        <f>IF(OR(X$1="",$BM163=0),"",SUMIFS(Entries!$E$2:$E$5000,Entries!$C$2:$C$5000,"Actual",Entries!$A$2:$A$5000,"&gt;="&amp;$A163,Entries!$A$2:$A$5000,"&lt;"&amp;EDATE($A163,1),Entries!$B$2:$B$5000,X$1))</f>
        <v/>
      </c>
      <c r="Y163" s="23">
        <f>IF(OR(Y$1="",$BM163=0),"",SUMIFS(Entries!$E$2:$E$5000,Entries!$C$2:$C$5000,"Actual",Entries!$A$2:$A$5000,"&gt;="&amp;$A163,Entries!$A$2:$A$5000,"&lt;"&amp;EDATE($A163,1),Entries!$B$2:$B$5000,Y$1))</f>
        <v/>
      </c>
      <c r="Z163" s="23">
        <f>IF(OR(Z$1="",$BM163=0),"",SUMIFS(Entries!$E$2:$E$5000,Entries!$C$2:$C$5000,"Actual",Entries!$A$2:$A$5000,"&gt;="&amp;$A163,Entries!$A$2:$A$5000,"&lt;"&amp;EDATE($A163,1),Entries!$B$2:$B$5000,Z$1))</f>
        <v/>
      </c>
      <c r="AA163" s="23">
        <f>IF(OR(AA$1="",$BM163=0),"",SUMIFS(Entries!$E$2:$E$5000,Entries!$C$2:$C$5000,"Actual",Entries!$A$2:$A$5000,"&gt;="&amp;$A163,Entries!$A$2:$A$5000,"&lt;"&amp;EDATE($A163,1),Entries!$B$2:$B$5000,AA$1))</f>
        <v/>
      </c>
      <c r="AB163" s="23">
        <f>IF(OR(AB$1="",$BM163=0),"",SUMIFS(Entries!$E$2:$E$5000,Entries!$C$2:$C$5000,"Actual",Entries!$A$2:$A$5000,"&gt;="&amp;$A163,Entries!$A$2:$A$5000,"&lt;"&amp;EDATE($A163,1),Entries!$B$2:$B$5000,AB$1))</f>
        <v/>
      </c>
      <c r="AC163" s="23">
        <f>IF(OR(AC$1="",$BM163=0),"",SUMIFS(Entries!$E$2:$E$5000,Entries!$C$2:$C$5000,"Actual",Entries!$A$2:$A$5000,"&gt;="&amp;$A163,Entries!$A$2:$A$5000,"&lt;"&amp;EDATE($A163,1),Entries!$B$2:$B$5000,AC$1))</f>
        <v/>
      </c>
      <c r="AD163" s="23">
        <f>IF(OR(AD$1="",$BM163=0),"",SUMIFS(Entries!$E$2:$E$5000,Entries!$C$2:$C$5000,"Actual",Entries!$A$2:$A$5000,"&gt;="&amp;$A163,Entries!$A$2:$A$5000,"&lt;"&amp;EDATE($A163,1),Entries!$B$2:$B$5000,AD$1))</f>
        <v/>
      </c>
      <c r="AE163" s="23">
        <f>IF(OR(AE$1="",$BM163=0),"",SUMIFS(Entries!$E$2:$E$5000,Entries!$C$2:$C$5000,"Actual",Entries!$A$2:$A$5000,"&gt;="&amp;$A163,Entries!$A$2:$A$5000,"&lt;"&amp;EDATE($A163,1),Entries!$B$2:$B$5000,AE$1))</f>
        <v/>
      </c>
      <c r="AF163" s="23">
        <f>IF(OR(AF$1="",$BM163=0),"",SUMIFS(Entries!$E$2:$E$5000,Entries!$C$2:$C$5000,"Actual",Entries!$A$2:$A$5000,"&gt;="&amp;$A163,Entries!$A$2:$A$5000,"&lt;"&amp;EDATE($A163,1),Entries!$B$2:$B$5000,AF$1))</f>
        <v/>
      </c>
      <c r="AG163" s="23">
        <f>IF(OR(AG$1="",$BM163=0),"",SUMIFS(Entries!$E$2:$E$5000,Entries!$C$2:$C$5000,"Actual",Entries!$A$2:$A$5000,"&gt;="&amp;$A163,Entries!$A$2:$A$5000,"&lt;"&amp;EDATE($A163,1),Entries!$B$2:$B$5000,AG$1))</f>
        <v/>
      </c>
      <c r="AH163" s="23">
        <f>IF(OR(AH$1="",$BM163=0),"",SUMIFS(Entries!$E$2:$E$5000,Entries!$C$2:$C$5000,"Actual",Entries!$A$2:$A$5000,"&gt;="&amp;$A163,Entries!$A$2:$A$5000,"&lt;"&amp;EDATE($A163,1),Entries!$B$2:$B$5000,AH$1))</f>
        <v/>
      </c>
      <c r="AI163" s="23">
        <f>IF(OR(AI$1="",$BM163=0),"",SUMIFS(Entries!$E$2:$E$5000,Entries!$C$2:$C$5000,"Actual",Entries!$A$2:$A$5000,"&gt;="&amp;$A163,Entries!$A$2:$A$5000,"&lt;"&amp;EDATE($A163,1),Entries!$B$2:$B$5000,AI$1))</f>
        <v/>
      </c>
      <c r="AJ163" s="23">
        <f>IF(OR(AJ$1="",$BM163=0),"",SUMIFS(Entries!$E$2:$E$5000,Entries!$C$2:$C$5000,"Actual",Entries!$A$2:$A$5000,"&gt;="&amp;$A163,Entries!$A$2:$A$5000,"&lt;"&amp;EDATE($A163,1),Entries!$B$2:$B$5000,AJ$1))</f>
        <v/>
      </c>
      <c r="AK163" s="23">
        <f>IF(OR(AK$1="",$BM163=0),"",SUMIFS(Entries!$E$2:$E$5000,Entries!$C$2:$C$5000,"Actual",Entries!$A$2:$A$5000,"&gt;="&amp;$A163,Entries!$A$2:$A$5000,"&lt;"&amp;EDATE($A163,1),Entries!$B$2:$B$5000,AK$1))</f>
        <v/>
      </c>
      <c r="AL163" s="23">
        <f>IF(OR(AL$1="",$BM163=0),"",SUMIFS(Entries!$E$2:$E$5000,Entries!$C$2:$C$5000,"Actual",Entries!$A$2:$A$5000,"&gt;="&amp;$A163,Entries!$A$2:$A$5000,"&lt;"&amp;EDATE($A163,1),Entries!$B$2:$B$5000,AL$1))</f>
        <v/>
      </c>
      <c r="AM163" s="23">
        <f>IF(OR(AM$1="",$BM163=0),"",SUMIFS(Entries!$E$2:$E$5000,Entries!$C$2:$C$5000,"Actual",Entries!$A$2:$A$5000,"&gt;="&amp;$A163,Entries!$A$2:$A$5000,"&lt;"&amp;EDATE($A163,1),Entries!$B$2:$B$5000,AM$1))</f>
        <v/>
      </c>
      <c r="AN163" s="23">
        <f>IF(OR(AN$1="",$BM163=0),"",SUMIFS(Entries!$E$2:$E$5000,Entries!$C$2:$C$5000,"Actual",Entries!$A$2:$A$5000,"&gt;="&amp;$A163,Entries!$A$2:$A$5000,"&lt;"&amp;EDATE($A163,1),Entries!$B$2:$B$5000,AN$1))</f>
        <v/>
      </c>
      <c r="AO163" s="23">
        <f>IF(OR(AO$1="",$BM163=0),"",SUMIFS(Entries!$E$2:$E$5000,Entries!$C$2:$C$5000,"Actual",Entries!$A$2:$A$5000,"&gt;="&amp;$A163,Entries!$A$2:$A$5000,"&lt;"&amp;EDATE($A163,1),Entries!$B$2:$B$5000,AO$1))</f>
        <v/>
      </c>
      <c r="AP163" s="23">
        <f>IF(OR(AP$1="",$BM163=0),"",SUMIFS(Entries!$E$2:$E$5000,Entries!$C$2:$C$5000,"Actual",Entries!$A$2:$A$5000,"&gt;="&amp;$A163,Entries!$A$2:$A$5000,"&lt;"&amp;EDATE($A163,1),Entries!$B$2:$B$5000,AP$1))</f>
        <v/>
      </c>
      <c r="AR163" s="23">
        <f>IF(OR(AR$1="",$BM163=0),"",IFERROR(LOOKUP(2,1/((Budgets!$A$2:$A$200=AR$1)*(Budgets!$B$2:$B$200&lt;EDATE($A163,1))),Budgets!$C$2:$C$200),0))</f>
        <v/>
      </c>
      <c r="AS163" s="23">
        <f>IF(OR(AS$1="",$BM163=0),"",IFERROR(LOOKUP(2,1/((Budgets!$A$2:$A$200=AS$1)*(Budgets!$B$2:$B$200&lt;EDATE($A163,1))),Budgets!$C$2:$C$200),0))</f>
        <v/>
      </c>
      <c r="AT163" s="23">
        <f>IF(OR(AT$1="",$BM163=0),"",IFERROR(LOOKUP(2,1/((Budgets!$A$2:$A$200=AT$1)*(Budgets!$B$2:$B$200&lt;EDATE($A163,1))),Budgets!$C$2:$C$200),0))</f>
        <v/>
      </c>
      <c r="AU163" s="23">
        <f>IF(OR(AU$1="",$BM163=0),"",IFERROR(LOOKUP(2,1/((Budgets!$A$2:$A$200=AU$1)*(Budgets!$B$2:$B$200&lt;EDATE($A163,1))),Budgets!$C$2:$C$200),0))</f>
        <v/>
      </c>
      <c r="AV163" s="23">
        <f>IF(OR(AV$1="",$BM163=0),"",IFERROR(LOOKUP(2,1/((Budgets!$A$2:$A$200=AV$1)*(Budgets!$B$2:$B$200&lt;EDATE($A163,1))),Budgets!$C$2:$C$200),0))</f>
        <v/>
      </c>
      <c r="AW163" s="23">
        <f>IF(OR(AW$1="",$BM163=0),"",IFERROR(LOOKUP(2,1/((Budgets!$A$2:$A$200=AW$1)*(Budgets!$B$2:$B$200&lt;EDATE($A163,1))),Budgets!$C$2:$C$200),0))</f>
        <v/>
      </c>
      <c r="AX163" s="23">
        <f>IF(OR(AX$1="",$BM163=0),"",IFERROR(LOOKUP(2,1/((Budgets!$A$2:$A$200=AX$1)*(Budgets!$B$2:$B$200&lt;EDATE($A163,1))),Budgets!$C$2:$C$200),0))</f>
        <v/>
      </c>
      <c r="AY163" s="23">
        <f>IF(OR(AY$1="",$BM163=0),"",IFERROR(LOOKUP(2,1/((Budgets!$A$2:$A$200=AY$1)*(Budgets!$B$2:$B$200&lt;EDATE($A163,1))),Budgets!$C$2:$C$200),0))</f>
        <v/>
      </c>
      <c r="AZ163" s="23">
        <f>IF(OR(AZ$1="",$BM163=0),"",IFERROR(LOOKUP(2,1/((Budgets!$A$2:$A$200=AZ$1)*(Budgets!$B$2:$B$200&lt;EDATE($A163,1))),Budgets!$C$2:$C$200),0))</f>
        <v/>
      </c>
      <c r="BA163" s="23">
        <f>IF(OR(BA$1="",$BM163=0),"",IFERROR(LOOKUP(2,1/((Budgets!$A$2:$A$200=BA$1)*(Budgets!$B$2:$B$200&lt;EDATE($A163,1))),Budgets!$C$2:$C$200),0))</f>
        <v/>
      </c>
      <c r="BB163" s="23">
        <f>IF(OR(BB$1="",$BM163=0),"",IFERROR(LOOKUP(2,1/((Budgets!$A$2:$A$200=BB$1)*(Budgets!$B$2:$B$200&lt;EDATE($A163,1))),Budgets!$C$2:$C$200),0))</f>
        <v/>
      </c>
      <c r="BC163" s="23">
        <f>IF(OR(BC$1="",$BM163=0),"",IFERROR(LOOKUP(2,1/((Budgets!$A$2:$A$200=BC$1)*(Budgets!$B$2:$B$200&lt;EDATE($A163,1))),Budgets!$C$2:$C$200),0))</f>
        <v/>
      </c>
      <c r="BD163" s="23">
        <f>IF(OR(BD$1="",$BM163=0),"",IFERROR(LOOKUP(2,1/((Budgets!$A$2:$A$200=BD$1)*(Budgets!$B$2:$B$200&lt;EDATE($A163,1))),Budgets!$C$2:$C$200),0))</f>
        <v/>
      </c>
      <c r="BE163" s="23">
        <f>IF(OR(BE$1="",$BM163=0),"",IFERROR(LOOKUP(2,1/((Budgets!$A$2:$A$200=BE$1)*(Budgets!$B$2:$B$200&lt;EDATE($A163,1))),Budgets!$C$2:$C$200),0))</f>
        <v/>
      </c>
      <c r="BF163" s="23">
        <f>IF(OR(BF$1="",$BM163=0),"",IFERROR(LOOKUP(2,1/((Budgets!$A$2:$A$200=BF$1)*(Budgets!$B$2:$B$200&lt;EDATE($A163,1))),Budgets!$C$2:$C$200),0))</f>
        <v/>
      </c>
      <c r="BG163" s="23">
        <f>IF(OR(BG$1="",$BM163=0),"",IFERROR(LOOKUP(2,1/((Budgets!$A$2:$A$200=BG$1)*(Budgets!$B$2:$B$200&lt;EDATE($A163,1))),Budgets!$C$2:$C$200),0))</f>
        <v/>
      </c>
      <c r="BH163" s="23">
        <f>IF(OR(BH$1="",$BM163=0),"",IFERROR(LOOKUP(2,1/((Budgets!$A$2:$A$200=BH$1)*(Budgets!$B$2:$B$200&lt;EDATE($A163,1))),Budgets!$C$2:$C$200),0))</f>
        <v/>
      </c>
      <c r="BI163" s="23">
        <f>IF(OR(BI$1="",$BM163=0),"",IFERROR(LOOKUP(2,1/((Budgets!$A$2:$A$200=BI$1)*(Budgets!$B$2:$B$200&lt;EDATE($A163,1))),Budgets!$C$2:$C$200),0))</f>
        <v/>
      </c>
      <c r="BJ163" s="23">
        <f>IF(OR(BJ$1="",$BM163=0),"",IFERROR(LOOKUP(2,1/((Budgets!$A$2:$A$200=BJ$1)*(Budgets!$B$2:$B$200&lt;EDATE($A163,1))),Budgets!$C$2:$C$200),0))</f>
        <v/>
      </c>
      <c r="BK163" s="23">
        <f>IF(OR(BK$1="",$BM163=0),"",IFERROR(LOOKUP(2,1/((Budgets!$A$2:$A$200=BK$1)*(Budgets!$B$2:$B$200&lt;EDATE($A163,1))),Budgets!$C$2:$C$200),0))</f>
        <v/>
      </c>
      <c r="BM163" s="21">
        <f>COUNTIFS(Entries!$A$2:$A$5000,"&gt;="&amp;$A163,Entries!$A$2:$A$5000,"&lt;"&amp;EDATE($A163,1))</f>
        <v/>
      </c>
    </row>
    <row r="164">
      <c r="A164" s="22" t="n">
        <v>44378</v>
      </c>
      <c r="B164" s="23">
        <f>IF($BM164=0,NA(),SUMIFS(Entries!$E$2:$E$5000,Entries!$C$2:$C$5000,"Income",Entries!$A$2:$A$5000,"&gt;="&amp;$A164,Entries!$A$2:$A$5000,"&lt;"&amp;EDATE($A164,1)))</f>
        <v/>
      </c>
      <c r="C164" s="23">
        <f>IF($BM164=0,"",SUMIFS(Entries!$E$2:$E$5000,Entries!$C$2:$C$5000,"Actual",Entries!$A$2:$A$5000,"&gt;="&amp;$A164,Entries!$A$2:$A$5000,"&lt;"&amp;EDATE($A164,1)))</f>
        <v/>
      </c>
      <c r="D164" s="23">
        <f>IF($BM164=0,"",SUMIFS(Entries!$E$2:$E$5000,Entries!$C$2:$C$5000,"One-off",Entries!$A$2:$A$5000,"&gt;="&amp;$A164,Entries!$A$2:$A$5000,"&lt;"&amp;EDATE($A164,1)))</f>
        <v/>
      </c>
      <c r="E164" s="23">
        <f>IF($BM164=0,NA(),C164+D164)</f>
        <v/>
      </c>
      <c r="F164" s="23">
        <f>IF($BM164=0,"",SUM(AR164:BK164))</f>
        <v/>
      </c>
      <c r="G164" s="23">
        <f>IF($BM164=0,"",B164-E164)</f>
        <v/>
      </c>
      <c r="H164" s="23">
        <f>IF($BM164=0,"",SUM($G$2:G164))</f>
        <v/>
      </c>
      <c r="I164" s="23">
        <f>IF($BM164=0,"",SUMIFS(Entries!$G$2:$G$5000,Entries!$A$2:$A$5000,"&gt;="&amp;$A164,Entries!$A$2:$A$5000,"&lt;"&amp;EDATE($A164,1)))</f>
        <v/>
      </c>
      <c r="J164" s="23">
        <f>IF($BM164=0,NA(),H164)</f>
        <v/>
      </c>
      <c r="K164" s="23">
        <f>IF($BM164=0,"",SUMIFS(Entries!$E$2:$E$5000,Entries!$C$2:$C$5000,"Income",Entries!$A$2:$A$5000,"&gt;="&amp;EDATE($A164,-11),Entries!$A$2:$A$5000,"&lt;"&amp;EDATE($A164,1))/COUNTIFS($A$2:$A$400,"&gt;="&amp;EDATE($A164,-11),$A$2:$A$400,"&lt;"&amp;EDATE($A164,1),$BM$2:$BM$400,"&gt;0"))</f>
      </c>
      <c r="L164" s="23">
        <f>IF($BM164=0,"",(SUMIFS(Entries!$E$2:$E$5000,Entries!$C$2:$C$5000,"Actual",Entries!$A$2:$A$5000,"&gt;="&amp;EDATE($A164,-11),Entries!$A$2:$A$5000,"&lt;"&amp;EDATE($A164,1))+SUMIFS(Entries!$E$2:$E$5000,Entries!$C$2:$C$5000,"One-off",Entries!$A$2:$A$5000,"&gt;="&amp;EDATE($A164,-11),Entries!$A$2:$A$5000,"&lt;"&amp;EDATE($A164,1)))/COUNTIFS($A$2:$A$400,"&gt;="&amp;EDATE($A164,-11),$A$2:$A$400,"&lt;"&amp;EDATE($A164,1),$BM$2:$BM$400,"&gt;0"))</f>
      </c>
      <c r="M164" s="24">
        <f>IF($BM164=0,NA(),IFERROR((K164-L164)/K164,0))</f>
        <v/>
      </c>
      <c r="N164" s="23">
        <f>IF($BM164=0,NA(),SUMIFS(Entries!$E$2:$E$5000,Entries!$D$2:$D$5000,"Core",Entries!$A$2:$A$5000,"&gt;="&amp;$A164,Entries!$A$2:$A$5000,"&lt;"&amp;EDATE($A164,1)))</f>
        <v/>
      </c>
      <c r="O164" s="23">
        <f>IF($BM164=0,NA(),SUMIFS(Entries!$E$2:$E$5000,Entries!$D$2:$D$5000,"Over &amp; above",Entries!$A$2:$A$5000,"&gt;="&amp;$A164,Entries!$A$2:$A$5000,"&lt;"&amp;EDATE($A164,1)))</f>
        <v/>
      </c>
      <c r="P164" s="23">
        <f>IF($BM164=0,NA(),SUMIFS(Entries!$E$2:$E$5000,Entries!$D$2:$D$5000,"One-off",Entries!$A$2:$A$5000,"&gt;="&amp;$A164,Entries!$A$2:$A$5000,"&lt;"&amp;EDATE($A164,1)))</f>
        <v/>
      </c>
      <c r="Q164" s="23">
        <f>IF($BM164=0,NA(),SUMIFS(Entries!$E$2:$E$5000,Entries!$D$2:$D$5000,"Reimbursable",Entries!$A$2:$A$5000,"&gt;="&amp;$A164,Entries!$A$2:$A$5000,"&lt;"&amp;EDATE($A164,1)))</f>
        <v/>
      </c>
      <c r="R164" s="23">
        <f>IF($BM164=0,NA(),SUMIFS(Entries!$E$2:$E$5000,Entries!$D$2:$D$5000,"Investment",Entries!$A$2:$A$5000,"&gt;="&amp;$A164,Entries!$A$2:$A$5000,"&lt;"&amp;EDATE($A164,1)))</f>
        <v/>
      </c>
      <c r="S164" s="23">
        <f>IF($BM164=0,NA(),N164+O164)</f>
        <v/>
      </c>
      <c r="T164" s="23">
        <f>IF($BM164=0,"",E164-Q164)</f>
        <v/>
      </c>
      <c r="W164" s="23">
        <f>IF(OR(W$1="",$BM164=0),"",SUMIFS(Entries!$E$2:$E$5000,Entries!$C$2:$C$5000,"Actual",Entries!$A$2:$A$5000,"&gt;="&amp;$A164,Entries!$A$2:$A$5000,"&lt;"&amp;EDATE($A164,1),Entries!$B$2:$B$5000,W$1))</f>
        <v/>
      </c>
      <c r="X164" s="23">
        <f>IF(OR(X$1="",$BM164=0),"",SUMIFS(Entries!$E$2:$E$5000,Entries!$C$2:$C$5000,"Actual",Entries!$A$2:$A$5000,"&gt;="&amp;$A164,Entries!$A$2:$A$5000,"&lt;"&amp;EDATE($A164,1),Entries!$B$2:$B$5000,X$1))</f>
        <v/>
      </c>
      <c r="Y164" s="23">
        <f>IF(OR(Y$1="",$BM164=0),"",SUMIFS(Entries!$E$2:$E$5000,Entries!$C$2:$C$5000,"Actual",Entries!$A$2:$A$5000,"&gt;="&amp;$A164,Entries!$A$2:$A$5000,"&lt;"&amp;EDATE($A164,1),Entries!$B$2:$B$5000,Y$1))</f>
        <v/>
      </c>
      <c r="Z164" s="23">
        <f>IF(OR(Z$1="",$BM164=0),"",SUMIFS(Entries!$E$2:$E$5000,Entries!$C$2:$C$5000,"Actual",Entries!$A$2:$A$5000,"&gt;="&amp;$A164,Entries!$A$2:$A$5000,"&lt;"&amp;EDATE($A164,1),Entries!$B$2:$B$5000,Z$1))</f>
        <v/>
      </c>
      <c r="AA164" s="23">
        <f>IF(OR(AA$1="",$BM164=0),"",SUMIFS(Entries!$E$2:$E$5000,Entries!$C$2:$C$5000,"Actual",Entries!$A$2:$A$5000,"&gt;="&amp;$A164,Entries!$A$2:$A$5000,"&lt;"&amp;EDATE($A164,1),Entries!$B$2:$B$5000,AA$1))</f>
        <v/>
      </c>
      <c r="AB164" s="23">
        <f>IF(OR(AB$1="",$BM164=0),"",SUMIFS(Entries!$E$2:$E$5000,Entries!$C$2:$C$5000,"Actual",Entries!$A$2:$A$5000,"&gt;="&amp;$A164,Entries!$A$2:$A$5000,"&lt;"&amp;EDATE($A164,1),Entries!$B$2:$B$5000,AB$1))</f>
        <v/>
      </c>
      <c r="AC164" s="23">
        <f>IF(OR(AC$1="",$BM164=0),"",SUMIFS(Entries!$E$2:$E$5000,Entries!$C$2:$C$5000,"Actual",Entries!$A$2:$A$5000,"&gt;="&amp;$A164,Entries!$A$2:$A$5000,"&lt;"&amp;EDATE($A164,1),Entries!$B$2:$B$5000,AC$1))</f>
        <v/>
      </c>
      <c r="AD164" s="23">
        <f>IF(OR(AD$1="",$BM164=0),"",SUMIFS(Entries!$E$2:$E$5000,Entries!$C$2:$C$5000,"Actual",Entries!$A$2:$A$5000,"&gt;="&amp;$A164,Entries!$A$2:$A$5000,"&lt;"&amp;EDATE($A164,1),Entries!$B$2:$B$5000,AD$1))</f>
        <v/>
      </c>
      <c r="AE164" s="23">
        <f>IF(OR(AE$1="",$BM164=0),"",SUMIFS(Entries!$E$2:$E$5000,Entries!$C$2:$C$5000,"Actual",Entries!$A$2:$A$5000,"&gt;="&amp;$A164,Entries!$A$2:$A$5000,"&lt;"&amp;EDATE($A164,1),Entries!$B$2:$B$5000,AE$1))</f>
        <v/>
      </c>
      <c r="AF164" s="23">
        <f>IF(OR(AF$1="",$BM164=0),"",SUMIFS(Entries!$E$2:$E$5000,Entries!$C$2:$C$5000,"Actual",Entries!$A$2:$A$5000,"&gt;="&amp;$A164,Entries!$A$2:$A$5000,"&lt;"&amp;EDATE($A164,1),Entries!$B$2:$B$5000,AF$1))</f>
        <v/>
      </c>
      <c r="AG164" s="23">
        <f>IF(OR(AG$1="",$BM164=0),"",SUMIFS(Entries!$E$2:$E$5000,Entries!$C$2:$C$5000,"Actual",Entries!$A$2:$A$5000,"&gt;="&amp;$A164,Entries!$A$2:$A$5000,"&lt;"&amp;EDATE($A164,1),Entries!$B$2:$B$5000,AG$1))</f>
        <v/>
      </c>
      <c r="AH164" s="23">
        <f>IF(OR(AH$1="",$BM164=0),"",SUMIFS(Entries!$E$2:$E$5000,Entries!$C$2:$C$5000,"Actual",Entries!$A$2:$A$5000,"&gt;="&amp;$A164,Entries!$A$2:$A$5000,"&lt;"&amp;EDATE($A164,1),Entries!$B$2:$B$5000,AH$1))</f>
        <v/>
      </c>
      <c r="AI164" s="23">
        <f>IF(OR(AI$1="",$BM164=0),"",SUMIFS(Entries!$E$2:$E$5000,Entries!$C$2:$C$5000,"Actual",Entries!$A$2:$A$5000,"&gt;="&amp;$A164,Entries!$A$2:$A$5000,"&lt;"&amp;EDATE($A164,1),Entries!$B$2:$B$5000,AI$1))</f>
        <v/>
      </c>
      <c r="AJ164" s="23">
        <f>IF(OR(AJ$1="",$BM164=0),"",SUMIFS(Entries!$E$2:$E$5000,Entries!$C$2:$C$5000,"Actual",Entries!$A$2:$A$5000,"&gt;="&amp;$A164,Entries!$A$2:$A$5000,"&lt;"&amp;EDATE($A164,1),Entries!$B$2:$B$5000,AJ$1))</f>
        <v/>
      </c>
      <c r="AK164" s="23">
        <f>IF(OR(AK$1="",$BM164=0),"",SUMIFS(Entries!$E$2:$E$5000,Entries!$C$2:$C$5000,"Actual",Entries!$A$2:$A$5000,"&gt;="&amp;$A164,Entries!$A$2:$A$5000,"&lt;"&amp;EDATE($A164,1),Entries!$B$2:$B$5000,AK$1))</f>
        <v/>
      </c>
      <c r="AL164" s="23">
        <f>IF(OR(AL$1="",$BM164=0),"",SUMIFS(Entries!$E$2:$E$5000,Entries!$C$2:$C$5000,"Actual",Entries!$A$2:$A$5000,"&gt;="&amp;$A164,Entries!$A$2:$A$5000,"&lt;"&amp;EDATE($A164,1),Entries!$B$2:$B$5000,AL$1))</f>
        <v/>
      </c>
      <c r="AM164" s="23">
        <f>IF(OR(AM$1="",$BM164=0),"",SUMIFS(Entries!$E$2:$E$5000,Entries!$C$2:$C$5000,"Actual",Entries!$A$2:$A$5000,"&gt;="&amp;$A164,Entries!$A$2:$A$5000,"&lt;"&amp;EDATE($A164,1),Entries!$B$2:$B$5000,AM$1))</f>
        <v/>
      </c>
      <c r="AN164" s="23">
        <f>IF(OR(AN$1="",$BM164=0),"",SUMIFS(Entries!$E$2:$E$5000,Entries!$C$2:$C$5000,"Actual",Entries!$A$2:$A$5000,"&gt;="&amp;$A164,Entries!$A$2:$A$5000,"&lt;"&amp;EDATE($A164,1),Entries!$B$2:$B$5000,AN$1))</f>
        <v/>
      </c>
      <c r="AO164" s="23">
        <f>IF(OR(AO$1="",$BM164=0),"",SUMIFS(Entries!$E$2:$E$5000,Entries!$C$2:$C$5000,"Actual",Entries!$A$2:$A$5000,"&gt;="&amp;$A164,Entries!$A$2:$A$5000,"&lt;"&amp;EDATE($A164,1),Entries!$B$2:$B$5000,AO$1))</f>
        <v/>
      </c>
      <c r="AP164" s="23">
        <f>IF(OR(AP$1="",$BM164=0),"",SUMIFS(Entries!$E$2:$E$5000,Entries!$C$2:$C$5000,"Actual",Entries!$A$2:$A$5000,"&gt;="&amp;$A164,Entries!$A$2:$A$5000,"&lt;"&amp;EDATE($A164,1),Entries!$B$2:$B$5000,AP$1))</f>
        <v/>
      </c>
      <c r="AR164" s="23">
        <f>IF(OR(AR$1="",$BM164=0),"",IFERROR(LOOKUP(2,1/((Budgets!$A$2:$A$200=AR$1)*(Budgets!$B$2:$B$200&lt;EDATE($A164,1))),Budgets!$C$2:$C$200),0))</f>
        <v/>
      </c>
      <c r="AS164" s="23">
        <f>IF(OR(AS$1="",$BM164=0),"",IFERROR(LOOKUP(2,1/((Budgets!$A$2:$A$200=AS$1)*(Budgets!$B$2:$B$200&lt;EDATE($A164,1))),Budgets!$C$2:$C$200),0))</f>
        <v/>
      </c>
      <c r="AT164" s="23">
        <f>IF(OR(AT$1="",$BM164=0),"",IFERROR(LOOKUP(2,1/((Budgets!$A$2:$A$200=AT$1)*(Budgets!$B$2:$B$200&lt;EDATE($A164,1))),Budgets!$C$2:$C$200),0))</f>
        <v/>
      </c>
      <c r="AU164" s="23">
        <f>IF(OR(AU$1="",$BM164=0),"",IFERROR(LOOKUP(2,1/((Budgets!$A$2:$A$200=AU$1)*(Budgets!$B$2:$B$200&lt;EDATE($A164,1))),Budgets!$C$2:$C$200),0))</f>
        <v/>
      </c>
      <c r="AV164" s="23">
        <f>IF(OR(AV$1="",$BM164=0),"",IFERROR(LOOKUP(2,1/((Budgets!$A$2:$A$200=AV$1)*(Budgets!$B$2:$B$200&lt;EDATE($A164,1))),Budgets!$C$2:$C$200),0))</f>
        <v/>
      </c>
      <c r="AW164" s="23">
        <f>IF(OR(AW$1="",$BM164=0),"",IFERROR(LOOKUP(2,1/((Budgets!$A$2:$A$200=AW$1)*(Budgets!$B$2:$B$200&lt;EDATE($A164,1))),Budgets!$C$2:$C$200),0))</f>
        <v/>
      </c>
      <c r="AX164" s="23">
        <f>IF(OR(AX$1="",$BM164=0),"",IFERROR(LOOKUP(2,1/((Budgets!$A$2:$A$200=AX$1)*(Budgets!$B$2:$B$200&lt;EDATE($A164,1))),Budgets!$C$2:$C$200),0))</f>
        <v/>
      </c>
      <c r="AY164" s="23">
        <f>IF(OR(AY$1="",$BM164=0),"",IFERROR(LOOKUP(2,1/((Budgets!$A$2:$A$200=AY$1)*(Budgets!$B$2:$B$200&lt;EDATE($A164,1))),Budgets!$C$2:$C$200),0))</f>
        <v/>
      </c>
      <c r="AZ164" s="23">
        <f>IF(OR(AZ$1="",$BM164=0),"",IFERROR(LOOKUP(2,1/((Budgets!$A$2:$A$200=AZ$1)*(Budgets!$B$2:$B$200&lt;EDATE($A164,1))),Budgets!$C$2:$C$200),0))</f>
        <v/>
      </c>
      <c r="BA164" s="23">
        <f>IF(OR(BA$1="",$BM164=0),"",IFERROR(LOOKUP(2,1/((Budgets!$A$2:$A$200=BA$1)*(Budgets!$B$2:$B$200&lt;EDATE($A164,1))),Budgets!$C$2:$C$200),0))</f>
        <v/>
      </c>
      <c r="BB164" s="23">
        <f>IF(OR(BB$1="",$BM164=0),"",IFERROR(LOOKUP(2,1/((Budgets!$A$2:$A$200=BB$1)*(Budgets!$B$2:$B$200&lt;EDATE($A164,1))),Budgets!$C$2:$C$200),0))</f>
        <v/>
      </c>
      <c r="BC164" s="23">
        <f>IF(OR(BC$1="",$BM164=0),"",IFERROR(LOOKUP(2,1/((Budgets!$A$2:$A$200=BC$1)*(Budgets!$B$2:$B$200&lt;EDATE($A164,1))),Budgets!$C$2:$C$200),0))</f>
        <v/>
      </c>
      <c r="BD164" s="23">
        <f>IF(OR(BD$1="",$BM164=0),"",IFERROR(LOOKUP(2,1/((Budgets!$A$2:$A$200=BD$1)*(Budgets!$B$2:$B$200&lt;EDATE($A164,1))),Budgets!$C$2:$C$200),0))</f>
        <v/>
      </c>
      <c r="BE164" s="23">
        <f>IF(OR(BE$1="",$BM164=0),"",IFERROR(LOOKUP(2,1/((Budgets!$A$2:$A$200=BE$1)*(Budgets!$B$2:$B$200&lt;EDATE($A164,1))),Budgets!$C$2:$C$200),0))</f>
        <v/>
      </c>
      <c r="BF164" s="23">
        <f>IF(OR(BF$1="",$BM164=0),"",IFERROR(LOOKUP(2,1/((Budgets!$A$2:$A$200=BF$1)*(Budgets!$B$2:$B$200&lt;EDATE($A164,1))),Budgets!$C$2:$C$200),0))</f>
        <v/>
      </c>
      <c r="BG164" s="23">
        <f>IF(OR(BG$1="",$BM164=0),"",IFERROR(LOOKUP(2,1/((Budgets!$A$2:$A$200=BG$1)*(Budgets!$B$2:$B$200&lt;EDATE($A164,1))),Budgets!$C$2:$C$200),0))</f>
        <v/>
      </c>
      <c r="BH164" s="23">
        <f>IF(OR(BH$1="",$BM164=0),"",IFERROR(LOOKUP(2,1/((Budgets!$A$2:$A$200=BH$1)*(Budgets!$B$2:$B$200&lt;EDATE($A164,1))),Budgets!$C$2:$C$200),0))</f>
        <v/>
      </c>
      <c r="BI164" s="23">
        <f>IF(OR(BI$1="",$BM164=0),"",IFERROR(LOOKUP(2,1/((Budgets!$A$2:$A$200=BI$1)*(Budgets!$B$2:$B$200&lt;EDATE($A164,1))),Budgets!$C$2:$C$200),0))</f>
        <v/>
      </c>
      <c r="BJ164" s="23">
        <f>IF(OR(BJ$1="",$BM164=0),"",IFERROR(LOOKUP(2,1/((Budgets!$A$2:$A$200=BJ$1)*(Budgets!$B$2:$B$200&lt;EDATE($A164,1))),Budgets!$C$2:$C$200),0))</f>
        <v/>
      </c>
      <c r="BK164" s="23">
        <f>IF(OR(BK$1="",$BM164=0),"",IFERROR(LOOKUP(2,1/((Budgets!$A$2:$A$200=BK$1)*(Budgets!$B$2:$B$200&lt;EDATE($A164,1))),Budgets!$C$2:$C$200),0))</f>
        <v/>
      </c>
      <c r="BM164" s="21">
        <f>COUNTIFS(Entries!$A$2:$A$5000,"&gt;="&amp;$A164,Entries!$A$2:$A$5000,"&lt;"&amp;EDATE($A164,1))</f>
        <v/>
      </c>
    </row>
    <row r="165">
      <c r="A165" s="22" t="n">
        <v>44409</v>
      </c>
      <c r="B165" s="23">
        <f>IF($BM165=0,NA(),SUMIFS(Entries!$E$2:$E$5000,Entries!$C$2:$C$5000,"Income",Entries!$A$2:$A$5000,"&gt;="&amp;$A165,Entries!$A$2:$A$5000,"&lt;"&amp;EDATE($A165,1)))</f>
        <v/>
      </c>
      <c r="C165" s="23">
        <f>IF($BM165=0,"",SUMIFS(Entries!$E$2:$E$5000,Entries!$C$2:$C$5000,"Actual",Entries!$A$2:$A$5000,"&gt;="&amp;$A165,Entries!$A$2:$A$5000,"&lt;"&amp;EDATE($A165,1)))</f>
        <v/>
      </c>
      <c r="D165" s="23">
        <f>IF($BM165=0,"",SUMIFS(Entries!$E$2:$E$5000,Entries!$C$2:$C$5000,"One-off",Entries!$A$2:$A$5000,"&gt;="&amp;$A165,Entries!$A$2:$A$5000,"&lt;"&amp;EDATE($A165,1)))</f>
        <v/>
      </c>
      <c r="E165" s="23">
        <f>IF($BM165=0,NA(),C165+D165)</f>
        <v/>
      </c>
      <c r="F165" s="23">
        <f>IF($BM165=0,"",SUM(AR165:BK165))</f>
        <v/>
      </c>
      <c r="G165" s="23">
        <f>IF($BM165=0,"",B165-E165)</f>
        <v/>
      </c>
      <c r="H165" s="23">
        <f>IF($BM165=0,"",SUM($G$2:G165))</f>
        <v/>
      </c>
      <c r="I165" s="23">
        <f>IF($BM165=0,"",SUMIFS(Entries!$G$2:$G$5000,Entries!$A$2:$A$5000,"&gt;="&amp;$A165,Entries!$A$2:$A$5000,"&lt;"&amp;EDATE($A165,1)))</f>
        <v/>
      </c>
      <c r="J165" s="23">
        <f>IF($BM165=0,NA(),H165)</f>
        <v/>
      </c>
      <c r="K165" s="23">
        <f>IF($BM165=0,"",SUMIFS(Entries!$E$2:$E$5000,Entries!$C$2:$C$5000,"Income",Entries!$A$2:$A$5000,"&gt;="&amp;EDATE($A165,-11),Entries!$A$2:$A$5000,"&lt;"&amp;EDATE($A165,1))/COUNTIFS($A$2:$A$400,"&gt;="&amp;EDATE($A165,-11),$A$2:$A$400,"&lt;"&amp;EDATE($A165,1),$BM$2:$BM$400,"&gt;0"))</f>
      </c>
      <c r="L165" s="23">
        <f>IF($BM165=0,"",(SUMIFS(Entries!$E$2:$E$5000,Entries!$C$2:$C$5000,"Actual",Entries!$A$2:$A$5000,"&gt;="&amp;EDATE($A165,-11),Entries!$A$2:$A$5000,"&lt;"&amp;EDATE($A165,1))+SUMIFS(Entries!$E$2:$E$5000,Entries!$C$2:$C$5000,"One-off",Entries!$A$2:$A$5000,"&gt;="&amp;EDATE($A165,-11),Entries!$A$2:$A$5000,"&lt;"&amp;EDATE($A165,1)))/COUNTIFS($A$2:$A$400,"&gt;="&amp;EDATE($A165,-11),$A$2:$A$400,"&lt;"&amp;EDATE($A165,1),$BM$2:$BM$400,"&gt;0"))</f>
      </c>
      <c r="M165" s="24">
        <f>IF($BM165=0,NA(),IFERROR((K165-L165)/K165,0))</f>
        <v/>
      </c>
      <c r="N165" s="23">
        <f>IF($BM165=0,NA(),SUMIFS(Entries!$E$2:$E$5000,Entries!$D$2:$D$5000,"Core",Entries!$A$2:$A$5000,"&gt;="&amp;$A165,Entries!$A$2:$A$5000,"&lt;"&amp;EDATE($A165,1)))</f>
        <v/>
      </c>
      <c r="O165" s="23">
        <f>IF($BM165=0,NA(),SUMIFS(Entries!$E$2:$E$5000,Entries!$D$2:$D$5000,"Over &amp; above",Entries!$A$2:$A$5000,"&gt;="&amp;$A165,Entries!$A$2:$A$5000,"&lt;"&amp;EDATE($A165,1)))</f>
        <v/>
      </c>
      <c r="P165" s="23">
        <f>IF($BM165=0,NA(),SUMIFS(Entries!$E$2:$E$5000,Entries!$D$2:$D$5000,"One-off",Entries!$A$2:$A$5000,"&gt;="&amp;$A165,Entries!$A$2:$A$5000,"&lt;"&amp;EDATE($A165,1)))</f>
        <v/>
      </c>
      <c r="Q165" s="23">
        <f>IF($BM165=0,NA(),SUMIFS(Entries!$E$2:$E$5000,Entries!$D$2:$D$5000,"Reimbursable",Entries!$A$2:$A$5000,"&gt;="&amp;$A165,Entries!$A$2:$A$5000,"&lt;"&amp;EDATE($A165,1)))</f>
        <v/>
      </c>
      <c r="R165" s="23">
        <f>IF($BM165=0,NA(),SUMIFS(Entries!$E$2:$E$5000,Entries!$D$2:$D$5000,"Investment",Entries!$A$2:$A$5000,"&gt;="&amp;$A165,Entries!$A$2:$A$5000,"&lt;"&amp;EDATE($A165,1)))</f>
        <v/>
      </c>
      <c r="S165" s="23">
        <f>IF($BM165=0,NA(),N165+O165)</f>
        <v/>
      </c>
      <c r="T165" s="23">
        <f>IF($BM165=0,"",E165-Q165)</f>
        <v/>
      </c>
      <c r="W165" s="23">
        <f>IF(OR(W$1="",$BM165=0),"",SUMIFS(Entries!$E$2:$E$5000,Entries!$C$2:$C$5000,"Actual",Entries!$A$2:$A$5000,"&gt;="&amp;$A165,Entries!$A$2:$A$5000,"&lt;"&amp;EDATE($A165,1),Entries!$B$2:$B$5000,W$1))</f>
        <v/>
      </c>
      <c r="X165" s="23">
        <f>IF(OR(X$1="",$BM165=0),"",SUMIFS(Entries!$E$2:$E$5000,Entries!$C$2:$C$5000,"Actual",Entries!$A$2:$A$5000,"&gt;="&amp;$A165,Entries!$A$2:$A$5000,"&lt;"&amp;EDATE($A165,1),Entries!$B$2:$B$5000,X$1))</f>
        <v/>
      </c>
      <c r="Y165" s="23">
        <f>IF(OR(Y$1="",$BM165=0),"",SUMIFS(Entries!$E$2:$E$5000,Entries!$C$2:$C$5000,"Actual",Entries!$A$2:$A$5000,"&gt;="&amp;$A165,Entries!$A$2:$A$5000,"&lt;"&amp;EDATE($A165,1),Entries!$B$2:$B$5000,Y$1))</f>
        <v/>
      </c>
      <c r="Z165" s="23">
        <f>IF(OR(Z$1="",$BM165=0),"",SUMIFS(Entries!$E$2:$E$5000,Entries!$C$2:$C$5000,"Actual",Entries!$A$2:$A$5000,"&gt;="&amp;$A165,Entries!$A$2:$A$5000,"&lt;"&amp;EDATE($A165,1),Entries!$B$2:$B$5000,Z$1))</f>
        <v/>
      </c>
      <c r="AA165" s="23">
        <f>IF(OR(AA$1="",$BM165=0),"",SUMIFS(Entries!$E$2:$E$5000,Entries!$C$2:$C$5000,"Actual",Entries!$A$2:$A$5000,"&gt;="&amp;$A165,Entries!$A$2:$A$5000,"&lt;"&amp;EDATE($A165,1),Entries!$B$2:$B$5000,AA$1))</f>
        <v/>
      </c>
      <c r="AB165" s="23">
        <f>IF(OR(AB$1="",$BM165=0),"",SUMIFS(Entries!$E$2:$E$5000,Entries!$C$2:$C$5000,"Actual",Entries!$A$2:$A$5000,"&gt;="&amp;$A165,Entries!$A$2:$A$5000,"&lt;"&amp;EDATE($A165,1),Entries!$B$2:$B$5000,AB$1))</f>
        <v/>
      </c>
      <c r="AC165" s="23">
        <f>IF(OR(AC$1="",$BM165=0),"",SUMIFS(Entries!$E$2:$E$5000,Entries!$C$2:$C$5000,"Actual",Entries!$A$2:$A$5000,"&gt;="&amp;$A165,Entries!$A$2:$A$5000,"&lt;"&amp;EDATE($A165,1),Entries!$B$2:$B$5000,AC$1))</f>
        <v/>
      </c>
      <c r="AD165" s="23">
        <f>IF(OR(AD$1="",$BM165=0),"",SUMIFS(Entries!$E$2:$E$5000,Entries!$C$2:$C$5000,"Actual",Entries!$A$2:$A$5000,"&gt;="&amp;$A165,Entries!$A$2:$A$5000,"&lt;"&amp;EDATE($A165,1),Entries!$B$2:$B$5000,AD$1))</f>
        <v/>
      </c>
      <c r="AE165" s="23">
        <f>IF(OR(AE$1="",$BM165=0),"",SUMIFS(Entries!$E$2:$E$5000,Entries!$C$2:$C$5000,"Actual",Entries!$A$2:$A$5000,"&gt;="&amp;$A165,Entries!$A$2:$A$5000,"&lt;"&amp;EDATE($A165,1),Entries!$B$2:$B$5000,AE$1))</f>
        <v/>
      </c>
      <c r="AF165" s="23">
        <f>IF(OR(AF$1="",$BM165=0),"",SUMIFS(Entries!$E$2:$E$5000,Entries!$C$2:$C$5000,"Actual",Entries!$A$2:$A$5000,"&gt;="&amp;$A165,Entries!$A$2:$A$5000,"&lt;"&amp;EDATE($A165,1),Entries!$B$2:$B$5000,AF$1))</f>
        <v/>
      </c>
      <c r="AG165" s="23">
        <f>IF(OR(AG$1="",$BM165=0),"",SUMIFS(Entries!$E$2:$E$5000,Entries!$C$2:$C$5000,"Actual",Entries!$A$2:$A$5000,"&gt;="&amp;$A165,Entries!$A$2:$A$5000,"&lt;"&amp;EDATE($A165,1),Entries!$B$2:$B$5000,AG$1))</f>
        <v/>
      </c>
      <c r="AH165" s="23">
        <f>IF(OR(AH$1="",$BM165=0),"",SUMIFS(Entries!$E$2:$E$5000,Entries!$C$2:$C$5000,"Actual",Entries!$A$2:$A$5000,"&gt;="&amp;$A165,Entries!$A$2:$A$5000,"&lt;"&amp;EDATE($A165,1),Entries!$B$2:$B$5000,AH$1))</f>
        <v/>
      </c>
      <c r="AI165" s="23">
        <f>IF(OR(AI$1="",$BM165=0),"",SUMIFS(Entries!$E$2:$E$5000,Entries!$C$2:$C$5000,"Actual",Entries!$A$2:$A$5000,"&gt;="&amp;$A165,Entries!$A$2:$A$5000,"&lt;"&amp;EDATE($A165,1),Entries!$B$2:$B$5000,AI$1))</f>
        <v/>
      </c>
      <c r="AJ165" s="23">
        <f>IF(OR(AJ$1="",$BM165=0),"",SUMIFS(Entries!$E$2:$E$5000,Entries!$C$2:$C$5000,"Actual",Entries!$A$2:$A$5000,"&gt;="&amp;$A165,Entries!$A$2:$A$5000,"&lt;"&amp;EDATE($A165,1),Entries!$B$2:$B$5000,AJ$1))</f>
        <v/>
      </c>
      <c r="AK165" s="23">
        <f>IF(OR(AK$1="",$BM165=0),"",SUMIFS(Entries!$E$2:$E$5000,Entries!$C$2:$C$5000,"Actual",Entries!$A$2:$A$5000,"&gt;="&amp;$A165,Entries!$A$2:$A$5000,"&lt;"&amp;EDATE($A165,1),Entries!$B$2:$B$5000,AK$1))</f>
        <v/>
      </c>
      <c r="AL165" s="23">
        <f>IF(OR(AL$1="",$BM165=0),"",SUMIFS(Entries!$E$2:$E$5000,Entries!$C$2:$C$5000,"Actual",Entries!$A$2:$A$5000,"&gt;="&amp;$A165,Entries!$A$2:$A$5000,"&lt;"&amp;EDATE($A165,1),Entries!$B$2:$B$5000,AL$1))</f>
        <v/>
      </c>
      <c r="AM165" s="23">
        <f>IF(OR(AM$1="",$BM165=0),"",SUMIFS(Entries!$E$2:$E$5000,Entries!$C$2:$C$5000,"Actual",Entries!$A$2:$A$5000,"&gt;="&amp;$A165,Entries!$A$2:$A$5000,"&lt;"&amp;EDATE($A165,1),Entries!$B$2:$B$5000,AM$1))</f>
        <v/>
      </c>
      <c r="AN165" s="23">
        <f>IF(OR(AN$1="",$BM165=0),"",SUMIFS(Entries!$E$2:$E$5000,Entries!$C$2:$C$5000,"Actual",Entries!$A$2:$A$5000,"&gt;="&amp;$A165,Entries!$A$2:$A$5000,"&lt;"&amp;EDATE($A165,1),Entries!$B$2:$B$5000,AN$1))</f>
        <v/>
      </c>
      <c r="AO165" s="23">
        <f>IF(OR(AO$1="",$BM165=0),"",SUMIFS(Entries!$E$2:$E$5000,Entries!$C$2:$C$5000,"Actual",Entries!$A$2:$A$5000,"&gt;="&amp;$A165,Entries!$A$2:$A$5000,"&lt;"&amp;EDATE($A165,1),Entries!$B$2:$B$5000,AO$1))</f>
        <v/>
      </c>
      <c r="AP165" s="23">
        <f>IF(OR(AP$1="",$BM165=0),"",SUMIFS(Entries!$E$2:$E$5000,Entries!$C$2:$C$5000,"Actual",Entries!$A$2:$A$5000,"&gt;="&amp;$A165,Entries!$A$2:$A$5000,"&lt;"&amp;EDATE($A165,1),Entries!$B$2:$B$5000,AP$1))</f>
        <v/>
      </c>
      <c r="AR165" s="23">
        <f>IF(OR(AR$1="",$BM165=0),"",IFERROR(LOOKUP(2,1/((Budgets!$A$2:$A$200=AR$1)*(Budgets!$B$2:$B$200&lt;EDATE($A165,1))),Budgets!$C$2:$C$200),0))</f>
        <v/>
      </c>
      <c r="AS165" s="23">
        <f>IF(OR(AS$1="",$BM165=0),"",IFERROR(LOOKUP(2,1/((Budgets!$A$2:$A$200=AS$1)*(Budgets!$B$2:$B$200&lt;EDATE($A165,1))),Budgets!$C$2:$C$200),0))</f>
        <v/>
      </c>
      <c r="AT165" s="23">
        <f>IF(OR(AT$1="",$BM165=0),"",IFERROR(LOOKUP(2,1/((Budgets!$A$2:$A$200=AT$1)*(Budgets!$B$2:$B$200&lt;EDATE($A165,1))),Budgets!$C$2:$C$200),0))</f>
        <v/>
      </c>
      <c r="AU165" s="23">
        <f>IF(OR(AU$1="",$BM165=0),"",IFERROR(LOOKUP(2,1/((Budgets!$A$2:$A$200=AU$1)*(Budgets!$B$2:$B$200&lt;EDATE($A165,1))),Budgets!$C$2:$C$200),0))</f>
        <v/>
      </c>
      <c r="AV165" s="23">
        <f>IF(OR(AV$1="",$BM165=0),"",IFERROR(LOOKUP(2,1/((Budgets!$A$2:$A$200=AV$1)*(Budgets!$B$2:$B$200&lt;EDATE($A165,1))),Budgets!$C$2:$C$200),0))</f>
        <v/>
      </c>
      <c r="AW165" s="23">
        <f>IF(OR(AW$1="",$BM165=0),"",IFERROR(LOOKUP(2,1/((Budgets!$A$2:$A$200=AW$1)*(Budgets!$B$2:$B$200&lt;EDATE($A165,1))),Budgets!$C$2:$C$200),0))</f>
        <v/>
      </c>
      <c r="AX165" s="23">
        <f>IF(OR(AX$1="",$BM165=0),"",IFERROR(LOOKUP(2,1/((Budgets!$A$2:$A$200=AX$1)*(Budgets!$B$2:$B$200&lt;EDATE($A165,1))),Budgets!$C$2:$C$200),0))</f>
        <v/>
      </c>
      <c r="AY165" s="23">
        <f>IF(OR(AY$1="",$BM165=0),"",IFERROR(LOOKUP(2,1/((Budgets!$A$2:$A$200=AY$1)*(Budgets!$B$2:$B$200&lt;EDATE($A165,1))),Budgets!$C$2:$C$200),0))</f>
        <v/>
      </c>
      <c r="AZ165" s="23">
        <f>IF(OR(AZ$1="",$BM165=0),"",IFERROR(LOOKUP(2,1/((Budgets!$A$2:$A$200=AZ$1)*(Budgets!$B$2:$B$200&lt;EDATE($A165,1))),Budgets!$C$2:$C$200),0))</f>
        <v/>
      </c>
      <c r="BA165" s="23">
        <f>IF(OR(BA$1="",$BM165=0),"",IFERROR(LOOKUP(2,1/((Budgets!$A$2:$A$200=BA$1)*(Budgets!$B$2:$B$200&lt;EDATE($A165,1))),Budgets!$C$2:$C$200),0))</f>
        <v/>
      </c>
      <c r="BB165" s="23">
        <f>IF(OR(BB$1="",$BM165=0),"",IFERROR(LOOKUP(2,1/((Budgets!$A$2:$A$200=BB$1)*(Budgets!$B$2:$B$200&lt;EDATE($A165,1))),Budgets!$C$2:$C$200),0))</f>
        <v/>
      </c>
      <c r="BC165" s="23">
        <f>IF(OR(BC$1="",$BM165=0),"",IFERROR(LOOKUP(2,1/((Budgets!$A$2:$A$200=BC$1)*(Budgets!$B$2:$B$200&lt;EDATE($A165,1))),Budgets!$C$2:$C$200),0))</f>
        <v/>
      </c>
      <c r="BD165" s="23">
        <f>IF(OR(BD$1="",$BM165=0),"",IFERROR(LOOKUP(2,1/((Budgets!$A$2:$A$200=BD$1)*(Budgets!$B$2:$B$200&lt;EDATE($A165,1))),Budgets!$C$2:$C$200),0))</f>
        <v/>
      </c>
      <c r="BE165" s="23">
        <f>IF(OR(BE$1="",$BM165=0),"",IFERROR(LOOKUP(2,1/((Budgets!$A$2:$A$200=BE$1)*(Budgets!$B$2:$B$200&lt;EDATE($A165,1))),Budgets!$C$2:$C$200),0))</f>
        <v/>
      </c>
      <c r="BF165" s="23">
        <f>IF(OR(BF$1="",$BM165=0),"",IFERROR(LOOKUP(2,1/((Budgets!$A$2:$A$200=BF$1)*(Budgets!$B$2:$B$200&lt;EDATE($A165,1))),Budgets!$C$2:$C$200),0))</f>
        <v/>
      </c>
      <c r="BG165" s="23">
        <f>IF(OR(BG$1="",$BM165=0),"",IFERROR(LOOKUP(2,1/((Budgets!$A$2:$A$200=BG$1)*(Budgets!$B$2:$B$200&lt;EDATE($A165,1))),Budgets!$C$2:$C$200),0))</f>
        <v/>
      </c>
      <c r="BH165" s="23">
        <f>IF(OR(BH$1="",$BM165=0),"",IFERROR(LOOKUP(2,1/((Budgets!$A$2:$A$200=BH$1)*(Budgets!$B$2:$B$200&lt;EDATE($A165,1))),Budgets!$C$2:$C$200),0))</f>
        <v/>
      </c>
      <c r="BI165" s="23">
        <f>IF(OR(BI$1="",$BM165=0),"",IFERROR(LOOKUP(2,1/((Budgets!$A$2:$A$200=BI$1)*(Budgets!$B$2:$B$200&lt;EDATE($A165,1))),Budgets!$C$2:$C$200),0))</f>
        <v/>
      </c>
      <c r="BJ165" s="23">
        <f>IF(OR(BJ$1="",$BM165=0),"",IFERROR(LOOKUP(2,1/((Budgets!$A$2:$A$200=BJ$1)*(Budgets!$B$2:$B$200&lt;EDATE($A165,1))),Budgets!$C$2:$C$200),0))</f>
        <v/>
      </c>
      <c r="BK165" s="23">
        <f>IF(OR(BK$1="",$BM165=0),"",IFERROR(LOOKUP(2,1/((Budgets!$A$2:$A$200=BK$1)*(Budgets!$B$2:$B$200&lt;EDATE($A165,1))),Budgets!$C$2:$C$200),0))</f>
        <v/>
      </c>
      <c r="BM165" s="21">
        <f>COUNTIFS(Entries!$A$2:$A$5000,"&gt;="&amp;$A165,Entries!$A$2:$A$5000,"&lt;"&amp;EDATE($A165,1))</f>
        <v/>
      </c>
    </row>
    <row r="166">
      <c r="A166" s="22" t="n">
        <v>44440</v>
      </c>
      <c r="B166" s="23">
        <f>IF($BM166=0,NA(),SUMIFS(Entries!$E$2:$E$5000,Entries!$C$2:$C$5000,"Income",Entries!$A$2:$A$5000,"&gt;="&amp;$A166,Entries!$A$2:$A$5000,"&lt;"&amp;EDATE($A166,1)))</f>
        <v/>
      </c>
      <c r="C166" s="23">
        <f>IF($BM166=0,"",SUMIFS(Entries!$E$2:$E$5000,Entries!$C$2:$C$5000,"Actual",Entries!$A$2:$A$5000,"&gt;="&amp;$A166,Entries!$A$2:$A$5000,"&lt;"&amp;EDATE($A166,1)))</f>
        <v/>
      </c>
      <c r="D166" s="23">
        <f>IF($BM166=0,"",SUMIFS(Entries!$E$2:$E$5000,Entries!$C$2:$C$5000,"One-off",Entries!$A$2:$A$5000,"&gt;="&amp;$A166,Entries!$A$2:$A$5000,"&lt;"&amp;EDATE($A166,1)))</f>
        <v/>
      </c>
      <c r="E166" s="23">
        <f>IF($BM166=0,NA(),C166+D166)</f>
        <v/>
      </c>
      <c r="F166" s="23">
        <f>IF($BM166=0,"",SUM(AR166:BK166))</f>
        <v/>
      </c>
      <c r="G166" s="23">
        <f>IF($BM166=0,"",B166-E166)</f>
        <v/>
      </c>
      <c r="H166" s="23">
        <f>IF($BM166=0,"",SUM($G$2:G166))</f>
        <v/>
      </c>
      <c r="I166" s="23">
        <f>IF($BM166=0,"",SUMIFS(Entries!$G$2:$G$5000,Entries!$A$2:$A$5000,"&gt;="&amp;$A166,Entries!$A$2:$A$5000,"&lt;"&amp;EDATE($A166,1)))</f>
        <v/>
      </c>
      <c r="J166" s="23">
        <f>IF($BM166=0,NA(),H166)</f>
        <v/>
      </c>
      <c r="K166" s="23">
        <f>IF($BM166=0,"",SUMIFS(Entries!$E$2:$E$5000,Entries!$C$2:$C$5000,"Income",Entries!$A$2:$A$5000,"&gt;="&amp;EDATE($A166,-11),Entries!$A$2:$A$5000,"&lt;"&amp;EDATE($A166,1))/COUNTIFS($A$2:$A$400,"&gt;="&amp;EDATE($A166,-11),$A$2:$A$400,"&lt;"&amp;EDATE($A166,1),$BM$2:$BM$400,"&gt;0"))</f>
      </c>
      <c r="L166" s="23">
        <f>IF($BM166=0,"",(SUMIFS(Entries!$E$2:$E$5000,Entries!$C$2:$C$5000,"Actual",Entries!$A$2:$A$5000,"&gt;="&amp;EDATE($A166,-11),Entries!$A$2:$A$5000,"&lt;"&amp;EDATE($A166,1))+SUMIFS(Entries!$E$2:$E$5000,Entries!$C$2:$C$5000,"One-off",Entries!$A$2:$A$5000,"&gt;="&amp;EDATE($A166,-11),Entries!$A$2:$A$5000,"&lt;"&amp;EDATE($A166,1)))/COUNTIFS($A$2:$A$400,"&gt;="&amp;EDATE($A166,-11),$A$2:$A$400,"&lt;"&amp;EDATE($A166,1),$BM$2:$BM$400,"&gt;0"))</f>
      </c>
      <c r="M166" s="24">
        <f>IF($BM166=0,NA(),IFERROR((K166-L166)/K166,0))</f>
        <v/>
      </c>
      <c r="N166" s="23">
        <f>IF($BM166=0,NA(),SUMIFS(Entries!$E$2:$E$5000,Entries!$D$2:$D$5000,"Core",Entries!$A$2:$A$5000,"&gt;="&amp;$A166,Entries!$A$2:$A$5000,"&lt;"&amp;EDATE($A166,1)))</f>
        <v/>
      </c>
      <c r="O166" s="23">
        <f>IF($BM166=0,NA(),SUMIFS(Entries!$E$2:$E$5000,Entries!$D$2:$D$5000,"Over &amp; above",Entries!$A$2:$A$5000,"&gt;="&amp;$A166,Entries!$A$2:$A$5000,"&lt;"&amp;EDATE($A166,1)))</f>
        <v/>
      </c>
      <c r="P166" s="23">
        <f>IF($BM166=0,NA(),SUMIFS(Entries!$E$2:$E$5000,Entries!$D$2:$D$5000,"One-off",Entries!$A$2:$A$5000,"&gt;="&amp;$A166,Entries!$A$2:$A$5000,"&lt;"&amp;EDATE($A166,1)))</f>
        <v/>
      </c>
      <c r="Q166" s="23">
        <f>IF($BM166=0,NA(),SUMIFS(Entries!$E$2:$E$5000,Entries!$D$2:$D$5000,"Reimbursable",Entries!$A$2:$A$5000,"&gt;="&amp;$A166,Entries!$A$2:$A$5000,"&lt;"&amp;EDATE($A166,1)))</f>
        <v/>
      </c>
      <c r="R166" s="23">
        <f>IF($BM166=0,NA(),SUMIFS(Entries!$E$2:$E$5000,Entries!$D$2:$D$5000,"Investment",Entries!$A$2:$A$5000,"&gt;="&amp;$A166,Entries!$A$2:$A$5000,"&lt;"&amp;EDATE($A166,1)))</f>
        <v/>
      </c>
      <c r="S166" s="23">
        <f>IF($BM166=0,NA(),N166+O166)</f>
        <v/>
      </c>
      <c r="T166" s="23">
        <f>IF($BM166=0,"",E166-Q166)</f>
        <v/>
      </c>
      <c r="W166" s="23">
        <f>IF(OR(W$1="",$BM166=0),"",SUMIFS(Entries!$E$2:$E$5000,Entries!$C$2:$C$5000,"Actual",Entries!$A$2:$A$5000,"&gt;="&amp;$A166,Entries!$A$2:$A$5000,"&lt;"&amp;EDATE($A166,1),Entries!$B$2:$B$5000,W$1))</f>
        <v/>
      </c>
      <c r="X166" s="23">
        <f>IF(OR(X$1="",$BM166=0),"",SUMIFS(Entries!$E$2:$E$5000,Entries!$C$2:$C$5000,"Actual",Entries!$A$2:$A$5000,"&gt;="&amp;$A166,Entries!$A$2:$A$5000,"&lt;"&amp;EDATE($A166,1),Entries!$B$2:$B$5000,X$1))</f>
        <v/>
      </c>
      <c r="Y166" s="23">
        <f>IF(OR(Y$1="",$BM166=0),"",SUMIFS(Entries!$E$2:$E$5000,Entries!$C$2:$C$5000,"Actual",Entries!$A$2:$A$5000,"&gt;="&amp;$A166,Entries!$A$2:$A$5000,"&lt;"&amp;EDATE($A166,1),Entries!$B$2:$B$5000,Y$1))</f>
        <v/>
      </c>
      <c r="Z166" s="23">
        <f>IF(OR(Z$1="",$BM166=0),"",SUMIFS(Entries!$E$2:$E$5000,Entries!$C$2:$C$5000,"Actual",Entries!$A$2:$A$5000,"&gt;="&amp;$A166,Entries!$A$2:$A$5000,"&lt;"&amp;EDATE($A166,1),Entries!$B$2:$B$5000,Z$1))</f>
        <v/>
      </c>
      <c r="AA166" s="23">
        <f>IF(OR(AA$1="",$BM166=0),"",SUMIFS(Entries!$E$2:$E$5000,Entries!$C$2:$C$5000,"Actual",Entries!$A$2:$A$5000,"&gt;="&amp;$A166,Entries!$A$2:$A$5000,"&lt;"&amp;EDATE($A166,1),Entries!$B$2:$B$5000,AA$1))</f>
        <v/>
      </c>
      <c r="AB166" s="23">
        <f>IF(OR(AB$1="",$BM166=0),"",SUMIFS(Entries!$E$2:$E$5000,Entries!$C$2:$C$5000,"Actual",Entries!$A$2:$A$5000,"&gt;="&amp;$A166,Entries!$A$2:$A$5000,"&lt;"&amp;EDATE($A166,1),Entries!$B$2:$B$5000,AB$1))</f>
        <v/>
      </c>
      <c r="AC166" s="23">
        <f>IF(OR(AC$1="",$BM166=0),"",SUMIFS(Entries!$E$2:$E$5000,Entries!$C$2:$C$5000,"Actual",Entries!$A$2:$A$5000,"&gt;="&amp;$A166,Entries!$A$2:$A$5000,"&lt;"&amp;EDATE($A166,1),Entries!$B$2:$B$5000,AC$1))</f>
        <v/>
      </c>
      <c r="AD166" s="23">
        <f>IF(OR(AD$1="",$BM166=0),"",SUMIFS(Entries!$E$2:$E$5000,Entries!$C$2:$C$5000,"Actual",Entries!$A$2:$A$5000,"&gt;="&amp;$A166,Entries!$A$2:$A$5000,"&lt;"&amp;EDATE($A166,1),Entries!$B$2:$B$5000,AD$1))</f>
        <v/>
      </c>
      <c r="AE166" s="23">
        <f>IF(OR(AE$1="",$BM166=0),"",SUMIFS(Entries!$E$2:$E$5000,Entries!$C$2:$C$5000,"Actual",Entries!$A$2:$A$5000,"&gt;="&amp;$A166,Entries!$A$2:$A$5000,"&lt;"&amp;EDATE($A166,1),Entries!$B$2:$B$5000,AE$1))</f>
        <v/>
      </c>
      <c r="AF166" s="23">
        <f>IF(OR(AF$1="",$BM166=0),"",SUMIFS(Entries!$E$2:$E$5000,Entries!$C$2:$C$5000,"Actual",Entries!$A$2:$A$5000,"&gt;="&amp;$A166,Entries!$A$2:$A$5000,"&lt;"&amp;EDATE($A166,1),Entries!$B$2:$B$5000,AF$1))</f>
        <v/>
      </c>
      <c r="AG166" s="23">
        <f>IF(OR(AG$1="",$BM166=0),"",SUMIFS(Entries!$E$2:$E$5000,Entries!$C$2:$C$5000,"Actual",Entries!$A$2:$A$5000,"&gt;="&amp;$A166,Entries!$A$2:$A$5000,"&lt;"&amp;EDATE($A166,1),Entries!$B$2:$B$5000,AG$1))</f>
        <v/>
      </c>
      <c r="AH166" s="23">
        <f>IF(OR(AH$1="",$BM166=0),"",SUMIFS(Entries!$E$2:$E$5000,Entries!$C$2:$C$5000,"Actual",Entries!$A$2:$A$5000,"&gt;="&amp;$A166,Entries!$A$2:$A$5000,"&lt;"&amp;EDATE($A166,1),Entries!$B$2:$B$5000,AH$1))</f>
        <v/>
      </c>
      <c r="AI166" s="23">
        <f>IF(OR(AI$1="",$BM166=0),"",SUMIFS(Entries!$E$2:$E$5000,Entries!$C$2:$C$5000,"Actual",Entries!$A$2:$A$5000,"&gt;="&amp;$A166,Entries!$A$2:$A$5000,"&lt;"&amp;EDATE($A166,1),Entries!$B$2:$B$5000,AI$1))</f>
        <v/>
      </c>
      <c r="AJ166" s="23">
        <f>IF(OR(AJ$1="",$BM166=0),"",SUMIFS(Entries!$E$2:$E$5000,Entries!$C$2:$C$5000,"Actual",Entries!$A$2:$A$5000,"&gt;="&amp;$A166,Entries!$A$2:$A$5000,"&lt;"&amp;EDATE($A166,1),Entries!$B$2:$B$5000,AJ$1))</f>
        <v/>
      </c>
      <c r="AK166" s="23">
        <f>IF(OR(AK$1="",$BM166=0),"",SUMIFS(Entries!$E$2:$E$5000,Entries!$C$2:$C$5000,"Actual",Entries!$A$2:$A$5000,"&gt;="&amp;$A166,Entries!$A$2:$A$5000,"&lt;"&amp;EDATE($A166,1),Entries!$B$2:$B$5000,AK$1))</f>
        <v/>
      </c>
      <c r="AL166" s="23">
        <f>IF(OR(AL$1="",$BM166=0),"",SUMIFS(Entries!$E$2:$E$5000,Entries!$C$2:$C$5000,"Actual",Entries!$A$2:$A$5000,"&gt;="&amp;$A166,Entries!$A$2:$A$5000,"&lt;"&amp;EDATE($A166,1),Entries!$B$2:$B$5000,AL$1))</f>
        <v/>
      </c>
      <c r="AM166" s="23">
        <f>IF(OR(AM$1="",$BM166=0),"",SUMIFS(Entries!$E$2:$E$5000,Entries!$C$2:$C$5000,"Actual",Entries!$A$2:$A$5000,"&gt;="&amp;$A166,Entries!$A$2:$A$5000,"&lt;"&amp;EDATE($A166,1),Entries!$B$2:$B$5000,AM$1))</f>
        <v/>
      </c>
      <c r="AN166" s="23">
        <f>IF(OR(AN$1="",$BM166=0),"",SUMIFS(Entries!$E$2:$E$5000,Entries!$C$2:$C$5000,"Actual",Entries!$A$2:$A$5000,"&gt;="&amp;$A166,Entries!$A$2:$A$5000,"&lt;"&amp;EDATE($A166,1),Entries!$B$2:$B$5000,AN$1))</f>
        <v/>
      </c>
      <c r="AO166" s="23">
        <f>IF(OR(AO$1="",$BM166=0),"",SUMIFS(Entries!$E$2:$E$5000,Entries!$C$2:$C$5000,"Actual",Entries!$A$2:$A$5000,"&gt;="&amp;$A166,Entries!$A$2:$A$5000,"&lt;"&amp;EDATE($A166,1),Entries!$B$2:$B$5000,AO$1))</f>
        <v/>
      </c>
      <c r="AP166" s="23">
        <f>IF(OR(AP$1="",$BM166=0),"",SUMIFS(Entries!$E$2:$E$5000,Entries!$C$2:$C$5000,"Actual",Entries!$A$2:$A$5000,"&gt;="&amp;$A166,Entries!$A$2:$A$5000,"&lt;"&amp;EDATE($A166,1),Entries!$B$2:$B$5000,AP$1))</f>
        <v/>
      </c>
      <c r="AR166" s="23">
        <f>IF(OR(AR$1="",$BM166=0),"",IFERROR(LOOKUP(2,1/((Budgets!$A$2:$A$200=AR$1)*(Budgets!$B$2:$B$200&lt;EDATE($A166,1))),Budgets!$C$2:$C$200),0))</f>
        <v/>
      </c>
      <c r="AS166" s="23">
        <f>IF(OR(AS$1="",$BM166=0),"",IFERROR(LOOKUP(2,1/((Budgets!$A$2:$A$200=AS$1)*(Budgets!$B$2:$B$200&lt;EDATE($A166,1))),Budgets!$C$2:$C$200),0))</f>
        <v/>
      </c>
      <c r="AT166" s="23">
        <f>IF(OR(AT$1="",$BM166=0),"",IFERROR(LOOKUP(2,1/((Budgets!$A$2:$A$200=AT$1)*(Budgets!$B$2:$B$200&lt;EDATE($A166,1))),Budgets!$C$2:$C$200),0))</f>
        <v/>
      </c>
      <c r="AU166" s="23">
        <f>IF(OR(AU$1="",$BM166=0),"",IFERROR(LOOKUP(2,1/((Budgets!$A$2:$A$200=AU$1)*(Budgets!$B$2:$B$200&lt;EDATE($A166,1))),Budgets!$C$2:$C$200),0))</f>
        <v/>
      </c>
      <c r="AV166" s="23">
        <f>IF(OR(AV$1="",$BM166=0),"",IFERROR(LOOKUP(2,1/((Budgets!$A$2:$A$200=AV$1)*(Budgets!$B$2:$B$200&lt;EDATE($A166,1))),Budgets!$C$2:$C$200),0))</f>
        <v/>
      </c>
      <c r="AW166" s="23">
        <f>IF(OR(AW$1="",$BM166=0),"",IFERROR(LOOKUP(2,1/((Budgets!$A$2:$A$200=AW$1)*(Budgets!$B$2:$B$200&lt;EDATE($A166,1))),Budgets!$C$2:$C$200),0))</f>
        <v/>
      </c>
      <c r="AX166" s="23">
        <f>IF(OR(AX$1="",$BM166=0),"",IFERROR(LOOKUP(2,1/((Budgets!$A$2:$A$200=AX$1)*(Budgets!$B$2:$B$200&lt;EDATE($A166,1))),Budgets!$C$2:$C$200),0))</f>
        <v/>
      </c>
      <c r="AY166" s="23">
        <f>IF(OR(AY$1="",$BM166=0),"",IFERROR(LOOKUP(2,1/((Budgets!$A$2:$A$200=AY$1)*(Budgets!$B$2:$B$200&lt;EDATE($A166,1))),Budgets!$C$2:$C$200),0))</f>
        <v/>
      </c>
      <c r="AZ166" s="23">
        <f>IF(OR(AZ$1="",$BM166=0),"",IFERROR(LOOKUP(2,1/((Budgets!$A$2:$A$200=AZ$1)*(Budgets!$B$2:$B$200&lt;EDATE($A166,1))),Budgets!$C$2:$C$200),0))</f>
        <v/>
      </c>
      <c r="BA166" s="23">
        <f>IF(OR(BA$1="",$BM166=0),"",IFERROR(LOOKUP(2,1/((Budgets!$A$2:$A$200=BA$1)*(Budgets!$B$2:$B$200&lt;EDATE($A166,1))),Budgets!$C$2:$C$200),0))</f>
        <v/>
      </c>
      <c r="BB166" s="23">
        <f>IF(OR(BB$1="",$BM166=0),"",IFERROR(LOOKUP(2,1/((Budgets!$A$2:$A$200=BB$1)*(Budgets!$B$2:$B$200&lt;EDATE($A166,1))),Budgets!$C$2:$C$200),0))</f>
        <v/>
      </c>
      <c r="BC166" s="23">
        <f>IF(OR(BC$1="",$BM166=0),"",IFERROR(LOOKUP(2,1/((Budgets!$A$2:$A$200=BC$1)*(Budgets!$B$2:$B$200&lt;EDATE($A166,1))),Budgets!$C$2:$C$200),0))</f>
        <v/>
      </c>
      <c r="BD166" s="23">
        <f>IF(OR(BD$1="",$BM166=0),"",IFERROR(LOOKUP(2,1/((Budgets!$A$2:$A$200=BD$1)*(Budgets!$B$2:$B$200&lt;EDATE($A166,1))),Budgets!$C$2:$C$200),0))</f>
        <v/>
      </c>
      <c r="BE166" s="23">
        <f>IF(OR(BE$1="",$BM166=0),"",IFERROR(LOOKUP(2,1/((Budgets!$A$2:$A$200=BE$1)*(Budgets!$B$2:$B$200&lt;EDATE($A166,1))),Budgets!$C$2:$C$200),0))</f>
        <v/>
      </c>
      <c r="BF166" s="23">
        <f>IF(OR(BF$1="",$BM166=0),"",IFERROR(LOOKUP(2,1/((Budgets!$A$2:$A$200=BF$1)*(Budgets!$B$2:$B$200&lt;EDATE($A166,1))),Budgets!$C$2:$C$200),0))</f>
        <v/>
      </c>
      <c r="BG166" s="23">
        <f>IF(OR(BG$1="",$BM166=0),"",IFERROR(LOOKUP(2,1/((Budgets!$A$2:$A$200=BG$1)*(Budgets!$B$2:$B$200&lt;EDATE($A166,1))),Budgets!$C$2:$C$200),0))</f>
        <v/>
      </c>
      <c r="BH166" s="23">
        <f>IF(OR(BH$1="",$BM166=0),"",IFERROR(LOOKUP(2,1/((Budgets!$A$2:$A$200=BH$1)*(Budgets!$B$2:$B$200&lt;EDATE($A166,1))),Budgets!$C$2:$C$200),0))</f>
        <v/>
      </c>
      <c r="BI166" s="23">
        <f>IF(OR(BI$1="",$BM166=0),"",IFERROR(LOOKUP(2,1/((Budgets!$A$2:$A$200=BI$1)*(Budgets!$B$2:$B$200&lt;EDATE($A166,1))),Budgets!$C$2:$C$200),0))</f>
        <v/>
      </c>
      <c r="BJ166" s="23">
        <f>IF(OR(BJ$1="",$BM166=0),"",IFERROR(LOOKUP(2,1/((Budgets!$A$2:$A$200=BJ$1)*(Budgets!$B$2:$B$200&lt;EDATE($A166,1))),Budgets!$C$2:$C$200),0))</f>
        <v/>
      </c>
      <c r="BK166" s="23">
        <f>IF(OR(BK$1="",$BM166=0),"",IFERROR(LOOKUP(2,1/((Budgets!$A$2:$A$200=BK$1)*(Budgets!$B$2:$B$200&lt;EDATE($A166,1))),Budgets!$C$2:$C$200),0))</f>
        <v/>
      </c>
      <c r="BM166" s="21">
        <f>COUNTIFS(Entries!$A$2:$A$5000,"&gt;="&amp;$A166,Entries!$A$2:$A$5000,"&lt;"&amp;EDATE($A166,1))</f>
        <v/>
      </c>
    </row>
    <row r="167">
      <c r="A167" s="22" t="n">
        <v>44470</v>
      </c>
      <c r="B167" s="23">
        <f>IF($BM167=0,NA(),SUMIFS(Entries!$E$2:$E$5000,Entries!$C$2:$C$5000,"Income",Entries!$A$2:$A$5000,"&gt;="&amp;$A167,Entries!$A$2:$A$5000,"&lt;"&amp;EDATE($A167,1)))</f>
        <v/>
      </c>
      <c r="C167" s="23">
        <f>IF($BM167=0,"",SUMIFS(Entries!$E$2:$E$5000,Entries!$C$2:$C$5000,"Actual",Entries!$A$2:$A$5000,"&gt;="&amp;$A167,Entries!$A$2:$A$5000,"&lt;"&amp;EDATE($A167,1)))</f>
        <v/>
      </c>
      <c r="D167" s="23">
        <f>IF($BM167=0,"",SUMIFS(Entries!$E$2:$E$5000,Entries!$C$2:$C$5000,"One-off",Entries!$A$2:$A$5000,"&gt;="&amp;$A167,Entries!$A$2:$A$5000,"&lt;"&amp;EDATE($A167,1)))</f>
        <v/>
      </c>
      <c r="E167" s="23">
        <f>IF($BM167=0,NA(),C167+D167)</f>
        <v/>
      </c>
      <c r="F167" s="23">
        <f>IF($BM167=0,"",SUM(AR167:BK167))</f>
        <v/>
      </c>
      <c r="G167" s="23">
        <f>IF($BM167=0,"",B167-E167)</f>
        <v/>
      </c>
      <c r="H167" s="23">
        <f>IF($BM167=0,"",SUM($G$2:G167))</f>
        <v/>
      </c>
      <c r="I167" s="23">
        <f>IF($BM167=0,"",SUMIFS(Entries!$G$2:$G$5000,Entries!$A$2:$A$5000,"&gt;="&amp;$A167,Entries!$A$2:$A$5000,"&lt;"&amp;EDATE($A167,1)))</f>
        <v/>
      </c>
      <c r="J167" s="23">
        <f>IF($BM167=0,NA(),H167)</f>
        <v/>
      </c>
      <c r="K167" s="23">
        <f>IF($BM167=0,"",SUMIFS(Entries!$E$2:$E$5000,Entries!$C$2:$C$5000,"Income",Entries!$A$2:$A$5000,"&gt;="&amp;EDATE($A167,-11),Entries!$A$2:$A$5000,"&lt;"&amp;EDATE($A167,1))/COUNTIFS($A$2:$A$400,"&gt;="&amp;EDATE($A167,-11),$A$2:$A$400,"&lt;"&amp;EDATE($A167,1),$BM$2:$BM$400,"&gt;0"))</f>
      </c>
      <c r="L167" s="23">
        <f>IF($BM167=0,"",(SUMIFS(Entries!$E$2:$E$5000,Entries!$C$2:$C$5000,"Actual",Entries!$A$2:$A$5000,"&gt;="&amp;EDATE($A167,-11),Entries!$A$2:$A$5000,"&lt;"&amp;EDATE($A167,1))+SUMIFS(Entries!$E$2:$E$5000,Entries!$C$2:$C$5000,"One-off",Entries!$A$2:$A$5000,"&gt;="&amp;EDATE($A167,-11),Entries!$A$2:$A$5000,"&lt;"&amp;EDATE($A167,1)))/COUNTIFS($A$2:$A$400,"&gt;="&amp;EDATE($A167,-11),$A$2:$A$400,"&lt;"&amp;EDATE($A167,1),$BM$2:$BM$400,"&gt;0"))</f>
      </c>
      <c r="M167" s="24">
        <f>IF($BM167=0,NA(),IFERROR((K167-L167)/K167,0))</f>
        <v/>
      </c>
      <c r="N167" s="23">
        <f>IF($BM167=0,NA(),SUMIFS(Entries!$E$2:$E$5000,Entries!$D$2:$D$5000,"Core",Entries!$A$2:$A$5000,"&gt;="&amp;$A167,Entries!$A$2:$A$5000,"&lt;"&amp;EDATE($A167,1)))</f>
        <v/>
      </c>
      <c r="O167" s="23">
        <f>IF($BM167=0,NA(),SUMIFS(Entries!$E$2:$E$5000,Entries!$D$2:$D$5000,"Over &amp; above",Entries!$A$2:$A$5000,"&gt;="&amp;$A167,Entries!$A$2:$A$5000,"&lt;"&amp;EDATE($A167,1)))</f>
        <v/>
      </c>
      <c r="P167" s="23">
        <f>IF($BM167=0,NA(),SUMIFS(Entries!$E$2:$E$5000,Entries!$D$2:$D$5000,"One-off",Entries!$A$2:$A$5000,"&gt;="&amp;$A167,Entries!$A$2:$A$5000,"&lt;"&amp;EDATE($A167,1)))</f>
        <v/>
      </c>
      <c r="Q167" s="23">
        <f>IF($BM167=0,NA(),SUMIFS(Entries!$E$2:$E$5000,Entries!$D$2:$D$5000,"Reimbursable",Entries!$A$2:$A$5000,"&gt;="&amp;$A167,Entries!$A$2:$A$5000,"&lt;"&amp;EDATE($A167,1)))</f>
        <v/>
      </c>
      <c r="R167" s="23">
        <f>IF($BM167=0,NA(),SUMIFS(Entries!$E$2:$E$5000,Entries!$D$2:$D$5000,"Investment",Entries!$A$2:$A$5000,"&gt;="&amp;$A167,Entries!$A$2:$A$5000,"&lt;"&amp;EDATE($A167,1)))</f>
        <v/>
      </c>
      <c r="S167" s="23">
        <f>IF($BM167=0,NA(),N167+O167)</f>
        <v/>
      </c>
      <c r="T167" s="23">
        <f>IF($BM167=0,"",E167-Q167)</f>
        <v/>
      </c>
      <c r="W167" s="23">
        <f>IF(OR(W$1="",$BM167=0),"",SUMIFS(Entries!$E$2:$E$5000,Entries!$C$2:$C$5000,"Actual",Entries!$A$2:$A$5000,"&gt;="&amp;$A167,Entries!$A$2:$A$5000,"&lt;"&amp;EDATE($A167,1),Entries!$B$2:$B$5000,W$1))</f>
        <v/>
      </c>
      <c r="X167" s="23">
        <f>IF(OR(X$1="",$BM167=0),"",SUMIFS(Entries!$E$2:$E$5000,Entries!$C$2:$C$5000,"Actual",Entries!$A$2:$A$5000,"&gt;="&amp;$A167,Entries!$A$2:$A$5000,"&lt;"&amp;EDATE($A167,1),Entries!$B$2:$B$5000,X$1))</f>
        <v/>
      </c>
      <c r="Y167" s="23">
        <f>IF(OR(Y$1="",$BM167=0),"",SUMIFS(Entries!$E$2:$E$5000,Entries!$C$2:$C$5000,"Actual",Entries!$A$2:$A$5000,"&gt;="&amp;$A167,Entries!$A$2:$A$5000,"&lt;"&amp;EDATE($A167,1),Entries!$B$2:$B$5000,Y$1))</f>
        <v/>
      </c>
      <c r="Z167" s="23">
        <f>IF(OR(Z$1="",$BM167=0),"",SUMIFS(Entries!$E$2:$E$5000,Entries!$C$2:$C$5000,"Actual",Entries!$A$2:$A$5000,"&gt;="&amp;$A167,Entries!$A$2:$A$5000,"&lt;"&amp;EDATE($A167,1),Entries!$B$2:$B$5000,Z$1))</f>
        <v/>
      </c>
      <c r="AA167" s="23">
        <f>IF(OR(AA$1="",$BM167=0),"",SUMIFS(Entries!$E$2:$E$5000,Entries!$C$2:$C$5000,"Actual",Entries!$A$2:$A$5000,"&gt;="&amp;$A167,Entries!$A$2:$A$5000,"&lt;"&amp;EDATE($A167,1),Entries!$B$2:$B$5000,AA$1))</f>
        <v/>
      </c>
      <c r="AB167" s="23">
        <f>IF(OR(AB$1="",$BM167=0),"",SUMIFS(Entries!$E$2:$E$5000,Entries!$C$2:$C$5000,"Actual",Entries!$A$2:$A$5000,"&gt;="&amp;$A167,Entries!$A$2:$A$5000,"&lt;"&amp;EDATE($A167,1),Entries!$B$2:$B$5000,AB$1))</f>
        <v/>
      </c>
      <c r="AC167" s="23">
        <f>IF(OR(AC$1="",$BM167=0),"",SUMIFS(Entries!$E$2:$E$5000,Entries!$C$2:$C$5000,"Actual",Entries!$A$2:$A$5000,"&gt;="&amp;$A167,Entries!$A$2:$A$5000,"&lt;"&amp;EDATE($A167,1),Entries!$B$2:$B$5000,AC$1))</f>
        <v/>
      </c>
      <c r="AD167" s="23">
        <f>IF(OR(AD$1="",$BM167=0),"",SUMIFS(Entries!$E$2:$E$5000,Entries!$C$2:$C$5000,"Actual",Entries!$A$2:$A$5000,"&gt;="&amp;$A167,Entries!$A$2:$A$5000,"&lt;"&amp;EDATE($A167,1),Entries!$B$2:$B$5000,AD$1))</f>
        <v/>
      </c>
      <c r="AE167" s="23">
        <f>IF(OR(AE$1="",$BM167=0),"",SUMIFS(Entries!$E$2:$E$5000,Entries!$C$2:$C$5000,"Actual",Entries!$A$2:$A$5000,"&gt;="&amp;$A167,Entries!$A$2:$A$5000,"&lt;"&amp;EDATE($A167,1),Entries!$B$2:$B$5000,AE$1))</f>
        <v/>
      </c>
      <c r="AF167" s="23">
        <f>IF(OR(AF$1="",$BM167=0),"",SUMIFS(Entries!$E$2:$E$5000,Entries!$C$2:$C$5000,"Actual",Entries!$A$2:$A$5000,"&gt;="&amp;$A167,Entries!$A$2:$A$5000,"&lt;"&amp;EDATE($A167,1),Entries!$B$2:$B$5000,AF$1))</f>
        <v/>
      </c>
      <c r="AG167" s="23">
        <f>IF(OR(AG$1="",$BM167=0),"",SUMIFS(Entries!$E$2:$E$5000,Entries!$C$2:$C$5000,"Actual",Entries!$A$2:$A$5000,"&gt;="&amp;$A167,Entries!$A$2:$A$5000,"&lt;"&amp;EDATE($A167,1),Entries!$B$2:$B$5000,AG$1))</f>
        <v/>
      </c>
      <c r="AH167" s="23">
        <f>IF(OR(AH$1="",$BM167=0),"",SUMIFS(Entries!$E$2:$E$5000,Entries!$C$2:$C$5000,"Actual",Entries!$A$2:$A$5000,"&gt;="&amp;$A167,Entries!$A$2:$A$5000,"&lt;"&amp;EDATE($A167,1),Entries!$B$2:$B$5000,AH$1))</f>
        <v/>
      </c>
      <c r="AI167" s="23">
        <f>IF(OR(AI$1="",$BM167=0),"",SUMIFS(Entries!$E$2:$E$5000,Entries!$C$2:$C$5000,"Actual",Entries!$A$2:$A$5000,"&gt;="&amp;$A167,Entries!$A$2:$A$5000,"&lt;"&amp;EDATE($A167,1),Entries!$B$2:$B$5000,AI$1))</f>
        <v/>
      </c>
      <c r="AJ167" s="23">
        <f>IF(OR(AJ$1="",$BM167=0),"",SUMIFS(Entries!$E$2:$E$5000,Entries!$C$2:$C$5000,"Actual",Entries!$A$2:$A$5000,"&gt;="&amp;$A167,Entries!$A$2:$A$5000,"&lt;"&amp;EDATE($A167,1),Entries!$B$2:$B$5000,AJ$1))</f>
        <v/>
      </c>
      <c r="AK167" s="23">
        <f>IF(OR(AK$1="",$BM167=0),"",SUMIFS(Entries!$E$2:$E$5000,Entries!$C$2:$C$5000,"Actual",Entries!$A$2:$A$5000,"&gt;="&amp;$A167,Entries!$A$2:$A$5000,"&lt;"&amp;EDATE($A167,1),Entries!$B$2:$B$5000,AK$1))</f>
        <v/>
      </c>
      <c r="AL167" s="23">
        <f>IF(OR(AL$1="",$BM167=0),"",SUMIFS(Entries!$E$2:$E$5000,Entries!$C$2:$C$5000,"Actual",Entries!$A$2:$A$5000,"&gt;="&amp;$A167,Entries!$A$2:$A$5000,"&lt;"&amp;EDATE($A167,1),Entries!$B$2:$B$5000,AL$1))</f>
        <v/>
      </c>
      <c r="AM167" s="23">
        <f>IF(OR(AM$1="",$BM167=0),"",SUMIFS(Entries!$E$2:$E$5000,Entries!$C$2:$C$5000,"Actual",Entries!$A$2:$A$5000,"&gt;="&amp;$A167,Entries!$A$2:$A$5000,"&lt;"&amp;EDATE($A167,1),Entries!$B$2:$B$5000,AM$1))</f>
        <v/>
      </c>
      <c r="AN167" s="23">
        <f>IF(OR(AN$1="",$BM167=0),"",SUMIFS(Entries!$E$2:$E$5000,Entries!$C$2:$C$5000,"Actual",Entries!$A$2:$A$5000,"&gt;="&amp;$A167,Entries!$A$2:$A$5000,"&lt;"&amp;EDATE($A167,1),Entries!$B$2:$B$5000,AN$1))</f>
        <v/>
      </c>
      <c r="AO167" s="23">
        <f>IF(OR(AO$1="",$BM167=0),"",SUMIFS(Entries!$E$2:$E$5000,Entries!$C$2:$C$5000,"Actual",Entries!$A$2:$A$5000,"&gt;="&amp;$A167,Entries!$A$2:$A$5000,"&lt;"&amp;EDATE($A167,1),Entries!$B$2:$B$5000,AO$1))</f>
        <v/>
      </c>
      <c r="AP167" s="23">
        <f>IF(OR(AP$1="",$BM167=0),"",SUMIFS(Entries!$E$2:$E$5000,Entries!$C$2:$C$5000,"Actual",Entries!$A$2:$A$5000,"&gt;="&amp;$A167,Entries!$A$2:$A$5000,"&lt;"&amp;EDATE($A167,1),Entries!$B$2:$B$5000,AP$1))</f>
        <v/>
      </c>
      <c r="AR167" s="23">
        <f>IF(OR(AR$1="",$BM167=0),"",IFERROR(LOOKUP(2,1/((Budgets!$A$2:$A$200=AR$1)*(Budgets!$B$2:$B$200&lt;EDATE($A167,1))),Budgets!$C$2:$C$200),0))</f>
        <v/>
      </c>
      <c r="AS167" s="23">
        <f>IF(OR(AS$1="",$BM167=0),"",IFERROR(LOOKUP(2,1/((Budgets!$A$2:$A$200=AS$1)*(Budgets!$B$2:$B$200&lt;EDATE($A167,1))),Budgets!$C$2:$C$200),0))</f>
        <v/>
      </c>
      <c r="AT167" s="23">
        <f>IF(OR(AT$1="",$BM167=0),"",IFERROR(LOOKUP(2,1/((Budgets!$A$2:$A$200=AT$1)*(Budgets!$B$2:$B$200&lt;EDATE($A167,1))),Budgets!$C$2:$C$200),0))</f>
        <v/>
      </c>
      <c r="AU167" s="23">
        <f>IF(OR(AU$1="",$BM167=0),"",IFERROR(LOOKUP(2,1/((Budgets!$A$2:$A$200=AU$1)*(Budgets!$B$2:$B$200&lt;EDATE($A167,1))),Budgets!$C$2:$C$200),0))</f>
        <v/>
      </c>
      <c r="AV167" s="23">
        <f>IF(OR(AV$1="",$BM167=0),"",IFERROR(LOOKUP(2,1/((Budgets!$A$2:$A$200=AV$1)*(Budgets!$B$2:$B$200&lt;EDATE($A167,1))),Budgets!$C$2:$C$200),0))</f>
        <v/>
      </c>
      <c r="AW167" s="23">
        <f>IF(OR(AW$1="",$BM167=0),"",IFERROR(LOOKUP(2,1/((Budgets!$A$2:$A$200=AW$1)*(Budgets!$B$2:$B$200&lt;EDATE($A167,1))),Budgets!$C$2:$C$200),0))</f>
        <v/>
      </c>
      <c r="AX167" s="23">
        <f>IF(OR(AX$1="",$BM167=0),"",IFERROR(LOOKUP(2,1/((Budgets!$A$2:$A$200=AX$1)*(Budgets!$B$2:$B$200&lt;EDATE($A167,1))),Budgets!$C$2:$C$200),0))</f>
        <v/>
      </c>
      <c r="AY167" s="23">
        <f>IF(OR(AY$1="",$BM167=0),"",IFERROR(LOOKUP(2,1/((Budgets!$A$2:$A$200=AY$1)*(Budgets!$B$2:$B$200&lt;EDATE($A167,1))),Budgets!$C$2:$C$200),0))</f>
        <v/>
      </c>
      <c r="AZ167" s="23">
        <f>IF(OR(AZ$1="",$BM167=0),"",IFERROR(LOOKUP(2,1/((Budgets!$A$2:$A$200=AZ$1)*(Budgets!$B$2:$B$200&lt;EDATE($A167,1))),Budgets!$C$2:$C$200),0))</f>
        <v/>
      </c>
      <c r="BA167" s="23">
        <f>IF(OR(BA$1="",$BM167=0),"",IFERROR(LOOKUP(2,1/((Budgets!$A$2:$A$200=BA$1)*(Budgets!$B$2:$B$200&lt;EDATE($A167,1))),Budgets!$C$2:$C$200),0))</f>
        <v/>
      </c>
      <c r="BB167" s="23">
        <f>IF(OR(BB$1="",$BM167=0),"",IFERROR(LOOKUP(2,1/((Budgets!$A$2:$A$200=BB$1)*(Budgets!$B$2:$B$200&lt;EDATE($A167,1))),Budgets!$C$2:$C$200),0))</f>
        <v/>
      </c>
      <c r="BC167" s="23">
        <f>IF(OR(BC$1="",$BM167=0),"",IFERROR(LOOKUP(2,1/((Budgets!$A$2:$A$200=BC$1)*(Budgets!$B$2:$B$200&lt;EDATE($A167,1))),Budgets!$C$2:$C$200),0))</f>
        <v/>
      </c>
      <c r="BD167" s="23">
        <f>IF(OR(BD$1="",$BM167=0),"",IFERROR(LOOKUP(2,1/((Budgets!$A$2:$A$200=BD$1)*(Budgets!$B$2:$B$200&lt;EDATE($A167,1))),Budgets!$C$2:$C$200),0))</f>
        <v/>
      </c>
      <c r="BE167" s="23">
        <f>IF(OR(BE$1="",$BM167=0),"",IFERROR(LOOKUP(2,1/((Budgets!$A$2:$A$200=BE$1)*(Budgets!$B$2:$B$200&lt;EDATE($A167,1))),Budgets!$C$2:$C$200),0))</f>
        <v/>
      </c>
      <c r="BF167" s="23">
        <f>IF(OR(BF$1="",$BM167=0),"",IFERROR(LOOKUP(2,1/((Budgets!$A$2:$A$200=BF$1)*(Budgets!$B$2:$B$200&lt;EDATE($A167,1))),Budgets!$C$2:$C$200),0))</f>
        <v/>
      </c>
      <c r="BG167" s="23">
        <f>IF(OR(BG$1="",$BM167=0),"",IFERROR(LOOKUP(2,1/((Budgets!$A$2:$A$200=BG$1)*(Budgets!$B$2:$B$200&lt;EDATE($A167,1))),Budgets!$C$2:$C$200),0))</f>
        <v/>
      </c>
      <c r="BH167" s="23">
        <f>IF(OR(BH$1="",$BM167=0),"",IFERROR(LOOKUP(2,1/((Budgets!$A$2:$A$200=BH$1)*(Budgets!$B$2:$B$200&lt;EDATE($A167,1))),Budgets!$C$2:$C$200),0))</f>
        <v/>
      </c>
      <c r="BI167" s="23">
        <f>IF(OR(BI$1="",$BM167=0),"",IFERROR(LOOKUP(2,1/((Budgets!$A$2:$A$200=BI$1)*(Budgets!$B$2:$B$200&lt;EDATE($A167,1))),Budgets!$C$2:$C$200),0))</f>
        <v/>
      </c>
      <c r="BJ167" s="23">
        <f>IF(OR(BJ$1="",$BM167=0),"",IFERROR(LOOKUP(2,1/((Budgets!$A$2:$A$200=BJ$1)*(Budgets!$B$2:$B$200&lt;EDATE($A167,1))),Budgets!$C$2:$C$200),0))</f>
        <v/>
      </c>
      <c r="BK167" s="23">
        <f>IF(OR(BK$1="",$BM167=0),"",IFERROR(LOOKUP(2,1/((Budgets!$A$2:$A$200=BK$1)*(Budgets!$B$2:$B$200&lt;EDATE($A167,1))),Budgets!$C$2:$C$200),0))</f>
        <v/>
      </c>
      <c r="BM167" s="21">
        <f>COUNTIFS(Entries!$A$2:$A$5000,"&gt;="&amp;$A167,Entries!$A$2:$A$5000,"&lt;"&amp;EDATE($A167,1))</f>
        <v/>
      </c>
    </row>
    <row r="168">
      <c r="A168" s="22" t="n">
        <v>44501</v>
      </c>
      <c r="B168" s="23">
        <f>IF($BM168=0,NA(),SUMIFS(Entries!$E$2:$E$5000,Entries!$C$2:$C$5000,"Income",Entries!$A$2:$A$5000,"&gt;="&amp;$A168,Entries!$A$2:$A$5000,"&lt;"&amp;EDATE($A168,1)))</f>
        <v/>
      </c>
      <c r="C168" s="23">
        <f>IF($BM168=0,"",SUMIFS(Entries!$E$2:$E$5000,Entries!$C$2:$C$5000,"Actual",Entries!$A$2:$A$5000,"&gt;="&amp;$A168,Entries!$A$2:$A$5000,"&lt;"&amp;EDATE($A168,1)))</f>
        <v/>
      </c>
      <c r="D168" s="23">
        <f>IF($BM168=0,"",SUMIFS(Entries!$E$2:$E$5000,Entries!$C$2:$C$5000,"One-off",Entries!$A$2:$A$5000,"&gt;="&amp;$A168,Entries!$A$2:$A$5000,"&lt;"&amp;EDATE($A168,1)))</f>
        <v/>
      </c>
      <c r="E168" s="23">
        <f>IF($BM168=0,NA(),C168+D168)</f>
        <v/>
      </c>
      <c r="F168" s="23">
        <f>IF($BM168=0,"",SUM(AR168:BK168))</f>
        <v/>
      </c>
      <c r="G168" s="23">
        <f>IF($BM168=0,"",B168-E168)</f>
        <v/>
      </c>
      <c r="H168" s="23">
        <f>IF($BM168=0,"",SUM($G$2:G168))</f>
        <v/>
      </c>
      <c r="I168" s="23">
        <f>IF($BM168=0,"",SUMIFS(Entries!$G$2:$G$5000,Entries!$A$2:$A$5000,"&gt;="&amp;$A168,Entries!$A$2:$A$5000,"&lt;"&amp;EDATE($A168,1)))</f>
        <v/>
      </c>
      <c r="J168" s="23">
        <f>IF($BM168=0,NA(),H168)</f>
        <v/>
      </c>
      <c r="K168" s="23">
        <f>IF($BM168=0,"",SUMIFS(Entries!$E$2:$E$5000,Entries!$C$2:$C$5000,"Income",Entries!$A$2:$A$5000,"&gt;="&amp;EDATE($A168,-11),Entries!$A$2:$A$5000,"&lt;"&amp;EDATE($A168,1))/COUNTIFS($A$2:$A$400,"&gt;="&amp;EDATE($A168,-11),$A$2:$A$400,"&lt;"&amp;EDATE($A168,1),$BM$2:$BM$400,"&gt;0"))</f>
      </c>
      <c r="L168" s="23">
        <f>IF($BM168=0,"",(SUMIFS(Entries!$E$2:$E$5000,Entries!$C$2:$C$5000,"Actual",Entries!$A$2:$A$5000,"&gt;="&amp;EDATE($A168,-11),Entries!$A$2:$A$5000,"&lt;"&amp;EDATE($A168,1))+SUMIFS(Entries!$E$2:$E$5000,Entries!$C$2:$C$5000,"One-off",Entries!$A$2:$A$5000,"&gt;="&amp;EDATE($A168,-11),Entries!$A$2:$A$5000,"&lt;"&amp;EDATE($A168,1)))/COUNTIFS($A$2:$A$400,"&gt;="&amp;EDATE($A168,-11),$A$2:$A$400,"&lt;"&amp;EDATE($A168,1),$BM$2:$BM$400,"&gt;0"))</f>
      </c>
      <c r="M168" s="24">
        <f>IF($BM168=0,NA(),IFERROR((K168-L168)/K168,0))</f>
        <v/>
      </c>
      <c r="N168" s="23">
        <f>IF($BM168=0,NA(),SUMIFS(Entries!$E$2:$E$5000,Entries!$D$2:$D$5000,"Core",Entries!$A$2:$A$5000,"&gt;="&amp;$A168,Entries!$A$2:$A$5000,"&lt;"&amp;EDATE($A168,1)))</f>
        <v/>
      </c>
      <c r="O168" s="23">
        <f>IF($BM168=0,NA(),SUMIFS(Entries!$E$2:$E$5000,Entries!$D$2:$D$5000,"Over &amp; above",Entries!$A$2:$A$5000,"&gt;="&amp;$A168,Entries!$A$2:$A$5000,"&lt;"&amp;EDATE($A168,1)))</f>
        <v/>
      </c>
      <c r="P168" s="23">
        <f>IF($BM168=0,NA(),SUMIFS(Entries!$E$2:$E$5000,Entries!$D$2:$D$5000,"One-off",Entries!$A$2:$A$5000,"&gt;="&amp;$A168,Entries!$A$2:$A$5000,"&lt;"&amp;EDATE($A168,1)))</f>
        <v/>
      </c>
      <c r="Q168" s="23">
        <f>IF($BM168=0,NA(),SUMIFS(Entries!$E$2:$E$5000,Entries!$D$2:$D$5000,"Reimbursable",Entries!$A$2:$A$5000,"&gt;="&amp;$A168,Entries!$A$2:$A$5000,"&lt;"&amp;EDATE($A168,1)))</f>
        <v/>
      </c>
      <c r="R168" s="23">
        <f>IF($BM168=0,NA(),SUMIFS(Entries!$E$2:$E$5000,Entries!$D$2:$D$5000,"Investment",Entries!$A$2:$A$5000,"&gt;="&amp;$A168,Entries!$A$2:$A$5000,"&lt;"&amp;EDATE($A168,1)))</f>
        <v/>
      </c>
      <c r="S168" s="23">
        <f>IF($BM168=0,NA(),N168+O168)</f>
        <v/>
      </c>
      <c r="T168" s="23">
        <f>IF($BM168=0,"",E168-Q168)</f>
        <v/>
      </c>
      <c r="W168" s="23">
        <f>IF(OR(W$1="",$BM168=0),"",SUMIFS(Entries!$E$2:$E$5000,Entries!$C$2:$C$5000,"Actual",Entries!$A$2:$A$5000,"&gt;="&amp;$A168,Entries!$A$2:$A$5000,"&lt;"&amp;EDATE($A168,1),Entries!$B$2:$B$5000,W$1))</f>
        <v/>
      </c>
      <c r="X168" s="23">
        <f>IF(OR(X$1="",$BM168=0),"",SUMIFS(Entries!$E$2:$E$5000,Entries!$C$2:$C$5000,"Actual",Entries!$A$2:$A$5000,"&gt;="&amp;$A168,Entries!$A$2:$A$5000,"&lt;"&amp;EDATE($A168,1),Entries!$B$2:$B$5000,X$1))</f>
        <v/>
      </c>
      <c r="Y168" s="23">
        <f>IF(OR(Y$1="",$BM168=0),"",SUMIFS(Entries!$E$2:$E$5000,Entries!$C$2:$C$5000,"Actual",Entries!$A$2:$A$5000,"&gt;="&amp;$A168,Entries!$A$2:$A$5000,"&lt;"&amp;EDATE($A168,1),Entries!$B$2:$B$5000,Y$1))</f>
        <v/>
      </c>
      <c r="Z168" s="23">
        <f>IF(OR(Z$1="",$BM168=0),"",SUMIFS(Entries!$E$2:$E$5000,Entries!$C$2:$C$5000,"Actual",Entries!$A$2:$A$5000,"&gt;="&amp;$A168,Entries!$A$2:$A$5000,"&lt;"&amp;EDATE($A168,1),Entries!$B$2:$B$5000,Z$1))</f>
        <v/>
      </c>
      <c r="AA168" s="23">
        <f>IF(OR(AA$1="",$BM168=0),"",SUMIFS(Entries!$E$2:$E$5000,Entries!$C$2:$C$5000,"Actual",Entries!$A$2:$A$5000,"&gt;="&amp;$A168,Entries!$A$2:$A$5000,"&lt;"&amp;EDATE($A168,1),Entries!$B$2:$B$5000,AA$1))</f>
        <v/>
      </c>
      <c r="AB168" s="23">
        <f>IF(OR(AB$1="",$BM168=0),"",SUMIFS(Entries!$E$2:$E$5000,Entries!$C$2:$C$5000,"Actual",Entries!$A$2:$A$5000,"&gt;="&amp;$A168,Entries!$A$2:$A$5000,"&lt;"&amp;EDATE($A168,1),Entries!$B$2:$B$5000,AB$1))</f>
        <v/>
      </c>
      <c r="AC168" s="23">
        <f>IF(OR(AC$1="",$BM168=0),"",SUMIFS(Entries!$E$2:$E$5000,Entries!$C$2:$C$5000,"Actual",Entries!$A$2:$A$5000,"&gt;="&amp;$A168,Entries!$A$2:$A$5000,"&lt;"&amp;EDATE($A168,1),Entries!$B$2:$B$5000,AC$1))</f>
        <v/>
      </c>
      <c r="AD168" s="23">
        <f>IF(OR(AD$1="",$BM168=0),"",SUMIFS(Entries!$E$2:$E$5000,Entries!$C$2:$C$5000,"Actual",Entries!$A$2:$A$5000,"&gt;="&amp;$A168,Entries!$A$2:$A$5000,"&lt;"&amp;EDATE($A168,1),Entries!$B$2:$B$5000,AD$1))</f>
        <v/>
      </c>
      <c r="AE168" s="23">
        <f>IF(OR(AE$1="",$BM168=0),"",SUMIFS(Entries!$E$2:$E$5000,Entries!$C$2:$C$5000,"Actual",Entries!$A$2:$A$5000,"&gt;="&amp;$A168,Entries!$A$2:$A$5000,"&lt;"&amp;EDATE($A168,1),Entries!$B$2:$B$5000,AE$1))</f>
        <v/>
      </c>
      <c r="AF168" s="23">
        <f>IF(OR(AF$1="",$BM168=0),"",SUMIFS(Entries!$E$2:$E$5000,Entries!$C$2:$C$5000,"Actual",Entries!$A$2:$A$5000,"&gt;="&amp;$A168,Entries!$A$2:$A$5000,"&lt;"&amp;EDATE($A168,1),Entries!$B$2:$B$5000,AF$1))</f>
        <v/>
      </c>
      <c r="AG168" s="23">
        <f>IF(OR(AG$1="",$BM168=0),"",SUMIFS(Entries!$E$2:$E$5000,Entries!$C$2:$C$5000,"Actual",Entries!$A$2:$A$5000,"&gt;="&amp;$A168,Entries!$A$2:$A$5000,"&lt;"&amp;EDATE($A168,1),Entries!$B$2:$B$5000,AG$1))</f>
        <v/>
      </c>
      <c r="AH168" s="23">
        <f>IF(OR(AH$1="",$BM168=0),"",SUMIFS(Entries!$E$2:$E$5000,Entries!$C$2:$C$5000,"Actual",Entries!$A$2:$A$5000,"&gt;="&amp;$A168,Entries!$A$2:$A$5000,"&lt;"&amp;EDATE($A168,1),Entries!$B$2:$B$5000,AH$1))</f>
        <v/>
      </c>
      <c r="AI168" s="23">
        <f>IF(OR(AI$1="",$BM168=0),"",SUMIFS(Entries!$E$2:$E$5000,Entries!$C$2:$C$5000,"Actual",Entries!$A$2:$A$5000,"&gt;="&amp;$A168,Entries!$A$2:$A$5000,"&lt;"&amp;EDATE($A168,1),Entries!$B$2:$B$5000,AI$1))</f>
        <v/>
      </c>
      <c r="AJ168" s="23">
        <f>IF(OR(AJ$1="",$BM168=0),"",SUMIFS(Entries!$E$2:$E$5000,Entries!$C$2:$C$5000,"Actual",Entries!$A$2:$A$5000,"&gt;="&amp;$A168,Entries!$A$2:$A$5000,"&lt;"&amp;EDATE($A168,1),Entries!$B$2:$B$5000,AJ$1))</f>
        <v/>
      </c>
      <c r="AK168" s="23">
        <f>IF(OR(AK$1="",$BM168=0),"",SUMIFS(Entries!$E$2:$E$5000,Entries!$C$2:$C$5000,"Actual",Entries!$A$2:$A$5000,"&gt;="&amp;$A168,Entries!$A$2:$A$5000,"&lt;"&amp;EDATE($A168,1),Entries!$B$2:$B$5000,AK$1))</f>
        <v/>
      </c>
      <c r="AL168" s="23">
        <f>IF(OR(AL$1="",$BM168=0),"",SUMIFS(Entries!$E$2:$E$5000,Entries!$C$2:$C$5000,"Actual",Entries!$A$2:$A$5000,"&gt;="&amp;$A168,Entries!$A$2:$A$5000,"&lt;"&amp;EDATE($A168,1),Entries!$B$2:$B$5000,AL$1))</f>
        <v/>
      </c>
      <c r="AM168" s="23">
        <f>IF(OR(AM$1="",$BM168=0),"",SUMIFS(Entries!$E$2:$E$5000,Entries!$C$2:$C$5000,"Actual",Entries!$A$2:$A$5000,"&gt;="&amp;$A168,Entries!$A$2:$A$5000,"&lt;"&amp;EDATE($A168,1),Entries!$B$2:$B$5000,AM$1))</f>
        <v/>
      </c>
      <c r="AN168" s="23">
        <f>IF(OR(AN$1="",$BM168=0),"",SUMIFS(Entries!$E$2:$E$5000,Entries!$C$2:$C$5000,"Actual",Entries!$A$2:$A$5000,"&gt;="&amp;$A168,Entries!$A$2:$A$5000,"&lt;"&amp;EDATE($A168,1),Entries!$B$2:$B$5000,AN$1))</f>
        <v/>
      </c>
      <c r="AO168" s="23">
        <f>IF(OR(AO$1="",$BM168=0),"",SUMIFS(Entries!$E$2:$E$5000,Entries!$C$2:$C$5000,"Actual",Entries!$A$2:$A$5000,"&gt;="&amp;$A168,Entries!$A$2:$A$5000,"&lt;"&amp;EDATE($A168,1),Entries!$B$2:$B$5000,AO$1))</f>
        <v/>
      </c>
      <c r="AP168" s="23">
        <f>IF(OR(AP$1="",$BM168=0),"",SUMIFS(Entries!$E$2:$E$5000,Entries!$C$2:$C$5000,"Actual",Entries!$A$2:$A$5000,"&gt;="&amp;$A168,Entries!$A$2:$A$5000,"&lt;"&amp;EDATE($A168,1),Entries!$B$2:$B$5000,AP$1))</f>
        <v/>
      </c>
      <c r="AR168" s="23">
        <f>IF(OR(AR$1="",$BM168=0),"",IFERROR(LOOKUP(2,1/((Budgets!$A$2:$A$200=AR$1)*(Budgets!$B$2:$B$200&lt;EDATE($A168,1))),Budgets!$C$2:$C$200),0))</f>
        <v/>
      </c>
      <c r="AS168" s="23">
        <f>IF(OR(AS$1="",$BM168=0),"",IFERROR(LOOKUP(2,1/((Budgets!$A$2:$A$200=AS$1)*(Budgets!$B$2:$B$200&lt;EDATE($A168,1))),Budgets!$C$2:$C$200),0))</f>
        <v/>
      </c>
      <c r="AT168" s="23">
        <f>IF(OR(AT$1="",$BM168=0),"",IFERROR(LOOKUP(2,1/((Budgets!$A$2:$A$200=AT$1)*(Budgets!$B$2:$B$200&lt;EDATE($A168,1))),Budgets!$C$2:$C$200),0))</f>
        <v/>
      </c>
      <c r="AU168" s="23">
        <f>IF(OR(AU$1="",$BM168=0),"",IFERROR(LOOKUP(2,1/((Budgets!$A$2:$A$200=AU$1)*(Budgets!$B$2:$B$200&lt;EDATE($A168,1))),Budgets!$C$2:$C$200),0))</f>
        <v/>
      </c>
      <c r="AV168" s="23">
        <f>IF(OR(AV$1="",$BM168=0),"",IFERROR(LOOKUP(2,1/((Budgets!$A$2:$A$200=AV$1)*(Budgets!$B$2:$B$200&lt;EDATE($A168,1))),Budgets!$C$2:$C$200),0))</f>
        <v/>
      </c>
      <c r="AW168" s="23">
        <f>IF(OR(AW$1="",$BM168=0),"",IFERROR(LOOKUP(2,1/((Budgets!$A$2:$A$200=AW$1)*(Budgets!$B$2:$B$200&lt;EDATE($A168,1))),Budgets!$C$2:$C$200),0))</f>
        <v/>
      </c>
      <c r="AX168" s="23">
        <f>IF(OR(AX$1="",$BM168=0),"",IFERROR(LOOKUP(2,1/((Budgets!$A$2:$A$200=AX$1)*(Budgets!$B$2:$B$200&lt;EDATE($A168,1))),Budgets!$C$2:$C$200),0))</f>
        <v/>
      </c>
      <c r="AY168" s="23">
        <f>IF(OR(AY$1="",$BM168=0),"",IFERROR(LOOKUP(2,1/((Budgets!$A$2:$A$200=AY$1)*(Budgets!$B$2:$B$200&lt;EDATE($A168,1))),Budgets!$C$2:$C$200),0))</f>
        <v/>
      </c>
      <c r="AZ168" s="23">
        <f>IF(OR(AZ$1="",$BM168=0),"",IFERROR(LOOKUP(2,1/((Budgets!$A$2:$A$200=AZ$1)*(Budgets!$B$2:$B$200&lt;EDATE($A168,1))),Budgets!$C$2:$C$200),0))</f>
        <v/>
      </c>
      <c r="BA168" s="23">
        <f>IF(OR(BA$1="",$BM168=0),"",IFERROR(LOOKUP(2,1/((Budgets!$A$2:$A$200=BA$1)*(Budgets!$B$2:$B$200&lt;EDATE($A168,1))),Budgets!$C$2:$C$200),0))</f>
        <v/>
      </c>
      <c r="BB168" s="23">
        <f>IF(OR(BB$1="",$BM168=0),"",IFERROR(LOOKUP(2,1/((Budgets!$A$2:$A$200=BB$1)*(Budgets!$B$2:$B$200&lt;EDATE($A168,1))),Budgets!$C$2:$C$200),0))</f>
        <v/>
      </c>
      <c r="BC168" s="23">
        <f>IF(OR(BC$1="",$BM168=0),"",IFERROR(LOOKUP(2,1/((Budgets!$A$2:$A$200=BC$1)*(Budgets!$B$2:$B$200&lt;EDATE($A168,1))),Budgets!$C$2:$C$200),0))</f>
        <v/>
      </c>
      <c r="BD168" s="23">
        <f>IF(OR(BD$1="",$BM168=0),"",IFERROR(LOOKUP(2,1/((Budgets!$A$2:$A$200=BD$1)*(Budgets!$B$2:$B$200&lt;EDATE($A168,1))),Budgets!$C$2:$C$200),0))</f>
        <v/>
      </c>
      <c r="BE168" s="23">
        <f>IF(OR(BE$1="",$BM168=0),"",IFERROR(LOOKUP(2,1/((Budgets!$A$2:$A$200=BE$1)*(Budgets!$B$2:$B$200&lt;EDATE($A168,1))),Budgets!$C$2:$C$200),0))</f>
        <v/>
      </c>
      <c r="BF168" s="23">
        <f>IF(OR(BF$1="",$BM168=0),"",IFERROR(LOOKUP(2,1/((Budgets!$A$2:$A$200=BF$1)*(Budgets!$B$2:$B$200&lt;EDATE($A168,1))),Budgets!$C$2:$C$200),0))</f>
        <v/>
      </c>
      <c r="BG168" s="23">
        <f>IF(OR(BG$1="",$BM168=0),"",IFERROR(LOOKUP(2,1/((Budgets!$A$2:$A$200=BG$1)*(Budgets!$B$2:$B$200&lt;EDATE($A168,1))),Budgets!$C$2:$C$200),0))</f>
        <v/>
      </c>
      <c r="BH168" s="23">
        <f>IF(OR(BH$1="",$BM168=0),"",IFERROR(LOOKUP(2,1/((Budgets!$A$2:$A$200=BH$1)*(Budgets!$B$2:$B$200&lt;EDATE($A168,1))),Budgets!$C$2:$C$200),0))</f>
        <v/>
      </c>
      <c r="BI168" s="23">
        <f>IF(OR(BI$1="",$BM168=0),"",IFERROR(LOOKUP(2,1/((Budgets!$A$2:$A$200=BI$1)*(Budgets!$B$2:$B$200&lt;EDATE($A168,1))),Budgets!$C$2:$C$200),0))</f>
        <v/>
      </c>
      <c r="BJ168" s="23">
        <f>IF(OR(BJ$1="",$BM168=0),"",IFERROR(LOOKUP(2,1/((Budgets!$A$2:$A$200=BJ$1)*(Budgets!$B$2:$B$200&lt;EDATE($A168,1))),Budgets!$C$2:$C$200),0))</f>
        <v/>
      </c>
      <c r="BK168" s="23">
        <f>IF(OR(BK$1="",$BM168=0),"",IFERROR(LOOKUP(2,1/((Budgets!$A$2:$A$200=BK$1)*(Budgets!$B$2:$B$200&lt;EDATE($A168,1))),Budgets!$C$2:$C$200),0))</f>
        <v/>
      </c>
      <c r="BM168" s="21">
        <f>COUNTIFS(Entries!$A$2:$A$5000,"&gt;="&amp;$A168,Entries!$A$2:$A$5000,"&lt;"&amp;EDATE($A168,1))</f>
        <v/>
      </c>
    </row>
    <row r="169">
      <c r="A169" s="22" t="n">
        <v>44531</v>
      </c>
      <c r="B169" s="23">
        <f>IF($BM169=0,NA(),SUMIFS(Entries!$E$2:$E$5000,Entries!$C$2:$C$5000,"Income",Entries!$A$2:$A$5000,"&gt;="&amp;$A169,Entries!$A$2:$A$5000,"&lt;"&amp;EDATE($A169,1)))</f>
        <v/>
      </c>
      <c r="C169" s="23">
        <f>IF($BM169=0,"",SUMIFS(Entries!$E$2:$E$5000,Entries!$C$2:$C$5000,"Actual",Entries!$A$2:$A$5000,"&gt;="&amp;$A169,Entries!$A$2:$A$5000,"&lt;"&amp;EDATE($A169,1)))</f>
        <v/>
      </c>
      <c r="D169" s="23">
        <f>IF($BM169=0,"",SUMIFS(Entries!$E$2:$E$5000,Entries!$C$2:$C$5000,"One-off",Entries!$A$2:$A$5000,"&gt;="&amp;$A169,Entries!$A$2:$A$5000,"&lt;"&amp;EDATE($A169,1)))</f>
        <v/>
      </c>
      <c r="E169" s="23">
        <f>IF($BM169=0,NA(),C169+D169)</f>
        <v/>
      </c>
      <c r="F169" s="23">
        <f>IF($BM169=0,"",SUM(AR169:BK169))</f>
        <v/>
      </c>
      <c r="G169" s="23">
        <f>IF($BM169=0,"",B169-E169)</f>
        <v/>
      </c>
      <c r="H169" s="23">
        <f>IF($BM169=0,"",SUM($G$2:G169))</f>
        <v/>
      </c>
      <c r="I169" s="23">
        <f>IF($BM169=0,"",SUMIFS(Entries!$G$2:$G$5000,Entries!$A$2:$A$5000,"&gt;="&amp;$A169,Entries!$A$2:$A$5000,"&lt;"&amp;EDATE($A169,1)))</f>
        <v/>
      </c>
      <c r="J169" s="23">
        <f>IF($BM169=0,NA(),H169)</f>
        <v/>
      </c>
      <c r="K169" s="23">
        <f>IF($BM169=0,"",SUMIFS(Entries!$E$2:$E$5000,Entries!$C$2:$C$5000,"Income",Entries!$A$2:$A$5000,"&gt;="&amp;EDATE($A169,-11),Entries!$A$2:$A$5000,"&lt;"&amp;EDATE($A169,1))/COUNTIFS($A$2:$A$400,"&gt;="&amp;EDATE($A169,-11),$A$2:$A$400,"&lt;"&amp;EDATE($A169,1),$BM$2:$BM$400,"&gt;0"))</f>
      </c>
      <c r="L169" s="23">
        <f>IF($BM169=0,"",(SUMIFS(Entries!$E$2:$E$5000,Entries!$C$2:$C$5000,"Actual",Entries!$A$2:$A$5000,"&gt;="&amp;EDATE($A169,-11),Entries!$A$2:$A$5000,"&lt;"&amp;EDATE($A169,1))+SUMIFS(Entries!$E$2:$E$5000,Entries!$C$2:$C$5000,"One-off",Entries!$A$2:$A$5000,"&gt;="&amp;EDATE($A169,-11),Entries!$A$2:$A$5000,"&lt;"&amp;EDATE($A169,1)))/COUNTIFS($A$2:$A$400,"&gt;="&amp;EDATE($A169,-11),$A$2:$A$400,"&lt;"&amp;EDATE($A169,1),$BM$2:$BM$400,"&gt;0"))</f>
      </c>
      <c r="M169" s="24">
        <f>IF($BM169=0,NA(),IFERROR((K169-L169)/K169,0))</f>
        <v/>
      </c>
      <c r="N169" s="23">
        <f>IF($BM169=0,NA(),SUMIFS(Entries!$E$2:$E$5000,Entries!$D$2:$D$5000,"Core",Entries!$A$2:$A$5000,"&gt;="&amp;$A169,Entries!$A$2:$A$5000,"&lt;"&amp;EDATE($A169,1)))</f>
        <v/>
      </c>
      <c r="O169" s="23">
        <f>IF($BM169=0,NA(),SUMIFS(Entries!$E$2:$E$5000,Entries!$D$2:$D$5000,"Over &amp; above",Entries!$A$2:$A$5000,"&gt;="&amp;$A169,Entries!$A$2:$A$5000,"&lt;"&amp;EDATE($A169,1)))</f>
        <v/>
      </c>
      <c r="P169" s="23">
        <f>IF($BM169=0,NA(),SUMIFS(Entries!$E$2:$E$5000,Entries!$D$2:$D$5000,"One-off",Entries!$A$2:$A$5000,"&gt;="&amp;$A169,Entries!$A$2:$A$5000,"&lt;"&amp;EDATE($A169,1)))</f>
        <v/>
      </c>
      <c r="Q169" s="23">
        <f>IF($BM169=0,NA(),SUMIFS(Entries!$E$2:$E$5000,Entries!$D$2:$D$5000,"Reimbursable",Entries!$A$2:$A$5000,"&gt;="&amp;$A169,Entries!$A$2:$A$5000,"&lt;"&amp;EDATE($A169,1)))</f>
        <v/>
      </c>
      <c r="R169" s="23">
        <f>IF($BM169=0,NA(),SUMIFS(Entries!$E$2:$E$5000,Entries!$D$2:$D$5000,"Investment",Entries!$A$2:$A$5000,"&gt;="&amp;$A169,Entries!$A$2:$A$5000,"&lt;"&amp;EDATE($A169,1)))</f>
        <v/>
      </c>
      <c r="S169" s="23">
        <f>IF($BM169=0,NA(),N169+O169)</f>
        <v/>
      </c>
      <c r="T169" s="23">
        <f>IF($BM169=0,"",E169-Q169)</f>
        <v/>
      </c>
      <c r="W169" s="23">
        <f>IF(OR(W$1="",$BM169=0),"",SUMIFS(Entries!$E$2:$E$5000,Entries!$C$2:$C$5000,"Actual",Entries!$A$2:$A$5000,"&gt;="&amp;$A169,Entries!$A$2:$A$5000,"&lt;"&amp;EDATE($A169,1),Entries!$B$2:$B$5000,W$1))</f>
        <v/>
      </c>
      <c r="X169" s="23">
        <f>IF(OR(X$1="",$BM169=0),"",SUMIFS(Entries!$E$2:$E$5000,Entries!$C$2:$C$5000,"Actual",Entries!$A$2:$A$5000,"&gt;="&amp;$A169,Entries!$A$2:$A$5000,"&lt;"&amp;EDATE($A169,1),Entries!$B$2:$B$5000,X$1))</f>
        <v/>
      </c>
      <c r="Y169" s="23">
        <f>IF(OR(Y$1="",$BM169=0),"",SUMIFS(Entries!$E$2:$E$5000,Entries!$C$2:$C$5000,"Actual",Entries!$A$2:$A$5000,"&gt;="&amp;$A169,Entries!$A$2:$A$5000,"&lt;"&amp;EDATE($A169,1),Entries!$B$2:$B$5000,Y$1))</f>
        <v/>
      </c>
      <c r="Z169" s="23">
        <f>IF(OR(Z$1="",$BM169=0),"",SUMIFS(Entries!$E$2:$E$5000,Entries!$C$2:$C$5000,"Actual",Entries!$A$2:$A$5000,"&gt;="&amp;$A169,Entries!$A$2:$A$5000,"&lt;"&amp;EDATE($A169,1),Entries!$B$2:$B$5000,Z$1))</f>
        <v/>
      </c>
      <c r="AA169" s="23">
        <f>IF(OR(AA$1="",$BM169=0),"",SUMIFS(Entries!$E$2:$E$5000,Entries!$C$2:$C$5000,"Actual",Entries!$A$2:$A$5000,"&gt;="&amp;$A169,Entries!$A$2:$A$5000,"&lt;"&amp;EDATE($A169,1),Entries!$B$2:$B$5000,AA$1))</f>
        <v/>
      </c>
      <c r="AB169" s="23">
        <f>IF(OR(AB$1="",$BM169=0),"",SUMIFS(Entries!$E$2:$E$5000,Entries!$C$2:$C$5000,"Actual",Entries!$A$2:$A$5000,"&gt;="&amp;$A169,Entries!$A$2:$A$5000,"&lt;"&amp;EDATE($A169,1),Entries!$B$2:$B$5000,AB$1))</f>
        <v/>
      </c>
      <c r="AC169" s="23">
        <f>IF(OR(AC$1="",$BM169=0),"",SUMIFS(Entries!$E$2:$E$5000,Entries!$C$2:$C$5000,"Actual",Entries!$A$2:$A$5000,"&gt;="&amp;$A169,Entries!$A$2:$A$5000,"&lt;"&amp;EDATE($A169,1),Entries!$B$2:$B$5000,AC$1))</f>
        <v/>
      </c>
      <c r="AD169" s="23">
        <f>IF(OR(AD$1="",$BM169=0),"",SUMIFS(Entries!$E$2:$E$5000,Entries!$C$2:$C$5000,"Actual",Entries!$A$2:$A$5000,"&gt;="&amp;$A169,Entries!$A$2:$A$5000,"&lt;"&amp;EDATE($A169,1),Entries!$B$2:$B$5000,AD$1))</f>
        <v/>
      </c>
      <c r="AE169" s="23">
        <f>IF(OR(AE$1="",$BM169=0),"",SUMIFS(Entries!$E$2:$E$5000,Entries!$C$2:$C$5000,"Actual",Entries!$A$2:$A$5000,"&gt;="&amp;$A169,Entries!$A$2:$A$5000,"&lt;"&amp;EDATE($A169,1),Entries!$B$2:$B$5000,AE$1))</f>
        <v/>
      </c>
      <c r="AF169" s="23">
        <f>IF(OR(AF$1="",$BM169=0),"",SUMIFS(Entries!$E$2:$E$5000,Entries!$C$2:$C$5000,"Actual",Entries!$A$2:$A$5000,"&gt;="&amp;$A169,Entries!$A$2:$A$5000,"&lt;"&amp;EDATE($A169,1),Entries!$B$2:$B$5000,AF$1))</f>
        <v/>
      </c>
      <c r="AG169" s="23">
        <f>IF(OR(AG$1="",$BM169=0),"",SUMIFS(Entries!$E$2:$E$5000,Entries!$C$2:$C$5000,"Actual",Entries!$A$2:$A$5000,"&gt;="&amp;$A169,Entries!$A$2:$A$5000,"&lt;"&amp;EDATE($A169,1),Entries!$B$2:$B$5000,AG$1))</f>
        <v/>
      </c>
      <c r="AH169" s="23">
        <f>IF(OR(AH$1="",$BM169=0),"",SUMIFS(Entries!$E$2:$E$5000,Entries!$C$2:$C$5000,"Actual",Entries!$A$2:$A$5000,"&gt;="&amp;$A169,Entries!$A$2:$A$5000,"&lt;"&amp;EDATE($A169,1),Entries!$B$2:$B$5000,AH$1))</f>
        <v/>
      </c>
      <c r="AI169" s="23">
        <f>IF(OR(AI$1="",$BM169=0),"",SUMIFS(Entries!$E$2:$E$5000,Entries!$C$2:$C$5000,"Actual",Entries!$A$2:$A$5000,"&gt;="&amp;$A169,Entries!$A$2:$A$5000,"&lt;"&amp;EDATE($A169,1),Entries!$B$2:$B$5000,AI$1))</f>
        <v/>
      </c>
      <c r="AJ169" s="23">
        <f>IF(OR(AJ$1="",$BM169=0),"",SUMIFS(Entries!$E$2:$E$5000,Entries!$C$2:$C$5000,"Actual",Entries!$A$2:$A$5000,"&gt;="&amp;$A169,Entries!$A$2:$A$5000,"&lt;"&amp;EDATE($A169,1),Entries!$B$2:$B$5000,AJ$1))</f>
        <v/>
      </c>
      <c r="AK169" s="23">
        <f>IF(OR(AK$1="",$BM169=0),"",SUMIFS(Entries!$E$2:$E$5000,Entries!$C$2:$C$5000,"Actual",Entries!$A$2:$A$5000,"&gt;="&amp;$A169,Entries!$A$2:$A$5000,"&lt;"&amp;EDATE($A169,1),Entries!$B$2:$B$5000,AK$1))</f>
        <v/>
      </c>
      <c r="AL169" s="23">
        <f>IF(OR(AL$1="",$BM169=0),"",SUMIFS(Entries!$E$2:$E$5000,Entries!$C$2:$C$5000,"Actual",Entries!$A$2:$A$5000,"&gt;="&amp;$A169,Entries!$A$2:$A$5000,"&lt;"&amp;EDATE($A169,1),Entries!$B$2:$B$5000,AL$1))</f>
        <v/>
      </c>
      <c r="AM169" s="23">
        <f>IF(OR(AM$1="",$BM169=0),"",SUMIFS(Entries!$E$2:$E$5000,Entries!$C$2:$C$5000,"Actual",Entries!$A$2:$A$5000,"&gt;="&amp;$A169,Entries!$A$2:$A$5000,"&lt;"&amp;EDATE($A169,1),Entries!$B$2:$B$5000,AM$1))</f>
        <v/>
      </c>
      <c r="AN169" s="23">
        <f>IF(OR(AN$1="",$BM169=0),"",SUMIFS(Entries!$E$2:$E$5000,Entries!$C$2:$C$5000,"Actual",Entries!$A$2:$A$5000,"&gt;="&amp;$A169,Entries!$A$2:$A$5000,"&lt;"&amp;EDATE($A169,1),Entries!$B$2:$B$5000,AN$1))</f>
        <v/>
      </c>
      <c r="AO169" s="23">
        <f>IF(OR(AO$1="",$BM169=0),"",SUMIFS(Entries!$E$2:$E$5000,Entries!$C$2:$C$5000,"Actual",Entries!$A$2:$A$5000,"&gt;="&amp;$A169,Entries!$A$2:$A$5000,"&lt;"&amp;EDATE($A169,1),Entries!$B$2:$B$5000,AO$1))</f>
        <v/>
      </c>
      <c r="AP169" s="23">
        <f>IF(OR(AP$1="",$BM169=0),"",SUMIFS(Entries!$E$2:$E$5000,Entries!$C$2:$C$5000,"Actual",Entries!$A$2:$A$5000,"&gt;="&amp;$A169,Entries!$A$2:$A$5000,"&lt;"&amp;EDATE($A169,1),Entries!$B$2:$B$5000,AP$1))</f>
        <v/>
      </c>
      <c r="AR169" s="23">
        <f>IF(OR(AR$1="",$BM169=0),"",IFERROR(LOOKUP(2,1/((Budgets!$A$2:$A$200=AR$1)*(Budgets!$B$2:$B$200&lt;EDATE($A169,1))),Budgets!$C$2:$C$200),0))</f>
        <v/>
      </c>
      <c r="AS169" s="23">
        <f>IF(OR(AS$1="",$BM169=0),"",IFERROR(LOOKUP(2,1/((Budgets!$A$2:$A$200=AS$1)*(Budgets!$B$2:$B$200&lt;EDATE($A169,1))),Budgets!$C$2:$C$200),0))</f>
        <v/>
      </c>
      <c r="AT169" s="23">
        <f>IF(OR(AT$1="",$BM169=0),"",IFERROR(LOOKUP(2,1/((Budgets!$A$2:$A$200=AT$1)*(Budgets!$B$2:$B$200&lt;EDATE($A169,1))),Budgets!$C$2:$C$200),0))</f>
        <v/>
      </c>
      <c r="AU169" s="23">
        <f>IF(OR(AU$1="",$BM169=0),"",IFERROR(LOOKUP(2,1/((Budgets!$A$2:$A$200=AU$1)*(Budgets!$B$2:$B$200&lt;EDATE($A169,1))),Budgets!$C$2:$C$200),0))</f>
        <v/>
      </c>
      <c r="AV169" s="23">
        <f>IF(OR(AV$1="",$BM169=0),"",IFERROR(LOOKUP(2,1/((Budgets!$A$2:$A$200=AV$1)*(Budgets!$B$2:$B$200&lt;EDATE($A169,1))),Budgets!$C$2:$C$200),0))</f>
        <v/>
      </c>
      <c r="AW169" s="23">
        <f>IF(OR(AW$1="",$BM169=0),"",IFERROR(LOOKUP(2,1/((Budgets!$A$2:$A$200=AW$1)*(Budgets!$B$2:$B$200&lt;EDATE($A169,1))),Budgets!$C$2:$C$200),0))</f>
        <v/>
      </c>
      <c r="AX169" s="23">
        <f>IF(OR(AX$1="",$BM169=0),"",IFERROR(LOOKUP(2,1/((Budgets!$A$2:$A$200=AX$1)*(Budgets!$B$2:$B$200&lt;EDATE($A169,1))),Budgets!$C$2:$C$200),0))</f>
        <v/>
      </c>
      <c r="AY169" s="23">
        <f>IF(OR(AY$1="",$BM169=0),"",IFERROR(LOOKUP(2,1/((Budgets!$A$2:$A$200=AY$1)*(Budgets!$B$2:$B$200&lt;EDATE($A169,1))),Budgets!$C$2:$C$200),0))</f>
        <v/>
      </c>
      <c r="AZ169" s="23">
        <f>IF(OR(AZ$1="",$BM169=0),"",IFERROR(LOOKUP(2,1/((Budgets!$A$2:$A$200=AZ$1)*(Budgets!$B$2:$B$200&lt;EDATE($A169,1))),Budgets!$C$2:$C$200),0))</f>
        <v/>
      </c>
      <c r="BA169" s="23">
        <f>IF(OR(BA$1="",$BM169=0),"",IFERROR(LOOKUP(2,1/((Budgets!$A$2:$A$200=BA$1)*(Budgets!$B$2:$B$200&lt;EDATE($A169,1))),Budgets!$C$2:$C$200),0))</f>
        <v/>
      </c>
      <c r="BB169" s="23">
        <f>IF(OR(BB$1="",$BM169=0),"",IFERROR(LOOKUP(2,1/((Budgets!$A$2:$A$200=BB$1)*(Budgets!$B$2:$B$200&lt;EDATE($A169,1))),Budgets!$C$2:$C$200),0))</f>
        <v/>
      </c>
      <c r="BC169" s="23">
        <f>IF(OR(BC$1="",$BM169=0),"",IFERROR(LOOKUP(2,1/((Budgets!$A$2:$A$200=BC$1)*(Budgets!$B$2:$B$200&lt;EDATE($A169,1))),Budgets!$C$2:$C$200),0))</f>
        <v/>
      </c>
      <c r="BD169" s="23">
        <f>IF(OR(BD$1="",$BM169=0),"",IFERROR(LOOKUP(2,1/((Budgets!$A$2:$A$200=BD$1)*(Budgets!$B$2:$B$200&lt;EDATE($A169,1))),Budgets!$C$2:$C$200),0))</f>
        <v/>
      </c>
      <c r="BE169" s="23">
        <f>IF(OR(BE$1="",$BM169=0),"",IFERROR(LOOKUP(2,1/((Budgets!$A$2:$A$200=BE$1)*(Budgets!$B$2:$B$200&lt;EDATE($A169,1))),Budgets!$C$2:$C$200),0))</f>
        <v/>
      </c>
      <c r="BF169" s="23">
        <f>IF(OR(BF$1="",$BM169=0),"",IFERROR(LOOKUP(2,1/((Budgets!$A$2:$A$200=BF$1)*(Budgets!$B$2:$B$200&lt;EDATE($A169,1))),Budgets!$C$2:$C$200),0))</f>
        <v/>
      </c>
      <c r="BG169" s="23">
        <f>IF(OR(BG$1="",$BM169=0),"",IFERROR(LOOKUP(2,1/((Budgets!$A$2:$A$200=BG$1)*(Budgets!$B$2:$B$200&lt;EDATE($A169,1))),Budgets!$C$2:$C$200),0))</f>
        <v/>
      </c>
      <c r="BH169" s="23">
        <f>IF(OR(BH$1="",$BM169=0),"",IFERROR(LOOKUP(2,1/((Budgets!$A$2:$A$200=BH$1)*(Budgets!$B$2:$B$200&lt;EDATE($A169,1))),Budgets!$C$2:$C$200),0))</f>
        <v/>
      </c>
      <c r="BI169" s="23">
        <f>IF(OR(BI$1="",$BM169=0),"",IFERROR(LOOKUP(2,1/((Budgets!$A$2:$A$200=BI$1)*(Budgets!$B$2:$B$200&lt;EDATE($A169,1))),Budgets!$C$2:$C$200),0))</f>
        <v/>
      </c>
      <c r="BJ169" s="23">
        <f>IF(OR(BJ$1="",$BM169=0),"",IFERROR(LOOKUP(2,1/((Budgets!$A$2:$A$200=BJ$1)*(Budgets!$B$2:$B$200&lt;EDATE($A169,1))),Budgets!$C$2:$C$200),0))</f>
        <v/>
      </c>
      <c r="BK169" s="23">
        <f>IF(OR(BK$1="",$BM169=0),"",IFERROR(LOOKUP(2,1/((Budgets!$A$2:$A$200=BK$1)*(Budgets!$B$2:$B$200&lt;EDATE($A169,1))),Budgets!$C$2:$C$200),0))</f>
        <v/>
      </c>
      <c r="BM169" s="21">
        <f>COUNTIFS(Entries!$A$2:$A$5000,"&gt;="&amp;$A169,Entries!$A$2:$A$5000,"&lt;"&amp;EDATE($A169,1))</f>
        <v/>
      </c>
    </row>
    <row r="170">
      <c r="A170" s="22" t="n">
        <v>44562</v>
      </c>
      <c r="B170" s="23">
        <f>IF($BM170=0,NA(),SUMIFS(Entries!$E$2:$E$5000,Entries!$C$2:$C$5000,"Income",Entries!$A$2:$A$5000,"&gt;="&amp;$A170,Entries!$A$2:$A$5000,"&lt;"&amp;EDATE($A170,1)))</f>
        <v/>
      </c>
      <c r="C170" s="23">
        <f>IF($BM170=0,"",SUMIFS(Entries!$E$2:$E$5000,Entries!$C$2:$C$5000,"Actual",Entries!$A$2:$A$5000,"&gt;="&amp;$A170,Entries!$A$2:$A$5000,"&lt;"&amp;EDATE($A170,1)))</f>
        <v/>
      </c>
      <c r="D170" s="23">
        <f>IF($BM170=0,"",SUMIFS(Entries!$E$2:$E$5000,Entries!$C$2:$C$5000,"One-off",Entries!$A$2:$A$5000,"&gt;="&amp;$A170,Entries!$A$2:$A$5000,"&lt;"&amp;EDATE($A170,1)))</f>
        <v/>
      </c>
      <c r="E170" s="23">
        <f>IF($BM170=0,NA(),C170+D170)</f>
        <v/>
      </c>
      <c r="F170" s="23">
        <f>IF($BM170=0,"",SUM(AR170:BK170))</f>
        <v/>
      </c>
      <c r="G170" s="23">
        <f>IF($BM170=0,"",B170-E170)</f>
        <v/>
      </c>
      <c r="H170" s="23">
        <f>IF($BM170=0,"",SUM($G$2:G170))</f>
        <v/>
      </c>
      <c r="I170" s="23">
        <f>IF($BM170=0,"",SUMIFS(Entries!$G$2:$G$5000,Entries!$A$2:$A$5000,"&gt;="&amp;$A170,Entries!$A$2:$A$5000,"&lt;"&amp;EDATE($A170,1)))</f>
        <v/>
      </c>
      <c r="J170" s="23">
        <f>IF($BM170=0,NA(),H170)</f>
        <v/>
      </c>
      <c r="K170" s="23">
        <f>IF($BM170=0,"",SUMIFS(Entries!$E$2:$E$5000,Entries!$C$2:$C$5000,"Income",Entries!$A$2:$A$5000,"&gt;="&amp;EDATE($A170,-11),Entries!$A$2:$A$5000,"&lt;"&amp;EDATE($A170,1))/COUNTIFS($A$2:$A$400,"&gt;="&amp;EDATE($A170,-11),$A$2:$A$400,"&lt;"&amp;EDATE($A170,1),$BM$2:$BM$400,"&gt;0"))</f>
      </c>
      <c r="L170" s="23">
        <f>IF($BM170=0,"",(SUMIFS(Entries!$E$2:$E$5000,Entries!$C$2:$C$5000,"Actual",Entries!$A$2:$A$5000,"&gt;="&amp;EDATE($A170,-11),Entries!$A$2:$A$5000,"&lt;"&amp;EDATE($A170,1))+SUMIFS(Entries!$E$2:$E$5000,Entries!$C$2:$C$5000,"One-off",Entries!$A$2:$A$5000,"&gt;="&amp;EDATE($A170,-11),Entries!$A$2:$A$5000,"&lt;"&amp;EDATE($A170,1)))/COUNTIFS($A$2:$A$400,"&gt;="&amp;EDATE($A170,-11),$A$2:$A$400,"&lt;"&amp;EDATE($A170,1),$BM$2:$BM$400,"&gt;0"))</f>
      </c>
      <c r="M170" s="24">
        <f>IF($BM170=0,NA(),IFERROR((K170-L170)/K170,0))</f>
        <v/>
      </c>
      <c r="N170" s="23">
        <f>IF($BM170=0,NA(),SUMIFS(Entries!$E$2:$E$5000,Entries!$D$2:$D$5000,"Core",Entries!$A$2:$A$5000,"&gt;="&amp;$A170,Entries!$A$2:$A$5000,"&lt;"&amp;EDATE($A170,1)))</f>
        <v/>
      </c>
      <c r="O170" s="23">
        <f>IF($BM170=0,NA(),SUMIFS(Entries!$E$2:$E$5000,Entries!$D$2:$D$5000,"Over &amp; above",Entries!$A$2:$A$5000,"&gt;="&amp;$A170,Entries!$A$2:$A$5000,"&lt;"&amp;EDATE($A170,1)))</f>
        <v/>
      </c>
      <c r="P170" s="23">
        <f>IF($BM170=0,NA(),SUMIFS(Entries!$E$2:$E$5000,Entries!$D$2:$D$5000,"One-off",Entries!$A$2:$A$5000,"&gt;="&amp;$A170,Entries!$A$2:$A$5000,"&lt;"&amp;EDATE($A170,1)))</f>
        <v/>
      </c>
      <c r="Q170" s="23">
        <f>IF($BM170=0,NA(),SUMIFS(Entries!$E$2:$E$5000,Entries!$D$2:$D$5000,"Reimbursable",Entries!$A$2:$A$5000,"&gt;="&amp;$A170,Entries!$A$2:$A$5000,"&lt;"&amp;EDATE($A170,1)))</f>
        <v/>
      </c>
      <c r="R170" s="23">
        <f>IF($BM170=0,NA(),SUMIFS(Entries!$E$2:$E$5000,Entries!$D$2:$D$5000,"Investment",Entries!$A$2:$A$5000,"&gt;="&amp;$A170,Entries!$A$2:$A$5000,"&lt;"&amp;EDATE($A170,1)))</f>
        <v/>
      </c>
      <c r="S170" s="23">
        <f>IF($BM170=0,NA(),N170+O170)</f>
        <v/>
      </c>
      <c r="T170" s="23">
        <f>IF($BM170=0,"",E170-Q170)</f>
        <v/>
      </c>
      <c r="W170" s="23">
        <f>IF(OR(W$1="",$BM170=0),"",SUMIFS(Entries!$E$2:$E$5000,Entries!$C$2:$C$5000,"Actual",Entries!$A$2:$A$5000,"&gt;="&amp;$A170,Entries!$A$2:$A$5000,"&lt;"&amp;EDATE($A170,1),Entries!$B$2:$B$5000,W$1))</f>
        <v/>
      </c>
      <c r="X170" s="23">
        <f>IF(OR(X$1="",$BM170=0),"",SUMIFS(Entries!$E$2:$E$5000,Entries!$C$2:$C$5000,"Actual",Entries!$A$2:$A$5000,"&gt;="&amp;$A170,Entries!$A$2:$A$5000,"&lt;"&amp;EDATE($A170,1),Entries!$B$2:$B$5000,X$1))</f>
        <v/>
      </c>
      <c r="Y170" s="23">
        <f>IF(OR(Y$1="",$BM170=0),"",SUMIFS(Entries!$E$2:$E$5000,Entries!$C$2:$C$5000,"Actual",Entries!$A$2:$A$5000,"&gt;="&amp;$A170,Entries!$A$2:$A$5000,"&lt;"&amp;EDATE($A170,1),Entries!$B$2:$B$5000,Y$1))</f>
        <v/>
      </c>
      <c r="Z170" s="23">
        <f>IF(OR(Z$1="",$BM170=0),"",SUMIFS(Entries!$E$2:$E$5000,Entries!$C$2:$C$5000,"Actual",Entries!$A$2:$A$5000,"&gt;="&amp;$A170,Entries!$A$2:$A$5000,"&lt;"&amp;EDATE($A170,1),Entries!$B$2:$B$5000,Z$1))</f>
        <v/>
      </c>
      <c r="AA170" s="23">
        <f>IF(OR(AA$1="",$BM170=0),"",SUMIFS(Entries!$E$2:$E$5000,Entries!$C$2:$C$5000,"Actual",Entries!$A$2:$A$5000,"&gt;="&amp;$A170,Entries!$A$2:$A$5000,"&lt;"&amp;EDATE($A170,1),Entries!$B$2:$B$5000,AA$1))</f>
        <v/>
      </c>
      <c r="AB170" s="23">
        <f>IF(OR(AB$1="",$BM170=0),"",SUMIFS(Entries!$E$2:$E$5000,Entries!$C$2:$C$5000,"Actual",Entries!$A$2:$A$5000,"&gt;="&amp;$A170,Entries!$A$2:$A$5000,"&lt;"&amp;EDATE($A170,1),Entries!$B$2:$B$5000,AB$1))</f>
        <v/>
      </c>
      <c r="AC170" s="23">
        <f>IF(OR(AC$1="",$BM170=0),"",SUMIFS(Entries!$E$2:$E$5000,Entries!$C$2:$C$5000,"Actual",Entries!$A$2:$A$5000,"&gt;="&amp;$A170,Entries!$A$2:$A$5000,"&lt;"&amp;EDATE($A170,1),Entries!$B$2:$B$5000,AC$1))</f>
        <v/>
      </c>
      <c r="AD170" s="23">
        <f>IF(OR(AD$1="",$BM170=0),"",SUMIFS(Entries!$E$2:$E$5000,Entries!$C$2:$C$5000,"Actual",Entries!$A$2:$A$5000,"&gt;="&amp;$A170,Entries!$A$2:$A$5000,"&lt;"&amp;EDATE($A170,1),Entries!$B$2:$B$5000,AD$1))</f>
        <v/>
      </c>
      <c r="AE170" s="23">
        <f>IF(OR(AE$1="",$BM170=0),"",SUMIFS(Entries!$E$2:$E$5000,Entries!$C$2:$C$5000,"Actual",Entries!$A$2:$A$5000,"&gt;="&amp;$A170,Entries!$A$2:$A$5000,"&lt;"&amp;EDATE($A170,1),Entries!$B$2:$B$5000,AE$1))</f>
        <v/>
      </c>
      <c r="AF170" s="23">
        <f>IF(OR(AF$1="",$BM170=0),"",SUMIFS(Entries!$E$2:$E$5000,Entries!$C$2:$C$5000,"Actual",Entries!$A$2:$A$5000,"&gt;="&amp;$A170,Entries!$A$2:$A$5000,"&lt;"&amp;EDATE($A170,1),Entries!$B$2:$B$5000,AF$1))</f>
        <v/>
      </c>
      <c r="AG170" s="23">
        <f>IF(OR(AG$1="",$BM170=0),"",SUMIFS(Entries!$E$2:$E$5000,Entries!$C$2:$C$5000,"Actual",Entries!$A$2:$A$5000,"&gt;="&amp;$A170,Entries!$A$2:$A$5000,"&lt;"&amp;EDATE($A170,1),Entries!$B$2:$B$5000,AG$1))</f>
        <v/>
      </c>
      <c r="AH170" s="23">
        <f>IF(OR(AH$1="",$BM170=0),"",SUMIFS(Entries!$E$2:$E$5000,Entries!$C$2:$C$5000,"Actual",Entries!$A$2:$A$5000,"&gt;="&amp;$A170,Entries!$A$2:$A$5000,"&lt;"&amp;EDATE($A170,1),Entries!$B$2:$B$5000,AH$1))</f>
        <v/>
      </c>
      <c r="AI170" s="23">
        <f>IF(OR(AI$1="",$BM170=0),"",SUMIFS(Entries!$E$2:$E$5000,Entries!$C$2:$C$5000,"Actual",Entries!$A$2:$A$5000,"&gt;="&amp;$A170,Entries!$A$2:$A$5000,"&lt;"&amp;EDATE($A170,1),Entries!$B$2:$B$5000,AI$1))</f>
        <v/>
      </c>
      <c r="AJ170" s="23">
        <f>IF(OR(AJ$1="",$BM170=0),"",SUMIFS(Entries!$E$2:$E$5000,Entries!$C$2:$C$5000,"Actual",Entries!$A$2:$A$5000,"&gt;="&amp;$A170,Entries!$A$2:$A$5000,"&lt;"&amp;EDATE($A170,1),Entries!$B$2:$B$5000,AJ$1))</f>
        <v/>
      </c>
      <c r="AK170" s="23">
        <f>IF(OR(AK$1="",$BM170=0),"",SUMIFS(Entries!$E$2:$E$5000,Entries!$C$2:$C$5000,"Actual",Entries!$A$2:$A$5000,"&gt;="&amp;$A170,Entries!$A$2:$A$5000,"&lt;"&amp;EDATE($A170,1),Entries!$B$2:$B$5000,AK$1))</f>
        <v/>
      </c>
      <c r="AL170" s="23">
        <f>IF(OR(AL$1="",$BM170=0),"",SUMIFS(Entries!$E$2:$E$5000,Entries!$C$2:$C$5000,"Actual",Entries!$A$2:$A$5000,"&gt;="&amp;$A170,Entries!$A$2:$A$5000,"&lt;"&amp;EDATE($A170,1),Entries!$B$2:$B$5000,AL$1))</f>
        <v/>
      </c>
      <c r="AM170" s="23">
        <f>IF(OR(AM$1="",$BM170=0),"",SUMIFS(Entries!$E$2:$E$5000,Entries!$C$2:$C$5000,"Actual",Entries!$A$2:$A$5000,"&gt;="&amp;$A170,Entries!$A$2:$A$5000,"&lt;"&amp;EDATE($A170,1),Entries!$B$2:$B$5000,AM$1))</f>
        <v/>
      </c>
      <c r="AN170" s="23">
        <f>IF(OR(AN$1="",$BM170=0),"",SUMIFS(Entries!$E$2:$E$5000,Entries!$C$2:$C$5000,"Actual",Entries!$A$2:$A$5000,"&gt;="&amp;$A170,Entries!$A$2:$A$5000,"&lt;"&amp;EDATE($A170,1),Entries!$B$2:$B$5000,AN$1))</f>
        <v/>
      </c>
      <c r="AO170" s="23">
        <f>IF(OR(AO$1="",$BM170=0),"",SUMIFS(Entries!$E$2:$E$5000,Entries!$C$2:$C$5000,"Actual",Entries!$A$2:$A$5000,"&gt;="&amp;$A170,Entries!$A$2:$A$5000,"&lt;"&amp;EDATE($A170,1),Entries!$B$2:$B$5000,AO$1))</f>
        <v/>
      </c>
      <c r="AP170" s="23">
        <f>IF(OR(AP$1="",$BM170=0),"",SUMIFS(Entries!$E$2:$E$5000,Entries!$C$2:$C$5000,"Actual",Entries!$A$2:$A$5000,"&gt;="&amp;$A170,Entries!$A$2:$A$5000,"&lt;"&amp;EDATE($A170,1),Entries!$B$2:$B$5000,AP$1))</f>
        <v/>
      </c>
      <c r="AR170" s="23">
        <f>IF(OR(AR$1="",$BM170=0),"",IFERROR(LOOKUP(2,1/((Budgets!$A$2:$A$200=AR$1)*(Budgets!$B$2:$B$200&lt;EDATE($A170,1))),Budgets!$C$2:$C$200),0))</f>
        <v/>
      </c>
      <c r="AS170" s="23">
        <f>IF(OR(AS$1="",$BM170=0),"",IFERROR(LOOKUP(2,1/((Budgets!$A$2:$A$200=AS$1)*(Budgets!$B$2:$B$200&lt;EDATE($A170,1))),Budgets!$C$2:$C$200),0))</f>
        <v/>
      </c>
      <c r="AT170" s="23">
        <f>IF(OR(AT$1="",$BM170=0),"",IFERROR(LOOKUP(2,1/((Budgets!$A$2:$A$200=AT$1)*(Budgets!$B$2:$B$200&lt;EDATE($A170,1))),Budgets!$C$2:$C$200),0))</f>
        <v/>
      </c>
      <c r="AU170" s="23">
        <f>IF(OR(AU$1="",$BM170=0),"",IFERROR(LOOKUP(2,1/((Budgets!$A$2:$A$200=AU$1)*(Budgets!$B$2:$B$200&lt;EDATE($A170,1))),Budgets!$C$2:$C$200),0))</f>
        <v/>
      </c>
      <c r="AV170" s="23">
        <f>IF(OR(AV$1="",$BM170=0),"",IFERROR(LOOKUP(2,1/((Budgets!$A$2:$A$200=AV$1)*(Budgets!$B$2:$B$200&lt;EDATE($A170,1))),Budgets!$C$2:$C$200),0))</f>
        <v/>
      </c>
      <c r="AW170" s="23">
        <f>IF(OR(AW$1="",$BM170=0),"",IFERROR(LOOKUP(2,1/((Budgets!$A$2:$A$200=AW$1)*(Budgets!$B$2:$B$200&lt;EDATE($A170,1))),Budgets!$C$2:$C$200),0))</f>
        <v/>
      </c>
      <c r="AX170" s="23">
        <f>IF(OR(AX$1="",$BM170=0),"",IFERROR(LOOKUP(2,1/((Budgets!$A$2:$A$200=AX$1)*(Budgets!$B$2:$B$200&lt;EDATE($A170,1))),Budgets!$C$2:$C$200),0))</f>
        <v/>
      </c>
      <c r="AY170" s="23">
        <f>IF(OR(AY$1="",$BM170=0),"",IFERROR(LOOKUP(2,1/((Budgets!$A$2:$A$200=AY$1)*(Budgets!$B$2:$B$200&lt;EDATE($A170,1))),Budgets!$C$2:$C$200),0))</f>
        <v/>
      </c>
      <c r="AZ170" s="23">
        <f>IF(OR(AZ$1="",$BM170=0),"",IFERROR(LOOKUP(2,1/((Budgets!$A$2:$A$200=AZ$1)*(Budgets!$B$2:$B$200&lt;EDATE($A170,1))),Budgets!$C$2:$C$200),0))</f>
        <v/>
      </c>
      <c r="BA170" s="23">
        <f>IF(OR(BA$1="",$BM170=0),"",IFERROR(LOOKUP(2,1/((Budgets!$A$2:$A$200=BA$1)*(Budgets!$B$2:$B$200&lt;EDATE($A170,1))),Budgets!$C$2:$C$200),0))</f>
        <v/>
      </c>
      <c r="BB170" s="23">
        <f>IF(OR(BB$1="",$BM170=0),"",IFERROR(LOOKUP(2,1/((Budgets!$A$2:$A$200=BB$1)*(Budgets!$B$2:$B$200&lt;EDATE($A170,1))),Budgets!$C$2:$C$200),0))</f>
        <v/>
      </c>
      <c r="BC170" s="23">
        <f>IF(OR(BC$1="",$BM170=0),"",IFERROR(LOOKUP(2,1/((Budgets!$A$2:$A$200=BC$1)*(Budgets!$B$2:$B$200&lt;EDATE($A170,1))),Budgets!$C$2:$C$200),0))</f>
        <v/>
      </c>
      <c r="BD170" s="23">
        <f>IF(OR(BD$1="",$BM170=0),"",IFERROR(LOOKUP(2,1/((Budgets!$A$2:$A$200=BD$1)*(Budgets!$B$2:$B$200&lt;EDATE($A170,1))),Budgets!$C$2:$C$200),0))</f>
        <v/>
      </c>
      <c r="BE170" s="23">
        <f>IF(OR(BE$1="",$BM170=0),"",IFERROR(LOOKUP(2,1/((Budgets!$A$2:$A$200=BE$1)*(Budgets!$B$2:$B$200&lt;EDATE($A170,1))),Budgets!$C$2:$C$200),0))</f>
        <v/>
      </c>
      <c r="BF170" s="23">
        <f>IF(OR(BF$1="",$BM170=0),"",IFERROR(LOOKUP(2,1/((Budgets!$A$2:$A$200=BF$1)*(Budgets!$B$2:$B$200&lt;EDATE($A170,1))),Budgets!$C$2:$C$200),0))</f>
        <v/>
      </c>
      <c r="BG170" s="23">
        <f>IF(OR(BG$1="",$BM170=0),"",IFERROR(LOOKUP(2,1/((Budgets!$A$2:$A$200=BG$1)*(Budgets!$B$2:$B$200&lt;EDATE($A170,1))),Budgets!$C$2:$C$200),0))</f>
        <v/>
      </c>
      <c r="BH170" s="23">
        <f>IF(OR(BH$1="",$BM170=0),"",IFERROR(LOOKUP(2,1/((Budgets!$A$2:$A$200=BH$1)*(Budgets!$B$2:$B$200&lt;EDATE($A170,1))),Budgets!$C$2:$C$200),0))</f>
        <v/>
      </c>
      <c r="BI170" s="23">
        <f>IF(OR(BI$1="",$BM170=0),"",IFERROR(LOOKUP(2,1/((Budgets!$A$2:$A$200=BI$1)*(Budgets!$B$2:$B$200&lt;EDATE($A170,1))),Budgets!$C$2:$C$200),0))</f>
        <v/>
      </c>
      <c r="BJ170" s="23">
        <f>IF(OR(BJ$1="",$BM170=0),"",IFERROR(LOOKUP(2,1/((Budgets!$A$2:$A$200=BJ$1)*(Budgets!$B$2:$B$200&lt;EDATE($A170,1))),Budgets!$C$2:$C$200),0))</f>
        <v/>
      </c>
      <c r="BK170" s="23">
        <f>IF(OR(BK$1="",$BM170=0),"",IFERROR(LOOKUP(2,1/((Budgets!$A$2:$A$200=BK$1)*(Budgets!$B$2:$B$200&lt;EDATE($A170,1))),Budgets!$C$2:$C$200),0))</f>
        <v/>
      </c>
      <c r="BM170" s="21">
        <f>COUNTIFS(Entries!$A$2:$A$5000,"&gt;="&amp;$A170,Entries!$A$2:$A$5000,"&lt;"&amp;EDATE($A170,1))</f>
        <v/>
      </c>
    </row>
    <row r="171">
      <c r="A171" s="22" t="n">
        <v>44593</v>
      </c>
      <c r="B171" s="23">
        <f>IF($BM171=0,NA(),SUMIFS(Entries!$E$2:$E$5000,Entries!$C$2:$C$5000,"Income",Entries!$A$2:$A$5000,"&gt;="&amp;$A171,Entries!$A$2:$A$5000,"&lt;"&amp;EDATE($A171,1)))</f>
        <v/>
      </c>
      <c r="C171" s="23">
        <f>IF($BM171=0,"",SUMIFS(Entries!$E$2:$E$5000,Entries!$C$2:$C$5000,"Actual",Entries!$A$2:$A$5000,"&gt;="&amp;$A171,Entries!$A$2:$A$5000,"&lt;"&amp;EDATE($A171,1)))</f>
        <v/>
      </c>
      <c r="D171" s="23">
        <f>IF($BM171=0,"",SUMIFS(Entries!$E$2:$E$5000,Entries!$C$2:$C$5000,"One-off",Entries!$A$2:$A$5000,"&gt;="&amp;$A171,Entries!$A$2:$A$5000,"&lt;"&amp;EDATE($A171,1)))</f>
        <v/>
      </c>
      <c r="E171" s="23">
        <f>IF($BM171=0,NA(),C171+D171)</f>
        <v/>
      </c>
      <c r="F171" s="23">
        <f>IF($BM171=0,"",SUM(AR171:BK171))</f>
        <v/>
      </c>
      <c r="G171" s="23">
        <f>IF($BM171=0,"",B171-E171)</f>
        <v/>
      </c>
      <c r="H171" s="23">
        <f>IF($BM171=0,"",SUM($G$2:G171))</f>
        <v/>
      </c>
      <c r="I171" s="23">
        <f>IF($BM171=0,"",SUMIFS(Entries!$G$2:$G$5000,Entries!$A$2:$A$5000,"&gt;="&amp;$A171,Entries!$A$2:$A$5000,"&lt;"&amp;EDATE($A171,1)))</f>
        <v/>
      </c>
      <c r="J171" s="23">
        <f>IF($BM171=0,NA(),H171)</f>
        <v/>
      </c>
      <c r="K171" s="23">
        <f>IF($BM171=0,"",SUMIFS(Entries!$E$2:$E$5000,Entries!$C$2:$C$5000,"Income",Entries!$A$2:$A$5000,"&gt;="&amp;EDATE($A171,-11),Entries!$A$2:$A$5000,"&lt;"&amp;EDATE($A171,1))/COUNTIFS($A$2:$A$400,"&gt;="&amp;EDATE($A171,-11),$A$2:$A$400,"&lt;"&amp;EDATE($A171,1),$BM$2:$BM$400,"&gt;0"))</f>
      </c>
      <c r="L171" s="23">
        <f>IF($BM171=0,"",(SUMIFS(Entries!$E$2:$E$5000,Entries!$C$2:$C$5000,"Actual",Entries!$A$2:$A$5000,"&gt;="&amp;EDATE($A171,-11),Entries!$A$2:$A$5000,"&lt;"&amp;EDATE($A171,1))+SUMIFS(Entries!$E$2:$E$5000,Entries!$C$2:$C$5000,"One-off",Entries!$A$2:$A$5000,"&gt;="&amp;EDATE($A171,-11),Entries!$A$2:$A$5000,"&lt;"&amp;EDATE($A171,1)))/COUNTIFS($A$2:$A$400,"&gt;="&amp;EDATE($A171,-11),$A$2:$A$400,"&lt;"&amp;EDATE($A171,1),$BM$2:$BM$400,"&gt;0"))</f>
      </c>
      <c r="M171" s="24">
        <f>IF($BM171=0,NA(),IFERROR((K171-L171)/K171,0))</f>
        <v/>
      </c>
      <c r="N171" s="23">
        <f>IF($BM171=0,NA(),SUMIFS(Entries!$E$2:$E$5000,Entries!$D$2:$D$5000,"Core",Entries!$A$2:$A$5000,"&gt;="&amp;$A171,Entries!$A$2:$A$5000,"&lt;"&amp;EDATE($A171,1)))</f>
        <v/>
      </c>
      <c r="O171" s="23">
        <f>IF($BM171=0,NA(),SUMIFS(Entries!$E$2:$E$5000,Entries!$D$2:$D$5000,"Over &amp; above",Entries!$A$2:$A$5000,"&gt;="&amp;$A171,Entries!$A$2:$A$5000,"&lt;"&amp;EDATE($A171,1)))</f>
        <v/>
      </c>
      <c r="P171" s="23">
        <f>IF($BM171=0,NA(),SUMIFS(Entries!$E$2:$E$5000,Entries!$D$2:$D$5000,"One-off",Entries!$A$2:$A$5000,"&gt;="&amp;$A171,Entries!$A$2:$A$5000,"&lt;"&amp;EDATE($A171,1)))</f>
        <v/>
      </c>
      <c r="Q171" s="23">
        <f>IF($BM171=0,NA(),SUMIFS(Entries!$E$2:$E$5000,Entries!$D$2:$D$5000,"Reimbursable",Entries!$A$2:$A$5000,"&gt;="&amp;$A171,Entries!$A$2:$A$5000,"&lt;"&amp;EDATE($A171,1)))</f>
        <v/>
      </c>
      <c r="R171" s="23">
        <f>IF($BM171=0,NA(),SUMIFS(Entries!$E$2:$E$5000,Entries!$D$2:$D$5000,"Investment",Entries!$A$2:$A$5000,"&gt;="&amp;$A171,Entries!$A$2:$A$5000,"&lt;"&amp;EDATE($A171,1)))</f>
        <v/>
      </c>
      <c r="S171" s="23">
        <f>IF($BM171=0,NA(),N171+O171)</f>
        <v/>
      </c>
      <c r="T171" s="23">
        <f>IF($BM171=0,"",E171-Q171)</f>
        <v/>
      </c>
      <c r="W171" s="23">
        <f>IF(OR(W$1="",$BM171=0),"",SUMIFS(Entries!$E$2:$E$5000,Entries!$C$2:$C$5000,"Actual",Entries!$A$2:$A$5000,"&gt;="&amp;$A171,Entries!$A$2:$A$5000,"&lt;"&amp;EDATE($A171,1),Entries!$B$2:$B$5000,W$1))</f>
        <v/>
      </c>
      <c r="X171" s="23">
        <f>IF(OR(X$1="",$BM171=0),"",SUMIFS(Entries!$E$2:$E$5000,Entries!$C$2:$C$5000,"Actual",Entries!$A$2:$A$5000,"&gt;="&amp;$A171,Entries!$A$2:$A$5000,"&lt;"&amp;EDATE($A171,1),Entries!$B$2:$B$5000,X$1))</f>
        <v/>
      </c>
      <c r="Y171" s="23">
        <f>IF(OR(Y$1="",$BM171=0),"",SUMIFS(Entries!$E$2:$E$5000,Entries!$C$2:$C$5000,"Actual",Entries!$A$2:$A$5000,"&gt;="&amp;$A171,Entries!$A$2:$A$5000,"&lt;"&amp;EDATE($A171,1),Entries!$B$2:$B$5000,Y$1))</f>
        <v/>
      </c>
      <c r="Z171" s="23">
        <f>IF(OR(Z$1="",$BM171=0),"",SUMIFS(Entries!$E$2:$E$5000,Entries!$C$2:$C$5000,"Actual",Entries!$A$2:$A$5000,"&gt;="&amp;$A171,Entries!$A$2:$A$5000,"&lt;"&amp;EDATE($A171,1),Entries!$B$2:$B$5000,Z$1))</f>
        <v/>
      </c>
      <c r="AA171" s="23">
        <f>IF(OR(AA$1="",$BM171=0),"",SUMIFS(Entries!$E$2:$E$5000,Entries!$C$2:$C$5000,"Actual",Entries!$A$2:$A$5000,"&gt;="&amp;$A171,Entries!$A$2:$A$5000,"&lt;"&amp;EDATE($A171,1),Entries!$B$2:$B$5000,AA$1))</f>
        <v/>
      </c>
      <c r="AB171" s="23">
        <f>IF(OR(AB$1="",$BM171=0),"",SUMIFS(Entries!$E$2:$E$5000,Entries!$C$2:$C$5000,"Actual",Entries!$A$2:$A$5000,"&gt;="&amp;$A171,Entries!$A$2:$A$5000,"&lt;"&amp;EDATE($A171,1),Entries!$B$2:$B$5000,AB$1))</f>
        <v/>
      </c>
      <c r="AC171" s="23">
        <f>IF(OR(AC$1="",$BM171=0),"",SUMIFS(Entries!$E$2:$E$5000,Entries!$C$2:$C$5000,"Actual",Entries!$A$2:$A$5000,"&gt;="&amp;$A171,Entries!$A$2:$A$5000,"&lt;"&amp;EDATE($A171,1),Entries!$B$2:$B$5000,AC$1))</f>
        <v/>
      </c>
      <c r="AD171" s="23">
        <f>IF(OR(AD$1="",$BM171=0),"",SUMIFS(Entries!$E$2:$E$5000,Entries!$C$2:$C$5000,"Actual",Entries!$A$2:$A$5000,"&gt;="&amp;$A171,Entries!$A$2:$A$5000,"&lt;"&amp;EDATE($A171,1),Entries!$B$2:$B$5000,AD$1))</f>
        <v/>
      </c>
      <c r="AE171" s="23">
        <f>IF(OR(AE$1="",$BM171=0),"",SUMIFS(Entries!$E$2:$E$5000,Entries!$C$2:$C$5000,"Actual",Entries!$A$2:$A$5000,"&gt;="&amp;$A171,Entries!$A$2:$A$5000,"&lt;"&amp;EDATE($A171,1),Entries!$B$2:$B$5000,AE$1))</f>
        <v/>
      </c>
      <c r="AF171" s="23">
        <f>IF(OR(AF$1="",$BM171=0),"",SUMIFS(Entries!$E$2:$E$5000,Entries!$C$2:$C$5000,"Actual",Entries!$A$2:$A$5000,"&gt;="&amp;$A171,Entries!$A$2:$A$5000,"&lt;"&amp;EDATE($A171,1),Entries!$B$2:$B$5000,AF$1))</f>
        <v/>
      </c>
      <c r="AG171" s="23">
        <f>IF(OR(AG$1="",$BM171=0),"",SUMIFS(Entries!$E$2:$E$5000,Entries!$C$2:$C$5000,"Actual",Entries!$A$2:$A$5000,"&gt;="&amp;$A171,Entries!$A$2:$A$5000,"&lt;"&amp;EDATE($A171,1),Entries!$B$2:$B$5000,AG$1))</f>
        <v/>
      </c>
      <c r="AH171" s="23">
        <f>IF(OR(AH$1="",$BM171=0),"",SUMIFS(Entries!$E$2:$E$5000,Entries!$C$2:$C$5000,"Actual",Entries!$A$2:$A$5000,"&gt;="&amp;$A171,Entries!$A$2:$A$5000,"&lt;"&amp;EDATE($A171,1),Entries!$B$2:$B$5000,AH$1))</f>
        <v/>
      </c>
      <c r="AI171" s="23">
        <f>IF(OR(AI$1="",$BM171=0),"",SUMIFS(Entries!$E$2:$E$5000,Entries!$C$2:$C$5000,"Actual",Entries!$A$2:$A$5000,"&gt;="&amp;$A171,Entries!$A$2:$A$5000,"&lt;"&amp;EDATE($A171,1),Entries!$B$2:$B$5000,AI$1))</f>
        <v/>
      </c>
      <c r="AJ171" s="23">
        <f>IF(OR(AJ$1="",$BM171=0),"",SUMIFS(Entries!$E$2:$E$5000,Entries!$C$2:$C$5000,"Actual",Entries!$A$2:$A$5000,"&gt;="&amp;$A171,Entries!$A$2:$A$5000,"&lt;"&amp;EDATE($A171,1),Entries!$B$2:$B$5000,AJ$1))</f>
        <v/>
      </c>
      <c r="AK171" s="23">
        <f>IF(OR(AK$1="",$BM171=0),"",SUMIFS(Entries!$E$2:$E$5000,Entries!$C$2:$C$5000,"Actual",Entries!$A$2:$A$5000,"&gt;="&amp;$A171,Entries!$A$2:$A$5000,"&lt;"&amp;EDATE($A171,1),Entries!$B$2:$B$5000,AK$1))</f>
        <v/>
      </c>
      <c r="AL171" s="23">
        <f>IF(OR(AL$1="",$BM171=0),"",SUMIFS(Entries!$E$2:$E$5000,Entries!$C$2:$C$5000,"Actual",Entries!$A$2:$A$5000,"&gt;="&amp;$A171,Entries!$A$2:$A$5000,"&lt;"&amp;EDATE($A171,1),Entries!$B$2:$B$5000,AL$1))</f>
        <v/>
      </c>
      <c r="AM171" s="23">
        <f>IF(OR(AM$1="",$BM171=0),"",SUMIFS(Entries!$E$2:$E$5000,Entries!$C$2:$C$5000,"Actual",Entries!$A$2:$A$5000,"&gt;="&amp;$A171,Entries!$A$2:$A$5000,"&lt;"&amp;EDATE($A171,1),Entries!$B$2:$B$5000,AM$1))</f>
        <v/>
      </c>
      <c r="AN171" s="23">
        <f>IF(OR(AN$1="",$BM171=0),"",SUMIFS(Entries!$E$2:$E$5000,Entries!$C$2:$C$5000,"Actual",Entries!$A$2:$A$5000,"&gt;="&amp;$A171,Entries!$A$2:$A$5000,"&lt;"&amp;EDATE($A171,1),Entries!$B$2:$B$5000,AN$1))</f>
        <v/>
      </c>
      <c r="AO171" s="23">
        <f>IF(OR(AO$1="",$BM171=0),"",SUMIFS(Entries!$E$2:$E$5000,Entries!$C$2:$C$5000,"Actual",Entries!$A$2:$A$5000,"&gt;="&amp;$A171,Entries!$A$2:$A$5000,"&lt;"&amp;EDATE($A171,1),Entries!$B$2:$B$5000,AO$1))</f>
        <v/>
      </c>
      <c r="AP171" s="23">
        <f>IF(OR(AP$1="",$BM171=0),"",SUMIFS(Entries!$E$2:$E$5000,Entries!$C$2:$C$5000,"Actual",Entries!$A$2:$A$5000,"&gt;="&amp;$A171,Entries!$A$2:$A$5000,"&lt;"&amp;EDATE($A171,1),Entries!$B$2:$B$5000,AP$1))</f>
        <v/>
      </c>
      <c r="AR171" s="23">
        <f>IF(OR(AR$1="",$BM171=0),"",IFERROR(LOOKUP(2,1/((Budgets!$A$2:$A$200=AR$1)*(Budgets!$B$2:$B$200&lt;EDATE($A171,1))),Budgets!$C$2:$C$200),0))</f>
        <v/>
      </c>
      <c r="AS171" s="23">
        <f>IF(OR(AS$1="",$BM171=0),"",IFERROR(LOOKUP(2,1/((Budgets!$A$2:$A$200=AS$1)*(Budgets!$B$2:$B$200&lt;EDATE($A171,1))),Budgets!$C$2:$C$200),0))</f>
        <v/>
      </c>
      <c r="AT171" s="23">
        <f>IF(OR(AT$1="",$BM171=0),"",IFERROR(LOOKUP(2,1/((Budgets!$A$2:$A$200=AT$1)*(Budgets!$B$2:$B$200&lt;EDATE($A171,1))),Budgets!$C$2:$C$200),0))</f>
        <v/>
      </c>
      <c r="AU171" s="23">
        <f>IF(OR(AU$1="",$BM171=0),"",IFERROR(LOOKUP(2,1/((Budgets!$A$2:$A$200=AU$1)*(Budgets!$B$2:$B$200&lt;EDATE($A171,1))),Budgets!$C$2:$C$200),0))</f>
        <v/>
      </c>
      <c r="AV171" s="23">
        <f>IF(OR(AV$1="",$BM171=0),"",IFERROR(LOOKUP(2,1/((Budgets!$A$2:$A$200=AV$1)*(Budgets!$B$2:$B$200&lt;EDATE($A171,1))),Budgets!$C$2:$C$200),0))</f>
        <v/>
      </c>
      <c r="AW171" s="23">
        <f>IF(OR(AW$1="",$BM171=0),"",IFERROR(LOOKUP(2,1/((Budgets!$A$2:$A$200=AW$1)*(Budgets!$B$2:$B$200&lt;EDATE($A171,1))),Budgets!$C$2:$C$200),0))</f>
        <v/>
      </c>
      <c r="AX171" s="23">
        <f>IF(OR(AX$1="",$BM171=0),"",IFERROR(LOOKUP(2,1/((Budgets!$A$2:$A$200=AX$1)*(Budgets!$B$2:$B$200&lt;EDATE($A171,1))),Budgets!$C$2:$C$200),0))</f>
        <v/>
      </c>
      <c r="AY171" s="23">
        <f>IF(OR(AY$1="",$BM171=0),"",IFERROR(LOOKUP(2,1/((Budgets!$A$2:$A$200=AY$1)*(Budgets!$B$2:$B$200&lt;EDATE($A171,1))),Budgets!$C$2:$C$200),0))</f>
        <v/>
      </c>
      <c r="AZ171" s="23">
        <f>IF(OR(AZ$1="",$BM171=0),"",IFERROR(LOOKUP(2,1/((Budgets!$A$2:$A$200=AZ$1)*(Budgets!$B$2:$B$200&lt;EDATE($A171,1))),Budgets!$C$2:$C$200),0))</f>
        <v/>
      </c>
      <c r="BA171" s="23">
        <f>IF(OR(BA$1="",$BM171=0),"",IFERROR(LOOKUP(2,1/((Budgets!$A$2:$A$200=BA$1)*(Budgets!$B$2:$B$200&lt;EDATE($A171,1))),Budgets!$C$2:$C$200),0))</f>
        <v/>
      </c>
      <c r="BB171" s="23">
        <f>IF(OR(BB$1="",$BM171=0),"",IFERROR(LOOKUP(2,1/((Budgets!$A$2:$A$200=BB$1)*(Budgets!$B$2:$B$200&lt;EDATE($A171,1))),Budgets!$C$2:$C$200),0))</f>
        <v/>
      </c>
      <c r="BC171" s="23">
        <f>IF(OR(BC$1="",$BM171=0),"",IFERROR(LOOKUP(2,1/((Budgets!$A$2:$A$200=BC$1)*(Budgets!$B$2:$B$200&lt;EDATE($A171,1))),Budgets!$C$2:$C$200),0))</f>
        <v/>
      </c>
      <c r="BD171" s="23">
        <f>IF(OR(BD$1="",$BM171=0),"",IFERROR(LOOKUP(2,1/((Budgets!$A$2:$A$200=BD$1)*(Budgets!$B$2:$B$200&lt;EDATE($A171,1))),Budgets!$C$2:$C$200),0))</f>
        <v/>
      </c>
      <c r="BE171" s="23">
        <f>IF(OR(BE$1="",$BM171=0),"",IFERROR(LOOKUP(2,1/((Budgets!$A$2:$A$200=BE$1)*(Budgets!$B$2:$B$200&lt;EDATE($A171,1))),Budgets!$C$2:$C$200),0))</f>
        <v/>
      </c>
      <c r="BF171" s="23">
        <f>IF(OR(BF$1="",$BM171=0),"",IFERROR(LOOKUP(2,1/((Budgets!$A$2:$A$200=BF$1)*(Budgets!$B$2:$B$200&lt;EDATE($A171,1))),Budgets!$C$2:$C$200),0))</f>
        <v/>
      </c>
      <c r="BG171" s="23">
        <f>IF(OR(BG$1="",$BM171=0),"",IFERROR(LOOKUP(2,1/((Budgets!$A$2:$A$200=BG$1)*(Budgets!$B$2:$B$200&lt;EDATE($A171,1))),Budgets!$C$2:$C$200),0))</f>
        <v/>
      </c>
      <c r="BH171" s="23">
        <f>IF(OR(BH$1="",$BM171=0),"",IFERROR(LOOKUP(2,1/((Budgets!$A$2:$A$200=BH$1)*(Budgets!$B$2:$B$200&lt;EDATE($A171,1))),Budgets!$C$2:$C$200),0))</f>
        <v/>
      </c>
      <c r="BI171" s="23">
        <f>IF(OR(BI$1="",$BM171=0),"",IFERROR(LOOKUP(2,1/((Budgets!$A$2:$A$200=BI$1)*(Budgets!$B$2:$B$200&lt;EDATE($A171,1))),Budgets!$C$2:$C$200),0))</f>
        <v/>
      </c>
      <c r="BJ171" s="23">
        <f>IF(OR(BJ$1="",$BM171=0),"",IFERROR(LOOKUP(2,1/((Budgets!$A$2:$A$200=BJ$1)*(Budgets!$B$2:$B$200&lt;EDATE($A171,1))),Budgets!$C$2:$C$200),0))</f>
        <v/>
      </c>
      <c r="BK171" s="23">
        <f>IF(OR(BK$1="",$BM171=0),"",IFERROR(LOOKUP(2,1/((Budgets!$A$2:$A$200=BK$1)*(Budgets!$B$2:$B$200&lt;EDATE($A171,1))),Budgets!$C$2:$C$200),0))</f>
        <v/>
      </c>
      <c r="BM171" s="21">
        <f>COUNTIFS(Entries!$A$2:$A$5000,"&gt;="&amp;$A171,Entries!$A$2:$A$5000,"&lt;"&amp;EDATE($A171,1))</f>
        <v/>
      </c>
    </row>
    <row r="172">
      <c r="A172" s="22" t="n">
        <v>44621</v>
      </c>
      <c r="B172" s="23">
        <f>IF($BM172=0,NA(),SUMIFS(Entries!$E$2:$E$5000,Entries!$C$2:$C$5000,"Income",Entries!$A$2:$A$5000,"&gt;="&amp;$A172,Entries!$A$2:$A$5000,"&lt;"&amp;EDATE($A172,1)))</f>
        <v/>
      </c>
      <c r="C172" s="23">
        <f>IF($BM172=0,"",SUMIFS(Entries!$E$2:$E$5000,Entries!$C$2:$C$5000,"Actual",Entries!$A$2:$A$5000,"&gt;="&amp;$A172,Entries!$A$2:$A$5000,"&lt;"&amp;EDATE($A172,1)))</f>
        <v/>
      </c>
      <c r="D172" s="23">
        <f>IF($BM172=0,"",SUMIFS(Entries!$E$2:$E$5000,Entries!$C$2:$C$5000,"One-off",Entries!$A$2:$A$5000,"&gt;="&amp;$A172,Entries!$A$2:$A$5000,"&lt;"&amp;EDATE($A172,1)))</f>
        <v/>
      </c>
      <c r="E172" s="23">
        <f>IF($BM172=0,NA(),C172+D172)</f>
        <v/>
      </c>
      <c r="F172" s="23">
        <f>IF($BM172=0,"",SUM(AR172:BK172))</f>
        <v/>
      </c>
      <c r="G172" s="23">
        <f>IF($BM172=0,"",B172-E172)</f>
        <v/>
      </c>
      <c r="H172" s="23">
        <f>IF($BM172=0,"",SUM($G$2:G172))</f>
        <v/>
      </c>
      <c r="I172" s="23">
        <f>IF($BM172=0,"",SUMIFS(Entries!$G$2:$G$5000,Entries!$A$2:$A$5000,"&gt;="&amp;$A172,Entries!$A$2:$A$5000,"&lt;"&amp;EDATE($A172,1)))</f>
        <v/>
      </c>
      <c r="J172" s="23">
        <f>IF($BM172=0,NA(),H172)</f>
        <v/>
      </c>
      <c r="K172" s="23">
        <f>IF($BM172=0,"",SUMIFS(Entries!$E$2:$E$5000,Entries!$C$2:$C$5000,"Income",Entries!$A$2:$A$5000,"&gt;="&amp;EDATE($A172,-11),Entries!$A$2:$A$5000,"&lt;"&amp;EDATE($A172,1))/COUNTIFS($A$2:$A$400,"&gt;="&amp;EDATE($A172,-11),$A$2:$A$400,"&lt;"&amp;EDATE($A172,1),$BM$2:$BM$400,"&gt;0"))</f>
      </c>
      <c r="L172" s="23">
        <f>IF($BM172=0,"",(SUMIFS(Entries!$E$2:$E$5000,Entries!$C$2:$C$5000,"Actual",Entries!$A$2:$A$5000,"&gt;="&amp;EDATE($A172,-11),Entries!$A$2:$A$5000,"&lt;"&amp;EDATE($A172,1))+SUMIFS(Entries!$E$2:$E$5000,Entries!$C$2:$C$5000,"One-off",Entries!$A$2:$A$5000,"&gt;="&amp;EDATE($A172,-11),Entries!$A$2:$A$5000,"&lt;"&amp;EDATE($A172,1)))/COUNTIFS($A$2:$A$400,"&gt;="&amp;EDATE($A172,-11),$A$2:$A$400,"&lt;"&amp;EDATE($A172,1),$BM$2:$BM$400,"&gt;0"))</f>
      </c>
      <c r="M172" s="24">
        <f>IF($BM172=0,NA(),IFERROR((K172-L172)/K172,0))</f>
        <v/>
      </c>
      <c r="N172" s="23">
        <f>IF($BM172=0,NA(),SUMIFS(Entries!$E$2:$E$5000,Entries!$D$2:$D$5000,"Core",Entries!$A$2:$A$5000,"&gt;="&amp;$A172,Entries!$A$2:$A$5000,"&lt;"&amp;EDATE($A172,1)))</f>
        <v/>
      </c>
      <c r="O172" s="23">
        <f>IF($BM172=0,NA(),SUMIFS(Entries!$E$2:$E$5000,Entries!$D$2:$D$5000,"Over &amp; above",Entries!$A$2:$A$5000,"&gt;="&amp;$A172,Entries!$A$2:$A$5000,"&lt;"&amp;EDATE($A172,1)))</f>
        <v/>
      </c>
      <c r="P172" s="23">
        <f>IF($BM172=0,NA(),SUMIFS(Entries!$E$2:$E$5000,Entries!$D$2:$D$5000,"One-off",Entries!$A$2:$A$5000,"&gt;="&amp;$A172,Entries!$A$2:$A$5000,"&lt;"&amp;EDATE($A172,1)))</f>
        <v/>
      </c>
      <c r="Q172" s="23">
        <f>IF($BM172=0,NA(),SUMIFS(Entries!$E$2:$E$5000,Entries!$D$2:$D$5000,"Reimbursable",Entries!$A$2:$A$5000,"&gt;="&amp;$A172,Entries!$A$2:$A$5000,"&lt;"&amp;EDATE($A172,1)))</f>
        <v/>
      </c>
      <c r="R172" s="23">
        <f>IF($BM172=0,NA(),SUMIFS(Entries!$E$2:$E$5000,Entries!$D$2:$D$5000,"Investment",Entries!$A$2:$A$5000,"&gt;="&amp;$A172,Entries!$A$2:$A$5000,"&lt;"&amp;EDATE($A172,1)))</f>
        <v/>
      </c>
      <c r="S172" s="23">
        <f>IF($BM172=0,NA(),N172+O172)</f>
        <v/>
      </c>
      <c r="T172" s="23">
        <f>IF($BM172=0,"",E172-Q172)</f>
        <v/>
      </c>
      <c r="W172" s="23">
        <f>IF(OR(W$1="",$BM172=0),"",SUMIFS(Entries!$E$2:$E$5000,Entries!$C$2:$C$5000,"Actual",Entries!$A$2:$A$5000,"&gt;="&amp;$A172,Entries!$A$2:$A$5000,"&lt;"&amp;EDATE($A172,1),Entries!$B$2:$B$5000,W$1))</f>
        <v/>
      </c>
      <c r="X172" s="23">
        <f>IF(OR(X$1="",$BM172=0),"",SUMIFS(Entries!$E$2:$E$5000,Entries!$C$2:$C$5000,"Actual",Entries!$A$2:$A$5000,"&gt;="&amp;$A172,Entries!$A$2:$A$5000,"&lt;"&amp;EDATE($A172,1),Entries!$B$2:$B$5000,X$1))</f>
        <v/>
      </c>
      <c r="Y172" s="23">
        <f>IF(OR(Y$1="",$BM172=0),"",SUMIFS(Entries!$E$2:$E$5000,Entries!$C$2:$C$5000,"Actual",Entries!$A$2:$A$5000,"&gt;="&amp;$A172,Entries!$A$2:$A$5000,"&lt;"&amp;EDATE($A172,1),Entries!$B$2:$B$5000,Y$1))</f>
        <v/>
      </c>
      <c r="Z172" s="23">
        <f>IF(OR(Z$1="",$BM172=0),"",SUMIFS(Entries!$E$2:$E$5000,Entries!$C$2:$C$5000,"Actual",Entries!$A$2:$A$5000,"&gt;="&amp;$A172,Entries!$A$2:$A$5000,"&lt;"&amp;EDATE($A172,1),Entries!$B$2:$B$5000,Z$1))</f>
        <v/>
      </c>
      <c r="AA172" s="23">
        <f>IF(OR(AA$1="",$BM172=0),"",SUMIFS(Entries!$E$2:$E$5000,Entries!$C$2:$C$5000,"Actual",Entries!$A$2:$A$5000,"&gt;="&amp;$A172,Entries!$A$2:$A$5000,"&lt;"&amp;EDATE($A172,1),Entries!$B$2:$B$5000,AA$1))</f>
        <v/>
      </c>
      <c r="AB172" s="23">
        <f>IF(OR(AB$1="",$BM172=0),"",SUMIFS(Entries!$E$2:$E$5000,Entries!$C$2:$C$5000,"Actual",Entries!$A$2:$A$5000,"&gt;="&amp;$A172,Entries!$A$2:$A$5000,"&lt;"&amp;EDATE($A172,1),Entries!$B$2:$B$5000,AB$1))</f>
        <v/>
      </c>
      <c r="AC172" s="23">
        <f>IF(OR(AC$1="",$BM172=0),"",SUMIFS(Entries!$E$2:$E$5000,Entries!$C$2:$C$5000,"Actual",Entries!$A$2:$A$5000,"&gt;="&amp;$A172,Entries!$A$2:$A$5000,"&lt;"&amp;EDATE($A172,1),Entries!$B$2:$B$5000,AC$1))</f>
        <v/>
      </c>
      <c r="AD172" s="23">
        <f>IF(OR(AD$1="",$BM172=0),"",SUMIFS(Entries!$E$2:$E$5000,Entries!$C$2:$C$5000,"Actual",Entries!$A$2:$A$5000,"&gt;="&amp;$A172,Entries!$A$2:$A$5000,"&lt;"&amp;EDATE($A172,1),Entries!$B$2:$B$5000,AD$1))</f>
        <v/>
      </c>
      <c r="AE172" s="23">
        <f>IF(OR(AE$1="",$BM172=0),"",SUMIFS(Entries!$E$2:$E$5000,Entries!$C$2:$C$5000,"Actual",Entries!$A$2:$A$5000,"&gt;="&amp;$A172,Entries!$A$2:$A$5000,"&lt;"&amp;EDATE($A172,1),Entries!$B$2:$B$5000,AE$1))</f>
        <v/>
      </c>
      <c r="AF172" s="23">
        <f>IF(OR(AF$1="",$BM172=0),"",SUMIFS(Entries!$E$2:$E$5000,Entries!$C$2:$C$5000,"Actual",Entries!$A$2:$A$5000,"&gt;="&amp;$A172,Entries!$A$2:$A$5000,"&lt;"&amp;EDATE($A172,1),Entries!$B$2:$B$5000,AF$1))</f>
        <v/>
      </c>
      <c r="AG172" s="23">
        <f>IF(OR(AG$1="",$BM172=0),"",SUMIFS(Entries!$E$2:$E$5000,Entries!$C$2:$C$5000,"Actual",Entries!$A$2:$A$5000,"&gt;="&amp;$A172,Entries!$A$2:$A$5000,"&lt;"&amp;EDATE($A172,1),Entries!$B$2:$B$5000,AG$1))</f>
        <v/>
      </c>
      <c r="AH172" s="23">
        <f>IF(OR(AH$1="",$BM172=0),"",SUMIFS(Entries!$E$2:$E$5000,Entries!$C$2:$C$5000,"Actual",Entries!$A$2:$A$5000,"&gt;="&amp;$A172,Entries!$A$2:$A$5000,"&lt;"&amp;EDATE($A172,1),Entries!$B$2:$B$5000,AH$1))</f>
        <v/>
      </c>
      <c r="AI172" s="23">
        <f>IF(OR(AI$1="",$BM172=0),"",SUMIFS(Entries!$E$2:$E$5000,Entries!$C$2:$C$5000,"Actual",Entries!$A$2:$A$5000,"&gt;="&amp;$A172,Entries!$A$2:$A$5000,"&lt;"&amp;EDATE($A172,1),Entries!$B$2:$B$5000,AI$1))</f>
        <v/>
      </c>
      <c r="AJ172" s="23">
        <f>IF(OR(AJ$1="",$BM172=0),"",SUMIFS(Entries!$E$2:$E$5000,Entries!$C$2:$C$5000,"Actual",Entries!$A$2:$A$5000,"&gt;="&amp;$A172,Entries!$A$2:$A$5000,"&lt;"&amp;EDATE($A172,1),Entries!$B$2:$B$5000,AJ$1))</f>
        <v/>
      </c>
      <c r="AK172" s="23">
        <f>IF(OR(AK$1="",$BM172=0),"",SUMIFS(Entries!$E$2:$E$5000,Entries!$C$2:$C$5000,"Actual",Entries!$A$2:$A$5000,"&gt;="&amp;$A172,Entries!$A$2:$A$5000,"&lt;"&amp;EDATE($A172,1),Entries!$B$2:$B$5000,AK$1))</f>
        <v/>
      </c>
      <c r="AL172" s="23">
        <f>IF(OR(AL$1="",$BM172=0),"",SUMIFS(Entries!$E$2:$E$5000,Entries!$C$2:$C$5000,"Actual",Entries!$A$2:$A$5000,"&gt;="&amp;$A172,Entries!$A$2:$A$5000,"&lt;"&amp;EDATE($A172,1),Entries!$B$2:$B$5000,AL$1))</f>
        <v/>
      </c>
      <c r="AM172" s="23">
        <f>IF(OR(AM$1="",$BM172=0),"",SUMIFS(Entries!$E$2:$E$5000,Entries!$C$2:$C$5000,"Actual",Entries!$A$2:$A$5000,"&gt;="&amp;$A172,Entries!$A$2:$A$5000,"&lt;"&amp;EDATE($A172,1),Entries!$B$2:$B$5000,AM$1))</f>
        <v/>
      </c>
      <c r="AN172" s="23">
        <f>IF(OR(AN$1="",$BM172=0),"",SUMIFS(Entries!$E$2:$E$5000,Entries!$C$2:$C$5000,"Actual",Entries!$A$2:$A$5000,"&gt;="&amp;$A172,Entries!$A$2:$A$5000,"&lt;"&amp;EDATE($A172,1),Entries!$B$2:$B$5000,AN$1))</f>
        <v/>
      </c>
      <c r="AO172" s="23">
        <f>IF(OR(AO$1="",$BM172=0),"",SUMIFS(Entries!$E$2:$E$5000,Entries!$C$2:$C$5000,"Actual",Entries!$A$2:$A$5000,"&gt;="&amp;$A172,Entries!$A$2:$A$5000,"&lt;"&amp;EDATE($A172,1),Entries!$B$2:$B$5000,AO$1))</f>
        <v/>
      </c>
      <c r="AP172" s="23">
        <f>IF(OR(AP$1="",$BM172=0),"",SUMIFS(Entries!$E$2:$E$5000,Entries!$C$2:$C$5000,"Actual",Entries!$A$2:$A$5000,"&gt;="&amp;$A172,Entries!$A$2:$A$5000,"&lt;"&amp;EDATE($A172,1),Entries!$B$2:$B$5000,AP$1))</f>
        <v/>
      </c>
      <c r="AR172" s="23">
        <f>IF(OR(AR$1="",$BM172=0),"",IFERROR(LOOKUP(2,1/((Budgets!$A$2:$A$200=AR$1)*(Budgets!$B$2:$B$200&lt;EDATE($A172,1))),Budgets!$C$2:$C$200),0))</f>
        <v/>
      </c>
      <c r="AS172" s="23">
        <f>IF(OR(AS$1="",$BM172=0),"",IFERROR(LOOKUP(2,1/((Budgets!$A$2:$A$200=AS$1)*(Budgets!$B$2:$B$200&lt;EDATE($A172,1))),Budgets!$C$2:$C$200),0))</f>
        <v/>
      </c>
      <c r="AT172" s="23">
        <f>IF(OR(AT$1="",$BM172=0),"",IFERROR(LOOKUP(2,1/((Budgets!$A$2:$A$200=AT$1)*(Budgets!$B$2:$B$200&lt;EDATE($A172,1))),Budgets!$C$2:$C$200),0))</f>
        <v/>
      </c>
      <c r="AU172" s="23">
        <f>IF(OR(AU$1="",$BM172=0),"",IFERROR(LOOKUP(2,1/((Budgets!$A$2:$A$200=AU$1)*(Budgets!$B$2:$B$200&lt;EDATE($A172,1))),Budgets!$C$2:$C$200),0))</f>
        <v/>
      </c>
      <c r="AV172" s="23">
        <f>IF(OR(AV$1="",$BM172=0),"",IFERROR(LOOKUP(2,1/((Budgets!$A$2:$A$200=AV$1)*(Budgets!$B$2:$B$200&lt;EDATE($A172,1))),Budgets!$C$2:$C$200),0))</f>
        <v/>
      </c>
      <c r="AW172" s="23">
        <f>IF(OR(AW$1="",$BM172=0),"",IFERROR(LOOKUP(2,1/((Budgets!$A$2:$A$200=AW$1)*(Budgets!$B$2:$B$200&lt;EDATE($A172,1))),Budgets!$C$2:$C$200),0))</f>
        <v/>
      </c>
      <c r="AX172" s="23">
        <f>IF(OR(AX$1="",$BM172=0),"",IFERROR(LOOKUP(2,1/((Budgets!$A$2:$A$200=AX$1)*(Budgets!$B$2:$B$200&lt;EDATE($A172,1))),Budgets!$C$2:$C$200),0))</f>
        <v/>
      </c>
      <c r="AY172" s="23">
        <f>IF(OR(AY$1="",$BM172=0),"",IFERROR(LOOKUP(2,1/((Budgets!$A$2:$A$200=AY$1)*(Budgets!$B$2:$B$200&lt;EDATE($A172,1))),Budgets!$C$2:$C$200),0))</f>
        <v/>
      </c>
      <c r="AZ172" s="23">
        <f>IF(OR(AZ$1="",$BM172=0),"",IFERROR(LOOKUP(2,1/((Budgets!$A$2:$A$200=AZ$1)*(Budgets!$B$2:$B$200&lt;EDATE($A172,1))),Budgets!$C$2:$C$200),0))</f>
        <v/>
      </c>
      <c r="BA172" s="23">
        <f>IF(OR(BA$1="",$BM172=0),"",IFERROR(LOOKUP(2,1/((Budgets!$A$2:$A$200=BA$1)*(Budgets!$B$2:$B$200&lt;EDATE($A172,1))),Budgets!$C$2:$C$200),0))</f>
        <v/>
      </c>
      <c r="BB172" s="23">
        <f>IF(OR(BB$1="",$BM172=0),"",IFERROR(LOOKUP(2,1/((Budgets!$A$2:$A$200=BB$1)*(Budgets!$B$2:$B$200&lt;EDATE($A172,1))),Budgets!$C$2:$C$200),0))</f>
        <v/>
      </c>
      <c r="BC172" s="23">
        <f>IF(OR(BC$1="",$BM172=0),"",IFERROR(LOOKUP(2,1/((Budgets!$A$2:$A$200=BC$1)*(Budgets!$B$2:$B$200&lt;EDATE($A172,1))),Budgets!$C$2:$C$200),0))</f>
        <v/>
      </c>
      <c r="BD172" s="23">
        <f>IF(OR(BD$1="",$BM172=0),"",IFERROR(LOOKUP(2,1/((Budgets!$A$2:$A$200=BD$1)*(Budgets!$B$2:$B$200&lt;EDATE($A172,1))),Budgets!$C$2:$C$200),0))</f>
        <v/>
      </c>
      <c r="BE172" s="23">
        <f>IF(OR(BE$1="",$BM172=0),"",IFERROR(LOOKUP(2,1/((Budgets!$A$2:$A$200=BE$1)*(Budgets!$B$2:$B$200&lt;EDATE($A172,1))),Budgets!$C$2:$C$200),0))</f>
        <v/>
      </c>
      <c r="BF172" s="23">
        <f>IF(OR(BF$1="",$BM172=0),"",IFERROR(LOOKUP(2,1/((Budgets!$A$2:$A$200=BF$1)*(Budgets!$B$2:$B$200&lt;EDATE($A172,1))),Budgets!$C$2:$C$200),0))</f>
        <v/>
      </c>
      <c r="BG172" s="23">
        <f>IF(OR(BG$1="",$BM172=0),"",IFERROR(LOOKUP(2,1/((Budgets!$A$2:$A$200=BG$1)*(Budgets!$B$2:$B$200&lt;EDATE($A172,1))),Budgets!$C$2:$C$200),0))</f>
        <v/>
      </c>
      <c r="BH172" s="23">
        <f>IF(OR(BH$1="",$BM172=0),"",IFERROR(LOOKUP(2,1/((Budgets!$A$2:$A$200=BH$1)*(Budgets!$B$2:$B$200&lt;EDATE($A172,1))),Budgets!$C$2:$C$200),0))</f>
        <v/>
      </c>
      <c r="BI172" s="23">
        <f>IF(OR(BI$1="",$BM172=0),"",IFERROR(LOOKUP(2,1/((Budgets!$A$2:$A$200=BI$1)*(Budgets!$B$2:$B$200&lt;EDATE($A172,1))),Budgets!$C$2:$C$200),0))</f>
        <v/>
      </c>
      <c r="BJ172" s="23">
        <f>IF(OR(BJ$1="",$BM172=0),"",IFERROR(LOOKUP(2,1/((Budgets!$A$2:$A$200=BJ$1)*(Budgets!$B$2:$B$200&lt;EDATE($A172,1))),Budgets!$C$2:$C$200),0))</f>
        <v/>
      </c>
      <c r="BK172" s="23">
        <f>IF(OR(BK$1="",$BM172=0),"",IFERROR(LOOKUP(2,1/((Budgets!$A$2:$A$200=BK$1)*(Budgets!$B$2:$B$200&lt;EDATE($A172,1))),Budgets!$C$2:$C$200),0))</f>
        <v/>
      </c>
      <c r="BM172" s="21">
        <f>COUNTIFS(Entries!$A$2:$A$5000,"&gt;="&amp;$A172,Entries!$A$2:$A$5000,"&lt;"&amp;EDATE($A172,1))</f>
        <v/>
      </c>
    </row>
    <row r="173">
      <c r="A173" s="22" t="n">
        <v>44652</v>
      </c>
      <c r="B173" s="23">
        <f>IF($BM173=0,NA(),SUMIFS(Entries!$E$2:$E$5000,Entries!$C$2:$C$5000,"Income",Entries!$A$2:$A$5000,"&gt;="&amp;$A173,Entries!$A$2:$A$5000,"&lt;"&amp;EDATE($A173,1)))</f>
        <v/>
      </c>
      <c r="C173" s="23">
        <f>IF($BM173=0,"",SUMIFS(Entries!$E$2:$E$5000,Entries!$C$2:$C$5000,"Actual",Entries!$A$2:$A$5000,"&gt;="&amp;$A173,Entries!$A$2:$A$5000,"&lt;"&amp;EDATE($A173,1)))</f>
        <v/>
      </c>
      <c r="D173" s="23">
        <f>IF($BM173=0,"",SUMIFS(Entries!$E$2:$E$5000,Entries!$C$2:$C$5000,"One-off",Entries!$A$2:$A$5000,"&gt;="&amp;$A173,Entries!$A$2:$A$5000,"&lt;"&amp;EDATE($A173,1)))</f>
        <v/>
      </c>
      <c r="E173" s="23">
        <f>IF($BM173=0,NA(),C173+D173)</f>
        <v/>
      </c>
      <c r="F173" s="23">
        <f>IF($BM173=0,"",SUM(AR173:BK173))</f>
        <v/>
      </c>
      <c r="G173" s="23">
        <f>IF($BM173=0,"",B173-E173)</f>
        <v/>
      </c>
      <c r="H173" s="23">
        <f>IF($BM173=0,"",SUM($G$2:G173))</f>
        <v/>
      </c>
      <c r="I173" s="23">
        <f>IF($BM173=0,"",SUMIFS(Entries!$G$2:$G$5000,Entries!$A$2:$A$5000,"&gt;="&amp;$A173,Entries!$A$2:$A$5000,"&lt;"&amp;EDATE($A173,1)))</f>
        <v/>
      </c>
      <c r="J173" s="23">
        <f>IF($BM173=0,NA(),H173)</f>
        <v/>
      </c>
      <c r="K173" s="23">
        <f>IF($BM173=0,"",SUMIFS(Entries!$E$2:$E$5000,Entries!$C$2:$C$5000,"Income",Entries!$A$2:$A$5000,"&gt;="&amp;EDATE($A173,-11),Entries!$A$2:$A$5000,"&lt;"&amp;EDATE($A173,1))/COUNTIFS($A$2:$A$400,"&gt;="&amp;EDATE($A173,-11),$A$2:$A$400,"&lt;"&amp;EDATE($A173,1),$BM$2:$BM$400,"&gt;0"))</f>
      </c>
      <c r="L173" s="23">
        <f>IF($BM173=0,"",(SUMIFS(Entries!$E$2:$E$5000,Entries!$C$2:$C$5000,"Actual",Entries!$A$2:$A$5000,"&gt;="&amp;EDATE($A173,-11),Entries!$A$2:$A$5000,"&lt;"&amp;EDATE($A173,1))+SUMIFS(Entries!$E$2:$E$5000,Entries!$C$2:$C$5000,"One-off",Entries!$A$2:$A$5000,"&gt;="&amp;EDATE($A173,-11),Entries!$A$2:$A$5000,"&lt;"&amp;EDATE($A173,1)))/COUNTIFS($A$2:$A$400,"&gt;="&amp;EDATE($A173,-11),$A$2:$A$400,"&lt;"&amp;EDATE($A173,1),$BM$2:$BM$400,"&gt;0"))</f>
      </c>
      <c r="M173" s="24">
        <f>IF($BM173=0,NA(),IFERROR((K173-L173)/K173,0))</f>
        <v/>
      </c>
      <c r="N173" s="23">
        <f>IF($BM173=0,NA(),SUMIFS(Entries!$E$2:$E$5000,Entries!$D$2:$D$5000,"Core",Entries!$A$2:$A$5000,"&gt;="&amp;$A173,Entries!$A$2:$A$5000,"&lt;"&amp;EDATE($A173,1)))</f>
        <v/>
      </c>
      <c r="O173" s="23">
        <f>IF($BM173=0,NA(),SUMIFS(Entries!$E$2:$E$5000,Entries!$D$2:$D$5000,"Over &amp; above",Entries!$A$2:$A$5000,"&gt;="&amp;$A173,Entries!$A$2:$A$5000,"&lt;"&amp;EDATE($A173,1)))</f>
        <v/>
      </c>
      <c r="P173" s="23">
        <f>IF($BM173=0,NA(),SUMIFS(Entries!$E$2:$E$5000,Entries!$D$2:$D$5000,"One-off",Entries!$A$2:$A$5000,"&gt;="&amp;$A173,Entries!$A$2:$A$5000,"&lt;"&amp;EDATE($A173,1)))</f>
        <v/>
      </c>
      <c r="Q173" s="23">
        <f>IF($BM173=0,NA(),SUMIFS(Entries!$E$2:$E$5000,Entries!$D$2:$D$5000,"Reimbursable",Entries!$A$2:$A$5000,"&gt;="&amp;$A173,Entries!$A$2:$A$5000,"&lt;"&amp;EDATE($A173,1)))</f>
        <v/>
      </c>
      <c r="R173" s="23">
        <f>IF($BM173=0,NA(),SUMIFS(Entries!$E$2:$E$5000,Entries!$D$2:$D$5000,"Investment",Entries!$A$2:$A$5000,"&gt;="&amp;$A173,Entries!$A$2:$A$5000,"&lt;"&amp;EDATE($A173,1)))</f>
        <v/>
      </c>
      <c r="S173" s="23">
        <f>IF($BM173=0,NA(),N173+O173)</f>
        <v/>
      </c>
      <c r="T173" s="23">
        <f>IF($BM173=0,"",E173-Q173)</f>
        <v/>
      </c>
      <c r="W173" s="23">
        <f>IF(OR(W$1="",$BM173=0),"",SUMIFS(Entries!$E$2:$E$5000,Entries!$C$2:$C$5000,"Actual",Entries!$A$2:$A$5000,"&gt;="&amp;$A173,Entries!$A$2:$A$5000,"&lt;"&amp;EDATE($A173,1),Entries!$B$2:$B$5000,W$1))</f>
        <v/>
      </c>
      <c r="X173" s="23">
        <f>IF(OR(X$1="",$BM173=0),"",SUMIFS(Entries!$E$2:$E$5000,Entries!$C$2:$C$5000,"Actual",Entries!$A$2:$A$5000,"&gt;="&amp;$A173,Entries!$A$2:$A$5000,"&lt;"&amp;EDATE($A173,1),Entries!$B$2:$B$5000,X$1))</f>
        <v/>
      </c>
      <c r="Y173" s="23">
        <f>IF(OR(Y$1="",$BM173=0),"",SUMIFS(Entries!$E$2:$E$5000,Entries!$C$2:$C$5000,"Actual",Entries!$A$2:$A$5000,"&gt;="&amp;$A173,Entries!$A$2:$A$5000,"&lt;"&amp;EDATE($A173,1),Entries!$B$2:$B$5000,Y$1))</f>
        <v/>
      </c>
      <c r="Z173" s="23">
        <f>IF(OR(Z$1="",$BM173=0),"",SUMIFS(Entries!$E$2:$E$5000,Entries!$C$2:$C$5000,"Actual",Entries!$A$2:$A$5000,"&gt;="&amp;$A173,Entries!$A$2:$A$5000,"&lt;"&amp;EDATE($A173,1),Entries!$B$2:$B$5000,Z$1))</f>
        <v/>
      </c>
      <c r="AA173" s="23">
        <f>IF(OR(AA$1="",$BM173=0),"",SUMIFS(Entries!$E$2:$E$5000,Entries!$C$2:$C$5000,"Actual",Entries!$A$2:$A$5000,"&gt;="&amp;$A173,Entries!$A$2:$A$5000,"&lt;"&amp;EDATE($A173,1),Entries!$B$2:$B$5000,AA$1))</f>
        <v/>
      </c>
      <c r="AB173" s="23">
        <f>IF(OR(AB$1="",$BM173=0),"",SUMIFS(Entries!$E$2:$E$5000,Entries!$C$2:$C$5000,"Actual",Entries!$A$2:$A$5000,"&gt;="&amp;$A173,Entries!$A$2:$A$5000,"&lt;"&amp;EDATE($A173,1),Entries!$B$2:$B$5000,AB$1))</f>
        <v/>
      </c>
      <c r="AC173" s="23">
        <f>IF(OR(AC$1="",$BM173=0),"",SUMIFS(Entries!$E$2:$E$5000,Entries!$C$2:$C$5000,"Actual",Entries!$A$2:$A$5000,"&gt;="&amp;$A173,Entries!$A$2:$A$5000,"&lt;"&amp;EDATE($A173,1),Entries!$B$2:$B$5000,AC$1))</f>
        <v/>
      </c>
      <c r="AD173" s="23">
        <f>IF(OR(AD$1="",$BM173=0),"",SUMIFS(Entries!$E$2:$E$5000,Entries!$C$2:$C$5000,"Actual",Entries!$A$2:$A$5000,"&gt;="&amp;$A173,Entries!$A$2:$A$5000,"&lt;"&amp;EDATE($A173,1),Entries!$B$2:$B$5000,AD$1))</f>
        <v/>
      </c>
      <c r="AE173" s="23">
        <f>IF(OR(AE$1="",$BM173=0),"",SUMIFS(Entries!$E$2:$E$5000,Entries!$C$2:$C$5000,"Actual",Entries!$A$2:$A$5000,"&gt;="&amp;$A173,Entries!$A$2:$A$5000,"&lt;"&amp;EDATE($A173,1),Entries!$B$2:$B$5000,AE$1))</f>
        <v/>
      </c>
      <c r="AF173" s="23">
        <f>IF(OR(AF$1="",$BM173=0),"",SUMIFS(Entries!$E$2:$E$5000,Entries!$C$2:$C$5000,"Actual",Entries!$A$2:$A$5000,"&gt;="&amp;$A173,Entries!$A$2:$A$5000,"&lt;"&amp;EDATE($A173,1),Entries!$B$2:$B$5000,AF$1))</f>
        <v/>
      </c>
      <c r="AG173" s="23">
        <f>IF(OR(AG$1="",$BM173=0),"",SUMIFS(Entries!$E$2:$E$5000,Entries!$C$2:$C$5000,"Actual",Entries!$A$2:$A$5000,"&gt;="&amp;$A173,Entries!$A$2:$A$5000,"&lt;"&amp;EDATE($A173,1),Entries!$B$2:$B$5000,AG$1))</f>
        <v/>
      </c>
      <c r="AH173" s="23">
        <f>IF(OR(AH$1="",$BM173=0),"",SUMIFS(Entries!$E$2:$E$5000,Entries!$C$2:$C$5000,"Actual",Entries!$A$2:$A$5000,"&gt;="&amp;$A173,Entries!$A$2:$A$5000,"&lt;"&amp;EDATE($A173,1),Entries!$B$2:$B$5000,AH$1))</f>
        <v/>
      </c>
      <c r="AI173" s="23">
        <f>IF(OR(AI$1="",$BM173=0),"",SUMIFS(Entries!$E$2:$E$5000,Entries!$C$2:$C$5000,"Actual",Entries!$A$2:$A$5000,"&gt;="&amp;$A173,Entries!$A$2:$A$5000,"&lt;"&amp;EDATE($A173,1),Entries!$B$2:$B$5000,AI$1))</f>
        <v/>
      </c>
      <c r="AJ173" s="23">
        <f>IF(OR(AJ$1="",$BM173=0),"",SUMIFS(Entries!$E$2:$E$5000,Entries!$C$2:$C$5000,"Actual",Entries!$A$2:$A$5000,"&gt;="&amp;$A173,Entries!$A$2:$A$5000,"&lt;"&amp;EDATE($A173,1),Entries!$B$2:$B$5000,AJ$1))</f>
        <v/>
      </c>
      <c r="AK173" s="23">
        <f>IF(OR(AK$1="",$BM173=0),"",SUMIFS(Entries!$E$2:$E$5000,Entries!$C$2:$C$5000,"Actual",Entries!$A$2:$A$5000,"&gt;="&amp;$A173,Entries!$A$2:$A$5000,"&lt;"&amp;EDATE($A173,1),Entries!$B$2:$B$5000,AK$1))</f>
        <v/>
      </c>
      <c r="AL173" s="23">
        <f>IF(OR(AL$1="",$BM173=0),"",SUMIFS(Entries!$E$2:$E$5000,Entries!$C$2:$C$5000,"Actual",Entries!$A$2:$A$5000,"&gt;="&amp;$A173,Entries!$A$2:$A$5000,"&lt;"&amp;EDATE($A173,1),Entries!$B$2:$B$5000,AL$1))</f>
        <v/>
      </c>
      <c r="AM173" s="23">
        <f>IF(OR(AM$1="",$BM173=0),"",SUMIFS(Entries!$E$2:$E$5000,Entries!$C$2:$C$5000,"Actual",Entries!$A$2:$A$5000,"&gt;="&amp;$A173,Entries!$A$2:$A$5000,"&lt;"&amp;EDATE($A173,1),Entries!$B$2:$B$5000,AM$1))</f>
        <v/>
      </c>
      <c r="AN173" s="23">
        <f>IF(OR(AN$1="",$BM173=0),"",SUMIFS(Entries!$E$2:$E$5000,Entries!$C$2:$C$5000,"Actual",Entries!$A$2:$A$5000,"&gt;="&amp;$A173,Entries!$A$2:$A$5000,"&lt;"&amp;EDATE($A173,1),Entries!$B$2:$B$5000,AN$1))</f>
        <v/>
      </c>
      <c r="AO173" s="23">
        <f>IF(OR(AO$1="",$BM173=0),"",SUMIFS(Entries!$E$2:$E$5000,Entries!$C$2:$C$5000,"Actual",Entries!$A$2:$A$5000,"&gt;="&amp;$A173,Entries!$A$2:$A$5000,"&lt;"&amp;EDATE($A173,1),Entries!$B$2:$B$5000,AO$1))</f>
        <v/>
      </c>
      <c r="AP173" s="23">
        <f>IF(OR(AP$1="",$BM173=0),"",SUMIFS(Entries!$E$2:$E$5000,Entries!$C$2:$C$5000,"Actual",Entries!$A$2:$A$5000,"&gt;="&amp;$A173,Entries!$A$2:$A$5000,"&lt;"&amp;EDATE($A173,1),Entries!$B$2:$B$5000,AP$1))</f>
        <v/>
      </c>
      <c r="AR173" s="23">
        <f>IF(OR(AR$1="",$BM173=0),"",IFERROR(LOOKUP(2,1/((Budgets!$A$2:$A$200=AR$1)*(Budgets!$B$2:$B$200&lt;EDATE($A173,1))),Budgets!$C$2:$C$200),0))</f>
        <v/>
      </c>
      <c r="AS173" s="23">
        <f>IF(OR(AS$1="",$BM173=0),"",IFERROR(LOOKUP(2,1/((Budgets!$A$2:$A$200=AS$1)*(Budgets!$B$2:$B$200&lt;EDATE($A173,1))),Budgets!$C$2:$C$200),0))</f>
        <v/>
      </c>
      <c r="AT173" s="23">
        <f>IF(OR(AT$1="",$BM173=0),"",IFERROR(LOOKUP(2,1/((Budgets!$A$2:$A$200=AT$1)*(Budgets!$B$2:$B$200&lt;EDATE($A173,1))),Budgets!$C$2:$C$200),0))</f>
        <v/>
      </c>
      <c r="AU173" s="23">
        <f>IF(OR(AU$1="",$BM173=0),"",IFERROR(LOOKUP(2,1/((Budgets!$A$2:$A$200=AU$1)*(Budgets!$B$2:$B$200&lt;EDATE($A173,1))),Budgets!$C$2:$C$200),0))</f>
        <v/>
      </c>
      <c r="AV173" s="23">
        <f>IF(OR(AV$1="",$BM173=0),"",IFERROR(LOOKUP(2,1/((Budgets!$A$2:$A$200=AV$1)*(Budgets!$B$2:$B$200&lt;EDATE($A173,1))),Budgets!$C$2:$C$200),0))</f>
        <v/>
      </c>
      <c r="AW173" s="23">
        <f>IF(OR(AW$1="",$BM173=0),"",IFERROR(LOOKUP(2,1/((Budgets!$A$2:$A$200=AW$1)*(Budgets!$B$2:$B$200&lt;EDATE($A173,1))),Budgets!$C$2:$C$200),0))</f>
        <v/>
      </c>
      <c r="AX173" s="23">
        <f>IF(OR(AX$1="",$BM173=0),"",IFERROR(LOOKUP(2,1/((Budgets!$A$2:$A$200=AX$1)*(Budgets!$B$2:$B$200&lt;EDATE($A173,1))),Budgets!$C$2:$C$200),0))</f>
        <v/>
      </c>
      <c r="AY173" s="23">
        <f>IF(OR(AY$1="",$BM173=0),"",IFERROR(LOOKUP(2,1/((Budgets!$A$2:$A$200=AY$1)*(Budgets!$B$2:$B$200&lt;EDATE($A173,1))),Budgets!$C$2:$C$200),0))</f>
        <v/>
      </c>
      <c r="AZ173" s="23">
        <f>IF(OR(AZ$1="",$BM173=0),"",IFERROR(LOOKUP(2,1/((Budgets!$A$2:$A$200=AZ$1)*(Budgets!$B$2:$B$200&lt;EDATE($A173,1))),Budgets!$C$2:$C$200),0))</f>
        <v/>
      </c>
      <c r="BA173" s="23">
        <f>IF(OR(BA$1="",$BM173=0),"",IFERROR(LOOKUP(2,1/((Budgets!$A$2:$A$200=BA$1)*(Budgets!$B$2:$B$200&lt;EDATE($A173,1))),Budgets!$C$2:$C$200),0))</f>
        <v/>
      </c>
      <c r="BB173" s="23">
        <f>IF(OR(BB$1="",$BM173=0),"",IFERROR(LOOKUP(2,1/((Budgets!$A$2:$A$200=BB$1)*(Budgets!$B$2:$B$200&lt;EDATE($A173,1))),Budgets!$C$2:$C$200),0))</f>
        <v/>
      </c>
      <c r="BC173" s="23">
        <f>IF(OR(BC$1="",$BM173=0),"",IFERROR(LOOKUP(2,1/((Budgets!$A$2:$A$200=BC$1)*(Budgets!$B$2:$B$200&lt;EDATE($A173,1))),Budgets!$C$2:$C$200),0))</f>
        <v/>
      </c>
      <c r="BD173" s="23">
        <f>IF(OR(BD$1="",$BM173=0),"",IFERROR(LOOKUP(2,1/((Budgets!$A$2:$A$200=BD$1)*(Budgets!$B$2:$B$200&lt;EDATE($A173,1))),Budgets!$C$2:$C$200),0))</f>
        <v/>
      </c>
      <c r="BE173" s="23">
        <f>IF(OR(BE$1="",$BM173=0),"",IFERROR(LOOKUP(2,1/((Budgets!$A$2:$A$200=BE$1)*(Budgets!$B$2:$B$200&lt;EDATE($A173,1))),Budgets!$C$2:$C$200),0))</f>
        <v/>
      </c>
      <c r="BF173" s="23">
        <f>IF(OR(BF$1="",$BM173=0),"",IFERROR(LOOKUP(2,1/((Budgets!$A$2:$A$200=BF$1)*(Budgets!$B$2:$B$200&lt;EDATE($A173,1))),Budgets!$C$2:$C$200),0))</f>
        <v/>
      </c>
      <c r="BG173" s="23">
        <f>IF(OR(BG$1="",$BM173=0),"",IFERROR(LOOKUP(2,1/((Budgets!$A$2:$A$200=BG$1)*(Budgets!$B$2:$B$200&lt;EDATE($A173,1))),Budgets!$C$2:$C$200),0))</f>
        <v/>
      </c>
      <c r="BH173" s="23">
        <f>IF(OR(BH$1="",$BM173=0),"",IFERROR(LOOKUP(2,1/((Budgets!$A$2:$A$200=BH$1)*(Budgets!$B$2:$B$200&lt;EDATE($A173,1))),Budgets!$C$2:$C$200),0))</f>
        <v/>
      </c>
      <c r="BI173" s="23">
        <f>IF(OR(BI$1="",$BM173=0),"",IFERROR(LOOKUP(2,1/((Budgets!$A$2:$A$200=BI$1)*(Budgets!$B$2:$B$200&lt;EDATE($A173,1))),Budgets!$C$2:$C$200),0))</f>
        <v/>
      </c>
      <c r="BJ173" s="23">
        <f>IF(OR(BJ$1="",$BM173=0),"",IFERROR(LOOKUP(2,1/((Budgets!$A$2:$A$200=BJ$1)*(Budgets!$B$2:$B$200&lt;EDATE($A173,1))),Budgets!$C$2:$C$200),0))</f>
        <v/>
      </c>
      <c r="BK173" s="23">
        <f>IF(OR(BK$1="",$BM173=0),"",IFERROR(LOOKUP(2,1/((Budgets!$A$2:$A$200=BK$1)*(Budgets!$B$2:$B$200&lt;EDATE($A173,1))),Budgets!$C$2:$C$200),0))</f>
        <v/>
      </c>
      <c r="BM173" s="21">
        <f>COUNTIFS(Entries!$A$2:$A$5000,"&gt;="&amp;$A173,Entries!$A$2:$A$5000,"&lt;"&amp;EDATE($A173,1))</f>
        <v/>
      </c>
    </row>
    <row r="174">
      <c r="A174" s="22" t="n">
        <v>44682</v>
      </c>
      <c r="B174" s="23">
        <f>IF($BM174=0,NA(),SUMIFS(Entries!$E$2:$E$5000,Entries!$C$2:$C$5000,"Income",Entries!$A$2:$A$5000,"&gt;="&amp;$A174,Entries!$A$2:$A$5000,"&lt;"&amp;EDATE($A174,1)))</f>
        <v/>
      </c>
      <c r="C174" s="23">
        <f>IF($BM174=0,"",SUMIFS(Entries!$E$2:$E$5000,Entries!$C$2:$C$5000,"Actual",Entries!$A$2:$A$5000,"&gt;="&amp;$A174,Entries!$A$2:$A$5000,"&lt;"&amp;EDATE($A174,1)))</f>
        <v/>
      </c>
      <c r="D174" s="23">
        <f>IF($BM174=0,"",SUMIFS(Entries!$E$2:$E$5000,Entries!$C$2:$C$5000,"One-off",Entries!$A$2:$A$5000,"&gt;="&amp;$A174,Entries!$A$2:$A$5000,"&lt;"&amp;EDATE($A174,1)))</f>
        <v/>
      </c>
      <c r="E174" s="23">
        <f>IF($BM174=0,NA(),C174+D174)</f>
        <v/>
      </c>
      <c r="F174" s="23">
        <f>IF($BM174=0,"",SUM(AR174:BK174))</f>
        <v/>
      </c>
      <c r="G174" s="23">
        <f>IF($BM174=0,"",B174-E174)</f>
        <v/>
      </c>
      <c r="H174" s="23">
        <f>IF($BM174=0,"",SUM($G$2:G174))</f>
        <v/>
      </c>
      <c r="I174" s="23">
        <f>IF($BM174=0,"",SUMIFS(Entries!$G$2:$G$5000,Entries!$A$2:$A$5000,"&gt;="&amp;$A174,Entries!$A$2:$A$5000,"&lt;"&amp;EDATE($A174,1)))</f>
        <v/>
      </c>
      <c r="J174" s="23">
        <f>IF($BM174=0,NA(),H174)</f>
        <v/>
      </c>
      <c r="K174" s="23">
        <f>IF($BM174=0,"",SUMIFS(Entries!$E$2:$E$5000,Entries!$C$2:$C$5000,"Income",Entries!$A$2:$A$5000,"&gt;="&amp;EDATE($A174,-11),Entries!$A$2:$A$5000,"&lt;"&amp;EDATE($A174,1))/COUNTIFS($A$2:$A$400,"&gt;="&amp;EDATE($A174,-11),$A$2:$A$400,"&lt;"&amp;EDATE($A174,1),$BM$2:$BM$400,"&gt;0"))</f>
      </c>
      <c r="L174" s="23">
        <f>IF($BM174=0,"",(SUMIFS(Entries!$E$2:$E$5000,Entries!$C$2:$C$5000,"Actual",Entries!$A$2:$A$5000,"&gt;="&amp;EDATE($A174,-11),Entries!$A$2:$A$5000,"&lt;"&amp;EDATE($A174,1))+SUMIFS(Entries!$E$2:$E$5000,Entries!$C$2:$C$5000,"One-off",Entries!$A$2:$A$5000,"&gt;="&amp;EDATE($A174,-11),Entries!$A$2:$A$5000,"&lt;"&amp;EDATE($A174,1)))/COUNTIFS($A$2:$A$400,"&gt;="&amp;EDATE($A174,-11),$A$2:$A$400,"&lt;"&amp;EDATE($A174,1),$BM$2:$BM$400,"&gt;0"))</f>
      </c>
      <c r="M174" s="24">
        <f>IF($BM174=0,NA(),IFERROR((K174-L174)/K174,0))</f>
        <v/>
      </c>
      <c r="N174" s="23">
        <f>IF($BM174=0,NA(),SUMIFS(Entries!$E$2:$E$5000,Entries!$D$2:$D$5000,"Core",Entries!$A$2:$A$5000,"&gt;="&amp;$A174,Entries!$A$2:$A$5000,"&lt;"&amp;EDATE($A174,1)))</f>
        <v/>
      </c>
      <c r="O174" s="23">
        <f>IF($BM174=0,NA(),SUMIFS(Entries!$E$2:$E$5000,Entries!$D$2:$D$5000,"Over &amp; above",Entries!$A$2:$A$5000,"&gt;="&amp;$A174,Entries!$A$2:$A$5000,"&lt;"&amp;EDATE($A174,1)))</f>
        <v/>
      </c>
      <c r="P174" s="23">
        <f>IF($BM174=0,NA(),SUMIFS(Entries!$E$2:$E$5000,Entries!$D$2:$D$5000,"One-off",Entries!$A$2:$A$5000,"&gt;="&amp;$A174,Entries!$A$2:$A$5000,"&lt;"&amp;EDATE($A174,1)))</f>
        <v/>
      </c>
      <c r="Q174" s="23">
        <f>IF($BM174=0,NA(),SUMIFS(Entries!$E$2:$E$5000,Entries!$D$2:$D$5000,"Reimbursable",Entries!$A$2:$A$5000,"&gt;="&amp;$A174,Entries!$A$2:$A$5000,"&lt;"&amp;EDATE($A174,1)))</f>
        <v/>
      </c>
      <c r="R174" s="23">
        <f>IF($BM174=0,NA(),SUMIFS(Entries!$E$2:$E$5000,Entries!$D$2:$D$5000,"Investment",Entries!$A$2:$A$5000,"&gt;="&amp;$A174,Entries!$A$2:$A$5000,"&lt;"&amp;EDATE($A174,1)))</f>
        <v/>
      </c>
      <c r="S174" s="23">
        <f>IF($BM174=0,NA(),N174+O174)</f>
        <v/>
      </c>
      <c r="T174" s="23">
        <f>IF($BM174=0,"",E174-Q174)</f>
        <v/>
      </c>
      <c r="W174" s="23">
        <f>IF(OR(W$1="",$BM174=0),"",SUMIFS(Entries!$E$2:$E$5000,Entries!$C$2:$C$5000,"Actual",Entries!$A$2:$A$5000,"&gt;="&amp;$A174,Entries!$A$2:$A$5000,"&lt;"&amp;EDATE($A174,1),Entries!$B$2:$B$5000,W$1))</f>
        <v/>
      </c>
      <c r="X174" s="23">
        <f>IF(OR(X$1="",$BM174=0),"",SUMIFS(Entries!$E$2:$E$5000,Entries!$C$2:$C$5000,"Actual",Entries!$A$2:$A$5000,"&gt;="&amp;$A174,Entries!$A$2:$A$5000,"&lt;"&amp;EDATE($A174,1),Entries!$B$2:$B$5000,X$1))</f>
        <v/>
      </c>
      <c r="Y174" s="23">
        <f>IF(OR(Y$1="",$BM174=0),"",SUMIFS(Entries!$E$2:$E$5000,Entries!$C$2:$C$5000,"Actual",Entries!$A$2:$A$5000,"&gt;="&amp;$A174,Entries!$A$2:$A$5000,"&lt;"&amp;EDATE($A174,1),Entries!$B$2:$B$5000,Y$1))</f>
        <v/>
      </c>
      <c r="Z174" s="23">
        <f>IF(OR(Z$1="",$BM174=0),"",SUMIFS(Entries!$E$2:$E$5000,Entries!$C$2:$C$5000,"Actual",Entries!$A$2:$A$5000,"&gt;="&amp;$A174,Entries!$A$2:$A$5000,"&lt;"&amp;EDATE($A174,1),Entries!$B$2:$B$5000,Z$1))</f>
        <v/>
      </c>
      <c r="AA174" s="23">
        <f>IF(OR(AA$1="",$BM174=0),"",SUMIFS(Entries!$E$2:$E$5000,Entries!$C$2:$C$5000,"Actual",Entries!$A$2:$A$5000,"&gt;="&amp;$A174,Entries!$A$2:$A$5000,"&lt;"&amp;EDATE($A174,1),Entries!$B$2:$B$5000,AA$1))</f>
        <v/>
      </c>
      <c r="AB174" s="23">
        <f>IF(OR(AB$1="",$BM174=0),"",SUMIFS(Entries!$E$2:$E$5000,Entries!$C$2:$C$5000,"Actual",Entries!$A$2:$A$5000,"&gt;="&amp;$A174,Entries!$A$2:$A$5000,"&lt;"&amp;EDATE($A174,1),Entries!$B$2:$B$5000,AB$1))</f>
        <v/>
      </c>
      <c r="AC174" s="23">
        <f>IF(OR(AC$1="",$BM174=0),"",SUMIFS(Entries!$E$2:$E$5000,Entries!$C$2:$C$5000,"Actual",Entries!$A$2:$A$5000,"&gt;="&amp;$A174,Entries!$A$2:$A$5000,"&lt;"&amp;EDATE($A174,1),Entries!$B$2:$B$5000,AC$1))</f>
        <v/>
      </c>
      <c r="AD174" s="23">
        <f>IF(OR(AD$1="",$BM174=0),"",SUMIFS(Entries!$E$2:$E$5000,Entries!$C$2:$C$5000,"Actual",Entries!$A$2:$A$5000,"&gt;="&amp;$A174,Entries!$A$2:$A$5000,"&lt;"&amp;EDATE($A174,1),Entries!$B$2:$B$5000,AD$1))</f>
        <v/>
      </c>
      <c r="AE174" s="23">
        <f>IF(OR(AE$1="",$BM174=0),"",SUMIFS(Entries!$E$2:$E$5000,Entries!$C$2:$C$5000,"Actual",Entries!$A$2:$A$5000,"&gt;="&amp;$A174,Entries!$A$2:$A$5000,"&lt;"&amp;EDATE($A174,1),Entries!$B$2:$B$5000,AE$1))</f>
        <v/>
      </c>
      <c r="AF174" s="23">
        <f>IF(OR(AF$1="",$BM174=0),"",SUMIFS(Entries!$E$2:$E$5000,Entries!$C$2:$C$5000,"Actual",Entries!$A$2:$A$5000,"&gt;="&amp;$A174,Entries!$A$2:$A$5000,"&lt;"&amp;EDATE($A174,1),Entries!$B$2:$B$5000,AF$1))</f>
        <v/>
      </c>
      <c r="AG174" s="23">
        <f>IF(OR(AG$1="",$BM174=0),"",SUMIFS(Entries!$E$2:$E$5000,Entries!$C$2:$C$5000,"Actual",Entries!$A$2:$A$5000,"&gt;="&amp;$A174,Entries!$A$2:$A$5000,"&lt;"&amp;EDATE($A174,1),Entries!$B$2:$B$5000,AG$1))</f>
        <v/>
      </c>
      <c r="AH174" s="23">
        <f>IF(OR(AH$1="",$BM174=0),"",SUMIFS(Entries!$E$2:$E$5000,Entries!$C$2:$C$5000,"Actual",Entries!$A$2:$A$5000,"&gt;="&amp;$A174,Entries!$A$2:$A$5000,"&lt;"&amp;EDATE($A174,1),Entries!$B$2:$B$5000,AH$1))</f>
        <v/>
      </c>
      <c r="AI174" s="23">
        <f>IF(OR(AI$1="",$BM174=0),"",SUMIFS(Entries!$E$2:$E$5000,Entries!$C$2:$C$5000,"Actual",Entries!$A$2:$A$5000,"&gt;="&amp;$A174,Entries!$A$2:$A$5000,"&lt;"&amp;EDATE($A174,1),Entries!$B$2:$B$5000,AI$1))</f>
        <v/>
      </c>
      <c r="AJ174" s="23">
        <f>IF(OR(AJ$1="",$BM174=0),"",SUMIFS(Entries!$E$2:$E$5000,Entries!$C$2:$C$5000,"Actual",Entries!$A$2:$A$5000,"&gt;="&amp;$A174,Entries!$A$2:$A$5000,"&lt;"&amp;EDATE($A174,1),Entries!$B$2:$B$5000,AJ$1))</f>
        <v/>
      </c>
      <c r="AK174" s="23">
        <f>IF(OR(AK$1="",$BM174=0),"",SUMIFS(Entries!$E$2:$E$5000,Entries!$C$2:$C$5000,"Actual",Entries!$A$2:$A$5000,"&gt;="&amp;$A174,Entries!$A$2:$A$5000,"&lt;"&amp;EDATE($A174,1),Entries!$B$2:$B$5000,AK$1))</f>
        <v/>
      </c>
      <c r="AL174" s="23">
        <f>IF(OR(AL$1="",$BM174=0),"",SUMIFS(Entries!$E$2:$E$5000,Entries!$C$2:$C$5000,"Actual",Entries!$A$2:$A$5000,"&gt;="&amp;$A174,Entries!$A$2:$A$5000,"&lt;"&amp;EDATE($A174,1),Entries!$B$2:$B$5000,AL$1))</f>
        <v/>
      </c>
      <c r="AM174" s="23">
        <f>IF(OR(AM$1="",$BM174=0),"",SUMIFS(Entries!$E$2:$E$5000,Entries!$C$2:$C$5000,"Actual",Entries!$A$2:$A$5000,"&gt;="&amp;$A174,Entries!$A$2:$A$5000,"&lt;"&amp;EDATE($A174,1),Entries!$B$2:$B$5000,AM$1))</f>
        <v/>
      </c>
      <c r="AN174" s="23">
        <f>IF(OR(AN$1="",$BM174=0),"",SUMIFS(Entries!$E$2:$E$5000,Entries!$C$2:$C$5000,"Actual",Entries!$A$2:$A$5000,"&gt;="&amp;$A174,Entries!$A$2:$A$5000,"&lt;"&amp;EDATE($A174,1),Entries!$B$2:$B$5000,AN$1))</f>
        <v/>
      </c>
      <c r="AO174" s="23">
        <f>IF(OR(AO$1="",$BM174=0),"",SUMIFS(Entries!$E$2:$E$5000,Entries!$C$2:$C$5000,"Actual",Entries!$A$2:$A$5000,"&gt;="&amp;$A174,Entries!$A$2:$A$5000,"&lt;"&amp;EDATE($A174,1),Entries!$B$2:$B$5000,AO$1))</f>
        <v/>
      </c>
      <c r="AP174" s="23">
        <f>IF(OR(AP$1="",$BM174=0),"",SUMIFS(Entries!$E$2:$E$5000,Entries!$C$2:$C$5000,"Actual",Entries!$A$2:$A$5000,"&gt;="&amp;$A174,Entries!$A$2:$A$5000,"&lt;"&amp;EDATE($A174,1),Entries!$B$2:$B$5000,AP$1))</f>
        <v/>
      </c>
      <c r="AR174" s="23">
        <f>IF(OR(AR$1="",$BM174=0),"",IFERROR(LOOKUP(2,1/((Budgets!$A$2:$A$200=AR$1)*(Budgets!$B$2:$B$200&lt;EDATE($A174,1))),Budgets!$C$2:$C$200),0))</f>
        <v/>
      </c>
      <c r="AS174" s="23">
        <f>IF(OR(AS$1="",$BM174=0),"",IFERROR(LOOKUP(2,1/((Budgets!$A$2:$A$200=AS$1)*(Budgets!$B$2:$B$200&lt;EDATE($A174,1))),Budgets!$C$2:$C$200),0))</f>
        <v/>
      </c>
      <c r="AT174" s="23">
        <f>IF(OR(AT$1="",$BM174=0),"",IFERROR(LOOKUP(2,1/((Budgets!$A$2:$A$200=AT$1)*(Budgets!$B$2:$B$200&lt;EDATE($A174,1))),Budgets!$C$2:$C$200),0))</f>
        <v/>
      </c>
      <c r="AU174" s="23">
        <f>IF(OR(AU$1="",$BM174=0),"",IFERROR(LOOKUP(2,1/((Budgets!$A$2:$A$200=AU$1)*(Budgets!$B$2:$B$200&lt;EDATE($A174,1))),Budgets!$C$2:$C$200),0))</f>
        <v/>
      </c>
      <c r="AV174" s="23">
        <f>IF(OR(AV$1="",$BM174=0),"",IFERROR(LOOKUP(2,1/((Budgets!$A$2:$A$200=AV$1)*(Budgets!$B$2:$B$200&lt;EDATE($A174,1))),Budgets!$C$2:$C$200),0))</f>
        <v/>
      </c>
      <c r="AW174" s="23">
        <f>IF(OR(AW$1="",$BM174=0),"",IFERROR(LOOKUP(2,1/((Budgets!$A$2:$A$200=AW$1)*(Budgets!$B$2:$B$200&lt;EDATE($A174,1))),Budgets!$C$2:$C$200),0))</f>
        <v/>
      </c>
      <c r="AX174" s="23">
        <f>IF(OR(AX$1="",$BM174=0),"",IFERROR(LOOKUP(2,1/((Budgets!$A$2:$A$200=AX$1)*(Budgets!$B$2:$B$200&lt;EDATE($A174,1))),Budgets!$C$2:$C$200),0))</f>
        <v/>
      </c>
      <c r="AY174" s="23">
        <f>IF(OR(AY$1="",$BM174=0),"",IFERROR(LOOKUP(2,1/((Budgets!$A$2:$A$200=AY$1)*(Budgets!$B$2:$B$200&lt;EDATE($A174,1))),Budgets!$C$2:$C$200),0))</f>
        <v/>
      </c>
      <c r="AZ174" s="23">
        <f>IF(OR(AZ$1="",$BM174=0),"",IFERROR(LOOKUP(2,1/((Budgets!$A$2:$A$200=AZ$1)*(Budgets!$B$2:$B$200&lt;EDATE($A174,1))),Budgets!$C$2:$C$200),0))</f>
        <v/>
      </c>
      <c r="BA174" s="23">
        <f>IF(OR(BA$1="",$BM174=0),"",IFERROR(LOOKUP(2,1/((Budgets!$A$2:$A$200=BA$1)*(Budgets!$B$2:$B$200&lt;EDATE($A174,1))),Budgets!$C$2:$C$200),0))</f>
        <v/>
      </c>
      <c r="BB174" s="23">
        <f>IF(OR(BB$1="",$BM174=0),"",IFERROR(LOOKUP(2,1/((Budgets!$A$2:$A$200=BB$1)*(Budgets!$B$2:$B$200&lt;EDATE($A174,1))),Budgets!$C$2:$C$200),0))</f>
        <v/>
      </c>
      <c r="BC174" s="23">
        <f>IF(OR(BC$1="",$BM174=0),"",IFERROR(LOOKUP(2,1/((Budgets!$A$2:$A$200=BC$1)*(Budgets!$B$2:$B$200&lt;EDATE($A174,1))),Budgets!$C$2:$C$200),0))</f>
        <v/>
      </c>
      <c r="BD174" s="23">
        <f>IF(OR(BD$1="",$BM174=0),"",IFERROR(LOOKUP(2,1/((Budgets!$A$2:$A$200=BD$1)*(Budgets!$B$2:$B$200&lt;EDATE($A174,1))),Budgets!$C$2:$C$200),0))</f>
        <v/>
      </c>
      <c r="BE174" s="23">
        <f>IF(OR(BE$1="",$BM174=0),"",IFERROR(LOOKUP(2,1/((Budgets!$A$2:$A$200=BE$1)*(Budgets!$B$2:$B$200&lt;EDATE($A174,1))),Budgets!$C$2:$C$200),0))</f>
        <v/>
      </c>
      <c r="BF174" s="23">
        <f>IF(OR(BF$1="",$BM174=0),"",IFERROR(LOOKUP(2,1/((Budgets!$A$2:$A$200=BF$1)*(Budgets!$B$2:$B$200&lt;EDATE($A174,1))),Budgets!$C$2:$C$200),0))</f>
        <v/>
      </c>
      <c r="BG174" s="23">
        <f>IF(OR(BG$1="",$BM174=0),"",IFERROR(LOOKUP(2,1/((Budgets!$A$2:$A$200=BG$1)*(Budgets!$B$2:$B$200&lt;EDATE($A174,1))),Budgets!$C$2:$C$200),0))</f>
        <v/>
      </c>
      <c r="BH174" s="23">
        <f>IF(OR(BH$1="",$BM174=0),"",IFERROR(LOOKUP(2,1/((Budgets!$A$2:$A$200=BH$1)*(Budgets!$B$2:$B$200&lt;EDATE($A174,1))),Budgets!$C$2:$C$200),0))</f>
        <v/>
      </c>
      <c r="BI174" s="23">
        <f>IF(OR(BI$1="",$BM174=0),"",IFERROR(LOOKUP(2,1/((Budgets!$A$2:$A$200=BI$1)*(Budgets!$B$2:$B$200&lt;EDATE($A174,1))),Budgets!$C$2:$C$200),0))</f>
        <v/>
      </c>
      <c r="BJ174" s="23">
        <f>IF(OR(BJ$1="",$BM174=0),"",IFERROR(LOOKUP(2,1/((Budgets!$A$2:$A$200=BJ$1)*(Budgets!$B$2:$B$200&lt;EDATE($A174,1))),Budgets!$C$2:$C$200),0))</f>
        <v/>
      </c>
      <c r="BK174" s="23">
        <f>IF(OR(BK$1="",$BM174=0),"",IFERROR(LOOKUP(2,1/((Budgets!$A$2:$A$200=BK$1)*(Budgets!$B$2:$B$200&lt;EDATE($A174,1))),Budgets!$C$2:$C$200),0))</f>
        <v/>
      </c>
      <c r="BM174" s="21">
        <f>COUNTIFS(Entries!$A$2:$A$5000,"&gt;="&amp;$A174,Entries!$A$2:$A$5000,"&lt;"&amp;EDATE($A174,1))</f>
        <v/>
      </c>
    </row>
    <row r="175">
      <c r="A175" s="22" t="n">
        <v>44713</v>
      </c>
      <c r="B175" s="23">
        <f>IF($BM175=0,NA(),SUMIFS(Entries!$E$2:$E$5000,Entries!$C$2:$C$5000,"Income",Entries!$A$2:$A$5000,"&gt;="&amp;$A175,Entries!$A$2:$A$5000,"&lt;"&amp;EDATE($A175,1)))</f>
        <v/>
      </c>
      <c r="C175" s="23">
        <f>IF($BM175=0,"",SUMIFS(Entries!$E$2:$E$5000,Entries!$C$2:$C$5000,"Actual",Entries!$A$2:$A$5000,"&gt;="&amp;$A175,Entries!$A$2:$A$5000,"&lt;"&amp;EDATE($A175,1)))</f>
        <v/>
      </c>
      <c r="D175" s="23">
        <f>IF($BM175=0,"",SUMIFS(Entries!$E$2:$E$5000,Entries!$C$2:$C$5000,"One-off",Entries!$A$2:$A$5000,"&gt;="&amp;$A175,Entries!$A$2:$A$5000,"&lt;"&amp;EDATE($A175,1)))</f>
        <v/>
      </c>
      <c r="E175" s="23">
        <f>IF($BM175=0,NA(),C175+D175)</f>
        <v/>
      </c>
      <c r="F175" s="23">
        <f>IF($BM175=0,"",SUM(AR175:BK175))</f>
        <v/>
      </c>
      <c r="G175" s="23">
        <f>IF($BM175=0,"",B175-E175)</f>
        <v/>
      </c>
      <c r="H175" s="23">
        <f>IF($BM175=0,"",SUM($G$2:G175))</f>
        <v/>
      </c>
      <c r="I175" s="23">
        <f>IF($BM175=0,"",SUMIFS(Entries!$G$2:$G$5000,Entries!$A$2:$A$5000,"&gt;="&amp;$A175,Entries!$A$2:$A$5000,"&lt;"&amp;EDATE($A175,1)))</f>
        <v/>
      </c>
      <c r="J175" s="23">
        <f>IF($BM175=0,NA(),H175)</f>
        <v/>
      </c>
      <c r="K175" s="23">
        <f>IF($BM175=0,"",SUMIFS(Entries!$E$2:$E$5000,Entries!$C$2:$C$5000,"Income",Entries!$A$2:$A$5000,"&gt;="&amp;EDATE($A175,-11),Entries!$A$2:$A$5000,"&lt;"&amp;EDATE($A175,1))/COUNTIFS($A$2:$A$400,"&gt;="&amp;EDATE($A175,-11),$A$2:$A$400,"&lt;"&amp;EDATE($A175,1),$BM$2:$BM$400,"&gt;0"))</f>
      </c>
      <c r="L175" s="23">
        <f>IF($BM175=0,"",(SUMIFS(Entries!$E$2:$E$5000,Entries!$C$2:$C$5000,"Actual",Entries!$A$2:$A$5000,"&gt;="&amp;EDATE($A175,-11),Entries!$A$2:$A$5000,"&lt;"&amp;EDATE($A175,1))+SUMIFS(Entries!$E$2:$E$5000,Entries!$C$2:$C$5000,"One-off",Entries!$A$2:$A$5000,"&gt;="&amp;EDATE($A175,-11),Entries!$A$2:$A$5000,"&lt;"&amp;EDATE($A175,1)))/COUNTIFS($A$2:$A$400,"&gt;="&amp;EDATE($A175,-11),$A$2:$A$400,"&lt;"&amp;EDATE($A175,1),$BM$2:$BM$400,"&gt;0"))</f>
      </c>
      <c r="M175" s="24">
        <f>IF($BM175=0,NA(),IFERROR((K175-L175)/K175,0))</f>
        <v/>
      </c>
      <c r="N175" s="23">
        <f>IF($BM175=0,NA(),SUMIFS(Entries!$E$2:$E$5000,Entries!$D$2:$D$5000,"Core",Entries!$A$2:$A$5000,"&gt;="&amp;$A175,Entries!$A$2:$A$5000,"&lt;"&amp;EDATE($A175,1)))</f>
        <v/>
      </c>
      <c r="O175" s="23">
        <f>IF($BM175=0,NA(),SUMIFS(Entries!$E$2:$E$5000,Entries!$D$2:$D$5000,"Over &amp; above",Entries!$A$2:$A$5000,"&gt;="&amp;$A175,Entries!$A$2:$A$5000,"&lt;"&amp;EDATE($A175,1)))</f>
        <v/>
      </c>
      <c r="P175" s="23">
        <f>IF($BM175=0,NA(),SUMIFS(Entries!$E$2:$E$5000,Entries!$D$2:$D$5000,"One-off",Entries!$A$2:$A$5000,"&gt;="&amp;$A175,Entries!$A$2:$A$5000,"&lt;"&amp;EDATE($A175,1)))</f>
        <v/>
      </c>
      <c r="Q175" s="23">
        <f>IF($BM175=0,NA(),SUMIFS(Entries!$E$2:$E$5000,Entries!$D$2:$D$5000,"Reimbursable",Entries!$A$2:$A$5000,"&gt;="&amp;$A175,Entries!$A$2:$A$5000,"&lt;"&amp;EDATE($A175,1)))</f>
        <v/>
      </c>
      <c r="R175" s="23">
        <f>IF($BM175=0,NA(),SUMIFS(Entries!$E$2:$E$5000,Entries!$D$2:$D$5000,"Investment",Entries!$A$2:$A$5000,"&gt;="&amp;$A175,Entries!$A$2:$A$5000,"&lt;"&amp;EDATE($A175,1)))</f>
        <v/>
      </c>
      <c r="S175" s="23">
        <f>IF($BM175=0,NA(),N175+O175)</f>
        <v/>
      </c>
      <c r="T175" s="23">
        <f>IF($BM175=0,"",E175-Q175)</f>
        <v/>
      </c>
      <c r="W175" s="23">
        <f>IF(OR(W$1="",$BM175=0),"",SUMIFS(Entries!$E$2:$E$5000,Entries!$C$2:$C$5000,"Actual",Entries!$A$2:$A$5000,"&gt;="&amp;$A175,Entries!$A$2:$A$5000,"&lt;"&amp;EDATE($A175,1),Entries!$B$2:$B$5000,W$1))</f>
        <v/>
      </c>
      <c r="X175" s="23">
        <f>IF(OR(X$1="",$BM175=0),"",SUMIFS(Entries!$E$2:$E$5000,Entries!$C$2:$C$5000,"Actual",Entries!$A$2:$A$5000,"&gt;="&amp;$A175,Entries!$A$2:$A$5000,"&lt;"&amp;EDATE($A175,1),Entries!$B$2:$B$5000,X$1))</f>
        <v/>
      </c>
      <c r="Y175" s="23">
        <f>IF(OR(Y$1="",$BM175=0),"",SUMIFS(Entries!$E$2:$E$5000,Entries!$C$2:$C$5000,"Actual",Entries!$A$2:$A$5000,"&gt;="&amp;$A175,Entries!$A$2:$A$5000,"&lt;"&amp;EDATE($A175,1),Entries!$B$2:$B$5000,Y$1))</f>
        <v/>
      </c>
      <c r="Z175" s="23">
        <f>IF(OR(Z$1="",$BM175=0),"",SUMIFS(Entries!$E$2:$E$5000,Entries!$C$2:$C$5000,"Actual",Entries!$A$2:$A$5000,"&gt;="&amp;$A175,Entries!$A$2:$A$5000,"&lt;"&amp;EDATE($A175,1),Entries!$B$2:$B$5000,Z$1))</f>
        <v/>
      </c>
      <c r="AA175" s="23">
        <f>IF(OR(AA$1="",$BM175=0),"",SUMIFS(Entries!$E$2:$E$5000,Entries!$C$2:$C$5000,"Actual",Entries!$A$2:$A$5000,"&gt;="&amp;$A175,Entries!$A$2:$A$5000,"&lt;"&amp;EDATE($A175,1),Entries!$B$2:$B$5000,AA$1))</f>
        <v/>
      </c>
      <c r="AB175" s="23">
        <f>IF(OR(AB$1="",$BM175=0),"",SUMIFS(Entries!$E$2:$E$5000,Entries!$C$2:$C$5000,"Actual",Entries!$A$2:$A$5000,"&gt;="&amp;$A175,Entries!$A$2:$A$5000,"&lt;"&amp;EDATE($A175,1),Entries!$B$2:$B$5000,AB$1))</f>
        <v/>
      </c>
      <c r="AC175" s="23">
        <f>IF(OR(AC$1="",$BM175=0),"",SUMIFS(Entries!$E$2:$E$5000,Entries!$C$2:$C$5000,"Actual",Entries!$A$2:$A$5000,"&gt;="&amp;$A175,Entries!$A$2:$A$5000,"&lt;"&amp;EDATE($A175,1),Entries!$B$2:$B$5000,AC$1))</f>
        <v/>
      </c>
      <c r="AD175" s="23">
        <f>IF(OR(AD$1="",$BM175=0),"",SUMIFS(Entries!$E$2:$E$5000,Entries!$C$2:$C$5000,"Actual",Entries!$A$2:$A$5000,"&gt;="&amp;$A175,Entries!$A$2:$A$5000,"&lt;"&amp;EDATE($A175,1),Entries!$B$2:$B$5000,AD$1))</f>
        <v/>
      </c>
      <c r="AE175" s="23">
        <f>IF(OR(AE$1="",$BM175=0),"",SUMIFS(Entries!$E$2:$E$5000,Entries!$C$2:$C$5000,"Actual",Entries!$A$2:$A$5000,"&gt;="&amp;$A175,Entries!$A$2:$A$5000,"&lt;"&amp;EDATE($A175,1),Entries!$B$2:$B$5000,AE$1))</f>
        <v/>
      </c>
      <c r="AF175" s="23">
        <f>IF(OR(AF$1="",$BM175=0),"",SUMIFS(Entries!$E$2:$E$5000,Entries!$C$2:$C$5000,"Actual",Entries!$A$2:$A$5000,"&gt;="&amp;$A175,Entries!$A$2:$A$5000,"&lt;"&amp;EDATE($A175,1),Entries!$B$2:$B$5000,AF$1))</f>
        <v/>
      </c>
      <c r="AG175" s="23">
        <f>IF(OR(AG$1="",$BM175=0),"",SUMIFS(Entries!$E$2:$E$5000,Entries!$C$2:$C$5000,"Actual",Entries!$A$2:$A$5000,"&gt;="&amp;$A175,Entries!$A$2:$A$5000,"&lt;"&amp;EDATE($A175,1),Entries!$B$2:$B$5000,AG$1))</f>
        <v/>
      </c>
      <c r="AH175" s="23">
        <f>IF(OR(AH$1="",$BM175=0),"",SUMIFS(Entries!$E$2:$E$5000,Entries!$C$2:$C$5000,"Actual",Entries!$A$2:$A$5000,"&gt;="&amp;$A175,Entries!$A$2:$A$5000,"&lt;"&amp;EDATE($A175,1),Entries!$B$2:$B$5000,AH$1))</f>
        <v/>
      </c>
      <c r="AI175" s="23">
        <f>IF(OR(AI$1="",$BM175=0),"",SUMIFS(Entries!$E$2:$E$5000,Entries!$C$2:$C$5000,"Actual",Entries!$A$2:$A$5000,"&gt;="&amp;$A175,Entries!$A$2:$A$5000,"&lt;"&amp;EDATE($A175,1),Entries!$B$2:$B$5000,AI$1))</f>
        <v/>
      </c>
      <c r="AJ175" s="23">
        <f>IF(OR(AJ$1="",$BM175=0),"",SUMIFS(Entries!$E$2:$E$5000,Entries!$C$2:$C$5000,"Actual",Entries!$A$2:$A$5000,"&gt;="&amp;$A175,Entries!$A$2:$A$5000,"&lt;"&amp;EDATE($A175,1),Entries!$B$2:$B$5000,AJ$1))</f>
        <v/>
      </c>
      <c r="AK175" s="23">
        <f>IF(OR(AK$1="",$BM175=0),"",SUMIFS(Entries!$E$2:$E$5000,Entries!$C$2:$C$5000,"Actual",Entries!$A$2:$A$5000,"&gt;="&amp;$A175,Entries!$A$2:$A$5000,"&lt;"&amp;EDATE($A175,1),Entries!$B$2:$B$5000,AK$1))</f>
        <v/>
      </c>
      <c r="AL175" s="23">
        <f>IF(OR(AL$1="",$BM175=0),"",SUMIFS(Entries!$E$2:$E$5000,Entries!$C$2:$C$5000,"Actual",Entries!$A$2:$A$5000,"&gt;="&amp;$A175,Entries!$A$2:$A$5000,"&lt;"&amp;EDATE($A175,1),Entries!$B$2:$B$5000,AL$1))</f>
        <v/>
      </c>
      <c r="AM175" s="23">
        <f>IF(OR(AM$1="",$BM175=0),"",SUMIFS(Entries!$E$2:$E$5000,Entries!$C$2:$C$5000,"Actual",Entries!$A$2:$A$5000,"&gt;="&amp;$A175,Entries!$A$2:$A$5000,"&lt;"&amp;EDATE($A175,1),Entries!$B$2:$B$5000,AM$1))</f>
        <v/>
      </c>
      <c r="AN175" s="23">
        <f>IF(OR(AN$1="",$BM175=0),"",SUMIFS(Entries!$E$2:$E$5000,Entries!$C$2:$C$5000,"Actual",Entries!$A$2:$A$5000,"&gt;="&amp;$A175,Entries!$A$2:$A$5000,"&lt;"&amp;EDATE($A175,1),Entries!$B$2:$B$5000,AN$1))</f>
        <v/>
      </c>
      <c r="AO175" s="23">
        <f>IF(OR(AO$1="",$BM175=0),"",SUMIFS(Entries!$E$2:$E$5000,Entries!$C$2:$C$5000,"Actual",Entries!$A$2:$A$5000,"&gt;="&amp;$A175,Entries!$A$2:$A$5000,"&lt;"&amp;EDATE($A175,1),Entries!$B$2:$B$5000,AO$1))</f>
        <v/>
      </c>
      <c r="AP175" s="23">
        <f>IF(OR(AP$1="",$BM175=0),"",SUMIFS(Entries!$E$2:$E$5000,Entries!$C$2:$C$5000,"Actual",Entries!$A$2:$A$5000,"&gt;="&amp;$A175,Entries!$A$2:$A$5000,"&lt;"&amp;EDATE($A175,1),Entries!$B$2:$B$5000,AP$1))</f>
        <v/>
      </c>
      <c r="AR175" s="23">
        <f>IF(OR(AR$1="",$BM175=0),"",IFERROR(LOOKUP(2,1/((Budgets!$A$2:$A$200=AR$1)*(Budgets!$B$2:$B$200&lt;EDATE($A175,1))),Budgets!$C$2:$C$200),0))</f>
        <v/>
      </c>
      <c r="AS175" s="23">
        <f>IF(OR(AS$1="",$BM175=0),"",IFERROR(LOOKUP(2,1/((Budgets!$A$2:$A$200=AS$1)*(Budgets!$B$2:$B$200&lt;EDATE($A175,1))),Budgets!$C$2:$C$200),0))</f>
        <v/>
      </c>
      <c r="AT175" s="23">
        <f>IF(OR(AT$1="",$BM175=0),"",IFERROR(LOOKUP(2,1/((Budgets!$A$2:$A$200=AT$1)*(Budgets!$B$2:$B$200&lt;EDATE($A175,1))),Budgets!$C$2:$C$200),0))</f>
        <v/>
      </c>
      <c r="AU175" s="23">
        <f>IF(OR(AU$1="",$BM175=0),"",IFERROR(LOOKUP(2,1/((Budgets!$A$2:$A$200=AU$1)*(Budgets!$B$2:$B$200&lt;EDATE($A175,1))),Budgets!$C$2:$C$200),0))</f>
        <v/>
      </c>
      <c r="AV175" s="23">
        <f>IF(OR(AV$1="",$BM175=0),"",IFERROR(LOOKUP(2,1/((Budgets!$A$2:$A$200=AV$1)*(Budgets!$B$2:$B$200&lt;EDATE($A175,1))),Budgets!$C$2:$C$200),0))</f>
        <v/>
      </c>
      <c r="AW175" s="23">
        <f>IF(OR(AW$1="",$BM175=0),"",IFERROR(LOOKUP(2,1/((Budgets!$A$2:$A$200=AW$1)*(Budgets!$B$2:$B$200&lt;EDATE($A175,1))),Budgets!$C$2:$C$200),0))</f>
        <v/>
      </c>
      <c r="AX175" s="23">
        <f>IF(OR(AX$1="",$BM175=0),"",IFERROR(LOOKUP(2,1/((Budgets!$A$2:$A$200=AX$1)*(Budgets!$B$2:$B$200&lt;EDATE($A175,1))),Budgets!$C$2:$C$200),0))</f>
        <v/>
      </c>
      <c r="AY175" s="23">
        <f>IF(OR(AY$1="",$BM175=0),"",IFERROR(LOOKUP(2,1/((Budgets!$A$2:$A$200=AY$1)*(Budgets!$B$2:$B$200&lt;EDATE($A175,1))),Budgets!$C$2:$C$200),0))</f>
        <v/>
      </c>
      <c r="AZ175" s="23">
        <f>IF(OR(AZ$1="",$BM175=0),"",IFERROR(LOOKUP(2,1/((Budgets!$A$2:$A$200=AZ$1)*(Budgets!$B$2:$B$200&lt;EDATE($A175,1))),Budgets!$C$2:$C$200),0))</f>
        <v/>
      </c>
      <c r="BA175" s="23">
        <f>IF(OR(BA$1="",$BM175=0),"",IFERROR(LOOKUP(2,1/((Budgets!$A$2:$A$200=BA$1)*(Budgets!$B$2:$B$200&lt;EDATE($A175,1))),Budgets!$C$2:$C$200),0))</f>
        <v/>
      </c>
      <c r="BB175" s="23">
        <f>IF(OR(BB$1="",$BM175=0),"",IFERROR(LOOKUP(2,1/((Budgets!$A$2:$A$200=BB$1)*(Budgets!$B$2:$B$200&lt;EDATE($A175,1))),Budgets!$C$2:$C$200),0))</f>
        <v/>
      </c>
      <c r="BC175" s="23">
        <f>IF(OR(BC$1="",$BM175=0),"",IFERROR(LOOKUP(2,1/((Budgets!$A$2:$A$200=BC$1)*(Budgets!$B$2:$B$200&lt;EDATE($A175,1))),Budgets!$C$2:$C$200),0))</f>
        <v/>
      </c>
      <c r="BD175" s="23">
        <f>IF(OR(BD$1="",$BM175=0),"",IFERROR(LOOKUP(2,1/((Budgets!$A$2:$A$200=BD$1)*(Budgets!$B$2:$B$200&lt;EDATE($A175,1))),Budgets!$C$2:$C$200),0))</f>
        <v/>
      </c>
      <c r="BE175" s="23">
        <f>IF(OR(BE$1="",$BM175=0),"",IFERROR(LOOKUP(2,1/((Budgets!$A$2:$A$200=BE$1)*(Budgets!$B$2:$B$200&lt;EDATE($A175,1))),Budgets!$C$2:$C$200),0))</f>
        <v/>
      </c>
      <c r="BF175" s="23">
        <f>IF(OR(BF$1="",$BM175=0),"",IFERROR(LOOKUP(2,1/((Budgets!$A$2:$A$200=BF$1)*(Budgets!$B$2:$B$200&lt;EDATE($A175,1))),Budgets!$C$2:$C$200),0))</f>
        <v/>
      </c>
      <c r="BG175" s="23">
        <f>IF(OR(BG$1="",$BM175=0),"",IFERROR(LOOKUP(2,1/((Budgets!$A$2:$A$200=BG$1)*(Budgets!$B$2:$B$200&lt;EDATE($A175,1))),Budgets!$C$2:$C$200),0))</f>
        <v/>
      </c>
      <c r="BH175" s="23">
        <f>IF(OR(BH$1="",$BM175=0),"",IFERROR(LOOKUP(2,1/((Budgets!$A$2:$A$200=BH$1)*(Budgets!$B$2:$B$200&lt;EDATE($A175,1))),Budgets!$C$2:$C$200),0))</f>
        <v/>
      </c>
      <c r="BI175" s="23">
        <f>IF(OR(BI$1="",$BM175=0),"",IFERROR(LOOKUP(2,1/((Budgets!$A$2:$A$200=BI$1)*(Budgets!$B$2:$B$200&lt;EDATE($A175,1))),Budgets!$C$2:$C$200),0))</f>
        <v/>
      </c>
      <c r="BJ175" s="23">
        <f>IF(OR(BJ$1="",$BM175=0),"",IFERROR(LOOKUP(2,1/((Budgets!$A$2:$A$200=BJ$1)*(Budgets!$B$2:$B$200&lt;EDATE($A175,1))),Budgets!$C$2:$C$200),0))</f>
        <v/>
      </c>
      <c r="BK175" s="23">
        <f>IF(OR(BK$1="",$BM175=0),"",IFERROR(LOOKUP(2,1/((Budgets!$A$2:$A$200=BK$1)*(Budgets!$B$2:$B$200&lt;EDATE($A175,1))),Budgets!$C$2:$C$200),0))</f>
        <v/>
      </c>
      <c r="BM175" s="21">
        <f>COUNTIFS(Entries!$A$2:$A$5000,"&gt;="&amp;$A175,Entries!$A$2:$A$5000,"&lt;"&amp;EDATE($A175,1))</f>
        <v/>
      </c>
    </row>
    <row r="176">
      <c r="A176" s="22" t="n">
        <v>44743</v>
      </c>
      <c r="B176" s="23">
        <f>IF($BM176=0,NA(),SUMIFS(Entries!$E$2:$E$5000,Entries!$C$2:$C$5000,"Income",Entries!$A$2:$A$5000,"&gt;="&amp;$A176,Entries!$A$2:$A$5000,"&lt;"&amp;EDATE($A176,1)))</f>
        <v/>
      </c>
      <c r="C176" s="23">
        <f>IF($BM176=0,"",SUMIFS(Entries!$E$2:$E$5000,Entries!$C$2:$C$5000,"Actual",Entries!$A$2:$A$5000,"&gt;="&amp;$A176,Entries!$A$2:$A$5000,"&lt;"&amp;EDATE($A176,1)))</f>
        <v/>
      </c>
      <c r="D176" s="23">
        <f>IF($BM176=0,"",SUMIFS(Entries!$E$2:$E$5000,Entries!$C$2:$C$5000,"One-off",Entries!$A$2:$A$5000,"&gt;="&amp;$A176,Entries!$A$2:$A$5000,"&lt;"&amp;EDATE($A176,1)))</f>
        <v/>
      </c>
      <c r="E176" s="23">
        <f>IF($BM176=0,NA(),C176+D176)</f>
        <v/>
      </c>
      <c r="F176" s="23">
        <f>IF($BM176=0,"",SUM(AR176:BK176))</f>
        <v/>
      </c>
      <c r="G176" s="23">
        <f>IF($BM176=0,"",B176-E176)</f>
        <v/>
      </c>
      <c r="H176" s="23">
        <f>IF($BM176=0,"",SUM($G$2:G176))</f>
        <v/>
      </c>
      <c r="I176" s="23">
        <f>IF($BM176=0,"",SUMIFS(Entries!$G$2:$G$5000,Entries!$A$2:$A$5000,"&gt;="&amp;$A176,Entries!$A$2:$A$5000,"&lt;"&amp;EDATE($A176,1)))</f>
        <v/>
      </c>
      <c r="J176" s="23">
        <f>IF($BM176=0,NA(),H176)</f>
        <v/>
      </c>
      <c r="K176" s="23">
        <f>IF($BM176=0,"",SUMIFS(Entries!$E$2:$E$5000,Entries!$C$2:$C$5000,"Income",Entries!$A$2:$A$5000,"&gt;="&amp;EDATE($A176,-11),Entries!$A$2:$A$5000,"&lt;"&amp;EDATE($A176,1))/COUNTIFS($A$2:$A$400,"&gt;="&amp;EDATE($A176,-11),$A$2:$A$400,"&lt;"&amp;EDATE($A176,1),$BM$2:$BM$400,"&gt;0"))</f>
      </c>
      <c r="L176" s="23">
        <f>IF($BM176=0,"",(SUMIFS(Entries!$E$2:$E$5000,Entries!$C$2:$C$5000,"Actual",Entries!$A$2:$A$5000,"&gt;="&amp;EDATE($A176,-11),Entries!$A$2:$A$5000,"&lt;"&amp;EDATE($A176,1))+SUMIFS(Entries!$E$2:$E$5000,Entries!$C$2:$C$5000,"One-off",Entries!$A$2:$A$5000,"&gt;="&amp;EDATE($A176,-11),Entries!$A$2:$A$5000,"&lt;"&amp;EDATE($A176,1)))/COUNTIFS($A$2:$A$400,"&gt;="&amp;EDATE($A176,-11),$A$2:$A$400,"&lt;"&amp;EDATE($A176,1),$BM$2:$BM$400,"&gt;0"))</f>
      </c>
      <c r="M176" s="24">
        <f>IF($BM176=0,NA(),IFERROR((K176-L176)/K176,0))</f>
        <v/>
      </c>
      <c r="N176" s="23">
        <f>IF($BM176=0,NA(),SUMIFS(Entries!$E$2:$E$5000,Entries!$D$2:$D$5000,"Core",Entries!$A$2:$A$5000,"&gt;="&amp;$A176,Entries!$A$2:$A$5000,"&lt;"&amp;EDATE($A176,1)))</f>
        <v/>
      </c>
      <c r="O176" s="23">
        <f>IF($BM176=0,NA(),SUMIFS(Entries!$E$2:$E$5000,Entries!$D$2:$D$5000,"Over &amp; above",Entries!$A$2:$A$5000,"&gt;="&amp;$A176,Entries!$A$2:$A$5000,"&lt;"&amp;EDATE($A176,1)))</f>
        <v/>
      </c>
      <c r="P176" s="23">
        <f>IF($BM176=0,NA(),SUMIFS(Entries!$E$2:$E$5000,Entries!$D$2:$D$5000,"One-off",Entries!$A$2:$A$5000,"&gt;="&amp;$A176,Entries!$A$2:$A$5000,"&lt;"&amp;EDATE($A176,1)))</f>
        <v/>
      </c>
      <c r="Q176" s="23">
        <f>IF($BM176=0,NA(),SUMIFS(Entries!$E$2:$E$5000,Entries!$D$2:$D$5000,"Reimbursable",Entries!$A$2:$A$5000,"&gt;="&amp;$A176,Entries!$A$2:$A$5000,"&lt;"&amp;EDATE($A176,1)))</f>
        <v/>
      </c>
      <c r="R176" s="23">
        <f>IF($BM176=0,NA(),SUMIFS(Entries!$E$2:$E$5000,Entries!$D$2:$D$5000,"Investment",Entries!$A$2:$A$5000,"&gt;="&amp;$A176,Entries!$A$2:$A$5000,"&lt;"&amp;EDATE($A176,1)))</f>
        <v/>
      </c>
      <c r="S176" s="23">
        <f>IF($BM176=0,NA(),N176+O176)</f>
        <v/>
      </c>
      <c r="T176" s="23">
        <f>IF($BM176=0,"",E176-Q176)</f>
        <v/>
      </c>
      <c r="W176" s="23">
        <f>IF(OR(W$1="",$BM176=0),"",SUMIFS(Entries!$E$2:$E$5000,Entries!$C$2:$C$5000,"Actual",Entries!$A$2:$A$5000,"&gt;="&amp;$A176,Entries!$A$2:$A$5000,"&lt;"&amp;EDATE($A176,1),Entries!$B$2:$B$5000,W$1))</f>
        <v/>
      </c>
      <c r="X176" s="23">
        <f>IF(OR(X$1="",$BM176=0),"",SUMIFS(Entries!$E$2:$E$5000,Entries!$C$2:$C$5000,"Actual",Entries!$A$2:$A$5000,"&gt;="&amp;$A176,Entries!$A$2:$A$5000,"&lt;"&amp;EDATE($A176,1),Entries!$B$2:$B$5000,X$1))</f>
        <v/>
      </c>
      <c r="Y176" s="23">
        <f>IF(OR(Y$1="",$BM176=0),"",SUMIFS(Entries!$E$2:$E$5000,Entries!$C$2:$C$5000,"Actual",Entries!$A$2:$A$5000,"&gt;="&amp;$A176,Entries!$A$2:$A$5000,"&lt;"&amp;EDATE($A176,1),Entries!$B$2:$B$5000,Y$1))</f>
        <v/>
      </c>
      <c r="Z176" s="23">
        <f>IF(OR(Z$1="",$BM176=0),"",SUMIFS(Entries!$E$2:$E$5000,Entries!$C$2:$C$5000,"Actual",Entries!$A$2:$A$5000,"&gt;="&amp;$A176,Entries!$A$2:$A$5000,"&lt;"&amp;EDATE($A176,1),Entries!$B$2:$B$5000,Z$1))</f>
        <v/>
      </c>
      <c r="AA176" s="23">
        <f>IF(OR(AA$1="",$BM176=0),"",SUMIFS(Entries!$E$2:$E$5000,Entries!$C$2:$C$5000,"Actual",Entries!$A$2:$A$5000,"&gt;="&amp;$A176,Entries!$A$2:$A$5000,"&lt;"&amp;EDATE($A176,1),Entries!$B$2:$B$5000,AA$1))</f>
        <v/>
      </c>
      <c r="AB176" s="23">
        <f>IF(OR(AB$1="",$BM176=0),"",SUMIFS(Entries!$E$2:$E$5000,Entries!$C$2:$C$5000,"Actual",Entries!$A$2:$A$5000,"&gt;="&amp;$A176,Entries!$A$2:$A$5000,"&lt;"&amp;EDATE($A176,1),Entries!$B$2:$B$5000,AB$1))</f>
        <v/>
      </c>
      <c r="AC176" s="23">
        <f>IF(OR(AC$1="",$BM176=0),"",SUMIFS(Entries!$E$2:$E$5000,Entries!$C$2:$C$5000,"Actual",Entries!$A$2:$A$5000,"&gt;="&amp;$A176,Entries!$A$2:$A$5000,"&lt;"&amp;EDATE($A176,1),Entries!$B$2:$B$5000,AC$1))</f>
        <v/>
      </c>
      <c r="AD176" s="23">
        <f>IF(OR(AD$1="",$BM176=0),"",SUMIFS(Entries!$E$2:$E$5000,Entries!$C$2:$C$5000,"Actual",Entries!$A$2:$A$5000,"&gt;="&amp;$A176,Entries!$A$2:$A$5000,"&lt;"&amp;EDATE($A176,1),Entries!$B$2:$B$5000,AD$1))</f>
        <v/>
      </c>
      <c r="AE176" s="23">
        <f>IF(OR(AE$1="",$BM176=0),"",SUMIFS(Entries!$E$2:$E$5000,Entries!$C$2:$C$5000,"Actual",Entries!$A$2:$A$5000,"&gt;="&amp;$A176,Entries!$A$2:$A$5000,"&lt;"&amp;EDATE($A176,1),Entries!$B$2:$B$5000,AE$1))</f>
        <v/>
      </c>
      <c r="AF176" s="23">
        <f>IF(OR(AF$1="",$BM176=0),"",SUMIFS(Entries!$E$2:$E$5000,Entries!$C$2:$C$5000,"Actual",Entries!$A$2:$A$5000,"&gt;="&amp;$A176,Entries!$A$2:$A$5000,"&lt;"&amp;EDATE($A176,1),Entries!$B$2:$B$5000,AF$1))</f>
        <v/>
      </c>
      <c r="AG176" s="23">
        <f>IF(OR(AG$1="",$BM176=0),"",SUMIFS(Entries!$E$2:$E$5000,Entries!$C$2:$C$5000,"Actual",Entries!$A$2:$A$5000,"&gt;="&amp;$A176,Entries!$A$2:$A$5000,"&lt;"&amp;EDATE($A176,1),Entries!$B$2:$B$5000,AG$1))</f>
        <v/>
      </c>
      <c r="AH176" s="23">
        <f>IF(OR(AH$1="",$BM176=0),"",SUMIFS(Entries!$E$2:$E$5000,Entries!$C$2:$C$5000,"Actual",Entries!$A$2:$A$5000,"&gt;="&amp;$A176,Entries!$A$2:$A$5000,"&lt;"&amp;EDATE($A176,1),Entries!$B$2:$B$5000,AH$1))</f>
        <v/>
      </c>
      <c r="AI176" s="23">
        <f>IF(OR(AI$1="",$BM176=0),"",SUMIFS(Entries!$E$2:$E$5000,Entries!$C$2:$C$5000,"Actual",Entries!$A$2:$A$5000,"&gt;="&amp;$A176,Entries!$A$2:$A$5000,"&lt;"&amp;EDATE($A176,1),Entries!$B$2:$B$5000,AI$1))</f>
        <v/>
      </c>
      <c r="AJ176" s="23">
        <f>IF(OR(AJ$1="",$BM176=0),"",SUMIFS(Entries!$E$2:$E$5000,Entries!$C$2:$C$5000,"Actual",Entries!$A$2:$A$5000,"&gt;="&amp;$A176,Entries!$A$2:$A$5000,"&lt;"&amp;EDATE($A176,1),Entries!$B$2:$B$5000,AJ$1))</f>
        <v/>
      </c>
      <c r="AK176" s="23">
        <f>IF(OR(AK$1="",$BM176=0),"",SUMIFS(Entries!$E$2:$E$5000,Entries!$C$2:$C$5000,"Actual",Entries!$A$2:$A$5000,"&gt;="&amp;$A176,Entries!$A$2:$A$5000,"&lt;"&amp;EDATE($A176,1),Entries!$B$2:$B$5000,AK$1))</f>
        <v/>
      </c>
      <c r="AL176" s="23">
        <f>IF(OR(AL$1="",$BM176=0),"",SUMIFS(Entries!$E$2:$E$5000,Entries!$C$2:$C$5000,"Actual",Entries!$A$2:$A$5000,"&gt;="&amp;$A176,Entries!$A$2:$A$5000,"&lt;"&amp;EDATE($A176,1),Entries!$B$2:$B$5000,AL$1))</f>
        <v/>
      </c>
      <c r="AM176" s="23">
        <f>IF(OR(AM$1="",$BM176=0),"",SUMIFS(Entries!$E$2:$E$5000,Entries!$C$2:$C$5000,"Actual",Entries!$A$2:$A$5000,"&gt;="&amp;$A176,Entries!$A$2:$A$5000,"&lt;"&amp;EDATE($A176,1),Entries!$B$2:$B$5000,AM$1))</f>
        <v/>
      </c>
      <c r="AN176" s="23">
        <f>IF(OR(AN$1="",$BM176=0),"",SUMIFS(Entries!$E$2:$E$5000,Entries!$C$2:$C$5000,"Actual",Entries!$A$2:$A$5000,"&gt;="&amp;$A176,Entries!$A$2:$A$5000,"&lt;"&amp;EDATE($A176,1),Entries!$B$2:$B$5000,AN$1))</f>
        <v/>
      </c>
      <c r="AO176" s="23">
        <f>IF(OR(AO$1="",$BM176=0),"",SUMIFS(Entries!$E$2:$E$5000,Entries!$C$2:$C$5000,"Actual",Entries!$A$2:$A$5000,"&gt;="&amp;$A176,Entries!$A$2:$A$5000,"&lt;"&amp;EDATE($A176,1),Entries!$B$2:$B$5000,AO$1))</f>
        <v/>
      </c>
      <c r="AP176" s="23">
        <f>IF(OR(AP$1="",$BM176=0),"",SUMIFS(Entries!$E$2:$E$5000,Entries!$C$2:$C$5000,"Actual",Entries!$A$2:$A$5000,"&gt;="&amp;$A176,Entries!$A$2:$A$5000,"&lt;"&amp;EDATE($A176,1),Entries!$B$2:$B$5000,AP$1))</f>
        <v/>
      </c>
      <c r="AR176" s="23">
        <f>IF(OR(AR$1="",$BM176=0),"",IFERROR(LOOKUP(2,1/((Budgets!$A$2:$A$200=AR$1)*(Budgets!$B$2:$B$200&lt;EDATE($A176,1))),Budgets!$C$2:$C$200),0))</f>
        <v/>
      </c>
      <c r="AS176" s="23">
        <f>IF(OR(AS$1="",$BM176=0),"",IFERROR(LOOKUP(2,1/((Budgets!$A$2:$A$200=AS$1)*(Budgets!$B$2:$B$200&lt;EDATE($A176,1))),Budgets!$C$2:$C$200),0))</f>
        <v/>
      </c>
      <c r="AT176" s="23">
        <f>IF(OR(AT$1="",$BM176=0),"",IFERROR(LOOKUP(2,1/((Budgets!$A$2:$A$200=AT$1)*(Budgets!$B$2:$B$200&lt;EDATE($A176,1))),Budgets!$C$2:$C$200),0))</f>
        <v/>
      </c>
      <c r="AU176" s="23">
        <f>IF(OR(AU$1="",$BM176=0),"",IFERROR(LOOKUP(2,1/((Budgets!$A$2:$A$200=AU$1)*(Budgets!$B$2:$B$200&lt;EDATE($A176,1))),Budgets!$C$2:$C$200),0))</f>
        <v/>
      </c>
      <c r="AV176" s="23">
        <f>IF(OR(AV$1="",$BM176=0),"",IFERROR(LOOKUP(2,1/((Budgets!$A$2:$A$200=AV$1)*(Budgets!$B$2:$B$200&lt;EDATE($A176,1))),Budgets!$C$2:$C$200),0))</f>
        <v/>
      </c>
      <c r="AW176" s="23">
        <f>IF(OR(AW$1="",$BM176=0),"",IFERROR(LOOKUP(2,1/((Budgets!$A$2:$A$200=AW$1)*(Budgets!$B$2:$B$200&lt;EDATE($A176,1))),Budgets!$C$2:$C$200),0))</f>
        <v/>
      </c>
      <c r="AX176" s="23">
        <f>IF(OR(AX$1="",$BM176=0),"",IFERROR(LOOKUP(2,1/((Budgets!$A$2:$A$200=AX$1)*(Budgets!$B$2:$B$200&lt;EDATE($A176,1))),Budgets!$C$2:$C$200),0))</f>
        <v/>
      </c>
      <c r="AY176" s="23">
        <f>IF(OR(AY$1="",$BM176=0),"",IFERROR(LOOKUP(2,1/((Budgets!$A$2:$A$200=AY$1)*(Budgets!$B$2:$B$200&lt;EDATE($A176,1))),Budgets!$C$2:$C$200),0))</f>
        <v/>
      </c>
      <c r="AZ176" s="23">
        <f>IF(OR(AZ$1="",$BM176=0),"",IFERROR(LOOKUP(2,1/((Budgets!$A$2:$A$200=AZ$1)*(Budgets!$B$2:$B$200&lt;EDATE($A176,1))),Budgets!$C$2:$C$200),0))</f>
        <v/>
      </c>
      <c r="BA176" s="23">
        <f>IF(OR(BA$1="",$BM176=0),"",IFERROR(LOOKUP(2,1/((Budgets!$A$2:$A$200=BA$1)*(Budgets!$B$2:$B$200&lt;EDATE($A176,1))),Budgets!$C$2:$C$200),0))</f>
        <v/>
      </c>
      <c r="BB176" s="23">
        <f>IF(OR(BB$1="",$BM176=0),"",IFERROR(LOOKUP(2,1/((Budgets!$A$2:$A$200=BB$1)*(Budgets!$B$2:$B$200&lt;EDATE($A176,1))),Budgets!$C$2:$C$200),0))</f>
        <v/>
      </c>
      <c r="BC176" s="23">
        <f>IF(OR(BC$1="",$BM176=0),"",IFERROR(LOOKUP(2,1/((Budgets!$A$2:$A$200=BC$1)*(Budgets!$B$2:$B$200&lt;EDATE($A176,1))),Budgets!$C$2:$C$200),0))</f>
        <v/>
      </c>
      <c r="BD176" s="23">
        <f>IF(OR(BD$1="",$BM176=0),"",IFERROR(LOOKUP(2,1/((Budgets!$A$2:$A$200=BD$1)*(Budgets!$B$2:$B$200&lt;EDATE($A176,1))),Budgets!$C$2:$C$200),0))</f>
        <v/>
      </c>
      <c r="BE176" s="23">
        <f>IF(OR(BE$1="",$BM176=0),"",IFERROR(LOOKUP(2,1/((Budgets!$A$2:$A$200=BE$1)*(Budgets!$B$2:$B$200&lt;EDATE($A176,1))),Budgets!$C$2:$C$200),0))</f>
        <v/>
      </c>
      <c r="BF176" s="23">
        <f>IF(OR(BF$1="",$BM176=0),"",IFERROR(LOOKUP(2,1/((Budgets!$A$2:$A$200=BF$1)*(Budgets!$B$2:$B$200&lt;EDATE($A176,1))),Budgets!$C$2:$C$200),0))</f>
        <v/>
      </c>
      <c r="BG176" s="23">
        <f>IF(OR(BG$1="",$BM176=0),"",IFERROR(LOOKUP(2,1/((Budgets!$A$2:$A$200=BG$1)*(Budgets!$B$2:$B$200&lt;EDATE($A176,1))),Budgets!$C$2:$C$200),0))</f>
        <v/>
      </c>
      <c r="BH176" s="23">
        <f>IF(OR(BH$1="",$BM176=0),"",IFERROR(LOOKUP(2,1/((Budgets!$A$2:$A$200=BH$1)*(Budgets!$B$2:$B$200&lt;EDATE($A176,1))),Budgets!$C$2:$C$200),0))</f>
        <v/>
      </c>
      <c r="BI176" s="23">
        <f>IF(OR(BI$1="",$BM176=0),"",IFERROR(LOOKUP(2,1/((Budgets!$A$2:$A$200=BI$1)*(Budgets!$B$2:$B$200&lt;EDATE($A176,1))),Budgets!$C$2:$C$200),0))</f>
        <v/>
      </c>
      <c r="BJ176" s="23">
        <f>IF(OR(BJ$1="",$BM176=0),"",IFERROR(LOOKUP(2,1/((Budgets!$A$2:$A$200=BJ$1)*(Budgets!$B$2:$B$200&lt;EDATE($A176,1))),Budgets!$C$2:$C$200),0))</f>
        <v/>
      </c>
      <c r="BK176" s="23">
        <f>IF(OR(BK$1="",$BM176=0),"",IFERROR(LOOKUP(2,1/((Budgets!$A$2:$A$200=BK$1)*(Budgets!$B$2:$B$200&lt;EDATE($A176,1))),Budgets!$C$2:$C$200),0))</f>
        <v/>
      </c>
      <c r="BM176" s="21">
        <f>COUNTIFS(Entries!$A$2:$A$5000,"&gt;="&amp;$A176,Entries!$A$2:$A$5000,"&lt;"&amp;EDATE($A176,1))</f>
        <v/>
      </c>
    </row>
    <row r="177">
      <c r="A177" s="22" t="n">
        <v>44774</v>
      </c>
      <c r="B177" s="23">
        <f>IF($BM177=0,NA(),SUMIFS(Entries!$E$2:$E$5000,Entries!$C$2:$C$5000,"Income",Entries!$A$2:$A$5000,"&gt;="&amp;$A177,Entries!$A$2:$A$5000,"&lt;"&amp;EDATE($A177,1)))</f>
        <v/>
      </c>
      <c r="C177" s="23">
        <f>IF($BM177=0,"",SUMIFS(Entries!$E$2:$E$5000,Entries!$C$2:$C$5000,"Actual",Entries!$A$2:$A$5000,"&gt;="&amp;$A177,Entries!$A$2:$A$5000,"&lt;"&amp;EDATE($A177,1)))</f>
        <v/>
      </c>
      <c r="D177" s="23">
        <f>IF($BM177=0,"",SUMIFS(Entries!$E$2:$E$5000,Entries!$C$2:$C$5000,"One-off",Entries!$A$2:$A$5000,"&gt;="&amp;$A177,Entries!$A$2:$A$5000,"&lt;"&amp;EDATE($A177,1)))</f>
        <v/>
      </c>
      <c r="E177" s="23">
        <f>IF($BM177=0,NA(),C177+D177)</f>
        <v/>
      </c>
      <c r="F177" s="23">
        <f>IF($BM177=0,"",SUM(AR177:BK177))</f>
        <v/>
      </c>
      <c r="G177" s="23">
        <f>IF($BM177=0,"",B177-E177)</f>
        <v/>
      </c>
      <c r="H177" s="23">
        <f>IF($BM177=0,"",SUM($G$2:G177))</f>
        <v/>
      </c>
      <c r="I177" s="23">
        <f>IF($BM177=0,"",SUMIFS(Entries!$G$2:$G$5000,Entries!$A$2:$A$5000,"&gt;="&amp;$A177,Entries!$A$2:$A$5000,"&lt;"&amp;EDATE($A177,1)))</f>
        <v/>
      </c>
      <c r="J177" s="23">
        <f>IF($BM177=0,NA(),H177)</f>
        <v/>
      </c>
      <c r="K177" s="23">
        <f>IF($BM177=0,"",SUMIFS(Entries!$E$2:$E$5000,Entries!$C$2:$C$5000,"Income",Entries!$A$2:$A$5000,"&gt;="&amp;EDATE($A177,-11),Entries!$A$2:$A$5000,"&lt;"&amp;EDATE($A177,1))/COUNTIFS($A$2:$A$400,"&gt;="&amp;EDATE($A177,-11),$A$2:$A$400,"&lt;"&amp;EDATE($A177,1),$BM$2:$BM$400,"&gt;0"))</f>
      </c>
      <c r="L177" s="23">
        <f>IF($BM177=0,"",(SUMIFS(Entries!$E$2:$E$5000,Entries!$C$2:$C$5000,"Actual",Entries!$A$2:$A$5000,"&gt;="&amp;EDATE($A177,-11),Entries!$A$2:$A$5000,"&lt;"&amp;EDATE($A177,1))+SUMIFS(Entries!$E$2:$E$5000,Entries!$C$2:$C$5000,"One-off",Entries!$A$2:$A$5000,"&gt;="&amp;EDATE($A177,-11),Entries!$A$2:$A$5000,"&lt;"&amp;EDATE($A177,1)))/COUNTIFS($A$2:$A$400,"&gt;="&amp;EDATE($A177,-11),$A$2:$A$400,"&lt;"&amp;EDATE($A177,1),$BM$2:$BM$400,"&gt;0"))</f>
      </c>
      <c r="M177" s="24">
        <f>IF($BM177=0,NA(),IFERROR((K177-L177)/K177,0))</f>
        <v/>
      </c>
      <c r="N177" s="23">
        <f>IF($BM177=0,NA(),SUMIFS(Entries!$E$2:$E$5000,Entries!$D$2:$D$5000,"Core",Entries!$A$2:$A$5000,"&gt;="&amp;$A177,Entries!$A$2:$A$5000,"&lt;"&amp;EDATE($A177,1)))</f>
        <v/>
      </c>
      <c r="O177" s="23">
        <f>IF($BM177=0,NA(),SUMIFS(Entries!$E$2:$E$5000,Entries!$D$2:$D$5000,"Over &amp; above",Entries!$A$2:$A$5000,"&gt;="&amp;$A177,Entries!$A$2:$A$5000,"&lt;"&amp;EDATE($A177,1)))</f>
        <v/>
      </c>
      <c r="P177" s="23">
        <f>IF($BM177=0,NA(),SUMIFS(Entries!$E$2:$E$5000,Entries!$D$2:$D$5000,"One-off",Entries!$A$2:$A$5000,"&gt;="&amp;$A177,Entries!$A$2:$A$5000,"&lt;"&amp;EDATE($A177,1)))</f>
        <v/>
      </c>
      <c r="Q177" s="23">
        <f>IF($BM177=0,NA(),SUMIFS(Entries!$E$2:$E$5000,Entries!$D$2:$D$5000,"Reimbursable",Entries!$A$2:$A$5000,"&gt;="&amp;$A177,Entries!$A$2:$A$5000,"&lt;"&amp;EDATE($A177,1)))</f>
        <v/>
      </c>
      <c r="R177" s="23">
        <f>IF($BM177=0,NA(),SUMIFS(Entries!$E$2:$E$5000,Entries!$D$2:$D$5000,"Investment",Entries!$A$2:$A$5000,"&gt;="&amp;$A177,Entries!$A$2:$A$5000,"&lt;"&amp;EDATE($A177,1)))</f>
        <v/>
      </c>
      <c r="S177" s="23">
        <f>IF($BM177=0,NA(),N177+O177)</f>
        <v/>
      </c>
      <c r="T177" s="23">
        <f>IF($BM177=0,"",E177-Q177)</f>
        <v/>
      </c>
      <c r="W177" s="23">
        <f>IF(OR(W$1="",$BM177=0),"",SUMIFS(Entries!$E$2:$E$5000,Entries!$C$2:$C$5000,"Actual",Entries!$A$2:$A$5000,"&gt;="&amp;$A177,Entries!$A$2:$A$5000,"&lt;"&amp;EDATE($A177,1),Entries!$B$2:$B$5000,W$1))</f>
        <v/>
      </c>
      <c r="X177" s="23">
        <f>IF(OR(X$1="",$BM177=0),"",SUMIFS(Entries!$E$2:$E$5000,Entries!$C$2:$C$5000,"Actual",Entries!$A$2:$A$5000,"&gt;="&amp;$A177,Entries!$A$2:$A$5000,"&lt;"&amp;EDATE($A177,1),Entries!$B$2:$B$5000,X$1))</f>
        <v/>
      </c>
      <c r="Y177" s="23">
        <f>IF(OR(Y$1="",$BM177=0),"",SUMIFS(Entries!$E$2:$E$5000,Entries!$C$2:$C$5000,"Actual",Entries!$A$2:$A$5000,"&gt;="&amp;$A177,Entries!$A$2:$A$5000,"&lt;"&amp;EDATE($A177,1),Entries!$B$2:$B$5000,Y$1))</f>
        <v/>
      </c>
      <c r="Z177" s="23">
        <f>IF(OR(Z$1="",$BM177=0),"",SUMIFS(Entries!$E$2:$E$5000,Entries!$C$2:$C$5000,"Actual",Entries!$A$2:$A$5000,"&gt;="&amp;$A177,Entries!$A$2:$A$5000,"&lt;"&amp;EDATE($A177,1),Entries!$B$2:$B$5000,Z$1))</f>
        <v/>
      </c>
      <c r="AA177" s="23">
        <f>IF(OR(AA$1="",$BM177=0),"",SUMIFS(Entries!$E$2:$E$5000,Entries!$C$2:$C$5000,"Actual",Entries!$A$2:$A$5000,"&gt;="&amp;$A177,Entries!$A$2:$A$5000,"&lt;"&amp;EDATE($A177,1),Entries!$B$2:$B$5000,AA$1))</f>
        <v/>
      </c>
      <c r="AB177" s="23">
        <f>IF(OR(AB$1="",$BM177=0),"",SUMIFS(Entries!$E$2:$E$5000,Entries!$C$2:$C$5000,"Actual",Entries!$A$2:$A$5000,"&gt;="&amp;$A177,Entries!$A$2:$A$5000,"&lt;"&amp;EDATE($A177,1),Entries!$B$2:$B$5000,AB$1))</f>
        <v/>
      </c>
      <c r="AC177" s="23">
        <f>IF(OR(AC$1="",$BM177=0),"",SUMIFS(Entries!$E$2:$E$5000,Entries!$C$2:$C$5000,"Actual",Entries!$A$2:$A$5000,"&gt;="&amp;$A177,Entries!$A$2:$A$5000,"&lt;"&amp;EDATE($A177,1),Entries!$B$2:$B$5000,AC$1))</f>
        <v/>
      </c>
      <c r="AD177" s="23">
        <f>IF(OR(AD$1="",$BM177=0),"",SUMIFS(Entries!$E$2:$E$5000,Entries!$C$2:$C$5000,"Actual",Entries!$A$2:$A$5000,"&gt;="&amp;$A177,Entries!$A$2:$A$5000,"&lt;"&amp;EDATE($A177,1),Entries!$B$2:$B$5000,AD$1))</f>
        <v/>
      </c>
      <c r="AE177" s="23">
        <f>IF(OR(AE$1="",$BM177=0),"",SUMIFS(Entries!$E$2:$E$5000,Entries!$C$2:$C$5000,"Actual",Entries!$A$2:$A$5000,"&gt;="&amp;$A177,Entries!$A$2:$A$5000,"&lt;"&amp;EDATE($A177,1),Entries!$B$2:$B$5000,AE$1))</f>
        <v/>
      </c>
      <c r="AF177" s="23">
        <f>IF(OR(AF$1="",$BM177=0),"",SUMIFS(Entries!$E$2:$E$5000,Entries!$C$2:$C$5000,"Actual",Entries!$A$2:$A$5000,"&gt;="&amp;$A177,Entries!$A$2:$A$5000,"&lt;"&amp;EDATE($A177,1),Entries!$B$2:$B$5000,AF$1))</f>
        <v/>
      </c>
      <c r="AG177" s="23">
        <f>IF(OR(AG$1="",$BM177=0),"",SUMIFS(Entries!$E$2:$E$5000,Entries!$C$2:$C$5000,"Actual",Entries!$A$2:$A$5000,"&gt;="&amp;$A177,Entries!$A$2:$A$5000,"&lt;"&amp;EDATE($A177,1),Entries!$B$2:$B$5000,AG$1))</f>
        <v/>
      </c>
      <c r="AH177" s="23">
        <f>IF(OR(AH$1="",$BM177=0),"",SUMIFS(Entries!$E$2:$E$5000,Entries!$C$2:$C$5000,"Actual",Entries!$A$2:$A$5000,"&gt;="&amp;$A177,Entries!$A$2:$A$5000,"&lt;"&amp;EDATE($A177,1),Entries!$B$2:$B$5000,AH$1))</f>
        <v/>
      </c>
      <c r="AI177" s="23">
        <f>IF(OR(AI$1="",$BM177=0),"",SUMIFS(Entries!$E$2:$E$5000,Entries!$C$2:$C$5000,"Actual",Entries!$A$2:$A$5000,"&gt;="&amp;$A177,Entries!$A$2:$A$5000,"&lt;"&amp;EDATE($A177,1),Entries!$B$2:$B$5000,AI$1))</f>
        <v/>
      </c>
      <c r="AJ177" s="23">
        <f>IF(OR(AJ$1="",$BM177=0),"",SUMIFS(Entries!$E$2:$E$5000,Entries!$C$2:$C$5000,"Actual",Entries!$A$2:$A$5000,"&gt;="&amp;$A177,Entries!$A$2:$A$5000,"&lt;"&amp;EDATE($A177,1),Entries!$B$2:$B$5000,AJ$1))</f>
        <v/>
      </c>
      <c r="AK177" s="23">
        <f>IF(OR(AK$1="",$BM177=0),"",SUMIFS(Entries!$E$2:$E$5000,Entries!$C$2:$C$5000,"Actual",Entries!$A$2:$A$5000,"&gt;="&amp;$A177,Entries!$A$2:$A$5000,"&lt;"&amp;EDATE($A177,1),Entries!$B$2:$B$5000,AK$1))</f>
        <v/>
      </c>
      <c r="AL177" s="23">
        <f>IF(OR(AL$1="",$BM177=0),"",SUMIFS(Entries!$E$2:$E$5000,Entries!$C$2:$C$5000,"Actual",Entries!$A$2:$A$5000,"&gt;="&amp;$A177,Entries!$A$2:$A$5000,"&lt;"&amp;EDATE($A177,1),Entries!$B$2:$B$5000,AL$1))</f>
        <v/>
      </c>
      <c r="AM177" s="23">
        <f>IF(OR(AM$1="",$BM177=0),"",SUMIFS(Entries!$E$2:$E$5000,Entries!$C$2:$C$5000,"Actual",Entries!$A$2:$A$5000,"&gt;="&amp;$A177,Entries!$A$2:$A$5000,"&lt;"&amp;EDATE($A177,1),Entries!$B$2:$B$5000,AM$1))</f>
        <v/>
      </c>
      <c r="AN177" s="23">
        <f>IF(OR(AN$1="",$BM177=0),"",SUMIFS(Entries!$E$2:$E$5000,Entries!$C$2:$C$5000,"Actual",Entries!$A$2:$A$5000,"&gt;="&amp;$A177,Entries!$A$2:$A$5000,"&lt;"&amp;EDATE($A177,1),Entries!$B$2:$B$5000,AN$1))</f>
        <v/>
      </c>
      <c r="AO177" s="23">
        <f>IF(OR(AO$1="",$BM177=0),"",SUMIFS(Entries!$E$2:$E$5000,Entries!$C$2:$C$5000,"Actual",Entries!$A$2:$A$5000,"&gt;="&amp;$A177,Entries!$A$2:$A$5000,"&lt;"&amp;EDATE($A177,1),Entries!$B$2:$B$5000,AO$1))</f>
        <v/>
      </c>
      <c r="AP177" s="23">
        <f>IF(OR(AP$1="",$BM177=0),"",SUMIFS(Entries!$E$2:$E$5000,Entries!$C$2:$C$5000,"Actual",Entries!$A$2:$A$5000,"&gt;="&amp;$A177,Entries!$A$2:$A$5000,"&lt;"&amp;EDATE($A177,1),Entries!$B$2:$B$5000,AP$1))</f>
        <v/>
      </c>
      <c r="AR177" s="23">
        <f>IF(OR(AR$1="",$BM177=0),"",IFERROR(LOOKUP(2,1/((Budgets!$A$2:$A$200=AR$1)*(Budgets!$B$2:$B$200&lt;EDATE($A177,1))),Budgets!$C$2:$C$200),0))</f>
        <v/>
      </c>
      <c r="AS177" s="23">
        <f>IF(OR(AS$1="",$BM177=0),"",IFERROR(LOOKUP(2,1/((Budgets!$A$2:$A$200=AS$1)*(Budgets!$B$2:$B$200&lt;EDATE($A177,1))),Budgets!$C$2:$C$200),0))</f>
        <v/>
      </c>
      <c r="AT177" s="23">
        <f>IF(OR(AT$1="",$BM177=0),"",IFERROR(LOOKUP(2,1/((Budgets!$A$2:$A$200=AT$1)*(Budgets!$B$2:$B$200&lt;EDATE($A177,1))),Budgets!$C$2:$C$200),0))</f>
        <v/>
      </c>
      <c r="AU177" s="23">
        <f>IF(OR(AU$1="",$BM177=0),"",IFERROR(LOOKUP(2,1/((Budgets!$A$2:$A$200=AU$1)*(Budgets!$B$2:$B$200&lt;EDATE($A177,1))),Budgets!$C$2:$C$200),0))</f>
        <v/>
      </c>
      <c r="AV177" s="23">
        <f>IF(OR(AV$1="",$BM177=0),"",IFERROR(LOOKUP(2,1/((Budgets!$A$2:$A$200=AV$1)*(Budgets!$B$2:$B$200&lt;EDATE($A177,1))),Budgets!$C$2:$C$200),0))</f>
        <v/>
      </c>
      <c r="AW177" s="23">
        <f>IF(OR(AW$1="",$BM177=0),"",IFERROR(LOOKUP(2,1/((Budgets!$A$2:$A$200=AW$1)*(Budgets!$B$2:$B$200&lt;EDATE($A177,1))),Budgets!$C$2:$C$200),0))</f>
        <v/>
      </c>
      <c r="AX177" s="23">
        <f>IF(OR(AX$1="",$BM177=0),"",IFERROR(LOOKUP(2,1/((Budgets!$A$2:$A$200=AX$1)*(Budgets!$B$2:$B$200&lt;EDATE($A177,1))),Budgets!$C$2:$C$200),0))</f>
        <v/>
      </c>
      <c r="AY177" s="23">
        <f>IF(OR(AY$1="",$BM177=0),"",IFERROR(LOOKUP(2,1/((Budgets!$A$2:$A$200=AY$1)*(Budgets!$B$2:$B$200&lt;EDATE($A177,1))),Budgets!$C$2:$C$200),0))</f>
        <v/>
      </c>
      <c r="AZ177" s="23">
        <f>IF(OR(AZ$1="",$BM177=0),"",IFERROR(LOOKUP(2,1/((Budgets!$A$2:$A$200=AZ$1)*(Budgets!$B$2:$B$200&lt;EDATE($A177,1))),Budgets!$C$2:$C$200),0))</f>
        <v/>
      </c>
      <c r="BA177" s="23">
        <f>IF(OR(BA$1="",$BM177=0),"",IFERROR(LOOKUP(2,1/((Budgets!$A$2:$A$200=BA$1)*(Budgets!$B$2:$B$200&lt;EDATE($A177,1))),Budgets!$C$2:$C$200),0))</f>
        <v/>
      </c>
      <c r="BB177" s="23">
        <f>IF(OR(BB$1="",$BM177=0),"",IFERROR(LOOKUP(2,1/((Budgets!$A$2:$A$200=BB$1)*(Budgets!$B$2:$B$200&lt;EDATE($A177,1))),Budgets!$C$2:$C$200),0))</f>
        <v/>
      </c>
      <c r="BC177" s="23">
        <f>IF(OR(BC$1="",$BM177=0),"",IFERROR(LOOKUP(2,1/((Budgets!$A$2:$A$200=BC$1)*(Budgets!$B$2:$B$200&lt;EDATE($A177,1))),Budgets!$C$2:$C$200),0))</f>
        <v/>
      </c>
      <c r="BD177" s="23">
        <f>IF(OR(BD$1="",$BM177=0),"",IFERROR(LOOKUP(2,1/((Budgets!$A$2:$A$200=BD$1)*(Budgets!$B$2:$B$200&lt;EDATE($A177,1))),Budgets!$C$2:$C$200),0))</f>
        <v/>
      </c>
      <c r="BE177" s="23">
        <f>IF(OR(BE$1="",$BM177=0),"",IFERROR(LOOKUP(2,1/((Budgets!$A$2:$A$200=BE$1)*(Budgets!$B$2:$B$200&lt;EDATE($A177,1))),Budgets!$C$2:$C$200),0))</f>
        <v/>
      </c>
      <c r="BF177" s="23">
        <f>IF(OR(BF$1="",$BM177=0),"",IFERROR(LOOKUP(2,1/((Budgets!$A$2:$A$200=BF$1)*(Budgets!$B$2:$B$200&lt;EDATE($A177,1))),Budgets!$C$2:$C$200),0))</f>
        <v/>
      </c>
      <c r="BG177" s="23">
        <f>IF(OR(BG$1="",$BM177=0),"",IFERROR(LOOKUP(2,1/((Budgets!$A$2:$A$200=BG$1)*(Budgets!$B$2:$B$200&lt;EDATE($A177,1))),Budgets!$C$2:$C$200),0))</f>
        <v/>
      </c>
      <c r="BH177" s="23">
        <f>IF(OR(BH$1="",$BM177=0),"",IFERROR(LOOKUP(2,1/((Budgets!$A$2:$A$200=BH$1)*(Budgets!$B$2:$B$200&lt;EDATE($A177,1))),Budgets!$C$2:$C$200),0))</f>
        <v/>
      </c>
      <c r="BI177" s="23">
        <f>IF(OR(BI$1="",$BM177=0),"",IFERROR(LOOKUP(2,1/((Budgets!$A$2:$A$200=BI$1)*(Budgets!$B$2:$B$200&lt;EDATE($A177,1))),Budgets!$C$2:$C$200),0))</f>
        <v/>
      </c>
      <c r="BJ177" s="23">
        <f>IF(OR(BJ$1="",$BM177=0),"",IFERROR(LOOKUP(2,1/((Budgets!$A$2:$A$200=BJ$1)*(Budgets!$B$2:$B$200&lt;EDATE($A177,1))),Budgets!$C$2:$C$200),0))</f>
        <v/>
      </c>
      <c r="BK177" s="23">
        <f>IF(OR(BK$1="",$BM177=0),"",IFERROR(LOOKUP(2,1/((Budgets!$A$2:$A$200=BK$1)*(Budgets!$B$2:$B$200&lt;EDATE($A177,1))),Budgets!$C$2:$C$200),0))</f>
        <v/>
      </c>
      <c r="BM177" s="21">
        <f>COUNTIFS(Entries!$A$2:$A$5000,"&gt;="&amp;$A177,Entries!$A$2:$A$5000,"&lt;"&amp;EDATE($A177,1))</f>
        <v/>
      </c>
    </row>
    <row r="178">
      <c r="A178" s="22" t="n">
        <v>44805</v>
      </c>
      <c r="B178" s="23">
        <f>IF($BM178=0,NA(),SUMIFS(Entries!$E$2:$E$5000,Entries!$C$2:$C$5000,"Income",Entries!$A$2:$A$5000,"&gt;="&amp;$A178,Entries!$A$2:$A$5000,"&lt;"&amp;EDATE($A178,1)))</f>
        <v/>
      </c>
      <c r="C178" s="23">
        <f>IF($BM178=0,"",SUMIFS(Entries!$E$2:$E$5000,Entries!$C$2:$C$5000,"Actual",Entries!$A$2:$A$5000,"&gt;="&amp;$A178,Entries!$A$2:$A$5000,"&lt;"&amp;EDATE($A178,1)))</f>
        <v/>
      </c>
      <c r="D178" s="23">
        <f>IF($BM178=0,"",SUMIFS(Entries!$E$2:$E$5000,Entries!$C$2:$C$5000,"One-off",Entries!$A$2:$A$5000,"&gt;="&amp;$A178,Entries!$A$2:$A$5000,"&lt;"&amp;EDATE($A178,1)))</f>
        <v/>
      </c>
      <c r="E178" s="23">
        <f>IF($BM178=0,NA(),C178+D178)</f>
        <v/>
      </c>
      <c r="F178" s="23">
        <f>IF($BM178=0,"",SUM(AR178:BK178))</f>
        <v/>
      </c>
      <c r="G178" s="23">
        <f>IF($BM178=0,"",B178-E178)</f>
        <v/>
      </c>
      <c r="H178" s="23">
        <f>IF($BM178=0,"",SUM($G$2:G178))</f>
        <v/>
      </c>
      <c r="I178" s="23">
        <f>IF($BM178=0,"",SUMIFS(Entries!$G$2:$G$5000,Entries!$A$2:$A$5000,"&gt;="&amp;$A178,Entries!$A$2:$A$5000,"&lt;"&amp;EDATE($A178,1)))</f>
        <v/>
      </c>
      <c r="J178" s="23">
        <f>IF($BM178=0,NA(),H178)</f>
        <v/>
      </c>
      <c r="K178" s="23">
        <f>IF($BM178=0,"",SUMIFS(Entries!$E$2:$E$5000,Entries!$C$2:$C$5000,"Income",Entries!$A$2:$A$5000,"&gt;="&amp;EDATE($A178,-11),Entries!$A$2:$A$5000,"&lt;"&amp;EDATE($A178,1))/COUNTIFS($A$2:$A$400,"&gt;="&amp;EDATE($A178,-11),$A$2:$A$400,"&lt;"&amp;EDATE($A178,1),$BM$2:$BM$400,"&gt;0"))</f>
      </c>
      <c r="L178" s="23">
        <f>IF($BM178=0,"",(SUMIFS(Entries!$E$2:$E$5000,Entries!$C$2:$C$5000,"Actual",Entries!$A$2:$A$5000,"&gt;="&amp;EDATE($A178,-11),Entries!$A$2:$A$5000,"&lt;"&amp;EDATE($A178,1))+SUMIFS(Entries!$E$2:$E$5000,Entries!$C$2:$C$5000,"One-off",Entries!$A$2:$A$5000,"&gt;="&amp;EDATE($A178,-11),Entries!$A$2:$A$5000,"&lt;"&amp;EDATE($A178,1)))/COUNTIFS($A$2:$A$400,"&gt;="&amp;EDATE($A178,-11),$A$2:$A$400,"&lt;"&amp;EDATE($A178,1),$BM$2:$BM$400,"&gt;0"))</f>
      </c>
      <c r="M178" s="24">
        <f>IF($BM178=0,NA(),IFERROR((K178-L178)/K178,0))</f>
        <v/>
      </c>
      <c r="N178" s="23">
        <f>IF($BM178=0,NA(),SUMIFS(Entries!$E$2:$E$5000,Entries!$D$2:$D$5000,"Core",Entries!$A$2:$A$5000,"&gt;="&amp;$A178,Entries!$A$2:$A$5000,"&lt;"&amp;EDATE($A178,1)))</f>
        <v/>
      </c>
      <c r="O178" s="23">
        <f>IF($BM178=0,NA(),SUMIFS(Entries!$E$2:$E$5000,Entries!$D$2:$D$5000,"Over &amp; above",Entries!$A$2:$A$5000,"&gt;="&amp;$A178,Entries!$A$2:$A$5000,"&lt;"&amp;EDATE($A178,1)))</f>
        <v/>
      </c>
      <c r="P178" s="23">
        <f>IF($BM178=0,NA(),SUMIFS(Entries!$E$2:$E$5000,Entries!$D$2:$D$5000,"One-off",Entries!$A$2:$A$5000,"&gt;="&amp;$A178,Entries!$A$2:$A$5000,"&lt;"&amp;EDATE($A178,1)))</f>
        <v/>
      </c>
      <c r="Q178" s="23">
        <f>IF($BM178=0,NA(),SUMIFS(Entries!$E$2:$E$5000,Entries!$D$2:$D$5000,"Reimbursable",Entries!$A$2:$A$5000,"&gt;="&amp;$A178,Entries!$A$2:$A$5000,"&lt;"&amp;EDATE($A178,1)))</f>
        <v/>
      </c>
      <c r="R178" s="23">
        <f>IF($BM178=0,NA(),SUMIFS(Entries!$E$2:$E$5000,Entries!$D$2:$D$5000,"Investment",Entries!$A$2:$A$5000,"&gt;="&amp;$A178,Entries!$A$2:$A$5000,"&lt;"&amp;EDATE($A178,1)))</f>
        <v/>
      </c>
      <c r="S178" s="23">
        <f>IF($BM178=0,NA(),N178+O178)</f>
        <v/>
      </c>
      <c r="T178" s="23">
        <f>IF($BM178=0,"",E178-Q178)</f>
        <v/>
      </c>
      <c r="W178" s="23">
        <f>IF(OR(W$1="",$BM178=0),"",SUMIFS(Entries!$E$2:$E$5000,Entries!$C$2:$C$5000,"Actual",Entries!$A$2:$A$5000,"&gt;="&amp;$A178,Entries!$A$2:$A$5000,"&lt;"&amp;EDATE($A178,1),Entries!$B$2:$B$5000,W$1))</f>
        <v/>
      </c>
      <c r="X178" s="23">
        <f>IF(OR(X$1="",$BM178=0),"",SUMIFS(Entries!$E$2:$E$5000,Entries!$C$2:$C$5000,"Actual",Entries!$A$2:$A$5000,"&gt;="&amp;$A178,Entries!$A$2:$A$5000,"&lt;"&amp;EDATE($A178,1),Entries!$B$2:$B$5000,X$1))</f>
        <v/>
      </c>
      <c r="Y178" s="23">
        <f>IF(OR(Y$1="",$BM178=0),"",SUMIFS(Entries!$E$2:$E$5000,Entries!$C$2:$C$5000,"Actual",Entries!$A$2:$A$5000,"&gt;="&amp;$A178,Entries!$A$2:$A$5000,"&lt;"&amp;EDATE($A178,1),Entries!$B$2:$B$5000,Y$1))</f>
        <v/>
      </c>
      <c r="Z178" s="23">
        <f>IF(OR(Z$1="",$BM178=0),"",SUMIFS(Entries!$E$2:$E$5000,Entries!$C$2:$C$5000,"Actual",Entries!$A$2:$A$5000,"&gt;="&amp;$A178,Entries!$A$2:$A$5000,"&lt;"&amp;EDATE($A178,1),Entries!$B$2:$B$5000,Z$1))</f>
        <v/>
      </c>
      <c r="AA178" s="23">
        <f>IF(OR(AA$1="",$BM178=0),"",SUMIFS(Entries!$E$2:$E$5000,Entries!$C$2:$C$5000,"Actual",Entries!$A$2:$A$5000,"&gt;="&amp;$A178,Entries!$A$2:$A$5000,"&lt;"&amp;EDATE($A178,1),Entries!$B$2:$B$5000,AA$1))</f>
        <v/>
      </c>
      <c r="AB178" s="23">
        <f>IF(OR(AB$1="",$BM178=0),"",SUMIFS(Entries!$E$2:$E$5000,Entries!$C$2:$C$5000,"Actual",Entries!$A$2:$A$5000,"&gt;="&amp;$A178,Entries!$A$2:$A$5000,"&lt;"&amp;EDATE($A178,1),Entries!$B$2:$B$5000,AB$1))</f>
        <v/>
      </c>
      <c r="AC178" s="23">
        <f>IF(OR(AC$1="",$BM178=0),"",SUMIFS(Entries!$E$2:$E$5000,Entries!$C$2:$C$5000,"Actual",Entries!$A$2:$A$5000,"&gt;="&amp;$A178,Entries!$A$2:$A$5000,"&lt;"&amp;EDATE($A178,1),Entries!$B$2:$B$5000,AC$1))</f>
        <v/>
      </c>
      <c r="AD178" s="23">
        <f>IF(OR(AD$1="",$BM178=0),"",SUMIFS(Entries!$E$2:$E$5000,Entries!$C$2:$C$5000,"Actual",Entries!$A$2:$A$5000,"&gt;="&amp;$A178,Entries!$A$2:$A$5000,"&lt;"&amp;EDATE($A178,1),Entries!$B$2:$B$5000,AD$1))</f>
        <v/>
      </c>
      <c r="AE178" s="23">
        <f>IF(OR(AE$1="",$BM178=0),"",SUMIFS(Entries!$E$2:$E$5000,Entries!$C$2:$C$5000,"Actual",Entries!$A$2:$A$5000,"&gt;="&amp;$A178,Entries!$A$2:$A$5000,"&lt;"&amp;EDATE($A178,1),Entries!$B$2:$B$5000,AE$1))</f>
        <v/>
      </c>
      <c r="AF178" s="23">
        <f>IF(OR(AF$1="",$BM178=0),"",SUMIFS(Entries!$E$2:$E$5000,Entries!$C$2:$C$5000,"Actual",Entries!$A$2:$A$5000,"&gt;="&amp;$A178,Entries!$A$2:$A$5000,"&lt;"&amp;EDATE($A178,1),Entries!$B$2:$B$5000,AF$1))</f>
        <v/>
      </c>
      <c r="AG178" s="23">
        <f>IF(OR(AG$1="",$BM178=0),"",SUMIFS(Entries!$E$2:$E$5000,Entries!$C$2:$C$5000,"Actual",Entries!$A$2:$A$5000,"&gt;="&amp;$A178,Entries!$A$2:$A$5000,"&lt;"&amp;EDATE($A178,1),Entries!$B$2:$B$5000,AG$1))</f>
        <v/>
      </c>
      <c r="AH178" s="23">
        <f>IF(OR(AH$1="",$BM178=0),"",SUMIFS(Entries!$E$2:$E$5000,Entries!$C$2:$C$5000,"Actual",Entries!$A$2:$A$5000,"&gt;="&amp;$A178,Entries!$A$2:$A$5000,"&lt;"&amp;EDATE($A178,1),Entries!$B$2:$B$5000,AH$1))</f>
        <v/>
      </c>
      <c r="AI178" s="23">
        <f>IF(OR(AI$1="",$BM178=0),"",SUMIFS(Entries!$E$2:$E$5000,Entries!$C$2:$C$5000,"Actual",Entries!$A$2:$A$5000,"&gt;="&amp;$A178,Entries!$A$2:$A$5000,"&lt;"&amp;EDATE($A178,1),Entries!$B$2:$B$5000,AI$1))</f>
        <v/>
      </c>
      <c r="AJ178" s="23">
        <f>IF(OR(AJ$1="",$BM178=0),"",SUMIFS(Entries!$E$2:$E$5000,Entries!$C$2:$C$5000,"Actual",Entries!$A$2:$A$5000,"&gt;="&amp;$A178,Entries!$A$2:$A$5000,"&lt;"&amp;EDATE($A178,1),Entries!$B$2:$B$5000,AJ$1))</f>
        <v/>
      </c>
      <c r="AK178" s="23">
        <f>IF(OR(AK$1="",$BM178=0),"",SUMIFS(Entries!$E$2:$E$5000,Entries!$C$2:$C$5000,"Actual",Entries!$A$2:$A$5000,"&gt;="&amp;$A178,Entries!$A$2:$A$5000,"&lt;"&amp;EDATE($A178,1),Entries!$B$2:$B$5000,AK$1))</f>
        <v/>
      </c>
      <c r="AL178" s="23">
        <f>IF(OR(AL$1="",$BM178=0),"",SUMIFS(Entries!$E$2:$E$5000,Entries!$C$2:$C$5000,"Actual",Entries!$A$2:$A$5000,"&gt;="&amp;$A178,Entries!$A$2:$A$5000,"&lt;"&amp;EDATE($A178,1),Entries!$B$2:$B$5000,AL$1))</f>
        <v/>
      </c>
      <c r="AM178" s="23">
        <f>IF(OR(AM$1="",$BM178=0),"",SUMIFS(Entries!$E$2:$E$5000,Entries!$C$2:$C$5000,"Actual",Entries!$A$2:$A$5000,"&gt;="&amp;$A178,Entries!$A$2:$A$5000,"&lt;"&amp;EDATE($A178,1),Entries!$B$2:$B$5000,AM$1))</f>
        <v/>
      </c>
      <c r="AN178" s="23">
        <f>IF(OR(AN$1="",$BM178=0),"",SUMIFS(Entries!$E$2:$E$5000,Entries!$C$2:$C$5000,"Actual",Entries!$A$2:$A$5000,"&gt;="&amp;$A178,Entries!$A$2:$A$5000,"&lt;"&amp;EDATE($A178,1),Entries!$B$2:$B$5000,AN$1))</f>
        <v/>
      </c>
      <c r="AO178" s="23">
        <f>IF(OR(AO$1="",$BM178=0),"",SUMIFS(Entries!$E$2:$E$5000,Entries!$C$2:$C$5000,"Actual",Entries!$A$2:$A$5000,"&gt;="&amp;$A178,Entries!$A$2:$A$5000,"&lt;"&amp;EDATE($A178,1),Entries!$B$2:$B$5000,AO$1))</f>
        <v/>
      </c>
      <c r="AP178" s="23">
        <f>IF(OR(AP$1="",$BM178=0),"",SUMIFS(Entries!$E$2:$E$5000,Entries!$C$2:$C$5000,"Actual",Entries!$A$2:$A$5000,"&gt;="&amp;$A178,Entries!$A$2:$A$5000,"&lt;"&amp;EDATE($A178,1),Entries!$B$2:$B$5000,AP$1))</f>
        <v/>
      </c>
      <c r="AR178" s="23">
        <f>IF(OR(AR$1="",$BM178=0),"",IFERROR(LOOKUP(2,1/((Budgets!$A$2:$A$200=AR$1)*(Budgets!$B$2:$B$200&lt;EDATE($A178,1))),Budgets!$C$2:$C$200),0))</f>
        <v/>
      </c>
      <c r="AS178" s="23">
        <f>IF(OR(AS$1="",$BM178=0),"",IFERROR(LOOKUP(2,1/((Budgets!$A$2:$A$200=AS$1)*(Budgets!$B$2:$B$200&lt;EDATE($A178,1))),Budgets!$C$2:$C$200),0))</f>
        <v/>
      </c>
      <c r="AT178" s="23">
        <f>IF(OR(AT$1="",$BM178=0),"",IFERROR(LOOKUP(2,1/((Budgets!$A$2:$A$200=AT$1)*(Budgets!$B$2:$B$200&lt;EDATE($A178,1))),Budgets!$C$2:$C$200),0))</f>
        <v/>
      </c>
      <c r="AU178" s="23">
        <f>IF(OR(AU$1="",$BM178=0),"",IFERROR(LOOKUP(2,1/((Budgets!$A$2:$A$200=AU$1)*(Budgets!$B$2:$B$200&lt;EDATE($A178,1))),Budgets!$C$2:$C$200),0))</f>
        <v/>
      </c>
      <c r="AV178" s="23">
        <f>IF(OR(AV$1="",$BM178=0),"",IFERROR(LOOKUP(2,1/((Budgets!$A$2:$A$200=AV$1)*(Budgets!$B$2:$B$200&lt;EDATE($A178,1))),Budgets!$C$2:$C$200),0))</f>
        <v/>
      </c>
      <c r="AW178" s="23">
        <f>IF(OR(AW$1="",$BM178=0),"",IFERROR(LOOKUP(2,1/((Budgets!$A$2:$A$200=AW$1)*(Budgets!$B$2:$B$200&lt;EDATE($A178,1))),Budgets!$C$2:$C$200),0))</f>
        <v/>
      </c>
      <c r="AX178" s="23">
        <f>IF(OR(AX$1="",$BM178=0),"",IFERROR(LOOKUP(2,1/((Budgets!$A$2:$A$200=AX$1)*(Budgets!$B$2:$B$200&lt;EDATE($A178,1))),Budgets!$C$2:$C$200),0))</f>
        <v/>
      </c>
      <c r="AY178" s="23">
        <f>IF(OR(AY$1="",$BM178=0),"",IFERROR(LOOKUP(2,1/((Budgets!$A$2:$A$200=AY$1)*(Budgets!$B$2:$B$200&lt;EDATE($A178,1))),Budgets!$C$2:$C$200),0))</f>
        <v/>
      </c>
      <c r="AZ178" s="23">
        <f>IF(OR(AZ$1="",$BM178=0),"",IFERROR(LOOKUP(2,1/((Budgets!$A$2:$A$200=AZ$1)*(Budgets!$B$2:$B$200&lt;EDATE($A178,1))),Budgets!$C$2:$C$200),0))</f>
        <v/>
      </c>
      <c r="BA178" s="23">
        <f>IF(OR(BA$1="",$BM178=0),"",IFERROR(LOOKUP(2,1/((Budgets!$A$2:$A$200=BA$1)*(Budgets!$B$2:$B$200&lt;EDATE($A178,1))),Budgets!$C$2:$C$200),0))</f>
        <v/>
      </c>
      <c r="BB178" s="23">
        <f>IF(OR(BB$1="",$BM178=0),"",IFERROR(LOOKUP(2,1/((Budgets!$A$2:$A$200=BB$1)*(Budgets!$B$2:$B$200&lt;EDATE($A178,1))),Budgets!$C$2:$C$200),0))</f>
        <v/>
      </c>
      <c r="BC178" s="23">
        <f>IF(OR(BC$1="",$BM178=0),"",IFERROR(LOOKUP(2,1/((Budgets!$A$2:$A$200=BC$1)*(Budgets!$B$2:$B$200&lt;EDATE($A178,1))),Budgets!$C$2:$C$200),0))</f>
        <v/>
      </c>
      <c r="BD178" s="23">
        <f>IF(OR(BD$1="",$BM178=0),"",IFERROR(LOOKUP(2,1/((Budgets!$A$2:$A$200=BD$1)*(Budgets!$B$2:$B$200&lt;EDATE($A178,1))),Budgets!$C$2:$C$200),0))</f>
        <v/>
      </c>
      <c r="BE178" s="23">
        <f>IF(OR(BE$1="",$BM178=0),"",IFERROR(LOOKUP(2,1/((Budgets!$A$2:$A$200=BE$1)*(Budgets!$B$2:$B$200&lt;EDATE($A178,1))),Budgets!$C$2:$C$200),0))</f>
        <v/>
      </c>
      <c r="BF178" s="23">
        <f>IF(OR(BF$1="",$BM178=0),"",IFERROR(LOOKUP(2,1/((Budgets!$A$2:$A$200=BF$1)*(Budgets!$B$2:$B$200&lt;EDATE($A178,1))),Budgets!$C$2:$C$200),0))</f>
        <v/>
      </c>
      <c r="BG178" s="23">
        <f>IF(OR(BG$1="",$BM178=0),"",IFERROR(LOOKUP(2,1/((Budgets!$A$2:$A$200=BG$1)*(Budgets!$B$2:$B$200&lt;EDATE($A178,1))),Budgets!$C$2:$C$200),0))</f>
        <v/>
      </c>
      <c r="BH178" s="23">
        <f>IF(OR(BH$1="",$BM178=0),"",IFERROR(LOOKUP(2,1/((Budgets!$A$2:$A$200=BH$1)*(Budgets!$B$2:$B$200&lt;EDATE($A178,1))),Budgets!$C$2:$C$200),0))</f>
        <v/>
      </c>
      <c r="BI178" s="23">
        <f>IF(OR(BI$1="",$BM178=0),"",IFERROR(LOOKUP(2,1/((Budgets!$A$2:$A$200=BI$1)*(Budgets!$B$2:$B$200&lt;EDATE($A178,1))),Budgets!$C$2:$C$200),0))</f>
        <v/>
      </c>
      <c r="BJ178" s="23">
        <f>IF(OR(BJ$1="",$BM178=0),"",IFERROR(LOOKUP(2,1/((Budgets!$A$2:$A$200=BJ$1)*(Budgets!$B$2:$B$200&lt;EDATE($A178,1))),Budgets!$C$2:$C$200),0))</f>
        <v/>
      </c>
      <c r="BK178" s="23">
        <f>IF(OR(BK$1="",$BM178=0),"",IFERROR(LOOKUP(2,1/((Budgets!$A$2:$A$200=BK$1)*(Budgets!$B$2:$B$200&lt;EDATE($A178,1))),Budgets!$C$2:$C$200),0))</f>
        <v/>
      </c>
      <c r="BM178" s="21">
        <f>COUNTIFS(Entries!$A$2:$A$5000,"&gt;="&amp;$A178,Entries!$A$2:$A$5000,"&lt;"&amp;EDATE($A178,1))</f>
        <v/>
      </c>
    </row>
    <row r="179">
      <c r="A179" s="22" t="n">
        <v>44835</v>
      </c>
      <c r="B179" s="23">
        <f>IF($BM179=0,NA(),SUMIFS(Entries!$E$2:$E$5000,Entries!$C$2:$C$5000,"Income",Entries!$A$2:$A$5000,"&gt;="&amp;$A179,Entries!$A$2:$A$5000,"&lt;"&amp;EDATE($A179,1)))</f>
        <v/>
      </c>
      <c r="C179" s="23">
        <f>IF($BM179=0,"",SUMIFS(Entries!$E$2:$E$5000,Entries!$C$2:$C$5000,"Actual",Entries!$A$2:$A$5000,"&gt;="&amp;$A179,Entries!$A$2:$A$5000,"&lt;"&amp;EDATE($A179,1)))</f>
        <v/>
      </c>
      <c r="D179" s="23">
        <f>IF($BM179=0,"",SUMIFS(Entries!$E$2:$E$5000,Entries!$C$2:$C$5000,"One-off",Entries!$A$2:$A$5000,"&gt;="&amp;$A179,Entries!$A$2:$A$5000,"&lt;"&amp;EDATE($A179,1)))</f>
        <v/>
      </c>
      <c r="E179" s="23">
        <f>IF($BM179=0,NA(),C179+D179)</f>
        <v/>
      </c>
      <c r="F179" s="23">
        <f>IF($BM179=0,"",SUM(AR179:BK179))</f>
        <v/>
      </c>
      <c r="G179" s="23">
        <f>IF($BM179=0,"",B179-E179)</f>
        <v/>
      </c>
      <c r="H179" s="23">
        <f>IF($BM179=0,"",SUM($G$2:G179))</f>
        <v/>
      </c>
      <c r="I179" s="23">
        <f>IF($BM179=0,"",SUMIFS(Entries!$G$2:$G$5000,Entries!$A$2:$A$5000,"&gt;="&amp;$A179,Entries!$A$2:$A$5000,"&lt;"&amp;EDATE($A179,1)))</f>
        <v/>
      </c>
      <c r="J179" s="23">
        <f>IF($BM179=0,NA(),H179)</f>
        <v/>
      </c>
      <c r="K179" s="23">
        <f>IF($BM179=0,"",SUMIFS(Entries!$E$2:$E$5000,Entries!$C$2:$C$5000,"Income",Entries!$A$2:$A$5000,"&gt;="&amp;EDATE($A179,-11),Entries!$A$2:$A$5000,"&lt;"&amp;EDATE($A179,1))/COUNTIFS($A$2:$A$400,"&gt;="&amp;EDATE($A179,-11),$A$2:$A$400,"&lt;"&amp;EDATE($A179,1),$BM$2:$BM$400,"&gt;0"))</f>
      </c>
      <c r="L179" s="23">
        <f>IF($BM179=0,"",(SUMIFS(Entries!$E$2:$E$5000,Entries!$C$2:$C$5000,"Actual",Entries!$A$2:$A$5000,"&gt;="&amp;EDATE($A179,-11),Entries!$A$2:$A$5000,"&lt;"&amp;EDATE($A179,1))+SUMIFS(Entries!$E$2:$E$5000,Entries!$C$2:$C$5000,"One-off",Entries!$A$2:$A$5000,"&gt;="&amp;EDATE($A179,-11),Entries!$A$2:$A$5000,"&lt;"&amp;EDATE($A179,1)))/COUNTIFS($A$2:$A$400,"&gt;="&amp;EDATE($A179,-11),$A$2:$A$400,"&lt;"&amp;EDATE($A179,1),$BM$2:$BM$400,"&gt;0"))</f>
      </c>
      <c r="M179" s="24">
        <f>IF($BM179=0,NA(),IFERROR((K179-L179)/K179,0))</f>
        <v/>
      </c>
      <c r="N179" s="23">
        <f>IF($BM179=0,NA(),SUMIFS(Entries!$E$2:$E$5000,Entries!$D$2:$D$5000,"Core",Entries!$A$2:$A$5000,"&gt;="&amp;$A179,Entries!$A$2:$A$5000,"&lt;"&amp;EDATE($A179,1)))</f>
        <v/>
      </c>
      <c r="O179" s="23">
        <f>IF($BM179=0,NA(),SUMIFS(Entries!$E$2:$E$5000,Entries!$D$2:$D$5000,"Over &amp; above",Entries!$A$2:$A$5000,"&gt;="&amp;$A179,Entries!$A$2:$A$5000,"&lt;"&amp;EDATE($A179,1)))</f>
        <v/>
      </c>
      <c r="P179" s="23">
        <f>IF($BM179=0,NA(),SUMIFS(Entries!$E$2:$E$5000,Entries!$D$2:$D$5000,"One-off",Entries!$A$2:$A$5000,"&gt;="&amp;$A179,Entries!$A$2:$A$5000,"&lt;"&amp;EDATE($A179,1)))</f>
        <v/>
      </c>
      <c r="Q179" s="23">
        <f>IF($BM179=0,NA(),SUMIFS(Entries!$E$2:$E$5000,Entries!$D$2:$D$5000,"Reimbursable",Entries!$A$2:$A$5000,"&gt;="&amp;$A179,Entries!$A$2:$A$5000,"&lt;"&amp;EDATE($A179,1)))</f>
        <v/>
      </c>
      <c r="R179" s="23">
        <f>IF($BM179=0,NA(),SUMIFS(Entries!$E$2:$E$5000,Entries!$D$2:$D$5000,"Investment",Entries!$A$2:$A$5000,"&gt;="&amp;$A179,Entries!$A$2:$A$5000,"&lt;"&amp;EDATE($A179,1)))</f>
        <v/>
      </c>
      <c r="S179" s="23">
        <f>IF($BM179=0,NA(),N179+O179)</f>
        <v/>
      </c>
      <c r="T179" s="23">
        <f>IF($BM179=0,"",E179-Q179)</f>
        <v/>
      </c>
      <c r="W179" s="23">
        <f>IF(OR(W$1="",$BM179=0),"",SUMIFS(Entries!$E$2:$E$5000,Entries!$C$2:$C$5000,"Actual",Entries!$A$2:$A$5000,"&gt;="&amp;$A179,Entries!$A$2:$A$5000,"&lt;"&amp;EDATE($A179,1),Entries!$B$2:$B$5000,W$1))</f>
        <v/>
      </c>
      <c r="X179" s="23">
        <f>IF(OR(X$1="",$BM179=0),"",SUMIFS(Entries!$E$2:$E$5000,Entries!$C$2:$C$5000,"Actual",Entries!$A$2:$A$5000,"&gt;="&amp;$A179,Entries!$A$2:$A$5000,"&lt;"&amp;EDATE($A179,1),Entries!$B$2:$B$5000,X$1))</f>
        <v/>
      </c>
      <c r="Y179" s="23">
        <f>IF(OR(Y$1="",$BM179=0),"",SUMIFS(Entries!$E$2:$E$5000,Entries!$C$2:$C$5000,"Actual",Entries!$A$2:$A$5000,"&gt;="&amp;$A179,Entries!$A$2:$A$5000,"&lt;"&amp;EDATE($A179,1),Entries!$B$2:$B$5000,Y$1))</f>
        <v/>
      </c>
      <c r="Z179" s="23">
        <f>IF(OR(Z$1="",$BM179=0),"",SUMIFS(Entries!$E$2:$E$5000,Entries!$C$2:$C$5000,"Actual",Entries!$A$2:$A$5000,"&gt;="&amp;$A179,Entries!$A$2:$A$5000,"&lt;"&amp;EDATE($A179,1),Entries!$B$2:$B$5000,Z$1))</f>
        <v/>
      </c>
      <c r="AA179" s="23">
        <f>IF(OR(AA$1="",$BM179=0),"",SUMIFS(Entries!$E$2:$E$5000,Entries!$C$2:$C$5000,"Actual",Entries!$A$2:$A$5000,"&gt;="&amp;$A179,Entries!$A$2:$A$5000,"&lt;"&amp;EDATE($A179,1),Entries!$B$2:$B$5000,AA$1))</f>
        <v/>
      </c>
      <c r="AB179" s="23">
        <f>IF(OR(AB$1="",$BM179=0),"",SUMIFS(Entries!$E$2:$E$5000,Entries!$C$2:$C$5000,"Actual",Entries!$A$2:$A$5000,"&gt;="&amp;$A179,Entries!$A$2:$A$5000,"&lt;"&amp;EDATE($A179,1),Entries!$B$2:$B$5000,AB$1))</f>
        <v/>
      </c>
      <c r="AC179" s="23">
        <f>IF(OR(AC$1="",$BM179=0),"",SUMIFS(Entries!$E$2:$E$5000,Entries!$C$2:$C$5000,"Actual",Entries!$A$2:$A$5000,"&gt;="&amp;$A179,Entries!$A$2:$A$5000,"&lt;"&amp;EDATE($A179,1),Entries!$B$2:$B$5000,AC$1))</f>
        <v/>
      </c>
      <c r="AD179" s="23">
        <f>IF(OR(AD$1="",$BM179=0),"",SUMIFS(Entries!$E$2:$E$5000,Entries!$C$2:$C$5000,"Actual",Entries!$A$2:$A$5000,"&gt;="&amp;$A179,Entries!$A$2:$A$5000,"&lt;"&amp;EDATE($A179,1),Entries!$B$2:$B$5000,AD$1))</f>
        <v/>
      </c>
      <c r="AE179" s="23">
        <f>IF(OR(AE$1="",$BM179=0),"",SUMIFS(Entries!$E$2:$E$5000,Entries!$C$2:$C$5000,"Actual",Entries!$A$2:$A$5000,"&gt;="&amp;$A179,Entries!$A$2:$A$5000,"&lt;"&amp;EDATE($A179,1),Entries!$B$2:$B$5000,AE$1))</f>
        <v/>
      </c>
      <c r="AF179" s="23">
        <f>IF(OR(AF$1="",$BM179=0),"",SUMIFS(Entries!$E$2:$E$5000,Entries!$C$2:$C$5000,"Actual",Entries!$A$2:$A$5000,"&gt;="&amp;$A179,Entries!$A$2:$A$5000,"&lt;"&amp;EDATE($A179,1),Entries!$B$2:$B$5000,AF$1))</f>
        <v/>
      </c>
      <c r="AG179" s="23">
        <f>IF(OR(AG$1="",$BM179=0),"",SUMIFS(Entries!$E$2:$E$5000,Entries!$C$2:$C$5000,"Actual",Entries!$A$2:$A$5000,"&gt;="&amp;$A179,Entries!$A$2:$A$5000,"&lt;"&amp;EDATE($A179,1),Entries!$B$2:$B$5000,AG$1))</f>
        <v/>
      </c>
      <c r="AH179" s="23">
        <f>IF(OR(AH$1="",$BM179=0),"",SUMIFS(Entries!$E$2:$E$5000,Entries!$C$2:$C$5000,"Actual",Entries!$A$2:$A$5000,"&gt;="&amp;$A179,Entries!$A$2:$A$5000,"&lt;"&amp;EDATE($A179,1),Entries!$B$2:$B$5000,AH$1))</f>
        <v/>
      </c>
      <c r="AI179" s="23">
        <f>IF(OR(AI$1="",$BM179=0),"",SUMIFS(Entries!$E$2:$E$5000,Entries!$C$2:$C$5000,"Actual",Entries!$A$2:$A$5000,"&gt;="&amp;$A179,Entries!$A$2:$A$5000,"&lt;"&amp;EDATE($A179,1),Entries!$B$2:$B$5000,AI$1))</f>
        <v/>
      </c>
      <c r="AJ179" s="23">
        <f>IF(OR(AJ$1="",$BM179=0),"",SUMIFS(Entries!$E$2:$E$5000,Entries!$C$2:$C$5000,"Actual",Entries!$A$2:$A$5000,"&gt;="&amp;$A179,Entries!$A$2:$A$5000,"&lt;"&amp;EDATE($A179,1),Entries!$B$2:$B$5000,AJ$1))</f>
        <v/>
      </c>
      <c r="AK179" s="23">
        <f>IF(OR(AK$1="",$BM179=0),"",SUMIFS(Entries!$E$2:$E$5000,Entries!$C$2:$C$5000,"Actual",Entries!$A$2:$A$5000,"&gt;="&amp;$A179,Entries!$A$2:$A$5000,"&lt;"&amp;EDATE($A179,1),Entries!$B$2:$B$5000,AK$1))</f>
        <v/>
      </c>
      <c r="AL179" s="23">
        <f>IF(OR(AL$1="",$BM179=0),"",SUMIFS(Entries!$E$2:$E$5000,Entries!$C$2:$C$5000,"Actual",Entries!$A$2:$A$5000,"&gt;="&amp;$A179,Entries!$A$2:$A$5000,"&lt;"&amp;EDATE($A179,1),Entries!$B$2:$B$5000,AL$1))</f>
        <v/>
      </c>
      <c r="AM179" s="23">
        <f>IF(OR(AM$1="",$BM179=0),"",SUMIFS(Entries!$E$2:$E$5000,Entries!$C$2:$C$5000,"Actual",Entries!$A$2:$A$5000,"&gt;="&amp;$A179,Entries!$A$2:$A$5000,"&lt;"&amp;EDATE($A179,1),Entries!$B$2:$B$5000,AM$1))</f>
        <v/>
      </c>
      <c r="AN179" s="23">
        <f>IF(OR(AN$1="",$BM179=0),"",SUMIFS(Entries!$E$2:$E$5000,Entries!$C$2:$C$5000,"Actual",Entries!$A$2:$A$5000,"&gt;="&amp;$A179,Entries!$A$2:$A$5000,"&lt;"&amp;EDATE($A179,1),Entries!$B$2:$B$5000,AN$1))</f>
        <v/>
      </c>
      <c r="AO179" s="23">
        <f>IF(OR(AO$1="",$BM179=0),"",SUMIFS(Entries!$E$2:$E$5000,Entries!$C$2:$C$5000,"Actual",Entries!$A$2:$A$5000,"&gt;="&amp;$A179,Entries!$A$2:$A$5000,"&lt;"&amp;EDATE($A179,1),Entries!$B$2:$B$5000,AO$1))</f>
        <v/>
      </c>
      <c r="AP179" s="23">
        <f>IF(OR(AP$1="",$BM179=0),"",SUMIFS(Entries!$E$2:$E$5000,Entries!$C$2:$C$5000,"Actual",Entries!$A$2:$A$5000,"&gt;="&amp;$A179,Entries!$A$2:$A$5000,"&lt;"&amp;EDATE($A179,1),Entries!$B$2:$B$5000,AP$1))</f>
        <v/>
      </c>
      <c r="AR179" s="23">
        <f>IF(OR(AR$1="",$BM179=0),"",IFERROR(LOOKUP(2,1/((Budgets!$A$2:$A$200=AR$1)*(Budgets!$B$2:$B$200&lt;EDATE($A179,1))),Budgets!$C$2:$C$200),0))</f>
        <v/>
      </c>
      <c r="AS179" s="23">
        <f>IF(OR(AS$1="",$BM179=0),"",IFERROR(LOOKUP(2,1/((Budgets!$A$2:$A$200=AS$1)*(Budgets!$B$2:$B$200&lt;EDATE($A179,1))),Budgets!$C$2:$C$200),0))</f>
        <v/>
      </c>
      <c r="AT179" s="23">
        <f>IF(OR(AT$1="",$BM179=0),"",IFERROR(LOOKUP(2,1/((Budgets!$A$2:$A$200=AT$1)*(Budgets!$B$2:$B$200&lt;EDATE($A179,1))),Budgets!$C$2:$C$200),0))</f>
        <v/>
      </c>
      <c r="AU179" s="23">
        <f>IF(OR(AU$1="",$BM179=0),"",IFERROR(LOOKUP(2,1/((Budgets!$A$2:$A$200=AU$1)*(Budgets!$B$2:$B$200&lt;EDATE($A179,1))),Budgets!$C$2:$C$200),0))</f>
        <v/>
      </c>
      <c r="AV179" s="23">
        <f>IF(OR(AV$1="",$BM179=0),"",IFERROR(LOOKUP(2,1/((Budgets!$A$2:$A$200=AV$1)*(Budgets!$B$2:$B$200&lt;EDATE($A179,1))),Budgets!$C$2:$C$200),0))</f>
        <v/>
      </c>
      <c r="AW179" s="23">
        <f>IF(OR(AW$1="",$BM179=0),"",IFERROR(LOOKUP(2,1/((Budgets!$A$2:$A$200=AW$1)*(Budgets!$B$2:$B$200&lt;EDATE($A179,1))),Budgets!$C$2:$C$200),0))</f>
        <v/>
      </c>
      <c r="AX179" s="23">
        <f>IF(OR(AX$1="",$BM179=0),"",IFERROR(LOOKUP(2,1/((Budgets!$A$2:$A$200=AX$1)*(Budgets!$B$2:$B$200&lt;EDATE($A179,1))),Budgets!$C$2:$C$200),0))</f>
        <v/>
      </c>
      <c r="AY179" s="23">
        <f>IF(OR(AY$1="",$BM179=0),"",IFERROR(LOOKUP(2,1/((Budgets!$A$2:$A$200=AY$1)*(Budgets!$B$2:$B$200&lt;EDATE($A179,1))),Budgets!$C$2:$C$200),0))</f>
        <v/>
      </c>
      <c r="AZ179" s="23">
        <f>IF(OR(AZ$1="",$BM179=0),"",IFERROR(LOOKUP(2,1/((Budgets!$A$2:$A$200=AZ$1)*(Budgets!$B$2:$B$200&lt;EDATE($A179,1))),Budgets!$C$2:$C$200),0))</f>
        <v/>
      </c>
      <c r="BA179" s="23">
        <f>IF(OR(BA$1="",$BM179=0),"",IFERROR(LOOKUP(2,1/((Budgets!$A$2:$A$200=BA$1)*(Budgets!$B$2:$B$200&lt;EDATE($A179,1))),Budgets!$C$2:$C$200),0))</f>
        <v/>
      </c>
      <c r="BB179" s="23">
        <f>IF(OR(BB$1="",$BM179=0),"",IFERROR(LOOKUP(2,1/((Budgets!$A$2:$A$200=BB$1)*(Budgets!$B$2:$B$200&lt;EDATE($A179,1))),Budgets!$C$2:$C$200),0))</f>
        <v/>
      </c>
      <c r="BC179" s="23">
        <f>IF(OR(BC$1="",$BM179=0),"",IFERROR(LOOKUP(2,1/((Budgets!$A$2:$A$200=BC$1)*(Budgets!$B$2:$B$200&lt;EDATE($A179,1))),Budgets!$C$2:$C$200),0))</f>
        <v/>
      </c>
      <c r="BD179" s="23">
        <f>IF(OR(BD$1="",$BM179=0),"",IFERROR(LOOKUP(2,1/((Budgets!$A$2:$A$200=BD$1)*(Budgets!$B$2:$B$200&lt;EDATE($A179,1))),Budgets!$C$2:$C$200),0))</f>
        <v/>
      </c>
      <c r="BE179" s="23">
        <f>IF(OR(BE$1="",$BM179=0),"",IFERROR(LOOKUP(2,1/((Budgets!$A$2:$A$200=BE$1)*(Budgets!$B$2:$B$200&lt;EDATE($A179,1))),Budgets!$C$2:$C$200),0))</f>
        <v/>
      </c>
      <c r="BF179" s="23">
        <f>IF(OR(BF$1="",$BM179=0),"",IFERROR(LOOKUP(2,1/((Budgets!$A$2:$A$200=BF$1)*(Budgets!$B$2:$B$200&lt;EDATE($A179,1))),Budgets!$C$2:$C$200),0))</f>
        <v/>
      </c>
      <c r="BG179" s="23">
        <f>IF(OR(BG$1="",$BM179=0),"",IFERROR(LOOKUP(2,1/((Budgets!$A$2:$A$200=BG$1)*(Budgets!$B$2:$B$200&lt;EDATE($A179,1))),Budgets!$C$2:$C$200),0))</f>
        <v/>
      </c>
      <c r="BH179" s="23">
        <f>IF(OR(BH$1="",$BM179=0),"",IFERROR(LOOKUP(2,1/((Budgets!$A$2:$A$200=BH$1)*(Budgets!$B$2:$B$200&lt;EDATE($A179,1))),Budgets!$C$2:$C$200),0))</f>
        <v/>
      </c>
      <c r="BI179" s="23">
        <f>IF(OR(BI$1="",$BM179=0),"",IFERROR(LOOKUP(2,1/((Budgets!$A$2:$A$200=BI$1)*(Budgets!$B$2:$B$200&lt;EDATE($A179,1))),Budgets!$C$2:$C$200),0))</f>
        <v/>
      </c>
      <c r="BJ179" s="23">
        <f>IF(OR(BJ$1="",$BM179=0),"",IFERROR(LOOKUP(2,1/((Budgets!$A$2:$A$200=BJ$1)*(Budgets!$B$2:$B$200&lt;EDATE($A179,1))),Budgets!$C$2:$C$200),0))</f>
        <v/>
      </c>
      <c r="BK179" s="23">
        <f>IF(OR(BK$1="",$BM179=0),"",IFERROR(LOOKUP(2,1/((Budgets!$A$2:$A$200=BK$1)*(Budgets!$B$2:$B$200&lt;EDATE($A179,1))),Budgets!$C$2:$C$200),0))</f>
        <v/>
      </c>
      <c r="BM179" s="21">
        <f>COUNTIFS(Entries!$A$2:$A$5000,"&gt;="&amp;$A179,Entries!$A$2:$A$5000,"&lt;"&amp;EDATE($A179,1))</f>
        <v/>
      </c>
    </row>
    <row r="180">
      <c r="A180" s="22" t="n">
        <v>44866</v>
      </c>
      <c r="B180" s="23">
        <f>IF($BM180=0,NA(),SUMIFS(Entries!$E$2:$E$5000,Entries!$C$2:$C$5000,"Income",Entries!$A$2:$A$5000,"&gt;="&amp;$A180,Entries!$A$2:$A$5000,"&lt;"&amp;EDATE($A180,1)))</f>
        <v/>
      </c>
      <c r="C180" s="23">
        <f>IF($BM180=0,"",SUMIFS(Entries!$E$2:$E$5000,Entries!$C$2:$C$5000,"Actual",Entries!$A$2:$A$5000,"&gt;="&amp;$A180,Entries!$A$2:$A$5000,"&lt;"&amp;EDATE($A180,1)))</f>
        <v/>
      </c>
      <c r="D180" s="23">
        <f>IF($BM180=0,"",SUMIFS(Entries!$E$2:$E$5000,Entries!$C$2:$C$5000,"One-off",Entries!$A$2:$A$5000,"&gt;="&amp;$A180,Entries!$A$2:$A$5000,"&lt;"&amp;EDATE($A180,1)))</f>
        <v/>
      </c>
      <c r="E180" s="23">
        <f>IF($BM180=0,NA(),C180+D180)</f>
        <v/>
      </c>
      <c r="F180" s="23">
        <f>IF($BM180=0,"",SUM(AR180:BK180))</f>
        <v/>
      </c>
      <c r="G180" s="23">
        <f>IF($BM180=0,"",B180-E180)</f>
        <v/>
      </c>
      <c r="H180" s="23">
        <f>IF($BM180=0,"",SUM($G$2:G180))</f>
        <v/>
      </c>
      <c r="I180" s="23">
        <f>IF($BM180=0,"",SUMIFS(Entries!$G$2:$G$5000,Entries!$A$2:$A$5000,"&gt;="&amp;$A180,Entries!$A$2:$A$5000,"&lt;"&amp;EDATE($A180,1)))</f>
        <v/>
      </c>
      <c r="J180" s="23">
        <f>IF($BM180=0,NA(),H180)</f>
        <v/>
      </c>
      <c r="K180" s="23">
        <f>IF($BM180=0,"",SUMIFS(Entries!$E$2:$E$5000,Entries!$C$2:$C$5000,"Income",Entries!$A$2:$A$5000,"&gt;="&amp;EDATE($A180,-11),Entries!$A$2:$A$5000,"&lt;"&amp;EDATE($A180,1))/COUNTIFS($A$2:$A$400,"&gt;="&amp;EDATE($A180,-11),$A$2:$A$400,"&lt;"&amp;EDATE($A180,1),$BM$2:$BM$400,"&gt;0"))</f>
      </c>
      <c r="L180" s="23">
        <f>IF($BM180=0,"",(SUMIFS(Entries!$E$2:$E$5000,Entries!$C$2:$C$5000,"Actual",Entries!$A$2:$A$5000,"&gt;="&amp;EDATE($A180,-11),Entries!$A$2:$A$5000,"&lt;"&amp;EDATE($A180,1))+SUMIFS(Entries!$E$2:$E$5000,Entries!$C$2:$C$5000,"One-off",Entries!$A$2:$A$5000,"&gt;="&amp;EDATE($A180,-11),Entries!$A$2:$A$5000,"&lt;"&amp;EDATE($A180,1)))/COUNTIFS($A$2:$A$400,"&gt;="&amp;EDATE($A180,-11),$A$2:$A$400,"&lt;"&amp;EDATE($A180,1),$BM$2:$BM$400,"&gt;0"))</f>
      </c>
      <c r="M180" s="24">
        <f>IF($BM180=0,NA(),IFERROR((K180-L180)/K180,0))</f>
        <v/>
      </c>
      <c r="N180" s="23">
        <f>IF($BM180=0,NA(),SUMIFS(Entries!$E$2:$E$5000,Entries!$D$2:$D$5000,"Core",Entries!$A$2:$A$5000,"&gt;="&amp;$A180,Entries!$A$2:$A$5000,"&lt;"&amp;EDATE($A180,1)))</f>
        <v/>
      </c>
      <c r="O180" s="23">
        <f>IF($BM180=0,NA(),SUMIFS(Entries!$E$2:$E$5000,Entries!$D$2:$D$5000,"Over &amp; above",Entries!$A$2:$A$5000,"&gt;="&amp;$A180,Entries!$A$2:$A$5000,"&lt;"&amp;EDATE($A180,1)))</f>
        <v/>
      </c>
      <c r="P180" s="23">
        <f>IF($BM180=0,NA(),SUMIFS(Entries!$E$2:$E$5000,Entries!$D$2:$D$5000,"One-off",Entries!$A$2:$A$5000,"&gt;="&amp;$A180,Entries!$A$2:$A$5000,"&lt;"&amp;EDATE($A180,1)))</f>
        <v/>
      </c>
      <c r="Q180" s="23">
        <f>IF($BM180=0,NA(),SUMIFS(Entries!$E$2:$E$5000,Entries!$D$2:$D$5000,"Reimbursable",Entries!$A$2:$A$5000,"&gt;="&amp;$A180,Entries!$A$2:$A$5000,"&lt;"&amp;EDATE($A180,1)))</f>
        <v/>
      </c>
      <c r="R180" s="23">
        <f>IF($BM180=0,NA(),SUMIFS(Entries!$E$2:$E$5000,Entries!$D$2:$D$5000,"Investment",Entries!$A$2:$A$5000,"&gt;="&amp;$A180,Entries!$A$2:$A$5000,"&lt;"&amp;EDATE($A180,1)))</f>
        <v/>
      </c>
      <c r="S180" s="23">
        <f>IF($BM180=0,NA(),N180+O180)</f>
        <v/>
      </c>
      <c r="T180" s="23">
        <f>IF($BM180=0,"",E180-Q180)</f>
        <v/>
      </c>
      <c r="W180" s="23">
        <f>IF(OR(W$1="",$BM180=0),"",SUMIFS(Entries!$E$2:$E$5000,Entries!$C$2:$C$5000,"Actual",Entries!$A$2:$A$5000,"&gt;="&amp;$A180,Entries!$A$2:$A$5000,"&lt;"&amp;EDATE($A180,1),Entries!$B$2:$B$5000,W$1))</f>
        <v/>
      </c>
      <c r="X180" s="23">
        <f>IF(OR(X$1="",$BM180=0),"",SUMIFS(Entries!$E$2:$E$5000,Entries!$C$2:$C$5000,"Actual",Entries!$A$2:$A$5000,"&gt;="&amp;$A180,Entries!$A$2:$A$5000,"&lt;"&amp;EDATE($A180,1),Entries!$B$2:$B$5000,X$1))</f>
        <v/>
      </c>
      <c r="Y180" s="23">
        <f>IF(OR(Y$1="",$BM180=0),"",SUMIFS(Entries!$E$2:$E$5000,Entries!$C$2:$C$5000,"Actual",Entries!$A$2:$A$5000,"&gt;="&amp;$A180,Entries!$A$2:$A$5000,"&lt;"&amp;EDATE($A180,1),Entries!$B$2:$B$5000,Y$1))</f>
        <v/>
      </c>
      <c r="Z180" s="23">
        <f>IF(OR(Z$1="",$BM180=0),"",SUMIFS(Entries!$E$2:$E$5000,Entries!$C$2:$C$5000,"Actual",Entries!$A$2:$A$5000,"&gt;="&amp;$A180,Entries!$A$2:$A$5000,"&lt;"&amp;EDATE($A180,1),Entries!$B$2:$B$5000,Z$1))</f>
        <v/>
      </c>
      <c r="AA180" s="23">
        <f>IF(OR(AA$1="",$BM180=0),"",SUMIFS(Entries!$E$2:$E$5000,Entries!$C$2:$C$5000,"Actual",Entries!$A$2:$A$5000,"&gt;="&amp;$A180,Entries!$A$2:$A$5000,"&lt;"&amp;EDATE($A180,1),Entries!$B$2:$B$5000,AA$1))</f>
        <v/>
      </c>
      <c r="AB180" s="23">
        <f>IF(OR(AB$1="",$BM180=0),"",SUMIFS(Entries!$E$2:$E$5000,Entries!$C$2:$C$5000,"Actual",Entries!$A$2:$A$5000,"&gt;="&amp;$A180,Entries!$A$2:$A$5000,"&lt;"&amp;EDATE($A180,1),Entries!$B$2:$B$5000,AB$1))</f>
        <v/>
      </c>
      <c r="AC180" s="23">
        <f>IF(OR(AC$1="",$BM180=0),"",SUMIFS(Entries!$E$2:$E$5000,Entries!$C$2:$C$5000,"Actual",Entries!$A$2:$A$5000,"&gt;="&amp;$A180,Entries!$A$2:$A$5000,"&lt;"&amp;EDATE($A180,1),Entries!$B$2:$B$5000,AC$1))</f>
        <v/>
      </c>
      <c r="AD180" s="23">
        <f>IF(OR(AD$1="",$BM180=0),"",SUMIFS(Entries!$E$2:$E$5000,Entries!$C$2:$C$5000,"Actual",Entries!$A$2:$A$5000,"&gt;="&amp;$A180,Entries!$A$2:$A$5000,"&lt;"&amp;EDATE($A180,1),Entries!$B$2:$B$5000,AD$1))</f>
        <v/>
      </c>
      <c r="AE180" s="23">
        <f>IF(OR(AE$1="",$BM180=0),"",SUMIFS(Entries!$E$2:$E$5000,Entries!$C$2:$C$5000,"Actual",Entries!$A$2:$A$5000,"&gt;="&amp;$A180,Entries!$A$2:$A$5000,"&lt;"&amp;EDATE($A180,1),Entries!$B$2:$B$5000,AE$1))</f>
        <v/>
      </c>
      <c r="AF180" s="23">
        <f>IF(OR(AF$1="",$BM180=0),"",SUMIFS(Entries!$E$2:$E$5000,Entries!$C$2:$C$5000,"Actual",Entries!$A$2:$A$5000,"&gt;="&amp;$A180,Entries!$A$2:$A$5000,"&lt;"&amp;EDATE($A180,1),Entries!$B$2:$B$5000,AF$1))</f>
        <v/>
      </c>
      <c r="AG180" s="23">
        <f>IF(OR(AG$1="",$BM180=0),"",SUMIFS(Entries!$E$2:$E$5000,Entries!$C$2:$C$5000,"Actual",Entries!$A$2:$A$5000,"&gt;="&amp;$A180,Entries!$A$2:$A$5000,"&lt;"&amp;EDATE($A180,1),Entries!$B$2:$B$5000,AG$1))</f>
        <v/>
      </c>
      <c r="AH180" s="23">
        <f>IF(OR(AH$1="",$BM180=0),"",SUMIFS(Entries!$E$2:$E$5000,Entries!$C$2:$C$5000,"Actual",Entries!$A$2:$A$5000,"&gt;="&amp;$A180,Entries!$A$2:$A$5000,"&lt;"&amp;EDATE($A180,1),Entries!$B$2:$B$5000,AH$1))</f>
        <v/>
      </c>
      <c r="AI180" s="23">
        <f>IF(OR(AI$1="",$BM180=0),"",SUMIFS(Entries!$E$2:$E$5000,Entries!$C$2:$C$5000,"Actual",Entries!$A$2:$A$5000,"&gt;="&amp;$A180,Entries!$A$2:$A$5000,"&lt;"&amp;EDATE($A180,1),Entries!$B$2:$B$5000,AI$1))</f>
        <v/>
      </c>
      <c r="AJ180" s="23">
        <f>IF(OR(AJ$1="",$BM180=0),"",SUMIFS(Entries!$E$2:$E$5000,Entries!$C$2:$C$5000,"Actual",Entries!$A$2:$A$5000,"&gt;="&amp;$A180,Entries!$A$2:$A$5000,"&lt;"&amp;EDATE($A180,1),Entries!$B$2:$B$5000,AJ$1))</f>
        <v/>
      </c>
      <c r="AK180" s="23">
        <f>IF(OR(AK$1="",$BM180=0),"",SUMIFS(Entries!$E$2:$E$5000,Entries!$C$2:$C$5000,"Actual",Entries!$A$2:$A$5000,"&gt;="&amp;$A180,Entries!$A$2:$A$5000,"&lt;"&amp;EDATE($A180,1),Entries!$B$2:$B$5000,AK$1))</f>
        <v/>
      </c>
      <c r="AL180" s="23">
        <f>IF(OR(AL$1="",$BM180=0),"",SUMIFS(Entries!$E$2:$E$5000,Entries!$C$2:$C$5000,"Actual",Entries!$A$2:$A$5000,"&gt;="&amp;$A180,Entries!$A$2:$A$5000,"&lt;"&amp;EDATE($A180,1),Entries!$B$2:$B$5000,AL$1))</f>
        <v/>
      </c>
      <c r="AM180" s="23">
        <f>IF(OR(AM$1="",$BM180=0),"",SUMIFS(Entries!$E$2:$E$5000,Entries!$C$2:$C$5000,"Actual",Entries!$A$2:$A$5000,"&gt;="&amp;$A180,Entries!$A$2:$A$5000,"&lt;"&amp;EDATE($A180,1),Entries!$B$2:$B$5000,AM$1))</f>
        <v/>
      </c>
      <c r="AN180" s="23">
        <f>IF(OR(AN$1="",$BM180=0),"",SUMIFS(Entries!$E$2:$E$5000,Entries!$C$2:$C$5000,"Actual",Entries!$A$2:$A$5000,"&gt;="&amp;$A180,Entries!$A$2:$A$5000,"&lt;"&amp;EDATE($A180,1),Entries!$B$2:$B$5000,AN$1))</f>
        <v/>
      </c>
      <c r="AO180" s="23">
        <f>IF(OR(AO$1="",$BM180=0),"",SUMIFS(Entries!$E$2:$E$5000,Entries!$C$2:$C$5000,"Actual",Entries!$A$2:$A$5000,"&gt;="&amp;$A180,Entries!$A$2:$A$5000,"&lt;"&amp;EDATE($A180,1),Entries!$B$2:$B$5000,AO$1))</f>
        <v/>
      </c>
      <c r="AP180" s="23">
        <f>IF(OR(AP$1="",$BM180=0),"",SUMIFS(Entries!$E$2:$E$5000,Entries!$C$2:$C$5000,"Actual",Entries!$A$2:$A$5000,"&gt;="&amp;$A180,Entries!$A$2:$A$5000,"&lt;"&amp;EDATE($A180,1),Entries!$B$2:$B$5000,AP$1))</f>
        <v/>
      </c>
      <c r="AR180" s="23">
        <f>IF(OR(AR$1="",$BM180=0),"",IFERROR(LOOKUP(2,1/((Budgets!$A$2:$A$200=AR$1)*(Budgets!$B$2:$B$200&lt;EDATE($A180,1))),Budgets!$C$2:$C$200),0))</f>
        <v/>
      </c>
      <c r="AS180" s="23">
        <f>IF(OR(AS$1="",$BM180=0),"",IFERROR(LOOKUP(2,1/((Budgets!$A$2:$A$200=AS$1)*(Budgets!$B$2:$B$200&lt;EDATE($A180,1))),Budgets!$C$2:$C$200),0))</f>
        <v/>
      </c>
      <c r="AT180" s="23">
        <f>IF(OR(AT$1="",$BM180=0),"",IFERROR(LOOKUP(2,1/((Budgets!$A$2:$A$200=AT$1)*(Budgets!$B$2:$B$200&lt;EDATE($A180,1))),Budgets!$C$2:$C$200),0))</f>
        <v/>
      </c>
      <c r="AU180" s="23">
        <f>IF(OR(AU$1="",$BM180=0),"",IFERROR(LOOKUP(2,1/((Budgets!$A$2:$A$200=AU$1)*(Budgets!$B$2:$B$200&lt;EDATE($A180,1))),Budgets!$C$2:$C$200),0))</f>
        <v/>
      </c>
      <c r="AV180" s="23">
        <f>IF(OR(AV$1="",$BM180=0),"",IFERROR(LOOKUP(2,1/((Budgets!$A$2:$A$200=AV$1)*(Budgets!$B$2:$B$200&lt;EDATE($A180,1))),Budgets!$C$2:$C$200),0))</f>
        <v/>
      </c>
      <c r="AW180" s="23">
        <f>IF(OR(AW$1="",$BM180=0),"",IFERROR(LOOKUP(2,1/((Budgets!$A$2:$A$200=AW$1)*(Budgets!$B$2:$B$200&lt;EDATE($A180,1))),Budgets!$C$2:$C$200),0))</f>
        <v/>
      </c>
      <c r="AX180" s="23">
        <f>IF(OR(AX$1="",$BM180=0),"",IFERROR(LOOKUP(2,1/((Budgets!$A$2:$A$200=AX$1)*(Budgets!$B$2:$B$200&lt;EDATE($A180,1))),Budgets!$C$2:$C$200),0))</f>
        <v/>
      </c>
      <c r="AY180" s="23">
        <f>IF(OR(AY$1="",$BM180=0),"",IFERROR(LOOKUP(2,1/((Budgets!$A$2:$A$200=AY$1)*(Budgets!$B$2:$B$200&lt;EDATE($A180,1))),Budgets!$C$2:$C$200),0))</f>
        <v/>
      </c>
      <c r="AZ180" s="23">
        <f>IF(OR(AZ$1="",$BM180=0),"",IFERROR(LOOKUP(2,1/((Budgets!$A$2:$A$200=AZ$1)*(Budgets!$B$2:$B$200&lt;EDATE($A180,1))),Budgets!$C$2:$C$200),0))</f>
        <v/>
      </c>
      <c r="BA180" s="23">
        <f>IF(OR(BA$1="",$BM180=0),"",IFERROR(LOOKUP(2,1/((Budgets!$A$2:$A$200=BA$1)*(Budgets!$B$2:$B$200&lt;EDATE($A180,1))),Budgets!$C$2:$C$200),0))</f>
        <v/>
      </c>
      <c r="BB180" s="23">
        <f>IF(OR(BB$1="",$BM180=0),"",IFERROR(LOOKUP(2,1/((Budgets!$A$2:$A$200=BB$1)*(Budgets!$B$2:$B$200&lt;EDATE($A180,1))),Budgets!$C$2:$C$200),0))</f>
        <v/>
      </c>
      <c r="BC180" s="23">
        <f>IF(OR(BC$1="",$BM180=0),"",IFERROR(LOOKUP(2,1/((Budgets!$A$2:$A$200=BC$1)*(Budgets!$B$2:$B$200&lt;EDATE($A180,1))),Budgets!$C$2:$C$200),0))</f>
        <v/>
      </c>
      <c r="BD180" s="23">
        <f>IF(OR(BD$1="",$BM180=0),"",IFERROR(LOOKUP(2,1/((Budgets!$A$2:$A$200=BD$1)*(Budgets!$B$2:$B$200&lt;EDATE($A180,1))),Budgets!$C$2:$C$200),0))</f>
        <v/>
      </c>
      <c r="BE180" s="23">
        <f>IF(OR(BE$1="",$BM180=0),"",IFERROR(LOOKUP(2,1/((Budgets!$A$2:$A$200=BE$1)*(Budgets!$B$2:$B$200&lt;EDATE($A180,1))),Budgets!$C$2:$C$200),0))</f>
        <v/>
      </c>
      <c r="BF180" s="23">
        <f>IF(OR(BF$1="",$BM180=0),"",IFERROR(LOOKUP(2,1/((Budgets!$A$2:$A$200=BF$1)*(Budgets!$B$2:$B$200&lt;EDATE($A180,1))),Budgets!$C$2:$C$200),0))</f>
        <v/>
      </c>
      <c r="BG180" s="23">
        <f>IF(OR(BG$1="",$BM180=0),"",IFERROR(LOOKUP(2,1/((Budgets!$A$2:$A$200=BG$1)*(Budgets!$B$2:$B$200&lt;EDATE($A180,1))),Budgets!$C$2:$C$200),0))</f>
        <v/>
      </c>
      <c r="BH180" s="23">
        <f>IF(OR(BH$1="",$BM180=0),"",IFERROR(LOOKUP(2,1/((Budgets!$A$2:$A$200=BH$1)*(Budgets!$B$2:$B$200&lt;EDATE($A180,1))),Budgets!$C$2:$C$200),0))</f>
        <v/>
      </c>
      <c r="BI180" s="23">
        <f>IF(OR(BI$1="",$BM180=0),"",IFERROR(LOOKUP(2,1/((Budgets!$A$2:$A$200=BI$1)*(Budgets!$B$2:$B$200&lt;EDATE($A180,1))),Budgets!$C$2:$C$200),0))</f>
        <v/>
      </c>
      <c r="BJ180" s="23">
        <f>IF(OR(BJ$1="",$BM180=0),"",IFERROR(LOOKUP(2,1/((Budgets!$A$2:$A$200=BJ$1)*(Budgets!$B$2:$B$200&lt;EDATE($A180,1))),Budgets!$C$2:$C$200),0))</f>
        <v/>
      </c>
      <c r="BK180" s="23">
        <f>IF(OR(BK$1="",$BM180=0),"",IFERROR(LOOKUP(2,1/((Budgets!$A$2:$A$200=BK$1)*(Budgets!$B$2:$B$200&lt;EDATE($A180,1))),Budgets!$C$2:$C$200),0))</f>
        <v/>
      </c>
      <c r="BM180" s="21">
        <f>COUNTIFS(Entries!$A$2:$A$5000,"&gt;="&amp;$A180,Entries!$A$2:$A$5000,"&lt;"&amp;EDATE($A180,1))</f>
        <v/>
      </c>
    </row>
    <row r="181">
      <c r="A181" s="22" t="n">
        <v>44896</v>
      </c>
      <c r="B181" s="23">
        <f>IF($BM181=0,NA(),SUMIFS(Entries!$E$2:$E$5000,Entries!$C$2:$C$5000,"Income",Entries!$A$2:$A$5000,"&gt;="&amp;$A181,Entries!$A$2:$A$5000,"&lt;"&amp;EDATE($A181,1)))</f>
        <v/>
      </c>
      <c r="C181" s="23">
        <f>IF($BM181=0,"",SUMIFS(Entries!$E$2:$E$5000,Entries!$C$2:$C$5000,"Actual",Entries!$A$2:$A$5000,"&gt;="&amp;$A181,Entries!$A$2:$A$5000,"&lt;"&amp;EDATE($A181,1)))</f>
        <v/>
      </c>
      <c r="D181" s="23">
        <f>IF($BM181=0,"",SUMIFS(Entries!$E$2:$E$5000,Entries!$C$2:$C$5000,"One-off",Entries!$A$2:$A$5000,"&gt;="&amp;$A181,Entries!$A$2:$A$5000,"&lt;"&amp;EDATE($A181,1)))</f>
        <v/>
      </c>
      <c r="E181" s="23">
        <f>IF($BM181=0,NA(),C181+D181)</f>
        <v/>
      </c>
      <c r="F181" s="23">
        <f>IF($BM181=0,"",SUM(AR181:BK181))</f>
        <v/>
      </c>
      <c r="G181" s="23">
        <f>IF($BM181=0,"",B181-E181)</f>
        <v/>
      </c>
      <c r="H181" s="23">
        <f>IF($BM181=0,"",SUM($G$2:G181))</f>
        <v/>
      </c>
      <c r="I181" s="23">
        <f>IF($BM181=0,"",SUMIFS(Entries!$G$2:$G$5000,Entries!$A$2:$A$5000,"&gt;="&amp;$A181,Entries!$A$2:$A$5000,"&lt;"&amp;EDATE($A181,1)))</f>
        <v/>
      </c>
      <c r="J181" s="23">
        <f>IF($BM181=0,NA(),H181)</f>
        <v/>
      </c>
      <c r="K181" s="23">
        <f>IF($BM181=0,"",SUMIFS(Entries!$E$2:$E$5000,Entries!$C$2:$C$5000,"Income",Entries!$A$2:$A$5000,"&gt;="&amp;EDATE($A181,-11),Entries!$A$2:$A$5000,"&lt;"&amp;EDATE($A181,1))/COUNTIFS($A$2:$A$400,"&gt;="&amp;EDATE($A181,-11),$A$2:$A$400,"&lt;"&amp;EDATE($A181,1),$BM$2:$BM$400,"&gt;0"))</f>
      </c>
      <c r="L181" s="23">
        <f>IF($BM181=0,"",(SUMIFS(Entries!$E$2:$E$5000,Entries!$C$2:$C$5000,"Actual",Entries!$A$2:$A$5000,"&gt;="&amp;EDATE($A181,-11),Entries!$A$2:$A$5000,"&lt;"&amp;EDATE($A181,1))+SUMIFS(Entries!$E$2:$E$5000,Entries!$C$2:$C$5000,"One-off",Entries!$A$2:$A$5000,"&gt;="&amp;EDATE($A181,-11),Entries!$A$2:$A$5000,"&lt;"&amp;EDATE($A181,1)))/COUNTIFS($A$2:$A$400,"&gt;="&amp;EDATE($A181,-11),$A$2:$A$400,"&lt;"&amp;EDATE($A181,1),$BM$2:$BM$400,"&gt;0"))</f>
      </c>
      <c r="M181" s="24">
        <f>IF($BM181=0,NA(),IFERROR((K181-L181)/K181,0))</f>
        <v/>
      </c>
      <c r="N181" s="23">
        <f>IF($BM181=0,NA(),SUMIFS(Entries!$E$2:$E$5000,Entries!$D$2:$D$5000,"Core",Entries!$A$2:$A$5000,"&gt;="&amp;$A181,Entries!$A$2:$A$5000,"&lt;"&amp;EDATE($A181,1)))</f>
        <v/>
      </c>
      <c r="O181" s="23">
        <f>IF($BM181=0,NA(),SUMIFS(Entries!$E$2:$E$5000,Entries!$D$2:$D$5000,"Over &amp; above",Entries!$A$2:$A$5000,"&gt;="&amp;$A181,Entries!$A$2:$A$5000,"&lt;"&amp;EDATE($A181,1)))</f>
        <v/>
      </c>
      <c r="P181" s="23">
        <f>IF($BM181=0,NA(),SUMIFS(Entries!$E$2:$E$5000,Entries!$D$2:$D$5000,"One-off",Entries!$A$2:$A$5000,"&gt;="&amp;$A181,Entries!$A$2:$A$5000,"&lt;"&amp;EDATE($A181,1)))</f>
        <v/>
      </c>
      <c r="Q181" s="23">
        <f>IF($BM181=0,NA(),SUMIFS(Entries!$E$2:$E$5000,Entries!$D$2:$D$5000,"Reimbursable",Entries!$A$2:$A$5000,"&gt;="&amp;$A181,Entries!$A$2:$A$5000,"&lt;"&amp;EDATE($A181,1)))</f>
        <v/>
      </c>
      <c r="R181" s="23">
        <f>IF($BM181=0,NA(),SUMIFS(Entries!$E$2:$E$5000,Entries!$D$2:$D$5000,"Investment",Entries!$A$2:$A$5000,"&gt;="&amp;$A181,Entries!$A$2:$A$5000,"&lt;"&amp;EDATE($A181,1)))</f>
        <v/>
      </c>
      <c r="S181" s="23">
        <f>IF($BM181=0,NA(),N181+O181)</f>
        <v/>
      </c>
      <c r="T181" s="23">
        <f>IF($BM181=0,"",E181-Q181)</f>
        <v/>
      </c>
      <c r="W181" s="23">
        <f>IF(OR(W$1="",$BM181=0),"",SUMIFS(Entries!$E$2:$E$5000,Entries!$C$2:$C$5000,"Actual",Entries!$A$2:$A$5000,"&gt;="&amp;$A181,Entries!$A$2:$A$5000,"&lt;"&amp;EDATE($A181,1),Entries!$B$2:$B$5000,W$1))</f>
        <v/>
      </c>
      <c r="X181" s="23">
        <f>IF(OR(X$1="",$BM181=0),"",SUMIFS(Entries!$E$2:$E$5000,Entries!$C$2:$C$5000,"Actual",Entries!$A$2:$A$5000,"&gt;="&amp;$A181,Entries!$A$2:$A$5000,"&lt;"&amp;EDATE($A181,1),Entries!$B$2:$B$5000,X$1))</f>
        <v/>
      </c>
      <c r="Y181" s="23">
        <f>IF(OR(Y$1="",$BM181=0),"",SUMIFS(Entries!$E$2:$E$5000,Entries!$C$2:$C$5000,"Actual",Entries!$A$2:$A$5000,"&gt;="&amp;$A181,Entries!$A$2:$A$5000,"&lt;"&amp;EDATE($A181,1),Entries!$B$2:$B$5000,Y$1))</f>
        <v/>
      </c>
      <c r="Z181" s="23">
        <f>IF(OR(Z$1="",$BM181=0),"",SUMIFS(Entries!$E$2:$E$5000,Entries!$C$2:$C$5000,"Actual",Entries!$A$2:$A$5000,"&gt;="&amp;$A181,Entries!$A$2:$A$5000,"&lt;"&amp;EDATE($A181,1),Entries!$B$2:$B$5000,Z$1))</f>
        <v/>
      </c>
      <c r="AA181" s="23">
        <f>IF(OR(AA$1="",$BM181=0),"",SUMIFS(Entries!$E$2:$E$5000,Entries!$C$2:$C$5000,"Actual",Entries!$A$2:$A$5000,"&gt;="&amp;$A181,Entries!$A$2:$A$5000,"&lt;"&amp;EDATE($A181,1),Entries!$B$2:$B$5000,AA$1))</f>
        <v/>
      </c>
      <c r="AB181" s="23">
        <f>IF(OR(AB$1="",$BM181=0),"",SUMIFS(Entries!$E$2:$E$5000,Entries!$C$2:$C$5000,"Actual",Entries!$A$2:$A$5000,"&gt;="&amp;$A181,Entries!$A$2:$A$5000,"&lt;"&amp;EDATE($A181,1),Entries!$B$2:$B$5000,AB$1))</f>
        <v/>
      </c>
      <c r="AC181" s="23">
        <f>IF(OR(AC$1="",$BM181=0),"",SUMIFS(Entries!$E$2:$E$5000,Entries!$C$2:$C$5000,"Actual",Entries!$A$2:$A$5000,"&gt;="&amp;$A181,Entries!$A$2:$A$5000,"&lt;"&amp;EDATE($A181,1),Entries!$B$2:$B$5000,AC$1))</f>
        <v/>
      </c>
      <c r="AD181" s="23">
        <f>IF(OR(AD$1="",$BM181=0),"",SUMIFS(Entries!$E$2:$E$5000,Entries!$C$2:$C$5000,"Actual",Entries!$A$2:$A$5000,"&gt;="&amp;$A181,Entries!$A$2:$A$5000,"&lt;"&amp;EDATE($A181,1),Entries!$B$2:$B$5000,AD$1))</f>
        <v/>
      </c>
      <c r="AE181" s="23">
        <f>IF(OR(AE$1="",$BM181=0),"",SUMIFS(Entries!$E$2:$E$5000,Entries!$C$2:$C$5000,"Actual",Entries!$A$2:$A$5000,"&gt;="&amp;$A181,Entries!$A$2:$A$5000,"&lt;"&amp;EDATE($A181,1),Entries!$B$2:$B$5000,AE$1))</f>
        <v/>
      </c>
      <c r="AF181" s="23">
        <f>IF(OR(AF$1="",$BM181=0),"",SUMIFS(Entries!$E$2:$E$5000,Entries!$C$2:$C$5000,"Actual",Entries!$A$2:$A$5000,"&gt;="&amp;$A181,Entries!$A$2:$A$5000,"&lt;"&amp;EDATE($A181,1),Entries!$B$2:$B$5000,AF$1))</f>
        <v/>
      </c>
      <c r="AG181" s="23">
        <f>IF(OR(AG$1="",$BM181=0),"",SUMIFS(Entries!$E$2:$E$5000,Entries!$C$2:$C$5000,"Actual",Entries!$A$2:$A$5000,"&gt;="&amp;$A181,Entries!$A$2:$A$5000,"&lt;"&amp;EDATE($A181,1),Entries!$B$2:$B$5000,AG$1))</f>
        <v/>
      </c>
      <c r="AH181" s="23">
        <f>IF(OR(AH$1="",$BM181=0),"",SUMIFS(Entries!$E$2:$E$5000,Entries!$C$2:$C$5000,"Actual",Entries!$A$2:$A$5000,"&gt;="&amp;$A181,Entries!$A$2:$A$5000,"&lt;"&amp;EDATE($A181,1),Entries!$B$2:$B$5000,AH$1))</f>
        <v/>
      </c>
      <c r="AI181" s="23">
        <f>IF(OR(AI$1="",$BM181=0),"",SUMIFS(Entries!$E$2:$E$5000,Entries!$C$2:$C$5000,"Actual",Entries!$A$2:$A$5000,"&gt;="&amp;$A181,Entries!$A$2:$A$5000,"&lt;"&amp;EDATE($A181,1),Entries!$B$2:$B$5000,AI$1))</f>
        <v/>
      </c>
      <c r="AJ181" s="23">
        <f>IF(OR(AJ$1="",$BM181=0),"",SUMIFS(Entries!$E$2:$E$5000,Entries!$C$2:$C$5000,"Actual",Entries!$A$2:$A$5000,"&gt;="&amp;$A181,Entries!$A$2:$A$5000,"&lt;"&amp;EDATE($A181,1),Entries!$B$2:$B$5000,AJ$1))</f>
        <v/>
      </c>
      <c r="AK181" s="23">
        <f>IF(OR(AK$1="",$BM181=0),"",SUMIFS(Entries!$E$2:$E$5000,Entries!$C$2:$C$5000,"Actual",Entries!$A$2:$A$5000,"&gt;="&amp;$A181,Entries!$A$2:$A$5000,"&lt;"&amp;EDATE($A181,1),Entries!$B$2:$B$5000,AK$1))</f>
        <v/>
      </c>
      <c r="AL181" s="23">
        <f>IF(OR(AL$1="",$BM181=0),"",SUMIFS(Entries!$E$2:$E$5000,Entries!$C$2:$C$5000,"Actual",Entries!$A$2:$A$5000,"&gt;="&amp;$A181,Entries!$A$2:$A$5000,"&lt;"&amp;EDATE($A181,1),Entries!$B$2:$B$5000,AL$1))</f>
        <v/>
      </c>
      <c r="AM181" s="23">
        <f>IF(OR(AM$1="",$BM181=0),"",SUMIFS(Entries!$E$2:$E$5000,Entries!$C$2:$C$5000,"Actual",Entries!$A$2:$A$5000,"&gt;="&amp;$A181,Entries!$A$2:$A$5000,"&lt;"&amp;EDATE($A181,1),Entries!$B$2:$B$5000,AM$1))</f>
        <v/>
      </c>
      <c r="AN181" s="23">
        <f>IF(OR(AN$1="",$BM181=0),"",SUMIFS(Entries!$E$2:$E$5000,Entries!$C$2:$C$5000,"Actual",Entries!$A$2:$A$5000,"&gt;="&amp;$A181,Entries!$A$2:$A$5000,"&lt;"&amp;EDATE($A181,1),Entries!$B$2:$B$5000,AN$1))</f>
        <v/>
      </c>
      <c r="AO181" s="23">
        <f>IF(OR(AO$1="",$BM181=0),"",SUMIFS(Entries!$E$2:$E$5000,Entries!$C$2:$C$5000,"Actual",Entries!$A$2:$A$5000,"&gt;="&amp;$A181,Entries!$A$2:$A$5000,"&lt;"&amp;EDATE($A181,1),Entries!$B$2:$B$5000,AO$1))</f>
        <v/>
      </c>
      <c r="AP181" s="23">
        <f>IF(OR(AP$1="",$BM181=0),"",SUMIFS(Entries!$E$2:$E$5000,Entries!$C$2:$C$5000,"Actual",Entries!$A$2:$A$5000,"&gt;="&amp;$A181,Entries!$A$2:$A$5000,"&lt;"&amp;EDATE($A181,1),Entries!$B$2:$B$5000,AP$1))</f>
        <v/>
      </c>
      <c r="AR181" s="23">
        <f>IF(OR(AR$1="",$BM181=0),"",IFERROR(LOOKUP(2,1/((Budgets!$A$2:$A$200=AR$1)*(Budgets!$B$2:$B$200&lt;EDATE($A181,1))),Budgets!$C$2:$C$200),0))</f>
        <v/>
      </c>
      <c r="AS181" s="23">
        <f>IF(OR(AS$1="",$BM181=0),"",IFERROR(LOOKUP(2,1/((Budgets!$A$2:$A$200=AS$1)*(Budgets!$B$2:$B$200&lt;EDATE($A181,1))),Budgets!$C$2:$C$200),0))</f>
        <v/>
      </c>
      <c r="AT181" s="23">
        <f>IF(OR(AT$1="",$BM181=0),"",IFERROR(LOOKUP(2,1/((Budgets!$A$2:$A$200=AT$1)*(Budgets!$B$2:$B$200&lt;EDATE($A181,1))),Budgets!$C$2:$C$200),0))</f>
        <v/>
      </c>
      <c r="AU181" s="23">
        <f>IF(OR(AU$1="",$BM181=0),"",IFERROR(LOOKUP(2,1/((Budgets!$A$2:$A$200=AU$1)*(Budgets!$B$2:$B$200&lt;EDATE($A181,1))),Budgets!$C$2:$C$200),0))</f>
        <v/>
      </c>
      <c r="AV181" s="23">
        <f>IF(OR(AV$1="",$BM181=0),"",IFERROR(LOOKUP(2,1/((Budgets!$A$2:$A$200=AV$1)*(Budgets!$B$2:$B$200&lt;EDATE($A181,1))),Budgets!$C$2:$C$200),0))</f>
        <v/>
      </c>
      <c r="AW181" s="23">
        <f>IF(OR(AW$1="",$BM181=0),"",IFERROR(LOOKUP(2,1/((Budgets!$A$2:$A$200=AW$1)*(Budgets!$B$2:$B$200&lt;EDATE($A181,1))),Budgets!$C$2:$C$200),0))</f>
        <v/>
      </c>
      <c r="AX181" s="23">
        <f>IF(OR(AX$1="",$BM181=0),"",IFERROR(LOOKUP(2,1/((Budgets!$A$2:$A$200=AX$1)*(Budgets!$B$2:$B$200&lt;EDATE($A181,1))),Budgets!$C$2:$C$200),0))</f>
        <v/>
      </c>
      <c r="AY181" s="23">
        <f>IF(OR(AY$1="",$BM181=0),"",IFERROR(LOOKUP(2,1/((Budgets!$A$2:$A$200=AY$1)*(Budgets!$B$2:$B$200&lt;EDATE($A181,1))),Budgets!$C$2:$C$200),0))</f>
        <v/>
      </c>
      <c r="AZ181" s="23">
        <f>IF(OR(AZ$1="",$BM181=0),"",IFERROR(LOOKUP(2,1/((Budgets!$A$2:$A$200=AZ$1)*(Budgets!$B$2:$B$200&lt;EDATE($A181,1))),Budgets!$C$2:$C$200),0))</f>
        <v/>
      </c>
      <c r="BA181" s="23">
        <f>IF(OR(BA$1="",$BM181=0),"",IFERROR(LOOKUP(2,1/((Budgets!$A$2:$A$200=BA$1)*(Budgets!$B$2:$B$200&lt;EDATE($A181,1))),Budgets!$C$2:$C$200),0))</f>
        <v/>
      </c>
      <c r="BB181" s="23">
        <f>IF(OR(BB$1="",$BM181=0),"",IFERROR(LOOKUP(2,1/((Budgets!$A$2:$A$200=BB$1)*(Budgets!$B$2:$B$200&lt;EDATE($A181,1))),Budgets!$C$2:$C$200),0))</f>
        <v/>
      </c>
      <c r="BC181" s="23">
        <f>IF(OR(BC$1="",$BM181=0),"",IFERROR(LOOKUP(2,1/((Budgets!$A$2:$A$200=BC$1)*(Budgets!$B$2:$B$200&lt;EDATE($A181,1))),Budgets!$C$2:$C$200),0))</f>
        <v/>
      </c>
      <c r="BD181" s="23">
        <f>IF(OR(BD$1="",$BM181=0),"",IFERROR(LOOKUP(2,1/((Budgets!$A$2:$A$200=BD$1)*(Budgets!$B$2:$B$200&lt;EDATE($A181,1))),Budgets!$C$2:$C$200),0))</f>
        <v/>
      </c>
      <c r="BE181" s="23">
        <f>IF(OR(BE$1="",$BM181=0),"",IFERROR(LOOKUP(2,1/((Budgets!$A$2:$A$200=BE$1)*(Budgets!$B$2:$B$200&lt;EDATE($A181,1))),Budgets!$C$2:$C$200),0))</f>
        <v/>
      </c>
      <c r="BF181" s="23">
        <f>IF(OR(BF$1="",$BM181=0),"",IFERROR(LOOKUP(2,1/((Budgets!$A$2:$A$200=BF$1)*(Budgets!$B$2:$B$200&lt;EDATE($A181,1))),Budgets!$C$2:$C$200),0))</f>
        <v/>
      </c>
      <c r="BG181" s="23">
        <f>IF(OR(BG$1="",$BM181=0),"",IFERROR(LOOKUP(2,1/((Budgets!$A$2:$A$200=BG$1)*(Budgets!$B$2:$B$200&lt;EDATE($A181,1))),Budgets!$C$2:$C$200),0))</f>
        <v/>
      </c>
      <c r="BH181" s="23">
        <f>IF(OR(BH$1="",$BM181=0),"",IFERROR(LOOKUP(2,1/((Budgets!$A$2:$A$200=BH$1)*(Budgets!$B$2:$B$200&lt;EDATE($A181,1))),Budgets!$C$2:$C$200),0))</f>
        <v/>
      </c>
      <c r="BI181" s="23">
        <f>IF(OR(BI$1="",$BM181=0),"",IFERROR(LOOKUP(2,1/((Budgets!$A$2:$A$200=BI$1)*(Budgets!$B$2:$B$200&lt;EDATE($A181,1))),Budgets!$C$2:$C$200),0))</f>
        <v/>
      </c>
      <c r="BJ181" s="23">
        <f>IF(OR(BJ$1="",$BM181=0),"",IFERROR(LOOKUP(2,1/((Budgets!$A$2:$A$200=BJ$1)*(Budgets!$B$2:$B$200&lt;EDATE($A181,1))),Budgets!$C$2:$C$200),0))</f>
        <v/>
      </c>
      <c r="BK181" s="23">
        <f>IF(OR(BK$1="",$BM181=0),"",IFERROR(LOOKUP(2,1/((Budgets!$A$2:$A$200=BK$1)*(Budgets!$B$2:$B$200&lt;EDATE($A181,1))),Budgets!$C$2:$C$200),0))</f>
        <v/>
      </c>
      <c r="BM181" s="21">
        <f>COUNTIFS(Entries!$A$2:$A$5000,"&gt;="&amp;$A181,Entries!$A$2:$A$5000,"&lt;"&amp;EDATE($A181,1))</f>
        <v/>
      </c>
    </row>
    <row r="182">
      <c r="A182" s="22" t="n">
        <v>44927</v>
      </c>
      <c r="B182" s="23">
        <f>IF($BM182=0,NA(),SUMIFS(Entries!$E$2:$E$5000,Entries!$C$2:$C$5000,"Income",Entries!$A$2:$A$5000,"&gt;="&amp;$A182,Entries!$A$2:$A$5000,"&lt;"&amp;EDATE($A182,1)))</f>
        <v/>
      </c>
      <c r="C182" s="23">
        <f>IF($BM182=0,"",SUMIFS(Entries!$E$2:$E$5000,Entries!$C$2:$C$5000,"Actual",Entries!$A$2:$A$5000,"&gt;="&amp;$A182,Entries!$A$2:$A$5000,"&lt;"&amp;EDATE($A182,1)))</f>
        <v/>
      </c>
      <c r="D182" s="23">
        <f>IF($BM182=0,"",SUMIFS(Entries!$E$2:$E$5000,Entries!$C$2:$C$5000,"One-off",Entries!$A$2:$A$5000,"&gt;="&amp;$A182,Entries!$A$2:$A$5000,"&lt;"&amp;EDATE($A182,1)))</f>
        <v/>
      </c>
      <c r="E182" s="23">
        <f>IF($BM182=0,NA(),C182+D182)</f>
        <v/>
      </c>
      <c r="F182" s="23">
        <f>IF($BM182=0,"",SUM(AR182:BK182))</f>
        <v/>
      </c>
      <c r="G182" s="23">
        <f>IF($BM182=0,"",B182-E182)</f>
        <v/>
      </c>
      <c r="H182" s="23">
        <f>IF($BM182=0,"",SUM($G$2:G182))</f>
        <v/>
      </c>
      <c r="I182" s="23">
        <f>IF($BM182=0,"",SUMIFS(Entries!$G$2:$G$5000,Entries!$A$2:$A$5000,"&gt;="&amp;$A182,Entries!$A$2:$A$5000,"&lt;"&amp;EDATE($A182,1)))</f>
        <v/>
      </c>
      <c r="J182" s="23">
        <f>IF($BM182=0,NA(),H182)</f>
        <v/>
      </c>
      <c r="K182" s="23">
        <f>IF($BM182=0,"",SUMIFS(Entries!$E$2:$E$5000,Entries!$C$2:$C$5000,"Income",Entries!$A$2:$A$5000,"&gt;="&amp;EDATE($A182,-11),Entries!$A$2:$A$5000,"&lt;"&amp;EDATE($A182,1))/COUNTIFS($A$2:$A$400,"&gt;="&amp;EDATE($A182,-11),$A$2:$A$400,"&lt;"&amp;EDATE($A182,1),$BM$2:$BM$400,"&gt;0"))</f>
      </c>
      <c r="L182" s="23">
        <f>IF($BM182=0,"",(SUMIFS(Entries!$E$2:$E$5000,Entries!$C$2:$C$5000,"Actual",Entries!$A$2:$A$5000,"&gt;="&amp;EDATE($A182,-11),Entries!$A$2:$A$5000,"&lt;"&amp;EDATE($A182,1))+SUMIFS(Entries!$E$2:$E$5000,Entries!$C$2:$C$5000,"One-off",Entries!$A$2:$A$5000,"&gt;="&amp;EDATE($A182,-11),Entries!$A$2:$A$5000,"&lt;"&amp;EDATE($A182,1)))/COUNTIFS($A$2:$A$400,"&gt;="&amp;EDATE($A182,-11),$A$2:$A$400,"&lt;"&amp;EDATE($A182,1),$BM$2:$BM$400,"&gt;0"))</f>
      </c>
      <c r="M182" s="24">
        <f>IF($BM182=0,NA(),IFERROR((K182-L182)/K182,0))</f>
        <v/>
      </c>
      <c r="N182" s="23">
        <f>IF($BM182=0,NA(),SUMIFS(Entries!$E$2:$E$5000,Entries!$D$2:$D$5000,"Core",Entries!$A$2:$A$5000,"&gt;="&amp;$A182,Entries!$A$2:$A$5000,"&lt;"&amp;EDATE($A182,1)))</f>
        <v/>
      </c>
      <c r="O182" s="23">
        <f>IF($BM182=0,NA(),SUMIFS(Entries!$E$2:$E$5000,Entries!$D$2:$D$5000,"Over &amp; above",Entries!$A$2:$A$5000,"&gt;="&amp;$A182,Entries!$A$2:$A$5000,"&lt;"&amp;EDATE($A182,1)))</f>
        <v/>
      </c>
      <c r="P182" s="23">
        <f>IF($BM182=0,NA(),SUMIFS(Entries!$E$2:$E$5000,Entries!$D$2:$D$5000,"One-off",Entries!$A$2:$A$5000,"&gt;="&amp;$A182,Entries!$A$2:$A$5000,"&lt;"&amp;EDATE($A182,1)))</f>
        <v/>
      </c>
      <c r="Q182" s="23">
        <f>IF($BM182=0,NA(),SUMIFS(Entries!$E$2:$E$5000,Entries!$D$2:$D$5000,"Reimbursable",Entries!$A$2:$A$5000,"&gt;="&amp;$A182,Entries!$A$2:$A$5000,"&lt;"&amp;EDATE($A182,1)))</f>
        <v/>
      </c>
      <c r="R182" s="23">
        <f>IF($BM182=0,NA(),SUMIFS(Entries!$E$2:$E$5000,Entries!$D$2:$D$5000,"Investment",Entries!$A$2:$A$5000,"&gt;="&amp;$A182,Entries!$A$2:$A$5000,"&lt;"&amp;EDATE($A182,1)))</f>
        <v/>
      </c>
      <c r="S182" s="23">
        <f>IF($BM182=0,NA(),N182+O182)</f>
        <v/>
      </c>
      <c r="T182" s="23">
        <f>IF($BM182=0,"",E182-Q182)</f>
        <v/>
      </c>
      <c r="W182" s="23">
        <f>IF(OR(W$1="",$BM182=0),"",SUMIFS(Entries!$E$2:$E$5000,Entries!$C$2:$C$5000,"Actual",Entries!$A$2:$A$5000,"&gt;="&amp;$A182,Entries!$A$2:$A$5000,"&lt;"&amp;EDATE($A182,1),Entries!$B$2:$B$5000,W$1))</f>
        <v/>
      </c>
      <c r="X182" s="23">
        <f>IF(OR(X$1="",$BM182=0),"",SUMIFS(Entries!$E$2:$E$5000,Entries!$C$2:$C$5000,"Actual",Entries!$A$2:$A$5000,"&gt;="&amp;$A182,Entries!$A$2:$A$5000,"&lt;"&amp;EDATE($A182,1),Entries!$B$2:$B$5000,X$1))</f>
        <v/>
      </c>
      <c r="Y182" s="23">
        <f>IF(OR(Y$1="",$BM182=0),"",SUMIFS(Entries!$E$2:$E$5000,Entries!$C$2:$C$5000,"Actual",Entries!$A$2:$A$5000,"&gt;="&amp;$A182,Entries!$A$2:$A$5000,"&lt;"&amp;EDATE($A182,1),Entries!$B$2:$B$5000,Y$1))</f>
        <v/>
      </c>
      <c r="Z182" s="23">
        <f>IF(OR(Z$1="",$BM182=0),"",SUMIFS(Entries!$E$2:$E$5000,Entries!$C$2:$C$5000,"Actual",Entries!$A$2:$A$5000,"&gt;="&amp;$A182,Entries!$A$2:$A$5000,"&lt;"&amp;EDATE($A182,1),Entries!$B$2:$B$5000,Z$1))</f>
        <v/>
      </c>
      <c r="AA182" s="23">
        <f>IF(OR(AA$1="",$BM182=0),"",SUMIFS(Entries!$E$2:$E$5000,Entries!$C$2:$C$5000,"Actual",Entries!$A$2:$A$5000,"&gt;="&amp;$A182,Entries!$A$2:$A$5000,"&lt;"&amp;EDATE($A182,1),Entries!$B$2:$B$5000,AA$1))</f>
        <v/>
      </c>
      <c r="AB182" s="23">
        <f>IF(OR(AB$1="",$BM182=0),"",SUMIFS(Entries!$E$2:$E$5000,Entries!$C$2:$C$5000,"Actual",Entries!$A$2:$A$5000,"&gt;="&amp;$A182,Entries!$A$2:$A$5000,"&lt;"&amp;EDATE($A182,1),Entries!$B$2:$B$5000,AB$1))</f>
        <v/>
      </c>
      <c r="AC182" s="23">
        <f>IF(OR(AC$1="",$BM182=0),"",SUMIFS(Entries!$E$2:$E$5000,Entries!$C$2:$C$5000,"Actual",Entries!$A$2:$A$5000,"&gt;="&amp;$A182,Entries!$A$2:$A$5000,"&lt;"&amp;EDATE($A182,1),Entries!$B$2:$B$5000,AC$1))</f>
        <v/>
      </c>
      <c r="AD182" s="23">
        <f>IF(OR(AD$1="",$BM182=0),"",SUMIFS(Entries!$E$2:$E$5000,Entries!$C$2:$C$5000,"Actual",Entries!$A$2:$A$5000,"&gt;="&amp;$A182,Entries!$A$2:$A$5000,"&lt;"&amp;EDATE($A182,1),Entries!$B$2:$B$5000,AD$1))</f>
        <v/>
      </c>
      <c r="AE182" s="23">
        <f>IF(OR(AE$1="",$BM182=0),"",SUMIFS(Entries!$E$2:$E$5000,Entries!$C$2:$C$5000,"Actual",Entries!$A$2:$A$5000,"&gt;="&amp;$A182,Entries!$A$2:$A$5000,"&lt;"&amp;EDATE($A182,1),Entries!$B$2:$B$5000,AE$1))</f>
        <v/>
      </c>
      <c r="AF182" s="23">
        <f>IF(OR(AF$1="",$BM182=0),"",SUMIFS(Entries!$E$2:$E$5000,Entries!$C$2:$C$5000,"Actual",Entries!$A$2:$A$5000,"&gt;="&amp;$A182,Entries!$A$2:$A$5000,"&lt;"&amp;EDATE($A182,1),Entries!$B$2:$B$5000,AF$1))</f>
        <v/>
      </c>
      <c r="AG182" s="23">
        <f>IF(OR(AG$1="",$BM182=0),"",SUMIFS(Entries!$E$2:$E$5000,Entries!$C$2:$C$5000,"Actual",Entries!$A$2:$A$5000,"&gt;="&amp;$A182,Entries!$A$2:$A$5000,"&lt;"&amp;EDATE($A182,1),Entries!$B$2:$B$5000,AG$1))</f>
        <v/>
      </c>
      <c r="AH182" s="23">
        <f>IF(OR(AH$1="",$BM182=0),"",SUMIFS(Entries!$E$2:$E$5000,Entries!$C$2:$C$5000,"Actual",Entries!$A$2:$A$5000,"&gt;="&amp;$A182,Entries!$A$2:$A$5000,"&lt;"&amp;EDATE($A182,1),Entries!$B$2:$B$5000,AH$1))</f>
        <v/>
      </c>
      <c r="AI182" s="23">
        <f>IF(OR(AI$1="",$BM182=0),"",SUMIFS(Entries!$E$2:$E$5000,Entries!$C$2:$C$5000,"Actual",Entries!$A$2:$A$5000,"&gt;="&amp;$A182,Entries!$A$2:$A$5000,"&lt;"&amp;EDATE($A182,1),Entries!$B$2:$B$5000,AI$1))</f>
        <v/>
      </c>
      <c r="AJ182" s="23">
        <f>IF(OR(AJ$1="",$BM182=0),"",SUMIFS(Entries!$E$2:$E$5000,Entries!$C$2:$C$5000,"Actual",Entries!$A$2:$A$5000,"&gt;="&amp;$A182,Entries!$A$2:$A$5000,"&lt;"&amp;EDATE($A182,1),Entries!$B$2:$B$5000,AJ$1))</f>
        <v/>
      </c>
      <c r="AK182" s="23">
        <f>IF(OR(AK$1="",$BM182=0),"",SUMIFS(Entries!$E$2:$E$5000,Entries!$C$2:$C$5000,"Actual",Entries!$A$2:$A$5000,"&gt;="&amp;$A182,Entries!$A$2:$A$5000,"&lt;"&amp;EDATE($A182,1),Entries!$B$2:$B$5000,AK$1))</f>
        <v/>
      </c>
      <c r="AL182" s="23">
        <f>IF(OR(AL$1="",$BM182=0),"",SUMIFS(Entries!$E$2:$E$5000,Entries!$C$2:$C$5000,"Actual",Entries!$A$2:$A$5000,"&gt;="&amp;$A182,Entries!$A$2:$A$5000,"&lt;"&amp;EDATE($A182,1),Entries!$B$2:$B$5000,AL$1))</f>
        <v/>
      </c>
      <c r="AM182" s="23">
        <f>IF(OR(AM$1="",$BM182=0),"",SUMIFS(Entries!$E$2:$E$5000,Entries!$C$2:$C$5000,"Actual",Entries!$A$2:$A$5000,"&gt;="&amp;$A182,Entries!$A$2:$A$5000,"&lt;"&amp;EDATE($A182,1),Entries!$B$2:$B$5000,AM$1))</f>
        <v/>
      </c>
      <c r="AN182" s="23">
        <f>IF(OR(AN$1="",$BM182=0),"",SUMIFS(Entries!$E$2:$E$5000,Entries!$C$2:$C$5000,"Actual",Entries!$A$2:$A$5000,"&gt;="&amp;$A182,Entries!$A$2:$A$5000,"&lt;"&amp;EDATE($A182,1),Entries!$B$2:$B$5000,AN$1))</f>
        <v/>
      </c>
      <c r="AO182" s="23">
        <f>IF(OR(AO$1="",$BM182=0),"",SUMIFS(Entries!$E$2:$E$5000,Entries!$C$2:$C$5000,"Actual",Entries!$A$2:$A$5000,"&gt;="&amp;$A182,Entries!$A$2:$A$5000,"&lt;"&amp;EDATE($A182,1),Entries!$B$2:$B$5000,AO$1))</f>
        <v/>
      </c>
      <c r="AP182" s="23">
        <f>IF(OR(AP$1="",$BM182=0),"",SUMIFS(Entries!$E$2:$E$5000,Entries!$C$2:$C$5000,"Actual",Entries!$A$2:$A$5000,"&gt;="&amp;$A182,Entries!$A$2:$A$5000,"&lt;"&amp;EDATE($A182,1),Entries!$B$2:$B$5000,AP$1))</f>
        <v/>
      </c>
      <c r="AR182" s="23">
        <f>IF(OR(AR$1="",$BM182=0),"",IFERROR(LOOKUP(2,1/((Budgets!$A$2:$A$200=AR$1)*(Budgets!$B$2:$B$200&lt;EDATE($A182,1))),Budgets!$C$2:$C$200),0))</f>
        <v/>
      </c>
      <c r="AS182" s="23">
        <f>IF(OR(AS$1="",$BM182=0),"",IFERROR(LOOKUP(2,1/((Budgets!$A$2:$A$200=AS$1)*(Budgets!$B$2:$B$200&lt;EDATE($A182,1))),Budgets!$C$2:$C$200),0))</f>
        <v/>
      </c>
      <c r="AT182" s="23">
        <f>IF(OR(AT$1="",$BM182=0),"",IFERROR(LOOKUP(2,1/((Budgets!$A$2:$A$200=AT$1)*(Budgets!$B$2:$B$200&lt;EDATE($A182,1))),Budgets!$C$2:$C$200),0))</f>
        <v/>
      </c>
      <c r="AU182" s="23">
        <f>IF(OR(AU$1="",$BM182=0),"",IFERROR(LOOKUP(2,1/((Budgets!$A$2:$A$200=AU$1)*(Budgets!$B$2:$B$200&lt;EDATE($A182,1))),Budgets!$C$2:$C$200),0))</f>
        <v/>
      </c>
      <c r="AV182" s="23">
        <f>IF(OR(AV$1="",$BM182=0),"",IFERROR(LOOKUP(2,1/((Budgets!$A$2:$A$200=AV$1)*(Budgets!$B$2:$B$200&lt;EDATE($A182,1))),Budgets!$C$2:$C$200),0))</f>
        <v/>
      </c>
      <c r="AW182" s="23">
        <f>IF(OR(AW$1="",$BM182=0),"",IFERROR(LOOKUP(2,1/((Budgets!$A$2:$A$200=AW$1)*(Budgets!$B$2:$B$200&lt;EDATE($A182,1))),Budgets!$C$2:$C$200),0))</f>
        <v/>
      </c>
      <c r="AX182" s="23">
        <f>IF(OR(AX$1="",$BM182=0),"",IFERROR(LOOKUP(2,1/((Budgets!$A$2:$A$200=AX$1)*(Budgets!$B$2:$B$200&lt;EDATE($A182,1))),Budgets!$C$2:$C$200),0))</f>
        <v/>
      </c>
      <c r="AY182" s="23">
        <f>IF(OR(AY$1="",$BM182=0),"",IFERROR(LOOKUP(2,1/((Budgets!$A$2:$A$200=AY$1)*(Budgets!$B$2:$B$200&lt;EDATE($A182,1))),Budgets!$C$2:$C$200),0))</f>
        <v/>
      </c>
      <c r="AZ182" s="23">
        <f>IF(OR(AZ$1="",$BM182=0),"",IFERROR(LOOKUP(2,1/((Budgets!$A$2:$A$200=AZ$1)*(Budgets!$B$2:$B$200&lt;EDATE($A182,1))),Budgets!$C$2:$C$200),0))</f>
        <v/>
      </c>
      <c r="BA182" s="23">
        <f>IF(OR(BA$1="",$BM182=0),"",IFERROR(LOOKUP(2,1/((Budgets!$A$2:$A$200=BA$1)*(Budgets!$B$2:$B$200&lt;EDATE($A182,1))),Budgets!$C$2:$C$200),0))</f>
        <v/>
      </c>
      <c r="BB182" s="23">
        <f>IF(OR(BB$1="",$BM182=0),"",IFERROR(LOOKUP(2,1/((Budgets!$A$2:$A$200=BB$1)*(Budgets!$B$2:$B$200&lt;EDATE($A182,1))),Budgets!$C$2:$C$200),0))</f>
        <v/>
      </c>
      <c r="BC182" s="23">
        <f>IF(OR(BC$1="",$BM182=0),"",IFERROR(LOOKUP(2,1/((Budgets!$A$2:$A$200=BC$1)*(Budgets!$B$2:$B$200&lt;EDATE($A182,1))),Budgets!$C$2:$C$200),0))</f>
        <v/>
      </c>
      <c r="BD182" s="23">
        <f>IF(OR(BD$1="",$BM182=0),"",IFERROR(LOOKUP(2,1/((Budgets!$A$2:$A$200=BD$1)*(Budgets!$B$2:$B$200&lt;EDATE($A182,1))),Budgets!$C$2:$C$200),0))</f>
        <v/>
      </c>
      <c r="BE182" s="23">
        <f>IF(OR(BE$1="",$BM182=0),"",IFERROR(LOOKUP(2,1/((Budgets!$A$2:$A$200=BE$1)*(Budgets!$B$2:$B$200&lt;EDATE($A182,1))),Budgets!$C$2:$C$200),0))</f>
        <v/>
      </c>
      <c r="BF182" s="23">
        <f>IF(OR(BF$1="",$BM182=0),"",IFERROR(LOOKUP(2,1/((Budgets!$A$2:$A$200=BF$1)*(Budgets!$B$2:$B$200&lt;EDATE($A182,1))),Budgets!$C$2:$C$200),0))</f>
        <v/>
      </c>
      <c r="BG182" s="23">
        <f>IF(OR(BG$1="",$BM182=0),"",IFERROR(LOOKUP(2,1/((Budgets!$A$2:$A$200=BG$1)*(Budgets!$B$2:$B$200&lt;EDATE($A182,1))),Budgets!$C$2:$C$200),0))</f>
        <v/>
      </c>
      <c r="BH182" s="23">
        <f>IF(OR(BH$1="",$BM182=0),"",IFERROR(LOOKUP(2,1/((Budgets!$A$2:$A$200=BH$1)*(Budgets!$B$2:$B$200&lt;EDATE($A182,1))),Budgets!$C$2:$C$200),0))</f>
        <v/>
      </c>
      <c r="BI182" s="23">
        <f>IF(OR(BI$1="",$BM182=0),"",IFERROR(LOOKUP(2,1/((Budgets!$A$2:$A$200=BI$1)*(Budgets!$B$2:$B$200&lt;EDATE($A182,1))),Budgets!$C$2:$C$200),0))</f>
        <v/>
      </c>
      <c r="BJ182" s="23">
        <f>IF(OR(BJ$1="",$BM182=0),"",IFERROR(LOOKUP(2,1/((Budgets!$A$2:$A$200=BJ$1)*(Budgets!$B$2:$B$200&lt;EDATE($A182,1))),Budgets!$C$2:$C$200),0))</f>
        <v/>
      </c>
      <c r="BK182" s="23">
        <f>IF(OR(BK$1="",$BM182=0),"",IFERROR(LOOKUP(2,1/((Budgets!$A$2:$A$200=BK$1)*(Budgets!$B$2:$B$200&lt;EDATE($A182,1))),Budgets!$C$2:$C$200),0))</f>
        <v/>
      </c>
      <c r="BM182" s="21">
        <f>COUNTIFS(Entries!$A$2:$A$5000,"&gt;="&amp;$A182,Entries!$A$2:$A$5000,"&lt;"&amp;EDATE($A182,1))</f>
        <v/>
      </c>
    </row>
    <row r="183">
      <c r="A183" s="22" t="n">
        <v>44958</v>
      </c>
      <c r="B183" s="23">
        <f>IF($BM183=0,NA(),SUMIFS(Entries!$E$2:$E$5000,Entries!$C$2:$C$5000,"Income",Entries!$A$2:$A$5000,"&gt;="&amp;$A183,Entries!$A$2:$A$5000,"&lt;"&amp;EDATE($A183,1)))</f>
        <v/>
      </c>
      <c r="C183" s="23">
        <f>IF($BM183=0,"",SUMIFS(Entries!$E$2:$E$5000,Entries!$C$2:$C$5000,"Actual",Entries!$A$2:$A$5000,"&gt;="&amp;$A183,Entries!$A$2:$A$5000,"&lt;"&amp;EDATE($A183,1)))</f>
        <v/>
      </c>
      <c r="D183" s="23">
        <f>IF($BM183=0,"",SUMIFS(Entries!$E$2:$E$5000,Entries!$C$2:$C$5000,"One-off",Entries!$A$2:$A$5000,"&gt;="&amp;$A183,Entries!$A$2:$A$5000,"&lt;"&amp;EDATE($A183,1)))</f>
        <v/>
      </c>
      <c r="E183" s="23">
        <f>IF($BM183=0,NA(),C183+D183)</f>
        <v/>
      </c>
      <c r="F183" s="23">
        <f>IF($BM183=0,"",SUM(AR183:BK183))</f>
        <v/>
      </c>
      <c r="G183" s="23">
        <f>IF($BM183=0,"",B183-E183)</f>
        <v/>
      </c>
      <c r="H183" s="23">
        <f>IF($BM183=0,"",SUM($G$2:G183))</f>
        <v/>
      </c>
      <c r="I183" s="23">
        <f>IF($BM183=0,"",SUMIFS(Entries!$G$2:$G$5000,Entries!$A$2:$A$5000,"&gt;="&amp;$A183,Entries!$A$2:$A$5000,"&lt;"&amp;EDATE($A183,1)))</f>
        <v/>
      </c>
      <c r="J183" s="23">
        <f>IF($BM183=0,NA(),H183)</f>
        <v/>
      </c>
      <c r="K183" s="23">
        <f>IF($BM183=0,"",SUMIFS(Entries!$E$2:$E$5000,Entries!$C$2:$C$5000,"Income",Entries!$A$2:$A$5000,"&gt;="&amp;EDATE($A183,-11),Entries!$A$2:$A$5000,"&lt;"&amp;EDATE($A183,1))/COUNTIFS($A$2:$A$400,"&gt;="&amp;EDATE($A183,-11),$A$2:$A$400,"&lt;"&amp;EDATE($A183,1),$BM$2:$BM$400,"&gt;0"))</f>
      </c>
      <c r="L183" s="23">
        <f>IF($BM183=0,"",(SUMIFS(Entries!$E$2:$E$5000,Entries!$C$2:$C$5000,"Actual",Entries!$A$2:$A$5000,"&gt;="&amp;EDATE($A183,-11),Entries!$A$2:$A$5000,"&lt;"&amp;EDATE($A183,1))+SUMIFS(Entries!$E$2:$E$5000,Entries!$C$2:$C$5000,"One-off",Entries!$A$2:$A$5000,"&gt;="&amp;EDATE($A183,-11),Entries!$A$2:$A$5000,"&lt;"&amp;EDATE($A183,1)))/COUNTIFS($A$2:$A$400,"&gt;="&amp;EDATE($A183,-11),$A$2:$A$400,"&lt;"&amp;EDATE($A183,1),$BM$2:$BM$400,"&gt;0"))</f>
      </c>
      <c r="M183" s="24">
        <f>IF($BM183=0,NA(),IFERROR((K183-L183)/K183,0))</f>
        <v/>
      </c>
      <c r="N183" s="23">
        <f>IF($BM183=0,NA(),SUMIFS(Entries!$E$2:$E$5000,Entries!$D$2:$D$5000,"Core",Entries!$A$2:$A$5000,"&gt;="&amp;$A183,Entries!$A$2:$A$5000,"&lt;"&amp;EDATE($A183,1)))</f>
        <v/>
      </c>
      <c r="O183" s="23">
        <f>IF($BM183=0,NA(),SUMIFS(Entries!$E$2:$E$5000,Entries!$D$2:$D$5000,"Over &amp; above",Entries!$A$2:$A$5000,"&gt;="&amp;$A183,Entries!$A$2:$A$5000,"&lt;"&amp;EDATE($A183,1)))</f>
        <v/>
      </c>
      <c r="P183" s="23">
        <f>IF($BM183=0,NA(),SUMIFS(Entries!$E$2:$E$5000,Entries!$D$2:$D$5000,"One-off",Entries!$A$2:$A$5000,"&gt;="&amp;$A183,Entries!$A$2:$A$5000,"&lt;"&amp;EDATE($A183,1)))</f>
        <v/>
      </c>
      <c r="Q183" s="23">
        <f>IF($BM183=0,NA(),SUMIFS(Entries!$E$2:$E$5000,Entries!$D$2:$D$5000,"Reimbursable",Entries!$A$2:$A$5000,"&gt;="&amp;$A183,Entries!$A$2:$A$5000,"&lt;"&amp;EDATE($A183,1)))</f>
        <v/>
      </c>
      <c r="R183" s="23">
        <f>IF($BM183=0,NA(),SUMIFS(Entries!$E$2:$E$5000,Entries!$D$2:$D$5000,"Investment",Entries!$A$2:$A$5000,"&gt;="&amp;$A183,Entries!$A$2:$A$5000,"&lt;"&amp;EDATE($A183,1)))</f>
        <v/>
      </c>
      <c r="S183" s="23">
        <f>IF($BM183=0,NA(),N183+O183)</f>
        <v/>
      </c>
      <c r="T183" s="23">
        <f>IF($BM183=0,"",E183-Q183)</f>
        <v/>
      </c>
      <c r="W183" s="23">
        <f>IF(OR(W$1="",$BM183=0),"",SUMIFS(Entries!$E$2:$E$5000,Entries!$C$2:$C$5000,"Actual",Entries!$A$2:$A$5000,"&gt;="&amp;$A183,Entries!$A$2:$A$5000,"&lt;"&amp;EDATE($A183,1),Entries!$B$2:$B$5000,W$1))</f>
        <v/>
      </c>
      <c r="X183" s="23">
        <f>IF(OR(X$1="",$BM183=0),"",SUMIFS(Entries!$E$2:$E$5000,Entries!$C$2:$C$5000,"Actual",Entries!$A$2:$A$5000,"&gt;="&amp;$A183,Entries!$A$2:$A$5000,"&lt;"&amp;EDATE($A183,1),Entries!$B$2:$B$5000,X$1))</f>
        <v/>
      </c>
      <c r="Y183" s="23">
        <f>IF(OR(Y$1="",$BM183=0),"",SUMIFS(Entries!$E$2:$E$5000,Entries!$C$2:$C$5000,"Actual",Entries!$A$2:$A$5000,"&gt;="&amp;$A183,Entries!$A$2:$A$5000,"&lt;"&amp;EDATE($A183,1),Entries!$B$2:$B$5000,Y$1))</f>
        <v/>
      </c>
      <c r="Z183" s="23">
        <f>IF(OR(Z$1="",$BM183=0),"",SUMIFS(Entries!$E$2:$E$5000,Entries!$C$2:$C$5000,"Actual",Entries!$A$2:$A$5000,"&gt;="&amp;$A183,Entries!$A$2:$A$5000,"&lt;"&amp;EDATE($A183,1),Entries!$B$2:$B$5000,Z$1))</f>
        <v/>
      </c>
      <c r="AA183" s="23">
        <f>IF(OR(AA$1="",$BM183=0),"",SUMIFS(Entries!$E$2:$E$5000,Entries!$C$2:$C$5000,"Actual",Entries!$A$2:$A$5000,"&gt;="&amp;$A183,Entries!$A$2:$A$5000,"&lt;"&amp;EDATE($A183,1),Entries!$B$2:$B$5000,AA$1))</f>
        <v/>
      </c>
      <c r="AB183" s="23">
        <f>IF(OR(AB$1="",$BM183=0),"",SUMIFS(Entries!$E$2:$E$5000,Entries!$C$2:$C$5000,"Actual",Entries!$A$2:$A$5000,"&gt;="&amp;$A183,Entries!$A$2:$A$5000,"&lt;"&amp;EDATE($A183,1),Entries!$B$2:$B$5000,AB$1))</f>
        <v/>
      </c>
      <c r="AC183" s="23">
        <f>IF(OR(AC$1="",$BM183=0),"",SUMIFS(Entries!$E$2:$E$5000,Entries!$C$2:$C$5000,"Actual",Entries!$A$2:$A$5000,"&gt;="&amp;$A183,Entries!$A$2:$A$5000,"&lt;"&amp;EDATE($A183,1),Entries!$B$2:$B$5000,AC$1))</f>
        <v/>
      </c>
      <c r="AD183" s="23">
        <f>IF(OR(AD$1="",$BM183=0),"",SUMIFS(Entries!$E$2:$E$5000,Entries!$C$2:$C$5000,"Actual",Entries!$A$2:$A$5000,"&gt;="&amp;$A183,Entries!$A$2:$A$5000,"&lt;"&amp;EDATE($A183,1),Entries!$B$2:$B$5000,AD$1))</f>
        <v/>
      </c>
      <c r="AE183" s="23">
        <f>IF(OR(AE$1="",$BM183=0),"",SUMIFS(Entries!$E$2:$E$5000,Entries!$C$2:$C$5000,"Actual",Entries!$A$2:$A$5000,"&gt;="&amp;$A183,Entries!$A$2:$A$5000,"&lt;"&amp;EDATE($A183,1),Entries!$B$2:$B$5000,AE$1))</f>
        <v/>
      </c>
      <c r="AF183" s="23">
        <f>IF(OR(AF$1="",$BM183=0),"",SUMIFS(Entries!$E$2:$E$5000,Entries!$C$2:$C$5000,"Actual",Entries!$A$2:$A$5000,"&gt;="&amp;$A183,Entries!$A$2:$A$5000,"&lt;"&amp;EDATE($A183,1),Entries!$B$2:$B$5000,AF$1))</f>
        <v/>
      </c>
      <c r="AG183" s="23">
        <f>IF(OR(AG$1="",$BM183=0),"",SUMIFS(Entries!$E$2:$E$5000,Entries!$C$2:$C$5000,"Actual",Entries!$A$2:$A$5000,"&gt;="&amp;$A183,Entries!$A$2:$A$5000,"&lt;"&amp;EDATE($A183,1),Entries!$B$2:$B$5000,AG$1))</f>
        <v/>
      </c>
      <c r="AH183" s="23">
        <f>IF(OR(AH$1="",$BM183=0),"",SUMIFS(Entries!$E$2:$E$5000,Entries!$C$2:$C$5000,"Actual",Entries!$A$2:$A$5000,"&gt;="&amp;$A183,Entries!$A$2:$A$5000,"&lt;"&amp;EDATE($A183,1),Entries!$B$2:$B$5000,AH$1))</f>
        <v/>
      </c>
      <c r="AI183" s="23">
        <f>IF(OR(AI$1="",$BM183=0),"",SUMIFS(Entries!$E$2:$E$5000,Entries!$C$2:$C$5000,"Actual",Entries!$A$2:$A$5000,"&gt;="&amp;$A183,Entries!$A$2:$A$5000,"&lt;"&amp;EDATE($A183,1),Entries!$B$2:$B$5000,AI$1))</f>
        <v/>
      </c>
      <c r="AJ183" s="23">
        <f>IF(OR(AJ$1="",$BM183=0),"",SUMIFS(Entries!$E$2:$E$5000,Entries!$C$2:$C$5000,"Actual",Entries!$A$2:$A$5000,"&gt;="&amp;$A183,Entries!$A$2:$A$5000,"&lt;"&amp;EDATE($A183,1),Entries!$B$2:$B$5000,AJ$1))</f>
        <v/>
      </c>
      <c r="AK183" s="23">
        <f>IF(OR(AK$1="",$BM183=0),"",SUMIFS(Entries!$E$2:$E$5000,Entries!$C$2:$C$5000,"Actual",Entries!$A$2:$A$5000,"&gt;="&amp;$A183,Entries!$A$2:$A$5000,"&lt;"&amp;EDATE($A183,1),Entries!$B$2:$B$5000,AK$1))</f>
        <v/>
      </c>
      <c r="AL183" s="23">
        <f>IF(OR(AL$1="",$BM183=0),"",SUMIFS(Entries!$E$2:$E$5000,Entries!$C$2:$C$5000,"Actual",Entries!$A$2:$A$5000,"&gt;="&amp;$A183,Entries!$A$2:$A$5000,"&lt;"&amp;EDATE($A183,1),Entries!$B$2:$B$5000,AL$1))</f>
        <v/>
      </c>
      <c r="AM183" s="23">
        <f>IF(OR(AM$1="",$BM183=0),"",SUMIFS(Entries!$E$2:$E$5000,Entries!$C$2:$C$5000,"Actual",Entries!$A$2:$A$5000,"&gt;="&amp;$A183,Entries!$A$2:$A$5000,"&lt;"&amp;EDATE($A183,1),Entries!$B$2:$B$5000,AM$1))</f>
        <v/>
      </c>
      <c r="AN183" s="23">
        <f>IF(OR(AN$1="",$BM183=0),"",SUMIFS(Entries!$E$2:$E$5000,Entries!$C$2:$C$5000,"Actual",Entries!$A$2:$A$5000,"&gt;="&amp;$A183,Entries!$A$2:$A$5000,"&lt;"&amp;EDATE($A183,1),Entries!$B$2:$B$5000,AN$1))</f>
        <v/>
      </c>
      <c r="AO183" s="23">
        <f>IF(OR(AO$1="",$BM183=0),"",SUMIFS(Entries!$E$2:$E$5000,Entries!$C$2:$C$5000,"Actual",Entries!$A$2:$A$5000,"&gt;="&amp;$A183,Entries!$A$2:$A$5000,"&lt;"&amp;EDATE($A183,1),Entries!$B$2:$B$5000,AO$1))</f>
        <v/>
      </c>
      <c r="AP183" s="23">
        <f>IF(OR(AP$1="",$BM183=0),"",SUMIFS(Entries!$E$2:$E$5000,Entries!$C$2:$C$5000,"Actual",Entries!$A$2:$A$5000,"&gt;="&amp;$A183,Entries!$A$2:$A$5000,"&lt;"&amp;EDATE($A183,1),Entries!$B$2:$B$5000,AP$1))</f>
        <v/>
      </c>
      <c r="AR183" s="23">
        <f>IF(OR(AR$1="",$BM183=0),"",IFERROR(LOOKUP(2,1/((Budgets!$A$2:$A$200=AR$1)*(Budgets!$B$2:$B$200&lt;EDATE($A183,1))),Budgets!$C$2:$C$200),0))</f>
        <v/>
      </c>
      <c r="AS183" s="23">
        <f>IF(OR(AS$1="",$BM183=0),"",IFERROR(LOOKUP(2,1/((Budgets!$A$2:$A$200=AS$1)*(Budgets!$B$2:$B$200&lt;EDATE($A183,1))),Budgets!$C$2:$C$200),0))</f>
        <v/>
      </c>
      <c r="AT183" s="23">
        <f>IF(OR(AT$1="",$BM183=0),"",IFERROR(LOOKUP(2,1/((Budgets!$A$2:$A$200=AT$1)*(Budgets!$B$2:$B$200&lt;EDATE($A183,1))),Budgets!$C$2:$C$200),0))</f>
        <v/>
      </c>
      <c r="AU183" s="23">
        <f>IF(OR(AU$1="",$BM183=0),"",IFERROR(LOOKUP(2,1/((Budgets!$A$2:$A$200=AU$1)*(Budgets!$B$2:$B$200&lt;EDATE($A183,1))),Budgets!$C$2:$C$200),0))</f>
        <v/>
      </c>
      <c r="AV183" s="23">
        <f>IF(OR(AV$1="",$BM183=0),"",IFERROR(LOOKUP(2,1/((Budgets!$A$2:$A$200=AV$1)*(Budgets!$B$2:$B$200&lt;EDATE($A183,1))),Budgets!$C$2:$C$200),0))</f>
        <v/>
      </c>
      <c r="AW183" s="23">
        <f>IF(OR(AW$1="",$BM183=0),"",IFERROR(LOOKUP(2,1/((Budgets!$A$2:$A$200=AW$1)*(Budgets!$B$2:$B$200&lt;EDATE($A183,1))),Budgets!$C$2:$C$200),0))</f>
        <v/>
      </c>
      <c r="AX183" s="23">
        <f>IF(OR(AX$1="",$BM183=0),"",IFERROR(LOOKUP(2,1/((Budgets!$A$2:$A$200=AX$1)*(Budgets!$B$2:$B$200&lt;EDATE($A183,1))),Budgets!$C$2:$C$200),0))</f>
        <v/>
      </c>
      <c r="AY183" s="23">
        <f>IF(OR(AY$1="",$BM183=0),"",IFERROR(LOOKUP(2,1/((Budgets!$A$2:$A$200=AY$1)*(Budgets!$B$2:$B$200&lt;EDATE($A183,1))),Budgets!$C$2:$C$200),0))</f>
        <v/>
      </c>
      <c r="AZ183" s="23">
        <f>IF(OR(AZ$1="",$BM183=0),"",IFERROR(LOOKUP(2,1/((Budgets!$A$2:$A$200=AZ$1)*(Budgets!$B$2:$B$200&lt;EDATE($A183,1))),Budgets!$C$2:$C$200),0))</f>
        <v/>
      </c>
      <c r="BA183" s="23">
        <f>IF(OR(BA$1="",$BM183=0),"",IFERROR(LOOKUP(2,1/((Budgets!$A$2:$A$200=BA$1)*(Budgets!$B$2:$B$200&lt;EDATE($A183,1))),Budgets!$C$2:$C$200),0))</f>
        <v/>
      </c>
      <c r="BB183" s="23">
        <f>IF(OR(BB$1="",$BM183=0),"",IFERROR(LOOKUP(2,1/((Budgets!$A$2:$A$200=BB$1)*(Budgets!$B$2:$B$200&lt;EDATE($A183,1))),Budgets!$C$2:$C$200),0))</f>
        <v/>
      </c>
      <c r="BC183" s="23">
        <f>IF(OR(BC$1="",$BM183=0),"",IFERROR(LOOKUP(2,1/((Budgets!$A$2:$A$200=BC$1)*(Budgets!$B$2:$B$200&lt;EDATE($A183,1))),Budgets!$C$2:$C$200),0))</f>
        <v/>
      </c>
      <c r="BD183" s="23">
        <f>IF(OR(BD$1="",$BM183=0),"",IFERROR(LOOKUP(2,1/((Budgets!$A$2:$A$200=BD$1)*(Budgets!$B$2:$B$200&lt;EDATE($A183,1))),Budgets!$C$2:$C$200),0))</f>
        <v/>
      </c>
      <c r="BE183" s="23">
        <f>IF(OR(BE$1="",$BM183=0),"",IFERROR(LOOKUP(2,1/((Budgets!$A$2:$A$200=BE$1)*(Budgets!$B$2:$B$200&lt;EDATE($A183,1))),Budgets!$C$2:$C$200),0))</f>
        <v/>
      </c>
      <c r="BF183" s="23">
        <f>IF(OR(BF$1="",$BM183=0),"",IFERROR(LOOKUP(2,1/((Budgets!$A$2:$A$200=BF$1)*(Budgets!$B$2:$B$200&lt;EDATE($A183,1))),Budgets!$C$2:$C$200),0))</f>
        <v/>
      </c>
      <c r="BG183" s="23">
        <f>IF(OR(BG$1="",$BM183=0),"",IFERROR(LOOKUP(2,1/((Budgets!$A$2:$A$200=BG$1)*(Budgets!$B$2:$B$200&lt;EDATE($A183,1))),Budgets!$C$2:$C$200),0))</f>
        <v/>
      </c>
      <c r="BH183" s="23">
        <f>IF(OR(BH$1="",$BM183=0),"",IFERROR(LOOKUP(2,1/((Budgets!$A$2:$A$200=BH$1)*(Budgets!$B$2:$B$200&lt;EDATE($A183,1))),Budgets!$C$2:$C$200),0))</f>
        <v/>
      </c>
      <c r="BI183" s="23">
        <f>IF(OR(BI$1="",$BM183=0),"",IFERROR(LOOKUP(2,1/((Budgets!$A$2:$A$200=BI$1)*(Budgets!$B$2:$B$200&lt;EDATE($A183,1))),Budgets!$C$2:$C$200),0))</f>
        <v/>
      </c>
      <c r="BJ183" s="23">
        <f>IF(OR(BJ$1="",$BM183=0),"",IFERROR(LOOKUP(2,1/((Budgets!$A$2:$A$200=BJ$1)*(Budgets!$B$2:$B$200&lt;EDATE($A183,1))),Budgets!$C$2:$C$200),0))</f>
        <v/>
      </c>
      <c r="BK183" s="23">
        <f>IF(OR(BK$1="",$BM183=0),"",IFERROR(LOOKUP(2,1/((Budgets!$A$2:$A$200=BK$1)*(Budgets!$B$2:$B$200&lt;EDATE($A183,1))),Budgets!$C$2:$C$200),0))</f>
        <v/>
      </c>
      <c r="BM183" s="21">
        <f>COUNTIFS(Entries!$A$2:$A$5000,"&gt;="&amp;$A183,Entries!$A$2:$A$5000,"&lt;"&amp;EDATE($A183,1))</f>
        <v/>
      </c>
    </row>
    <row r="184">
      <c r="A184" s="22" t="n">
        <v>44986</v>
      </c>
      <c r="B184" s="23">
        <f>IF($BM184=0,NA(),SUMIFS(Entries!$E$2:$E$5000,Entries!$C$2:$C$5000,"Income",Entries!$A$2:$A$5000,"&gt;="&amp;$A184,Entries!$A$2:$A$5000,"&lt;"&amp;EDATE($A184,1)))</f>
        <v/>
      </c>
      <c r="C184" s="23">
        <f>IF($BM184=0,"",SUMIFS(Entries!$E$2:$E$5000,Entries!$C$2:$C$5000,"Actual",Entries!$A$2:$A$5000,"&gt;="&amp;$A184,Entries!$A$2:$A$5000,"&lt;"&amp;EDATE($A184,1)))</f>
        <v/>
      </c>
      <c r="D184" s="23">
        <f>IF($BM184=0,"",SUMIFS(Entries!$E$2:$E$5000,Entries!$C$2:$C$5000,"One-off",Entries!$A$2:$A$5000,"&gt;="&amp;$A184,Entries!$A$2:$A$5000,"&lt;"&amp;EDATE($A184,1)))</f>
        <v/>
      </c>
      <c r="E184" s="23">
        <f>IF($BM184=0,NA(),C184+D184)</f>
        <v/>
      </c>
      <c r="F184" s="23">
        <f>IF($BM184=0,"",SUM(AR184:BK184))</f>
        <v/>
      </c>
      <c r="G184" s="23">
        <f>IF($BM184=0,"",B184-E184)</f>
        <v/>
      </c>
      <c r="H184" s="23">
        <f>IF($BM184=0,"",SUM($G$2:G184))</f>
        <v/>
      </c>
      <c r="I184" s="23">
        <f>IF($BM184=0,"",SUMIFS(Entries!$G$2:$G$5000,Entries!$A$2:$A$5000,"&gt;="&amp;$A184,Entries!$A$2:$A$5000,"&lt;"&amp;EDATE($A184,1)))</f>
        <v/>
      </c>
      <c r="J184" s="23">
        <f>IF($BM184=0,NA(),H184)</f>
        <v/>
      </c>
      <c r="K184" s="23">
        <f>IF($BM184=0,"",SUMIFS(Entries!$E$2:$E$5000,Entries!$C$2:$C$5000,"Income",Entries!$A$2:$A$5000,"&gt;="&amp;EDATE($A184,-11),Entries!$A$2:$A$5000,"&lt;"&amp;EDATE($A184,1))/COUNTIFS($A$2:$A$400,"&gt;="&amp;EDATE($A184,-11),$A$2:$A$400,"&lt;"&amp;EDATE($A184,1),$BM$2:$BM$400,"&gt;0"))</f>
      </c>
      <c r="L184" s="23">
        <f>IF($BM184=0,"",(SUMIFS(Entries!$E$2:$E$5000,Entries!$C$2:$C$5000,"Actual",Entries!$A$2:$A$5000,"&gt;="&amp;EDATE($A184,-11),Entries!$A$2:$A$5000,"&lt;"&amp;EDATE($A184,1))+SUMIFS(Entries!$E$2:$E$5000,Entries!$C$2:$C$5000,"One-off",Entries!$A$2:$A$5000,"&gt;="&amp;EDATE($A184,-11),Entries!$A$2:$A$5000,"&lt;"&amp;EDATE($A184,1)))/COUNTIFS($A$2:$A$400,"&gt;="&amp;EDATE($A184,-11),$A$2:$A$400,"&lt;"&amp;EDATE($A184,1),$BM$2:$BM$400,"&gt;0"))</f>
      </c>
      <c r="M184" s="24">
        <f>IF($BM184=0,NA(),IFERROR((K184-L184)/K184,0))</f>
        <v/>
      </c>
      <c r="N184" s="23">
        <f>IF($BM184=0,NA(),SUMIFS(Entries!$E$2:$E$5000,Entries!$D$2:$D$5000,"Core",Entries!$A$2:$A$5000,"&gt;="&amp;$A184,Entries!$A$2:$A$5000,"&lt;"&amp;EDATE($A184,1)))</f>
        <v/>
      </c>
      <c r="O184" s="23">
        <f>IF($BM184=0,NA(),SUMIFS(Entries!$E$2:$E$5000,Entries!$D$2:$D$5000,"Over &amp; above",Entries!$A$2:$A$5000,"&gt;="&amp;$A184,Entries!$A$2:$A$5000,"&lt;"&amp;EDATE($A184,1)))</f>
        <v/>
      </c>
      <c r="P184" s="23">
        <f>IF($BM184=0,NA(),SUMIFS(Entries!$E$2:$E$5000,Entries!$D$2:$D$5000,"One-off",Entries!$A$2:$A$5000,"&gt;="&amp;$A184,Entries!$A$2:$A$5000,"&lt;"&amp;EDATE($A184,1)))</f>
        <v/>
      </c>
      <c r="Q184" s="23">
        <f>IF($BM184=0,NA(),SUMIFS(Entries!$E$2:$E$5000,Entries!$D$2:$D$5000,"Reimbursable",Entries!$A$2:$A$5000,"&gt;="&amp;$A184,Entries!$A$2:$A$5000,"&lt;"&amp;EDATE($A184,1)))</f>
        <v/>
      </c>
      <c r="R184" s="23">
        <f>IF($BM184=0,NA(),SUMIFS(Entries!$E$2:$E$5000,Entries!$D$2:$D$5000,"Investment",Entries!$A$2:$A$5000,"&gt;="&amp;$A184,Entries!$A$2:$A$5000,"&lt;"&amp;EDATE($A184,1)))</f>
        <v/>
      </c>
      <c r="S184" s="23">
        <f>IF($BM184=0,NA(),N184+O184)</f>
        <v/>
      </c>
      <c r="T184" s="23">
        <f>IF($BM184=0,"",E184-Q184)</f>
        <v/>
      </c>
      <c r="W184" s="23">
        <f>IF(OR(W$1="",$BM184=0),"",SUMIFS(Entries!$E$2:$E$5000,Entries!$C$2:$C$5000,"Actual",Entries!$A$2:$A$5000,"&gt;="&amp;$A184,Entries!$A$2:$A$5000,"&lt;"&amp;EDATE($A184,1),Entries!$B$2:$B$5000,W$1))</f>
        <v/>
      </c>
      <c r="X184" s="23">
        <f>IF(OR(X$1="",$BM184=0),"",SUMIFS(Entries!$E$2:$E$5000,Entries!$C$2:$C$5000,"Actual",Entries!$A$2:$A$5000,"&gt;="&amp;$A184,Entries!$A$2:$A$5000,"&lt;"&amp;EDATE($A184,1),Entries!$B$2:$B$5000,X$1))</f>
        <v/>
      </c>
      <c r="Y184" s="23">
        <f>IF(OR(Y$1="",$BM184=0),"",SUMIFS(Entries!$E$2:$E$5000,Entries!$C$2:$C$5000,"Actual",Entries!$A$2:$A$5000,"&gt;="&amp;$A184,Entries!$A$2:$A$5000,"&lt;"&amp;EDATE($A184,1),Entries!$B$2:$B$5000,Y$1))</f>
        <v/>
      </c>
      <c r="Z184" s="23">
        <f>IF(OR(Z$1="",$BM184=0),"",SUMIFS(Entries!$E$2:$E$5000,Entries!$C$2:$C$5000,"Actual",Entries!$A$2:$A$5000,"&gt;="&amp;$A184,Entries!$A$2:$A$5000,"&lt;"&amp;EDATE($A184,1),Entries!$B$2:$B$5000,Z$1))</f>
        <v/>
      </c>
      <c r="AA184" s="23">
        <f>IF(OR(AA$1="",$BM184=0),"",SUMIFS(Entries!$E$2:$E$5000,Entries!$C$2:$C$5000,"Actual",Entries!$A$2:$A$5000,"&gt;="&amp;$A184,Entries!$A$2:$A$5000,"&lt;"&amp;EDATE($A184,1),Entries!$B$2:$B$5000,AA$1))</f>
        <v/>
      </c>
      <c r="AB184" s="23">
        <f>IF(OR(AB$1="",$BM184=0),"",SUMIFS(Entries!$E$2:$E$5000,Entries!$C$2:$C$5000,"Actual",Entries!$A$2:$A$5000,"&gt;="&amp;$A184,Entries!$A$2:$A$5000,"&lt;"&amp;EDATE($A184,1),Entries!$B$2:$B$5000,AB$1))</f>
        <v/>
      </c>
      <c r="AC184" s="23">
        <f>IF(OR(AC$1="",$BM184=0),"",SUMIFS(Entries!$E$2:$E$5000,Entries!$C$2:$C$5000,"Actual",Entries!$A$2:$A$5000,"&gt;="&amp;$A184,Entries!$A$2:$A$5000,"&lt;"&amp;EDATE($A184,1),Entries!$B$2:$B$5000,AC$1))</f>
        <v/>
      </c>
      <c r="AD184" s="23">
        <f>IF(OR(AD$1="",$BM184=0),"",SUMIFS(Entries!$E$2:$E$5000,Entries!$C$2:$C$5000,"Actual",Entries!$A$2:$A$5000,"&gt;="&amp;$A184,Entries!$A$2:$A$5000,"&lt;"&amp;EDATE($A184,1),Entries!$B$2:$B$5000,AD$1))</f>
        <v/>
      </c>
      <c r="AE184" s="23">
        <f>IF(OR(AE$1="",$BM184=0),"",SUMIFS(Entries!$E$2:$E$5000,Entries!$C$2:$C$5000,"Actual",Entries!$A$2:$A$5000,"&gt;="&amp;$A184,Entries!$A$2:$A$5000,"&lt;"&amp;EDATE($A184,1),Entries!$B$2:$B$5000,AE$1))</f>
        <v/>
      </c>
      <c r="AF184" s="23">
        <f>IF(OR(AF$1="",$BM184=0),"",SUMIFS(Entries!$E$2:$E$5000,Entries!$C$2:$C$5000,"Actual",Entries!$A$2:$A$5000,"&gt;="&amp;$A184,Entries!$A$2:$A$5000,"&lt;"&amp;EDATE($A184,1),Entries!$B$2:$B$5000,AF$1))</f>
        <v/>
      </c>
      <c r="AG184" s="23">
        <f>IF(OR(AG$1="",$BM184=0),"",SUMIFS(Entries!$E$2:$E$5000,Entries!$C$2:$C$5000,"Actual",Entries!$A$2:$A$5000,"&gt;="&amp;$A184,Entries!$A$2:$A$5000,"&lt;"&amp;EDATE($A184,1),Entries!$B$2:$B$5000,AG$1))</f>
        <v/>
      </c>
      <c r="AH184" s="23">
        <f>IF(OR(AH$1="",$BM184=0),"",SUMIFS(Entries!$E$2:$E$5000,Entries!$C$2:$C$5000,"Actual",Entries!$A$2:$A$5000,"&gt;="&amp;$A184,Entries!$A$2:$A$5000,"&lt;"&amp;EDATE($A184,1),Entries!$B$2:$B$5000,AH$1))</f>
        <v/>
      </c>
      <c r="AI184" s="23">
        <f>IF(OR(AI$1="",$BM184=0),"",SUMIFS(Entries!$E$2:$E$5000,Entries!$C$2:$C$5000,"Actual",Entries!$A$2:$A$5000,"&gt;="&amp;$A184,Entries!$A$2:$A$5000,"&lt;"&amp;EDATE($A184,1),Entries!$B$2:$B$5000,AI$1))</f>
        <v/>
      </c>
      <c r="AJ184" s="23">
        <f>IF(OR(AJ$1="",$BM184=0),"",SUMIFS(Entries!$E$2:$E$5000,Entries!$C$2:$C$5000,"Actual",Entries!$A$2:$A$5000,"&gt;="&amp;$A184,Entries!$A$2:$A$5000,"&lt;"&amp;EDATE($A184,1),Entries!$B$2:$B$5000,AJ$1))</f>
        <v/>
      </c>
      <c r="AK184" s="23">
        <f>IF(OR(AK$1="",$BM184=0),"",SUMIFS(Entries!$E$2:$E$5000,Entries!$C$2:$C$5000,"Actual",Entries!$A$2:$A$5000,"&gt;="&amp;$A184,Entries!$A$2:$A$5000,"&lt;"&amp;EDATE($A184,1),Entries!$B$2:$B$5000,AK$1))</f>
        <v/>
      </c>
      <c r="AL184" s="23">
        <f>IF(OR(AL$1="",$BM184=0),"",SUMIFS(Entries!$E$2:$E$5000,Entries!$C$2:$C$5000,"Actual",Entries!$A$2:$A$5000,"&gt;="&amp;$A184,Entries!$A$2:$A$5000,"&lt;"&amp;EDATE($A184,1),Entries!$B$2:$B$5000,AL$1))</f>
        <v/>
      </c>
      <c r="AM184" s="23">
        <f>IF(OR(AM$1="",$BM184=0),"",SUMIFS(Entries!$E$2:$E$5000,Entries!$C$2:$C$5000,"Actual",Entries!$A$2:$A$5000,"&gt;="&amp;$A184,Entries!$A$2:$A$5000,"&lt;"&amp;EDATE($A184,1),Entries!$B$2:$B$5000,AM$1))</f>
        <v/>
      </c>
      <c r="AN184" s="23">
        <f>IF(OR(AN$1="",$BM184=0),"",SUMIFS(Entries!$E$2:$E$5000,Entries!$C$2:$C$5000,"Actual",Entries!$A$2:$A$5000,"&gt;="&amp;$A184,Entries!$A$2:$A$5000,"&lt;"&amp;EDATE($A184,1),Entries!$B$2:$B$5000,AN$1))</f>
        <v/>
      </c>
      <c r="AO184" s="23">
        <f>IF(OR(AO$1="",$BM184=0),"",SUMIFS(Entries!$E$2:$E$5000,Entries!$C$2:$C$5000,"Actual",Entries!$A$2:$A$5000,"&gt;="&amp;$A184,Entries!$A$2:$A$5000,"&lt;"&amp;EDATE($A184,1),Entries!$B$2:$B$5000,AO$1))</f>
        <v/>
      </c>
      <c r="AP184" s="23">
        <f>IF(OR(AP$1="",$BM184=0),"",SUMIFS(Entries!$E$2:$E$5000,Entries!$C$2:$C$5000,"Actual",Entries!$A$2:$A$5000,"&gt;="&amp;$A184,Entries!$A$2:$A$5000,"&lt;"&amp;EDATE($A184,1),Entries!$B$2:$B$5000,AP$1))</f>
        <v/>
      </c>
      <c r="AR184" s="23">
        <f>IF(OR(AR$1="",$BM184=0),"",IFERROR(LOOKUP(2,1/((Budgets!$A$2:$A$200=AR$1)*(Budgets!$B$2:$B$200&lt;EDATE($A184,1))),Budgets!$C$2:$C$200),0))</f>
        <v/>
      </c>
      <c r="AS184" s="23">
        <f>IF(OR(AS$1="",$BM184=0),"",IFERROR(LOOKUP(2,1/((Budgets!$A$2:$A$200=AS$1)*(Budgets!$B$2:$B$200&lt;EDATE($A184,1))),Budgets!$C$2:$C$200),0))</f>
        <v/>
      </c>
      <c r="AT184" s="23">
        <f>IF(OR(AT$1="",$BM184=0),"",IFERROR(LOOKUP(2,1/((Budgets!$A$2:$A$200=AT$1)*(Budgets!$B$2:$B$200&lt;EDATE($A184,1))),Budgets!$C$2:$C$200),0))</f>
        <v/>
      </c>
      <c r="AU184" s="23">
        <f>IF(OR(AU$1="",$BM184=0),"",IFERROR(LOOKUP(2,1/((Budgets!$A$2:$A$200=AU$1)*(Budgets!$B$2:$B$200&lt;EDATE($A184,1))),Budgets!$C$2:$C$200),0))</f>
        <v/>
      </c>
      <c r="AV184" s="23">
        <f>IF(OR(AV$1="",$BM184=0),"",IFERROR(LOOKUP(2,1/((Budgets!$A$2:$A$200=AV$1)*(Budgets!$B$2:$B$200&lt;EDATE($A184,1))),Budgets!$C$2:$C$200),0))</f>
        <v/>
      </c>
      <c r="AW184" s="23">
        <f>IF(OR(AW$1="",$BM184=0),"",IFERROR(LOOKUP(2,1/((Budgets!$A$2:$A$200=AW$1)*(Budgets!$B$2:$B$200&lt;EDATE($A184,1))),Budgets!$C$2:$C$200),0))</f>
        <v/>
      </c>
      <c r="AX184" s="23">
        <f>IF(OR(AX$1="",$BM184=0),"",IFERROR(LOOKUP(2,1/((Budgets!$A$2:$A$200=AX$1)*(Budgets!$B$2:$B$200&lt;EDATE($A184,1))),Budgets!$C$2:$C$200),0))</f>
        <v/>
      </c>
      <c r="AY184" s="23">
        <f>IF(OR(AY$1="",$BM184=0),"",IFERROR(LOOKUP(2,1/((Budgets!$A$2:$A$200=AY$1)*(Budgets!$B$2:$B$200&lt;EDATE($A184,1))),Budgets!$C$2:$C$200),0))</f>
        <v/>
      </c>
      <c r="AZ184" s="23">
        <f>IF(OR(AZ$1="",$BM184=0),"",IFERROR(LOOKUP(2,1/((Budgets!$A$2:$A$200=AZ$1)*(Budgets!$B$2:$B$200&lt;EDATE($A184,1))),Budgets!$C$2:$C$200),0))</f>
        <v/>
      </c>
      <c r="BA184" s="23">
        <f>IF(OR(BA$1="",$BM184=0),"",IFERROR(LOOKUP(2,1/((Budgets!$A$2:$A$200=BA$1)*(Budgets!$B$2:$B$200&lt;EDATE($A184,1))),Budgets!$C$2:$C$200),0))</f>
        <v/>
      </c>
      <c r="BB184" s="23">
        <f>IF(OR(BB$1="",$BM184=0),"",IFERROR(LOOKUP(2,1/((Budgets!$A$2:$A$200=BB$1)*(Budgets!$B$2:$B$200&lt;EDATE($A184,1))),Budgets!$C$2:$C$200),0))</f>
        <v/>
      </c>
      <c r="BC184" s="23">
        <f>IF(OR(BC$1="",$BM184=0),"",IFERROR(LOOKUP(2,1/((Budgets!$A$2:$A$200=BC$1)*(Budgets!$B$2:$B$200&lt;EDATE($A184,1))),Budgets!$C$2:$C$200),0))</f>
        <v/>
      </c>
      <c r="BD184" s="23">
        <f>IF(OR(BD$1="",$BM184=0),"",IFERROR(LOOKUP(2,1/((Budgets!$A$2:$A$200=BD$1)*(Budgets!$B$2:$B$200&lt;EDATE($A184,1))),Budgets!$C$2:$C$200),0))</f>
        <v/>
      </c>
      <c r="BE184" s="23">
        <f>IF(OR(BE$1="",$BM184=0),"",IFERROR(LOOKUP(2,1/((Budgets!$A$2:$A$200=BE$1)*(Budgets!$B$2:$B$200&lt;EDATE($A184,1))),Budgets!$C$2:$C$200),0))</f>
        <v/>
      </c>
      <c r="BF184" s="23">
        <f>IF(OR(BF$1="",$BM184=0),"",IFERROR(LOOKUP(2,1/((Budgets!$A$2:$A$200=BF$1)*(Budgets!$B$2:$B$200&lt;EDATE($A184,1))),Budgets!$C$2:$C$200),0))</f>
        <v/>
      </c>
      <c r="BG184" s="23">
        <f>IF(OR(BG$1="",$BM184=0),"",IFERROR(LOOKUP(2,1/((Budgets!$A$2:$A$200=BG$1)*(Budgets!$B$2:$B$200&lt;EDATE($A184,1))),Budgets!$C$2:$C$200),0))</f>
        <v/>
      </c>
      <c r="BH184" s="23">
        <f>IF(OR(BH$1="",$BM184=0),"",IFERROR(LOOKUP(2,1/((Budgets!$A$2:$A$200=BH$1)*(Budgets!$B$2:$B$200&lt;EDATE($A184,1))),Budgets!$C$2:$C$200),0))</f>
        <v/>
      </c>
      <c r="BI184" s="23">
        <f>IF(OR(BI$1="",$BM184=0),"",IFERROR(LOOKUP(2,1/((Budgets!$A$2:$A$200=BI$1)*(Budgets!$B$2:$B$200&lt;EDATE($A184,1))),Budgets!$C$2:$C$200),0))</f>
        <v/>
      </c>
      <c r="BJ184" s="23">
        <f>IF(OR(BJ$1="",$BM184=0),"",IFERROR(LOOKUP(2,1/((Budgets!$A$2:$A$200=BJ$1)*(Budgets!$B$2:$B$200&lt;EDATE($A184,1))),Budgets!$C$2:$C$200),0))</f>
        <v/>
      </c>
      <c r="BK184" s="23">
        <f>IF(OR(BK$1="",$BM184=0),"",IFERROR(LOOKUP(2,1/((Budgets!$A$2:$A$200=BK$1)*(Budgets!$B$2:$B$200&lt;EDATE($A184,1))),Budgets!$C$2:$C$200),0))</f>
        <v/>
      </c>
      <c r="BM184" s="21">
        <f>COUNTIFS(Entries!$A$2:$A$5000,"&gt;="&amp;$A184,Entries!$A$2:$A$5000,"&lt;"&amp;EDATE($A184,1))</f>
        <v/>
      </c>
    </row>
    <row r="185">
      <c r="A185" s="22" t="n">
        <v>45017</v>
      </c>
      <c r="B185" s="23">
        <f>IF($BM185=0,NA(),SUMIFS(Entries!$E$2:$E$5000,Entries!$C$2:$C$5000,"Income",Entries!$A$2:$A$5000,"&gt;="&amp;$A185,Entries!$A$2:$A$5000,"&lt;"&amp;EDATE($A185,1)))</f>
        <v/>
      </c>
      <c r="C185" s="23">
        <f>IF($BM185=0,"",SUMIFS(Entries!$E$2:$E$5000,Entries!$C$2:$C$5000,"Actual",Entries!$A$2:$A$5000,"&gt;="&amp;$A185,Entries!$A$2:$A$5000,"&lt;"&amp;EDATE($A185,1)))</f>
        <v/>
      </c>
      <c r="D185" s="23">
        <f>IF($BM185=0,"",SUMIFS(Entries!$E$2:$E$5000,Entries!$C$2:$C$5000,"One-off",Entries!$A$2:$A$5000,"&gt;="&amp;$A185,Entries!$A$2:$A$5000,"&lt;"&amp;EDATE($A185,1)))</f>
        <v/>
      </c>
      <c r="E185" s="23">
        <f>IF($BM185=0,NA(),C185+D185)</f>
        <v/>
      </c>
      <c r="F185" s="23">
        <f>IF($BM185=0,"",SUM(AR185:BK185))</f>
        <v/>
      </c>
      <c r="G185" s="23">
        <f>IF($BM185=0,"",B185-E185)</f>
        <v/>
      </c>
      <c r="H185" s="23">
        <f>IF($BM185=0,"",SUM($G$2:G185))</f>
        <v/>
      </c>
      <c r="I185" s="23">
        <f>IF($BM185=0,"",SUMIFS(Entries!$G$2:$G$5000,Entries!$A$2:$A$5000,"&gt;="&amp;$A185,Entries!$A$2:$A$5000,"&lt;"&amp;EDATE($A185,1)))</f>
        <v/>
      </c>
      <c r="J185" s="23">
        <f>IF($BM185=0,NA(),H185)</f>
        <v/>
      </c>
      <c r="K185" s="23">
        <f>IF($BM185=0,"",SUMIFS(Entries!$E$2:$E$5000,Entries!$C$2:$C$5000,"Income",Entries!$A$2:$A$5000,"&gt;="&amp;EDATE($A185,-11),Entries!$A$2:$A$5000,"&lt;"&amp;EDATE($A185,1))/COUNTIFS($A$2:$A$400,"&gt;="&amp;EDATE($A185,-11),$A$2:$A$400,"&lt;"&amp;EDATE($A185,1),$BM$2:$BM$400,"&gt;0"))</f>
      </c>
      <c r="L185" s="23">
        <f>IF($BM185=0,"",(SUMIFS(Entries!$E$2:$E$5000,Entries!$C$2:$C$5000,"Actual",Entries!$A$2:$A$5000,"&gt;="&amp;EDATE($A185,-11),Entries!$A$2:$A$5000,"&lt;"&amp;EDATE($A185,1))+SUMIFS(Entries!$E$2:$E$5000,Entries!$C$2:$C$5000,"One-off",Entries!$A$2:$A$5000,"&gt;="&amp;EDATE($A185,-11),Entries!$A$2:$A$5000,"&lt;"&amp;EDATE($A185,1)))/COUNTIFS($A$2:$A$400,"&gt;="&amp;EDATE($A185,-11),$A$2:$A$400,"&lt;"&amp;EDATE($A185,1),$BM$2:$BM$400,"&gt;0"))</f>
      </c>
      <c r="M185" s="24">
        <f>IF($BM185=0,NA(),IFERROR((K185-L185)/K185,0))</f>
        <v/>
      </c>
      <c r="N185" s="23">
        <f>IF($BM185=0,NA(),SUMIFS(Entries!$E$2:$E$5000,Entries!$D$2:$D$5000,"Core",Entries!$A$2:$A$5000,"&gt;="&amp;$A185,Entries!$A$2:$A$5000,"&lt;"&amp;EDATE($A185,1)))</f>
        <v/>
      </c>
      <c r="O185" s="23">
        <f>IF($BM185=0,NA(),SUMIFS(Entries!$E$2:$E$5000,Entries!$D$2:$D$5000,"Over &amp; above",Entries!$A$2:$A$5000,"&gt;="&amp;$A185,Entries!$A$2:$A$5000,"&lt;"&amp;EDATE($A185,1)))</f>
        <v/>
      </c>
      <c r="P185" s="23">
        <f>IF($BM185=0,NA(),SUMIFS(Entries!$E$2:$E$5000,Entries!$D$2:$D$5000,"One-off",Entries!$A$2:$A$5000,"&gt;="&amp;$A185,Entries!$A$2:$A$5000,"&lt;"&amp;EDATE($A185,1)))</f>
        <v/>
      </c>
      <c r="Q185" s="23">
        <f>IF($BM185=0,NA(),SUMIFS(Entries!$E$2:$E$5000,Entries!$D$2:$D$5000,"Reimbursable",Entries!$A$2:$A$5000,"&gt;="&amp;$A185,Entries!$A$2:$A$5000,"&lt;"&amp;EDATE($A185,1)))</f>
        <v/>
      </c>
      <c r="R185" s="23">
        <f>IF($BM185=0,NA(),SUMIFS(Entries!$E$2:$E$5000,Entries!$D$2:$D$5000,"Investment",Entries!$A$2:$A$5000,"&gt;="&amp;$A185,Entries!$A$2:$A$5000,"&lt;"&amp;EDATE($A185,1)))</f>
        <v/>
      </c>
      <c r="S185" s="23">
        <f>IF($BM185=0,NA(),N185+O185)</f>
        <v/>
      </c>
      <c r="T185" s="23">
        <f>IF($BM185=0,"",E185-Q185)</f>
        <v/>
      </c>
      <c r="W185" s="23">
        <f>IF(OR(W$1="",$BM185=0),"",SUMIFS(Entries!$E$2:$E$5000,Entries!$C$2:$C$5000,"Actual",Entries!$A$2:$A$5000,"&gt;="&amp;$A185,Entries!$A$2:$A$5000,"&lt;"&amp;EDATE($A185,1),Entries!$B$2:$B$5000,W$1))</f>
        <v/>
      </c>
      <c r="X185" s="23">
        <f>IF(OR(X$1="",$BM185=0),"",SUMIFS(Entries!$E$2:$E$5000,Entries!$C$2:$C$5000,"Actual",Entries!$A$2:$A$5000,"&gt;="&amp;$A185,Entries!$A$2:$A$5000,"&lt;"&amp;EDATE($A185,1),Entries!$B$2:$B$5000,X$1))</f>
        <v/>
      </c>
      <c r="Y185" s="23">
        <f>IF(OR(Y$1="",$BM185=0),"",SUMIFS(Entries!$E$2:$E$5000,Entries!$C$2:$C$5000,"Actual",Entries!$A$2:$A$5000,"&gt;="&amp;$A185,Entries!$A$2:$A$5000,"&lt;"&amp;EDATE($A185,1),Entries!$B$2:$B$5000,Y$1))</f>
        <v/>
      </c>
      <c r="Z185" s="23">
        <f>IF(OR(Z$1="",$BM185=0),"",SUMIFS(Entries!$E$2:$E$5000,Entries!$C$2:$C$5000,"Actual",Entries!$A$2:$A$5000,"&gt;="&amp;$A185,Entries!$A$2:$A$5000,"&lt;"&amp;EDATE($A185,1),Entries!$B$2:$B$5000,Z$1))</f>
        <v/>
      </c>
      <c r="AA185" s="23">
        <f>IF(OR(AA$1="",$BM185=0),"",SUMIFS(Entries!$E$2:$E$5000,Entries!$C$2:$C$5000,"Actual",Entries!$A$2:$A$5000,"&gt;="&amp;$A185,Entries!$A$2:$A$5000,"&lt;"&amp;EDATE($A185,1),Entries!$B$2:$B$5000,AA$1))</f>
        <v/>
      </c>
      <c r="AB185" s="23">
        <f>IF(OR(AB$1="",$BM185=0),"",SUMIFS(Entries!$E$2:$E$5000,Entries!$C$2:$C$5000,"Actual",Entries!$A$2:$A$5000,"&gt;="&amp;$A185,Entries!$A$2:$A$5000,"&lt;"&amp;EDATE($A185,1),Entries!$B$2:$B$5000,AB$1))</f>
        <v/>
      </c>
      <c r="AC185" s="23">
        <f>IF(OR(AC$1="",$BM185=0),"",SUMIFS(Entries!$E$2:$E$5000,Entries!$C$2:$C$5000,"Actual",Entries!$A$2:$A$5000,"&gt;="&amp;$A185,Entries!$A$2:$A$5000,"&lt;"&amp;EDATE($A185,1),Entries!$B$2:$B$5000,AC$1))</f>
        <v/>
      </c>
      <c r="AD185" s="23">
        <f>IF(OR(AD$1="",$BM185=0),"",SUMIFS(Entries!$E$2:$E$5000,Entries!$C$2:$C$5000,"Actual",Entries!$A$2:$A$5000,"&gt;="&amp;$A185,Entries!$A$2:$A$5000,"&lt;"&amp;EDATE($A185,1),Entries!$B$2:$B$5000,AD$1))</f>
        <v/>
      </c>
      <c r="AE185" s="23">
        <f>IF(OR(AE$1="",$BM185=0),"",SUMIFS(Entries!$E$2:$E$5000,Entries!$C$2:$C$5000,"Actual",Entries!$A$2:$A$5000,"&gt;="&amp;$A185,Entries!$A$2:$A$5000,"&lt;"&amp;EDATE($A185,1),Entries!$B$2:$B$5000,AE$1))</f>
        <v/>
      </c>
      <c r="AF185" s="23">
        <f>IF(OR(AF$1="",$BM185=0),"",SUMIFS(Entries!$E$2:$E$5000,Entries!$C$2:$C$5000,"Actual",Entries!$A$2:$A$5000,"&gt;="&amp;$A185,Entries!$A$2:$A$5000,"&lt;"&amp;EDATE($A185,1),Entries!$B$2:$B$5000,AF$1))</f>
        <v/>
      </c>
      <c r="AG185" s="23">
        <f>IF(OR(AG$1="",$BM185=0),"",SUMIFS(Entries!$E$2:$E$5000,Entries!$C$2:$C$5000,"Actual",Entries!$A$2:$A$5000,"&gt;="&amp;$A185,Entries!$A$2:$A$5000,"&lt;"&amp;EDATE($A185,1),Entries!$B$2:$B$5000,AG$1))</f>
        <v/>
      </c>
      <c r="AH185" s="23">
        <f>IF(OR(AH$1="",$BM185=0),"",SUMIFS(Entries!$E$2:$E$5000,Entries!$C$2:$C$5000,"Actual",Entries!$A$2:$A$5000,"&gt;="&amp;$A185,Entries!$A$2:$A$5000,"&lt;"&amp;EDATE($A185,1),Entries!$B$2:$B$5000,AH$1))</f>
        <v/>
      </c>
      <c r="AI185" s="23">
        <f>IF(OR(AI$1="",$BM185=0),"",SUMIFS(Entries!$E$2:$E$5000,Entries!$C$2:$C$5000,"Actual",Entries!$A$2:$A$5000,"&gt;="&amp;$A185,Entries!$A$2:$A$5000,"&lt;"&amp;EDATE($A185,1),Entries!$B$2:$B$5000,AI$1))</f>
        <v/>
      </c>
      <c r="AJ185" s="23">
        <f>IF(OR(AJ$1="",$BM185=0),"",SUMIFS(Entries!$E$2:$E$5000,Entries!$C$2:$C$5000,"Actual",Entries!$A$2:$A$5000,"&gt;="&amp;$A185,Entries!$A$2:$A$5000,"&lt;"&amp;EDATE($A185,1),Entries!$B$2:$B$5000,AJ$1))</f>
        <v/>
      </c>
      <c r="AK185" s="23">
        <f>IF(OR(AK$1="",$BM185=0),"",SUMIFS(Entries!$E$2:$E$5000,Entries!$C$2:$C$5000,"Actual",Entries!$A$2:$A$5000,"&gt;="&amp;$A185,Entries!$A$2:$A$5000,"&lt;"&amp;EDATE($A185,1),Entries!$B$2:$B$5000,AK$1))</f>
        <v/>
      </c>
      <c r="AL185" s="23">
        <f>IF(OR(AL$1="",$BM185=0),"",SUMIFS(Entries!$E$2:$E$5000,Entries!$C$2:$C$5000,"Actual",Entries!$A$2:$A$5000,"&gt;="&amp;$A185,Entries!$A$2:$A$5000,"&lt;"&amp;EDATE($A185,1),Entries!$B$2:$B$5000,AL$1))</f>
        <v/>
      </c>
      <c r="AM185" s="23">
        <f>IF(OR(AM$1="",$BM185=0),"",SUMIFS(Entries!$E$2:$E$5000,Entries!$C$2:$C$5000,"Actual",Entries!$A$2:$A$5000,"&gt;="&amp;$A185,Entries!$A$2:$A$5000,"&lt;"&amp;EDATE($A185,1),Entries!$B$2:$B$5000,AM$1))</f>
        <v/>
      </c>
      <c r="AN185" s="23">
        <f>IF(OR(AN$1="",$BM185=0),"",SUMIFS(Entries!$E$2:$E$5000,Entries!$C$2:$C$5000,"Actual",Entries!$A$2:$A$5000,"&gt;="&amp;$A185,Entries!$A$2:$A$5000,"&lt;"&amp;EDATE($A185,1),Entries!$B$2:$B$5000,AN$1))</f>
        <v/>
      </c>
      <c r="AO185" s="23">
        <f>IF(OR(AO$1="",$BM185=0),"",SUMIFS(Entries!$E$2:$E$5000,Entries!$C$2:$C$5000,"Actual",Entries!$A$2:$A$5000,"&gt;="&amp;$A185,Entries!$A$2:$A$5000,"&lt;"&amp;EDATE($A185,1),Entries!$B$2:$B$5000,AO$1))</f>
        <v/>
      </c>
      <c r="AP185" s="23">
        <f>IF(OR(AP$1="",$BM185=0),"",SUMIFS(Entries!$E$2:$E$5000,Entries!$C$2:$C$5000,"Actual",Entries!$A$2:$A$5000,"&gt;="&amp;$A185,Entries!$A$2:$A$5000,"&lt;"&amp;EDATE($A185,1),Entries!$B$2:$B$5000,AP$1))</f>
        <v/>
      </c>
      <c r="AR185" s="23">
        <f>IF(OR(AR$1="",$BM185=0),"",IFERROR(LOOKUP(2,1/((Budgets!$A$2:$A$200=AR$1)*(Budgets!$B$2:$B$200&lt;EDATE($A185,1))),Budgets!$C$2:$C$200),0))</f>
        <v/>
      </c>
      <c r="AS185" s="23">
        <f>IF(OR(AS$1="",$BM185=0),"",IFERROR(LOOKUP(2,1/((Budgets!$A$2:$A$200=AS$1)*(Budgets!$B$2:$B$200&lt;EDATE($A185,1))),Budgets!$C$2:$C$200),0))</f>
        <v/>
      </c>
      <c r="AT185" s="23">
        <f>IF(OR(AT$1="",$BM185=0),"",IFERROR(LOOKUP(2,1/((Budgets!$A$2:$A$200=AT$1)*(Budgets!$B$2:$B$200&lt;EDATE($A185,1))),Budgets!$C$2:$C$200),0))</f>
        <v/>
      </c>
      <c r="AU185" s="23">
        <f>IF(OR(AU$1="",$BM185=0),"",IFERROR(LOOKUP(2,1/((Budgets!$A$2:$A$200=AU$1)*(Budgets!$B$2:$B$200&lt;EDATE($A185,1))),Budgets!$C$2:$C$200),0))</f>
        <v/>
      </c>
      <c r="AV185" s="23">
        <f>IF(OR(AV$1="",$BM185=0),"",IFERROR(LOOKUP(2,1/((Budgets!$A$2:$A$200=AV$1)*(Budgets!$B$2:$B$200&lt;EDATE($A185,1))),Budgets!$C$2:$C$200),0))</f>
        <v/>
      </c>
      <c r="AW185" s="23">
        <f>IF(OR(AW$1="",$BM185=0),"",IFERROR(LOOKUP(2,1/((Budgets!$A$2:$A$200=AW$1)*(Budgets!$B$2:$B$200&lt;EDATE($A185,1))),Budgets!$C$2:$C$200),0))</f>
        <v/>
      </c>
      <c r="AX185" s="23">
        <f>IF(OR(AX$1="",$BM185=0),"",IFERROR(LOOKUP(2,1/((Budgets!$A$2:$A$200=AX$1)*(Budgets!$B$2:$B$200&lt;EDATE($A185,1))),Budgets!$C$2:$C$200),0))</f>
        <v/>
      </c>
      <c r="AY185" s="23">
        <f>IF(OR(AY$1="",$BM185=0),"",IFERROR(LOOKUP(2,1/((Budgets!$A$2:$A$200=AY$1)*(Budgets!$B$2:$B$200&lt;EDATE($A185,1))),Budgets!$C$2:$C$200),0))</f>
        <v/>
      </c>
      <c r="AZ185" s="23">
        <f>IF(OR(AZ$1="",$BM185=0),"",IFERROR(LOOKUP(2,1/((Budgets!$A$2:$A$200=AZ$1)*(Budgets!$B$2:$B$200&lt;EDATE($A185,1))),Budgets!$C$2:$C$200),0))</f>
        <v/>
      </c>
      <c r="BA185" s="23">
        <f>IF(OR(BA$1="",$BM185=0),"",IFERROR(LOOKUP(2,1/((Budgets!$A$2:$A$200=BA$1)*(Budgets!$B$2:$B$200&lt;EDATE($A185,1))),Budgets!$C$2:$C$200),0))</f>
        <v/>
      </c>
      <c r="BB185" s="23">
        <f>IF(OR(BB$1="",$BM185=0),"",IFERROR(LOOKUP(2,1/((Budgets!$A$2:$A$200=BB$1)*(Budgets!$B$2:$B$200&lt;EDATE($A185,1))),Budgets!$C$2:$C$200),0))</f>
        <v/>
      </c>
      <c r="BC185" s="23">
        <f>IF(OR(BC$1="",$BM185=0),"",IFERROR(LOOKUP(2,1/((Budgets!$A$2:$A$200=BC$1)*(Budgets!$B$2:$B$200&lt;EDATE($A185,1))),Budgets!$C$2:$C$200),0))</f>
        <v/>
      </c>
      <c r="BD185" s="23">
        <f>IF(OR(BD$1="",$BM185=0),"",IFERROR(LOOKUP(2,1/((Budgets!$A$2:$A$200=BD$1)*(Budgets!$B$2:$B$200&lt;EDATE($A185,1))),Budgets!$C$2:$C$200),0))</f>
        <v/>
      </c>
      <c r="BE185" s="23">
        <f>IF(OR(BE$1="",$BM185=0),"",IFERROR(LOOKUP(2,1/((Budgets!$A$2:$A$200=BE$1)*(Budgets!$B$2:$B$200&lt;EDATE($A185,1))),Budgets!$C$2:$C$200),0))</f>
        <v/>
      </c>
      <c r="BF185" s="23">
        <f>IF(OR(BF$1="",$BM185=0),"",IFERROR(LOOKUP(2,1/((Budgets!$A$2:$A$200=BF$1)*(Budgets!$B$2:$B$200&lt;EDATE($A185,1))),Budgets!$C$2:$C$200),0))</f>
        <v/>
      </c>
      <c r="BG185" s="23">
        <f>IF(OR(BG$1="",$BM185=0),"",IFERROR(LOOKUP(2,1/((Budgets!$A$2:$A$200=BG$1)*(Budgets!$B$2:$B$200&lt;EDATE($A185,1))),Budgets!$C$2:$C$200),0))</f>
        <v/>
      </c>
      <c r="BH185" s="23">
        <f>IF(OR(BH$1="",$BM185=0),"",IFERROR(LOOKUP(2,1/((Budgets!$A$2:$A$200=BH$1)*(Budgets!$B$2:$B$200&lt;EDATE($A185,1))),Budgets!$C$2:$C$200),0))</f>
        <v/>
      </c>
      <c r="BI185" s="23">
        <f>IF(OR(BI$1="",$BM185=0),"",IFERROR(LOOKUP(2,1/((Budgets!$A$2:$A$200=BI$1)*(Budgets!$B$2:$B$200&lt;EDATE($A185,1))),Budgets!$C$2:$C$200),0))</f>
        <v/>
      </c>
      <c r="BJ185" s="23">
        <f>IF(OR(BJ$1="",$BM185=0),"",IFERROR(LOOKUP(2,1/((Budgets!$A$2:$A$200=BJ$1)*(Budgets!$B$2:$B$200&lt;EDATE($A185,1))),Budgets!$C$2:$C$200),0))</f>
        <v/>
      </c>
      <c r="BK185" s="23">
        <f>IF(OR(BK$1="",$BM185=0),"",IFERROR(LOOKUP(2,1/((Budgets!$A$2:$A$200=BK$1)*(Budgets!$B$2:$B$200&lt;EDATE($A185,1))),Budgets!$C$2:$C$200),0))</f>
        <v/>
      </c>
      <c r="BM185" s="21">
        <f>COUNTIFS(Entries!$A$2:$A$5000,"&gt;="&amp;$A185,Entries!$A$2:$A$5000,"&lt;"&amp;EDATE($A185,1))</f>
        <v/>
      </c>
    </row>
    <row r="186">
      <c r="A186" s="22" t="n">
        <v>45047</v>
      </c>
      <c r="B186" s="23">
        <f>IF($BM186=0,NA(),SUMIFS(Entries!$E$2:$E$5000,Entries!$C$2:$C$5000,"Income",Entries!$A$2:$A$5000,"&gt;="&amp;$A186,Entries!$A$2:$A$5000,"&lt;"&amp;EDATE($A186,1)))</f>
        <v/>
      </c>
      <c r="C186" s="23">
        <f>IF($BM186=0,"",SUMIFS(Entries!$E$2:$E$5000,Entries!$C$2:$C$5000,"Actual",Entries!$A$2:$A$5000,"&gt;="&amp;$A186,Entries!$A$2:$A$5000,"&lt;"&amp;EDATE($A186,1)))</f>
        <v/>
      </c>
      <c r="D186" s="23">
        <f>IF($BM186=0,"",SUMIFS(Entries!$E$2:$E$5000,Entries!$C$2:$C$5000,"One-off",Entries!$A$2:$A$5000,"&gt;="&amp;$A186,Entries!$A$2:$A$5000,"&lt;"&amp;EDATE($A186,1)))</f>
        <v/>
      </c>
      <c r="E186" s="23">
        <f>IF($BM186=0,NA(),C186+D186)</f>
        <v/>
      </c>
      <c r="F186" s="23">
        <f>IF($BM186=0,"",SUM(AR186:BK186))</f>
        <v/>
      </c>
      <c r="G186" s="23">
        <f>IF($BM186=0,"",B186-E186)</f>
        <v/>
      </c>
      <c r="H186" s="23">
        <f>IF($BM186=0,"",SUM($G$2:G186))</f>
        <v/>
      </c>
      <c r="I186" s="23">
        <f>IF($BM186=0,"",SUMIFS(Entries!$G$2:$G$5000,Entries!$A$2:$A$5000,"&gt;="&amp;$A186,Entries!$A$2:$A$5000,"&lt;"&amp;EDATE($A186,1)))</f>
        <v/>
      </c>
      <c r="J186" s="23">
        <f>IF($BM186=0,NA(),H186)</f>
        <v/>
      </c>
      <c r="K186" s="23">
        <f>IF($BM186=0,"",SUMIFS(Entries!$E$2:$E$5000,Entries!$C$2:$C$5000,"Income",Entries!$A$2:$A$5000,"&gt;="&amp;EDATE($A186,-11),Entries!$A$2:$A$5000,"&lt;"&amp;EDATE($A186,1))/COUNTIFS($A$2:$A$400,"&gt;="&amp;EDATE($A186,-11),$A$2:$A$400,"&lt;"&amp;EDATE($A186,1),$BM$2:$BM$400,"&gt;0"))</f>
      </c>
      <c r="L186" s="23">
        <f>IF($BM186=0,"",(SUMIFS(Entries!$E$2:$E$5000,Entries!$C$2:$C$5000,"Actual",Entries!$A$2:$A$5000,"&gt;="&amp;EDATE($A186,-11),Entries!$A$2:$A$5000,"&lt;"&amp;EDATE($A186,1))+SUMIFS(Entries!$E$2:$E$5000,Entries!$C$2:$C$5000,"One-off",Entries!$A$2:$A$5000,"&gt;="&amp;EDATE($A186,-11),Entries!$A$2:$A$5000,"&lt;"&amp;EDATE($A186,1)))/COUNTIFS($A$2:$A$400,"&gt;="&amp;EDATE($A186,-11),$A$2:$A$400,"&lt;"&amp;EDATE($A186,1),$BM$2:$BM$400,"&gt;0"))</f>
      </c>
      <c r="M186" s="24">
        <f>IF($BM186=0,NA(),IFERROR((K186-L186)/K186,0))</f>
        <v/>
      </c>
      <c r="N186" s="23">
        <f>IF($BM186=0,NA(),SUMIFS(Entries!$E$2:$E$5000,Entries!$D$2:$D$5000,"Core",Entries!$A$2:$A$5000,"&gt;="&amp;$A186,Entries!$A$2:$A$5000,"&lt;"&amp;EDATE($A186,1)))</f>
        <v/>
      </c>
      <c r="O186" s="23">
        <f>IF($BM186=0,NA(),SUMIFS(Entries!$E$2:$E$5000,Entries!$D$2:$D$5000,"Over &amp; above",Entries!$A$2:$A$5000,"&gt;="&amp;$A186,Entries!$A$2:$A$5000,"&lt;"&amp;EDATE($A186,1)))</f>
        <v/>
      </c>
      <c r="P186" s="23">
        <f>IF($BM186=0,NA(),SUMIFS(Entries!$E$2:$E$5000,Entries!$D$2:$D$5000,"One-off",Entries!$A$2:$A$5000,"&gt;="&amp;$A186,Entries!$A$2:$A$5000,"&lt;"&amp;EDATE($A186,1)))</f>
        <v/>
      </c>
      <c r="Q186" s="23">
        <f>IF($BM186=0,NA(),SUMIFS(Entries!$E$2:$E$5000,Entries!$D$2:$D$5000,"Reimbursable",Entries!$A$2:$A$5000,"&gt;="&amp;$A186,Entries!$A$2:$A$5000,"&lt;"&amp;EDATE($A186,1)))</f>
        <v/>
      </c>
      <c r="R186" s="23">
        <f>IF($BM186=0,NA(),SUMIFS(Entries!$E$2:$E$5000,Entries!$D$2:$D$5000,"Investment",Entries!$A$2:$A$5000,"&gt;="&amp;$A186,Entries!$A$2:$A$5000,"&lt;"&amp;EDATE($A186,1)))</f>
        <v/>
      </c>
      <c r="S186" s="23">
        <f>IF($BM186=0,NA(),N186+O186)</f>
        <v/>
      </c>
      <c r="T186" s="23">
        <f>IF($BM186=0,"",E186-Q186)</f>
        <v/>
      </c>
      <c r="W186" s="23">
        <f>IF(OR(W$1="",$BM186=0),"",SUMIFS(Entries!$E$2:$E$5000,Entries!$C$2:$C$5000,"Actual",Entries!$A$2:$A$5000,"&gt;="&amp;$A186,Entries!$A$2:$A$5000,"&lt;"&amp;EDATE($A186,1),Entries!$B$2:$B$5000,W$1))</f>
        <v/>
      </c>
      <c r="X186" s="23">
        <f>IF(OR(X$1="",$BM186=0),"",SUMIFS(Entries!$E$2:$E$5000,Entries!$C$2:$C$5000,"Actual",Entries!$A$2:$A$5000,"&gt;="&amp;$A186,Entries!$A$2:$A$5000,"&lt;"&amp;EDATE($A186,1),Entries!$B$2:$B$5000,X$1))</f>
        <v/>
      </c>
      <c r="Y186" s="23">
        <f>IF(OR(Y$1="",$BM186=0),"",SUMIFS(Entries!$E$2:$E$5000,Entries!$C$2:$C$5000,"Actual",Entries!$A$2:$A$5000,"&gt;="&amp;$A186,Entries!$A$2:$A$5000,"&lt;"&amp;EDATE($A186,1),Entries!$B$2:$B$5000,Y$1))</f>
        <v/>
      </c>
      <c r="Z186" s="23">
        <f>IF(OR(Z$1="",$BM186=0),"",SUMIFS(Entries!$E$2:$E$5000,Entries!$C$2:$C$5000,"Actual",Entries!$A$2:$A$5000,"&gt;="&amp;$A186,Entries!$A$2:$A$5000,"&lt;"&amp;EDATE($A186,1),Entries!$B$2:$B$5000,Z$1))</f>
        <v/>
      </c>
      <c r="AA186" s="23">
        <f>IF(OR(AA$1="",$BM186=0),"",SUMIFS(Entries!$E$2:$E$5000,Entries!$C$2:$C$5000,"Actual",Entries!$A$2:$A$5000,"&gt;="&amp;$A186,Entries!$A$2:$A$5000,"&lt;"&amp;EDATE($A186,1),Entries!$B$2:$B$5000,AA$1))</f>
        <v/>
      </c>
      <c r="AB186" s="23">
        <f>IF(OR(AB$1="",$BM186=0),"",SUMIFS(Entries!$E$2:$E$5000,Entries!$C$2:$C$5000,"Actual",Entries!$A$2:$A$5000,"&gt;="&amp;$A186,Entries!$A$2:$A$5000,"&lt;"&amp;EDATE($A186,1),Entries!$B$2:$B$5000,AB$1))</f>
        <v/>
      </c>
      <c r="AC186" s="23">
        <f>IF(OR(AC$1="",$BM186=0),"",SUMIFS(Entries!$E$2:$E$5000,Entries!$C$2:$C$5000,"Actual",Entries!$A$2:$A$5000,"&gt;="&amp;$A186,Entries!$A$2:$A$5000,"&lt;"&amp;EDATE($A186,1),Entries!$B$2:$B$5000,AC$1))</f>
        <v/>
      </c>
      <c r="AD186" s="23">
        <f>IF(OR(AD$1="",$BM186=0),"",SUMIFS(Entries!$E$2:$E$5000,Entries!$C$2:$C$5000,"Actual",Entries!$A$2:$A$5000,"&gt;="&amp;$A186,Entries!$A$2:$A$5000,"&lt;"&amp;EDATE($A186,1),Entries!$B$2:$B$5000,AD$1))</f>
        <v/>
      </c>
      <c r="AE186" s="23">
        <f>IF(OR(AE$1="",$BM186=0),"",SUMIFS(Entries!$E$2:$E$5000,Entries!$C$2:$C$5000,"Actual",Entries!$A$2:$A$5000,"&gt;="&amp;$A186,Entries!$A$2:$A$5000,"&lt;"&amp;EDATE($A186,1),Entries!$B$2:$B$5000,AE$1))</f>
        <v/>
      </c>
      <c r="AF186" s="23">
        <f>IF(OR(AF$1="",$BM186=0),"",SUMIFS(Entries!$E$2:$E$5000,Entries!$C$2:$C$5000,"Actual",Entries!$A$2:$A$5000,"&gt;="&amp;$A186,Entries!$A$2:$A$5000,"&lt;"&amp;EDATE($A186,1),Entries!$B$2:$B$5000,AF$1))</f>
        <v/>
      </c>
      <c r="AG186" s="23">
        <f>IF(OR(AG$1="",$BM186=0),"",SUMIFS(Entries!$E$2:$E$5000,Entries!$C$2:$C$5000,"Actual",Entries!$A$2:$A$5000,"&gt;="&amp;$A186,Entries!$A$2:$A$5000,"&lt;"&amp;EDATE($A186,1),Entries!$B$2:$B$5000,AG$1))</f>
        <v/>
      </c>
      <c r="AH186" s="23">
        <f>IF(OR(AH$1="",$BM186=0),"",SUMIFS(Entries!$E$2:$E$5000,Entries!$C$2:$C$5000,"Actual",Entries!$A$2:$A$5000,"&gt;="&amp;$A186,Entries!$A$2:$A$5000,"&lt;"&amp;EDATE($A186,1),Entries!$B$2:$B$5000,AH$1))</f>
        <v/>
      </c>
      <c r="AI186" s="23">
        <f>IF(OR(AI$1="",$BM186=0),"",SUMIFS(Entries!$E$2:$E$5000,Entries!$C$2:$C$5000,"Actual",Entries!$A$2:$A$5000,"&gt;="&amp;$A186,Entries!$A$2:$A$5000,"&lt;"&amp;EDATE($A186,1),Entries!$B$2:$B$5000,AI$1))</f>
        <v/>
      </c>
      <c r="AJ186" s="23">
        <f>IF(OR(AJ$1="",$BM186=0),"",SUMIFS(Entries!$E$2:$E$5000,Entries!$C$2:$C$5000,"Actual",Entries!$A$2:$A$5000,"&gt;="&amp;$A186,Entries!$A$2:$A$5000,"&lt;"&amp;EDATE($A186,1),Entries!$B$2:$B$5000,AJ$1))</f>
        <v/>
      </c>
      <c r="AK186" s="23">
        <f>IF(OR(AK$1="",$BM186=0),"",SUMIFS(Entries!$E$2:$E$5000,Entries!$C$2:$C$5000,"Actual",Entries!$A$2:$A$5000,"&gt;="&amp;$A186,Entries!$A$2:$A$5000,"&lt;"&amp;EDATE($A186,1),Entries!$B$2:$B$5000,AK$1))</f>
        <v/>
      </c>
      <c r="AL186" s="23">
        <f>IF(OR(AL$1="",$BM186=0),"",SUMIFS(Entries!$E$2:$E$5000,Entries!$C$2:$C$5000,"Actual",Entries!$A$2:$A$5000,"&gt;="&amp;$A186,Entries!$A$2:$A$5000,"&lt;"&amp;EDATE($A186,1),Entries!$B$2:$B$5000,AL$1))</f>
        <v/>
      </c>
      <c r="AM186" s="23">
        <f>IF(OR(AM$1="",$BM186=0),"",SUMIFS(Entries!$E$2:$E$5000,Entries!$C$2:$C$5000,"Actual",Entries!$A$2:$A$5000,"&gt;="&amp;$A186,Entries!$A$2:$A$5000,"&lt;"&amp;EDATE($A186,1),Entries!$B$2:$B$5000,AM$1))</f>
        <v/>
      </c>
      <c r="AN186" s="23">
        <f>IF(OR(AN$1="",$BM186=0),"",SUMIFS(Entries!$E$2:$E$5000,Entries!$C$2:$C$5000,"Actual",Entries!$A$2:$A$5000,"&gt;="&amp;$A186,Entries!$A$2:$A$5000,"&lt;"&amp;EDATE($A186,1),Entries!$B$2:$B$5000,AN$1))</f>
        <v/>
      </c>
      <c r="AO186" s="23">
        <f>IF(OR(AO$1="",$BM186=0),"",SUMIFS(Entries!$E$2:$E$5000,Entries!$C$2:$C$5000,"Actual",Entries!$A$2:$A$5000,"&gt;="&amp;$A186,Entries!$A$2:$A$5000,"&lt;"&amp;EDATE($A186,1),Entries!$B$2:$B$5000,AO$1))</f>
        <v/>
      </c>
      <c r="AP186" s="23">
        <f>IF(OR(AP$1="",$BM186=0),"",SUMIFS(Entries!$E$2:$E$5000,Entries!$C$2:$C$5000,"Actual",Entries!$A$2:$A$5000,"&gt;="&amp;$A186,Entries!$A$2:$A$5000,"&lt;"&amp;EDATE($A186,1),Entries!$B$2:$B$5000,AP$1))</f>
        <v/>
      </c>
      <c r="AR186" s="23">
        <f>IF(OR(AR$1="",$BM186=0),"",IFERROR(LOOKUP(2,1/((Budgets!$A$2:$A$200=AR$1)*(Budgets!$B$2:$B$200&lt;EDATE($A186,1))),Budgets!$C$2:$C$200),0))</f>
        <v/>
      </c>
      <c r="AS186" s="23">
        <f>IF(OR(AS$1="",$BM186=0),"",IFERROR(LOOKUP(2,1/((Budgets!$A$2:$A$200=AS$1)*(Budgets!$B$2:$B$200&lt;EDATE($A186,1))),Budgets!$C$2:$C$200),0))</f>
        <v/>
      </c>
      <c r="AT186" s="23">
        <f>IF(OR(AT$1="",$BM186=0),"",IFERROR(LOOKUP(2,1/((Budgets!$A$2:$A$200=AT$1)*(Budgets!$B$2:$B$200&lt;EDATE($A186,1))),Budgets!$C$2:$C$200),0))</f>
        <v/>
      </c>
      <c r="AU186" s="23">
        <f>IF(OR(AU$1="",$BM186=0),"",IFERROR(LOOKUP(2,1/((Budgets!$A$2:$A$200=AU$1)*(Budgets!$B$2:$B$200&lt;EDATE($A186,1))),Budgets!$C$2:$C$200),0))</f>
        <v/>
      </c>
      <c r="AV186" s="23">
        <f>IF(OR(AV$1="",$BM186=0),"",IFERROR(LOOKUP(2,1/((Budgets!$A$2:$A$200=AV$1)*(Budgets!$B$2:$B$200&lt;EDATE($A186,1))),Budgets!$C$2:$C$200),0))</f>
        <v/>
      </c>
      <c r="AW186" s="23">
        <f>IF(OR(AW$1="",$BM186=0),"",IFERROR(LOOKUP(2,1/((Budgets!$A$2:$A$200=AW$1)*(Budgets!$B$2:$B$200&lt;EDATE($A186,1))),Budgets!$C$2:$C$200),0))</f>
        <v/>
      </c>
      <c r="AX186" s="23">
        <f>IF(OR(AX$1="",$BM186=0),"",IFERROR(LOOKUP(2,1/((Budgets!$A$2:$A$200=AX$1)*(Budgets!$B$2:$B$200&lt;EDATE($A186,1))),Budgets!$C$2:$C$200),0))</f>
        <v/>
      </c>
      <c r="AY186" s="23">
        <f>IF(OR(AY$1="",$BM186=0),"",IFERROR(LOOKUP(2,1/((Budgets!$A$2:$A$200=AY$1)*(Budgets!$B$2:$B$200&lt;EDATE($A186,1))),Budgets!$C$2:$C$200),0))</f>
        <v/>
      </c>
      <c r="AZ186" s="23">
        <f>IF(OR(AZ$1="",$BM186=0),"",IFERROR(LOOKUP(2,1/((Budgets!$A$2:$A$200=AZ$1)*(Budgets!$B$2:$B$200&lt;EDATE($A186,1))),Budgets!$C$2:$C$200),0))</f>
        <v/>
      </c>
      <c r="BA186" s="23">
        <f>IF(OR(BA$1="",$BM186=0),"",IFERROR(LOOKUP(2,1/((Budgets!$A$2:$A$200=BA$1)*(Budgets!$B$2:$B$200&lt;EDATE($A186,1))),Budgets!$C$2:$C$200),0))</f>
        <v/>
      </c>
      <c r="BB186" s="23">
        <f>IF(OR(BB$1="",$BM186=0),"",IFERROR(LOOKUP(2,1/((Budgets!$A$2:$A$200=BB$1)*(Budgets!$B$2:$B$200&lt;EDATE($A186,1))),Budgets!$C$2:$C$200),0))</f>
        <v/>
      </c>
      <c r="BC186" s="23">
        <f>IF(OR(BC$1="",$BM186=0),"",IFERROR(LOOKUP(2,1/((Budgets!$A$2:$A$200=BC$1)*(Budgets!$B$2:$B$200&lt;EDATE($A186,1))),Budgets!$C$2:$C$200),0))</f>
        <v/>
      </c>
      <c r="BD186" s="23">
        <f>IF(OR(BD$1="",$BM186=0),"",IFERROR(LOOKUP(2,1/((Budgets!$A$2:$A$200=BD$1)*(Budgets!$B$2:$B$200&lt;EDATE($A186,1))),Budgets!$C$2:$C$200),0))</f>
        <v/>
      </c>
      <c r="BE186" s="23">
        <f>IF(OR(BE$1="",$BM186=0),"",IFERROR(LOOKUP(2,1/((Budgets!$A$2:$A$200=BE$1)*(Budgets!$B$2:$B$200&lt;EDATE($A186,1))),Budgets!$C$2:$C$200),0))</f>
        <v/>
      </c>
      <c r="BF186" s="23">
        <f>IF(OR(BF$1="",$BM186=0),"",IFERROR(LOOKUP(2,1/((Budgets!$A$2:$A$200=BF$1)*(Budgets!$B$2:$B$200&lt;EDATE($A186,1))),Budgets!$C$2:$C$200),0))</f>
        <v/>
      </c>
      <c r="BG186" s="23">
        <f>IF(OR(BG$1="",$BM186=0),"",IFERROR(LOOKUP(2,1/((Budgets!$A$2:$A$200=BG$1)*(Budgets!$B$2:$B$200&lt;EDATE($A186,1))),Budgets!$C$2:$C$200),0))</f>
        <v/>
      </c>
      <c r="BH186" s="23">
        <f>IF(OR(BH$1="",$BM186=0),"",IFERROR(LOOKUP(2,1/((Budgets!$A$2:$A$200=BH$1)*(Budgets!$B$2:$B$200&lt;EDATE($A186,1))),Budgets!$C$2:$C$200),0))</f>
        <v/>
      </c>
      <c r="BI186" s="23">
        <f>IF(OR(BI$1="",$BM186=0),"",IFERROR(LOOKUP(2,1/((Budgets!$A$2:$A$200=BI$1)*(Budgets!$B$2:$B$200&lt;EDATE($A186,1))),Budgets!$C$2:$C$200),0))</f>
        <v/>
      </c>
      <c r="BJ186" s="23">
        <f>IF(OR(BJ$1="",$BM186=0),"",IFERROR(LOOKUP(2,1/((Budgets!$A$2:$A$200=BJ$1)*(Budgets!$B$2:$B$200&lt;EDATE($A186,1))),Budgets!$C$2:$C$200),0))</f>
        <v/>
      </c>
      <c r="BK186" s="23">
        <f>IF(OR(BK$1="",$BM186=0),"",IFERROR(LOOKUP(2,1/((Budgets!$A$2:$A$200=BK$1)*(Budgets!$B$2:$B$200&lt;EDATE($A186,1))),Budgets!$C$2:$C$200),0))</f>
        <v/>
      </c>
      <c r="BM186" s="21">
        <f>COUNTIFS(Entries!$A$2:$A$5000,"&gt;="&amp;$A186,Entries!$A$2:$A$5000,"&lt;"&amp;EDATE($A186,1))</f>
        <v/>
      </c>
    </row>
    <row r="187">
      <c r="A187" s="22" t="n">
        <v>45078</v>
      </c>
      <c r="B187" s="23">
        <f>IF($BM187=0,NA(),SUMIFS(Entries!$E$2:$E$5000,Entries!$C$2:$C$5000,"Income",Entries!$A$2:$A$5000,"&gt;="&amp;$A187,Entries!$A$2:$A$5000,"&lt;"&amp;EDATE($A187,1)))</f>
        <v/>
      </c>
      <c r="C187" s="23">
        <f>IF($BM187=0,"",SUMIFS(Entries!$E$2:$E$5000,Entries!$C$2:$C$5000,"Actual",Entries!$A$2:$A$5000,"&gt;="&amp;$A187,Entries!$A$2:$A$5000,"&lt;"&amp;EDATE($A187,1)))</f>
        <v/>
      </c>
      <c r="D187" s="23">
        <f>IF($BM187=0,"",SUMIFS(Entries!$E$2:$E$5000,Entries!$C$2:$C$5000,"One-off",Entries!$A$2:$A$5000,"&gt;="&amp;$A187,Entries!$A$2:$A$5000,"&lt;"&amp;EDATE($A187,1)))</f>
        <v/>
      </c>
      <c r="E187" s="23">
        <f>IF($BM187=0,NA(),C187+D187)</f>
        <v/>
      </c>
      <c r="F187" s="23">
        <f>IF($BM187=0,"",SUM(AR187:BK187))</f>
        <v/>
      </c>
      <c r="G187" s="23">
        <f>IF($BM187=0,"",B187-E187)</f>
        <v/>
      </c>
      <c r="H187" s="23">
        <f>IF($BM187=0,"",SUM($G$2:G187))</f>
        <v/>
      </c>
      <c r="I187" s="23">
        <f>IF($BM187=0,"",SUMIFS(Entries!$G$2:$G$5000,Entries!$A$2:$A$5000,"&gt;="&amp;$A187,Entries!$A$2:$A$5000,"&lt;"&amp;EDATE($A187,1)))</f>
        <v/>
      </c>
      <c r="J187" s="23">
        <f>IF($BM187=0,NA(),H187)</f>
        <v/>
      </c>
      <c r="K187" s="23">
        <f>IF($BM187=0,"",SUMIFS(Entries!$E$2:$E$5000,Entries!$C$2:$C$5000,"Income",Entries!$A$2:$A$5000,"&gt;="&amp;EDATE($A187,-11),Entries!$A$2:$A$5000,"&lt;"&amp;EDATE($A187,1))/COUNTIFS($A$2:$A$400,"&gt;="&amp;EDATE($A187,-11),$A$2:$A$400,"&lt;"&amp;EDATE($A187,1),$BM$2:$BM$400,"&gt;0"))</f>
      </c>
      <c r="L187" s="23">
        <f>IF($BM187=0,"",(SUMIFS(Entries!$E$2:$E$5000,Entries!$C$2:$C$5000,"Actual",Entries!$A$2:$A$5000,"&gt;="&amp;EDATE($A187,-11),Entries!$A$2:$A$5000,"&lt;"&amp;EDATE($A187,1))+SUMIFS(Entries!$E$2:$E$5000,Entries!$C$2:$C$5000,"One-off",Entries!$A$2:$A$5000,"&gt;="&amp;EDATE($A187,-11),Entries!$A$2:$A$5000,"&lt;"&amp;EDATE($A187,1)))/COUNTIFS($A$2:$A$400,"&gt;="&amp;EDATE($A187,-11),$A$2:$A$400,"&lt;"&amp;EDATE($A187,1),$BM$2:$BM$400,"&gt;0"))</f>
      </c>
      <c r="M187" s="24">
        <f>IF($BM187=0,NA(),IFERROR((K187-L187)/K187,0))</f>
        <v/>
      </c>
      <c r="N187" s="23">
        <f>IF($BM187=0,NA(),SUMIFS(Entries!$E$2:$E$5000,Entries!$D$2:$D$5000,"Core",Entries!$A$2:$A$5000,"&gt;="&amp;$A187,Entries!$A$2:$A$5000,"&lt;"&amp;EDATE($A187,1)))</f>
        <v/>
      </c>
      <c r="O187" s="23">
        <f>IF($BM187=0,NA(),SUMIFS(Entries!$E$2:$E$5000,Entries!$D$2:$D$5000,"Over &amp; above",Entries!$A$2:$A$5000,"&gt;="&amp;$A187,Entries!$A$2:$A$5000,"&lt;"&amp;EDATE($A187,1)))</f>
        <v/>
      </c>
      <c r="P187" s="23">
        <f>IF($BM187=0,NA(),SUMIFS(Entries!$E$2:$E$5000,Entries!$D$2:$D$5000,"One-off",Entries!$A$2:$A$5000,"&gt;="&amp;$A187,Entries!$A$2:$A$5000,"&lt;"&amp;EDATE($A187,1)))</f>
        <v/>
      </c>
      <c r="Q187" s="23">
        <f>IF($BM187=0,NA(),SUMIFS(Entries!$E$2:$E$5000,Entries!$D$2:$D$5000,"Reimbursable",Entries!$A$2:$A$5000,"&gt;="&amp;$A187,Entries!$A$2:$A$5000,"&lt;"&amp;EDATE($A187,1)))</f>
        <v/>
      </c>
      <c r="R187" s="23">
        <f>IF($BM187=0,NA(),SUMIFS(Entries!$E$2:$E$5000,Entries!$D$2:$D$5000,"Investment",Entries!$A$2:$A$5000,"&gt;="&amp;$A187,Entries!$A$2:$A$5000,"&lt;"&amp;EDATE($A187,1)))</f>
        <v/>
      </c>
      <c r="S187" s="23">
        <f>IF($BM187=0,NA(),N187+O187)</f>
        <v/>
      </c>
      <c r="T187" s="23">
        <f>IF($BM187=0,"",E187-Q187)</f>
        <v/>
      </c>
      <c r="W187" s="23">
        <f>IF(OR(W$1="",$BM187=0),"",SUMIFS(Entries!$E$2:$E$5000,Entries!$C$2:$C$5000,"Actual",Entries!$A$2:$A$5000,"&gt;="&amp;$A187,Entries!$A$2:$A$5000,"&lt;"&amp;EDATE($A187,1),Entries!$B$2:$B$5000,W$1))</f>
        <v/>
      </c>
      <c r="X187" s="23">
        <f>IF(OR(X$1="",$BM187=0),"",SUMIFS(Entries!$E$2:$E$5000,Entries!$C$2:$C$5000,"Actual",Entries!$A$2:$A$5000,"&gt;="&amp;$A187,Entries!$A$2:$A$5000,"&lt;"&amp;EDATE($A187,1),Entries!$B$2:$B$5000,X$1))</f>
        <v/>
      </c>
      <c r="Y187" s="23">
        <f>IF(OR(Y$1="",$BM187=0),"",SUMIFS(Entries!$E$2:$E$5000,Entries!$C$2:$C$5000,"Actual",Entries!$A$2:$A$5000,"&gt;="&amp;$A187,Entries!$A$2:$A$5000,"&lt;"&amp;EDATE($A187,1),Entries!$B$2:$B$5000,Y$1))</f>
        <v/>
      </c>
      <c r="Z187" s="23">
        <f>IF(OR(Z$1="",$BM187=0),"",SUMIFS(Entries!$E$2:$E$5000,Entries!$C$2:$C$5000,"Actual",Entries!$A$2:$A$5000,"&gt;="&amp;$A187,Entries!$A$2:$A$5000,"&lt;"&amp;EDATE($A187,1),Entries!$B$2:$B$5000,Z$1))</f>
        <v/>
      </c>
      <c r="AA187" s="23">
        <f>IF(OR(AA$1="",$BM187=0),"",SUMIFS(Entries!$E$2:$E$5000,Entries!$C$2:$C$5000,"Actual",Entries!$A$2:$A$5000,"&gt;="&amp;$A187,Entries!$A$2:$A$5000,"&lt;"&amp;EDATE($A187,1),Entries!$B$2:$B$5000,AA$1))</f>
        <v/>
      </c>
      <c r="AB187" s="23">
        <f>IF(OR(AB$1="",$BM187=0),"",SUMIFS(Entries!$E$2:$E$5000,Entries!$C$2:$C$5000,"Actual",Entries!$A$2:$A$5000,"&gt;="&amp;$A187,Entries!$A$2:$A$5000,"&lt;"&amp;EDATE($A187,1),Entries!$B$2:$B$5000,AB$1))</f>
        <v/>
      </c>
      <c r="AC187" s="23">
        <f>IF(OR(AC$1="",$BM187=0),"",SUMIFS(Entries!$E$2:$E$5000,Entries!$C$2:$C$5000,"Actual",Entries!$A$2:$A$5000,"&gt;="&amp;$A187,Entries!$A$2:$A$5000,"&lt;"&amp;EDATE($A187,1),Entries!$B$2:$B$5000,AC$1))</f>
        <v/>
      </c>
      <c r="AD187" s="23">
        <f>IF(OR(AD$1="",$BM187=0),"",SUMIFS(Entries!$E$2:$E$5000,Entries!$C$2:$C$5000,"Actual",Entries!$A$2:$A$5000,"&gt;="&amp;$A187,Entries!$A$2:$A$5000,"&lt;"&amp;EDATE($A187,1),Entries!$B$2:$B$5000,AD$1))</f>
        <v/>
      </c>
      <c r="AE187" s="23">
        <f>IF(OR(AE$1="",$BM187=0),"",SUMIFS(Entries!$E$2:$E$5000,Entries!$C$2:$C$5000,"Actual",Entries!$A$2:$A$5000,"&gt;="&amp;$A187,Entries!$A$2:$A$5000,"&lt;"&amp;EDATE($A187,1),Entries!$B$2:$B$5000,AE$1))</f>
        <v/>
      </c>
      <c r="AF187" s="23">
        <f>IF(OR(AF$1="",$BM187=0),"",SUMIFS(Entries!$E$2:$E$5000,Entries!$C$2:$C$5000,"Actual",Entries!$A$2:$A$5000,"&gt;="&amp;$A187,Entries!$A$2:$A$5000,"&lt;"&amp;EDATE($A187,1),Entries!$B$2:$B$5000,AF$1))</f>
        <v/>
      </c>
      <c r="AG187" s="23">
        <f>IF(OR(AG$1="",$BM187=0),"",SUMIFS(Entries!$E$2:$E$5000,Entries!$C$2:$C$5000,"Actual",Entries!$A$2:$A$5000,"&gt;="&amp;$A187,Entries!$A$2:$A$5000,"&lt;"&amp;EDATE($A187,1),Entries!$B$2:$B$5000,AG$1))</f>
        <v/>
      </c>
      <c r="AH187" s="23">
        <f>IF(OR(AH$1="",$BM187=0),"",SUMIFS(Entries!$E$2:$E$5000,Entries!$C$2:$C$5000,"Actual",Entries!$A$2:$A$5000,"&gt;="&amp;$A187,Entries!$A$2:$A$5000,"&lt;"&amp;EDATE($A187,1),Entries!$B$2:$B$5000,AH$1))</f>
        <v/>
      </c>
      <c r="AI187" s="23">
        <f>IF(OR(AI$1="",$BM187=0),"",SUMIFS(Entries!$E$2:$E$5000,Entries!$C$2:$C$5000,"Actual",Entries!$A$2:$A$5000,"&gt;="&amp;$A187,Entries!$A$2:$A$5000,"&lt;"&amp;EDATE($A187,1),Entries!$B$2:$B$5000,AI$1))</f>
        <v/>
      </c>
      <c r="AJ187" s="23">
        <f>IF(OR(AJ$1="",$BM187=0),"",SUMIFS(Entries!$E$2:$E$5000,Entries!$C$2:$C$5000,"Actual",Entries!$A$2:$A$5000,"&gt;="&amp;$A187,Entries!$A$2:$A$5000,"&lt;"&amp;EDATE($A187,1),Entries!$B$2:$B$5000,AJ$1))</f>
        <v/>
      </c>
      <c r="AK187" s="23">
        <f>IF(OR(AK$1="",$BM187=0),"",SUMIFS(Entries!$E$2:$E$5000,Entries!$C$2:$C$5000,"Actual",Entries!$A$2:$A$5000,"&gt;="&amp;$A187,Entries!$A$2:$A$5000,"&lt;"&amp;EDATE($A187,1),Entries!$B$2:$B$5000,AK$1))</f>
        <v/>
      </c>
      <c r="AL187" s="23">
        <f>IF(OR(AL$1="",$BM187=0),"",SUMIFS(Entries!$E$2:$E$5000,Entries!$C$2:$C$5000,"Actual",Entries!$A$2:$A$5000,"&gt;="&amp;$A187,Entries!$A$2:$A$5000,"&lt;"&amp;EDATE($A187,1),Entries!$B$2:$B$5000,AL$1))</f>
        <v/>
      </c>
      <c r="AM187" s="23">
        <f>IF(OR(AM$1="",$BM187=0),"",SUMIFS(Entries!$E$2:$E$5000,Entries!$C$2:$C$5000,"Actual",Entries!$A$2:$A$5000,"&gt;="&amp;$A187,Entries!$A$2:$A$5000,"&lt;"&amp;EDATE($A187,1),Entries!$B$2:$B$5000,AM$1))</f>
        <v/>
      </c>
      <c r="AN187" s="23">
        <f>IF(OR(AN$1="",$BM187=0),"",SUMIFS(Entries!$E$2:$E$5000,Entries!$C$2:$C$5000,"Actual",Entries!$A$2:$A$5000,"&gt;="&amp;$A187,Entries!$A$2:$A$5000,"&lt;"&amp;EDATE($A187,1),Entries!$B$2:$B$5000,AN$1))</f>
        <v/>
      </c>
      <c r="AO187" s="23">
        <f>IF(OR(AO$1="",$BM187=0),"",SUMIFS(Entries!$E$2:$E$5000,Entries!$C$2:$C$5000,"Actual",Entries!$A$2:$A$5000,"&gt;="&amp;$A187,Entries!$A$2:$A$5000,"&lt;"&amp;EDATE($A187,1),Entries!$B$2:$B$5000,AO$1))</f>
        <v/>
      </c>
      <c r="AP187" s="23">
        <f>IF(OR(AP$1="",$BM187=0),"",SUMIFS(Entries!$E$2:$E$5000,Entries!$C$2:$C$5000,"Actual",Entries!$A$2:$A$5000,"&gt;="&amp;$A187,Entries!$A$2:$A$5000,"&lt;"&amp;EDATE($A187,1),Entries!$B$2:$B$5000,AP$1))</f>
        <v/>
      </c>
      <c r="AR187" s="23">
        <f>IF(OR(AR$1="",$BM187=0),"",IFERROR(LOOKUP(2,1/((Budgets!$A$2:$A$200=AR$1)*(Budgets!$B$2:$B$200&lt;EDATE($A187,1))),Budgets!$C$2:$C$200),0))</f>
        <v/>
      </c>
      <c r="AS187" s="23">
        <f>IF(OR(AS$1="",$BM187=0),"",IFERROR(LOOKUP(2,1/((Budgets!$A$2:$A$200=AS$1)*(Budgets!$B$2:$B$200&lt;EDATE($A187,1))),Budgets!$C$2:$C$200),0))</f>
        <v/>
      </c>
      <c r="AT187" s="23">
        <f>IF(OR(AT$1="",$BM187=0),"",IFERROR(LOOKUP(2,1/((Budgets!$A$2:$A$200=AT$1)*(Budgets!$B$2:$B$200&lt;EDATE($A187,1))),Budgets!$C$2:$C$200),0))</f>
        <v/>
      </c>
      <c r="AU187" s="23">
        <f>IF(OR(AU$1="",$BM187=0),"",IFERROR(LOOKUP(2,1/((Budgets!$A$2:$A$200=AU$1)*(Budgets!$B$2:$B$200&lt;EDATE($A187,1))),Budgets!$C$2:$C$200),0))</f>
        <v/>
      </c>
      <c r="AV187" s="23">
        <f>IF(OR(AV$1="",$BM187=0),"",IFERROR(LOOKUP(2,1/((Budgets!$A$2:$A$200=AV$1)*(Budgets!$B$2:$B$200&lt;EDATE($A187,1))),Budgets!$C$2:$C$200),0))</f>
        <v/>
      </c>
      <c r="AW187" s="23">
        <f>IF(OR(AW$1="",$BM187=0),"",IFERROR(LOOKUP(2,1/((Budgets!$A$2:$A$200=AW$1)*(Budgets!$B$2:$B$200&lt;EDATE($A187,1))),Budgets!$C$2:$C$200),0))</f>
        <v/>
      </c>
      <c r="AX187" s="23">
        <f>IF(OR(AX$1="",$BM187=0),"",IFERROR(LOOKUP(2,1/((Budgets!$A$2:$A$200=AX$1)*(Budgets!$B$2:$B$200&lt;EDATE($A187,1))),Budgets!$C$2:$C$200),0))</f>
        <v/>
      </c>
      <c r="AY187" s="23">
        <f>IF(OR(AY$1="",$BM187=0),"",IFERROR(LOOKUP(2,1/((Budgets!$A$2:$A$200=AY$1)*(Budgets!$B$2:$B$200&lt;EDATE($A187,1))),Budgets!$C$2:$C$200),0))</f>
        <v/>
      </c>
      <c r="AZ187" s="23">
        <f>IF(OR(AZ$1="",$BM187=0),"",IFERROR(LOOKUP(2,1/((Budgets!$A$2:$A$200=AZ$1)*(Budgets!$B$2:$B$200&lt;EDATE($A187,1))),Budgets!$C$2:$C$200),0))</f>
        <v/>
      </c>
      <c r="BA187" s="23">
        <f>IF(OR(BA$1="",$BM187=0),"",IFERROR(LOOKUP(2,1/((Budgets!$A$2:$A$200=BA$1)*(Budgets!$B$2:$B$200&lt;EDATE($A187,1))),Budgets!$C$2:$C$200),0))</f>
        <v/>
      </c>
      <c r="BB187" s="23">
        <f>IF(OR(BB$1="",$BM187=0),"",IFERROR(LOOKUP(2,1/((Budgets!$A$2:$A$200=BB$1)*(Budgets!$B$2:$B$200&lt;EDATE($A187,1))),Budgets!$C$2:$C$200),0))</f>
        <v/>
      </c>
      <c r="BC187" s="23">
        <f>IF(OR(BC$1="",$BM187=0),"",IFERROR(LOOKUP(2,1/((Budgets!$A$2:$A$200=BC$1)*(Budgets!$B$2:$B$200&lt;EDATE($A187,1))),Budgets!$C$2:$C$200),0))</f>
        <v/>
      </c>
      <c r="BD187" s="23">
        <f>IF(OR(BD$1="",$BM187=0),"",IFERROR(LOOKUP(2,1/((Budgets!$A$2:$A$200=BD$1)*(Budgets!$B$2:$B$200&lt;EDATE($A187,1))),Budgets!$C$2:$C$200),0))</f>
        <v/>
      </c>
      <c r="BE187" s="23">
        <f>IF(OR(BE$1="",$BM187=0),"",IFERROR(LOOKUP(2,1/((Budgets!$A$2:$A$200=BE$1)*(Budgets!$B$2:$B$200&lt;EDATE($A187,1))),Budgets!$C$2:$C$200),0))</f>
        <v/>
      </c>
      <c r="BF187" s="23">
        <f>IF(OR(BF$1="",$BM187=0),"",IFERROR(LOOKUP(2,1/((Budgets!$A$2:$A$200=BF$1)*(Budgets!$B$2:$B$200&lt;EDATE($A187,1))),Budgets!$C$2:$C$200),0))</f>
        <v/>
      </c>
      <c r="BG187" s="23">
        <f>IF(OR(BG$1="",$BM187=0),"",IFERROR(LOOKUP(2,1/((Budgets!$A$2:$A$200=BG$1)*(Budgets!$B$2:$B$200&lt;EDATE($A187,1))),Budgets!$C$2:$C$200),0))</f>
        <v/>
      </c>
      <c r="BH187" s="23">
        <f>IF(OR(BH$1="",$BM187=0),"",IFERROR(LOOKUP(2,1/((Budgets!$A$2:$A$200=BH$1)*(Budgets!$B$2:$B$200&lt;EDATE($A187,1))),Budgets!$C$2:$C$200),0))</f>
        <v/>
      </c>
      <c r="BI187" s="23">
        <f>IF(OR(BI$1="",$BM187=0),"",IFERROR(LOOKUP(2,1/((Budgets!$A$2:$A$200=BI$1)*(Budgets!$B$2:$B$200&lt;EDATE($A187,1))),Budgets!$C$2:$C$200),0))</f>
        <v/>
      </c>
      <c r="BJ187" s="23">
        <f>IF(OR(BJ$1="",$BM187=0),"",IFERROR(LOOKUP(2,1/((Budgets!$A$2:$A$200=BJ$1)*(Budgets!$B$2:$B$200&lt;EDATE($A187,1))),Budgets!$C$2:$C$200),0))</f>
        <v/>
      </c>
      <c r="BK187" s="23">
        <f>IF(OR(BK$1="",$BM187=0),"",IFERROR(LOOKUP(2,1/((Budgets!$A$2:$A$200=BK$1)*(Budgets!$B$2:$B$200&lt;EDATE($A187,1))),Budgets!$C$2:$C$200),0))</f>
        <v/>
      </c>
      <c r="BM187" s="21">
        <f>COUNTIFS(Entries!$A$2:$A$5000,"&gt;="&amp;$A187,Entries!$A$2:$A$5000,"&lt;"&amp;EDATE($A187,1))</f>
        <v/>
      </c>
    </row>
    <row r="188">
      <c r="A188" s="22" t="n">
        <v>45108</v>
      </c>
      <c r="B188" s="23">
        <f>IF($BM188=0,NA(),SUMIFS(Entries!$E$2:$E$5000,Entries!$C$2:$C$5000,"Income",Entries!$A$2:$A$5000,"&gt;="&amp;$A188,Entries!$A$2:$A$5000,"&lt;"&amp;EDATE($A188,1)))</f>
        <v/>
      </c>
      <c r="C188" s="23">
        <f>IF($BM188=0,"",SUMIFS(Entries!$E$2:$E$5000,Entries!$C$2:$C$5000,"Actual",Entries!$A$2:$A$5000,"&gt;="&amp;$A188,Entries!$A$2:$A$5000,"&lt;"&amp;EDATE($A188,1)))</f>
        <v/>
      </c>
      <c r="D188" s="23">
        <f>IF($BM188=0,"",SUMIFS(Entries!$E$2:$E$5000,Entries!$C$2:$C$5000,"One-off",Entries!$A$2:$A$5000,"&gt;="&amp;$A188,Entries!$A$2:$A$5000,"&lt;"&amp;EDATE($A188,1)))</f>
        <v/>
      </c>
      <c r="E188" s="23">
        <f>IF($BM188=0,NA(),C188+D188)</f>
        <v/>
      </c>
      <c r="F188" s="23">
        <f>IF($BM188=0,"",SUM(AR188:BK188))</f>
        <v/>
      </c>
      <c r="G188" s="23">
        <f>IF($BM188=0,"",B188-E188)</f>
        <v/>
      </c>
      <c r="H188" s="23">
        <f>IF($BM188=0,"",SUM($G$2:G188))</f>
        <v/>
      </c>
      <c r="I188" s="23">
        <f>IF($BM188=0,"",SUMIFS(Entries!$G$2:$G$5000,Entries!$A$2:$A$5000,"&gt;="&amp;$A188,Entries!$A$2:$A$5000,"&lt;"&amp;EDATE($A188,1)))</f>
        <v/>
      </c>
      <c r="J188" s="23">
        <f>IF($BM188=0,NA(),H188)</f>
        <v/>
      </c>
      <c r="K188" s="23">
        <f>IF($BM188=0,"",SUMIFS(Entries!$E$2:$E$5000,Entries!$C$2:$C$5000,"Income",Entries!$A$2:$A$5000,"&gt;="&amp;EDATE($A188,-11),Entries!$A$2:$A$5000,"&lt;"&amp;EDATE($A188,1))/COUNTIFS($A$2:$A$400,"&gt;="&amp;EDATE($A188,-11),$A$2:$A$400,"&lt;"&amp;EDATE($A188,1),$BM$2:$BM$400,"&gt;0"))</f>
      </c>
      <c r="L188" s="23">
        <f>IF($BM188=0,"",(SUMIFS(Entries!$E$2:$E$5000,Entries!$C$2:$C$5000,"Actual",Entries!$A$2:$A$5000,"&gt;="&amp;EDATE($A188,-11),Entries!$A$2:$A$5000,"&lt;"&amp;EDATE($A188,1))+SUMIFS(Entries!$E$2:$E$5000,Entries!$C$2:$C$5000,"One-off",Entries!$A$2:$A$5000,"&gt;="&amp;EDATE($A188,-11),Entries!$A$2:$A$5000,"&lt;"&amp;EDATE($A188,1)))/COUNTIFS($A$2:$A$400,"&gt;="&amp;EDATE($A188,-11),$A$2:$A$400,"&lt;"&amp;EDATE($A188,1),$BM$2:$BM$400,"&gt;0"))</f>
      </c>
      <c r="M188" s="24">
        <f>IF($BM188=0,NA(),IFERROR((K188-L188)/K188,0))</f>
        <v/>
      </c>
      <c r="N188" s="23">
        <f>IF($BM188=0,NA(),SUMIFS(Entries!$E$2:$E$5000,Entries!$D$2:$D$5000,"Core",Entries!$A$2:$A$5000,"&gt;="&amp;$A188,Entries!$A$2:$A$5000,"&lt;"&amp;EDATE($A188,1)))</f>
        <v/>
      </c>
      <c r="O188" s="23">
        <f>IF($BM188=0,NA(),SUMIFS(Entries!$E$2:$E$5000,Entries!$D$2:$D$5000,"Over &amp; above",Entries!$A$2:$A$5000,"&gt;="&amp;$A188,Entries!$A$2:$A$5000,"&lt;"&amp;EDATE($A188,1)))</f>
        <v/>
      </c>
      <c r="P188" s="23">
        <f>IF($BM188=0,NA(),SUMIFS(Entries!$E$2:$E$5000,Entries!$D$2:$D$5000,"One-off",Entries!$A$2:$A$5000,"&gt;="&amp;$A188,Entries!$A$2:$A$5000,"&lt;"&amp;EDATE($A188,1)))</f>
        <v/>
      </c>
      <c r="Q188" s="23">
        <f>IF($BM188=0,NA(),SUMIFS(Entries!$E$2:$E$5000,Entries!$D$2:$D$5000,"Reimbursable",Entries!$A$2:$A$5000,"&gt;="&amp;$A188,Entries!$A$2:$A$5000,"&lt;"&amp;EDATE($A188,1)))</f>
        <v/>
      </c>
      <c r="R188" s="23">
        <f>IF($BM188=0,NA(),SUMIFS(Entries!$E$2:$E$5000,Entries!$D$2:$D$5000,"Investment",Entries!$A$2:$A$5000,"&gt;="&amp;$A188,Entries!$A$2:$A$5000,"&lt;"&amp;EDATE($A188,1)))</f>
        <v/>
      </c>
      <c r="S188" s="23">
        <f>IF($BM188=0,NA(),N188+O188)</f>
        <v/>
      </c>
      <c r="T188" s="23">
        <f>IF($BM188=0,"",E188-Q188)</f>
        <v/>
      </c>
      <c r="W188" s="23">
        <f>IF(OR(W$1="",$BM188=0),"",SUMIFS(Entries!$E$2:$E$5000,Entries!$C$2:$C$5000,"Actual",Entries!$A$2:$A$5000,"&gt;="&amp;$A188,Entries!$A$2:$A$5000,"&lt;"&amp;EDATE($A188,1),Entries!$B$2:$B$5000,W$1))</f>
        <v/>
      </c>
      <c r="X188" s="23">
        <f>IF(OR(X$1="",$BM188=0),"",SUMIFS(Entries!$E$2:$E$5000,Entries!$C$2:$C$5000,"Actual",Entries!$A$2:$A$5000,"&gt;="&amp;$A188,Entries!$A$2:$A$5000,"&lt;"&amp;EDATE($A188,1),Entries!$B$2:$B$5000,X$1))</f>
        <v/>
      </c>
      <c r="Y188" s="23">
        <f>IF(OR(Y$1="",$BM188=0),"",SUMIFS(Entries!$E$2:$E$5000,Entries!$C$2:$C$5000,"Actual",Entries!$A$2:$A$5000,"&gt;="&amp;$A188,Entries!$A$2:$A$5000,"&lt;"&amp;EDATE($A188,1),Entries!$B$2:$B$5000,Y$1))</f>
        <v/>
      </c>
      <c r="Z188" s="23">
        <f>IF(OR(Z$1="",$BM188=0),"",SUMIFS(Entries!$E$2:$E$5000,Entries!$C$2:$C$5000,"Actual",Entries!$A$2:$A$5000,"&gt;="&amp;$A188,Entries!$A$2:$A$5000,"&lt;"&amp;EDATE($A188,1),Entries!$B$2:$B$5000,Z$1))</f>
        <v/>
      </c>
      <c r="AA188" s="23">
        <f>IF(OR(AA$1="",$BM188=0),"",SUMIFS(Entries!$E$2:$E$5000,Entries!$C$2:$C$5000,"Actual",Entries!$A$2:$A$5000,"&gt;="&amp;$A188,Entries!$A$2:$A$5000,"&lt;"&amp;EDATE($A188,1),Entries!$B$2:$B$5000,AA$1))</f>
        <v/>
      </c>
      <c r="AB188" s="23">
        <f>IF(OR(AB$1="",$BM188=0),"",SUMIFS(Entries!$E$2:$E$5000,Entries!$C$2:$C$5000,"Actual",Entries!$A$2:$A$5000,"&gt;="&amp;$A188,Entries!$A$2:$A$5000,"&lt;"&amp;EDATE($A188,1),Entries!$B$2:$B$5000,AB$1))</f>
        <v/>
      </c>
      <c r="AC188" s="23">
        <f>IF(OR(AC$1="",$BM188=0),"",SUMIFS(Entries!$E$2:$E$5000,Entries!$C$2:$C$5000,"Actual",Entries!$A$2:$A$5000,"&gt;="&amp;$A188,Entries!$A$2:$A$5000,"&lt;"&amp;EDATE($A188,1),Entries!$B$2:$B$5000,AC$1))</f>
        <v/>
      </c>
      <c r="AD188" s="23">
        <f>IF(OR(AD$1="",$BM188=0),"",SUMIFS(Entries!$E$2:$E$5000,Entries!$C$2:$C$5000,"Actual",Entries!$A$2:$A$5000,"&gt;="&amp;$A188,Entries!$A$2:$A$5000,"&lt;"&amp;EDATE($A188,1),Entries!$B$2:$B$5000,AD$1))</f>
        <v/>
      </c>
      <c r="AE188" s="23">
        <f>IF(OR(AE$1="",$BM188=0),"",SUMIFS(Entries!$E$2:$E$5000,Entries!$C$2:$C$5000,"Actual",Entries!$A$2:$A$5000,"&gt;="&amp;$A188,Entries!$A$2:$A$5000,"&lt;"&amp;EDATE($A188,1),Entries!$B$2:$B$5000,AE$1))</f>
        <v/>
      </c>
      <c r="AF188" s="23">
        <f>IF(OR(AF$1="",$BM188=0),"",SUMIFS(Entries!$E$2:$E$5000,Entries!$C$2:$C$5000,"Actual",Entries!$A$2:$A$5000,"&gt;="&amp;$A188,Entries!$A$2:$A$5000,"&lt;"&amp;EDATE($A188,1),Entries!$B$2:$B$5000,AF$1))</f>
        <v/>
      </c>
      <c r="AG188" s="23">
        <f>IF(OR(AG$1="",$BM188=0),"",SUMIFS(Entries!$E$2:$E$5000,Entries!$C$2:$C$5000,"Actual",Entries!$A$2:$A$5000,"&gt;="&amp;$A188,Entries!$A$2:$A$5000,"&lt;"&amp;EDATE($A188,1),Entries!$B$2:$B$5000,AG$1))</f>
        <v/>
      </c>
      <c r="AH188" s="23">
        <f>IF(OR(AH$1="",$BM188=0),"",SUMIFS(Entries!$E$2:$E$5000,Entries!$C$2:$C$5000,"Actual",Entries!$A$2:$A$5000,"&gt;="&amp;$A188,Entries!$A$2:$A$5000,"&lt;"&amp;EDATE($A188,1),Entries!$B$2:$B$5000,AH$1))</f>
        <v/>
      </c>
      <c r="AI188" s="23">
        <f>IF(OR(AI$1="",$BM188=0),"",SUMIFS(Entries!$E$2:$E$5000,Entries!$C$2:$C$5000,"Actual",Entries!$A$2:$A$5000,"&gt;="&amp;$A188,Entries!$A$2:$A$5000,"&lt;"&amp;EDATE($A188,1),Entries!$B$2:$B$5000,AI$1))</f>
        <v/>
      </c>
      <c r="AJ188" s="23">
        <f>IF(OR(AJ$1="",$BM188=0),"",SUMIFS(Entries!$E$2:$E$5000,Entries!$C$2:$C$5000,"Actual",Entries!$A$2:$A$5000,"&gt;="&amp;$A188,Entries!$A$2:$A$5000,"&lt;"&amp;EDATE($A188,1),Entries!$B$2:$B$5000,AJ$1))</f>
        <v/>
      </c>
      <c r="AK188" s="23">
        <f>IF(OR(AK$1="",$BM188=0),"",SUMIFS(Entries!$E$2:$E$5000,Entries!$C$2:$C$5000,"Actual",Entries!$A$2:$A$5000,"&gt;="&amp;$A188,Entries!$A$2:$A$5000,"&lt;"&amp;EDATE($A188,1),Entries!$B$2:$B$5000,AK$1))</f>
        <v/>
      </c>
      <c r="AL188" s="23">
        <f>IF(OR(AL$1="",$BM188=0),"",SUMIFS(Entries!$E$2:$E$5000,Entries!$C$2:$C$5000,"Actual",Entries!$A$2:$A$5000,"&gt;="&amp;$A188,Entries!$A$2:$A$5000,"&lt;"&amp;EDATE($A188,1),Entries!$B$2:$B$5000,AL$1))</f>
        <v/>
      </c>
      <c r="AM188" s="23">
        <f>IF(OR(AM$1="",$BM188=0),"",SUMIFS(Entries!$E$2:$E$5000,Entries!$C$2:$C$5000,"Actual",Entries!$A$2:$A$5000,"&gt;="&amp;$A188,Entries!$A$2:$A$5000,"&lt;"&amp;EDATE($A188,1),Entries!$B$2:$B$5000,AM$1))</f>
        <v/>
      </c>
      <c r="AN188" s="23">
        <f>IF(OR(AN$1="",$BM188=0),"",SUMIFS(Entries!$E$2:$E$5000,Entries!$C$2:$C$5000,"Actual",Entries!$A$2:$A$5000,"&gt;="&amp;$A188,Entries!$A$2:$A$5000,"&lt;"&amp;EDATE($A188,1),Entries!$B$2:$B$5000,AN$1))</f>
        <v/>
      </c>
      <c r="AO188" s="23">
        <f>IF(OR(AO$1="",$BM188=0),"",SUMIFS(Entries!$E$2:$E$5000,Entries!$C$2:$C$5000,"Actual",Entries!$A$2:$A$5000,"&gt;="&amp;$A188,Entries!$A$2:$A$5000,"&lt;"&amp;EDATE($A188,1),Entries!$B$2:$B$5000,AO$1))</f>
        <v/>
      </c>
      <c r="AP188" s="23">
        <f>IF(OR(AP$1="",$BM188=0),"",SUMIFS(Entries!$E$2:$E$5000,Entries!$C$2:$C$5000,"Actual",Entries!$A$2:$A$5000,"&gt;="&amp;$A188,Entries!$A$2:$A$5000,"&lt;"&amp;EDATE($A188,1),Entries!$B$2:$B$5000,AP$1))</f>
        <v/>
      </c>
      <c r="AR188" s="23">
        <f>IF(OR(AR$1="",$BM188=0),"",IFERROR(LOOKUP(2,1/((Budgets!$A$2:$A$200=AR$1)*(Budgets!$B$2:$B$200&lt;EDATE($A188,1))),Budgets!$C$2:$C$200),0))</f>
        <v/>
      </c>
      <c r="AS188" s="23">
        <f>IF(OR(AS$1="",$BM188=0),"",IFERROR(LOOKUP(2,1/((Budgets!$A$2:$A$200=AS$1)*(Budgets!$B$2:$B$200&lt;EDATE($A188,1))),Budgets!$C$2:$C$200),0))</f>
        <v/>
      </c>
      <c r="AT188" s="23">
        <f>IF(OR(AT$1="",$BM188=0),"",IFERROR(LOOKUP(2,1/((Budgets!$A$2:$A$200=AT$1)*(Budgets!$B$2:$B$200&lt;EDATE($A188,1))),Budgets!$C$2:$C$200),0))</f>
        <v/>
      </c>
      <c r="AU188" s="23">
        <f>IF(OR(AU$1="",$BM188=0),"",IFERROR(LOOKUP(2,1/((Budgets!$A$2:$A$200=AU$1)*(Budgets!$B$2:$B$200&lt;EDATE($A188,1))),Budgets!$C$2:$C$200),0))</f>
        <v/>
      </c>
      <c r="AV188" s="23">
        <f>IF(OR(AV$1="",$BM188=0),"",IFERROR(LOOKUP(2,1/((Budgets!$A$2:$A$200=AV$1)*(Budgets!$B$2:$B$200&lt;EDATE($A188,1))),Budgets!$C$2:$C$200),0))</f>
        <v/>
      </c>
      <c r="AW188" s="23">
        <f>IF(OR(AW$1="",$BM188=0),"",IFERROR(LOOKUP(2,1/((Budgets!$A$2:$A$200=AW$1)*(Budgets!$B$2:$B$200&lt;EDATE($A188,1))),Budgets!$C$2:$C$200),0))</f>
        <v/>
      </c>
      <c r="AX188" s="23">
        <f>IF(OR(AX$1="",$BM188=0),"",IFERROR(LOOKUP(2,1/((Budgets!$A$2:$A$200=AX$1)*(Budgets!$B$2:$B$200&lt;EDATE($A188,1))),Budgets!$C$2:$C$200),0))</f>
        <v/>
      </c>
      <c r="AY188" s="23">
        <f>IF(OR(AY$1="",$BM188=0),"",IFERROR(LOOKUP(2,1/((Budgets!$A$2:$A$200=AY$1)*(Budgets!$B$2:$B$200&lt;EDATE($A188,1))),Budgets!$C$2:$C$200),0))</f>
        <v/>
      </c>
      <c r="AZ188" s="23">
        <f>IF(OR(AZ$1="",$BM188=0),"",IFERROR(LOOKUP(2,1/((Budgets!$A$2:$A$200=AZ$1)*(Budgets!$B$2:$B$200&lt;EDATE($A188,1))),Budgets!$C$2:$C$200),0))</f>
        <v/>
      </c>
      <c r="BA188" s="23">
        <f>IF(OR(BA$1="",$BM188=0),"",IFERROR(LOOKUP(2,1/((Budgets!$A$2:$A$200=BA$1)*(Budgets!$B$2:$B$200&lt;EDATE($A188,1))),Budgets!$C$2:$C$200),0))</f>
        <v/>
      </c>
      <c r="BB188" s="23">
        <f>IF(OR(BB$1="",$BM188=0),"",IFERROR(LOOKUP(2,1/((Budgets!$A$2:$A$200=BB$1)*(Budgets!$B$2:$B$200&lt;EDATE($A188,1))),Budgets!$C$2:$C$200),0))</f>
        <v/>
      </c>
      <c r="BC188" s="23">
        <f>IF(OR(BC$1="",$BM188=0),"",IFERROR(LOOKUP(2,1/((Budgets!$A$2:$A$200=BC$1)*(Budgets!$B$2:$B$200&lt;EDATE($A188,1))),Budgets!$C$2:$C$200),0))</f>
        <v/>
      </c>
      <c r="BD188" s="23">
        <f>IF(OR(BD$1="",$BM188=0),"",IFERROR(LOOKUP(2,1/((Budgets!$A$2:$A$200=BD$1)*(Budgets!$B$2:$B$200&lt;EDATE($A188,1))),Budgets!$C$2:$C$200),0))</f>
        <v/>
      </c>
      <c r="BE188" s="23">
        <f>IF(OR(BE$1="",$BM188=0),"",IFERROR(LOOKUP(2,1/((Budgets!$A$2:$A$200=BE$1)*(Budgets!$B$2:$B$200&lt;EDATE($A188,1))),Budgets!$C$2:$C$200),0))</f>
        <v/>
      </c>
      <c r="BF188" s="23">
        <f>IF(OR(BF$1="",$BM188=0),"",IFERROR(LOOKUP(2,1/((Budgets!$A$2:$A$200=BF$1)*(Budgets!$B$2:$B$200&lt;EDATE($A188,1))),Budgets!$C$2:$C$200),0))</f>
        <v/>
      </c>
      <c r="BG188" s="23">
        <f>IF(OR(BG$1="",$BM188=0),"",IFERROR(LOOKUP(2,1/((Budgets!$A$2:$A$200=BG$1)*(Budgets!$B$2:$B$200&lt;EDATE($A188,1))),Budgets!$C$2:$C$200),0))</f>
        <v/>
      </c>
      <c r="BH188" s="23">
        <f>IF(OR(BH$1="",$BM188=0),"",IFERROR(LOOKUP(2,1/((Budgets!$A$2:$A$200=BH$1)*(Budgets!$B$2:$B$200&lt;EDATE($A188,1))),Budgets!$C$2:$C$200),0))</f>
        <v/>
      </c>
      <c r="BI188" s="23">
        <f>IF(OR(BI$1="",$BM188=0),"",IFERROR(LOOKUP(2,1/((Budgets!$A$2:$A$200=BI$1)*(Budgets!$B$2:$B$200&lt;EDATE($A188,1))),Budgets!$C$2:$C$200),0))</f>
        <v/>
      </c>
      <c r="BJ188" s="23">
        <f>IF(OR(BJ$1="",$BM188=0),"",IFERROR(LOOKUP(2,1/((Budgets!$A$2:$A$200=BJ$1)*(Budgets!$B$2:$B$200&lt;EDATE($A188,1))),Budgets!$C$2:$C$200),0))</f>
        <v/>
      </c>
      <c r="BK188" s="23">
        <f>IF(OR(BK$1="",$BM188=0),"",IFERROR(LOOKUP(2,1/((Budgets!$A$2:$A$200=BK$1)*(Budgets!$B$2:$B$200&lt;EDATE($A188,1))),Budgets!$C$2:$C$200),0))</f>
        <v/>
      </c>
      <c r="BM188" s="21">
        <f>COUNTIFS(Entries!$A$2:$A$5000,"&gt;="&amp;$A188,Entries!$A$2:$A$5000,"&lt;"&amp;EDATE($A188,1))</f>
        <v/>
      </c>
    </row>
    <row r="189">
      <c r="A189" s="22" t="n">
        <v>45139</v>
      </c>
      <c r="B189" s="23">
        <f>IF($BM189=0,NA(),SUMIFS(Entries!$E$2:$E$5000,Entries!$C$2:$C$5000,"Income",Entries!$A$2:$A$5000,"&gt;="&amp;$A189,Entries!$A$2:$A$5000,"&lt;"&amp;EDATE($A189,1)))</f>
        <v/>
      </c>
      <c r="C189" s="23">
        <f>IF($BM189=0,"",SUMIFS(Entries!$E$2:$E$5000,Entries!$C$2:$C$5000,"Actual",Entries!$A$2:$A$5000,"&gt;="&amp;$A189,Entries!$A$2:$A$5000,"&lt;"&amp;EDATE($A189,1)))</f>
        <v/>
      </c>
      <c r="D189" s="23">
        <f>IF($BM189=0,"",SUMIFS(Entries!$E$2:$E$5000,Entries!$C$2:$C$5000,"One-off",Entries!$A$2:$A$5000,"&gt;="&amp;$A189,Entries!$A$2:$A$5000,"&lt;"&amp;EDATE($A189,1)))</f>
        <v/>
      </c>
      <c r="E189" s="23">
        <f>IF($BM189=0,NA(),C189+D189)</f>
        <v/>
      </c>
      <c r="F189" s="23">
        <f>IF($BM189=0,"",SUM(AR189:BK189))</f>
        <v/>
      </c>
      <c r="G189" s="23">
        <f>IF($BM189=0,"",B189-E189)</f>
        <v/>
      </c>
      <c r="H189" s="23">
        <f>IF($BM189=0,"",SUM($G$2:G189))</f>
        <v/>
      </c>
      <c r="I189" s="23">
        <f>IF($BM189=0,"",SUMIFS(Entries!$G$2:$G$5000,Entries!$A$2:$A$5000,"&gt;="&amp;$A189,Entries!$A$2:$A$5000,"&lt;"&amp;EDATE($A189,1)))</f>
        <v/>
      </c>
      <c r="J189" s="23">
        <f>IF($BM189=0,NA(),H189)</f>
        <v/>
      </c>
      <c r="K189" s="23">
        <f>IF($BM189=0,"",SUMIFS(Entries!$E$2:$E$5000,Entries!$C$2:$C$5000,"Income",Entries!$A$2:$A$5000,"&gt;="&amp;EDATE($A189,-11),Entries!$A$2:$A$5000,"&lt;"&amp;EDATE($A189,1))/COUNTIFS($A$2:$A$400,"&gt;="&amp;EDATE($A189,-11),$A$2:$A$400,"&lt;"&amp;EDATE($A189,1),$BM$2:$BM$400,"&gt;0"))</f>
      </c>
      <c r="L189" s="23">
        <f>IF($BM189=0,"",(SUMIFS(Entries!$E$2:$E$5000,Entries!$C$2:$C$5000,"Actual",Entries!$A$2:$A$5000,"&gt;="&amp;EDATE($A189,-11),Entries!$A$2:$A$5000,"&lt;"&amp;EDATE($A189,1))+SUMIFS(Entries!$E$2:$E$5000,Entries!$C$2:$C$5000,"One-off",Entries!$A$2:$A$5000,"&gt;="&amp;EDATE($A189,-11),Entries!$A$2:$A$5000,"&lt;"&amp;EDATE($A189,1)))/COUNTIFS($A$2:$A$400,"&gt;="&amp;EDATE($A189,-11),$A$2:$A$400,"&lt;"&amp;EDATE($A189,1),$BM$2:$BM$400,"&gt;0"))</f>
      </c>
      <c r="M189" s="24">
        <f>IF($BM189=0,NA(),IFERROR((K189-L189)/K189,0))</f>
        <v/>
      </c>
      <c r="N189" s="23">
        <f>IF($BM189=0,NA(),SUMIFS(Entries!$E$2:$E$5000,Entries!$D$2:$D$5000,"Core",Entries!$A$2:$A$5000,"&gt;="&amp;$A189,Entries!$A$2:$A$5000,"&lt;"&amp;EDATE($A189,1)))</f>
        <v/>
      </c>
      <c r="O189" s="23">
        <f>IF($BM189=0,NA(),SUMIFS(Entries!$E$2:$E$5000,Entries!$D$2:$D$5000,"Over &amp; above",Entries!$A$2:$A$5000,"&gt;="&amp;$A189,Entries!$A$2:$A$5000,"&lt;"&amp;EDATE($A189,1)))</f>
        <v/>
      </c>
      <c r="P189" s="23">
        <f>IF($BM189=0,NA(),SUMIFS(Entries!$E$2:$E$5000,Entries!$D$2:$D$5000,"One-off",Entries!$A$2:$A$5000,"&gt;="&amp;$A189,Entries!$A$2:$A$5000,"&lt;"&amp;EDATE($A189,1)))</f>
        <v/>
      </c>
      <c r="Q189" s="23">
        <f>IF($BM189=0,NA(),SUMIFS(Entries!$E$2:$E$5000,Entries!$D$2:$D$5000,"Reimbursable",Entries!$A$2:$A$5000,"&gt;="&amp;$A189,Entries!$A$2:$A$5000,"&lt;"&amp;EDATE($A189,1)))</f>
        <v/>
      </c>
      <c r="R189" s="23">
        <f>IF($BM189=0,NA(),SUMIFS(Entries!$E$2:$E$5000,Entries!$D$2:$D$5000,"Investment",Entries!$A$2:$A$5000,"&gt;="&amp;$A189,Entries!$A$2:$A$5000,"&lt;"&amp;EDATE($A189,1)))</f>
        <v/>
      </c>
      <c r="S189" s="23">
        <f>IF($BM189=0,NA(),N189+O189)</f>
        <v/>
      </c>
      <c r="T189" s="23">
        <f>IF($BM189=0,"",E189-Q189)</f>
        <v/>
      </c>
      <c r="W189" s="23">
        <f>IF(OR(W$1="",$BM189=0),"",SUMIFS(Entries!$E$2:$E$5000,Entries!$C$2:$C$5000,"Actual",Entries!$A$2:$A$5000,"&gt;="&amp;$A189,Entries!$A$2:$A$5000,"&lt;"&amp;EDATE($A189,1),Entries!$B$2:$B$5000,W$1))</f>
        <v/>
      </c>
      <c r="X189" s="23">
        <f>IF(OR(X$1="",$BM189=0),"",SUMIFS(Entries!$E$2:$E$5000,Entries!$C$2:$C$5000,"Actual",Entries!$A$2:$A$5000,"&gt;="&amp;$A189,Entries!$A$2:$A$5000,"&lt;"&amp;EDATE($A189,1),Entries!$B$2:$B$5000,X$1))</f>
        <v/>
      </c>
      <c r="Y189" s="23">
        <f>IF(OR(Y$1="",$BM189=0),"",SUMIFS(Entries!$E$2:$E$5000,Entries!$C$2:$C$5000,"Actual",Entries!$A$2:$A$5000,"&gt;="&amp;$A189,Entries!$A$2:$A$5000,"&lt;"&amp;EDATE($A189,1),Entries!$B$2:$B$5000,Y$1))</f>
        <v/>
      </c>
      <c r="Z189" s="23">
        <f>IF(OR(Z$1="",$BM189=0),"",SUMIFS(Entries!$E$2:$E$5000,Entries!$C$2:$C$5000,"Actual",Entries!$A$2:$A$5000,"&gt;="&amp;$A189,Entries!$A$2:$A$5000,"&lt;"&amp;EDATE($A189,1),Entries!$B$2:$B$5000,Z$1))</f>
        <v/>
      </c>
      <c r="AA189" s="23">
        <f>IF(OR(AA$1="",$BM189=0),"",SUMIFS(Entries!$E$2:$E$5000,Entries!$C$2:$C$5000,"Actual",Entries!$A$2:$A$5000,"&gt;="&amp;$A189,Entries!$A$2:$A$5000,"&lt;"&amp;EDATE($A189,1),Entries!$B$2:$B$5000,AA$1))</f>
        <v/>
      </c>
      <c r="AB189" s="23">
        <f>IF(OR(AB$1="",$BM189=0),"",SUMIFS(Entries!$E$2:$E$5000,Entries!$C$2:$C$5000,"Actual",Entries!$A$2:$A$5000,"&gt;="&amp;$A189,Entries!$A$2:$A$5000,"&lt;"&amp;EDATE($A189,1),Entries!$B$2:$B$5000,AB$1))</f>
        <v/>
      </c>
      <c r="AC189" s="23">
        <f>IF(OR(AC$1="",$BM189=0),"",SUMIFS(Entries!$E$2:$E$5000,Entries!$C$2:$C$5000,"Actual",Entries!$A$2:$A$5000,"&gt;="&amp;$A189,Entries!$A$2:$A$5000,"&lt;"&amp;EDATE($A189,1),Entries!$B$2:$B$5000,AC$1))</f>
        <v/>
      </c>
      <c r="AD189" s="23">
        <f>IF(OR(AD$1="",$BM189=0),"",SUMIFS(Entries!$E$2:$E$5000,Entries!$C$2:$C$5000,"Actual",Entries!$A$2:$A$5000,"&gt;="&amp;$A189,Entries!$A$2:$A$5000,"&lt;"&amp;EDATE($A189,1),Entries!$B$2:$B$5000,AD$1))</f>
        <v/>
      </c>
      <c r="AE189" s="23">
        <f>IF(OR(AE$1="",$BM189=0),"",SUMIFS(Entries!$E$2:$E$5000,Entries!$C$2:$C$5000,"Actual",Entries!$A$2:$A$5000,"&gt;="&amp;$A189,Entries!$A$2:$A$5000,"&lt;"&amp;EDATE($A189,1),Entries!$B$2:$B$5000,AE$1))</f>
        <v/>
      </c>
      <c r="AF189" s="23">
        <f>IF(OR(AF$1="",$BM189=0),"",SUMIFS(Entries!$E$2:$E$5000,Entries!$C$2:$C$5000,"Actual",Entries!$A$2:$A$5000,"&gt;="&amp;$A189,Entries!$A$2:$A$5000,"&lt;"&amp;EDATE($A189,1),Entries!$B$2:$B$5000,AF$1))</f>
        <v/>
      </c>
      <c r="AG189" s="23">
        <f>IF(OR(AG$1="",$BM189=0),"",SUMIFS(Entries!$E$2:$E$5000,Entries!$C$2:$C$5000,"Actual",Entries!$A$2:$A$5000,"&gt;="&amp;$A189,Entries!$A$2:$A$5000,"&lt;"&amp;EDATE($A189,1),Entries!$B$2:$B$5000,AG$1))</f>
        <v/>
      </c>
      <c r="AH189" s="23">
        <f>IF(OR(AH$1="",$BM189=0),"",SUMIFS(Entries!$E$2:$E$5000,Entries!$C$2:$C$5000,"Actual",Entries!$A$2:$A$5000,"&gt;="&amp;$A189,Entries!$A$2:$A$5000,"&lt;"&amp;EDATE($A189,1),Entries!$B$2:$B$5000,AH$1))</f>
        <v/>
      </c>
      <c r="AI189" s="23">
        <f>IF(OR(AI$1="",$BM189=0),"",SUMIFS(Entries!$E$2:$E$5000,Entries!$C$2:$C$5000,"Actual",Entries!$A$2:$A$5000,"&gt;="&amp;$A189,Entries!$A$2:$A$5000,"&lt;"&amp;EDATE($A189,1),Entries!$B$2:$B$5000,AI$1))</f>
        <v/>
      </c>
      <c r="AJ189" s="23">
        <f>IF(OR(AJ$1="",$BM189=0),"",SUMIFS(Entries!$E$2:$E$5000,Entries!$C$2:$C$5000,"Actual",Entries!$A$2:$A$5000,"&gt;="&amp;$A189,Entries!$A$2:$A$5000,"&lt;"&amp;EDATE($A189,1),Entries!$B$2:$B$5000,AJ$1))</f>
        <v/>
      </c>
      <c r="AK189" s="23">
        <f>IF(OR(AK$1="",$BM189=0),"",SUMIFS(Entries!$E$2:$E$5000,Entries!$C$2:$C$5000,"Actual",Entries!$A$2:$A$5000,"&gt;="&amp;$A189,Entries!$A$2:$A$5000,"&lt;"&amp;EDATE($A189,1),Entries!$B$2:$B$5000,AK$1))</f>
        <v/>
      </c>
      <c r="AL189" s="23">
        <f>IF(OR(AL$1="",$BM189=0),"",SUMIFS(Entries!$E$2:$E$5000,Entries!$C$2:$C$5000,"Actual",Entries!$A$2:$A$5000,"&gt;="&amp;$A189,Entries!$A$2:$A$5000,"&lt;"&amp;EDATE($A189,1),Entries!$B$2:$B$5000,AL$1))</f>
        <v/>
      </c>
      <c r="AM189" s="23">
        <f>IF(OR(AM$1="",$BM189=0),"",SUMIFS(Entries!$E$2:$E$5000,Entries!$C$2:$C$5000,"Actual",Entries!$A$2:$A$5000,"&gt;="&amp;$A189,Entries!$A$2:$A$5000,"&lt;"&amp;EDATE($A189,1),Entries!$B$2:$B$5000,AM$1))</f>
        <v/>
      </c>
      <c r="AN189" s="23">
        <f>IF(OR(AN$1="",$BM189=0),"",SUMIFS(Entries!$E$2:$E$5000,Entries!$C$2:$C$5000,"Actual",Entries!$A$2:$A$5000,"&gt;="&amp;$A189,Entries!$A$2:$A$5000,"&lt;"&amp;EDATE($A189,1),Entries!$B$2:$B$5000,AN$1))</f>
        <v/>
      </c>
      <c r="AO189" s="23">
        <f>IF(OR(AO$1="",$BM189=0),"",SUMIFS(Entries!$E$2:$E$5000,Entries!$C$2:$C$5000,"Actual",Entries!$A$2:$A$5000,"&gt;="&amp;$A189,Entries!$A$2:$A$5000,"&lt;"&amp;EDATE($A189,1),Entries!$B$2:$B$5000,AO$1))</f>
        <v/>
      </c>
      <c r="AP189" s="23">
        <f>IF(OR(AP$1="",$BM189=0),"",SUMIFS(Entries!$E$2:$E$5000,Entries!$C$2:$C$5000,"Actual",Entries!$A$2:$A$5000,"&gt;="&amp;$A189,Entries!$A$2:$A$5000,"&lt;"&amp;EDATE($A189,1),Entries!$B$2:$B$5000,AP$1))</f>
        <v/>
      </c>
      <c r="AR189" s="23">
        <f>IF(OR(AR$1="",$BM189=0),"",IFERROR(LOOKUP(2,1/((Budgets!$A$2:$A$200=AR$1)*(Budgets!$B$2:$B$200&lt;EDATE($A189,1))),Budgets!$C$2:$C$200),0))</f>
        <v/>
      </c>
      <c r="AS189" s="23">
        <f>IF(OR(AS$1="",$BM189=0),"",IFERROR(LOOKUP(2,1/((Budgets!$A$2:$A$200=AS$1)*(Budgets!$B$2:$B$200&lt;EDATE($A189,1))),Budgets!$C$2:$C$200),0))</f>
        <v/>
      </c>
      <c r="AT189" s="23">
        <f>IF(OR(AT$1="",$BM189=0),"",IFERROR(LOOKUP(2,1/((Budgets!$A$2:$A$200=AT$1)*(Budgets!$B$2:$B$200&lt;EDATE($A189,1))),Budgets!$C$2:$C$200),0))</f>
        <v/>
      </c>
      <c r="AU189" s="23">
        <f>IF(OR(AU$1="",$BM189=0),"",IFERROR(LOOKUP(2,1/((Budgets!$A$2:$A$200=AU$1)*(Budgets!$B$2:$B$200&lt;EDATE($A189,1))),Budgets!$C$2:$C$200),0))</f>
        <v/>
      </c>
      <c r="AV189" s="23">
        <f>IF(OR(AV$1="",$BM189=0),"",IFERROR(LOOKUP(2,1/((Budgets!$A$2:$A$200=AV$1)*(Budgets!$B$2:$B$200&lt;EDATE($A189,1))),Budgets!$C$2:$C$200),0))</f>
        <v/>
      </c>
      <c r="AW189" s="23">
        <f>IF(OR(AW$1="",$BM189=0),"",IFERROR(LOOKUP(2,1/((Budgets!$A$2:$A$200=AW$1)*(Budgets!$B$2:$B$200&lt;EDATE($A189,1))),Budgets!$C$2:$C$200),0))</f>
        <v/>
      </c>
      <c r="AX189" s="23">
        <f>IF(OR(AX$1="",$BM189=0),"",IFERROR(LOOKUP(2,1/((Budgets!$A$2:$A$200=AX$1)*(Budgets!$B$2:$B$200&lt;EDATE($A189,1))),Budgets!$C$2:$C$200),0))</f>
        <v/>
      </c>
      <c r="AY189" s="23">
        <f>IF(OR(AY$1="",$BM189=0),"",IFERROR(LOOKUP(2,1/((Budgets!$A$2:$A$200=AY$1)*(Budgets!$B$2:$B$200&lt;EDATE($A189,1))),Budgets!$C$2:$C$200),0))</f>
        <v/>
      </c>
      <c r="AZ189" s="23">
        <f>IF(OR(AZ$1="",$BM189=0),"",IFERROR(LOOKUP(2,1/((Budgets!$A$2:$A$200=AZ$1)*(Budgets!$B$2:$B$200&lt;EDATE($A189,1))),Budgets!$C$2:$C$200),0))</f>
        <v/>
      </c>
      <c r="BA189" s="23">
        <f>IF(OR(BA$1="",$BM189=0),"",IFERROR(LOOKUP(2,1/((Budgets!$A$2:$A$200=BA$1)*(Budgets!$B$2:$B$200&lt;EDATE($A189,1))),Budgets!$C$2:$C$200),0))</f>
        <v/>
      </c>
      <c r="BB189" s="23">
        <f>IF(OR(BB$1="",$BM189=0),"",IFERROR(LOOKUP(2,1/((Budgets!$A$2:$A$200=BB$1)*(Budgets!$B$2:$B$200&lt;EDATE($A189,1))),Budgets!$C$2:$C$200),0))</f>
        <v/>
      </c>
      <c r="BC189" s="23">
        <f>IF(OR(BC$1="",$BM189=0),"",IFERROR(LOOKUP(2,1/((Budgets!$A$2:$A$200=BC$1)*(Budgets!$B$2:$B$200&lt;EDATE($A189,1))),Budgets!$C$2:$C$200),0))</f>
        <v/>
      </c>
      <c r="BD189" s="23">
        <f>IF(OR(BD$1="",$BM189=0),"",IFERROR(LOOKUP(2,1/((Budgets!$A$2:$A$200=BD$1)*(Budgets!$B$2:$B$200&lt;EDATE($A189,1))),Budgets!$C$2:$C$200),0))</f>
        <v/>
      </c>
      <c r="BE189" s="23">
        <f>IF(OR(BE$1="",$BM189=0),"",IFERROR(LOOKUP(2,1/((Budgets!$A$2:$A$200=BE$1)*(Budgets!$B$2:$B$200&lt;EDATE($A189,1))),Budgets!$C$2:$C$200),0))</f>
        <v/>
      </c>
      <c r="BF189" s="23">
        <f>IF(OR(BF$1="",$BM189=0),"",IFERROR(LOOKUP(2,1/((Budgets!$A$2:$A$200=BF$1)*(Budgets!$B$2:$B$200&lt;EDATE($A189,1))),Budgets!$C$2:$C$200),0))</f>
        <v/>
      </c>
      <c r="BG189" s="23">
        <f>IF(OR(BG$1="",$BM189=0),"",IFERROR(LOOKUP(2,1/((Budgets!$A$2:$A$200=BG$1)*(Budgets!$B$2:$B$200&lt;EDATE($A189,1))),Budgets!$C$2:$C$200),0))</f>
        <v/>
      </c>
      <c r="BH189" s="23">
        <f>IF(OR(BH$1="",$BM189=0),"",IFERROR(LOOKUP(2,1/((Budgets!$A$2:$A$200=BH$1)*(Budgets!$B$2:$B$200&lt;EDATE($A189,1))),Budgets!$C$2:$C$200),0))</f>
        <v/>
      </c>
      <c r="BI189" s="23">
        <f>IF(OR(BI$1="",$BM189=0),"",IFERROR(LOOKUP(2,1/((Budgets!$A$2:$A$200=BI$1)*(Budgets!$B$2:$B$200&lt;EDATE($A189,1))),Budgets!$C$2:$C$200),0))</f>
        <v/>
      </c>
      <c r="BJ189" s="23">
        <f>IF(OR(BJ$1="",$BM189=0),"",IFERROR(LOOKUP(2,1/((Budgets!$A$2:$A$200=BJ$1)*(Budgets!$B$2:$B$200&lt;EDATE($A189,1))),Budgets!$C$2:$C$200),0))</f>
        <v/>
      </c>
      <c r="BK189" s="23">
        <f>IF(OR(BK$1="",$BM189=0),"",IFERROR(LOOKUP(2,1/((Budgets!$A$2:$A$200=BK$1)*(Budgets!$B$2:$B$200&lt;EDATE($A189,1))),Budgets!$C$2:$C$200),0))</f>
        <v/>
      </c>
      <c r="BM189" s="21">
        <f>COUNTIFS(Entries!$A$2:$A$5000,"&gt;="&amp;$A189,Entries!$A$2:$A$5000,"&lt;"&amp;EDATE($A189,1))</f>
        <v/>
      </c>
    </row>
    <row r="190">
      <c r="A190" s="22" t="n">
        <v>45170</v>
      </c>
      <c r="B190" s="23">
        <f>IF($BM190=0,NA(),SUMIFS(Entries!$E$2:$E$5000,Entries!$C$2:$C$5000,"Income",Entries!$A$2:$A$5000,"&gt;="&amp;$A190,Entries!$A$2:$A$5000,"&lt;"&amp;EDATE($A190,1)))</f>
        <v/>
      </c>
      <c r="C190" s="23">
        <f>IF($BM190=0,"",SUMIFS(Entries!$E$2:$E$5000,Entries!$C$2:$C$5000,"Actual",Entries!$A$2:$A$5000,"&gt;="&amp;$A190,Entries!$A$2:$A$5000,"&lt;"&amp;EDATE($A190,1)))</f>
        <v/>
      </c>
      <c r="D190" s="23">
        <f>IF($BM190=0,"",SUMIFS(Entries!$E$2:$E$5000,Entries!$C$2:$C$5000,"One-off",Entries!$A$2:$A$5000,"&gt;="&amp;$A190,Entries!$A$2:$A$5000,"&lt;"&amp;EDATE($A190,1)))</f>
        <v/>
      </c>
      <c r="E190" s="23">
        <f>IF($BM190=0,NA(),C190+D190)</f>
        <v/>
      </c>
      <c r="F190" s="23">
        <f>IF($BM190=0,"",SUM(AR190:BK190))</f>
        <v/>
      </c>
      <c r="G190" s="23">
        <f>IF($BM190=0,"",B190-E190)</f>
        <v/>
      </c>
      <c r="H190" s="23">
        <f>IF($BM190=0,"",SUM($G$2:G190))</f>
        <v/>
      </c>
      <c r="I190" s="23">
        <f>IF($BM190=0,"",SUMIFS(Entries!$G$2:$G$5000,Entries!$A$2:$A$5000,"&gt;="&amp;$A190,Entries!$A$2:$A$5000,"&lt;"&amp;EDATE($A190,1)))</f>
        <v/>
      </c>
      <c r="J190" s="23">
        <f>IF($BM190=0,NA(),H190)</f>
        <v/>
      </c>
      <c r="K190" s="23">
        <f>IF($BM190=0,"",SUMIFS(Entries!$E$2:$E$5000,Entries!$C$2:$C$5000,"Income",Entries!$A$2:$A$5000,"&gt;="&amp;EDATE($A190,-11),Entries!$A$2:$A$5000,"&lt;"&amp;EDATE($A190,1))/COUNTIFS($A$2:$A$400,"&gt;="&amp;EDATE($A190,-11),$A$2:$A$400,"&lt;"&amp;EDATE($A190,1),$BM$2:$BM$400,"&gt;0"))</f>
      </c>
      <c r="L190" s="23">
        <f>IF($BM190=0,"",(SUMIFS(Entries!$E$2:$E$5000,Entries!$C$2:$C$5000,"Actual",Entries!$A$2:$A$5000,"&gt;="&amp;EDATE($A190,-11),Entries!$A$2:$A$5000,"&lt;"&amp;EDATE($A190,1))+SUMIFS(Entries!$E$2:$E$5000,Entries!$C$2:$C$5000,"One-off",Entries!$A$2:$A$5000,"&gt;="&amp;EDATE($A190,-11),Entries!$A$2:$A$5000,"&lt;"&amp;EDATE($A190,1)))/COUNTIFS($A$2:$A$400,"&gt;="&amp;EDATE($A190,-11),$A$2:$A$400,"&lt;"&amp;EDATE($A190,1),$BM$2:$BM$400,"&gt;0"))</f>
      </c>
      <c r="M190" s="24">
        <f>IF($BM190=0,NA(),IFERROR((K190-L190)/K190,0))</f>
        <v/>
      </c>
      <c r="N190" s="23">
        <f>IF($BM190=0,NA(),SUMIFS(Entries!$E$2:$E$5000,Entries!$D$2:$D$5000,"Core",Entries!$A$2:$A$5000,"&gt;="&amp;$A190,Entries!$A$2:$A$5000,"&lt;"&amp;EDATE($A190,1)))</f>
        <v/>
      </c>
      <c r="O190" s="23">
        <f>IF($BM190=0,NA(),SUMIFS(Entries!$E$2:$E$5000,Entries!$D$2:$D$5000,"Over &amp; above",Entries!$A$2:$A$5000,"&gt;="&amp;$A190,Entries!$A$2:$A$5000,"&lt;"&amp;EDATE($A190,1)))</f>
        <v/>
      </c>
      <c r="P190" s="23">
        <f>IF($BM190=0,NA(),SUMIFS(Entries!$E$2:$E$5000,Entries!$D$2:$D$5000,"One-off",Entries!$A$2:$A$5000,"&gt;="&amp;$A190,Entries!$A$2:$A$5000,"&lt;"&amp;EDATE($A190,1)))</f>
        <v/>
      </c>
      <c r="Q190" s="23">
        <f>IF($BM190=0,NA(),SUMIFS(Entries!$E$2:$E$5000,Entries!$D$2:$D$5000,"Reimbursable",Entries!$A$2:$A$5000,"&gt;="&amp;$A190,Entries!$A$2:$A$5000,"&lt;"&amp;EDATE($A190,1)))</f>
        <v/>
      </c>
      <c r="R190" s="23">
        <f>IF($BM190=0,NA(),SUMIFS(Entries!$E$2:$E$5000,Entries!$D$2:$D$5000,"Investment",Entries!$A$2:$A$5000,"&gt;="&amp;$A190,Entries!$A$2:$A$5000,"&lt;"&amp;EDATE($A190,1)))</f>
        <v/>
      </c>
      <c r="S190" s="23">
        <f>IF($BM190=0,NA(),N190+O190)</f>
        <v/>
      </c>
      <c r="T190" s="23">
        <f>IF($BM190=0,"",E190-Q190)</f>
        <v/>
      </c>
      <c r="W190" s="23">
        <f>IF(OR(W$1="",$BM190=0),"",SUMIFS(Entries!$E$2:$E$5000,Entries!$C$2:$C$5000,"Actual",Entries!$A$2:$A$5000,"&gt;="&amp;$A190,Entries!$A$2:$A$5000,"&lt;"&amp;EDATE($A190,1),Entries!$B$2:$B$5000,W$1))</f>
        <v/>
      </c>
      <c r="X190" s="23">
        <f>IF(OR(X$1="",$BM190=0),"",SUMIFS(Entries!$E$2:$E$5000,Entries!$C$2:$C$5000,"Actual",Entries!$A$2:$A$5000,"&gt;="&amp;$A190,Entries!$A$2:$A$5000,"&lt;"&amp;EDATE($A190,1),Entries!$B$2:$B$5000,X$1))</f>
        <v/>
      </c>
      <c r="Y190" s="23">
        <f>IF(OR(Y$1="",$BM190=0),"",SUMIFS(Entries!$E$2:$E$5000,Entries!$C$2:$C$5000,"Actual",Entries!$A$2:$A$5000,"&gt;="&amp;$A190,Entries!$A$2:$A$5000,"&lt;"&amp;EDATE($A190,1),Entries!$B$2:$B$5000,Y$1))</f>
        <v/>
      </c>
      <c r="Z190" s="23">
        <f>IF(OR(Z$1="",$BM190=0),"",SUMIFS(Entries!$E$2:$E$5000,Entries!$C$2:$C$5000,"Actual",Entries!$A$2:$A$5000,"&gt;="&amp;$A190,Entries!$A$2:$A$5000,"&lt;"&amp;EDATE($A190,1),Entries!$B$2:$B$5000,Z$1))</f>
        <v/>
      </c>
      <c r="AA190" s="23">
        <f>IF(OR(AA$1="",$BM190=0),"",SUMIFS(Entries!$E$2:$E$5000,Entries!$C$2:$C$5000,"Actual",Entries!$A$2:$A$5000,"&gt;="&amp;$A190,Entries!$A$2:$A$5000,"&lt;"&amp;EDATE($A190,1),Entries!$B$2:$B$5000,AA$1))</f>
        <v/>
      </c>
      <c r="AB190" s="23">
        <f>IF(OR(AB$1="",$BM190=0),"",SUMIFS(Entries!$E$2:$E$5000,Entries!$C$2:$C$5000,"Actual",Entries!$A$2:$A$5000,"&gt;="&amp;$A190,Entries!$A$2:$A$5000,"&lt;"&amp;EDATE($A190,1),Entries!$B$2:$B$5000,AB$1))</f>
        <v/>
      </c>
      <c r="AC190" s="23">
        <f>IF(OR(AC$1="",$BM190=0),"",SUMIFS(Entries!$E$2:$E$5000,Entries!$C$2:$C$5000,"Actual",Entries!$A$2:$A$5000,"&gt;="&amp;$A190,Entries!$A$2:$A$5000,"&lt;"&amp;EDATE($A190,1),Entries!$B$2:$B$5000,AC$1))</f>
        <v/>
      </c>
      <c r="AD190" s="23">
        <f>IF(OR(AD$1="",$BM190=0),"",SUMIFS(Entries!$E$2:$E$5000,Entries!$C$2:$C$5000,"Actual",Entries!$A$2:$A$5000,"&gt;="&amp;$A190,Entries!$A$2:$A$5000,"&lt;"&amp;EDATE($A190,1),Entries!$B$2:$B$5000,AD$1))</f>
        <v/>
      </c>
      <c r="AE190" s="23">
        <f>IF(OR(AE$1="",$BM190=0),"",SUMIFS(Entries!$E$2:$E$5000,Entries!$C$2:$C$5000,"Actual",Entries!$A$2:$A$5000,"&gt;="&amp;$A190,Entries!$A$2:$A$5000,"&lt;"&amp;EDATE($A190,1),Entries!$B$2:$B$5000,AE$1))</f>
        <v/>
      </c>
      <c r="AF190" s="23">
        <f>IF(OR(AF$1="",$BM190=0),"",SUMIFS(Entries!$E$2:$E$5000,Entries!$C$2:$C$5000,"Actual",Entries!$A$2:$A$5000,"&gt;="&amp;$A190,Entries!$A$2:$A$5000,"&lt;"&amp;EDATE($A190,1),Entries!$B$2:$B$5000,AF$1))</f>
        <v/>
      </c>
      <c r="AG190" s="23">
        <f>IF(OR(AG$1="",$BM190=0),"",SUMIFS(Entries!$E$2:$E$5000,Entries!$C$2:$C$5000,"Actual",Entries!$A$2:$A$5000,"&gt;="&amp;$A190,Entries!$A$2:$A$5000,"&lt;"&amp;EDATE($A190,1),Entries!$B$2:$B$5000,AG$1))</f>
        <v/>
      </c>
      <c r="AH190" s="23">
        <f>IF(OR(AH$1="",$BM190=0),"",SUMIFS(Entries!$E$2:$E$5000,Entries!$C$2:$C$5000,"Actual",Entries!$A$2:$A$5000,"&gt;="&amp;$A190,Entries!$A$2:$A$5000,"&lt;"&amp;EDATE($A190,1),Entries!$B$2:$B$5000,AH$1))</f>
        <v/>
      </c>
      <c r="AI190" s="23">
        <f>IF(OR(AI$1="",$BM190=0),"",SUMIFS(Entries!$E$2:$E$5000,Entries!$C$2:$C$5000,"Actual",Entries!$A$2:$A$5000,"&gt;="&amp;$A190,Entries!$A$2:$A$5000,"&lt;"&amp;EDATE($A190,1),Entries!$B$2:$B$5000,AI$1))</f>
        <v/>
      </c>
      <c r="AJ190" s="23">
        <f>IF(OR(AJ$1="",$BM190=0),"",SUMIFS(Entries!$E$2:$E$5000,Entries!$C$2:$C$5000,"Actual",Entries!$A$2:$A$5000,"&gt;="&amp;$A190,Entries!$A$2:$A$5000,"&lt;"&amp;EDATE($A190,1),Entries!$B$2:$B$5000,AJ$1))</f>
        <v/>
      </c>
      <c r="AK190" s="23">
        <f>IF(OR(AK$1="",$BM190=0),"",SUMIFS(Entries!$E$2:$E$5000,Entries!$C$2:$C$5000,"Actual",Entries!$A$2:$A$5000,"&gt;="&amp;$A190,Entries!$A$2:$A$5000,"&lt;"&amp;EDATE($A190,1),Entries!$B$2:$B$5000,AK$1))</f>
        <v/>
      </c>
      <c r="AL190" s="23">
        <f>IF(OR(AL$1="",$BM190=0),"",SUMIFS(Entries!$E$2:$E$5000,Entries!$C$2:$C$5000,"Actual",Entries!$A$2:$A$5000,"&gt;="&amp;$A190,Entries!$A$2:$A$5000,"&lt;"&amp;EDATE($A190,1),Entries!$B$2:$B$5000,AL$1))</f>
        <v/>
      </c>
      <c r="AM190" s="23">
        <f>IF(OR(AM$1="",$BM190=0),"",SUMIFS(Entries!$E$2:$E$5000,Entries!$C$2:$C$5000,"Actual",Entries!$A$2:$A$5000,"&gt;="&amp;$A190,Entries!$A$2:$A$5000,"&lt;"&amp;EDATE($A190,1),Entries!$B$2:$B$5000,AM$1))</f>
        <v/>
      </c>
      <c r="AN190" s="23">
        <f>IF(OR(AN$1="",$BM190=0),"",SUMIFS(Entries!$E$2:$E$5000,Entries!$C$2:$C$5000,"Actual",Entries!$A$2:$A$5000,"&gt;="&amp;$A190,Entries!$A$2:$A$5000,"&lt;"&amp;EDATE($A190,1),Entries!$B$2:$B$5000,AN$1))</f>
        <v/>
      </c>
      <c r="AO190" s="23">
        <f>IF(OR(AO$1="",$BM190=0),"",SUMIFS(Entries!$E$2:$E$5000,Entries!$C$2:$C$5000,"Actual",Entries!$A$2:$A$5000,"&gt;="&amp;$A190,Entries!$A$2:$A$5000,"&lt;"&amp;EDATE($A190,1),Entries!$B$2:$B$5000,AO$1))</f>
        <v/>
      </c>
      <c r="AP190" s="23">
        <f>IF(OR(AP$1="",$BM190=0),"",SUMIFS(Entries!$E$2:$E$5000,Entries!$C$2:$C$5000,"Actual",Entries!$A$2:$A$5000,"&gt;="&amp;$A190,Entries!$A$2:$A$5000,"&lt;"&amp;EDATE($A190,1),Entries!$B$2:$B$5000,AP$1))</f>
        <v/>
      </c>
      <c r="AR190" s="23">
        <f>IF(OR(AR$1="",$BM190=0),"",IFERROR(LOOKUP(2,1/((Budgets!$A$2:$A$200=AR$1)*(Budgets!$B$2:$B$200&lt;EDATE($A190,1))),Budgets!$C$2:$C$200),0))</f>
        <v/>
      </c>
      <c r="AS190" s="23">
        <f>IF(OR(AS$1="",$BM190=0),"",IFERROR(LOOKUP(2,1/((Budgets!$A$2:$A$200=AS$1)*(Budgets!$B$2:$B$200&lt;EDATE($A190,1))),Budgets!$C$2:$C$200),0))</f>
        <v/>
      </c>
      <c r="AT190" s="23">
        <f>IF(OR(AT$1="",$BM190=0),"",IFERROR(LOOKUP(2,1/((Budgets!$A$2:$A$200=AT$1)*(Budgets!$B$2:$B$200&lt;EDATE($A190,1))),Budgets!$C$2:$C$200),0))</f>
        <v/>
      </c>
      <c r="AU190" s="23">
        <f>IF(OR(AU$1="",$BM190=0),"",IFERROR(LOOKUP(2,1/((Budgets!$A$2:$A$200=AU$1)*(Budgets!$B$2:$B$200&lt;EDATE($A190,1))),Budgets!$C$2:$C$200),0))</f>
        <v/>
      </c>
      <c r="AV190" s="23">
        <f>IF(OR(AV$1="",$BM190=0),"",IFERROR(LOOKUP(2,1/((Budgets!$A$2:$A$200=AV$1)*(Budgets!$B$2:$B$200&lt;EDATE($A190,1))),Budgets!$C$2:$C$200),0))</f>
        <v/>
      </c>
      <c r="AW190" s="23">
        <f>IF(OR(AW$1="",$BM190=0),"",IFERROR(LOOKUP(2,1/((Budgets!$A$2:$A$200=AW$1)*(Budgets!$B$2:$B$200&lt;EDATE($A190,1))),Budgets!$C$2:$C$200),0))</f>
        <v/>
      </c>
      <c r="AX190" s="23">
        <f>IF(OR(AX$1="",$BM190=0),"",IFERROR(LOOKUP(2,1/((Budgets!$A$2:$A$200=AX$1)*(Budgets!$B$2:$B$200&lt;EDATE($A190,1))),Budgets!$C$2:$C$200),0))</f>
        <v/>
      </c>
      <c r="AY190" s="23">
        <f>IF(OR(AY$1="",$BM190=0),"",IFERROR(LOOKUP(2,1/((Budgets!$A$2:$A$200=AY$1)*(Budgets!$B$2:$B$200&lt;EDATE($A190,1))),Budgets!$C$2:$C$200),0))</f>
        <v/>
      </c>
      <c r="AZ190" s="23">
        <f>IF(OR(AZ$1="",$BM190=0),"",IFERROR(LOOKUP(2,1/((Budgets!$A$2:$A$200=AZ$1)*(Budgets!$B$2:$B$200&lt;EDATE($A190,1))),Budgets!$C$2:$C$200),0))</f>
        <v/>
      </c>
      <c r="BA190" s="23">
        <f>IF(OR(BA$1="",$BM190=0),"",IFERROR(LOOKUP(2,1/((Budgets!$A$2:$A$200=BA$1)*(Budgets!$B$2:$B$200&lt;EDATE($A190,1))),Budgets!$C$2:$C$200),0))</f>
        <v/>
      </c>
      <c r="BB190" s="23">
        <f>IF(OR(BB$1="",$BM190=0),"",IFERROR(LOOKUP(2,1/((Budgets!$A$2:$A$200=BB$1)*(Budgets!$B$2:$B$200&lt;EDATE($A190,1))),Budgets!$C$2:$C$200),0))</f>
        <v/>
      </c>
      <c r="BC190" s="23">
        <f>IF(OR(BC$1="",$BM190=0),"",IFERROR(LOOKUP(2,1/((Budgets!$A$2:$A$200=BC$1)*(Budgets!$B$2:$B$200&lt;EDATE($A190,1))),Budgets!$C$2:$C$200),0))</f>
        <v/>
      </c>
      <c r="BD190" s="23">
        <f>IF(OR(BD$1="",$BM190=0),"",IFERROR(LOOKUP(2,1/((Budgets!$A$2:$A$200=BD$1)*(Budgets!$B$2:$B$200&lt;EDATE($A190,1))),Budgets!$C$2:$C$200),0))</f>
        <v/>
      </c>
      <c r="BE190" s="23">
        <f>IF(OR(BE$1="",$BM190=0),"",IFERROR(LOOKUP(2,1/((Budgets!$A$2:$A$200=BE$1)*(Budgets!$B$2:$B$200&lt;EDATE($A190,1))),Budgets!$C$2:$C$200),0))</f>
        <v/>
      </c>
      <c r="BF190" s="23">
        <f>IF(OR(BF$1="",$BM190=0),"",IFERROR(LOOKUP(2,1/((Budgets!$A$2:$A$200=BF$1)*(Budgets!$B$2:$B$200&lt;EDATE($A190,1))),Budgets!$C$2:$C$200),0))</f>
        <v/>
      </c>
      <c r="BG190" s="23">
        <f>IF(OR(BG$1="",$BM190=0),"",IFERROR(LOOKUP(2,1/((Budgets!$A$2:$A$200=BG$1)*(Budgets!$B$2:$B$200&lt;EDATE($A190,1))),Budgets!$C$2:$C$200),0))</f>
        <v/>
      </c>
      <c r="BH190" s="23">
        <f>IF(OR(BH$1="",$BM190=0),"",IFERROR(LOOKUP(2,1/((Budgets!$A$2:$A$200=BH$1)*(Budgets!$B$2:$B$200&lt;EDATE($A190,1))),Budgets!$C$2:$C$200),0))</f>
        <v/>
      </c>
      <c r="BI190" s="23">
        <f>IF(OR(BI$1="",$BM190=0),"",IFERROR(LOOKUP(2,1/((Budgets!$A$2:$A$200=BI$1)*(Budgets!$B$2:$B$200&lt;EDATE($A190,1))),Budgets!$C$2:$C$200),0))</f>
        <v/>
      </c>
      <c r="BJ190" s="23">
        <f>IF(OR(BJ$1="",$BM190=0),"",IFERROR(LOOKUP(2,1/((Budgets!$A$2:$A$200=BJ$1)*(Budgets!$B$2:$B$200&lt;EDATE($A190,1))),Budgets!$C$2:$C$200),0))</f>
        <v/>
      </c>
      <c r="BK190" s="23">
        <f>IF(OR(BK$1="",$BM190=0),"",IFERROR(LOOKUP(2,1/((Budgets!$A$2:$A$200=BK$1)*(Budgets!$B$2:$B$200&lt;EDATE($A190,1))),Budgets!$C$2:$C$200),0))</f>
        <v/>
      </c>
      <c r="BM190" s="21">
        <f>COUNTIFS(Entries!$A$2:$A$5000,"&gt;="&amp;$A190,Entries!$A$2:$A$5000,"&lt;"&amp;EDATE($A190,1))</f>
        <v/>
      </c>
    </row>
    <row r="191">
      <c r="A191" s="22" t="n">
        <v>45200</v>
      </c>
      <c r="B191" s="23">
        <f>IF($BM191=0,NA(),SUMIFS(Entries!$E$2:$E$5000,Entries!$C$2:$C$5000,"Income",Entries!$A$2:$A$5000,"&gt;="&amp;$A191,Entries!$A$2:$A$5000,"&lt;"&amp;EDATE($A191,1)))</f>
        <v/>
      </c>
      <c r="C191" s="23">
        <f>IF($BM191=0,"",SUMIFS(Entries!$E$2:$E$5000,Entries!$C$2:$C$5000,"Actual",Entries!$A$2:$A$5000,"&gt;="&amp;$A191,Entries!$A$2:$A$5000,"&lt;"&amp;EDATE($A191,1)))</f>
        <v/>
      </c>
      <c r="D191" s="23">
        <f>IF($BM191=0,"",SUMIFS(Entries!$E$2:$E$5000,Entries!$C$2:$C$5000,"One-off",Entries!$A$2:$A$5000,"&gt;="&amp;$A191,Entries!$A$2:$A$5000,"&lt;"&amp;EDATE($A191,1)))</f>
        <v/>
      </c>
      <c r="E191" s="23">
        <f>IF($BM191=0,NA(),C191+D191)</f>
        <v/>
      </c>
      <c r="F191" s="23">
        <f>IF($BM191=0,"",SUM(AR191:BK191))</f>
        <v/>
      </c>
      <c r="G191" s="23">
        <f>IF($BM191=0,"",B191-E191)</f>
        <v/>
      </c>
      <c r="H191" s="23">
        <f>IF($BM191=0,"",SUM($G$2:G191))</f>
        <v/>
      </c>
      <c r="I191" s="23">
        <f>IF($BM191=0,"",SUMIFS(Entries!$G$2:$G$5000,Entries!$A$2:$A$5000,"&gt;="&amp;$A191,Entries!$A$2:$A$5000,"&lt;"&amp;EDATE($A191,1)))</f>
        <v/>
      </c>
      <c r="J191" s="23">
        <f>IF($BM191=0,NA(),H191)</f>
        <v/>
      </c>
      <c r="K191" s="23">
        <f>IF($BM191=0,"",SUMIFS(Entries!$E$2:$E$5000,Entries!$C$2:$C$5000,"Income",Entries!$A$2:$A$5000,"&gt;="&amp;EDATE($A191,-11),Entries!$A$2:$A$5000,"&lt;"&amp;EDATE($A191,1))/COUNTIFS($A$2:$A$400,"&gt;="&amp;EDATE($A191,-11),$A$2:$A$400,"&lt;"&amp;EDATE($A191,1),$BM$2:$BM$400,"&gt;0"))</f>
      </c>
      <c r="L191" s="23">
        <f>IF($BM191=0,"",(SUMIFS(Entries!$E$2:$E$5000,Entries!$C$2:$C$5000,"Actual",Entries!$A$2:$A$5000,"&gt;="&amp;EDATE($A191,-11),Entries!$A$2:$A$5000,"&lt;"&amp;EDATE($A191,1))+SUMIFS(Entries!$E$2:$E$5000,Entries!$C$2:$C$5000,"One-off",Entries!$A$2:$A$5000,"&gt;="&amp;EDATE($A191,-11),Entries!$A$2:$A$5000,"&lt;"&amp;EDATE($A191,1)))/COUNTIFS($A$2:$A$400,"&gt;="&amp;EDATE($A191,-11),$A$2:$A$400,"&lt;"&amp;EDATE($A191,1),$BM$2:$BM$400,"&gt;0"))</f>
      </c>
      <c r="M191" s="24">
        <f>IF($BM191=0,NA(),IFERROR((K191-L191)/K191,0))</f>
        <v/>
      </c>
      <c r="N191" s="23">
        <f>IF($BM191=0,NA(),SUMIFS(Entries!$E$2:$E$5000,Entries!$D$2:$D$5000,"Core",Entries!$A$2:$A$5000,"&gt;="&amp;$A191,Entries!$A$2:$A$5000,"&lt;"&amp;EDATE($A191,1)))</f>
        <v/>
      </c>
      <c r="O191" s="23">
        <f>IF($BM191=0,NA(),SUMIFS(Entries!$E$2:$E$5000,Entries!$D$2:$D$5000,"Over &amp; above",Entries!$A$2:$A$5000,"&gt;="&amp;$A191,Entries!$A$2:$A$5000,"&lt;"&amp;EDATE($A191,1)))</f>
        <v/>
      </c>
      <c r="P191" s="23">
        <f>IF($BM191=0,NA(),SUMIFS(Entries!$E$2:$E$5000,Entries!$D$2:$D$5000,"One-off",Entries!$A$2:$A$5000,"&gt;="&amp;$A191,Entries!$A$2:$A$5000,"&lt;"&amp;EDATE($A191,1)))</f>
        <v/>
      </c>
      <c r="Q191" s="23">
        <f>IF($BM191=0,NA(),SUMIFS(Entries!$E$2:$E$5000,Entries!$D$2:$D$5000,"Reimbursable",Entries!$A$2:$A$5000,"&gt;="&amp;$A191,Entries!$A$2:$A$5000,"&lt;"&amp;EDATE($A191,1)))</f>
        <v/>
      </c>
      <c r="R191" s="23">
        <f>IF($BM191=0,NA(),SUMIFS(Entries!$E$2:$E$5000,Entries!$D$2:$D$5000,"Investment",Entries!$A$2:$A$5000,"&gt;="&amp;$A191,Entries!$A$2:$A$5000,"&lt;"&amp;EDATE($A191,1)))</f>
        <v/>
      </c>
      <c r="S191" s="23">
        <f>IF($BM191=0,NA(),N191+O191)</f>
        <v/>
      </c>
      <c r="T191" s="23">
        <f>IF($BM191=0,"",E191-Q191)</f>
        <v/>
      </c>
      <c r="W191" s="23">
        <f>IF(OR(W$1="",$BM191=0),"",SUMIFS(Entries!$E$2:$E$5000,Entries!$C$2:$C$5000,"Actual",Entries!$A$2:$A$5000,"&gt;="&amp;$A191,Entries!$A$2:$A$5000,"&lt;"&amp;EDATE($A191,1),Entries!$B$2:$B$5000,W$1))</f>
        <v/>
      </c>
      <c r="X191" s="23">
        <f>IF(OR(X$1="",$BM191=0),"",SUMIFS(Entries!$E$2:$E$5000,Entries!$C$2:$C$5000,"Actual",Entries!$A$2:$A$5000,"&gt;="&amp;$A191,Entries!$A$2:$A$5000,"&lt;"&amp;EDATE($A191,1),Entries!$B$2:$B$5000,X$1))</f>
        <v/>
      </c>
      <c r="Y191" s="23">
        <f>IF(OR(Y$1="",$BM191=0),"",SUMIFS(Entries!$E$2:$E$5000,Entries!$C$2:$C$5000,"Actual",Entries!$A$2:$A$5000,"&gt;="&amp;$A191,Entries!$A$2:$A$5000,"&lt;"&amp;EDATE($A191,1),Entries!$B$2:$B$5000,Y$1))</f>
        <v/>
      </c>
      <c r="Z191" s="23">
        <f>IF(OR(Z$1="",$BM191=0),"",SUMIFS(Entries!$E$2:$E$5000,Entries!$C$2:$C$5000,"Actual",Entries!$A$2:$A$5000,"&gt;="&amp;$A191,Entries!$A$2:$A$5000,"&lt;"&amp;EDATE($A191,1),Entries!$B$2:$B$5000,Z$1))</f>
        <v/>
      </c>
      <c r="AA191" s="23">
        <f>IF(OR(AA$1="",$BM191=0),"",SUMIFS(Entries!$E$2:$E$5000,Entries!$C$2:$C$5000,"Actual",Entries!$A$2:$A$5000,"&gt;="&amp;$A191,Entries!$A$2:$A$5000,"&lt;"&amp;EDATE($A191,1),Entries!$B$2:$B$5000,AA$1))</f>
        <v/>
      </c>
      <c r="AB191" s="23">
        <f>IF(OR(AB$1="",$BM191=0),"",SUMIFS(Entries!$E$2:$E$5000,Entries!$C$2:$C$5000,"Actual",Entries!$A$2:$A$5000,"&gt;="&amp;$A191,Entries!$A$2:$A$5000,"&lt;"&amp;EDATE($A191,1),Entries!$B$2:$B$5000,AB$1))</f>
        <v/>
      </c>
      <c r="AC191" s="23">
        <f>IF(OR(AC$1="",$BM191=0),"",SUMIFS(Entries!$E$2:$E$5000,Entries!$C$2:$C$5000,"Actual",Entries!$A$2:$A$5000,"&gt;="&amp;$A191,Entries!$A$2:$A$5000,"&lt;"&amp;EDATE($A191,1),Entries!$B$2:$B$5000,AC$1))</f>
        <v/>
      </c>
      <c r="AD191" s="23">
        <f>IF(OR(AD$1="",$BM191=0),"",SUMIFS(Entries!$E$2:$E$5000,Entries!$C$2:$C$5000,"Actual",Entries!$A$2:$A$5000,"&gt;="&amp;$A191,Entries!$A$2:$A$5000,"&lt;"&amp;EDATE($A191,1),Entries!$B$2:$B$5000,AD$1))</f>
        <v/>
      </c>
      <c r="AE191" s="23">
        <f>IF(OR(AE$1="",$BM191=0),"",SUMIFS(Entries!$E$2:$E$5000,Entries!$C$2:$C$5000,"Actual",Entries!$A$2:$A$5000,"&gt;="&amp;$A191,Entries!$A$2:$A$5000,"&lt;"&amp;EDATE($A191,1),Entries!$B$2:$B$5000,AE$1))</f>
        <v/>
      </c>
      <c r="AF191" s="23">
        <f>IF(OR(AF$1="",$BM191=0),"",SUMIFS(Entries!$E$2:$E$5000,Entries!$C$2:$C$5000,"Actual",Entries!$A$2:$A$5000,"&gt;="&amp;$A191,Entries!$A$2:$A$5000,"&lt;"&amp;EDATE($A191,1),Entries!$B$2:$B$5000,AF$1))</f>
        <v/>
      </c>
      <c r="AG191" s="23">
        <f>IF(OR(AG$1="",$BM191=0),"",SUMIFS(Entries!$E$2:$E$5000,Entries!$C$2:$C$5000,"Actual",Entries!$A$2:$A$5000,"&gt;="&amp;$A191,Entries!$A$2:$A$5000,"&lt;"&amp;EDATE($A191,1),Entries!$B$2:$B$5000,AG$1))</f>
        <v/>
      </c>
      <c r="AH191" s="23">
        <f>IF(OR(AH$1="",$BM191=0),"",SUMIFS(Entries!$E$2:$E$5000,Entries!$C$2:$C$5000,"Actual",Entries!$A$2:$A$5000,"&gt;="&amp;$A191,Entries!$A$2:$A$5000,"&lt;"&amp;EDATE($A191,1),Entries!$B$2:$B$5000,AH$1))</f>
        <v/>
      </c>
      <c r="AI191" s="23">
        <f>IF(OR(AI$1="",$BM191=0),"",SUMIFS(Entries!$E$2:$E$5000,Entries!$C$2:$C$5000,"Actual",Entries!$A$2:$A$5000,"&gt;="&amp;$A191,Entries!$A$2:$A$5000,"&lt;"&amp;EDATE($A191,1),Entries!$B$2:$B$5000,AI$1))</f>
        <v/>
      </c>
      <c r="AJ191" s="23">
        <f>IF(OR(AJ$1="",$BM191=0),"",SUMIFS(Entries!$E$2:$E$5000,Entries!$C$2:$C$5000,"Actual",Entries!$A$2:$A$5000,"&gt;="&amp;$A191,Entries!$A$2:$A$5000,"&lt;"&amp;EDATE($A191,1),Entries!$B$2:$B$5000,AJ$1))</f>
        <v/>
      </c>
      <c r="AK191" s="23">
        <f>IF(OR(AK$1="",$BM191=0),"",SUMIFS(Entries!$E$2:$E$5000,Entries!$C$2:$C$5000,"Actual",Entries!$A$2:$A$5000,"&gt;="&amp;$A191,Entries!$A$2:$A$5000,"&lt;"&amp;EDATE($A191,1),Entries!$B$2:$B$5000,AK$1))</f>
        <v/>
      </c>
      <c r="AL191" s="23">
        <f>IF(OR(AL$1="",$BM191=0),"",SUMIFS(Entries!$E$2:$E$5000,Entries!$C$2:$C$5000,"Actual",Entries!$A$2:$A$5000,"&gt;="&amp;$A191,Entries!$A$2:$A$5000,"&lt;"&amp;EDATE($A191,1),Entries!$B$2:$B$5000,AL$1))</f>
        <v/>
      </c>
      <c r="AM191" s="23">
        <f>IF(OR(AM$1="",$BM191=0),"",SUMIFS(Entries!$E$2:$E$5000,Entries!$C$2:$C$5000,"Actual",Entries!$A$2:$A$5000,"&gt;="&amp;$A191,Entries!$A$2:$A$5000,"&lt;"&amp;EDATE($A191,1),Entries!$B$2:$B$5000,AM$1))</f>
        <v/>
      </c>
      <c r="AN191" s="23">
        <f>IF(OR(AN$1="",$BM191=0),"",SUMIFS(Entries!$E$2:$E$5000,Entries!$C$2:$C$5000,"Actual",Entries!$A$2:$A$5000,"&gt;="&amp;$A191,Entries!$A$2:$A$5000,"&lt;"&amp;EDATE($A191,1),Entries!$B$2:$B$5000,AN$1))</f>
        <v/>
      </c>
      <c r="AO191" s="23">
        <f>IF(OR(AO$1="",$BM191=0),"",SUMIFS(Entries!$E$2:$E$5000,Entries!$C$2:$C$5000,"Actual",Entries!$A$2:$A$5000,"&gt;="&amp;$A191,Entries!$A$2:$A$5000,"&lt;"&amp;EDATE($A191,1),Entries!$B$2:$B$5000,AO$1))</f>
        <v/>
      </c>
      <c r="AP191" s="23">
        <f>IF(OR(AP$1="",$BM191=0),"",SUMIFS(Entries!$E$2:$E$5000,Entries!$C$2:$C$5000,"Actual",Entries!$A$2:$A$5000,"&gt;="&amp;$A191,Entries!$A$2:$A$5000,"&lt;"&amp;EDATE($A191,1),Entries!$B$2:$B$5000,AP$1))</f>
        <v/>
      </c>
      <c r="AR191" s="23">
        <f>IF(OR(AR$1="",$BM191=0),"",IFERROR(LOOKUP(2,1/((Budgets!$A$2:$A$200=AR$1)*(Budgets!$B$2:$B$200&lt;EDATE($A191,1))),Budgets!$C$2:$C$200),0))</f>
        <v/>
      </c>
      <c r="AS191" s="23">
        <f>IF(OR(AS$1="",$BM191=0),"",IFERROR(LOOKUP(2,1/((Budgets!$A$2:$A$200=AS$1)*(Budgets!$B$2:$B$200&lt;EDATE($A191,1))),Budgets!$C$2:$C$200),0))</f>
        <v/>
      </c>
      <c r="AT191" s="23">
        <f>IF(OR(AT$1="",$BM191=0),"",IFERROR(LOOKUP(2,1/((Budgets!$A$2:$A$200=AT$1)*(Budgets!$B$2:$B$200&lt;EDATE($A191,1))),Budgets!$C$2:$C$200),0))</f>
        <v/>
      </c>
      <c r="AU191" s="23">
        <f>IF(OR(AU$1="",$BM191=0),"",IFERROR(LOOKUP(2,1/((Budgets!$A$2:$A$200=AU$1)*(Budgets!$B$2:$B$200&lt;EDATE($A191,1))),Budgets!$C$2:$C$200),0))</f>
        <v/>
      </c>
      <c r="AV191" s="23">
        <f>IF(OR(AV$1="",$BM191=0),"",IFERROR(LOOKUP(2,1/((Budgets!$A$2:$A$200=AV$1)*(Budgets!$B$2:$B$200&lt;EDATE($A191,1))),Budgets!$C$2:$C$200),0))</f>
        <v/>
      </c>
      <c r="AW191" s="23">
        <f>IF(OR(AW$1="",$BM191=0),"",IFERROR(LOOKUP(2,1/((Budgets!$A$2:$A$200=AW$1)*(Budgets!$B$2:$B$200&lt;EDATE($A191,1))),Budgets!$C$2:$C$200),0))</f>
        <v/>
      </c>
      <c r="AX191" s="23">
        <f>IF(OR(AX$1="",$BM191=0),"",IFERROR(LOOKUP(2,1/((Budgets!$A$2:$A$200=AX$1)*(Budgets!$B$2:$B$200&lt;EDATE($A191,1))),Budgets!$C$2:$C$200),0))</f>
        <v/>
      </c>
      <c r="AY191" s="23">
        <f>IF(OR(AY$1="",$BM191=0),"",IFERROR(LOOKUP(2,1/((Budgets!$A$2:$A$200=AY$1)*(Budgets!$B$2:$B$200&lt;EDATE($A191,1))),Budgets!$C$2:$C$200),0))</f>
        <v/>
      </c>
      <c r="AZ191" s="23">
        <f>IF(OR(AZ$1="",$BM191=0),"",IFERROR(LOOKUP(2,1/((Budgets!$A$2:$A$200=AZ$1)*(Budgets!$B$2:$B$200&lt;EDATE($A191,1))),Budgets!$C$2:$C$200),0))</f>
        <v/>
      </c>
      <c r="BA191" s="23">
        <f>IF(OR(BA$1="",$BM191=0),"",IFERROR(LOOKUP(2,1/((Budgets!$A$2:$A$200=BA$1)*(Budgets!$B$2:$B$200&lt;EDATE($A191,1))),Budgets!$C$2:$C$200),0))</f>
        <v/>
      </c>
      <c r="BB191" s="23">
        <f>IF(OR(BB$1="",$BM191=0),"",IFERROR(LOOKUP(2,1/((Budgets!$A$2:$A$200=BB$1)*(Budgets!$B$2:$B$200&lt;EDATE($A191,1))),Budgets!$C$2:$C$200),0))</f>
        <v/>
      </c>
      <c r="BC191" s="23">
        <f>IF(OR(BC$1="",$BM191=0),"",IFERROR(LOOKUP(2,1/((Budgets!$A$2:$A$200=BC$1)*(Budgets!$B$2:$B$200&lt;EDATE($A191,1))),Budgets!$C$2:$C$200),0))</f>
        <v/>
      </c>
      <c r="BD191" s="23">
        <f>IF(OR(BD$1="",$BM191=0),"",IFERROR(LOOKUP(2,1/((Budgets!$A$2:$A$200=BD$1)*(Budgets!$B$2:$B$200&lt;EDATE($A191,1))),Budgets!$C$2:$C$200),0))</f>
        <v/>
      </c>
      <c r="BE191" s="23">
        <f>IF(OR(BE$1="",$BM191=0),"",IFERROR(LOOKUP(2,1/((Budgets!$A$2:$A$200=BE$1)*(Budgets!$B$2:$B$200&lt;EDATE($A191,1))),Budgets!$C$2:$C$200),0))</f>
        <v/>
      </c>
      <c r="BF191" s="23">
        <f>IF(OR(BF$1="",$BM191=0),"",IFERROR(LOOKUP(2,1/((Budgets!$A$2:$A$200=BF$1)*(Budgets!$B$2:$B$200&lt;EDATE($A191,1))),Budgets!$C$2:$C$200),0))</f>
        <v/>
      </c>
      <c r="BG191" s="23">
        <f>IF(OR(BG$1="",$BM191=0),"",IFERROR(LOOKUP(2,1/((Budgets!$A$2:$A$200=BG$1)*(Budgets!$B$2:$B$200&lt;EDATE($A191,1))),Budgets!$C$2:$C$200),0))</f>
        <v/>
      </c>
      <c r="BH191" s="23">
        <f>IF(OR(BH$1="",$BM191=0),"",IFERROR(LOOKUP(2,1/((Budgets!$A$2:$A$200=BH$1)*(Budgets!$B$2:$B$200&lt;EDATE($A191,1))),Budgets!$C$2:$C$200),0))</f>
        <v/>
      </c>
      <c r="BI191" s="23">
        <f>IF(OR(BI$1="",$BM191=0),"",IFERROR(LOOKUP(2,1/((Budgets!$A$2:$A$200=BI$1)*(Budgets!$B$2:$B$200&lt;EDATE($A191,1))),Budgets!$C$2:$C$200),0))</f>
        <v/>
      </c>
      <c r="BJ191" s="23">
        <f>IF(OR(BJ$1="",$BM191=0),"",IFERROR(LOOKUP(2,1/((Budgets!$A$2:$A$200=BJ$1)*(Budgets!$B$2:$B$200&lt;EDATE($A191,1))),Budgets!$C$2:$C$200),0))</f>
        <v/>
      </c>
      <c r="BK191" s="23">
        <f>IF(OR(BK$1="",$BM191=0),"",IFERROR(LOOKUP(2,1/((Budgets!$A$2:$A$200=BK$1)*(Budgets!$B$2:$B$200&lt;EDATE($A191,1))),Budgets!$C$2:$C$200),0))</f>
        <v/>
      </c>
      <c r="BM191" s="21">
        <f>COUNTIFS(Entries!$A$2:$A$5000,"&gt;="&amp;$A191,Entries!$A$2:$A$5000,"&lt;"&amp;EDATE($A191,1))</f>
        <v/>
      </c>
    </row>
    <row r="192">
      <c r="A192" s="22" t="n">
        <v>45231</v>
      </c>
      <c r="B192" s="23">
        <f>IF($BM192=0,NA(),SUMIFS(Entries!$E$2:$E$5000,Entries!$C$2:$C$5000,"Income",Entries!$A$2:$A$5000,"&gt;="&amp;$A192,Entries!$A$2:$A$5000,"&lt;"&amp;EDATE($A192,1)))</f>
        <v/>
      </c>
      <c r="C192" s="23">
        <f>IF($BM192=0,"",SUMIFS(Entries!$E$2:$E$5000,Entries!$C$2:$C$5000,"Actual",Entries!$A$2:$A$5000,"&gt;="&amp;$A192,Entries!$A$2:$A$5000,"&lt;"&amp;EDATE($A192,1)))</f>
        <v/>
      </c>
      <c r="D192" s="23">
        <f>IF($BM192=0,"",SUMIFS(Entries!$E$2:$E$5000,Entries!$C$2:$C$5000,"One-off",Entries!$A$2:$A$5000,"&gt;="&amp;$A192,Entries!$A$2:$A$5000,"&lt;"&amp;EDATE($A192,1)))</f>
        <v/>
      </c>
      <c r="E192" s="23">
        <f>IF($BM192=0,NA(),C192+D192)</f>
        <v/>
      </c>
      <c r="F192" s="23">
        <f>IF($BM192=0,"",SUM(AR192:BK192))</f>
        <v/>
      </c>
      <c r="G192" s="23">
        <f>IF($BM192=0,"",B192-E192)</f>
        <v/>
      </c>
      <c r="H192" s="23">
        <f>IF($BM192=0,"",SUM($G$2:G192))</f>
        <v/>
      </c>
      <c r="I192" s="23">
        <f>IF($BM192=0,"",SUMIFS(Entries!$G$2:$G$5000,Entries!$A$2:$A$5000,"&gt;="&amp;$A192,Entries!$A$2:$A$5000,"&lt;"&amp;EDATE($A192,1)))</f>
        <v/>
      </c>
      <c r="J192" s="23">
        <f>IF($BM192=0,NA(),H192)</f>
        <v/>
      </c>
      <c r="K192" s="23">
        <f>IF($BM192=0,"",SUMIFS(Entries!$E$2:$E$5000,Entries!$C$2:$C$5000,"Income",Entries!$A$2:$A$5000,"&gt;="&amp;EDATE($A192,-11),Entries!$A$2:$A$5000,"&lt;"&amp;EDATE($A192,1))/COUNTIFS($A$2:$A$400,"&gt;="&amp;EDATE($A192,-11),$A$2:$A$400,"&lt;"&amp;EDATE($A192,1),$BM$2:$BM$400,"&gt;0"))</f>
      </c>
      <c r="L192" s="23">
        <f>IF($BM192=0,"",(SUMIFS(Entries!$E$2:$E$5000,Entries!$C$2:$C$5000,"Actual",Entries!$A$2:$A$5000,"&gt;="&amp;EDATE($A192,-11),Entries!$A$2:$A$5000,"&lt;"&amp;EDATE($A192,1))+SUMIFS(Entries!$E$2:$E$5000,Entries!$C$2:$C$5000,"One-off",Entries!$A$2:$A$5000,"&gt;="&amp;EDATE($A192,-11),Entries!$A$2:$A$5000,"&lt;"&amp;EDATE($A192,1)))/COUNTIFS($A$2:$A$400,"&gt;="&amp;EDATE($A192,-11),$A$2:$A$400,"&lt;"&amp;EDATE($A192,1),$BM$2:$BM$400,"&gt;0"))</f>
      </c>
      <c r="M192" s="24">
        <f>IF($BM192=0,NA(),IFERROR((K192-L192)/K192,0))</f>
        <v/>
      </c>
      <c r="N192" s="23">
        <f>IF($BM192=0,NA(),SUMIFS(Entries!$E$2:$E$5000,Entries!$D$2:$D$5000,"Core",Entries!$A$2:$A$5000,"&gt;="&amp;$A192,Entries!$A$2:$A$5000,"&lt;"&amp;EDATE($A192,1)))</f>
        <v/>
      </c>
      <c r="O192" s="23">
        <f>IF($BM192=0,NA(),SUMIFS(Entries!$E$2:$E$5000,Entries!$D$2:$D$5000,"Over &amp; above",Entries!$A$2:$A$5000,"&gt;="&amp;$A192,Entries!$A$2:$A$5000,"&lt;"&amp;EDATE($A192,1)))</f>
        <v/>
      </c>
      <c r="P192" s="23">
        <f>IF($BM192=0,NA(),SUMIFS(Entries!$E$2:$E$5000,Entries!$D$2:$D$5000,"One-off",Entries!$A$2:$A$5000,"&gt;="&amp;$A192,Entries!$A$2:$A$5000,"&lt;"&amp;EDATE($A192,1)))</f>
        <v/>
      </c>
      <c r="Q192" s="23">
        <f>IF($BM192=0,NA(),SUMIFS(Entries!$E$2:$E$5000,Entries!$D$2:$D$5000,"Reimbursable",Entries!$A$2:$A$5000,"&gt;="&amp;$A192,Entries!$A$2:$A$5000,"&lt;"&amp;EDATE($A192,1)))</f>
        <v/>
      </c>
      <c r="R192" s="23">
        <f>IF($BM192=0,NA(),SUMIFS(Entries!$E$2:$E$5000,Entries!$D$2:$D$5000,"Investment",Entries!$A$2:$A$5000,"&gt;="&amp;$A192,Entries!$A$2:$A$5000,"&lt;"&amp;EDATE($A192,1)))</f>
        <v/>
      </c>
      <c r="S192" s="23">
        <f>IF($BM192=0,NA(),N192+O192)</f>
        <v/>
      </c>
      <c r="T192" s="23">
        <f>IF($BM192=0,"",E192-Q192)</f>
        <v/>
      </c>
      <c r="W192" s="23">
        <f>IF(OR(W$1="",$BM192=0),"",SUMIFS(Entries!$E$2:$E$5000,Entries!$C$2:$C$5000,"Actual",Entries!$A$2:$A$5000,"&gt;="&amp;$A192,Entries!$A$2:$A$5000,"&lt;"&amp;EDATE($A192,1),Entries!$B$2:$B$5000,W$1))</f>
        <v/>
      </c>
      <c r="X192" s="23">
        <f>IF(OR(X$1="",$BM192=0),"",SUMIFS(Entries!$E$2:$E$5000,Entries!$C$2:$C$5000,"Actual",Entries!$A$2:$A$5000,"&gt;="&amp;$A192,Entries!$A$2:$A$5000,"&lt;"&amp;EDATE($A192,1),Entries!$B$2:$B$5000,X$1))</f>
        <v/>
      </c>
      <c r="Y192" s="23">
        <f>IF(OR(Y$1="",$BM192=0),"",SUMIFS(Entries!$E$2:$E$5000,Entries!$C$2:$C$5000,"Actual",Entries!$A$2:$A$5000,"&gt;="&amp;$A192,Entries!$A$2:$A$5000,"&lt;"&amp;EDATE($A192,1),Entries!$B$2:$B$5000,Y$1))</f>
        <v/>
      </c>
      <c r="Z192" s="23">
        <f>IF(OR(Z$1="",$BM192=0),"",SUMIFS(Entries!$E$2:$E$5000,Entries!$C$2:$C$5000,"Actual",Entries!$A$2:$A$5000,"&gt;="&amp;$A192,Entries!$A$2:$A$5000,"&lt;"&amp;EDATE($A192,1),Entries!$B$2:$B$5000,Z$1))</f>
        <v/>
      </c>
      <c r="AA192" s="23">
        <f>IF(OR(AA$1="",$BM192=0),"",SUMIFS(Entries!$E$2:$E$5000,Entries!$C$2:$C$5000,"Actual",Entries!$A$2:$A$5000,"&gt;="&amp;$A192,Entries!$A$2:$A$5000,"&lt;"&amp;EDATE($A192,1),Entries!$B$2:$B$5000,AA$1))</f>
        <v/>
      </c>
      <c r="AB192" s="23">
        <f>IF(OR(AB$1="",$BM192=0),"",SUMIFS(Entries!$E$2:$E$5000,Entries!$C$2:$C$5000,"Actual",Entries!$A$2:$A$5000,"&gt;="&amp;$A192,Entries!$A$2:$A$5000,"&lt;"&amp;EDATE($A192,1),Entries!$B$2:$B$5000,AB$1))</f>
        <v/>
      </c>
      <c r="AC192" s="23">
        <f>IF(OR(AC$1="",$BM192=0),"",SUMIFS(Entries!$E$2:$E$5000,Entries!$C$2:$C$5000,"Actual",Entries!$A$2:$A$5000,"&gt;="&amp;$A192,Entries!$A$2:$A$5000,"&lt;"&amp;EDATE($A192,1),Entries!$B$2:$B$5000,AC$1))</f>
        <v/>
      </c>
      <c r="AD192" s="23">
        <f>IF(OR(AD$1="",$BM192=0),"",SUMIFS(Entries!$E$2:$E$5000,Entries!$C$2:$C$5000,"Actual",Entries!$A$2:$A$5000,"&gt;="&amp;$A192,Entries!$A$2:$A$5000,"&lt;"&amp;EDATE($A192,1),Entries!$B$2:$B$5000,AD$1))</f>
        <v/>
      </c>
      <c r="AE192" s="23">
        <f>IF(OR(AE$1="",$BM192=0),"",SUMIFS(Entries!$E$2:$E$5000,Entries!$C$2:$C$5000,"Actual",Entries!$A$2:$A$5000,"&gt;="&amp;$A192,Entries!$A$2:$A$5000,"&lt;"&amp;EDATE($A192,1),Entries!$B$2:$B$5000,AE$1))</f>
        <v/>
      </c>
      <c r="AF192" s="23">
        <f>IF(OR(AF$1="",$BM192=0),"",SUMIFS(Entries!$E$2:$E$5000,Entries!$C$2:$C$5000,"Actual",Entries!$A$2:$A$5000,"&gt;="&amp;$A192,Entries!$A$2:$A$5000,"&lt;"&amp;EDATE($A192,1),Entries!$B$2:$B$5000,AF$1))</f>
        <v/>
      </c>
      <c r="AG192" s="23">
        <f>IF(OR(AG$1="",$BM192=0),"",SUMIFS(Entries!$E$2:$E$5000,Entries!$C$2:$C$5000,"Actual",Entries!$A$2:$A$5000,"&gt;="&amp;$A192,Entries!$A$2:$A$5000,"&lt;"&amp;EDATE($A192,1),Entries!$B$2:$B$5000,AG$1))</f>
        <v/>
      </c>
      <c r="AH192" s="23">
        <f>IF(OR(AH$1="",$BM192=0),"",SUMIFS(Entries!$E$2:$E$5000,Entries!$C$2:$C$5000,"Actual",Entries!$A$2:$A$5000,"&gt;="&amp;$A192,Entries!$A$2:$A$5000,"&lt;"&amp;EDATE($A192,1),Entries!$B$2:$B$5000,AH$1))</f>
        <v/>
      </c>
      <c r="AI192" s="23">
        <f>IF(OR(AI$1="",$BM192=0),"",SUMIFS(Entries!$E$2:$E$5000,Entries!$C$2:$C$5000,"Actual",Entries!$A$2:$A$5000,"&gt;="&amp;$A192,Entries!$A$2:$A$5000,"&lt;"&amp;EDATE($A192,1),Entries!$B$2:$B$5000,AI$1))</f>
        <v/>
      </c>
      <c r="AJ192" s="23">
        <f>IF(OR(AJ$1="",$BM192=0),"",SUMIFS(Entries!$E$2:$E$5000,Entries!$C$2:$C$5000,"Actual",Entries!$A$2:$A$5000,"&gt;="&amp;$A192,Entries!$A$2:$A$5000,"&lt;"&amp;EDATE($A192,1),Entries!$B$2:$B$5000,AJ$1))</f>
        <v/>
      </c>
      <c r="AK192" s="23">
        <f>IF(OR(AK$1="",$BM192=0),"",SUMIFS(Entries!$E$2:$E$5000,Entries!$C$2:$C$5000,"Actual",Entries!$A$2:$A$5000,"&gt;="&amp;$A192,Entries!$A$2:$A$5000,"&lt;"&amp;EDATE($A192,1),Entries!$B$2:$B$5000,AK$1))</f>
        <v/>
      </c>
      <c r="AL192" s="23">
        <f>IF(OR(AL$1="",$BM192=0),"",SUMIFS(Entries!$E$2:$E$5000,Entries!$C$2:$C$5000,"Actual",Entries!$A$2:$A$5000,"&gt;="&amp;$A192,Entries!$A$2:$A$5000,"&lt;"&amp;EDATE($A192,1),Entries!$B$2:$B$5000,AL$1))</f>
        <v/>
      </c>
      <c r="AM192" s="23">
        <f>IF(OR(AM$1="",$BM192=0),"",SUMIFS(Entries!$E$2:$E$5000,Entries!$C$2:$C$5000,"Actual",Entries!$A$2:$A$5000,"&gt;="&amp;$A192,Entries!$A$2:$A$5000,"&lt;"&amp;EDATE($A192,1),Entries!$B$2:$B$5000,AM$1))</f>
        <v/>
      </c>
      <c r="AN192" s="23">
        <f>IF(OR(AN$1="",$BM192=0),"",SUMIFS(Entries!$E$2:$E$5000,Entries!$C$2:$C$5000,"Actual",Entries!$A$2:$A$5000,"&gt;="&amp;$A192,Entries!$A$2:$A$5000,"&lt;"&amp;EDATE($A192,1),Entries!$B$2:$B$5000,AN$1))</f>
        <v/>
      </c>
      <c r="AO192" s="23">
        <f>IF(OR(AO$1="",$BM192=0),"",SUMIFS(Entries!$E$2:$E$5000,Entries!$C$2:$C$5000,"Actual",Entries!$A$2:$A$5000,"&gt;="&amp;$A192,Entries!$A$2:$A$5000,"&lt;"&amp;EDATE($A192,1),Entries!$B$2:$B$5000,AO$1))</f>
        <v/>
      </c>
      <c r="AP192" s="23">
        <f>IF(OR(AP$1="",$BM192=0),"",SUMIFS(Entries!$E$2:$E$5000,Entries!$C$2:$C$5000,"Actual",Entries!$A$2:$A$5000,"&gt;="&amp;$A192,Entries!$A$2:$A$5000,"&lt;"&amp;EDATE($A192,1),Entries!$B$2:$B$5000,AP$1))</f>
        <v/>
      </c>
      <c r="AR192" s="23">
        <f>IF(OR(AR$1="",$BM192=0),"",IFERROR(LOOKUP(2,1/((Budgets!$A$2:$A$200=AR$1)*(Budgets!$B$2:$B$200&lt;EDATE($A192,1))),Budgets!$C$2:$C$200),0))</f>
        <v/>
      </c>
      <c r="AS192" s="23">
        <f>IF(OR(AS$1="",$BM192=0),"",IFERROR(LOOKUP(2,1/((Budgets!$A$2:$A$200=AS$1)*(Budgets!$B$2:$B$200&lt;EDATE($A192,1))),Budgets!$C$2:$C$200),0))</f>
        <v/>
      </c>
      <c r="AT192" s="23">
        <f>IF(OR(AT$1="",$BM192=0),"",IFERROR(LOOKUP(2,1/((Budgets!$A$2:$A$200=AT$1)*(Budgets!$B$2:$B$200&lt;EDATE($A192,1))),Budgets!$C$2:$C$200),0))</f>
        <v/>
      </c>
      <c r="AU192" s="23">
        <f>IF(OR(AU$1="",$BM192=0),"",IFERROR(LOOKUP(2,1/((Budgets!$A$2:$A$200=AU$1)*(Budgets!$B$2:$B$200&lt;EDATE($A192,1))),Budgets!$C$2:$C$200),0))</f>
        <v/>
      </c>
      <c r="AV192" s="23">
        <f>IF(OR(AV$1="",$BM192=0),"",IFERROR(LOOKUP(2,1/((Budgets!$A$2:$A$200=AV$1)*(Budgets!$B$2:$B$200&lt;EDATE($A192,1))),Budgets!$C$2:$C$200),0))</f>
        <v/>
      </c>
      <c r="AW192" s="23">
        <f>IF(OR(AW$1="",$BM192=0),"",IFERROR(LOOKUP(2,1/((Budgets!$A$2:$A$200=AW$1)*(Budgets!$B$2:$B$200&lt;EDATE($A192,1))),Budgets!$C$2:$C$200),0))</f>
        <v/>
      </c>
      <c r="AX192" s="23">
        <f>IF(OR(AX$1="",$BM192=0),"",IFERROR(LOOKUP(2,1/((Budgets!$A$2:$A$200=AX$1)*(Budgets!$B$2:$B$200&lt;EDATE($A192,1))),Budgets!$C$2:$C$200),0))</f>
        <v/>
      </c>
      <c r="AY192" s="23">
        <f>IF(OR(AY$1="",$BM192=0),"",IFERROR(LOOKUP(2,1/((Budgets!$A$2:$A$200=AY$1)*(Budgets!$B$2:$B$200&lt;EDATE($A192,1))),Budgets!$C$2:$C$200),0))</f>
        <v/>
      </c>
      <c r="AZ192" s="23">
        <f>IF(OR(AZ$1="",$BM192=0),"",IFERROR(LOOKUP(2,1/((Budgets!$A$2:$A$200=AZ$1)*(Budgets!$B$2:$B$200&lt;EDATE($A192,1))),Budgets!$C$2:$C$200),0))</f>
        <v/>
      </c>
      <c r="BA192" s="23">
        <f>IF(OR(BA$1="",$BM192=0),"",IFERROR(LOOKUP(2,1/((Budgets!$A$2:$A$200=BA$1)*(Budgets!$B$2:$B$200&lt;EDATE($A192,1))),Budgets!$C$2:$C$200),0))</f>
        <v/>
      </c>
      <c r="BB192" s="23">
        <f>IF(OR(BB$1="",$BM192=0),"",IFERROR(LOOKUP(2,1/((Budgets!$A$2:$A$200=BB$1)*(Budgets!$B$2:$B$200&lt;EDATE($A192,1))),Budgets!$C$2:$C$200),0))</f>
        <v/>
      </c>
      <c r="BC192" s="23">
        <f>IF(OR(BC$1="",$BM192=0),"",IFERROR(LOOKUP(2,1/((Budgets!$A$2:$A$200=BC$1)*(Budgets!$B$2:$B$200&lt;EDATE($A192,1))),Budgets!$C$2:$C$200),0))</f>
        <v/>
      </c>
      <c r="BD192" s="23">
        <f>IF(OR(BD$1="",$BM192=0),"",IFERROR(LOOKUP(2,1/((Budgets!$A$2:$A$200=BD$1)*(Budgets!$B$2:$B$200&lt;EDATE($A192,1))),Budgets!$C$2:$C$200),0))</f>
        <v/>
      </c>
      <c r="BE192" s="23">
        <f>IF(OR(BE$1="",$BM192=0),"",IFERROR(LOOKUP(2,1/((Budgets!$A$2:$A$200=BE$1)*(Budgets!$B$2:$B$200&lt;EDATE($A192,1))),Budgets!$C$2:$C$200),0))</f>
        <v/>
      </c>
      <c r="BF192" s="23">
        <f>IF(OR(BF$1="",$BM192=0),"",IFERROR(LOOKUP(2,1/((Budgets!$A$2:$A$200=BF$1)*(Budgets!$B$2:$B$200&lt;EDATE($A192,1))),Budgets!$C$2:$C$200),0))</f>
        <v/>
      </c>
      <c r="BG192" s="23">
        <f>IF(OR(BG$1="",$BM192=0),"",IFERROR(LOOKUP(2,1/((Budgets!$A$2:$A$200=BG$1)*(Budgets!$B$2:$B$200&lt;EDATE($A192,1))),Budgets!$C$2:$C$200),0))</f>
        <v/>
      </c>
      <c r="BH192" s="23">
        <f>IF(OR(BH$1="",$BM192=0),"",IFERROR(LOOKUP(2,1/((Budgets!$A$2:$A$200=BH$1)*(Budgets!$B$2:$B$200&lt;EDATE($A192,1))),Budgets!$C$2:$C$200),0))</f>
        <v/>
      </c>
      <c r="BI192" s="23">
        <f>IF(OR(BI$1="",$BM192=0),"",IFERROR(LOOKUP(2,1/((Budgets!$A$2:$A$200=BI$1)*(Budgets!$B$2:$B$200&lt;EDATE($A192,1))),Budgets!$C$2:$C$200),0))</f>
        <v/>
      </c>
      <c r="BJ192" s="23">
        <f>IF(OR(BJ$1="",$BM192=0),"",IFERROR(LOOKUP(2,1/((Budgets!$A$2:$A$200=BJ$1)*(Budgets!$B$2:$B$200&lt;EDATE($A192,1))),Budgets!$C$2:$C$200),0))</f>
        <v/>
      </c>
      <c r="BK192" s="23">
        <f>IF(OR(BK$1="",$BM192=0),"",IFERROR(LOOKUP(2,1/((Budgets!$A$2:$A$200=BK$1)*(Budgets!$B$2:$B$200&lt;EDATE($A192,1))),Budgets!$C$2:$C$200),0))</f>
        <v/>
      </c>
      <c r="BM192" s="21">
        <f>COUNTIFS(Entries!$A$2:$A$5000,"&gt;="&amp;$A192,Entries!$A$2:$A$5000,"&lt;"&amp;EDATE($A192,1))</f>
        <v/>
      </c>
    </row>
    <row r="193">
      <c r="A193" s="22" t="n">
        <v>45261</v>
      </c>
      <c r="B193" s="23">
        <f>IF($BM193=0,NA(),SUMIFS(Entries!$E$2:$E$5000,Entries!$C$2:$C$5000,"Income",Entries!$A$2:$A$5000,"&gt;="&amp;$A193,Entries!$A$2:$A$5000,"&lt;"&amp;EDATE($A193,1)))</f>
        <v/>
      </c>
      <c r="C193" s="23">
        <f>IF($BM193=0,"",SUMIFS(Entries!$E$2:$E$5000,Entries!$C$2:$C$5000,"Actual",Entries!$A$2:$A$5000,"&gt;="&amp;$A193,Entries!$A$2:$A$5000,"&lt;"&amp;EDATE($A193,1)))</f>
        <v/>
      </c>
      <c r="D193" s="23">
        <f>IF($BM193=0,"",SUMIFS(Entries!$E$2:$E$5000,Entries!$C$2:$C$5000,"One-off",Entries!$A$2:$A$5000,"&gt;="&amp;$A193,Entries!$A$2:$A$5000,"&lt;"&amp;EDATE($A193,1)))</f>
        <v/>
      </c>
      <c r="E193" s="23">
        <f>IF($BM193=0,NA(),C193+D193)</f>
        <v/>
      </c>
      <c r="F193" s="23">
        <f>IF($BM193=0,"",SUM(AR193:BK193))</f>
        <v/>
      </c>
      <c r="G193" s="23">
        <f>IF($BM193=0,"",B193-E193)</f>
        <v/>
      </c>
      <c r="H193" s="23">
        <f>IF($BM193=0,"",SUM($G$2:G193))</f>
        <v/>
      </c>
      <c r="I193" s="23">
        <f>IF($BM193=0,"",SUMIFS(Entries!$G$2:$G$5000,Entries!$A$2:$A$5000,"&gt;="&amp;$A193,Entries!$A$2:$A$5000,"&lt;"&amp;EDATE($A193,1)))</f>
        <v/>
      </c>
      <c r="J193" s="23">
        <f>IF($BM193=0,NA(),H193)</f>
        <v/>
      </c>
      <c r="K193" s="23">
        <f>IF($BM193=0,"",SUMIFS(Entries!$E$2:$E$5000,Entries!$C$2:$C$5000,"Income",Entries!$A$2:$A$5000,"&gt;="&amp;EDATE($A193,-11),Entries!$A$2:$A$5000,"&lt;"&amp;EDATE($A193,1))/COUNTIFS($A$2:$A$400,"&gt;="&amp;EDATE($A193,-11),$A$2:$A$400,"&lt;"&amp;EDATE($A193,1),$BM$2:$BM$400,"&gt;0"))</f>
      </c>
      <c r="L193" s="23">
        <f>IF($BM193=0,"",(SUMIFS(Entries!$E$2:$E$5000,Entries!$C$2:$C$5000,"Actual",Entries!$A$2:$A$5000,"&gt;="&amp;EDATE($A193,-11),Entries!$A$2:$A$5000,"&lt;"&amp;EDATE($A193,1))+SUMIFS(Entries!$E$2:$E$5000,Entries!$C$2:$C$5000,"One-off",Entries!$A$2:$A$5000,"&gt;="&amp;EDATE($A193,-11),Entries!$A$2:$A$5000,"&lt;"&amp;EDATE($A193,1)))/COUNTIFS($A$2:$A$400,"&gt;="&amp;EDATE($A193,-11),$A$2:$A$400,"&lt;"&amp;EDATE($A193,1),$BM$2:$BM$400,"&gt;0"))</f>
      </c>
      <c r="M193" s="24">
        <f>IF($BM193=0,NA(),IFERROR((K193-L193)/K193,0))</f>
        <v/>
      </c>
      <c r="N193" s="23">
        <f>IF($BM193=0,NA(),SUMIFS(Entries!$E$2:$E$5000,Entries!$D$2:$D$5000,"Core",Entries!$A$2:$A$5000,"&gt;="&amp;$A193,Entries!$A$2:$A$5000,"&lt;"&amp;EDATE($A193,1)))</f>
        <v/>
      </c>
      <c r="O193" s="23">
        <f>IF($BM193=0,NA(),SUMIFS(Entries!$E$2:$E$5000,Entries!$D$2:$D$5000,"Over &amp; above",Entries!$A$2:$A$5000,"&gt;="&amp;$A193,Entries!$A$2:$A$5000,"&lt;"&amp;EDATE($A193,1)))</f>
        <v/>
      </c>
      <c r="P193" s="23">
        <f>IF($BM193=0,NA(),SUMIFS(Entries!$E$2:$E$5000,Entries!$D$2:$D$5000,"One-off",Entries!$A$2:$A$5000,"&gt;="&amp;$A193,Entries!$A$2:$A$5000,"&lt;"&amp;EDATE($A193,1)))</f>
        <v/>
      </c>
      <c r="Q193" s="23">
        <f>IF($BM193=0,NA(),SUMIFS(Entries!$E$2:$E$5000,Entries!$D$2:$D$5000,"Reimbursable",Entries!$A$2:$A$5000,"&gt;="&amp;$A193,Entries!$A$2:$A$5000,"&lt;"&amp;EDATE($A193,1)))</f>
        <v/>
      </c>
      <c r="R193" s="23">
        <f>IF($BM193=0,NA(),SUMIFS(Entries!$E$2:$E$5000,Entries!$D$2:$D$5000,"Investment",Entries!$A$2:$A$5000,"&gt;="&amp;$A193,Entries!$A$2:$A$5000,"&lt;"&amp;EDATE($A193,1)))</f>
        <v/>
      </c>
      <c r="S193" s="23">
        <f>IF($BM193=0,NA(),N193+O193)</f>
        <v/>
      </c>
      <c r="T193" s="23">
        <f>IF($BM193=0,"",E193-Q193)</f>
        <v/>
      </c>
      <c r="W193" s="23">
        <f>IF(OR(W$1="",$BM193=0),"",SUMIFS(Entries!$E$2:$E$5000,Entries!$C$2:$C$5000,"Actual",Entries!$A$2:$A$5000,"&gt;="&amp;$A193,Entries!$A$2:$A$5000,"&lt;"&amp;EDATE($A193,1),Entries!$B$2:$B$5000,W$1))</f>
        <v/>
      </c>
      <c r="X193" s="23">
        <f>IF(OR(X$1="",$BM193=0),"",SUMIFS(Entries!$E$2:$E$5000,Entries!$C$2:$C$5000,"Actual",Entries!$A$2:$A$5000,"&gt;="&amp;$A193,Entries!$A$2:$A$5000,"&lt;"&amp;EDATE($A193,1),Entries!$B$2:$B$5000,X$1))</f>
        <v/>
      </c>
      <c r="Y193" s="23">
        <f>IF(OR(Y$1="",$BM193=0),"",SUMIFS(Entries!$E$2:$E$5000,Entries!$C$2:$C$5000,"Actual",Entries!$A$2:$A$5000,"&gt;="&amp;$A193,Entries!$A$2:$A$5000,"&lt;"&amp;EDATE($A193,1),Entries!$B$2:$B$5000,Y$1))</f>
        <v/>
      </c>
      <c r="Z193" s="23">
        <f>IF(OR(Z$1="",$BM193=0),"",SUMIFS(Entries!$E$2:$E$5000,Entries!$C$2:$C$5000,"Actual",Entries!$A$2:$A$5000,"&gt;="&amp;$A193,Entries!$A$2:$A$5000,"&lt;"&amp;EDATE($A193,1),Entries!$B$2:$B$5000,Z$1))</f>
        <v/>
      </c>
      <c r="AA193" s="23">
        <f>IF(OR(AA$1="",$BM193=0),"",SUMIFS(Entries!$E$2:$E$5000,Entries!$C$2:$C$5000,"Actual",Entries!$A$2:$A$5000,"&gt;="&amp;$A193,Entries!$A$2:$A$5000,"&lt;"&amp;EDATE($A193,1),Entries!$B$2:$B$5000,AA$1))</f>
        <v/>
      </c>
      <c r="AB193" s="23">
        <f>IF(OR(AB$1="",$BM193=0),"",SUMIFS(Entries!$E$2:$E$5000,Entries!$C$2:$C$5000,"Actual",Entries!$A$2:$A$5000,"&gt;="&amp;$A193,Entries!$A$2:$A$5000,"&lt;"&amp;EDATE($A193,1),Entries!$B$2:$B$5000,AB$1))</f>
        <v/>
      </c>
      <c r="AC193" s="23">
        <f>IF(OR(AC$1="",$BM193=0),"",SUMIFS(Entries!$E$2:$E$5000,Entries!$C$2:$C$5000,"Actual",Entries!$A$2:$A$5000,"&gt;="&amp;$A193,Entries!$A$2:$A$5000,"&lt;"&amp;EDATE($A193,1),Entries!$B$2:$B$5000,AC$1))</f>
        <v/>
      </c>
      <c r="AD193" s="23">
        <f>IF(OR(AD$1="",$BM193=0),"",SUMIFS(Entries!$E$2:$E$5000,Entries!$C$2:$C$5000,"Actual",Entries!$A$2:$A$5000,"&gt;="&amp;$A193,Entries!$A$2:$A$5000,"&lt;"&amp;EDATE($A193,1),Entries!$B$2:$B$5000,AD$1))</f>
        <v/>
      </c>
      <c r="AE193" s="23">
        <f>IF(OR(AE$1="",$BM193=0),"",SUMIFS(Entries!$E$2:$E$5000,Entries!$C$2:$C$5000,"Actual",Entries!$A$2:$A$5000,"&gt;="&amp;$A193,Entries!$A$2:$A$5000,"&lt;"&amp;EDATE($A193,1),Entries!$B$2:$B$5000,AE$1))</f>
        <v/>
      </c>
      <c r="AF193" s="23">
        <f>IF(OR(AF$1="",$BM193=0),"",SUMIFS(Entries!$E$2:$E$5000,Entries!$C$2:$C$5000,"Actual",Entries!$A$2:$A$5000,"&gt;="&amp;$A193,Entries!$A$2:$A$5000,"&lt;"&amp;EDATE($A193,1),Entries!$B$2:$B$5000,AF$1))</f>
        <v/>
      </c>
      <c r="AG193" s="23">
        <f>IF(OR(AG$1="",$BM193=0),"",SUMIFS(Entries!$E$2:$E$5000,Entries!$C$2:$C$5000,"Actual",Entries!$A$2:$A$5000,"&gt;="&amp;$A193,Entries!$A$2:$A$5000,"&lt;"&amp;EDATE($A193,1),Entries!$B$2:$B$5000,AG$1))</f>
        <v/>
      </c>
      <c r="AH193" s="23">
        <f>IF(OR(AH$1="",$BM193=0),"",SUMIFS(Entries!$E$2:$E$5000,Entries!$C$2:$C$5000,"Actual",Entries!$A$2:$A$5000,"&gt;="&amp;$A193,Entries!$A$2:$A$5000,"&lt;"&amp;EDATE($A193,1),Entries!$B$2:$B$5000,AH$1))</f>
        <v/>
      </c>
      <c r="AI193" s="23">
        <f>IF(OR(AI$1="",$BM193=0),"",SUMIFS(Entries!$E$2:$E$5000,Entries!$C$2:$C$5000,"Actual",Entries!$A$2:$A$5000,"&gt;="&amp;$A193,Entries!$A$2:$A$5000,"&lt;"&amp;EDATE($A193,1),Entries!$B$2:$B$5000,AI$1))</f>
        <v/>
      </c>
      <c r="AJ193" s="23">
        <f>IF(OR(AJ$1="",$BM193=0),"",SUMIFS(Entries!$E$2:$E$5000,Entries!$C$2:$C$5000,"Actual",Entries!$A$2:$A$5000,"&gt;="&amp;$A193,Entries!$A$2:$A$5000,"&lt;"&amp;EDATE($A193,1),Entries!$B$2:$B$5000,AJ$1))</f>
        <v/>
      </c>
      <c r="AK193" s="23">
        <f>IF(OR(AK$1="",$BM193=0),"",SUMIFS(Entries!$E$2:$E$5000,Entries!$C$2:$C$5000,"Actual",Entries!$A$2:$A$5000,"&gt;="&amp;$A193,Entries!$A$2:$A$5000,"&lt;"&amp;EDATE($A193,1),Entries!$B$2:$B$5000,AK$1))</f>
        <v/>
      </c>
      <c r="AL193" s="23">
        <f>IF(OR(AL$1="",$BM193=0),"",SUMIFS(Entries!$E$2:$E$5000,Entries!$C$2:$C$5000,"Actual",Entries!$A$2:$A$5000,"&gt;="&amp;$A193,Entries!$A$2:$A$5000,"&lt;"&amp;EDATE($A193,1),Entries!$B$2:$B$5000,AL$1))</f>
        <v/>
      </c>
      <c r="AM193" s="23">
        <f>IF(OR(AM$1="",$BM193=0),"",SUMIFS(Entries!$E$2:$E$5000,Entries!$C$2:$C$5000,"Actual",Entries!$A$2:$A$5000,"&gt;="&amp;$A193,Entries!$A$2:$A$5000,"&lt;"&amp;EDATE($A193,1),Entries!$B$2:$B$5000,AM$1))</f>
        <v/>
      </c>
      <c r="AN193" s="23">
        <f>IF(OR(AN$1="",$BM193=0),"",SUMIFS(Entries!$E$2:$E$5000,Entries!$C$2:$C$5000,"Actual",Entries!$A$2:$A$5000,"&gt;="&amp;$A193,Entries!$A$2:$A$5000,"&lt;"&amp;EDATE($A193,1),Entries!$B$2:$B$5000,AN$1))</f>
        <v/>
      </c>
      <c r="AO193" s="23">
        <f>IF(OR(AO$1="",$BM193=0),"",SUMIFS(Entries!$E$2:$E$5000,Entries!$C$2:$C$5000,"Actual",Entries!$A$2:$A$5000,"&gt;="&amp;$A193,Entries!$A$2:$A$5000,"&lt;"&amp;EDATE($A193,1),Entries!$B$2:$B$5000,AO$1))</f>
        <v/>
      </c>
      <c r="AP193" s="23">
        <f>IF(OR(AP$1="",$BM193=0),"",SUMIFS(Entries!$E$2:$E$5000,Entries!$C$2:$C$5000,"Actual",Entries!$A$2:$A$5000,"&gt;="&amp;$A193,Entries!$A$2:$A$5000,"&lt;"&amp;EDATE($A193,1),Entries!$B$2:$B$5000,AP$1))</f>
        <v/>
      </c>
      <c r="AR193" s="23">
        <f>IF(OR(AR$1="",$BM193=0),"",IFERROR(LOOKUP(2,1/((Budgets!$A$2:$A$200=AR$1)*(Budgets!$B$2:$B$200&lt;EDATE($A193,1))),Budgets!$C$2:$C$200),0))</f>
        <v/>
      </c>
      <c r="AS193" s="23">
        <f>IF(OR(AS$1="",$BM193=0),"",IFERROR(LOOKUP(2,1/((Budgets!$A$2:$A$200=AS$1)*(Budgets!$B$2:$B$200&lt;EDATE($A193,1))),Budgets!$C$2:$C$200),0))</f>
        <v/>
      </c>
      <c r="AT193" s="23">
        <f>IF(OR(AT$1="",$BM193=0),"",IFERROR(LOOKUP(2,1/((Budgets!$A$2:$A$200=AT$1)*(Budgets!$B$2:$B$200&lt;EDATE($A193,1))),Budgets!$C$2:$C$200),0))</f>
        <v/>
      </c>
      <c r="AU193" s="23">
        <f>IF(OR(AU$1="",$BM193=0),"",IFERROR(LOOKUP(2,1/((Budgets!$A$2:$A$200=AU$1)*(Budgets!$B$2:$B$200&lt;EDATE($A193,1))),Budgets!$C$2:$C$200),0))</f>
        <v/>
      </c>
      <c r="AV193" s="23">
        <f>IF(OR(AV$1="",$BM193=0),"",IFERROR(LOOKUP(2,1/((Budgets!$A$2:$A$200=AV$1)*(Budgets!$B$2:$B$200&lt;EDATE($A193,1))),Budgets!$C$2:$C$200),0))</f>
        <v/>
      </c>
      <c r="AW193" s="23">
        <f>IF(OR(AW$1="",$BM193=0),"",IFERROR(LOOKUP(2,1/((Budgets!$A$2:$A$200=AW$1)*(Budgets!$B$2:$B$200&lt;EDATE($A193,1))),Budgets!$C$2:$C$200),0))</f>
        <v/>
      </c>
      <c r="AX193" s="23">
        <f>IF(OR(AX$1="",$BM193=0),"",IFERROR(LOOKUP(2,1/((Budgets!$A$2:$A$200=AX$1)*(Budgets!$B$2:$B$200&lt;EDATE($A193,1))),Budgets!$C$2:$C$200),0))</f>
        <v/>
      </c>
      <c r="AY193" s="23">
        <f>IF(OR(AY$1="",$BM193=0),"",IFERROR(LOOKUP(2,1/((Budgets!$A$2:$A$200=AY$1)*(Budgets!$B$2:$B$200&lt;EDATE($A193,1))),Budgets!$C$2:$C$200),0))</f>
        <v/>
      </c>
      <c r="AZ193" s="23">
        <f>IF(OR(AZ$1="",$BM193=0),"",IFERROR(LOOKUP(2,1/((Budgets!$A$2:$A$200=AZ$1)*(Budgets!$B$2:$B$200&lt;EDATE($A193,1))),Budgets!$C$2:$C$200),0))</f>
        <v/>
      </c>
      <c r="BA193" s="23">
        <f>IF(OR(BA$1="",$BM193=0),"",IFERROR(LOOKUP(2,1/((Budgets!$A$2:$A$200=BA$1)*(Budgets!$B$2:$B$200&lt;EDATE($A193,1))),Budgets!$C$2:$C$200),0))</f>
        <v/>
      </c>
      <c r="BB193" s="23">
        <f>IF(OR(BB$1="",$BM193=0),"",IFERROR(LOOKUP(2,1/((Budgets!$A$2:$A$200=BB$1)*(Budgets!$B$2:$B$200&lt;EDATE($A193,1))),Budgets!$C$2:$C$200),0))</f>
        <v/>
      </c>
      <c r="BC193" s="23">
        <f>IF(OR(BC$1="",$BM193=0),"",IFERROR(LOOKUP(2,1/((Budgets!$A$2:$A$200=BC$1)*(Budgets!$B$2:$B$200&lt;EDATE($A193,1))),Budgets!$C$2:$C$200),0))</f>
        <v/>
      </c>
      <c r="BD193" s="23">
        <f>IF(OR(BD$1="",$BM193=0),"",IFERROR(LOOKUP(2,1/((Budgets!$A$2:$A$200=BD$1)*(Budgets!$B$2:$B$200&lt;EDATE($A193,1))),Budgets!$C$2:$C$200),0))</f>
        <v/>
      </c>
      <c r="BE193" s="23">
        <f>IF(OR(BE$1="",$BM193=0),"",IFERROR(LOOKUP(2,1/((Budgets!$A$2:$A$200=BE$1)*(Budgets!$B$2:$B$200&lt;EDATE($A193,1))),Budgets!$C$2:$C$200),0))</f>
        <v/>
      </c>
      <c r="BF193" s="23">
        <f>IF(OR(BF$1="",$BM193=0),"",IFERROR(LOOKUP(2,1/((Budgets!$A$2:$A$200=BF$1)*(Budgets!$B$2:$B$200&lt;EDATE($A193,1))),Budgets!$C$2:$C$200),0))</f>
        <v/>
      </c>
      <c r="BG193" s="23">
        <f>IF(OR(BG$1="",$BM193=0),"",IFERROR(LOOKUP(2,1/((Budgets!$A$2:$A$200=BG$1)*(Budgets!$B$2:$B$200&lt;EDATE($A193,1))),Budgets!$C$2:$C$200),0))</f>
        <v/>
      </c>
      <c r="BH193" s="23">
        <f>IF(OR(BH$1="",$BM193=0),"",IFERROR(LOOKUP(2,1/((Budgets!$A$2:$A$200=BH$1)*(Budgets!$B$2:$B$200&lt;EDATE($A193,1))),Budgets!$C$2:$C$200),0))</f>
        <v/>
      </c>
      <c r="BI193" s="23">
        <f>IF(OR(BI$1="",$BM193=0),"",IFERROR(LOOKUP(2,1/((Budgets!$A$2:$A$200=BI$1)*(Budgets!$B$2:$B$200&lt;EDATE($A193,1))),Budgets!$C$2:$C$200),0))</f>
        <v/>
      </c>
      <c r="BJ193" s="23">
        <f>IF(OR(BJ$1="",$BM193=0),"",IFERROR(LOOKUP(2,1/((Budgets!$A$2:$A$200=BJ$1)*(Budgets!$B$2:$B$200&lt;EDATE($A193,1))),Budgets!$C$2:$C$200),0))</f>
        <v/>
      </c>
      <c r="BK193" s="23">
        <f>IF(OR(BK$1="",$BM193=0),"",IFERROR(LOOKUP(2,1/((Budgets!$A$2:$A$200=BK$1)*(Budgets!$B$2:$B$200&lt;EDATE($A193,1))),Budgets!$C$2:$C$200),0))</f>
        <v/>
      </c>
      <c r="BM193" s="21">
        <f>COUNTIFS(Entries!$A$2:$A$5000,"&gt;="&amp;$A193,Entries!$A$2:$A$5000,"&lt;"&amp;EDATE($A193,1))</f>
        <v/>
      </c>
    </row>
    <row r="194">
      <c r="A194" s="22" t="n">
        <v>45292</v>
      </c>
      <c r="B194" s="23">
        <f>IF($BM194=0,NA(),SUMIFS(Entries!$E$2:$E$5000,Entries!$C$2:$C$5000,"Income",Entries!$A$2:$A$5000,"&gt;="&amp;$A194,Entries!$A$2:$A$5000,"&lt;"&amp;EDATE($A194,1)))</f>
        <v/>
      </c>
      <c r="C194" s="23">
        <f>IF($BM194=0,"",SUMIFS(Entries!$E$2:$E$5000,Entries!$C$2:$C$5000,"Actual",Entries!$A$2:$A$5000,"&gt;="&amp;$A194,Entries!$A$2:$A$5000,"&lt;"&amp;EDATE($A194,1)))</f>
        <v/>
      </c>
      <c r="D194" s="23">
        <f>IF($BM194=0,"",SUMIFS(Entries!$E$2:$E$5000,Entries!$C$2:$C$5000,"One-off",Entries!$A$2:$A$5000,"&gt;="&amp;$A194,Entries!$A$2:$A$5000,"&lt;"&amp;EDATE($A194,1)))</f>
        <v/>
      </c>
      <c r="E194" s="23">
        <f>IF($BM194=0,NA(),C194+D194)</f>
        <v/>
      </c>
      <c r="F194" s="23">
        <f>IF($BM194=0,"",SUM(AR194:BK194))</f>
        <v/>
      </c>
      <c r="G194" s="23">
        <f>IF($BM194=0,"",B194-E194)</f>
        <v/>
      </c>
      <c r="H194" s="23">
        <f>IF($BM194=0,"",SUM($G$2:G194))</f>
        <v/>
      </c>
      <c r="I194" s="23">
        <f>IF($BM194=0,"",SUMIFS(Entries!$G$2:$G$5000,Entries!$A$2:$A$5000,"&gt;="&amp;$A194,Entries!$A$2:$A$5000,"&lt;"&amp;EDATE($A194,1)))</f>
        <v/>
      </c>
      <c r="J194" s="23">
        <f>IF($BM194=0,NA(),H194)</f>
        <v/>
      </c>
      <c r="K194" s="23">
        <f>IF($BM194=0,"",SUMIFS(Entries!$E$2:$E$5000,Entries!$C$2:$C$5000,"Income",Entries!$A$2:$A$5000,"&gt;="&amp;EDATE($A194,-11),Entries!$A$2:$A$5000,"&lt;"&amp;EDATE($A194,1))/COUNTIFS($A$2:$A$400,"&gt;="&amp;EDATE($A194,-11),$A$2:$A$400,"&lt;"&amp;EDATE($A194,1),$BM$2:$BM$400,"&gt;0"))</f>
      </c>
      <c r="L194" s="23">
        <f>IF($BM194=0,"",(SUMIFS(Entries!$E$2:$E$5000,Entries!$C$2:$C$5000,"Actual",Entries!$A$2:$A$5000,"&gt;="&amp;EDATE($A194,-11),Entries!$A$2:$A$5000,"&lt;"&amp;EDATE($A194,1))+SUMIFS(Entries!$E$2:$E$5000,Entries!$C$2:$C$5000,"One-off",Entries!$A$2:$A$5000,"&gt;="&amp;EDATE($A194,-11),Entries!$A$2:$A$5000,"&lt;"&amp;EDATE($A194,1)))/COUNTIFS($A$2:$A$400,"&gt;="&amp;EDATE($A194,-11),$A$2:$A$400,"&lt;"&amp;EDATE($A194,1),$BM$2:$BM$400,"&gt;0"))</f>
      </c>
      <c r="M194" s="24">
        <f>IF($BM194=0,NA(),IFERROR((K194-L194)/K194,0))</f>
        <v/>
      </c>
      <c r="N194" s="23">
        <f>IF($BM194=0,NA(),SUMIFS(Entries!$E$2:$E$5000,Entries!$D$2:$D$5000,"Core",Entries!$A$2:$A$5000,"&gt;="&amp;$A194,Entries!$A$2:$A$5000,"&lt;"&amp;EDATE($A194,1)))</f>
        <v/>
      </c>
      <c r="O194" s="23">
        <f>IF($BM194=0,NA(),SUMIFS(Entries!$E$2:$E$5000,Entries!$D$2:$D$5000,"Over &amp; above",Entries!$A$2:$A$5000,"&gt;="&amp;$A194,Entries!$A$2:$A$5000,"&lt;"&amp;EDATE($A194,1)))</f>
        <v/>
      </c>
      <c r="P194" s="23">
        <f>IF($BM194=0,NA(),SUMIFS(Entries!$E$2:$E$5000,Entries!$D$2:$D$5000,"One-off",Entries!$A$2:$A$5000,"&gt;="&amp;$A194,Entries!$A$2:$A$5000,"&lt;"&amp;EDATE($A194,1)))</f>
        <v/>
      </c>
      <c r="Q194" s="23">
        <f>IF($BM194=0,NA(),SUMIFS(Entries!$E$2:$E$5000,Entries!$D$2:$D$5000,"Reimbursable",Entries!$A$2:$A$5000,"&gt;="&amp;$A194,Entries!$A$2:$A$5000,"&lt;"&amp;EDATE($A194,1)))</f>
        <v/>
      </c>
      <c r="R194" s="23">
        <f>IF($BM194=0,NA(),SUMIFS(Entries!$E$2:$E$5000,Entries!$D$2:$D$5000,"Investment",Entries!$A$2:$A$5000,"&gt;="&amp;$A194,Entries!$A$2:$A$5000,"&lt;"&amp;EDATE($A194,1)))</f>
        <v/>
      </c>
      <c r="S194" s="23">
        <f>IF($BM194=0,NA(),N194+O194)</f>
        <v/>
      </c>
      <c r="T194" s="23">
        <f>IF($BM194=0,"",E194-Q194)</f>
        <v/>
      </c>
      <c r="W194" s="23">
        <f>IF(OR(W$1="",$BM194=0),"",SUMIFS(Entries!$E$2:$E$5000,Entries!$C$2:$C$5000,"Actual",Entries!$A$2:$A$5000,"&gt;="&amp;$A194,Entries!$A$2:$A$5000,"&lt;"&amp;EDATE($A194,1),Entries!$B$2:$B$5000,W$1))</f>
        <v/>
      </c>
      <c r="X194" s="23">
        <f>IF(OR(X$1="",$BM194=0),"",SUMIFS(Entries!$E$2:$E$5000,Entries!$C$2:$C$5000,"Actual",Entries!$A$2:$A$5000,"&gt;="&amp;$A194,Entries!$A$2:$A$5000,"&lt;"&amp;EDATE($A194,1),Entries!$B$2:$B$5000,X$1))</f>
        <v/>
      </c>
      <c r="Y194" s="23">
        <f>IF(OR(Y$1="",$BM194=0),"",SUMIFS(Entries!$E$2:$E$5000,Entries!$C$2:$C$5000,"Actual",Entries!$A$2:$A$5000,"&gt;="&amp;$A194,Entries!$A$2:$A$5000,"&lt;"&amp;EDATE($A194,1),Entries!$B$2:$B$5000,Y$1))</f>
        <v/>
      </c>
      <c r="Z194" s="23">
        <f>IF(OR(Z$1="",$BM194=0),"",SUMIFS(Entries!$E$2:$E$5000,Entries!$C$2:$C$5000,"Actual",Entries!$A$2:$A$5000,"&gt;="&amp;$A194,Entries!$A$2:$A$5000,"&lt;"&amp;EDATE($A194,1),Entries!$B$2:$B$5000,Z$1))</f>
        <v/>
      </c>
      <c r="AA194" s="23">
        <f>IF(OR(AA$1="",$BM194=0),"",SUMIFS(Entries!$E$2:$E$5000,Entries!$C$2:$C$5000,"Actual",Entries!$A$2:$A$5000,"&gt;="&amp;$A194,Entries!$A$2:$A$5000,"&lt;"&amp;EDATE($A194,1),Entries!$B$2:$B$5000,AA$1))</f>
        <v/>
      </c>
      <c r="AB194" s="23">
        <f>IF(OR(AB$1="",$BM194=0),"",SUMIFS(Entries!$E$2:$E$5000,Entries!$C$2:$C$5000,"Actual",Entries!$A$2:$A$5000,"&gt;="&amp;$A194,Entries!$A$2:$A$5000,"&lt;"&amp;EDATE($A194,1),Entries!$B$2:$B$5000,AB$1))</f>
        <v/>
      </c>
      <c r="AC194" s="23">
        <f>IF(OR(AC$1="",$BM194=0),"",SUMIFS(Entries!$E$2:$E$5000,Entries!$C$2:$C$5000,"Actual",Entries!$A$2:$A$5000,"&gt;="&amp;$A194,Entries!$A$2:$A$5000,"&lt;"&amp;EDATE($A194,1),Entries!$B$2:$B$5000,AC$1))</f>
        <v/>
      </c>
      <c r="AD194" s="23">
        <f>IF(OR(AD$1="",$BM194=0),"",SUMIFS(Entries!$E$2:$E$5000,Entries!$C$2:$C$5000,"Actual",Entries!$A$2:$A$5000,"&gt;="&amp;$A194,Entries!$A$2:$A$5000,"&lt;"&amp;EDATE($A194,1),Entries!$B$2:$B$5000,AD$1))</f>
        <v/>
      </c>
      <c r="AE194" s="23">
        <f>IF(OR(AE$1="",$BM194=0),"",SUMIFS(Entries!$E$2:$E$5000,Entries!$C$2:$C$5000,"Actual",Entries!$A$2:$A$5000,"&gt;="&amp;$A194,Entries!$A$2:$A$5000,"&lt;"&amp;EDATE($A194,1),Entries!$B$2:$B$5000,AE$1))</f>
        <v/>
      </c>
      <c r="AF194" s="23">
        <f>IF(OR(AF$1="",$BM194=0),"",SUMIFS(Entries!$E$2:$E$5000,Entries!$C$2:$C$5000,"Actual",Entries!$A$2:$A$5000,"&gt;="&amp;$A194,Entries!$A$2:$A$5000,"&lt;"&amp;EDATE($A194,1),Entries!$B$2:$B$5000,AF$1))</f>
        <v/>
      </c>
      <c r="AG194" s="23">
        <f>IF(OR(AG$1="",$BM194=0),"",SUMIFS(Entries!$E$2:$E$5000,Entries!$C$2:$C$5000,"Actual",Entries!$A$2:$A$5000,"&gt;="&amp;$A194,Entries!$A$2:$A$5000,"&lt;"&amp;EDATE($A194,1),Entries!$B$2:$B$5000,AG$1))</f>
        <v/>
      </c>
      <c r="AH194" s="23">
        <f>IF(OR(AH$1="",$BM194=0),"",SUMIFS(Entries!$E$2:$E$5000,Entries!$C$2:$C$5000,"Actual",Entries!$A$2:$A$5000,"&gt;="&amp;$A194,Entries!$A$2:$A$5000,"&lt;"&amp;EDATE($A194,1),Entries!$B$2:$B$5000,AH$1))</f>
        <v/>
      </c>
      <c r="AI194" s="23">
        <f>IF(OR(AI$1="",$BM194=0),"",SUMIFS(Entries!$E$2:$E$5000,Entries!$C$2:$C$5000,"Actual",Entries!$A$2:$A$5000,"&gt;="&amp;$A194,Entries!$A$2:$A$5000,"&lt;"&amp;EDATE($A194,1),Entries!$B$2:$B$5000,AI$1))</f>
        <v/>
      </c>
      <c r="AJ194" s="23">
        <f>IF(OR(AJ$1="",$BM194=0),"",SUMIFS(Entries!$E$2:$E$5000,Entries!$C$2:$C$5000,"Actual",Entries!$A$2:$A$5000,"&gt;="&amp;$A194,Entries!$A$2:$A$5000,"&lt;"&amp;EDATE($A194,1),Entries!$B$2:$B$5000,AJ$1))</f>
        <v/>
      </c>
      <c r="AK194" s="23">
        <f>IF(OR(AK$1="",$BM194=0),"",SUMIFS(Entries!$E$2:$E$5000,Entries!$C$2:$C$5000,"Actual",Entries!$A$2:$A$5000,"&gt;="&amp;$A194,Entries!$A$2:$A$5000,"&lt;"&amp;EDATE($A194,1),Entries!$B$2:$B$5000,AK$1))</f>
        <v/>
      </c>
      <c r="AL194" s="23">
        <f>IF(OR(AL$1="",$BM194=0),"",SUMIFS(Entries!$E$2:$E$5000,Entries!$C$2:$C$5000,"Actual",Entries!$A$2:$A$5000,"&gt;="&amp;$A194,Entries!$A$2:$A$5000,"&lt;"&amp;EDATE($A194,1),Entries!$B$2:$B$5000,AL$1))</f>
        <v/>
      </c>
      <c r="AM194" s="23">
        <f>IF(OR(AM$1="",$BM194=0),"",SUMIFS(Entries!$E$2:$E$5000,Entries!$C$2:$C$5000,"Actual",Entries!$A$2:$A$5000,"&gt;="&amp;$A194,Entries!$A$2:$A$5000,"&lt;"&amp;EDATE($A194,1),Entries!$B$2:$B$5000,AM$1))</f>
        <v/>
      </c>
      <c r="AN194" s="23">
        <f>IF(OR(AN$1="",$BM194=0),"",SUMIFS(Entries!$E$2:$E$5000,Entries!$C$2:$C$5000,"Actual",Entries!$A$2:$A$5000,"&gt;="&amp;$A194,Entries!$A$2:$A$5000,"&lt;"&amp;EDATE($A194,1),Entries!$B$2:$B$5000,AN$1))</f>
        <v/>
      </c>
      <c r="AO194" s="23">
        <f>IF(OR(AO$1="",$BM194=0),"",SUMIFS(Entries!$E$2:$E$5000,Entries!$C$2:$C$5000,"Actual",Entries!$A$2:$A$5000,"&gt;="&amp;$A194,Entries!$A$2:$A$5000,"&lt;"&amp;EDATE($A194,1),Entries!$B$2:$B$5000,AO$1))</f>
        <v/>
      </c>
      <c r="AP194" s="23">
        <f>IF(OR(AP$1="",$BM194=0),"",SUMIFS(Entries!$E$2:$E$5000,Entries!$C$2:$C$5000,"Actual",Entries!$A$2:$A$5000,"&gt;="&amp;$A194,Entries!$A$2:$A$5000,"&lt;"&amp;EDATE($A194,1),Entries!$B$2:$B$5000,AP$1))</f>
        <v/>
      </c>
      <c r="AR194" s="23">
        <f>IF(OR(AR$1="",$BM194=0),"",IFERROR(LOOKUP(2,1/((Budgets!$A$2:$A$200=AR$1)*(Budgets!$B$2:$B$200&lt;EDATE($A194,1))),Budgets!$C$2:$C$200),0))</f>
        <v/>
      </c>
      <c r="AS194" s="23">
        <f>IF(OR(AS$1="",$BM194=0),"",IFERROR(LOOKUP(2,1/((Budgets!$A$2:$A$200=AS$1)*(Budgets!$B$2:$B$200&lt;EDATE($A194,1))),Budgets!$C$2:$C$200),0))</f>
        <v/>
      </c>
      <c r="AT194" s="23">
        <f>IF(OR(AT$1="",$BM194=0),"",IFERROR(LOOKUP(2,1/((Budgets!$A$2:$A$200=AT$1)*(Budgets!$B$2:$B$200&lt;EDATE($A194,1))),Budgets!$C$2:$C$200),0))</f>
        <v/>
      </c>
      <c r="AU194" s="23">
        <f>IF(OR(AU$1="",$BM194=0),"",IFERROR(LOOKUP(2,1/((Budgets!$A$2:$A$200=AU$1)*(Budgets!$B$2:$B$200&lt;EDATE($A194,1))),Budgets!$C$2:$C$200),0))</f>
        <v/>
      </c>
      <c r="AV194" s="23">
        <f>IF(OR(AV$1="",$BM194=0),"",IFERROR(LOOKUP(2,1/((Budgets!$A$2:$A$200=AV$1)*(Budgets!$B$2:$B$200&lt;EDATE($A194,1))),Budgets!$C$2:$C$200),0))</f>
        <v/>
      </c>
      <c r="AW194" s="23">
        <f>IF(OR(AW$1="",$BM194=0),"",IFERROR(LOOKUP(2,1/((Budgets!$A$2:$A$200=AW$1)*(Budgets!$B$2:$B$200&lt;EDATE($A194,1))),Budgets!$C$2:$C$200),0))</f>
        <v/>
      </c>
      <c r="AX194" s="23">
        <f>IF(OR(AX$1="",$BM194=0),"",IFERROR(LOOKUP(2,1/((Budgets!$A$2:$A$200=AX$1)*(Budgets!$B$2:$B$200&lt;EDATE($A194,1))),Budgets!$C$2:$C$200),0))</f>
        <v/>
      </c>
      <c r="AY194" s="23">
        <f>IF(OR(AY$1="",$BM194=0),"",IFERROR(LOOKUP(2,1/((Budgets!$A$2:$A$200=AY$1)*(Budgets!$B$2:$B$200&lt;EDATE($A194,1))),Budgets!$C$2:$C$200),0))</f>
        <v/>
      </c>
      <c r="AZ194" s="23">
        <f>IF(OR(AZ$1="",$BM194=0),"",IFERROR(LOOKUP(2,1/((Budgets!$A$2:$A$200=AZ$1)*(Budgets!$B$2:$B$200&lt;EDATE($A194,1))),Budgets!$C$2:$C$200),0))</f>
        <v/>
      </c>
      <c r="BA194" s="23">
        <f>IF(OR(BA$1="",$BM194=0),"",IFERROR(LOOKUP(2,1/((Budgets!$A$2:$A$200=BA$1)*(Budgets!$B$2:$B$200&lt;EDATE($A194,1))),Budgets!$C$2:$C$200),0))</f>
        <v/>
      </c>
      <c r="BB194" s="23">
        <f>IF(OR(BB$1="",$BM194=0),"",IFERROR(LOOKUP(2,1/((Budgets!$A$2:$A$200=BB$1)*(Budgets!$B$2:$B$200&lt;EDATE($A194,1))),Budgets!$C$2:$C$200),0))</f>
        <v/>
      </c>
      <c r="BC194" s="23">
        <f>IF(OR(BC$1="",$BM194=0),"",IFERROR(LOOKUP(2,1/((Budgets!$A$2:$A$200=BC$1)*(Budgets!$B$2:$B$200&lt;EDATE($A194,1))),Budgets!$C$2:$C$200),0))</f>
        <v/>
      </c>
      <c r="BD194" s="23">
        <f>IF(OR(BD$1="",$BM194=0),"",IFERROR(LOOKUP(2,1/((Budgets!$A$2:$A$200=BD$1)*(Budgets!$B$2:$B$200&lt;EDATE($A194,1))),Budgets!$C$2:$C$200),0))</f>
        <v/>
      </c>
      <c r="BE194" s="23">
        <f>IF(OR(BE$1="",$BM194=0),"",IFERROR(LOOKUP(2,1/((Budgets!$A$2:$A$200=BE$1)*(Budgets!$B$2:$B$200&lt;EDATE($A194,1))),Budgets!$C$2:$C$200),0))</f>
        <v/>
      </c>
      <c r="BF194" s="23">
        <f>IF(OR(BF$1="",$BM194=0),"",IFERROR(LOOKUP(2,1/((Budgets!$A$2:$A$200=BF$1)*(Budgets!$B$2:$B$200&lt;EDATE($A194,1))),Budgets!$C$2:$C$200),0))</f>
        <v/>
      </c>
      <c r="BG194" s="23">
        <f>IF(OR(BG$1="",$BM194=0),"",IFERROR(LOOKUP(2,1/((Budgets!$A$2:$A$200=BG$1)*(Budgets!$B$2:$B$200&lt;EDATE($A194,1))),Budgets!$C$2:$C$200),0))</f>
        <v/>
      </c>
      <c r="BH194" s="23">
        <f>IF(OR(BH$1="",$BM194=0),"",IFERROR(LOOKUP(2,1/((Budgets!$A$2:$A$200=BH$1)*(Budgets!$B$2:$B$200&lt;EDATE($A194,1))),Budgets!$C$2:$C$200),0))</f>
        <v/>
      </c>
      <c r="BI194" s="23">
        <f>IF(OR(BI$1="",$BM194=0),"",IFERROR(LOOKUP(2,1/((Budgets!$A$2:$A$200=BI$1)*(Budgets!$B$2:$B$200&lt;EDATE($A194,1))),Budgets!$C$2:$C$200),0))</f>
        <v/>
      </c>
      <c r="BJ194" s="23">
        <f>IF(OR(BJ$1="",$BM194=0),"",IFERROR(LOOKUP(2,1/((Budgets!$A$2:$A$200=BJ$1)*(Budgets!$B$2:$B$200&lt;EDATE($A194,1))),Budgets!$C$2:$C$200),0))</f>
        <v/>
      </c>
      <c r="BK194" s="23">
        <f>IF(OR(BK$1="",$BM194=0),"",IFERROR(LOOKUP(2,1/((Budgets!$A$2:$A$200=BK$1)*(Budgets!$B$2:$B$200&lt;EDATE($A194,1))),Budgets!$C$2:$C$200),0))</f>
        <v/>
      </c>
      <c r="BM194" s="21">
        <f>COUNTIFS(Entries!$A$2:$A$5000,"&gt;="&amp;$A194,Entries!$A$2:$A$5000,"&lt;"&amp;EDATE($A194,1))</f>
        <v/>
      </c>
    </row>
    <row r="195">
      <c r="A195" s="22" t="n">
        <v>45323</v>
      </c>
      <c r="B195" s="23">
        <f>IF($BM195=0,NA(),SUMIFS(Entries!$E$2:$E$5000,Entries!$C$2:$C$5000,"Income",Entries!$A$2:$A$5000,"&gt;="&amp;$A195,Entries!$A$2:$A$5000,"&lt;"&amp;EDATE($A195,1)))</f>
        <v/>
      </c>
      <c r="C195" s="23">
        <f>IF($BM195=0,"",SUMIFS(Entries!$E$2:$E$5000,Entries!$C$2:$C$5000,"Actual",Entries!$A$2:$A$5000,"&gt;="&amp;$A195,Entries!$A$2:$A$5000,"&lt;"&amp;EDATE($A195,1)))</f>
        <v/>
      </c>
      <c r="D195" s="23">
        <f>IF($BM195=0,"",SUMIFS(Entries!$E$2:$E$5000,Entries!$C$2:$C$5000,"One-off",Entries!$A$2:$A$5000,"&gt;="&amp;$A195,Entries!$A$2:$A$5000,"&lt;"&amp;EDATE($A195,1)))</f>
        <v/>
      </c>
      <c r="E195" s="23">
        <f>IF($BM195=0,NA(),C195+D195)</f>
        <v/>
      </c>
      <c r="F195" s="23">
        <f>IF($BM195=0,"",SUM(AR195:BK195))</f>
        <v/>
      </c>
      <c r="G195" s="23">
        <f>IF($BM195=0,"",B195-E195)</f>
        <v/>
      </c>
      <c r="H195" s="23">
        <f>IF($BM195=0,"",SUM($G$2:G195))</f>
        <v/>
      </c>
      <c r="I195" s="23">
        <f>IF($BM195=0,"",SUMIFS(Entries!$G$2:$G$5000,Entries!$A$2:$A$5000,"&gt;="&amp;$A195,Entries!$A$2:$A$5000,"&lt;"&amp;EDATE($A195,1)))</f>
        <v/>
      </c>
      <c r="J195" s="23">
        <f>IF($BM195=0,NA(),H195)</f>
        <v/>
      </c>
      <c r="K195" s="23">
        <f>IF($BM195=0,"",SUMIFS(Entries!$E$2:$E$5000,Entries!$C$2:$C$5000,"Income",Entries!$A$2:$A$5000,"&gt;="&amp;EDATE($A195,-11),Entries!$A$2:$A$5000,"&lt;"&amp;EDATE($A195,1))/COUNTIFS($A$2:$A$400,"&gt;="&amp;EDATE($A195,-11),$A$2:$A$400,"&lt;"&amp;EDATE($A195,1),$BM$2:$BM$400,"&gt;0"))</f>
      </c>
      <c r="L195" s="23">
        <f>IF($BM195=0,"",(SUMIFS(Entries!$E$2:$E$5000,Entries!$C$2:$C$5000,"Actual",Entries!$A$2:$A$5000,"&gt;="&amp;EDATE($A195,-11),Entries!$A$2:$A$5000,"&lt;"&amp;EDATE($A195,1))+SUMIFS(Entries!$E$2:$E$5000,Entries!$C$2:$C$5000,"One-off",Entries!$A$2:$A$5000,"&gt;="&amp;EDATE($A195,-11),Entries!$A$2:$A$5000,"&lt;"&amp;EDATE($A195,1)))/COUNTIFS($A$2:$A$400,"&gt;="&amp;EDATE($A195,-11),$A$2:$A$400,"&lt;"&amp;EDATE($A195,1),$BM$2:$BM$400,"&gt;0"))</f>
      </c>
      <c r="M195" s="24">
        <f>IF($BM195=0,NA(),IFERROR((K195-L195)/K195,0))</f>
        <v/>
      </c>
      <c r="N195" s="23">
        <f>IF($BM195=0,NA(),SUMIFS(Entries!$E$2:$E$5000,Entries!$D$2:$D$5000,"Core",Entries!$A$2:$A$5000,"&gt;="&amp;$A195,Entries!$A$2:$A$5000,"&lt;"&amp;EDATE($A195,1)))</f>
        <v/>
      </c>
      <c r="O195" s="23">
        <f>IF($BM195=0,NA(),SUMIFS(Entries!$E$2:$E$5000,Entries!$D$2:$D$5000,"Over &amp; above",Entries!$A$2:$A$5000,"&gt;="&amp;$A195,Entries!$A$2:$A$5000,"&lt;"&amp;EDATE($A195,1)))</f>
        <v/>
      </c>
      <c r="P195" s="23">
        <f>IF($BM195=0,NA(),SUMIFS(Entries!$E$2:$E$5000,Entries!$D$2:$D$5000,"One-off",Entries!$A$2:$A$5000,"&gt;="&amp;$A195,Entries!$A$2:$A$5000,"&lt;"&amp;EDATE($A195,1)))</f>
        <v/>
      </c>
      <c r="Q195" s="23">
        <f>IF($BM195=0,NA(),SUMIFS(Entries!$E$2:$E$5000,Entries!$D$2:$D$5000,"Reimbursable",Entries!$A$2:$A$5000,"&gt;="&amp;$A195,Entries!$A$2:$A$5000,"&lt;"&amp;EDATE($A195,1)))</f>
        <v/>
      </c>
      <c r="R195" s="23">
        <f>IF($BM195=0,NA(),SUMIFS(Entries!$E$2:$E$5000,Entries!$D$2:$D$5000,"Investment",Entries!$A$2:$A$5000,"&gt;="&amp;$A195,Entries!$A$2:$A$5000,"&lt;"&amp;EDATE($A195,1)))</f>
        <v/>
      </c>
      <c r="S195" s="23">
        <f>IF($BM195=0,NA(),N195+O195)</f>
        <v/>
      </c>
      <c r="T195" s="23">
        <f>IF($BM195=0,"",E195-Q195)</f>
        <v/>
      </c>
      <c r="W195" s="23">
        <f>IF(OR(W$1="",$BM195=0),"",SUMIFS(Entries!$E$2:$E$5000,Entries!$C$2:$C$5000,"Actual",Entries!$A$2:$A$5000,"&gt;="&amp;$A195,Entries!$A$2:$A$5000,"&lt;"&amp;EDATE($A195,1),Entries!$B$2:$B$5000,W$1))</f>
        <v/>
      </c>
      <c r="X195" s="23">
        <f>IF(OR(X$1="",$BM195=0),"",SUMIFS(Entries!$E$2:$E$5000,Entries!$C$2:$C$5000,"Actual",Entries!$A$2:$A$5000,"&gt;="&amp;$A195,Entries!$A$2:$A$5000,"&lt;"&amp;EDATE($A195,1),Entries!$B$2:$B$5000,X$1))</f>
        <v/>
      </c>
      <c r="Y195" s="23">
        <f>IF(OR(Y$1="",$BM195=0),"",SUMIFS(Entries!$E$2:$E$5000,Entries!$C$2:$C$5000,"Actual",Entries!$A$2:$A$5000,"&gt;="&amp;$A195,Entries!$A$2:$A$5000,"&lt;"&amp;EDATE($A195,1),Entries!$B$2:$B$5000,Y$1))</f>
        <v/>
      </c>
      <c r="Z195" s="23">
        <f>IF(OR(Z$1="",$BM195=0),"",SUMIFS(Entries!$E$2:$E$5000,Entries!$C$2:$C$5000,"Actual",Entries!$A$2:$A$5000,"&gt;="&amp;$A195,Entries!$A$2:$A$5000,"&lt;"&amp;EDATE($A195,1),Entries!$B$2:$B$5000,Z$1))</f>
        <v/>
      </c>
      <c r="AA195" s="23">
        <f>IF(OR(AA$1="",$BM195=0),"",SUMIFS(Entries!$E$2:$E$5000,Entries!$C$2:$C$5000,"Actual",Entries!$A$2:$A$5000,"&gt;="&amp;$A195,Entries!$A$2:$A$5000,"&lt;"&amp;EDATE($A195,1),Entries!$B$2:$B$5000,AA$1))</f>
        <v/>
      </c>
      <c r="AB195" s="23">
        <f>IF(OR(AB$1="",$BM195=0),"",SUMIFS(Entries!$E$2:$E$5000,Entries!$C$2:$C$5000,"Actual",Entries!$A$2:$A$5000,"&gt;="&amp;$A195,Entries!$A$2:$A$5000,"&lt;"&amp;EDATE($A195,1),Entries!$B$2:$B$5000,AB$1))</f>
        <v/>
      </c>
      <c r="AC195" s="23">
        <f>IF(OR(AC$1="",$BM195=0),"",SUMIFS(Entries!$E$2:$E$5000,Entries!$C$2:$C$5000,"Actual",Entries!$A$2:$A$5000,"&gt;="&amp;$A195,Entries!$A$2:$A$5000,"&lt;"&amp;EDATE($A195,1),Entries!$B$2:$B$5000,AC$1))</f>
        <v/>
      </c>
      <c r="AD195" s="23">
        <f>IF(OR(AD$1="",$BM195=0),"",SUMIFS(Entries!$E$2:$E$5000,Entries!$C$2:$C$5000,"Actual",Entries!$A$2:$A$5000,"&gt;="&amp;$A195,Entries!$A$2:$A$5000,"&lt;"&amp;EDATE($A195,1),Entries!$B$2:$B$5000,AD$1))</f>
        <v/>
      </c>
      <c r="AE195" s="23">
        <f>IF(OR(AE$1="",$BM195=0),"",SUMIFS(Entries!$E$2:$E$5000,Entries!$C$2:$C$5000,"Actual",Entries!$A$2:$A$5000,"&gt;="&amp;$A195,Entries!$A$2:$A$5000,"&lt;"&amp;EDATE($A195,1),Entries!$B$2:$B$5000,AE$1))</f>
        <v/>
      </c>
      <c r="AF195" s="23">
        <f>IF(OR(AF$1="",$BM195=0),"",SUMIFS(Entries!$E$2:$E$5000,Entries!$C$2:$C$5000,"Actual",Entries!$A$2:$A$5000,"&gt;="&amp;$A195,Entries!$A$2:$A$5000,"&lt;"&amp;EDATE($A195,1),Entries!$B$2:$B$5000,AF$1))</f>
        <v/>
      </c>
      <c r="AG195" s="23">
        <f>IF(OR(AG$1="",$BM195=0),"",SUMIFS(Entries!$E$2:$E$5000,Entries!$C$2:$C$5000,"Actual",Entries!$A$2:$A$5000,"&gt;="&amp;$A195,Entries!$A$2:$A$5000,"&lt;"&amp;EDATE($A195,1),Entries!$B$2:$B$5000,AG$1))</f>
        <v/>
      </c>
      <c r="AH195" s="23">
        <f>IF(OR(AH$1="",$BM195=0),"",SUMIFS(Entries!$E$2:$E$5000,Entries!$C$2:$C$5000,"Actual",Entries!$A$2:$A$5000,"&gt;="&amp;$A195,Entries!$A$2:$A$5000,"&lt;"&amp;EDATE($A195,1),Entries!$B$2:$B$5000,AH$1))</f>
        <v/>
      </c>
      <c r="AI195" s="23">
        <f>IF(OR(AI$1="",$BM195=0),"",SUMIFS(Entries!$E$2:$E$5000,Entries!$C$2:$C$5000,"Actual",Entries!$A$2:$A$5000,"&gt;="&amp;$A195,Entries!$A$2:$A$5000,"&lt;"&amp;EDATE($A195,1),Entries!$B$2:$B$5000,AI$1))</f>
        <v/>
      </c>
      <c r="AJ195" s="23">
        <f>IF(OR(AJ$1="",$BM195=0),"",SUMIFS(Entries!$E$2:$E$5000,Entries!$C$2:$C$5000,"Actual",Entries!$A$2:$A$5000,"&gt;="&amp;$A195,Entries!$A$2:$A$5000,"&lt;"&amp;EDATE($A195,1),Entries!$B$2:$B$5000,AJ$1))</f>
        <v/>
      </c>
      <c r="AK195" s="23">
        <f>IF(OR(AK$1="",$BM195=0),"",SUMIFS(Entries!$E$2:$E$5000,Entries!$C$2:$C$5000,"Actual",Entries!$A$2:$A$5000,"&gt;="&amp;$A195,Entries!$A$2:$A$5000,"&lt;"&amp;EDATE($A195,1),Entries!$B$2:$B$5000,AK$1))</f>
        <v/>
      </c>
      <c r="AL195" s="23">
        <f>IF(OR(AL$1="",$BM195=0),"",SUMIFS(Entries!$E$2:$E$5000,Entries!$C$2:$C$5000,"Actual",Entries!$A$2:$A$5000,"&gt;="&amp;$A195,Entries!$A$2:$A$5000,"&lt;"&amp;EDATE($A195,1),Entries!$B$2:$B$5000,AL$1))</f>
        <v/>
      </c>
      <c r="AM195" s="23">
        <f>IF(OR(AM$1="",$BM195=0),"",SUMIFS(Entries!$E$2:$E$5000,Entries!$C$2:$C$5000,"Actual",Entries!$A$2:$A$5000,"&gt;="&amp;$A195,Entries!$A$2:$A$5000,"&lt;"&amp;EDATE($A195,1),Entries!$B$2:$B$5000,AM$1))</f>
        <v/>
      </c>
      <c r="AN195" s="23">
        <f>IF(OR(AN$1="",$BM195=0),"",SUMIFS(Entries!$E$2:$E$5000,Entries!$C$2:$C$5000,"Actual",Entries!$A$2:$A$5000,"&gt;="&amp;$A195,Entries!$A$2:$A$5000,"&lt;"&amp;EDATE($A195,1),Entries!$B$2:$B$5000,AN$1))</f>
        <v/>
      </c>
      <c r="AO195" s="23">
        <f>IF(OR(AO$1="",$BM195=0),"",SUMIFS(Entries!$E$2:$E$5000,Entries!$C$2:$C$5000,"Actual",Entries!$A$2:$A$5000,"&gt;="&amp;$A195,Entries!$A$2:$A$5000,"&lt;"&amp;EDATE($A195,1),Entries!$B$2:$B$5000,AO$1))</f>
        <v/>
      </c>
      <c r="AP195" s="23">
        <f>IF(OR(AP$1="",$BM195=0),"",SUMIFS(Entries!$E$2:$E$5000,Entries!$C$2:$C$5000,"Actual",Entries!$A$2:$A$5000,"&gt;="&amp;$A195,Entries!$A$2:$A$5000,"&lt;"&amp;EDATE($A195,1),Entries!$B$2:$B$5000,AP$1))</f>
        <v/>
      </c>
      <c r="AR195" s="23">
        <f>IF(OR(AR$1="",$BM195=0),"",IFERROR(LOOKUP(2,1/((Budgets!$A$2:$A$200=AR$1)*(Budgets!$B$2:$B$200&lt;EDATE($A195,1))),Budgets!$C$2:$C$200),0))</f>
        <v/>
      </c>
      <c r="AS195" s="23">
        <f>IF(OR(AS$1="",$BM195=0),"",IFERROR(LOOKUP(2,1/((Budgets!$A$2:$A$200=AS$1)*(Budgets!$B$2:$B$200&lt;EDATE($A195,1))),Budgets!$C$2:$C$200),0))</f>
        <v/>
      </c>
      <c r="AT195" s="23">
        <f>IF(OR(AT$1="",$BM195=0),"",IFERROR(LOOKUP(2,1/((Budgets!$A$2:$A$200=AT$1)*(Budgets!$B$2:$B$200&lt;EDATE($A195,1))),Budgets!$C$2:$C$200),0))</f>
        <v/>
      </c>
      <c r="AU195" s="23">
        <f>IF(OR(AU$1="",$BM195=0),"",IFERROR(LOOKUP(2,1/((Budgets!$A$2:$A$200=AU$1)*(Budgets!$B$2:$B$200&lt;EDATE($A195,1))),Budgets!$C$2:$C$200),0))</f>
        <v/>
      </c>
      <c r="AV195" s="23">
        <f>IF(OR(AV$1="",$BM195=0),"",IFERROR(LOOKUP(2,1/((Budgets!$A$2:$A$200=AV$1)*(Budgets!$B$2:$B$200&lt;EDATE($A195,1))),Budgets!$C$2:$C$200),0))</f>
        <v/>
      </c>
      <c r="AW195" s="23">
        <f>IF(OR(AW$1="",$BM195=0),"",IFERROR(LOOKUP(2,1/((Budgets!$A$2:$A$200=AW$1)*(Budgets!$B$2:$B$200&lt;EDATE($A195,1))),Budgets!$C$2:$C$200),0))</f>
        <v/>
      </c>
      <c r="AX195" s="23">
        <f>IF(OR(AX$1="",$BM195=0),"",IFERROR(LOOKUP(2,1/((Budgets!$A$2:$A$200=AX$1)*(Budgets!$B$2:$B$200&lt;EDATE($A195,1))),Budgets!$C$2:$C$200),0))</f>
        <v/>
      </c>
      <c r="AY195" s="23">
        <f>IF(OR(AY$1="",$BM195=0),"",IFERROR(LOOKUP(2,1/((Budgets!$A$2:$A$200=AY$1)*(Budgets!$B$2:$B$200&lt;EDATE($A195,1))),Budgets!$C$2:$C$200),0))</f>
        <v/>
      </c>
      <c r="AZ195" s="23">
        <f>IF(OR(AZ$1="",$BM195=0),"",IFERROR(LOOKUP(2,1/((Budgets!$A$2:$A$200=AZ$1)*(Budgets!$B$2:$B$200&lt;EDATE($A195,1))),Budgets!$C$2:$C$200),0))</f>
        <v/>
      </c>
      <c r="BA195" s="23">
        <f>IF(OR(BA$1="",$BM195=0),"",IFERROR(LOOKUP(2,1/((Budgets!$A$2:$A$200=BA$1)*(Budgets!$B$2:$B$200&lt;EDATE($A195,1))),Budgets!$C$2:$C$200),0))</f>
        <v/>
      </c>
      <c r="BB195" s="23">
        <f>IF(OR(BB$1="",$BM195=0),"",IFERROR(LOOKUP(2,1/((Budgets!$A$2:$A$200=BB$1)*(Budgets!$B$2:$B$200&lt;EDATE($A195,1))),Budgets!$C$2:$C$200),0))</f>
        <v/>
      </c>
      <c r="BC195" s="23">
        <f>IF(OR(BC$1="",$BM195=0),"",IFERROR(LOOKUP(2,1/((Budgets!$A$2:$A$200=BC$1)*(Budgets!$B$2:$B$200&lt;EDATE($A195,1))),Budgets!$C$2:$C$200),0))</f>
        <v/>
      </c>
      <c r="BD195" s="23">
        <f>IF(OR(BD$1="",$BM195=0),"",IFERROR(LOOKUP(2,1/((Budgets!$A$2:$A$200=BD$1)*(Budgets!$B$2:$B$200&lt;EDATE($A195,1))),Budgets!$C$2:$C$200),0))</f>
        <v/>
      </c>
      <c r="BE195" s="23">
        <f>IF(OR(BE$1="",$BM195=0),"",IFERROR(LOOKUP(2,1/((Budgets!$A$2:$A$200=BE$1)*(Budgets!$B$2:$B$200&lt;EDATE($A195,1))),Budgets!$C$2:$C$200),0))</f>
        <v/>
      </c>
      <c r="BF195" s="23">
        <f>IF(OR(BF$1="",$BM195=0),"",IFERROR(LOOKUP(2,1/((Budgets!$A$2:$A$200=BF$1)*(Budgets!$B$2:$B$200&lt;EDATE($A195,1))),Budgets!$C$2:$C$200),0))</f>
        <v/>
      </c>
      <c r="BG195" s="23">
        <f>IF(OR(BG$1="",$BM195=0),"",IFERROR(LOOKUP(2,1/((Budgets!$A$2:$A$200=BG$1)*(Budgets!$B$2:$B$200&lt;EDATE($A195,1))),Budgets!$C$2:$C$200),0))</f>
        <v/>
      </c>
      <c r="BH195" s="23">
        <f>IF(OR(BH$1="",$BM195=0),"",IFERROR(LOOKUP(2,1/((Budgets!$A$2:$A$200=BH$1)*(Budgets!$B$2:$B$200&lt;EDATE($A195,1))),Budgets!$C$2:$C$200),0))</f>
        <v/>
      </c>
      <c r="BI195" s="23">
        <f>IF(OR(BI$1="",$BM195=0),"",IFERROR(LOOKUP(2,1/((Budgets!$A$2:$A$200=BI$1)*(Budgets!$B$2:$B$200&lt;EDATE($A195,1))),Budgets!$C$2:$C$200),0))</f>
        <v/>
      </c>
      <c r="BJ195" s="23">
        <f>IF(OR(BJ$1="",$BM195=0),"",IFERROR(LOOKUP(2,1/((Budgets!$A$2:$A$200=BJ$1)*(Budgets!$B$2:$B$200&lt;EDATE($A195,1))),Budgets!$C$2:$C$200),0))</f>
        <v/>
      </c>
      <c r="BK195" s="23">
        <f>IF(OR(BK$1="",$BM195=0),"",IFERROR(LOOKUP(2,1/((Budgets!$A$2:$A$200=BK$1)*(Budgets!$B$2:$B$200&lt;EDATE($A195,1))),Budgets!$C$2:$C$200),0))</f>
        <v/>
      </c>
      <c r="BM195" s="21">
        <f>COUNTIFS(Entries!$A$2:$A$5000,"&gt;="&amp;$A195,Entries!$A$2:$A$5000,"&lt;"&amp;EDATE($A195,1))</f>
        <v/>
      </c>
    </row>
    <row r="196">
      <c r="A196" s="22" t="n">
        <v>45352</v>
      </c>
      <c r="B196" s="23">
        <f>IF($BM196=0,NA(),SUMIFS(Entries!$E$2:$E$5000,Entries!$C$2:$C$5000,"Income",Entries!$A$2:$A$5000,"&gt;="&amp;$A196,Entries!$A$2:$A$5000,"&lt;"&amp;EDATE($A196,1)))</f>
        <v/>
      </c>
      <c r="C196" s="23">
        <f>IF($BM196=0,"",SUMIFS(Entries!$E$2:$E$5000,Entries!$C$2:$C$5000,"Actual",Entries!$A$2:$A$5000,"&gt;="&amp;$A196,Entries!$A$2:$A$5000,"&lt;"&amp;EDATE($A196,1)))</f>
        <v/>
      </c>
      <c r="D196" s="23">
        <f>IF($BM196=0,"",SUMIFS(Entries!$E$2:$E$5000,Entries!$C$2:$C$5000,"One-off",Entries!$A$2:$A$5000,"&gt;="&amp;$A196,Entries!$A$2:$A$5000,"&lt;"&amp;EDATE($A196,1)))</f>
        <v/>
      </c>
      <c r="E196" s="23">
        <f>IF($BM196=0,NA(),C196+D196)</f>
        <v/>
      </c>
      <c r="F196" s="23">
        <f>IF($BM196=0,"",SUM(AR196:BK196))</f>
        <v/>
      </c>
      <c r="G196" s="23">
        <f>IF($BM196=0,"",B196-E196)</f>
        <v/>
      </c>
      <c r="H196" s="23">
        <f>IF($BM196=0,"",SUM($G$2:G196))</f>
        <v/>
      </c>
      <c r="I196" s="23">
        <f>IF($BM196=0,"",SUMIFS(Entries!$G$2:$G$5000,Entries!$A$2:$A$5000,"&gt;="&amp;$A196,Entries!$A$2:$A$5000,"&lt;"&amp;EDATE($A196,1)))</f>
        <v/>
      </c>
      <c r="J196" s="23">
        <f>IF($BM196=0,NA(),H196)</f>
        <v/>
      </c>
      <c r="K196" s="23">
        <f>IF($BM196=0,"",SUMIFS(Entries!$E$2:$E$5000,Entries!$C$2:$C$5000,"Income",Entries!$A$2:$A$5000,"&gt;="&amp;EDATE($A196,-11),Entries!$A$2:$A$5000,"&lt;"&amp;EDATE($A196,1))/COUNTIFS($A$2:$A$400,"&gt;="&amp;EDATE($A196,-11),$A$2:$A$400,"&lt;"&amp;EDATE($A196,1),$BM$2:$BM$400,"&gt;0"))</f>
      </c>
      <c r="L196" s="23">
        <f>IF($BM196=0,"",(SUMIFS(Entries!$E$2:$E$5000,Entries!$C$2:$C$5000,"Actual",Entries!$A$2:$A$5000,"&gt;="&amp;EDATE($A196,-11),Entries!$A$2:$A$5000,"&lt;"&amp;EDATE($A196,1))+SUMIFS(Entries!$E$2:$E$5000,Entries!$C$2:$C$5000,"One-off",Entries!$A$2:$A$5000,"&gt;="&amp;EDATE($A196,-11),Entries!$A$2:$A$5000,"&lt;"&amp;EDATE($A196,1)))/COUNTIFS($A$2:$A$400,"&gt;="&amp;EDATE($A196,-11),$A$2:$A$400,"&lt;"&amp;EDATE($A196,1),$BM$2:$BM$400,"&gt;0"))</f>
      </c>
      <c r="M196" s="24">
        <f>IF($BM196=0,NA(),IFERROR((K196-L196)/K196,0))</f>
        <v/>
      </c>
      <c r="N196" s="23">
        <f>IF($BM196=0,NA(),SUMIFS(Entries!$E$2:$E$5000,Entries!$D$2:$D$5000,"Core",Entries!$A$2:$A$5000,"&gt;="&amp;$A196,Entries!$A$2:$A$5000,"&lt;"&amp;EDATE($A196,1)))</f>
        <v/>
      </c>
      <c r="O196" s="23">
        <f>IF($BM196=0,NA(),SUMIFS(Entries!$E$2:$E$5000,Entries!$D$2:$D$5000,"Over &amp; above",Entries!$A$2:$A$5000,"&gt;="&amp;$A196,Entries!$A$2:$A$5000,"&lt;"&amp;EDATE($A196,1)))</f>
        <v/>
      </c>
      <c r="P196" s="23">
        <f>IF($BM196=0,NA(),SUMIFS(Entries!$E$2:$E$5000,Entries!$D$2:$D$5000,"One-off",Entries!$A$2:$A$5000,"&gt;="&amp;$A196,Entries!$A$2:$A$5000,"&lt;"&amp;EDATE($A196,1)))</f>
        <v/>
      </c>
      <c r="Q196" s="23">
        <f>IF($BM196=0,NA(),SUMIFS(Entries!$E$2:$E$5000,Entries!$D$2:$D$5000,"Reimbursable",Entries!$A$2:$A$5000,"&gt;="&amp;$A196,Entries!$A$2:$A$5000,"&lt;"&amp;EDATE($A196,1)))</f>
        <v/>
      </c>
      <c r="R196" s="23">
        <f>IF($BM196=0,NA(),SUMIFS(Entries!$E$2:$E$5000,Entries!$D$2:$D$5000,"Investment",Entries!$A$2:$A$5000,"&gt;="&amp;$A196,Entries!$A$2:$A$5000,"&lt;"&amp;EDATE($A196,1)))</f>
        <v/>
      </c>
      <c r="S196" s="23">
        <f>IF($BM196=0,NA(),N196+O196)</f>
        <v/>
      </c>
      <c r="T196" s="23">
        <f>IF($BM196=0,"",E196-Q196)</f>
        <v/>
      </c>
      <c r="W196" s="23">
        <f>IF(OR(W$1="",$BM196=0),"",SUMIFS(Entries!$E$2:$E$5000,Entries!$C$2:$C$5000,"Actual",Entries!$A$2:$A$5000,"&gt;="&amp;$A196,Entries!$A$2:$A$5000,"&lt;"&amp;EDATE($A196,1),Entries!$B$2:$B$5000,W$1))</f>
        <v/>
      </c>
      <c r="X196" s="23">
        <f>IF(OR(X$1="",$BM196=0),"",SUMIFS(Entries!$E$2:$E$5000,Entries!$C$2:$C$5000,"Actual",Entries!$A$2:$A$5000,"&gt;="&amp;$A196,Entries!$A$2:$A$5000,"&lt;"&amp;EDATE($A196,1),Entries!$B$2:$B$5000,X$1))</f>
        <v/>
      </c>
      <c r="Y196" s="23">
        <f>IF(OR(Y$1="",$BM196=0),"",SUMIFS(Entries!$E$2:$E$5000,Entries!$C$2:$C$5000,"Actual",Entries!$A$2:$A$5000,"&gt;="&amp;$A196,Entries!$A$2:$A$5000,"&lt;"&amp;EDATE($A196,1),Entries!$B$2:$B$5000,Y$1))</f>
        <v/>
      </c>
      <c r="Z196" s="23">
        <f>IF(OR(Z$1="",$BM196=0),"",SUMIFS(Entries!$E$2:$E$5000,Entries!$C$2:$C$5000,"Actual",Entries!$A$2:$A$5000,"&gt;="&amp;$A196,Entries!$A$2:$A$5000,"&lt;"&amp;EDATE($A196,1),Entries!$B$2:$B$5000,Z$1))</f>
        <v/>
      </c>
      <c r="AA196" s="23">
        <f>IF(OR(AA$1="",$BM196=0),"",SUMIFS(Entries!$E$2:$E$5000,Entries!$C$2:$C$5000,"Actual",Entries!$A$2:$A$5000,"&gt;="&amp;$A196,Entries!$A$2:$A$5000,"&lt;"&amp;EDATE($A196,1),Entries!$B$2:$B$5000,AA$1))</f>
        <v/>
      </c>
      <c r="AB196" s="23">
        <f>IF(OR(AB$1="",$BM196=0),"",SUMIFS(Entries!$E$2:$E$5000,Entries!$C$2:$C$5000,"Actual",Entries!$A$2:$A$5000,"&gt;="&amp;$A196,Entries!$A$2:$A$5000,"&lt;"&amp;EDATE($A196,1),Entries!$B$2:$B$5000,AB$1))</f>
        <v/>
      </c>
      <c r="AC196" s="23">
        <f>IF(OR(AC$1="",$BM196=0),"",SUMIFS(Entries!$E$2:$E$5000,Entries!$C$2:$C$5000,"Actual",Entries!$A$2:$A$5000,"&gt;="&amp;$A196,Entries!$A$2:$A$5000,"&lt;"&amp;EDATE($A196,1),Entries!$B$2:$B$5000,AC$1))</f>
        <v/>
      </c>
      <c r="AD196" s="23">
        <f>IF(OR(AD$1="",$BM196=0),"",SUMIFS(Entries!$E$2:$E$5000,Entries!$C$2:$C$5000,"Actual",Entries!$A$2:$A$5000,"&gt;="&amp;$A196,Entries!$A$2:$A$5000,"&lt;"&amp;EDATE($A196,1),Entries!$B$2:$B$5000,AD$1))</f>
        <v/>
      </c>
      <c r="AE196" s="23">
        <f>IF(OR(AE$1="",$BM196=0),"",SUMIFS(Entries!$E$2:$E$5000,Entries!$C$2:$C$5000,"Actual",Entries!$A$2:$A$5000,"&gt;="&amp;$A196,Entries!$A$2:$A$5000,"&lt;"&amp;EDATE($A196,1),Entries!$B$2:$B$5000,AE$1))</f>
        <v/>
      </c>
      <c r="AF196" s="23">
        <f>IF(OR(AF$1="",$BM196=0),"",SUMIFS(Entries!$E$2:$E$5000,Entries!$C$2:$C$5000,"Actual",Entries!$A$2:$A$5000,"&gt;="&amp;$A196,Entries!$A$2:$A$5000,"&lt;"&amp;EDATE($A196,1),Entries!$B$2:$B$5000,AF$1))</f>
        <v/>
      </c>
      <c r="AG196" s="23">
        <f>IF(OR(AG$1="",$BM196=0),"",SUMIFS(Entries!$E$2:$E$5000,Entries!$C$2:$C$5000,"Actual",Entries!$A$2:$A$5000,"&gt;="&amp;$A196,Entries!$A$2:$A$5000,"&lt;"&amp;EDATE($A196,1),Entries!$B$2:$B$5000,AG$1))</f>
        <v/>
      </c>
      <c r="AH196" s="23">
        <f>IF(OR(AH$1="",$BM196=0),"",SUMIFS(Entries!$E$2:$E$5000,Entries!$C$2:$C$5000,"Actual",Entries!$A$2:$A$5000,"&gt;="&amp;$A196,Entries!$A$2:$A$5000,"&lt;"&amp;EDATE($A196,1),Entries!$B$2:$B$5000,AH$1))</f>
        <v/>
      </c>
      <c r="AI196" s="23">
        <f>IF(OR(AI$1="",$BM196=0),"",SUMIFS(Entries!$E$2:$E$5000,Entries!$C$2:$C$5000,"Actual",Entries!$A$2:$A$5000,"&gt;="&amp;$A196,Entries!$A$2:$A$5000,"&lt;"&amp;EDATE($A196,1),Entries!$B$2:$B$5000,AI$1))</f>
        <v/>
      </c>
      <c r="AJ196" s="23">
        <f>IF(OR(AJ$1="",$BM196=0),"",SUMIFS(Entries!$E$2:$E$5000,Entries!$C$2:$C$5000,"Actual",Entries!$A$2:$A$5000,"&gt;="&amp;$A196,Entries!$A$2:$A$5000,"&lt;"&amp;EDATE($A196,1),Entries!$B$2:$B$5000,AJ$1))</f>
        <v/>
      </c>
      <c r="AK196" s="23">
        <f>IF(OR(AK$1="",$BM196=0),"",SUMIFS(Entries!$E$2:$E$5000,Entries!$C$2:$C$5000,"Actual",Entries!$A$2:$A$5000,"&gt;="&amp;$A196,Entries!$A$2:$A$5000,"&lt;"&amp;EDATE($A196,1),Entries!$B$2:$B$5000,AK$1))</f>
        <v/>
      </c>
      <c r="AL196" s="23">
        <f>IF(OR(AL$1="",$BM196=0),"",SUMIFS(Entries!$E$2:$E$5000,Entries!$C$2:$C$5000,"Actual",Entries!$A$2:$A$5000,"&gt;="&amp;$A196,Entries!$A$2:$A$5000,"&lt;"&amp;EDATE($A196,1),Entries!$B$2:$B$5000,AL$1))</f>
        <v/>
      </c>
      <c r="AM196" s="23">
        <f>IF(OR(AM$1="",$BM196=0),"",SUMIFS(Entries!$E$2:$E$5000,Entries!$C$2:$C$5000,"Actual",Entries!$A$2:$A$5000,"&gt;="&amp;$A196,Entries!$A$2:$A$5000,"&lt;"&amp;EDATE($A196,1),Entries!$B$2:$B$5000,AM$1))</f>
        <v/>
      </c>
      <c r="AN196" s="23">
        <f>IF(OR(AN$1="",$BM196=0),"",SUMIFS(Entries!$E$2:$E$5000,Entries!$C$2:$C$5000,"Actual",Entries!$A$2:$A$5000,"&gt;="&amp;$A196,Entries!$A$2:$A$5000,"&lt;"&amp;EDATE($A196,1),Entries!$B$2:$B$5000,AN$1))</f>
        <v/>
      </c>
      <c r="AO196" s="23">
        <f>IF(OR(AO$1="",$BM196=0),"",SUMIFS(Entries!$E$2:$E$5000,Entries!$C$2:$C$5000,"Actual",Entries!$A$2:$A$5000,"&gt;="&amp;$A196,Entries!$A$2:$A$5000,"&lt;"&amp;EDATE($A196,1),Entries!$B$2:$B$5000,AO$1))</f>
        <v/>
      </c>
      <c r="AP196" s="23">
        <f>IF(OR(AP$1="",$BM196=0),"",SUMIFS(Entries!$E$2:$E$5000,Entries!$C$2:$C$5000,"Actual",Entries!$A$2:$A$5000,"&gt;="&amp;$A196,Entries!$A$2:$A$5000,"&lt;"&amp;EDATE($A196,1),Entries!$B$2:$B$5000,AP$1))</f>
        <v/>
      </c>
      <c r="AR196" s="23">
        <f>IF(OR(AR$1="",$BM196=0),"",IFERROR(LOOKUP(2,1/((Budgets!$A$2:$A$200=AR$1)*(Budgets!$B$2:$B$200&lt;EDATE($A196,1))),Budgets!$C$2:$C$200),0))</f>
        <v/>
      </c>
      <c r="AS196" s="23">
        <f>IF(OR(AS$1="",$BM196=0),"",IFERROR(LOOKUP(2,1/((Budgets!$A$2:$A$200=AS$1)*(Budgets!$B$2:$B$200&lt;EDATE($A196,1))),Budgets!$C$2:$C$200),0))</f>
        <v/>
      </c>
      <c r="AT196" s="23">
        <f>IF(OR(AT$1="",$BM196=0),"",IFERROR(LOOKUP(2,1/((Budgets!$A$2:$A$200=AT$1)*(Budgets!$B$2:$B$200&lt;EDATE($A196,1))),Budgets!$C$2:$C$200),0))</f>
        <v/>
      </c>
      <c r="AU196" s="23">
        <f>IF(OR(AU$1="",$BM196=0),"",IFERROR(LOOKUP(2,1/((Budgets!$A$2:$A$200=AU$1)*(Budgets!$B$2:$B$200&lt;EDATE($A196,1))),Budgets!$C$2:$C$200),0))</f>
        <v/>
      </c>
      <c r="AV196" s="23">
        <f>IF(OR(AV$1="",$BM196=0),"",IFERROR(LOOKUP(2,1/((Budgets!$A$2:$A$200=AV$1)*(Budgets!$B$2:$B$200&lt;EDATE($A196,1))),Budgets!$C$2:$C$200),0))</f>
        <v/>
      </c>
      <c r="AW196" s="23">
        <f>IF(OR(AW$1="",$BM196=0),"",IFERROR(LOOKUP(2,1/((Budgets!$A$2:$A$200=AW$1)*(Budgets!$B$2:$B$200&lt;EDATE($A196,1))),Budgets!$C$2:$C$200),0))</f>
        <v/>
      </c>
      <c r="AX196" s="23">
        <f>IF(OR(AX$1="",$BM196=0),"",IFERROR(LOOKUP(2,1/((Budgets!$A$2:$A$200=AX$1)*(Budgets!$B$2:$B$200&lt;EDATE($A196,1))),Budgets!$C$2:$C$200),0))</f>
        <v/>
      </c>
      <c r="AY196" s="23">
        <f>IF(OR(AY$1="",$BM196=0),"",IFERROR(LOOKUP(2,1/((Budgets!$A$2:$A$200=AY$1)*(Budgets!$B$2:$B$200&lt;EDATE($A196,1))),Budgets!$C$2:$C$200),0))</f>
        <v/>
      </c>
      <c r="AZ196" s="23">
        <f>IF(OR(AZ$1="",$BM196=0),"",IFERROR(LOOKUP(2,1/((Budgets!$A$2:$A$200=AZ$1)*(Budgets!$B$2:$B$200&lt;EDATE($A196,1))),Budgets!$C$2:$C$200),0))</f>
        <v/>
      </c>
      <c r="BA196" s="23">
        <f>IF(OR(BA$1="",$BM196=0),"",IFERROR(LOOKUP(2,1/((Budgets!$A$2:$A$200=BA$1)*(Budgets!$B$2:$B$200&lt;EDATE($A196,1))),Budgets!$C$2:$C$200),0))</f>
        <v/>
      </c>
      <c r="BB196" s="23">
        <f>IF(OR(BB$1="",$BM196=0),"",IFERROR(LOOKUP(2,1/((Budgets!$A$2:$A$200=BB$1)*(Budgets!$B$2:$B$200&lt;EDATE($A196,1))),Budgets!$C$2:$C$200),0))</f>
        <v/>
      </c>
      <c r="BC196" s="23">
        <f>IF(OR(BC$1="",$BM196=0),"",IFERROR(LOOKUP(2,1/((Budgets!$A$2:$A$200=BC$1)*(Budgets!$B$2:$B$200&lt;EDATE($A196,1))),Budgets!$C$2:$C$200),0))</f>
        <v/>
      </c>
      <c r="BD196" s="23">
        <f>IF(OR(BD$1="",$BM196=0),"",IFERROR(LOOKUP(2,1/((Budgets!$A$2:$A$200=BD$1)*(Budgets!$B$2:$B$200&lt;EDATE($A196,1))),Budgets!$C$2:$C$200),0))</f>
        <v/>
      </c>
      <c r="BE196" s="23">
        <f>IF(OR(BE$1="",$BM196=0),"",IFERROR(LOOKUP(2,1/((Budgets!$A$2:$A$200=BE$1)*(Budgets!$B$2:$B$200&lt;EDATE($A196,1))),Budgets!$C$2:$C$200),0))</f>
        <v/>
      </c>
      <c r="BF196" s="23">
        <f>IF(OR(BF$1="",$BM196=0),"",IFERROR(LOOKUP(2,1/((Budgets!$A$2:$A$200=BF$1)*(Budgets!$B$2:$B$200&lt;EDATE($A196,1))),Budgets!$C$2:$C$200),0))</f>
        <v/>
      </c>
      <c r="BG196" s="23">
        <f>IF(OR(BG$1="",$BM196=0),"",IFERROR(LOOKUP(2,1/((Budgets!$A$2:$A$200=BG$1)*(Budgets!$B$2:$B$200&lt;EDATE($A196,1))),Budgets!$C$2:$C$200),0))</f>
        <v/>
      </c>
      <c r="BH196" s="23">
        <f>IF(OR(BH$1="",$BM196=0),"",IFERROR(LOOKUP(2,1/((Budgets!$A$2:$A$200=BH$1)*(Budgets!$B$2:$B$200&lt;EDATE($A196,1))),Budgets!$C$2:$C$200),0))</f>
        <v/>
      </c>
      <c r="BI196" s="23">
        <f>IF(OR(BI$1="",$BM196=0),"",IFERROR(LOOKUP(2,1/((Budgets!$A$2:$A$200=BI$1)*(Budgets!$B$2:$B$200&lt;EDATE($A196,1))),Budgets!$C$2:$C$200),0))</f>
        <v/>
      </c>
      <c r="BJ196" s="23">
        <f>IF(OR(BJ$1="",$BM196=0),"",IFERROR(LOOKUP(2,1/((Budgets!$A$2:$A$200=BJ$1)*(Budgets!$B$2:$B$200&lt;EDATE($A196,1))),Budgets!$C$2:$C$200),0))</f>
        <v/>
      </c>
      <c r="BK196" s="23">
        <f>IF(OR(BK$1="",$BM196=0),"",IFERROR(LOOKUP(2,1/((Budgets!$A$2:$A$200=BK$1)*(Budgets!$B$2:$B$200&lt;EDATE($A196,1))),Budgets!$C$2:$C$200),0))</f>
        <v/>
      </c>
      <c r="BM196" s="21">
        <f>COUNTIFS(Entries!$A$2:$A$5000,"&gt;="&amp;$A196,Entries!$A$2:$A$5000,"&lt;"&amp;EDATE($A196,1))</f>
        <v/>
      </c>
    </row>
    <row r="197">
      <c r="A197" s="22" t="n">
        <v>45383</v>
      </c>
      <c r="B197" s="23">
        <f>IF($BM197=0,NA(),SUMIFS(Entries!$E$2:$E$5000,Entries!$C$2:$C$5000,"Income",Entries!$A$2:$A$5000,"&gt;="&amp;$A197,Entries!$A$2:$A$5000,"&lt;"&amp;EDATE($A197,1)))</f>
        <v/>
      </c>
      <c r="C197" s="23">
        <f>IF($BM197=0,"",SUMIFS(Entries!$E$2:$E$5000,Entries!$C$2:$C$5000,"Actual",Entries!$A$2:$A$5000,"&gt;="&amp;$A197,Entries!$A$2:$A$5000,"&lt;"&amp;EDATE($A197,1)))</f>
        <v/>
      </c>
      <c r="D197" s="23">
        <f>IF($BM197=0,"",SUMIFS(Entries!$E$2:$E$5000,Entries!$C$2:$C$5000,"One-off",Entries!$A$2:$A$5000,"&gt;="&amp;$A197,Entries!$A$2:$A$5000,"&lt;"&amp;EDATE($A197,1)))</f>
        <v/>
      </c>
      <c r="E197" s="23">
        <f>IF($BM197=0,NA(),C197+D197)</f>
        <v/>
      </c>
      <c r="F197" s="23">
        <f>IF($BM197=0,"",SUM(AR197:BK197))</f>
        <v/>
      </c>
      <c r="G197" s="23">
        <f>IF($BM197=0,"",B197-E197)</f>
        <v/>
      </c>
      <c r="H197" s="23">
        <f>IF($BM197=0,"",SUM($G$2:G197))</f>
        <v/>
      </c>
      <c r="I197" s="23">
        <f>IF($BM197=0,"",SUMIFS(Entries!$G$2:$G$5000,Entries!$A$2:$A$5000,"&gt;="&amp;$A197,Entries!$A$2:$A$5000,"&lt;"&amp;EDATE($A197,1)))</f>
        <v/>
      </c>
      <c r="J197" s="23">
        <f>IF($BM197=0,NA(),H197)</f>
        <v/>
      </c>
      <c r="K197" s="23">
        <f>IF($BM197=0,"",SUMIFS(Entries!$E$2:$E$5000,Entries!$C$2:$C$5000,"Income",Entries!$A$2:$A$5000,"&gt;="&amp;EDATE($A197,-11),Entries!$A$2:$A$5000,"&lt;"&amp;EDATE($A197,1))/COUNTIFS($A$2:$A$400,"&gt;="&amp;EDATE($A197,-11),$A$2:$A$400,"&lt;"&amp;EDATE($A197,1),$BM$2:$BM$400,"&gt;0"))</f>
      </c>
      <c r="L197" s="23">
        <f>IF($BM197=0,"",(SUMIFS(Entries!$E$2:$E$5000,Entries!$C$2:$C$5000,"Actual",Entries!$A$2:$A$5000,"&gt;="&amp;EDATE($A197,-11),Entries!$A$2:$A$5000,"&lt;"&amp;EDATE($A197,1))+SUMIFS(Entries!$E$2:$E$5000,Entries!$C$2:$C$5000,"One-off",Entries!$A$2:$A$5000,"&gt;="&amp;EDATE($A197,-11),Entries!$A$2:$A$5000,"&lt;"&amp;EDATE($A197,1)))/COUNTIFS($A$2:$A$400,"&gt;="&amp;EDATE($A197,-11),$A$2:$A$400,"&lt;"&amp;EDATE($A197,1),$BM$2:$BM$400,"&gt;0"))</f>
      </c>
      <c r="M197" s="24">
        <f>IF($BM197=0,NA(),IFERROR((K197-L197)/K197,0))</f>
        <v/>
      </c>
      <c r="N197" s="23">
        <f>IF($BM197=0,NA(),SUMIFS(Entries!$E$2:$E$5000,Entries!$D$2:$D$5000,"Core",Entries!$A$2:$A$5000,"&gt;="&amp;$A197,Entries!$A$2:$A$5000,"&lt;"&amp;EDATE($A197,1)))</f>
        <v/>
      </c>
      <c r="O197" s="23">
        <f>IF($BM197=0,NA(),SUMIFS(Entries!$E$2:$E$5000,Entries!$D$2:$D$5000,"Over &amp; above",Entries!$A$2:$A$5000,"&gt;="&amp;$A197,Entries!$A$2:$A$5000,"&lt;"&amp;EDATE($A197,1)))</f>
        <v/>
      </c>
      <c r="P197" s="23">
        <f>IF($BM197=0,NA(),SUMIFS(Entries!$E$2:$E$5000,Entries!$D$2:$D$5000,"One-off",Entries!$A$2:$A$5000,"&gt;="&amp;$A197,Entries!$A$2:$A$5000,"&lt;"&amp;EDATE($A197,1)))</f>
        <v/>
      </c>
      <c r="Q197" s="23">
        <f>IF($BM197=0,NA(),SUMIFS(Entries!$E$2:$E$5000,Entries!$D$2:$D$5000,"Reimbursable",Entries!$A$2:$A$5000,"&gt;="&amp;$A197,Entries!$A$2:$A$5000,"&lt;"&amp;EDATE($A197,1)))</f>
        <v/>
      </c>
      <c r="R197" s="23">
        <f>IF($BM197=0,NA(),SUMIFS(Entries!$E$2:$E$5000,Entries!$D$2:$D$5000,"Investment",Entries!$A$2:$A$5000,"&gt;="&amp;$A197,Entries!$A$2:$A$5000,"&lt;"&amp;EDATE($A197,1)))</f>
        <v/>
      </c>
      <c r="S197" s="23">
        <f>IF($BM197=0,NA(),N197+O197)</f>
        <v/>
      </c>
      <c r="T197" s="23">
        <f>IF($BM197=0,"",E197-Q197)</f>
        <v/>
      </c>
      <c r="W197" s="23">
        <f>IF(OR(W$1="",$BM197=0),"",SUMIFS(Entries!$E$2:$E$5000,Entries!$C$2:$C$5000,"Actual",Entries!$A$2:$A$5000,"&gt;="&amp;$A197,Entries!$A$2:$A$5000,"&lt;"&amp;EDATE($A197,1),Entries!$B$2:$B$5000,W$1))</f>
        <v/>
      </c>
      <c r="X197" s="23">
        <f>IF(OR(X$1="",$BM197=0),"",SUMIFS(Entries!$E$2:$E$5000,Entries!$C$2:$C$5000,"Actual",Entries!$A$2:$A$5000,"&gt;="&amp;$A197,Entries!$A$2:$A$5000,"&lt;"&amp;EDATE($A197,1),Entries!$B$2:$B$5000,X$1))</f>
        <v/>
      </c>
      <c r="Y197" s="23">
        <f>IF(OR(Y$1="",$BM197=0),"",SUMIFS(Entries!$E$2:$E$5000,Entries!$C$2:$C$5000,"Actual",Entries!$A$2:$A$5000,"&gt;="&amp;$A197,Entries!$A$2:$A$5000,"&lt;"&amp;EDATE($A197,1),Entries!$B$2:$B$5000,Y$1))</f>
        <v/>
      </c>
      <c r="Z197" s="23">
        <f>IF(OR(Z$1="",$BM197=0),"",SUMIFS(Entries!$E$2:$E$5000,Entries!$C$2:$C$5000,"Actual",Entries!$A$2:$A$5000,"&gt;="&amp;$A197,Entries!$A$2:$A$5000,"&lt;"&amp;EDATE($A197,1),Entries!$B$2:$B$5000,Z$1))</f>
        <v/>
      </c>
      <c r="AA197" s="23">
        <f>IF(OR(AA$1="",$BM197=0),"",SUMIFS(Entries!$E$2:$E$5000,Entries!$C$2:$C$5000,"Actual",Entries!$A$2:$A$5000,"&gt;="&amp;$A197,Entries!$A$2:$A$5000,"&lt;"&amp;EDATE($A197,1),Entries!$B$2:$B$5000,AA$1))</f>
        <v/>
      </c>
      <c r="AB197" s="23">
        <f>IF(OR(AB$1="",$BM197=0),"",SUMIFS(Entries!$E$2:$E$5000,Entries!$C$2:$C$5000,"Actual",Entries!$A$2:$A$5000,"&gt;="&amp;$A197,Entries!$A$2:$A$5000,"&lt;"&amp;EDATE($A197,1),Entries!$B$2:$B$5000,AB$1))</f>
        <v/>
      </c>
      <c r="AC197" s="23">
        <f>IF(OR(AC$1="",$BM197=0),"",SUMIFS(Entries!$E$2:$E$5000,Entries!$C$2:$C$5000,"Actual",Entries!$A$2:$A$5000,"&gt;="&amp;$A197,Entries!$A$2:$A$5000,"&lt;"&amp;EDATE($A197,1),Entries!$B$2:$B$5000,AC$1))</f>
        <v/>
      </c>
      <c r="AD197" s="23">
        <f>IF(OR(AD$1="",$BM197=0),"",SUMIFS(Entries!$E$2:$E$5000,Entries!$C$2:$C$5000,"Actual",Entries!$A$2:$A$5000,"&gt;="&amp;$A197,Entries!$A$2:$A$5000,"&lt;"&amp;EDATE($A197,1),Entries!$B$2:$B$5000,AD$1))</f>
        <v/>
      </c>
      <c r="AE197" s="23">
        <f>IF(OR(AE$1="",$BM197=0),"",SUMIFS(Entries!$E$2:$E$5000,Entries!$C$2:$C$5000,"Actual",Entries!$A$2:$A$5000,"&gt;="&amp;$A197,Entries!$A$2:$A$5000,"&lt;"&amp;EDATE($A197,1),Entries!$B$2:$B$5000,AE$1))</f>
        <v/>
      </c>
      <c r="AF197" s="23">
        <f>IF(OR(AF$1="",$BM197=0),"",SUMIFS(Entries!$E$2:$E$5000,Entries!$C$2:$C$5000,"Actual",Entries!$A$2:$A$5000,"&gt;="&amp;$A197,Entries!$A$2:$A$5000,"&lt;"&amp;EDATE($A197,1),Entries!$B$2:$B$5000,AF$1))</f>
        <v/>
      </c>
      <c r="AG197" s="23">
        <f>IF(OR(AG$1="",$BM197=0),"",SUMIFS(Entries!$E$2:$E$5000,Entries!$C$2:$C$5000,"Actual",Entries!$A$2:$A$5000,"&gt;="&amp;$A197,Entries!$A$2:$A$5000,"&lt;"&amp;EDATE($A197,1),Entries!$B$2:$B$5000,AG$1))</f>
        <v/>
      </c>
      <c r="AH197" s="23">
        <f>IF(OR(AH$1="",$BM197=0),"",SUMIFS(Entries!$E$2:$E$5000,Entries!$C$2:$C$5000,"Actual",Entries!$A$2:$A$5000,"&gt;="&amp;$A197,Entries!$A$2:$A$5000,"&lt;"&amp;EDATE($A197,1),Entries!$B$2:$B$5000,AH$1))</f>
        <v/>
      </c>
      <c r="AI197" s="23">
        <f>IF(OR(AI$1="",$BM197=0),"",SUMIFS(Entries!$E$2:$E$5000,Entries!$C$2:$C$5000,"Actual",Entries!$A$2:$A$5000,"&gt;="&amp;$A197,Entries!$A$2:$A$5000,"&lt;"&amp;EDATE($A197,1),Entries!$B$2:$B$5000,AI$1))</f>
        <v/>
      </c>
      <c r="AJ197" s="23">
        <f>IF(OR(AJ$1="",$BM197=0),"",SUMIFS(Entries!$E$2:$E$5000,Entries!$C$2:$C$5000,"Actual",Entries!$A$2:$A$5000,"&gt;="&amp;$A197,Entries!$A$2:$A$5000,"&lt;"&amp;EDATE($A197,1),Entries!$B$2:$B$5000,AJ$1))</f>
        <v/>
      </c>
      <c r="AK197" s="23">
        <f>IF(OR(AK$1="",$BM197=0),"",SUMIFS(Entries!$E$2:$E$5000,Entries!$C$2:$C$5000,"Actual",Entries!$A$2:$A$5000,"&gt;="&amp;$A197,Entries!$A$2:$A$5000,"&lt;"&amp;EDATE($A197,1),Entries!$B$2:$B$5000,AK$1))</f>
        <v/>
      </c>
      <c r="AL197" s="23">
        <f>IF(OR(AL$1="",$BM197=0),"",SUMIFS(Entries!$E$2:$E$5000,Entries!$C$2:$C$5000,"Actual",Entries!$A$2:$A$5000,"&gt;="&amp;$A197,Entries!$A$2:$A$5000,"&lt;"&amp;EDATE($A197,1),Entries!$B$2:$B$5000,AL$1))</f>
        <v/>
      </c>
      <c r="AM197" s="23">
        <f>IF(OR(AM$1="",$BM197=0),"",SUMIFS(Entries!$E$2:$E$5000,Entries!$C$2:$C$5000,"Actual",Entries!$A$2:$A$5000,"&gt;="&amp;$A197,Entries!$A$2:$A$5000,"&lt;"&amp;EDATE($A197,1),Entries!$B$2:$B$5000,AM$1))</f>
        <v/>
      </c>
      <c r="AN197" s="23">
        <f>IF(OR(AN$1="",$BM197=0),"",SUMIFS(Entries!$E$2:$E$5000,Entries!$C$2:$C$5000,"Actual",Entries!$A$2:$A$5000,"&gt;="&amp;$A197,Entries!$A$2:$A$5000,"&lt;"&amp;EDATE($A197,1),Entries!$B$2:$B$5000,AN$1))</f>
        <v/>
      </c>
      <c r="AO197" s="23">
        <f>IF(OR(AO$1="",$BM197=0),"",SUMIFS(Entries!$E$2:$E$5000,Entries!$C$2:$C$5000,"Actual",Entries!$A$2:$A$5000,"&gt;="&amp;$A197,Entries!$A$2:$A$5000,"&lt;"&amp;EDATE($A197,1),Entries!$B$2:$B$5000,AO$1))</f>
        <v/>
      </c>
      <c r="AP197" s="23">
        <f>IF(OR(AP$1="",$BM197=0),"",SUMIFS(Entries!$E$2:$E$5000,Entries!$C$2:$C$5000,"Actual",Entries!$A$2:$A$5000,"&gt;="&amp;$A197,Entries!$A$2:$A$5000,"&lt;"&amp;EDATE($A197,1),Entries!$B$2:$B$5000,AP$1))</f>
        <v/>
      </c>
      <c r="AR197" s="23">
        <f>IF(OR(AR$1="",$BM197=0),"",IFERROR(LOOKUP(2,1/((Budgets!$A$2:$A$200=AR$1)*(Budgets!$B$2:$B$200&lt;EDATE($A197,1))),Budgets!$C$2:$C$200),0))</f>
        <v/>
      </c>
      <c r="AS197" s="23">
        <f>IF(OR(AS$1="",$BM197=0),"",IFERROR(LOOKUP(2,1/((Budgets!$A$2:$A$200=AS$1)*(Budgets!$B$2:$B$200&lt;EDATE($A197,1))),Budgets!$C$2:$C$200),0))</f>
        <v/>
      </c>
      <c r="AT197" s="23">
        <f>IF(OR(AT$1="",$BM197=0),"",IFERROR(LOOKUP(2,1/((Budgets!$A$2:$A$200=AT$1)*(Budgets!$B$2:$B$200&lt;EDATE($A197,1))),Budgets!$C$2:$C$200),0))</f>
        <v/>
      </c>
      <c r="AU197" s="23">
        <f>IF(OR(AU$1="",$BM197=0),"",IFERROR(LOOKUP(2,1/((Budgets!$A$2:$A$200=AU$1)*(Budgets!$B$2:$B$200&lt;EDATE($A197,1))),Budgets!$C$2:$C$200),0))</f>
        <v/>
      </c>
      <c r="AV197" s="23">
        <f>IF(OR(AV$1="",$BM197=0),"",IFERROR(LOOKUP(2,1/((Budgets!$A$2:$A$200=AV$1)*(Budgets!$B$2:$B$200&lt;EDATE($A197,1))),Budgets!$C$2:$C$200),0))</f>
        <v/>
      </c>
      <c r="AW197" s="23">
        <f>IF(OR(AW$1="",$BM197=0),"",IFERROR(LOOKUP(2,1/((Budgets!$A$2:$A$200=AW$1)*(Budgets!$B$2:$B$200&lt;EDATE($A197,1))),Budgets!$C$2:$C$200),0))</f>
        <v/>
      </c>
      <c r="AX197" s="23">
        <f>IF(OR(AX$1="",$BM197=0),"",IFERROR(LOOKUP(2,1/((Budgets!$A$2:$A$200=AX$1)*(Budgets!$B$2:$B$200&lt;EDATE($A197,1))),Budgets!$C$2:$C$200),0))</f>
        <v/>
      </c>
      <c r="AY197" s="23">
        <f>IF(OR(AY$1="",$BM197=0),"",IFERROR(LOOKUP(2,1/((Budgets!$A$2:$A$200=AY$1)*(Budgets!$B$2:$B$200&lt;EDATE($A197,1))),Budgets!$C$2:$C$200),0))</f>
        <v/>
      </c>
      <c r="AZ197" s="23">
        <f>IF(OR(AZ$1="",$BM197=0),"",IFERROR(LOOKUP(2,1/((Budgets!$A$2:$A$200=AZ$1)*(Budgets!$B$2:$B$200&lt;EDATE($A197,1))),Budgets!$C$2:$C$200),0))</f>
        <v/>
      </c>
      <c r="BA197" s="23">
        <f>IF(OR(BA$1="",$BM197=0),"",IFERROR(LOOKUP(2,1/((Budgets!$A$2:$A$200=BA$1)*(Budgets!$B$2:$B$200&lt;EDATE($A197,1))),Budgets!$C$2:$C$200),0))</f>
        <v/>
      </c>
      <c r="BB197" s="23">
        <f>IF(OR(BB$1="",$BM197=0),"",IFERROR(LOOKUP(2,1/((Budgets!$A$2:$A$200=BB$1)*(Budgets!$B$2:$B$200&lt;EDATE($A197,1))),Budgets!$C$2:$C$200),0))</f>
        <v/>
      </c>
      <c r="BC197" s="23">
        <f>IF(OR(BC$1="",$BM197=0),"",IFERROR(LOOKUP(2,1/((Budgets!$A$2:$A$200=BC$1)*(Budgets!$B$2:$B$200&lt;EDATE($A197,1))),Budgets!$C$2:$C$200),0))</f>
        <v/>
      </c>
      <c r="BD197" s="23">
        <f>IF(OR(BD$1="",$BM197=0),"",IFERROR(LOOKUP(2,1/((Budgets!$A$2:$A$200=BD$1)*(Budgets!$B$2:$B$200&lt;EDATE($A197,1))),Budgets!$C$2:$C$200),0))</f>
        <v/>
      </c>
      <c r="BE197" s="23">
        <f>IF(OR(BE$1="",$BM197=0),"",IFERROR(LOOKUP(2,1/((Budgets!$A$2:$A$200=BE$1)*(Budgets!$B$2:$B$200&lt;EDATE($A197,1))),Budgets!$C$2:$C$200),0))</f>
        <v/>
      </c>
      <c r="BF197" s="23">
        <f>IF(OR(BF$1="",$BM197=0),"",IFERROR(LOOKUP(2,1/((Budgets!$A$2:$A$200=BF$1)*(Budgets!$B$2:$B$200&lt;EDATE($A197,1))),Budgets!$C$2:$C$200),0))</f>
        <v/>
      </c>
      <c r="BG197" s="23">
        <f>IF(OR(BG$1="",$BM197=0),"",IFERROR(LOOKUP(2,1/((Budgets!$A$2:$A$200=BG$1)*(Budgets!$B$2:$B$200&lt;EDATE($A197,1))),Budgets!$C$2:$C$200),0))</f>
        <v/>
      </c>
      <c r="BH197" s="23">
        <f>IF(OR(BH$1="",$BM197=0),"",IFERROR(LOOKUP(2,1/((Budgets!$A$2:$A$200=BH$1)*(Budgets!$B$2:$B$200&lt;EDATE($A197,1))),Budgets!$C$2:$C$200),0))</f>
        <v/>
      </c>
      <c r="BI197" s="23">
        <f>IF(OR(BI$1="",$BM197=0),"",IFERROR(LOOKUP(2,1/((Budgets!$A$2:$A$200=BI$1)*(Budgets!$B$2:$B$200&lt;EDATE($A197,1))),Budgets!$C$2:$C$200),0))</f>
        <v/>
      </c>
      <c r="BJ197" s="23">
        <f>IF(OR(BJ$1="",$BM197=0),"",IFERROR(LOOKUP(2,1/((Budgets!$A$2:$A$200=BJ$1)*(Budgets!$B$2:$B$200&lt;EDATE($A197,1))),Budgets!$C$2:$C$200),0))</f>
        <v/>
      </c>
      <c r="BK197" s="23">
        <f>IF(OR(BK$1="",$BM197=0),"",IFERROR(LOOKUP(2,1/((Budgets!$A$2:$A$200=BK$1)*(Budgets!$B$2:$B$200&lt;EDATE($A197,1))),Budgets!$C$2:$C$200),0))</f>
        <v/>
      </c>
      <c r="BM197" s="21">
        <f>COUNTIFS(Entries!$A$2:$A$5000,"&gt;="&amp;$A197,Entries!$A$2:$A$5000,"&lt;"&amp;EDATE($A197,1))</f>
        <v/>
      </c>
    </row>
    <row r="198">
      <c r="A198" s="22" t="n">
        <v>45413</v>
      </c>
      <c r="B198" s="23">
        <f>IF($BM198=0,NA(),SUMIFS(Entries!$E$2:$E$5000,Entries!$C$2:$C$5000,"Income",Entries!$A$2:$A$5000,"&gt;="&amp;$A198,Entries!$A$2:$A$5000,"&lt;"&amp;EDATE($A198,1)))</f>
        <v/>
      </c>
      <c r="C198" s="23">
        <f>IF($BM198=0,"",SUMIFS(Entries!$E$2:$E$5000,Entries!$C$2:$C$5000,"Actual",Entries!$A$2:$A$5000,"&gt;="&amp;$A198,Entries!$A$2:$A$5000,"&lt;"&amp;EDATE($A198,1)))</f>
        <v/>
      </c>
      <c r="D198" s="23">
        <f>IF($BM198=0,"",SUMIFS(Entries!$E$2:$E$5000,Entries!$C$2:$C$5000,"One-off",Entries!$A$2:$A$5000,"&gt;="&amp;$A198,Entries!$A$2:$A$5000,"&lt;"&amp;EDATE($A198,1)))</f>
        <v/>
      </c>
      <c r="E198" s="23">
        <f>IF($BM198=0,NA(),C198+D198)</f>
        <v/>
      </c>
      <c r="F198" s="23">
        <f>IF($BM198=0,"",SUM(AR198:BK198))</f>
        <v/>
      </c>
      <c r="G198" s="23">
        <f>IF($BM198=0,"",B198-E198)</f>
        <v/>
      </c>
      <c r="H198" s="23">
        <f>IF($BM198=0,"",SUM($G$2:G198))</f>
        <v/>
      </c>
      <c r="I198" s="23">
        <f>IF($BM198=0,"",SUMIFS(Entries!$G$2:$G$5000,Entries!$A$2:$A$5000,"&gt;="&amp;$A198,Entries!$A$2:$A$5000,"&lt;"&amp;EDATE($A198,1)))</f>
        <v/>
      </c>
      <c r="J198" s="23">
        <f>IF($BM198=0,NA(),H198)</f>
        <v/>
      </c>
      <c r="K198" s="23">
        <f>IF($BM198=0,"",SUMIFS(Entries!$E$2:$E$5000,Entries!$C$2:$C$5000,"Income",Entries!$A$2:$A$5000,"&gt;="&amp;EDATE($A198,-11),Entries!$A$2:$A$5000,"&lt;"&amp;EDATE($A198,1))/COUNTIFS($A$2:$A$400,"&gt;="&amp;EDATE($A198,-11),$A$2:$A$400,"&lt;"&amp;EDATE($A198,1),$BM$2:$BM$400,"&gt;0"))</f>
      </c>
      <c r="L198" s="23">
        <f>IF($BM198=0,"",(SUMIFS(Entries!$E$2:$E$5000,Entries!$C$2:$C$5000,"Actual",Entries!$A$2:$A$5000,"&gt;="&amp;EDATE($A198,-11),Entries!$A$2:$A$5000,"&lt;"&amp;EDATE($A198,1))+SUMIFS(Entries!$E$2:$E$5000,Entries!$C$2:$C$5000,"One-off",Entries!$A$2:$A$5000,"&gt;="&amp;EDATE($A198,-11),Entries!$A$2:$A$5000,"&lt;"&amp;EDATE($A198,1)))/COUNTIFS($A$2:$A$400,"&gt;="&amp;EDATE($A198,-11),$A$2:$A$400,"&lt;"&amp;EDATE($A198,1),$BM$2:$BM$400,"&gt;0"))</f>
      </c>
      <c r="M198" s="24">
        <f>IF($BM198=0,NA(),IFERROR((K198-L198)/K198,0))</f>
        <v/>
      </c>
      <c r="N198" s="23">
        <f>IF($BM198=0,NA(),SUMIFS(Entries!$E$2:$E$5000,Entries!$D$2:$D$5000,"Core",Entries!$A$2:$A$5000,"&gt;="&amp;$A198,Entries!$A$2:$A$5000,"&lt;"&amp;EDATE($A198,1)))</f>
        <v/>
      </c>
      <c r="O198" s="23">
        <f>IF($BM198=0,NA(),SUMIFS(Entries!$E$2:$E$5000,Entries!$D$2:$D$5000,"Over &amp; above",Entries!$A$2:$A$5000,"&gt;="&amp;$A198,Entries!$A$2:$A$5000,"&lt;"&amp;EDATE($A198,1)))</f>
        <v/>
      </c>
      <c r="P198" s="23">
        <f>IF($BM198=0,NA(),SUMIFS(Entries!$E$2:$E$5000,Entries!$D$2:$D$5000,"One-off",Entries!$A$2:$A$5000,"&gt;="&amp;$A198,Entries!$A$2:$A$5000,"&lt;"&amp;EDATE($A198,1)))</f>
        <v/>
      </c>
      <c r="Q198" s="23">
        <f>IF($BM198=0,NA(),SUMIFS(Entries!$E$2:$E$5000,Entries!$D$2:$D$5000,"Reimbursable",Entries!$A$2:$A$5000,"&gt;="&amp;$A198,Entries!$A$2:$A$5000,"&lt;"&amp;EDATE($A198,1)))</f>
        <v/>
      </c>
      <c r="R198" s="23">
        <f>IF($BM198=0,NA(),SUMIFS(Entries!$E$2:$E$5000,Entries!$D$2:$D$5000,"Investment",Entries!$A$2:$A$5000,"&gt;="&amp;$A198,Entries!$A$2:$A$5000,"&lt;"&amp;EDATE($A198,1)))</f>
        <v/>
      </c>
      <c r="S198" s="23">
        <f>IF($BM198=0,NA(),N198+O198)</f>
        <v/>
      </c>
      <c r="T198" s="23">
        <f>IF($BM198=0,"",E198-Q198)</f>
        <v/>
      </c>
      <c r="W198" s="23">
        <f>IF(OR(W$1="",$BM198=0),"",SUMIFS(Entries!$E$2:$E$5000,Entries!$C$2:$C$5000,"Actual",Entries!$A$2:$A$5000,"&gt;="&amp;$A198,Entries!$A$2:$A$5000,"&lt;"&amp;EDATE($A198,1),Entries!$B$2:$B$5000,W$1))</f>
        <v/>
      </c>
      <c r="X198" s="23">
        <f>IF(OR(X$1="",$BM198=0),"",SUMIFS(Entries!$E$2:$E$5000,Entries!$C$2:$C$5000,"Actual",Entries!$A$2:$A$5000,"&gt;="&amp;$A198,Entries!$A$2:$A$5000,"&lt;"&amp;EDATE($A198,1),Entries!$B$2:$B$5000,X$1))</f>
        <v/>
      </c>
      <c r="Y198" s="23">
        <f>IF(OR(Y$1="",$BM198=0),"",SUMIFS(Entries!$E$2:$E$5000,Entries!$C$2:$C$5000,"Actual",Entries!$A$2:$A$5000,"&gt;="&amp;$A198,Entries!$A$2:$A$5000,"&lt;"&amp;EDATE($A198,1),Entries!$B$2:$B$5000,Y$1))</f>
        <v/>
      </c>
      <c r="Z198" s="23">
        <f>IF(OR(Z$1="",$BM198=0),"",SUMIFS(Entries!$E$2:$E$5000,Entries!$C$2:$C$5000,"Actual",Entries!$A$2:$A$5000,"&gt;="&amp;$A198,Entries!$A$2:$A$5000,"&lt;"&amp;EDATE($A198,1),Entries!$B$2:$B$5000,Z$1))</f>
        <v/>
      </c>
      <c r="AA198" s="23">
        <f>IF(OR(AA$1="",$BM198=0),"",SUMIFS(Entries!$E$2:$E$5000,Entries!$C$2:$C$5000,"Actual",Entries!$A$2:$A$5000,"&gt;="&amp;$A198,Entries!$A$2:$A$5000,"&lt;"&amp;EDATE($A198,1),Entries!$B$2:$B$5000,AA$1))</f>
        <v/>
      </c>
      <c r="AB198" s="23">
        <f>IF(OR(AB$1="",$BM198=0),"",SUMIFS(Entries!$E$2:$E$5000,Entries!$C$2:$C$5000,"Actual",Entries!$A$2:$A$5000,"&gt;="&amp;$A198,Entries!$A$2:$A$5000,"&lt;"&amp;EDATE($A198,1),Entries!$B$2:$B$5000,AB$1))</f>
        <v/>
      </c>
      <c r="AC198" s="23">
        <f>IF(OR(AC$1="",$BM198=0),"",SUMIFS(Entries!$E$2:$E$5000,Entries!$C$2:$C$5000,"Actual",Entries!$A$2:$A$5000,"&gt;="&amp;$A198,Entries!$A$2:$A$5000,"&lt;"&amp;EDATE($A198,1),Entries!$B$2:$B$5000,AC$1))</f>
        <v/>
      </c>
      <c r="AD198" s="23">
        <f>IF(OR(AD$1="",$BM198=0),"",SUMIFS(Entries!$E$2:$E$5000,Entries!$C$2:$C$5000,"Actual",Entries!$A$2:$A$5000,"&gt;="&amp;$A198,Entries!$A$2:$A$5000,"&lt;"&amp;EDATE($A198,1),Entries!$B$2:$B$5000,AD$1))</f>
        <v/>
      </c>
      <c r="AE198" s="23">
        <f>IF(OR(AE$1="",$BM198=0),"",SUMIFS(Entries!$E$2:$E$5000,Entries!$C$2:$C$5000,"Actual",Entries!$A$2:$A$5000,"&gt;="&amp;$A198,Entries!$A$2:$A$5000,"&lt;"&amp;EDATE($A198,1),Entries!$B$2:$B$5000,AE$1))</f>
        <v/>
      </c>
      <c r="AF198" s="23">
        <f>IF(OR(AF$1="",$BM198=0),"",SUMIFS(Entries!$E$2:$E$5000,Entries!$C$2:$C$5000,"Actual",Entries!$A$2:$A$5000,"&gt;="&amp;$A198,Entries!$A$2:$A$5000,"&lt;"&amp;EDATE($A198,1),Entries!$B$2:$B$5000,AF$1))</f>
        <v/>
      </c>
      <c r="AG198" s="23">
        <f>IF(OR(AG$1="",$BM198=0),"",SUMIFS(Entries!$E$2:$E$5000,Entries!$C$2:$C$5000,"Actual",Entries!$A$2:$A$5000,"&gt;="&amp;$A198,Entries!$A$2:$A$5000,"&lt;"&amp;EDATE($A198,1),Entries!$B$2:$B$5000,AG$1))</f>
        <v/>
      </c>
      <c r="AH198" s="23">
        <f>IF(OR(AH$1="",$BM198=0),"",SUMIFS(Entries!$E$2:$E$5000,Entries!$C$2:$C$5000,"Actual",Entries!$A$2:$A$5000,"&gt;="&amp;$A198,Entries!$A$2:$A$5000,"&lt;"&amp;EDATE($A198,1),Entries!$B$2:$B$5000,AH$1))</f>
        <v/>
      </c>
      <c r="AI198" s="23">
        <f>IF(OR(AI$1="",$BM198=0),"",SUMIFS(Entries!$E$2:$E$5000,Entries!$C$2:$C$5000,"Actual",Entries!$A$2:$A$5000,"&gt;="&amp;$A198,Entries!$A$2:$A$5000,"&lt;"&amp;EDATE($A198,1),Entries!$B$2:$B$5000,AI$1))</f>
        <v/>
      </c>
      <c r="AJ198" s="23">
        <f>IF(OR(AJ$1="",$BM198=0),"",SUMIFS(Entries!$E$2:$E$5000,Entries!$C$2:$C$5000,"Actual",Entries!$A$2:$A$5000,"&gt;="&amp;$A198,Entries!$A$2:$A$5000,"&lt;"&amp;EDATE($A198,1),Entries!$B$2:$B$5000,AJ$1))</f>
        <v/>
      </c>
      <c r="AK198" s="23">
        <f>IF(OR(AK$1="",$BM198=0),"",SUMIFS(Entries!$E$2:$E$5000,Entries!$C$2:$C$5000,"Actual",Entries!$A$2:$A$5000,"&gt;="&amp;$A198,Entries!$A$2:$A$5000,"&lt;"&amp;EDATE($A198,1),Entries!$B$2:$B$5000,AK$1))</f>
        <v/>
      </c>
      <c r="AL198" s="23">
        <f>IF(OR(AL$1="",$BM198=0),"",SUMIFS(Entries!$E$2:$E$5000,Entries!$C$2:$C$5000,"Actual",Entries!$A$2:$A$5000,"&gt;="&amp;$A198,Entries!$A$2:$A$5000,"&lt;"&amp;EDATE($A198,1),Entries!$B$2:$B$5000,AL$1))</f>
        <v/>
      </c>
      <c r="AM198" s="23">
        <f>IF(OR(AM$1="",$BM198=0),"",SUMIFS(Entries!$E$2:$E$5000,Entries!$C$2:$C$5000,"Actual",Entries!$A$2:$A$5000,"&gt;="&amp;$A198,Entries!$A$2:$A$5000,"&lt;"&amp;EDATE($A198,1),Entries!$B$2:$B$5000,AM$1))</f>
        <v/>
      </c>
      <c r="AN198" s="23">
        <f>IF(OR(AN$1="",$BM198=0),"",SUMIFS(Entries!$E$2:$E$5000,Entries!$C$2:$C$5000,"Actual",Entries!$A$2:$A$5000,"&gt;="&amp;$A198,Entries!$A$2:$A$5000,"&lt;"&amp;EDATE($A198,1),Entries!$B$2:$B$5000,AN$1))</f>
        <v/>
      </c>
      <c r="AO198" s="23">
        <f>IF(OR(AO$1="",$BM198=0),"",SUMIFS(Entries!$E$2:$E$5000,Entries!$C$2:$C$5000,"Actual",Entries!$A$2:$A$5000,"&gt;="&amp;$A198,Entries!$A$2:$A$5000,"&lt;"&amp;EDATE($A198,1),Entries!$B$2:$B$5000,AO$1))</f>
        <v/>
      </c>
      <c r="AP198" s="23">
        <f>IF(OR(AP$1="",$BM198=0),"",SUMIFS(Entries!$E$2:$E$5000,Entries!$C$2:$C$5000,"Actual",Entries!$A$2:$A$5000,"&gt;="&amp;$A198,Entries!$A$2:$A$5000,"&lt;"&amp;EDATE($A198,1),Entries!$B$2:$B$5000,AP$1))</f>
        <v/>
      </c>
      <c r="AR198" s="23">
        <f>IF(OR(AR$1="",$BM198=0),"",IFERROR(LOOKUP(2,1/((Budgets!$A$2:$A$200=AR$1)*(Budgets!$B$2:$B$200&lt;EDATE($A198,1))),Budgets!$C$2:$C$200),0))</f>
        <v/>
      </c>
      <c r="AS198" s="23">
        <f>IF(OR(AS$1="",$BM198=0),"",IFERROR(LOOKUP(2,1/((Budgets!$A$2:$A$200=AS$1)*(Budgets!$B$2:$B$200&lt;EDATE($A198,1))),Budgets!$C$2:$C$200),0))</f>
        <v/>
      </c>
      <c r="AT198" s="23">
        <f>IF(OR(AT$1="",$BM198=0),"",IFERROR(LOOKUP(2,1/((Budgets!$A$2:$A$200=AT$1)*(Budgets!$B$2:$B$200&lt;EDATE($A198,1))),Budgets!$C$2:$C$200),0))</f>
        <v/>
      </c>
      <c r="AU198" s="23">
        <f>IF(OR(AU$1="",$BM198=0),"",IFERROR(LOOKUP(2,1/((Budgets!$A$2:$A$200=AU$1)*(Budgets!$B$2:$B$200&lt;EDATE($A198,1))),Budgets!$C$2:$C$200),0))</f>
        <v/>
      </c>
      <c r="AV198" s="23">
        <f>IF(OR(AV$1="",$BM198=0),"",IFERROR(LOOKUP(2,1/((Budgets!$A$2:$A$200=AV$1)*(Budgets!$B$2:$B$200&lt;EDATE($A198,1))),Budgets!$C$2:$C$200),0))</f>
        <v/>
      </c>
      <c r="AW198" s="23">
        <f>IF(OR(AW$1="",$BM198=0),"",IFERROR(LOOKUP(2,1/((Budgets!$A$2:$A$200=AW$1)*(Budgets!$B$2:$B$200&lt;EDATE($A198,1))),Budgets!$C$2:$C$200),0))</f>
        <v/>
      </c>
      <c r="AX198" s="23">
        <f>IF(OR(AX$1="",$BM198=0),"",IFERROR(LOOKUP(2,1/((Budgets!$A$2:$A$200=AX$1)*(Budgets!$B$2:$B$200&lt;EDATE($A198,1))),Budgets!$C$2:$C$200),0))</f>
        <v/>
      </c>
      <c r="AY198" s="23">
        <f>IF(OR(AY$1="",$BM198=0),"",IFERROR(LOOKUP(2,1/((Budgets!$A$2:$A$200=AY$1)*(Budgets!$B$2:$B$200&lt;EDATE($A198,1))),Budgets!$C$2:$C$200),0))</f>
        <v/>
      </c>
      <c r="AZ198" s="23">
        <f>IF(OR(AZ$1="",$BM198=0),"",IFERROR(LOOKUP(2,1/((Budgets!$A$2:$A$200=AZ$1)*(Budgets!$B$2:$B$200&lt;EDATE($A198,1))),Budgets!$C$2:$C$200),0))</f>
        <v/>
      </c>
      <c r="BA198" s="23">
        <f>IF(OR(BA$1="",$BM198=0),"",IFERROR(LOOKUP(2,1/((Budgets!$A$2:$A$200=BA$1)*(Budgets!$B$2:$B$200&lt;EDATE($A198,1))),Budgets!$C$2:$C$200),0))</f>
        <v/>
      </c>
      <c r="BB198" s="23">
        <f>IF(OR(BB$1="",$BM198=0),"",IFERROR(LOOKUP(2,1/((Budgets!$A$2:$A$200=BB$1)*(Budgets!$B$2:$B$200&lt;EDATE($A198,1))),Budgets!$C$2:$C$200),0))</f>
        <v/>
      </c>
      <c r="BC198" s="23">
        <f>IF(OR(BC$1="",$BM198=0),"",IFERROR(LOOKUP(2,1/((Budgets!$A$2:$A$200=BC$1)*(Budgets!$B$2:$B$200&lt;EDATE($A198,1))),Budgets!$C$2:$C$200),0))</f>
        <v/>
      </c>
      <c r="BD198" s="23">
        <f>IF(OR(BD$1="",$BM198=0),"",IFERROR(LOOKUP(2,1/((Budgets!$A$2:$A$200=BD$1)*(Budgets!$B$2:$B$200&lt;EDATE($A198,1))),Budgets!$C$2:$C$200),0))</f>
        <v/>
      </c>
      <c r="BE198" s="23">
        <f>IF(OR(BE$1="",$BM198=0),"",IFERROR(LOOKUP(2,1/((Budgets!$A$2:$A$200=BE$1)*(Budgets!$B$2:$B$200&lt;EDATE($A198,1))),Budgets!$C$2:$C$200),0))</f>
        <v/>
      </c>
      <c r="BF198" s="23">
        <f>IF(OR(BF$1="",$BM198=0),"",IFERROR(LOOKUP(2,1/((Budgets!$A$2:$A$200=BF$1)*(Budgets!$B$2:$B$200&lt;EDATE($A198,1))),Budgets!$C$2:$C$200),0))</f>
        <v/>
      </c>
      <c r="BG198" s="23">
        <f>IF(OR(BG$1="",$BM198=0),"",IFERROR(LOOKUP(2,1/((Budgets!$A$2:$A$200=BG$1)*(Budgets!$B$2:$B$200&lt;EDATE($A198,1))),Budgets!$C$2:$C$200),0))</f>
        <v/>
      </c>
      <c r="BH198" s="23">
        <f>IF(OR(BH$1="",$BM198=0),"",IFERROR(LOOKUP(2,1/((Budgets!$A$2:$A$200=BH$1)*(Budgets!$B$2:$B$200&lt;EDATE($A198,1))),Budgets!$C$2:$C$200),0))</f>
        <v/>
      </c>
      <c r="BI198" s="23">
        <f>IF(OR(BI$1="",$BM198=0),"",IFERROR(LOOKUP(2,1/((Budgets!$A$2:$A$200=BI$1)*(Budgets!$B$2:$B$200&lt;EDATE($A198,1))),Budgets!$C$2:$C$200),0))</f>
        <v/>
      </c>
      <c r="BJ198" s="23">
        <f>IF(OR(BJ$1="",$BM198=0),"",IFERROR(LOOKUP(2,1/((Budgets!$A$2:$A$200=BJ$1)*(Budgets!$B$2:$B$200&lt;EDATE($A198,1))),Budgets!$C$2:$C$200),0))</f>
        <v/>
      </c>
      <c r="BK198" s="23">
        <f>IF(OR(BK$1="",$BM198=0),"",IFERROR(LOOKUP(2,1/((Budgets!$A$2:$A$200=BK$1)*(Budgets!$B$2:$B$200&lt;EDATE($A198,1))),Budgets!$C$2:$C$200),0))</f>
        <v/>
      </c>
      <c r="BM198" s="21">
        <f>COUNTIFS(Entries!$A$2:$A$5000,"&gt;="&amp;$A198,Entries!$A$2:$A$5000,"&lt;"&amp;EDATE($A198,1))</f>
        <v/>
      </c>
    </row>
    <row r="199">
      <c r="A199" s="22" t="n">
        <v>45444</v>
      </c>
      <c r="B199" s="23">
        <f>IF($BM199=0,NA(),SUMIFS(Entries!$E$2:$E$5000,Entries!$C$2:$C$5000,"Income",Entries!$A$2:$A$5000,"&gt;="&amp;$A199,Entries!$A$2:$A$5000,"&lt;"&amp;EDATE($A199,1)))</f>
        <v/>
      </c>
      <c r="C199" s="23">
        <f>IF($BM199=0,"",SUMIFS(Entries!$E$2:$E$5000,Entries!$C$2:$C$5000,"Actual",Entries!$A$2:$A$5000,"&gt;="&amp;$A199,Entries!$A$2:$A$5000,"&lt;"&amp;EDATE($A199,1)))</f>
        <v/>
      </c>
      <c r="D199" s="23">
        <f>IF($BM199=0,"",SUMIFS(Entries!$E$2:$E$5000,Entries!$C$2:$C$5000,"One-off",Entries!$A$2:$A$5000,"&gt;="&amp;$A199,Entries!$A$2:$A$5000,"&lt;"&amp;EDATE($A199,1)))</f>
        <v/>
      </c>
      <c r="E199" s="23">
        <f>IF($BM199=0,NA(),C199+D199)</f>
        <v/>
      </c>
      <c r="F199" s="23">
        <f>IF($BM199=0,"",SUM(AR199:BK199))</f>
        <v/>
      </c>
      <c r="G199" s="23">
        <f>IF($BM199=0,"",B199-E199)</f>
        <v/>
      </c>
      <c r="H199" s="23">
        <f>IF($BM199=0,"",SUM($G$2:G199))</f>
        <v/>
      </c>
      <c r="I199" s="23">
        <f>IF($BM199=0,"",SUMIFS(Entries!$G$2:$G$5000,Entries!$A$2:$A$5000,"&gt;="&amp;$A199,Entries!$A$2:$A$5000,"&lt;"&amp;EDATE($A199,1)))</f>
        <v/>
      </c>
      <c r="J199" s="23">
        <f>IF($BM199=0,NA(),H199)</f>
        <v/>
      </c>
      <c r="K199" s="23">
        <f>IF($BM199=0,"",SUMIFS(Entries!$E$2:$E$5000,Entries!$C$2:$C$5000,"Income",Entries!$A$2:$A$5000,"&gt;="&amp;EDATE($A199,-11),Entries!$A$2:$A$5000,"&lt;"&amp;EDATE($A199,1))/COUNTIFS($A$2:$A$400,"&gt;="&amp;EDATE($A199,-11),$A$2:$A$400,"&lt;"&amp;EDATE($A199,1),$BM$2:$BM$400,"&gt;0"))</f>
      </c>
      <c r="L199" s="23">
        <f>IF($BM199=0,"",(SUMIFS(Entries!$E$2:$E$5000,Entries!$C$2:$C$5000,"Actual",Entries!$A$2:$A$5000,"&gt;="&amp;EDATE($A199,-11),Entries!$A$2:$A$5000,"&lt;"&amp;EDATE($A199,1))+SUMIFS(Entries!$E$2:$E$5000,Entries!$C$2:$C$5000,"One-off",Entries!$A$2:$A$5000,"&gt;="&amp;EDATE($A199,-11),Entries!$A$2:$A$5000,"&lt;"&amp;EDATE($A199,1)))/COUNTIFS($A$2:$A$400,"&gt;="&amp;EDATE($A199,-11),$A$2:$A$400,"&lt;"&amp;EDATE($A199,1),$BM$2:$BM$400,"&gt;0"))</f>
      </c>
      <c r="M199" s="24">
        <f>IF($BM199=0,NA(),IFERROR((K199-L199)/K199,0))</f>
        <v/>
      </c>
      <c r="N199" s="23">
        <f>IF($BM199=0,NA(),SUMIFS(Entries!$E$2:$E$5000,Entries!$D$2:$D$5000,"Core",Entries!$A$2:$A$5000,"&gt;="&amp;$A199,Entries!$A$2:$A$5000,"&lt;"&amp;EDATE($A199,1)))</f>
        <v/>
      </c>
      <c r="O199" s="23">
        <f>IF($BM199=0,NA(),SUMIFS(Entries!$E$2:$E$5000,Entries!$D$2:$D$5000,"Over &amp; above",Entries!$A$2:$A$5000,"&gt;="&amp;$A199,Entries!$A$2:$A$5000,"&lt;"&amp;EDATE($A199,1)))</f>
        <v/>
      </c>
      <c r="P199" s="23">
        <f>IF($BM199=0,NA(),SUMIFS(Entries!$E$2:$E$5000,Entries!$D$2:$D$5000,"One-off",Entries!$A$2:$A$5000,"&gt;="&amp;$A199,Entries!$A$2:$A$5000,"&lt;"&amp;EDATE($A199,1)))</f>
        <v/>
      </c>
      <c r="Q199" s="23">
        <f>IF($BM199=0,NA(),SUMIFS(Entries!$E$2:$E$5000,Entries!$D$2:$D$5000,"Reimbursable",Entries!$A$2:$A$5000,"&gt;="&amp;$A199,Entries!$A$2:$A$5000,"&lt;"&amp;EDATE($A199,1)))</f>
        <v/>
      </c>
      <c r="R199" s="23">
        <f>IF($BM199=0,NA(),SUMIFS(Entries!$E$2:$E$5000,Entries!$D$2:$D$5000,"Investment",Entries!$A$2:$A$5000,"&gt;="&amp;$A199,Entries!$A$2:$A$5000,"&lt;"&amp;EDATE($A199,1)))</f>
        <v/>
      </c>
      <c r="S199" s="23">
        <f>IF($BM199=0,NA(),N199+O199)</f>
        <v/>
      </c>
      <c r="T199" s="23">
        <f>IF($BM199=0,"",E199-Q199)</f>
        <v/>
      </c>
      <c r="W199" s="23">
        <f>IF(OR(W$1="",$BM199=0),"",SUMIFS(Entries!$E$2:$E$5000,Entries!$C$2:$C$5000,"Actual",Entries!$A$2:$A$5000,"&gt;="&amp;$A199,Entries!$A$2:$A$5000,"&lt;"&amp;EDATE($A199,1),Entries!$B$2:$B$5000,W$1))</f>
        <v/>
      </c>
      <c r="X199" s="23">
        <f>IF(OR(X$1="",$BM199=0),"",SUMIFS(Entries!$E$2:$E$5000,Entries!$C$2:$C$5000,"Actual",Entries!$A$2:$A$5000,"&gt;="&amp;$A199,Entries!$A$2:$A$5000,"&lt;"&amp;EDATE($A199,1),Entries!$B$2:$B$5000,X$1))</f>
        <v/>
      </c>
      <c r="Y199" s="23">
        <f>IF(OR(Y$1="",$BM199=0),"",SUMIFS(Entries!$E$2:$E$5000,Entries!$C$2:$C$5000,"Actual",Entries!$A$2:$A$5000,"&gt;="&amp;$A199,Entries!$A$2:$A$5000,"&lt;"&amp;EDATE($A199,1),Entries!$B$2:$B$5000,Y$1))</f>
        <v/>
      </c>
      <c r="Z199" s="23">
        <f>IF(OR(Z$1="",$BM199=0),"",SUMIFS(Entries!$E$2:$E$5000,Entries!$C$2:$C$5000,"Actual",Entries!$A$2:$A$5000,"&gt;="&amp;$A199,Entries!$A$2:$A$5000,"&lt;"&amp;EDATE($A199,1),Entries!$B$2:$B$5000,Z$1))</f>
        <v/>
      </c>
      <c r="AA199" s="23">
        <f>IF(OR(AA$1="",$BM199=0),"",SUMIFS(Entries!$E$2:$E$5000,Entries!$C$2:$C$5000,"Actual",Entries!$A$2:$A$5000,"&gt;="&amp;$A199,Entries!$A$2:$A$5000,"&lt;"&amp;EDATE($A199,1),Entries!$B$2:$B$5000,AA$1))</f>
        <v/>
      </c>
      <c r="AB199" s="23">
        <f>IF(OR(AB$1="",$BM199=0),"",SUMIFS(Entries!$E$2:$E$5000,Entries!$C$2:$C$5000,"Actual",Entries!$A$2:$A$5000,"&gt;="&amp;$A199,Entries!$A$2:$A$5000,"&lt;"&amp;EDATE($A199,1),Entries!$B$2:$B$5000,AB$1))</f>
        <v/>
      </c>
      <c r="AC199" s="23">
        <f>IF(OR(AC$1="",$BM199=0),"",SUMIFS(Entries!$E$2:$E$5000,Entries!$C$2:$C$5000,"Actual",Entries!$A$2:$A$5000,"&gt;="&amp;$A199,Entries!$A$2:$A$5000,"&lt;"&amp;EDATE($A199,1),Entries!$B$2:$B$5000,AC$1))</f>
        <v/>
      </c>
      <c r="AD199" s="23">
        <f>IF(OR(AD$1="",$BM199=0),"",SUMIFS(Entries!$E$2:$E$5000,Entries!$C$2:$C$5000,"Actual",Entries!$A$2:$A$5000,"&gt;="&amp;$A199,Entries!$A$2:$A$5000,"&lt;"&amp;EDATE($A199,1),Entries!$B$2:$B$5000,AD$1))</f>
        <v/>
      </c>
      <c r="AE199" s="23">
        <f>IF(OR(AE$1="",$BM199=0),"",SUMIFS(Entries!$E$2:$E$5000,Entries!$C$2:$C$5000,"Actual",Entries!$A$2:$A$5000,"&gt;="&amp;$A199,Entries!$A$2:$A$5000,"&lt;"&amp;EDATE($A199,1),Entries!$B$2:$B$5000,AE$1))</f>
        <v/>
      </c>
      <c r="AF199" s="23">
        <f>IF(OR(AF$1="",$BM199=0),"",SUMIFS(Entries!$E$2:$E$5000,Entries!$C$2:$C$5000,"Actual",Entries!$A$2:$A$5000,"&gt;="&amp;$A199,Entries!$A$2:$A$5000,"&lt;"&amp;EDATE($A199,1),Entries!$B$2:$B$5000,AF$1))</f>
        <v/>
      </c>
      <c r="AG199" s="23">
        <f>IF(OR(AG$1="",$BM199=0),"",SUMIFS(Entries!$E$2:$E$5000,Entries!$C$2:$C$5000,"Actual",Entries!$A$2:$A$5000,"&gt;="&amp;$A199,Entries!$A$2:$A$5000,"&lt;"&amp;EDATE($A199,1),Entries!$B$2:$B$5000,AG$1))</f>
        <v/>
      </c>
      <c r="AH199" s="23">
        <f>IF(OR(AH$1="",$BM199=0),"",SUMIFS(Entries!$E$2:$E$5000,Entries!$C$2:$C$5000,"Actual",Entries!$A$2:$A$5000,"&gt;="&amp;$A199,Entries!$A$2:$A$5000,"&lt;"&amp;EDATE($A199,1),Entries!$B$2:$B$5000,AH$1))</f>
        <v/>
      </c>
      <c r="AI199" s="23">
        <f>IF(OR(AI$1="",$BM199=0),"",SUMIFS(Entries!$E$2:$E$5000,Entries!$C$2:$C$5000,"Actual",Entries!$A$2:$A$5000,"&gt;="&amp;$A199,Entries!$A$2:$A$5000,"&lt;"&amp;EDATE($A199,1),Entries!$B$2:$B$5000,AI$1))</f>
        <v/>
      </c>
      <c r="AJ199" s="23">
        <f>IF(OR(AJ$1="",$BM199=0),"",SUMIFS(Entries!$E$2:$E$5000,Entries!$C$2:$C$5000,"Actual",Entries!$A$2:$A$5000,"&gt;="&amp;$A199,Entries!$A$2:$A$5000,"&lt;"&amp;EDATE($A199,1),Entries!$B$2:$B$5000,AJ$1))</f>
        <v/>
      </c>
      <c r="AK199" s="23">
        <f>IF(OR(AK$1="",$BM199=0),"",SUMIFS(Entries!$E$2:$E$5000,Entries!$C$2:$C$5000,"Actual",Entries!$A$2:$A$5000,"&gt;="&amp;$A199,Entries!$A$2:$A$5000,"&lt;"&amp;EDATE($A199,1),Entries!$B$2:$B$5000,AK$1))</f>
        <v/>
      </c>
      <c r="AL199" s="23">
        <f>IF(OR(AL$1="",$BM199=0),"",SUMIFS(Entries!$E$2:$E$5000,Entries!$C$2:$C$5000,"Actual",Entries!$A$2:$A$5000,"&gt;="&amp;$A199,Entries!$A$2:$A$5000,"&lt;"&amp;EDATE($A199,1),Entries!$B$2:$B$5000,AL$1))</f>
        <v/>
      </c>
      <c r="AM199" s="23">
        <f>IF(OR(AM$1="",$BM199=0),"",SUMIFS(Entries!$E$2:$E$5000,Entries!$C$2:$C$5000,"Actual",Entries!$A$2:$A$5000,"&gt;="&amp;$A199,Entries!$A$2:$A$5000,"&lt;"&amp;EDATE($A199,1),Entries!$B$2:$B$5000,AM$1))</f>
        <v/>
      </c>
      <c r="AN199" s="23">
        <f>IF(OR(AN$1="",$BM199=0),"",SUMIFS(Entries!$E$2:$E$5000,Entries!$C$2:$C$5000,"Actual",Entries!$A$2:$A$5000,"&gt;="&amp;$A199,Entries!$A$2:$A$5000,"&lt;"&amp;EDATE($A199,1),Entries!$B$2:$B$5000,AN$1))</f>
        <v/>
      </c>
      <c r="AO199" s="23">
        <f>IF(OR(AO$1="",$BM199=0),"",SUMIFS(Entries!$E$2:$E$5000,Entries!$C$2:$C$5000,"Actual",Entries!$A$2:$A$5000,"&gt;="&amp;$A199,Entries!$A$2:$A$5000,"&lt;"&amp;EDATE($A199,1),Entries!$B$2:$B$5000,AO$1))</f>
        <v/>
      </c>
      <c r="AP199" s="23">
        <f>IF(OR(AP$1="",$BM199=0),"",SUMIFS(Entries!$E$2:$E$5000,Entries!$C$2:$C$5000,"Actual",Entries!$A$2:$A$5000,"&gt;="&amp;$A199,Entries!$A$2:$A$5000,"&lt;"&amp;EDATE($A199,1),Entries!$B$2:$B$5000,AP$1))</f>
        <v/>
      </c>
      <c r="AR199" s="23">
        <f>IF(OR(AR$1="",$BM199=0),"",IFERROR(LOOKUP(2,1/((Budgets!$A$2:$A$200=AR$1)*(Budgets!$B$2:$B$200&lt;EDATE($A199,1))),Budgets!$C$2:$C$200),0))</f>
        <v/>
      </c>
      <c r="AS199" s="23">
        <f>IF(OR(AS$1="",$BM199=0),"",IFERROR(LOOKUP(2,1/((Budgets!$A$2:$A$200=AS$1)*(Budgets!$B$2:$B$200&lt;EDATE($A199,1))),Budgets!$C$2:$C$200),0))</f>
        <v/>
      </c>
      <c r="AT199" s="23">
        <f>IF(OR(AT$1="",$BM199=0),"",IFERROR(LOOKUP(2,1/((Budgets!$A$2:$A$200=AT$1)*(Budgets!$B$2:$B$200&lt;EDATE($A199,1))),Budgets!$C$2:$C$200),0))</f>
        <v/>
      </c>
      <c r="AU199" s="23">
        <f>IF(OR(AU$1="",$BM199=0),"",IFERROR(LOOKUP(2,1/((Budgets!$A$2:$A$200=AU$1)*(Budgets!$B$2:$B$200&lt;EDATE($A199,1))),Budgets!$C$2:$C$200),0))</f>
        <v/>
      </c>
      <c r="AV199" s="23">
        <f>IF(OR(AV$1="",$BM199=0),"",IFERROR(LOOKUP(2,1/((Budgets!$A$2:$A$200=AV$1)*(Budgets!$B$2:$B$200&lt;EDATE($A199,1))),Budgets!$C$2:$C$200),0))</f>
        <v/>
      </c>
      <c r="AW199" s="23">
        <f>IF(OR(AW$1="",$BM199=0),"",IFERROR(LOOKUP(2,1/((Budgets!$A$2:$A$200=AW$1)*(Budgets!$B$2:$B$200&lt;EDATE($A199,1))),Budgets!$C$2:$C$200),0))</f>
        <v/>
      </c>
      <c r="AX199" s="23">
        <f>IF(OR(AX$1="",$BM199=0),"",IFERROR(LOOKUP(2,1/((Budgets!$A$2:$A$200=AX$1)*(Budgets!$B$2:$B$200&lt;EDATE($A199,1))),Budgets!$C$2:$C$200),0))</f>
        <v/>
      </c>
      <c r="AY199" s="23">
        <f>IF(OR(AY$1="",$BM199=0),"",IFERROR(LOOKUP(2,1/((Budgets!$A$2:$A$200=AY$1)*(Budgets!$B$2:$B$200&lt;EDATE($A199,1))),Budgets!$C$2:$C$200),0))</f>
        <v/>
      </c>
      <c r="AZ199" s="23">
        <f>IF(OR(AZ$1="",$BM199=0),"",IFERROR(LOOKUP(2,1/((Budgets!$A$2:$A$200=AZ$1)*(Budgets!$B$2:$B$200&lt;EDATE($A199,1))),Budgets!$C$2:$C$200),0))</f>
        <v/>
      </c>
      <c r="BA199" s="23">
        <f>IF(OR(BA$1="",$BM199=0),"",IFERROR(LOOKUP(2,1/((Budgets!$A$2:$A$200=BA$1)*(Budgets!$B$2:$B$200&lt;EDATE($A199,1))),Budgets!$C$2:$C$200),0))</f>
        <v/>
      </c>
      <c r="BB199" s="23">
        <f>IF(OR(BB$1="",$BM199=0),"",IFERROR(LOOKUP(2,1/((Budgets!$A$2:$A$200=BB$1)*(Budgets!$B$2:$B$200&lt;EDATE($A199,1))),Budgets!$C$2:$C$200),0))</f>
        <v/>
      </c>
      <c r="BC199" s="23">
        <f>IF(OR(BC$1="",$BM199=0),"",IFERROR(LOOKUP(2,1/((Budgets!$A$2:$A$200=BC$1)*(Budgets!$B$2:$B$200&lt;EDATE($A199,1))),Budgets!$C$2:$C$200),0))</f>
        <v/>
      </c>
      <c r="BD199" s="23">
        <f>IF(OR(BD$1="",$BM199=0),"",IFERROR(LOOKUP(2,1/((Budgets!$A$2:$A$200=BD$1)*(Budgets!$B$2:$B$200&lt;EDATE($A199,1))),Budgets!$C$2:$C$200),0))</f>
        <v/>
      </c>
      <c r="BE199" s="23">
        <f>IF(OR(BE$1="",$BM199=0),"",IFERROR(LOOKUP(2,1/((Budgets!$A$2:$A$200=BE$1)*(Budgets!$B$2:$B$200&lt;EDATE($A199,1))),Budgets!$C$2:$C$200),0))</f>
        <v/>
      </c>
      <c r="BF199" s="23">
        <f>IF(OR(BF$1="",$BM199=0),"",IFERROR(LOOKUP(2,1/((Budgets!$A$2:$A$200=BF$1)*(Budgets!$B$2:$B$200&lt;EDATE($A199,1))),Budgets!$C$2:$C$200),0))</f>
        <v/>
      </c>
      <c r="BG199" s="23">
        <f>IF(OR(BG$1="",$BM199=0),"",IFERROR(LOOKUP(2,1/((Budgets!$A$2:$A$200=BG$1)*(Budgets!$B$2:$B$200&lt;EDATE($A199,1))),Budgets!$C$2:$C$200),0))</f>
        <v/>
      </c>
      <c r="BH199" s="23">
        <f>IF(OR(BH$1="",$BM199=0),"",IFERROR(LOOKUP(2,1/((Budgets!$A$2:$A$200=BH$1)*(Budgets!$B$2:$B$200&lt;EDATE($A199,1))),Budgets!$C$2:$C$200),0))</f>
        <v/>
      </c>
      <c r="BI199" s="23">
        <f>IF(OR(BI$1="",$BM199=0),"",IFERROR(LOOKUP(2,1/((Budgets!$A$2:$A$200=BI$1)*(Budgets!$B$2:$B$200&lt;EDATE($A199,1))),Budgets!$C$2:$C$200),0))</f>
        <v/>
      </c>
      <c r="BJ199" s="23">
        <f>IF(OR(BJ$1="",$BM199=0),"",IFERROR(LOOKUP(2,1/((Budgets!$A$2:$A$200=BJ$1)*(Budgets!$B$2:$B$200&lt;EDATE($A199,1))),Budgets!$C$2:$C$200),0))</f>
        <v/>
      </c>
      <c r="BK199" s="23">
        <f>IF(OR(BK$1="",$BM199=0),"",IFERROR(LOOKUP(2,1/((Budgets!$A$2:$A$200=BK$1)*(Budgets!$B$2:$B$200&lt;EDATE($A199,1))),Budgets!$C$2:$C$200),0))</f>
        <v/>
      </c>
      <c r="BM199" s="21">
        <f>COUNTIFS(Entries!$A$2:$A$5000,"&gt;="&amp;$A199,Entries!$A$2:$A$5000,"&lt;"&amp;EDATE($A199,1))</f>
        <v/>
      </c>
    </row>
    <row r="200">
      <c r="A200" s="22" t="n">
        <v>45474</v>
      </c>
      <c r="B200" s="23">
        <f>IF($BM200=0,NA(),SUMIFS(Entries!$E$2:$E$5000,Entries!$C$2:$C$5000,"Income",Entries!$A$2:$A$5000,"&gt;="&amp;$A200,Entries!$A$2:$A$5000,"&lt;"&amp;EDATE($A200,1)))</f>
        <v/>
      </c>
      <c r="C200" s="23">
        <f>IF($BM200=0,"",SUMIFS(Entries!$E$2:$E$5000,Entries!$C$2:$C$5000,"Actual",Entries!$A$2:$A$5000,"&gt;="&amp;$A200,Entries!$A$2:$A$5000,"&lt;"&amp;EDATE($A200,1)))</f>
        <v/>
      </c>
      <c r="D200" s="23">
        <f>IF($BM200=0,"",SUMIFS(Entries!$E$2:$E$5000,Entries!$C$2:$C$5000,"One-off",Entries!$A$2:$A$5000,"&gt;="&amp;$A200,Entries!$A$2:$A$5000,"&lt;"&amp;EDATE($A200,1)))</f>
        <v/>
      </c>
      <c r="E200" s="23">
        <f>IF($BM200=0,NA(),C200+D200)</f>
        <v/>
      </c>
      <c r="F200" s="23">
        <f>IF($BM200=0,"",SUM(AR200:BK200))</f>
        <v/>
      </c>
      <c r="G200" s="23">
        <f>IF($BM200=0,"",B200-E200)</f>
        <v/>
      </c>
      <c r="H200" s="23">
        <f>IF($BM200=0,"",SUM($G$2:G200))</f>
        <v/>
      </c>
      <c r="I200" s="23">
        <f>IF($BM200=0,"",SUMIFS(Entries!$G$2:$G$5000,Entries!$A$2:$A$5000,"&gt;="&amp;$A200,Entries!$A$2:$A$5000,"&lt;"&amp;EDATE($A200,1)))</f>
        <v/>
      </c>
      <c r="J200" s="23">
        <f>IF($BM200=0,NA(),H200)</f>
        <v/>
      </c>
      <c r="K200" s="23">
        <f>IF($BM200=0,"",SUMIFS(Entries!$E$2:$E$5000,Entries!$C$2:$C$5000,"Income",Entries!$A$2:$A$5000,"&gt;="&amp;EDATE($A200,-11),Entries!$A$2:$A$5000,"&lt;"&amp;EDATE($A200,1))/COUNTIFS($A$2:$A$400,"&gt;="&amp;EDATE($A200,-11),$A$2:$A$400,"&lt;"&amp;EDATE($A200,1),$BM$2:$BM$400,"&gt;0"))</f>
      </c>
      <c r="L200" s="23">
        <f>IF($BM200=0,"",(SUMIFS(Entries!$E$2:$E$5000,Entries!$C$2:$C$5000,"Actual",Entries!$A$2:$A$5000,"&gt;="&amp;EDATE($A200,-11),Entries!$A$2:$A$5000,"&lt;"&amp;EDATE($A200,1))+SUMIFS(Entries!$E$2:$E$5000,Entries!$C$2:$C$5000,"One-off",Entries!$A$2:$A$5000,"&gt;="&amp;EDATE($A200,-11),Entries!$A$2:$A$5000,"&lt;"&amp;EDATE($A200,1)))/COUNTIFS($A$2:$A$400,"&gt;="&amp;EDATE($A200,-11),$A$2:$A$400,"&lt;"&amp;EDATE($A200,1),$BM$2:$BM$400,"&gt;0"))</f>
      </c>
      <c r="M200" s="24">
        <f>IF($BM200=0,NA(),IFERROR((K200-L200)/K200,0))</f>
        <v/>
      </c>
      <c r="N200" s="23">
        <f>IF($BM200=0,NA(),SUMIFS(Entries!$E$2:$E$5000,Entries!$D$2:$D$5000,"Core",Entries!$A$2:$A$5000,"&gt;="&amp;$A200,Entries!$A$2:$A$5000,"&lt;"&amp;EDATE($A200,1)))</f>
        <v/>
      </c>
      <c r="O200" s="23">
        <f>IF($BM200=0,NA(),SUMIFS(Entries!$E$2:$E$5000,Entries!$D$2:$D$5000,"Over &amp; above",Entries!$A$2:$A$5000,"&gt;="&amp;$A200,Entries!$A$2:$A$5000,"&lt;"&amp;EDATE($A200,1)))</f>
        <v/>
      </c>
      <c r="P200" s="23">
        <f>IF($BM200=0,NA(),SUMIFS(Entries!$E$2:$E$5000,Entries!$D$2:$D$5000,"One-off",Entries!$A$2:$A$5000,"&gt;="&amp;$A200,Entries!$A$2:$A$5000,"&lt;"&amp;EDATE($A200,1)))</f>
        <v/>
      </c>
      <c r="Q200" s="23">
        <f>IF($BM200=0,NA(),SUMIFS(Entries!$E$2:$E$5000,Entries!$D$2:$D$5000,"Reimbursable",Entries!$A$2:$A$5000,"&gt;="&amp;$A200,Entries!$A$2:$A$5000,"&lt;"&amp;EDATE($A200,1)))</f>
        <v/>
      </c>
      <c r="R200" s="23">
        <f>IF($BM200=0,NA(),SUMIFS(Entries!$E$2:$E$5000,Entries!$D$2:$D$5000,"Investment",Entries!$A$2:$A$5000,"&gt;="&amp;$A200,Entries!$A$2:$A$5000,"&lt;"&amp;EDATE($A200,1)))</f>
        <v/>
      </c>
      <c r="S200" s="23">
        <f>IF($BM200=0,NA(),N200+O200)</f>
        <v/>
      </c>
      <c r="T200" s="23">
        <f>IF($BM200=0,"",E200-Q200)</f>
        <v/>
      </c>
      <c r="W200" s="23">
        <f>IF(OR(W$1="",$BM200=0),"",SUMIFS(Entries!$E$2:$E$5000,Entries!$C$2:$C$5000,"Actual",Entries!$A$2:$A$5000,"&gt;="&amp;$A200,Entries!$A$2:$A$5000,"&lt;"&amp;EDATE($A200,1),Entries!$B$2:$B$5000,W$1))</f>
        <v/>
      </c>
      <c r="X200" s="23">
        <f>IF(OR(X$1="",$BM200=0),"",SUMIFS(Entries!$E$2:$E$5000,Entries!$C$2:$C$5000,"Actual",Entries!$A$2:$A$5000,"&gt;="&amp;$A200,Entries!$A$2:$A$5000,"&lt;"&amp;EDATE($A200,1),Entries!$B$2:$B$5000,X$1))</f>
        <v/>
      </c>
      <c r="Y200" s="23">
        <f>IF(OR(Y$1="",$BM200=0),"",SUMIFS(Entries!$E$2:$E$5000,Entries!$C$2:$C$5000,"Actual",Entries!$A$2:$A$5000,"&gt;="&amp;$A200,Entries!$A$2:$A$5000,"&lt;"&amp;EDATE($A200,1),Entries!$B$2:$B$5000,Y$1))</f>
        <v/>
      </c>
      <c r="Z200" s="23">
        <f>IF(OR(Z$1="",$BM200=0),"",SUMIFS(Entries!$E$2:$E$5000,Entries!$C$2:$C$5000,"Actual",Entries!$A$2:$A$5000,"&gt;="&amp;$A200,Entries!$A$2:$A$5000,"&lt;"&amp;EDATE($A200,1),Entries!$B$2:$B$5000,Z$1))</f>
        <v/>
      </c>
      <c r="AA200" s="23">
        <f>IF(OR(AA$1="",$BM200=0),"",SUMIFS(Entries!$E$2:$E$5000,Entries!$C$2:$C$5000,"Actual",Entries!$A$2:$A$5000,"&gt;="&amp;$A200,Entries!$A$2:$A$5000,"&lt;"&amp;EDATE($A200,1),Entries!$B$2:$B$5000,AA$1))</f>
        <v/>
      </c>
      <c r="AB200" s="23">
        <f>IF(OR(AB$1="",$BM200=0),"",SUMIFS(Entries!$E$2:$E$5000,Entries!$C$2:$C$5000,"Actual",Entries!$A$2:$A$5000,"&gt;="&amp;$A200,Entries!$A$2:$A$5000,"&lt;"&amp;EDATE($A200,1),Entries!$B$2:$B$5000,AB$1))</f>
        <v/>
      </c>
      <c r="AC200" s="23">
        <f>IF(OR(AC$1="",$BM200=0),"",SUMIFS(Entries!$E$2:$E$5000,Entries!$C$2:$C$5000,"Actual",Entries!$A$2:$A$5000,"&gt;="&amp;$A200,Entries!$A$2:$A$5000,"&lt;"&amp;EDATE($A200,1),Entries!$B$2:$B$5000,AC$1))</f>
        <v/>
      </c>
      <c r="AD200" s="23">
        <f>IF(OR(AD$1="",$BM200=0),"",SUMIFS(Entries!$E$2:$E$5000,Entries!$C$2:$C$5000,"Actual",Entries!$A$2:$A$5000,"&gt;="&amp;$A200,Entries!$A$2:$A$5000,"&lt;"&amp;EDATE($A200,1),Entries!$B$2:$B$5000,AD$1))</f>
        <v/>
      </c>
      <c r="AE200" s="23">
        <f>IF(OR(AE$1="",$BM200=0),"",SUMIFS(Entries!$E$2:$E$5000,Entries!$C$2:$C$5000,"Actual",Entries!$A$2:$A$5000,"&gt;="&amp;$A200,Entries!$A$2:$A$5000,"&lt;"&amp;EDATE($A200,1),Entries!$B$2:$B$5000,AE$1))</f>
        <v/>
      </c>
      <c r="AF200" s="23">
        <f>IF(OR(AF$1="",$BM200=0),"",SUMIFS(Entries!$E$2:$E$5000,Entries!$C$2:$C$5000,"Actual",Entries!$A$2:$A$5000,"&gt;="&amp;$A200,Entries!$A$2:$A$5000,"&lt;"&amp;EDATE($A200,1),Entries!$B$2:$B$5000,AF$1))</f>
        <v/>
      </c>
      <c r="AG200" s="23">
        <f>IF(OR(AG$1="",$BM200=0),"",SUMIFS(Entries!$E$2:$E$5000,Entries!$C$2:$C$5000,"Actual",Entries!$A$2:$A$5000,"&gt;="&amp;$A200,Entries!$A$2:$A$5000,"&lt;"&amp;EDATE($A200,1),Entries!$B$2:$B$5000,AG$1))</f>
        <v/>
      </c>
      <c r="AH200" s="23">
        <f>IF(OR(AH$1="",$BM200=0),"",SUMIFS(Entries!$E$2:$E$5000,Entries!$C$2:$C$5000,"Actual",Entries!$A$2:$A$5000,"&gt;="&amp;$A200,Entries!$A$2:$A$5000,"&lt;"&amp;EDATE($A200,1),Entries!$B$2:$B$5000,AH$1))</f>
        <v/>
      </c>
      <c r="AI200" s="23">
        <f>IF(OR(AI$1="",$BM200=0),"",SUMIFS(Entries!$E$2:$E$5000,Entries!$C$2:$C$5000,"Actual",Entries!$A$2:$A$5000,"&gt;="&amp;$A200,Entries!$A$2:$A$5000,"&lt;"&amp;EDATE($A200,1),Entries!$B$2:$B$5000,AI$1))</f>
        <v/>
      </c>
      <c r="AJ200" s="23">
        <f>IF(OR(AJ$1="",$BM200=0),"",SUMIFS(Entries!$E$2:$E$5000,Entries!$C$2:$C$5000,"Actual",Entries!$A$2:$A$5000,"&gt;="&amp;$A200,Entries!$A$2:$A$5000,"&lt;"&amp;EDATE($A200,1),Entries!$B$2:$B$5000,AJ$1))</f>
        <v/>
      </c>
      <c r="AK200" s="23">
        <f>IF(OR(AK$1="",$BM200=0),"",SUMIFS(Entries!$E$2:$E$5000,Entries!$C$2:$C$5000,"Actual",Entries!$A$2:$A$5000,"&gt;="&amp;$A200,Entries!$A$2:$A$5000,"&lt;"&amp;EDATE($A200,1),Entries!$B$2:$B$5000,AK$1))</f>
        <v/>
      </c>
      <c r="AL200" s="23">
        <f>IF(OR(AL$1="",$BM200=0),"",SUMIFS(Entries!$E$2:$E$5000,Entries!$C$2:$C$5000,"Actual",Entries!$A$2:$A$5000,"&gt;="&amp;$A200,Entries!$A$2:$A$5000,"&lt;"&amp;EDATE($A200,1),Entries!$B$2:$B$5000,AL$1))</f>
        <v/>
      </c>
      <c r="AM200" s="23">
        <f>IF(OR(AM$1="",$BM200=0),"",SUMIFS(Entries!$E$2:$E$5000,Entries!$C$2:$C$5000,"Actual",Entries!$A$2:$A$5000,"&gt;="&amp;$A200,Entries!$A$2:$A$5000,"&lt;"&amp;EDATE($A200,1),Entries!$B$2:$B$5000,AM$1))</f>
        <v/>
      </c>
      <c r="AN200" s="23">
        <f>IF(OR(AN$1="",$BM200=0),"",SUMIFS(Entries!$E$2:$E$5000,Entries!$C$2:$C$5000,"Actual",Entries!$A$2:$A$5000,"&gt;="&amp;$A200,Entries!$A$2:$A$5000,"&lt;"&amp;EDATE($A200,1),Entries!$B$2:$B$5000,AN$1))</f>
        <v/>
      </c>
      <c r="AO200" s="23">
        <f>IF(OR(AO$1="",$BM200=0),"",SUMIFS(Entries!$E$2:$E$5000,Entries!$C$2:$C$5000,"Actual",Entries!$A$2:$A$5000,"&gt;="&amp;$A200,Entries!$A$2:$A$5000,"&lt;"&amp;EDATE($A200,1),Entries!$B$2:$B$5000,AO$1))</f>
        <v/>
      </c>
      <c r="AP200" s="23">
        <f>IF(OR(AP$1="",$BM200=0),"",SUMIFS(Entries!$E$2:$E$5000,Entries!$C$2:$C$5000,"Actual",Entries!$A$2:$A$5000,"&gt;="&amp;$A200,Entries!$A$2:$A$5000,"&lt;"&amp;EDATE($A200,1),Entries!$B$2:$B$5000,AP$1))</f>
        <v/>
      </c>
      <c r="AR200" s="23">
        <f>IF(OR(AR$1="",$BM200=0),"",IFERROR(LOOKUP(2,1/((Budgets!$A$2:$A$200=AR$1)*(Budgets!$B$2:$B$200&lt;EDATE($A200,1))),Budgets!$C$2:$C$200),0))</f>
        <v/>
      </c>
      <c r="AS200" s="23">
        <f>IF(OR(AS$1="",$BM200=0),"",IFERROR(LOOKUP(2,1/((Budgets!$A$2:$A$200=AS$1)*(Budgets!$B$2:$B$200&lt;EDATE($A200,1))),Budgets!$C$2:$C$200),0))</f>
        <v/>
      </c>
      <c r="AT200" s="23">
        <f>IF(OR(AT$1="",$BM200=0),"",IFERROR(LOOKUP(2,1/((Budgets!$A$2:$A$200=AT$1)*(Budgets!$B$2:$B$200&lt;EDATE($A200,1))),Budgets!$C$2:$C$200),0))</f>
        <v/>
      </c>
      <c r="AU200" s="23">
        <f>IF(OR(AU$1="",$BM200=0),"",IFERROR(LOOKUP(2,1/((Budgets!$A$2:$A$200=AU$1)*(Budgets!$B$2:$B$200&lt;EDATE($A200,1))),Budgets!$C$2:$C$200),0))</f>
        <v/>
      </c>
      <c r="AV200" s="23">
        <f>IF(OR(AV$1="",$BM200=0),"",IFERROR(LOOKUP(2,1/((Budgets!$A$2:$A$200=AV$1)*(Budgets!$B$2:$B$200&lt;EDATE($A200,1))),Budgets!$C$2:$C$200),0))</f>
        <v/>
      </c>
      <c r="AW200" s="23">
        <f>IF(OR(AW$1="",$BM200=0),"",IFERROR(LOOKUP(2,1/((Budgets!$A$2:$A$200=AW$1)*(Budgets!$B$2:$B$200&lt;EDATE($A200,1))),Budgets!$C$2:$C$200),0))</f>
        <v/>
      </c>
      <c r="AX200" s="23">
        <f>IF(OR(AX$1="",$BM200=0),"",IFERROR(LOOKUP(2,1/((Budgets!$A$2:$A$200=AX$1)*(Budgets!$B$2:$B$200&lt;EDATE($A200,1))),Budgets!$C$2:$C$200),0))</f>
        <v/>
      </c>
      <c r="AY200" s="23">
        <f>IF(OR(AY$1="",$BM200=0),"",IFERROR(LOOKUP(2,1/((Budgets!$A$2:$A$200=AY$1)*(Budgets!$B$2:$B$200&lt;EDATE($A200,1))),Budgets!$C$2:$C$200),0))</f>
        <v/>
      </c>
      <c r="AZ200" s="23">
        <f>IF(OR(AZ$1="",$BM200=0),"",IFERROR(LOOKUP(2,1/((Budgets!$A$2:$A$200=AZ$1)*(Budgets!$B$2:$B$200&lt;EDATE($A200,1))),Budgets!$C$2:$C$200),0))</f>
        <v/>
      </c>
      <c r="BA200" s="23">
        <f>IF(OR(BA$1="",$BM200=0),"",IFERROR(LOOKUP(2,1/((Budgets!$A$2:$A$200=BA$1)*(Budgets!$B$2:$B$200&lt;EDATE($A200,1))),Budgets!$C$2:$C$200),0))</f>
        <v/>
      </c>
      <c r="BB200" s="23">
        <f>IF(OR(BB$1="",$BM200=0),"",IFERROR(LOOKUP(2,1/((Budgets!$A$2:$A$200=BB$1)*(Budgets!$B$2:$B$200&lt;EDATE($A200,1))),Budgets!$C$2:$C$200),0))</f>
        <v/>
      </c>
      <c r="BC200" s="23">
        <f>IF(OR(BC$1="",$BM200=0),"",IFERROR(LOOKUP(2,1/((Budgets!$A$2:$A$200=BC$1)*(Budgets!$B$2:$B$200&lt;EDATE($A200,1))),Budgets!$C$2:$C$200),0))</f>
        <v/>
      </c>
      <c r="BD200" s="23">
        <f>IF(OR(BD$1="",$BM200=0),"",IFERROR(LOOKUP(2,1/((Budgets!$A$2:$A$200=BD$1)*(Budgets!$B$2:$B$200&lt;EDATE($A200,1))),Budgets!$C$2:$C$200),0))</f>
        <v/>
      </c>
      <c r="BE200" s="23">
        <f>IF(OR(BE$1="",$BM200=0),"",IFERROR(LOOKUP(2,1/((Budgets!$A$2:$A$200=BE$1)*(Budgets!$B$2:$B$200&lt;EDATE($A200,1))),Budgets!$C$2:$C$200),0))</f>
        <v/>
      </c>
      <c r="BF200" s="23">
        <f>IF(OR(BF$1="",$BM200=0),"",IFERROR(LOOKUP(2,1/((Budgets!$A$2:$A$200=BF$1)*(Budgets!$B$2:$B$200&lt;EDATE($A200,1))),Budgets!$C$2:$C$200),0))</f>
        <v/>
      </c>
      <c r="BG200" s="23">
        <f>IF(OR(BG$1="",$BM200=0),"",IFERROR(LOOKUP(2,1/((Budgets!$A$2:$A$200=BG$1)*(Budgets!$B$2:$B$200&lt;EDATE($A200,1))),Budgets!$C$2:$C$200),0))</f>
        <v/>
      </c>
      <c r="BH200" s="23">
        <f>IF(OR(BH$1="",$BM200=0),"",IFERROR(LOOKUP(2,1/((Budgets!$A$2:$A$200=BH$1)*(Budgets!$B$2:$B$200&lt;EDATE($A200,1))),Budgets!$C$2:$C$200),0))</f>
        <v/>
      </c>
      <c r="BI200" s="23">
        <f>IF(OR(BI$1="",$BM200=0),"",IFERROR(LOOKUP(2,1/((Budgets!$A$2:$A$200=BI$1)*(Budgets!$B$2:$B$200&lt;EDATE($A200,1))),Budgets!$C$2:$C$200),0))</f>
        <v/>
      </c>
      <c r="BJ200" s="23">
        <f>IF(OR(BJ$1="",$BM200=0),"",IFERROR(LOOKUP(2,1/((Budgets!$A$2:$A$200=BJ$1)*(Budgets!$B$2:$B$200&lt;EDATE($A200,1))),Budgets!$C$2:$C$200),0))</f>
        <v/>
      </c>
      <c r="BK200" s="23">
        <f>IF(OR(BK$1="",$BM200=0),"",IFERROR(LOOKUP(2,1/((Budgets!$A$2:$A$200=BK$1)*(Budgets!$B$2:$B$200&lt;EDATE($A200,1))),Budgets!$C$2:$C$200),0))</f>
        <v/>
      </c>
      <c r="BM200" s="21">
        <f>COUNTIFS(Entries!$A$2:$A$5000,"&gt;="&amp;$A200,Entries!$A$2:$A$5000,"&lt;"&amp;EDATE($A200,1))</f>
        <v/>
      </c>
    </row>
    <row r="201">
      <c r="A201" s="22" t="n">
        <v>45505</v>
      </c>
      <c r="B201" s="23">
        <f>IF($BM201=0,NA(),SUMIFS(Entries!$E$2:$E$5000,Entries!$C$2:$C$5000,"Income",Entries!$A$2:$A$5000,"&gt;="&amp;$A201,Entries!$A$2:$A$5000,"&lt;"&amp;EDATE($A201,1)))</f>
        <v/>
      </c>
      <c r="C201" s="23">
        <f>IF($BM201=0,"",SUMIFS(Entries!$E$2:$E$5000,Entries!$C$2:$C$5000,"Actual",Entries!$A$2:$A$5000,"&gt;="&amp;$A201,Entries!$A$2:$A$5000,"&lt;"&amp;EDATE($A201,1)))</f>
        <v/>
      </c>
      <c r="D201" s="23">
        <f>IF($BM201=0,"",SUMIFS(Entries!$E$2:$E$5000,Entries!$C$2:$C$5000,"One-off",Entries!$A$2:$A$5000,"&gt;="&amp;$A201,Entries!$A$2:$A$5000,"&lt;"&amp;EDATE($A201,1)))</f>
        <v/>
      </c>
      <c r="E201" s="23">
        <f>IF($BM201=0,NA(),C201+D201)</f>
        <v/>
      </c>
      <c r="F201" s="23">
        <f>IF($BM201=0,"",SUM(AR201:BK201))</f>
        <v/>
      </c>
      <c r="G201" s="23">
        <f>IF($BM201=0,"",B201-E201)</f>
        <v/>
      </c>
      <c r="H201" s="23">
        <f>IF($BM201=0,"",SUM($G$2:G201))</f>
        <v/>
      </c>
      <c r="I201" s="23">
        <f>IF($BM201=0,"",SUMIFS(Entries!$G$2:$G$5000,Entries!$A$2:$A$5000,"&gt;="&amp;$A201,Entries!$A$2:$A$5000,"&lt;"&amp;EDATE($A201,1)))</f>
        <v/>
      </c>
      <c r="J201" s="23">
        <f>IF($BM201=0,NA(),H201)</f>
        <v/>
      </c>
      <c r="K201" s="23">
        <f>IF($BM201=0,"",SUMIFS(Entries!$E$2:$E$5000,Entries!$C$2:$C$5000,"Income",Entries!$A$2:$A$5000,"&gt;="&amp;EDATE($A201,-11),Entries!$A$2:$A$5000,"&lt;"&amp;EDATE($A201,1))/COUNTIFS($A$2:$A$400,"&gt;="&amp;EDATE($A201,-11),$A$2:$A$400,"&lt;"&amp;EDATE($A201,1),$BM$2:$BM$400,"&gt;0"))</f>
      </c>
      <c r="L201" s="23">
        <f>IF($BM201=0,"",(SUMIFS(Entries!$E$2:$E$5000,Entries!$C$2:$C$5000,"Actual",Entries!$A$2:$A$5000,"&gt;="&amp;EDATE($A201,-11),Entries!$A$2:$A$5000,"&lt;"&amp;EDATE($A201,1))+SUMIFS(Entries!$E$2:$E$5000,Entries!$C$2:$C$5000,"One-off",Entries!$A$2:$A$5000,"&gt;="&amp;EDATE($A201,-11),Entries!$A$2:$A$5000,"&lt;"&amp;EDATE($A201,1)))/COUNTIFS($A$2:$A$400,"&gt;="&amp;EDATE($A201,-11),$A$2:$A$400,"&lt;"&amp;EDATE($A201,1),$BM$2:$BM$400,"&gt;0"))</f>
      </c>
      <c r="M201" s="24">
        <f>IF($BM201=0,NA(),IFERROR((K201-L201)/K201,0))</f>
        <v/>
      </c>
      <c r="N201" s="23">
        <f>IF($BM201=0,NA(),SUMIFS(Entries!$E$2:$E$5000,Entries!$D$2:$D$5000,"Core",Entries!$A$2:$A$5000,"&gt;="&amp;$A201,Entries!$A$2:$A$5000,"&lt;"&amp;EDATE($A201,1)))</f>
        <v/>
      </c>
      <c r="O201" s="23">
        <f>IF($BM201=0,NA(),SUMIFS(Entries!$E$2:$E$5000,Entries!$D$2:$D$5000,"Over &amp; above",Entries!$A$2:$A$5000,"&gt;="&amp;$A201,Entries!$A$2:$A$5000,"&lt;"&amp;EDATE($A201,1)))</f>
        <v/>
      </c>
      <c r="P201" s="23">
        <f>IF($BM201=0,NA(),SUMIFS(Entries!$E$2:$E$5000,Entries!$D$2:$D$5000,"One-off",Entries!$A$2:$A$5000,"&gt;="&amp;$A201,Entries!$A$2:$A$5000,"&lt;"&amp;EDATE($A201,1)))</f>
        <v/>
      </c>
      <c r="Q201" s="23">
        <f>IF($BM201=0,NA(),SUMIFS(Entries!$E$2:$E$5000,Entries!$D$2:$D$5000,"Reimbursable",Entries!$A$2:$A$5000,"&gt;="&amp;$A201,Entries!$A$2:$A$5000,"&lt;"&amp;EDATE($A201,1)))</f>
        <v/>
      </c>
      <c r="R201" s="23">
        <f>IF($BM201=0,NA(),SUMIFS(Entries!$E$2:$E$5000,Entries!$D$2:$D$5000,"Investment",Entries!$A$2:$A$5000,"&gt;="&amp;$A201,Entries!$A$2:$A$5000,"&lt;"&amp;EDATE($A201,1)))</f>
        <v/>
      </c>
      <c r="S201" s="23">
        <f>IF($BM201=0,NA(),N201+O201)</f>
        <v/>
      </c>
      <c r="T201" s="23">
        <f>IF($BM201=0,"",E201-Q201)</f>
        <v/>
      </c>
      <c r="W201" s="23">
        <f>IF(OR(W$1="",$BM201=0),"",SUMIFS(Entries!$E$2:$E$5000,Entries!$C$2:$C$5000,"Actual",Entries!$A$2:$A$5000,"&gt;="&amp;$A201,Entries!$A$2:$A$5000,"&lt;"&amp;EDATE($A201,1),Entries!$B$2:$B$5000,W$1))</f>
        <v/>
      </c>
      <c r="X201" s="23">
        <f>IF(OR(X$1="",$BM201=0),"",SUMIFS(Entries!$E$2:$E$5000,Entries!$C$2:$C$5000,"Actual",Entries!$A$2:$A$5000,"&gt;="&amp;$A201,Entries!$A$2:$A$5000,"&lt;"&amp;EDATE($A201,1),Entries!$B$2:$B$5000,X$1))</f>
        <v/>
      </c>
      <c r="Y201" s="23">
        <f>IF(OR(Y$1="",$BM201=0),"",SUMIFS(Entries!$E$2:$E$5000,Entries!$C$2:$C$5000,"Actual",Entries!$A$2:$A$5000,"&gt;="&amp;$A201,Entries!$A$2:$A$5000,"&lt;"&amp;EDATE($A201,1),Entries!$B$2:$B$5000,Y$1))</f>
        <v/>
      </c>
      <c r="Z201" s="23">
        <f>IF(OR(Z$1="",$BM201=0),"",SUMIFS(Entries!$E$2:$E$5000,Entries!$C$2:$C$5000,"Actual",Entries!$A$2:$A$5000,"&gt;="&amp;$A201,Entries!$A$2:$A$5000,"&lt;"&amp;EDATE($A201,1),Entries!$B$2:$B$5000,Z$1))</f>
        <v/>
      </c>
      <c r="AA201" s="23">
        <f>IF(OR(AA$1="",$BM201=0),"",SUMIFS(Entries!$E$2:$E$5000,Entries!$C$2:$C$5000,"Actual",Entries!$A$2:$A$5000,"&gt;="&amp;$A201,Entries!$A$2:$A$5000,"&lt;"&amp;EDATE($A201,1),Entries!$B$2:$B$5000,AA$1))</f>
        <v/>
      </c>
      <c r="AB201" s="23">
        <f>IF(OR(AB$1="",$BM201=0),"",SUMIFS(Entries!$E$2:$E$5000,Entries!$C$2:$C$5000,"Actual",Entries!$A$2:$A$5000,"&gt;="&amp;$A201,Entries!$A$2:$A$5000,"&lt;"&amp;EDATE($A201,1),Entries!$B$2:$B$5000,AB$1))</f>
        <v/>
      </c>
      <c r="AC201" s="23">
        <f>IF(OR(AC$1="",$BM201=0),"",SUMIFS(Entries!$E$2:$E$5000,Entries!$C$2:$C$5000,"Actual",Entries!$A$2:$A$5000,"&gt;="&amp;$A201,Entries!$A$2:$A$5000,"&lt;"&amp;EDATE($A201,1),Entries!$B$2:$B$5000,AC$1))</f>
        <v/>
      </c>
      <c r="AD201" s="23">
        <f>IF(OR(AD$1="",$BM201=0),"",SUMIFS(Entries!$E$2:$E$5000,Entries!$C$2:$C$5000,"Actual",Entries!$A$2:$A$5000,"&gt;="&amp;$A201,Entries!$A$2:$A$5000,"&lt;"&amp;EDATE($A201,1),Entries!$B$2:$B$5000,AD$1))</f>
        <v/>
      </c>
      <c r="AE201" s="23">
        <f>IF(OR(AE$1="",$BM201=0),"",SUMIFS(Entries!$E$2:$E$5000,Entries!$C$2:$C$5000,"Actual",Entries!$A$2:$A$5000,"&gt;="&amp;$A201,Entries!$A$2:$A$5000,"&lt;"&amp;EDATE($A201,1),Entries!$B$2:$B$5000,AE$1))</f>
        <v/>
      </c>
      <c r="AF201" s="23">
        <f>IF(OR(AF$1="",$BM201=0),"",SUMIFS(Entries!$E$2:$E$5000,Entries!$C$2:$C$5000,"Actual",Entries!$A$2:$A$5000,"&gt;="&amp;$A201,Entries!$A$2:$A$5000,"&lt;"&amp;EDATE($A201,1),Entries!$B$2:$B$5000,AF$1))</f>
        <v/>
      </c>
      <c r="AG201" s="23">
        <f>IF(OR(AG$1="",$BM201=0),"",SUMIFS(Entries!$E$2:$E$5000,Entries!$C$2:$C$5000,"Actual",Entries!$A$2:$A$5000,"&gt;="&amp;$A201,Entries!$A$2:$A$5000,"&lt;"&amp;EDATE($A201,1),Entries!$B$2:$B$5000,AG$1))</f>
        <v/>
      </c>
      <c r="AH201" s="23">
        <f>IF(OR(AH$1="",$BM201=0),"",SUMIFS(Entries!$E$2:$E$5000,Entries!$C$2:$C$5000,"Actual",Entries!$A$2:$A$5000,"&gt;="&amp;$A201,Entries!$A$2:$A$5000,"&lt;"&amp;EDATE($A201,1),Entries!$B$2:$B$5000,AH$1))</f>
        <v/>
      </c>
      <c r="AI201" s="23">
        <f>IF(OR(AI$1="",$BM201=0),"",SUMIFS(Entries!$E$2:$E$5000,Entries!$C$2:$C$5000,"Actual",Entries!$A$2:$A$5000,"&gt;="&amp;$A201,Entries!$A$2:$A$5000,"&lt;"&amp;EDATE($A201,1),Entries!$B$2:$B$5000,AI$1))</f>
        <v/>
      </c>
      <c r="AJ201" s="23">
        <f>IF(OR(AJ$1="",$BM201=0),"",SUMIFS(Entries!$E$2:$E$5000,Entries!$C$2:$C$5000,"Actual",Entries!$A$2:$A$5000,"&gt;="&amp;$A201,Entries!$A$2:$A$5000,"&lt;"&amp;EDATE($A201,1),Entries!$B$2:$B$5000,AJ$1))</f>
        <v/>
      </c>
      <c r="AK201" s="23">
        <f>IF(OR(AK$1="",$BM201=0),"",SUMIFS(Entries!$E$2:$E$5000,Entries!$C$2:$C$5000,"Actual",Entries!$A$2:$A$5000,"&gt;="&amp;$A201,Entries!$A$2:$A$5000,"&lt;"&amp;EDATE($A201,1),Entries!$B$2:$B$5000,AK$1))</f>
        <v/>
      </c>
      <c r="AL201" s="23">
        <f>IF(OR(AL$1="",$BM201=0),"",SUMIFS(Entries!$E$2:$E$5000,Entries!$C$2:$C$5000,"Actual",Entries!$A$2:$A$5000,"&gt;="&amp;$A201,Entries!$A$2:$A$5000,"&lt;"&amp;EDATE($A201,1),Entries!$B$2:$B$5000,AL$1))</f>
        <v/>
      </c>
      <c r="AM201" s="23">
        <f>IF(OR(AM$1="",$BM201=0),"",SUMIFS(Entries!$E$2:$E$5000,Entries!$C$2:$C$5000,"Actual",Entries!$A$2:$A$5000,"&gt;="&amp;$A201,Entries!$A$2:$A$5000,"&lt;"&amp;EDATE($A201,1),Entries!$B$2:$B$5000,AM$1))</f>
        <v/>
      </c>
      <c r="AN201" s="23">
        <f>IF(OR(AN$1="",$BM201=0),"",SUMIFS(Entries!$E$2:$E$5000,Entries!$C$2:$C$5000,"Actual",Entries!$A$2:$A$5000,"&gt;="&amp;$A201,Entries!$A$2:$A$5000,"&lt;"&amp;EDATE($A201,1),Entries!$B$2:$B$5000,AN$1))</f>
        <v/>
      </c>
      <c r="AO201" s="23">
        <f>IF(OR(AO$1="",$BM201=0),"",SUMIFS(Entries!$E$2:$E$5000,Entries!$C$2:$C$5000,"Actual",Entries!$A$2:$A$5000,"&gt;="&amp;$A201,Entries!$A$2:$A$5000,"&lt;"&amp;EDATE($A201,1),Entries!$B$2:$B$5000,AO$1))</f>
        <v/>
      </c>
      <c r="AP201" s="23">
        <f>IF(OR(AP$1="",$BM201=0),"",SUMIFS(Entries!$E$2:$E$5000,Entries!$C$2:$C$5000,"Actual",Entries!$A$2:$A$5000,"&gt;="&amp;$A201,Entries!$A$2:$A$5000,"&lt;"&amp;EDATE($A201,1),Entries!$B$2:$B$5000,AP$1))</f>
        <v/>
      </c>
      <c r="AR201" s="23">
        <f>IF(OR(AR$1="",$BM201=0),"",IFERROR(LOOKUP(2,1/((Budgets!$A$2:$A$200=AR$1)*(Budgets!$B$2:$B$200&lt;EDATE($A201,1))),Budgets!$C$2:$C$200),0))</f>
        <v/>
      </c>
      <c r="AS201" s="23">
        <f>IF(OR(AS$1="",$BM201=0),"",IFERROR(LOOKUP(2,1/((Budgets!$A$2:$A$200=AS$1)*(Budgets!$B$2:$B$200&lt;EDATE($A201,1))),Budgets!$C$2:$C$200),0))</f>
        <v/>
      </c>
      <c r="AT201" s="23">
        <f>IF(OR(AT$1="",$BM201=0),"",IFERROR(LOOKUP(2,1/((Budgets!$A$2:$A$200=AT$1)*(Budgets!$B$2:$B$200&lt;EDATE($A201,1))),Budgets!$C$2:$C$200),0))</f>
        <v/>
      </c>
      <c r="AU201" s="23">
        <f>IF(OR(AU$1="",$BM201=0),"",IFERROR(LOOKUP(2,1/((Budgets!$A$2:$A$200=AU$1)*(Budgets!$B$2:$B$200&lt;EDATE($A201,1))),Budgets!$C$2:$C$200),0))</f>
        <v/>
      </c>
      <c r="AV201" s="23">
        <f>IF(OR(AV$1="",$BM201=0),"",IFERROR(LOOKUP(2,1/((Budgets!$A$2:$A$200=AV$1)*(Budgets!$B$2:$B$200&lt;EDATE($A201,1))),Budgets!$C$2:$C$200),0))</f>
        <v/>
      </c>
      <c r="AW201" s="23">
        <f>IF(OR(AW$1="",$BM201=0),"",IFERROR(LOOKUP(2,1/((Budgets!$A$2:$A$200=AW$1)*(Budgets!$B$2:$B$200&lt;EDATE($A201,1))),Budgets!$C$2:$C$200),0))</f>
        <v/>
      </c>
      <c r="AX201" s="23">
        <f>IF(OR(AX$1="",$BM201=0),"",IFERROR(LOOKUP(2,1/((Budgets!$A$2:$A$200=AX$1)*(Budgets!$B$2:$B$200&lt;EDATE($A201,1))),Budgets!$C$2:$C$200),0))</f>
        <v/>
      </c>
      <c r="AY201" s="23">
        <f>IF(OR(AY$1="",$BM201=0),"",IFERROR(LOOKUP(2,1/((Budgets!$A$2:$A$200=AY$1)*(Budgets!$B$2:$B$200&lt;EDATE($A201,1))),Budgets!$C$2:$C$200),0))</f>
        <v/>
      </c>
      <c r="AZ201" s="23">
        <f>IF(OR(AZ$1="",$BM201=0),"",IFERROR(LOOKUP(2,1/((Budgets!$A$2:$A$200=AZ$1)*(Budgets!$B$2:$B$200&lt;EDATE($A201,1))),Budgets!$C$2:$C$200),0))</f>
        <v/>
      </c>
      <c r="BA201" s="23">
        <f>IF(OR(BA$1="",$BM201=0),"",IFERROR(LOOKUP(2,1/((Budgets!$A$2:$A$200=BA$1)*(Budgets!$B$2:$B$200&lt;EDATE($A201,1))),Budgets!$C$2:$C$200),0))</f>
        <v/>
      </c>
      <c r="BB201" s="23">
        <f>IF(OR(BB$1="",$BM201=0),"",IFERROR(LOOKUP(2,1/((Budgets!$A$2:$A$200=BB$1)*(Budgets!$B$2:$B$200&lt;EDATE($A201,1))),Budgets!$C$2:$C$200),0))</f>
        <v/>
      </c>
      <c r="BC201" s="23">
        <f>IF(OR(BC$1="",$BM201=0),"",IFERROR(LOOKUP(2,1/((Budgets!$A$2:$A$200=BC$1)*(Budgets!$B$2:$B$200&lt;EDATE($A201,1))),Budgets!$C$2:$C$200),0))</f>
        <v/>
      </c>
      <c r="BD201" s="23">
        <f>IF(OR(BD$1="",$BM201=0),"",IFERROR(LOOKUP(2,1/((Budgets!$A$2:$A$200=BD$1)*(Budgets!$B$2:$B$200&lt;EDATE($A201,1))),Budgets!$C$2:$C$200),0))</f>
        <v/>
      </c>
      <c r="BE201" s="23">
        <f>IF(OR(BE$1="",$BM201=0),"",IFERROR(LOOKUP(2,1/((Budgets!$A$2:$A$200=BE$1)*(Budgets!$B$2:$B$200&lt;EDATE($A201,1))),Budgets!$C$2:$C$200),0))</f>
        <v/>
      </c>
      <c r="BF201" s="23">
        <f>IF(OR(BF$1="",$BM201=0),"",IFERROR(LOOKUP(2,1/((Budgets!$A$2:$A$200=BF$1)*(Budgets!$B$2:$B$200&lt;EDATE($A201,1))),Budgets!$C$2:$C$200),0))</f>
        <v/>
      </c>
      <c r="BG201" s="23">
        <f>IF(OR(BG$1="",$BM201=0),"",IFERROR(LOOKUP(2,1/((Budgets!$A$2:$A$200=BG$1)*(Budgets!$B$2:$B$200&lt;EDATE($A201,1))),Budgets!$C$2:$C$200),0))</f>
        <v/>
      </c>
      <c r="BH201" s="23">
        <f>IF(OR(BH$1="",$BM201=0),"",IFERROR(LOOKUP(2,1/((Budgets!$A$2:$A$200=BH$1)*(Budgets!$B$2:$B$200&lt;EDATE($A201,1))),Budgets!$C$2:$C$200),0))</f>
        <v/>
      </c>
      <c r="BI201" s="23">
        <f>IF(OR(BI$1="",$BM201=0),"",IFERROR(LOOKUP(2,1/((Budgets!$A$2:$A$200=BI$1)*(Budgets!$B$2:$B$200&lt;EDATE($A201,1))),Budgets!$C$2:$C$200),0))</f>
        <v/>
      </c>
      <c r="BJ201" s="23">
        <f>IF(OR(BJ$1="",$BM201=0),"",IFERROR(LOOKUP(2,1/((Budgets!$A$2:$A$200=BJ$1)*(Budgets!$B$2:$B$200&lt;EDATE($A201,1))),Budgets!$C$2:$C$200),0))</f>
        <v/>
      </c>
      <c r="BK201" s="23">
        <f>IF(OR(BK$1="",$BM201=0),"",IFERROR(LOOKUP(2,1/((Budgets!$A$2:$A$200=BK$1)*(Budgets!$B$2:$B$200&lt;EDATE($A201,1))),Budgets!$C$2:$C$200),0))</f>
        <v/>
      </c>
      <c r="BM201" s="21">
        <f>COUNTIFS(Entries!$A$2:$A$5000,"&gt;="&amp;$A201,Entries!$A$2:$A$5000,"&lt;"&amp;EDATE($A201,1))</f>
        <v/>
      </c>
    </row>
    <row r="202">
      <c r="A202" s="22" t="n">
        <v>45536</v>
      </c>
      <c r="B202" s="23">
        <f>IF($BM202=0,NA(),SUMIFS(Entries!$E$2:$E$5000,Entries!$C$2:$C$5000,"Income",Entries!$A$2:$A$5000,"&gt;="&amp;$A202,Entries!$A$2:$A$5000,"&lt;"&amp;EDATE($A202,1)))</f>
        <v/>
      </c>
      <c r="C202" s="23">
        <f>IF($BM202=0,"",SUMIFS(Entries!$E$2:$E$5000,Entries!$C$2:$C$5000,"Actual",Entries!$A$2:$A$5000,"&gt;="&amp;$A202,Entries!$A$2:$A$5000,"&lt;"&amp;EDATE($A202,1)))</f>
        <v/>
      </c>
      <c r="D202" s="23">
        <f>IF($BM202=0,"",SUMIFS(Entries!$E$2:$E$5000,Entries!$C$2:$C$5000,"One-off",Entries!$A$2:$A$5000,"&gt;="&amp;$A202,Entries!$A$2:$A$5000,"&lt;"&amp;EDATE($A202,1)))</f>
        <v/>
      </c>
      <c r="E202" s="23">
        <f>IF($BM202=0,NA(),C202+D202)</f>
        <v/>
      </c>
      <c r="F202" s="23">
        <f>IF($BM202=0,"",SUM(AR202:BK202))</f>
        <v/>
      </c>
      <c r="G202" s="23">
        <f>IF($BM202=0,"",B202-E202)</f>
        <v/>
      </c>
      <c r="H202" s="23">
        <f>IF($BM202=0,"",SUM($G$2:G202))</f>
        <v/>
      </c>
      <c r="I202" s="23">
        <f>IF($BM202=0,"",SUMIFS(Entries!$G$2:$G$5000,Entries!$A$2:$A$5000,"&gt;="&amp;$A202,Entries!$A$2:$A$5000,"&lt;"&amp;EDATE($A202,1)))</f>
        <v/>
      </c>
      <c r="J202" s="23">
        <f>IF($BM202=0,NA(),H202)</f>
        <v/>
      </c>
      <c r="K202" s="23">
        <f>IF($BM202=0,"",SUMIFS(Entries!$E$2:$E$5000,Entries!$C$2:$C$5000,"Income",Entries!$A$2:$A$5000,"&gt;="&amp;EDATE($A202,-11),Entries!$A$2:$A$5000,"&lt;"&amp;EDATE($A202,1))/COUNTIFS($A$2:$A$400,"&gt;="&amp;EDATE($A202,-11),$A$2:$A$400,"&lt;"&amp;EDATE($A202,1),$BM$2:$BM$400,"&gt;0"))</f>
      </c>
      <c r="L202" s="23">
        <f>IF($BM202=0,"",(SUMIFS(Entries!$E$2:$E$5000,Entries!$C$2:$C$5000,"Actual",Entries!$A$2:$A$5000,"&gt;="&amp;EDATE($A202,-11),Entries!$A$2:$A$5000,"&lt;"&amp;EDATE($A202,1))+SUMIFS(Entries!$E$2:$E$5000,Entries!$C$2:$C$5000,"One-off",Entries!$A$2:$A$5000,"&gt;="&amp;EDATE($A202,-11),Entries!$A$2:$A$5000,"&lt;"&amp;EDATE($A202,1)))/COUNTIFS($A$2:$A$400,"&gt;="&amp;EDATE($A202,-11),$A$2:$A$400,"&lt;"&amp;EDATE($A202,1),$BM$2:$BM$400,"&gt;0"))</f>
      </c>
      <c r="M202" s="24">
        <f>IF($BM202=0,NA(),IFERROR((K202-L202)/K202,0))</f>
        <v/>
      </c>
      <c r="N202" s="23">
        <f>IF($BM202=0,NA(),SUMIFS(Entries!$E$2:$E$5000,Entries!$D$2:$D$5000,"Core",Entries!$A$2:$A$5000,"&gt;="&amp;$A202,Entries!$A$2:$A$5000,"&lt;"&amp;EDATE($A202,1)))</f>
        <v/>
      </c>
      <c r="O202" s="23">
        <f>IF($BM202=0,NA(),SUMIFS(Entries!$E$2:$E$5000,Entries!$D$2:$D$5000,"Over &amp; above",Entries!$A$2:$A$5000,"&gt;="&amp;$A202,Entries!$A$2:$A$5000,"&lt;"&amp;EDATE($A202,1)))</f>
        <v/>
      </c>
      <c r="P202" s="23">
        <f>IF($BM202=0,NA(),SUMIFS(Entries!$E$2:$E$5000,Entries!$D$2:$D$5000,"One-off",Entries!$A$2:$A$5000,"&gt;="&amp;$A202,Entries!$A$2:$A$5000,"&lt;"&amp;EDATE($A202,1)))</f>
        <v/>
      </c>
      <c r="Q202" s="23">
        <f>IF($BM202=0,NA(),SUMIFS(Entries!$E$2:$E$5000,Entries!$D$2:$D$5000,"Reimbursable",Entries!$A$2:$A$5000,"&gt;="&amp;$A202,Entries!$A$2:$A$5000,"&lt;"&amp;EDATE($A202,1)))</f>
        <v/>
      </c>
      <c r="R202" s="23">
        <f>IF($BM202=0,NA(),SUMIFS(Entries!$E$2:$E$5000,Entries!$D$2:$D$5000,"Investment",Entries!$A$2:$A$5000,"&gt;="&amp;$A202,Entries!$A$2:$A$5000,"&lt;"&amp;EDATE($A202,1)))</f>
        <v/>
      </c>
      <c r="S202" s="23">
        <f>IF($BM202=0,NA(),N202+O202)</f>
        <v/>
      </c>
      <c r="T202" s="23">
        <f>IF($BM202=0,"",E202-Q202)</f>
        <v/>
      </c>
      <c r="W202" s="23">
        <f>IF(OR(W$1="",$BM202=0),"",SUMIFS(Entries!$E$2:$E$5000,Entries!$C$2:$C$5000,"Actual",Entries!$A$2:$A$5000,"&gt;="&amp;$A202,Entries!$A$2:$A$5000,"&lt;"&amp;EDATE($A202,1),Entries!$B$2:$B$5000,W$1))</f>
        <v/>
      </c>
      <c r="X202" s="23">
        <f>IF(OR(X$1="",$BM202=0),"",SUMIFS(Entries!$E$2:$E$5000,Entries!$C$2:$C$5000,"Actual",Entries!$A$2:$A$5000,"&gt;="&amp;$A202,Entries!$A$2:$A$5000,"&lt;"&amp;EDATE($A202,1),Entries!$B$2:$B$5000,X$1))</f>
        <v/>
      </c>
      <c r="Y202" s="23">
        <f>IF(OR(Y$1="",$BM202=0),"",SUMIFS(Entries!$E$2:$E$5000,Entries!$C$2:$C$5000,"Actual",Entries!$A$2:$A$5000,"&gt;="&amp;$A202,Entries!$A$2:$A$5000,"&lt;"&amp;EDATE($A202,1),Entries!$B$2:$B$5000,Y$1))</f>
        <v/>
      </c>
      <c r="Z202" s="23">
        <f>IF(OR(Z$1="",$BM202=0),"",SUMIFS(Entries!$E$2:$E$5000,Entries!$C$2:$C$5000,"Actual",Entries!$A$2:$A$5000,"&gt;="&amp;$A202,Entries!$A$2:$A$5000,"&lt;"&amp;EDATE($A202,1),Entries!$B$2:$B$5000,Z$1))</f>
        <v/>
      </c>
      <c r="AA202" s="23">
        <f>IF(OR(AA$1="",$BM202=0),"",SUMIFS(Entries!$E$2:$E$5000,Entries!$C$2:$C$5000,"Actual",Entries!$A$2:$A$5000,"&gt;="&amp;$A202,Entries!$A$2:$A$5000,"&lt;"&amp;EDATE($A202,1),Entries!$B$2:$B$5000,AA$1))</f>
        <v/>
      </c>
      <c r="AB202" s="23">
        <f>IF(OR(AB$1="",$BM202=0),"",SUMIFS(Entries!$E$2:$E$5000,Entries!$C$2:$C$5000,"Actual",Entries!$A$2:$A$5000,"&gt;="&amp;$A202,Entries!$A$2:$A$5000,"&lt;"&amp;EDATE($A202,1),Entries!$B$2:$B$5000,AB$1))</f>
        <v/>
      </c>
      <c r="AC202" s="23">
        <f>IF(OR(AC$1="",$BM202=0),"",SUMIFS(Entries!$E$2:$E$5000,Entries!$C$2:$C$5000,"Actual",Entries!$A$2:$A$5000,"&gt;="&amp;$A202,Entries!$A$2:$A$5000,"&lt;"&amp;EDATE($A202,1),Entries!$B$2:$B$5000,AC$1))</f>
        <v/>
      </c>
      <c r="AD202" s="23">
        <f>IF(OR(AD$1="",$BM202=0),"",SUMIFS(Entries!$E$2:$E$5000,Entries!$C$2:$C$5000,"Actual",Entries!$A$2:$A$5000,"&gt;="&amp;$A202,Entries!$A$2:$A$5000,"&lt;"&amp;EDATE($A202,1),Entries!$B$2:$B$5000,AD$1))</f>
        <v/>
      </c>
      <c r="AE202" s="23">
        <f>IF(OR(AE$1="",$BM202=0),"",SUMIFS(Entries!$E$2:$E$5000,Entries!$C$2:$C$5000,"Actual",Entries!$A$2:$A$5000,"&gt;="&amp;$A202,Entries!$A$2:$A$5000,"&lt;"&amp;EDATE($A202,1),Entries!$B$2:$B$5000,AE$1))</f>
        <v/>
      </c>
      <c r="AF202" s="23">
        <f>IF(OR(AF$1="",$BM202=0),"",SUMIFS(Entries!$E$2:$E$5000,Entries!$C$2:$C$5000,"Actual",Entries!$A$2:$A$5000,"&gt;="&amp;$A202,Entries!$A$2:$A$5000,"&lt;"&amp;EDATE($A202,1),Entries!$B$2:$B$5000,AF$1))</f>
        <v/>
      </c>
      <c r="AG202" s="23">
        <f>IF(OR(AG$1="",$BM202=0),"",SUMIFS(Entries!$E$2:$E$5000,Entries!$C$2:$C$5000,"Actual",Entries!$A$2:$A$5000,"&gt;="&amp;$A202,Entries!$A$2:$A$5000,"&lt;"&amp;EDATE($A202,1),Entries!$B$2:$B$5000,AG$1))</f>
        <v/>
      </c>
      <c r="AH202" s="23">
        <f>IF(OR(AH$1="",$BM202=0),"",SUMIFS(Entries!$E$2:$E$5000,Entries!$C$2:$C$5000,"Actual",Entries!$A$2:$A$5000,"&gt;="&amp;$A202,Entries!$A$2:$A$5000,"&lt;"&amp;EDATE($A202,1),Entries!$B$2:$B$5000,AH$1))</f>
        <v/>
      </c>
      <c r="AI202" s="23">
        <f>IF(OR(AI$1="",$BM202=0),"",SUMIFS(Entries!$E$2:$E$5000,Entries!$C$2:$C$5000,"Actual",Entries!$A$2:$A$5000,"&gt;="&amp;$A202,Entries!$A$2:$A$5000,"&lt;"&amp;EDATE($A202,1),Entries!$B$2:$B$5000,AI$1))</f>
        <v/>
      </c>
      <c r="AJ202" s="23">
        <f>IF(OR(AJ$1="",$BM202=0),"",SUMIFS(Entries!$E$2:$E$5000,Entries!$C$2:$C$5000,"Actual",Entries!$A$2:$A$5000,"&gt;="&amp;$A202,Entries!$A$2:$A$5000,"&lt;"&amp;EDATE($A202,1),Entries!$B$2:$B$5000,AJ$1))</f>
        <v/>
      </c>
      <c r="AK202" s="23">
        <f>IF(OR(AK$1="",$BM202=0),"",SUMIFS(Entries!$E$2:$E$5000,Entries!$C$2:$C$5000,"Actual",Entries!$A$2:$A$5000,"&gt;="&amp;$A202,Entries!$A$2:$A$5000,"&lt;"&amp;EDATE($A202,1),Entries!$B$2:$B$5000,AK$1))</f>
        <v/>
      </c>
      <c r="AL202" s="23">
        <f>IF(OR(AL$1="",$BM202=0),"",SUMIFS(Entries!$E$2:$E$5000,Entries!$C$2:$C$5000,"Actual",Entries!$A$2:$A$5000,"&gt;="&amp;$A202,Entries!$A$2:$A$5000,"&lt;"&amp;EDATE($A202,1),Entries!$B$2:$B$5000,AL$1))</f>
        <v/>
      </c>
      <c r="AM202" s="23">
        <f>IF(OR(AM$1="",$BM202=0),"",SUMIFS(Entries!$E$2:$E$5000,Entries!$C$2:$C$5000,"Actual",Entries!$A$2:$A$5000,"&gt;="&amp;$A202,Entries!$A$2:$A$5000,"&lt;"&amp;EDATE($A202,1),Entries!$B$2:$B$5000,AM$1))</f>
        <v/>
      </c>
      <c r="AN202" s="23">
        <f>IF(OR(AN$1="",$BM202=0),"",SUMIFS(Entries!$E$2:$E$5000,Entries!$C$2:$C$5000,"Actual",Entries!$A$2:$A$5000,"&gt;="&amp;$A202,Entries!$A$2:$A$5000,"&lt;"&amp;EDATE($A202,1),Entries!$B$2:$B$5000,AN$1))</f>
        <v/>
      </c>
      <c r="AO202" s="23">
        <f>IF(OR(AO$1="",$BM202=0),"",SUMIFS(Entries!$E$2:$E$5000,Entries!$C$2:$C$5000,"Actual",Entries!$A$2:$A$5000,"&gt;="&amp;$A202,Entries!$A$2:$A$5000,"&lt;"&amp;EDATE($A202,1),Entries!$B$2:$B$5000,AO$1))</f>
        <v/>
      </c>
      <c r="AP202" s="23">
        <f>IF(OR(AP$1="",$BM202=0),"",SUMIFS(Entries!$E$2:$E$5000,Entries!$C$2:$C$5000,"Actual",Entries!$A$2:$A$5000,"&gt;="&amp;$A202,Entries!$A$2:$A$5000,"&lt;"&amp;EDATE($A202,1),Entries!$B$2:$B$5000,AP$1))</f>
        <v/>
      </c>
      <c r="AR202" s="23">
        <f>IF(OR(AR$1="",$BM202=0),"",IFERROR(LOOKUP(2,1/((Budgets!$A$2:$A$200=AR$1)*(Budgets!$B$2:$B$200&lt;EDATE($A202,1))),Budgets!$C$2:$C$200),0))</f>
        <v/>
      </c>
      <c r="AS202" s="23">
        <f>IF(OR(AS$1="",$BM202=0),"",IFERROR(LOOKUP(2,1/((Budgets!$A$2:$A$200=AS$1)*(Budgets!$B$2:$B$200&lt;EDATE($A202,1))),Budgets!$C$2:$C$200),0))</f>
        <v/>
      </c>
      <c r="AT202" s="23">
        <f>IF(OR(AT$1="",$BM202=0),"",IFERROR(LOOKUP(2,1/((Budgets!$A$2:$A$200=AT$1)*(Budgets!$B$2:$B$200&lt;EDATE($A202,1))),Budgets!$C$2:$C$200),0))</f>
        <v/>
      </c>
      <c r="AU202" s="23">
        <f>IF(OR(AU$1="",$BM202=0),"",IFERROR(LOOKUP(2,1/((Budgets!$A$2:$A$200=AU$1)*(Budgets!$B$2:$B$200&lt;EDATE($A202,1))),Budgets!$C$2:$C$200),0))</f>
        <v/>
      </c>
      <c r="AV202" s="23">
        <f>IF(OR(AV$1="",$BM202=0),"",IFERROR(LOOKUP(2,1/((Budgets!$A$2:$A$200=AV$1)*(Budgets!$B$2:$B$200&lt;EDATE($A202,1))),Budgets!$C$2:$C$200),0))</f>
        <v/>
      </c>
      <c r="AW202" s="23">
        <f>IF(OR(AW$1="",$BM202=0),"",IFERROR(LOOKUP(2,1/((Budgets!$A$2:$A$200=AW$1)*(Budgets!$B$2:$B$200&lt;EDATE($A202,1))),Budgets!$C$2:$C$200),0))</f>
        <v/>
      </c>
      <c r="AX202" s="23">
        <f>IF(OR(AX$1="",$BM202=0),"",IFERROR(LOOKUP(2,1/((Budgets!$A$2:$A$200=AX$1)*(Budgets!$B$2:$B$200&lt;EDATE($A202,1))),Budgets!$C$2:$C$200),0))</f>
        <v/>
      </c>
      <c r="AY202" s="23">
        <f>IF(OR(AY$1="",$BM202=0),"",IFERROR(LOOKUP(2,1/((Budgets!$A$2:$A$200=AY$1)*(Budgets!$B$2:$B$200&lt;EDATE($A202,1))),Budgets!$C$2:$C$200),0))</f>
        <v/>
      </c>
      <c r="AZ202" s="23">
        <f>IF(OR(AZ$1="",$BM202=0),"",IFERROR(LOOKUP(2,1/((Budgets!$A$2:$A$200=AZ$1)*(Budgets!$B$2:$B$200&lt;EDATE($A202,1))),Budgets!$C$2:$C$200),0))</f>
        <v/>
      </c>
      <c r="BA202" s="23">
        <f>IF(OR(BA$1="",$BM202=0),"",IFERROR(LOOKUP(2,1/((Budgets!$A$2:$A$200=BA$1)*(Budgets!$B$2:$B$200&lt;EDATE($A202,1))),Budgets!$C$2:$C$200),0))</f>
        <v/>
      </c>
      <c r="BB202" s="23">
        <f>IF(OR(BB$1="",$BM202=0),"",IFERROR(LOOKUP(2,1/((Budgets!$A$2:$A$200=BB$1)*(Budgets!$B$2:$B$200&lt;EDATE($A202,1))),Budgets!$C$2:$C$200),0))</f>
        <v/>
      </c>
      <c r="BC202" s="23">
        <f>IF(OR(BC$1="",$BM202=0),"",IFERROR(LOOKUP(2,1/((Budgets!$A$2:$A$200=BC$1)*(Budgets!$B$2:$B$200&lt;EDATE($A202,1))),Budgets!$C$2:$C$200),0))</f>
        <v/>
      </c>
      <c r="BD202" s="23">
        <f>IF(OR(BD$1="",$BM202=0),"",IFERROR(LOOKUP(2,1/((Budgets!$A$2:$A$200=BD$1)*(Budgets!$B$2:$B$200&lt;EDATE($A202,1))),Budgets!$C$2:$C$200),0))</f>
        <v/>
      </c>
      <c r="BE202" s="23">
        <f>IF(OR(BE$1="",$BM202=0),"",IFERROR(LOOKUP(2,1/((Budgets!$A$2:$A$200=BE$1)*(Budgets!$B$2:$B$200&lt;EDATE($A202,1))),Budgets!$C$2:$C$200),0))</f>
        <v/>
      </c>
      <c r="BF202" s="23">
        <f>IF(OR(BF$1="",$BM202=0),"",IFERROR(LOOKUP(2,1/((Budgets!$A$2:$A$200=BF$1)*(Budgets!$B$2:$B$200&lt;EDATE($A202,1))),Budgets!$C$2:$C$200),0))</f>
        <v/>
      </c>
      <c r="BG202" s="23">
        <f>IF(OR(BG$1="",$BM202=0),"",IFERROR(LOOKUP(2,1/((Budgets!$A$2:$A$200=BG$1)*(Budgets!$B$2:$B$200&lt;EDATE($A202,1))),Budgets!$C$2:$C$200),0))</f>
        <v/>
      </c>
      <c r="BH202" s="23">
        <f>IF(OR(BH$1="",$BM202=0),"",IFERROR(LOOKUP(2,1/((Budgets!$A$2:$A$200=BH$1)*(Budgets!$B$2:$B$200&lt;EDATE($A202,1))),Budgets!$C$2:$C$200),0))</f>
        <v/>
      </c>
      <c r="BI202" s="23">
        <f>IF(OR(BI$1="",$BM202=0),"",IFERROR(LOOKUP(2,1/((Budgets!$A$2:$A$200=BI$1)*(Budgets!$B$2:$B$200&lt;EDATE($A202,1))),Budgets!$C$2:$C$200),0))</f>
        <v/>
      </c>
      <c r="BJ202" s="23">
        <f>IF(OR(BJ$1="",$BM202=0),"",IFERROR(LOOKUP(2,1/((Budgets!$A$2:$A$200=BJ$1)*(Budgets!$B$2:$B$200&lt;EDATE($A202,1))),Budgets!$C$2:$C$200),0))</f>
        <v/>
      </c>
      <c r="BK202" s="23">
        <f>IF(OR(BK$1="",$BM202=0),"",IFERROR(LOOKUP(2,1/((Budgets!$A$2:$A$200=BK$1)*(Budgets!$B$2:$B$200&lt;EDATE($A202,1))),Budgets!$C$2:$C$200),0))</f>
        <v/>
      </c>
      <c r="BM202" s="21">
        <f>COUNTIFS(Entries!$A$2:$A$5000,"&gt;="&amp;$A202,Entries!$A$2:$A$5000,"&lt;"&amp;EDATE($A202,1))</f>
        <v/>
      </c>
    </row>
    <row r="203">
      <c r="A203" s="22" t="n">
        <v>45566</v>
      </c>
      <c r="B203" s="23">
        <f>IF($BM203=0,NA(),SUMIFS(Entries!$E$2:$E$5000,Entries!$C$2:$C$5000,"Income",Entries!$A$2:$A$5000,"&gt;="&amp;$A203,Entries!$A$2:$A$5000,"&lt;"&amp;EDATE($A203,1)))</f>
        <v/>
      </c>
      <c r="C203" s="23">
        <f>IF($BM203=0,"",SUMIFS(Entries!$E$2:$E$5000,Entries!$C$2:$C$5000,"Actual",Entries!$A$2:$A$5000,"&gt;="&amp;$A203,Entries!$A$2:$A$5000,"&lt;"&amp;EDATE($A203,1)))</f>
        <v/>
      </c>
      <c r="D203" s="23">
        <f>IF($BM203=0,"",SUMIFS(Entries!$E$2:$E$5000,Entries!$C$2:$C$5000,"One-off",Entries!$A$2:$A$5000,"&gt;="&amp;$A203,Entries!$A$2:$A$5000,"&lt;"&amp;EDATE($A203,1)))</f>
        <v/>
      </c>
      <c r="E203" s="23">
        <f>IF($BM203=0,NA(),C203+D203)</f>
        <v/>
      </c>
      <c r="F203" s="23">
        <f>IF($BM203=0,"",SUM(AR203:BK203))</f>
        <v/>
      </c>
      <c r="G203" s="23">
        <f>IF($BM203=0,"",B203-E203)</f>
        <v/>
      </c>
      <c r="H203" s="23">
        <f>IF($BM203=0,"",SUM($G$2:G203))</f>
        <v/>
      </c>
      <c r="I203" s="23">
        <f>IF($BM203=0,"",SUMIFS(Entries!$G$2:$G$5000,Entries!$A$2:$A$5000,"&gt;="&amp;$A203,Entries!$A$2:$A$5000,"&lt;"&amp;EDATE($A203,1)))</f>
        <v/>
      </c>
      <c r="J203" s="23">
        <f>IF($BM203=0,NA(),H203)</f>
        <v/>
      </c>
      <c r="K203" s="23">
        <f>IF($BM203=0,"",SUMIFS(Entries!$E$2:$E$5000,Entries!$C$2:$C$5000,"Income",Entries!$A$2:$A$5000,"&gt;="&amp;EDATE($A203,-11),Entries!$A$2:$A$5000,"&lt;"&amp;EDATE($A203,1))/COUNTIFS($A$2:$A$400,"&gt;="&amp;EDATE($A203,-11),$A$2:$A$400,"&lt;"&amp;EDATE($A203,1),$BM$2:$BM$400,"&gt;0"))</f>
      </c>
      <c r="L203" s="23">
        <f>IF($BM203=0,"",(SUMIFS(Entries!$E$2:$E$5000,Entries!$C$2:$C$5000,"Actual",Entries!$A$2:$A$5000,"&gt;="&amp;EDATE($A203,-11),Entries!$A$2:$A$5000,"&lt;"&amp;EDATE($A203,1))+SUMIFS(Entries!$E$2:$E$5000,Entries!$C$2:$C$5000,"One-off",Entries!$A$2:$A$5000,"&gt;="&amp;EDATE($A203,-11),Entries!$A$2:$A$5000,"&lt;"&amp;EDATE($A203,1)))/COUNTIFS($A$2:$A$400,"&gt;="&amp;EDATE($A203,-11),$A$2:$A$400,"&lt;"&amp;EDATE($A203,1),$BM$2:$BM$400,"&gt;0"))</f>
      </c>
      <c r="M203" s="24">
        <f>IF($BM203=0,NA(),IFERROR((K203-L203)/K203,0))</f>
        <v/>
      </c>
      <c r="N203" s="23">
        <f>IF($BM203=0,NA(),SUMIFS(Entries!$E$2:$E$5000,Entries!$D$2:$D$5000,"Core",Entries!$A$2:$A$5000,"&gt;="&amp;$A203,Entries!$A$2:$A$5000,"&lt;"&amp;EDATE($A203,1)))</f>
        <v/>
      </c>
      <c r="O203" s="23">
        <f>IF($BM203=0,NA(),SUMIFS(Entries!$E$2:$E$5000,Entries!$D$2:$D$5000,"Over &amp; above",Entries!$A$2:$A$5000,"&gt;="&amp;$A203,Entries!$A$2:$A$5000,"&lt;"&amp;EDATE($A203,1)))</f>
        <v/>
      </c>
      <c r="P203" s="23">
        <f>IF($BM203=0,NA(),SUMIFS(Entries!$E$2:$E$5000,Entries!$D$2:$D$5000,"One-off",Entries!$A$2:$A$5000,"&gt;="&amp;$A203,Entries!$A$2:$A$5000,"&lt;"&amp;EDATE($A203,1)))</f>
        <v/>
      </c>
      <c r="Q203" s="23">
        <f>IF($BM203=0,NA(),SUMIFS(Entries!$E$2:$E$5000,Entries!$D$2:$D$5000,"Reimbursable",Entries!$A$2:$A$5000,"&gt;="&amp;$A203,Entries!$A$2:$A$5000,"&lt;"&amp;EDATE($A203,1)))</f>
        <v/>
      </c>
      <c r="R203" s="23">
        <f>IF($BM203=0,NA(),SUMIFS(Entries!$E$2:$E$5000,Entries!$D$2:$D$5000,"Investment",Entries!$A$2:$A$5000,"&gt;="&amp;$A203,Entries!$A$2:$A$5000,"&lt;"&amp;EDATE($A203,1)))</f>
        <v/>
      </c>
      <c r="S203" s="23">
        <f>IF($BM203=0,NA(),N203+O203)</f>
        <v/>
      </c>
      <c r="T203" s="23">
        <f>IF($BM203=0,"",E203-Q203)</f>
        <v/>
      </c>
      <c r="W203" s="23">
        <f>IF(OR(W$1="",$BM203=0),"",SUMIFS(Entries!$E$2:$E$5000,Entries!$C$2:$C$5000,"Actual",Entries!$A$2:$A$5000,"&gt;="&amp;$A203,Entries!$A$2:$A$5000,"&lt;"&amp;EDATE($A203,1),Entries!$B$2:$B$5000,W$1))</f>
        <v/>
      </c>
      <c r="X203" s="23">
        <f>IF(OR(X$1="",$BM203=0),"",SUMIFS(Entries!$E$2:$E$5000,Entries!$C$2:$C$5000,"Actual",Entries!$A$2:$A$5000,"&gt;="&amp;$A203,Entries!$A$2:$A$5000,"&lt;"&amp;EDATE($A203,1),Entries!$B$2:$B$5000,X$1))</f>
        <v/>
      </c>
      <c r="Y203" s="23">
        <f>IF(OR(Y$1="",$BM203=0),"",SUMIFS(Entries!$E$2:$E$5000,Entries!$C$2:$C$5000,"Actual",Entries!$A$2:$A$5000,"&gt;="&amp;$A203,Entries!$A$2:$A$5000,"&lt;"&amp;EDATE($A203,1),Entries!$B$2:$B$5000,Y$1))</f>
        <v/>
      </c>
      <c r="Z203" s="23">
        <f>IF(OR(Z$1="",$BM203=0),"",SUMIFS(Entries!$E$2:$E$5000,Entries!$C$2:$C$5000,"Actual",Entries!$A$2:$A$5000,"&gt;="&amp;$A203,Entries!$A$2:$A$5000,"&lt;"&amp;EDATE($A203,1),Entries!$B$2:$B$5000,Z$1))</f>
        <v/>
      </c>
      <c r="AA203" s="23">
        <f>IF(OR(AA$1="",$BM203=0),"",SUMIFS(Entries!$E$2:$E$5000,Entries!$C$2:$C$5000,"Actual",Entries!$A$2:$A$5000,"&gt;="&amp;$A203,Entries!$A$2:$A$5000,"&lt;"&amp;EDATE($A203,1),Entries!$B$2:$B$5000,AA$1))</f>
        <v/>
      </c>
      <c r="AB203" s="23">
        <f>IF(OR(AB$1="",$BM203=0),"",SUMIFS(Entries!$E$2:$E$5000,Entries!$C$2:$C$5000,"Actual",Entries!$A$2:$A$5000,"&gt;="&amp;$A203,Entries!$A$2:$A$5000,"&lt;"&amp;EDATE($A203,1),Entries!$B$2:$B$5000,AB$1))</f>
        <v/>
      </c>
      <c r="AC203" s="23">
        <f>IF(OR(AC$1="",$BM203=0),"",SUMIFS(Entries!$E$2:$E$5000,Entries!$C$2:$C$5000,"Actual",Entries!$A$2:$A$5000,"&gt;="&amp;$A203,Entries!$A$2:$A$5000,"&lt;"&amp;EDATE($A203,1),Entries!$B$2:$B$5000,AC$1))</f>
        <v/>
      </c>
      <c r="AD203" s="23">
        <f>IF(OR(AD$1="",$BM203=0),"",SUMIFS(Entries!$E$2:$E$5000,Entries!$C$2:$C$5000,"Actual",Entries!$A$2:$A$5000,"&gt;="&amp;$A203,Entries!$A$2:$A$5000,"&lt;"&amp;EDATE($A203,1),Entries!$B$2:$B$5000,AD$1))</f>
        <v/>
      </c>
      <c r="AE203" s="23">
        <f>IF(OR(AE$1="",$BM203=0),"",SUMIFS(Entries!$E$2:$E$5000,Entries!$C$2:$C$5000,"Actual",Entries!$A$2:$A$5000,"&gt;="&amp;$A203,Entries!$A$2:$A$5000,"&lt;"&amp;EDATE($A203,1),Entries!$B$2:$B$5000,AE$1))</f>
        <v/>
      </c>
      <c r="AF203" s="23">
        <f>IF(OR(AF$1="",$BM203=0),"",SUMIFS(Entries!$E$2:$E$5000,Entries!$C$2:$C$5000,"Actual",Entries!$A$2:$A$5000,"&gt;="&amp;$A203,Entries!$A$2:$A$5000,"&lt;"&amp;EDATE($A203,1),Entries!$B$2:$B$5000,AF$1))</f>
        <v/>
      </c>
      <c r="AG203" s="23">
        <f>IF(OR(AG$1="",$BM203=0),"",SUMIFS(Entries!$E$2:$E$5000,Entries!$C$2:$C$5000,"Actual",Entries!$A$2:$A$5000,"&gt;="&amp;$A203,Entries!$A$2:$A$5000,"&lt;"&amp;EDATE($A203,1),Entries!$B$2:$B$5000,AG$1))</f>
        <v/>
      </c>
      <c r="AH203" s="23">
        <f>IF(OR(AH$1="",$BM203=0),"",SUMIFS(Entries!$E$2:$E$5000,Entries!$C$2:$C$5000,"Actual",Entries!$A$2:$A$5000,"&gt;="&amp;$A203,Entries!$A$2:$A$5000,"&lt;"&amp;EDATE($A203,1),Entries!$B$2:$B$5000,AH$1))</f>
        <v/>
      </c>
      <c r="AI203" s="23">
        <f>IF(OR(AI$1="",$BM203=0),"",SUMIFS(Entries!$E$2:$E$5000,Entries!$C$2:$C$5000,"Actual",Entries!$A$2:$A$5000,"&gt;="&amp;$A203,Entries!$A$2:$A$5000,"&lt;"&amp;EDATE($A203,1),Entries!$B$2:$B$5000,AI$1))</f>
        <v/>
      </c>
      <c r="AJ203" s="23">
        <f>IF(OR(AJ$1="",$BM203=0),"",SUMIFS(Entries!$E$2:$E$5000,Entries!$C$2:$C$5000,"Actual",Entries!$A$2:$A$5000,"&gt;="&amp;$A203,Entries!$A$2:$A$5000,"&lt;"&amp;EDATE($A203,1),Entries!$B$2:$B$5000,AJ$1))</f>
        <v/>
      </c>
      <c r="AK203" s="23">
        <f>IF(OR(AK$1="",$BM203=0),"",SUMIFS(Entries!$E$2:$E$5000,Entries!$C$2:$C$5000,"Actual",Entries!$A$2:$A$5000,"&gt;="&amp;$A203,Entries!$A$2:$A$5000,"&lt;"&amp;EDATE($A203,1),Entries!$B$2:$B$5000,AK$1))</f>
        <v/>
      </c>
      <c r="AL203" s="23">
        <f>IF(OR(AL$1="",$BM203=0),"",SUMIFS(Entries!$E$2:$E$5000,Entries!$C$2:$C$5000,"Actual",Entries!$A$2:$A$5000,"&gt;="&amp;$A203,Entries!$A$2:$A$5000,"&lt;"&amp;EDATE($A203,1),Entries!$B$2:$B$5000,AL$1))</f>
        <v/>
      </c>
      <c r="AM203" s="23">
        <f>IF(OR(AM$1="",$BM203=0),"",SUMIFS(Entries!$E$2:$E$5000,Entries!$C$2:$C$5000,"Actual",Entries!$A$2:$A$5000,"&gt;="&amp;$A203,Entries!$A$2:$A$5000,"&lt;"&amp;EDATE($A203,1),Entries!$B$2:$B$5000,AM$1))</f>
        <v/>
      </c>
      <c r="AN203" s="23">
        <f>IF(OR(AN$1="",$BM203=0),"",SUMIFS(Entries!$E$2:$E$5000,Entries!$C$2:$C$5000,"Actual",Entries!$A$2:$A$5000,"&gt;="&amp;$A203,Entries!$A$2:$A$5000,"&lt;"&amp;EDATE($A203,1),Entries!$B$2:$B$5000,AN$1))</f>
        <v/>
      </c>
      <c r="AO203" s="23">
        <f>IF(OR(AO$1="",$BM203=0),"",SUMIFS(Entries!$E$2:$E$5000,Entries!$C$2:$C$5000,"Actual",Entries!$A$2:$A$5000,"&gt;="&amp;$A203,Entries!$A$2:$A$5000,"&lt;"&amp;EDATE($A203,1),Entries!$B$2:$B$5000,AO$1))</f>
        <v/>
      </c>
      <c r="AP203" s="23">
        <f>IF(OR(AP$1="",$BM203=0),"",SUMIFS(Entries!$E$2:$E$5000,Entries!$C$2:$C$5000,"Actual",Entries!$A$2:$A$5000,"&gt;="&amp;$A203,Entries!$A$2:$A$5000,"&lt;"&amp;EDATE($A203,1),Entries!$B$2:$B$5000,AP$1))</f>
        <v/>
      </c>
      <c r="AR203" s="23">
        <f>IF(OR(AR$1="",$BM203=0),"",IFERROR(LOOKUP(2,1/((Budgets!$A$2:$A$200=AR$1)*(Budgets!$B$2:$B$200&lt;EDATE($A203,1))),Budgets!$C$2:$C$200),0))</f>
        <v/>
      </c>
      <c r="AS203" s="23">
        <f>IF(OR(AS$1="",$BM203=0),"",IFERROR(LOOKUP(2,1/((Budgets!$A$2:$A$200=AS$1)*(Budgets!$B$2:$B$200&lt;EDATE($A203,1))),Budgets!$C$2:$C$200),0))</f>
        <v/>
      </c>
      <c r="AT203" s="23">
        <f>IF(OR(AT$1="",$BM203=0),"",IFERROR(LOOKUP(2,1/((Budgets!$A$2:$A$200=AT$1)*(Budgets!$B$2:$B$200&lt;EDATE($A203,1))),Budgets!$C$2:$C$200),0))</f>
        <v/>
      </c>
      <c r="AU203" s="23">
        <f>IF(OR(AU$1="",$BM203=0),"",IFERROR(LOOKUP(2,1/((Budgets!$A$2:$A$200=AU$1)*(Budgets!$B$2:$B$200&lt;EDATE($A203,1))),Budgets!$C$2:$C$200),0))</f>
        <v/>
      </c>
      <c r="AV203" s="23">
        <f>IF(OR(AV$1="",$BM203=0),"",IFERROR(LOOKUP(2,1/((Budgets!$A$2:$A$200=AV$1)*(Budgets!$B$2:$B$200&lt;EDATE($A203,1))),Budgets!$C$2:$C$200),0))</f>
        <v/>
      </c>
      <c r="AW203" s="23">
        <f>IF(OR(AW$1="",$BM203=0),"",IFERROR(LOOKUP(2,1/((Budgets!$A$2:$A$200=AW$1)*(Budgets!$B$2:$B$200&lt;EDATE($A203,1))),Budgets!$C$2:$C$200),0))</f>
        <v/>
      </c>
      <c r="AX203" s="23">
        <f>IF(OR(AX$1="",$BM203=0),"",IFERROR(LOOKUP(2,1/((Budgets!$A$2:$A$200=AX$1)*(Budgets!$B$2:$B$200&lt;EDATE($A203,1))),Budgets!$C$2:$C$200),0))</f>
        <v/>
      </c>
      <c r="AY203" s="23">
        <f>IF(OR(AY$1="",$BM203=0),"",IFERROR(LOOKUP(2,1/((Budgets!$A$2:$A$200=AY$1)*(Budgets!$B$2:$B$200&lt;EDATE($A203,1))),Budgets!$C$2:$C$200),0))</f>
        <v/>
      </c>
      <c r="AZ203" s="23">
        <f>IF(OR(AZ$1="",$BM203=0),"",IFERROR(LOOKUP(2,1/((Budgets!$A$2:$A$200=AZ$1)*(Budgets!$B$2:$B$200&lt;EDATE($A203,1))),Budgets!$C$2:$C$200),0))</f>
        <v/>
      </c>
      <c r="BA203" s="23">
        <f>IF(OR(BA$1="",$BM203=0),"",IFERROR(LOOKUP(2,1/((Budgets!$A$2:$A$200=BA$1)*(Budgets!$B$2:$B$200&lt;EDATE($A203,1))),Budgets!$C$2:$C$200),0))</f>
        <v/>
      </c>
      <c r="BB203" s="23">
        <f>IF(OR(BB$1="",$BM203=0),"",IFERROR(LOOKUP(2,1/((Budgets!$A$2:$A$200=BB$1)*(Budgets!$B$2:$B$200&lt;EDATE($A203,1))),Budgets!$C$2:$C$200),0))</f>
        <v/>
      </c>
      <c r="BC203" s="23">
        <f>IF(OR(BC$1="",$BM203=0),"",IFERROR(LOOKUP(2,1/((Budgets!$A$2:$A$200=BC$1)*(Budgets!$B$2:$B$200&lt;EDATE($A203,1))),Budgets!$C$2:$C$200),0))</f>
        <v/>
      </c>
      <c r="BD203" s="23">
        <f>IF(OR(BD$1="",$BM203=0),"",IFERROR(LOOKUP(2,1/((Budgets!$A$2:$A$200=BD$1)*(Budgets!$B$2:$B$200&lt;EDATE($A203,1))),Budgets!$C$2:$C$200),0))</f>
        <v/>
      </c>
      <c r="BE203" s="23">
        <f>IF(OR(BE$1="",$BM203=0),"",IFERROR(LOOKUP(2,1/((Budgets!$A$2:$A$200=BE$1)*(Budgets!$B$2:$B$200&lt;EDATE($A203,1))),Budgets!$C$2:$C$200),0))</f>
        <v/>
      </c>
      <c r="BF203" s="23">
        <f>IF(OR(BF$1="",$BM203=0),"",IFERROR(LOOKUP(2,1/((Budgets!$A$2:$A$200=BF$1)*(Budgets!$B$2:$B$200&lt;EDATE($A203,1))),Budgets!$C$2:$C$200),0))</f>
        <v/>
      </c>
      <c r="BG203" s="23">
        <f>IF(OR(BG$1="",$BM203=0),"",IFERROR(LOOKUP(2,1/((Budgets!$A$2:$A$200=BG$1)*(Budgets!$B$2:$B$200&lt;EDATE($A203,1))),Budgets!$C$2:$C$200),0))</f>
        <v/>
      </c>
      <c r="BH203" s="23">
        <f>IF(OR(BH$1="",$BM203=0),"",IFERROR(LOOKUP(2,1/((Budgets!$A$2:$A$200=BH$1)*(Budgets!$B$2:$B$200&lt;EDATE($A203,1))),Budgets!$C$2:$C$200),0))</f>
        <v/>
      </c>
      <c r="BI203" s="23">
        <f>IF(OR(BI$1="",$BM203=0),"",IFERROR(LOOKUP(2,1/((Budgets!$A$2:$A$200=BI$1)*(Budgets!$B$2:$B$200&lt;EDATE($A203,1))),Budgets!$C$2:$C$200),0))</f>
        <v/>
      </c>
      <c r="BJ203" s="23">
        <f>IF(OR(BJ$1="",$BM203=0),"",IFERROR(LOOKUP(2,1/((Budgets!$A$2:$A$200=BJ$1)*(Budgets!$B$2:$B$200&lt;EDATE($A203,1))),Budgets!$C$2:$C$200),0))</f>
        <v/>
      </c>
      <c r="BK203" s="23">
        <f>IF(OR(BK$1="",$BM203=0),"",IFERROR(LOOKUP(2,1/((Budgets!$A$2:$A$200=BK$1)*(Budgets!$B$2:$B$200&lt;EDATE($A203,1))),Budgets!$C$2:$C$200),0))</f>
        <v/>
      </c>
      <c r="BM203" s="21">
        <f>COUNTIFS(Entries!$A$2:$A$5000,"&gt;="&amp;$A203,Entries!$A$2:$A$5000,"&lt;"&amp;EDATE($A203,1))</f>
        <v/>
      </c>
    </row>
    <row r="204">
      <c r="A204" s="22" t="n">
        <v>45597</v>
      </c>
      <c r="B204" s="23">
        <f>IF($BM204=0,NA(),SUMIFS(Entries!$E$2:$E$5000,Entries!$C$2:$C$5000,"Income",Entries!$A$2:$A$5000,"&gt;="&amp;$A204,Entries!$A$2:$A$5000,"&lt;"&amp;EDATE($A204,1)))</f>
        <v/>
      </c>
      <c r="C204" s="23">
        <f>IF($BM204=0,"",SUMIFS(Entries!$E$2:$E$5000,Entries!$C$2:$C$5000,"Actual",Entries!$A$2:$A$5000,"&gt;="&amp;$A204,Entries!$A$2:$A$5000,"&lt;"&amp;EDATE($A204,1)))</f>
        <v/>
      </c>
      <c r="D204" s="23">
        <f>IF($BM204=0,"",SUMIFS(Entries!$E$2:$E$5000,Entries!$C$2:$C$5000,"One-off",Entries!$A$2:$A$5000,"&gt;="&amp;$A204,Entries!$A$2:$A$5000,"&lt;"&amp;EDATE($A204,1)))</f>
        <v/>
      </c>
      <c r="E204" s="23">
        <f>IF($BM204=0,NA(),C204+D204)</f>
        <v/>
      </c>
      <c r="F204" s="23">
        <f>IF($BM204=0,"",SUM(AR204:BK204))</f>
        <v/>
      </c>
      <c r="G204" s="23">
        <f>IF($BM204=0,"",B204-E204)</f>
        <v/>
      </c>
      <c r="H204" s="23">
        <f>IF($BM204=0,"",SUM($G$2:G204))</f>
        <v/>
      </c>
      <c r="I204" s="23">
        <f>IF($BM204=0,"",SUMIFS(Entries!$G$2:$G$5000,Entries!$A$2:$A$5000,"&gt;="&amp;$A204,Entries!$A$2:$A$5000,"&lt;"&amp;EDATE($A204,1)))</f>
        <v/>
      </c>
      <c r="J204" s="23">
        <f>IF($BM204=0,NA(),H204)</f>
        <v/>
      </c>
      <c r="K204" s="23">
        <f>IF($BM204=0,"",SUMIFS(Entries!$E$2:$E$5000,Entries!$C$2:$C$5000,"Income",Entries!$A$2:$A$5000,"&gt;="&amp;EDATE($A204,-11),Entries!$A$2:$A$5000,"&lt;"&amp;EDATE($A204,1))/COUNTIFS($A$2:$A$400,"&gt;="&amp;EDATE($A204,-11),$A$2:$A$400,"&lt;"&amp;EDATE($A204,1),$BM$2:$BM$400,"&gt;0"))</f>
      </c>
      <c r="L204" s="23">
        <f>IF($BM204=0,"",(SUMIFS(Entries!$E$2:$E$5000,Entries!$C$2:$C$5000,"Actual",Entries!$A$2:$A$5000,"&gt;="&amp;EDATE($A204,-11),Entries!$A$2:$A$5000,"&lt;"&amp;EDATE($A204,1))+SUMIFS(Entries!$E$2:$E$5000,Entries!$C$2:$C$5000,"One-off",Entries!$A$2:$A$5000,"&gt;="&amp;EDATE($A204,-11),Entries!$A$2:$A$5000,"&lt;"&amp;EDATE($A204,1)))/COUNTIFS($A$2:$A$400,"&gt;="&amp;EDATE($A204,-11),$A$2:$A$400,"&lt;"&amp;EDATE($A204,1),$BM$2:$BM$400,"&gt;0"))</f>
      </c>
      <c r="M204" s="24">
        <f>IF($BM204=0,NA(),IFERROR((K204-L204)/K204,0))</f>
        <v/>
      </c>
      <c r="N204" s="23">
        <f>IF($BM204=0,NA(),SUMIFS(Entries!$E$2:$E$5000,Entries!$D$2:$D$5000,"Core",Entries!$A$2:$A$5000,"&gt;="&amp;$A204,Entries!$A$2:$A$5000,"&lt;"&amp;EDATE($A204,1)))</f>
        <v/>
      </c>
      <c r="O204" s="23">
        <f>IF($BM204=0,NA(),SUMIFS(Entries!$E$2:$E$5000,Entries!$D$2:$D$5000,"Over &amp; above",Entries!$A$2:$A$5000,"&gt;="&amp;$A204,Entries!$A$2:$A$5000,"&lt;"&amp;EDATE($A204,1)))</f>
        <v/>
      </c>
      <c r="P204" s="23">
        <f>IF($BM204=0,NA(),SUMIFS(Entries!$E$2:$E$5000,Entries!$D$2:$D$5000,"One-off",Entries!$A$2:$A$5000,"&gt;="&amp;$A204,Entries!$A$2:$A$5000,"&lt;"&amp;EDATE($A204,1)))</f>
        <v/>
      </c>
      <c r="Q204" s="23">
        <f>IF($BM204=0,NA(),SUMIFS(Entries!$E$2:$E$5000,Entries!$D$2:$D$5000,"Reimbursable",Entries!$A$2:$A$5000,"&gt;="&amp;$A204,Entries!$A$2:$A$5000,"&lt;"&amp;EDATE($A204,1)))</f>
        <v/>
      </c>
      <c r="R204" s="23">
        <f>IF($BM204=0,NA(),SUMIFS(Entries!$E$2:$E$5000,Entries!$D$2:$D$5000,"Investment",Entries!$A$2:$A$5000,"&gt;="&amp;$A204,Entries!$A$2:$A$5000,"&lt;"&amp;EDATE($A204,1)))</f>
        <v/>
      </c>
      <c r="S204" s="23">
        <f>IF($BM204=0,NA(),N204+O204)</f>
        <v/>
      </c>
      <c r="T204" s="23">
        <f>IF($BM204=0,"",E204-Q204)</f>
        <v/>
      </c>
      <c r="W204" s="23">
        <f>IF(OR(W$1="",$BM204=0),"",SUMIFS(Entries!$E$2:$E$5000,Entries!$C$2:$C$5000,"Actual",Entries!$A$2:$A$5000,"&gt;="&amp;$A204,Entries!$A$2:$A$5000,"&lt;"&amp;EDATE($A204,1),Entries!$B$2:$B$5000,W$1))</f>
        <v/>
      </c>
      <c r="X204" s="23">
        <f>IF(OR(X$1="",$BM204=0),"",SUMIFS(Entries!$E$2:$E$5000,Entries!$C$2:$C$5000,"Actual",Entries!$A$2:$A$5000,"&gt;="&amp;$A204,Entries!$A$2:$A$5000,"&lt;"&amp;EDATE($A204,1),Entries!$B$2:$B$5000,X$1))</f>
        <v/>
      </c>
      <c r="Y204" s="23">
        <f>IF(OR(Y$1="",$BM204=0),"",SUMIFS(Entries!$E$2:$E$5000,Entries!$C$2:$C$5000,"Actual",Entries!$A$2:$A$5000,"&gt;="&amp;$A204,Entries!$A$2:$A$5000,"&lt;"&amp;EDATE($A204,1),Entries!$B$2:$B$5000,Y$1))</f>
        <v/>
      </c>
      <c r="Z204" s="23">
        <f>IF(OR(Z$1="",$BM204=0),"",SUMIFS(Entries!$E$2:$E$5000,Entries!$C$2:$C$5000,"Actual",Entries!$A$2:$A$5000,"&gt;="&amp;$A204,Entries!$A$2:$A$5000,"&lt;"&amp;EDATE($A204,1),Entries!$B$2:$B$5000,Z$1))</f>
        <v/>
      </c>
      <c r="AA204" s="23">
        <f>IF(OR(AA$1="",$BM204=0),"",SUMIFS(Entries!$E$2:$E$5000,Entries!$C$2:$C$5000,"Actual",Entries!$A$2:$A$5000,"&gt;="&amp;$A204,Entries!$A$2:$A$5000,"&lt;"&amp;EDATE($A204,1),Entries!$B$2:$B$5000,AA$1))</f>
        <v/>
      </c>
      <c r="AB204" s="23">
        <f>IF(OR(AB$1="",$BM204=0),"",SUMIFS(Entries!$E$2:$E$5000,Entries!$C$2:$C$5000,"Actual",Entries!$A$2:$A$5000,"&gt;="&amp;$A204,Entries!$A$2:$A$5000,"&lt;"&amp;EDATE($A204,1),Entries!$B$2:$B$5000,AB$1))</f>
        <v/>
      </c>
      <c r="AC204" s="23">
        <f>IF(OR(AC$1="",$BM204=0),"",SUMIFS(Entries!$E$2:$E$5000,Entries!$C$2:$C$5000,"Actual",Entries!$A$2:$A$5000,"&gt;="&amp;$A204,Entries!$A$2:$A$5000,"&lt;"&amp;EDATE($A204,1),Entries!$B$2:$B$5000,AC$1))</f>
        <v/>
      </c>
      <c r="AD204" s="23">
        <f>IF(OR(AD$1="",$BM204=0),"",SUMIFS(Entries!$E$2:$E$5000,Entries!$C$2:$C$5000,"Actual",Entries!$A$2:$A$5000,"&gt;="&amp;$A204,Entries!$A$2:$A$5000,"&lt;"&amp;EDATE($A204,1),Entries!$B$2:$B$5000,AD$1))</f>
        <v/>
      </c>
      <c r="AE204" s="23">
        <f>IF(OR(AE$1="",$BM204=0),"",SUMIFS(Entries!$E$2:$E$5000,Entries!$C$2:$C$5000,"Actual",Entries!$A$2:$A$5000,"&gt;="&amp;$A204,Entries!$A$2:$A$5000,"&lt;"&amp;EDATE($A204,1),Entries!$B$2:$B$5000,AE$1))</f>
        <v/>
      </c>
      <c r="AF204" s="23">
        <f>IF(OR(AF$1="",$BM204=0),"",SUMIFS(Entries!$E$2:$E$5000,Entries!$C$2:$C$5000,"Actual",Entries!$A$2:$A$5000,"&gt;="&amp;$A204,Entries!$A$2:$A$5000,"&lt;"&amp;EDATE($A204,1),Entries!$B$2:$B$5000,AF$1))</f>
        <v/>
      </c>
      <c r="AG204" s="23">
        <f>IF(OR(AG$1="",$BM204=0),"",SUMIFS(Entries!$E$2:$E$5000,Entries!$C$2:$C$5000,"Actual",Entries!$A$2:$A$5000,"&gt;="&amp;$A204,Entries!$A$2:$A$5000,"&lt;"&amp;EDATE($A204,1),Entries!$B$2:$B$5000,AG$1))</f>
        <v/>
      </c>
      <c r="AH204" s="23">
        <f>IF(OR(AH$1="",$BM204=0),"",SUMIFS(Entries!$E$2:$E$5000,Entries!$C$2:$C$5000,"Actual",Entries!$A$2:$A$5000,"&gt;="&amp;$A204,Entries!$A$2:$A$5000,"&lt;"&amp;EDATE($A204,1),Entries!$B$2:$B$5000,AH$1))</f>
        <v/>
      </c>
      <c r="AI204" s="23">
        <f>IF(OR(AI$1="",$BM204=0),"",SUMIFS(Entries!$E$2:$E$5000,Entries!$C$2:$C$5000,"Actual",Entries!$A$2:$A$5000,"&gt;="&amp;$A204,Entries!$A$2:$A$5000,"&lt;"&amp;EDATE($A204,1),Entries!$B$2:$B$5000,AI$1))</f>
        <v/>
      </c>
      <c r="AJ204" s="23">
        <f>IF(OR(AJ$1="",$BM204=0),"",SUMIFS(Entries!$E$2:$E$5000,Entries!$C$2:$C$5000,"Actual",Entries!$A$2:$A$5000,"&gt;="&amp;$A204,Entries!$A$2:$A$5000,"&lt;"&amp;EDATE($A204,1),Entries!$B$2:$B$5000,AJ$1))</f>
        <v/>
      </c>
      <c r="AK204" s="23">
        <f>IF(OR(AK$1="",$BM204=0),"",SUMIFS(Entries!$E$2:$E$5000,Entries!$C$2:$C$5000,"Actual",Entries!$A$2:$A$5000,"&gt;="&amp;$A204,Entries!$A$2:$A$5000,"&lt;"&amp;EDATE($A204,1),Entries!$B$2:$B$5000,AK$1))</f>
        <v/>
      </c>
      <c r="AL204" s="23">
        <f>IF(OR(AL$1="",$BM204=0),"",SUMIFS(Entries!$E$2:$E$5000,Entries!$C$2:$C$5000,"Actual",Entries!$A$2:$A$5000,"&gt;="&amp;$A204,Entries!$A$2:$A$5000,"&lt;"&amp;EDATE($A204,1),Entries!$B$2:$B$5000,AL$1))</f>
        <v/>
      </c>
      <c r="AM204" s="23">
        <f>IF(OR(AM$1="",$BM204=0),"",SUMIFS(Entries!$E$2:$E$5000,Entries!$C$2:$C$5000,"Actual",Entries!$A$2:$A$5000,"&gt;="&amp;$A204,Entries!$A$2:$A$5000,"&lt;"&amp;EDATE($A204,1),Entries!$B$2:$B$5000,AM$1))</f>
        <v/>
      </c>
      <c r="AN204" s="23">
        <f>IF(OR(AN$1="",$BM204=0),"",SUMIFS(Entries!$E$2:$E$5000,Entries!$C$2:$C$5000,"Actual",Entries!$A$2:$A$5000,"&gt;="&amp;$A204,Entries!$A$2:$A$5000,"&lt;"&amp;EDATE($A204,1),Entries!$B$2:$B$5000,AN$1))</f>
        <v/>
      </c>
      <c r="AO204" s="23">
        <f>IF(OR(AO$1="",$BM204=0),"",SUMIFS(Entries!$E$2:$E$5000,Entries!$C$2:$C$5000,"Actual",Entries!$A$2:$A$5000,"&gt;="&amp;$A204,Entries!$A$2:$A$5000,"&lt;"&amp;EDATE($A204,1),Entries!$B$2:$B$5000,AO$1))</f>
        <v/>
      </c>
      <c r="AP204" s="23">
        <f>IF(OR(AP$1="",$BM204=0),"",SUMIFS(Entries!$E$2:$E$5000,Entries!$C$2:$C$5000,"Actual",Entries!$A$2:$A$5000,"&gt;="&amp;$A204,Entries!$A$2:$A$5000,"&lt;"&amp;EDATE($A204,1),Entries!$B$2:$B$5000,AP$1))</f>
        <v/>
      </c>
      <c r="AR204" s="23">
        <f>IF(OR(AR$1="",$BM204=0),"",IFERROR(LOOKUP(2,1/((Budgets!$A$2:$A$200=AR$1)*(Budgets!$B$2:$B$200&lt;EDATE($A204,1))),Budgets!$C$2:$C$200),0))</f>
        <v/>
      </c>
      <c r="AS204" s="23">
        <f>IF(OR(AS$1="",$BM204=0),"",IFERROR(LOOKUP(2,1/((Budgets!$A$2:$A$200=AS$1)*(Budgets!$B$2:$B$200&lt;EDATE($A204,1))),Budgets!$C$2:$C$200),0))</f>
        <v/>
      </c>
      <c r="AT204" s="23">
        <f>IF(OR(AT$1="",$BM204=0),"",IFERROR(LOOKUP(2,1/((Budgets!$A$2:$A$200=AT$1)*(Budgets!$B$2:$B$200&lt;EDATE($A204,1))),Budgets!$C$2:$C$200),0))</f>
        <v/>
      </c>
      <c r="AU204" s="23">
        <f>IF(OR(AU$1="",$BM204=0),"",IFERROR(LOOKUP(2,1/((Budgets!$A$2:$A$200=AU$1)*(Budgets!$B$2:$B$200&lt;EDATE($A204,1))),Budgets!$C$2:$C$200),0))</f>
        <v/>
      </c>
      <c r="AV204" s="23">
        <f>IF(OR(AV$1="",$BM204=0),"",IFERROR(LOOKUP(2,1/((Budgets!$A$2:$A$200=AV$1)*(Budgets!$B$2:$B$200&lt;EDATE($A204,1))),Budgets!$C$2:$C$200),0))</f>
        <v/>
      </c>
      <c r="AW204" s="23">
        <f>IF(OR(AW$1="",$BM204=0),"",IFERROR(LOOKUP(2,1/((Budgets!$A$2:$A$200=AW$1)*(Budgets!$B$2:$B$200&lt;EDATE($A204,1))),Budgets!$C$2:$C$200),0))</f>
        <v/>
      </c>
      <c r="AX204" s="23">
        <f>IF(OR(AX$1="",$BM204=0),"",IFERROR(LOOKUP(2,1/((Budgets!$A$2:$A$200=AX$1)*(Budgets!$B$2:$B$200&lt;EDATE($A204,1))),Budgets!$C$2:$C$200),0))</f>
        <v/>
      </c>
      <c r="AY204" s="23">
        <f>IF(OR(AY$1="",$BM204=0),"",IFERROR(LOOKUP(2,1/((Budgets!$A$2:$A$200=AY$1)*(Budgets!$B$2:$B$200&lt;EDATE($A204,1))),Budgets!$C$2:$C$200),0))</f>
        <v/>
      </c>
      <c r="AZ204" s="23">
        <f>IF(OR(AZ$1="",$BM204=0),"",IFERROR(LOOKUP(2,1/((Budgets!$A$2:$A$200=AZ$1)*(Budgets!$B$2:$B$200&lt;EDATE($A204,1))),Budgets!$C$2:$C$200),0))</f>
        <v/>
      </c>
      <c r="BA204" s="23">
        <f>IF(OR(BA$1="",$BM204=0),"",IFERROR(LOOKUP(2,1/((Budgets!$A$2:$A$200=BA$1)*(Budgets!$B$2:$B$200&lt;EDATE($A204,1))),Budgets!$C$2:$C$200),0))</f>
        <v/>
      </c>
      <c r="BB204" s="23">
        <f>IF(OR(BB$1="",$BM204=0),"",IFERROR(LOOKUP(2,1/((Budgets!$A$2:$A$200=BB$1)*(Budgets!$B$2:$B$200&lt;EDATE($A204,1))),Budgets!$C$2:$C$200),0))</f>
        <v/>
      </c>
      <c r="BC204" s="23">
        <f>IF(OR(BC$1="",$BM204=0),"",IFERROR(LOOKUP(2,1/((Budgets!$A$2:$A$200=BC$1)*(Budgets!$B$2:$B$200&lt;EDATE($A204,1))),Budgets!$C$2:$C$200),0))</f>
        <v/>
      </c>
      <c r="BD204" s="23">
        <f>IF(OR(BD$1="",$BM204=0),"",IFERROR(LOOKUP(2,1/((Budgets!$A$2:$A$200=BD$1)*(Budgets!$B$2:$B$200&lt;EDATE($A204,1))),Budgets!$C$2:$C$200),0))</f>
        <v/>
      </c>
      <c r="BE204" s="23">
        <f>IF(OR(BE$1="",$BM204=0),"",IFERROR(LOOKUP(2,1/((Budgets!$A$2:$A$200=BE$1)*(Budgets!$B$2:$B$200&lt;EDATE($A204,1))),Budgets!$C$2:$C$200),0))</f>
        <v/>
      </c>
      <c r="BF204" s="23">
        <f>IF(OR(BF$1="",$BM204=0),"",IFERROR(LOOKUP(2,1/((Budgets!$A$2:$A$200=BF$1)*(Budgets!$B$2:$B$200&lt;EDATE($A204,1))),Budgets!$C$2:$C$200),0))</f>
        <v/>
      </c>
      <c r="BG204" s="23">
        <f>IF(OR(BG$1="",$BM204=0),"",IFERROR(LOOKUP(2,1/((Budgets!$A$2:$A$200=BG$1)*(Budgets!$B$2:$B$200&lt;EDATE($A204,1))),Budgets!$C$2:$C$200),0))</f>
        <v/>
      </c>
      <c r="BH204" s="23">
        <f>IF(OR(BH$1="",$BM204=0),"",IFERROR(LOOKUP(2,1/((Budgets!$A$2:$A$200=BH$1)*(Budgets!$B$2:$B$200&lt;EDATE($A204,1))),Budgets!$C$2:$C$200),0))</f>
        <v/>
      </c>
      <c r="BI204" s="23">
        <f>IF(OR(BI$1="",$BM204=0),"",IFERROR(LOOKUP(2,1/((Budgets!$A$2:$A$200=BI$1)*(Budgets!$B$2:$B$200&lt;EDATE($A204,1))),Budgets!$C$2:$C$200),0))</f>
        <v/>
      </c>
      <c r="BJ204" s="23">
        <f>IF(OR(BJ$1="",$BM204=0),"",IFERROR(LOOKUP(2,1/((Budgets!$A$2:$A$200=BJ$1)*(Budgets!$B$2:$B$200&lt;EDATE($A204,1))),Budgets!$C$2:$C$200),0))</f>
        <v/>
      </c>
      <c r="BK204" s="23">
        <f>IF(OR(BK$1="",$BM204=0),"",IFERROR(LOOKUP(2,1/((Budgets!$A$2:$A$200=BK$1)*(Budgets!$B$2:$B$200&lt;EDATE($A204,1))),Budgets!$C$2:$C$200),0))</f>
        <v/>
      </c>
      <c r="BM204" s="21">
        <f>COUNTIFS(Entries!$A$2:$A$5000,"&gt;="&amp;$A204,Entries!$A$2:$A$5000,"&lt;"&amp;EDATE($A204,1))</f>
        <v/>
      </c>
    </row>
    <row r="205">
      <c r="A205" s="22" t="n">
        <v>45627</v>
      </c>
      <c r="B205" s="23">
        <f>IF($BM205=0,NA(),SUMIFS(Entries!$E$2:$E$5000,Entries!$C$2:$C$5000,"Income",Entries!$A$2:$A$5000,"&gt;="&amp;$A205,Entries!$A$2:$A$5000,"&lt;"&amp;EDATE($A205,1)))</f>
        <v/>
      </c>
      <c r="C205" s="23">
        <f>IF($BM205=0,"",SUMIFS(Entries!$E$2:$E$5000,Entries!$C$2:$C$5000,"Actual",Entries!$A$2:$A$5000,"&gt;="&amp;$A205,Entries!$A$2:$A$5000,"&lt;"&amp;EDATE($A205,1)))</f>
        <v/>
      </c>
      <c r="D205" s="23">
        <f>IF($BM205=0,"",SUMIFS(Entries!$E$2:$E$5000,Entries!$C$2:$C$5000,"One-off",Entries!$A$2:$A$5000,"&gt;="&amp;$A205,Entries!$A$2:$A$5000,"&lt;"&amp;EDATE($A205,1)))</f>
        <v/>
      </c>
      <c r="E205" s="23">
        <f>IF($BM205=0,NA(),C205+D205)</f>
        <v/>
      </c>
      <c r="F205" s="23">
        <f>IF($BM205=0,"",SUM(AR205:BK205))</f>
        <v/>
      </c>
      <c r="G205" s="23">
        <f>IF($BM205=0,"",B205-E205)</f>
        <v/>
      </c>
      <c r="H205" s="23">
        <f>IF($BM205=0,"",SUM($G$2:G205))</f>
        <v/>
      </c>
      <c r="I205" s="23">
        <f>IF($BM205=0,"",SUMIFS(Entries!$G$2:$G$5000,Entries!$A$2:$A$5000,"&gt;="&amp;$A205,Entries!$A$2:$A$5000,"&lt;"&amp;EDATE($A205,1)))</f>
        <v/>
      </c>
      <c r="J205" s="23">
        <f>IF($BM205=0,NA(),H205)</f>
        <v/>
      </c>
      <c r="K205" s="23">
        <f>IF($BM205=0,"",SUMIFS(Entries!$E$2:$E$5000,Entries!$C$2:$C$5000,"Income",Entries!$A$2:$A$5000,"&gt;="&amp;EDATE($A205,-11),Entries!$A$2:$A$5000,"&lt;"&amp;EDATE($A205,1))/COUNTIFS($A$2:$A$400,"&gt;="&amp;EDATE($A205,-11),$A$2:$A$400,"&lt;"&amp;EDATE($A205,1),$BM$2:$BM$400,"&gt;0"))</f>
      </c>
      <c r="L205" s="23">
        <f>IF($BM205=0,"",(SUMIFS(Entries!$E$2:$E$5000,Entries!$C$2:$C$5000,"Actual",Entries!$A$2:$A$5000,"&gt;="&amp;EDATE($A205,-11),Entries!$A$2:$A$5000,"&lt;"&amp;EDATE($A205,1))+SUMIFS(Entries!$E$2:$E$5000,Entries!$C$2:$C$5000,"One-off",Entries!$A$2:$A$5000,"&gt;="&amp;EDATE($A205,-11),Entries!$A$2:$A$5000,"&lt;"&amp;EDATE($A205,1)))/COUNTIFS($A$2:$A$400,"&gt;="&amp;EDATE($A205,-11),$A$2:$A$400,"&lt;"&amp;EDATE($A205,1),$BM$2:$BM$400,"&gt;0"))</f>
      </c>
      <c r="M205" s="24">
        <f>IF($BM205=0,NA(),IFERROR((K205-L205)/K205,0))</f>
        <v/>
      </c>
      <c r="N205" s="23">
        <f>IF($BM205=0,NA(),SUMIFS(Entries!$E$2:$E$5000,Entries!$D$2:$D$5000,"Core",Entries!$A$2:$A$5000,"&gt;="&amp;$A205,Entries!$A$2:$A$5000,"&lt;"&amp;EDATE($A205,1)))</f>
        <v/>
      </c>
      <c r="O205" s="23">
        <f>IF($BM205=0,NA(),SUMIFS(Entries!$E$2:$E$5000,Entries!$D$2:$D$5000,"Over &amp; above",Entries!$A$2:$A$5000,"&gt;="&amp;$A205,Entries!$A$2:$A$5000,"&lt;"&amp;EDATE($A205,1)))</f>
        <v/>
      </c>
      <c r="P205" s="23">
        <f>IF($BM205=0,NA(),SUMIFS(Entries!$E$2:$E$5000,Entries!$D$2:$D$5000,"One-off",Entries!$A$2:$A$5000,"&gt;="&amp;$A205,Entries!$A$2:$A$5000,"&lt;"&amp;EDATE($A205,1)))</f>
        <v/>
      </c>
      <c r="Q205" s="23">
        <f>IF($BM205=0,NA(),SUMIFS(Entries!$E$2:$E$5000,Entries!$D$2:$D$5000,"Reimbursable",Entries!$A$2:$A$5000,"&gt;="&amp;$A205,Entries!$A$2:$A$5000,"&lt;"&amp;EDATE($A205,1)))</f>
        <v/>
      </c>
      <c r="R205" s="23">
        <f>IF($BM205=0,NA(),SUMIFS(Entries!$E$2:$E$5000,Entries!$D$2:$D$5000,"Investment",Entries!$A$2:$A$5000,"&gt;="&amp;$A205,Entries!$A$2:$A$5000,"&lt;"&amp;EDATE($A205,1)))</f>
        <v/>
      </c>
      <c r="S205" s="23">
        <f>IF($BM205=0,NA(),N205+O205)</f>
        <v/>
      </c>
      <c r="T205" s="23">
        <f>IF($BM205=0,"",E205-Q205)</f>
        <v/>
      </c>
      <c r="W205" s="23">
        <f>IF(OR(W$1="",$BM205=0),"",SUMIFS(Entries!$E$2:$E$5000,Entries!$C$2:$C$5000,"Actual",Entries!$A$2:$A$5000,"&gt;="&amp;$A205,Entries!$A$2:$A$5000,"&lt;"&amp;EDATE($A205,1),Entries!$B$2:$B$5000,W$1))</f>
        <v/>
      </c>
      <c r="X205" s="23">
        <f>IF(OR(X$1="",$BM205=0),"",SUMIFS(Entries!$E$2:$E$5000,Entries!$C$2:$C$5000,"Actual",Entries!$A$2:$A$5000,"&gt;="&amp;$A205,Entries!$A$2:$A$5000,"&lt;"&amp;EDATE($A205,1),Entries!$B$2:$B$5000,X$1))</f>
        <v/>
      </c>
      <c r="Y205" s="23">
        <f>IF(OR(Y$1="",$BM205=0),"",SUMIFS(Entries!$E$2:$E$5000,Entries!$C$2:$C$5000,"Actual",Entries!$A$2:$A$5000,"&gt;="&amp;$A205,Entries!$A$2:$A$5000,"&lt;"&amp;EDATE($A205,1),Entries!$B$2:$B$5000,Y$1))</f>
        <v/>
      </c>
      <c r="Z205" s="23">
        <f>IF(OR(Z$1="",$BM205=0),"",SUMIFS(Entries!$E$2:$E$5000,Entries!$C$2:$C$5000,"Actual",Entries!$A$2:$A$5000,"&gt;="&amp;$A205,Entries!$A$2:$A$5000,"&lt;"&amp;EDATE($A205,1),Entries!$B$2:$B$5000,Z$1))</f>
        <v/>
      </c>
      <c r="AA205" s="23">
        <f>IF(OR(AA$1="",$BM205=0),"",SUMIFS(Entries!$E$2:$E$5000,Entries!$C$2:$C$5000,"Actual",Entries!$A$2:$A$5000,"&gt;="&amp;$A205,Entries!$A$2:$A$5000,"&lt;"&amp;EDATE($A205,1),Entries!$B$2:$B$5000,AA$1))</f>
        <v/>
      </c>
      <c r="AB205" s="23">
        <f>IF(OR(AB$1="",$BM205=0),"",SUMIFS(Entries!$E$2:$E$5000,Entries!$C$2:$C$5000,"Actual",Entries!$A$2:$A$5000,"&gt;="&amp;$A205,Entries!$A$2:$A$5000,"&lt;"&amp;EDATE($A205,1),Entries!$B$2:$B$5000,AB$1))</f>
        <v/>
      </c>
      <c r="AC205" s="23">
        <f>IF(OR(AC$1="",$BM205=0),"",SUMIFS(Entries!$E$2:$E$5000,Entries!$C$2:$C$5000,"Actual",Entries!$A$2:$A$5000,"&gt;="&amp;$A205,Entries!$A$2:$A$5000,"&lt;"&amp;EDATE($A205,1),Entries!$B$2:$B$5000,AC$1))</f>
        <v/>
      </c>
      <c r="AD205" s="23">
        <f>IF(OR(AD$1="",$BM205=0),"",SUMIFS(Entries!$E$2:$E$5000,Entries!$C$2:$C$5000,"Actual",Entries!$A$2:$A$5000,"&gt;="&amp;$A205,Entries!$A$2:$A$5000,"&lt;"&amp;EDATE($A205,1),Entries!$B$2:$B$5000,AD$1))</f>
        <v/>
      </c>
      <c r="AE205" s="23">
        <f>IF(OR(AE$1="",$BM205=0),"",SUMIFS(Entries!$E$2:$E$5000,Entries!$C$2:$C$5000,"Actual",Entries!$A$2:$A$5000,"&gt;="&amp;$A205,Entries!$A$2:$A$5000,"&lt;"&amp;EDATE($A205,1),Entries!$B$2:$B$5000,AE$1))</f>
        <v/>
      </c>
      <c r="AF205" s="23">
        <f>IF(OR(AF$1="",$BM205=0),"",SUMIFS(Entries!$E$2:$E$5000,Entries!$C$2:$C$5000,"Actual",Entries!$A$2:$A$5000,"&gt;="&amp;$A205,Entries!$A$2:$A$5000,"&lt;"&amp;EDATE($A205,1),Entries!$B$2:$B$5000,AF$1))</f>
        <v/>
      </c>
      <c r="AG205" s="23">
        <f>IF(OR(AG$1="",$BM205=0),"",SUMIFS(Entries!$E$2:$E$5000,Entries!$C$2:$C$5000,"Actual",Entries!$A$2:$A$5000,"&gt;="&amp;$A205,Entries!$A$2:$A$5000,"&lt;"&amp;EDATE($A205,1),Entries!$B$2:$B$5000,AG$1))</f>
        <v/>
      </c>
      <c r="AH205" s="23">
        <f>IF(OR(AH$1="",$BM205=0),"",SUMIFS(Entries!$E$2:$E$5000,Entries!$C$2:$C$5000,"Actual",Entries!$A$2:$A$5000,"&gt;="&amp;$A205,Entries!$A$2:$A$5000,"&lt;"&amp;EDATE($A205,1),Entries!$B$2:$B$5000,AH$1))</f>
        <v/>
      </c>
      <c r="AI205" s="23">
        <f>IF(OR(AI$1="",$BM205=0),"",SUMIFS(Entries!$E$2:$E$5000,Entries!$C$2:$C$5000,"Actual",Entries!$A$2:$A$5000,"&gt;="&amp;$A205,Entries!$A$2:$A$5000,"&lt;"&amp;EDATE($A205,1),Entries!$B$2:$B$5000,AI$1))</f>
        <v/>
      </c>
      <c r="AJ205" s="23">
        <f>IF(OR(AJ$1="",$BM205=0),"",SUMIFS(Entries!$E$2:$E$5000,Entries!$C$2:$C$5000,"Actual",Entries!$A$2:$A$5000,"&gt;="&amp;$A205,Entries!$A$2:$A$5000,"&lt;"&amp;EDATE($A205,1),Entries!$B$2:$B$5000,AJ$1))</f>
        <v/>
      </c>
      <c r="AK205" s="23">
        <f>IF(OR(AK$1="",$BM205=0),"",SUMIFS(Entries!$E$2:$E$5000,Entries!$C$2:$C$5000,"Actual",Entries!$A$2:$A$5000,"&gt;="&amp;$A205,Entries!$A$2:$A$5000,"&lt;"&amp;EDATE($A205,1),Entries!$B$2:$B$5000,AK$1))</f>
        <v/>
      </c>
      <c r="AL205" s="23">
        <f>IF(OR(AL$1="",$BM205=0),"",SUMIFS(Entries!$E$2:$E$5000,Entries!$C$2:$C$5000,"Actual",Entries!$A$2:$A$5000,"&gt;="&amp;$A205,Entries!$A$2:$A$5000,"&lt;"&amp;EDATE($A205,1),Entries!$B$2:$B$5000,AL$1))</f>
        <v/>
      </c>
      <c r="AM205" s="23">
        <f>IF(OR(AM$1="",$BM205=0),"",SUMIFS(Entries!$E$2:$E$5000,Entries!$C$2:$C$5000,"Actual",Entries!$A$2:$A$5000,"&gt;="&amp;$A205,Entries!$A$2:$A$5000,"&lt;"&amp;EDATE($A205,1),Entries!$B$2:$B$5000,AM$1))</f>
        <v/>
      </c>
      <c r="AN205" s="23">
        <f>IF(OR(AN$1="",$BM205=0),"",SUMIFS(Entries!$E$2:$E$5000,Entries!$C$2:$C$5000,"Actual",Entries!$A$2:$A$5000,"&gt;="&amp;$A205,Entries!$A$2:$A$5000,"&lt;"&amp;EDATE($A205,1),Entries!$B$2:$B$5000,AN$1))</f>
        <v/>
      </c>
      <c r="AO205" s="23">
        <f>IF(OR(AO$1="",$BM205=0),"",SUMIFS(Entries!$E$2:$E$5000,Entries!$C$2:$C$5000,"Actual",Entries!$A$2:$A$5000,"&gt;="&amp;$A205,Entries!$A$2:$A$5000,"&lt;"&amp;EDATE($A205,1),Entries!$B$2:$B$5000,AO$1))</f>
        <v/>
      </c>
      <c r="AP205" s="23">
        <f>IF(OR(AP$1="",$BM205=0),"",SUMIFS(Entries!$E$2:$E$5000,Entries!$C$2:$C$5000,"Actual",Entries!$A$2:$A$5000,"&gt;="&amp;$A205,Entries!$A$2:$A$5000,"&lt;"&amp;EDATE($A205,1),Entries!$B$2:$B$5000,AP$1))</f>
        <v/>
      </c>
      <c r="AR205" s="23">
        <f>IF(OR(AR$1="",$BM205=0),"",IFERROR(LOOKUP(2,1/((Budgets!$A$2:$A$200=AR$1)*(Budgets!$B$2:$B$200&lt;EDATE($A205,1))),Budgets!$C$2:$C$200),0))</f>
        <v/>
      </c>
      <c r="AS205" s="23">
        <f>IF(OR(AS$1="",$BM205=0),"",IFERROR(LOOKUP(2,1/((Budgets!$A$2:$A$200=AS$1)*(Budgets!$B$2:$B$200&lt;EDATE($A205,1))),Budgets!$C$2:$C$200),0))</f>
        <v/>
      </c>
      <c r="AT205" s="23">
        <f>IF(OR(AT$1="",$BM205=0),"",IFERROR(LOOKUP(2,1/((Budgets!$A$2:$A$200=AT$1)*(Budgets!$B$2:$B$200&lt;EDATE($A205,1))),Budgets!$C$2:$C$200),0))</f>
        <v/>
      </c>
      <c r="AU205" s="23">
        <f>IF(OR(AU$1="",$BM205=0),"",IFERROR(LOOKUP(2,1/((Budgets!$A$2:$A$200=AU$1)*(Budgets!$B$2:$B$200&lt;EDATE($A205,1))),Budgets!$C$2:$C$200),0))</f>
        <v/>
      </c>
      <c r="AV205" s="23">
        <f>IF(OR(AV$1="",$BM205=0),"",IFERROR(LOOKUP(2,1/((Budgets!$A$2:$A$200=AV$1)*(Budgets!$B$2:$B$200&lt;EDATE($A205,1))),Budgets!$C$2:$C$200),0))</f>
        <v/>
      </c>
      <c r="AW205" s="23">
        <f>IF(OR(AW$1="",$BM205=0),"",IFERROR(LOOKUP(2,1/((Budgets!$A$2:$A$200=AW$1)*(Budgets!$B$2:$B$200&lt;EDATE($A205,1))),Budgets!$C$2:$C$200),0))</f>
        <v/>
      </c>
      <c r="AX205" s="23">
        <f>IF(OR(AX$1="",$BM205=0),"",IFERROR(LOOKUP(2,1/((Budgets!$A$2:$A$200=AX$1)*(Budgets!$B$2:$B$200&lt;EDATE($A205,1))),Budgets!$C$2:$C$200),0))</f>
        <v/>
      </c>
      <c r="AY205" s="23">
        <f>IF(OR(AY$1="",$BM205=0),"",IFERROR(LOOKUP(2,1/((Budgets!$A$2:$A$200=AY$1)*(Budgets!$B$2:$B$200&lt;EDATE($A205,1))),Budgets!$C$2:$C$200),0))</f>
        <v/>
      </c>
      <c r="AZ205" s="23">
        <f>IF(OR(AZ$1="",$BM205=0),"",IFERROR(LOOKUP(2,1/((Budgets!$A$2:$A$200=AZ$1)*(Budgets!$B$2:$B$200&lt;EDATE($A205,1))),Budgets!$C$2:$C$200),0))</f>
        <v/>
      </c>
      <c r="BA205" s="23">
        <f>IF(OR(BA$1="",$BM205=0),"",IFERROR(LOOKUP(2,1/((Budgets!$A$2:$A$200=BA$1)*(Budgets!$B$2:$B$200&lt;EDATE($A205,1))),Budgets!$C$2:$C$200),0))</f>
        <v/>
      </c>
      <c r="BB205" s="23">
        <f>IF(OR(BB$1="",$BM205=0),"",IFERROR(LOOKUP(2,1/((Budgets!$A$2:$A$200=BB$1)*(Budgets!$B$2:$B$200&lt;EDATE($A205,1))),Budgets!$C$2:$C$200),0))</f>
        <v/>
      </c>
      <c r="BC205" s="23">
        <f>IF(OR(BC$1="",$BM205=0),"",IFERROR(LOOKUP(2,1/((Budgets!$A$2:$A$200=BC$1)*(Budgets!$B$2:$B$200&lt;EDATE($A205,1))),Budgets!$C$2:$C$200),0))</f>
        <v/>
      </c>
      <c r="BD205" s="23">
        <f>IF(OR(BD$1="",$BM205=0),"",IFERROR(LOOKUP(2,1/((Budgets!$A$2:$A$200=BD$1)*(Budgets!$B$2:$B$200&lt;EDATE($A205,1))),Budgets!$C$2:$C$200),0))</f>
        <v/>
      </c>
      <c r="BE205" s="23">
        <f>IF(OR(BE$1="",$BM205=0),"",IFERROR(LOOKUP(2,1/((Budgets!$A$2:$A$200=BE$1)*(Budgets!$B$2:$B$200&lt;EDATE($A205,1))),Budgets!$C$2:$C$200),0))</f>
        <v/>
      </c>
      <c r="BF205" s="23">
        <f>IF(OR(BF$1="",$BM205=0),"",IFERROR(LOOKUP(2,1/((Budgets!$A$2:$A$200=BF$1)*(Budgets!$B$2:$B$200&lt;EDATE($A205,1))),Budgets!$C$2:$C$200),0))</f>
        <v/>
      </c>
      <c r="BG205" s="23">
        <f>IF(OR(BG$1="",$BM205=0),"",IFERROR(LOOKUP(2,1/((Budgets!$A$2:$A$200=BG$1)*(Budgets!$B$2:$B$200&lt;EDATE($A205,1))),Budgets!$C$2:$C$200),0))</f>
        <v/>
      </c>
      <c r="BH205" s="23">
        <f>IF(OR(BH$1="",$BM205=0),"",IFERROR(LOOKUP(2,1/((Budgets!$A$2:$A$200=BH$1)*(Budgets!$B$2:$B$200&lt;EDATE($A205,1))),Budgets!$C$2:$C$200),0))</f>
        <v/>
      </c>
      <c r="BI205" s="23">
        <f>IF(OR(BI$1="",$BM205=0),"",IFERROR(LOOKUP(2,1/((Budgets!$A$2:$A$200=BI$1)*(Budgets!$B$2:$B$200&lt;EDATE($A205,1))),Budgets!$C$2:$C$200),0))</f>
        <v/>
      </c>
      <c r="BJ205" s="23">
        <f>IF(OR(BJ$1="",$BM205=0),"",IFERROR(LOOKUP(2,1/((Budgets!$A$2:$A$200=BJ$1)*(Budgets!$B$2:$B$200&lt;EDATE($A205,1))),Budgets!$C$2:$C$200),0))</f>
        <v/>
      </c>
      <c r="BK205" s="23">
        <f>IF(OR(BK$1="",$BM205=0),"",IFERROR(LOOKUP(2,1/((Budgets!$A$2:$A$200=BK$1)*(Budgets!$B$2:$B$200&lt;EDATE($A205,1))),Budgets!$C$2:$C$200),0))</f>
        <v/>
      </c>
      <c r="BM205" s="21">
        <f>COUNTIFS(Entries!$A$2:$A$5000,"&gt;="&amp;$A205,Entries!$A$2:$A$5000,"&lt;"&amp;EDATE($A205,1))</f>
        <v/>
      </c>
    </row>
    <row r="206">
      <c r="A206" s="22" t="n">
        <v>45658</v>
      </c>
      <c r="B206" s="23">
        <f>IF($BM206=0,NA(),SUMIFS(Entries!$E$2:$E$5000,Entries!$C$2:$C$5000,"Income",Entries!$A$2:$A$5000,"&gt;="&amp;$A206,Entries!$A$2:$A$5000,"&lt;"&amp;EDATE($A206,1)))</f>
        <v/>
      </c>
      <c r="C206" s="23">
        <f>IF($BM206=0,"",SUMIFS(Entries!$E$2:$E$5000,Entries!$C$2:$C$5000,"Actual",Entries!$A$2:$A$5000,"&gt;="&amp;$A206,Entries!$A$2:$A$5000,"&lt;"&amp;EDATE($A206,1)))</f>
        <v/>
      </c>
      <c r="D206" s="23">
        <f>IF($BM206=0,"",SUMIFS(Entries!$E$2:$E$5000,Entries!$C$2:$C$5000,"One-off",Entries!$A$2:$A$5000,"&gt;="&amp;$A206,Entries!$A$2:$A$5000,"&lt;"&amp;EDATE($A206,1)))</f>
        <v/>
      </c>
      <c r="E206" s="23">
        <f>IF($BM206=0,NA(),C206+D206)</f>
        <v/>
      </c>
      <c r="F206" s="23">
        <f>IF($BM206=0,"",SUM(AR206:BK206))</f>
        <v/>
      </c>
      <c r="G206" s="23">
        <f>IF($BM206=0,"",B206-E206)</f>
        <v/>
      </c>
      <c r="H206" s="23">
        <f>IF($BM206=0,"",SUM($G$2:G206))</f>
        <v/>
      </c>
      <c r="I206" s="23">
        <f>IF($BM206=0,"",SUMIFS(Entries!$G$2:$G$5000,Entries!$A$2:$A$5000,"&gt;="&amp;$A206,Entries!$A$2:$A$5000,"&lt;"&amp;EDATE($A206,1)))</f>
        <v/>
      </c>
      <c r="J206" s="23">
        <f>IF($BM206=0,NA(),H206)</f>
        <v/>
      </c>
      <c r="K206" s="23">
        <f>IF($BM206=0,"",SUMIFS(Entries!$E$2:$E$5000,Entries!$C$2:$C$5000,"Income",Entries!$A$2:$A$5000,"&gt;="&amp;EDATE($A206,-11),Entries!$A$2:$A$5000,"&lt;"&amp;EDATE($A206,1))/COUNTIFS($A$2:$A$400,"&gt;="&amp;EDATE($A206,-11),$A$2:$A$400,"&lt;"&amp;EDATE($A206,1),$BM$2:$BM$400,"&gt;0"))</f>
      </c>
      <c r="L206" s="23">
        <f>IF($BM206=0,"",(SUMIFS(Entries!$E$2:$E$5000,Entries!$C$2:$C$5000,"Actual",Entries!$A$2:$A$5000,"&gt;="&amp;EDATE($A206,-11),Entries!$A$2:$A$5000,"&lt;"&amp;EDATE($A206,1))+SUMIFS(Entries!$E$2:$E$5000,Entries!$C$2:$C$5000,"One-off",Entries!$A$2:$A$5000,"&gt;="&amp;EDATE($A206,-11),Entries!$A$2:$A$5000,"&lt;"&amp;EDATE($A206,1)))/COUNTIFS($A$2:$A$400,"&gt;="&amp;EDATE($A206,-11),$A$2:$A$400,"&lt;"&amp;EDATE($A206,1),$BM$2:$BM$400,"&gt;0"))</f>
      </c>
      <c r="M206" s="24">
        <f>IF($BM206=0,NA(),IFERROR((K206-L206)/K206,0))</f>
        <v/>
      </c>
      <c r="N206" s="23">
        <f>IF($BM206=0,NA(),SUMIFS(Entries!$E$2:$E$5000,Entries!$D$2:$D$5000,"Core",Entries!$A$2:$A$5000,"&gt;="&amp;$A206,Entries!$A$2:$A$5000,"&lt;"&amp;EDATE($A206,1)))</f>
        <v/>
      </c>
      <c r="O206" s="23">
        <f>IF($BM206=0,NA(),SUMIFS(Entries!$E$2:$E$5000,Entries!$D$2:$D$5000,"Over &amp; above",Entries!$A$2:$A$5000,"&gt;="&amp;$A206,Entries!$A$2:$A$5000,"&lt;"&amp;EDATE($A206,1)))</f>
        <v/>
      </c>
      <c r="P206" s="23">
        <f>IF($BM206=0,NA(),SUMIFS(Entries!$E$2:$E$5000,Entries!$D$2:$D$5000,"One-off",Entries!$A$2:$A$5000,"&gt;="&amp;$A206,Entries!$A$2:$A$5000,"&lt;"&amp;EDATE($A206,1)))</f>
        <v/>
      </c>
      <c r="Q206" s="23">
        <f>IF($BM206=0,NA(),SUMIFS(Entries!$E$2:$E$5000,Entries!$D$2:$D$5000,"Reimbursable",Entries!$A$2:$A$5000,"&gt;="&amp;$A206,Entries!$A$2:$A$5000,"&lt;"&amp;EDATE($A206,1)))</f>
        <v/>
      </c>
      <c r="R206" s="23">
        <f>IF($BM206=0,NA(),SUMIFS(Entries!$E$2:$E$5000,Entries!$D$2:$D$5000,"Investment",Entries!$A$2:$A$5000,"&gt;="&amp;$A206,Entries!$A$2:$A$5000,"&lt;"&amp;EDATE($A206,1)))</f>
        <v/>
      </c>
      <c r="S206" s="23">
        <f>IF($BM206=0,NA(),N206+O206)</f>
        <v/>
      </c>
      <c r="T206" s="23">
        <f>IF($BM206=0,"",E206-Q206)</f>
        <v/>
      </c>
      <c r="W206" s="23">
        <f>IF(OR(W$1="",$BM206=0),"",SUMIFS(Entries!$E$2:$E$5000,Entries!$C$2:$C$5000,"Actual",Entries!$A$2:$A$5000,"&gt;="&amp;$A206,Entries!$A$2:$A$5000,"&lt;"&amp;EDATE($A206,1),Entries!$B$2:$B$5000,W$1))</f>
        <v/>
      </c>
      <c r="X206" s="23">
        <f>IF(OR(X$1="",$BM206=0),"",SUMIFS(Entries!$E$2:$E$5000,Entries!$C$2:$C$5000,"Actual",Entries!$A$2:$A$5000,"&gt;="&amp;$A206,Entries!$A$2:$A$5000,"&lt;"&amp;EDATE($A206,1),Entries!$B$2:$B$5000,X$1))</f>
        <v/>
      </c>
      <c r="Y206" s="23">
        <f>IF(OR(Y$1="",$BM206=0),"",SUMIFS(Entries!$E$2:$E$5000,Entries!$C$2:$C$5000,"Actual",Entries!$A$2:$A$5000,"&gt;="&amp;$A206,Entries!$A$2:$A$5000,"&lt;"&amp;EDATE($A206,1),Entries!$B$2:$B$5000,Y$1))</f>
        <v/>
      </c>
      <c r="Z206" s="23">
        <f>IF(OR(Z$1="",$BM206=0),"",SUMIFS(Entries!$E$2:$E$5000,Entries!$C$2:$C$5000,"Actual",Entries!$A$2:$A$5000,"&gt;="&amp;$A206,Entries!$A$2:$A$5000,"&lt;"&amp;EDATE($A206,1),Entries!$B$2:$B$5000,Z$1))</f>
        <v/>
      </c>
      <c r="AA206" s="23">
        <f>IF(OR(AA$1="",$BM206=0),"",SUMIFS(Entries!$E$2:$E$5000,Entries!$C$2:$C$5000,"Actual",Entries!$A$2:$A$5000,"&gt;="&amp;$A206,Entries!$A$2:$A$5000,"&lt;"&amp;EDATE($A206,1),Entries!$B$2:$B$5000,AA$1))</f>
        <v/>
      </c>
      <c r="AB206" s="23">
        <f>IF(OR(AB$1="",$BM206=0),"",SUMIFS(Entries!$E$2:$E$5000,Entries!$C$2:$C$5000,"Actual",Entries!$A$2:$A$5000,"&gt;="&amp;$A206,Entries!$A$2:$A$5000,"&lt;"&amp;EDATE($A206,1),Entries!$B$2:$B$5000,AB$1))</f>
        <v/>
      </c>
      <c r="AC206" s="23">
        <f>IF(OR(AC$1="",$BM206=0),"",SUMIFS(Entries!$E$2:$E$5000,Entries!$C$2:$C$5000,"Actual",Entries!$A$2:$A$5000,"&gt;="&amp;$A206,Entries!$A$2:$A$5000,"&lt;"&amp;EDATE($A206,1),Entries!$B$2:$B$5000,AC$1))</f>
        <v/>
      </c>
      <c r="AD206" s="23">
        <f>IF(OR(AD$1="",$BM206=0),"",SUMIFS(Entries!$E$2:$E$5000,Entries!$C$2:$C$5000,"Actual",Entries!$A$2:$A$5000,"&gt;="&amp;$A206,Entries!$A$2:$A$5000,"&lt;"&amp;EDATE($A206,1),Entries!$B$2:$B$5000,AD$1))</f>
        <v/>
      </c>
      <c r="AE206" s="23">
        <f>IF(OR(AE$1="",$BM206=0),"",SUMIFS(Entries!$E$2:$E$5000,Entries!$C$2:$C$5000,"Actual",Entries!$A$2:$A$5000,"&gt;="&amp;$A206,Entries!$A$2:$A$5000,"&lt;"&amp;EDATE($A206,1),Entries!$B$2:$B$5000,AE$1))</f>
        <v/>
      </c>
      <c r="AF206" s="23">
        <f>IF(OR(AF$1="",$BM206=0),"",SUMIFS(Entries!$E$2:$E$5000,Entries!$C$2:$C$5000,"Actual",Entries!$A$2:$A$5000,"&gt;="&amp;$A206,Entries!$A$2:$A$5000,"&lt;"&amp;EDATE($A206,1),Entries!$B$2:$B$5000,AF$1))</f>
        <v/>
      </c>
      <c r="AG206" s="23">
        <f>IF(OR(AG$1="",$BM206=0),"",SUMIFS(Entries!$E$2:$E$5000,Entries!$C$2:$C$5000,"Actual",Entries!$A$2:$A$5000,"&gt;="&amp;$A206,Entries!$A$2:$A$5000,"&lt;"&amp;EDATE($A206,1),Entries!$B$2:$B$5000,AG$1))</f>
        <v/>
      </c>
      <c r="AH206" s="23">
        <f>IF(OR(AH$1="",$BM206=0),"",SUMIFS(Entries!$E$2:$E$5000,Entries!$C$2:$C$5000,"Actual",Entries!$A$2:$A$5000,"&gt;="&amp;$A206,Entries!$A$2:$A$5000,"&lt;"&amp;EDATE($A206,1),Entries!$B$2:$B$5000,AH$1))</f>
        <v/>
      </c>
      <c r="AI206" s="23">
        <f>IF(OR(AI$1="",$BM206=0),"",SUMIFS(Entries!$E$2:$E$5000,Entries!$C$2:$C$5000,"Actual",Entries!$A$2:$A$5000,"&gt;="&amp;$A206,Entries!$A$2:$A$5000,"&lt;"&amp;EDATE($A206,1),Entries!$B$2:$B$5000,AI$1))</f>
        <v/>
      </c>
      <c r="AJ206" s="23">
        <f>IF(OR(AJ$1="",$BM206=0),"",SUMIFS(Entries!$E$2:$E$5000,Entries!$C$2:$C$5000,"Actual",Entries!$A$2:$A$5000,"&gt;="&amp;$A206,Entries!$A$2:$A$5000,"&lt;"&amp;EDATE($A206,1),Entries!$B$2:$B$5000,AJ$1))</f>
        <v/>
      </c>
      <c r="AK206" s="23">
        <f>IF(OR(AK$1="",$BM206=0),"",SUMIFS(Entries!$E$2:$E$5000,Entries!$C$2:$C$5000,"Actual",Entries!$A$2:$A$5000,"&gt;="&amp;$A206,Entries!$A$2:$A$5000,"&lt;"&amp;EDATE($A206,1),Entries!$B$2:$B$5000,AK$1))</f>
        <v/>
      </c>
      <c r="AL206" s="23">
        <f>IF(OR(AL$1="",$BM206=0),"",SUMIFS(Entries!$E$2:$E$5000,Entries!$C$2:$C$5000,"Actual",Entries!$A$2:$A$5000,"&gt;="&amp;$A206,Entries!$A$2:$A$5000,"&lt;"&amp;EDATE($A206,1),Entries!$B$2:$B$5000,AL$1))</f>
        <v/>
      </c>
      <c r="AM206" s="23">
        <f>IF(OR(AM$1="",$BM206=0),"",SUMIFS(Entries!$E$2:$E$5000,Entries!$C$2:$C$5000,"Actual",Entries!$A$2:$A$5000,"&gt;="&amp;$A206,Entries!$A$2:$A$5000,"&lt;"&amp;EDATE($A206,1),Entries!$B$2:$B$5000,AM$1))</f>
        <v/>
      </c>
      <c r="AN206" s="23">
        <f>IF(OR(AN$1="",$BM206=0),"",SUMIFS(Entries!$E$2:$E$5000,Entries!$C$2:$C$5000,"Actual",Entries!$A$2:$A$5000,"&gt;="&amp;$A206,Entries!$A$2:$A$5000,"&lt;"&amp;EDATE($A206,1),Entries!$B$2:$B$5000,AN$1))</f>
        <v/>
      </c>
      <c r="AO206" s="23">
        <f>IF(OR(AO$1="",$BM206=0),"",SUMIFS(Entries!$E$2:$E$5000,Entries!$C$2:$C$5000,"Actual",Entries!$A$2:$A$5000,"&gt;="&amp;$A206,Entries!$A$2:$A$5000,"&lt;"&amp;EDATE($A206,1),Entries!$B$2:$B$5000,AO$1))</f>
        <v/>
      </c>
      <c r="AP206" s="23">
        <f>IF(OR(AP$1="",$BM206=0),"",SUMIFS(Entries!$E$2:$E$5000,Entries!$C$2:$C$5000,"Actual",Entries!$A$2:$A$5000,"&gt;="&amp;$A206,Entries!$A$2:$A$5000,"&lt;"&amp;EDATE($A206,1),Entries!$B$2:$B$5000,AP$1))</f>
        <v/>
      </c>
      <c r="AR206" s="23">
        <f>IF(OR(AR$1="",$BM206=0),"",IFERROR(LOOKUP(2,1/((Budgets!$A$2:$A$200=AR$1)*(Budgets!$B$2:$B$200&lt;EDATE($A206,1))),Budgets!$C$2:$C$200),0))</f>
        <v/>
      </c>
      <c r="AS206" s="23">
        <f>IF(OR(AS$1="",$BM206=0),"",IFERROR(LOOKUP(2,1/((Budgets!$A$2:$A$200=AS$1)*(Budgets!$B$2:$B$200&lt;EDATE($A206,1))),Budgets!$C$2:$C$200),0))</f>
        <v/>
      </c>
      <c r="AT206" s="23">
        <f>IF(OR(AT$1="",$BM206=0),"",IFERROR(LOOKUP(2,1/((Budgets!$A$2:$A$200=AT$1)*(Budgets!$B$2:$B$200&lt;EDATE($A206,1))),Budgets!$C$2:$C$200),0))</f>
        <v/>
      </c>
      <c r="AU206" s="23">
        <f>IF(OR(AU$1="",$BM206=0),"",IFERROR(LOOKUP(2,1/((Budgets!$A$2:$A$200=AU$1)*(Budgets!$B$2:$B$200&lt;EDATE($A206,1))),Budgets!$C$2:$C$200),0))</f>
        <v/>
      </c>
      <c r="AV206" s="23">
        <f>IF(OR(AV$1="",$BM206=0),"",IFERROR(LOOKUP(2,1/((Budgets!$A$2:$A$200=AV$1)*(Budgets!$B$2:$B$200&lt;EDATE($A206,1))),Budgets!$C$2:$C$200),0))</f>
        <v/>
      </c>
      <c r="AW206" s="23">
        <f>IF(OR(AW$1="",$BM206=0),"",IFERROR(LOOKUP(2,1/((Budgets!$A$2:$A$200=AW$1)*(Budgets!$B$2:$B$200&lt;EDATE($A206,1))),Budgets!$C$2:$C$200),0))</f>
        <v/>
      </c>
      <c r="AX206" s="23">
        <f>IF(OR(AX$1="",$BM206=0),"",IFERROR(LOOKUP(2,1/((Budgets!$A$2:$A$200=AX$1)*(Budgets!$B$2:$B$200&lt;EDATE($A206,1))),Budgets!$C$2:$C$200),0))</f>
        <v/>
      </c>
      <c r="AY206" s="23">
        <f>IF(OR(AY$1="",$BM206=0),"",IFERROR(LOOKUP(2,1/((Budgets!$A$2:$A$200=AY$1)*(Budgets!$B$2:$B$200&lt;EDATE($A206,1))),Budgets!$C$2:$C$200),0))</f>
        <v/>
      </c>
      <c r="AZ206" s="23">
        <f>IF(OR(AZ$1="",$BM206=0),"",IFERROR(LOOKUP(2,1/((Budgets!$A$2:$A$200=AZ$1)*(Budgets!$B$2:$B$200&lt;EDATE($A206,1))),Budgets!$C$2:$C$200),0))</f>
        <v/>
      </c>
      <c r="BA206" s="23">
        <f>IF(OR(BA$1="",$BM206=0),"",IFERROR(LOOKUP(2,1/((Budgets!$A$2:$A$200=BA$1)*(Budgets!$B$2:$B$200&lt;EDATE($A206,1))),Budgets!$C$2:$C$200),0))</f>
        <v/>
      </c>
      <c r="BB206" s="23">
        <f>IF(OR(BB$1="",$BM206=0),"",IFERROR(LOOKUP(2,1/((Budgets!$A$2:$A$200=BB$1)*(Budgets!$B$2:$B$200&lt;EDATE($A206,1))),Budgets!$C$2:$C$200),0))</f>
        <v/>
      </c>
      <c r="BC206" s="23">
        <f>IF(OR(BC$1="",$BM206=0),"",IFERROR(LOOKUP(2,1/((Budgets!$A$2:$A$200=BC$1)*(Budgets!$B$2:$B$200&lt;EDATE($A206,1))),Budgets!$C$2:$C$200),0))</f>
        <v/>
      </c>
      <c r="BD206" s="23">
        <f>IF(OR(BD$1="",$BM206=0),"",IFERROR(LOOKUP(2,1/((Budgets!$A$2:$A$200=BD$1)*(Budgets!$B$2:$B$200&lt;EDATE($A206,1))),Budgets!$C$2:$C$200),0))</f>
        <v/>
      </c>
      <c r="BE206" s="23">
        <f>IF(OR(BE$1="",$BM206=0),"",IFERROR(LOOKUP(2,1/((Budgets!$A$2:$A$200=BE$1)*(Budgets!$B$2:$B$200&lt;EDATE($A206,1))),Budgets!$C$2:$C$200),0))</f>
        <v/>
      </c>
      <c r="BF206" s="23">
        <f>IF(OR(BF$1="",$BM206=0),"",IFERROR(LOOKUP(2,1/((Budgets!$A$2:$A$200=BF$1)*(Budgets!$B$2:$B$200&lt;EDATE($A206,1))),Budgets!$C$2:$C$200),0))</f>
        <v/>
      </c>
      <c r="BG206" s="23">
        <f>IF(OR(BG$1="",$BM206=0),"",IFERROR(LOOKUP(2,1/((Budgets!$A$2:$A$200=BG$1)*(Budgets!$B$2:$B$200&lt;EDATE($A206,1))),Budgets!$C$2:$C$200),0))</f>
        <v/>
      </c>
      <c r="BH206" s="23">
        <f>IF(OR(BH$1="",$BM206=0),"",IFERROR(LOOKUP(2,1/((Budgets!$A$2:$A$200=BH$1)*(Budgets!$B$2:$B$200&lt;EDATE($A206,1))),Budgets!$C$2:$C$200),0))</f>
        <v/>
      </c>
      <c r="BI206" s="23">
        <f>IF(OR(BI$1="",$BM206=0),"",IFERROR(LOOKUP(2,1/((Budgets!$A$2:$A$200=BI$1)*(Budgets!$B$2:$B$200&lt;EDATE($A206,1))),Budgets!$C$2:$C$200),0))</f>
        <v/>
      </c>
      <c r="BJ206" s="23">
        <f>IF(OR(BJ$1="",$BM206=0),"",IFERROR(LOOKUP(2,1/((Budgets!$A$2:$A$200=BJ$1)*(Budgets!$B$2:$B$200&lt;EDATE($A206,1))),Budgets!$C$2:$C$200),0))</f>
        <v/>
      </c>
      <c r="BK206" s="23">
        <f>IF(OR(BK$1="",$BM206=0),"",IFERROR(LOOKUP(2,1/((Budgets!$A$2:$A$200=BK$1)*(Budgets!$B$2:$B$200&lt;EDATE($A206,1))),Budgets!$C$2:$C$200),0))</f>
        <v/>
      </c>
      <c r="BM206" s="21">
        <f>COUNTIFS(Entries!$A$2:$A$5000,"&gt;="&amp;$A206,Entries!$A$2:$A$5000,"&lt;"&amp;EDATE($A206,1))</f>
        <v/>
      </c>
    </row>
    <row r="207">
      <c r="A207" s="22" t="n">
        <v>45689</v>
      </c>
      <c r="B207" s="23">
        <f>IF($BM207=0,NA(),SUMIFS(Entries!$E$2:$E$5000,Entries!$C$2:$C$5000,"Income",Entries!$A$2:$A$5000,"&gt;="&amp;$A207,Entries!$A$2:$A$5000,"&lt;"&amp;EDATE($A207,1)))</f>
        <v/>
      </c>
      <c r="C207" s="23">
        <f>IF($BM207=0,"",SUMIFS(Entries!$E$2:$E$5000,Entries!$C$2:$C$5000,"Actual",Entries!$A$2:$A$5000,"&gt;="&amp;$A207,Entries!$A$2:$A$5000,"&lt;"&amp;EDATE($A207,1)))</f>
        <v/>
      </c>
      <c r="D207" s="23">
        <f>IF($BM207=0,"",SUMIFS(Entries!$E$2:$E$5000,Entries!$C$2:$C$5000,"One-off",Entries!$A$2:$A$5000,"&gt;="&amp;$A207,Entries!$A$2:$A$5000,"&lt;"&amp;EDATE($A207,1)))</f>
        <v/>
      </c>
      <c r="E207" s="23">
        <f>IF($BM207=0,NA(),C207+D207)</f>
        <v/>
      </c>
      <c r="F207" s="23">
        <f>IF($BM207=0,"",SUM(AR207:BK207))</f>
        <v/>
      </c>
      <c r="G207" s="23">
        <f>IF($BM207=0,"",B207-E207)</f>
        <v/>
      </c>
      <c r="H207" s="23">
        <f>IF($BM207=0,"",SUM($G$2:G207))</f>
        <v/>
      </c>
      <c r="I207" s="23">
        <f>IF($BM207=0,"",SUMIFS(Entries!$G$2:$G$5000,Entries!$A$2:$A$5000,"&gt;="&amp;$A207,Entries!$A$2:$A$5000,"&lt;"&amp;EDATE($A207,1)))</f>
        <v/>
      </c>
      <c r="J207" s="23">
        <f>IF($BM207=0,NA(),H207)</f>
        <v/>
      </c>
      <c r="K207" s="23">
        <f>IF($BM207=0,"",SUMIFS(Entries!$E$2:$E$5000,Entries!$C$2:$C$5000,"Income",Entries!$A$2:$A$5000,"&gt;="&amp;EDATE($A207,-11),Entries!$A$2:$A$5000,"&lt;"&amp;EDATE($A207,1))/COUNTIFS($A$2:$A$400,"&gt;="&amp;EDATE($A207,-11),$A$2:$A$400,"&lt;"&amp;EDATE($A207,1),$BM$2:$BM$400,"&gt;0"))</f>
      </c>
      <c r="L207" s="23">
        <f>IF($BM207=0,"",(SUMIFS(Entries!$E$2:$E$5000,Entries!$C$2:$C$5000,"Actual",Entries!$A$2:$A$5000,"&gt;="&amp;EDATE($A207,-11),Entries!$A$2:$A$5000,"&lt;"&amp;EDATE($A207,1))+SUMIFS(Entries!$E$2:$E$5000,Entries!$C$2:$C$5000,"One-off",Entries!$A$2:$A$5000,"&gt;="&amp;EDATE($A207,-11),Entries!$A$2:$A$5000,"&lt;"&amp;EDATE($A207,1)))/COUNTIFS($A$2:$A$400,"&gt;="&amp;EDATE($A207,-11),$A$2:$A$400,"&lt;"&amp;EDATE($A207,1),$BM$2:$BM$400,"&gt;0"))</f>
      </c>
      <c r="M207" s="24">
        <f>IF($BM207=0,NA(),IFERROR((K207-L207)/K207,0))</f>
        <v/>
      </c>
      <c r="N207" s="23">
        <f>IF($BM207=0,NA(),SUMIFS(Entries!$E$2:$E$5000,Entries!$D$2:$D$5000,"Core",Entries!$A$2:$A$5000,"&gt;="&amp;$A207,Entries!$A$2:$A$5000,"&lt;"&amp;EDATE($A207,1)))</f>
        <v/>
      </c>
      <c r="O207" s="23">
        <f>IF($BM207=0,NA(),SUMIFS(Entries!$E$2:$E$5000,Entries!$D$2:$D$5000,"Over &amp; above",Entries!$A$2:$A$5000,"&gt;="&amp;$A207,Entries!$A$2:$A$5000,"&lt;"&amp;EDATE($A207,1)))</f>
        <v/>
      </c>
      <c r="P207" s="23">
        <f>IF($BM207=0,NA(),SUMIFS(Entries!$E$2:$E$5000,Entries!$D$2:$D$5000,"One-off",Entries!$A$2:$A$5000,"&gt;="&amp;$A207,Entries!$A$2:$A$5000,"&lt;"&amp;EDATE($A207,1)))</f>
        <v/>
      </c>
      <c r="Q207" s="23">
        <f>IF($BM207=0,NA(),SUMIFS(Entries!$E$2:$E$5000,Entries!$D$2:$D$5000,"Reimbursable",Entries!$A$2:$A$5000,"&gt;="&amp;$A207,Entries!$A$2:$A$5000,"&lt;"&amp;EDATE($A207,1)))</f>
        <v/>
      </c>
      <c r="R207" s="23">
        <f>IF($BM207=0,NA(),SUMIFS(Entries!$E$2:$E$5000,Entries!$D$2:$D$5000,"Investment",Entries!$A$2:$A$5000,"&gt;="&amp;$A207,Entries!$A$2:$A$5000,"&lt;"&amp;EDATE($A207,1)))</f>
        <v/>
      </c>
      <c r="S207" s="23">
        <f>IF($BM207=0,NA(),N207+O207)</f>
        <v/>
      </c>
      <c r="T207" s="23">
        <f>IF($BM207=0,"",E207-Q207)</f>
        <v/>
      </c>
      <c r="W207" s="23">
        <f>IF(OR(W$1="",$BM207=0),"",SUMIFS(Entries!$E$2:$E$5000,Entries!$C$2:$C$5000,"Actual",Entries!$A$2:$A$5000,"&gt;="&amp;$A207,Entries!$A$2:$A$5000,"&lt;"&amp;EDATE($A207,1),Entries!$B$2:$B$5000,W$1))</f>
        <v/>
      </c>
      <c r="X207" s="23">
        <f>IF(OR(X$1="",$BM207=0),"",SUMIFS(Entries!$E$2:$E$5000,Entries!$C$2:$C$5000,"Actual",Entries!$A$2:$A$5000,"&gt;="&amp;$A207,Entries!$A$2:$A$5000,"&lt;"&amp;EDATE($A207,1),Entries!$B$2:$B$5000,X$1))</f>
        <v/>
      </c>
      <c r="Y207" s="23">
        <f>IF(OR(Y$1="",$BM207=0),"",SUMIFS(Entries!$E$2:$E$5000,Entries!$C$2:$C$5000,"Actual",Entries!$A$2:$A$5000,"&gt;="&amp;$A207,Entries!$A$2:$A$5000,"&lt;"&amp;EDATE($A207,1),Entries!$B$2:$B$5000,Y$1))</f>
        <v/>
      </c>
      <c r="Z207" s="23">
        <f>IF(OR(Z$1="",$BM207=0),"",SUMIFS(Entries!$E$2:$E$5000,Entries!$C$2:$C$5000,"Actual",Entries!$A$2:$A$5000,"&gt;="&amp;$A207,Entries!$A$2:$A$5000,"&lt;"&amp;EDATE($A207,1),Entries!$B$2:$B$5000,Z$1))</f>
        <v/>
      </c>
      <c r="AA207" s="23">
        <f>IF(OR(AA$1="",$BM207=0),"",SUMIFS(Entries!$E$2:$E$5000,Entries!$C$2:$C$5000,"Actual",Entries!$A$2:$A$5000,"&gt;="&amp;$A207,Entries!$A$2:$A$5000,"&lt;"&amp;EDATE($A207,1),Entries!$B$2:$B$5000,AA$1))</f>
        <v/>
      </c>
      <c r="AB207" s="23">
        <f>IF(OR(AB$1="",$BM207=0),"",SUMIFS(Entries!$E$2:$E$5000,Entries!$C$2:$C$5000,"Actual",Entries!$A$2:$A$5000,"&gt;="&amp;$A207,Entries!$A$2:$A$5000,"&lt;"&amp;EDATE($A207,1),Entries!$B$2:$B$5000,AB$1))</f>
        <v/>
      </c>
      <c r="AC207" s="23">
        <f>IF(OR(AC$1="",$BM207=0),"",SUMIFS(Entries!$E$2:$E$5000,Entries!$C$2:$C$5000,"Actual",Entries!$A$2:$A$5000,"&gt;="&amp;$A207,Entries!$A$2:$A$5000,"&lt;"&amp;EDATE($A207,1),Entries!$B$2:$B$5000,AC$1))</f>
        <v/>
      </c>
      <c r="AD207" s="23">
        <f>IF(OR(AD$1="",$BM207=0),"",SUMIFS(Entries!$E$2:$E$5000,Entries!$C$2:$C$5000,"Actual",Entries!$A$2:$A$5000,"&gt;="&amp;$A207,Entries!$A$2:$A$5000,"&lt;"&amp;EDATE($A207,1),Entries!$B$2:$B$5000,AD$1))</f>
        <v/>
      </c>
      <c r="AE207" s="23">
        <f>IF(OR(AE$1="",$BM207=0),"",SUMIFS(Entries!$E$2:$E$5000,Entries!$C$2:$C$5000,"Actual",Entries!$A$2:$A$5000,"&gt;="&amp;$A207,Entries!$A$2:$A$5000,"&lt;"&amp;EDATE($A207,1),Entries!$B$2:$B$5000,AE$1))</f>
        <v/>
      </c>
      <c r="AF207" s="23">
        <f>IF(OR(AF$1="",$BM207=0),"",SUMIFS(Entries!$E$2:$E$5000,Entries!$C$2:$C$5000,"Actual",Entries!$A$2:$A$5000,"&gt;="&amp;$A207,Entries!$A$2:$A$5000,"&lt;"&amp;EDATE($A207,1),Entries!$B$2:$B$5000,AF$1))</f>
        <v/>
      </c>
      <c r="AG207" s="23">
        <f>IF(OR(AG$1="",$BM207=0),"",SUMIFS(Entries!$E$2:$E$5000,Entries!$C$2:$C$5000,"Actual",Entries!$A$2:$A$5000,"&gt;="&amp;$A207,Entries!$A$2:$A$5000,"&lt;"&amp;EDATE($A207,1),Entries!$B$2:$B$5000,AG$1))</f>
        <v/>
      </c>
      <c r="AH207" s="23">
        <f>IF(OR(AH$1="",$BM207=0),"",SUMIFS(Entries!$E$2:$E$5000,Entries!$C$2:$C$5000,"Actual",Entries!$A$2:$A$5000,"&gt;="&amp;$A207,Entries!$A$2:$A$5000,"&lt;"&amp;EDATE($A207,1),Entries!$B$2:$B$5000,AH$1))</f>
        <v/>
      </c>
      <c r="AI207" s="23">
        <f>IF(OR(AI$1="",$BM207=0),"",SUMIFS(Entries!$E$2:$E$5000,Entries!$C$2:$C$5000,"Actual",Entries!$A$2:$A$5000,"&gt;="&amp;$A207,Entries!$A$2:$A$5000,"&lt;"&amp;EDATE($A207,1),Entries!$B$2:$B$5000,AI$1))</f>
        <v/>
      </c>
      <c r="AJ207" s="23">
        <f>IF(OR(AJ$1="",$BM207=0),"",SUMIFS(Entries!$E$2:$E$5000,Entries!$C$2:$C$5000,"Actual",Entries!$A$2:$A$5000,"&gt;="&amp;$A207,Entries!$A$2:$A$5000,"&lt;"&amp;EDATE($A207,1),Entries!$B$2:$B$5000,AJ$1))</f>
        <v/>
      </c>
      <c r="AK207" s="23">
        <f>IF(OR(AK$1="",$BM207=0),"",SUMIFS(Entries!$E$2:$E$5000,Entries!$C$2:$C$5000,"Actual",Entries!$A$2:$A$5000,"&gt;="&amp;$A207,Entries!$A$2:$A$5000,"&lt;"&amp;EDATE($A207,1),Entries!$B$2:$B$5000,AK$1))</f>
        <v/>
      </c>
      <c r="AL207" s="23">
        <f>IF(OR(AL$1="",$BM207=0),"",SUMIFS(Entries!$E$2:$E$5000,Entries!$C$2:$C$5000,"Actual",Entries!$A$2:$A$5000,"&gt;="&amp;$A207,Entries!$A$2:$A$5000,"&lt;"&amp;EDATE($A207,1),Entries!$B$2:$B$5000,AL$1))</f>
        <v/>
      </c>
      <c r="AM207" s="23">
        <f>IF(OR(AM$1="",$BM207=0),"",SUMIFS(Entries!$E$2:$E$5000,Entries!$C$2:$C$5000,"Actual",Entries!$A$2:$A$5000,"&gt;="&amp;$A207,Entries!$A$2:$A$5000,"&lt;"&amp;EDATE($A207,1),Entries!$B$2:$B$5000,AM$1))</f>
        <v/>
      </c>
      <c r="AN207" s="23">
        <f>IF(OR(AN$1="",$BM207=0),"",SUMIFS(Entries!$E$2:$E$5000,Entries!$C$2:$C$5000,"Actual",Entries!$A$2:$A$5000,"&gt;="&amp;$A207,Entries!$A$2:$A$5000,"&lt;"&amp;EDATE($A207,1),Entries!$B$2:$B$5000,AN$1))</f>
        <v/>
      </c>
      <c r="AO207" s="23">
        <f>IF(OR(AO$1="",$BM207=0),"",SUMIFS(Entries!$E$2:$E$5000,Entries!$C$2:$C$5000,"Actual",Entries!$A$2:$A$5000,"&gt;="&amp;$A207,Entries!$A$2:$A$5000,"&lt;"&amp;EDATE($A207,1),Entries!$B$2:$B$5000,AO$1))</f>
        <v/>
      </c>
      <c r="AP207" s="23">
        <f>IF(OR(AP$1="",$BM207=0),"",SUMIFS(Entries!$E$2:$E$5000,Entries!$C$2:$C$5000,"Actual",Entries!$A$2:$A$5000,"&gt;="&amp;$A207,Entries!$A$2:$A$5000,"&lt;"&amp;EDATE($A207,1),Entries!$B$2:$B$5000,AP$1))</f>
        <v/>
      </c>
      <c r="AR207" s="23">
        <f>IF(OR(AR$1="",$BM207=0),"",IFERROR(LOOKUP(2,1/((Budgets!$A$2:$A$200=AR$1)*(Budgets!$B$2:$B$200&lt;EDATE($A207,1))),Budgets!$C$2:$C$200),0))</f>
        <v/>
      </c>
      <c r="AS207" s="23">
        <f>IF(OR(AS$1="",$BM207=0),"",IFERROR(LOOKUP(2,1/((Budgets!$A$2:$A$200=AS$1)*(Budgets!$B$2:$B$200&lt;EDATE($A207,1))),Budgets!$C$2:$C$200),0))</f>
        <v/>
      </c>
      <c r="AT207" s="23">
        <f>IF(OR(AT$1="",$BM207=0),"",IFERROR(LOOKUP(2,1/((Budgets!$A$2:$A$200=AT$1)*(Budgets!$B$2:$B$200&lt;EDATE($A207,1))),Budgets!$C$2:$C$200),0))</f>
        <v/>
      </c>
      <c r="AU207" s="23">
        <f>IF(OR(AU$1="",$BM207=0),"",IFERROR(LOOKUP(2,1/((Budgets!$A$2:$A$200=AU$1)*(Budgets!$B$2:$B$200&lt;EDATE($A207,1))),Budgets!$C$2:$C$200),0))</f>
        <v/>
      </c>
      <c r="AV207" s="23">
        <f>IF(OR(AV$1="",$BM207=0),"",IFERROR(LOOKUP(2,1/((Budgets!$A$2:$A$200=AV$1)*(Budgets!$B$2:$B$200&lt;EDATE($A207,1))),Budgets!$C$2:$C$200),0))</f>
        <v/>
      </c>
      <c r="AW207" s="23">
        <f>IF(OR(AW$1="",$BM207=0),"",IFERROR(LOOKUP(2,1/((Budgets!$A$2:$A$200=AW$1)*(Budgets!$B$2:$B$200&lt;EDATE($A207,1))),Budgets!$C$2:$C$200),0))</f>
        <v/>
      </c>
      <c r="AX207" s="23">
        <f>IF(OR(AX$1="",$BM207=0),"",IFERROR(LOOKUP(2,1/((Budgets!$A$2:$A$200=AX$1)*(Budgets!$B$2:$B$200&lt;EDATE($A207,1))),Budgets!$C$2:$C$200),0))</f>
        <v/>
      </c>
      <c r="AY207" s="23">
        <f>IF(OR(AY$1="",$BM207=0),"",IFERROR(LOOKUP(2,1/((Budgets!$A$2:$A$200=AY$1)*(Budgets!$B$2:$B$200&lt;EDATE($A207,1))),Budgets!$C$2:$C$200),0))</f>
        <v/>
      </c>
      <c r="AZ207" s="23">
        <f>IF(OR(AZ$1="",$BM207=0),"",IFERROR(LOOKUP(2,1/((Budgets!$A$2:$A$200=AZ$1)*(Budgets!$B$2:$B$200&lt;EDATE($A207,1))),Budgets!$C$2:$C$200),0))</f>
        <v/>
      </c>
      <c r="BA207" s="23">
        <f>IF(OR(BA$1="",$BM207=0),"",IFERROR(LOOKUP(2,1/((Budgets!$A$2:$A$200=BA$1)*(Budgets!$B$2:$B$200&lt;EDATE($A207,1))),Budgets!$C$2:$C$200),0))</f>
        <v/>
      </c>
      <c r="BB207" s="23">
        <f>IF(OR(BB$1="",$BM207=0),"",IFERROR(LOOKUP(2,1/((Budgets!$A$2:$A$200=BB$1)*(Budgets!$B$2:$B$200&lt;EDATE($A207,1))),Budgets!$C$2:$C$200),0))</f>
        <v/>
      </c>
      <c r="BC207" s="23">
        <f>IF(OR(BC$1="",$BM207=0),"",IFERROR(LOOKUP(2,1/((Budgets!$A$2:$A$200=BC$1)*(Budgets!$B$2:$B$200&lt;EDATE($A207,1))),Budgets!$C$2:$C$200),0))</f>
        <v/>
      </c>
      <c r="BD207" s="23">
        <f>IF(OR(BD$1="",$BM207=0),"",IFERROR(LOOKUP(2,1/((Budgets!$A$2:$A$200=BD$1)*(Budgets!$B$2:$B$200&lt;EDATE($A207,1))),Budgets!$C$2:$C$200),0))</f>
        <v/>
      </c>
      <c r="BE207" s="23">
        <f>IF(OR(BE$1="",$BM207=0),"",IFERROR(LOOKUP(2,1/((Budgets!$A$2:$A$200=BE$1)*(Budgets!$B$2:$B$200&lt;EDATE($A207,1))),Budgets!$C$2:$C$200),0))</f>
        <v/>
      </c>
      <c r="BF207" s="23">
        <f>IF(OR(BF$1="",$BM207=0),"",IFERROR(LOOKUP(2,1/((Budgets!$A$2:$A$200=BF$1)*(Budgets!$B$2:$B$200&lt;EDATE($A207,1))),Budgets!$C$2:$C$200),0))</f>
        <v/>
      </c>
      <c r="BG207" s="23">
        <f>IF(OR(BG$1="",$BM207=0),"",IFERROR(LOOKUP(2,1/((Budgets!$A$2:$A$200=BG$1)*(Budgets!$B$2:$B$200&lt;EDATE($A207,1))),Budgets!$C$2:$C$200),0))</f>
        <v/>
      </c>
      <c r="BH207" s="23">
        <f>IF(OR(BH$1="",$BM207=0),"",IFERROR(LOOKUP(2,1/((Budgets!$A$2:$A$200=BH$1)*(Budgets!$B$2:$B$200&lt;EDATE($A207,1))),Budgets!$C$2:$C$200),0))</f>
        <v/>
      </c>
      <c r="BI207" s="23">
        <f>IF(OR(BI$1="",$BM207=0),"",IFERROR(LOOKUP(2,1/((Budgets!$A$2:$A$200=BI$1)*(Budgets!$B$2:$B$200&lt;EDATE($A207,1))),Budgets!$C$2:$C$200),0))</f>
        <v/>
      </c>
      <c r="BJ207" s="23">
        <f>IF(OR(BJ$1="",$BM207=0),"",IFERROR(LOOKUP(2,1/((Budgets!$A$2:$A$200=BJ$1)*(Budgets!$B$2:$B$200&lt;EDATE($A207,1))),Budgets!$C$2:$C$200),0))</f>
        <v/>
      </c>
      <c r="BK207" s="23">
        <f>IF(OR(BK$1="",$BM207=0),"",IFERROR(LOOKUP(2,1/((Budgets!$A$2:$A$200=BK$1)*(Budgets!$B$2:$B$200&lt;EDATE($A207,1))),Budgets!$C$2:$C$200),0))</f>
        <v/>
      </c>
      <c r="BM207" s="21">
        <f>COUNTIFS(Entries!$A$2:$A$5000,"&gt;="&amp;$A207,Entries!$A$2:$A$5000,"&lt;"&amp;EDATE($A207,1))</f>
        <v/>
      </c>
    </row>
    <row r="208">
      <c r="A208" s="22" t="n">
        <v>45717</v>
      </c>
      <c r="B208" s="23">
        <f>IF($BM208=0,NA(),SUMIFS(Entries!$E$2:$E$5000,Entries!$C$2:$C$5000,"Income",Entries!$A$2:$A$5000,"&gt;="&amp;$A208,Entries!$A$2:$A$5000,"&lt;"&amp;EDATE($A208,1)))</f>
        <v/>
      </c>
      <c r="C208" s="23">
        <f>IF($BM208=0,"",SUMIFS(Entries!$E$2:$E$5000,Entries!$C$2:$C$5000,"Actual",Entries!$A$2:$A$5000,"&gt;="&amp;$A208,Entries!$A$2:$A$5000,"&lt;"&amp;EDATE($A208,1)))</f>
        <v/>
      </c>
      <c r="D208" s="23">
        <f>IF($BM208=0,"",SUMIFS(Entries!$E$2:$E$5000,Entries!$C$2:$C$5000,"One-off",Entries!$A$2:$A$5000,"&gt;="&amp;$A208,Entries!$A$2:$A$5000,"&lt;"&amp;EDATE($A208,1)))</f>
        <v/>
      </c>
      <c r="E208" s="23">
        <f>IF($BM208=0,NA(),C208+D208)</f>
        <v/>
      </c>
      <c r="F208" s="23">
        <f>IF($BM208=0,"",SUM(AR208:BK208))</f>
        <v/>
      </c>
      <c r="G208" s="23">
        <f>IF($BM208=0,"",B208-E208)</f>
        <v/>
      </c>
      <c r="H208" s="23">
        <f>IF($BM208=0,"",SUM($G$2:G208))</f>
        <v/>
      </c>
      <c r="I208" s="23">
        <f>IF($BM208=0,"",SUMIFS(Entries!$G$2:$G$5000,Entries!$A$2:$A$5000,"&gt;="&amp;$A208,Entries!$A$2:$A$5000,"&lt;"&amp;EDATE($A208,1)))</f>
        <v/>
      </c>
      <c r="J208" s="23">
        <f>IF($BM208=0,NA(),H208)</f>
        <v/>
      </c>
      <c r="K208" s="23">
        <f>IF($BM208=0,"",SUMIFS(Entries!$E$2:$E$5000,Entries!$C$2:$C$5000,"Income",Entries!$A$2:$A$5000,"&gt;="&amp;EDATE($A208,-11),Entries!$A$2:$A$5000,"&lt;"&amp;EDATE($A208,1))/COUNTIFS($A$2:$A$400,"&gt;="&amp;EDATE($A208,-11),$A$2:$A$400,"&lt;"&amp;EDATE($A208,1),$BM$2:$BM$400,"&gt;0"))</f>
      </c>
      <c r="L208" s="23">
        <f>IF($BM208=0,"",(SUMIFS(Entries!$E$2:$E$5000,Entries!$C$2:$C$5000,"Actual",Entries!$A$2:$A$5000,"&gt;="&amp;EDATE($A208,-11),Entries!$A$2:$A$5000,"&lt;"&amp;EDATE($A208,1))+SUMIFS(Entries!$E$2:$E$5000,Entries!$C$2:$C$5000,"One-off",Entries!$A$2:$A$5000,"&gt;="&amp;EDATE($A208,-11),Entries!$A$2:$A$5000,"&lt;"&amp;EDATE($A208,1)))/COUNTIFS($A$2:$A$400,"&gt;="&amp;EDATE($A208,-11),$A$2:$A$400,"&lt;"&amp;EDATE($A208,1),$BM$2:$BM$400,"&gt;0"))</f>
      </c>
      <c r="M208" s="24">
        <f>IF($BM208=0,NA(),IFERROR((K208-L208)/K208,0))</f>
        <v/>
      </c>
      <c r="N208" s="23">
        <f>IF($BM208=0,NA(),SUMIFS(Entries!$E$2:$E$5000,Entries!$D$2:$D$5000,"Core",Entries!$A$2:$A$5000,"&gt;="&amp;$A208,Entries!$A$2:$A$5000,"&lt;"&amp;EDATE($A208,1)))</f>
        <v/>
      </c>
      <c r="O208" s="23">
        <f>IF($BM208=0,NA(),SUMIFS(Entries!$E$2:$E$5000,Entries!$D$2:$D$5000,"Over &amp; above",Entries!$A$2:$A$5000,"&gt;="&amp;$A208,Entries!$A$2:$A$5000,"&lt;"&amp;EDATE($A208,1)))</f>
        <v/>
      </c>
      <c r="P208" s="23">
        <f>IF($BM208=0,NA(),SUMIFS(Entries!$E$2:$E$5000,Entries!$D$2:$D$5000,"One-off",Entries!$A$2:$A$5000,"&gt;="&amp;$A208,Entries!$A$2:$A$5000,"&lt;"&amp;EDATE($A208,1)))</f>
        <v/>
      </c>
      <c r="Q208" s="23">
        <f>IF($BM208=0,NA(),SUMIFS(Entries!$E$2:$E$5000,Entries!$D$2:$D$5000,"Reimbursable",Entries!$A$2:$A$5000,"&gt;="&amp;$A208,Entries!$A$2:$A$5000,"&lt;"&amp;EDATE($A208,1)))</f>
        <v/>
      </c>
      <c r="R208" s="23">
        <f>IF($BM208=0,NA(),SUMIFS(Entries!$E$2:$E$5000,Entries!$D$2:$D$5000,"Investment",Entries!$A$2:$A$5000,"&gt;="&amp;$A208,Entries!$A$2:$A$5000,"&lt;"&amp;EDATE($A208,1)))</f>
        <v/>
      </c>
      <c r="S208" s="23">
        <f>IF($BM208=0,NA(),N208+O208)</f>
        <v/>
      </c>
      <c r="T208" s="23">
        <f>IF($BM208=0,"",E208-Q208)</f>
        <v/>
      </c>
      <c r="W208" s="23">
        <f>IF(OR(W$1="",$BM208=0),"",SUMIFS(Entries!$E$2:$E$5000,Entries!$C$2:$C$5000,"Actual",Entries!$A$2:$A$5000,"&gt;="&amp;$A208,Entries!$A$2:$A$5000,"&lt;"&amp;EDATE($A208,1),Entries!$B$2:$B$5000,W$1))</f>
        <v/>
      </c>
      <c r="X208" s="23">
        <f>IF(OR(X$1="",$BM208=0),"",SUMIFS(Entries!$E$2:$E$5000,Entries!$C$2:$C$5000,"Actual",Entries!$A$2:$A$5000,"&gt;="&amp;$A208,Entries!$A$2:$A$5000,"&lt;"&amp;EDATE($A208,1),Entries!$B$2:$B$5000,X$1))</f>
        <v/>
      </c>
      <c r="Y208" s="23">
        <f>IF(OR(Y$1="",$BM208=0),"",SUMIFS(Entries!$E$2:$E$5000,Entries!$C$2:$C$5000,"Actual",Entries!$A$2:$A$5000,"&gt;="&amp;$A208,Entries!$A$2:$A$5000,"&lt;"&amp;EDATE($A208,1),Entries!$B$2:$B$5000,Y$1))</f>
        <v/>
      </c>
      <c r="Z208" s="23">
        <f>IF(OR(Z$1="",$BM208=0),"",SUMIFS(Entries!$E$2:$E$5000,Entries!$C$2:$C$5000,"Actual",Entries!$A$2:$A$5000,"&gt;="&amp;$A208,Entries!$A$2:$A$5000,"&lt;"&amp;EDATE($A208,1),Entries!$B$2:$B$5000,Z$1))</f>
        <v/>
      </c>
      <c r="AA208" s="23">
        <f>IF(OR(AA$1="",$BM208=0),"",SUMIFS(Entries!$E$2:$E$5000,Entries!$C$2:$C$5000,"Actual",Entries!$A$2:$A$5000,"&gt;="&amp;$A208,Entries!$A$2:$A$5000,"&lt;"&amp;EDATE($A208,1),Entries!$B$2:$B$5000,AA$1))</f>
        <v/>
      </c>
      <c r="AB208" s="23">
        <f>IF(OR(AB$1="",$BM208=0),"",SUMIFS(Entries!$E$2:$E$5000,Entries!$C$2:$C$5000,"Actual",Entries!$A$2:$A$5000,"&gt;="&amp;$A208,Entries!$A$2:$A$5000,"&lt;"&amp;EDATE($A208,1),Entries!$B$2:$B$5000,AB$1))</f>
        <v/>
      </c>
      <c r="AC208" s="23">
        <f>IF(OR(AC$1="",$BM208=0),"",SUMIFS(Entries!$E$2:$E$5000,Entries!$C$2:$C$5000,"Actual",Entries!$A$2:$A$5000,"&gt;="&amp;$A208,Entries!$A$2:$A$5000,"&lt;"&amp;EDATE($A208,1),Entries!$B$2:$B$5000,AC$1))</f>
        <v/>
      </c>
      <c r="AD208" s="23">
        <f>IF(OR(AD$1="",$BM208=0),"",SUMIFS(Entries!$E$2:$E$5000,Entries!$C$2:$C$5000,"Actual",Entries!$A$2:$A$5000,"&gt;="&amp;$A208,Entries!$A$2:$A$5000,"&lt;"&amp;EDATE($A208,1),Entries!$B$2:$B$5000,AD$1))</f>
        <v/>
      </c>
      <c r="AE208" s="23">
        <f>IF(OR(AE$1="",$BM208=0),"",SUMIFS(Entries!$E$2:$E$5000,Entries!$C$2:$C$5000,"Actual",Entries!$A$2:$A$5000,"&gt;="&amp;$A208,Entries!$A$2:$A$5000,"&lt;"&amp;EDATE($A208,1),Entries!$B$2:$B$5000,AE$1))</f>
        <v/>
      </c>
      <c r="AF208" s="23">
        <f>IF(OR(AF$1="",$BM208=0),"",SUMIFS(Entries!$E$2:$E$5000,Entries!$C$2:$C$5000,"Actual",Entries!$A$2:$A$5000,"&gt;="&amp;$A208,Entries!$A$2:$A$5000,"&lt;"&amp;EDATE($A208,1),Entries!$B$2:$B$5000,AF$1))</f>
        <v/>
      </c>
      <c r="AG208" s="23">
        <f>IF(OR(AG$1="",$BM208=0),"",SUMIFS(Entries!$E$2:$E$5000,Entries!$C$2:$C$5000,"Actual",Entries!$A$2:$A$5000,"&gt;="&amp;$A208,Entries!$A$2:$A$5000,"&lt;"&amp;EDATE($A208,1),Entries!$B$2:$B$5000,AG$1))</f>
        <v/>
      </c>
      <c r="AH208" s="23">
        <f>IF(OR(AH$1="",$BM208=0),"",SUMIFS(Entries!$E$2:$E$5000,Entries!$C$2:$C$5000,"Actual",Entries!$A$2:$A$5000,"&gt;="&amp;$A208,Entries!$A$2:$A$5000,"&lt;"&amp;EDATE($A208,1),Entries!$B$2:$B$5000,AH$1))</f>
        <v/>
      </c>
      <c r="AI208" s="23">
        <f>IF(OR(AI$1="",$BM208=0),"",SUMIFS(Entries!$E$2:$E$5000,Entries!$C$2:$C$5000,"Actual",Entries!$A$2:$A$5000,"&gt;="&amp;$A208,Entries!$A$2:$A$5000,"&lt;"&amp;EDATE($A208,1),Entries!$B$2:$B$5000,AI$1))</f>
        <v/>
      </c>
      <c r="AJ208" s="23">
        <f>IF(OR(AJ$1="",$BM208=0),"",SUMIFS(Entries!$E$2:$E$5000,Entries!$C$2:$C$5000,"Actual",Entries!$A$2:$A$5000,"&gt;="&amp;$A208,Entries!$A$2:$A$5000,"&lt;"&amp;EDATE($A208,1),Entries!$B$2:$B$5000,AJ$1))</f>
        <v/>
      </c>
      <c r="AK208" s="23">
        <f>IF(OR(AK$1="",$BM208=0),"",SUMIFS(Entries!$E$2:$E$5000,Entries!$C$2:$C$5000,"Actual",Entries!$A$2:$A$5000,"&gt;="&amp;$A208,Entries!$A$2:$A$5000,"&lt;"&amp;EDATE($A208,1),Entries!$B$2:$B$5000,AK$1))</f>
        <v/>
      </c>
      <c r="AL208" s="23">
        <f>IF(OR(AL$1="",$BM208=0),"",SUMIFS(Entries!$E$2:$E$5000,Entries!$C$2:$C$5000,"Actual",Entries!$A$2:$A$5000,"&gt;="&amp;$A208,Entries!$A$2:$A$5000,"&lt;"&amp;EDATE($A208,1),Entries!$B$2:$B$5000,AL$1))</f>
        <v/>
      </c>
      <c r="AM208" s="23">
        <f>IF(OR(AM$1="",$BM208=0),"",SUMIFS(Entries!$E$2:$E$5000,Entries!$C$2:$C$5000,"Actual",Entries!$A$2:$A$5000,"&gt;="&amp;$A208,Entries!$A$2:$A$5000,"&lt;"&amp;EDATE($A208,1),Entries!$B$2:$B$5000,AM$1))</f>
        <v/>
      </c>
      <c r="AN208" s="23">
        <f>IF(OR(AN$1="",$BM208=0),"",SUMIFS(Entries!$E$2:$E$5000,Entries!$C$2:$C$5000,"Actual",Entries!$A$2:$A$5000,"&gt;="&amp;$A208,Entries!$A$2:$A$5000,"&lt;"&amp;EDATE($A208,1),Entries!$B$2:$B$5000,AN$1))</f>
        <v/>
      </c>
      <c r="AO208" s="23">
        <f>IF(OR(AO$1="",$BM208=0),"",SUMIFS(Entries!$E$2:$E$5000,Entries!$C$2:$C$5000,"Actual",Entries!$A$2:$A$5000,"&gt;="&amp;$A208,Entries!$A$2:$A$5000,"&lt;"&amp;EDATE($A208,1),Entries!$B$2:$B$5000,AO$1))</f>
        <v/>
      </c>
      <c r="AP208" s="23">
        <f>IF(OR(AP$1="",$BM208=0),"",SUMIFS(Entries!$E$2:$E$5000,Entries!$C$2:$C$5000,"Actual",Entries!$A$2:$A$5000,"&gt;="&amp;$A208,Entries!$A$2:$A$5000,"&lt;"&amp;EDATE($A208,1),Entries!$B$2:$B$5000,AP$1))</f>
        <v/>
      </c>
      <c r="AR208" s="23">
        <f>IF(OR(AR$1="",$BM208=0),"",IFERROR(LOOKUP(2,1/((Budgets!$A$2:$A$200=AR$1)*(Budgets!$B$2:$B$200&lt;EDATE($A208,1))),Budgets!$C$2:$C$200),0))</f>
        <v/>
      </c>
      <c r="AS208" s="23">
        <f>IF(OR(AS$1="",$BM208=0),"",IFERROR(LOOKUP(2,1/((Budgets!$A$2:$A$200=AS$1)*(Budgets!$B$2:$B$200&lt;EDATE($A208,1))),Budgets!$C$2:$C$200),0))</f>
        <v/>
      </c>
      <c r="AT208" s="23">
        <f>IF(OR(AT$1="",$BM208=0),"",IFERROR(LOOKUP(2,1/((Budgets!$A$2:$A$200=AT$1)*(Budgets!$B$2:$B$200&lt;EDATE($A208,1))),Budgets!$C$2:$C$200),0))</f>
        <v/>
      </c>
      <c r="AU208" s="23">
        <f>IF(OR(AU$1="",$BM208=0),"",IFERROR(LOOKUP(2,1/((Budgets!$A$2:$A$200=AU$1)*(Budgets!$B$2:$B$200&lt;EDATE($A208,1))),Budgets!$C$2:$C$200),0))</f>
        <v/>
      </c>
      <c r="AV208" s="23">
        <f>IF(OR(AV$1="",$BM208=0),"",IFERROR(LOOKUP(2,1/((Budgets!$A$2:$A$200=AV$1)*(Budgets!$B$2:$B$200&lt;EDATE($A208,1))),Budgets!$C$2:$C$200),0))</f>
        <v/>
      </c>
      <c r="AW208" s="23">
        <f>IF(OR(AW$1="",$BM208=0),"",IFERROR(LOOKUP(2,1/((Budgets!$A$2:$A$200=AW$1)*(Budgets!$B$2:$B$200&lt;EDATE($A208,1))),Budgets!$C$2:$C$200),0))</f>
        <v/>
      </c>
      <c r="AX208" s="23">
        <f>IF(OR(AX$1="",$BM208=0),"",IFERROR(LOOKUP(2,1/((Budgets!$A$2:$A$200=AX$1)*(Budgets!$B$2:$B$200&lt;EDATE($A208,1))),Budgets!$C$2:$C$200),0))</f>
        <v/>
      </c>
      <c r="AY208" s="23">
        <f>IF(OR(AY$1="",$BM208=0),"",IFERROR(LOOKUP(2,1/((Budgets!$A$2:$A$200=AY$1)*(Budgets!$B$2:$B$200&lt;EDATE($A208,1))),Budgets!$C$2:$C$200),0))</f>
        <v/>
      </c>
      <c r="AZ208" s="23">
        <f>IF(OR(AZ$1="",$BM208=0),"",IFERROR(LOOKUP(2,1/((Budgets!$A$2:$A$200=AZ$1)*(Budgets!$B$2:$B$200&lt;EDATE($A208,1))),Budgets!$C$2:$C$200),0))</f>
        <v/>
      </c>
      <c r="BA208" s="23">
        <f>IF(OR(BA$1="",$BM208=0),"",IFERROR(LOOKUP(2,1/((Budgets!$A$2:$A$200=BA$1)*(Budgets!$B$2:$B$200&lt;EDATE($A208,1))),Budgets!$C$2:$C$200),0))</f>
        <v/>
      </c>
      <c r="BB208" s="23">
        <f>IF(OR(BB$1="",$BM208=0),"",IFERROR(LOOKUP(2,1/((Budgets!$A$2:$A$200=BB$1)*(Budgets!$B$2:$B$200&lt;EDATE($A208,1))),Budgets!$C$2:$C$200),0))</f>
        <v/>
      </c>
      <c r="BC208" s="23">
        <f>IF(OR(BC$1="",$BM208=0),"",IFERROR(LOOKUP(2,1/((Budgets!$A$2:$A$200=BC$1)*(Budgets!$B$2:$B$200&lt;EDATE($A208,1))),Budgets!$C$2:$C$200),0))</f>
        <v/>
      </c>
      <c r="BD208" s="23">
        <f>IF(OR(BD$1="",$BM208=0),"",IFERROR(LOOKUP(2,1/((Budgets!$A$2:$A$200=BD$1)*(Budgets!$B$2:$B$200&lt;EDATE($A208,1))),Budgets!$C$2:$C$200),0))</f>
        <v/>
      </c>
      <c r="BE208" s="23">
        <f>IF(OR(BE$1="",$BM208=0),"",IFERROR(LOOKUP(2,1/((Budgets!$A$2:$A$200=BE$1)*(Budgets!$B$2:$B$200&lt;EDATE($A208,1))),Budgets!$C$2:$C$200),0))</f>
        <v/>
      </c>
      <c r="BF208" s="23">
        <f>IF(OR(BF$1="",$BM208=0),"",IFERROR(LOOKUP(2,1/((Budgets!$A$2:$A$200=BF$1)*(Budgets!$B$2:$B$200&lt;EDATE($A208,1))),Budgets!$C$2:$C$200),0))</f>
        <v/>
      </c>
      <c r="BG208" s="23">
        <f>IF(OR(BG$1="",$BM208=0),"",IFERROR(LOOKUP(2,1/((Budgets!$A$2:$A$200=BG$1)*(Budgets!$B$2:$B$200&lt;EDATE($A208,1))),Budgets!$C$2:$C$200),0))</f>
        <v/>
      </c>
      <c r="BH208" s="23">
        <f>IF(OR(BH$1="",$BM208=0),"",IFERROR(LOOKUP(2,1/((Budgets!$A$2:$A$200=BH$1)*(Budgets!$B$2:$B$200&lt;EDATE($A208,1))),Budgets!$C$2:$C$200),0))</f>
        <v/>
      </c>
      <c r="BI208" s="23">
        <f>IF(OR(BI$1="",$BM208=0),"",IFERROR(LOOKUP(2,1/((Budgets!$A$2:$A$200=BI$1)*(Budgets!$B$2:$B$200&lt;EDATE($A208,1))),Budgets!$C$2:$C$200),0))</f>
        <v/>
      </c>
      <c r="BJ208" s="23">
        <f>IF(OR(BJ$1="",$BM208=0),"",IFERROR(LOOKUP(2,1/((Budgets!$A$2:$A$200=BJ$1)*(Budgets!$B$2:$B$200&lt;EDATE($A208,1))),Budgets!$C$2:$C$200),0))</f>
        <v/>
      </c>
      <c r="BK208" s="23">
        <f>IF(OR(BK$1="",$BM208=0),"",IFERROR(LOOKUP(2,1/((Budgets!$A$2:$A$200=BK$1)*(Budgets!$B$2:$B$200&lt;EDATE($A208,1))),Budgets!$C$2:$C$200),0))</f>
        <v/>
      </c>
      <c r="BM208" s="21">
        <f>COUNTIFS(Entries!$A$2:$A$5000,"&gt;="&amp;$A208,Entries!$A$2:$A$5000,"&lt;"&amp;EDATE($A208,1))</f>
        <v/>
      </c>
    </row>
    <row r="209">
      <c r="A209" s="22" t="n">
        <v>45748</v>
      </c>
      <c r="B209" s="23">
        <f>IF($BM209=0,NA(),SUMIFS(Entries!$E$2:$E$5000,Entries!$C$2:$C$5000,"Income",Entries!$A$2:$A$5000,"&gt;="&amp;$A209,Entries!$A$2:$A$5000,"&lt;"&amp;EDATE($A209,1)))</f>
        <v/>
      </c>
      <c r="C209" s="23">
        <f>IF($BM209=0,"",SUMIFS(Entries!$E$2:$E$5000,Entries!$C$2:$C$5000,"Actual",Entries!$A$2:$A$5000,"&gt;="&amp;$A209,Entries!$A$2:$A$5000,"&lt;"&amp;EDATE($A209,1)))</f>
        <v/>
      </c>
      <c r="D209" s="23">
        <f>IF($BM209=0,"",SUMIFS(Entries!$E$2:$E$5000,Entries!$C$2:$C$5000,"One-off",Entries!$A$2:$A$5000,"&gt;="&amp;$A209,Entries!$A$2:$A$5000,"&lt;"&amp;EDATE($A209,1)))</f>
        <v/>
      </c>
      <c r="E209" s="23">
        <f>IF($BM209=0,NA(),C209+D209)</f>
        <v/>
      </c>
      <c r="F209" s="23">
        <f>IF($BM209=0,"",SUM(AR209:BK209))</f>
        <v/>
      </c>
      <c r="G209" s="23">
        <f>IF($BM209=0,"",B209-E209)</f>
        <v/>
      </c>
      <c r="H209" s="23">
        <f>IF($BM209=0,"",SUM($G$2:G209))</f>
        <v/>
      </c>
      <c r="I209" s="23">
        <f>IF($BM209=0,"",SUMIFS(Entries!$G$2:$G$5000,Entries!$A$2:$A$5000,"&gt;="&amp;$A209,Entries!$A$2:$A$5000,"&lt;"&amp;EDATE($A209,1)))</f>
        <v/>
      </c>
      <c r="J209" s="23">
        <f>IF($BM209=0,NA(),H209)</f>
        <v/>
      </c>
      <c r="K209" s="23">
        <f>IF($BM209=0,"",SUMIFS(Entries!$E$2:$E$5000,Entries!$C$2:$C$5000,"Income",Entries!$A$2:$A$5000,"&gt;="&amp;EDATE($A209,-11),Entries!$A$2:$A$5000,"&lt;"&amp;EDATE($A209,1))/COUNTIFS($A$2:$A$400,"&gt;="&amp;EDATE($A209,-11),$A$2:$A$400,"&lt;"&amp;EDATE($A209,1),$BM$2:$BM$400,"&gt;0"))</f>
      </c>
      <c r="L209" s="23">
        <f>IF($BM209=0,"",(SUMIFS(Entries!$E$2:$E$5000,Entries!$C$2:$C$5000,"Actual",Entries!$A$2:$A$5000,"&gt;="&amp;EDATE($A209,-11),Entries!$A$2:$A$5000,"&lt;"&amp;EDATE($A209,1))+SUMIFS(Entries!$E$2:$E$5000,Entries!$C$2:$C$5000,"One-off",Entries!$A$2:$A$5000,"&gt;="&amp;EDATE($A209,-11),Entries!$A$2:$A$5000,"&lt;"&amp;EDATE($A209,1)))/COUNTIFS($A$2:$A$400,"&gt;="&amp;EDATE($A209,-11),$A$2:$A$400,"&lt;"&amp;EDATE($A209,1),$BM$2:$BM$400,"&gt;0"))</f>
      </c>
      <c r="M209" s="24">
        <f>IF($BM209=0,NA(),IFERROR((K209-L209)/K209,0))</f>
        <v/>
      </c>
      <c r="N209" s="23">
        <f>IF($BM209=0,NA(),SUMIFS(Entries!$E$2:$E$5000,Entries!$D$2:$D$5000,"Core",Entries!$A$2:$A$5000,"&gt;="&amp;$A209,Entries!$A$2:$A$5000,"&lt;"&amp;EDATE($A209,1)))</f>
        <v/>
      </c>
      <c r="O209" s="23">
        <f>IF($BM209=0,NA(),SUMIFS(Entries!$E$2:$E$5000,Entries!$D$2:$D$5000,"Over &amp; above",Entries!$A$2:$A$5000,"&gt;="&amp;$A209,Entries!$A$2:$A$5000,"&lt;"&amp;EDATE($A209,1)))</f>
        <v/>
      </c>
      <c r="P209" s="23">
        <f>IF($BM209=0,NA(),SUMIFS(Entries!$E$2:$E$5000,Entries!$D$2:$D$5000,"One-off",Entries!$A$2:$A$5000,"&gt;="&amp;$A209,Entries!$A$2:$A$5000,"&lt;"&amp;EDATE($A209,1)))</f>
        <v/>
      </c>
      <c r="Q209" s="23">
        <f>IF($BM209=0,NA(),SUMIFS(Entries!$E$2:$E$5000,Entries!$D$2:$D$5000,"Reimbursable",Entries!$A$2:$A$5000,"&gt;="&amp;$A209,Entries!$A$2:$A$5000,"&lt;"&amp;EDATE($A209,1)))</f>
        <v/>
      </c>
      <c r="R209" s="23">
        <f>IF($BM209=0,NA(),SUMIFS(Entries!$E$2:$E$5000,Entries!$D$2:$D$5000,"Investment",Entries!$A$2:$A$5000,"&gt;="&amp;$A209,Entries!$A$2:$A$5000,"&lt;"&amp;EDATE($A209,1)))</f>
        <v/>
      </c>
      <c r="S209" s="23">
        <f>IF($BM209=0,NA(),N209+O209)</f>
        <v/>
      </c>
      <c r="T209" s="23">
        <f>IF($BM209=0,"",E209-Q209)</f>
        <v/>
      </c>
      <c r="W209" s="23">
        <f>IF(OR(W$1="",$BM209=0),"",SUMIFS(Entries!$E$2:$E$5000,Entries!$C$2:$C$5000,"Actual",Entries!$A$2:$A$5000,"&gt;="&amp;$A209,Entries!$A$2:$A$5000,"&lt;"&amp;EDATE($A209,1),Entries!$B$2:$B$5000,W$1))</f>
        <v/>
      </c>
      <c r="X209" s="23">
        <f>IF(OR(X$1="",$BM209=0),"",SUMIFS(Entries!$E$2:$E$5000,Entries!$C$2:$C$5000,"Actual",Entries!$A$2:$A$5000,"&gt;="&amp;$A209,Entries!$A$2:$A$5000,"&lt;"&amp;EDATE($A209,1),Entries!$B$2:$B$5000,X$1))</f>
        <v/>
      </c>
      <c r="Y209" s="23">
        <f>IF(OR(Y$1="",$BM209=0),"",SUMIFS(Entries!$E$2:$E$5000,Entries!$C$2:$C$5000,"Actual",Entries!$A$2:$A$5000,"&gt;="&amp;$A209,Entries!$A$2:$A$5000,"&lt;"&amp;EDATE($A209,1),Entries!$B$2:$B$5000,Y$1))</f>
        <v/>
      </c>
      <c r="Z209" s="23">
        <f>IF(OR(Z$1="",$BM209=0),"",SUMIFS(Entries!$E$2:$E$5000,Entries!$C$2:$C$5000,"Actual",Entries!$A$2:$A$5000,"&gt;="&amp;$A209,Entries!$A$2:$A$5000,"&lt;"&amp;EDATE($A209,1),Entries!$B$2:$B$5000,Z$1))</f>
        <v/>
      </c>
      <c r="AA209" s="23">
        <f>IF(OR(AA$1="",$BM209=0),"",SUMIFS(Entries!$E$2:$E$5000,Entries!$C$2:$C$5000,"Actual",Entries!$A$2:$A$5000,"&gt;="&amp;$A209,Entries!$A$2:$A$5000,"&lt;"&amp;EDATE($A209,1),Entries!$B$2:$B$5000,AA$1))</f>
        <v/>
      </c>
      <c r="AB209" s="23">
        <f>IF(OR(AB$1="",$BM209=0),"",SUMIFS(Entries!$E$2:$E$5000,Entries!$C$2:$C$5000,"Actual",Entries!$A$2:$A$5000,"&gt;="&amp;$A209,Entries!$A$2:$A$5000,"&lt;"&amp;EDATE($A209,1),Entries!$B$2:$B$5000,AB$1))</f>
        <v/>
      </c>
      <c r="AC209" s="23">
        <f>IF(OR(AC$1="",$BM209=0),"",SUMIFS(Entries!$E$2:$E$5000,Entries!$C$2:$C$5000,"Actual",Entries!$A$2:$A$5000,"&gt;="&amp;$A209,Entries!$A$2:$A$5000,"&lt;"&amp;EDATE($A209,1),Entries!$B$2:$B$5000,AC$1))</f>
        <v/>
      </c>
      <c r="AD209" s="23">
        <f>IF(OR(AD$1="",$BM209=0),"",SUMIFS(Entries!$E$2:$E$5000,Entries!$C$2:$C$5000,"Actual",Entries!$A$2:$A$5000,"&gt;="&amp;$A209,Entries!$A$2:$A$5000,"&lt;"&amp;EDATE($A209,1),Entries!$B$2:$B$5000,AD$1))</f>
        <v/>
      </c>
      <c r="AE209" s="23">
        <f>IF(OR(AE$1="",$BM209=0),"",SUMIFS(Entries!$E$2:$E$5000,Entries!$C$2:$C$5000,"Actual",Entries!$A$2:$A$5000,"&gt;="&amp;$A209,Entries!$A$2:$A$5000,"&lt;"&amp;EDATE($A209,1),Entries!$B$2:$B$5000,AE$1))</f>
        <v/>
      </c>
      <c r="AF209" s="23">
        <f>IF(OR(AF$1="",$BM209=0),"",SUMIFS(Entries!$E$2:$E$5000,Entries!$C$2:$C$5000,"Actual",Entries!$A$2:$A$5000,"&gt;="&amp;$A209,Entries!$A$2:$A$5000,"&lt;"&amp;EDATE($A209,1),Entries!$B$2:$B$5000,AF$1))</f>
        <v/>
      </c>
      <c r="AG209" s="23">
        <f>IF(OR(AG$1="",$BM209=0),"",SUMIFS(Entries!$E$2:$E$5000,Entries!$C$2:$C$5000,"Actual",Entries!$A$2:$A$5000,"&gt;="&amp;$A209,Entries!$A$2:$A$5000,"&lt;"&amp;EDATE($A209,1),Entries!$B$2:$B$5000,AG$1))</f>
        <v/>
      </c>
      <c r="AH209" s="23">
        <f>IF(OR(AH$1="",$BM209=0),"",SUMIFS(Entries!$E$2:$E$5000,Entries!$C$2:$C$5000,"Actual",Entries!$A$2:$A$5000,"&gt;="&amp;$A209,Entries!$A$2:$A$5000,"&lt;"&amp;EDATE($A209,1),Entries!$B$2:$B$5000,AH$1))</f>
        <v/>
      </c>
      <c r="AI209" s="23">
        <f>IF(OR(AI$1="",$BM209=0),"",SUMIFS(Entries!$E$2:$E$5000,Entries!$C$2:$C$5000,"Actual",Entries!$A$2:$A$5000,"&gt;="&amp;$A209,Entries!$A$2:$A$5000,"&lt;"&amp;EDATE($A209,1),Entries!$B$2:$B$5000,AI$1))</f>
        <v/>
      </c>
      <c r="AJ209" s="23">
        <f>IF(OR(AJ$1="",$BM209=0),"",SUMIFS(Entries!$E$2:$E$5000,Entries!$C$2:$C$5000,"Actual",Entries!$A$2:$A$5000,"&gt;="&amp;$A209,Entries!$A$2:$A$5000,"&lt;"&amp;EDATE($A209,1),Entries!$B$2:$B$5000,AJ$1))</f>
        <v/>
      </c>
      <c r="AK209" s="23">
        <f>IF(OR(AK$1="",$BM209=0),"",SUMIFS(Entries!$E$2:$E$5000,Entries!$C$2:$C$5000,"Actual",Entries!$A$2:$A$5000,"&gt;="&amp;$A209,Entries!$A$2:$A$5000,"&lt;"&amp;EDATE($A209,1),Entries!$B$2:$B$5000,AK$1))</f>
        <v/>
      </c>
      <c r="AL209" s="23">
        <f>IF(OR(AL$1="",$BM209=0),"",SUMIFS(Entries!$E$2:$E$5000,Entries!$C$2:$C$5000,"Actual",Entries!$A$2:$A$5000,"&gt;="&amp;$A209,Entries!$A$2:$A$5000,"&lt;"&amp;EDATE($A209,1),Entries!$B$2:$B$5000,AL$1))</f>
        <v/>
      </c>
      <c r="AM209" s="23">
        <f>IF(OR(AM$1="",$BM209=0),"",SUMIFS(Entries!$E$2:$E$5000,Entries!$C$2:$C$5000,"Actual",Entries!$A$2:$A$5000,"&gt;="&amp;$A209,Entries!$A$2:$A$5000,"&lt;"&amp;EDATE($A209,1),Entries!$B$2:$B$5000,AM$1))</f>
        <v/>
      </c>
      <c r="AN209" s="23">
        <f>IF(OR(AN$1="",$BM209=0),"",SUMIFS(Entries!$E$2:$E$5000,Entries!$C$2:$C$5000,"Actual",Entries!$A$2:$A$5000,"&gt;="&amp;$A209,Entries!$A$2:$A$5000,"&lt;"&amp;EDATE($A209,1),Entries!$B$2:$B$5000,AN$1))</f>
        <v/>
      </c>
      <c r="AO209" s="23">
        <f>IF(OR(AO$1="",$BM209=0),"",SUMIFS(Entries!$E$2:$E$5000,Entries!$C$2:$C$5000,"Actual",Entries!$A$2:$A$5000,"&gt;="&amp;$A209,Entries!$A$2:$A$5000,"&lt;"&amp;EDATE($A209,1),Entries!$B$2:$B$5000,AO$1))</f>
        <v/>
      </c>
      <c r="AP209" s="23">
        <f>IF(OR(AP$1="",$BM209=0),"",SUMIFS(Entries!$E$2:$E$5000,Entries!$C$2:$C$5000,"Actual",Entries!$A$2:$A$5000,"&gt;="&amp;$A209,Entries!$A$2:$A$5000,"&lt;"&amp;EDATE($A209,1),Entries!$B$2:$B$5000,AP$1))</f>
        <v/>
      </c>
      <c r="AR209" s="23">
        <f>IF(OR(AR$1="",$BM209=0),"",IFERROR(LOOKUP(2,1/((Budgets!$A$2:$A$200=AR$1)*(Budgets!$B$2:$B$200&lt;EDATE($A209,1))),Budgets!$C$2:$C$200),0))</f>
        <v/>
      </c>
      <c r="AS209" s="23">
        <f>IF(OR(AS$1="",$BM209=0),"",IFERROR(LOOKUP(2,1/((Budgets!$A$2:$A$200=AS$1)*(Budgets!$B$2:$B$200&lt;EDATE($A209,1))),Budgets!$C$2:$C$200),0))</f>
        <v/>
      </c>
      <c r="AT209" s="23">
        <f>IF(OR(AT$1="",$BM209=0),"",IFERROR(LOOKUP(2,1/((Budgets!$A$2:$A$200=AT$1)*(Budgets!$B$2:$B$200&lt;EDATE($A209,1))),Budgets!$C$2:$C$200),0))</f>
        <v/>
      </c>
      <c r="AU209" s="23">
        <f>IF(OR(AU$1="",$BM209=0),"",IFERROR(LOOKUP(2,1/((Budgets!$A$2:$A$200=AU$1)*(Budgets!$B$2:$B$200&lt;EDATE($A209,1))),Budgets!$C$2:$C$200),0))</f>
        <v/>
      </c>
      <c r="AV209" s="23">
        <f>IF(OR(AV$1="",$BM209=0),"",IFERROR(LOOKUP(2,1/((Budgets!$A$2:$A$200=AV$1)*(Budgets!$B$2:$B$200&lt;EDATE($A209,1))),Budgets!$C$2:$C$200),0))</f>
        <v/>
      </c>
      <c r="AW209" s="23">
        <f>IF(OR(AW$1="",$BM209=0),"",IFERROR(LOOKUP(2,1/((Budgets!$A$2:$A$200=AW$1)*(Budgets!$B$2:$B$200&lt;EDATE($A209,1))),Budgets!$C$2:$C$200),0))</f>
        <v/>
      </c>
      <c r="AX209" s="23">
        <f>IF(OR(AX$1="",$BM209=0),"",IFERROR(LOOKUP(2,1/((Budgets!$A$2:$A$200=AX$1)*(Budgets!$B$2:$B$200&lt;EDATE($A209,1))),Budgets!$C$2:$C$200),0))</f>
        <v/>
      </c>
      <c r="AY209" s="23">
        <f>IF(OR(AY$1="",$BM209=0),"",IFERROR(LOOKUP(2,1/((Budgets!$A$2:$A$200=AY$1)*(Budgets!$B$2:$B$200&lt;EDATE($A209,1))),Budgets!$C$2:$C$200),0))</f>
        <v/>
      </c>
      <c r="AZ209" s="23">
        <f>IF(OR(AZ$1="",$BM209=0),"",IFERROR(LOOKUP(2,1/((Budgets!$A$2:$A$200=AZ$1)*(Budgets!$B$2:$B$200&lt;EDATE($A209,1))),Budgets!$C$2:$C$200),0))</f>
        <v/>
      </c>
      <c r="BA209" s="23">
        <f>IF(OR(BA$1="",$BM209=0),"",IFERROR(LOOKUP(2,1/((Budgets!$A$2:$A$200=BA$1)*(Budgets!$B$2:$B$200&lt;EDATE($A209,1))),Budgets!$C$2:$C$200),0))</f>
        <v/>
      </c>
      <c r="BB209" s="23">
        <f>IF(OR(BB$1="",$BM209=0),"",IFERROR(LOOKUP(2,1/((Budgets!$A$2:$A$200=BB$1)*(Budgets!$B$2:$B$200&lt;EDATE($A209,1))),Budgets!$C$2:$C$200),0))</f>
        <v/>
      </c>
      <c r="BC209" s="23">
        <f>IF(OR(BC$1="",$BM209=0),"",IFERROR(LOOKUP(2,1/((Budgets!$A$2:$A$200=BC$1)*(Budgets!$B$2:$B$200&lt;EDATE($A209,1))),Budgets!$C$2:$C$200),0))</f>
        <v/>
      </c>
      <c r="BD209" s="23">
        <f>IF(OR(BD$1="",$BM209=0),"",IFERROR(LOOKUP(2,1/((Budgets!$A$2:$A$200=BD$1)*(Budgets!$B$2:$B$200&lt;EDATE($A209,1))),Budgets!$C$2:$C$200),0))</f>
        <v/>
      </c>
      <c r="BE209" s="23">
        <f>IF(OR(BE$1="",$BM209=0),"",IFERROR(LOOKUP(2,1/((Budgets!$A$2:$A$200=BE$1)*(Budgets!$B$2:$B$200&lt;EDATE($A209,1))),Budgets!$C$2:$C$200),0))</f>
        <v/>
      </c>
      <c r="BF209" s="23">
        <f>IF(OR(BF$1="",$BM209=0),"",IFERROR(LOOKUP(2,1/((Budgets!$A$2:$A$200=BF$1)*(Budgets!$B$2:$B$200&lt;EDATE($A209,1))),Budgets!$C$2:$C$200),0))</f>
        <v/>
      </c>
      <c r="BG209" s="23">
        <f>IF(OR(BG$1="",$BM209=0),"",IFERROR(LOOKUP(2,1/((Budgets!$A$2:$A$200=BG$1)*(Budgets!$B$2:$B$200&lt;EDATE($A209,1))),Budgets!$C$2:$C$200),0))</f>
        <v/>
      </c>
      <c r="BH209" s="23">
        <f>IF(OR(BH$1="",$BM209=0),"",IFERROR(LOOKUP(2,1/((Budgets!$A$2:$A$200=BH$1)*(Budgets!$B$2:$B$200&lt;EDATE($A209,1))),Budgets!$C$2:$C$200),0))</f>
        <v/>
      </c>
      <c r="BI209" s="23">
        <f>IF(OR(BI$1="",$BM209=0),"",IFERROR(LOOKUP(2,1/((Budgets!$A$2:$A$200=BI$1)*(Budgets!$B$2:$B$200&lt;EDATE($A209,1))),Budgets!$C$2:$C$200),0))</f>
        <v/>
      </c>
      <c r="BJ209" s="23">
        <f>IF(OR(BJ$1="",$BM209=0),"",IFERROR(LOOKUP(2,1/((Budgets!$A$2:$A$200=BJ$1)*(Budgets!$B$2:$B$200&lt;EDATE($A209,1))),Budgets!$C$2:$C$200),0))</f>
        <v/>
      </c>
      <c r="BK209" s="23">
        <f>IF(OR(BK$1="",$BM209=0),"",IFERROR(LOOKUP(2,1/((Budgets!$A$2:$A$200=BK$1)*(Budgets!$B$2:$B$200&lt;EDATE($A209,1))),Budgets!$C$2:$C$200),0))</f>
        <v/>
      </c>
      <c r="BM209" s="21">
        <f>COUNTIFS(Entries!$A$2:$A$5000,"&gt;="&amp;$A209,Entries!$A$2:$A$5000,"&lt;"&amp;EDATE($A209,1))</f>
        <v/>
      </c>
    </row>
    <row r="210">
      <c r="A210" s="22" t="n">
        <v>45778</v>
      </c>
      <c r="B210" s="23">
        <f>IF($BM210=0,NA(),SUMIFS(Entries!$E$2:$E$5000,Entries!$C$2:$C$5000,"Income",Entries!$A$2:$A$5000,"&gt;="&amp;$A210,Entries!$A$2:$A$5000,"&lt;"&amp;EDATE($A210,1)))</f>
        <v/>
      </c>
      <c r="C210" s="23">
        <f>IF($BM210=0,"",SUMIFS(Entries!$E$2:$E$5000,Entries!$C$2:$C$5000,"Actual",Entries!$A$2:$A$5000,"&gt;="&amp;$A210,Entries!$A$2:$A$5000,"&lt;"&amp;EDATE($A210,1)))</f>
        <v/>
      </c>
      <c r="D210" s="23">
        <f>IF($BM210=0,"",SUMIFS(Entries!$E$2:$E$5000,Entries!$C$2:$C$5000,"One-off",Entries!$A$2:$A$5000,"&gt;="&amp;$A210,Entries!$A$2:$A$5000,"&lt;"&amp;EDATE($A210,1)))</f>
        <v/>
      </c>
      <c r="E210" s="23">
        <f>IF($BM210=0,NA(),C210+D210)</f>
        <v/>
      </c>
      <c r="F210" s="23">
        <f>IF($BM210=0,"",SUM(AR210:BK210))</f>
        <v/>
      </c>
      <c r="G210" s="23">
        <f>IF($BM210=0,"",B210-E210)</f>
        <v/>
      </c>
      <c r="H210" s="23">
        <f>IF($BM210=0,"",SUM($G$2:G210))</f>
        <v/>
      </c>
      <c r="I210" s="23">
        <f>IF($BM210=0,"",SUMIFS(Entries!$G$2:$G$5000,Entries!$A$2:$A$5000,"&gt;="&amp;$A210,Entries!$A$2:$A$5000,"&lt;"&amp;EDATE($A210,1)))</f>
        <v/>
      </c>
      <c r="J210" s="23">
        <f>IF($BM210=0,NA(),H210)</f>
        <v/>
      </c>
      <c r="K210" s="23">
        <f>IF($BM210=0,"",SUMIFS(Entries!$E$2:$E$5000,Entries!$C$2:$C$5000,"Income",Entries!$A$2:$A$5000,"&gt;="&amp;EDATE($A210,-11),Entries!$A$2:$A$5000,"&lt;"&amp;EDATE($A210,1))/COUNTIFS($A$2:$A$400,"&gt;="&amp;EDATE($A210,-11),$A$2:$A$400,"&lt;"&amp;EDATE($A210,1),$BM$2:$BM$400,"&gt;0"))</f>
      </c>
      <c r="L210" s="23">
        <f>IF($BM210=0,"",(SUMIFS(Entries!$E$2:$E$5000,Entries!$C$2:$C$5000,"Actual",Entries!$A$2:$A$5000,"&gt;="&amp;EDATE($A210,-11),Entries!$A$2:$A$5000,"&lt;"&amp;EDATE($A210,1))+SUMIFS(Entries!$E$2:$E$5000,Entries!$C$2:$C$5000,"One-off",Entries!$A$2:$A$5000,"&gt;="&amp;EDATE($A210,-11),Entries!$A$2:$A$5000,"&lt;"&amp;EDATE($A210,1)))/COUNTIFS($A$2:$A$400,"&gt;="&amp;EDATE($A210,-11),$A$2:$A$400,"&lt;"&amp;EDATE($A210,1),$BM$2:$BM$400,"&gt;0"))</f>
      </c>
      <c r="M210" s="24">
        <f>IF($BM210=0,NA(),IFERROR((K210-L210)/K210,0))</f>
        <v/>
      </c>
      <c r="N210" s="23">
        <f>IF($BM210=0,NA(),SUMIFS(Entries!$E$2:$E$5000,Entries!$D$2:$D$5000,"Core",Entries!$A$2:$A$5000,"&gt;="&amp;$A210,Entries!$A$2:$A$5000,"&lt;"&amp;EDATE($A210,1)))</f>
        <v/>
      </c>
      <c r="O210" s="23">
        <f>IF($BM210=0,NA(),SUMIFS(Entries!$E$2:$E$5000,Entries!$D$2:$D$5000,"Over &amp; above",Entries!$A$2:$A$5000,"&gt;="&amp;$A210,Entries!$A$2:$A$5000,"&lt;"&amp;EDATE($A210,1)))</f>
        <v/>
      </c>
      <c r="P210" s="23">
        <f>IF($BM210=0,NA(),SUMIFS(Entries!$E$2:$E$5000,Entries!$D$2:$D$5000,"One-off",Entries!$A$2:$A$5000,"&gt;="&amp;$A210,Entries!$A$2:$A$5000,"&lt;"&amp;EDATE($A210,1)))</f>
        <v/>
      </c>
      <c r="Q210" s="23">
        <f>IF($BM210=0,NA(),SUMIFS(Entries!$E$2:$E$5000,Entries!$D$2:$D$5000,"Reimbursable",Entries!$A$2:$A$5000,"&gt;="&amp;$A210,Entries!$A$2:$A$5000,"&lt;"&amp;EDATE($A210,1)))</f>
        <v/>
      </c>
      <c r="R210" s="23">
        <f>IF($BM210=0,NA(),SUMIFS(Entries!$E$2:$E$5000,Entries!$D$2:$D$5000,"Investment",Entries!$A$2:$A$5000,"&gt;="&amp;$A210,Entries!$A$2:$A$5000,"&lt;"&amp;EDATE($A210,1)))</f>
        <v/>
      </c>
      <c r="S210" s="23">
        <f>IF($BM210=0,NA(),N210+O210)</f>
        <v/>
      </c>
      <c r="T210" s="23">
        <f>IF($BM210=0,"",E210-Q210)</f>
        <v/>
      </c>
      <c r="W210" s="23">
        <f>IF(OR(W$1="",$BM210=0),"",SUMIFS(Entries!$E$2:$E$5000,Entries!$C$2:$C$5000,"Actual",Entries!$A$2:$A$5000,"&gt;="&amp;$A210,Entries!$A$2:$A$5000,"&lt;"&amp;EDATE($A210,1),Entries!$B$2:$B$5000,W$1))</f>
        <v/>
      </c>
      <c r="X210" s="23">
        <f>IF(OR(X$1="",$BM210=0),"",SUMIFS(Entries!$E$2:$E$5000,Entries!$C$2:$C$5000,"Actual",Entries!$A$2:$A$5000,"&gt;="&amp;$A210,Entries!$A$2:$A$5000,"&lt;"&amp;EDATE($A210,1),Entries!$B$2:$B$5000,X$1))</f>
        <v/>
      </c>
      <c r="Y210" s="23">
        <f>IF(OR(Y$1="",$BM210=0),"",SUMIFS(Entries!$E$2:$E$5000,Entries!$C$2:$C$5000,"Actual",Entries!$A$2:$A$5000,"&gt;="&amp;$A210,Entries!$A$2:$A$5000,"&lt;"&amp;EDATE($A210,1),Entries!$B$2:$B$5000,Y$1))</f>
        <v/>
      </c>
      <c r="Z210" s="23">
        <f>IF(OR(Z$1="",$BM210=0),"",SUMIFS(Entries!$E$2:$E$5000,Entries!$C$2:$C$5000,"Actual",Entries!$A$2:$A$5000,"&gt;="&amp;$A210,Entries!$A$2:$A$5000,"&lt;"&amp;EDATE($A210,1),Entries!$B$2:$B$5000,Z$1))</f>
        <v/>
      </c>
      <c r="AA210" s="23">
        <f>IF(OR(AA$1="",$BM210=0),"",SUMIFS(Entries!$E$2:$E$5000,Entries!$C$2:$C$5000,"Actual",Entries!$A$2:$A$5000,"&gt;="&amp;$A210,Entries!$A$2:$A$5000,"&lt;"&amp;EDATE($A210,1),Entries!$B$2:$B$5000,AA$1))</f>
        <v/>
      </c>
      <c r="AB210" s="23">
        <f>IF(OR(AB$1="",$BM210=0),"",SUMIFS(Entries!$E$2:$E$5000,Entries!$C$2:$C$5000,"Actual",Entries!$A$2:$A$5000,"&gt;="&amp;$A210,Entries!$A$2:$A$5000,"&lt;"&amp;EDATE($A210,1),Entries!$B$2:$B$5000,AB$1))</f>
        <v/>
      </c>
      <c r="AC210" s="23">
        <f>IF(OR(AC$1="",$BM210=0),"",SUMIFS(Entries!$E$2:$E$5000,Entries!$C$2:$C$5000,"Actual",Entries!$A$2:$A$5000,"&gt;="&amp;$A210,Entries!$A$2:$A$5000,"&lt;"&amp;EDATE($A210,1),Entries!$B$2:$B$5000,AC$1))</f>
        <v/>
      </c>
      <c r="AD210" s="23">
        <f>IF(OR(AD$1="",$BM210=0),"",SUMIFS(Entries!$E$2:$E$5000,Entries!$C$2:$C$5000,"Actual",Entries!$A$2:$A$5000,"&gt;="&amp;$A210,Entries!$A$2:$A$5000,"&lt;"&amp;EDATE($A210,1),Entries!$B$2:$B$5000,AD$1))</f>
        <v/>
      </c>
      <c r="AE210" s="23">
        <f>IF(OR(AE$1="",$BM210=0),"",SUMIFS(Entries!$E$2:$E$5000,Entries!$C$2:$C$5000,"Actual",Entries!$A$2:$A$5000,"&gt;="&amp;$A210,Entries!$A$2:$A$5000,"&lt;"&amp;EDATE($A210,1),Entries!$B$2:$B$5000,AE$1))</f>
        <v/>
      </c>
      <c r="AF210" s="23">
        <f>IF(OR(AF$1="",$BM210=0),"",SUMIFS(Entries!$E$2:$E$5000,Entries!$C$2:$C$5000,"Actual",Entries!$A$2:$A$5000,"&gt;="&amp;$A210,Entries!$A$2:$A$5000,"&lt;"&amp;EDATE($A210,1),Entries!$B$2:$B$5000,AF$1))</f>
        <v/>
      </c>
      <c r="AG210" s="23">
        <f>IF(OR(AG$1="",$BM210=0),"",SUMIFS(Entries!$E$2:$E$5000,Entries!$C$2:$C$5000,"Actual",Entries!$A$2:$A$5000,"&gt;="&amp;$A210,Entries!$A$2:$A$5000,"&lt;"&amp;EDATE($A210,1),Entries!$B$2:$B$5000,AG$1))</f>
        <v/>
      </c>
      <c r="AH210" s="23">
        <f>IF(OR(AH$1="",$BM210=0),"",SUMIFS(Entries!$E$2:$E$5000,Entries!$C$2:$C$5000,"Actual",Entries!$A$2:$A$5000,"&gt;="&amp;$A210,Entries!$A$2:$A$5000,"&lt;"&amp;EDATE($A210,1),Entries!$B$2:$B$5000,AH$1))</f>
        <v/>
      </c>
      <c r="AI210" s="23">
        <f>IF(OR(AI$1="",$BM210=0),"",SUMIFS(Entries!$E$2:$E$5000,Entries!$C$2:$C$5000,"Actual",Entries!$A$2:$A$5000,"&gt;="&amp;$A210,Entries!$A$2:$A$5000,"&lt;"&amp;EDATE($A210,1),Entries!$B$2:$B$5000,AI$1))</f>
        <v/>
      </c>
      <c r="AJ210" s="23">
        <f>IF(OR(AJ$1="",$BM210=0),"",SUMIFS(Entries!$E$2:$E$5000,Entries!$C$2:$C$5000,"Actual",Entries!$A$2:$A$5000,"&gt;="&amp;$A210,Entries!$A$2:$A$5000,"&lt;"&amp;EDATE($A210,1),Entries!$B$2:$B$5000,AJ$1))</f>
        <v/>
      </c>
      <c r="AK210" s="23">
        <f>IF(OR(AK$1="",$BM210=0),"",SUMIFS(Entries!$E$2:$E$5000,Entries!$C$2:$C$5000,"Actual",Entries!$A$2:$A$5000,"&gt;="&amp;$A210,Entries!$A$2:$A$5000,"&lt;"&amp;EDATE($A210,1),Entries!$B$2:$B$5000,AK$1))</f>
        <v/>
      </c>
      <c r="AL210" s="23">
        <f>IF(OR(AL$1="",$BM210=0),"",SUMIFS(Entries!$E$2:$E$5000,Entries!$C$2:$C$5000,"Actual",Entries!$A$2:$A$5000,"&gt;="&amp;$A210,Entries!$A$2:$A$5000,"&lt;"&amp;EDATE($A210,1),Entries!$B$2:$B$5000,AL$1))</f>
        <v/>
      </c>
      <c r="AM210" s="23">
        <f>IF(OR(AM$1="",$BM210=0),"",SUMIFS(Entries!$E$2:$E$5000,Entries!$C$2:$C$5000,"Actual",Entries!$A$2:$A$5000,"&gt;="&amp;$A210,Entries!$A$2:$A$5000,"&lt;"&amp;EDATE($A210,1),Entries!$B$2:$B$5000,AM$1))</f>
        <v/>
      </c>
      <c r="AN210" s="23">
        <f>IF(OR(AN$1="",$BM210=0),"",SUMIFS(Entries!$E$2:$E$5000,Entries!$C$2:$C$5000,"Actual",Entries!$A$2:$A$5000,"&gt;="&amp;$A210,Entries!$A$2:$A$5000,"&lt;"&amp;EDATE($A210,1),Entries!$B$2:$B$5000,AN$1))</f>
        <v/>
      </c>
      <c r="AO210" s="23">
        <f>IF(OR(AO$1="",$BM210=0),"",SUMIFS(Entries!$E$2:$E$5000,Entries!$C$2:$C$5000,"Actual",Entries!$A$2:$A$5000,"&gt;="&amp;$A210,Entries!$A$2:$A$5000,"&lt;"&amp;EDATE($A210,1),Entries!$B$2:$B$5000,AO$1))</f>
        <v/>
      </c>
      <c r="AP210" s="23">
        <f>IF(OR(AP$1="",$BM210=0),"",SUMIFS(Entries!$E$2:$E$5000,Entries!$C$2:$C$5000,"Actual",Entries!$A$2:$A$5000,"&gt;="&amp;$A210,Entries!$A$2:$A$5000,"&lt;"&amp;EDATE($A210,1),Entries!$B$2:$B$5000,AP$1))</f>
        <v/>
      </c>
      <c r="AR210" s="23">
        <f>IF(OR(AR$1="",$BM210=0),"",IFERROR(LOOKUP(2,1/((Budgets!$A$2:$A$200=AR$1)*(Budgets!$B$2:$B$200&lt;EDATE($A210,1))),Budgets!$C$2:$C$200),0))</f>
        <v/>
      </c>
      <c r="AS210" s="23">
        <f>IF(OR(AS$1="",$BM210=0),"",IFERROR(LOOKUP(2,1/((Budgets!$A$2:$A$200=AS$1)*(Budgets!$B$2:$B$200&lt;EDATE($A210,1))),Budgets!$C$2:$C$200),0))</f>
        <v/>
      </c>
      <c r="AT210" s="23">
        <f>IF(OR(AT$1="",$BM210=0),"",IFERROR(LOOKUP(2,1/((Budgets!$A$2:$A$200=AT$1)*(Budgets!$B$2:$B$200&lt;EDATE($A210,1))),Budgets!$C$2:$C$200),0))</f>
        <v/>
      </c>
      <c r="AU210" s="23">
        <f>IF(OR(AU$1="",$BM210=0),"",IFERROR(LOOKUP(2,1/((Budgets!$A$2:$A$200=AU$1)*(Budgets!$B$2:$B$200&lt;EDATE($A210,1))),Budgets!$C$2:$C$200),0))</f>
        <v/>
      </c>
      <c r="AV210" s="23">
        <f>IF(OR(AV$1="",$BM210=0),"",IFERROR(LOOKUP(2,1/((Budgets!$A$2:$A$200=AV$1)*(Budgets!$B$2:$B$200&lt;EDATE($A210,1))),Budgets!$C$2:$C$200),0))</f>
        <v/>
      </c>
      <c r="AW210" s="23">
        <f>IF(OR(AW$1="",$BM210=0),"",IFERROR(LOOKUP(2,1/((Budgets!$A$2:$A$200=AW$1)*(Budgets!$B$2:$B$200&lt;EDATE($A210,1))),Budgets!$C$2:$C$200),0))</f>
        <v/>
      </c>
      <c r="AX210" s="23">
        <f>IF(OR(AX$1="",$BM210=0),"",IFERROR(LOOKUP(2,1/((Budgets!$A$2:$A$200=AX$1)*(Budgets!$B$2:$B$200&lt;EDATE($A210,1))),Budgets!$C$2:$C$200),0))</f>
        <v/>
      </c>
      <c r="AY210" s="23">
        <f>IF(OR(AY$1="",$BM210=0),"",IFERROR(LOOKUP(2,1/((Budgets!$A$2:$A$200=AY$1)*(Budgets!$B$2:$B$200&lt;EDATE($A210,1))),Budgets!$C$2:$C$200),0))</f>
        <v/>
      </c>
      <c r="AZ210" s="23">
        <f>IF(OR(AZ$1="",$BM210=0),"",IFERROR(LOOKUP(2,1/((Budgets!$A$2:$A$200=AZ$1)*(Budgets!$B$2:$B$200&lt;EDATE($A210,1))),Budgets!$C$2:$C$200),0))</f>
        <v/>
      </c>
      <c r="BA210" s="23">
        <f>IF(OR(BA$1="",$BM210=0),"",IFERROR(LOOKUP(2,1/((Budgets!$A$2:$A$200=BA$1)*(Budgets!$B$2:$B$200&lt;EDATE($A210,1))),Budgets!$C$2:$C$200),0))</f>
        <v/>
      </c>
      <c r="BB210" s="23">
        <f>IF(OR(BB$1="",$BM210=0),"",IFERROR(LOOKUP(2,1/((Budgets!$A$2:$A$200=BB$1)*(Budgets!$B$2:$B$200&lt;EDATE($A210,1))),Budgets!$C$2:$C$200),0))</f>
        <v/>
      </c>
      <c r="BC210" s="23">
        <f>IF(OR(BC$1="",$BM210=0),"",IFERROR(LOOKUP(2,1/((Budgets!$A$2:$A$200=BC$1)*(Budgets!$B$2:$B$200&lt;EDATE($A210,1))),Budgets!$C$2:$C$200),0))</f>
        <v/>
      </c>
      <c r="BD210" s="23">
        <f>IF(OR(BD$1="",$BM210=0),"",IFERROR(LOOKUP(2,1/((Budgets!$A$2:$A$200=BD$1)*(Budgets!$B$2:$B$200&lt;EDATE($A210,1))),Budgets!$C$2:$C$200),0))</f>
        <v/>
      </c>
      <c r="BE210" s="23">
        <f>IF(OR(BE$1="",$BM210=0),"",IFERROR(LOOKUP(2,1/((Budgets!$A$2:$A$200=BE$1)*(Budgets!$B$2:$B$200&lt;EDATE($A210,1))),Budgets!$C$2:$C$200),0))</f>
        <v/>
      </c>
      <c r="BF210" s="23">
        <f>IF(OR(BF$1="",$BM210=0),"",IFERROR(LOOKUP(2,1/((Budgets!$A$2:$A$200=BF$1)*(Budgets!$B$2:$B$200&lt;EDATE($A210,1))),Budgets!$C$2:$C$200),0))</f>
        <v/>
      </c>
      <c r="BG210" s="23">
        <f>IF(OR(BG$1="",$BM210=0),"",IFERROR(LOOKUP(2,1/((Budgets!$A$2:$A$200=BG$1)*(Budgets!$B$2:$B$200&lt;EDATE($A210,1))),Budgets!$C$2:$C$200),0))</f>
        <v/>
      </c>
      <c r="BH210" s="23">
        <f>IF(OR(BH$1="",$BM210=0),"",IFERROR(LOOKUP(2,1/((Budgets!$A$2:$A$200=BH$1)*(Budgets!$B$2:$B$200&lt;EDATE($A210,1))),Budgets!$C$2:$C$200),0))</f>
        <v/>
      </c>
      <c r="BI210" s="23">
        <f>IF(OR(BI$1="",$BM210=0),"",IFERROR(LOOKUP(2,1/((Budgets!$A$2:$A$200=BI$1)*(Budgets!$B$2:$B$200&lt;EDATE($A210,1))),Budgets!$C$2:$C$200),0))</f>
        <v/>
      </c>
      <c r="BJ210" s="23">
        <f>IF(OR(BJ$1="",$BM210=0),"",IFERROR(LOOKUP(2,1/((Budgets!$A$2:$A$200=BJ$1)*(Budgets!$B$2:$B$200&lt;EDATE($A210,1))),Budgets!$C$2:$C$200),0))</f>
        <v/>
      </c>
      <c r="BK210" s="23">
        <f>IF(OR(BK$1="",$BM210=0),"",IFERROR(LOOKUP(2,1/((Budgets!$A$2:$A$200=BK$1)*(Budgets!$B$2:$B$200&lt;EDATE($A210,1))),Budgets!$C$2:$C$200),0))</f>
        <v/>
      </c>
      <c r="BM210" s="21">
        <f>COUNTIFS(Entries!$A$2:$A$5000,"&gt;="&amp;$A210,Entries!$A$2:$A$5000,"&lt;"&amp;EDATE($A210,1))</f>
        <v/>
      </c>
    </row>
    <row r="211">
      <c r="A211" s="22" t="n">
        <v>45809</v>
      </c>
      <c r="B211" s="23">
        <f>IF($BM211=0,NA(),SUMIFS(Entries!$E$2:$E$5000,Entries!$C$2:$C$5000,"Income",Entries!$A$2:$A$5000,"&gt;="&amp;$A211,Entries!$A$2:$A$5000,"&lt;"&amp;EDATE($A211,1)))</f>
        <v/>
      </c>
      <c r="C211" s="23">
        <f>IF($BM211=0,"",SUMIFS(Entries!$E$2:$E$5000,Entries!$C$2:$C$5000,"Actual",Entries!$A$2:$A$5000,"&gt;="&amp;$A211,Entries!$A$2:$A$5000,"&lt;"&amp;EDATE($A211,1)))</f>
        <v/>
      </c>
      <c r="D211" s="23">
        <f>IF($BM211=0,"",SUMIFS(Entries!$E$2:$E$5000,Entries!$C$2:$C$5000,"One-off",Entries!$A$2:$A$5000,"&gt;="&amp;$A211,Entries!$A$2:$A$5000,"&lt;"&amp;EDATE($A211,1)))</f>
        <v/>
      </c>
      <c r="E211" s="23">
        <f>IF($BM211=0,NA(),C211+D211)</f>
        <v/>
      </c>
      <c r="F211" s="23">
        <f>IF($BM211=0,"",SUM(AR211:BK211))</f>
        <v/>
      </c>
      <c r="G211" s="23">
        <f>IF($BM211=0,"",B211-E211)</f>
        <v/>
      </c>
      <c r="H211" s="23">
        <f>IF($BM211=0,"",SUM($G$2:G211))</f>
        <v/>
      </c>
      <c r="I211" s="23">
        <f>IF($BM211=0,"",SUMIFS(Entries!$G$2:$G$5000,Entries!$A$2:$A$5000,"&gt;="&amp;$A211,Entries!$A$2:$A$5000,"&lt;"&amp;EDATE($A211,1)))</f>
        <v/>
      </c>
      <c r="J211" s="23">
        <f>IF($BM211=0,NA(),H211)</f>
        <v/>
      </c>
      <c r="K211" s="23">
        <f>IF($BM211=0,"",SUMIFS(Entries!$E$2:$E$5000,Entries!$C$2:$C$5000,"Income",Entries!$A$2:$A$5000,"&gt;="&amp;EDATE($A211,-11),Entries!$A$2:$A$5000,"&lt;"&amp;EDATE($A211,1))/COUNTIFS($A$2:$A$400,"&gt;="&amp;EDATE($A211,-11),$A$2:$A$400,"&lt;"&amp;EDATE($A211,1),$BM$2:$BM$400,"&gt;0"))</f>
      </c>
      <c r="L211" s="23">
        <f>IF($BM211=0,"",(SUMIFS(Entries!$E$2:$E$5000,Entries!$C$2:$C$5000,"Actual",Entries!$A$2:$A$5000,"&gt;="&amp;EDATE($A211,-11),Entries!$A$2:$A$5000,"&lt;"&amp;EDATE($A211,1))+SUMIFS(Entries!$E$2:$E$5000,Entries!$C$2:$C$5000,"One-off",Entries!$A$2:$A$5000,"&gt;="&amp;EDATE($A211,-11),Entries!$A$2:$A$5000,"&lt;"&amp;EDATE($A211,1)))/COUNTIFS($A$2:$A$400,"&gt;="&amp;EDATE($A211,-11),$A$2:$A$400,"&lt;"&amp;EDATE($A211,1),$BM$2:$BM$400,"&gt;0"))</f>
      </c>
      <c r="M211" s="24">
        <f>IF($BM211=0,NA(),IFERROR((K211-L211)/K211,0))</f>
        <v/>
      </c>
      <c r="N211" s="23">
        <f>IF($BM211=0,NA(),SUMIFS(Entries!$E$2:$E$5000,Entries!$D$2:$D$5000,"Core",Entries!$A$2:$A$5000,"&gt;="&amp;$A211,Entries!$A$2:$A$5000,"&lt;"&amp;EDATE($A211,1)))</f>
        <v/>
      </c>
      <c r="O211" s="23">
        <f>IF($BM211=0,NA(),SUMIFS(Entries!$E$2:$E$5000,Entries!$D$2:$D$5000,"Over &amp; above",Entries!$A$2:$A$5000,"&gt;="&amp;$A211,Entries!$A$2:$A$5000,"&lt;"&amp;EDATE($A211,1)))</f>
        <v/>
      </c>
      <c r="P211" s="23">
        <f>IF($BM211=0,NA(),SUMIFS(Entries!$E$2:$E$5000,Entries!$D$2:$D$5000,"One-off",Entries!$A$2:$A$5000,"&gt;="&amp;$A211,Entries!$A$2:$A$5000,"&lt;"&amp;EDATE($A211,1)))</f>
        <v/>
      </c>
      <c r="Q211" s="23">
        <f>IF($BM211=0,NA(),SUMIFS(Entries!$E$2:$E$5000,Entries!$D$2:$D$5000,"Reimbursable",Entries!$A$2:$A$5000,"&gt;="&amp;$A211,Entries!$A$2:$A$5000,"&lt;"&amp;EDATE($A211,1)))</f>
        <v/>
      </c>
      <c r="R211" s="23">
        <f>IF($BM211=0,NA(),SUMIFS(Entries!$E$2:$E$5000,Entries!$D$2:$D$5000,"Investment",Entries!$A$2:$A$5000,"&gt;="&amp;$A211,Entries!$A$2:$A$5000,"&lt;"&amp;EDATE($A211,1)))</f>
        <v/>
      </c>
      <c r="S211" s="23">
        <f>IF($BM211=0,NA(),N211+O211)</f>
        <v/>
      </c>
      <c r="T211" s="23">
        <f>IF($BM211=0,"",E211-Q211)</f>
        <v/>
      </c>
      <c r="W211" s="23">
        <f>IF(OR(W$1="",$BM211=0),"",SUMIFS(Entries!$E$2:$E$5000,Entries!$C$2:$C$5000,"Actual",Entries!$A$2:$A$5000,"&gt;="&amp;$A211,Entries!$A$2:$A$5000,"&lt;"&amp;EDATE($A211,1),Entries!$B$2:$B$5000,W$1))</f>
        <v/>
      </c>
      <c r="X211" s="23">
        <f>IF(OR(X$1="",$BM211=0),"",SUMIFS(Entries!$E$2:$E$5000,Entries!$C$2:$C$5000,"Actual",Entries!$A$2:$A$5000,"&gt;="&amp;$A211,Entries!$A$2:$A$5000,"&lt;"&amp;EDATE($A211,1),Entries!$B$2:$B$5000,X$1))</f>
        <v/>
      </c>
      <c r="Y211" s="23">
        <f>IF(OR(Y$1="",$BM211=0),"",SUMIFS(Entries!$E$2:$E$5000,Entries!$C$2:$C$5000,"Actual",Entries!$A$2:$A$5000,"&gt;="&amp;$A211,Entries!$A$2:$A$5000,"&lt;"&amp;EDATE($A211,1),Entries!$B$2:$B$5000,Y$1))</f>
        <v/>
      </c>
      <c r="Z211" s="23">
        <f>IF(OR(Z$1="",$BM211=0),"",SUMIFS(Entries!$E$2:$E$5000,Entries!$C$2:$C$5000,"Actual",Entries!$A$2:$A$5000,"&gt;="&amp;$A211,Entries!$A$2:$A$5000,"&lt;"&amp;EDATE($A211,1),Entries!$B$2:$B$5000,Z$1))</f>
        <v/>
      </c>
      <c r="AA211" s="23">
        <f>IF(OR(AA$1="",$BM211=0),"",SUMIFS(Entries!$E$2:$E$5000,Entries!$C$2:$C$5000,"Actual",Entries!$A$2:$A$5000,"&gt;="&amp;$A211,Entries!$A$2:$A$5000,"&lt;"&amp;EDATE($A211,1),Entries!$B$2:$B$5000,AA$1))</f>
        <v/>
      </c>
      <c r="AB211" s="23">
        <f>IF(OR(AB$1="",$BM211=0),"",SUMIFS(Entries!$E$2:$E$5000,Entries!$C$2:$C$5000,"Actual",Entries!$A$2:$A$5000,"&gt;="&amp;$A211,Entries!$A$2:$A$5000,"&lt;"&amp;EDATE($A211,1),Entries!$B$2:$B$5000,AB$1))</f>
        <v/>
      </c>
      <c r="AC211" s="23">
        <f>IF(OR(AC$1="",$BM211=0),"",SUMIFS(Entries!$E$2:$E$5000,Entries!$C$2:$C$5000,"Actual",Entries!$A$2:$A$5000,"&gt;="&amp;$A211,Entries!$A$2:$A$5000,"&lt;"&amp;EDATE($A211,1),Entries!$B$2:$B$5000,AC$1))</f>
        <v/>
      </c>
      <c r="AD211" s="23">
        <f>IF(OR(AD$1="",$BM211=0),"",SUMIFS(Entries!$E$2:$E$5000,Entries!$C$2:$C$5000,"Actual",Entries!$A$2:$A$5000,"&gt;="&amp;$A211,Entries!$A$2:$A$5000,"&lt;"&amp;EDATE($A211,1),Entries!$B$2:$B$5000,AD$1))</f>
        <v/>
      </c>
      <c r="AE211" s="23">
        <f>IF(OR(AE$1="",$BM211=0),"",SUMIFS(Entries!$E$2:$E$5000,Entries!$C$2:$C$5000,"Actual",Entries!$A$2:$A$5000,"&gt;="&amp;$A211,Entries!$A$2:$A$5000,"&lt;"&amp;EDATE($A211,1),Entries!$B$2:$B$5000,AE$1))</f>
        <v/>
      </c>
      <c r="AF211" s="23">
        <f>IF(OR(AF$1="",$BM211=0),"",SUMIFS(Entries!$E$2:$E$5000,Entries!$C$2:$C$5000,"Actual",Entries!$A$2:$A$5000,"&gt;="&amp;$A211,Entries!$A$2:$A$5000,"&lt;"&amp;EDATE($A211,1),Entries!$B$2:$B$5000,AF$1))</f>
        <v/>
      </c>
      <c r="AG211" s="23">
        <f>IF(OR(AG$1="",$BM211=0),"",SUMIFS(Entries!$E$2:$E$5000,Entries!$C$2:$C$5000,"Actual",Entries!$A$2:$A$5000,"&gt;="&amp;$A211,Entries!$A$2:$A$5000,"&lt;"&amp;EDATE($A211,1),Entries!$B$2:$B$5000,AG$1))</f>
        <v/>
      </c>
      <c r="AH211" s="23">
        <f>IF(OR(AH$1="",$BM211=0),"",SUMIFS(Entries!$E$2:$E$5000,Entries!$C$2:$C$5000,"Actual",Entries!$A$2:$A$5000,"&gt;="&amp;$A211,Entries!$A$2:$A$5000,"&lt;"&amp;EDATE($A211,1),Entries!$B$2:$B$5000,AH$1))</f>
        <v/>
      </c>
      <c r="AI211" s="23">
        <f>IF(OR(AI$1="",$BM211=0),"",SUMIFS(Entries!$E$2:$E$5000,Entries!$C$2:$C$5000,"Actual",Entries!$A$2:$A$5000,"&gt;="&amp;$A211,Entries!$A$2:$A$5000,"&lt;"&amp;EDATE($A211,1),Entries!$B$2:$B$5000,AI$1))</f>
        <v/>
      </c>
      <c r="AJ211" s="23">
        <f>IF(OR(AJ$1="",$BM211=0),"",SUMIFS(Entries!$E$2:$E$5000,Entries!$C$2:$C$5000,"Actual",Entries!$A$2:$A$5000,"&gt;="&amp;$A211,Entries!$A$2:$A$5000,"&lt;"&amp;EDATE($A211,1),Entries!$B$2:$B$5000,AJ$1))</f>
        <v/>
      </c>
      <c r="AK211" s="23">
        <f>IF(OR(AK$1="",$BM211=0),"",SUMIFS(Entries!$E$2:$E$5000,Entries!$C$2:$C$5000,"Actual",Entries!$A$2:$A$5000,"&gt;="&amp;$A211,Entries!$A$2:$A$5000,"&lt;"&amp;EDATE($A211,1),Entries!$B$2:$B$5000,AK$1))</f>
        <v/>
      </c>
      <c r="AL211" s="23">
        <f>IF(OR(AL$1="",$BM211=0),"",SUMIFS(Entries!$E$2:$E$5000,Entries!$C$2:$C$5000,"Actual",Entries!$A$2:$A$5000,"&gt;="&amp;$A211,Entries!$A$2:$A$5000,"&lt;"&amp;EDATE($A211,1),Entries!$B$2:$B$5000,AL$1))</f>
        <v/>
      </c>
      <c r="AM211" s="23">
        <f>IF(OR(AM$1="",$BM211=0),"",SUMIFS(Entries!$E$2:$E$5000,Entries!$C$2:$C$5000,"Actual",Entries!$A$2:$A$5000,"&gt;="&amp;$A211,Entries!$A$2:$A$5000,"&lt;"&amp;EDATE($A211,1),Entries!$B$2:$B$5000,AM$1))</f>
        <v/>
      </c>
      <c r="AN211" s="23">
        <f>IF(OR(AN$1="",$BM211=0),"",SUMIFS(Entries!$E$2:$E$5000,Entries!$C$2:$C$5000,"Actual",Entries!$A$2:$A$5000,"&gt;="&amp;$A211,Entries!$A$2:$A$5000,"&lt;"&amp;EDATE($A211,1),Entries!$B$2:$B$5000,AN$1))</f>
        <v/>
      </c>
      <c r="AO211" s="23">
        <f>IF(OR(AO$1="",$BM211=0),"",SUMIFS(Entries!$E$2:$E$5000,Entries!$C$2:$C$5000,"Actual",Entries!$A$2:$A$5000,"&gt;="&amp;$A211,Entries!$A$2:$A$5000,"&lt;"&amp;EDATE($A211,1),Entries!$B$2:$B$5000,AO$1))</f>
        <v/>
      </c>
      <c r="AP211" s="23">
        <f>IF(OR(AP$1="",$BM211=0),"",SUMIFS(Entries!$E$2:$E$5000,Entries!$C$2:$C$5000,"Actual",Entries!$A$2:$A$5000,"&gt;="&amp;$A211,Entries!$A$2:$A$5000,"&lt;"&amp;EDATE($A211,1),Entries!$B$2:$B$5000,AP$1))</f>
        <v/>
      </c>
      <c r="AR211" s="23">
        <f>IF(OR(AR$1="",$BM211=0),"",IFERROR(LOOKUP(2,1/((Budgets!$A$2:$A$200=AR$1)*(Budgets!$B$2:$B$200&lt;EDATE($A211,1))),Budgets!$C$2:$C$200),0))</f>
        <v/>
      </c>
      <c r="AS211" s="23">
        <f>IF(OR(AS$1="",$BM211=0),"",IFERROR(LOOKUP(2,1/((Budgets!$A$2:$A$200=AS$1)*(Budgets!$B$2:$B$200&lt;EDATE($A211,1))),Budgets!$C$2:$C$200),0))</f>
        <v/>
      </c>
      <c r="AT211" s="23">
        <f>IF(OR(AT$1="",$BM211=0),"",IFERROR(LOOKUP(2,1/((Budgets!$A$2:$A$200=AT$1)*(Budgets!$B$2:$B$200&lt;EDATE($A211,1))),Budgets!$C$2:$C$200),0))</f>
        <v/>
      </c>
      <c r="AU211" s="23">
        <f>IF(OR(AU$1="",$BM211=0),"",IFERROR(LOOKUP(2,1/((Budgets!$A$2:$A$200=AU$1)*(Budgets!$B$2:$B$200&lt;EDATE($A211,1))),Budgets!$C$2:$C$200),0))</f>
        <v/>
      </c>
      <c r="AV211" s="23">
        <f>IF(OR(AV$1="",$BM211=0),"",IFERROR(LOOKUP(2,1/((Budgets!$A$2:$A$200=AV$1)*(Budgets!$B$2:$B$200&lt;EDATE($A211,1))),Budgets!$C$2:$C$200),0))</f>
        <v/>
      </c>
      <c r="AW211" s="23">
        <f>IF(OR(AW$1="",$BM211=0),"",IFERROR(LOOKUP(2,1/((Budgets!$A$2:$A$200=AW$1)*(Budgets!$B$2:$B$200&lt;EDATE($A211,1))),Budgets!$C$2:$C$200),0))</f>
        <v/>
      </c>
      <c r="AX211" s="23">
        <f>IF(OR(AX$1="",$BM211=0),"",IFERROR(LOOKUP(2,1/((Budgets!$A$2:$A$200=AX$1)*(Budgets!$B$2:$B$200&lt;EDATE($A211,1))),Budgets!$C$2:$C$200),0))</f>
        <v/>
      </c>
      <c r="AY211" s="23">
        <f>IF(OR(AY$1="",$BM211=0),"",IFERROR(LOOKUP(2,1/((Budgets!$A$2:$A$200=AY$1)*(Budgets!$B$2:$B$200&lt;EDATE($A211,1))),Budgets!$C$2:$C$200),0))</f>
        <v/>
      </c>
      <c r="AZ211" s="23">
        <f>IF(OR(AZ$1="",$BM211=0),"",IFERROR(LOOKUP(2,1/((Budgets!$A$2:$A$200=AZ$1)*(Budgets!$B$2:$B$200&lt;EDATE($A211,1))),Budgets!$C$2:$C$200),0))</f>
        <v/>
      </c>
      <c r="BA211" s="23">
        <f>IF(OR(BA$1="",$BM211=0),"",IFERROR(LOOKUP(2,1/((Budgets!$A$2:$A$200=BA$1)*(Budgets!$B$2:$B$200&lt;EDATE($A211,1))),Budgets!$C$2:$C$200),0))</f>
        <v/>
      </c>
      <c r="BB211" s="23">
        <f>IF(OR(BB$1="",$BM211=0),"",IFERROR(LOOKUP(2,1/((Budgets!$A$2:$A$200=BB$1)*(Budgets!$B$2:$B$200&lt;EDATE($A211,1))),Budgets!$C$2:$C$200),0))</f>
        <v/>
      </c>
      <c r="BC211" s="23">
        <f>IF(OR(BC$1="",$BM211=0),"",IFERROR(LOOKUP(2,1/((Budgets!$A$2:$A$200=BC$1)*(Budgets!$B$2:$B$200&lt;EDATE($A211,1))),Budgets!$C$2:$C$200),0))</f>
        <v/>
      </c>
      <c r="BD211" s="23">
        <f>IF(OR(BD$1="",$BM211=0),"",IFERROR(LOOKUP(2,1/((Budgets!$A$2:$A$200=BD$1)*(Budgets!$B$2:$B$200&lt;EDATE($A211,1))),Budgets!$C$2:$C$200),0))</f>
        <v/>
      </c>
      <c r="BE211" s="23">
        <f>IF(OR(BE$1="",$BM211=0),"",IFERROR(LOOKUP(2,1/((Budgets!$A$2:$A$200=BE$1)*(Budgets!$B$2:$B$200&lt;EDATE($A211,1))),Budgets!$C$2:$C$200),0))</f>
        <v/>
      </c>
      <c r="BF211" s="23">
        <f>IF(OR(BF$1="",$BM211=0),"",IFERROR(LOOKUP(2,1/((Budgets!$A$2:$A$200=BF$1)*(Budgets!$B$2:$B$200&lt;EDATE($A211,1))),Budgets!$C$2:$C$200),0))</f>
        <v/>
      </c>
      <c r="BG211" s="23">
        <f>IF(OR(BG$1="",$BM211=0),"",IFERROR(LOOKUP(2,1/((Budgets!$A$2:$A$200=BG$1)*(Budgets!$B$2:$B$200&lt;EDATE($A211,1))),Budgets!$C$2:$C$200),0))</f>
        <v/>
      </c>
      <c r="BH211" s="23">
        <f>IF(OR(BH$1="",$BM211=0),"",IFERROR(LOOKUP(2,1/((Budgets!$A$2:$A$200=BH$1)*(Budgets!$B$2:$B$200&lt;EDATE($A211,1))),Budgets!$C$2:$C$200),0))</f>
        <v/>
      </c>
      <c r="BI211" s="23">
        <f>IF(OR(BI$1="",$BM211=0),"",IFERROR(LOOKUP(2,1/((Budgets!$A$2:$A$200=BI$1)*(Budgets!$B$2:$B$200&lt;EDATE($A211,1))),Budgets!$C$2:$C$200),0))</f>
        <v/>
      </c>
      <c r="BJ211" s="23">
        <f>IF(OR(BJ$1="",$BM211=0),"",IFERROR(LOOKUP(2,1/((Budgets!$A$2:$A$200=BJ$1)*(Budgets!$B$2:$B$200&lt;EDATE($A211,1))),Budgets!$C$2:$C$200),0))</f>
        <v/>
      </c>
      <c r="BK211" s="23">
        <f>IF(OR(BK$1="",$BM211=0),"",IFERROR(LOOKUP(2,1/((Budgets!$A$2:$A$200=BK$1)*(Budgets!$B$2:$B$200&lt;EDATE($A211,1))),Budgets!$C$2:$C$200),0))</f>
        <v/>
      </c>
      <c r="BM211" s="21">
        <f>COUNTIFS(Entries!$A$2:$A$5000,"&gt;="&amp;$A211,Entries!$A$2:$A$5000,"&lt;"&amp;EDATE($A211,1))</f>
        <v/>
      </c>
    </row>
    <row r="212">
      <c r="A212" s="22" t="n">
        <v>45839</v>
      </c>
      <c r="B212" s="23">
        <f>IF($BM212=0,NA(),SUMIFS(Entries!$E$2:$E$5000,Entries!$C$2:$C$5000,"Income",Entries!$A$2:$A$5000,"&gt;="&amp;$A212,Entries!$A$2:$A$5000,"&lt;"&amp;EDATE($A212,1)))</f>
        <v/>
      </c>
      <c r="C212" s="23">
        <f>IF($BM212=0,"",SUMIFS(Entries!$E$2:$E$5000,Entries!$C$2:$C$5000,"Actual",Entries!$A$2:$A$5000,"&gt;="&amp;$A212,Entries!$A$2:$A$5000,"&lt;"&amp;EDATE($A212,1)))</f>
        <v/>
      </c>
      <c r="D212" s="23">
        <f>IF($BM212=0,"",SUMIFS(Entries!$E$2:$E$5000,Entries!$C$2:$C$5000,"One-off",Entries!$A$2:$A$5000,"&gt;="&amp;$A212,Entries!$A$2:$A$5000,"&lt;"&amp;EDATE($A212,1)))</f>
        <v/>
      </c>
      <c r="E212" s="23">
        <f>IF($BM212=0,NA(),C212+D212)</f>
        <v/>
      </c>
      <c r="F212" s="23">
        <f>IF($BM212=0,"",SUM(AR212:BK212))</f>
        <v/>
      </c>
      <c r="G212" s="23">
        <f>IF($BM212=0,"",B212-E212)</f>
        <v/>
      </c>
      <c r="H212" s="23">
        <f>IF($BM212=0,"",SUM($G$2:G212))</f>
        <v/>
      </c>
      <c r="I212" s="23">
        <f>IF($BM212=0,"",SUMIFS(Entries!$G$2:$G$5000,Entries!$A$2:$A$5000,"&gt;="&amp;$A212,Entries!$A$2:$A$5000,"&lt;"&amp;EDATE($A212,1)))</f>
        <v/>
      </c>
      <c r="J212" s="23">
        <f>IF($BM212=0,NA(),H212)</f>
        <v/>
      </c>
      <c r="K212" s="23">
        <f>IF($BM212=0,"",SUMIFS(Entries!$E$2:$E$5000,Entries!$C$2:$C$5000,"Income",Entries!$A$2:$A$5000,"&gt;="&amp;EDATE($A212,-11),Entries!$A$2:$A$5000,"&lt;"&amp;EDATE($A212,1))/COUNTIFS($A$2:$A$400,"&gt;="&amp;EDATE($A212,-11),$A$2:$A$400,"&lt;"&amp;EDATE($A212,1),$BM$2:$BM$400,"&gt;0"))</f>
      </c>
      <c r="L212" s="23">
        <f>IF($BM212=0,"",(SUMIFS(Entries!$E$2:$E$5000,Entries!$C$2:$C$5000,"Actual",Entries!$A$2:$A$5000,"&gt;="&amp;EDATE($A212,-11),Entries!$A$2:$A$5000,"&lt;"&amp;EDATE($A212,1))+SUMIFS(Entries!$E$2:$E$5000,Entries!$C$2:$C$5000,"One-off",Entries!$A$2:$A$5000,"&gt;="&amp;EDATE($A212,-11),Entries!$A$2:$A$5000,"&lt;"&amp;EDATE($A212,1)))/COUNTIFS($A$2:$A$400,"&gt;="&amp;EDATE($A212,-11),$A$2:$A$400,"&lt;"&amp;EDATE($A212,1),$BM$2:$BM$400,"&gt;0"))</f>
      </c>
      <c r="M212" s="24">
        <f>IF($BM212=0,NA(),IFERROR((K212-L212)/K212,0))</f>
        <v/>
      </c>
      <c r="N212" s="23">
        <f>IF($BM212=0,NA(),SUMIFS(Entries!$E$2:$E$5000,Entries!$D$2:$D$5000,"Core",Entries!$A$2:$A$5000,"&gt;="&amp;$A212,Entries!$A$2:$A$5000,"&lt;"&amp;EDATE($A212,1)))</f>
        <v/>
      </c>
      <c r="O212" s="23">
        <f>IF($BM212=0,NA(),SUMIFS(Entries!$E$2:$E$5000,Entries!$D$2:$D$5000,"Over &amp; above",Entries!$A$2:$A$5000,"&gt;="&amp;$A212,Entries!$A$2:$A$5000,"&lt;"&amp;EDATE($A212,1)))</f>
        <v/>
      </c>
      <c r="P212" s="23">
        <f>IF($BM212=0,NA(),SUMIFS(Entries!$E$2:$E$5000,Entries!$D$2:$D$5000,"One-off",Entries!$A$2:$A$5000,"&gt;="&amp;$A212,Entries!$A$2:$A$5000,"&lt;"&amp;EDATE($A212,1)))</f>
        <v/>
      </c>
      <c r="Q212" s="23">
        <f>IF($BM212=0,NA(),SUMIFS(Entries!$E$2:$E$5000,Entries!$D$2:$D$5000,"Reimbursable",Entries!$A$2:$A$5000,"&gt;="&amp;$A212,Entries!$A$2:$A$5000,"&lt;"&amp;EDATE($A212,1)))</f>
        <v/>
      </c>
      <c r="R212" s="23">
        <f>IF($BM212=0,NA(),SUMIFS(Entries!$E$2:$E$5000,Entries!$D$2:$D$5000,"Investment",Entries!$A$2:$A$5000,"&gt;="&amp;$A212,Entries!$A$2:$A$5000,"&lt;"&amp;EDATE($A212,1)))</f>
        <v/>
      </c>
      <c r="S212" s="23">
        <f>IF($BM212=0,NA(),N212+O212)</f>
        <v/>
      </c>
      <c r="T212" s="23">
        <f>IF($BM212=0,"",E212-Q212)</f>
        <v/>
      </c>
      <c r="W212" s="23">
        <f>IF(OR(W$1="",$BM212=0),"",SUMIFS(Entries!$E$2:$E$5000,Entries!$C$2:$C$5000,"Actual",Entries!$A$2:$A$5000,"&gt;="&amp;$A212,Entries!$A$2:$A$5000,"&lt;"&amp;EDATE($A212,1),Entries!$B$2:$B$5000,W$1))</f>
        <v/>
      </c>
      <c r="X212" s="23">
        <f>IF(OR(X$1="",$BM212=0),"",SUMIFS(Entries!$E$2:$E$5000,Entries!$C$2:$C$5000,"Actual",Entries!$A$2:$A$5000,"&gt;="&amp;$A212,Entries!$A$2:$A$5000,"&lt;"&amp;EDATE($A212,1),Entries!$B$2:$B$5000,X$1))</f>
        <v/>
      </c>
      <c r="Y212" s="23">
        <f>IF(OR(Y$1="",$BM212=0),"",SUMIFS(Entries!$E$2:$E$5000,Entries!$C$2:$C$5000,"Actual",Entries!$A$2:$A$5000,"&gt;="&amp;$A212,Entries!$A$2:$A$5000,"&lt;"&amp;EDATE($A212,1),Entries!$B$2:$B$5000,Y$1))</f>
        <v/>
      </c>
      <c r="Z212" s="23">
        <f>IF(OR(Z$1="",$BM212=0),"",SUMIFS(Entries!$E$2:$E$5000,Entries!$C$2:$C$5000,"Actual",Entries!$A$2:$A$5000,"&gt;="&amp;$A212,Entries!$A$2:$A$5000,"&lt;"&amp;EDATE($A212,1),Entries!$B$2:$B$5000,Z$1))</f>
        <v/>
      </c>
      <c r="AA212" s="23">
        <f>IF(OR(AA$1="",$BM212=0),"",SUMIFS(Entries!$E$2:$E$5000,Entries!$C$2:$C$5000,"Actual",Entries!$A$2:$A$5000,"&gt;="&amp;$A212,Entries!$A$2:$A$5000,"&lt;"&amp;EDATE($A212,1),Entries!$B$2:$B$5000,AA$1))</f>
        <v/>
      </c>
      <c r="AB212" s="23">
        <f>IF(OR(AB$1="",$BM212=0),"",SUMIFS(Entries!$E$2:$E$5000,Entries!$C$2:$C$5000,"Actual",Entries!$A$2:$A$5000,"&gt;="&amp;$A212,Entries!$A$2:$A$5000,"&lt;"&amp;EDATE($A212,1),Entries!$B$2:$B$5000,AB$1))</f>
        <v/>
      </c>
      <c r="AC212" s="23">
        <f>IF(OR(AC$1="",$BM212=0),"",SUMIFS(Entries!$E$2:$E$5000,Entries!$C$2:$C$5000,"Actual",Entries!$A$2:$A$5000,"&gt;="&amp;$A212,Entries!$A$2:$A$5000,"&lt;"&amp;EDATE($A212,1),Entries!$B$2:$B$5000,AC$1))</f>
        <v/>
      </c>
      <c r="AD212" s="23">
        <f>IF(OR(AD$1="",$BM212=0),"",SUMIFS(Entries!$E$2:$E$5000,Entries!$C$2:$C$5000,"Actual",Entries!$A$2:$A$5000,"&gt;="&amp;$A212,Entries!$A$2:$A$5000,"&lt;"&amp;EDATE($A212,1),Entries!$B$2:$B$5000,AD$1))</f>
        <v/>
      </c>
      <c r="AE212" s="23">
        <f>IF(OR(AE$1="",$BM212=0),"",SUMIFS(Entries!$E$2:$E$5000,Entries!$C$2:$C$5000,"Actual",Entries!$A$2:$A$5000,"&gt;="&amp;$A212,Entries!$A$2:$A$5000,"&lt;"&amp;EDATE($A212,1),Entries!$B$2:$B$5000,AE$1))</f>
        <v/>
      </c>
      <c r="AF212" s="23">
        <f>IF(OR(AF$1="",$BM212=0),"",SUMIFS(Entries!$E$2:$E$5000,Entries!$C$2:$C$5000,"Actual",Entries!$A$2:$A$5000,"&gt;="&amp;$A212,Entries!$A$2:$A$5000,"&lt;"&amp;EDATE($A212,1),Entries!$B$2:$B$5000,AF$1))</f>
        <v/>
      </c>
      <c r="AG212" s="23">
        <f>IF(OR(AG$1="",$BM212=0),"",SUMIFS(Entries!$E$2:$E$5000,Entries!$C$2:$C$5000,"Actual",Entries!$A$2:$A$5000,"&gt;="&amp;$A212,Entries!$A$2:$A$5000,"&lt;"&amp;EDATE($A212,1),Entries!$B$2:$B$5000,AG$1))</f>
        <v/>
      </c>
      <c r="AH212" s="23">
        <f>IF(OR(AH$1="",$BM212=0),"",SUMIFS(Entries!$E$2:$E$5000,Entries!$C$2:$C$5000,"Actual",Entries!$A$2:$A$5000,"&gt;="&amp;$A212,Entries!$A$2:$A$5000,"&lt;"&amp;EDATE($A212,1),Entries!$B$2:$B$5000,AH$1))</f>
        <v/>
      </c>
      <c r="AI212" s="23">
        <f>IF(OR(AI$1="",$BM212=0),"",SUMIFS(Entries!$E$2:$E$5000,Entries!$C$2:$C$5000,"Actual",Entries!$A$2:$A$5000,"&gt;="&amp;$A212,Entries!$A$2:$A$5000,"&lt;"&amp;EDATE($A212,1),Entries!$B$2:$B$5000,AI$1))</f>
        <v/>
      </c>
      <c r="AJ212" s="23">
        <f>IF(OR(AJ$1="",$BM212=0),"",SUMIFS(Entries!$E$2:$E$5000,Entries!$C$2:$C$5000,"Actual",Entries!$A$2:$A$5000,"&gt;="&amp;$A212,Entries!$A$2:$A$5000,"&lt;"&amp;EDATE($A212,1),Entries!$B$2:$B$5000,AJ$1))</f>
        <v/>
      </c>
      <c r="AK212" s="23">
        <f>IF(OR(AK$1="",$BM212=0),"",SUMIFS(Entries!$E$2:$E$5000,Entries!$C$2:$C$5000,"Actual",Entries!$A$2:$A$5000,"&gt;="&amp;$A212,Entries!$A$2:$A$5000,"&lt;"&amp;EDATE($A212,1),Entries!$B$2:$B$5000,AK$1))</f>
        <v/>
      </c>
      <c r="AL212" s="23">
        <f>IF(OR(AL$1="",$BM212=0),"",SUMIFS(Entries!$E$2:$E$5000,Entries!$C$2:$C$5000,"Actual",Entries!$A$2:$A$5000,"&gt;="&amp;$A212,Entries!$A$2:$A$5000,"&lt;"&amp;EDATE($A212,1),Entries!$B$2:$B$5000,AL$1))</f>
        <v/>
      </c>
      <c r="AM212" s="23">
        <f>IF(OR(AM$1="",$BM212=0),"",SUMIFS(Entries!$E$2:$E$5000,Entries!$C$2:$C$5000,"Actual",Entries!$A$2:$A$5000,"&gt;="&amp;$A212,Entries!$A$2:$A$5000,"&lt;"&amp;EDATE($A212,1),Entries!$B$2:$B$5000,AM$1))</f>
        <v/>
      </c>
      <c r="AN212" s="23">
        <f>IF(OR(AN$1="",$BM212=0),"",SUMIFS(Entries!$E$2:$E$5000,Entries!$C$2:$C$5000,"Actual",Entries!$A$2:$A$5000,"&gt;="&amp;$A212,Entries!$A$2:$A$5000,"&lt;"&amp;EDATE($A212,1),Entries!$B$2:$B$5000,AN$1))</f>
        <v/>
      </c>
      <c r="AO212" s="23">
        <f>IF(OR(AO$1="",$BM212=0),"",SUMIFS(Entries!$E$2:$E$5000,Entries!$C$2:$C$5000,"Actual",Entries!$A$2:$A$5000,"&gt;="&amp;$A212,Entries!$A$2:$A$5000,"&lt;"&amp;EDATE($A212,1),Entries!$B$2:$B$5000,AO$1))</f>
        <v/>
      </c>
      <c r="AP212" s="23">
        <f>IF(OR(AP$1="",$BM212=0),"",SUMIFS(Entries!$E$2:$E$5000,Entries!$C$2:$C$5000,"Actual",Entries!$A$2:$A$5000,"&gt;="&amp;$A212,Entries!$A$2:$A$5000,"&lt;"&amp;EDATE($A212,1),Entries!$B$2:$B$5000,AP$1))</f>
        <v/>
      </c>
      <c r="AR212" s="23">
        <f>IF(OR(AR$1="",$BM212=0),"",IFERROR(LOOKUP(2,1/((Budgets!$A$2:$A$200=AR$1)*(Budgets!$B$2:$B$200&lt;EDATE($A212,1))),Budgets!$C$2:$C$200),0))</f>
        <v/>
      </c>
      <c r="AS212" s="23">
        <f>IF(OR(AS$1="",$BM212=0),"",IFERROR(LOOKUP(2,1/((Budgets!$A$2:$A$200=AS$1)*(Budgets!$B$2:$B$200&lt;EDATE($A212,1))),Budgets!$C$2:$C$200),0))</f>
        <v/>
      </c>
      <c r="AT212" s="23">
        <f>IF(OR(AT$1="",$BM212=0),"",IFERROR(LOOKUP(2,1/((Budgets!$A$2:$A$200=AT$1)*(Budgets!$B$2:$B$200&lt;EDATE($A212,1))),Budgets!$C$2:$C$200),0))</f>
        <v/>
      </c>
      <c r="AU212" s="23">
        <f>IF(OR(AU$1="",$BM212=0),"",IFERROR(LOOKUP(2,1/((Budgets!$A$2:$A$200=AU$1)*(Budgets!$B$2:$B$200&lt;EDATE($A212,1))),Budgets!$C$2:$C$200),0))</f>
        <v/>
      </c>
      <c r="AV212" s="23">
        <f>IF(OR(AV$1="",$BM212=0),"",IFERROR(LOOKUP(2,1/((Budgets!$A$2:$A$200=AV$1)*(Budgets!$B$2:$B$200&lt;EDATE($A212,1))),Budgets!$C$2:$C$200),0))</f>
        <v/>
      </c>
      <c r="AW212" s="23">
        <f>IF(OR(AW$1="",$BM212=0),"",IFERROR(LOOKUP(2,1/((Budgets!$A$2:$A$200=AW$1)*(Budgets!$B$2:$B$200&lt;EDATE($A212,1))),Budgets!$C$2:$C$200),0))</f>
        <v/>
      </c>
      <c r="AX212" s="23">
        <f>IF(OR(AX$1="",$BM212=0),"",IFERROR(LOOKUP(2,1/((Budgets!$A$2:$A$200=AX$1)*(Budgets!$B$2:$B$200&lt;EDATE($A212,1))),Budgets!$C$2:$C$200),0))</f>
        <v/>
      </c>
      <c r="AY212" s="23">
        <f>IF(OR(AY$1="",$BM212=0),"",IFERROR(LOOKUP(2,1/((Budgets!$A$2:$A$200=AY$1)*(Budgets!$B$2:$B$200&lt;EDATE($A212,1))),Budgets!$C$2:$C$200),0))</f>
        <v/>
      </c>
      <c r="AZ212" s="23">
        <f>IF(OR(AZ$1="",$BM212=0),"",IFERROR(LOOKUP(2,1/((Budgets!$A$2:$A$200=AZ$1)*(Budgets!$B$2:$B$200&lt;EDATE($A212,1))),Budgets!$C$2:$C$200),0))</f>
        <v/>
      </c>
      <c r="BA212" s="23">
        <f>IF(OR(BA$1="",$BM212=0),"",IFERROR(LOOKUP(2,1/((Budgets!$A$2:$A$200=BA$1)*(Budgets!$B$2:$B$200&lt;EDATE($A212,1))),Budgets!$C$2:$C$200),0))</f>
        <v/>
      </c>
      <c r="BB212" s="23">
        <f>IF(OR(BB$1="",$BM212=0),"",IFERROR(LOOKUP(2,1/((Budgets!$A$2:$A$200=BB$1)*(Budgets!$B$2:$B$200&lt;EDATE($A212,1))),Budgets!$C$2:$C$200),0))</f>
        <v/>
      </c>
      <c r="BC212" s="23">
        <f>IF(OR(BC$1="",$BM212=0),"",IFERROR(LOOKUP(2,1/((Budgets!$A$2:$A$200=BC$1)*(Budgets!$B$2:$B$200&lt;EDATE($A212,1))),Budgets!$C$2:$C$200),0))</f>
        <v/>
      </c>
      <c r="BD212" s="23">
        <f>IF(OR(BD$1="",$BM212=0),"",IFERROR(LOOKUP(2,1/((Budgets!$A$2:$A$200=BD$1)*(Budgets!$B$2:$B$200&lt;EDATE($A212,1))),Budgets!$C$2:$C$200),0))</f>
        <v/>
      </c>
      <c r="BE212" s="23">
        <f>IF(OR(BE$1="",$BM212=0),"",IFERROR(LOOKUP(2,1/((Budgets!$A$2:$A$200=BE$1)*(Budgets!$B$2:$B$200&lt;EDATE($A212,1))),Budgets!$C$2:$C$200),0))</f>
        <v/>
      </c>
      <c r="BF212" s="23">
        <f>IF(OR(BF$1="",$BM212=0),"",IFERROR(LOOKUP(2,1/((Budgets!$A$2:$A$200=BF$1)*(Budgets!$B$2:$B$200&lt;EDATE($A212,1))),Budgets!$C$2:$C$200),0))</f>
        <v/>
      </c>
      <c r="BG212" s="23">
        <f>IF(OR(BG$1="",$BM212=0),"",IFERROR(LOOKUP(2,1/((Budgets!$A$2:$A$200=BG$1)*(Budgets!$B$2:$B$200&lt;EDATE($A212,1))),Budgets!$C$2:$C$200),0))</f>
        <v/>
      </c>
      <c r="BH212" s="23">
        <f>IF(OR(BH$1="",$BM212=0),"",IFERROR(LOOKUP(2,1/((Budgets!$A$2:$A$200=BH$1)*(Budgets!$B$2:$B$200&lt;EDATE($A212,1))),Budgets!$C$2:$C$200),0))</f>
        <v/>
      </c>
      <c r="BI212" s="23">
        <f>IF(OR(BI$1="",$BM212=0),"",IFERROR(LOOKUP(2,1/((Budgets!$A$2:$A$200=BI$1)*(Budgets!$B$2:$B$200&lt;EDATE($A212,1))),Budgets!$C$2:$C$200),0))</f>
        <v/>
      </c>
      <c r="BJ212" s="23">
        <f>IF(OR(BJ$1="",$BM212=0),"",IFERROR(LOOKUP(2,1/((Budgets!$A$2:$A$200=BJ$1)*(Budgets!$B$2:$B$200&lt;EDATE($A212,1))),Budgets!$C$2:$C$200),0))</f>
        <v/>
      </c>
      <c r="BK212" s="23">
        <f>IF(OR(BK$1="",$BM212=0),"",IFERROR(LOOKUP(2,1/((Budgets!$A$2:$A$200=BK$1)*(Budgets!$B$2:$B$200&lt;EDATE($A212,1))),Budgets!$C$2:$C$200),0))</f>
        <v/>
      </c>
      <c r="BM212" s="21">
        <f>COUNTIFS(Entries!$A$2:$A$5000,"&gt;="&amp;$A212,Entries!$A$2:$A$5000,"&lt;"&amp;EDATE($A212,1))</f>
        <v/>
      </c>
    </row>
    <row r="213">
      <c r="A213" s="22" t="n">
        <v>45870</v>
      </c>
      <c r="B213" s="23">
        <f>IF($BM213=0,NA(),SUMIFS(Entries!$E$2:$E$5000,Entries!$C$2:$C$5000,"Income",Entries!$A$2:$A$5000,"&gt;="&amp;$A213,Entries!$A$2:$A$5000,"&lt;"&amp;EDATE($A213,1)))</f>
        <v/>
      </c>
      <c r="C213" s="23">
        <f>IF($BM213=0,"",SUMIFS(Entries!$E$2:$E$5000,Entries!$C$2:$C$5000,"Actual",Entries!$A$2:$A$5000,"&gt;="&amp;$A213,Entries!$A$2:$A$5000,"&lt;"&amp;EDATE($A213,1)))</f>
        <v/>
      </c>
      <c r="D213" s="23">
        <f>IF($BM213=0,"",SUMIFS(Entries!$E$2:$E$5000,Entries!$C$2:$C$5000,"One-off",Entries!$A$2:$A$5000,"&gt;="&amp;$A213,Entries!$A$2:$A$5000,"&lt;"&amp;EDATE($A213,1)))</f>
        <v/>
      </c>
      <c r="E213" s="23">
        <f>IF($BM213=0,NA(),C213+D213)</f>
        <v/>
      </c>
      <c r="F213" s="23">
        <f>IF($BM213=0,"",SUM(AR213:BK213))</f>
        <v/>
      </c>
      <c r="G213" s="23">
        <f>IF($BM213=0,"",B213-E213)</f>
        <v/>
      </c>
      <c r="H213" s="23">
        <f>IF($BM213=0,"",SUM($G$2:G213))</f>
        <v/>
      </c>
      <c r="I213" s="23">
        <f>IF($BM213=0,"",SUMIFS(Entries!$G$2:$G$5000,Entries!$A$2:$A$5000,"&gt;="&amp;$A213,Entries!$A$2:$A$5000,"&lt;"&amp;EDATE($A213,1)))</f>
        <v/>
      </c>
      <c r="J213" s="23">
        <f>IF($BM213=0,NA(),H213)</f>
        <v/>
      </c>
      <c r="K213" s="23">
        <f>IF($BM213=0,"",SUMIFS(Entries!$E$2:$E$5000,Entries!$C$2:$C$5000,"Income",Entries!$A$2:$A$5000,"&gt;="&amp;EDATE($A213,-11),Entries!$A$2:$A$5000,"&lt;"&amp;EDATE($A213,1))/COUNTIFS($A$2:$A$400,"&gt;="&amp;EDATE($A213,-11),$A$2:$A$400,"&lt;"&amp;EDATE($A213,1),$BM$2:$BM$400,"&gt;0"))</f>
      </c>
      <c r="L213" s="23">
        <f>IF($BM213=0,"",(SUMIFS(Entries!$E$2:$E$5000,Entries!$C$2:$C$5000,"Actual",Entries!$A$2:$A$5000,"&gt;="&amp;EDATE($A213,-11),Entries!$A$2:$A$5000,"&lt;"&amp;EDATE($A213,1))+SUMIFS(Entries!$E$2:$E$5000,Entries!$C$2:$C$5000,"One-off",Entries!$A$2:$A$5000,"&gt;="&amp;EDATE($A213,-11),Entries!$A$2:$A$5000,"&lt;"&amp;EDATE($A213,1)))/COUNTIFS($A$2:$A$400,"&gt;="&amp;EDATE($A213,-11),$A$2:$A$400,"&lt;"&amp;EDATE($A213,1),$BM$2:$BM$400,"&gt;0"))</f>
      </c>
      <c r="M213" s="24">
        <f>IF($BM213=0,NA(),IFERROR((K213-L213)/K213,0))</f>
        <v/>
      </c>
      <c r="N213" s="23">
        <f>IF($BM213=0,NA(),SUMIFS(Entries!$E$2:$E$5000,Entries!$D$2:$D$5000,"Core",Entries!$A$2:$A$5000,"&gt;="&amp;$A213,Entries!$A$2:$A$5000,"&lt;"&amp;EDATE($A213,1)))</f>
        <v/>
      </c>
      <c r="O213" s="23">
        <f>IF($BM213=0,NA(),SUMIFS(Entries!$E$2:$E$5000,Entries!$D$2:$D$5000,"Over &amp; above",Entries!$A$2:$A$5000,"&gt;="&amp;$A213,Entries!$A$2:$A$5000,"&lt;"&amp;EDATE($A213,1)))</f>
        <v/>
      </c>
      <c r="P213" s="23">
        <f>IF($BM213=0,NA(),SUMIFS(Entries!$E$2:$E$5000,Entries!$D$2:$D$5000,"One-off",Entries!$A$2:$A$5000,"&gt;="&amp;$A213,Entries!$A$2:$A$5000,"&lt;"&amp;EDATE($A213,1)))</f>
        <v/>
      </c>
      <c r="Q213" s="23">
        <f>IF($BM213=0,NA(),SUMIFS(Entries!$E$2:$E$5000,Entries!$D$2:$D$5000,"Reimbursable",Entries!$A$2:$A$5000,"&gt;="&amp;$A213,Entries!$A$2:$A$5000,"&lt;"&amp;EDATE($A213,1)))</f>
        <v/>
      </c>
      <c r="R213" s="23">
        <f>IF($BM213=0,NA(),SUMIFS(Entries!$E$2:$E$5000,Entries!$D$2:$D$5000,"Investment",Entries!$A$2:$A$5000,"&gt;="&amp;$A213,Entries!$A$2:$A$5000,"&lt;"&amp;EDATE($A213,1)))</f>
        <v/>
      </c>
      <c r="S213" s="23">
        <f>IF($BM213=0,NA(),N213+O213)</f>
        <v/>
      </c>
      <c r="T213" s="23">
        <f>IF($BM213=0,"",E213-Q213)</f>
        <v/>
      </c>
      <c r="W213" s="23">
        <f>IF(OR(W$1="",$BM213=0),"",SUMIFS(Entries!$E$2:$E$5000,Entries!$C$2:$C$5000,"Actual",Entries!$A$2:$A$5000,"&gt;="&amp;$A213,Entries!$A$2:$A$5000,"&lt;"&amp;EDATE($A213,1),Entries!$B$2:$B$5000,W$1))</f>
        <v/>
      </c>
      <c r="X213" s="23">
        <f>IF(OR(X$1="",$BM213=0),"",SUMIFS(Entries!$E$2:$E$5000,Entries!$C$2:$C$5000,"Actual",Entries!$A$2:$A$5000,"&gt;="&amp;$A213,Entries!$A$2:$A$5000,"&lt;"&amp;EDATE($A213,1),Entries!$B$2:$B$5000,X$1))</f>
        <v/>
      </c>
      <c r="Y213" s="23">
        <f>IF(OR(Y$1="",$BM213=0),"",SUMIFS(Entries!$E$2:$E$5000,Entries!$C$2:$C$5000,"Actual",Entries!$A$2:$A$5000,"&gt;="&amp;$A213,Entries!$A$2:$A$5000,"&lt;"&amp;EDATE($A213,1),Entries!$B$2:$B$5000,Y$1))</f>
        <v/>
      </c>
      <c r="Z213" s="23">
        <f>IF(OR(Z$1="",$BM213=0),"",SUMIFS(Entries!$E$2:$E$5000,Entries!$C$2:$C$5000,"Actual",Entries!$A$2:$A$5000,"&gt;="&amp;$A213,Entries!$A$2:$A$5000,"&lt;"&amp;EDATE($A213,1),Entries!$B$2:$B$5000,Z$1))</f>
        <v/>
      </c>
      <c r="AA213" s="23">
        <f>IF(OR(AA$1="",$BM213=0),"",SUMIFS(Entries!$E$2:$E$5000,Entries!$C$2:$C$5000,"Actual",Entries!$A$2:$A$5000,"&gt;="&amp;$A213,Entries!$A$2:$A$5000,"&lt;"&amp;EDATE($A213,1),Entries!$B$2:$B$5000,AA$1))</f>
        <v/>
      </c>
      <c r="AB213" s="23">
        <f>IF(OR(AB$1="",$BM213=0),"",SUMIFS(Entries!$E$2:$E$5000,Entries!$C$2:$C$5000,"Actual",Entries!$A$2:$A$5000,"&gt;="&amp;$A213,Entries!$A$2:$A$5000,"&lt;"&amp;EDATE($A213,1),Entries!$B$2:$B$5000,AB$1))</f>
        <v/>
      </c>
      <c r="AC213" s="23">
        <f>IF(OR(AC$1="",$BM213=0),"",SUMIFS(Entries!$E$2:$E$5000,Entries!$C$2:$C$5000,"Actual",Entries!$A$2:$A$5000,"&gt;="&amp;$A213,Entries!$A$2:$A$5000,"&lt;"&amp;EDATE($A213,1),Entries!$B$2:$B$5000,AC$1))</f>
        <v/>
      </c>
      <c r="AD213" s="23">
        <f>IF(OR(AD$1="",$BM213=0),"",SUMIFS(Entries!$E$2:$E$5000,Entries!$C$2:$C$5000,"Actual",Entries!$A$2:$A$5000,"&gt;="&amp;$A213,Entries!$A$2:$A$5000,"&lt;"&amp;EDATE($A213,1),Entries!$B$2:$B$5000,AD$1))</f>
        <v/>
      </c>
      <c r="AE213" s="23">
        <f>IF(OR(AE$1="",$BM213=0),"",SUMIFS(Entries!$E$2:$E$5000,Entries!$C$2:$C$5000,"Actual",Entries!$A$2:$A$5000,"&gt;="&amp;$A213,Entries!$A$2:$A$5000,"&lt;"&amp;EDATE($A213,1),Entries!$B$2:$B$5000,AE$1))</f>
        <v/>
      </c>
      <c r="AF213" s="23">
        <f>IF(OR(AF$1="",$BM213=0),"",SUMIFS(Entries!$E$2:$E$5000,Entries!$C$2:$C$5000,"Actual",Entries!$A$2:$A$5000,"&gt;="&amp;$A213,Entries!$A$2:$A$5000,"&lt;"&amp;EDATE($A213,1),Entries!$B$2:$B$5000,AF$1))</f>
        <v/>
      </c>
      <c r="AG213" s="23">
        <f>IF(OR(AG$1="",$BM213=0),"",SUMIFS(Entries!$E$2:$E$5000,Entries!$C$2:$C$5000,"Actual",Entries!$A$2:$A$5000,"&gt;="&amp;$A213,Entries!$A$2:$A$5000,"&lt;"&amp;EDATE($A213,1),Entries!$B$2:$B$5000,AG$1))</f>
        <v/>
      </c>
      <c r="AH213" s="23">
        <f>IF(OR(AH$1="",$BM213=0),"",SUMIFS(Entries!$E$2:$E$5000,Entries!$C$2:$C$5000,"Actual",Entries!$A$2:$A$5000,"&gt;="&amp;$A213,Entries!$A$2:$A$5000,"&lt;"&amp;EDATE($A213,1),Entries!$B$2:$B$5000,AH$1))</f>
        <v/>
      </c>
      <c r="AI213" s="23">
        <f>IF(OR(AI$1="",$BM213=0),"",SUMIFS(Entries!$E$2:$E$5000,Entries!$C$2:$C$5000,"Actual",Entries!$A$2:$A$5000,"&gt;="&amp;$A213,Entries!$A$2:$A$5000,"&lt;"&amp;EDATE($A213,1),Entries!$B$2:$B$5000,AI$1))</f>
        <v/>
      </c>
      <c r="AJ213" s="23">
        <f>IF(OR(AJ$1="",$BM213=0),"",SUMIFS(Entries!$E$2:$E$5000,Entries!$C$2:$C$5000,"Actual",Entries!$A$2:$A$5000,"&gt;="&amp;$A213,Entries!$A$2:$A$5000,"&lt;"&amp;EDATE($A213,1),Entries!$B$2:$B$5000,AJ$1))</f>
        <v/>
      </c>
      <c r="AK213" s="23">
        <f>IF(OR(AK$1="",$BM213=0),"",SUMIFS(Entries!$E$2:$E$5000,Entries!$C$2:$C$5000,"Actual",Entries!$A$2:$A$5000,"&gt;="&amp;$A213,Entries!$A$2:$A$5000,"&lt;"&amp;EDATE($A213,1),Entries!$B$2:$B$5000,AK$1))</f>
        <v/>
      </c>
      <c r="AL213" s="23">
        <f>IF(OR(AL$1="",$BM213=0),"",SUMIFS(Entries!$E$2:$E$5000,Entries!$C$2:$C$5000,"Actual",Entries!$A$2:$A$5000,"&gt;="&amp;$A213,Entries!$A$2:$A$5000,"&lt;"&amp;EDATE($A213,1),Entries!$B$2:$B$5000,AL$1))</f>
        <v/>
      </c>
      <c r="AM213" s="23">
        <f>IF(OR(AM$1="",$BM213=0),"",SUMIFS(Entries!$E$2:$E$5000,Entries!$C$2:$C$5000,"Actual",Entries!$A$2:$A$5000,"&gt;="&amp;$A213,Entries!$A$2:$A$5000,"&lt;"&amp;EDATE($A213,1),Entries!$B$2:$B$5000,AM$1))</f>
        <v/>
      </c>
      <c r="AN213" s="23">
        <f>IF(OR(AN$1="",$BM213=0),"",SUMIFS(Entries!$E$2:$E$5000,Entries!$C$2:$C$5000,"Actual",Entries!$A$2:$A$5000,"&gt;="&amp;$A213,Entries!$A$2:$A$5000,"&lt;"&amp;EDATE($A213,1),Entries!$B$2:$B$5000,AN$1))</f>
        <v/>
      </c>
      <c r="AO213" s="23">
        <f>IF(OR(AO$1="",$BM213=0),"",SUMIFS(Entries!$E$2:$E$5000,Entries!$C$2:$C$5000,"Actual",Entries!$A$2:$A$5000,"&gt;="&amp;$A213,Entries!$A$2:$A$5000,"&lt;"&amp;EDATE($A213,1),Entries!$B$2:$B$5000,AO$1))</f>
        <v/>
      </c>
      <c r="AP213" s="23">
        <f>IF(OR(AP$1="",$BM213=0),"",SUMIFS(Entries!$E$2:$E$5000,Entries!$C$2:$C$5000,"Actual",Entries!$A$2:$A$5000,"&gt;="&amp;$A213,Entries!$A$2:$A$5000,"&lt;"&amp;EDATE($A213,1),Entries!$B$2:$B$5000,AP$1))</f>
        <v/>
      </c>
      <c r="AR213" s="23">
        <f>IF(OR(AR$1="",$BM213=0),"",IFERROR(LOOKUP(2,1/((Budgets!$A$2:$A$200=AR$1)*(Budgets!$B$2:$B$200&lt;EDATE($A213,1))),Budgets!$C$2:$C$200),0))</f>
        <v/>
      </c>
      <c r="AS213" s="23">
        <f>IF(OR(AS$1="",$BM213=0),"",IFERROR(LOOKUP(2,1/((Budgets!$A$2:$A$200=AS$1)*(Budgets!$B$2:$B$200&lt;EDATE($A213,1))),Budgets!$C$2:$C$200),0))</f>
        <v/>
      </c>
      <c r="AT213" s="23">
        <f>IF(OR(AT$1="",$BM213=0),"",IFERROR(LOOKUP(2,1/((Budgets!$A$2:$A$200=AT$1)*(Budgets!$B$2:$B$200&lt;EDATE($A213,1))),Budgets!$C$2:$C$200),0))</f>
        <v/>
      </c>
      <c r="AU213" s="23">
        <f>IF(OR(AU$1="",$BM213=0),"",IFERROR(LOOKUP(2,1/((Budgets!$A$2:$A$200=AU$1)*(Budgets!$B$2:$B$200&lt;EDATE($A213,1))),Budgets!$C$2:$C$200),0))</f>
        <v/>
      </c>
      <c r="AV213" s="23">
        <f>IF(OR(AV$1="",$BM213=0),"",IFERROR(LOOKUP(2,1/((Budgets!$A$2:$A$200=AV$1)*(Budgets!$B$2:$B$200&lt;EDATE($A213,1))),Budgets!$C$2:$C$200),0))</f>
        <v/>
      </c>
      <c r="AW213" s="23">
        <f>IF(OR(AW$1="",$BM213=0),"",IFERROR(LOOKUP(2,1/((Budgets!$A$2:$A$200=AW$1)*(Budgets!$B$2:$B$200&lt;EDATE($A213,1))),Budgets!$C$2:$C$200),0))</f>
        <v/>
      </c>
      <c r="AX213" s="23">
        <f>IF(OR(AX$1="",$BM213=0),"",IFERROR(LOOKUP(2,1/((Budgets!$A$2:$A$200=AX$1)*(Budgets!$B$2:$B$200&lt;EDATE($A213,1))),Budgets!$C$2:$C$200),0))</f>
        <v/>
      </c>
      <c r="AY213" s="23">
        <f>IF(OR(AY$1="",$BM213=0),"",IFERROR(LOOKUP(2,1/((Budgets!$A$2:$A$200=AY$1)*(Budgets!$B$2:$B$200&lt;EDATE($A213,1))),Budgets!$C$2:$C$200),0))</f>
        <v/>
      </c>
      <c r="AZ213" s="23">
        <f>IF(OR(AZ$1="",$BM213=0),"",IFERROR(LOOKUP(2,1/((Budgets!$A$2:$A$200=AZ$1)*(Budgets!$B$2:$B$200&lt;EDATE($A213,1))),Budgets!$C$2:$C$200),0))</f>
        <v/>
      </c>
      <c r="BA213" s="23">
        <f>IF(OR(BA$1="",$BM213=0),"",IFERROR(LOOKUP(2,1/((Budgets!$A$2:$A$200=BA$1)*(Budgets!$B$2:$B$200&lt;EDATE($A213,1))),Budgets!$C$2:$C$200),0))</f>
        <v/>
      </c>
      <c r="BB213" s="23">
        <f>IF(OR(BB$1="",$BM213=0),"",IFERROR(LOOKUP(2,1/((Budgets!$A$2:$A$200=BB$1)*(Budgets!$B$2:$B$200&lt;EDATE($A213,1))),Budgets!$C$2:$C$200),0))</f>
        <v/>
      </c>
      <c r="BC213" s="23">
        <f>IF(OR(BC$1="",$BM213=0),"",IFERROR(LOOKUP(2,1/((Budgets!$A$2:$A$200=BC$1)*(Budgets!$B$2:$B$200&lt;EDATE($A213,1))),Budgets!$C$2:$C$200),0))</f>
        <v/>
      </c>
      <c r="BD213" s="23">
        <f>IF(OR(BD$1="",$BM213=0),"",IFERROR(LOOKUP(2,1/((Budgets!$A$2:$A$200=BD$1)*(Budgets!$B$2:$B$200&lt;EDATE($A213,1))),Budgets!$C$2:$C$200),0))</f>
        <v/>
      </c>
      <c r="BE213" s="23">
        <f>IF(OR(BE$1="",$BM213=0),"",IFERROR(LOOKUP(2,1/((Budgets!$A$2:$A$200=BE$1)*(Budgets!$B$2:$B$200&lt;EDATE($A213,1))),Budgets!$C$2:$C$200),0))</f>
        <v/>
      </c>
      <c r="BF213" s="23">
        <f>IF(OR(BF$1="",$BM213=0),"",IFERROR(LOOKUP(2,1/((Budgets!$A$2:$A$200=BF$1)*(Budgets!$B$2:$B$200&lt;EDATE($A213,1))),Budgets!$C$2:$C$200),0))</f>
        <v/>
      </c>
      <c r="BG213" s="23">
        <f>IF(OR(BG$1="",$BM213=0),"",IFERROR(LOOKUP(2,1/((Budgets!$A$2:$A$200=BG$1)*(Budgets!$B$2:$B$200&lt;EDATE($A213,1))),Budgets!$C$2:$C$200),0))</f>
        <v/>
      </c>
      <c r="BH213" s="23">
        <f>IF(OR(BH$1="",$BM213=0),"",IFERROR(LOOKUP(2,1/((Budgets!$A$2:$A$200=BH$1)*(Budgets!$B$2:$B$200&lt;EDATE($A213,1))),Budgets!$C$2:$C$200),0))</f>
        <v/>
      </c>
      <c r="BI213" s="23">
        <f>IF(OR(BI$1="",$BM213=0),"",IFERROR(LOOKUP(2,1/((Budgets!$A$2:$A$200=BI$1)*(Budgets!$B$2:$B$200&lt;EDATE($A213,1))),Budgets!$C$2:$C$200),0))</f>
        <v/>
      </c>
      <c r="BJ213" s="23">
        <f>IF(OR(BJ$1="",$BM213=0),"",IFERROR(LOOKUP(2,1/((Budgets!$A$2:$A$200=BJ$1)*(Budgets!$B$2:$B$200&lt;EDATE($A213,1))),Budgets!$C$2:$C$200),0))</f>
        <v/>
      </c>
      <c r="BK213" s="23">
        <f>IF(OR(BK$1="",$BM213=0),"",IFERROR(LOOKUP(2,1/((Budgets!$A$2:$A$200=BK$1)*(Budgets!$B$2:$B$200&lt;EDATE($A213,1))),Budgets!$C$2:$C$200),0))</f>
        <v/>
      </c>
      <c r="BM213" s="21">
        <f>COUNTIFS(Entries!$A$2:$A$5000,"&gt;="&amp;$A213,Entries!$A$2:$A$5000,"&lt;"&amp;EDATE($A213,1))</f>
        <v/>
      </c>
    </row>
    <row r="214">
      <c r="A214" s="22" t="n">
        <v>45901</v>
      </c>
      <c r="B214" s="23">
        <f>IF($BM214=0,NA(),SUMIFS(Entries!$E$2:$E$5000,Entries!$C$2:$C$5000,"Income",Entries!$A$2:$A$5000,"&gt;="&amp;$A214,Entries!$A$2:$A$5000,"&lt;"&amp;EDATE($A214,1)))</f>
        <v/>
      </c>
      <c r="C214" s="23">
        <f>IF($BM214=0,"",SUMIFS(Entries!$E$2:$E$5000,Entries!$C$2:$C$5000,"Actual",Entries!$A$2:$A$5000,"&gt;="&amp;$A214,Entries!$A$2:$A$5000,"&lt;"&amp;EDATE($A214,1)))</f>
        <v/>
      </c>
      <c r="D214" s="23">
        <f>IF($BM214=0,"",SUMIFS(Entries!$E$2:$E$5000,Entries!$C$2:$C$5000,"One-off",Entries!$A$2:$A$5000,"&gt;="&amp;$A214,Entries!$A$2:$A$5000,"&lt;"&amp;EDATE($A214,1)))</f>
        <v/>
      </c>
      <c r="E214" s="23">
        <f>IF($BM214=0,NA(),C214+D214)</f>
        <v/>
      </c>
      <c r="F214" s="23">
        <f>IF($BM214=0,"",SUM(AR214:BK214))</f>
        <v/>
      </c>
      <c r="G214" s="23">
        <f>IF($BM214=0,"",B214-E214)</f>
        <v/>
      </c>
      <c r="H214" s="23">
        <f>IF($BM214=0,"",SUM($G$2:G214))</f>
        <v/>
      </c>
      <c r="I214" s="23">
        <f>IF($BM214=0,"",SUMIFS(Entries!$G$2:$G$5000,Entries!$A$2:$A$5000,"&gt;="&amp;$A214,Entries!$A$2:$A$5000,"&lt;"&amp;EDATE($A214,1)))</f>
        <v/>
      </c>
      <c r="J214" s="23">
        <f>IF($BM214=0,NA(),H214)</f>
        <v/>
      </c>
      <c r="K214" s="23">
        <f>IF($BM214=0,"",SUMIFS(Entries!$E$2:$E$5000,Entries!$C$2:$C$5000,"Income",Entries!$A$2:$A$5000,"&gt;="&amp;EDATE($A214,-11),Entries!$A$2:$A$5000,"&lt;"&amp;EDATE($A214,1))/COUNTIFS($A$2:$A$400,"&gt;="&amp;EDATE($A214,-11),$A$2:$A$400,"&lt;"&amp;EDATE($A214,1),$BM$2:$BM$400,"&gt;0"))</f>
      </c>
      <c r="L214" s="23">
        <f>IF($BM214=0,"",(SUMIFS(Entries!$E$2:$E$5000,Entries!$C$2:$C$5000,"Actual",Entries!$A$2:$A$5000,"&gt;="&amp;EDATE($A214,-11),Entries!$A$2:$A$5000,"&lt;"&amp;EDATE($A214,1))+SUMIFS(Entries!$E$2:$E$5000,Entries!$C$2:$C$5000,"One-off",Entries!$A$2:$A$5000,"&gt;="&amp;EDATE($A214,-11),Entries!$A$2:$A$5000,"&lt;"&amp;EDATE($A214,1)))/COUNTIFS($A$2:$A$400,"&gt;="&amp;EDATE($A214,-11),$A$2:$A$400,"&lt;"&amp;EDATE($A214,1),$BM$2:$BM$400,"&gt;0"))</f>
      </c>
      <c r="M214" s="24">
        <f>IF($BM214=0,NA(),IFERROR((K214-L214)/K214,0))</f>
        <v/>
      </c>
      <c r="N214" s="23">
        <f>IF($BM214=0,NA(),SUMIFS(Entries!$E$2:$E$5000,Entries!$D$2:$D$5000,"Core",Entries!$A$2:$A$5000,"&gt;="&amp;$A214,Entries!$A$2:$A$5000,"&lt;"&amp;EDATE($A214,1)))</f>
        <v/>
      </c>
      <c r="O214" s="23">
        <f>IF($BM214=0,NA(),SUMIFS(Entries!$E$2:$E$5000,Entries!$D$2:$D$5000,"Over &amp; above",Entries!$A$2:$A$5000,"&gt;="&amp;$A214,Entries!$A$2:$A$5000,"&lt;"&amp;EDATE($A214,1)))</f>
        <v/>
      </c>
      <c r="P214" s="23">
        <f>IF($BM214=0,NA(),SUMIFS(Entries!$E$2:$E$5000,Entries!$D$2:$D$5000,"One-off",Entries!$A$2:$A$5000,"&gt;="&amp;$A214,Entries!$A$2:$A$5000,"&lt;"&amp;EDATE($A214,1)))</f>
        <v/>
      </c>
      <c r="Q214" s="23">
        <f>IF($BM214=0,NA(),SUMIFS(Entries!$E$2:$E$5000,Entries!$D$2:$D$5000,"Reimbursable",Entries!$A$2:$A$5000,"&gt;="&amp;$A214,Entries!$A$2:$A$5000,"&lt;"&amp;EDATE($A214,1)))</f>
        <v/>
      </c>
      <c r="R214" s="23">
        <f>IF($BM214=0,NA(),SUMIFS(Entries!$E$2:$E$5000,Entries!$D$2:$D$5000,"Investment",Entries!$A$2:$A$5000,"&gt;="&amp;$A214,Entries!$A$2:$A$5000,"&lt;"&amp;EDATE($A214,1)))</f>
        <v/>
      </c>
      <c r="S214" s="23">
        <f>IF($BM214=0,NA(),N214+O214)</f>
        <v/>
      </c>
      <c r="T214" s="23">
        <f>IF($BM214=0,"",E214-Q214)</f>
        <v/>
      </c>
      <c r="W214" s="23">
        <f>IF(OR(W$1="",$BM214=0),"",SUMIFS(Entries!$E$2:$E$5000,Entries!$C$2:$C$5000,"Actual",Entries!$A$2:$A$5000,"&gt;="&amp;$A214,Entries!$A$2:$A$5000,"&lt;"&amp;EDATE($A214,1),Entries!$B$2:$B$5000,W$1))</f>
        <v/>
      </c>
      <c r="X214" s="23">
        <f>IF(OR(X$1="",$BM214=0),"",SUMIFS(Entries!$E$2:$E$5000,Entries!$C$2:$C$5000,"Actual",Entries!$A$2:$A$5000,"&gt;="&amp;$A214,Entries!$A$2:$A$5000,"&lt;"&amp;EDATE($A214,1),Entries!$B$2:$B$5000,X$1))</f>
        <v/>
      </c>
      <c r="Y214" s="23">
        <f>IF(OR(Y$1="",$BM214=0),"",SUMIFS(Entries!$E$2:$E$5000,Entries!$C$2:$C$5000,"Actual",Entries!$A$2:$A$5000,"&gt;="&amp;$A214,Entries!$A$2:$A$5000,"&lt;"&amp;EDATE($A214,1),Entries!$B$2:$B$5000,Y$1))</f>
        <v/>
      </c>
      <c r="Z214" s="23">
        <f>IF(OR(Z$1="",$BM214=0),"",SUMIFS(Entries!$E$2:$E$5000,Entries!$C$2:$C$5000,"Actual",Entries!$A$2:$A$5000,"&gt;="&amp;$A214,Entries!$A$2:$A$5000,"&lt;"&amp;EDATE($A214,1),Entries!$B$2:$B$5000,Z$1))</f>
        <v/>
      </c>
      <c r="AA214" s="23">
        <f>IF(OR(AA$1="",$BM214=0),"",SUMIFS(Entries!$E$2:$E$5000,Entries!$C$2:$C$5000,"Actual",Entries!$A$2:$A$5000,"&gt;="&amp;$A214,Entries!$A$2:$A$5000,"&lt;"&amp;EDATE($A214,1),Entries!$B$2:$B$5000,AA$1))</f>
        <v/>
      </c>
      <c r="AB214" s="23">
        <f>IF(OR(AB$1="",$BM214=0),"",SUMIFS(Entries!$E$2:$E$5000,Entries!$C$2:$C$5000,"Actual",Entries!$A$2:$A$5000,"&gt;="&amp;$A214,Entries!$A$2:$A$5000,"&lt;"&amp;EDATE($A214,1),Entries!$B$2:$B$5000,AB$1))</f>
        <v/>
      </c>
      <c r="AC214" s="23">
        <f>IF(OR(AC$1="",$BM214=0),"",SUMIFS(Entries!$E$2:$E$5000,Entries!$C$2:$C$5000,"Actual",Entries!$A$2:$A$5000,"&gt;="&amp;$A214,Entries!$A$2:$A$5000,"&lt;"&amp;EDATE($A214,1),Entries!$B$2:$B$5000,AC$1))</f>
        <v/>
      </c>
      <c r="AD214" s="23">
        <f>IF(OR(AD$1="",$BM214=0),"",SUMIFS(Entries!$E$2:$E$5000,Entries!$C$2:$C$5000,"Actual",Entries!$A$2:$A$5000,"&gt;="&amp;$A214,Entries!$A$2:$A$5000,"&lt;"&amp;EDATE($A214,1),Entries!$B$2:$B$5000,AD$1))</f>
        <v/>
      </c>
      <c r="AE214" s="23">
        <f>IF(OR(AE$1="",$BM214=0),"",SUMIFS(Entries!$E$2:$E$5000,Entries!$C$2:$C$5000,"Actual",Entries!$A$2:$A$5000,"&gt;="&amp;$A214,Entries!$A$2:$A$5000,"&lt;"&amp;EDATE($A214,1),Entries!$B$2:$B$5000,AE$1))</f>
        <v/>
      </c>
      <c r="AF214" s="23">
        <f>IF(OR(AF$1="",$BM214=0),"",SUMIFS(Entries!$E$2:$E$5000,Entries!$C$2:$C$5000,"Actual",Entries!$A$2:$A$5000,"&gt;="&amp;$A214,Entries!$A$2:$A$5000,"&lt;"&amp;EDATE($A214,1),Entries!$B$2:$B$5000,AF$1))</f>
        <v/>
      </c>
      <c r="AG214" s="23">
        <f>IF(OR(AG$1="",$BM214=0),"",SUMIFS(Entries!$E$2:$E$5000,Entries!$C$2:$C$5000,"Actual",Entries!$A$2:$A$5000,"&gt;="&amp;$A214,Entries!$A$2:$A$5000,"&lt;"&amp;EDATE($A214,1),Entries!$B$2:$B$5000,AG$1))</f>
        <v/>
      </c>
      <c r="AH214" s="23">
        <f>IF(OR(AH$1="",$BM214=0),"",SUMIFS(Entries!$E$2:$E$5000,Entries!$C$2:$C$5000,"Actual",Entries!$A$2:$A$5000,"&gt;="&amp;$A214,Entries!$A$2:$A$5000,"&lt;"&amp;EDATE($A214,1),Entries!$B$2:$B$5000,AH$1))</f>
        <v/>
      </c>
      <c r="AI214" s="23">
        <f>IF(OR(AI$1="",$BM214=0),"",SUMIFS(Entries!$E$2:$E$5000,Entries!$C$2:$C$5000,"Actual",Entries!$A$2:$A$5000,"&gt;="&amp;$A214,Entries!$A$2:$A$5000,"&lt;"&amp;EDATE($A214,1),Entries!$B$2:$B$5000,AI$1))</f>
        <v/>
      </c>
      <c r="AJ214" s="23">
        <f>IF(OR(AJ$1="",$BM214=0),"",SUMIFS(Entries!$E$2:$E$5000,Entries!$C$2:$C$5000,"Actual",Entries!$A$2:$A$5000,"&gt;="&amp;$A214,Entries!$A$2:$A$5000,"&lt;"&amp;EDATE($A214,1),Entries!$B$2:$B$5000,AJ$1))</f>
        <v/>
      </c>
      <c r="AK214" s="23">
        <f>IF(OR(AK$1="",$BM214=0),"",SUMIFS(Entries!$E$2:$E$5000,Entries!$C$2:$C$5000,"Actual",Entries!$A$2:$A$5000,"&gt;="&amp;$A214,Entries!$A$2:$A$5000,"&lt;"&amp;EDATE($A214,1),Entries!$B$2:$B$5000,AK$1))</f>
        <v/>
      </c>
      <c r="AL214" s="23">
        <f>IF(OR(AL$1="",$BM214=0),"",SUMIFS(Entries!$E$2:$E$5000,Entries!$C$2:$C$5000,"Actual",Entries!$A$2:$A$5000,"&gt;="&amp;$A214,Entries!$A$2:$A$5000,"&lt;"&amp;EDATE($A214,1),Entries!$B$2:$B$5000,AL$1))</f>
        <v/>
      </c>
      <c r="AM214" s="23">
        <f>IF(OR(AM$1="",$BM214=0),"",SUMIFS(Entries!$E$2:$E$5000,Entries!$C$2:$C$5000,"Actual",Entries!$A$2:$A$5000,"&gt;="&amp;$A214,Entries!$A$2:$A$5000,"&lt;"&amp;EDATE($A214,1),Entries!$B$2:$B$5000,AM$1))</f>
        <v/>
      </c>
      <c r="AN214" s="23">
        <f>IF(OR(AN$1="",$BM214=0),"",SUMIFS(Entries!$E$2:$E$5000,Entries!$C$2:$C$5000,"Actual",Entries!$A$2:$A$5000,"&gt;="&amp;$A214,Entries!$A$2:$A$5000,"&lt;"&amp;EDATE($A214,1),Entries!$B$2:$B$5000,AN$1))</f>
        <v/>
      </c>
      <c r="AO214" s="23">
        <f>IF(OR(AO$1="",$BM214=0),"",SUMIFS(Entries!$E$2:$E$5000,Entries!$C$2:$C$5000,"Actual",Entries!$A$2:$A$5000,"&gt;="&amp;$A214,Entries!$A$2:$A$5000,"&lt;"&amp;EDATE($A214,1),Entries!$B$2:$B$5000,AO$1))</f>
        <v/>
      </c>
      <c r="AP214" s="23">
        <f>IF(OR(AP$1="",$BM214=0),"",SUMIFS(Entries!$E$2:$E$5000,Entries!$C$2:$C$5000,"Actual",Entries!$A$2:$A$5000,"&gt;="&amp;$A214,Entries!$A$2:$A$5000,"&lt;"&amp;EDATE($A214,1),Entries!$B$2:$B$5000,AP$1))</f>
        <v/>
      </c>
      <c r="AR214" s="23">
        <f>IF(OR(AR$1="",$BM214=0),"",IFERROR(LOOKUP(2,1/((Budgets!$A$2:$A$200=AR$1)*(Budgets!$B$2:$B$200&lt;EDATE($A214,1))),Budgets!$C$2:$C$200),0))</f>
        <v/>
      </c>
      <c r="AS214" s="23">
        <f>IF(OR(AS$1="",$BM214=0),"",IFERROR(LOOKUP(2,1/((Budgets!$A$2:$A$200=AS$1)*(Budgets!$B$2:$B$200&lt;EDATE($A214,1))),Budgets!$C$2:$C$200),0))</f>
        <v/>
      </c>
      <c r="AT214" s="23">
        <f>IF(OR(AT$1="",$BM214=0),"",IFERROR(LOOKUP(2,1/((Budgets!$A$2:$A$200=AT$1)*(Budgets!$B$2:$B$200&lt;EDATE($A214,1))),Budgets!$C$2:$C$200),0))</f>
        <v/>
      </c>
      <c r="AU214" s="23">
        <f>IF(OR(AU$1="",$BM214=0),"",IFERROR(LOOKUP(2,1/((Budgets!$A$2:$A$200=AU$1)*(Budgets!$B$2:$B$200&lt;EDATE($A214,1))),Budgets!$C$2:$C$200),0))</f>
        <v/>
      </c>
      <c r="AV214" s="23">
        <f>IF(OR(AV$1="",$BM214=0),"",IFERROR(LOOKUP(2,1/((Budgets!$A$2:$A$200=AV$1)*(Budgets!$B$2:$B$200&lt;EDATE($A214,1))),Budgets!$C$2:$C$200),0))</f>
        <v/>
      </c>
      <c r="AW214" s="23">
        <f>IF(OR(AW$1="",$BM214=0),"",IFERROR(LOOKUP(2,1/((Budgets!$A$2:$A$200=AW$1)*(Budgets!$B$2:$B$200&lt;EDATE($A214,1))),Budgets!$C$2:$C$200),0))</f>
        <v/>
      </c>
      <c r="AX214" s="23">
        <f>IF(OR(AX$1="",$BM214=0),"",IFERROR(LOOKUP(2,1/((Budgets!$A$2:$A$200=AX$1)*(Budgets!$B$2:$B$200&lt;EDATE($A214,1))),Budgets!$C$2:$C$200),0))</f>
        <v/>
      </c>
      <c r="AY214" s="23">
        <f>IF(OR(AY$1="",$BM214=0),"",IFERROR(LOOKUP(2,1/((Budgets!$A$2:$A$200=AY$1)*(Budgets!$B$2:$B$200&lt;EDATE($A214,1))),Budgets!$C$2:$C$200),0))</f>
        <v/>
      </c>
      <c r="AZ214" s="23">
        <f>IF(OR(AZ$1="",$BM214=0),"",IFERROR(LOOKUP(2,1/((Budgets!$A$2:$A$200=AZ$1)*(Budgets!$B$2:$B$200&lt;EDATE($A214,1))),Budgets!$C$2:$C$200),0))</f>
        <v/>
      </c>
      <c r="BA214" s="23">
        <f>IF(OR(BA$1="",$BM214=0),"",IFERROR(LOOKUP(2,1/((Budgets!$A$2:$A$200=BA$1)*(Budgets!$B$2:$B$200&lt;EDATE($A214,1))),Budgets!$C$2:$C$200),0))</f>
        <v/>
      </c>
      <c r="BB214" s="23">
        <f>IF(OR(BB$1="",$BM214=0),"",IFERROR(LOOKUP(2,1/((Budgets!$A$2:$A$200=BB$1)*(Budgets!$B$2:$B$200&lt;EDATE($A214,1))),Budgets!$C$2:$C$200),0))</f>
        <v/>
      </c>
      <c r="BC214" s="23">
        <f>IF(OR(BC$1="",$BM214=0),"",IFERROR(LOOKUP(2,1/((Budgets!$A$2:$A$200=BC$1)*(Budgets!$B$2:$B$200&lt;EDATE($A214,1))),Budgets!$C$2:$C$200),0))</f>
        <v/>
      </c>
      <c r="BD214" s="23">
        <f>IF(OR(BD$1="",$BM214=0),"",IFERROR(LOOKUP(2,1/((Budgets!$A$2:$A$200=BD$1)*(Budgets!$B$2:$B$200&lt;EDATE($A214,1))),Budgets!$C$2:$C$200),0))</f>
        <v/>
      </c>
      <c r="BE214" s="23">
        <f>IF(OR(BE$1="",$BM214=0),"",IFERROR(LOOKUP(2,1/((Budgets!$A$2:$A$200=BE$1)*(Budgets!$B$2:$B$200&lt;EDATE($A214,1))),Budgets!$C$2:$C$200),0))</f>
        <v/>
      </c>
      <c r="BF214" s="23">
        <f>IF(OR(BF$1="",$BM214=0),"",IFERROR(LOOKUP(2,1/((Budgets!$A$2:$A$200=BF$1)*(Budgets!$B$2:$B$200&lt;EDATE($A214,1))),Budgets!$C$2:$C$200),0))</f>
        <v/>
      </c>
      <c r="BG214" s="23">
        <f>IF(OR(BG$1="",$BM214=0),"",IFERROR(LOOKUP(2,1/((Budgets!$A$2:$A$200=BG$1)*(Budgets!$B$2:$B$200&lt;EDATE($A214,1))),Budgets!$C$2:$C$200),0))</f>
        <v/>
      </c>
      <c r="BH214" s="23">
        <f>IF(OR(BH$1="",$BM214=0),"",IFERROR(LOOKUP(2,1/((Budgets!$A$2:$A$200=BH$1)*(Budgets!$B$2:$B$200&lt;EDATE($A214,1))),Budgets!$C$2:$C$200),0))</f>
        <v/>
      </c>
      <c r="BI214" s="23">
        <f>IF(OR(BI$1="",$BM214=0),"",IFERROR(LOOKUP(2,1/((Budgets!$A$2:$A$200=BI$1)*(Budgets!$B$2:$B$200&lt;EDATE($A214,1))),Budgets!$C$2:$C$200),0))</f>
        <v/>
      </c>
      <c r="BJ214" s="23">
        <f>IF(OR(BJ$1="",$BM214=0),"",IFERROR(LOOKUP(2,1/((Budgets!$A$2:$A$200=BJ$1)*(Budgets!$B$2:$B$200&lt;EDATE($A214,1))),Budgets!$C$2:$C$200),0))</f>
        <v/>
      </c>
      <c r="BK214" s="23">
        <f>IF(OR(BK$1="",$BM214=0),"",IFERROR(LOOKUP(2,1/((Budgets!$A$2:$A$200=BK$1)*(Budgets!$B$2:$B$200&lt;EDATE($A214,1))),Budgets!$C$2:$C$200),0))</f>
        <v/>
      </c>
      <c r="BM214" s="21">
        <f>COUNTIFS(Entries!$A$2:$A$5000,"&gt;="&amp;$A214,Entries!$A$2:$A$5000,"&lt;"&amp;EDATE($A214,1))</f>
        <v/>
      </c>
    </row>
    <row r="215">
      <c r="A215" s="22" t="n">
        <v>45931</v>
      </c>
      <c r="B215" s="23">
        <f>IF($BM215=0,NA(),SUMIFS(Entries!$E$2:$E$5000,Entries!$C$2:$C$5000,"Income",Entries!$A$2:$A$5000,"&gt;="&amp;$A215,Entries!$A$2:$A$5000,"&lt;"&amp;EDATE($A215,1)))</f>
        <v/>
      </c>
      <c r="C215" s="23">
        <f>IF($BM215=0,"",SUMIFS(Entries!$E$2:$E$5000,Entries!$C$2:$C$5000,"Actual",Entries!$A$2:$A$5000,"&gt;="&amp;$A215,Entries!$A$2:$A$5000,"&lt;"&amp;EDATE($A215,1)))</f>
        <v/>
      </c>
      <c r="D215" s="23">
        <f>IF($BM215=0,"",SUMIFS(Entries!$E$2:$E$5000,Entries!$C$2:$C$5000,"One-off",Entries!$A$2:$A$5000,"&gt;="&amp;$A215,Entries!$A$2:$A$5000,"&lt;"&amp;EDATE($A215,1)))</f>
        <v/>
      </c>
      <c r="E215" s="23">
        <f>IF($BM215=0,NA(),C215+D215)</f>
        <v/>
      </c>
      <c r="F215" s="23">
        <f>IF($BM215=0,"",SUM(AR215:BK215))</f>
        <v/>
      </c>
      <c r="G215" s="23">
        <f>IF($BM215=0,"",B215-E215)</f>
        <v/>
      </c>
      <c r="H215" s="23">
        <f>IF($BM215=0,"",SUM($G$2:G215))</f>
        <v/>
      </c>
      <c r="I215" s="23">
        <f>IF($BM215=0,"",SUMIFS(Entries!$G$2:$G$5000,Entries!$A$2:$A$5000,"&gt;="&amp;$A215,Entries!$A$2:$A$5000,"&lt;"&amp;EDATE($A215,1)))</f>
        <v/>
      </c>
      <c r="J215" s="23">
        <f>IF($BM215=0,NA(),H215)</f>
        <v/>
      </c>
      <c r="K215" s="23">
        <f>IF($BM215=0,"",SUMIFS(Entries!$E$2:$E$5000,Entries!$C$2:$C$5000,"Income",Entries!$A$2:$A$5000,"&gt;="&amp;EDATE($A215,-11),Entries!$A$2:$A$5000,"&lt;"&amp;EDATE($A215,1))/COUNTIFS($A$2:$A$400,"&gt;="&amp;EDATE($A215,-11),$A$2:$A$400,"&lt;"&amp;EDATE($A215,1),$BM$2:$BM$400,"&gt;0"))</f>
      </c>
      <c r="L215" s="23">
        <f>IF($BM215=0,"",(SUMIFS(Entries!$E$2:$E$5000,Entries!$C$2:$C$5000,"Actual",Entries!$A$2:$A$5000,"&gt;="&amp;EDATE($A215,-11),Entries!$A$2:$A$5000,"&lt;"&amp;EDATE($A215,1))+SUMIFS(Entries!$E$2:$E$5000,Entries!$C$2:$C$5000,"One-off",Entries!$A$2:$A$5000,"&gt;="&amp;EDATE($A215,-11),Entries!$A$2:$A$5000,"&lt;"&amp;EDATE($A215,1)))/COUNTIFS($A$2:$A$400,"&gt;="&amp;EDATE($A215,-11),$A$2:$A$400,"&lt;"&amp;EDATE($A215,1),$BM$2:$BM$400,"&gt;0"))</f>
      </c>
      <c r="M215" s="24">
        <f>IF($BM215=0,NA(),IFERROR((K215-L215)/K215,0))</f>
        <v/>
      </c>
      <c r="N215" s="23">
        <f>IF($BM215=0,NA(),SUMIFS(Entries!$E$2:$E$5000,Entries!$D$2:$D$5000,"Core",Entries!$A$2:$A$5000,"&gt;="&amp;$A215,Entries!$A$2:$A$5000,"&lt;"&amp;EDATE($A215,1)))</f>
        <v/>
      </c>
      <c r="O215" s="23">
        <f>IF($BM215=0,NA(),SUMIFS(Entries!$E$2:$E$5000,Entries!$D$2:$D$5000,"Over &amp; above",Entries!$A$2:$A$5000,"&gt;="&amp;$A215,Entries!$A$2:$A$5000,"&lt;"&amp;EDATE($A215,1)))</f>
        <v/>
      </c>
      <c r="P215" s="23">
        <f>IF($BM215=0,NA(),SUMIFS(Entries!$E$2:$E$5000,Entries!$D$2:$D$5000,"One-off",Entries!$A$2:$A$5000,"&gt;="&amp;$A215,Entries!$A$2:$A$5000,"&lt;"&amp;EDATE($A215,1)))</f>
        <v/>
      </c>
      <c r="Q215" s="23">
        <f>IF($BM215=0,NA(),SUMIFS(Entries!$E$2:$E$5000,Entries!$D$2:$D$5000,"Reimbursable",Entries!$A$2:$A$5000,"&gt;="&amp;$A215,Entries!$A$2:$A$5000,"&lt;"&amp;EDATE($A215,1)))</f>
        <v/>
      </c>
      <c r="R215" s="23">
        <f>IF($BM215=0,NA(),SUMIFS(Entries!$E$2:$E$5000,Entries!$D$2:$D$5000,"Investment",Entries!$A$2:$A$5000,"&gt;="&amp;$A215,Entries!$A$2:$A$5000,"&lt;"&amp;EDATE($A215,1)))</f>
        <v/>
      </c>
      <c r="S215" s="23">
        <f>IF($BM215=0,NA(),N215+O215)</f>
        <v/>
      </c>
      <c r="T215" s="23">
        <f>IF($BM215=0,"",E215-Q215)</f>
        <v/>
      </c>
      <c r="W215" s="23">
        <f>IF(OR(W$1="",$BM215=0),"",SUMIFS(Entries!$E$2:$E$5000,Entries!$C$2:$C$5000,"Actual",Entries!$A$2:$A$5000,"&gt;="&amp;$A215,Entries!$A$2:$A$5000,"&lt;"&amp;EDATE($A215,1),Entries!$B$2:$B$5000,W$1))</f>
        <v/>
      </c>
      <c r="X215" s="23">
        <f>IF(OR(X$1="",$BM215=0),"",SUMIFS(Entries!$E$2:$E$5000,Entries!$C$2:$C$5000,"Actual",Entries!$A$2:$A$5000,"&gt;="&amp;$A215,Entries!$A$2:$A$5000,"&lt;"&amp;EDATE($A215,1),Entries!$B$2:$B$5000,X$1))</f>
        <v/>
      </c>
      <c r="Y215" s="23">
        <f>IF(OR(Y$1="",$BM215=0),"",SUMIFS(Entries!$E$2:$E$5000,Entries!$C$2:$C$5000,"Actual",Entries!$A$2:$A$5000,"&gt;="&amp;$A215,Entries!$A$2:$A$5000,"&lt;"&amp;EDATE($A215,1),Entries!$B$2:$B$5000,Y$1))</f>
        <v/>
      </c>
      <c r="Z215" s="23">
        <f>IF(OR(Z$1="",$BM215=0),"",SUMIFS(Entries!$E$2:$E$5000,Entries!$C$2:$C$5000,"Actual",Entries!$A$2:$A$5000,"&gt;="&amp;$A215,Entries!$A$2:$A$5000,"&lt;"&amp;EDATE($A215,1),Entries!$B$2:$B$5000,Z$1))</f>
        <v/>
      </c>
      <c r="AA215" s="23">
        <f>IF(OR(AA$1="",$BM215=0),"",SUMIFS(Entries!$E$2:$E$5000,Entries!$C$2:$C$5000,"Actual",Entries!$A$2:$A$5000,"&gt;="&amp;$A215,Entries!$A$2:$A$5000,"&lt;"&amp;EDATE($A215,1),Entries!$B$2:$B$5000,AA$1))</f>
        <v/>
      </c>
      <c r="AB215" s="23">
        <f>IF(OR(AB$1="",$BM215=0),"",SUMIFS(Entries!$E$2:$E$5000,Entries!$C$2:$C$5000,"Actual",Entries!$A$2:$A$5000,"&gt;="&amp;$A215,Entries!$A$2:$A$5000,"&lt;"&amp;EDATE($A215,1),Entries!$B$2:$B$5000,AB$1))</f>
        <v/>
      </c>
      <c r="AC215" s="23">
        <f>IF(OR(AC$1="",$BM215=0),"",SUMIFS(Entries!$E$2:$E$5000,Entries!$C$2:$C$5000,"Actual",Entries!$A$2:$A$5000,"&gt;="&amp;$A215,Entries!$A$2:$A$5000,"&lt;"&amp;EDATE($A215,1),Entries!$B$2:$B$5000,AC$1))</f>
        <v/>
      </c>
      <c r="AD215" s="23">
        <f>IF(OR(AD$1="",$BM215=0),"",SUMIFS(Entries!$E$2:$E$5000,Entries!$C$2:$C$5000,"Actual",Entries!$A$2:$A$5000,"&gt;="&amp;$A215,Entries!$A$2:$A$5000,"&lt;"&amp;EDATE($A215,1),Entries!$B$2:$B$5000,AD$1))</f>
        <v/>
      </c>
      <c r="AE215" s="23">
        <f>IF(OR(AE$1="",$BM215=0),"",SUMIFS(Entries!$E$2:$E$5000,Entries!$C$2:$C$5000,"Actual",Entries!$A$2:$A$5000,"&gt;="&amp;$A215,Entries!$A$2:$A$5000,"&lt;"&amp;EDATE($A215,1),Entries!$B$2:$B$5000,AE$1))</f>
        <v/>
      </c>
      <c r="AF215" s="23">
        <f>IF(OR(AF$1="",$BM215=0),"",SUMIFS(Entries!$E$2:$E$5000,Entries!$C$2:$C$5000,"Actual",Entries!$A$2:$A$5000,"&gt;="&amp;$A215,Entries!$A$2:$A$5000,"&lt;"&amp;EDATE($A215,1),Entries!$B$2:$B$5000,AF$1))</f>
        <v/>
      </c>
      <c r="AG215" s="23">
        <f>IF(OR(AG$1="",$BM215=0),"",SUMIFS(Entries!$E$2:$E$5000,Entries!$C$2:$C$5000,"Actual",Entries!$A$2:$A$5000,"&gt;="&amp;$A215,Entries!$A$2:$A$5000,"&lt;"&amp;EDATE($A215,1),Entries!$B$2:$B$5000,AG$1))</f>
        <v/>
      </c>
      <c r="AH215" s="23">
        <f>IF(OR(AH$1="",$BM215=0),"",SUMIFS(Entries!$E$2:$E$5000,Entries!$C$2:$C$5000,"Actual",Entries!$A$2:$A$5000,"&gt;="&amp;$A215,Entries!$A$2:$A$5000,"&lt;"&amp;EDATE($A215,1),Entries!$B$2:$B$5000,AH$1))</f>
        <v/>
      </c>
      <c r="AI215" s="23">
        <f>IF(OR(AI$1="",$BM215=0),"",SUMIFS(Entries!$E$2:$E$5000,Entries!$C$2:$C$5000,"Actual",Entries!$A$2:$A$5000,"&gt;="&amp;$A215,Entries!$A$2:$A$5000,"&lt;"&amp;EDATE($A215,1),Entries!$B$2:$B$5000,AI$1))</f>
        <v/>
      </c>
      <c r="AJ215" s="23">
        <f>IF(OR(AJ$1="",$BM215=0),"",SUMIFS(Entries!$E$2:$E$5000,Entries!$C$2:$C$5000,"Actual",Entries!$A$2:$A$5000,"&gt;="&amp;$A215,Entries!$A$2:$A$5000,"&lt;"&amp;EDATE($A215,1),Entries!$B$2:$B$5000,AJ$1))</f>
        <v/>
      </c>
      <c r="AK215" s="23">
        <f>IF(OR(AK$1="",$BM215=0),"",SUMIFS(Entries!$E$2:$E$5000,Entries!$C$2:$C$5000,"Actual",Entries!$A$2:$A$5000,"&gt;="&amp;$A215,Entries!$A$2:$A$5000,"&lt;"&amp;EDATE($A215,1),Entries!$B$2:$B$5000,AK$1))</f>
        <v/>
      </c>
      <c r="AL215" s="23">
        <f>IF(OR(AL$1="",$BM215=0),"",SUMIFS(Entries!$E$2:$E$5000,Entries!$C$2:$C$5000,"Actual",Entries!$A$2:$A$5000,"&gt;="&amp;$A215,Entries!$A$2:$A$5000,"&lt;"&amp;EDATE($A215,1),Entries!$B$2:$B$5000,AL$1))</f>
        <v/>
      </c>
      <c r="AM215" s="23">
        <f>IF(OR(AM$1="",$BM215=0),"",SUMIFS(Entries!$E$2:$E$5000,Entries!$C$2:$C$5000,"Actual",Entries!$A$2:$A$5000,"&gt;="&amp;$A215,Entries!$A$2:$A$5000,"&lt;"&amp;EDATE($A215,1),Entries!$B$2:$B$5000,AM$1))</f>
        <v/>
      </c>
      <c r="AN215" s="23">
        <f>IF(OR(AN$1="",$BM215=0),"",SUMIFS(Entries!$E$2:$E$5000,Entries!$C$2:$C$5000,"Actual",Entries!$A$2:$A$5000,"&gt;="&amp;$A215,Entries!$A$2:$A$5000,"&lt;"&amp;EDATE($A215,1),Entries!$B$2:$B$5000,AN$1))</f>
        <v/>
      </c>
      <c r="AO215" s="23">
        <f>IF(OR(AO$1="",$BM215=0),"",SUMIFS(Entries!$E$2:$E$5000,Entries!$C$2:$C$5000,"Actual",Entries!$A$2:$A$5000,"&gt;="&amp;$A215,Entries!$A$2:$A$5000,"&lt;"&amp;EDATE($A215,1),Entries!$B$2:$B$5000,AO$1))</f>
        <v/>
      </c>
      <c r="AP215" s="23">
        <f>IF(OR(AP$1="",$BM215=0),"",SUMIFS(Entries!$E$2:$E$5000,Entries!$C$2:$C$5000,"Actual",Entries!$A$2:$A$5000,"&gt;="&amp;$A215,Entries!$A$2:$A$5000,"&lt;"&amp;EDATE($A215,1),Entries!$B$2:$B$5000,AP$1))</f>
        <v/>
      </c>
      <c r="AR215" s="23">
        <f>IF(OR(AR$1="",$BM215=0),"",IFERROR(LOOKUP(2,1/((Budgets!$A$2:$A$200=AR$1)*(Budgets!$B$2:$B$200&lt;EDATE($A215,1))),Budgets!$C$2:$C$200),0))</f>
        <v/>
      </c>
      <c r="AS215" s="23">
        <f>IF(OR(AS$1="",$BM215=0),"",IFERROR(LOOKUP(2,1/((Budgets!$A$2:$A$200=AS$1)*(Budgets!$B$2:$B$200&lt;EDATE($A215,1))),Budgets!$C$2:$C$200),0))</f>
        <v/>
      </c>
      <c r="AT215" s="23">
        <f>IF(OR(AT$1="",$BM215=0),"",IFERROR(LOOKUP(2,1/((Budgets!$A$2:$A$200=AT$1)*(Budgets!$B$2:$B$200&lt;EDATE($A215,1))),Budgets!$C$2:$C$200),0))</f>
        <v/>
      </c>
      <c r="AU215" s="23">
        <f>IF(OR(AU$1="",$BM215=0),"",IFERROR(LOOKUP(2,1/((Budgets!$A$2:$A$200=AU$1)*(Budgets!$B$2:$B$200&lt;EDATE($A215,1))),Budgets!$C$2:$C$200),0))</f>
        <v/>
      </c>
      <c r="AV215" s="23">
        <f>IF(OR(AV$1="",$BM215=0),"",IFERROR(LOOKUP(2,1/((Budgets!$A$2:$A$200=AV$1)*(Budgets!$B$2:$B$200&lt;EDATE($A215,1))),Budgets!$C$2:$C$200),0))</f>
        <v/>
      </c>
      <c r="AW215" s="23">
        <f>IF(OR(AW$1="",$BM215=0),"",IFERROR(LOOKUP(2,1/((Budgets!$A$2:$A$200=AW$1)*(Budgets!$B$2:$B$200&lt;EDATE($A215,1))),Budgets!$C$2:$C$200),0))</f>
        <v/>
      </c>
      <c r="AX215" s="23">
        <f>IF(OR(AX$1="",$BM215=0),"",IFERROR(LOOKUP(2,1/((Budgets!$A$2:$A$200=AX$1)*(Budgets!$B$2:$B$200&lt;EDATE($A215,1))),Budgets!$C$2:$C$200),0))</f>
        <v/>
      </c>
      <c r="AY215" s="23">
        <f>IF(OR(AY$1="",$BM215=0),"",IFERROR(LOOKUP(2,1/((Budgets!$A$2:$A$200=AY$1)*(Budgets!$B$2:$B$200&lt;EDATE($A215,1))),Budgets!$C$2:$C$200),0))</f>
        <v/>
      </c>
      <c r="AZ215" s="23">
        <f>IF(OR(AZ$1="",$BM215=0),"",IFERROR(LOOKUP(2,1/((Budgets!$A$2:$A$200=AZ$1)*(Budgets!$B$2:$B$200&lt;EDATE($A215,1))),Budgets!$C$2:$C$200),0))</f>
        <v/>
      </c>
      <c r="BA215" s="23">
        <f>IF(OR(BA$1="",$BM215=0),"",IFERROR(LOOKUP(2,1/((Budgets!$A$2:$A$200=BA$1)*(Budgets!$B$2:$B$200&lt;EDATE($A215,1))),Budgets!$C$2:$C$200),0))</f>
        <v/>
      </c>
      <c r="BB215" s="23">
        <f>IF(OR(BB$1="",$BM215=0),"",IFERROR(LOOKUP(2,1/((Budgets!$A$2:$A$200=BB$1)*(Budgets!$B$2:$B$200&lt;EDATE($A215,1))),Budgets!$C$2:$C$200),0))</f>
        <v/>
      </c>
      <c r="BC215" s="23">
        <f>IF(OR(BC$1="",$BM215=0),"",IFERROR(LOOKUP(2,1/((Budgets!$A$2:$A$200=BC$1)*(Budgets!$B$2:$B$200&lt;EDATE($A215,1))),Budgets!$C$2:$C$200),0))</f>
        <v/>
      </c>
      <c r="BD215" s="23">
        <f>IF(OR(BD$1="",$BM215=0),"",IFERROR(LOOKUP(2,1/((Budgets!$A$2:$A$200=BD$1)*(Budgets!$B$2:$B$200&lt;EDATE($A215,1))),Budgets!$C$2:$C$200),0))</f>
        <v/>
      </c>
      <c r="BE215" s="23">
        <f>IF(OR(BE$1="",$BM215=0),"",IFERROR(LOOKUP(2,1/((Budgets!$A$2:$A$200=BE$1)*(Budgets!$B$2:$B$200&lt;EDATE($A215,1))),Budgets!$C$2:$C$200),0))</f>
        <v/>
      </c>
      <c r="BF215" s="23">
        <f>IF(OR(BF$1="",$BM215=0),"",IFERROR(LOOKUP(2,1/((Budgets!$A$2:$A$200=BF$1)*(Budgets!$B$2:$B$200&lt;EDATE($A215,1))),Budgets!$C$2:$C$200),0))</f>
        <v/>
      </c>
      <c r="BG215" s="23">
        <f>IF(OR(BG$1="",$BM215=0),"",IFERROR(LOOKUP(2,1/((Budgets!$A$2:$A$200=BG$1)*(Budgets!$B$2:$B$200&lt;EDATE($A215,1))),Budgets!$C$2:$C$200),0))</f>
        <v/>
      </c>
      <c r="BH215" s="23">
        <f>IF(OR(BH$1="",$BM215=0),"",IFERROR(LOOKUP(2,1/((Budgets!$A$2:$A$200=BH$1)*(Budgets!$B$2:$B$200&lt;EDATE($A215,1))),Budgets!$C$2:$C$200),0))</f>
        <v/>
      </c>
      <c r="BI215" s="23">
        <f>IF(OR(BI$1="",$BM215=0),"",IFERROR(LOOKUP(2,1/((Budgets!$A$2:$A$200=BI$1)*(Budgets!$B$2:$B$200&lt;EDATE($A215,1))),Budgets!$C$2:$C$200),0))</f>
        <v/>
      </c>
      <c r="BJ215" s="23">
        <f>IF(OR(BJ$1="",$BM215=0),"",IFERROR(LOOKUP(2,1/((Budgets!$A$2:$A$200=BJ$1)*(Budgets!$B$2:$B$200&lt;EDATE($A215,1))),Budgets!$C$2:$C$200),0))</f>
        <v/>
      </c>
      <c r="BK215" s="23">
        <f>IF(OR(BK$1="",$BM215=0),"",IFERROR(LOOKUP(2,1/((Budgets!$A$2:$A$200=BK$1)*(Budgets!$B$2:$B$200&lt;EDATE($A215,1))),Budgets!$C$2:$C$200),0))</f>
        <v/>
      </c>
      <c r="BM215" s="21">
        <f>COUNTIFS(Entries!$A$2:$A$5000,"&gt;="&amp;$A215,Entries!$A$2:$A$5000,"&lt;"&amp;EDATE($A215,1))</f>
        <v/>
      </c>
    </row>
    <row r="216">
      <c r="A216" s="22" t="n">
        <v>45962</v>
      </c>
      <c r="B216" s="23">
        <f>IF($BM216=0,NA(),SUMIFS(Entries!$E$2:$E$5000,Entries!$C$2:$C$5000,"Income",Entries!$A$2:$A$5000,"&gt;="&amp;$A216,Entries!$A$2:$A$5000,"&lt;"&amp;EDATE($A216,1)))</f>
        <v/>
      </c>
      <c r="C216" s="23">
        <f>IF($BM216=0,"",SUMIFS(Entries!$E$2:$E$5000,Entries!$C$2:$C$5000,"Actual",Entries!$A$2:$A$5000,"&gt;="&amp;$A216,Entries!$A$2:$A$5000,"&lt;"&amp;EDATE($A216,1)))</f>
        <v/>
      </c>
      <c r="D216" s="23">
        <f>IF($BM216=0,"",SUMIFS(Entries!$E$2:$E$5000,Entries!$C$2:$C$5000,"One-off",Entries!$A$2:$A$5000,"&gt;="&amp;$A216,Entries!$A$2:$A$5000,"&lt;"&amp;EDATE($A216,1)))</f>
        <v/>
      </c>
      <c r="E216" s="23">
        <f>IF($BM216=0,NA(),C216+D216)</f>
        <v/>
      </c>
      <c r="F216" s="23">
        <f>IF($BM216=0,"",SUM(AR216:BK216))</f>
        <v/>
      </c>
      <c r="G216" s="23">
        <f>IF($BM216=0,"",B216-E216)</f>
        <v/>
      </c>
      <c r="H216" s="23">
        <f>IF($BM216=0,"",SUM($G$2:G216))</f>
        <v/>
      </c>
      <c r="I216" s="23">
        <f>IF($BM216=0,"",SUMIFS(Entries!$G$2:$G$5000,Entries!$A$2:$A$5000,"&gt;="&amp;$A216,Entries!$A$2:$A$5000,"&lt;"&amp;EDATE($A216,1)))</f>
        <v/>
      </c>
      <c r="J216" s="23">
        <f>IF($BM216=0,NA(),H216)</f>
        <v/>
      </c>
      <c r="K216" s="23">
        <f>IF($BM216=0,"",SUMIFS(Entries!$E$2:$E$5000,Entries!$C$2:$C$5000,"Income",Entries!$A$2:$A$5000,"&gt;="&amp;EDATE($A216,-11),Entries!$A$2:$A$5000,"&lt;"&amp;EDATE($A216,1))/COUNTIFS($A$2:$A$400,"&gt;="&amp;EDATE($A216,-11),$A$2:$A$400,"&lt;"&amp;EDATE($A216,1),$BM$2:$BM$400,"&gt;0"))</f>
      </c>
      <c r="L216" s="23">
        <f>IF($BM216=0,"",(SUMIFS(Entries!$E$2:$E$5000,Entries!$C$2:$C$5000,"Actual",Entries!$A$2:$A$5000,"&gt;="&amp;EDATE($A216,-11),Entries!$A$2:$A$5000,"&lt;"&amp;EDATE($A216,1))+SUMIFS(Entries!$E$2:$E$5000,Entries!$C$2:$C$5000,"One-off",Entries!$A$2:$A$5000,"&gt;="&amp;EDATE($A216,-11),Entries!$A$2:$A$5000,"&lt;"&amp;EDATE($A216,1)))/COUNTIFS($A$2:$A$400,"&gt;="&amp;EDATE($A216,-11),$A$2:$A$400,"&lt;"&amp;EDATE($A216,1),$BM$2:$BM$400,"&gt;0"))</f>
      </c>
      <c r="M216" s="24">
        <f>IF($BM216=0,NA(),IFERROR((K216-L216)/K216,0))</f>
        <v/>
      </c>
      <c r="N216" s="23">
        <f>IF($BM216=0,NA(),SUMIFS(Entries!$E$2:$E$5000,Entries!$D$2:$D$5000,"Core",Entries!$A$2:$A$5000,"&gt;="&amp;$A216,Entries!$A$2:$A$5000,"&lt;"&amp;EDATE($A216,1)))</f>
        <v/>
      </c>
      <c r="O216" s="23">
        <f>IF($BM216=0,NA(),SUMIFS(Entries!$E$2:$E$5000,Entries!$D$2:$D$5000,"Over &amp; above",Entries!$A$2:$A$5000,"&gt;="&amp;$A216,Entries!$A$2:$A$5000,"&lt;"&amp;EDATE($A216,1)))</f>
        <v/>
      </c>
      <c r="P216" s="23">
        <f>IF($BM216=0,NA(),SUMIFS(Entries!$E$2:$E$5000,Entries!$D$2:$D$5000,"One-off",Entries!$A$2:$A$5000,"&gt;="&amp;$A216,Entries!$A$2:$A$5000,"&lt;"&amp;EDATE($A216,1)))</f>
        <v/>
      </c>
      <c r="Q216" s="23">
        <f>IF($BM216=0,NA(),SUMIFS(Entries!$E$2:$E$5000,Entries!$D$2:$D$5000,"Reimbursable",Entries!$A$2:$A$5000,"&gt;="&amp;$A216,Entries!$A$2:$A$5000,"&lt;"&amp;EDATE($A216,1)))</f>
        <v/>
      </c>
      <c r="R216" s="23">
        <f>IF($BM216=0,NA(),SUMIFS(Entries!$E$2:$E$5000,Entries!$D$2:$D$5000,"Investment",Entries!$A$2:$A$5000,"&gt;="&amp;$A216,Entries!$A$2:$A$5000,"&lt;"&amp;EDATE($A216,1)))</f>
        <v/>
      </c>
      <c r="S216" s="23">
        <f>IF($BM216=0,NA(),N216+O216)</f>
        <v/>
      </c>
      <c r="T216" s="23">
        <f>IF($BM216=0,"",E216-Q216)</f>
        <v/>
      </c>
      <c r="W216" s="23">
        <f>IF(OR(W$1="",$BM216=0),"",SUMIFS(Entries!$E$2:$E$5000,Entries!$C$2:$C$5000,"Actual",Entries!$A$2:$A$5000,"&gt;="&amp;$A216,Entries!$A$2:$A$5000,"&lt;"&amp;EDATE($A216,1),Entries!$B$2:$B$5000,W$1))</f>
        <v/>
      </c>
      <c r="X216" s="23">
        <f>IF(OR(X$1="",$BM216=0),"",SUMIFS(Entries!$E$2:$E$5000,Entries!$C$2:$C$5000,"Actual",Entries!$A$2:$A$5000,"&gt;="&amp;$A216,Entries!$A$2:$A$5000,"&lt;"&amp;EDATE($A216,1),Entries!$B$2:$B$5000,X$1))</f>
        <v/>
      </c>
      <c r="Y216" s="23">
        <f>IF(OR(Y$1="",$BM216=0),"",SUMIFS(Entries!$E$2:$E$5000,Entries!$C$2:$C$5000,"Actual",Entries!$A$2:$A$5000,"&gt;="&amp;$A216,Entries!$A$2:$A$5000,"&lt;"&amp;EDATE($A216,1),Entries!$B$2:$B$5000,Y$1))</f>
        <v/>
      </c>
      <c r="Z216" s="23">
        <f>IF(OR(Z$1="",$BM216=0),"",SUMIFS(Entries!$E$2:$E$5000,Entries!$C$2:$C$5000,"Actual",Entries!$A$2:$A$5000,"&gt;="&amp;$A216,Entries!$A$2:$A$5000,"&lt;"&amp;EDATE($A216,1),Entries!$B$2:$B$5000,Z$1))</f>
        <v/>
      </c>
      <c r="AA216" s="23">
        <f>IF(OR(AA$1="",$BM216=0),"",SUMIFS(Entries!$E$2:$E$5000,Entries!$C$2:$C$5000,"Actual",Entries!$A$2:$A$5000,"&gt;="&amp;$A216,Entries!$A$2:$A$5000,"&lt;"&amp;EDATE($A216,1),Entries!$B$2:$B$5000,AA$1))</f>
        <v/>
      </c>
      <c r="AB216" s="23">
        <f>IF(OR(AB$1="",$BM216=0),"",SUMIFS(Entries!$E$2:$E$5000,Entries!$C$2:$C$5000,"Actual",Entries!$A$2:$A$5000,"&gt;="&amp;$A216,Entries!$A$2:$A$5000,"&lt;"&amp;EDATE($A216,1),Entries!$B$2:$B$5000,AB$1))</f>
        <v/>
      </c>
      <c r="AC216" s="23">
        <f>IF(OR(AC$1="",$BM216=0),"",SUMIFS(Entries!$E$2:$E$5000,Entries!$C$2:$C$5000,"Actual",Entries!$A$2:$A$5000,"&gt;="&amp;$A216,Entries!$A$2:$A$5000,"&lt;"&amp;EDATE($A216,1),Entries!$B$2:$B$5000,AC$1))</f>
        <v/>
      </c>
      <c r="AD216" s="23">
        <f>IF(OR(AD$1="",$BM216=0),"",SUMIFS(Entries!$E$2:$E$5000,Entries!$C$2:$C$5000,"Actual",Entries!$A$2:$A$5000,"&gt;="&amp;$A216,Entries!$A$2:$A$5000,"&lt;"&amp;EDATE($A216,1),Entries!$B$2:$B$5000,AD$1))</f>
        <v/>
      </c>
      <c r="AE216" s="23">
        <f>IF(OR(AE$1="",$BM216=0),"",SUMIFS(Entries!$E$2:$E$5000,Entries!$C$2:$C$5000,"Actual",Entries!$A$2:$A$5000,"&gt;="&amp;$A216,Entries!$A$2:$A$5000,"&lt;"&amp;EDATE($A216,1),Entries!$B$2:$B$5000,AE$1))</f>
        <v/>
      </c>
      <c r="AF216" s="23">
        <f>IF(OR(AF$1="",$BM216=0),"",SUMIFS(Entries!$E$2:$E$5000,Entries!$C$2:$C$5000,"Actual",Entries!$A$2:$A$5000,"&gt;="&amp;$A216,Entries!$A$2:$A$5000,"&lt;"&amp;EDATE($A216,1),Entries!$B$2:$B$5000,AF$1))</f>
        <v/>
      </c>
      <c r="AG216" s="23">
        <f>IF(OR(AG$1="",$BM216=0),"",SUMIFS(Entries!$E$2:$E$5000,Entries!$C$2:$C$5000,"Actual",Entries!$A$2:$A$5000,"&gt;="&amp;$A216,Entries!$A$2:$A$5000,"&lt;"&amp;EDATE($A216,1),Entries!$B$2:$B$5000,AG$1))</f>
        <v/>
      </c>
      <c r="AH216" s="23">
        <f>IF(OR(AH$1="",$BM216=0),"",SUMIFS(Entries!$E$2:$E$5000,Entries!$C$2:$C$5000,"Actual",Entries!$A$2:$A$5000,"&gt;="&amp;$A216,Entries!$A$2:$A$5000,"&lt;"&amp;EDATE($A216,1),Entries!$B$2:$B$5000,AH$1))</f>
        <v/>
      </c>
      <c r="AI216" s="23">
        <f>IF(OR(AI$1="",$BM216=0),"",SUMIFS(Entries!$E$2:$E$5000,Entries!$C$2:$C$5000,"Actual",Entries!$A$2:$A$5000,"&gt;="&amp;$A216,Entries!$A$2:$A$5000,"&lt;"&amp;EDATE($A216,1),Entries!$B$2:$B$5000,AI$1))</f>
        <v/>
      </c>
      <c r="AJ216" s="23">
        <f>IF(OR(AJ$1="",$BM216=0),"",SUMIFS(Entries!$E$2:$E$5000,Entries!$C$2:$C$5000,"Actual",Entries!$A$2:$A$5000,"&gt;="&amp;$A216,Entries!$A$2:$A$5000,"&lt;"&amp;EDATE($A216,1),Entries!$B$2:$B$5000,AJ$1))</f>
        <v/>
      </c>
      <c r="AK216" s="23">
        <f>IF(OR(AK$1="",$BM216=0),"",SUMIFS(Entries!$E$2:$E$5000,Entries!$C$2:$C$5000,"Actual",Entries!$A$2:$A$5000,"&gt;="&amp;$A216,Entries!$A$2:$A$5000,"&lt;"&amp;EDATE($A216,1),Entries!$B$2:$B$5000,AK$1))</f>
        <v/>
      </c>
      <c r="AL216" s="23">
        <f>IF(OR(AL$1="",$BM216=0),"",SUMIFS(Entries!$E$2:$E$5000,Entries!$C$2:$C$5000,"Actual",Entries!$A$2:$A$5000,"&gt;="&amp;$A216,Entries!$A$2:$A$5000,"&lt;"&amp;EDATE($A216,1),Entries!$B$2:$B$5000,AL$1))</f>
        <v/>
      </c>
      <c r="AM216" s="23">
        <f>IF(OR(AM$1="",$BM216=0),"",SUMIFS(Entries!$E$2:$E$5000,Entries!$C$2:$C$5000,"Actual",Entries!$A$2:$A$5000,"&gt;="&amp;$A216,Entries!$A$2:$A$5000,"&lt;"&amp;EDATE($A216,1),Entries!$B$2:$B$5000,AM$1))</f>
        <v/>
      </c>
      <c r="AN216" s="23">
        <f>IF(OR(AN$1="",$BM216=0),"",SUMIFS(Entries!$E$2:$E$5000,Entries!$C$2:$C$5000,"Actual",Entries!$A$2:$A$5000,"&gt;="&amp;$A216,Entries!$A$2:$A$5000,"&lt;"&amp;EDATE($A216,1),Entries!$B$2:$B$5000,AN$1))</f>
        <v/>
      </c>
      <c r="AO216" s="23">
        <f>IF(OR(AO$1="",$BM216=0),"",SUMIFS(Entries!$E$2:$E$5000,Entries!$C$2:$C$5000,"Actual",Entries!$A$2:$A$5000,"&gt;="&amp;$A216,Entries!$A$2:$A$5000,"&lt;"&amp;EDATE($A216,1),Entries!$B$2:$B$5000,AO$1))</f>
        <v/>
      </c>
      <c r="AP216" s="23">
        <f>IF(OR(AP$1="",$BM216=0),"",SUMIFS(Entries!$E$2:$E$5000,Entries!$C$2:$C$5000,"Actual",Entries!$A$2:$A$5000,"&gt;="&amp;$A216,Entries!$A$2:$A$5000,"&lt;"&amp;EDATE($A216,1),Entries!$B$2:$B$5000,AP$1))</f>
        <v/>
      </c>
      <c r="AR216" s="23">
        <f>IF(OR(AR$1="",$BM216=0),"",IFERROR(LOOKUP(2,1/((Budgets!$A$2:$A$200=AR$1)*(Budgets!$B$2:$B$200&lt;EDATE($A216,1))),Budgets!$C$2:$C$200),0))</f>
        <v/>
      </c>
      <c r="AS216" s="23">
        <f>IF(OR(AS$1="",$BM216=0),"",IFERROR(LOOKUP(2,1/((Budgets!$A$2:$A$200=AS$1)*(Budgets!$B$2:$B$200&lt;EDATE($A216,1))),Budgets!$C$2:$C$200),0))</f>
        <v/>
      </c>
      <c r="AT216" s="23">
        <f>IF(OR(AT$1="",$BM216=0),"",IFERROR(LOOKUP(2,1/((Budgets!$A$2:$A$200=AT$1)*(Budgets!$B$2:$B$200&lt;EDATE($A216,1))),Budgets!$C$2:$C$200),0))</f>
        <v/>
      </c>
      <c r="AU216" s="23">
        <f>IF(OR(AU$1="",$BM216=0),"",IFERROR(LOOKUP(2,1/((Budgets!$A$2:$A$200=AU$1)*(Budgets!$B$2:$B$200&lt;EDATE($A216,1))),Budgets!$C$2:$C$200),0))</f>
        <v/>
      </c>
      <c r="AV216" s="23">
        <f>IF(OR(AV$1="",$BM216=0),"",IFERROR(LOOKUP(2,1/((Budgets!$A$2:$A$200=AV$1)*(Budgets!$B$2:$B$200&lt;EDATE($A216,1))),Budgets!$C$2:$C$200),0))</f>
        <v/>
      </c>
      <c r="AW216" s="23">
        <f>IF(OR(AW$1="",$BM216=0),"",IFERROR(LOOKUP(2,1/((Budgets!$A$2:$A$200=AW$1)*(Budgets!$B$2:$B$200&lt;EDATE($A216,1))),Budgets!$C$2:$C$200),0))</f>
        <v/>
      </c>
      <c r="AX216" s="23">
        <f>IF(OR(AX$1="",$BM216=0),"",IFERROR(LOOKUP(2,1/((Budgets!$A$2:$A$200=AX$1)*(Budgets!$B$2:$B$200&lt;EDATE($A216,1))),Budgets!$C$2:$C$200),0))</f>
        <v/>
      </c>
      <c r="AY216" s="23">
        <f>IF(OR(AY$1="",$BM216=0),"",IFERROR(LOOKUP(2,1/((Budgets!$A$2:$A$200=AY$1)*(Budgets!$B$2:$B$200&lt;EDATE($A216,1))),Budgets!$C$2:$C$200),0))</f>
        <v/>
      </c>
      <c r="AZ216" s="23">
        <f>IF(OR(AZ$1="",$BM216=0),"",IFERROR(LOOKUP(2,1/((Budgets!$A$2:$A$200=AZ$1)*(Budgets!$B$2:$B$200&lt;EDATE($A216,1))),Budgets!$C$2:$C$200),0))</f>
        <v/>
      </c>
      <c r="BA216" s="23">
        <f>IF(OR(BA$1="",$BM216=0),"",IFERROR(LOOKUP(2,1/((Budgets!$A$2:$A$200=BA$1)*(Budgets!$B$2:$B$200&lt;EDATE($A216,1))),Budgets!$C$2:$C$200),0))</f>
        <v/>
      </c>
      <c r="BB216" s="23">
        <f>IF(OR(BB$1="",$BM216=0),"",IFERROR(LOOKUP(2,1/((Budgets!$A$2:$A$200=BB$1)*(Budgets!$B$2:$B$200&lt;EDATE($A216,1))),Budgets!$C$2:$C$200),0))</f>
        <v/>
      </c>
      <c r="BC216" s="23">
        <f>IF(OR(BC$1="",$BM216=0),"",IFERROR(LOOKUP(2,1/((Budgets!$A$2:$A$200=BC$1)*(Budgets!$B$2:$B$200&lt;EDATE($A216,1))),Budgets!$C$2:$C$200),0))</f>
        <v/>
      </c>
      <c r="BD216" s="23">
        <f>IF(OR(BD$1="",$BM216=0),"",IFERROR(LOOKUP(2,1/((Budgets!$A$2:$A$200=BD$1)*(Budgets!$B$2:$B$200&lt;EDATE($A216,1))),Budgets!$C$2:$C$200),0))</f>
        <v/>
      </c>
      <c r="BE216" s="23">
        <f>IF(OR(BE$1="",$BM216=0),"",IFERROR(LOOKUP(2,1/((Budgets!$A$2:$A$200=BE$1)*(Budgets!$B$2:$B$200&lt;EDATE($A216,1))),Budgets!$C$2:$C$200),0))</f>
        <v/>
      </c>
      <c r="BF216" s="23">
        <f>IF(OR(BF$1="",$BM216=0),"",IFERROR(LOOKUP(2,1/((Budgets!$A$2:$A$200=BF$1)*(Budgets!$B$2:$B$200&lt;EDATE($A216,1))),Budgets!$C$2:$C$200),0))</f>
        <v/>
      </c>
      <c r="BG216" s="23">
        <f>IF(OR(BG$1="",$BM216=0),"",IFERROR(LOOKUP(2,1/((Budgets!$A$2:$A$200=BG$1)*(Budgets!$B$2:$B$200&lt;EDATE($A216,1))),Budgets!$C$2:$C$200),0))</f>
        <v/>
      </c>
      <c r="BH216" s="23">
        <f>IF(OR(BH$1="",$BM216=0),"",IFERROR(LOOKUP(2,1/((Budgets!$A$2:$A$200=BH$1)*(Budgets!$B$2:$B$200&lt;EDATE($A216,1))),Budgets!$C$2:$C$200),0))</f>
        <v/>
      </c>
      <c r="BI216" s="23">
        <f>IF(OR(BI$1="",$BM216=0),"",IFERROR(LOOKUP(2,1/((Budgets!$A$2:$A$200=BI$1)*(Budgets!$B$2:$B$200&lt;EDATE($A216,1))),Budgets!$C$2:$C$200),0))</f>
        <v/>
      </c>
      <c r="BJ216" s="23">
        <f>IF(OR(BJ$1="",$BM216=0),"",IFERROR(LOOKUP(2,1/((Budgets!$A$2:$A$200=BJ$1)*(Budgets!$B$2:$B$200&lt;EDATE($A216,1))),Budgets!$C$2:$C$200),0))</f>
        <v/>
      </c>
      <c r="BK216" s="23">
        <f>IF(OR(BK$1="",$BM216=0),"",IFERROR(LOOKUP(2,1/((Budgets!$A$2:$A$200=BK$1)*(Budgets!$B$2:$B$200&lt;EDATE($A216,1))),Budgets!$C$2:$C$200),0))</f>
        <v/>
      </c>
      <c r="BM216" s="21">
        <f>COUNTIFS(Entries!$A$2:$A$5000,"&gt;="&amp;$A216,Entries!$A$2:$A$5000,"&lt;"&amp;EDATE($A216,1))</f>
        <v/>
      </c>
    </row>
    <row r="217">
      <c r="A217" s="22" t="n">
        <v>45992</v>
      </c>
      <c r="B217" s="23">
        <f>IF($BM217=0,NA(),SUMIFS(Entries!$E$2:$E$5000,Entries!$C$2:$C$5000,"Income",Entries!$A$2:$A$5000,"&gt;="&amp;$A217,Entries!$A$2:$A$5000,"&lt;"&amp;EDATE($A217,1)))</f>
        <v/>
      </c>
      <c r="C217" s="23">
        <f>IF($BM217=0,"",SUMIFS(Entries!$E$2:$E$5000,Entries!$C$2:$C$5000,"Actual",Entries!$A$2:$A$5000,"&gt;="&amp;$A217,Entries!$A$2:$A$5000,"&lt;"&amp;EDATE($A217,1)))</f>
        <v/>
      </c>
      <c r="D217" s="23">
        <f>IF($BM217=0,"",SUMIFS(Entries!$E$2:$E$5000,Entries!$C$2:$C$5000,"One-off",Entries!$A$2:$A$5000,"&gt;="&amp;$A217,Entries!$A$2:$A$5000,"&lt;"&amp;EDATE($A217,1)))</f>
        <v/>
      </c>
      <c r="E217" s="23">
        <f>IF($BM217=0,NA(),C217+D217)</f>
        <v/>
      </c>
      <c r="F217" s="23">
        <f>IF($BM217=0,"",SUM(AR217:BK217))</f>
        <v/>
      </c>
      <c r="G217" s="23">
        <f>IF($BM217=0,"",B217-E217)</f>
        <v/>
      </c>
      <c r="H217" s="23">
        <f>IF($BM217=0,"",SUM($G$2:G217))</f>
        <v/>
      </c>
      <c r="I217" s="23">
        <f>IF($BM217=0,"",SUMIFS(Entries!$G$2:$G$5000,Entries!$A$2:$A$5000,"&gt;="&amp;$A217,Entries!$A$2:$A$5000,"&lt;"&amp;EDATE($A217,1)))</f>
        <v/>
      </c>
      <c r="J217" s="23">
        <f>IF($BM217=0,NA(),H217)</f>
        <v/>
      </c>
      <c r="K217" s="23">
        <f>IF($BM217=0,"",SUMIFS(Entries!$E$2:$E$5000,Entries!$C$2:$C$5000,"Income",Entries!$A$2:$A$5000,"&gt;="&amp;EDATE($A217,-11),Entries!$A$2:$A$5000,"&lt;"&amp;EDATE($A217,1))/COUNTIFS($A$2:$A$400,"&gt;="&amp;EDATE($A217,-11),$A$2:$A$400,"&lt;"&amp;EDATE($A217,1),$BM$2:$BM$400,"&gt;0"))</f>
      </c>
      <c r="L217" s="23">
        <f>IF($BM217=0,"",(SUMIFS(Entries!$E$2:$E$5000,Entries!$C$2:$C$5000,"Actual",Entries!$A$2:$A$5000,"&gt;="&amp;EDATE($A217,-11),Entries!$A$2:$A$5000,"&lt;"&amp;EDATE($A217,1))+SUMIFS(Entries!$E$2:$E$5000,Entries!$C$2:$C$5000,"One-off",Entries!$A$2:$A$5000,"&gt;="&amp;EDATE($A217,-11),Entries!$A$2:$A$5000,"&lt;"&amp;EDATE($A217,1)))/COUNTIFS($A$2:$A$400,"&gt;="&amp;EDATE($A217,-11),$A$2:$A$400,"&lt;"&amp;EDATE($A217,1),$BM$2:$BM$400,"&gt;0"))</f>
      </c>
      <c r="M217" s="24">
        <f>IF($BM217=0,NA(),IFERROR((K217-L217)/K217,0))</f>
        <v/>
      </c>
      <c r="N217" s="23">
        <f>IF($BM217=0,NA(),SUMIFS(Entries!$E$2:$E$5000,Entries!$D$2:$D$5000,"Core",Entries!$A$2:$A$5000,"&gt;="&amp;$A217,Entries!$A$2:$A$5000,"&lt;"&amp;EDATE($A217,1)))</f>
        <v/>
      </c>
      <c r="O217" s="23">
        <f>IF($BM217=0,NA(),SUMIFS(Entries!$E$2:$E$5000,Entries!$D$2:$D$5000,"Over &amp; above",Entries!$A$2:$A$5000,"&gt;="&amp;$A217,Entries!$A$2:$A$5000,"&lt;"&amp;EDATE($A217,1)))</f>
        <v/>
      </c>
      <c r="P217" s="23">
        <f>IF($BM217=0,NA(),SUMIFS(Entries!$E$2:$E$5000,Entries!$D$2:$D$5000,"One-off",Entries!$A$2:$A$5000,"&gt;="&amp;$A217,Entries!$A$2:$A$5000,"&lt;"&amp;EDATE($A217,1)))</f>
        <v/>
      </c>
      <c r="Q217" s="23">
        <f>IF($BM217=0,NA(),SUMIFS(Entries!$E$2:$E$5000,Entries!$D$2:$D$5000,"Reimbursable",Entries!$A$2:$A$5000,"&gt;="&amp;$A217,Entries!$A$2:$A$5000,"&lt;"&amp;EDATE($A217,1)))</f>
        <v/>
      </c>
      <c r="R217" s="23">
        <f>IF($BM217=0,NA(),SUMIFS(Entries!$E$2:$E$5000,Entries!$D$2:$D$5000,"Investment",Entries!$A$2:$A$5000,"&gt;="&amp;$A217,Entries!$A$2:$A$5000,"&lt;"&amp;EDATE($A217,1)))</f>
        <v/>
      </c>
      <c r="S217" s="23">
        <f>IF($BM217=0,NA(),N217+O217)</f>
        <v/>
      </c>
      <c r="T217" s="23">
        <f>IF($BM217=0,"",E217-Q217)</f>
        <v/>
      </c>
      <c r="W217" s="23">
        <f>IF(OR(W$1="",$BM217=0),"",SUMIFS(Entries!$E$2:$E$5000,Entries!$C$2:$C$5000,"Actual",Entries!$A$2:$A$5000,"&gt;="&amp;$A217,Entries!$A$2:$A$5000,"&lt;"&amp;EDATE($A217,1),Entries!$B$2:$B$5000,W$1))</f>
        <v/>
      </c>
      <c r="X217" s="23">
        <f>IF(OR(X$1="",$BM217=0),"",SUMIFS(Entries!$E$2:$E$5000,Entries!$C$2:$C$5000,"Actual",Entries!$A$2:$A$5000,"&gt;="&amp;$A217,Entries!$A$2:$A$5000,"&lt;"&amp;EDATE($A217,1),Entries!$B$2:$B$5000,X$1))</f>
        <v/>
      </c>
      <c r="Y217" s="23">
        <f>IF(OR(Y$1="",$BM217=0),"",SUMIFS(Entries!$E$2:$E$5000,Entries!$C$2:$C$5000,"Actual",Entries!$A$2:$A$5000,"&gt;="&amp;$A217,Entries!$A$2:$A$5000,"&lt;"&amp;EDATE($A217,1),Entries!$B$2:$B$5000,Y$1))</f>
        <v/>
      </c>
      <c r="Z217" s="23">
        <f>IF(OR(Z$1="",$BM217=0),"",SUMIFS(Entries!$E$2:$E$5000,Entries!$C$2:$C$5000,"Actual",Entries!$A$2:$A$5000,"&gt;="&amp;$A217,Entries!$A$2:$A$5000,"&lt;"&amp;EDATE($A217,1),Entries!$B$2:$B$5000,Z$1))</f>
        <v/>
      </c>
      <c r="AA217" s="23">
        <f>IF(OR(AA$1="",$BM217=0),"",SUMIFS(Entries!$E$2:$E$5000,Entries!$C$2:$C$5000,"Actual",Entries!$A$2:$A$5000,"&gt;="&amp;$A217,Entries!$A$2:$A$5000,"&lt;"&amp;EDATE($A217,1),Entries!$B$2:$B$5000,AA$1))</f>
        <v/>
      </c>
      <c r="AB217" s="23">
        <f>IF(OR(AB$1="",$BM217=0),"",SUMIFS(Entries!$E$2:$E$5000,Entries!$C$2:$C$5000,"Actual",Entries!$A$2:$A$5000,"&gt;="&amp;$A217,Entries!$A$2:$A$5000,"&lt;"&amp;EDATE($A217,1),Entries!$B$2:$B$5000,AB$1))</f>
        <v/>
      </c>
      <c r="AC217" s="23">
        <f>IF(OR(AC$1="",$BM217=0),"",SUMIFS(Entries!$E$2:$E$5000,Entries!$C$2:$C$5000,"Actual",Entries!$A$2:$A$5000,"&gt;="&amp;$A217,Entries!$A$2:$A$5000,"&lt;"&amp;EDATE($A217,1),Entries!$B$2:$B$5000,AC$1))</f>
        <v/>
      </c>
      <c r="AD217" s="23">
        <f>IF(OR(AD$1="",$BM217=0),"",SUMIFS(Entries!$E$2:$E$5000,Entries!$C$2:$C$5000,"Actual",Entries!$A$2:$A$5000,"&gt;="&amp;$A217,Entries!$A$2:$A$5000,"&lt;"&amp;EDATE($A217,1),Entries!$B$2:$B$5000,AD$1))</f>
        <v/>
      </c>
      <c r="AE217" s="23">
        <f>IF(OR(AE$1="",$BM217=0),"",SUMIFS(Entries!$E$2:$E$5000,Entries!$C$2:$C$5000,"Actual",Entries!$A$2:$A$5000,"&gt;="&amp;$A217,Entries!$A$2:$A$5000,"&lt;"&amp;EDATE($A217,1),Entries!$B$2:$B$5000,AE$1))</f>
        <v/>
      </c>
      <c r="AF217" s="23">
        <f>IF(OR(AF$1="",$BM217=0),"",SUMIFS(Entries!$E$2:$E$5000,Entries!$C$2:$C$5000,"Actual",Entries!$A$2:$A$5000,"&gt;="&amp;$A217,Entries!$A$2:$A$5000,"&lt;"&amp;EDATE($A217,1),Entries!$B$2:$B$5000,AF$1))</f>
        <v/>
      </c>
      <c r="AG217" s="23">
        <f>IF(OR(AG$1="",$BM217=0),"",SUMIFS(Entries!$E$2:$E$5000,Entries!$C$2:$C$5000,"Actual",Entries!$A$2:$A$5000,"&gt;="&amp;$A217,Entries!$A$2:$A$5000,"&lt;"&amp;EDATE($A217,1),Entries!$B$2:$B$5000,AG$1))</f>
        <v/>
      </c>
      <c r="AH217" s="23">
        <f>IF(OR(AH$1="",$BM217=0),"",SUMIFS(Entries!$E$2:$E$5000,Entries!$C$2:$C$5000,"Actual",Entries!$A$2:$A$5000,"&gt;="&amp;$A217,Entries!$A$2:$A$5000,"&lt;"&amp;EDATE($A217,1),Entries!$B$2:$B$5000,AH$1))</f>
        <v/>
      </c>
      <c r="AI217" s="23">
        <f>IF(OR(AI$1="",$BM217=0),"",SUMIFS(Entries!$E$2:$E$5000,Entries!$C$2:$C$5000,"Actual",Entries!$A$2:$A$5000,"&gt;="&amp;$A217,Entries!$A$2:$A$5000,"&lt;"&amp;EDATE($A217,1),Entries!$B$2:$B$5000,AI$1))</f>
        <v/>
      </c>
      <c r="AJ217" s="23">
        <f>IF(OR(AJ$1="",$BM217=0),"",SUMIFS(Entries!$E$2:$E$5000,Entries!$C$2:$C$5000,"Actual",Entries!$A$2:$A$5000,"&gt;="&amp;$A217,Entries!$A$2:$A$5000,"&lt;"&amp;EDATE($A217,1),Entries!$B$2:$B$5000,AJ$1))</f>
        <v/>
      </c>
      <c r="AK217" s="23">
        <f>IF(OR(AK$1="",$BM217=0),"",SUMIFS(Entries!$E$2:$E$5000,Entries!$C$2:$C$5000,"Actual",Entries!$A$2:$A$5000,"&gt;="&amp;$A217,Entries!$A$2:$A$5000,"&lt;"&amp;EDATE($A217,1),Entries!$B$2:$B$5000,AK$1))</f>
        <v/>
      </c>
      <c r="AL217" s="23">
        <f>IF(OR(AL$1="",$BM217=0),"",SUMIFS(Entries!$E$2:$E$5000,Entries!$C$2:$C$5000,"Actual",Entries!$A$2:$A$5000,"&gt;="&amp;$A217,Entries!$A$2:$A$5000,"&lt;"&amp;EDATE($A217,1),Entries!$B$2:$B$5000,AL$1))</f>
        <v/>
      </c>
      <c r="AM217" s="23">
        <f>IF(OR(AM$1="",$BM217=0),"",SUMIFS(Entries!$E$2:$E$5000,Entries!$C$2:$C$5000,"Actual",Entries!$A$2:$A$5000,"&gt;="&amp;$A217,Entries!$A$2:$A$5000,"&lt;"&amp;EDATE($A217,1),Entries!$B$2:$B$5000,AM$1))</f>
        <v/>
      </c>
      <c r="AN217" s="23">
        <f>IF(OR(AN$1="",$BM217=0),"",SUMIFS(Entries!$E$2:$E$5000,Entries!$C$2:$C$5000,"Actual",Entries!$A$2:$A$5000,"&gt;="&amp;$A217,Entries!$A$2:$A$5000,"&lt;"&amp;EDATE($A217,1),Entries!$B$2:$B$5000,AN$1))</f>
        <v/>
      </c>
      <c r="AO217" s="23">
        <f>IF(OR(AO$1="",$BM217=0),"",SUMIFS(Entries!$E$2:$E$5000,Entries!$C$2:$C$5000,"Actual",Entries!$A$2:$A$5000,"&gt;="&amp;$A217,Entries!$A$2:$A$5000,"&lt;"&amp;EDATE($A217,1),Entries!$B$2:$B$5000,AO$1))</f>
        <v/>
      </c>
      <c r="AP217" s="23">
        <f>IF(OR(AP$1="",$BM217=0),"",SUMIFS(Entries!$E$2:$E$5000,Entries!$C$2:$C$5000,"Actual",Entries!$A$2:$A$5000,"&gt;="&amp;$A217,Entries!$A$2:$A$5000,"&lt;"&amp;EDATE($A217,1),Entries!$B$2:$B$5000,AP$1))</f>
        <v/>
      </c>
      <c r="AR217" s="23">
        <f>IF(OR(AR$1="",$BM217=0),"",IFERROR(LOOKUP(2,1/((Budgets!$A$2:$A$200=AR$1)*(Budgets!$B$2:$B$200&lt;EDATE($A217,1))),Budgets!$C$2:$C$200),0))</f>
        <v/>
      </c>
      <c r="AS217" s="23">
        <f>IF(OR(AS$1="",$BM217=0),"",IFERROR(LOOKUP(2,1/((Budgets!$A$2:$A$200=AS$1)*(Budgets!$B$2:$B$200&lt;EDATE($A217,1))),Budgets!$C$2:$C$200),0))</f>
        <v/>
      </c>
      <c r="AT217" s="23">
        <f>IF(OR(AT$1="",$BM217=0),"",IFERROR(LOOKUP(2,1/((Budgets!$A$2:$A$200=AT$1)*(Budgets!$B$2:$B$200&lt;EDATE($A217,1))),Budgets!$C$2:$C$200),0))</f>
        <v/>
      </c>
      <c r="AU217" s="23">
        <f>IF(OR(AU$1="",$BM217=0),"",IFERROR(LOOKUP(2,1/((Budgets!$A$2:$A$200=AU$1)*(Budgets!$B$2:$B$200&lt;EDATE($A217,1))),Budgets!$C$2:$C$200),0))</f>
        <v/>
      </c>
      <c r="AV217" s="23">
        <f>IF(OR(AV$1="",$BM217=0),"",IFERROR(LOOKUP(2,1/((Budgets!$A$2:$A$200=AV$1)*(Budgets!$B$2:$B$200&lt;EDATE($A217,1))),Budgets!$C$2:$C$200),0))</f>
        <v/>
      </c>
      <c r="AW217" s="23">
        <f>IF(OR(AW$1="",$BM217=0),"",IFERROR(LOOKUP(2,1/((Budgets!$A$2:$A$200=AW$1)*(Budgets!$B$2:$B$200&lt;EDATE($A217,1))),Budgets!$C$2:$C$200),0))</f>
        <v/>
      </c>
      <c r="AX217" s="23">
        <f>IF(OR(AX$1="",$BM217=0),"",IFERROR(LOOKUP(2,1/((Budgets!$A$2:$A$200=AX$1)*(Budgets!$B$2:$B$200&lt;EDATE($A217,1))),Budgets!$C$2:$C$200),0))</f>
        <v/>
      </c>
      <c r="AY217" s="23">
        <f>IF(OR(AY$1="",$BM217=0),"",IFERROR(LOOKUP(2,1/((Budgets!$A$2:$A$200=AY$1)*(Budgets!$B$2:$B$200&lt;EDATE($A217,1))),Budgets!$C$2:$C$200),0))</f>
        <v/>
      </c>
      <c r="AZ217" s="23">
        <f>IF(OR(AZ$1="",$BM217=0),"",IFERROR(LOOKUP(2,1/((Budgets!$A$2:$A$200=AZ$1)*(Budgets!$B$2:$B$200&lt;EDATE($A217,1))),Budgets!$C$2:$C$200),0))</f>
        <v/>
      </c>
      <c r="BA217" s="23">
        <f>IF(OR(BA$1="",$BM217=0),"",IFERROR(LOOKUP(2,1/((Budgets!$A$2:$A$200=BA$1)*(Budgets!$B$2:$B$200&lt;EDATE($A217,1))),Budgets!$C$2:$C$200),0))</f>
        <v/>
      </c>
      <c r="BB217" s="23">
        <f>IF(OR(BB$1="",$BM217=0),"",IFERROR(LOOKUP(2,1/((Budgets!$A$2:$A$200=BB$1)*(Budgets!$B$2:$B$200&lt;EDATE($A217,1))),Budgets!$C$2:$C$200),0))</f>
        <v/>
      </c>
      <c r="BC217" s="23">
        <f>IF(OR(BC$1="",$BM217=0),"",IFERROR(LOOKUP(2,1/((Budgets!$A$2:$A$200=BC$1)*(Budgets!$B$2:$B$200&lt;EDATE($A217,1))),Budgets!$C$2:$C$200),0))</f>
        <v/>
      </c>
      <c r="BD217" s="23">
        <f>IF(OR(BD$1="",$BM217=0),"",IFERROR(LOOKUP(2,1/((Budgets!$A$2:$A$200=BD$1)*(Budgets!$B$2:$B$200&lt;EDATE($A217,1))),Budgets!$C$2:$C$200),0))</f>
        <v/>
      </c>
      <c r="BE217" s="23">
        <f>IF(OR(BE$1="",$BM217=0),"",IFERROR(LOOKUP(2,1/((Budgets!$A$2:$A$200=BE$1)*(Budgets!$B$2:$B$200&lt;EDATE($A217,1))),Budgets!$C$2:$C$200),0))</f>
        <v/>
      </c>
      <c r="BF217" s="23">
        <f>IF(OR(BF$1="",$BM217=0),"",IFERROR(LOOKUP(2,1/((Budgets!$A$2:$A$200=BF$1)*(Budgets!$B$2:$B$200&lt;EDATE($A217,1))),Budgets!$C$2:$C$200),0))</f>
        <v/>
      </c>
      <c r="BG217" s="23">
        <f>IF(OR(BG$1="",$BM217=0),"",IFERROR(LOOKUP(2,1/((Budgets!$A$2:$A$200=BG$1)*(Budgets!$B$2:$B$200&lt;EDATE($A217,1))),Budgets!$C$2:$C$200),0))</f>
        <v/>
      </c>
      <c r="BH217" s="23">
        <f>IF(OR(BH$1="",$BM217=0),"",IFERROR(LOOKUP(2,1/((Budgets!$A$2:$A$200=BH$1)*(Budgets!$B$2:$B$200&lt;EDATE($A217,1))),Budgets!$C$2:$C$200),0))</f>
        <v/>
      </c>
      <c r="BI217" s="23">
        <f>IF(OR(BI$1="",$BM217=0),"",IFERROR(LOOKUP(2,1/((Budgets!$A$2:$A$200=BI$1)*(Budgets!$B$2:$B$200&lt;EDATE($A217,1))),Budgets!$C$2:$C$200),0))</f>
        <v/>
      </c>
      <c r="BJ217" s="23">
        <f>IF(OR(BJ$1="",$BM217=0),"",IFERROR(LOOKUP(2,1/((Budgets!$A$2:$A$200=BJ$1)*(Budgets!$B$2:$B$200&lt;EDATE($A217,1))),Budgets!$C$2:$C$200),0))</f>
        <v/>
      </c>
      <c r="BK217" s="23">
        <f>IF(OR(BK$1="",$BM217=0),"",IFERROR(LOOKUP(2,1/((Budgets!$A$2:$A$200=BK$1)*(Budgets!$B$2:$B$200&lt;EDATE($A217,1))),Budgets!$C$2:$C$200),0))</f>
        <v/>
      </c>
      <c r="BM217" s="21">
        <f>COUNTIFS(Entries!$A$2:$A$5000,"&gt;="&amp;$A217,Entries!$A$2:$A$5000,"&lt;"&amp;EDATE($A217,1))</f>
        <v/>
      </c>
    </row>
    <row r="218">
      <c r="A218" s="22" t="n">
        <v>46023</v>
      </c>
      <c r="B218" s="23">
        <f>IF($BM218=0,NA(),SUMIFS(Entries!$E$2:$E$5000,Entries!$C$2:$C$5000,"Income",Entries!$A$2:$A$5000,"&gt;="&amp;$A218,Entries!$A$2:$A$5000,"&lt;"&amp;EDATE($A218,1)))</f>
        <v/>
      </c>
      <c r="C218" s="23">
        <f>IF($BM218=0,"",SUMIFS(Entries!$E$2:$E$5000,Entries!$C$2:$C$5000,"Actual",Entries!$A$2:$A$5000,"&gt;="&amp;$A218,Entries!$A$2:$A$5000,"&lt;"&amp;EDATE($A218,1)))</f>
        <v/>
      </c>
      <c r="D218" s="23">
        <f>IF($BM218=0,"",SUMIFS(Entries!$E$2:$E$5000,Entries!$C$2:$C$5000,"One-off",Entries!$A$2:$A$5000,"&gt;="&amp;$A218,Entries!$A$2:$A$5000,"&lt;"&amp;EDATE($A218,1)))</f>
        <v/>
      </c>
      <c r="E218" s="23">
        <f>IF($BM218=0,NA(),C218+D218)</f>
        <v/>
      </c>
      <c r="F218" s="23">
        <f>IF($BM218=0,"",SUM(AR218:BK218))</f>
        <v/>
      </c>
      <c r="G218" s="23">
        <f>IF($BM218=0,"",B218-E218)</f>
        <v/>
      </c>
      <c r="H218" s="23">
        <f>IF($BM218=0,"",SUM($G$2:G218))</f>
        <v/>
      </c>
      <c r="I218" s="23">
        <f>IF($BM218=0,"",SUMIFS(Entries!$G$2:$G$5000,Entries!$A$2:$A$5000,"&gt;="&amp;$A218,Entries!$A$2:$A$5000,"&lt;"&amp;EDATE($A218,1)))</f>
        <v/>
      </c>
      <c r="J218" s="23">
        <f>IF($BM218=0,NA(),H218)</f>
        <v/>
      </c>
      <c r="K218" s="23">
        <f>IF($BM218=0,"",SUMIFS(Entries!$E$2:$E$5000,Entries!$C$2:$C$5000,"Income",Entries!$A$2:$A$5000,"&gt;="&amp;EDATE($A218,-11),Entries!$A$2:$A$5000,"&lt;"&amp;EDATE($A218,1))/COUNTIFS($A$2:$A$400,"&gt;="&amp;EDATE($A218,-11),$A$2:$A$400,"&lt;"&amp;EDATE($A218,1),$BM$2:$BM$400,"&gt;0"))</f>
      </c>
      <c r="L218" s="23">
        <f>IF($BM218=0,"",(SUMIFS(Entries!$E$2:$E$5000,Entries!$C$2:$C$5000,"Actual",Entries!$A$2:$A$5000,"&gt;="&amp;EDATE($A218,-11),Entries!$A$2:$A$5000,"&lt;"&amp;EDATE($A218,1))+SUMIFS(Entries!$E$2:$E$5000,Entries!$C$2:$C$5000,"One-off",Entries!$A$2:$A$5000,"&gt;="&amp;EDATE($A218,-11),Entries!$A$2:$A$5000,"&lt;"&amp;EDATE($A218,1)))/COUNTIFS($A$2:$A$400,"&gt;="&amp;EDATE($A218,-11),$A$2:$A$400,"&lt;"&amp;EDATE($A218,1),$BM$2:$BM$400,"&gt;0"))</f>
      </c>
      <c r="M218" s="24">
        <f>IF($BM218=0,NA(),IFERROR((K218-L218)/K218,0))</f>
        <v/>
      </c>
      <c r="N218" s="23">
        <f>IF($BM218=0,NA(),SUMIFS(Entries!$E$2:$E$5000,Entries!$D$2:$D$5000,"Core",Entries!$A$2:$A$5000,"&gt;="&amp;$A218,Entries!$A$2:$A$5000,"&lt;"&amp;EDATE($A218,1)))</f>
        <v/>
      </c>
      <c r="O218" s="23">
        <f>IF($BM218=0,NA(),SUMIFS(Entries!$E$2:$E$5000,Entries!$D$2:$D$5000,"Over &amp; above",Entries!$A$2:$A$5000,"&gt;="&amp;$A218,Entries!$A$2:$A$5000,"&lt;"&amp;EDATE($A218,1)))</f>
        <v/>
      </c>
      <c r="P218" s="23">
        <f>IF($BM218=0,NA(),SUMIFS(Entries!$E$2:$E$5000,Entries!$D$2:$D$5000,"One-off",Entries!$A$2:$A$5000,"&gt;="&amp;$A218,Entries!$A$2:$A$5000,"&lt;"&amp;EDATE($A218,1)))</f>
        <v/>
      </c>
      <c r="Q218" s="23">
        <f>IF($BM218=0,NA(),SUMIFS(Entries!$E$2:$E$5000,Entries!$D$2:$D$5000,"Reimbursable",Entries!$A$2:$A$5000,"&gt;="&amp;$A218,Entries!$A$2:$A$5000,"&lt;"&amp;EDATE($A218,1)))</f>
        <v/>
      </c>
      <c r="R218" s="23">
        <f>IF($BM218=0,NA(),SUMIFS(Entries!$E$2:$E$5000,Entries!$D$2:$D$5000,"Investment",Entries!$A$2:$A$5000,"&gt;="&amp;$A218,Entries!$A$2:$A$5000,"&lt;"&amp;EDATE($A218,1)))</f>
        <v/>
      </c>
      <c r="S218" s="23">
        <f>IF($BM218=0,NA(),N218+O218)</f>
        <v/>
      </c>
      <c r="T218" s="23">
        <f>IF($BM218=0,"",E218-Q218)</f>
        <v/>
      </c>
      <c r="W218" s="23">
        <f>IF(OR(W$1="",$BM218=0),"",SUMIFS(Entries!$E$2:$E$5000,Entries!$C$2:$C$5000,"Actual",Entries!$A$2:$A$5000,"&gt;="&amp;$A218,Entries!$A$2:$A$5000,"&lt;"&amp;EDATE($A218,1),Entries!$B$2:$B$5000,W$1))</f>
        <v/>
      </c>
      <c r="X218" s="23">
        <f>IF(OR(X$1="",$BM218=0),"",SUMIFS(Entries!$E$2:$E$5000,Entries!$C$2:$C$5000,"Actual",Entries!$A$2:$A$5000,"&gt;="&amp;$A218,Entries!$A$2:$A$5000,"&lt;"&amp;EDATE($A218,1),Entries!$B$2:$B$5000,X$1))</f>
        <v/>
      </c>
      <c r="Y218" s="23">
        <f>IF(OR(Y$1="",$BM218=0),"",SUMIFS(Entries!$E$2:$E$5000,Entries!$C$2:$C$5000,"Actual",Entries!$A$2:$A$5000,"&gt;="&amp;$A218,Entries!$A$2:$A$5000,"&lt;"&amp;EDATE($A218,1),Entries!$B$2:$B$5000,Y$1))</f>
        <v/>
      </c>
      <c r="Z218" s="23">
        <f>IF(OR(Z$1="",$BM218=0),"",SUMIFS(Entries!$E$2:$E$5000,Entries!$C$2:$C$5000,"Actual",Entries!$A$2:$A$5000,"&gt;="&amp;$A218,Entries!$A$2:$A$5000,"&lt;"&amp;EDATE($A218,1),Entries!$B$2:$B$5000,Z$1))</f>
        <v/>
      </c>
      <c r="AA218" s="23">
        <f>IF(OR(AA$1="",$BM218=0),"",SUMIFS(Entries!$E$2:$E$5000,Entries!$C$2:$C$5000,"Actual",Entries!$A$2:$A$5000,"&gt;="&amp;$A218,Entries!$A$2:$A$5000,"&lt;"&amp;EDATE($A218,1),Entries!$B$2:$B$5000,AA$1))</f>
        <v/>
      </c>
      <c r="AB218" s="23">
        <f>IF(OR(AB$1="",$BM218=0),"",SUMIFS(Entries!$E$2:$E$5000,Entries!$C$2:$C$5000,"Actual",Entries!$A$2:$A$5000,"&gt;="&amp;$A218,Entries!$A$2:$A$5000,"&lt;"&amp;EDATE($A218,1),Entries!$B$2:$B$5000,AB$1))</f>
        <v/>
      </c>
      <c r="AC218" s="23">
        <f>IF(OR(AC$1="",$BM218=0),"",SUMIFS(Entries!$E$2:$E$5000,Entries!$C$2:$C$5000,"Actual",Entries!$A$2:$A$5000,"&gt;="&amp;$A218,Entries!$A$2:$A$5000,"&lt;"&amp;EDATE($A218,1),Entries!$B$2:$B$5000,AC$1))</f>
        <v/>
      </c>
      <c r="AD218" s="23">
        <f>IF(OR(AD$1="",$BM218=0),"",SUMIFS(Entries!$E$2:$E$5000,Entries!$C$2:$C$5000,"Actual",Entries!$A$2:$A$5000,"&gt;="&amp;$A218,Entries!$A$2:$A$5000,"&lt;"&amp;EDATE($A218,1),Entries!$B$2:$B$5000,AD$1))</f>
        <v/>
      </c>
      <c r="AE218" s="23">
        <f>IF(OR(AE$1="",$BM218=0),"",SUMIFS(Entries!$E$2:$E$5000,Entries!$C$2:$C$5000,"Actual",Entries!$A$2:$A$5000,"&gt;="&amp;$A218,Entries!$A$2:$A$5000,"&lt;"&amp;EDATE($A218,1),Entries!$B$2:$B$5000,AE$1))</f>
        <v/>
      </c>
      <c r="AF218" s="23">
        <f>IF(OR(AF$1="",$BM218=0),"",SUMIFS(Entries!$E$2:$E$5000,Entries!$C$2:$C$5000,"Actual",Entries!$A$2:$A$5000,"&gt;="&amp;$A218,Entries!$A$2:$A$5000,"&lt;"&amp;EDATE($A218,1),Entries!$B$2:$B$5000,AF$1))</f>
        <v/>
      </c>
      <c r="AG218" s="23">
        <f>IF(OR(AG$1="",$BM218=0),"",SUMIFS(Entries!$E$2:$E$5000,Entries!$C$2:$C$5000,"Actual",Entries!$A$2:$A$5000,"&gt;="&amp;$A218,Entries!$A$2:$A$5000,"&lt;"&amp;EDATE($A218,1),Entries!$B$2:$B$5000,AG$1))</f>
        <v/>
      </c>
      <c r="AH218" s="23">
        <f>IF(OR(AH$1="",$BM218=0),"",SUMIFS(Entries!$E$2:$E$5000,Entries!$C$2:$C$5000,"Actual",Entries!$A$2:$A$5000,"&gt;="&amp;$A218,Entries!$A$2:$A$5000,"&lt;"&amp;EDATE($A218,1),Entries!$B$2:$B$5000,AH$1))</f>
        <v/>
      </c>
      <c r="AI218" s="23">
        <f>IF(OR(AI$1="",$BM218=0),"",SUMIFS(Entries!$E$2:$E$5000,Entries!$C$2:$C$5000,"Actual",Entries!$A$2:$A$5000,"&gt;="&amp;$A218,Entries!$A$2:$A$5000,"&lt;"&amp;EDATE($A218,1),Entries!$B$2:$B$5000,AI$1))</f>
        <v/>
      </c>
      <c r="AJ218" s="23">
        <f>IF(OR(AJ$1="",$BM218=0),"",SUMIFS(Entries!$E$2:$E$5000,Entries!$C$2:$C$5000,"Actual",Entries!$A$2:$A$5000,"&gt;="&amp;$A218,Entries!$A$2:$A$5000,"&lt;"&amp;EDATE($A218,1),Entries!$B$2:$B$5000,AJ$1))</f>
        <v/>
      </c>
      <c r="AK218" s="23">
        <f>IF(OR(AK$1="",$BM218=0),"",SUMIFS(Entries!$E$2:$E$5000,Entries!$C$2:$C$5000,"Actual",Entries!$A$2:$A$5000,"&gt;="&amp;$A218,Entries!$A$2:$A$5000,"&lt;"&amp;EDATE($A218,1),Entries!$B$2:$B$5000,AK$1))</f>
        <v/>
      </c>
      <c r="AL218" s="23">
        <f>IF(OR(AL$1="",$BM218=0),"",SUMIFS(Entries!$E$2:$E$5000,Entries!$C$2:$C$5000,"Actual",Entries!$A$2:$A$5000,"&gt;="&amp;$A218,Entries!$A$2:$A$5000,"&lt;"&amp;EDATE($A218,1),Entries!$B$2:$B$5000,AL$1))</f>
        <v/>
      </c>
      <c r="AM218" s="23">
        <f>IF(OR(AM$1="",$BM218=0),"",SUMIFS(Entries!$E$2:$E$5000,Entries!$C$2:$C$5000,"Actual",Entries!$A$2:$A$5000,"&gt;="&amp;$A218,Entries!$A$2:$A$5000,"&lt;"&amp;EDATE($A218,1),Entries!$B$2:$B$5000,AM$1))</f>
        <v/>
      </c>
      <c r="AN218" s="23">
        <f>IF(OR(AN$1="",$BM218=0),"",SUMIFS(Entries!$E$2:$E$5000,Entries!$C$2:$C$5000,"Actual",Entries!$A$2:$A$5000,"&gt;="&amp;$A218,Entries!$A$2:$A$5000,"&lt;"&amp;EDATE($A218,1),Entries!$B$2:$B$5000,AN$1))</f>
        <v/>
      </c>
      <c r="AO218" s="23">
        <f>IF(OR(AO$1="",$BM218=0),"",SUMIFS(Entries!$E$2:$E$5000,Entries!$C$2:$C$5000,"Actual",Entries!$A$2:$A$5000,"&gt;="&amp;$A218,Entries!$A$2:$A$5000,"&lt;"&amp;EDATE($A218,1),Entries!$B$2:$B$5000,AO$1))</f>
        <v/>
      </c>
      <c r="AP218" s="23">
        <f>IF(OR(AP$1="",$BM218=0),"",SUMIFS(Entries!$E$2:$E$5000,Entries!$C$2:$C$5000,"Actual",Entries!$A$2:$A$5000,"&gt;="&amp;$A218,Entries!$A$2:$A$5000,"&lt;"&amp;EDATE($A218,1),Entries!$B$2:$B$5000,AP$1))</f>
        <v/>
      </c>
      <c r="AR218" s="23">
        <f>IF(OR(AR$1="",$BM218=0),"",IFERROR(LOOKUP(2,1/((Budgets!$A$2:$A$200=AR$1)*(Budgets!$B$2:$B$200&lt;EDATE($A218,1))),Budgets!$C$2:$C$200),0))</f>
        <v/>
      </c>
      <c r="AS218" s="23">
        <f>IF(OR(AS$1="",$BM218=0),"",IFERROR(LOOKUP(2,1/((Budgets!$A$2:$A$200=AS$1)*(Budgets!$B$2:$B$200&lt;EDATE($A218,1))),Budgets!$C$2:$C$200),0))</f>
        <v/>
      </c>
      <c r="AT218" s="23">
        <f>IF(OR(AT$1="",$BM218=0),"",IFERROR(LOOKUP(2,1/((Budgets!$A$2:$A$200=AT$1)*(Budgets!$B$2:$B$200&lt;EDATE($A218,1))),Budgets!$C$2:$C$200),0))</f>
        <v/>
      </c>
      <c r="AU218" s="23">
        <f>IF(OR(AU$1="",$BM218=0),"",IFERROR(LOOKUP(2,1/((Budgets!$A$2:$A$200=AU$1)*(Budgets!$B$2:$B$200&lt;EDATE($A218,1))),Budgets!$C$2:$C$200),0))</f>
        <v/>
      </c>
      <c r="AV218" s="23">
        <f>IF(OR(AV$1="",$BM218=0),"",IFERROR(LOOKUP(2,1/((Budgets!$A$2:$A$200=AV$1)*(Budgets!$B$2:$B$200&lt;EDATE($A218,1))),Budgets!$C$2:$C$200),0))</f>
        <v/>
      </c>
      <c r="AW218" s="23">
        <f>IF(OR(AW$1="",$BM218=0),"",IFERROR(LOOKUP(2,1/((Budgets!$A$2:$A$200=AW$1)*(Budgets!$B$2:$B$200&lt;EDATE($A218,1))),Budgets!$C$2:$C$200),0))</f>
        <v/>
      </c>
      <c r="AX218" s="23">
        <f>IF(OR(AX$1="",$BM218=0),"",IFERROR(LOOKUP(2,1/((Budgets!$A$2:$A$200=AX$1)*(Budgets!$B$2:$B$200&lt;EDATE($A218,1))),Budgets!$C$2:$C$200),0))</f>
        <v/>
      </c>
      <c r="AY218" s="23">
        <f>IF(OR(AY$1="",$BM218=0),"",IFERROR(LOOKUP(2,1/((Budgets!$A$2:$A$200=AY$1)*(Budgets!$B$2:$B$200&lt;EDATE($A218,1))),Budgets!$C$2:$C$200),0))</f>
        <v/>
      </c>
      <c r="AZ218" s="23">
        <f>IF(OR(AZ$1="",$BM218=0),"",IFERROR(LOOKUP(2,1/((Budgets!$A$2:$A$200=AZ$1)*(Budgets!$B$2:$B$200&lt;EDATE($A218,1))),Budgets!$C$2:$C$200),0))</f>
        <v/>
      </c>
      <c r="BA218" s="23">
        <f>IF(OR(BA$1="",$BM218=0),"",IFERROR(LOOKUP(2,1/((Budgets!$A$2:$A$200=BA$1)*(Budgets!$B$2:$B$200&lt;EDATE($A218,1))),Budgets!$C$2:$C$200),0))</f>
        <v/>
      </c>
      <c r="BB218" s="23">
        <f>IF(OR(BB$1="",$BM218=0),"",IFERROR(LOOKUP(2,1/((Budgets!$A$2:$A$200=BB$1)*(Budgets!$B$2:$B$200&lt;EDATE($A218,1))),Budgets!$C$2:$C$200),0))</f>
        <v/>
      </c>
      <c r="BC218" s="23">
        <f>IF(OR(BC$1="",$BM218=0),"",IFERROR(LOOKUP(2,1/((Budgets!$A$2:$A$200=BC$1)*(Budgets!$B$2:$B$200&lt;EDATE($A218,1))),Budgets!$C$2:$C$200),0))</f>
        <v/>
      </c>
      <c r="BD218" s="23">
        <f>IF(OR(BD$1="",$BM218=0),"",IFERROR(LOOKUP(2,1/((Budgets!$A$2:$A$200=BD$1)*(Budgets!$B$2:$B$200&lt;EDATE($A218,1))),Budgets!$C$2:$C$200),0))</f>
        <v/>
      </c>
      <c r="BE218" s="23">
        <f>IF(OR(BE$1="",$BM218=0),"",IFERROR(LOOKUP(2,1/((Budgets!$A$2:$A$200=BE$1)*(Budgets!$B$2:$B$200&lt;EDATE($A218,1))),Budgets!$C$2:$C$200),0))</f>
        <v/>
      </c>
      <c r="BF218" s="23">
        <f>IF(OR(BF$1="",$BM218=0),"",IFERROR(LOOKUP(2,1/((Budgets!$A$2:$A$200=BF$1)*(Budgets!$B$2:$B$200&lt;EDATE($A218,1))),Budgets!$C$2:$C$200),0))</f>
        <v/>
      </c>
      <c r="BG218" s="23">
        <f>IF(OR(BG$1="",$BM218=0),"",IFERROR(LOOKUP(2,1/((Budgets!$A$2:$A$200=BG$1)*(Budgets!$B$2:$B$200&lt;EDATE($A218,1))),Budgets!$C$2:$C$200),0))</f>
        <v/>
      </c>
      <c r="BH218" s="23">
        <f>IF(OR(BH$1="",$BM218=0),"",IFERROR(LOOKUP(2,1/((Budgets!$A$2:$A$200=BH$1)*(Budgets!$B$2:$B$200&lt;EDATE($A218,1))),Budgets!$C$2:$C$200),0))</f>
        <v/>
      </c>
      <c r="BI218" s="23">
        <f>IF(OR(BI$1="",$BM218=0),"",IFERROR(LOOKUP(2,1/((Budgets!$A$2:$A$200=BI$1)*(Budgets!$B$2:$B$200&lt;EDATE($A218,1))),Budgets!$C$2:$C$200),0))</f>
        <v/>
      </c>
      <c r="BJ218" s="23">
        <f>IF(OR(BJ$1="",$BM218=0),"",IFERROR(LOOKUP(2,1/((Budgets!$A$2:$A$200=BJ$1)*(Budgets!$B$2:$B$200&lt;EDATE($A218,1))),Budgets!$C$2:$C$200),0))</f>
        <v/>
      </c>
      <c r="BK218" s="23">
        <f>IF(OR(BK$1="",$BM218=0),"",IFERROR(LOOKUP(2,1/((Budgets!$A$2:$A$200=BK$1)*(Budgets!$B$2:$B$200&lt;EDATE($A218,1))),Budgets!$C$2:$C$200),0))</f>
        <v/>
      </c>
      <c r="BM218" s="21">
        <f>COUNTIFS(Entries!$A$2:$A$5000,"&gt;="&amp;$A218,Entries!$A$2:$A$5000,"&lt;"&amp;EDATE($A218,1))</f>
        <v/>
      </c>
    </row>
    <row r="219">
      <c r="A219" s="22" t="n">
        <v>46054</v>
      </c>
      <c r="B219" s="23">
        <f>IF($BM219=0,NA(),SUMIFS(Entries!$E$2:$E$5000,Entries!$C$2:$C$5000,"Income",Entries!$A$2:$A$5000,"&gt;="&amp;$A219,Entries!$A$2:$A$5000,"&lt;"&amp;EDATE($A219,1)))</f>
        <v/>
      </c>
      <c r="C219" s="23">
        <f>IF($BM219=0,"",SUMIFS(Entries!$E$2:$E$5000,Entries!$C$2:$C$5000,"Actual",Entries!$A$2:$A$5000,"&gt;="&amp;$A219,Entries!$A$2:$A$5000,"&lt;"&amp;EDATE($A219,1)))</f>
        <v/>
      </c>
      <c r="D219" s="23">
        <f>IF($BM219=0,"",SUMIFS(Entries!$E$2:$E$5000,Entries!$C$2:$C$5000,"One-off",Entries!$A$2:$A$5000,"&gt;="&amp;$A219,Entries!$A$2:$A$5000,"&lt;"&amp;EDATE($A219,1)))</f>
        <v/>
      </c>
      <c r="E219" s="23">
        <f>IF($BM219=0,NA(),C219+D219)</f>
        <v/>
      </c>
      <c r="F219" s="23">
        <f>IF($BM219=0,"",SUM(AR219:BK219))</f>
        <v/>
      </c>
      <c r="G219" s="23">
        <f>IF($BM219=0,"",B219-E219)</f>
        <v/>
      </c>
      <c r="H219" s="23">
        <f>IF($BM219=0,"",SUM($G$2:G219))</f>
        <v/>
      </c>
      <c r="I219" s="23">
        <f>IF($BM219=0,"",SUMIFS(Entries!$G$2:$G$5000,Entries!$A$2:$A$5000,"&gt;="&amp;$A219,Entries!$A$2:$A$5000,"&lt;"&amp;EDATE($A219,1)))</f>
        <v/>
      </c>
      <c r="J219" s="23">
        <f>IF($BM219=0,NA(),H219)</f>
        <v/>
      </c>
      <c r="K219" s="23">
        <f>IF($BM219=0,"",SUMIFS(Entries!$E$2:$E$5000,Entries!$C$2:$C$5000,"Income",Entries!$A$2:$A$5000,"&gt;="&amp;EDATE($A219,-11),Entries!$A$2:$A$5000,"&lt;"&amp;EDATE($A219,1))/COUNTIFS($A$2:$A$400,"&gt;="&amp;EDATE($A219,-11),$A$2:$A$400,"&lt;"&amp;EDATE($A219,1),$BM$2:$BM$400,"&gt;0"))</f>
      </c>
      <c r="L219" s="23">
        <f>IF($BM219=0,"",(SUMIFS(Entries!$E$2:$E$5000,Entries!$C$2:$C$5000,"Actual",Entries!$A$2:$A$5000,"&gt;="&amp;EDATE($A219,-11),Entries!$A$2:$A$5000,"&lt;"&amp;EDATE($A219,1))+SUMIFS(Entries!$E$2:$E$5000,Entries!$C$2:$C$5000,"One-off",Entries!$A$2:$A$5000,"&gt;="&amp;EDATE($A219,-11),Entries!$A$2:$A$5000,"&lt;"&amp;EDATE($A219,1)))/COUNTIFS($A$2:$A$400,"&gt;="&amp;EDATE($A219,-11),$A$2:$A$400,"&lt;"&amp;EDATE($A219,1),$BM$2:$BM$400,"&gt;0"))</f>
      </c>
      <c r="M219" s="24">
        <f>IF($BM219=0,NA(),IFERROR((K219-L219)/K219,0))</f>
        <v/>
      </c>
      <c r="N219" s="23">
        <f>IF($BM219=0,NA(),SUMIFS(Entries!$E$2:$E$5000,Entries!$D$2:$D$5000,"Core",Entries!$A$2:$A$5000,"&gt;="&amp;$A219,Entries!$A$2:$A$5000,"&lt;"&amp;EDATE($A219,1)))</f>
        <v/>
      </c>
      <c r="O219" s="23">
        <f>IF($BM219=0,NA(),SUMIFS(Entries!$E$2:$E$5000,Entries!$D$2:$D$5000,"Over &amp; above",Entries!$A$2:$A$5000,"&gt;="&amp;$A219,Entries!$A$2:$A$5000,"&lt;"&amp;EDATE($A219,1)))</f>
        <v/>
      </c>
      <c r="P219" s="23">
        <f>IF($BM219=0,NA(),SUMIFS(Entries!$E$2:$E$5000,Entries!$D$2:$D$5000,"One-off",Entries!$A$2:$A$5000,"&gt;="&amp;$A219,Entries!$A$2:$A$5000,"&lt;"&amp;EDATE($A219,1)))</f>
        <v/>
      </c>
      <c r="Q219" s="23">
        <f>IF($BM219=0,NA(),SUMIFS(Entries!$E$2:$E$5000,Entries!$D$2:$D$5000,"Reimbursable",Entries!$A$2:$A$5000,"&gt;="&amp;$A219,Entries!$A$2:$A$5000,"&lt;"&amp;EDATE($A219,1)))</f>
        <v/>
      </c>
      <c r="R219" s="23">
        <f>IF($BM219=0,NA(),SUMIFS(Entries!$E$2:$E$5000,Entries!$D$2:$D$5000,"Investment",Entries!$A$2:$A$5000,"&gt;="&amp;$A219,Entries!$A$2:$A$5000,"&lt;"&amp;EDATE($A219,1)))</f>
        <v/>
      </c>
      <c r="S219" s="23">
        <f>IF($BM219=0,NA(),N219+O219)</f>
        <v/>
      </c>
      <c r="T219" s="23">
        <f>IF($BM219=0,"",E219-Q219)</f>
        <v/>
      </c>
      <c r="W219" s="23">
        <f>IF(OR(W$1="",$BM219=0),"",SUMIFS(Entries!$E$2:$E$5000,Entries!$C$2:$C$5000,"Actual",Entries!$A$2:$A$5000,"&gt;="&amp;$A219,Entries!$A$2:$A$5000,"&lt;"&amp;EDATE($A219,1),Entries!$B$2:$B$5000,W$1))</f>
        <v/>
      </c>
      <c r="X219" s="23">
        <f>IF(OR(X$1="",$BM219=0),"",SUMIFS(Entries!$E$2:$E$5000,Entries!$C$2:$C$5000,"Actual",Entries!$A$2:$A$5000,"&gt;="&amp;$A219,Entries!$A$2:$A$5000,"&lt;"&amp;EDATE($A219,1),Entries!$B$2:$B$5000,X$1))</f>
        <v/>
      </c>
      <c r="Y219" s="23">
        <f>IF(OR(Y$1="",$BM219=0),"",SUMIFS(Entries!$E$2:$E$5000,Entries!$C$2:$C$5000,"Actual",Entries!$A$2:$A$5000,"&gt;="&amp;$A219,Entries!$A$2:$A$5000,"&lt;"&amp;EDATE($A219,1),Entries!$B$2:$B$5000,Y$1))</f>
        <v/>
      </c>
      <c r="Z219" s="23">
        <f>IF(OR(Z$1="",$BM219=0),"",SUMIFS(Entries!$E$2:$E$5000,Entries!$C$2:$C$5000,"Actual",Entries!$A$2:$A$5000,"&gt;="&amp;$A219,Entries!$A$2:$A$5000,"&lt;"&amp;EDATE($A219,1),Entries!$B$2:$B$5000,Z$1))</f>
        <v/>
      </c>
      <c r="AA219" s="23">
        <f>IF(OR(AA$1="",$BM219=0),"",SUMIFS(Entries!$E$2:$E$5000,Entries!$C$2:$C$5000,"Actual",Entries!$A$2:$A$5000,"&gt;="&amp;$A219,Entries!$A$2:$A$5000,"&lt;"&amp;EDATE($A219,1),Entries!$B$2:$B$5000,AA$1))</f>
        <v/>
      </c>
      <c r="AB219" s="23">
        <f>IF(OR(AB$1="",$BM219=0),"",SUMIFS(Entries!$E$2:$E$5000,Entries!$C$2:$C$5000,"Actual",Entries!$A$2:$A$5000,"&gt;="&amp;$A219,Entries!$A$2:$A$5000,"&lt;"&amp;EDATE($A219,1),Entries!$B$2:$B$5000,AB$1))</f>
        <v/>
      </c>
      <c r="AC219" s="23">
        <f>IF(OR(AC$1="",$BM219=0),"",SUMIFS(Entries!$E$2:$E$5000,Entries!$C$2:$C$5000,"Actual",Entries!$A$2:$A$5000,"&gt;="&amp;$A219,Entries!$A$2:$A$5000,"&lt;"&amp;EDATE($A219,1),Entries!$B$2:$B$5000,AC$1))</f>
        <v/>
      </c>
      <c r="AD219" s="23">
        <f>IF(OR(AD$1="",$BM219=0),"",SUMIFS(Entries!$E$2:$E$5000,Entries!$C$2:$C$5000,"Actual",Entries!$A$2:$A$5000,"&gt;="&amp;$A219,Entries!$A$2:$A$5000,"&lt;"&amp;EDATE($A219,1),Entries!$B$2:$B$5000,AD$1))</f>
        <v/>
      </c>
      <c r="AE219" s="23">
        <f>IF(OR(AE$1="",$BM219=0),"",SUMIFS(Entries!$E$2:$E$5000,Entries!$C$2:$C$5000,"Actual",Entries!$A$2:$A$5000,"&gt;="&amp;$A219,Entries!$A$2:$A$5000,"&lt;"&amp;EDATE($A219,1),Entries!$B$2:$B$5000,AE$1))</f>
        <v/>
      </c>
      <c r="AF219" s="23">
        <f>IF(OR(AF$1="",$BM219=0),"",SUMIFS(Entries!$E$2:$E$5000,Entries!$C$2:$C$5000,"Actual",Entries!$A$2:$A$5000,"&gt;="&amp;$A219,Entries!$A$2:$A$5000,"&lt;"&amp;EDATE($A219,1),Entries!$B$2:$B$5000,AF$1))</f>
        <v/>
      </c>
      <c r="AG219" s="23">
        <f>IF(OR(AG$1="",$BM219=0),"",SUMIFS(Entries!$E$2:$E$5000,Entries!$C$2:$C$5000,"Actual",Entries!$A$2:$A$5000,"&gt;="&amp;$A219,Entries!$A$2:$A$5000,"&lt;"&amp;EDATE($A219,1),Entries!$B$2:$B$5000,AG$1))</f>
        <v/>
      </c>
      <c r="AH219" s="23">
        <f>IF(OR(AH$1="",$BM219=0),"",SUMIFS(Entries!$E$2:$E$5000,Entries!$C$2:$C$5000,"Actual",Entries!$A$2:$A$5000,"&gt;="&amp;$A219,Entries!$A$2:$A$5000,"&lt;"&amp;EDATE($A219,1),Entries!$B$2:$B$5000,AH$1))</f>
        <v/>
      </c>
      <c r="AI219" s="23">
        <f>IF(OR(AI$1="",$BM219=0),"",SUMIFS(Entries!$E$2:$E$5000,Entries!$C$2:$C$5000,"Actual",Entries!$A$2:$A$5000,"&gt;="&amp;$A219,Entries!$A$2:$A$5000,"&lt;"&amp;EDATE($A219,1),Entries!$B$2:$B$5000,AI$1))</f>
        <v/>
      </c>
      <c r="AJ219" s="23">
        <f>IF(OR(AJ$1="",$BM219=0),"",SUMIFS(Entries!$E$2:$E$5000,Entries!$C$2:$C$5000,"Actual",Entries!$A$2:$A$5000,"&gt;="&amp;$A219,Entries!$A$2:$A$5000,"&lt;"&amp;EDATE($A219,1),Entries!$B$2:$B$5000,AJ$1))</f>
        <v/>
      </c>
      <c r="AK219" s="23">
        <f>IF(OR(AK$1="",$BM219=0),"",SUMIFS(Entries!$E$2:$E$5000,Entries!$C$2:$C$5000,"Actual",Entries!$A$2:$A$5000,"&gt;="&amp;$A219,Entries!$A$2:$A$5000,"&lt;"&amp;EDATE($A219,1),Entries!$B$2:$B$5000,AK$1))</f>
        <v/>
      </c>
      <c r="AL219" s="23">
        <f>IF(OR(AL$1="",$BM219=0),"",SUMIFS(Entries!$E$2:$E$5000,Entries!$C$2:$C$5000,"Actual",Entries!$A$2:$A$5000,"&gt;="&amp;$A219,Entries!$A$2:$A$5000,"&lt;"&amp;EDATE($A219,1),Entries!$B$2:$B$5000,AL$1))</f>
        <v/>
      </c>
      <c r="AM219" s="23">
        <f>IF(OR(AM$1="",$BM219=0),"",SUMIFS(Entries!$E$2:$E$5000,Entries!$C$2:$C$5000,"Actual",Entries!$A$2:$A$5000,"&gt;="&amp;$A219,Entries!$A$2:$A$5000,"&lt;"&amp;EDATE($A219,1),Entries!$B$2:$B$5000,AM$1))</f>
        <v/>
      </c>
      <c r="AN219" s="23">
        <f>IF(OR(AN$1="",$BM219=0),"",SUMIFS(Entries!$E$2:$E$5000,Entries!$C$2:$C$5000,"Actual",Entries!$A$2:$A$5000,"&gt;="&amp;$A219,Entries!$A$2:$A$5000,"&lt;"&amp;EDATE($A219,1),Entries!$B$2:$B$5000,AN$1))</f>
        <v/>
      </c>
      <c r="AO219" s="23">
        <f>IF(OR(AO$1="",$BM219=0),"",SUMIFS(Entries!$E$2:$E$5000,Entries!$C$2:$C$5000,"Actual",Entries!$A$2:$A$5000,"&gt;="&amp;$A219,Entries!$A$2:$A$5000,"&lt;"&amp;EDATE($A219,1),Entries!$B$2:$B$5000,AO$1))</f>
        <v/>
      </c>
      <c r="AP219" s="23">
        <f>IF(OR(AP$1="",$BM219=0),"",SUMIFS(Entries!$E$2:$E$5000,Entries!$C$2:$C$5000,"Actual",Entries!$A$2:$A$5000,"&gt;="&amp;$A219,Entries!$A$2:$A$5000,"&lt;"&amp;EDATE($A219,1),Entries!$B$2:$B$5000,AP$1))</f>
        <v/>
      </c>
      <c r="AR219" s="23">
        <f>IF(OR(AR$1="",$BM219=0),"",IFERROR(LOOKUP(2,1/((Budgets!$A$2:$A$200=AR$1)*(Budgets!$B$2:$B$200&lt;EDATE($A219,1))),Budgets!$C$2:$C$200),0))</f>
        <v/>
      </c>
      <c r="AS219" s="23">
        <f>IF(OR(AS$1="",$BM219=0),"",IFERROR(LOOKUP(2,1/((Budgets!$A$2:$A$200=AS$1)*(Budgets!$B$2:$B$200&lt;EDATE($A219,1))),Budgets!$C$2:$C$200),0))</f>
        <v/>
      </c>
      <c r="AT219" s="23">
        <f>IF(OR(AT$1="",$BM219=0),"",IFERROR(LOOKUP(2,1/((Budgets!$A$2:$A$200=AT$1)*(Budgets!$B$2:$B$200&lt;EDATE($A219,1))),Budgets!$C$2:$C$200),0))</f>
        <v/>
      </c>
      <c r="AU219" s="23">
        <f>IF(OR(AU$1="",$BM219=0),"",IFERROR(LOOKUP(2,1/((Budgets!$A$2:$A$200=AU$1)*(Budgets!$B$2:$B$200&lt;EDATE($A219,1))),Budgets!$C$2:$C$200),0))</f>
        <v/>
      </c>
      <c r="AV219" s="23">
        <f>IF(OR(AV$1="",$BM219=0),"",IFERROR(LOOKUP(2,1/((Budgets!$A$2:$A$200=AV$1)*(Budgets!$B$2:$B$200&lt;EDATE($A219,1))),Budgets!$C$2:$C$200),0))</f>
        <v/>
      </c>
      <c r="AW219" s="23">
        <f>IF(OR(AW$1="",$BM219=0),"",IFERROR(LOOKUP(2,1/((Budgets!$A$2:$A$200=AW$1)*(Budgets!$B$2:$B$200&lt;EDATE($A219,1))),Budgets!$C$2:$C$200),0))</f>
        <v/>
      </c>
      <c r="AX219" s="23">
        <f>IF(OR(AX$1="",$BM219=0),"",IFERROR(LOOKUP(2,1/((Budgets!$A$2:$A$200=AX$1)*(Budgets!$B$2:$B$200&lt;EDATE($A219,1))),Budgets!$C$2:$C$200),0))</f>
        <v/>
      </c>
      <c r="AY219" s="23">
        <f>IF(OR(AY$1="",$BM219=0),"",IFERROR(LOOKUP(2,1/((Budgets!$A$2:$A$200=AY$1)*(Budgets!$B$2:$B$200&lt;EDATE($A219,1))),Budgets!$C$2:$C$200),0))</f>
        <v/>
      </c>
      <c r="AZ219" s="23">
        <f>IF(OR(AZ$1="",$BM219=0),"",IFERROR(LOOKUP(2,1/((Budgets!$A$2:$A$200=AZ$1)*(Budgets!$B$2:$B$200&lt;EDATE($A219,1))),Budgets!$C$2:$C$200),0))</f>
        <v/>
      </c>
      <c r="BA219" s="23">
        <f>IF(OR(BA$1="",$BM219=0),"",IFERROR(LOOKUP(2,1/((Budgets!$A$2:$A$200=BA$1)*(Budgets!$B$2:$B$200&lt;EDATE($A219,1))),Budgets!$C$2:$C$200),0))</f>
        <v/>
      </c>
      <c r="BB219" s="23">
        <f>IF(OR(BB$1="",$BM219=0),"",IFERROR(LOOKUP(2,1/((Budgets!$A$2:$A$200=BB$1)*(Budgets!$B$2:$B$200&lt;EDATE($A219,1))),Budgets!$C$2:$C$200),0))</f>
        <v/>
      </c>
      <c r="BC219" s="23">
        <f>IF(OR(BC$1="",$BM219=0),"",IFERROR(LOOKUP(2,1/((Budgets!$A$2:$A$200=BC$1)*(Budgets!$B$2:$B$200&lt;EDATE($A219,1))),Budgets!$C$2:$C$200),0))</f>
        <v/>
      </c>
      <c r="BD219" s="23">
        <f>IF(OR(BD$1="",$BM219=0),"",IFERROR(LOOKUP(2,1/((Budgets!$A$2:$A$200=BD$1)*(Budgets!$B$2:$B$200&lt;EDATE($A219,1))),Budgets!$C$2:$C$200),0))</f>
        <v/>
      </c>
      <c r="BE219" s="23">
        <f>IF(OR(BE$1="",$BM219=0),"",IFERROR(LOOKUP(2,1/((Budgets!$A$2:$A$200=BE$1)*(Budgets!$B$2:$B$200&lt;EDATE($A219,1))),Budgets!$C$2:$C$200),0))</f>
        <v/>
      </c>
      <c r="BF219" s="23">
        <f>IF(OR(BF$1="",$BM219=0),"",IFERROR(LOOKUP(2,1/((Budgets!$A$2:$A$200=BF$1)*(Budgets!$B$2:$B$200&lt;EDATE($A219,1))),Budgets!$C$2:$C$200),0))</f>
        <v/>
      </c>
      <c r="BG219" s="23">
        <f>IF(OR(BG$1="",$BM219=0),"",IFERROR(LOOKUP(2,1/((Budgets!$A$2:$A$200=BG$1)*(Budgets!$B$2:$B$200&lt;EDATE($A219,1))),Budgets!$C$2:$C$200),0))</f>
        <v/>
      </c>
      <c r="BH219" s="23">
        <f>IF(OR(BH$1="",$BM219=0),"",IFERROR(LOOKUP(2,1/((Budgets!$A$2:$A$200=BH$1)*(Budgets!$B$2:$B$200&lt;EDATE($A219,1))),Budgets!$C$2:$C$200),0))</f>
        <v/>
      </c>
      <c r="BI219" s="23">
        <f>IF(OR(BI$1="",$BM219=0),"",IFERROR(LOOKUP(2,1/((Budgets!$A$2:$A$200=BI$1)*(Budgets!$B$2:$B$200&lt;EDATE($A219,1))),Budgets!$C$2:$C$200),0))</f>
        <v/>
      </c>
      <c r="BJ219" s="23">
        <f>IF(OR(BJ$1="",$BM219=0),"",IFERROR(LOOKUP(2,1/((Budgets!$A$2:$A$200=BJ$1)*(Budgets!$B$2:$B$200&lt;EDATE($A219,1))),Budgets!$C$2:$C$200),0))</f>
        <v/>
      </c>
      <c r="BK219" s="23">
        <f>IF(OR(BK$1="",$BM219=0),"",IFERROR(LOOKUP(2,1/((Budgets!$A$2:$A$200=BK$1)*(Budgets!$B$2:$B$200&lt;EDATE($A219,1))),Budgets!$C$2:$C$200),0))</f>
        <v/>
      </c>
      <c r="BM219" s="21">
        <f>COUNTIFS(Entries!$A$2:$A$5000,"&gt;="&amp;$A219,Entries!$A$2:$A$5000,"&lt;"&amp;EDATE($A219,1))</f>
        <v/>
      </c>
    </row>
    <row r="220">
      <c r="A220" s="22" t="n">
        <v>46082</v>
      </c>
      <c r="B220" s="23">
        <f>IF($BM220=0,NA(),SUMIFS(Entries!$E$2:$E$5000,Entries!$C$2:$C$5000,"Income",Entries!$A$2:$A$5000,"&gt;="&amp;$A220,Entries!$A$2:$A$5000,"&lt;"&amp;EDATE($A220,1)))</f>
        <v/>
      </c>
      <c r="C220" s="23">
        <f>IF($BM220=0,"",SUMIFS(Entries!$E$2:$E$5000,Entries!$C$2:$C$5000,"Actual",Entries!$A$2:$A$5000,"&gt;="&amp;$A220,Entries!$A$2:$A$5000,"&lt;"&amp;EDATE($A220,1)))</f>
        <v/>
      </c>
      <c r="D220" s="23">
        <f>IF($BM220=0,"",SUMIFS(Entries!$E$2:$E$5000,Entries!$C$2:$C$5000,"One-off",Entries!$A$2:$A$5000,"&gt;="&amp;$A220,Entries!$A$2:$A$5000,"&lt;"&amp;EDATE($A220,1)))</f>
        <v/>
      </c>
      <c r="E220" s="23">
        <f>IF($BM220=0,NA(),C220+D220)</f>
        <v/>
      </c>
      <c r="F220" s="23">
        <f>IF($BM220=0,"",SUM(AR220:BK220))</f>
        <v/>
      </c>
      <c r="G220" s="23">
        <f>IF($BM220=0,"",B220-E220)</f>
        <v/>
      </c>
      <c r="H220" s="23">
        <f>IF($BM220=0,"",SUM($G$2:G220))</f>
        <v/>
      </c>
      <c r="I220" s="23">
        <f>IF($BM220=0,"",SUMIFS(Entries!$G$2:$G$5000,Entries!$A$2:$A$5000,"&gt;="&amp;$A220,Entries!$A$2:$A$5000,"&lt;"&amp;EDATE($A220,1)))</f>
        <v/>
      </c>
      <c r="J220" s="23">
        <f>IF($BM220=0,NA(),H220)</f>
        <v/>
      </c>
      <c r="K220" s="23">
        <f>IF($BM220=0,"",SUMIFS(Entries!$E$2:$E$5000,Entries!$C$2:$C$5000,"Income",Entries!$A$2:$A$5000,"&gt;="&amp;EDATE($A220,-11),Entries!$A$2:$A$5000,"&lt;"&amp;EDATE($A220,1))/COUNTIFS($A$2:$A$400,"&gt;="&amp;EDATE($A220,-11),$A$2:$A$400,"&lt;"&amp;EDATE($A220,1),$BM$2:$BM$400,"&gt;0"))</f>
      </c>
      <c r="L220" s="23">
        <f>IF($BM220=0,"",(SUMIFS(Entries!$E$2:$E$5000,Entries!$C$2:$C$5000,"Actual",Entries!$A$2:$A$5000,"&gt;="&amp;EDATE($A220,-11),Entries!$A$2:$A$5000,"&lt;"&amp;EDATE($A220,1))+SUMIFS(Entries!$E$2:$E$5000,Entries!$C$2:$C$5000,"One-off",Entries!$A$2:$A$5000,"&gt;="&amp;EDATE($A220,-11),Entries!$A$2:$A$5000,"&lt;"&amp;EDATE($A220,1)))/COUNTIFS($A$2:$A$400,"&gt;="&amp;EDATE($A220,-11),$A$2:$A$400,"&lt;"&amp;EDATE($A220,1),$BM$2:$BM$400,"&gt;0"))</f>
      </c>
      <c r="M220" s="24">
        <f>IF($BM220=0,NA(),IFERROR((K220-L220)/K220,0))</f>
        <v/>
      </c>
      <c r="N220" s="23">
        <f>IF($BM220=0,NA(),SUMIFS(Entries!$E$2:$E$5000,Entries!$D$2:$D$5000,"Core",Entries!$A$2:$A$5000,"&gt;="&amp;$A220,Entries!$A$2:$A$5000,"&lt;"&amp;EDATE($A220,1)))</f>
        <v/>
      </c>
      <c r="O220" s="23">
        <f>IF($BM220=0,NA(),SUMIFS(Entries!$E$2:$E$5000,Entries!$D$2:$D$5000,"Over &amp; above",Entries!$A$2:$A$5000,"&gt;="&amp;$A220,Entries!$A$2:$A$5000,"&lt;"&amp;EDATE($A220,1)))</f>
        <v/>
      </c>
      <c r="P220" s="23">
        <f>IF($BM220=0,NA(),SUMIFS(Entries!$E$2:$E$5000,Entries!$D$2:$D$5000,"One-off",Entries!$A$2:$A$5000,"&gt;="&amp;$A220,Entries!$A$2:$A$5000,"&lt;"&amp;EDATE($A220,1)))</f>
        <v/>
      </c>
      <c r="Q220" s="23">
        <f>IF($BM220=0,NA(),SUMIFS(Entries!$E$2:$E$5000,Entries!$D$2:$D$5000,"Reimbursable",Entries!$A$2:$A$5000,"&gt;="&amp;$A220,Entries!$A$2:$A$5000,"&lt;"&amp;EDATE($A220,1)))</f>
        <v/>
      </c>
      <c r="R220" s="23">
        <f>IF($BM220=0,NA(),SUMIFS(Entries!$E$2:$E$5000,Entries!$D$2:$D$5000,"Investment",Entries!$A$2:$A$5000,"&gt;="&amp;$A220,Entries!$A$2:$A$5000,"&lt;"&amp;EDATE($A220,1)))</f>
        <v/>
      </c>
      <c r="S220" s="23">
        <f>IF($BM220=0,NA(),N220+O220)</f>
        <v/>
      </c>
      <c r="T220" s="23">
        <f>IF($BM220=0,"",E220-Q220)</f>
        <v/>
      </c>
      <c r="W220" s="23">
        <f>IF(OR(W$1="",$BM220=0),"",SUMIFS(Entries!$E$2:$E$5000,Entries!$C$2:$C$5000,"Actual",Entries!$A$2:$A$5000,"&gt;="&amp;$A220,Entries!$A$2:$A$5000,"&lt;"&amp;EDATE($A220,1),Entries!$B$2:$B$5000,W$1))</f>
        <v/>
      </c>
      <c r="X220" s="23">
        <f>IF(OR(X$1="",$BM220=0),"",SUMIFS(Entries!$E$2:$E$5000,Entries!$C$2:$C$5000,"Actual",Entries!$A$2:$A$5000,"&gt;="&amp;$A220,Entries!$A$2:$A$5000,"&lt;"&amp;EDATE($A220,1),Entries!$B$2:$B$5000,X$1))</f>
        <v/>
      </c>
      <c r="Y220" s="23">
        <f>IF(OR(Y$1="",$BM220=0),"",SUMIFS(Entries!$E$2:$E$5000,Entries!$C$2:$C$5000,"Actual",Entries!$A$2:$A$5000,"&gt;="&amp;$A220,Entries!$A$2:$A$5000,"&lt;"&amp;EDATE($A220,1),Entries!$B$2:$B$5000,Y$1))</f>
        <v/>
      </c>
      <c r="Z220" s="23">
        <f>IF(OR(Z$1="",$BM220=0),"",SUMIFS(Entries!$E$2:$E$5000,Entries!$C$2:$C$5000,"Actual",Entries!$A$2:$A$5000,"&gt;="&amp;$A220,Entries!$A$2:$A$5000,"&lt;"&amp;EDATE($A220,1),Entries!$B$2:$B$5000,Z$1))</f>
        <v/>
      </c>
      <c r="AA220" s="23">
        <f>IF(OR(AA$1="",$BM220=0),"",SUMIFS(Entries!$E$2:$E$5000,Entries!$C$2:$C$5000,"Actual",Entries!$A$2:$A$5000,"&gt;="&amp;$A220,Entries!$A$2:$A$5000,"&lt;"&amp;EDATE($A220,1),Entries!$B$2:$B$5000,AA$1))</f>
        <v/>
      </c>
      <c r="AB220" s="23">
        <f>IF(OR(AB$1="",$BM220=0),"",SUMIFS(Entries!$E$2:$E$5000,Entries!$C$2:$C$5000,"Actual",Entries!$A$2:$A$5000,"&gt;="&amp;$A220,Entries!$A$2:$A$5000,"&lt;"&amp;EDATE($A220,1),Entries!$B$2:$B$5000,AB$1))</f>
        <v/>
      </c>
      <c r="AC220" s="23">
        <f>IF(OR(AC$1="",$BM220=0),"",SUMIFS(Entries!$E$2:$E$5000,Entries!$C$2:$C$5000,"Actual",Entries!$A$2:$A$5000,"&gt;="&amp;$A220,Entries!$A$2:$A$5000,"&lt;"&amp;EDATE($A220,1),Entries!$B$2:$B$5000,AC$1))</f>
        <v/>
      </c>
      <c r="AD220" s="23">
        <f>IF(OR(AD$1="",$BM220=0),"",SUMIFS(Entries!$E$2:$E$5000,Entries!$C$2:$C$5000,"Actual",Entries!$A$2:$A$5000,"&gt;="&amp;$A220,Entries!$A$2:$A$5000,"&lt;"&amp;EDATE($A220,1),Entries!$B$2:$B$5000,AD$1))</f>
        <v/>
      </c>
      <c r="AE220" s="23">
        <f>IF(OR(AE$1="",$BM220=0),"",SUMIFS(Entries!$E$2:$E$5000,Entries!$C$2:$C$5000,"Actual",Entries!$A$2:$A$5000,"&gt;="&amp;$A220,Entries!$A$2:$A$5000,"&lt;"&amp;EDATE($A220,1),Entries!$B$2:$B$5000,AE$1))</f>
        <v/>
      </c>
      <c r="AF220" s="23">
        <f>IF(OR(AF$1="",$BM220=0),"",SUMIFS(Entries!$E$2:$E$5000,Entries!$C$2:$C$5000,"Actual",Entries!$A$2:$A$5000,"&gt;="&amp;$A220,Entries!$A$2:$A$5000,"&lt;"&amp;EDATE($A220,1),Entries!$B$2:$B$5000,AF$1))</f>
        <v/>
      </c>
      <c r="AG220" s="23">
        <f>IF(OR(AG$1="",$BM220=0),"",SUMIFS(Entries!$E$2:$E$5000,Entries!$C$2:$C$5000,"Actual",Entries!$A$2:$A$5000,"&gt;="&amp;$A220,Entries!$A$2:$A$5000,"&lt;"&amp;EDATE($A220,1),Entries!$B$2:$B$5000,AG$1))</f>
        <v/>
      </c>
      <c r="AH220" s="23">
        <f>IF(OR(AH$1="",$BM220=0),"",SUMIFS(Entries!$E$2:$E$5000,Entries!$C$2:$C$5000,"Actual",Entries!$A$2:$A$5000,"&gt;="&amp;$A220,Entries!$A$2:$A$5000,"&lt;"&amp;EDATE($A220,1),Entries!$B$2:$B$5000,AH$1))</f>
        <v/>
      </c>
      <c r="AI220" s="23">
        <f>IF(OR(AI$1="",$BM220=0),"",SUMIFS(Entries!$E$2:$E$5000,Entries!$C$2:$C$5000,"Actual",Entries!$A$2:$A$5000,"&gt;="&amp;$A220,Entries!$A$2:$A$5000,"&lt;"&amp;EDATE($A220,1),Entries!$B$2:$B$5000,AI$1))</f>
        <v/>
      </c>
      <c r="AJ220" s="23">
        <f>IF(OR(AJ$1="",$BM220=0),"",SUMIFS(Entries!$E$2:$E$5000,Entries!$C$2:$C$5000,"Actual",Entries!$A$2:$A$5000,"&gt;="&amp;$A220,Entries!$A$2:$A$5000,"&lt;"&amp;EDATE($A220,1),Entries!$B$2:$B$5000,AJ$1))</f>
        <v/>
      </c>
      <c r="AK220" s="23">
        <f>IF(OR(AK$1="",$BM220=0),"",SUMIFS(Entries!$E$2:$E$5000,Entries!$C$2:$C$5000,"Actual",Entries!$A$2:$A$5000,"&gt;="&amp;$A220,Entries!$A$2:$A$5000,"&lt;"&amp;EDATE($A220,1),Entries!$B$2:$B$5000,AK$1))</f>
        <v/>
      </c>
      <c r="AL220" s="23">
        <f>IF(OR(AL$1="",$BM220=0),"",SUMIFS(Entries!$E$2:$E$5000,Entries!$C$2:$C$5000,"Actual",Entries!$A$2:$A$5000,"&gt;="&amp;$A220,Entries!$A$2:$A$5000,"&lt;"&amp;EDATE($A220,1),Entries!$B$2:$B$5000,AL$1))</f>
        <v/>
      </c>
      <c r="AM220" s="23">
        <f>IF(OR(AM$1="",$BM220=0),"",SUMIFS(Entries!$E$2:$E$5000,Entries!$C$2:$C$5000,"Actual",Entries!$A$2:$A$5000,"&gt;="&amp;$A220,Entries!$A$2:$A$5000,"&lt;"&amp;EDATE($A220,1),Entries!$B$2:$B$5000,AM$1))</f>
        <v/>
      </c>
      <c r="AN220" s="23">
        <f>IF(OR(AN$1="",$BM220=0),"",SUMIFS(Entries!$E$2:$E$5000,Entries!$C$2:$C$5000,"Actual",Entries!$A$2:$A$5000,"&gt;="&amp;$A220,Entries!$A$2:$A$5000,"&lt;"&amp;EDATE($A220,1),Entries!$B$2:$B$5000,AN$1))</f>
        <v/>
      </c>
      <c r="AO220" s="23">
        <f>IF(OR(AO$1="",$BM220=0),"",SUMIFS(Entries!$E$2:$E$5000,Entries!$C$2:$C$5000,"Actual",Entries!$A$2:$A$5000,"&gt;="&amp;$A220,Entries!$A$2:$A$5000,"&lt;"&amp;EDATE($A220,1),Entries!$B$2:$B$5000,AO$1))</f>
        <v/>
      </c>
      <c r="AP220" s="23">
        <f>IF(OR(AP$1="",$BM220=0),"",SUMIFS(Entries!$E$2:$E$5000,Entries!$C$2:$C$5000,"Actual",Entries!$A$2:$A$5000,"&gt;="&amp;$A220,Entries!$A$2:$A$5000,"&lt;"&amp;EDATE($A220,1),Entries!$B$2:$B$5000,AP$1))</f>
        <v/>
      </c>
      <c r="AR220" s="23">
        <f>IF(OR(AR$1="",$BM220=0),"",IFERROR(LOOKUP(2,1/((Budgets!$A$2:$A$200=AR$1)*(Budgets!$B$2:$B$200&lt;EDATE($A220,1))),Budgets!$C$2:$C$200),0))</f>
        <v/>
      </c>
      <c r="AS220" s="23">
        <f>IF(OR(AS$1="",$BM220=0),"",IFERROR(LOOKUP(2,1/((Budgets!$A$2:$A$200=AS$1)*(Budgets!$B$2:$B$200&lt;EDATE($A220,1))),Budgets!$C$2:$C$200),0))</f>
        <v/>
      </c>
      <c r="AT220" s="23">
        <f>IF(OR(AT$1="",$BM220=0),"",IFERROR(LOOKUP(2,1/((Budgets!$A$2:$A$200=AT$1)*(Budgets!$B$2:$B$200&lt;EDATE($A220,1))),Budgets!$C$2:$C$200),0))</f>
        <v/>
      </c>
      <c r="AU220" s="23">
        <f>IF(OR(AU$1="",$BM220=0),"",IFERROR(LOOKUP(2,1/((Budgets!$A$2:$A$200=AU$1)*(Budgets!$B$2:$B$200&lt;EDATE($A220,1))),Budgets!$C$2:$C$200),0))</f>
        <v/>
      </c>
      <c r="AV220" s="23">
        <f>IF(OR(AV$1="",$BM220=0),"",IFERROR(LOOKUP(2,1/((Budgets!$A$2:$A$200=AV$1)*(Budgets!$B$2:$B$200&lt;EDATE($A220,1))),Budgets!$C$2:$C$200),0))</f>
        <v/>
      </c>
      <c r="AW220" s="23">
        <f>IF(OR(AW$1="",$BM220=0),"",IFERROR(LOOKUP(2,1/((Budgets!$A$2:$A$200=AW$1)*(Budgets!$B$2:$B$200&lt;EDATE($A220,1))),Budgets!$C$2:$C$200),0))</f>
        <v/>
      </c>
      <c r="AX220" s="23">
        <f>IF(OR(AX$1="",$BM220=0),"",IFERROR(LOOKUP(2,1/((Budgets!$A$2:$A$200=AX$1)*(Budgets!$B$2:$B$200&lt;EDATE($A220,1))),Budgets!$C$2:$C$200),0))</f>
        <v/>
      </c>
      <c r="AY220" s="23">
        <f>IF(OR(AY$1="",$BM220=0),"",IFERROR(LOOKUP(2,1/((Budgets!$A$2:$A$200=AY$1)*(Budgets!$B$2:$B$200&lt;EDATE($A220,1))),Budgets!$C$2:$C$200),0))</f>
        <v/>
      </c>
      <c r="AZ220" s="23">
        <f>IF(OR(AZ$1="",$BM220=0),"",IFERROR(LOOKUP(2,1/((Budgets!$A$2:$A$200=AZ$1)*(Budgets!$B$2:$B$200&lt;EDATE($A220,1))),Budgets!$C$2:$C$200),0))</f>
        <v/>
      </c>
      <c r="BA220" s="23">
        <f>IF(OR(BA$1="",$BM220=0),"",IFERROR(LOOKUP(2,1/((Budgets!$A$2:$A$200=BA$1)*(Budgets!$B$2:$B$200&lt;EDATE($A220,1))),Budgets!$C$2:$C$200),0))</f>
        <v/>
      </c>
      <c r="BB220" s="23">
        <f>IF(OR(BB$1="",$BM220=0),"",IFERROR(LOOKUP(2,1/((Budgets!$A$2:$A$200=BB$1)*(Budgets!$B$2:$B$200&lt;EDATE($A220,1))),Budgets!$C$2:$C$200),0))</f>
        <v/>
      </c>
      <c r="BC220" s="23">
        <f>IF(OR(BC$1="",$BM220=0),"",IFERROR(LOOKUP(2,1/((Budgets!$A$2:$A$200=BC$1)*(Budgets!$B$2:$B$200&lt;EDATE($A220,1))),Budgets!$C$2:$C$200),0))</f>
        <v/>
      </c>
      <c r="BD220" s="23">
        <f>IF(OR(BD$1="",$BM220=0),"",IFERROR(LOOKUP(2,1/((Budgets!$A$2:$A$200=BD$1)*(Budgets!$B$2:$B$200&lt;EDATE($A220,1))),Budgets!$C$2:$C$200),0))</f>
        <v/>
      </c>
      <c r="BE220" s="23">
        <f>IF(OR(BE$1="",$BM220=0),"",IFERROR(LOOKUP(2,1/((Budgets!$A$2:$A$200=BE$1)*(Budgets!$B$2:$B$200&lt;EDATE($A220,1))),Budgets!$C$2:$C$200),0))</f>
        <v/>
      </c>
      <c r="BF220" s="23">
        <f>IF(OR(BF$1="",$BM220=0),"",IFERROR(LOOKUP(2,1/((Budgets!$A$2:$A$200=BF$1)*(Budgets!$B$2:$B$200&lt;EDATE($A220,1))),Budgets!$C$2:$C$200),0))</f>
        <v/>
      </c>
      <c r="BG220" s="23">
        <f>IF(OR(BG$1="",$BM220=0),"",IFERROR(LOOKUP(2,1/((Budgets!$A$2:$A$200=BG$1)*(Budgets!$B$2:$B$200&lt;EDATE($A220,1))),Budgets!$C$2:$C$200),0))</f>
        <v/>
      </c>
      <c r="BH220" s="23">
        <f>IF(OR(BH$1="",$BM220=0),"",IFERROR(LOOKUP(2,1/((Budgets!$A$2:$A$200=BH$1)*(Budgets!$B$2:$B$200&lt;EDATE($A220,1))),Budgets!$C$2:$C$200),0))</f>
        <v/>
      </c>
      <c r="BI220" s="23">
        <f>IF(OR(BI$1="",$BM220=0),"",IFERROR(LOOKUP(2,1/((Budgets!$A$2:$A$200=BI$1)*(Budgets!$B$2:$B$200&lt;EDATE($A220,1))),Budgets!$C$2:$C$200),0))</f>
        <v/>
      </c>
      <c r="BJ220" s="23">
        <f>IF(OR(BJ$1="",$BM220=0),"",IFERROR(LOOKUP(2,1/((Budgets!$A$2:$A$200=BJ$1)*(Budgets!$B$2:$B$200&lt;EDATE($A220,1))),Budgets!$C$2:$C$200),0))</f>
        <v/>
      </c>
      <c r="BK220" s="23">
        <f>IF(OR(BK$1="",$BM220=0),"",IFERROR(LOOKUP(2,1/((Budgets!$A$2:$A$200=BK$1)*(Budgets!$B$2:$B$200&lt;EDATE($A220,1))),Budgets!$C$2:$C$200),0))</f>
        <v/>
      </c>
      <c r="BM220" s="21">
        <f>COUNTIFS(Entries!$A$2:$A$5000,"&gt;="&amp;$A220,Entries!$A$2:$A$5000,"&lt;"&amp;EDATE($A220,1))</f>
        <v/>
      </c>
    </row>
    <row r="221">
      <c r="A221" s="22" t="n">
        <v>46113</v>
      </c>
      <c r="B221" s="23">
        <f>IF($BM221=0,NA(),SUMIFS(Entries!$E$2:$E$5000,Entries!$C$2:$C$5000,"Income",Entries!$A$2:$A$5000,"&gt;="&amp;$A221,Entries!$A$2:$A$5000,"&lt;"&amp;EDATE($A221,1)))</f>
        <v/>
      </c>
      <c r="C221" s="23">
        <f>IF($BM221=0,"",SUMIFS(Entries!$E$2:$E$5000,Entries!$C$2:$C$5000,"Actual",Entries!$A$2:$A$5000,"&gt;="&amp;$A221,Entries!$A$2:$A$5000,"&lt;"&amp;EDATE($A221,1)))</f>
        <v/>
      </c>
      <c r="D221" s="23">
        <f>IF($BM221=0,"",SUMIFS(Entries!$E$2:$E$5000,Entries!$C$2:$C$5000,"One-off",Entries!$A$2:$A$5000,"&gt;="&amp;$A221,Entries!$A$2:$A$5000,"&lt;"&amp;EDATE($A221,1)))</f>
        <v/>
      </c>
      <c r="E221" s="23">
        <f>IF($BM221=0,NA(),C221+D221)</f>
        <v/>
      </c>
      <c r="F221" s="23">
        <f>IF($BM221=0,"",SUM(AR221:BK221))</f>
        <v/>
      </c>
      <c r="G221" s="23">
        <f>IF($BM221=0,"",B221-E221)</f>
        <v/>
      </c>
      <c r="H221" s="23">
        <f>IF($BM221=0,"",SUM($G$2:G221))</f>
        <v/>
      </c>
      <c r="I221" s="23">
        <f>IF($BM221=0,"",SUMIFS(Entries!$G$2:$G$5000,Entries!$A$2:$A$5000,"&gt;="&amp;$A221,Entries!$A$2:$A$5000,"&lt;"&amp;EDATE($A221,1)))</f>
        <v/>
      </c>
      <c r="J221" s="23">
        <f>IF($BM221=0,NA(),H221)</f>
        <v/>
      </c>
      <c r="K221" s="23">
        <f>IF($BM221=0,"",SUMIFS(Entries!$E$2:$E$5000,Entries!$C$2:$C$5000,"Income",Entries!$A$2:$A$5000,"&gt;="&amp;EDATE($A221,-11),Entries!$A$2:$A$5000,"&lt;"&amp;EDATE($A221,1))/COUNTIFS($A$2:$A$400,"&gt;="&amp;EDATE($A221,-11),$A$2:$A$400,"&lt;"&amp;EDATE($A221,1),$BM$2:$BM$400,"&gt;0"))</f>
      </c>
      <c r="L221" s="23">
        <f>IF($BM221=0,"",(SUMIFS(Entries!$E$2:$E$5000,Entries!$C$2:$C$5000,"Actual",Entries!$A$2:$A$5000,"&gt;="&amp;EDATE($A221,-11),Entries!$A$2:$A$5000,"&lt;"&amp;EDATE($A221,1))+SUMIFS(Entries!$E$2:$E$5000,Entries!$C$2:$C$5000,"One-off",Entries!$A$2:$A$5000,"&gt;="&amp;EDATE($A221,-11),Entries!$A$2:$A$5000,"&lt;"&amp;EDATE($A221,1)))/COUNTIFS($A$2:$A$400,"&gt;="&amp;EDATE($A221,-11),$A$2:$A$400,"&lt;"&amp;EDATE($A221,1),$BM$2:$BM$400,"&gt;0"))</f>
      </c>
      <c r="M221" s="24">
        <f>IF($BM221=0,NA(),IFERROR((K221-L221)/K221,0))</f>
        <v/>
      </c>
      <c r="N221" s="23">
        <f>IF($BM221=0,NA(),SUMIFS(Entries!$E$2:$E$5000,Entries!$D$2:$D$5000,"Core",Entries!$A$2:$A$5000,"&gt;="&amp;$A221,Entries!$A$2:$A$5000,"&lt;"&amp;EDATE($A221,1)))</f>
        <v/>
      </c>
      <c r="O221" s="23">
        <f>IF($BM221=0,NA(),SUMIFS(Entries!$E$2:$E$5000,Entries!$D$2:$D$5000,"Over &amp; above",Entries!$A$2:$A$5000,"&gt;="&amp;$A221,Entries!$A$2:$A$5000,"&lt;"&amp;EDATE($A221,1)))</f>
        <v/>
      </c>
      <c r="P221" s="23">
        <f>IF($BM221=0,NA(),SUMIFS(Entries!$E$2:$E$5000,Entries!$D$2:$D$5000,"One-off",Entries!$A$2:$A$5000,"&gt;="&amp;$A221,Entries!$A$2:$A$5000,"&lt;"&amp;EDATE($A221,1)))</f>
        <v/>
      </c>
      <c r="Q221" s="23">
        <f>IF($BM221=0,NA(),SUMIFS(Entries!$E$2:$E$5000,Entries!$D$2:$D$5000,"Reimbursable",Entries!$A$2:$A$5000,"&gt;="&amp;$A221,Entries!$A$2:$A$5000,"&lt;"&amp;EDATE($A221,1)))</f>
        <v/>
      </c>
      <c r="R221" s="23">
        <f>IF($BM221=0,NA(),SUMIFS(Entries!$E$2:$E$5000,Entries!$D$2:$D$5000,"Investment",Entries!$A$2:$A$5000,"&gt;="&amp;$A221,Entries!$A$2:$A$5000,"&lt;"&amp;EDATE($A221,1)))</f>
        <v/>
      </c>
      <c r="S221" s="23">
        <f>IF($BM221=0,NA(),N221+O221)</f>
        <v/>
      </c>
      <c r="T221" s="23">
        <f>IF($BM221=0,"",E221-Q221)</f>
        <v/>
      </c>
      <c r="W221" s="23">
        <f>IF(OR(W$1="",$BM221=0),"",SUMIFS(Entries!$E$2:$E$5000,Entries!$C$2:$C$5000,"Actual",Entries!$A$2:$A$5000,"&gt;="&amp;$A221,Entries!$A$2:$A$5000,"&lt;"&amp;EDATE($A221,1),Entries!$B$2:$B$5000,W$1))</f>
        <v/>
      </c>
      <c r="X221" s="23">
        <f>IF(OR(X$1="",$BM221=0),"",SUMIFS(Entries!$E$2:$E$5000,Entries!$C$2:$C$5000,"Actual",Entries!$A$2:$A$5000,"&gt;="&amp;$A221,Entries!$A$2:$A$5000,"&lt;"&amp;EDATE($A221,1),Entries!$B$2:$B$5000,X$1))</f>
        <v/>
      </c>
      <c r="Y221" s="23">
        <f>IF(OR(Y$1="",$BM221=0),"",SUMIFS(Entries!$E$2:$E$5000,Entries!$C$2:$C$5000,"Actual",Entries!$A$2:$A$5000,"&gt;="&amp;$A221,Entries!$A$2:$A$5000,"&lt;"&amp;EDATE($A221,1),Entries!$B$2:$B$5000,Y$1))</f>
        <v/>
      </c>
      <c r="Z221" s="23">
        <f>IF(OR(Z$1="",$BM221=0),"",SUMIFS(Entries!$E$2:$E$5000,Entries!$C$2:$C$5000,"Actual",Entries!$A$2:$A$5000,"&gt;="&amp;$A221,Entries!$A$2:$A$5000,"&lt;"&amp;EDATE($A221,1),Entries!$B$2:$B$5000,Z$1))</f>
        <v/>
      </c>
      <c r="AA221" s="23">
        <f>IF(OR(AA$1="",$BM221=0),"",SUMIFS(Entries!$E$2:$E$5000,Entries!$C$2:$C$5000,"Actual",Entries!$A$2:$A$5000,"&gt;="&amp;$A221,Entries!$A$2:$A$5000,"&lt;"&amp;EDATE($A221,1),Entries!$B$2:$B$5000,AA$1))</f>
        <v/>
      </c>
      <c r="AB221" s="23">
        <f>IF(OR(AB$1="",$BM221=0),"",SUMIFS(Entries!$E$2:$E$5000,Entries!$C$2:$C$5000,"Actual",Entries!$A$2:$A$5000,"&gt;="&amp;$A221,Entries!$A$2:$A$5000,"&lt;"&amp;EDATE($A221,1),Entries!$B$2:$B$5000,AB$1))</f>
        <v/>
      </c>
      <c r="AC221" s="23">
        <f>IF(OR(AC$1="",$BM221=0),"",SUMIFS(Entries!$E$2:$E$5000,Entries!$C$2:$C$5000,"Actual",Entries!$A$2:$A$5000,"&gt;="&amp;$A221,Entries!$A$2:$A$5000,"&lt;"&amp;EDATE($A221,1),Entries!$B$2:$B$5000,AC$1))</f>
        <v/>
      </c>
      <c r="AD221" s="23">
        <f>IF(OR(AD$1="",$BM221=0),"",SUMIFS(Entries!$E$2:$E$5000,Entries!$C$2:$C$5000,"Actual",Entries!$A$2:$A$5000,"&gt;="&amp;$A221,Entries!$A$2:$A$5000,"&lt;"&amp;EDATE($A221,1),Entries!$B$2:$B$5000,AD$1))</f>
        <v/>
      </c>
      <c r="AE221" s="23">
        <f>IF(OR(AE$1="",$BM221=0),"",SUMIFS(Entries!$E$2:$E$5000,Entries!$C$2:$C$5000,"Actual",Entries!$A$2:$A$5000,"&gt;="&amp;$A221,Entries!$A$2:$A$5000,"&lt;"&amp;EDATE($A221,1),Entries!$B$2:$B$5000,AE$1))</f>
        <v/>
      </c>
      <c r="AF221" s="23">
        <f>IF(OR(AF$1="",$BM221=0),"",SUMIFS(Entries!$E$2:$E$5000,Entries!$C$2:$C$5000,"Actual",Entries!$A$2:$A$5000,"&gt;="&amp;$A221,Entries!$A$2:$A$5000,"&lt;"&amp;EDATE($A221,1),Entries!$B$2:$B$5000,AF$1))</f>
        <v/>
      </c>
      <c r="AG221" s="23">
        <f>IF(OR(AG$1="",$BM221=0),"",SUMIFS(Entries!$E$2:$E$5000,Entries!$C$2:$C$5000,"Actual",Entries!$A$2:$A$5000,"&gt;="&amp;$A221,Entries!$A$2:$A$5000,"&lt;"&amp;EDATE($A221,1),Entries!$B$2:$B$5000,AG$1))</f>
        <v/>
      </c>
      <c r="AH221" s="23">
        <f>IF(OR(AH$1="",$BM221=0),"",SUMIFS(Entries!$E$2:$E$5000,Entries!$C$2:$C$5000,"Actual",Entries!$A$2:$A$5000,"&gt;="&amp;$A221,Entries!$A$2:$A$5000,"&lt;"&amp;EDATE($A221,1),Entries!$B$2:$B$5000,AH$1))</f>
        <v/>
      </c>
      <c r="AI221" s="23">
        <f>IF(OR(AI$1="",$BM221=0),"",SUMIFS(Entries!$E$2:$E$5000,Entries!$C$2:$C$5000,"Actual",Entries!$A$2:$A$5000,"&gt;="&amp;$A221,Entries!$A$2:$A$5000,"&lt;"&amp;EDATE($A221,1),Entries!$B$2:$B$5000,AI$1))</f>
        <v/>
      </c>
      <c r="AJ221" s="23">
        <f>IF(OR(AJ$1="",$BM221=0),"",SUMIFS(Entries!$E$2:$E$5000,Entries!$C$2:$C$5000,"Actual",Entries!$A$2:$A$5000,"&gt;="&amp;$A221,Entries!$A$2:$A$5000,"&lt;"&amp;EDATE($A221,1),Entries!$B$2:$B$5000,AJ$1))</f>
        <v/>
      </c>
      <c r="AK221" s="23">
        <f>IF(OR(AK$1="",$BM221=0),"",SUMIFS(Entries!$E$2:$E$5000,Entries!$C$2:$C$5000,"Actual",Entries!$A$2:$A$5000,"&gt;="&amp;$A221,Entries!$A$2:$A$5000,"&lt;"&amp;EDATE($A221,1),Entries!$B$2:$B$5000,AK$1))</f>
        <v/>
      </c>
      <c r="AL221" s="23">
        <f>IF(OR(AL$1="",$BM221=0),"",SUMIFS(Entries!$E$2:$E$5000,Entries!$C$2:$C$5000,"Actual",Entries!$A$2:$A$5000,"&gt;="&amp;$A221,Entries!$A$2:$A$5000,"&lt;"&amp;EDATE($A221,1),Entries!$B$2:$B$5000,AL$1))</f>
        <v/>
      </c>
      <c r="AM221" s="23">
        <f>IF(OR(AM$1="",$BM221=0),"",SUMIFS(Entries!$E$2:$E$5000,Entries!$C$2:$C$5000,"Actual",Entries!$A$2:$A$5000,"&gt;="&amp;$A221,Entries!$A$2:$A$5000,"&lt;"&amp;EDATE($A221,1),Entries!$B$2:$B$5000,AM$1))</f>
        <v/>
      </c>
      <c r="AN221" s="23">
        <f>IF(OR(AN$1="",$BM221=0),"",SUMIFS(Entries!$E$2:$E$5000,Entries!$C$2:$C$5000,"Actual",Entries!$A$2:$A$5000,"&gt;="&amp;$A221,Entries!$A$2:$A$5000,"&lt;"&amp;EDATE($A221,1),Entries!$B$2:$B$5000,AN$1))</f>
        <v/>
      </c>
      <c r="AO221" s="23">
        <f>IF(OR(AO$1="",$BM221=0),"",SUMIFS(Entries!$E$2:$E$5000,Entries!$C$2:$C$5000,"Actual",Entries!$A$2:$A$5000,"&gt;="&amp;$A221,Entries!$A$2:$A$5000,"&lt;"&amp;EDATE($A221,1),Entries!$B$2:$B$5000,AO$1))</f>
        <v/>
      </c>
      <c r="AP221" s="23">
        <f>IF(OR(AP$1="",$BM221=0),"",SUMIFS(Entries!$E$2:$E$5000,Entries!$C$2:$C$5000,"Actual",Entries!$A$2:$A$5000,"&gt;="&amp;$A221,Entries!$A$2:$A$5000,"&lt;"&amp;EDATE($A221,1),Entries!$B$2:$B$5000,AP$1))</f>
        <v/>
      </c>
      <c r="AR221" s="23">
        <f>IF(OR(AR$1="",$BM221=0),"",IFERROR(LOOKUP(2,1/((Budgets!$A$2:$A$200=AR$1)*(Budgets!$B$2:$B$200&lt;EDATE($A221,1))),Budgets!$C$2:$C$200),0))</f>
        <v/>
      </c>
      <c r="AS221" s="23">
        <f>IF(OR(AS$1="",$BM221=0),"",IFERROR(LOOKUP(2,1/((Budgets!$A$2:$A$200=AS$1)*(Budgets!$B$2:$B$200&lt;EDATE($A221,1))),Budgets!$C$2:$C$200),0))</f>
        <v/>
      </c>
      <c r="AT221" s="23">
        <f>IF(OR(AT$1="",$BM221=0),"",IFERROR(LOOKUP(2,1/((Budgets!$A$2:$A$200=AT$1)*(Budgets!$B$2:$B$200&lt;EDATE($A221,1))),Budgets!$C$2:$C$200),0))</f>
        <v/>
      </c>
      <c r="AU221" s="23">
        <f>IF(OR(AU$1="",$BM221=0),"",IFERROR(LOOKUP(2,1/((Budgets!$A$2:$A$200=AU$1)*(Budgets!$B$2:$B$200&lt;EDATE($A221,1))),Budgets!$C$2:$C$200),0))</f>
        <v/>
      </c>
      <c r="AV221" s="23">
        <f>IF(OR(AV$1="",$BM221=0),"",IFERROR(LOOKUP(2,1/((Budgets!$A$2:$A$200=AV$1)*(Budgets!$B$2:$B$200&lt;EDATE($A221,1))),Budgets!$C$2:$C$200),0))</f>
        <v/>
      </c>
      <c r="AW221" s="23">
        <f>IF(OR(AW$1="",$BM221=0),"",IFERROR(LOOKUP(2,1/((Budgets!$A$2:$A$200=AW$1)*(Budgets!$B$2:$B$200&lt;EDATE($A221,1))),Budgets!$C$2:$C$200),0))</f>
        <v/>
      </c>
      <c r="AX221" s="23">
        <f>IF(OR(AX$1="",$BM221=0),"",IFERROR(LOOKUP(2,1/((Budgets!$A$2:$A$200=AX$1)*(Budgets!$B$2:$B$200&lt;EDATE($A221,1))),Budgets!$C$2:$C$200),0))</f>
        <v/>
      </c>
      <c r="AY221" s="23">
        <f>IF(OR(AY$1="",$BM221=0),"",IFERROR(LOOKUP(2,1/((Budgets!$A$2:$A$200=AY$1)*(Budgets!$B$2:$B$200&lt;EDATE($A221,1))),Budgets!$C$2:$C$200),0))</f>
        <v/>
      </c>
      <c r="AZ221" s="23">
        <f>IF(OR(AZ$1="",$BM221=0),"",IFERROR(LOOKUP(2,1/((Budgets!$A$2:$A$200=AZ$1)*(Budgets!$B$2:$B$200&lt;EDATE($A221,1))),Budgets!$C$2:$C$200),0))</f>
        <v/>
      </c>
      <c r="BA221" s="23">
        <f>IF(OR(BA$1="",$BM221=0),"",IFERROR(LOOKUP(2,1/((Budgets!$A$2:$A$200=BA$1)*(Budgets!$B$2:$B$200&lt;EDATE($A221,1))),Budgets!$C$2:$C$200),0))</f>
        <v/>
      </c>
      <c r="BB221" s="23">
        <f>IF(OR(BB$1="",$BM221=0),"",IFERROR(LOOKUP(2,1/((Budgets!$A$2:$A$200=BB$1)*(Budgets!$B$2:$B$200&lt;EDATE($A221,1))),Budgets!$C$2:$C$200),0))</f>
        <v/>
      </c>
      <c r="BC221" s="23">
        <f>IF(OR(BC$1="",$BM221=0),"",IFERROR(LOOKUP(2,1/((Budgets!$A$2:$A$200=BC$1)*(Budgets!$B$2:$B$200&lt;EDATE($A221,1))),Budgets!$C$2:$C$200),0))</f>
        <v/>
      </c>
      <c r="BD221" s="23">
        <f>IF(OR(BD$1="",$BM221=0),"",IFERROR(LOOKUP(2,1/((Budgets!$A$2:$A$200=BD$1)*(Budgets!$B$2:$B$200&lt;EDATE($A221,1))),Budgets!$C$2:$C$200),0))</f>
        <v/>
      </c>
      <c r="BE221" s="23">
        <f>IF(OR(BE$1="",$BM221=0),"",IFERROR(LOOKUP(2,1/((Budgets!$A$2:$A$200=BE$1)*(Budgets!$B$2:$B$200&lt;EDATE($A221,1))),Budgets!$C$2:$C$200),0))</f>
        <v/>
      </c>
      <c r="BF221" s="23">
        <f>IF(OR(BF$1="",$BM221=0),"",IFERROR(LOOKUP(2,1/((Budgets!$A$2:$A$200=BF$1)*(Budgets!$B$2:$B$200&lt;EDATE($A221,1))),Budgets!$C$2:$C$200),0))</f>
        <v/>
      </c>
      <c r="BG221" s="23">
        <f>IF(OR(BG$1="",$BM221=0),"",IFERROR(LOOKUP(2,1/((Budgets!$A$2:$A$200=BG$1)*(Budgets!$B$2:$B$200&lt;EDATE($A221,1))),Budgets!$C$2:$C$200),0))</f>
        <v/>
      </c>
      <c r="BH221" s="23">
        <f>IF(OR(BH$1="",$BM221=0),"",IFERROR(LOOKUP(2,1/((Budgets!$A$2:$A$200=BH$1)*(Budgets!$B$2:$B$200&lt;EDATE($A221,1))),Budgets!$C$2:$C$200),0))</f>
        <v/>
      </c>
      <c r="BI221" s="23">
        <f>IF(OR(BI$1="",$BM221=0),"",IFERROR(LOOKUP(2,1/((Budgets!$A$2:$A$200=BI$1)*(Budgets!$B$2:$B$200&lt;EDATE($A221,1))),Budgets!$C$2:$C$200),0))</f>
        <v/>
      </c>
      <c r="BJ221" s="23">
        <f>IF(OR(BJ$1="",$BM221=0),"",IFERROR(LOOKUP(2,1/((Budgets!$A$2:$A$200=BJ$1)*(Budgets!$B$2:$B$200&lt;EDATE($A221,1))),Budgets!$C$2:$C$200),0))</f>
        <v/>
      </c>
      <c r="BK221" s="23">
        <f>IF(OR(BK$1="",$BM221=0),"",IFERROR(LOOKUP(2,1/((Budgets!$A$2:$A$200=BK$1)*(Budgets!$B$2:$B$200&lt;EDATE($A221,1))),Budgets!$C$2:$C$200),0))</f>
        <v/>
      </c>
      <c r="BM221" s="21">
        <f>COUNTIFS(Entries!$A$2:$A$5000,"&gt;="&amp;$A221,Entries!$A$2:$A$5000,"&lt;"&amp;EDATE($A221,1))</f>
        <v/>
      </c>
    </row>
    <row r="222">
      <c r="A222" s="22" t="n">
        <v>46143</v>
      </c>
      <c r="B222" s="23">
        <f>IF($BM222=0,NA(),SUMIFS(Entries!$E$2:$E$5000,Entries!$C$2:$C$5000,"Income",Entries!$A$2:$A$5000,"&gt;="&amp;$A222,Entries!$A$2:$A$5000,"&lt;"&amp;EDATE($A222,1)))</f>
        <v/>
      </c>
      <c r="C222" s="23">
        <f>IF($BM222=0,"",SUMIFS(Entries!$E$2:$E$5000,Entries!$C$2:$C$5000,"Actual",Entries!$A$2:$A$5000,"&gt;="&amp;$A222,Entries!$A$2:$A$5000,"&lt;"&amp;EDATE($A222,1)))</f>
        <v/>
      </c>
      <c r="D222" s="23">
        <f>IF($BM222=0,"",SUMIFS(Entries!$E$2:$E$5000,Entries!$C$2:$C$5000,"One-off",Entries!$A$2:$A$5000,"&gt;="&amp;$A222,Entries!$A$2:$A$5000,"&lt;"&amp;EDATE($A222,1)))</f>
        <v/>
      </c>
      <c r="E222" s="23">
        <f>IF($BM222=0,NA(),C222+D222)</f>
        <v/>
      </c>
      <c r="F222" s="23">
        <f>IF($BM222=0,"",SUM(AR222:BK222))</f>
        <v/>
      </c>
      <c r="G222" s="23">
        <f>IF($BM222=0,"",B222-E222)</f>
        <v/>
      </c>
      <c r="H222" s="23">
        <f>IF($BM222=0,"",SUM($G$2:G222))</f>
        <v/>
      </c>
      <c r="I222" s="23">
        <f>IF($BM222=0,"",SUMIFS(Entries!$G$2:$G$5000,Entries!$A$2:$A$5000,"&gt;="&amp;$A222,Entries!$A$2:$A$5000,"&lt;"&amp;EDATE($A222,1)))</f>
        <v/>
      </c>
      <c r="J222" s="23">
        <f>IF($BM222=0,NA(),H222)</f>
        <v/>
      </c>
      <c r="K222" s="23">
        <f>IF($BM222=0,"",SUMIFS(Entries!$E$2:$E$5000,Entries!$C$2:$C$5000,"Income",Entries!$A$2:$A$5000,"&gt;="&amp;EDATE($A222,-11),Entries!$A$2:$A$5000,"&lt;"&amp;EDATE($A222,1))/COUNTIFS($A$2:$A$400,"&gt;="&amp;EDATE($A222,-11),$A$2:$A$400,"&lt;"&amp;EDATE($A222,1),$BM$2:$BM$400,"&gt;0"))</f>
      </c>
      <c r="L222" s="23">
        <f>IF($BM222=0,"",(SUMIFS(Entries!$E$2:$E$5000,Entries!$C$2:$C$5000,"Actual",Entries!$A$2:$A$5000,"&gt;="&amp;EDATE($A222,-11),Entries!$A$2:$A$5000,"&lt;"&amp;EDATE($A222,1))+SUMIFS(Entries!$E$2:$E$5000,Entries!$C$2:$C$5000,"One-off",Entries!$A$2:$A$5000,"&gt;="&amp;EDATE($A222,-11),Entries!$A$2:$A$5000,"&lt;"&amp;EDATE($A222,1)))/COUNTIFS($A$2:$A$400,"&gt;="&amp;EDATE($A222,-11),$A$2:$A$400,"&lt;"&amp;EDATE($A222,1),$BM$2:$BM$400,"&gt;0"))</f>
      </c>
      <c r="M222" s="24">
        <f>IF($BM222=0,NA(),IFERROR((K222-L222)/K222,0))</f>
        <v/>
      </c>
      <c r="N222" s="23">
        <f>IF($BM222=0,NA(),SUMIFS(Entries!$E$2:$E$5000,Entries!$D$2:$D$5000,"Core",Entries!$A$2:$A$5000,"&gt;="&amp;$A222,Entries!$A$2:$A$5000,"&lt;"&amp;EDATE($A222,1)))</f>
        <v/>
      </c>
      <c r="O222" s="23">
        <f>IF($BM222=0,NA(),SUMIFS(Entries!$E$2:$E$5000,Entries!$D$2:$D$5000,"Over &amp; above",Entries!$A$2:$A$5000,"&gt;="&amp;$A222,Entries!$A$2:$A$5000,"&lt;"&amp;EDATE($A222,1)))</f>
        <v/>
      </c>
      <c r="P222" s="23">
        <f>IF($BM222=0,NA(),SUMIFS(Entries!$E$2:$E$5000,Entries!$D$2:$D$5000,"One-off",Entries!$A$2:$A$5000,"&gt;="&amp;$A222,Entries!$A$2:$A$5000,"&lt;"&amp;EDATE($A222,1)))</f>
        <v/>
      </c>
      <c r="Q222" s="23">
        <f>IF($BM222=0,NA(),SUMIFS(Entries!$E$2:$E$5000,Entries!$D$2:$D$5000,"Reimbursable",Entries!$A$2:$A$5000,"&gt;="&amp;$A222,Entries!$A$2:$A$5000,"&lt;"&amp;EDATE($A222,1)))</f>
        <v/>
      </c>
      <c r="R222" s="23">
        <f>IF($BM222=0,NA(),SUMIFS(Entries!$E$2:$E$5000,Entries!$D$2:$D$5000,"Investment",Entries!$A$2:$A$5000,"&gt;="&amp;$A222,Entries!$A$2:$A$5000,"&lt;"&amp;EDATE($A222,1)))</f>
        <v/>
      </c>
      <c r="S222" s="23">
        <f>IF($BM222=0,NA(),N222+O222)</f>
        <v/>
      </c>
      <c r="T222" s="23">
        <f>IF($BM222=0,"",E222-Q222)</f>
        <v/>
      </c>
      <c r="W222" s="23">
        <f>IF(OR(W$1="",$BM222=0),"",SUMIFS(Entries!$E$2:$E$5000,Entries!$C$2:$C$5000,"Actual",Entries!$A$2:$A$5000,"&gt;="&amp;$A222,Entries!$A$2:$A$5000,"&lt;"&amp;EDATE($A222,1),Entries!$B$2:$B$5000,W$1))</f>
        <v/>
      </c>
      <c r="X222" s="23">
        <f>IF(OR(X$1="",$BM222=0),"",SUMIFS(Entries!$E$2:$E$5000,Entries!$C$2:$C$5000,"Actual",Entries!$A$2:$A$5000,"&gt;="&amp;$A222,Entries!$A$2:$A$5000,"&lt;"&amp;EDATE($A222,1),Entries!$B$2:$B$5000,X$1))</f>
        <v/>
      </c>
      <c r="Y222" s="23">
        <f>IF(OR(Y$1="",$BM222=0),"",SUMIFS(Entries!$E$2:$E$5000,Entries!$C$2:$C$5000,"Actual",Entries!$A$2:$A$5000,"&gt;="&amp;$A222,Entries!$A$2:$A$5000,"&lt;"&amp;EDATE($A222,1),Entries!$B$2:$B$5000,Y$1))</f>
        <v/>
      </c>
      <c r="Z222" s="23">
        <f>IF(OR(Z$1="",$BM222=0),"",SUMIFS(Entries!$E$2:$E$5000,Entries!$C$2:$C$5000,"Actual",Entries!$A$2:$A$5000,"&gt;="&amp;$A222,Entries!$A$2:$A$5000,"&lt;"&amp;EDATE($A222,1),Entries!$B$2:$B$5000,Z$1))</f>
        <v/>
      </c>
      <c r="AA222" s="23">
        <f>IF(OR(AA$1="",$BM222=0),"",SUMIFS(Entries!$E$2:$E$5000,Entries!$C$2:$C$5000,"Actual",Entries!$A$2:$A$5000,"&gt;="&amp;$A222,Entries!$A$2:$A$5000,"&lt;"&amp;EDATE($A222,1),Entries!$B$2:$B$5000,AA$1))</f>
        <v/>
      </c>
      <c r="AB222" s="23">
        <f>IF(OR(AB$1="",$BM222=0),"",SUMIFS(Entries!$E$2:$E$5000,Entries!$C$2:$C$5000,"Actual",Entries!$A$2:$A$5000,"&gt;="&amp;$A222,Entries!$A$2:$A$5000,"&lt;"&amp;EDATE($A222,1),Entries!$B$2:$B$5000,AB$1))</f>
        <v/>
      </c>
      <c r="AC222" s="23">
        <f>IF(OR(AC$1="",$BM222=0),"",SUMIFS(Entries!$E$2:$E$5000,Entries!$C$2:$C$5000,"Actual",Entries!$A$2:$A$5000,"&gt;="&amp;$A222,Entries!$A$2:$A$5000,"&lt;"&amp;EDATE($A222,1),Entries!$B$2:$B$5000,AC$1))</f>
        <v/>
      </c>
      <c r="AD222" s="23">
        <f>IF(OR(AD$1="",$BM222=0),"",SUMIFS(Entries!$E$2:$E$5000,Entries!$C$2:$C$5000,"Actual",Entries!$A$2:$A$5000,"&gt;="&amp;$A222,Entries!$A$2:$A$5000,"&lt;"&amp;EDATE($A222,1),Entries!$B$2:$B$5000,AD$1))</f>
        <v/>
      </c>
      <c r="AE222" s="23">
        <f>IF(OR(AE$1="",$BM222=0),"",SUMIFS(Entries!$E$2:$E$5000,Entries!$C$2:$C$5000,"Actual",Entries!$A$2:$A$5000,"&gt;="&amp;$A222,Entries!$A$2:$A$5000,"&lt;"&amp;EDATE($A222,1),Entries!$B$2:$B$5000,AE$1))</f>
        <v/>
      </c>
      <c r="AF222" s="23">
        <f>IF(OR(AF$1="",$BM222=0),"",SUMIFS(Entries!$E$2:$E$5000,Entries!$C$2:$C$5000,"Actual",Entries!$A$2:$A$5000,"&gt;="&amp;$A222,Entries!$A$2:$A$5000,"&lt;"&amp;EDATE($A222,1),Entries!$B$2:$B$5000,AF$1))</f>
        <v/>
      </c>
      <c r="AG222" s="23">
        <f>IF(OR(AG$1="",$BM222=0),"",SUMIFS(Entries!$E$2:$E$5000,Entries!$C$2:$C$5000,"Actual",Entries!$A$2:$A$5000,"&gt;="&amp;$A222,Entries!$A$2:$A$5000,"&lt;"&amp;EDATE($A222,1),Entries!$B$2:$B$5000,AG$1))</f>
        <v/>
      </c>
      <c r="AH222" s="23">
        <f>IF(OR(AH$1="",$BM222=0),"",SUMIFS(Entries!$E$2:$E$5000,Entries!$C$2:$C$5000,"Actual",Entries!$A$2:$A$5000,"&gt;="&amp;$A222,Entries!$A$2:$A$5000,"&lt;"&amp;EDATE($A222,1),Entries!$B$2:$B$5000,AH$1))</f>
        <v/>
      </c>
      <c r="AI222" s="23">
        <f>IF(OR(AI$1="",$BM222=0),"",SUMIFS(Entries!$E$2:$E$5000,Entries!$C$2:$C$5000,"Actual",Entries!$A$2:$A$5000,"&gt;="&amp;$A222,Entries!$A$2:$A$5000,"&lt;"&amp;EDATE($A222,1),Entries!$B$2:$B$5000,AI$1))</f>
        <v/>
      </c>
      <c r="AJ222" s="23">
        <f>IF(OR(AJ$1="",$BM222=0),"",SUMIFS(Entries!$E$2:$E$5000,Entries!$C$2:$C$5000,"Actual",Entries!$A$2:$A$5000,"&gt;="&amp;$A222,Entries!$A$2:$A$5000,"&lt;"&amp;EDATE($A222,1),Entries!$B$2:$B$5000,AJ$1))</f>
        <v/>
      </c>
      <c r="AK222" s="23">
        <f>IF(OR(AK$1="",$BM222=0),"",SUMIFS(Entries!$E$2:$E$5000,Entries!$C$2:$C$5000,"Actual",Entries!$A$2:$A$5000,"&gt;="&amp;$A222,Entries!$A$2:$A$5000,"&lt;"&amp;EDATE($A222,1),Entries!$B$2:$B$5000,AK$1))</f>
        <v/>
      </c>
      <c r="AL222" s="23">
        <f>IF(OR(AL$1="",$BM222=0),"",SUMIFS(Entries!$E$2:$E$5000,Entries!$C$2:$C$5000,"Actual",Entries!$A$2:$A$5000,"&gt;="&amp;$A222,Entries!$A$2:$A$5000,"&lt;"&amp;EDATE($A222,1),Entries!$B$2:$B$5000,AL$1))</f>
        <v/>
      </c>
      <c r="AM222" s="23">
        <f>IF(OR(AM$1="",$BM222=0),"",SUMIFS(Entries!$E$2:$E$5000,Entries!$C$2:$C$5000,"Actual",Entries!$A$2:$A$5000,"&gt;="&amp;$A222,Entries!$A$2:$A$5000,"&lt;"&amp;EDATE($A222,1),Entries!$B$2:$B$5000,AM$1))</f>
        <v/>
      </c>
      <c r="AN222" s="23">
        <f>IF(OR(AN$1="",$BM222=0),"",SUMIFS(Entries!$E$2:$E$5000,Entries!$C$2:$C$5000,"Actual",Entries!$A$2:$A$5000,"&gt;="&amp;$A222,Entries!$A$2:$A$5000,"&lt;"&amp;EDATE($A222,1),Entries!$B$2:$B$5000,AN$1))</f>
        <v/>
      </c>
      <c r="AO222" s="23">
        <f>IF(OR(AO$1="",$BM222=0),"",SUMIFS(Entries!$E$2:$E$5000,Entries!$C$2:$C$5000,"Actual",Entries!$A$2:$A$5000,"&gt;="&amp;$A222,Entries!$A$2:$A$5000,"&lt;"&amp;EDATE($A222,1),Entries!$B$2:$B$5000,AO$1))</f>
        <v/>
      </c>
      <c r="AP222" s="23">
        <f>IF(OR(AP$1="",$BM222=0),"",SUMIFS(Entries!$E$2:$E$5000,Entries!$C$2:$C$5000,"Actual",Entries!$A$2:$A$5000,"&gt;="&amp;$A222,Entries!$A$2:$A$5000,"&lt;"&amp;EDATE($A222,1),Entries!$B$2:$B$5000,AP$1))</f>
        <v/>
      </c>
      <c r="AR222" s="23">
        <f>IF(OR(AR$1="",$BM222=0),"",IFERROR(LOOKUP(2,1/((Budgets!$A$2:$A$200=AR$1)*(Budgets!$B$2:$B$200&lt;EDATE($A222,1))),Budgets!$C$2:$C$200),0))</f>
        <v/>
      </c>
      <c r="AS222" s="23">
        <f>IF(OR(AS$1="",$BM222=0),"",IFERROR(LOOKUP(2,1/((Budgets!$A$2:$A$200=AS$1)*(Budgets!$B$2:$B$200&lt;EDATE($A222,1))),Budgets!$C$2:$C$200),0))</f>
        <v/>
      </c>
      <c r="AT222" s="23">
        <f>IF(OR(AT$1="",$BM222=0),"",IFERROR(LOOKUP(2,1/((Budgets!$A$2:$A$200=AT$1)*(Budgets!$B$2:$B$200&lt;EDATE($A222,1))),Budgets!$C$2:$C$200),0))</f>
        <v/>
      </c>
      <c r="AU222" s="23">
        <f>IF(OR(AU$1="",$BM222=0),"",IFERROR(LOOKUP(2,1/((Budgets!$A$2:$A$200=AU$1)*(Budgets!$B$2:$B$200&lt;EDATE($A222,1))),Budgets!$C$2:$C$200),0))</f>
        <v/>
      </c>
      <c r="AV222" s="23">
        <f>IF(OR(AV$1="",$BM222=0),"",IFERROR(LOOKUP(2,1/((Budgets!$A$2:$A$200=AV$1)*(Budgets!$B$2:$B$200&lt;EDATE($A222,1))),Budgets!$C$2:$C$200),0))</f>
        <v/>
      </c>
      <c r="AW222" s="23">
        <f>IF(OR(AW$1="",$BM222=0),"",IFERROR(LOOKUP(2,1/((Budgets!$A$2:$A$200=AW$1)*(Budgets!$B$2:$B$200&lt;EDATE($A222,1))),Budgets!$C$2:$C$200),0))</f>
        <v/>
      </c>
      <c r="AX222" s="23">
        <f>IF(OR(AX$1="",$BM222=0),"",IFERROR(LOOKUP(2,1/((Budgets!$A$2:$A$200=AX$1)*(Budgets!$B$2:$B$200&lt;EDATE($A222,1))),Budgets!$C$2:$C$200),0))</f>
        <v/>
      </c>
      <c r="AY222" s="23">
        <f>IF(OR(AY$1="",$BM222=0),"",IFERROR(LOOKUP(2,1/((Budgets!$A$2:$A$200=AY$1)*(Budgets!$B$2:$B$200&lt;EDATE($A222,1))),Budgets!$C$2:$C$200),0))</f>
        <v/>
      </c>
      <c r="AZ222" s="23">
        <f>IF(OR(AZ$1="",$BM222=0),"",IFERROR(LOOKUP(2,1/((Budgets!$A$2:$A$200=AZ$1)*(Budgets!$B$2:$B$200&lt;EDATE($A222,1))),Budgets!$C$2:$C$200),0))</f>
        <v/>
      </c>
      <c r="BA222" s="23">
        <f>IF(OR(BA$1="",$BM222=0),"",IFERROR(LOOKUP(2,1/((Budgets!$A$2:$A$200=BA$1)*(Budgets!$B$2:$B$200&lt;EDATE($A222,1))),Budgets!$C$2:$C$200),0))</f>
        <v/>
      </c>
      <c r="BB222" s="23">
        <f>IF(OR(BB$1="",$BM222=0),"",IFERROR(LOOKUP(2,1/((Budgets!$A$2:$A$200=BB$1)*(Budgets!$B$2:$B$200&lt;EDATE($A222,1))),Budgets!$C$2:$C$200),0))</f>
        <v/>
      </c>
      <c r="BC222" s="23">
        <f>IF(OR(BC$1="",$BM222=0),"",IFERROR(LOOKUP(2,1/((Budgets!$A$2:$A$200=BC$1)*(Budgets!$B$2:$B$200&lt;EDATE($A222,1))),Budgets!$C$2:$C$200),0))</f>
        <v/>
      </c>
      <c r="BD222" s="23">
        <f>IF(OR(BD$1="",$BM222=0),"",IFERROR(LOOKUP(2,1/((Budgets!$A$2:$A$200=BD$1)*(Budgets!$B$2:$B$200&lt;EDATE($A222,1))),Budgets!$C$2:$C$200),0))</f>
        <v/>
      </c>
      <c r="BE222" s="23">
        <f>IF(OR(BE$1="",$BM222=0),"",IFERROR(LOOKUP(2,1/((Budgets!$A$2:$A$200=BE$1)*(Budgets!$B$2:$B$200&lt;EDATE($A222,1))),Budgets!$C$2:$C$200),0))</f>
        <v/>
      </c>
      <c r="BF222" s="23">
        <f>IF(OR(BF$1="",$BM222=0),"",IFERROR(LOOKUP(2,1/((Budgets!$A$2:$A$200=BF$1)*(Budgets!$B$2:$B$200&lt;EDATE($A222,1))),Budgets!$C$2:$C$200),0))</f>
        <v/>
      </c>
      <c r="BG222" s="23">
        <f>IF(OR(BG$1="",$BM222=0),"",IFERROR(LOOKUP(2,1/((Budgets!$A$2:$A$200=BG$1)*(Budgets!$B$2:$B$200&lt;EDATE($A222,1))),Budgets!$C$2:$C$200),0))</f>
        <v/>
      </c>
      <c r="BH222" s="23">
        <f>IF(OR(BH$1="",$BM222=0),"",IFERROR(LOOKUP(2,1/((Budgets!$A$2:$A$200=BH$1)*(Budgets!$B$2:$B$200&lt;EDATE($A222,1))),Budgets!$C$2:$C$200),0))</f>
        <v/>
      </c>
      <c r="BI222" s="23">
        <f>IF(OR(BI$1="",$BM222=0),"",IFERROR(LOOKUP(2,1/((Budgets!$A$2:$A$200=BI$1)*(Budgets!$B$2:$B$200&lt;EDATE($A222,1))),Budgets!$C$2:$C$200),0))</f>
        <v/>
      </c>
      <c r="BJ222" s="23">
        <f>IF(OR(BJ$1="",$BM222=0),"",IFERROR(LOOKUP(2,1/((Budgets!$A$2:$A$200=BJ$1)*(Budgets!$B$2:$B$200&lt;EDATE($A222,1))),Budgets!$C$2:$C$200),0))</f>
        <v/>
      </c>
      <c r="BK222" s="23">
        <f>IF(OR(BK$1="",$BM222=0),"",IFERROR(LOOKUP(2,1/((Budgets!$A$2:$A$200=BK$1)*(Budgets!$B$2:$B$200&lt;EDATE($A222,1))),Budgets!$C$2:$C$200),0))</f>
        <v/>
      </c>
      <c r="BM222" s="21">
        <f>COUNTIFS(Entries!$A$2:$A$5000,"&gt;="&amp;$A222,Entries!$A$2:$A$5000,"&lt;"&amp;EDATE($A222,1))</f>
        <v/>
      </c>
    </row>
    <row r="223">
      <c r="A223" s="22" t="n">
        <v>46174</v>
      </c>
      <c r="B223" s="23">
        <f>IF($BM223=0,NA(),SUMIFS(Entries!$E$2:$E$5000,Entries!$C$2:$C$5000,"Income",Entries!$A$2:$A$5000,"&gt;="&amp;$A223,Entries!$A$2:$A$5000,"&lt;"&amp;EDATE($A223,1)))</f>
        <v/>
      </c>
      <c r="C223" s="23">
        <f>IF($BM223=0,"",SUMIFS(Entries!$E$2:$E$5000,Entries!$C$2:$C$5000,"Actual",Entries!$A$2:$A$5000,"&gt;="&amp;$A223,Entries!$A$2:$A$5000,"&lt;"&amp;EDATE($A223,1)))</f>
        <v/>
      </c>
      <c r="D223" s="23">
        <f>IF($BM223=0,"",SUMIFS(Entries!$E$2:$E$5000,Entries!$C$2:$C$5000,"One-off",Entries!$A$2:$A$5000,"&gt;="&amp;$A223,Entries!$A$2:$A$5000,"&lt;"&amp;EDATE($A223,1)))</f>
        <v/>
      </c>
      <c r="E223" s="23">
        <f>IF($BM223=0,NA(),C223+D223)</f>
        <v/>
      </c>
      <c r="F223" s="23">
        <f>IF($BM223=0,"",SUM(AR223:BK223))</f>
        <v/>
      </c>
      <c r="G223" s="23">
        <f>IF($BM223=0,"",B223-E223)</f>
        <v/>
      </c>
      <c r="H223" s="23">
        <f>IF($BM223=0,"",SUM($G$2:G223))</f>
        <v/>
      </c>
      <c r="I223" s="23">
        <f>IF($BM223=0,"",SUMIFS(Entries!$G$2:$G$5000,Entries!$A$2:$A$5000,"&gt;="&amp;$A223,Entries!$A$2:$A$5000,"&lt;"&amp;EDATE($A223,1)))</f>
        <v/>
      </c>
      <c r="J223" s="23">
        <f>IF($BM223=0,NA(),H223)</f>
        <v/>
      </c>
      <c r="K223" s="23">
        <f>IF($BM223=0,"",SUMIFS(Entries!$E$2:$E$5000,Entries!$C$2:$C$5000,"Income",Entries!$A$2:$A$5000,"&gt;="&amp;EDATE($A223,-11),Entries!$A$2:$A$5000,"&lt;"&amp;EDATE($A223,1))/COUNTIFS($A$2:$A$400,"&gt;="&amp;EDATE($A223,-11),$A$2:$A$400,"&lt;"&amp;EDATE($A223,1),$BM$2:$BM$400,"&gt;0"))</f>
      </c>
      <c r="L223" s="23">
        <f>IF($BM223=0,"",(SUMIFS(Entries!$E$2:$E$5000,Entries!$C$2:$C$5000,"Actual",Entries!$A$2:$A$5000,"&gt;="&amp;EDATE($A223,-11),Entries!$A$2:$A$5000,"&lt;"&amp;EDATE($A223,1))+SUMIFS(Entries!$E$2:$E$5000,Entries!$C$2:$C$5000,"One-off",Entries!$A$2:$A$5000,"&gt;="&amp;EDATE($A223,-11),Entries!$A$2:$A$5000,"&lt;"&amp;EDATE($A223,1)))/COUNTIFS($A$2:$A$400,"&gt;="&amp;EDATE($A223,-11),$A$2:$A$400,"&lt;"&amp;EDATE($A223,1),$BM$2:$BM$400,"&gt;0"))</f>
      </c>
      <c r="M223" s="24">
        <f>IF($BM223=0,NA(),IFERROR((K223-L223)/K223,0))</f>
        <v/>
      </c>
      <c r="N223" s="23">
        <f>IF($BM223=0,NA(),SUMIFS(Entries!$E$2:$E$5000,Entries!$D$2:$D$5000,"Core",Entries!$A$2:$A$5000,"&gt;="&amp;$A223,Entries!$A$2:$A$5000,"&lt;"&amp;EDATE($A223,1)))</f>
        <v/>
      </c>
      <c r="O223" s="23">
        <f>IF($BM223=0,NA(),SUMIFS(Entries!$E$2:$E$5000,Entries!$D$2:$D$5000,"Over &amp; above",Entries!$A$2:$A$5000,"&gt;="&amp;$A223,Entries!$A$2:$A$5000,"&lt;"&amp;EDATE($A223,1)))</f>
        <v/>
      </c>
      <c r="P223" s="23">
        <f>IF($BM223=0,NA(),SUMIFS(Entries!$E$2:$E$5000,Entries!$D$2:$D$5000,"One-off",Entries!$A$2:$A$5000,"&gt;="&amp;$A223,Entries!$A$2:$A$5000,"&lt;"&amp;EDATE($A223,1)))</f>
        <v/>
      </c>
      <c r="Q223" s="23">
        <f>IF($BM223=0,NA(),SUMIFS(Entries!$E$2:$E$5000,Entries!$D$2:$D$5000,"Reimbursable",Entries!$A$2:$A$5000,"&gt;="&amp;$A223,Entries!$A$2:$A$5000,"&lt;"&amp;EDATE($A223,1)))</f>
        <v/>
      </c>
      <c r="R223" s="23">
        <f>IF($BM223=0,NA(),SUMIFS(Entries!$E$2:$E$5000,Entries!$D$2:$D$5000,"Investment",Entries!$A$2:$A$5000,"&gt;="&amp;$A223,Entries!$A$2:$A$5000,"&lt;"&amp;EDATE($A223,1)))</f>
        <v/>
      </c>
      <c r="S223" s="23">
        <f>IF($BM223=0,NA(),N223+O223)</f>
        <v/>
      </c>
      <c r="T223" s="23">
        <f>IF($BM223=0,"",E223-Q223)</f>
        <v/>
      </c>
      <c r="W223" s="23">
        <f>IF(OR(W$1="",$BM223=0),"",SUMIFS(Entries!$E$2:$E$5000,Entries!$C$2:$C$5000,"Actual",Entries!$A$2:$A$5000,"&gt;="&amp;$A223,Entries!$A$2:$A$5000,"&lt;"&amp;EDATE($A223,1),Entries!$B$2:$B$5000,W$1))</f>
        <v/>
      </c>
      <c r="X223" s="23">
        <f>IF(OR(X$1="",$BM223=0),"",SUMIFS(Entries!$E$2:$E$5000,Entries!$C$2:$C$5000,"Actual",Entries!$A$2:$A$5000,"&gt;="&amp;$A223,Entries!$A$2:$A$5000,"&lt;"&amp;EDATE($A223,1),Entries!$B$2:$B$5000,X$1))</f>
        <v/>
      </c>
      <c r="Y223" s="23">
        <f>IF(OR(Y$1="",$BM223=0),"",SUMIFS(Entries!$E$2:$E$5000,Entries!$C$2:$C$5000,"Actual",Entries!$A$2:$A$5000,"&gt;="&amp;$A223,Entries!$A$2:$A$5000,"&lt;"&amp;EDATE($A223,1),Entries!$B$2:$B$5000,Y$1))</f>
        <v/>
      </c>
      <c r="Z223" s="23">
        <f>IF(OR(Z$1="",$BM223=0),"",SUMIFS(Entries!$E$2:$E$5000,Entries!$C$2:$C$5000,"Actual",Entries!$A$2:$A$5000,"&gt;="&amp;$A223,Entries!$A$2:$A$5000,"&lt;"&amp;EDATE($A223,1),Entries!$B$2:$B$5000,Z$1))</f>
        <v/>
      </c>
      <c r="AA223" s="23">
        <f>IF(OR(AA$1="",$BM223=0),"",SUMIFS(Entries!$E$2:$E$5000,Entries!$C$2:$C$5000,"Actual",Entries!$A$2:$A$5000,"&gt;="&amp;$A223,Entries!$A$2:$A$5000,"&lt;"&amp;EDATE($A223,1),Entries!$B$2:$B$5000,AA$1))</f>
        <v/>
      </c>
      <c r="AB223" s="23">
        <f>IF(OR(AB$1="",$BM223=0),"",SUMIFS(Entries!$E$2:$E$5000,Entries!$C$2:$C$5000,"Actual",Entries!$A$2:$A$5000,"&gt;="&amp;$A223,Entries!$A$2:$A$5000,"&lt;"&amp;EDATE($A223,1),Entries!$B$2:$B$5000,AB$1))</f>
        <v/>
      </c>
      <c r="AC223" s="23">
        <f>IF(OR(AC$1="",$BM223=0),"",SUMIFS(Entries!$E$2:$E$5000,Entries!$C$2:$C$5000,"Actual",Entries!$A$2:$A$5000,"&gt;="&amp;$A223,Entries!$A$2:$A$5000,"&lt;"&amp;EDATE($A223,1),Entries!$B$2:$B$5000,AC$1))</f>
        <v/>
      </c>
      <c r="AD223" s="23">
        <f>IF(OR(AD$1="",$BM223=0),"",SUMIFS(Entries!$E$2:$E$5000,Entries!$C$2:$C$5000,"Actual",Entries!$A$2:$A$5000,"&gt;="&amp;$A223,Entries!$A$2:$A$5000,"&lt;"&amp;EDATE($A223,1),Entries!$B$2:$B$5000,AD$1))</f>
        <v/>
      </c>
      <c r="AE223" s="23">
        <f>IF(OR(AE$1="",$BM223=0),"",SUMIFS(Entries!$E$2:$E$5000,Entries!$C$2:$C$5000,"Actual",Entries!$A$2:$A$5000,"&gt;="&amp;$A223,Entries!$A$2:$A$5000,"&lt;"&amp;EDATE($A223,1),Entries!$B$2:$B$5000,AE$1))</f>
        <v/>
      </c>
      <c r="AF223" s="23">
        <f>IF(OR(AF$1="",$BM223=0),"",SUMIFS(Entries!$E$2:$E$5000,Entries!$C$2:$C$5000,"Actual",Entries!$A$2:$A$5000,"&gt;="&amp;$A223,Entries!$A$2:$A$5000,"&lt;"&amp;EDATE($A223,1),Entries!$B$2:$B$5000,AF$1))</f>
        <v/>
      </c>
      <c r="AG223" s="23">
        <f>IF(OR(AG$1="",$BM223=0),"",SUMIFS(Entries!$E$2:$E$5000,Entries!$C$2:$C$5000,"Actual",Entries!$A$2:$A$5000,"&gt;="&amp;$A223,Entries!$A$2:$A$5000,"&lt;"&amp;EDATE($A223,1),Entries!$B$2:$B$5000,AG$1))</f>
        <v/>
      </c>
      <c r="AH223" s="23">
        <f>IF(OR(AH$1="",$BM223=0),"",SUMIFS(Entries!$E$2:$E$5000,Entries!$C$2:$C$5000,"Actual",Entries!$A$2:$A$5000,"&gt;="&amp;$A223,Entries!$A$2:$A$5000,"&lt;"&amp;EDATE($A223,1),Entries!$B$2:$B$5000,AH$1))</f>
        <v/>
      </c>
      <c r="AI223" s="23">
        <f>IF(OR(AI$1="",$BM223=0),"",SUMIFS(Entries!$E$2:$E$5000,Entries!$C$2:$C$5000,"Actual",Entries!$A$2:$A$5000,"&gt;="&amp;$A223,Entries!$A$2:$A$5000,"&lt;"&amp;EDATE($A223,1),Entries!$B$2:$B$5000,AI$1))</f>
        <v/>
      </c>
      <c r="AJ223" s="23">
        <f>IF(OR(AJ$1="",$BM223=0),"",SUMIFS(Entries!$E$2:$E$5000,Entries!$C$2:$C$5000,"Actual",Entries!$A$2:$A$5000,"&gt;="&amp;$A223,Entries!$A$2:$A$5000,"&lt;"&amp;EDATE($A223,1),Entries!$B$2:$B$5000,AJ$1))</f>
        <v/>
      </c>
      <c r="AK223" s="23">
        <f>IF(OR(AK$1="",$BM223=0),"",SUMIFS(Entries!$E$2:$E$5000,Entries!$C$2:$C$5000,"Actual",Entries!$A$2:$A$5000,"&gt;="&amp;$A223,Entries!$A$2:$A$5000,"&lt;"&amp;EDATE($A223,1),Entries!$B$2:$B$5000,AK$1))</f>
        <v/>
      </c>
      <c r="AL223" s="23">
        <f>IF(OR(AL$1="",$BM223=0),"",SUMIFS(Entries!$E$2:$E$5000,Entries!$C$2:$C$5000,"Actual",Entries!$A$2:$A$5000,"&gt;="&amp;$A223,Entries!$A$2:$A$5000,"&lt;"&amp;EDATE($A223,1),Entries!$B$2:$B$5000,AL$1))</f>
        <v/>
      </c>
      <c r="AM223" s="23">
        <f>IF(OR(AM$1="",$BM223=0),"",SUMIFS(Entries!$E$2:$E$5000,Entries!$C$2:$C$5000,"Actual",Entries!$A$2:$A$5000,"&gt;="&amp;$A223,Entries!$A$2:$A$5000,"&lt;"&amp;EDATE($A223,1),Entries!$B$2:$B$5000,AM$1))</f>
        <v/>
      </c>
      <c r="AN223" s="23">
        <f>IF(OR(AN$1="",$BM223=0),"",SUMIFS(Entries!$E$2:$E$5000,Entries!$C$2:$C$5000,"Actual",Entries!$A$2:$A$5000,"&gt;="&amp;$A223,Entries!$A$2:$A$5000,"&lt;"&amp;EDATE($A223,1),Entries!$B$2:$B$5000,AN$1))</f>
        <v/>
      </c>
      <c r="AO223" s="23">
        <f>IF(OR(AO$1="",$BM223=0),"",SUMIFS(Entries!$E$2:$E$5000,Entries!$C$2:$C$5000,"Actual",Entries!$A$2:$A$5000,"&gt;="&amp;$A223,Entries!$A$2:$A$5000,"&lt;"&amp;EDATE($A223,1),Entries!$B$2:$B$5000,AO$1))</f>
        <v/>
      </c>
      <c r="AP223" s="23">
        <f>IF(OR(AP$1="",$BM223=0),"",SUMIFS(Entries!$E$2:$E$5000,Entries!$C$2:$C$5000,"Actual",Entries!$A$2:$A$5000,"&gt;="&amp;$A223,Entries!$A$2:$A$5000,"&lt;"&amp;EDATE($A223,1),Entries!$B$2:$B$5000,AP$1))</f>
        <v/>
      </c>
      <c r="AR223" s="23">
        <f>IF(OR(AR$1="",$BM223=0),"",IFERROR(LOOKUP(2,1/((Budgets!$A$2:$A$200=AR$1)*(Budgets!$B$2:$B$200&lt;EDATE($A223,1))),Budgets!$C$2:$C$200),0))</f>
        <v/>
      </c>
      <c r="AS223" s="23">
        <f>IF(OR(AS$1="",$BM223=0),"",IFERROR(LOOKUP(2,1/((Budgets!$A$2:$A$200=AS$1)*(Budgets!$B$2:$B$200&lt;EDATE($A223,1))),Budgets!$C$2:$C$200),0))</f>
        <v/>
      </c>
      <c r="AT223" s="23">
        <f>IF(OR(AT$1="",$BM223=0),"",IFERROR(LOOKUP(2,1/((Budgets!$A$2:$A$200=AT$1)*(Budgets!$B$2:$B$200&lt;EDATE($A223,1))),Budgets!$C$2:$C$200),0))</f>
        <v/>
      </c>
      <c r="AU223" s="23">
        <f>IF(OR(AU$1="",$BM223=0),"",IFERROR(LOOKUP(2,1/((Budgets!$A$2:$A$200=AU$1)*(Budgets!$B$2:$B$200&lt;EDATE($A223,1))),Budgets!$C$2:$C$200),0))</f>
        <v/>
      </c>
      <c r="AV223" s="23">
        <f>IF(OR(AV$1="",$BM223=0),"",IFERROR(LOOKUP(2,1/((Budgets!$A$2:$A$200=AV$1)*(Budgets!$B$2:$B$200&lt;EDATE($A223,1))),Budgets!$C$2:$C$200),0))</f>
        <v/>
      </c>
      <c r="AW223" s="23">
        <f>IF(OR(AW$1="",$BM223=0),"",IFERROR(LOOKUP(2,1/((Budgets!$A$2:$A$200=AW$1)*(Budgets!$B$2:$B$200&lt;EDATE($A223,1))),Budgets!$C$2:$C$200),0))</f>
        <v/>
      </c>
      <c r="AX223" s="23">
        <f>IF(OR(AX$1="",$BM223=0),"",IFERROR(LOOKUP(2,1/((Budgets!$A$2:$A$200=AX$1)*(Budgets!$B$2:$B$200&lt;EDATE($A223,1))),Budgets!$C$2:$C$200),0))</f>
        <v/>
      </c>
      <c r="AY223" s="23">
        <f>IF(OR(AY$1="",$BM223=0),"",IFERROR(LOOKUP(2,1/((Budgets!$A$2:$A$200=AY$1)*(Budgets!$B$2:$B$200&lt;EDATE($A223,1))),Budgets!$C$2:$C$200),0))</f>
        <v/>
      </c>
      <c r="AZ223" s="23">
        <f>IF(OR(AZ$1="",$BM223=0),"",IFERROR(LOOKUP(2,1/((Budgets!$A$2:$A$200=AZ$1)*(Budgets!$B$2:$B$200&lt;EDATE($A223,1))),Budgets!$C$2:$C$200),0))</f>
        <v/>
      </c>
      <c r="BA223" s="23">
        <f>IF(OR(BA$1="",$BM223=0),"",IFERROR(LOOKUP(2,1/((Budgets!$A$2:$A$200=BA$1)*(Budgets!$B$2:$B$200&lt;EDATE($A223,1))),Budgets!$C$2:$C$200),0))</f>
        <v/>
      </c>
      <c r="BB223" s="23">
        <f>IF(OR(BB$1="",$BM223=0),"",IFERROR(LOOKUP(2,1/((Budgets!$A$2:$A$200=BB$1)*(Budgets!$B$2:$B$200&lt;EDATE($A223,1))),Budgets!$C$2:$C$200),0))</f>
        <v/>
      </c>
      <c r="BC223" s="23">
        <f>IF(OR(BC$1="",$BM223=0),"",IFERROR(LOOKUP(2,1/((Budgets!$A$2:$A$200=BC$1)*(Budgets!$B$2:$B$200&lt;EDATE($A223,1))),Budgets!$C$2:$C$200),0))</f>
        <v/>
      </c>
      <c r="BD223" s="23">
        <f>IF(OR(BD$1="",$BM223=0),"",IFERROR(LOOKUP(2,1/((Budgets!$A$2:$A$200=BD$1)*(Budgets!$B$2:$B$200&lt;EDATE($A223,1))),Budgets!$C$2:$C$200),0))</f>
        <v/>
      </c>
      <c r="BE223" s="23">
        <f>IF(OR(BE$1="",$BM223=0),"",IFERROR(LOOKUP(2,1/((Budgets!$A$2:$A$200=BE$1)*(Budgets!$B$2:$B$200&lt;EDATE($A223,1))),Budgets!$C$2:$C$200),0))</f>
        <v/>
      </c>
      <c r="BF223" s="23">
        <f>IF(OR(BF$1="",$BM223=0),"",IFERROR(LOOKUP(2,1/((Budgets!$A$2:$A$200=BF$1)*(Budgets!$B$2:$B$200&lt;EDATE($A223,1))),Budgets!$C$2:$C$200),0))</f>
        <v/>
      </c>
      <c r="BG223" s="23">
        <f>IF(OR(BG$1="",$BM223=0),"",IFERROR(LOOKUP(2,1/((Budgets!$A$2:$A$200=BG$1)*(Budgets!$B$2:$B$200&lt;EDATE($A223,1))),Budgets!$C$2:$C$200),0))</f>
        <v/>
      </c>
      <c r="BH223" s="23">
        <f>IF(OR(BH$1="",$BM223=0),"",IFERROR(LOOKUP(2,1/((Budgets!$A$2:$A$200=BH$1)*(Budgets!$B$2:$B$200&lt;EDATE($A223,1))),Budgets!$C$2:$C$200),0))</f>
        <v/>
      </c>
      <c r="BI223" s="23">
        <f>IF(OR(BI$1="",$BM223=0),"",IFERROR(LOOKUP(2,1/((Budgets!$A$2:$A$200=BI$1)*(Budgets!$B$2:$B$200&lt;EDATE($A223,1))),Budgets!$C$2:$C$200),0))</f>
        <v/>
      </c>
      <c r="BJ223" s="23">
        <f>IF(OR(BJ$1="",$BM223=0),"",IFERROR(LOOKUP(2,1/((Budgets!$A$2:$A$200=BJ$1)*(Budgets!$B$2:$B$200&lt;EDATE($A223,1))),Budgets!$C$2:$C$200),0))</f>
        <v/>
      </c>
      <c r="BK223" s="23">
        <f>IF(OR(BK$1="",$BM223=0),"",IFERROR(LOOKUP(2,1/((Budgets!$A$2:$A$200=BK$1)*(Budgets!$B$2:$B$200&lt;EDATE($A223,1))),Budgets!$C$2:$C$200),0))</f>
        <v/>
      </c>
      <c r="BM223" s="21">
        <f>COUNTIFS(Entries!$A$2:$A$5000,"&gt;="&amp;$A223,Entries!$A$2:$A$5000,"&lt;"&amp;EDATE($A223,1))</f>
        <v/>
      </c>
    </row>
    <row r="224">
      <c r="A224" s="22" t="n">
        <v>46204</v>
      </c>
      <c r="B224" s="23">
        <f>IF($BM224=0,NA(),SUMIFS(Entries!$E$2:$E$5000,Entries!$C$2:$C$5000,"Income",Entries!$A$2:$A$5000,"&gt;="&amp;$A224,Entries!$A$2:$A$5000,"&lt;"&amp;EDATE($A224,1)))</f>
        <v/>
      </c>
      <c r="C224" s="23">
        <f>IF($BM224=0,"",SUMIFS(Entries!$E$2:$E$5000,Entries!$C$2:$C$5000,"Actual",Entries!$A$2:$A$5000,"&gt;="&amp;$A224,Entries!$A$2:$A$5000,"&lt;"&amp;EDATE($A224,1)))</f>
        <v/>
      </c>
      <c r="D224" s="23">
        <f>IF($BM224=0,"",SUMIFS(Entries!$E$2:$E$5000,Entries!$C$2:$C$5000,"One-off",Entries!$A$2:$A$5000,"&gt;="&amp;$A224,Entries!$A$2:$A$5000,"&lt;"&amp;EDATE($A224,1)))</f>
        <v/>
      </c>
      <c r="E224" s="23">
        <f>IF($BM224=0,NA(),C224+D224)</f>
        <v/>
      </c>
      <c r="F224" s="23">
        <f>IF($BM224=0,"",SUM(AR224:BK224))</f>
        <v/>
      </c>
      <c r="G224" s="23">
        <f>IF($BM224=0,"",B224-E224)</f>
        <v/>
      </c>
      <c r="H224" s="23">
        <f>IF($BM224=0,"",SUM($G$2:G224))</f>
        <v/>
      </c>
      <c r="I224" s="23">
        <f>IF($BM224=0,"",SUMIFS(Entries!$G$2:$G$5000,Entries!$A$2:$A$5000,"&gt;="&amp;$A224,Entries!$A$2:$A$5000,"&lt;"&amp;EDATE($A224,1)))</f>
        <v/>
      </c>
      <c r="J224" s="23">
        <f>IF($BM224=0,NA(),H224)</f>
        <v/>
      </c>
      <c r="K224" s="23">
        <f>IF($BM224=0,"",SUMIFS(Entries!$E$2:$E$5000,Entries!$C$2:$C$5000,"Income",Entries!$A$2:$A$5000,"&gt;="&amp;EDATE($A224,-11),Entries!$A$2:$A$5000,"&lt;"&amp;EDATE($A224,1))/COUNTIFS($A$2:$A$400,"&gt;="&amp;EDATE($A224,-11),$A$2:$A$400,"&lt;"&amp;EDATE($A224,1),$BM$2:$BM$400,"&gt;0"))</f>
      </c>
      <c r="L224" s="23">
        <f>IF($BM224=0,"",(SUMIFS(Entries!$E$2:$E$5000,Entries!$C$2:$C$5000,"Actual",Entries!$A$2:$A$5000,"&gt;="&amp;EDATE($A224,-11),Entries!$A$2:$A$5000,"&lt;"&amp;EDATE($A224,1))+SUMIFS(Entries!$E$2:$E$5000,Entries!$C$2:$C$5000,"One-off",Entries!$A$2:$A$5000,"&gt;="&amp;EDATE($A224,-11),Entries!$A$2:$A$5000,"&lt;"&amp;EDATE($A224,1)))/COUNTIFS($A$2:$A$400,"&gt;="&amp;EDATE($A224,-11),$A$2:$A$400,"&lt;"&amp;EDATE($A224,1),$BM$2:$BM$400,"&gt;0"))</f>
      </c>
      <c r="M224" s="24">
        <f>IF($BM224=0,NA(),IFERROR((K224-L224)/K224,0))</f>
        <v/>
      </c>
      <c r="N224" s="23">
        <f>IF($BM224=0,NA(),SUMIFS(Entries!$E$2:$E$5000,Entries!$D$2:$D$5000,"Core",Entries!$A$2:$A$5000,"&gt;="&amp;$A224,Entries!$A$2:$A$5000,"&lt;"&amp;EDATE($A224,1)))</f>
        <v/>
      </c>
      <c r="O224" s="23">
        <f>IF($BM224=0,NA(),SUMIFS(Entries!$E$2:$E$5000,Entries!$D$2:$D$5000,"Over &amp; above",Entries!$A$2:$A$5000,"&gt;="&amp;$A224,Entries!$A$2:$A$5000,"&lt;"&amp;EDATE($A224,1)))</f>
        <v/>
      </c>
      <c r="P224" s="23">
        <f>IF($BM224=0,NA(),SUMIFS(Entries!$E$2:$E$5000,Entries!$D$2:$D$5000,"One-off",Entries!$A$2:$A$5000,"&gt;="&amp;$A224,Entries!$A$2:$A$5000,"&lt;"&amp;EDATE($A224,1)))</f>
        <v/>
      </c>
      <c r="Q224" s="23">
        <f>IF($BM224=0,NA(),SUMIFS(Entries!$E$2:$E$5000,Entries!$D$2:$D$5000,"Reimbursable",Entries!$A$2:$A$5000,"&gt;="&amp;$A224,Entries!$A$2:$A$5000,"&lt;"&amp;EDATE($A224,1)))</f>
        <v/>
      </c>
      <c r="R224" s="23">
        <f>IF($BM224=0,NA(),SUMIFS(Entries!$E$2:$E$5000,Entries!$D$2:$D$5000,"Investment",Entries!$A$2:$A$5000,"&gt;="&amp;$A224,Entries!$A$2:$A$5000,"&lt;"&amp;EDATE($A224,1)))</f>
        <v/>
      </c>
      <c r="S224" s="23">
        <f>IF($BM224=0,NA(),N224+O224)</f>
        <v/>
      </c>
      <c r="T224" s="23">
        <f>IF($BM224=0,"",E224-Q224)</f>
        <v/>
      </c>
      <c r="W224" s="23">
        <f>IF(OR(W$1="",$BM224=0),"",SUMIFS(Entries!$E$2:$E$5000,Entries!$C$2:$C$5000,"Actual",Entries!$A$2:$A$5000,"&gt;="&amp;$A224,Entries!$A$2:$A$5000,"&lt;"&amp;EDATE($A224,1),Entries!$B$2:$B$5000,W$1))</f>
        <v/>
      </c>
      <c r="X224" s="23">
        <f>IF(OR(X$1="",$BM224=0),"",SUMIFS(Entries!$E$2:$E$5000,Entries!$C$2:$C$5000,"Actual",Entries!$A$2:$A$5000,"&gt;="&amp;$A224,Entries!$A$2:$A$5000,"&lt;"&amp;EDATE($A224,1),Entries!$B$2:$B$5000,X$1))</f>
        <v/>
      </c>
      <c r="Y224" s="23">
        <f>IF(OR(Y$1="",$BM224=0),"",SUMIFS(Entries!$E$2:$E$5000,Entries!$C$2:$C$5000,"Actual",Entries!$A$2:$A$5000,"&gt;="&amp;$A224,Entries!$A$2:$A$5000,"&lt;"&amp;EDATE($A224,1),Entries!$B$2:$B$5000,Y$1))</f>
        <v/>
      </c>
      <c r="Z224" s="23">
        <f>IF(OR(Z$1="",$BM224=0),"",SUMIFS(Entries!$E$2:$E$5000,Entries!$C$2:$C$5000,"Actual",Entries!$A$2:$A$5000,"&gt;="&amp;$A224,Entries!$A$2:$A$5000,"&lt;"&amp;EDATE($A224,1),Entries!$B$2:$B$5000,Z$1))</f>
        <v/>
      </c>
      <c r="AA224" s="23">
        <f>IF(OR(AA$1="",$BM224=0),"",SUMIFS(Entries!$E$2:$E$5000,Entries!$C$2:$C$5000,"Actual",Entries!$A$2:$A$5000,"&gt;="&amp;$A224,Entries!$A$2:$A$5000,"&lt;"&amp;EDATE($A224,1),Entries!$B$2:$B$5000,AA$1))</f>
        <v/>
      </c>
      <c r="AB224" s="23">
        <f>IF(OR(AB$1="",$BM224=0),"",SUMIFS(Entries!$E$2:$E$5000,Entries!$C$2:$C$5000,"Actual",Entries!$A$2:$A$5000,"&gt;="&amp;$A224,Entries!$A$2:$A$5000,"&lt;"&amp;EDATE($A224,1),Entries!$B$2:$B$5000,AB$1))</f>
        <v/>
      </c>
      <c r="AC224" s="23">
        <f>IF(OR(AC$1="",$BM224=0),"",SUMIFS(Entries!$E$2:$E$5000,Entries!$C$2:$C$5000,"Actual",Entries!$A$2:$A$5000,"&gt;="&amp;$A224,Entries!$A$2:$A$5000,"&lt;"&amp;EDATE($A224,1),Entries!$B$2:$B$5000,AC$1))</f>
        <v/>
      </c>
      <c r="AD224" s="23">
        <f>IF(OR(AD$1="",$BM224=0),"",SUMIFS(Entries!$E$2:$E$5000,Entries!$C$2:$C$5000,"Actual",Entries!$A$2:$A$5000,"&gt;="&amp;$A224,Entries!$A$2:$A$5000,"&lt;"&amp;EDATE($A224,1),Entries!$B$2:$B$5000,AD$1))</f>
        <v/>
      </c>
      <c r="AE224" s="23">
        <f>IF(OR(AE$1="",$BM224=0),"",SUMIFS(Entries!$E$2:$E$5000,Entries!$C$2:$C$5000,"Actual",Entries!$A$2:$A$5000,"&gt;="&amp;$A224,Entries!$A$2:$A$5000,"&lt;"&amp;EDATE($A224,1),Entries!$B$2:$B$5000,AE$1))</f>
        <v/>
      </c>
      <c r="AF224" s="23">
        <f>IF(OR(AF$1="",$BM224=0),"",SUMIFS(Entries!$E$2:$E$5000,Entries!$C$2:$C$5000,"Actual",Entries!$A$2:$A$5000,"&gt;="&amp;$A224,Entries!$A$2:$A$5000,"&lt;"&amp;EDATE($A224,1),Entries!$B$2:$B$5000,AF$1))</f>
        <v/>
      </c>
      <c r="AG224" s="23">
        <f>IF(OR(AG$1="",$BM224=0),"",SUMIFS(Entries!$E$2:$E$5000,Entries!$C$2:$C$5000,"Actual",Entries!$A$2:$A$5000,"&gt;="&amp;$A224,Entries!$A$2:$A$5000,"&lt;"&amp;EDATE($A224,1),Entries!$B$2:$B$5000,AG$1))</f>
        <v/>
      </c>
      <c r="AH224" s="23">
        <f>IF(OR(AH$1="",$BM224=0),"",SUMIFS(Entries!$E$2:$E$5000,Entries!$C$2:$C$5000,"Actual",Entries!$A$2:$A$5000,"&gt;="&amp;$A224,Entries!$A$2:$A$5000,"&lt;"&amp;EDATE($A224,1),Entries!$B$2:$B$5000,AH$1))</f>
        <v/>
      </c>
      <c r="AI224" s="23">
        <f>IF(OR(AI$1="",$BM224=0),"",SUMIFS(Entries!$E$2:$E$5000,Entries!$C$2:$C$5000,"Actual",Entries!$A$2:$A$5000,"&gt;="&amp;$A224,Entries!$A$2:$A$5000,"&lt;"&amp;EDATE($A224,1),Entries!$B$2:$B$5000,AI$1))</f>
        <v/>
      </c>
      <c r="AJ224" s="23">
        <f>IF(OR(AJ$1="",$BM224=0),"",SUMIFS(Entries!$E$2:$E$5000,Entries!$C$2:$C$5000,"Actual",Entries!$A$2:$A$5000,"&gt;="&amp;$A224,Entries!$A$2:$A$5000,"&lt;"&amp;EDATE($A224,1),Entries!$B$2:$B$5000,AJ$1))</f>
        <v/>
      </c>
      <c r="AK224" s="23">
        <f>IF(OR(AK$1="",$BM224=0),"",SUMIFS(Entries!$E$2:$E$5000,Entries!$C$2:$C$5000,"Actual",Entries!$A$2:$A$5000,"&gt;="&amp;$A224,Entries!$A$2:$A$5000,"&lt;"&amp;EDATE($A224,1),Entries!$B$2:$B$5000,AK$1))</f>
        <v/>
      </c>
      <c r="AL224" s="23">
        <f>IF(OR(AL$1="",$BM224=0),"",SUMIFS(Entries!$E$2:$E$5000,Entries!$C$2:$C$5000,"Actual",Entries!$A$2:$A$5000,"&gt;="&amp;$A224,Entries!$A$2:$A$5000,"&lt;"&amp;EDATE($A224,1),Entries!$B$2:$B$5000,AL$1))</f>
        <v/>
      </c>
      <c r="AM224" s="23">
        <f>IF(OR(AM$1="",$BM224=0),"",SUMIFS(Entries!$E$2:$E$5000,Entries!$C$2:$C$5000,"Actual",Entries!$A$2:$A$5000,"&gt;="&amp;$A224,Entries!$A$2:$A$5000,"&lt;"&amp;EDATE($A224,1),Entries!$B$2:$B$5000,AM$1))</f>
        <v/>
      </c>
      <c r="AN224" s="23">
        <f>IF(OR(AN$1="",$BM224=0),"",SUMIFS(Entries!$E$2:$E$5000,Entries!$C$2:$C$5000,"Actual",Entries!$A$2:$A$5000,"&gt;="&amp;$A224,Entries!$A$2:$A$5000,"&lt;"&amp;EDATE($A224,1),Entries!$B$2:$B$5000,AN$1))</f>
        <v/>
      </c>
      <c r="AO224" s="23">
        <f>IF(OR(AO$1="",$BM224=0),"",SUMIFS(Entries!$E$2:$E$5000,Entries!$C$2:$C$5000,"Actual",Entries!$A$2:$A$5000,"&gt;="&amp;$A224,Entries!$A$2:$A$5000,"&lt;"&amp;EDATE($A224,1),Entries!$B$2:$B$5000,AO$1))</f>
        <v/>
      </c>
      <c r="AP224" s="23">
        <f>IF(OR(AP$1="",$BM224=0),"",SUMIFS(Entries!$E$2:$E$5000,Entries!$C$2:$C$5000,"Actual",Entries!$A$2:$A$5000,"&gt;="&amp;$A224,Entries!$A$2:$A$5000,"&lt;"&amp;EDATE($A224,1),Entries!$B$2:$B$5000,AP$1))</f>
        <v/>
      </c>
      <c r="AR224" s="23">
        <f>IF(OR(AR$1="",$BM224=0),"",IFERROR(LOOKUP(2,1/((Budgets!$A$2:$A$200=AR$1)*(Budgets!$B$2:$B$200&lt;EDATE($A224,1))),Budgets!$C$2:$C$200),0))</f>
        <v/>
      </c>
      <c r="AS224" s="23">
        <f>IF(OR(AS$1="",$BM224=0),"",IFERROR(LOOKUP(2,1/((Budgets!$A$2:$A$200=AS$1)*(Budgets!$B$2:$B$200&lt;EDATE($A224,1))),Budgets!$C$2:$C$200),0))</f>
        <v/>
      </c>
      <c r="AT224" s="23">
        <f>IF(OR(AT$1="",$BM224=0),"",IFERROR(LOOKUP(2,1/((Budgets!$A$2:$A$200=AT$1)*(Budgets!$B$2:$B$200&lt;EDATE($A224,1))),Budgets!$C$2:$C$200),0))</f>
        <v/>
      </c>
      <c r="AU224" s="23">
        <f>IF(OR(AU$1="",$BM224=0),"",IFERROR(LOOKUP(2,1/((Budgets!$A$2:$A$200=AU$1)*(Budgets!$B$2:$B$200&lt;EDATE($A224,1))),Budgets!$C$2:$C$200),0))</f>
        <v/>
      </c>
      <c r="AV224" s="23">
        <f>IF(OR(AV$1="",$BM224=0),"",IFERROR(LOOKUP(2,1/((Budgets!$A$2:$A$200=AV$1)*(Budgets!$B$2:$B$200&lt;EDATE($A224,1))),Budgets!$C$2:$C$200),0))</f>
        <v/>
      </c>
      <c r="AW224" s="23">
        <f>IF(OR(AW$1="",$BM224=0),"",IFERROR(LOOKUP(2,1/((Budgets!$A$2:$A$200=AW$1)*(Budgets!$B$2:$B$200&lt;EDATE($A224,1))),Budgets!$C$2:$C$200),0))</f>
        <v/>
      </c>
      <c r="AX224" s="23">
        <f>IF(OR(AX$1="",$BM224=0),"",IFERROR(LOOKUP(2,1/((Budgets!$A$2:$A$200=AX$1)*(Budgets!$B$2:$B$200&lt;EDATE($A224,1))),Budgets!$C$2:$C$200),0))</f>
        <v/>
      </c>
      <c r="AY224" s="23">
        <f>IF(OR(AY$1="",$BM224=0),"",IFERROR(LOOKUP(2,1/((Budgets!$A$2:$A$200=AY$1)*(Budgets!$B$2:$B$200&lt;EDATE($A224,1))),Budgets!$C$2:$C$200),0))</f>
        <v/>
      </c>
      <c r="AZ224" s="23">
        <f>IF(OR(AZ$1="",$BM224=0),"",IFERROR(LOOKUP(2,1/((Budgets!$A$2:$A$200=AZ$1)*(Budgets!$B$2:$B$200&lt;EDATE($A224,1))),Budgets!$C$2:$C$200),0))</f>
        <v/>
      </c>
      <c r="BA224" s="23">
        <f>IF(OR(BA$1="",$BM224=0),"",IFERROR(LOOKUP(2,1/((Budgets!$A$2:$A$200=BA$1)*(Budgets!$B$2:$B$200&lt;EDATE($A224,1))),Budgets!$C$2:$C$200),0))</f>
        <v/>
      </c>
      <c r="BB224" s="23">
        <f>IF(OR(BB$1="",$BM224=0),"",IFERROR(LOOKUP(2,1/((Budgets!$A$2:$A$200=BB$1)*(Budgets!$B$2:$B$200&lt;EDATE($A224,1))),Budgets!$C$2:$C$200),0))</f>
        <v/>
      </c>
      <c r="BC224" s="23">
        <f>IF(OR(BC$1="",$BM224=0),"",IFERROR(LOOKUP(2,1/((Budgets!$A$2:$A$200=BC$1)*(Budgets!$B$2:$B$200&lt;EDATE($A224,1))),Budgets!$C$2:$C$200),0))</f>
        <v/>
      </c>
      <c r="BD224" s="23">
        <f>IF(OR(BD$1="",$BM224=0),"",IFERROR(LOOKUP(2,1/((Budgets!$A$2:$A$200=BD$1)*(Budgets!$B$2:$B$200&lt;EDATE($A224,1))),Budgets!$C$2:$C$200),0))</f>
        <v/>
      </c>
      <c r="BE224" s="23">
        <f>IF(OR(BE$1="",$BM224=0),"",IFERROR(LOOKUP(2,1/((Budgets!$A$2:$A$200=BE$1)*(Budgets!$B$2:$B$200&lt;EDATE($A224,1))),Budgets!$C$2:$C$200),0))</f>
        <v/>
      </c>
      <c r="BF224" s="23">
        <f>IF(OR(BF$1="",$BM224=0),"",IFERROR(LOOKUP(2,1/((Budgets!$A$2:$A$200=BF$1)*(Budgets!$B$2:$B$200&lt;EDATE($A224,1))),Budgets!$C$2:$C$200),0))</f>
        <v/>
      </c>
      <c r="BG224" s="23">
        <f>IF(OR(BG$1="",$BM224=0),"",IFERROR(LOOKUP(2,1/((Budgets!$A$2:$A$200=BG$1)*(Budgets!$B$2:$B$200&lt;EDATE($A224,1))),Budgets!$C$2:$C$200),0))</f>
        <v/>
      </c>
      <c r="BH224" s="23">
        <f>IF(OR(BH$1="",$BM224=0),"",IFERROR(LOOKUP(2,1/((Budgets!$A$2:$A$200=BH$1)*(Budgets!$B$2:$B$200&lt;EDATE($A224,1))),Budgets!$C$2:$C$200),0))</f>
        <v/>
      </c>
      <c r="BI224" s="23">
        <f>IF(OR(BI$1="",$BM224=0),"",IFERROR(LOOKUP(2,1/((Budgets!$A$2:$A$200=BI$1)*(Budgets!$B$2:$B$200&lt;EDATE($A224,1))),Budgets!$C$2:$C$200),0))</f>
        <v/>
      </c>
      <c r="BJ224" s="23">
        <f>IF(OR(BJ$1="",$BM224=0),"",IFERROR(LOOKUP(2,1/((Budgets!$A$2:$A$200=BJ$1)*(Budgets!$B$2:$B$200&lt;EDATE($A224,1))),Budgets!$C$2:$C$200),0))</f>
        <v/>
      </c>
      <c r="BK224" s="23">
        <f>IF(OR(BK$1="",$BM224=0),"",IFERROR(LOOKUP(2,1/((Budgets!$A$2:$A$200=BK$1)*(Budgets!$B$2:$B$200&lt;EDATE($A224,1))),Budgets!$C$2:$C$200),0))</f>
        <v/>
      </c>
      <c r="BM224" s="21">
        <f>COUNTIFS(Entries!$A$2:$A$5000,"&gt;="&amp;$A224,Entries!$A$2:$A$5000,"&lt;"&amp;EDATE($A224,1))</f>
        <v/>
      </c>
    </row>
    <row r="225">
      <c r="A225" s="22" t="n">
        <v>46235</v>
      </c>
      <c r="B225" s="23">
        <f>IF($BM225=0,NA(),SUMIFS(Entries!$E$2:$E$5000,Entries!$C$2:$C$5000,"Income",Entries!$A$2:$A$5000,"&gt;="&amp;$A225,Entries!$A$2:$A$5000,"&lt;"&amp;EDATE($A225,1)))</f>
        <v/>
      </c>
      <c r="C225" s="23">
        <f>IF($BM225=0,"",SUMIFS(Entries!$E$2:$E$5000,Entries!$C$2:$C$5000,"Actual",Entries!$A$2:$A$5000,"&gt;="&amp;$A225,Entries!$A$2:$A$5000,"&lt;"&amp;EDATE($A225,1)))</f>
        <v/>
      </c>
      <c r="D225" s="23">
        <f>IF($BM225=0,"",SUMIFS(Entries!$E$2:$E$5000,Entries!$C$2:$C$5000,"One-off",Entries!$A$2:$A$5000,"&gt;="&amp;$A225,Entries!$A$2:$A$5000,"&lt;"&amp;EDATE($A225,1)))</f>
        <v/>
      </c>
      <c r="E225" s="23">
        <f>IF($BM225=0,NA(),C225+D225)</f>
        <v/>
      </c>
      <c r="F225" s="23">
        <f>IF($BM225=0,"",SUM(AR225:BK225))</f>
        <v/>
      </c>
      <c r="G225" s="23">
        <f>IF($BM225=0,"",B225-E225)</f>
        <v/>
      </c>
      <c r="H225" s="23">
        <f>IF($BM225=0,"",SUM($G$2:G225))</f>
        <v/>
      </c>
      <c r="I225" s="23">
        <f>IF($BM225=0,"",SUMIFS(Entries!$G$2:$G$5000,Entries!$A$2:$A$5000,"&gt;="&amp;$A225,Entries!$A$2:$A$5000,"&lt;"&amp;EDATE($A225,1)))</f>
        <v/>
      </c>
      <c r="J225" s="23">
        <f>IF($BM225=0,NA(),H225)</f>
        <v/>
      </c>
      <c r="K225" s="23">
        <f>IF($BM225=0,"",SUMIFS(Entries!$E$2:$E$5000,Entries!$C$2:$C$5000,"Income",Entries!$A$2:$A$5000,"&gt;="&amp;EDATE($A225,-11),Entries!$A$2:$A$5000,"&lt;"&amp;EDATE($A225,1))/COUNTIFS($A$2:$A$400,"&gt;="&amp;EDATE($A225,-11),$A$2:$A$400,"&lt;"&amp;EDATE($A225,1),$BM$2:$BM$400,"&gt;0"))</f>
      </c>
      <c r="L225" s="23">
        <f>IF($BM225=0,"",(SUMIFS(Entries!$E$2:$E$5000,Entries!$C$2:$C$5000,"Actual",Entries!$A$2:$A$5000,"&gt;="&amp;EDATE($A225,-11),Entries!$A$2:$A$5000,"&lt;"&amp;EDATE($A225,1))+SUMIFS(Entries!$E$2:$E$5000,Entries!$C$2:$C$5000,"One-off",Entries!$A$2:$A$5000,"&gt;="&amp;EDATE($A225,-11),Entries!$A$2:$A$5000,"&lt;"&amp;EDATE($A225,1)))/COUNTIFS($A$2:$A$400,"&gt;="&amp;EDATE($A225,-11),$A$2:$A$400,"&lt;"&amp;EDATE($A225,1),$BM$2:$BM$400,"&gt;0"))</f>
      </c>
      <c r="M225" s="24">
        <f>IF($BM225=0,NA(),IFERROR((K225-L225)/K225,0))</f>
        <v/>
      </c>
      <c r="N225" s="23">
        <f>IF($BM225=0,NA(),SUMIFS(Entries!$E$2:$E$5000,Entries!$D$2:$D$5000,"Core",Entries!$A$2:$A$5000,"&gt;="&amp;$A225,Entries!$A$2:$A$5000,"&lt;"&amp;EDATE($A225,1)))</f>
        <v/>
      </c>
      <c r="O225" s="23">
        <f>IF($BM225=0,NA(),SUMIFS(Entries!$E$2:$E$5000,Entries!$D$2:$D$5000,"Over &amp; above",Entries!$A$2:$A$5000,"&gt;="&amp;$A225,Entries!$A$2:$A$5000,"&lt;"&amp;EDATE($A225,1)))</f>
        <v/>
      </c>
      <c r="P225" s="23">
        <f>IF($BM225=0,NA(),SUMIFS(Entries!$E$2:$E$5000,Entries!$D$2:$D$5000,"One-off",Entries!$A$2:$A$5000,"&gt;="&amp;$A225,Entries!$A$2:$A$5000,"&lt;"&amp;EDATE($A225,1)))</f>
        <v/>
      </c>
      <c r="Q225" s="23">
        <f>IF($BM225=0,NA(),SUMIFS(Entries!$E$2:$E$5000,Entries!$D$2:$D$5000,"Reimbursable",Entries!$A$2:$A$5000,"&gt;="&amp;$A225,Entries!$A$2:$A$5000,"&lt;"&amp;EDATE($A225,1)))</f>
        <v/>
      </c>
      <c r="R225" s="23">
        <f>IF($BM225=0,NA(),SUMIFS(Entries!$E$2:$E$5000,Entries!$D$2:$D$5000,"Investment",Entries!$A$2:$A$5000,"&gt;="&amp;$A225,Entries!$A$2:$A$5000,"&lt;"&amp;EDATE($A225,1)))</f>
        <v/>
      </c>
      <c r="S225" s="23">
        <f>IF($BM225=0,NA(),N225+O225)</f>
        <v/>
      </c>
      <c r="T225" s="23">
        <f>IF($BM225=0,"",E225-Q225)</f>
        <v/>
      </c>
      <c r="W225" s="23">
        <f>IF(OR(W$1="",$BM225=0),"",SUMIFS(Entries!$E$2:$E$5000,Entries!$C$2:$C$5000,"Actual",Entries!$A$2:$A$5000,"&gt;="&amp;$A225,Entries!$A$2:$A$5000,"&lt;"&amp;EDATE($A225,1),Entries!$B$2:$B$5000,W$1))</f>
        <v/>
      </c>
      <c r="X225" s="23">
        <f>IF(OR(X$1="",$BM225=0),"",SUMIFS(Entries!$E$2:$E$5000,Entries!$C$2:$C$5000,"Actual",Entries!$A$2:$A$5000,"&gt;="&amp;$A225,Entries!$A$2:$A$5000,"&lt;"&amp;EDATE($A225,1),Entries!$B$2:$B$5000,X$1))</f>
        <v/>
      </c>
      <c r="Y225" s="23">
        <f>IF(OR(Y$1="",$BM225=0),"",SUMIFS(Entries!$E$2:$E$5000,Entries!$C$2:$C$5000,"Actual",Entries!$A$2:$A$5000,"&gt;="&amp;$A225,Entries!$A$2:$A$5000,"&lt;"&amp;EDATE($A225,1),Entries!$B$2:$B$5000,Y$1))</f>
        <v/>
      </c>
      <c r="Z225" s="23">
        <f>IF(OR(Z$1="",$BM225=0),"",SUMIFS(Entries!$E$2:$E$5000,Entries!$C$2:$C$5000,"Actual",Entries!$A$2:$A$5000,"&gt;="&amp;$A225,Entries!$A$2:$A$5000,"&lt;"&amp;EDATE($A225,1),Entries!$B$2:$B$5000,Z$1))</f>
        <v/>
      </c>
      <c r="AA225" s="23">
        <f>IF(OR(AA$1="",$BM225=0),"",SUMIFS(Entries!$E$2:$E$5000,Entries!$C$2:$C$5000,"Actual",Entries!$A$2:$A$5000,"&gt;="&amp;$A225,Entries!$A$2:$A$5000,"&lt;"&amp;EDATE($A225,1),Entries!$B$2:$B$5000,AA$1))</f>
        <v/>
      </c>
      <c r="AB225" s="23">
        <f>IF(OR(AB$1="",$BM225=0),"",SUMIFS(Entries!$E$2:$E$5000,Entries!$C$2:$C$5000,"Actual",Entries!$A$2:$A$5000,"&gt;="&amp;$A225,Entries!$A$2:$A$5000,"&lt;"&amp;EDATE($A225,1),Entries!$B$2:$B$5000,AB$1))</f>
        <v/>
      </c>
      <c r="AC225" s="23">
        <f>IF(OR(AC$1="",$BM225=0),"",SUMIFS(Entries!$E$2:$E$5000,Entries!$C$2:$C$5000,"Actual",Entries!$A$2:$A$5000,"&gt;="&amp;$A225,Entries!$A$2:$A$5000,"&lt;"&amp;EDATE($A225,1),Entries!$B$2:$B$5000,AC$1))</f>
        <v/>
      </c>
      <c r="AD225" s="23">
        <f>IF(OR(AD$1="",$BM225=0),"",SUMIFS(Entries!$E$2:$E$5000,Entries!$C$2:$C$5000,"Actual",Entries!$A$2:$A$5000,"&gt;="&amp;$A225,Entries!$A$2:$A$5000,"&lt;"&amp;EDATE($A225,1),Entries!$B$2:$B$5000,AD$1))</f>
        <v/>
      </c>
      <c r="AE225" s="23">
        <f>IF(OR(AE$1="",$BM225=0),"",SUMIFS(Entries!$E$2:$E$5000,Entries!$C$2:$C$5000,"Actual",Entries!$A$2:$A$5000,"&gt;="&amp;$A225,Entries!$A$2:$A$5000,"&lt;"&amp;EDATE($A225,1),Entries!$B$2:$B$5000,AE$1))</f>
        <v/>
      </c>
      <c r="AF225" s="23">
        <f>IF(OR(AF$1="",$BM225=0),"",SUMIFS(Entries!$E$2:$E$5000,Entries!$C$2:$C$5000,"Actual",Entries!$A$2:$A$5000,"&gt;="&amp;$A225,Entries!$A$2:$A$5000,"&lt;"&amp;EDATE($A225,1),Entries!$B$2:$B$5000,AF$1))</f>
        <v/>
      </c>
      <c r="AG225" s="23">
        <f>IF(OR(AG$1="",$BM225=0),"",SUMIFS(Entries!$E$2:$E$5000,Entries!$C$2:$C$5000,"Actual",Entries!$A$2:$A$5000,"&gt;="&amp;$A225,Entries!$A$2:$A$5000,"&lt;"&amp;EDATE($A225,1),Entries!$B$2:$B$5000,AG$1))</f>
        <v/>
      </c>
      <c r="AH225" s="23">
        <f>IF(OR(AH$1="",$BM225=0),"",SUMIFS(Entries!$E$2:$E$5000,Entries!$C$2:$C$5000,"Actual",Entries!$A$2:$A$5000,"&gt;="&amp;$A225,Entries!$A$2:$A$5000,"&lt;"&amp;EDATE($A225,1),Entries!$B$2:$B$5000,AH$1))</f>
        <v/>
      </c>
      <c r="AI225" s="23">
        <f>IF(OR(AI$1="",$BM225=0),"",SUMIFS(Entries!$E$2:$E$5000,Entries!$C$2:$C$5000,"Actual",Entries!$A$2:$A$5000,"&gt;="&amp;$A225,Entries!$A$2:$A$5000,"&lt;"&amp;EDATE($A225,1),Entries!$B$2:$B$5000,AI$1))</f>
        <v/>
      </c>
      <c r="AJ225" s="23">
        <f>IF(OR(AJ$1="",$BM225=0),"",SUMIFS(Entries!$E$2:$E$5000,Entries!$C$2:$C$5000,"Actual",Entries!$A$2:$A$5000,"&gt;="&amp;$A225,Entries!$A$2:$A$5000,"&lt;"&amp;EDATE($A225,1),Entries!$B$2:$B$5000,AJ$1))</f>
        <v/>
      </c>
      <c r="AK225" s="23">
        <f>IF(OR(AK$1="",$BM225=0),"",SUMIFS(Entries!$E$2:$E$5000,Entries!$C$2:$C$5000,"Actual",Entries!$A$2:$A$5000,"&gt;="&amp;$A225,Entries!$A$2:$A$5000,"&lt;"&amp;EDATE($A225,1),Entries!$B$2:$B$5000,AK$1))</f>
        <v/>
      </c>
      <c r="AL225" s="23">
        <f>IF(OR(AL$1="",$BM225=0),"",SUMIFS(Entries!$E$2:$E$5000,Entries!$C$2:$C$5000,"Actual",Entries!$A$2:$A$5000,"&gt;="&amp;$A225,Entries!$A$2:$A$5000,"&lt;"&amp;EDATE($A225,1),Entries!$B$2:$B$5000,AL$1))</f>
        <v/>
      </c>
      <c r="AM225" s="23">
        <f>IF(OR(AM$1="",$BM225=0),"",SUMIFS(Entries!$E$2:$E$5000,Entries!$C$2:$C$5000,"Actual",Entries!$A$2:$A$5000,"&gt;="&amp;$A225,Entries!$A$2:$A$5000,"&lt;"&amp;EDATE($A225,1),Entries!$B$2:$B$5000,AM$1))</f>
        <v/>
      </c>
      <c r="AN225" s="23">
        <f>IF(OR(AN$1="",$BM225=0),"",SUMIFS(Entries!$E$2:$E$5000,Entries!$C$2:$C$5000,"Actual",Entries!$A$2:$A$5000,"&gt;="&amp;$A225,Entries!$A$2:$A$5000,"&lt;"&amp;EDATE($A225,1),Entries!$B$2:$B$5000,AN$1))</f>
        <v/>
      </c>
      <c r="AO225" s="23">
        <f>IF(OR(AO$1="",$BM225=0),"",SUMIFS(Entries!$E$2:$E$5000,Entries!$C$2:$C$5000,"Actual",Entries!$A$2:$A$5000,"&gt;="&amp;$A225,Entries!$A$2:$A$5000,"&lt;"&amp;EDATE($A225,1),Entries!$B$2:$B$5000,AO$1))</f>
        <v/>
      </c>
      <c r="AP225" s="23">
        <f>IF(OR(AP$1="",$BM225=0),"",SUMIFS(Entries!$E$2:$E$5000,Entries!$C$2:$C$5000,"Actual",Entries!$A$2:$A$5000,"&gt;="&amp;$A225,Entries!$A$2:$A$5000,"&lt;"&amp;EDATE($A225,1),Entries!$B$2:$B$5000,AP$1))</f>
        <v/>
      </c>
      <c r="AR225" s="23">
        <f>IF(OR(AR$1="",$BM225=0),"",IFERROR(LOOKUP(2,1/((Budgets!$A$2:$A$200=AR$1)*(Budgets!$B$2:$B$200&lt;EDATE($A225,1))),Budgets!$C$2:$C$200),0))</f>
        <v/>
      </c>
      <c r="AS225" s="23">
        <f>IF(OR(AS$1="",$BM225=0),"",IFERROR(LOOKUP(2,1/((Budgets!$A$2:$A$200=AS$1)*(Budgets!$B$2:$B$200&lt;EDATE($A225,1))),Budgets!$C$2:$C$200),0))</f>
        <v/>
      </c>
      <c r="AT225" s="23">
        <f>IF(OR(AT$1="",$BM225=0),"",IFERROR(LOOKUP(2,1/((Budgets!$A$2:$A$200=AT$1)*(Budgets!$B$2:$B$200&lt;EDATE($A225,1))),Budgets!$C$2:$C$200),0))</f>
        <v/>
      </c>
      <c r="AU225" s="23">
        <f>IF(OR(AU$1="",$BM225=0),"",IFERROR(LOOKUP(2,1/((Budgets!$A$2:$A$200=AU$1)*(Budgets!$B$2:$B$200&lt;EDATE($A225,1))),Budgets!$C$2:$C$200),0))</f>
        <v/>
      </c>
      <c r="AV225" s="23">
        <f>IF(OR(AV$1="",$BM225=0),"",IFERROR(LOOKUP(2,1/((Budgets!$A$2:$A$200=AV$1)*(Budgets!$B$2:$B$200&lt;EDATE($A225,1))),Budgets!$C$2:$C$200),0))</f>
        <v/>
      </c>
      <c r="AW225" s="23">
        <f>IF(OR(AW$1="",$BM225=0),"",IFERROR(LOOKUP(2,1/((Budgets!$A$2:$A$200=AW$1)*(Budgets!$B$2:$B$200&lt;EDATE($A225,1))),Budgets!$C$2:$C$200),0))</f>
        <v/>
      </c>
      <c r="AX225" s="23">
        <f>IF(OR(AX$1="",$BM225=0),"",IFERROR(LOOKUP(2,1/((Budgets!$A$2:$A$200=AX$1)*(Budgets!$B$2:$B$200&lt;EDATE($A225,1))),Budgets!$C$2:$C$200),0))</f>
        <v/>
      </c>
      <c r="AY225" s="23">
        <f>IF(OR(AY$1="",$BM225=0),"",IFERROR(LOOKUP(2,1/((Budgets!$A$2:$A$200=AY$1)*(Budgets!$B$2:$B$200&lt;EDATE($A225,1))),Budgets!$C$2:$C$200),0))</f>
        <v/>
      </c>
      <c r="AZ225" s="23">
        <f>IF(OR(AZ$1="",$BM225=0),"",IFERROR(LOOKUP(2,1/((Budgets!$A$2:$A$200=AZ$1)*(Budgets!$B$2:$B$200&lt;EDATE($A225,1))),Budgets!$C$2:$C$200),0))</f>
        <v/>
      </c>
      <c r="BA225" s="23">
        <f>IF(OR(BA$1="",$BM225=0),"",IFERROR(LOOKUP(2,1/((Budgets!$A$2:$A$200=BA$1)*(Budgets!$B$2:$B$200&lt;EDATE($A225,1))),Budgets!$C$2:$C$200),0))</f>
        <v/>
      </c>
      <c r="BB225" s="23">
        <f>IF(OR(BB$1="",$BM225=0),"",IFERROR(LOOKUP(2,1/((Budgets!$A$2:$A$200=BB$1)*(Budgets!$B$2:$B$200&lt;EDATE($A225,1))),Budgets!$C$2:$C$200),0))</f>
        <v/>
      </c>
      <c r="BC225" s="23">
        <f>IF(OR(BC$1="",$BM225=0),"",IFERROR(LOOKUP(2,1/((Budgets!$A$2:$A$200=BC$1)*(Budgets!$B$2:$B$200&lt;EDATE($A225,1))),Budgets!$C$2:$C$200),0))</f>
        <v/>
      </c>
      <c r="BD225" s="23">
        <f>IF(OR(BD$1="",$BM225=0),"",IFERROR(LOOKUP(2,1/((Budgets!$A$2:$A$200=BD$1)*(Budgets!$B$2:$B$200&lt;EDATE($A225,1))),Budgets!$C$2:$C$200),0))</f>
        <v/>
      </c>
      <c r="BE225" s="23">
        <f>IF(OR(BE$1="",$BM225=0),"",IFERROR(LOOKUP(2,1/((Budgets!$A$2:$A$200=BE$1)*(Budgets!$B$2:$B$200&lt;EDATE($A225,1))),Budgets!$C$2:$C$200),0))</f>
        <v/>
      </c>
      <c r="BF225" s="23">
        <f>IF(OR(BF$1="",$BM225=0),"",IFERROR(LOOKUP(2,1/((Budgets!$A$2:$A$200=BF$1)*(Budgets!$B$2:$B$200&lt;EDATE($A225,1))),Budgets!$C$2:$C$200),0))</f>
        <v/>
      </c>
      <c r="BG225" s="23">
        <f>IF(OR(BG$1="",$BM225=0),"",IFERROR(LOOKUP(2,1/((Budgets!$A$2:$A$200=BG$1)*(Budgets!$B$2:$B$200&lt;EDATE($A225,1))),Budgets!$C$2:$C$200),0))</f>
        <v/>
      </c>
      <c r="BH225" s="23">
        <f>IF(OR(BH$1="",$BM225=0),"",IFERROR(LOOKUP(2,1/((Budgets!$A$2:$A$200=BH$1)*(Budgets!$B$2:$B$200&lt;EDATE($A225,1))),Budgets!$C$2:$C$200),0))</f>
        <v/>
      </c>
      <c r="BI225" s="23">
        <f>IF(OR(BI$1="",$BM225=0),"",IFERROR(LOOKUP(2,1/((Budgets!$A$2:$A$200=BI$1)*(Budgets!$B$2:$B$200&lt;EDATE($A225,1))),Budgets!$C$2:$C$200),0))</f>
        <v/>
      </c>
      <c r="BJ225" s="23">
        <f>IF(OR(BJ$1="",$BM225=0),"",IFERROR(LOOKUP(2,1/((Budgets!$A$2:$A$200=BJ$1)*(Budgets!$B$2:$B$200&lt;EDATE($A225,1))),Budgets!$C$2:$C$200),0))</f>
        <v/>
      </c>
      <c r="BK225" s="23">
        <f>IF(OR(BK$1="",$BM225=0),"",IFERROR(LOOKUP(2,1/((Budgets!$A$2:$A$200=BK$1)*(Budgets!$B$2:$B$200&lt;EDATE($A225,1))),Budgets!$C$2:$C$200),0))</f>
        <v/>
      </c>
      <c r="BM225" s="21">
        <f>COUNTIFS(Entries!$A$2:$A$5000,"&gt;="&amp;$A225,Entries!$A$2:$A$5000,"&lt;"&amp;EDATE($A225,1))</f>
        <v/>
      </c>
    </row>
    <row r="226">
      <c r="A226" s="22" t="n">
        <v>46266</v>
      </c>
      <c r="B226" s="23">
        <f>IF($BM226=0,NA(),SUMIFS(Entries!$E$2:$E$5000,Entries!$C$2:$C$5000,"Income",Entries!$A$2:$A$5000,"&gt;="&amp;$A226,Entries!$A$2:$A$5000,"&lt;"&amp;EDATE($A226,1)))</f>
        <v/>
      </c>
      <c r="C226" s="23">
        <f>IF($BM226=0,"",SUMIFS(Entries!$E$2:$E$5000,Entries!$C$2:$C$5000,"Actual",Entries!$A$2:$A$5000,"&gt;="&amp;$A226,Entries!$A$2:$A$5000,"&lt;"&amp;EDATE($A226,1)))</f>
        <v/>
      </c>
      <c r="D226" s="23">
        <f>IF($BM226=0,"",SUMIFS(Entries!$E$2:$E$5000,Entries!$C$2:$C$5000,"One-off",Entries!$A$2:$A$5000,"&gt;="&amp;$A226,Entries!$A$2:$A$5000,"&lt;"&amp;EDATE($A226,1)))</f>
        <v/>
      </c>
      <c r="E226" s="23">
        <f>IF($BM226=0,NA(),C226+D226)</f>
        <v/>
      </c>
      <c r="F226" s="23">
        <f>IF($BM226=0,"",SUM(AR226:BK226))</f>
        <v/>
      </c>
      <c r="G226" s="23">
        <f>IF($BM226=0,"",B226-E226)</f>
        <v/>
      </c>
      <c r="H226" s="23">
        <f>IF($BM226=0,"",SUM($G$2:G226))</f>
        <v/>
      </c>
      <c r="I226" s="23">
        <f>IF($BM226=0,"",SUMIFS(Entries!$G$2:$G$5000,Entries!$A$2:$A$5000,"&gt;="&amp;$A226,Entries!$A$2:$A$5000,"&lt;"&amp;EDATE($A226,1)))</f>
        <v/>
      </c>
      <c r="J226" s="23">
        <f>IF($BM226=0,NA(),H226)</f>
        <v/>
      </c>
      <c r="K226" s="23">
        <f>IF($BM226=0,"",SUMIFS(Entries!$E$2:$E$5000,Entries!$C$2:$C$5000,"Income",Entries!$A$2:$A$5000,"&gt;="&amp;EDATE($A226,-11),Entries!$A$2:$A$5000,"&lt;"&amp;EDATE($A226,1))/COUNTIFS($A$2:$A$400,"&gt;="&amp;EDATE($A226,-11),$A$2:$A$400,"&lt;"&amp;EDATE($A226,1),$BM$2:$BM$400,"&gt;0"))</f>
      </c>
      <c r="L226" s="23">
        <f>IF($BM226=0,"",(SUMIFS(Entries!$E$2:$E$5000,Entries!$C$2:$C$5000,"Actual",Entries!$A$2:$A$5000,"&gt;="&amp;EDATE($A226,-11),Entries!$A$2:$A$5000,"&lt;"&amp;EDATE($A226,1))+SUMIFS(Entries!$E$2:$E$5000,Entries!$C$2:$C$5000,"One-off",Entries!$A$2:$A$5000,"&gt;="&amp;EDATE($A226,-11),Entries!$A$2:$A$5000,"&lt;"&amp;EDATE($A226,1)))/COUNTIFS($A$2:$A$400,"&gt;="&amp;EDATE($A226,-11),$A$2:$A$400,"&lt;"&amp;EDATE($A226,1),$BM$2:$BM$400,"&gt;0"))</f>
      </c>
      <c r="M226" s="24">
        <f>IF($BM226=0,NA(),IFERROR((K226-L226)/K226,0))</f>
        <v/>
      </c>
      <c r="N226" s="23">
        <f>IF($BM226=0,NA(),SUMIFS(Entries!$E$2:$E$5000,Entries!$D$2:$D$5000,"Core",Entries!$A$2:$A$5000,"&gt;="&amp;$A226,Entries!$A$2:$A$5000,"&lt;"&amp;EDATE($A226,1)))</f>
        <v/>
      </c>
      <c r="O226" s="23">
        <f>IF($BM226=0,NA(),SUMIFS(Entries!$E$2:$E$5000,Entries!$D$2:$D$5000,"Over &amp; above",Entries!$A$2:$A$5000,"&gt;="&amp;$A226,Entries!$A$2:$A$5000,"&lt;"&amp;EDATE($A226,1)))</f>
        <v/>
      </c>
      <c r="P226" s="23">
        <f>IF($BM226=0,NA(),SUMIFS(Entries!$E$2:$E$5000,Entries!$D$2:$D$5000,"One-off",Entries!$A$2:$A$5000,"&gt;="&amp;$A226,Entries!$A$2:$A$5000,"&lt;"&amp;EDATE($A226,1)))</f>
        <v/>
      </c>
      <c r="Q226" s="23">
        <f>IF($BM226=0,NA(),SUMIFS(Entries!$E$2:$E$5000,Entries!$D$2:$D$5000,"Reimbursable",Entries!$A$2:$A$5000,"&gt;="&amp;$A226,Entries!$A$2:$A$5000,"&lt;"&amp;EDATE($A226,1)))</f>
        <v/>
      </c>
      <c r="R226" s="23">
        <f>IF($BM226=0,NA(),SUMIFS(Entries!$E$2:$E$5000,Entries!$D$2:$D$5000,"Investment",Entries!$A$2:$A$5000,"&gt;="&amp;$A226,Entries!$A$2:$A$5000,"&lt;"&amp;EDATE($A226,1)))</f>
        <v/>
      </c>
      <c r="S226" s="23">
        <f>IF($BM226=0,NA(),N226+O226)</f>
        <v/>
      </c>
      <c r="T226" s="23">
        <f>IF($BM226=0,"",E226-Q226)</f>
        <v/>
      </c>
      <c r="W226" s="23">
        <f>IF(OR(W$1="",$BM226=0),"",SUMIFS(Entries!$E$2:$E$5000,Entries!$C$2:$C$5000,"Actual",Entries!$A$2:$A$5000,"&gt;="&amp;$A226,Entries!$A$2:$A$5000,"&lt;"&amp;EDATE($A226,1),Entries!$B$2:$B$5000,W$1))</f>
        <v/>
      </c>
      <c r="X226" s="23">
        <f>IF(OR(X$1="",$BM226=0),"",SUMIFS(Entries!$E$2:$E$5000,Entries!$C$2:$C$5000,"Actual",Entries!$A$2:$A$5000,"&gt;="&amp;$A226,Entries!$A$2:$A$5000,"&lt;"&amp;EDATE($A226,1),Entries!$B$2:$B$5000,X$1))</f>
        <v/>
      </c>
      <c r="Y226" s="23">
        <f>IF(OR(Y$1="",$BM226=0),"",SUMIFS(Entries!$E$2:$E$5000,Entries!$C$2:$C$5000,"Actual",Entries!$A$2:$A$5000,"&gt;="&amp;$A226,Entries!$A$2:$A$5000,"&lt;"&amp;EDATE($A226,1),Entries!$B$2:$B$5000,Y$1))</f>
        <v/>
      </c>
      <c r="Z226" s="23">
        <f>IF(OR(Z$1="",$BM226=0),"",SUMIFS(Entries!$E$2:$E$5000,Entries!$C$2:$C$5000,"Actual",Entries!$A$2:$A$5000,"&gt;="&amp;$A226,Entries!$A$2:$A$5000,"&lt;"&amp;EDATE($A226,1),Entries!$B$2:$B$5000,Z$1))</f>
        <v/>
      </c>
      <c r="AA226" s="23">
        <f>IF(OR(AA$1="",$BM226=0),"",SUMIFS(Entries!$E$2:$E$5000,Entries!$C$2:$C$5000,"Actual",Entries!$A$2:$A$5000,"&gt;="&amp;$A226,Entries!$A$2:$A$5000,"&lt;"&amp;EDATE($A226,1),Entries!$B$2:$B$5000,AA$1))</f>
        <v/>
      </c>
      <c r="AB226" s="23">
        <f>IF(OR(AB$1="",$BM226=0),"",SUMIFS(Entries!$E$2:$E$5000,Entries!$C$2:$C$5000,"Actual",Entries!$A$2:$A$5000,"&gt;="&amp;$A226,Entries!$A$2:$A$5000,"&lt;"&amp;EDATE($A226,1),Entries!$B$2:$B$5000,AB$1))</f>
        <v/>
      </c>
      <c r="AC226" s="23">
        <f>IF(OR(AC$1="",$BM226=0),"",SUMIFS(Entries!$E$2:$E$5000,Entries!$C$2:$C$5000,"Actual",Entries!$A$2:$A$5000,"&gt;="&amp;$A226,Entries!$A$2:$A$5000,"&lt;"&amp;EDATE($A226,1),Entries!$B$2:$B$5000,AC$1))</f>
        <v/>
      </c>
      <c r="AD226" s="23">
        <f>IF(OR(AD$1="",$BM226=0),"",SUMIFS(Entries!$E$2:$E$5000,Entries!$C$2:$C$5000,"Actual",Entries!$A$2:$A$5000,"&gt;="&amp;$A226,Entries!$A$2:$A$5000,"&lt;"&amp;EDATE($A226,1),Entries!$B$2:$B$5000,AD$1))</f>
        <v/>
      </c>
      <c r="AE226" s="23">
        <f>IF(OR(AE$1="",$BM226=0),"",SUMIFS(Entries!$E$2:$E$5000,Entries!$C$2:$C$5000,"Actual",Entries!$A$2:$A$5000,"&gt;="&amp;$A226,Entries!$A$2:$A$5000,"&lt;"&amp;EDATE($A226,1),Entries!$B$2:$B$5000,AE$1))</f>
        <v/>
      </c>
      <c r="AF226" s="23">
        <f>IF(OR(AF$1="",$BM226=0),"",SUMIFS(Entries!$E$2:$E$5000,Entries!$C$2:$C$5000,"Actual",Entries!$A$2:$A$5000,"&gt;="&amp;$A226,Entries!$A$2:$A$5000,"&lt;"&amp;EDATE($A226,1),Entries!$B$2:$B$5000,AF$1))</f>
        <v/>
      </c>
      <c r="AG226" s="23">
        <f>IF(OR(AG$1="",$BM226=0),"",SUMIFS(Entries!$E$2:$E$5000,Entries!$C$2:$C$5000,"Actual",Entries!$A$2:$A$5000,"&gt;="&amp;$A226,Entries!$A$2:$A$5000,"&lt;"&amp;EDATE($A226,1),Entries!$B$2:$B$5000,AG$1))</f>
        <v/>
      </c>
      <c r="AH226" s="23">
        <f>IF(OR(AH$1="",$BM226=0),"",SUMIFS(Entries!$E$2:$E$5000,Entries!$C$2:$C$5000,"Actual",Entries!$A$2:$A$5000,"&gt;="&amp;$A226,Entries!$A$2:$A$5000,"&lt;"&amp;EDATE($A226,1),Entries!$B$2:$B$5000,AH$1))</f>
        <v/>
      </c>
      <c r="AI226" s="23">
        <f>IF(OR(AI$1="",$BM226=0),"",SUMIFS(Entries!$E$2:$E$5000,Entries!$C$2:$C$5000,"Actual",Entries!$A$2:$A$5000,"&gt;="&amp;$A226,Entries!$A$2:$A$5000,"&lt;"&amp;EDATE($A226,1),Entries!$B$2:$B$5000,AI$1))</f>
        <v/>
      </c>
      <c r="AJ226" s="23">
        <f>IF(OR(AJ$1="",$BM226=0),"",SUMIFS(Entries!$E$2:$E$5000,Entries!$C$2:$C$5000,"Actual",Entries!$A$2:$A$5000,"&gt;="&amp;$A226,Entries!$A$2:$A$5000,"&lt;"&amp;EDATE($A226,1),Entries!$B$2:$B$5000,AJ$1))</f>
        <v/>
      </c>
      <c r="AK226" s="23">
        <f>IF(OR(AK$1="",$BM226=0),"",SUMIFS(Entries!$E$2:$E$5000,Entries!$C$2:$C$5000,"Actual",Entries!$A$2:$A$5000,"&gt;="&amp;$A226,Entries!$A$2:$A$5000,"&lt;"&amp;EDATE($A226,1),Entries!$B$2:$B$5000,AK$1))</f>
        <v/>
      </c>
      <c r="AL226" s="23">
        <f>IF(OR(AL$1="",$BM226=0),"",SUMIFS(Entries!$E$2:$E$5000,Entries!$C$2:$C$5000,"Actual",Entries!$A$2:$A$5000,"&gt;="&amp;$A226,Entries!$A$2:$A$5000,"&lt;"&amp;EDATE($A226,1),Entries!$B$2:$B$5000,AL$1))</f>
        <v/>
      </c>
      <c r="AM226" s="23">
        <f>IF(OR(AM$1="",$BM226=0),"",SUMIFS(Entries!$E$2:$E$5000,Entries!$C$2:$C$5000,"Actual",Entries!$A$2:$A$5000,"&gt;="&amp;$A226,Entries!$A$2:$A$5000,"&lt;"&amp;EDATE($A226,1),Entries!$B$2:$B$5000,AM$1))</f>
        <v/>
      </c>
      <c r="AN226" s="23">
        <f>IF(OR(AN$1="",$BM226=0),"",SUMIFS(Entries!$E$2:$E$5000,Entries!$C$2:$C$5000,"Actual",Entries!$A$2:$A$5000,"&gt;="&amp;$A226,Entries!$A$2:$A$5000,"&lt;"&amp;EDATE($A226,1),Entries!$B$2:$B$5000,AN$1))</f>
        <v/>
      </c>
      <c r="AO226" s="23">
        <f>IF(OR(AO$1="",$BM226=0),"",SUMIFS(Entries!$E$2:$E$5000,Entries!$C$2:$C$5000,"Actual",Entries!$A$2:$A$5000,"&gt;="&amp;$A226,Entries!$A$2:$A$5000,"&lt;"&amp;EDATE($A226,1),Entries!$B$2:$B$5000,AO$1))</f>
        <v/>
      </c>
      <c r="AP226" s="23">
        <f>IF(OR(AP$1="",$BM226=0),"",SUMIFS(Entries!$E$2:$E$5000,Entries!$C$2:$C$5000,"Actual",Entries!$A$2:$A$5000,"&gt;="&amp;$A226,Entries!$A$2:$A$5000,"&lt;"&amp;EDATE($A226,1),Entries!$B$2:$B$5000,AP$1))</f>
        <v/>
      </c>
      <c r="AR226" s="23">
        <f>IF(OR(AR$1="",$BM226=0),"",IFERROR(LOOKUP(2,1/((Budgets!$A$2:$A$200=AR$1)*(Budgets!$B$2:$B$200&lt;EDATE($A226,1))),Budgets!$C$2:$C$200),0))</f>
        <v/>
      </c>
      <c r="AS226" s="23">
        <f>IF(OR(AS$1="",$BM226=0),"",IFERROR(LOOKUP(2,1/((Budgets!$A$2:$A$200=AS$1)*(Budgets!$B$2:$B$200&lt;EDATE($A226,1))),Budgets!$C$2:$C$200),0))</f>
        <v/>
      </c>
      <c r="AT226" s="23">
        <f>IF(OR(AT$1="",$BM226=0),"",IFERROR(LOOKUP(2,1/((Budgets!$A$2:$A$200=AT$1)*(Budgets!$B$2:$B$200&lt;EDATE($A226,1))),Budgets!$C$2:$C$200),0))</f>
        <v/>
      </c>
      <c r="AU226" s="23">
        <f>IF(OR(AU$1="",$BM226=0),"",IFERROR(LOOKUP(2,1/((Budgets!$A$2:$A$200=AU$1)*(Budgets!$B$2:$B$200&lt;EDATE($A226,1))),Budgets!$C$2:$C$200),0))</f>
        <v/>
      </c>
      <c r="AV226" s="23">
        <f>IF(OR(AV$1="",$BM226=0),"",IFERROR(LOOKUP(2,1/((Budgets!$A$2:$A$200=AV$1)*(Budgets!$B$2:$B$200&lt;EDATE($A226,1))),Budgets!$C$2:$C$200),0))</f>
        <v/>
      </c>
      <c r="AW226" s="23">
        <f>IF(OR(AW$1="",$BM226=0),"",IFERROR(LOOKUP(2,1/((Budgets!$A$2:$A$200=AW$1)*(Budgets!$B$2:$B$200&lt;EDATE($A226,1))),Budgets!$C$2:$C$200),0))</f>
        <v/>
      </c>
      <c r="AX226" s="23">
        <f>IF(OR(AX$1="",$BM226=0),"",IFERROR(LOOKUP(2,1/((Budgets!$A$2:$A$200=AX$1)*(Budgets!$B$2:$B$200&lt;EDATE($A226,1))),Budgets!$C$2:$C$200),0))</f>
        <v/>
      </c>
      <c r="AY226" s="23">
        <f>IF(OR(AY$1="",$BM226=0),"",IFERROR(LOOKUP(2,1/((Budgets!$A$2:$A$200=AY$1)*(Budgets!$B$2:$B$200&lt;EDATE($A226,1))),Budgets!$C$2:$C$200),0))</f>
        <v/>
      </c>
      <c r="AZ226" s="23">
        <f>IF(OR(AZ$1="",$BM226=0),"",IFERROR(LOOKUP(2,1/((Budgets!$A$2:$A$200=AZ$1)*(Budgets!$B$2:$B$200&lt;EDATE($A226,1))),Budgets!$C$2:$C$200),0))</f>
        <v/>
      </c>
      <c r="BA226" s="23">
        <f>IF(OR(BA$1="",$BM226=0),"",IFERROR(LOOKUP(2,1/((Budgets!$A$2:$A$200=BA$1)*(Budgets!$B$2:$B$200&lt;EDATE($A226,1))),Budgets!$C$2:$C$200),0))</f>
        <v/>
      </c>
      <c r="BB226" s="23">
        <f>IF(OR(BB$1="",$BM226=0),"",IFERROR(LOOKUP(2,1/((Budgets!$A$2:$A$200=BB$1)*(Budgets!$B$2:$B$200&lt;EDATE($A226,1))),Budgets!$C$2:$C$200),0))</f>
        <v/>
      </c>
      <c r="BC226" s="23">
        <f>IF(OR(BC$1="",$BM226=0),"",IFERROR(LOOKUP(2,1/((Budgets!$A$2:$A$200=BC$1)*(Budgets!$B$2:$B$200&lt;EDATE($A226,1))),Budgets!$C$2:$C$200),0))</f>
        <v/>
      </c>
      <c r="BD226" s="23">
        <f>IF(OR(BD$1="",$BM226=0),"",IFERROR(LOOKUP(2,1/((Budgets!$A$2:$A$200=BD$1)*(Budgets!$B$2:$B$200&lt;EDATE($A226,1))),Budgets!$C$2:$C$200),0))</f>
        <v/>
      </c>
      <c r="BE226" s="23">
        <f>IF(OR(BE$1="",$BM226=0),"",IFERROR(LOOKUP(2,1/((Budgets!$A$2:$A$200=BE$1)*(Budgets!$B$2:$B$200&lt;EDATE($A226,1))),Budgets!$C$2:$C$200),0))</f>
        <v/>
      </c>
      <c r="BF226" s="23">
        <f>IF(OR(BF$1="",$BM226=0),"",IFERROR(LOOKUP(2,1/((Budgets!$A$2:$A$200=BF$1)*(Budgets!$B$2:$B$200&lt;EDATE($A226,1))),Budgets!$C$2:$C$200),0))</f>
        <v/>
      </c>
      <c r="BG226" s="23">
        <f>IF(OR(BG$1="",$BM226=0),"",IFERROR(LOOKUP(2,1/((Budgets!$A$2:$A$200=BG$1)*(Budgets!$B$2:$B$200&lt;EDATE($A226,1))),Budgets!$C$2:$C$200),0))</f>
        <v/>
      </c>
      <c r="BH226" s="23">
        <f>IF(OR(BH$1="",$BM226=0),"",IFERROR(LOOKUP(2,1/((Budgets!$A$2:$A$200=BH$1)*(Budgets!$B$2:$B$200&lt;EDATE($A226,1))),Budgets!$C$2:$C$200),0))</f>
        <v/>
      </c>
      <c r="BI226" s="23">
        <f>IF(OR(BI$1="",$BM226=0),"",IFERROR(LOOKUP(2,1/((Budgets!$A$2:$A$200=BI$1)*(Budgets!$B$2:$B$200&lt;EDATE($A226,1))),Budgets!$C$2:$C$200),0))</f>
        <v/>
      </c>
      <c r="BJ226" s="23">
        <f>IF(OR(BJ$1="",$BM226=0),"",IFERROR(LOOKUP(2,1/((Budgets!$A$2:$A$200=BJ$1)*(Budgets!$B$2:$B$200&lt;EDATE($A226,1))),Budgets!$C$2:$C$200),0))</f>
        <v/>
      </c>
      <c r="BK226" s="23">
        <f>IF(OR(BK$1="",$BM226=0),"",IFERROR(LOOKUP(2,1/((Budgets!$A$2:$A$200=BK$1)*(Budgets!$B$2:$B$200&lt;EDATE($A226,1))),Budgets!$C$2:$C$200),0))</f>
        <v/>
      </c>
      <c r="BM226" s="21">
        <f>COUNTIFS(Entries!$A$2:$A$5000,"&gt;="&amp;$A226,Entries!$A$2:$A$5000,"&lt;"&amp;EDATE($A226,1))</f>
        <v/>
      </c>
    </row>
    <row r="227">
      <c r="A227" s="22" t="n">
        <v>46296</v>
      </c>
      <c r="B227" s="23">
        <f>IF($BM227=0,NA(),SUMIFS(Entries!$E$2:$E$5000,Entries!$C$2:$C$5000,"Income",Entries!$A$2:$A$5000,"&gt;="&amp;$A227,Entries!$A$2:$A$5000,"&lt;"&amp;EDATE($A227,1)))</f>
        <v/>
      </c>
      <c r="C227" s="23">
        <f>IF($BM227=0,"",SUMIFS(Entries!$E$2:$E$5000,Entries!$C$2:$C$5000,"Actual",Entries!$A$2:$A$5000,"&gt;="&amp;$A227,Entries!$A$2:$A$5000,"&lt;"&amp;EDATE($A227,1)))</f>
        <v/>
      </c>
      <c r="D227" s="23">
        <f>IF($BM227=0,"",SUMIFS(Entries!$E$2:$E$5000,Entries!$C$2:$C$5000,"One-off",Entries!$A$2:$A$5000,"&gt;="&amp;$A227,Entries!$A$2:$A$5000,"&lt;"&amp;EDATE($A227,1)))</f>
        <v/>
      </c>
      <c r="E227" s="23">
        <f>IF($BM227=0,NA(),C227+D227)</f>
        <v/>
      </c>
      <c r="F227" s="23">
        <f>IF($BM227=0,"",SUM(AR227:BK227))</f>
        <v/>
      </c>
      <c r="G227" s="23">
        <f>IF($BM227=0,"",B227-E227)</f>
        <v/>
      </c>
      <c r="H227" s="23">
        <f>IF($BM227=0,"",SUM($G$2:G227))</f>
        <v/>
      </c>
      <c r="I227" s="23">
        <f>IF($BM227=0,"",SUMIFS(Entries!$G$2:$G$5000,Entries!$A$2:$A$5000,"&gt;="&amp;$A227,Entries!$A$2:$A$5000,"&lt;"&amp;EDATE($A227,1)))</f>
        <v/>
      </c>
      <c r="J227" s="23">
        <f>IF($BM227=0,NA(),H227)</f>
        <v/>
      </c>
      <c r="K227" s="23">
        <f>IF($BM227=0,"",SUMIFS(Entries!$E$2:$E$5000,Entries!$C$2:$C$5000,"Income",Entries!$A$2:$A$5000,"&gt;="&amp;EDATE($A227,-11),Entries!$A$2:$A$5000,"&lt;"&amp;EDATE($A227,1))/COUNTIFS($A$2:$A$400,"&gt;="&amp;EDATE($A227,-11),$A$2:$A$400,"&lt;"&amp;EDATE($A227,1),$BM$2:$BM$400,"&gt;0"))</f>
      </c>
      <c r="L227" s="23">
        <f>IF($BM227=0,"",(SUMIFS(Entries!$E$2:$E$5000,Entries!$C$2:$C$5000,"Actual",Entries!$A$2:$A$5000,"&gt;="&amp;EDATE($A227,-11),Entries!$A$2:$A$5000,"&lt;"&amp;EDATE($A227,1))+SUMIFS(Entries!$E$2:$E$5000,Entries!$C$2:$C$5000,"One-off",Entries!$A$2:$A$5000,"&gt;="&amp;EDATE($A227,-11),Entries!$A$2:$A$5000,"&lt;"&amp;EDATE($A227,1)))/COUNTIFS($A$2:$A$400,"&gt;="&amp;EDATE($A227,-11),$A$2:$A$400,"&lt;"&amp;EDATE($A227,1),$BM$2:$BM$400,"&gt;0"))</f>
      </c>
      <c r="M227" s="24">
        <f>IF($BM227=0,NA(),IFERROR((K227-L227)/K227,0))</f>
        <v/>
      </c>
      <c r="N227" s="23">
        <f>IF($BM227=0,NA(),SUMIFS(Entries!$E$2:$E$5000,Entries!$D$2:$D$5000,"Core",Entries!$A$2:$A$5000,"&gt;="&amp;$A227,Entries!$A$2:$A$5000,"&lt;"&amp;EDATE($A227,1)))</f>
        <v/>
      </c>
      <c r="O227" s="23">
        <f>IF($BM227=0,NA(),SUMIFS(Entries!$E$2:$E$5000,Entries!$D$2:$D$5000,"Over &amp; above",Entries!$A$2:$A$5000,"&gt;="&amp;$A227,Entries!$A$2:$A$5000,"&lt;"&amp;EDATE($A227,1)))</f>
        <v/>
      </c>
      <c r="P227" s="23">
        <f>IF($BM227=0,NA(),SUMIFS(Entries!$E$2:$E$5000,Entries!$D$2:$D$5000,"One-off",Entries!$A$2:$A$5000,"&gt;="&amp;$A227,Entries!$A$2:$A$5000,"&lt;"&amp;EDATE($A227,1)))</f>
        <v/>
      </c>
      <c r="Q227" s="23">
        <f>IF($BM227=0,NA(),SUMIFS(Entries!$E$2:$E$5000,Entries!$D$2:$D$5000,"Reimbursable",Entries!$A$2:$A$5000,"&gt;="&amp;$A227,Entries!$A$2:$A$5000,"&lt;"&amp;EDATE($A227,1)))</f>
        <v/>
      </c>
      <c r="R227" s="23">
        <f>IF($BM227=0,NA(),SUMIFS(Entries!$E$2:$E$5000,Entries!$D$2:$D$5000,"Investment",Entries!$A$2:$A$5000,"&gt;="&amp;$A227,Entries!$A$2:$A$5000,"&lt;"&amp;EDATE($A227,1)))</f>
        <v/>
      </c>
      <c r="S227" s="23">
        <f>IF($BM227=0,NA(),N227+O227)</f>
        <v/>
      </c>
      <c r="T227" s="23">
        <f>IF($BM227=0,"",E227-Q227)</f>
        <v/>
      </c>
      <c r="W227" s="23">
        <f>IF(OR(W$1="",$BM227=0),"",SUMIFS(Entries!$E$2:$E$5000,Entries!$C$2:$C$5000,"Actual",Entries!$A$2:$A$5000,"&gt;="&amp;$A227,Entries!$A$2:$A$5000,"&lt;"&amp;EDATE($A227,1),Entries!$B$2:$B$5000,W$1))</f>
        <v/>
      </c>
      <c r="X227" s="23">
        <f>IF(OR(X$1="",$BM227=0),"",SUMIFS(Entries!$E$2:$E$5000,Entries!$C$2:$C$5000,"Actual",Entries!$A$2:$A$5000,"&gt;="&amp;$A227,Entries!$A$2:$A$5000,"&lt;"&amp;EDATE($A227,1),Entries!$B$2:$B$5000,X$1))</f>
        <v/>
      </c>
      <c r="Y227" s="23">
        <f>IF(OR(Y$1="",$BM227=0),"",SUMIFS(Entries!$E$2:$E$5000,Entries!$C$2:$C$5000,"Actual",Entries!$A$2:$A$5000,"&gt;="&amp;$A227,Entries!$A$2:$A$5000,"&lt;"&amp;EDATE($A227,1),Entries!$B$2:$B$5000,Y$1))</f>
        <v/>
      </c>
      <c r="Z227" s="23">
        <f>IF(OR(Z$1="",$BM227=0),"",SUMIFS(Entries!$E$2:$E$5000,Entries!$C$2:$C$5000,"Actual",Entries!$A$2:$A$5000,"&gt;="&amp;$A227,Entries!$A$2:$A$5000,"&lt;"&amp;EDATE($A227,1),Entries!$B$2:$B$5000,Z$1))</f>
        <v/>
      </c>
      <c r="AA227" s="23">
        <f>IF(OR(AA$1="",$BM227=0),"",SUMIFS(Entries!$E$2:$E$5000,Entries!$C$2:$C$5000,"Actual",Entries!$A$2:$A$5000,"&gt;="&amp;$A227,Entries!$A$2:$A$5000,"&lt;"&amp;EDATE($A227,1),Entries!$B$2:$B$5000,AA$1))</f>
        <v/>
      </c>
      <c r="AB227" s="23">
        <f>IF(OR(AB$1="",$BM227=0),"",SUMIFS(Entries!$E$2:$E$5000,Entries!$C$2:$C$5000,"Actual",Entries!$A$2:$A$5000,"&gt;="&amp;$A227,Entries!$A$2:$A$5000,"&lt;"&amp;EDATE($A227,1),Entries!$B$2:$B$5000,AB$1))</f>
        <v/>
      </c>
      <c r="AC227" s="23">
        <f>IF(OR(AC$1="",$BM227=0),"",SUMIFS(Entries!$E$2:$E$5000,Entries!$C$2:$C$5000,"Actual",Entries!$A$2:$A$5000,"&gt;="&amp;$A227,Entries!$A$2:$A$5000,"&lt;"&amp;EDATE($A227,1),Entries!$B$2:$B$5000,AC$1))</f>
        <v/>
      </c>
      <c r="AD227" s="23">
        <f>IF(OR(AD$1="",$BM227=0),"",SUMIFS(Entries!$E$2:$E$5000,Entries!$C$2:$C$5000,"Actual",Entries!$A$2:$A$5000,"&gt;="&amp;$A227,Entries!$A$2:$A$5000,"&lt;"&amp;EDATE($A227,1),Entries!$B$2:$B$5000,AD$1))</f>
        <v/>
      </c>
      <c r="AE227" s="23">
        <f>IF(OR(AE$1="",$BM227=0),"",SUMIFS(Entries!$E$2:$E$5000,Entries!$C$2:$C$5000,"Actual",Entries!$A$2:$A$5000,"&gt;="&amp;$A227,Entries!$A$2:$A$5000,"&lt;"&amp;EDATE($A227,1),Entries!$B$2:$B$5000,AE$1))</f>
        <v/>
      </c>
      <c r="AF227" s="23">
        <f>IF(OR(AF$1="",$BM227=0),"",SUMIFS(Entries!$E$2:$E$5000,Entries!$C$2:$C$5000,"Actual",Entries!$A$2:$A$5000,"&gt;="&amp;$A227,Entries!$A$2:$A$5000,"&lt;"&amp;EDATE($A227,1),Entries!$B$2:$B$5000,AF$1))</f>
        <v/>
      </c>
      <c r="AG227" s="23">
        <f>IF(OR(AG$1="",$BM227=0),"",SUMIFS(Entries!$E$2:$E$5000,Entries!$C$2:$C$5000,"Actual",Entries!$A$2:$A$5000,"&gt;="&amp;$A227,Entries!$A$2:$A$5000,"&lt;"&amp;EDATE($A227,1),Entries!$B$2:$B$5000,AG$1))</f>
        <v/>
      </c>
      <c r="AH227" s="23">
        <f>IF(OR(AH$1="",$BM227=0),"",SUMIFS(Entries!$E$2:$E$5000,Entries!$C$2:$C$5000,"Actual",Entries!$A$2:$A$5000,"&gt;="&amp;$A227,Entries!$A$2:$A$5000,"&lt;"&amp;EDATE($A227,1),Entries!$B$2:$B$5000,AH$1))</f>
        <v/>
      </c>
      <c r="AI227" s="23">
        <f>IF(OR(AI$1="",$BM227=0),"",SUMIFS(Entries!$E$2:$E$5000,Entries!$C$2:$C$5000,"Actual",Entries!$A$2:$A$5000,"&gt;="&amp;$A227,Entries!$A$2:$A$5000,"&lt;"&amp;EDATE($A227,1),Entries!$B$2:$B$5000,AI$1))</f>
        <v/>
      </c>
      <c r="AJ227" s="23">
        <f>IF(OR(AJ$1="",$BM227=0),"",SUMIFS(Entries!$E$2:$E$5000,Entries!$C$2:$C$5000,"Actual",Entries!$A$2:$A$5000,"&gt;="&amp;$A227,Entries!$A$2:$A$5000,"&lt;"&amp;EDATE($A227,1),Entries!$B$2:$B$5000,AJ$1))</f>
        <v/>
      </c>
      <c r="AK227" s="23">
        <f>IF(OR(AK$1="",$BM227=0),"",SUMIFS(Entries!$E$2:$E$5000,Entries!$C$2:$C$5000,"Actual",Entries!$A$2:$A$5000,"&gt;="&amp;$A227,Entries!$A$2:$A$5000,"&lt;"&amp;EDATE($A227,1),Entries!$B$2:$B$5000,AK$1))</f>
        <v/>
      </c>
      <c r="AL227" s="23">
        <f>IF(OR(AL$1="",$BM227=0),"",SUMIFS(Entries!$E$2:$E$5000,Entries!$C$2:$C$5000,"Actual",Entries!$A$2:$A$5000,"&gt;="&amp;$A227,Entries!$A$2:$A$5000,"&lt;"&amp;EDATE($A227,1),Entries!$B$2:$B$5000,AL$1))</f>
        <v/>
      </c>
      <c r="AM227" s="23">
        <f>IF(OR(AM$1="",$BM227=0),"",SUMIFS(Entries!$E$2:$E$5000,Entries!$C$2:$C$5000,"Actual",Entries!$A$2:$A$5000,"&gt;="&amp;$A227,Entries!$A$2:$A$5000,"&lt;"&amp;EDATE($A227,1),Entries!$B$2:$B$5000,AM$1))</f>
        <v/>
      </c>
      <c r="AN227" s="23">
        <f>IF(OR(AN$1="",$BM227=0),"",SUMIFS(Entries!$E$2:$E$5000,Entries!$C$2:$C$5000,"Actual",Entries!$A$2:$A$5000,"&gt;="&amp;$A227,Entries!$A$2:$A$5000,"&lt;"&amp;EDATE($A227,1),Entries!$B$2:$B$5000,AN$1))</f>
        <v/>
      </c>
      <c r="AO227" s="23">
        <f>IF(OR(AO$1="",$BM227=0),"",SUMIFS(Entries!$E$2:$E$5000,Entries!$C$2:$C$5000,"Actual",Entries!$A$2:$A$5000,"&gt;="&amp;$A227,Entries!$A$2:$A$5000,"&lt;"&amp;EDATE($A227,1),Entries!$B$2:$B$5000,AO$1))</f>
        <v/>
      </c>
      <c r="AP227" s="23">
        <f>IF(OR(AP$1="",$BM227=0),"",SUMIFS(Entries!$E$2:$E$5000,Entries!$C$2:$C$5000,"Actual",Entries!$A$2:$A$5000,"&gt;="&amp;$A227,Entries!$A$2:$A$5000,"&lt;"&amp;EDATE($A227,1),Entries!$B$2:$B$5000,AP$1))</f>
        <v/>
      </c>
      <c r="AR227" s="23">
        <f>IF(OR(AR$1="",$BM227=0),"",IFERROR(LOOKUP(2,1/((Budgets!$A$2:$A$200=AR$1)*(Budgets!$B$2:$B$200&lt;EDATE($A227,1))),Budgets!$C$2:$C$200),0))</f>
        <v/>
      </c>
      <c r="AS227" s="23">
        <f>IF(OR(AS$1="",$BM227=0),"",IFERROR(LOOKUP(2,1/((Budgets!$A$2:$A$200=AS$1)*(Budgets!$B$2:$B$200&lt;EDATE($A227,1))),Budgets!$C$2:$C$200),0))</f>
        <v/>
      </c>
      <c r="AT227" s="23">
        <f>IF(OR(AT$1="",$BM227=0),"",IFERROR(LOOKUP(2,1/((Budgets!$A$2:$A$200=AT$1)*(Budgets!$B$2:$B$200&lt;EDATE($A227,1))),Budgets!$C$2:$C$200),0))</f>
        <v/>
      </c>
      <c r="AU227" s="23">
        <f>IF(OR(AU$1="",$BM227=0),"",IFERROR(LOOKUP(2,1/((Budgets!$A$2:$A$200=AU$1)*(Budgets!$B$2:$B$200&lt;EDATE($A227,1))),Budgets!$C$2:$C$200),0))</f>
        <v/>
      </c>
      <c r="AV227" s="23">
        <f>IF(OR(AV$1="",$BM227=0),"",IFERROR(LOOKUP(2,1/((Budgets!$A$2:$A$200=AV$1)*(Budgets!$B$2:$B$200&lt;EDATE($A227,1))),Budgets!$C$2:$C$200),0))</f>
        <v/>
      </c>
      <c r="AW227" s="23">
        <f>IF(OR(AW$1="",$BM227=0),"",IFERROR(LOOKUP(2,1/((Budgets!$A$2:$A$200=AW$1)*(Budgets!$B$2:$B$200&lt;EDATE($A227,1))),Budgets!$C$2:$C$200),0))</f>
        <v/>
      </c>
      <c r="AX227" s="23">
        <f>IF(OR(AX$1="",$BM227=0),"",IFERROR(LOOKUP(2,1/((Budgets!$A$2:$A$200=AX$1)*(Budgets!$B$2:$B$200&lt;EDATE($A227,1))),Budgets!$C$2:$C$200),0))</f>
        <v/>
      </c>
      <c r="AY227" s="23">
        <f>IF(OR(AY$1="",$BM227=0),"",IFERROR(LOOKUP(2,1/((Budgets!$A$2:$A$200=AY$1)*(Budgets!$B$2:$B$200&lt;EDATE($A227,1))),Budgets!$C$2:$C$200),0))</f>
        <v/>
      </c>
      <c r="AZ227" s="23">
        <f>IF(OR(AZ$1="",$BM227=0),"",IFERROR(LOOKUP(2,1/((Budgets!$A$2:$A$200=AZ$1)*(Budgets!$B$2:$B$200&lt;EDATE($A227,1))),Budgets!$C$2:$C$200),0))</f>
        <v/>
      </c>
      <c r="BA227" s="23">
        <f>IF(OR(BA$1="",$BM227=0),"",IFERROR(LOOKUP(2,1/((Budgets!$A$2:$A$200=BA$1)*(Budgets!$B$2:$B$200&lt;EDATE($A227,1))),Budgets!$C$2:$C$200),0))</f>
        <v/>
      </c>
      <c r="BB227" s="23">
        <f>IF(OR(BB$1="",$BM227=0),"",IFERROR(LOOKUP(2,1/((Budgets!$A$2:$A$200=BB$1)*(Budgets!$B$2:$B$200&lt;EDATE($A227,1))),Budgets!$C$2:$C$200),0))</f>
        <v/>
      </c>
      <c r="BC227" s="23">
        <f>IF(OR(BC$1="",$BM227=0),"",IFERROR(LOOKUP(2,1/((Budgets!$A$2:$A$200=BC$1)*(Budgets!$B$2:$B$200&lt;EDATE($A227,1))),Budgets!$C$2:$C$200),0))</f>
        <v/>
      </c>
      <c r="BD227" s="23">
        <f>IF(OR(BD$1="",$BM227=0),"",IFERROR(LOOKUP(2,1/((Budgets!$A$2:$A$200=BD$1)*(Budgets!$B$2:$B$200&lt;EDATE($A227,1))),Budgets!$C$2:$C$200),0))</f>
        <v/>
      </c>
      <c r="BE227" s="23">
        <f>IF(OR(BE$1="",$BM227=0),"",IFERROR(LOOKUP(2,1/((Budgets!$A$2:$A$200=BE$1)*(Budgets!$B$2:$B$200&lt;EDATE($A227,1))),Budgets!$C$2:$C$200),0))</f>
        <v/>
      </c>
      <c r="BF227" s="23">
        <f>IF(OR(BF$1="",$BM227=0),"",IFERROR(LOOKUP(2,1/((Budgets!$A$2:$A$200=BF$1)*(Budgets!$B$2:$B$200&lt;EDATE($A227,1))),Budgets!$C$2:$C$200),0))</f>
        <v/>
      </c>
      <c r="BG227" s="23">
        <f>IF(OR(BG$1="",$BM227=0),"",IFERROR(LOOKUP(2,1/((Budgets!$A$2:$A$200=BG$1)*(Budgets!$B$2:$B$200&lt;EDATE($A227,1))),Budgets!$C$2:$C$200),0))</f>
        <v/>
      </c>
      <c r="BH227" s="23">
        <f>IF(OR(BH$1="",$BM227=0),"",IFERROR(LOOKUP(2,1/((Budgets!$A$2:$A$200=BH$1)*(Budgets!$B$2:$B$200&lt;EDATE($A227,1))),Budgets!$C$2:$C$200),0))</f>
        <v/>
      </c>
      <c r="BI227" s="23">
        <f>IF(OR(BI$1="",$BM227=0),"",IFERROR(LOOKUP(2,1/((Budgets!$A$2:$A$200=BI$1)*(Budgets!$B$2:$B$200&lt;EDATE($A227,1))),Budgets!$C$2:$C$200),0))</f>
        <v/>
      </c>
      <c r="BJ227" s="23">
        <f>IF(OR(BJ$1="",$BM227=0),"",IFERROR(LOOKUP(2,1/((Budgets!$A$2:$A$200=BJ$1)*(Budgets!$B$2:$B$200&lt;EDATE($A227,1))),Budgets!$C$2:$C$200),0))</f>
        <v/>
      </c>
      <c r="BK227" s="23">
        <f>IF(OR(BK$1="",$BM227=0),"",IFERROR(LOOKUP(2,1/((Budgets!$A$2:$A$200=BK$1)*(Budgets!$B$2:$B$200&lt;EDATE($A227,1))),Budgets!$C$2:$C$200),0))</f>
        <v/>
      </c>
      <c r="BM227" s="21">
        <f>COUNTIFS(Entries!$A$2:$A$5000,"&gt;="&amp;$A227,Entries!$A$2:$A$5000,"&lt;"&amp;EDATE($A227,1))</f>
        <v/>
      </c>
    </row>
    <row r="228">
      <c r="A228" s="22" t="n">
        <v>46327</v>
      </c>
      <c r="B228" s="23">
        <f>IF($BM228=0,NA(),SUMIFS(Entries!$E$2:$E$5000,Entries!$C$2:$C$5000,"Income",Entries!$A$2:$A$5000,"&gt;="&amp;$A228,Entries!$A$2:$A$5000,"&lt;"&amp;EDATE($A228,1)))</f>
        <v/>
      </c>
      <c r="C228" s="23">
        <f>IF($BM228=0,"",SUMIFS(Entries!$E$2:$E$5000,Entries!$C$2:$C$5000,"Actual",Entries!$A$2:$A$5000,"&gt;="&amp;$A228,Entries!$A$2:$A$5000,"&lt;"&amp;EDATE($A228,1)))</f>
        <v/>
      </c>
      <c r="D228" s="23">
        <f>IF($BM228=0,"",SUMIFS(Entries!$E$2:$E$5000,Entries!$C$2:$C$5000,"One-off",Entries!$A$2:$A$5000,"&gt;="&amp;$A228,Entries!$A$2:$A$5000,"&lt;"&amp;EDATE($A228,1)))</f>
        <v/>
      </c>
      <c r="E228" s="23">
        <f>IF($BM228=0,NA(),C228+D228)</f>
        <v/>
      </c>
      <c r="F228" s="23">
        <f>IF($BM228=0,"",SUM(AR228:BK228))</f>
        <v/>
      </c>
      <c r="G228" s="23">
        <f>IF($BM228=0,"",B228-E228)</f>
        <v/>
      </c>
      <c r="H228" s="23">
        <f>IF($BM228=0,"",SUM($G$2:G228))</f>
        <v/>
      </c>
      <c r="I228" s="23">
        <f>IF($BM228=0,"",SUMIFS(Entries!$G$2:$G$5000,Entries!$A$2:$A$5000,"&gt;="&amp;$A228,Entries!$A$2:$A$5000,"&lt;"&amp;EDATE($A228,1)))</f>
        <v/>
      </c>
      <c r="J228" s="23">
        <f>IF($BM228=0,NA(),H228)</f>
        <v/>
      </c>
      <c r="K228" s="23">
        <f>IF($BM228=0,"",SUMIFS(Entries!$E$2:$E$5000,Entries!$C$2:$C$5000,"Income",Entries!$A$2:$A$5000,"&gt;="&amp;EDATE($A228,-11),Entries!$A$2:$A$5000,"&lt;"&amp;EDATE($A228,1))/COUNTIFS($A$2:$A$400,"&gt;="&amp;EDATE($A228,-11),$A$2:$A$400,"&lt;"&amp;EDATE($A228,1),$BM$2:$BM$400,"&gt;0"))</f>
      </c>
      <c r="L228" s="23">
        <f>IF($BM228=0,"",(SUMIFS(Entries!$E$2:$E$5000,Entries!$C$2:$C$5000,"Actual",Entries!$A$2:$A$5000,"&gt;="&amp;EDATE($A228,-11),Entries!$A$2:$A$5000,"&lt;"&amp;EDATE($A228,1))+SUMIFS(Entries!$E$2:$E$5000,Entries!$C$2:$C$5000,"One-off",Entries!$A$2:$A$5000,"&gt;="&amp;EDATE($A228,-11),Entries!$A$2:$A$5000,"&lt;"&amp;EDATE($A228,1)))/COUNTIFS($A$2:$A$400,"&gt;="&amp;EDATE($A228,-11),$A$2:$A$400,"&lt;"&amp;EDATE($A228,1),$BM$2:$BM$400,"&gt;0"))</f>
      </c>
      <c r="M228" s="24">
        <f>IF($BM228=0,NA(),IFERROR((K228-L228)/K228,0))</f>
        <v/>
      </c>
      <c r="N228" s="23">
        <f>IF($BM228=0,NA(),SUMIFS(Entries!$E$2:$E$5000,Entries!$D$2:$D$5000,"Core",Entries!$A$2:$A$5000,"&gt;="&amp;$A228,Entries!$A$2:$A$5000,"&lt;"&amp;EDATE($A228,1)))</f>
        <v/>
      </c>
      <c r="O228" s="23">
        <f>IF($BM228=0,NA(),SUMIFS(Entries!$E$2:$E$5000,Entries!$D$2:$D$5000,"Over &amp; above",Entries!$A$2:$A$5000,"&gt;="&amp;$A228,Entries!$A$2:$A$5000,"&lt;"&amp;EDATE($A228,1)))</f>
        <v/>
      </c>
      <c r="P228" s="23">
        <f>IF($BM228=0,NA(),SUMIFS(Entries!$E$2:$E$5000,Entries!$D$2:$D$5000,"One-off",Entries!$A$2:$A$5000,"&gt;="&amp;$A228,Entries!$A$2:$A$5000,"&lt;"&amp;EDATE($A228,1)))</f>
        <v/>
      </c>
      <c r="Q228" s="23">
        <f>IF($BM228=0,NA(),SUMIFS(Entries!$E$2:$E$5000,Entries!$D$2:$D$5000,"Reimbursable",Entries!$A$2:$A$5000,"&gt;="&amp;$A228,Entries!$A$2:$A$5000,"&lt;"&amp;EDATE($A228,1)))</f>
        <v/>
      </c>
      <c r="R228" s="23">
        <f>IF($BM228=0,NA(),SUMIFS(Entries!$E$2:$E$5000,Entries!$D$2:$D$5000,"Investment",Entries!$A$2:$A$5000,"&gt;="&amp;$A228,Entries!$A$2:$A$5000,"&lt;"&amp;EDATE($A228,1)))</f>
        <v/>
      </c>
      <c r="S228" s="23">
        <f>IF($BM228=0,NA(),N228+O228)</f>
        <v/>
      </c>
      <c r="T228" s="23">
        <f>IF($BM228=0,"",E228-Q228)</f>
        <v/>
      </c>
      <c r="W228" s="23">
        <f>IF(OR(W$1="",$BM228=0),"",SUMIFS(Entries!$E$2:$E$5000,Entries!$C$2:$C$5000,"Actual",Entries!$A$2:$A$5000,"&gt;="&amp;$A228,Entries!$A$2:$A$5000,"&lt;"&amp;EDATE($A228,1),Entries!$B$2:$B$5000,W$1))</f>
        <v/>
      </c>
      <c r="X228" s="23">
        <f>IF(OR(X$1="",$BM228=0),"",SUMIFS(Entries!$E$2:$E$5000,Entries!$C$2:$C$5000,"Actual",Entries!$A$2:$A$5000,"&gt;="&amp;$A228,Entries!$A$2:$A$5000,"&lt;"&amp;EDATE($A228,1),Entries!$B$2:$B$5000,X$1))</f>
        <v/>
      </c>
      <c r="Y228" s="23">
        <f>IF(OR(Y$1="",$BM228=0),"",SUMIFS(Entries!$E$2:$E$5000,Entries!$C$2:$C$5000,"Actual",Entries!$A$2:$A$5000,"&gt;="&amp;$A228,Entries!$A$2:$A$5000,"&lt;"&amp;EDATE($A228,1),Entries!$B$2:$B$5000,Y$1))</f>
        <v/>
      </c>
      <c r="Z228" s="23">
        <f>IF(OR(Z$1="",$BM228=0),"",SUMIFS(Entries!$E$2:$E$5000,Entries!$C$2:$C$5000,"Actual",Entries!$A$2:$A$5000,"&gt;="&amp;$A228,Entries!$A$2:$A$5000,"&lt;"&amp;EDATE($A228,1),Entries!$B$2:$B$5000,Z$1))</f>
        <v/>
      </c>
      <c r="AA228" s="23">
        <f>IF(OR(AA$1="",$BM228=0),"",SUMIFS(Entries!$E$2:$E$5000,Entries!$C$2:$C$5000,"Actual",Entries!$A$2:$A$5000,"&gt;="&amp;$A228,Entries!$A$2:$A$5000,"&lt;"&amp;EDATE($A228,1),Entries!$B$2:$B$5000,AA$1))</f>
        <v/>
      </c>
      <c r="AB228" s="23">
        <f>IF(OR(AB$1="",$BM228=0),"",SUMIFS(Entries!$E$2:$E$5000,Entries!$C$2:$C$5000,"Actual",Entries!$A$2:$A$5000,"&gt;="&amp;$A228,Entries!$A$2:$A$5000,"&lt;"&amp;EDATE($A228,1),Entries!$B$2:$B$5000,AB$1))</f>
        <v/>
      </c>
      <c r="AC228" s="23">
        <f>IF(OR(AC$1="",$BM228=0),"",SUMIFS(Entries!$E$2:$E$5000,Entries!$C$2:$C$5000,"Actual",Entries!$A$2:$A$5000,"&gt;="&amp;$A228,Entries!$A$2:$A$5000,"&lt;"&amp;EDATE($A228,1),Entries!$B$2:$B$5000,AC$1))</f>
        <v/>
      </c>
      <c r="AD228" s="23">
        <f>IF(OR(AD$1="",$BM228=0),"",SUMIFS(Entries!$E$2:$E$5000,Entries!$C$2:$C$5000,"Actual",Entries!$A$2:$A$5000,"&gt;="&amp;$A228,Entries!$A$2:$A$5000,"&lt;"&amp;EDATE($A228,1),Entries!$B$2:$B$5000,AD$1))</f>
        <v/>
      </c>
      <c r="AE228" s="23">
        <f>IF(OR(AE$1="",$BM228=0),"",SUMIFS(Entries!$E$2:$E$5000,Entries!$C$2:$C$5000,"Actual",Entries!$A$2:$A$5000,"&gt;="&amp;$A228,Entries!$A$2:$A$5000,"&lt;"&amp;EDATE($A228,1),Entries!$B$2:$B$5000,AE$1))</f>
        <v/>
      </c>
      <c r="AF228" s="23">
        <f>IF(OR(AF$1="",$BM228=0),"",SUMIFS(Entries!$E$2:$E$5000,Entries!$C$2:$C$5000,"Actual",Entries!$A$2:$A$5000,"&gt;="&amp;$A228,Entries!$A$2:$A$5000,"&lt;"&amp;EDATE($A228,1),Entries!$B$2:$B$5000,AF$1))</f>
        <v/>
      </c>
      <c r="AG228" s="23">
        <f>IF(OR(AG$1="",$BM228=0),"",SUMIFS(Entries!$E$2:$E$5000,Entries!$C$2:$C$5000,"Actual",Entries!$A$2:$A$5000,"&gt;="&amp;$A228,Entries!$A$2:$A$5000,"&lt;"&amp;EDATE($A228,1),Entries!$B$2:$B$5000,AG$1))</f>
        <v/>
      </c>
      <c r="AH228" s="23">
        <f>IF(OR(AH$1="",$BM228=0),"",SUMIFS(Entries!$E$2:$E$5000,Entries!$C$2:$C$5000,"Actual",Entries!$A$2:$A$5000,"&gt;="&amp;$A228,Entries!$A$2:$A$5000,"&lt;"&amp;EDATE($A228,1),Entries!$B$2:$B$5000,AH$1))</f>
        <v/>
      </c>
      <c r="AI228" s="23">
        <f>IF(OR(AI$1="",$BM228=0),"",SUMIFS(Entries!$E$2:$E$5000,Entries!$C$2:$C$5000,"Actual",Entries!$A$2:$A$5000,"&gt;="&amp;$A228,Entries!$A$2:$A$5000,"&lt;"&amp;EDATE($A228,1),Entries!$B$2:$B$5000,AI$1))</f>
        <v/>
      </c>
      <c r="AJ228" s="23">
        <f>IF(OR(AJ$1="",$BM228=0),"",SUMIFS(Entries!$E$2:$E$5000,Entries!$C$2:$C$5000,"Actual",Entries!$A$2:$A$5000,"&gt;="&amp;$A228,Entries!$A$2:$A$5000,"&lt;"&amp;EDATE($A228,1),Entries!$B$2:$B$5000,AJ$1))</f>
        <v/>
      </c>
      <c r="AK228" s="23">
        <f>IF(OR(AK$1="",$BM228=0),"",SUMIFS(Entries!$E$2:$E$5000,Entries!$C$2:$C$5000,"Actual",Entries!$A$2:$A$5000,"&gt;="&amp;$A228,Entries!$A$2:$A$5000,"&lt;"&amp;EDATE($A228,1),Entries!$B$2:$B$5000,AK$1))</f>
        <v/>
      </c>
      <c r="AL228" s="23">
        <f>IF(OR(AL$1="",$BM228=0),"",SUMIFS(Entries!$E$2:$E$5000,Entries!$C$2:$C$5000,"Actual",Entries!$A$2:$A$5000,"&gt;="&amp;$A228,Entries!$A$2:$A$5000,"&lt;"&amp;EDATE($A228,1),Entries!$B$2:$B$5000,AL$1))</f>
        <v/>
      </c>
      <c r="AM228" s="23">
        <f>IF(OR(AM$1="",$BM228=0),"",SUMIFS(Entries!$E$2:$E$5000,Entries!$C$2:$C$5000,"Actual",Entries!$A$2:$A$5000,"&gt;="&amp;$A228,Entries!$A$2:$A$5000,"&lt;"&amp;EDATE($A228,1),Entries!$B$2:$B$5000,AM$1))</f>
        <v/>
      </c>
      <c r="AN228" s="23">
        <f>IF(OR(AN$1="",$BM228=0),"",SUMIFS(Entries!$E$2:$E$5000,Entries!$C$2:$C$5000,"Actual",Entries!$A$2:$A$5000,"&gt;="&amp;$A228,Entries!$A$2:$A$5000,"&lt;"&amp;EDATE($A228,1),Entries!$B$2:$B$5000,AN$1))</f>
        <v/>
      </c>
      <c r="AO228" s="23">
        <f>IF(OR(AO$1="",$BM228=0),"",SUMIFS(Entries!$E$2:$E$5000,Entries!$C$2:$C$5000,"Actual",Entries!$A$2:$A$5000,"&gt;="&amp;$A228,Entries!$A$2:$A$5000,"&lt;"&amp;EDATE($A228,1),Entries!$B$2:$B$5000,AO$1))</f>
        <v/>
      </c>
      <c r="AP228" s="23">
        <f>IF(OR(AP$1="",$BM228=0),"",SUMIFS(Entries!$E$2:$E$5000,Entries!$C$2:$C$5000,"Actual",Entries!$A$2:$A$5000,"&gt;="&amp;$A228,Entries!$A$2:$A$5000,"&lt;"&amp;EDATE($A228,1),Entries!$B$2:$B$5000,AP$1))</f>
        <v/>
      </c>
      <c r="AR228" s="23">
        <f>IF(OR(AR$1="",$BM228=0),"",IFERROR(LOOKUP(2,1/((Budgets!$A$2:$A$200=AR$1)*(Budgets!$B$2:$B$200&lt;EDATE($A228,1))),Budgets!$C$2:$C$200),0))</f>
        <v/>
      </c>
      <c r="AS228" s="23">
        <f>IF(OR(AS$1="",$BM228=0),"",IFERROR(LOOKUP(2,1/((Budgets!$A$2:$A$200=AS$1)*(Budgets!$B$2:$B$200&lt;EDATE($A228,1))),Budgets!$C$2:$C$200),0))</f>
        <v/>
      </c>
      <c r="AT228" s="23">
        <f>IF(OR(AT$1="",$BM228=0),"",IFERROR(LOOKUP(2,1/((Budgets!$A$2:$A$200=AT$1)*(Budgets!$B$2:$B$200&lt;EDATE($A228,1))),Budgets!$C$2:$C$200),0))</f>
        <v/>
      </c>
      <c r="AU228" s="23">
        <f>IF(OR(AU$1="",$BM228=0),"",IFERROR(LOOKUP(2,1/((Budgets!$A$2:$A$200=AU$1)*(Budgets!$B$2:$B$200&lt;EDATE($A228,1))),Budgets!$C$2:$C$200),0))</f>
        <v/>
      </c>
      <c r="AV228" s="23">
        <f>IF(OR(AV$1="",$BM228=0),"",IFERROR(LOOKUP(2,1/((Budgets!$A$2:$A$200=AV$1)*(Budgets!$B$2:$B$200&lt;EDATE($A228,1))),Budgets!$C$2:$C$200),0))</f>
        <v/>
      </c>
      <c r="AW228" s="23">
        <f>IF(OR(AW$1="",$BM228=0),"",IFERROR(LOOKUP(2,1/((Budgets!$A$2:$A$200=AW$1)*(Budgets!$B$2:$B$200&lt;EDATE($A228,1))),Budgets!$C$2:$C$200),0))</f>
        <v/>
      </c>
      <c r="AX228" s="23">
        <f>IF(OR(AX$1="",$BM228=0),"",IFERROR(LOOKUP(2,1/((Budgets!$A$2:$A$200=AX$1)*(Budgets!$B$2:$B$200&lt;EDATE($A228,1))),Budgets!$C$2:$C$200),0))</f>
        <v/>
      </c>
      <c r="AY228" s="23">
        <f>IF(OR(AY$1="",$BM228=0),"",IFERROR(LOOKUP(2,1/((Budgets!$A$2:$A$200=AY$1)*(Budgets!$B$2:$B$200&lt;EDATE($A228,1))),Budgets!$C$2:$C$200),0))</f>
        <v/>
      </c>
      <c r="AZ228" s="23">
        <f>IF(OR(AZ$1="",$BM228=0),"",IFERROR(LOOKUP(2,1/((Budgets!$A$2:$A$200=AZ$1)*(Budgets!$B$2:$B$200&lt;EDATE($A228,1))),Budgets!$C$2:$C$200),0))</f>
        <v/>
      </c>
      <c r="BA228" s="23">
        <f>IF(OR(BA$1="",$BM228=0),"",IFERROR(LOOKUP(2,1/((Budgets!$A$2:$A$200=BA$1)*(Budgets!$B$2:$B$200&lt;EDATE($A228,1))),Budgets!$C$2:$C$200),0))</f>
        <v/>
      </c>
      <c r="BB228" s="23">
        <f>IF(OR(BB$1="",$BM228=0),"",IFERROR(LOOKUP(2,1/((Budgets!$A$2:$A$200=BB$1)*(Budgets!$B$2:$B$200&lt;EDATE($A228,1))),Budgets!$C$2:$C$200),0))</f>
        <v/>
      </c>
      <c r="BC228" s="23">
        <f>IF(OR(BC$1="",$BM228=0),"",IFERROR(LOOKUP(2,1/((Budgets!$A$2:$A$200=BC$1)*(Budgets!$B$2:$B$200&lt;EDATE($A228,1))),Budgets!$C$2:$C$200),0))</f>
        <v/>
      </c>
      <c r="BD228" s="23">
        <f>IF(OR(BD$1="",$BM228=0),"",IFERROR(LOOKUP(2,1/((Budgets!$A$2:$A$200=BD$1)*(Budgets!$B$2:$B$200&lt;EDATE($A228,1))),Budgets!$C$2:$C$200),0))</f>
        <v/>
      </c>
      <c r="BE228" s="23">
        <f>IF(OR(BE$1="",$BM228=0),"",IFERROR(LOOKUP(2,1/((Budgets!$A$2:$A$200=BE$1)*(Budgets!$B$2:$B$200&lt;EDATE($A228,1))),Budgets!$C$2:$C$200),0))</f>
        <v/>
      </c>
      <c r="BF228" s="23">
        <f>IF(OR(BF$1="",$BM228=0),"",IFERROR(LOOKUP(2,1/((Budgets!$A$2:$A$200=BF$1)*(Budgets!$B$2:$B$200&lt;EDATE($A228,1))),Budgets!$C$2:$C$200),0))</f>
        <v/>
      </c>
      <c r="BG228" s="23">
        <f>IF(OR(BG$1="",$BM228=0),"",IFERROR(LOOKUP(2,1/((Budgets!$A$2:$A$200=BG$1)*(Budgets!$B$2:$B$200&lt;EDATE($A228,1))),Budgets!$C$2:$C$200),0))</f>
        <v/>
      </c>
      <c r="BH228" s="23">
        <f>IF(OR(BH$1="",$BM228=0),"",IFERROR(LOOKUP(2,1/((Budgets!$A$2:$A$200=BH$1)*(Budgets!$B$2:$B$200&lt;EDATE($A228,1))),Budgets!$C$2:$C$200),0))</f>
        <v/>
      </c>
      <c r="BI228" s="23">
        <f>IF(OR(BI$1="",$BM228=0),"",IFERROR(LOOKUP(2,1/((Budgets!$A$2:$A$200=BI$1)*(Budgets!$B$2:$B$200&lt;EDATE($A228,1))),Budgets!$C$2:$C$200),0))</f>
        <v/>
      </c>
      <c r="BJ228" s="23">
        <f>IF(OR(BJ$1="",$BM228=0),"",IFERROR(LOOKUP(2,1/((Budgets!$A$2:$A$200=BJ$1)*(Budgets!$B$2:$B$200&lt;EDATE($A228,1))),Budgets!$C$2:$C$200),0))</f>
        <v/>
      </c>
      <c r="BK228" s="23">
        <f>IF(OR(BK$1="",$BM228=0),"",IFERROR(LOOKUP(2,1/((Budgets!$A$2:$A$200=BK$1)*(Budgets!$B$2:$B$200&lt;EDATE($A228,1))),Budgets!$C$2:$C$200),0))</f>
        <v/>
      </c>
      <c r="BM228" s="21">
        <f>COUNTIFS(Entries!$A$2:$A$5000,"&gt;="&amp;$A228,Entries!$A$2:$A$5000,"&lt;"&amp;EDATE($A228,1))</f>
        <v/>
      </c>
    </row>
    <row r="229">
      <c r="A229" s="22" t="n">
        <v>46357</v>
      </c>
      <c r="B229" s="23">
        <f>IF($BM229=0,NA(),SUMIFS(Entries!$E$2:$E$5000,Entries!$C$2:$C$5000,"Income",Entries!$A$2:$A$5000,"&gt;="&amp;$A229,Entries!$A$2:$A$5000,"&lt;"&amp;EDATE($A229,1)))</f>
        <v/>
      </c>
      <c r="C229" s="23">
        <f>IF($BM229=0,"",SUMIFS(Entries!$E$2:$E$5000,Entries!$C$2:$C$5000,"Actual",Entries!$A$2:$A$5000,"&gt;="&amp;$A229,Entries!$A$2:$A$5000,"&lt;"&amp;EDATE($A229,1)))</f>
        <v/>
      </c>
      <c r="D229" s="23">
        <f>IF($BM229=0,"",SUMIFS(Entries!$E$2:$E$5000,Entries!$C$2:$C$5000,"One-off",Entries!$A$2:$A$5000,"&gt;="&amp;$A229,Entries!$A$2:$A$5000,"&lt;"&amp;EDATE($A229,1)))</f>
        <v/>
      </c>
      <c r="E229" s="23">
        <f>IF($BM229=0,NA(),C229+D229)</f>
        <v/>
      </c>
      <c r="F229" s="23">
        <f>IF($BM229=0,"",SUM(AR229:BK229))</f>
        <v/>
      </c>
      <c r="G229" s="23">
        <f>IF($BM229=0,"",B229-E229)</f>
        <v/>
      </c>
      <c r="H229" s="23">
        <f>IF($BM229=0,"",SUM($G$2:G229))</f>
        <v/>
      </c>
      <c r="I229" s="23">
        <f>IF($BM229=0,"",SUMIFS(Entries!$G$2:$G$5000,Entries!$A$2:$A$5000,"&gt;="&amp;$A229,Entries!$A$2:$A$5000,"&lt;"&amp;EDATE($A229,1)))</f>
        <v/>
      </c>
      <c r="J229" s="23">
        <f>IF($BM229=0,NA(),H229)</f>
        <v/>
      </c>
      <c r="K229" s="23">
        <f>IF($BM229=0,"",SUMIFS(Entries!$E$2:$E$5000,Entries!$C$2:$C$5000,"Income",Entries!$A$2:$A$5000,"&gt;="&amp;EDATE($A229,-11),Entries!$A$2:$A$5000,"&lt;"&amp;EDATE($A229,1))/COUNTIFS($A$2:$A$400,"&gt;="&amp;EDATE($A229,-11),$A$2:$A$400,"&lt;"&amp;EDATE($A229,1),$BM$2:$BM$400,"&gt;0"))</f>
      </c>
      <c r="L229" s="23">
        <f>IF($BM229=0,"",(SUMIFS(Entries!$E$2:$E$5000,Entries!$C$2:$C$5000,"Actual",Entries!$A$2:$A$5000,"&gt;="&amp;EDATE($A229,-11),Entries!$A$2:$A$5000,"&lt;"&amp;EDATE($A229,1))+SUMIFS(Entries!$E$2:$E$5000,Entries!$C$2:$C$5000,"One-off",Entries!$A$2:$A$5000,"&gt;="&amp;EDATE($A229,-11),Entries!$A$2:$A$5000,"&lt;"&amp;EDATE($A229,1)))/COUNTIFS($A$2:$A$400,"&gt;="&amp;EDATE($A229,-11),$A$2:$A$400,"&lt;"&amp;EDATE($A229,1),$BM$2:$BM$400,"&gt;0"))</f>
      </c>
      <c r="M229" s="24">
        <f>IF($BM229=0,NA(),IFERROR((K229-L229)/K229,0))</f>
        <v/>
      </c>
      <c r="N229" s="23">
        <f>IF($BM229=0,NA(),SUMIFS(Entries!$E$2:$E$5000,Entries!$D$2:$D$5000,"Core",Entries!$A$2:$A$5000,"&gt;="&amp;$A229,Entries!$A$2:$A$5000,"&lt;"&amp;EDATE($A229,1)))</f>
        <v/>
      </c>
      <c r="O229" s="23">
        <f>IF($BM229=0,NA(),SUMIFS(Entries!$E$2:$E$5000,Entries!$D$2:$D$5000,"Over &amp; above",Entries!$A$2:$A$5000,"&gt;="&amp;$A229,Entries!$A$2:$A$5000,"&lt;"&amp;EDATE($A229,1)))</f>
        <v/>
      </c>
      <c r="P229" s="23">
        <f>IF($BM229=0,NA(),SUMIFS(Entries!$E$2:$E$5000,Entries!$D$2:$D$5000,"One-off",Entries!$A$2:$A$5000,"&gt;="&amp;$A229,Entries!$A$2:$A$5000,"&lt;"&amp;EDATE($A229,1)))</f>
        <v/>
      </c>
      <c r="Q229" s="23">
        <f>IF($BM229=0,NA(),SUMIFS(Entries!$E$2:$E$5000,Entries!$D$2:$D$5000,"Reimbursable",Entries!$A$2:$A$5000,"&gt;="&amp;$A229,Entries!$A$2:$A$5000,"&lt;"&amp;EDATE($A229,1)))</f>
        <v/>
      </c>
      <c r="R229" s="23">
        <f>IF($BM229=0,NA(),SUMIFS(Entries!$E$2:$E$5000,Entries!$D$2:$D$5000,"Investment",Entries!$A$2:$A$5000,"&gt;="&amp;$A229,Entries!$A$2:$A$5000,"&lt;"&amp;EDATE($A229,1)))</f>
        <v/>
      </c>
      <c r="S229" s="23">
        <f>IF($BM229=0,NA(),N229+O229)</f>
        <v/>
      </c>
      <c r="T229" s="23">
        <f>IF($BM229=0,"",E229-Q229)</f>
        <v/>
      </c>
      <c r="W229" s="23">
        <f>IF(OR(W$1="",$BM229=0),"",SUMIFS(Entries!$E$2:$E$5000,Entries!$C$2:$C$5000,"Actual",Entries!$A$2:$A$5000,"&gt;="&amp;$A229,Entries!$A$2:$A$5000,"&lt;"&amp;EDATE($A229,1),Entries!$B$2:$B$5000,W$1))</f>
        <v/>
      </c>
      <c r="X229" s="23">
        <f>IF(OR(X$1="",$BM229=0),"",SUMIFS(Entries!$E$2:$E$5000,Entries!$C$2:$C$5000,"Actual",Entries!$A$2:$A$5000,"&gt;="&amp;$A229,Entries!$A$2:$A$5000,"&lt;"&amp;EDATE($A229,1),Entries!$B$2:$B$5000,X$1))</f>
        <v/>
      </c>
      <c r="Y229" s="23">
        <f>IF(OR(Y$1="",$BM229=0),"",SUMIFS(Entries!$E$2:$E$5000,Entries!$C$2:$C$5000,"Actual",Entries!$A$2:$A$5000,"&gt;="&amp;$A229,Entries!$A$2:$A$5000,"&lt;"&amp;EDATE($A229,1),Entries!$B$2:$B$5000,Y$1))</f>
        <v/>
      </c>
      <c r="Z229" s="23">
        <f>IF(OR(Z$1="",$BM229=0),"",SUMIFS(Entries!$E$2:$E$5000,Entries!$C$2:$C$5000,"Actual",Entries!$A$2:$A$5000,"&gt;="&amp;$A229,Entries!$A$2:$A$5000,"&lt;"&amp;EDATE($A229,1),Entries!$B$2:$B$5000,Z$1))</f>
        <v/>
      </c>
      <c r="AA229" s="23">
        <f>IF(OR(AA$1="",$BM229=0),"",SUMIFS(Entries!$E$2:$E$5000,Entries!$C$2:$C$5000,"Actual",Entries!$A$2:$A$5000,"&gt;="&amp;$A229,Entries!$A$2:$A$5000,"&lt;"&amp;EDATE($A229,1),Entries!$B$2:$B$5000,AA$1))</f>
        <v/>
      </c>
      <c r="AB229" s="23">
        <f>IF(OR(AB$1="",$BM229=0),"",SUMIFS(Entries!$E$2:$E$5000,Entries!$C$2:$C$5000,"Actual",Entries!$A$2:$A$5000,"&gt;="&amp;$A229,Entries!$A$2:$A$5000,"&lt;"&amp;EDATE($A229,1),Entries!$B$2:$B$5000,AB$1))</f>
        <v/>
      </c>
      <c r="AC229" s="23">
        <f>IF(OR(AC$1="",$BM229=0),"",SUMIFS(Entries!$E$2:$E$5000,Entries!$C$2:$C$5000,"Actual",Entries!$A$2:$A$5000,"&gt;="&amp;$A229,Entries!$A$2:$A$5000,"&lt;"&amp;EDATE($A229,1),Entries!$B$2:$B$5000,AC$1))</f>
        <v/>
      </c>
      <c r="AD229" s="23">
        <f>IF(OR(AD$1="",$BM229=0),"",SUMIFS(Entries!$E$2:$E$5000,Entries!$C$2:$C$5000,"Actual",Entries!$A$2:$A$5000,"&gt;="&amp;$A229,Entries!$A$2:$A$5000,"&lt;"&amp;EDATE($A229,1),Entries!$B$2:$B$5000,AD$1))</f>
        <v/>
      </c>
      <c r="AE229" s="23">
        <f>IF(OR(AE$1="",$BM229=0),"",SUMIFS(Entries!$E$2:$E$5000,Entries!$C$2:$C$5000,"Actual",Entries!$A$2:$A$5000,"&gt;="&amp;$A229,Entries!$A$2:$A$5000,"&lt;"&amp;EDATE($A229,1),Entries!$B$2:$B$5000,AE$1))</f>
        <v/>
      </c>
      <c r="AF229" s="23">
        <f>IF(OR(AF$1="",$BM229=0),"",SUMIFS(Entries!$E$2:$E$5000,Entries!$C$2:$C$5000,"Actual",Entries!$A$2:$A$5000,"&gt;="&amp;$A229,Entries!$A$2:$A$5000,"&lt;"&amp;EDATE($A229,1),Entries!$B$2:$B$5000,AF$1))</f>
        <v/>
      </c>
      <c r="AG229" s="23">
        <f>IF(OR(AG$1="",$BM229=0),"",SUMIFS(Entries!$E$2:$E$5000,Entries!$C$2:$C$5000,"Actual",Entries!$A$2:$A$5000,"&gt;="&amp;$A229,Entries!$A$2:$A$5000,"&lt;"&amp;EDATE($A229,1),Entries!$B$2:$B$5000,AG$1))</f>
        <v/>
      </c>
      <c r="AH229" s="23">
        <f>IF(OR(AH$1="",$BM229=0),"",SUMIFS(Entries!$E$2:$E$5000,Entries!$C$2:$C$5000,"Actual",Entries!$A$2:$A$5000,"&gt;="&amp;$A229,Entries!$A$2:$A$5000,"&lt;"&amp;EDATE($A229,1),Entries!$B$2:$B$5000,AH$1))</f>
        <v/>
      </c>
      <c r="AI229" s="23">
        <f>IF(OR(AI$1="",$BM229=0),"",SUMIFS(Entries!$E$2:$E$5000,Entries!$C$2:$C$5000,"Actual",Entries!$A$2:$A$5000,"&gt;="&amp;$A229,Entries!$A$2:$A$5000,"&lt;"&amp;EDATE($A229,1),Entries!$B$2:$B$5000,AI$1))</f>
        <v/>
      </c>
      <c r="AJ229" s="23">
        <f>IF(OR(AJ$1="",$BM229=0),"",SUMIFS(Entries!$E$2:$E$5000,Entries!$C$2:$C$5000,"Actual",Entries!$A$2:$A$5000,"&gt;="&amp;$A229,Entries!$A$2:$A$5000,"&lt;"&amp;EDATE($A229,1),Entries!$B$2:$B$5000,AJ$1))</f>
        <v/>
      </c>
      <c r="AK229" s="23">
        <f>IF(OR(AK$1="",$BM229=0),"",SUMIFS(Entries!$E$2:$E$5000,Entries!$C$2:$C$5000,"Actual",Entries!$A$2:$A$5000,"&gt;="&amp;$A229,Entries!$A$2:$A$5000,"&lt;"&amp;EDATE($A229,1),Entries!$B$2:$B$5000,AK$1))</f>
        <v/>
      </c>
      <c r="AL229" s="23">
        <f>IF(OR(AL$1="",$BM229=0),"",SUMIFS(Entries!$E$2:$E$5000,Entries!$C$2:$C$5000,"Actual",Entries!$A$2:$A$5000,"&gt;="&amp;$A229,Entries!$A$2:$A$5000,"&lt;"&amp;EDATE($A229,1),Entries!$B$2:$B$5000,AL$1))</f>
        <v/>
      </c>
      <c r="AM229" s="23">
        <f>IF(OR(AM$1="",$BM229=0),"",SUMIFS(Entries!$E$2:$E$5000,Entries!$C$2:$C$5000,"Actual",Entries!$A$2:$A$5000,"&gt;="&amp;$A229,Entries!$A$2:$A$5000,"&lt;"&amp;EDATE($A229,1),Entries!$B$2:$B$5000,AM$1))</f>
        <v/>
      </c>
      <c r="AN229" s="23">
        <f>IF(OR(AN$1="",$BM229=0),"",SUMIFS(Entries!$E$2:$E$5000,Entries!$C$2:$C$5000,"Actual",Entries!$A$2:$A$5000,"&gt;="&amp;$A229,Entries!$A$2:$A$5000,"&lt;"&amp;EDATE($A229,1),Entries!$B$2:$B$5000,AN$1))</f>
        <v/>
      </c>
      <c r="AO229" s="23">
        <f>IF(OR(AO$1="",$BM229=0),"",SUMIFS(Entries!$E$2:$E$5000,Entries!$C$2:$C$5000,"Actual",Entries!$A$2:$A$5000,"&gt;="&amp;$A229,Entries!$A$2:$A$5000,"&lt;"&amp;EDATE($A229,1),Entries!$B$2:$B$5000,AO$1))</f>
        <v/>
      </c>
      <c r="AP229" s="23">
        <f>IF(OR(AP$1="",$BM229=0),"",SUMIFS(Entries!$E$2:$E$5000,Entries!$C$2:$C$5000,"Actual",Entries!$A$2:$A$5000,"&gt;="&amp;$A229,Entries!$A$2:$A$5000,"&lt;"&amp;EDATE($A229,1),Entries!$B$2:$B$5000,AP$1))</f>
        <v/>
      </c>
      <c r="AR229" s="23">
        <f>IF(OR(AR$1="",$BM229=0),"",IFERROR(LOOKUP(2,1/((Budgets!$A$2:$A$200=AR$1)*(Budgets!$B$2:$B$200&lt;EDATE($A229,1))),Budgets!$C$2:$C$200),0))</f>
        <v/>
      </c>
      <c r="AS229" s="23">
        <f>IF(OR(AS$1="",$BM229=0),"",IFERROR(LOOKUP(2,1/((Budgets!$A$2:$A$200=AS$1)*(Budgets!$B$2:$B$200&lt;EDATE($A229,1))),Budgets!$C$2:$C$200),0))</f>
        <v/>
      </c>
      <c r="AT229" s="23">
        <f>IF(OR(AT$1="",$BM229=0),"",IFERROR(LOOKUP(2,1/((Budgets!$A$2:$A$200=AT$1)*(Budgets!$B$2:$B$200&lt;EDATE($A229,1))),Budgets!$C$2:$C$200),0))</f>
        <v/>
      </c>
      <c r="AU229" s="23">
        <f>IF(OR(AU$1="",$BM229=0),"",IFERROR(LOOKUP(2,1/((Budgets!$A$2:$A$200=AU$1)*(Budgets!$B$2:$B$200&lt;EDATE($A229,1))),Budgets!$C$2:$C$200),0))</f>
        <v/>
      </c>
      <c r="AV229" s="23">
        <f>IF(OR(AV$1="",$BM229=0),"",IFERROR(LOOKUP(2,1/((Budgets!$A$2:$A$200=AV$1)*(Budgets!$B$2:$B$200&lt;EDATE($A229,1))),Budgets!$C$2:$C$200),0))</f>
        <v/>
      </c>
      <c r="AW229" s="23">
        <f>IF(OR(AW$1="",$BM229=0),"",IFERROR(LOOKUP(2,1/((Budgets!$A$2:$A$200=AW$1)*(Budgets!$B$2:$B$200&lt;EDATE($A229,1))),Budgets!$C$2:$C$200),0))</f>
        <v/>
      </c>
      <c r="AX229" s="23">
        <f>IF(OR(AX$1="",$BM229=0),"",IFERROR(LOOKUP(2,1/((Budgets!$A$2:$A$200=AX$1)*(Budgets!$B$2:$B$200&lt;EDATE($A229,1))),Budgets!$C$2:$C$200),0))</f>
        <v/>
      </c>
      <c r="AY229" s="23">
        <f>IF(OR(AY$1="",$BM229=0),"",IFERROR(LOOKUP(2,1/((Budgets!$A$2:$A$200=AY$1)*(Budgets!$B$2:$B$200&lt;EDATE($A229,1))),Budgets!$C$2:$C$200),0))</f>
        <v/>
      </c>
      <c r="AZ229" s="23">
        <f>IF(OR(AZ$1="",$BM229=0),"",IFERROR(LOOKUP(2,1/((Budgets!$A$2:$A$200=AZ$1)*(Budgets!$B$2:$B$200&lt;EDATE($A229,1))),Budgets!$C$2:$C$200),0))</f>
        <v/>
      </c>
      <c r="BA229" s="23">
        <f>IF(OR(BA$1="",$BM229=0),"",IFERROR(LOOKUP(2,1/((Budgets!$A$2:$A$200=BA$1)*(Budgets!$B$2:$B$200&lt;EDATE($A229,1))),Budgets!$C$2:$C$200),0))</f>
        <v/>
      </c>
      <c r="BB229" s="23">
        <f>IF(OR(BB$1="",$BM229=0),"",IFERROR(LOOKUP(2,1/((Budgets!$A$2:$A$200=BB$1)*(Budgets!$B$2:$B$200&lt;EDATE($A229,1))),Budgets!$C$2:$C$200),0))</f>
        <v/>
      </c>
      <c r="BC229" s="23">
        <f>IF(OR(BC$1="",$BM229=0),"",IFERROR(LOOKUP(2,1/((Budgets!$A$2:$A$200=BC$1)*(Budgets!$B$2:$B$200&lt;EDATE($A229,1))),Budgets!$C$2:$C$200),0))</f>
        <v/>
      </c>
      <c r="BD229" s="23">
        <f>IF(OR(BD$1="",$BM229=0),"",IFERROR(LOOKUP(2,1/((Budgets!$A$2:$A$200=BD$1)*(Budgets!$B$2:$B$200&lt;EDATE($A229,1))),Budgets!$C$2:$C$200),0))</f>
        <v/>
      </c>
      <c r="BE229" s="23">
        <f>IF(OR(BE$1="",$BM229=0),"",IFERROR(LOOKUP(2,1/((Budgets!$A$2:$A$200=BE$1)*(Budgets!$B$2:$B$200&lt;EDATE($A229,1))),Budgets!$C$2:$C$200),0))</f>
        <v/>
      </c>
      <c r="BF229" s="23">
        <f>IF(OR(BF$1="",$BM229=0),"",IFERROR(LOOKUP(2,1/((Budgets!$A$2:$A$200=BF$1)*(Budgets!$B$2:$B$200&lt;EDATE($A229,1))),Budgets!$C$2:$C$200),0))</f>
        <v/>
      </c>
      <c r="BG229" s="23">
        <f>IF(OR(BG$1="",$BM229=0),"",IFERROR(LOOKUP(2,1/((Budgets!$A$2:$A$200=BG$1)*(Budgets!$B$2:$B$200&lt;EDATE($A229,1))),Budgets!$C$2:$C$200),0))</f>
        <v/>
      </c>
      <c r="BH229" s="23">
        <f>IF(OR(BH$1="",$BM229=0),"",IFERROR(LOOKUP(2,1/((Budgets!$A$2:$A$200=BH$1)*(Budgets!$B$2:$B$200&lt;EDATE($A229,1))),Budgets!$C$2:$C$200),0))</f>
        <v/>
      </c>
      <c r="BI229" s="23">
        <f>IF(OR(BI$1="",$BM229=0),"",IFERROR(LOOKUP(2,1/((Budgets!$A$2:$A$200=BI$1)*(Budgets!$B$2:$B$200&lt;EDATE($A229,1))),Budgets!$C$2:$C$200),0))</f>
        <v/>
      </c>
      <c r="BJ229" s="23">
        <f>IF(OR(BJ$1="",$BM229=0),"",IFERROR(LOOKUP(2,1/((Budgets!$A$2:$A$200=BJ$1)*(Budgets!$B$2:$B$200&lt;EDATE($A229,1))),Budgets!$C$2:$C$200),0))</f>
        <v/>
      </c>
      <c r="BK229" s="23">
        <f>IF(OR(BK$1="",$BM229=0),"",IFERROR(LOOKUP(2,1/((Budgets!$A$2:$A$200=BK$1)*(Budgets!$B$2:$B$200&lt;EDATE($A229,1))),Budgets!$C$2:$C$200),0))</f>
        <v/>
      </c>
      <c r="BM229" s="21">
        <f>COUNTIFS(Entries!$A$2:$A$5000,"&gt;="&amp;$A229,Entries!$A$2:$A$5000,"&lt;"&amp;EDATE($A229,1))</f>
        <v/>
      </c>
    </row>
    <row r="230">
      <c r="A230" s="22" t="n">
        <v>46388</v>
      </c>
      <c r="B230" s="23">
        <f>IF($BM230=0,NA(),SUMIFS(Entries!$E$2:$E$5000,Entries!$C$2:$C$5000,"Income",Entries!$A$2:$A$5000,"&gt;="&amp;$A230,Entries!$A$2:$A$5000,"&lt;"&amp;EDATE($A230,1)))</f>
        <v/>
      </c>
      <c r="C230" s="23">
        <f>IF($BM230=0,"",SUMIFS(Entries!$E$2:$E$5000,Entries!$C$2:$C$5000,"Actual",Entries!$A$2:$A$5000,"&gt;="&amp;$A230,Entries!$A$2:$A$5000,"&lt;"&amp;EDATE($A230,1)))</f>
        <v/>
      </c>
      <c r="D230" s="23">
        <f>IF($BM230=0,"",SUMIFS(Entries!$E$2:$E$5000,Entries!$C$2:$C$5000,"One-off",Entries!$A$2:$A$5000,"&gt;="&amp;$A230,Entries!$A$2:$A$5000,"&lt;"&amp;EDATE($A230,1)))</f>
        <v/>
      </c>
      <c r="E230" s="23">
        <f>IF($BM230=0,NA(),C230+D230)</f>
        <v/>
      </c>
      <c r="F230" s="23">
        <f>IF($BM230=0,"",SUM(AR230:BK230))</f>
        <v/>
      </c>
      <c r="G230" s="23">
        <f>IF($BM230=0,"",B230-E230)</f>
        <v/>
      </c>
      <c r="H230" s="23">
        <f>IF($BM230=0,"",SUM($G$2:G230))</f>
        <v/>
      </c>
      <c r="I230" s="23">
        <f>IF($BM230=0,"",SUMIFS(Entries!$G$2:$G$5000,Entries!$A$2:$A$5000,"&gt;="&amp;$A230,Entries!$A$2:$A$5000,"&lt;"&amp;EDATE($A230,1)))</f>
        <v/>
      </c>
      <c r="J230" s="23">
        <f>IF($BM230=0,NA(),H230)</f>
        <v/>
      </c>
      <c r="K230" s="23">
        <f>IF($BM230=0,"",SUMIFS(Entries!$E$2:$E$5000,Entries!$C$2:$C$5000,"Income",Entries!$A$2:$A$5000,"&gt;="&amp;EDATE($A230,-11),Entries!$A$2:$A$5000,"&lt;"&amp;EDATE($A230,1))/COUNTIFS($A$2:$A$400,"&gt;="&amp;EDATE($A230,-11),$A$2:$A$400,"&lt;"&amp;EDATE($A230,1),$BM$2:$BM$400,"&gt;0"))</f>
      </c>
      <c r="L230" s="23">
        <f>IF($BM230=0,"",(SUMIFS(Entries!$E$2:$E$5000,Entries!$C$2:$C$5000,"Actual",Entries!$A$2:$A$5000,"&gt;="&amp;EDATE($A230,-11),Entries!$A$2:$A$5000,"&lt;"&amp;EDATE($A230,1))+SUMIFS(Entries!$E$2:$E$5000,Entries!$C$2:$C$5000,"One-off",Entries!$A$2:$A$5000,"&gt;="&amp;EDATE($A230,-11),Entries!$A$2:$A$5000,"&lt;"&amp;EDATE($A230,1)))/COUNTIFS($A$2:$A$400,"&gt;="&amp;EDATE($A230,-11),$A$2:$A$400,"&lt;"&amp;EDATE($A230,1),$BM$2:$BM$400,"&gt;0"))</f>
      </c>
      <c r="M230" s="24">
        <f>IF($BM230=0,NA(),IFERROR((K230-L230)/K230,0))</f>
        <v/>
      </c>
      <c r="N230" s="23">
        <f>IF($BM230=0,NA(),SUMIFS(Entries!$E$2:$E$5000,Entries!$D$2:$D$5000,"Core",Entries!$A$2:$A$5000,"&gt;="&amp;$A230,Entries!$A$2:$A$5000,"&lt;"&amp;EDATE($A230,1)))</f>
        <v/>
      </c>
      <c r="O230" s="23">
        <f>IF($BM230=0,NA(),SUMIFS(Entries!$E$2:$E$5000,Entries!$D$2:$D$5000,"Over &amp; above",Entries!$A$2:$A$5000,"&gt;="&amp;$A230,Entries!$A$2:$A$5000,"&lt;"&amp;EDATE($A230,1)))</f>
        <v/>
      </c>
      <c r="P230" s="23">
        <f>IF($BM230=0,NA(),SUMIFS(Entries!$E$2:$E$5000,Entries!$D$2:$D$5000,"One-off",Entries!$A$2:$A$5000,"&gt;="&amp;$A230,Entries!$A$2:$A$5000,"&lt;"&amp;EDATE($A230,1)))</f>
        <v/>
      </c>
      <c r="Q230" s="23">
        <f>IF($BM230=0,NA(),SUMIFS(Entries!$E$2:$E$5000,Entries!$D$2:$D$5000,"Reimbursable",Entries!$A$2:$A$5000,"&gt;="&amp;$A230,Entries!$A$2:$A$5000,"&lt;"&amp;EDATE($A230,1)))</f>
        <v/>
      </c>
      <c r="R230" s="23">
        <f>IF($BM230=0,NA(),SUMIFS(Entries!$E$2:$E$5000,Entries!$D$2:$D$5000,"Investment",Entries!$A$2:$A$5000,"&gt;="&amp;$A230,Entries!$A$2:$A$5000,"&lt;"&amp;EDATE($A230,1)))</f>
        <v/>
      </c>
      <c r="S230" s="23">
        <f>IF($BM230=0,NA(),N230+O230)</f>
        <v/>
      </c>
      <c r="T230" s="23">
        <f>IF($BM230=0,"",E230-Q230)</f>
        <v/>
      </c>
      <c r="W230" s="23">
        <f>IF(OR(W$1="",$BM230=0),"",SUMIFS(Entries!$E$2:$E$5000,Entries!$C$2:$C$5000,"Actual",Entries!$A$2:$A$5000,"&gt;="&amp;$A230,Entries!$A$2:$A$5000,"&lt;"&amp;EDATE($A230,1),Entries!$B$2:$B$5000,W$1))</f>
        <v/>
      </c>
      <c r="X230" s="23">
        <f>IF(OR(X$1="",$BM230=0),"",SUMIFS(Entries!$E$2:$E$5000,Entries!$C$2:$C$5000,"Actual",Entries!$A$2:$A$5000,"&gt;="&amp;$A230,Entries!$A$2:$A$5000,"&lt;"&amp;EDATE($A230,1),Entries!$B$2:$B$5000,X$1))</f>
        <v/>
      </c>
      <c r="Y230" s="23">
        <f>IF(OR(Y$1="",$BM230=0),"",SUMIFS(Entries!$E$2:$E$5000,Entries!$C$2:$C$5000,"Actual",Entries!$A$2:$A$5000,"&gt;="&amp;$A230,Entries!$A$2:$A$5000,"&lt;"&amp;EDATE($A230,1),Entries!$B$2:$B$5000,Y$1))</f>
        <v/>
      </c>
      <c r="Z230" s="23">
        <f>IF(OR(Z$1="",$BM230=0),"",SUMIFS(Entries!$E$2:$E$5000,Entries!$C$2:$C$5000,"Actual",Entries!$A$2:$A$5000,"&gt;="&amp;$A230,Entries!$A$2:$A$5000,"&lt;"&amp;EDATE($A230,1),Entries!$B$2:$B$5000,Z$1))</f>
        <v/>
      </c>
      <c r="AA230" s="23">
        <f>IF(OR(AA$1="",$BM230=0),"",SUMIFS(Entries!$E$2:$E$5000,Entries!$C$2:$C$5000,"Actual",Entries!$A$2:$A$5000,"&gt;="&amp;$A230,Entries!$A$2:$A$5000,"&lt;"&amp;EDATE($A230,1),Entries!$B$2:$B$5000,AA$1))</f>
        <v/>
      </c>
      <c r="AB230" s="23">
        <f>IF(OR(AB$1="",$BM230=0),"",SUMIFS(Entries!$E$2:$E$5000,Entries!$C$2:$C$5000,"Actual",Entries!$A$2:$A$5000,"&gt;="&amp;$A230,Entries!$A$2:$A$5000,"&lt;"&amp;EDATE($A230,1),Entries!$B$2:$B$5000,AB$1))</f>
        <v/>
      </c>
      <c r="AC230" s="23">
        <f>IF(OR(AC$1="",$BM230=0),"",SUMIFS(Entries!$E$2:$E$5000,Entries!$C$2:$C$5000,"Actual",Entries!$A$2:$A$5000,"&gt;="&amp;$A230,Entries!$A$2:$A$5000,"&lt;"&amp;EDATE($A230,1),Entries!$B$2:$B$5000,AC$1))</f>
        <v/>
      </c>
      <c r="AD230" s="23">
        <f>IF(OR(AD$1="",$BM230=0),"",SUMIFS(Entries!$E$2:$E$5000,Entries!$C$2:$C$5000,"Actual",Entries!$A$2:$A$5000,"&gt;="&amp;$A230,Entries!$A$2:$A$5000,"&lt;"&amp;EDATE($A230,1),Entries!$B$2:$B$5000,AD$1))</f>
        <v/>
      </c>
      <c r="AE230" s="23">
        <f>IF(OR(AE$1="",$BM230=0),"",SUMIFS(Entries!$E$2:$E$5000,Entries!$C$2:$C$5000,"Actual",Entries!$A$2:$A$5000,"&gt;="&amp;$A230,Entries!$A$2:$A$5000,"&lt;"&amp;EDATE($A230,1),Entries!$B$2:$B$5000,AE$1))</f>
        <v/>
      </c>
      <c r="AF230" s="23">
        <f>IF(OR(AF$1="",$BM230=0),"",SUMIFS(Entries!$E$2:$E$5000,Entries!$C$2:$C$5000,"Actual",Entries!$A$2:$A$5000,"&gt;="&amp;$A230,Entries!$A$2:$A$5000,"&lt;"&amp;EDATE($A230,1),Entries!$B$2:$B$5000,AF$1))</f>
        <v/>
      </c>
      <c r="AG230" s="23">
        <f>IF(OR(AG$1="",$BM230=0),"",SUMIFS(Entries!$E$2:$E$5000,Entries!$C$2:$C$5000,"Actual",Entries!$A$2:$A$5000,"&gt;="&amp;$A230,Entries!$A$2:$A$5000,"&lt;"&amp;EDATE($A230,1),Entries!$B$2:$B$5000,AG$1))</f>
        <v/>
      </c>
      <c r="AH230" s="23">
        <f>IF(OR(AH$1="",$BM230=0),"",SUMIFS(Entries!$E$2:$E$5000,Entries!$C$2:$C$5000,"Actual",Entries!$A$2:$A$5000,"&gt;="&amp;$A230,Entries!$A$2:$A$5000,"&lt;"&amp;EDATE($A230,1),Entries!$B$2:$B$5000,AH$1))</f>
        <v/>
      </c>
      <c r="AI230" s="23">
        <f>IF(OR(AI$1="",$BM230=0),"",SUMIFS(Entries!$E$2:$E$5000,Entries!$C$2:$C$5000,"Actual",Entries!$A$2:$A$5000,"&gt;="&amp;$A230,Entries!$A$2:$A$5000,"&lt;"&amp;EDATE($A230,1),Entries!$B$2:$B$5000,AI$1))</f>
        <v/>
      </c>
      <c r="AJ230" s="23">
        <f>IF(OR(AJ$1="",$BM230=0),"",SUMIFS(Entries!$E$2:$E$5000,Entries!$C$2:$C$5000,"Actual",Entries!$A$2:$A$5000,"&gt;="&amp;$A230,Entries!$A$2:$A$5000,"&lt;"&amp;EDATE($A230,1),Entries!$B$2:$B$5000,AJ$1))</f>
        <v/>
      </c>
      <c r="AK230" s="23">
        <f>IF(OR(AK$1="",$BM230=0),"",SUMIFS(Entries!$E$2:$E$5000,Entries!$C$2:$C$5000,"Actual",Entries!$A$2:$A$5000,"&gt;="&amp;$A230,Entries!$A$2:$A$5000,"&lt;"&amp;EDATE($A230,1),Entries!$B$2:$B$5000,AK$1))</f>
        <v/>
      </c>
      <c r="AL230" s="23">
        <f>IF(OR(AL$1="",$BM230=0),"",SUMIFS(Entries!$E$2:$E$5000,Entries!$C$2:$C$5000,"Actual",Entries!$A$2:$A$5000,"&gt;="&amp;$A230,Entries!$A$2:$A$5000,"&lt;"&amp;EDATE($A230,1),Entries!$B$2:$B$5000,AL$1))</f>
        <v/>
      </c>
      <c r="AM230" s="23">
        <f>IF(OR(AM$1="",$BM230=0),"",SUMIFS(Entries!$E$2:$E$5000,Entries!$C$2:$C$5000,"Actual",Entries!$A$2:$A$5000,"&gt;="&amp;$A230,Entries!$A$2:$A$5000,"&lt;"&amp;EDATE($A230,1),Entries!$B$2:$B$5000,AM$1))</f>
        <v/>
      </c>
      <c r="AN230" s="23">
        <f>IF(OR(AN$1="",$BM230=0),"",SUMIFS(Entries!$E$2:$E$5000,Entries!$C$2:$C$5000,"Actual",Entries!$A$2:$A$5000,"&gt;="&amp;$A230,Entries!$A$2:$A$5000,"&lt;"&amp;EDATE($A230,1),Entries!$B$2:$B$5000,AN$1))</f>
        <v/>
      </c>
      <c r="AO230" s="23">
        <f>IF(OR(AO$1="",$BM230=0),"",SUMIFS(Entries!$E$2:$E$5000,Entries!$C$2:$C$5000,"Actual",Entries!$A$2:$A$5000,"&gt;="&amp;$A230,Entries!$A$2:$A$5000,"&lt;"&amp;EDATE($A230,1),Entries!$B$2:$B$5000,AO$1))</f>
        <v/>
      </c>
      <c r="AP230" s="23">
        <f>IF(OR(AP$1="",$BM230=0),"",SUMIFS(Entries!$E$2:$E$5000,Entries!$C$2:$C$5000,"Actual",Entries!$A$2:$A$5000,"&gt;="&amp;$A230,Entries!$A$2:$A$5000,"&lt;"&amp;EDATE($A230,1),Entries!$B$2:$B$5000,AP$1))</f>
        <v/>
      </c>
      <c r="AR230" s="23">
        <f>IF(OR(AR$1="",$BM230=0),"",IFERROR(LOOKUP(2,1/((Budgets!$A$2:$A$200=AR$1)*(Budgets!$B$2:$B$200&lt;EDATE($A230,1))),Budgets!$C$2:$C$200),0))</f>
        <v/>
      </c>
      <c r="AS230" s="23">
        <f>IF(OR(AS$1="",$BM230=0),"",IFERROR(LOOKUP(2,1/((Budgets!$A$2:$A$200=AS$1)*(Budgets!$B$2:$B$200&lt;EDATE($A230,1))),Budgets!$C$2:$C$200),0))</f>
        <v/>
      </c>
      <c r="AT230" s="23">
        <f>IF(OR(AT$1="",$BM230=0),"",IFERROR(LOOKUP(2,1/((Budgets!$A$2:$A$200=AT$1)*(Budgets!$B$2:$B$200&lt;EDATE($A230,1))),Budgets!$C$2:$C$200),0))</f>
        <v/>
      </c>
      <c r="AU230" s="23">
        <f>IF(OR(AU$1="",$BM230=0),"",IFERROR(LOOKUP(2,1/((Budgets!$A$2:$A$200=AU$1)*(Budgets!$B$2:$B$200&lt;EDATE($A230,1))),Budgets!$C$2:$C$200),0))</f>
        <v/>
      </c>
      <c r="AV230" s="23">
        <f>IF(OR(AV$1="",$BM230=0),"",IFERROR(LOOKUP(2,1/((Budgets!$A$2:$A$200=AV$1)*(Budgets!$B$2:$B$200&lt;EDATE($A230,1))),Budgets!$C$2:$C$200),0))</f>
        <v/>
      </c>
      <c r="AW230" s="23">
        <f>IF(OR(AW$1="",$BM230=0),"",IFERROR(LOOKUP(2,1/((Budgets!$A$2:$A$200=AW$1)*(Budgets!$B$2:$B$200&lt;EDATE($A230,1))),Budgets!$C$2:$C$200),0))</f>
        <v/>
      </c>
      <c r="AX230" s="23">
        <f>IF(OR(AX$1="",$BM230=0),"",IFERROR(LOOKUP(2,1/((Budgets!$A$2:$A$200=AX$1)*(Budgets!$B$2:$B$200&lt;EDATE($A230,1))),Budgets!$C$2:$C$200),0))</f>
        <v/>
      </c>
      <c r="AY230" s="23">
        <f>IF(OR(AY$1="",$BM230=0),"",IFERROR(LOOKUP(2,1/((Budgets!$A$2:$A$200=AY$1)*(Budgets!$B$2:$B$200&lt;EDATE($A230,1))),Budgets!$C$2:$C$200),0))</f>
        <v/>
      </c>
      <c r="AZ230" s="23">
        <f>IF(OR(AZ$1="",$BM230=0),"",IFERROR(LOOKUP(2,1/((Budgets!$A$2:$A$200=AZ$1)*(Budgets!$B$2:$B$200&lt;EDATE($A230,1))),Budgets!$C$2:$C$200),0))</f>
        <v/>
      </c>
      <c r="BA230" s="23">
        <f>IF(OR(BA$1="",$BM230=0),"",IFERROR(LOOKUP(2,1/((Budgets!$A$2:$A$200=BA$1)*(Budgets!$B$2:$B$200&lt;EDATE($A230,1))),Budgets!$C$2:$C$200),0))</f>
        <v/>
      </c>
      <c r="BB230" s="23">
        <f>IF(OR(BB$1="",$BM230=0),"",IFERROR(LOOKUP(2,1/((Budgets!$A$2:$A$200=BB$1)*(Budgets!$B$2:$B$200&lt;EDATE($A230,1))),Budgets!$C$2:$C$200),0))</f>
        <v/>
      </c>
      <c r="BC230" s="23">
        <f>IF(OR(BC$1="",$BM230=0),"",IFERROR(LOOKUP(2,1/((Budgets!$A$2:$A$200=BC$1)*(Budgets!$B$2:$B$200&lt;EDATE($A230,1))),Budgets!$C$2:$C$200),0))</f>
        <v/>
      </c>
      <c r="BD230" s="23">
        <f>IF(OR(BD$1="",$BM230=0),"",IFERROR(LOOKUP(2,1/((Budgets!$A$2:$A$200=BD$1)*(Budgets!$B$2:$B$200&lt;EDATE($A230,1))),Budgets!$C$2:$C$200),0))</f>
        <v/>
      </c>
      <c r="BE230" s="23">
        <f>IF(OR(BE$1="",$BM230=0),"",IFERROR(LOOKUP(2,1/((Budgets!$A$2:$A$200=BE$1)*(Budgets!$B$2:$B$200&lt;EDATE($A230,1))),Budgets!$C$2:$C$200),0))</f>
        <v/>
      </c>
      <c r="BF230" s="23">
        <f>IF(OR(BF$1="",$BM230=0),"",IFERROR(LOOKUP(2,1/((Budgets!$A$2:$A$200=BF$1)*(Budgets!$B$2:$B$200&lt;EDATE($A230,1))),Budgets!$C$2:$C$200),0))</f>
        <v/>
      </c>
      <c r="BG230" s="23">
        <f>IF(OR(BG$1="",$BM230=0),"",IFERROR(LOOKUP(2,1/((Budgets!$A$2:$A$200=BG$1)*(Budgets!$B$2:$B$200&lt;EDATE($A230,1))),Budgets!$C$2:$C$200),0))</f>
        <v/>
      </c>
      <c r="BH230" s="23">
        <f>IF(OR(BH$1="",$BM230=0),"",IFERROR(LOOKUP(2,1/((Budgets!$A$2:$A$200=BH$1)*(Budgets!$B$2:$B$200&lt;EDATE($A230,1))),Budgets!$C$2:$C$200),0))</f>
        <v/>
      </c>
      <c r="BI230" s="23">
        <f>IF(OR(BI$1="",$BM230=0),"",IFERROR(LOOKUP(2,1/((Budgets!$A$2:$A$200=BI$1)*(Budgets!$B$2:$B$200&lt;EDATE($A230,1))),Budgets!$C$2:$C$200),0))</f>
        <v/>
      </c>
      <c r="BJ230" s="23">
        <f>IF(OR(BJ$1="",$BM230=0),"",IFERROR(LOOKUP(2,1/((Budgets!$A$2:$A$200=BJ$1)*(Budgets!$B$2:$B$200&lt;EDATE($A230,1))),Budgets!$C$2:$C$200),0))</f>
        <v/>
      </c>
      <c r="BK230" s="23">
        <f>IF(OR(BK$1="",$BM230=0),"",IFERROR(LOOKUP(2,1/((Budgets!$A$2:$A$200=BK$1)*(Budgets!$B$2:$B$200&lt;EDATE($A230,1))),Budgets!$C$2:$C$200),0))</f>
        <v/>
      </c>
      <c r="BM230" s="21">
        <f>COUNTIFS(Entries!$A$2:$A$5000,"&gt;="&amp;$A230,Entries!$A$2:$A$5000,"&lt;"&amp;EDATE($A230,1))</f>
        <v/>
      </c>
    </row>
    <row r="231">
      <c r="A231" s="22" t="n">
        <v>46419</v>
      </c>
      <c r="B231" s="23">
        <f>IF($BM231=0,NA(),SUMIFS(Entries!$E$2:$E$5000,Entries!$C$2:$C$5000,"Income",Entries!$A$2:$A$5000,"&gt;="&amp;$A231,Entries!$A$2:$A$5000,"&lt;"&amp;EDATE($A231,1)))</f>
        <v/>
      </c>
      <c r="C231" s="23">
        <f>IF($BM231=0,"",SUMIFS(Entries!$E$2:$E$5000,Entries!$C$2:$C$5000,"Actual",Entries!$A$2:$A$5000,"&gt;="&amp;$A231,Entries!$A$2:$A$5000,"&lt;"&amp;EDATE($A231,1)))</f>
        <v/>
      </c>
      <c r="D231" s="23">
        <f>IF($BM231=0,"",SUMIFS(Entries!$E$2:$E$5000,Entries!$C$2:$C$5000,"One-off",Entries!$A$2:$A$5000,"&gt;="&amp;$A231,Entries!$A$2:$A$5000,"&lt;"&amp;EDATE($A231,1)))</f>
        <v/>
      </c>
      <c r="E231" s="23">
        <f>IF($BM231=0,NA(),C231+D231)</f>
        <v/>
      </c>
      <c r="F231" s="23">
        <f>IF($BM231=0,"",SUM(AR231:BK231))</f>
        <v/>
      </c>
      <c r="G231" s="23">
        <f>IF($BM231=0,"",B231-E231)</f>
        <v/>
      </c>
      <c r="H231" s="23">
        <f>IF($BM231=0,"",SUM($G$2:G231))</f>
        <v/>
      </c>
      <c r="I231" s="23">
        <f>IF($BM231=0,"",SUMIFS(Entries!$G$2:$G$5000,Entries!$A$2:$A$5000,"&gt;="&amp;$A231,Entries!$A$2:$A$5000,"&lt;"&amp;EDATE($A231,1)))</f>
        <v/>
      </c>
      <c r="J231" s="23">
        <f>IF($BM231=0,NA(),H231)</f>
        <v/>
      </c>
      <c r="K231" s="23">
        <f>IF($BM231=0,"",SUMIFS(Entries!$E$2:$E$5000,Entries!$C$2:$C$5000,"Income",Entries!$A$2:$A$5000,"&gt;="&amp;EDATE($A231,-11),Entries!$A$2:$A$5000,"&lt;"&amp;EDATE($A231,1))/COUNTIFS($A$2:$A$400,"&gt;="&amp;EDATE($A231,-11),$A$2:$A$400,"&lt;"&amp;EDATE($A231,1),$BM$2:$BM$400,"&gt;0"))</f>
      </c>
      <c r="L231" s="23">
        <f>IF($BM231=0,"",(SUMIFS(Entries!$E$2:$E$5000,Entries!$C$2:$C$5000,"Actual",Entries!$A$2:$A$5000,"&gt;="&amp;EDATE($A231,-11),Entries!$A$2:$A$5000,"&lt;"&amp;EDATE($A231,1))+SUMIFS(Entries!$E$2:$E$5000,Entries!$C$2:$C$5000,"One-off",Entries!$A$2:$A$5000,"&gt;="&amp;EDATE($A231,-11),Entries!$A$2:$A$5000,"&lt;"&amp;EDATE($A231,1)))/COUNTIFS($A$2:$A$400,"&gt;="&amp;EDATE($A231,-11),$A$2:$A$400,"&lt;"&amp;EDATE($A231,1),$BM$2:$BM$400,"&gt;0"))</f>
      </c>
      <c r="M231" s="24">
        <f>IF($BM231=0,NA(),IFERROR((K231-L231)/K231,0))</f>
        <v/>
      </c>
      <c r="N231" s="23">
        <f>IF($BM231=0,NA(),SUMIFS(Entries!$E$2:$E$5000,Entries!$D$2:$D$5000,"Core",Entries!$A$2:$A$5000,"&gt;="&amp;$A231,Entries!$A$2:$A$5000,"&lt;"&amp;EDATE($A231,1)))</f>
        <v/>
      </c>
      <c r="O231" s="23">
        <f>IF($BM231=0,NA(),SUMIFS(Entries!$E$2:$E$5000,Entries!$D$2:$D$5000,"Over &amp; above",Entries!$A$2:$A$5000,"&gt;="&amp;$A231,Entries!$A$2:$A$5000,"&lt;"&amp;EDATE($A231,1)))</f>
        <v/>
      </c>
      <c r="P231" s="23">
        <f>IF($BM231=0,NA(),SUMIFS(Entries!$E$2:$E$5000,Entries!$D$2:$D$5000,"One-off",Entries!$A$2:$A$5000,"&gt;="&amp;$A231,Entries!$A$2:$A$5000,"&lt;"&amp;EDATE($A231,1)))</f>
        <v/>
      </c>
      <c r="Q231" s="23">
        <f>IF($BM231=0,NA(),SUMIFS(Entries!$E$2:$E$5000,Entries!$D$2:$D$5000,"Reimbursable",Entries!$A$2:$A$5000,"&gt;="&amp;$A231,Entries!$A$2:$A$5000,"&lt;"&amp;EDATE($A231,1)))</f>
        <v/>
      </c>
      <c r="R231" s="23">
        <f>IF($BM231=0,NA(),SUMIFS(Entries!$E$2:$E$5000,Entries!$D$2:$D$5000,"Investment",Entries!$A$2:$A$5000,"&gt;="&amp;$A231,Entries!$A$2:$A$5000,"&lt;"&amp;EDATE($A231,1)))</f>
        <v/>
      </c>
      <c r="S231" s="23">
        <f>IF($BM231=0,NA(),N231+O231)</f>
        <v/>
      </c>
      <c r="T231" s="23">
        <f>IF($BM231=0,"",E231-Q231)</f>
        <v/>
      </c>
      <c r="W231" s="23">
        <f>IF(OR(W$1="",$BM231=0),"",SUMIFS(Entries!$E$2:$E$5000,Entries!$C$2:$C$5000,"Actual",Entries!$A$2:$A$5000,"&gt;="&amp;$A231,Entries!$A$2:$A$5000,"&lt;"&amp;EDATE($A231,1),Entries!$B$2:$B$5000,W$1))</f>
        <v/>
      </c>
      <c r="X231" s="23">
        <f>IF(OR(X$1="",$BM231=0),"",SUMIFS(Entries!$E$2:$E$5000,Entries!$C$2:$C$5000,"Actual",Entries!$A$2:$A$5000,"&gt;="&amp;$A231,Entries!$A$2:$A$5000,"&lt;"&amp;EDATE($A231,1),Entries!$B$2:$B$5000,X$1))</f>
        <v/>
      </c>
      <c r="Y231" s="23">
        <f>IF(OR(Y$1="",$BM231=0),"",SUMIFS(Entries!$E$2:$E$5000,Entries!$C$2:$C$5000,"Actual",Entries!$A$2:$A$5000,"&gt;="&amp;$A231,Entries!$A$2:$A$5000,"&lt;"&amp;EDATE($A231,1),Entries!$B$2:$B$5000,Y$1))</f>
        <v/>
      </c>
      <c r="Z231" s="23">
        <f>IF(OR(Z$1="",$BM231=0),"",SUMIFS(Entries!$E$2:$E$5000,Entries!$C$2:$C$5000,"Actual",Entries!$A$2:$A$5000,"&gt;="&amp;$A231,Entries!$A$2:$A$5000,"&lt;"&amp;EDATE($A231,1),Entries!$B$2:$B$5000,Z$1))</f>
        <v/>
      </c>
      <c r="AA231" s="23">
        <f>IF(OR(AA$1="",$BM231=0),"",SUMIFS(Entries!$E$2:$E$5000,Entries!$C$2:$C$5000,"Actual",Entries!$A$2:$A$5000,"&gt;="&amp;$A231,Entries!$A$2:$A$5000,"&lt;"&amp;EDATE($A231,1),Entries!$B$2:$B$5000,AA$1))</f>
        <v/>
      </c>
      <c r="AB231" s="23">
        <f>IF(OR(AB$1="",$BM231=0),"",SUMIFS(Entries!$E$2:$E$5000,Entries!$C$2:$C$5000,"Actual",Entries!$A$2:$A$5000,"&gt;="&amp;$A231,Entries!$A$2:$A$5000,"&lt;"&amp;EDATE($A231,1),Entries!$B$2:$B$5000,AB$1))</f>
        <v/>
      </c>
      <c r="AC231" s="23">
        <f>IF(OR(AC$1="",$BM231=0),"",SUMIFS(Entries!$E$2:$E$5000,Entries!$C$2:$C$5000,"Actual",Entries!$A$2:$A$5000,"&gt;="&amp;$A231,Entries!$A$2:$A$5000,"&lt;"&amp;EDATE($A231,1),Entries!$B$2:$B$5000,AC$1))</f>
        <v/>
      </c>
      <c r="AD231" s="23">
        <f>IF(OR(AD$1="",$BM231=0),"",SUMIFS(Entries!$E$2:$E$5000,Entries!$C$2:$C$5000,"Actual",Entries!$A$2:$A$5000,"&gt;="&amp;$A231,Entries!$A$2:$A$5000,"&lt;"&amp;EDATE($A231,1),Entries!$B$2:$B$5000,AD$1))</f>
        <v/>
      </c>
      <c r="AE231" s="23">
        <f>IF(OR(AE$1="",$BM231=0),"",SUMIFS(Entries!$E$2:$E$5000,Entries!$C$2:$C$5000,"Actual",Entries!$A$2:$A$5000,"&gt;="&amp;$A231,Entries!$A$2:$A$5000,"&lt;"&amp;EDATE($A231,1),Entries!$B$2:$B$5000,AE$1))</f>
        <v/>
      </c>
      <c r="AF231" s="23">
        <f>IF(OR(AF$1="",$BM231=0),"",SUMIFS(Entries!$E$2:$E$5000,Entries!$C$2:$C$5000,"Actual",Entries!$A$2:$A$5000,"&gt;="&amp;$A231,Entries!$A$2:$A$5000,"&lt;"&amp;EDATE($A231,1),Entries!$B$2:$B$5000,AF$1))</f>
        <v/>
      </c>
      <c r="AG231" s="23">
        <f>IF(OR(AG$1="",$BM231=0),"",SUMIFS(Entries!$E$2:$E$5000,Entries!$C$2:$C$5000,"Actual",Entries!$A$2:$A$5000,"&gt;="&amp;$A231,Entries!$A$2:$A$5000,"&lt;"&amp;EDATE($A231,1),Entries!$B$2:$B$5000,AG$1))</f>
        <v/>
      </c>
      <c r="AH231" s="23">
        <f>IF(OR(AH$1="",$BM231=0),"",SUMIFS(Entries!$E$2:$E$5000,Entries!$C$2:$C$5000,"Actual",Entries!$A$2:$A$5000,"&gt;="&amp;$A231,Entries!$A$2:$A$5000,"&lt;"&amp;EDATE($A231,1),Entries!$B$2:$B$5000,AH$1))</f>
        <v/>
      </c>
      <c r="AI231" s="23">
        <f>IF(OR(AI$1="",$BM231=0),"",SUMIFS(Entries!$E$2:$E$5000,Entries!$C$2:$C$5000,"Actual",Entries!$A$2:$A$5000,"&gt;="&amp;$A231,Entries!$A$2:$A$5000,"&lt;"&amp;EDATE($A231,1),Entries!$B$2:$B$5000,AI$1))</f>
        <v/>
      </c>
      <c r="AJ231" s="23">
        <f>IF(OR(AJ$1="",$BM231=0),"",SUMIFS(Entries!$E$2:$E$5000,Entries!$C$2:$C$5000,"Actual",Entries!$A$2:$A$5000,"&gt;="&amp;$A231,Entries!$A$2:$A$5000,"&lt;"&amp;EDATE($A231,1),Entries!$B$2:$B$5000,AJ$1))</f>
        <v/>
      </c>
      <c r="AK231" s="23">
        <f>IF(OR(AK$1="",$BM231=0),"",SUMIFS(Entries!$E$2:$E$5000,Entries!$C$2:$C$5000,"Actual",Entries!$A$2:$A$5000,"&gt;="&amp;$A231,Entries!$A$2:$A$5000,"&lt;"&amp;EDATE($A231,1),Entries!$B$2:$B$5000,AK$1))</f>
        <v/>
      </c>
      <c r="AL231" s="23">
        <f>IF(OR(AL$1="",$BM231=0),"",SUMIFS(Entries!$E$2:$E$5000,Entries!$C$2:$C$5000,"Actual",Entries!$A$2:$A$5000,"&gt;="&amp;$A231,Entries!$A$2:$A$5000,"&lt;"&amp;EDATE($A231,1),Entries!$B$2:$B$5000,AL$1))</f>
        <v/>
      </c>
      <c r="AM231" s="23">
        <f>IF(OR(AM$1="",$BM231=0),"",SUMIFS(Entries!$E$2:$E$5000,Entries!$C$2:$C$5000,"Actual",Entries!$A$2:$A$5000,"&gt;="&amp;$A231,Entries!$A$2:$A$5000,"&lt;"&amp;EDATE($A231,1),Entries!$B$2:$B$5000,AM$1))</f>
        <v/>
      </c>
      <c r="AN231" s="23">
        <f>IF(OR(AN$1="",$BM231=0),"",SUMIFS(Entries!$E$2:$E$5000,Entries!$C$2:$C$5000,"Actual",Entries!$A$2:$A$5000,"&gt;="&amp;$A231,Entries!$A$2:$A$5000,"&lt;"&amp;EDATE($A231,1),Entries!$B$2:$B$5000,AN$1))</f>
        <v/>
      </c>
      <c r="AO231" s="23">
        <f>IF(OR(AO$1="",$BM231=0),"",SUMIFS(Entries!$E$2:$E$5000,Entries!$C$2:$C$5000,"Actual",Entries!$A$2:$A$5000,"&gt;="&amp;$A231,Entries!$A$2:$A$5000,"&lt;"&amp;EDATE($A231,1),Entries!$B$2:$B$5000,AO$1))</f>
        <v/>
      </c>
      <c r="AP231" s="23">
        <f>IF(OR(AP$1="",$BM231=0),"",SUMIFS(Entries!$E$2:$E$5000,Entries!$C$2:$C$5000,"Actual",Entries!$A$2:$A$5000,"&gt;="&amp;$A231,Entries!$A$2:$A$5000,"&lt;"&amp;EDATE($A231,1),Entries!$B$2:$B$5000,AP$1))</f>
        <v/>
      </c>
      <c r="AR231" s="23">
        <f>IF(OR(AR$1="",$BM231=0),"",IFERROR(LOOKUP(2,1/((Budgets!$A$2:$A$200=AR$1)*(Budgets!$B$2:$B$200&lt;EDATE($A231,1))),Budgets!$C$2:$C$200),0))</f>
        <v/>
      </c>
      <c r="AS231" s="23">
        <f>IF(OR(AS$1="",$BM231=0),"",IFERROR(LOOKUP(2,1/((Budgets!$A$2:$A$200=AS$1)*(Budgets!$B$2:$B$200&lt;EDATE($A231,1))),Budgets!$C$2:$C$200),0))</f>
        <v/>
      </c>
      <c r="AT231" s="23">
        <f>IF(OR(AT$1="",$BM231=0),"",IFERROR(LOOKUP(2,1/((Budgets!$A$2:$A$200=AT$1)*(Budgets!$B$2:$B$200&lt;EDATE($A231,1))),Budgets!$C$2:$C$200),0))</f>
        <v/>
      </c>
      <c r="AU231" s="23">
        <f>IF(OR(AU$1="",$BM231=0),"",IFERROR(LOOKUP(2,1/((Budgets!$A$2:$A$200=AU$1)*(Budgets!$B$2:$B$200&lt;EDATE($A231,1))),Budgets!$C$2:$C$200),0))</f>
        <v/>
      </c>
      <c r="AV231" s="23">
        <f>IF(OR(AV$1="",$BM231=0),"",IFERROR(LOOKUP(2,1/((Budgets!$A$2:$A$200=AV$1)*(Budgets!$B$2:$B$200&lt;EDATE($A231,1))),Budgets!$C$2:$C$200),0))</f>
        <v/>
      </c>
      <c r="AW231" s="23">
        <f>IF(OR(AW$1="",$BM231=0),"",IFERROR(LOOKUP(2,1/((Budgets!$A$2:$A$200=AW$1)*(Budgets!$B$2:$B$200&lt;EDATE($A231,1))),Budgets!$C$2:$C$200),0))</f>
        <v/>
      </c>
      <c r="AX231" s="23">
        <f>IF(OR(AX$1="",$BM231=0),"",IFERROR(LOOKUP(2,1/((Budgets!$A$2:$A$200=AX$1)*(Budgets!$B$2:$B$200&lt;EDATE($A231,1))),Budgets!$C$2:$C$200),0))</f>
        <v/>
      </c>
      <c r="AY231" s="23">
        <f>IF(OR(AY$1="",$BM231=0),"",IFERROR(LOOKUP(2,1/((Budgets!$A$2:$A$200=AY$1)*(Budgets!$B$2:$B$200&lt;EDATE($A231,1))),Budgets!$C$2:$C$200),0))</f>
        <v/>
      </c>
      <c r="AZ231" s="23">
        <f>IF(OR(AZ$1="",$BM231=0),"",IFERROR(LOOKUP(2,1/((Budgets!$A$2:$A$200=AZ$1)*(Budgets!$B$2:$B$200&lt;EDATE($A231,1))),Budgets!$C$2:$C$200),0))</f>
        <v/>
      </c>
      <c r="BA231" s="23">
        <f>IF(OR(BA$1="",$BM231=0),"",IFERROR(LOOKUP(2,1/((Budgets!$A$2:$A$200=BA$1)*(Budgets!$B$2:$B$200&lt;EDATE($A231,1))),Budgets!$C$2:$C$200),0))</f>
        <v/>
      </c>
      <c r="BB231" s="23">
        <f>IF(OR(BB$1="",$BM231=0),"",IFERROR(LOOKUP(2,1/((Budgets!$A$2:$A$200=BB$1)*(Budgets!$B$2:$B$200&lt;EDATE($A231,1))),Budgets!$C$2:$C$200),0))</f>
        <v/>
      </c>
      <c r="BC231" s="23">
        <f>IF(OR(BC$1="",$BM231=0),"",IFERROR(LOOKUP(2,1/((Budgets!$A$2:$A$200=BC$1)*(Budgets!$B$2:$B$200&lt;EDATE($A231,1))),Budgets!$C$2:$C$200),0))</f>
        <v/>
      </c>
      <c r="BD231" s="23">
        <f>IF(OR(BD$1="",$BM231=0),"",IFERROR(LOOKUP(2,1/((Budgets!$A$2:$A$200=BD$1)*(Budgets!$B$2:$B$200&lt;EDATE($A231,1))),Budgets!$C$2:$C$200),0))</f>
        <v/>
      </c>
      <c r="BE231" s="23">
        <f>IF(OR(BE$1="",$BM231=0),"",IFERROR(LOOKUP(2,1/((Budgets!$A$2:$A$200=BE$1)*(Budgets!$B$2:$B$200&lt;EDATE($A231,1))),Budgets!$C$2:$C$200),0))</f>
        <v/>
      </c>
      <c r="BF231" s="23">
        <f>IF(OR(BF$1="",$BM231=0),"",IFERROR(LOOKUP(2,1/((Budgets!$A$2:$A$200=BF$1)*(Budgets!$B$2:$B$200&lt;EDATE($A231,1))),Budgets!$C$2:$C$200),0))</f>
        <v/>
      </c>
      <c r="BG231" s="23">
        <f>IF(OR(BG$1="",$BM231=0),"",IFERROR(LOOKUP(2,1/((Budgets!$A$2:$A$200=BG$1)*(Budgets!$B$2:$B$200&lt;EDATE($A231,1))),Budgets!$C$2:$C$200),0))</f>
        <v/>
      </c>
      <c r="BH231" s="23">
        <f>IF(OR(BH$1="",$BM231=0),"",IFERROR(LOOKUP(2,1/((Budgets!$A$2:$A$200=BH$1)*(Budgets!$B$2:$B$200&lt;EDATE($A231,1))),Budgets!$C$2:$C$200),0))</f>
        <v/>
      </c>
      <c r="BI231" s="23">
        <f>IF(OR(BI$1="",$BM231=0),"",IFERROR(LOOKUP(2,1/((Budgets!$A$2:$A$200=BI$1)*(Budgets!$B$2:$B$200&lt;EDATE($A231,1))),Budgets!$C$2:$C$200),0))</f>
        <v/>
      </c>
      <c r="BJ231" s="23">
        <f>IF(OR(BJ$1="",$BM231=0),"",IFERROR(LOOKUP(2,1/((Budgets!$A$2:$A$200=BJ$1)*(Budgets!$B$2:$B$200&lt;EDATE($A231,1))),Budgets!$C$2:$C$200),0))</f>
        <v/>
      </c>
      <c r="BK231" s="23">
        <f>IF(OR(BK$1="",$BM231=0),"",IFERROR(LOOKUP(2,1/((Budgets!$A$2:$A$200=BK$1)*(Budgets!$B$2:$B$200&lt;EDATE($A231,1))),Budgets!$C$2:$C$200),0))</f>
        <v/>
      </c>
      <c r="BM231" s="21">
        <f>COUNTIFS(Entries!$A$2:$A$5000,"&gt;="&amp;$A231,Entries!$A$2:$A$5000,"&lt;"&amp;EDATE($A231,1))</f>
        <v/>
      </c>
    </row>
    <row r="232">
      <c r="A232" s="22" t="n">
        <v>46447</v>
      </c>
      <c r="B232" s="23">
        <f>IF($BM232=0,NA(),SUMIFS(Entries!$E$2:$E$5000,Entries!$C$2:$C$5000,"Income",Entries!$A$2:$A$5000,"&gt;="&amp;$A232,Entries!$A$2:$A$5000,"&lt;"&amp;EDATE($A232,1)))</f>
        <v/>
      </c>
      <c r="C232" s="23">
        <f>IF($BM232=0,"",SUMIFS(Entries!$E$2:$E$5000,Entries!$C$2:$C$5000,"Actual",Entries!$A$2:$A$5000,"&gt;="&amp;$A232,Entries!$A$2:$A$5000,"&lt;"&amp;EDATE($A232,1)))</f>
        <v/>
      </c>
      <c r="D232" s="23">
        <f>IF($BM232=0,"",SUMIFS(Entries!$E$2:$E$5000,Entries!$C$2:$C$5000,"One-off",Entries!$A$2:$A$5000,"&gt;="&amp;$A232,Entries!$A$2:$A$5000,"&lt;"&amp;EDATE($A232,1)))</f>
        <v/>
      </c>
      <c r="E232" s="23">
        <f>IF($BM232=0,NA(),C232+D232)</f>
        <v/>
      </c>
      <c r="F232" s="23">
        <f>IF($BM232=0,"",SUM(AR232:BK232))</f>
        <v/>
      </c>
      <c r="G232" s="23">
        <f>IF($BM232=0,"",B232-E232)</f>
        <v/>
      </c>
      <c r="H232" s="23">
        <f>IF($BM232=0,"",SUM($G$2:G232))</f>
        <v/>
      </c>
      <c r="I232" s="23">
        <f>IF($BM232=0,"",SUMIFS(Entries!$G$2:$G$5000,Entries!$A$2:$A$5000,"&gt;="&amp;$A232,Entries!$A$2:$A$5000,"&lt;"&amp;EDATE($A232,1)))</f>
        <v/>
      </c>
      <c r="J232" s="23">
        <f>IF($BM232=0,NA(),H232)</f>
        <v/>
      </c>
      <c r="K232" s="23">
        <f>IF($BM232=0,"",SUMIFS(Entries!$E$2:$E$5000,Entries!$C$2:$C$5000,"Income",Entries!$A$2:$A$5000,"&gt;="&amp;EDATE($A232,-11),Entries!$A$2:$A$5000,"&lt;"&amp;EDATE($A232,1))/COUNTIFS($A$2:$A$400,"&gt;="&amp;EDATE($A232,-11),$A$2:$A$400,"&lt;"&amp;EDATE($A232,1),$BM$2:$BM$400,"&gt;0"))</f>
      </c>
      <c r="L232" s="23">
        <f>IF($BM232=0,"",(SUMIFS(Entries!$E$2:$E$5000,Entries!$C$2:$C$5000,"Actual",Entries!$A$2:$A$5000,"&gt;="&amp;EDATE($A232,-11),Entries!$A$2:$A$5000,"&lt;"&amp;EDATE($A232,1))+SUMIFS(Entries!$E$2:$E$5000,Entries!$C$2:$C$5000,"One-off",Entries!$A$2:$A$5000,"&gt;="&amp;EDATE($A232,-11),Entries!$A$2:$A$5000,"&lt;"&amp;EDATE($A232,1)))/COUNTIFS($A$2:$A$400,"&gt;="&amp;EDATE($A232,-11),$A$2:$A$400,"&lt;"&amp;EDATE($A232,1),$BM$2:$BM$400,"&gt;0"))</f>
      </c>
      <c r="M232" s="24">
        <f>IF($BM232=0,NA(),IFERROR((K232-L232)/K232,0))</f>
        <v/>
      </c>
      <c r="N232" s="23">
        <f>IF($BM232=0,NA(),SUMIFS(Entries!$E$2:$E$5000,Entries!$D$2:$D$5000,"Core",Entries!$A$2:$A$5000,"&gt;="&amp;$A232,Entries!$A$2:$A$5000,"&lt;"&amp;EDATE($A232,1)))</f>
        <v/>
      </c>
      <c r="O232" s="23">
        <f>IF($BM232=0,NA(),SUMIFS(Entries!$E$2:$E$5000,Entries!$D$2:$D$5000,"Over &amp; above",Entries!$A$2:$A$5000,"&gt;="&amp;$A232,Entries!$A$2:$A$5000,"&lt;"&amp;EDATE($A232,1)))</f>
        <v/>
      </c>
      <c r="P232" s="23">
        <f>IF($BM232=0,NA(),SUMIFS(Entries!$E$2:$E$5000,Entries!$D$2:$D$5000,"One-off",Entries!$A$2:$A$5000,"&gt;="&amp;$A232,Entries!$A$2:$A$5000,"&lt;"&amp;EDATE($A232,1)))</f>
        <v/>
      </c>
      <c r="Q232" s="23">
        <f>IF($BM232=0,NA(),SUMIFS(Entries!$E$2:$E$5000,Entries!$D$2:$D$5000,"Reimbursable",Entries!$A$2:$A$5000,"&gt;="&amp;$A232,Entries!$A$2:$A$5000,"&lt;"&amp;EDATE($A232,1)))</f>
        <v/>
      </c>
      <c r="R232" s="23">
        <f>IF($BM232=0,NA(),SUMIFS(Entries!$E$2:$E$5000,Entries!$D$2:$D$5000,"Investment",Entries!$A$2:$A$5000,"&gt;="&amp;$A232,Entries!$A$2:$A$5000,"&lt;"&amp;EDATE($A232,1)))</f>
        <v/>
      </c>
      <c r="S232" s="23">
        <f>IF($BM232=0,NA(),N232+O232)</f>
        <v/>
      </c>
      <c r="T232" s="23">
        <f>IF($BM232=0,"",E232-Q232)</f>
        <v/>
      </c>
      <c r="W232" s="23">
        <f>IF(OR(W$1="",$BM232=0),"",SUMIFS(Entries!$E$2:$E$5000,Entries!$C$2:$C$5000,"Actual",Entries!$A$2:$A$5000,"&gt;="&amp;$A232,Entries!$A$2:$A$5000,"&lt;"&amp;EDATE($A232,1),Entries!$B$2:$B$5000,W$1))</f>
        <v/>
      </c>
      <c r="X232" s="23">
        <f>IF(OR(X$1="",$BM232=0),"",SUMIFS(Entries!$E$2:$E$5000,Entries!$C$2:$C$5000,"Actual",Entries!$A$2:$A$5000,"&gt;="&amp;$A232,Entries!$A$2:$A$5000,"&lt;"&amp;EDATE($A232,1),Entries!$B$2:$B$5000,X$1))</f>
        <v/>
      </c>
      <c r="Y232" s="23">
        <f>IF(OR(Y$1="",$BM232=0),"",SUMIFS(Entries!$E$2:$E$5000,Entries!$C$2:$C$5000,"Actual",Entries!$A$2:$A$5000,"&gt;="&amp;$A232,Entries!$A$2:$A$5000,"&lt;"&amp;EDATE($A232,1),Entries!$B$2:$B$5000,Y$1))</f>
        <v/>
      </c>
      <c r="Z232" s="23">
        <f>IF(OR(Z$1="",$BM232=0),"",SUMIFS(Entries!$E$2:$E$5000,Entries!$C$2:$C$5000,"Actual",Entries!$A$2:$A$5000,"&gt;="&amp;$A232,Entries!$A$2:$A$5000,"&lt;"&amp;EDATE($A232,1),Entries!$B$2:$B$5000,Z$1))</f>
        <v/>
      </c>
      <c r="AA232" s="23">
        <f>IF(OR(AA$1="",$BM232=0),"",SUMIFS(Entries!$E$2:$E$5000,Entries!$C$2:$C$5000,"Actual",Entries!$A$2:$A$5000,"&gt;="&amp;$A232,Entries!$A$2:$A$5000,"&lt;"&amp;EDATE($A232,1),Entries!$B$2:$B$5000,AA$1))</f>
        <v/>
      </c>
      <c r="AB232" s="23">
        <f>IF(OR(AB$1="",$BM232=0),"",SUMIFS(Entries!$E$2:$E$5000,Entries!$C$2:$C$5000,"Actual",Entries!$A$2:$A$5000,"&gt;="&amp;$A232,Entries!$A$2:$A$5000,"&lt;"&amp;EDATE($A232,1),Entries!$B$2:$B$5000,AB$1))</f>
        <v/>
      </c>
      <c r="AC232" s="23">
        <f>IF(OR(AC$1="",$BM232=0),"",SUMIFS(Entries!$E$2:$E$5000,Entries!$C$2:$C$5000,"Actual",Entries!$A$2:$A$5000,"&gt;="&amp;$A232,Entries!$A$2:$A$5000,"&lt;"&amp;EDATE($A232,1),Entries!$B$2:$B$5000,AC$1))</f>
        <v/>
      </c>
      <c r="AD232" s="23">
        <f>IF(OR(AD$1="",$BM232=0),"",SUMIFS(Entries!$E$2:$E$5000,Entries!$C$2:$C$5000,"Actual",Entries!$A$2:$A$5000,"&gt;="&amp;$A232,Entries!$A$2:$A$5000,"&lt;"&amp;EDATE($A232,1),Entries!$B$2:$B$5000,AD$1))</f>
        <v/>
      </c>
      <c r="AE232" s="23">
        <f>IF(OR(AE$1="",$BM232=0),"",SUMIFS(Entries!$E$2:$E$5000,Entries!$C$2:$C$5000,"Actual",Entries!$A$2:$A$5000,"&gt;="&amp;$A232,Entries!$A$2:$A$5000,"&lt;"&amp;EDATE($A232,1),Entries!$B$2:$B$5000,AE$1))</f>
        <v/>
      </c>
      <c r="AF232" s="23">
        <f>IF(OR(AF$1="",$BM232=0),"",SUMIFS(Entries!$E$2:$E$5000,Entries!$C$2:$C$5000,"Actual",Entries!$A$2:$A$5000,"&gt;="&amp;$A232,Entries!$A$2:$A$5000,"&lt;"&amp;EDATE($A232,1),Entries!$B$2:$B$5000,AF$1))</f>
        <v/>
      </c>
      <c r="AG232" s="23">
        <f>IF(OR(AG$1="",$BM232=0),"",SUMIFS(Entries!$E$2:$E$5000,Entries!$C$2:$C$5000,"Actual",Entries!$A$2:$A$5000,"&gt;="&amp;$A232,Entries!$A$2:$A$5000,"&lt;"&amp;EDATE($A232,1),Entries!$B$2:$B$5000,AG$1))</f>
        <v/>
      </c>
      <c r="AH232" s="23">
        <f>IF(OR(AH$1="",$BM232=0),"",SUMIFS(Entries!$E$2:$E$5000,Entries!$C$2:$C$5000,"Actual",Entries!$A$2:$A$5000,"&gt;="&amp;$A232,Entries!$A$2:$A$5000,"&lt;"&amp;EDATE($A232,1),Entries!$B$2:$B$5000,AH$1))</f>
        <v/>
      </c>
      <c r="AI232" s="23">
        <f>IF(OR(AI$1="",$BM232=0),"",SUMIFS(Entries!$E$2:$E$5000,Entries!$C$2:$C$5000,"Actual",Entries!$A$2:$A$5000,"&gt;="&amp;$A232,Entries!$A$2:$A$5000,"&lt;"&amp;EDATE($A232,1),Entries!$B$2:$B$5000,AI$1))</f>
        <v/>
      </c>
      <c r="AJ232" s="23">
        <f>IF(OR(AJ$1="",$BM232=0),"",SUMIFS(Entries!$E$2:$E$5000,Entries!$C$2:$C$5000,"Actual",Entries!$A$2:$A$5000,"&gt;="&amp;$A232,Entries!$A$2:$A$5000,"&lt;"&amp;EDATE($A232,1),Entries!$B$2:$B$5000,AJ$1))</f>
        <v/>
      </c>
      <c r="AK232" s="23">
        <f>IF(OR(AK$1="",$BM232=0),"",SUMIFS(Entries!$E$2:$E$5000,Entries!$C$2:$C$5000,"Actual",Entries!$A$2:$A$5000,"&gt;="&amp;$A232,Entries!$A$2:$A$5000,"&lt;"&amp;EDATE($A232,1),Entries!$B$2:$B$5000,AK$1))</f>
        <v/>
      </c>
      <c r="AL232" s="23">
        <f>IF(OR(AL$1="",$BM232=0),"",SUMIFS(Entries!$E$2:$E$5000,Entries!$C$2:$C$5000,"Actual",Entries!$A$2:$A$5000,"&gt;="&amp;$A232,Entries!$A$2:$A$5000,"&lt;"&amp;EDATE($A232,1),Entries!$B$2:$B$5000,AL$1))</f>
        <v/>
      </c>
      <c r="AM232" s="23">
        <f>IF(OR(AM$1="",$BM232=0),"",SUMIFS(Entries!$E$2:$E$5000,Entries!$C$2:$C$5000,"Actual",Entries!$A$2:$A$5000,"&gt;="&amp;$A232,Entries!$A$2:$A$5000,"&lt;"&amp;EDATE($A232,1),Entries!$B$2:$B$5000,AM$1))</f>
        <v/>
      </c>
      <c r="AN232" s="23">
        <f>IF(OR(AN$1="",$BM232=0),"",SUMIFS(Entries!$E$2:$E$5000,Entries!$C$2:$C$5000,"Actual",Entries!$A$2:$A$5000,"&gt;="&amp;$A232,Entries!$A$2:$A$5000,"&lt;"&amp;EDATE($A232,1),Entries!$B$2:$B$5000,AN$1))</f>
        <v/>
      </c>
      <c r="AO232" s="23">
        <f>IF(OR(AO$1="",$BM232=0),"",SUMIFS(Entries!$E$2:$E$5000,Entries!$C$2:$C$5000,"Actual",Entries!$A$2:$A$5000,"&gt;="&amp;$A232,Entries!$A$2:$A$5000,"&lt;"&amp;EDATE($A232,1),Entries!$B$2:$B$5000,AO$1))</f>
        <v/>
      </c>
      <c r="AP232" s="23">
        <f>IF(OR(AP$1="",$BM232=0),"",SUMIFS(Entries!$E$2:$E$5000,Entries!$C$2:$C$5000,"Actual",Entries!$A$2:$A$5000,"&gt;="&amp;$A232,Entries!$A$2:$A$5000,"&lt;"&amp;EDATE($A232,1),Entries!$B$2:$B$5000,AP$1))</f>
        <v/>
      </c>
      <c r="AR232" s="23">
        <f>IF(OR(AR$1="",$BM232=0),"",IFERROR(LOOKUP(2,1/((Budgets!$A$2:$A$200=AR$1)*(Budgets!$B$2:$B$200&lt;EDATE($A232,1))),Budgets!$C$2:$C$200),0))</f>
        <v/>
      </c>
      <c r="AS232" s="23">
        <f>IF(OR(AS$1="",$BM232=0),"",IFERROR(LOOKUP(2,1/((Budgets!$A$2:$A$200=AS$1)*(Budgets!$B$2:$B$200&lt;EDATE($A232,1))),Budgets!$C$2:$C$200),0))</f>
        <v/>
      </c>
      <c r="AT232" s="23">
        <f>IF(OR(AT$1="",$BM232=0),"",IFERROR(LOOKUP(2,1/((Budgets!$A$2:$A$200=AT$1)*(Budgets!$B$2:$B$200&lt;EDATE($A232,1))),Budgets!$C$2:$C$200),0))</f>
        <v/>
      </c>
      <c r="AU232" s="23">
        <f>IF(OR(AU$1="",$BM232=0),"",IFERROR(LOOKUP(2,1/((Budgets!$A$2:$A$200=AU$1)*(Budgets!$B$2:$B$200&lt;EDATE($A232,1))),Budgets!$C$2:$C$200),0))</f>
        <v/>
      </c>
      <c r="AV232" s="23">
        <f>IF(OR(AV$1="",$BM232=0),"",IFERROR(LOOKUP(2,1/((Budgets!$A$2:$A$200=AV$1)*(Budgets!$B$2:$B$200&lt;EDATE($A232,1))),Budgets!$C$2:$C$200),0))</f>
        <v/>
      </c>
      <c r="AW232" s="23">
        <f>IF(OR(AW$1="",$BM232=0),"",IFERROR(LOOKUP(2,1/((Budgets!$A$2:$A$200=AW$1)*(Budgets!$B$2:$B$200&lt;EDATE($A232,1))),Budgets!$C$2:$C$200),0))</f>
        <v/>
      </c>
      <c r="AX232" s="23">
        <f>IF(OR(AX$1="",$BM232=0),"",IFERROR(LOOKUP(2,1/((Budgets!$A$2:$A$200=AX$1)*(Budgets!$B$2:$B$200&lt;EDATE($A232,1))),Budgets!$C$2:$C$200),0))</f>
        <v/>
      </c>
      <c r="AY232" s="23">
        <f>IF(OR(AY$1="",$BM232=0),"",IFERROR(LOOKUP(2,1/((Budgets!$A$2:$A$200=AY$1)*(Budgets!$B$2:$B$200&lt;EDATE($A232,1))),Budgets!$C$2:$C$200),0))</f>
        <v/>
      </c>
      <c r="AZ232" s="23">
        <f>IF(OR(AZ$1="",$BM232=0),"",IFERROR(LOOKUP(2,1/((Budgets!$A$2:$A$200=AZ$1)*(Budgets!$B$2:$B$200&lt;EDATE($A232,1))),Budgets!$C$2:$C$200),0))</f>
        <v/>
      </c>
      <c r="BA232" s="23">
        <f>IF(OR(BA$1="",$BM232=0),"",IFERROR(LOOKUP(2,1/((Budgets!$A$2:$A$200=BA$1)*(Budgets!$B$2:$B$200&lt;EDATE($A232,1))),Budgets!$C$2:$C$200),0))</f>
        <v/>
      </c>
      <c r="BB232" s="23">
        <f>IF(OR(BB$1="",$BM232=0),"",IFERROR(LOOKUP(2,1/((Budgets!$A$2:$A$200=BB$1)*(Budgets!$B$2:$B$200&lt;EDATE($A232,1))),Budgets!$C$2:$C$200),0))</f>
        <v/>
      </c>
      <c r="BC232" s="23">
        <f>IF(OR(BC$1="",$BM232=0),"",IFERROR(LOOKUP(2,1/((Budgets!$A$2:$A$200=BC$1)*(Budgets!$B$2:$B$200&lt;EDATE($A232,1))),Budgets!$C$2:$C$200),0))</f>
        <v/>
      </c>
      <c r="BD232" s="23">
        <f>IF(OR(BD$1="",$BM232=0),"",IFERROR(LOOKUP(2,1/((Budgets!$A$2:$A$200=BD$1)*(Budgets!$B$2:$B$200&lt;EDATE($A232,1))),Budgets!$C$2:$C$200),0))</f>
        <v/>
      </c>
      <c r="BE232" s="23">
        <f>IF(OR(BE$1="",$BM232=0),"",IFERROR(LOOKUP(2,1/((Budgets!$A$2:$A$200=BE$1)*(Budgets!$B$2:$B$200&lt;EDATE($A232,1))),Budgets!$C$2:$C$200),0))</f>
        <v/>
      </c>
      <c r="BF232" s="23">
        <f>IF(OR(BF$1="",$BM232=0),"",IFERROR(LOOKUP(2,1/((Budgets!$A$2:$A$200=BF$1)*(Budgets!$B$2:$B$200&lt;EDATE($A232,1))),Budgets!$C$2:$C$200),0))</f>
        <v/>
      </c>
      <c r="BG232" s="23">
        <f>IF(OR(BG$1="",$BM232=0),"",IFERROR(LOOKUP(2,1/((Budgets!$A$2:$A$200=BG$1)*(Budgets!$B$2:$B$200&lt;EDATE($A232,1))),Budgets!$C$2:$C$200),0))</f>
        <v/>
      </c>
      <c r="BH232" s="23">
        <f>IF(OR(BH$1="",$BM232=0),"",IFERROR(LOOKUP(2,1/((Budgets!$A$2:$A$200=BH$1)*(Budgets!$B$2:$B$200&lt;EDATE($A232,1))),Budgets!$C$2:$C$200),0))</f>
        <v/>
      </c>
      <c r="BI232" s="23">
        <f>IF(OR(BI$1="",$BM232=0),"",IFERROR(LOOKUP(2,1/((Budgets!$A$2:$A$200=BI$1)*(Budgets!$B$2:$B$200&lt;EDATE($A232,1))),Budgets!$C$2:$C$200),0))</f>
        <v/>
      </c>
      <c r="BJ232" s="23">
        <f>IF(OR(BJ$1="",$BM232=0),"",IFERROR(LOOKUP(2,1/((Budgets!$A$2:$A$200=BJ$1)*(Budgets!$B$2:$B$200&lt;EDATE($A232,1))),Budgets!$C$2:$C$200),0))</f>
        <v/>
      </c>
      <c r="BK232" s="23">
        <f>IF(OR(BK$1="",$BM232=0),"",IFERROR(LOOKUP(2,1/((Budgets!$A$2:$A$200=BK$1)*(Budgets!$B$2:$B$200&lt;EDATE($A232,1))),Budgets!$C$2:$C$200),0))</f>
        <v/>
      </c>
      <c r="BM232" s="21">
        <f>COUNTIFS(Entries!$A$2:$A$5000,"&gt;="&amp;$A232,Entries!$A$2:$A$5000,"&lt;"&amp;EDATE($A232,1))</f>
        <v/>
      </c>
    </row>
    <row r="233">
      <c r="A233" s="22" t="n">
        <v>46478</v>
      </c>
      <c r="B233" s="23">
        <f>IF($BM233=0,NA(),SUMIFS(Entries!$E$2:$E$5000,Entries!$C$2:$C$5000,"Income",Entries!$A$2:$A$5000,"&gt;="&amp;$A233,Entries!$A$2:$A$5000,"&lt;"&amp;EDATE($A233,1)))</f>
        <v/>
      </c>
      <c r="C233" s="23">
        <f>IF($BM233=0,"",SUMIFS(Entries!$E$2:$E$5000,Entries!$C$2:$C$5000,"Actual",Entries!$A$2:$A$5000,"&gt;="&amp;$A233,Entries!$A$2:$A$5000,"&lt;"&amp;EDATE($A233,1)))</f>
        <v/>
      </c>
      <c r="D233" s="23">
        <f>IF($BM233=0,"",SUMIFS(Entries!$E$2:$E$5000,Entries!$C$2:$C$5000,"One-off",Entries!$A$2:$A$5000,"&gt;="&amp;$A233,Entries!$A$2:$A$5000,"&lt;"&amp;EDATE($A233,1)))</f>
        <v/>
      </c>
      <c r="E233" s="23">
        <f>IF($BM233=0,NA(),C233+D233)</f>
        <v/>
      </c>
      <c r="F233" s="23">
        <f>IF($BM233=0,"",SUM(AR233:BK233))</f>
        <v/>
      </c>
      <c r="G233" s="23">
        <f>IF($BM233=0,"",B233-E233)</f>
        <v/>
      </c>
      <c r="H233" s="23">
        <f>IF($BM233=0,"",SUM($G$2:G233))</f>
        <v/>
      </c>
      <c r="I233" s="23">
        <f>IF($BM233=0,"",SUMIFS(Entries!$G$2:$G$5000,Entries!$A$2:$A$5000,"&gt;="&amp;$A233,Entries!$A$2:$A$5000,"&lt;"&amp;EDATE($A233,1)))</f>
        <v/>
      </c>
      <c r="J233" s="23">
        <f>IF($BM233=0,NA(),H233)</f>
        <v/>
      </c>
      <c r="K233" s="23">
        <f>IF($BM233=0,"",SUMIFS(Entries!$E$2:$E$5000,Entries!$C$2:$C$5000,"Income",Entries!$A$2:$A$5000,"&gt;="&amp;EDATE($A233,-11),Entries!$A$2:$A$5000,"&lt;"&amp;EDATE($A233,1))/COUNTIFS($A$2:$A$400,"&gt;="&amp;EDATE($A233,-11),$A$2:$A$400,"&lt;"&amp;EDATE($A233,1),$BM$2:$BM$400,"&gt;0"))</f>
      </c>
      <c r="L233" s="23">
        <f>IF($BM233=0,"",(SUMIFS(Entries!$E$2:$E$5000,Entries!$C$2:$C$5000,"Actual",Entries!$A$2:$A$5000,"&gt;="&amp;EDATE($A233,-11),Entries!$A$2:$A$5000,"&lt;"&amp;EDATE($A233,1))+SUMIFS(Entries!$E$2:$E$5000,Entries!$C$2:$C$5000,"One-off",Entries!$A$2:$A$5000,"&gt;="&amp;EDATE($A233,-11),Entries!$A$2:$A$5000,"&lt;"&amp;EDATE($A233,1)))/COUNTIFS($A$2:$A$400,"&gt;="&amp;EDATE($A233,-11),$A$2:$A$400,"&lt;"&amp;EDATE($A233,1),$BM$2:$BM$400,"&gt;0"))</f>
      </c>
      <c r="M233" s="24">
        <f>IF($BM233=0,NA(),IFERROR((K233-L233)/K233,0))</f>
        <v/>
      </c>
      <c r="N233" s="23">
        <f>IF($BM233=0,NA(),SUMIFS(Entries!$E$2:$E$5000,Entries!$D$2:$D$5000,"Core",Entries!$A$2:$A$5000,"&gt;="&amp;$A233,Entries!$A$2:$A$5000,"&lt;"&amp;EDATE($A233,1)))</f>
        <v/>
      </c>
      <c r="O233" s="23">
        <f>IF($BM233=0,NA(),SUMIFS(Entries!$E$2:$E$5000,Entries!$D$2:$D$5000,"Over &amp; above",Entries!$A$2:$A$5000,"&gt;="&amp;$A233,Entries!$A$2:$A$5000,"&lt;"&amp;EDATE($A233,1)))</f>
        <v/>
      </c>
      <c r="P233" s="23">
        <f>IF($BM233=0,NA(),SUMIFS(Entries!$E$2:$E$5000,Entries!$D$2:$D$5000,"One-off",Entries!$A$2:$A$5000,"&gt;="&amp;$A233,Entries!$A$2:$A$5000,"&lt;"&amp;EDATE($A233,1)))</f>
        <v/>
      </c>
      <c r="Q233" s="23">
        <f>IF($BM233=0,NA(),SUMIFS(Entries!$E$2:$E$5000,Entries!$D$2:$D$5000,"Reimbursable",Entries!$A$2:$A$5000,"&gt;="&amp;$A233,Entries!$A$2:$A$5000,"&lt;"&amp;EDATE($A233,1)))</f>
        <v/>
      </c>
      <c r="R233" s="23">
        <f>IF($BM233=0,NA(),SUMIFS(Entries!$E$2:$E$5000,Entries!$D$2:$D$5000,"Investment",Entries!$A$2:$A$5000,"&gt;="&amp;$A233,Entries!$A$2:$A$5000,"&lt;"&amp;EDATE($A233,1)))</f>
        <v/>
      </c>
      <c r="S233" s="23">
        <f>IF($BM233=0,NA(),N233+O233)</f>
        <v/>
      </c>
      <c r="T233" s="23">
        <f>IF($BM233=0,"",E233-Q233)</f>
        <v/>
      </c>
      <c r="W233" s="23">
        <f>IF(OR(W$1="",$BM233=0),"",SUMIFS(Entries!$E$2:$E$5000,Entries!$C$2:$C$5000,"Actual",Entries!$A$2:$A$5000,"&gt;="&amp;$A233,Entries!$A$2:$A$5000,"&lt;"&amp;EDATE($A233,1),Entries!$B$2:$B$5000,W$1))</f>
        <v/>
      </c>
      <c r="X233" s="23">
        <f>IF(OR(X$1="",$BM233=0),"",SUMIFS(Entries!$E$2:$E$5000,Entries!$C$2:$C$5000,"Actual",Entries!$A$2:$A$5000,"&gt;="&amp;$A233,Entries!$A$2:$A$5000,"&lt;"&amp;EDATE($A233,1),Entries!$B$2:$B$5000,X$1))</f>
        <v/>
      </c>
      <c r="Y233" s="23">
        <f>IF(OR(Y$1="",$BM233=0),"",SUMIFS(Entries!$E$2:$E$5000,Entries!$C$2:$C$5000,"Actual",Entries!$A$2:$A$5000,"&gt;="&amp;$A233,Entries!$A$2:$A$5000,"&lt;"&amp;EDATE($A233,1),Entries!$B$2:$B$5000,Y$1))</f>
        <v/>
      </c>
      <c r="Z233" s="23">
        <f>IF(OR(Z$1="",$BM233=0),"",SUMIFS(Entries!$E$2:$E$5000,Entries!$C$2:$C$5000,"Actual",Entries!$A$2:$A$5000,"&gt;="&amp;$A233,Entries!$A$2:$A$5000,"&lt;"&amp;EDATE($A233,1),Entries!$B$2:$B$5000,Z$1))</f>
        <v/>
      </c>
      <c r="AA233" s="23">
        <f>IF(OR(AA$1="",$BM233=0),"",SUMIFS(Entries!$E$2:$E$5000,Entries!$C$2:$C$5000,"Actual",Entries!$A$2:$A$5000,"&gt;="&amp;$A233,Entries!$A$2:$A$5000,"&lt;"&amp;EDATE($A233,1),Entries!$B$2:$B$5000,AA$1))</f>
        <v/>
      </c>
      <c r="AB233" s="23">
        <f>IF(OR(AB$1="",$BM233=0),"",SUMIFS(Entries!$E$2:$E$5000,Entries!$C$2:$C$5000,"Actual",Entries!$A$2:$A$5000,"&gt;="&amp;$A233,Entries!$A$2:$A$5000,"&lt;"&amp;EDATE($A233,1),Entries!$B$2:$B$5000,AB$1))</f>
        <v/>
      </c>
      <c r="AC233" s="23">
        <f>IF(OR(AC$1="",$BM233=0),"",SUMIFS(Entries!$E$2:$E$5000,Entries!$C$2:$C$5000,"Actual",Entries!$A$2:$A$5000,"&gt;="&amp;$A233,Entries!$A$2:$A$5000,"&lt;"&amp;EDATE($A233,1),Entries!$B$2:$B$5000,AC$1))</f>
        <v/>
      </c>
      <c r="AD233" s="23">
        <f>IF(OR(AD$1="",$BM233=0),"",SUMIFS(Entries!$E$2:$E$5000,Entries!$C$2:$C$5000,"Actual",Entries!$A$2:$A$5000,"&gt;="&amp;$A233,Entries!$A$2:$A$5000,"&lt;"&amp;EDATE($A233,1),Entries!$B$2:$B$5000,AD$1))</f>
        <v/>
      </c>
      <c r="AE233" s="23">
        <f>IF(OR(AE$1="",$BM233=0),"",SUMIFS(Entries!$E$2:$E$5000,Entries!$C$2:$C$5000,"Actual",Entries!$A$2:$A$5000,"&gt;="&amp;$A233,Entries!$A$2:$A$5000,"&lt;"&amp;EDATE($A233,1),Entries!$B$2:$B$5000,AE$1))</f>
        <v/>
      </c>
      <c r="AF233" s="23">
        <f>IF(OR(AF$1="",$BM233=0),"",SUMIFS(Entries!$E$2:$E$5000,Entries!$C$2:$C$5000,"Actual",Entries!$A$2:$A$5000,"&gt;="&amp;$A233,Entries!$A$2:$A$5000,"&lt;"&amp;EDATE($A233,1),Entries!$B$2:$B$5000,AF$1))</f>
        <v/>
      </c>
      <c r="AG233" s="23">
        <f>IF(OR(AG$1="",$BM233=0),"",SUMIFS(Entries!$E$2:$E$5000,Entries!$C$2:$C$5000,"Actual",Entries!$A$2:$A$5000,"&gt;="&amp;$A233,Entries!$A$2:$A$5000,"&lt;"&amp;EDATE($A233,1),Entries!$B$2:$B$5000,AG$1))</f>
        <v/>
      </c>
      <c r="AH233" s="23">
        <f>IF(OR(AH$1="",$BM233=0),"",SUMIFS(Entries!$E$2:$E$5000,Entries!$C$2:$C$5000,"Actual",Entries!$A$2:$A$5000,"&gt;="&amp;$A233,Entries!$A$2:$A$5000,"&lt;"&amp;EDATE($A233,1),Entries!$B$2:$B$5000,AH$1))</f>
        <v/>
      </c>
      <c r="AI233" s="23">
        <f>IF(OR(AI$1="",$BM233=0),"",SUMIFS(Entries!$E$2:$E$5000,Entries!$C$2:$C$5000,"Actual",Entries!$A$2:$A$5000,"&gt;="&amp;$A233,Entries!$A$2:$A$5000,"&lt;"&amp;EDATE($A233,1),Entries!$B$2:$B$5000,AI$1))</f>
        <v/>
      </c>
      <c r="AJ233" s="23">
        <f>IF(OR(AJ$1="",$BM233=0),"",SUMIFS(Entries!$E$2:$E$5000,Entries!$C$2:$C$5000,"Actual",Entries!$A$2:$A$5000,"&gt;="&amp;$A233,Entries!$A$2:$A$5000,"&lt;"&amp;EDATE($A233,1),Entries!$B$2:$B$5000,AJ$1))</f>
        <v/>
      </c>
      <c r="AK233" s="23">
        <f>IF(OR(AK$1="",$BM233=0),"",SUMIFS(Entries!$E$2:$E$5000,Entries!$C$2:$C$5000,"Actual",Entries!$A$2:$A$5000,"&gt;="&amp;$A233,Entries!$A$2:$A$5000,"&lt;"&amp;EDATE($A233,1),Entries!$B$2:$B$5000,AK$1))</f>
        <v/>
      </c>
      <c r="AL233" s="23">
        <f>IF(OR(AL$1="",$BM233=0),"",SUMIFS(Entries!$E$2:$E$5000,Entries!$C$2:$C$5000,"Actual",Entries!$A$2:$A$5000,"&gt;="&amp;$A233,Entries!$A$2:$A$5000,"&lt;"&amp;EDATE($A233,1),Entries!$B$2:$B$5000,AL$1))</f>
        <v/>
      </c>
      <c r="AM233" s="23">
        <f>IF(OR(AM$1="",$BM233=0),"",SUMIFS(Entries!$E$2:$E$5000,Entries!$C$2:$C$5000,"Actual",Entries!$A$2:$A$5000,"&gt;="&amp;$A233,Entries!$A$2:$A$5000,"&lt;"&amp;EDATE($A233,1),Entries!$B$2:$B$5000,AM$1))</f>
        <v/>
      </c>
      <c r="AN233" s="23">
        <f>IF(OR(AN$1="",$BM233=0),"",SUMIFS(Entries!$E$2:$E$5000,Entries!$C$2:$C$5000,"Actual",Entries!$A$2:$A$5000,"&gt;="&amp;$A233,Entries!$A$2:$A$5000,"&lt;"&amp;EDATE($A233,1),Entries!$B$2:$B$5000,AN$1))</f>
        <v/>
      </c>
      <c r="AO233" s="23">
        <f>IF(OR(AO$1="",$BM233=0),"",SUMIFS(Entries!$E$2:$E$5000,Entries!$C$2:$C$5000,"Actual",Entries!$A$2:$A$5000,"&gt;="&amp;$A233,Entries!$A$2:$A$5000,"&lt;"&amp;EDATE($A233,1),Entries!$B$2:$B$5000,AO$1))</f>
        <v/>
      </c>
      <c r="AP233" s="23">
        <f>IF(OR(AP$1="",$BM233=0),"",SUMIFS(Entries!$E$2:$E$5000,Entries!$C$2:$C$5000,"Actual",Entries!$A$2:$A$5000,"&gt;="&amp;$A233,Entries!$A$2:$A$5000,"&lt;"&amp;EDATE($A233,1),Entries!$B$2:$B$5000,AP$1))</f>
        <v/>
      </c>
      <c r="AR233" s="23">
        <f>IF(OR(AR$1="",$BM233=0),"",IFERROR(LOOKUP(2,1/((Budgets!$A$2:$A$200=AR$1)*(Budgets!$B$2:$B$200&lt;EDATE($A233,1))),Budgets!$C$2:$C$200),0))</f>
        <v/>
      </c>
      <c r="AS233" s="23">
        <f>IF(OR(AS$1="",$BM233=0),"",IFERROR(LOOKUP(2,1/((Budgets!$A$2:$A$200=AS$1)*(Budgets!$B$2:$B$200&lt;EDATE($A233,1))),Budgets!$C$2:$C$200),0))</f>
        <v/>
      </c>
      <c r="AT233" s="23">
        <f>IF(OR(AT$1="",$BM233=0),"",IFERROR(LOOKUP(2,1/((Budgets!$A$2:$A$200=AT$1)*(Budgets!$B$2:$B$200&lt;EDATE($A233,1))),Budgets!$C$2:$C$200),0))</f>
        <v/>
      </c>
      <c r="AU233" s="23">
        <f>IF(OR(AU$1="",$BM233=0),"",IFERROR(LOOKUP(2,1/((Budgets!$A$2:$A$200=AU$1)*(Budgets!$B$2:$B$200&lt;EDATE($A233,1))),Budgets!$C$2:$C$200),0))</f>
        <v/>
      </c>
      <c r="AV233" s="23">
        <f>IF(OR(AV$1="",$BM233=0),"",IFERROR(LOOKUP(2,1/((Budgets!$A$2:$A$200=AV$1)*(Budgets!$B$2:$B$200&lt;EDATE($A233,1))),Budgets!$C$2:$C$200),0))</f>
        <v/>
      </c>
      <c r="AW233" s="23">
        <f>IF(OR(AW$1="",$BM233=0),"",IFERROR(LOOKUP(2,1/((Budgets!$A$2:$A$200=AW$1)*(Budgets!$B$2:$B$200&lt;EDATE($A233,1))),Budgets!$C$2:$C$200),0))</f>
        <v/>
      </c>
      <c r="AX233" s="23">
        <f>IF(OR(AX$1="",$BM233=0),"",IFERROR(LOOKUP(2,1/((Budgets!$A$2:$A$200=AX$1)*(Budgets!$B$2:$B$200&lt;EDATE($A233,1))),Budgets!$C$2:$C$200),0))</f>
        <v/>
      </c>
      <c r="AY233" s="23">
        <f>IF(OR(AY$1="",$BM233=0),"",IFERROR(LOOKUP(2,1/((Budgets!$A$2:$A$200=AY$1)*(Budgets!$B$2:$B$200&lt;EDATE($A233,1))),Budgets!$C$2:$C$200),0))</f>
        <v/>
      </c>
      <c r="AZ233" s="23">
        <f>IF(OR(AZ$1="",$BM233=0),"",IFERROR(LOOKUP(2,1/((Budgets!$A$2:$A$200=AZ$1)*(Budgets!$B$2:$B$200&lt;EDATE($A233,1))),Budgets!$C$2:$C$200),0))</f>
        <v/>
      </c>
      <c r="BA233" s="23">
        <f>IF(OR(BA$1="",$BM233=0),"",IFERROR(LOOKUP(2,1/((Budgets!$A$2:$A$200=BA$1)*(Budgets!$B$2:$B$200&lt;EDATE($A233,1))),Budgets!$C$2:$C$200),0))</f>
        <v/>
      </c>
      <c r="BB233" s="23">
        <f>IF(OR(BB$1="",$BM233=0),"",IFERROR(LOOKUP(2,1/((Budgets!$A$2:$A$200=BB$1)*(Budgets!$B$2:$B$200&lt;EDATE($A233,1))),Budgets!$C$2:$C$200),0))</f>
        <v/>
      </c>
      <c r="BC233" s="23">
        <f>IF(OR(BC$1="",$BM233=0),"",IFERROR(LOOKUP(2,1/((Budgets!$A$2:$A$200=BC$1)*(Budgets!$B$2:$B$200&lt;EDATE($A233,1))),Budgets!$C$2:$C$200),0))</f>
        <v/>
      </c>
      <c r="BD233" s="23">
        <f>IF(OR(BD$1="",$BM233=0),"",IFERROR(LOOKUP(2,1/((Budgets!$A$2:$A$200=BD$1)*(Budgets!$B$2:$B$200&lt;EDATE($A233,1))),Budgets!$C$2:$C$200),0))</f>
        <v/>
      </c>
      <c r="BE233" s="23">
        <f>IF(OR(BE$1="",$BM233=0),"",IFERROR(LOOKUP(2,1/((Budgets!$A$2:$A$200=BE$1)*(Budgets!$B$2:$B$200&lt;EDATE($A233,1))),Budgets!$C$2:$C$200),0))</f>
        <v/>
      </c>
      <c r="BF233" s="23">
        <f>IF(OR(BF$1="",$BM233=0),"",IFERROR(LOOKUP(2,1/((Budgets!$A$2:$A$200=BF$1)*(Budgets!$B$2:$B$200&lt;EDATE($A233,1))),Budgets!$C$2:$C$200),0))</f>
        <v/>
      </c>
      <c r="BG233" s="23">
        <f>IF(OR(BG$1="",$BM233=0),"",IFERROR(LOOKUP(2,1/((Budgets!$A$2:$A$200=BG$1)*(Budgets!$B$2:$B$200&lt;EDATE($A233,1))),Budgets!$C$2:$C$200),0))</f>
        <v/>
      </c>
      <c r="BH233" s="23">
        <f>IF(OR(BH$1="",$BM233=0),"",IFERROR(LOOKUP(2,1/((Budgets!$A$2:$A$200=BH$1)*(Budgets!$B$2:$B$200&lt;EDATE($A233,1))),Budgets!$C$2:$C$200),0))</f>
        <v/>
      </c>
      <c r="BI233" s="23">
        <f>IF(OR(BI$1="",$BM233=0),"",IFERROR(LOOKUP(2,1/((Budgets!$A$2:$A$200=BI$1)*(Budgets!$B$2:$B$200&lt;EDATE($A233,1))),Budgets!$C$2:$C$200),0))</f>
        <v/>
      </c>
      <c r="BJ233" s="23">
        <f>IF(OR(BJ$1="",$BM233=0),"",IFERROR(LOOKUP(2,1/((Budgets!$A$2:$A$200=BJ$1)*(Budgets!$B$2:$B$200&lt;EDATE($A233,1))),Budgets!$C$2:$C$200),0))</f>
        <v/>
      </c>
      <c r="BK233" s="23">
        <f>IF(OR(BK$1="",$BM233=0),"",IFERROR(LOOKUP(2,1/((Budgets!$A$2:$A$200=BK$1)*(Budgets!$B$2:$B$200&lt;EDATE($A233,1))),Budgets!$C$2:$C$200),0))</f>
        <v/>
      </c>
      <c r="BM233" s="21">
        <f>COUNTIFS(Entries!$A$2:$A$5000,"&gt;="&amp;$A233,Entries!$A$2:$A$5000,"&lt;"&amp;EDATE($A233,1))</f>
        <v/>
      </c>
    </row>
    <row r="234">
      <c r="A234" s="22" t="n">
        <v>46508</v>
      </c>
      <c r="B234" s="23">
        <f>IF($BM234=0,NA(),SUMIFS(Entries!$E$2:$E$5000,Entries!$C$2:$C$5000,"Income",Entries!$A$2:$A$5000,"&gt;="&amp;$A234,Entries!$A$2:$A$5000,"&lt;"&amp;EDATE($A234,1)))</f>
        <v/>
      </c>
      <c r="C234" s="23">
        <f>IF($BM234=0,"",SUMIFS(Entries!$E$2:$E$5000,Entries!$C$2:$C$5000,"Actual",Entries!$A$2:$A$5000,"&gt;="&amp;$A234,Entries!$A$2:$A$5000,"&lt;"&amp;EDATE($A234,1)))</f>
        <v/>
      </c>
      <c r="D234" s="23">
        <f>IF($BM234=0,"",SUMIFS(Entries!$E$2:$E$5000,Entries!$C$2:$C$5000,"One-off",Entries!$A$2:$A$5000,"&gt;="&amp;$A234,Entries!$A$2:$A$5000,"&lt;"&amp;EDATE($A234,1)))</f>
        <v/>
      </c>
      <c r="E234" s="23">
        <f>IF($BM234=0,NA(),C234+D234)</f>
        <v/>
      </c>
      <c r="F234" s="23">
        <f>IF($BM234=0,"",SUM(AR234:BK234))</f>
        <v/>
      </c>
      <c r="G234" s="23">
        <f>IF($BM234=0,"",B234-E234)</f>
        <v/>
      </c>
      <c r="H234" s="23">
        <f>IF($BM234=0,"",SUM($G$2:G234))</f>
        <v/>
      </c>
      <c r="I234" s="23">
        <f>IF($BM234=0,"",SUMIFS(Entries!$G$2:$G$5000,Entries!$A$2:$A$5000,"&gt;="&amp;$A234,Entries!$A$2:$A$5000,"&lt;"&amp;EDATE($A234,1)))</f>
        <v/>
      </c>
      <c r="J234" s="23">
        <f>IF($BM234=0,NA(),H234)</f>
        <v/>
      </c>
      <c r="K234" s="23">
        <f>IF($BM234=0,"",SUMIFS(Entries!$E$2:$E$5000,Entries!$C$2:$C$5000,"Income",Entries!$A$2:$A$5000,"&gt;="&amp;EDATE($A234,-11),Entries!$A$2:$A$5000,"&lt;"&amp;EDATE($A234,1))/COUNTIFS($A$2:$A$400,"&gt;="&amp;EDATE($A234,-11),$A$2:$A$400,"&lt;"&amp;EDATE($A234,1),$BM$2:$BM$400,"&gt;0"))</f>
      </c>
      <c r="L234" s="23">
        <f>IF($BM234=0,"",(SUMIFS(Entries!$E$2:$E$5000,Entries!$C$2:$C$5000,"Actual",Entries!$A$2:$A$5000,"&gt;="&amp;EDATE($A234,-11),Entries!$A$2:$A$5000,"&lt;"&amp;EDATE($A234,1))+SUMIFS(Entries!$E$2:$E$5000,Entries!$C$2:$C$5000,"One-off",Entries!$A$2:$A$5000,"&gt;="&amp;EDATE($A234,-11),Entries!$A$2:$A$5000,"&lt;"&amp;EDATE($A234,1)))/COUNTIFS($A$2:$A$400,"&gt;="&amp;EDATE($A234,-11),$A$2:$A$400,"&lt;"&amp;EDATE($A234,1),$BM$2:$BM$400,"&gt;0"))</f>
      </c>
      <c r="M234" s="24">
        <f>IF($BM234=0,NA(),IFERROR((K234-L234)/K234,0))</f>
        <v/>
      </c>
      <c r="N234" s="23">
        <f>IF($BM234=0,NA(),SUMIFS(Entries!$E$2:$E$5000,Entries!$D$2:$D$5000,"Core",Entries!$A$2:$A$5000,"&gt;="&amp;$A234,Entries!$A$2:$A$5000,"&lt;"&amp;EDATE($A234,1)))</f>
        <v/>
      </c>
      <c r="O234" s="23">
        <f>IF($BM234=0,NA(),SUMIFS(Entries!$E$2:$E$5000,Entries!$D$2:$D$5000,"Over &amp; above",Entries!$A$2:$A$5000,"&gt;="&amp;$A234,Entries!$A$2:$A$5000,"&lt;"&amp;EDATE($A234,1)))</f>
        <v/>
      </c>
      <c r="P234" s="23">
        <f>IF($BM234=0,NA(),SUMIFS(Entries!$E$2:$E$5000,Entries!$D$2:$D$5000,"One-off",Entries!$A$2:$A$5000,"&gt;="&amp;$A234,Entries!$A$2:$A$5000,"&lt;"&amp;EDATE($A234,1)))</f>
        <v/>
      </c>
      <c r="Q234" s="23">
        <f>IF($BM234=0,NA(),SUMIFS(Entries!$E$2:$E$5000,Entries!$D$2:$D$5000,"Reimbursable",Entries!$A$2:$A$5000,"&gt;="&amp;$A234,Entries!$A$2:$A$5000,"&lt;"&amp;EDATE($A234,1)))</f>
        <v/>
      </c>
      <c r="R234" s="23">
        <f>IF($BM234=0,NA(),SUMIFS(Entries!$E$2:$E$5000,Entries!$D$2:$D$5000,"Investment",Entries!$A$2:$A$5000,"&gt;="&amp;$A234,Entries!$A$2:$A$5000,"&lt;"&amp;EDATE($A234,1)))</f>
        <v/>
      </c>
      <c r="S234" s="23">
        <f>IF($BM234=0,NA(),N234+O234)</f>
        <v/>
      </c>
      <c r="T234" s="23">
        <f>IF($BM234=0,"",E234-Q234)</f>
        <v/>
      </c>
      <c r="W234" s="23">
        <f>IF(OR(W$1="",$BM234=0),"",SUMIFS(Entries!$E$2:$E$5000,Entries!$C$2:$C$5000,"Actual",Entries!$A$2:$A$5000,"&gt;="&amp;$A234,Entries!$A$2:$A$5000,"&lt;"&amp;EDATE($A234,1),Entries!$B$2:$B$5000,W$1))</f>
        <v/>
      </c>
      <c r="X234" s="23">
        <f>IF(OR(X$1="",$BM234=0),"",SUMIFS(Entries!$E$2:$E$5000,Entries!$C$2:$C$5000,"Actual",Entries!$A$2:$A$5000,"&gt;="&amp;$A234,Entries!$A$2:$A$5000,"&lt;"&amp;EDATE($A234,1),Entries!$B$2:$B$5000,X$1))</f>
        <v/>
      </c>
      <c r="Y234" s="23">
        <f>IF(OR(Y$1="",$BM234=0),"",SUMIFS(Entries!$E$2:$E$5000,Entries!$C$2:$C$5000,"Actual",Entries!$A$2:$A$5000,"&gt;="&amp;$A234,Entries!$A$2:$A$5000,"&lt;"&amp;EDATE($A234,1),Entries!$B$2:$B$5000,Y$1))</f>
        <v/>
      </c>
      <c r="Z234" s="23">
        <f>IF(OR(Z$1="",$BM234=0),"",SUMIFS(Entries!$E$2:$E$5000,Entries!$C$2:$C$5000,"Actual",Entries!$A$2:$A$5000,"&gt;="&amp;$A234,Entries!$A$2:$A$5000,"&lt;"&amp;EDATE($A234,1),Entries!$B$2:$B$5000,Z$1))</f>
        <v/>
      </c>
      <c r="AA234" s="23">
        <f>IF(OR(AA$1="",$BM234=0),"",SUMIFS(Entries!$E$2:$E$5000,Entries!$C$2:$C$5000,"Actual",Entries!$A$2:$A$5000,"&gt;="&amp;$A234,Entries!$A$2:$A$5000,"&lt;"&amp;EDATE($A234,1),Entries!$B$2:$B$5000,AA$1))</f>
        <v/>
      </c>
      <c r="AB234" s="23">
        <f>IF(OR(AB$1="",$BM234=0),"",SUMIFS(Entries!$E$2:$E$5000,Entries!$C$2:$C$5000,"Actual",Entries!$A$2:$A$5000,"&gt;="&amp;$A234,Entries!$A$2:$A$5000,"&lt;"&amp;EDATE($A234,1),Entries!$B$2:$B$5000,AB$1))</f>
        <v/>
      </c>
      <c r="AC234" s="23">
        <f>IF(OR(AC$1="",$BM234=0),"",SUMIFS(Entries!$E$2:$E$5000,Entries!$C$2:$C$5000,"Actual",Entries!$A$2:$A$5000,"&gt;="&amp;$A234,Entries!$A$2:$A$5000,"&lt;"&amp;EDATE($A234,1),Entries!$B$2:$B$5000,AC$1))</f>
        <v/>
      </c>
      <c r="AD234" s="23">
        <f>IF(OR(AD$1="",$BM234=0),"",SUMIFS(Entries!$E$2:$E$5000,Entries!$C$2:$C$5000,"Actual",Entries!$A$2:$A$5000,"&gt;="&amp;$A234,Entries!$A$2:$A$5000,"&lt;"&amp;EDATE($A234,1),Entries!$B$2:$B$5000,AD$1))</f>
        <v/>
      </c>
      <c r="AE234" s="23">
        <f>IF(OR(AE$1="",$BM234=0),"",SUMIFS(Entries!$E$2:$E$5000,Entries!$C$2:$C$5000,"Actual",Entries!$A$2:$A$5000,"&gt;="&amp;$A234,Entries!$A$2:$A$5000,"&lt;"&amp;EDATE($A234,1),Entries!$B$2:$B$5000,AE$1))</f>
        <v/>
      </c>
      <c r="AF234" s="23">
        <f>IF(OR(AF$1="",$BM234=0),"",SUMIFS(Entries!$E$2:$E$5000,Entries!$C$2:$C$5000,"Actual",Entries!$A$2:$A$5000,"&gt;="&amp;$A234,Entries!$A$2:$A$5000,"&lt;"&amp;EDATE($A234,1),Entries!$B$2:$B$5000,AF$1))</f>
        <v/>
      </c>
      <c r="AG234" s="23">
        <f>IF(OR(AG$1="",$BM234=0),"",SUMIFS(Entries!$E$2:$E$5000,Entries!$C$2:$C$5000,"Actual",Entries!$A$2:$A$5000,"&gt;="&amp;$A234,Entries!$A$2:$A$5000,"&lt;"&amp;EDATE($A234,1),Entries!$B$2:$B$5000,AG$1))</f>
        <v/>
      </c>
      <c r="AH234" s="23">
        <f>IF(OR(AH$1="",$BM234=0),"",SUMIFS(Entries!$E$2:$E$5000,Entries!$C$2:$C$5000,"Actual",Entries!$A$2:$A$5000,"&gt;="&amp;$A234,Entries!$A$2:$A$5000,"&lt;"&amp;EDATE($A234,1),Entries!$B$2:$B$5000,AH$1))</f>
        <v/>
      </c>
      <c r="AI234" s="23">
        <f>IF(OR(AI$1="",$BM234=0),"",SUMIFS(Entries!$E$2:$E$5000,Entries!$C$2:$C$5000,"Actual",Entries!$A$2:$A$5000,"&gt;="&amp;$A234,Entries!$A$2:$A$5000,"&lt;"&amp;EDATE($A234,1),Entries!$B$2:$B$5000,AI$1))</f>
        <v/>
      </c>
      <c r="AJ234" s="23">
        <f>IF(OR(AJ$1="",$BM234=0),"",SUMIFS(Entries!$E$2:$E$5000,Entries!$C$2:$C$5000,"Actual",Entries!$A$2:$A$5000,"&gt;="&amp;$A234,Entries!$A$2:$A$5000,"&lt;"&amp;EDATE($A234,1),Entries!$B$2:$B$5000,AJ$1))</f>
        <v/>
      </c>
      <c r="AK234" s="23">
        <f>IF(OR(AK$1="",$BM234=0),"",SUMIFS(Entries!$E$2:$E$5000,Entries!$C$2:$C$5000,"Actual",Entries!$A$2:$A$5000,"&gt;="&amp;$A234,Entries!$A$2:$A$5000,"&lt;"&amp;EDATE($A234,1),Entries!$B$2:$B$5000,AK$1))</f>
        <v/>
      </c>
      <c r="AL234" s="23">
        <f>IF(OR(AL$1="",$BM234=0),"",SUMIFS(Entries!$E$2:$E$5000,Entries!$C$2:$C$5000,"Actual",Entries!$A$2:$A$5000,"&gt;="&amp;$A234,Entries!$A$2:$A$5000,"&lt;"&amp;EDATE($A234,1),Entries!$B$2:$B$5000,AL$1))</f>
        <v/>
      </c>
      <c r="AM234" s="23">
        <f>IF(OR(AM$1="",$BM234=0),"",SUMIFS(Entries!$E$2:$E$5000,Entries!$C$2:$C$5000,"Actual",Entries!$A$2:$A$5000,"&gt;="&amp;$A234,Entries!$A$2:$A$5000,"&lt;"&amp;EDATE($A234,1),Entries!$B$2:$B$5000,AM$1))</f>
        <v/>
      </c>
      <c r="AN234" s="23">
        <f>IF(OR(AN$1="",$BM234=0),"",SUMIFS(Entries!$E$2:$E$5000,Entries!$C$2:$C$5000,"Actual",Entries!$A$2:$A$5000,"&gt;="&amp;$A234,Entries!$A$2:$A$5000,"&lt;"&amp;EDATE($A234,1),Entries!$B$2:$B$5000,AN$1))</f>
        <v/>
      </c>
      <c r="AO234" s="23">
        <f>IF(OR(AO$1="",$BM234=0),"",SUMIFS(Entries!$E$2:$E$5000,Entries!$C$2:$C$5000,"Actual",Entries!$A$2:$A$5000,"&gt;="&amp;$A234,Entries!$A$2:$A$5000,"&lt;"&amp;EDATE($A234,1),Entries!$B$2:$B$5000,AO$1))</f>
        <v/>
      </c>
      <c r="AP234" s="23">
        <f>IF(OR(AP$1="",$BM234=0),"",SUMIFS(Entries!$E$2:$E$5000,Entries!$C$2:$C$5000,"Actual",Entries!$A$2:$A$5000,"&gt;="&amp;$A234,Entries!$A$2:$A$5000,"&lt;"&amp;EDATE($A234,1),Entries!$B$2:$B$5000,AP$1))</f>
        <v/>
      </c>
      <c r="AR234" s="23">
        <f>IF(OR(AR$1="",$BM234=0),"",IFERROR(LOOKUP(2,1/((Budgets!$A$2:$A$200=AR$1)*(Budgets!$B$2:$B$200&lt;EDATE($A234,1))),Budgets!$C$2:$C$200),0))</f>
        <v/>
      </c>
      <c r="AS234" s="23">
        <f>IF(OR(AS$1="",$BM234=0),"",IFERROR(LOOKUP(2,1/((Budgets!$A$2:$A$200=AS$1)*(Budgets!$B$2:$B$200&lt;EDATE($A234,1))),Budgets!$C$2:$C$200),0))</f>
        <v/>
      </c>
      <c r="AT234" s="23">
        <f>IF(OR(AT$1="",$BM234=0),"",IFERROR(LOOKUP(2,1/((Budgets!$A$2:$A$200=AT$1)*(Budgets!$B$2:$B$200&lt;EDATE($A234,1))),Budgets!$C$2:$C$200),0))</f>
        <v/>
      </c>
      <c r="AU234" s="23">
        <f>IF(OR(AU$1="",$BM234=0),"",IFERROR(LOOKUP(2,1/((Budgets!$A$2:$A$200=AU$1)*(Budgets!$B$2:$B$200&lt;EDATE($A234,1))),Budgets!$C$2:$C$200),0))</f>
        <v/>
      </c>
      <c r="AV234" s="23">
        <f>IF(OR(AV$1="",$BM234=0),"",IFERROR(LOOKUP(2,1/((Budgets!$A$2:$A$200=AV$1)*(Budgets!$B$2:$B$200&lt;EDATE($A234,1))),Budgets!$C$2:$C$200),0))</f>
        <v/>
      </c>
      <c r="AW234" s="23">
        <f>IF(OR(AW$1="",$BM234=0),"",IFERROR(LOOKUP(2,1/((Budgets!$A$2:$A$200=AW$1)*(Budgets!$B$2:$B$200&lt;EDATE($A234,1))),Budgets!$C$2:$C$200),0))</f>
        <v/>
      </c>
      <c r="AX234" s="23">
        <f>IF(OR(AX$1="",$BM234=0),"",IFERROR(LOOKUP(2,1/((Budgets!$A$2:$A$200=AX$1)*(Budgets!$B$2:$B$200&lt;EDATE($A234,1))),Budgets!$C$2:$C$200),0))</f>
        <v/>
      </c>
      <c r="AY234" s="23">
        <f>IF(OR(AY$1="",$BM234=0),"",IFERROR(LOOKUP(2,1/((Budgets!$A$2:$A$200=AY$1)*(Budgets!$B$2:$B$200&lt;EDATE($A234,1))),Budgets!$C$2:$C$200),0))</f>
        <v/>
      </c>
      <c r="AZ234" s="23">
        <f>IF(OR(AZ$1="",$BM234=0),"",IFERROR(LOOKUP(2,1/((Budgets!$A$2:$A$200=AZ$1)*(Budgets!$B$2:$B$200&lt;EDATE($A234,1))),Budgets!$C$2:$C$200),0))</f>
        <v/>
      </c>
      <c r="BA234" s="23">
        <f>IF(OR(BA$1="",$BM234=0),"",IFERROR(LOOKUP(2,1/((Budgets!$A$2:$A$200=BA$1)*(Budgets!$B$2:$B$200&lt;EDATE($A234,1))),Budgets!$C$2:$C$200),0))</f>
        <v/>
      </c>
      <c r="BB234" s="23">
        <f>IF(OR(BB$1="",$BM234=0),"",IFERROR(LOOKUP(2,1/((Budgets!$A$2:$A$200=BB$1)*(Budgets!$B$2:$B$200&lt;EDATE($A234,1))),Budgets!$C$2:$C$200),0))</f>
        <v/>
      </c>
      <c r="BC234" s="23">
        <f>IF(OR(BC$1="",$BM234=0),"",IFERROR(LOOKUP(2,1/((Budgets!$A$2:$A$200=BC$1)*(Budgets!$B$2:$B$200&lt;EDATE($A234,1))),Budgets!$C$2:$C$200),0))</f>
        <v/>
      </c>
      <c r="BD234" s="23">
        <f>IF(OR(BD$1="",$BM234=0),"",IFERROR(LOOKUP(2,1/((Budgets!$A$2:$A$200=BD$1)*(Budgets!$B$2:$B$200&lt;EDATE($A234,1))),Budgets!$C$2:$C$200),0))</f>
        <v/>
      </c>
      <c r="BE234" s="23">
        <f>IF(OR(BE$1="",$BM234=0),"",IFERROR(LOOKUP(2,1/((Budgets!$A$2:$A$200=BE$1)*(Budgets!$B$2:$B$200&lt;EDATE($A234,1))),Budgets!$C$2:$C$200),0))</f>
        <v/>
      </c>
      <c r="BF234" s="23">
        <f>IF(OR(BF$1="",$BM234=0),"",IFERROR(LOOKUP(2,1/((Budgets!$A$2:$A$200=BF$1)*(Budgets!$B$2:$B$200&lt;EDATE($A234,1))),Budgets!$C$2:$C$200),0))</f>
        <v/>
      </c>
      <c r="BG234" s="23">
        <f>IF(OR(BG$1="",$BM234=0),"",IFERROR(LOOKUP(2,1/((Budgets!$A$2:$A$200=BG$1)*(Budgets!$B$2:$B$200&lt;EDATE($A234,1))),Budgets!$C$2:$C$200),0))</f>
        <v/>
      </c>
      <c r="BH234" s="23">
        <f>IF(OR(BH$1="",$BM234=0),"",IFERROR(LOOKUP(2,1/((Budgets!$A$2:$A$200=BH$1)*(Budgets!$B$2:$B$200&lt;EDATE($A234,1))),Budgets!$C$2:$C$200),0))</f>
        <v/>
      </c>
      <c r="BI234" s="23">
        <f>IF(OR(BI$1="",$BM234=0),"",IFERROR(LOOKUP(2,1/((Budgets!$A$2:$A$200=BI$1)*(Budgets!$B$2:$B$200&lt;EDATE($A234,1))),Budgets!$C$2:$C$200),0))</f>
        <v/>
      </c>
      <c r="BJ234" s="23">
        <f>IF(OR(BJ$1="",$BM234=0),"",IFERROR(LOOKUP(2,1/((Budgets!$A$2:$A$200=BJ$1)*(Budgets!$B$2:$B$200&lt;EDATE($A234,1))),Budgets!$C$2:$C$200),0))</f>
        <v/>
      </c>
      <c r="BK234" s="23">
        <f>IF(OR(BK$1="",$BM234=0),"",IFERROR(LOOKUP(2,1/((Budgets!$A$2:$A$200=BK$1)*(Budgets!$B$2:$B$200&lt;EDATE($A234,1))),Budgets!$C$2:$C$200),0))</f>
        <v/>
      </c>
      <c r="BM234" s="21">
        <f>COUNTIFS(Entries!$A$2:$A$5000,"&gt;="&amp;$A234,Entries!$A$2:$A$5000,"&lt;"&amp;EDATE($A234,1))</f>
        <v/>
      </c>
    </row>
    <row r="235">
      <c r="A235" s="22" t="n">
        <v>46539</v>
      </c>
      <c r="B235" s="23">
        <f>IF($BM235=0,NA(),SUMIFS(Entries!$E$2:$E$5000,Entries!$C$2:$C$5000,"Income",Entries!$A$2:$A$5000,"&gt;="&amp;$A235,Entries!$A$2:$A$5000,"&lt;"&amp;EDATE($A235,1)))</f>
        <v/>
      </c>
      <c r="C235" s="23">
        <f>IF($BM235=0,"",SUMIFS(Entries!$E$2:$E$5000,Entries!$C$2:$C$5000,"Actual",Entries!$A$2:$A$5000,"&gt;="&amp;$A235,Entries!$A$2:$A$5000,"&lt;"&amp;EDATE($A235,1)))</f>
        <v/>
      </c>
      <c r="D235" s="23">
        <f>IF($BM235=0,"",SUMIFS(Entries!$E$2:$E$5000,Entries!$C$2:$C$5000,"One-off",Entries!$A$2:$A$5000,"&gt;="&amp;$A235,Entries!$A$2:$A$5000,"&lt;"&amp;EDATE($A235,1)))</f>
        <v/>
      </c>
      <c r="E235" s="23">
        <f>IF($BM235=0,NA(),C235+D235)</f>
        <v/>
      </c>
      <c r="F235" s="23">
        <f>IF($BM235=0,"",SUM(AR235:BK235))</f>
        <v/>
      </c>
      <c r="G235" s="23">
        <f>IF($BM235=0,"",B235-E235)</f>
        <v/>
      </c>
      <c r="H235" s="23">
        <f>IF($BM235=0,"",SUM($G$2:G235))</f>
        <v/>
      </c>
      <c r="I235" s="23">
        <f>IF($BM235=0,"",SUMIFS(Entries!$G$2:$G$5000,Entries!$A$2:$A$5000,"&gt;="&amp;$A235,Entries!$A$2:$A$5000,"&lt;"&amp;EDATE($A235,1)))</f>
        <v/>
      </c>
      <c r="J235" s="23">
        <f>IF($BM235=0,NA(),H235)</f>
        <v/>
      </c>
      <c r="K235" s="23">
        <f>IF($BM235=0,"",SUMIFS(Entries!$E$2:$E$5000,Entries!$C$2:$C$5000,"Income",Entries!$A$2:$A$5000,"&gt;="&amp;EDATE($A235,-11),Entries!$A$2:$A$5000,"&lt;"&amp;EDATE($A235,1))/COUNTIFS($A$2:$A$400,"&gt;="&amp;EDATE($A235,-11),$A$2:$A$400,"&lt;"&amp;EDATE($A235,1),$BM$2:$BM$400,"&gt;0"))</f>
      </c>
      <c r="L235" s="23">
        <f>IF($BM235=0,"",(SUMIFS(Entries!$E$2:$E$5000,Entries!$C$2:$C$5000,"Actual",Entries!$A$2:$A$5000,"&gt;="&amp;EDATE($A235,-11),Entries!$A$2:$A$5000,"&lt;"&amp;EDATE($A235,1))+SUMIFS(Entries!$E$2:$E$5000,Entries!$C$2:$C$5000,"One-off",Entries!$A$2:$A$5000,"&gt;="&amp;EDATE($A235,-11),Entries!$A$2:$A$5000,"&lt;"&amp;EDATE($A235,1)))/COUNTIFS($A$2:$A$400,"&gt;="&amp;EDATE($A235,-11),$A$2:$A$400,"&lt;"&amp;EDATE($A235,1),$BM$2:$BM$400,"&gt;0"))</f>
      </c>
      <c r="M235" s="24">
        <f>IF($BM235=0,NA(),IFERROR((K235-L235)/K235,0))</f>
        <v/>
      </c>
      <c r="N235" s="23">
        <f>IF($BM235=0,NA(),SUMIFS(Entries!$E$2:$E$5000,Entries!$D$2:$D$5000,"Core",Entries!$A$2:$A$5000,"&gt;="&amp;$A235,Entries!$A$2:$A$5000,"&lt;"&amp;EDATE($A235,1)))</f>
        <v/>
      </c>
      <c r="O235" s="23">
        <f>IF($BM235=0,NA(),SUMIFS(Entries!$E$2:$E$5000,Entries!$D$2:$D$5000,"Over &amp; above",Entries!$A$2:$A$5000,"&gt;="&amp;$A235,Entries!$A$2:$A$5000,"&lt;"&amp;EDATE($A235,1)))</f>
        <v/>
      </c>
      <c r="P235" s="23">
        <f>IF($BM235=0,NA(),SUMIFS(Entries!$E$2:$E$5000,Entries!$D$2:$D$5000,"One-off",Entries!$A$2:$A$5000,"&gt;="&amp;$A235,Entries!$A$2:$A$5000,"&lt;"&amp;EDATE($A235,1)))</f>
        <v/>
      </c>
      <c r="Q235" s="23">
        <f>IF($BM235=0,NA(),SUMIFS(Entries!$E$2:$E$5000,Entries!$D$2:$D$5000,"Reimbursable",Entries!$A$2:$A$5000,"&gt;="&amp;$A235,Entries!$A$2:$A$5000,"&lt;"&amp;EDATE($A235,1)))</f>
        <v/>
      </c>
      <c r="R235" s="23">
        <f>IF($BM235=0,NA(),SUMIFS(Entries!$E$2:$E$5000,Entries!$D$2:$D$5000,"Investment",Entries!$A$2:$A$5000,"&gt;="&amp;$A235,Entries!$A$2:$A$5000,"&lt;"&amp;EDATE($A235,1)))</f>
        <v/>
      </c>
      <c r="S235" s="23">
        <f>IF($BM235=0,NA(),N235+O235)</f>
        <v/>
      </c>
      <c r="T235" s="23">
        <f>IF($BM235=0,"",E235-Q235)</f>
        <v/>
      </c>
      <c r="W235" s="23">
        <f>IF(OR(W$1="",$BM235=0),"",SUMIFS(Entries!$E$2:$E$5000,Entries!$C$2:$C$5000,"Actual",Entries!$A$2:$A$5000,"&gt;="&amp;$A235,Entries!$A$2:$A$5000,"&lt;"&amp;EDATE($A235,1),Entries!$B$2:$B$5000,W$1))</f>
        <v/>
      </c>
      <c r="X235" s="23">
        <f>IF(OR(X$1="",$BM235=0),"",SUMIFS(Entries!$E$2:$E$5000,Entries!$C$2:$C$5000,"Actual",Entries!$A$2:$A$5000,"&gt;="&amp;$A235,Entries!$A$2:$A$5000,"&lt;"&amp;EDATE($A235,1),Entries!$B$2:$B$5000,X$1))</f>
        <v/>
      </c>
      <c r="Y235" s="23">
        <f>IF(OR(Y$1="",$BM235=0),"",SUMIFS(Entries!$E$2:$E$5000,Entries!$C$2:$C$5000,"Actual",Entries!$A$2:$A$5000,"&gt;="&amp;$A235,Entries!$A$2:$A$5000,"&lt;"&amp;EDATE($A235,1),Entries!$B$2:$B$5000,Y$1))</f>
        <v/>
      </c>
      <c r="Z235" s="23">
        <f>IF(OR(Z$1="",$BM235=0),"",SUMIFS(Entries!$E$2:$E$5000,Entries!$C$2:$C$5000,"Actual",Entries!$A$2:$A$5000,"&gt;="&amp;$A235,Entries!$A$2:$A$5000,"&lt;"&amp;EDATE($A235,1),Entries!$B$2:$B$5000,Z$1))</f>
        <v/>
      </c>
      <c r="AA235" s="23">
        <f>IF(OR(AA$1="",$BM235=0),"",SUMIFS(Entries!$E$2:$E$5000,Entries!$C$2:$C$5000,"Actual",Entries!$A$2:$A$5000,"&gt;="&amp;$A235,Entries!$A$2:$A$5000,"&lt;"&amp;EDATE($A235,1),Entries!$B$2:$B$5000,AA$1))</f>
        <v/>
      </c>
      <c r="AB235" s="23">
        <f>IF(OR(AB$1="",$BM235=0),"",SUMIFS(Entries!$E$2:$E$5000,Entries!$C$2:$C$5000,"Actual",Entries!$A$2:$A$5000,"&gt;="&amp;$A235,Entries!$A$2:$A$5000,"&lt;"&amp;EDATE($A235,1),Entries!$B$2:$B$5000,AB$1))</f>
        <v/>
      </c>
      <c r="AC235" s="23">
        <f>IF(OR(AC$1="",$BM235=0),"",SUMIFS(Entries!$E$2:$E$5000,Entries!$C$2:$C$5000,"Actual",Entries!$A$2:$A$5000,"&gt;="&amp;$A235,Entries!$A$2:$A$5000,"&lt;"&amp;EDATE($A235,1),Entries!$B$2:$B$5000,AC$1))</f>
        <v/>
      </c>
      <c r="AD235" s="23">
        <f>IF(OR(AD$1="",$BM235=0),"",SUMIFS(Entries!$E$2:$E$5000,Entries!$C$2:$C$5000,"Actual",Entries!$A$2:$A$5000,"&gt;="&amp;$A235,Entries!$A$2:$A$5000,"&lt;"&amp;EDATE($A235,1),Entries!$B$2:$B$5000,AD$1))</f>
        <v/>
      </c>
      <c r="AE235" s="23">
        <f>IF(OR(AE$1="",$BM235=0),"",SUMIFS(Entries!$E$2:$E$5000,Entries!$C$2:$C$5000,"Actual",Entries!$A$2:$A$5000,"&gt;="&amp;$A235,Entries!$A$2:$A$5000,"&lt;"&amp;EDATE($A235,1),Entries!$B$2:$B$5000,AE$1))</f>
        <v/>
      </c>
      <c r="AF235" s="23">
        <f>IF(OR(AF$1="",$BM235=0),"",SUMIFS(Entries!$E$2:$E$5000,Entries!$C$2:$C$5000,"Actual",Entries!$A$2:$A$5000,"&gt;="&amp;$A235,Entries!$A$2:$A$5000,"&lt;"&amp;EDATE($A235,1),Entries!$B$2:$B$5000,AF$1))</f>
        <v/>
      </c>
      <c r="AG235" s="23">
        <f>IF(OR(AG$1="",$BM235=0),"",SUMIFS(Entries!$E$2:$E$5000,Entries!$C$2:$C$5000,"Actual",Entries!$A$2:$A$5000,"&gt;="&amp;$A235,Entries!$A$2:$A$5000,"&lt;"&amp;EDATE($A235,1),Entries!$B$2:$B$5000,AG$1))</f>
        <v/>
      </c>
      <c r="AH235" s="23">
        <f>IF(OR(AH$1="",$BM235=0),"",SUMIFS(Entries!$E$2:$E$5000,Entries!$C$2:$C$5000,"Actual",Entries!$A$2:$A$5000,"&gt;="&amp;$A235,Entries!$A$2:$A$5000,"&lt;"&amp;EDATE($A235,1),Entries!$B$2:$B$5000,AH$1))</f>
        <v/>
      </c>
      <c r="AI235" s="23">
        <f>IF(OR(AI$1="",$BM235=0),"",SUMIFS(Entries!$E$2:$E$5000,Entries!$C$2:$C$5000,"Actual",Entries!$A$2:$A$5000,"&gt;="&amp;$A235,Entries!$A$2:$A$5000,"&lt;"&amp;EDATE($A235,1),Entries!$B$2:$B$5000,AI$1))</f>
        <v/>
      </c>
      <c r="AJ235" s="23">
        <f>IF(OR(AJ$1="",$BM235=0),"",SUMIFS(Entries!$E$2:$E$5000,Entries!$C$2:$C$5000,"Actual",Entries!$A$2:$A$5000,"&gt;="&amp;$A235,Entries!$A$2:$A$5000,"&lt;"&amp;EDATE($A235,1),Entries!$B$2:$B$5000,AJ$1))</f>
        <v/>
      </c>
      <c r="AK235" s="23">
        <f>IF(OR(AK$1="",$BM235=0),"",SUMIFS(Entries!$E$2:$E$5000,Entries!$C$2:$C$5000,"Actual",Entries!$A$2:$A$5000,"&gt;="&amp;$A235,Entries!$A$2:$A$5000,"&lt;"&amp;EDATE($A235,1),Entries!$B$2:$B$5000,AK$1))</f>
        <v/>
      </c>
      <c r="AL235" s="23">
        <f>IF(OR(AL$1="",$BM235=0),"",SUMIFS(Entries!$E$2:$E$5000,Entries!$C$2:$C$5000,"Actual",Entries!$A$2:$A$5000,"&gt;="&amp;$A235,Entries!$A$2:$A$5000,"&lt;"&amp;EDATE($A235,1),Entries!$B$2:$B$5000,AL$1))</f>
        <v/>
      </c>
      <c r="AM235" s="23">
        <f>IF(OR(AM$1="",$BM235=0),"",SUMIFS(Entries!$E$2:$E$5000,Entries!$C$2:$C$5000,"Actual",Entries!$A$2:$A$5000,"&gt;="&amp;$A235,Entries!$A$2:$A$5000,"&lt;"&amp;EDATE($A235,1),Entries!$B$2:$B$5000,AM$1))</f>
        <v/>
      </c>
      <c r="AN235" s="23">
        <f>IF(OR(AN$1="",$BM235=0),"",SUMIFS(Entries!$E$2:$E$5000,Entries!$C$2:$C$5000,"Actual",Entries!$A$2:$A$5000,"&gt;="&amp;$A235,Entries!$A$2:$A$5000,"&lt;"&amp;EDATE($A235,1),Entries!$B$2:$B$5000,AN$1))</f>
        <v/>
      </c>
      <c r="AO235" s="23">
        <f>IF(OR(AO$1="",$BM235=0),"",SUMIFS(Entries!$E$2:$E$5000,Entries!$C$2:$C$5000,"Actual",Entries!$A$2:$A$5000,"&gt;="&amp;$A235,Entries!$A$2:$A$5000,"&lt;"&amp;EDATE($A235,1),Entries!$B$2:$B$5000,AO$1))</f>
        <v/>
      </c>
      <c r="AP235" s="23">
        <f>IF(OR(AP$1="",$BM235=0),"",SUMIFS(Entries!$E$2:$E$5000,Entries!$C$2:$C$5000,"Actual",Entries!$A$2:$A$5000,"&gt;="&amp;$A235,Entries!$A$2:$A$5000,"&lt;"&amp;EDATE($A235,1),Entries!$B$2:$B$5000,AP$1))</f>
        <v/>
      </c>
      <c r="AR235" s="23">
        <f>IF(OR(AR$1="",$BM235=0),"",IFERROR(LOOKUP(2,1/((Budgets!$A$2:$A$200=AR$1)*(Budgets!$B$2:$B$200&lt;EDATE($A235,1))),Budgets!$C$2:$C$200),0))</f>
        <v/>
      </c>
      <c r="AS235" s="23">
        <f>IF(OR(AS$1="",$BM235=0),"",IFERROR(LOOKUP(2,1/((Budgets!$A$2:$A$200=AS$1)*(Budgets!$B$2:$B$200&lt;EDATE($A235,1))),Budgets!$C$2:$C$200),0))</f>
        <v/>
      </c>
      <c r="AT235" s="23">
        <f>IF(OR(AT$1="",$BM235=0),"",IFERROR(LOOKUP(2,1/((Budgets!$A$2:$A$200=AT$1)*(Budgets!$B$2:$B$200&lt;EDATE($A235,1))),Budgets!$C$2:$C$200),0))</f>
        <v/>
      </c>
      <c r="AU235" s="23">
        <f>IF(OR(AU$1="",$BM235=0),"",IFERROR(LOOKUP(2,1/((Budgets!$A$2:$A$200=AU$1)*(Budgets!$B$2:$B$200&lt;EDATE($A235,1))),Budgets!$C$2:$C$200),0))</f>
        <v/>
      </c>
      <c r="AV235" s="23">
        <f>IF(OR(AV$1="",$BM235=0),"",IFERROR(LOOKUP(2,1/((Budgets!$A$2:$A$200=AV$1)*(Budgets!$B$2:$B$200&lt;EDATE($A235,1))),Budgets!$C$2:$C$200),0))</f>
        <v/>
      </c>
      <c r="AW235" s="23">
        <f>IF(OR(AW$1="",$BM235=0),"",IFERROR(LOOKUP(2,1/((Budgets!$A$2:$A$200=AW$1)*(Budgets!$B$2:$B$200&lt;EDATE($A235,1))),Budgets!$C$2:$C$200),0))</f>
        <v/>
      </c>
      <c r="AX235" s="23">
        <f>IF(OR(AX$1="",$BM235=0),"",IFERROR(LOOKUP(2,1/((Budgets!$A$2:$A$200=AX$1)*(Budgets!$B$2:$B$200&lt;EDATE($A235,1))),Budgets!$C$2:$C$200),0))</f>
        <v/>
      </c>
      <c r="AY235" s="23">
        <f>IF(OR(AY$1="",$BM235=0),"",IFERROR(LOOKUP(2,1/((Budgets!$A$2:$A$200=AY$1)*(Budgets!$B$2:$B$200&lt;EDATE($A235,1))),Budgets!$C$2:$C$200),0))</f>
        <v/>
      </c>
      <c r="AZ235" s="23">
        <f>IF(OR(AZ$1="",$BM235=0),"",IFERROR(LOOKUP(2,1/((Budgets!$A$2:$A$200=AZ$1)*(Budgets!$B$2:$B$200&lt;EDATE($A235,1))),Budgets!$C$2:$C$200),0))</f>
        <v/>
      </c>
      <c r="BA235" s="23">
        <f>IF(OR(BA$1="",$BM235=0),"",IFERROR(LOOKUP(2,1/((Budgets!$A$2:$A$200=BA$1)*(Budgets!$B$2:$B$200&lt;EDATE($A235,1))),Budgets!$C$2:$C$200),0))</f>
        <v/>
      </c>
      <c r="BB235" s="23">
        <f>IF(OR(BB$1="",$BM235=0),"",IFERROR(LOOKUP(2,1/((Budgets!$A$2:$A$200=BB$1)*(Budgets!$B$2:$B$200&lt;EDATE($A235,1))),Budgets!$C$2:$C$200),0))</f>
        <v/>
      </c>
      <c r="BC235" s="23">
        <f>IF(OR(BC$1="",$BM235=0),"",IFERROR(LOOKUP(2,1/((Budgets!$A$2:$A$200=BC$1)*(Budgets!$B$2:$B$200&lt;EDATE($A235,1))),Budgets!$C$2:$C$200),0))</f>
        <v/>
      </c>
      <c r="BD235" s="23">
        <f>IF(OR(BD$1="",$BM235=0),"",IFERROR(LOOKUP(2,1/((Budgets!$A$2:$A$200=BD$1)*(Budgets!$B$2:$B$200&lt;EDATE($A235,1))),Budgets!$C$2:$C$200),0))</f>
        <v/>
      </c>
      <c r="BE235" s="23">
        <f>IF(OR(BE$1="",$BM235=0),"",IFERROR(LOOKUP(2,1/((Budgets!$A$2:$A$200=BE$1)*(Budgets!$B$2:$B$200&lt;EDATE($A235,1))),Budgets!$C$2:$C$200),0))</f>
        <v/>
      </c>
      <c r="BF235" s="23">
        <f>IF(OR(BF$1="",$BM235=0),"",IFERROR(LOOKUP(2,1/((Budgets!$A$2:$A$200=BF$1)*(Budgets!$B$2:$B$200&lt;EDATE($A235,1))),Budgets!$C$2:$C$200),0))</f>
        <v/>
      </c>
      <c r="BG235" s="23">
        <f>IF(OR(BG$1="",$BM235=0),"",IFERROR(LOOKUP(2,1/((Budgets!$A$2:$A$200=BG$1)*(Budgets!$B$2:$B$200&lt;EDATE($A235,1))),Budgets!$C$2:$C$200),0))</f>
        <v/>
      </c>
      <c r="BH235" s="23">
        <f>IF(OR(BH$1="",$BM235=0),"",IFERROR(LOOKUP(2,1/((Budgets!$A$2:$A$200=BH$1)*(Budgets!$B$2:$B$200&lt;EDATE($A235,1))),Budgets!$C$2:$C$200),0))</f>
        <v/>
      </c>
      <c r="BI235" s="23">
        <f>IF(OR(BI$1="",$BM235=0),"",IFERROR(LOOKUP(2,1/((Budgets!$A$2:$A$200=BI$1)*(Budgets!$B$2:$B$200&lt;EDATE($A235,1))),Budgets!$C$2:$C$200),0))</f>
        <v/>
      </c>
      <c r="BJ235" s="23">
        <f>IF(OR(BJ$1="",$BM235=0),"",IFERROR(LOOKUP(2,1/((Budgets!$A$2:$A$200=BJ$1)*(Budgets!$B$2:$B$200&lt;EDATE($A235,1))),Budgets!$C$2:$C$200),0))</f>
        <v/>
      </c>
      <c r="BK235" s="23">
        <f>IF(OR(BK$1="",$BM235=0),"",IFERROR(LOOKUP(2,1/((Budgets!$A$2:$A$200=BK$1)*(Budgets!$B$2:$B$200&lt;EDATE($A235,1))),Budgets!$C$2:$C$200),0))</f>
        <v/>
      </c>
      <c r="BM235" s="21">
        <f>COUNTIFS(Entries!$A$2:$A$5000,"&gt;="&amp;$A235,Entries!$A$2:$A$5000,"&lt;"&amp;EDATE($A235,1))</f>
        <v/>
      </c>
    </row>
    <row r="236">
      <c r="A236" s="22" t="n">
        <v>46569</v>
      </c>
      <c r="B236" s="23">
        <f>IF($BM236=0,NA(),SUMIFS(Entries!$E$2:$E$5000,Entries!$C$2:$C$5000,"Income",Entries!$A$2:$A$5000,"&gt;="&amp;$A236,Entries!$A$2:$A$5000,"&lt;"&amp;EDATE($A236,1)))</f>
        <v/>
      </c>
      <c r="C236" s="23">
        <f>IF($BM236=0,"",SUMIFS(Entries!$E$2:$E$5000,Entries!$C$2:$C$5000,"Actual",Entries!$A$2:$A$5000,"&gt;="&amp;$A236,Entries!$A$2:$A$5000,"&lt;"&amp;EDATE($A236,1)))</f>
        <v/>
      </c>
      <c r="D236" s="23">
        <f>IF($BM236=0,"",SUMIFS(Entries!$E$2:$E$5000,Entries!$C$2:$C$5000,"One-off",Entries!$A$2:$A$5000,"&gt;="&amp;$A236,Entries!$A$2:$A$5000,"&lt;"&amp;EDATE($A236,1)))</f>
        <v/>
      </c>
      <c r="E236" s="23">
        <f>IF($BM236=0,NA(),C236+D236)</f>
        <v/>
      </c>
      <c r="F236" s="23">
        <f>IF($BM236=0,"",SUM(AR236:BK236))</f>
        <v/>
      </c>
      <c r="G236" s="23">
        <f>IF($BM236=0,"",B236-E236)</f>
        <v/>
      </c>
      <c r="H236" s="23">
        <f>IF($BM236=0,"",SUM($G$2:G236))</f>
        <v/>
      </c>
      <c r="I236" s="23">
        <f>IF($BM236=0,"",SUMIFS(Entries!$G$2:$G$5000,Entries!$A$2:$A$5000,"&gt;="&amp;$A236,Entries!$A$2:$A$5000,"&lt;"&amp;EDATE($A236,1)))</f>
        <v/>
      </c>
      <c r="J236" s="23">
        <f>IF($BM236=0,NA(),H236)</f>
        <v/>
      </c>
      <c r="K236" s="23">
        <f>IF($BM236=0,"",SUMIFS(Entries!$E$2:$E$5000,Entries!$C$2:$C$5000,"Income",Entries!$A$2:$A$5000,"&gt;="&amp;EDATE($A236,-11),Entries!$A$2:$A$5000,"&lt;"&amp;EDATE($A236,1))/COUNTIFS($A$2:$A$400,"&gt;="&amp;EDATE($A236,-11),$A$2:$A$400,"&lt;"&amp;EDATE($A236,1),$BM$2:$BM$400,"&gt;0"))</f>
      </c>
      <c r="L236" s="23">
        <f>IF($BM236=0,"",(SUMIFS(Entries!$E$2:$E$5000,Entries!$C$2:$C$5000,"Actual",Entries!$A$2:$A$5000,"&gt;="&amp;EDATE($A236,-11),Entries!$A$2:$A$5000,"&lt;"&amp;EDATE($A236,1))+SUMIFS(Entries!$E$2:$E$5000,Entries!$C$2:$C$5000,"One-off",Entries!$A$2:$A$5000,"&gt;="&amp;EDATE($A236,-11),Entries!$A$2:$A$5000,"&lt;"&amp;EDATE($A236,1)))/COUNTIFS($A$2:$A$400,"&gt;="&amp;EDATE($A236,-11),$A$2:$A$400,"&lt;"&amp;EDATE($A236,1),$BM$2:$BM$400,"&gt;0"))</f>
      </c>
      <c r="M236" s="24">
        <f>IF($BM236=0,NA(),IFERROR((K236-L236)/K236,0))</f>
        <v/>
      </c>
      <c r="N236" s="23">
        <f>IF($BM236=0,NA(),SUMIFS(Entries!$E$2:$E$5000,Entries!$D$2:$D$5000,"Core",Entries!$A$2:$A$5000,"&gt;="&amp;$A236,Entries!$A$2:$A$5000,"&lt;"&amp;EDATE($A236,1)))</f>
        <v/>
      </c>
      <c r="O236" s="23">
        <f>IF($BM236=0,NA(),SUMIFS(Entries!$E$2:$E$5000,Entries!$D$2:$D$5000,"Over &amp; above",Entries!$A$2:$A$5000,"&gt;="&amp;$A236,Entries!$A$2:$A$5000,"&lt;"&amp;EDATE($A236,1)))</f>
        <v/>
      </c>
      <c r="P236" s="23">
        <f>IF($BM236=0,NA(),SUMIFS(Entries!$E$2:$E$5000,Entries!$D$2:$D$5000,"One-off",Entries!$A$2:$A$5000,"&gt;="&amp;$A236,Entries!$A$2:$A$5000,"&lt;"&amp;EDATE($A236,1)))</f>
        <v/>
      </c>
      <c r="Q236" s="23">
        <f>IF($BM236=0,NA(),SUMIFS(Entries!$E$2:$E$5000,Entries!$D$2:$D$5000,"Reimbursable",Entries!$A$2:$A$5000,"&gt;="&amp;$A236,Entries!$A$2:$A$5000,"&lt;"&amp;EDATE($A236,1)))</f>
        <v/>
      </c>
      <c r="R236" s="23">
        <f>IF($BM236=0,NA(),SUMIFS(Entries!$E$2:$E$5000,Entries!$D$2:$D$5000,"Investment",Entries!$A$2:$A$5000,"&gt;="&amp;$A236,Entries!$A$2:$A$5000,"&lt;"&amp;EDATE($A236,1)))</f>
        <v/>
      </c>
      <c r="S236" s="23">
        <f>IF($BM236=0,NA(),N236+O236)</f>
        <v/>
      </c>
      <c r="T236" s="23">
        <f>IF($BM236=0,"",E236-Q236)</f>
        <v/>
      </c>
      <c r="W236" s="23">
        <f>IF(OR(W$1="",$BM236=0),"",SUMIFS(Entries!$E$2:$E$5000,Entries!$C$2:$C$5000,"Actual",Entries!$A$2:$A$5000,"&gt;="&amp;$A236,Entries!$A$2:$A$5000,"&lt;"&amp;EDATE($A236,1),Entries!$B$2:$B$5000,W$1))</f>
        <v/>
      </c>
      <c r="X236" s="23">
        <f>IF(OR(X$1="",$BM236=0),"",SUMIFS(Entries!$E$2:$E$5000,Entries!$C$2:$C$5000,"Actual",Entries!$A$2:$A$5000,"&gt;="&amp;$A236,Entries!$A$2:$A$5000,"&lt;"&amp;EDATE($A236,1),Entries!$B$2:$B$5000,X$1))</f>
        <v/>
      </c>
      <c r="Y236" s="23">
        <f>IF(OR(Y$1="",$BM236=0),"",SUMIFS(Entries!$E$2:$E$5000,Entries!$C$2:$C$5000,"Actual",Entries!$A$2:$A$5000,"&gt;="&amp;$A236,Entries!$A$2:$A$5000,"&lt;"&amp;EDATE($A236,1),Entries!$B$2:$B$5000,Y$1))</f>
        <v/>
      </c>
      <c r="Z236" s="23">
        <f>IF(OR(Z$1="",$BM236=0),"",SUMIFS(Entries!$E$2:$E$5000,Entries!$C$2:$C$5000,"Actual",Entries!$A$2:$A$5000,"&gt;="&amp;$A236,Entries!$A$2:$A$5000,"&lt;"&amp;EDATE($A236,1),Entries!$B$2:$B$5000,Z$1))</f>
        <v/>
      </c>
      <c r="AA236" s="23">
        <f>IF(OR(AA$1="",$BM236=0),"",SUMIFS(Entries!$E$2:$E$5000,Entries!$C$2:$C$5000,"Actual",Entries!$A$2:$A$5000,"&gt;="&amp;$A236,Entries!$A$2:$A$5000,"&lt;"&amp;EDATE($A236,1),Entries!$B$2:$B$5000,AA$1))</f>
        <v/>
      </c>
      <c r="AB236" s="23">
        <f>IF(OR(AB$1="",$BM236=0),"",SUMIFS(Entries!$E$2:$E$5000,Entries!$C$2:$C$5000,"Actual",Entries!$A$2:$A$5000,"&gt;="&amp;$A236,Entries!$A$2:$A$5000,"&lt;"&amp;EDATE($A236,1),Entries!$B$2:$B$5000,AB$1))</f>
        <v/>
      </c>
      <c r="AC236" s="23">
        <f>IF(OR(AC$1="",$BM236=0),"",SUMIFS(Entries!$E$2:$E$5000,Entries!$C$2:$C$5000,"Actual",Entries!$A$2:$A$5000,"&gt;="&amp;$A236,Entries!$A$2:$A$5000,"&lt;"&amp;EDATE($A236,1),Entries!$B$2:$B$5000,AC$1))</f>
        <v/>
      </c>
      <c r="AD236" s="23">
        <f>IF(OR(AD$1="",$BM236=0),"",SUMIFS(Entries!$E$2:$E$5000,Entries!$C$2:$C$5000,"Actual",Entries!$A$2:$A$5000,"&gt;="&amp;$A236,Entries!$A$2:$A$5000,"&lt;"&amp;EDATE($A236,1),Entries!$B$2:$B$5000,AD$1))</f>
        <v/>
      </c>
      <c r="AE236" s="23">
        <f>IF(OR(AE$1="",$BM236=0),"",SUMIFS(Entries!$E$2:$E$5000,Entries!$C$2:$C$5000,"Actual",Entries!$A$2:$A$5000,"&gt;="&amp;$A236,Entries!$A$2:$A$5000,"&lt;"&amp;EDATE($A236,1),Entries!$B$2:$B$5000,AE$1))</f>
        <v/>
      </c>
      <c r="AF236" s="23">
        <f>IF(OR(AF$1="",$BM236=0),"",SUMIFS(Entries!$E$2:$E$5000,Entries!$C$2:$C$5000,"Actual",Entries!$A$2:$A$5000,"&gt;="&amp;$A236,Entries!$A$2:$A$5000,"&lt;"&amp;EDATE($A236,1),Entries!$B$2:$B$5000,AF$1))</f>
        <v/>
      </c>
      <c r="AG236" s="23">
        <f>IF(OR(AG$1="",$BM236=0),"",SUMIFS(Entries!$E$2:$E$5000,Entries!$C$2:$C$5000,"Actual",Entries!$A$2:$A$5000,"&gt;="&amp;$A236,Entries!$A$2:$A$5000,"&lt;"&amp;EDATE($A236,1),Entries!$B$2:$B$5000,AG$1))</f>
        <v/>
      </c>
      <c r="AH236" s="23">
        <f>IF(OR(AH$1="",$BM236=0),"",SUMIFS(Entries!$E$2:$E$5000,Entries!$C$2:$C$5000,"Actual",Entries!$A$2:$A$5000,"&gt;="&amp;$A236,Entries!$A$2:$A$5000,"&lt;"&amp;EDATE($A236,1),Entries!$B$2:$B$5000,AH$1))</f>
        <v/>
      </c>
      <c r="AI236" s="23">
        <f>IF(OR(AI$1="",$BM236=0),"",SUMIFS(Entries!$E$2:$E$5000,Entries!$C$2:$C$5000,"Actual",Entries!$A$2:$A$5000,"&gt;="&amp;$A236,Entries!$A$2:$A$5000,"&lt;"&amp;EDATE($A236,1),Entries!$B$2:$B$5000,AI$1))</f>
        <v/>
      </c>
      <c r="AJ236" s="23">
        <f>IF(OR(AJ$1="",$BM236=0),"",SUMIFS(Entries!$E$2:$E$5000,Entries!$C$2:$C$5000,"Actual",Entries!$A$2:$A$5000,"&gt;="&amp;$A236,Entries!$A$2:$A$5000,"&lt;"&amp;EDATE($A236,1),Entries!$B$2:$B$5000,AJ$1))</f>
        <v/>
      </c>
      <c r="AK236" s="23">
        <f>IF(OR(AK$1="",$BM236=0),"",SUMIFS(Entries!$E$2:$E$5000,Entries!$C$2:$C$5000,"Actual",Entries!$A$2:$A$5000,"&gt;="&amp;$A236,Entries!$A$2:$A$5000,"&lt;"&amp;EDATE($A236,1),Entries!$B$2:$B$5000,AK$1))</f>
        <v/>
      </c>
      <c r="AL236" s="23">
        <f>IF(OR(AL$1="",$BM236=0),"",SUMIFS(Entries!$E$2:$E$5000,Entries!$C$2:$C$5000,"Actual",Entries!$A$2:$A$5000,"&gt;="&amp;$A236,Entries!$A$2:$A$5000,"&lt;"&amp;EDATE($A236,1),Entries!$B$2:$B$5000,AL$1))</f>
        <v/>
      </c>
      <c r="AM236" s="23">
        <f>IF(OR(AM$1="",$BM236=0),"",SUMIFS(Entries!$E$2:$E$5000,Entries!$C$2:$C$5000,"Actual",Entries!$A$2:$A$5000,"&gt;="&amp;$A236,Entries!$A$2:$A$5000,"&lt;"&amp;EDATE($A236,1),Entries!$B$2:$B$5000,AM$1))</f>
        <v/>
      </c>
      <c r="AN236" s="23">
        <f>IF(OR(AN$1="",$BM236=0),"",SUMIFS(Entries!$E$2:$E$5000,Entries!$C$2:$C$5000,"Actual",Entries!$A$2:$A$5000,"&gt;="&amp;$A236,Entries!$A$2:$A$5000,"&lt;"&amp;EDATE($A236,1),Entries!$B$2:$B$5000,AN$1))</f>
        <v/>
      </c>
      <c r="AO236" s="23">
        <f>IF(OR(AO$1="",$BM236=0),"",SUMIFS(Entries!$E$2:$E$5000,Entries!$C$2:$C$5000,"Actual",Entries!$A$2:$A$5000,"&gt;="&amp;$A236,Entries!$A$2:$A$5000,"&lt;"&amp;EDATE($A236,1),Entries!$B$2:$B$5000,AO$1))</f>
        <v/>
      </c>
      <c r="AP236" s="23">
        <f>IF(OR(AP$1="",$BM236=0),"",SUMIFS(Entries!$E$2:$E$5000,Entries!$C$2:$C$5000,"Actual",Entries!$A$2:$A$5000,"&gt;="&amp;$A236,Entries!$A$2:$A$5000,"&lt;"&amp;EDATE($A236,1),Entries!$B$2:$B$5000,AP$1))</f>
        <v/>
      </c>
      <c r="AR236" s="23">
        <f>IF(OR(AR$1="",$BM236=0),"",IFERROR(LOOKUP(2,1/((Budgets!$A$2:$A$200=AR$1)*(Budgets!$B$2:$B$200&lt;EDATE($A236,1))),Budgets!$C$2:$C$200),0))</f>
        <v/>
      </c>
      <c r="AS236" s="23">
        <f>IF(OR(AS$1="",$BM236=0),"",IFERROR(LOOKUP(2,1/((Budgets!$A$2:$A$200=AS$1)*(Budgets!$B$2:$B$200&lt;EDATE($A236,1))),Budgets!$C$2:$C$200),0))</f>
        <v/>
      </c>
      <c r="AT236" s="23">
        <f>IF(OR(AT$1="",$BM236=0),"",IFERROR(LOOKUP(2,1/((Budgets!$A$2:$A$200=AT$1)*(Budgets!$B$2:$B$200&lt;EDATE($A236,1))),Budgets!$C$2:$C$200),0))</f>
        <v/>
      </c>
      <c r="AU236" s="23">
        <f>IF(OR(AU$1="",$BM236=0),"",IFERROR(LOOKUP(2,1/((Budgets!$A$2:$A$200=AU$1)*(Budgets!$B$2:$B$200&lt;EDATE($A236,1))),Budgets!$C$2:$C$200),0))</f>
        <v/>
      </c>
      <c r="AV236" s="23">
        <f>IF(OR(AV$1="",$BM236=0),"",IFERROR(LOOKUP(2,1/((Budgets!$A$2:$A$200=AV$1)*(Budgets!$B$2:$B$200&lt;EDATE($A236,1))),Budgets!$C$2:$C$200),0))</f>
        <v/>
      </c>
      <c r="AW236" s="23">
        <f>IF(OR(AW$1="",$BM236=0),"",IFERROR(LOOKUP(2,1/((Budgets!$A$2:$A$200=AW$1)*(Budgets!$B$2:$B$200&lt;EDATE($A236,1))),Budgets!$C$2:$C$200),0))</f>
        <v/>
      </c>
      <c r="AX236" s="23">
        <f>IF(OR(AX$1="",$BM236=0),"",IFERROR(LOOKUP(2,1/((Budgets!$A$2:$A$200=AX$1)*(Budgets!$B$2:$B$200&lt;EDATE($A236,1))),Budgets!$C$2:$C$200),0))</f>
        <v/>
      </c>
      <c r="AY236" s="23">
        <f>IF(OR(AY$1="",$BM236=0),"",IFERROR(LOOKUP(2,1/((Budgets!$A$2:$A$200=AY$1)*(Budgets!$B$2:$B$200&lt;EDATE($A236,1))),Budgets!$C$2:$C$200),0))</f>
        <v/>
      </c>
      <c r="AZ236" s="23">
        <f>IF(OR(AZ$1="",$BM236=0),"",IFERROR(LOOKUP(2,1/((Budgets!$A$2:$A$200=AZ$1)*(Budgets!$B$2:$B$200&lt;EDATE($A236,1))),Budgets!$C$2:$C$200),0))</f>
        <v/>
      </c>
      <c r="BA236" s="23">
        <f>IF(OR(BA$1="",$BM236=0),"",IFERROR(LOOKUP(2,1/((Budgets!$A$2:$A$200=BA$1)*(Budgets!$B$2:$B$200&lt;EDATE($A236,1))),Budgets!$C$2:$C$200),0))</f>
        <v/>
      </c>
      <c r="BB236" s="23">
        <f>IF(OR(BB$1="",$BM236=0),"",IFERROR(LOOKUP(2,1/((Budgets!$A$2:$A$200=BB$1)*(Budgets!$B$2:$B$200&lt;EDATE($A236,1))),Budgets!$C$2:$C$200),0))</f>
        <v/>
      </c>
      <c r="BC236" s="23">
        <f>IF(OR(BC$1="",$BM236=0),"",IFERROR(LOOKUP(2,1/((Budgets!$A$2:$A$200=BC$1)*(Budgets!$B$2:$B$200&lt;EDATE($A236,1))),Budgets!$C$2:$C$200),0))</f>
        <v/>
      </c>
      <c r="BD236" s="23">
        <f>IF(OR(BD$1="",$BM236=0),"",IFERROR(LOOKUP(2,1/((Budgets!$A$2:$A$200=BD$1)*(Budgets!$B$2:$B$200&lt;EDATE($A236,1))),Budgets!$C$2:$C$200),0))</f>
        <v/>
      </c>
      <c r="BE236" s="23">
        <f>IF(OR(BE$1="",$BM236=0),"",IFERROR(LOOKUP(2,1/((Budgets!$A$2:$A$200=BE$1)*(Budgets!$B$2:$B$200&lt;EDATE($A236,1))),Budgets!$C$2:$C$200),0))</f>
        <v/>
      </c>
      <c r="BF236" s="23">
        <f>IF(OR(BF$1="",$BM236=0),"",IFERROR(LOOKUP(2,1/((Budgets!$A$2:$A$200=BF$1)*(Budgets!$B$2:$B$200&lt;EDATE($A236,1))),Budgets!$C$2:$C$200),0))</f>
        <v/>
      </c>
      <c r="BG236" s="23">
        <f>IF(OR(BG$1="",$BM236=0),"",IFERROR(LOOKUP(2,1/((Budgets!$A$2:$A$200=BG$1)*(Budgets!$B$2:$B$200&lt;EDATE($A236,1))),Budgets!$C$2:$C$200),0))</f>
        <v/>
      </c>
      <c r="BH236" s="23">
        <f>IF(OR(BH$1="",$BM236=0),"",IFERROR(LOOKUP(2,1/((Budgets!$A$2:$A$200=BH$1)*(Budgets!$B$2:$B$200&lt;EDATE($A236,1))),Budgets!$C$2:$C$200),0))</f>
        <v/>
      </c>
      <c r="BI236" s="23">
        <f>IF(OR(BI$1="",$BM236=0),"",IFERROR(LOOKUP(2,1/((Budgets!$A$2:$A$200=BI$1)*(Budgets!$B$2:$B$200&lt;EDATE($A236,1))),Budgets!$C$2:$C$200),0))</f>
        <v/>
      </c>
      <c r="BJ236" s="23">
        <f>IF(OR(BJ$1="",$BM236=0),"",IFERROR(LOOKUP(2,1/((Budgets!$A$2:$A$200=BJ$1)*(Budgets!$B$2:$B$200&lt;EDATE($A236,1))),Budgets!$C$2:$C$200),0))</f>
        <v/>
      </c>
      <c r="BK236" s="23">
        <f>IF(OR(BK$1="",$BM236=0),"",IFERROR(LOOKUP(2,1/((Budgets!$A$2:$A$200=BK$1)*(Budgets!$B$2:$B$200&lt;EDATE($A236,1))),Budgets!$C$2:$C$200),0))</f>
        <v/>
      </c>
      <c r="BM236" s="21">
        <f>COUNTIFS(Entries!$A$2:$A$5000,"&gt;="&amp;$A236,Entries!$A$2:$A$5000,"&lt;"&amp;EDATE($A236,1))</f>
        <v/>
      </c>
    </row>
    <row r="237">
      <c r="A237" s="22" t="n">
        <v>46600</v>
      </c>
      <c r="B237" s="23">
        <f>IF($BM237=0,NA(),SUMIFS(Entries!$E$2:$E$5000,Entries!$C$2:$C$5000,"Income",Entries!$A$2:$A$5000,"&gt;="&amp;$A237,Entries!$A$2:$A$5000,"&lt;"&amp;EDATE($A237,1)))</f>
        <v/>
      </c>
      <c r="C237" s="23">
        <f>IF($BM237=0,"",SUMIFS(Entries!$E$2:$E$5000,Entries!$C$2:$C$5000,"Actual",Entries!$A$2:$A$5000,"&gt;="&amp;$A237,Entries!$A$2:$A$5000,"&lt;"&amp;EDATE($A237,1)))</f>
        <v/>
      </c>
      <c r="D237" s="23">
        <f>IF($BM237=0,"",SUMIFS(Entries!$E$2:$E$5000,Entries!$C$2:$C$5000,"One-off",Entries!$A$2:$A$5000,"&gt;="&amp;$A237,Entries!$A$2:$A$5000,"&lt;"&amp;EDATE($A237,1)))</f>
        <v/>
      </c>
      <c r="E237" s="23">
        <f>IF($BM237=0,NA(),C237+D237)</f>
        <v/>
      </c>
      <c r="F237" s="23">
        <f>IF($BM237=0,"",SUM(AR237:BK237))</f>
        <v/>
      </c>
      <c r="G237" s="23">
        <f>IF($BM237=0,"",B237-E237)</f>
        <v/>
      </c>
      <c r="H237" s="23">
        <f>IF($BM237=0,"",SUM($G$2:G237))</f>
        <v/>
      </c>
      <c r="I237" s="23">
        <f>IF($BM237=0,"",SUMIFS(Entries!$G$2:$G$5000,Entries!$A$2:$A$5000,"&gt;="&amp;$A237,Entries!$A$2:$A$5000,"&lt;"&amp;EDATE($A237,1)))</f>
        <v/>
      </c>
      <c r="J237" s="23">
        <f>IF($BM237=0,NA(),H237)</f>
        <v/>
      </c>
      <c r="K237" s="23">
        <f>IF($BM237=0,"",SUMIFS(Entries!$E$2:$E$5000,Entries!$C$2:$C$5000,"Income",Entries!$A$2:$A$5000,"&gt;="&amp;EDATE($A237,-11),Entries!$A$2:$A$5000,"&lt;"&amp;EDATE($A237,1))/COUNTIFS($A$2:$A$400,"&gt;="&amp;EDATE($A237,-11),$A$2:$A$400,"&lt;"&amp;EDATE($A237,1),$BM$2:$BM$400,"&gt;0"))</f>
      </c>
      <c r="L237" s="23">
        <f>IF($BM237=0,"",(SUMIFS(Entries!$E$2:$E$5000,Entries!$C$2:$C$5000,"Actual",Entries!$A$2:$A$5000,"&gt;="&amp;EDATE($A237,-11),Entries!$A$2:$A$5000,"&lt;"&amp;EDATE($A237,1))+SUMIFS(Entries!$E$2:$E$5000,Entries!$C$2:$C$5000,"One-off",Entries!$A$2:$A$5000,"&gt;="&amp;EDATE($A237,-11),Entries!$A$2:$A$5000,"&lt;"&amp;EDATE($A237,1)))/COUNTIFS($A$2:$A$400,"&gt;="&amp;EDATE($A237,-11),$A$2:$A$400,"&lt;"&amp;EDATE($A237,1),$BM$2:$BM$400,"&gt;0"))</f>
      </c>
      <c r="M237" s="24">
        <f>IF($BM237=0,NA(),IFERROR((K237-L237)/K237,0))</f>
        <v/>
      </c>
      <c r="N237" s="23">
        <f>IF($BM237=0,NA(),SUMIFS(Entries!$E$2:$E$5000,Entries!$D$2:$D$5000,"Core",Entries!$A$2:$A$5000,"&gt;="&amp;$A237,Entries!$A$2:$A$5000,"&lt;"&amp;EDATE($A237,1)))</f>
        <v/>
      </c>
      <c r="O237" s="23">
        <f>IF($BM237=0,NA(),SUMIFS(Entries!$E$2:$E$5000,Entries!$D$2:$D$5000,"Over &amp; above",Entries!$A$2:$A$5000,"&gt;="&amp;$A237,Entries!$A$2:$A$5000,"&lt;"&amp;EDATE($A237,1)))</f>
        <v/>
      </c>
      <c r="P237" s="23">
        <f>IF($BM237=0,NA(),SUMIFS(Entries!$E$2:$E$5000,Entries!$D$2:$D$5000,"One-off",Entries!$A$2:$A$5000,"&gt;="&amp;$A237,Entries!$A$2:$A$5000,"&lt;"&amp;EDATE($A237,1)))</f>
        <v/>
      </c>
      <c r="Q237" s="23">
        <f>IF($BM237=0,NA(),SUMIFS(Entries!$E$2:$E$5000,Entries!$D$2:$D$5000,"Reimbursable",Entries!$A$2:$A$5000,"&gt;="&amp;$A237,Entries!$A$2:$A$5000,"&lt;"&amp;EDATE($A237,1)))</f>
        <v/>
      </c>
      <c r="R237" s="23">
        <f>IF($BM237=0,NA(),SUMIFS(Entries!$E$2:$E$5000,Entries!$D$2:$D$5000,"Investment",Entries!$A$2:$A$5000,"&gt;="&amp;$A237,Entries!$A$2:$A$5000,"&lt;"&amp;EDATE($A237,1)))</f>
        <v/>
      </c>
      <c r="S237" s="23">
        <f>IF($BM237=0,NA(),N237+O237)</f>
        <v/>
      </c>
      <c r="T237" s="23">
        <f>IF($BM237=0,"",E237-Q237)</f>
        <v/>
      </c>
      <c r="W237" s="23">
        <f>IF(OR(W$1="",$BM237=0),"",SUMIFS(Entries!$E$2:$E$5000,Entries!$C$2:$C$5000,"Actual",Entries!$A$2:$A$5000,"&gt;="&amp;$A237,Entries!$A$2:$A$5000,"&lt;"&amp;EDATE($A237,1),Entries!$B$2:$B$5000,W$1))</f>
        <v/>
      </c>
      <c r="X237" s="23">
        <f>IF(OR(X$1="",$BM237=0),"",SUMIFS(Entries!$E$2:$E$5000,Entries!$C$2:$C$5000,"Actual",Entries!$A$2:$A$5000,"&gt;="&amp;$A237,Entries!$A$2:$A$5000,"&lt;"&amp;EDATE($A237,1),Entries!$B$2:$B$5000,X$1))</f>
        <v/>
      </c>
      <c r="Y237" s="23">
        <f>IF(OR(Y$1="",$BM237=0),"",SUMIFS(Entries!$E$2:$E$5000,Entries!$C$2:$C$5000,"Actual",Entries!$A$2:$A$5000,"&gt;="&amp;$A237,Entries!$A$2:$A$5000,"&lt;"&amp;EDATE($A237,1),Entries!$B$2:$B$5000,Y$1))</f>
        <v/>
      </c>
      <c r="Z237" s="23">
        <f>IF(OR(Z$1="",$BM237=0),"",SUMIFS(Entries!$E$2:$E$5000,Entries!$C$2:$C$5000,"Actual",Entries!$A$2:$A$5000,"&gt;="&amp;$A237,Entries!$A$2:$A$5000,"&lt;"&amp;EDATE($A237,1),Entries!$B$2:$B$5000,Z$1))</f>
        <v/>
      </c>
      <c r="AA237" s="23">
        <f>IF(OR(AA$1="",$BM237=0),"",SUMIFS(Entries!$E$2:$E$5000,Entries!$C$2:$C$5000,"Actual",Entries!$A$2:$A$5000,"&gt;="&amp;$A237,Entries!$A$2:$A$5000,"&lt;"&amp;EDATE($A237,1),Entries!$B$2:$B$5000,AA$1))</f>
        <v/>
      </c>
      <c r="AB237" s="23">
        <f>IF(OR(AB$1="",$BM237=0),"",SUMIFS(Entries!$E$2:$E$5000,Entries!$C$2:$C$5000,"Actual",Entries!$A$2:$A$5000,"&gt;="&amp;$A237,Entries!$A$2:$A$5000,"&lt;"&amp;EDATE($A237,1),Entries!$B$2:$B$5000,AB$1))</f>
        <v/>
      </c>
      <c r="AC237" s="23">
        <f>IF(OR(AC$1="",$BM237=0),"",SUMIFS(Entries!$E$2:$E$5000,Entries!$C$2:$C$5000,"Actual",Entries!$A$2:$A$5000,"&gt;="&amp;$A237,Entries!$A$2:$A$5000,"&lt;"&amp;EDATE($A237,1),Entries!$B$2:$B$5000,AC$1))</f>
        <v/>
      </c>
      <c r="AD237" s="23">
        <f>IF(OR(AD$1="",$BM237=0),"",SUMIFS(Entries!$E$2:$E$5000,Entries!$C$2:$C$5000,"Actual",Entries!$A$2:$A$5000,"&gt;="&amp;$A237,Entries!$A$2:$A$5000,"&lt;"&amp;EDATE($A237,1),Entries!$B$2:$B$5000,AD$1))</f>
        <v/>
      </c>
      <c r="AE237" s="23">
        <f>IF(OR(AE$1="",$BM237=0),"",SUMIFS(Entries!$E$2:$E$5000,Entries!$C$2:$C$5000,"Actual",Entries!$A$2:$A$5000,"&gt;="&amp;$A237,Entries!$A$2:$A$5000,"&lt;"&amp;EDATE($A237,1),Entries!$B$2:$B$5000,AE$1))</f>
        <v/>
      </c>
      <c r="AF237" s="23">
        <f>IF(OR(AF$1="",$BM237=0),"",SUMIFS(Entries!$E$2:$E$5000,Entries!$C$2:$C$5000,"Actual",Entries!$A$2:$A$5000,"&gt;="&amp;$A237,Entries!$A$2:$A$5000,"&lt;"&amp;EDATE($A237,1),Entries!$B$2:$B$5000,AF$1))</f>
        <v/>
      </c>
      <c r="AG237" s="23">
        <f>IF(OR(AG$1="",$BM237=0),"",SUMIFS(Entries!$E$2:$E$5000,Entries!$C$2:$C$5000,"Actual",Entries!$A$2:$A$5000,"&gt;="&amp;$A237,Entries!$A$2:$A$5000,"&lt;"&amp;EDATE($A237,1),Entries!$B$2:$B$5000,AG$1))</f>
        <v/>
      </c>
      <c r="AH237" s="23">
        <f>IF(OR(AH$1="",$BM237=0),"",SUMIFS(Entries!$E$2:$E$5000,Entries!$C$2:$C$5000,"Actual",Entries!$A$2:$A$5000,"&gt;="&amp;$A237,Entries!$A$2:$A$5000,"&lt;"&amp;EDATE($A237,1),Entries!$B$2:$B$5000,AH$1))</f>
        <v/>
      </c>
      <c r="AI237" s="23">
        <f>IF(OR(AI$1="",$BM237=0),"",SUMIFS(Entries!$E$2:$E$5000,Entries!$C$2:$C$5000,"Actual",Entries!$A$2:$A$5000,"&gt;="&amp;$A237,Entries!$A$2:$A$5000,"&lt;"&amp;EDATE($A237,1),Entries!$B$2:$B$5000,AI$1))</f>
        <v/>
      </c>
      <c r="AJ237" s="23">
        <f>IF(OR(AJ$1="",$BM237=0),"",SUMIFS(Entries!$E$2:$E$5000,Entries!$C$2:$C$5000,"Actual",Entries!$A$2:$A$5000,"&gt;="&amp;$A237,Entries!$A$2:$A$5000,"&lt;"&amp;EDATE($A237,1),Entries!$B$2:$B$5000,AJ$1))</f>
        <v/>
      </c>
      <c r="AK237" s="23">
        <f>IF(OR(AK$1="",$BM237=0),"",SUMIFS(Entries!$E$2:$E$5000,Entries!$C$2:$C$5000,"Actual",Entries!$A$2:$A$5000,"&gt;="&amp;$A237,Entries!$A$2:$A$5000,"&lt;"&amp;EDATE($A237,1),Entries!$B$2:$B$5000,AK$1))</f>
        <v/>
      </c>
      <c r="AL237" s="23">
        <f>IF(OR(AL$1="",$BM237=0),"",SUMIFS(Entries!$E$2:$E$5000,Entries!$C$2:$C$5000,"Actual",Entries!$A$2:$A$5000,"&gt;="&amp;$A237,Entries!$A$2:$A$5000,"&lt;"&amp;EDATE($A237,1),Entries!$B$2:$B$5000,AL$1))</f>
        <v/>
      </c>
      <c r="AM237" s="23">
        <f>IF(OR(AM$1="",$BM237=0),"",SUMIFS(Entries!$E$2:$E$5000,Entries!$C$2:$C$5000,"Actual",Entries!$A$2:$A$5000,"&gt;="&amp;$A237,Entries!$A$2:$A$5000,"&lt;"&amp;EDATE($A237,1),Entries!$B$2:$B$5000,AM$1))</f>
        <v/>
      </c>
      <c r="AN237" s="23">
        <f>IF(OR(AN$1="",$BM237=0),"",SUMIFS(Entries!$E$2:$E$5000,Entries!$C$2:$C$5000,"Actual",Entries!$A$2:$A$5000,"&gt;="&amp;$A237,Entries!$A$2:$A$5000,"&lt;"&amp;EDATE($A237,1),Entries!$B$2:$B$5000,AN$1))</f>
        <v/>
      </c>
      <c r="AO237" s="23">
        <f>IF(OR(AO$1="",$BM237=0),"",SUMIFS(Entries!$E$2:$E$5000,Entries!$C$2:$C$5000,"Actual",Entries!$A$2:$A$5000,"&gt;="&amp;$A237,Entries!$A$2:$A$5000,"&lt;"&amp;EDATE($A237,1),Entries!$B$2:$B$5000,AO$1))</f>
        <v/>
      </c>
      <c r="AP237" s="23">
        <f>IF(OR(AP$1="",$BM237=0),"",SUMIFS(Entries!$E$2:$E$5000,Entries!$C$2:$C$5000,"Actual",Entries!$A$2:$A$5000,"&gt;="&amp;$A237,Entries!$A$2:$A$5000,"&lt;"&amp;EDATE($A237,1),Entries!$B$2:$B$5000,AP$1))</f>
        <v/>
      </c>
      <c r="AR237" s="23">
        <f>IF(OR(AR$1="",$BM237=0),"",IFERROR(LOOKUP(2,1/((Budgets!$A$2:$A$200=AR$1)*(Budgets!$B$2:$B$200&lt;EDATE($A237,1))),Budgets!$C$2:$C$200),0))</f>
        <v/>
      </c>
      <c r="AS237" s="23">
        <f>IF(OR(AS$1="",$BM237=0),"",IFERROR(LOOKUP(2,1/((Budgets!$A$2:$A$200=AS$1)*(Budgets!$B$2:$B$200&lt;EDATE($A237,1))),Budgets!$C$2:$C$200),0))</f>
        <v/>
      </c>
      <c r="AT237" s="23">
        <f>IF(OR(AT$1="",$BM237=0),"",IFERROR(LOOKUP(2,1/((Budgets!$A$2:$A$200=AT$1)*(Budgets!$B$2:$B$200&lt;EDATE($A237,1))),Budgets!$C$2:$C$200),0))</f>
        <v/>
      </c>
      <c r="AU237" s="23">
        <f>IF(OR(AU$1="",$BM237=0),"",IFERROR(LOOKUP(2,1/((Budgets!$A$2:$A$200=AU$1)*(Budgets!$B$2:$B$200&lt;EDATE($A237,1))),Budgets!$C$2:$C$200),0))</f>
        <v/>
      </c>
      <c r="AV237" s="23">
        <f>IF(OR(AV$1="",$BM237=0),"",IFERROR(LOOKUP(2,1/((Budgets!$A$2:$A$200=AV$1)*(Budgets!$B$2:$B$200&lt;EDATE($A237,1))),Budgets!$C$2:$C$200),0))</f>
        <v/>
      </c>
      <c r="AW237" s="23">
        <f>IF(OR(AW$1="",$BM237=0),"",IFERROR(LOOKUP(2,1/((Budgets!$A$2:$A$200=AW$1)*(Budgets!$B$2:$B$200&lt;EDATE($A237,1))),Budgets!$C$2:$C$200),0))</f>
        <v/>
      </c>
      <c r="AX237" s="23">
        <f>IF(OR(AX$1="",$BM237=0),"",IFERROR(LOOKUP(2,1/((Budgets!$A$2:$A$200=AX$1)*(Budgets!$B$2:$B$200&lt;EDATE($A237,1))),Budgets!$C$2:$C$200),0))</f>
        <v/>
      </c>
      <c r="AY237" s="23">
        <f>IF(OR(AY$1="",$BM237=0),"",IFERROR(LOOKUP(2,1/((Budgets!$A$2:$A$200=AY$1)*(Budgets!$B$2:$B$200&lt;EDATE($A237,1))),Budgets!$C$2:$C$200),0))</f>
        <v/>
      </c>
      <c r="AZ237" s="23">
        <f>IF(OR(AZ$1="",$BM237=0),"",IFERROR(LOOKUP(2,1/((Budgets!$A$2:$A$200=AZ$1)*(Budgets!$B$2:$B$200&lt;EDATE($A237,1))),Budgets!$C$2:$C$200),0))</f>
        <v/>
      </c>
      <c r="BA237" s="23">
        <f>IF(OR(BA$1="",$BM237=0),"",IFERROR(LOOKUP(2,1/((Budgets!$A$2:$A$200=BA$1)*(Budgets!$B$2:$B$200&lt;EDATE($A237,1))),Budgets!$C$2:$C$200),0))</f>
        <v/>
      </c>
      <c r="BB237" s="23">
        <f>IF(OR(BB$1="",$BM237=0),"",IFERROR(LOOKUP(2,1/((Budgets!$A$2:$A$200=BB$1)*(Budgets!$B$2:$B$200&lt;EDATE($A237,1))),Budgets!$C$2:$C$200),0))</f>
        <v/>
      </c>
      <c r="BC237" s="23">
        <f>IF(OR(BC$1="",$BM237=0),"",IFERROR(LOOKUP(2,1/((Budgets!$A$2:$A$200=BC$1)*(Budgets!$B$2:$B$200&lt;EDATE($A237,1))),Budgets!$C$2:$C$200),0))</f>
        <v/>
      </c>
      <c r="BD237" s="23">
        <f>IF(OR(BD$1="",$BM237=0),"",IFERROR(LOOKUP(2,1/((Budgets!$A$2:$A$200=BD$1)*(Budgets!$B$2:$B$200&lt;EDATE($A237,1))),Budgets!$C$2:$C$200),0))</f>
        <v/>
      </c>
      <c r="BE237" s="23">
        <f>IF(OR(BE$1="",$BM237=0),"",IFERROR(LOOKUP(2,1/((Budgets!$A$2:$A$200=BE$1)*(Budgets!$B$2:$B$200&lt;EDATE($A237,1))),Budgets!$C$2:$C$200),0))</f>
        <v/>
      </c>
      <c r="BF237" s="23">
        <f>IF(OR(BF$1="",$BM237=0),"",IFERROR(LOOKUP(2,1/((Budgets!$A$2:$A$200=BF$1)*(Budgets!$B$2:$B$200&lt;EDATE($A237,1))),Budgets!$C$2:$C$200),0))</f>
        <v/>
      </c>
      <c r="BG237" s="23">
        <f>IF(OR(BG$1="",$BM237=0),"",IFERROR(LOOKUP(2,1/((Budgets!$A$2:$A$200=BG$1)*(Budgets!$B$2:$B$200&lt;EDATE($A237,1))),Budgets!$C$2:$C$200),0))</f>
        <v/>
      </c>
      <c r="BH237" s="23">
        <f>IF(OR(BH$1="",$BM237=0),"",IFERROR(LOOKUP(2,1/((Budgets!$A$2:$A$200=BH$1)*(Budgets!$B$2:$B$200&lt;EDATE($A237,1))),Budgets!$C$2:$C$200),0))</f>
        <v/>
      </c>
      <c r="BI237" s="23">
        <f>IF(OR(BI$1="",$BM237=0),"",IFERROR(LOOKUP(2,1/((Budgets!$A$2:$A$200=BI$1)*(Budgets!$B$2:$B$200&lt;EDATE($A237,1))),Budgets!$C$2:$C$200),0))</f>
        <v/>
      </c>
      <c r="BJ237" s="23">
        <f>IF(OR(BJ$1="",$BM237=0),"",IFERROR(LOOKUP(2,1/((Budgets!$A$2:$A$200=BJ$1)*(Budgets!$B$2:$B$200&lt;EDATE($A237,1))),Budgets!$C$2:$C$200),0))</f>
        <v/>
      </c>
      <c r="BK237" s="23">
        <f>IF(OR(BK$1="",$BM237=0),"",IFERROR(LOOKUP(2,1/((Budgets!$A$2:$A$200=BK$1)*(Budgets!$B$2:$B$200&lt;EDATE($A237,1))),Budgets!$C$2:$C$200),0))</f>
        <v/>
      </c>
      <c r="BM237" s="21">
        <f>COUNTIFS(Entries!$A$2:$A$5000,"&gt;="&amp;$A237,Entries!$A$2:$A$5000,"&lt;"&amp;EDATE($A237,1))</f>
        <v/>
      </c>
    </row>
    <row r="238">
      <c r="A238" s="22" t="n">
        <v>46631</v>
      </c>
      <c r="B238" s="23">
        <f>IF($BM238=0,NA(),SUMIFS(Entries!$E$2:$E$5000,Entries!$C$2:$C$5000,"Income",Entries!$A$2:$A$5000,"&gt;="&amp;$A238,Entries!$A$2:$A$5000,"&lt;"&amp;EDATE($A238,1)))</f>
        <v/>
      </c>
      <c r="C238" s="23">
        <f>IF($BM238=0,"",SUMIFS(Entries!$E$2:$E$5000,Entries!$C$2:$C$5000,"Actual",Entries!$A$2:$A$5000,"&gt;="&amp;$A238,Entries!$A$2:$A$5000,"&lt;"&amp;EDATE($A238,1)))</f>
        <v/>
      </c>
      <c r="D238" s="23">
        <f>IF($BM238=0,"",SUMIFS(Entries!$E$2:$E$5000,Entries!$C$2:$C$5000,"One-off",Entries!$A$2:$A$5000,"&gt;="&amp;$A238,Entries!$A$2:$A$5000,"&lt;"&amp;EDATE($A238,1)))</f>
        <v/>
      </c>
      <c r="E238" s="23">
        <f>IF($BM238=0,NA(),C238+D238)</f>
        <v/>
      </c>
      <c r="F238" s="23">
        <f>IF($BM238=0,"",SUM(AR238:BK238))</f>
        <v/>
      </c>
      <c r="G238" s="23">
        <f>IF($BM238=0,"",B238-E238)</f>
        <v/>
      </c>
      <c r="H238" s="23">
        <f>IF($BM238=0,"",SUM($G$2:G238))</f>
        <v/>
      </c>
      <c r="I238" s="23">
        <f>IF($BM238=0,"",SUMIFS(Entries!$G$2:$G$5000,Entries!$A$2:$A$5000,"&gt;="&amp;$A238,Entries!$A$2:$A$5000,"&lt;"&amp;EDATE($A238,1)))</f>
        <v/>
      </c>
      <c r="J238" s="23">
        <f>IF($BM238=0,NA(),H238)</f>
        <v/>
      </c>
      <c r="K238" s="23">
        <f>IF($BM238=0,"",SUMIFS(Entries!$E$2:$E$5000,Entries!$C$2:$C$5000,"Income",Entries!$A$2:$A$5000,"&gt;="&amp;EDATE($A238,-11),Entries!$A$2:$A$5000,"&lt;"&amp;EDATE($A238,1))/COUNTIFS($A$2:$A$400,"&gt;="&amp;EDATE($A238,-11),$A$2:$A$400,"&lt;"&amp;EDATE($A238,1),$BM$2:$BM$400,"&gt;0"))</f>
      </c>
      <c r="L238" s="23">
        <f>IF($BM238=0,"",(SUMIFS(Entries!$E$2:$E$5000,Entries!$C$2:$C$5000,"Actual",Entries!$A$2:$A$5000,"&gt;="&amp;EDATE($A238,-11),Entries!$A$2:$A$5000,"&lt;"&amp;EDATE($A238,1))+SUMIFS(Entries!$E$2:$E$5000,Entries!$C$2:$C$5000,"One-off",Entries!$A$2:$A$5000,"&gt;="&amp;EDATE($A238,-11),Entries!$A$2:$A$5000,"&lt;"&amp;EDATE($A238,1)))/COUNTIFS($A$2:$A$400,"&gt;="&amp;EDATE($A238,-11),$A$2:$A$400,"&lt;"&amp;EDATE($A238,1),$BM$2:$BM$400,"&gt;0"))</f>
      </c>
      <c r="M238" s="24">
        <f>IF($BM238=0,NA(),IFERROR((K238-L238)/K238,0))</f>
        <v/>
      </c>
      <c r="N238" s="23">
        <f>IF($BM238=0,NA(),SUMIFS(Entries!$E$2:$E$5000,Entries!$D$2:$D$5000,"Core",Entries!$A$2:$A$5000,"&gt;="&amp;$A238,Entries!$A$2:$A$5000,"&lt;"&amp;EDATE($A238,1)))</f>
        <v/>
      </c>
      <c r="O238" s="23">
        <f>IF($BM238=0,NA(),SUMIFS(Entries!$E$2:$E$5000,Entries!$D$2:$D$5000,"Over &amp; above",Entries!$A$2:$A$5000,"&gt;="&amp;$A238,Entries!$A$2:$A$5000,"&lt;"&amp;EDATE($A238,1)))</f>
        <v/>
      </c>
      <c r="P238" s="23">
        <f>IF($BM238=0,NA(),SUMIFS(Entries!$E$2:$E$5000,Entries!$D$2:$D$5000,"One-off",Entries!$A$2:$A$5000,"&gt;="&amp;$A238,Entries!$A$2:$A$5000,"&lt;"&amp;EDATE($A238,1)))</f>
        <v/>
      </c>
      <c r="Q238" s="23">
        <f>IF($BM238=0,NA(),SUMIFS(Entries!$E$2:$E$5000,Entries!$D$2:$D$5000,"Reimbursable",Entries!$A$2:$A$5000,"&gt;="&amp;$A238,Entries!$A$2:$A$5000,"&lt;"&amp;EDATE($A238,1)))</f>
        <v/>
      </c>
      <c r="R238" s="23">
        <f>IF($BM238=0,NA(),SUMIFS(Entries!$E$2:$E$5000,Entries!$D$2:$D$5000,"Investment",Entries!$A$2:$A$5000,"&gt;="&amp;$A238,Entries!$A$2:$A$5000,"&lt;"&amp;EDATE($A238,1)))</f>
        <v/>
      </c>
      <c r="S238" s="23">
        <f>IF($BM238=0,NA(),N238+O238)</f>
        <v/>
      </c>
      <c r="T238" s="23">
        <f>IF($BM238=0,"",E238-Q238)</f>
        <v/>
      </c>
      <c r="W238" s="23">
        <f>IF(OR(W$1="",$BM238=0),"",SUMIFS(Entries!$E$2:$E$5000,Entries!$C$2:$C$5000,"Actual",Entries!$A$2:$A$5000,"&gt;="&amp;$A238,Entries!$A$2:$A$5000,"&lt;"&amp;EDATE($A238,1),Entries!$B$2:$B$5000,W$1))</f>
        <v/>
      </c>
      <c r="X238" s="23">
        <f>IF(OR(X$1="",$BM238=0),"",SUMIFS(Entries!$E$2:$E$5000,Entries!$C$2:$C$5000,"Actual",Entries!$A$2:$A$5000,"&gt;="&amp;$A238,Entries!$A$2:$A$5000,"&lt;"&amp;EDATE($A238,1),Entries!$B$2:$B$5000,X$1))</f>
        <v/>
      </c>
      <c r="Y238" s="23">
        <f>IF(OR(Y$1="",$BM238=0),"",SUMIFS(Entries!$E$2:$E$5000,Entries!$C$2:$C$5000,"Actual",Entries!$A$2:$A$5000,"&gt;="&amp;$A238,Entries!$A$2:$A$5000,"&lt;"&amp;EDATE($A238,1),Entries!$B$2:$B$5000,Y$1))</f>
        <v/>
      </c>
      <c r="Z238" s="23">
        <f>IF(OR(Z$1="",$BM238=0),"",SUMIFS(Entries!$E$2:$E$5000,Entries!$C$2:$C$5000,"Actual",Entries!$A$2:$A$5000,"&gt;="&amp;$A238,Entries!$A$2:$A$5000,"&lt;"&amp;EDATE($A238,1),Entries!$B$2:$B$5000,Z$1))</f>
        <v/>
      </c>
      <c r="AA238" s="23">
        <f>IF(OR(AA$1="",$BM238=0),"",SUMIFS(Entries!$E$2:$E$5000,Entries!$C$2:$C$5000,"Actual",Entries!$A$2:$A$5000,"&gt;="&amp;$A238,Entries!$A$2:$A$5000,"&lt;"&amp;EDATE($A238,1),Entries!$B$2:$B$5000,AA$1))</f>
        <v/>
      </c>
      <c r="AB238" s="23">
        <f>IF(OR(AB$1="",$BM238=0),"",SUMIFS(Entries!$E$2:$E$5000,Entries!$C$2:$C$5000,"Actual",Entries!$A$2:$A$5000,"&gt;="&amp;$A238,Entries!$A$2:$A$5000,"&lt;"&amp;EDATE($A238,1),Entries!$B$2:$B$5000,AB$1))</f>
        <v/>
      </c>
      <c r="AC238" s="23">
        <f>IF(OR(AC$1="",$BM238=0),"",SUMIFS(Entries!$E$2:$E$5000,Entries!$C$2:$C$5000,"Actual",Entries!$A$2:$A$5000,"&gt;="&amp;$A238,Entries!$A$2:$A$5000,"&lt;"&amp;EDATE($A238,1),Entries!$B$2:$B$5000,AC$1))</f>
        <v/>
      </c>
      <c r="AD238" s="23">
        <f>IF(OR(AD$1="",$BM238=0),"",SUMIFS(Entries!$E$2:$E$5000,Entries!$C$2:$C$5000,"Actual",Entries!$A$2:$A$5000,"&gt;="&amp;$A238,Entries!$A$2:$A$5000,"&lt;"&amp;EDATE($A238,1),Entries!$B$2:$B$5000,AD$1))</f>
        <v/>
      </c>
      <c r="AE238" s="23">
        <f>IF(OR(AE$1="",$BM238=0),"",SUMIFS(Entries!$E$2:$E$5000,Entries!$C$2:$C$5000,"Actual",Entries!$A$2:$A$5000,"&gt;="&amp;$A238,Entries!$A$2:$A$5000,"&lt;"&amp;EDATE($A238,1),Entries!$B$2:$B$5000,AE$1))</f>
        <v/>
      </c>
      <c r="AF238" s="23">
        <f>IF(OR(AF$1="",$BM238=0),"",SUMIFS(Entries!$E$2:$E$5000,Entries!$C$2:$C$5000,"Actual",Entries!$A$2:$A$5000,"&gt;="&amp;$A238,Entries!$A$2:$A$5000,"&lt;"&amp;EDATE($A238,1),Entries!$B$2:$B$5000,AF$1))</f>
        <v/>
      </c>
      <c r="AG238" s="23">
        <f>IF(OR(AG$1="",$BM238=0),"",SUMIFS(Entries!$E$2:$E$5000,Entries!$C$2:$C$5000,"Actual",Entries!$A$2:$A$5000,"&gt;="&amp;$A238,Entries!$A$2:$A$5000,"&lt;"&amp;EDATE($A238,1),Entries!$B$2:$B$5000,AG$1))</f>
        <v/>
      </c>
      <c r="AH238" s="23">
        <f>IF(OR(AH$1="",$BM238=0),"",SUMIFS(Entries!$E$2:$E$5000,Entries!$C$2:$C$5000,"Actual",Entries!$A$2:$A$5000,"&gt;="&amp;$A238,Entries!$A$2:$A$5000,"&lt;"&amp;EDATE($A238,1),Entries!$B$2:$B$5000,AH$1))</f>
        <v/>
      </c>
      <c r="AI238" s="23">
        <f>IF(OR(AI$1="",$BM238=0),"",SUMIFS(Entries!$E$2:$E$5000,Entries!$C$2:$C$5000,"Actual",Entries!$A$2:$A$5000,"&gt;="&amp;$A238,Entries!$A$2:$A$5000,"&lt;"&amp;EDATE($A238,1),Entries!$B$2:$B$5000,AI$1))</f>
        <v/>
      </c>
      <c r="AJ238" s="23">
        <f>IF(OR(AJ$1="",$BM238=0),"",SUMIFS(Entries!$E$2:$E$5000,Entries!$C$2:$C$5000,"Actual",Entries!$A$2:$A$5000,"&gt;="&amp;$A238,Entries!$A$2:$A$5000,"&lt;"&amp;EDATE($A238,1),Entries!$B$2:$B$5000,AJ$1))</f>
        <v/>
      </c>
      <c r="AK238" s="23">
        <f>IF(OR(AK$1="",$BM238=0),"",SUMIFS(Entries!$E$2:$E$5000,Entries!$C$2:$C$5000,"Actual",Entries!$A$2:$A$5000,"&gt;="&amp;$A238,Entries!$A$2:$A$5000,"&lt;"&amp;EDATE($A238,1),Entries!$B$2:$B$5000,AK$1))</f>
        <v/>
      </c>
      <c r="AL238" s="23">
        <f>IF(OR(AL$1="",$BM238=0),"",SUMIFS(Entries!$E$2:$E$5000,Entries!$C$2:$C$5000,"Actual",Entries!$A$2:$A$5000,"&gt;="&amp;$A238,Entries!$A$2:$A$5000,"&lt;"&amp;EDATE($A238,1),Entries!$B$2:$B$5000,AL$1))</f>
        <v/>
      </c>
      <c r="AM238" s="23">
        <f>IF(OR(AM$1="",$BM238=0),"",SUMIFS(Entries!$E$2:$E$5000,Entries!$C$2:$C$5000,"Actual",Entries!$A$2:$A$5000,"&gt;="&amp;$A238,Entries!$A$2:$A$5000,"&lt;"&amp;EDATE($A238,1),Entries!$B$2:$B$5000,AM$1))</f>
        <v/>
      </c>
      <c r="AN238" s="23">
        <f>IF(OR(AN$1="",$BM238=0),"",SUMIFS(Entries!$E$2:$E$5000,Entries!$C$2:$C$5000,"Actual",Entries!$A$2:$A$5000,"&gt;="&amp;$A238,Entries!$A$2:$A$5000,"&lt;"&amp;EDATE($A238,1),Entries!$B$2:$B$5000,AN$1))</f>
        <v/>
      </c>
      <c r="AO238" s="23">
        <f>IF(OR(AO$1="",$BM238=0),"",SUMIFS(Entries!$E$2:$E$5000,Entries!$C$2:$C$5000,"Actual",Entries!$A$2:$A$5000,"&gt;="&amp;$A238,Entries!$A$2:$A$5000,"&lt;"&amp;EDATE($A238,1),Entries!$B$2:$B$5000,AO$1))</f>
        <v/>
      </c>
      <c r="AP238" s="23">
        <f>IF(OR(AP$1="",$BM238=0),"",SUMIFS(Entries!$E$2:$E$5000,Entries!$C$2:$C$5000,"Actual",Entries!$A$2:$A$5000,"&gt;="&amp;$A238,Entries!$A$2:$A$5000,"&lt;"&amp;EDATE($A238,1),Entries!$B$2:$B$5000,AP$1))</f>
        <v/>
      </c>
      <c r="AR238" s="23">
        <f>IF(OR(AR$1="",$BM238=0),"",IFERROR(LOOKUP(2,1/((Budgets!$A$2:$A$200=AR$1)*(Budgets!$B$2:$B$200&lt;EDATE($A238,1))),Budgets!$C$2:$C$200),0))</f>
        <v/>
      </c>
      <c r="AS238" s="23">
        <f>IF(OR(AS$1="",$BM238=0),"",IFERROR(LOOKUP(2,1/((Budgets!$A$2:$A$200=AS$1)*(Budgets!$B$2:$B$200&lt;EDATE($A238,1))),Budgets!$C$2:$C$200),0))</f>
        <v/>
      </c>
      <c r="AT238" s="23">
        <f>IF(OR(AT$1="",$BM238=0),"",IFERROR(LOOKUP(2,1/((Budgets!$A$2:$A$200=AT$1)*(Budgets!$B$2:$B$200&lt;EDATE($A238,1))),Budgets!$C$2:$C$200),0))</f>
        <v/>
      </c>
      <c r="AU238" s="23">
        <f>IF(OR(AU$1="",$BM238=0),"",IFERROR(LOOKUP(2,1/((Budgets!$A$2:$A$200=AU$1)*(Budgets!$B$2:$B$200&lt;EDATE($A238,1))),Budgets!$C$2:$C$200),0))</f>
        <v/>
      </c>
      <c r="AV238" s="23">
        <f>IF(OR(AV$1="",$BM238=0),"",IFERROR(LOOKUP(2,1/((Budgets!$A$2:$A$200=AV$1)*(Budgets!$B$2:$B$200&lt;EDATE($A238,1))),Budgets!$C$2:$C$200),0))</f>
        <v/>
      </c>
      <c r="AW238" s="23">
        <f>IF(OR(AW$1="",$BM238=0),"",IFERROR(LOOKUP(2,1/((Budgets!$A$2:$A$200=AW$1)*(Budgets!$B$2:$B$200&lt;EDATE($A238,1))),Budgets!$C$2:$C$200),0))</f>
        <v/>
      </c>
      <c r="AX238" s="23">
        <f>IF(OR(AX$1="",$BM238=0),"",IFERROR(LOOKUP(2,1/((Budgets!$A$2:$A$200=AX$1)*(Budgets!$B$2:$B$200&lt;EDATE($A238,1))),Budgets!$C$2:$C$200),0))</f>
        <v/>
      </c>
      <c r="AY238" s="23">
        <f>IF(OR(AY$1="",$BM238=0),"",IFERROR(LOOKUP(2,1/((Budgets!$A$2:$A$200=AY$1)*(Budgets!$B$2:$B$200&lt;EDATE($A238,1))),Budgets!$C$2:$C$200),0))</f>
        <v/>
      </c>
      <c r="AZ238" s="23">
        <f>IF(OR(AZ$1="",$BM238=0),"",IFERROR(LOOKUP(2,1/((Budgets!$A$2:$A$200=AZ$1)*(Budgets!$B$2:$B$200&lt;EDATE($A238,1))),Budgets!$C$2:$C$200),0))</f>
        <v/>
      </c>
      <c r="BA238" s="23">
        <f>IF(OR(BA$1="",$BM238=0),"",IFERROR(LOOKUP(2,1/((Budgets!$A$2:$A$200=BA$1)*(Budgets!$B$2:$B$200&lt;EDATE($A238,1))),Budgets!$C$2:$C$200),0))</f>
        <v/>
      </c>
      <c r="BB238" s="23">
        <f>IF(OR(BB$1="",$BM238=0),"",IFERROR(LOOKUP(2,1/((Budgets!$A$2:$A$200=BB$1)*(Budgets!$B$2:$B$200&lt;EDATE($A238,1))),Budgets!$C$2:$C$200),0))</f>
        <v/>
      </c>
      <c r="BC238" s="23">
        <f>IF(OR(BC$1="",$BM238=0),"",IFERROR(LOOKUP(2,1/((Budgets!$A$2:$A$200=BC$1)*(Budgets!$B$2:$B$200&lt;EDATE($A238,1))),Budgets!$C$2:$C$200),0))</f>
        <v/>
      </c>
      <c r="BD238" s="23">
        <f>IF(OR(BD$1="",$BM238=0),"",IFERROR(LOOKUP(2,1/((Budgets!$A$2:$A$200=BD$1)*(Budgets!$B$2:$B$200&lt;EDATE($A238,1))),Budgets!$C$2:$C$200),0))</f>
        <v/>
      </c>
      <c r="BE238" s="23">
        <f>IF(OR(BE$1="",$BM238=0),"",IFERROR(LOOKUP(2,1/((Budgets!$A$2:$A$200=BE$1)*(Budgets!$B$2:$B$200&lt;EDATE($A238,1))),Budgets!$C$2:$C$200),0))</f>
        <v/>
      </c>
      <c r="BF238" s="23">
        <f>IF(OR(BF$1="",$BM238=0),"",IFERROR(LOOKUP(2,1/((Budgets!$A$2:$A$200=BF$1)*(Budgets!$B$2:$B$200&lt;EDATE($A238,1))),Budgets!$C$2:$C$200),0))</f>
        <v/>
      </c>
      <c r="BG238" s="23">
        <f>IF(OR(BG$1="",$BM238=0),"",IFERROR(LOOKUP(2,1/((Budgets!$A$2:$A$200=BG$1)*(Budgets!$B$2:$B$200&lt;EDATE($A238,1))),Budgets!$C$2:$C$200),0))</f>
        <v/>
      </c>
      <c r="BH238" s="23">
        <f>IF(OR(BH$1="",$BM238=0),"",IFERROR(LOOKUP(2,1/((Budgets!$A$2:$A$200=BH$1)*(Budgets!$B$2:$B$200&lt;EDATE($A238,1))),Budgets!$C$2:$C$200),0))</f>
        <v/>
      </c>
      <c r="BI238" s="23">
        <f>IF(OR(BI$1="",$BM238=0),"",IFERROR(LOOKUP(2,1/((Budgets!$A$2:$A$200=BI$1)*(Budgets!$B$2:$B$200&lt;EDATE($A238,1))),Budgets!$C$2:$C$200),0))</f>
        <v/>
      </c>
      <c r="BJ238" s="23">
        <f>IF(OR(BJ$1="",$BM238=0),"",IFERROR(LOOKUP(2,1/((Budgets!$A$2:$A$200=BJ$1)*(Budgets!$B$2:$B$200&lt;EDATE($A238,1))),Budgets!$C$2:$C$200),0))</f>
        <v/>
      </c>
      <c r="BK238" s="23">
        <f>IF(OR(BK$1="",$BM238=0),"",IFERROR(LOOKUP(2,1/((Budgets!$A$2:$A$200=BK$1)*(Budgets!$B$2:$B$200&lt;EDATE($A238,1))),Budgets!$C$2:$C$200),0))</f>
        <v/>
      </c>
      <c r="BM238" s="21">
        <f>COUNTIFS(Entries!$A$2:$A$5000,"&gt;="&amp;$A238,Entries!$A$2:$A$5000,"&lt;"&amp;EDATE($A238,1))</f>
        <v/>
      </c>
    </row>
    <row r="239">
      <c r="A239" s="22" t="n">
        <v>46661</v>
      </c>
      <c r="B239" s="23">
        <f>IF($BM239=0,NA(),SUMIFS(Entries!$E$2:$E$5000,Entries!$C$2:$C$5000,"Income",Entries!$A$2:$A$5000,"&gt;="&amp;$A239,Entries!$A$2:$A$5000,"&lt;"&amp;EDATE($A239,1)))</f>
        <v/>
      </c>
      <c r="C239" s="23">
        <f>IF($BM239=0,"",SUMIFS(Entries!$E$2:$E$5000,Entries!$C$2:$C$5000,"Actual",Entries!$A$2:$A$5000,"&gt;="&amp;$A239,Entries!$A$2:$A$5000,"&lt;"&amp;EDATE($A239,1)))</f>
        <v/>
      </c>
      <c r="D239" s="23">
        <f>IF($BM239=0,"",SUMIFS(Entries!$E$2:$E$5000,Entries!$C$2:$C$5000,"One-off",Entries!$A$2:$A$5000,"&gt;="&amp;$A239,Entries!$A$2:$A$5000,"&lt;"&amp;EDATE($A239,1)))</f>
        <v/>
      </c>
      <c r="E239" s="23">
        <f>IF($BM239=0,NA(),C239+D239)</f>
        <v/>
      </c>
      <c r="F239" s="23">
        <f>IF($BM239=0,"",SUM(AR239:BK239))</f>
        <v/>
      </c>
      <c r="G239" s="23">
        <f>IF($BM239=0,"",B239-E239)</f>
        <v/>
      </c>
      <c r="H239" s="23">
        <f>IF($BM239=0,"",SUM($G$2:G239))</f>
        <v/>
      </c>
      <c r="I239" s="23">
        <f>IF($BM239=0,"",SUMIFS(Entries!$G$2:$G$5000,Entries!$A$2:$A$5000,"&gt;="&amp;$A239,Entries!$A$2:$A$5000,"&lt;"&amp;EDATE($A239,1)))</f>
        <v/>
      </c>
      <c r="J239" s="23">
        <f>IF($BM239=0,NA(),H239)</f>
        <v/>
      </c>
      <c r="K239" s="23">
        <f>IF($BM239=0,"",SUMIFS(Entries!$E$2:$E$5000,Entries!$C$2:$C$5000,"Income",Entries!$A$2:$A$5000,"&gt;="&amp;EDATE($A239,-11),Entries!$A$2:$A$5000,"&lt;"&amp;EDATE($A239,1))/COUNTIFS($A$2:$A$400,"&gt;="&amp;EDATE($A239,-11),$A$2:$A$400,"&lt;"&amp;EDATE($A239,1),$BM$2:$BM$400,"&gt;0"))</f>
      </c>
      <c r="L239" s="23">
        <f>IF($BM239=0,"",(SUMIFS(Entries!$E$2:$E$5000,Entries!$C$2:$C$5000,"Actual",Entries!$A$2:$A$5000,"&gt;="&amp;EDATE($A239,-11),Entries!$A$2:$A$5000,"&lt;"&amp;EDATE($A239,1))+SUMIFS(Entries!$E$2:$E$5000,Entries!$C$2:$C$5000,"One-off",Entries!$A$2:$A$5000,"&gt;="&amp;EDATE($A239,-11),Entries!$A$2:$A$5000,"&lt;"&amp;EDATE($A239,1)))/COUNTIFS($A$2:$A$400,"&gt;="&amp;EDATE($A239,-11),$A$2:$A$400,"&lt;"&amp;EDATE($A239,1),$BM$2:$BM$400,"&gt;0"))</f>
      </c>
      <c r="M239" s="24">
        <f>IF($BM239=0,NA(),IFERROR((K239-L239)/K239,0))</f>
        <v/>
      </c>
      <c r="N239" s="23">
        <f>IF($BM239=0,NA(),SUMIFS(Entries!$E$2:$E$5000,Entries!$D$2:$D$5000,"Core",Entries!$A$2:$A$5000,"&gt;="&amp;$A239,Entries!$A$2:$A$5000,"&lt;"&amp;EDATE($A239,1)))</f>
        <v/>
      </c>
      <c r="O239" s="23">
        <f>IF($BM239=0,NA(),SUMIFS(Entries!$E$2:$E$5000,Entries!$D$2:$D$5000,"Over &amp; above",Entries!$A$2:$A$5000,"&gt;="&amp;$A239,Entries!$A$2:$A$5000,"&lt;"&amp;EDATE($A239,1)))</f>
        <v/>
      </c>
      <c r="P239" s="23">
        <f>IF($BM239=0,NA(),SUMIFS(Entries!$E$2:$E$5000,Entries!$D$2:$D$5000,"One-off",Entries!$A$2:$A$5000,"&gt;="&amp;$A239,Entries!$A$2:$A$5000,"&lt;"&amp;EDATE($A239,1)))</f>
        <v/>
      </c>
      <c r="Q239" s="23">
        <f>IF($BM239=0,NA(),SUMIFS(Entries!$E$2:$E$5000,Entries!$D$2:$D$5000,"Reimbursable",Entries!$A$2:$A$5000,"&gt;="&amp;$A239,Entries!$A$2:$A$5000,"&lt;"&amp;EDATE($A239,1)))</f>
        <v/>
      </c>
      <c r="R239" s="23">
        <f>IF($BM239=0,NA(),SUMIFS(Entries!$E$2:$E$5000,Entries!$D$2:$D$5000,"Investment",Entries!$A$2:$A$5000,"&gt;="&amp;$A239,Entries!$A$2:$A$5000,"&lt;"&amp;EDATE($A239,1)))</f>
        <v/>
      </c>
      <c r="S239" s="23">
        <f>IF($BM239=0,NA(),N239+O239)</f>
        <v/>
      </c>
      <c r="T239" s="23">
        <f>IF($BM239=0,"",E239-Q239)</f>
        <v/>
      </c>
      <c r="W239" s="23">
        <f>IF(OR(W$1="",$BM239=0),"",SUMIFS(Entries!$E$2:$E$5000,Entries!$C$2:$C$5000,"Actual",Entries!$A$2:$A$5000,"&gt;="&amp;$A239,Entries!$A$2:$A$5000,"&lt;"&amp;EDATE($A239,1),Entries!$B$2:$B$5000,W$1))</f>
        <v/>
      </c>
      <c r="X239" s="23">
        <f>IF(OR(X$1="",$BM239=0),"",SUMIFS(Entries!$E$2:$E$5000,Entries!$C$2:$C$5000,"Actual",Entries!$A$2:$A$5000,"&gt;="&amp;$A239,Entries!$A$2:$A$5000,"&lt;"&amp;EDATE($A239,1),Entries!$B$2:$B$5000,X$1))</f>
        <v/>
      </c>
      <c r="Y239" s="23">
        <f>IF(OR(Y$1="",$BM239=0),"",SUMIFS(Entries!$E$2:$E$5000,Entries!$C$2:$C$5000,"Actual",Entries!$A$2:$A$5000,"&gt;="&amp;$A239,Entries!$A$2:$A$5000,"&lt;"&amp;EDATE($A239,1),Entries!$B$2:$B$5000,Y$1))</f>
        <v/>
      </c>
      <c r="Z239" s="23">
        <f>IF(OR(Z$1="",$BM239=0),"",SUMIFS(Entries!$E$2:$E$5000,Entries!$C$2:$C$5000,"Actual",Entries!$A$2:$A$5000,"&gt;="&amp;$A239,Entries!$A$2:$A$5000,"&lt;"&amp;EDATE($A239,1),Entries!$B$2:$B$5000,Z$1))</f>
        <v/>
      </c>
      <c r="AA239" s="23">
        <f>IF(OR(AA$1="",$BM239=0),"",SUMIFS(Entries!$E$2:$E$5000,Entries!$C$2:$C$5000,"Actual",Entries!$A$2:$A$5000,"&gt;="&amp;$A239,Entries!$A$2:$A$5000,"&lt;"&amp;EDATE($A239,1),Entries!$B$2:$B$5000,AA$1))</f>
        <v/>
      </c>
      <c r="AB239" s="23">
        <f>IF(OR(AB$1="",$BM239=0),"",SUMIFS(Entries!$E$2:$E$5000,Entries!$C$2:$C$5000,"Actual",Entries!$A$2:$A$5000,"&gt;="&amp;$A239,Entries!$A$2:$A$5000,"&lt;"&amp;EDATE($A239,1),Entries!$B$2:$B$5000,AB$1))</f>
        <v/>
      </c>
      <c r="AC239" s="23">
        <f>IF(OR(AC$1="",$BM239=0),"",SUMIFS(Entries!$E$2:$E$5000,Entries!$C$2:$C$5000,"Actual",Entries!$A$2:$A$5000,"&gt;="&amp;$A239,Entries!$A$2:$A$5000,"&lt;"&amp;EDATE($A239,1),Entries!$B$2:$B$5000,AC$1))</f>
        <v/>
      </c>
      <c r="AD239" s="23">
        <f>IF(OR(AD$1="",$BM239=0),"",SUMIFS(Entries!$E$2:$E$5000,Entries!$C$2:$C$5000,"Actual",Entries!$A$2:$A$5000,"&gt;="&amp;$A239,Entries!$A$2:$A$5000,"&lt;"&amp;EDATE($A239,1),Entries!$B$2:$B$5000,AD$1))</f>
        <v/>
      </c>
      <c r="AE239" s="23">
        <f>IF(OR(AE$1="",$BM239=0),"",SUMIFS(Entries!$E$2:$E$5000,Entries!$C$2:$C$5000,"Actual",Entries!$A$2:$A$5000,"&gt;="&amp;$A239,Entries!$A$2:$A$5000,"&lt;"&amp;EDATE($A239,1),Entries!$B$2:$B$5000,AE$1))</f>
        <v/>
      </c>
      <c r="AF239" s="23">
        <f>IF(OR(AF$1="",$BM239=0),"",SUMIFS(Entries!$E$2:$E$5000,Entries!$C$2:$C$5000,"Actual",Entries!$A$2:$A$5000,"&gt;="&amp;$A239,Entries!$A$2:$A$5000,"&lt;"&amp;EDATE($A239,1),Entries!$B$2:$B$5000,AF$1))</f>
        <v/>
      </c>
      <c r="AG239" s="23">
        <f>IF(OR(AG$1="",$BM239=0),"",SUMIFS(Entries!$E$2:$E$5000,Entries!$C$2:$C$5000,"Actual",Entries!$A$2:$A$5000,"&gt;="&amp;$A239,Entries!$A$2:$A$5000,"&lt;"&amp;EDATE($A239,1),Entries!$B$2:$B$5000,AG$1))</f>
        <v/>
      </c>
      <c r="AH239" s="23">
        <f>IF(OR(AH$1="",$BM239=0),"",SUMIFS(Entries!$E$2:$E$5000,Entries!$C$2:$C$5000,"Actual",Entries!$A$2:$A$5000,"&gt;="&amp;$A239,Entries!$A$2:$A$5000,"&lt;"&amp;EDATE($A239,1),Entries!$B$2:$B$5000,AH$1))</f>
        <v/>
      </c>
      <c r="AI239" s="23">
        <f>IF(OR(AI$1="",$BM239=0),"",SUMIFS(Entries!$E$2:$E$5000,Entries!$C$2:$C$5000,"Actual",Entries!$A$2:$A$5000,"&gt;="&amp;$A239,Entries!$A$2:$A$5000,"&lt;"&amp;EDATE($A239,1),Entries!$B$2:$B$5000,AI$1))</f>
        <v/>
      </c>
      <c r="AJ239" s="23">
        <f>IF(OR(AJ$1="",$BM239=0),"",SUMIFS(Entries!$E$2:$E$5000,Entries!$C$2:$C$5000,"Actual",Entries!$A$2:$A$5000,"&gt;="&amp;$A239,Entries!$A$2:$A$5000,"&lt;"&amp;EDATE($A239,1),Entries!$B$2:$B$5000,AJ$1))</f>
        <v/>
      </c>
      <c r="AK239" s="23">
        <f>IF(OR(AK$1="",$BM239=0),"",SUMIFS(Entries!$E$2:$E$5000,Entries!$C$2:$C$5000,"Actual",Entries!$A$2:$A$5000,"&gt;="&amp;$A239,Entries!$A$2:$A$5000,"&lt;"&amp;EDATE($A239,1),Entries!$B$2:$B$5000,AK$1))</f>
        <v/>
      </c>
      <c r="AL239" s="23">
        <f>IF(OR(AL$1="",$BM239=0),"",SUMIFS(Entries!$E$2:$E$5000,Entries!$C$2:$C$5000,"Actual",Entries!$A$2:$A$5000,"&gt;="&amp;$A239,Entries!$A$2:$A$5000,"&lt;"&amp;EDATE($A239,1),Entries!$B$2:$B$5000,AL$1))</f>
        <v/>
      </c>
      <c r="AM239" s="23">
        <f>IF(OR(AM$1="",$BM239=0),"",SUMIFS(Entries!$E$2:$E$5000,Entries!$C$2:$C$5000,"Actual",Entries!$A$2:$A$5000,"&gt;="&amp;$A239,Entries!$A$2:$A$5000,"&lt;"&amp;EDATE($A239,1),Entries!$B$2:$B$5000,AM$1))</f>
        <v/>
      </c>
      <c r="AN239" s="23">
        <f>IF(OR(AN$1="",$BM239=0),"",SUMIFS(Entries!$E$2:$E$5000,Entries!$C$2:$C$5000,"Actual",Entries!$A$2:$A$5000,"&gt;="&amp;$A239,Entries!$A$2:$A$5000,"&lt;"&amp;EDATE($A239,1),Entries!$B$2:$B$5000,AN$1))</f>
        <v/>
      </c>
      <c r="AO239" s="23">
        <f>IF(OR(AO$1="",$BM239=0),"",SUMIFS(Entries!$E$2:$E$5000,Entries!$C$2:$C$5000,"Actual",Entries!$A$2:$A$5000,"&gt;="&amp;$A239,Entries!$A$2:$A$5000,"&lt;"&amp;EDATE($A239,1),Entries!$B$2:$B$5000,AO$1))</f>
        <v/>
      </c>
      <c r="AP239" s="23">
        <f>IF(OR(AP$1="",$BM239=0),"",SUMIFS(Entries!$E$2:$E$5000,Entries!$C$2:$C$5000,"Actual",Entries!$A$2:$A$5000,"&gt;="&amp;$A239,Entries!$A$2:$A$5000,"&lt;"&amp;EDATE($A239,1),Entries!$B$2:$B$5000,AP$1))</f>
        <v/>
      </c>
      <c r="AR239" s="23">
        <f>IF(OR(AR$1="",$BM239=0),"",IFERROR(LOOKUP(2,1/((Budgets!$A$2:$A$200=AR$1)*(Budgets!$B$2:$B$200&lt;EDATE($A239,1))),Budgets!$C$2:$C$200),0))</f>
        <v/>
      </c>
      <c r="AS239" s="23">
        <f>IF(OR(AS$1="",$BM239=0),"",IFERROR(LOOKUP(2,1/((Budgets!$A$2:$A$200=AS$1)*(Budgets!$B$2:$B$200&lt;EDATE($A239,1))),Budgets!$C$2:$C$200),0))</f>
        <v/>
      </c>
      <c r="AT239" s="23">
        <f>IF(OR(AT$1="",$BM239=0),"",IFERROR(LOOKUP(2,1/((Budgets!$A$2:$A$200=AT$1)*(Budgets!$B$2:$B$200&lt;EDATE($A239,1))),Budgets!$C$2:$C$200),0))</f>
        <v/>
      </c>
      <c r="AU239" s="23">
        <f>IF(OR(AU$1="",$BM239=0),"",IFERROR(LOOKUP(2,1/((Budgets!$A$2:$A$200=AU$1)*(Budgets!$B$2:$B$200&lt;EDATE($A239,1))),Budgets!$C$2:$C$200),0))</f>
        <v/>
      </c>
      <c r="AV239" s="23">
        <f>IF(OR(AV$1="",$BM239=0),"",IFERROR(LOOKUP(2,1/((Budgets!$A$2:$A$200=AV$1)*(Budgets!$B$2:$B$200&lt;EDATE($A239,1))),Budgets!$C$2:$C$200),0))</f>
        <v/>
      </c>
      <c r="AW239" s="23">
        <f>IF(OR(AW$1="",$BM239=0),"",IFERROR(LOOKUP(2,1/((Budgets!$A$2:$A$200=AW$1)*(Budgets!$B$2:$B$200&lt;EDATE($A239,1))),Budgets!$C$2:$C$200),0))</f>
        <v/>
      </c>
      <c r="AX239" s="23">
        <f>IF(OR(AX$1="",$BM239=0),"",IFERROR(LOOKUP(2,1/((Budgets!$A$2:$A$200=AX$1)*(Budgets!$B$2:$B$200&lt;EDATE($A239,1))),Budgets!$C$2:$C$200),0))</f>
        <v/>
      </c>
      <c r="AY239" s="23">
        <f>IF(OR(AY$1="",$BM239=0),"",IFERROR(LOOKUP(2,1/((Budgets!$A$2:$A$200=AY$1)*(Budgets!$B$2:$B$200&lt;EDATE($A239,1))),Budgets!$C$2:$C$200),0))</f>
        <v/>
      </c>
      <c r="AZ239" s="23">
        <f>IF(OR(AZ$1="",$BM239=0),"",IFERROR(LOOKUP(2,1/((Budgets!$A$2:$A$200=AZ$1)*(Budgets!$B$2:$B$200&lt;EDATE($A239,1))),Budgets!$C$2:$C$200),0))</f>
        <v/>
      </c>
      <c r="BA239" s="23">
        <f>IF(OR(BA$1="",$BM239=0),"",IFERROR(LOOKUP(2,1/((Budgets!$A$2:$A$200=BA$1)*(Budgets!$B$2:$B$200&lt;EDATE($A239,1))),Budgets!$C$2:$C$200),0))</f>
        <v/>
      </c>
      <c r="BB239" s="23">
        <f>IF(OR(BB$1="",$BM239=0),"",IFERROR(LOOKUP(2,1/((Budgets!$A$2:$A$200=BB$1)*(Budgets!$B$2:$B$200&lt;EDATE($A239,1))),Budgets!$C$2:$C$200),0))</f>
        <v/>
      </c>
      <c r="BC239" s="23">
        <f>IF(OR(BC$1="",$BM239=0),"",IFERROR(LOOKUP(2,1/((Budgets!$A$2:$A$200=BC$1)*(Budgets!$B$2:$B$200&lt;EDATE($A239,1))),Budgets!$C$2:$C$200),0))</f>
        <v/>
      </c>
      <c r="BD239" s="23">
        <f>IF(OR(BD$1="",$BM239=0),"",IFERROR(LOOKUP(2,1/((Budgets!$A$2:$A$200=BD$1)*(Budgets!$B$2:$B$200&lt;EDATE($A239,1))),Budgets!$C$2:$C$200),0))</f>
        <v/>
      </c>
      <c r="BE239" s="23">
        <f>IF(OR(BE$1="",$BM239=0),"",IFERROR(LOOKUP(2,1/((Budgets!$A$2:$A$200=BE$1)*(Budgets!$B$2:$B$200&lt;EDATE($A239,1))),Budgets!$C$2:$C$200),0))</f>
        <v/>
      </c>
      <c r="BF239" s="23">
        <f>IF(OR(BF$1="",$BM239=0),"",IFERROR(LOOKUP(2,1/((Budgets!$A$2:$A$200=BF$1)*(Budgets!$B$2:$B$200&lt;EDATE($A239,1))),Budgets!$C$2:$C$200),0))</f>
        <v/>
      </c>
      <c r="BG239" s="23">
        <f>IF(OR(BG$1="",$BM239=0),"",IFERROR(LOOKUP(2,1/((Budgets!$A$2:$A$200=BG$1)*(Budgets!$B$2:$B$200&lt;EDATE($A239,1))),Budgets!$C$2:$C$200),0))</f>
        <v/>
      </c>
      <c r="BH239" s="23">
        <f>IF(OR(BH$1="",$BM239=0),"",IFERROR(LOOKUP(2,1/((Budgets!$A$2:$A$200=BH$1)*(Budgets!$B$2:$B$200&lt;EDATE($A239,1))),Budgets!$C$2:$C$200),0))</f>
        <v/>
      </c>
      <c r="BI239" s="23">
        <f>IF(OR(BI$1="",$BM239=0),"",IFERROR(LOOKUP(2,1/((Budgets!$A$2:$A$200=BI$1)*(Budgets!$B$2:$B$200&lt;EDATE($A239,1))),Budgets!$C$2:$C$200),0))</f>
        <v/>
      </c>
      <c r="BJ239" s="23">
        <f>IF(OR(BJ$1="",$BM239=0),"",IFERROR(LOOKUP(2,1/((Budgets!$A$2:$A$200=BJ$1)*(Budgets!$B$2:$B$200&lt;EDATE($A239,1))),Budgets!$C$2:$C$200),0))</f>
        <v/>
      </c>
      <c r="BK239" s="23">
        <f>IF(OR(BK$1="",$BM239=0),"",IFERROR(LOOKUP(2,1/((Budgets!$A$2:$A$200=BK$1)*(Budgets!$B$2:$B$200&lt;EDATE($A239,1))),Budgets!$C$2:$C$200),0))</f>
        <v/>
      </c>
      <c r="BM239" s="21">
        <f>COUNTIFS(Entries!$A$2:$A$5000,"&gt;="&amp;$A239,Entries!$A$2:$A$5000,"&lt;"&amp;EDATE($A239,1))</f>
        <v/>
      </c>
    </row>
    <row r="240">
      <c r="A240" s="22" t="n">
        <v>46692</v>
      </c>
      <c r="B240" s="23">
        <f>IF($BM240=0,NA(),SUMIFS(Entries!$E$2:$E$5000,Entries!$C$2:$C$5000,"Income",Entries!$A$2:$A$5000,"&gt;="&amp;$A240,Entries!$A$2:$A$5000,"&lt;"&amp;EDATE($A240,1)))</f>
        <v/>
      </c>
      <c r="C240" s="23">
        <f>IF($BM240=0,"",SUMIFS(Entries!$E$2:$E$5000,Entries!$C$2:$C$5000,"Actual",Entries!$A$2:$A$5000,"&gt;="&amp;$A240,Entries!$A$2:$A$5000,"&lt;"&amp;EDATE($A240,1)))</f>
        <v/>
      </c>
      <c r="D240" s="23">
        <f>IF($BM240=0,"",SUMIFS(Entries!$E$2:$E$5000,Entries!$C$2:$C$5000,"One-off",Entries!$A$2:$A$5000,"&gt;="&amp;$A240,Entries!$A$2:$A$5000,"&lt;"&amp;EDATE($A240,1)))</f>
        <v/>
      </c>
      <c r="E240" s="23">
        <f>IF($BM240=0,NA(),C240+D240)</f>
        <v/>
      </c>
      <c r="F240" s="23">
        <f>IF($BM240=0,"",SUM(AR240:BK240))</f>
        <v/>
      </c>
      <c r="G240" s="23">
        <f>IF($BM240=0,"",B240-E240)</f>
        <v/>
      </c>
      <c r="H240" s="23">
        <f>IF($BM240=0,"",SUM($G$2:G240))</f>
        <v/>
      </c>
      <c r="I240" s="23">
        <f>IF($BM240=0,"",SUMIFS(Entries!$G$2:$G$5000,Entries!$A$2:$A$5000,"&gt;="&amp;$A240,Entries!$A$2:$A$5000,"&lt;"&amp;EDATE($A240,1)))</f>
        <v/>
      </c>
      <c r="J240" s="23">
        <f>IF($BM240=0,NA(),H240)</f>
        <v/>
      </c>
      <c r="K240" s="23">
        <f>IF($BM240=0,"",SUMIFS(Entries!$E$2:$E$5000,Entries!$C$2:$C$5000,"Income",Entries!$A$2:$A$5000,"&gt;="&amp;EDATE($A240,-11),Entries!$A$2:$A$5000,"&lt;"&amp;EDATE($A240,1))/COUNTIFS($A$2:$A$400,"&gt;="&amp;EDATE($A240,-11),$A$2:$A$400,"&lt;"&amp;EDATE($A240,1),$BM$2:$BM$400,"&gt;0"))</f>
      </c>
      <c r="L240" s="23">
        <f>IF($BM240=0,"",(SUMIFS(Entries!$E$2:$E$5000,Entries!$C$2:$C$5000,"Actual",Entries!$A$2:$A$5000,"&gt;="&amp;EDATE($A240,-11),Entries!$A$2:$A$5000,"&lt;"&amp;EDATE($A240,1))+SUMIFS(Entries!$E$2:$E$5000,Entries!$C$2:$C$5000,"One-off",Entries!$A$2:$A$5000,"&gt;="&amp;EDATE($A240,-11),Entries!$A$2:$A$5000,"&lt;"&amp;EDATE($A240,1)))/COUNTIFS($A$2:$A$400,"&gt;="&amp;EDATE($A240,-11),$A$2:$A$400,"&lt;"&amp;EDATE($A240,1),$BM$2:$BM$400,"&gt;0"))</f>
      </c>
      <c r="M240" s="24">
        <f>IF($BM240=0,NA(),IFERROR((K240-L240)/K240,0))</f>
        <v/>
      </c>
      <c r="N240" s="23">
        <f>IF($BM240=0,NA(),SUMIFS(Entries!$E$2:$E$5000,Entries!$D$2:$D$5000,"Core",Entries!$A$2:$A$5000,"&gt;="&amp;$A240,Entries!$A$2:$A$5000,"&lt;"&amp;EDATE($A240,1)))</f>
        <v/>
      </c>
      <c r="O240" s="23">
        <f>IF($BM240=0,NA(),SUMIFS(Entries!$E$2:$E$5000,Entries!$D$2:$D$5000,"Over &amp; above",Entries!$A$2:$A$5000,"&gt;="&amp;$A240,Entries!$A$2:$A$5000,"&lt;"&amp;EDATE($A240,1)))</f>
        <v/>
      </c>
      <c r="P240" s="23">
        <f>IF($BM240=0,NA(),SUMIFS(Entries!$E$2:$E$5000,Entries!$D$2:$D$5000,"One-off",Entries!$A$2:$A$5000,"&gt;="&amp;$A240,Entries!$A$2:$A$5000,"&lt;"&amp;EDATE($A240,1)))</f>
        <v/>
      </c>
      <c r="Q240" s="23">
        <f>IF($BM240=0,NA(),SUMIFS(Entries!$E$2:$E$5000,Entries!$D$2:$D$5000,"Reimbursable",Entries!$A$2:$A$5000,"&gt;="&amp;$A240,Entries!$A$2:$A$5000,"&lt;"&amp;EDATE($A240,1)))</f>
        <v/>
      </c>
      <c r="R240" s="23">
        <f>IF($BM240=0,NA(),SUMIFS(Entries!$E$2:$E$5000,Entries!$D$2:$D$5000,"Investment",Entries!$A$2:$A$5000,"&gt;="&amp;$A240,Entries!$A$2:$A$5000,"&lt;"&amp;EDATE($A240,1)))</f>
        <v/>
      </c>
      <c r="S240" s="23">
        <f>IF($BM240=0,NA(),N240+O240)</f>
        <v/>
      </c>
      <c r="T240" s="23">
        <f>IF($BM240=0,"",E240-Q240)</f>
        <v/>
      </c>
      <c r="W240" s="23">
        <f>IF(OR(W$1="",$BM240=0),"",SUMIFS(Entries!$E$2:$E$5000,Entries!$C$2:$C$5000,"Actual",Entries!$A$2:$A$5000,"&gt;="&amp;$A240,Entries!$A$2:$A$5000,"&lt;"&amp;EDATE($A240,1),Entries!$B$2:$B$5000,W$1))</f>
        <v/>
      </c>
      <c r="X240" s="23">
        <f>IF(OR(X$1="",$BM240=0),"",SUMIFS(Entries!$E$2:$E$5000,Entries!$C$2:$C$5000,"Actual",Entries!$A$2:$A$5000,"&gt;="&amp;$A240,Entries!$A$2:$A$5000,"&lt;"&amp;EDATE($A240,1),Entries!$B$2:$B$5000,X$1))</f>
        <v/>
      </c>
      <c r="Y240" s="23">
        <f>IF(OR(Y$1="",$BM240=0),"",SUMIFS(Entries!$E$2:$E$5000,Entries!$C$2:$C$5000,"Actual",Entries!$A$2:$A$5000,"&gt;="&amp;$A240,Entries!$A$2:$A$5000,"&lt;"&amp;EDATE($A240,1),Entries!$B$2:$B$5000,Y$1))</f>
        <v/>
      </c>
      <c r="Z240" s="23">
        <f>IF(OR(Z$1="",$BM240=0),"",SUMIFS(Entries!$E$2:$E$5000,Entries!$C$2:$C$5000,"Actual",Entries!$A$2:$A$5000,"&gt;="&amp;$A240,Entries!$A$2:$A$5000,"&lt;"&amp;EDATE($A240,1),Entries!$B$2:$B$5000,Z$1))</f>
        <v/>
      </c>
      <c r="AA240" s="23">
        <f>IF(OR(AA$1="",$BM240=0),"",SUMIFS(Entries!$E$2:$E$5000,Entries!$C$2:$C$5000,"Actual",Entries!$A$2:$A$5000,"&gt;="&amp;$A240,Entries!$A$2:$A$5000,"&lt;"&amp;EDATE($A240,1),Entries!$B$2:$B$5000,AA$1))</f>
        <v/>
      </c>
      <c r="AB240" s="23">
        <f>IF(OR(AB$1="",$BM240=0),"",SUMIFS(Entries!$E$2:$E$5000,Entries!$C$2:$C$5000,"Actual",Entries!$A$2:$A$5000,"&gt;="&amp;$A240,Entries!$A$2:$A$5000,"&lt;"&amp;EDATE($A240,1),Entries!$B$2:$B$5000,AB$1))</f>
        <v/>
      </c>
      <c r="AC240" s="23">
        <f>IF(OR(AC$1="",$BM240=0),"",SUMIFS(Entries!$E$2:$E$5000,Entries!$C$2:$C$5000,"Actual",Entries!$A$2:$A$5000,"&gt;="&amp;$A240,Entries!$A$2:$A$5000,"&lt;"&amp;EDATE($A240,1),Entries!$B$2:$B$5000,AC$1))</f>
        <v/>
      </c>
      <c r="AD240" s="23">
        <f>IF(OR(AD$1="",$BM240=0),"",SUMIFS(Entries!$E$2:$E$5000,Entries!$C$2:$C$5000,"Actual",Entries!$A$2:$A$5000,"&gt;="&amp;$A240,Entries!$A$2:$A$5000,"&lt;"&amp;EDATE($A240,1),Entries!$B$2:$B$5000,AD$1))</f>
        <v/>
      </c>
      <c r="AE240" s="23">
        <f>IF(OR(AE$1="",$BM240=0),"",SUMIFS(Entries!$E$2:$E$5000,Entries!$C$2:$C$5000,"Actual",Entries!$A$2:$A$5000,"&gt;="&amp;$A240,Entries!$A$2:$A$5000,"&lt;"&amp;EDATE($A240,1),Entries!$B$2:$B$5000,AE$1))</f>
        <v/>
      </c>
      <c r="AF240" s="23">
        <f>IF(OR(AF$1="",$BM240=0),"",SUMIFS(Entries!$E$2:$E$5000,Entries!$C$2:$C$5000,"Actual",Entries!$A$2:$A$5000,"&gt;="&amp;$A240,Entries!$A$2:$A$5000,"&lt;"&amp;EDATE($A240,1),Entries!$B$2:$B$5000,AF$1))</f>
        <v/>
      </c>
      <c r="AG240" s="23">
        <f>IF(OR(AG$1="",$BM240=0),"",SUMIFS(Entries!$E$2:$E$5000,Entries!$C$2:$C$5000,"Actual",Entries!$A$2:$A$5000,"&gt;="&amp;$A240,Entries!$A$2:$A$5000,"&lt;"&amp;EDATE($A240,1),Entries!$B$2:$B$5000,AG$1))</f>
        <v/>
      </c>
      <c r="AH240" s="23">
        <f>IF(OR(AH$1="",$BM240=0),"",SUMIFS(Entries!$E$2:$E$5000,Entries!$C$2:$C$5000,"Actual",Entries!$A$2:$A$5000,"&gt;="&amp;$A240,Entries!$A$2:$A$5000,"&lt;"&amp;EDATE($A240,1),Entries!$B$2:$B$5000,AH$1))</f>
        <v/>
      </c>
      <c r="AI240" s="23">
        <f>IF(OR(AI$1="",$BM240=0),"",SUMIFS(Entries!$E$2:$E$5000,Entries!$C$2:$C$5000,"Actual",Entries!$A$2:$A$5000,"&gt;="&amp;$A240,Entries!$A$2:$A$5000,"&lt;"&amp;EDATE($A240,1),Entries!$B$2:$B$5000,AI$1))</f>
        <v/>
      </c>
      <c r="AJ240" s="23">
        <f>IF(OR(AJ$1="",$BM240=0),"",SUMIFS(Entries!$E$2:$E$5000,Entries!$C$2:$C$5000,"Actual",Entries!$A$2:$A$5000,"&gt;="&amp;$A240,Entries!$A$2:$A$5000,"&lt;"&amp;EDATE($A240,1),Entries!$B$2:$B$5000,AJ$1))</f>
        <v/>
      </c>
      <c r="AK240" s="23">
        <f>IF(OR(AK$1="",$BM240=0),"",SUMIFS(Entries!$E$2:$E$5000,Entries!$C$2:$C$5000,"Actual",Entries!$A$2:$A$5000,"&gt;="&amp;$A240,Entries!$A$2:$A$5000,"&lt;"&amp;EDATE($A240,1),Entries!$B$2:$B$5000,AK$1))</f>
        <v/>
      </c>
      <c r="AL240" s="23">
        <f>IF(OR(AL$1="",$BM240=0),"",SUMIFS(Entries!$E$2:$E$5000,Entries!$C$2:$C$5000,"Actual",Entries!$A$2:$A$5000,"&gt;="&amp;$A240,Entries!$A$2:$A$5000,"&lt;"&amp;EDATE($A240,1),Entries!$B$2:$B$5000,AL$1))</f>
        <v/>
      </c>
      <c r="AM240" s="23">
        <f>IF(OR(AM$1="",$BM240=0),"",SUMIFS(Entries!$E$2:$E$5000,Entries!$C$2:$C$5000,"Actual",Entries!$A$2:$A$5000,"&gt;="&amp;$A240,Entries!$A$2:$A$5000,"&lt;"&amp;EDATE($A240,1),Entries!$B$2:$B$5000,AM$1))</f>
        <v/>
      </c>
      <c r="AN240" s="23">
        <f>IF(OR(AN$1="",$BM240=0),"",SUMIFS(Entries!$E$2:$E$5000,Entries!$C$2:$C$5000,"Actual",Entries!$A$2:$A$5000,"&gt;="&amp;$A240,Entries!$A$2:$A$5000,"&lt;"&amp;EDATE($A240,1),Entries!$B$2:$B$5000,AN$1))</f>
        <v/>
      </c>
      <c r="AO240" s="23">
        <f>IF(OR(AO$1="",$BM240=0),"",SUMIFS(Entries!$E$2:$E$5000,Entries!$C$2:$C$5000,"Actual",Entries!$A$2:$A$5000,"&gt;="&amp;$A240,Entries!$A$2:$A$5000,"&lt;"&amp;EDATE($A240,1),Entries!$B$2:$B$5000,AO$1))</f>
        <v/>
      </c>
      <c r="AP240" s="23">
        <f>IF(OR(AP$1="",$BM240=0),"",SUMIFS(Entries!$E$2:$E$5000,Entries!$C$2:$C$5000,"Actual",Entries!$A$2:$A$5000,"&gt;="&amp;$A240,Entries!$A$2:$A$5000,"&lt;"&amp;EDATE($A240,1),Entries!$B$2:$B$5000,AP$1))</f>
        <v/>
      </c>
      <c r="AR240" s="23">
        <f>IF(OR(AR$1="",$BM240=0),"",IFERROR(LOOKUP(2,1/((Budgets!$A$2:$A$200=AR$1)*(Budgets!$B$2:$B$200&lt;EDATE($A240,1))),Budgets!$C$2:$C$200),0))</f>
        <v/>
      </c>
      <c r="AS240" s="23">
        <f>IF(OR(AS$1="",$BM240=0),"",IFERROR(LOOKUP(2,1/((Budgets!$A$2:$A$200=AS$1)*(Budgets!$B$2:$B$200&lt;EDATE($A240,1))),Budgets!$C$2:$C$200),0))</f>
        <v/>
      </c>
      <c r="AT240" s="23">
        <f>IF(OR(AT$1="",$BM240=0),"",IFERROR(LOOKUP(2,1/((Budgets!$A$2:$A$200=AT$1)*(Budgets!$B$2:$B$200&lt;EDATE($A240,1))),Budgets!$C$2:$C$200),0))</f>
        <v/>
      </c>
      <c r="AU240" s="23">
        <f>IF(OR(AU$1="",$BM240=0),"",IFERROR(LOOKUP(2,1/((Budgets!$A$2:$A$200=AU$1)*(Budgets!$B$2:$B$200&lt;EDATE($A240,1))),Budgets!$C$2:$C$200),0))</f>
        <v/>
      </c>
      <c r="AV240" s="23">
        <f>IF(OR(AV$1="",$BM240=0),"",IFERROR(LOOKUP(2,1/((Budgets!$A$2:$A$200=AV$1)*(Budgets!$B$2:$B$200&lt;EDATE($A240,1))),Budgets!$C$2:$C$200),0))</f>
        <v/>
      </c>
      <c r="AW240" s="23">
        <f>IF(OR(AW$1="",$BM240=0),"",IFERROR(LOOKUP(2,1/((Budgets!$A$2:$A$200=AW$1)*(Budgets!$B$2:$B$200&lt;EDATE($A240,1))),Budgets!$C$2:$C$200),0))</f>
        <v/>
      </c>
      <c r="AX240" s="23">
        <f>IF(OR(AX$1="",$BM240=0),"",IFERROR(LOOKUP(2,1/((Budgets!$A$2:$A$200=AX$1)*(Budgets!$B$2:$B$200&lt;EDATE($A240,1))),Budgets!$C$2:$C$200),0))</f>
        <v/>
      </c>
      <c r="AY240" s="23">
        <f>IF(OR(AY$1="",$BM240=0),"",IFERROR(LOOKUP(2,1/((Budgets!$A$2:$A$200=AY$1)*(Budgets!$B$2:$B$200&lt;EDATE($A240,1))),Budgets!$C$2:$C$200),0))</f>
        <v/>
      </c>
      <c r="AZ240" s="23">
        <f>IF(OR(AZ$1="",$BM240=0),"",IFERROR(LOOKUP(2,1/((Budgets!$A$2:$A$200=AZ$1)*(Budgets!$B$2:$B$200&lt;EDATE($A240,1))),Budgets!$C$2:$C$200),0))</f>
        <v/>
      </c>
      <c r="BA240" s="23">
        <f>IF(OR(BA$1="",$BM240=0),"",IFERROR(LOOKUP(2,1/((Budgets!$A$2:$A$200=BA$1)*(Budgets!$B$2:$B$200&lt;EDATE($A240,1))),Budgets!$C$2:$C$200),0))</f>
        <v/>
      </c>
      <c r="BB240" s="23">
        <f>IF(OR(BB$1="",$BM240=0),"",IFERROR(LOOKUP(2,1/((Budgets!$A$2:$A$200=BB$1)*(Budgets!$B$2:$B$200&lt;EDATE($A240,1))),Budgets!$C$2:$C$200),0))</f>
        <v/>
      </c>
      <c r="BC240" s="23">
        <f>IF(OR(BC$1="",$BM240=0),"",IFERROR(LOOKUP(2,1/((Budgets!$A$2:$A$200=BC$1)*(Budgets!$B$2:$B$200&lt;EDATE($A240,1))),Budgets!$C$2:$C$200),0))</f>
        <v/>
      </c>
      <c r="BD240" s="23">
        <f>IF(OR(BD$1="",$BM240=0),"",IFERROR(LOOKUP(2,1/((Budgets!$A$2:$A$200=BD$1)*(Budgets!$B$2:$B$200&lt;EDATE($A240,1))),Budgets!$C$2:$C$200),0))</f>
        <v/>
      </c>
      <c r="BE240" s="23">
        <f>IF(OR(BE$1="",$BM240=0),"",IFERROR(LOOKUP(2,1/((Budgets!$A$2:$A$200=BE$1)*(Budgets!$B$2:$B$200&lt;EDATE($A240,1))),Budgets!$C$2:$C$200),0))</f>
        <v/>
      </c>
      <c r="BF240" s="23">
        <f>IF(OR(BF$1="",$BM240=0),"",IFERROR(LOOKUP(2,1/((Budgets!$A$2:$A$200=BF$1)*(Budgets!$B$2:$B$200&lt;EDATE($A240,1))),Budgets!$C$2:$C$200),0))</f>
        <v/>
      </c>
      <c r="BG240" s="23">
        <f>IF(OR(BG$1="",$BM240=0),"",IFERROR(LOOKUP(2,1/((Budgets!$A$2:$A$200=BG$1)*(Budgets!$B$2:$B$200&lt;EDATE($A240,1))),Budgets!$C$2:$C$200),0))</f>
        <v/>
      </c>
      <c r="BH240" s="23">
        <f>IF(OR(BH$1="",$BM240=0),"",IFERROR(LOOKUP(2,1/((Budgets!$A$2:$A$200=BH$1)*(Budgets!$B$2:$B$200&lt;EDATE($A240,1))),Budgets!$C$2:$C$200),0))</f>
        <v/>
      </c>
      <c r="BI240" s="23">
        <f>IF(OR(BI$1="",$BM240=0),"",IFERROR(LOOKUP(2,1/((Budgets!$A$2:$A$200=BI$1)*(Budgets!$B$2:$B$200&lt;EDATE($A240,1))),Budgets!$C$2:$C$200),0))</f>
        <v/>
      </c>
      <c r="BJ240" s="23">
        <f>IF(OR(BJ$1="",$BM240=0),"",IFERROR(LOOKUP(2,1/((Budgets!$A$2:$A$200=BJ$1)*(Budgets!$B$2:$B$200&lt;EDATE($A240,1))),Budgets!$C$2:$C$200),0))</f>
        <v/>
      </c>
      <c r="BK240" s="23">
        <f>IF(OR(BK$1="",$BM240=0),"",IFERROR(LOOKUP(2,1/((Budgets!$A$2:$A$200=BK$1)*(Budgets!$B$2:$B$200&lt;EDATE($A240,1))),Budgets!$C$2:$C$200),0))</f>
        <v/>
      </c>
      <c r="BM240" s="21">
        <f>COUNTIFS(Entries!$A$2:$A$5000,"&gt;="&amp;$A240,Entries!$A$2:$A$5000,"&lt;"&amp;EDATE($A240,1))</f>
        <v/>
      </c>
    </row>
    <row r="241">
      <c r="A241" s="22" t="n">
        <v>46722</v>
      </c>
      <c r="B241" s="23">
        <f>IF($BM241=0,NA(),SUMIFS(Entries!$E$2:$E$5000,Entries!$C$2:$C$5000,"Income",Entries!$A$2:$A$5000,"&gt;="&amp;$A241,Entries!$A$2:$A$5000,"&lt;"&amp;EDATE($A241,1)))</f>
        <v/>
      </c>
      <c r="C241" s="23">
        <f>IF($BM241=0,"",SUMIFS(Entries!$E$2:$E$5000,Entries!$C$2:$C$5000,"Actual",Entries!$A$2:$A$5000,"&gt;="&amp;$A241,Entries!$A$2:$A$5000,"&lt;"&amp;EDATE($A241,1)))</f>
        <v/>
      </c>
      <c r="D241" s="23">
        <f>IF($BM241=0,"",SUMIFS(Entries!$E$2:$E$5000,Entries!$C$2:$C$5000,"One-off",Entries!$A$2:$A$5000,"&gt;="&amp;$A241,Entries!$A$2:$A$5000,"&lt;"&amp;EDATE($A241,1)))</f>
        <v/>
      </c>
      <c r="E241" s="23">
        <f>IF($BM241=0,NA(),C241+D241)</f>
        <v/>
      </c>
      <c r="F241" s="23">
        <f>IF($BM241=0,"",SUM(AR241:BK241))</f>
        <v/>
      </c>
      <c r="G241" s="23">
        <f>IF($BM241=0,"",B241-E241)</f>
        <v/>
      </c>
      <c r="H241" s="23">
        <f>IF($BM241=0,"",SUM($G$2:G241))</f>
        <v/>
      </c>
      <c r="I241" s="23">
        <f>IF($BM241=0,"",SUMIFS(Entries!$G$2:$G$5000,Entries!$A$2:$A$5000,"&gt;="&amp;$A241,Entries!$A$2:$A$5000,"&lt;"&amp;EDATE($A241,1)))</f>
        <v/>
      </c>
      <c r="J241" s="23">
        <f>IF($BM241=0,NA(),H241)</f>
        <v/>
      </c>
      <c r="K241" s="23">
        <f>IF($BM241=0,"",SUMIFS(Entries!$E$2:$E$5000,Entries!$C$2:$C$5000,"Income",Entries!$A$2:$A$5000,"&gt;="&amp;EDATE($A241,-11),Entries!$A$2:$A$5000,"&lt;"&amp;EDATE($A241,1))/COUNTIFS($A$2:$A$400,"&gt;="&amp;EDATE($A241,-11),$A$2:$A$400,"&lt;"&amp;EDATE($A241,1),$BM$2:$BM$400,"&gt;0"))</f>
      </c>
      <c r="L241" s="23">
        <f>IF($BM241=0,"",(SUMIFS(Entries!$E$2:$E$5000,Entries!$C$2:$C$5000,"Actual",Entries!$A$2:$A$5000,"&gt;="&amp;EDATE($A241,-11),Entries!$A$2:$A$5000,"&lt;"&amp;EDATE($A241,1))+SUMIFS(Entries!$E$2:$E$5000,Entries!$C$2:$C$5000,"One-off",Entries!$A$2:$A$5000,"&gt;="&amp;EDATE($A241,-11),Entries!$A$2:$A$5000,"&lt;"&amp;EDATE($A241,1)))/COUNTIFS($A$2:$A$400,"&gt;="&amp;EDATE($A241,-11),$A$2:$A$400,"&lt;"&amp;EDATE($A241,1),$BM$2:$BM$400,"&gt;0"))</f>
      </c>
      <c r="M241" s="24">
        <f>IF($BM241=0,NA(),IFERROR((K241-L241)/K241,0))</f>
        <v/>
      </c>
      <c r="N241" s="23">
        <f>IF($BM241=0,NA(),SUMIFS(Entries!$E$2:$E$5000,Entries!$D$2:$D$5000,"Core",Entries!$A$2:$A$5000,"&gt;="&amp;$A241,Entries!$A$2:$A$5000,"&lt;"&amp;EDATE($A241,1)))</f>
        <v/>
      </c>
      <c r="O241" s="23">
        <f>IF($BM241=0,NA(),SUMIFS(Entries!$E$2:$E$5000,Entries!$D$2:$D$5000,"Over &amp; above",Entries!$A$2:$A$5000,"&gt;="&amp;$A241,Entries!$A$2:$A$5000,"&lt;"&amp;EDATE($A241,1)))</f>
        <v/>
      </c>
      <c r="P241" s="23">
        <f>IF($BM241=0,NA(),SUMIFS(Entries!$E$2:$E$5000,Entries!$D$2:$D$5000,"One-off",Entries!$A$2:$A$5000,"&gt;="&amp;$A241,Entries!$A$2:$A$5000,"&lt;"&amp;EDATE($A241,1)))</f>
        <v/>
      </c>
      <c r="Q241" s="23">
        <f>IF($BM241=0,NA(),SUMIFS(Entries!$E$2:$E$5000,Entries!$D$2:$D$5000,"Reimbursable",Entries!$A$2:$A$5000,"&gt;="&amp;$A241,Entries!$A$2:$A$5000,"&lt;"&amp;EDATE($A241,1)))</f>
        <v/>
      </c>
      <c r="R241" s="23">
        <f>IF($BM241=0,NA(),SUMIFS(Entries!$E$2:$E$5000,Entries!$D$2:$D$5000,"Investment",Entries!$A$2:$A$5000,"&gt;="&amp;$A241,Entries!$A$2:$A$5000,"&lt;"&amp;EDATE($A241,1)))</f>
        <v/>
      </c>
      <c r="S241" s="23">
        <f>IF($BM241=0,NA(),N241+O241)</f>
        <v/>
      </c>
      <c r="T241" s="23">
        <f>IF($BM241=0,"",E241-Q241)</f>
        <v/>
      </c>
      <c r="W241" s="23">
        <f>IF(OR(W$1="",$BM241=0),"",SUMIFS(Entries!$E$2:$E$5000,Entries!$C$2:$C$5000,"Actual",Entries!$A$2:$A$5000,"&gt;="&amp;$A241,Entries!$A$2:$A$5000,"&lt;"&amp;EDATE($A241,1),Entries!$B$2:$B$5000,W$1))</f>
        <v/>
      </c>
      <c r="X241" s="23">
        <f>IF(OR(X$1="",$BM241=0),"",SUMIFS(Entries!$E$2:$E$5000,Entries!$C$2:$C$5000,"Actual",Entries!$A$2:$A$5000,"&gt;="&amp;$A241,Entries!$A$2:$A$5000,"&lt;"&amp;EDATE($A241,1),Entries!$B$2:$B$5000,X$1))</f>
        <v/>
      </c>
      <c r="Y241" s="23">
        <f>IF(OR(Y$1="",$BM241=0),"",SUMIFS(Entries!$E$2:$E$5000,Entries!$C$2:$C$5000,"Actual",Entries!$A$2:$A$5000,"&gt;="&amp;$A241,Entries!$A$2:$A$5000,"&lt;"&amp;EDATE($A241,1),Entries!$B$2:$B$5000,Y$1))</f>
        <v/>
      </c>
      <c r="Z241" s="23">
        <f>IF(OR(Z$1="",$BM241=0),"",SUMIFS(Entries!$E$2:$E$5000,Entries!$C$2:$C$5000,"Actual",Entries!$A$2:$A$5000,"&gt;="&amp;$A241,Entries!$A$2:$A$5000,"&lt;"&amp;EDATE($A241,1),Entries!$B$2:$B$5000,Z$1))</f>
        <v/>
      </c>
      <c r="AA241" s="23">
        <f>IF(OR(AA$1="",$BM241=0),"",SUMIFS(Entries!$E$2:$E$5000,Entries!$C$2:$C$5000,"Actual",Entries!$A$2:$A$5000,"&gt;="&amp;$A241,Entries!$A$2:$A$5000,"&lt;"&amp;EDATE($A241,1),Entries!$B$2:$B$5000,AA$1))</f>
        <v/>
      </c>
      <c r="AB241" s="23">
        <f>IF(OR(AB$1="",$BM241=0),"",SUMIFS(Entries!$E$2:$E$5000,Entries!$C$2:$C$5000,"Actual",Entries!$A$2:$A$5000,"&gt;="&amp;$A241,Entries!$A$2:$A$5000,"&lt;"&amp;EDATE($A241,1),Entries!$B$2:$B$5000,AB$1))</f>
        <v/>
      </c>
      <c r="AC241" s="23">
        <f>IF(OR(AC$1="",$BM241=0),"",SUMIFS(Entries!$E$2:$E$5000,Entries!$C$2:$C$5000,"Actual",Entries!$A$2:$A$5000,"&gt;="&amp;$A241,Entries!$A$2:$A$5000,"&lt;"&amp;EDATE($A241,1),Entries!$B$2:$B$5000,AC$1))</f>
        <v/>
      </c>
      <c r="AD241" s="23">
        <f>IF(OR(AD$1="",$BM241=0),"",SUMIFS(Entries!$E$2:$E$5000,Entries!$C$2:$C$5000,"Actual",Entries!$A$2:$A$5000,"&gt;="&amp;$A241,Entries!$A$2:$A$5000,"&lt;"&amp;EDATE($A241,1),Entries!$B$2:$B$5000,AD$1))</f>
        <v/>
      </c>
      <c r="AE241" s="23">
        <f>IF(OR(AE$1="",$BM241=0),"",SUMIFS(Entries!$E$2:$E$5000,Entries!$C$2:$C$5000,"Actual",Entries!$A$2:$A$5000,"&gt;="&amp;$A241,Entries!$A$2:$A$5000,"&lt;"&amp;EDATE($A241,1),Entries!$B$2:$B$5000,AE$1))</f>
        <v/>
      </c>
      <c r="AF241" s="23">
        <f>IF(OR(AF$1="",$BM241=0),"",SUMIFS(Entries!$E$2:$E$5000,Entries!$C$2:$C$5000,"Actual",Entries!$A$2:$A$5000,"&gt;="&amp;$A241,Entries!$A$2:$A$5000,"&lt;"&amp;EDATE($A241,1),Entries!$B$2:$B$5000,AF$1))</f>
        <v/>
      </c>
      <c r="AG241" s="23">
        <f>IF(OR(AG$1="",$BM241=0),"",SUMIFS(Entries!$E$2:$E$5000,Entries!$C$2:$C$5000,"Actual",Entries!$A$2:$A$5000,"&gt;="&amp;$A241,Entries!$A$2:$A$5000,"&lt;"&amp;EDATE($A241,1),Entries!$B$2:$B$5000,AG$1))</f>
        <v/>
      </c>
      <c r="AH241" s="23">
        <f>IF(OR(AH$1="",$BM241=0),"",SUMIFS(Entries!$E$2:$E$5000,Entries!$C$2:$C$5000,"Actual",Entries!$A$2:$A$5000,"&gt;="&amp;$A241,Entries!$A$2:$A$5000,"&lt;"&amp;EDATE($A241,1),Entries!$B$2:$B$5000,AH$1))</f>
        <v/>
      </c>
      <c r="AI241" s="23">
        <f>IF(OR(AI$1="",$BM241=0),"",SUMIFS(Entries!$E$2:$E$5000,Entries!$C$2:$C$5000,"Actual",Entries!$A$2:$A$5000,"&gt;="&amp;$A241,Entries!$A$2:$A$5000,"&lt;"&amp;EDATE($A241,1),Entries!$B$2:$B$5000,AI$1))</f>
        <v/>
      </c>
      <c r="AJ241" s="23">
        <f>IF(OR(AJ$1="",$BM241=0),"",SUMIFS(Entries!$E$2:$E$5000,Entries!$C$2:$C$5000,"Actual",Entries!$A$2:$A$5000,"&gt;="&amp;$A241,Entries!$A$2:$A$5000,"&lt;"&amp;EDATE($A241,1),Entries!$B$2:$B$5000,AJ$1))</f>
        <v/>
      </c>
      <c r="AK241" s="23">
        <f>IF(OR(AK$1="",$BM241=0),"",SUMIFS(Entries!$E$2:$E$5000,Entries!$C$2:$C$5000,"Actual",Entries!$A$2:$A$5000,"&gt;="&amp;$A241,Entries!$A$2:$A$5000,"&lt;"&amp;EDATE($A241,1),Entries!$B$2:$B$5000,AK$1))</f>
        <v/>
      </c>
      <c r="AL241" s="23">
        <f>IF(OR(AL$1="",$BM241=0),"",SUMIFS(Entries!$E$2:$E$5000,Entries!$C$2:$C$5000,"Actual",Entries!$A$2:$A$5000,"&gt;="&amp;$A241,Entries!$A$2:$A$5000,"&lt;"&amp;EDATE($A241,1),Entries!$B$2:$B$5000,AL$1))</f>
        <v/>
      </c>
      <c r="AM241" s="23">
        <f>IF(OR(AM$1="",$BM241=0),"",SUMIFS(Entries!$E$2:$E$5000,Entries!$C$2:$C$5000,"Actual",Entries!$A$2:$A$5000,"&gt;="&amp;$A241,Entries!$A$2:$A$5000,"&lt;"&amp;EDATE($A241,1),Entries!$B$2:$B$5000,AM$1))</f>
        <v/>
      </c>
      <c r="AN241" s="23">
        <f>IF(OR(AN$1="",$BM241=0),"",SUMIFS(Entries!$E$2:$E$5000,Entries!$C$2:$C$5000,"Actual",Entries!$A$2:$A$5000,"&gt;="&amp;$A241,Entries!$A$2:$A$5000,"&lt;"&amp;EDATE($A241,1),Entries!$B$2:$B$5000,AN$1))</f>
        <v/>
      </c>
      <c r="AO241" s="23">
        <f>IF(OR(AO$1="",$BM241=0),"",SUMIFS(Entries!$E$2:$E$5000,Entries!$C$2:$C$5000,"Actual",Entries!$A$2:$A$5000,"&gt;="&amp;$A241,Entries!$A$2:$A$5000,"&lt;"&amp;EDATE($A241,1),Entries!$B$2:$B$5000,AO$1))</f>
        <v/>
      </c>
      <c r="AP241" s="23">
        <f>IF(OR(AP$1="",$BM241=0),"",SUMIFS(Entries!$E$2:$E$5000,Entries!$C$2:$C$5000,"Actual",Entries!$A$2:$A$5000,"&gt;="&amp;$A241,Entries!$A$2:$A$5000,"&lt;"&amp;EDATE($A241,1),Entries!$B$2:$B$5000,AP$1))</f>
        <v/>
      </c>
      <c r="AR241" s="23">
        <f>IF(OR(AR$1="",$BM241=0),"",IFERROR(LOOKUP(2,1/((Budgets!$A$2:$A$200=AR$1)*(Budgets!$B$2:$B$200&lt;EDATE($A241,1))),Budgets!$C$2:$C$200),0))</f>
        <v/>
      </c>
      <c r="AS241" s="23">
        <f>IF(OR(AS$1="",$BM241=0),"",IFERROR(LOOKUP(2,1/((Budgets!$A$2:$A$200=AS$1)*(Budgets!$B$2:$B$200&lt;EDATE($A241,1))),Budgets!$C$2:$C$200),0))</f>
        <v/>
      </c>
      <c r="AT241" s="23">
        <f>IF(OR(AT$1="",$BM241=0),"",IFERROR(LOOKUP(2,1/((Budgets!$A$2:$A$200=AT$1)*(Budgets!$B$2:$B$200&lt;EDATE($A241,1))),Budgets!$C$2:$C$200),0))</f>
        <v/>
      </c>
      <c r="AU241" s="23">
        <f>IF(OR(AU$1="",$BM241=0),"",IFERROR(LOOKUP(2,1/((Budgets!$A$2:$A$200=AU$1)*(Budgets!$B$2:$B$200&lt;EDATE($A241,1))),Budgets!$C$2:$C$200),0))</f>
        <v/>
      </c>
      <c r="AV241" s="23">
        <f>IF(OR(AV$1="",$BM241=0),"",IFERROR(LOOKUP(2,1/((Budgets!$A$2:$A$200=AV$1)*(Budgets!$B$2:$B$200&lt;EDATE($A241,1))),Budgets!$C$2:$C$200),0))</f>
        <v/>
      </c>
      <c r="AW241" s="23">
        <f>IF(OR(AW$1="",$BM241=0),"",IFERROR(LOOKUP(2,1/((Budgets!$A$2:$A$200=AW$1)*(Budgets!$B$2:$B$200&lt;EDATE($A241,1))),Budgets!$C$2:$C$200),0))</f>
        <v/>
      </c>
      <c r="AX241" s="23">
        <f>IF(OR(AX$1="",$BM241=0),"",IFERROR(LOOKUP(2,1/((Budgets!$A$2:$A$200=AX$1)*(Budgets!$B$2:$B$200&lt;EDATE($A241,1))),Budgets!$C$2:$C$200),0))</f>
        <v/>
      </c>
      <c r="AY241" s="23">
        <f>IF(OR(AY$1="",$BM241=0),"",IFERROR(LOOKUP(2,1/((Budgets!$A$2:$A$200=AY$1)*(Budgets!$B$2:$B$200&lt;EDATE($A241,1))),Budgets!$C$2:$C$200),0))</f>
        <v/>
      </c>
      <c r="AZ241" s="23">
        <f>IF(OR(AZ$1="",$BM241=0),"",IFERROR(LOOKUP(2,1/((Budgets!$A$2:$A$200=AZ$1)*(Budgets!$B$2:$B$200&lt;EDATE($A241,1))),Budgets!$C$2:$C$200),0))</f>
        <v/>
      </c>
      <c r="BA241" s="23">
        <f>IF(OR(BA$1="",$BM241=0),"",IFERROR(LOOKUP(2,1/((Budgets!$A$2:$A$200=BA$1)*(Budgets!$B$2:$B$200&lt;EDATE($A241,1))),Budgets!$C$2:$C$200),0))</f>
        <v/>
      </c>
      <c r="BB241" s="23">
        <f>IF(OR(BB$1="",$BM241=0),"",IFERROR(LOOKUP(2,1/((Budgets!$A$2:$A$200=BB$1)*(Budgets!$B$2:$B$200&lt;EDATE($A241,1))),Budgets!$C$2:$C$200),0))</f>
        <v/>
      </c>
      <c r="BC241" s="23">
        <f>IF(OR(BC$1="",$BM241=0),"",IFERROR(LOOKUP(2,1/((Budgets!$A$2:$A$200=BC$1)*(Budgets!$B$2:$B$200&lt;EDATE($A241,1))),Budgets!$C$2:$C$200),0))</f>
        <v/>
      </c>
      <c r="BD241" s="23">
        <f>IF(OR(BD$1="",$BM241=0),"",IFERROR(LOOKUP(2,1/((Budgets!$A$2:$A$200=BD$1)*(Budgets!$B$2:$B$200&lt;EDATE($A241,1))),Budgets!$C$2:$C$200),0))</f>
        <v/>
      </c>
      <c r="BE241" s="23">
        <f>IF(OR(BE$1="",$BM241=0),"",IFERROR(LOOKUP(2,1/((Budgets!$A$2:$A$200=BE$1)*(Budgets!$B$2:$B$200&lt;EDATE($A241,1))),Budgets!$C$2:$C$200),0))</f>
        <v/>
      </c>
      <c r="BF241" s="23">
        <f>IF(OR(BF$1="",$BM241=0),"",IFERROR(LOOKUP(2,1/((Budgets!$A$2:$A$200=BF$1)*(Budgets!$B$2:$B$200&lt;EDATE($A241,1))),Budgets!$C$2:$C$200),0))</f>
        <v/>
      </c>
      <c r="BG241" s="23">
        <f>IF(OR(BG$1="",$BM241=0),"",IFERROR(LOOKUP(2,1/((Budgets!$A$2:$A$200=BG$1)*(Budgets!$B$2:$B$200&lt;EDATE($A241,1))),Budgets!$C$2:$C$200),0))</f>
        <v/>
      </c>
      <c r="BH241" s="23">
        <f>IF(OR(BH$1="",$BM241=0),"",IFERROR(LOOKUP(2,1/((Budgets!$A$2:$A$200=BH$1)*(Budgets!$B$2:$B$200&lt;EDATE($A241,1))),Budgets!$C$2:$C$200),0))</f>
        <v/>
      </c>
      <c r="BI241" s="23">
        <f>IF(OR(BI$1="",$BM241=0),"",IFERROR(LOOKUP(2,1/((Budgets!$A$2:$A$200=BI$1)*(Budgets!$B$2:$B$200&lt;EDATE($A241,1))),Budgets!$C$2:$C$200),0))</f>
        <v/>
      </c>
      <c r="BJ241" s="23">
        <f>IF(OR(BJ$1="",$BM241=0),"",IFERROR(LOOKUP(2,1/((Budgets!$A$2:$A$200=BJ$1)*(Budgets!$B$2:$B$200&lt;EDATE($A241,1))),Budgets!$C$2:$C$200),0))</f>
        <v/>
      </c>
      <c r="BK241" s="23">
        <f>IF(OR(BK$1="",$BM241=0),"",IFERROR(LOOKUP(2,1/((Budgets!$A$2:$A$200=BK$1)*(Budgets!$B$2:$B$200&lt;EDATE($A241,1))),Budgets!$C$2:$C$200),0))</f>
        <v/>
      </c>
      <c r="BM241" s="21">
        <f>COUNTIFS(Entries!$A$2:$A$5000,"&gt;="&amp;$A241,Entries!$A$2:$A$5000,"&lt;"&amp;EDATE($A241,1))</f>
        <v/>
      </c>
    </row>
    <row r="242">
      <c r="A242" s="22" t="n">
        <v>46753</v>
      </c>
      <c r="B242" s="23">
        <f>IF($BM242=0,NA(),SUMIFS(Entries!$E$2:$E$5000,Entries!$C$2:$C$5000,"Income",Entries!$A$2:$A$5000,"&gt;="&amp;$A242,Entries!$A$2:$A$5000,"&lt;"&amp;EDATE($A242,1)))</f>
        <v/>
      </c>
      <c r="C242" s="23">
        <f>IF($BM242=0,"",SUMIFS(Entries!$E$2:$E$5000,Entries!$C$2:$C$5000,"Actual",Entries!$A$2:$A$5000,"&gt;="&amp;$A242,Entries!$A$2:$A$5000,"&lt;"&amp;EDATE($A242,1)))</f>
        <v/>
      </c>
      <c r="D242" s="23">
        <f>IF($BM242=0,"",SUMIFS(Entries!$E$2:$E$5000,Entries!$C$2:$C$5000,"One-off",Entries!$A$2:$A$5000,"&gt;="&amp;$A242,Entries!$A$2:$A$5000,"&lt;"&amp;EDATE($A242,1)))</f>
        <v/>
      </c>
      <c r="E242" s="23">
        <f>IF($BM242=0,NA(),C242+D242)</f>
        <v/>
      </c>
      <c r="F242" s="23">
        <f>IF($BM242=0,"",SUM(AR242:BK242))</f>
        <v/>
      </c>
      <c r="G242" s="23">
        <f>IF($BM242=0,"",B242-E242)</f>
        <v/>
      </c>
      <c r="H242" s="23">
        <f>IF($BM242=0,"",SUM($G$2:G242))</f>
        <v/>
      </c>
      <c r="I242" s="23">
        <f>IF($BM242=0,"",SUMIFS(Entries!$G$2:$G$5000,Entries!$A$2:$A$5000,"&gt;="&amp;$A242,Entries!$A$2:$A$5000,"&lt;"&amp;EDATE($A242,1)))</f>
        <v/>
      </c>
      <c r="J242" s="23">
        <f>IF($BM242=0,NA(),H242)</f>
        <v/>
      </c>
      <c r="K242" s="23">
        <f>IF($BM242=0,"",SUMIFS(Entries!$E$2:$E$5000,Entries!$C$2:$C$5000,"Income",Entries!$A$2:$A$5000,"&gt;="&amp;EDATE($A242,-11),Entries!$A$2:$A$5000,"&lt;"&amp;EDATE($A242,1))/COUNTIFS($A$2:$A$400,"&gt;="&amp;EDATE($A242,-11),$A$2:$A$400,"&lt;"&amp;EDATE($A242,1),$BM$2:$BM$400,"&gt;0"))</f>
      </c>
      <c r="L242" s="23">
        <f>IF($BM242=0,"",(SUMIFS(Entries!$E$2:$E$5000,Entries!$C$2:$C$5000,"Actual",Entries!$A$2:$A$5000,"&gt;="&amp;EDATE($A242,-11),Entries!$A$2:$A$5000,"&lt;"&amp;EDATE($A242,1))+SUMIFS(Entries!$E$2:$E$5000,Entries!$C$2:$C$5000,"One-off",Entries!$A$2:$A$5000,"&gt;="&amp;EDATE($A242,-11),Entries!$A$2:$A$5000,"&lt;"&amp;EDATE($A242,1)))/COUNTIFS($A$2:$A$400,"&gt;="&amp;EDATE($A242,-11),$A$2:$A$400,"&lt;"&amp;EDATE($A242,1),$BM$2:$BM$400,"&gt;0"))</f>
      </c>
      <c r="M242" s="24">
        <f>IF($BM242=0,NA(),IFERROR((K242-L242)/K242,0))</f>
        <v/>
      </c>
      <c r="N242" s="23">
        <f>IF($BM242=0,NA(),SUMIFS(Entries!$E$2:$E$5000,Entries!$D$2:$D$5000,"Core",Entries!$A$2:$A$5000,"&gt;="&amp;$A242,Entries!$A$2:$A$5000,"&lt;"&amp;EDATE($A242,1)))</f>
        <v/>
      </c>
      <c r="O242" s="23">
        <f>IF($BM242=0,NA(),SUMIFS(Entries!$E$2:$E$5000,Entries!$D$2:$D$5000,"Over &amp; above",Entries!$A$2:$A$5000,"&gt;="&amp;$A242,Entries!$A$2:$A$5000,"&lt;"&amp;EDATE($A242,1)))</f>
        <v/>
      </c>
      <c r="P242" s="23">
        <f>IF($BM242=0,NA(),SUMIFS(Entries!$E$2:$E$5000,Entries!$D$2:$D$5000,"One-off",Entries!$A$2:$A$5000,"&gt;="&amp;$A242,Entries!$A$2:$A$5000,"&lt;"&amp;EDATE($A242,1)))</f>
        <v/>
      </c>
      <c r="Q242" s="23">
        <f>IF($BM242=0,NA(),SUMIFS(Entries!$E$2:$E$5000,Entries!$D$2:$D$5000,"Reimbursable",Entries!$A$2:$A$5000,"&gt;="&amp;$A242,Entries!$A$2:$A$5000,"&lt;"&amp;EDATE($A242,1)))</f>
        <v/>
      </c>
      <c r="R242" s="23">
        <f>IF($BM242=0,NA(),SUMIFS(Entries!$E$2:$E$5000,Entries!$D$2:$D$5000,"Investment",Entries!$A$2:$A$5000,"&gt;="&amp;$A242,Entries!$A$2:$A$5000,"&lt;"&amp;EDATE($A242,1)))</f>
        <v/>
      </c>
      <c r="S242" s="23">
        <f>IF($BM242=0,NA(),N242+O242)</f>
        <v/>
      </c>
      <c r="T242" s="23">
        <f>IF($BM242=0,"",E242-Q242)</f>
        <v/>
      </c>
      <c r="W242" s="23">
        <f>IF(OR(W$1="",$BM242=0),"",SUMIFS(Entries!$E$2:$E$5000,Entries!$C$2:$C$5000,"Actual",Entries!$A$2:$A$5000,"&gt;="&amp;$A242,Entries!$A$2:$A$5000,"&lt;"&amp;EDATE($A242,1),Entries!$B$2:$B$5000,W$1))</f>
        <v/>
      </c>
      <c r="X242" s="23">
        <f>IF(OR(X$1="",$BM242=0),"",SUMIFS(Entries!$E$2:$E$5000,Entries!$C$2:$C$5000,"Actual",Entries!$A$2:$A$5000,"&gt;="&amp;$A242,Entries!$A$2:$A$5000,"&lt;"&amp;EDATE($A242,1),Entries!$B$2:$B$5000,X$1))</f>
        <v/>
      </c>
      <c r="Y242" s="23">
        <f>IF(OR(Y$1="",$BM242=0),"",SUMIFS(Entries!$E$2:$E$5000,Entries!$C$2:$C$5000,"Actual",Entries!$A$2:$A$5000,"&gt;="&amp;$A242,Entries!$A$2:$A$5000,"&lt;"&amp;EDATE($A242,1),Entries!$B$2:$B$5000,Y$1))</f>
        <v/>
      </c>
      <c r="Z242" s="23">
        <f>IF(OR(Z$1="",$BM242=0),"",SUMIFS(Entries!$E$2:$E$5000,Entries!$C$2:$C$5000,"Actual",Entries!$A$2:$A$5000,"&gt;="&amp;$A242,Entries!$A$2:$A$5000,"&lt;"&amp;EDATE($A242,1),Entries!$B$2:$B$5000,Z$1))</f>
        <v/>
      </c>
      <c r="AA242" s="23">
        <f>IF(OR(AA$1="",$BM242=0),"",SUMIFS(Entries!$E$2:$E$5000,Entries!$C$2:$C$5000,"Actual",Entries!$A$2:$A$5000,"&gt;="&amp;$A242,Entries!$A$2:$A$5000,"&lt;"&amp;EDATE($A242,1),Entries!$B$2:$B$5000,AA$1))</f>
        <v/>
      </c>
      <c r="AB242" s="23">
        <f>IF(OR(AB$1="",$BM242=0),"",SUMIFS(Entries!$E$2:$E$5000,Entries!$C$2:$C$5000,"Actual",Entries!$A$2:$A$5000,"&gt;="&amp;$A242,Entries!$A$2:$A$5000,"&lt;"&amp;EDATE($A242,1),Entries!$B$2:$B$5000,AB$1))</f>
        <v/>
      </c>
      <c r="AC242" s="23">
        <f>IF(OR(AC$1="",$BM242=0),"",SUMIFS(Entries!$E$2:$E$5000,Entries!$C$2:$C$5000,"Actual",Entries!$A$2:$A$5000,"&gt;="&amp;$A242,Entries!$A$2:$A$5000,"&lt;"&amp;EDATE($A242,1),Entries!$B$2:$B$5000,AC$1))</f>
        <v/>
      </c>
      <c r="AD242" s="23">
        <f>IF(OR(AD$1="",$BM242=0),"",SUMIFS(Entries!$E$2:$E$5000,Entries!$C$2:$C$5000,"Actual",Entries!$A$2:$A$5000,"&gt;="&amp;$A242,Entries!$A$2:$A$5000,"&lt;"&amp;EDATE($A242,1),Entries!$B$2:$B$5000,AD$1))</f>
        <v/>
      </c>
      <c r="AE242" s="23">
        <f>IF(OR(AE$1="",$BM242=0),"",SUMIFS(Entries!$E$2:$E$5000,Entries!$C$2:$C$5000,"Actual",Entries!$A$2:$A$5000,"&gt;="&amp;$A242,Entries!$A$2:$A$5000,"&lt;"&amp;EDATE($A242,1),Entries!$B$2:$B$5000,AE$1))</f>
        <v/>
      </c>
      <c r="AF242" s="23">
        <f>IF(OR(AF$1="",$BM242=0),"",SUMIFS(Entries!$E$2:$E$5000,Entries!$C$2:$C$5000,"Actual",Entries!$A$2:$A$5000,"&gt;="&amp;$A242,Entries!$A$2:$A$5000,"&lt;"&amp;EDATE($A242,1),Entries!$B$2:$B$5000,AF$1))</f>
        <v/>
      </c>
      <c r="AG242" s="23">
        <f>IF(OR(AG$1="",$BM242=0),"",SUMIFS(Entries!$E$2:$E$5000,Entries!$C$2:$C$5000,"Actual",Entries!$A$2:$A$5000,"&gt;="&amp;$A242,Entries!$A$2:$A$5000,"&lt;"&amp;EDATE($A242,1),Entries!$B$2:$B$5000,AG$1))</f>
        <v/>
      </c>
      <c r="AH242" s="23">
        <f>IF(OR(AH$1="",$BM242=0),"",SUMIFS(Entries!$E$2:$E$5000,Entries!$C$2:$C$5000,"Actual",Entries!$A$2:$A$5000,"&gt;="&amp;$A242,Entries!$A$2:$A$5000,"&lt;"&amp;EDATE($A242,1),Entries!$B$2:$B$5000,AH$1))</f>
        <v/>
      </c>
      <c r="AI242" s="23">
        <f>IF(OR(AI$1="",$BM242=0),"",SUMIFS(Entries!$E$2:$E$5000,Entries!$C$2:$C$5000,"Actual",Entries!$A$2:$A$5000,"&gt;="&amp;$A242,Entries!$A$2:$A$5000,"&lt;"&amp;EDATE($A242,1),Entries!$B$2:$B$5000,AI$1))</f>
        <v/>
      </c>
      <c r="AJ242" s="23">
        <f>IF(OR(AJ$1="",$BM242=0),"",SUMIFS(Entries!$E$2:$E$5000,Entries!$C$2:$C$5000,"Actual",Entries!$A$2:$A$5000,"&gt;="&amp;$A242,Entries!$A$2:$A$5000,"&lt;"&amp;EDATE($A242,1),Entries!$B$2:$B$5000,AJ$1))</f>
        <v/>
      </c>
      <c r="AK242" s="23">
        <f>IF(OR(AK$1="",$BM242=0),"",SUMIFS(Entries!$E$2:$E$5000,Entries!$C$2:$C$5000,"Actual",Entries!$A$2:$A$5000,"&gt;="&amp;$A242,Entries!$A$2:$A$5000,"&lt;"&amp;EDATE($A242,1),Entries!$B$2:$B$5000,AK$1))</f>
        <v/>
      </c>
      <c r="AL242" s="23">
        <f>IF(OR(AL$1="",$BM242=0),"",SUMIFS(Entries!$E$2:$E$5000,Entries!$C$2:$C$5000,"Actual",Entries!$A$2:$A$5000,"&gt;="&amp;$A242,Entries!$A$2:$A$5000,"&lt;"&amp;EDATE($A242,1),Entries!$B$2:$B$5000,AL$1))</f>
        <v/>
      </c>
      <c r="AM242" s="23">
        <f>IF(OR(AM$1="",$BM242=0),"",SUMIFS(Entries!$E$2:$E$5000,Entries!$C$2:$C$5000,"Actual",Entries!$A$2:$A$5000,"&gt;="&amp;$A242,Entries!$A$2:$A$5000,"&lt;"&amp;EDATE($A242,1),Entries!$B$2:$B$5000,AM$1))</f>
        <v/>
      </c>
      <c r="AN242" s="23">
        <f>IF(OR(AN$1="",$BM242=0),"",SUMIFS(Entries!$E$2:$E$5000,Entries!$C$2:$C$5000,"Actual",Entries!$A$2:$A$5000,"&gt;="&amp;$A242,Entries!$A$2:$A$5000,"&lt;"&amp;EDATE($A242,1),Entries!$B$2:$B$5000,AN$1))</f>
        <v/>
      </c>
      <c r="AO242" s="23">
        <f>IF(OR(AO$1="",$BM242=0),"",SUMIFS(Entries!$E$2:$E$5000,Entries!$C$2:$C$5000,"Actual",Entries!$A$2:$A$5000,"&gt;="&amp;$A242,Entries!$A$2:$A$5000,"&lt;"&amp;EDATE($A242,1),Entries!$B$2:$B$5000,AO$1))</f>
        <v/>
      </c>
      <c r="AP242" s="23">
        <f>IF(OR(AP$1="",$BM242=0),"",SUMIFS(Entries!$E$2:$E$5000,Entries!$C$2:$C$5000,"Actual",Entries!$A$2:$A$5000,"&gt;="&amp;$A242,Entries!$A$2:$A$5000,"&lt;"&amp;EDATE($A242,1),Entries!$B$2:$B$5000,AP$1))</f>
        <v/>
      </c>
      <c r="AR242" s="23">
        <f>IF(OR(AR$1="",$BM242=0),"",IFERROR(LOOKUP(2,1/((Budgets!$A$2:$A$200=AR$1)*(Budgets!$B$2:$B$200&lt;EDATE($A242,1))),Budgets!$C$2:$C$200),0))</f>
        <v/>
      </c>
      <c r="AS242" s="23">
        <f>IF(OR(AS$1="",$BM242=0),"",IFERROR(LOOKUP(2,1/((Budgets!$A$2:$A$200=AS$1)*(Budgets!$B$2:$B$200&lt;EDATE($A242,1))),Budgets!$C$2:$C$200),0))</f>
        <v/>
      </c>
      <c r="AT242" s="23">
        <f>IF(OR(AT$1="",$BM242=0),"",IFERROR(LOOKUP(2,1/((Budgets!$A$2:$A$200=AT$1)*(Budgets!$B$2:$B$200&lt;EDATE($A242,1))),Budgets!$C$2:$C$200),0))</f>
        <v/>
      </c>
      <c r="AU242" s="23">
        <f>IF(OR(AU$1="",$BM242=0),"",IFERROR(LOOKUP(2,1/((Budgets!$A$2:$A$200=AU$1)*(Budgets!$B$2:$B$200&lt;EDATE($A242,1))),Budgets!$C$2:$C$200),0))</f>
        <v/>
      </c>
      <c r="AV242" s="23">
        <f>IF(OR(AV$1="",$BM242=0),"",IFERROR(LOOKUP(2,1/((Budgets!$A$2:$A$200=AV$1)*(Budgets!$B$2:$B$200&lt;EDATE($A242,1))),Budgets!$C$2:$C$200),0))</f>
        <v/>
      </c>
      <c r="AW242" s="23">
        <f>IF(OR(AW$1="",$BM242=0),"",IFERROR(LOOKUP(2,1/((Budgets!$A$2:$A$200=AW$1)*(Budgets!$B$2:$B$200&lt;EDATE($A242,1))),Budgets!$C$2:$C$200),0))</f>
        <v/>
      </c>
      <c r="AX242" s="23">
        <f>IF(OR(AX$1="",$BM242=0),"",IFERROR(LOOKUP(2,1/((Budgets!$A$2:$A$200=AX$1)*(Budgets!$B$2:$B$200&lt;EDATE($A242,1))),Budgets!$C$2:$C$200),0))</f>
        <v/>
      </c>
      <c r="AY242" s="23">
        <f>IF(OR(AY$1="",$BM242=0),"",IFERROR(LOOKUP(2,1/((Budgets!$A$2:$A$200=AY$1)*(Budgets!$B$2:$B$200&lt;EDATE($A242,1))),Budgets!$C$2:$C$200),0))</f>
        <v/>
      </c>
      <c r="AZ242" s="23">
        <f>IF(OR(AZ$1="",$BM242=0),"",IFERROR(LOOKUP(2,1/((Budgets!$A$2:$A$200=AZ$1)*(Budgets!$B$2:$B$200&lt;EDATE($A242,1))),Budgets!$C$2:$C$200),0))</f>
        <v/>
      </c>
      <c r="BA242" s="23">
        <f>IF(OR(BA$1="",$BM242=0),"",IFERROR(LOOKUP(2,1/((Budgets!$A$2:$A$200=BA$1)*(Budgets!$B$2:$B$200&lt;EDATE($A242,1))),Budgets!$C$2:$C$200),0))</f>
        <v/>
      </c>
      <c r="BB242" s="23">
        <f>IF(OR(BB$1="",$BM242=0),"",IFERROR(LOOKUP(2,1/((Budgets!$A$2:$A$200=BB$1)*(Budgets!$B$2:$B$200&lt;EDATE($A242,1))),Budgets!$C$2:$C$200),0))</f>
        <v/>
      </c>
      <c r="BC242" s="23">
        <f>IF(OR(BC$1="",$BM242=0),"",IFERROR(LOOKUP(2,1/((Budgets!$A$2:$A$200=BC$1)*(Budgets!$B$2:$B$200&lt;EDATE($A242,1))),Budgets!$C$2:$C$200),0))</f>
        <v/>
      </c>
      <c r="BD242" s="23">
        <f>IF(OR(BD$1="",$BM242=0),"",IFERROR(LOOKUP(2,1/((Budgets!$A$2:$A$200=BD$1)*(Budgets!$B$2:$B$200&lt;EDATE($A242,1))),Budgets!$C$2:$C$200),0))</f>
        <v/>
      </c>
      <c r="BE242" s="23">
        <f>IF(OR(BE$1="",$BM242=0),"",IFERROR(LOOKUP(2,1/((Budgets!$A$2:$A$200=BE$1)*(Budgets!$B$2:$B$200&lt;EDATE($A242,1))),Budgets!$C$2:$C$200),0))</f>
        <v/>
      </c>
      <c r="BF242" s="23">
        <f>IF(OR(BF$1="",$BM242=0),"",IFERROR(LOOKUP(2,1/((Budgets!$A$2:$A$200=BF$1)*(Budgets!$B$2:$B$200&lt;EDATE($A242,1))),Budgets!$C$2:$C$200),0))</f>
        <v/>
      </c>
      <c r="BG242" s="23">
        <f>IF(OR(BG$1="",$BM242=0),"",IFERROR(LOOKUP(2,1/((Budgets!$A$2:$A$200=BG$1)*(Budgets!$B$2:$B$200&lt;EDATE($A242,1))),Budgets!$C$2:$C$200),0))</f>
        <v/>
      </c>
      <c r="BH242" s="23">
        <f>IF(OR(BH$1="",$BM242=0),"",IFERROR(LOOKUP(2,1/((Budgets!$A$2:$A$200=BH$1)*(Budgets!$B$2:$B$200&lt;EDATE($A242,1))),Budgets!$C$2:$C$200),0))</f>
        <v/>
      </c>
      <c r="BI242" s="23">
        <f>IF(OR(BI$1="",$BM242=0),"",IFERROR(LOOKUP(2,1/((Budgets!$A$2:$A$200=BI$1)*(Budgets!$B$2:$B$200&lt;EDATE($A242,1))),Budgets!$C$2:$C$200),0))</f>
        <v/>
      </c>
      <c r="BJ242" s="23">
        <f>IF(OR(BJ$1="",$BM242=0),"",IFERROR(LOOKUP(2,1/((Budgets!$A$2:$A$200=BJ$1)*(Budgets!$B$2:$B$200&lt;EDATE($A242,1))),Budgets!$C$2:$C$200),0))</f>
        <v/>
      </c>
      <c r="BK242" s="23">
        <f>IF(OR(BK$1="",$BM242=0),"",IFERROR(LOOKUP(2,1/((Budgets!$A$2:$A$200=BK$1)*(Budgets!$B$2:$B$200&lt;EDATE($A242,1))),Budgets!$C$2:$C$200),0))</f>
        <v/>
      </c>
      <c r="BM242" s="21">
        <f>COUNTIFS(Entries!$A$2:$A$5000,"&gt;="&amp;$A242,Entries!$A$2:$A$5000,"&lt;"&amp;EDATE($A242,1))</f>
        <v/>
      </c>
    </row>
    <row r="243">
      <c r="A243" s="22" t="n">
        <v>46784</v>
      </c>
      <c r="B243" s="23">
        <f>IF($BM243=0,NA(),SUMIFS(Entries!$E$2:$E$5000,Entries!$C$2:$C$5000,"Income",Entries!$A$2:$A$5000,"&gt;="&amp;$A243,Entries!$A$2:$A$5000,"&lt;"&amp;EDATE($A243,1)))</f>
        <v/>
      </c>
      <c r="C243" s="23">
        <f>IF($BM243=0,"",SUMIFS(Entries!$E$2:$E$5000,Entries!$C$2:$C$5000,"Actual",Entries!$A$2:$A$5000,"&gt;="&amp;$A243,Entries!$A$2:$A$5000,"&lt;"&amp;EDATE($A243,1)))</f>
        <v/>
      </c>
      <c r="D243" s="23">
        <f>IF($BM243=0,"",SUMIFS(Entries!$E$2:$E$5000,Entries!$C$2:$C$5000,"One-off",Entries!$A$2:$A$5000,"&gt;="&amp;$A243,Entries!$A$2:$A$5000,"&lt;"&amp;EDATE($A243,1)))</f>
        <v/>
      </c>
      <c r="E243" s="23">
        <f>IF($BM243=0,NA(),C243+D243)</f>
        <v/>
      </c>
      <c r="F243" s="23">
        <f>IF($BM243=0,"",SUM(AR243:BK243))</f>
        <v/>
      </c>
      <c r="G243" s="23">
        <f>IF($BM243=0,"",B243-E243)</f>
        <v/>
      </c>
      <c r="H243" s="23">
        <f>IF($BM243=0,"",SUM($G$2:G243))</f>
        <v/>
      </c>
      <c r="I243" s="23">
        <f>IF($BM243=0,"",SUMIFS(Entries!$G$2:$G$5000,Entries!$A$2:$A$5000,"&gt;="&amp;$A243,Entries!$A$2:$A$5000,"&lt;"&amp;EDATE($A243,1)))</f>
        <v/>
      </c>
      <c r="J243" s="23">
        <f>IF($BM243=0,NA(),H243)</f>
        <v/>
      </c>
      <c r="K243" s="23">
        <f>IF($BM243=0,"",SUMIFS(Entries!$E$2:$E$5000,Entries!$C$2:$C$5000,"Income",Entries!$A$2:$A$5000,"&gt;="&amp;EDATE($A243,-11),Entries!$A$2:$A$5000,"&lt;"&amp;EDATE($A243,1))/COUNTIFS($A$2:$A$400,"&gt;="&amp;EDATE($A243,-11),$A$2:$A$400,"&lt;"&amp;EDATE($A243,1),$BM$2:$BM$400,"&gt;0"))</f>
      </c>
      <c r="L243" s="23">
        <f>IF($BM243=0,"",(SUMIFS(Entries!$E$2:$E$5000,Entries!$C$2:$C$5000,"Actual",Entries!$A$2:$A$5000,"&gt;="&amp;EDATE($A243,-11),Entries!$A$2:$A$5000,"&lt;"&amp;EDATE($A243,1))+SUMIFS(Entries!$E$2:$E$5000,Entries!$C$2:$C$5000,"One-off",Entries!$A$2:$A$5000,"&gt;="&amp;EDATE($A243,-11),Entries!$A$2:$A$5000,"&lt;"&amp;EDATE($A243,1)))/COUNTIFS($A$2:$A$400,"&gt;="&amp;EDATE($A243,-11),$A$2:$A$400,"&lt;"&amp;EDATE($A243,1),$BM$2:$BM$400,"&gt;0"))</f>
      </c>
      <c r="M243" s="24">
        <f>IF($BM243=0,NA(),IFERROR((K243-L243)/K243,0))</f>
        <v/>
      </c>
      <c r="N243" s="23">
        <f>IF($BM243=0,NA(),SUMIFS(Entries!$E$2:$E$5000,Entries!$D$2:$D$5000,"Core",Entries!$A$2:$A$5000,"&gt;="&amp;$A243,Entries!$A$2:$A$5000,"&lt;"&amp;EDATE($A243,1)))</f>
        <v/>
      </c>
      <c r="O243" s="23">
        <f>IF($BM243=0,NA(),SUMIFS(Entries!$E$2:$E$5000,Entries!$D$2:$D$5000,"Over &amp; above",Entries!$A$2:$A$5000,"&gt;="&amp;$A243,Entries!$A$2:$A$5000,"&lt;"&amp;EDATE($A243,1)))</f>
        <v/>
      </c>
      <c r="P243" s="23">
        <f>IF($BM243=0,NA(),SUMIFS(Entries!$E$2:$E$5000,Entries!$D$2:$D$5000,"One-off",Entries!$A$2:$A$5000,"&gt;="&amp;$A243,Entries!$A$2:$A$5000,"&lt;"&amp;EDATE($A243,1)))</f>
        <v/>
      </c>
      <c r="Q243" s="23">
        <f>IF($BM243=0,NA(),SUMIFS(Entries!$E$2:$E$5000,Entries!$D$2:$D$5000,"Reimbursable",Entries!$A$2:$A$5000,"&gt;="&amp;$A243,Entries!$A$2:$A$5000,"&lt;"&amp;EDATE($A243,1)))</f>
        <v/>
      </c>
      <c r="R243" s="23">
        <f>IF($BM243=0,NA(),SUMIFS(Entries!$E$2:$E$5000,Entries!$D$2:$D$5000,"Investment",Entries!$A$2:$A$5000,"&gt;="&amp;$A243,Entries!$A$2:$A$5000,"&lt;"&amp;EDATE($A243,1)))</f>
        <v/>
      </c>
      <c r="S243" s="23">
        <f>IF($BM243=0,NA(),N243+O243)</f>
        <v/>
      </c>
      <c r="T243" s="23">
        <f>IF($BM243=0,"",E243-Q243)</f>
        <v/>
      </c>
      <c r="W243" s="23">
        <f>IF(OR(W$1="",$BM243=0),"",SUMIFS(Entries!$E$2:$E$5000,Entries!$C$2:$C$5000,"Actual",Entries!$A$2:$A$5000,"&gt;="&amp;$A243,Entries!$A$2:$A$5000,"&lt;"&amp;EDATE($A243,1),Entries!$B$2:$B$5000,W$1))</f>
        <v/>
      </c>
      <c r="X243" s="23">
        <f>IF(OR(X$1="",$BM243=0),"",SUMIFS(Entries!$E$2:$E$5000,Entries!$C$2:$C$5000,"Actual",Entries!$A$2:$A$5000,"&gt;="&amp;$A243,Entries!$A$2:$A$5000,"&lt;"&amp;EDATE($A243,1),Entries!$B$2:$B$5000,X$1))</f>
        <v/>
      </c>
      <c r="Y243" s="23">
        <f>IF(OR(Y$1="",$BM243=0),"",SUMIFS(Entries!$E$2:$E$5000,Entries!$C$2:$C$5000,"Actual",Entries!$A$2:$A$5000,"&gt;="&amp;$A243,Entries!$A$2:$A$5000,"&lt;"&amp;EDATE($A243,1),Entries!$B$2:$B$5000,Y$1))</f>
        <v/>
      </c>
      <c r="Z243" s="23">
        <f>IF(OR(Z$1="",$BM243=0),"",SUMIFS(Entries!$E$2:$E$5000,Entries!$C$2:$C$5000,"Actual",Entries!$A$2:$A$5000,"&gt;="&amp;$A243,Entries!$A$2:$A$5000,"&lt;"&amp;EDATE($A243,1),Entries!$B$2:$B$5000,Z$1))</f>
        <v/>
      </c>
      <c r="AA243" s="23">
        <f>IF(OR(AA$1="",$BM243=0),"",SUMIFS(Entries!$E$2:$E$5000,Entries!$C$2:$C$5000,"Actual",Entries!$A$2:$A$5000,"&gt;="&amp;$A243,Entries!$A$2:$A$5000,"&lt;"&amp;EDATE($A243,1),Entries!$B$2:$B$5000,AA$1))</f>
        <v/>
      </c>
      <c r="AB243" s="23">
        <f>IF(OR(AB$1="",$BM243=0),"",SUMIFS(Entries!$E$2:$E$5000,Entries!$C$2:$C$5000,"Actual",Entries!$A$2:$A$5000,"&gt;="&amp;$A243,Entries!$A$2:$A$5000,"&lt;"&amp;EDATE($A243,1),Entries!$B$2:$B$5000,AB$1))</f>
        <v/>
      </c>
      <c r="AC243" s="23">
        <f>IF(OR(AC$1="",$BM243=0),"",SUMIFS(Entries!$E$2:$E$5000,Entries!$C$2:$C$5000,"Actual",Entries!$A$2:$A$5000,"&gt;="&amp;$A243,Entries!$A$2:$A$5000,"&lt;"&amp;EDATE($A243,1),Entries!$B$2:$B$5000,AC$1))</f>
        <v/>
      </c>
      <c r="AD243" s="23">
        <f>IF(OR(AD$1="",$BM243=0),"",SUMIFS(Entries!$E$2:$E$5000,Entries!$C$2:$C$5000,"Actual",Entries!$A$2:$A$5000,"&gt;="&amp;$A243,Entries!$A$2:$A$5000,"&lt;"&amp;EDATE($A243,1),Entries!$B$2:$B$5000,AD$1))</f>
        <v/>
      </c>
      <c r="AE243" s="23">
        <f>IF(OR(AE$1="",$BM243=0),"",SUMIFS(Entries!$E$2:$E$5000,Entries!$C$2:$C$5000,"Actual",Entries!$A$2:$A$5000,"&gt;="&amp;$A243,Entries!$A$2:$A$5000,"&lt;"&amp;EDATE($A243,1),Entries!$B$2:$B$5000,AE$1))</f>
        <v/>
      </c>
      <c r="AF243" s="23">
        <f>IF(OR(AF$1="",$BM243=0),"",SUMIFS(Entries!$E$2:$E$5000,Entries!$C$2:$C$5000,"Actual",Entries!$A$2:$A$5000,"&gt;="&amp;$A243,Entries!$A$2:$A$5000,"&lt;"&amp;EDATE($A243,1),Entries!$B$2:$B$5000,AF$1))</f>
        <v/>
      </c>
      <c r="AG243" s="23">
        <f>IF(OR(AG$1="",$BM243=0),"",SUMIFS(Entries!$E$2:$E$5000,Entries!$C$2:$C$5000,"Actual",Entries!$A$2:$A$5000,"&gt;="&amp;$A243,Entries!$A$2:$A$5000,"&lt;"&amp;EDATE($A243,1),Entries!$B$2:$B$5000,AG$1))</f>
        <v/>
      </c>
      <c r="AH243" s="23">
        <f>IF(OR(AH$1="",$BM243=0),"",SUMIFS(Entries!$E$2:$E$5000,Entries!$C$2:$C$5000,"Actual",Entries!$A$2:$A$5000,"&gt;="&amp;$A243,Entries!$A$2:$A$5000,"&lt;"&amp;EDATE($A243,1),Entries!$B$2:$B$5000,AH$1))</f>
        <v/>
      </c>
      <c r="AI243" s="23">
        <f>IF(OR(AI$1="",$BM243=0),"",SUMIFS(Entries!$E$2:$E$5000,Entries!$C$2:$C$5000,"Actual",Entries!$A$2:$A$5000,"&gt;="&amp;$A243,Entries!$A$2:$A$5000,"&lt;"&amp;EDATE($A243,1),Entries!$B$2:$B$5000,AI$1))</f>
        <v/>
      </c>
      <c r="AJ243" s="23">
        <f>IF(OR(AJ$1="",$BM243=0),"",SUMIFS(Entries!$E$2:$E$5000,Entries!$C$2:$C$5000,"Actual",Entries!$A$2:$A$5000,"&gt;="&amp;$A243,Entries!$A$2:$A$5000,"&lt;"&amp;EDATE($A243,1),Entries!$B$2:$B$5000,AJ$1))</f>
        <v/>
      </c>
      <c r="AK243" s="23">
        <f>IF(OR(AK$1="",$BM243=0),"",SUMIFS(Entries!$E$2:$E$5000,Entries!$C$2:$C$5000,"Actual",Entries!$A$2:$A$5000,"&gt;="&amp;$A243,Entries!$A$2:$A$5000,"&lt;"&amp;EDATE($A243,1),Entries!$B$2:$B$5000,AK$1))</f>
        <v/>
      </c>
      <c r="AL243" s="23">
        <f>IF(OR(AL$1="",$BM243=0),"",SUMIFS(Entries!$E$2:$E$5000,Entries!$C$2:$C$5000,"Actual",Entries!$A$2:$A$5000,"&gt;="&amp;$A243,Entries!$A$2:$A$5000,"&lt;"&amp;EDATE($A243,1),Entries!$B$2:$B$5000,AL$1))</f>
        <v/>
      </c>
      <c r="AM243" s="23">
        <f>IF(OR(AM$1="",$BM243=0),"",SUMIFS(Entries!$E$2:$E$5000,Entries!$C$2:$C$5000,"Actual",Entries!$A$2:$A$5000,"&gt;="&amp;$A243,Entries!$A$2:$A$5000,"&lt;"&amp;EDATE($A243,1),Entries!$B$2:$B$5000,AM$1))</f>
        <v/>
      </c>
      <c r="AN243" s="23">
        <f>IF(OR(AN$1="",$BM243=0),"",SUMIFS(Entries!$E$2:$E$5000,Entries!$C$2:$C$5000,"Actual",Entries!$A$2:$A$5000,"&gt;="&amp;$A243,Entries!$A$2:$A$5000,"&lt;"&amp;EDATE($A243,1),Entries!$B$2:$B$5000,AN$1))</f>
        <v/>
      </c>
      <c r="AO243" s="23">
        <f>IF(OR(AO$1="",$BM243=0),"",SUMIFS(Entries!$E$2:$E$5000,Entries!$C$2:$C$5000,"Actual",Entries!$A$2:$A$5000,"&gt;="&amp;$A243,Entries!$A$2:$A$5000,"&lt;"&amp;EDATE($A243,1),Entries!$B$2:$B$5000,AO$1))</f>
        <v/>
      </c>
      <c r="AP243" s="23">
        <f>IF(OR(AP$1="",$BM243=0),"",SUMIFS(Entries!$E$2:$E$5000,Entries!$C$2:$C$5000,"Actual",Entries!$A$2:$A$5000,"&gt;="&amp;$A243,Entries!$A$2:$A$5000,"&lt;"&amp;EDATE($A243,1),Entries!$B$2:$B$5000,AP$1))</f>
        <v/>
      </c>
      <c r="AR243" s="23">
        <f>IF(OR(AR$1="",$BM243=0),"",IFERROR(LOOKUP(2,1/((Budgets!$A$2:$A$200=AR$1)*(Budgets!$B$2:$B$200&lt;EDATE($A243,1))),Budgets!$C$2:$C$200),0))</f>
        <v/>
      </c>
      <c r="AS243" s="23">
        <f>IF(OR(AS$1="",$BM243=0),"",IFERROR(LOOKUP(2,1/((Budgets!$A$2:$A$200=AS$1)*(Budgets!$B$2:$B$200&lt;EDATE($A243,1))),Budgets!$C$2:$C$200),0))</f>
        <v/>
      </c>
      <c r="AT243" s="23">
        <f>IF(OR(AT$1="",$BM243=0),"",IFERROR(LOOKUP(2,1/((Budgets!$A$2:$A$200=AT$1)*(Budgets!$B$2:$B$200&lt;EDATE($A243,1))),Budgets!$C$2:$C$200),0))</f>
        <v/>
      </c>
      <c r="AU243" s="23">
        <f>IF(OR(AU$1="",$BM243=0),"",IFERROR(LOOKUP(2,1/((Budgets!$A$2:$A$200=AU$1)*(Budgets!$B$2:$B$200&lt;EDATE($A243,1))),Budgets!$C$2:$C$200),0))</f>
        <v/>
      </c>
      <c r="AV243" s="23">
        <f>IF(OR(AV$1="",$BM243=0),"",IFERROR(LOOKUP(2,1/((Budgets!$A$2:$A$200=AV$1)*(Budgets!$B$2:$B$200&lt;EDATE($A243,1))),Budgets!$C$2:$C$200),0))</f>
        <v/>
      </c>
      <c r="AW243" s="23">
        <f>IF(OR(AW$1="",$BM243=0),"",IFERROR(LOOKUP(2,1/((Budgets!$A$2:$A$200=AW$1)*(Budgets!$B$2:$B$200&lt;EDATE($A243,1))),Budgets!$C$2:$C$200),0))</f>
        <v/>
      </c>
      <c r="AX243" s="23">
        <f>IF(OR(AX$1="",$BM243=0),"",IFERROR(LOOKUP(2,1/((Budgets!$A$2:$A$200=AX$1)*(Budgets!$B$2:$B$200&lt;EDATE($A243,1))),Budgets!$C$2:$C$200),0))</f>
        <v/>
      </c>
      <c r="AY243" s="23">
        <f>IF(OR(AY$1="",$BM243=0),"",IFERROR(LOOKUP(2,1/((Budgets!$A$2:$A$200=AY$1)*(Budgets!$B$2:$B$200&lt;EDATE($A243,1))),Budgets!$C$2:$C$200),0))</f>
        <v/>
      </c>
      <c r="AZ243" s="23">
        <f>IF(OR(AZ$1="",$BM243=0),"",IFERROR(LOOKUP(2,1/((Budgets!$A$2:$A$200=AZ$1)*(Budgets!$B$2:$B$200&lt;EDATE($A243,1))),Budgets!$C$2:$C$200),0))</f>
        <v/>
      </c>
      <c r="BA243" s="23">
        <f>IF(OR(BA$1="",$BM243=0),"",IFERROR(LOOKUP(2,1/((Budgets!$A$2:$A$200=BA$1)*(Budgets!$B$2:$B$200&lt;EDATE($A243,1))),Budgets!$C$2:$C$200),0))</f>
        <v/>
      </c>
      <c r="BB243" s="23">
        <f>IF(OR(BB$1="",$BM243=0),"",IFERROR(LOOKUP(2,1/((Budgets!$A$2:$A$200=BB$1)*(Budgets!$B$2:$B$200&lt;EDATE($A243,1))),Budgets!$C$2:$C$200),0))</f>
        <v/>
      </c>
      <c r="BC243" s="23">
        <f>IF(OR(BC$1="",$BM243=0),"",IFERROR(LOOKUP(2,1/((Budgets!$A$2:$A$200=BC$1)*(Budgets!$B$2:$B$200&lt;EDATE($A243,1))),Budgets!$C$2:$C$200),0))</f>
        <v/>
      </c>
      <c r="BD243" s="23">
        <f>IF(OR(BD$1="",$BM243=0),"",IFERROR(LOOKUP(2,1/((Budgets!$A$2:$A$200=BD$1)*(Budgets!$B$2:$B$200&lt;EDATE($A243,1))),Budgets!$C$2:$C$200),0))</f>
        <v/>
      </c>
      <c r="BE243" s="23">
        <f>IF(OR(BE$1="",$BM243=0),"",IFERROR(LOOKUP(2,1/((Budgets!$A$2:$A$200=BE$1)*(Budgets!$B$2:$B$200&lt;EDATE($A243,1))),Budgets!$C$2:$C$200),0))</f>
        <v/>
      </c>
      <c r="BF243" s="23">
        <f>IF(OR(BF$1="",$BM243=0),"",IFERROR(LOOKUP(2,1/((Budgets!$A$2:$A$200=BF$1)*(Budgets!$B$2:$B$200&lt;EDATE($A243,1))),Budgets!$C$2:$C$200),0))</f>
        <v/>
      </c>
      <c r="BG243" s="23">
        <f>IF(OR(BG$1="",$BM243=0),"",IFERROR(LOOKUP(2,1/((Budgets!$A$2:$A$200=BG$1)*(Budgets!$B$2:$B$200&lt;EDATE($A243,1))),Budgets!$C$2:$C$200),0))</f>
        <v/>
      </c>
      <c r="BH243" s="23">
        <f>IF(OR(BH$1="",$BM243=0),"",IFERROR(LOOKUP(2,1/((Budgets!$A$2:$A$200=BH$1)*(Budgets!$B$2:$B$200&lt;EDATE($A243,1))),Budgets!$C$2:$C$200),0))</f>
        <v/>
      </c>
      <c r="BI243" s="23">
        <f>IF(OR(BI$1="",$BM243=0),"",IFERROR(LOOKUP(2,1/((Budgets!$A$2:$A$200=BI$1)*(Budgets!$B$2:$B$200&lt;EDATE($A243,1))),Budgets!$C$2:$C$200),0))</f>
        <v/>
      </c>
      <c r="BJ243" s="23">
        <f>IF(OR(BJ$1="",$BM243=0),"",IFERROR(LOOKUP(2,1/((Budgets!$A$2:$A$200=BJ$1)*(Budgets!$B$2:$B$200&lt;EDATE($A243,1))),Budgets!$C$2:$C$200),0))</f>
        <v/>
      </c>
      <c r="BK243" s="23">
        <f>IF(OR(BK$1="",$BM243=0),"",IFERROR(LOOKUP(2,1/((Budgets!$A$2:$A$200=BK$1)*(Budgets!$B$2:$B$200&lt;EDATE($A243,1))),Budgets!$C$2:$C$200),0))</f>
        <v/>
      </c>
      <c r="BM243" s="21">
        <f>COUNTIFS(Entries!$A$2:$A$5000,"&gt;="&amp;$A243,Entries!$A$2:$A$5000,"&lt;"&amp;EDATE($A243,1))</f>
        <v/>
      </c>
    </row>
    <row r="244">
      <c r="A244" s="22" t="n">
        <v>46813</v>
      </c>
      <c r="B244" s="23">
        <f>IF($BM244=0,NA(),SUMIFS(Entries!$E$2:$E$5000,Entries!$C$2:$C$5000,"Income",Entries!$A$2:$A$5000,"&gt;="&amp;$A244,Entries!$A$2:$A$5000,"&lt;"&amp;EDATE($A244,1)))</f>
        <v/>
      </c>
      <c r="C244" s="23">
        <f>IF($BM244=0,"",SUMIFS(Entries!$E$2:$E$5000,Entries!$C$2:$C$5000,"Actual",Entries!$A$2:$A$5000,"&gt;="&amp;$A244,Entries!$A$2:$A$5000,"&lt;"&amp;EDATE($A244,1)))</f>
        <v/>
      </c>
      <c r="D244" s="23">
        <f>IF($BM244=0,"",SUMIFS(Entries!$E$2:$E$5000,Entries!$C$2:$C$5000,"One-off",Entries!$A$2:$A$5000,"&gt;="&amp;$A244,Entries!$A$2:$A$5000,"&lt;"&amp;EDATE($A244,1)))</f>
        <v/>
      </c>
      <c r="E244" s="23">
        <f>IF($BM244=0,NA(),C244+D244)</f>
        <v/>
      </c>
      <c r="F244" s="23">
        <f>IF($BM244=0,"",SUM(AR244:BK244))</f>
        <v/>
      </c>
      <c r="G244" s="23">
        <f>IF($BM244=0,"",B244-E244)</f>
        <v/>
      </c>
      <c r="H244" s="23">
        <f>IF($BM244=0,"",SUM($G$2:G244))</f>
        <v/>
      </c>
      <c r="I244" s="23">
        <f>IF($BM244=0,"",SUMIFS(Entries!$G$2:$G$5000,Entries!$A$2:$A$5000,"&gt;="&amp;$A244,Entries!$A$2:$A$5000,"&lt;"&amp;EDATE($A244,1)))</f>
        <v/>
      </c>
      <c r="J244" s="23">
        <f>IF($BM244=0,NA(),H244)</f>
        <v/>
      </c>
      <c r="K244" s="23">
        <f>IF($BM244=0,"",SUMIFS(Entries!$E$2:$E$5000,Entries!$C$2:$C$5000,"Income",Entries!$A$2:$A$5000,"&gt;="&amp;EDATE($A244,-11),Entries!$A$2:$A$5000,"&lt;"&amp;EDATE($A244,1))/COUNTIFS($A$2:$A$400,"&gt;="&amp;EDATE($A244,-11),$A$2:$A$400,"&lt;"&amp;EDATE($A244,1),$BM$2:$BM$400,"&gt;0"))</f>
      </c>
      <c r="L244" s="23">
        <f>IF($BM244=0,"",(SUMIFS(Entries!$E$2:$E$5000,Entries!$C$2:$C$5000,"Actual",Entries!$A$2:$A$5000,"&gt;="&amp;EDATE($A244,-11),Entries!$A$2:$A$5000,"&lt;"&amp;EDATE($A244,1))+SUMIFS(Entries!$E$2:$E$5000,Entries!$C$2:$C$5000,"One-off",Entries!$A$2:$A$5000,"&gt;="&amp;EDATE($A244,-11),Entries!$A$2:$A$5000,"&lt;"&amp;EDATE($A244,1)))/COUNTIFS($A$2:$A$400,"&gt;="&amp;EDATE($A244,-11),$A$2:$A$400,"&lt;"&amp;EDATE($A244,1),$BM$2:$BM$400,"&gt;0"))</f>
      </c>
      <c r="M244" s="24">
        <f>IF($BM244=0,NA(),IFERROR((K244-L244)/K244,0))</f>
        <v/>
      </c>
      <c r="N244" s="23">
        <f>IF($BM244=0,NA(),SUMIFS(Entries!$E$2:$E$5000,Entries!$D$2:$D$5000,"Core",Entries!$A$2:$A$5000,"&gt;="&amp;$A244,Entries!$A$2:$A$5000,"&lt;"&amp;EDATE($A244,1)))</f>
        <v/>
      </c>
      <c r="O244" s="23">
        <f>IF($BM244=0,NA(),SUMIFS(Entries!$E$2:$E$5000,Entries!$D$2:$D$5000,"Over &amp; above",Entries!$A$2:$A$5000,"&gt;="&amp;$A244,Entries!$A$2:$A$5000,"&lt;"&amp;EDATE($A244,1)))</f>
        <v/>
      </c>
      <c r="P244" s="23">
        <f>IF($BM244=0,NA(),SUMIFS(Entries!$E$2:$E$5000,Entries!$D$2:$D$5000,"One-off",Entries!$A$2:$A$5000,"&gt;="&amp;$A244,Entries!$A$2:$A$5000,"&lt;"&amp;EDATE($A244,1)))</f>
        <v/>
      </c>
      <c r="Q244" s="23">
        <f>IF($BM244=0,NA(),SUMIFS(Entries!$E$2:$E$5000,Entries!$D$2:$D$5000,"Reimbursable",Entries!$A$2:$A$5000,"&gt;="&amp;$A244,Entries!$A$2:$A$5000,"&lt;"&amp;EDATE($A244,1)))</f>
        <v/>
      </c>
      <c r="R244" s="23">
        <f>IF($BM244=0,NA(),SUMIFS(Entries!$E$2:$E$5000,Entries!$D$2:$D$5000,"Investment",Entries!$A$2:$A$5000,"&gt;="&amp;$A244,Entries!$A$2:$A$5000,"&lt;"&amp;EDATE($A244,1)))</f>
        <v/>
      </c>
      <c r="S244" s="23">
        <f>IF($BM244=0,NA(),N244+O244)</f>
        <v/>
      </c>
      <c r="T244" s="23">
        <f>IF($BM244=0,"",E244-Q244)</f>
        <v/>
      </c>
      <c r="W244" s="23">
        <f>IF(OR(W$1="",$BM244=0),"",SUMIFS(Entries!$E$2:$E$5000,Entries!$C$2:$C$5000,"Actual",Entries!$A$2:$A$5000,"&gt;="&amp;$A244,Entries!$A$2:$A$5000,"&lt;"&amp;EDATE($A244,1),Entries!$B$2:$B$5000,W$1))</f>
        <v/>
      </c>
      <c r="X244" s="23">
        <f>IF(OR(X$1="",$BM244=0),"",SUMIFS(Entries!$E$2:$E$5000,Entries!$C$2:$C$5000,"Actual",Entries!$A$2:$A$5000,"&gt;="&amp;$A244,Entries!$A$2:$A$5000,"&lt;"&amp;EDATE($A244,1),Entries!$B$2:$B$5000,X$1))</f>
        <v/>
      </c>
      <c r="Y244" s="23">
        <f>IF(OR(Y$1="",$BM244=0),"",SUMIFS(Entries!$E$2:$E$5000,Entries!$C$2:$C$5000,"Actual",Entries!$A$2:$A$5000,"&gt;="&amp;$A244,Entries!$A$2:$A$5000,"&lt;"&amp;EDATE($A244,1),Entries!$B$2:$B$5000,Y$1))</f>
        <v/>
      </c>
      <c r="Z244" s="23">
        <f>IF(OR(Z$1="",$BM244=0),"",SUMIFS(Entries!$E$2:$E$5000,Entries!$C$2:$C$5000,"Actual",Entries!$A$2:$A$5000,"&gt;="&amp;$A244,Entries!$A$2:$A$5000,"&lt;"&amp;EDATE($A244,1),Entries!$B$2:$B$5000,Z$1))</f>
        <v/>
      </c>
      <c r="AA244" s="23">
        <f>IF(OR(AA$1="",$BM244=0),"",SUMIFS(Entries!$E$2:$E$5000,Entries!$C$2:$C$5000,"Actual",Entries!$A$2:$A$5000,"&gt;="&amp;$A244,Entries!$A$2:$A$5000,"&lt;"&amp;EDATE($A244,1),Entries!$B$2:$B$5000,AA$1))</f>
        <v/>
      </c>
      <c r="AB244" s="23">
        <f>IF(OR(AB$1="",$BM244=0),"",SUMIFS(Entries!$E$2:$E$5000,Entries!$C$2:$C$5000,"Actual",Entries!$A$2:$A$5000,"&gt;="&amp;$A244,Entries!$A$2:$A$5000,"&lt;"&amp;EDATE($A244,1),Entries!$B$2:$B$5000,AB$1))</f>
        <v/>
      </c>
      <c r="AC244" s="23">
        <f>IF(OR(AC$1="",$BM244=0),"",SUMIFS(Entries!$E$2:$E$5000,Entries!$C$2:$C$5000,"Actual",Entries!$A$2:$A$5000,"&gt;="&amp;$A244,Entries!$A$2:$A$5000,"&lt;"&amp;EDATE($A244,1),Entries!$B$2:$B$5000,AC$1))</f>
        <v/>
      </c>
      <c r="AD244" s="23">
        <f>IF(OR(AD$1="",$BM244=0),"",SUMIFS(Entries!$E$2:$E$5000,Entries!$C$2:$C$5000,"Actual",Entries!$A$2:$A$5000,"&gt;="&amp;$A244,Entries!$A$2:$A$5000,"&lt;"&amp;EDATE($A244,1),Entries!$B$2:$B$5000,AD$1))</f>
        <v/>
      </c>
      <c r="AE244" s="23">
        <f>IF(OR(AE$1="",$BM244=0),"",SUMIFS(Entries!$E$2:$E$5000,Entries!$C$2:$C$5000,"Actual",Entries!$A$2:$A$5000,"&gt;="&amp;$A244,Entries!$A$2:$A$5000,"&lt;"&amp;EDATE($A244,1),Entries!$B$2:$B$5000,AE$1))</f>
        <v/>
      </c>
      <c r="AF244" s="23">
        <f>IF(OR(AF$1="",$BM244=0),"",SUMIFS(Entries!$E$2:$E$5000,Entries!$C$2:$C$5000,"Actual",Entries!$A$2:$A$5000,"&gt;="&amp;$A244,Entries!$A$2:$A$5000,"&lt;"&amp;EDATE($A244,1),Entries!$B$2:$B$5000,AF$1))</f>
        <v/>
      </c>
      <c r="AG244" s="23">
        <f>IF(OR(AG$1="",$BM244=0),"",SUMIFS(Entries!$E$2:$E$5000,Entries!$C$2:$C$5000,"Actual",Entries!$A$2:$A$5000,"&gt;="&amp;$A244,Entries!$A$2:$A$5000,"&lt;"&amp;EDATE($A244,1),Entries!$B$2:$B$5000,AG$1))</f>
        <v/>
      </c>
      <c r="AH244" s="23">
        <f>IF(OR(AH$1="",$BM244=0),"",SUMIFS(Entries!$E$2:$E$5000,Entries!$C$2:$C$5000,"Actual",Entries!$A$2:$A$5000,"&gt;="&amp;$A244,Entries!$A$2:$A$5000,"&lt;"&amp;EDATE($A244,1),Entries!$B$2:$B$5000,AH$1))</f>
        <v/>
      </c>
      <c r="AI244" s="23">
        <f>IF(OR(AI$1="",$BM244=0),"",SUMIFS(Entries!$E$2:$E$5000,Entries!$C$2:$C$5000,"Actual",Entries!$A$2:$A$5000,"&gt;="&amp;$A244,Entries!$A$2:$A$5000,"&lt;"&amp;EDATE($A244,1),Entries!$B$2:$B$5000,AI$1))</f>
        <v/>
      </c>
      <c r="AJ244" s="23">
        <f>IF(OR(AJ$1="",$BM244=0),"",SUMIFS(Entries!$E$2:$E$5000,Entries!$C$2:$C$5000,"Actual",Entries!$A$2:$A$5000,"&gt;="&amp;$A244,Entries!$A$2:$A$5000,"&lt;"&amp;EDATE($A244,1),Entries!$B$2:$B$5000,AJ$1))</f>
        <v/>
      </c>
      <c r="AK244" s="23">
        <f>IF(OR(AK$1="",$BM244=0),"",SUMIFS(Entries!$E$2:$E$5000,Entries!$C$2:$C$5000,"Actual",Entries!$A$2:$A$5000,"&gt;="&amp;$A244,Entries!$A$2:$A$5000,"&lt;"&amp;EDATE($A244,1),Entries!$B$2:$B$5000,AK$1))</f>
        <v/>
      </c>
      <c r="AL244" s="23">
        <f>IF(OR(AL$1="",$BM244=0),"",SUMIFS(Entries!$E$2:$E$5000,Entries!$C$2:$C$5000,"Actual",Entries!$A$2:$A$5000,"&gt;="&amp;$A244,Entries!$A$2:$A$5000,"&lt;"&amp;EDATE($A244,1),Entries!$B$2:$B$5000,AL$1))</f>
        <v/>
      </c>
      <c r="AM244" s="23">
        <f>IF(OR(AM$1="",$BM244=0),"",SUMIFS(Entries!$E$2:$E$5000,Entries!$C$2:$C$5000,"Actual",Entries!$A$2:$A$5000,"&gt;="&amp;$A244,Entries!$A$2:$A$5000,"&lt;"&amp;EDATE($A244,1),Entries!$B$2:$B$5000,AM$1))</f>
        <v/>
      </c>
      <c r="AN244" s="23">
        <f>IF(OR(AN$1="",$BM244=0),"",SUMIFS(Entries!$E$2:$E$5000,Entries!$C$2:$C$5000,"Actual",Entries!$A$2:$A$5000,"&gt;="&amp;$A244,Entries!$A$2:$A$5000,"&lt;"&amp;EDATE($A244,1),Entries!$B$2:$B$5000,AN$1))</f>
        <v/>
      </c>
      <c r="AO244" s="23">
        <f>IF(OR(AO$1="",$BM244=0),"",SUMIFS(Entries!$E$2:$E$5000,Entries!$C$2:$C$5000,"Actual",Entries!$A$2:$A$5000,"&gt;="&amp;$A244,Entries!$A$2:$A$5000,"&lt;"&amp;EDATE($A244,1),Entries!$B$2:$B$5000,AO$1))</f>
        <v/>
      </c>
      <c r="AP244" s="23">
        <f>IF(OR(AP$1="",$BM244=0),"",SUMIFS(Entries!$E$2:$E$5000,Entries!$C$2:$C$5000,"Actual",Entries!$A$2:$A$5000,"&gt;="&amp;$A244,Entries!$A$2:$A$5000,"&lt;"&amp;EDATE($A244,1),Entries!$B$2:$B$5000,AP$1))</f>
        <v/>
      </c>
      <c r="AR244" s="23">
        <f>IF(OR(AR$1="",$BM244=0),"",IFERROR(LOOKUP(2,1/((Budgets!$A$2:$A$200=AR$1)*(Budgets!$B$2:$B$200&lt;EDATE($A244,1))),Budgets!$C$2:$C$200),0))</f>
        <v/>
      </c>
      <c r="AS244" s="23">
        <f>IF(OR(AS$1="",$BM244=0),"",IFERROR(LOOKUP(2,1/((Budgets!$A$2:$A$200=AS$1)*(Budgets!$B$2:$B$200&lt;EDATE($A244,1))),Budgets!$C$2:$C$200),0))</f>
        <v/>
      </c>
      <c r="AT244" s="23">
        <f>IF(OR(AT$1="",$BM244=0),"",IFERROR(LOOKUP(2,1/((Budgets!$A$2:$A$200=AT$1)*(Budgets!$B$2:$B$200&lt;EDATE($A244,1))),Budgets!$C$2:$C$200),0))</f>
        <v/>
      </c>
      <c r="AU244" s="23">
        <f>IF(OR(AU$1="",$BM244=0),"",IFERROR(LOOKUP(2,1/((Budgets!$A$2:$A$200=AU$1)*(Budgets!$B$2:$B$200&lt;EDATE($A244,1))),Budgets!$C$2:$C$200),0))</f>
        <v/>
      </c>
      <c r="AV244" s="23">
        <f>IF(OR(AV$1="",$BM244=0),"",IFERROR(LOOKUP(2,1/((Budgets!$A$2:$A$200=AV$1)*(Budgets!$B$2:$B$200&lt;EDATE($A244,1))),Budgets!$C$2:$C$200),0))</f>
        <v/>
      </c>
      <c r="AW244" s="23">
        <f>IF(OR(AW$1="",$BM244=0),"",IFERROR(LOOKUP(2,1/((Budgets!$A$2:$A$200=AW$1)*(Budgets!$B$2:$B$200&lt;EDATE($A244,1))),Budgets!$C$2:$C$200),0))</f>
        <v/>
      </c>
      <c r="AX244" s="23">
        <f>IF(OR(AX$1="",$BM244=0),"",IFERROR(LOOKUP(2,1/((Budgets!$A$2:$A$200=AX$1)*(Budgets!$B$2:$B$200&lt;EDATE($A244,1))),Budgets!$C$2:$C$200),0))</f>
        <v/>
      </c>
      <c r="AY244" s="23">
        <f>IF(OR(AY$1="",$BM244=0),"",IFERROR(LOOKUP(2,1/((Budgets!$A$2:$A$200=AY$1)*(Budgets!$B$2:$B$200&lt;EDATE($A244,1))),Budgets!$C$2:$C$200),0))</f>
        <v/>
      </c>
      <c r="AZ244" s="23">
        <f>IF(OR(AZ$1="",$BM244=0),"",IFERROR(LOOKUP(2,1/((Budgets!$A$2:$A$200=AZ$1)*(Budgets!$B$2:$B$200&lt;EDATE($A244,1))),Budgets!$C$2:$C$200),0))</f>
        <v/>
      </c>
      <c r="BA244" s="23">
        <f>IF(OR(BA$1="",$BM244=0),"",IFERROR(LOOKUP(2,1/((Budgets!$A$2:$A$200=BA$1)*(Budgets!$B$2:$B$200&lt;EDATE($A244,1))),Budgets!$C$2:$C$200),0))</f>
        <v/>
      </c>
      <c r="BB244" s="23">
        <f>IF(OR(BB$1="",$BM244=0),"",IFERROR(LOOKUP(2,1/((Budgets!$A$2:$A$200=BB$1)*(Budgets!$B$2:$B$200&lt;EDATE($A244,1))),Budgets!$C$2:$C$200),0))</f>
        <v/>
      </c>
      <c r="BC244" s="23">
        <f>IF(OR(BC$1="",$BM244=0),"",IFERROR(LOOKUP(2,1/((Budgets!$A$2:$A$200=BC$1)*(Budgets!$B$2:$B$200&lt;EDATE($A244,1))),Budgets!$C$2:$C$200),0))</f>
        <v/>
      </c>
      <c r="BD244" s="23">
        <f>IF(OR(BD$1="",$BM244=0),"",IFERROR(LOOKUP(2,1/((Budgets!$A$2:$A$200=BD$1)*(Budgets!$B$2:$B$200&lt;EDATE($A244,1))),Budgets!$C$2:$C$200),0))</f>
        <v/>
      </c>
      <c r="BE244" s="23">
        <f>IF(OR(BE$1="",$BM244=0),"",IFERROR(LOOKUP(2,1/((Budgets!$A$2:$A$200=BE$1)*(Budgets!$B$2:$B$200&lt;EDATE($A244,1))),Budgets!$C$2:$C$200),0))</f>
        <v/>
      </c>
      <c r="BF244" s="23">
        <f>IF(OR(BF$1="",$BM244=0),"",IFERROR(LOOKUP(2,1/((Budgets!$A$2:$A$200=BF$1)*(Budgets!$B$2:$B$200&lt;EDATE($A244,1))),Budgets!$C$2:$C$200),0))</f>
        <v/>
      </c>
      <c r="BG244" s="23">
        <f>IF(OR(BG$1="",$BM244=0),"",IFERROR(LOOKUP(2,1/((Budgets!$A$2:$A$200=BG$1)*(Budgets!$B$2:$B$200&lt;EDATE($A244,1))),Budgets!$C$2:$C$200),0))</f>
        <v/>
      </c>
      <c r="BH244" s="23">
        <f>IF(OR(BH$1="",$BM244=0),"",IFERROR(LOOKUP(2,1/((Budgets!$A$2:$A$200=BH$1)*(Budgets!$B$2:$B$200&lt;EDATE($A244,1))),Budgets!$C$2:$C$200),0))</f>
        <v/>
      </c>
      <c r="BI244" s="23">
        <f>IF(OR(BI$1="",$BM244=0),"",IFERROR(LOOKUP(2,1/((Budgets!$A$2:$A$200=BI$1)*(Budgets!$B$2:$B$200&lt;EDATE($A244,1))),Budgets!$C$2:$C$200),0))</f>
        <v/>
      </c>
      <c r="BJ244" s="23">
        <f>IF(OR(BJ$1="",$BM244=0),"",IFERROR(LOOKUP(2,1/((Budgets!$A$2:$A$200=BJ$1)*(Budgets!$B$2:$B$200&lt;EDATE($A244,1))),Budgets!$C$2:$C$200),0))</f>
        <v/>
      </c>
      <c r="BK244" s="23">
        <f>IF(OR(BK$1="",$BM244=0),"",IFERROR(LOOKUP(2,1/((Budgets!$A$2:$A$200=BK$1)*(Budgets!$B$2:$B$200&lt;EDATE($A244,1))),Budgets!$C$2:$C$200),0))</f>
        <v/>
      </c>
      <c r="BM244" s="21">
        <f>COUNTIFS(Entries!$A$2:$A$5000,"&gt;="&amp;$A244,Entries!$A$2:$A$5000,"&lt;"&amp;EDATE($A244,1))</f>
        <v/>
      </c>
    </row>
    <row r="245">
      <c r="A245" s="22" t="n">
        <v>46844</v>
      </c>
      <c r="B245" s="23">
        <f>IF($BM245=0,NA(),SUMIFS(Entries!$E$2:$E$5000,Entries!$C$2:$C$5000,"Income",Entries!$A$2:$A$5000,"&gt;="&amp;$A245,Entries!$A$2:$A$5000,"&lt;"&amp;EDATE($A245,1)))</f>
        <v/>
      </c>
      <c r="C245" s="23">
        <f>IF($BM245=0,"",SUMIFS(Entries!$E$2:$E$5000,Entries!$C$2:$C$5000,"Actual",Entries!$A$2:$A$5000,"&gt;="&amp;$A245,Entries!$A$2:$A$5000,"&lt;"&amp;EDATE($A245,1)))</f>
        <v/>
      </c>
      <c r="D245" s="23">
        <f>IF($BM245=0,"",SUMIFS(Entries!$E$2:$E$5000,Entries!$C$2:$C$5000,"One-off",Entries!$A$2:$A$5000,"&gt;="&amp;$A245,Entries!$A$2:$A$5000,"&lt;"&amp;EDATE($A245,1)))</f>
        <v/>
      </c>
      <c r="E245" s="23">
        <f>IF($BM245=0,NA(),C245+D245)</f>
        <v/>
      </c>
      <c r="F245" s="23">
        <f>IF($BM245=0,"",SUM(AR245:BK245))</f>
        <v/>
      </c>
      <c r="G245" s="23">
        <f>IF($BM245=0,"",B245-E245)</f>
        <v/>
      </c>
      <c r="H245" s="23">
        <f>IF($BM245=0,"",SUM($G$2:G245))</f>
        <v/>
      </c>
      <c r="I245" s="23">
        <f>IF($BM245=0,"",SUMIFS(Entries!$G$2:$G$5000,Entries!$A$2:$A$5000,"&gt;="&amp;$A245,Entries!$A$2:$A$5000,"&lt;"&amp;EDATE($A245,1)))</f>
        <v/>
      </c>
      <c r="J245" s="23">
        <f>IF($BM245=0,NA(),H245)</f>
        <v/>
      </c>
      <c r="K245" s="23">
        <f>IF($BM245=0,"",SUMIFS(Entries!$E$2:$E$5000,Entries!$C$2:$C$5000,"Income",Entries!$A$2:$A$5000,"&gt;="&amp;EDATE($A245,-11),Entries!$A$2:$A$5000,"&lt;"&amp;EDATE($A245,1))/COUNTIFS($A$2:$A$400,"&gt;="&amp;EDATE($A245,-11),$A$2:$A$400,"&lt;"&amp;EDATE($A245,1),$BM$2:$BM$400,"&gt;0"))</f>
      </c>
      <c r="L245" s="23">
        <f>IF($BM245=0,"",(SUMIFS(Entries!$E$2:$E$5000,Entries!$C$2:$C$5000,"Actual",Entries!$A$2:$A$5000,"&gt;="&amp;EDATE($A245,-11),Entries!$A$2:$A$5000,"&lt;"&amp;EDATE($A245,1))+SUMIFS(Entries!$E$2:$E$5000,Entries!$C$2:$C$5000,"One-off",Entries!$A$2:$A$5000,"&gt;="&amp;EDATE($A245,-11),Entries!$A$2:$A$5000,"&lt;"&amp;EDATE($A245,1)))/COUNTIFS($A$2:$A$400,"&gt;="&amp;EDATE($A245,-11),$A$2:$A$400,"&lt;"&amp;EDATE($A245,1),$BM$2:$BM$400,"&gt;0"))</f>
      </c>
      <c r="M245" s="24">
        <f>IF($BM245=0,NA(),IFERROR((K245-L245)/K245,0))</f>
        <v/>
      </c>
      <c r="N245" s="23">
        <f>IF($BM245=0,NA(),SUMIFS(Entries!$E$2:$E$5000,Entries!$D$2:$D$5000,"Core",Entries!$A$2:$A$5000,"&gt;="&amp;$A245,Entries!$A$2:$A$5000,"&lt;"&amp;EDATE($A245,1)))</f>
        <v/>
      </c>
      <c r="O245" s="23">
        <f>IF($BM245=0,NA(),SUMIFS(Entries!$E$2:$E$5000,Entries!$D$2:$D$5000,"Over &amp; above",Entries!$A$2:$A$5000,"&gt;="&amp;$A245,Entries!$A$2:$A$5000,"&lt;"&amp;EDATE($A245,1)))</f>
        <v/>
      </c>
      <c r="P245" s="23">
        <f>IF($BM245=0,NA(),SUMIFS(Entries!$E$2:$E$5000,Entries!$D$2:$D$5000,"One-off",Entries!$A$2:$A$5000,"&gt;="&amp;$A245,Entries!$A$2:$A$5000,"&lt;"&amp;EDATE($A245,1)))</f>
        <v/>
      </c>
      <c r="Q245" s="23">
        <f>IF($BM245=0,NA(),SUMIFS(Entries!$E$2:$E$5000,Entries!$D$2:$D$5000,"Reimbursable",Entries!$A$2:$A$5000,"&gt;="&amp;$A245,Entries!$A$2:$A$5000,"&lt;"&amp;EDATE($A245,1)))</f>
        <v/>
      </c>
      <c r="R245" s="23">
        <f>IF($BM245=0,NA(),SUMIFS(Entries!$E$2:$E$5000,Entries!$D$2:$D$5000,"Investment",Entries!$A$2:$A$5000,"&gt;="&amp;$A245,Entries!$A$2:$A$5000,"&lt;"&amp;EDATE($A245,1)))</f>
        <v/>
      </c>
      <c r="S245" s="23">
        <f>IF($BM245=0,NA(),N245+O245)</f>
        <v/>
      </c>
      <c r="T245" s="23">
        <f>IF($BM245=0,"",E245-Q245)</f>
        <v/>
      </c>
      <c r="W245" s="23">
        <f>IF(OR(W$1="",$BM245=0),"",SUMIFS(Entries!$E$2:$E$5000,Entries!$C$2:$C$5000,"Actual",Entries!$A$2:$A$5000,"&gt;="&amp;$A245,Entries!$A$2:$A$5000,"&lt;"&amp;EDATE($A245,1),Entries!$B$2:$B$5000,W$1))</f>
        <v/>
      </c>
      <c r="X245" s="23">
        <f>IF(OR(X$1="",$BM245=0),"",SUMIFS(Entries!$E$2:$E$5000,Entries!$C$2:$C$5000,"Actual",Entries!$A$2:$A$5000,"&gt;="&amp;$A245,Entries!$A$2:$A$5000,"&lt;"&amp;EDATE($A245,1),Entries!$B$2:$B$5000,X$1))</f>
        <v/>
      </c>
      <c r="Y245" s="23">
        <f>IF(OR(Y$1="",$BM245=0),"",SUMIFS(Entries!$E$2:$E$5000,Entries!$C$2:$C$5000,"Actual",Entries!$A$2:$A$5000,"&gt;="&amp;$A245,Entries!$A$2:$A$5000,"&lt;"&amp;EDATE($A245,1),Entries!$B$2:$B$5000,Y$1))</f>
        <v/>
      </c>
      <c r="Z245" s="23">
        <f>IF(OR(Z$1="",$BM245=0),"",SUMIFS(Entries!$E$2:$E$5000,Entries!$C$2:$C$5000,"Actual",Entries!$A$2:$A$5000,"&gt;="&amp;$A245,Entries!$A$2:$A$5000,"&lt;"&amp;EDATE($A245,1),Entries!$B$2:$B$5000,Z$1))</f>
        <v/>
      </c>
      <c r="AA245" s="23">
        <f>IF(OR(AA$1="",$BM245=0),"",SUMIFS(Entries!$E$2:$E$5000,Entries!$C$2:$C$5000,"Actual",Entries!$A$2:$A$5000,"&gt;="&amp;$A245,Entries!$A$2:$A$5000,"&lt;"&amp;EDATE($A245,1),Entries!$B$2:$B$5000,AA$1))</f>
        <v/>
      </c>
      <c r="AB245" s="23">
        <f>IF(OR(AB$1="",$BM245=0),"",SUMIFS(Entries!$E$2:$E$5000,Entries!$C$2:$C$5000,"Actual",Entries!$A$2:$A$5000,"&gt;="&amp;$A245,Entries!$A$2:$A$5000,"&lt;"&amp;EDATE($A245,1),Entries!$B$2:$B$5000,AB$1))</f>
        <v/>
      </c>
      <c r="AC245" s="23">
        <f>IF(OR(AC$1="",$BM245=0),"",SUMIFS(Entries!$E$2:$E$5000,Entries!$C$2:$C$5000,"Actual",Entries!$A$2:$A$5000,"&gt;="&amp;$A245,Entries!$A$2:$A$5000,"&lt;"&amp;EDATE($A245,1),Entries!$B$2:$B$5000,AC$1))</f>
        <v/>
      </c>
      <c r="AD245" s="23">
        <f>IF(OR(AD$1="",$BM245=0),"",SUMIFS(Entries!$E$2:$E$5000,Entries!$C$2:$C$5000,"Actual",Entries!$A$2:$A$5000,"&gt;="&amp;$A245,Entries!$A$2:$A$5000,"&lt;"&amp;EDATE($A245,1),Entries!$B$2:$B$5000,AD$1))</f>
        <v/>
      </c>
      <c r="AE245" s="23">
        <f>IF(OR(AE$1="",$BM245=0),"",SUMIFS(Entries!$E$2:$E$5000,Entries!$C$2:$C$5000,"Actual",Entries!$A$2:$A$5000,"&gt;="&amp;$A245,Entries!$A$2:$A$5000,"&lt;"&amp;EDATE($A245,1),Entries!$B$2:$B$5000,AE$1))</f>
        <v/>
      </c>
      <c r="AF245" s="23">
        <f>IF(OR(AF$1="",$BM245=0),"",SUMIFS(Entries!$E$2:$E$5000,Entries!$C$2:$C$5000,"Actual",Entries!$A$2:$A$5000,"&gt;="&amp;$A245,Entries!$A$2:$A$5000,"&lt;"&amp;EDATE($A245,1),Entries!$B$2:$B$5000,AF$1))</f>
        <v/>
      </c>
      <c r="AG245" s="23">
        <f>IF(OR(AG$1="",$BM245=0),"",SUMIFS(Entries!$E$2:$E$5000,Entries!$C$2:$C$5000,"Actual",Entries!$A$2:$A$5000,"&gt;="&amp;$A245,Entries!$A$2:$A$5000,"&lt;"&amp;EDATE($A245,1),Entries!$B$2:$B$5000,AG$1))</f>
        <v/>
      </c>
      <c r="AH245" s="23">
        <f>IF(OR(AH$1="",$BM245=0),"",SUMIFS(Entries!$E$2:$E$5000,Entries!$C$2:$C$5000,"Actual",Entries!$A$2:$A$5000,"&gt;="&amp;$A245,Entries!$A$2:$A$5000,"&lt;"&amp;EDATE($A245,1),Entries!$B$2:$B$5000,AH$1))</f>
        <v/>
      </c>
      <c r="AI245" s="23">
        <f>IF(OR(AI$1="",$BM245=0),"",SUMIFS(Entries!$E$2:$E$5000,Entries!$C$2:$C$5000,"Actual",Entries!$A$2:$A$5000,"&gt;="&amp;$A245,Entries!$A$2:$A$5000,"&lt;"&amp;EDATE($A245,1),Entries!$B$2:$B$5000,AI$1))</f>
        <v/>
      </c>
      <c r="AJ245" s="23">
        <f>IF(OR(AJ$1="",$BM245=0),"",SUMIFS(Entries!$E$2:$E$5000,Entries!$C$2:$C$5000,"Actual",Entries!$A$2:$A$5000,"&gt;="&amp;$A245,Entries!$A$2:$A$5000,"&lt;"&amp;EDATE($A245,1),Entries!$B$2:$B$5000,AJ$1))</f>
        <v/>
      </c>
      <c r="AK245" s="23">
        <f>IF(OR(AK$1="",$BM245=0),"",SUMIFS(Entries!$E$2:$E$5000,Entries!$C$2:$C$5000,"Actual",Entries!$A$2:$A$5000,"&gt;="&amp;$A245,Entries!$A$2:$A$5000,"&lt;"&amp;EDATE($A245,1),Entries!$B$2:$B$5000,AK$1))</f>
        <v/>
      </c>
      <c r="AL245" s="23">
        <f>IF(OR(AL$1="",$BM245=0),"",SUMIFS(Entries!$E$2:$E$5000,Entries!$C$2:$C$5000,"Actual",Entries!$A$2:$A$5000,"&gt;="&amp;$A245,Entries!$A$2:$A$5000,"&lt;"&amp;EDATE($A245,1),Entries!$B$2:$B$5000,AL$1))</f>
        <v/>
      </c>
      <c r="AM245" s="23">
        <f>IF(OR(AM$1="",$BM245=0),"",SUMIFS(Entries!$E$2:$E$5000,Entries!$C$2:$C$5000,"Actual",Entries!$A$2:$A$5000,"&gt;="&amp;$A245,Entries!$A$2:$A$5000,"&lt;"&amp;EDATE($A245,1),Entries!$B$2:$B$5000,AM$1))</f>
        <v/>
      </c>
      <c r="AN245" s="23">
        <f>IF(OR(AN$1="",$BM245=0),"",SUMIFS(Entries!$E$2:$E$5000,Entries!$C$2:$C$5000,"Actual",Entries!$A$2:$A$5000,"&gt;="&amp;$A245,Entries!$A$2:$A$5000,"&lt;"&amp;EDATE($A245,1),Entries!$B$2:$B$5000,AN$1))</f>
        <v/>
      </c>
      <c r="AO245" s="23">
        <f>IF(OR(AO$1="",$BM245=0),"",SUMIFS(Entries!$E$2:$E$5000,Entries!$C$2:$C$5000,"Actual",Entries!$A$2:$A$5000,"&gt;="&amp;$A245,Entries!$A$2:$A$5000,"&lt;"&amp;EDATE($A245,1),Entries!$B$2:$B$5000,AO$1))</f>
        <v/>
      </c>
      <c r="AP245" s="23">
        <f>IF(OR(AP$1="",$BM245=0),"",SUMIFS(Entries!$E$2:$E$5000,Entries!$C$2:$C$5000,"Actual",Entries!$A$2:$A$5000,"&gt;="&amp;$A245,Entries!$A$2:$A$5000,"&lt;"&amp;EDATE($A245,1),Entries!$B$2:$B$5000,AP$1))</f>
        <v/>
      </c>
      <c r="AR245" s="23">
        <f>IF(OR(AR$1="",$BM245=0),"",IFERROR(LOOKUP(2,1/((Budgets!$A$2:$A$200=AR$1)*(Budgets!$B$2:$B$200&lt;EDATE($A245,1))),Budgets!$C$2:$C$200),0))</f>
        <v/>
      </c>
      <c r="AS245" s="23">
        <f>IF(OR(AS$1="",$BM245=0),"",IFERROR(LOOKUP(2,1/((Budgets!$A$2:$A$200=AS$1)*(Budgets!$B$2:$B$200&lt;EDATE($A245,1))),Budgets!$C$2:$C$200),0))</f>
        <v/>
      </c>
      <c r="AT245" s="23">
        <f>IF(OR(AT$1="",$BM245=0),"",IFERROR(LOOKUP(2,1/((Budgets!$A$2:$A$200=AT$1)*(Budgets!$B$2:$B$200&lt;EDATE($A245,1))),Budgets!$C$2:$C$200),0))</f>
        <v/>
      </c>
      <c r="AU245" s="23">
        <f>IF(OR(AU$1="",$BM245=0),"",IFERROR(LOOKUP(2,1/((Budgets!$A$2:$A$200=AU$1)*(Budgets!$B$2:$B$200&lt;EDATE($A245,1))),Budgets!$C$2:$C$200),0))</f>
        <v/>
      </c>
      <c r="AV245" s="23">
        <f>IF(OR(AV$1="",$BM245=0),"",IFERROR(LOOKUP(2,1/((Budgets!$A$2:$A$200=AV$1)*(Budgets!$B$2:$B$200&lt;EDATE($A245,1))),Budgets!$C$2:$C$200),0))</f>
        <v/>
      </c>
      <c r="AW245" s="23">
        <f>IF(OR(AW$1="",$BM245=0),"",IFERROR(LOOKUP(2,1/((Budgets!$A$2:$A$200=AW$1)*(Budgets!$B$2:$B$200&lt;EDATE($A245,1))),Budgets!$C$2:$C$200),0))</f>
        <v/>
      </c>
      <c r="AX245" s="23">
        <f>IF(OR(AX$1="",$BM245=0),"",IFERROR(LOOKUP(2,1/((Budgets!$A$2:$A$200=AX$1)*(Budgets!$B$2:$B$200&lt;EDATE($A245,1))),Budgets!$C$2:$C$200),0))</f>
        <v/>
      </c>
      <c r="AY245" s="23">
        <f>IF(OR(AY$1="",$BM245=0),"",IFERROR(LOOKUP(2,1/((Budgets!$A$2:$A$200=AY$1)*(Budgets!$B$2:$B$200&lt;EDATE($A245,1))),Budgets!$C$2:$C$200),0))</f>
        <v/>
      </c>
      <c r="AZ245" s="23">
        <f>IF(OR(AZ$1="",$BM245=0),"",IFERROR(LOOKUP(2,1/((Budgets!$A$2:$A$200=AZ$1)*(Budgets!$B$2:$B$200&lt;EDATE($A245,1))),Budgets!$C$2:$C$200),0))</f>
        <v/>
      </c>
      <c r="BA245" s="23">
        <f>IF(OR(BA$1="",$BM245=0),"",IFERROR(LOOKUP(2,1/((Budgets!$A$2:$A$200=BA$1)*(Budgets!$B$2:$B$200&lt;EDATE($A245,1))),Budgets!$C$2:$C$200),0))</f>
        <v/>
      </c>
      <c r="BB245" s="23">
        <f>IF(OR(BB$1="",$BM245=0),"",IFERROR(LOOKUP(2,1/((Budgets!$A$2:$A$200=BB$1)*(Budgets!$B$2:$B$200&lt;EDATE($A245,1))),Budgets!$C$2:$C$200),0))</f>
        <v/>
      </c>
      <c r="BC245" s="23">
        <f>IF(OR(BC$1="",$BM245=0),"",IFERROR(LOOKUP(2,1/((Budgets!$A$2:$A$200=BC$1)*(Budgets!$B$2:$B$200&lt;EDATE($A245,1))),Budgets!$C$2:$C$200),0))</f>
        <v/>
      </c>
      <c r="BD245" s="23">
        <f>IF(OR(BD$1="",$BM245=0),"",IFERROR(LOOKUP(2,1/((Budgets!$A$2:$A$200=BD$1)*(Budgets!$B$2:$B$200&lt;EDATE($A245,1))),Budgets!$C$2:$C$200),0))</f>
        <v/>
      </c>
      <c r="BE245" s="23">
        <f>IF(OR(BE$1="",$BM245=0),"",IFERROR(LOOKUP(2,1/((Budgets!$A$2:$A$200=BE$1)*(Budgets!$B$2:$B$200&lt;EDATE($A245,1))),Budgets!$C$2:$C$200),0))</f>
        <v/>
      </c>
      <c r="BF245" s="23">
        <f>IF(OR(BF$1="",$BM245=0),"",IFERROR(LOOKUP(2,1/((Budgets!$A$2:$A$200=BF$1)*(Budgets!$B$2:$B$200&lt;EDATE($A245,1))),Budgets!$C$2:$C$200),0))</f>
        <v/>
      </c>
      <c r="BG245" s="23">
        <f>IF(OR(BG$1="",$BM245=0),"",IFERROR(LOOKUP(2,1/((Budgets!$A$2:$A$200=BG$1)*(Budgets!$B$2:$B$200&lt;EDATE($A245,1))),Budgets!$C$2:$C$200),0))</f>
        <v/>
      </c>
      <c r="BH245" s="23">
        <f>IF(OR(BH$1="",$BM245=0),"",IFERROR(LOOKUP(2,1/((Budgets!$A$2:$A$200=BH$1)*(Budgets!$B$2:$B$200&lt;EDATE($A245,1))),Budgets!$C$2:$C$200),0))</f>
        <v/>
      </c>
      <c r="BI245" s="23">
        <f>IF(OR(BI$1="",$BM245=0),"",IFERROR(LOOKUP(2,1/((Budgets!$A$2:$A$200=BI$1)*(Budgets!$B$2:$B$200&lt;EDATE($A245,1))),Budgets!$C$2:$C$200),0))</f>
        <v/>
      </c>
      <c r="BJ245" s="23">
        <f>IF(OR(BJ$1="",$BM245=0),"",IFERROR(LOOKUP(2,1/((Budgets!$A$2:$A$200=BJ$1)*(Budgets!$B$2:$B$200&lt;EDATE($A245,1))),Budgets!$C$2:$C$200),0))</f>
        <v/>
      </c>
      <c r="BK245" s="23">
        <f>IF(OR(BK$1="",$BM245=0),"",IFERROR(LOOKUP(2,1/((Budgets!$A$2:$A$200=BK$1)*(Budgets!$B$2:$B$200&lt;EDATE($A245,1))),Budgets!$C$2:$C$200),0))</f>
        <v/>
      </c>
      <c r="BM245" s="21">
        <f>COUNTIFS(Entries!$A$2:$A$5000,"&gt;="&amp;$A245,Entries!$A$2:$A$5000,"&lt;"&amp;EDATE($A245,1))</f>
        <v/>
      </c>
    </row>
    <row r="246">
      <c r="A246" s="22" t="n">
        <v>46874</v>
      </c>
      <c r="B246" s="23">
        <f>IF($BM246=0,NA(),SUMIFS(Entries!$E$2:$E$5000,Entries!$C$2:$C$5000,"Income",Entries!$A$2:$A$5000,"&gt;="&amp;$A246,Entries!$A$2:$A$5000,"&lt;"&amp;EDATE($A246,1)))</f>
        <v/>
      </c>
      <c r="C246" s="23">
        <f>IF($BM246=0,"",SUMIFS(Entries!$E$2:$E$5000,Entries!$C$2:$C$5000,"Actual",Entries!$A$2:$A$5000,"&gt;="&amp;$A246,Entries!$A$2:$A$5000,"&lt;"&amp;EDATE($A246,1)))</f>
        <v/>
      </c>
      <c r="D246" s="23">
        <f>IF($BM246=0,"",SUMIFS(Entries!$E$2:$E$5000,Entries!$C$2:$C$5000,"One-off",Entries!$A$2:$A$5000,"&gt;="&amp;$A246,Entries!$A$2:$A$5000,"&lt;"&amp;EDATE($A246,1)))</f>
        <v/>
      </c>
      <c r="E246" s="23">
        <f>IF($BM246=0,NA(),C246+D246)</f>
        <v/>
      </c>
      <c r="F246" s="23">
        <f>IF($BM246=0,"",SUM(AR246:BK246))</f>
        <v/>
      </c>
      <c r="G246" s="23">
        <f>IF($BM246=0,"",B246-E246)</f>
        <v/>
      </c>
      <c r="H246" s="23">
        <f>IF($BM246=0,"",SUM($G$2:G246))</f>
        <v/>
      </c>
      <c r="I246" s="23">
        <f>IF($BM246=0,"",SUMIFS(Entries!$G$2:$G$5000,Entries!$A$2:$A$5000,"&gt;="&amp;$A246,Entries!$A$2:$A$5000,"&lt;"&amp;EDATE($A246,1)))</f>
        <v/>
      </c>
      <c r="J246" s="23">
        <f>IF($BM246=0,NA(),H246)</f>
        <v/>
      </c>
      <c r="K246" s="23">
        <f>IF($BM246=0,"",SUMIFS(Entries!$E$2:$E$5000,Entries!$C$2:$C$5000,"Income",Entries!$A$2:$A$5000,"&gt;="&amp;EDATE($A246,-11),Entries!$A$2:$A$5000,"&lt;"&amp;EDATE($A246,1))/COUNTIFS($A$2:$A$400,"&gt;="&amp;EDATE($A246,-11),$A$2:$A$400,"&lt;"&amp;EDATE($A246,1),$BM$2:$BM$400,"&gt;0"))</f>
      </c>
      <c r="L246" s="23">
        <f>IF($BM246=0,"",(SUMIFS(Entries!$E$2:$E$5000,Entries!$C$2:$C$5000,"Actual",Entries!$A$2:$A$5000,"&gt;="&amp;EDATE($A246,-11),Entries!$A$2:$A$5000,"&lt;"&amp;EDATE($A246,1))+SUMIFS(Entries!$E$2:$E$5000,Entries!$C$2:$C$5000,"One-off",Entries!$A$2:$A$5000,"&gt;="&amp;EDATE($A246,-11),Entries!$A$2:$A$5000,"&lt;"&amp;EDATE($A246,1)))/COUNTIFS($A$2:$A$400,"&gt;="&amp;EDATE($A246,-11),$A$2:$A$400,"&lt;"&amp;EDATE($A246,1),$BM$2:$BM$400,"&gt;0"))</f>
      </c>
      <c r="M246" s="24">
        <f>IF($BM246=0,NA(),IFERROR((K246-L246)/K246,0))</f>
        <v/>
      </c>
      <c r="N246" s="23">
        <f>IF($BM246=0,NA(),SUMIFS(Entries!$E$2:$E$5000,Entries!$D$2:$D$5000,"Core",Entries!$A$2:$A$5000,"&gt;="&amp;$A246,Entries!$A$2:$A$5000,"&lt;"&amp;EDATE($A246,1)))</f>
        <v/>
      </c>
      <c r="O246" s="23">
        <f>IF($BM246=0,NA(),SUMIFS(Entries!$E$2:$E$5000,Entries!$D$2:$D$5000,"Over &amp; above",Entries!$A$2:$A$5000,"&gt;="&amp;$A246,Entries!$A$2:$A$5000,"&lt;"&amp;EDATE($A246,1)))</f>
        <v/>
      </c>
      <c r="P246" s="23">
        <f>IF($BM246=0,NA(),SUMIFS(Entries!$E$2:$E$5000,Entries!$D$2:$D$5000,"One-off",Entries!$A$2:$A$5000,"&gt;="&amp;$A246,Entries!$A$2:$A$5000,"&lt;"&amp;EDATE($A246,1)))</f>
        <v/>
      </c>
      <c r="Q246" s="23">
        <f>IF($BM246=0,NA(),SUMIFS(Entries!$E$2:$E$5000,Entries!$D$2:$D$5000,"Reimbursable",Entries!$A$2:$A$5000,"&gt;="&amp;$A246,Entries!$A$2:$A$5000,"&lt;"&amp;EDATE($A246,1)))</f>
        <v/>
      </c>
      <c r="R246" s="23">
        <f>IF($BM246=0,NA(),SUMIFS(Entries!$E$2:$E$5000,Entries!$D$2:$D$5000,"Investment",Entries!$A$2:$A$5000,"&gt;="&amp;$A246,Entries!$A$2:$A$5000,"&lt;"&amp;EDATE($A246,1)))</f>
        <v/>
      </c>
      <c r="S246" s="23">
        <f>IF($BM246=0,NA(),N246+O246)</f>
        <v/>
      </c>
      <c r="T246" s="23">
        <f>IF($BM246=0,"",E246-Q246)</f>
        <v/>
      </c>
      <c r="W246" s="23">
        <f>IF(OR(W$1="",$BM246=0),"",SUMIFS(Entries!$E$2:$E$5000,Entries!$C$2:$C$5000,"Actual",Entries!$A$2:$A$5000,"&gt;="&amp;$A246,Entries!$A$2:$A$5000,"&lt;"&amp;EDATE($A246,1),Entries!$B$2:$B$5000,W$1))</f>
        <v/>
      </c>
      <c r="X246" s="23">
        <f>IF(OR(X$1="",$BM246=0),"",SUMIFS(Entries!$E$2:$E$5000,Entries!$C$2:$C$5000,"Actual",Entries!$A$2:$A$5000,"&gt;="&amp;$A246,Entries!$A$2:$A$5000,"&lt;"&amp;EDATE($A246,1),Entries!$B$2:$B$5000,X$1))</f>
        <v/>
      </c>
      <c r="Y246" s="23">
        <f>IF(OR(Y$1="",$BM246=0),"",SUMIFS(Entries!$E$2:$E$5000,Entries!$C$2:$C$5000,"Actual",Entries!$A$2:$A$5000,"&gt;="&amp;$A246,Entries!$A$2:$A$5000,"&lt;"&amp;EDATE($A246,1),Entries!$B$2:$B$5000,Y$1))</f>
        <v/>
      </c>
      <c r="Z246" s="23">
        <f>IF(OR(Z$1="",$BM246=0),"",SUMIFS(Entries!$E$2:$E$5000,Entries!$C$2:$C$5000,"Actual",Entries!$A$2:$A$5000,"&gt;="&amp;$A246,Entries!$A$2:$A$5000,"&lt;"&amp;EDATE($A246,1),Entries!$B$2:$B$5000,Z$1))</f>
        <v/>
      </c>
      <c r="AA246" s="23">
        <f>IF(OR(AA$1="",$BM246=0),"",SUMIFS(Entries!$E$2:$E$5000,Entries!$C$2:$C$5000,"Actual",Entries!$A$2:$A$5000,"&gt;="&amp;$A246,Entries!$A$2:$A$5000,"&lt;"&amp;EDATE($A246,1),Entries!$B$2:$B$5000,AA$1))</f>
        <v/>
      </c>
      <c r="AB246" s="23">
        <f>IF(OR(AB$1="",$BM246=0),"",SUMIFS(Entries!$E$2:$E$5000,Entries!$C$2:$C$5000,"Actual",Entries!$A$2:$A$5000,"&gt;="&amp;$A246,Entries!$A$2:$A$5000,"&lt;"&amp;EDATE($A246,1),Entries!$B$2:$B$5000,AB$1))</f>
        <v/>
      </c>
      <c r="AC246" s="23">
        <f>IF(OR(AC$1="",$BM246=0),"",SUMIFS(Entries!$E$2:$E$5000,Entries!$C$2:$C$5000,"Actual",Entries!$A$2:$A$5000,"&gt;="&amp;$A246,Entries!$A$2:$A$5000,"&lt;"&amp;EDATE($A246,1),Entries!$B$2:$B$5000,AC$1))</f>
        <v/>
      </c>
      <c r="AD246" s="23">
        <f>IF(OR(AD$1="",$BM246=0),"",SUMIFS(Entries!$E$2:$E$5000,Entries!$C$2:$C$5000,"Actual",Entries!$A$2:$A$5000,"&gt;="&amp;$A246,Entries!$A$2:$A$5000,"&lt;"&amp;EDATE($A246,1),Entries!$B$2:$B$5000,AD$1))</f>
        <v/>
      </c>
      <c r="AE246" s="23">
        <f>IF(OR(AE$1="",$BM246=0),"",SUMIFS(Entries!$E$2:$E$5000,Entries!$C$2:$C$5000,"Actual",Entries!$A$2:$A$5000,"&gt;="&amp;$A246,Entries!$A$2:$A$5000,"&lt;"&amp;EDATE($A246,1),Entries!$B$2:$B$5000,AE$1))</f>
        <v/>
      </c>
      <c r="AF246" s="23">
        <f>IF(OR(AF$1="",$BM246=0),"",SUMIFS(Entries!$E$2:$E$5000,Entries!$C$2:$C$5000,"Actual",Entries!$A$2:$A$5000,"&gt;="&amp;$A246,Entries!$A$2:$A$5000,"&lt;"&amp;EDATE($A246,1),Entries!$B$2:$B$5000,AF$1))</f>
        <v/>
      </c>
      <c r="AG246" s="23">
        <f>IF(OR(AG$1="",$BM246=0),"",SUMIFS(Entries!$E$2:$E$5000,Entries!$C$2:$C$5000,"Actual",Entries!$A$2:$A$5000,"&gt;="&amp;$A246,Entries!$A$2:$A$5000,"&lt;"&amp;EDATE($A246,1),Entries!$B$2:$B$5000,AG$1))</f>
        <v/>
      </c>
      <c r="AH246" s="23">
        <f>IF(OR(AH$1="",$BM246=0),"",SUMIFS(Entries!$E$2:$E$5000,Entries!$C$2:$C$5000,"Actual",Entries!$A$2:$A$5000,"&gt;="&amp;$A246,Entries!$A$2:$A$5000,"&lt;"&amp;EDATE($A246,1),Entries!$B$2:$B$5000,AH$1))</f>
        <v/>
      </c>
      <c r="AI246" s="23">
        <f>IF(OR(AI$1="",$BM246=0),"",SUMIFS(Entries!$E$2:$E$5000,Entries!$C$2:$C$5000,"Actual",Entries!$A$2:$A$5000,"&gt;="&amp;$A246,Entries!$A$2:$A$5000,"&lt;"&amp;EDATE($A246,1),Entries!$B$2:$B$5000,AI$1))</f>
        <v/>
      </c>
      <c r="AJ246" s="23">
        <f>IF(OR(AJ$1="",$BM246=0),"",SUMIFS(Entries!$E$2:$E$5000,Entries!$C$2:$C$5000,"Actual",Entries!$A$2:$A$5000,"&gt;="&amp;$A246,Entries!$A$2:$A$5000,"&lt;"&amp;EDATE($A246,1),Entries!$B$2:$B$5000,AJ$1))</f>
        <v/>
      </c>
      <c r="AK246" s="23">
        <f>IF(OR(AK$1="",$BM246=0),"",SUMIFS(Entries!$E$2:$E$5000,Entries!$C$2:$C$5000,"Actual",Entries!$A$2:$A$5000,"&gt;="&amp;$A246,Entries!$A$2:$A$5000,"&lt;"&amp;EDATE($A246,1),Entries!$B$2:$B$5000,AK$1))</f>
        <v/>
      </c>
      <c r="AL246" s="23">
        <f>IF(OR(AL$1="",$BM246=0),"",SUMIFS(Entries!$E$2:$E$5000,Entries!$C$2:$C$5000,"Actual",Entries!$A$2:$A$5000,"&gt;="&amp;$A246,Entries!$A$2:$A$5000,"&lt;"&amp;EDATE($A246,1),Entries!$B$2:$B$5000,AL$1))</f>
        <v/>
      </c>
      <c r="AM246" s="23">
        <f>IF(OR(AM$1="",$BM246=0),"",SUMIFS(Entries!$E$2:$E$5000,Entries!$C$2:$C$5000,"Actual",Entries!$A$2:$A$5000,"&gt;="&amp;$A246,Entries!$A$2:$A$5000,"&lt;"&amp;EDATE($A246,1),Entries!$B$2:$B$5000,AM$1))</f>
        <v/>
      </c>
      <c r="AN246" s="23">
        <f>IF(OR(AN$1="",$BM246=0),"",SUMIFS(Entries!$E$2:$E$5000,Entries!$C$2:$C$5000,"Actual",Entries!$A$2:$A$5000,"&gt;="&amp;$A246,Entries!$A$2:$A$5000,"&lt;"&amp;EDATE($A246,1),Entries!$B$2:$B$5000,AN$1))</f>
        <v/>
      </c>
      <c r="AO246" s="23">
        <f>IF(OR(AO$1="",$BM246=0),"",SUMIFS(Entries!$E$2:$E$5000,Entries!$C$2:$C$5000,"Actual",Entries!$A$2:$A$5000,"&gt;="&amp;$A246,Entries!$A$2:$A$5000,"&lt;"&amp;EDATE($A246,1),Entries!$B$2:$B$5000,AO$1))</f>
        <v/>
      </c>
      <c r="AP246" s="23">
        <f>IF(OR(AP$1="",$BM246=0),"",SUMIFS(Entries!$E$2:$E$5000,Entries!$C$2:$C$5000,"Actual",Entries!$A$2:$A$5000,"&gt;="&amp;$A246,Entries!$A$2:$A$5000,"&lt;"&amp;EDATE($A246,1),Entries!$B$2:$B$5000,AP$1))</f>
        <v/>
      </c>
      <c r="AR246" s="23">
        <f>IF(OR(AR$1="",$BM246=0),"",IFERROR(LOOKUP(2,1/((Budgets!$A$2:$A$200=AR$1)*(Budgets!$B$2:$B$200&lt;EDATE($A246,1))),Budgets!$C$2:$C$200),0))</f>
        <v/>
      </c>
      <c r="AS246" s="23">
        <f>IF(OR(AS$1="",$BM246=0),"",IFERROR(LOOKUP(2,1/((Budgets!$A$2:$A$200=AS$1)*(Budgets!$B$2:$B$200&lt;EDATE($A246,1))),Budgets!$C$2:$C$200),0))</f>
        <v/>
      </c>
      <c r="AT246" s="23">
        <f>IF(OR(AT$1="",$BM246=0),"",IFERROR(LOOKUP(2,1/((Budgets!$A$2:$A$200=AT$1)*(Budgets!$B$2:$B$200&lt;EDATE($A246,1))),Budgets!$C$2:$C$200),0))</f>
        <v/>
      </c>
      <c r="AU246" s="23">
        <f>IF(OR(AU$1="",$BM246=0),"",IFERROR(LOOKUP(2,1/((Budgets!$A$2:$A$200=AU$1)*(Budgets!$B$2:$B$200&lt;EDATE($A246,1))),Budgets!$C$2:$C$200),0))</f>
        <v/>
      </c>
      <c r="AV246" s="23">
        <f>IF(OR(AV$1="",$BM246=0),"",IFERROR(LOOKUP(2,1/((Budgets!$A$2:$A$200=AV$1)*(Budgets!$B$2:$B$200&lt;EDATE($A246,1))),Budgets!$C$2:$C$200),0))</f>
        <v/>
      </c>
      <c r="AW246" s="23">
        <f>IF(OR(AW$1="",$BM246=0),"",IFERROR(LOOKUP(2,1/((Budgets!$A$2:$A$200=AW$1)*(Budgets!$B$2:$B$200&lt;EDATE($A246,1))),Budgets!$C$2:$C$200),0))</f>
        <v/>
      </c>
      <c r="AX246" s="23">
        <f>IF(OR(AX$1="",$BM246=0),"",IFERROR(LOOKUP(2,1/((Budgets!$A$2:$A$200=AX$1)*(Budgets!$B$2:$B$200&lt;EDATE($A246,1))),Budgets!$C$2:$C$200),0))</f>
        <v/>
      </c>
      <c r="AY246" s="23">
        <f>IF(OR(AY$1="",$BM246=0),"",IFERROR(LOOKUP(2,1/((Budgets!$A$2:$A$200=AY$1)*(Budgets!$B$2:$B$200&lt;EDATE($A246,1))),Budgets!$C$2:$C$200),0))</f>
        <v/>
      </c>
      <c r="AZ246" s="23">
        <f>IF(OR(AZ$1="",$BM246=0),"",IFERROR(LOOKUP(2,1/((Budgets!$A$2:$A$200=AZ$1)*(Budgets!$B$2:$B$200&lt;EDATE($A246,1))),Budgets!$C$2:$C$200),0))</f>
        <v/>
      </c>
      <c r="BA246" s="23">
        <f>IF(OR(BA$1="",$BM246=0),"",IFERROR(LOOKUP(2,1/((Budgets!$A$2:$A$200=BA$1)*(Budgets!$B$2:$B$200&lt;EDATE($A246,1))),Budgets!$C$2:$C$200),0))</f>
        <v/>
      </c>
      <c r="BB246" s="23">
        <f>IF(OR(BB$1="",$BM246=0),"",IFERROR(LOOKUP(2,1/((Budgets!$A$2:$A$200=BB$1)*(Budgets!$B$2:$B$200&lt;EDATE($A246,1))),Budgets!$C$2:$C$200),0))</f>
        <v/>
      </c>
      <c r="BC246" s="23">
        <f>IF(OR(BC$1="",$BM246=0),"",IFERROR(LOOKUP(2,1/((Budgets!$A$2:$A$200=BC$1)*(Budgets!$B$2:$B$200&lt;EDATE($A246,1))),Budgets!$C$2:$C$200),0))</f>
        <v/>
      </c>
      <c r="BD246" s="23">
        <f>IF(OR(BD$1="",$BM246=0),"",IFERROR(LOOKUP(2,1/((Budgets!$A$2:$A$200=BD$1)*(Budgets!$B$2:$B$200&lt;EDATE($A246,1))),Budgets!$C$2:$C$200),0))</f>
        <v/>
      </c>
      <c r="BE246" s="23">
        <f>IF(OR(BE$1="",$BM246=0),"",IFERROR(LOOKUP(2,1/((Budgets!$A$2:$A$200=BE$1)*(Budgets!$B$2:$B$200&lt;EDATE($A246,1))),Budgets!$C$2:$C$200),0))</f>
        <v/>
      </c>
      <c r="BF246" s="23">
        <f>IF(OR(BF$1="",$BM246=0),"",IFERROR(LOOKUP(2,1/((Budgets!$A$2:$A$200=BF$1)*(Budgets!$B$2:$B$200&lt;EDATE($A246,1))),Budgets!$C$2:$C$200),0))</f>
        <v/>
      </c>
      <c r="BG246" s="23">
        <f>IF(OR(BG$1="",$BM246=0),"",IFERROR(LOOKUP(2,1/((Budgets!$A$2:$A$200=BG$1)*(Budgets!$B$2:$B$200&lt;EDATE($A246,1))),Budgets!$C$2:$C$200),0))</f>
        <v/>
      </c>
      <c r="BH246" s="23">
        <f>IF(OR(BH$1="",$BM246=0),"",IFERROR(LOOKUP(2,1/((Budgets!$A$2:$A$200=BH$1)*(Budgets!$B$2:$B$200&lt;EDATE($A246,1))),Budgets!$C$2:$C$200),0))</f>
        <v/>
      </c>
      <c r="BI246" s="23">
        <f>IF(OR(BI$1="",$BM246=0),"",IFERROR(LOOKUP(2,1/((Budgets!$A$2:$A$200=BI$1)*(Budgets!$B$2:$B$200&lt;EDATE($A246,1))),Budgets!$C$2:$C$200),0))</f>
        <v/>
      </c>
      <c r="BJ246" s="23">
        <f>IF(OR(BJ$1="",$BM246=0),"",IFERROR(LOOKUP(2,1/((Budgets!$A$2:$A$200=BJ$1)*(Budgets!$B$2:$B$200&lt;EDATE($A246,1))),Budgets!$C$2:$C$200),0))</f>
        <v/>
      </c>
      <c r="BK246" s="23">
        <f>IF(OR(BK$1="",$BM246=0),"",IFERROR(LOOKUP(2,1/((Budgets!$A$2:$A$200=BK$1)*(Budgets!$B$2:$B$200&lt;EDATE($A246,1))),Budgets!$C$2:$C$200),0))</f>
        <v/>
      </c>
      <c r="BM246" s="21">
        <f>COUNTIFS(Entries!$A$2:$A$5000,"&gt;="&amp;$A246,Entries!$A$2:$A$5000,"&lt;"&amp;EDATE($A246,1))</f>
        <v/>
      </c>
    </row>
    <row r="247">
      <c r="A247" s="22" t="n">
        <v>46905</v>
      </c>
      <c r="B247" s="23">
        <f>IF($BM247=0,NA(),SUMIFS(Entries!$E$2:$E$5000,Entries!$C$2:$C$5000,"Income",Entries!$A$2:$A$5000,"&gt;="&amp;$A247,Entries!$A$2:$A$5000,"&lt;"&amp;EDATE($A247,1)))</f>
        <v/>
      </c>
      <c r="C247" s="23">
        <f>IF($BM247=0,"",SUMIFS(Entries!$E$2:$E$5000,Entries!$C$2:$C$5000,"Actual",Entries!$A$2:$A$5000,"&gt;="&amp;$A247,Entries!$A$2:$A$5000,"&lt;"&amp;EDATE($A247,1)))</f>
        <v/>
      </c>
      <c r="D247" s="23">
        <f>IF($BM247=0,"",SUMIFS(Entries!$E$2:$E$5000,Entries!$C$2:$C$5000,"One-off",Entries!$A$2:$A$5000,"&gt;="&amp;$A247,Entries!$A$2:$A$5000,"&lt;"&amp;EDATE($A247,1)))</f>
        <v/>
      </c>
      <c r="E247" s="23">
        <f>IF($BM247=0,NA(),C247+D247)</f>
        <v/>
      </c>
      <c r="F247" s="23">
        <f>IF($BM247=0,"",SUM(AR247:BK247))</f>
        <v/>
      </c>
      <c r="G247" s="23">
        <f>IF($BM247=0,"",B247-E247)</f>
        <v/>
      </c>
      <c r="H247" s="23">
        <f>IF($BM247=0,"",SUM($G$2:G247))</f>
        <v/>
      </c>
      <c r="I247" s="23">
        <f>IF($BM247=0,"",SUMIFS(Entries!$G$2:$G$5000,Entries!$A$2:$A$5000,"&gt;="&amp;$A247,Entries!$A$2:$A$5000,"&lt;"&amp;EDATE($A247,1)))</f>
        <v/>
      </c>
      <c r="J247" s="23">
        <f>IF($BM247=0,NA(),H247)</f>
        <v/>
      </c>
      <c r="K247" s="23">
        <f>IF($BM247=0,"",SUMIFS(Entries!$E$2:$E$5000,Entries!$C$2:$C$5000,"Income",Entries!$A$2:$A$5000,"&gt;="&amp;EDATE($A247,-11),Entries!$A$2:$A$5000,"&lt;"&amp;EDATE($A247,1))/COUNTIFS($A$2:$A$400,"&gt;="&amp;EDATE($A247,-11),$A$2:$A$400,"&lt;"&amp;EDATE($A247,1),$BM$2:$BM$400,"&gt;0"))</f>
      </c>
      <c r="L247" s="23">
        <f>IF($BM247=0,"",(SUMIFS(Entries!$E$2:$E$5000,Entries!$C$2:$C$5000,"Actual",Entries!$A$2:$A$5000,"&gt;="&amp;EDATE($A247,-11),Entries!$A$2:$A$5000,"&lt;"&amp;EDATE($A247,1))+SUMIFS(Entries!$E$2:$E$5000,Entries!$C$2:$C$5000,"One-off",Entries!$A$2:$A$5000,"&gt;="&amp;EDATE($A247,-11),Entries!$A$2:$A$5000,"&lt;"&amp;EDATE($A247,1)))/COUNTIFS($A$2:$A$400,"&gt;="&amp;EDATE($A247,-11),$A$2:$A$400,"&lt;"&amp;EDATE($A247,1),$BM$2:$BM$400,"&gt;0"))</f>
      </c>
      <c r="M247" s="24">
        <f>IF($BM247=0,NA(),IFERROR((K247-L247)/K247,0))</f>
        <v/>
      </c>
      <c r="N247" s="23">
        <f>IF($BM247=0,NA(),SUMIFS(Entries!$E$2:$E$5000,Entries!$D$2:$D$5000,"Core",Entries!$A$2:$A$5000,"&gt;="&amp;$A247,Entries!$A$2:$A$5000,"&lt;"&amp;EDATE($A247,1)))</f>
        <v/>
      </c>
      <c r="O247" s="23">
        <f>IF($BM247=0,NA(),SUMIFS(Entries!$E$2:$E$5000,Entries!$D$2:$D$5000,"Over &amp; above",Entries!$A$2:$A$5000,"&gt;="&amp;$A247,Entries!$A$2:$A$5000,"&lt;"&amp;EDATE($A247,1)))</f>
        <v/>
      </c>
      <c r="P247" s="23">
        <f>IF($BM247=0,NA(),SUMIFS(Entries!$E$2:$E$5000,Entries!$D$2:$D$5000,"One-off",Entries!$A$2:$A$5000,"&gt;="&amp;$A247,Entries!$A$2:$A$5000,"&lt;"&amp;EDATE($A247,1)))</f>
        <v/>
      </c>
      <c r="Q247" s="23">
        <f>IF($BM247=0,NA(),SUMIFS(Entries!$E$2:$E$5000,Entries!$D$2:$D$5000,"Reimbursable",Entries!$A$2:$A$5000,"&gt;="&amp;$A247,Entries!$A$2:$A$5000,"&lt;"&amp;EDATE($A247,1)))</f>
        <v/>
      </c>
      <c r="R247" s="23">
        <f>IF($BM247=0,NA(),SUMIFS(Entries!$E$2:$E$5000,Entries!$D$2:$D$5000,"Investment",Entries!$A$2:$A$5000,"&gt;="&amp;$A247,Entries!$A$2:$A$5000,"&lt;"&amp;EDATE($A247,1)))</f>
        <v/>
      </c>
      <c r="S247" s="23">
        <f>IF($BM247=0,NA(),N247+O247)</f>
        <v/>
      </c>
      <c r="T247" s="23">
        <f>IF($BM247=0,"",E247-Q247)</f>
        <v/>
      </c>
      <c r="W247" s="23">
        <f>IF(OR(W$1="",$BM247=0),"",SUMIFS(Entries!$E$2:$E$5000,Entries!$C$2:$C$5000,"Actual",Entries!$A$2:$A$5000,"&gt;="&amp;$A247,Entries!$A$2:$A$5000,"&lt;"&amp;EDATE($A247,1),Entries!$B$2:$B$5000,W$1))</f>
        <v/>
      </c>
      <c r="X247" s="23">
        <f>IF(OR(X$1="",$BM247=0),"",SUMIFS(Entries!$E$2:$E$5000,Entries!$C$2:$C$5000,"Actual",Entries!$A$2:$A$5000,"&gt;="&amp;$A247,Entries!$A$2:$A$5000,"&lt;"&amp;EDATE($A247,1),Entries!$B$2:$B$5000,X$1))</f>
        <v/>
      </c>
      <c r="Y247" s="23">
        <f>IF(OR(Y$1="",$BM247=0),"",SUMIFS(Entries!$E$2:$E$5000,Entries!$C$2:$C$5000,"Actual",Entries!$A$2:$A$5000,"&gt;="&amp;$A247,Entries!$A$2:$A$5000,"&lt;"&amp;EDATE($A247,1),Entries!$B$2:$B$5000,Y$1))</f>
        <v/>
      </c>
      <c r="Z247" s="23">
        <f>IF(OR(Z$1="",$BM247=0),"",SUMIFS(Entries!$E$2:$E$5000,Entries!$C$2:$C$5000,"Actual",Entries!$A$2:$A$5000,"&gt;="&amp;$A247,Entries!$A$2:$A$5000,"&lt;"&amp;EDATE($A247,1),Entries!$B$2:$B$5000,Z$1))</f>
        <v/>
      </c>
      <c r="AA247" s="23">
        <f>IF(OR(AA$1="",$BM247=0),"",SUMIFS(Entries!$E$2:$E$5000,Entries!$C$2:$C$5000,"Actual",Entries!$A$2:$A$5000,"&gt;="&amp;$A247,Entries!$A$2:$A$5000,"&lt;"&amp;EDATE($A247,1),Entries!$B$2:$B$5000,AA$1))</f>
        <v/>
      </c>
      <c r="AB247" s="23">
        <f>IF(OR(AB$1="",$BM247=0),"",SUMIFS(Entries!$E$2:$E$5000,Entries!$C$2:$C$5000,"Actual",Entries!$A$2:$A$5000,"&gt;="&amp;$A247,Entries!$A$2:$A$5000,"&lt;"&amp;EDATE($A247,1),Entries!$B$2:$B$5000,AB$1))</f>
        <v/>
      </c>
      <c r="AC247" s="23">
        <f>IF(OR(AC$1="",$BM247=0),"",SUMIFS(Entries!$E$2:$E$5000,Entries!$C$2:$C$5000,"Actual",Entries!$A$2:$A$5000,"&gt;="&amp;$A247,Entries!$A$2:$A$5000,"&lt;"&amp;EDATE($A247,1),Entries!$B$2:$B$5000,AC$1))</f>
        <v/>
      </c>
      <c r="AD247" s="23">
        <f>IF(OR(AD$1="",$BM247=0),"",SUMIFS(Entries!$E$2:$E$5000,Entries!$C$2:$C$5000,"Actual",Entries!$A$2:$A$5000,"&gt;="&amp;$A247,Entries!$A$2:$A$5000,"&lt;"&amp;EDATE($A247,1),Entries!$B$2:$B$5000,AD$1))</f>
        <v/>
      </c>
      <c r="AE247" s="23">
        <f>IF(OR(AE$1="",$BM247=0),"",SUMIFS(Entries!$E$2:$E$5000,Entries!$C$2:$C$5000,"Actual",Entries!$A$2:$A$5000,"&gt;="&amp;$A247,Entries!$A$2:$A$5000,"&lt;"&amp;EDATE($A247,1),Entries!$B$2:$B$5000,AE$1))</f>
        <v/>
      </c>
      <c r="AF247" s="23">
        <f>IF(OR(AF$1="",$BM247=0),"",SUMIFS(Entries!$E$2:$E$5000,Entries!$C$2:$C$5000,"Actual",Entries!$A$2:$A$5000,"&gt;="&amp;$A247,Entries!$A$2:$A$5000,"&lt;"&amp;EDATE($A247,1),Entries!$B$2:$B$5000,AF$1))</f>
        <v/>
      </c>
      <c r="AG247" s="23">
        <f>IF(OR(AG$1="",$BM247=0),"",SUMIFS(Entries!$E$2:$E$5000,Entries!$C$2:$C$5000,"Actual",Entries!$A$2:$A$5000,"&gt;="&amp;$A247,Entries!$A$2:$A$5000,"&lt;"&amp;EDATE($A247,1),Entries!$B$2:$B$5000,AG$1))</f>
        <v/>
      </c>
      <c r="AH247" s="23">
        <f>IF(OR(AH$1="",$BM247=0),"",SUMIFS(Entries!$E$2:$E$5000,Entries!$C$2:$C$5000,"Actual",Entries!$A$2:$A$5000,"&gt;="&amp;$A247,Entries!$A$2:$A$5000,"&lt;"&amp;EDATE($A247,1),Entries!$B$2:$B$5000,AH$1))</f>
        <v/>
      </c>
      <c r="AI247" s="23">
        <f>IF(OR(AI$1="",$BM247=0),"",SUMIFS(Entries!$E$2:$E$5000,Entries!$C$2:$C$5000,"Actual",Entries!$A$2:$A$5000,"&gt;="&amp;$A247,Entries!$A$2:$A$5000,"&lt;"&amp;EDATE($A247,1),Entries!$B$2:$B$5000,AI$1))</f>
        <v/>
      </c>
      <c r="AJ247" s="23">
        <f>IF(OR(AJ$1="",$BM247=0),"",SUMIFS(Entries!$E$2:$E$5000,Entries!$C$2:$C$5000,"Actual",Entries!$A$2:$A$5000,"&gt;="&amp;$A247,Entries!$A$2:$A$5000,"&lt;"&amp;EDATE($A247,1),Entries!$B$2:$B$5000,AJ$1))</f>
        <v/>
      </c>
      <c r="AK247" s="23">
        <f>IF(OR(AK$1="",$BM247=0),"",SUMIFS(Entries!$E$2:$E$5000,Entries!$C$2:$C$5000,"Actual",Entries!$A$2:$A$5000,"&gt;="&amp;$A247,Entries!$A$2:$A$5000,"&lt;"&amp;EDATE($A247,1),Entries!$B$2:$B$5000,AK$1))</f>
        <v/>
      </c>
      <c r="AL247" s="23">
        <f>IF(OR(AL$1="",$BM247=0),"",SUMIFS(Entries!$E$2:$E$5000,Entries!$C$2:$C$5000,"Actual",Entries!$A$2:$A$5000,"&gt;="&amp;$A247,Entries!$A$2:$A$5000,"&lt;"&amp;EDATE($A247,1),Entries!$B$2:$B$5000,AL$1))</f>
        <v/>
      </c>
      <c r="AM247" s="23">
        <f>IF(OR(AM$1="",$BM247=0),"",SUMIFS(Entries!$E$2:$E$5000,Entries!$C$2:$C$5000,"Actual",Entries!$A$2:$A$5000,"&gt;="&amp;$A247,Entries!$A$2:$A$5000,"&lt;"&amp;EDATE($A247,1),Entries!$B$2:$B$5000,AM$1))</f>
        <v/>
      </c>
      <c r="AN247" s="23">
        <f>IF(OR(AN$1="",$BM247=0),"",SUMIFS(Entries!$E$2:$E$5000,Entries!$C$2:$C$5000,"Actual",Entries!$A$2:$A$5000,"&gt;="&amp;$A247,Entries!$A$2:$A$5000,"&lt;"&amp;EDATE($A247,1),Entries!$B$2:$B$5000,AN$1))</f>
        <v/>
      </c>
      <c r="AO247" s="23">
        <f>IF(OR(AO$1="",$BM247=0),"",SUMIFS(Entries!$E$2:$E$5000,Entries!$C$2:$C$5000,"Actual",Entries!$A$2:$A$5000,"&gt;="&amp;$A247,Entries!$A$2:$A$5000,"&lt;"&amp;EDATE($A247,1),Entries!$B$2:$B$5000,AO$1))</f>
        <v/>
      </c>
      <c r="AP247" s="23">
        <f>IF(OR(AP$1="",$BM247=0),"",SUMIFS(Entries!$E$2:$E$5000,Entries!$C$2:$C$5000,"Actual",Entries!$A$2:$A$5000,"&gt;="&amp;$A247,Entries!$A$2:$A$5000,"&lt;"&amp;EDATE($A247,1),Entries!$B$2:$B$5000,AP$1))</f>
        <v/>
      </c>
      <c r="AR247" s="23">
        <f>IF(OR(AR$1="",$BM247=0),"",IFERROR(LOOKUP(2,1/((Budgets!$A$2:$A$200=AR$1)*(Budgets!$B$2:$B$200&lt;EDATE($A247,1))),Budgets!$C$2:$C$200),0))</f>
        <v/>
      </c>
      <c r="AS247" s="23">
        <f>IF(OR(AS$1="",$BM247=0),"",IFERROR(LOOKUP(2,1/((Budgets!$A$2:$A$200=AS$1)*(Budgets!$B$2:$B$200&lt;EDATE($A247,1))),Budgets!$C$2:$C$200),0))</f>
        <v/>
      </c>
      <c r="AT247" s="23">
        <f>IF(OR(AT$1="",$BM247=0),"",IFERROR(LOOKUP(2,1/((Budgets!$A$2:$A$200=AT$1)*(Budgets!$B$2:$B$200&lt;EDATE($A247,1))),Budgets!$C$2:$C$200),0))</f>
        <v/>
      </c>
      <c r="AU247" s="23">
        <f>IF(OR(AU$1="",$BM247=0),"",IFERROR(LOOKUP(2,1/((Budgets!$A$2:$A$200=AU$1)*(Budgets!$B$2:$B$200&lt;EDATE($A247,1))),Budgets!$C$2:$C$200),0))</f>
        <v/>
      </c>
      <c r="AV247" s="23">
        <f>IF(OR(AV$1="",$BM247=0),"",IFERROR(LOOKUP(2,1/((Budgets!$A$2:$A$200=AV$1)*(Budgets!$B$2:$B$200&lt;EDATE($A247,1))),Budgets!$C$2:$C$200),0))</f>
        <v/>
      </c>
      <c r="AW247" s="23">
        <f>IF(OR(AW$1="",$BM247=0),"",IFERROR(LOOKUP(2,1/((Budgets!$A$2:$A$200=AW$1)*(Budgets!$B$2:$B$200&lt;EDATE($A247,1))),Budgets!$C$2:$C$200),0))</f>
        <v/>
      </c>
      <c r="AX247" s="23">
        <f>IF(OR(AX$1="",$BM247=0),"",IFERROR(LOOKUP(2,1/((Budgets!$A$2:$A$200=AX$1)*(Budgets!$B$2:$B$200&lt;EDATE($A247,1))),Budgets!$C$2:$C$200),0))</f>
        <v/>
      </c>
      <c r="AY247" s="23">
        <f>IF(OR(AY$1="",$BM247=0),"",IFERROR(LOOKUP(2,1/((Budgets!$A$2:$A$200=AY$1)*(Budgets!$B$2:$B$200&lt;EDATE($A247,1))),Budgets!$C$2:$C$200),0))</f>
        <v/>
      </c>
      <c r="AZ247" s="23">
        <f>IF(OR(AZ$1="",$BM247=0),"",IFERROR(LOOKUP(2,1/((Budgets!$A$2:$A$200=AZ$1)*(Budgets!$B$2:$B$200&lt;EDATE($A247,1))),Budgets!$C$2:$C$200),0))</f>
        <v/>
      </c>
      <c r="BA247" s="23">
        <f>IF(OR(BA$1="",$BM247=0),"",IFERROR(LOOKUP(2,1/((Budgets!$A$2:$A$200=BA$1)*(Budgets!$B$2:$B$200&lt;EDATE($A247,1))),Budgets!$C$2:$C$200),0))</f>
        <v/>
      </c>
      <c r="BB247" s="23">
        <f>IF(OR(BB$1="",$BM247=0),"",IFERROR(LOOKUP(2,1/((Budgets!$A$2:$A$200=BB$1)*(Budgets!$B$2:$B$200&lt;EDATE($A247,1))),Budgets!$C$2:$C$200),0))</f>
        <v/>
      </c>
      <c r="BC247" s="23">
        <f>IF(OR(BC$1="",$BM247=0),"",IFERROR(LOOKUP(2,1/((Budgets!$A$2:$A$200=BC$1)*(Budgets!$B$2:$B$200&lt;EDATE($A247,1))),Budgets!$C$2:$C$200),0))</f>
        <v/>
      </c>
      <c r="BD247" s="23">
        <f>IF(OR(BD$1="",$BM247=0),"",IFERROR(LOOKUP(2,1/((Budgets!$A$2:$A$200=BD$1)*(Budgets!$B$2:$B$200&lt;EDATE($A247,1))),Budgets!$C$2:$C$200),0))</f>
        <v/>
      </c>
      <c r="BE247" s="23">
        <f>IF(OR(BE$1="",$BM247=0),"",IFERROR(LOOKUP(2,1/((Budgets!$A$2:$A$200=BE$1)*(Budgets!$B$2:$B$200&lt;EDATE($A247,1))),Budgets!$C$2:$C$200),0))</f>
        <v/>
      </c>
      <c r="BF247" s="23">
        <f>IF(OR(BF$1="",$BM247=0),"",IFERROR(LOOKUP(2,1/((Budgets!$A$2:$A$200=BF$1)*(Budgets!$B$2:$B$200&lt;EDATE($A247,1))),Budgets!$C$2:$C$200),0))</f>
        <v/>
      </c>
      <c r="BG247" s="23">
        <f>IF(OR(BG$1="",$BM247=0),"",IFERROR(LOOKUP(2,1/((Budgets!$A$2:$A$200=BG$1)*(Budgets!$B$2:$B$200&lt;EDATE($A247,1))),Budgets!$C$2:$C$200),0))</f>
        <v/>
      </c>
      <c r="BH247" s="23">
        <f>IF(OR(BH$1="",$BM247=0),"",IFERROR(LOOKUP(2,1/((Budgets!$A$2:$A$200=BH$1)*(Budgets!$B$2:$B$200&lt;EDATE($A247,1))),Budgets!$C$2:$C$200),0))</f>
        <v/>
      </c>
      <c r="BI247" s="23">
        <f>IF(OR(BI$1="",$BM247=0),"",IFERROR(LOOKUP(2,1/((Budgets!$A$2:$A$200=BI$1)*(Budgets!$B$2:$B$200&lt;EDATE($A247,1))),Budgets!$C$2:$C$200),0))</f>
        <v/>
      </c>
      <c r="BJ247" s="23">
        <f>IF(OR(BJ$1="",$BM247=0),"",IFERROR(LOOKUP(2,1/((Budgets!$A$2:$A$200=BJ$1)*(Budgets!$B$2:$B$200&lt;EDATE($A247,1))),Budgets!$C$2:$C$200),0))</f>
        <v/>
      </c>
      <c r="BK247" s="23">
        <f>IF(OR(BK$1="",$BM247=0),"",IFERROR(LOOKUP(2,1/((Budgets!$A$2:$A$200=BK$1)*(Budgets!$B$2:$B$200&lt;EDATE($A247,1))),Budgets!$C$2:$C$200),0))</f>
        <v/>
      </c>
      <c r="BM247" s="21">
        <f>COUNTIFS(Entries!$A$2:$A$5000,"&gt;="&amp;$A247,Entries!$A$2:$A$5000,"&lt;"&amp;EDATE($A247,1))</f>
        <v/>
      </c>
    </row>
    <row r="248">
      <c r="A248" s="22" t="n">
        <v>46935</v>
      </c>
      <c r="B248" s="23">
        <f>IF($BM248=0,NA(),SUMIFS(Entries!$E$2:$E$5000,Entries!$C$2:$C$5000,"Income",Entries!$A$2:$A$5000,"&gt;="&amp;$A248,Entries!$A$2:$A$5000,"&lt;"&amp;EDATE($A248,1)))</f>
        <v/>
      </c>
      <c r="C248" s="23">
        <f>IF($BM248=0,"",SUMIFS(Entries!$E$2:$E$5000,Entries!$C$2:$C$5000,"Actual",Entries!$A$2:$A$5000,"&gt;="&amp;$A248,Entries!$A$2:$A$5000,"&lt;"&amp;EDATE($A248,1)))</f>
        <v/>
      </c>
      <c r="D248" s="23">
        <f>IF($BM248=0,"",SUMIFS(Entries!$E$2:$E$5000,Entries!$C$2:$C$5000,"One-off",Entries!$A$2:$A$5000,"&gt;="&amp;$A248,Entries!$A$2:$A$5000,"&lt;"&amp;EDATE($A248,1)))</f>
        <v/>
      </c>
      <c r="E248" s="23">
        <f>IF($BM248=0,NA(),C248+D248)</f>
        <v/>
      </c>
      <c r="F248" s="23">
        <f>IF($BM248=0,"",SUM(AR248:BK248))</f>
        <v/>
      </c>
      <c r="G248" s="23">
        <f>IF($BM248=0,"",B248-E248)</f>
        <v/>
      </c>
      <c r="H248" s="23">
        <f>IF($BM248=0,"",SUM($G$2:G248))</f>
        <v/>
      </c>
      <c r="I248" s="23">
        <f>IF($BM248=0,"",SUMIFS(Entries!$G$2:$G$5000,Entries!$A$2:$A$5000,"&gt;="&amp;$A248,Entries!$A$2:$A$5000,"&lt;"&amp;EDATE($A248,1)))</f>
        <v/>
      </c>
      <c r="J248" s="23">
        <f>IF($BM248=0,NA(),H248)</f>
        <v/>
      </c>
      <c r="K248" s="23">
        <f>IF($BM248=0,"",SUMIFS(Entries!$E$2:$E$5000,Entries!$C$2:$C$5000,"Income",Entries!$A$2:$A$5000,"&gt;="&amp;EDATE($A248,-11),Entries!$A$2:$A$5000,"&lt;"&amp;EDATE($A248,1))/COUNTIFS($A$2:$A$400,"&gt;="&amp;EDATE($A248,-11),$A$2:$A$400,"&lt;"&amp;EDATE($A248,1),$BM$2:$BM$400,"&gt;0"))</f>
      </c>
      <c r="L248" s="23">
        <f>IF($BM248=0,"",(SUMIFS(Entries!$E$2:$E$5000,Entries!$C$2:$C$5000,"Actual",Entries!$A$2:$A$5000,"&gt;="&amp;EDATE($A248,-11),Entries!$A$2:$A$5000,"&lt;"&amp;EDATE($A248,1))+SUMIFS(Entries!$E$2:$E$5000,Entries!$C$2:$C$5000,"One-off",Entries!$A$2:$A$5000,"&gt;="&amp;EDATE($A248,-11),Entries!$A$2:$A$5000,"&lt;"&amp;EDATE($A248,1)))/COUNTIFS($A$2:$A$400,"&gt;="&amp;EDATE($A248,-11),$A$2:$A$400,"&lt;"&amp;EDATE($A248,1),$BM$2:$BM$400,"&gt;0"))</f>
      </c>
      <c r="M248" s="24">
        <f>IF($BM248=0,NA(),IFERROR((K248-L248)/K248,0))</f>
        <v/>
      </c>
      <c r="N248" s="23">
        <f>IF($BM248=0,NA(),SUMIFS(Entries!$E$2:$E$5000,Entries!$D$2:$D$5000,"Core",Entries!$A$2:$A$5000,"&gt;="&amp;$A248,Entries!$A$2:$A$5000,"&lt;"&amp;EDATE($A248,1)))</f>
        <v/>
      </c>
      <c r="O248" s="23">
        <f>IF($BM248=0,NA(),SUMIFS(Entries!$E$2:$E$5000,Entries!$D$2:$D$5000,"Over &amp; above",Entries!$A$2:$A$5000,"&gt;="&amp;$A248,Entries!$A$2:$A$5000,"&lt;"&amp;EDATE($A248,1)))</f>
        <v/>
      </c>
      <c r="P248" s="23">
        <f>IF($BM248=0,NA(),SUMIFS(Entries!$E$2:$E$5000,Entries!$D$2:$D$5000,"One-off",Entries!$A$2:$A$5000,"&gt;="&amp;$A248,Entries!$A$2:$A$5000,"&lt;"&amp;EDATE($A248,1)))</f>
        <v/>
      </c>
      <c r="Q248" s="23">
        <f>IF($BM248=0,NA(),SUMIFS(Entries!$E$2:$E$5000,Entries!$D$2:$D$5000,"Reimbursable",Entries!$A$2:$A$5000,"&gt;="&amp;$A248,Entries!$A$2:$A$5000,"&lt;"&amp;EDATE($A248,1)))</f>
        <v/>
      </c>
      <c r="R248" s="23">
        <f>IF($BM248=0,NA(),SUMIFS(Entries!$E$2:$E$5000,Entries!$D$2:$D$5000,"Investment",Entries!$A$2:$A$5000,"&gt;="&amp;$A248,Entries!$A$2:$A$5000,"&lt;"&amp;EDATE($A248,1)))</f>
        <v/>
      </c>
      <c r="S248" s="23">
        <f>IF($BM248=0,NA(),N248+O248)</f>
        <v/>
      </c>
      <c r="T248" s="23">
        <f>IF($BM248=0,"",E248-Q248)</f>
        <v/>
      </c>
      <c r="W248" s="23">
        <f>IF(OR(W$1="",$BM248=0),"",SUMIFS(Entries!$E$2:$E$5000,Entries!$C$2:$C$5000,"Actual",Entries!$A$2:$A$5000,"&gt;="&amp;$A248,Entries!$A$2:$A$5000,"&lt;"&amp;EDATE($A248,1),Entries!$B$2:$B$5000,W$1))</f>
        <v/>
      </c>
      <c r="X248" s="23">
        <f>IF(OR(X$1="",$BM248=0),"",SUMIFS(Entries!$E$2:$E$5000,Entries!$C$2:$C$5000,"Actual",Entries!$A$2:$A$5000,"&gt;="&amp;$A248,Entries!$A$2:$A$5000,"&lt;"&amp;EDATE($A248,1),Entries!$B$2:$B$5000,X$1))</f>
        <v/>
      </c>
      <c r="Y248" s="23">
        <f>IF(OR(Y$1="",$BM248=0),"",SUMIFS(Entries!$E$2:$E$5000,Entries!$C$2:$C$5000,"Actual",Entries!$A$2:$A$5000,"&gt;="&amp;$A248,Entries!$A$2:$A$5000,"&lt;"&amp;EDATE($A248,1),Entries!$B$2:$B$5000,Y$1))</f>
        <v/>
      </c>
      <c r="Z248" s="23">
        <f>IF(OR(Z$1="",$BM248=0),"",SUMIFS(Entries!$E$2:$E$5000,Entries!$C$2:$C$5000,"Actual",Entries!$A$2:$A$5000,"&gt;="&amp;$A248,Entries!$A$2:$A$5000,"&lt;"&amp;EDATE($A248,1),Entries!$B$2:$B$5000,Z$1))</f>
        <v/>
      </c>
      <c r="AA248" s="23">
        <f>IF(OR(AA$1="",$BM248=0),"",SUMIFS(Entries!$E$2:$E$5000,Entries!$C$2:$C$5000,"Actual",Entries!$A$2:$A$5000,"&gt;="&amp;$A248,Entries!$A$2:$A$5000,"&lt;"&amp;EDATE($A248,1),Entries!$B$2:$B$5000,AA$1))</f>
        <v/>
      </c>
      <c r="AB248" s="23">
        <f>IF(OR(AB$1="",$BM248=0),"",SUMIFS(Entries!$E$2:$E$5000,Entries!$C$2:$C$5000,"Actual",Entries!$A$2:$A$5000,"&gt;="&amp;$A248,Entries!$A$2:$A$5000,"&lt;"&amp;EDATE($A248,1),Entries!$B$2:$B$5000,AB$1))</f>
        <v/>
      </c>
      <c r="AC248" s="23">
        <f>IF(OR(AC$1="",$BM248=0),"",SUMIFS(Entries!$E$2:$E$5000,Entries!$C$2:$C$5000,"Actual",Entries!$A$2:$A$5000,"&gt;="&amp;$A248,Entries!$A$2:$A$5000,"&lt;"&amp;EDATE($A248,1),Entries!$B$2:$B$5000,AC$1))</f>
        <v/>
      </c>
      <c r="AD248" s="23">
        <f>IF(OR(AD$1="",$BM248=0),"",SUMIFS(Entries!$E$2:$E$5000,Entries!$C$2:$C$5000,"Actual",Entries!$A$2:$A$5000,"&gt;="&amp;$A248,Entries!$A$2:$A$5000,"&lt;"&amp;EDATE($A248,1),Entries!$B$2:$B$5000,AD$1))</f>
        <v/>
      </c>
      <c r="AE248" s="23">
        <f>IF(OR(AE$1="",$BM248=0),"",SUMIFS(Entries!$E$2:$E$5000,Entries!$C$2:$C$5000,"Actual",Entries!$A$2:$A$5000,"&gt;="&amp;$A248,Entries!$A$2:$A$5000,"&lt;"&amp;EDATE($A248,1),Entries!$B$2:$B$5000,AE$1))</f>
        <v/>
      </c>
      <c r="AF248" s="23">
        <f>IF(OR(AF$1="",$BM248=0),"",SUMIFS(Entries!$E$2:$E$5000,Entries!$C$2:$C$5000,"Actual",Entries!$A$2:$A$5000,"&gt;="&amp;$A248,Entries!$A$2:$A$5000,"&lt;"&amp;EDATE($A248,1),Entries!$B$2:$B$5000,AF$1))</f>
        <v/>
      </c>
      <c r="AG248" s="23">
        <f>IF(OR(AG$1="",$BM248=0),"",SUMIFS(Entries!$E$2:$E$5000,Entries!$C$2:$C$5000,"Actual",Entries!$A$2:$A$5000,"&gt;="&amp;$A248,Entries!$A$2:$A$5000,"&lt;"&amp;EDATE($A248,1),Entries!$B$2:$B$5000,AG$1))</f>
        <v/>
      </c>
      <c r="AH248" s="23">
        <f>IF(OR(AH$1="",$BM248=0),"",SUMIFS(Entries!$E$2:$E$5000,Entries!$C$2:$C$5000,"Actual",Entries!$A$2:$A$5000,"&gt;="&amp;$A248,Entries!$A$2:$A$5000,"&lt;"&amp;EDATE($A248,1),Entries!$B$2:$B$5000,AH$1))</f>
        <v/>
      </c>
      <c r="AI248" s="23">
        <f>IF(OR(AI$1="",$BM248=0),"",SUMIFS(Entries!$E$2:$E$5000,Entries!$C$2:$C$5000,"Actual",Entries!$A$2:$A$5000,"&gt;="&amp;$A248,Entries!$A$2:$A$5000,"&lt;"&amp;EDATE($A248,1),Entries!$B$2:$B$5000,AI$1))</f>
        <v/>
      </c>
      <c r="AJ248" s="23">
        <f>IF(OR(AJ$1="",$BM248=0),"",SUMIFS(Entries!$E$2:$E$5000,Entries!$C$2:$C$5000,"Actual",Entries!$A$2:$A$5000,"&gt;="&amp;$A248,Entries!$A$2:$A$5000,"&lt;"&amp;EDATE($A248,1),Entries!$B$2:$B$5000,AJ$1))</f>
        <v/>
      </c>
      <c r="AK248" s="23">
        <f>IF(OR(AK$1="",$BM248=0),"",SUMIFS(Entries!$E$2:$E$5000,Entries!$C$2:$C$5000,"Actual",Entries!$A$2:$A$5000,"&gt;="&amp;$A248,Entries!$A$2:$A$5000,"&lt;"&amp;EDATE($A248,1),Entries!$B$2:$B$5000,AK$1))</f>
        <v/>
      </c>
      <c r="AL248" s="23">
        <f>IF(OR(AL$1="",$BM248=0),"",SUMIFS(Entries!$E$2:$E$5000,Entries!$C$2:$C$5000,"Actual",Entries!$A$2:$A$5000,"&gt;="&amp;$A248,Entries!$A$2:$A$5000,"&lt;"&amp;EDATE($A248,1),Entries!$B$2:$B$5000,AL$1))</f>
        <v/>
      </c>
      <c r="AM248" s="23">
        <f>IF(OR(AM$1="",$BM248=0),"",SUMIFS(Entries!$E$2:$E$5000,Entries!$C$2:$C$5000,"Actual",Entries!$A$2:$A$5000,"&gt;="&amp;$A248,Entries!$A$2:$A$5000,"&lt;"&amp;EDATE($A248,1),Entries!$B$2:$B$5000,AM$1))</f>
        <v/>
      </c>
      <c r="AN248" s="23">
        <f>IF(OR(AN$1="",$BM248=0),"",SUMIFS(Entries!$E$2:$E$5000,Entries!$C$2:$C$5000,"Actual",Entries!$A$2:$A$5000,"&gt;="&amp;$A248,Entries!$A$2:$A$5000,"&lt;"&amp;EDATE($A248,1),Entries!$B$2:$B$5000,AN$1))</f>
        <v/>
      </c>
      <c r="AO248" s="23">
        <f>IF(OR(AO$1="",$BM248=0),"",SUMIFS(Entries!$E$2:$E$5000,Entries!$C$2:$C$5000,"Actual",Entries!$A$2:$A$5000,"&gt;="&amp;$A248,Entries!$A$2:$A$5000,"&lt;"&amp;EDATE($A248,1),Entries!$B$2:$B$5000,AO$1))</f>
        <v/>
      </c>
      <c r="AP248" s="23">
        <f>IF(OR(AP$1="",$BM248=0),"",SUMIFS(Entries!$E$2:$E$5000,Entries!$C$2:$C$5000,"Actual",Entries!$A$2:$A$5000,"&gt;="&amp;$A248,Entries!$A$2:$A$5000,"&lt;"&amp;EDATE($A248,1),Entries!$B$2:$B$5000,AP$1))</f>
        <v/>
      </c>
      <c r="AR248" s="23">
        <f>IF(OR(AR$1="",$BM248=0),"",IFERROR(LOOKUP(2,1/((Budgets!$A$2:$A$200=AR$1)*(Budgets!$B$2:$B$200&lt;EDATE($A248,1))),Budgets!$C$2:$C$200),0))</f>
        <v/>
      </c>
      <c r="AS248" s="23">
        <f>IF(OR(AS$1="",$BM248=0),"",IFERROR(LOOKUP(2,1/((Budgets!$A$2:$A$200=AS$1)*(Budgets!$B$2:$B$200&lt;EDATE($A248,1))),Budgets!$C$2:$C$200),0))</f>
        <v/>
      </c>
      <c r="AT248" s="23">
        <f>IF(OR(AT$1="",$BM248=0),"",IFERROR(LOOKUP(2,1/((Budgets!$A$2:$A$200=AT$1)*(Budgets!$B$2:$B$200&lt;EDATE($A248,1))),Budgets!$C$2:$C$200),0))</f>
        <v/>
      </c>
      <c r="AU248" s="23">
        <f>IF(OR(AU$1="",$BM248=0),"",IFERROR(LOOKUP(2,1/((Budgets!$A$2:$A$200=AU$1)*(Budgets!$B$2:$B$200&lt;EDATE($A248,1))),Budgets!$C$2:$C$200),0))</f>
        <v/>
      </c>
      <c r="AV248" s="23">
        <f>IF(OR(AV$1="",$BM248=0),"",IFERROR(LOOKUP(2,1/((Budgets!$A$2:$A$200=AV$1)*(Budgets!$B$2:$B$200&lt;EDATE($A248,1))),Budgets!$C$2:$C$200),0))</f>
        <v/>
      </c>
      <c r="AW248" s="23">
        <f>IF(OR(AW$1="",$BM248=0),"",IFERROR(LOOKUP(2,1/((Budgets!$A$2:$A$200=AW$1)*(Budgets!$B$2:$B$200&lt;EDATE($A248,1))),Budgets!$C$2:$C$200),0))</f>
        <v/>
      </c>
      <c r="AX248" s="23">
        <f>IF(OR(AX$1="",$BM248=0),"",IFERROR(LOOKUP(2,1/((Budgets!$A$2:$A$200=AX$1)*(Budgets!$B$2:$B$200&lt;EDATE($A248,1))),Budgets!$C$2:$C$200),0))</f>
        <v/>
      </c>
      <c r="AY248" s="23">
        <f>IF(OR(AY$1="",$BM248=0),"",IFERROR(LOOKUP(2,1/((Budgets!$A$2:$A$200=AY$1)*(Budgets!$B$2:$B$200&lt;EDATE($A248,1))),Budgets!$C$2:$C$200),0))</f>
        <v/>
      </c>
      <c r="AZ248" s="23">
        <f>IF(OR(AZ$1="",$BM248=0),"",IFERROR(LOOKUP(2,1/((Budgets!$A$2:$A$200=AZ$1)*(Budgets!$B$2:$B$200&lt;EDATE($A248,1))),Budgets!$C$2:$C$200),0))</f>
        <v/>
      </c>
      <c r="BA248" s="23">
        <f>IF(OR(BA$1="",$BM248=0),"",IFERROR(LOOKUP(2,1/((Budgets!$A$2:$A$200=BA$1)*(Budgets!$B$2:$B$200&lt;EDATE($A248,1))),Budgets!$C$2:$C$200),0))</f>
        <v/>
      </c>
      <c r="BB248" s="23">
        <f>IF(OR(BB$1="",$BM248=0),"",IFERROR(LOOKUP(2,1/((Budgets!$A$2:$A$200=BB$1)*(Budgets!$B$2:$B$200&lt;EDATE($A248,1))),Budgets!$C$2:$C$200),0))</f>
        <v/>
      </c>
      <c r="BC248" s="23">
        <f>IF(OR(BC$1="",$BM248=0),"",IFERROR(LOOKUP(2,1/((Budgets!$A$2:$A$200=BC$1)*(Budgets!$B$2:$B$200&lt;EDATE($A248,1))),Budgets!$C$2:$C$200),0))</f>
        <v/>
      </c>
      <c r="BD248" s="23">
        <f>IF(OR(BD$1="",$BM248=0),"",IFERROR(LOOKUP(2,1/((Budgets!$A$2:$A$200=BD$1)*(Budgets!$B$2:$B$200&lt;EDATE($A248,1))),Budgets!$C$2:$C$200),0))</f>
        <v/>
      </c>
      <c r="BE248" s="23">
        <f>IF(OR(BE$1="",$BM248=0),"",IFERROR(LOOKUP(2,1/((Budgets!$A$2:$A$200=BE$1)*(Budgets!$B$2:$B$200&lt;EDATE($A248,1))),Budgets!$C$2:$C$200),0))</f>
        <v/>
      </c>
      <c r="BF248" s="23">
        <f>IF(OR(BF$1="",$BM248=0),"",IFERROR(LOOKUP(2,1/((Budgets!$A$2:$A$200=BF$1)*(Budgets!$B$2:$B$200&lt;EDATE($A248,1))),Budgets!$C$2:$C$200),0))</f>
        <v/>
      </c>
      <c r="BG248" s="23">
        <f>IF(OR(BG$1="",$BM248=0),"",IFERROR(LOOKUP(2,1/((Budgets!$A$2:$A$200=BG$1)*(Budgets!$B$2:$B$200&lt;EDATE($A248,1))),Budgets!$C$2:$C$200),0))</f>
        <v/>
      </c>
      <c r="BH248" s="23">
        <f>IF(OR(BH$1="",$BM248=0),"",IFERROR(LOOKUP(2,1/((Budgets!$A$2:$A$200=BH$1)*(Budgets!$B$2:$B$200&lt;EDATE($A248,1))),Budgets!$C$2:$C$200),0))</f>
        <v/>
      </c>
      <c r="BI248" s="23">
        <f>IF(OR(BI$1="",$BM248=0),"",IFERROR(LOOKUP(2,1/((Budgets!$A$2:$A$200=BI$1)*(Budgets!$B$2:$B$200&lt;EDATE($A248,1))),Budgets!$C$2:$C$200),0))</f>
        <v/>
      </c>
      <c r="BJ248" s="23">
        <f>IF(OR(BJ$1="",$BM248=0),"",IFERROR(LOOKUP(2,1/((Budgets!$A$2:$A$200=BJ$1)*(Budgets!$B$2:$B$200&lt;EDATE($A248,1))),Budgets!$C$2:$C$200),0))</f>
        <v/>
      </c>
      <c r="BK248" s="23">
        <f>IF(OR(BK$1="",$BM248=0),"",IFERROR(LOOKUP(2,1/((Budgets!$A$2:$A$200=BK$1)*(Budgets!$B$2:$B$200&lt;EDATE($A248,1))),Budgets!$C$2:$C$200),0))</f>
        <v/>
      </c>
      <c r="BM248" s="21">
        <f>COUNTIFS(Entries!$A$2:$A$5000,"&gt;="&amp;$A248,Entries!$A$2:$A$5000,"&lt;"&amp;EDATE($A248,1))</f>
        <v/>
      </c>
    </row>
    <row r="249">
      <c r="A249" s="22" t="n">
        <v>46966</v>
      </c>
      <c r="B249" s="23">
        <f>IF($BM249=0,NA(),SUMIFS(Entries!$E$2:$E$5000,Entries!$C$2:$C$5000,"Income",Entries!$A$2:$A$5000,"&gt;="&amp;$A249,Entries!$A$2:$A$5000,"&lt;"&amp;EDATE($A249,1)))</f>
        <v/>
      </c>
      <c r="C249" s="23">
        <f>IF($BM249=0,"",SUMIFS(Entries!$E$2:$E$5000,Entries!$C$2:$C$5000,"Actual",Entries!$A$2:$A$5000,"&gt;="&amp;$A249,Entries!$A$2:$A$5000,"&lt;"&amp;EDATE($A249,1)))</f>
        <v/>
      </c>
      <c r="D249" s="23">
        <f>IF($BM249=0,"",SUMIFS(Entries!$E$2:$E$5000,Entries!$C$2:$C$5000,"One-off",Entries!$A$2:$A$5000,"&gt;="&amp;$A249,Entries!$A$2:$A$5000,"&lt;"&amp;EDATE($A249,1)))</f>
        <v/>
      </c>
      <c r="E249" s="23">
        <f>IF($BM249=0,NA(),C249+D249)</f>
        <v/>
      </c>
      <c r="F249" s="23">
        <f>IF($BM249=0,"",SUM(AR249:BK249))</f>
        <v/>
      </c>
      <c r="G249" s="23">
        <f>IF($BM249=0,"",B249-E249)</f>
        <v/>
      </c>
      <c r="H249" s="23">
        <f>IF($BM249=0,"",SUM($G$2:G249))</f>
        <v/>
      </c>
      <c r="I249" s="23">
        <f>IF($BM249=0,"",SUMIFS(Entries!$G$2:$G$5000,Entries!$A$2:$A$5000,"&gt;="&amp;$A249,Entries!$A$2:$A$5000,"&lt;"&amp;EDATE($A249,1)))</f>
        <v/>
      </c>
      <c r="J249" s="23">
        <f>IF($BM249=0,NA(),H249)</f>
        <v/>
      </c>
      <c r="K249" s="23">
        <f>IF($BM249=0,"",SUMIFS(Entries!$E$2:$E$5000,Entries!$C$2:$C$5000,"Income",Entries!$A$2:$A$5000,"&gt;="&amp;EDATE($A249,-11),Entries!$A$2:$A$5000,"&lt;"&amp;EDATE($A249,1))/COUNTIFS($A$2:$A$400,"&gt;="&amp;EDATE($A249,-11),$A$2:$A$400,"&lt;"&amp;EDATE($A249,1),$BM$2:$BM$400,"&gt;0"))</f>
      </c>
      <c r="L249" s="23">
        <f>IF($BM249=0,"",(SUMIFS(Entries!$E$2:$E$5000,Entries!$C$2:$C$5000,"Actual",Entries!$A$2:$A$5000,"&gt;="&amp;EDATE($A249,-11),Entries!$A$2:$A$5000,"&lt;"&amp;EDATE($A249,1))+SUMIFS(Entries!$E$2:$E$5000,Entries!$C$2:$C$5000,"One-off",Entries!$A$2:$A$5000,"&gt;="&amp;EDATE($A249,-11),Entries!$A$2:$A$5000,"&lt;"&amp;EDATE($A249,1)))/COUNTIFS($A$2:$A$400,"&gt;="&amp;EDATE($A249,-11),$A$2:$A$400,"&lt;"&amp;EDATE($A249,1),$BM$2:$BM$400,"&gt;0"))</f>
      </c>
      <c r="M249" s="24">
        <f>IF($BM249=0,NA(),IFERROR((K249-L249)/K249,0))</f>
        <v/>
      </c>
      <c r="N249" s="23">
        <f>IF($BM249=0,NA(),SUMIFS(Entries!$E$2:$E$5000,Entries!$D$2:$D$5000,"Core",Entries!$A$2:$A$5000,"&gt;="&amp;$A249,Entries!$A$2:$A$5000,"&lt;"&amp;EDATE($A249,1)))</f>
        <v/>
      </c>
      <c r="O249" s="23">
        <f>IF($BM249=0,NA(),SUMIFS(Entries!$E$2:$E$5000,Entries!$D$2:$D$5000,"Over &amp; above",Entries!$A$2:$A$5000,"&gt;="&amp;$A249,Entries!$A$2:$A$5000,"&lt;"&amp;EDATE($A249,1)))</f>
        <v/>
      </c>
      <c r="P249" s="23">
        <f>IF($BM249=0,NA(),SUMIFS(Entries!$E$2:$E$5000,Entries!$D$2:$D$5000,"One-off",Entries!$A$2:$A$5000,"&gt;="&amp;$A249,Entries!$A$2:$A$5000,"&lt;"&amp;EDATE($A249,1)))</f>
        <v/>
      </c>
      <c r="Q249" s="23">
        <f>IF($BM249=0,NA(),SUMIFS(Entries!$E$2:$E$5000,Entries!$D$2:$D$5000,"Reimbursable",Entries!$A$2:$A$5000,"&gt;="&amp;$A249,Entries!$A$2:$A$5000,"&lt;"&amp;EDATE($A249,1)))</f>
        <v/>
      </c>
      <c r="R249" s="23">
        <f>IF($BM249=0,NA(),SUMIFS(Entries!$E$2:$E$5000,Entries!$D$2:$D$5000,"Investment",Entries!$A$2:$A$5000,"&gt;="&amp;$A249,Entries!$A$2:$A$5000,"&lt;"&amp;EDATE($A249,1)))</f>
        <v/>
      </c>
      <c r="S249" s="23">
        <f>IF($BM249=0,NA(),N249+O249)</f>
        <v/>
      </c>
      <c r="T249" s="23">
        <f>IF($BM249=0,"",E249-Q249)</f>
        <v/>
      </c>
      <c r="W249" s="23">
        <f>IF(OR(W$1="",$BM249=0),"",SUMIFS(Entries!$E$2:$E$5000,Entries!$C$2:$C$5000,"Actual",Entries!$A$2:$A$5000,"&gt;="&amp;$A249,Entries!$A$2:$A$5000,"&lt;"&amp;EDATE($A249,1),Entries!$B$2:$B$5000,W$1))</f>
        <v/>
      </c>
      <c r="X249" s="23">
        <f>IF(OR(X$1="",$BM249=0),"",SUMIFS(Entries!$E$2:$E$5000,Entries!$C$2:$C$5000,"Actual",Entries!$A$2:$A$5000,"&gt;="&amp;$A249,Entries!$A$2:$A$5000,"&lt;"&amp;EDATE($A249,1),Entries!$B$2:$B$5000,X$1))</f>
        <v/>
      </c>
      <c r="Y249" s="23">
        <f>IF(OR(Y$1="",$BM249=0),"",SUMIFS(Entries!$E$2:$E$5000,Entries!$C$2:$C$5000,"Actual",Entries!$A$2:$A$5000,"&gt;="&amp;$A249,Entries!$A$2:$A$5000,"&lt;"&amp;EDATE($A249,1),Entries!$B$2:$B$5000,Y$1))</f>
        <v/>
      </c>
      <c r="Z249" s="23">
        <f>IF(OR(Z$1="",$BM249=0),"",SUMIFS(Entries!$E$2:$E$5000,Entries!$C$2:$C$5000,"Actual",Entries!$A$2:$A$5000,"&gt;="&amp;$A249,Entries!$A$2:$A$5000,"&lt;"&amp;EDATE($A249,1),Entries!$B$2:$B$5000,Z$1))</f>
        <v/>
      </c>
      <c r="AA249" s="23">
        <f>IF(OR(AA$1="",$BM249=0),"",SUMIFS(Entries!$E$2:$E$5000,Entries!$C$2:$C$5000,"Actual",Entries!$A$2:$A$5000,"&gt;="&amp;$A249,Entries!$A$2:$A$5000,"&lt;"&amp;EDATE($A249,1),Entries!$B$2:$B$5000,AA$1))</f>
        <v/>
      </c>
      <c r="AB249" s="23">
        <f>IF(OR(AB$1="",$BM249=0),"",SUMIFS(Entries!$E$2:$E$5000,Entries!$C$2:$C$5000,"Actual",Entries!$A$2:$A$5000,"&gt;="&amp;$A249,Entries!$A$2:$A$5000,"&lt;"&amp;EDATE($A249,1),Entries!$B$2:$B$5000,AB$1))</f>
        <v/>
      </c>
      <c r="AC249" s="23">
        <f>IF(OR(AC$1="",$BM249=0),"",SUMIFS(Entries!$E$2:$E$5000,Entries!$C$2:$C$5000,"Actual",Entries!$A$2:$A$5000,"&gt;="&amp;$A249,Entries!$A$2:$A$5000,"&lt;"&amp;EDATE($A249,1),Entries!$B$2:$B$5000,AC$1))</f>
        <v/>
      </c>
      <c r="AD249" s="23">
        <f>IF(OR(AD$1="",$BM249=0),"",SUMIFS(Entries!$E$2:$E$5000,Entries!$C$2:$C$5000,"Actual",Entries!$A$2:$A$5000,"&gt;="&amp;$A249,Entries!$A$2:$A$5000,"&lt;"&amp;EDATE($A249,1),Entries!$B$2:$B$5000,AD$1))</f>
        <v/>
      </c>
      <c r="AE249" s="23">
        <f>IF(OR(AE$1="",$BM249=0),"",SUMIFS(Entries!$E$2:$E$5000,Entries!$C$2:$C$5000,"Actual",Entries!$A$2:$A$5000,"&gt;="&amp;$A249,Entries!$A$2:$A$5000,"&lt;"&amp;EDATE($A249,1),Entries!$B$2:$B$5000,AE$1))</f>
        <v/>
      </c>
      <c r="AF249" s="23">
        <f>IF(OR(AF$1="",$BM249=0),"",SUMIFS(Entries!$E$2:$E$5000,Entries!$C$2:$C$5000,"Actual",Entries!$A$2:$A$5000,"&gt;="&amp;$A249,Entries!$A$2:$A$5000,"&lt;"&amp;EDATE($A249,1),Entries!$B$2:$B$5000,AF$1))</f>
        <v/>
      </c>
      <c r="AG249" s="23">
        <f>IF(OR(AG$1="",$BM249=0),"",SUMIFS(Entries!$E$2:$E$5000,Entries!$C$2:$C$5000,"Actual",Entries!$A$2:$A$5000,"&gt;="&amp;$A249,Entries!$A$2:$A$5000,"&lt;"&amp;EDATE($A249,1),Entries!$B$2:$B$5000,AG$1))</f>
        <v/>
      </c>
      <c r="AH249" s="23">
        <f>IF(OR(AH$1="",$BM249=0),"",SUMIFS(Entries!$E$2:$E$5000,Entries!$C$2:$C$5000,"Actual",Entries!$A$2:$A$5000,"&gt;="&amp;$A249,Entries!$A$2:$A$5000,"&lt;"&amp;EDATE($A249,1),Entries!$B$2:$B$5000,AH$1))</f>
        <v/>
      </c>
      <c r="AI249" s="23">
        <f>IF(OR(AI$1="",$BM249=0),"",SUMIFS(Entries!$E$2:$E$5000,Entries!$C$2:$C$5000,"Actual",Entries!$A$2:$A$5000,"&gt;="&amp;$A249,Entries!$A$2:$A$5000,"&lt;"&amp;EDATE($A249,1),Entries!$B$2:$B$5000,AI$1))</f>
        <v/>
      </c>
      <c r="AJ249" s="23">
        <f>IF(OR(AJ$1="",$BM249=0),"",SUMIFS(Entries!$E$2:$E$5000,Entries!$C$2:$C$5000,"Actual",Entries!$A$2:$A$5000,"&gt;="&amp;$A249,Entries!$A$2:$A$5000,"&lt;"&amp;EDATE($A249,1),Entries!$B$2:$B$5000,AJ$1))</f>
        <v/>
      </c>
      <c r="AK249" s="23">
        <f>IF(OR(AK$1="",$BM249=0),"",SUMIFS(Entries!$E$2:$E$5000,Entries!$C$2:$C$5000,"Actual",Entries!$A$2:$A$5000,"&gt;="&amp;$A249,Entries!$A$2:$A$5000,"&lt;"&amp;EDATE($A249,1),Entries!$B$2:$B$5000,AK$1))</f>
        <v/>
      </c>
      <c r="AL249" s="23">
        <f>IF(OR(AL$1="",$BM249=0),"",SUMIFS(Entries!$E$2:$E$5000,Entries!$C$2:$C$5000,"Actual",Entries!$A$2:$A$5000,"&gt;="&amp;$A249,Entries!$A$2:$A$5000,"&lt;"&amp;EDATE($A249,1),Entries!$B$2:$B$5000,AL$1))</f>
        <v/>
      </c>
      <c r="AM249" s="23">
        <f>IF(OR(AM$1="",$BM249=0),"",SUMIFS(Entries!$E$2:$E$5000,Entries!$C$2:$C$5000,"Actual",Entries!$A$2:$A$5000,"&gt;="&amp;$A249,Entries!$A$2:$A$5000,"&lt;"&amp;EDATE($A249,1),Entries!$B$2:$B$5000,AM$1))</f>
        <v/>
      </c>
      <c r="AN249" s="23">
        <f>IF(OR(AN$1="",$BM249=0),"",SUMIFS(Entries!$E$2:$E$5000,Entries!$C$2:$C$5000,"Actual",Entries!$A$2:$A$5000,"&gt;="&amp;$A249,Entries!$A$2:$A$5000,"&lt;"&amp;EDATE($A249,1),Entries!$B$2:$B$5000,AN$1))</f>
        <v/>
      </c>
      <c r="AO249" s="23">
        <f>IF(OR(AO$1="",$BM249=0),"",SUMIFS(Entries!$E$2:$E$5000,Entries!$C$2:$C$5000,"Actual",Entries!$A$2:$A$5000,"&gt;="&amp;$A249,Entries!$A$2:$A$5000,"&lt;"&amp;EDATE($A249,1),Entries!$B$2:$B$5000,AO$1))</f>
        <v/>
      </c>
      <c r="AP249" s="23">
        <f>IF(OR(AP$1="",$BM249=0),"",SUMIFS(Entries!$E$2:$E$5000,Entries!$C$2:$C$5000,"Actual",Entries!$A$2:$A$5000,"&gt;="&amp;$A249,Entries!$A$2:$A$5000,"&lt;"&amp;EDATE($A249,1),Entries!$B$2:$B$5000,AP$1))</f>
        <v/>
      </c>
      <c r="AR249" s="23">
        <f>IF(OR(AR$1="",$BM249=0),"",IFERROR(LOOKUP(2,1/((Budgets!$A$2:$A$200=AR$1)*(Budgets!$B$2:$B$200&lt;EDATE($A249,1))),Budgets!$C$2:$C$200),0))</f>
        <v/>
      </c>
      <c r="AS249" s="23">
        <f>IF(OR(AS$1="",$BM249=0),"",IFERROR(LOOKUP(2,1/((Budgets!$A$2:$A$200=AS$1)*(Budgets!$B$2:$B$200&lt;EDATE($A249,1))),Budgets!$C$2:$C$200),0))</f>
        <v/>
      </c>
      <c r="AT249" s="23">
        <f>IF(OR(AT$1="",$BM249=0),"",IFERROR(LOOKUP(2,1/((Budgets!$A$2:$A$200=AT$1)*(Budgets!$B$2:$B$200&lt;EDATE($A249,1))),Budgets!$C$2:$C$200),0))</f>
        <v/>
      </c>
      <c r="AU249" s="23">
        <f>IF(OR(AU$1="",$BM249=0),"",IFERROR(LOOKUP(2,1/((Budgets!$A$2:$A$200=AU$1)*(Budgets!$B$2:$B$200&lt;EDATE($A249,1))),Budgets!$C$2:$C$200),0))</f>
        <v/>
      </c>
      <c r="AV249" s="23">
        <f>IF(OR(AV$1="",$BM249=0),"",IFERROR(LOOKUP(2,1/((Budgets!$A$2:$A$200=AV$1)*(Budgets!$B$2:$B$200&lt;EDATE($A249,1))),Budgets!$C$2:$C$200),0))</f>
        <v/>
      </c>
      <c r="AW249" s="23">
        <f>IF(OR(AW$1="",$BM249=0),"",IFERROR(LOOKUP(2,1/((Budgets!$A$2:$A$200=AW$1)*(Budgets!$B$2:$B$200&lt;EDATE($A249,1))),Budgets!$C$2:$C$200),0))</f>
        <v/>
      </c>
      <c r="AX249" s="23">
        <f>IF(OR(AX$1="",$BM249=0),"",IFERROR(LOOKUP(2,1/((Budgets!$A$2:$A$200=AX$1)*(Budgets!$B$2:$B$200&lt;EDATE($A249,1))),Budgets!$C$2:$C$200),0))</f>
        <v/>
      </c>
      <c r="AY249" s="23">
        <f>IF(OR(AY$1="",$BM249=0),"",IFERROR(LOOKUP(2,1/((Budgets!$A$2:$A$200=AY$1)*(Budgets!$B$2:$B$200&lt;EDATE($A249,1))),Budgets!$C$2:$C$200),0))</f>
        <v/>
      </c>
      <c r="AZ249" s="23">
        <f>IF(OR(AZ$1="",$BM249=0),"",IFERROR(LOOKUP(2,1/((Budgets!$A$2:$A$200=AZ$1)*(Budgets!$B$2:$B$200&lt;EDATE($A249,1))),Budgets!$C$2:$C$200),0))</f>
        <v/>
      </c>
      <c r="BA249" s="23">
        <f>IF(OR(BA$1="",$BM249=0),"",IFERROR(LOOKUP(2,1/((Budgets!$A$2:$A$200=BA$1)*(Budgets!$B$2:$B$200&lt;EDATE($A249,1))),Budgets!$C$2:$C$200),0))</f>
        <v/>
      </c>
      <c r="BB249" s="23">
        <f>IF(OR(BB$1="",$BM249=0),"",IFERROR(LOOKUP(2,1/((Budgets!$A$2:$A$200=BB$1)*(Budgets!$B$2:$B$200&lt;EDATE($A249,1))),Budgets!$C$2:$C$200),0))</f>
        <v/>
      </c>
      <c r="BC249" s="23">
        <f>IF(OR(BC$1="",$BM249=0),"",IFERROR(LOOKUP(2,1/((Budgets!$A$2:$A$200=BC$1)*(Budgets!$B$2:$B$200&lt;EDATE($A249,1))),Budgets!$C$2:$C$200),0))</f>
        <v/>
      </c>
      <c r="BD249" s="23">
        <f>IF(OR(BD$1="",$BM249=0),"",IFERROR(LOOKUP(2,1/((Budgets!$A$2:$A$200=BD$1)*(Budgets!$B$2:$B$200&lt;EDATE($A249,1))),Budgets!$C$2:$C$200),0))</f>
        <v/>
      </c>
      <c r="BE249" s="23">
        <f>IF(OR(BE$1="",$BM249=0),"",IFERROR(LOOKUP(2,1/((Budgets!$A$2:$A$200=BE$1)*(Budgets!$B$2:$B$200&lt;EDATE($A249,1))),Budgets!$C$2:$C$200),0))</f>
        <v/>
      </c>
      <c r="BF249" s="23">
        <f>IF(OR(BF$1="",$BM249=0),"",IFERROR(LOOKUP(2,1/((Budgets!$A$2:$A$200=BF$1)*(Budgets!$B$2:$B$200&lt;EDATE($A249,1))),Budgets!$C$2:$C$200),0))</f>
        <v/>
      </c>
      <c r="BG249" s="23">
        <f>IF(OR(BG$1="",$BM249=0),"",IFERROR(LOOKUP(2,1/((Budgets!$A$2:$A$200=BG$1)*(Budgets!$B$2:$B$200&lt;EDATE($A249,1))),Budgets!$C$2:$C$200),0))</f>
        <v/>
      </c>
      <c r="BH249" s="23">
        <f>IF(OR(BH$1="",$BM249=0),"",IFERROR(LOOKUP(2,1/((Budgets!$A$2:$A$200=BH$1)*(Budgets!$B$2:$B$200&lt;EDATE($A249,1))),Budgets!$C$2:$C$200),0))</f>
        <v/>
      </c>
      <c r="BI249" s="23">
        <f>IF(OR(BI$1="",$BM249=0),"",IFERROR(LOOKUP(2,1/((Budgets!$A$2:$A$200=BI$1)*(Budgets!$B$2:$B$200&lt;EDATE($A249,1))),Budgets!$C$2:$C$200),0))</f>
        <v/>
      </c>
      <c r="BJ249" s="23">
        <f>IF(OR(BJ$1="",$BM249=0),"",IFERROR(LOOKUP(2,1/((Budgets!$A$2:$A$200=BJ$1)*(Budgets!$B$2:$B$200&lt;EDATE($A249,1))),Budgets!$C$2:$C$200),0))</f>
        <v/>
      </c>
      <c r="BK249" s="23">
        <f>IF(OR(BK$1="",$BM249=0),"",IFERROR(LOOKUP(2,1/((Budgets!$A$2:$A$200=BK$1)*(Budgets!$B$2:$B$200&lt;EDATE($A249,1))),Budgets!$C$2:$C$200),0))</f>
        <v/>
      </c>
      <c r="BM249" s="21">
        <f>COUNTIFS(Entries!$A$2:$A$5000,"&gt;="&amp;$A249,Entries!$A$2:$A$5000,"&lt;"&amp;EDATE($A249,1))</f>
        <v/>
      </c>
    </row>
    <row r="250">
      <c r="A250" s="22" t="n">
        <v>46997</v>
      </c>
      <c r="B250" s="23">
        <f>IF($BM250=0,NA(),SUMIFS(Entries!$E$2:$E$5000,Entries!$C$2:$C$5000,"Income",Entries!$A$2:$A$5000,"&gt;="&amp;$A250,Entries!$A$2:$A$5000,"&lt;"&amp;EDATE($A250,1)))</f>
        <v/>
      </c>
      <c r="C250" s="23">
        <f>IF($BM250=0,"",SUMIFS(Entries!$E$2:$E$5000,Entries!$C$2:$C$5000,"Actual",Entries!$A$2:$A$5000,"&gt;="&amp;$A250,Entries!$A$2:$A$5000,"&lt;"&amp;EDATE($A250,1)))</f>
        <v/>
      </c>
      <c r="D250" s="23">
        <f>IF($BM250=0,"",SUMIFS(Entries!$E$2:$E$5000,Entries!$C$2:$C$5000,"One-off",Entries!$A$2:$A$5000,"&gt;="&amp;$A250,Entries!$A$2:$A$5000,"&lt;"&amp;EDATE($A250,1)))</f>
        <v/>
      </c>
      <c r="E250" s="23">
        <f>IF($BM250=0,NA(),C250+D250)</f>
        <v/>
      </c>
      <c r="F250" s="23">
        <f>IF($BM250=0,"",SUM(AR250:BK250))</f>
        <v/>
      </c>
      <c r="G250" s="23">
        <f>IF($BM250=0,"",B250-E250)</f>
        <v/>
      </c>
      <c r="H250" s="23">
        <f>IF($BM250=0,"",SUM($G$2:G250))</f>
        <v/>
      </c>
      <c r="I250" s="23">
        <f>IF($BM250=0,"",SUMIFS(Entries!$G$2:$G$5000,Entries!$A$2:$A$5000,"&gt;="&amp;$A250,Entries!$A$2:$A$5000,"&lt;"&amp;EDATE($A250,1)))</f>
        <v/>
      </c>
      <c r="J250" s="23">
        <f>IF($BM250=0,NA(),H250)</f>
        <v/>
      </c>
      <c r="K250" s="23">
        <f>IF($BM250=0,"",SUMIFS(Entries!$E$2:$E$5000,Entries!$C$2:$C$5000,"Income",Entries!$A$2:$A$5000,"&gt;="&amp;EDATE($A250,-11),Entries!$A$2:$A$5000,"&lt;"&amp;EDATE($A250,1))/COUNTIFS($A$2:$A$400,"&gt;="&amp;EDATE($A250,-11),$A$2:$A$400,"&lt;"&amp;EDATE($A250,1),$BM$2:$BM$400,"&gt;0"))</f>
      </c>
      <c r="L250" s="23">
        <f>IF($BM250=0,"",(SUMIFS(Entries!$E$2:$E$5000,Entries!$C$2:$C$5000,"Actual",Entries!$A$2:$A$5000,"&gt;="&amp;EDATE($A250,-11),Entries!$A$2:$A$5000,"&lt;"&amp;EDATE($A250,1))+SUMIFS(Entries!$E$2:$E$5000,Entries!$C$2:$C$5000,"One-off",Entries!$A$2:$A$5000,"&gt;="&amp;EDATE($A250,-11),Entries!$A$2:$A$5000,"&lt;"&amp;EDATE($A250,1)))/COUNTIFS($A$2:$A$400,"&gt;="&amp;EDATE($A250,-11),$A$2:$A$400,"&lt;"&amp;EDATE($A250,1),$BM$2:$BM$400,"&gt;0"))</f>
      </c>
      <c r="M250" s="24">
        <f>IF($BM250=0,NA(),IFERROR((K250-L250)/K250,0))</f>
        <v/>
      </c>
      <c r="N250" s="23">
        <f>IF($BM250=0,NA(),SUMIFS(Entries!$E$2:$E$5000,Entries!$D$2:$D$5000,"Core",Entries!$A$2:$A$5000,"&gt;="&amp;$A250,Entries!$A$2:$A$5000,"&lt;"&amp;EDATE($A250,1)))</f>
        <v/>
      </c>
      <c r="O250" s="23">
        <f>IF($BM250=0,NA(),SUMIFS(Entries!$E$2:$E$5000,Entries!$D$2:$D$5000,"Over &amp; above",Entries!$A$2:$A$5000,"&gt;="&amp;$A250,Entries!$A$2:$A$5000,"&lt;"&amp;EDATE($A250,1)))</f>
        <v/>
      </c>
      <c r="P250" s="23">
        <f>IF($BM250=0,NA(),SUMIFS(Entries!$E$2:$E$5000,Entries!$D$2:$D$5000,"One-off",Entries!$A$2:$A$5000,"&gt;="&amp;$A250,Entries!$A$2:$A$5000,"&lt;"&amp;EDATE($A250,1)))</f>
        <v/>
      </c>
      <c r="Q250" s="23">
        <f>IF($BM250=0,NA(),SUMIFS(Entries!$E$2:$E$5000,Entries!$D$2:$D$5000,"Reimbursable",Entries!$A$2:$A$5000,"&gt;="&amp;$A250,Entries!$A$2:$A$5000,"&lt;"&amp;EDATE($A250,1)))</f>
        <v/>
      </c>
      <c r="R250" s="23">
        <f>IF($BM250=0,NA(),SUMIFS(Entries!$E$2:$E$5000,Entries!$D$2:$D$5000,"Investment",Entries!$A$2:$A$5000,"&gt;="&amp;$A250,Entries!$A$2:$A$5000,"&lt;"&amp;EDATE($A250,1)))</f>
        <v/>
      </c>
      <c r="S250" s="23">
        <f>IF($BM250=0,NA(),N250+O250)</f>
        <v/>
      </c>
      <c r="T250" s="23">
        <f>IF($BM250=0,"",E250-Q250)</f>
        <v/>
      </c>
      <c r="W250" s="23">
        <f>IF(OR(W$1="",$BM250=0),"",SUMIFS(Entries!$E$2:$E$5000,Entries!$C$2:$C$5000,"Actual",Entries!$A$2:$A$5000,"&gt;="&amp;$A250,Entries!$A$2:$A$5000,"&lt;"&amp;EDATE($A250,1),Entries!$B$2:$B$5000,W$1))</f>
        <v/>
      </c>
      <c r="X250" s="23">
        <f>IF(OR(X$1="",$BM250=0),"",SUMIFS(Entries!$E$2:$E$5000,Entries!$C$2:$C$5000,"Actual",Entries!$A$2:$A$5000,"&gt;="&amp;$A250,Entries!$A$2:$A$5000,"&lt;"&amp;EDATE($A250,1),Entries!$B$2:$B$5000,X$1))</f>
        <v/>
      </c>
      <c r="Y250" s="23">
        <f>IF(OR(Y$1="",$BM250=0),"",SUMIFS(Entries!$E$2:$E$5000,Entries!$C$2:$C$5000,"Actual",Entries!$A$2:$A$5000,"&gt;="&amp;$A250,Entries!$A$2:$A$5000,"&lt;"&amp;EDATE($A250,1),Entries!$B$2:$B$5000,Y$1))</f>
        <v/>
      </c>
      <c r="Z250" s="23">
        <f>IF(OR(Z$1="",$BM250=0),"",SUMIFS(Entries!$E$2:$E$5000,Entries!$C$2:$C$5000,"Actual",Entries!$A$2:$A$5000,"&gt;="&amp;$A250,Entries!$A$2:$A$5000,"&lt;"&amp;EDATE($A250,1),Entries!$B$2:$B$5000,Z$1))</f>
        <v/>
      </c>
      <c r="AA250" s="23">
        <f>IF(OR(AA$1="",$BM250=0),"",SUMIFS(Entries!$E$2:$E$5000,Entries!$C$2:$C$5000,"Actual",Entries!$A$2:$A$5000,"&gt;="&amp;$A250,Entries!$A$2:$A$5000,"&lt;"&amp;EDATE($A250,1),Entries!$B$2:$B$5000,AA$1))</f>
        <v/>
      </c>
      <c r="AB250" s="23">
        <f>IF(OR(AB$1="",$BM250=0),"",SUMIFS(Entries!$E$2:$E$5000,Entries!$C$2:$C$5000,"Actual",Entries!$A$2:$A$5000,"&gt;="&amp;$A250,Entries!$A$2:$A$5000,"&lt;"&amp;EDATE($A250,1),Entries!$B$2:$B$5000,AB$1))</f>
        <v/>
      </c>
      <c r="AC250" s="23">
        <f>IF(OR(AC$1="",$BM250=0),"",SUMIFS(Entries!$E$2:$E$5000,Entries!$C$2:$C$5000,"Actual",Entries!$A$2:$A$5000,"&gt;="&amp;$A250,Entries!$A$2:$A$5000,"&lt;"&amp;EDATE($A250,1),Entries!$B$2:$B$5000,AC$1))</f>
        <v/>
      </c>
      <c r="AD250" s="23">
        <f>IF(OR(AD$1="",$BM250=0),"",SUMIFS(Entries!$E$2:$E$5000,Entries!$C$2:$C$5000,"Actual",Entries!$A$2:$A$5000,"&gt;="&amp;$A250,Entries!$A$2:$A$5000,"&lt;"&amp;EDATE($A250,1),Entries!$B$2:$B$5000,AD$1))</f>
        <v/>
      </c>
      <c r="AE250" s="23">
        <f>IF(OR(AE$1="",$BM250=0),"",SUMIFS(Entries!$E$2:$E$5000,Entries!$C$2:$C$5000,"Actual",Entries!$A$2:$A$5000,"&gt;="&amp;$A250,Entries!$A$2:$A$5000,"&lt;"&amp;EDATE($A250,1),Entries!$B$2:$B$5000,AE$1))</f>
        <v/>
      </c>
      <c r="AF250" s="23">
        <f>IF(OR(AF$1="",$BM250=0),"",SUMIFS(Entries!$E$2:$E$5000,Entries!$C$2:$C$5000,"Actual",Entries!$A$2:$A$5000,"&gt;="&amp;$A250,Entries!$A$2:$A$5000,"&lt;"&amp;EDATE($A250,1),Entries!$B$2:$B$5000,AF$1))</f>
        <v/>
      </c>
      <c r="AG250" s="23">
        <f>IF(OR(AG$1="",$BM250=0),"",SUMIFS(Entries!$E$2:$E$5000,Entries!$C$2:$C$5000,"Actual",Entries!$A$2:$A$5000,"&gt;="&amp;$A250,Entries!$A$2:$A$5000,"&lt;"&amp;EDATE($A250,1),Entries!$B$2:$B$5000,AG$1))</f>
        <v/>
      </c>
      <c r="AH250" s="23">
        <f>IF(OR(AH$1="",$BM250=0),"",SUMIFS(Entries!$E$2:$E$5000,Entries!$C$2:$C$5000,"Actual",Entries!$A$2:$A$5000,"&gt;="&amp;$A250,Entries!$A$2:$A$5000,"&lt;"&amp;EDATE($A250,1),Entries!$B$2:$B$5000,AH$1))</f>
        <v/>
      </c>
      <c r="AI250" s="23">
        <f>IF(OR(AI$1="",$BM250=0),"",SUMIFS(Entries!$E$2:$E$5000,Entries!$C$2:$C$5000,"Actual",Entries!$A$2:$A$5000,"&gt;="&amp;$A250,Entries!$A$2:$A$5000,"&lt;"&amp;EDATE($A250,1),Entries!$B$2:$B$5000,AI$1))</f>
        <v/>
      </c>
      <c r="AJ250" s="23">
        <f>IF(OR(AJ$1="",$BM250=0),"",SUMIFS(Entries!$E$2:$E$5000,Entries!$C$2:$C$5000,"Actual",Entries!$A$2:$A$5000,"&gt;="&amp;$A250,Entries!$A$2:$A$5000,"&lt;"&amp;EDATE($A250,1),Entries!$B$2:$B$5000,AJ$1))</f>
        <v/>
      </c>
      <c r="AK250" s="23">
        <f>IF(OR(AK$1="",$BM250=0),"",SUMIFS(Entries!$E$2:$E$5000,Entries!$C$2:$C$5000,"Actual",Entries!$A$2:$A$5000,"&gt;="&amp;$A250,Entries!$A$2:$A$5000,"&lt;"&amp;EDATE($A250,1),Entries!$B$2:$B$5000,AK$1))</f>
        <v/>
      </c>
      <c r="AL250" s="23">
        <f>IF(OR(AL$1="",$BM250=0),"",SUMIFS(Entries!$E$2:$E$5000,Entries!$C$2:$C$5000,"Actual",Entries!$A$2:$A$5000,"&gt;="&amp;$A250,Entries!$A$2:$A$5000,"&lt;"&amp;EDATE($A250,1),Entries!$B$2:$B$5000,AL$1))</f>
        <v/>
      </c>
      <c r="AM250" s="23">
        <f>IF(OR(AM$1="",$BM250=0),"",SUMIFS(Entries!$E$2:$E$5000,Entries!$C$2:$C$5000,"Actual",Entries!$A$2:$A$5000,"&gt;="&amp;$A250,Entries!$A$2:$A$5000,"&lt;"&amp;EDATE($A250,1),Entries!$B$2:$B$5000,AM$1))</f>
        <v/>
      </c>
      <c r="AN250" s="23">
        <f>IF(OR(AN$1="",$BM250=0),"",SUMIFS(Entries!$E$2:$E$5000,Entries!$C$2:$C$5000,"Actual",Entries!$A$2:$A$5000,"&gt;="&amp;$A250,Entries!$A$2:$A$5000,"&lt;"&amp;EDATE($A250,1),Entries!$B$2:$B$5000,AN$1))</f>
        <v/>
      </c>
      <c r="AO250" s="23">
        <f>IF(OR(AO$1="",$BM250=0),"",SUMIFS(Entries!$E$2:$E$5000,Entries!$C$2:$C$5000,"Actual",Entries!$A$2:$A$5000,"&gt;="&amp;$A250,Entries!$A$2:$A$5000,"&lt;"&amp;EDATE($A250,1),Entries!$B$2:$B$5000,AO$1))</f>
        <v/>
      </c>
      <c r="AP250" s="23">
        <f>IF(OR(AP$1="",$BM250=0),"",SUMIFS(Entries!$E$2:$E$5000,Entries!$C$2:$C$5000,"Actual",Entries!$A$2:$A$5000,"&gt;="&amp;$A250,Entries!$A$2:$A$5000,"&lt;"&amp;EDATE($A250,1),Entries!$B$2:$B$5000,AP$1))</f>
        <v/>
      </c>
      <c r="AR250" s="23">
        <f>IF(OR(AR$1="",$BM250=0),"",IFERROR(LOOKUP(2,1/((Budgets!$A$2:$A$200=AR$1)*(Budgets!$B$2:$B$200&lt;EDATE($A250,1))),Budgets!$C$2:$C$200),0))</f>
        <v/>
      </c>
      <c r="AS250" s="23">
        <f>IF(OR(AS$1="",$BM250=0),"",IFERROR(LOOKUP(2,1/((Budgets!$A$2:$A$200=AS$1)*(Budgets!$B$2:$B$200&lt;EDATE($A250,1))),Budgets!$C$2:$C$200),0))</f>
        <v/>
      </c>
      <c r="AT250" s="23">
        <f>IF(OR(AT$1="",$BM250=0),"",IFERROR(LOOKUP(2,1/((Budgets!$A$2:$A$200=AT$1)*(Budgets!$B$2:$B$200&lt;EDATE($A250,1))),Budgets!$C$2:$C$200),0))</f>
        <v/>
      </c>
      <c r="AU250" s="23">
        <f>IF(OR(AU$1="",$BM250=0),"",IFERROR(LOOKUP(2,1/((Budgets!$A$2:$A$200=AU$1)*(Budgets!$B$2:$B$200&lt;EDATE($A250,1))),Budgets!$C$2:$C$200),0))</f>
        <v/>
      </c>
      <c r="AV250" s="23">
        <f>IF(OR(AV$1="",$BM250=0),"",IFERROR(LOOKUP(2,1/((Budgets!$A$2:$A$200=AV$1)*(Budgets!$B$2:$B$200&lt;EDATE($A250,1))),Budgets!$C$2:$C$200),0))</f>
        <v/>
      </c>
      <c r="AW250" s="23">
        <f>IF(OR(AW$1="",$BM250=0),"",IFERROR(LOOKUP(2,1/((Budgets!$A$2:$A$200=AW$1)*(Budgets!$B$2:$B$200&lt;EDATE($A250,1))),Budgets!$C$2:$C$200),0))</f>
        <v/>
      </c>
      <c r="AX250" s="23">
        <f>IF(OR(AX$1="",$BM250=0),"",IFERROR(LOOKUP(2,1/((Budgets!$A$2:$A$200=AX$1)*(Budgets!$B$2:$B$200&lt;EDATE($A250,1))),Budgets!$C$2:$C$200),0))</f>
        <v/>
      </c>
      <c r="AY250" s="23">
        <f>IF(OR(AY$1="",$BM250=0),"",IFERROR(LOOKUP(2,1/((Budgets!$A$2:$A$200=AY$1)*(Budgets!$B$2:$B$200&lt;EDATE($A250,1))),Budgets!$C$2:$C$200),0))</f>
        <v/>
      </c>
      <c r="AZ250" s="23">
        <f>IF(OR(AZ$1="",$BM250=0),"",IFERROR(LOOKUP(2,1/((Budgets!$A$2:$A$200=AZ$1)*(Budgets!$B$2:$B$200&lt;EDATE($A250,1))),Budgets!$C$2:$C$200),0))</f>
        <v/>
      </c>
      <c r="BA250" s="23">
        <f>IF(OR(BA$1="",$BM250=0),"",IFERROR(LOOKUP(2,1/((Budgets!$A$2:$A$200=BA$1)*(Budgets!$B$2:$B$200&lt;EDATE($A250,1))),Budgets!$C$2:$C$200),0))</f>
        <v/>
      </c>
      <c r="BB250" s="23">
        <f>IF(OR(BB$1="",$BM250=0),"",IFERROR(LOOKUP(2,1/((Budgets!$A$2:$A$200=BB$1)*(Budgets!$B$2:$B$200&lt;EDATE($A250,1))),Budgets!$C$2:$C$200),0))</f>
        <v/>
      </c>
      <c r="BC250" s="23">
        <f>IF(OR(BC$1="",$BM250=0),"",IFERROR(LOOKUP(2,1/((Budgets!$A$2:$A$200=BC$1)*(Budgets!$B$2:$B$200&lt;EDATE($A250,1))),Budgets!$C$2:$C$200),0))</f>
        <v/>
      </c>
      <c r="BD250" s="23">
        <f>IF(OR(BD$1="",$BM250=0),"",IFERROR(LOOKUP(2,1/((Budgets!$A$2:$A$200=BD$1)*(Budgets!$B$2:$B$200&lt;EDATE($A250,1))),Budgets!$C$2:$C$200),0))</f>
        <v/>
      </c>
      <c r="BE250" s="23">
        <f>IF(OR(BE$1="",$BM250=0),"",IFERROR(LOOKUP(2,1/((Budgets!$A$2:$A$200=BE$1)*(Budgets!$B$2:$B$200&lt;EDATE($A250,1))),Budgets!$C$2:$C$200),0))</f>
        <v/>
      </c>
      <c r="BF250" s="23">
        <f>IF(OR(BF$1="",$BM250=0),"",IFERROR(LOOKUP(2,1/((Budgets!$A$2:$A$200=BF$1)*(Budgets!$B$2:$B$200&lt;EDATE($A250,1))),Budgets!$C$2:$C$200),0))</f>
        <v/>
      </c>
      <c r="BG250" s="23">
        <f>IF(OR(BG$1="",$BM250=0),"",IFERROR(LOOKUP(2,1/((Budgets!$A$2:$A$200=BG$1)*(Budgets!$B$2:$B$200&lt;EDATE($A250,1))),Budgets!$C$2:$C$200),0))</f>
        <v/>
      </c>
      <c r="BH250" s="23">
        <f>IF(OR(BH$1="",$BM250=0),"",IFERROR(LOOKUP(2,1/((Budgets!$A$2:$A$200=BH$1)*(Budgets!$B$2:$B$200&lt;EDATE($A250,1))),Budgets!$C$2:$C$200),0))</f>
        <v/>
      </c>
      <c r="BI250" s="23">
        <f>IF(OR(BI$1="",$BM250=0),"",IFERROR(LOOKUP(2,1/((Budgets!$A$2:$A$200=BI$1)*(Budgets!$B$2:$B$200&lt;EDATE($A250,1))),Budgets!$C$2:$C$200),0))</f>
        <v/>
      </c>
      <c r="BJ250" s="23">
        <f>IF(OR(BJ$1="",$BM250=0),"",IFERROR(LOOKUP(2,1/((Budgets!$A$2:$A$200=BJ$1)*(Budgets!$B$2:$B$200&lt;EDATE($A250,1))),Budgets!$C$2:$C$200),0))</f>
        <v/>
      </c>
      <c r="BK250" s="23">
        <f>IF(OR(BK$1="",$BM250=0),"",IFERROR(LOOKUP(2,1/((Budgets!$A$2:$A$200=BK$1)*(Budgets!$B$2:$B$200&lt;EDATE($A250,1))),Budgets!$C$2:$C$200),0))</f>
        <v/>
      </c>
      <c r="BM250" s="21">
        <f>COUNTIFS(Entries!$A$2:$A$5000,"&gt;="&amp;$A250,Entries!$A$2:$A$5000,"&lt;"&amp;EDATE($A250,1))</f>
        <v/>
      </c>
    </row>
    <row r="251">
      <c r="A251" s="22" t="n">
        <v>47027</v>
      </c>
      <c r="B251" s="23">
        <f>IF($BM251=0,NA(),SUMIFS(Entries!$E$2:$E$5000,Entries!$C$2:$C$5000,"Income",Entries!$A$2:$A$5000,"&gt;="&amp;$A251,Entries!$A$2:$A$5000,"&lt;"&amp;EDATE($A251,1)))</f>
        <v/>
      </c>
      <c r="C251" s="23">
        <f>IF($BM251=0,"",SUMIFS(Entries!$E$2:$E$5000,Entries!$C$2:$C$5000,"Actual",Entries!$A$2:$A$5000,"&gt;="&amp;$A251,Entries!$A$2:$A$5000,"&lt;"&amp;EDATE($A251,1)))</f>
        <v/>
      </c>
      <c r="D251" s="23">
        <f>IF($BM251=0,"",SUMIFS(Entries!$E$2:$E$5000,Entries!$C$2:$C$5000,"One-off",Entries!$A$2:$A$5000,"&gt;="&amp;$A251,Entries!$A$2:$A$5000,"&lt;"&amp;EDATE($A251,1)))</f>
        <v/>
      </c>
      <c r="E251" s="23">
        <f>IF($BM251=0,NA(),C251+D251)</f>
        <v/>
      </c>
      <c r="F251" s="23">
        <f>IF($BM251=0,"",SUM(AR251:BK251))</f>
        <v/>
      </c>
      <c r="G251" s="23">
        <f>IF($BM251=0,"",B251-E251)</f>
        <v/>
      </c>
      <c r="H251" s="23">
        <f>IF($BM251=0,"",SUM($G$2:G251))</f>
        <v/>
      </c>
      <c r="I251" s="23">
        <f>IF($BM251=0,"",SUMIFS(Entries!$G$2:$G$5000,Entries!$A$2:$A$5000,"&gt;="&amp;$A251,Entries!$A$2:$A$5000,"&lt;"&amp;EDATE($A251,1)))</f>
        <v/>
      </c>
      <c r="J251" s="23">
        <f>IF($BM251=0,NA(),H251)</f>
        <v/>
      </c>
      <c r="K251" s="23">
        <f>IF($BM251=0,"",SUMIFS(Entries!$E$2:$E$5000,Entries!$C$2:$C$5000,"Income",Entries!$A$2:$A$5000,"&gt;="&amp;EDATE($A251,-11),Entries!$A$2:$A$5000,"&lt;"&amp;EDATE($A251,1))/COUNTIFS($A$2:$A$400,"&gt;="&amp;EDATE($A251,-11),$A$2:$A$400,"&lt;"&amp;EDATE($A251,1),$BM$2:$BM$400,"&gt;0"))</f>
      </c>
      <c r="L251" s="23">
        <f>IF($BM251=0,"",(SUMIFS(Entries!$E$2:$E$5000,Entries!$C$2:$C$5000,"Actual",Entries!$A$2:$A$5000,"&gt;="&amp;EDATE($A251,-11),Entries!$A$2:$A$5000,"&lt;"&amp;EDATE($A251,1))+SUMIFS(Entries!$E$2:$E$5000,Entries!$C$2:$C$5000,"One-off",Entries!$A$2:$A$5000,"&gt;="&amp;EDATE($A251,-11),Entries!$A$2:$A$5000,"&lt;"&amp;EDATE($A251,1)))/COUNTIFS($A$2:$A$400,"&gt;="&amp;EDATE($A251,-11),$A$2:$A$400,"&lt;"&amp;EDATE($A251,1),$BM$2:$BM$400,"&gt;0"))</f>
      </c>
      <c r="M251" s="24">
        <f>IF($BM251=0,NA(),IFERROR((K251-L251)/K251,0))</f>
        <v/>
      </c>
      <c r="N251" s="23">
        <f>IF($BM251=0,NA(),SUMIFS(Entries!$E$2:$E$5000,Entries!$D$2:$D$5000,"Core",Entries!$A$2:$A$5000,"&gt;="&amp;$A251,Entries!$A$2:$A$5000,"&lt;"&amp;EDATE($A251,1)))</f>
        <v/>
      </c>
      <c r="O251" s="23">
        <f>IF($BM251=0,NA(),SUMIFS(Entries!$E$2:$E$5000,Entries!$D$2:$D$5000,"Over &amp; above",Entries!$A$2:$A$5000,"&gt;="&amp;$A251,Entries!$A$2:$A$5000,"&lt;"&amp;EDATE($A251,1)))</f>
        <v/>
      </c>
      <c r="P251" s="23">
        <f>IF($BM251=0,NA(),SUMIFS(Entries!$E$2:$E$5000,Entries!$D$2:$D$5000,"One-off",Entries!$A$2:$A$5000,"&gt;="&amp;$A251,Entries!$A$2:$A$5000,"&lt;"&amp;EDATE($A251,1)))</f>
        <v/>
      </c>
      <c r="Q251" s="23">
        <f>IF($BM251=0,NA(),SUMIFS(Entries!$E$2:$E$5000,Entries!$D$2:$D$5000,"Reimbursable",Entries!$A$2:$A$5000,"&gt;="&amp;$A251,Entries!$A$2:$A$5000,"&lt;"&amp;EDATE($A251,1)))</f>
        <v/>
      </c>
      <c r="R251" s="23">
        <f>IF($BM251=0,NA(),SUMIFS(Entries!$E$2:$E$5000,Entries!$D$2:$D$5000,"Investment",Entries!$A$2:$A$5000,"&gt;="&amp;$A251,Entries!$A$2:$A$5000,"&lt;"&amp;EDATE($A251,1)))</f>
        <v/>
      </c>
      <c r="S251" s="23">
        <f>IF($BM251=0,NA(),N251+O251)</f>
        <v/>
      </c>
      <c r="T251" s="23">
        <f>IF($BM251=0,"",E251-Q251)</f>
        <v/>
      </c>
      <c r="W251" s="23">
        <f>IF(OR(W$1="",$BM251=0),"",SUMIFS(Entries!$E$2:$E$5000,Entries!$C$2:$C$5000,"Actual",Entries!$A$2:$A$5000,"&gt;="&amp;$A251,Entries!$A$2:$A$5000,"&lt;"&amp;EDATE($A251,1),Entries!$B$2:$B$5000,W$1))</f>
        <v/>
      </c>
      <c r="X251" s="23">
        <f>IF(OR(X$1="",$BM251=0),"",SUMIFS(Entries!$E$2:$E$5000,Entries!$C$2:$C$5000,"Actual",Entries!$A$2:$A$5000,"&gt;="&amp;$A251,Entries!$A$2:$A$5000,"&lt;"&amp;EDATE($A251,1),Entries!$B$2:$B$5000,X$1))</f>
        <v/>
      </c>
      <c r="Y251" s="23">
        <f>IF(OR(Y$1="",$BM251=0),"",SUMIFS(Entries!$E$2:$E$5000,Entries!$C$2:$C$5000,"Actual",Entries!$A$2:$A$5000,"&gt;="&amp;$A251,Entries!$A$2:$A$5000,"&lt;"&amp;EDATE($A251,1),Entries!$B$2:$B$5000,Y$1))</f>
        <v/>
      </c>
      <c r="Z251" s="23">
        <f>IF(OR(Z$1="",$BM251=0),"",SUMIFS(Entries!$E$2:$E$5000,Entries!$C$2:$C$5000,"Actual",Entries!$A$2:$A$5000,"&gt;="&amp;$A251,Entries!$A$2:$A$5000,"&lt;"&amp;EDATE($A251,1),Entries!$B$2:$B$5000,Z$1))</f>
        <v/>
      </c>
      <c r="AA251" s="23">
        <f>IF(OR(AA$1="",$BM251=0),"",SUMIFS(Entries!$E$2:$E$5000,Entries!$C$2:$C$5000,"Actual",Entries!$A$2:$A$5000,"&gt;="&amp;$A251,Entries!$A$2:$A$5000,"&lt;"&amp;EDATE($A251,1),Entries!$B$2:$B$5000,AA$1))</f>
        <v/>
      </c>
      <c r="AB251" s="23">
        <f>IF(OR(AB$1="",$BM251=0),"",SUMIFS(Entries!$E$2:$E$5000,Entries!$C$2:$C$5000,"Actual",Entries!$A$2:$A$5000,"&gt;="&amp;$A251,Entries!$A$2:$A$5000,"&lt;"&amp;EDATE($A251,1),Entries!$B$2:$B$5000,AB$1))</f>
        <v/>
      </c>
      <c r="AC251" s="23">
        <f>IF(OR(AC$1="",$BM251=0),"",SUMIFS(Entries!$E$2:$E$5000,Entries!$C$2:$C$5000,"Actual",Entries!$A$2:$A$5000,"&gt;="&amp;$A251,Entries!$A$2:$A$5000,"&lt;"&amp;EDATE($A251,1),Entries!$B$2:$B$5000,AC$1))</f>
        <v/>
      </c>
      <c r="AD251" s="23">
        <f>IF(OR(AD$1="",$BM251=0),"",SUMIFS(Entries!$E$2:$E$5000,Entries!$C$2:$C$5000,"Actual",Entries!$A$2:$A$5000,"&gt;="&amp;$A251,Entries!$A$2:$A$5000,"&lt;"&amp;EDATE($A251,1),Entries!$B$2:$B$5000,AD$1))</f>
        <v/>
      </c>
      <c r="AE251" s="23">
        <f>IF(OR(AE$1="",$BM251=0),"",SUMIFS(Entries!$E$2:$E$5000,Entries!$C$2:$C$5000,"Actual",Entries!$A$2:$A$5000,"&gt;="&amp;$A251,Entries!$A$2:$A$5000,"&lt;"&amp;EDATE($A251,1),Entries!$B$2:$B$5000,AE$1))</f>
        <v/>
      </c>
      <c r="AF251" s="23">
        <f>IF(OR(AF$1="",$BM251=0),"",SUMIFS(Entries!$E$2:$E$5000,Entries!$C$2:$C$5000,"Actual",Entries!$A$2:$A$5000,"&gt;="&amp;$A251,Entries!$A$2:$A$5000,"&lt;"&amp;EDATE($A251,1),Entries!$B$2:$B$5000,AF$1))</f>
        <v/>
      </c>
      <c r="AG251" s="23">
        <f>IF(OR(AG$1="",$BM251=0),"",SUMIFS(Entries!$E$2:$E$5000,Entries!$C$2:$C$5000,"Actual",Entries!$A$2:$A$5000,"&gt;="&amp;$A251,Entries!$A$2:$A$5000,"&lt;"&amp;EDATE($A251,1),Entries!$B$2:$B$5000,AG$1))</f>
        <v/>
      </c>
      <c r="AH251" s="23">
        <f>IF(OR(AH$1="",$BM251=0),"",SUMIFS(Entries!$E$2:$E$5000,Entries!$C$2:$C$5000,"Actual",Entries!$A$2:$A$5000,"&gt;="&amp;$A251,Entries!$A$2:$A$5000,"&lt;"&amp;EDATE($A251,1),Entries!$B$2:$B$5000,AH$1))</f>
        <v/>
      </c>
      <c r="AI251" s="23">
        <f>IF(OR(AI$1="",$BM251=0),"",SUMIFS(Entries!$E$2:$E$5000,Entries!$C$2:$C$5000,"Actual",Entries!$A$2:$A$5000,"&gt;="&amp;$A251,Entries!$A$2:$A$5000,"&lt;"&amp;EDATE($A251,1),Entries!$B$2:$B$5000,AI$1))</f>
        <v/>
      </c>
      <c r="AJ251" s="23">
        <f>IF(OR(AJ$1="",$BM251=0),"",SUMIFS(Entries!$E$2:$E$5000,Entries!$C$2:$C$5000,"Actual",Entries!$A$2:$A$5000,"&gt;="&amp;$A251,Entries!$A$2:$A$5000,"&lt;"&amp;EDATE($A251,1),Entries!$B$2:$B$5000,AJ$1))</f>
        <v/>
      </c>
      <c r="AK251" s="23">
        <f>IF(OR(AK$1="",$BM251=0),"",SUMIFS(Entries!$E$2:$E$5000,Entries!$C$2:$C$5000,"Actual",Entries!$A$2:$A$5000,"&gt;="&amp;$A251,Entries!$A$2:$A$5000,"&lt;"&amp;EDATE($A251,1),Entries!$B$2:$B$5000,AK$1))</f>
        <v/>
      </c>
      <c r="AL251" s="23">
        <f>IF(OR(AL$1="",$BM251=0),"",SUMIFS(Entries!$E$2:$E$5000,Entries!$C$2:$C$5000,"Actual",Entries!$A$2:$A$5000,"&gt;="&amp;$A251,Entries!$A$2:$A$5000,"&lt;"&amp;EDATE($A251,1),Entries!$B$2:$B$5000,AL$1))</f>
        <v/>
      </c>
      <c r="AM251" s="23">
        <f>IF(OR(AM$1="",$BM251=0),"",SUMIFS(Entries!$E$2:$E$5000,Entries!$C$2:$C$5000,"Actual",Entries!$A$2:$A$5000,"&gt;="&amp;$A251,Entries!$A$2:$A$5000,"&lt;"&amp;EDATE($A251,1),Entries!$B$2:$B$5000,AM$1))</f>
        <v/>
      </c>
      <c r="AN251" s="23">
        <f>IF(OR(AN$1="",$BM251=0),"",SUMIFS(Entries!$E$2:$E$5000,Entries!$C$2:$C$5000,"Actual",Entries!$A$2:$A$5000,"&gt;="&amp;$A251,Entries!$A$2:$A$5000,"&lt;"&amp;EDATE($A251,1),Entries!$B$2:$B$5000,AN$1))</f>
        <v/>
      </c>
      <c r="AO251" s="23">
        <f>IF(OR(AO$1="",$BM251=0),"",SUMIFS(Entries!$E$2:$E$5000,Entries!$C$2:$C$5000,"Actual",Entries!$A$2:$A$5000,"&gt;="&amp;$A251,Entries!$A$2:$A$5000,"&lt;"&amp;EDATE($A251,1),Entries!$B$2:$B$5000,AO$1))</f>
        <v/>
      </c>
      <c r="AP251" s="23">
        <f>IF(OR(AP$1="",$BM251=0),"",SUMIFS(Entries!$E$2:$E$5000,Entries!$C$2:$C$5000,"Actual",Entries!$A$2:$A$5000,"&gt;="&amp;$A251,Entries!$A$2:$A$5000,"&lt;"&amp;EDATE($A251,1),Entries!$B$2:$B$5000,AP$1))</f>
        <v/>
      </c>
      <c r="AR251" s="23">
        <f>IF(OR(AR$1="",$BM251=0),"",IFERROR(LOOKUP(2,1/((Budgets!$A$2:$A$200=AR$1)*(Budgets!$B$2:$B$200&lt;EDATE($A251,1))),Budgets!$C$2:$C$200),0))</f>
        <v/>
      </c>
      <c r="AS251" s="23">
        <f>IF(OR(AS$1="",$BM251=0),"",IFERROR(LOOKUP(2,1/((Budgets!$A$2:$A$200=AS$1)*(Budgets!$B$2:$B$200&lt;EDATE($A251,1))),Budgets!$C$2:$C$200),0))</f>
        <v/>
      </c>
      <c r="AT251" s="23">
        <f>IF(OR(AT$1="",$BM251=0),"",IFERROR(LOOKUP(2,1/((Budgets!$A$2:$A$200=AT$1)*(Budgets!$B$2:$B$200&lt;EDATE($A251,1))),Budgets!$C$2:$C$200),0))</f>
        <v/>
      </c>
      <c r="AU251" s="23">
        <f>IF(OR(AU$1="",$BM251=0),"",IFERROR(LOOKUP(2,1/((Budgets!$A$2:$A$200=AU$1)*(Budgets!$B$2:$B$200&lt;EDATE($A251,1))),Budgets!$C$2:$C$200),0))</f>
        <v/>
      </c>
      <c r="AV251" s="23">
        <f>IF(OR(AV$1="",$BM251=0),"",IFERROR(LOOKUP(2,1/((Budgets!$A$2:$A$200=AV$1)*(Budgets!$B$2:$B$200&lt;EDATE($A251,1))),Budgets!$C$2:$C$200),0))</f>
        <v/>
      </c>
      <c r="AW251" s="23">
        <f>IF(OR(AW$1="",$BM251=0),"",IFERROR(LOOKUP(2,1/((Budgets!$A$2:$A$200=AW$1)*(Budgets!$B$2:$B$200&lt;EDATE($A251,1))),Budgets!$C$2:$C$200),0))</f>
        <v/>
      </c>
      <c r="AX251" s="23">
        <f>IF(OR(AX$1="",$BM251=0),"",IFERROR(LOOKUP(2,1/((Budgets!$A$2:$A$200=AX$1)*(Budgets!$B$2:$B$200&lt;EDATE($A251,1))),Budgets!$C$2:$C$200),0))</f>
        <v/>
      </c>
      <c r="AY251" s="23">
        <f>IF(OR(AY$1="",$BM251=0),"",IFERROR(LOOKUP(2,1/((Budgets!$A$2:$A$200=AY$1)*(Budgets!$B$2:$B$200&lt;EDATE($A251,1))),Budgets!$C$2:$C$200),0))</f>
        <v/>
      </c>
      <c r="AZ251" s="23">
        <f>IF(OR(AZ$1="",$BM251=0),"",IFERROR(LOOKUP(2,1/((Budgets!$A$2:$A$200=AZ$1)*(Budgets!$B$2:$B$200&lt;EDATE($A251,1))),Budgets!$C$2:$C$200),0))</f>
        <v/>
      </c>
      <c r="BA251" s="23">
        <f>IF(OR(BA$1="",$BM251=0),"",IFERROR(LOOKUP(2,1/((Budgets!$A$2:$A$200=BA$1)*(Budgets!$B$2:$B$200&lt;EDATE($A251,1))),Budgets!$C$2:$C$200),0))</f>
        <v/>
      </c>
      <c r="BB251" s="23">
        <f>IF(OR(BB$1="",$BM251=0),"",IFERROR(LOOKUP(2,1/((Budgets!$A$2:$A$200=BB$1)*(Budgets!$B$2:$B$200&lt;EDATE($A251,1))),Budgets!$C$2:$C$200),0))</f>
        <v/>
      </c>
      <c r="BC251" s="23">
        <f>IF(OR(BC$1="",$BM251=0),"",IFERROR(LOOKUP(2,1/((Budgets!$A$2:$A$200=BC$1)*(Budgets!$B$2:$B$200&lt;EDATE($A251,1))),Budgets!$C$2:$C$200),0))</f>
        <v/>
      </c>
      <c r="BD251" s="23">
        <f>IF(OR(BD$1="",$BM251=0),"",IFERROR(LOOKUP(2,1/((Budgets!$A$2:$A$200=BD$1)*(Budgets!$B$2:$B$200&lt;EDATE($A251,1))),Budgets!$C$2:$C$200),0))</f>
        <v/>
      </c>
      <c r="BE251" s="23">
        <f>IF(OR(BE$1="",$BM251=0),"",IFERROR(LOOKUP(2,1/((Budgets!$A$2:$A$200=BE$1)*(Budgets!$B$2:$B$200&lt;EDATE($A251,1))),Budgets!$C$2:$C$200),0))</f>
        <v/>
      </c>
      <c r="BF251" s="23">
        <f>IF(OR(BF$1="",$BM251=0),"",IFERROR(LOOKUP(2,1/((Budgets!$A$2:$A$200=BF$1)*(Budgets!$B$2:$B$200&lt;EDATE($A251,1))),Budgets!$C$2:$C$200),0))</f>
        <v/>
      </c>
      <c r="BG251" s="23">
        <f>IF(OR(BG$1="",$BM251=0),"",IFERROR(LOOKUP(2,1/((Budgets!$A$2:$A$200=BG$1)*(Budgets!$B$2:$B$200&lt;EDATE($A251,1))),Budgets!$C$2:$C$200),0))</f>
        <v/>
      </c>
      <c r="BH251" s="23">
        <f>IF(OR(BH$1="",$BM251=0),"",IFERROR(LOOKUP(2,1/((Budgets!$A$2:$A$200=BH$1)*(Budgets!$B$2:$B$200&lt;EDATE($A251,1))),Budgets!$C$2:$C$200),0))</f>
        <v/>
      </c>
      <c r="BI251" s="23">
        <f>IF(OR(BI$1="",$BM251=0),"",IFERROR(LOOKUP(2,1/((Budgets!$A$2:$A$200=BI$1)*(Budgets!$B$2:$B$200&lt;EDATE($A251,1))),Budgets!$C$2:$C$200),0))</f>
        <v/>
      </c>
      <c r="BJ251" s="23">
        <f>IF(OR(BJ$1="",$BM251=0),"",IFERROR(LOOKUP(2,1/((Budgets!$A$2:$A$200=BJ$1)*(Budgets!$B$2:$B$200&lt;EDATE($A251,1))),Budgets!$C$2:$C$200),0))</f>
        <v/>
      </c>
      <c r="BK251" s="23">
        <f>IF(OR(BK$1="",$BM251=0),"",IFERROR(LOOKUP(2,1/((Budgets!$A$2:$A$200=BK$1)*(Budgets!$B$2:$B$200&lt;EDATE($A251,1))),Budgets!$C$2:$C$200),0))</f>
        <v/>
      </c>
      <c r="BM251" s="21">
        <f>COUNTIFS(Entries!$A$2:$A$5000,"&gt;="&amp;$A251,Entries!$A$2:$A$5000,"&lt;"&amp;EDATE($A251,1))</f>
        <v/>
      </c>
    </row>
    <row r="252">
      <c r="A252" s="22" t="n">
        <v>47058</v>
      </c>
      <c r="B252" s="23">
        <f>IF($BM252=0,NA(),SUMIFS(Entries!$E$2:$E$5000,Entries!$C$2:$C$5000,"Income",Entries!$A$2:$A$5000,"&gt;="&amp;$A252,Entries!$A$2:$A$5000,"&lt;"&amp;EDATE($A252,1)))</f>
        <v/>
      </c>
      <c r="C252" s="23">
        <f>IF($BM252=0,"",SUMIFS(Entries!$E$2:$E$5000,Entries!$C$2:$C$5000,"Actual",Entries!$A$2:$A$5000,"&gt;="&amp;$A252,Entries!$A$2:$A$5000,"&lt;"&amp;EDATE($A252,1)))</f>
        <v/>
      </c>
      <c r="D252" s="23">
        <f>IF($BM252=0,"",SUMIFS(Entries!$E$2:$E$5000,Entries!$C$2:$C$5000,"One-off",Entries!$A$2:$A$5000,"&gt;="&amp;$A252,Entries!$A$2:$A$5000,"&lt;"&amp;EDATE($A252,1)))</f>
        <v/>
      </c>
      <c r="E252" s="23">
        <f>IF($BM252=0,NA(),C252+D252)</f>
        <v/>
      </c>
      <c r="F252" s="23">
        <f>IF($BM252=0,"",SUM(AR252:BK252))</f>
        <v/>
      </c>
      <c r="G252" s="23">
        <f>IF($BM252=0,"",B252-E252)</f>
        <v/>
      </c>
      <c r="H252" s="23">
        <f>IF($BM252=0,"",SUM($G$2:G252))</f>
        <v/>
      </c>
      <c r="I252" s="23">
        <f>IF($BM252=0,"",SUMIFS(Entries!$G$2:$G$5000,Entries!$A$2:$A$5000,"&gt;="&amp;$A252,Entries!$A$2:$A$5000,"&lt;"&amp;EDATE($A252,1)))</f>
        <v/>
      </c>
      <c r="J252" s="23">
        <f>IF($BM252=0,NA(),H252)</f>
        <v/>
      </c>
      <c r="K252" s="23">
        <f>IF($BM252=0,"",SUMIFS(Entries!$E$2:$E$5000,Entries!$C$2:$C$5000,"Income",Entries!$A$2:$A$5000,"&gt;="&amp;EDATE($A252,-11),Entries!$A$2:$A$5000,"&lt;"&amp;EDATE($A252,1))/COUNTIFS($A$2:$A$400,"&gt;="&amp;EDATE($A252,-11),$A$2:$A$400,"&lt;"&amp;EDATE($A252,1),$BM$2:$BM$400,"&gt;0"))</f>
      </c>
      <c r="L252" s="23">
        <f>IF($BM252=0,"",(SUMIFS(Entries!$E$2:$E$5000,Entries!$C$2:$C$5000,"Actual",Entries!$A$2:$A$5000,"&gt;="&amp;EDATE($A252,-11),Entries!$A$2:$A$5000,"&lt;"&amp;EDATE($A252,1))+SUMIFS(Entries!$E$2:$E$5000,Entries!$C$2:$C$5000,"One-off",Entries!$A$2:$A$5000,"&gt;="&amp;EDATE($A252,-11),Entries!$A$2:$A$5000,"&lt;"&amp;EDATE($A252,1)))/COUNTIFS($A$2:$A$400,"&gt;="&amp;EDATE($A252,-11),$A$2:$A$400,"&lt;"&amp;EDATE($A252,1),$BM$2:$BM$400,"&gt;0"))</f>
      </c>
      <c r="M252" s="24">
        <f>IF($BM252=0,NA(),IFERROR((K252-L252)/K252,0))</f>
        <v/>
      </c>
      <c r="N252" s="23">
        <f>IF($BM252=0,NA(),SUMIFS(Entries!$E$2:$E$5000,Entries!$D$2:$D$5000,"Core",Entries!$A$2:$A$5000,"&gt;="&amp;$A252,Entries!$A$2:$A$5000,"&lt;"&amp;EDATE($A252,1)))</f>
        <v/>
      </c>
      <c r="O252" s="23">
        <f>IF($BM252=0,NA(),SUMIFS(Entries!$E$2:$E$5000,Entries!$D$2:$D$5000,"Over &amp; above",Entries!$A$2:$A$5000,"&gt;="&amp;$A252,Entries!$A$2:$A$5000,"&lt;"&amp;EDATE($A252,1)))</f>
        <v/>
      </c>
      <c r="P252" s="23">
        <f>IF($BM252=0,NA(),SUMIFS(Entries!$E$2:$E$5000,Entries!$D$2:$D$5000,"One-off",Entries!$A$2:$A$5000,"&gt;="&amp;$A252,Entries!$A$2:$A$5000,"&lt;"&amp;EDATE($A252,1)))</f>
        <v/>
      </c>
      <c r="Q252" s="23">
        <f>IF($BM252=0,NA(),SUMIFS(Entries!$E$2:$E$5000,Entries!$D$2:$D$5000,"Reimbursable",Entries!$A$2:$A$5000,"&gt;="&amp;$A252,Entries!$A$2:$A$5000,"&lt;"&amp;EDATE($A252,1)))</f>
        <v/>
      </c>
      <c r="R252" s="23">
        <f>IF($BM252=0,NA(),SUMIFS(Entries!$E$2:$E$5000,Entries!$D$2:$D$5000,"Investment",Entries!$A$2:$A$5000,"&gt;="&amp;$A252,Entries!$A$2:$A$5000,"&lt;"&amp;EDATE($A252,1)))</f>
        <v/>
      </c>
      <c r="S252" s="23">
        <f>IF($BM252=0,NA(),N252+O252)</f>
        <v/>
      </c>
      <c r="T252" s="23">
        <f>IF($BM252=0,"",E252-Q252)</f>
        <v/>
      </c>
      <c r="W252" s="23">
        <f>IF(OR(W$1="",$BM252=0),"",SUMIFS(Entries!$E$2:$E$5000,Entries!$C$2:$C$5000,"Actual",Entries!$A$2:$A$5000,"&gt;="&amp;$A252,Entries!$A$2:$A$5000,"&lt;"&amp;EDATE($A252,1),Entries!$B$2:$B$5000,W$1))</f>
        <v/>
      </c>
      <c r="X252" s="23">
        <f>IF(OR(X$1="",$BM252=0),"",SUMIFS(Entries!$E$2:$E$5000,Entries!$C$2:$C$5000,"Actual",Entries!$A$2:$A$5000,"&gt;="&amp;$A252,Entries!$A$2:$A$5000,"&lt;"&amp;EDATE($A252,1),Entries!$B$2:$B$5000,X$1))</f>
        <v/>
      </c>
      <c r="Y252" s="23">
        <f>IF(OR(Y$1="",$BM252=0),"",SUMIFS(Entries!$E$2:$E$5000,Entries!$C$2:$C$5000,"Actual",Entries!$A$2:$A$5000,"&gt;="&amp;$A252,Entries!$A$2:$A$5000,"&lt;"&amp;EDATE($A252,1),Entries!$B$2:$B$5000,Y$1))</f>
        <v/>
      </c>
      <c r="Z252" s="23">
        <f>IF(OR(Z$1="",$BM252=0),"",SUMIFS(Entries!$E$2:$E$5000,Entries!$C$2:$C$5000,"Actual",Entries!$A$2:$A$5000,"&gt;="&amp;$A252,Entries!$A$2:$A$5000,"&lt;"&amp;EDATE($A252,1),Entries!$B$2:$B$5000,Z$1))</f>
        <v/>
      </c>
      <c r="AA252" s="23">
        <f>IF(OR(AA$1="",$BM252=0),"",SUMIFS(Entries!$E$2:$E$5000,Entries!$C$2:$C$5000,"Actual",Entries!$A$2:$A$5000,"&gt;="&amp;$A252,Entries!$A$2:$A$5000,"&lt;"&amp;EDATE($A252,1),Entries!$B$2:$B$5000,AA$1))</f>
        <v/>
      </c>
      <c r="AB252" s="23">
        <f>IF(OR(AB$1="",$BM252=0),"",SUMIFS(Entries!$E$2:$E$5000,Entries!$C$2:$C$5000,"Actual",Entries!$A$2:$A$5000,"&gt;="&amp;$A252,Entries!$A$2:$A$5000,"&lt;"&amp;EDATE($A252,1),Entries!$B$2:$B$5000,AB$1))</f>
        <v/>
      </c>
      <c r="AC252" s="23">
        <f>IF(OR(AC$1="",$BM252=0),"",SUMIFS(Entries!$E$2:$E$5000,Entries!$C$2:$C$5000,"Actual",Entries!$A$2:$A$5000,"&gt;="&amp;$A252,Entries!$A$2:$A$5000,"&lt;"&amp;EDATE($A252,1),Entries!$B$2:$B$5000,AC$1))</f>
        <v/>
      </c>
      <c r="AD252" s="23">
        <f>IF(OR(AD$1="",$BM252=0),"",SUMIFS(Entries!$E$2:$E$5000,Entries!$C$2:$C$5000,"Actual",Entries!$A$2:$A$5000,"&gt;="&amp;$A252,Entries!$A$2:$A$5000,"&lt;"&amp;EDATE($A252,1),Entries!$B$2:$B$5000,AD$1))</f>
        <v/>
      </c>
      <c r="AE252" s="23">
        <f>IF(OR(AE$1="",$BM252=0),"",SUMIFS(Entries!$E$2:$E$5000,Entries!$C$2:$C$5000,"Actual",Entries!$A$2:$A$5000,"&gt;="&amp;$A252,Entries!$A$2:$A$5000,"&lt;"&amp;EDATE($A252,1),Entries!$B$2:$B$5000,AE$1))</f>
        <v/>
      </c>
      <c r="AF252" s="23">
        <f>IF(OR(AF$1="",$BM252=0),"",SUMIFS(Entries!$E$2:$E$5000,Entries!$C$2:$C$5000,"Actual",Entries!$A$2:$A$5000,"&gt;="&amp;$A252,Entries!$A$2:$A$5000,"&lt;"&amp;EDATE($A252,1),Entries!$B$2:$B$5000,AF$1))</f>
        <v/>
      </c>
      <c r="AG252" s="23">
        <f>IF(OR(AG$1="",$BM252=0),"",SUMIFS(Entries!$E$2:$E$5000,Entries!$C$2:$C$5000,"Actual",Entries!$A$2:$A$5000,"&gt;="&amp;$A252,Entries!$A$2:$A$5000,"&lt;"&amp;EDATE($A252,1),Entries!$B$2:$B$5000,AG$1))</f>
        <v/>
      </c>
      <c r="AH252" s="23">
        <f>IF(OR(AH$1="",$BM252=0),"",SUMIFS(Entries!$E$2:$E$5000,Entries!$C$2:$C$5000,"Actual",Entries!$A$2:$A$5000,"&gt;="&amp;$A252,Entries!$A$2:$A$5000,"&lt;"&amp;EDATE($A252,1),Entries!$B$2:$B$5000,AH$1))</f>
        <v/>
      </c>
      <c r="AI252" s="23">
        <f>IF(OR(AI$1="",$BM252=0),"",SUMIFS(Entries!$E$2:$E$5000,Entries!$C$2:$C$5000,"Actual",Entries!$A$2:$A$5000,"&gt;="&amp;$A252,Entries!$A$2:$A$5000,"&lt;"&amp;EDATE($A252,1),Entries!$B$2:$B$5000,AI$1))</f>
        <v/>
      </c>
      <c r="AJ252" s="23">
        <f>IF(OR(AJ$1="",$BM252=0),"",SUMIFS(Entries!$E$2:$E$5000,Entries!$C$2:$C$5000,"Actual",Entries!$A$2:$A$5000,"&gt;="&amp;$A252,Entries!$A$2:$A$5000,"&lt;"&amp;EDATE($A252,1),Entries!$B$2:$B$5000,AJ$1))</f>
        <v/>
      </c>
      <c r="AK252" s="23">
        <f>IF(OR(AK$1="",$BM252=0),"",SUMIFS(Entries!$E$2:$E$5000,Entries!$C$2:$C$5000,"Actual",Entries!$A$2:$A$5000,"&gt;="&amp;$A252,Entries!$A$2:$A$5000,"&lt;"&amp;EDATE($A252,1),Entries!$B$2:$B$5000,AK$1))</f>
        <v/>
      </c>
      <c r="AL252" s="23">
        <f>IF(OR(AL$1="",$BM252=0),"",SUMIFS(Entries!$E$2:$E$5000,Entries!$C$2:$C$5000,"Actual",Entries!$A$2:$A$5000,"&gt;="&amp;$A252,Entries!$A$2:$A$5000,"&lt;"&amp;EDATE($A252,1),Entries!$B$2:$B$5000,AL$1))</f>
        <v/>
      </c>
      <c r="AM252" s="23">
        <f>IF(OR(AM$1="",$BM252=0),"",SUMIFS(Entries!$E$2:$E$5000,Entries!$C$2:$C$5000,"Actual",Entries!$A$2:$A$5000,"&gt;="&amp;$A252,Entries!$A$2:$A$5000,"&lt;"&amp;EDATE($A252,1),Entries!$B$2:$B$5000,AM$1))</f>
        <v/>
      </c>
      <c r="AN252" s="23">
        <f>IF(OR(AN$1="",$BM252=0),"",SUMIFS(Entries!$E$2:$E$5000,Entries!$C$2:$C$5000,"Actual",Entries!$A$2:$A$5000,"&gt;="&amp;$A252,Entries!$A$2:$A$5000,"&lt;"&amp;EDATE($A252,1),Entries!$B$2:$B$5000,AN$1))</f>
        <v/>
      </c>
      <c r="AO252" s="23">
        <f>IF(OR(AO$1="",$BM252=0),"",SUMIFS(Entries!$E$2:$E$5000,Entries!$C$2:$C$5000,"Actual",Entries!$A$2:$A$5000,"&gt;="&amp;$A252,Entries!$A$2:$A$5000,"&lt;"&amp;EDATE($A252,1),Entries!$B$2:$B$5000,AO$1))</f>
        <v/>
      </c>
      <c r="AP252" s="23">
        <f>IF(OR(AP$1="",$BM252=0),"",SUMIFS(Entries!$E$2:$E$5000,Entries!$C$2:$C$5000,"Actual",Entries!$A$2:$A$5000,"&gt;="&amp;$A252,Entries!$A$2:$A$5000,"&lt;"&amp;EDATE($A252,1),Entries!$B$2:$B$5000,AP$1))</f>
        <v/>
      </c>
      <c r="AR252" s="23">
        <f>IF(OR(AR$1="",$BM252=0),"",IFERROR(LOOKUP(2,1/((Budgets!$A$2:$A$200=AR$1)*(Budgets!$B$2:$B$200&lt;EDATE($A252,1))),Budgets!$C$2:$C$200),0))</f>
        <v/>
      </c>
      <c r="AS252" s="23">
        <f>IF(OR(AS$1="",$BM252=0),"",IFERROR(LOOKUP(2,1/((Budgets!$A$2:$A$200=AS$1)*(Budgets!$B$2:$B$200&lt;EDATE($A252,1))),Budgets!$C$2:$C$200),0))</f>
        <v/>
      </c>
      <c r="AT252" s="23">
        <f>IF(OR(AT$1="",$BM252=0),"",IFERROR(LOOKUP(2,1/((Budgets!$A$2:$A$200=AT$1)*(Budgets!$B$2:$B$200&lt;EDATE($A252,1))),Budgets!$C$2:$C$200),0))</f>
        <v/>
      </c>
      <c r="AU252" s="23">
        <f>IF(OR(AU$1="",$BM252=0),"",IFERROR(LOOKUP(2,1/((Budgets!$A$2:$A$200=AU$1)*(Budgets!$B$2:$B$200&lt;EDATE($A252,1))),Budgets!$C$2:$C$200),0))</f>
        <v/>
      </c>
      <c r="AV252" s="23">
        <f>IF(OR(AV$1="",$BM252=0),"",IFERROR(LOOKUP(2,1/((Budgets!$A$2:$A$200=AV$1)*(Budgets!$B$2:$B$200&lt;EDATE($A252,1))),Budgets!$C$2:$C$200),0))</f>
        <v/>
      </c>
      <c r="AW252" s="23">
        <f>IF(OR(AW$1="",$BM252=0),"",IFERROR(LOOKUP(2,1/((Budgets!$A$2:$A$200=AW$1)*(Budgets!$B$2:$B$200&lt;EDATE($A252,1))),Budgets!$C$2:$C$200),0))</f>
        <v/>
      </c>
      <c r="AX252" s="23">
        <f>IF(OR(AX$1="",$BM252=0),"",IFERROR(LOOKUP(2,1/((Budgets!$A$2:$A$200=AX$1)*(Budgets!$B$2:$B$200&lt;EDATE($A252,1))),Budgets!$C$2:$C$200),0))</f>
        <v/>
      </c>
      <c r="AY252" s="23">
        <f>IF(OR(AY$1="",$BM252=0),"",IFERROR(LOOKUP(2,1/((Budgets!$A$2:$A$200=AY$1)*(Budgets!$B$2:$B$200&lt;EDATE($A252,1))),Budgets!$C$2:$C$200),0))</f>
        <v/>
      </c>
      <c r="AZ252" s="23">
        <f>IF(OR(AZ$1="",$BM252=0),"",IFERROR(LOOKUP(2,1/((Budgets!$A$2:$A$200=AZ$1)*(Budgets!$B$2:$B$200&lt;EDATE($A252,1))),Budgets!$C$2:$C$200),0))</f>
        <v/>
      </c>
      <c r="BA252" s="23">
        <f>IF(OR(BA$1="",$BM252=0),"",IFERROR(LOOKUP(2,1/((Budgets!$A$2:$A$200=BA$1)*(Budgets!$B$2:$B$200&lt;EDATE($A252,1))),Budgets!$C$2:$C$200),0))</f>
        <v/>
      </c>
      <c r="BB252" s="23">
        <f>IF(OR(BB$1="",$BM252=0),"",IFERROR(LOOKUP(2,1/((Budgets!$A$2:$A$200=BB$1)*(Budgets!$B$2:$B$200&lt;EDATE($A252,1))),Budgets!$C$2:$C$200),0))</f>
        <v/>
      </c>
      <c r="BC252" s="23">
        <f>IF(OR(BC$1="",$BM252=0),"",IFERROR(LOOKUP(2,1/((Budgets!$A$2:$A$200=BC$1)*(Budgets!$B$2:$B$200&lt;EDATE($A252,1))),Budgets!$C$2:$C$200),0))</f>
        <v/>
      </c>
      <c r="BD252" s="23">
        <f>IF(OR(BD$1="",$BM252=0),"",IFERROR(LOOKUP(2,1/((Budgets!$A$2:$A$200=BD$1)*(Budgets!$B$2:$B$200&lt;EDATE($A252,1))),Budgets!$C$2:$C$200),0))</f>
        <v/>
      </c>
      <c r="BE252" s="23">
        <f>IF(OR(BE$1="",$BM252=0),"",IFERROR(LOOKUP(2,1/((Budgets!$A$2:$A$200=BE$1)*(Budgets!$B$2:$B$200&lt;EDATE($A252,1))),Budgets!$C$2:$C$200),0))</f>
        <v/>
      </c>
      <c r="BF252" s="23">
        <f>IF(OR(BF$1="",$BM252=0),"",IFERROR(LOOKUP(2,1/((Budgets!$A$2:$A$200=BF$1)*(Budgets!$B$2:$B$200&lt;EDATE($A252,1))),Budgets!$C$2:$C$200),0))</f>
        <v/>
      </c>
      <c r="BG252" s="23">
        <f>IF(OR(BG$1="",$BM252=0),"",IFERROR(LOOKUP(2,1/((Budgets!$A$2:$A$200=BG$1)*(Budgets!$B$2:$B$200&lt;EDATE($A252,1))),Budgets!$C$2:$C$200),0))</f>
        <v/>
      </c>
      <c r="BH252" s="23">
        <f>IF(OR(BH$1="",$BM252=0),"",IFERROR(LOOKUP(2,1/((Budgets!$A$2:$A$200=BH$1)*(Budgets!$B$2:$B$200&lt;EDATE($A252,1))),Budgets!$C$2:$C$200),0))</f>
        <v/>
      </c>
      <c r="BI252" s="23">
        <f>IF(OR(BI$1="",$BM252=0),"",IFERROR(LOOKUP(2,1/((Budgets!$A$2:$A$200=BI$1)*(Budgets!$B$2:$B$200&lt;EDATE($A252,1))),Budgets!$C$2:$C$200),0))</f>
        <v/>
      </c>
      <c r="BJ252" s="23">
        <f>IF(OR(BJ$1="",$BM252=0),"",IFERROR(LOOKUP(2,1/((Budgets!$A$2:$A$200=BJ$1)*(Budgets!$B$2:$B$200&lt;EDATE($A252,1))),Budgets!$C$2:$C$200),0))</f>
        <v/>
      </c>
      <c r="BK252" s="23">
        <f>IF(OR(BK$1="",$BM252=0),"",IFERROR(LOOKUP(2,1/((Budgets!$A$2:$A$200=BK$1)*(Budgets!$B$2:$B$200&lt;EDATE($A252,1))),Budgets!$C$2:$C$200),0))</f>
        <v/>
      </c>
      <c r="BM252" s="21">
        <f>COUNTIFS(Entries!$A$2:$A$5000,"&gt;="&amp;$A252,Entries!$A$2:$A$5000,"&lt;"&amp;EDATE($A252,1))</f>
        <v/>
      </c>
    </row>
    <row r="253">
      <c r="A253" s="22" t="n">
        <v>47088</v>
      </c>
      <c r="B253" s="23">
        <f>IF($BM253=0,NA(),SUMIFS(Entries!$E$2:$E$5000,Entries!$C$2:$C$5000,"Income",Entries!$A$2:$A$5000,"&gt;="&amp;$A253,Entries!$A$2:$A$5000,"&lt;"&amp;EDATE($A253,1)))</f>
        <v/>
      </c>
      <c r="C253" s="23">
        <f>IF($BM253=0,"",SUMIFS(Entries!$E$2:$E$5000,Entries!$C$2:$C$5000,"Actual",Entries!$A$2:$A$5000,"&gt;="&amp;$A253,Entries!$A$2:$A$5000,"&lt;"&amp;EDATE($A253,1)))</f>
        <v/>
      </c>
      <c r="D253" s="23">
        <f>IF($BM253=0,"",SUMIFS(Entries!$E$2:$E$5000,Entries!$C$2:$C$5000,"One-off",Entries!$A$2:$A$5000,"&gt;="&amp;$A253,Entries!$A$2:$A$5000,"&lt;"&amp;EDATE($A253,1)))</f>
        <v/>
      </c>
      <c r="E253" s="23">
        <f>IF($BM253=0,NA(),C253+D253)</f>
        <v/>
      </c>
      <c r="F253" s="23">
        <f>IF($BM253=0,"",SUM(AR253:BK253))</f>
        <v/>
      </c>
      <c r="G253" s="23">
        <f>IF($BM253=0,"",B253-E253)</f>
        <v/>
      </c>
      <c r="H253" s="23">
        <f>IF($BM253=0,"",SUM($G$2:G253))</f>
        <v/>
      </c>
      <c r="I253" s="23">
        <f>IF($BM253=0,"",SUMIFS(Entries!$G$2:$G$5000,Entries!$A$2:$A$5000,"&gt;="&amp;$A253,Entries!$A$2:$A$5000,"&lt;"&amp;EDATE($A253,1)))</f>
        <v/>
      </c>
      <c r="J253" s="23">
        <f>IF($BM253=0,NA(),H253)</f>
        <v/>
      </c>
      <c r="K253" s="23">
        <f>IF($BM253=0,"",SUMIFS(Entries!$E$2:$E$5000,Entries!$C$2:$C$5000,"Income",Entries!$A$2:$A$5000,"&gt;="&amp;EDATE($A253,-11),Entries!$A$2:$A$5000,"&lt;"&amp;EDATE($A253,1))/COUNTIFS($A$2:$A$400,"&gt;="&amp;EDATE($A253,-11),$A$2:$A$400,"&lt;"&amp;EDATE($A253,1),$BM$2:$BM$400,"&gt;0"))</f>
      </c>
      <c r="L253" s="23">
        <f>IF($BM253=0,"",(SUMIFS(Entries!$E$2:$E$5000,Entries!$C$2:$C$5000,"Actual",Entries!$A$2:$A$5000,"&gt;="&amp;EDATE($A253,-11),Entries!$A$2:$A$5000,"&lt;"&amp;EDATE($A253,1))+SUMIFS(Entries!$E$2:$E$5000,Entries!$C$2:$C$5000,"One-off",Entries!$A$2:$A$5000,"&gt;="&amp;EDATE($A253,-11),Entries!$A$2:$A$5000,"&lt;"&amp;EDATE($A253,1)))/COUNTIFS($A$2:$A$400,"&gt;="&amp;EDATE($A253,-11),$A$2:$A$400,"&lt;"&amp;EDATE($A253,1),$BM$2:$BM$400,"&gt;0"))</f>
      </c>
      <c r="M253" s="24">
        <f>IF($BM253=0,NA(),IFERROR((K253-L253)/K253,0))</f>
        <v/>
      </c>
      <c r="N253" s="23">
        <f>IF($BM253=0,NA(),SUMIFS(Entries!$E$2:$E$5000,Entries!$D$2:$D$5000,"Core",Entries!$A$2:$A$5000,"&gt;="&amp;$A253,Entries!$A$2:$A$5000,"&lt;"&amp;EDATE($A253,1)))</f>
        <v/>
      </c>
      <c r="O253" s="23">
        <f>IF($BM253=0,NA(),SUMIFS(Entries!$E$2:$E$5000,Entries!$D$2:$D$5000,"Over &amp; above",Entries!$A$2:$A$5000,"&gt;="&amp;$A253,Entries!$A$2:$A$5000,"&lt;"&amp;EDATE($A253,1)))</f>
        <v/>
      </c>
      <c r="P253" s="23">
        <f>IF($BM253=0,NA(),SUMIFS(Entries!$E$2:$E$5000,Entries!$D$2:$D$5000,"One-off",Entries!$A$2:$A$5000,"&gt;="&amp;$A253,Entries!$A$2:$A$5000,"&lt;"&amp;EDATE($A253,1)))</f>
        <v/>
      </c>
      <c r="Q253" s="23">
        <f>IF($BM253=0,NA(),SUMIFS(Entries!$E$2:$E$5000,Entries!$D$2:$D$5000,"Reimbursable",Entries!$A$2:$A$5000,"&gt;="&amp;$A253,Entries!$A$2:$A$5000,"&lt;"&amp;EDATE($A253,1)))</f>
        <v/>
      </c>
      <c r="R253" s="23">
        <f>IF($BM253=0,NA(),SUMIFS(Entries!$E$2:$E$5000,Entries!$D$2:$D$5000,"Investment",Entries!$A$2:$A$5000,"&gt;="&amp;$A253,Entries!$A$2:$A$5000,"&lt;"&amp;EDATE($A253,1)))</f>
        <v/>
      </c>
      <c r="S253" s="23">
        <f>IF($BM253=0,NA(),N253+O253)</f>
        <v/>
      </c>
      <c r="T253" s="23">
        <f>IF($BM253=0,"",E253-Q253)</f>
        <v/>
      </c>
      <c r="W253" s="23">
        <f>IF(OR(W$1="",$BM253=0),"",SUMIFS(Entries!$E$2:$E$5000,Entries!$C$2:$C$5000,"Actual",Entries!$A$2:$A$5000,"&gt;="&amp;$A253,Entries!$A$2:$A$5000,"&lt;"&amp;EDATE($A253,1),Entries!$B$2:$B$5000,W$1))</f>
        <v/>
      </c>
      <c r="X253" s="23">
        <f>IF(OR(X$1="",$BM253=0),"",SUMIFS(Entries!$E$2:$E$5000,Entries!$C$2:$C$5000,"Actual",Entries!$A$2:$A$5000,"&gt;="&amp;$A253,Entries!$A$2:$A$5000,"&lt;"&amp;EDATE($A253,1),Entries!$B$2:$B$5000,X$1))</f>
        <v/>
      </c>
      <c r="Y253" s="23">
        <f>IF(OR(Y$1="",$BM253=0),"",SUMIFS(Entries!$E$2:$E$5000,Entries!$C$2:$C$5000,"Actual",Entries!$A$2:$A$5000,"&gt;="&amp;$A253,Entries!$A$2:$A$5000,"&lt;"&amp;EDATE($A253,1),Entries!$B$2:$B$5000,Y$1))</f>
        <v/>
      </c>
      <c r="Z253" s="23">
        <f>IF(OR(Z$1="",$BM253=0),"",SUMIFS(Entries!$E$2:$E$5000,Entries!$C$2:$C$5000,"Actual",Entries!$A$2:$A$5000,"&gt;="&amp;$A253,Entries!$A$2:$A$5000,"&lt;"&amp;EDATE($A253,1),Entries!$B$2:$B$5000,Z$1))</f>
        <v/>
      </c>
      <c r="AA253" s="23">
        <f>IF(OR(AA$1="",$BM253=0),"",SUMIFS(Entries!$E$2:$E$5000,Entries!$C$2:$C$5000,"Actual",Entries!$A$2:$A$5000,"&gt;="&amp;$A253,Entries!$A$2:$A$5000,"&lt;"&amp;EDATE($A253,1),Entries!$B$2:$B$5000,AA$1))</f>
        <v/>
      </c>
      <c r="AB253" s="23">
        <f>IF(OR(AB$1="",$BM253=0),"",SUMIFS(Entries!$E$2:$E$5000,Entries!$C$2:$C$5000,"Actual",Entries!$A$2:$A$5000,"&gt;="&amp;$A253,Entries!$A$2:$A$5000,"&lt;"&amp;EDATE($A253,1),Entries!$B$2:$B$5000,AB$1))</f>
        <v/>
      </c>
      <c r="AC253" s="23">
        <f>IF(OR(AC$1="",$BM253=0),"",SUMIFS(Entries!$E$2:$E$5000,Entries!$C$2:$C$5000,"Actual",Entries!$A$2:$A$5000,"&gt;="&amp;$A253,Entries!$A$2:$A$5000,"&lt;"&amp;EDATE($A253,1),Entries!$B$2:$B$5000,AC$1))</f>
        <v/>
      </c>
      <c r="AD253" s="23">
        <f>IF(OR(AD$1="",$BM253=0),"",SUMIFS(Entries!$E$2:$E$5000,Entries!$C$2:$C$5000,"Actual",Entries!$A$2:$A$5000,"&gt;="&amp;$A253,Entries!$A$2:$A$5000,"&lt;"&amp;EDATE($A253,1),Entries!$B$2:$B$5000,AD$1))</f>
        <v/>
      </c>
      <c r="AE253" s="23">
        <f>IF(OR(AE$1="",$BM253=0),"",SUMIFS(Entries!$E$2:$E$5000,Entries!$C$2:$C$5000,"Actual",Entries!$A$2:$A$5000,"&gt;="&amp;$A253,Entries!$A$2:$A$5000,"&lt;"&amp;EDATE($A253,1),Entries!$B$2:$B$5000,AE$1))</f>
        <v/>
      </c>
      <c r="AF253" s="23">
        <f>IF(OR(AF$1="",$BM253=0),"",SUMIFS(Entries!$E$2:$E$5000,Entries!$C$2:$C$5000,"Actual",Entries!$A$2:$A$5000,"&gt;="&amp;$A253,Entries!$A$2:$A$5000,"&lt;"&amp;EDATE($A253,1),Entries!$B$2:$B$5000,AF$1))</f>
        <v/>
      </c>
      <c r="AG253" s="23">
        <f>IF(OR(AG$1="",$BM253=0),"",SUMIFS(Entries!$E$2:$E$5000,Entries!$C$2:$C$5000,"Actual",Entries!$A$2:$A$5000,"&gt;="&amp;$A253,Entries!$A$2:$A$5000,"&lt;"&amp;EDATE($A253,1),Entries!$B$2:$B$5000,AG$1))</f>
        <v/>
      </c>
      <c r="AH253" s="23">
        <f>IF(OR(AH$1="",$BM253=0),"",SUMIFS(Entries!$E$2:$E$5000,Entries!$C$2:$C$5000,"Actual",Entries!$A$2:$A$5000,"&gt;="&amp;$A253,Entries!$A$2:$A$5000,"&lt;"&amp;EDATE($A253,1),Entries!$B$2:$B$5000,AH$1))</f>
        <v/>
      </c>
      <c r="AI253" s="23">
        <f>IF(OR(AI$1="",$BM253=0),"",SUMIFS(Entries!$E$2:$E$5000,Entries!$C$2:$C$5000,"Actual",Entries!$A$2:$A$5000,"&gt;="&amp;$A253,Entries!$A$2:$A$5000,"&lt;"&amp;EDATE($A253,1),Entries!$B$2:$B$5000,AI$1))</f>
        <v/>
      </c>
      <c r="AJ253" s="23">
        <f>IF(OR(AJ$1="",$BM253=0),"",SUMIFS(Entries!$E$2:$E$5000,Entries!$C$2:$C$5000,"Actual",Entries!$A$2:$A$5000,"&gt;="&amp;$A253,Entries!$A$2:$A$5000,"&lt;"&amp;EDATE($A253,1),Entries!$B$2:$B$5000,AJ$1))</f>
        <v/>
      </c>
      <c r="AK253" s="23">
        <f>IF(OR(AK$1="",$BM253=0),"",SUMIFS(Entries!$E$2:$E$5000,Entries!$C$2:$C$5000,"Actual",Entries!$A$2:$A$5000,"&gt;="&amp;$A253,Entries!$A$2:$A$5000,"&lt;"&amp;EDATE($A253,1),Entries!$B$2:$B$5000,AK$1))</f>
        <v/>
      </c>
      <c r="AL253" s="23">
        <f>IF(OR(AL$1="",$BM253=0),"",SUMIFS(Entries!$E$2:$E$5000,Entries!$C$2:$C$5000,"Actual",Entries!$A$2:$A$5000,"&gt;="&amp;$A253,Entries!$A$2:$A$5000,"&lt;"&amp;EDATE($A253,1),Entries!$B$2:$B$5000,AL$1))</f>
        <v/>
      </c>
      <c r="AM253" s="23">
        <f>IF(OR(AM$1="",$BM253=0),"",SUMIFS(Entries!$E$2:$E$5000,Entries!$C$2:$C$5000,"Actual",Entries!$A$2:$A$5000,"&gt;="&amp;$A253,Entries!$A$2:$A$5000,"&lt;"&amp;EDATE($A253,1),Entries!$B$2:$B$5000,AM$1))</f>
        <v/>
      </c>
      <c r="AN253" s="23">
        <f>IF(OR(AN$1="",$BM253=0),"",SUMIFS(Entries!$E$2:$E$5000,Entries!$C$2:$C$5000,"Actual",Entries!$A$2:$A$5000,"&gt;="&amp;$A253,Entries!$A$2:$A$5000,"&lt;"&amp;EDATE($A253,1),Entries!$B$2:$B$5000,AN$1))</f>
        <v/>
      </c>
      <c r="AO253" s="23">
        <f>IF(OR(AO$1="",$BM253=0),"",SUMIFS(Entries!$E$2:$E$5000,Entries!$C$2:$C$5000,"Actual",Entries!$A$2:$A$5000,"&gt;="&amp;$A253,Entries!$A$2:$A$5000,"&lt;"&amp;EDATE($A253,1),Entries!$B$2:$B$5000,AO$1))</f>
        <v/>
      </c>
      <c r="AP253" s="23">
        <f>IF(OR(AP$1="",$BM253=0),"",SUMIFS(Entries!$E$2:$E$5000,Entries!$C$2:$C$5000,"Actual",Entries!$A$2:$A$5000,"&gt;="&amp;$A253,Entries!$A$2:$A$5000,"&lt;"&amp;EDATE($A253,1),Entries!$B$2:$B$5000,AP$1))</f>
        <v/>
      </c>
      <c r="AR253" s="23">
        <f>IF(OR(AR$1="",$BM253=0),"",IFERROR(LOOKUP(2,1/((Budgets!$A$2:$A$200=AR$1)*(Budgets!$B$2:$B$200&lt;EDATE($A253,1))),Budgets!$C$2:$C$200),0))</f>
        <v/>
      </c>
      <c r="AS253" s="23">
        <f>IF(OR(AS$1="",$BM253=0),"",IFERROR(LOOKUP(2,1/((Budgets!$A$2:$A$200=AS$1)*(Budgets!$B$2:$B$200&lt;EDATE($A253,1))),Budgets!$C$2:$C$200),0))</f>
        <v/>
      </c>
      <c r="AT253" s="23">
        <f>IF(OR(AT$1="",$BM253=0),"",IFERROR(LOOKUP(2,1/((Budgets!$A$2:$A$200=AT$1)*(Budgets!$B$2:$B$200&lt;EDATE($A253,1))),Budgets!$C$2:$C$200),0))</f>
        <v/>
      </c>
      <c r="AU253" s="23">
        <f>IF(OR(AU$1="",$BM253=0),"",IFERROR(LOOKUP(2,1/((Budgets!$A$2:$A$200=AU$1)*(Budgets!$B$2:$B$200&lt;EDATE($A253,1))),Budgets!$C$2:$C$200),0))</f>
        <v/>
      </c>
      <c r="AV253" s="23">
        <f>IF(OR(AV$1="",$BM253=0),"",IFERROR(LOOKUP(2,1/((Budgets!$A$2:$A$200=AV$1)*(Budgets!$B$2:$B$200&lt;EDATE($A253,1))),Budgets!$C$2:$C$200),0))</f>
        <v/>
      </c>
      <c r="AW253" s="23">
        <f>IF(OR(AW$1="",$BM253=0),"",IFERROR(LOOKUP(2,1/((Budgets!$A$2:$A$200=AW$1)*(Budgets!$B$2:$B$200&lt;EDATE($A253,1))),Budgets!$C$2:$C$200),0))</f>
        <v/>
      </c>
      <c r="AX253" s="23">
        <f>IF(OR(AX$1="",$BM253=0),"",IFERROR(LOOKUP(2,1/((Budgets!$A$2:$A$200=AX$1)*(Budgets!$B$2:$B$200&lt;EDATE($A253,1))),Budgets!$C$2:$C$200),0))</f>
        <v/>
      </c>
      <c r="AY253" s="23">
        <f>IF(OR(AY$1="",$BM253=0),"",IFERROR(LOOKUP(2,1/((Budgets!$A$2:$A$200=AY$1)*(Budgets!$B$2:$B$200&lt;EDATE($A253,1))),Budgets!$C$2:$C$200),0))</f>
        <v/>
      </c>
      <c r="AZ253" s="23">
        <f>IF(OR(AZ$1="",$BM253=0),"",IFERROR(LOOKUP(2,1/((Budgets!$A$2:$A$200=AZ$1)*(Budgets!$B$2:$B$200&lt;EDATE($A253,1))),Budgets!$C$2:$C$200),0))</f>
        <v/>
      </c>
      <c r="BA253" s="23">
        <f>IF(OR(BA$1="",$BM253=0),"",IFERROR(LOOKUP(2,1/((Budgets!$A$2:$A$200=BA$1)*(Budgets!$B$2:$B$200&lt;EDATE($A253,1))),Budgets!$C$2:$C$200),0))</f>
        <v/>
      </c>
      <c r="BB253" s="23">
        <f>IF(OR(BB$1="",$BM253=0),"",IFERROR(LOOKUP(2,1/((Budgets!$A$2:$A$200=BB$1)*(Budgets!$B$2:$B$200&lt;EDATE($A253,1))),Budgets!$C$2:$C$200),0))</f>
        <v/>
      </c>
      <c r="BC253" s="23">
        <f>IF(OR(BC$1="",$BM253=0),"",IFERROR(LOOKUP(2,1/((Budgets!$A$2:$A$200=BC$1)*(Budgets!$B$2:$B$200&lt;EDATE($A253,1))),Budgets!$C$2:$C$200),0))</f>
        <v/>
      </c>
      <c r="BD253" s="23">
        <f>IF(OR(BD$1="",$BM253=0),"",IFERROR(LOOKUP(2,1/((Budgets!$A$2:$A$200=BD$1)*(Budgets!$B$2:$B$200&lt;EDATE($A253,1))),Budgets!$C$2:$C$200),0))</f>
        <v/>
      </c>
      <c r="BE253" s="23">
        <f>IF(OR(BE$1="",$BM253=0),"",IFERROR(LOOKUP(2,1/((Budgets!$A$2:$A$200=BE$1)*(Budgets!$B$2:$B$200&lt;EDATE($A253,1))),Budgets!$C$2:$C$200),0))</f>
        <v/>
      </c>
      <c r="BF253" s="23">
        <f>IF(OR(BF$1="",$BM253=0),"",IFERROR(LOOKUP(2,1/((Budgets!$A$2:$A$200=BF$1)*(Budgets!$B$2:$B$200&lt;EDATE($A253,1))),Budgets!$C$2:$C$200),0))</f>
        <v/>
      </c>
      <c r="BG253" s="23">
        <f>IF(OR(BG$1="",$BM253=0),"",IFERROR(LOOKUP(2,1/((Budgets!$A$2:$A$200=BG$1)*(Budgets!$B$2:$B$200&lt;EDATE($A253,1))),Budgets!$C$2:$C$200),0))</f>
        <v/>
      </c>
      <c r="BH253" s="23">
        <f>IF(OR(BH$1="",$BM253=0),"",IFERROR(LOOKUP(2,1/((Budgets!$A$2:$A$200=BH$1)*(Budgets!$B$2:$B$200&lt;EDATE($A253,1))),Budgets!$C$2:$C$200),0))</f>
        <v/>
      </c>
      <c r="BI253" s="23">
        <f>IF(OR(BI$1="",$BM253=0),"",IFERROR(LOOKUP(2,1/((Budgets!$A$2:$A$200=BI$1)*(Budgets!$B$2:$B$200&lt;EDATE($A253,1))),Budgets!$C$2:$C$200),0))</f>
        <v/>
      </c>
      <c r="BJ253" s="23">
        <f>IF(OR(BJ$1="",$BM253=0),"",IFERROR(LOOKUP(2,1/((Budgets!$A$2:$A$200=BJ$1)*(Budgets!$B$2:$B$200&lt;EDATE($A253,1))),Budgets!$C$2:$C$200),0))</f>
        <v/>
      </c>
      <c r="BK253" s="23">
        <f>IF(OR(BK$1="",$BM253=0),"",IFERROR(LOOKUP(2,1/((Budgets!$A$2:$A$200=BK$1)*(Budgets!$B$2:$B$200&lt;EDATE($A253,1))),Budgets!$C$2:$C$200),0))</f>
        <v/>
      </c>
      <c r="BM253" s="21">
        <f>COUNTIFS(Entries!$A$2:$A$5000,"&gt;="&amp;$A253,Entries!$A$2:$A$5000,"&lt;"&amp;EDATE($A253,1))</f>
        <v/>
      </c>
    </row>
    <row r="254">
      <c r="A254" s="22" t="n">
        <v>47119</v>
      </c>
      <c r="B254" s="23">
        <f>IF($BM254=0,NA(),SUMIFS(Entries!$E$2:$E$5000,Entries!$C$2:$C$5000,"Income",Entries!$A$2:$A$5000,"&gt;="&amp;$A254,Entries!$A$2:$A$5000,"&lt;"&amp;EDATE($A254,1)))</f>
        <v/>
      </c>
      <c r="C254" s="23">
        <f>IF($BM254=0,"",SUMIFS(Entries!$E$2:$E$5000,Entries!$C$2:$C$5000,"Actual",Entries!$A$2:$A$5000,"&gt;="&amp;$A254,Entries!$A$2:$A$5000,"&lt;"&amp;EDATE($A254,1)))</f>
        <v/>
      </c>
      <c r="D254" s="23">
        <f>IF($BM254=0,"",SUMIFS(Entries!$E$2:$E$5000,Entries!$C$2:$C$5000,"One-off",Entries!$A$2:$A$5000,"&gt;="&amp;$A254,Entries!$A$2:$A$5000,"&lt;"&amp;EDATE($A254,1)))</f>
        <v/>
      </c>
      <c r="E254" s="23">
        <f>IF($BM254=0,NA(),C254+D254)</f>
        <v/>
      </c>
      <c r="F254" s="23">
        <f>IF($BM254=0,"",SUM(AR254:BK254))</f>
        <v/>
      </c>
      <c r="G254" s="23">
        <f>IF($BM254=0,"",B254-E254)</f>
        <v/>
      </c>
      <c r="H254" s="23">
        <f>IF($BM254=0,"",SUM($G$2:G254))</f>
        <v/>
      </c>
      <c r="I254" s="23">
        <f>IF($BM254=0,"",SUMIFS(Entries!$G$2:$G$5000,Entries!$A$2:$A$5000,"&gt;="&amp;$A254,Entries!$A$2:$A$5000,"&lt;"&amp;EDATE($A254,1)))</f>
        <v/>
      </c>
      <c r="J254" s="23">
        <f>IF($BM254=0,NA(),H254)</f>
        <v/>
      </c>
      <c r="K254" s="23">
        <f>IF($BM254=0,"",SUMIFS(Entries!$E$2:$E$5000,Entries!$C$2:$C$5000,"Income",Entries!$A$2:$A$5000,"&gt;="&amp;EDATE($A254,-11),Entries!$A$2:$A$5000,"&lt;"&amp;EDATE($A254,1))/COUNTIFS($A$2:$A$400,"&gt;="&amp;EDATE($A254,-11),$A$2:$A$400,"&lt;"&amp;EDATE($A254,1),$BM$2:$BM$400,"&gt;0"))</f>
      </c>
      <c r="L254" s="23">
        <f>IF($BM254=0,"",(SUMIFS(Entries!$E$2:$E$5000,Entries!$C$2:$C$5000,"Actual",Entries!$A$2:$A$5000,"&gt;="&amp;EDATE($A254,-11),Entries!$A$2:$A$5000,"&lt;"&amp;EDATE($A254,1))+SUMIFS(Entries!$E$2:$E$5000,Entries!$C$2:$C$5000,"One-off",Entries!$A$2:$A$5000,"&gt;="&amp;EDATE($A254,-11),Entries!$A$2:$A$5000,"&lt;"&amp;EDATE($A254,1)))/COUNTIFS($A$2:$A$400,"&gt;="&amp;EDATE($A254,-11),$A$2:$A$400,"&lt;"&amp;EDATE($A254,1),$BM$2:$BM$400,"&gt;0"))</f>
      </c>
      <c r="M254" s="24">
        <f>IF($BM254=0,NA(),IFERROR((K254-L254)/K254,0))</f>
        <v/>
      </c>
      <c r="N254" s="23">
        <f>IF($BM254=0,NA(),SUMIFS(Entries!$E$2:$E$5000,Entries!$D$2:$D$5000,"Core",Entries!$A$2:$A$5000,"&gt;="&amp;$A254,Entries!$A$2:$A$5000,"&lt;"&amp;EDATE($A254,1)))</f>
        <v/>
      </c>
      <c r="O254" s="23">
        <f>IF($BM254=0,NA(),SUMIFS(Entries!$E$2:$E$5000,Entries!$D$2:$D$5000,"Over &amp; above",Entries!$A$2:$A$5000,"&gt;="&amp;$A254,Entries!$A$2:$A$5000,"&lt;"&amp;EDATE($A254,1)))</f>
        <v/>
      </c>
      <c r="P254" s="23">
        <f>IF($BM254=0,NA(),SUMIFS(Entries!$E$2:$E$5000,Entries!$D$2:$D$5000,"One-off",Entries!$A$2:$A$5000,"&gt;="&amp;$A254,Entries!$A$2:$A$5000,"&lt;"&amp;EDATE($A254,1)))</f>
        <v/>
      </c>
      <c r="Q254" s="23">
        <f>IF($BM254=0,NA(),SUMIFS(Entries!$E$2:$E$5000,Entries!$D$2:$D$5000,"Reimbursable",Entries!$A$2:$A$5000,"&gt;="&amp;$A254,Entries!$A$2:$A$5000,"&lt;"&amp;EDATE($A254,1)))</f>
        <v/>
      </c>
      <c r="R254" s="23">
        <f>IF($BM254=0,NA(),SUMIFS(Entries!$E$2:$E$5000,Entries!$D$2:$D$5000,"Investment",Entries!$A$2:$A$5000,"&gt;="&amp;$A254,Entries!$A$2:$A$5000,"&lt;"&amp;EDATE($A254,1)))</f>
        <v/>
      </c>
      <c r="S254" s="23">
        <f>IF($BM254=0,NA(),N254+O254)</f>
        <v/>
      </c>
      <c r="T254" s="23">
        <f>IF($BM254=0,"",E254-Q254)</f>
        <v/>
      </c>
      <c r="W254" s="23">
        <f>IF(OR(W$1="",$BM254=0),"",SUMIFS(Entries!$E$2:$E$5000,Entries!$C$2:$C$5000,"Actual",Entries!$A$2:$A$5000,"&gt;="&amp;$A254,Entries!$A$2:$A$5000,"&lt;"&amp;EDATE($A254,1),Entries!$B$2:$B$5000,W$1))</f>
        <v/>
      </c>
      <c r="X254" s="23">
        <f>IF(OR(X$1="",$BM254=0),"",SUMIFS(Entries!$E$2:$E$5000,Entries!$C$2:$C$5000,"Actual",Entries!$A$2:$A$5000,"&gt;="&amp;$A254,Entries!$A$2:$A$5000,"&lt;"&amp;EDATE($A254,1),Entries!$B$2:$B$5000,X$1))</f>
        <v/>
      </c>
      <c r="Y254" s="23">
        <f>IF(OR(Y$1="",$BM254=0),"",SUMIFS(Entries!$E$2:$E$5000,Entries!$C$2:$C$5000,"Actual",Entries!$A$2:$A$5000,"&gt;="&amp;$A254,Entries!$A$2:$A$5000,"&lt;"&amp;EDATE($A254,1),Entries!$B$2:$B$5000,Y$1))</f>
        <v/>
      </c>
      <c r="Z254" s="23">
        <f>IF(OR(Z$1="",$BM254=0),"",SUMIFS(Entries!$E$2:$E$5000,Entries!$C$2:$C$5000,"Actual",Entries!$A$2:$A$5000,"&gt;="&amp;$A254,Entries!$A$2:$A$5000,"&lt;"&amp;EDATE($A254,1),Entries!$B$2:$B$5000,Z$1))</f>
        <v/>
      </c>
      <c r="AA254" s="23">
        <f>IF(OR(AA$1="",$BM254=0),"",SUMIFS(Entries!$E$2:$E$5000,Entries!$C$2:$C$5000,"Actual",Entries!$A$2:$A$5000,"&gt;="&amp;$A254,Entries!$A$2:$A$5000,"&lt;"&amp;EDATE($A254,1),Entries!$B$2:$B$5000,AA$1))</f>
        <v/>
      </c>
      <c r="AB254" s="23">
        <f>IF(OR(AB$1="",$BM254=0),"",SUMIFS(Entries!$E$2:$E$5000,Entries!$C$2:$C$5000,"Actual",Entries!$A$2:$A$5000,"&gt;="&amp;$A254,Entries!$A$2:$A$5000,"&lt;"&amp;EDATE($A254,1),Entries!$B$2:$B$5000,AB$1))</f>
        <v/>
      </c>
      <c r="AC254" s="23">
        <f>IF(OR(AC$1="",$BM254=0),"",SUMIFS(Entries!$E$2:$E$5000,Entries!$C$2:$C$5000,"Actual",Entries!$A$2:$A$5000,"&gt;="&amp;$A254,Entries!$A$2:$A$5000,"&lt;"&amp;EDATE($A254,1),Entries!$B$2:$B$5000,AC$1))</f>
        <v/>
      </c>
      <c r="AD254" s="23">
        <f>IF(OR(AD$1="",$BM254=0),"",SUMIFS(Entries!$E$2:$E$5000,Entries!$C$2:$C$5000,"Actual",Entries!$A$2:$A$5000,"&gt;="&amp;$A254,Entries!$A$2:$A$5000,"&lt;"&amp;EDATE($A254,1),Entries!$B$2:$B$5000,AD$1))</f>
        <v/>
      </c>
      <c r="AE254" s="23">
        <f>IF(OR(AE$1="",$BM254=0),"",SUMIFS(Entries!$E$2:$E$5000,Entries!$C$2:$C$5000,"Actual",Entries!$A$2:$A$5000,"&gt;="&amp;$A254,Entries!$A$2:$A$5000,"&lt;"&amp;EDATE($A254,1),Entries!$B$2:$B$5000,AE$1))</f>
        <v/>
      </c>
      <c r="AF254" s="23">
        <f>IF(OR(AF$1="",$BM254=0),"",SUMIFS(Entries!$E$2:$E$5000,Entries!$C$2:$C$5000,"Actual",Entries!$A$2:$A$5000,"&gt;="&amp;$A254,Entries!$A$2:$A$5000,"&lt;"&amp;EDATE($A254,1),Entries!$B$2:$B$5000,AF$1))</f>
        <v/>
      </c>
      <c r="AG254" s="23">
        <f>IF(OR(AG$1="",$BM254=0),"",SUMIFS(Entries!$E$2:$E$5000,Entries!$C$2:$C$5000,"Actual",Entries!$A$2:$A$5000,"&gt;="&amp;$A254,Entries!$A$2:$A$5000,"&lt;"&amp;EDATE($A254,1),Entries!$B$2:$B$5000,AG$1))</f>
        <v/>
      </c>
      <c r="AH254" s="23">
        <f>IF(OR(AH$1="",$BM254=0),"",SUMIFS(Entries!$E$2:$E$5000,Entries!$C$2:$C$5000,"Actual",Entries!$A$2:$A$5000,"&gt;="&amp;$A254,Entries!$A$2:$A$5000,"&lt;"&amp;EDATE($A254,1),Entries!$B$2:$B$5000,AH$1))</f>
        <v/>
      </c>
      <c r="AI254" s="23">
        <f>IF(OR(AI$1="",$BM254=0),"",SUMIFS(Entries!$E$2:$E$5000,Entries!$C$2:$C$5000,"Actual",Entries!$A$2:$A$5000,"&gt;="&amp;$A254,Entries!$A$2:$A$5000,"&lt;"&amp;EDATE($A254,1),Entries!$B$2:$B$5000,AI$1))</f>
        <v/>
      </c>
      <c r="AJ254" s="23">
        <f>IF(OR(AJ$1="",$BM254=0),"",SUMIFS(Entries!$E$2:$E$5000,Entries!$C$2:$C$5000,"Actual",Entries!$A$2:$A$5000,"&gt;="&amp;$A254,Entries!$A$2:$A$5000,"&lt;"&amp;EDATE($A254,1),Entries!$B$2:$B$5000,AJ$1))</f>
        <v/>
      </c>
      <c r="AK254" s="23">
        <f>IF(OR(AK$1="",$BM254=0),"",SUMIFS(Entries!$E$2:$E$5000,Entries!$C$2:$C$5000,"Actual",Entries!$A$2:$A$5000,"&gt;="&amp;$A254,Entries!$A$2:$A$5000,"&lt;"&amp;EDATE($A254,1),Entries!$B$2:$B$5000,AK$1))</f>
        <v/>
      </c>
      <c r="AL254" s="23">
        <f>IF(OR(AL$1="",$BM254=0),"",SUMIFS(Entries!$E$2:$E$5000,Entries!$C$2:$C$5000,"Actual",Entries!$A$2:$A$5000,"&gt;="&amp;$A254,Entries!$A$2:$A$5000,"&lt;"&amp;EDATE($A254,1),Entries!$B$2:$B$5000,AL$1))</f>
        <v/>
      </c>
      <c r="AM254" s="23">
        <f>IF(OR(AM$1="",$BM254=0),"",SUMIFS(Entries!$E$2:$E$5000,Entries!$C$2:$C$5000,"Actual",Entries!$A$2:$A$5000,"&gt;="&amp;$A254,Entries!$A$2:$A$5000,"&lt;"&amp;EDATE($A254,1),Entries!$B$2:$B$5000,AM$1))</f>
        <v/>
      </c>
      <c r="AN254" s="23">
        <f>IF(OR(AN$1="",$BM254=0),"",SUMIFS(Entries!$E$2:$E$5000,Entries!$C$2:$C$5000,"Actual",Entries!$A$2:$A$5000,"&gt;="&amp;$A254,Entries!$A$2:$A$5000,"&lt;"&amp;EDATE($A254,1),Entries!$B$2:$B$5000,AN$1))</f>
        <v/>
      </c>
      <c r="AO254" s="23">
        <f>IF(OR(AO$1="",$BM254=0),"",SUMIFS(Entries!$E$2:$E$5000,Entries!$C$2:$C$5000,"Actual",Entries!$A$2:$A$5000,"&gt;="&amp;$A254,Entries!$A$2:$A$5000,"&lt;"&amp;EDATE($A254,1),Entries!$B$2:$B$5000,AO$1))</f>
        <v/>
      </c>
      <c r="AP254" s="23">
        <f>IF(OR(AP$1="",$BM254=0),"",SUMIFS(Entries!$E$2:$E$5000,Entries!$C$2:$C$5000,"Actual",Entries!$A$2:$A$5000,"&gt;="&amp;$A254,Entries!$A$2:$A$5000,"&lt;"&amp;EDATE($A254,1),Entries!$B$2:$B$5000,AP$1))</f>
        <v/>
      </c>
      <c r="AR254" s="23">
        <f>IF(OR(AR$1="",$BM254=0),"",IFERROR(LOOKUP(2,1/((Budgets!$A$2:$A$200=AR$1)*(Budgets!$B$2:$B$200&lt;EDATE($A254,1))),Budgets!$C$2:$C$200),0))</f>
        <v/>
      </c>
      <c r="AS254" s="23">
        <f>IF(OR(AS$1="",$BM254=0),"",IFERROR(LOOKUP(2,1/((Budgets!$A$2:$A$200=AS$1)*(Budgets!$B$2:$B$200&lt;EDATE($A254,1))),Budgets!$C$2:$C$200),0))</f>
        <v/>
      </c>
      <c r="AT254" s="23">
        <f>IF(OR(AT$1="",$BM254=0),"",IFERROR(LOOKUP(2,1/((Budgets!$A$2:$A$200=AT$1)*(Budgets!$B$2:$B$200&lt;EDATE($A254,1))),Budgets!$C$2:$C$200),0))</f>
        <v/>
      </c>
      <c r="AU254" s="23">
        <f>IF(OR(AU$1="",$BM254=0),"",IFERROR(LOOKUP(2,1/((Budgets!$A$2:$A$200=AU$1)*(Budgets!$B$2:$B$200&lt;EDATE($A254,1))),Budgets!$C$2:$C$200),0))</f>
        <v/>
      </c>
      <c r="AV254" s="23">
        <f>IF(OR(AV$1="",$BM254=0),"",IFERROR(LOOKUP(2,1/((Budgets!$A$2:$A$200=AV$1)*(Budgets!$B$2:$B$200&lt;EDATE($A254,1))),Budgets!$C$2:$C$200),0))</f>
        <v/>
      </c>
      <c r="AW254" s="23">
        <f>IF(OR(AW$1="",$BM254=0),"",IFERROR(LOOKUP(2,1/((Budgets!$A$2:$A$200=AW$1)*(Budgets!$B$2:$B$200&lt;EDATE($A254,1))),Budgets!$C$2:$C$200),0))</f>
        <v/>
      </c>
      <c r="AX254" s="23">
        <f>IF(OR(AX$1="",$BM254=0),"",IFERROR(LOOKUP(2,1/((Budgets!$A$2:$A$200=AX$1)*(Budgets!$B$2:$B$200&lt;EDATE($A254,1))),Budgets!$C$2:$C$200),0))</f>
        <v/>
      </c>
      <c r="AY254" s="23">
        <f>IF(OR(AY$1="",$BM254=0),"",IFERROR(LOOKUP(2,1/((Budgets!$A$2:$A$200=AY$1)*(Budgets!$B$2:$B$200&lt;EDATE($A254,1))),Budgets!$C$2:$C$200),0))</f>
        <v/>
      </c>
      <c r="AZ254" s="23">
        <f>IF(OR(AZ$1="",$BM254=0),"",IFERROR(LOOKUP(2,1/((Budgets!$A$2:$A$200=AZ$1)*(Budgets!$B$2:$B$200&lt;EDATE($A254,1))),Budgets!$C$2:$C$200),0))</f>
        <v/>
      </c>
      <c r="BA254" s="23">
        <f>IF(OR(BA$1="",$BM254=0),"",IFERROR(LOOKUP(2,1/((Budgets!$A$2:$A$200=BA$1)*(Budgets!$B$2:$B$200&lt;EDATE($A254,1))),Budgets!$C$2:$C$200),0))</f>
        <v/>
      </c>
      <c r="BB254" s="23">
        <f>IF(OR(BB$1="",$BM254=0),"",IFERROR(LOOKUP(2,1/((Budgets!$A$2:$A$200=BB$1)*(Budgets!$B$2:$B$200&lt;EDATE($A254,1))),Budgets!$C$2:$C$200),0))</f>
        <v/>
      </c>
      <c r="BC254" s="23">
        <f>IF(OR(BC$1="",$BM254=0),"",IFERROR(LOOKUP(2,1/((Budgets!$A$2:$A$200=BC$1)*(Budgets!$B$2:$B$200&lt;EDATE($A254,1))),Budgets!$C$2:$C$200),0))</f>
        <v/>
      </c>
      <c r="BD254" s="23">
        <f>IF(OR(BD$1="",$BM254=0),"",IFERROR(LOOKUP(2,1/((Budgets!$A$2:$A$200=BD$1)*(Budgets!$B$2:$B$200&lt;EDATE($A254,1))),Budgets!$C$2:$C$200),0))</f>
        <v/>
      </c>
      <c r="BE254" s="23">
        <f>IF(OR(BE$1="",$BM254=0),"",IFERROR(LOOKUP(2,1/((Budgets!$A$2:$A$200=BE$1)*(Budgets!$B$2:$B$200&lt;EDATE($A254,1))),Budgets!$C$2:$C$200),0))</f>
        <v/>
      </c>
      <c r="BF254" s="23">
        <f>IF(OR(BF$1="",$BM254=0),"",IFERROR(LOOKUP(2,1/((Budgets!$A$2:$A$200=BF$1)*(Budgets!$B$2:$B$200&lt;EDATE($A254,1))),Budgets!$C$2:$C$200),0))</f>
        <v/>
      </c>
      <c r="BG254" s="23">
        <f>IF(OR(BG$1="",$BM254=0),"",IFERROR(LOOKUP(2,1/((Budgets!$A$2:$A$200=BG$1)*(Budgets!$B$2:$B$200&lt;EDATE($A254,1))),Budgets!$C$2:$C$200),0))</f>
        <v/>
      </c>
      <c r="BH254" s="23">
        <f>IF(OR(BH$1="",$BM254=0),"",IFERROR(LOOKUP(2,1/((Budgets!$A$2:$A$200=BH$1)*(Budgets!$B$2:$B$200&lt;EDATE($A254,1))),Budgets!$C$2:$C$200),0))</f>
        <v/>
      </c>
      <c r="BI254" s="23">
        <f>IF(OR(BI$1="",$BM254=0),"",IFERROR(LOOKUP(2,1/((Budgets!$A$2:$A$200=BI$1)*(Budgets!$B$2:$B$200&lt;EDATE($A254,1))),Budgets!$C$2:$C$200),0))</f>
        <v/>
      </c>
      <c r="BJ254" s="23">
        <f>IF(OR(BJ$1="",$BM254=0),"",IFERROR(LOOKUP(2,1/((Budgets!$A$2:$A$200=BJ$1)*(Budgets!$B$2:$B$200&lt;EDATE($A254,1))),Budgets!$C$2:$C$200),0))</f>
        <v/>
      </c>
      <c r="BK254" s="23">
        <f>IF(OR(BK$1="",$BM254=0),"",IFERROR(LOOKUP(2,1/((Budgets!$A$2:$A$200=BK$1)*(Budgets!$B$2:$B$200&lt;EDATE($A254,1))),Budgets!$C$2:$C$200),0))</f>
        <v/>
      </c>
      <c r="BM254" s="21">
        <f>COUNTIFS(Entries!$A$2:$A$5000,"&gt;="&amp;$A254,Entries!$A$2:$A$5000,"&lt;"&amp;EDATE($A254,1))</f>
        <v/>
      </c>
    </row>
    <row r="255">
      <c r="A255" s="22" t="n">
        <v>47150</v>
      </c>
      <c r="B255" s="23">
        <f>IF($BM255=0,NA(),SUMIFS(Entries!$E$2:$E$5000,Entries!$C$2:$C$5000,"Income",Entries!$A$2:$A$5000,"&gt;="&amp;$A255,Entries!$A$2:$A$5000,"&lt;"&amp;EDATE($A255,1)))</f>
        <v/>
      </c>
      <c r="C255" s="23">
        <f>IF($BM255=0,"",SUMIFS(Entries!$E$2:$E$5000,Entries!$C$2:$C$5000,"Actual",Entries!$A$2:$A$5000,"&gt;="&amp;$A255,Entries!$A$2:$A$5000,"&lt;"&amp;EDATE($A255,1)))</f>
        <v/>
      </c>
      <c r="D255" s="23">
        <f>IF($BM255=0,"",SUMIFS(Entries!$E$2:$E$5000,Entries!$C$2:$C$5000,"One-off",Entries!$A$2:$A$5000,"&gt;="&amp;$A255,Entries!$A$2:$A$5000,"&lt;"&amp;EDATE($A255,1)))</f>
        <v/>
      </c>
      <c r="E255" s="23">
        <f>IF($BM255=0,NA(),C255+D255)</f>
        <v/>
      </c>
      <c r="F255" s="23">
        <f>IF($BM255=0,"",SUM(AR255:BK255))</f>
        <v/>
      </c>
      <c r="G255" s="23">
        <f>IF($BM255=0,"",B255-E255)</f>
        <v/>
      </c>
      <c r="H255" s="23">
        <f>IF($BM255=0,"",SUM($G$2:G255))</f>
        <v/>
      </c>
      <c r="I255" s="23">
        <f>IF($BM255=0,"",SUMIFS(Entries!$G$2:$G$5000,Entries!$A$2:$A$5000,"&gt;="&amp;$A255,Entries!$A$2:$A$5000,"&lt;"&amp;EDATE($A255,1)))</f>
        <v/>
      </c>
      <c r="J255" s="23">
        <f>IF($BM255=0,NA(),H255)</f>
        <v/>
      </c>
      <c r="K255" s="23">
        <f>IF($BM255=0,"",SUMIFS(Entries!$E$2:$E$5000,Entries!$C$2:$C$5000,"Income",Entries!$A$2:$A$5000,"&gt;="&amp;EDATE($A255,-11),Entries!$A$2:$A$5000,"&lt;"&amp;EDATE($A255,1))/COUNTIFS($A$2:$A$400,"&gt;="&amp;EDATE($A255,-11),$A$2:$A$400,"&lt;"&amp;EDATE($A255,1),$BM$2:$BM$400,"&gt;0"))</f>
      </c>
      <c r="L255" s="23">
        <f>IF($BM255=0,"",(SUMIFS(Entries!$E$2:$E$5000,Entries!$C$2:$C$5000,"Actual",Entries!$A$2:$A$5000,"&gt;="&amp;EDATE($A255,-11),Entries!$A$2:$A$5000,"&lt;"&amp;EDATE($A255,1))+SUMIFS(Entries!$E$2:$E$5000,Entries!$C$2:$C$5000,"One-off",Entries!$A$2:$A$5000,"&gt;="&amp;EDATE($A255,-11),Entries!$A$2:$A$5000,"&lt;"&amp;EDATE($A255,1)))/COUNTIFS($A$2:$A$400,"&gt;="&amp;EDATE($A255,-11),$A$2:$A$400,"&lt;"&amp;EDATE($A255,1),$BM$2:$BM$400,"&gt;0"))</f>
      </c>
      <c r="M255" s="24">
        <f>IF($BM255=0,NA(),IFERROR((K255-L255)/K255,0))</f>
        <v/>
      </c>
      <c r="N255" s="23">
        <f>IF($BM255=0,NA(),SUMIFS(Entries!$E$2:$E$5000,Entries!$D$2:$D$5000,"Core",Entries!$A$2:$A$5000,"&gt;="&amp;$A255,Entries!$A$2:$A$5000,"&lt;"&amp;EDATE($A255,1)))</f>
        <v/>
      </c>
      <c r="O255" s="23">
        <f>IF($BM255=0,NA(),SUMIFS(Entries!$E$2:$E$5000,Entries!$D$2:$D$5000,"Over &amp; above",Entries!$A$2:$A$5000,"&gt;="&amp;$A255,Entries!$A$2:$A$5000,"&lt;"&amp;EDATE($A255,1)))</f>
        <v/>
      </c>
      <c r="P255" s="23">
        <f>IF($BM255=0,NA(),SUMIFS(Entries!$E$2:$E$5000,Entries!$D$2:$D$5000,"One-off",Entries!$A$2:$A$5000,"&gt;="&amp;$A255,Entries!$A$2:$A$5000,"&lt;"&amp;EDATE($A255,1)))</f>
        <v/>
      </c>
      <c r="Q255" s="23">
        <f>IF($BM255=0,NA(),SUMIFS(Entries!$E$2:$E$5000,Entries!$D$2:$D$5000,"Reimbursable",Entries!$A$2:$A$5000,"&gt;="&amp;$A255,Entries!$A$2:$A$5000,"&lt;"&amp;EDATE($A255,1)))</f>
        <v/>
      </c>
      <c r="R255" s="23">
        <f>IF($BM255=0,NA(),SUMIFS(Entries!$E$2:$E$5000,Entries!$D$2:$D$5000,"Investment",Entries!$A$2:$A$5000,"&gt;="&amp;$A255,Entries!$A$2:$A$5000,"&lt;"&amp;EDATE($A255,1)))</f>
        <v/>
      </c>
      <c r="S255" s="23">
        <f>IF($BM255=0,NA(),N255+O255)</f>
        <v/>
      </c>
      <c r="T255" s="23">
        <f>IF($BM255=0,"",E255-Q255)</f>
        <v/>
      </c>
      <c r="W255" s="23">
        <f>IF(OR(W$1="",$BM255=0),"",SUMIFS(Entries!$E$2:$E$5000,Entries!$C$2:$C$5000,"Actual",Entries!$A$2:$A$5000,"&gt;="&amp;$A255,Entries!$A$2:$A$5000,"&lt;"&amp;EDATE($A255,1),Entries!$B$2:$B$5000,W$1))</f>
        <v/>
      </c>
      <c r="X255" s="23">
        <f>IF(OR(X$1="",$BM255=0),"",SUMIFS(Entries!$E$2:$E$5000,Entries!$C$2:$C$5000,"Actual",Entries!$A$2:$A$5000,"&gt;="&amp;$A255,Entries!$A$2:$A$5000,"&lt;"&amp;EDATE($A255,1),Entries!$B$2:$B$5000,X$1))</f>
        <v/>
      </c>
      <c r="Y255" s="23">
        <f>IF(OR(Y$1="",$BM255=0),"",SUMIFS(Entries!$E$2:$E$5000,Entries!$C$2:$C$5000,"Actual",Entries!$A$2:$A$5000,"&gt;="&amp;$A255,Entries!$A$2:$A$5000,"&lt;"&amp;EDATE($A255,1),Entries!$B$2:$B$5000,Y$1))</f>
        <v/>
      </c>
      <c r="Z255" s="23">
        <f>IF(OR(Z$1="",$BM255=0),"",SUMIFS(Entries!$E$2:$E$5000,Entries!$C$2:$C$5000,"Actual",Entries!$A$2:$A$5000,"&gt;="&amp;$A255,Entries!$A$2:$A$5000,"&lt;"&amp;EDATE($A255,1),Entries!$B$2:$B$5000,Z$1))</f>
        <v/>
      </c>
      <c r="AA255" s="23">
        <f>IF(OR(AA$1="",$BM255=0),"",SUMIFS(Entries!$E$2:$E$5000,Entries!$C$2:$C$5000,"Actual",Entries!$A$2:$A$5000,"&gt;="&amp;$A255,Entries!$A$2:$A$5000,"&lt;"&amp;EDATE($A255,1),Entries!$B$2:$B$5000,AA$1))</f>
        <v/>
      </c>
      <c r="AB255" s="23">
        <f>IF(OR(AB$1="",$BM255=0),"",SUMIFS(Entries!$E$2:$E$5000,Entries!$C$2:$C$5000,"Actual",Entries!$A$2:$A$5000,"&gt;="&amp;$A255,Entries!$A$2:$A$5000,"&lt;"&amp;EDATE($A255,1),Entries!$B$2:$B$5000,AB$1))</f>
        <v/>
      </c>
      <c r="AC255" s="23">
        <f>IF(OR(AC$1="",$BM255=0),"",SUMIFS(Entries!$E$2:$E$5000,Entries!$C$2:$C$5000,"Actual",Entries!$A$2:$A$5000,"&gt;="&amp;$A255,Entries!$A$2:$A$5000,"&lt;"&amp;EDATE($A255,1),Entries!$B$2:$B$5000,AC$1))</f>
        <v/>
      </c>
      <c r="AD255" s="23">
        <f>IF(OR(AD$1="",$BM255=0),"",SUMIFS(Entries!$E$2:$E$5000,Entries!$C$2:$C$5000,"Actual",Entries!$A$2:$A$5000,"&gt;="&amp;$A255,Entries!$A$2:$A$5000,"&lt;"&amp;EDATE($A255,1),Entries!$B$2:$B$5000,AD$1))</f>
        <v/>
      </c>
      <c r="AE255" s="23">
        <f>IF(OR(AE$1="",$BM255=0),"",SUMIFS(Entries!$E$2:$E$5000,Entries!$C$2:$C$5000,"Actual",Entries!$A$2:$A$5000,"&gt;="&amp;$A255,Entries!$A$2:$A$5000,"&lt;"&amp;EDATE($A255,1),Entries!$B$2:$B$5000,AE$1))</f>
        <v/>
      </c>
      <c r="AF255" s="23">
        <f>IF(OR(AF$1="",$BM255=0),"",SUMIFS(Entries!$E$2:$E$5000,Entries!$C$2:$C$5000,"Actual",Entries!$A$2:$A$5000,"&gt;="&amp;$A255,Entries!$A$2:$A$5000,"&lt;"&amp;EDATE($A255,1),Entries!$B$2:$B$5000,AF$1))</f>
        <v/>
      </c>
      <c r="AG255" s="23">
        <f>IF(OR(AG$1="",$BM255=0),"",SUMIFS(Entries!$E$2:$E$5000,Entries!$C$2:$C$5000,"Actual",Entries!$A$2:$A$5000,"&gt;="&amp;$A255,Entries!$A$2:$A$5000,"&lt;"&amp;EDATE($A255,1),Entries!$B$2:$B$5000,AG$1))</f>
        <v/>
      </c>
      <c r="AH255" s="23">
        <f>IF(OR(AH$1="",$BM255=0),"",SUMIFS(Entries!$E$2:$E$5000,Entries!$C$2:$C$5000,"Actual",Entries!$A$2:$A$5000,"&gt;="&amp;$A255,Entries!$A$2:$A$5000,"&lt;"&amp;EDATE($A255,1),Entries!$B$2:$B$5000,AH$1))</f>
        <v/>
      </c>
      <c r="AI255" s="23">
        <f>IF(OR(AI$1="",$BM255=0),"",SUMIFS(Entries!$E$2:$E$5000,Entries!$C$2:$C$5000,"Actual",Entries!$A$2:$A$5000,"&gt;="&amp;$A255,Entries!$A$2:$A$5000,"&lt;"&amp;EDATE($A255,1),Entries!$B$2:$B$5000,AI$1))</f>
        <v/>
      </c>
      <c r="AJ255" s="23">
        <f>IF(OR(AJ$1="",$BM255=0),"",SUMIFS(Entries!$E$2:$E$5000,Entries!$C$2:$C$5000,"Actual",Entries!$A$2:$A$5000,"&gt;="&amp;$A255,Entries!$A$2:$A$5000,"&lt;"&amp;EDATE($A255,1),Entries!$B$2:$B$5000,AJ$1))</f>
        <v/>
      </c>
      <c r="AK255" s="23">
        <f>IF(OR(AK$1="",$BM255=0),"",SUMIFS(Entries!$E$2:$E$5000,Entries!$C$2:$C$5000,"Actual",Entries!$A$2:$A$5000,"&gt;="&amp;$A255,Entries!$A$2:$A$5000,"&lt;"&amp;EDATE($A255,1),Entries!$B$2:$B$5000,AK$1))</f>
        <v/>
      </c>
      <c r="AL255" s="23">
        <f>IF(OR(AL$1="",$BM255=0),"",SUMIFS(Entries!$E$2:$E$5000,Entries!$C$2:$C$5000,"Actual",Entries!$A$2:$A$5000,"&gt;="&amp;$A255,Entries!$A$2:$A$5000,"&lt;"&amp;EDATE($A255,1),Entries!$B$2:$B$5000,AL$1))</f>
        <v/>
      </c>
      <c r="AM255" s="23">
        <f>IF(OR(AM$1="",$BM255=0),"",SUMIFS(Entries!$E$2:$E$5000,Entries!$C$2:$C$5000,"Actual",Entries!$A$2:$A$5000,"&gt;="&amp;$A255,Entries!$A$2:$A$5000,"&lt;"&amp;EDATE($A255,1),Entries!$B$2:$B$5000,AM$1))</f>
        <v/>
      </c>
      <c r="AN255" s="23">
        <f>IF(OR(AN$1="",$BM255=0),"",SUMIFS(Entries!$E$2:$E$5000,Entries!$C$2:$C$5000,"Actual",Entries!$A$2:$A$5000,"&gt;="&amp;$A255,Entries!$A$2:$A$5000,"&lt;"&amp;EDATE($A255,1),Entries!$B$2:$B$5000,AN$1))</f>
        <v/>
      </c>
      <c r="AO255" s="23">
        <f>IF(OR(AO$1="",$BM255=0),"",SUMIFS(Entries!$E$2:$E$5000,Entries!$C$2:$C$5000,"Actual",Entries!$A$2:$A$5000,"&gt;="&amp;$A255,Entries!$A$2:$A$5000,"&lt;"&amp;EDATE($A255,1),Entries!$B$2:$B$5000,AO$1))</f>
        <v/>
      </c>
      <c r="AP255" s="23">
        <f>IF(OR(AP$1="",$BM255=0),"",SUMIFS(Entries!$E$2:$E$5000,Entries!$C$2:$C$5000,"Actual",Entries!$A$2:$A$5000,"&gt;="&amp;$A255,Entries!$A$2:$A$5000,"&lt;"&amp;EDATE($A255,1),Entries!$B$2:$B$5000,AP$1))</f>
        <v/>
      </c>
      <c r="AR255" s="23">
        <f>IF(OR(AR$1="",$BM255=0),"",IFERROR(LOOKUP(2,1/((Budgets!$A$2:$A$200=AR$1)*(Budgets!$B$2:$B$200&lt;EDATE($A255,1))),Budgets!$C$2:$C$200),0))</f>
        <v/>
      </c>
      <c r="AS255" s="23">
        <f>IF(OR(AS$1="",$BM255=0),"",IFERROR(LOOKUP(2,1/((Budgets!$A$2:$A$200=AS$1)*(Budgets!$B$2:$B$200&lt;EDATE($A255,1))),Budgets!$C$2:$C$200),0))</f>
        <v/>
      </c>
      <c r="AT255" s="23">
        <f>IF(OR(AT$1="",$BM255=0),"",IFERROR(LOOKUP(2,1/((Budgets!$A$2:$A$200=AT$1)*(Budgets!$B$2:$B$200&lt;EDATE($A255,1))),Budgets!$C$2:$C$200),0))</f>
        <v/>
      </c>
      <c r="AU255" s="23">
        <f>IF(OR(AU$1="",$BM255=0),"",IFERROR(LOOKUP(2,1/((Budgets!$A$2:$A$200=AU$1)*(Budgets!$B$2:$B$200&lt;EDATE($A255,1))),Budgets!$C$2:$C$200),0))</f>
        <v/>
      </c>
      <c r="AV255" s="23">
        <f>IF(OR(AV$1="",$BM255=0),"",IFERROR(LOOKUP(2,1/((Budgets!$A$2:$A$200=AV$1)*(Budgets!$B$2:$B$200&lt;EDATE($A255,1))),Budgets!$C$2:$C$200),0))</f>
        <v/>
      </c>
      <c r="AW255" s="23">
        <f>IF(OR(AW$1="",$BM255=0),"",IFERROR(LOOKUP(2,1/((Budgets!$A$2:$A$200=AW$1)*(Budgets!$B$2:$B$200&lt;EDATE($A255,1))),Budgets!$C$2:$C$200),0))</f>
        <v/>
      </c>
      <c r="AX255" s="23">
        <f>IF(OR(AX$1="",$BM255=0),"",IFERROR(LOOKUP(2,1/((Budgets!$A$2:$A$200=AX$1)*(Budgets!$B$2:$B$200&lt;EDATE($A255,1))),Budgets!$C$2:$C$200),0))</f>
        <v/>
      </c>
      <c r="AY255" s="23">
        <f>IF(OR(AY$1="",$BM255=0),"",IFERROR(LOOKUP(2,1/((Budgets!$A$2:$A$200=AY$1)*(Budgets!$B$2:$B$200&lt;EDATE($A255,1))),Budgets!$C$2:$C$200),0))</f>
        <v/>
      </c>
      <c r="AZ255" s="23">
        <f>IF(OR(AZ$1="",$BM255=0),"",IFERROR(LOOKUP(2,1/((Budgets!$A$2:$A$200=AZ$1)*(Budgets!$B$2:$B$200&lt;EDATE($A255,1))),Budgets!$C$2:$C$200),0))</f>
        <v/>
      </c>
      <c r="BA255" s="23">
        <f>IF(OR(BA$1="",$BM255=0),"",IFERROR(LOOKUP(2,1/((Budgets!$A$2:$A$200=BA$1)*(Budgets!$B$2:$B$200&lt;EDATE($A255,1))),Budgets!$C$2:$C$200),0))</f>
        <v/>
      </c>
      <c r="BB255" s="23">
        <f>IF(OR(BB$1="",$BM255=0),"",IFERROR(LOOKUP(2,1/((Budgets!$A$2:$A$200=BB$1)*(Budgets!$B$2:$B$200&lt;EDATE($A255,1))),Budgets!$C$2:$C$200),0))</f>
        <v/>
      </c>
      <c r="BC255" s="23">
        <f>IF(OR(BC$1="",$BM255=0),"",IFERROR(LOOKUP(2,1/((Budgets!$A$2:$A$200=BC$1)*(Budgets!$B$2:$B$200&lt;EDATE($A255,1))),Budgets!$C$2:$C$200),0))</f>
        <v/>
      </c>
      <c r="BD255" s="23">
        <f>IF(OR(BD$1="",$BM255=0),"",IFERROR(LOOKUP(2,1/((Budgets!$A$2:$A$200=BD$1)*(Budgets!$B$2:$B$200&lt;EDATE($A255,1))),Budgets!$C$2:$C$200),0))</f>
        <v/>
      </c>
      <c r="BE255" s="23">
        <f>IF(OR(BE$1="",$BM255=0),"",IFERROR(LOOKUP(2,1/((Budgets!$A$2:$A$200=BE$1)*(Budgets!$B$2:$B$200&lt;EDATE($A255,1))),Budgets!$C$2:$C$200),0))</f>
        <v/>
      </c>
      <c r="BF255" s="23">
        <f>IF(OR(BF$1="",$BM255=0),"",IFERROR(LOOKUP(2,1/((Budgets!$A$2:$A$200=BF$1)*(Budgets!$B$2:$B$200&lt;EDATE($A255,1))),Budgets!$C$2:$C$200),0))</f>
        <v/>
      </c>
      <c r="BG255" s="23">
        <f>IF(OR(BG$1="",$BM255=0),"",IFERROR(LOOKUP(2,1/((Budgets!$A$2:$A$200=BG$1)*(Budgets!$B$2:$B$200&lt;EDATE($A255,1))),Budgets!$C$2:$C$200),0))</f>
        <v/>
      </c>
      <c r="BH255" s="23">
        <f>IF(OR(BH$1="",$BM255=0),"",IFERROR(LOOKUP(2,1/((Budgets!$A$2:$A$200=BH$1)*(Budgets!$B$2:$B$200&lt;EDATE($A255,1))),Budgets!$C$2:$C$200),0))</f>
        <v/>
      </c>
      <c r="BI255" s="23">
        <f>IF(OR(BI$1="",$BM255=0),"",IFERROR(LOOKUP(2,1/((Budgets!$A$2:$A$200=BI$1)*(Budgets!$B$2:$B$200&lt;EDATE($A255,1))),Budgets!$C$2:$C$200),0))</f>
        <v/>
      </c>
      <c r="BJ255" s="23">
        <f>IF(OR(BJ$1="",$BM255=0),"",IFERROR(LOOKUP(2,1/((Budgets!$A$2:$A$200=BJ$1)*(Budgets!$B$2:$B$200&lt;EDATE($A255,1))),Budgets!$C$2:$C$200),0))</f>
        <v/>
      </c>
      <c r="BK255" s="23">
        <f>IF(OR(BK$1="",$BM255=0),"",IFERROR(LOOKUP(2,1/((Budgets!$A$2:$A$200=BK$1)*(Budgets!$B$2:$B$200&lt;EDATE($A255,1))),Budgets!$C$2:$C$200),0))</f>
        <v/>
      </c>
      <c r="BM255" s="21">
        <f>COUNTIFS(Entries!$A$2:$A$5000,"&gt;="&amp;$A255,Entries!$A$2:$A$5000,"&lt;"&amp;EDATE($A255,1))</f>
        <v/>
      </c>
    </row>
    <row r="256">
      <c r="A256" s="22" t="n">
        <v>47178</v>
      </c>
      <c r="B256" s="23">
        <f>IF($BM256=0,NA(),SUMIFS(Entries!$E$2:$E$5000,Entries!$C$2:$C$5000,"Income",Entries!$A$2:$A$5000,"&gt;="&amp;$A256,Entries!$A$2:$A$5000,"&lt;"&amp;EDATE($A256,1)))</f>
        <v/>
      </c>
      <c r="C256" s="23">
        <f>IF($BM256=0,"",SUMIFS(Entries!$E$2:$E$5000,Entries!$C$2:$C$5000,"Actual",Entries!$A$2:$A$5000,"&gt;="&amp;$A256,Entries!$A$2:$A$5000,"&lt;"&amp;EDATE($A256,1)))</f>
        <v/>
      </c>
      <c r="D256" s="23">
        <f>IF($BM256=0,"",SUMIFS(Entries!$E$2:$E$5000,Entries!$C$2:$C$5000,"One-off",Entries!$A$2:$A$5000,"&gt;="&amp;$A256,Entries!$A$2:$A$5000,"&lt;"&amp;EDATE($A256,1)))</f>
        <v/>
      </c>
      <c r="E256" s="23">
        <f>IF($BM256=0,NA(),C256+D256)</f>
        <v/>
      </c>
      <c r="F256" s="23">
        <f>IF($BM256=0,"",SUM(AR256:BK256))</f>
        <v/>
      </c>
      <c r="G256" s="23">
        <f>IF($BM256=0,"",B256-E256)</f>
        <v/>
      </c>
      <c r="H256" s="23">
        <f>IF($BM256=0,"",SUM($G$2:G256))</f>
        <v/>
      </c>
      <c r="I256" s="23">
        <f>IF($BM256=0,"",SUMIFS(Entries!$G$2:$G$5000,Entries!$A$2:$A$5000,"&gt;="&amp;$A256,Entries!$A$2:$A$5000,"&lt;"&amp;EDATE($A256,1)))</f>
        <v/>
      </c>
      <c r="J256" s="23">
        <f>IF($BM256=0,NA(),H256)</f>
        <v/>
      </c>
      <c r="K256" s="23">
        <f>IF($BM256=0,"",SUMIFS(Entries!$E$2:$E$5000,Entries!$C$2:$C$5000,"Income",Entries!$A$2:$A$5000,"&gt;="&amp;EDATE($A256,-11),Entries!$A$2:$A$5000,"&lt;"&amp;EDATE($A256,1))/COUNTIFS($A$2:$A$400,"&gt;="&amp;EDATE($A256,-11),$A$2:$A$400,"&lt;"&amp;EDATE($A256,1),$BM$2:$BM$400,"&gt;0"))</f>
      </c>
      <c r="L256" s="23">
        <f>IF($BM256=0,"",(SUMIFS(Entries!$E$2:$E$5000,Entries!$C$2:$C$5000,"Actual",Entries!$A$2:$A$5000,"&gt;="&amp;EDATE($A256,-11),Entries!$A$2:$A$5000,"&lt;"&amp;EDATE($A256,1))+SUMIFS(Entries!$E$2:$E$5000,Entries!$C$2:$C$5000,"One-off",Entries!$A$2:$A$5000,"&gt;="&amp;EDATE($A256,-11),Entries!$A$2:$A$5000,"&lt;"&amp;EDATE($A256,1)))/COUNTIFS($A$2:$A$400,"&gt;="&amp;EDATE($A256,-11),$A$2:$A$400,"&lt;"&amp;EDATE($A256,1),$BM$2:$BM$400,"&gt;0"))</f>
      </c>
      <c r="M256" s="24">
        <f>IF($BM256=0,NA(),IFERROR((K256-L256)/K256,0))</f>
        <v/>
      </c>
      <c r="N256" s="23">
        <f>IF($BM256=0,NA(),SUMIFS(Entries!$E$2:$E$5000,Entries!$D$2:$D$5000,"Core",Entries!$A$2:$A$5000,"&gt;="&amp;$A256,Entries!$A$2:$A$5000,"&lt;"&amp;EDATE($A256,1)))</f>
        <v/>
      </c>
      <c r="O256" s="23">
        <f>IF($BM256=0,NA(),SUMIFS(Entries!$E$2:$E$5000,Entries!$D$2:$D$5000,"Over &amp; above",Entries!$A$2:$A$5000,"&gt;="&amp;$A256,Entries!$A$2:$A$5000,"&lt;"&amp;EDATE($A256,1)))</f>
        <v/>
      </c>
      <c r="P256" s="23">
        <f>IF($BM256=0,NA(),SUMIFS(Entries!$E$2:$E$5000,Entries!$D$2:$D$5000,"One-off",Entries!$A$2:$A$5000,"&gt;="&amp;$A256,Entries!$A$2:$A$5000,"&lt;"&amp;EDATE($A256,1)))</f>
        <v/>
      </c>
      <c r="Q256" s="23">
        <f>IF($BM256=0,NA(),SUMIFS(Entries!$E$2:$E$5000,Entries!$D$2:$D$5000,"Reimbursable",Entries!$A$2:$A$5000,"&gt;="&amp;$A256,Entries!$A$2:$A$5000,"&lt;"&amp;EDATE($A256,1)))</f>
        <v/>
      </c>
      <c r="R256" s="23">
        <f>IF($BM256=0,NA(),SUMIFS(Entries!$E$2:$E$5000,Entries!$D$2:$D$5000,"Investment",Entries!$A$2:$A$5000,"&gt;="&amp;$A256,Entries!$A$2:$A$5000,"&lt;"&amp;EDATE($A256,1)))</f>
        <v/>
      </c>
      <c r="S256" s="23">
        <f>IF($BM256=0,NA(),N256+O256)</f>
        <v/>
      </c>
      <c r="T256" s="23">
        <f>IF($BM256=0,"",E256-Q256)</f>
        <v/>
      </c>
      <c r="W256" s="23">
        <f>IF(OR(W$1="",$BM256=0),"",SUMIFS(Entries!$E$2:$E$5000,Entries!$C$2:$C$5000,"Actual",Entries!$A$2:$A$5000,"&gt;="&amp;$A256,Entries!$A$2:$A$5000,"&lt;"&amp;EDATE($A256,1),Entries!$B$2:$B$5000,W$1))</f>
        <v/>
      </c>
      <c r="X256" s="23">
        <f>IF(OR(X$1="",$BM256=0),"",SUMIFS(Entries!$E$2:$E$5000,Entries!$C$2:$C$5000,"Actual",Entries!$A$2:$A$5000,"&gt;="&amp;$A256,Entries!$A$2:$A$5000,"&lt;"&amp;EDATE($A256,1),Entries!$B$2:$B$5000,X$1))</f>
        <v/>
      </c>
      <c r="Y256" s="23">
        <f>IF(OR(Y$1="",$BM256=0),"",SUMIFS(Entries!$E$2:$E$5000,Entries!$C$2:$C$5000,"Actual",Entries!$A$2:$A$5000,"&gt;="&amp;$A256,Entries!$A$2:$A$5000,"&lt;"&amp;EDATE($A256,1),Entries!$B$2:$B$5000,Y$1))</f>
        <v/>
      </c>
      <c r="Z256" s="23">
        <f>IF(OR(Z$1="",$BM256=0),"",SUMIFS(Entries!$E$2:$E$5000,Entries!$C$2:$C$5000,"Actual",Entries!$A$2:$A$5000,"&gt;="&amp;$A256,Entries!$A$2:$A$5000,"&lt;"&amp;EDATE($A256,1),Entries!$B$2:$B$5000,Z$1))</f>
        <v/>
      </c>
      <c r="AA256" s="23">
        <f>IF(OR(AA$1="",$BM256=0),"",SUMIFS(Entries!$E$2:$E$5000,Entries!$C$2:$C$5000,"Actual",Entries!$A$2:$A$5000,"&gt;="&amp;$A256,Entries!$A$2:$A$5000,"&lt;"&amp;EDATE($A256,1),Entries!$B$2:$B$5000,AA$1))</f>
        <v/>
      </c>
      <c r="AB256" s="23">
        <f>IF(OR(AB$1="",$BM256=0),"",SUMIFS(Entries!$E$2:$E$5000,Entries!$C$2:$C$5000,"Actual",Entries!$A$2:$A$5000,"&gt;="&amp;$A256,Entries!$A$2:$A$5000,"&lt;"&amp;EDATE($A256,1),Entries!$B$2:$B$5000,AB$1))</f>
        <v/>
      </c>
      <c r="AC256" s="23">
        <f>IF(OR(AC$1="",$BM256=0),"",SUMIFS(Entries!$E$2:$E$5000,Entries!$C$2:$C$5000,"Actual",Entries!$A$2:$A$5000,"&gt;="&amp;$A256,Entries!$A$2:$A$5000,"&lt;"&amp;EDATE($A256,1),Entries!$B$2:$B$5000,AC$1))</f>
        <v/>
      </c>
      <c r="AD256" s="23">
        <f>IF(OR(AD$1="",$BM256=0),"",SUMIFS(Entries!$E$2:$E$5000,Entries!$C$2:$C$5000,"Actual",Entries!$A$2:$A$5000,"&gt;="&amp;$A256,Entries!$A$2:$A$5000,"&lt;"&amp;EDATE($A256,1),Entries!$B$2:$B$5000,AD$1))</f>
        <v/>
      </c>
      <c r="AE256" s="23">
        <f>IF(OR(AE$1="",$BM256=0),"",SUMIFS(Entries!$E$2:$E$5000,Entries!$C$2:$C$5000,"Actual",Entries!$A$2:$A$5000,"&gt;="&amp;$A256,Entries!$A$2:$A$5000,"&lt;"&amp;EDATE($A256,1),Entries!$B$2:$B$5000,AE$1))</f>
        <v/>
      </c>
      <c r="AF256" s="23">
        <f>IF(OR(AF$1="",$BM256=0),"",SUMIFS(Entries!$E$2:$E$5000,Entries!$C$2:$C$5000,"Actual",Entries!$A$2:$A$5000,"&gt;="&amp;$A256,Entries!$A$2:$A$5000,"&lt;"&amp;EDATE($A256,1),Entries!$B$2:$B$5000,AF$1))</f>
        <v/>
      </c>
      <c r="AG256" s="23">
        <f>IF(OR(AG$1="",$BM256=0),"",SUMIFS(Entries!$E$2:$E$5000,Entries!$C$2:$C$5000,"Actual",Entries!$A$2:$A$5000,"&gt;="&amp;$A256,Entries!$A$2:$A$5000,"&lt;"&amp;EDATE($A256,1),Entries!$B$2:$B$5000,AG$1))</f>
        <v/>
      </c>
      <c r="AH256" s="23">
        <f>IF(OR(AH$1="",$BM256=0),"",SUMIFS(Entries!$E$2:$E$5000,Entries!$C$2:$C$5000,"Actual",Entries!$A$2:$A$5000,"&gt;="&amp;$A256,Entries!$A$2:$A$5000,"&lt;"&amp;EDATE($A256,1),Entries!$B$2:$B$5000,AH$1))</f>
        <v/>
      </c>
      <c r="AI256" s="23">
        <f>IF(OR(AI$1="",$BM256=0),"",SUMIFS(Entries!$E$2:$E$5000,Entries!$C$2:$C$5000,"Actual",Entries!$A$2:$A$5000,"&gt;="&amp;$A256,Entries!$A$2:$A$5000,"&lt;"&amp;EDATE($A256,1),Entries!$B$2:$B$5000,AI$1))</f>
        <v/>
      </c>
      <c r="AJ256" s="23">
        <f>IF(OR(AJ$1="",$BM256=0),"",SUMIFS(Entries!$E$2:$E$5000,Entries!$C$2:$C$5000,"Actual",Entries!$A$2:$A$5000,"&gt;="&amp;$A256,Entries!$A$2:$A$5000,"&lt;"&amp;EDATE($A256,1),Entries!$B$2:$B$5000,AJ$1))</f>
        <v/>
      </c>
      <c r="AK256" s="23">
        <f>IF(OR(AK$1="",$BM256=0),"",SUMIFS(Entries!$E$2:$E$5000,Entries!$C$2:$C$5000,"Actual",Entries!$A$2:$A$5000,"&gt;="&amp;$A256,Entries!$A$2:$A$5000,"&lt;"&amp;EDATE($A256,1),Entries!$B$2:$B$5000,AK$1))</f>
        <v/>
      </c>
      <c r="AL256" s="23">
        <f>IF(OR(AL$1="",$BM256=0),"",SUMIFS(Entries!$E$2:$E$5000,Entries!$C$2:$C$5000,"Actual",Entries!$A$2:$A$5000,"&gt;="&amp;$A256,Entries!$A$2:$A$5000,"&lt;"&amp;EDATE($A256,1),Entries!$B$2:$B$5000,AL$1))</f>
        <v/>
      </c>
      <c r="AM256" s="23">
        <f>IF(OR(AM$1="",$BM256=0),"",SUMIFS(Entries!$E$2:$E$5000,Entries!$C$2:$C$5000,"Actual",Entries!$A$2:$A$5000,"&gt;="&amp;$A256,Entries!$A$2:$A$5000,"&lt;"&amp;EDATE($A256,1),Entries!$B$2:$B$5000,AM$1))</f>
        <v/>
      </c>
      <c r="AN256" s="23">
        <f>IF(OR(AN$1="",$BM256=0),"",SUMIFS(Entries!$E$2:$E$5000,Entries!$C$2:$C$5000,"Actual",Entries!$A$2:$A$5000,"&gt;="&amp;$A256,Entries!$A$2:$A$5000,"&lt;"&amp;EDATE($A256,1),Entries!$B$2:$B$5000,AN$1))</f>
        <v/>
      </c>
      <c r="AO256" s="23">
        <f>IF(OR(AO$1="",$BM256=0),"",SUMIFS(Entries!$E$2:$E$5000,Entries!$C$2:$C$5000,"Actual",Entries!$A$2:$A$5000,"&gt;="&amp;$A256,Entries!$A$2:$A$5000,"&lt;"&amp;EDATE($A256,1),Entries!$B$2:$B$5000,AO$1))</f>
        <v/>
      </c>
      <c r="AP256" s="23">
        <f>IF(OR(AP$1="",$BM256=0),"",SUMIFS(Entries!$E$2:$E$5000,Entries!$C$2:$C$5000,"Actual",Entries!$A$2:$A$5000,"&gt;="&amp;$A256,Entries!$A$2:$A$5000,"&lt;"&amp;EDATE($A256,1),Entries!$B$2:$B$5000,AP$1))</f>
        <v/>
      </c>
      <c r="AR256" s="23">
        <f>IF(OR(AR$1="",$BM256=0),"",IFERROR(LOOKUP(2,1/((Budgets!$A$2:$A$200=AR$1)*(Budgets!$B$2:$B$200&lt;EDATE($A256,1))),Budgets!$C$2:$C$200),0))</f>
        <v/>
      </c>
      <c r="AS256" s="23">
        <f>IF(OR(AS$1="",$BM256=0),"",IFERROR(LOOKUP(2,1/((Budgets!$A$2:$A$200=AS$1)*(Budgets!$B$2:$B$200&lt;EDATE($A256,1))),Budgets!$C$2:$C$200),0))</f>
        <v/>
      </c>
      <c r="AT256" s="23">
        <f>IF(OR(AT$1="",$BM256=0),"",IFERROR(LOOKUP(2,1/((Budgets!$A$2:$A$200=AT$1)*(Budgets!$B$2:$B$200&lt;EDATE($A256,1))),Budgets!$C$2:$C$200),0))</f>
        <v/>
      </c>
      <c r="AU256" s="23">
        <f>IF(OR(AU$1="",$BM256=0),"",IFERROR(LOOKUP(2,1/((Budgets!$A$2:$A$200=AU$1)*(Budgets!$B$2:$B$200&lt;EDATE($A256,1))),Budgets!$C$2:$C$200),0))</f>
        <v/>
      </c>
      <c r="AV256" s="23">
        <f>IF(OR(AV$1="",$BM256=0),"",IFERROR(LOOKUP(2,1/((Budgets!$A$2:$A$200=AV$1)*(Budgets!$B$2:$B$200&lt;EDATE($A256,1))),Budgets!$C$2:$C$200),0))</f>
        <v/>
      </c>
      <c r="AW256" s="23">
        <f>IF(OR(AW$1="",$BM256=0),"",IFERROR(LOOKUP(2,1/((Budgets!$A$2:$A$200=AW$1)*(Budgets!$B$2:$B$200&lt;EDATE($A256,1))),Budgets!$C$2:$C$200),0))</f>
        <v/>
      </c>
      <c r="AX256" s="23">
        <f>IF(OR(AX$1="",$BM256=0),"",IFERROR(LOOKUP(2,1/((Budgets!$A$2:$A$200=AX$1)*(Budgets!$B$2:$B$200&lt;EDATE($A256,1))),Budgets!$C$2:$C$200),0))</f>
        <v/>
      </c>
      <c r="AY256" s="23">
        <f>IF(OR(AY$1="",$BM256=0),"",IFERROR(LOOKUP(2,1/((Budgets!$A$2:$A$200=AY$1)*(Budgets!$B$2:$B$200&lt;EDATE($A256,1))),Budgets!$C$2:$C$200),0))</f>
        <v/>
      </c>
      <c r="AZ256" s="23">
        <f>IF(OR(AZ$1="",$BM256=0),"",IFERROR(LOOKUP(2,1/((Budgets!$A$2:$A$200=AZ$1)*(Budgets!$B$2:$B$200&lt;EDATE($A256,1))),Budgets!$C$2:$C$200),0))</f>
        <v/>
      </c>
      <c r="BA256" s="23">
        <f>IF(OR(BA$1="",$BM256=0),"",IFERROR(LOOKUP(2,1/((Budgets!$A$2:$A$200=BA$1)*(Budgets!$B$2:$B$200&lt;EDATE($A256,1))),Budgets!$C$2:$C$200),0))</f>
        <v/>
      </c>
      <c r="BB256" s="23">
        <f>IF(OR(BB$1="",$BM256=0),"",IFERROR(LOOKUP(2,1/((Budgets!$A$2:$A$200=BB$1)*(Budgets!$B$2:$B$200&lt;EDATE($A256,1))),Budgets!$C$2:$C$200),0))</f>
        <v/>
      </c>
      <c r="BC256" s="23">
        <f>IF(OR(BC$1="",$BM256=0),"",IFERROR(LOOKUP(2,1/((Budgets!$A$2:$A$200=BC$1)*(Budgets!$B$2:$B$200&lt;EDATE($A256,1))),Budgets!$C$2:$C$200),0))</f>
        <v/>
      </c>
      <c r="BD256" s="23">
        <f>IF(OR(BD$1="",$BM256=0),"",IFERROR(LOOKUP(2,1/((Budgets!$A$2:$A$200=BD$1)*(Budgets!$B$2:$B$200&lt;EDATE($A256,1))),Budgets!$C$2:$C$200),0))</f>
        <v/>
      </c>
      <c r="BE256" s="23">
        <f>IF(OR(BE$1="",$BM256=0),"",IFERROR(LOOKUP(2,1/((Budgets!$A$2:$A$200=BE$1)*(Budgets!$B$2:$B$200&lt;EDATE($A256,1))),Budgets!$C$2:$C$200),0))</f>
        <v/>
      </c>
      <c r="BF256" s="23">
        <f>IF(OR(BF$1="",$BM256=0),"",IFERROR(LOOKUP(2,1/((Budgets!$A$2:$A$200=BF$1)*(Budgets!$B$2:$B$200&lt;EDATE($A256,1))),Budgets!$C$2:$C$200),0))</f>
        <v/>
      </c>
      <c r="BG256" s="23">
        <f>IF(OR(BG$1="",$BM256=0),"",IFERROR(LOOKUP(2,1/((Budgets!$A$2:$A$200=BG$1)*(Budgets!$B$2:$B$200&lt;EDATE($A256,1))),Budgets!$C$2:$C$200),0))</f>
        <v/>
      </c>
      <c r="BH256" s="23">
        <f>IF(OR(BH$1="",$BM256=0),"",IFERROR(LOOKUP(2,1/((Budgets!$A$2:$A$200=BH$1)*(Budgets!$B$2:$B$200&lt;EDATE($A256,1))),Budgets!$C$2:$C$200),0))</f>
        <v/>
      </c>
      <c r="BI256" s="23">
        <f>IF(OR(BI$1="",$BM256=0),"",IFERROR(LOOKUP(2,1/((Budgets!$A$2:$A$200=BI$1)*(Budgets!$B$2:$B$200&lt;EDATE($A256,1))),Budgets!$C$2:$C$200),0))</f>
        <v/>
      </c>
      <c r="BJ256" s="23">
        <f>IF(OR(BJ$1="",$BM256=0),"",IFERROR(LOOKUP(2,1/((Budgets!$A$2:$A$200=BJ$1)*(Budgets!$B$2:$B$200&lt;EDATE($A256,1))),Budgets!$C$2:$C$200),0))</f>
        <v/>
      </c>
      <c r="BK256" s="23">
        <f>IF(OR(BK$1="",$BM256=0),"",IFERROR(LOOKUP(2,1/((Budgets!$A$2:$A$200=BK$1)*(Budgets!$B$2:$B$200&lt;EDATE($A256,1))),Budgets!$C$2:$C$200),0))</f>
        <v/>
      </c>
      <c r="BM256" s="21">
        <f>COUNTIFS(Entries!$A$2:$A$5000,"&gt;="&amp;$A256,Entries!$A$2:$A$5000,"&lt;"&amp;EDATE($A256,1))</f>
        <v/>
      </c>
    </row>
    <row r="257">
      <c r="A257" s="22" t="n">
        <v>47209</v>
      </c>
      <c r="B257" s="23">
        <f>IF($BM257=0,NA(),SUMIFS(Entries!$E$2:$E$5000,Entries!$C$2:$C$5000,"Income",Entries!$A$2:$A$5000,"&gt;="&amp;$A257,Entries!$A$2:$A$5000,"&lt;"&amp;EDATE($A257,1)))</f>
        <v/>
      </c>
      <c r="C257" s="23">
        <f>IF($BM257=0,"",SUMIFS(Entries!$E$2:$E$5000,Entries!$C$2:$C$5000,"Actual",Entries!$A$2:$A$5000,"&gt;="&amp;$A257,Entries!$A$2:$A$5000,"&lt;"&amp;EDATE($A257,1)))</f>
        <v/>
      </c>
      <c r="D257" s="23">
        <f>IF($BM257=0,"",SUMIFS(Entries!$E$2:$E$5000,Entries!$C$2:$C$5000,"One-off",Entries!$A$2:$A$5000,"&gt;="&amp;$A257,Entries!$A$2:$A$5000,"&lt;"&amp;EDATE($A257,1)))</f>
        <v/>
      </c>
      <c r="E257" s="23">
        <f>IF($BM257=0,NA(),C257+D257)</f>
        <v/>
      </c>
      <c r="F257" s="23">
        <f>IF($BM257=0,"",SUM(AR257:BK257))</f>
        <v/>
      </c>
      <c r="G257" s="23">
        <f>IF($BM257=0,"",B257-E257)</f>
        <v/>
      </c>
      <c r="H257" s="23">
        <f>IF($BM257=0,"",SUM($G$2:G257))</f>
        <v/>
      </c>
      <c r="I257" s="23">
        <f>IF($BM257=0,"",SUMIFS(Entries!$G$2:$G$5000,Entries!$A$2:$A$5000,"&gt;="&amp;$A257,Entries!$A$2:$A$5000,"&lt;"&amp;EDATE($A257,1)))</f>
        <v/>
      </c>
      <c r="J257" s="23">
        <f>IF($BM257=0,NA(),H257)</f>
        <v/>
      </c>
      <c r="K257" s="23">
        <f>IF($BM257=0,"",SUMIFS(Entries!$E$2:$E$5000,Entries!$C$2:$C$5000,"Income",Entries!$A$2:$A$5000,"&gt;="&amp;EDATE($A257,-11),Entries!$A$2:$A$5000,"&lt;"&amp;EDATE($A257,1))/COUNTIFS($A$2:$A$400,"&gt;="&amp;EDATE($A257,-11),$A$2:$A$400,"&lt;"&amp;EDATE($A257,1),$BM$2:$BM$400,"&gt;0"))</f>
      </c>
      <c r="L257" s="23">
        <f>IF($BM257=0,"",(SUMIFS(Entries!$E$2:$E$5000,Entries!$C$2:$C$5000,"Actual",Entries!$A$2:$A$5000,"&gt;="&amp;EDATE($A257,-11),Entries!$A$2:$A$5000,"&lt;"&amp;EDATE($A257,1))+SUMIFS(Entries!$E$2:$E$5000,Entries!$C$2:$C$5000,"One-off",Entries!$A$2:$A$5000,"&gt;="&amp;EDATE($A257,-11),Entries!$A$2:$A$5000,"&lt;"&amp;EDATE($A257,1)))/COUNTIFS($A$2:$A$400,"&gt;="&amp;EDATE($A257,-11),$A$2:$A$400,"&lt;"&amp;EDATE($A257,1),$BM$2:$BM$400,"&gt;0"))</f>
      </c>
      <c r="M257" s="24">
        <f>IF($BM257=0,NA(),IFERROR((K257-L257)/K257,0))</f>
        <v/>
      </c>
      <c r="N257" s="23">
        <f>IF($BM257=0,NA(),SUMIFS(Entries!$E$2:$E$5000,Entries!$D$2:$D$5000,"Core",Entries!$A$2:$A$5000,"&gt;="&amp;$A257,Entries!$A$2:$A$5000,"&lt;"&amp;EDATE($A257,1)))</f>
        <v/>
      </c>
      <c r="O257" s="23">
        <f>IF($BM257=0,NA(),SUMIFS(Entries!$E$2:$E$5000,Entries!$D$2:$D$5000,"Over &amp; above",Entries!$A$2:$A$5000,"&gt;="&amp;$A257,Entries!$A$2:$A$5000,"&lt;"&amp;EDATE($A257,1)))</f>
        <v/>
      </c>
      <c r="P257" s="23">
        <f>IF($BM257=0,NA(),SUMIFS(Entries!$E$2:$E$5000,Entries!$D$2:$D$5000,"One-off",Entries!$A$2:$A$5000,"&gt;="&amp;$A257,Entries!$A$2:$A$5000,"&lt;"&amp;EDATE($A257,1)))</f>
        <v/>
      </c>
      <c r="Q257" s="23">
        <f>IF($BM257=0,NA(),SUMIFS(Entries!$E$2:$E$5000,Entries!$D$2:$D$5000,"Reimbursable",Entries!$A$2:$A$5000,"&gt;="&amp;$A257,Entries!$A$2:$A$5000,"&lt;"&amp;EDATE($A257,1)))</f>
        <v/>
      </c>
      <c r="R257" s="23">
        <f>IF($BM257=0,NA(),SUMIFS(Entries!$E$2:$E$5000,Entries!$D$2:$D$5000,"Investment",Entries!$A$2:$A$5000,"&gt;="&amp;$A257,Entries!$A$2:$A$5000,"&lt;"&amp;EDATE($A257,1)))</f>
        <v/>
      </c>
      <c r="S257" s="23">
        <f>IF($BM257=0,NA(),N257+O257)</f>
        <v/>
      </c>
      <c r="T257" s="23">
        <f>IF($BM257=0,"",E257-Q257)</f>
        <v/>
      </c>
      <c r="W257" s="23">
        <f>IF(OR(W$1="",$BM257=0),"",SUMIFS(Entries!$E$2:$E$5000,Entries!$C$2:$C$5000,"Actual",Entries!$A$2:$A$5000,"&gt;="&amp;$A257,Entries!$A$2:$A$5000,"&lt;"&amp;EDATE($A257,1),Entries!$B$2:$B$5000,W$1))</f>
        <v/>
      </c>
      <c r="X257" s="23">
        <f>IF(OR(X$1="",$BM257=0),"",SUMIFS(Entries!$E$2:$E$5000,Entries!$C$2:$C$5000,"Actual",Entries!$A$2:$A$5000,"&gt;="&amp;$A257,Entries!$A$2:$A$5000,"&lt;"&amp;EDATE($A257,1),Entries!$B$2:$B$5000,X$1))</f>
        <v/>
      </c>
      <c r="Y257" s="23">
        <f>IF(OR(Y$1="",$BM257=0),"",SUMIFS(Entries!$E$2:$E$5000,Entries!$C$2:$C$5000,"Actual",Entries!$A$2:$A$5000,"&gt;="&amp;$A257,Entries!$A$2:$A$5000,"&lt;"&amp;EDATE($A257,1),Entries!$B$2:$B$5000,Y$1))</f>
        <v/>
      </c>
      <c r="Z257" s="23">
        <f>IF(OR(Z$1="",$BM257=0),"",SUMIFS(Entries!$E$2:$E$5000,Entries!$C$2:$C$5000,"Actual",Entries!$A$2:$A$5000,"&gt;="&amp;$A257,Entries!$A$2:$A$5000,"&lt;"&amp;EDATE($A257,1),Entries!$B$2:$B$5000,Z$1))</f>
        <v/>
      </c>
      <c r="AA257" s="23">
        <f>IF(OR(AA$1="",$BM257=0),"",SUMIFS(Entries!$E$2:$E$5000,Entries!$C$2:$C$5000,"Actual",Entries!$A$2:$A$5000,"&gt;="&amp;$A257,Entries!$A$2:$A$5000,"&lt;"&amp;EDATE($A257,1),Entries!$B$2:$B$5000,AA$1))</f>
        <v/>
      </c>
      <c r="AB257" s="23">
        <f>IF(OR(AB$1="",$BM257=0),"",SUMIFS(Entries!$E$2:$E$5000,Entries!$C$2:$C$5000,"Actual",Entries!$A$2:$A$5000,"&gt;="&amp;$A257,Entries!$A$2:$A$5000,"&lt;"&amp;EDATE($A257,1),Entries!$B$2:$B$5000,AB$1))</f>
        <v/>
      </c>
      <c r="AC257" s="23">
        <f>IF(OR(AC$1="",$BM257=0),"",SUMIFS(Entries!$E$2:$E$5000,Entries!$C$2:$C$5000,"Actual",Entries!$A$2:$A$5000,"&gt;="&amp;$A257,Entries!$A$2:$A$5000,"&lt;"&amp;EDATE($A257,1),Entries!$B$2:$B$5000,AC$1))</f>
        <v/>
      </c>
      <c r="AD257" s="23">
        <f>IF(OR(AD$1="",$BM257=0),"",SUMIFS(Entries!$E$2:$E$5000,Entries!$C$2:$C$5000,"Actual",Entries!$A$2:$A$5000,"&gt;="&amp;$A257,Entries!$A$2:$A$5000,"&lt;"&amp;EDATE($A257,1),Entries!$B$2:$B$5000,AD$1))</f>
        <v/>
      </c>
      <c r="AE257" s="23">
        <f>IF(OR(AE$1="",$BM257=0),"",SUMIFS(Entries!$E$2:$E$5000,Entries!$C$2:$C$5000,"Actual",Entries!$A$2:$A$5000,"&gt;="&amp;$A257,Entries!$A$2:$A$5000,"&lt;"&amp;EDATE($A257,1),Entries!$B$2:$B$5000,AE$1))</f>
        <v/>
      </c>
      <c r="AF257" s="23">
        <f>IF(OR(AF$1="",$BM257=0),"",SUMIFS(Entries!$E$2:$E$5000,Entries!$C$2:$C$5000,"Actual",Entries!$A$2:$A$5000,"&gt;="&amp;$A257,Entries!$A$2:$A$5000,"&lt;"&amp;EDATE($A257,1),Entries!$B$2:$B$5000,AF$1))</f>
        <v/>
      </c>
      <c r="AG257" s="23">
        <f>IF(OR(AG$1="",$BM257=0),"",SUMIFS(Entries!$E$2:$E$5000,Entries!$C$2:$C$5000,"Actual",Entries!$A$2:$A$5000,"&gt;="&amp;$A257,Entries!$A$2:$A$5000,"&lt;"&amp;EDATE($A257,1),Entries!$B$2:$B$5000,AG$1))</f>
        <v/>
      </c>
      <c r="AH257" s="23">
        <f>IF(OR(AH$1="",$BM257=0),"",SUMIFS(Entries!$E$2:$E$5000,Entries!$C$2:$C$5000,"Actual",Entries!$A$2:$A$5000,"&gt;="&amp;$A257,Entries!$A$2:$A$5000,"&lt;"&amp;EDATE($A257,1),Entries!$B$2:$B$5000,AH$1))</f>
        <v/>
      </c>
      <c r="AI257" s="23">
        <f>IF(OR(AI$1="",$BM257=0),"",SUMIFS(Entries!$E$2:$E$5000,Entries!$C$2:$C$5000,"Actual",Entries!$A$2:$A$5000,"&gt;="&amp;$A257,Entries!$A$2:$A$5000,"&lt;"&amp;EDATE($A257,1),Entries!$B$2:$B$5000,AI$1))</f>
        <v/>
      </c>
      <c r="AJ257" s="23">
        <f>IF(OR(AJ$1="",$BM257=0),"",SUMIFS(Entries!$E$2:$E$5000,Entries!$C$2:$C$5000,"Actual",Entries!$A$2:$A$5000,"&gt;="&amp;$A257,Entries!$A$2:$A$5000,"&lt;"&amp;EDATE($A257,1),Entries!$B$2:$B$5000,AJ$1))</f>
        <v/>
      </c>
      <c r="AK257" s="23">
        <f>IF(OR(AK$1="",$BM257=0),"",SUMIFS(Entries!$E$2:$E$5000,Entries!$C$2:$C$5000,"Actual",Entries!$A$2:$A$5000,"&gt;="&amp;$A257,Entries!$A$2:$A$5000,"&lt;"&amp;EDATE($A257,1),Entries!$B$2:$B$5000,AK$1))</f>
        <v/>
      </c>
      <c r="AL257" s="23">
        <f>IF(OR(AL$1="",$BM257=0),"",SUMIFS(Entries!$E$2:$E$5000,Entries!$C$2:$C$5000,"Actual",Entries!$A$2:$A$5000,"&gt;="&amp;$A257,Entries!$A$2:$A$5000,"&lt;"&amp;EDATE($A257,1),Entries!$B$2:$B$5000,AL$1))</f>
        <v/>
      </c>
      <c r="AM257" s="23">
        <f>IF(OR(AM$1="",$BM257=0),"",SUMIFS(Entries!$E$2:$E$5000,Entries!$C$2:$C$5000,"Actual",Entries!$A$2:$A$5000,"&gt;="&amp;$A257,Entries!$A$2:$A$5000,"&lt;"&amp;EDATE($A257,1),Entries!$B$2:$B$5000,AM$1))</f>
        <v/>
      </c>
      <c r="AN257" s="23">
        <f>IF(OR(AN$1="",$BM257=0),"",SUMIFS(Entries!$E$2:$E$5000,Entries!$C$2:$C$5000,"Actual",Entries!$A$2:$A$5000,"&gt;="&amp;$A257,Entries!$A$2:$A$5000,"&lt;"&amp;EDATE($A257,1),Entries!$B$2:$B$5000,AN$1))</f>
        <v/>
      </c>
      <c r="AO257" s="23">
        <f>IF(OR(AO$1="",$BM257=0),"",SUMIFS(Entries!$E$2:$E$5000,Entries!$C$2:$C$5000,"Actual",Entries!$A$2:$A$5000,"&gt;="&amp;$A257,Entries!$A$2:$A$5000,"&lt;"&amp;EDATE($A257,1),Entries!$B$2:$B$5000,AO$1))</f>
        <v/>
      </c>
      <c r="AP257" s="23">
        <f>IF(OR(AP$1="",$BM257=0),"",SUMIFS(Entries!$E$2:$E$5000,Entries!$C$2:$C$5000,"Actual",Entries!$A$2:$A$5000,"&gt;="&amp;$A257,Entries!$A$2:$A$5000,"&lt;"&amp;EDATE($A257,1),Entries!$B$2:$B$5000,AP$1))</f>
        <v/>
      </c>
      <c r="AR257" s="23">
        <f>IF(OR(AR$1="",$BM257=0),"",IFERROR(LOOKUP(2,1/((Budgets!$A$2:$A$200=AR$1)*(Budgets!$B$2:$B$200&lt;EDATE($A257,1))),Budgets!$C$2:$C$200),0))</f>
        <v/>
      </c>
      <c r="AS257" s="23">
        <f>IF(OR(AS$1="",$BM257=0),"",IFERROR(LOOKUP(2,1/((Budgets!$A$2:$A$200=AS$1)*(Budgets!$B$2:$B$200&lt;EDATE($A257,1))),Budgets!$C$2:$C$200),0))</f>
        <v/>
      </c>
      <c r="AT257" s="23">
        <f>IF(OR(AT$1="",$BM257=0),"",IFERROR(LOOKUP(2,1/((Budgets!$A$2:$A$200=AT$1)*(Budgets!$B$2:$B$200&lt;EDATE($A257,1))),Budgets!$C$2:$C$200),0))</f>
        <v/>
      </c>
      <c r="AU257" s="23">
        <f>IF(OR(AU$1="",$BM257=0),"",IFERROR(LOOKUP(2,1/((Budgets!$A$2:$A$200=AU$1)*(Budgets!$B$2:$B$200&lt;EDATE($A257,1))),Budgets!$C$2:$C$200),0))</f>
        <v/>
      </c>
      <c r="AV257" s="23">
        <f>IF(OR(AV$1="",$BM257=0),"",IFERROR(LOOKUP(2,1/((Budgets!$A$2:$A$200=AV$1)*(Budgets!$B$2:$B$200&lt;EDATE($A257,1))),Budgets!$C$2:$C$200),0))</f>
        <v/>
      </c>
      <c r="AW257" s="23">
        <f>IF(OR(AW$1="",$BM257=0),"",IFERROR(LOOKUP(2,1/((Budgets!$A$2:$A$200=AW$1)*(Budgets!$B$2:$B$200&lt;EDATE($A257,1))),Budgets!$C$2:$C$200),0))</f>
        <v/>
      </c>
      <c r="AX257" s="23">
        <f>IF(OR(AX$1="",$BM257=0),"",IFERROR(LOOKUP(2,1/((Budgets!$A$2:$A$200=AX$1)*(Budgets!$B$2:$B$200&lt;EDATE($A257,1))),Budgets!$C$2:$C$200),0))</f>
        <v/>
      </c>
      <c r="AY257" s="23">
        <f>IF(OR(AY$1="",$BM257=0),"",IFERROR(LOOKUP(2,1/((Budgets!$A$2:$A$200=AY$1)*(Budgets!$B$2:$B$200&lt;EDATE($A257,1))),Budgets!$C$2:$C$200),0))</f>
        <v/>
      </c>
      <c r="AZ257" s="23">
        <f>IF(OR(AZ$1="",$BM257=0),"",IFERROR(LOOKUP(2,1/((Budgets!$A$2:$A$200=AZ$1)*(Budgets!$B$2:$B$200&lt;EDATE($A257,1))),Budgets!$C$2:$C$200),0))</f>
        <v/>
      </c>
      <c r="BA257" s="23">
        <f>IF(OR(BA$1="",$BM257=0),"",IFERROR(LOOKUP(2,1/((Budgets!$A$2:$A$200=BA$1)*(Budgets!$B$2:$B$200&lt;EDATE($A257,1))),Budgets!$C$2:$C$200),0))</f>
        <v/>
      </c>
      <c r="BB257" s="23">
        <f>IF(OR(BB$1="",$BM257=0),"",IFERROR(LOOKUP(2,1/((Budgets!$A$2:$A$200=BB$1)*(Budgets!$B$2:$B$200&lt;EDATE($A257,1))),Budgets!$C$2:$C$200),0))</f>
        <v/>
      </c>
      <c r="BC257" s="23">
        <f>IF(OR(BC$1="",$BM257=0),"",IFERROR(LOOKUP(2,1/((Budgets!$A$2:$A$200=BC$1)*(Budgets!$B$2:$B$200&lt;EDATE($A257,1))),Budgets!$C$2:$C$200),0))</f>
        <v/>
      </c>
      <c r="BD257" s="23">
        <f>IF(OR(BD$1="",$BM257=0),"",IFERROR(LOOKUP(2,1/((Budgets!$A$2:$A$200=BD$1)*(Budgets!$B$2:$B$200&lt;EDATE($A257,1))),Budgets!$C$2:$C$200),0))</f>
        <v/>
      </c>
      <c r="BE257" s="23">
        <f>IF(OR(BE$1="",$BM257=0),"",IFERROR(LOOKUP(2,1/((Budgets!$A$2:$A$200=BE$1)*(Budgets!$B$2:$B$200&lt;EDATE($A257,1))),Budgets!$C$2:$C$200),0))</f>
        <v/>
      </c>
      <c r="BF257" s="23">
        <f>IF(OR(BF$1="",$BM257=0),"",IFERROR(LOOKUP(2,1/((Budgets!$A$2:$A$200=BF$1)*(Budgets!$B$2:$B$200&lt;EDATE($A257,1))),Budgets!$C$2:$C$200),0))</f>
        <v/>
      </c>
      <c r="BG257" s="23">
        <f>IF(OR(BG$1="",$BM257=0),"",IFERROR(LOOKUP(2,1/((Budgets!$A$2:$A$200=BG$1)*(Budgets!$B$2:$B$200&lt;EDATE($A257,1))),Budgets!$C$2:$C$200),0))</f>
        <v/>
      </c>
      <c r="BH257" s="23">
        <f>IF(OR(BH$1="",$BM257=0),"",IFERROR(LOOKUP(2,1/((Budgets!$A$2:$A$200=BH$1)*(Budgets!$B$2:$B$200&lt;EDATE($A257,1))),Budgets!$C$2:$C$200),0))</f>
        <v/>
      </c>
      <c r="BI257" s="23">
        <f>IF(OR(BI$1="",$BM257=0),"",IFERROR(LOOKUP(2,1/((Budgets!$A$2:$A$200=BI$1)*(Budgets!$B$2:$B$200&lt;EDATE($A257,1))),Budgets!$C$2:$C$200),0))</f>
        <v/>
      </c>
      <c r="BJ257" s="23">
        <f>IF(OR(BJ$1="",$BM257=0),"",IFERROR(LOOKUP(2,1/((Budgets!$A$2:$A$200=BJ$1)*(Budgets!$B$2:$B$200&lt;EDATE($A257,1))),Budgets!$C$2:$C$200),0))</f>
        <v/>
      </c>
      <c r="BK257" s="23">
        <f>IF(OR(BK$1="",$BM257=0),"",IFERROR(LOOKUP(2,1/((Budgets!$A$2:$A$200=BK$1)*(Budgets!$B$2:$B$200&lt;EDATE($A257,1))),Budgets!$C$2:$C$200),0))</f>
        <v/>
      </c>
      <c r="BM257" s="21">
        <f>COUNTIFS(Entries!$A$2:$A$5000,"&gt;="&amp;$A257,Entries!$A$2:$A$5000,"&lt;"&amp;EDATE($A257,1))</f>
        <v/>
      </c>
    </row>
    <row r="258">
      <c r="A258" s="22" t="n">
        <v>47239</v>
      </c>
      <c r="B258" s="23">
        <f>IF($BM258=0,NA(),SUMIFS(Entries!$E$2:$E$5000,Entries!$C$2:$C$5000,"Income",Entries!$A$2:$A$5000,"&gt;="&amp;$A258,Entries!$A$2:$A$5000,"&lt;"&amp;EDATE($A258,1)))</f>
        <v/>
      </c>
      <c r="C258" s="23">
        <f>IF($BM258=0,"",SUMIFS(Entries!$E$2:$E$5000,Entries!$C$2:$C$5000,"Actual",Entries!$A$2:$A$5000,"&gt;="&amp;$A258,Entries!$A$2:$A$5000,"&lt;"&amp;EDATE($A258,1)))</f>
        <v/>
      </c>
      <c r="D258" s="23">
        <f>IF($BM258=0,"",SUMIFS(Entries!$E$2:$E$5000,Entries!$C$2:$C$5000,"One-off",Entries!$A$2:$A$5000,"&gt;="&amp;$A258,Entries!$A$2:$A$5000,"&lt;"&amp;EDATE($A258,1)))</f>
        <v/>
      </c>
      <c r="E258" s="23">
        <f>IF($BM258=0,NA(),C258+D258)</f>
        <v/>
      </c>
      <c r="F258" s="23">
        <f>IF($BM258=0,"",SUM(AR258:BK258))</f>
        <v/>
      </c>
      <c r="G258" s="23">
        <f>IF($BM258=0,"",B258-E258)</f>
        <v/>
      </c>
      <c r="H258" s="23">
        <f>IF($BM258=0,"",SUM($G$2:G258))</f>
        <v/>
      </c>
      <c r="I258" s="23">
        <f>IF($BM258=0,"",SUMIFS(Entries!$G$2:$G$5000,Entries!$A$2:$A$5000,"&gt;="&amp;$A258,Entries!$A$2:$A$5000,"&lt;"&amp;EDATE($A258,1)))</f>
        <v/>
      </c>
      <c r="J258" s="23">
        <f>IF($BM258=0,NA(),H258)</f>
        <v/>
      </c>
      <c r="K258" s="23">
        <f>IF($BM258=0,"",SUMIFS(Entries!$E$2:$E$5000,Entries!$C$2:$C$5000,"Income",Entries!$A$2:$A$5000,"&gt;="&amp;EDATE($A258,-11),Entries!$A$2:$A$5000,"&lt;"&amp;EDATE($A258,1))/COUNTIFS($A$2:$A$400,"&gt;="&amp;EDATE($A258,-11),$A$2:$A$400,"&lt;"&amp;EDATE($A258,1),$BM$2:$BM$400,"&gt;0"))</f>
      </c>
      <c r="L258" s="23">
        <f>IF($BM258=0,"",(SUMIFS(Entries!$E$2:$E$5000,Entries!$C$2:$C$5000,"Actual",Entries!$A$2:$A$5000,"&gt;="&amp;EDATE($A258,-11),Entries!$A$2:$A$5000,"&lt;"&amp;EDATE($A258,1))+SUMIFS(Entries!$E$2:$E$5000,Entries!$C$2:$C$5000,"One-off",Entries!$A$2:$A$5000,"&gt;="&amp;EDATE($A258,-11),Entries!$A$2:$A$5000,"&lt;"&amp;EDATE($A258,1)))/COUNTIFS($A$2:$A$400,"&gt;="&amp;EDATE($A258,-11),$A$2:$A$400,"&lt;"&amp;EDATE($A258,1),$BM$2:$BM$400,"&gt;0"))</f>
      </c>
      <c r="M258" s="24">
        <f>IF($BM258=0,NA(),IFERROR((K258-L258)/K258,0))</f>
        <v/>
      </c>
      <c r="N258" s="23">
        <f>IF($BM258=0,NA(),SUMIFS(Entries!$E$2:$E$5000,Entries!$D$2:$D$5000,"Core",Entries!$A$2:$A$5000,"&gt;="&amp;$A258,Entries!$A$2:$A$5000,"&lt;"&amp;EDATE($A258,1)))</f>
        <v/>
      </c>
      <c r="O258" s="23">
        <f>IF($BM258=0,NA(),SUMIFS(Entries!$E$2:$E$5000,Entries!$D$2:$D$5000,"Over &amp; above",Entries!$A$2:$A$5000,"&gt;="&amp;$A258,Entries!$A$2:$A$5000,"&lt;"&amp;EDATE($A258,1)))</f>
        <v/>
      </c>
      <c r="P258" s="23">
        <f>IF($BM258=0,NA(),SUMIFS(Entries!$E$2:$E$5000,Entries!$D$2:$D$5000,"One-off",Entries!$A$2:$A$5000,"&gt;="&amp;$A258,Entries!$A$2:$A$5000,"&lt;"&amp;EDATE($A258,1)))</f>
        <v/>
      </c>
      <c r="Q258" s="23">
        <f>IF($BM258=0,NA(),SUMIFS(Entries!$E$2:$E$5000,Entries!$D$2:$D$5000,"Reimbursable",Entries!$A$2:$A$5000,"&gt;="&amp;$A258,Entries!$A$2:$A$5000,"&lt;"&amp;EDATE($A258,1)))</f>
        <v/>
      </c>
      <c r="R258" s="23">
        <f>IF($BM258=0,NA(),SUMIFS(Entries!$E$2:$E$5000,Entries!$D$2:$D$5000,"Investment",Entries!$A$2:$A$5000,"&gt;="&amp;$A258,Entries!$A$2:$A$5000,"&lt;"&amp;EDATE($A258,1)))</f>
        <v/>
      </c>
      <c r="S258" s="23">
        <f>IF($BM258=0,NA(),N258+O258)</f>
        <v/>
      </c>
      <c r="T258" s="23">
        <f>IF($BM258=0,"",E258-Q258)</f>
        <v/>
      </c>
      <c r="W258" s="23">
        <f>IF(OR(W$1="",$BM258=0),"",SUMIFS(Entries!$E$2:$E$5000,Entries!$C$2:$C$5000,"Actual",Entries!$A$2:$A$5000,"&gt;="&amp;$A258,Entries!$A$2:$A$5000,"&lt;"&amp;EDATE($A258,1),Entries!$B$2:$B$5000,W$1))</f>
        <v/>
      </c>
      <c r="X258" s="23">
        <f>IF(OR(X$1="",$BM258=0),"",SUMIFS(Entries!$E$2:$E$5000,Entries!$C$2:$C$5000,"Actual",Entries!$A$2:$A$5000,"&gt;="&amp;$A258,Entries!$A$2:$A$5000,"&lt;"&amp;EDATE($A258,1),Entries!$B$2:$B$5000,X$1))</f>
        <v/>
      </c>
      <c r="Y258" s="23">
        <f>IF(OR(Y$1="",$BM258=0),"",SUMIFS(Entries!$E$2:$E$5000,Entries!$C$2:$C$5000,"Actual",Entries!$A$2:$A$5000,"&gt;="&amp;$A258,Entries!$A$2:$A$5000,"&lt;"&amp;EDATE($A258,1),Entries!$B$2:$B$5000,Y$1))</f>
        <v/>
      </c>
      <c r="Z258" s="23">
        <f>IF(OR(Z$1="",$BM258=0),"",SUMIFS(Entries!$E$2:$E$5000,Entries!$C$2:$C$5000,"Actual",Entries!$A$2:$A$5000,"&gt;="&amp;$A258,Entries!$A$2:$A$5000,"&lt;"&amp;EDATE($A258,1),Entries!$B$2:$B$5000,Z$1))</f>
        <v/>
      </c>
      <c r="AA258" s="23">
        <f>IF(OR(AA$1="",$BM258=0),"",SUMIFS(Entries!$E$2:$E$5000,Entries!$C$2:$C$5000,"Actual",Entries!$A$2:$A$5000,"&gt;="&amp;$A258,Entries!$A$2:$A$5000,"&lt;"&amp;EDATE($A258,1),Entries!$B$2:$B$5000,AA$1))</f>
        <v/>
      </c>
      <c r="AB258" s="23">
        <f>IF(OR(AB$1="",$BM258=0),"",SUMIFS(Entries!$E$2:$E$5000,Entries!$C$2:$C$5000,"Actual",Entries!$A$2:$A$5000,"&gt;="&amp;$A258,Entries!$A$2:$A$5000,"&lt;"&amp;EDATE($A258,1),Entries!$B$2:$B$5000,AB$1))</f>
        <v/>
      </c>
      <c r="AC258" s="23">
        <f>IF(OR(AC$1="",$BM258=0),"",SUMIFS(Entries!$E$2:$E$5000,Entries!$C$2:$C$5000,"Actual",Entries!$A$2:$A$5000,"&gt;="&amp;$A258,Entries!$A$2:$A$5000,"&lt;"&amp;EDATE($A258,1),Entries!$B$2:$B$5000,AC$1))</f>
        <v/>
      </c>
      <c r="AD258" s="23">
        <f>IF(OR(AD$1="",$BM258=0),"",SUMIFS(Entries!$E$2:$E$5000,Entries!$C$2:$C$5000,"Actual",Entries!$A$2:$A$5000,"&gt;="&amp;$A258,Entries!$A$2:$A$5000,"&lt;"&amp;EDATE($A258,1),Entries!$B$2:$B$5000,AD$1))</f>
        <v/>
      </c>
      <c r="AE258" s="23">
        <f>IF(OR(AE$1="",$BM258=0),"",SUMIFS(Entries!$E$2:$E$5000,Entries!$C$2:$C$5000,"Actual",Entries!$A$2:$A$5000,"&gt;="&amp;$A258,Entries!$A$2:$A$5000,"&lt;"&amp;EDATE($A258,1),Entries!$B$2:$B$5000,AE$1))</f>
        <v/>
      </c>
      <c r="AF258" s="23">
        <f>IF(OR(AF$1="",$BM258=0),"",SUMIFS(Entries!$E$2:$E$5000,Entries!$C$2:$C$5000,"Actual",Entries!$A$2:$A$5000,"&gt;="&amp;$A258,Entries!$A$2:$A$5000,"&lt;"&amp;EDATE($A258,1),Entries!$B$2:$B$5000,AF$1))</f>
        <v/>
      </c>
      <c r="AG258" s="23">
        <f>IF(OR(AG$1="",$BM258=0),"",SUMIFS(Entries!$E$2:$E$5000,Entries!$C$2:$C$5000,"Actual",Entries!$A$2:$A$5000,"&gt;="&amp;$A258,Entries!$A$2:$A$5000,"&lt;"&amp;EDATE($A258,1),Entries!$B$2:$B$5000,AG$1))</f>
        <v/>
      </c>
      <c r="AH258" s="23">
        <f>IF(OR(AH$1="",$BM258=0),"",SUMIFS(Entries!$E$2:$E$5000,Entries!$C$2:$C$5000,"Actual",Entries!$A$2:$A$5000,"&gt;="&amp;$A258,Entries!$A$2:$A$5000,"&lt;"&amp;EDATE($A258,1),Entries!$B$2:$B$5000,AH$1))</f>
        <v/>
      </c>
      <c r="AI258" s="23">
        <f>IF(OR(AI$1="",$BM258=0),"",SUMIFS(Entries!$E$2:$E$5000,Entries!$C$2:$C$5000,"Actual",Entries!$A$2:$A$5000,"&gt;="&amp;$A258,Entries!$A$2:$A$5000,"&lt;"&amp;EDATE($A258,1),Entries!$B$2:$B$5000,AI$1))</f>
        <v/>
      </c>
      <c r="AJ258" s="23">
        <f>IF(OR(AJ$1="",$BM258=0),"",SUMIFS(Entries!$E$2:$E$5000,Entries!$C$2:$C$5000,"Actual",Entries!$A$2:$A$5000,"&gt;="&amp;$A258,Entries!$A$2:$A$5000,"&lt;"&amp;EDATE($A258,1),Entries!$B$2:$B$5000,AJ$1))</f>
        <v/>
      </c>
      <c r="AK258" s="23">
        <f>IF(OR(AK$1="",$BM258=0),"",SUMIFS(Entries!$E$2:$E$5000,Entries!$C$2:$C$5000,"Actual",Entries!$A$2:$A$5000,"&gt;="&amp;$A258,Entries!$A$2:$A$5000,"&lt;"&amp;EDATE($A258,1),Entries!$B$2:$B$5000,AK$1))</f>
        <v/>
      </c>
      <c r="AL258" s="23">
        <f>IF(OR(AL$1="",$BM258=0),"",SUMIFS(Entries!$E$2:$E$5000,Entries!$C$2:$C$5000,"Actual",Entries!$A$2:$A$5000,"&gt;="&amp;$A258,Entries!$A$2:$A$5000,"&lt;"&amp;EDATE($A258,1),Entries!$B$2:$B$5000,AL$1))</f>
        <v/>
      </c>
      <c r="AM258" s="23">
        <f>IF(OR(AM$1="",$BM258=0),"",SUMIFS(Entries!$E$2:$E$5000,Entries!$C$2:$C$5000,"Actual",Entries!$A$2:$A$5000,"&gt;="&amp;$A258,Entries!$A$2:$A$5000,"&lt;"&amp;EDATE($A258,1),Entries!$B$2:$B$5000,AM$1))</f>
        <v/>
      </c>
      <c r="AN258" s="23">
        <f>IF(OR(AN$1="",$BM258=0),"",SUMIFS(Entries!$E$2:$E$5000,Entries!$C$2:$C$5000,"Actual",Entries!$A$2:$A$5000,"&gt;="&amp;$A258,Entries!$A$2:$A$5000,"&lt;"&amp;EDATE($A258,1),Entries!$B$2:$B$5000,AN$1))</f>
        <v/>
      </c>
      <c r="AO258" s="23">
        <f>IF(OR(AO$1="",$BM258=0),"",SUMIFS(Entries!$E$2:$E$5000,Entries!$C$2:$C$5000,"Actual",Entries!$A$2:$A$5000,"&gt;="&amp;$A258,Entries!$A$2:$A$5000,"&lt;"&amp;EDATE($A258,1),Entries!$B$2:$B$5000,AO$1))</f>
        <v/>
      </c>
      <c r="AP258" s="23">
        <f>IF(OR(AP$1="",$BM258=0),"",SUMIFS(Entries!$E$2:$E$5000,Entries!$C$2:$C$5000,"Actual",Entries!$A$2:$A$5000,"&gt;="&amp;$A258,Entries!$A$2:$A$5000,"&lt;"&amp;EDATE($A258,1),Entries!$B$2:$B$5000,AP$1))</f>
        <v/>
      </c>
      <c r="AR258" s="23">
        <f>IF(OR(AR$1="",$BM258=0),"",IFERROR(LOOKUP(2,1/((Budgets!$A$2:$A$200=AR$1)*(Budgets!$B$2:$B$200&lt;EDATE($A258,1))),Budgets!$C$2:$C$200),0))</f>
        <v/>
      </c>
      <c r="AS258" s="23">
        <f>IF(OR(AS$1="",$BM258=0),"",IFERROR(LOOKUP(2,1/((Budgets!$A$2:$A$200=AS$1)*(Budgets!$B$2:$B$200&lt;EDATE($A258,1))),Budgets!$C$2:$C$200),0))</f>
        <v/>
      </c>
      <c r="AT258" s="23">
        <f>IF(OR(AT$1="",$BM258=0),"",IFERROR(LOOKUP(2,1/((Budgets!$A$2:$A$200=AT$1)*(Budgets!$B$2:$B$200&lt;EDATE($A258,1))),Budgets!$C$2:$C$200),0))</f>
        <v/>
      </c>
      <c r="AU258" s="23">
        <f>IF(OR(AU$1="",$BM258=0),"",IFERROR(LOOKUP(2,1/((Budgets!$A$2:$A$200=AU$1)*(Budgets!$B$2:$B$200&lt;EDATE($A258,1))),Budgets!$C$2:$C$200),0))</f>
        <v/>
      </c>
      <c r="AV258" s="23">
        <f>IF(OR(AV$1="",$BM258=0),"",IFERROR(LOOKUP(2,1/((Budgets!$A$2:$A$200=AV$1)*(Budgets!$B$2:$B$200&lt;EDATE($A258,1))),Budgets!$C$2:$C$200),0))</f>
        <v/>
      </c>
      <c r="AW258" s="23">
        <f>IF(OR(AW$1="",$BM258=0),"",IFERROR(LOOKUP(2,1/((Budgets!$A$2:$A$200=AW$1)*(Budgets!$B$2:$B$200&lt;EDATE($A258,1))),Budgets!$C$2:$C$200),0))</f>
        <v/>
      </c>
      <c r="AX258" s="23">
        <f>IF(OR(AX$1="",$BM258=0),"",IFERROR(LOOKUP(2,1/((Budgets!$A$2:$A$200=AX$1)*(Budgets!$B$2:$B$200&lt;EDATE($A258,1))),Budgets!$C$2:$C$200),0))</f>
        <v/>
      </c>
      <c r="AY258" s="23">
        <f>IF(OR(AY$1="",$BM258=0),"",IFERROR(LOOKUP(2,1/((Budgets!$A$2:$A$200=AY$1)*(Budgets!$B$2:$B$200&lt;EDATE($A258,1))),Budgets!$C$2:$C$200),0))</f>
        <v/>
      </c>
      <c r="AZ258" s="23">
        <f>IF(OR(AZ$1="",$BM258=0),"",IFERROR(LOOKUP(2,1/((Budgets!$A$2:$A$200=AZ$1)*(Budgets!$B$2:$B$200&lt;EDATE($A258,1))),Budgets!$C$2:$C$200),0))</f>
        <v/>
      </c>
      <c r="BA258" s="23">
        <f>IF(OR(BA$1="",$BM258=0),"",IFERROR(LOOKUP(2,1/((Budgets!$A$2:$A$200=BA$1)*(Budgets!$B$2:$B$200&lt;EDATE($A258,1))),Budgets!$C$2:$C$200),0))</f>
        <v/>
      </c>
      <c r="BB258" s="23">
        <f>IF(OR(BB$1="",$BM258=0),"",IFERROR(LOOKUP(2,1/((Budgets!$A$2:$A$200=BB$1)*(Budgets!$B$2:$B$200&lt;EDATE($A258,1))),Budgets!$C$2:$C$200),0))</f>
        <v/>
      </c>
      <c r="BC258" s="23">
        <f>IF(OR(BC$1="",$BM258=0),"",IFERROR(LOOKUP(2,1/((Budgets!$A$2:$A$200=BC$1)*(Budgets!$B$2:$B$200&lt;EDATE($A258,1))),Budgets!$C$2:$C$200),0))</f>
        <v/>
      </c>
      <c r="BD258" s="23">
        <f>IF(OR(BD$1="",$BM258=0),"",IFERROR(LOOKUP(2,1/((Budgets!$A$2:$A$200=BD$1)*(Budgets!$B$2:$B$200&lt;EDATE($A258,1))),Budgets!$C$2:$C$200),0))</f>
        <v/>
      </c>
      <c r="BE258" s="23">
        <f>IF(OR(BE$1="",$BM258=0),"",IFERROR(LOOKUP(2,1/((Budgets!$A$2:$A$200=BE$1)*(Budgets!$B$2:$B$200&lt;EDATE($A258,1))),Budgets!$C$2:$C$200),0))</f>
        <v/>
      </c>
      <c r="BF258" s="23">
        <f>IF(OR(BF$1="",$BM258=0),"",IFERROR(LOOKUP(2,1/((Budgets!$A$2:$A$200=BF$1)*(Budgets!$B$2:$B$200&lt;EDATE($A258,1))),Budgets!$C$2:$C$200),0))</f>
        <v/>
      </c>
      <c r="BG258" s="23">
        <f>IF(OR(BG$1="",$BM258=0),"",IFERROR(LOOKUP(2,1/((Budgets!$A$2:$A$200=BG$1)*(Budgets!$B$2:$B$200&lt;EDATE($A258,1))),Budgets!$C$2:$C$200),0))</f>
        <v/>
      </c>
      <c r="BH258" s="23">
        <f>IF(OR(BH$1="",$BM258=0),"",IFERROR(LOOKUP(2,1/((Budgets!$A$2:$A$200=BH$1)*(Budgets!$B$2:$B$200&lt;EDATE($A258,1))),Budgets!$C$2:$C$200),0))</f>
        <v/>
      </c>
      <c r="BI258" s="23">
        <f>IF(OR(BI$1="",$BM258=0),"",IFERROR(LOOKUP(2,1/((Budgets!$A$2:$A$200=BI$1)*(Budgets!$B$2:$B$200&lt;EDATE($A258,1))),Budgets!$C$2:$C$200),0))</f>
        <v/>
      </c>
      <c r="BJ258" s="23">
        <f>IF(OR(BJ$1="",$BM258=0),"",IFERROR(LOOKUP(2,1/((Budgets!$A$2:$A$200=BJ$1)*(Budgets!$B$2:$B$200&lt;EDATE($A258,1))),Budgets!$C$2:$C$200),0))</f>
        <v/>
      </c>
      <c r="BK258" s="23">
        <f>IF(OR(BK$1="",$BM258=0),"",IFERROR(LOOKUP(2,1/((Budgets!$A$2:$A$200=BK$1)*(Budgets!$B$2:$B$200&lt;EDATE($A258,1))),Budgets!$C$2:$C$200),0))</f>
        <v/>
      </c>
      <c r="BM258" s="21">
        <f>COUNTIFS(Entries!$A$2:$A$5000,"&gt;="&amp;$A258,Entries!$A$2:$A$5000,"&lt;"&amp;EDATE($A258,1))</f>
        <v/>
      </c>
    </row>
    <row r="259">
      <c r="A259" s="22" t="n">
        <v>47270</v>
      </c>
      <c r="B259" s="23">
        <f>IF($BM259=0,NA(),SUMIFS(Entries!$E$2:$E$5000,Entries!$C$2:$C$5000,"Income",Entries!$A$2:$A$5000,"&gt;="&amp;$A259,Entries!$A$2:$A$5000,"&lt;"&amp;EDATE($A259,1)))</f>
        <v/>
      </c>
      <c r="C259" s="23">
        <f>IF($BM259=0,"",SUMIFS(Entries!$E$2:$E$5000,Entries!$C$2:$C$5000,"Actual",Entries!$A$2:$A$5000,"&gt;="&amp;$A259,Entries!$A$2:$A$5000,"&lt;"&amp;EDATE($A259,1)))</f>
        <v/>
      </c>
      <c r="D259" s="23">
        <f>IF($BM259=0,"",SUMIFS(Entries!$E$2:$E$5000,Entries!$C$2:$C$5000,"One-off",Entries!$A$2:$A$5000,"&gt;="&amp;$A259,Entries!$A$2:$A$5000,"&lt;"&amp;EDATE($A259,1)))</f>
        <v/>
      </c>
      <c r="E259" s="23">
        <f>IF($BM259=0,NA(),C259+D259)</f>
        <v/>
      </c>
      <c r="F259" s="23">
        <f>IF($BM259=0,"",SUM(AR259:BK259))</f>
        <v/>
      </c>
      <c r="G259" s="23">
        <f>IF($BM259=0,"",B259-E259)</f>
        <v/>
      </c>
      <c r="H259" s="23">
        <f>IF($BM259=0,"",SUM($G$2:G259))</f>
        <v/>
      </c>
      <c r="I259" s="23">
        <f>IF($BM259=0,"",SUMIFS(Entries!$G$2:$G$5000,Entries!$A$2:$A$5000,"&gt;="&amp;$A259,Entries!$A$2:$A$5000,"&lt;"&amp;EDATE($A259,1)))</f>
        <v/>
      </c>
      <c r="J259" s="23">
        <f>IF($BM259=0,NA(),H259)</f>
        <v/>
      </c>
      <c r="K259" s="23">
        <f>IF($BM259=0,"",SUMIFS(Entries!$E$2:$E$5000,Entries!$C$2:$C$5000,"Income",Entries!$A$2:$A$5000,"&gt;="&amp;EDATE($A259,-11),Entries!$A$2:$A$5000,"&lt;"&amp;EDATE($A259,1))/COUNTIFS($A$2:$A$400,"&gt;="&amp;EDATE($A259,-11),$A$2:$A$400,"&lt;"&amp;EDATE($A259,1),$BM$2:$BM$400,"&gt;0"))</f>
      </c>
      <c r="L259" s="23">
        <f>IF($BM259=0,"",(SUMIFS(Entries!$E$2:$E$5000,Entries!$C$2:$C$5000,"Actual",Entries!$A$2:$A$5000,"&gt;="&amp;EDATE($A259,-11),Entries!$A$2:$A$5000,"&lt;"&amp;EDATE($A259,1))+SUMIFS(Entries!$E$2:$E$5000,Entries!$C$2:$C$5000,"One-off",Entries!$A$2:$A$5000,"&gt;="&amp;EDATE($A259,-11),Entries!$A$2:$A$5000,"&lt;"&amp;EDATE($A259,1)))/COUNTIFS($A$2:$A$400,"&gt;="&amp;EDATE($A259,-11),$A$2:$A$400,"&lt;"&amp;EDATE($A259,1),$BM$2:$BM$400,"&gt;0"))</f>
      </c>
      <c r="M259" s="24">
        <f>IF($BM259=0,NA(),IFERROR((K259-L259)/K259,0))</f>
        <v/>
      </c>
      <c r="N259" s="23">
        <f>IF($BM259=0,NA(),SUMIFS(Entries!$E$2:$E$5000,Entries!$D$2:$D$5000,"Core",Entries!$A$2:$A$5000,"&gt;="&amp;$A259,Entries!$A$2:$A$5000,"&lt;"&amp;EDATE($A259,1)))</f>
        <v/>
      </c>
      <c r="O259" s="23">
        <f>IF($BM259=0,NA(),SUMIFS(Entries!$E$2:$E$5000,Entries!$D$2:$D$5000,"Over &amp; above",Entries!$A$2:$A$5000,"&gt;="&amp;$A259,Entries!$A$2:$A$5000,"&lt;"&amp;EDATE($A259,1)))</f>
        <v/>
      </c>
      <c r="P259" s="23">
        <f>IF($BM259=0,NA(),SUMIFS(Entries!$E$2:$E$5000,Entries!$D$2:$D$5000,"One-off",Entries!$A$2:$A$5000,"&gt;="&amp;$A259,Entries!$A$2:$A$5000,"&lt;"&amp;EDATE($A259,1)))</f>
        <v/>
      </c>
      <c r="Q259" s="23">
        <f>IF($BM259=0,NA(),SUMIFS(Entries!$E$2:$E$5000,Entries!$D$2:$D$5000,"Reimbursable",Entries!$A$2:$A$5000,"&gt;="&amp;$A259,Entries!$A$2:$A$5000,"&lt;"&amp;EDATE($A259,1)))</f>
        <v/>
      </c>
      <c r="R259" s="23">
        <f>IF($BM259=0,NA(),SUMIFS(Entries!$E$2:$E$5000,Entries!$D$2:$D$5000,"Investment",Entries!$A$2:$A$5000,"&gt;="&amp;$A259,Entries!$A$2:$A$5000,"&lt;"&amp;EDATE($A259,1)))</f>
        <v/>
      </c>
      <c r="S259" s="23">
        <f>IF($BM259=0,NA(),N259+O259)</f>
        <v/>
      </c>
      <c r="T259" s="23">
        <f>IF($BM259=0,"",E259-Q259)</f>
        <v/>
      </c>
      <c r="W259" s="23">
        <f>IF(OR(W$1="",$BM259=0),"",SUMIFS(Entries!$E$2:$E$5000,Entries!$C$2:$C$5000,"Actual",Entries!$A$2:$A$5000,"&gt;="&amp;$A259,Entries!$A$2:$A$5000,"&lt;"&amp;EDATE($A259,1),Entries!$B$2:$B$5000,W$1))</f>
        <v/>
      </c>
      <c r="X259" s="23">
        <f>IF(OR(X$1="",$BM259=0),"",SUMIFS(Entries!$E$2:$E$5000,Entries!$C$2:$C$5000,"Actual",Entries!$A$2:$A$5000,"&gt;="&amp;$A259,Entries!$A$2:$A$5000,"&lt;"&amp;EDATE($A259,1),Entries!$B$2:$B$5000,X$1))</f>
        <v/>
      </c>
      <c r="Y259" s="23">
        <f>IF(OR(Y$1="",$BM259=0),"",SUMIFS(Entries!$E$2:$E$5000,Entries!$C$2:$C$5000,"Actual",Entries!$A$2:$A$5000,"&gt;="&amp;$A259,Entries!$A$2:$A$5000,"&lt;"&amp;EDATE($A259,1),Entries!$B$2:$B$5000,Y$1))</f>
        <v/>
      </c>
      <c r="Z259" s="23">
        <f>IF(OR(Z$1="",$BM259=0),"",SUMIFS(Entries!$E$2:$E$5000,Entries!$C$2:$C$5000,"Actual",Entries!$A$2:$A$5000,"&gt;="&amp;$A259,Entries!$A$2:$A$5000,"&lt;"&amp;EDATE($A259,1),Entries!$B$2:$B$5000,Z$1))</f>
        <v/>
      </c>
      <c r="AA259" s="23">
        <f>IF(OR(AA$1="",$BM259=0),"",SUMIFS(Entries!$E$2:$E$5000,Entries!$C$2:$C$5000,"Actual",Entries!$A$2:$A$5000,"&gt;="&amp;$A259,Entries!$A$2:$A$5000,"&lt;"&amp;EDATE($A259,1),Entries!$B$2:$B$5000,AA$1))</f>
        <v/>
      </c>
      <c r="AB259" s="23">
        <f>IF(OR(AB$1="",$BM259=0),"",SUMIFS(Entries!$E$2:$E$5000,Entries!$C$2:$C$5000,"Actual",Entries!$A$2:$A$5000,"&gt;="&amp;$A259,Entries!$A$2:$A$5000,"&lt;"&amp;EDATE($A259,1),Entries!$B$2:$B$5000,AB$1))</f>
        <v/>
      </c>
      <c r="AC259" s="23">
        <f>IF(OR(AC$1="",$BM259=0),"",SUMIFS(Entries!$E$2:$E$5000,Entries!$C$2:$C$5000,"Actual",Entries!$A$2:$A$5000,"&gt;="&amp;$A259,Entries!$A$2:$A$5000,"&lt;"&amp;EDATE($A259,1),Entries!$B$2:$B$5000,AC$1))</f>
        <v/>
      </c>
      <c r="AD259" s="23">
        <f>IF(OR(AD$1="",$BM259=0),"",SUMIFS(Entries!$E$2:$E$5000,Entries!$C$2:$C$5000,"Actual",Entries!$A$2:$A$5000,"&gt;="&amp;$A259,Entries!$A$2:$A$5000,"&lt;"&amp;EDATE($A259,1),Entries!$B$2:$B$5000,AD$1))</f>
        <v/>
      </c>
      <c r="AE259" s="23">
        <f>IF(OR(AE$1="",$BM259=0),"",SUMIFS(Entries!$E$2:$E$5000,Entries!$C$2:$C$5000,"Actual",Entries!$A$2:$A$5000,"&gt;="&amp;$A259,Entries!$A$2:$A$5000,"&lt;"&amp;EDATE($A259,1),Entries!$B$2:$B$5000,AE$1))</f>
        <v/>
      </c>
      <c r="AF259" s="23">
        <f>IF(OR(AF$1="",$BM259=0),"",SUMIFS(Entries!$E$2:$E$5000,Entries!$C$2:$C$5000,"Actual",Entries!$A$2:$A$5000,"&gt;="&amp;$A259,Entries!$A$2:$A$5000,"&lt;"&amp;EDATE($A259,1),Entries!$B$2:$B$5000,AF$1))</f>
        <v/>
      </c>
      <c r="AG259" s="23">
        <f>IF(OR(AG$1="",$BM259=0),"",SUMIFS(Entries!$E$2:$E$5000,Entries!$C$2:$C$5000,"Actual",Entries!$A$2:$A$5000,"&gt;="&amp;$A259,Entries!$A$2:$A$5000,"&lt;"&amp;EDATE($A259,1),Entries!$B$2:$B$5000,AG$1))</f>
        <v/>
      </c>
      <c r="AH259" s="23">
        <f>IF(OR(AH$1="",$BM259=0),"",SUMIFS(Entries!$E$2:$E$5000,Entries!$C$2:$C$5000,"Actual",Entries!$A$2:$A$5000,"&gt;="&amp;$A259,Entries!$A$2:$A$5000,"&lt;"&amp;EDATE($A259,1),Entries!$B$2:$B$5000,AH$1))</f>
        <v/>
      </c>
      <c r="AI259" s="23">
        <f>IF(OR(AI$1="",$BM259=0),"",SUMIFS(Entries!$E$2:$E$5000,Entries!$C$2:$C$5000,"Actual",Entries!$A$2:$A$5000,"&gt;="&amp;$A259,Entries!$A$2:$A$5000,"&lt;"&amp;EDATE($A259,1),Entries!$B$2:$B$5000,AI$1))</f>
        <v/>
      </c>
      <c r="AJ259" s="23">
        <f>IF(OR(AJ$1="",$BM259=0),"",SUMIFS(Entries!$E$2:$E$5000,Entries!$C$2:$C$5000,"Actual",Entries!$A$2:$A$5000,"&gt;="&amp;$A259,Entries!$A$2:$A$5000,"&lt;"&amp;EDATE($A259,1),Entries!$B$2:$B$5000,AJ$1))</f>
        <v/>
      </c>
      <c r="AK259" s="23">
        <f>IF(OR(AK$1="",$BM259=0),"",SUMIFS(Entries!$E$2:$E$5000,Entries!$C$2:$C$5000,"Actual",Entries!$A$2:$A$5000,"&gt;="&amp;$A259,Entries!$A$2:$A$5000,"&lt;"&amp;EDATE($A259,1),Entries!$B$2:$B$5000,AK$1))</f>
        <v/>
      </c>
      <c r="AL259" s="23">
        <f>IF(OR(AL$1="",$BM259=0),"",SUMIFS(Entries!$E$2:$E$5000,Entries!$C$2:$C$5000,"Actual",Entries!$A$2:$A$5000,"&gt;="&amp;$A259,Entries!$A$2:$A$5000,"&lt;"&amp;EDATE($A259,1),Entries!$B$2:$B$5000,AL$1))</f>
        <v/>
      </c>
      <c r="AM259" s="23">
        <f>IF(OR(AM$1="",$BM259=0),"",SUMIFS(Entries!$E$2:$E$5000,Entries!$C$2:$C$5000,"Actual",Entries!$A$2:$A$5000,"&gt;="&amp;$A259,Entries!$A$2:$A$5000,"&lt;"&amp;EDATE($A259,1),Entries!$B$2:$B$5000,AM$1))</f>
        <v/>
      </c>
      <c r="AN259" s="23">
        <f>IF(OR(AN$1="",$BM259=0),"",SUMIFS(Entries!$E$2:$E$5000,Entries!$C$2:$C$5000,"Actual",Entries!$A$2:$A$5000,"&gt;="&amp;$A259,Entries!$A$2:$A$5000,"&lt;"&amp;EDATE($A259,1),Entries!$B$2:$B$5000,AN$1))</f>
        <v/>
      </c>
      <c r="AO259" s="23">
        <f>IF(OR(AO$1="",$BM259=0),"",SUMIFS(Entries!$E$2:$E$5000,Entries!$C$2:$C$5000,"Actual",Entries!$A$2:$A$5000,"&gt;="&amp;$A259,Entries!$A$2:$A$5000,"&lt;"&amp;EDATE($A259,1),Entries!$B$2:$B$5000,AO$1))</f>
        <v/>
      </c>
      <c r="AP259" s="23">
        <f>IF(OR(AP$1="",$BM259=0),"",SUMIFS(Entries!$E$2:$E$5000,Entries!$C$2:$C$5000,"Actual",Entries!$A$2:$A$5000,"&gt;="&amp;$A259,Entries!$A$2:$A$5000,"&lt;"&amp;EDATE($A259,1),Entries!$B$2:$B$5000,AP$1))</f>
        <v/>
      </c>
      <c r="AR259" s="23">
        <f>IF(OR(AR$1="",$BM259=0),"",IFERROR(LOOKUP(2,1/((Budgets!$A$2:$A$200=AR$1)*(Budgets!$B$2:$B$200&lt;EDATE($A259,1))),Budgets!$C$2:$C$200),0))</f>
        <v/>
      </c>
      <c r="AS259" s="23">
        <f>IF(OR(AS$1="",$BM259=0),"",IFERROR(LOOKUP(2,1/((Budgets!$A$2:$A$200=AS$1)*(Budgets!$B$2:$B$200&lt;EDATE($A259,1))),Budgets!$C$2:$C$200),0))</f>
        <v/>
      </c>
      <c r="AT259" s="23">
        <f>IF(OR(AT$1="",$BM259=0),"",IFERROR(LOOKUP(2,1/((Budgets!$A$2:$A$200=AT$1)*(Budgets!$B$2:$B$200&lt;EDATE($A259,1))),Budgets!$C$2:$C$200),0))</f>
        <v/>
      </c>
      <c r="AU259" s="23">
        <f>IF(OR(AU$1="",$BM259=0),"",IFERROR(LOOKUP(2,1/((Budgets!$A$2:$A$200=AU$1)*(Budgets!$B$2:$B$200&lt;EDATE($A259,1))),Budgets!$C$2:$C$200),0))</f>
        <v/>
      </c>
      <c r="AV259" s="23">
        <f>IF(OR(AV$1="",$BM259=0),"",IFERROR(LOOKUP(2,1/((Budgets!$A$2:$A$200=AV$1)*(Budgets!$B$2:$B$200&lt;EDATE($A259,1))),Budgets!$C$2:$C$200),0))</f>
        <v/>
      </c>
      <c r="AW259" s="23">
        <f>IF(OR(AW$1="",$BM259=0),"",IFERROR(LOOKUP(2,1/((Budgets!$A$2:$A$200=AW$1)*(Budgets!$B$2:$B$200&lt;EDATE($A259,1))),Budgets!$C$2:$C$200),0))</f>
        <v/>
      </c>
      <c r="AX259" s="23">
        <f>IF(OR(AX$1="",$BM259=0),"",IFERROR(LOOKUP(2,1/((Budgets!$A$2:$A$200=AX$1)*(Budgets!$B$2:$B$200&lt;EDATE($A259,1))),Budgets!$C$2:$C$200),0))</f>
        <v/>
      </c>
      <c r="AY259" s="23">
        <f>IF(OR(AY$1="",$BM259=0),"",IFERROR(LOOKUP(2,1/((Budgets!$A$2:$A$200=AY$1)*(Budgets!$B$2:$B$200&lt;EDATE($A259,1))),Budgets!$C$2:$C$200),0))</f>
        <v/>
      </c>
      <c r="AZ259" s="23">
        <f>IF(OR(AZ$1="",$BM259=0),"",IFERROR(LOOKUP(2,1/((Budgets!$A$2:$A$200=AZ$1)*(Budgets!$B$2:$B$200&lt;EDATE($A259,1))),Budgets!$C$2:$C$200),0))</f>
        <v/>
      </c>
      <c r="BA259" s="23">
        <f>IF(OR(BA$1="",$BM259=0),"",IFERROR(LOOKUP(2,1/((Budgets!$A$2:$A$200=BA$1)*(Budgets!$B$2:$B$200&lt;EDATE($A259,1))),Budgets!$C$2:$C$200),0))</f>
        <v/>
      </c>
      <c r="BB259" s="23">
        <f>IF(OR(BB$1="",$BM259=0),"",IFERROR(LOOKUP(2,1/((Budgets!$A$2:$A$200=BB$1)*(Budgets!$B$2:$B$200&lt;EDATE($A259,1))),Budgets!$C$2:$C$200),0))</f>
        <v/>
      </c>
      <c r="BC259" s="23">
        <f>IF(OR(BC$1="",$BM259=0),"",IFERROR(LOOKUP(2,1/((Budgets!$A$2:$A$200=BC$1)*(Budgets!$B$2:$B$200&lt;EDATE($A259,1))),Budgets!$C$2:$C$200),0))</f>
        <v/>
      </c>
      <c r="BD259" s="23">
        <f>IF(OR(BD$1="",$BM259=0),"",IFERROR(LOOKUP(2,1/((Budgets!$A$2:$A$200=BD$1)*(Budgets!$B$2:$B$200&lt;EDATE($A259,1))),Budgets!$C$2:$C$200),0))</f>
        <v/>
      </c>
      <c r="BE259" s="23">
        <f>IF(OR(BE$1="",$BM259=0),"",IFERROR(LOOKUP(2,1/((Budgets!$A$2:$A$200=BE$1)*(Budgets!$B$2:$B$200&lt;EDATE($A259,1))),Budgets!$C$2:$C$200),0))</f>
        <v/>
      </c>
      <c r="BF259" s="23">
        <f>IF(OR(BF$1="",$BM259=0),"",IFERROR(LOOKUP(2,1/((Budgets!$A$2:$A$200=BF$1)*(Budgets!$B$2:$B$200&lt;EDATE($A259,1))),Budgets!$C$2:$C$200),0))</f>
        <v/>
      </c>
      <c r="BG259" s="23">
        <f>IF(OR(BG$1="",$BM259=0),"",IFERROR(LOOKUP(2,1/((Budgets!$A$2:$A$200=BG$1)*(Budgets!$B$2:$B$200&lt;EDATE($A259,1))),Budgets!$C$2:$C$200),0))</f>
        <v/>
      </c>
      <c r="BH259" s="23">
        <f>IF(OR(BH$1="",$BM259=0),"",IFERROR(LOOKUP(2,1/((Budgets!$A$2:$A$200=BH$1)*(Budgets!$B$2:$B$200&lt;EDATE($A259,1))),Budgets!$C$2:$C$200),0))</f>
        <v/>
      </c>
      <c r="BI259" s="23">
        <f>IF(OR(BI$1="",$BM259=0),"",IFERROR(LOOKUP(2,1/((Budgets!$A$2:$A$200=BI$1)*(Budgets!$B$2:$B$200&lt;EDATE($A259,1))),Budgets!$C$2:$C$200),0))</f>
        <v/>
      </c>
      <c r="BJ259" s="23">
        <f>IF(OR(BJ$1="",$BM259=0),"",IFERROR(LOOKUP(2,1/((Budgets!$A$2:$A$200=BJ$1)*(Budgets!$B$2:$B$200&lt;EDATE($A259,1))),Budgets!$C$2:$C$200),0))</f>
        <v/>
      </c>
      <c r="BK259" s="23">
        <f>IF(OR(BK$1="",$BM259=0),"",IFERROR(LOOKUP(2,1/((Budgets!$A$2:$A$200=BK$1)*(Budgets!$B$2:$B$200&lt;EDATE($A259,1))),Budgets!$C$2:$C$200),0))</f>
        <v/>
      </c>
      <c r="BM259" s="21">
        <f>COUNTIFS(Entries!$A$2:$A$5000,"&gt;="&amp;$A259,Entries!$A$2:$A$5000,"&lt;"&amp;EDATE($A259,1))</f>
        <v/>
      </c>
    </row>
    <row r="260">
      <c r="A260" s="22" t="n">
        <v>47300</v>
      </c>
      <c r="B260" s="23">
        <f>IF($BM260=0,NA(),SUMIFS(Entries!$E$2:$E$5000,Entries!$C$2:$C$5000,"Income",Entries!$A$2:$A$5000,"&gt;="&amp;$A260,Entries!$A$2:$A$5000,"&lt;"&amp;EDATE($A260,1)))</f>
        <v/>
      </c>
      <c r="C260" s="23">
        <f>IF($BM260=0,"",SUMIFS(Entries!$E$2:$E$5000,Entries!$C$2:$C$5000,"Actual",Entries!$A$2:$A$5000,"&gt;="&amp;$A260,Entries!$A$2:$A$5000,"&lt;"&amp;EDATE($A260,1)))</f>
        <v/>
      </c>
      <c r="D260" s="23">
        <f>IF($BM260=0,"",SUMIFS(Entries!$E$2:$E$5000,Entries!$C$2:$C$5000,"One-off",Entries!$A$2:$A$5000,"&gt;="&amp;$A260,Entries!$A$2:$A$5000,"&lt;"&amp;EDATE($A260,1)))</f>
        <v/>
      </c>
      <c r="E260" s="23">
        <f>IF($BM260=0,NA(),C260+D260)</f>
        <v/>
      </c>
      <c r="F260" s="23">
        <f>IF($BM260=0,"",SUM(AR260:BK260))</f>
        <v/>
      </c>
      <c r="G260" s="23">
        <f>IF($BM260=0,"",B260-E260)</f>
        <v/>
      </c>
      <c r="H260" s="23">
        <f>IF($BM260=0,"",SUM($G$2:G260))</f>
        <v/>
      </c>
      <c r="I260" s="23">
        <f>IF($BM260=0,"",SUMIFS(Entries!$G$2:$G$5000,Entries!$A$2:$A$5000,"&gt;="&amp;$A260,Entries!$A$2:$A$5000,"&lt;"&amp;EDATE($A260,1)))</f>
        <v/>
      </c>
      <c r="J260" s="23">
        <f>IF($BM260=0,NA(),H260)</f>
        <v/>
      </c>
      <c r="K260" s="23">
        <f>IF($BM260=0,"",SUMIFS(Entries!$E$2:$E$5000,Entries!$C$2:$C$5000,"Income",Entries!$A$2:$A$5000,"&gt;="&amp;EDATE($A260,-11),Entries!$A$2:$A$5000,"&lt;"&amp;EDATE($A260,1))/COUNTIFS($A$2:$A$400,"&gt;="&amp;EDATE($A260,-11),$A$2:$A$400,"&lt;"&amp;EDATE($A260,1),$BM$2:$BM$400,"&gt;0"))</f>
      </c>
      <c r="L260" s="23">
        <f>IF($BM260=0,"",(SUMIFS(Entries!$E$2:$E$5000,Entries!$C$2:$C$5000,"Actual",Entries!$A$2:$A$5000,"&gt;="&amp;EDATE($A260,-11),Entries!$A$2:$A$5000,"&lt;"&amp;EDATE($A260,1))+SUMIFS(Entries!$E$2:$E$5000,Entries!$C$2:$C$5000,"One-off",Entries!$A$2:$A$5000,"&gt;="&amp;EDATE($A260,-11),Entries!$A$2:$A$5000,"&lt;"&amp;EDATE($A260,1)))/COUNTIFS($A$2:$A$400,"&gt;="&amp;EDATE($A260,-11),$A$2:$A$400,"&lt;"&amp;EDATE($A260,1),$BM$2:$BM$400,"&gt;0"))</f>
      </c>
      <c r="M260" s="24">
        <f>IF($BM260=0,NA(),IFERROR((K260-L260)/K260,0))</f>
        <v/>
      </c>
      <c r="N260" s="23">
        <f>IF($BM260=0,NA(),SUMIFS(Entries!$E$2:$E$5000,Entries!$D$2:$D$5000,"Core",Entries!$A$2:$A$5000,"&gt;="&amp;$A260,Entries!$A$2:$A$5000,"&lt;"&amp;EDATE($A260,1)))</f>
        <v/>
      </c>
      <c r="O260" s="23">
        <f>IF($BM260=0,NA(),SUMIFS(Entries!$E$2:$E$5000,Entries!$D$2:$D$5000,"Over &amp; above",Entries!$A$2:$A$5000,"&gt;="&amp;$A260,Entries!$A$2:$A$5000,"&lt;"&amp;EDATE($A260,1)))</f>
        <v/>
      </c>
      <c r="P260" s="23">
        <f>IF($BM260=0,NA(),SUMIFS(Entries!$E$2:$E$5000,Entries!$D$2:$D$5000,"One-off",Entries!$A$2:$A$5000,"&gt;="&amp;$A260,Entries!$A$2:$A$5000,"&lt;"&amp;EDATE($A260,1)))</f>
        <v/>
      </c>
      <c r="Q260" s="23">
        <f>IF($BM260=0,NA(),SUMIFS(Entries!$E$2:$E$5000,Entries!$D$2:$D$5000,"Reimbursable",Entries!$A$2:$A$5000,"&gt;="&amp;$A260,Entries!$A$2:$A$5000,"&lt;"&amp;EDATE($A260,1)))</f>
        <v/>
      </c>
      <c r="R260" s="23">
        <f>IF($BM260=0,NA(),SUMIFS(Entries!$E$2:$E$5000,Entries!$D$2:$D$5000,"Investment",Entries!$A$2:$A$5000,"&gt;="&amp;$A260,Entries!$A$2:$A$5000,"&lt;"&amp;EDATE($A260,1)))</f>
        <v/>
      </c>
      <c r="S260" s="23">
        <f>IF($BM260=0,NA(),N260+O260)</f>
        <v/>
      </c>
      <c r="T260" s="23">
        <f>IF($BM260=0,"",E260-Q260)</f>
        <v/>
      </c>
      <c r="W260" s="23">
        <f>IF(OR(W$1="",$BM260=0),"",SUMIFS(Entries!$E$2:$E$5000,Entries!$C$2:$C$5000,"Actual",Entries!$A$2:$A$5000,"&gt;="&amp;$A260,Entries!$A$2:$A$5000,"&lt;"&amp;EDATE($A260,1),Entries!$B$2:$B$5000,W$1))</f>
        <v/>
      </c>
      <c r="X260" s="23">
        <f>IF(OR(X$1="",$BM260=0),"",SUMIFS(Entries!$E$2:$E$5000,Entries!$C$2:$C$5000,"Actual",Entries!$A$2:$A$5000,"&gt;="&amp;$A260,Entries!$A$2:$A$5000,"&lt;"&amp;EDATE($A260,1),Entries!$B$2:$B$5000,X$1))</f>
        <v/>
      </c>
      <c r="Y260" s="23">
        <f>IF(OR(Y$1="",$BM260=0),"",SUMIFS(Entries!$E$2:$E$5000,Entries!$C$2:$C$5000,"Actual",Entries!$A$2:$A$5000,"&gt;="&amp;$A260,Entries!$A$2:$A$5000,"&lt;"&amp;EDATE($A260,1),Entries!$B$2:$B$5000,Y$1))</f>
        <v/>
      </c>
      <c r="Z260" s="23">
        <f>IF(OR(Z$1="",$BM260=0),"",SUMIFS(Entries!$E$2:$E$5000,Entries!$C$2:$C$5000,"Actual",Entries!$A$2:$A$5000,"&gt;="&amp;$A260,Entries!$A$2:$A$5000,"&lt;"&amp;EDATE($A260,1),Entries!$B$2:$B$5000,Z$1))</f>
        <v/>
      </c>
      <c r="AA260" s="23">
        <f>IF(OR(AA$1="",$BM260=0),"",SUMIFS(Entries!$E$2:$E$5000,Entries!$C$2:$C$5000,"Actual",Entries!$A$2:$A$5000,"&gt;="&amp;$A260,Entries!$A$2:$A$5000,"&lt;"&amp;EDATE($A260,1),Entries!$B$2:$B$5000,AA$1))</f>
        <v/>
      </c>
      <c r="AB260" s="23">
        <f>IF(OR(AB$1="",$BM260=0),"",SUMIFS(Entries!$E$2:$E$5000,Entries!$C$2:$C$5000,"Actual",Entries!$A$2:$A$5000,"&gt;="&amp;$A260,Entries!$A$2:$A$5000,"&lt;"&amp;EDATE($A260,1),Entries!$B$2:$B$5000,AB$1))</f>
        <v/>
      </c>
      <c r="AC260" s="23">
        <f>IF(OR(AC$1="",$BM260=0),"",SUMIFS(Entries!$E$2:$E$5000,Entries!$C$2:$C$5000,"Actual",Entries!$A$2:$A$5000,"&gt;="&amp;$A260,Entries!$A$2:$A$5000,"&lt;"&amp;EDATE($A260,1),Entries!$B$2:$B$5000,AC$1))</f>
        <v/>
      </c>
      <c r="AD260" s="23">
        <f>IF(OR(AD$1="",$BM260=0),"",SUMIFS(Entries!$E$2:$E$5000,Entries!$C$2:$C$5000,"Actual",Entries!$A$2:$A$5000,"&gt;="&amp;$A260,Entries!$A$2:$A$5000,"&lt;"&amp;EDATE($A260,1),Entries!$B$2:$B$5000,AD$1))</f>
        <v/>
      </c>
      <c r="AE260" s="23">
        <f>IF(OR(AE$1="",$BM260=0),"",SUMIFS(Entries!$E$2:$E$5000,Entries!$C$2:$C$5000,"Actual",Entries!$A$2:$A$5000,"&gt;="&amp;$A260,Entries!$A$2:$A$5000,"&lt;"&amp;EDATE($A260,1),Entries!$B$2:$B$5000,AE$1))</f>
        <v/>
      </c>
      <c r="AF260" s="23">
        <f>IF(OR(AF$1="",$BM260=0),"",SUMIFS(Entries!$E$2:$E$5000,Entries!$C$2:$C$5000,"Actual",Entries!$A$2:$A$5000,"&gt;="&amp;$A260,Entries!$A$2:$A$5000,"&lt;"&amp;EDATE($A260,1),Entries!$B$2:$B$5000,AF$1))</f>
        <v/>
      </c>
      <c r="AG260" s="23">
        <f>IF(OR(AG$1="",$BM260=0),"",SUMIFS(Entries!$E$2:$E$5000,Entries!$C$2:$C$5000,"Actual",Entries!$A$2:$A$5000,"&gt;="&amp;$A260,Entries!$A$2:$A$5000,"&lt;"&amp;EDATE($A260,1),Entries!$B$2:$B$5000,AG$1))</f>
        <v/>
      </c>
      <c r="AH260" s="23">
        <f>IF(OR(AH$1="",$BM260=0),"",SUMIFS(Entries!$E$2:$E$5000,Entries!$C$2:$C$5000,"Actual",Entries!$A$2:$A$5000,"&gt;="&amp;$A260,Entries!$A$2:$A$5000,"&lt;"&amp;EDATE($A260,1),Entries!$B$2:$B$5000,AH$1))</f>
        <v/>
      </c>
      <c r="AI260" s="23">
        <f>IF(OR(AI$1="",$BM260=0),"",SUMIFS(Entries!$E$2:$E$5000,Entries!$C$2:$C$5000,"Actual",Entries!$A$2:$A$5000,"&gt;="&amp;$A260,Entries!$A$2:$A$5000,"&lt;"&amp;EDATE($A260,1),Entries!$B$2:$B$5000,AI$1))</f>
        <v/>
      </c>
      <c r="AJ260" s="23">
        <f>IF(OR(AJ$1="",$BM260=0),"",SUMIFS(Entries!$E$2:$E$5000,Entries!$C$2:$C$5000,"Actual",Entries!$A$2:$A$5000,"&gt;="&amp;$A260,Entries!$A$2:$A$5000,"&lt;"&amp;EDATE($A260,1),Entries!$B$2:$B$5000,AJ$1))</f>
        <v/>
      </c>
      <c r="AK260" s="23">
        <f>IF(OR(AK$1="",$BM260=0),"",SUMIFS(Entries!$E$2:$E$5000,Entries!$C$2:$C$5000,"Actual",Entries!$A$2:$A$5000,"&gt;="&amp;$A260,Entries!$A$2:$A$5000,"&lt;"&amp;EDATE($A260,1),Entries!$B$2:$B$5000,AK$1))</f>
        <v/>
      </c>
      <c r="AL260" s="23">
        <f>IF(OR(AL$1="",$BM260=0),"",SUMIFS(Entries!$E$2:$E$5000,Entries!$C$2:$C$5000,"Actual",Entries!$A$2:$A$5000,"&gt;="&amp;$A260,Entries!$A$2:$A$5000,"&lt;"&amp;EDATE($A260,1),Entries!$B$2:$B$5000,AL$1))</f>
        <v/>
      </c>
      <c r="AM260" s="23">
        <f>IF(OR(AM$1="",$BM260=0),"",SUMIFS(Entries!$E$2:$E$5000,Entries!$C$2:$C$5000,"Actual",Entries!$A$2:$A$5000,"&gt;="&amp;$A260,Entries!$A$2:$A$5000,"&lt;"&amp;EDATE($A260,1),Entries!$B$2:$B$5000,AM$1))</f>
        <v/>
      </c>
      <c r="AN260" s="23">
        <f>IF(OR(AN$1="",$BM260=0),"",SUMIFS(Entries!$E$2:$E$5000,Entries!$C$2:$C$5000,"Actual",Entries!$A$2:$A$5000,"&gt;="&amp;$A260,Entries!$A$2:$A$5000,"&lt;"&amp;EDATE($A260,1),Entries!$B$2:$B$5000,AN$1))</f>
        <v/>
      </c>
      <c r="AO260" s="23">
        <f>IF(OR(AO$1="",$BM260=0),"",SUMIFS(Entries!$E$2:$E$5000,Entries!$C$2:$C$5000,"Actual",Entries!$A$2:$A$5000,"&gt;="&amp;$A260,Entries!$A$2:$A$5000,"&lt;"&amp;EDATE($A260,1),Entries!$B$2:$B$5000,AO$1))</f>
        <v/>
      </c>
      <c r="AP260" s="23">
        <f>IF(OR(AP$1="",$BM260=0),"",SUMIFS(Entries!$E$2:$E$5000,Entries!$C$2:$C$5000,"Actual",Entries!$A$2:$A$5000,"&gt;="&amp;$A260,Entries!$A$2:$A$5000,"&lt;"&amp;EDATE($A260,1),Entries!$B$2:$B$5000,AP$1))</f>
        <v/>
      </c>
      <c r="AR260" s="23">
        <f>IF(OR(AR$1="",$BM260=0),"",IFERROR(LOOKUP(2,1/((Budgets!$A$2:$A$200=AR$1)*(Budgets!$B$2:$B$200&lt;EDATE($A260,1))),Budgets!$C$2:$C$200),0))</f>
        <v/>
      </c>
      <c r="AS260" s="23">
        <f>IF(OR(AS$1="",$BM260=0),"",IFERROR(LOOKUP(2,1/((Budgets!$A$2:$A$200=AS$1)*(Budgets!$B$2:$B$200&lt;EDATE($A260,1))),Budgets!$C$2:$C$200),0))</f>
        <v/>
      </c>
      <c r="AT260" s="23">
        <f>IF(OR(AT$1="",$BM260=0),"",IFERROR(LOOKUP(2,1/((Budgets!$A$2:$A$200=AT$1)*(Budgets!$B$2:$B$200&lt;EDATE($A260,1))),Budgets!$C$2:$C$200),0))</f>
        <v/>
      </c>
      <c r="AU260" s="23">
        <f>IF(OR(AU$1="",$BM260=0),"",IFERROR(LOOKUP(2,1/((Budgets!$A$2:$A$200=AU$1)*(Budgets!$B$2:$B$200&lt;EDATE($A260,1))),Budgets!$C$2:$C$200),0))</f>
        <v/>
      </c>
      <c r="AV260" s="23">
        <f>IF(OR(AV$1="",$BM260=0),"",IFERROR(LOOKUP(2,1/((Budgets!$A$2:$A$200=AV$1)*(Budgets!$B$2:$B$200&lt;EDATE($A260,1))),Budgets!$C$2:$C$200),0))</f>
        <v/>
      </c>
      <c r="AW260" s="23">
        <f>IF(OR(AW$1="",$BM260=0),"",IFERROR(LOOKUP(2,1/((Budgets!$A$2:$A$200=AW$1)*(Budgets!$B$2:$B$200&lt;EDATE($A260,1))),Budgets!$C$2:$C$200),0))</f>
        <v/>
      </c>
      <c r="AX260" s="23">
        <f>IF(OR(AX$1="",$BM260=0),"",IFERROR(LOOKUP(2,1/((Budgets!$A$2:$A$200=AX$1)*(Budgets!$B$2:$B$200&lt;EDATE($A260,1))),Budgets!$C$2:$C$200),0))</f>
        <v/>
      </c>
      <c r="AY260" s="23">
        <f>IF(OR(AY$1="",$BM260=0),"",IFERROR(LOOKUP(2,1/((Budgets!$A$2:$A$200=AY$1)*(Budgets!$B$2:$B$200&lt;EDATE($A260,1))),Budgets!$C$2:$C$200),0))</f>
        <v/>
      </c>
      <c r="AZ260" s="23">
        <f>IF(OR(AZ$1="",$BM260=0),"",IFERROR(LOOKUP(2,1/((Budgets!$A$2:$A$200=AZ$1)*(Budgets!$B$2:$B$200&lt;EDATE($A260,1))),Budgets!$C$2:$C$200),0))</f>
        <v/>
      </c>
      <c r="BA260" s="23">
        <f>IF(OR(BA$1="",$BM260=0),"",IFERROR(LOOKUP(2,1/((Budgets!$A$2:$A$200=BA$1)*(Budgets!$B$2:$B$200&lt;EDATE($A260,1))),Budgets!$C$2:$C$200),0))</f>
        <v/>
      </c>
      <c r="BB260" s="23">
        <f>IF(OR(BB$1="",$BM260=0),"",IFERROR(LOOKUP(2,1/((Budgets!$A$2:$A$200=BB$1)*(Budgets!$B$2:$B$200&lt;EDATE($A260,1))),Budgets!$C$2:$C$200),0))</f>
        <v/>
      </c>
      <c r="BC260" s="23">
        <f>IF(OR(BC$1="",$BM260=0),"",IFERROR(LOOKUP(2,1/((Budgets!$A$2:$A$200=BC$1)*(Budgets!$B$2:$B$200&lt;EDATE($A260,1))),Budgets!$C$2:$C$200),0))</f>
        <v/>
      </c>
      <c r="BD260" s="23">
        <f>IF(OR(BD$1="",$BM260=0),"",IFERROR(LOOKUP(2,1/((Budgets!$A$2:$A$200=BD$1)*(Budgets!$B$2:$B$200&lt;EDATE($A260,1))),Budgets!$C$2:$C$200),0))</f>
        <v/>
      </c>
      <c r="BE260" s="23">
        <f>IF(OR(BE$1="",$BM260=0),"",IFERROR(LOOKUP(2,1/((Budgets!$A$2:$A$200=BE$1)*(Budgets!$B$2:$B$200&lt;EDATE($A260,1))),Budgets!$C$2:$C$200),0))</f>
        <v/>
      </c>
      <c r="BF260" s="23">
        <f>IF(OR(BF$1="",$BM260=0),"",IFERROR(LOOKUP(2,1/((Budgets!$A$2:$A$200=BF$1)*(Budgets!$B$2:$B$200&lt;EDATE($A260,1))),Budgets!$C$2:$C$200),0))</f>
        <v/>
      </c>
      <c r="BG260" s="23">
        <f>IF(OR(BG$1="",$BM260=0),"",IFERROR(LOOKUP(2,1/((Budgets!$A$2:$A$200=BG$1)*(Budgets!$B$2:$B$200&lt;EDATE($A260,1))),Budgets!$C$2:$C$200),0))</f>
        <v/>
      </c>
      <c r="BH260" s="23">
        <f>IF(OR(BH$1="",$BM260=0),"",IFERROR(LOOKUP(2,1/((Budgets!$A$2:$A$200=BH$1)*(Budgets!$B$2:$B$200&lt;EDATE($A260,1))),Budgets!$C$2:$C$200),0))</f>
        <v/>
      </c>
      <c r="BI260" s="23">
        <f>IF(OR(BI$1="",$BM260=0),"",IFERROR(LOOKUP(2,1/((Budgets!$A$2:$A$200=BI$1)*(Budgets!$B$2:$B$200&lt;EDATE($A260,1))),Budgets!$C$2:$C$200),0))</f>
        <v/>
      </c>
      <c r="BJ260" s="23">
        <f>IF(OR(BJ$1="",$BM260=0),"",IFERROR(LOOKUP(2,1/((Budgets!$A$2:$A$200=BJ$1)*(Budgets!$B$2:$B$200&lt;EDATE($A260,1))),Budgets!$C$2:$C$200),0))</f>
        <v/>
      </c>
      <c r="BK260" s="23">
        <f>IF(OR(BK$1="",$BM260=0),"",IFERROR(LOOKUP(2,1/((Budgets!$A$2:$A$200=BK$1)*(Budgets!$B$2:$B$200&lt;EDATE($A260,1))),Budgets!$C$2:$C$200),0))</f>
        <v/>
      </c>
      <c r="BM260" s="21">
        <f>COUNTIFS(Entries!$A$2:$A$5000,"&gt;="&amp;$A260,Entries!$A$2:$A$5000,"&lt;"&amp;EDATE($A260,1))</f>
        <v/>
      </c>
    </row>
    <row r="261">
      <c r="A261" s="22" t="n">
        <v>47331</v>
      </c>
      <c r="B261" s="23">
        <f>IF($BM261=0,NA(),SUMIFS(Entries!$E$2:$E$5000,Entries!$C$2:$C$5000,"Income",Entries!$A$2:$A$5000,"&gt;="&amp;$A261,Entries!$A$2:$A$5000,"&lt;"&amp;EDATE($A261,1)))</f>
        <v/>
      </c>
      <c r="C261" s="23">
        <f>IF($BM261=0,"",SUMIFS(Entries!$E$2:$E$5000,Entries!$C$2:$C$5000,"Actual",Entries!$A$2:$A$5000,"&gt;="&amp;$A261,Entries!$A$2:$A$5000,"&lt;"&amp;EDATE($A261,1)))</f>
        <v/>
      </c>
      <c r="D261" s="23">
        <f>IF($BM261=0,"",SUMIFS(Entries!$E$2:$E$5000,Entries!$C$2:$C$5000,"One-off",Entries!$A$2:$A$5000,"&gt;="&amp;$A261,Entries!$A$2:$A$5000,"&lt;"&amp;EDATE($A261,1)))</f>
        <v/>
      </c>
      <c r="E261" s="23">
        <f>IF($BM261=0,NA(),C261+D261)</f>
        <v/>
      </c>
      <c r="F261" s="23">
        <f>IF($BM261=0,"",SUM(AR261:BK261))</f>
        <v/>
      </c>
      <c r="G261" s="23">
        <f>IF($BM261=0,"",B261-E261)</f>
        <v/>
      </c>
      <c r="H261" s="23">
        <f>IF($BM261=0,"",SUM($G$2:G261))</f>
        <v/>
      </c>
      <c r="I261" s="23">
        <f>IF($BM261=0,"",SUMIFS(Entries!$G$2:$G$5000,Entries!$A$2:$A$5000,"&gt;="&amp;$A261,Entries!$A$2:$A$5000,"&lt;"&amp;EDATE($A261,1)))</f>
        <v/>
      </c>
      <c r="J261" s="23">
        <f>IF($BM261=0,NA(),H261)</f>
        <v/>
      </c>
      <c r="K261" s="23">
        <f>IF($BM261=0,"",SUMIFS(Entries!$E$2:$E$5000,Entries!$C$2:$C$5000,"Income",Entries!$A$2:$A$5000,"&gt;="&amp;EDATE($A261,-11),Entries!$A$2:$A$5000,"&lt;"&amp;EDATE($A261,1))/COUNTIFS($A$2:$A$400,"&gt;="&amp;EDATE($A261,-11),$A$2:$A$400,"&lt;"&amp;EDATE($A261,1),$BM$2:$BM$400,"&gt;0"))</f>
      </c>
      <c r="L261" s="23">
        <f>IF($BM261=0,"",(SUMIFS(Entries!$E$2:$E$5000,Entries!$C$2:$C$5000,"Actual",Entries!$A$2:$A$5000,"&gt;="&amp;EDATE($A261,-11),Entries!$A$2:$A$5000,"&lt;"&amp;EDATE($A261,1))+SUMIFS(Entries!$E$2:$E$5000,Entries!$C$2:$C$5000,"One-off",Entries!$A$2:$A$5000,"&gt;="&amp;EDATE($A261,-11),Entries!$A$2:$A$5000,"&lt;"&amp;EDATE($A261,1)))/COUNTIFS($A$2:$A$400,"&gt;="&amp;EDATE($A261,-11),$A$2:$A$400,"&lt;"&amp;EDATE($A261,1),$BM$2:$BM$400,"&gt;0"))</f>
      </c>
      <c r="M261" s="24">
        <f>IF($BM261=0,NA(),IFERROR((K261-L261)/K261,0))</f>
        <v/>
      </c>
      <c r="N261" s="23">
        <f>IF($BM261=0,NA(),SUMIFS(Entries!$E$2:$E$5000,Entries!$D$2:$D$5000,"Core",Entries!$A$2:$A$5000,"&gt;="&amp;$A261,Entries!$A$2:$A$5000,"&lt;"&amp;EDATE($A261,1)))</f>
        <v/>
      </c>
      <c r="O261" s="23">
        <f>IF($BM261=0,NA(),SUMIFS(Entries!$E$2:$E$5000,Entries!$D$2:$D$5000,"Over &amp; above",Entries!$A$2:$A$5000,"&gt;="&amp;$A261,Entries!$A$2:$A$5000,"&lt;"&amp;EDATE($A261,1)))</f>
        <v/>
      </c>
      <c r="P261" s="23">
        <f>IF($BM261=0,NA(),SUMIFS(Entries!$E$2:$E$5000,Entries!$D$2:$D$5000,"One-off",Entries!$A$2:$A$5000,"&gt;="&amp;$A261,Entries!$A$2:$A$5000,"&lt;"&amp;EDATE($A261,1)))</f>
        <v/>
      </c>
      <c r="Q261" s="23">
        <f>IF($BM261=0,NA(),SUMIFS(Entries!$E$2:$E$5000,Entries!$D$2:$D$5000,"Reimbursable",Entries!$A$2:$A$5000,"&gt;="&amp;$A261,Entries!$A$2:$A$5000,"&lt;"&amp;EDATE($A261,1)))</f>
        <v/>
      </c>
      <c r="R261" s="23">
        <f>IF($BM261=0,NA(),SUMIFS(Entries!$E$2:$E$5000,Entries!$D$2:$D$5000,"Investment",Entries!$A$2:$A$5000,"&gt;="&amp;$A261,Entries!$A$2:$A$5000,"&lt;"&amp;EDATE($A261,1)))</f>
        <v/>
      </c>
      <c r="S261" s="23">
        <f>IF($BM261=0,NA(),N261+O261)</f>
        <v/>
      </c>
      <c r="T261" s="23">
        <f>IF($BM261=0,"",E261-Q261)</f>
        <v/>
      </c>
      <c r="W261" s="23">
        <f>IF(OR(W$1="",$BM261=0),"",SUMIFS(Entries!$E$2:$E$5000,Entries!$C$2:$C$5000,"Actual",Entries!$A$2:$A$5000,"&gt;="&amp;$A261,Entries!$A$2:$A$5000,"&lt;"&amp;EDATE($A261,1),Entries!$B$2:$B$5000,W$1))</f>
        <v/>
      </c>
      <c r="X261" s="23">
        <f>IF(OR(X$1="",$BM261=0),"",SUMIFS(Entries!$E$2:$E$5000,Entries!$C$2:$C$5000,"Actual",Entries!$A$2:$A$5000,"&gt;="&amp;$A261,Entries!$A$2:$A$5000,"&lt;"&amp;EDATE($A261,1),Entries!$B$2:$B$5000,X$1))</f>
        <v/>
      </c>
      <c r="Y261" s="23">
        <f>IF(OR(Y$1="",$BM261=0),"",SUMIFS(Entries!$E$2:$E$5000,Entries!$C$2:$C$5000,"Actual",Entries!$A$2:$A$5000,"&gt;="&amp;$A261,Entries!$A$2:$A$5000,"&lt;"&amp;EDATE($A261,1),Entries!$B$2:$B$5000,Y$1))</f>
        <v/>
      </c>
      <c r="Z261" s="23">
        <f>IF(OR(Z$1="",$BM261=0),"",SUMIFS(Entries!$E$2:$E$5000,Entries!$C$2:$C$5000,"Actual",Entries!$A$2:$A$5000,"&gt;="&amp;$A261,Entries!$A$2:$A$5000,"&lt;"&amp;EDATE($A261,1),Entries!$B$2:$B$5000,Z$1))</f>
        <v/>
      </c>
      <c r="AA261" s="23">
        <f>IF(OR(AA$1="",$BM261=0),"",SUMIFS(Entries!$E$2:$E$5000,Entries!$C$2:$C$5000,"Actual",Entries!$A$2:$A$5000,"&gt;="&amp;$A261,Entries!$A$2:$A$5000,"&lt;"&amp;EDATE($A261,1),Entries!$B$2:$B$5000,AA$1))</f>
        <v/>
      </c>
      <c r="AB261" s="23">
        <f>IF(OR(AB$1="",$BM261=0),"",SUMIFS(Entries!$E$2:$E$5000,Entries!$C$2:$C$5000,"Actual",Entries!$A$2:$A$5000,"&gt;="&amp;$A261,Entries!$A$2:$A$5000,"&lt;"&amp;EDATE($A261,1),Entries!$B$2:$B$5000,AB$1))</f>
        <v/>
      </c>
      <c r="AC261" s="23">
        <f>IF(OR(AC$1="",$BM261=0),"",SUMIFS(Entries!$E$2:$E$5000,Entries!$C$2:$C$5000,"Actual",Entries!$A$2:$A$5000,"&gt;="&amp;$A261,Entries!$A$2:$A$5000,"&lt;"&amp;EDATE($A261,1),Entries!$B$2:$B$5000,AC$1))</f>
        <v/>
      </c>
      <c r="AD261" s="23">
        <f>IF(OR(AD$1="",$BM261=0),"",SUMIFS(Entries!$E$2:$E$5000,Entries!$C$2:$C$5000,"Actual",Entries!$A$2:$A$5000,"&gt;="&amp;$A261,Entries!$A$2:$A$5000,"&lt;"&amp;EDATE($A261,1),Entries!$B$2:$B$5000,AD$1))</f>
        <v/>
      </c>
      <c r="AE261" s="23">
        <f>IF(OR(AE$1="",$BM261=0),"",SUMIFS(Entries!$E$2:$E$5000,Entries!$C$2:$C$5000,"Actual",Entries!$A$2:$A$5000,"&gt;="&amp;$A261,Entries!$A$2:$A$5000,"&lt;"&amp;EDATE($A261,1),Entries!$B$2:$B$5000,AE$1))</f>
        <v/>
      </c>
      <c r="AF261" s="23">
        <f>IF(OR(AF$1="",$BM261=0),"",SUMIFS(Entries!$E$2:$E$5000,Entries!$C$2:$C$5000,"Actual",Entries!$A$2:$A$5000,"&gt;="&amp;$A261,Entries!$A$2:$A$5000,"&lt;"&amp;EDATE($A261,1),Entries!$B$2:$B$5000,AF$1))</f>
        <v/>
      </c>
      <c r="AG261" s="23">
        <f>IF(OR(AG$1="",$BM261=0),"",SUMIFS(Entries!$E$2:$E$5000,Entries!$C$2:$C$5000,"Actual",Entries!$A$2:$A$5000,"&gt;="&amp;$A261,Entries!$A$2:$A$5000,"&lt;"&amp;EDATE($A261,1),Entries!$B$2:$B$5000,AG$1))</f>
        <v/>
      </c>
      <c r="AH261" s="23">
        <f>IF(OR(AH$1="",$BM261=0),"",SUMIFS(Entries!$E$2:$E$5000,Entries!$C$2:$C$5000,"Actual",Entries!$A$2:$A$5000,"&gt;="&amp;$A261,Entries!$A$2:$A$5000,"&lt;"&amp;EDATE($A261,1),Entries!$B$2:$B$5000,AH$1))</f>
        <v/>
      </c>
      <c r="AI261" s="23">
        <f>IF(OR(AI$1="",$BM261=0),"",SUMIFS(Entries!$E$2:$E$5000,Entries!$C$2:$C$5000,"Actual",Entries!$A$2:$A$5000,"&gt;="&amp;$A261,Entries!$A$2:$A$5000,"&lt;"&amp;EDATE($A261,1),Entries!$B$2:$B$5000,AI$1))</f>
        <v/>
      </c>
      <c r="AJ261" s="23">
        <f>IF(OR(AJ$1="",$BM261=0),"",SUMIFS(Entries!$E$2:$E$5000,Entries!$C$2:$C$5000,"Actual",Entries!$A$2:$A$5000,"&gt;="&amp;$A261,Entries!$A$2:$A$5000,"&lt;"&amp;EDATE($A261,1),Entries!$B$2:$B$5000,AJ$1))</f>
        <v/>
      </c>
      <c r="AK261" s="23">
        <f>IF(OR(AK$1="",$BM261=0),"",SUMIFS(Entries!$E$2:$E$5000,Entries!$C$2:$C$5000,"Actual",Entries!$A$2:$A$5000,"&gt;="&amp;$A261,Entries!$A$2:$A$5000,"&lt;"&amp;EDATE($A261,1),Entries!$B$2:$B$5000,AK$1))</f>
        <v/>
      </c>
      <c r="AL261" s="23">
        <f>IF(OR(AL$1="",$BM261=0),"",SUMIFS(Entries!$E$2:$E$5000,Entries!$C$2:$C$5000,"Actual",Entries!$A$2:$A$5000,"&gt;="&amp;$A261,Entries!$A$2:$A$5000,"&lt;"&amp;EDATE($A261,1),Entries!$B$2:$B$5000,AL$1))</f>
        <v/>
      </c>
      <c r="AM261" s="23">
        <f>IF(OR(AM$1="",$BM261=0),"",SUMIFS(Entries!$E$2:$E$5000,Entries!$C$2:$C$5000,"Actual",Entries!$A$2:$A$5000,"&gt;="&amp;$A261,Entries!$A$2:$A$5000,"&lt;"&amp;EDATE($A261,1),Entries!$B$2:$B$5000,AM$1))</f>
        <v/>
      </c>
      <c r="AN261" s="23">
        <f>IF(OR(AN$1="",$BM261=0),"",SUMIFS(Entries!$E$2:$E$5000,Entries!$C$2:$C$5000,"Actual",Entries!$A$2:$A$5000,"&gt;="&amp;$A261,Entries!$A$2:$A$5000,"&lt;"&amp;EDATE($A261,1),Entries!$B$2:$B$5000,AN$1))</f>
        <v/>
      </c>
      <c r="AO261" s="23">
        <f>IF(OR(AO$1="",$BM261=0),"",SUMIFS(Entries!$E$2:$E$5000,Entries!$C$2:$C$5000,"Actual",Entries!$A$2:$A$5000,"&gt;="&amp;$A261,Entries!$A$2:$A$5000,"&lt;"&amp;EDATE($A261,1),Entries!$B$2:$B$5000,AO$1))</f>
        <v/>
      </c>
      <c r="AP261" s="23">
        <f>IF(OR(AP$1="",$BM261=0),"",SUMIFS(Entries!$E$2:$E$5000,Entries!$C$2:$C$5000,"Actual",Entries!$A$2:$A$5000,"&gt;="&amp;$A261,Entries!$A$2:$A$5000,"&lt;"&amp;EDATE($A261,1),Entries!$B$2:$B$5000,AP$1))</f>
        <v/>
      </c>
      <c r="AR261" s="23">
        <f>IF(OR(AR$1="",$BM261=0),"",IFERROR(LOOKUP(2,1/((Budgets!$A$2:$A$200=AR$1)*(Budgets!$B$2:$B$200&lt;EDATE($A261,1))),Budgets!$C$2:$C$200),0))</f>
        <v/>
      </c>
      <c r="AS261" s="23">
        <f>IF(OR(AS$1="",$BM261=0),"",IFERROR(LOOKUP(2,1/((Budgets!$A$2:$A$200=AS$1)*(Budgets!$B$2:$B$200&lt;EDATE($A261,1))),Budgets!$C$2:$C$200),0))</f>
        <v/>
      </c>
      <c r="AT261" s="23">
        <f>IF(OR(AT$1="",$BM261=0),"",IFERROR(LOOKUP(2,1/((Budgets!$A$2:$A$200=AT$1)*(Budgets!$B$2:$B$200&lt;EDATE($A261,1))),Budgets!$C$2:$C$200),0))</f>
        <v/>
      </c>
      <c r="AU261" s="23">
        <f>IF(OR(AU$1="",$BM261=0),"",IFERROR(LOOKUP(2,1/((Budgets!$A$2:$A$200=AU$1)*(Budgets!$B$2:$B$200&lt;EDATE($A261,1))),Budgets!$C$2:$C$200),0))</f>
        <v/>
      </c>
      <c r="AV261" s="23">
        <f>IF(OR(AV$1="",$BM261=0),"",IFERROR(LOOKUP(2,1/((Budgets!$A$2:$A$200=AV$1)*(Budgets!$B$2:$B$200&lt;EDATE($A261,1))),Budgets!$C$2:$C$200),0))</f>
        <v/>
      </c>
      <c r="AW261" s="23">
        <f>IF(OR(AW$1="",$BM261=0),"",IFERROR(LOOKUP(2,1/((Budgets!$A$2:$A$200=AW$1)*(Budgets!$B$2:$B$200&lt;EDATE($A261,1))),Budgets!$C$2:$C$200),0))</f>
        <v/>
      </c>
      <c r="AX261" s="23">
        <f>IF(OR(AX$1="",$BM261=0),"",IFERROR(LOOKUP(2,1/((Budgets!$A$2:$A$200=AX$1)*(Budgets!$B$2:$B$200&lt;EDATE($A261,1))),Budgets!$C$2:$C$200),0))</f>
        <v/>
      </c>
      <c r="AY261" s="23">
        <f>IF(OR(AY$1="",$BM261=0),"",IFERROR(LOOKUP(2,1/((Budgets!$A$2:$A$200=AY$1)*(Budgets!$B$2:$B$200&lt;EDATE($A261,1))),Budgets!$C$2:$C$200),0))</f>
        <v/>
      </c>
      <c r="AZ261" s="23">
        <f>IF(OR(AZ$1="",$BM261=0),"",IFERROR(LOOKUP(2,1/((Budgets!$A$2:$A$200=AZ$1)*(Budgets!$B$2:$B$200&lt;EDATE($A261,1))),Budgets!$C$2:$C$200),0))</f>
        <v/>
      </c>
      <c r="BA261" s="23">
        <f>IF(OR(BA$1="",$BM261=0),"",IFERROR(LOOKUP(2,1/((Budgets!$A$2:$A$200=BA$1)*(Budgets!$B$2:$B$200&lt;EDATE($A261,1))),Budgets!$C$2:$C$200),0))</f>
        <v/>
      </c>
      <c r="BB261" s="23">
        <f>IF(OR(BB$1="",$BM261=0),"",IFERROR(LOOKUP(2,1/((Budgets!$A$2:$A$200=BB$1)*(Budgets!$B$2:$B$200&lt;EDATE($A261,1))),Budgets!$C$2:$C$200),0))</f>
        <v/>
      </c>
      <c r="BC261" s="23">
        <f>IF(OR(BC$1="",$BM261=0),"",IFERROR(LOOKUP(2,1/((Budgets!$A$2:$A$200=BC$1)*(Budgets!$B$2:$B$200&lt;EDATE($A261,1))),Budgets!$C$2:$C$200),0))</f>
        <v/>
      </c>
      <c r="BD261" s="23">
        <f>IF(OR(BD$1="",$BM261=0),"",IFERROR(LOOKUP(2,1/((Budgets!$A$2:$A$200=BD$1)*(Budgets!$B$2:$B$200&lt;EDATE($A261,1))),Budgets!$C$2:$C$200),0))</f>
        <v/>
      </c>
      <c r="BE261" s="23">
        <f>IF(OR(BE$1="",$BM261=0),"",IFERROR(LOOKUP(2,1/((Budgets!$A$2:$A$200=BE$1)*(Budgets!$B$2:$B$200&lt;EDATE($A261,1))),Budgets!$C$2:$C$200),0))</f>
        <v/>
      </c>
      <c r="BF261" s="23">
        <f>IF(OR(BF$1="",$BM261=0),"",IFERROR(LOOKUP(2,1/((Budgets!$A$2:$A$200=BF$1)*(Budgets!$B$2:$B$200&lt;EDATE($A261,1))),Budgets!$C$2:$C$200),0))</f>
        <v/>
      </c>
      <c r="BG261" s="23">
        <f>IF(OR(BG$1="",$BM261=0),"",IFERROR(LOOKUP(2,1/((Budgets!$A$2:$A$200=BG$1)*(Budgets!$B$2:$B$200&lt;EDATE($A261,1))),Budgets!$C$2:$C$200),0))</f>
        <v/>
      </c>
      <c r="BH261" s="23">
        <f>IF(OR(BH$1="",$BM261=0),"",IFERROR(LOOKUP(2,1/((Budgets!$A$2:$A$200=BH$1)*(Budgets!$B$2:$B$200&lt;EDATE($A261,1))),Budgets!$C$2:$C$200),0))</f>
        <v/>
      </c>
      <c r="BI261" s="23">
        <f>IF(OR(BI$1="",$BM261=0),"",IFERROR(LOOKUP(2,1/((Budgets!$A$2:$A$200=BI$1)*(Budgets!$B$2:$B$200&lt;EDATE($A261,1))),Budgets!$C$2:$C$200),0))</f>
        <v/>
      </c>
      <c r="BJ261" s="23">
        <f>IF(OR(BJ$1="",$BM261=0),"",IFERROR(LOOKUP(2,1/((Budgets!$A$2:$A$200=BJ$1)*(Budgets!$B$2:$B$200&lt;EDATE($A261,1))),Budgets!$C$2:$C$200),0))</f>
        <v/>
      </c>
      <c r="BK261" s="23">
        <f>IF(OR(BK$1="",$BM261=0),"",IFERROR(LOOKUP(2,1/((Budgets!$A$2:$A$200=BK$1)*(Budgets!$B$2:$B$200&lt;EDATE($A261,1))),Budgets!$C$2:$C$200),0))</f>
        <v/>
      </c>
      <c r="BM261" s="21">
        <f>COUNTIFS(Entries!$A$2:$A$5000,"&gt;="&amp;$A261,Entries!$A$2:$A$5000,"&lt;"&amp;EDATE($A261,1))</f>
        <v/>
      </c>
    </row>
    <row r="262">
      <c r="A262" s="22" t="n">
        <v>47362</v>
      </c>
      <c r="B262" s="23">
        <f>IF($BM262=0,NA(),SUMIFS(Entries!$E$2:$E$5000,Entries!$C$2:$C$5000,"Income",Entries!$A$2:$A$5000,"&gt;="&amp;$A262,Entries!$A$2:$A$5000,"&lt;"&amp;EDATE($A262,1)))</f>
        <v/>
      </c>
      <c r="C262" s="23">
        <f>IF($BM262=0,"",SUMIFS(Entries!$E$2:$E$5000,Entries!$C$2:$C$5000,"Actual",Entries!$A$2:$A$5000,"&gt;="&amp;$A262,Entries!$A$2:$A$5000,"&lt;"&amp;EDATE($A262,1)))</f>
        <v/>
      </c>
      <c r="D262" s="23">
        <f>IF($BM262=0,"",SUMIFS(Entries!$E$2:$E$5000,Entries!$C$2:$C$5000,"One-off",Entries!$A$2:$A$5000,"&gt;="&amp;$A262,Entries!$A$2:$A$5000,"&lt;"&amp;EDATE($A262,1)))</f>
        <v/>
      </c>
      <c r="E262" s="23">
        <f>IF($BM262=0,NA(),C262+D262)</f>
        <v/>
      </c>
      <c r="F262" s="23">
        <f>IF($BM262=0,"",SUM(AR262:BK262))</f>
        <v/>
      </c>
      <c r="G262" s="23">
        <f>IF($BM262=0,"",B262-E262)</f>
        <v/>
      </c>
      <c r="H262" s="23">
        <f>IF($BM262=0,"",SUM($G$2:G262))</f>
        <v/>
      </c>
      <c r="I262" s="23">
        <f>IF($BM262=0,"",SUMIFS(Entries!$G$2:$G$5000,Entries!$A$2:$A$5000,"&gt;="&amp;$A262,Entries!$A$2:$A$5000,"&lt;"&amp;EDATE($A262,1)))</f>
        <v/>
      </c>
      <c r="J262" s="23">
        <f>IF($BM262=0,NA(),H262)</f>
        <v/>
      </c>
      <c r="K262" s="23">
        <f>IF($BM262=0,"",SUMIFS(Entries!$E$2:$E$5000,Entries!$C$2:$C$5000,"Income",Entries!$A$2:$A$5000,"&gt;="&amp;EDATE($A262,-11),Entries!$A$2:$A$5000,"&lt;"&amp;EDATE($A262,1))/COUNTIFS($A$2:$A$400,"&gt;="&amp;EDATE($A262,-11),$A$2:$A$400,"&lt;"&amp;EDATE($A262,1),$BM$2:$BM$400,"&gt;0"))</f>
      </c>
      <c r="L262" s="23">
        <f>IF($BM262=0,"",(SUMIFS(Entries!$E$2:$E$5000,Entries!$C$2:$C$5000,"Actual",Entries!$A$2:$A$5000,"&gt;="&amp;EDATE($A262,-11),Entries!$A$2:$A$5000,"&lt;"&amp;EDATE($A262,1))+SUMIFS(Entries!$E$2:$E$5000,Entries!$C$2:$C$5000,"One-off",Entries!$A$2:$A$5000,"&gt;="&amp;EDATE($A262,-11),Entries!$A$2:$A$5000,"&lt;"&amp;EDATE($A262,1)))/COUNTIFS($A$2:$A$400,"&gt;="&amp;EDATE($A262,-11),$A$2:$A$400,"&lt;"&amp;EDATE($A262,1),$BM$2:$BM$400,"&gt;0"))</f>
      </c>
      <c r="M262" s="24">
        <f>IF($BM262=0,NA(),IFERROR((K262-L262)/K262,0))</f>
        <v/>
      </c>
      <c r="N262" s="23">
        <f>IF($BM262=0,NA(),SUMIFS(Entries!$E$2:$E$5000,Entries!$D$2:$D$5000,"Core",Entries!$A$2:$A$5000,"&gt;="&amp;$A262,Entries!$A$2:$A$5000,"&lt;"&amp;EDATE($A262,1)))</f>
        <v/>
      </c>
      <c r="O262" s="23">
        <f>IF($BM262=0,NA(),SUMIFS(Entries!$E$2:$E$5000,Entries!$D$2:$D$5000,"Over &amp; above",Entries!$A$2:$A$5000,"&gt;="&amp;$A262,Entries!$A$2:$A$5000,"&lt;"&amp;EDATE($A262,1)))</f>
        <v/>
      </c>
      <c r="P262" s="23">
        <f>IF($BM262=0,NA(),SUMIFS(Entries!$E$2:$E$5000,Entries!$D$2:$D$5000,"One-off",Entries!$A$2:$A$5000,"&gt;="&amp;$A262,Entries!$A$2:$A$5000,"&lt;"&amp;EDATE($A262,1)))</f>
        <v/>
      </c>
      <c r="Q262" s="23">
        <f>IF($BM262=0,NA(),SUMIFS(Entries!$E$2:$E$5000,Entries!$D$2:$D$5000,"Reimbursable",Entries!$A$2:$A$5000,"&gt;="&amp;$A262,Entries!$A$2:$A$5000,"&lt;"&amp;EDATE($A262,1)))</f>
        <v/>
      </c>
      <c r="R262" s="23">
        <f>IF($BM262=0,NA(),SUMIFS(Entries!$E$2:$E$5000,Entries!$D$2:$D$5000,"Investment",Entries!$A$2:$A$5000,"&gt;="&amp;$A262,Entries!$A$2:$A$5000,"&lt;"&amp;EDATE($A262,1)))</f>
        <v/>
      </c>
      <c r="S262" s="23">
        <f>IF($BM262=0,NA(),N262+O262)</f>
        <v/>
      </c>
      <c r="T262" s="23">
        <f>IF($BM262=0,"",E262-Q262)</f>
        <v/>
      </c>
      <c r="W262" s="23">
        <f>IF(OR(W$1="",$BM262=0),"",SUMIFS(Entries!$E$2:$E$5000,Entries!$C$2:$C$5000,"Actual",Entries!$A$2:$A$5000,"&gt;="&amp;$A262,Entries!$A$2:$A$5000,"&lt;"&amp;EDATE($A262,1),Entries!$B$2:$B$5000,W$1))</f>
        <v/>
      </c>
      <c r="X262" s="23">
        <f>IF(OR(X$1="",$BM262=0),"",SUMIFS(Entries!$E$2:$E$5000,Entries!$C$2:$C$5000,"Actual",Entries!$A$2:$A$5000,"&gt;="&amp;$A262,Entries!$A$2:$A$5000,"&lt;"&amp;EDATE($A262,1),Entries!$B$2:$B$5000,X$1))</f>
        <v/>
      </c>
      <c r="Y262" s="23">
        <f>IF(OR(Y$1="",$BM262=0),"",SUMIFS(Entries!$E$2:$E$5000,Entries!$C$2:$C$5000,"Actual",Entries!$A$2:$A$5000,"&gt;="&amp;$A262,Entries!$A$2:$A$5000,"&lt;"&amp;EDATE($A262,1),Entries!$B$2:$B$5000,Y$1))</f>
        <v/>
      </c>
      <c r="Z262" s="23">
        <f>IF(OR(Z$1="",$BM262=0),"",SUMIFS(Entries!$E$2:$E$5000,Entries!$C$2:$C$5000,"Actual",Entries!$A$2:$A$5000,"&gt;="&amp;$A262,Entries!$A$2:$A$5000,"&lt;"&amp;EDATE($A262,1),Entries!$B$2:$B$5000,Z$1))</f>
        <v/>
      </c>
      <c r="AA262" s="23">
        <f>IF(OR(AA$1="",$BM262=0),"",SUMIFS(Entries!$E$2:$E$5000,Entries!$C$2:$C$5000,"Actual",Entries!$A$2:$A$5000,"&gt;="&amp;$A262,Entries!$A$2:$A$5000,"&lt;"&amp;EDATE($A262,1),Entries!$B$2:$B$5000,AA$1))</f>
        <v/>
      </c>
      <c r="AB262" s="23">
        <f>IF(OR(AB$1="",$BM262=0),"",SUMIFS(Entries!$E$2:$E$5000,Entries!$C$2:$C$5000,"Actual",Entries!$A$2:$A$5000,"&gt;="&amp;$A262,Entries!$A$2:$A$5000,"&lt;"&amp;EDATE($A262,1),Entries!$B$2:$B$5000,AB$1))</f>
        <v/>
      </c>
      <c r="AC262" s="23">
        <f>IF(OR(AC$1="",$BM262=0),"",SUMIFS(Entries!$E$2:$E$5000,Entries!$C$2:$C$5000,"Actual",Entries!$A$2:$A$5000,"&gt;="&amp;$A262,Entries!$A$2:$A$5000,"&lt;"&amp;EDATE($A262,1),Entries!$B$2:$B$5000,AC$1))</f>
        <v/>
      </c>
      <c r="AD262" s="23">
        <f>IF(OR(AD$1="",$BM262=0),"",SUMIFS(Entries!$E$2:$E$5000,Entries!$C$2:$C$5000,"Actual",Entries!$A$2:$A$5000,"&gt;="&amp;$A262,Entries!$A$2:$A$5000,"&lt;"&amp;EDATE($A262,1),Entries!$B$2:$B$5000,AD$1))</f>
        <v/>
      </c>
      <c r="AE262" s="23">
        <f>IF(OR(AE$1="",$BM262=0),"",SUMIFS(Entries!$E$2:$E$5000,Entries!$C$2:$C$5000,"Actual",Entries!$A$2:$A$5000,"&gt;="&amp;$A262,Entries!$A$2:$A$5000,"&lt;"&amp;EDATE($A262,1),Entries!$B$2:$B$5000,AE$1))</f>
        <v/>
      </c>
      <c r="AF262" s="23">
        <f>IF(OR(AF$1="",$BM262=0),"",SUMIFS(Entries!$E$2:$E$5000,Entries!$C$2:$C$5000,"Actual",Entries!$A$2:$A$5000,"&gt;="&amp;$A262,Entries!$A$2:$A$5000,"&lt;"&amp;EDATE($A262,1),Entries!$B$2:$B$5000,AF$1))</f>
        <v/>
      </c>
      <c r="AG262" s="23">
        <f>IF(OR(AG$1="",$BM262=0),"",SUMIFS(Entries!$E$2:$E$5000,Entries!$C$2:$C$5000,"Actual",Entries!$A$2:$A$5000,"&gt;="&amp;$A262,Entries!$A$2:$A$5000,"&lt;"&amp;EDATE($A262,1),Entries!$B$2:$B$5000,AG$1))</f>
        <v/>
      </c>
      <c r="AH262" s="23">
        <f>IF(OR(AH$1="",$BM262=0),"",SUMIFS(Entries!$E$2:$E$5000,Entries!$C$2:$C$5000,"Actual",Entries!$A$2:$A$5000,"&gt;="&amp;$A262,Entries!$A$2:$A$5000,"&lt;"&amp;EDATE($A262,1),Entries!$B$2:$B$5000,AH$1))</f>
        <v/>
      </c>
      <c r="AI262" s="23">
        <f>IF(OR(AI$1="",$BM262=0),"",SUMIFS(Entries!$E$2:$E$5000,Entries!$C$2:$C$5000,"Actual",Entries!$A$2:$A$5000,"&gt;="&amp;$A262,Entries!$A$2:$A$5000,"&lt;"&amp;EDATE($A262,1),Entries!$B$2:$B$5000,AI$1))</f>
        <v/>
      </c>
      <c r="AJ262" s="23">
        <f>IF(OR(AJ$1="",$BM262=0),"",SUMIFS(Entries!$E$2:$E$5000,Entries!$C$2:$C$5000,"Actual",Entries!$A$2:$A$5000,"&gt;="&amp;$A262,Entries!$A$2:$A$5000,"&lt;"&amp;EDATE($A262,1),Entries!$B$2:$B$5000,AJ$1))</f>
        <v/>
      </c>
      <c r="AK262" s="23">
        <f>IF(OR(AK$1="",$BM262=0),"",SUMIFS(Entries!$E$2:$E$5000,Entries!$C$2:$C$5000,"Actual",Entries!$A$2:$A$5000,"&gt;="&amp;$A262,Entries!$A$2:$A$5000,"&lt;"&amp;EDATE($A262,1),Entries!$B$2:$B$5000,AK$1))</f>
        <v/>
      </c>
      <c r="AL262" s="23">
        <f>IF(OR(AL$1="",$BM262=0),"",SUMIFS(Entries!$E$2:$E$5000,Entries!$C$2:$C$5000,"Actual",Entries!$A$2:$A$5000,"&gt;="&amp;$A262,Entries!$A$2:$A$5000,"&lt;"&amp;EDATE($A262,1),Entries!$B$2:$B$5000,AL$1))</f>
        <v/>
      </c>
      <c r="AM262" s="23">
        <f>IF(OR(AM$1="",$BM262=0),"",SUMIFS(Entries!$E$2:$E$5000,Entries!$C$2:$C$5000,"Actual",Entries!$A$2:$A$5000,"&gt;="&amp;$A262,Entries!$A$2:$A$5000,"&lt;"&amp;EDATE($A262,1),Entries!$B$2:$B$5000,AM$1))</f>
        <v/>
      </c>
      <c r="AN262" s="23">
        <f>IF(OR(AN$1="",$BM262=0),"",SUMIFS(Entries!$E$2:$E$5000,Entries!$C$2:$C$5000,"Actual",Entries!$A$2:$A$5000,"&gt;="&amp;$A262,Entries!$A$2:$A$5000,"&lt;"&amp;EDATE($A262,1),Entries!$B$2:$B$5000,AN$1))</f>
        <v/>
      </c>
      <c r="AO262" s="23">
        <f>IF(OR(AO$1="",$BM262=0),"",SUMIFS(Entries!$E$2:$E$5000,Entries!$C$2:$C$5000,"Actual",Entries!$A$2:$A$5000,"&gt;="&amp;$A262,Entries!$A$2:$A$5000,"&lt;"&amp;EDATE($A262,1),Entries!$B$2:$B$5000,AO$1))</f>
        <v/>
      </c>
      <c r="AP262" s="23">
        <f>IF(OR(AP$1="",$BM262=0),"",SUMIFS(Entries!$E$2:$E$5000,Entries!$C$2:$C$5000,"Actual",Entries!$A$2:$A$5000,"&gt;="&amp;$A262,Entries!$A$2:$A$5000,"&lt;"&amp;EDATE($A262,1),Entries!$B$2:$B$5000,AP$1))</f>
        <v/>
      </c>
      <c r="AR262" s="23">
        <f>IF(OR(AR$1="",$BM262=0),"",IFERROR(LOOKUP(2,1/((Budgets!$A$2:$A$200=AR$1)*(Budgets!$B$2:$B$200&lt;EDATE($A262,1))),Budgets!$C$2:$C$200),0))</f>
        <v/>
      </c>
      <c r="AS262" s="23">
        <f>IF(OR(AS$1="",$BM262=0),"",IFERROR(LOOKUP(2,1/((Budgets!$A$2:$A$200=AS$1)*(Budgets!$B$2:$B$200&lt;EDATE($A262,1))),Budgets!$C$2:$C$200),0))</f>
        <v/>
      </c>
      <c r="AT262" s="23">
        <f>IF(OR(AT$1="",$BM262=0),"",IFERROR(LOOKUP(2,1/((Budgets!$A$2:$A$200=AT$1)*(Budgets!$B$2:$B$200&lt;EDATE($A262,1))),Budgets!$C$2:$C$200),0))</f>
        <v/>
      </c>
      <c r="AU262" s="23">
        <f>IF(OR(AU$1="",$BM262=0),"",IFERROR(LOOKUP(2,1/((Budgets!$A$2:$A$200=AU$1)*(Budgets!$B$2:$B$200&lt;EDATE($A262,1))),Budgets!$C$2:$C$200),0))</f>
        <v/>
      </c>
      <c r="AV262" s="23">
        <f>IF(OR(AV$1="",$BM262=0),"",IFERROR(LOOKUP(2,1/((Budgets!$A$2:$A$200=AV$1)*(Budgets!$B$2:$B$200&lt;EDATE($A262,1))),Budgets!$C$2:$C$200),0))</f>
        <v/>
      </c>
      <c r="AW262" s="23">
        <f>IF(OR(AW$1="",$BM262=0),"",IFERROR(LOOKUP(2,1/((Budgets!$A$2:$A$200=AW$1)*(Budgets!$B$2:$B$200&lt;EDATE($A262,1))),Budgets!$C$2:$C$200),0))</f>
        <v/>
      </c>
      <c r="AX262" s="23">
        <f>IF(OR(AX$1="",$BM262=0),"",IFERROR(LOOKUP(2,1/((Budgets!$A$2:$A$200=AX$1)*(Budgets!$B$2:$B$200&lt;EDATE($A262,1))),Budgets!$C$2:$C$200),0))</f>
        <v/>
      </c>
      <c r="AY262" s="23">
        <f>IF(OR(AY$1="",$BM262=0),"",IFERROR(LOOKUP(2,1/((Budgets!$A$2:$A$200=AY$1)*(Budgets!$B$2:$B$200&lt;EDATE($A262,1))),Budgets!$C$2:$C$200),0))</f>
        <v/>
      </c>
      <c r="AZ262" s="23">
        <f>IF(OR(AZ$1="",$BM262=0),"",IFERROR(LOOKUP(2,1/((Budgets!$A$2:$A$200=AZ$1)*(Budgets!$B$2:$B$200&lt;EDATE($A262,1))),Budgets!$C$2:$C$200),0))</f>
        <v/>
      </c>
      <c r="BA262" s="23">
        <f>IF(OR(BA$1="",$BM262=0),"",IFERROR(LOOKUP(2,1/((Budgets!$A$2:$A$200=BA$1)*(Budgets!$B$2:$B$200&lt;EDATE($A262,1))),Budgets!$C$2:$C$200),0))</f>
        <v/>
      </c>
      <c r="BB262" s="23">
        <f>IF(OR(BB$1="",$BM262=0),"",IFERROR(LOOKUP(2,1/((Budgets!$A$2:$A$200=BB$1)*(Budgets!$B$2:$B$200&lt;EDATE($A262,1))),Budgets!$C$2:$C$200),0))</f>
        <v/>
      </c>
      <c r="BC262" s="23">
        <f>IF(OR(BC$1="",$BM262=0),"",IFERROR(LOOKUP(2,1/((Budgets!$A$2:$A$200=BC$1)*(Budgets!$B$2:$B$200&lt;EDATE($A262,1))),Budgets!$C$2:$C$200),0))</f>
        <v/>
      </c>
      <c r="BD262" s="23">
        <f>IF(OR(BD$1="",$BM262=0),"",IFERROR(LOOKUP(2,1/((Budgets!$A$2:$A$200=BD$1)*(Budgets!$B$2:$B$200&lt;EDATE($A262,1))),Budgets!$C$2:$C$200),0))</f>
        <v/>
      </c>
      <c r="BE262" s="23">
        <f>IF(OR(BE$1="",$BM262=0),"",IFERROR(LOOKUP(2,1/((Budgets!$A$2:$A$200=BE$1)*(Budgets!$B$2:$B$200&lt;EDATE($A262,1))),Budgets!$C$2:$C$200),0))</f>
        <v/>
      </c>
      <c r="BF262" s="23">
        <f>IF(OR(BF$1="",$BM262=0),"",IFERROR(LOOKUP(2,1/((Budgets!$A$2:$A$200=BF$1)*(Budgets!$B$2:$B$200&lt;EDATE($A262,1))),Budgets!$C$2:$C$200),0))</f>
        <v/>
      </c>
      <c r="BG262" s="23">
        <f>IF(OR(BG$1="",$BM262=0),"",IFERROR(LOOKUP(2,1/((Budgets!$A$2:$A$200=BG$1)*(Budgets!$B$2:$B$200&lt;EDATE($A262,1))),Budgets!$C$2:$C$200),0))</f>
        <v/>
      </c>
      <c r="BH262" s="23">
        <f>IF(OR(BH$1="",$BM262=0),"",IFERROR(LOOKUP(2,1/((Budgets!$A$2:$A$200=BH$1)*(Budgets!$B$2:$B$200&lt;EDATE($A262,1))),Budgets!$C$2:$C$200),0))</f>
        <v/>
      </c>
      <c r="BI262" s="23">
        <f>IF(OR(BI$1="",$BM262=0),"",IFERROR(LOOKUP(2,1/((Budgets!$A$2:$A$200=BI$1)*(Budgets!$B$2:$B$200&lt;EDATE($A262,1))),Budgets!$C$2:$C$200),0))</f>
        <v/>
      </c>
      <c r="BJ262" s="23">
        <f>IF(OR(BJ$1="",$BM262=0),"",IFERROR(LOOKUP(2,1/((Budgets!$A$2:$A$200=BJ$1)*(Budgets!$B$2:$B$200&lt;EDATE($A262,1))),Budgets!$C$2:$C$200),0))</f>
        <v/>
      </c>
      <c r="BK262" s="23">
        <f>IF(OR(BK$1="",$BM262=0),"",IFERROR(LOOKUP(2,1/((Budgets!$A$2:$A$200=BK$1)*(Budgets!$B$2:$B$200&lt;EDATE($A262,1))),Budgets!$C$2:$C$200),0))</f>
        <v/>
      </c>
      <c r="BM262" s="21">
        <f>COUNTIFS(Entries!$A$2:$A$5000,"&gt;="&amp;$A262,Entries!$A$2:$A$5000,"&lt;"&amp;EDATE($A262,1))</f>
        <v/>
      </c>
    </row>
    <row r="263">
      <c r="A263" s="22" t="n">
        <v>47392</v>
      </c>
      <c r="B263" s="23">
        <f>IF($BM263=0,NA(),SUMIFS(Entries!$E$2:$E$5000,Entries!$C$2:$C$5000,"Income",Entries!$A$2:$A$5000,"&gt;="&amp;$A263,Entries!$A$2:$A$5000,"&lt;"&amp;EDATE($A263,1)))</f>
        <v/>
      </c>
      <c r="C263" s="23">
        <f>IF($BM263=0,"",SUMIFS(Entries!$E$2:$E$5000,Entries!$C$2:$C$5000,"Actual",Entries!$A$2:$A$5000,"&gt;="&amp;$A263,Entries!$A$2:$A$5000,"&lt;"&amp;EDATE($A263,1)))</f>
        <v/>
      </c>
      <c r="D263" s="23">
        <f>IF($BM263=0,"",SUMIFS(Entries!$E$2:$E$5000,Entries!$C$2:$C$5000,"One-off",Entries!$A$2:$A$5000,"&gt;="&amp;$A263,Entries!$A$2:$A$5000,"&lt;"&amp;EDATE($A263,1)))</f>
        <v/>
      </c>
      <c r="E263" s="23">
        <f>IF($BM263=0,NA(),C263+D263)</f>
        <v/>
      </c>
      <c r="F263" s="23">
        <f>IF($BM263=0,"",SUM(AR263:BK263))</f>
        <v/>
      </c>
      <c r="G263" s="23">
        <f>IF($BM263=0,"",B263-E263)</f>
        <v/>
      </c>
      <c r="H263" s="23">
        <f>IF($BM263=0,"",SUM($G$2:G263))</f>
        <v/>
      </c>
      <c r="I263" s="23">
        <f>IF($BM263=0,"",SUMIFS(Entries!$G$2:$G$5000,Entries!$A$2:$A$5000,"&gt;="&amp;$A263,Entries!$A$2:$A$5000,"&lt;"&amp;EDATE($A263,1)))</f>
        <v/>
      </c>
      <c r="J263" s="23">
        <f>IF($BM263=0,NA(),H263)</f>
        <v/>
      </c>
      <c r="K263" s="23">
        <f>IF($BM263=0,"",SUMIFS(Entries!$E$2:$E$5000,Entries!$C$2:$C$5000,"Income",Entries!$A$2:$A$5000,"&gt;="&amp;EDATE($A263,-11),Entries!$A$2:$A$5000,"&lt;"&amp;EDATE($A263,1))/COUNTIFS($A$2:$A$400,"&gt;="&amp;EDATE($A263,-11),$A$2:$A$400,"&lt;"&amp;EDATE($A263,1),$BM$2:$BM$400,"&gt;0"))</f>
      </c>
      <c r="L263" s="23">
        <f>IF($BM263=0,"",(SUMIFS(Entries!$E$2:$E$5000,Entries!$C$2:$C$5000,"Actual",Entries!$A$2:$A$5000,"&gt;="&amp;EDATE($A263,-11),Entries!$A$2:$A$5000,"&lt;"&amp;EDATE($A263,1))+SUMIFS(Entries!$E$2:$E$5000,Entries!$C$2:$C$5000,"One-off",Entries!$A$2:$A$5000,"&gt;="&amp;EDATE($A263,-11),Entries!$A$2:$A$5000,"&lt;"&amp;EDATE($A263,1)))/COUNTIFS($A$2:$A$400,"&gt;="&amp;EDATE($A263,-11),$A$2:$A$400,"&lt;"&amp;EDATE($A263,1),$BM$2:$BM$400,"&gt;0"))</f>
      </c>
      <c r="M263" s="24">
        <f>IF($BM263=0,NA(),IFERROR((K263-L263)/K263,0))</f>
        <v/>
      </c>
      <c r="N263" s="23">
        <f>IF($BM263=0,NA(),SUMIFS(Entries!$E$2:$E$5000,Entries!$D$2:$D$5000,"Core",Entries!$A$2:$A$5000,"&gt;="&amp;$A263,Entries!$A$2:$A$5000,"&lt;"&amp;EDATE($A263,1)))</f>
        <v/>
      </c>
      <c r="O263" s="23">
        <f>IF($BM263=0,NA(),SUMIFS(Entries!$E$2:$E$5000,Entries!$D$2:$D$5000,"Over &amp; above",Entries!$A$2:$A$5000,"&gt;="&amp;$A263,Entries!$A$2:$A$5000,"&lt;"&amp;EDATE($A263,1)))</f>
        <v/>
      </c>
      <c r="P263" s="23">
        <f>IF($BM263=0,NA(),SUMIFS(Entries!$E$2:$E$5000,Entries!$D$2:$D$5000,"One-off",Entries!$A$2:$A$5000,"&gt;="&amp;$A263,Entries!$A$2:$A$5000,"&lt;"&amp;EDATE($A263,1)))</f>
        <v/>
      </c>
      <c r="Q263" s="23">
        <f>IF($BM263=0,NA(),SUMIFS(Entries!$E$2:$E$5000,Entries!$D$2:$D$5000,"Reimbursable",Entries!$A$2:$A$5000,"&gt;="&amp;$A263,Entries!$A$2:$A$5000,"&lt;"&amp;EDATE($A263,1)))</f>
        <v/>
      </c>
      <c r="R263" s="23">
        <f>IF($BM263=0,NA(),SUMIFS(Entries!$E$2:$E$5000,Entries!$D$2:$D$5000,"Investment",Entries!$A$2:$A$5000,"&gt;="&amp;$A263,Entries!$A$2:$A$5000,"&lt;"&amp;EDATE($A263,1)))</f>
        <v/>
      </c>
      <c r="S263" s="23">
        <f>IF($BM263=0,NA(),N263+O263)</f>
        <v/>
      </c>
      <c r="T263" s="23">
        <f>IF($BM263=0,"",E263-Q263)</f>
        <v/>
      </c>
      <c r="W263" s="23">
        <f>IF(OR(W$1="",$BM263=0),"",SUMIFS(Entries!$E$2:$E$5000,Entries!$C$2:$C$5000,"Actual",Entries!$A$2:$A$5000,"&gt;="&amp;$A263,Entries!$A$2:$A$5000,"&lt;"&amp;EDATE($A263,1),Entries!$B$2:$B$5000,W$1))</f>
        <v/>
      </c>
      <c r="X263" s="23">
        <f>IF(OR(X$1="",$BM263=0),"",SUMIFS(Entries!$E$2:$E$5000,Entries!$C$2:$C$5000,"Actual",Entries!$A$2:$A$5000,"&gt;="&amp;$A263,Entries!$A$2:$A$5000,"&lt;"&amp;EDATE($A263,1),Entries!$B$2:$B$5000,X$1))</f>
        <v/>
      </c>
      <c r="Y263" s="23">
        <f>IF(OR(Y$1="",$BM263=0),"",SUMIFS(Entries!$E$2:$E$5000,Entries!$C$2:$C$5000,"Actual",Entries!$A$2:$A$5000,"&gt;="&amp;$A263,Entries!$A$2:$A$5000,"&lt;"&amp;EDATE($A263,1),Entries!$B$2:$B$5000,Y$1))</f>
        <v/>
      </c>
      <c r="Z263" s="23">
        <f>IF(OR(Z$1="",$BM263=0),"",SUMIFS(Entries!$E$2:$E$5000,Entries!$C$2:$C$5000,"Actual",Entries!$A$2:$A$5000,"&gt;="&amp;$A263,Entries!$A$2:$A$5000,"&lt;"&amp;EDATE($A263,1),Entries!$B$2:$B$5000,Z$1))</f>
        <v/>
      </c>
      <c r="AA263" s="23">
        <f>IF(OR(AA$1="",$BM263=0),"",SUMIFS(Entries!$E$2:$E$5000,Entries!$C$2:$C$5000,"Actual",Entries!$A$2:$A$5000,"&gt;="&amp;$A263,Entries!$A$2:$A$5000,"&lt;"&amp;EDATE($A263,1),Entries!$B$2:$B$5000,AA$1))</f>
        <v/>
      </c>
      <c r="AB263" s="23">
        <f>IF(OR(AB$1="",$BM263=0),"",SUMIFS(Entries!$E$2:$E$5000,Entries!$C$2:$C$5000,"Actual",Entries!$A$2:$A$5000,"&gt;="&amp;$A263,Entries!$A$2:$A$5000,"&lt;"&amp;EDATE($A263,1),Entries!$B$2:$B$5000,AB$1))</f>
        <v/>
      </c>
      <c r="AC263" s="23">
        <f>IF(OR(AC$1="",$BM263=0),"",SUMIFS(Entries!$E$2:$E$5000,Entries!$C$2:$C$5000,"Actual",Entries!$A$2:$A$5000,"&gt;="&amp;$A263,Entries!$A$2:$A$5000,"&lt;"&amp;EDATE($A263,1),Entries!$B$2:$B$5000,AC$1))</f>
        <v/>
      </c>
      <c r="AD263" s="23">
        <f>IF(OR(AD$1="",$BM263=0),"",SUMIFS(Entries!$E$2:$E$5000,Entries!$C$2:$C$5000,"Actual",Entries!$A$2:$A$5000,"&gt;="&amp;$A263,Entries!$A$2:$A$5000,"&lt;"&amp;EDATE($A263,1),Entries!$B$2:$B$5000,AD$1))</f>
        <v/>
      </c>
      <c r="AE263" s="23">
        <f>IF(OR(AE$1="",$BM263=0),"",SUMIFS(Entries!$E$2:$E$5000,Entries!$C$2:$C$5000,"Actual",Entries!$A$2:$A$5000,"&gt;="&amp;$A263,Entries!$A$2:$A$5000,"&lt;"&amp;EDATE($A263,1),Entries!$B$2:$B$5000,AE$1))</f>
        <v/>
      </c>
      <c r="AF263" s="23">
        <f>IF(OR(AF$1="",$BM263=0),"",SUMIFS(Entries!$E$2:$E$5000,Entries!$C$2:$C$5000,"Actual",Entries!$A$2:$A$5000,"&gt;="&amp;$A263,Entries!$A$2:$A$5000,"&lt;"&amp;EDATE($A263,1),Entries!$B$2:$B$5000,AF$1))</f>
        <v/>
      </c>
      <c r="AG263" s="23">
        <f>IF(OR(AG$1="",$BM263=0),"",SUMIFS(Entries!$E$2:$E$5000,Entries!$C$2:$C$5000,"Actual",Entries!$A$2:$A$5000,"&gt;="&amp;$A263,Entries!$A$2:$A$5000,"&lt;"&amp;EDATE($A263,1),Entries!$B$2:$B$5000,AG$1))</f>
        <v/>
      </c>
      <c r="AH263" s="23">
        <f>IF(OR(AH$1="",$BM263=0),"",SUMIFS(Entries!$E$2:$E$5000,Entries!$C$2:$C$5000,"Actual",Entries!$A$2:$A$5000,"&gt;="&amp;$A263,Entries!$A$2:$A$5000,"&lt;"&amp;EDATE($A263,1),Entries!$B$2:$B$5000,AH$1))</f>
        <v/>
      </c>
      <c r="AI263" s="23">
        <f>IF(OR(AI$1="",$BM263=0),"",SUMIFS(Entries!$E$2:$E$5000,Entries!$C$2:$C$5000,"Actual",Entries!$A$2:$A$5000,"&gt;="&amp;$A263,Entries!$A$2:$A$5000,"&lt;"&amp;EDATE($A263,1),Entries!$B$2:$B$5000,AI$1))</f>
        <v/>
      </c>
      <c r="AJ263" s="23">
        <f>IF(OR(AJ$1="",$BM263=0),"",SUMIFS(Entries!$E$2:$E$5000,Entries!$C$2:$C$5000,"Actual",Entries!$A$2:$A$5000,"&gt;="&amp;$A263,Entries!$A$2:$A$5000,"&lt;"&amp;EDATE($A263,1),Entries!$B$2:$B$5000,AJ$1))</f>
        <v/>
      </c>
      <c r="AK263" s="23">
        <f>IF(OR(AK$1="",$BM263=0),"",SUMIFS(Entries!$E$2:$E$5000,Entries!$C$2:$C$5000,"Actual",Entries!$A$2:$A$5000,"&gt;="&amp;$A263,Entries!$A$2:$A$5000,"&lt;"&amp;EDATE($A263,1),Entries!$B$2:$B$5000,AK$1))</f>
        <v/>
      </c>
      <c r="AL263" s="23">
        <f>IF(OR(AL$1="",$BM263=0),"",SUMIFS(Entries!$E$2:$E$5000,Entries!$C$2:$C$5000,"Actual",Entries!$A$2:$A$5000,"&gt;="&amp;$A263,Entries!$A$2:$A$5000,"&lt;"&amp;EDATE($A263,1),Entries!$B$2:$B$5000,AL$1))</f>
        <v/>
      </c>
      <c r="AM263" s="23">
        <f>IF(OR(AM$1="",$BM263=0),"",SUMIFS(Entries!$E$2:$E$5000,Entries!$C$2:$C$5000,"Actual",Entries!$A$2:$A$5000,"&gt;="&amp;$A263,Entries!$A$2:$A$5000,"&lt;"&amp;EDATE($A263,1),Entries!$B$2:$B$5000,AM$1))</f>
        <v/>
      </c>
      <c r="AN263" s="23">
        <f>IF(OR(AN$1="",$BM263=0),"",SUMIFS(Entries!$E$2:$E$5000,Entries!$C$2:$C$5000,"Actual",Entries!$A$2:$A$5000,"&gt;="&amp;$A263,Entries!$A$2:$A$5000,"&lt;"&amp;EDATE($A263,1),Entries!$B$2:$B$5000,AN$1))</f>
        <v/>
      </c>
      <c r="AO263" s="23">
        <f>IF(OR(AO$1="",$BM263=0),"",SUMIFS(Entries!$E$2:$E$5000,Entries!$C$2:$C$5000,"Actual",Entries!$A$2:$A$5000,"&gt;="&amp;$A263,Entries!$A$2:$A$5000,"&lt;"&amp;EDATE($A263,1),Entries!$B$2:$B$5000,AO$1))</f>
        <v/>
      </c>
      <c r="AP263" s="23">
        <f>IF(OR(AP$1="",$BM263=0),"",SUMIFS(Entries!$E$2:$E$5000,Entries!$C$2:$C$5000,"Actual",Entries!$A$2:$A$5000,"&gt;="&amp;$A263,Entries!$A$2:$A$5000,"&lt;"&amp;EDATE($A263,1),Entries!$B$2:$B$5000,AP$1))</f>
        <v/>
      </c>
      <c r="AR263" s="23">
        <f>IF(OR(AR$1="",$BM263=0),"",IFERROR(LOOKUP(2,1/((Budgets!$A$2:$A$200=AR$1)*(Budgets!$B$2:$B$200&lt;EDATE($A263,1))),Budgets!$C$2:$C$200),0))</f>
        <v/>
      </c>
      <c r="AS263" s="23">
        <f>IF(OR(AS$1="",$BM263=0),"",IFERROR(LOOKUP(2,1/((Budgets!$A$2:$A$200=AS$1)*(Budgets!$B$2:$B$200&lt;EDATE($A263,1))),Budgets!$C$2:$C$200),0))</f>
        <v/>
      </c>
      <c r="AT263" s="23">
        <f>IF(OR(AT$1="",$BM263=0),"",IFERROR(LOOKUP(2,1/((Budgets!$A$2:$A$200=AT$1)*(Budgets!$B$2:$B$200&lt;EDATE($A263,1))),Budgets!$C$2:$C$200),0))</f>
        <v/>
      </c>
      <c r="AU263" s="23">
        <f>IF(OR(AU$1="",$BM263=0),"",IFERROR(LOOKUP(2,1/((Budgets!$A$2:$A$200=AU$1)*(Budgets!$B$2:$B$200&lt;EDATE($A263,1))),Budgets!$C$2:$C$200),0))</f>
        <v/>
      </c>
      <c r="AV263" s="23">
        <f>IF(OR(AV$1="",$BM263=0),"",IFERROR(LOOKUP(2,1/((Budgets!$A$2:$A$200=AV$1)*(Budgets!$B$2:$B$200&lt;EDATE($A263,1))),Budgets!$C$2:$C$200),0))</f>
        <v/>
      </c>
      <c r="AW263" s="23">
        <f>IF(OR(AW$1="",$BM263=0),"",IFERROR(LOOKUP(2,1/((Budgets!$A$2:$A$200=AW$1)*(Budgets!$B$2:$B$200&lt;EDATE($A263,1))),Budgets!$C$2:$C$200),0))</f>
        <v/>
      </c>
      <c r="AX263" s="23">
        <f>IF(OR(AX$1="",$BM263=0),"",IFERROR(LOOKUP(2,1/((Budgets!$A$2:$A$200=AX$1)*(Budgets!$B$2:$B$200&lt;EDATE($A263,1))),Budgets!$C$2:$C$200),0))</f>
        <v/>
      </c>
      <c r="AY263" s="23">
        <f>IF(OR(AY$1="",$BM263=0),"",IFERROR(LOOKUP(2,1/((Budgets!$A$2:$A$200=AY$1)*(Budgets!$B$2:$B$200&lt;EDATE($A263,1))),Budgets!$C$2:$C$200),0))</f>
        <v/>
      </c>
      <c r="AZ263" s="23">
        <f>IF(OR(AZ$1="",$BM263=0),"",IFERROR(LOOKUP(2,1/((Budgets!$A$2:$A$200=AZ$1)*(Budgets!$B$2:$B$200&lt;EDATE($A263,1))),Budgets!$C$2:$C$200),0))</f>
        <v/>
      </c>
      <c r="BA263" s="23">
        <f>IF(OR(BA$1="",$BM263=0),"",IFERROR(LOOKUP(2,1/((Budgets!$A$2:$A$200=BA$1)*(Budgets!$B$2:$B$200&lt;EDATE($A263,1))),Budgets!$C$2:$C$200),0))</f>
        <v/>
      </c>
      <c r="BB263" s="23">
        <f>IF(OR(BB$1="",$BM263=0),"",IFERROR(LOOKUP(2,1/((Budgets!$A$2:$A$200=BB$1)*(Budgets!$B$2:$B$200&lt;EDATE($A263,1))),Budgets!$C$2:$C$200),0))</f>
        <v/>
      </c>
      <c r="BC263" s="23">
        <f>IF(OR(BC$1="",$BM263=0),"",IFERROR(LOOKUP(2,1/((Budgets!$A$2:$A$200=BC$1)*(Budgets!$B$2:$B$200&lt;EDATE($A263,1))),Budgets!$C$2:$C$200),0))</f>
        <v/>
      </c>
      <c r="BD263" s="23">
        <f>IF(OR(BD$1="",$BM263=0),"",IFERROR(LOOKUP(2,1/((Budgets!$A$2:$A$200=BD$1)*(Budgets!$B$2:$B$200&lt;EDATE($A263,1))),Budgets!$C$2:$C$200),0))</f>
        <v/>
      </c>
      <c r="BE263" s="23">
        <f>IF(OR(BE$1="",$BM263=0),"",IFERROR(LOOKUP(2,1/((Budgets!$A$2:$A$200=BE$1)*(Budgets!$B$2:$B$200&lt;EDATE($A263,1))),Budgets!$C$2:$C$200),0))</f>
        <v/>
      </c>
      <c r="BF263" s="23">
        <f>IF(OR(BF$1="",$BM263=0),"",IFERROR(LOOKUP(2,1/((Budgets!$A$2:$A$200=BF$1)*(Budgets!$B$2:$B$200&lt;EDATE($A263,1))),Budgets!$C$2:$C$200),0))</f>
        <v/>
      </c>
      <c r="BG263" s="23">
        <f>IF(OR(BG$1="",$BM263=0),"",IFERROR(LOOKUP(2,1/((Budgets!$A$2:$A$200=BG$1)*(Budgets!$B$2:$B$200&lt;EDATE($A263,1))),Budgets!$C$2:$C$200),0))</f>
        <v/>
      </c>
      <c r="BH263" s="23">
        <f>IF(OR(BH$1="",$BM263=0),"",IFERROR(LOOKUP(2,1/((Budgets!$A$2:$A$200=BH$1)*(Budgets!$B$2:$B$200&lt;EDATE($A263,1))),Budgets!$C$2:$C$200),0))</f>
        <v/>
      </c>
      <c r="BI263" s="23">
        <f>IF(OR(BI$1="",$BM263=0),"",IFERROR(LOOKUP(2,1/((Budgets!$A$2:$A$200=BI$1)*(Budgets!$B$2:$B$200&lt;EDATE($A263,1))),Budgets!$C$2:$C$200),0))</f>
        <v/>
      </c>
      <c r="BJ263" s="23">
        <f>IF(OR(BJ$1="",$BM263=0),"",IFERROR(LOOKUP(2,1/((Budgets!$A$2:$A$200=BJ$1)*(Budgets!$B$2:$B$200&lt;EDATE($A263,1))),Budgets!$C$2:$C$200),0))</f>
        <v/>
      </c>
      <c r="BK263" s="23">
        <f>IF(OR(BK$1="",$BM263=0),"",IFERROR(LOOKUP(2,1/((Budgets!$A$2:$A$200=BK$1)*(Budgets!$B$2:$B$200&lt;EDATE($A263,1))),Budgets!$C$2:$C$200),0))</f>
        <v/>
      </c>
      <c r="BM263" s="21">
        <f>COUNTIFS(Entries!$A$2:$A$5000,"&gt;="&amp;$A263,Entries!$A$2:$A$5000,"&lt;"&amp;EDATE($A263,1))</f>
        <v/>
      </c>
    </row>
    <row r="264">
      <c r="A264" s="22" t="n">
        <v>47423</v>
      </c>
      <c r="B264" s="23">
        <f>IF($BM264=0,NA(),SUMIFS(Entries!$E$2:$E$5000,Entries!$C$2:$C$5000,"Income",Entries!$A$2:$A$5000,"&gt;="&amp;$A264,Entries!$A$2:$A$5000,"&lt;"&amp;EDATE($A264,1)))</f>
        <v/>
      </c>
      <c r="C264" s="23">
        <f>IF($BM264=0,"",SUMIFS(Entries!$E$2:$E$5000,Entries!$C$2:$C$5000,"Actual",Entries!$A$2:$A$5000,"&gt;="&amp;$A264,Entries!$A$2:$A$5000,"&lt;"&amp;EDATE($A264,1)))</f>
        <v/>
      </c>
      <c r="D264" s="23">
        <f>IF($BM264=0,"",SUMIFS(Entries!$E$2:$E$5000,Entries!$C$2:$C$5000,"One-off",Entries!$A$2:$A$5000,"&gt;="&amp;$A264,Entries!$A$2:$A$5000,"&lt;"&amp;EDATE($A264,1)))</f>
        <v/>
      </c>
      <c r="E264" s="23">
        <f>IF($BM264=0,NA(),C264+D264)</f>
        <v/>
      </c>
      <c r="F264" s="23">
        <f>IF($BM264=0,"",SUM(AR264:BK264))</f>
        <v/>
      </c>
      <c r="G264" s="23">
        <f>IF($BM264=0,"",B264-E264)</f>
        <v/>
      </c>
      <c r="H264" s="23">
        <f>IF($BM264=0,"",SUM($G$2:G264))</f>
        <v/>
      </c>
      <c r="I264" s="23">
        <f>IF($BM264=0,"",SUMIFS(Entries!$G$2:$G$5000,Entries!$A$2:$A$5000,"&gt;="&amp;$A264,Entries!$A$2:$A$5000,"&lt;"&amp;EDATE($A264,1)))</f>
        <v/>
      </c>
      <c r="J264" s="23">
        <f>IF($BM264=0,NA(),H264)</f>
        <v/>
      </c>
      <c r="K264" s="23">
        <f>IF($BM264=0,"",SUMIFS(Entries!$E$2:$E$5000,Entries!$C$2:$C$5000,"Income",Entries!$A$2:$A$5000,"&gt;="&amp;EDATE($A264,-11),Entries!$A$2:$A$5000,"&lt;"&amp;EDATE($A264,1))/COUNTIFS($A$2:$A$400,"&gt;="&amp;EDATE($A264,-11),$A$2:$A$400,"&lt;"&amp;EDATE($A264,1),$BM$2:$BM$400,"&gt;0"))</f>
      </c>
      <c r="L264" s="23">
        <f>IF($BM264=0,"",(SUMIFS(Entries!$E$2:$E$5000,Entries!$C$2:$C$5000,"Actual",Entries!$A$2:$A$5000,"&gt;="&amp;EDATE($A264,-11),Entries!$A$2:$A$5000,"&lt;"&amp;EDATE($A264,1))+SUMIFS(Entries!$E$2:$E$5000,Entries!$C$2:$C$5000,"One-off",Entries!$A$2:$A$5000,"&gt;="&amp;EDATE($A264,-11),Entries!$A$2:$A$5000,"&lt;"&amp;EDATE($A264,1)))/COUNTIFS($A$2:$A$400,"&gt;="&amp;EDATE($A264,-11),$A$2:$A$400,"&lt;"&amp;EDATE($A264,1),$BM$2:$BM$400,"&gt;0"))</f>
      </c>
      <c r="M264" s="24">
        <f>IF($BM264=0,NA(),IFERROR((K264-L264)/K264,0))</f>
        <v/>
      </c>
      <c r="N264" s="23">
        <f>IF($BM264=0,NA(),SUMIFS(Entries!$E$2:$E$5000,Entries!$D$2:$D$5000,"Core",Entries!$A$2:$A$5000,"&gt;="&amp;$A264,Entries!$A$2:$A$5000,"&lt;"&amp;EDATE($A264,1)))</f>
        <v/>
      </c>
      <c r="O264" s="23">
        <f>IF($BM264=0,NA(),SUMIFS(Entries!$E$2:$E$5000,Entries!$D$2:$D$5000,"Over &amp; above",Entries!$A$2:$A$5000,"&gt;="&amp;$A264,Entries!$A$2:$A$5000,"&lt;"&amp;EDATE($A264,1)))</f>
        <v/>
      </c>
      <c r="P264" s="23">
        <f>IF($BM264=0,NA(),SUMIFS(Entries!$E$2:$E$5000,Entries!$D$2:$D$5000,"One-off",Entries!$A$2:$A$5000,"&gt;="&amp;$A264,Entries!$A$2:$A$5000,"&lt;"&amp;EDATE($A264,1)))</f>
        <v/>
      </c>
      <c r="Q264" s="23">
        <f>IF($BM264=0,NA(),SUMIFS(Entries!$E$2:$E$5000,Entries!$D$2:$D$5000,"Reimbursable",Entries!$A$2:$A$5000,"&gt;="&amp;$A264,Entries!$A$2:$A$5000,"&lt;"&amp;EDATE($A264,1)))</f>
        <v/>
      </c>
      <c r="R264" s="23">
        <f>IF($BM264=0,NA(),SUMIFS(Entries!$E$2:$E$5000,Entries!$D$2:$D$5000,"Investment",Entries!$A$2:$A$5000,"&gt;="&amp;$A264,Entries!$A$2:$A$5000,"&lt;"&amp;EDATE($A264,1)))</f>
        <v/>
      </c>
      <c r="S264" s="23">
        <f>IF($BM264=0,NA(),N264+O264)</f>
        <v/>
      </c>
      <c r="T264" s="23">
        <f>IF($BM264=0,"",E264-Q264)</f>
        <v/>
      </c>
      <c r="W264" s="23">
        <f>IF(OR(W$1="",$BM264=0),"",SUMIFS(Entries!$E$2:$E$5000,Entries!$C$2:$C$5000,"Actual",Entries!$A$2:$A$5000,"&gt;="&amp;$A264,Entries!$A$2:$A$5000,"&lt;"&amp;EDATE($A264,1),Entries!$B$2:$B$5000,W$1))</f>
        <v/>
      </c>
      <c r="X264" s="23">
        <f>IF(OR(X$1="",$BM264=0),"",SUMIFS(Entries!$E$2:$E$5000,Entries!$C$2:$C$5000,"Actual",Entries!$A$2:$A$5000,"&gt;="&amp;$A264,Entries!$A$2:$A$5000,"&lt;"&amp;EDATE($A264,1),Entries!$B$2:$B$5000,X$1))</f>
        <v/>
      </c>
      <c r="Y264" s="23">
        <f>IF(OR(Y$1="",$BM264=0),"",SUMIFS(Entries!$E$2:$E$5000,Entries!$C$2:$C$5000,"Actual",Entries!$A$2:$A$5000,"&gt;="&amp;$A264,Entries!$A$2:$A$5000,"&lt;"&amp;EDATE($A264,1),Entries!$B$2:$B$5000,Y$1))</f>
        <v/>
      </c>
      <c r="Z264" s="23">
        <f>IF(OR(Z$1="",$BM264=0),"",SUMIFS(Entries!$E$2:$E$5000,Entries!$C$2:$C$5000,"Actual",Entries!$A$2:$A$5000,"&gt;="&amp;$A264,Entries!$A$2:$A$5000,"&lt;"&amp;EDATE($A264,1),Entries!$B$2:$B$5000,Z$1))</f>
        <v/>
      </c>
      <c r="AA264" s="23">
        <f>IF(OR(AA$1="",$BM264=0),"",SUMIFS(Entries!$E$2:$E$5000,Entries!$C$2:$C$5000,"Actual",Entries!$A$2:$A$5000,"&gt;="&amp;$A264,Entries!$A$2:$A$5000,"&lt;"&amp;EDATE($A264,1),Entries!$B$2:$B$5000,AA$1))</f>
        <v/>
      </c>
      <c r="AB264" s="23">
        <f>IF(OR(AB$1="",$BM264=0),"",SUMIFS(Entries!$E$2:$E$5000,Entries!$C$2:$C$5000,"Actual",Entries!$A$2:$A$5000,"&gt;="&amp;$A264,Entries!$A$2:$A$5000,"&lt;"&amp;EDATE($A264,1),Entries!$B$2:$B$5000,AB$1))</f>
        <v/>
      </c>
      <c r="AC264" s="23">
        <f>IF(OR(AC$1="",$BM264=0),"",SUMIFS(Entries!$E$2:$E$5000,Entries!$C$2:$C$5000,"Actual",Entries!$A$2:$A$5000,"&gt;="&amp;$A264,Entries!$A$2:$A$5000,"&lt;"&amp;EDATE($A264,1),Entries!$B$2:$B$5000,AC$1))</f>
        <v/>
      </c>
      <c r="AD264" s="23">
        <f>IF(OR(AD$1="",$BM264=0),"",SUMIFS(Entries!$E$2:$E$5000,Entries!$C$2:$C$5000,"Actual",Entries!$A$2:$A$5000,"&gt;="&amp;$A264,Entries!$A$2:$A$5000,"&lt;"&amp;EDATE($A264,1),Entries!$B$2:$B$5000,AD$1))</f>
        <v/>
      </c>
      <c r="AE264" s="23">
        <f>IF(OR(AE$1="",$BM264=0),"",SUMIFS(Entries!$E$2:$E$5000,Entries!$C$2:$C$5000,"Actual",Entries!$A$2:$A$5000,"&gt;="&amp;$A264,Entries!$A$2:$A$5000,"&lt;"&amp;EDATE($A264,1),Entries!$B$2:$B$5000,AE$1))</f>
        <v/>
      </c>
      <c r="AF264" s="23">
        <f>IF(OR(AF$1="",$BM264=0),"",SUMIFS(Entries!$E$2:$E$5000,Entries!$C$2:$C$5000,"Actual",Entries!$A$2:$A$5000,"&gt;="&amp;$A264,Entries!$A$2:$A$5000,"&lt;"&amp;EDATE($A264,1),Entries!$B$2:$B$5000,AF$1))</f>
        <v/>
      </c>
      <c r="AG264" s="23">
        <f>IF(OR(AG$1="",$BM264=0),"",SUMIFS(Entries!$E$2:$E$5000,Entries!$C$2:$C$5000,"Actual",Entries!$A$2:$A$5000,"&gt;="&amp;$A264,Entries!$A$2:$A$5000,"&lt;"&amp;EDATE($A264,1),Entries!$B$2:$B$5000,AG$1))</f>
        <v/>
      </c>
      <c r="AH264" s="23">
        <f>IF(OR(AH$1="",$BM264=0),"",SUMIFS(Entries!$E$2:$E$5000,Entries!$C$2:$C$5000,"Actual",Entries!$A$2:$A$5000,"&gt;="&amp;$A264,Entries!$A$2:$A$5000,"&lt;"&amp;EDATE($A264,1),Entries!$B$2:$B$5000,AH$1))</f>
        <v/>
      </c>
      <c r="AI264" s="23">
        <f>IF(OR(AI$1="",$BM264=0),"",SUMIFS(Entries!$E$2:$E$5000,Entries!$C$2:$C$5000,"Actual",Entries!$A$2:$A$5000,"&gt;="&amp;$A264,Entries!$A$2:$A$5000,"&lt;"&amp;EDATE($A264,1),Entries!$B$2:$B$5000,AI$1))</f>
        <v/>
      </c>
      <c r="AJ264" s="23">
        <f>IF(OR(AJ$1="",$BM264=0),"",SUMIFS(Entries!$E$2:$E$5000,Entries!$C$2:$C$5000,"Actual",Entries!$A$2:$A$5000,"&gt;="&amp;$A264,Entries!$A$2:$A$5000,"&lt;"&amp;EDATE($A264,1),Entries!$B$2:$B$5000,AJ$1))</f>
        <v/>
      </c>
      <c r="AK264" s="23">
        <f>IF(OR(AK$1="",$BM264=0),"",SUMIFS(Entries!$E$2:$E$5000,Entries!$C$2:$C$5000,"Actual",Entries!$A$2:$A$5000,"&gt;="&amp;$A264,Entries!$A$2:$A$5000,"&lt;"&amp;EDATE($A264,1),Entries!$B$2:$B$5000,AK$1))</f>
        <v/>
      </c>
      <c r="AL264" s="23">
        <f>IF(OR(AL$1="",$BM264=0),"",SUMIFS(Entries!$E$2:$E$5000,Entries!$C$2:$C$5000,"Actual",Entries!$A$2:$A$5000,"&gt;="&amp;$A264,Entries!$A$2:$A$5000,"&lt;"&amp;EDATE($A264,1),Entries!$B$2:$B$5000,AL$1))</f>
        <v/>
      </c>
      <c r="AM264" s="23">
        <f>IF(OR(AM$1="",$BM264=0),"",SUMIFS(Entries!$E$2:$E$5000,Entries!$C$2:$C$5000,"Actual",Entries!$A$2:$A$5000,"&gt;="&amp;$A264,Entries!$A$2:$A$5000,"&lt;"&amp;EDATE($A264,1),Entries!$B$2:$B$5000,AM$1))</f>
        <v/>
      </c>
      <c r="AN264" s="23">
        <f>IF(OR(AN$1="",$BM264=0),"",SUMIFS(Entries!$E$2:$E$5000,Entries!$C$2:$C$5000,"Actual",Entries!$A$2:$A$5000,"&gt;="&amp;$A264,Entries!$A$2:$A$5000,"&lt;"&amp;EDATE($A264,1),Entries!$B$2:$B$5000,AN$1))</f>
        <v/>
      </c>
      <c r="AO264" s="23">
        <f>IF(OR(AO$1="",$BM264=0),"",SUMIFS(Entries!$E$2:$E$5000,Entries!$C$2:$C$5000,"Actual",Entries!$A$2:$A$5000,"&gt;="&amp;$A264,Entries!$A$2:$A$5000,"&lt;"&amp;EDATE($A264,1),Entries!$B$2:$B$5000,AO$1))</f>
        <v/>
      </c>
      <c r="AP264" s="23">
        <f>IF(OR(AP$1="",$BM264=0),"",SUMIFS(Entries!$E$2:$E$5000,Entries!$C$2:$C$5000,"Actual",Entries!$A$2:$A$5000,"&gt;="&amp;$A264,Entries!$A$2:$A$5000,"&lt;"&amp;EDATE($A264,1),Entries!$B$2:$B$5000,AP$1))</f>
        <v/>
      </c>
      <c r="AR264" s="23">
        <f>IF(OR(AR$1="",$BM264=0),"",IFERROR(LOOKUP(2,1/((Budgets!$A$2:$A$200=AR$1)*(Budgets!$B$2:$B$200&lt;EDATE($A264,1))),Budgets!$C$2:$C$200),0))</f>
        <v/>
      </c>
      <c r="AS264" s="23">
        <f>IF(OR(AS$1="",$BM264=0),"",IFERROR(LOOKUP(2,1/((Budgets!$A$2:$A$200=AS$1)*(Budgets!$B$2:$B$200&lt;EDATE($A264,1))),Budgets!$C$2:$C$200),0))</f>
        <v/>
      </c>
      <c r="AT264" s="23">
        <f>IF(OR(AT$1="",$BM264=0),"",IFERROR(LOOKUP(2,1/((Budgets!$A$2:$A$200=AT$1)*(Budgets!$B$2:$B$200&lt;EDATE($A264,1))),Budgets!$C$2:$C$200),0))</f>
        <v/>
      </c>
      <c r="AU264" s="23">
        <f>IF(OR(AU$1="",$BM264=0),"",IFERROR(LOOKUP(2,1/((Budgets!$A$2:$A$200=AU$1)*(Budgets!$B$2:$B$200&lt;EDATE($A264,1))),Budgets!$C$2:$C$200),0))</f>
        <v/>
      </c>
      <c r="AV264" s="23">
        <f>IF(OR(AV$1="",$BM264=0),"",IFERROR(LOOKUP(2,1/((Budgets!$A$2:$A$200=AV$1)*(Budgets!$B$2:$B$200&lt;EDATE($A264,1))),Budgets!$C$2:$C$200),0))</f>
        <v/>
      </c>
      <c r="AW264" s="23">
        <f>IF(OR(AW$1="",$BM264=0),"",IFERROR(LOOKUP(2,1/((Budgets!$A$2:$A$200=AW$1)*(Budgets!$B$2:$B$200&lt;EDATE($A264,1))),Budgets!$C$2:$C$200),0))</f>
        <v/>
      </c>
      <c r="AX264" s="23">
        <f>IF(OR(AX$1="",$BM264=0),"",IFERROR(LOOKUP(2,1/((Budgets!$A$2:$A$200=AX$1)*(Budgets!$B$2:$B$200&lt;EDATE($A264,1))),Budgets!$C$2:$C$200),0))</f>
        <v/>
      </c>
      <c r="AY264" s="23">
        <f>IF(OR(AY$1="",$BM264=0),"",IFERROR(LOOKUP(2,1/((Budgets!$A$2:$A$200=AY$1)*(Budgets!$B$2:$B$200&lt;EDATE($A264,1))),Budgets!$C$2:$C$200),0))</f>
        <v/>
      </c>
      <c r="AZ264" s="23">
        <f>IF(OR(AZ$1="",$BM264=0),"",IFERROR(LOOKUP(2,1/((Budgets!$A$2:$A$200=AZ$1)*(Budgets!$B$2:$B$200&lt;EDATE($A264,1))),Budgets!$C$2:$C$200),0))</f>
        <v/>
      </c>
      <c r="BA264" s="23">
        <f>IF(OR(BA$1="",$BM264=0),"",IFERROR(LOOKUP(2,1/((Budgets!$A$2:$A$200=BA$1)*(Budgets!$B$2:$B$200&lt;EDATE($A264,1))),Budgets!$C$2:$C$200),0))</f>
        <v/>
      </c>
      <c r="BB264" s="23">
        <f>IF(OR(BB$1="",$BM264=0),"",IFERROR(LOOKUP(2,1/((Budgets!$A$2:$A$200=BB$1)*(Budgets!$B$2:$B$200&lt;EDATE($A264,1))),Budgets!$C$2:$C$200),0))</f>
        <v/>
      </c>
      <c r="BC264" s="23">
        <f>IF(OR(BC$1="",$BM264=0),"",IFERROR(LOOKUP(2,1/((Budgets!$A$2:$A$200=BC$1)*(Budgets!$B$2:$B$200&lt;EDATE($A264,1))),Budgets!$C$2:$C$200),0))</f>
        <v/>
      </c>
      <c r="BD264" s="23">
        <f>IF(OR(BD$1="",$BM264=0),"",IFERROR(LOOKUP(2,1/((Budgets!$A$2:$A$200=BD$1)*(Budgets!$B$2:$B$200&lt;EDATE($A264,1))),Budgets!$C$2:$C$200),0))</f>
        <v/>
      </c>
      <c r="BE264" s="23">
        <f>IF(OR(BE$1="",$BM264=0),"",IFERROR(LOOKUP(2,1/((Budgets!$A$2:$A$200=BE$1)*(Budgets!$B$2:$B$200&lt;EDATE($A264,1))),Budgets!$C$2:$C$200),0))</f>
        <v/>
      </c>
      <c r="BF264" s="23">
        <f>IF(OR(BF$1="",$BM264=0),"",IFERROR(LOOKUP(2,1/((Budgets!$A$2:$A$200=BF$1)*(Budgets!$B$2:$B$200&lt;EDATE($A264,1))),Budgets!$C$2:$C$200),0))</f>
        <v/>
      </c>
      <c r="BG264" s="23">
        <f>IF(OR(BG$1="",$BM264=0),"",IFERROR(LOOKUP(2,1/((Budgets!$A$2:$A$200=BG$1)*(Budgets!$B$2:$B$200&lt;EDATE($A264,1))),Budgets!$C$2:$C$200),0))</f>
        <v/>
      </c>
      <c r="BH264" s="23">
        <f>IF(OR(BH$1="",$BM264=0),"",IFERROR(LOOKUP(2,1/((Budgets!$A$2:$A$200=BH$1)*(Budgets!$B$2:$B$200&lt;EDATE($A264,1))),Budgets!$C$2:$C$200),0))</f>
        <v/>
      </c>
      <c r="BI264" s="23">
        <f>IF(OR(BI$1="",$BM264=0),"",IFERROR(LOOKUP(2,1/((Budgets!$A$2:$A$200=BI$1)*(Budgets!$B$2:$B$200&lt;EDATE($A264,1))),Budgets!$C$2:$C$200),0))</f>
        <v/>
      </c>
      <c r="BJ264" s="23">
        <f>IF(OR(BJ$1="",$BM264=0),"",IFERROR(LOOKUP(2,1/((Budgets!$A$2:$A$200=BJ$1)*(Budgets!$B$2:$B$200&lt;EDATE($A264,1))),Budgets!$C$2:$C$200),0))</f>
        <v/>
      </c>
      <c r="BK264" s="23">
        <f>IF(OR(BK$1="",$BM264=0),"",IFERROR(LOOKUP(2,1/((Budgets!$A$2:$A$200=BK$1)*(Budgets!$B$2:$B$200&lt;EDATE($A264,1))),Budgets!$C$2:$C$200),0))</f>
        <v/>
      </c>
      <c r="BM264" s="21">
        <f>COUNTIFS(Entries!$A$2:$A$5000,"&gt;="&amp;$A264,Entries!$A$2:$A$5000,"&lt;"&amp;EDATE($A264,1))</f>
        <v/>
      </c>
    </row>
    <row r="265">
      <c r="A265" s="22" t="n">
        <v>47453</v>
      </c>
      <c r="B265" s="23">
        <f>IF($BM265=0,NA(),SUMIFS(Entries!$E$2:$E$5000,Entries!$C$2:$C$5000,"Income",Entries!$A$2:$A$5000,"&gt;="&amp;$A265,Entries!$A$2:$A$5000,"&lt;"&amp;EDATE($A265,1)))</f>
        <v/>
      </c>
      <c r="C265" s="23">
        <f>IF($BM265=0,"",SUMIFS(Entries!$E$2:$E$5000,Entries!$C$2:$C$5000,"Actual",Entries!$A$2:$A$5000,"&gt;="&amp;$A265,Entries!$A$2:$A$5000,"&lt;"&amp;EDATE($A265,1)))</f>
        <v/>
      </c>
      <c r="D265" s="23">
        <f>IF($BM265=0,"",SUMIFS(Entries!$E$2:$E$5000,Entries!$C$2:$C$5000,"One-off",Entries!$A$2:$A$5000,"&gt;="&amp;$A265,Entries!$A$2:$A$5000,"&lt;"&amp;EDATE($A265,1)))</f>
        <v/>
      </c>
      <c r="E265" s="23">
        <f>IF($BM265=0,NA(),C265+D265)</f>
        <v/>
      </c>
      <c r="F265" s="23">
        <f>IF($BM265=0,"",SUM(AR265:BK265))</f>
        <v/>
      </c>
      <c r="G265" s="23">
        <f>IF($BM265=0,"",B265-E265)</f>
        <v/>
      </c>
      <c r="H265" s="23">
        <f>IF($BM265=0,"",SUM($G$2:G265))</f>
        <v/>
      </c>
      <c r="I265" s="23">
        <f>IF($BM265=0,"",SUMIFS(Entries!$G$2:$G$5000,Entries!$A$2:$A$5000,"&gt;="&amp;$A265,Entries!$A$2:$A$5000,"&lt;"&amp;EDATE($A265,1)))</f>
        <v/>
      </c>
      <c r="J265" s="23">
        <f>IF($BM265=0,NA(),H265)</f>
        <v/>
      </c>
      <c r="K265" s="23">
        <f>IF($BM265=0,"",SUMIFS(Entries!$E$2:$E$5000,Entries!$C$2:$C$5000,"Income",Entries!$A$2:$A$5000,"&gt;="&amp;EDATE($A265,-11),Entries!$A$2:$A$5000,"&lt;"&amp;EDATE($A265,1))/COUNTIFS($A$2:$A$400,"&gt;="&amp;EDATE($A265,-11),$A$2:$A$400,"&lt;"&amp;EDATE($A265,1),$BM$2:$BM$400,"&gt;0"))</f>
      </c>
      <c r="L265" s="23">
        <f>IF($BM265=0,"",(SUMIFS(Entries!$E$2:$E$5000,Entries!$C$2:$C$5000,"Actual",Entries!$A$2:$A$5000,"&gt;="&amp;EDATE($A265,-11),Entries!$A$2:$A$5000,"&lt;"&amp;EDATE($A265,1))+SUMIFS(Entries!$E$2:$E$5000,Entries!$C$2:$C$5000,"One-off",Entries!$A$2:$A$5000,"&gt;="&amp;EDATE($A265,-11),Entries!$A$2:$A$5000,"&lt;"&amp;EDATE($A265,1)))/COUNTIFS($A$2:$A$400,"&gt;="&amp;EDATE($A265,-11),$A$2:$A$400,"&lt;"&amp;EDATE($A265,1),$BM$2:$BM$400,"&gt;0"))</f>
      </c>
      <c r="M265" s="24">
        <f>IF($BM265=0,NA(),IFERROR((K265-L265)/K265,0))</f>
        <v/>
      </c>
      <c r="N265" s="23">
        <f>IF($BM265=0,NA(),SUMIFS(Entries!$E$2:$E$5000,Entries!$D$2:$D$5000,"Core",Entries!$A$2:$A$5000,"&gt;="&amp;$A265,Entries!$A$2:$A$5000,"&lt;"&amp;EDATE($A265,1)))</f>
        <v/>
      </c>
      <c r="O265" s="23">
        <f>IF($BM265=0,NA(),SUMIFS(Entries!$E$2:$E$5000,Entries!$D$2:$D$5000,"Over &amp; above",Entries!$A$2:$A$5000,"&gt;="&amp;$A265,Entries!$A$2:$A$5000,"&lt;"&amp;EDATE($A265,1)))</f>
        <v/>
      </c>
      <c r="P265" s="23">
        <f>IF($BM265=0,NA(),SUMIFS(Entries!$E$2:$E$5000,Entries!$D$2:$D$5000,"One-off",Entries!$A$2:$A$5000,"&gt;="&amp;$A265,Entries!$A$2:$A$5000,"&lt;"&amp;EDATE($A265,1)))</f>
        <v/>
      </c>
      <c r="Q265" s="23">
        <f>IF($BM265=0,NA(),SUMIFS(Entries!$E$2:$E$5000,Entries!$D$2:$D$5000,"Reimbursable",Entries!$A$2:$A$5000,"&gt;="&amp;$A265,Entries!$A$2:$A$5000,"&lt;"&amp;EDATE($A265,1)))</f>
        <v/>
      </c>
      <c r="R265" s="23">
        <f>IF($BM265=0,NA(),SUMIFS(Entries!$E$2:$E$5000,Entries!$D$2:$D$5000,"Investment",Entries!$A$2:$A$5000,"&gt;="&amp;$A265,Entries!$A$2:$A$5000,"&lt;"&amp;EDATE($A265,1)))</f>
        <v/>
      </c>
      <c r="S265" s="23">
        <f>IF($BM265=0,NA(),N265+O265)</f>
        <v/>
      </c>
      <c r="T265" s="23">
        <f>IF($BM265=0,"",E265-Q265)</f>
        <v/>
      </c>
      <c r="W265" s="23">
        <f>IF(OR(W$1="",$BM265=0),"",SUMIFS(Entries!$E$2:$E$5000,Entries!$C$2:$C$5000,"Actual",Entries!$A$2:$A$5000,"&gt;="&amp;$A265,Entries!$A$2:$A$5000,"&lt;"&amp;EDATE($A265,1),Entries!$B$2:$B$5000,W$1))</f>
        <v/>
      </c>
      <c r="X265" s="23">
        <f>IF(OR(X$1="",$BM265=0),"",SUMIFS(Entries!$E$2:$E$5000,Entries!$C$2:$C$5000,"Actual",Entries!$A$2:$A$5000,"&gt;="&amp;$A265,Entries!$A$2:$A$5000,"&lt;"&amp;EDATE($A265,1),Entries!$B$2:$B$5000,X$1))</f>
        <v/>
      </c>
      <c r="Y265" s="23">
        <f>IF(OR(Y$1="",$BM265=0),"",SUMIFS(Entries!$E$2:$E$5000,Entries!$C$2:$C$5000,"Actual",Entries!$A$2:$A$5000,"&gt;="&amp;$A265,Entries!$A$2:$A$5000,"&lt;"&amp;EDATE($A265,1),Entries!$B$2:$B$5000,Y$1))</f>
        <v/>
      </c>
      <c r="Z265" s="23">
        <f>IF(OR(Z$1="",$BM265=0),"",SUMIFS(Entries!$E$2:$E$5000,Entries!$C$2:$C$5000,"Actual",Entries!$A$2:$A$5000,"&gt;="&amp;$A265,Entries!$A$2:$A$5000,"&lt;"&amp;EDATE($A265,1),Entries!$B$2:$B$5000,Z$1))</f>
        <v/>
      </c>
      <c r="AA265" s="23">
        <f>IF(OR(AA$1="",$BM265=0),"",SUMIFS(Entries!$E$2:$E$5000,Entries!$C$2:$C$5000,"Actual",Entries!$A$2:$A$5000,"&gt;="&amp;$A265,Entries!$A$2:$A$5000,"&lt;"&amp;EDATE($A265,1),Entries!$B$2:$B$5000,AA$1))</f>
        <v/>
      </c>
      <c r="AB265" s="23">
        <f>IF(OR(AB$1="",$BM265=0),"",SUMIFS(Entries!$E$2:$E$5000,Entries!$C$2:$C$5000,"Actual",Entries!$A$2:$A$5000,"&gt;="&amp;$A265,Entries!$A$2:$A$5000,"&lt;"&amp;EDATE($A265,1),Entries!$B$2:$B$5000,AB$1))</f>
        <v/>
      </c>
      <c r="AC265" s="23">
        <f>IF(OR(AC$1="",$BM265=0),"",SUMIFS(Entries!$E$2:$E$5000,Entries!$C$2:$C$5000,"Actual",Entries!$A$2:$A$5000,"&gt;="&amp;$A265,Entries!$A$2:$A$5000,"&lt;"&amp;EDATE($A265,1),Entries!$B$2:$B$5000,AC$1))</f>
        <v/>
      </c>
      <c r="AD265" s="23">
        <f>IF(OR(AD$1="",$BM265=0),"",SUMIFS(Entries!$E$2:$E$5000,Entries!$C$2:$C$5000,"Actual",Entries!$A$2:$A$5000,"&gt;="&amp;$A265,Entries!$A$2:$A$5000,"&lt;"&amp;EDATE($A265,1),Entries!$B$2:$B$5000,AD$1))</f>
        <v/>
      </c>
      <c r="AE265" s="23">
        <f>IF(OR(AE$1="",$BM265=0),"",SUMIFS(Entries!$E$2:$E$5000,Entries!$C$2:$C$5000,"Actual",Entries!$A$2:$A$5000,"&gt;="&amp;$A265,Entries!$A$2:$A$5000,"&lt;"&amp;EDATE($A265,1),Entries!$B$2:$B$5000,AE$1))</f>
        <v/>
      </c>
      <c r="AF265" s="23">
        <f>IF(OR(AF$1="",$BM265=0),"",SUMIFS(Entries!$E$2:$E$5000,Entries!$C$2:$C$5000,"Actual",Entries!$A$2:$A$5000,"&gt;="&amp;$A265,Entries!$A$2:$A$5000,"&lt;"&amp;EDATE($A265,1),Entries!$B$2:$B$5000,AF$1))</f>
        <v/>
      </c>
      <c r="AG265" s="23">
        <f>IF(OR(AG$1="",$BM265=0),"",SUMIFS(Entries!$E$2:$E$5000,Entries!$C$2:$C$5000,"Actual",Entries!$A$2:$A$5000,"&gt;="&amp;$A265,Entries!$A$2:$A$5000,"&lt;"&amp;EDATE($A265,1),Entries!$B$2:$B$5000,AG$1))</f>
        <v/>
      </c>
      <c r="AH265" s="23">
        <f>IF(OR(AH$1="",$BM265=0),"",SUMIFS(Entries!$E$2:$E$5000,Entries!$C$2:$C$5000,"Actual",Entries!$A$2:$A$5000,"&gt;="&amp;$A265,Entries!$A$2:$A$5000,"&lt;"&amp;EDATE($A265,1),Entries!$B$2:$B$5000,AH$1))</f>
        <v/>
      </c>
      <c r="AI265" s="23">
        <f>IF(OR(AI$1="",$BM265=0),"",SUMIFS(Entries!$E$2:$E$5000,Entries!$C$2:$C$5000,"Actual",Entries!$A$2:$A$5000,"&gt;="&amp;$A265,Entries!$A$2:$A$5000,"&lt;"&amp;EDATE($A265,1),Entries!$B$2:$B$5000,AI$1))</f>
        <v/>
      </c>
      <c r="AJ265" s="23">
        <f>IF(OR(AJ$1="",$BM265=0),"",SUMIFS(Entries!$E$2:$E$5000,Entries!$C$2:$C$5000,"Actual",Entries!$A$2:$A$5000,"&gt;="&amp;$A265,Entries!$A$2:$A$5000,"&lt;"&amp;EDATE($A265,1),Entries!$B$2:$B$5000,AJ$1))</f>
        <v/>
      </c>
      <c r="AK265" s="23">
        <f>IF(OR(AK$1="",$BM265=0),"",SUMIFS(Entries!$E$2:$E$5000,Entries!$C$2:$C$5000,"Actual",Entries!$A$2:$A$5000,"&gt;="&amp;$A265,Entries!$A$2:$A$5000,"&lt;"&amp;EDATE($A265,1),Entries!$B$2:$B$5000,AK$1))</f>
        <v/>
      </c>
      <c r="AL265" s="23">
        <f>IF(OR(AL$1="",$BM265=0),"",SUMIFS(Entries!$E$2:$E$5000,Entries!$C$2:$C$5000,"Actual",Entries!$A$2:$A$5000,"&gt;="&amp;$A265,Entries!$A$2:$A$5000,"&lt;"&amp;EDATE($A265,1),Entries!$B$2:$B$5000,AL$1))</f>
        <v/>
      </c>
      <c r="AM265" s="23">
        <f>IF(OR(AM$1="",$BM265=0),"",SUMIFS(Entries!$E$2:$E$5000,Entries!$C$2:$C$5000,"Actual",Entries!$A$2:$A$5000,"&gt;="&amp;$A265,Entries!$A$2:$A$5000,"&lt;"&amp;EDATE($A265,1),Entries!$B$2:$B$5000,AM$1))</f>
        <v/>
      </c>
      <c r="AN265" s="23">
        <f>IF(OR(AN$1="",$BM265=0),"",SUMIFS(Entries!$E$2:$E$5000,Entries!$C$2:$C$5000,"Actual",Entries!$A$2:$A$5000,"&gt;="&amp;$A265,Entries!$A$2:$A$5000,"&lt;"&amp;EDATE($A265,1),Entries!$B$2:$B$5000,AN$1))</f>
        <v/>
      </c>
      <c r="AO265" s="23">
        <f>IF(OR(AO$1="",$BM265=0),"",SUMIFS(Entries!$E$2:$E$5000,Entries!$C$2:$C$5000,"Actual",Entries!$A$2:$A$5000,"&gt;="&amp;$A265,Entries!$A$2:$A$5000,"&lt;"&amp;EDATE($A265,1),Entries!$B$2:$B$5000,AO$1))</f>
        <v/>
      </c>
      <c r="AP265" s="23">
        <f>IF(OR(AP$1="",$BM265=0),"",SUMIFS(Entries!$E$2:$E$5000,Entries!$C$2:$C$5000,"Actual",Entries!$A$2:$A$5000,"&gt;="&amp;$A265,Entries!$A$2:$A$5000,"&lt;"&amp;EDATE($A265,1),Entries!$B$2:$B$5000,AP$1))</f>
        <v/>
      </c>
      <c r="AR265" s="23">
        <f>IF(OR(AR$1="",$BM265=0),"",IFERROR(LOOKUP(2,1/((Budgets!$A$2:$A$200=AR$1)*(Budgets!$B$2:$B$200&lt;EDATE($A265,1))),Budgets!$C$2:$C$200),0))</f>
        <v/>
      </c>
      <c r="AS265" s="23">
        <f>IF(OR(AS$1="",$BM265=0),"",IFERROR(LOOKUP(2,1/((Budgets!$A$2:$A$200=AS$1)*(Budgets!$B$2:$B$200&lt;EDATE($A265,1))),Budgets!$C$2:$C$200),0))</f>
        <v/>
      </c>
      <c r="AT265" s="23">
        <f>IF(OR(AT$1="",$BM265=0),"",IFERROR(LOOKUP(2,1/((Budgets!$A$2:$A$200=AT$1)*(Budgets!$B$2:$B$200&lt;EDATE($A265,1))),Budgets!$C$2:$C$200),0))</f>
        <v/>
      </c>
      <c r="AU265" s="23">
        <f>IF(OR(AU$1="",$BM265=0),"",IFERROR(LOOKUP(2,1/((Budgets!$A$2:$A$200=AU$1)*(Budgets!$B$2:$B$200&lt;EDATE($A265,1))),Budgets!$C$2:$C$200),0))</f>
        <v/>
      </c>
      <c r="AV265" s="23">
        <f>IF(OR(AV$1="",$BM265=0),"",IFERROR(LOOKUP(2,1/((Budgets!$A$2:$A$200=AV$1)*(Budgets!$B$2:$B$200&lt;EDATE($A265,1))),Budgets!$C$2:$C$200),0))</f>
        <v/>
      </c>
      <c r="AW265" s="23">
        <f>IF(OR(AW$1="",$BM265=0),"",IFERROR(LOOKUP(2,1/((Budgets!$A$2:$A$200=AW$1)*(Budgets!$B$2:$B$200&lt;EDATE($A265,1))),Budgets!$C$2:$C$200),0))</f>
        <v/>
      </c>
      <c r="AX265" s="23">
        <f>IF(OR(AX$1="",$BM265=0),"",IFERROR(LOOKUP(2,1/((Budgets!$A$2:$A$200=AX$1)*(Budgets!$B$2:$B$200&lt;EDATE($A265,1))),Budgets!$C$2:$C$200),0))</f>
        <v/>
      </c>
      <c r="AY265" s="23">
        <f>IF(OR(AY$1="",$BM265=0),"",IFERROR(LOOKUP(2,1/((Budgets!$A$2:$A$200=AY$1)*(Budgets!$B$2:$B$200&lt;EDATE($A265,1))),Budgets!$C$2:$C$200),0))</f>
        <v/>
      </c>
      <c r="AZ265" s="23">
        <f>IF(OR(AZ$1="",$BM265=0),"",IFERROR(LOOKUP(2,1/((Budgets!$A$2:$A$200=AZ$1)*(Budgets!$B$2:$B$200&lt;EDATE($A265,1))),Budgets!$C$2:$C$200),0))</f>
        <v/>
      </c>
      <c r="BA265" s="23">
        <f>IF(OR(BA$1="",$BM265=0),"",IFERROR(LOOKUP(2,1/((Budgets!$A$2:$A$200=BA$1)*(Budgets!$B$2:$B$200&lt;EDATE($A265,1))),Budgets!$C$2:$C$200),0))</f>
        <v/>
      </c>
      <c r="BB265" s="23">
        <f>IF(OR(BB$1="",$BM265=0),"",IFERROR(LOOKUP(2,1/((Budgets!$A$2:$A$200=BB$1)*(Budgets!$B$2:$B$200&lt;EDATE($A265,1))),Budgets!$C$2:$C$200),0))</f>
        <v/>
      </c>
      <c r="BC265" s="23">
        <f>IF(OR(BC$1="",$BM265=0),"",IFERROR(LOOKUP(2,1/((Budgets!$A$2:$A$200=BC$1)*(Budgets!$B$2:$B$200&lt;EDATE($A265,1))),Budgets!$C$2:$C$200),0))</f>
        <v/>
      </c>
      <c r="BD265" s="23">
        <f>IF(OR(BD$1="",$BM265=0),"",IFERROR(LOOKUP(2,1/((Budgets!$A$2:$A$200=BD$1)*(Budgets!$B$2:$B$200&lt;EDATE($A265,1))),Budgets!$C$2:$C$200),0))</f>
        <v/>
      </c>
      <c r="BE265" s="23">
        <f>IF(OR(BE$1="",$BM265=0),"",IFERROR(LOOKUP(2,1/((Budgets!$A$2:$A$200=BE$1)*(Budgets!$B$2:$B$200&lt;EDATE($A265,1))),Budgets!$C$2:$C$200),0))</f>
        <v/>
      </c>
      <c r="BF265" s="23">
        <f>IF(OR(BF$1="",$BM265=0),"",IFERROR(LOOKUP(2,1/((Budgets!$A$2:$A$200=BF$1)*(Budgets!$B$2:$B$200&lt;EDATE($A265,1))),Budgets!$C$2:$C$200),0))</f>
        <v/>
      </c>
      <c r="BG265" s="23">
        <f>IF(OR(BG$1="",$BM265=0),"",IFERROR(LOOKUP(2,1/((Budgets!$A$2:$A$200=BG$1)*(Budgets!$B$2:$B$200&lt;EDATE($A265,1))),Budgets!$C$2:$C$200),0))</f>
        <v/>
      </c>
      <c r="BH265" s="23">
        <f>IF(OR(BH$1="",$BM265=0),"",IFERROR(LOOKUP(2,1/((Budgets!$A$2:$A$200=BH$1)*(Budgets!$B$2:$B$200&lt;EDATE($A265,1))),Budgets!$C$2:$C$200),0))</f>
        <v/>
      </c>
      <c r="BI265" s="23">
        <f>IF(OR(BI$1="",$BM265=0),"",IFERROR(LOOKUP(2,1/((Budgets!$A$2:$A$200=BI$1)*(Budgets!$B$2:$B$200&lt;EDATE($A265,1))),Budgets!$C$2:$C$200),0))</f>
        <v/>
      </c>
      <c r="BJ265" s="23">
        <f>IF(OR(BJ$1="",$BM265=0),"",IFERROR(LOOKUP(2,1/((Budgets!$A$2:$A$200=BJ$1)*(Budgets!$B$2:$B$200&lt;EDATE($A265,1))),Budgets!$C$2:$C$200),0))</f>
        <v/>
      </c>
      <c r="BK265" s="23">
        <f>IF(OR(BK$1="",$BM265=0),"",IFERROR(LOOKUP(2,1/((Budgets!$A$2:$A$200=BK$1)*(Budgets!$B$2:$B$200&lt;EDATE($A265,1))),Budgets!$C$2:$C$200),0))</f>
        <v/>
      </c>
      <c r="BM265" s="21">
        <f>COUNTIFS(Entries!$A$2:$A$5000,"&gt;="&amp;$A265,Entries!$A$2:$A$5000,"&lt;"&amp;EDATE($A265,1))</f>
        <v/>
      </c>
    </row>
    <row r="266">
      <c r="A266" s="22" t="n">
        <v>47484</v>
      </c>
      <c r="B266" s="23">
        <f>IF($BM266=0,NA(),SUMIFS(Entries!$E$2:$E$5000,Entries!$C$2:$C$5000,"Income",Entries!$A$2:$A$5000,"&gt;="&amp;$A266,Entries!$A$2:$A$5000,"&lt;"&amp;EDATE($A266,1)))</f>
        <v/>
      </c>
      <c r="C266" s="23">
        <f>IF($BM266=0,"",SUMIFS(Entries!$E$2:$E$5000,Entries!$C$2:$C$5000,"Actual",Entries!$A$2:$A$5000,"&gt;="&amp;$A266,Entries!$A$2:$A$5000,"&lt;"&amp;EDATE($A266,1)))</f>
        <v/>
      </c>
      <c r="D266" s="23">
        <f>IF($BM266=0,"",SUMIFS(Entries!$E$2:$E$5000,Entries!$C$2:$C$5000,"One-off",Entries!$A$2:$A$5000,"&gt;="&amp;$A266,Entries!$A$2:$A$5000,"&lt;"&amp;EDATE($A266,1)))</f>
        <v/>
      </c>
      <c r="E266" s="23">
        <f>IF($BM266=0,NA(),C266+D266)</f>
        <v/>
      </c>
      <c r="F266" s="23">
        <f>IF($BM266=0,"",SUM(AR266:BK266))</f>
        <v/>
      </c>
      <c r="G266" s="23">
        <f>IF($BM266=0,"",B266-E266)</f>
        <v/>
      </c>
      <c r="H266" s="23">
        <f>IF($BM266=0,"",SUM($G$2:G266))</f>
        <v/>
      </c>
      <c r="I266" s="23">
        <f>IF($BM266=0,"",SUMIFS(Entries!$G$2:$G$5000,Entries!$A$2:$A$5000,"&gt;="&amp;$A266,Entries!$A$2:$A$5000,"&lt;"&amp;EDATE($A266,1)))</f>
        <v/>
      </c>
      <c r="J266" s="23">
        <f>IF($BM266=0,NA(),H266)</f>
        <v/>
      </c>
      <c r="K266" s="23">
        <f>IF($BM266=0,"",SUMIFS(Entries!$E$2:$E$5000,Entries!$C$2:$C$5000,"Income",Entries!$A$2:$A$5000,"&gt;="&amp;EDATE($A266,-11),Entries!$A$2:$A$5000,"&lt;"&amp;EDATE($A266,1))/COUNTIFS($A$2:$A$400,"&gt;="&amp;EDATE($A266,-11),$A$2:$A$400,"&lt;"&amp;EDATE($A266,1),$BM$2:$BM$400,"&gt;0"))</f>
      </c>
      <c r="L266" s="23">
        <f>IF($BM266=0,"",(SUMIFS(Entries!$E$2:$E$5000,Entries!$C$2:$C$5000,"Actual",Entries!$A$2:$A$5000,"&gt;="&amp;EDATE($A266,-11),Entries!$A$2:$A$5000,"&lt;"&amp;EDATE($A266,1))+SUMIFS(Entries!$E$2:$E$5000,Entries!$C$2:$C$5000,"One-off",Entries!$A$2:$A$5000,"&gt;="&amp;EDATE($A266,-11),Entries!$A$2:$A$5000,"&lt;"&amp;EDATE($A266,1)))/COUNTIFS($A$2:$A$400,"&gt;="&amp;EDATE($A266,-11),$A$2:$A$400,"&lt;"&amp;EDATE($A266,1),$BM$2:$BM$400,"&gt;0"))</f>
      </c>
      <c r="M266" s="24">
        <f>IF($BM266=0,NA(),IFERROR((K266-L266)/K266,0))</f>
        <v/>
      </c>
      <c r="N266" s="23">
        <f>IF($BM266=0,NA(),SUMIFS(Entries!$E$2:$E$5000,Entries!$D$2:$D$5000,"Core",Entries!$A$2:$A$5000,"&gt;="&amp;$A266,Entries!$A$2:$A$5000,"&lt;"&amp;EDATE($A266,1)))</f>
        <v/>
      </c>
      <c r="O266" s="23">
        <f>IF($BM266=0,NA(),SUMIFS(Entries!$E$2:$E$5000,Entries!$D$2:$D$5000,"Over &amp; above",Entries!$A$2:$A$5000,"&gt;="&amp;$A266,Entries!$A$2:$A$5000,"&lt;"&amp;EDATE($A266,1)))</f>
        <v/>
      </c>
      <c r="P266" s="23">
        <f>IF($BM266=0,NA(),SUMIFS(Entries!$E$2:$E$5000,Entries!$D$2:$D$5000,"One-off",Entries!$A$2:$A$5000,"&gt;="&amp;$A266,Entries!$A$2:$A$5000,"&lt;"&amp;EDATE($A266,1)))</f>
        <v/>
      </c>
      <c r="Q266" s="23">
        <f>IF($BM266=0,NA(),SUMIFS(Entries!$E$2:$E$5000,Entries!$D$2:$D$5000,"Reimbursable",Entries!$A$2:$A$5000,"&gt;="&amp;$A266,Entries!$A$2:$A$5000,"&lt;"&amp;EDATE($A266,1)))</f>
        <v/>
      </c>
      <c r="R266" s="23">
        <f>IF($BM266=0,NA(),SUMIFS(Entries!$E$2:$E$5000,Entries!$D$2:$D$5000,"Investment",Entries!$A$2:$A$5000,"&gt;="&amp;$A266,Entries!$A$2:$A$5000,"&lt;"&amp;EDATE($A266,1)))</f>
        <v/>
      </c>
      <c r="S266" s="23">
        <f>IF($BM266=0,NA(),N266+O266)</f>
        <v/>
      </c>
      <c r="T266" s="23">
        <f>IF($BM266=0,"",E266-Q266)</f>
        <v/>
      </c>
      <c r="W266" s="23">
        <f>IF(OR(W$1="",$BM266=0),"",SUMIFS(Entries!$E$2:$E$5000,Entries!$C$2:$C$5000,"Actual",Entries!$A$2:$A$5000,"&gt;="&amp;$A266,Entries!$A$2:$A$5000,"&lt;"&amp;EDATE($A266,1),Entries!$B$2:$B$5000,W$1))</f>
        <v/>
      </c>
      <c r="X266" s="23">
        <f>IF(OR(X$1="",$BM266=0),"",SUMIFS(Entries!$E$2:$E$5000,Entries!$C$2:$C$5000,"Actual",Entries!$A$2:$A$5000,"&gt;="&amp;$A266,Entries!$A$2:$A$5000,"&lt;"&amp;EDATE($A266,1),Entries!$B$2:$B$5000,X$1))</f>
        <v/>
      </c>
      <c r="Y266" s="23">
        <f>IF(OR(Y$1="",$BM266=0),"",SUMIFS(Entries!$E$2:$E$5000,Entries!$C$2:$C$5000,"Actual",Entries!$A$2:$A$5000,"&gt;="&amp;$A266,Entries!$A$2:$A$5000,"&lt;"&amp;EDATE($A266,1),Entries!$B$2:$B$5000,Y$1))</f>
        <v/>
      </c>
      <c r="Z266" s="23">
        <f>IF(OR(Z$1="",$BM266=0),"",SUMIFS(Entries!$E$2:$E$5000,Entries!$C$2:$C$5000,"Actual",Entries!$A$2:$A$5000,"&gt;="&amp;$A266,Entries!$A$2:$A$5000,"&lt;"&amp;EDATE($A266,1),Entries!$B$2:$B$5000,Z$1))</f>
        <v/>
      </c>
      <c r="AA266" s="23">
        <f>IF(OR(AA$1="",$BM266=0),"",SUMIFS(Entries!$E$2:$E$5000,Entries!$C$2:$C$5000,"Actual",Entries!$A$2:$A$5000,"&gt;="&amp;$A266,Entries!$A$2:$A$5000,"&lt;"&amp;EDATE($A266,1),Entries!$B$2:$B$5000,AA$1))</f>
        <v/>
      </c>
      <c r="AB266" s="23">
        <f>IF(OR(AB$1="",$BM266=0),"",SUMIFS(Entries!$E$2:$E$5000,Entries!$C$2:$C$5000,"Actual",Entries!$A$2:$A$5000,"&gt;="&amp;$A266,Entries!$A$2:$A$5000,"&lt;"&amp;EDATE($A266,1),Entries!$B$2:$B$5000,AB$1))</f>
        <v/>
      </c>
      <c r="AC266" s="23">
        <f>IF(OR(AC$1="",$BM266=0),"",SUMIFS(Entries!$E$2:$E$5000,Entries!$C$2:$C$5000,"Actual",Entries!$A$2:$A$5000,"&gt;="&amp;$A266,Entries!$A$2:$A$5000,"&lt;"&amp;EDATE($A266,1),Entries!$B$2:$B$5000,AC$1))</f>
        <v/>
      </c>
      <c r="AD266" s="23">
        <f>IF(OR(AD$1="",$BM266=0),"",SUMIFS(Entries!$E$2:$E$5000,Entries!$C$2:$C$5000,"Actual",Entries!$A$2:$A$5000,"&gt;="&amp;$A266,Entries!$A$2:$A$5000,"&lt;"&amp;EDATE($A266,1),Entries!$B$2:$B$5000,AD$1))</f>
        <v/>
      </c>
      <c r="AE266" s="23">
        <f>IF(OR(AE$1="",$BM266=0),"",SUMIFS(Entries!$E$2:$E$5000,Entries!$C$2:$C$5000,"Actual",Entries!$A$2:$A$5000,"&gt;="&amp;$A266,Entries!$A$2:$A$5000,"&lt;"&amp;EDATE($A266,1),Entries!$B$2:$B$5000,AE$1))</f>
        <v/>
      </c>
      <c r="AF266" s="23">
        <f>IF(OR(AF$1="",$BM266=0),"",SUMIFS(Entries!$E$2:$E$5000,Entries!$C$2:$C$5000,"Actual",Entries!$A$2:$A$5000,"&gt;="&amp;$A266,Entries!$A$2:$A$5000,"&lt;"&amp;EDATE($A266,1),Entries!$B$2:$B$5000,AF$1))</f>
        <v/>
      </c>
      <c r="AG266" s="23">
        <f>IF(OR(AG$1="",$BM266=0),"",SUMIFS(Entries!$E$2:$E$5000,Entries!$C$2:$C$5000,"Actual",Entries!$A$2:$A$5000,"&gt;="&amp;$A266,Entries!$A$2:$A$5000,"&lt;"&amp;EDATE($A266,1),Entries!$B$2:$B$5000,AG$1))</f>
        <v/>
      </c>
      <c r="AH266" s="23">
        <f>IF(OR(AH$1="",$BM266=0),"",SUMIFS(Entries!$E$2:$E$5000,Entries!$C$2:$C$5000,"Actual",Entries!$A$2:$A$5000,"&gt;="&amp;$A266,Entries!$A$2:$A$5000,"&lt;"&amp;EDATE($A266,1),Entries!$B$2:$B$5000,AH$1))</f>
        <v/>
      </c>
      <c r="AI266" s="23">
        <f>IF(OR(AI$1="",$BM266=0),"",SUMIFS(Entries!$E$2:$E$5000,Entries!$C$2:$C$5000,"Actual",Entries!$A$2:$A$5000,"&gt;="&amp;$A266,Entries!$A$2:$A$5000,"&lt;"&amp;EDATE($A266,1),Entries!$B$2:$B$5000,AI$1))</f>
        <v/>
      </c>
      <c r="AJ266" s="23">
        <f>IF(OR(AJ$1="",$BM266=0),"",SUMIFS(Entries!$E$2:$E$5000,Entries!$C$2:$C$5000,"Actual",Entries!$A$2:$A$5000,"&gt;="&amp;$A266,Entries!$A$2:$A$5000,"&lt;"&amp;EDATE($A266,1),Entries!$B$2:$B$5000,AJ$1))</f>
        <v/>
      </c>
      <c r="AK266" s="23">
        <f>IF(OR(AK$1="",$BM266=0),"",SUMIFS(Entries!$E$2:$E$5000,Entries!$C$2:$C$5000,"Actual",Entries!$A$2:$A$5000,"&gt;="&amp;$A266,Entries!$A$2:$A$5000,"&lt;"&amp;EDATE($A266,1),Entries!$B$2:$B$5000,AK$1))</f>
        <v/>
      </c>
      <c r="AL266" s="23">
        <f>IF(OR(AL$1="",$BM266=0),"",SUMIFS(Entries!$E$2:$E$5000,Entries!$C$2:$C$5000,"Actual",Entries!$A$2:$A$5000,"&gt;="&amp;$A266,Entries!$A$2:$A$5000,"&lt;"&amp;EDATE($A266,1),Entries!$B$2:$B$5000,AL$1))</f>
        <v/>
      </c>
      <c r="AM266" s="23">
        <f>IF(OR(AM$1="",$BM266=0),"",SUMIFS(Entries!$E$2:$E$5000,Entries!$C$2:$C$5000,"Actual",Entries!$A$2:$A$5000,"&gt;="&amp;$A266,Entries!$A$2:$A$5000,"&lt;"&amp;EDATE($A266,1),Entries!$B$2:$B$5000,AM$1))</f>
        <v/>
      </c>
      <c r="AN266" s="23">
        <f>IF(OR(AN$1="",$BM266=0),"",SUMIFS(Entries!$E$2:$E$5000,Entries!$C$2:$C$5000,"Actual",Entries!$A$2:$A$5000,"&gt;="&amp;$A266,Entries!$A$2:$A$5000,"&lt;"&amp;EDATE($A266,1),Entries!$B$2:$B$5000,AN$1))</f>
        <v/>
      </c>
      <c r="AO266" s="23">
        <f>IF(OR(AO$1="",$BM266=0),"",SUMIFS(Entries!$E$2:$E$5000,Entries!$C$2:$C$5000,"Actual",Entries!$A$2:$A$5000,"&gt;="&amp;$A266,Entries!$A$2:$A$5000,"&lt;"&amp;EDATE($A266,1),Entries!$B$2:$B$5000,AO$1))</f>
        <v/>
      </c>
      <c r="AP266" s="23">
        <f>IF(OR(AP$1="",$BM266=0),"",SUMIFS(Entries!$E$2:$E$5000,Entries!$C$2:$C$5000,"Actual",Entries!$A$2:$A$5000,"&gt;="&amp;$A266,Entries!$A$2:$A$5000,"&lt;"&amp;EDATE($A266,1),Entries!$B$2:$B$5000,AP$1))</f>
        <v/>
      </c>
      <c r="AR266" s="23">
        <f>IF(OR(AR$1="",$BM266=0),"",IFERROR(LOOKUP(2,1/((Budgets!$A$2:$A$200=AR$1)*(Budgets!$B$2:$B$200&lt;EDATE($A266,1))),Budgets!$C$2:$C$200),0))</f>
        <v/>
      </c>
      <c r="AS266" s="23">
        <f>IF(OR(AS$1="",$BM266=0),"",IFERROR(LOOKUP(2,1/((Budgets!$A$2:$A$200=AS$1)*(Budgets!$B$2:$B$200&lt;EDATE($A266,1))),Budgets!$C$2:$C$200),0))</f>
        <v/>
      </c>
      <c r="AT266" s="23">
        <f>IF(OR(AT$1="",$BM266=0),"",IFERROR(LOOKUP(2,1/((Budgets!$A$2:$A$200=AT$1)*(Budgets!$B$2:$B$200&lt;EDATE($A266,1))),Budgets!$C$2:$C$200),0))</f>
        <v/>
      </c>
      <c r="AU266" s="23">
        <f>IF(OR(AU$1="",$BM266=0),"",IFERROR(LOOKUP(2,1/((Budgets!$A$2:$A$200=AU$1)*(Budgets!$B$2:$B$200&lt;EDATE($A266,1))),Budgets!$C$2:$C$200),0))</f>
        <v/>
      </c>
      <c r="AV266" s="23">
        <f>IF(OR(AV$1="",$BM266=0),"",IFERROR(LOOKUP(2,1/((Budgets!$A$2:$A$200=AV$1)*(Budgets!$B$2:$B$200&lt;EDATE($A266,1))),Budgets!$C$2:$C$200),0))</f>
        <v/>
      </c>
      <c r="AW266" s="23">
        <f>IF(OR(AW$1="",$BM266=0),"",IFERROR(LOOKUP(2,1/((Budgets!$A$2:$A$200=AW$1)*(Budgets!$B$2:$B$200&lt;EDATE($A266,1))),Budgets!$C$2:$C$200),0))</f>
        <v/>
      </c>
      <c r="AX266" s="23">
        <f>IF(OR(AX$1="",$BM266=0),"",IFERROR(LOOKUP(2,1/((Budgets!$A$2:$A$200=AX$1)*(Budgets!$B$2:$B$200&lt;EDATE($A266,1))),Budgets!$C$2:$C$200),0))</f>
        <v/>
      </c>
      <c r="AY266" s="23">
        <f>IF(OR(AY$1="",$BM266=0),"",IFERROR(LOOKUP(2,1/((Budgets!$A$2:$A$200=AY$1)*(Budgets!$B$2:$B$200&lt;EDATE($A266,1))),Budgets!$C$2:$C$200),0))</f>
        <v/>
      </c>
      <c r="AZ266" s="23">
        <f>IF(OR(AZ$1="",$BM266=0),"",IFERROR(LOOKUP(2,1/((Budgets!$A$2:$A$200=AZ$1)*(Budgets!$B$2:$B$200&lt;EDATE($A266,1))),Budgets!$C$2:$C$200),0))</f>
        <v/>
      </c>
      <c r="BA266" s="23">
        <f>IF(OR(BA$1="",$BM266=0),"",IFERROR(LOOKUP(2,1/((Budgets!$A$2:$A$200=BA$1)*(Budgets!$B$2:$B$200&lt;EDATE($A266,1))),Budgets!$C$2:$C$200),0))</f>
        <v/>
      </c>
      <c r="BB266" s="23">
        <f>IF(OR(BB$1="",$BM266=0),"",IFERROR(LOOKUP(2,1/((Budgets!$A$2:$A$200=BB$1)*(Budgets!$B$2:$B$200&lt;EDATE($A266,1))),Budgets!$C$2:$C$200),0))</f>
        <v/>
      </c>
      <c r="BC266" s="23">
        <f>IF(OR(BC$1="",$BM266=0),"",IFERROR(LOOKUP(2,1/((Budgets!$A$2:$A$200=BC$1)*(Budgets!$B$2:$B$200&lt;EDATE($A266,1))),Budgets!$C$2:$C$200),0))</f>
        <v/>
      </c>
      <c r="BD266" s="23">
        <f>IF(OR(BD$1="",$BM266=0),"",IFERROR(LOOKUP(2,1/((Budgets!$A$2:$A$200=BD$1)*(Budgets!$B$2:$B$200&lt;EDATE($A266,1))),Budgets!$C$2:$C$200),0))</f>
        <v/>
      </c>
      <c r="BE266" s="23">
        <f>IF(OR(BE$1="",$BM266=0),"",IFERROR(LOOKUP(2,1/((Budgets!$A$2:$A$200=BE$1)*(Budgets!$B$2:$B$200&lt;EDATE($A266,1))),Budgets!$C$2:$C$200),0))</f>
        <v/>
      </c>
      <c r="BF266" s="23">
        <f>IF(OR(BF$1="",$BM266=0),"",IFERROR(LOOKUP(2,1/((Budgets!$A$2:$A$200=BF$1)*(Budgets!$B$2:$B$200&lt;EDATE($A266,1))),Budgets!$C$2:$C$200),0))</f>
        <v/>
      </c>
      <c r="BG266" s="23">
        <f>IF(OR(BG$1="",$BM266=0),"",IFERROR(LOOKUP(2,1/((Budgets!$A$2:$A$200=BG$1)*(Budgets!$B$2:$B$200&lt;EDATE($A266,1))),Budgets!$C$2:$C$200),0))</f>
        <v/>
      </c>
      <c r="BH266" s="23">
        <f>IF(OR(BH$1="",$BM266=0),"",IFERROR(LOOKUP(2,1/((Budgets!$A$2:$A$200=BH$1)*(Budgets!$B$2:$B$200&lt;EDATE($A266,1))),Budgets!$C$2:$C$200),0))</f>
        <v/>
      </c>
      <c r="BI266" s="23">
        <f>IF(OR(BI$1="",$BM266=0),"",IFERROR(LOOKUP(2,1/((Budgets!$A$2:$A$200=BI$1)*(Budgets!$B$2:$B$200&lt;EDATE($A266,1))),Budgets!$C$2:$C$200),0))</f>
        <v/>
      </c>
      <c r="BJ266" s="23">
        <f>IF(OR(BJ$1="",$BM266=0),"",IFERROR(LOOKUP(2,1/((Budgets!$A$2:$A$200=BJ$1)*(Budgets!$B$2:$B$200&lt;EDATE($A266,1))),Budgets!$C$2:$C$200),0))</f>
        <v/>
      </c>
      <c r="BK266" s="23">
        <f>IF(OR(BK$1="",$BM266=0),"",IFERROR(LOOKUP(2,1/((Budgets!$A$2:$A$200=BK$1)*(Budgets!$B$2:$B$200&lt;EDATE($A266,1))),Budgets!$C$2:$C$200),0))</f>
        <v/>
      </c>
      <c r="BM266" s="21">
        <f>COUNTIFS(Entries!$A$2:$A$5000,"&gt;="&amp;$A266,Entries!$A$2:$A$5000,"&lt;"&amp;EDATE($A266,1))</f>
        <v/>
      </c>
    </row>
    <row r="267">
      <c r="A267" s="22" t="n">
        <v>47515</v>
      </c>
      <c r="B267" s="23">
        <f>IF($BM267=0,NA(),SUMIFS(Entries!$E$2:$E$5000,Entries!$C$2:$C$5000,"Income",Entries!$A$2:$A$5000,"&gt;="&amp;$A267,Entries!$A$2:$A$5000,"&lt;"&amp;EDATE($A267,1)))</f>
        <v/>
      </c>
      <c r="C267" s="23">
        <f>IF($BM267=0,"",SUMIFS(Entries!$E$2:$E$5000,Entries!$C$2:$C$5000,"Actual",Entries!$A$2:$A$5000,"&gt;="&amp;$A267,Entries!$A$2:$A$5000,"&lt;"&amp;EDATE($A267,1)))</f>
        <v/>
      </c>
      <c r="D267" s="23">
        <f>IF($BM267=0,"",SUMIFS(Entries!$E$2:$E$5000,Entries!$C$2:$C$5000,"One-off",Entries!$A$2:$A$5000,"&gt;="&amp;$A267,Entries!$A$2:$A$5000,"&lt;"&amp;EDATE($A267,1)))</f>
        <v/>
      </c>
      <c r="E267" s="23">
        <f>IF($BM267=0,NA(),C267+D267)</f>
        <v/>
      </c>
      <c r="F267" s="23">
        <f>IF($BM267=0,"",SUM(AR267:BK267))</f>
        <v/>
      </c>
      <c r="G267" s="23">
        <f>IF($BM267=0,"",B267-E267)</f>
        <v/>
      </c>
      <c r="H267" s="23">
        <f>IF($BM267=0,"",SUM($G$2:G267))</f>
        <v/>
      </c>
      <c r="I267" s="23">
        <f>IF($BM267=0,"",SUMIFS(Entries!$G$2:$G$5000,Entries!$A$2:$A$5000,"&gt;="&amp;$A267,Entries!$A$2:$A$5000,"&lt;"&amp;EDATE($A267,1)))</f>
        <v/>
      </c>
      <c r="J267" s="23">
        <f>IF($BM267=0,NA(),H267)</f>
        <v/>
      </c>
      <c r="K267" s="23">
        <f>IF($BM267=0,"",SUMIFS(Entries!$E$2:$E$5000,Entries!$C$2:$C$5000,"Income",Entries!$A$2:$A$5000,"&gt;="&amp;EDATE($A267,-11),Entries!$A$2:$A$5000,"&lt;"&amp;EDATE($A267,1))/COUNTIFS($A$2:$A$400,"&gt;="&amp;EDATE($A267,-11),$A$2:$A$400,"&lt;"&amp;EDATE($A267,1),$BM$2:$BM$400,"&gt;0"))</f>
      </c>
      <c r="L267" s="23">
        <f>IF($BM267=0,"",(SUMIFS(Entries!$E$2:$E$5000,Entries!$C$2:$C$5000,"Actual",Entries!$A$2:$A$5000,"&gt;="&amp;EDATE($A267,-11),Entries!$A$2:$A$5000,"&lt;"&amp;EDATE($A267,1))+SUMIFS(Entries!$E$2:$E$5000,Entries!$C$2:$C$5000,"One-off",Entries!$A$2:$A$5000,"&gt;="&amp;EDATE($A267,-11),Entries!$A$2:$A$5000,"&lt;"&amp;EDATE($A267,1)))/COUNTIFS($A$2:$A$400,"&gt;="&amp;EDATE($A267,-11),$A$2:$A$400,"&lt;"&amp;EDATE($A267,1),$BM$2:$BM$400,"&gt;0"))</f>
      </c>
      <c r="M267" s="24">
        <f>IF($BM267=0,NA(),IFERROR((K267-L267)/K267,0))</f>
        <v/>
      </c>
      <c r="N267" s="23">
        <f>IF($BM267=0,NA(),SUMIFS(Entries!$E$2:$E$5000,Entries!$D$2:$D$5000,"Core",Entries!$A$2:$A$5000,"&gt;="&amp;$A267,Entries!$A$2:$A$5000,"&lt;"&amp;EDATE($A267,1)))</f>
        <v/>
      </c>
      <c r="O267" s="23">
        <f>IF($BM267=0,NA(),SUMIFS(Entries!$E$2:$E$5000,Entries!$D$2:$D$5000,"Over &amp; above",Entries!$A$2:$A$5000,"&gt;="&amp;$A267,Entries!$A$2:$A$5000,"&lt;"&amp;EDATE($A267,1)))</f>
        <v/>
      </c>
      <c r="P267" s="23">
        <f>IF($BM267=0,NA(),SUMIFS(Entries!$E$2:$E$5000,Entries!$D$2:$D$5000,"One-off",Entries!$A$2:$A$5000,"&gt;="&amp;$A267,Entries!$A$2:$A$5000,"&lt;"&amp;EDATE($A267,1)))</f>
        <v/>
      </c>
      <c r="Q267" s="23">
        <f>IF($BM267=0,NA(),SUMIFS(Entries!$E$2:$E$5000,Entries!$D$2:$D$5000,"Reimbursable",Entries!$A$2:$A$5000,"&gt;="&amp;$A267,Entries!$A$2:$A$5000,"&lt;"&amp;EDATE($A267,1)))</f>
        <v/>
      </c>
      <c r="R267" s="23">
        <f>IF($BM267=0,NA(),SUMIFS(Entries!$E$2:$E$5000,Entries!$D$2:$D$5000,"Investment",Entries!$A$2:$A$5000,"&gt;="&amp;$A267,Entries!$A$2:$A$5000,"&lt;"&amp;EDATE($A267,1)))</f>
        <v/>
      </c>
      <c r="S267" s="23">
        <f>IF($BM267=0,NA(),N267+O267)</f>
        <v/>
      </c>
      <c r="T267" s="23">
        <f>IF($BM267=0,"",E267-Q267)</f>
        <v/>
      </c>
      <c r="W267" s="23">
        <f>IF(OR(W$1="",$BM267=0),"",SUMIFS(Entries!$E$2:$E$5000,Entries!$C$2:$C$5000,"Actual",Entries!$A$2:$A$5000,"&gt;="&amp;$A267,Entries!$A$2:$A$5000,"&lt;"&amp;EDATE($A267,1),Entries!$B$2:$B$5000,W$1))</f>
        <v/>
      </c>
      <c r="X267" s="23">
        <f>IF(OR(X$1="",$BM267=0),"",SUMIFS(Entries!$E$2:$E$5000,Entries!$C$2:$C$5000,"Actual",Entries!$A$2:$A$5000,"&gt;="&amp;$A267,Entries!$A$2:$A$5000,"&lt;"&amp;EDATE($A267,1),Entries!$B$2:$B$5000,X$1))</f>
        <v/>
      </c>
      <c r="Y267" s="23">
        <f>IF(OR(Y$1="",$BM267=0),"",SUMIFS(Entries!$E$2:$E$5000,Entries!$C$2:$C$5000,"Actual",Entries!$A$2:$A$5000,"&gt;="&amp;$A267,Entries!$A$2:$A$5000,"&lt;"&amp;EDATE($A267,1),Entries!$B$2:$B$5000,Y$1))</f>
        <v/>
      </c>
      <c r="Z267" s="23">
        <f>IF(OR(Z$1="",$BM267=0),"",SUMIFS(Entries!$E$2:$E$5000,Entries!$C$2:$C$5000,"Actual",Entries!$A$2:$A$5000,"&gt;="&amp;$A267,Entries!$A$2:$A$5000,"&lt;"&amp;EDATE($A267,1),Entries!$B$2:$B$5000,Z$1))</f>
        <v/>
      </c>
      <c r="AA267" s="23">
        <f>IF(OR(AA$1="",$BM267=0),"",SUMIFS(Entries!$E$2:$E$5000,Entries!$C$2:$C$5000,"Actual",Entries!$A$2:$A$5000,"&gt;="&amp;$A267,Entries!$A$2:$A$5000,"&lt;"&amp;EDATE($A267,1),Entries!$B$2:$B$5000,AA$1))</f>
        <v/>
      </c>
      <c r="AB267" s="23">
        <f>IF(OR(AB$1="",$BM267=0),"",SUMIFS(Entries!$E$2:$E$5000,Entries!$C$2:$C$5000,"Actual",Entries!$A$2:$A$5000,"&gt;="&amp;$A267,Entries!$A$2:$A$5000,"&lt;"&amp;EDATE($A267,1),Entries!$B$2:$B$5000,AB$1))</f>
        <v/>
      </c>
      <c r="AC267" s="23">
        <f>IF(OR(AC$1="",$BM267=0),"",SUMIFS(Entries!$E$2:$E$5000,Entries!$C$2:$C$5000,"Actual",Entries!$A$2:$A$5000,"&gt;="&amp;$A267,Entries!$A$2:$A$5000,"&lt;"&amp;EDATE($A267,1),Entries!$B$2:$B$5000,AC$1))</f>
        <v/>
      </c>
      <c r="AD267" s="23">
        <f>IF(OR(AD$1="",$BM267=0),"",SUMIFS(Entries!$E$2:$E$5000,Entries!$C$2:$C$5000,"Actual",Entries!$A$2:$A$5000,"&gt;="&amp;$A267,Entries!$A$2:$A$5000,"&lt;"&amp;EDATE($A267,1),Entries!$B$2:$B$5000,AD$1))</f>
        <v/>
      </c>
      <c r="AE267" s="23">
        <f>IF(OR(AE$1="",$BM267=0),"",SUMIFS(Entries!$E$2:$E$5000,Entries!$C$2:$C$5000,"Actual",Entries!$A$2:$A$5000,"&gt;="&amp;$A267,Entries!$A$2:$A$5000,"&lt;"&amp;EDATE($A267,1),Entries!$B$2:$B$5000,AE$1))</f>
        <v/>
      </c>
      <c r="AF267" s="23">
        <f>IF(OR(AF$1="",$BM267=0),"",SUMIFS(Entries!$E$2:$E$5000,Entries!$C$2:$C$5000,"Actual",Entries!$A$2:$A$5000,"&gt;="&amp;$A267,Entries!$A$2:$A$5000,"&lt;"&amp;EDATE($A267,1),Entries!$B$2:$B$5000,AF$1))</f>
        <v/>
      </c>
      <c r="AG267" s="23">
        <f>IF(OR(AG$1="",$BM267=0),"",SUMIFS(Entries!$E$2:$E$5000,Entries!$C$2:$C$5000,"Actual",Entries!$A$2:$A$5000,"&gt;="&amp;$A267,Entries!$A$2:$A$5000,"&lt;"&amp;EDATE($A267,1),Entries!$B$2:$B$5000,AG$1))</f>
        <v/>
      </c>
      <c r="AH267" s="23">
        <f>IF(OR(AH$1="",$BM267=0),"",SUMIFS(Entries!$E$2:$E$5000,Entries!$C$2:$C$5000,"Actual",Entries!$A$2:$A$5000,"&gt;="&amp;$A267,Entries!$A$2:$A$5000,"&lt;"&amp;EDATE($A267,1),Entries!$B$2:$B$5000,AH$1))</f>
        <v/>
      </c>
      <c r="AI267" s="23">
        <f>IF(OR(AI$1="",$BM267=0),"",SUMIFS(Entries!$E$2:$E$5000,Entries!$C$2:$C$5000,"Actual",Entries!$A$2:$A$5000,"&gt;="&amp;$A267,Entries!$A$2:$A$5000,"&lt;"&amp;EDATE($A267,1),Entries!$B$2:$B$5000,AI$1))</f>
        <v/>
      </c>
      <c r="AJ267" s="23">
        <f>IF(OR(AJ$1="",$BM267=0),"",SUMIFS(Entries!$E$2:$E$5000,Entries!$C$2:$C$5000,"Actual",Entries!$A$2:$A$5000,"&gt;="&amp;$A267,Entries!$A$2:$A$5000,"&lt;"&amp;EDATE($A267,1),Entries!$B$2:$B$5000,AJ$1))</f>
        <v/>
      </c>
      <c r="AK267" s="23">
        <f>IF(OR(AK$1="",$BM267=0),"",SUMIFS(Entries!$E$2:$E$5000,Entries!$C$2:$C$5000,"Actual",Entries!$A$2:$A$5000,"&gt;="&amp;$A267,Entries!$A$2:$A$5000,"&lt;"&amp;EDATE($A267,1),Entries!$B$2:$B$5000,AK$1))</f>
        <v/>
      </c>
      <c r="AL267" s="23">
        <f>IF(OR(AL$1="",$BM267=0),"",SUMIFS(Entries!$E$2:$E$5000,Entries!$C$2:$C$5000,"Actual",Entries!$A$2:$A$5000,"&gt;="&amp;$A267,Entries!$A$2:$A$5000,"&lt;"&amp;EDATE($A267,1),Entries!$B$2:$B$5000,AL$1))</f>
        <v/>
      </c>
      <c r="AM267" s="23">
        <f>IF(OR(AM$1="",$BM267=0),"",SUMIFS(Entries!$E$2:$E$5000,Entries!$C$2:$C$5000,"Actual",Entries!$A$2:$A$5000,"&gt;="&amp;$A267,Entries!$A$2:$A$5000,"&lt;"&amp;EDATE($A267,1),Entries!$B$2:$B$5000,AM$1))</f>
        <v/>
      </c>
      <c r="AN267" s="23">
        <f>IF(OR(AN$1="",$BM267=0),"",SUMIFS(Entries!$E$2:$E$5000,Entries!$C$2:$C$5000,"Actual",Entries!$A$2:$A$5000,"&gt;="&amp;$A267,Entries!$A$2:$A$5000,"&lt;"&amp;EDATE($A267,1),Entries!$B$2:$B$5000,AN$1))</f>
        <v/>
      </c>
      <c r="AO267" s="23">
        <f>IF(OR(AO$1="",$BM267=0),"",SUMIFS(Entries!$E$2:$E$5000,Entries!$C$2:$C$5000,"Actual",Entries!$A$2:$A$5000,"&gt;="&amp;$A267,Entries!$A$2:$A$5000,"&lt;"&amp;EDATE($A267,1),Entries!$B$2:$B$5000,AO$1))</f>
        <v/>
      </c>
      <c r="AP267" s="23">
        <f>IF(OR(AP$1="",$BM267=0),"",SUMIFS(Entries!$E$2:$E$5000,Entries!$C$2:$C$5000,"Actual",Entries!$A$2:$A$5000,"&gt;="&amp;$A267,Entries!$A$2:$A$5000,"&lt;"&amp;EDATE($A267,1),Entries!$B$2:$B$5000,AP$1))</f>
        <v/>
      </c>
      <c r="AR267" s="23">
        <f>IF(OR(AR$1="",$BM267=0),"",IFERROR(LOOKUP(2,1/((Budgets!$A$2:$A$200=AR$1)*(Budgets!$B$2:$B$200&lt;EDATE($A267,1))),Budgets!$C$2:$C$200),0))</f>
        <v/>
      </c>
      <c r="AS267" s="23">
        <f>IF(OR(AS$1="",$BM267=0),"",IFERROR(LOOKUP(2,1/((Budgets!$A$2:$A$200=AS$1)*(Budgets!$B$2:$B$200&lt;EDATE($A267,1))),Budgets!$C$2:$C$200),0))</f>
        <v/>
      </c>
      <c r="AT267" s="23">
        <f>IF(OR(AT$1="",$BM267=0),"",IFERROR(LOOKUP(2,1/((Budgets!$A$2:$A$200=AT$1)*(Budgets!$B$2:$B$200&lt;EDATE($A267,1))),Budgets!$C$2:$C$200),0))</f>
        <v/>
      </c>
      <c r="AU267" s="23">
        <f>IF(OR(AU$1="",$BM267=0),"",IFERROR(LOOKUP(2,1/((Budgets!$A$2:$A$200=AU$1)*(Budgets!$B$2:$B$200&lt;EDATE($A267,1))),Budgets!$C$2:$C$200),0))</f>
        <v/>
      </c>
      <c r="AV267" s="23">
        <f>IF(OR(AV$1="",$BM267=0),"",IFERROR(LOOKUP(2,1/((Budgets!$A$2:$A$200=AV$1)*(Budgets!$B$2:$B$200&lt;EDATE($A267,1))),Budgets!$C$2:$C$200),0))</f>
        <v/>
      </c>
      <c r="AW267" s="23">
        <f>IF(OR(AW$1="",$BM267=0),"",IFERROR(LOOKUP(2,1/((Budgets!$A$2:$A$200=AW$1)*(Budgets!$B$2:$B$200&lt;EDATE($A267,1))),Budgets!$C$2:$C$200),0))</f>
        <v/>
      </c>
      <c r="AX267" s="23">
        <f>IF(OR(AX$1="",$BM267=0),"",IFERROR(LOOKUP(2,1/((Budgets!$A$2:$A$200=AX$1)*(Budgets!$B$2:$B$200&lt;EDATE($A267,1))),Budgets!$C$2:$C$200),0))</f>
        <v/>
      </c>
      <c r="AY267" s="23">
        <f>IF(OR(AY$1="",$BM267=0),"",IFERROR(LOOKUP(2,1/((Budgets!$A$2:$A$200=AY$1)*(Budgets!$B$2:$B$200&lt;EDATE($A267,1))),Budgets!$C$2:$C$200),0))</f>
        <v/>
      </c>
      <c r="AZ267" s="23">
        <f>IF(OR(AZ$1="",$BM267=0),"",IFERROR(LOOKUP(2,1/((Budgets!$A$2:$A$200=AZ$1)*(Budgets!$B$2:$B$200&lt;EDATE($A267,1))),Budgets!$C$2:$C$200),0))</f>
        <v/>
      </c>
      <c r="BA267" s="23">
        <f>IF(OR(BA$1="",$BM267=0),"",IFERROR(LOOKUP(2,1/((Budgets!$A$2:$A$200=BA$1)*(Budgets!$B$2:$B$200&lt;EDATE($A267,1))),Budgets!$C$2:$C$200),0))</f>
        <v/>
      </c>
      <c r="BB267" s="23">
        <f>IF(OR(BB$1="",$BM267=0),"",IFERROR(LOOKUP(2,1/((Budgets!$A$2:$A$200=BB$1)*(Budgets!$B$2:$B$200&lt;EDATE($A267,1))),Budgets!$C$2:$C$200),0))</f>
        <v/>
      </c>
      <c r="BC267" s="23">
        <f>IF(OR(BC$1="",$BM267=0),"",IFERROR(LOOKUP(2,1/((Budgets!$A$2:$A$200=BC$1)*(Budgets!$B$2:$B$200&lt;EDATE($A267,1))),Budgets!$C$2:$C$200),0))</f>
        <v/>
      </c>
      <c r="BD267" s="23">
        <f>IF(OR(BD$1="",$BM267=0),"",IFERROR(LOOKUP(2,1/((Budgets!$A$2:$A$200=BD$1)*(Budgets!$B$2:$B$200&lt;EDATE($A267,1))),Budgets!$C$2:$C$200),0))</f>
        <v/>
      </c>
      <c r="BE267" s="23">
        <f>IF(OR(BE$1="",$BM267=0),"",IFERROR(LOOKUP(2,1/((Budgets!$A$2:$A$200=BE$1)*(Budgets!$B$2:$B$200&lt;EDATE($A267,1))),Budgets!$C$2:$C$200),0))</f>
        <v/>
      </c>
      <c r="BF267" s="23">
        <f>IF(OR(BF$1="",$BM267=0),"",IFERROR(LOOKUP(2,1/((Budgets!$A$2:$A$200=BF$1)*(Budgets!$B$2:$B$200&lt;EDATE($A267,1))),Budgets!$C$2:$C$200),0))</f>
        <v/>
      </c>
      <c r="BG267" s="23">
        <f>IF(OR(BG$1="",$BM267=0),"",IFERROR(LOOKUP(2,1/((Budgets!$A$2:$A$200=BG$1)*(Budgets!$B$2:$B$200&lt;EDATE($A267,1))),Budgets!$C$2:$C$200),0))</f>
        <v/>
      </c>
      <c r="BH267" s="23">
        <f>IF(OR(BH$1="",$BM267=0),"",IFERROR(LOOKUP(2,1/((Budgets!$A$2:$A$200=BH$1)*(Budgets!$B$2:$B$200&lt;EDATE($A267,1))),Budgets!$C$2:$C$200),0))</f>
        <v/>
      </c>
      <c r="BI267" s="23">
        <f>IF(OR(BI$1="",$BM267=0),"",IFERROR(LOOKUP(2,1/((Budgets!$A$2:$A$200=BI$1)*(Budgets!$B$2:$B$200&lt;EDATE($A267,1))),Budgets!$C$2:$C$200),0))</f>
        <v/>
      </c>
      <c r="BJ267" s="23">
        <f>IF(OR(BJ$1="",$BM267=0),"",IFERROR(LOOKUP(2,1/((Budgets!$A$2:$A$200=BJ$1)*(Budgets!$B$2:$B$200&lt;EDATE($A267,1))),Budgets!$C$2:$C$200),0))</f>
        <v/>
      </c>
      <c r="BK267" s="23">
        <f>IF(OR(BK$1="",$BM267=0),"",IFERROR(LOOKUP(2,1/((Budgets!$A$2:$A$200=BK$1)*(Budgets!$B$2:$B$200&lt;EDATE($A267,1))),Budgets!$C$2:$C$200),0))</f>
        <v/>
      </c>
      <c r="BM267" s="21">
        <f>COUNTIFS(Entries!$A$2:$A$5000,"&gt;="&amp;$A267,Entries!$A$2:$A$5000,"&lt;"&amp;EDATE($A267,1))</f>
        <v/>
      </c>
    </row>
    <row r="268">
      <c r="A268" s="22" t="n">
        <v>47543</v>
      </c>
      <c r="B268" s="23">
        <f>IF($BM268=0,NA(),SUMIFS(Entries!$E$2:$E$5000,Entries!$C$2:$C$5000,"Income",Entries!$A$2:$A$5000,"&gt;="&amp;$A268,Entries!$A$2:$A$5000,"&lt;"&amp;EDATE($A268,1)))</f>
        <v/>
      </c>
      <c r="C268" s="23">
        <f>IF($BM268=0,"",SUMIFS(Entries!$E$2:$E$5000,Entries!$C$2:$C$5000,"Actual",Entries!$A$2:$A$5000,"&gt;="&amp;$A268,Entries!$A$2:$A$5000,"&lt;"&amp;EDATE($A268,1)))</f>
        <v/>
      </c>
      <c r="D268" s="23">
        <f>IF($BM268=0,"",SUMIFS(Entries!$E$2:$E$5000,Entries!$C$2:$C$5000,"One-off",Entries!$A$2:$A$5000,"&gt;="&amp;$A268,Entries!$A$2:$A$5000,"&lt;"&amp;EDATE($A268,1)))</f>
        <v/>
      </c>
      <c r="E268" s="23">
        <f>IF($BM268=0,NA(),C268+D268)</f>
        <v/>
      </c>
      <c r="F268" s="23">
        <f>IF($BM268=0,"",SUM(AR268:BK268))</f>
        <v/>
      </c>
      <c r="G268" s="23">
        <f>IF($BM268=0,"",B268-E268)</f>
        <v/>
      </c>
      <c r="H268" s="23">
        <f>IF($BM268=0,"",SUM($G$2:G268))</f>
        <v/>
      </c>
      <c r="I268" s="23">
        <f>IF($BM268=0,"",SUMIFS(Entries!$G$2:$G$5000,Entries!$A$2:$A$5000,"&gt;="&amp;$A268,Entries!$A$2:$A$5000,"&lt;"&amp;EDATE($A268,1)))</f>
        <v/>
      </c>
      <c r="J268" s="23">
        <f>IF($BM268=0,NA(),H268)</f>
        <v/>
      </c>
      <c r="K268" s="23">
        <f>IF($BM268=0,"",SUMIFS(Entries!$E$2:$E$5000,Entries!$C$2:$C$5000,"Income",Entries!$A$2:$A$5000,"&gt;="&amp;EDATE($A268,-11),Entries!$A$2:$A$5000,"&lt;"&amp;EDATE($A268,1))/COUNTIFS($A$2:$A$400,"&gt;="&amp;EDATE($A268,-11),$A$2:$A$400,"&lt;"&amp;EDATE($A268,1),$BM$2:$BM$400,"&gt;0"))</f>
      </c>
      <c r="L268" s="23">
        <f>IF($BM268=0,"",(SUMIFS(Entries!$E$2:$E$5000,Entries!$C$2:$C$5000,"Actual",Entries!$A$2:$A$5000,"&gt;="&amp;EDATE($A268,-11),Entries!$A$2:$A$5000,"&lt;"&amp;EDATE($A268,1))+SUMIFS(Entries!$E$2:$E$5000,Entries!$C$2:$C$5000,"One-off",Entries!$A$2:$A$5000,"&gt;="&amp;EDATE($A268,-11),Entries!$A$2:$A$5000,"&lt;"&amp;EDATE($A268,1)))/COUNTIFS($A$2:$A$400,"&gt;="&amp;EDATE($A268,-11),$A$2:$A$400,"&lt;"&amp;EDATE($A268,1),$BM$2:$BM$400,"&gt;0"))</f>
      </c>
      <c r="M268" s="24">
        <f>IF($BM268=0,NA(),IFERROR((K268-L268)/K268,0))</f>
        <v/>
      </c>
      <c r="N268" s="23">
        <f>IF($BM268=0,NA(),SUMIFS(Entries!$E$2:$E$5000,Entries!$D$2:$D$5000,"Core",Entries!$A$2:$A$5000,"&gt;="&amp;$A268,Entries!$A$2:$A$5000,"&lt;"&amp;EDATE($A268,1)))</f>
        <v/>
      </c>
      <c r="O268" s="23">
        <f>IF($BM268=0,NA(),SUMIFS(Entries!$E$2:$E$5000,Entries!$D$2:$D$5000,"Over &amp; above",Entries!$A$2:$A$5000,"&gt;="&amp;$A268,Entries!$A$2:$A$5000,"&lt;"&amp;EDATE($A268,1)))</f>
        <v/>
      </c>
      <c r="P268" s="23">
        <f>IF($BM268=0,NA(),SUMIFS(Entries!$E$2:$E$5000,Entries!$D$2:$D$5000,"One-off",Entries!$A$2:$A$5000,"&gt;="&amp;$A268,Entries!$A$2:$A$5000,"&lt;"&amp;EDATE($A268,1)))</f>
        <v/>
      </c>
      <c r="Q268" s="23">
        <f>IF($BM268=0,NA(),SUMIFS(Entries!$E$2:$E$5000,Entries!$D$2:$D$5000,"Reimbursable",Entries!$A$2:$A$5000,"&gt;="&amp;$A268,Entries!$A$2:$A$5000,"&lt;"&amp;EDATE($A268,1)))</f>
        <v/>
      </c>
      <c r="R268" s="23">
        <f>IF($BM268=0,NA(),SUMIFS(Entries!$E$2:$E$5000,Entries!$D$2:$D$5000,"Investment",Entries!$A$2:$A$5000,"&gt;="&amp;$A268,Entries!$A$2:$A$5000,"&lt;"&amp;EDATE($A268,1)))</f>
        <v/>
      </c>
      <c r="S268" s="23">
        <f>IF($BM268=0,NA(),N268+O268)</f>
        <v/>
      </c>
      <c r="T268" s="23">
        <f>IF($BM268=0,"",E268-Q268)</f>
        <v/>
      </c>
      <c r="W268" s="23">
        <f>IF(OR(W$1="",$BM268=0),"",SUMIFS(Entries!$E$2:$E$5000,Entries!$C$2:$C$5000,"Actual",Entries!$A$2:$A$5000,"&gt;="&amp;$A268,Entries!$A$2:$A$5000,"&lt;"&amp;EDATE($A268,1),Entries!$B$2:$B$5000,W$1))</f>
        <v/>
      </c>
      <c r="X268" s="23">
        <f>IF(OR(X$1="",$BM268=0),"",SUMIFS(Entries!$E$2:$E$5000,Entries!$C$2:$C$5000,"Actual",Entries!$A$2:$A$5000,"&gt;="&amp;$A268,Entries!$A$2:$A$5000,"&lt;"&amp;EDATE($A268,1),Entries!$B$2:$B$5000,X$1))</f>
        <v/>
      </c>
      <c r="Y268" s="23">
        <f>IF(OR(Y$1="",$BM268=0),"",SUMIFS(Entries!$E$2:$E$5000,Entries!$C$2:$C$5000,"Actual",Entries!$A$2:$A$5000,"&gt;="&amp;$A268,Entries!$A$2:$A$5000,"&lt;"&amp;EDATE($A268,1),Entries!$B$2:$B$5000,Y$1))</f>
        <v/>
      </c>
      <c r="Z268" s="23">
        <f>IF(OR(Z$1="",$BM268=0),"",SUMIFS(Entries!$E$2:$E$5000,Entries!$C$2:$C$5000,"Actual",Entries!$A$2:$A$5000,"&gt;="&amp;$A268,Entries!$A$2:$A$5000,"&lt;"&amp;EDATE($A268,1),Entries!$B$2:$B$5000,Z$1))</f>
        <v/>
      </c>
      <c r="AA268" s="23">
        <f>IF(OR(AA$1="",$BM268=0),"",SUMIFS(Entries!$E$2:$E$5000,Entries!$C$2:$C$5000,"Actual",Entries!$A$2:$A$5000,"&gt;="&amp;$A268,Entries!$A$2:$A$5000,"&lt;"&amp;EDATE($A268,1),Entries!$B$2:$B$5000,AA$1))</f>
        <v/>
      </c>
      <c r="AB268" s="23">
        <f>IF(OR(AB$1="",$BM268=0),"",SUMIFS(Entries!$E$2:$E$5000,Entries!$C$2:$C$5000,"Actual",Entries!$A$2:$A$5000,"&gt;="&amp;$A268,Entries!$A$2:$A$5000,"&lt;"&amp;EDATE($A268,1),Entries!$B$2:$B$5000,AB$1))</f>
        <v/>
      </c>
      <c r="AC268" s="23">
        <f>IF(OR(AC$1="",$BM268=0),"",SUMIFS(Entries!$E$2:$E$5000,Entries!$C$2:$C$5000,"Actual",Entries!$A$2:$A$5000,"&gt;="&amp;$A268,Entries!$A$2:$A$5000,"&lt;"&amp;EDATE($A268,1),Entries!$B$2:$B$5000,AC$1))</f>
        <v/>
      </c>
      <c r="AD268" s="23">
        <f>IF(OR(AD$1="",$BM268=0),"",SUMIFS(Entries!$E$2:$E$5000,Entries!$C$2:$C$5000,"Actual",Entries!$A$2:$A$5000,"&gt;="&amp;$A268,Entries!$A$2:$A$5000,"&lt;"&amp;EDATE($A268,1),Entries!$B$2:$B$5000,AD$1))</f>
        <v/>
      </c>
      <c r="AE268" s="23">
        <f>IF(OR(AE$1="",$BM268=0),"",SUMIFS(Entries!$E$2:$E$5000,Entries!$C$2:$C$5000,"Actual",Entries!$A$2:$A$5000,"&gt;="&amp;$A268,Entries!$A$2:$A$5000,"&lt;"&amp;EDATE($A268,1),Entries!$B$2:$B$5000,AE$1))</f>
        <v/>
      </c>
      <c r="AF268" s="23">
        <f>IF(OR(AF$1="",$BM268=0),"",SUMIFS(Entries!$E$2:$E$5000,Entries!$C$2:$C$5000,"Actual",Entries!$A$2:$A$5000,"&gt;="&amp;$A268,Entries!$A$2:$A$5000,"&lt;"&amp;EDATE($A268,1),Entries!$B$2:$B$5000,AF$1))</f>
        <v/>
      </c>
      <c r="AG268" s="23">
        <f>IF(OR(AG$1="",$BM268=0),"",SUMIFS(Entries!$E$2:$E$5000,Entries!$C$2:$C$5000,"Actual",Entries!$A$2:$A$5000,"&gt;="&amp;$A268,Entries!$A$2:$A$5000,"&lt;"&amp;EDATE($A268,1),Entries!$B$2:$B$5000,AG$1))</f>
        <v/>
      </c>
      <c r="AH268" s="23">
        <f>IF(OR(AH$1="",$BM268=0),"",SUMIFS(Entries!$E$2:$E$5000,Entries!$C$2:$C$5000,"Actual",Entries!$A$2:$A$5000,"&gt;="&amp;$A268,Entries!$A$2:$A$5000,"&lt;"&amp;EDATE($A268,1),Entries!$B$2:$B$5000,AH$1))</f>
        <v/>
      </c>
      <c r="AI268" s="23">
        <f>IF(OR(AI$1="",$BM268=0),"",SUMIFS(Entries!$E$2:$E$5000,Entries!$C$2:$C$5000,"Actual",Entries!$A$2:$A$5000,"&gt;="&amp;$A268,Entries!$A$2:$A$5000,"&lt;"&amp;EDATE($A268,1),Entries!$B$2:$B$5000,AI$1))</f>
        <v/>
      </c>
      <c r="AJ268" s="23">
        <f>IF(OR(AJ$1="",$BM268=0),"",SUMIFS(Entries!$E$2:$E$5000,Entries!$C$2:$C$5000,"Actual",Entries!$A$2:$A$5000,"&gt;="&amp;$A268,Entries!$A$2:$A$5000,"&lt;"&amp;EDATE($A268,1),Entries!$B$2:$B$5000,AJ$1))</f>
        <v/>
      </c>
      <c r="AK268" s="23">
        <f>IF(OR(AK$1="",$BM268=0),"",SUMIFS(Entries!$E$2:$E$5000,Entries!$C$2:$C$5000,"Actual",Entries!$A$2:$A$5000,"&gt;="&amp;$A268,Entries!$A$2:$A$5000,"&lt;"&amp;EDATE($A268,1),Entries!$B$2:$B$5000,AK$1))</f>
        <v/>
      </c>
      <c r="AL268" s="23">
        <f>IF(OR(AL$1="",$BM268=0),"",SUMIFS(Entries!$E$2:$E$5000,Entries!$C$2:$C$5000,"Actual",Entries!$A$2:$A$5000,"&gt;="&amp;$A268,Entries!$A$2:$A$5000,"&lt;"&amp;EDATE($A268,1),Entries!$B$2:$B$5000,AL$1))</f>
        <v/>
      </c>
      <c r="AM268" s="23">
        <f>IF(OR(AM$1="",$BM268=0),"",SUMIFS(Entries!$E$2:$E$5000,Entries!$C$2:$C$5000,"Actual",Entries!$A$2:$A$5000,"&gt;="&amp;$A268,Entries!$A$2:$A$5000,"&lt;"&amp;EDATE($A268,1),Entries!$B$2:$B$5000,AM$1))</f>
        <v/>
      </c>
      <c r="AN268" s="23">
        <f>IF(OR(AN$1="",$BM268=0),"",SUMIFS(Entries!$E$2:$E$5000,Entries!$C$2:$C$5000,"Actual",Entries!$A$2:$A$5000,"&gt;="&amp;$A268,Entries!$A$2:$A$5000,"&lt;"&amp;EDATE($A268,1),Entries!$B$2:$B$5000,AN$1))</f>
        <v/>
      </c>
      <c r="AO268" s="23">
        <f>IF(OR(AO$1="",$BM268=0),"",SUMIFS(Entries!$E$2:$E$5000,Entries!$C$2:$C$5000,"Actual",Entries!$A$2:$A$5000,"&gt;="&amp;$A268,Entries!$A$2:$A$5000,"&lt;"&amp;EDATE($A268,1),Entries!$B$2:$B$5000,AO$1))</f>
        <v/>
      </c>
      <c r="AP268" s="23">
        <f>IF(OR(AP$1="",$BM268=0),"",SUMIFS(Entries!$E$2:$E$5000,Entries!$C$2:$C$5000,"Actual",Entries!$A$2:$A$5000,"&gt;="&amp;$A268,Entries!$A$2:$A$5000,"&lt;"&amp;EDATE($A268,1),Entries!$B$2:$B$5000,AP$1))</f>
        <v/>
      </c>
      <c r="AR268" s="23">
        <f>IF(OR(AR$1="",$BM268=0),"",IFERROR(LOOKUP(2,1/((Budgets!$A$2:$A$200=AR$1)*(Budgets!$B$2:$B$200&lt;EDATE($A268,1))),Budgets!$C$2:$C$200),0))</f>
        <v/>
      </c>
      <c r="AS268" s="23">
        <f>IF(OR(AS$1="",$BM268=0),"",IFERROR(LOOKUP(2,1/((Budgets!$A$2:$A$200=AS$1)*(Budgets!$B$2:$B$200&lt;EDATE($A268,1))),Budgets!$C$2:$C$200),0))</f>
        <v/>
      </c>
      <c r="AT268" s="23">
        <f>IF(OR(AT$1="",$BM268=0),"",IFERROR(LOOKUP(2,1/((Budgets!$A$2:$A$200=AT$1)*(Budgets!$B$2:$B$200&lt;EDATE($A268,1))),Budgets!$C$2:$C$200),0))</f>
        <v/>
      </c>
      <c r="AU268" s="23">
        <f>IF(OR(AU$1="",$BM268=0),"",IFERROR(LOOKUP(2,1/((Budgets!$A$2:$A$200=AU$1)*(Budgets!$B$2:$B$200&lt;EDATE($A268,1))),Budgets!$C$2:$C$200),0))</f>
        <v/>
      </c>
      <c r="AV268" s="23">
        <f>IF(OR(AV$1="",$BM268=0),"",IFERROR(LOOKUP(2,1/((Budgets!$A$2:$A$200=AV$1)*(Budgets!$B$2:$B$200&lt;EDATE($A268,1))),Budgets!$C$2:$C$200),0))</f>
        <v/>
      </c>
      <c r="AW268" s="23">
        <f>IF(OR(AW$1="",$BM268=0),"",IFERROR(LOOKUP(2,1/((Budgets!$A$2:$A$200=AW$1)*(Budgets!$B$2:$B$200&lt;EDATE($A268,1))),Budgets!$C$2:$C$200),0))</f>
        <v/>
      </c>
      <c r="AX268" s="23">
        <f>IF(OR(AX$1="",$BM268=0),"",IFERROR(LOOKUP(2,1/((Budgets!$A$2:$A$200=AX$1)*(Budgets!$B$2:$B$200&lt;EDATE($A268,1))),Budgets!$C$2:$C$200),0))</f>
        <v/>
      </c>
      <c r="AY268" s="23">
        <f>IF(OR(AY$1="",$BM268=0),"",IFERROR(LOOKUP(2,1/((Budgets!$A$2:$A$200=AY$1)*(Budgets!$B$2:$B$200&lt;EDATE($A268,1))),Budgets!$C$2:$C$200),0))</f>
        <v/>
      </c>
      <c r="AZ268" s="23">
        <f>IF(OR(AZ$1="",$BM268=0),"",IFERROR(LOOKUP(2,1/((Budgets!$A$2:$A$200=AZ$1)*(Budgets!$B$2:$B$200&lt;EDATE($A268,1))),Budgets!$C$2:$C$200),0))</f>
        <v/>
      </c>
      <c r="BA268" s="23">
        <f>IF(OR(BA$1="",$BM268=0),"",IFERROR(LOOKUP(2,1/((Budgets!$A$2:$A$200=BA$1)*(Budgets!$B$2:$B$200&lt;EDATE($A268,1))),Budgets!$C$2:$C$200),0))</f>
        <v/>
      </c>
      <c r="BB268" s="23">
        <f>IF(OR(BB$1="",$BM268=0),"",IFERROR(LOOKUP(2,1/((Budgets!$A$2:$A$200=BB$1)*(Budgets!$B$2:$B$200&lt;EDATE($A268,1))),Budgets!$C$2:$C$200),0))</f>
        <v/>
      </c>
      <c r="BC268" s="23">
        <f>IF(OR(BC$1="",$BM268=0),"",IFERROR(LOOKUP(2,1/((Budgets!$A$2:$A$200=BC$1)*(Budgets!$B$2:$B$200&lt;EDATE($A268,1))),Budgets!$C$2:$C$200),0))</f>
        <v/>
      </c>
      <c r="BD268" s="23">
        <f>IF(OR(BD$1="",$BM268=0),"",IFERROR(LOOKUP(2,1/((Budgets!$A$2:$A$200=BD$1)*(Budgets!$B$2:$B$200&lt;EDATE($A268,1))),Budgets!$C$2:$C$200),0))</f>
        <v/>
      </c>
      <c r="BE268" s="23">
        <f>IF(OR(BE$1="",$BM268=0),"",IFERROR(LOOKUP(2,1/((Budgets!$A$2:$A$200=BE$1)*(Budgets!$B$2:$B$200&lt;EDATE($A268,1))),Budgets!$C$2:$C$200),0))</f>
        <v/>
      </c>
      <c r="BF268" s="23">
        <f>IF(OR(BF$1="",$BM268=0),"",IFERROR(LOOKUP(2,1/((Budgets!$A$2:$A$200=BF$1)*(Budgets!$B$2:$B$200&lt;EDATE($A268,1))),Budgets!$C$2:$C$200),0))</f>
        <v/>
      </c>
      <c r="BG268" s="23">
        <f>IF(OR(BG$1="",$BM268=0),"",IFERROR(LOOKUP(2,1/((Budgets!$A$2:$A$200=BG$1)*(Budgets!$B$2:$B$200&lt;EDATE($A268,1))),Budgets!$C$2:$C$200),0))</f>
        <v/>
      </c>
      <c r="BH268" s="23">
        <f>IF(OR(BH$1="",$BM268=0),"",IFERROR(LOOKUP(2,1/((Budgets!$A$2:$A$200=BH$1)*(Budgets!$B$2:$B$200&lt;EDATE($A268,1))),Budgets!$C$2:$C$200),0))</f>
        <v/>
      </c>
      <c r="BI268" s="23">
        <f>IF(OR(BI$1="",$BM268=0),"",IFERROR(LOOKUP(2,1/((Budgets!$A$2:$A$200=BI$1)*(Budgets!$B$2:$B$200&lt;EDATE($A268,1))),Budgets!$C$2:$C$200),0))</f>
        <v/>
      </c>
      <c r="BJ268" s="23">
        <f>IF(OR(BJ$1="",$BM268=0),"",IFERROR(LOOKUP(2,1/((Budgets!$A$2:$A$200=BJ$1)*(Budgets!$B$2:$B$200&lt;EDATE($A268,1))),Budgets!$C$2:$C$200),0))</f>
        <v/>
      </c>
      <c r="BK268" s="23">
        <f>IF(OR(BK$1="",$BM268=0),"",IFERROR(LOOKUP(2,1/((Budgets!$A$2:$A$200=BK$1)*(Budgets!$B$2:$B$200&lt;EDATE($A268,1))),Budgets!$C$2:$C$200),0))</f>
        <v/>
      </c>
      <c r="BM268" s="21">
        <f>COUNTIFS(Entries!$A$2:$A$5000,"&gt;="&amp;$A268,Entries!$A$2:$A$5000,"&lt;"&amp;EDATE($A268,1))</f>
        <v/>
      </c>
    </row>
    <row r="269">
      <c r="A269" s="22" t="n">
        <v>47574</v>
      </c>
      <c r="B269" s="23">
        <f>IF($BM269=0,NA(),SUMIFS(Entries!$E$2:$E$5000,Entries!$C$2:$C$5000,"Income",Entries!$A$2:$A$5000,"&gt;="&amp;$A269,Entries!$A$2:$A$5000,"&lt;"&amp;EDATE($A269,1)))</f>
        <v/>
      </c>
      <c r="C269" s="23">
        <f>IF($BM269=0,"",SUMIFS(Entries!$E$2:$E$5000,Entries!$C$2:$C$5000,"Actual",Entries!$A$2:$A$5000,"&gt;="&amp;$A269,Entries!$A$2:$A$5000,"&lt;"&amp;EDATE($A269,1)))</f>
        <v/>
      </c>
      <c r="D269" s="23">
        <f>IF($BM269=0,"",SUMIFS(Entries!$E$2:$E$5000,Entries!$C$2:$C$5000,"One-off",Entries!$A$2:$A$5000,"&gt;="&amp;$A269,Entries!$A$2:$A$5000,"&lt;"&amp;EDATE($A269,1)))</f>
        <v/>
      </c>
      <c r="E269" s="23">
        <f>IF($BM269=0,NA(),C269+D269)</f>
        <v/>
      </c>
      <c r="F269" s="23">
        <f>IF($BM269=0,"",SUM(AR269:BK269))</f>
        <v/>
      </c>
      <c r="G269" s="23">
        <f>IF($BM269=0,"",B269-E269)</f>
        <v/>
      </c>
      <c r="H269" s="23">
        <f>IF($BM269=0,"",SUM($G$2:G269))</f>
        <v/>
      </c>
      <c r="I269" s="23">
        <f>IF($BM269=0,"",SUMIFS(Entries!$G$2:$G$5000,Entries!$A$2:$A$5000,"&gt;="&amp;$A269,Entries!$A$2:$A$5000,"&lt;"&amp;EDATE($A269,1)))</f>
        <v/>
      </c>
      <c r="J269" s="23">
        <f>IF($BM269=0,NA(),H269)</f>
        <v/>
      </c>
      <c r="K269" s="23">
        <f>IF($BM269=0,"",SUMIFS(Entries!$E$2:$E$5000,Entries!$C$2:$C$5000,"Income",Entries!$A$2:$A$5000,"&gt;="&amp;EDATE($A269,-11),Entries!$A$2:$A$5000,"&lt;"&amp;EDATE($A269,1))/COUNTIFS($A$2:$A$400,"&gt;="&amp;EDATE($A269,-11),$A$2:$A$400,"&lt;"&amp;EDATE($A269,1),$BM$2:$BM$400,"&gt;0"))</f>
      </c>
      <c r="L269" s="23">
        <f>IF($BM269=0,"",(SUMIFS(Entries!$E$2:$E$5000,Entries!$C$2:$C$5000,"Actual",Entries!$A$2:$A$5000,"&gt;="&amp;EDATE($A269,-11),Entries!$A$2:$A$5000,"&lt;"&amp;EDATE($A269,1))+SUMIFS(Entries!$E$2:$E$5000,Entries!$C$2:$C$5000,"One-off",Entries!$A$2:$A$5000,"&gt;="&amp;EDATE($A269,-11),Entries!$A$2:$A$5000,"&lt;"&amp;EDATE($A269,1)))/COUNTIFS($A$2:$A$400,"&gt;="&amp;EDATE($A269,-11),$A$2:$A$400,"&lt;"&amp;EDATE($A269,1),$BM$2:$BM$400,"&gt;0"))</f>
      </c>
      <c r="M269" s="24">
        <f>IF($BM269=0,NA(),IFERROR((K269-L269)/K269,0))</f>
        <v/>
      </c>
      <c r="N269" s="23">
        <f>IF($BM269=0,NA(),SUMIFS(Entries!$E$2:$E$5000,Entries!$D$2:$D$5000,"Core",Entries!$A$2:$A$5000,"&gt;="&amp;$A269,Entries!$A$2:$A$5000,"&lt;"&amp;EDATE($A269,1)))</f>
        <v/>
      </c>
      <c r="O269" s="23">
        <f>IF($BM269=0,NA(),SUMIFS(Entries!$E$2:$E$5000,Entries!$D$2:$D$5000,"Over &amp; above",Entries!$A$2:$A$5000,"&gt;="&amp;$A269,Entries!$A$2:$A$5000,"&lt;"&amp;EDATE($A269,1)))</f>
        <v/>
      </c>
      <c r="P269" s="23">
        <f>IF($BM269=0,NA(),SUMIFS(Entries!$E$2:$E$5000,Entries!$D$2:$D$5000,"One-off",Entries!$A$2:$A$5000,"&gt;="&amp;$A269,Entries!$A$2:$A$5000,"&lt;"&amp;EDATE($A269,1)))</f>
        <v/>
      </c>
      <c r="Q269" s="23">
        <f>IF($BM269=0,NA(),SUMIFS(Entries!$E$2:$E$5000,Entries!$D$2:$D$5000,"Reimbursable",Entries!$A$2:$A$5000,"&gt;="&amp;$A269,Entries!$A$2:$A$5000,"&lt;"&amp;EDATE($A269,1)))</f>
        <v/>
      </c>
      <c r="R269" s="23">
        <f>IF($BM269=0,NA(),SUMIFS(Entries!$E$2:$E$5000,Entries!$D$2:$D$5000,"Investment",Entries!$A$2:$A$5000,"&gt;="&amp;$A269,Entries!$A$2:$A$5000,"&lt;"&amp;EDATE($A269,1)))</f>
        <v/>
      </c>
      <c r="S269" s="23">
        <f>IF($BM269=0,NA(),N269+O269)</f>
        <v/>
      </c>
      <c r="T269" s="23">
        <f>IF($BM269=0,"",E269-Q269)</f>
        <v/>
      </c>
      <c r="W269" s="23">
        <f>IF(OR(W$1="",$BM269=0),"",SUMIFS(Entries!$E$2:$E$5000,Entries!$C$2:$C$5000,"Actual",Entries!$A$2:$A$5000,"&gt;="&amp;$A269,Entries!$A$2:$A$5000,"&lt;"&amp;EDATE($A269,1),Entries!$B$2:$B$5000,W$1))</f>
        <v/>
      </c>
      <c r="X269" s="23">
        <f>IF(OR(X$1="",$BM269=0),"",SUMIFS(Entries!$E$2:$E$5000,Entries!$C$2:$C$5000,"Actual",Entries!$A$2:$A$5000,"&gt;="&amp;$A269,Entries!$A$2:$A$5000,"&lt;"&amp;EDATE($A269,1),Entries!$B$2:$B$5000,X$1))</f>
        <v/>
      </c>
      <c r="Y269" s="23">
        <f>IF(OR(Y$1="",$BM269=0),"",SUMIFS(Entries!$E$2:$E$5000,Entries!$C$2:$C$5000,"Actual",Entries!$A$2:$A$5000,"&gt;="&amp;$A269,Entries!$A$2:$A$5000,"&lt;"&amp;EDATE($A269,1),Entries!$B$2:$B$5000,Y$1))</f>
        <v/>
      </c>
      <c r="Z269" s="23">
        <f>IF(OR(Z$1="",$BM269=0),"",SUMIFS(Entries!$E$2:$E$5000,Entries!$C$2:$C$5000,"Actual",Entries!$A$2:$A$5000,"&gt;="&amp;$A269,Entries!$A$2:$A$5000,"&lt;"&amp;EDATE($A269,1),Entries!$B$2:$B$5000,Z$1))</f>
        <v/>
      </c>
      <c r="AA269" s="23">
        <f>IF(OR(AA$1="",$BM269=0),"",SUMIFS(Entries!$E$2:$E$5000,Entries!$C$2:$C$5000,"Actual",Entries!$A$2:$A$5000,"&gt;="&amp;$A269,Entries!$A$2:$A$5000,"&lt;"&amp;EDATE($A269,1),Entries!$B$2:$B$5000,AA$1))</f>
        <v/>
      </c>
      <c r="AB269" s="23">
        <f>IF(OR(AB$1="",$BM269=0),"",SUMIFS(Entries!$E$2:$E$5000,Entries!$C$2:$C$5000,"Actual",Entries!$A$2:$A$5000,"&gt;="&amp;$A269,Entries!$A$2:$A$5000,"&lt;"&amp;EDATE($A269,1),Entries!$B$2:$B$5000,AB$1))</f>
        <v/>
      </c>
      <c r="AC269" s="23">
        <f>IF(OR(AC$1="",$BM269=0),"",SUMIFS(Entries!$E$2:$E$5000,Entries!$C$2:$C$5000,"Actual",Entries!$A$2:$A$5000,"&gt;="&amp;$A269,Entries!$A$2:$A$5000,"&lt;"&amp;EDATE($A269,1),Entries!$B$2:$B$5000,AC$1))</f>
        <v/>
      </c>
      <c r="AD269" s="23">
        <f>IF(OR(AD$1="",$BM269=0),"",SUMIFS(Entries!$E$2:$E$5000,Entries!$C$2:$C$5000,"Actual",Entries!$A$2:$A$5000,"&gt;="&amp;$A269,Entries!$A$2:$A$5000,"&lt;"&amp;EDATE($A269,1),Entries!$B$2:$B$5000,AD$1))</f>
        <v/>
      </c>
      <c r="AE269" s="23">
        <f>IF(OR(AE$1="",$BM269=0),"",SUMIFS(Entries!$E$2:$E$5000,Entries!$C$2:$C$5000,"Actual",Entries!$A$2:$A$5000,"&gt;="&amp;$A269,Entries!$A$2:$A$5000,"&lt;"&amp;EDATE($A269,1),Entries!$B$2:$B$5000,AE$1))</f>
        <v/>
      </c>
      <c r="AF269" s="23">
        <f>IF(OR(AF$1="",$BM269=0),"",SUMIFS(Entries!$E$2:$E$5000,Entries!$C$2:$C$5000,"Actual",Entries!$A$2:$A$5000,"&gt;="&amp;$A269,Entries!$A$2:$A$5000,"&lt;"&amp;EDATE($A269,1),Entries!$B$2:$B$5000,AF$1))</f>
        <v/>
      </c>
      <c r="AG269" s="23">
        <f>IF(OR(AG$1="",$BM269=0),"",SUMIFS(Entries!$E$2:$E$5000,Entries!$C$2:$C$5000,"Actual",Entries!$A$2:$A$5000,"&gt;="&amp;$A269,Entries!$A$2:$A$5000,"&lt;"&amp;EDATE($A269,1),Entries!$B$2:$B$5000,AG$1))</f>
        <v/>
      </c>
      <c r="AH269" s="23">
        <f>IF(OR(AH$1="",$BM269=0),"",SUMIFS(Entries!$E$2:$E$5000,Entries!$C$2:$C$5000,"Actual",Entries!$A$2:$A$5000,"&gt;="&amp;$A269,Entries!$A$2:$A$5000,"&lt;"&amp;EDATE($A269,1),Entries!$B$2:$B$5000,AH$1))</f>
        <v/>
      </c>
      <c r="AI269" s="23">
        <f>IF(OR(AI$1="",$BM269=0),"",SUMIFS(Entries!$E$2:$E$5000,Entries!$C$2:$C$5000,"Actual",Entries!$A$2:$A$5000,"&gt;="&amp;$A269,Entries!$A$2:$A$5000,"&lt;"&amp;EDATE($A269,1),Entries!$B$2:$B$5000,AI$1))</f>
        <v/>
      </c>
      <c r="AJ269" s="23">
        <f>IF(OR(AJ$1="",$BM269=0),"",SUMIFS(Entries!$E$2:$E$5000,Entries!$C$2:$C$5000,"Actual",Entries!$A$2:$A$5000,"&gt;="&amp;$A269,Entries!$A$2:$A$5000,"&lt;"&amp;EDATE($A269,1),Entries!$B$2:$B$5000,AJ$1))</f>
        <v/>
      </c>
      <c r="AK269" s="23">
        <f>IF(OR(AK$1="",$BM269=0),"",SUMIFS(Entries!$E$2:$E$5000,Entries!$C$2:$C$5000,"Actual",Entries!$A$2:$A$5000,"&gt;="&amp;$A269,Entries!$A$2:$A$5000,"&lt;"&amp;EDATE($A269,1),Entries!$B$2:$B$5000,AK$1))</f>
        <v/>
      </c>
      <c r="AL269" s="23">
        <f>IF(OR(AL$1="",$BM269=0),"",SUMIFS(Entries!$E$2:$E$5000,Entries!$C$2:$C$5000,"Actual",Entries!$A$2:$A$5000,"&gt;="&amp;$A269,Entries!$A$2:$A$5000,"&lt;"&amp;EDATE($A269,1),Entries!$B$2:$B$5000,AL$1))</f>
        <v/>
      </c>
      <c r="AM269" s="23">
        <f>IF(OR(AM$1="",$BM269=0),"",SUMIFS(Entries!$E$2:$E$5000,Entries!$C$2:$C$5000,"Actual",Entries!$A$2:$A$5000,"&gt;="&amp;$A269,Entries!$A$2:$A$5000,"&lt;"&amp;EDATE($A269,1),Entries!$B$2:$B$5000,AM$1))</f>
        <v/>
      </c>
      <c r="AN269" s="23">
        <f>IF(OR(AN$1="",$BM269=0),"",SUMIFS(Entries!$E$2:$E$5000,Entries!$C$2:$C$5000,"Actual",Entries!$A$2:$A$5000,"&gt;="&amp;$A269,Entries!$A$2:$A$5000,"&lt;"&amp;EDATE($A269,1),Entries!$B$2:$B$5000,AN$1))</f>
        <v/>
      </c>
      <c r="AO269" s="23">
        <f>IF(OR(AO$1="",$BM269=0),"",SUMIFS(Entries!$E$2:$E$5000,Entries!$C$2:$C$5000,"Actual",Entries!$A$2:$A$5000,"&gt;="&amp;$A269,Entries!$A$2:$A$5000,"&lt;"&amp;EDATE($A269,1),Entries!$B$2:$B$5000,AO$1))</f>
        <v/>
      </c>
      <c r="AP269" s="23">
        <f>IF(OR(AP$1="",$BM269=0),"",SUMIFS(Entries!$E$2:$E$5000,Entries!$C$2:$C$5000,"Actual",Entries!$A$2:$A$5000,"&gt;="&amp;$A269,Entries!$A$2:$A$5000,"&lt;"&amp;EDATE($A269,1),Entries!$B$2:$B$5000,AP$1))</f>
        <v/>
      </c>
      <c r="AR269" s="23">
        <f>IF(OR(AR$1="",$BM269=0),"",IFERROR(LOOKUP(2,1/((Budgets!$A$2:$A$200=AR$1)*(Budgets!$B$2:$B$200&lt;EDATE($A269,1))),Budgets!$C$2:$C$200),0))</f>
        <v/>
      </c>
      <c r="AS269" s="23">
        <f>IF(OR(AS$1="",$BM269=0),"",IFERROR(LOOKUP(2,1/((Budgets!$A$2:$A$200=AS$1)*(Budgets!$B$2:$B$200&lt;EDATE($A269,1))),Budgets!$C$2:$C$200),0))</f>
        <v/>
      </c>
      <c r="AT269" s="23">
        <f>IF(OR(AT$1="",$BM269=0),"",IFERROR(LOOKUP(2,1/((Budgets!$A$2:$A$200=AT$1)*(Budgets!$B$2:$B$200&lt;EDATE($A269,1))),Budgets!$C$2:$C$200),0))</f>
        <v/>
      </c>
      <c r="AU269" s="23">
        <f>IF(OR(AU$1="",$BM269=0),"",IFERROR(LOOKUP(2,1/((Budgets!$A$2:$A$200=AU$1)*(Budgets!$B$2:$B$200&lt;EDATE($A269,1))),Budgets!$C$2:$C$200),0))</f>
        <v/>
      </c>
      <c r="AV269" s="23">
        <f>IF(OR(AV$1="",$BM269=0),"",IFERROR(LOOKUP(2,1/((Budgets!$A$2:$A$200=AV$1)*(Budgets!$B$2:$B$200&lt;EDATE($A269,1))),Budgets!$C$2:$C$200),0))</f>
        <v/>
      </c>
      <c r="AW269" s="23">
        <f>IF(OR(AW$1="",$BM269=0),"",IFERROR(LOOKUP(2,1/((Budgets!$A$2:$A$200=AW$1)*(Budgets!$B$2:$B$200&lt;EDATE($A269,1))),Budgets!$C$2:$C$200),0))</f>
        <v/>
      </c>
      <c r="AX269" s="23">
        <f>IF(OR(AX$1="",$BM269=0),"",IFERROR(LOOKUP(2,1/((Budgets!$A$2:$A$200=AX$1)*(Budgets!$B$2:$B$200&lt;EDATE($A269,1))),Budgets!$C$2:$C$200),0))</f>
        <v/>
      </c>
      <c r="AY269" s="23">
        <f>IF(OR(AY$1="",$BM269=0),"",IFERROR(LOOKUP(2,1/((Budgets!$A$2:$A$200=AY$1)*(Budgets!$B$2:$B$200&lt;EDATE($A269,1))),Budgets!$C$2:$C$200),0))</f>
        <v/>
      </c>
      <c r="AZ269" s="23">
        <f>IF(OR(AZ$1="",$BM269=0),"",IFERROR(LOOKUP(2,1/((Budgets!$A$2:$A$200=AZ$1)*(Budgets!$B$2:$B$200&lt;EDATE($A269,1))),Budgets!$C$2:$C$200),0))</f>
        <v/>
      </c>
      <c r="BA269" s="23">
        <f>IF(OR(BA$1="",$BM269=0),"",IFERROR(LOOKUP(2,1/((Budgets!$A$2:$A$200=BA$1)*(Budgets!$B$2:$B$200&lt;EDATE($A269,1))),Budgets!$C$2:$C$200),0))</f>
        <v/>
      </c>
      <c r="BB269" s="23">
        <f>IF(OR(BB$1="",$BM269=0),"",IFERROR(LOOKUP(2,1/((Budgets!$A$2:$A$200=BB$1)*(Budgets!$B$2:$B$200&lt;EDATE($A269,1))),Budgets!$C$2:$C$200),0))</f>
        <v/>
      </c>
      <c r="BC269" s="23">
        <f>IF(OR(BC$1="",$BM269=0),"",IFERROR(LOOKUP(2,1/((Budgets!$A$2:$A$200=BC$1)*(Budgets!$B$2:$B$200&lt;EDATE($A269,1))),Budgets!$C$2:$C$200),0))</f>
        <v/>
      </c>
      <c r="BD269" s="23">
        <f>IF(OR(BD$1="",$BM269=0),"",IFERROR(LOOKUP(2,1/((Budgets!$A$2:$A$200=BD$1)*(Budgets!$B$2:$B$200&lt;EDATE($A269,1))),Budgets!$C$2:$C$200),0))</f>
        <v/>
      </c>
      <c r="BE269" s="23">
        <f>IF(OR(BE$1="",$BM269=0),"",IFERROR(LOOKUP(2,1/((Budgets!$A$2:$A$200=BE$1)*(Budgets!$B$2:$B$200&lt;EDATE($A269,1))),Budgets!$C$2:$C$200),0))</f>
        <v/>
      </c>
      <c r="BF269" s="23">
        <f>IF(OR(BF$1="",$BM269=0),"",IFERROR(LOOKUP(2,1/((Budgets!$A$2:$A$200=BF$1)*(Budgets!$B$2:$B$200&lt;EDATE($A269,1))),Budgets!$C$2:$C$200),0))</f>
        <v/>
      </c>
      <c r="BG269" s="23">
        <f>IF(OR(BG$1="",$BM269=0),"",IFERROR(LOOKUP(2,1/((Budgets!$A$2:$A$200=BG$1)*(Budgets!$B$2:$B$200&lt;EDATE($A269,1))),Budgets!$C$2:$C$200),0))</f>
        <v/>
      </c>
      <c r="BH269" s="23">
        <f>IF(OR(BH$1="",$BM269=0),"",IFERROR(LOOKUP(2,1/((Budgets!$A$2:$A$200=BH$1)*(Budgets!$B$2:$B$200&lt;EDATE($A269,1))),Budgets!$C$2:$C$200),0))</f>
        <v/>
      </c>
      <c r="BI269" s="23">
        <f>IF(OR(BI$1="",$BM269=0),"",IFERROR(LOOKUP(2,1/((Budgets!$A$2:$A$200=BI$1)*(Budgets!$B$2:$B$200&lt;EDATE($A269,1))),Budgets!$C$2:$C$200),0))</f>
        <v/>
      </c>
      <c r="BJ269" s="23">
        <f>IF(OR(BJ$1="",$BM269=0),"",IFERROR(LOOKUP(2,1/((Budgets!$A$2:$A$200=BJ$1)*(Budgets!$B$2:$B$200&lt;EDATE($A269,1))),Budgets!$C$2:$C$200),0))</f>
        <v/>
      </c>
      <c r="BK269" s="23">
        <f>IF(OR(BK$1="",$BM269=0),"",IFERROR(LOOKUP(2,1/((Budgets!$A$2:$A$200=BK$1)*(Budgets!$B$2:$B$200&lt;EDATE($A269,1))),Budgets!$C$2:$C$200),0))</f>
        <v/>
      </c>
      <c r="BM269" s="21">
        <f>COUNTIFS(Entries!$A$2:$A$5000,"&gt;="&amp;$A269,Entries!$A$2:$A$5000,"&lt;"&amp;EDATE($A269,1))</f>
        <v/>
      </c>
    </row>
    <row r="270">
      <c r="A270" s="22" t="n">
        <v>47604</v>
      </c>
      <c r="B270" s="23">
        <f>IF($BM270=0,NA(),SUMIFS(Entries!$E$2:$E$5000,Entries!$C$2:$C$5000,"Income",Entries!$A$2:$A$5000,"&gt;="&amp;$A270,Entries!$A$2:$A$5000,"&lt;"&amp;EDATE($A270,1)))</f>
        <v/>
      </c>
      <c r="C270" s="23">
        <f>IF($BM270=0,"",SUMIFS(Entries!$E$2:$E$5000,Entries!$C$2:$C$5000,"Actual",Entries!$A$2:$A$5000,"&gt;="&amp;$A270,Entries!$A$2:$A$5000,"&lt;"&amp;EDATE($A270,1)))</f>
        <v/>
      </c>
      <c r="D270" s="23">
        <f>IF($BM270=0,"",SUMIFS(Entries!$E$2:$E$5000,Entries!$C$2:$C$5000,"One-off",Entries!$A$2:$A$5000,"&gt;="&amp;$A270,Entries!$A$2:$A$5000,"&lt;"&amp;EDATE($A270,1)))</f>
        <v/>
      </c>
      <c r="E270" s="23">
        <f>IF($BM270=0,NA(),C270+D270)</f>
        <v/>
      </c>
      <c r="F270" s="23">
        <f>IF($BM270=0,"",SUM(AR270:BK270))</f>
        <v/>
      </c>
      <c r="G270" s="23">
        <f>IF($BM270=0,"",B270-E270)</f>
        <v/>
      </c>
      <c r="H270" s="23">
        <f>IF($BM270=0,"",SUM($G$2:G270))</f>
        <v/>
      </c>
      <c r="I270" s="23">
        <f>IF($BM270=0,"",SUMIFS(Entries!$G$2:$G$5000,Entries!$A$2:$A$5000,"&gt;="&amp;$A270,Entries!$A$2:$A$5000,"&lt;"&amp;EDATE($A270,1)))</f>
        <v/>
      </c>
      <c r="J270" s="23">
        <f>IF($BM270=0,NA(),H270)</f>
        <v/>
      </c>
      <c r="K270" s="23">
        <f>IF($BM270=0,"",SUMIFS(Entries!$E$2:$E$5000,Entries!$C$2:$C$5000,"Income",Entries!$A$2:$A$5000,"&gt;="&amp;EDATE($A270,-11),Entries!$A$2:$A$5000,"&lt;"&amp;EDATE($A270,1))/COUNTIFS($A$2:$A$400,"&gt;="&amp;EDATE($A270,-11),$A$2:$A$400,"&lt;"&amp;EDATE($A270,1),$BM$2:$BM$400,"&gt;0"))</f>
      </c>
      <c r="L270" s="23">
        <f>IF($BM270=0,"",(SUMIFS(Entries!$E$2:$E$5000,Entries!$C$2:$C$5000,"Actual",Entries!$A$2:$A$5000,"&gt;="&amp;EDATE($A270,-11),Entries!$A$2:$A$5000,"&lt;"&amp;EDATE($A270,1))+SUMIFS(Entries!$E$2:$E$5000,Entries!$C$2:$C$5000,"One-off",Entries!$A$2:$A$5000,"&gt;="&amp;EDATE($A270,-11),Entries!$A$2:$A$5000,"&lt;"&amp;EDATE($A270,1)))/COUNTIFS($A$2:$A$400,"&gt;="&amp;EDATE($A270,-11),$A$2:$A$400,"&lt;"&amp;EDATE($A270,1),$BM$2:$BM$400,"&gt;0"))</f>
      </c>
      <c r="M270" s="24">
        <f>IF($BM270=0,NA(),IFERROR((K270-L270)/K270,0))</f>
        <v/>
      </c>
      <c r="N270" s="23">
        <f>IF($BM270=0,NA(),SUMIFS(Entries!$E$2:$E$5000,Entries!$D$2:$D$5000,"Core",Entries!$A$2:$A$5000,"&gt;="&amp;$A270,Entries!$A$2:$A$5000,"&lt;"&amp;EDATE($A270,1)))</f>
        <v/>
      </c>
      <c r="O270" s="23">
        <f>IF($BM270=0,NA(),SUMIFS(Entries!$E$2:$E$5000,Entries!$D$2:$D$5000,"Over &amp; above",Entries!$A$2:$A$5000,"&gt;="&amp;$A270,Entries!$A$2:$A$5000,"&lt;"&amp;EDATE($A270,1)))</f>
        <v/>
      </c>
      <c r="P270" s="23">
        <f>IF($BM270=0,NA(),SUMIFS(Entries!$E$2:$E$5000,Entries!$D$2:$D$5000,"One-off",Entries!$A$2:$A$5000,"&gt;="&amp;$A270,Entries!$A$2:$A$5000,"&lt;"&amp;EDATE($A270,1)))</f>
        <v/>
      </c>
      <c r="Q270" s="23">
        <f>IF($BM270=0,NA(),SUMIFS(Entries!$E$2:$E$5000,Entries!$D$2:$D$5000,"Reimbursable",Entries!$A$2:$A$5000,"&gt;="&amp;$A270,Entries!$A$2:$A$5000,"&lt;"&amp;EDATE($A270,1)))</f>
        <v/>
      </c>
      <c r="R270" s="23">
        <f>IF($BM270=0,NA(),SUMIFS(Entries!$E$2:$E$5000,Entries!$D$2:$D$5000,"Investment",Entries!$A$2:$A$5000,"&gt;="&amp;$A270,Entries!$A$2:$A$5000,"&lt;"&amp;EDATE($A270,1)))</f>
        <v/>
      </c>
      <c r="S270" s="23">
        <f>IF($BM270=0,NA(),N270+O270)</f>
        <v/>
      </c>
      <c r="T270" s="23">
        <f>IF($BM270=0,"",E270-Q270)</f>
        <v/>
      </c>
      <c r="W270" s="23">
        <f>IF(OR(W$1="",$BM270=0),"",SUMIFS(Entries!$E$2:$E$5000,Entries!$C$2:$C$5000,"Actual",Entries!$A$2:$A$5000,"&gt;="&amp;$A270,Entries!$A$2:$A$5000,"&lt;"&amp;EDATE($A270,1),Entries!$B$2:$B$5000,W$1))</f>
        <v/>
      </c>
      <c r="X270" s="23">
        <f>IF(OR(X$1="",$BM270=0),"",SUMIFS(Entries!$E$2:$E$5000,Entries!$C$2:$C$5000,"Actual",Entries!$A$2:$A$5000,"&gt;="&amp;$A270,Entries!$A$2:$A$5000,"&lt;"&amp;EDATE($A270,1),Entries!$B$2:$B$5000,X$1))</f>
        <v/>
      </c>
      <c r="Y270" s="23">
        <f>IF(OR(Y$1="",$BM270=0),"",SUMIFS(Entries!$E$2:$E$5000,Entries!$C$2:$C$5000,"Actual",Entries!$A$2:$A$5000,"&gt;="&amp;$A270,Entries!$A$2:$A$5000,"&lt;"&amp;EDATE($A270,1),Entries!$B$2:$B$5000,Y$1))</f>
        <v/>
      </c>
      <c r="Z270" s="23">
        <f>IF(OR(Z$1="",$BM270=0),"",SUMIFS(Entries!$E$2:$E$5000,Entries!$C$2:$C$5000,"Actual",Entries!$A$2:$A$5000,"&gt;="&amp;$A270,Entries!$A$2:$A$5000,"&lt;"&amp;EDATE($A270,1),Entries!$B$2:$B$5000,Z$1))</f>
        <v/>
      </c>
      <c r="AA270" s="23">
        <f>IF(OR(AA$1="",$BM270=0),"",SUMIFS(Entries!$E$2:$E$5000,Entries!$C$2:$C$5000,"Actual",Entries!$A$2:$A$5000,"&gt;="&amp;$A270,Entries!$A$2:$A$5000,"&lt;"&amp;EDATE($A270,1),Entries!$B$2:$B$5000,AA$1))</f>
        <v/>
      </c>
      <c r="AB270" s="23">
        <f>IF(OR(AB$1="",$BM270=0),"",SUMIFS(Entries!$E$2:$E$5000,Entries!$C$2:$C$5000,"Actual",Entries!$A$2:$A$5000,"&gt;="&amp;$A270,Entries!$A$2:$A$5000,"&lt;"&amp;EDATE($A270,1),Entries!$B$2:$B$5000,AB$1))</f>
        <v/>
      </c>
      <c r="AC270" s="23">
        <f>IF(OR(AC$1="",$BM270=0),"",SUMIFS(Entries!$E$2:$E$5000,Entries!$C$2:$C$5000,"Actual",Entries!$A$2:$A$5000,"&gt;="&amp;$A270,Entries!$A$2:$A$5000,"&lt;"&amp;EDATE($A270,1),Entries!$B$2:$B$5000,AC$1))</f>
        <v/>
      </c>
      <c r="AD270" s="23">
        <f>IF(OR(AD$1="",$BM270=0),"",SUMIFS(Entries!$E$2:$E$5000,Entries!$C$2:$C$5000,"Actual",Entries!$A$2:$A$5000,"&gt;="&amp;$A270,Entries!$A$2:$A$5000,"&lt;"&amp;EDATE($A270,1),Entries!$B$2:$B$5000,AD$1))</f>
        <v/>
      </c>
      <c r="AE270" s="23">
        <f>IF(OR(AE$1="",$BM270=0),"",SUMIFS(Entries!$E$2:$E$5000,Entries!$C$2:$C$5000,"Actual",Entries!$A$2:$A$5000,"&gt;="&amp;$A270,Entries!$A$2:$A$5000,"&lt;"&amp;EDATE($A270,1),Entries!$B$2:$B$5000,AE$1))</f>
        <v/>
      </c>
      <c r="AF270" s="23">
        <f>IF(OR(AF$1="",$BM270=0),"",SUMIFS(Entries!$E$2:$E$5000,Entries!$C$2:$C$5000,"Actual",Entries!$A$2:$A$5000,"&gt;="&amp;$A270,Entries!$A$2:$A$5000,"&lt;"&amp;EDATE($A270,1),Entries!$B$2:$B$5000,AF$1))</f>
        <v/>
      </c>
      <c r="AG270" s="23">
        <f>IF(OR(AG$1="",$BM270=0),"",SUMIFS(Entries!$E$2:$E$5000,Entries!$C$2:$C$5000,"Actual",Entries!$A$2:$A$5000,"&gt;="&amp;$A270,Entries!$A$2:$A$5000,"&lt;"&amp;EDATE($A270,1),Entries!$B$2:$B$5000,AG$1))</f>
        <v/>
      </c>
      <c r="AH270" s="23">
        <f>IF(OR(AH$1="",$BM270=0),"",SUMIFS(Entries!$E$2:$E$5000,Entries!$C$2:$C$5000,"Actual",Entries!$A$2:$A$5000,"&gt;="&amp;$A270,Entries!$A$2:$A$5000,"&lt;"&amp;EDATE($A270,1),Entries!$B$2:$B$5000,AH$1))</f>
        <v/>
      </c>
      <c r="AI270" s="23">
        <f>IF(OR(AI$1="",$BM270=0),"",SUMIFS(Entries!$E$2:$E$5000,Entries!$C$2:$C$5000,"Actual",Entries!$A$2:$A$5000,"&gt;="&amp;$A270,Entries!$A$2:$A$5000,"&lt;"&amp;EDATE($A270,1),Entries!$B$2:$B$5000,AI$1))</f>
        <v/>
      </c>
      <c r="AJ270" s="23">
        <f>IF(OR(AJ$1="",$BM270=0),"",SUMIFS(Entries!$E$2:$E$5000,Entries!$C$2:$C$5000,"Actual",Entries!$A$2:$A$5000,"&gt;="&amp;$A270,Entries!$A$2:$A$5000,"&lt;"&amp;EDATE($A270,1),Entries!$B$2:$B$5000,AJ$1))</f>
        <v/>
      </c>
      <c r="AK270" s="23">
        <f>IF(OR(AK$1="",$BM270=0),"",SUMIFS(Entries!$E$2:$E$5000,Entries!$C$2:$C$5000,"Actual",Entries!$A$2:$A$5000,"&gt;="&amp;$A270,Entries!$A$2:$A$5000,"&lt;"&amp;EDATE($A270,1),Entries!$B$2:$B$5000,AK$1))</f>
        <v/>
      </c>
      <c r="AL270" s="23">
        <f>IF(OR(AL$1="",$BM270=0),"",SUMIFS(Entries!$E$2:$E$5000,Entries!$C$2:$C$5000,"Actual",Entries!$A$2:$A$5000,"&gt;="&amp;$A270,Entries!$A$2:$A$5000,"&lt;"&amp;EDATE($A270,1),Entries!$B$2:$B$5000,AL$1))</f>
        <v/>
      </c>
      <c r="AM270" s="23">
        <f>IF(OR(AM$1="",$BM270=0),"",SUMIFS(Entries!$E$2:$E$5000,Entries!$C$2:$C$5000,"Actual",Entries!$A$2:$A$5000,"&gt;="&amp;$A270,Entries!$A$2:$A$5000,"&lt;"&amp;EDATE($A270,1),Entries!$B$2:$B$5000,AM$1))</f>
        <v/>
      </c>
      <c r="AN270" s="23">
        <f>IF(OR(AN$1="",$BM270=0),"",SUMIFS(Entries!$E$2:$E$5000,Entries!$C$2:$C$5000,"Actual",Entries!$A$2:$A$5000,"&gt;="&amp;$A270,Entries!$A$2:$A$5000,"&lt;"&amp;EDATE($A270,1),Entries!$B$2:$B$5000,AN$1))</f>
        <v/>
      </c>
      <c r="AO270" s="23">
        <f>IF(OR(AO$1="",$BM270=0),"",SUMIFS(Entries!$E$2:$E$5000,Entries!$C$2:$C$5000,"Actual",Entries!$A$2:$A$5000,"&gt;="&amp;$A270,Entries!$A$2:$A$5000,"&lt;"&amp;EDATE($A270,1),Entries!$B$2:$B$5000,AO$1))</f>
        <v/>
      </c>
      <c r="AP270" s="23">
        <f>IF(OR(AP$1="",$BM270=0),"",SUMIFS(Entries!$E$2:$E$5000,Entries!$C$2:$C$5000,"Actual",Entries!$A$2:$A$5000,"&gt;="&amp;$A270,Entries!$A$2:$A$5000,"&lt;"&amp;EDATE($A270,1),Entries!$B$2:$B$5000,AP$1))</f>
        <v/>
      </c>
      <c r="AR270" s="23">
        <f>IF(OR(AR$1="",$BM270=0),"",IFERROR(LOOKUP(2,1/((Budgets!$A$2:$A$200=AR$1)*(Budgets!$B$2:$B$200&lt;EDATE($A270,1))),Budgets!$C$2:$C$200),0))</f>
        <v/>
      </c>
      <c r="AS270" s="23">
        <f>IF(OR(AS$1="",$BM270=0),"",IFERROR(LOOKUP(2,1/((Budgets!$A$2:$A$200=AS$1)*(Budgets!$B$2:$B$200&lt;EDATE($A270,1))),Budgets!$C$2:$C$200),0))</f>
        <v/>
      </c>
      <c r="AT270" s="23">
        <f>IF(OR(AT$1="",$BM270=0),"",IFERROR(LOOKUP(2,1/((Budgets!$A$2:$A$200=AT$1)*(Budgets!$B$2:$B$200&lt;EDATE($A270,1))),Budgets!$C$2:$C$200),0))</f>
        <v/>
      </c>
      <c r="AU270" s="23">
        <f>IF(OR(AU$1="",$BM270=0),"",IFERROR(LOOKUP(2,1/((Budgets!$A$2:$A$200=AU$1)*(Budgets!$B$2:$B$200&lt;EDATE($A270,1))),Budgets!$C$2:$C$200),0))</f>
        <v/>
      </c>
      <c r="AV270" s="23">
        <f>IF(OR(AV$1="",$BM270=0),"",IFERROR(LOOKUP(2,1/((Budgets!$A$2:$A$200=AV$1)*(Budgets!$B$2:$B$200&lt;EDATE($A270,1))),Budgets!$C$2:$C$200),0))</f>
        <v/>
      </c>
      <c r="AW270" s="23">
        <f>IF(OR(AW$1="",$BM270=0),"",IFERROR(LOOKUP(2,1/((Budgets!$A$2:$A$200=AW$1)*(Budgets!$B$2:$B$200&lt;EDATE($A270,1))),Budgets!$C$2:$C$200),0))</f>
        <v/>
      </c>
      <c r="AX270" s="23">
        <f>IF(OR(AX$1="",$BM270=0),"",IFERROR(LOOKUP(2,1/((Budgets!$A$2:$A$200=AX$1)*(Budgets!$B$2:$B$200&lt;EDATE($A270,1))),Budgets!$C$2:$C$200),0))</f>
        <v/>
      </c>
      <c r="AY270" s="23">
        <f>IF(OR(AY$1="",$BM270=0),"",IFERROR(LOOKUP(2,1/((Budgets!$A$2:$A$200=AY$1)*(Budgets!$B$2:$B$200&lt;EDATE($A270,1))),Budgets!$C$2:$C$200),0))</f>
        <v/>
      </c>
      <c r="AZ270" s="23">
        <f>IF(OR(AZ$1="",$BM270=0),"",IFERROR(LOOKUP(2,1/((Budgets!$A$2:$A$200=AZ$1)*(Budgets!$B$2:$B$200&lt;EDATE($A270,1))),Budgets!$C$2:$C$200),0))</f>
        <v/>
      </c>
      <c r="BA270" s="23">
        <f>IF(OR(BA$1="",$BM270=0),"",IFERROR(LOOKUP(2,1/((Budgets!$A$2:$A$200=BA$1)*(Budgets!$B$2:$B$200&lt;EDATE($A270,1))),Budgets!$C$2:$C$200),0))</f>
        <v/>
      </c>
      <c r="BB270" s="23">
        <f>IF(OR(BB$1="",$BM270=0),"",IFERROR(LOOKUP(2,1/((Budgets!$A$2:$A$200=BB$1)*(Budgets!$B$2:$B$200&lt;EDATE($A270,1))),Budgets!$C$2:$C$200),0))</f>
        <v/>
      </c>
      <c r="BC270" s="23">
        <f>IF(OR(BC$1="",$BM270=0),"",IFERROR(LOOKUP(2,1/((Budgets!$A$2:$A$200=BC$1)*(Budgets!$B$2:$B$200&lt;EDATE($A270,1))),Budgets!$C$2:$C$200),0))</f>
        <v/>
      </c>
      <c r="BD270" s="23">
        <f>IF(OR(BD$1="",$BM270=0),"",IFERROR(LOOKUP(2,1/((Budgets!$A$2:$A$200=BD$1)*(Budgets!$B$2:$B$200&lt;EDATE($A270,1))),Budgets!$C$2:$C$200),0))</f>
        <v/>
      </c>
      <c r="BE270" s="23">
        <f>IF(OR(BE$1="",$BM270=0),"",IFERROR(LOOKUP(2,1/((Budgets!$A$2:$A$200=BE$1)*(Budgets!$B$2:$B$200&lt;EDATE($A270,1))),Budgets!$C$2:$C$200),0))</f>
        <v/>
      </c>
      <c r="BF270" s="23">
        <f>IF(OR(BF$1="",$BM270=0),"",IFERROR(LOOKUP(2,1/((Budgets!$A$2:$A$200=BF$1)*(Budgets!$B$2:$B$200&lt;EDATE($A270,1))),Budgets!$C$2:$C$200),0))</f>
        <v/>
      </c>
      <c r="BG270" s="23">
        <f>IF(OR(BG$1="",$BM270=0),"",IFERROR(LOOKUP(2,1/((Budgets!$A$2:$A$200=BG$1)*(Budgets!$B$2:$B$200&lt;EDATE($A270,1))),Budgets!$C$2:$C$200),0))</f>
        <v/>
      </c>
      <c r="BH270" s="23">
        <f>IF(OR(BH$1="",$BM270=0),"",IFERROR(LOOKUP(2,1/((Budgets!$A$2:$A$200=BH$1)*(Budgets!$B$2:$B$200&lt;EDATE($A270,1))),Budgets!$C$2:$C$200),0))</f>
        <v/>
      </c>
      <c r="BI270" s="23">
        <f>IF(OR(BI$1="",$BM270=0),"",IFERROR(LOOKUP(2,1/((Budgets!$A$2:$A$200=BI$1)*(Budgets!$B$2:$B$200&lt;EDATE($A270,1))),Budgets!$C$2:$C$200),0))</f>
        <v/>
      </c>
      <c r="BJ270" s="23">
        <f>IF(OR(BJ$1="",$BM270=0),"",IFERROR(LOOKUP(2,1/((Budgets!$A$2:$A$200=BJ$1)*(Budgets!$B$2:$B$200&lt;EDATE($A270,1))),Budgets!$C$2:$C$200),0))</f>
        <v/>
      </c>
      <c r="BK270" s="23">
        <f>IF(OR(BK$1="",$BM270=0),"",IFERROR(LOOKUP(2,1/((Budgets!$A$2:$A$200=BK$1)*(Budgets!$B$2:$B$200&lt;EDATE($A270,1))),Budgets!$C$2:$C$200),0))</f>
        <v/>
      </c>
      <c r="BM270" s="21">
        <f>COUNTIFS(Entries!$A$2:$A$5000,"&gt;="&amp;$A270,Entries!$A$2:$A$5000,"&lt;"&amp;EDATE($A270,1))</f>
        <v/>
      </c>
    </row>
    <row r="271">
      <c r="A271" s="22" t="n">
        <v>47635</v>
      </c>
      <c r="B271" s="23">
        <f>IF($BM271=0,NA(),SUMIFS(Entries!$E$2:$E$5000,Entries!$C$2:$C$5000,"Income",Entries!$A$2:$A$5000,"&gt;="&amp;$A271,Entries!$A$2:$A$5000,"&lt;"&amp;EDATE($A271,1)))</f>
        <v/>
      </c>
      <c r="C271" s="23">
        <f>IF($BM271=0,"",SUMIFS(Entries!$E$2:$E$5000,Entries!$C$2:$C$5000,"Actual",Entries!$A$2:$A$5000,"&gt;="&amp;$A271,Entries!$A$2:$A$5000,"&lt;"&amp;EDATE($A271,1)))</f>
        <v/>
      </c>
      <c r="D271" s="23">
        <f>IF($BM271=0,"",SUMIFS(Entries!$E$2:$E$5000,Entries!$C$2:$C$5000,"One-off",Entries!$A$2:$A$5000,"&gt;="&amp;$A271,Entries!$A$2:$A$5000,"&lt;"&amp;EDATE($A271,1)))</f>
        <v/>
      </c>
      <c r="E271" s="23">
        <f>IF($BM271=0,NA(),C271+D271)</f>
        <v/>
      </c>
      <c r="F271" s="23">
        <f>IF($BM271=0,"",SUM(AR271:BK271))</f>
        <v/>
      </c>
      <c r="G271" s="23">
        <f>IF($BM271=0,"",B271-E271)</f>
        <v/>
      </c>
      <c r="H271" s="23">
        <f>IF($BM271=0,"",SUM($G$2:G271))</f>
        <v/>
      </c>
      <c r="I271" s="23">
        <f>IF($BM271=0,"",SUMIFS(Entries!$G$2:$G$5000,Entries!$A$2:$A$5000,"&gt;="&amp;$A271,Entries!$A$2:$A$5000,"&lt;"&amp;EDATE($A271,1)))</f>
        <v/>
      </c>
      <c r="J271" s="23">
        <f>IF($BM271=0,NA(),H271)</f>
        <v/>
      </c>
      <c r="K271" s="23">
        <f>IF($BM271=0,"",SUMIFS(Entries!$E$2:$E$5000,Entries!$C$2:$C$5000,"Income",Entries!$A$2:$A$5000,"&gt;="&amp;EDATE($A271,-11),Entries!$A$2:$A$5000,"&lt;"&amp;EDATE($A271,1))/COUNTIFS($A$2:$A$400,"&gt;="&amp;EDATE($A271,-11),$A$2:$A$400,"&lt;"&amp;EDATE($A271,1),$BM$2:$BM$400,"&gt;0"))</f>
      </c>
      <c r="L271" s="23">
        <f>IF($BM271=0,"",(SUMIFS(Entries!$E$2:$E$5000,Entries!$C$2:$C$5000,"Actual",Entries!$A$2:$A$5000,"&gt;="&amp;EDATE($A271,-11),Entries!$A$2:$A$5000,"&lt;"&amp;EDATE($A271,1))+SUMIFS(Entries!$E$2:$E$5000,Entries!$C$2:$C$5000,"One-off",Entries!$A$2:$A$5000,"&gt;="&amp;EDATE($A271,-11),Entries!$A$2:$A$5000,"&lt;"&amp;EDATE($A271,1)))/COUNTIFS($A$2:$A$400,"&gt;="&amp;EDATE($A271,-11),$A$2:$A$400,"&lt;"&amp;EDATE($A271,1),$BM$2:$BM$400,"&gt;0"))</f>
      </c>
      <c r="M271" s="24">
        <f>IF($BM271=0,NA(),IFERROR((K271-L271)/K271,0))</f>
        <v/>
      </c>
      <c r="N271" s="23">
        <f>IF($BM271=0,NA(),SUMIFS(Entries!$E$2:$E$5000,Entries!$D$2:$D$5000,"Core",Entries!$A$2:$A$5000,"&gt;="&amp;$A271,Entries!$A$2:$A$5000,"&lt;"&amp;EDATE($A271,1)))</f>
        <v/>
      </c>
      <c r="O271" s="23">
        <f>IF($BM271=0,NA(),SUMIFS(Entries!$E$2:$E$5000,Entries!$D$2:$D$5000,"Over &amp; above",Entries!$A$2:$A$5000,"&gt;="&amp;$A271,Entries!$A$2:$A$5000,"&lt;"&amp;EDATE($A271,1)))</f>
        <v/>
      </c>
      <c r="P271" s="23">
        <f>IF($BM271=0,NA(),SUMIFS(Entries!$E$2:$E$5000,Entries!$D$2:$D$5000,"One-off",Entries!$A$2:$A$5000,"&gt;="&amp;$A271,Entries!$A$2:$A$5000,"&lt;"&amp;EDATE($A271,1)))</f>
        <v/>
      </c>
      <c r="Q271" s="23">
        <f>IF($BM271=0,NA(),SUMIFS(Entries!$E$2:$E$5000,Entries!$D$2:$D$5000,"Reimbursable",Entries!$A$2:$A$5000,"&gt;="&amp;$A271,Entries!$A$2:$A$5000,"&lt;"&amp;EDATE($A271,1)))</f>
        <v/>
      </c>
      <c r="R271" s="23">
        <f>IF($BM271=0,NA(),SUMIFS(Entries!$E$2:$E$5000,Entries!$D$2:$D$5000,"Investment",Entries!$A$2:$A$5000,"&gt;="&amp;$A271,Entries!$A$2:$A$5000,"&lt;"&amp;EDATE($A271,1)))</f>
        <v/>
      </c>
      <c r="S271" s="23">
        <f>IF($BM271=0,NA(),N271+O271)</f>
        <v/>
      </c>
      <c r="T271" s="23">
        <f>IF($BM271=0,"",E271-Q271)</f>
        <v/>
      </c>
      <c r="W271" s="23">
        <f>IF(OR(W$1="",$BM271=0),"",SUMIFS(Entries!$E$2:$E$5000,Entries!$C$2:$C$5000,"Actual",Entries!$A$2:$A$5000,"&gt;="&amp;$A271,Entries!$A$2:$A$5000,"&lt;"&amp;EDATE($A271,1),Entries!$B$2:$B$5000,W$1))</f>
        <v/>
      </c>
      <c r="X271" s="23">
        <f>IF(OR(X$1="",$BM271=0),"",SUMIFS(Entries!$E$2:$E$5000,Entries!$C$2:$C$5000,"Actual",Entries!$A$2:$A$5000,"&gt;="&amp;$A271,Entries!$A$2:$A$5000,"&lt;"&amp;EDATE($A271,1),Entries!$B$2:$B$5000,X$1))</f>
        <v/>
      </c>
      <c r="Y271" s="23">
        <f>IF(OR(Y$1="",$BM271=0),"",SUMIFS(Entries!$E$2:$E$5000,Entries!$C$2:$C$5000,"Actual",Entries!$A$2:$A$5000,"&gt;="&amp;$A271,Entries!$A$2:$A$5000,"&lt;"&amp;EDATE($A271,1),Entries!$B$2:$B$5000,Y$1))</f>
        <v/>
      </c>
      <c r="Z271" s="23">
        <f>IF(OR(Z$1="",$BM271=0),"",SUMIFS(Entries!$E$2:$E$5000,Entries!$C$2:$C$5000,"Actual",Entries!$A$2:$A$5000,"&gt;="&amp;$A271,Entries!$A$2:$A$5000,"&lt;"&amp;EDATE($A271,1),Entries!$B$2:$B$5000,Z$1))</f>
        <v/>
      </c>
      <c r="AA271" s="23">
        <f>IF(OR(AA$1="",$BM271=0),"",SUMIFS(Entries!$E$2:$E$5000,Entries!$C$2:$C$5000,"Actual",Entries!$A$2:$A$5000,"&gt;="&amp;$A271,Entries!$A$2:$A$5000,"&lt;"&amp;EDATE($A271,1),Entries!$B$2:$B$5000,AA$1))</f>
        <v/>
      </c>
      <c r="AB271" s="23">
        <f>IF(OR(AB$1="",$BM271=0),"",SUMIFS(Entries!$E$2:$E$5000,Entries!$C$2:$C$5000,"Actual",Entries!$A$2:$A$5000,"&gt;="&amp;$A271,Entries!$A$2:$A$5000,"&lt;"&amp;EDATE($A271,1),Entries!$B$2:$B$5000,AB$1))</f>
        <v/>
      </c>
      <c r="AC271" s="23">
        <f>IF(OR(AC$1="",$BM271=0),"",SUMIFS(Entries!$E$2:$E$5000,Entries!$C$2:$C$5000,"Actual",Entries!$A$2:$A$5000,"&gt;="&amp;$A271,Entries!$A$2:$A$5000,"&lt;"&amp;EDATE($A271,1),Entries!$B$2:$B$5000,AC$1))</f>
        <v/>
      </c>
      <c r="AD271" s="23">
        <f>IF(OR(AD$1="",$BM271=0),"",SUMIFS(Entries!$E$2:$E$5000,Entries!$C$2:$C$5000,"Actual",Entries!$A$2:$A$5000,"&gt;="&amp;$A271,Entries!$A$2:$A$5000,"&lt;"&amp;EDATE($A271,1),Entries!$B$2:$B$5000,AD$1))</f>
        <v/>
      </c>
      <c r="AE271" s="23">
        <f>IF(OR(AE$1="",$BM271=0),"",SUMIFS(Entries!$E$2:$E$5000,Entries!$C$2:$C$5000,"Actual",Entries!$A$2:$A$5000,"&gt;="&amp;$A271,Entries!$A$2:$A$5000,"&lt;"&amp;EDATE($A271,1),Entries!$B$2:$B$5000,AE$1))</f>
        <v/>
      </c>
      <c r="AF271" s="23">
        <f>IF(OR(AF$1="",$BM271=0),"",SUMIFS(Entries!$E$2:$E$5000,Entries!$C$2:$C$5000,"Actual",Entries!$A$2:$A$5000,"&gt;="&amp;$A271,Entries!$A$2:$A$5000,"&lt;"&amp;EDATE($A271,1),Entries!$B$2:$B$5000,AF$1))</f>
        <v/>
      </c>
      <c r="AG271" s="23">
        <f>IF(OR(AG$1="",$BM271=0),"",SUMIFS(Entries!$E$2:$E$5000,Entries!$C$2:$C$5000,"Actual",Entries!$A$2:$A$5000,"&gt;="&amp;$A271,Entries!$A$2:$A$5000,"&lt;"&amp;EDATE($A271,1),Entries!$B$2:$B$5000,AG$1))</f>
        <v/>
      </c>
      <c r="AH271" s="23">
        <f>IF(OR(AH$1="",$BM271=0),"",SUMIFS(Entries!$E$2:$E$5000,Entries!$C$2:$C$5000,"Actual",Entries!$A$2:$A$5000,"&gt;="&amp;$A271,Entries!$A$2:$A$5000,"&lt;"&amp;EDATE($A271,1),Entries!$B$2:$B$5000,AH$1))</f>
        <v/>
      </c>
      <c r="AI271" s="23">
        <f>IF(OR(AI$1="",$BM271=0),"",SUMIFS(Entries!$E$2:$E$5000,Entries!$C$2:$C$5000,"Actual",Entries!$A$2:$A$5000,"&gt;="&amp;$A271,Entries!$A$2:$A$5000,"&lt;"&amp;EDATE($A271,1),Entries!$B$2:$B$5000,AI$1))</f>
        <v/>
      </c>
      <c r="AJ271" s="23">
        <f>IF(OR(AJ$1="",$BM271=0),"",SUMIFS(Entries!$E$2:$E$5000,Entries!$C$2:$C$5000,"Actual",Entries!$A$2:$A$5000,"&gt;="&amp;$A271,Entries!$A$2:$A$5000,"&lt;"&amp;EDATE($A271,1),Entries!$B$2:$B$5000,AJ$1))</f>
        <v/>
      </c>
      <c r="AK271" s="23">
        <f>IF(OR(AK$1="",$BM271=0),"",SUMIFS(Entries!$E$2:$E$5000,Entries!$C$2:$C$5000,"Actual",Entries!$A$2:$A$5000,"&gt;="&amp;$A271,Entries!$A$2:$A$5000,"&lt;"&amp;EDATE($A271,1),Entries!$B$2:$B$5000,AK$1))</f>
        <v/>
      </c>
      <c r="AL271" s="23">
        <f>IF(OR(AL$1="",$BM271=0),"",SUMIFS(Entries!$E$2:$E$5000,Entries!$C$2:$C$5000,"Actual",Entries!$A$2:$A$5000,"&gt;="&amp;$A271,Entries!$A$2:$A$5000,"&lt;"&amp;EDATE($A271,1),Entries!$B$2:$B$5000,AL$1))</f>
        <v/>
      </c>
      <c r="AM271" s="23">
        <f>IF(OR(AM$1="",$BM271=0),"",SUMIFS(Entries!$E$2:$E$5000,Entries!$C$2:$C$5000,"Actual",Entries!$A$2:$A$5000,"&gt;="&amp;$A271,Entries!$A$2:$A$5000,"&lt;"&amp;EDATE($A271,1),Entries!$B$2:$B$5000,AM$1))</f>
        <v/>
      </c>
      <c r="AN271" s="23">
        <f>IF(OR(AN$1="",$BM271=0),"",SUMIFS(Entries!$E$2:$E$5000,Entries!$C$2:$C$5000,"Actual",Entries!$A$2:$A$5000,"&gt;="&amp;$A271,Entries!$A$2:$A$5000,"&lt;"&amp;EDATE($A271,1),Entries!$B$2:$B$5000,AN$1))</f>
        <v/>
      </c>
      <c r="AO271" s="23">
        <f>IF(OR(AO$1="",$BM271=0),"",SUMIFS(Entries!$E$2:$E$5000,Entries!$C$2:$C$5000,"Actual",Entries!$A$2:$A$5000,"&gt;="&amp;$A271,Entries!$A$2:$A$5000,"&lt;"&amp;EDATE($A271,1),Entries!$B$2:$B$5000,AO$1))</f>
        <v/>
      </c>
      <c r="AP271" s="23">
        <f>IF(OR(AP$1="",$BM271=0),"",SUMIFS(Entries!$E$2:$E$5000,Entries!$C$2:$C$5000,"Actual",Entries!$A$2:$A$5000,"&gt;="&amp;$A271,Entries!$A$2:$A$5000,"&lt;"&amp;EDATE($A271,1),Entries!$B$2:$B$5000,AP$1))</f>
        <v/>
      </c>
      <c r="AR271" s="23">
        <f>IF(OR(AR$1="",$BM271=0),"",IFERROR(LOOKUP(2,1/((Budgets!$A$2:$A$200=AR$1)*(Budgets!$B$2:$B$200&lt;EDATE($A271,1))),Budgets!$C$2:$C$200),0))</f>
        <v/>
      </c>
      <c r="AS271" s="23">
        <f>IF(OR(AS$1="",$BM271=0),"",IFERROR(LOOKUP(2,1/((Budgets!$A$2:$A$200=AS$1)*(Budgets!$B$2:$B$200&lt;EDATE($A271,1))),Budgets!$C$2:$C$200),0))</f>
        <v/>
      </c>
      <c r="AT271" s="23">
        <f>IF(OR(AT$1="",$BM271=0),"",IFERROR(LOOKUP(2,1/((Budgets!$A$2:$A$200=AT$1)*(Budgets!$B$2:$B$200&lt;EDATE($A271,1))),Budgets!$C$2:$C$200),0))</f>
        <v/>
      </c>
      <c r="AU271" s="23">
        <f>IF(OR(AU$1="",$BM271=0),"",IFERROR(LOOKUP(2,1/((Budgets!$A$2:$A$200=AU$1)*(Budgets!$B$2:$B$200&lt;EDATE($A271,1))),Budgets!$C$2:$C$200),0))</f>
        <v/>
      </c>
      <c r="AV271" s="23">
        <f>IF(OR(AV$1="",$BM271=0),"",IFERROR(LOOKUP(2,1/((Budgets!$A$2:$A$200=AV$1)*(Budgets!$B$2:$B$200&lt;EDATE($A271,1))),Budgets!$C$2:$C$200),0))</f>
        <v/>
      </c>
      <c r="AW271" s="23">
        <f>IF(OR(AW$1="",$BM271=0),"",IFERROR(LOOKUP(2,1/((Budgets!$A$2:$A$200=AW$1)*(Budgets!$B$2:$B$200&lt;EDATE($A271,1))),Budgets!$C$2:$C$200),0))</f>
        <v/>
      </c>
      <c r="AX271" s="23">
        <f>IF(OR(AX$1="",$BM271=0),"",IFERROR(LOOKUP(2,1/((Budgets!$A$2:$A$200=AX$1)*(Budgets!$B$2:$B$200&lt;EDATE($A271,1))),Budgets!$C$2:$C$200),0))</f>
        <v/>
      </c>
      <c r="AY271" s="23">
        <f>IF(OR(AY$1="",$BM271=0),"",IFERROR(LOOKUP(2,1/((Budgets!$A$2:$A$200=AY$1)*(Budgets!$B$2:$B$200&lt;EDATE($A271,1))),Budgets!$C$2:$C$200),0))</f>
        <v/>
      </c>
      <c r="AZ271" s="23">
        <f>IF(OR(AZ$1="",$BM271=0),"",IFERROR(LOOKUP(2,1/((Budgets!$A$2:$A$200=AZ$1)*(Budgets!$B$2:$B$200&lt;EDATE($A271,1))),Budgets!$C$2:$C$200),0))</f>
        <v/>
      </c>
      <c r="BA271" s="23">
        <f>IF(OR(BA$1="",$BM271=0),"",IFERROR(LOOKUP(2,1/((Budgets!$A$2:$A$200=BA$1)*(Budgets!$B$2:$B$200&lt;EDATE($A271,1))),Budgets!$C$2:$C$200),0))</f>
        <v/>
      </c>
      <c r="BB271" s="23">
        <f>IF(OR(BB$1="",$BM271=0),"",IFERROR(LOOKUP(2,1/((Budgets!$A$2:$A$200=BB$1)*(Budgets!$B$2:$B$200&lt;EDATE($A271,1))),Budgets!$C$2:$C$200),0))</f>
        <v/>
      </c>
      <c r="BC271" s="23">
        <f>IF(OR(BC$1="",$BM271=0),"",IFERROR(LOOKUP(2,1/((Budgets!$A$2:$A$200=BC$1)*(Budgets!$B$2:$B$200&lt;EDATE($A271,1))),Budgets!$C$2:$C$200),0))</f>
        <v/>
      </c>
      <c r="BD271" s="23">
        <f>IF(OR(BD$1="",$BM271=0),"",IFERROR(LOOKUP(2,1/((Budgets!$A$2:$A$200=BD$1)*(Budgets!$B$2:$B$200&lt;EDATE($A271,1))),Budgets!$C$2:$C$200),0))</f>
        <v/>
      </c>
      <c r="BE271" s="23">
        <f>IF(OR(BE$1="",$BM271=0),"",IFERROR(LOOKUP(2,1/((Budgets!$A$2:$A$200=BE$1)*(Budgets!$B$2:$B$200&lt;EDATE($A271,1))),Budgets!$C$2:$C$200),0))</f>
        <v/>
      </c>
      <c r="BF271" s="23">
        <f>IF(OR(BF$1="",$BM271=0),"",IFERROR(LOOKUP(2,1/((Budgets!$A$2:$A$200=BF$1)*(Budgets!$B$2:$B$200&lt;EDATE($A271,1))),Budgets!$C$2:$C$200),0))</f>
        <v/>
      </c>
      <c r="BG271" s="23">
        <f>IF(OR(BG$1="",$BM271=0),"",IFERROR(LOOKUP(2,1/((Budgets!$A$2:$A$200=BG$1)*(Budgets!$B$2:$B$200&lt;EDATE($A271,1))),Budgets!$C$2:$C$200),0))</f>
        <v/>
      </c>
      <c r="BH271" s="23">
        <f>IF(OR(BH$1="",$BM271=0),"",IFERROR(LOOKUP(2,1/((Budgets!$A$2:$A$200=BH$1)*(Budgets!$B$2:$B$200&lt;EDATE($A271,1))),Budgets!$C$2:$C$200),0))</f>
        <v/>
      </c>
      <c r="BI271" s="23">
        <f>IF(OR(BI$1="",$BM271=0),"",IFERROR(LOOKUP(2,1/((Budgets!$A$2:$A$200=BI$1)*(Budgets!$B$2:$B$200&lt;EDATE($A271,1))),Budgets!$C$2:$C$200),0))</f>
        <v/>
      </c>
      <c r="BJ271" s="23">
        <f>IF(OR(BJ$1="",$BM271=0),"",IFERROR(LOOKUP(2,1/((Budgets!$A$2:$A$200=BJ$1)*(Budgets!$B$2:$B$200&lt;EDATE($A271,1))),Budgets!$C$2:$C$200),0))</f>
        <v/>
      </c>
      <c r="BK271" s="23">
        <f>IF(OR(BK$1="",$BM271=0),"",IFERROR(LOOKUP(2,1/((Budgets!$A$2:$A$200=BK$1)*(Budgets!$B$2:$B$200&lt;EDATE($A271,1))),Budgets!$C$2:$C$200),0))</f>
        <v/>
      </c>
      <c r="BM271" s="21">
        <f>COUNTIFS(Entries!$A$2:$A$5000,"&gt;="&amp;$A271,Entries!$A$2:$A$5000,"&lt;"&amp;EDATE($A271,1))</f>
        <v/>
      </c>
    </row>
    <row r="272">
      <c r="A272" s="22" t="n">
        <v>47665</v>
      </c>
      <c r="B272" s="23">
        <f>IF($BM272=0,NA(),SUMIFS(Entries!$E$2:$E$5000,Entries!$C$2:$C$5000,"Income",Entries!$A$2:$A$5000,"&gt;="&amp;$A272,Entries!$A$2:$A$5000,"&lt;"&amp;EDATE($A272,1)))</f>
        <v/>
      </c>
      <c r="C272" s="23">
        <f>IF($BM272=0,"",SUMIFS(Entries!$E$2:$E$5000,Entries!$C$2:$C$5000,"Actual",Entries!$A$2:$A$5000,"&gt;="&amp;$A272,Entries!$A$2:$A$5000,"&lt;"&amp;EDATE($A272,1)))</f>
        <v/>
      </c>
      <c r="D272" s="23">
        <f>IF($BM272=0,"",SUMIFS(Entries!$E$2:$E$5000,Entries!$C$2:$C$5000,"One-off",Entries!$A$2:$A$5000,"&gt;="&amp;$A272,Entries!$A$2:$A$5000,"&lt;"&amp;EDATE($A272,1)))</f>
        <v/>
      </c>
      <c r="E272" s="23">
        <f>IF($BM272=0,NA(),C272+D272)</f>
        <v/>
      </c>
      <c r="F272" s="23">
        <f>IF($BM272=0,"",SUM(AR272:BK272))</f>
        <v/>
      </c>
      <c r="G272" s="23">
        <f>IF($BM272=0,"",B272-E272)</f>
        <v/>
      </c>
      <c r="H272" s="23">
        <f>IF($BM272=0,"",SUM($G$2:G272))</f>
        <v/>
      </c>
      <c r="I272" s="23">
        <f>IF($BM272=0,"",SUMIFS(Entries!$G$2:$G$5000,Entries!$A$2:$A$5000,"&gt;="&amp;$A272,Entries!$A$2:$A$5000,"&lt;"&amp;EDATE($A272,1)))</f>
        <v/>
      </c>
      <c r="J272" s="23">
        <f>IF($BM272=0,NA(),H272)</f>
        <v/>
      </c>
      <c r="K272" s="23">
        <f>IF($BM272=0,"",SUMIFS(Entries!$E$2:$E$5000,Entries!$C$2:$C$5000,"Income",Entries!$A$2:$A$5000,"&gt;="&amp;EDATE($A272,-11),Entries!$A$2:$A$5000,"&lt;"&amp;EDATE($A272,1))/COUNTIFS($A$2:$A$400,"&gt;="&amp;EDATE($A272,-11),$A$2:$A$400,"&lt;"&amp;EDATE($A272,1),$BM$2:$BM$400,"&gt;0"))</f>
      </c>
      <c r="L272" s="23">
        <f>IF($BM272=0,"",(SUMIFS(Entries!$E$2:$E$5000,Entries!$C$2:$C$5000,"Actual",Entries!$A$2:$A$5000,"&gt;="&amp;EDATE($A272,-11),Entries!$A$2:$A$5000,"&lt;"&amp;EDATE($A272,1))+SUMIFS(Entries!$E$2:$E$5000,Entries!$C$2:$C$5000,"One-off",Entries!$A$2:$A$5000,"&gt;="&amp;EDATE($A272,-11),Entries!$A$2:$A$5000,"&lt;"&amp;EDATE($A272,1)))/COUNTIFS($A$2:$A$400,"&gt;="&amp;EDATE($A272,-11),$A$2:$A$400,"&lt;"&amp;EDATE($A272,1),$BM$2:$BM$400,"&gt;0"))</f>
      </c>
      <c r="M272" s="24">
        <f>IF($BM272=0,NA(),IFERROR((K272-L272)/K272,0))</f>
        <v/>
      </c>
      <c r="N272" s="23">
        <f>IF($BM272=0,NA(),SUMIFS(Entries!$E$2:$E$5000,Entries!$D$2:$D$5000,"Core",Entries!$A$2:$A$5000,"&gt;="&amp;$A272,Entries!$A$2:$A$5000,"&lt;"&amp;EDATE($A272,1)))</f>
        <v/>
      </c>
      <c r="O272" s="23">
        <f>IF($BM272=0,NA(),SUMIFS(Entries!$E$2:$E$5000,Entries!$D$2:$D$5000,"Over &amp; above",Entries!$A$2:$A$5000,"&gt;="&amp;$A272,Entries!$A$2:$A$5000,"&lt;"&amp;EDATE($A272,1)))</f>
        <v/>
      </c>
      <c r="P272" s="23">
        <f>IF($BM272=0,NA(),SUMIFS(Entries!$E$2:$E$5000,Entries!$D$2:$D$5000,"One-off",Entries!$A$2:$A$5000,"&gt;="&amp;$A272,Entries!$A$2:$A$5000,"&lt;"&amp;EDATE($A272,1)))</f>
        <v/>
      </c>
      <c r="Q272" s="23">
        <f>IF($BM272=0,NA(),SUMIFS(Entries!$E$2:$E$5000,Entries!$D$2:$D$5000,"Reimbursable",Entries!$A$2:$A$5000,"&gt;="&amp;$A272,Entries!$A$2:$A$5000,"&lt;"&amp;EDATE($A272,1)))</f>
        <v/>
      </c>
      <c r="R272" s="23">
        <f>IF($BM272=0,NA(),SUMIFS(Entries!$E$2:$E$5000,Entries!$D$2:$D$5000,"Investment",Entries!$A$2:$A$5000,"&gt;="&amp;$A272,Entries!$A$2:$A$5000,"&lt;"&amp;EDATE($A272,1)))</f>
        <v/>
      </c>
      <c r="S272" s="23">
        <f>IF($BM272=0,NA(),N272+O272)</f>
        <v/>
      </c>
      <c r="T272" s="23">
        <f>IF($BM272=0,"",E272-Q272)</f>
        <v/>
      </c>
      <c r="W272" s="23">
        <f>IF(OR(W$1="",$BM272=0),"",SUMIFS(Entries!$E$2:$E$5000,Entries!$C$2:$C$5000,"Actual",Entries!$A$2:$A$5000,"&gt;="&amp;$A272,Entries!$A$2:$A$5000,"&lt;"&amp;EDATE($A272,1),Entries!$B$2:$B$5000,W$1))</f>
        <v/>
      </c>
      <c r="X272" s="23">
        <f>IF(OR(X$1="",$BM272=0),"",SUMIFS(Entries!$E$2:$E$5000,Entries!$C$2:$C$5000,"Actual",Entries!$A$2:$A$5000,"&gt;="&amp;$A272,Entries!$A$2:$A$5000,"&lt;"&amp;EDATE($A272,1),Entries!$B$2:$B$5000,X$1))</f>
        <v/>
      </c>
      <c r="Y272" s="23">
        <f>IF(OR(Y$1="",$BM272=0),"",SUMIFS(Entries!$E$2:$E$5000,Entries!$C$2:$C$5000,"Actual",Entries!$A$2:$A$5000,"&gt;="&amp;$A272,Entries!$A$2:$A$5000,"&lt;"&amp;EDATE($A272,1),Entries!$B$2:$B$5000,Y$1))</f>
        <v/>
      </c>
      <c r="Z272" s="23">
        <f>IF(OR(Z$1="",$BM272=0),"",SUMIFS(Entries!$E$2:$E$5000,Entries!$C$2:$C$5000,"Actual",Entries!$A$2:$A$5000,"&gt;="&amp;$A272,Entries!$A$2:$A$5000,"&lt;"&amp;EDATE($A272,1),Entries!$B$2:$B$5000,Z$1))</f>
        <v/>
      </c>
      <c r="AA272" s="23">
        <f>IF(OR(AA$1="",$BM272=0),"",SUMIFS(Entries!$E$2:$E$5000,Entries!$C$2:$C$5000,"Actual",Entries!$A$2:$A$5000,"&gt;="&amp;$A272,Entries!$A$2:$A$5000,"&lt;"&amp;EDATE($A272,1),Entries!$B$2:$B$5000,AA$1))</f>
        <v/>
      </c>
      <c r="AB272" s="23">
        <f>IF(OR(AB$1="",$BM272=0),"",SUMIFS(Entries!$E$2:$E$5000,Entries!$C$2:$C$5000,"Actual",Entries!$A$2:$A$5000,"&gt;="&amp;$A272,Entries!$A$2:$A$5000,"&lt;"&amp;EDATE($A272,1),Entries!$B$2:$B$5000,AB$1))</f>
        <v/>
      </c>
      <c r="AC272" s="23">
        <f>IF(OR(AC$1="",$BM272=0),"",SUMIFS(Entries!$E$2:$E$5000,Entries!$C$2:$C$5000,"Actual",Entries!$A$2:$A$5000,"&gt;="&amp;$A272,Entries!$A$2:$A$5000,"&lt;"&amp;EDATE($A272,1),Entries!$B$2:$B$5000,AC$1))</f>
        <v/>
      </c>
      <c r="AD272" s="23">
        <f>IF(OR(AD$1="",$BM272=0),"",SUMIFS(Entries!$E$2:$E$5000,Entries!$C$2:$C$5000,"Actual",Entries!$A$2:$A$5000,"&gt;="&amp;$A272,Entries!$A$2:$A$5000,"&lt;"&amp;EDATE($A272,1),Entries!$B$2:$B$5000,AD$1))</f>
        <v/>
      </c>
      <c r="AE272" s="23">
        <f>IF(OR(AE$1="",$BM272=0),"",SUMIFS(Entries!$E$2:$E$5000,Entries!$C$2:$C$5000,"Actual",Entries!$A$2:$A$5000,"&gt;="&amp;$A272,Entries!$A$2:$A$5000,"&lt;"&amp;EDATE($A272,1),Entries!$B$2:$B$5000,AE$1))</f>
        <v/>
      </c>
      <c r="AF272" s="23">
        <f>IF(OR(AF$1="",$BM272=0),"",SUMIFS(Entries!$E$2:$E$5000,Entries!$C$2:$C$5000,"Actual",Entries!$A$2:$A$5000,"&gt;="&amp;$A272,Entries!$A$2:$A$5000,"&lt;"&amp;EDATE($A272,1),Entries!$B$2:$B$5000,AF$1))</f>
        <v/>
      </c>
      <c r="AG272" s="23">
        <f>IF(OR(AG$1="",$BM272=0),"",SUMIFS(Entries!$E$2:$E$5000,Entries!$C$2:$C$5000,"Actual",Entries!$A$2:$A$5000,"&gt;="&amp;$A272,Entries!$A$2:$A$5000,"&lt;"&amp;EDATE($A272,1),Entries!$B$2:$B$5000,AG$1))</f>
        <v/>
      </c>
      <c r="AH272" s="23">
        <f>IF(OR(AH$1="",$BM272=0),"",SUMIFS(Entries!$E$2:$E$5000,Entries!$C$2:$C$5000,"Actual",Entries!$A$2:$A$5000,"&gt;="&amp;$A272,Entries!$A$2:$A$5000,"&lt;"&amp;EDATE($A272,1),Entries!$B$2:$B$5000,AH$1))</f>
        <v/>
      </c>
      <c r="AI272" s="23">
        <f>IF(OR(AI$1="",$BM272=0),"",SUMIFS(Entries!$E$2:$E$5000,Entries!$C$2:$C$5000,"Actual",Entries!$A$2:$A$5000,"&gt;="&amp;$A272,Entries!$A$2:$A$5000,"&lt;"&amp;EDATE($A272,1),Entries!$B$2:$B$5000,AI$1))</f>
        <v/>
      </c>
      <c r="AJ272" s="23">
        <f>IF(OR(AJ$1="",$BM272=0),"",SUMIFS(Entries!$E$2:$E$5000,Entries!$C$2:$C$5000,"Actual",Entries!$A$2:$A$5000,"&gt;="&amp;$A272,Entries!$A$2:$A$5000,"&lt;"&amp;EDATE($A272,1),Entries!$B$2:$B$5000,AJ$1))</f>
        <v/>
      </c>
      <c r="AK272" s="23">
        <f>IF(OR(AK$1="",$BM272=0),"",SUMIFS(Entries!$E$2:$E$5000,Entries!$C$2:$C$5000,"Actual",Entries!$A$2:$A$5000,"&gt;="&amp;$A272,Entries!$A$2:$A$5000,"&lt;"&amp;EDATE($A272,1),Entries!$B$2:$B$5000,AK$1))</f>
        <v/>
      </c>
      <c r="AL272" s="23">
        <f>IF(OR(AL$1="",$BM272=0),"",SUMIFS(Entries!$E$2:$E$5000,Entries!$C$2:$C$5000,"Actual",Entries!$A$2:$A$5000,"&gt;="&amp;$A272,Entries!$A$2:$A$5000,"&lt;"&amp;EDATE($A272,1),Entries!$B$2:$B$5000,AL$1))</f>
        <v/>
      </c>
      <c r="AM272" s="23">
        <f>IF(OR(AM$1="",$BM272=0),"",SUMIFS(Entries!$E$2:$E$5000,Entries!$C$2:$C$5000,"Actual",Entries!$A$2:$A$5000,"&gt;="&amp;$A272,Entries!$A$2:$A$5000,"&lt;"&amp;EDATE($A272,1),Entries!$B$2:$B$5000,AM$1))</f>
        <v/>
      </c>
      <c r="AN272" s="23">
        <f>IF(OR(AN$1="",$BM272=0),"",SUMIFS(Entries!$E$2:$E$5000,Entries!$C$2:$C$5000,"Actual",Entries!$A$2:$A$5000,"&gt;="&amp;$A272,Entries!$A$2:$A$5000,"&lt;"&amp;EDATE($A272,1),Entries!$B$2:$B$5000,AN$1))</f>
        <v/>
      </c>
      <c r="AO272" s="23">
        <f>IF(OR(AO$1="",$BM272=0),"",SUMIFS(Entries!$E$2:$E$5000,Entries!$C$2:$C$5000,"Actual",Entries!$A$2:$A$5000,"&gt;="&amp;$A272,Entries!$A$2:$A$5000,"&lt;"&amp;EDATE($A272,1),Entries!$B$2:$B$5000,AO$1))</f>
        <v/>
      </c>
      <c r="AP272" s="23">
        <f>IF(OR(AP$1="",$BM272=0),"",SUMIFS(Entries!$E$2:$E$5000,Entries!$C$2:$C$5000,"Actual",Entries!$A$2:$A$5000,"&gt;="&amp;$A272,Entries!$A$2:$A$5000,"&lt;"&amp;EDATE($A272,1),Entries!$B$2:$B$5000,AP$1))</f>
        <v/>
      </c>
      <c r="AR272" s="23">
        <f>IF(OR(AR$1="",$BM272=0),"",IFERROR(LOOKUP(2,1/((Budgets!$A$2:$A$200=AR$1)*(Budgets!$B$2:$B$200&lt;EDATE($A272,1))),Budgets!$C$2:$C$200),0))</f>
        <v/>
      </c>
      <c r="AS272" s="23">
        <f>IF(OR(AS$1="",$BM272=0),"",IFERROR(LOOKUP(2,1/((Budgets!$A$2:$A$200=AS$1)*(Budgets!$B$2:$B$200&lt;EDATE($A272,1))),Budgets!$C$2:$C$200),0))</f>
        <v/>
      </c>
      <c r="AT272" s="23">
        <f>IF(OR(AT$1="",$BM272=0),"",IFERROR(LOOKUP(2,1/((Budgets!$A$2:$A$200=AT$1)*(Budgets!$B$2:$B$200&lt;EDATE($A272,1))),Budgets!$C$2:$C$200),0))</f>
        <v/>
      </c>
      <c r="AU272" s="23">
        <f>IF(OR(AU$1="",$BM272=0),"",IFERROR(LOOKUP(2,1/((Budgets!$A$2:$A$200=AU$1)*(Budgets!$B$2:$B$200&lt;EDATE($A272,1))),Budgets!$C$2:$C$200),0))</f>
        <v/>
      </c>
      <c r="AV272" s="23">
        <f>IF(OR(AV$1="",$BM272=0),"",IFERROR(LOOKUP(2,1/((Budgets!$A$2:$A$200=AV$1)*(Budgets!$B$2:$B$200&lt;EDATE($A272,1))),Budgets!$C$2:$C$200),0))</f>
        <v/>
      </c>
      <c r="AW272" s="23">
        <f>IF(OR(AW$1="",$BM272=0),"",IFERROR(LOOKUP(2,1/((Budgets!$A$2:$A$200=AW$1)*(Budgets!$B$2:$B$200&lt;EDATE($A272,1))),Budgets!$C$2:$C$200),0))</f>
        <v/>
      </c>
      <c r="AX272" s="23">
        <f>IF(OR(AX$1="",$BM272=0),"",IFERROR(LOOKUP(2,1/((Budgets!$A$2:$A$200=AX$1)*(Budgets!$B$2:$B$200&lt;EDATE($A272,1))),Budgets!$C$2:$C$200),0))</f>
        <v/>
      </c>
      <c r="AY272" s="23">
        <f>IF(OR(AY$1="",$BM272=0),"",IFERROR(LOOKUP(2,1/((Budgets!$A$2:$A$200=AY$1)*(Budgets!$B$2:$B$200&lt;EDATE($A272,1))),Budgets!$C$2:$C$200),0))</f>
        <v/>
      </c>
      <c r="AZ272" s="23">
        <f>IF(OR(AZ$1="",$BM272=0),"",IFERROR(LOOKUP(2,1/((Budgets!$A$2:$A$200=AZ$1)*(Budgets!$B$2:$B$200&lt;EDATE($A272,1))),Budgets!$C$2:$C$200),0))</f>
        <v/>
      </c>
      <c r="BA272" s="23">
        <f>IF(OR(BA$1="",$BM272=0),"",IFERROR(LOOKUP(2,1/((Budgets!$A$2:$A$200=BA$1)*(Budgets!$B$2:$B$200&lt;EDATE($A272,1))),Budgets!$C$2:$C$200),0))</f>
        <v/>
      </c>
      <c r="BB272" s="23">
        <f>IF(OR(BB$1="",$BM272=0),"",IFERROR(LOOKUP(2,1/((Budgets!$A$2:$A$200=BB$1)*(Budgets!$B$2:$B$200&lt;EDATE($A272,1))),Budgets!$C$2:$C$200),0))</f>
        <v/>
      </c>
      <c r="BC272" s="23">
        <f>IF(OR(BC$1="",$BM272=0),"",IFERROR(LOOKUP(2,1/((Budgets!$A$2:$A$200=BC$1)*(Budgets!$B$2:$B$200&lt;EDATE($A272,1))),Budgets!$C$2:$C$200),0))</f>
        <v/>
      </c>
      <c r="BD272" s="23">
        <f>IF(OR(BD$1="",$BM272=0),"",IFERROR(LOOKUP(2,1/((Budgets!$A$2:$A$200=BD$1)*(Budgets!$B$2:$B$200&lt;EDATE($A272,1))),Budgets!$C$2:$C$200),0))</f>
        <v/>
      </c>
      <c r="BE272" s="23">
        <f>IF(OR(BE$1="",$BM272=0),"",IFERROR(LOOKUP(2,1/((Budgets!$A$2:$A$200=BE$1)*(Budgets!$B$2:$B$200&lt;EDATE($A272,1))),Budgets!$C$2:$C$200),0))</f>
        <v/>
      </c>
      <c r="BF272" s="23">
        <f>IF(OR(BF$1="",$BM272=0),"",IFERROR(LOOKUP(2,1/((Budgets!$A$2:$A$200=BF$1)*(Budgets!$B$2:$B$200&lt;EDATE($A272,1))),Budgets!$C$2:$C$200),0))</f>
        <v/>
      </c>
      <c r="BG272" s="23">
        <f>IF(OR(BG$1="",$BM272=0),"",IFERROR(LOOKUP(2,1/((Budgets!$A$2:$A$200=BG$1)*(Budgets!$B$2:$B$200&lt;EDATE($A272,1))),Budgets!$C$2:$C$200),0))</f>
        <v/>
      </c>
      <c r="BH272" s="23">
        <f>IF(OR(BH$1="",$BM272=0),"",IFERROR(LOOKUP(2,1/((Budgets!$A$2:$A$200=BH$1)*(Budgets!$B$2:$B$200&lt;EDATE($A272,1))),Budgets!$C$2:$C$200),0))</f>
        <v/>
      </c>
      <c r="BI272" s="23">
        <f>IF(OR(BI$1="",$BM272=0),"",IFERROR(LOOKUP(2,1/((Budgets!$A$2:$A$200=BI$1)*(Budgets!$B$2:$B$200&lt;EDATE($A272,1))),Budgets!$C$2:$C$200),0))</f>
        <v/>
      </c>
      <c r="BJ272" s="23">
        <f>IF(OR(BJ$1="",$BM272=0),"",IFERROR(LOOKUP(2,1/((Budgets!$A$2:$A$200=BJ$1)*(Budgets!$B$2:$B$200&lt;EDATE($A272,1))),Budgets!$C$2:$C$200),0))</f>
        <v/>
      </c>
      <c r="BK272" s="23">
        <f>IF(OR(BK$1="",$BM272=0),"",IFERROR(LOOKUP(2,1/((Budgets!$A$2:$A$200=BK$1)*(Budgets!$B$2:$B$200&lt;EDATE($A272,1))),Budgets!$C$2:$C$200),0))</f>
        <v/>
      </c>
      <c r="BM272" s="21">
        <f>COUNTIFS(Entries!$A$2:$A$5000,"&gt;="&amp;$A272,Entries!$A$2:$A$5000,"&lt;"&amp;EDATE($A272,1))</f>
        <v/>
      </c>
    </row>
    <row r="273">
      <c r="A273" s="22" t="n">
        <v>47696</v>
      </c>
      <c r="B273" s="23">
        <f>IF($BM273=0,NA(),SUMIFS(Entries!$E$2:$E$5000,Entries!$C$2:$C$5000,"Income",Entries!$A$2:$A$5000,"&gt;="&amp;$A273,Entries!$A$2:$A$5000,"&lt;"&amp;EDATE($A273,1)))</f>
        <v/>
      </c>
      <c r="C273" s="23">
        <f>IF($BM273=0,"",SUMIFS(Entries!$E$2:$E$5000,Entries!$C$2:$C$5000,"Actual",Entries!$A$2:$A$5000,"&gt;="&amp;$A273,Entries!$A$2:$A$5000,"&lt;"&amp;EDATE($A273,1)))</f>
        <v/>
      </c>
      <c r="D273" s="23">
        <f>IF($BM273=0,"",SUMIFS(Entries!$E$2:$E$5000,Entries!$C$2:$C$5000,"One-off",Entries!$A$2:$A$5000,"&gt;="&amp;$A273,Entries!$A$2:$A$5000,"&lt;"&amp;EDATE($A273,1)))</f>
        <v/>
      </c>
      <c r="E273" s="23">
        <f>IF($BM273=0,NA(),C273+D273)</f>
        <v/>
      </c>
      <c r="F273" s="23">
        <f>IF($BM273=0,"",SUM(AR273:BK273))</f>
        <v/>
      </c>
      <c r="G273" s="23">
        <f>IF($BM273=0,"",B273-E273)</f>
        <v/>
      </c>
      <c r="H273" s="23">
        <f>IF($BM273=0,"",SUM($G$2:G273))</f>
        <v/>
      </c>
      <c r="I273" s="23">
        <f>IF($BM273=0,"",SUMIFS(Entries!$G$2:$G$5000,Entries!$A$2:$A$5000,"&gt;="&amp;$A273,Entries!$A$2:$A$5000,"&lt;"&amp;EDATE($A273,1)))</f>
        <v/>
      </c>
      <c r="J273" s="23">
        <f>IF($BM273=0,NA(),H273)</f>
        <v/>
      </c>
      <c r="K273" s="23">
        <f>IF($BM273=0,"",SUMIFS(Entries!$E$2:$E$5000,Entries!$C$2:$C$5000,"Income",Entries!$A$2:$A$5000,"&gt;="&amp;EDATE($A273,-11),Entries!$A$2:$A$5000,"&lt;"&amp;EDATE($A273,1))/COUNTIFS($A$2:$A$400,"&gt;="&amp;EDATE($A273,-11),$A$2:$A$400,"&lt;"&amp;EDATE($A273,1),$BM$2:$BM$400,"&gt;0"))</f>
      </c>
      <c r="L273" s="23">
        <f>IF($BM273=0,"",(SUMIFS(Entries!$E$2:$E$5000,Entries!$C$2:$C$5000,"Actual",Entries!$A$2:$A$5000,"&gt;="&amp;EDATE($A273,-11),Entries!$A$2:$A$5000,"&lt;"&amp;EDATE($A273,1))+SUMIFS(Entries!$E$2:$E$5000,Entries!$C$2:$C$5000,"One-off",Entries!$A$2:$A$5000,"&gt;="&amp;EDATE($A273,-11),Entries!$A$2:$A$5000,"&lt;"&amp;EDATE($A273,1)))/COUNTIFS($A$2:$A$400,"&gt;="&amp;EDATE($A273,-11),$A$2:$A$400,"&lt;"&amp;EDATE($A273,1),$BM$2:$BM$400,"&gt;0"))</f>
      </c>
      <c r="M273" s="24">
        <f>IF($BM273=0,NA(),IFERROR((K273-L273)/K273,0))</f>
        <v/>
      </c>
      <c r="N273" s="23">
        <f>IF($BM273=0,NA(),SUMIFS(Entries!$E$2:$E$5000,Entries!$D$2:$D$5000,"Core",Entries!$A$2:$A$5000,"&gt;="&amp;$A273,Entries!$A$2:$A$5000,"&lt;"&amp;EDATE($A273,1)))</f>
        <v/>
      </c>
      <c r="O273" s="23">
        <f>IF($BM273=0,NA(),SUMIFS(Entries!$E$2:$E$5000,Entries!$D$2:$D$5000,"Over &amp; above",Entries!$A$2:$A$5000,"&gt;="&amp;$A273,Entries!$A$2:$A$5000,"&lt;"&amp;EDATE($A273,1)))</f>
        <v/>
      </c>
      <c r="P273" s="23">
        <f>IF($BM273=0,NA(),SUMIFS(Entries!$E$2:$E$5000,Entries!$D$2:$D$5000,"One-off",Entries!$A$2:$A$5000,"&gt;="&amp;$A273,Entries!$A$2:$A$5000,"&lt;"&amp;EDATE($A273,1)))</f>
        <v/>
      </c>
      <c r="Q273" s="23">
        <f>IF($BM273=0,NA(),SUMIFS(Entries!$E$2:$E$5000,Entries!$D$2:$D$5000,"Reimbursable",Entries!$A$2:$A$5000,"&gt;="&amp;$A273,Entries!$A$2:$A$5000,"&lt;"&amp;EDATE($A273,1)))</f>
        <v/>
      </c>
      <c r="R273" s="23">
        <f>IF($BM273=0,NA(),SUMIFS(Entries!$E$2:$E$5000,Entries!$D$2:$D$5000,"Investment",Entries!$A$2:$A$5000,"&gt;="&amp;$A273,Entries!$A$2:$A$5000,"&lt;"&amp;EDATE($A273,1)))</f>
        <v/>
      </c>
      <c r="S273" s="23">
        <f>IF($BM273=0,NA(),N273+O273)</f>
        <v/>
      </c>
      <c r="T273" s="23">
        <f>IF($BM273=0,"",E273-Q273)</f>
        <v/>
      </c>
      <c r="W273" s="23">
        <f>IF(OR(W$1="",$BM273=0),"",SUMIFS(Entries!$E$2:$E$5000,Entries!$C$2:$C$5000,"Actual",Entries!$A$2:$A$5000,"&gt;="&amp;$A273,Entries!$A$2:$A$5000,"&lt;"&amp;EDATE($A273,1),Entries!$B$2:$B$5000,W$1))</f>
        <v/>
      </c>
      <c r="X273" s="23">
        <f>IF(OR(X$1="",$BM273=0),"",SUMIFS(Entries!$E$2:$E$5000,Entries!$C$2:$C$5000,"Actual",Entries!$A$2:$A$5000,"&gt;="&amp;$A273,Entries!$A$2:$A$5000,"&lt;"&amp;EDATE($A273,1),Entries!$B$2:$B$5000,X$1))</f>
        <v/>
      </c>
      <c r="Y273" s="23">
        <f>IF(OR(Y$1="",$BM273=0),"",SUMIFS(Entries!$E$2:$E$5000,Entries!$C$2:$C$5000,"Actual",Entries!$A$2:$A$5000,"&gt;="&amp;$A273,Entries!$A$2:$A$5000,"&lt;"&amp;EDATE($A273,1),Entries!$B$2:$B$5000,Y$1))</f>
        <v/>
      </c>
      <c r="Z273" s="23">
        <f>IF(OR(Z$1="",$BM273=0),"",SUMIFS(Entries!$E$2:$E$5000,Entries!$C$2:$C$5000,"Actual",Entries!$A$2:$A$5000,"&gt;="&amp;$A273,Entries!$A$2:$A$5000,"&lt;"&amp;EDATE($A273,1),Entries!$B$2:$B$5000,Z$1))</f>
        <v/>
      </c>
      <c r="AA273" s="23">
        <f>IF(OR(AA$1="",$BM273=0),"",SUMIFS(Entries!$E$2:$E$5000,Entries!$C$2:$C$5000,"Actual",Entries!$A$2:$A$5000,"&gt;="&amp;$A273,Entries!$A$2:$A$5000,"&lt;"&amp;EDATE($A273,1),Entries!$B$2:$B$5000,AA$1))</f>
        <v/>
      </c>
      <c r="AB273" s="23">
        <f>IF(OR(AB$1="",$BM273=0),"",SUMIFS(Entries!$E$2:$E$5000,Entries!$C$2:$C$5000,"Actual",Entries!$A$2:$A$5000,"&gt;="&amp;$A273,Entries!$A$2:$A$5000,"&lt;"&amp;EDATE($A273,1),Entries!$B$2:$B$5000,AB$1))</f>
        <v/>
      </c>
      <c r="AC273" s="23">
        <f>IF(OR(AC$1="",$BM273=0),"",SUMIFS(Entries!$E$2:$E$5000,Entries!$C$2:$C$5000,"Actual",Entries!$A$2:$A$5000,"&gt;="&amp;$A273,Entries!$A$2:$A$5000,"&lt;"&amp;EDATE($A273,1),Entries!$B$2:$B$5000,AC$1))</f>
        <v/>
      </c>
      <c r="AD273" s="23">
        <f>IF(OR(AD$1="",$BM273=0),"",SUMIFS(Entries!$E$2:$E$5000,Entries!$C$2:$C$5000,"Actual",Entries!$A$2:$A$5000,"&gt;="&amp;$A273,Entries!$A$2:$A$5000,"&lt;"&amp;EDATE($A273,1),Entries!$B$2:$B$5000,AD$1))</f>
        <v/>
      </c>
      <c r="AE273" s="23">
        <f>IF(OR(AE$1="",$BM273=0),"",SUMIFS(Entries!$E$2:$E$5000,Entries!$C$2:$C$5000,"Actual",Entries!$A$2:$A$5000,"&gt;="&amp;$A273,Entries!$A$2:$A$5000,"&lt;"&amp;EDATE($A273,1),Entries!$B$2:$B$5000,AE$1))</f>
        <v/>
      </c>
      <c r="AF273" s="23">
        <f>IF(OR(AF$1="",$BM273=0),"",SUMIFS(Entries!$E$2:$E$5000,Entries!$C$2:$C$5000,"Actual",Entries!$A$2:$A$5000,"&gt;="&amp;$A273,Entries!$A$2:$A$5000,"&lt;"&amp;EDATE($A273,1),Entries!$B$2:$B$5000,AF$1))</f>
        <v/>
      </c>
      <c r="AG273" s="23">
        <f>IF(OR(AG$1="",$BM273=0),"",SUMIFS(Entries!$E$2:$E$5000,Entries!$C$2:$C$5000,"Actual",Entries!$A$2:$A$5000,"&gt;="&amp;$A273,Entries!$A$2:$A$5000,"&lt;"&amp;EDATE($A273,1),Entries!$B$2:$B$5000,AG$1))</f>
        <v/>
      </c>
      <c r="AH273" s="23">
        <f>IF(OR(AH$1="",$BM273=0),"",SUMIFS(Entries!$E$2:$E$5000,Entries!$C$2:$C$5000,"Actual",Entries!$A$2:$A$5000,"&gt;="&amp;$A273,Entries!$A$2:$A$5000,"&lt;"&amp;EDATE($A273,1),Entries!$B$2:$B$5000,AH$1))</f>
        <v/>
      </c>
      <c r="AI273" s="23">
        <f>IF(OR(AI$1="",$BM273=0),"",SUMIFS(Entries!$E$2:$E$5000,Entries!$C$2:$C$5000,"Actual",Entries!$A$2:$A$5000,"&gt;="&amp;$A273,Entries!$A$2:$A$5000,"&lt;"&amp;EDATE($A273,1),Entries!$B$2:$B$5000,AI$1))</f>
        <v/>
      </c>
      <c r="AJ273" s="23">
        <f>IF(OR(AJ$1="",$BM273=0),"",SUMIFS(Entries!$E$2:$E$5000,Entries!$C$2:$C$5000,"Actual",Entries!$A$2:$A$5000,"&gt;="&amp;$A273,Entries!$A$2:$A$5000,"&lt;"&amp;EDATE($A273,1),Entries!$B$2:$B$5000,AJ$1))</f>
        <v/>
      </c>
      <c r="AK273" s="23">
        <f>IF(OR(AK$1="",$BM273=0),"",SUMIFS(Entries!$E$2:$E$5000,Entries!$C$2:$C$5000,"Actual",Entries!$A$2:$A$5000,"&gt;="&amp;$A273,Entries!$A$2:$A$5000,"&lt;"&amp;EDATE($A273,1),Entries!$B$2:$B$5000,AK$1))</f>
        <v/>
      </c>
      <c r="AL273" s="23">
        <f>IF(OR(AL$1="",$BM273=0),"",SUMIFS(Entries!$E$2:$E$5000,Entries!$C$2:$C$5000,"Actual",Entries!$A$2:$A$5000,"&gt;="&amp;$A273,Entries!$A$2:$A$5000,"&lt;"&amp;EDATE($A273,1),Entries!$B$2:$B$5000,AL$1))</f>
        <v/>
      </c>
      <c r="AM273" s="23">
        <f>IF(OR(AM$1="",$BM273=0),"",SUMIFS(Entries!$E$2:$E$5000,Entries!$C$2:$C$5000,"Actual",Entries!$A$2:$A$5000,"&gt;="&amp;$A273,Entries!$A$2:$A$5000,"&lt;"&amp;EDATE($A273,1),Entries!$B$2:$B$5000,AM$1))</f>
        <v/>
      </c>
      <c r="AN273" s="23">
        <f>IF(OR(AN$1="",$BM273=0),"",SUMIFS(Entries!$E$2:$E$5000,Entries!$C$2:$C$5000,"Actual",Entries!$A$2:$A$5000,"&gt;="&amp;$A273,Entries!$A$2:$A$5000,"&lt;"&amp;EDATE($A273,1),Entries!$B$2:$B$5000,AN$1))</f>
        <v/>
      </c>
      <c r="AO273" s="23">
        <f>IF(OR(AO$1="",$BM273=0),"",SUMIFS(Entries!$E$2:$E$5000,Entries!$C$2:$C$5000,"Actual",Entries!$A$2:$A$5000,"&gt;="&amp;$A273,Entries!$A$2:$A$5000,"&lt;"&amp;EDATE($A273,1),Entries!$B$2:$B$5000,AO$1))</f>
        <v/>
      </c>
      <c r="AP273" s="23">
        <f>IF(OR(AP$1="",$BM273=0),"",SUMIFS(Entries!$E$2:$E$5000,Entries!$C$2:$C$5000,"Actual",Entries!$A$2:$A$5000,"&gt;="&amp;$A273,Entries!$A$2:$A$5000,"&lt;"&amp;EDATE($A273,1),Entries!$B$2:$B$5000,AP$1))</f>
        <v/>
      </c>
      <c r="AR273" s="23">
        <f>IF(OR(AR$1="",$BM273=0),"",IFERROR(LOOKUP(2,1/((Budgets!$A$2:$A$200=AR$1)*(Budgets!$B$2:$B$200&lt;EDATE($A273,1))),Budgets!$C$2:$C$200),0))</f>
        <v/>
      </c>
      <c r="AS273" s="23">
        <f>IF(OR(AS$1="",$BM273=0),"",IFERROR(LOOKUP(2,1/((Budgets!$A$2:$A$200=AS$1)*(Budgets!$B$2:$B$200&lt;EDATE($A273,1))),Budgets!$C$2:$C$200),0))</f>
        <v/>
      </c>
      <c r="AT273" s="23">
        <f>IF(OR(AT$1="",$BM273=0),"",IFERROR(LOOKUP(2,1/((Budgets!$A$2:$A$200=AT$1)*(Budgets!$B$2:$B$200&lt;EDATE($A273,1))),Budgets!$C$2:$C$200),0))</f>
        <v/>
      </c>
      <c r="AU273" s="23">
        <f>IF(OR(AU$1="",$BM273=0),"",IFERROR(LOOKUP(2,1/((Budgets!$A$2:$A$200=AU$1)*(Budgets!$B$2:$B$200&lt;EDATE($A273,1))),Budgets!$C$2:$C$200),0))</f>
        <v/>
      </c>
      <c r="AV273" s="23">
        <f>IF(OR(AV$1="",$BM273=0),"",IFERROR(LOOKUP(2,1/((Budgets!$A$2:$A$200=AV$1)*(Budgets!$B$2:$B$200&lt;EDATE($A273,1))),Budgets!$C$2:$C$200),0))</f>
        <v/>
      </c>
      <c r="AW273" s="23">
        <f>IF(OR(AW$1="",$BM273=0),"",IFERROR(LOOKUP(2,1/((Budgets!$A$2:$A$200=AW$1)*(Budgets!$B$2:$B$200&lt;EDATE($A273,1))),Budgets!$C$2:$C$200),0))</f>
        <v/>
      </c>
      <c r="AX273" s="23">
        <f>IF(OR(AX$1="",$BM273=0),"",IFERROR(LOOKUP(2,1/((Budgets!$A$2:$A$200=AX$1)*(Budgets!$B$2:$B$200&lt;EDATE($A273,1))),Budgets!$C$2:$C$200),0))</f>
        <v/>
      </c>
      <c r="AY273" s="23">
        <f>IF(OR(AY$1="",$BM273=0),"",IFERROR(LOOKUP(2,1/((Budgets!$A$2:$A$200=AY$1)*(Budgets!$B$2:$B$200&lt;EDATE($A273,1))),Budgets!$C$2:$C$200),0))</f>
        <v/>
      </c>
      <c r="AZ273" s="23">
        <f>IF(OR(AZ$1="",$BM273=0),"",IFERROR(LOOKUP(2,1/((Budgets!$A$2:$A$200=AZ$1)*(Budgets!$B$2:$B$200&lt;EDATE($A273,1))),Budgets!$C$2:$C$200),0))</f>
        <v/>
      </c>
      <c r="BA273" s="23">
        <f>IF(OR(BA$1="",$BM273=0),"",IFERROR(LOOKUP(2,1/((Budgets!$A$2:$A$200=BA$1)*(Budgets!$B$2:$B$200&lt;EDATE($A273,1))),Budgets!$C$2:$C$200),0))</f>
        <v/>
      </c>
      <c r="BB273" s="23">
        <f>IF(OR(BB$1="",$BM273=0),"",IFERROR(LOOKUP(2,1/((Budgets!$A$2:$A$200=BB$1)*(Budgets!$B$2:$B$200&lt;EDATE($A273,1))),Budgets!$C$2:$C$200),0))</f>
        <v/>
      </c>
      <c r="BC273" s="23">
        <f>IF(OR(BC$1="",$BM273=0),"",IFERROR(LOOKUP(2,1/((Budgets!$A$2:$A$200=BC$1)*(Budgets!$B$2:$B$200&lt;EDATE($A273,1))),Budgets!$C$2:$C$200),0))</f>
        <v/>
      </c>
      <c r="BD273" s="23">
        <f>IF(OR(BD$1="",$BM273=0),"",IFERROR(LOOKUP(2,1/((Budgets!$A$2:$A$200=BD$1)*(Budgets!$B$2:$B$200&lt;EDATE($A273,1))),Budgets!$C$2:$C$200),0))</f>
        <v/>
      </c>
      <c r="BE273" s="23">
        <f>IF(OR(BE$1="",$BM273=0),"",IFERROR(LOOKUP(2,1/((Budgets!$A$2:$A$200=BE$1)*(Budgets!$B$2:$B$200&lt;EDATE($A273,1))),Budgets!$C$2:$C$200),0))</f>
        <v/>
      </c>
      <c r="BF273" s="23">
        <f>IF(OR(BF$1="",$BM273=0),"",IFERROR(LOOKUP(2,1/((Budgets!$A$2:$A$200=BF$1)*(Budgets!$B$2:$B$200&lt;EDATE($A273,1))),Budgets!$C$2:$C$200),0))</f>
        <v/>
      </c>
      <c r="BG273" s="23">
        <f>IF(OR(BG$1="",$BM273=0),"",IFERROR(LOOKUP(2,1/((Budgets!$A$2:$A$200=BG$1)*(Budgets!$B$2:$B$200&lt;EDATE($A273,1))),Budgets!$C$2:$C$200),0))</f>
        <v/>
      </c>
      <c r="BH273" s="23">
        <f>IF(OR(BH$1="",$BM273=0),"",IFERROR(LOOKUP(2,1/((Budgets!$A$2:$A$200=BH$1)*(Budgets!$B$2:$B$200&lt;EDATE($A273,1))),Budgets!$C$2:$C$200),0))</f>
        <v/>
      </c>
      <c r="BI273" s="23">
        <f>IF(OR(BI$1="",$BM273=0),"",IFERROR(LOOKUP(2,1/((Budgets!$A$2:$A$200=BI$1)*(Budgets!$B$2:$B$200&lt;EDATE($A273,1))),Budgets!$C$2:$C$200),0))</f>
        <v/>
      </c>
      <c r="BJ273" s="23">
        <f>IF(OR(BJ$1="",$BM273=0),"",IFERROR(LOOKUP(2,1/((Budgets!$A$2:$A$200=BJ$1)*(Budgets!$B$2:$B$200&lt;EDATE($A273,1))),Budgets!$C$2:$C$200),0))</f>
        <v/>
      </c>
      <c r="BK273" s="23">
        <f>IF(OR(BK$1="",$BM273=0),"",IFERROR(LOOKUP(2,1/((Budgets!$A$2:$A$200=BK$1)*(Budgets!$B$2:$B$200&lt;EDATE($A273,1))),Budgets!$C$2:$C$200),0))</f>
        <v/>
      </c>
      <c r="BM273" s="21">
        <f>COUNTIFS(Entries!$A$2:$A$5000,"&gt;="&amp;$A273,Entries!$A$2:$A$5000,"&lt;"&amp;EDATE($A273,1))</f>
        <v/>
      </c>
    </row>
    <row r="274">
      <c r="A274" s="22" t="n">
        <v>47727</v>
      </c>
      <c r="B274" s="23">
        <f>IF($BM274=0,NA(),SUMIFS(Entries!$E$2:$E$5000,Entries!$C$2:$C$5000,"Income",Entries!$A$2:$A$5000,"&gt;="&amp;$A274,Entries!$A$2:$A$5000,"&lt;"&amp;EDATE($A274,1)))</f>
        <v/>
      </c>
      <c r="C274" s="23">
        <f>IF($BM274=0,"",SUMIFS(Entries!$E$2:$E$5000,Entries!$C$2:$C$5000,"Actual",Entries!$A$2:$A$5000,"&gt;="&amp;$A274,Entries!$A$2:$A$5000,"&lt;"&amp;EDATE($A274,1)))</f>
        <v/>
      </c>
      <c r="D274" s="23">
        <f>IF($BM274=0,"",SUMIFS(Entries!$E$2:$E$5000,Entries!$C$2:$C$5000,"One-off",Entries!$A$2:$A$5000,"&gt;="&amp;$A274,Entries!$A$2:$A$5000,"&lt;"&amp;EDATE($A274,1)))</f>
        <v/>
      </c>
      <c r="E274" s="23">
        <f>IF($BM274=0,NA(),C274+D274)</f>
        <v/>
      </c>
      <c r="F274" s="23">
        <f>IF($BM274=0,"",SUM(AR274:BK274))</f>
        <v/>
      </c>
      <c r="G274" s="23">
        <f>IF($BM274=0,"",B274-E274)</f>
        <v/>
      </c>
      <c r="H274" s="23">
        <f>IF($BM274=0,"",SUM($G$2:G274))</f>
        <v/>
      </c>
      <c r="I274" s="23">
        <f>IF($BM274=0,"",SUMIFS(Entries!$G$2:$G$5000,Entries!$A$2:$A$5000,"&gt;="&amp;$A274,Entries!$A$2:$A$5000,"&lt;"&amp;EDATE($A274,1)))</f>
        <v/>
      </c>
      <c r="J274" s="23">
        <f>IF($BM274=0,NA(),H274)</f>
        <v/>
      </c>
      <c r="K274" s="23">
        <f>IF($BM274=0,"",SUMIFS(Entries!$E$2:$E$5000,Entries!$C$2:$C$5000,"Income",Entries!$A$2:$A$5000,"&gt;="&amp;EDATE($A274,-11),Entries!$A$2:$A$5000,"&lt;"&amp;EDATE($A274,1))/COUNTIFS($A$2:$A$400,"&gt;="&amp;EDATE($A274,-11),$A$2:$A$400,"&lt;"&amp;EDATE($A274,1),$BM$2:$BM$400,"&gt;0"))</f>
      </c>
      <c r="L274" s="23">
        <f>IF($BM274=0,"",(SUMIFS(Entries!$E$2:$E$5000,Entries!$C$2:$C$5000,"Actual",Entries!$A$2:$A$5000,"&gt;="&amp;EDATE($A274,-11),Entries!$A$2:$A$5000,"&lt;"&amp;EDATE($A274,1))+SUMIFS(Entries!$E$2:$E$5000,Entries!$C$2:$C$5000,"One-off",Entries!$A$2:$A$5000,"&gt;="&amp;EDATE($A274,-11),Entries!$A$2:$A$5000,"&lt;"&amp;EDATE($A274,1)))/COUNTIFS($A$2:$A$400,"&gt;="&amp;EDATE($A274,-11),$A$2:$A$400,"&lt;"&amp;EDATE($A274,1),$BM$2:$BM$400,"&gt;0"))</f>
      </c>
      <c r="M274" s="24">
        <f>IF($BM274=0,NA(),IFERROR((K274-L274)/K274,0))</f>
        <v/>
      </c>
      <c r="N274" s="23">
        <f>IF($BM274=0,NA(),SUMIFS(Entries!$E$2:$E$5000,Entries!$D$2:$D$5000,"Core",Entries!$A$2:$A$5000,"&gt;="&amp;$A274,Entries!$A$2:$A$5000,"&lt;"&amp;EDATE($A274,1)))</f>
        <v/>
      </c>
      <c r="O274" s="23">
        <f>IF($BM274=0,NA(),SUMIFS(Entries!$E$2:$E$5000,Entries!$D$2:$D$5000,"Over &amp; above",Entries!$A$2:$A$5000,"&gt;="&amp;$A274,Entries!$A$2:$A$5000,"&lt;"&amp;EDATE($A274,1)))</f>
        <v/>
      </c>
      <c r="P274" s="23">
        <f>IF($BM274=0,NA(),SUMIFS(Entries!$E$2:$E$5000,Entries!$D$2:$D$5000,"One-off",Entries!$A$2:$A$5000,"&gt;="&amp;$A274,Entries!$A$2:$A$5000,"&lt;"&amp;EDATE($A274,1)))</f>
        <v/>
      </c>
      <c r="Q274" s="23">
        <f>IF($BM274=0,NA(),SUMIFS(Entries!$E$2:$E$5000,Entries!$D$2:$D$5000,"Reimbursable",Entries!$A$2:$A$5000,"&gt;="&amp;$A274,Entries!$A$2:$A$5000,"&lt;"&amp;EDATE($A274,1)))</f>
        <v/>
      </c>
      <c r="R274" s="23">
        <f>IF($BM274=0,NA(),SUMIFS(Entries!$E$2:$E$5000,Entries!$D$2:$D$5000,"Investment",Entries!$A$2:$A$5000,"&gt;="&amp;$A274,Entries!$A$2:$A$5000,"&lt;"&amp;EDATE($A274,1)))</f>
        <v/>
      </c>
      <c r="S274" s="23">
        <f>IF($BM274=0,NA(),N274+O274)</f>
        <v/>
      </c>
      <c r="T274" s="23">
        <f>IF($BM274=0,"",E274-Q274)</f>
        <v/>
      </c>
      <c r="W274" s="23">
        <f>IF(OR(W$1="",$BM274=0),"",SUMIFS(Entries!$E$2:$E$5000,Entries!$C$2:$C$5000,"Actual",Entries!$A$2:$A$5000,"&gt;="&amp;$A274,Entries!$A$2:$A$5000,"&lt;"&amp;EDATE($A274,1),Entries!$B$2:$B$5000,W$1))</f>
        <v/>
      </c>
      <c r="X274" s="23">
        <f>IF(OR(X$1="",$BM274=0),"",SUMIFS(Entries!$E$2:$E$5000,Entries!$C$2:$C$5000,"Actual",Entries!$A$2:$A$5000,"&gt;="&amp;$A274,Entries!$A$2:$A$5000,"&lt;"&amp;EDATE($A274,1),Entries!$B$2:$B$5000,X$1))</f>
        <v/>
      </c>
      <c r="Y274" s="23">
        <f>IF(OR(Y$1="",$BM274=0),"",SUMIFS(Entries!$E$2:$E$5000,Entries!$C$2:$C$5000,"Actual",Entries!$A$2:$A$5000,"&gt;="&amp;$A274,Entries!$A$2:$A$5000,"&lt;"&amp;EDATE($A274,1),Entries!$B$2:$B$5000,Y$1))</f>
        <v/>
      </c>
      <c r="Z274" s="23">
        <f>IF(OR(Z$1="",$BM274=0),"",SUMIFS(Entries!$E$2:$E$5000,Entries!$C$2:$C$5000,"Actual",Entries!$A$2:$A$5000,"&gt;="&amp;$A274,Entries!$A$2:$A$5000,"&lt;"&amp;EDATE($A274,1),Entries!$B$2:$B$5000,Z$1))</f>
        <v/>
      </c>
      <c r="AA274" s="23">
        <f>IF(OR(AA$1="",$BM274=0),"",SUMIFS(Entries!$E$2:$E$5000,Entries!$C$2:$C$5000,"Actual",Entries!$A$2:$A$5000,"&gt;="&amp;$A274,Entries!$A$2:$A$5000,"&lt;"&amp;EDATE($A274,1),Entries!$B$2:$B$5000,AA$1))</f>
        <v/>
      </c>
      <c r="AB274" s="23">
        <f>IF(OR(AB$1="",$BM274=0),"",SUMIFS(Entries!$E$2:$E$5000,Entries!$C$2:$C$5000,"Actual",Entries!$A$2:$A$5000,"&gt;="&amp;$A274,Entries!$A$2:$A$5000,"&lt;"&amp;EDATE($A274,1),Entries!$B$2:$B$5000,AB$1))</f>
        <v/>
      </c>
      <c r="AC274" s="23">
        <f>IF(OR(AC$1="",$BM274=0),"",SUMIFS(Entries!$E$2:$E$5000,Entries!$C$2:$C$5000,"Actual",Entries!$A$2:$A$5000,"&gt;="&amp;$A274,Entries!$A$2:$A$5000,"&lt;"&amp;EDATE($A274,1),Entries!$B$2:$B$5000,AC$1))</f>
        <v/>
      </c>
      <c r="AD274" s="23">
        <f>IF(OR(AD$1="",$BM274=0),"",SUMIFS(Entries!$E$2:$E$5000,Entries!$C$2:$C$5000,"Actual",Entries!$A$2:$A$5000,"&gt;="&amp;$A274,Entries!$A$2:$A$5000,"&lt;"&amp;EDATE($A274,1),Entries!$B$2:$B$5000,AD$1))</f>
        <v/>
      </c>
      <c r="AE274" s="23">
        <f>IF(OR(AE$1="",$BM274=0),"",SUMIFS(Entries!$E$2:$E$5000,Entries!$C$2:$C$5000,"Actual",Entries!$A$2:$A$5000,"&gt;="&amp;$A274,Entries!$A$2:$A$5000,"&lt;"&amp;EDATE($A274,1),Entries!$B$2:$B$5000,AE$1))</f>
        <v/>
      </c>
      <c r="AF274" s="23">
        <f>IF(OR(AF$1="",$BM274=0),"",SUMIFS(Entries!$E$2:$E$5000,Entries!$C$2:$C$5000,"Actual",Entries!$A$2:$A$5000,"&gt;="&amp;$A274,Entries!$A$2:$A$5000,"&lt;"&amp;EDATE($A274,1),Entries!$B$2:$B$5000,AF$1))</f>
        <v/>
      </c>
      <c r="AG274" s="23">
        <f>IF(OR(AG$1="",$BM274=0),"",SUMIFS(Entries!$E$2:$E$5000,Entries!$C$2:$C$5000,"Actual",Entries!$A$2:$A$5000,"&gt;="&amp;$A274,Entries!$A$2:$A$5000,"&lt;"&amp;EDATE($A274,1),Entries!$B$2:$B$5000,AG$1))</f>
        <v/>
      </c>
      <c r="AH274" s="23">
        <f>IF(OR(AH$1="",$BM274=0),"",SUMIFS(Entries!$E$2:$E$5000,Entries!$C$2:$C$5000,"Actual",Entries!$A$2:$A$5000,"&gt;="&amp;$A274,Entries!$A$2:$A$5000,"&lt;"&amp;EDATE($A274,1),Entries!$B$2:$B$5000,AH$1))</f>
        <v/>
      </c>
      <c r="AI274" s="23">
        <f>IF(OR(AI$1="",$BM274=0),"",SUMIFS(Entries!$E$2:$E$5000,Entries!$C$2:$C$5000,"Actual",Entries!$A$2:$A$5000,"&gt;="&amp;$A274,Entries!$A$2:$A$5000,"&lt;"&amp;EDATE($A274,1),Entries!$B$2:$B$5000,AI$1))</f>
        <v/>
      </c>
      <c r="AJ274" s="23">
        <f>IF(OR(AJ$1="",$BM274=0),"",SUMIFS(Entries!$E$2:$E$5000,Entries!$C$2:$C$5000,"Actual",Entries!$A$2:$A$5000,"&gt;="&amp;$A274,Entries!$A$2:$A$5000,"&lt;"&amp;EDATE($A274,1),Entries!$B$2:$B$5000,AJ$1))</f>
        <v/>
      </c>
      <c r="AK274" s="23">
        <f>IF(OR(AK$1="",$BM274=0),"",SUMIFS(Entries!$E$2:$E$5000,Entries!$C$2:$C$5000,"Actual",Entries!$A$2:$A$5000,"&gt;="&amp;$A274,Entries!$A$2:$A$5000,"&lt;"&amp;EDATE($A274,1),Entries!$B$2:$B$5000,AK$1))</f>
        <v/>
      </c>
      <c r="AL274" s="23">
        <f>IF(OR(AL$1="",$BM274=0),"",SUMIFS(Entries!$E$2:$E$5000,Entries!$C$2:$C$5000,"Actual",Entries!$A$2:$A$5000,"&gt;="&amp;$A274,Entries!$A$2:$A$5000,"&lt;"&amp;EDATE($A274,1),Entries!$B$2:$B$5000,AL$1))</f>
        <v/>
      </c>
      <c r="AM274" s="23">
        <f>IF(OR(AM$1="",$BM274=0),"",SUMIFS(Entries!$E$2:$E$5000,Entries!$C$2:$C$5000,"Actual",Entries!$A$2:$A$5000,"&gt;="&amp;$A274,Entries!$A$2:$A$5000,"&lt;"&amp;EDATE($A274,1),Entries!$B$2:$B$5000,AM$1))</f>
        <v/>
      </c>
      <c r="AN274" s="23">
        <f>IF(OR(AN$1="",$BM274=0),"",SUMIFS(Entries!$E$2:$E$5000,Entries!$C$2:$C$5000,"Actual",Entries!$A$2:$A$5000,"&gt;="&amp;$A274,Entries!$A$2:$A$5000,"&lt;"&amp;EDATE($A274,1),Entries!$B$2:$B$5000,AN$1))</f>
        <v/>
      </c>
      <c r="AO274" s="23">
        <f>IF(OR(AO$1="",$BM274=0),"",SUMIFS(Entries!$E$2:$E$5000,Entries!$C$2:$C$5000,"Actual",Entries!$A$2:$A$5000,"&gt;="&amp;$A274,Entries!$A$2:$A$5000,"&lt;"&amp;EDATE($A274,1),Entries!$B$2:$B$5000,AO$1))</f>
        <v/>
      </c>
      <c r="AP274" s="23">
        <f>IF(OR(AP$1="",$BM274=0),"",SUMIFS(Entries!$E$2:$E$5000,Entries!$C$2:$C$5000,"Actual",Entries!$A$2:$A$5000,"&gt;="&amp;$A274,Entries!$A$2:$A$5000,"&lt;"&amp;EDATE($A274,1),Entries!$B$2:$B$5000,AP$1))</f>
        <v/>
      </c>
      <c r="AR274" s="23">
        <f>IF(OR(AR$1="",$BM274=0),"",IFERROR(LOOKUP(2,1/((Budgets!$A$2:$A$200=AR$1)*(Budgets!$B$2:$B$200&lt;EDATE($A274,1))),Budgets!$C$2:$C$200),0))</f>
        <v/>
      </c>
      <c r="AS274" s="23">
        <f>IF(OR(AS$1="",$BM274=0),"",IFERROR(LOOKUP(2,1/((Budgets!$A$2:$A$200=AS$1)*(Budgets!$B$2:$B$200&lt;EDATE($A274,1))),Budgets!$C$2:$C$200),0))</f>
        <v/>
      </c>
      <c r="AT274" s="23">
        <f>IF(OR(AT$1="",$BM274=0),"",IFERROR(LOOKUP(2,1/((Budgets!$A$2:$A$200=AT$1)*(Budgets!$B$2:$B$200&lt;EDATE($A274,1))),Budgets!$C$2:$C$200),0))</f>
        <v/>
      </c>
      <c r="AU274" s="23">
        <f>IF(OR(AU$1="",$BM274=0),"",IFERROR(LOOKUP(2,1/((Budgets!$A$2:$A$200=AU$1)*(Budgets!$B$2:$B$200&lt;EDATE($A274,1))),Budgets!$C$2:$C$200),0))</f>
        <v/>
      </c>
      <c r="AV274" s="23">
        <f>IF(OR(AV$1="",$BM274=0),"",IFERROR(LOOKUP(2,1/((Budgets!$A$2:$A$200=AV$1)*(Budgets!$B$2:$B$200&lt;EDATE($A274,1))),Budgets!$C$2:$C$200),0))</f>
        <v/>
      </c>
      <c r="AW274" s="23">
        <f>IF(OR(AW$1="",$BM274=0),"",IFERROR(LOOKUP(2,1/((Budgets!$A$2:$A$200=AW$1)*(Budgets!$B$2:$B$200&lt;EDATE($A274,1))),Budgets!$C$2:$C$200),0))</f>
        <v/>
      </c>
      <c r="AX274" s="23">
        <f>IF(OR(AX$1="",$BM274=0),"",IFERROR(LOOKUP(2,1/((Budgets!$A$2:$A$200=AX$1)*(Budgets!$B$2:$B$200&lt;EDATE($A274,1))),Budgets!$C$2:$C$200),0))</f>
        <v/>
      </c>
      <c r="AY274" s="23">
        <f>IF(OR(AY$1="",$BM274=0),"",IFERROR(LOOKUP(2,1/((Budgets!$A$2:$A$200=AY$1)*(Budgets!$B$2:$B$200&lt;EDATE($A274,1))),Budgets!$C$2:$C$200),0))</f>
        <v/>
      </c>
      <c r="AZ274" s="23">
        <f>IF(OR(AZ$1="",$BM274=0),"",IFERROR(LOOKUP(2,1/((Budgets!$A$2:$A$200=AZ$1)*(Budgets!$B$2:$B$200&lt;EDATE($A274,1))),Budgets!$C$2:$C$200),0))</f>
        <v/>
      </c>
      <c r="BA274" s="23">
        <f>IF(OR(BA$1="",$BM274=0),"",IFERROR(LOOKUP(2,1/((Budgets!$A$2:$A$200=BA$1)*(Budgets!$B$2:$B$200&lt;EDATE($A274,1))),Budgets!$C$2:$C$200),0))</f>
        <v/>
      </c>
      <c r="BB274" s="23">
        <f>IF(OR(BB$1="",$BM274=0),"",IFERROR(LOOKUP(2,1/((Budgets!$A$2:$A$200=BB$1)*(Budgets!$B$2:$B$200&lt;EDATE($A274,1))),Budgets!$C$2:$C$200),0))</f>
        <v/>
      </c>
      <c r="BC274" s="23">
        <f>IF(OR(BC$1="",$BM274=0),"",IFERROR(LOOKUP(2,1/((Budgets!$A$2:$A$200=BC$1)*(Budgets!$B$2:$B$200&lt;EDATE($A274,1))),Budgets!$C$2:$C$200),0))</f>
        <v/>
      </c>
      <c r="BD274" s="23">
        <f>IF(OR(BD$1="",$BM274=0),"",IFERROR(LOOKUP(2,1/((Budgets!$A$2:$A$200=BD$1)*(Budgets!$B$2:$B$200&lt;EDATE($A274,1))),Budgets!$C$2:$C$200),0))</f>
        <v/>
      </c>
      <c r="BE274" s="23">
        <f>IF(OR(BE$1="",$BM274=0),"",IFERROR(LOOKUP(2,1/((Budgets!$A$2:$A$200=BE$1)*(Budgets!$B$2:$B$200&lt;EDATE($A274,1))),Budgets!$C$2:$C$200),0))</f>
        <v/>
      </c>
      <c r="BF274" s="23">
        <f>IF(OR(BF$1="",$BM274=0),"",IFERROR(LOOKUP(2,1/((Budgets!$A$2:$A$200=BF$1)*(Budgets!$B$2:$B$200&lt;EDATE($A274,1))),Budgets!$C$2:$C$200),0))</f>
        <v/>
      </c>
      <c r="BG274" s="23">
        <f>IF(OR(BG$1="",$BM274=0),"",IFERROR(LOOKUP(2,1/((Budgets!$A$2:$A$200=BG$1)*(Budgets!$B$2:$B$200&lt;EDATE($A274,1))),Budgets!$C$2:$C$200),0))</f>
        <v/>
      </c>
      <c r="BH274" s="23">
        <f>IF(OR(BH$1="",$BM274=0),"",IFERROR(LOOKUP(2,1/((Budgets!$A$2:$A$200=BH$1)*(Budgets!$B$2:$B$200&lt;EDATE($A274,1))),Budgets!$C$2:$C$200),0))</f>
        <v/>
      </c>
      <c r="BI274" s="23">
        <f>IF(OR(BI$1="",$BM274=0),"",IFERROR(LOOKUP(2,1/((Budgets!$A$2:$A$200=BI$1)*(Budgets!$B$2:$B$200&lt;EDATE($A274,1))),Budgets!$C$2:$C$200),0))</f>
        <v/>
      </c>
      <c r="BJ274" s="23">
        <f>IF(OR(BJ$1="",$BM274=0),"",IFERROR(LOOKUP(2,1/((Budgets!$A$2:$A$200=BJ$1)*(Budgets!$B$2:$B$200&lt;EDATE($A274,1))),Budgets!$C$2:$C$200),0))</f>
        <v/>
      </c>
      <c r="BK274" s="23">
        <f>IF(OR(BK$1="",$BM274=0),"",IFERROR(LOOKUP(2,1/((Budgets!$A$2:$A$200=BK$1)*(Budgets!$B$2:$B$200&lt;EDATE($A274,1))),Budgets!$C$2:$C$200),0))</f>
        <v/>
      </c>
      <c r="BM274" s="21">
        <f>COUNTIFS(Entries!$A$2:$A$5000,"&gt;="&amp;$A274,Entries!$A$2:$A$5000,"&lt;"&amp;EDATE($A274,1))</f>
        <v/>
      </c>
    </row>
    <row r="275">
      <c r="A275" s="22" t="n">
        <v>47757</v>
      </c>
      <c r="B275" s="23">
        <f>IF($BM275=0,NA(),SUMIFS(Entries!$E$2:$E$5000,Entries!$C$2:$C$5000,"Income",Entries!$A$2:$A$5000,"&gt;="&amp;$A275,Entries!$A$2:$A$5000,"&lt;"&amp;EDATE($A275,1)))</f>
        <v/>
      </c>
      <c r="C275" s="23">
        <f>IF($BM275=0,"",SUMIFS(Entries!$E$2:$E$5000,Entries!$C$2:$C$5000,"Actual",Entries!$A$2:$A$5000,"&gt;="&amp;$A275,Entries!$A$2:$A$5000,"&lt;"&amp;EDATE($A275,1)))</f>
        <v/>
      </c>
      <c r="D275" s="23">
        <f>IF($BM275=0,"",SUMIFS(Entries!$E$2:$E$5000,Entries!$C$2:$C$5000,"One-off",Entries!$A$2:$A$5000,"&gt;="&amp;$A275,Entries!$A$2:$A$5000,"&lt;"&amp;EDATE($A275,1)))</f>
        <v/>
      </c>
      <c r="E275" s="23">
        <f>IF($BM275=0,NA(),C275+D275)</f>
        <v/>
      </c>
      <c r="F275" s="23">
        <f>IF($BM275=0,"",SUM(AR275:BK275))</f>
        <v/>
      </c>
      <c r="G275" s="23">
        <f>IF($BM275=0,"",B275-E275)</f>
        <v/>
      </c>
      <c r="H275" s="23">
        <f>IF($BM275=0,"",SUM($G$2:G275))</f>
        <v/>
      </c>
      <c r="I275" s="23">
        <f>IF($BM275=0,"",SUMIFS(Entries!$G$2:$G$5000,Entries!$A$2:$A$5000,"&gt;="&amp;$A275,Entries!$A$2:$A$5000,"&lt;"&amp;EDATE($A275,1)))</f>
        <v/>
      </c>
      <c r="J275" s="23">
        <f>IF($BM275=0,NA(),H275)</f>
        <v/>
      </c>
      <c r="K275" s="23">
        <f>IF($BM275=0,"",SUMIFS(Entries!$E$2:$E$5000,Entries!$C$2:$C$5000,"Income",Entries!$A$2:$A$5000,"&gt;="&amp;EDATE($A275,-11),Entries!$A$2:$A$5000,"&lt;"&amp;EDATE($A275,1))/COUNTIFS($A$2:$A$400,"&gt;="&amp;EDATE($A275,-11),$A$2:$A$400,"&lt;"&amp;EDATE($A275,1),$BM$2:$BM$400,"&gt;0"))</f>
      </c>
      <c r="L275" s="23">
        <f>IF($BM275=0,"",(SUMIFS(Entries!$E$2:$E$5000,Entries!$C$2:$C$5000,"Actual",Entries!$A$2:$A$5000,"&gt;="&amp;EDATE($A275,-11),Entries!$A$2:$A$5000,"&lt;"&amp;EDATE($A275,1))+SUMIFS(Entries!$E$2:$E$5000,Entries!$C$2:$C$5000,"One-off",Entries!$A$2:$A$5000,"&gt;="&amp;EDATE($A275,-11),Entries!$A$2:$A$5000,"&lt;"&amp;EDATE($A275,1)))/COUNTIFS($A$2:$A$400,"&gt;="&amp;EDATE($A275,-11),$A$2:$A$400,"&lt;"&amp;EDATE($A275,1),$BM$2:$BM$400,"&gt;0"))</f>
      </c>
      <c r="M275" s="24">
        <f>IF($BM275=0,NA(),IFERROR((K275-L275)/K275,0))</f>
        <v/>
      </c>
      <c r="N275" s="23">
        <f>IF($BM275=0,NA(),SUMIFS(Entries!$E$2:$E$5000,Entries!$D$2:$D$5000,"Core",Entries!$A$2:$A$5000,"&gt;="&amp;$A275,Entries!$A$2:$A$5000,"&lt;"&amp;EDATE($A275,1)))</f>
        <v/>
      </c>
      <c r="O275" s="23">
        <f>IF($BM275=0,NA(),SUMIFS(Entries!$E$2:$E$5000,Entries!$D$2:$D$5000,"Over &amp; above",Entries!$A$2:$A$5000,"&gt;="&amp;$A275,Entries!$A$2:$A$5000,"&lt;"&amp;EDATE($A275,1)))</f>
        <v/>
      </c>
      <c r="P275" s="23">
        <f>IF($BM275=0,NA(),SUMIFS(Entries!$E$2:$E$5000,Entries!$D$2:$D$5000,"One-off",Entries!$A$2:$A$5000,"&gt;="&amp;$A275,Entries!$A$2:$A$5000,"&lt;"&amp;EDATE($A275,1)))</f>
        <v/>
      </c>
      <c r="Q275" s="23">
        <f>IF($BM275=0,NA(),SUMIFS(Entries!$E$2:$E$5000,Entries!$D$2:$D$5000,"Reimbursable",Entries!$A$2:$A$5000,"&gt;="&amp;$A275,Entries!$A$2:$A$5000,"&lt;"&amp;EDATE($A275,1)))</f>
        <v/>
      </c>
      <c r="R275" s="23">
        <f>IF($BM275=0,NA(),SUMIFS(Entries!$E$2:$E$5000,Entries!$D$2:$D$5000,"Investment",Entries!$A$2:$A$5000,"&gt;="&amp;$A275,Entries!$A$2:$A$5000,"&lt;"&amp;EDATE($A275,1)))</f>
        <v/>
      </c>
      <c r="S275" s="23">
        <f>IF($BM275=0,NA(),N275+O275)</f>
        <v/>
      </c>
      <c r="T275" s="23">
        <f>IF($BM275=0,"",E275-Q275)</f>
        <v/>
      </c>
      <c r="W275" s="23">
        <f>IF(OR(W$1="",$BM275=0),"",SUMIFS(Entries!$E$2:$E$5000,Entries!$C$2:$C$5000,"Actual",Entries!$A$2:$A$5000,"&gt;="&amp;$A275,Entries!$A$2:$A$5000,"&lt;"&amp;EDATE($A275,1),Entries!$B$2:$B$5000,W$1))</f>
        <v/>
      </c>
      <c r="X275" s="23">
        <f>IF(OR(X$1="",$BM275=0),"",SUMIFS(Entries!$E$2:$E$5000,Entries!$C$2:$C$5000,"Actual",Entries!$A$2:$A$5000,"&gt;="&amp;$A275,Entries!$A$2:$A$5000,"&lt;"&amp;EDATE($A275,1),Entries!$B$2:$B$5000,X$1))</f>
        <v/>
      </c>
      <c r="Y275" s="23">
        <f>IF(OR(Y$1="",$BM275=0),"",SUMIFS(Entries!$E$2:$E$5000,Entries!$C$2:$C$5000,"Actual",Entries!$A$2:$A$5000,"&gt;="&amp;$A275,Entries!$A$2:$A$5000,"&lt;"&amp;EDATE($A275,1),Entries!$B$2:$B$5000,Y$1))</f>
        <v/>
      </c>
      <c r="Z275" s="23">
        <f>IF(OR(Z$1="",$BM275=0),"",SUMIFS(Entries!$E$2:$E$5000,Entries!$C$2:$C$5000,"Actual",Entries!$A$2:$A$5000,"&gt;="&amp;$A275,Entries!$A$2:$A$5000,"&lt;"&amp;EDATE($A275,1),Entries!$B$2:$B$5000,Z$1))</f>
        <v/>
      </c>
      <c r="AA275" s="23">
        <f>IF(OR(AA$1="",$BM275=0),"",SUMIFS(Entries!$E$2:$E$5000,Entries!$C$2:$C$5000,"Actual",Entries!$A$2:$A$5000,"&gt;="&amp;$A275,Entries!$A$2:$A$5000,"&lt;"&amp;EDATE($A275,1),Entries!$B$2:$B$5000,AA$1))</f>
        <v/>
      </c>
      <c r="AB275" s="23">
        <f>IF(OR(AB$1="",$BM275=0),"",SUMIFS(Entries!$E$2:$E$5000,Entries!$C$2:$C$5000,"Actual",Entries!$A$2:$A$5000,"&gt;="&amp;$A275,Entries!$A$2:$A$5000,"&lt;"&amp;EDATE($A275,1),Entries!$B$2:$B$5000,AB$1))</f>
        <v/>
      </c>
      <c r="AC275" s="23">
        <f>IF(OR(AC$1="",$BM275=0),"",SUMIFS(Entries!$E$2:$E$5000,Entries!$C$2:$C$5000,"Actual",Entries!$A$2:$A$5000,"&gt;="&amp;$A275,Entries!$A$2:$A$5000,"&lt;"&amp;EDATE($A275,1),Entries!$B$2:$B$5000,AC$1))</f>
        <v/>
      </c>
      <c r="AD275" s="23">
        <f>IF(OR(AD$1="",$BM275=0),"",SUMIFS(Entries!$E$2:$E$5000,Entries!$C$2:$C$5000,"Actual",Entries!$A$2:$A$5000,"&gt;="&amp;$A275,Entries!$A$2:$A$5000,"&lt;"&amp;EDATE($A275,1),Entries!$B$2:$B$5000,AD$1))</f>
        <v/>
      </c>
      <c r="AE275" s="23">
        <f>IF(OR(AE$1="",$BM275=0),"",SUMIFS(Entries!$E$2:$E$5000,Entries!$C$2:$C$5000,"Actual",Entries!$A$2:$A$5000,"&gt;="&amp;$A275,Entries!$A$2:$A$5000,"&lt;"&amp;EDATE($A275,1),Entries!$B$2:$B$5000,AE$1))</f>
        <v/>
      </c>
      <c r="AF275" s="23">
        <f>IF(OR(AF$1="",$BM275=0),"",SUMIFS(Entries!$E$2:$E$5000,Entries!$C$2:$C$5000,"Actual",Entries!$A$2:$A$5000,"&gt;="&amp;$A275,Entries!$A$2:$A$5000,"&lt;"&amp;EDATE($A275,1),Entries!$B$2:$B$5000,AF$1))</f>
        <v/>
      </c>
      <c r="AG275" s="23">
        <f>IF(OR(AG$1="",$BM275=0),"",SUMIFS(Entries!$E$2:$E$5000,Entries!$C$2:$C$5000,"Actual",Entries!$A$2:$A$5000,"&gt;="&amp;$A275,Entries!$A$2:$A$5000,"&lt;"&amp;EDATE($A275,1),Entries!$B$2:$B$5000,AG$1))</f>
        <v/>
      </c>
      <c r="AH275" s="23">
        <f>IF(OR(AH$1="",$BM275=0),"",SUMIFS(Entries!$E$2:$E$5000,Entries!$C$2:$C$5000,"Actual",Entries!$A$2:$A$5000,"&gt;="&amp;$A275,Entries!$A$2:$A$5000,"&lt;"&amp;EDATE($A275,1),Entries!$B$2:$B$5000,AH$1))</f>
        <v/>
      </c>
      <c r="AI275" s="23">
        <f>IF(OR(AI$1="",$BM275=0),"",SUMIFS(Entries!$E$2:$E$5000,Entries!$C$2:$C$5000,"Actual",Entries!$A$2:$A$5000,"&gt;="&amp;$A275,Entries!$A$2:$A$5000,"&lt;"&amp;EDATE($A275,1),Entries!$B$2:$B$5000,AI$1))</f>
        <v/>
      </c>
      <c r="AJ275" s="23">
        <f>IF(OR(AJ$1="",$BM275=0),"",SUMIFS(Entries!$E$2:$E$5000,Entries!$C$2:$C$5000,"Actual",Entries!$A$2:$A$5000,"&gt;="&amp;$A275,Entries!$A$2:$A$5000,"&lt;"&amp;EDATE($A275,1),Entries!$B$2:$B$5000,AJ$1))</f>
        <v/>
      </c>
      <c r="AK275" s="23">
        <f>IF(OR(AK$1="",$BM275=0),"",SUMIFS(Entries!$E$2:$E$5000,Entries!$C$2:$C$5000,"Actual",Entries!$A$2:$A$5000,"&gt;="&amp;$A275,Entries!$A$2:$A$5000,"&lt;"&amp;EDATE($A275,1),Entries!$B$2:$B$5000,AK$1))</f>
        <v/>
      </c>
      <c r="AL275" s="23">
        <f>IF(OR(AL$1="",$BM275=0),"",SUMIFS(Entries!$E$2:$E$5000,Entries!$C$2:$C$5000,"Actual",Entries!$A$2:$A$5000,"&gt;="&amp;$A275,Entries!$A$2:$A$5000,"&lt;"&amp;EDATE($A275,1),Entries!$B$2:$B$5000,AL$1))</f>
        <v/>
      </c>
      <c r="AM275" s="23">
        <f>IF(OR(AM$1="",$BM275=0),"",SUMIFS(Entries!$E$2:$E$5000,Entries!$C$2:$C$5000,"Actual",Entries!$A$2:$A$5000,"&gt;="&amp;$A275,Entries!$A$2:$A$5000,"&lt;"&amp;EDATE($A275,1),Entries!$B$2:$B$5000,AM$1))</f>
        <v/>
      </c>
      <c r="AN275" s="23">
        <f>IF(OR(AN$1="",$BM275=0),"",SUMIFS(Entries!$E$2:$E$5000,Entries!$C$2:$C$5000,"Actual",Entries!$A$2:$A$5000,"&gt;="&amp;$A275,Entries!$A$2:$A$5000,"&lt;"&amp;EDATE($A275,1),Entries!$B$2:$B$5000,AN$1))</f>
        <v/>
      </c>
      <c r="AO275" s="23">
        <f>IF(OR(AO$1="",$BM275=0),"",SUMIFS(Entries!$E$2:$E$5000,Entries!$C$2:$C$5000,"Actual",Entries!$A$2:$A$5000,"&gt;="&amp;$A275,Entries!$A$2:$A$5000,"&lt;"&amp;EDATE($A275,1),Entries!$B$2:$B$5000,AO$1))</f>
        <v/>
      </c>
      <c r="AP275" s="23">
        <f>IF(OR(AP$1="",$BM275=0),"",SUMIFS(Entries!$E$2:$E$5000,Entries!$C$2:$C$5000,"Actual",Entries!$A$2:$A$5000,"&gt;="&amp;$A275,Entries!$A$2:$A$5000,"&lt;"&amp;EDATE($A275,1),Entries!$B$2:$B$5000,AP$1))</f>
        <v/>
      </c>
      <c r="AR275" s="23">
        <f>IF(OR(AR$1="",$BM275=0),"",IFERROR(LOOKUP(2,1/((Budgets!$A$2:$A$200=AR$1)*(Budgets!$B$2:$B$200&lt;EDATE($A275,1))),Budgets!$C$2:$C$200),0))</f>
        <v/>
      </c>
      <c r="AS275" s="23">
        <f>IF(OR(AS$1="",$BM275=0),"",IFERROR(LOOKUP(2,1/((Budgets!$A$2:$A$200=AS$1)*(Budgets!$B$2:$B$200&lt;EDATE($A275,1))),Budgets!$C$2:$C$200),0))</f>
        <v/>
      </c>
      <c r="AT275" s="23">
        <f>IF(OR(AT$1="",$BM275=0),"",IFERROR(LOOKUP(2,1/((Budgets!$A$2:$A$200=AT$1)*(Budgets!$B$2:$B$200&lt;EDATE($A275,1))),Budgets!$C$2:$C$200),0))</f>
        <v/>
      </c>
      <c r="AU275" s="23">
        <f>IF(OR(AU$1="",$BM275=0),"",IFERROR(LOOKUP(2,1/((Budgets!$A$2:$A$200=AU$1)*(Budgets!$B$2:$B$200&lt;EDATE($A275,1))),Budgets!$C$2:$C$200),0))</f>
        <v/>
      </c>
      <c r="AV275" s="23">
        <f>IF(OR(AV$1="",$BM275=0),"",IFERROR(LOOKUP(2,1/((Budgets!$A$2:$A$200=AV$1)*(Budgets!$B$2:$B$200&lt;EDATE($A275,1))),Budgets!$C$2:$C$200),0))</f>
        <v/>
      </c>
      <c r="AW275" s="23">
        <f>IF(OR(AW$1="",$BM275=0),"",IFERROR(LOOKUP(2,1/((Budgets!$A$2:$A$200=AW$1)*(Budgets!$B$2:$B$200&lt;EDATE($A275,1))),Budgets!$C$2:$C$200),0))</f>
        <v/>
      </c>
      <c r="AX275" s="23">
        <f>IF(OR(AX$1="",$BM275=0),"",IFERROR(LOOKUP(2,1/((Budgets!$A$2:$A$200=AX$1)*(Budgets!$B$2:$B$200&lt;EDATE($A275,1))),Budgets!$C$2:$C$200),0))</f>
        <v/>
      </c>
      <c r="AY275" s="23">
        <f>IF(OR(AY$1="",$BM275=0),"",IFERROR(LOOKUP(2,1/((Budgets!$A$2:$A$200=AY$1)*(Budgets!$B$2:$B$200&lt;EDATE($A275,1))),Budgets!$C$2:$C$200),0))</f>
        <v/>
      </c>
      <c r="AZ275" s="23">
        <f>IF(OR(AZ$1="",$BM275=0),"",IFERROR(LOOKUP(2,1/((Budgets!$A$2:$A$200=AZ$1)*(Budgets!$B$2:$B$200&lt;EDATE($A275,1))),Budgets!$C$2:$C$200),0))</f>
        <v/>
      </c>
      <c r="BA275" s="23">
        <f>IF(OR(BA$1="",$BM275=0),"",IFERROR(LOOKUP(2,1/((Budgets!$A$2:$A$200=BA$1)*(Budgets!$B$2:$B$200&lt;EDATE($A275,1))),Budgets!$C$2:$C$200),0))</f>
        <v/>
      </c>
      <c r="BB275" s="23">
        <f>IF(OR(BB$1="",$BM275=0),"",IFERROR(LOOKUP(2,1/((Budgets!$A$2:$A$200=BB$1)*(Budgets!$B$2:$B$200&lt;EDATE($A275,1))),Budgets!$C$2:$C$200),0))</f>
        <v/>
      </c>
      <c r="BC275" s="23">
        <f>IF(OR(BC$1="",$BM275=0),"",IFERROR(LOOKUP(2,1/((Budgets!$A$2:$A$200=BC$1)*(Budgets!$B$2:$B$200&lt;EDATE($A275,1))),Budgets!$C$2:$C$200),0))</f>
        <v/>
      </c>
      <c r="BD275" s="23">
        <f>IF(OR(BD$1="",$BM275=0),"",IFERROR(LOOKUP(2,1/((Budgets!$A$2:$A$200=BD$1)*(Budgets!$B$2:$B$200&lt;EDATE($A275,1))),Budgets!$C$2:$C$200),0))</f>
        <v/>
      </c>
      <c r="BE275" s="23">
        <f>IF(OR(BE$1="",$BM275=0),"",IFERROR(LOOKUP(2,1/((Budgets!$A$2:$A$200=BE$1)*(Budgets!$B$2:$B$200&lt;EDATE($A275,1))),Budgets!$C$2:$C$200),0))</f>
        <v/>
      </c>
      <c r="BF275" s="23">
        <f>IF(OR(BF$1="",$BM275=0),"",IFERROR(LOOKUP(2,1/((Budgets!$A$2:$A$200=BF$1)*(Budgets!$B$2:$B$200&lt;EDATE($A275,1))),Budgets!$C$2:$C$200),0))</f>
        <v/>
      </c>
      <c r="BG275" s="23">
        <f>IF(OR(BG$1="",$BM275=0),"",IFERROR(LOOKUP(2,1/((Budgets!$A$2:$A$200=BG$1)*(Budgets!$B$2:$B$200&lt;EDATE($A275,1))),Budgets!$C$2:$C$200),0))</f>
        <v/>
      </c>
      <c r="BH275" s="23">
        <f>IF(OR(BH$1="",$BM275=0),"",IFERROR(LOOKUP(2,1/((Budgets!$A$2:$A$200=BH$1)*(Budgets!$B$2:$B$200&lt;EDATE($A275,1))),Budgets!$C$2:$C$200),0))</f>
        <v/>
      </c>
      <c r="BI275" s="23">
        <f>IF(OR(BI$1="",$BM275=0),"",IFERROR(LOOKUP(2,1/((Budgets!$A$2:$A$200=BI$1)*(Budgets!$B$2:$B$200&lt;EDATE($A275,1))),Budgets!$C$2:$C$200),0))</f>
        <v/>
      </c>
      <c r="BJ275" s="23">
        <f>IF(OR(BJ$1="",$BM275=0),"",IFERROR(LOOKUP(2,1/((Budgets!$A$2:$A$200=BJ$1)*(Budgets!$B$2:$B$200&lt;EDATE($A275,1))),Budgets!$C$2:$C$200),0))</f>
        <v/>
      </c>
      <c r="BK275" s="23">
        <f>IF(OR(BK$1="",$BM275=0),"",IFERROR(LOOKUP(2,1/((Budgets!$A$2:$A$200=BK$1)*(Budgets!$B$2:$B$200&lt;EDATE($A275,1))),Budgets!$C$2:$C$200),0))</f>
        <v/>
      </c>
      <c r="BM275" s="21">
        <f>COUNTIFS(Entries!$A$2:$A$5000,"&gt;="&amp;$A275,Entries!$A$2:$A$5000,"&lt;"&amp;EDATE($A275,1))</f>
        <v/>
      </c>
    </row>
    <row r="276">
      <c r="A276" s="22" t="n">
        <v>47788</v>
      </c>
      <c r="B276" s="23">
        <f>IF($BM276=0,NA(),SUMIFS(Entries!$E$2:$E$5000,Entries!$C$2:$C$5000,"Income",Entries!$A$2:$A$5000,"&gt;="&amp;$A276,Entries!$A$2:$A$5000,"&lt;"&amp;EDATE($A276,1)))</f>
        <v/>
      </c>
      <c r="C276" s="23">
        <f>IF($BM276=0,"",SUMIFS(Entries!$E$2:$E$5000,Entries!$C$2:$C$5000,"Actual",Entries!$A$2:$A$5000,"&gt;="&amp;$A276,Entries!$A$2:$A$5000,"&lt;"&amp;EDATE($A276,1)))</f>
        <v/>
      </c>
      <c r="D276" s="23">
        <f>IF($BM276=0,"",SUMIFS(Entries!$E$2:$E$5000,Entries!$C$2:$C$5000,"One-off",Entries!$A$2:$A$5000,"&gt;="&amp;$A276,Entries!$A$2:$A$5000,"&lt;"&amp;EDATE($A276,1)))</f>
        <v/>
      </c>
      <c r="E276" s="23">
        <f>IF($BM276=0,NA(),C276+D276)</f>
        <v/>
      </c>
      <c r="F276" s="23">
        <f>IF($BM276=0,"",SUM(AR276:BK276))</f>
        <v/>
      </c>
      <c r="G276" s="23">
        <f>IF($BM276=0,"",B276-E276)</f>
        <v/>
      </c>
      <c r="H276" s="23">
        <f>IF($BM276=0,"",SUM($G$2:G276))</f>
        <v/>
      </c>
      <c r="I276" s="23">
        <f>IF($BM276=0,"",SUMIFS(Entries!$G$2:$G$5000,Entries!$A$2:$A$5000,"&gt;="&amp;$A276,Entries!$A$2:$A$5000,"&lt;"&amp;EDATE($A276,1)))</f>
        <v/>
      </c>
      <c r="J276" s="23">
        <f>IF($BM276=0,NA(),H276)</f>
        <v/>
      </c>
      <c r="K276" s="23">
        <f>IF($BM276=0,"",SUMIFS(Entries!$E$2:$E$5000,Entries!$C$2:$C$5000,"Income",Entries!$A$2:$A$5000,"&gt;="&amp;EDATE($A276,-11),Entries!$A$2:$A$5000,"&lt;"&amp;EDATE($A276,1))/COUNTIFS($A$2:$A$400,"&gt;="&amp;EDATE($A276,-11),$A$2:$A$400,"&lt;"&amp;EDATE($A276,1),$BM$2:$BM$400,"&gt;0"))</f>
      </c>
      <c r="L276" s="23">
        <f>IF($BM276=0,"",(SUMIFS(Entries!$E$2:$E$5000,Entries!$C$2:$C$5000,"Actual",Entries!$A$2:$A$5000,"&gt;="&amp;EDATE($A276,-11),Entries!$A$2:$A$5000,"&lt;"&amp;EDATE($A276,1))+SUMIFS(Entries!$E$2:$E$5000,Entries!$C$2:$C$5000,"One-off",Entries!$A$2:$A$5000,"&gt;="&amp;EDATE($A276,-11),Entries!$A$2:$A$5000,"&lt;"&amp;EDATE($A276,1)))/COUNTIFS($A$2:$A$400,"&gt;="&amp;EDATE($A276,-11),$A$2:$A$400,"&lt;"&amp;EDATE($A276,1),$BM$2:$BM$400,"&gt;0"))</f>
      </c>
      <c r="M276" s="24">
        <f>IF($BM276=0,NA(),IFERROR((K276-L276)/K276,0))</f>
        <v/>
      </c>
      <c r="N276" s="23">
        <f>IF($BM276=0,NA(),SUMIFS(Entries!$E$2:$E$5000,Entries!$D$2:$D$5000,"Core",Entries!$A$2:$A$5000,"&gt;="&amp;$A276,Entries!$A$2:$A$5000,"&lt;"&amp;EDATE($A276,1)))</f>
        <v/>
      </c>
      <c r="O276" s="23">
        <f>IF($BM276=0,NA(),SUMIFS(Entries!$E$2:$E$5000,Entries!$D$2:$D$5000,"Over &amp; above",Entries!$A$2:$A$5000,"&gt;="&amp;$A276,Entries!$A$2:$A$5000,"&lt;"&amp;EDATE($A276,1)))</f>
        <v/>
      </c>
      <c r="P276" s="23">
        <f>IF($BM276=0,NA(),SUMIFS(Entries!$E$2:$E$5000,Entries!$D$2:$D$5000,"One-off",Entries!$A$2:$A$5000,"&gt;="&amp;$A276,Entries!$A$2:$A$5000,"&lt;"&amp;EDATE($A276,1)))</f>
        <v/>
      </c>
      <c r="Q276" s="23">
        <f>IF($BM276=0,NA(),SUMIFS(Entries!$E$2:$E$5000,Entries!$D$2:$D$5000,"Reimbursable",Entries!$A$2:$A$5000,"&gt;="&amp;$A276,Entries!$A$2:$A$5000,"&lt;"&amp;EDATE($A276,1)))</f>
        <v/>
      </c>
      <c r="R276" s="23">
        <f>IF($BM276=0,NA(),SUMIFS(Entries!$E$2:$E$5000,Entries!$D$2:$D$5000,"Investment",Entries!$A$2:$A$5000,"&gt;="&amp;$A276,Entries!$A$2:$A$5000,"&lt;"&amp;EDATE($A276,1)))</f>
        <v/>
      </c>
      <c r="S276" s="23">
        <f>IF($BM276=0,NA(),N276+O276)</f>
        <v/>
      </c>
      <c r="T276" s="23">
        <f>IF($BM276=0,"",E276-Q276)</f>
        <v/>
      </c>
      <c r="W276" s="23">
        <f>IF(OR(W$1="",$BM276=0),"",SUMIFS(Entries!$E$2:$E$5000,Entries!$C$2:$C$5000,"Actual",Entries!$A$2:$A$5000,"&gt;="&amp;$A276,Entries!$A$2:$A$5000,"&lt;"&amp;EDATE($A276,1),Entries!$B$2:$B$5000,W$1))</f>
        <v/>
      </c>
      <c r="X276" s="23">
        <f>IF(OR(X$1="",$BM276=0),"",SUMIFS(Entries!$E$2:$E$5000,Entries!$C$2:$C$5000,"Actual",Entries!$A$2:$A$5000,"&gt;="&amp;$A276,Entries!$A$2:$A$5000,"&lt;"&amp;EDATE($A276,1),Entries!$B$2:$B$5000,X$1))</f>
        <v/>
      </c>
      <c r="Y276" s="23">
        <f>IF(OR(Y$1="",$BM276=0),"",SUMIFS(Entries!$E$2:$E$5000,Entries!$C$2:$C$5000,"Actual",Entries!$A$2:$A$5000,"&gt;="&amp;$A276,Entries!$A$2:$A$5000,"&lt;"&amp;EDATE($A276,1),Entries!$B$2:$B$5000,Y$1))</f>
        <v/>
      </c>
      <c r="Z276" s="23">
        <f>IF(OR(Z$1="",$BM276=0),"",SUMIFS(Entries!$E$2:$E$5000,Entries!$C$2:$C$5000,"Actual",Entries!$A$2:$A$5000,"&gt;="&amp;$A276,Entries!$A$2:$A$5000,"&lt;"&amp;EDATE($A276,1),Entries!$B$2:$B$5000,Z$1))</f>
        <v/>
      </c>
      <c r="AA276" s="23">
        <f>IF(OR(AA$1="",$BM276=0),"",SUMIFS(Entries!$E$2:$E$5000,Entries!$C$2:$C$5000,"Actual",Entries!$A$2:$A$5000,"&gt;="&amp;$A276,Entries!$A$2:$A$5000,"&lt;"&amp;EDATE($A276,1),Entries!$B$2:$B$5000,AA$1))</f>
        <v/>
      </c>
      <c r="AB276" s="23">
        <f>IF(OR(AB$1="",$BM276=0),"",SUMIFS(Entries!$E$2:$E$5000,Entries!$C$2:$C$5000,"Actual",Entries!$A$2:$A$5000,"&gt;="&amp;$A276,Entries!$A$2:$A$5000,"&lt;"&amp;EDATE($A276,1),Entries!$B$2:$B$5000,AB$1))</f>
        <v/>
      </c>
      <c r="AC276" s="23">
        <f>IF(OR(AC$1="",$BM276=0),"",SUMIFS(Entries!$E$2:$E$5000,Entries!$C$2:$C$5000,"Actual",Entries!$A$2:$A$5000,"&gt;="&amp;$A276,Entries!$A$2:$A$5000,"&lt;"&amp;EDATE($A276,1),Entries!$B$2:$B$5000,AC$1))</f>
        <v/>
      </c>
      <c r="AD276" s="23">
        <f>IF(OR(AD$1="",$BM276=0),"",SUMIFS(Entries!$E$2:$E$5000,Entries!$C$2:$C$5000,"Actual",Entries!$A$2:$A$5000,"&gt;="&amp;$A276,Entries!$A$2:$A$5000,"&lt;"&amp;EDATE($A276,1),Entries!$B$2:$B$5000,AD$1))</f>
        <v/>
      </c>
      <c r="AE276" s="23">
        <f>IF(OR(AE$1="",$BM276=0),"",SUMIFS(Entries!$E$2:$E$5000,Entries!$C$2:$C$5000,"Actual",Entries!$A$2:$A$5000,"&gt;="&amp;$A276,Entries!$A$2:$A$5000,"&lt;"&amp;EDATE($A276,1),Entries!$B$2:$B$5000,AE$1))</f>
        <v/>
      </c>
      <c r="AF276" s="23">
        <f>IF(OR(AF$1="",$BM276=0),"",SUMIFS(Entries!$E$2:$E$5000,Entries!$C$2:$C$5000,"Actual",Entries!$A$2:$A$5000,"&gt;="&amp;$A276,Entries!$A$2:$A$5000,"&lt;"&amp;EDATE($A276,1),Entries!$B$2:$B$5000,AF$1))</f>
        <v/>
      </c>
      <c r="AG276" s="23">
        <f>IF(OR(AG$1="",$BM276=0),"",SUMIFS(Entries!$E$2:$E$5000,Entries!$C$2:$C$5000,"Actual",Entries!$A$2:$A$5000,"&gt;="&amp;$A276,Entries!$A$2:$A$5000,"&lt;"&amp;EDATE($A276,1),Entries!$B$2:$B$5000,AG$1))</f>
        <v/>
      </c>
      <c r="AH276" s="23">
        <f>IF(OR(AH$1="",$BM276=0),"",SUMIFS(Entries!$E$2:$E$5000,Entries!$C$2:$C$5000,"Actual",Entries!$A$2:$A$5000,"&gt;="&amp;$A276,Entries!$A$2:$A$5000,"&lt;"&amp;EDATE($A276,1),Entries!$B$2:$B$5000,AH$1))</f>
        <v/>
      </c>
      <c r="AI276" s="23">
        <f>IF(OR(AI$1="",$BM276=0),"",SUMIFS(Entries!$E$2:$E$5000,Entries!$C$2:$C$5000,"Actual",Entries!$A$2:$A$5000,"&gt;="&amp;$A276,Entries!$A$2:$A$5000,"&lt;"&amp;EDATE($A276,1),Entries!$B$2:$B$5000,AI$1))</f>
        <v/>
      </c>
      <c r="AJ276" s="23">
        <f>IF(OR(AJ$1="",$BM276=0),"",SUMIFS(Entries!$E$2:$E$5000,Entries!$C$2:$C$5000,"Actual",Entries!$A$2:$A$5000,"&gt;="&amp;$A276,Entries!$A$2:$A$5000,"&lt;"&amp;EDATE($A276,1),Entries!$B$2:$B$5000,AJ$1))</f>
        <v/>
      </c>
      <c r="AK276" s="23">
        <f>IF(OR(AK$1="",$BM276=0),"",SUMIFS(Entries!$E$2:$E$5000,Entries!$C$2:$C$5000,"Actual",Entries!$A$2:$A$5000,"&gt;="&amp;$A276,Entries!$A$2:$A$5000,"&lt;"&amp;EDATE($A276,1),Entries!$B$2:$B$5000,AK$1))</f>
        <v/>
      </c>
      <c r="AL276" s="23">
        <f>IF(OR(AL$1="",$BM276=0),"",SUMIFS(Entries!$E$2:$E$5000,Entries!$C$2:$C$5000,"Actual",Entries!$A$2:$A$5000,"&gt;="&amp;$A276,Entries!$A$2:$A$5000,"&lt;"&amp;EDATE($A276,1),Entries!$B$2:$B$5000,AL$1))</f>
        <v/>
      </c>
      <c r="AM276" s="23">
        <f>IF(OR(AM$1="",$BM276=0),"",SUMIFS(Entries!$E$2:$E$5000,Entries!$C$2:$C$5000,"Actual",Entries!$A$2:$A$5000,"&gt;="&amp;$A276,Entries!$A$2:$A$5000,"&lt;"&amp;EDATE($A276,1),Entries!$B$2:$B$5000,AM$1))</f>
        <v/>
      </c>
      <c r="AN276" s="23">
        <f>IF(OR(AN$1="",$BM276=0),"",SUMIFS(Entries!$E$2:$E$5000,Entries!$C$2:$C$5000,"Actual",Entries!$A$2:$A$5000,"&gt;="&amp;$A276,Entries!$A$2:$A$5000,"&lt;"&amp;EDATE($A276,1),Entries!$B$2:$B$5000,AN$1))</f>
        <v/>
      </c>
      <c r="AO276" s="23">
        <f>IF(OR(AO$1="",$BM276=0),"",SUMIFS(Entries!$E$2:$E$5000,Entries!$C$2:$C$5000,"Actual",Entries!$A$2:$A$5000,"&gt;="&amp;$A276,Entries!$A$2:$A$5000,"&lt;"&amp;EDATE($A276,1),Entries!$B$2:$B$5000,AO$1))</f>
        <v/>
      </c>
      <c r="AP276" s="23">
        <f>IF(OR(AP$1="",$BM276=0),"",SUMIFS(Entries!$E$2:$E$5000,Entries!$C$2:$C$5000,"Actual",Entries!$A$2:$A$5000,"&gt;="&amp;$A276,Entries!$A$2:$A$5000,"&lt;"&amp;EDATE($A276,1),Entries!$B$2:$B$5000,AP$1))</f>
        <v/>
      </c>
      <c r="AR276" s="23">
        <f>IF(OR(AR$1="",$BM276=0),"",IFERROR(LOOKUP(2,1/((Budgets!$A$2:$A$200=AR$1)*(Budgets!$B$2:$B$200&lt;EDATE($A276,1))),Budgets!$C$2:$C$200),0))</f>
        <v/>
      </c>
      <c r="AS276" s="23">
        <f>IF(OR(AS$1="",$BM276=0),"",IFERROR(LOOKUP(2,1/((Budgets!$A$2:$A$200=AS$1)*(Budgets!$B$2:$B$200&lt;EDATE($A276,1))),Budgets!$C$2:$C$200),0))</f>
        <v/>
      </c>
      <c r="AT276" s="23">
        <f>IF(OR(AT$1="",$BM276=0),"",IFERROR(LOOKUP(2,1/((Budgets!$A$2:$A$200=AT$1)*(Budgets!$B$2:$B$200&lt;EDATE($A276,1))),Budgets!$C$2:$C$200),0))</f>
        <v/>
      </c>
      <c r="AU276" s="23">
        <f>IF(OR(AU$1="",$BM276=0),"",IFERROR(LOOKUP(2,1/((Budgets!$A$2:$A$200=AU$1)*(Budgets!$B$2:$B$200&lt;EDATE($A276,1))),Budgets!$C$2:$C$200),0))</f>
        <v/>
      </c>
      <c r="AV276" s="23">
        <f>IF(OR(AV$1="",$BM276=0),"",IFERROR(LOOKUP(2,1/((Budgets!$A$2:$A$200=AV$1)*(Budgets!$B$2:$B$200&lt;EDATE($A276,1))),Budgets!$C$2:$C$200),0))</f>
        <v/>
      </c>
      <c r="AW276" s="23">
        <f>IF(OR(AW$1="",$BM276=0),"",IFERROR(LOOKUP(2,1/((Budgets!$A$2:$A$200=AW$1)*(Budgets!$B$2:$B$200&lt;EDATE($A276,1))),Budgets!$C$2:$C$200),0))</f>
        <v/>
      </c>
      <c r="AX276" s="23">
        <f>IF(OR(AX$1="",$BM276=0),"",IFERROR(LOOKUP(2,1/((Budgets!$A$2:$A$200=AX$1)*(Budgets!$B$2:$B$200&lt;EDATE($A276,1))),Budgets!$C$2:$C$200),0))</f>
        <v/>
      </c>
      <c r="AY276" s="23">
        <f>IF(OR(AY$1="",$BM276=0),"",IFERROR(LOOKUP(2,1/((Budgets!$A$2:$A$200=AY$1)*(Budgets!$B$2:$B$200&lt;EDATE($A276,1))),Budgets!$C$2:$C$200),0))</f>
        <v/>
      </c>
      <c r="AZ276" s="23">
        <f>IF(OR(AZ$1="",$BM276=0),"",IFERROR(LOOKUP(2,1/((Budgets!$A$2:$A$200=AZ$1)*(Budgets!$B$2:$B$200&lt;EDATE($A276,1))),Budgets!$C$2:$C$200),0))</f>
        <v/>
      </c>
      <c r="BA276" s="23">
        <f>IF(OR(BA$1="",$BM276=0),"",IFERROR(LOOKUP(2,1/((Budgets!$A$2:$A$200=BA$1)*(Budgets!$B$2:$B$200&lt;EDATE($A276,1))),Budgets!$C$2:$C$200),0))</f>
        <v/>
      </c>
      <c r="BB276" s="23">
        <f>IF(OR(BB$1="",$BM276=0),"",IFERROR(LOOKUP(2,1/((Budgets!$A$2:$A$200=BB$1)*(Budgets!$B$2:$B$200&lt;EDATE($A276,1))),Budgets!$C$2:$C$200),0))</f>
        <v/>
      </c>
      <c r="BC276" s="23">
        <f>IF(OR(BC$1="",$BM276=0),"",IFERROR(LOOKUP(2,1/((Budgets!$A$2:$A$200=BC$1)*(Budgets!$B$2:$B$200&lt;EDATE($A276,1))),Budgets!$C$2:$C$200),0))</f>
        <v/>
      </c>
      <c r="BD276" s="23">
        <f>IF(OR(BD$1="",$BM276=0),"",IFERROR(LOOKUP(2,1/((Budgets!$A$2:$A$200=BD$1)*(Budgets!$B$2:$B$200&lt;EDATE($A276,1))),Budgets!$C$2:$C$200),0))</f>
        <v/>
      </c>
      <c r="BE276" s="23">
        <f>IF(OR(BE$1="",$BM276=0),"",IFERROR(LOOKUP(2,1/((Budgets!$A$2:$A$200=BE$1)*(Budgets!$B$2:$B$200&lt;EDATE($A276,1))),Budgets!$C$2:$C$200),0))</f>
        <v/>
      </c>
      <c r="BF276" s="23">
        <f>IF(OR(BF$1="",$BM276=0),"",IFERROR(LOOKUP(2,1/((Budgets!$A$2:$A$200=BF$1)*(Budgets!$B$2:$B$200&lt;EDATE($A276,1))),Budgets!$C$2:$C$200),0))</f>
        <v/>
      </c>
      <c r="BG276" s="23">
        <f>IF(OR(BG$1="",$BM276=0),"",IFERROR(LOOKUP(2,1/((Budgets!$A$2:$A$200=BG$1)*(Budgets!$B$2:$B$200&lt;EDATE($A276,1))),Budgets!$C$2:$C$200),0))</f>
        <v/>
      </c>
      <c r="BH276" s="23">
        <f>IF(OR(BH$1="",$BM276=0),"",IFERROR(LOOKUP(2,1/((Budgets!$A$2:$A$200=BH$1)*(Budgets!$B$2:$B$200&lt;EDATE($A276,1))),Budgets!$C$2:$C$200),0))</f>
        <v/>
      </c>
      <c r="BI276" s="23">
        <f>IF(OR(BI$1="",$BM276=0),"",IFERROR(LOOKUP(2,1/((Budgets!$A$2:$A$200=BI$1)*(Budgets!$B$2:$B$200&lt;EDATE($A276,1))),Budgets!$C$2:$C$200),0))</f>
        <v/>
      </c>
      <c r="BJ276" s="23">
        <f>IF(OR(BJ$1="",$BM276=0),"",IFERROR(LOOKUP(2,1/((Budgets!$A$2:$A$200=BJ$1)*(Budgets!$B$2:$B$200&lt;EDATE($A276,1))),Budgets!$C$2:$C$200),0))</f>
        <v/>
      </c>
      <c r="BK276" s="23">
        <f>IF(OR(BK$1="",$BM276=0),"",IFERROR(LOOKUP(2,1/((Budgets!$A$2:$A$200=BK$1)*(Budgets!$B$2:$B$200&lt;EDATE($A276,1))),Budgets!$C$2:$C$200),0))</f>
        <v/>
      </c>
      <c r="BM276" s="21">
        <f>COUNTIFS(Entries!$A$2:$A$5000,"&gt;="&amp;$A276,Entries!$A$2:$A$5000,"&lt;"&amp;EDATE($A276,1))</f>
        <v/>
      </c>
    </row>
    <row r="277">
      <c r="A277" s="22" t="n">
        <v>47818</v>
      </c>
      <c r="B277" s="23">
        <f>IF($BM277=0,NA(),SUMIFS(Entries!$E$2:$E$5000,Entries!$C$2:$C$5000,"Income",Entries!$A$2:$A$5000,"&gt;="&amp;$A277,Entries!$A$2:$A$5000,"&lt;"&amp;EDATE($A277,1)))</f>
        <v/>
      </c>
      <c r="C277" s="23">
        <f>IF($BM277=0,"",SUMIFS(Entries!$E$2:$E$5000,Entries!$C$2:$C$5000,"Actual",Entries!$A$2:$A$5000,"&gt;="&amp;$A277,Entries!$A$2:$A$5000,"&lt;"&amp;EDATE($A277,1)))</f>
        <v/>
      </c>
      <c r="D277" s="23">
        <f>IF($BM277=0,"",SUMIFS(Entries!$E$2:$E$5000,Entries!$C$2:$C$5000,"One-off",Entries!$A$2:$A$5000,"&gt;="&amp;$A277,Entries!$A$2:$A$5000,"&lt;"&amp;EDATE($A277,1)))</f>
        <v/>
      </c>
      <c r="E277" s="23">
        <f>IF($BM277=0,NA(),C277+D277)</f>
        <v/>
      </c>
      <c r="F277" s="23">
        <f>IF($BM277=0,"",SUM(AR277:BK277))</f>
        <v/>
      </c>
      <c r="G277" s="23">
        <f>IF($BM277=0,"",B277-E277)</f>
        <v/>
      </c>
      <c r="H277" s="23">
        <f>IF($BM277=0,"",SUM($G$2:G277))</f>
        <v/>
      </c>
      <c r="I277" s="23">
        <f>IF($BM277=0,"",SUMIFS(Entries!$G$2:$G$5000,Entries!$A$2:$A$5000,"&gt;="&amp;$A277,Entries!$A$2:$A$5000,"&lt;"&amp;EDATE($A277,1)))</f>
        <v/>
      </c>
      <c r="J277" s="23">
        <f>IF($BM277=0,NA(),H277)</f>
        <v/>
      </c>
      <c r="K277" s="23">
        <f>IF($BM277=0,"",SUMIFS(Entries!$E$2:$E$5000,Entries!$C$2:$C$5000,"Income",Entries!$A$2:$A$5000,"&gt;="&amp;EDATE($A277,-11),Entries!$A$2:$A$5000,"&lt;"&amp;EDATE($A277,1))/COUNTIFS($A$2:$A$400,"&gt;="&amp;EDATE($A277,-11),$A$2:$A$400,"&lt;"&amp;EDATE($A277,1),$BM$2:$BM$400,"&gt;0"))</f>
      </c>
      <c r="L277" s="23">
        <f>IF($BM277=0,"",(SUMIFS(Entries!$E$2:$E$5000,Entries!$C$2:$C$5000,"Actual",Entries!$A$2:$A$5000,"&gt;="&amp;EDATE($A277,-11),Entries!$A$2:$A$5000,"&lt;"&amp;EDATE($A277,1))+SUMIFS(Entries!$E$2:$E$5000,Entries!$C$2:$C$5000,"One-off",Entries!$A$2:$A$5000,"&gt;="&amp;EDATE($A277,-11),Entries!$A$2:$A$5000,"&lt;"&amp;EDATE($A277,1)))/COUNTIFS($A$2:$A$400,"&gt;="&amp;EDATE($A277,-11),$A$2:$A$400,"&lt;"&amp;EDATE($A277,1),$BM$2:$BM$400,"&gt;0"))</f>
      </c>
      <c r="M277" s="24">
        <f>IF($BM277=0,NA(),IFERROR((K277-L277)/K277,0))</f>
        <v/>
      </c>
      <c r="N277" s="23">
        <f>IF($BM277=0,NA(),SUMIFS(Entries!$E$2:$E$5000,Entries!$D$2:$D$5000,"Core",Entries!$A$2:$A$5000,"&gt;="&amp;$A277,Entries!$A$2:$A$5000,"&lt;"&amp;EDATE($A277,1)))</f>
        <v/>
      </c>
      <c r="O277" s="23">
        <f>IF($BM277=0,NA(),SUMIFS(Entries!$E$2:$E$5000,Entries!$D$2:$D$5000,"Over &amp; above",Entries!$A$2:$A$5000,"&gt;="&amp;$A277,Entries!$A$2:$A$5000,"&lt;"&amp;EDATE($A277,1)))</f>
        <v/>
      </c>
      <c r="P277" s="23">
        <f>IF($BM277=0,NA(),SUMIFS(Entries!$E$2:$E$5000,Entries!$D$2:$D$5000,"One-off",Entries!$A$2:$A$5000,"&gt;="&amp;$A277,Entries!$A$2:$A$5000,"&lt;"&amp;EDATE($A277,1)))</f>
        <v/>
      </c>
      <c r="Q277" s="23">
        <f>IF($BM277=0,NA(),SUMIFS(Entries!$E$2:$E$5000,Entries!$D$2:$D$5000,"Reimbursable",Entries!$A$2:$A$5000,"&gt;="&amp;$A277,Entries!$A$2:$A$5000,"&lt;"&amp;EDATE($A277,1)))</f>
        <v/>
      </c>
      <c r="R277" s="23">
        <f>IF($BM277=0,NA(),SUMIFS(Entries!$E$2:$E$5000,Entries!$D$2:$D$5000,"Investment",Entries!$A$2:$A$5000,"&gt;="&amp;$A277,Entries!$A$2:$A$5000,"&lt;"&amp;EDATE($A277,1)))</f>
        <v/>
      </c>
      <c r="S277" s="23">
        <f>IF($BM277=0,NA(),N277+O277)</f>
        <v/>
      </c>
      <c r="T277" s="23">
        <f>IF($BM277=0,"",E277-Q277)</f>
        <v/>
      </c>
      <c r="W277" s="23">
        <f>IF(OR(W$1="",$BM277=0),"",SUMIFS(Entries!$E$2:$E$5000,Entries!$C$2:$C$5000,"Actual",Entries!$A$2:$A$5000,"&gt;="&amp;$A277,Entries!$A$2:$A$5000,"&lt;"&amp;EDATE($A277,1),Entries!$B$2:$B$5000,W$1))</f>
        <v/>
      </c>
      <c r="X277" s="23">
        <f>IF(OR(X$1="",$BM277=0),"",SUMIFS(Entries!$E$2:$E$5000,Entries!$C$2:$C$5000,"Actual",Entries!$A$2:$A$5000,"&gt;="&amp;$A277,Entries!$A$2:$A$5000,"&lt;"&amp;EDATE($A277,1),Entries!$B$2:$B$5000,X$1))</f>
        <v/>
      </c>
      <c r="Y277" s="23">
        <f>IF(OR(Y$1="",$BM277=0),"",SUMIFS(Entries!$E$2:$E$5000,Entries!$C$2:$C$5000,"Actual",Entries!$A$2:$A$5000,"&gt;="&amp;$A277,Entries!$A$2:$A$5000,"&lt;"&amp;EDATE($A277,1),Entries!$B$2:$B$5000,Y$1))</f>
        <v/>
      </c>
      <c r="Z277" s="23">
        <f>IF(OR(Z$1="",$BM277=0),"",SUMIFS(Entries!$E$2:$E$5000,Entries!$C$2:$C$5000,"Actual",Entries!$A$2:$A$5000,"&gt;="&amp;$A277,Entries!$A$2:$A$5000,"&lt;"&amp;EDATE($A277,1),Entries!$B$2:$B$5000,Z$1))</f>
        <v/>
      </c>
      <c r="AA277" s="23">
        <f>IF(OR(AA$1="",$BM277=0),"",SUMIFS(Entries!$E$2:$E$5000,Entries!$C$2:$C$5000,"Actual",Entries!$A$2:$A$5000,"&gt;="&amp;$A277,Entries!$A$2:$A$5000,"&lt;"&amp;EDATE($A277,1),Entries!$B$2:$B$5000,AA$1))</f>
        <v/>
      </c>
      <c r="AB277" s="23">
        <f>IF(OR(AB$1="",$BM277=0),"",SUMIFS(Entries!$E$2:$E$5000,Entries!$C$2:$C$5000,"Actual",Entries!$A$2:$A$5000,"&gt;="&amp;$A277,Entries!$A$2:$A$5000,"&lt;"&amp;EDATE($A277,1),Entries!$B$2:$B$5000,AB$1))</f>
        <v/>
      </c>
      <c r="AC277" s="23">
        <f>IF(OR(AC$1="",$BM277=0),"",SUMIFS(Entries!$E$2:$E$5000,Entries!$C$2:$C$5000,"Actual",Entries!$A$2:$A$5000,"&gt;="&amp;$A277,Entries!$A$2:$A$5000,"&lt;"&amp;EDATE($A277,1),Entries!$B$2:$B$5000,AC$1))</f>
        <v/>
      </c>
      <c r="AD277" s="23">
        <f>IF(OR(AD$1="",$BM277=0),"",SUMIFS(Entries!$E$2:$E$5000,Entries!$C$2:$C$5000,"Actual",Entries!$A$2:$A$5000,"&gt;="&amp;$A277,Entries!$A$2:$A$5000,"&lt;"&amp;EDATE($A277,1),Entries!$B$2:$B$5000,AD$1))</f>
        <v/>
      </c>
      <c r="AE277" s="23">
        <f>IF(OR(AE$1="",$BM277=0),"",SUMIFS(Entries!$E$2:$E$5000,Entries!$C$2:$C$5000,"Actual",Entries!$A$2:$A$5000,"&gt;="&amp;$A277,Entries!$A$2:$A$5000,"&lt;"&amp;EDATE($A277,1),Entries!$B$2:$B$5000,AE$1))</f>
        <v/>
      </c>
      <c r="AF277" s="23">
        <f>IF(OR(AF$1="",$BM277=0),"",SUMIFS(Entries!$E$2:$E$5000,Entries!$C$2:$C$5000,"Actual",Entries!$A$2:$A$5000,"&gt;="&amp;$A277,Entries!$A$2:$A$5000,"&lt;"&amp;EDATE($A277,1),Entries!$B$2:$B$5000,AF$1))</f>
        <v/>
      </c>
      <c r="AG277" s="23">
        <f>IF(OR(AG$1="",$BM277=0),"",SUMIFS(Entries!$E$2:$E$5000,Entries!$C$2:$C$5000,"Actual",Entries!$A$2:$A$5000,"&gt;="&amp;$A277,Entries!$A$2:$A$5000,"&lt;"&amp;EDATE($A277,1),Entries!$B$2:$B$5000,AG$1))</f>
        <v/>
      </c>
      <c r="AH277" s="23">
        <f>IF(OR(AH$1="",$BM277=0),"",SUMIFS(Entries!$E$2:$E$5000,Entries!$C$2:$C$5000,"Actual",Entries!$A$2:$A$5000,"&gt;="&amp;$A277,Entries!$A$2:$A$5000,"&lt;"&amp;EDATE($A277,1),Entries!$B$2:$B$5000,AH$1))</f>
        <v/>
      </c>
      <c r="AI277" s="23">
        <f>IF(OR(AI$1="",$BM277=0),"",SUMIFS(Entries!$E$2:$E$5000,Entries!$C$2:$C$5000,"Actual",Entries!$A$2:$A$5000,"&gt;="&amp;$A277,Entries!$A$2:$A$5000,"&lt;"&amp;EDATE($A277,1),Entries!$B$2:$B$5000,AI$1))</f>
        <v/>
      </c>
      <c r="AJ277" s="23">
        <f>IF(OR(AJ$1="",$BM277=0),"",SUMIFS(Entries!$E$2:$E$5000,Entries!$C$2:$C$5000,"Actual",Entries!$A$2:$A$5000,"&gt;="&amp;$A277,Entries!$A$2:$A$5000,"&lt;"&amp;EDATE($A277,1),Entries!$B$2:$B$5000,AJ$1))</f>
        <v/>
      </c>
      <c r="AK277" s="23">
        <f>IF(OR(AK$1="",$BM277=0),"",SUMIFS(Entries!$E$2:$E$5000,Entries!$C$2:$C$5000,"Actual",Entries!$A$2:$A$5000,"&gt;="&amp;$A277,Entries!$A$2:$A$5000,"&lt;"&amp;EDATE($A277,1),Entries!$B$2:$B$5000,AK$1))</f>
        <v/>
      </c>
      <c r="AL277" s="23">
        <f>IF(OR(AL$1="",$BM277=0),"",SUMIFS(Entries!$E$2:$E$5000,Entries!$C$2:$C$5000,"Actual",Entries!$A$2:$A$5000,"&gt;="&amp;$A277,Entries!$A$2:$A$5000,"&lt;"&amp;EDATE($A277,1),Entries!$B$2:$B$5000,AL$1))</f>
        <v/>
      </c>
      <c r="AM277" s="23">
        <f>IF(OR(AM$1="",$BM277=0),"",SUMIFS(Entries!$E$2:$E$5000,Entries!$C$2:$C$5000,"Actual",Entries!$A$2:$A$5000,"&gt;="&amp;$A277,Entries!$A$2:$A$5000,"&lt;"&amp;EDATE($A277,1),Entries!$B$2:$B$5000,AM$1))</f>
        <v/>
      </c>
      <c r="AN277" s="23">
        <f>IF(OR(AN$1="",$BM277=0),"",SUMIFS(Entries!$E$2:$E$5000,Entries!$C$2:$C$5000,"Actual",Entries!$A$2:$A$5000,"&gt;="&amp;$A277,Entries!$A$2:$A$5000,"&lt;"&amp;EDATE($A277,1),Entries!$B$2:$B$5000,AN$1))</f>
        <v/>
      </c>
      <c r="AO277" s="23">
        <f>IF(OR(AO$1="",$BM277=0),"",SUMIFS(Entries!$E$2:$E$5000,Entries!$C$2:$C$5000,"Actual",Entries!$A$2:$A$5000,"&gt;="&amp;$A277,Entries!$A$2:$A$5000,"&lt;"&amp;EDATE($A277,1),Entries!$B$2:$B$5000,AO$1))</f>
        <v/>
      </c>
      <c r="AP277" s="23">
        <f>IF(OR(AP$1="",$BM277=0),"",SUMIFS(Entries!$E$2:$E$5000,Entries!$C$2:$C$5000,"Actual",Entries!$A$2:$A$5000,"&gt;="&amp;$A277,Entries!$A$2:$A$5000,"&lt;"&amp;EDATE($A277,1),Entries!$B$2:$B$5000,AP$1))</f>
        <v/>
      </c>
      <c r="AR277" s="23">
        <f>IF(OR(AR$1="",$BM277=0),"",IFERROR(LOOKUP(2,1/((Budgets!$A$2:$A$200=AR$1)*(Budgets!$B$2:$B$200&lt;EDATE($A277,1))),Budgets!$C$2:$C$200),0))</f>
        <v/>
      </c>
      <c r="AS277" s="23">
        <f>IF(OR(AS$1="",$BM277=0),"",IFERROR(LOOKUP(2,1/((Budgets!$A$2:$A$200=AS$1)*(Budgets!$B$2:$B$200&lt;EDATE($A277,1))),Budgets!$C$2:$C$200),0))</f>
        <v/>
      </c>
      <c r="AT277" s="23">
        <f>IF(OR(AT$1="",$BM277=0),"",IFERROR(LOOKUP(2,1/((Budgets!$A$2:$A$200=AT$1)*(Budgets!$B$2:$B$200&lt;EDATE($A277,1))),Budgets!$C$2:$C$200),0))</f>
        <v/>
      </c>
      <c r="AU277" s="23">
        <f>IF(OR(AU$1="",$BM277=0),"",IFERROR(LOOKUP(2,1/((Budgets!$A$2:$A$200=AU$1)*(Budgets!$B$2:$B$200&lt;EDATE($A277,1))),Budgets!$C$2:$C$200),0))</f>
        <v/>
      </c>
      <c r="AV277" s="23">
        <f>IF(OR(AV$1="",$BM277=0),"",IFERROR(LOOKUP(2,1/((Budgets!$A$2:$A$200=AV$1)*(Budgets!$B$2:$B$200&lt;EDATE($A277,1))),Budgets!$C$2:$C$200),0))</f>
        <v/>
      </c>
      <c r="AW277" s="23">
        <f>IF(OR(AW$1="",$BM277=0),"",IFERROR(LOOKUP(2,1/((Budgets!$A$2:$A$200=AW$1)*(Budgets!$B$2:$B$200&lt;EDATE($A277,1))),Budgets!$C$2:$C$200),0))</f>
        <v/>
      </c>
      <c r="AX277" s="23">
        <f>IF(OR(AX$1="",$BM277=0),"",IFERROR(LOOKUP(2,1/((Budgets!$A$2:$A$200=AX$1)*(Budgets!$B$2:$B$200&lt;EDATE($A277,1))),Budgets!$C$2:$C$200),0))</f>
        <v/>
      </c>
      <c r="AY277" s="23">
        <f>IF(OR(AY$1="",$BM277=0),"",IFERROR(LOOKUP(2,1/((Budgets!$A$2:$A$200=AY$1)*(Budgets!$B$2:$B$200&lt;EDATE($A277,1))),Budgets!$C$2:$C$200),0))</f>
        <v/>
      </c>
      <c r="AZ277" s="23">
        <f>IF(OR(AZ$1="",$BM277=0),"",IFERROR(LOOKUP(2,1/((Budgets!$A$2:$A$200=AZ$1)*(Budgets!$B$2:$B$200&lt;EDATE($A277,1))),Budgets!$C$2:$C$200),0))</f>
        <v/>
      </c>
      <c r="BA277" s="23">
        <f>IF(OR(BA$1="",$BM277=0),"",IFERROR(LOOKUP(2,1/((Budgets!$A$2:$A$200=BA$1)*(Budgets!$B$2:$B$200&lt;EDATE($A277,1))),Budgets!$C$2:$C$200),0))</f>
        <v/>
      </c>
      <c r="BB277" s="23">
        <f>IF(OR(BB$1="",$BM277=0),"",IFERROR(LOOKUP(2,1/((Budgets!$A$2:$A$200=BB$1)*(Budgets!$B$2:$B$200&lt;EDATE($A277,1))),Budgets!$C$2:$C$200),0))</f>
        <v/>
      </c>
      <c r="BC277" s="23">
        <f>IF(OR(BC$1="",$BM277=0),"",IFERROR(LOOKUP(2,1/((Budgets!$A$2:$A$200=BC$1)*(Budgets!$B$2:$B$200&lt;EDATE($A277,1))),Budgets!$C$2:$C$200),0))</f>
        <v/>
      </c>
      <c r="BD277" s="23">
        <f>IF(OR(BD$1="",$BM277=0),"",IFERROR(LOOKUP(2,1/((Budgets!$A$2:$A$200=BD$1)*(Budgets!$B$2:$B$200&lt;EDATE($A277,1))),Budgets!$C$2:$C$200),0))</f>
        <v/>
      </c>
      <c r="BE277" s="23">
        <f>IF(OR(BE$1="",$BM277=0),"",IFERROR(LOOKUP(2,1/((Budgets!$A$2:$A$200=BE$1)*(Budgets!$B$2:$B$200&lt;EDATE($A277,1))),Budgets!$C$2:$C$200),0))</f>
        <v/>
      </c>
      <c r="BF277" s="23">
        <f>IF(OR(BF$1="",$BM277=0),"",IFERROR(LOOKUP(2,1/((Budgets!$A$2:$A$200=BF$1)*(Budgets!$B$2:$B$200&lt;EDATE($A277,1))),Budgets!$C$2:$C$200),0))</f>
        <v/>
      </c>
      <c r="BG277" s="23">
        <f>IF(OR(BG$1="",$BM277=0),"",IFERROR(LOOKUP(2,1/((Budgets!$A$2:$A$200=BG$1)*(Budgets!$B$2:$B$200&lt;EDATE($A277,1))),Budgets!$C$2:$C$200),0))</f>
        <v/>
      </c>
      <c r="BH277" s="23">
        <f>IF(OR(BH$1="",$BM277=0),"",IFERROR(LOOKUP(2,1/((Budgets!$A$2:$A$200=BH$1)*(Budgets!$B$2:$B$200&lt;EDATE($A277,1))),Budgets!$C$2:$C$200),0))</f>
        <v/>
      </c>
      <c r="BI277" s="23">
        <f>IF(OR(BI$1="",$BM277=0),"",IFERROR(LOOKUP(2,1/((Budgets!$A$2:$A$200=BI$1)*(Budgets!$B$2:$B$200&lt;EDATE($A277,1))),Budgets!$C$2:$C$200),0))</f>
        <v/>
      </c>
      <c r="BJ277" s="23">
        <f>IF(OR(BJ$1="",$BM277=0),"",IFERROR(LOOKUP(2,1/((Budgets!$A$2:$A$200=BJ$1)*(Budgets!$B$2:$B$200&lt;EDATE($A277,1))),Budgets!$C$2:$C$200),0))</f>
        <v/>
      </c>
      <c r="BK277" s="23">
        <f>IF(OR(BK$1="",$BM277=0),"",IFERROR(LOOKUP(2,1/((Budgets!$A$2:$A$200=BK$1)*(Budgets!$B$2:$B$200&lt;EDATE($A277,1))),Budgets!$C$2:$C$200),0))</f>
        <v/>
      </c>
      <c r="BM277" s="21">
        <f>COUNTIFS(Entries!$A$2:$A$5000,"&gt;="&amp;$A277,Entries!$A$2:$A$5000,"&lt;"&amp;EDATE($A277,1))</f>
        <v/>
      </c>
    </row>
    <row r="278">
      <c r="A278" s="22" t="n">
        <v>47849</v>
      </c>
      <c r="B278" s="23">
        <f>IF($BM278=0,NA(),SUMIFS(Entries!$E$2:$E$5000,Entries!$C$2:$C$5000,"Income",Entries!$A$2:$A$5000,"&gt;="&amp;$A278,Entries!$A$2:$A$5000,"&lt;"&amp;EDATE($A278,1)))</f>
        <v/>
      </c>
      <c r="C278" s="23">
        <f>IF($BM278=0,"",SUMIFS(Entries!$E$2:$E$5000,Entries!$C$2:$C$5000,"Actual",Entries!$A$2:$A$5000,"&gt;="&amp;$A278,Entries!$A$2:$A$5000,"&lt;"&amp;EDATE($A278,1)))</f>
        <v/>
      </c>
      <c r="D278" s="23">
        <f>IF($BM278=0,"",SUMIFS(Entries!$E$2:$E$5000,Entries!$C$2:$C$5000,"One-off",Entries!$A$2:$A$5000,"&gt;="&amp;$A278,Entries!$A$2:$A$5000,"&lt;"&amp;EDATE($A278,1)))</f>
        <v/>
      </c>
      <c r="E278" s="23">
        <f>IF($BM278=0,NA(),C278+D278)</f>
        <v/>
      </c>
      <c r="F278" s="23">
        <f>IF($BM278=0,"",SUM(AR278:BK278))</f>
        <v/>
      </c>
      <c r="G278" s="23">
        <f>IF($BM278=0,"",B278-E278)</f>
        <v/>
      </c>
      <c r="H278" s="23">
        <f>IF($BM278=0,"",SUM($G$2:G278))</f>
        <v/>
      </c>
      <c r="I278" s="23">
        <f>IF($BM278=0,"",SUMIFS(Entries!$G$2:$G$5000,Entries!$A$2:$A$5000,"&gt;="&amp;$A278,Entries!$A$2:$A$5000,"&lt;"&amp;EDATE($A278,1)))</f>
        <v/>
      </c>
      <c r="J278" s="23">
        <f>IF($BM278=0,NA(),H278)</f>
        <v/>
      </c>
      <c r="K278" s="23">
        <f>IF($BM278=0,"",SUMIFS(Entries!$E$2:$E$5000,Entries!$C$2:$C$5000,"Income",Entries!$A$2:$A$5000,"&gt;="&amp;EDATE($A278,-11),Entries!$A$2:$A$5000,"&lt;"&amp;EDATE($A278,1))/COUNTIFS($A$2:$A$400,"&gt;="&amp;EDATE($A278,-11),$A$2:$A$400,"&lt;"&amp;EDATE($A278,1),$BM$2:$BM$400,"&gt;0"))</f>
      </c>
      <c r="L278" s="23">
        <f>IF($BM278=0,"",(SUMIFS(Entries!$E$2:$E$5000,Entries!$C$2:$C$5000,"Actual",Entries!$A$2:$A$5000,"&gt;="&amp;EDATE($A278,-11),Entries!$A$2:$A$5000,"&lt;"&amp;EDATE($A278,1))+SUMIFS(Entries!$E$2:$E$5000,Entries!$C$2:$C$5000,"One-off",Entries!$A$2:$A$5000,"&gt;="&amp;EDATE($A278,-11),Entries!$A$2:$A$5000,"&lt;"&amp;EDATE($A278,1)))/COUNTIFS($A$2:$A$400,"&gt;="&amp;EDATE($A278,-11),$A$2:$A$400,"&lt;"&amp;EDATE($A278,1),$BM$2:$BM$400,"&gt;0"))</f>
      </c>
      <c r="M278" s="24">
        <f>IF($BM278=0,NA(),IFERROR((K278-L278)/K278,0))</f>
        <v/>
      </c>
      <c r="N278" s="23">
        <f>IF($BM278=0,NA(),SUMIFS(Entries!$E$2:$E$5000,Entries!$D$2:$D$5000,"Core",Entries!$A$2:$A$5000,"&gt;="&amp;$A278,Entries!$A$2:$A$5000,"&lt;"&amp;EDATE($A278,1)))</f>
        <v/>
      </c>
      <c r="O278" s="23">
        <f>IF($BM278=0,NA(),SUMIFS(Entries!$E$2:$E$5000,Entries!$D$2:$D$5000,"Over &amp; above",Entries!$A$2:$A$5000,"&gt;="&amp;$A278,Entries!$A$2:$A$5000,"&lt;"&amp;EDATE($A278,1)))</f>
        <v/>
      </c>
      <c r="P278" s="23">
        <f>IF($BM278=0,NA(),SUMIFS(Entries!$E$2:$E$5000,Entries!$D$2:$D$5000,"One-off",Entries!$A$2:$A$5000,"&gt;="&amp;$A278,Entries!$A$2:$A$5000,"&lt;"&amp;EDATE($A278,1)))</f>
        <v/>
      </c>
      <c r="Q278" s="23">
        <f>IF($BM278=0,NA(),SUMIFS(Entries!$E$2:$E$5000,Entries!$D$2:$D$5000,"Reimbursable",Entries!$A$2:$A$5000,"&gt;="&amp;$A278,Entries!$A$2:$A$5000,"&lt;"&amp;EDATE($A278,1)))</f>
        <v/>
      </c>
      <c r="R278" s="23">
        <f>IF($BM278=0,NA(),SUMIFS(Entries!$E$2:$E$5000,Entries!$D$2:$D$5000,"Investment",Entries!$A$2:$A$5000,"&gt;="&amp;$A278,Entries!$A$2:$A$5000,"&lt;"&amp;EDATE($A278,1)))</f>
        <v/>
      </c>
      <c r="S278" s="23">
        <f>IF($BM278=0,NA(),N278+O278)</f>
        <v/>
      </c>
      <c r="T278" s="23">
        <f>IF($BM278=0,"",E278-Q278)</f>
        <v/>
      </c>
      <c r="W278" s="23">
        <f>IF(OR(W$1="",$BM278=0),"",SUMIFS(Entries!$E$2:$E$5000,Entries!$C$2:$C$5000,"Actual",Entries!$A$2:$A$5000,"&gt;="&amp;$A278,Entries!$A$2:$A$5000,"&lt;"&amp;EDATE($A278,1),Entries!$B$2:$B$5000,W$1))</f>
        <v/>
      </c>
      <c r="X278" s="23">
        <f>IF(OR(X$1="",$BM278=0),"",SUMIFS(Entries!$E$2:$E$5000,Entries!$C$2:$C$5000,"Actual",Entries!$A$2:$A$5000,"&gt;="&amp;$A278,Entries!$A$2:$A$5000,"&lt;"&amp;EDATE($A278,1),Entries!$B$2:$B$5000,X$1))</f>
        <v/>
      </c>
      <c r="Y278" s="23">
        <f>IF(OR(Y$1="",$BM278=0),"",SUMIFS(Entries!$E$2:$E$5000,Entries!$C$2:$C$5000,"Actual",Entries!$A$2:$A$5000,"&gt;="&amp;$A278,Entries!$A$2:$A$5000,"&lt;"&amp;EDATE($A278,1),Entries!$B$2:$B$5000,Y$1))</f>
        <v/>
      </c>
      <c r="Z278" s="23">
        <f>IF(OR(Z$1="",$BM278=0),"",SUMIFS(Entries!$E$2:$E$5000,Entries!$C$2:$C$5000,"Actual",Entries!$A$2:$A$5000,"&gt;="&amp;$A278,Entries!$A$2:$A$5000,"&lt;"&amp;EDATE($A278,1),Entries!$B$2:$B$5000,Z$1))</f>
        <v/>
      </c>
      <c r="AA278" s="23">
        <f>IF(OR(AA$1="",$BM278=0),"",SUMIFS(Entries!$E$2:$E$5000,Entries!$C$2:$C$5000,"Actual",Entries!$A$2:$A$5000,"&gt;="&amp;$A278,Entries!$A$2:$A$5000,"&lt;"&amp;EDATE($A278,1),Entries!$B$2:$B$5000,AA$1))</f>
        <v/>
      </c>
      <c r="AB278" s="23">
        <f>IF(OR(AB$1="",$BM278=0),"",SUMIFS(Entries!$E$2:$E$5000,Entries!$C$2:$C$5000,"Actual",Entries!$A$2:$A$5000,"&gt;="&amp;$A278,Entries!$A$2:$A$5000,"&lt;"&amp;EDATE($A278,1),Entries!$B$2:$B$5000,AB$1))</f>
        <v/>
      </c>
      <c r="AC278" s="23">
        <f>IF(OR(AC$1="",$BM278=0),"",SUMIFS(Entries!$E$2:$E$5000,Entries!$C$2:$C$5000,"Actual",Entries!$A$2:$A$5000,"&gt;="&amp;$A278,Entries!$A$2:$A$5000,"&lt;"&amp;EDATE($A278,1),Entries!$B$2:$B$5000,AC$1))</f>
        <v/>
      </c>
      <c r="AD278" s="23">
        <f>IF(OR(AD$1="",$BM278=0),"",SUMIFS(Entries!$E$2:$E$5000,Entries!$C$2:$C$5000,"Actual",Entries!$A$2:$A$5000,"&gt;="&amp;$A278,Entries!$A$2:$A$5000,"&lt;"&amp;EDATE($A278,1),Entries!$B$2:$B$5000,AD$1))</f>
        <v/>
      </c>
      <c r="AE278" s="23">
        <f>IF(OR(AE$1="",$BM278=0),"",SUMIFS(Entries!$E$2:$E$5000,Entries!$C$2:$C$5000,"Actual",Entries!$A$2:$A$5000,"&gt;="&amp;$A278,Entries!$A$2:$A$5000,"&lt;"&amp;EDATE($A278,1),Entries!$B$2:$B$5000,AE$1))</f>
        <v/>
      </c>
      <c r="AF278" s="23">
        <f>IF(OR(AF$1="",$BM278=0),"",SUMIFS(Entries!$E$2:$E$5000,Entries!$C$2:$C$5000,"Actual",Entries!$A$2:$A$5000,"&gt;="&amp;$A278,Entries!$A$2:$A$5000,"&lt;"&amp;EDATE($A278,1),Entries!$B$2:$B$5000,AF$1))</f>
        <v/>
      </c>
      <c r="AG278" s="23">
        <f>IF(OR(AG$1="",$BM278=0),"",SUMIFS(Entries!$E$2:$E$5000,Entries!$C$2:$C$5000,"Actual",Entries!$A$2:$A$5000,"&gt;="&amp;$A278,Entries!$A$2:$A$5000,"&lt;"&amp;EDATE($A278,1),Entries!$B$2:$B$5000,AG$1))</f>
        <v/>
      </c>
      <c r="AH278" s="23">
        <f>IF(OR(AH$1="",$BM278=0),"",SUMIFS(Entries!$E$2:$E$5000,Entries!$C$2:$C$5000,"Actual",Entries!$A$2:$A$5000,"&gt;="&amp;$A278,Entries!$A$2:$A$5000,"&lt;"&amp;EDATE($A278,1),Entries!$B$2:$B$5000,AH$1))</f>
        <v/>
      </c>
      <c r="AI278" s="23">
        <f>IF(OR(AI$1="",$BM278=0),"",SUMIFS(Entries!$E$2:$E$5000,Entries!$C$2:$C$5000,"Actual",Entries!$A$2:$A$5000,"&gt;="&amp;$A278,Entries!$A$2:$A$5000,"&lt;"&amp;EDATE($A278,1),Entries!$B$2:$B$5000,AI$1))</f>
        <v/>
      </c>
      <c r="AJ278" s="23">
        <f>IF(OR(AJ$1="",$BM278=0),"",SUMIFS(Entries!$E$2:$E$5000,Entries!$C$2:$C$5000,"Actual",Entries!$A$2:$A$5000,"&gt;="&amp;$A278,Entries!$A$2:$A$5000,"&lt;"&amp;EDATE($A278,1),Entries!$B$2:$B$5000,AJ$1))</f>
        <v/>
      </c>
      <c r="AK278" s="23">
        <f>IF(OR(AK$1="",$BM278=0),"",SUMIFS(Entries!$E$2:$E$5000,Entries!$C$2:$C$5000,"Actual",Entries!$A$2:$A$5000,"&gt;="&amp;$A278,Entries!$A$2:$A$5000,"&lt;"&amp;EDATE($A278,1),Entries!$B$2:$B$5000,AK$1))</f>
        <v/>
      </c>
      <c r="AL278" s="23">
        <f>IF(OR(AL$1="",$BM278=0),"",SUMIFS(Entries!$E$2:$E$5000,Entries!$C$2:$C$5000,"Actual",Entries!$A$2:$A$5000,"&gt;="&amp;$A278,Entries!$A$2:$A$5000,"&lt;"&amp;EDATE($A278,1),Entries!$B$2:$B$5000,AL$1))</f>
        <v/>
      </c>
      <c r="AM278" s="23">
        <f>IF(OR(AM$1="",$BM278=0),"",SUMIFS(Entries!$E$2:$E$5000,Entries!$C$2:$C$5000,"Actual",Entries!$A$2:$A$5000,"&gt;="&amp;$A278,Entries!$A$2:$A$5000,"&lt;"&amp;EDATE($A278,1),Entries!$B$2:$B$5000,AM$1))</f>
        <v/>
      </c>
      <c r="AN278" s="23">
        <f>IF(OR(AN$1="",$BM278=0),"",SUMIFS(Entries!$E$2:$E$5000,Entries!$C$2:$C$5000,"Actual",Entries!$A$2:$A$5000,"&gt;="&amp;$A278,Entries!$A$2:$A$5000,"&lt;"&amp;EDATE($A278,1),Entries!$B$2:$B$5000,AN$1))</f>
        <v/>
      </c>
      <c r="AO278" s="23">
        <f>IF(OR(AO$1="",$BM278=0),"",SUMIFS(Entries!$E$2:$E$5000,Entries!$C$2:$C$5000,"Actual",Entries!$A$2:$A$5000,"&gt;="&amp;$A278,Entries!$A$2:$A$5000,"&lt;"&amp;EDATE($A278,1),Entries!$B$2:$B$5000,AO$1))</f>
        <v/>
      </c>
      <c r="AP278" s="23">
        <f>IF(OR(AP$1="",$BM278=0),"",SUMIFS(Entries!$E$2:$E$5000,Entries!$C$2:$C$5000,"Actual",Entries!$A$2:$A$5000,"&gt;="&amp;$A278,Entries!$A$2:$A$5000,"&lt;"&amp;EDATE($A278,1),Entries!$B$2:$B$5000,AP$1))</f>
        <v/>
      </c>
      <c r="AR278" s="23">
        <f>IF(OR(AR$1="",$BM278=0),"",IFERROR(LOOKUP(2,1/((Budgets!$A$2:$A$200=AR$1)*(Budgets!$B$2:$B$200&lt;EDATE($A278,1))),Budgets!$C$2:$C$200),0))</f>
        <v/>
      </c>
      <c r="AS278" s="23">
        <f>IF(OR(AS$1="",$BM278=0),"",IFERROR(LOOKUP(2,1/((Budgets!$A$2:$A$200=AS$1)*(Budgets!$B$2:$B$200&lt;EDATE($A278,1))),Budgets!$C$2:$C$200),0))</f>
        <v/>
      </c>
      <c r="AT278" s="23">
        <f>IF(OR(AT$1="",$BM278=0),"",IFERROR(LOOKUP(2,1/((Budgets!$A$2:$A$200=AT$1)*(Budgets!$B$2:$B$200&lt;EDATE($A278,1))),Budgets!$C$2:$C$200),0))</f>
        <v/>
      </c>
      <c r="AU278" s="23">
        <f>IF(OR(AU$1="",$BM278=0),"",IFERROR(LOOKUP(2,1/((Budgets!$A$2:$A$200=AU$1)*(Budgets!$B$2:$B$200&lt;EDATE($A278,1))),Budgets!$C$2:$C$200),0))</f>
        <v/>
      </c>
      <c r="AV278" s="23">
        <f>IF(OR(AV$1="",$BM278=0),"",IFERROR(LOOKUP(2,1/((Budgets!$A$2:$A$200=AV$1)*(Budgets!$B$2:$B$200&lt;EDATE($A278,1))),Budgets!$C$2:$C$200),0))</f>
        <v/>
      </c>
      <c r="AW278" s="23">
        <f>IF(OR(AW$1="",$BM278=0),"",IFERROR(LOOKUP(2,1/((Budgets!$A$2:$A$200=AW$1)*(Budgets!$B$2:$B$200&lt;EDATE($A278,1))),Budgets!$C$2:$C$200),0))</f>
        <v/>
      </c>
      <c r="AX278" s="23">
        <f>IF(OR(AX$1="",$BM278=0),"",IFERROR(LOOKUP(2,1/((Budgets!$A$2:$A$200=AX$1)*(Budgets!$B$2:$B$200&lt;EDATE($A278,1))),Budgets!$C$2:$C$200),0))</f>
        <v/>
      </c>
      <c r="AY278" s="23">
        <f>IF(OR(AY$1="",$BM278=0),"",IFERROR(LOOKUP(2,1/((Budgets!$A$2:$A$200=AY$1)*(Budgets!$B$2:$B$200&lt;EDATE($A278,1))),Budgets!$C$2:$C$200),0))</f>
        <v/>
      </c>
      <c r="AZ278" s="23">
        <f>IF(OR(AZ$1="",$BM278=0),"",IFERROR(LOOKUP(2,1/((Budgets!$A$2:$A$200=AZ$1)*(Budgets!$B$2:$B$200&lt;EDATE($A278,1))),Budgets!$C$2:$C$200),0))</f>
        <v/>
      </c>
      <c r="BA278" s="23">
        <f>IF(OR(BA$1="",$BM278=0),"",IFERROR(LOOKUP(2,1/((Budgets!$A$2:$A$200=BA$1)*(Budgets!$B$2:$B$200&lt;EDATE($A278,1))),Budgets!$C$2:$C$200),0))</f>
        <v/>
      </c>
      <c r="BB278" s="23">
        <f>IF(OR(BB$1="",$BM278=0),"",IFERROR(LOOKUP(2,1/((Budgets!$A$2:$A$200=BB$1)*(Budgets!$B$2:$B$200&lt;EDATE($A278,1))),Budgets!$C$2:$C$200),0))</f>
        <v/>
      </c>
      <c r="BC278" s="23">
        <f>IF(OR(BC$1="",$BM278=0),"",IFERROR(LOOKUP(2,1/((Budgets!$A$2:$A$200=BC$1)*(Budgets!$B$2:$B$200&lt;EDATE($A278,1))),Budgets!$C$2:$C$200),0))</f>
        <v/>
      </c>
      <c r="BD278" s="23">
        <f>IF(OR(BD$1="",$BM278=0),"",IFERROR(LOOKUP(2,1/((Budgets!$A$2:$A$200=BD$1)*(Budgets!$B$2:$B$200&lt;EDATE($A278,1))),Budgets!$C$2:$C$200),0))</f>
        <v/>
      </c>
      <c r="BE278" s="23">
        <f>IF(OR(BE$1="",$BM278=0),"",IFERROR(LOOKUP(2,1/((Budgets!$A$2:$A$200=BE$1)*(Budgets!$B$2:$B$200&lt;EDATE($A278,1))),Budgets!$C$2:$C$200),0))</f>
        <v/>
      </c>
      <c r="BF278" s="23">
        <f>IF(OR(BF$1="",$BM278=0),"",IFERROR(LOOKUP(2,1/((Budgets!$A$2:$A$200=BF$1)*(Budgets!$B$2:$B$200&lt;EDATE($A278,1))),Budgets!$C$2:$C$200),0))</f>
        <v/>
      </c>
      <c r="BG278" s="23">
        <f>IF(OR(BG$1="",$BM278=0),"",IFERROR(LOOKUP(2,1/((Budgets!$A$2:$A$200=BG$1)*(Budgets!$B$2:$B$200&lt;EDATE($A278,1))),Budgets!$C$2:$C$200),0))</f>
        <v/>
      </c>
      <c r="BH278" s="23">
        <f>IF(OR(BH$1="",$BM278=0),"",IFERROR(LOOKUP(2,1/((Budgets!$A$2:$A$200=BH$1)*(Budgets!$B$2:$B$200&lt;EDATE($A278,1))),Budgets!$C$2:$C$200),0))</f>
        <v/>
      </c>
      <c r="BI278" s="23">
        <f>IF(OR(BI$1="",$BM278=0),"",IFERROR(LOOKUP(2,1/((Budgets!$A$2:$A$200=BI$1)*(Budgets!$B$2:$B$200&lt;EDATE($A278,1))),Budgets!$C$2:$C$200),0))</f>
        <v/>
      </c>
      <c r="BJ278" s="23">
        <f>IF(OR(BJ$1="",$BM278=0),"",IFERROR(LOOKUP(2,1/((Budgets!$A$2:$A$200=BJ$1)*(Budgets!$B$2:$B$200&lt;EDATE($A278,1))),Budgets!$C$2:$C$200),0))</f>
        <v/>
      </c>
      <c r="BK278" s="23">
        <f>IF(OR(BK$1="",$BM278=0),"",IFERROR(LOOKUP(2,1/((Budgets!$A$2:$A$200=BK$1)*(Budgets!$B$2:$B$200&lt;EDATE($A278,1))),Budgets!$C$2:$C$200),0))</f>
        <v/>
      </c>
      <c r="BM278" s="21">
        <f>COUNTIFS(Entries!$A$2:$A$5000,"&gt;="&amp;$A278,Entries!$A$2:$A$5000,"&lt;"&amp;EDATE($A278,1))</f>
        <v/>
      </c>
    </row>
    <row r="279">
      <c r="A279" s="22" t="n">
        <v>47880</v>
      </c>
      <c r="B279" s="23">
        <f>IF($BM279=0,NA(),SUMIFS(Entries!$E$2:$E$5000,Entries!$C$2:$C$5000,"Income",Entries!$A$2:$A$5000,"&gt;="&amp;$A279,Entries!$A$2:$A$5000,"&lt;"&amp;EDATE($A279,1)))</f>
        <v/>
      </c>
      <c r="C279" s="23">
        <f>IF($BM279=0,"",SUMIFS(Entries!$E$2:$E$5000,Entries!$C$2:$C$5000,"Actual",Entries!$A$2:$A$5000,"&gt;="&amp;$A279,Entries!$A$2:$A$5000,"&lt;"&amp;EDATE($A279,1)))</f>
        <v/>
      </c>
      <c r="D279" s="23">
        <f>IF($BM279=0,"",SUMIFS(Entries!$E$2:$E$5000,Entries!$C$2:$C$5000,"One-off",Entries!$A$2:$A$5000,"&gt;="&amp;$A279,Entries!$A$2:$A$5000,"&lt;"&amp;EDATE($A279,1)))</f>
        <v/>
      </c>
      <c r="E279" s="23">
        <f>IF($BM279=0,NA(),C279+D279)</f>
        <v/>
      </c>
      <c r="F279" s="23">
        <f>IF($BM279=0,"",SUM(AR279:BK279))</f>
        <v/>
      </c>
      <c r="G279" s="23">
        <f>IF($BM279=0,"",B279-E279)</f>
        <v/>
      </c>
      <c r="H279" s="23">
        <f>IF($BM279=0,"",SUM($G$2:G279))</f>
        <v/>
      </c>
      <c r="I279" s="23">
        <f>IF($BM279=0,"",SUMIFS(Entries!$G$2:$G$5000,Entries!$A$2:$A$5000,"&gt;="&amp;$A279,Entries!$A$2:$A$5000,"&lt;"&amp;EDATE($A279,1)))</f>
        <v/>
      </c>
      <c r="J279" s="23">
        <f>IF($BM279=0,NA(),H279)</f>
        <v/>
      </c>
      <c r="K279" s="23">
        <f>IF($BM279=0,"",SUMIFS(Entries!$E$2:$E$5000,Entries!$C$2:$C$5000,"Income",Entries!$A$2:$A$5000,"&gt;="&amp;EDATE($A279,-11),Entries!$A$2:$A$5000,"&lt;"&amp;EDATE($A279,1))/COUNTIFS($A$2:$A$400,"&gt;="&amp;EDATE($A279,-11),$A$2:$A$400,"&lt;"&amp;EDATE($A279,1),$BM$2:$BM$400,"&gt;0"))</f>
      </c>
      <c r="L279" s="23">
        <f>IF($BM279=0,"",(SUMIFS(Entries!$E$2:$E$5000,Entries!$C$2:$C$5000,"Actual",Entries!$A$2:$A$5000,"&gt;="&amp;EDATE($A279,-11),Entries!$A$2:$A$5000,"&lt;"&amp;EDATE($A279,1))+SUMIFS(Entries!$E$2:$E$5000,Entries!$C$2:$C$5000,"One-off",Entries!$A$2:$A$5000,"&gt;="&amp;EDATE($A279,-11),Entries!$A$2:$A$5000,"&lt;"&amp;EDATE($A279,1)))/COUNTIFS($A$2:$A$400,"&gt;="&amp;EDATE($A279,-11),$A$2:$A$400,"&lt;"&amp;EDATE($A279,1),$BM$2:$BM$400,"&gt;0"))</f>
      </c>
      <c r="M279" s="24">
        <f>IF($BM279=0,NA(),IFERROR((K279-L279)/K279,0))</f>
        <v/>
      </c>
      <c r="N279" s="23">
        <f>IF($BM279=0,NA(),SUMIFS(Entries!$E$2:$E$5000,Entries!$D$2:$D$5000,"Core",Entries!$A$2:$A$5000,"&gt;="&amp;$A279,Entries!$A$2:$A$5000,"&lt;"&amp;EDATE($A279,1)))</f>
        <v/>
      </c>
      <c r="O279" s="23">
        <f>IF($BM279=0,NA(),SUMIFS(Entries!$E$2:$E$5000,Entries!$D$2:$D$5000,"Over &amp; above",Entries!$A$2:$A$5000,"&gt;="&amp;$A279,Entries!$A$2:$A$5000,"&lt;"&amp;EDATE($A279,1)))</f>
        <v/>
      </c>
      <c r="P279" s="23">
        <f>IF($BM279=0,NA(),SUMIFS(Entries!$E$2:$E$5000,Entries!$D$2:$D$5000,"One-off",Entries!$A$2:$A$5000,"&gt;="&amp;$A279,Entries!$A$2:$A$5000,"&lt;"&amp;EDATE($A279,1)))</f>
        <v/>
      </c>
      <c r="Q279" s="23">
        <f>IF($BM279=0,NA(),SUMIFS(Entries!$E$2:$E$5000,Entries!$D$2:$D$5000,"Reimbursable",Entries!$A$2:$A$5000,"&gt;="&amp;$A279,Entries!$A$2:$A$5000,"&lt;"&amp;EDATE($A279,1)))</f>
        <v/>
      </c>
      <c r="R279" s="23">
        <f>IF($BM279=0,NA(),SUMIFS(Entries!$E$2:$E$5000,Entries!$D$2:$D$5000,"Investment",Entries!$A$2:$A$5000,"&gt;="&amp;$A279,Entries!$A$2:$A$5000,"&lt;"&amp;EDATE($A279,1)))</f>
        <v/>
      </c>
      <c r="S279" s="23">
        <f>IF($BM279=0,NA(),N279+O279)</f>
        <v/>
      </c>
      <c r="T279" s="23">
        <f>IF($BM279=0,"",E279-Q279)</f>
        <v/>
      </c>
      <c r="W279" s="23">
        <f>IF(OR(W$1="",$BM279=0),"",SUMIFS(Entries!$E$2:$E$5000,Entries!$C$2:$C$5000,"Actual",Entries!$A$2:$A$5000,"&gt;="&amp;$A279,Entries!$A$2:$A$5000,"&lt;"&amp;EDATE($A279,1),Entries!$B$2:$B$5000,W$1))</f>
        <v/>
      </c>
      <c r="X279" s="23">
        <f>IF(OR(X$1="",$BM279=0),"",SUMIFS(Entries!$E$2:$E$5000,Entries!$C$2:$C$5000,"Actual",Entries!$A$2:$A$5000,"&gt;="&amp;$A279,Entries!$A$2:$A$5000,"&lt;"&amp;EDATE($A279,1),Entries!$B$2:$B$5000,X$1))</f>
        <v/>
      </c>
      <c r="Y279" s="23">
        <f>IF(OR(Y$1="",$BM279=0),"",SUMIFS(Entries!$E$2:$E$5000,Entries!$C$2:$C$5000,"Actual",Entries!$A$2:$A$5000,"&gt;="&amp;$A279,Entries!$A$2:$A$5000,"&lt;"&amp;EDATE($A279,1),Entries!$B$2:$B$5000,Y$1))</f>
        <v/>
      </c>
      <c r="Z279" s="23">
        <f>IF(OR(Z$1="",$BM279=0),"",SUMIFS(Entries!$E$2:$E$5000,Entries!$C$2:$C$5000,"Actual",Entries!$A$2:$A$5000,"&gt;="&amp;$A279,Entries!$A$2:$A$5000,"&lt;"&amp;EDATE($A279,1),Entries!$B$2:$B$5000,Z$1))</f>
        <v/>
      </c>
      <c r="AA279" s="23">
        <f>IF(OR(AA$1="",$BM279=0),"",SUMIFS(Entries!$E$2:$E$5000,Entries!$C$2:$C$5000,"Actual",Entries!$A$2:$A$5000,"&gt;="&amp;$A279,Entries!$A$2:$A$5000,"&lt;"&amp;EDATE($A279,1),Entries!$B$2:$B$5000,AA$1))</f>
        <v/>
      </c>
      <c r="AB279" s="23">
        <f>IF(OR(AB$1="",$BM279=0),"",SUMIFS(Entries!$E$2:$E$5000,Entries!$C$2:$C$5000,"Actual",Entries!$A$2:$A$5000,"&gt;="&amp;$A279,Entries!$A$2:$A$5000,"&lt;"&amp;EDATE($A279,1),Entries!$B$2:$B$5000,AB$1))</f>
        <v/>
      </c>
      <c r="AC279" s="23">
        <f>IF(OR(AC$1="",$BM279=0),"",SUMIFS(Entries!$E$2:$E$5000,Entries!$C$2:$C$5000,"Actual",Entries!$A$2:$A$5000,"&gt;="&amp;$A279,Entries!$A$2:$A$5000,"&lt;"&amp;EDATE($A279,1),Entries!$B$2:$B$5000,AC$1))</f>
        <v/>
      </c>
      <c r="AD279" s="23">
        <f>IF(OR(AD$1="",$BM279=0),"",SUMIFS(Entries!$E$2:$E$5000,Entries!$C$2:$C$5000,"Actual",Entries!$A$2:$A$5000,"&gt;="&amp;$A279,Entries!$A$2:$A$5000,"&lt;"&amp;EDATE($A279,1),Entries!$B$2:$B$5000,AD$1))</f>
        <v/>
      </c>
      <c r="AE279" s="23">
        <f>IF(OR(AE$1="",$BM279=0),"",SUMIFS(Entries!$E$2:$E$5000,Entries!$C$2:$C$5000,"Actual",Entries!$A$2:$A$5000,"&gt;="&amp;$A279,Entries!$A$2:$A$5000,"&lt;"&amp;EDATE($A279,1),Entries!$B$2:$B$5000,AE$1))</f>
        <v/>
      </c>
      <c r="AF279" s="23">
        <f>IF(OR(AF$1="",$BM279=0),"",SUMIFS(Entries!$E$2:$E$5000,Entries!$C$2:$C$5000,"Actual",Entries!$A$2:$A$5000,"&gt;="&amp;$A279,Entries!$A$2:$A$5000,"&lt;"&amp;EDATE($A279,1),Entries!$B$2:$B$5000,AF$1))</f>
        <v/>
      </c>
      <c r="AG279" s="23">
        <f>IF(OR(AG$1="",$BM279=0),"",SUMIFS(Entries!$E$2:$E$5000,Entries!$C$2:$C$5000,"Actual",Entries!$A$2:$A$5000,"&gt;="&amp;$A279,Entries!$A$2:$A$5000,"&lt;"&amp;EDATE($A279,1),Entries!$B$2:$B$5000,AG$1))</f>
        <v/>
      </c>
      <c r="AH279" s="23">
        <f>IF(OR(AH$1="",$BM279=0),"",SUMIFS(Entries!$E$2:$E$5000,Entries!$C$2:$C$5000,"Actual",Entries!$A$2:$A$5000,"&gt;="&amp;$A279,Entries!$A$2:$A$5000,"&lt;"&amp;EDATE($A279,1),Entries!$B$2:$B$5000,AH$1))</f>
        <v/>
      </c>
      <c r="AI279" s="23">
        <f>IF(OR(AI$1="",$BM279=0),"",SUMIFS(Entries!$E$2:$E$5000,Entries!$C$2:$C$5000,"Actual",Entries!$A$2:$A$5000,"&gt;="&amp;$A279,Entries!$A$2:$A$5000,"&lt;"&amp;EDATE($A279,1),Entries!$B$2:$B$5000,AI$1))</f>
        <v/>
      </c>
      <c r="AJ279" s="23">
        <f>IF(OR(AJ$1="",$BM279=0),"",SUMIFS(Entries!$E$2:$E$5000,Entries!$C$2:$C$5000,"Actual",Entries!$A$2:$A$5000,"&gt;="&amp;$A279,Entries!$A$2:$A$5000,"&lt;"&amp;EDATE($A279,1),Entries!$B$2:$B$5000,AJ$1))</f>
        <v/>
      </c>
      <c r="AK279" s="23">
        <f>IF(OR(AK$1="",$BM279=0),"",SUMIFS(Entries!$E$2:$E$5000,Entries!$C$2:$C$5000,"Actual",Entries!$A$2:$A$5000,"&gt;="&amp;$A279,Entries!$A$2:$A$5000,"&lt;"&amp;EDATE($A279,1),Entries!$B$2:$B$5000,AK$1))</f>
        <v/>
      </c>
      <c r="AL279" s="23">
        <f>IF(OR(AL$1="",$BM279=0),"",SUMIFS(Entries!$E$2:$E$5000,Entries!$C$2:$C$5000,"Actual",Entries!$A$2:$A$5000,"&gt;="&amp;$A279,Entries!$A$2:$A$5000,"&lt;"&amp;EDATE($A279,1),Entries!$B$2:$B$5000,AL$1))</f>
        <v/>
      </c>
      <c r="AM279" s="23">
        <f>IF(OR(AM$1="",$BM279=0),"",SUMIFS(Entries!$E$2:$E$5000,Entries!$C$2:$C$5000,"Actual",Entries!$A$2:$A$5000,"&gt;="&amp;$A279,Entries!$A$2:$A$5000,"&lt;"&amp;EDATE($A279,1),Entries!$B$2:$B$5000,AM$1))</f>
        <v/>
      </c>
      <c r="AN279" s="23">
        <f>IF(OR(AN$1="",$BM279=0),"",SUMIFS(Entries!$E$2:$E$5000,Entries!$C$2:$C$5000,"Actual",Entries!$A$2:$A$5000,"&gt;="&amp;$A279,Entries!$A$2:$A$5000,"&lt;"&amp;EDATE($A279,1),Entries!$B$2:$B$5000,AN$1))</f>
        <v/>
      </c>
      <c r="AO279" s="23">
        <f>IF(OR(AO$1="",$BM279=0),"",SUMIFS(Entries!$E$2:$E$5000,Entries!$C$2:$C$5000,"Actual",Entries!$A$2:$A$5000,"&gt;="&amp;$A279,Entries!$A$2:$A$5000,"&lt;"&amp;EDATE($A279,1),Entries!$B$2:$B$5000,AO$1))</f>
        <v/>
      </c>
      <c r="AP279" s="23">
        <f>IF(OR(AP$1="",$BM279=0),"",SUMIFS(Entries!$E$2:$E$5000,Entries!$C$2:$C$5000,"Actual",Entries!$A$2:$A$5000,"&gt;="&amp;$A279,Entries!$A$2:$A$5000,"&lt;"&amp;EDATE($A279,1),Entries!$B$2:$B$5000,AP$1))</f>
        <v/>
      </c>
      <c r="AR279" s="23">
        <f>IF(OR(AR$1="",$BM279=0),"",IFERROR(LOOKUP(2,1/((Budgets!$A$2:$A$200=AR$1)*(Budgets!$B$2:$B$200&lt;EDATE($A279,1))),Budgets!$C$2:$C$200),0))</f>
        <v/>
      </c>
      <c r="AS279" s="23">
        <f>IF(OR(AS$1="",$BM279=0),"",IFERROR(LOOKUP(2,1/((Budgets!$A$2:$A$200=AS$1)*(Budgets!$B$2:$B$200&lt;EDATE($A279,1))),Budgets!$C$2:$C$200),0))</f>
        <v/>
      </c>
      <c r="AT279" s="23">
        <f>IF(OR(AT$1="",$BM279=0),"",IFERROR(LOOKUP(2,1/((Budgets!$A$2:$A$200=AT$1)*(Budgets!$B$2:$B$200&lt;EDATE($A279,1))),Budgets!$C$2:$C$200),0))</f>
        <v/>
      </c>
      <c r="AU279" s="23">
        <f>IF(OR(AU$1="",$BM279=0),"",IFERROR(LOOKUP(2,1/((Budgets!$A$2:$A$200=AU$1)*(Budgets!$B$2:$B$200&lt;EDATE($A279,1))),Budgets!$C$2:$C$200),0))</f>
        <v/>
      </c>
      <c r="AV279" s="23">
        <f>IF(OR(AV$1="",$BM279=0),"",IFERROR(LOOKUP(2,1/((Budgets!$A$2:$A$200=AV$1)*(Budgets!$B$2:$B$200&lt;EDATE($A279,1))),Budgets!$C$2:$C$200),0))</f>
        <v/>
      </c>
      <c r="AW279" s="23">
        <f>IF(OR(AW$1="",$BM279=0),"",IFERROR(LOOKUP(2,1/((Budgets!$A$2:$A$200=AW$1)*(Budgets!$B$2:$B$200&lt;EDATE($A279,1))),Budgets!$C$2:$C$200),0))</f>
        <v/>
      </c>
      <c r="AX279" s="23">
        <f>IF(OR(AX$1="",$BM279=0),"",IFERROR(LOOKUP(2,1/((Budgets!$A$2:$A$200=AX$1)*(Budgets!$B$2:$B$200&lt;EDATE($A279,1))),Budgets!$C$2:$C$200),0))</f>
        <v/>
      </c>
      <c r="AY279" s="23">
        <f>IF(OR(AY$1="",$BM279=0),"",IFERROR(LOOKUP(2,1/((Budgets!$A$2:$A$200=AY$1)*(Budgets!$B$2:$B$200&lt;EDATE($A279,1))),Budgets!$C$2:$C$200),0))</f>
        <v/>
      </c>
      <c r="AZ279" s="23">
        <f>IF(OR(AZ$1="",$BM279=0),"",IFERROR(LOOKUP(2,1/((Budgets!$A$2:$A$200=AZ$1)*(Budgets!$B$2:$B$200&lt;EDATE($A279,1))),Budgets!$C$2:$C$200),0))</f>
        <v/>
      </c>
      <c r="BA279" s="23">
        <f>IF(OR(BA$1="",$BM279=0),"",IFERROR(LOOKUP(2,1/((Budgets!$A$2:$A$200=BA$1)*(Budgets!$B$2:$B$200&lt;EDATE($A279,1))),Budgets!$C$2:$C$200),0))</f>
        <v/>
      </c>
      <c r="BB279" s="23">
        <f>IF(OR(BB$1="",$BM279=0),"",IFERROR(LOOKUP(2,1/((Budgets!$A$2:$A$200=BB$1)*(Budgets!$B$2:$B$200&lt;EDATE($A279,1))),Budgets!$C$2:$C$200),0))</f>
        <v/>
      </c>
      <c r="BC279" s="23">
        <f>IF(OR(BC$1="",$BM279=0),"",IFERROR(LOOKUP(2,1/((Budgets!$A$2:$A$200=BC$1)*(Budgets!$B$2:$B$200&lt;EDATE($A279,1))),Budgets!$C$2:$C$200),0))</f>
        <v/>
      </c>
      <c r="BD279" s="23">
        <f>IF(OR(BD$1="",$BM279=0),"",IFERROR(LOOKUP(2,1/((Budgets!$A$2:$A$200=BD$1)*(Budgets!$B$2:$B$200&lt;EDATE($A279,1))),Budgets!$C$2:$C$200),0))</f>
        <v/>
      </c>
      <c r="BE279" s="23">
        <f>IF(OR(BE$1="",$BM279=0),"",IFERROR(LOOKUP(2,1/((Budgets!$A$2:$A$200=BE$1)*(Budgets!$B$2:$B$200&lt;EDATE($A279,1))),Budgets!$C$2:$C$200),0))</f>
        <v/>
      </c>
      <c r="BF279" s="23">
        <f>IF(OR(BF$1="",$BM279=0),"",IFERROR(LOOKUP(2,1/((Budgets!$A$2:$A$200=BF$1)*(Budgets!$B$2:$B$200&lt;EDATE($A279,1))),Budgets!$C$2:$C$200),0))</f>
        <v/>
      </c>
      <c r="BG279" s="23">
        <f>IF(OR(BG$1="",$BM279=0),"",IFERROR(LOOKUP(2,1/((Budgets!$A$2:$A$200=BG$1)*(Budgets!$B$2:$B$200&lt;EDATE($A279,1))),Budgets!$C$2:$C$200),0))</f>
        <v/>
      </c>
      <c r="BH279" s="23">
        <f>IF(OR(BH$1="",$BM279=0),"",IFERROR(LOOKUP(2,1/((Budgets!$A$2:$A$200=BH$1)*(Budgets!$B$2:$B$200&lt;EDATE($A279,1))),Budgets!$C$2:$C$200),0))</f>
        <v/>
      </c>
      <c r="BI279" s="23">
        <f>IF(OR(BI$1="",$BM279=0),"",IFERROR(LOOKUP(2,1/((Budgets!$A$2:$A$200=BI$1)*(Budgets!$B$2:$B$200&lt;EDATE($A279,1))),Budgets!$C$2:$C$200),0))</f>
        <v/>
      </c>
      <c r="BJ279" s="23">
        <f>IF(OR(BJ$1="",$BM279=0),"",IFERROR(LOOKUP(2,1/((Budgets!$A$2:$A$200=BJ$1)*(Budgets!$B$2:$B$200&lt;EDATE($A279,1))),Budgets!$C$2:$C$200),0))</f>
        <v/>
      </c>
      <c r="BK279" s="23">
        <f>IF(OR(BK$1="",$BM279=0),"",IFERROR(LOOKUP(2,1/((Budgets!$A$2:$A$200=BK$1)*(Budgets!$B$2:$B$200&lt;EDATE($A279,1))),Budgets!$C$2:$C$200),0))</f>
        <v/>
      </c>
      <c r="BM279" s="21">
        <f>COUNTIFS(Entries!$A$2:$A$5000,"&gt;="&amp;$A279,Entries!$A$2:$A$5000,"&lt;"&amp;EDATE($A279,1))</f>
        <v/>
      </c>
    </row>
    <row r="280">
      <c r="A280" s="22" t="n">
        <v>47908</v>
      </c>
      <c r="B280" s="23">
        <f>IF($BM280=0,NA(),SUMIFS(Entries!$E$2:$E$5000,Entries!$C$2:$C$5000,"Income",Entries!$A$2:$A$5000,"&gt;="&amp;$A280,Entries!$A$2:$A$5000,"&lt;"&amp;EDATE($A280,1)))</f>
        <v/>
      </c>
      <c r="C280" s="23">
        <f>IF($BM280=0,"",SUMIFS(Entries!$E$2:$E$5000,Entries!$C$2:$C$5000,"Actual",Entries!$A$2:$A$5000,"&gt;="&amp;$A280,Entries!$A$2:$A$5000,"&lt;"&amp;EDATE($A280,1)))</f>
        <v/>
      </c>
      <c r="D280" s="23">
        <f>IF($BM280=0,"",SUMIFS(Entries!$E$2:$E$5000,Entries!$C$2:$C$5000,"One-off",Entries!$A$2:$A$5000,"&gt;="&amp;$A280,Entries!$A$2:$A$5000,"&lt;"&amp;EDATE($A280,1)))</f>
        <v/>
      </c>
      <c r="E280" s="23">
        <f>IF($BM280=0,NA(),C280+D280)</f>
        <v/>
      </c>
      <c r="F280" s="23">
        <f>IF($BM280=0,"",SUM(AR280:BK280))</f>
        <v/>
      </c>
      <c r="G280" s="23">
        <f>IF($BM280=0,"",B280-E280)</f>
        <v/>
      </c>
      <c r="H280" s="23">
        <f>IF($BM280=0,"",SUM($G$2:G280))</f>
        <v/>
      </c>
      <c r="I280" s="23">
        <f>IF($BM280=0,"",SUMIFS(Entries!$G$2:$G$5000,Entries!$A$2:$A$5000,"&gt;="&amp;$A280,Entries!$A$2:$A$5000,"&lt;"&amp;EDATE($A280,1)))</f>
        <v/>
      </c>
      <c r="J280" s="23">
        <f>IF($BM280=0,NA(),H280)</f>
        <v/>
      </c>
      <c r="K280" s="23">
        <f>IF($BM280=0,"",SUMIFS(Entries!$E$2:$E$5000,Entries!$C$2:$C$5000,"Income",Entries!$A$2:$A$5000,"&gt;="&amp;EDATE($A280,-11),Entries!$A$2:$A$5000,"&lt;"&amp;EDATE($A280,1))/COUNTIFS($A$2:$A$400,"&gt;="&amp;EDATE($A280,-11),$A$2:$A$400,"&lt;"&amp;EDATE($A280,1),$BM$2:$BM$400,"&gt;0"))</f>
      </c>
      <c r="L280" s="23">
        <f>IF($BM280=0,"",(SUMIFS(Entries!$E$2:$E$5000,Entries!$C$2:$C$5000,"Actual",Entries!$A$2:$A$5000,"&gt;="&amp;EDATE($A280,-11),Entries!$A$2:$A$5000,"&lt;"&amp;EDATE($A280,1))+SUMIFS(Entries!$E$2:$E$5000,Entries!$C$2:$C$5000,"One-off",Entries!$A$2:$A$5000,"&gt;="&amp;EDATE($A280,-11),Entries!$A$2:$A$5000,"&lt;"&amp;EDATE($A280,1)))/COUNTIFS($A$2:$A$400,"&gt;="&amp;EDATE($A280,-11),$A$2:$A$400,"&lt;"&amp;EDATE($A280,1),$BM$2:$BM$400,"&gt;0"))</f>
      </c>
      <c r="M280" s="24">
        <f>IF($BM280=0,NA(),IFERROR((K280-L280)/K280,0))</f>
        <v/>
      </c>
      <c r="N280" s="23">
        <f>IF($BM280=0,NA(),SUMIFS(Entries!$E$2:$E$5000,Entries!$D$2:$D$5000,"Core",Entries!$A$2:$A$5000,"&gt;="&amp;$A280,Entries!$A$2:$A$5000,"&lt;"&amp;EDATE($A280,1)))</f>
        <v/>
      </c>
      <c r="O280" s="23">
        <f>IF($BM280=0,NA(),SUMIFS(Entries!$E$2:$E$5000,Entries!$D$2:$D$5000,"Over &amp; above",Entries!$A$2:$A$5000,"&gt;="&amp;$A280,Entries!$A$2:$A$5000,"&lt;"&amp;EDATE($A280,1)))</f>
        <v/>
      </c>
      <c r="P280" s="23">
        <f>IF($BM280=0,NA(),SUMIFS(Entries!$E$2:$E$5000,Entries!$D$2:$D$5000,"One-off",Entries!$A$2:$A$5000,"&gt;="&amp;$A280,Entries!$A$2:$A$5000,"&lt;"&amp;EDATE($A280,1)))</f>
        <v/>
      </c>
      <c r="Q280" s="23">
        <f>IF($BM280=0,NA(),SUMIFS(Entries!$E$2:$E$5000,Entries!$D$2:$D$5000,"Reimbursable",Entries!$A$2:$A$5000,"&gt;="&amp;$A280,Entries!$A$2:$A$5000,"&lt;"&amp;EDATE($A280,1)))</f>
        <v/>
      </c>
      <c r="R280" s="23">
        <f>IF($BM280=0,NA(),SUMIFS(Entries!$E$2:$E$5000,Entries!$D$2:$D$5000,"Investment",Entries!$A$2:$A$5000,"&gt;="&amp;$A280,Entries!$A$2:$A$5000,"&lt;"&amp;EDATE($A280,1)))</f>
        <v/>
      </c>
      <c r="S280" s="23">
        <f>IF($BM280=0,NA(),N280+O280)</f>
        <v/>
      </c>
      <c r="T280" s="23">
        <f>IF($BM280=0,"",E280-Q280)</f>
        <v/>
      </c>
      <c r="W280" s="23">
        <f>IF(OR(W$1="",$BM280=0),"",SUMIFS(Entries!$E$2:$E$5000,Entries!$C$2:$C$5000,"Actual",Entries!$A$2:$A$5000,"&gt;="&amp;$A280,Entries!$A$2:$A$5000,"&lt;"&amp;EDATE($A280,1),Entries!$B$2:$B$5000,W$1))</f>
        <v/>
      </c>
      <c r="X280" s="23">
        <f>IF(OR(X$1="",$BM280=0),"",SUMIFS(Entries!$E$2:$E$5000,Entries!$C$2:$C$5000,"Actual",Entries!$A$2:$A$5000,"&gt;="&amp;$A280,Entries!$A$2:$A$5000,"&lt;"&amp;EDATE($A280,1),Entries!$B$2:$B$5000,X$1))</f>
        <v/>
      </c>
      <c r="Y280" s="23">
        <f>IF(OR(Y$1="",$BM280=0),"",SUMIFS(Entries!$E$2:$E$5000,Entries!$C$2:$C$5000,"Actual",Entries!$A$2:$A$5000,"&gt;="&amp;$A280,Entries!$A$2:$A$5000,"&lt;"&amp;EDATE($A280,1),Entries!$B$2:$B$5000,Y$1))</f>
        <v/>
      </c>
      <c r="Z280" s="23">
        <f>IF(OR(Z$1="",$BM280=0),"",SUMIFS(Entries!$E$2:$E$5000,Entries!$C$2:$C$5000,"Actual",Entries!$A$2:$A$5000,"&gt;="&amp;$A280,Entries!$A$2:$A$5000,"&lt;"&amp;EDATE($A280,1),Entries!$B$2:$B$5000,Z$1))</f>
        <v/>
      </c>
      <c r="AA280" s="23">
        <f>IF(OR(AA$1="",$BM280=0),"",SUMIFS(Entries!$E$2:$E$5000,Entries!$C$2:$C$5000,"Actual",Entries!$A$2:$A$5000,"&gt;="&amp;$A280,Entries!$A$2:$A$5000,"&lt;"&amp;EDATE($A280,1),Entries!$B$2:$B$5000,AA$1))</f>
        <v/>
      </c>
      <c r="AB280" s="23">
        <f>IF(OR(AB$1="",$BM280=0),"",SUMIFS(Entries!$E$2:$E$5000,Entries!$C$2:$C$5000,"Actual",Entries!$A$2:$A$5000,"&gt;="&amp;$A280,Entries!$A$2:$A$5000,"&lt;"&amp;EDATE($A280,1),Entries!$B$2:$B$5000,AB$1))</f>
        <v/>
      </c>
      <c r="AC280" s="23">
        <f>IF(OR(AC$1="",$BM280=0),"",SUMIFS(Entries!$E$2:$E$5000,Entries!$C$2:$C$5000,"Actual",Entries!$A$2:$A$5000,"&gt;="&amp;$A280,Entries!$A$2:$A$5000,"&lt;"&amp;EDATE($A280,1),Entries!$B$2:$B$5000,AC$1))</f>
        <v/>
      </c>
      <c r="AD280" s="23">
        <f>IF(OR(AD$1="",$BM280=0),"",SUMIFS(Entries!$E$2:$E$5000,Entries!$C$2:$C$5000,"Actual",Entries!$A$2:$A$5000,"&gt;="&amp;$A280,Entries!$A$2:$A$5000,"&lt;"&amp;EDATE($A280,1),Entries!$B$2:$B$5000,AD$1))</f>
        <v/>
      </c>
      <c r="AE280" s="23">
        <f>IF(OR(AE$1="",$BM280=0),"",SUMIFS(Entries!$E$2:$E$5000,Entries!$C$2:$C$5000,"Actual",Entries!$A$2:$A$5000,"&gt;="&amp;$A280,Entries!$A$2:$A$5000,"&lt;"&amp;EDATE($A280,1),Entries!$B$2:$B$5000,AE$1))</f>
        <v/>
      </c>
      <c r="AF280" s="23">
        <f>IF(OR(AF$1="",$BM280=0),"",SUMIFS(Entries!$E$2:$E$5000,Entries!$C$2:$C$5000,"Actual",Entries!$A$2:$A$5000,"&gt;="&amp;$A280,Entries!$A$2:$A$5000,"&lt;"&amp;EDATE($A280,1),Entries!$B$2:$B$5000,AF$1))</f>
        <v/>
      </c>
      <c r="AG280" s="23">
        <f>IF(OR(AG$1="",$BM280=0),"",SUMIFS(Entries!$E$2:$E$5000,Entries!$C$2:$C$5000,"Actual",Entries!$A$2:$A$5000,"&gt;="&amp;$A280,Entries!$A$2:$A$5000,"&lt;"&amp;EDATE($A280,1),Entries!$B$2:$B$5000,AG$1))</f>
        <v/>
      </c>
      <c r="AH280" s="23">
        <f>IF(OR(AH$1="",$BM280=0),"",SUMIFS(Entries!$E$2:$E$5000,Entries!$C$2:$C$5000,"Actual",Entries!$A$2:$A$5000,"&gt;="&amp;$A280,Entries!$A$2:$A$5000,"&lt;"&amp;EDATE($A280,1),Entries!$B$2:$B$5000,AH$1))</f>
        <v/>
      </c>
      <c r="AI280" s="23">
        <f>IF(OR(AI$1="",$BM280=0),"",SUMIFS(Entries!$E$2:$E$5000,Entries!$C$2:$C$5000,"Actual",Entries!$A$2:$A$5000,"&gt;="&amp;$A280,Entries!$A$2:$A$5000,"&lt;"&amp;EDATE($A280,1),Entries!$B$2:$B$5000,AI$1))</f>
        <v/>
      </c>
      <c r="AJ280" s="23">
        <f>IF(OR(AJ$1="",$BM280=0),"",SUMIFS(Entries!$E$2:$E$5000,Entries!$C$2:$C$5000,"Actual",Entries!$A$2:$A$5000,"&gt;="&amp;$A280,Entries!$A$2:$A$5000,"&lt;"&amp;EDATE($A280,1),Entries!$B$2:$B$5000,AJ$1))</f>
        <v/>
      </c>
      <c r="AK280" s="23">
        <f>IF(OR(AK$1="",$BM280=0),"",SUMIFS(Entries!$E$2:$E$5000,Entries!$C$2:$C$5000,"Actual",Entries!$A$2:$A$5000,"&gt;="&amp;$A280,Entries!$A$2:$A$5000,"&lt;"&amp;EDATE($A280,1),Entries!$B$2:$B$5000,AK$1))</f>
        <v/>
      </c>
      <c r="AL280" s="23">
        <f>IF(OR(AL$1="",$BM280=0),"",SUMIFS(Entries!$E$2:$E$5000,Entries!$C$2:$C$5000,"Actual",Entries!$A$2:$A$5000,"&gt;="&amp;$A280,Entries!$A$2:$A$5000,"&lt;"&amp;EDATE($A280,1),Entries!$B$2:$B$5000,AL$1))</f>
        <v/>
      </c>
      <c r="AM280" s="23">
        <f>IF(OR(AM$1="",$BM280=0),"",SUMIFS(Entries!$E$2:$E$5000,Entries!$C$2:$C$5000,"Actual",Entries!$A$2:$A$5000,"&gt;="&amp;$A280,Entries!$A$2:$A$5000,"&lt;"&amp;EDATE($A280,1),Entries!$B$2:$B$5000,AM$1))</f>
        <v/>
      </c>
      <c r="AN280" s="23">
        <f>IF(OR(AN$1="",$BM280=0),"",SUMIFS(Entries!$E$2:$E$5000,Entries!$C$2:$C$5000,"Actual",Entries!$A$2:$A$5000,"&gt;="&amp;$A280,Entries!$A$2:$A$5000,"&lt;"&amp;EDATE($A280,1),Entries!$B$2:$B$5000,AN$1))</f>
        <v/>
      </c>
      <c r="AO280" s="23">
        <f>IF(OR(AO$1="",$BM280=0),"",SUMIFS(Entries!$E$2:$E$5000,Entries!$C$2:$C$5000,"Actual",Entries!$A$2:$A$5000,"&gt;="&amp;$A280,Entries!$A$2:$A$5000,"&lt;"&amp;EDATE($A280,1),Entries!$B$2:$B$5000,AO$1))</f>
        <v/>
      </c>
      <c r="AP280" s="23">
        <f>IF(OR(AP$1="",$BM280=0),"",SUMIFS(Entries!$E$2:$E$5000,Entries!$C$2:$C$5000,"Actual",Entries!$A$2:$A$5000,"&gt;="&amp;$A280,Entries!$A$2:$A$5000,"&lt;"&amp;EDATE($A280,1),Entries!$B$2:$B$5000,AP$1))</f>
        <v/>
      </c>
      <c r="AR280" s="23">
        <f>IF(OR(AR$1="",$BM280=0),"",IFERROR(LOOKUP(2,1/((Budgets!$A$2:$A$200=AR$1)*(Budgets!$B$2:$B$200&lt;EDATE($A280,1))),Budgets!$C$2:$C$200),0))</f>
        <v/>
      </c>
      <c r="AS280" s="23">
        <f>IF(OR(AS$1="",$BM280=0),"",IFERROR(LOOKUP(2,1/((Budgets!$A$2:$A$200=AS$1)*(Budgets!$B$2:$B$200&lt;EDATE($A280,1))),Budgets!$C$2:$C$200),0))</f>
        <v/>
      </c>
      <c r="AT280" s="23">
        <f>IF(OR(AT$1="",$BM280=0),"",IFERROR(LOOKUP(2,1/((Budgets!$A$2:$A$200=AT$1)*(Budgets!$B$2:$B$200&lt;EDATE($A280,1))),Budgets!$C$2:$C$200),0))</f>
        <v/>
      </c>
      <c r="AU280" s="23">
        <f>IF(OR(AU$1="",$BM280=0),"",IFERROR(LOOKUP(2,1/((Budgets!$A$2:$A$200=AU$1)*(Budgets!$B$2:$B$200&lt;EDATE($A280,1))),Budgets!$C$2:$C$200),0))</f>
        <v/>
      </c>
      <c r="AV280" s="23">
        <f>IF(OR(AV$1="",$BM280=0),"",IFERROR(LOOKUP(2,1/((Budgets!$A$2:$A$200=AV$1)*(Budgets!$B$2:$B$200&lt;EDATE($A280,1))),Budgets!$C$2:$C$200),0))</f>
        <v/>
      </c>
      <c r="AW280" s="23">
        <f>IF(OR(AW$1="",$BM280=0),"",IFERROR(LOOKUP(2,1/((Budgets!$A$2:$A$200=AW$1)*(Budgets!$B$2:$B$200&lt;EDATE($A280,1))),Budgets!$C$2:$C$200),0))</f>
        <v/>
      </c>
      <c r="AX280" s="23">
        <f>IF(OR(AX$1="",$BM280=0),"",IFERROR(LOOKUP(2,1/((Budgets!$A$2:$A$200=AX$1)*(Budgets!$B$2:$B$200&lt;EDATE($A280,1))),Budgets!$C$2:$C$200),0))</f>
        <v/>
      </c>
      <c r="AY280" s="23">
        <f>IF(OR(AY$1="",$BM280=0),"",IFERROR(LOOKUP(2,1/((Budgets!$A$2:$A$200=AY$1)*(Budgets!$B$2:$B$200&lt;EDATE($A280,1))),Budgets!$C$2:$C$200),0))</f>
        <v/>
      </c>
      <c r="AZ280" s="23">
        <f>IF(OR(AZ$1="",$BM280=0),"",IFERROR(LOOKUP(2,1/((Budgets!$A$2:$A$200=AZ$1)*(Budgets!$B$2:$B$200&lt;EDATE($A280,1))),Budgets!$C$2:$C$200),0))</f>
        <v/>
      </c>
      <c r="BA280" s="23">
        <f>IF(OR(BA$1="",$BM280=0),"",IFERROR(LOOKUP(2,1/((Budgets!$A$2:$A$200=BA$1)*(Budgets!$B$2:$B$200&lt;EDATE($A280,1))),Budgets!$C$2:$C$200),0))</f>
        <v/>
      </c>
      <c r="BB280" s="23">
        <f>IF(OR(BB$1="",$BM280=0),"",IFERROR(LOOKUP(2,1/((Budgets!$A$2:$A$200=BB$1)*(Budgets!$B$2:$B$200&lt;EDATE($A280,1))),Budgets!$C$2:$C$200),0))</f>
        <v/>
      </c>
      <c r="BC280" s="23">
        <f>IF(OR(BC$1="",$BM280=0),"",IFERROR(LOOKUP(2,1/((Budgets!$A$2:$A$200=BC$1)*(Budgets!$B$2:$B$200&lt;EDATE($A280,1))),Budgets!$C$2:$C$200),0))</f>
        <v/>
      </c>
      <c r="BD280" s="23">
        <f>IF(OR(BD$1="",$BM280=0),"",IFERROR(LOOKUP(2,1/((Budgets!$A$2:$A$200=BD$1)*(Budgets!$B$2:$B$200&lt;EDATE($A280,1))),Budgets!$C$2:$C$200),0))</f>
        <v/>
      </c>
      <c r="BE280" s="23">
        <f>IF(OR(BE$1="",$BM280=0),"",IFERROR(LOOKUP(2,1/((Budgets!$A$2:$A$200=BE$1)*(Budgets!$B$2:$B$200&lt;EDATE($A280,1))),Budgets!$C$2:$C$200),0))</f>
        <v/>
      </c>
      <c r="BF280" s="23">
        <f>IF(OR(BF$1="",$BM280=0),"",IFERROR(LOOKUP(2,1/((Budgets!$A$2:$A$200=BF$1)*(Budgets!$B$2:$B$200&lt;EDATE($A280,1))),Budgets!$C$2:$C$200),0))</f>
        <v/>
      </c>
      <c r="BG280" s="23">
        <f>IF(OR(BG$1="",$BM280=0),"",IFERROR(LOOKUP(2,1/((Budgets!$A$2:$A$200=BG$1)*(Budgets!$B$2:$B$200&lt;EDATE($A280,1))),Budgets!$C$2:$C$200),0))</f>
        <v/>
      </c>
      <c r="BH280" s="23">
        <f>IF(OR(BH$1="",$BM280=0),"",IFERROR(LOOKUP(2,1/((Budgets!$A$2:$A$200=BH$1)*(Budgets!$B$2:$B$200&lt;EDATE($A280,1))),Budgets!$C$2:$C$200),0))</f>
        <v/>
      </c>
      <c r="BI280" s="23">
        <f>IF(OR(BI$1="",$BM280=0),"",IFERROR(LOOKUP(2,1/((Budgets!$A$2:$A$200=BI$1)*(Budgets!$B$2:$B$200&lt;EDATE($A280,1))),Budgets!$C$2:$C$200),0))</f>
        <v/>
      </c>
      <c r="BJ280" s="23">
        <f>IF(OR(BJ$1="",$BM280=0),"",IFERROR(LOOKUP(2,1/((Budgets!$A$2:$A$200=BJ$1)*(Budgets!$B$2:$B$200&lt;EDATE($A280,1))),Budgets!$C$2:$C$200),0))</f>
        <v/>
      </c>
      <c r="BK280" s="23">
        <f>IF(OR(BK$1="",$BM280=0),"",IFERROR(LOOKUP(2,1/((Budgets!$A$2:$A$200=BK$1)*(Budgets!$B$2:$B$200&lt;EDATE($A280,1))),Budgets!$C$2:$C$200),0))</f>
        <v/>
      </c>
      <c r="BM280" s="21">
        <f>COUNTIFS(Entries!$A$2:$A$5000,"&gt;="&amp;$A280,Entries!$A$2:$A$5000,"&lt;"&amp;EDATE($A280,1))</f>
        <v/>
      </c>
    </row>
    <row r="281">
      <c r="A281" s="22" t="n">
        <v>47939</v>
      </c>
      <c r="B281" s="23">
        <f>IF($BM281=0,NA(),SUMIFS(Entries!$E$2:$E$5000,Entries!$C$2:$C$5000,"Income",Entries!$A$2:$A$5000,"&gt;="&amp;$A281,Entries!$A$2:$A$5000,"&lt;"&amp;EDATE($A281,1)))</f>
        <v/>
      </c>
      <c r="C281" s="23">
        <f>IF($BM281=0,"",SUMIFS(Entries!$E$2:$E$5000,Entries!$C$2:$C$5000,"Actual",Entries!$A$2:$A$5000,"&gt;="&amp;$A281,Entries!$A$2:$A$5000,"&lt;"&amp;EDATE($A281,1)))</f>
        <v/>
      </c>
      <c r="D281" s="23">
        <f>IF($BM281=0,"",SUMIFS(Entries!$E$2:$E$5000,Entries!$C$2:$C$5000,"One-off",Entries!$A$2:$A$5000,"&gt;="&amp;$A281,Entries!$A$2:$A$5000,"&lt;"&amp;EDATE($A281,1)))</f>
        <v/>
      </c>
      <c r="E281" s="23">
        <f>IF($BM281=0,NA(),C281+D281)</f>
        <v/>
      </c>
      <c r="F281" s="23">
        <f>IF($BM281=0,"",SUM(AR281:BK281))</f>
        <v/>
      </c>
      <c r="G281" s="23">
        <f>IF($BM281=0,"",B281-E281)</f>
        <v/>
      </c>
      <c r="H281" s="23">
        <f>IF($BM281=0,"",SUM($G$2:G281))</f>
        <v/>
      </c>
      <c r="I281" s="23">
        <f>IF($BM281=0,"",SUMIFS(Entries!$G$2:$G$5000,Entries!$A$2:$A$5000,"&gt;="&amp;$A281,Entries!$A$2:$A$5000,"&lt;"&amp;EDATE($A281,1)))</f>
        <v/>
      </c>
      <c r="J281" s="23">
        <f>IF($BM281=0,NA(),H281)</f>
        <v/>
      </c>
      <c r="K281" s="23">
        <f>IF($BM281=0,"",SUMIFS(Entries!$E$2:$E$5000,Entries!$C$2:$C$5000,"Income",Entries!$A$2:$A$5000,"&gt;="&amp;EDATE($A281,-11),Entries!$A$2:$A$5000,"&lt;"&amp;EDATE($A281,1))/COUNTIFS($A$2:$A$400,"&gt;="&amp;EDATE($A281,-11),$A$2:$A$400,"&lt;"&amp;EDATE($A281,1),$BM$2:$BM$400,"&gt;0"))</f>
      </c>
      <c r="L281" s="23">
        <f>IF($BM281=0,"",(SUMIFS(Entries!$E$2:$E$5000,Entries!$C$2:$C$5000,"Actual",Entries!$A$2:$A$5000,"&gt;="&amp;EDATE($A281,-11),Entries!$A$2:$A$5000,"&lt;"&amp;EDATE($A281,1))+SUMIFS(Entries!$E$2:$E$5000,Entries!$C$2:$C$5000,"One-off",Entries!$A$2:$A$5000,"&gt;="&amp;EDATE($A281,-11),Entries!$A$2:$A$5000,"&lt;"&amp;EDATE($A281,1)))/COUNTIFS($A$2:$A$400,"&gt;="&amp;EDATE($A281,-11),$A$2:$A$400,"&lt;"&amp;EDATE($A281,1),$BM$2:$BM$400,"&gt;0"))</f>
      </c>
      <c r="M281" s="24">
        <f>IF($BM281=0,NA(),IFERROR((K281-L281)/K281,0))</f>
        <v/>
      </c>
      <c r="N281" s="23">
        <f>IF($BM281=0,NA(),SUMIFS(Entries!$E$2:$E$5000,Entries!$D$2:$D$5000,"Core",Entries!$A$2:$A$5000,"&gt;="&amp;$A281,Entries!$A$2:$A$5000,"&lt;"&amp;EDATE($A281,1)))</f>
        <v/>
      </c>
      <c r="O281" s="23">
        <f>IF($BM281=0,NA(),SUMIFS(Entries!$E$2:$E$5000,Entries!$D$2:$D$5000,"Over &amp; above",Entries!$A$2:$A$5000,"&gt;="&amp;$A281,Entries!$A$2:$A$5000,"&lt;"&amp;EDATE($A281,1)))</f>
        <v/>
      </c>
      <c r="P281" s="23">
        <f>IF($BM281=0,NA(),SUMIFS(Entries!$E$2:$E$5000,Entries!$D$2:$D$5000,"One-off",Entries!$A$2:$A$5000,"&gt;="&amp;$A281,Entries!$A$2:$A$5000,"&lt;"&amp;EDATE($A281,1)))</f>
        <v/>
      </c>
      <c r="Q281" s="23">
        <f>IF($BM281=0,NA(),SUMIFS(Entries!$E$2:$E$5000,Entries!$D$2:$D$5000,"Reimbursable",Entries!$A$2:$A$5000,"&gt;="&amp;$A281,Entries!$A$2:$A$5000,"&lt;"&amp;EDATE($A281,1)))</f>
        <v/>
      </c>
      <c r="R281" s="23">
        <f>IF($BM281=0,NA(),SUMIFS(Entries!$E$2:$E$5000,Entries!$D$2:$D$5000,"Investment",Entries!$A$2:$A$5000,"&gt;="&amp;$A281,Entries!$A$2:$A$5000,"&lt;"&amp;EDATE($A281,1)))</f>
        <v/>
      </c>
      <c r="S281" s="23">
        <f>IF($BM281=0,NA(),N281+O281)</f>
        <v/>
      </c>
      <c r="T281" s="23">
        <f>IF($BM281=0,"",E281-Q281)</f>
        <v/>
      </c>
      <c r="W281" s="23">
        <f>IF(OR(W$1="",$BM281=0),"",SUMIFS(Entries!$E$2:$E$5000,Entries!$C$2:$C$5000,"Actual",Entries!$A$2:$A$5000,"&gt;="&amp;$A281,Entries!$A$2:$A$5000,"&lt;"&amp;EDATE($A281,1),Entries!$B$2:$B$5000,W$1))</f>
        <v/>
      </c>
      <c r="X281" s="23">
        <f>IF(OR(X$1="",$BM281=0),"",SUMIFS(Entries!$E$2:$E$5000,Entries!$C$2:$C$5000,"Actual",Entries!$A$2:$A$5000,"&gt;="&amp;$A281,Entries!$A$2:$A$5000,"&lt;"&amp;EDATE($A281,1),Entries!$B$2:$B$5000,X$1))</f>
        <v/>
      </c>
      <c r="Y281" s="23">
        <f>IF(OR(Y$1="",$BM281=0),"",SUMIFS(Entries!$E$2:$E$5000,Entries!$C$2:$C$5000,"Actual",Entries!$A$2:$A$5000,"&gt;="&amp;$A281,Entries!$A$2:$A$5000,"&lt;"&amp;EDATE($A281,1),Entries!$B$2:$B$5000,Y$1))</f>
        <v/>
      </c>
      <c r="Z281" s="23">
        <f>IF(OR(Z$1="",$BM281=0),"",SUMIFS(Entries!$E$2:$E$5000,Entries!$C$2:$C$5000,"Actual",Entries!$A$2:$A$5000,"&gt;="&amp;$A281,Entries!$A$2:$A$5000,"&lt;"&amp;EDATE($A281,1),Entries!$B$2:$B$5000,Z$1))</f>
        <v/>
      </c>
      <c r="AA281" s="23">
        <f>IF(OR(AA$1="",$BM281=0),"",SUMIFS(Entries!$E$2:$E$5000,Entries!$C$2:$C$5000,"Actual",Entries!$A$2:$A$5000,"&gt;="&amp;$A281,Entries!$A$2:$A$5000,"&lt;"&amp;EDATE($A281,1),Entries!$B$2:$B$5000,AA$1))</f>
        <v/>
      </c>
      <c r="AB281" s="23">
        <f>IF(OR(AB$1="",$BM281=0),"",SUMIFS(Entries!$E$2:$E$5000,Entries!$C$2:$C$5000,"Actual",Entries!$A$2:$A$5000,"&gt;="&amp;$A281,Entries!$A$2:$A$5000,"&lt;"&amp;EDATE($A281,1),Entries!$B$2:$B$5000,AB$1))</f>
        <v/>
      </c>
      <c r="AC281" s="23">
        <f>IF(OR(AC$1="",$BM281=0),"",SUMIFS(Entries!$E$2:$E$5000,Entries!$C$2:$C$5000,"Actual",Entries!$A$2:$A$5000,"&gt;="&amp;$A281,Entries!$A$2:$A$5000,"&lt;"&amp;EDATE($A281,1),Entries!$B$2:$B$5000,AC$1))</f>
        <v/>
      </c>
      <c r="AD281" s="23">
        <f>IF(OR(AD$1="",$BM281=0),"",SUMIFS(Entries!$E$2:$E$5000,Entries!$C$2:$C$5000,"Actual",Entries!$A$2:$A$5000,"&gt;="&amp;$A281,Entries!$A$2:$A$5000,"&lt;"&amp;EDATE($A281,1),Entries!$B$2:$B$5000,AD$1))</f>
        <v/>
      </c>
      <c r="AE281" s="23">
        <f>IF(OR(AE$1="",$BM281=0),"",SUMIFS(Entries!$E$2:$E$5000,Entries!$C$2:$C$5000,"Actual",Entries!$A$2:$A$5000,"&gt;="&amp;$A281,Entries!$A$2:$A$5000,"&lt;"&amp;EDATE($A281,1),Entries!$B$2:$B$5000,AE$1))</f>
        <v/>
      </c>
      <c r="AF281" s="23">
        <f>IF(OR(AF$1="",$BM281=0),"",SUMIFS(Entries!$E$2:$E$5000,Entries!$C$2:$C$5000,"Actual",Entries!$A$2:$A$5000,"&gt;="&amp;$A281,Entries!$A$2:$A$5000,"&lt;"&amp;EDATE($A281,1),Entries!$B$2:$B$5000,AF$1))</f>
        <v/>
      </c>
      <c r="AG281" s="23">
        <f>IF(OR(AG$1="",$BM281=0),"",SUMIFS(Entries!$E$2:$E$5000,Entries!$C$2:$C$5000,"Actual",Entries!$A$2:$A$5000,"&gt;="&amp;$A281,Entries!$A$2:$A$5000,"&lt;"&amp;EDATE($A281,1),Entries!$B$2:$B$5000,AG$1))</f>
        <v/>
      </c>
      <c r="AH281" s="23">
        <f>IF(OR(AH$1="",$BM281=0),"",SUMIFS(Entries!$E$2:$E$5000,Entries!$C$2:$C$5000,"Actual",Entries!$A$2:$A$5000,"&gt;="&amp;$A281,Entries!$A$2:$A$5000,"&lt;"&amp;EDATE($A281,1),Entries!$B$2:$B$5000,AH$1))</f>
        <v/>
      </c>
      <c r="AI281" s="23">
        <f>IF(OR(AI$1="",$BM281=0),"",SUMIFS(Entries!$E$2:$E$5000,Entries!$C$2:$C$5000,"Actual",Entries!$A$2:$A$5000,"&gt;="&amp;$A281,Entries!$A$2:$A$5000,"&lt;"&amp;EDATE($A281,1),Entries!$B$2:$B$5000,AI$1))</f>
        <v/>
      </c>
      <c r="AJ281" s="23">
        <f>IF(OR(AJ$1="",$BM281=0),"",SUMIFS(Entries!$E$2:$E$5000,Entries!$C$2:$C$5000,"Actual",Entries!$A$2:$A$5000,"&gt;="&amp;$A281,Entries!$A$2:$A$5000,"&lt;"&amp;EDATE($A281,1),Entries!$B$2:$B$5000,AJ$1))</f>
        <v/>
      </c>
      <c r="AK281" s="23">
        <f>IF(OR(AK$1="",$BM281=0),"",SUMIFS(Entries!$E$2:$E$5000,Entries!$C$2:$C$5000,"Actual",Entries!$A$2:$A$5000,"&gt;="&amp;$A281,Entries!$A$2:$A$5000,"&lt;"&amp;EDATE($A281,1),Entries!$B$2:$B$5000,AK$1))</f>
        <v/>
      </c>
      <c r="AL281" s="23">
        <f>IF(OR(AL$1="",$BM281=0),"",SUMIFS(Entries!$E$2:$E$5000,Entries!$C$2:$C$5000,"Actual",Entries!$A$2:$A$5000,"&gt;="&amp;$A281,Entries!$A$2:$A$5000,"&lt;"&amp;EDATE($A281,1),Entries!$B$2:$B$5000,AL$1))</f>
        <v/>
      </c>
      <c r="AM281" s="23">
        <f>IF(OR(AM$1="",$BM281=0),"",SUMIFS(Entries!$E$2:$E$5000,Entries!$C$2:$C$5000,"Actual",Entries!$A$2:$A$5000,"&gt;="&amp;$A281,Entries!$A$2:$A$5000,"&lt;"&amp;EDATE($A281,1),Entries!$B$2:$B$5000,AM$1))</f>
        <v/>
      </c>
      <c r="AN281" s="23">
        <f>IF(OR(AN$1="",$BM281=0),"",SUMIFS(Entries!$E$2:$E$5000,Entries!$C$2:$C$5000,"Actual",Entries!$A$2:$A$5000,"&gt;="&amp;$A281,Entries!$A$2:$A$5000,"&lt;"&amp;EDATE($A281,1),Entries!$B$2:$B$5000,AN$1))</f>
        <v/>
      </c>
      <c r="AO281" s="23">
        <f>IF(OR(AO$1="",$BM281=0),"",SUMIFS(Entries!$E$2:$E$5000,Entries!$C$2:$C$5000,"Actual",Entries!$A$2:$A$5000,"&gt;="&amp;$A281,Entries!$A$2:$A$5000,"&lt;"&amp;EDATE($A281,1),Entries!$B$2:$B$5000,AO$1))</f>
        <v/>
      </c>
      <c r="AP281" s="23">
        <f>IF(OR(AP$1="",$BM281=0),"",SUMIFS(Entries!$E$2:$E$5000,Entries!$C$2:$C$5000,"Actual",Entries!$A$2:$A$5000,"&gt;="&amp;$A281,Entries!$A$2:$A$5000,"&lt;"&amp;EDATE($A281,1),Entries!$B$2:$B$5000,AP$1))</f>
        <v/>
      </c>
      <c r="AR281" s="23">
        <f>IF(OR(AR$1="",$BM281=0),"",IFERROR(LOOKUP(2,1/((Budgets!$A$2:$A$200=AR$1)*(Budgets!$B$2:$B$200&lt;EDATE($A281,1))),Budgets!$C$2:$C$200),0))</f>
        <v/>
      </c>
      <c r="AS281" s="23">
        <f>IF(OR(AS$1="",$BM281=0),"",IFERROR(LOOKUP(2,1/((Budgets!$A$2:$A$200=AS$1)*(Budgets!$B$2:$B$200&lt;EDATE($A281,1))),Budgets!$C$2:$C$200),0))</f>
        <v/>
      </c>
      <c r="AT281" s="23">
        <f>IF(OR(AT$1="",$BM281=0),"",IFERROR(LOOKUP(2,1/((Budgets!$A$2:$A$200=AT$1)*(Budgets!$B$2:$B$200&lt;EDATE($A281,1))),Budgets!$C$2:$C$200),0))</f>
        <v/>
      </c>
      <c r="AU281" s="23">
        <f>IF(OR(AU$1="",$BM281=0),"",IFERROR(LOOKUP(2,1/((Budgets!$A$2:$A$200=AU$1)*(Budgets!$B$2:$B$200&lt;EDATE($A281,1))),Budgets!$C$2:$C$200),0))</f>
        <v/>
      </c>
      <c r="AV281" s="23">
        <f>IF(OR(AV$1="",$BM281=0),"",IFERROR(LOOKUP(2,1/((Budgets!$A$2:$A$200=AV$1)*(Budgets!$B$2:$B$200&lt;EDATE($A281,1))),Budgets!$C$2:$C$200),0))</f>
        <v/>
      </c>
      <c r="AW281" s="23">
        <f>IF(OR(AW$1="",$BM281=0),"",IFERROR(LOOKUP(2,1/((Budgets!$A$2:$A$200=AW$1)*(Budgets!$B$2:$B$200&lt;EDATE($A281,1))),Budgets!$C$2:$C$200),0))</f>
        <v/>
      </c>
      <c r="AX281" s="23">
        <f>IF(OR(AX$1="",$BM281=0),"",IFERROR(LOOKUP(2,1/((Budgets!$A$2:$A$200=AX$1)*(Budgets!$B$2:$B$200&lt;EDATE($A281,1))),Budgets!$C$2:$C$200),0))</f>
        <v/>
      </c>
      <c r="AY281" s="23">
        <f>IF(OR(AY$1="",$BM281=0),"",IFERROR(LOOKUP(2,1/((Budgets!$A$2:$A$200=AY$1)*(Budgets!$B$2:$B$200&lt;EDATE($A281,1))),Budgets!$C$2:$C$200),0))</f>
        <v/>
      </c>
      <c r="AZ281" s="23">
        <f>IF(OR(AZ$1="",$BM281=0),"",IFERROR(LOOKUP(2,1/((Budgets!$A$2:$A$200=AZ$1)*(Budgets!$B$2:$B$200&lt;EDATE($A281,1))),Budgets!$C$2:$C$200),0))</f>
        <v/>
      </c>
      <c r="BA281" s="23">
        <f>IF(OR(BA$1="",$BM281=0),"",IFERROR(LOOKUP(2,1/((Budgets!$A$2:$A$200=BA$1)*(Budgets!$B$2:$B$200&lt;EDATE($A281,1))),Budgets!$C$2:$C$200),0))</f>
        <v/>
      </c>
      <c r="BB281" s="23">
        <f>IF(OR(BB$1="",$BM281=0),"",IFERROR(LOOKUP(2,1/((Budgets!$A$2:$A$200=BB$1)*(Budgets!$B$2:$B$200&lt;EDATE($A281,1))),Budgets!$C$2:$C$200),0))</f>
        <v/>
      </c>
      <c r="BC281" s="23">
        <f>IF(OR(BC$1="",$BM281=0),"",IFERROR(LOOKUP(2,1/((Budgets!$A$2:$A$200=BC$1)*(Budgets!$B$2:$B$200&lt;EDATE($A281,1))),Budgets!$C$2:$C$200),0))</f>
        <v/>
      </c>
      <c r="BD281" s="23">
        <f>IF(OR(BD$1="",$BM281=0),"",IFERROR(LOOKUP(2,1/((Budgets!$A$2:$A$200=BD$1)*(Budgets!$B$2:$B$200&lt;EDATE($A281,1))),Budgets!$C$2:$C$200),0))</f>
        <v/>
      </c>
      <c r="BE281" s="23">
        <f>IF(OR(BE$1="",$BM281=0),"",IFERROR(LOOKUP(2,1/((Budgets!$A$2:$A$200=BE$1)*(Budgets!$B$2:$B$200&lt;EDATE($A281,1))),Budgets!$C$2:$C$200),0))</f>
        <v/>
      </c>
      <c r="BF281" s="23">
        <f>IF(OR(BF$1="",$BM281=0),"",IFERROR(LOOKUP(2,1/((Budgets!$A$2:$A$200=BF$1)*(Budgets!$B$2:$B$200&lt;EDATE($A281,1))),Budgets!$C$2:$C$200),0))</f>
        <v/>
      </c>
      <c r="BG281" s="23">
        <f>IF(OR(BG$1="",$BM281=0),"",IFERROR(LOOKUP(2,1/((Budgets!$A$2:$A$200=BG$1)*(Budgets!$B$2:$B$200&lt;EDATE($A281,1))),Budgets!$C$2:$C$200),0))</f>
        <v/>
      </c>
      <c r="BH281" s="23">
        <f>IF(OR(BH$1="",$BM281=0),"",IFERROR(LOOKUP(2,1/((Budgets!$A$2:$A$200=BH$1)*(Budgets!$B$2:$B$200&lt;EDATE($A281,1))),Budgets!$C$2:$C$200),0))</f>
        <v/>
      </c>
      <c r="BI281" s="23">
        <f>IF(OR(BI$1="",$BM281=0),"",IFERROR(LOOKUP(2,1/((Budgets!$A$2:$A$200=BI$1)*(Budgets!$B$2:$B$200&lt;EDATE($A281,1))),Budgets!$C$2:$C$200),0))</f>
        <v/>
      </c>
      <c r="BJ281" s="23">
        <f>IF(OR(BJ$1="",$BM281=0),"",IFERROR(LOOKUP(2,1/((Budgets!$A$2:$A$200=BJ$1)*(Budgets!$B$2:$B$200&lt;EDATE($A281,1))),Budgets!$C$2:$C$200),0))</f>
        <v/>
      </c>
      <c r="BK281" s="23">
        <f>IF(OR(BK$1="",$BM281=0),"",IFERROR(LOOKUP(2,1/((Budgets!$A$2:$A$200=BK$1)*(Budgets!$B$2:$B$200&lt;EDATE($A281,1))),Budgets!$C$2:$C$200),0))</f>
        <v/>
      </c>
      <c r="BM281" s="21">
        <f>COUNTIFS(Entries!$A$2:$A$5000,"&gt;="&amp;$A281,Entries!$A$2:$A$5000,"&lt;"&amp;EDATE($A281,1))</f>
        <v/>
      </c>
    </row>
    <row r="282">
      <c r="A282" s="22" t="n">
        <v>47969</v>
      </c>
      <c r="B282" s="23">
        <f>IF($BM282=0,NA(),SUMIFS(Entries!$E$2:$E$5000,Entries!$C$2:$C$5000,"Income",Entries!$A$2:$A$5000,"&gt;="&amp;$A282,Entries!$A$2:$A$5000,"&lt;"&amp;EDATE($A282,1)))</f>
        <v/>
      </c>
      <c r="C282" s="23">
        <f>IF($BM282=0,"",SUMIFS(Entries!$E$2:$E$5000,Entries!$C$2:$C$5000,"Actual",Entries!$A$2:$A$5000,"&gt;="&amp;$A282,Entries!$A$2:$A$5000,"&lt;"&amp;EDATE($A282,1)))</f>
        <v/>
      </c>
      <c r="D282" s="23">
        <f>IF($BM282=0,"",SUMIFS(Entries!$E$2:$E$5000,Entries!$C$2:$C$5000,"One-off",Entries!$A$2:$A$5000,"&gt;="&amp;$A282,Entries!$A$2:$A$5000,"&lt;"&amp;EDATE($A282,1)))</f>
        <v/>
      </c>
      <c r="E282" s="23">
        <f>IF($BM282=0,NA(),C282+D282)</f>
        <v/>
      </c>
      <c r="F282" s="23">
        <f>IF($BM282=0,"",SUM(AR282:BK282))</f>
        <v/>
      </c>
      <c r="G282" s="23">
        <f>IF($BM282=0,"",B282-E282)</f>
        <v/>
      </c>
      <c r="H282" s="23">
        <f>IF($BM282=0,"",SUM($G$2:G282))</f>
        <v/>
      </c>
      <c r="I282" s="23">
        <f>IF($BM282=0,"",SUMIFS(Entries!$G$2:$G$5000,Entries!$A$2:$A$5000,"&gt;="&amp;$A282,Entries!$A$2:$A$5000,"&lt;"&amp;EDATE($A282,1)))</f>
        <v/>
      </c>
      <c r="J282" s="23">
        <f>IF($BM282=0,NA(),H282)</f>
        <v/>
      </c>
      <c r="K282" s="23">
        <f>IF($BM282=0,"",SUMIFS(Entries!$E$2:$E$5000,Entries!$C$2:$C$5000,"Income",Entries!$A$2:$A$5000,"&gt;="&amp;EDATE($A282,-11),Entries!$A$2:$A$5000,"&lt;"&amp;EDATE($A282,1))/COUNTIFS($A$2:$A$400,"&gt;="&amp;EDATE($A282,-11),$A$2:$A$400,"&lt;"&amp;EDATE($A282,1),$BM$2:$BM$400,"&gt;0"))</f>
      </c>
      <c r="L282" s="23">
        <f>IF($BM282=0,"",(SUMIFS(Entries!$E$2:$E$5000,Entries!$C$2:$C$5000,"Actual",Entries!$A$2:$A$5000,"&gt;="&amp;EDATE($A282,-11),Entries!$A$2:$A$5000,"&lt;"&amp;EDATE($A282,1))+SUMIFS(Entries!$E$2:$E$5000,Entries!$C$2:$C$5000,"One-off",Entries!$A$2:$A$5000,"&gt;="&amp;EDATE($A282,-11),Entries!$A$2:$A$5000,"&lt;"&amp;EDATE($A282,1)))/COUNTIFS($A$2:$A$400,"&gt;="&amp;EDATE($A282,-11),$A$2:$A$400,"&lt;"&amp;EDATE($A282,1),$BM$2:$BM$400,"&gt;0"))</f>
      </c>
      <c r="M282" s="24">
        <f>IF($BM282=0,NA(),IFERROR((K282-L282)/K282,0))</f>
        <v/>
      </c>
      <c r="N282" s="23">
        <f>IF($BM282=0,NA(),SUMIFS(Entries!$E$2:$E$5000,Entries!$D$2:$D$5000,"Core",Entries!$A$2:$A$5000,"&gt;="&amp;$A282,Entries!$A$2:$A$5000,"&lt;"&amp;EDATE($A282,1)))</f>
        <v/>
      </c>
      <c r="O282" s="23">
        <f>IF($BM282=0,NA(),SUMIFS(Entries!$E$2:$E$5000,Entries!$D$2:$D$5000,"Over &amp; above",Entries!$A$2:$A$5000,"&gt;="&amp;$A282,Entries!$A$2:$A$5000,"&lt;"&amp;EDATE($A282,1)))</f>
        <v/>
      </c>
      <c r="P282" s="23">
        <f>IF($BM282=0,NA(),SUMIFS(Entries!$E$2:$E$5000,Entries!$D$2:$D$5000,"One-off",Entries!$A$2:$A$5000,"&gt;="&amp;$A282,Entries!$A$2:$A$5000,"&lt;"&amp;EDATE($A282,1)))</f>
        <v/>
      </c>
      <c r="Q282" s="23">
        <f>IF($BM282=0,NA(),SUMIFS(Entries!$E$2:$E$5000,Entries!$D$2:$D$5000,"Reimbursable",Entries!$A$2:$A$5000,"&gt;="&amp;$A282,Entries!$A$2:$A$5000,"&lt;"&amp;EDATE($A282,1)))</f>
        <v/>
      </c>
      <c r="R282" s="23">
        <f>IF($BM282=0,NA(),SUMIFS(Entries!$E$2:$E$5000,Entries!$D$2:$D$5000,"Investment",Entries!$A$2:$A$5000,"&gt;="&amp;$A282,Entries!$A$2:$A$5000,"&lt;"&amp;EDATE($A282,1)))</f>
        <v/>
      </c>
      <c r="S282" s="23">
        <f>IF($BM282=0,NA(),N282+O282)</f>
        <v/>
      </c>
      <c r="T282" s="23">
        <f>IF($BM282=0,"",E282-Q282)</f>
        <v/>
      </c>
      <c r="W282" s="23">
        <f>IF(OR(W$1="",$BM282=0),"",SUMIFS(Entries!$E$2:$E$5000,Entries!$C$2:$C$5000,"Actual",Entries!$A$2:$A$5000,"&gt;="&amp;$A282,Entries!$A$2:$A$5000,"&lt;"&amp;EDATE($A282,1),Entries!$B$2:$B$5000,W$1))</f>
        <v/>
      </c>
      <c r="X282" s="23">
        <f>IF(OR(X$1="",$BM282=0),"",SUMIFS(Entries!$E$2:$E$5000,Entries!$C$2:$C$5000,"Actual",Entries!$A$2:$A$5000,"&gt;="&amp;$A282,Entries!$A$2:$A$5000,"&lt;"&amp;EDATE($A282,1),Entries!$B$2:$B$5000,X$1))</f>
        <v/>
      </c>
      <c r="Y282" s="23">
        <f>IF(OR(Y$1="",$BM282=0),"",SUMIFS(Entries!$E$2:$E$5000,Entries!$C$2:$C$5000,"Actual",Entries!$A$2:$A$5000,"&gt;="&amp;$A282,Entries!$A$2:$A$5000,"&lt;"&amp;EDATE($A282,1),Entries!$B$2:$B$5000,Y$1))</f>
        <v/>
      </c>
      <c r="Z282" s="23">
        <f>IF(OR(Z$1="",$BM282=0),"",SUMIFS(Entries!$E$2:$E$5000,Entries!$C$2:$C$5000,"Actual",Entries!$A$2:$A$5000,"&gt;="&amp;$A282,Entries!$A$2:$A$5000,"&lt;"&amp;EDATE($A282,1),Entries!$B$2:$B$5000,Z$1))</f>
        <v/>
      </c>
      <c r="AA282" s="23">
        <f>IF(OR(AA$1="",$BM282=0),"",SUMIFS(Entries!$E$2:$E$5000,Entries!$C$2:$C$5000,"Actual",Entries!$A$2:$A$5000,"&gt;="&amp;$A282,Entries!$A$2:$A$5000,"&lt;"&amp;EDATE($A282,1),Entries!$B$2:$B$5000,AA$1))</f>
        <v/>
      </c>
      <c r="AB282" s="23">
        <f>IF(OR(AB$1="",$BM282=0),"",SUMIFS(Entries!$E$2:$E$5000,Entries!$C$2:$C$5000,"Actual",Entries!$A$2:$A$5000,"&gt;="&amp;$A282,Entries!$A$2:$A$5000,"&lt;"&amp;EDATE($A282,1),Entries!$B$2:$B$5000,AB$1))</f>
        <v/>
      </c>
      <c r="AC282" s="23">
        <f>IF(OR(AC$1="",$BM282=0),"",SUMIFS(Entries!$E$2:$E$5000,Entries!$C$2:$C$5000,"Actual",Entries!$A$2:$A$5000,"&gt;="&amp;$A282,Entries!$A$2:$A$5000,"&lt;"&amp;EDATE($A282,1),Entries!$B$2:$B$5000,AC$1))</f>
        <v/>
      </c>
      <c r="AD282" s="23">
        <f>IF(OR(AD$1="",$BM282=0),"",SUMIFS(Entries!$E$2:$E$5000,Entries!$C$2:$C$5000,"Actual",Entries!$A$2:$A$5000,"&gt;="&amp;$A282,Entries!$A$2:$A$5000,"&lt;"&amp;EDATE($A282,1),Entries!$B$2:$B$5000,AD$1))</f>
        <v/>
      </c>
      <c r="AE282" s="23">
        <f>IF(OR(AE$1="",$BM282=0),"",SUMIFS(Entries!$E$2:$E$5000,Entries!$C$2:$C$5000,"Actual",Entries!$A$2:$A$5000,"&gt;="&amp;$A282,Entries!$A$2:$A$5000,"&lt;"&amp;EDATE($A282,1),Entries!$B$2:$B$5000,AE$1))</f>
        <v/>
      </c>
      <c r="AF282" s="23">
        <f>IF(OR(AF$1="",$BM282=0),"",SUMIFS(Entries!$E$2:$E$5000,Entries!$C$2:$C$5000,"Actual",Entries!$A$2:$A$5000,"&gt;="&amp;$A282,Entries!$A$2:$A$5000,"&lt;"&amp;EDATE($A282,1),Entries!$B$2:$B$5000,AF$1))</f>
        <v/>
      </c>
      <c r="AG282" s="23">
        <f>IF(OR(AG$1="",$BM282=0),"",SUMIFS(Entries!$E$2:$E$5000,Entries!$C$2:$C$5000,"Actual",Entries!$A$2:$A$5000,"&gt;="&amp;$A282,Entries!$A$2:$A$5000,"&lt;"&amp;EDATE($A282,1),Entries!$B$2:$B$5000,AG$1))</f>
        <v/>
      </c>
      <c r="AH282" s="23">
        <f>IF(OR(AH$1="",$BM282=0),"",SUMIFS(Entries!$E$2:$E$5000,Entries!$C$2:$C$5000,"Actual",Entries!$A$2:$A$5000,"&gt;="&amp;$A282,Entries!$A$2:$A$5000,"&lt;"&amp;EDATE($A282,1),Entries!$B$2:$B$5000,AH$1))</f>
        <v/>
      </c>
      <c r="AI282" s="23">
        <f>IF(OR(AI$1="",$BM282=0),"",SUMIFS(Entries!$E$2:$E$5000,Entries!$C$2:$C$5000,"Actual",Entries!$A$2:$A$5000,"&gt;="&amp;$A282,Entries!$A$2:$A$5000,"&lt;"&amp;EDATE($A282,1),Entries!$B$2:$B$5000,AI$1))</f>
        <v/>
      </c>
      <c r="AJ282" s="23">
        <f>IF(OR(AJ$1="",$BM282=0),"",SUMIFS(Entries!$E$2:$E$5000,Entries!$C$2:$C$5000,"Actual",Entries!$A$2:$A$5000,"&gt;="&amp;$A282,Entries!$A$2:$A$5000,"&lt;"&amp;EDATE($A282,1),Entries!$B$2:$B$5000,AJ$1))</f>
        <v/>
      </c>
      <c r="AK282" s="23">
        <f>IF(OR(AK$1="",$BM282=0),"",SUMIFS(Entries!$E$2:$E$5000,Entries!$C$2:$C$5000,"Actual",Entries!$A$2:$A$5000,"&gt;="&amp;$A282,Entries!$A$2:$A$5000,"&lt;"&amp;EDATE($A282,1),Entries!$B$2:$B$5000,AK$1))</f>
        <v/>
      </c>
      <c r="AL282" s="23">
        <f>IF(OR(AL$1="",$BM282=0),"",SUMIFS(Entries!$E$2:$E$5000,Entries!$C$2:$C$5000,"Actual",Entries!$A$2:$A$5000,"&gt;="&amp;$A282,Entries!$A$2:$A$5000,"&lt;"&amp;EDATE($A282,1),Entries!$B$2:$B$5000,AL$1))</f>
        <v/>
      </c>
      <c r="AM282" s="23">
        <f>IF(OR(AM$1="",$BM282=0),"",SUMIFS(Entries!$E$2:$E$5000,Entries!$C$2:$C$5000,"Actual",Entries!$A$2:$A$5000,"&gt;="&amp;$A282,Entries!$A$2:$A$5000,"&lt;"&amp;EDATE($A282,1),Entries!$B$2:$B$5000,AM$1))</f>
        <v/>
      </c>
      <c r="AN282" s="23">
        <f>IF(OR(AN$1="",$BM282=0),"",SUMIFS(Entries!$E$2:$E$5000,Entries!$C$2:$C$5000,"Actual",Entries!$A$2:$A$5000,"&gt;="&amp;$A282,Entries!$A$2:$A$5000,"&lt;"&amp;EDATE($A282,1),Entries!$B$2:$B$5000,AN$1))</f>
        <v/>
      </c>
      <c r="AO282" s="23">
        <f>IF(OR(AO$1="",$BM282=0),"",SUMIFS(Entries!$E$2:$E$5000,Entries!$C$2:$C$5000,"Actual",Entries!$A$2:$A$5000,"&gt;="&amp;$A282,Entries!$A$2:$A$5000,"&lt;"&amp;EDATE($A282,1),Entries!$B$2:$B$5000,AO$1))</f>
        <v/>
      </c>
      <c r="AP282" s="23">
        <f>IF(OR(AP$1="",$BM282=0),"",SUMIFS(Entries!$E$2:$E$5000,Entries!$C$2:$C$5000,"Actual",Entries!$A$2:$A$5000,"&gt;="&amp;$A282,Entries!$A$2:$A$5000,"&lt;"&amp;EDATE($A282,1),Entries!$B$2:$B$5000,AP$1))</f>
        <v/>
      </c>
      <c r="AR282" s="23">
        <f>IF(OR(AR$1="",$BM282=0),"",IFERROR(LOOKUP(2,1/((Budgets!$A$2:$A$200=AR$1)*(Budgets!$B$2:$B$200&lt;EDATE($A282,1))),Budgets!$C$2:$C$200),0))</f>
        <v/>
      </c>
      <c r="AS282" s="23">
        <f>IF(OR(AS$1="",$BM282=0),"",IFERROR(LOOKUP(2,1/((Budgets!$A$2:$A$200=AS$1)*(Budgets!$B$2:$B$200&lt;EDATE($A282,1))),Budgets!$C$2:$C$200),0))</f>
        <v/>
      </c>
      <c r="AT282" s="23">
        <f>IF(OR(AT$1="",$BM282=0),"",IFERROR(LOOKUP(2,1/((Budgets!$A$2:$A$200=AT$1)*(Budgets!$B$2:$B$200&lt;EDATE($A282,1))),Budgets!$C$2:$C$200),0))</f>
        <v/>
      </c>
      <c r="AU282" s="23">
        <f>IF(OR(AU$1="",$BM282=0),"",IFERROR(LOOKUP(2,1/((Budgets!$A$2:$A$200=AU$1)*(Budgets!$B$2:$B$200&lt;EDATE($A282,1))),Budgets!$C$2:$C$200),0))</f>
        <v/>
      </c>
      <c r="AV282" s="23">
        <f>IF(OR(AV$1="",$BM282=0),"",IFERROR(LOOKUP(2,1/((Budgets!$A$2:$A$200=AV$1)*(Budgets!$B$2:$B$200&lt;EDATE($A282,1))),Budgets!$C$2:$C$200),0))</f>
        <v/>
      </c>
      <c r="AW282" s="23">
        <f>IF(OR(AW$1="",$BM282=0),"",IFERROR(LOOKUP(2,1/((Budgets!$A$2:$A$200=AW$1)*(Budgets!$B$2:$B$200&lt;EDATE($A282,1))),Budgets!$C$2:$C$200),0))</f>
        <v/>
      </c>
      <c r="AX282" s="23">
        <f>IF(OR(AX$1="",$BM282=0),"",IFERROR(LOOKUP(2,1/((Budgets!$A$2:$A$200=AX$1)*(Budgets!$B$2:$B$200&lt;EDATE($A282,1))),Budgets!$C$2:$C$200),0))</f>
        <v/>
      </c>
      <c r="AY282" s="23">
        <f>IF(OR(AY$1="",$BM282=0),"",IFERROR(LOOKUP(2,1/((Budgets!$A$2:$A$200=AY$1)*(Budgets!$B$2:$B$200&lt;EDATE($A282,1))),Budgets!$C$2:$C$200),0))</f>
        <v/>
      </c>
      <c r="AZ282" s="23">
        <f>IF(OR(AZ$1="",$BM282=0),"",IFERROR(LOOKUP(2,1/((Budgets!$A$2:$A$200=AZ$1)*(Budgets!$B$2:$B$200&lt;EDATE($A282,1))),Budgets!$C$2:$C$200),0))</f>
        <v/>
      </c>
      <c r="BA282" s="23">
        <f>IF(OR(BA$1="",$BM282=0),"",IFERROR(LOOKUP(2,1/((Budgets!$A$2:$A$200=BA$1)*(Budgets!$B$2:$B$200&lt;EDATE($A282,1))),Budgets!$C$2:$C$200),0))</f>
        <v/>
      </c>
      <c r="BB282" s="23">
        <f>IF(OR(BB$1="",$BM282=0),"",IFERROR(LOOKUP(2,1/((Budgets!$A$2:$A$200=BB$1)*(Budgets!$B$2:$B$200&lt;EDATE($A282,1))),Budgets!$C$2:$C$200),0))</f>
        <v/>
      </c>
      <c r="BC282" s="23">
        <f>IF(OR(BC$1="",$BM282=0),"",IFERROR(LOOKUP(2,1/((Budgets!$A$2:$A$200=BC$1)*(Budgets!$B$2:$B$200&lt;EDATE($A282,1))),Budgets!$C$2:$C$200),0))</f>
        <v/>
      </c>
      <c r="BD282" s="23">
        <f>IF(OR(BD$1="",$BM282=0),"",IFERROR(LOOKUP(2,1/((Budgets!$A$2:$A$200=BD$1)*(Budgets!$B$2:$B$200&lt;EDATE($A282,1))),Budgets!$C$2:$C$200),0))</f>
        <v/>
      </c>
      <c r="BE282" s="23">
        <f>IF(OR(BE$1="",$BM282=0),"",IFERROR(LOOKUP(2,1/((Budgets!$A$2:$A$200=BE$1)*(Budgets!$B$2:$B$200&lt;EDATE($A282,1))),Budgets!$C$2:$C$200),0))</f>
        <v/>
      </c>
      <c r="BF282" s="23">
        <f>IF(OR(BF$1="",$BM282=0),"",IFERROR(LOOKUP(2,1/((Budgets!$A$2:$A$200=BF$1)*(Budgets!$B$2:$B$200&lt;EDATE($A282,1))),Budgets!$C$2:$C$200),0))</f>
        <v/>
      </c>
      <c r="BG282" s="23">
        <f>IF(OR(BG$1="",$BM282=0),"",IFERROR(LOOKUP(2,1/((Budgets!$A$2:$A$200=BG$1)*(Budgets!$B$2:$B$200&lt;EDATE($A282,1))),Budgets!$C$2:$C$200),0))</f>
        <v/>
      </c>
      <c r="BH282" s="23">
        <f>IF(OR(BH$1="",$BM282=0),"",IFERROR(LOOKUP(2,1/((Budgets!$A$2:$A$200=BH$1)*(Budgets!$B$2:$B$200&lt;EDATE($A282,1))),Budgets!$C$2:$C$200),0))</f>
        <v/>
      </c>
      <c r="BI282" s="23">
        <f>IF(OR(BI$1="",$BM282=0),"",IFERROR(LOOKUP(2,1/((Budgets!$A$2:$A$200=BI$1)*(Budgets!$B$2:$B$200&lt;EDATE($A282,1))),Budgets!$C$2:$C$200),0))</f>
        <v/>
      </c>
      <c r="BJ282" s="23">
        <f>IF(OR(BJ$1="",$BM282=0),"",IFERROR(LOOKUP(2,1/((Budgets!$A$2:$A$200=BJ$1)*(Budgets!$B$2:$B$200&lt;EDATE($A282,1))),Budgets!$C$2:$C$200),0))</f>
        <v/>
      </c>
      <c r="BK282" s="23">
        <f>IF(OR(BK$1="",$BM282=0),"",IFERROR(LOOKUP(2,1/((Budgets!$A$2:$A$200=BK$1)*(Budgets!$B$2:$B$200&lt;EDATE($A282,1))),Budgets!$C$2:$C$200),0))</f>
        <v/>
      </c>
      <c r="BM282" s="21">
        <f>COUNTIFS(Entries!$A$2:$A$5000,"&gt;="&amp;$A282,Entries!$A$2:$A$5000,"&lt;"&amp;EDATE($A282,1))</f>
        <v/>
      </c>
    </row>
    <row r="283">
      <c r="A283" s="22" t="n">
        <v>48000</v>
      </c>
      <c r="B283" s="23">
        <f>IF($BM283=0,NA(),SUMIFS(Entries!$E$2:$E$5000,Entries!$C$2:$C$5000,"Income",Entries!$A$2:$A$5000,"&gt;="&amp;$A283,Entries!$A$2:$A$5000,"&lt;"&amp;EDATE($A283,1)))</f>
        <v/>
      </c>
      <c r="C283" s="23">
        <f>IF($BM283=0,"",SUMIFS(Entries!$E$2:$E$5000,Entries!$C$2:$C$5000,"Actual",Entries!$A$2:$A$5000,"&gt;="&amp;$A283,Entries!$A$2:$A$5000,"&lt;"&amp;EDATE($A283,1)))</f>
        <v/>
      </c>
      <c r="D283" s="23">
        <f>IF($BM283=0,"",SUMIFS(Entries!$E$2:$E$5000,Entries!$C$2:$C$5000,"One-off",Entries!$A$2:$A$5000,"&gt;="&amp;$A283,Entries!$A$2:$A$5000,"&lt;"&amp;EDATE($A283,1)))</f>
        <v/>
      </c>
      <c r="E283" s="23">
        <f>IF($BM283=0,NA(),C283+D283)</f>
        <v/>
      </c>
      <c r="F283" s="23">
        <f>IF($BM283=0,"",SUM(AR283:BK283))</f>
        <v/>
      </c>
      <c r="G283" s="23">
        <f>IF($BM283=0,"",B283-E283)</f>
        <v/>
      </c>
      <c r="H283" s="23">
        <f>IF($BM283=0,"",SUM($G$2:G283))</f>
        <v/>
      </c>
      <c r="I283" s="23">
        <f>IF($BM283=0,"",SUMIFS(Entries!$G$2:$G$5000,Entries!$A$2:$A$5000,"&gt;="&amp;$A283,Entries!$A$2:$A$5000,"&lt;"&amp;EDATE($A283,1)))</f>
        <v/>
      </c>
      <c r="J283" s="23">
        <f>IF($BM283=0,NA(),H283)</f>
        <v/>
      </c>
      <c r="K283" s="23">
        <f>IF($BM283=0,"",SUMIFS(Entries!$E$2:$E$5000,Entries!$C$2:$C$5000,"Income",Entries!$A$2:$A$5000,"&gt;="&amp;EDATE($A283,-11),Entries!$A$2:$A$5000,"&lt;"&amp;EDATE($A283,1))/COUNTIFS($A$2:$A$400,"&gt;="&amp;EDATE($A283,-11),$A$2:$A$400,"&lt;"&amp;EDATE($A283,1),$BM$2:$BM$400,"&gt;0"))</f>
      </c>
      <c r="L283" s="23">
        <f>IF($BM283=0,"",(SUMIFS(Entries!$E$2:$E$5000,Entries!$C$2:$C$5000,"Actual",Entries!$A$2:$A$5000,"&gt;="&amp;EDATE($A283,-11),Entries!$A$2:$A$5000,"&lt;"&amp;EDATE($A283,1))+SUMIFS(Entries!$E$2:$E$5000,Entries!$C$2:$C$5000,"One-off",Entries!$A$2:$A$5000,"&gt;="&amp;EDATE($A283,-11),Entries!$A$2:$A$5000,"&lt;"&amp;EDATE($A283,1)))/COUNTIFS($A$2:$A$400,"&gt;="&amp;EDATE($A283,-11),$A$2:$A$400,"&lt;"&amp;EDATE($A283,1),$BM$2:$BM$400,"&gt;0"))</f>
      </c>
      <c r="M283" s="24">
        <f>IF($BM283=0,NA(),IFERROR((K283-L283)/K283,0))</f>
        <v/>
      </c>
      <c r="N283" s="23">
        <f>IF($BM283=0,NA(),SUMIFS(Entries!$E$2:$E$5000,Entries!$D$2:$D$5000,"Core",Entries!$A$2:$A$5000,"&gt;="&amp;$A283,Entries!$A$2:$A$5000,"&lt;"&amp;EDATE($A283,1)))</f>
        <v/>
      </c>
      <c r="O283" s="23">
        <f>IF($BM283=0,NA(),SUMIFS(Entries!$E$2:$E$5000,Entries!$D$2:$D$5000,"Over &amp; above",Entries!$A$2:$A$5000,"&gt;="&amp;$A283,Entries!$A$2:$A$5000,"&lt;"&amp;EDATE($A283,1)))</f>
        <v/>
      </c>
      <c r="P283" s="23">
        <f>IF($BM283=0,NA(),SUMIFS(Entries!$E$2:$E$5000,Entries!$D$2:$D$5000,"One-off",Entries!$A$2:$A$5000,"&gt;="&amp;$A283,Entries!$A$2:$A$5000,"&lt;"&amp;EDATE($A283,1)))</f>
        <v/>
      </c>
      <c r="Q283" s="23">
        <f>IF($BM283=0,NA(),SUMIFS(Entries!$E$2:$E$5000,Entries!$D$2:$D$5000,"Reimbursable",Entries!$A$2:$A$5000,"&gt;="&amp;$A283,Entries!$A$2:$A$5000,"&lt;"&amp;EDATE($A283,1)))</f>
        <v/>
      </c>
      <c r="R283" s="23">
        <f>IF($BM283=0,NA(),SUMIFS(Entries!$E$2:$E$5000,Entries!$D$2:$D$5000,"Investment",Entries!$A$2:$A$5000,"&gt;="&amp;$A283,Entries!$A$2:$A$5000,"&lt;"&amp;EDATE($A283,1)))</f>
        <v/>
      </c>
      <c r="S283" s="23">
        <f>IF($BM283=0,NA(),N283+O283)</f>
        <v/>
      </c>
      <c r="T283" s="23">
        <f>IF($BM283=0,"",E283-Q283)</f>
        <v/>
      </c>
      <c r="W283" s="23">
        <f>IF(OR(W$1="",$BM283=0),"",SUMIFS(Entries!$E$2:$E$5000,Entries!$C$2:$C$5000,"Actual",Entries!$A$2:$A$5000,"&gt;="&amp;$A283,Entries!$A$2:$A$5000,"&lt;"&amp;EDATE($A283,1),Entries!$B$2:$B$5000,W$1))</f>
        <v/>
      </c>
      <c r="X283" s="23">
        <f>IF(OR(X$1="",$BM283=0),"",SUMIFS(Entries!$E$2:$E$5000,Entries!$C$2:$C$5000,"Actual",Entries!$A$2:$A$5000,"&gt;="&amp;$A283,Entries!$A$2:$A$5000,"&lt;"&amp;EDATE($A283,1),Entries!$B$2:$B$5000,X$1))</f>
        <v/>
      </c>
      <c r="Y283" s="23">
        <f>IF(OR(Y$1="",$BM283=0),"",SUMIFS(Entries!$E$2:$E$5000,Entries!$C$2:$C$5000,"Actual",Entries!$A$2:$A$5000,"&gt;="&amp;$A283,Entries!$A$2:$A$5000,"&lt;"&amp;EDATE($A283,1),Entries!$B$2:$B$5000,Y$1))</f>
        <v/>
      </c>
      <c r="Z283" s="23">
        <f>IF(OR(Z$1="",$BM283=0),"",SUMIFS(Entries!$E$2:$E$5000,Entries!$C$2:$C$5000,"Actual",Entries!$A$2:$A$5000,"&gt;="&amp;$A283,Entries!$A$2:$A$5000,"&lt;"&amp;EDATE($A283,1),Entries!$B$2:$B$5000,Z$1))</f>
        <v/>
      </c>
      <c r="AA283" s="23">
        <f>IF(OR(AA$1="",$BM283=0),"",SUMIFS(Entries!$E$2:$E$5000,Entries!$C$2:$C$5000,"Actual",Entries!$A$2:$A$5000,"&gt;="&amp;$A283,Entries!$A$2:$A$5000,"&lt;"&amp;EDATE($A283,1),Entries!$B$2:$B$5000,AA$1))</f>
        <v/>
      </c>
      <c r="AB283" s="23">
        <f>IF(OR(AB$1="",$BM283=0),"",SUMIFS(Entries!$E$2:$E$5000,Entries!$C$2:$C$5000,"Actual",Entries!$A$2:$A$5000,"&gt;="&amp;$A283,Entries!$A$2:$A$5000,"&lt;"&amp;EDATE($A283,1),Entries!$B$2:$B$5000,AB$1))</f>
        <v/>
      </c>
      <c r="AC283" s="23">
        <f>IF(OR(AC$1="",$BM283=0),"",SUMIFS(Entries!$E$2:$E$5000,Entries!$C$2:$C$5000,"Actual",Entries!$A$2:$A$5000,"&gt;="&amp;$A283,Entries!$A$2:$A$5000,"&lt;"&amp;EDATE($A283,1),Entries!$B$2:$B$5000,AC$1))</f>
        <v/>
      </c>
      <c r="AD283" s="23">
        <f>IF(OR(AD$1="",$BM283=0),"",SUMIFS(Entries!$E$2:$E$5000,Entries!$C$2:$C$5000,"Actual",Entries!$A$2:$A$5000,"&gt;="&amp;$A283,Entries!$A$2:$A$5000,"&lt;"&amp;EDATE($A283,1),Entries!$B$2:$B$5000,AD$1))</f>
        <v/>
      </c>
      <c r="AE283" s="23">
        <f>IF(OR(AE$1="",$BM283=0),"",SUMIFS(Entries!$E$2:$E$5000,Entries!$C$2:$C$5000,"Actual",Entries!$A$2:$A$5000,"&gt;="&amp;$A283,Entries!$A$2:$A$5000,"&lt;"&amp;EDATE($A283,1),Entries!$B$2:$B$5000,AE$1))</f>
        <v/>
      </c>
      <c r="AF283" s="23">
        <f>IF(OR(AF$1="",$BM283=0),"",SUMIFS(Entries!$E$2:$E$5000,Entries!$C$2:$C$5000,"Actual",Entries!$A$2:$A$5000,"&gt;="&amp;$A283,Entries!$A$2:$A$5000,"&lt;"&amp;EDATE($A283,1),Entries!$B$2:$B$5000,AF$1))</f>
        <v/>
      </c>
      <c r="AG283" s="23">
        <f>IF(OR(AG$1="",$BM283=0),"",SUMIFS(Entries!$E$2:$E$5000,Entries!$C$2:$C$5000,"Actual",Entries!$A$2:$A$5000,"&gt;="&amp;$A283,Entries!$A$2:$A$5000,"&lt;"&amp;EDATE($A283,1),Entries!$B$2:$B$5000,AG$1))</f>
        <v/>
      </c>
      <c r="AH283" s="23">
        <f>IF(OR(AH$1="",$BM283=0),"",SUMIFS(Entries!$E$2:$E$5000,Entries!$C$2:$C$5000,"Actual",Entries!$A$2:$A$5000,"&gt;="&amp;$A283,Entries!$A$2:$A$5000,"&lt;"&amp;EDATE($A283,1),Entries!$B$2:$B$5000,AH$1))</f>
        <v/>
      </c>
      <c r="AI283" s="23">
        <f>IF(OR(AI$1="",$BM283=0),"",SUMIFS(Entries!$E$2:$E$5000,Entries!$C$2:$C$5000,"Actual",Entries!$A$2:$A$5000,"&gt;="&amp;$A283,Entries!$A$2:$A$5000,"&lt;"&amp;EDATE($A283,1),Entries!$B$2:$B$5000,AI$1))</f>
        <v/>
      </c>
      <c r="AJ283" s="23">
        <f>IF(OR(AJ$1="",$BM283=0),"",SUMIFS(Entries!$E$2:$E$5000,Entries!$C$2:$C$5000,"Actual",Entries!$A$2:$A$5000,"&gt;="&amp;$A283,Entries!$A$2:$A$5000,"&lt;"&amp;EDATE($A283,1),Entries!$B$2:$B$5000,AJ$1))</f>
        <v/>
      </c>
      <c r="AK283" s="23">
        <f>IF(OR(AK$1="",$BM283=0),"",SUMIFS(Entries!$E$2:$E$5000,Entries!$C$2:$C$5000,"Actual",Entries!$A$2:$A$5000,"&gt;="&amp;$A283,Entries!$A$2:$A$5000,"&lt;"&amp;EDATE($A283,1),Entries!$B$2:$B$5000,AK$1))</f>
        <v/>
      </c>
      <c r="AL283" s="23">
        <f>IF(OR(AL$1="",$BM283=0),"",SUMIFS(Entries!$E$2:$E$5000,Entries!$C$2:$C$5000,"Actual",Entries!$A$2:$A$5000,"&gt;="&amp;$A283,Entries!$A$2:$A$5000,"&lt;"&amp;EDATE($A283,1),Entries!$B$2:$B$5000,AL$1))</f>
        <v/>
      </c>
      <c r="AM283" s="23">
        <f>IF(OR(AM$1="",$BM283=0),"",SUMIFS(Entries!$E$2:$E$5000,Entries!$C$2:$C$5000,"Actual",Entries!$A$2:$A$5000,"&gt;="&amp;$A283,Entries!$A$2:$A$5000,"&lt;"&amp;EDATE($A283,1),Entries!$B$2:$B$5000,AM$1))</f>
        <v/>
      </c>
      <c r="AN283" s="23">
        <f>IF(OR(AN$1="",$BM283=0),"",SUMIFS(Entries!$E$2:$E$5000,Entries!$C$2:$C$5000,"Actual",Entries!$A$2:$A$5000,"&gt;="&amp;$A283,Entries!$A$2:$A$5000,"&lt;"&amp;EDATE($A283,1),Entries!$B$2:$B$5000,AN$1))</f>
        <v/>
      </c>
      <c r="AO283" s="23">
        <f>IF(OR(AO$1="",$BM283=0),"",SUMIFS(Entries!$E$2:$E$5000,Entries!$C$2:$C$5000,"Actual",Entries!$A$2:$A$5000,"&gt;="&amp;$A283,Entries!$A$2:$A$5000,"&lt;"&amp;EDATE($A283,1),Entries!$B$2:$B$5000,AO$1))</f>
        <v/>
      </c>
      <c r="AP283" s="23">
        <f>IF(OR(AP$1="",$BM283=0),"",SUMIFS(Entries!$E$2:$E$5000,Entries!$C$2:$C$5000,"Actual",Entries!$A$2:$A$5000,"&gt;="&amp;$A283,Entries!$A$2:$A$5000,"&lt;"&amp;EDATE($A283,1),Entries!$B$2:$B$5000,AP$1))</f>
        <v/>
      </c>
      <c r="AR283" s="23">
        <f>IF(OR(AR$1="",$BM283=0),"",IFERROR(LOOKUP(2,1/((Budgets!$A$2:$A$200=AR$1)*(Budgets!$B$2:$B$200&lt;EDATE($A283,1))),Budgets!$C$2:$C$200),0))</f>
        <v/>
      </c>
      <c r="AS283" s="23">
        <f>IF(OR(AS$1="",$BM283=0),"",IFERROR(LOOKUP(2,1/((Budgets!$A$2:$A$200=AS$1)*(Budgets!$B$2:$B$200&lt;EDATE($A283,1))),Budgets!$C$2:$C$200),0))</f>
        <v/>
      </c>
      <c r="AT283" s="23">
        <f>IF(OR(AT$1="",$BM283=0),"",IFERROR(LOOKUP(2,1/((Budgets!$A$2:$A$200=AT$1)*(Budgets!$B$2:$B$200&lt;EDATE($A283,1))),Budgets!$C$2:$C$200),0))</f>
        <v/>
      </c>
      <c r="AU283" s="23">
        <f>IF(OR(AU$1="",$BM283=0),"",IFERROR(LOOKUP(2,1/((Budgets!$A$2:$A$200=AU$1)*(Budgets!$B$2:$B$200&lt;EDATE($A283,1))),Budgets!$C$2:$C$200),0))</f>
        <v/>
      </c>
      <c r="AV283" s="23">
        <f>IF(OR(AV$1="",$BM283=0),"",IFERROR(LOOKUP(2,1/((Budgets!$A$2:$A$200=AV$1)*(Budgets!$B$2:$B$200&lt;EDATE($A283,1))),Budgets!$C$2:$C$200),0))</f>
        <v/>
      </c>
      <c r="AW283" s="23">
        <f>IF(OR(AW$1="",$BM283=0),"",IFERROR(LOOKUP(2,1/((Budgets!$A$2:$A$200=AW$1)*(Budgets!$B$2:$B$200&lt;EDATE($A283,1))),Budgets!$C$2:$C$200),0))</f>
        <v/>
      </c>
      <c r="AX283" s="23">
        <f>IF(OR(AX$1="",$BM283=0),"",IFERROR(LOOKUP(2,1/((Budgets!$A$2:$A$200=AX$1)*(Budgets!$B$2:$B$200&lt;EDATE($A283,1))),Budgets!$C$2:$C$200),0))</f>
        <v/>
      </c>
      <c r="AY283" s="23">
        <f>IF(OR(AY$1="",$BM283=0),"",IFERROR(LOOKUP(2,1/((Budgets!$A$2:$A$200=AY$1)*(Budgets!$B$2:$B$200&lt;EDATE($A283,1))),Budgets!$C$2:$C$200),0))</f>
        <v/>
      </c>
      <c r="AZ283" s="23">
        <f>IF(OR(AZ$1="",$BM283=0),"",IFERROR(LOOKUP(2,1/((Budgets!$A$2:$A$200=AZ$1)*(Budgets!$B$2:$B$200&lt;EDATE($A283,1))),Budgets!$C$2:$C$200),0))</f>
        <v/>
      </c>
      <c r="BA283" s="23">
        <f>IF(OR(BA$1="",$BM283=0),"",IFERROR(LOOKUP(2,1/((Budgets!$A$2:$A$200=BA$1)*(Budgets!$B$2:$B$200&lt;EDATE($A283,1))),Budgets!$C$2:$C$200),0))</f>
        <v/>
      </c>
      <c r="BB283" s="23">
        <f>IF(OR(BB$1="",$BM283=0),"",IFERROR(LOOKUP(2,1/((Budgets!$A$2:$A$200=BB$1)*(Budgets!$B$2:$B$200&lt;EDATE($A283,1))),Budgets!$C$2:$C$200),0))</f>
        <v/>
      </c>
      <c r="BC283" s="23">
        <f>IF(OR(BC$1="",$BM283=0),"",IFERROR(LOOKUP(2,1/((Budgets!$A$2:$A$200=BC$1)*(Budgets!$B$2:$B$200&lt;EDATE($A283,1))),Budgets!$C$2:$C$200),0))</f>
        <v/>
      </c>
      <c r="BD283" s="23">
        <f>IF(OR(BD$1="",$BM283=0),"",IFERROR(LOOKUP(2,1/((Budgets!$A$2:$A$200=BD$1)*(Budgets!$B$2:$B$200&lt;EDATE($A283,1))),Budgets!$C$2:$C$200),0))</f>
        <v/>
      </c>
      <c r="BE283" s="23">
        <f>IF(OR(BE$1="",$BM283=0),"",IFERROR(LOOKUP(2,1/((Budgets!$A$2:$A$200=BE$1)*(Budgets!$B$2:$B$200&lt;EDATE($A283,1))),Budgets!$C$2:$C$200),0))</f>
        <v/>
      </c>
      <c r="BF283" s="23">
        <f>IF(OR(BF$1="",$BM283=0),"",IFERROR(LOOKUP(2,1/((Budgets!$A$2:$A$200=BF$1)*(Budgets!$B$2:$B$200&lt;EDATE($A283,1))),Budgets!$C$2:$C$200),0))</f>
        <v/>
      </c>
      <c r="BG283" s="23">
        <f>IF(OR(BG$1="",$BM283=0),"",IFERROR(LOOKUP(2,1/((Budgets!$A$2:$A$200=BG$1)*(Budgets!$B$2:$B$200&lt;EDATE($A283,1))),Budgets!$C$2:$C$200),0))</f>
        <v/>
      </c>
      <c r="BH283" s="23">
        <f>IF(OR(BH$1="",$BM283=0),"",IFERROR(LOOKUP(2,1/((Budgets!$A$2:$A$200=BH$1)*(Budgets!$B$2:$B$200&lt;EDATE($A283,1))),Budgets!$C$2:$C$200),0))</f>
        <v/>
      </c>
      <c r="BI283" s="23">
        <f>IF(OR(BI$1="",$BM283=0),"",IFERROR(LOOKUP(2,1/((Budgets!$A$2:$A$200=BI$1)*(Budgets!$B$2:$B$200&lt;EDATE($A283,1))),Budgets!$C$2:$C$200),0))</f>
        <v/>
      </c>
      <c r="BJ283" s="23">
        <f>IF(OR(BJ$1="",$BM283=0),"",IFERROR(LOOKUP(2,1/((Budgets!$A$2:$A$200=BJ$1)*(Budgets!$B$2:$B$200&lt;EDATE($A283,1))),Budgets!$C$2:$C$200),0))</f>
        <v/>
      </c>
      <c r="BK283" s="23">
        <f>IF(OR(BK$1="",$BM283=0),"",IFERROR(LOOKUP(2,1/((Budgets!$A$2:$A$200=BK$1)*(Budgets!$B$2:$B$200&lt;EDATE($A283,1))),Budgets!$C$2:$C$200),0))</f>
        <v/>
      </c>
      <c r="BM283" s="21">
        <f>COUNTIFS(Entries!$A$2:$A$5000,"&gt;="&amp;$A283,Entries!$A$2:$A$5000,"&lt;"&amp;EDATE($A283,1))</f>
        <v/>
      </c>
    </row>
    <row r="284">
      <c r="A284" s="22" t="n">
        <v>48030</v>
      </c>
      <c r="B284" s="23">
        <f>IF($BM284=0,NA(),SUMIFS(Entries!$E$2:$E$5000,Entries!$C$2:$C$5000,"Income",Entries!$A$2:$A$5000,"&gt;="&amp;$A284,Entries!$A$2:$A$5000,"&lt;"&amp;EDATE($A284,1)))</f>
        <v/>
      </c>
      <c r="C284" s="23">
        <f>IF($BM284=0,"",SUMIFS(Entries!$E$2:$E$5000,Entries!$C$2:$C$5000,"Actual",Entries!$A$2:$A$5000,"&gt;="&amp;$A284,Entries!$A$2:$A$5000,"&lt;"&amp;EDATE($A284,1)))</f>
        <v/>
      </c>
      <c r="D284" s="23">
        <f>IF($BM284=0,"",SUMIFS(Entries!$E$2:$E$5000,Entries!$C$2:$C$5000,"One-off",Entries!$A$2:$A$5000,"&gt;="&amp;$A284,Entries!$A$2:$A$5000,"&lt;"&amp;EDATE($A284,1)))</f>
        <v/>
      </c>
      <c r="E284" s="23">
        <f>IF($BM284=0,NA(),C284+D284)</f>
        <v/>
      </c>
      <c r="F284" s="23">
        <f>IF($BM284=0,"",SUM(AR284:BK284))</f>
        <v/>
      </c>
      <c r="G284" s="23">
        <f>IF($BM284=0,"",B284-E284)</f>
        <v/>
      </c>
      <c r="H284" s="23">
        <f>IF($BM284=0,"",SUM($G$2:G284))</f>
        <v/>
      </c>
      <c r="I284" s="23">
        <f>IF($BM284=0,"",SUMIFS(Entries!$G$2:$G$5000,Entries!$A$2:$A$5000,"&gt;="&amp;$A284,Entries!$A$2:$A$5000,"&lt;"&amp;EDATE($A284,1)))</f>
        <v/>
      </c>
      <c r="J284" s="23">
        <f>IF($BM284=0,NA(),H284)</f>
        <v/>
      </c>
      <c r="K284" s="23">
        <f>IF($BM284=0,"",SUMIFS(Entries!$E$2:$E$5000,Entries!$C$2:$C$5000,"Income",Entries!$A$2:$A$5000,"&gt;="&amp;EDATE($A284,-11),Entries!$A$2:$A$5000,"&lt;"&amp;EDATE($A284,1))/COUNTIFS($A$2:$A$400,"&gt;="&amp;EDATE($A284,-11),$A$2:$A$400,"&lt;"&amp;EDATE($A284,1),$BM$2:$BM$400,"&gt;0"))</f>
      </c>
      <c r="L284" s="23">
        <f>IF($BM284=0,"",(SUMIFS(Entries!$E$2:$E$5000,Entries!$C$2:$C$5000,"Actual",Entries!$A$2:$A$5000,"&gt;="&amp;EDATE($A284,-11),Entries!$A$2:$A$5000,"&lt;"&amp;EDATE($A284,1))+SUMIFS(Entries!$E$2:$E$5000,Entries!$C$2:$C$5000,"One-off",Entries!$A$2:$A$5000,"&gt;="&amp;EDATE($A284,-11),Entries!$A$2:$A$5000,"&lt;"&amp;EDATE($A284,1)))/COUNTIFS($A$2:$A$400,"&gt;="&amp;EDATE($A284,-11),$A$2:$A$400,"&lt;"&amp;EDATE($A284,1),$BM$2:$BM$400,"&gt;0"))</f>
      </c>
      <c r="M284" s="24">
        <f>IF($BM284=0,NA(),IFERROR((K284-L284)/K284,0))</f>
        <v/>
      </c>
      <c r="N284" s="23">
        <f>IF($BM284=0,NA(),SUMIFS(Entries!$E$2:$E$5000,Entries!$D$2:$D$5000,"Core",Entries!$A$2:$A$5000,"&gt;="&amp;$A284,Entries!$A$2:$A$5000,"&lt;"&amp;EDATE($A284,1)))</f>
        <v/>
      </c>
      <c r="O284" s="23">
        <f>IF($BM284=0,NA(),SUMIFS(Entries!$E$2:$E$5000,Entries!$D$2:$D$5000,"Over &amp; above",Entries!$A$2:$A$5000,"&gt;="&amp;$A284,Entries!$A$2:$A$5000,"&lt;"&amp;EDATE($A284,1)))</f>
        <v/>
      </c>
      <c r="P284" s="23">
        <f>IF($BM284=0,NA(),SUMIFS(Entries!$E$2:$E$5000,Entries!$D$2:$D$5000,"One-off",Entries!$A$2:$A$5000,"&gt;="&amp;$A284,Entries!$A$2:$A$5000,"&lt;"&amp;EDATE($A284,1)))</f>
        <v/>
      </c>
      <c r="Q284" s="23">
        <f>IF($BM284=0,NA(),SUMIFS(Entries!$E$2:$E$5000,Entries!$D$2:$D$5000,"Reimbursable",Entries!$A$2:$A$5000,"&gt;="&amp;$A284,Entries!$A$2:$A$5000,"&lt;"&amp;EDATE($A284,1)))</f>
        <v/>
      </c>
      <c r="R284" s="23">
        <f>IF($BM284=0,NA(),SUMIFS(Entries!$E$2:$E$5000,Entries!$D$2:$D$5000,"Investment",Entries!$A$2:$A$5000,"&gt;="&amp;$A284,Entries!$A$2:$A$5000,"&lt;"&amp;EDATE($A284,1)))</f>
        <v/>
      </c>
      <c r="S284" s="23">
        <f>IF($BM284=0,NA(),N284+O284)</f>
        <v/>
      </c>
      <c r="T284" s="23">
        <f>IF($BM284=0,"",E284-Q284)</f>
        <v/>
      </c>
      <c r="W284" s="23">
        <f>IF(OR(W$1="",$BM284=0),"",SUMIFS(Entries!$E$2:$E$5000,Entries!$C$2:$C$5000,"Actual",Entries!$A$2:$A$5000,"&gt;="&amp;$A284,Entries!$A$2:$A$5000,"&lt;"&amp;EDATE($A284,1),Entries!$B$2:$B$5000,W$1))</f>
        <v/>
      </c>
      <c r="X284" s="23">
        <f>IF(OR(X$1="",$BM284=0),"",SUMIFS(Entries!$E$2:$E$5000,Entries!$C$2:$C$5000,"Actual",Entries!$A$2:$A$5000,"&gt;="&amp;$A284,Entries!$A$2:$A$5000,"&lt;"&amp;EDATE($A284,1),Entries!$B$2:$B$5000,X$1))</f>
        <v/>
      </c>
      <c r="Y284" s="23">
        <f>IF(OR(Y$1="",$BM284=0),"",SUMIFS(Entries!$E$2:$E$5000,Entries!$C$2:$C$5000,"Actual",Entries!$A$2:$A$5000,"&gt;="&amp;$A284,Entries!$A$2:$A$5000,"&lt;"&amp;EDATE($A284,1),Entries!$B$2:$B$5000,Y$1))</f>
        <v/>
      </c>
      <c r="Z284" s="23">
        <f>IF(OR(Z$1="",$BM284=0),"",SUMIFS(Entries!$E$2:$E$5000,Entries!$C$2:$C$5000,"Actual",Entries!$A$2:$A$5000,"&gt;="&amp;$A284,Entries!$A$2:$A$5000,"&lt;"&amp;EDATE($A284,1),Entries!$B$2:$B$5000,Z$1))</f>
        <v/>
      </c>
      <c r="AA284" s="23">
        <f>IF(OR(AA$1="",$BM284=0),"",SUMIFS(Entries!$E$2:$E$5000,Entries!$C$2:$C$5000,"Actual",Entries!$A$2:$A$5000,"&gt;="&amp;$A284,Entries!$A$2:$A$5000,"&lt;"&amp;EDATE($A284,1),Entries!$B$2:$B$5000,AA$1))</f>
        <v/>
      </c>
      <c r="AB284" s="23">
        <f>IF(OR(AB$1="",$BM284=0),"",SUMIFS(Entries!$E$2:$E$5000,Entries!$C$2:$C$5000,"Actual",Entries!$A$2:$A$5000,"&gt;="&amp;$A284,Entries!$A$2:$A$5000,"&lt;"&amp;EDATE($A284,1),Entries!$B$2:$B$5000,AB$1))</f>
        <v/>
      </c>
      <c r="AC284" s="23">
        <f>IF(OR(AC$1="",$BM284=0),"",SUMIFS(Entries!$E$2:$E$5000,Entries!$C$2:$C$5000,"Actual",Entries!$A$2:$A$5000,"&gt;="&amp;$A284,Entries!$A$2:$A$5000,"&lt;"&amp;EDATE($A284,1),Entries!$B$2:$B$5000,AC$1))</f>
        <v/>
      </c>
      <c r="AD284" s="23">
        <f>IF(OR(AD$1="",$BM284=0),"",SUMIFS(Entries!$E$2:$E$5000,Entries!$C$2:$C$5000,"Actual",Entries!$A$2:$A$5000,"&gt;="&amp;$A284,Entries!$A$2:$A$5000,"&lt;"&amp;EDATE($A284,1),Entries!$B$2:$B$5000,AD$1))</f>
        <v/>
      </c>
      <c r="AE284" s="23">
        <f>IF(OR(AE$1="",$BM284=0),"",SUMIFS(Entries!$E$2:$E$5000,Entries!$C$2:$C$5000,"Actual",Entries!$A$2:$A$5000,"&gt;="&amp;$A284,Entries!$A$2:$A$5000,"&lt;"&amp;EDATE($A284,1),Entries!$B$2:$B$5000,AE$1))</f>
        <v/>
      </c>
      <c r="AF284" s="23">
        <f>IF(OR(AF$1="",$BM284=0),"",SUMIFS(Entries!$E$2:$E$5000,Entries!$C$2:$C$5000,"Actual",Entries!$A$2:$A$5000,"&gt;="&amp;$A284,Entries!$A$2:$A$5000,"&lt;"&amp;EDATE($A284,1),Entries!$B$2:$B$5000,AF$1))</f>
        <v/>
      </c>
      <c r="AG284" s="23">
        <f>IF(OR(AG$1="",$BM284=0),"",SUMIFS(Entries!$E$2:$E$5000,Entries!$C$2:$C$5000,"Actual",Entries!$A$2:$A$5000,"&gt;="&amp;$A284,Entries!$A$2:$A$5000,"&lt;"&amp;EDATE($A284,1),Entries!$B$2:$B$5000,AG$1))</f>
        <v/>
      </c>
      <c r="AH284" s="23">
        <f>IF(OR(AH$1="",$BM284=0),"",SUMIFS(Entries!$E$2:$E$5000,Entries!$C$2:$C$5000,"Actual",Entries!$A$2:$A$5000,"&gt;="&amp;$A284,Entries!$A$2:$A$5000,"&lt;"&amp;EDATE($A284,1),Entries!$B$2:$B$5000,AH$1))</f>
        <v/>
      </c>
      <c r="AI284" s="23">
        <f>IF(OR(AI$1="",$BM284=0),"",SUMIFS(Entries!$E$2:$E$5000,Entries!$C$2:$C$5000,"Actual",Entries!$A$2:$A$5000,"&gt;="&amp;$A284,Entries!$A$2:$A$5000,"&lt;"&amp;EDATE($A284,1),Entries!$B$2:$B$5000,AI$1))</f>
        <v/>
      </c>
      <c r="AJ284" s="23">
        <f>IF(OR(AJ$1="",$BM284=0),"",SUMIFS(Entries!$E$2:$E$5000,Entries!$C$2:$C$5000,"Actual",Entries!$A$2:$A$5000,"&gt;="&amp;$A284,Entries!$A$2:$A$5000,"&lt;"&amp;EDATE($A284,1),Entries!$B$2:$B$5000,AJ$1))</f>
        <v/>
      </c>
      <c r="AK284" s="23">
        <f>IF(OR(AK$1="",$BM284=0),"",SUMIFS(Entries!$E$2:$E$5000,Entries!$C$2:$C$5000,"Actual",Entries!$A$2:$A$5000,"&gt;="&amp;$A284,Entries!$A$2:$A$5000,"&lt;"&amp;EDATE($A284,1),Entries!$B$2:$B$5000,AK$1))</f>
        <v/>
      </c>
      <c r="AL284" s="23">
        <f>IF(OR(AL$1="",$BM284=0),"",SUMIFS(Entries!$E$2:$E$5000,Entries!$C$2:$C$5000,"Actual",Entries!$A$2:$A$5000,"&gt;="&amp;$A284,Entries!$A$2:$A$5000,"&lt;"&amp;EDATE($A284,1),Entries!$B$2:$B$5000,AL$1))</f>
        <v/>
      </c>
      <c r="AM284" s="23">
        <f>IF(OR(AM$1="",$BM284=0),"",SUMIFS(Entries!$E$2:$E$5000,Entries!$C$2:$C$5000,"Actual",Entries!$A$2:$A$5000,"&gt;="&amp;$A284,Entries!$A$2:$A$5000,"&lt;"&amp;EDATE($A284,1),Entries!$B$2:$B$5000,AM$1))</f>
        <v/>
      </c>
      <c r="AN284" s="23">
        <f>IF(OR(AN$1="",$BM284=0),"",SUMIFS(Entries!$E$2:$E$5000,Entries!$C$2:$C$5000,"Actual",Entries!$A$2:$A$5000,"&gt;="&amp;$A284,Entries!$A$2:$A$5000,"&lt;"&amp;EDATE($A284,1),Entries!$B$2:$B$5000,AN$1))</f>
        <v/>
      </c>
      <c r="AO284" s="23">
        <f>IF(OR(AO$1="",$BM284=0),"",SUMIFS(Entries!$E$2:$E$5000,Entries!$C$2:$C$5000,"Actual",Entries!$A$2:$A$5000,"&gt;="&amp;$A284,Entries!$A$2:$A$5000,"&lt;"&amp;EDATE($A284,1),Entries!$B$2:$B$5000,AO$1))</f>
        <v/>
      </c>
      <c r="AP284" s="23">
        <f>IF(OR(AP$1="",$BM284=0),"",SUMIFS(Entries!$E$2:$E$5000,Entries!$C$2:$C$5000,"Actual",Entries!$A$2:$A$5000,"&gt;="&amp;$A284,Entries!$A$2:$A$5000,"&lt;"&amp;EDATE($A284,1),Entries!$B$2:$B$5000,AP$1))</f>
        <v/>
      </c>
      <c r="AR284" s="23">
        <f>IF(OR(AR$1="",$BM284=0),"",IFERROR(LOOKUP(2,1/((Budgets!$A$2:$A$200=AR$1)*(Budgets!$B$2:$B$200&lt;EDATE($A284,1))),Budgets!$C$2:$C$200),0))</f>
        <v/>
      </c>
      <c r="AS284" s="23">
        <f>IF(OR(AS$1="",$BM284=0),"",IFERROR(LOOKUP(2,1/((Budgets!$A$2:$A$200=AS$1)*(Budgets!$B$2:$B$200&lt;EDATE($A284,1))),Budgets!$C$2:$C$200),0))</f>
        <v/>
      </c>
      <c r="AT284" s="23">
        <f>IF(OR(AT$1="",$BM284=0),"",IFERROR(LOOKUP(2,1/((Budgets!$A$2:$A$200=AT$1)*(Budgets!$B$2:$B$200&lt;EDATE($A284,1))),Budgets!$C$2:$C$200),0))</f>
        <v/>
      </c>
      <c r="AU284" s="23">
        <f>IF(OR(AU$1="",$BM284=0),"",IFERROR(LOOKUP(2,1/((Budgets!$A$2:$A$200=AU$1)*(Budgets!$B$2:$B$200&lt;EDATE($A284,1))),Budgets!$C$2:$C$200),0))</f>
        <v/>
      </c>
      <c r="AV284" s="23">
        <f>IF(OR(AV$1="",$BM284=0),"",IFERROR(LOOKUP(2,1/((Budgets!$A$2:$A$200=AV$1)*(Budgets!$B$2:$B$200&lt;EDATE($A284,1))),Budgets!$C$2:$C$200),0))</f>
        <v/>
      </c>
      <c r="AW284" s="23">
        <f>IF(OR(AW$1="",$BM284=0),"",IFERROR(LOOKUP(2,1/((Budgets!$A$2:$A$200=AW$1)*(Budgets!$B$2:$B$200&lt;EDATE($A284,1))),Budgets!$C$2:$C$200),0))</f>
        <v/>
      </c>
      <c r="AX284" s="23">
        <f>IF(OR(AX$1="",$BM284=0),"",IFERROR(LOOKUP(2,1/((Budgets!$A$2:$A$200=AX$1)*(Budgets!$B$2:$B$200&lt;EDATE($A284,1))),Budgets!$C$2:$C$200),0))</f>
        <v/>
      </c>
      <c r="AY284" s="23">
        <f>IF(OR(AY$1="",$BM284=0),"",IFERROR(LOOKUP(2,1/((Budgets!$A$2:$A$200=AY$1)*(Budgets!$B$2:$B$200&lt;EDATE($A284,1))),Budgets!$C$2:$C$200),0))</f>
        <v/>
      </c>
      <c r="AZ284" s="23">
        <f>IF(OR(AZ$1="",$BM284=0),"",IFERROR(LOOKUP(2,1/((Budgets!$A$2:$A$200=AZ$1)*(Budgets!$B$2:$B$200&lt;EDATE($A284,1))),Budgets!$C$2:$C$200),0))</f>
        <v/>
      </c>
      <c r="BA284" s="23">
        <f>IF(OR(BA$1="",$BM284=0),"",IFERROR(LOOKUP(2,1/((Budgets!$A$2:$A$200=BA$1)*(Budgets!$B$2:$B$200&lt;EDATE($A284,1))),Budgets!$C$2:$C$200),0))</f>
        <v/>
      </c>
      <c r="BB284" s="23">
        <f>IF(OR(BB$1="",$BM284=0),"",IFERROR(LOOKUP(2,1/((Budgets!$A$2:$A$200=BB$1)*(Budgets!$B$2:$B$200&lt;EDATE($A284,1))),Budgets!$C$2:$C$200),0))</f>
        <v/>
      </c>
      <c r="BC284" s="23">
        <f>IF(OR(BC$1="",$BM284=0),"",IFERROR(LOOKUP(2,1/((Budgets!$A$2:$A$200=BC$1)*(Budgets!$B$2:$B$200&lt;EDATE($A284,1))),Budgets!$C$2:$C$200),0))</f>
        <v/>
      </c>
      <c r="BD284" s="23">
        <f>IF(OR(BD$1="",$BM284=0),"",IFERROR(LOOKUP(2,1/((Budgets!$A$2:$A$200=BD$1)*(Budgets!$B$2:$B$200&lt;EDATE($A284,1))),Budgets!$C$2:$C$200),0))</f>
        <v/>
      </c>
      <c r="BE284" s="23">
        <f>IF(OR(BE$1="",$BM284=0),"",IFERROR(LOOKUP(2,1/((Budgets!$A$2:$A$200=BE$1)*(Budgets!$B$2:$B$200&lt;EDATE($A284,1))),Budgets!$C$2:$C$200),0))</f>
        <v/>
      </c>
      <c r="BF284" s="23">
        <f>IF(OR(BF$1="",$BM284=0),"",IFERROR(LOOKUP(2,1/((Budgets!$A$2:$A$200=BF$1)*(Budgets!$B$2:$B$200&lt;EDATE($A284,1))),Budgets!$C$2:$C$200),0))</f>
        <v/>
      </c>
      <c r="BG284" s="23">
        <f>IF(OR(BG$1="",$BM284=0),"",IFERROR(LOOKUP(2,1/((Budgets!$A$2:$A$200=BG$1)*(Budgets!$B$2:$B$200&lt;EDATE($A284,1))),Budgets!$C$2:$C$200),0))</f>
        <v/>
      </c>
      <c r="BH284" s="23">
        <f>IF(OR(BH$1="",$BM284=0),"",IFERROR(LOOKUP(2,1/((Budgets!$A$2:$A$200=BH$1)*(Budgets!$B$2:$B$200&lt;EDATE($A284,1))),Budgets!$C$2:$C$200),0))</f>
        <v/>
      </c>
      <c r="BI284" s="23">
        <f>IF(OR(BI$1="",$BM284=0),"",IFERROR(LOOKUP(2,1/((Budgets!$A$2:$A$200=BI$1)*(Budgets!$B$2:$B$200&lt;EDATE($A284,1))),Budgets!$C$2:$C$200),0))</f>
        <v/>
      </c>
      <c r="BJ284" s="23">
        <f>IF(OR(BJ$1="",$BM284=0),"",IFERROR(LOOKUP(2,1/((Budgets!$A$2:$A$200=BJ$1)*(Budgets!$B$2:$B$200&lt;EDATE($A284,1))),Budgets!$C$2:$C$200),0))</f>
        <v/>
      </c>
      <c r="BK284" s="23">
        <f>IF(OR(BK$1="",$BM284=0),"",IFERROR(LOOKUP(2,1/((Budgets!$A$2:$A$200=BK$1)*(Budgets!$B$2:$B$200&lt;EDATE($A284,1))),Budgets!$C$2:$C$200),0))</f>
        <v/>
      </c>
      <c r="BM284" s="21">
        <f>COUNTIFS(Entries!$A$2:$A$5000,"&gt;="&amp;$A284,Entries!$A$2:$A$5000,"&lt;"&amp;EDATE($A284,1))</f>
        <v/>
      </c>
    </row>
    <row r="285">
      <c r="A285" s="22" t="n">
        <v>48061</v>
      </c>
      <c r="B285" s="23">
        <f>IF($BM285=0,NA(),SUMIFS(Entries!$E$2:$E$5000,Entries!$C$2:$C$5000,"Income",Entries!$A$2:$A$5000,"&gt;="&amp;$A285,Entries!$A$2:$A$5000,"&lt;"&amp;EDATE($A285,1)))</f>
        <v/>
      </c>
      <c r="C285" s="23">
        <f>IF($BM285=0,"",SUMIFS(Entries!$E$2:$E$5000,Entries!$C$2:$C$5000,"Actual",Entries!$A$2:$A$5000,"&gt;="&amp;$A285,Entries!$A$2:$A$5000,"&lt;"&amp;EDATE($A285,1)))</f>
        <v/>
      </c>
      <c r="D285" s="23">
        <f>IF($BM285=0,"",SUMIFS(Entries!$E$2:$E$5000,Entries!$C$2:$C$5000,"One-off",Entries!$A$2:$A$5000,"&gt;="&amp;$A285,Entries!$A$2:$A$5000,"&lt;"&amp;EDATE($A285,1)))</f>
        <v/>
      </c>
      <c r="E285" s="23">
        <f>IF($BM285=0,NA(),C285+D285)</f>
        <v/>
      </c>
      <c r="F285" s="23">
        <f>IF($BM285=0,"",SUM(AR285:BK285))</f>
        <v/>
      </c>
      <c r="G285" s="23">
        <f>IF($BM285=0,"",B285-E285)</f>
        <v/>
      </c>
      <c r="H285" s="23">
        <f>IF($BM285=0,"",SUM($G$2:G285))</f>
        <v/>
      </c>
      <c r="I285" s="23">
        <f>IF($BM285=0,"",SUMIFS(Entries!$G$2:$G$5000,Entries!$A$2:$A$5000,"&gt;="&amp;$A285,Entries!$A$2:$A$5000,"&lt;"&amp;EDATE($A285,1)))</f>
        <v/>
      </c>
      <c r="J285" s="23">
        <f>IF($BM285=0,NA(),H285)</f>
        <v/>
      </c>
      <c r="K285" s="23">
        <f>IF($BM285=0,"",SUMIFS(Entries!$E$2:$E$5000,Entries!$C$2:$C$5000,"Income",Entries!$A$2:$A$5000,"&gt;="&amp;EDATE($A285,-11),Entries!$A$2:$A$5000,"&lt;"&amp;EDATE($A285,1))/COUNTIFS($A$2:$A$400,"&gt;="&amp;EDATE($A285,-11),$A$2:$A$400,"&lt;"&amp;EDATE($A285,1),$BM$2:$BM$400,"&gt;0"))</f>
      </c>
      <c r="L285" s="23">
        <f>IF($BM285=0,"",(SUMIFS(Entries!$E$2:$E$5000,Entries!$C$2:$C$5000,"Actual",Entries!$A$2:$A$5000,"&gt;="&amp;EDATE($A285,-11),Entries!$A$2:$A$5000,"&lt;"&amp;EDATE($A285,1))+SUMIFS(Entries!$E$2:$E$5000,Entries!$C$2:$C$5000,"One-off",Entries!$A$2:$A$5000,"&gt;="&amp;EDATE($A285,-11),Entries!$A$2:$A$5000,"&lt;"&amp;EDATE($A285,1)))/COUNTIFS($A$2:$A$400,"&gt;="&amp;EDATE($A285,-11),$A$2:$A$400,"&lt;"&amp;EDATE($A285,1),$BM$2:$BM$400,"&gt;0"))</f>
      </c>
      <c r="M285" s="24">
        <f>IF($BM285=0,NA(),IFERROR((K285-L285)/K285,0))</f>
        <v/>
      </c>
      <c r="N285" s="23">
        <f>IF($BM285=0,NA(),SUMIFS(Entries!$E$2:$E$5000,Entries!$D$2:$D$5000,"Core",Entries!$A$2:$A$5000,"&gt;="&amp;$A285,Entries!$A$2:$A$5000,"&lt;"&amp;EDATE($A285,1)))</f>
        <v/>
      </c>
      <c r="O285" s="23">
        <f>IF($BM285=0,NA(),SUMIFS(Entries!$E$2:$E$5000,Entries!$D$2:$D$5000,"Over &amp; above",Entries!$A$2:$A$5000,"&gt;="&amp;$A285,Entries!$A$2:$A$5000,"&lt;"&amp;EDATE($A285,1)))</f>
        <v/>
      </c>
      <c r="P285" s="23">
        <f>IF($BM285=0,NA(),SUMIFS(Entries!$E$2:$E$5000,Entries!$D$2:$D$5000,"One-off",Entries!$A$2:$A$5000,"&gt;="&amp;$A285,Entries!$A$2:$A$5000,"&lt;"&amp;EDATE($A285,1)))</f>
        <v/>
      </c>
      <c r="Q285" s="23">
        <f>IF($BM285=0,NA(),SUMIFS(Entries!$E$2:$E$5000,Entries!$D$2:$D$5000,"Reimbursable",Entries!$A$2:$A$5000,"&gt;="&amp;$A285,Entries!$A$2:$A$5000,"&lt;"&amp;EDATE($A285,1)))</f>
        <v/>
      </c>
      <c r="R285" s="23">
        <f>IF($BM285=0,NA(),SUMIFS(Entries!$E$2:$E$5000,Entries!$D$2:$D$5000,"Investment",Entries!$A$2:$A$5000,"&gt;="&amp;$A285,Entries!$A$2:$A$5000,"&lt;"&amp;EDATE($A285,1)))</f>
        <v/>
      </c>
      <c r="S285" s="23">
        <f>IF($BM285=0,NA(),N285+O285)</f>
        <v/>
      </c>
      <c r="T285" s="23">
        <f>IF($BM285=0,"",E285-Q285)</f>
        <v/>
      </c>
      <c r="W285" s="23">
        <f>IF(OR(W$1="",$BM285=0),"",SUMIFS(Entries!$E$2:$E$5000,Entries!$C$2:$C$5000,"Actual",Entries!$A$2:$A$5000,"&gt;="&amp;$A285,Entries!$A$2:$A$5000,"&lt;"&amp;EDATE($A285,1),Entries!$B$2:$B$5000,W$1))</f>
        <v/>
      </c>
      <c r="X285" s="23">
        <f>IF(OR(X$1="",$BM285=0),"",SUMIFS(Entries!$E$2:$E$5000,Entries!$C$2:$C$5000,"Actual",Entries!$A$2:$A$5000,"&gt;="&amp;$A285,Entries!$A$2:$A$5000,"&lt;"&amp;EDATE($A285,1),Entries!$B$2:$B$5000,X$1))</f>
        <v/>
      </c>
      <c r="Y285" s="23">
        <f>IF(OR(Y$1="",$BM285=0),"",SUMIFS(Entries!$E$2:$E$5000,Entries!$C$2:$C$5000,"Actual",Entries!$A$2:$A$5000,"&gt;="&amp;$A285,Entries!$A$2:$A$5000,"&lt;"&amp;EDATE($A285,1),Entries!$B$2:$B$5000,Y$1))</f>
        <v/>
      </c>
      <c r="Z285" s="23">
        <f>IF(OR(Z$1="",$BM285=0),"",SUMIFS(Entries!$E$2:$E$5000,Entries!$C$2:$C$5000,"Actual",Entries!$A$2:$A$5000,"&gt;="&amp;$A285,Entries!$A$2:$A$5000,"&lt;"&amp;EDATE($A285,1),Entries!$B$2:$B$5000,Z$1))</f>
        <v/>
      </c>
      <c r="AA285" s="23">
        <f>IF(OR(AA$1="",$BM285=0),"",SUMIFS(Entries!$E$2:$E$5000,Entries!$C$2:$C$5000,"Actual",Entries!$A$2:$A$5000,"&gt;="&amp;$A285,Entries!$A$2:$A$5000,"&lt;"&amp;EDATE($A285,1),Entries!$B$2:$B$5000,AA$1))</f>
        <v/>
      </c>
      <c r="AB285" s="23">
        <f>IF(OR(AB$1="",$BM285=0),"",SUMIFS(Entries!$E$2:$E$5000,Entries!$C$2:$C$5000,"Actual",Entries!$A$2:$A$5000,"&gt;="&amp;$A285,Entries!$A$2:$A$5000,"&lt;"&amp;EDATE($A285,1),Entries!$B$2:$B$5000,AB$1))</f>
        <v/>
      </c>
      <c r="AC285" s="23">
        <f>IF(OR(AC$1="",$BM285=0),"",SUMIFS(Entries!$E$2:$E$5000,Entries!$C$2:$C$5000,"Actual",Entries!$A$2:$A$5000,"&gt;="&amp;$A285,Entries!$A$2:$A$5000,"&lt;"&amp;EDATE($A285,1),Entries!$B$2:$B$5000,AC$1))</f>
        <v/>
      </c>
      <c r="AD285" s="23">
        <f>IF(OR(AD$1="",$BM285=0),"",SUMIFS(Entries!$E$2:$E$5000,Entries!$C$2:$C$5000,"Actual",Entries!$A$2:$A$5000,"&gt;="&amp;$A285,Entries!$A$2:$A$5000,"&lt;"&amp;EDATE($A285,1),Entries!$B$2:$B$5000,AD$1))</f>
        <v/>
      </c>
      <c r="AE285" s="23">
        <f>IF(OR(AE$1="",$BM285=0),"",SUMIFS(Entries!$E$2:$E$5000,Entries!$C$2:$C$5000,"Actual",Entries!$A$2:$A$5000,"&gt;="&amp;$A285,Entries!$A$2:$A$5000,"&lt;"&amp;EDATE($A285,1),Entries!$B$2:$B$5000,AE$1))</f>
        <v/>
      </c>
      <c r="AF285" s="23">
        <f>IF(OR(AF$1="",$BM285=0),"",SUMIFS(Entries!$E$2:$E$5000,Entries!$C$2:$C$5000,"Actual",Entries!$A$2:$A$5000,"&gt;="&amp;$A285,Entries!$A$2:$A$5000,"&lt;"&amp;EDATE($A285,1),Entries!$B$2:$B$5000,AF$1))</f>
        <v/>
      </c>
      <c r="AG285" s="23">
        <f>IF(OR(AG$1="",$BM285=0),"",SUMIFS(Entries!$E$2:$E$5000,Entries!$C$2:$C$5000,"Actual",Entries!$A$2:$A$5000,"&gt;="&amp;$A285,Entries!$A$2:$A$5000,"&lt;"&amp;EDATE($A285,1),Entries!$B$2:$B$5000,AG$1))</f>
        <v/>
      </c>
      <c r="AH285" s="23">
        <f>IF(OR(AH$1="",$BM285=0),"",SUMIFS(Entries!$E$2:$E$5000,Entries!$C$2:$C$5000,"Actual",Entries!$A$2:$A$5000,"&gt;="&amp;$A285,Entries!$A$2:$A$5000,"&lt;"&amp;EDATE($A285,1),Entries!$B$2:$B$5000,AH$1))</f>
        <v/>
      </c>
      <c r="AI285" s="23">
        <f>IF(OR(AI$1="",$BM285=0),"",SUMIFS(Entries!$E$2:$E$5000,Entries!$C$2:$C$5000,"Actual",Entries!$A$2:$A$5000,"&gt;="&amp;$A285,Entries!$A$2:$A$5000,"&lt;"&amp;EDATE($A285,1),Entries!$B$2:$B$5000,AI$1))</f>
        <v/>
      </c>
      <c r="AJ285" s="23">
        <f>IF(OR(AJ$1="",$BM285=0),"",SUMIFS(Entries!$E$2:$E$5000,Entries!$C$2:$C$5000,"Actual",Entries!$A$2:$A$5000,"&gt;="&amp;$A285,Entries!$A$2:$A$5000,"&lt;"&amp;EDATE($A285,1),Entries!$B$2:$B$5000,AJ$1))</f>
        <v/>
      </c>
      <c r="AK285" s="23">
        <f>IF(OR(AK$1="",$BM285=0),"",SUMIFS(Entries!$E$2:$E$5000,Entries!$C$2:$C$5000,"Actual",Entries!$A$2:$A$5000,"&gt;="&amp;$A285,Entries!$A$2:$A$5000,"&lt;"&amp;EDATE($A285,1),Entries!$B$2:$B$5000,AK$1))</f>
        <v/>
      </c>
      <c r="AL285" s="23">
        <f>IF(OR(AL$1="",$BM285=0),"",SUMIFS(Entries!$E$2:$E$5000,Entries!$C$2:$C$5000,"Actual",Entries!$A$2:$A$5000,"&gt;="&amp;$A285,Entries!$A$2:$A$5000,"&lt;"&amp;EDATE($A285,1),Entries!$B$2:$B$5000,AL$1))</f>
        <v/>
      </c>
      <c r="AM285" s="23">
        <f>IF(OR(AM$1="",$BM285=0),"",SUMIFS(Entries!$E$2:$E$5000,Entries!$C$2:$C$5000,"Actual",Entries!$A$2:$A$5000,"&gt;="&amp;$A285,Entries!$A$2:$A$5000,"&lt;"&amp;EDATE($A285,1),Entries!$B$2:$B$5000,AM$1))</f>
        <v/>
      </c>
      <c r="AN285" s="23">
        <f>IF(OR(AN$1="",$BM285=0),"",SUMIFS(Entries!$E$2:$E$5000,Entries!$C$2:$C$5000,"Actual",Entries!$A$2:$A$5000,"&gt;="&amp;$A285,Entries!$A$2:$A$5000,"&lt;"&amp;EDATE($A285,1),Entries!$B$2:$B$5000,AN$1))</f>
        <v/>
      </c>
      <c r="AO285" s="23">
        <f>IF(OR(AO$1="",$BM285=0),"",SUMIFS(Entries!$E$2:$E$5000,Entries!$C$2:$C$5000,"Actual",Entries!$A$2:$A$5000,"&gt;="&amp;$A285,Entries!$A$2:$A$5000,"&lt;"&amp;EDATE($A285,1),Entries!$B$2:$B$5000,AO$1))</f>
        <v/>
      </c>
      <c r="AP285" s="23">
        <f>IF(OR(AP$1="",$BM285=0),"",SUMIFS(Entries!$E$2:$E$5000,Entries!$C$2:$C$5000,"Actual",Entries!$A$2:$A$5000,"&gt;="&amp;$A285,Entries!$A$2:$A$5000,"&lt;"&amp;EDATE($A285,1),Entries!$B$2:$B$5000,AP$1))</f>
        <v/>
      </c>
      <c r="AR285" s="23">
        <f>IF(OR(AR$1="",$BM285=0),"",IFERROR(LOOKUP(2,1/((Budgets!$A$2:$A$200=AR$1)*(Budgets!$B$2:$B$200&lt;EDATE($A285,1))),Budgets!$C$2:$C$200),0))</f>
        <v/>
      </c>
      <c r="AS285" s="23">
        <f>IF(OR(AS$1="",$BM285=0),"",IFERROR(LOOKUP(2,1/((Budgets!$A$2:$A$200=AS$1)*(Budgets!$B$2:$B$200&lt;EDATE($A285,1))),Budgets!$C$2:$C$200),0))</f>
        <v/>
      </c>
      <c r="AT285" s="23">
        <f>IF(OR(AT$1="",$BM285=0),"",IFERROR(LOOKUP(2,1/((Budgets!$A$2:$A$200=AT$1)*(Budgets!$B$2:$B$200&lt;EDATE($A285,1))),Budgets!$C$2:$C$200),0))</f>
        <v/>
      </c>
      <c r="AU285" s="23">
        <f>IF(OR(AU$1="",$BM285=0),"",IFERROR(LOOKUP(2,1/((Budgets!$A$2:$A$200=AU$1)*(Budgets!$B$2:$B$200&lt;EDATE($A285,1))),Budgets!$C$2:$C$200),0))</f>
        <v/>
      </c>
      <c r="AV285" s="23">
        <f>IF(OR(AV$1="",$BM285=0),"",IFERROR(LOOKUP(2,1/((Budgets!$A$2:$A$200=AV$1)*(Budgets!$B$2:$B$200&lt;EDATE($A285,1))),Budgets!$C$2:$C$200),0))</f>
        <v/>
      </c>
      <c r="AW285" s="23">
        <f>IF(OR(AW$1="",$BM285=0),"",IFERROR(LOOKUP(2,1/((Budgets!$A$2:$A$200=AW$1)*(Budgets!$B$2:$B$200&lt;EDATE($A285,1))),Budgets!$C$2:$C$200),0))</f>
        <v/>
      </c>
      <c r="AX285" s="23">
        <f>IF(OR(AX$1="",$BM285=0),"",IFERROR(LOOKUP(2,1/((Budgets!$A$2:$A$200=AX$1)*(Budgets!$B$2:$B$200&lt;EDATE($A285,1))),Budgets!$C$2:$C$200),0))</f>
        <v/>
      </c>
      <c r="AY285" s="23">
        <f>IF(OR(AY$1="",$BM285=0),"",IFERROR(LOOKUP(2,1/((Budgets!$A$2:$A$200=AY$1)*(Budgets!$B$2:$B$200&lt;EDATE($A285,1))),Budgets!$C$2:$C$200),0))</f>
        <v/>
      </c>
      <c r="AZ285" s="23">
        <f>IF(OR(AZ$1="",$BM285=0),"",IFERROR(LOOKUP(2,1/((Budgets!$A$2:$A$200=AZ$1)*(Budgets!$B$2:$B$200&lt;EDATE($A285,1))),Budgets!$C$2:$C$200),0))</f>
        <v/>
      </c>
      <c r="BA285" s="23">
        <f>IF(OR(BA$1="",$BM285=0),"",IFERROR(LOOKUP(2,1/((Budgets!$A$2:$A$200=BA$1)*(Budgets!$B$2:$B$200&lt;EDATE($A285,1))),Budgets!$C$2:$C$200),0))</f>
        <v/>
      </c>
      <c r="BB285" s="23">
        <f>IF(OR(BB$1="",$BM285=0),"",IFERROR(LOOKUP(2,1/((Budgets!$A$2:$A$200=BB$1)*(Budgets!$B$2:$B$200&lt;EDATE($A285,1))),Budgets!$C$2:$C$200),0))</f>
        <v/>
      </c>
      <c r="BC285" s="23">
        <f>IF(OR(BC$1="",$BM285=0),"",IFERROR(LOOKUP(2,1/((Budgets!$A$2:$A$200=BC$1)*(Budgets!$B$2:$B$200&lt;EDATE($A285,1))),Budgets!$C$2:$C$200),0))</f>
        <v/>
      </c>
      <c r="BD285" s="23">
        <f>IF(OR(BD$1="",$BM285=0),"",IFERROR(LOOKUP(2,1/((Budgets!$A$2:$A$200=BD$1)*(Budgets!$B$2:$B$200&lt;EDATE($A285,1))),Budgets!$C$2:$C$200),0))</f>
        <v/>
      </c>
      <c r="BE285" s="23">
        <f>IF(OR(BE$1="",$BM285=0),"",IFERROR(LOOKUP(2,1/((Budgets!$A$2:$A$200=BE$1)*(Budgets!$B$2:$B$200&lt;EDATE($A285,1))),Budgets!$C$2:$C$200),0))</f>
        <v/>
      </c>
      <c r="BF285" s="23">
        <f>IF(OR(BF$1="",$BM285=0),"",IFERROR(LOOKUP(2,1/((Budgets!$A$2:$A$200=BF$1)*(Budgets!$B$2:$B$200&lt;EDATE($A285,1))),Budgets!$C$2:$C$200),0))</f>
        <v/>
      </c>
      <c r="BG285" s="23">
        <f>IF(OR(BG$1="",$BM285=0),"",IFERROR(LOOKUP(2,1/((Budgets!$A$2:$A$200=BG$1)*(Budgets!$B$2:$B$200&lt;EDATE($A285,1))),Budgets!$C$2:$C$200),0))</f>
        <v/>
      </c>
      <c r="BH285" s="23">
        <f>IF(OR(BH$1="",$BM285=0),"",IFERROR(LOOKUP(2,1/((Budgets!$A$2:$A$200=BH$1)*(Budgets!$B$2:$B$200&lt;EDATE($A285,1))),Budgets!$C$2:$C$200),0))</f>
        <v/>
      </c>
      <c r="BI285" s="23">
        <f>IF(OR(BI$1="",$BM285=0),"",IFERROR(LOOKUP(2,1/((Budgets!$A$2:$A$200=BI$1)*(Budgets!$B$2:$B$200&lt;EDATE($A285,1))),Budgets!$C$2:$C$200),0))</f>
        <v/>
      </c>
      <c r="BJ285" s="23">
        <f>IF(OR(BJ$1="",$BM285=0),"",IFERROR(LOOKUP(2,1/((Budgets!$A$2:$A$200=BJ$1)*(Budgets!$B$2:$B$200&lt;EDATE($A285,1))),Budgets!$C$2:$C$200),0))</f>
        <v/>
      </c>
      <c r="BK285" s="23">
        <f>IF(OR(BK$1="",$BM285=0),"",IFERROR(LOOKUP(2,1/((Budgets!$A$2:$A$200=BK$1)*(Budgets!$B$2:$B$200&lt;EDATE($A285,1))),Budgets!$C$2:$C$200),0))</f>
        <v/>
      </c>
      <c r="BM285" s="21">
        <f>COUNTIFS(Entries!$A$2:$A$5000,"&gt;="&amp;$A285,Entries!$A$2:$A$5000,"&lt;"&amp;EDATE($A285,1))</f>
        <v/>
      </c>
    </row>
    <row r="286">
      <c r="A286" s="22" t="n">
        <v>48092</v>
      </c>
      <c r="B286" s="23">
        <f>IF($BM286=0,NA(),SUMIFS(Entries!$E$2:$E$5000,Entries!$C$2:$C$5000,"Income",Entries!$A$2:$A$5000,"&gt;="&amp;$A286,Entries!$A$2:$A$5000,"&lt;"&amp;EDATE($A286,1)))</f>
        <v/>
      </c>
      <c r="C286" s="23">
        <f>IF($BM286=0,"",SUMIFS(Entries!$E$2:$E$5000,Entries!$C$2:$C$5000,"Actual",Entries!$A$2:$A$5000,"&gt;="&amp;$A286,Entries!$A$2:$A$5000,"&lt;"&amp;EDATE($A286,1)))</f>
        <v/>
      </c>
      <c r="D286" s="23">
        <f>IF($BM286=0,"",SUMIFS(Entries!$E$2:$E$5000,Entries!$C$2:$C$5000,"One-off",Entries!$A$2:$A$5000,"&gt;="&amp;$A286,Entries!$A$2:$A$5000,"&lt;"&amp;EDATE($A286,1)))</f>
        <v/>
      </c>
      <c r="E286" s="23">
        <f>IF($BM286=0,NA(),C286+D286)</f>
        <v/>
      </c>
      <c r="F286" s="23">
        <f>IF($BM286=0,"",SUM(AR286:BK286))</f>
        <v/>
      </c>
      <c r="G286" s="23">
        <f>IF($BM286=0,"",B286-E286)</f>
        <v/>
      </c>
      <c r="H286" s="23">
        <f>IF($BM286=0,"",SUM($G$2:G286))</f>
        <v/>
      </c>
      <c r="I286" s="23">
        <f>IF($BM286=0,"",SUMIFS(Entries!$G$2:$G$5000,Entries!$A$2:$A$5000,"&gt;="&amp;$A286,Entries!$A$2:$A$5000,"&lt;"&amp;EDATE($A286,1)))</f>
        <v/>
      </c>
      <c r="J286" s="23">
        <f>IF($BM286=0,NA(),H286)</f>
        <v/>
      </c>
      <c r="K286" s="23">
        <f>IF($BM286=0,"",SUMIFS(Entries!$E$2:$E$5000,Entries!$C$2:$C$5000,"Income",Entries!$A$2:$A$5000,"&gt;="&amp;EDATE($A286,-11),Entries!$A$2:$A$5000,"&lt;"&amp;EDATE($A286,1))/COUNTIFS($A$2:$A$400,"&gt;="&amp;EDATE($A286,-11),$A$2:$A$400,"&lt;"&amp;EDATE($A286,1),$BM$2:$BM$400,"&gt;0"))</f>
      </c>
      <c r="L286" s="23">
        <f>IF($BM286=0,"",(SUMIFS(Entries!$E$2:$E$5000,Entries!$C$2:$C$5000,"Actual",Entries!$A$2:$A$5000,"&gt;="&amp;EDATE($A286,-11),Entries!$A$2:$A$5000,"&lt;"&amp;EDATE($A286,1))+SUMIFS(Entries!$E$2:$E$5000,Entries!$C$2:$C$5000,"One-off",Entries!$A$2:$A$5000,"&gt;="&amp;EDATE($A286,-11),Entries!$A$2:$A$5000,"&lt;"&amp;EDATE($A286,1)))/COUNTIFS($A$2:$A$400,"&gt;="&amp;EDATE($A286,-11),$A$2:$A$400,"&lt;"&amp;EDATE($A286,1),$BM$2:$BM$400,"&gt;0"))</f>
      </c>
      <c r="M286" s="24">
        <f>IF($BM286=0,NA(),IFERROR((K286-L286)/K286,0))</f>
        <v/>
      </c>
      <c r="N286" s="23">
        <f>IF($BM286=0,NA(),SUMIFS(Entries!$E$2:$E$5000,Entries!$D$2:$D$5000,"Core",Entries!$A$2:$A$5000,"&gt;="&amp;$A286,Entries!$A$2:$A$5000,"&lt;"&amp;EDATE($A286,1)))</f>
        <v/>
      </c>
      <c r="O286" s="23">
        <f>IF($BM286=0,NA(),SUMIFS(Entries!$E$2:$E$5000,Entries!$D$2:$D$5000,"Over &amp; above",Entries!$A$2:$A$5000,"&gt;="&amp;$A286,Entries!$A$2:$A$5000,"&lt;"&amp;EDATE($A286,1)))</f>
        <v/>
      </c>
      <c r="P286" s="23">
        <f>IF($BM286=0,NA(),SUMIFS(Entries!$E$2:$E$5000,Entries!$D$2:$D$5000,"One-off",Entries!$A$2:$A$5000,"&gt;="&amp;$A286,Entries!$A$2:$A$5000,"&lt;"&amp;EDATE($A286,1)))</f>
        <v/>
      </c>
      <c r="Q286" s="23">
        <f>IF($BM286=0,NA(),SUMIFS(Entries!$E$2:$E$5000,Entries!$D$2:$D$5000,"Reimbursable",Entries!$A$2:$A$5000,"&gt;="&amp;$A286,Entries!$A$2:$A$5000,"&lt;"&amp;EDATE($A286,1)))</f>
        <v/>
      </c>
      <c r="R286" s="23">
        <f>IF($BM286=0,NA(),SUMIFS(Entries!$E$2:$E$5000,Entries!$D$2:$D$5000,"Investment",Entries!$A$2:$A$5000,"&gt;="&amp;$A286,Entries!$A$2:$A$5000,"&lt;"&amp;EDATE($A286,1)))</f>
        <v/>
      </c>
      <c r="S286" s="23">
        <f>IF($BM286=0,NA(),N286+O286)</f>
        <v/>
      </c>
      <c r="T286" s="23">
        <f>IF($BM286=0,"",E286-Q286)</f>
        <v/>
      </c>
      <c r="W286" s="23">
        <f>IF(OR(W$1="",$BM286=0),"",SUMIFS(Entries!$E$2:$E$5000,Entries!$C$2:$C$5000,"Actual",Entries!$A$2:$A$5000,"&gt;="&amp;$A286,Entries!$A$2:$A$5000,"&lt;"&amp;EDATE($A286,1),Entries!$B$2:$B$5000,W$1))</f>
        <v/>
      </c>
      <c r="X286" s="23">
        <f>IF(OR(X$1="",$BM286=0),"",SUMIFS(Entries!$E$2:$E$5000,Entries!$C$2:$C$5000,"Actual",Entries!$A$2:$A$5000,"&gt;="&amp;$A286,Entries!$A$2:$A$5000,"&lt;"&amp;EDATE($A286,1),Entries!$B$2:$B$5000,X$1))</f>
        <v/>
      </c>
      <c r="Y286" s="23">
        <f>IF(OR(Y$1="",$BM286=0),"",SUMIFS(Entries!$E$2:$E$5000,Entries!$C$2:$C$5000,"Actual",Entries!$A$2:$A$5000,"&gt;="&amp;$A286,Entries!$A$2:$A$5000,"&lt;"&amp;EDATE($A286,1),Entries!$B$2:$B$5000,Y$1))</f>
        <v/>
      </c>
      <c r="Z286" s="23">
        <f>IF(OR(Z$1="",$BM286=0),"",SUMIFS(Entries!$E$2:$E$5000,Entries!$C$2:$C$5000,"Actual",Entries!$A$2:$A$5000,"&gt;="&amp;$A286,Entries!$A$2:$A$5000,"&lt;"&amp;EDATE($A286,1),Entries!$B$2:$B$5000,Z$1))</f>
        <v/>
      </c>
      <c r="AA286" s="23">
        <f>IF(OR(AA$1="",$BM286=0),"",SUMIFS(Entries!$E$2:$E$5000,Entries!$C$2:$C$5000,"Actual",Entries!$A$2:$A$5000,"&gt;="&amp;$A286,Entries!$A$2:$A$5000,"&lt;"&amp;EDATE($A286,1),Entries!$B$2:$B$5000,AA$1))</f>
        <v/>
      </c>
      <c r="AB286" s="23">
        <f>IF(OR(AB$1="",$BM286=0),"",SUMIFS(Entries!$E$2:$E$5000,Entries!$C$2:$C$5000,"Actual",Entries!$A$2:$A$5000,"&gt;="&amp;$A286,Entries!$A$2:$A$5000,"&lt;"&amp;EDATE($A286,1),Entries!$B$2:$B$5000,AB$1))</f>
        <v/>
      </c>
      <c r="AC286" s="23">
        <f>IF(OR(AC$1="",$BM286=0),"",SUMIFS(Entries!$E$2:$E$5000,Entries!$C$2:$C$5000,"Actual",Entries!$A$2:$A$5000,"&gt;="&amp;$A286,Entries!$A$2:$A$5000,"&lt;"&amp;EDATE($A286,1),Entries!$B$2:$B$5000,AC$1))</f>
        <v/>
      </c>
      <c r="AD286" s="23">
        <f>IF(OR(AD$1="",$BM286=0),"",SUMIFS(Entries!$E$2:$E$5000,Entries!$C$2:$C$5000,"Actual",Entries!$A$2:$A$5000,"&gt;="&amp;$A286,Entries!$A$2:$A$5000,"&lt;"&amp;EDATE($A286,1),Entries!$B$2:$B$5000,AD$1))</f>
        <v/>
      </c>
      <c r="AE286" s="23">
        <f>IF(OR(AE$1="",$BM286=0),"",SUMIFS(Entries!$E$2:$E$5000,Entries!$C$2:$C$5000,"Actual",Entries!$A$2:$A$5000,"&gt;="&amp;$A286,Entries!$A$2:$A$5000,"&lt;"&amp;EDATE($A286,1),Entries!$B$2:$B$5000,AE$1))</f>
        <v/>
      </c>
      <c r="AF286" s="23">
        <f>IF(OR(AF$1="",$BM286=0),"",SUMIFS(Entries!$E$2:$E$5000,Entries!$C$2:$C$5000,"Actual",Entries!$A$2:$A$5000,"&gt;="&amp;$A286,Entries!$A$2:$A$5000,"&lt;"&amp;EDATE($A286,1),Entries!$B$2:$B$5000,AF$1))</f>
        <v/>
      </c>
      <c r="AG286" s="23">
        <f>IF(OR(AG$1="",$BM286=0),"",SUMIFS(Entries!$E$2:$E$5000,Entries!$C$2:$C$5000,"Actual",Entries!$A$2:$A$5000,"&gt;="&amp;$A286,Entries!$A$2:$A$5000,"&lt;"&amp;EDATE($A286,1),Entries!$B$2:$B$5000,AG$1))</f>
        <v/>
      </c>
      <c r="AH286" s="23">
        <f>IF(OR(AH$1="",$BM286=0),"",SUMIFS(Entries!$E$2:$E$5000,Entries!$C$2:$C$5000,"Actual",Entries!$A$2:$A$5000,"&gt;="&amp;$A286,Entries!$A$2:$A$5000,"&lt;"&amp;EDATE($A286,1),Entries!$B$2:$B$5000,AH$1))</f>
        <v/>
      </c>
      <c r="AI286" s="23">
        <f>IF(OR(AI$1="",$BM286=0),"",SUMIFS(Entries!$E$2:$E$5000,Entries!$C$2:$C$5000,"Actual",Entries!$A$2:$A$5000,"&gt;="&amp;$A286,Entries!$A$2:$A$5000,"&lt;"&amp;EDATE($A286,1),Entries!$B$2:$B$5000,AI$1))</f>
        <v/>
      </c>
      <c r="AJ286" s="23">
        <f>IF(OR(AJ$1="",$BM286=0),"",SUMIFS(Entries!$E$2:$E$5000,Entries!$C$2:$C$5000,"Actual",Entries!$A$2:$A$5000,"&gt;="&amp;$A286,Entries!$A$2:$A$5000,"&lt;"&amp;EDATE($A286,1),Entries!$B$2:$B$5000,AJ$1))</f>
        <v/>
      </c>
      <c r="AK286" s="23">
        <f>IF(OR(AK$1="",$BM286=0),"",SUMIFS(Entries!$E$2:$E$5000,Entries!$C$2:$C$5000,"Actual",Entries!$A$2:$A$5000,"&gt;="&amp;$A286,Entries!$A$2:$A$5000,"&lt;"&amp;EDATE($A286,1),Entries!$B$2:$B$5000,AK$1))</f>
        <v/>
      </c>
      <c r="AL286" s="23">
        <f>IF(OR(AL$1="",$BM286=0),"",SUMIFS(Entries!$E$2:$E$5000,Entries!$C$2:$C$5000,"Actual",Entries!$A$2:$A$5000,"&gt;="&amp;$A286,Entries!$A$2:$A$5000,"&lt;"&amp;EDATE($A286,1),Entries!$B$2:$B$5000,AL$1))</f>
        <v/>
      </c>
      <c r="AM286" s="23">
        <f>IF(OR(AM$1="",$BM286=0),"",SUMIFS(Entries!$E$2:$E$5000,Entries!$C$2:$C$5000,"Actual",Entries!$A$2:$A$5000,"&gt;="&amp;$A286,Entries!$A$2:$A$5000,"&lt;"&amp;EDATE($A286,1),Entries!$B$2:$B$5000,AM$1))</f>
        <v/>
      </c>
      <c r="AN286" s="23">
        <f>IF(OR(AN$1="",$BM286=0),"",SUMIFS(Entries!$E$2:$E$5000,Entries!$C$2:$C$5000,"Actual",Entries!$A$2:$A$5000,"&gt;="&amp;$A286,Entries!$A$2:$A$5000,"&lt;"&amp;EDATE($A286,1),Entries!$B$2:$B$5000,AN$1))</f>
        <v/>
      </c>
      <c r="AO286" s="23">
        <f>IF(OR(AO$1="",$BM286=0),"",SUMIFS(Entries!$E$2:$E$5000,Entries!$C$2:$C$5000,"Actual",Entries!$A$2:$A$5000,"&gt;="&amp;$A286,Entries!$A$2:$A$5000,"&lt;"&amp;EDATE($A286,1),Entries!$B$2:$B$5000,AO$1))</f>
        <v/>
      </c>
      <c r="AP286" s="23">
        <f>IF(OR(AP$1="",$BM286=0),"",SUMIFS(Entries!$E$2:$E$5000,Entries!$C$2:$C$5000,"Actual",Entries!$A$2:$A$5000,"&gt;="&amp;$A286,Entries!$A$2:$A$5000,"&lt;"&amp;EDATE($A286,1),Entries!$B$2:$B$5000,AP$1))</f>
        <v/>
      </c>
      <c r="AR286" s="23">
        <f>IF(OR(AR$1="",$BM286=0),"",IFERROR(LOOKUP(2,1/((Budgets!$A$2:$A$200=AR$1)*(Budgets!$B$2:$B$200&lt;EDATE($A286,1))),Budgets!$C$2:$C$200),0))</f>
        <v/>
      </c>
      <c r="AS286" s="23">
        <f>IF(OR(AS$1="",$BM286=0),"",IFERROR(LOOKUP(2,1/((Budgets!$A$2:$A$200=AS$1)*(Budgets!$B$2:$B$200&lt;EDATE($A286,1))),Budgets!$C$2:$C$200),0))</f>
        <v/>
      </c>
      <c r="AT286" s="23">
        <f>IF(OR(AT$1="",$BM286=0),"",IFERROR(LOOKUP(2,1/((Budgets!$A$2:$A$200=AT$1)*(Budgets!$B$2:$B$200&lt;EDATE($A286,1))),Budgets!$C$2:$C$200),0))</f>
        <v/>
      </c>
      <c r="AU286" s="23">
        <f>IF(OR(AU$1="",$BM286=0),"",IFERROR(LOOKUP(2,1/((Budgets!$A$2:$A$200=AU$1)*(Budgets!$B$2:$B$200&lt;EDATE($A286,1))),Budgets!$C$2:$C$200),0))</f>
        <v/>
      </c>
      <c r="AV286" s="23">
        <f>IF(OR(AV$1="",$BM286=0),"",IFERROR(LOOKUP(2,1/((Budgets!$A$2:$A$200=AV$1)*(Budgets!$B$2:$B$200&lt;EDATE($A286,1))),Budgets!$C$2:$C$200),0))</f>
        <v/>
      </c>
      <c r="AW286" s="23">
        <f>IF(OR(AW$1="",$BM286=0),"",IFERROR(LOOKUP(2,1/((Budgets!$A$2:$A$200=AW$1)*(Budgets!$B$2:$B$200&lt;EDATE($A286,1))),Budgets!$C$2:$C$200),0))</f>
        <v/>
      </c>
      <c r="AX286" s="23">
        <f>IF(OR(AX$1="",$BM286=0),"",IFERROR(LOOKUP(2,1/((Budgets!$A$2:$A$200=AX$1)*(Budgets!$B$2:$B$200&lt;EDATE($A286,1))),Budgets!$C$2:$C$200),0))</f>
        <v/>
      </c>
      <c r="AY286" s="23">
        <f>IF(OR(AY$1="",$BM286=0),"",IFERROR(LOOKUP(2,1/((Budgets!$A$2:$A$200=AY$1)*(Budgets!$B$2:$B$200&lt;EDATE($A286,1))),Budgets!$C$2:$C$200),0))</f>
        <v/>
      </c>
      <c r="AZ286" s="23">
        <f>IF(OR(AZ$1="",$BM286=0),"",IFERROR(LOOKUP(2,1/((Budgets!$A$2:$A$200=AZ$1)*(Budgets!$B$2:$B$200&lt;EDATE($A286,1))),Budgets!$C$2:$C$200),0))</f>
        <v/>
      </c>
      <c r="BA286" s="23">
        <f>IF(OR(BA$1="",$BM286=0),"",IFERROR(LOOKUP(2,1/((Budgets!$A$2:$A$200=BA$1)*(Budgets!$B$2:$B$200&lt;EDATE($A286,1))),Budgets!$C$2:$C$200),0))</f>
        <v/>
      </c>
      <c r="BB286" s="23">
        <f>IF(OR(BB$1="",$BM286=0),"",IFERROR(LOOKUP(2,1/((Budgets!$A$2:$A$200=BB$1)*(Budgets!$B$2:$B$200&lt;EDATE($A286,1))),Budgets!$C$2:$C$200),0))</f>
        <v/>
      </c>
      <c r="BC286" s="23">
        <f>IF(OR(BC$1="",$BM286=0),"",IFERROR(LOOKUP(2,1/((Budgets!$A$2:$A$200=BC$1)*(Budgets!$B$2:$B$200&lt;EDATE($A286,1))),Budgets!$C$2:$C$200),0))</f>
        <v/>
      </c>
      <c r="BD286" s="23">
        <f>IF(OR(BD$1="",$BM286=0),"",IFERROR(LOOKUP(2,1/((Budgets!$A$2:$A$200=BD$1)*(Budgets!$B$2:$B$200&lt;EDATE($A286,1))),Budgets!$C$2:$C$200),0))</f>
        <v/>
      </c>
      <c r="BE286" s="23">
        <f>IF(OR(BE$1="",$BM286=0),"",IFERROR(LOOKUP(2,1/((Budgets!$A$2:$A$200=BE$1)*(Budgets!$B$2:$B$200&lt;EDATE($A286,1))),Budgets!$C$2:$C$200),0))</f>
        <v/>
      </c>
      <c r="BF286" s="23">
        <f>IF(OR(BF$1="",$BM286=0),"",IFERROR(LOOKUP(2,1/((Budgets!$A$2:$A$200=BF$1)*(Budgets!$B$2:$B$200&lt;EDATE($A286,1))),Budgets!$C$2:$C$200),0))</f>
        <v/>
      </c>
      <c r="BG286" s="23">
        <f>IF(OR(BG$1="",$BM286=0),"",IFERROR(LOOKUP(2,1/((Budgets!$A$2:$A$200=BG$1)*(Budgets!$B$2:$B$200&lt;EDATE($A286,1))),Budgets!$C$2:$C$200),0))</f>
        <v/>
      </c>
      <c r="BH286" s="23">
        <f>IF(OR(BH$1="",$BM286=0),"",IFERROR(LOOKUP(2,1/((Budgets!$A$2:$A$200=BH$1)*(Budgets!$B$2:$B$200&lt;EDATE($A286,1))),Budgets!$C$2:$C$200),0))</f>
        <v/>
      </c>
      <c r="BI286" s="23">
        <f>IF(OR(BI$1="",$BM286=0),"",IFERROR(LOOKUP(2,1/((Budgets!$A$2:$A$200=BI$1)*(Budgets!$B$2:$B$200&lt;EDATE($A286,1))),Budgets!$C$2:$C$200),0))</f>
        <v/>
      </c>
      <c r="BJ286" s="23">
        <f>IF(OR(BJ$1="",$BM286=0),"",IFERROR(LOOKUP(2,1/((Budgets!$A$2:$A$200=BJ$1)*(Budgets!$B$2:$B$200&lt;EDATE($A286,1))),Budgets!$C$2:$C$200),0))</f>
        <v/>
      </c>
      <c r="BK286" s="23">
        <f>IF(OR(BK$1="",$BM286=0),"",IFERROR(LOOKUP(2,1/((Budgets!$A$2:$A$200=BK$1)*(Budgets!$B$2:$B$200&lt;EDATE($A286,1))),Budgets!$C$2:$C$200),0))</f>
        <v/>
      </c>
      <c r="BM286" s="21">
        <f>COUNTIFS(Entries!$A$2:$A$5000,"&gt;="&amp;$A286,Entries!$A$2:$A$5000,"&lt;"&amp;EDATE($A286,1))</f>
        <v/>
      </c>
    </row>
    <row r="287">
      <c r="A287" s="22" t="n">
        <v>48122</v>
      </c>
      <c r="B287" s="23">
        <f>IF($BM287=0,NA(),SUMIFS(Entries!$E$2:$E$5000,Entries!$C$2:$C$5000,"Income",Entries!$A$2:$A$5000,"&gt;="&amp;$A287,Entries!$A$2:$A$5000,"&lt;"&amp;EDATE($A287,1)))</f>
        <v/>
      </c>
      <c r="C287" s="23">
        <f>IF($BM287=0,"",SUMIFS(Entries!$E$2:$E$5000,Entries!$C$2:$C$5000,"Actual",Entries!$A$2:$A$5000,"&gt;="&amp;$A287,Entries!$A$2:$A$5000,"&lt;"&amp;EDATE($A287,1)))</f>
        <v/>
      </c>
      <c r="D287" s="23">
        <f>IF($BM287=0,"",SUMIFS(Entries!$E$2:$E$5000,Entries!$C$2:$C$5000,"One-off",Entries!$A$2:$A$5000,"&gt;="&amp;$A287,Entries!$A$2:$A$5000,"&lt;"&amp;EDATE($A287,1)))</f>
        <v/>
      </c>
      <c r="E287" s="23">
        <f>IF($BM287=0,NA(),C287+D287)</f>
        <v/>
      </c>
      <c r="F287" s="23">
        <f>IF($BM287=0,"",SUM(AR287:BK287))</f>
        <v/>
      </c>
      <c r="G287" s="23">
        <f>IF($BM287=0,"",B287-E287)</f>
        <v/>
      </c>
      <c r="H287" s="23">
        <f>IF($BM287=0,"",SUM($G$2:G287))</f>
        <v/>
      </c>
      <c r="I287" s="23">
        <f>IF($BM287=0,"",SUMIFS(Entries!$G$2:$G$5000,Entries!$A$2:$A$5000,"&gt;="&amp;$A287,Entries!$A$2:$A$5000,"&lt;"&amp;EDATE($A287,1)))</f>
        <v/>
      </c>
      <c r="J287" s="23">
        <f>IF($BM287=0,NA(),H287)</f>
        <v/>
      </c>
      <c r="K287" s="23">
        <f>IF($BM287=0,"",SUMIFS(Entries!$E$2:$E$5000,Entries!$C$2:$C$5000,"Income",Entries!$A$2:$A$5000,"&gt;="&amp;EDATE($A287,-11),Entries!$A$2:$A$5000,"&lt;"&amp;EDATE($A287,1))/COUNTIFS($A$2:$A$400,"&gt;="&amp;EDATE($A287,-11),$A$2:$A$400,"&lt;"&amp;EDATE($A287,1),$BM$2:$BM$400,"&gt;0"))</f>
      </c>
      <c r="L287" s="23">
        <f>IF($BM287=0,"",(SUMIFS(Entries!$E$2:$E$5000,Entries!$C$2:$C$5000,"Actual",Entries!$A$2:$A$5000,"&gt;="&amp;EDATE($A287,-11),Entries!$A$2:$A$5000,"&lt;"&amp;EDATE($A287,1))+SUMIFS(Entries!$E$2:$E$5000,Entries!$C$2:$C$5000,"One-off",Entries!$A$2:$A$5000,"&gt;="&amp;EDATE($A287,-11),Entries!$A$2:$A$5000,"&lt;"&amp;EDATE($A287,1)))/COUNTIFS($A$2:$A$400,"&gt;="&amp;EDATE($A287,-11),$A$2:$A$400,"&lt;"&amp;EDATE($A287,1),$BM$2:$BM$400,"&gt;0"))</f>
      </c>
      <c r="M287" s="24">
        <f>IF($BM287=0,NA(),IFERROR((K287-L287)/K287,0))</f>
        <v/>
      </c>
      <c r="N287" s="23">
        <f>IF($BM287=0,NA(),SUMIFS(Entries!$E$2:$E$5000,Entries!$D$2:$D$5000,"Core",Entries!$A$2:$A$5000,"&gt;="&amp;$A287,Entries!$A$2:$A$5000,"&lt;"&amp;EDATE($A287,1)))</f>
        <v/>
      </c>
      <c r="O287" s="23">
        <f>IF($BM287=0,NA(),SUMIFS(Entries!$E$2:$E$5000,Entries!$D$2:$D$5000,"Over &amp; above",Entries!$A$2:$A$5000,"&gt;="&amp;$A287,Entries!$A$2:$A$5000,"&lt;"&amp;EDATE($A287,1)))</f>
        <v/>
      </c>
      <c r="P287" s="23">
        <f>IF($BM287=0,NA(),SUMIFS(Entries!$E$2:$E$5000,Entries!$D$2:$D$5000,"One-off",Entries!$A$2:$A$5000,"&gt;="&amp;$A287,Entries!$A$2:$A$5000,"&lt;"&amp;EDATE($A287,1)))</f>
        <v/>
      </c>
      <c r="Q287" s="23">
        <f>IF($BM287=0,NA(),SUMIFS(Entries!$E$2:$E$5000,Entries!$D$2:$D$5000,"Reimbursable",Entries!$A$2:$A$5000,"&gt;="&amp;$A287,Entries!$A$2:$A$5000,"&lt;"&amp;EDATE($A287,1)))</f>
        <v/>
      </c>
      <c r="R287" s="23">
        <f>IF($BM287=0,NA(),SUMIFS(Entries!$E$2:$E$5000,Entries!$D$2:$D$5000,"Investment",Entries!$A$2:$A$5000,"&gt;="&amp;$A287,Entries!$A$2:$A$5000,"&lt;"&amp;EDATE($A287,1)))</f>
        <v/>
      </c>
      <c r="S287" s="23">
        <f>IF($BM287=0,NA(),N287+O287)</f>
        <v/>
      </c>
      <c r="T287" s="23">
        <f>IF($BM287=0,"",E287-Q287)</f>
        <v/>
      </c>
      <c r="W287" s="23">
        <f>IF(OR(W$1="",$BM287=0),"",SUMIFS(Entries!$E$2:$E$5000,Entries!$C$2:$C$5000,"Actual",Entries!$A$2:$A$5000,"&gt;="&amp;$A287,Entries!$A$2:$A$5000,"&lt;"&amp;EDATE($A287,1),Entries!$B$2:$B$5000,W$1))</f>
        <v/>
      </c>
      <c r="X287" s="23">
        <f>IF(OR(X$1="",$BM287=0),"",SUMIFS(Entries!$E$2:$E$5000,Entries!$C$2:$C$5000,"Actual",Entries!$A$2:$A$5000,"&gt;="&amp;$A287,Entries!$A$2:$A$5000,"&lt;"&amp;EDATE($A287,1),Entries!$B$2:$B$5000,X$1))</f>
        <v/>
      </c>
      <c r="Y287" s="23">
        <f>IF(OR(Y$1="",$BM287=0),"",SUMIFS(Entries!$E$2:$E$5000,Entries!$C$2:$C$5000,"Actual",Entries!$A$2:$A$5000,"&gt;="&amp;$A287,Entries!$A$2:$A$5000,"&lt;"&amp;EDATE($A287,1),Entries!$B$2:$B$5000,Y$1))</f>
        <v/>
      </c>
      <c r="Z287" s="23">
        <f>IF(OR(Z$1="",$BM287=0),"",SUMIFS(Entries!$E$2:$E$5000,Entries!$C$2:$C$5000,"Actual",Entries!$A$2:$A$5000,"&gt;="&amp;$A287,Entries!$A$2:$A$5000,"&lt;"&amp;EDATE($A287,1),Entries!$B$2:$B$5000,Z$1))</f>
        <v/>
      </c>
      <c r="AA287" s="23">
        <f>IF(OR(AA$1="",$BM287=0),"",SUMIFS(Entries!$E$2:$E$5000,Entries!$C$2:$C$5000,"Actual",Entries!$A$2:$A$5000,"&gt;="&amp;$A287,Entries!$A$2:$A$5000,"&lt;"&amp;EDATE($A287,1),Entries!$B$2:$B$5000,AA$1))</f>
        <v/>
      </c>
      <c r="AB287" s="23">
        <f>IF(OR(AB$1="",$BM287=0),"",SUMIFS(Entries!$E$2:$E$5000,Entries!$C$2:$C$5000,"Actual",Entries!$A$2:$A$5000,"&gt;="&amp;$A287,Entries!$A$2:$A$5000,"&lt;"&amp;EDATE($A287,1),Entries!$B$2:$B$5000,AB$1))</f>
        <v/>
      </c>
      <c r="AC287" s="23">
        <f>IF(OR(AC$1="",$BM287=0),"",SUMIFS(Entries!$E$2:$E$5000,Entries!$C$2:$C$5000,"Actual",Entries!$A$2:$A$5000,"&gt;="&amp;$A287,Entries!$A$2:$A$5000,"&lt;"&amp;EDATE($A287,1),Entries!$B$2:$B$5000,AC$1))</f>
        <v/>
      </c>
      <c r="AD287" s="23">
        <f>IF(OR(AD$1="",$BM287=0),"",SUMIFS(Entries!$E$2:$E$5000,Entries!$C$2:$C$5000,"Actual",Entries!$A$2:$A$5000,"&gt;="&amp;$A287,Entries!$A$2:$A$5000,"&lt;"&amp;EDATE($A287,1),Entries!$B$2:$B$5000,AD$1))</f>
        <v/>
      </c>
      <c r="AE287" s="23">
        <f>IF(OR(AE$1="",$BM287=0),"",SUMIFS(Entries!$E$2:$E$5000,Entries!$C$2:$C$5000,"Actual",Entries!$A$2:$A$5000,"&gt;="&amp;$A287,Entries!$A$2:$A$5000,"&lt;"&amp;EDATE($A287,1),Entries!$B$2:$B$5000,AE$1))</f>
        <v/>
      </c>
      <c r="AF287" s="23">
        <f>IF(OR(AF$1="",$BM287=0),"",SUMIFS(Entries!$E$2:$E$5000,Entries!$C$2:$C$5000,"Actual",Entries!$A$2:$A$5000,"&gt;="&amp;$A287,Entries!$A$2:$A$5000,"&lt;"&amp;EDATE($A287,1),Entries!$B$2:$B$5000,AF$1))</f>
        <v/>
      </c>
      <c r="AG287" s="23">
        <f>IF(OR(AG$1="",$BM287=0),"",SUMIFS(Entries!$E$2:$E$5000,Entries!$C$2:$C$5000,"Actual",Entries!$A$2:$A$5000,"&gt;="&amp;$A287,Entries!$A$2:$A$5000,"&lt;"&amp;EDATE($A287,1),Entries!$B$2:$B$5000,AG$1))</f>
        <v/>
      </c>
      <c r="AH287" s="23">
        <f>IF(OR(AH$1="",$BM287=0),"",SUMIFS(Entries!$E$2:$E$5000,Entries!$C$2:$C$5000,"Actual",Entries!$A$2:$A$5000,"&gt;="&amp;$A287,Entries!$A$2:$A$5000,"&lt;"&amp;EDATE($A287,1),Entries!$B$2:$B$5000,AH$1))</f>
        <v/>
      </c>
      <c r="AI287" s="23">
        <f>IF(OR(AI$1="",$BM287=0),"",SUMIFS(Entries!$E$2:$E$5000,Entries!$C$2:$C$5000,"Actual",Entries!$A$2:$A$5000,"&gt;="&amp;$A287,Entries!$A$2:$A$5000,"&lt;"&amp;EDATE($A287,1),Entries!$B$2:$B$5000,AI$1))</f>
        <v/>
      </c>
      <c r="AJ287" s="23">
        <f>IF(OR(AJ$1="",$BM287=0),"",SUMIFS(Entries!$E$2:$E$5000,Entries!$C$2:$C$5000,"Actual",Entries!$A$2:$A$5000,"&gt;="&amp;$A287,Entries!$A$2:$A$5000,"&lt;"&amp;EDATE($A287,1),Entries!$B$2:$B$5000,AJ$1))</f>
        <v/>
      </c>
      <c r="AK287" s="23">
        <f>IF(OR(AK$1="",$BM287=0),"",SUMIFS(Entries!$E$2:$E$5000,Entries!$C$2:$C$5000,"Actual",Entries!$A$2:$A$5000,"&gt;="&amp;$A287,Entries!$A$2:$A$5000,"&lt;"&amp;EDATE($A287,1),Entries!$B$2:$B$5000,AK$1))</f>
        <v/>
      </c>
      <c r="AL287" s="23">
        <f>IF(OR(AL$1="",$BM287=0),"",SUMIFS(Entries!$E$2:$E$5000,Entries!$C$2:$C$5000,"Actual",Entries!$A$2:$A$5000,"&gt;="&amp;$A287,Entries!$A$2:$A$5000,"&lt;"&amp;EDATE($A287,1),Entries!$B$2:$B$5000,AL$1))</f>
        <v/>
      </c>
      <c r="AM287" s="23">
        <f>IF(OR(AM$1="",$BM287=0),"",SUMIFS(Entries!$E$2:$E$5000,Entries!$C$2:$C$5000,"Actual",Entries!$A$2:$A$5000,"&gt;="&amp;$A287,Entries!$A$2:$A$5000,"&lt;"&amp;EDATE($A287,1),Entries!$B$2:$B$5000,AM$1))</f>
        <v/>
      </c>
      <c r="AN287" s="23">
        <f>IF(OR(AN$1="",$BM287=0),"",SUMIFS(Entries!$E$2:$E$5000,Entries!$C$2:$C$5000,"Actual",Entries!$A$2:$A$5000,"&gt;="&amp;$A287,Entries!$A$2:$A$5000,"&lt;"&amp;EDATE($A287,1),Entries!$B$2:$B$5000,AN$1))</f>
        <v/>
      </c>
      <c r="AO287" s="23">
        <f>IF(OR(AO$1="",$BM287=0),"",SUMIFS(Entries!$E$2:$E$5000,Entries!$C$2:$C$5000,"Actual",Entries!$A$2:$A$5000,"&gt;="&amp;$A287,Entries!$A$2:$A$5000,"&lt;"&amp;EDATE($A287,1),Entries!$B$2:$B$5000,AO$1))</f>
        <v/>
      </c>
      <c r="AP287" s="23">
        <f>IF(OR(AP$1="",$BM287=0),"",SUMIFS(Entries!$E$2:$E$5000,Entries!$C$2:$C$5000,"Actual",Entries!$A$2:$A$5000,"&gt;="&amp;$A287,Entries!$A$2:$A$5000,"&lt;"&amp;EDATE($A287,1),Entries!$B$2:$B$5000,AP$1))</f>
        <v/>
      </c>
      <c r="AR287" s="23">
        <f>IF(OR(AR$1="",$BM287=0),"",IFERROR(LOOKUP(2,1/((Budgets!$A$2:$A$200=AR$1)*(Budgets!$B$2:$B$200&lt;EDATE($A287,1))),Budgets!$C$2:$C$200),0))</f>
        <v/>
      </c>
      <c r="AS287" s="23">
        <f>IF(OR(AS$1="",$BM287=0),"",IFERROR(LOOKUP(2,1/((Budgets!$A$2:$A$200=AS$1)*(Budgets!$B$2:$B$200&lt;EDATE($A287,1))),Budgets!$C$2:$C$200),0))</f>
        <v/>
      </c>
      <c r="AT287" s="23">
        <f>IF(OR(AT$1="",$BM287=0),"",IFERROR(LOOKUP(2,1/((Budgets!$A$2:$A$200=AT$1)*(Budgets!$B$2:$B$200&lt;EDATE($A287,1))),Budgets!$C$2:$C$200),0))</f>
        <v/>
      </c>
      <c r="AU287" s="23">
        <f>IF(OR(AU$1="",$BM287=0),"",IFERROR(LOOKUP(2,1/((Budgets!$A$2:$A$200=AU$1)*(Budgets!$B$2:$B$200&lt;EDATE($A287,1))),Budgets!$C$2:$C$200),0))</f>
        <v/>
      </c>
      <c r="AV287" s="23">
        <f>IF(OR(AV$1="",$BM287=0),"",IFERROR(LOOKUP(2,1/((Budgets!$A$2:$A$200=AV$1)*(Budgets!$B$2:$B$200&lt;EDATE($A287,1))),Budgets!$C$2:$C$200),0))</f>
        <v/>
      </c>
      <c r="AW287" s="23">
        <f>IF(OR(AW$1="",$BM287=0),"",IFERROR(LOOKUP(2,1/((Budgets!$A$2:$A$200=AW$1)*(Budgets!$B$2:$B$200&lt;EDATE($A287,1))),Budgets!$C$2:$C$200),0))</f>
        <v/>
      </c>
      <c r="AX287" s="23">
        <f>IF(OR(AX$1="",$BM287=0),"",IFERROR(LOOKUP(2,1/((Budgets!$A$2:$A$200=AX$1)*(Budgets!$B$2:$B$200&lt;EDATE($A287,1))),Budgets!$C$2:$C$200),0))</f>
        <v/>
      </c>
      <c r="AY287" s="23">
        <f>IF(OR(AY$1="",$BM287=0),"",IFERROR(LOOKUP(2,1/((Budgets!$A$2:$A$200=AY$1)*(Budgets!$B$2:$B$200&lt;EDATE($A287,1))),Budgets!$C$2:$C$200),0))</f>
        <v/>
      </c>
      <c r="AZ287" s="23">
        <f>IF(OR(AZ$1="",$BM287=0),"",IFERROR(LOOKUP(2,1/((Budgets!$A$2:$A$200=AZ$1)*(Budgets!$B$2:$B$200&lt;EDATE($A287,1))),Budgets!$C$2:$C$200),0))</f>
        <v/>
      </c>
      <c r="BA287" s="23">
        <f>IF(OR(BA$1="",$BM287=0),"",IFERROR(LOOKUP(2,1/((Budgets!$A$2:$A$200=BA$1)*(Budgets!$B$2:$B$200&lt;EDATE($A287,1))),Budgets!$C$2:$C$200),0))</f>
        <v/>
      </c>
      <c r="BB287" s="23">
        <f>IF(OR(BB$1="",$BM287=0),"",IFERROR(LOOKUP(2,1/((Budgets!$A$2:$A$200=BB$1)*(Budgets!$B$2:$B$200&lt;EDATE($A287,1))),Budgets!$C$2:$C$200),0))</f>
        <v/>
      </c>
      <c r="BC287" s="23">
        <f>IF(OR(BC$1="",$BM287=0),"",IFERROR(LOOKUP(2,1/((Budgets!$A$2:$A$200=BC$1)*(Budgets!$B$2:$B$200&lt;EDATE($A287,1))),Budgets!$C$2:$C$200),0))</f>
        <v/>
      </c>
      <c r="BD287" s="23">
        <f>IF(OR(BD$1="",$BM287=0),"",IFERROR(LOOKUP(2,1/((Budgets!$A$2:$A$200=BD$1)*(Budgets!$B$2:$B$200&lt;EDATE($A287,1))),Budgets!$C$2:$C$200),0))</f>
        <v/>
      </c>
      <c r="BE287" s="23">
        <f>IF(OR(BE$1="",$BM287=0),"",IFERROR(LOOKUP(2,1/((Budgets!$A$2:$A$200=BE$1)*(Budgets!$B$2:$B$200&lt;EDATE($A287,1))),Budgets!$C$2:$C$200),0))</f>
        <v/>
      </c>
      <c r="BF287" s="23">
        <f>IF(OR(BF$1="",$BM287=0),"",IFERROR(LOOKUP(2,1/((Budgets!$A$2:$A$200=BF$1)*(Budgets!$B$2:$B$200&lt;EDATE($A287,1))),Budgets!$C$2:$C$200),0))</f>
        <v/>
      </c>
      <c r="BG287" s="23">
        <f>IF(OR(BG$1="",$BM287=0),"",IFERROR(LOOKUP(2,1/((Budgets!$A$2:$A$200=BG$1)*(Budgets!$B$2:$B$200&lt;EDATE($A287,1))),Budgets!$C$2:$C$200),0))</f>
        <v/>
      </c>
      <c r="BH287" s="23">
        <f>IF(OR(BH$1="",$BM287=0),"",IFERROR(LOOKUP(2,1/((Budgets!$A$2:$A$200=BH$1)*(Budgets!$B$2:$B$200&lt;EDATE($A287,1))),Budgets!$C$2:$C$200),0))</f>
        <v/>
      </c>
      <c r="BI287" s="23">
        <f>IF(OR(BI$1="",$BM287=0),"",IFERROR(LOOKUP(2,1/((Budgets!$A$2:$A$200=BI$1)*(Budgets!$B$2:$B$200&lt;EDATE($A287,1))),Budgets!$C$2:$C$200),0))</f>
        <v/>
      </c>
      <c r="BJ287" s="23">
        <f>IF(OR(BJ$1="",$BM287=0),"",IFERROR(LOOKUP(2,1/((Budgets!$A$2:$A$200=BJ$1)*(Budgets!$B$2:$B$200&lt;EDATE($A287,1))),Budgets!$C$2:$C$200),0))</f>
        <v/>
      </c>
      <c r="BK287" s="23">
        <f>IF(OR(BK$1="",$BM287=0),"",IFERROR(LOOKUP(2,1/((Budgets!$A$2:$A$200=BK$1)*(Budgets!$B$2:$B$200&lt;EDATE($A287,1))),Budgets!$C$2:$C$200),0))</f>
        <v/>
      </c>
      <c r="BM287" s="21">
        <f>COUNTIFS(Entries!$A$2:$A$5000,"&gt;="&amp;$A287,Entries!$A$2:$A$5000,"&lt;"&amp;EDATE($A287,1))</f>
        <v/>
      </c>
    </row>
    <row r="288">
      <c r="A288" s="22" t="n">
        <v>48153</v>
      </c>
      <c r="B288" s="23">
        <f>IF($BM288=0,NA(),SUMIFS(Entries!$E$2:$E$5000,Entries!$C$2:$C$5000,"Income",Entries!$A$2:$A$5000,"&gt;="&amp;$A288,Entries!$A$2:$A$5000,"&lt;"&amp;EDATE($A288,1)))</f>
        <v/>
      </c>
      <c r="C288" s="23">
        <f>IF($BM288=0,"",SUMIFS(Entries!$E$2:$E$5000,Entries!$C$2:$C$5000,"Actual",Entries!$A$2:$A$5000,"&gt;="&amp;$A288,Entries!$A$2:$A$5000,"&lt;"&amp;EDATE($A288,1)))</f>
        <v/>
      </c>
      <c r="D288" s="23">
        <f>IF($BM288=0,"",SUMIFS(Entries!$E$2:$E$5000,Entries!$C$2:$C$5000,"One-off",Entries!$A$2:$A$5000,"&gt;="&amp;$A288,Entries!$A$2:$A$5000,"&lt;"&amp;EDATE($A288,1)))</f>
        <v/>
      </c>
      <c r="E288" s="23">
        <f>IF($BM288=0,NA(),C288+D288)</f>
        <v/>
      </c>
      <c r="F288" s="23">
        <f>IF($BM288=0,"",SUM(AR288:BK288))</f>
        <v/>
      </c>
      <c r="G288" s="23">
        <f>IF($BM288=0,"",B288-E288)</f>
        <v/>
      </c>
      <c r="H288" s="23">
        <f>IF($BM288=0,"",SUM($G$2:G288))</f>
        <v/>
      </c>
      <c r="I288" s="23">
        <f>IF($BM288=0,"",SUMIFS(Entries!$G$2:$G$5000,Entries!$A$2:$A$5000,"&gt;="&amp;$A288,Entries!$A$2:$A$5000,"&lt;"&amp;EDATE($A288,1)))</f>
        <v/>
      </c>
      <c r="J288" s="23">
        <f>IF($BM288=0,NA(),H288)</f>
        <v/>
      </c>
      <c r="K288" s="23">
        <f>IF($BM288=0,"",SUMIFS(Entries!$E$2:$E$5000,Entries!$C$2:$C$5000,"Income",Entries!$A$2:$A$5000,"&gt;="&amp;EDATE($A288,-11),Entries!$A$2:$A$5000,"&lt;"&amp;EDATE($A288,1))/COUNTIFS($A$2:$A$400,"&gt;="&amp;EDATE($A288,-11),$A$2:$A$400,"&lt;"&amp;EDATE($A288,1),$BM$2:$BM$400,"&gt;0"))</f>
      </c>
      <c r="L288" s="23">
        <f>IF($BM288=0,"",(SUMIFS(Entries!$E$2:$E$5000,Entries!$C$2:$C$5000,"Actual",Entries!$A$2:$A$5000,"&gt;="&amp;EDATE($A288,-11),Entries!$A$2:$A$5000,"&lt;"&amp;EDATE($A288,1))+SUMIFS(Entries!$E$2:$E$5000,Entries!$C$2:$C$5000,"One-off",Entries!$A$2:$A$5000,"&gt;="&amp;EDATE($A288,-11),Entries!$A$2:$A$5000,"&lt;"&amp;EDATE($A288,1)))/COUNTIFS($A$2:$A$400,"&gt;="&amp;EDATE($A288,-11),$A$2:$A$400,"&lt;"&amp;EDATE($A288,1),$BM$2:$BM$400,"&gt;0"))</f>
      </c>
      <c r="M288" s="24">
        <f>IF($BM288=0,NA(),IFERROR((K288-L288)/K288,0))</f>
        <v/>
      </c>
      <c r="N288" s="23">
        <f>IF($BM288=0,NA(),SUMIFS(Entries!$E$2:$E$5000,Entries!$D$2:$D$5000,"Core",Entries!$A$2:$A$5000,"&gt;="&amp;$A288,Entries!$A$2:$A$5000,"&lt;"&amp;EDATE($A288,1)))</f>
        <v/>
      </c>
      <c r="O288" s="23">
        <f>IF($BM288=0,NA(),SUMIFS(Entries!$E$2:$E$5000,Entries!$D$2:$D$5000,"Over &amp; above",Entries!$A$2:$A$5000,"&gt;="&amp;$A288,Entries!$A$2:$A$5000,"&lt;"&amp;EDATE($A288,1)))</f>
        <v/>
      </c>
      <c r="P288" s="23">
        <f>IF($BM288=0,NA(),SUMIFS(Entries!$E$2:$E$5000,Entries!$D$2:$D$5000,"One-off",Entries!$A$2:$A$5000,"&gt;="&amp;$A288,Entries!$A$2:$A$5000,"&lt;"&amp;EDATE($A288,1)))</f>
        <v/>
      </c>
      <c r="Q288" s="23">
        <f>IF($BM288=0,NA(),SUMIFS(Entries!$E$2:$E$5000,Entries!$D$2:$D$5000,"Reimbursable",Entries!$A$2:$A$5000,"&gt;="&amp;$A288,Entries!$A$2:$A$5000,"&lt;"&amp;EDATE($A288,1)))</f>
        <v/>
      </c>
      <c r="R288" s="23">
        <f>IF($BM288=0,NA(),SUMIFS(Entries!$E$2:$E$5000,Entries!$D$2:$D$5000,"Investment",Entries!$A$2:$A$5000,"&gt;="&amp;$A288,Entries!$A$2:$A$5000,"&lt;"&amp;EDATE($A288,1)))</f>
        <v/>
      </c>
      <c r="S288" s="23">
        <f>IF($BM288=0,NA(),N288+O288)</f>
        <v/>
      </c>
      <c r="T288" s="23">
        <f>IF($BM288=0,"",E288-Q288)</f>
        <v/>
      </c>
      <c r="W288" s="23">
        <f>IF(OR(W$1="",$BM288=0),"",SUMIFS(Entries!$E$2:$E$5000,Entries!$C$2:$C$5000,"Actual",Entries!$A$2:$A$5000,"&gt;="&amp;$A288,Entries!$A$2:$A$5000,"&lt;"&amp;EDATE($A288,1),Entries!$B$2:$B$5000,W$1))</f>
        <v/>
      </c>
      <c r="X288" s="23">
        <f>IF(OR(X$1="",$BM288=0),"",SUMIFS(Entries!$E$2:$E$5000,Entries!$C$2:$C$5000,"Actual",Entries!$A$2:$A$5000,"&gt;="&amp;$A288,Entries!$A$2:$A$5000,"&lt;"&amp;EDATE($A288,1),Entries!$B$2:$B$5000,X$1))</f>
        <v/>
      </c>
      <c r="Y288" s="23">
        <f>IF(OR(Y$1="",$BM288=0),"",SUMIFS(Entries!$E$2:$E$5000,Entries!$C$2:$C$5000,"Actual",Entries!$A$2:$A$5000,"&gt;="&amp;$A288,Entries!$A$2:$A$5000,"&lt;"&amp;EDATE($A288,1),Entries!$B$2:$B$5000,Y$1))</f>
        <v/>
      </c>
      <c r="Z288" s="23">
        <f>IF(OR(Z$1="",$BM288=0),"",SUMIFS(Entries!$E$2:$E$5000,Entries!$C$2:$C$5000,"Actual",Entries!$A$2:$A$5000,"&gt;="&amp;$A288,Entries!$A$2:$A$5000,"&lt;"&amp;EDATE($A288,1),Entries!$B$2:$B$5000,Z$1))</f>
        <v/>
      </c>
      <c r="AA288" s="23">
        <f>IF(OR(AA$1="",$BM288=0),"",SUMIFS(Entries!$E$2:$E$5000,Entries!$C$2:$C$5000,"Actual",Entries!$A$2:$A$5000,"&gt;="&amp;$A288,Entries!$A$2:$A$5000,"&lt;"&amp;EDATE($A288,1),Entries!$B$2:$B$5000,AA$1))</f>
        <v/>
      </c>
      <c r="AB288" s="23">
        <f>IF(OR(AB$1="",$BM288=0),"",SUMIFS(Entries!$E$2:$E$5000,Entries!$C$2:$C$5000,"Actual",Entries!$A$2:$A$5000,"&gt;="&amp;$A288,Entries!$A$2:$A$5000,"&lt;"&amp;EDATE($A288,1),Entries!$B$2:$B$5000,AB$1))</f>
        <v/>
      </c>
      <c r="AC288" s="23">
        <f>IF(OR(AC$1="",$BM288=0),"",SUMIFS(Entries!$E$2:$E$5000,Entries!$C$2:$C$5000,"Actual",Entries!$A$2:$A$5000,"&gt;="&amp;$A288,Entries!$A$2:$A$5000,"&lt;"&amp;EDATE($A288,1),Entries!$B$2:$B$5000,AC$1))</f>
        <v/>
      </c>
      <c r="AD288" s="23">
        <f>IF(OR(AD$1="",$BM288=0),"",SUMIFS(Entries!$E$2:$E$5000,Entries!$C$2:$C$5000,"Actual",Entries!$A$2:$A$5000,"&gt;="&amp;$A288,Entries!$A$2:$A$5000,"&lt;"&amp;EDATE($A288,1),Entries!$B$2:$B$5000,AD$1))</f>
        <v/>
      </c>
      <c r="AE288" s="23">
        <f>IF(OR(AE$1="",$BM288=0),"",SUMIFS(Entries!$E$2:$E$5000,Entries!$C$2:$C$5000,"Actual",Entries!$A$2:$A$5000,"&gt;="&amp;$A288,Entries!$A$2:$A$5000,"&lt;"&amp;EDATE($A288,1),Entries!$B$2:$B$5000,AE$1))</f>
        <v/>
      </c>
      <c r="AF288" s="23">
        <f>IF(OR(AF$1="",$BM288=0),"",SUMIFS(Entries!$E$2:$E$5000,Entries!$C$2:$C$5000,"Actual",Entries!$A$2:$A$5000,"&gt;="&amp;$A288,Entries!$A$2:$A$5000,"&lt;"&amp;EDATE($A288,1),Entries!$B$2:$B$5000,AF$1))</f>
        <v/>
      </c>
      <c r="AG288" s="23">
        <f>IF(OR(AG$1="",$BM288=0),"",SUMIFS(Entries!$E$2:$E$5000,Entries!$C$2:$C$5000,"Actual",Entries!$A$2:$A$5000,"&gt;="&amp;$A288,Entries!$A$2:$A$5000,"&lt;"&amp;EDATE($A288,1),Entries!$B$2:$B$5000,AG$1))</f>
        <v/>
      </c>
      <c r="AH288" s="23">
        <f>IF(OR(AH$1="",$BM288=0),"",SUMIFS(Entries!$E$2:$E$5000,Entries!$C$2:$C$5000,"Actual",Entries!$A$2:$A$5000,"&gt;="&amp;$A288,Entries!$A$2:$A$5000,"&lt;"&amp;EDATE($A288,1),Entries!$B$2:$B$5000,AH$1))</f>
        <v/>
      </c>
      <c r="AI288" s="23">
        <f>IF(OR(AI$1="",$BM288=0),"",SUMIFS(Entries!$E$2:$E$5000,Entries!$C$2:$C$5000,"Actual",Entries!$A$2:$A$5000,"&gt;="&amp;$A288,Entries!$A$2:$A$5000,"&lt;"&amp;EDATE($A288,1),Entries!$B$2:$B$5000,AI$1))</f>
        <v/>
      </c>
      <c r="AJ288" s="23">
        <f>IF(OR(AJ$1="",$BM288=0),"",SUMIFS(Entries!$E$2:$E$5000,Entries!$C$2:$C$5000,"Actual",Entries!$A$2:$A$5000,"&gt;="&amp;$A288,Entries!$A$2:$A$5000,"&lt;"&amp;EDATE($A288,1),Entries!$B$2:$B$5000,AJ$1))</f>
        <v/>
      </c>
      <c r="AK288" s="23">
        <f>IF(OR(AK$1="",$BM288=0),"",SUMIFS(Entries!$E$2:$E$5000,Entries!$C$2:$C$5000,"Actual",Entries!$A$2:$A$5000,"&gt;="&amp;$A288,Entries!$A$2:$A$5000,"&lt;"&amp;EDATE($A288,1),Entries!$B$2:$B$5000,AK$1))</f>
        <v/>
      </c>
      <c r="AL288" s="23">
        <f>IF(OR(AL$1="",$BM288=0),"",SUMIFS(Entries!$E$2:$E$5000,Entries!$C$2:$C$5000,"Actual",Entries!$A$2:$A$5000,"&gt;="&amp;$A288,Entries!$A$2:$A$5000,"&lt;"&amp;EDATE($A288,1),Entries!$B$2:$B$5000,AL$1))</f>
        <v/>
      </c>
      <c r="AM288" s="23">
        <f>IF(OR(AM$1="",$BM288=0),"",SUMIFS(Entries!$E$2:$E$5000,Entries!$C$2:$C$5000,"Actual",Entries!$A$2:$A$5000,"&gt;="&amp;$A288,Entries!$A$2:$A$5000,"&lt;"&amp;EDATE($A288,1),Entries!$B$2:$B$5000,AM$1))</f>
        <v/>
      </c>
      <c r="AN288" s="23">
        <f>IF(OR(AN$1="",$BM288=0),"",SUMIFS(Entries!$E$2:$E$5000,Entries!$C$2:$C$5000,"Actual",Entries!$A$2:$A$5000,"&gt;="&amp;$A288,Entries!$A$2:$A$5000,"&lt;"&amp;EDATE($A288,1),Entries!$B$2:$B$5000,AN$1))</f>
        <v/>
      </c>
      <c r="AO288" s="23">
        <f>IF(OR(AO$1="",$BM288=0),"",SUMIFS(Entries!$E$2:$E$5000,Entries!$C$2:$C$5000,"Actual",Entries!$A$2:$A$5000,"&gt;="&amp;$A288,Entries!$A$2:$A$5000,"&lt;"&amp;EDATE($A288,1),Entries!$B$2:$B$5000,AO$1))</f>
        <v/>
      </c>
      <c r="AP288" s="23">
        <f>IF(OR(AP$1="",$BM288=0),"",SUMIFS(Entries!$E$2:$E$5000,Entries!$C$2:$C$5000,"Actual",Entries!$A$2:$A$5000,"&gt;="&amp;$A288,Entries!$A$2:$A$5000,"&lt;"&amp;EDATE($A288,1),Entries!$B$2:$B$5000,AP$1))</f>
        <v/>
      </c>
      <c r="AR288" s="23">
        <f>IF(OR(AR$1="",$BM288=0),"",IFERROR(LOOKUP(2,1/((Budgets!$A$2:$A$200=AR$1)*(Budgets!$B$2:$B$200&lt;EDATE($A288,1))),Budgets!$C$2:$C$200),0))</f>
        <v/>
      </c>
      <c r="AS288" s="23">
        <f>IF(OR(AS$1="",$BM288=0),"",IFERROR(LOOKUP(2,1/((Budgets!$A$2:$A$200=AS$1)*(Budgets!$B$2:$B$200&lt;EDATE($A288,1))),Budgets!$C$2:$C$200),0))</f>
        <v/>
      </c>
      <c r="AT288" s="23">
        <f>IF(OR(AT$1="",$BM288=0),"",IFERROR(LOOKUP(2,1/((Budgets!$A$2:$A$200=AT$1)*(Budgets!$B$2:$B$200&lt;EDATE($A288,1))),Budgets!$C$2:$C$200),0))</f>
        <v/>
      </c>
      <c r="AU288" s="23">
        <f>IF(OR(AU$1="",$BM288=0),"",IFERROR(LOOKUP(2,1/((Budgets!$A$2:$A$200=AU$1)*(Budgets!$B$2:$B$200&lt;EDATE($A288,1))),Budgets!$C$2:$C$200),0))</f>
        <v/>
      </c>
      <c r="AV288" s="23">
        <f>IF(OR(AV$1="",$BM288=0),"",IFERROR(LOOKUP(2,1/((Budgets!$A$2:$A$200=AV$1)*(Budgets!$B$2:$B$200&lt;EDATE($A288,1))),Budgets!$C$2:$C$200),0))</f>
        <v/>
      </c>
      <c r="AW288" s="23">
        <f>IF(OR(AW$1="",$BM288=0),"",IFERROR(LOOKUP(2,1/((Budgets!$A$2:$A$200=AW$1)*(Budgets!$B$2:$B$200&lt;EDATE($A288,1))),Budgets!$C$2:$C$200),0))</f>
        <v/>
      </c>
      <c r="AX288" s="23">
        <f>IF(OR(AX$1="",$BM288=0),"",IFERROR(LOOKUP(2,1/((Budgets!$A$2:$A$200=AX$1)*(Budgets!$B$2:$B$200&lt;EDATE($A288,1))),Budgets!$C$2:$C$200),0))</f>
        <v/>
      </c>
      <c r="AY288" s="23">
        <f>IF(OR(AY$1="",$BM288=0),"",IFERROR(LOOKUP(2,1/((Budgets!$A$2:$A$200=AY$1)*(Budgets!$B$2:$B$200&lt;EDATE($A288,1))),Budgets!$C$2:$C$200),0))</f>
        <v/>
      </c>
      <c r="AZ288" s="23">
        <f>IF(OR(AZ$1="",$BM288=0),"",IFERROR(LOOKUP(2,1/((Budgets!$A$2:$A$200=AZ$1)*(Budgets!$B$2:$B$200&lt;EDATE($A288,1))),Budgets!$C$2:$C$200),0))</f>
        <v/>
      </c>
      <c r="BA288" s="23">
        <f>IF(OR(BA$1="",$BM288=0),"",IFERROR(LOOKUP(2,1/((Budgets!$A$2:$A$200=BA$1)*(Budgets!$B$2:$B$200&lt;EDATE($A288,1))),Budgets!$C$2:$C$200),0))</f>
        <v/>
      </c>
      <c r="BB288" s="23">
        <f>IF(OR(BB$1="",$BM288=0),"",IFERROR(LOOKUP(2,1/((Budgets!$A$2:$A$200=BB$1)*(Budgets!$B$2:$B$200&lt;EDATE($A288,1))),Budgets!$C$2:$C$200),0))</f>
        <v/>
      </c>
      <c r="BC288" s="23">
        <f>IF(OR(BC$1="",$BM288=0),"",IFERROR(LOOKUP(2,1/((Budgets!$A$2:$A$200=BC$1)*(Budgets!$B$2:$B$200&lt;EDATE($A288,1))),Budgets!$C$2:$C$200),0))</f>
        <v/>
      </c>
      <c r="BD288" s="23">
        <f>IF(OR(BD$1="",$BM288=0),"",IFERROR(LOOKUP(2,1/((Budgets!$A$2:$A$200=BD$1)*(Budgets!$B$2:$B$200&lt;EDATE($A288,1))),Budgets!$C$2:$C$200),0))</f>
        <v/>
      </c>
      <c r="BE288" s="23">
        <f>IF(OR(BE$1="",$BM288=0),"",IFERROR(LOOKUP(2,1/((Budgets!$A$2:$A$200=BE$1)*(Budgets!$B$2:$B$200&lt;EDATE($A288,1))),Budgets!$C$2:$C$200),0))</f>
        <v/>
      </c>
      <c r="BF288" s="23">
        <f>IF(OR(BF$1="",$BM288=0),"",IFERROR(LOOKUP(2,1/((Budgets!$A$2:$A$200=BF$1)*(Budgets!$B$2:$B$200&lt;EDATE($A288,1))),Budgets!$C$2:$C$200),0))</f>
        <v/>
      </c>
      <c r="BG288" s="23">
        <f>IF(OR(BG$1="",$BM288=0),"",IFERROR(LOOKUP(2,1/((Budgets!$A$2:$A$200=BG$1)*(Budgets!$B$2:$B$200&lt;EDATE($A288,1))),Budgets!$C$2:$C$200),0))</f>
        <v/>
      </c>
      <c r="BH288" s="23">
        <f>IF(OR(BH$1="",$BM288=0),"",IFERROR(LOOKUP(2,1/((Budgets!$A$2:$A$200=BH$1)*(Budgets!$B$2:$B$200&lt;EDATE($A288,1))),Budgets!$C$2:$C$200),0))</f>
        <v/>
      </c>
      <c r="BI288" s="23">
        <f>IF(OR(BI$1="",$BM288=0),"",IFERROR(LOOKUP(2,1/((Budgets!$A$2:$A$200=BI$1)*(Budgets!$B$2:$B$200&lt;EDATE($A288,1))),Budgets!$C$2:$C$200),0))</f>
        <v/>
      </c>
      <c r="BJ288" s="23">
        <f>IF(OR(BJ$1="",$BM288=0),"",IFERROR(LOOKUP(2,1/((Budgets!$A$2:$A$200=BJ$1)*(Budgets!$B$2:$B$200&lt;EDATE($A288,1))),Budgets!$C$2:$C$200),0))</f>
        <v/>
      </c>
      <c r="BK288" s="23">
        <f>IF(OR(BK$1="",$BM288=0),"",IFERROR(LOOKUP(2,1/((Budgets!$A$2:$A$200=BK$1)*(Budgets!$B$2:$B$200&lt;EDATE($A288,1))),Budgets!$C$2:$C$200),0))</f>
        <v/>
      </c>
      <c r="BM288" s="21">
        <f>COUNTIFS(Entries!$A$2:$A$5000,"&gt;="&amp;$A288,Entries!$A$2:$A$5000,"&lt;"&amp;EDATE($A288,1))</f>
        <v/>
      </c>
    </row>
    <row r="289">
      <c r="A289" s="22" t="n">
        <v>48183</v>
      </c>
      <c r="B289" s="23">
        <f>IF($BM289=0,NA(),SUMIFS(Entries!$E$2:$E$5000,Entries!$C$2:$C$5000,"Income",Entries!$A$2:$A$5000,"&gt;="&amp;$A289,Entries!$A$2:$A$5000,"&lt;"&amp;EDATE($A289,1)))</f>
        <v/>
      </c>
      <c r="C289" s="23">
        <f>IF($BM289=0,"",SUMIFS(Entries!$E$2:$E$5000,Entries!$C$2:$C$5000,"Actual",Entries!$A$2:$A$5000,"&gt;="&amp;$A289,Entries!$A$2:$A$5000,"&lt;"&amp;EDATE($A289,1)))</f>
        <v/>
      </c>
      <c r="D289" s="23">
        <f>IF($BM289=0,"",SUMIFS(Entries!$E$2:$E$5000,Entries!$C$2:$C$5000,"One-off",Entries!$A$2:$A$5000,"&gt;="&amp;$A289,Entries!$A$2:$A$5000,"&lt;"&amp;EDATE($A289,1)))</f>
        <v/>
      </c>
      <c r="E289" s="23">
        <f>IF($BM289=0,NA(),C289+D289)</f>
        <v/>
      </c>
      <c r="F289" s="23">
        <f>IF($BM289=0,"",SUM(AR289:BK289))</f>
        <v/>
      </c>
      <c r="G289" s="23">
        <f>IF($BM289=0,"",B289-E289)</f>
        <v/>
      </c>
      <c r="H289" s="23">
        <f>IF($BM289=0,"",SUM($G$2:G289))</f>
        <v/>
      </c>
      <c r="I289" s="23">
        <f>IF($BM289=0,"",SUMIFS(Entries!$G$2:$G$5000,Entries!$A$2:$A$5000,"&gt;="&amp;$A289,Entries!$A$2:$A$5000,"&lt;"&amp;EDATE($A289,1)))</f>
        <v/>
      </c>
      <c r="J289" s="23">
        <f>IF($BM289=0,NA(),H289)</f>
        <v/>
      </c>
      <c r="K289" s="23">
        <f>IF($BM289=0,"",SUMIFS(Entries!$E$2:$E$5000,Entries!$C$2:$C$5000,"Income",Entries!$A$2:$A$5000,"&gt;="&amp;EDATE($A289,-11),Entries!$A$2:$A$5000,"&lt;"&amp;EDATE($A289,1))/COUNTIFS($A$2:$A$400,"&gt;="&amp;EDATE($A289,-11),$A$2:$A$400,"&lt;"&amp;EDATE($A289,1),$BM$2:$BM$400,"&gt;0"))</f>
      </c>
      <c r="L289" s="23">
        <f>IF($BM289=0,"",(SUMIFS(Entries!$E$2:$E$5000,Entries!$C$2:$C$5000,"Actual",Entries!$A$2:$A$5000,"&gt;="&amp;EDATE($A289,-11),Entries!$A$2:$A$5000,"&lt;"&amp;EDATE($A289,1))+SUMIFS(Entries!$E$2:$E$5000,Entries!$C$2:$C$5000,"One-off",Entries!$A$2:$A$5000,"&gt;="&amp;EDATE($A289,-11),Entries!$A$2:$A$5000,"&lt;"&amp;EDATE($A289,1)))/COUNTIFS($A$2:$A$400,"&gt;="&amp;EDATE($A289,-11),$A$2:$A$400,"&lt;"&amp;EDATE($A289,1),$BM$2:$BM$400,"&gt;0"))</f>
      </c>
      <c r="M289" s="24">
        <f>IF($BM289=0,NA(),IFERROR((K289-L289)/K289,0))</f>
        <v/>
      </c>
      <c r="N289" s="23">
        <f>IF($BM289=0,NA(),SUMIFS(Entries!$E$2:$E$5000,Entries!$D$2:$D$5000,"Core",Entries!$A$2:$A$5000,"&gt;="&amp;$A289,Entries!$A$2:$A$5000,"&lt;"&amp;EDATE($A289,1)))</f>
        <v/>
      </c>
      <c r="O289" s="23">
        <f>IF($BM289=0,NA(),SUMIFS(Entries!$E$2:$E$5000,Entries!$D$2:$D$5000,"Over &amp; above",Entries!$A$2:$A$5000,"&gt;="&amp;$A289,Entries!$A$2:$A$5000,"&lt;"&amp;EDATE($A289,1)))</f>
        <v/>
      </c>
      <c r="P289" s="23">
        <f>IF($BM289=0,NA(),SUMIFS(Entries!$E$2:$E$5000,Entries!$D$2:$D$5000,"One-off",Entries!$A$2:$A$5000,"&gt;="&amp;$A289,Entries!$A$2:$A$5000,"&lt;"&amp;EDATE($A289,1)))</f>
        <v/>
      </c>
      <c r="Q289" s="23">
        <f>IF($BM289=0,NA(),SUMIFS(Entries!$E$2:$E$5000,Entries!$D$2:$D$5000,"Reimbursable",Entries!$A$2:$A$5000,"&gt;="&amp;$A289,Entries!$A$2:$A$5000,"&lt;"&amp;EDATE($A289,1)))</f>
        <v/>
      </c>
      <c r="R289" s="23">
        <f>IF($BM289=0,NA(),SUMIFS(Entries!$E$2:$E$5000,Entries!$D$2:$D$5000,"Investment",Entries!$A$2:$A$5000,"&gt;="&amp;$A289,Entries!$A$2:$A$5000,"&lt;"&amp;EDATE($A289,1)))</f>
        <v/>
      </c>
      <c r="S289" s="23">
        <f>IF($BM289=0,NA(),N289+O289)</f>
        <v/>
      </c>
      <c r="T289" s="23">
        <f>IF($BM289=0,"",E289-Q289)</f>
        <v/>
      </c>
      <c r="W289" s="23">
        <f>IF(OR(W$1="",$BM289=0),"",SUMIFS(Entries!$E$2:$E$5000,Entries!$C$2:$C$5000,"Actual",Entries!$A$2:$A$5000,"&gt;="&amp;$A289,Entries!$A$2:$A$5000,"&lt;"&amp;EDATE($A289,1),Entries!$B$2:$B$5000,W$1))</f>
        <v/>
      </c>
      <c r="X289" s="23">
        <f>IF(OR(X$1="",$BM289=0),"",SUMIFS(Entries!$E$2:$E$5000,Entries!$C$2:$C$5000,"Actual",Entries!$A$2:$A$5000,"&gt;="&amp;$A289,Entries!$A$2:$A$5000,"&lt;"&amp;EDATE($A289,1),Entries!$B$2:$B$5000,X$1))</f>
        <v/>
      </c>
      <c r="Y289" s="23">
        <f>IF(OR(Y$1="",$BM289=0),"",SUMIFS(Entries!$E$2:$E$5000,Entries!$C$2:$C$5000,"Actual",Entries!$A$2:$A$5000,"&gt;="&amp;$A289,Entries!$A$2:$A$5000,"&lt;"&amp;EDATE($A289,1),Entries!$B$2:$B$5000,Y$1))</f>
        <v/>
      </c>
      <c r="Z289" s="23">
        <f>IF(OR(Z$1="",$BM289=0),"",SUMIFS(Entries!$E$2:$E$5000,Entries!$C$2:$C$5000,"Actual",Entries!$A$2:$A$5000,"&gt;="&amp;$A289,Entries!$A$2:$A$5000,"&lt;"&amp;EDATE($A289,1),Entries!$B$2:$B$5000,Z$1))</f>
        <v/>
      </c>
      <c r="AA289" s="23">
        <f>IF(OR(AA$1="",$BM289=0),"",SUMIFS(Entries!$E$2:$E$5000,Entries!$C$2:$C$5000,"Actual",Entries!$A$2:$A$5000,"&gt;="&amp;$A289,Entries!$A$2:$A$5000,"&lt;"&amp;EDATE($A289,1),Entries!$B$2:$B$5000,AA$1))</f>
        <v/>
      </c>
      <c r="AB289" s="23">
        <f>IF(OR(AB$1="",$BM289=0),"",SUMIFS(Entries!$E$2:$E$5000,Entries!$C$2:$C$5000,"Actual",Entries!$A$2:$A$5000,"&gt;="&amp;$A289,Entries!$A$2:$A$5000,"&lt;"&amp;EDATE($A289,1),Entries!$B$2:$B$5000,AB$1))</f>
        <v/>
      </c>
      <c r="AC289" s="23">
        <f>IF(OR(AC$1="",$BM289=0),"",SUMIFS(Entries!$E$2:$E$5000,Entries!$C$2:$C$5000,"Actual",Entries!$A$2:$A$5000,"&gt;="&amp;$A289,Entries!$A$2:$A$5000,"&lt;"&amp;EDATE($A289,1),Entries!$B$2:$B$5000,AC$1))</f>
        <v/>
      </c>
      <c r="AD289" s="23">
        <f>IF(OR(AD$1="",$BM289=0),"",SUMIFS(Entries!$E$2:$E$5000,Entries!$C$2:$C$5000,"Actual",Entries!$A$2:$A$5000,"&gt;="&amp;$A289,Entries!$A$2:$A$5000,"&lt;"&amp;EDATE($A289,1),Entries!$B$2:$B$5000,AD$1))</f>
        <v/>
      </c>
      <c r="AE289" s="23">
        <f>IF(OR(AE$1="",$BM289=0),"",SUMIFS(Entries!$E$2:$E$5000,Entries!$C$2:$C$5000,"Actual",Entries!$A$2:$A$5000,"&gt;="&amp;$A289,Entries!$A$2:$A$5000,"&lt;"&amp;EDATE($A289,1),Entries!$B$2:$B$5000,AE$1))</f>
        <v/>
      </c>
      <c r="AF289" s="23">
        <f>IF(OR(AF$1="",$BM289=0),"",SUMIFS(Entries!$E$2:$E$5000,Entries!$C$2:$C$5000,"Actual",Entries!$A$2:$A$5000,"&gt;="&amp;$A289,Entries!$A$2:$A$5000,"&lt;"&amp;EDATE($A289,1),Entries!$B$2:$B$5000,AF$1))</f>
        <v/>
      </c>
      <c r="AG289" s="23">
        <f>IF(OR(AG$1="",$BM289=0),"",SUMIFS(Entries!$E$2:$E$5000,Entries!$C$2:$C$5000,"Actual",Entries!$A$2:$A$5000,"&gt;="&amp;$A289,Entries!$A$2:$A$5000,"&lt;"&amp;EDATE($A289,1),Entries!$B$2:$B$5000,AG$1))</f>
        <v/>
      </c>
      <c r="AH289" s="23">
        <f>IF(OR(AH$1="",$BM289=0),"",SUMIFS(Entries!$E$2:$E$5000,Entries!$C$2:$C$5000,"Actual",Entries!$A$2:$A$5000,"&gt;="&amp;$A289,Entries!$A$2:$A$5000,"&lt;"&amp;EDATE($A289,1),Entries!$B$2:$B$5000,AH$1))</f>
        <v/>
      </c>
      <c r="AI289" s="23">
        <f>IF(OR(AI$1="",$BM289=0),"",SUMIFS(Entries!$E$2:$E$5000,Entries!$C$2:$C$5000,"Actual",Entries!$A$2:$A$5000,"&gt;="&amp;$A289,Entries!$A$2:$A$5000,"&lt;"&amp;EDATE($A289,1),Entries!$B$2:$B$5000,AI$1))</f>
        <v/>
      </c>
      <c r="AJ289" s="23">
        <f>IF(OR(AJ$1="",$BM289=0),"",SUMIFS(Entries!$E$2:$E$5000,Entries!$C$2:$C$5000,"Actual",Entries!$A$2:$A$5000,"&gt;="&amp;$A289,Entries!$A$2:$A$5000,"&lt;"&amp;EDATE($A289,1),Entries!$B$2:$B$5000,AJ$1))</f>
        <v/>
      </c>
      <c r="AK289" s="23">
        <f>IF(OR(AK$1="",$BM289=0),"",SUMIFS(Entries!$E$2:$E$5000,Entries!$C$2:$C$5000,"Actual",Entries!$A$2:$A$5000,"&gt;="&amp;$A289,Entries!$A$2:$A$5000,"&lt;"&amp;EDATE($A289,1),Entries!$B$2:$B$5000,AK$1))</f>
        <v/>
      </c>
      <c r="AL289" s="23">
        <f>IF(OR(AL$1="",$BM289=0),"",SUMIFS(Entries!$E$2:$E$5000,Entries!$C$2:$C$5000,"Actual",Entries!$A$2:$A$5000,"&gt;="&amp;$A289,Entries!$A$2:$A$5000,"&lt;"&amp;EDATE($A289,1),Entries!$B$2:$B$5000,AL$1))</f>
        <v/>
      </c>
      <c r="AM289" s="23">
        <f>IF(OR(AM$1="",$BM289=0),"",SUMIFS(Entries!$E$2:$E$5000,Entries!$C$2:$C$5000,"Actual",Entries!$A$2:$A$5000,"&gt;="&amp;$A289,Entries!$A$2:$A$5000,"&lt;"&amp;EDATE($A289,1),Entries!$B$2:$B$5000,AM$1))</f>
        <v/>
      </c>
      <c r="AN289" s="23">
        <f>IF(OR(AN$1="",$BM289=0),"",SUMIFS(Entries!$E$2:$E$5000,Entries!$C$2:$C$5000,"Actual",Entries!$A$2:$A$5000,"&gt;="&amp;$A289,Entries!$A$2:$A$5000,"&lt;"&amp;EDATE($A289,1),Entries!$B$2:$B$5000,AN$1))</f>
        <v/>
      </c>
      <c r="AO289" s="23">
        <f>IF(OR(AO$1="",$BM289=0),"",SUMIFS(Entries!$E$2:$E$5000,Entries!$C$2:$C$5000,"Actual",Entries!$A$2:$A$5000,"&gt;="&amp;$A289,Entries!$A$2:$A$5000,"&lt;"&amp;EDATE($A289,1),Entries!$B$2:$B$5000,AO$1))</f>
        <v/>
      </c>
      <c r="AP289" s="23">
        <f>IF(OR(AP$1="",$BM289=0),"",SUMIFS(Entries!$E$2:$E$5000,Entries!$C$2:$C$5000,"Actual",Entries!$A$2:$A$5000,"&gt;="&amp;$A289,Entries!$A$2:$A$5000,"&lt;"&amp;EDATE($A289,1),Entries!$B$2:$B$5000,AP$1))</f>
        <v/>
      </c>
      <c r="AR289" s="23">
        <f>IF(OR(AR$1="",$BM289=0),"",IFERROR(LOOKUP(2,1/((Budgets!$A$2:$A$200=AR$1)*(Budgets!$B$2:$B$200&lt;EDATE($A289,1))),Budgets!$C$2:$C$200),0))</f>
        <v/>
      </c>
      <c r="AS289" s="23">
        <f>IF(OR(AS$1="",$BM289=0),"",IFERROR(LOOKUP(2,1/((Budgets!$A$2:$A$200=AS$1)*(Budgets!$B$2:$B$200&lt;EDATE($A289,1))),Budgets!$C$2:$C$200),0))</f>
        <v/>
      </c>
      <c r="AT289" s="23">
        <f>IF(OR(AT$1="",$BM289=0),"",IFERROR(LOOKUP(2,1/((Budgets!$A$2:$A$200=AT$1)*(Budgets!$B$2:$B$200&lt;EDATE($A289,1))),Budgets!$C$2:$C$200),0))</f>
        <v/>
      </c>
      <c r="AU289" s="23">
        <f>IF(OR(AU$1="",$BM289=0),"",IFERROR(LOOKUP(2,1/((Budgets!$A$2:$A$200=AU$1)*(Budgets!$B$2:$B$200&lt;EDATE($A289,1))),Budgets!$C$2:$C$200),0))</f>
        <v/>
      </c>
      <c r="AV289" s="23">
        <f>IF(OR(AV$1="",$BM289=0),"",IFERROR(LOOKUP(2,1/((Budgets!$A$2:$A$200=AV$1)*(Budgets!$B$2:$B$200&lt;EDATE($A289,1))),Budgets!$C$2:$C$200),0))</f>
        <v/>
      </c>
      <c r="AW289" s="23">
        <f>IF(OR(AW$1="",$BM289=0),"",IFERROR(LOOKUP(2,1/((Budgets!$A$2:$A$200=AW$1)*(Budgets!$B$2:$B$200&lt;EDATE($A289,1))),Budgets!$C$2:$C$200),0))</f>
        <v/>
      </c>
      <c r="AX289" s="23">
        <f>IF(OR(AX$1="",$BM289=0),"",IFERROR(LOOKUP(2,1/((Budgets!$A$2:$A$200=AX$1)*(Budgets!$B$2:$B$200&lt;EDATE($A289,1))),Budgets!$C$2:$C$200),0))</f>
        <v/>
      </c>
      <c r="AY289" s="23">
        <f>IF(OR(AY$1="",$BM289=0),"",IFERROR(LOOKUP(2,1/((Budgets!$A$2:$A$200=AY$1)*(Budgets!$B$2:$B$200&lt;EDATE($A289,1))),Budgets!$C$2:$C$200),0))</f>
        <v/>
      </c>
      <c r="AZ289" s="23">
        <f>IF(OR(AZ$1="",$BM289=0),"",IFERROR(LOOKUP(2,1/((Budgets!$A$2:$A$200=AZ$1)*(Budgets!$B$2:$B$200&lt;EDATE($A289,1))),Budgets!$C$2:$C$200),0))</f>
        <v/>
      </c>
      <c r="BA289" s="23">
        <f>IF(OR(BA$1="",$BM289=0),"",IFERROR(LOOKUP(2,1/((Budgets!$A$2:$A$200=BA$1)*(Budgets!$B$2:$B$200&lt;EDATE($A289,1))),Budgets!$C$2:$C$200),0))</f>
        <v/>
      </c>
      <c r="BB289" s="23">
        <f>IF(OR(BB$1="",$BM289=0),"",IFERROR(LOOKUP(2,1/((Budgets!$A$2:$A$200=BB$1)*(Budgets!$B$2:$B$200&lt;EDATE($A289,1))),Budgets!$C$2:$C$200),0))</f>
        <v/>
      </c>
      <c r="BC289" s="23">
        <f>IF(OR(BC$1="",$BM289=0),"",IFERROR(LOOKUP(2,1/((Budgets!$A$2:$A$200=BC$1)*(Budgets!$B$2:$B$200&lt;EDATE($A289,1))),Budgets!$C$2:$C$200),0))</f>
        <v/>
      </c>
      <c r="BD289" s="23">
        <f>IF(OR(BD$1="",$BM289=0),"",IFERROR(LOOKUP(2,1/((Budgets!$A$2:$A$200=BD$1)*(Budgets!$B$2:$B$200&lt;EDATE($A289,1))),Budgets!$C$2:$C$200),0))</f>
        <v/>
      </c>
      <c r="BE289" s="23">
        <f>IF(OR(BE$1="",$BM289=0),"",IFERROR(LOOKUP(2,1/((Budgets!$A$2:$A$200=BE$1)*(Budgets!$B$2:$B$200&lt;EDATE($A289,1))),Budgets!$C$2:$C$200),0))</f>
        <v/>
      </c>
      <c r="BF289" s="23">
        <f>IF(OR(BF$1="",$BM289=0),"",IFERROR(LOOKUP(2,1/((Budgets!$A$2:$A$200=BF$1)*(Budgets!$B$2:$B$200&lt;EDATE($A289,1))),Budgets!$C$2:$C$200),0))</f>
        <v/>
      </c>
      <c r="BG289" s="23">
        <f>IF(OR(BG$1="",$BM289=0),"",IFERROR(LOOKUP(2,1/((Budgets!$A$2:$A$200=BG$1)*(Budgets!$B$2:$B$200&lt;EDATE($A289,1))),Budgets!$C$2:$C$200),0))</f>
        <v/>
      </c>
      <c r="BH289" s="23">
        <f>IF(OR(BH$1="",$BM289=0),"",IFERROR(LOOKUP(2,1/((Budgets!$A$2:$A$200=BH$1)*(Budgets!$B$2:$B$200&lt;EDATE($A289,1))),Budgets!$C$2:$C$200),0))</f>
        <v/>
      </c>
      <c r="BI289" s="23">
        <f>IF(OR(BI$1="",$BM289=0),"",IFERROR(LOOKUP(2,1/((Budgets!$A$2:$A$200=BI$1)*(Budgets!$B$2:$B$200&lt;EDATE($A289,1))),Budgets!$C$2:$C$200),0))</f>
        <v/>
      </c>
      <c r="BJ289" s="23">
        <f>IF(OR(BJ$1="",$BM289=0),"",IFERROR(LOOKUP(2,1/((Budgets!$A$2:$A$200=BJ$1)*(Budgets!$B$2:$B$200&lt;EDATE($A289,1))),Budgets!$C$2:$C$200),0))</f>
        <v/>
      </c>
      <c r="BK289" s="23">
        <f>IF(OR(BK$1="",$BM289=0),"",IFERROR(LOOKUP(2,1/((Budgets!$A$2:$A$200=BK$1)*(Budgets!$B$2:$B$200&lt;EDATE($A289,1))),Budgets!$C$2:$C$200),0))</f>
        <v/>
      </c>
      <c r="BM289" s="21">
        <f>COUNTIFS(Entries!$A$2:$A$5000,"&gt;="&amp;$A289,Entries!$A$2:$A$5000,"&lt;"&amp;EDATE($A289,1))</f>
        <v/>
      </c>
    </row>
    <row r="290">
      <c r="A290" s="22" t="n">
        <v>48214</v>
      </c>
      <c r="B290" s="23">
        <f>IF($BM290=0,NA(),SUMIFS(Entries!$E$2:$E$5000,Entries!$C$2:$C$5000,"Income",Entries!$A$2:$A$5000,"&gt;="&amp;$A290,Entries!$A$2:$A$5000,"&lt;"&amp;EDATE($A290,1)))</f>
        <v/>
      </c>
      <c r="C290" s="23">
        <f>IF($BM290=0,"",SUMIFS(Entries!$E$2:$E$5000,Entries!$C$2:$C$5000,"Actual",Entries!$A$2:$A$5000,"&gt;="&amp;$A290,Entries!$A$2:$A$5000,"&lt;"&amp;EDATE($A290,1)))</f>
        <v/>
      </c>
      <c r="D290" s="23">
        <f>IF($BM290=0,"",SUMIFS(Entries!$E$2:$E$5000,Entries!$C$2:$C$5000,"One-off",Entries!$A$2:$A$5000,"&gt;="&amp;$A290,Entries!$A$2:$A$5000,"&lt;"&amp;EDATE($A290,1)))</f>
        <v/>
      </c>
      <c r="E290" s="23">
        <f>IF($BM290=0,NA(),C290+D290)</f>
        <v/>
      </c>
      <c r="F290" s="23">
        <f>IF($BM290=0,"",SUM(AR290:BK290))</f>
        <v/>
      </c>
      <c r="G290" s="23">
        <f>IF($BM290=0,"",B290-E290)</f>
        <v/>
      </c>
      <c r="H290" s="23">
        <f>IF($BM290=0,"",SUM($G$2:G290))</f>
        <v/>
      </c>
      <c r="I290" s="23">
        <f>IF($BM290=0,"",SUMIFS(Entries!$G$2:$G$5000,Entries!$A$2:$A$5000,"&gt;="&amp;$A290,Entries!$A$2:$A$5000,"&lt;"&amp;EDATE($A290,1)))</f>
        <v/>
      </c>
      <c r="J290" s="23">
        <f>IF($BM290=0,NA(),H290)</f>
        <v/>
      </c>
      <c r="K290" s="23">
        <f>IF($BM290=0,"",SUMIFS(Entries!$E$2:$E$5000,Entries!$C$2:$C$5000,"Income",Entries!$A$2:$A$5000,"&gt;="&amp;EDATE($A290,-11),Entries!$A$2:$A$5000,"&lt;"&amp;EDATE($A290,1))/COUNTIFS($A$2:$A$400,"&gt;="&amp;EDATE($A290,-11),$A$2:$A$400,"&lt;"&amp;EDATE($A290,1),$BM$2:$BM$400,"&gt;0"))</f>
      </c>
      <c r="L290" s="23">
        <f>IF($BM290=0,"",(SUMIFS(Entries!$E$2:$E$5000,Entries!$C$2:$C$5000,"Actual",Entries!$A$2:$A$5000,"&gt;="&amp;EDATE($A290,-11),Entries!$A$2:$A$5000,"&lt;"&amp;EDATE($A290,1))+SUMIFS(Entries!$E$2:$E$5000,Entries!$C$2:$C$5000,"One-off",Entries!$A$2:$A$5000,"&gt;="&amp;EDATE($A290,-11),Entries!$A$2:$A$5000,"&lt;"&amp;EDATE($A290,1)))/COUNTIFS($A$2:$A$400,"&gt;="&amp;EDATE($A290,-11),$A$2:$A$400,"&lt;"&amp;EDATE($A290,1),$BM$2:$BM$400,"&gt;0"))</f>
      </c>
      <c r="M290" s="24">
        <f>IF($BM290=0,NA(),IFERROR((K290-L290)/K290,0))</f>
        <v/>
      </c>
      <c r="N290" s="23">
        <f>IF($BM290=0,NA(),SUMIFS(Entries!$E$2:$E$5000,Entries!$D$2:$D$5000,"Core",Entries!$A$2:$A$5000,"&gt;="&amp;$A290,Entries!$A$2:$A$5000,"&lt;"&amp;EDATE($A290,1)))</f>
        <v/>
      </c>
      <c r="O290" s="23">
        <f>IF($BM290=0,NA(),SUMIFS(Entries!$E$2:$E$5000,Entries!$D$2:$D$5000,"Over &amp; above",Entries!$A$2:$A$5000,"&gt;="&amp;$A290,Entries!$A$2:$A$5000,"&lt;"&amp;EDATE($A290,1)))</f>
        <v/>
      </c>
      <c r="P290" s="23">
        <f>IF($BM290=0,NA(),SUMIFS(Entries!$E$2:$E$5000,Entries!$D$2:$D$5000,"One-off",Entries!$A$2:$A$5000,"&gt;="&amp;$A290,Entries!$A$2:$A$5000,"&lt;"&amp;EDATE($A290,1)))</f>
        <v/>
      </c>
      <c r="Q290" s="23">
        <f>IF($BM290=0,NA(),SUMIFS(Entries!$E$2:$E$5000,Entries!$D$2:$D$5000,"Reimbursable",Entries!$A$2:$A$5000,"&gt;="&amp;$A290,Entries!$A$2:$A$5000,"&lt;"&amp;EDATE($A290,1)))</f>
        <v/>
      </c>
      <c r="R290" s="23">
        <f>IF($BM290=0,NA(),SUMIFS(Entries!$E$2:$E$5000,Entries!$D$2:$D$5000,"Investment",Entries!$A$2:$A$5000,"&gt;="&amp;$A290,Entries!$A$2:$A$5000,"&lt;"&amp;EDATE($A290,1)))</f>
        <v/>
      </c>
      <c r="S290" s="23">
        <f>IF($BM290=0,NA(),N290+O290)</f>
        <v/>
      </c>
      <c r="T290" s="23">
        <f>IF($BM290=0,"",E290-Q290)</f>
        <v/>
      </c>
      <c r="W290" s="23">
        <f>IF(OR(W$1="",$BM290=0),"",SUMIFS(Entries!$E$2:$E$5000,Entries!$C$2:$C$5000,"Actual",Entries!$A$2:$A$5000,"&gt;="&amp;$A290,Entries!$A$2:$A$5000,"&lt;"&amp;EDATE($A290,1),Entries!$B$2:$B$5000,W$1))</f>
        <v/>
      </c>
      <c r="X290" s="23">
        <f>IF(OR(X$1="",$BM290=0),"",SUMIFS(Entries!$E$2:$E$5000,Entries!$C$2:$C$5000,"Actual",Entries!$A$2:$A$5000,"&gt;="&amp;$A290,Entries!$A$2:$A$5000,"&lt;"&amp;EDATE($A290,1),Entries!$B$2:$B$5000,X$1))</f>
        <v/>
      </c>
      <c r="Y290" s="23">
        <f>IF(OR(Y$1="",$BM290=0),"",SUMIFS(Entries!$E$2:$E$5000,Entries!$C$2:$C$5000,"Actual",Entries!$A$2:$A$5000,"&gt;="&amp;$A290,Entries!$A$2:$A$5000,"&lt;"&amp;EDATE($A290,1),Entries!$B$2:$B$5000,Y$1))</f>
        <v/>
      </c>
      <c r="Z290" s="23">
        <f>IF(OR(Z$1="",$BM290=0),"",SUMIFS(Entries!$E$2:$E$5000,Entries!$C$2:$C$5000,"Actual",Entries!$A$2:$A$5000,"&gt;="&amp;$A290,Entries!$A$2:$A$5000,"&lt;"&amp;EDATE($A290,1),Entries!$B$2:$B$5000,Z$1))</f>
        <v/>
      </c>
      <c r="AA290" s="23">
        <f>IF(OR(AA$1="",$BM290=0),"",SUMIFS(Entries!$E$2:$E$5000,Entries!$C$2:$C$5000,"Actual",Entries!$A$2:$A$5000,"&gt;="&amp;$A290,Entries!$A$2:$A$5000,"&lt;"&amp;EDATE($A290,1),Entries!$B$2:$B$5000,AA$1))</f>
        <v/>
      </c>
      <c r="AB290" s="23">
        <f>IF(OR(AB$1="",$BM290=0),"",SUMIFS(Entries!$E$2:$E$5000,Entries!$C$2:$C$5000,"Actual",Entries!$A$2:$A$5000,"&gt;="&amp;$A290,Entries!$A$2:$A$5000,"&lt;"&amp;EDATE($A290,1),Entries!$B$2:$B$5000,AB$1))</f>
        <v/>
      </c>
      <c r="AC290" s="23">
        <f>IF(OR(AC$1="",$BM290=0),"",SUMIFS(Entries!$E$2:$E$5000,Entries!$C$2:$C$5000,"Actual",Entries!$A$2:$A$5000,"&gt;="&amp;$A290,Entries!$A$2:$A$5000,"&lt;"&amp;EDATE($A290,1),Entries!$B$2:$B$5000,AC$1))</f>
        <v/>
      </c>
      <c r="AD290" s="23">
        <f>IF(OR(AD$1="",$BM290=0),"",SUMIFS(Entries!$E$2:$E$5000,Entries!$C$2:$C$5000,"Actual",Entries!$A$2:$A$5000,"&gt;="&amp;$A290,Entries!$A$2:$A$5000,"&lt;"&amp;EDATE($A290,1),Entries!$B$2:$B$5000,AD$1))</f>
        <v/>
      </c>
      <c r="AE290" s="23">
        <f>IF(OR(AE$1="",$BM290=0),"",SUMIFS(Entries!$E$2:$E$5000,Entries!$C$2:$C$5000,"Actual",Entries!$A$2:$A$5000,"&gt;="&amp;$A290,Entries!$A$2:$A$5000,"&lt;"&amp;EDATE($A290,1),Entries!$B$2:$B$5000,AE$1))</f>
        <v/>
      </c>
      <c r="AF290" s="23">
        <f>IF(OR(AF$1="",$BM290=0),"",SUMIFS(Entries!$E$2:$E$5000,Entries!$C$2:$C$5000,"Actual",Entries!$A$2:$A$5000,"&gt;="&amp;$A290,Entries!$A$2:$A$5000,"&lt;"&amp;EDATE($A290,1),Entries!$B$2:$B$5000,AF$1))</f>
        <v/>
      </c>
      <c r="AG290" s="23">
        <f>IF(OR(AG$1="",$BM290=0),"",SUMIFS(Entries!$E$2:$E$5000,Entries!$C$2:$C$5000,"Actual",Entries!$A$2:$A$5000,"&gt;="&amp;$A290,Entries!$A$2:$A$5000,"&lt;"&amp;EDATE($A290,1),Entries!$B$2:$B$5000,AG$1))</f>
        <v/>
      </c>
      <c r="AH290" s="23">
        <f>IF(OR(AH$1="",$BM290=0),"",SUMIFS(Entries!$E$2:$E$5000,Entries!$C$2:$C$5000,"Actual",Entries!$A$2:$A$5000,"&gt;="&amp;$A290,Entries!$A$2:$A$5000,"&lt;"&amp;EDATE($A290,1),Entries!$B$2:$B$5000,AH$1))</f>
        <v/>
      </c>
      <c r="AI290" s="23">
        <f>IF(OR(AI$1="",$BM290=0),"",SUMIFS(Entries!$E$2:$E$5000,Entries!$C$2:$C$5000,"Actual",Entries!$A$2:$A$5000,"&gt;="&amp;$A290,Entries!$A$2:$A$5000,"&lt;"&amp;EDATE($A290,1),Entries!$B$2:$B$5000,AI$1))</f>
        <v/>
      </c>
      <c r="AJ290" s="23">
        <f>IF(OR(AJ$1="",$BM290=0),"",SUMIFS(Entries!$E$2:$E$5000,Entries!$C$2:$C$5000,"Actual",Entries!$A$2:$A$5000,"&gt;="&amp;$A290,Entries!$A$2:$A$5000,"&lt;"&amp;EDATE($A290,1),Entries!$B$2:$B$5000,AJ$1))</f>
        <v/>
      </c>
      <c r="AK290" s="23">
        <f>IF(OR(AK$1="",$BM290=0),"",SUMIFS(Entries!$E$2:$E$5000,Entries!$C$2:$C$5000,"Actual",Entries!$A$2:$A$5000,"&gt;="&amp;$A290,Entries!$A$2:$A$5000,"&lt;"&amp;EDATE($A290,1),Entries!$B$2:$B$5000,AK$1))</f>
        <v/>
      </c>
      <c r="AL290" s="23">
        <f>IF(OR(AL$1="",$BM290=0),"",SUMIFS(Entries!$E$2:$E$5000,Entries!$C$2:$C$5000,"Actual",Entries!$A$2:$A$5000,"&gt;="&amp;$A290,Entries!$A$2:$A$5000,"&lt;"&amp;EDATE($A290,1),Entries!$B$2:$B$5000,AL$1))</f>
        <v/>
      </c>
      <c r="AM290" s="23">
        <f>IF(OR(AM$1="",$BM290=0),"",SUMIFS(Entries!$E$2:$E$5000,Entries!$C$2:$C$5000,"Actual",Entries!$A$2:$A$5000,"&gt;="&amp;$A290,Entries!$A$2:$A$5000,"&lt;"&amp;EDATE($A290,1),Entries!$B$2:$B$5000,AM$1))</f>
        <v/>
      </c>
      <c r="AN290" s="23">
        <f>IF(OR(AN$1="",$BM290=0),"",SUMIFS(Entries!$E$2:$E$5000,Entries!$C$2:$C$5000,"Actual",Entries!$A$2:$A$5000,"&gt;="&amp;$A290,Entries!$A$2:$A$5000,"&lt;"&amp;EDATE($A290,1),Entries!$B$2:$B$5000,AN$1))</f>
        <v/>
      </c>
      <c r="AO290" s="23">
        <f>IF(OR(AO$1="",$BM290=0),"",SUMIFS(Entries!$E$2:$E$5000,Entries!$C$2:$C$5000,"Actual",Entries!$A$2:$A$5000,"&gt;="&amp;$A290,Entries!$A$2:$A$5000,"&lt;"&amp;EDATE($A290,1),Entries!$B$2:$B$5000,AO$1))</f>
        <v/>
      </c>
      <c r="AP290" s="23">
        <f>IF(OR(AP$1="",$BM290=0),"",SUMIFS(Entries!$E$2:$E$5000,Entries!$C$2:$C$5000,"Actual",Entries!$A$2:$A$5000,"&gt;="&amp;$A290,Entries!$A$2:$A$5000,"&lt;"&amp;EDATE($A290,1),Entries!$B$2:$B$5000,AP$1))</f>
        <v/>
      </c>
      <c r="AR290" s="23">
        <f>IF(OR(AR$1="",$BM290=0),"",IFERROR(LOOKUP(2,1/((Budgets!$A$2:$A$200=AR$1)*(Budgets!$B$2:$B$200&lt;EDATE($A290,1))),Budgets!$C$2:$C$200),0))</f>
        <v/>
      </c>
      <c r="AS290" s="23">
        <f>IF(OR(AS$1="",$BM290=0),"",IFERROR(LOOKUP(2,1/((Budgets!$A$2:$A$200=AS$1)*(Budgets!$B$2:$B$200&lt;EDATE($A290,1))),Budgets!$C$2:$C$200),0))</f>
        <v/>
      </c>
      <c r="AT290" s="23">
        <f>IF(OR(AT$1="",$BM290=0),"",IFERROR(LOOKUP(2,1/((Budgets!$A$2:$A$200=AT$1)*(Budgets!$B$2:$B$200&lt;EDATE($A290,1))),Budgets!$C$2:$C$200),0))</f>
        <v/>
      </c>
      <c r="AU290" s="23">
        <f>IF(OR(AU$1="",$BM290=0),"",IFERROR(LOOKUP(2,1/((Budgets!$A$2:$A$200=AU$1)*(Budgets!$B$2:$B$200&lt;EDATE($A290,1))),Budgets!$C$2:$C$200),0))</f>
        <v/>
      </c>
      <c r="AV290" s="23">
        <f>IF(OR(AV$1="",$BM290=0),"",IFERROR(LOOKUP(2,1/((Budgets!$A$2:$A$200=AV$1)*(Budgets!$B$2:$B$200&lt;EDATE($A290,1))),Budgets!$C$2:$C$200),0))</f>
        <v/>
      </c>
      <c r="AW290" s="23">
        <f>IF(OR(AW$1="",$BM290=0),"",IFERROR(LOOKUP(2,1/((Budgets!$A$2:$A$200=AW$1)*(Budgets!$B$2:$B$200&lt;EDATE($A290,1))),Budgets!$C$2:$C$200),0))</f>
        <v/>
      </c>
      <c r="AX290" s="23">
        <f>IF(OR(AX$1="",$BM290=0),"",IFERROR(LOOKUP(2,1/((Budgets!$A$2:$A$200=AX$1)*(Budgets!$B$2:$B$200&lt;EDATE($A290,1))),Budgets!$C$2:$C$200),0))</f>
        <v/>
      </c>
      <c r="AY290" s="23">
        <f>IF(OR(AY$1="",$BM290=0),"",IFERROR(LOOKUP(2,1/((Budgets!$A$2:$A$200=AY$1)*(Budgets!$B$2:$B$200&lt;EDATE($A290,1))),Budgets!$C$2:$C$200),0))</f>
        <v/>
      </c>
      <c r="AZ290" s="23">
        <f>IF(OR(AZ$1="",$BM290=0),"",IFERROR(LOOKUP(2,1/((Budgets!$A$2:$A$200=AZ$1)*(Budgets!$B$2:$B$200&lt;EDATE($A290,1))),Budgets!$C$2:$C$200),0))</f>
        <v/>
      </c>
      <c r="BA290" s="23">
        <f>IF(OR(BA$1="",$BM290=0),"",IFERROR(LOOKUP(2,1/((Budgets!$A$2:$A$200=BA$1)*(Budgets!$B$2:$B$200&lt;EDATE($A290,1))),Budgets!$C$2:$C$200),0))</f>
        <v/>
      </c>
      <c r="BB290" s="23">
        <f>IF(OR(BB$1="",$BM290=0),"",IFERROR(LOOKUP(2,1/((Budgets!$A$2:$A$200=BB$1)*(Budgets!$B$2:$B$200&lt;EDATE($A290,1))),Budgets!$C$2:$C$200),0))</f>
        <v/>
      </c>
      <c r="BC290" s="23">
        <f>IF(OR(BC$1="",$BM290=0),"",IFERROR(LOOKUP(2,1/((Budgets!$A$2:$A$200=BC$1)*(Budgets!$B$2:$B$200&lt;EDATE($A290,1))),Budgets!$C$2:$C$200),0))</f>
        <v/>
      </c>
      <c r="BD290" s="23">
        <f>IF(OR(BD$1="",$BM290=0),"",IFERROR(LOOKUP(2,1/((Budgets!$A$2:$A$200=BD$1)*(Budgets!$B$2:$B$200&lt;EDATE($A290,1))),Budgets!$C$2:$C$200),0))</f>
        <v/>
      </c>
      <c r="BE290" s="23">
        <f>IF(OR(BE$1="",$BM290=0),"",IFERROR(LOOKUP(2,1/((Budgets!$A$2:$A$200=BE$1)*(Budgets!$B$2:$B$200&lt;EDATE($A290,1))),Budgets!$C$2:$C$200),0))</f>
        <v/>
      </c>
      <c r="BF290" s="23">
        <f>IF(OR(BF$1="",$BM290=0),"",IFERROR(LOOKUP(2,1/((Budgets!$A$2:$A$200=BF$1)*(Budgets!$B$2:$B$200&lt;EDATE($A290,1))),Budgets!$C$2:$C$200),0))</f>
        <v/>
      </c>
      <c r="BG290" s="23">
        <f>IF(OR(BG$1="",$BM290=0),"",IFERROR(LOOKUP(2,1/((Budgets!$A$2:$A$200=BG$1)*(Budgets!$B$2:$B$200&lt;EDATE($A290,1))),Budgets!$C$2:$C$200),0))</f>
        <v/>
      </c>
      <c r="BH290" s="23">
        <f>IF(OR(BH$1="",$BM290=0),"",IFERROR(LOOKUP(2,1/((Budgets!$A$2:$A$200=BH$1)*(Budgets!$B$2:$B$200&lt;EDATE($A290,1))),Budgets!$C$2:$C$200),0))</f>
        <v/>
      </c>
      <c r="BI290" s="23">
        <f>IF(OR(BI$1="",$BM290=0),"",IFERROR(LOOKUP(2,1/((Budgets!$A$2:$A$200=BI$1)*(Budgets!$B$2:$B$200&lt;EDATE($A290,1))),Budgets!$C$2:$C$200),0))</f>
        <v/>
      </c>
      <c r="BJ290" s="23">
        <f>IF(OR(BJ$1="",$BM290=0),"",IFERROR(LOOKUP(2,1/((Budgets!$A$2:$A$200=BJ$1)*(Budgets!$B$2:$B$200&lt;EDATE($A290,1))),Budgets!$C$2:$C$200),0))</f>
        <v/>
      </c>
      <c r="BK290" s="23">
        <f>IF(OR(BK$1="",$BM290=0),"",IFERROR(LOOKUP(2,1/((Budgets!$A$2:$A$200=BK$1)*(Budgets!$B$2:$B$200&lt;EDATE($A290,1))),Budgets!$C$2:$C$200),0))</f>
        <v/>
      </c>
      <c r="BM290" s="21">
        <f>COUNTIFS(Entries!$A$2:$A$5000,"&gt;="&amp;$A290,Entries!$A$2:$A$5000,"&lt;"&amp;EDATE($A290,1))</f>
        <v/>
      </c>
    </row>
    <row r="291">
      <c r="A291" s="22" t="n">
        <v>48245</v>
      </c>
      <c r="B291" s="23">
        <f>IF($BM291=0,NA(),SUMIFS(Entries!$E$2:$E$5000,Entries!$C$2:$C$5000,"Income",Entries!$A$2:$A$5000,"&gt;="&amp;$A291,Entries!$A$2:$A$5000,"&lt;"&amp;EDATE($A291,1)))</f>
        <v/>
      </c>
      <c r="C291" s="23">
        <f>IF($BM291=0,"",SUMIFS(Entries!$E$2:$E$5000,Entries!$C$2:$C$5000,"Actual",Entries!$A$2:$A$5000,"&gt;="&amp;$A291,Entries!$A$2:$A$5000,"&lt;"&amp;EDATE($A291,1)))</f>
        <v/>
      </c>
      <c r="D291" s="23">
        <f>IF($BM291=0,"",SUMIFS(Entries!$E$2:$E$5000,Entries!$C$2:$C$5000,"One-off",Entries!$A$2:$A$5000,"&gt;="&amp;$A291,Entries!$A$2:$A$5000,"&lt;"&amp;EDATE($A291,1)))</f>
        <v/>
      </c>
      <c r="E291" s="23">
        <f>IF($BM291=0,NA(),C291+D291)</f>
        <v/>
      </c>
      <c r="F291" s="23">
        <f>IF($BM291=0,"",SUM(AR291:BK291))</f>
        <v/>
      </c>
      <c r="G291" s="23">
        <f>IF($BM291=0,"",B291-E291)</f>
        <v/>
      </c>
      <c r="H291" s="23">
        <f>IF($BM291=0,"",SUM($G$2:G291))</f>
        <v/>
      </c>
      <c r="I291" s="23">
        <f>IF($BM291=0,"",SUMIFS(Entries!$G$2:$G$5000,Entries!$A$2:$A$5000,"&gt;="&amp;$A291,Entries!$A$2:$A$5000,"&lt;"&amp;EDATE($A291,1)))</f>
        <v/>
      </c>
      <c r="J291" s="23">
        <f>IF($BM291=0,NA(),H291)</f>
        <v/>
      </c>
      <c r="K291" s="23">
        <f>IF($BM291=0,"",SUMIFS(Entries!$E$2:$E$5000,Entries!$C$2:$C$5000,"Income",Entries!$A$2:$A$5000,"&gt;="&amp;EDATE($A291,-11),Entries!$A$2:$A$5000,"&lt;"&amp;EDATE($A291,1))/COUNTIFS($A$2:$A$400,"&gt;="&amp;EDATE($A291,-11),$A$2:$A$400,"&lt;"&amp;EDATE($A291,1),$BM$2:$BM$400,"&gt;0"))</f>
      </c>
      <c r="L291" s="23">
        <f>IF($BM291=0,"",(SUMIFS(Entries!$E$2:$E$5000,Entries!$C$2:$C$5000,"Actual",Entries!$A$2:$A$5000,"&gt;="&amp;EDATE($A291,-11),Entries!$A$2:$A$5000,"&lt;"&amp;EDATE($A291,1))+SUMIFS(Entries!$E$2:$E$5000,Entries!$C$2:$C$5000,"One-off",Entries!$A$2:$A$5000,"&gt;="&amp;EDATE($A291,-11),Entries!$A$2:$A$5000,"&lt;"&amp;EDATE($A291,1)))/COUNTIFS($A$2:$A$400,"&gt;="&amp;EDATE($A291,-11),$A$2:$A$400,"&lt;"&amp;EDATE($A291,1),$BM$2:$BM$400,"&gt;0"))</f>
      </c>
      <c r="M291" s="24">
        <f>IF($BM291=0,NA(),IFERROR((K291-L291)/K291,0))</f>
        <v/>
      </c>
      <c r="N291" s="23">
        <f>IF($BM291=0,NA(),SUMIFS(Entries!$E$2:$E$5000,Entries!$D$2:$D$5000,"Core",Entries!$A$2:$A$5000,"&gt;="&amp;$A291,Entries!$A$2:$A$5000,"&lt;"&amp;EDATE($A291,1)))</f>
        <v/>
      </c>
      <c r="O291" s="23">
        <f>IF($BM291=0,NA(),SUMIFS(Entries!$E$2:$E$5000,Entries!$D$2:$D$5000,"Over &amp; above",Entries!$A$2:$A$5000,"&gt;="&amp;$A291,Entries!$A$2:$A$5000,"&lt;"&amp;EDATE($A291,1)))</f>
        <v/>
      </c>
      <c r="P291" s="23">
        <f>IF($BM291=0,NA(),SUMIFS(Entries!$E$2:$E$5000,Entries!$D$2:$D$5000,"One-off",Entries!$A$2:$A$5000,"&gt;="&amp;$A291,Entries!$A$2:$A$5000,"&lt;"&amp;EDATE($A291,1)))</f>
        <v/>
      </c>
      <c r="Q291" s="23">
        <f>IF($BM291=0,NA(),SUMIFS(Entries!$E$2:$E$5000,Entries!$D$2:$D$5000,"Reimbursable",Entries!$A$2:$A$5000,"&gt;="&amp;$A291,Entries!$A$2:$A$5000,"&lt;"&amp;EDATE($A291,1)))</f>
        <v/>
      </c>
      <c r="R291" s="23">
        <f>IF($BM291=0,NA(),SUMIFS(Entries!$E$2:$E$5000,Entries!$D$2:$D$5000,"Investment",Entries!$A$2:$A$5000,"&gt;="&amp;$A291,Entries!$A$2:$A$5000,"&lt;"&amp;EDATE($A291,1)))</f>
        <v/>
      </c>
      <c r="S291" s="23">
        <f>IF($BM291=0,NA(),N291+O291)</f>
        <v/>
      </c>
      <c r="T291" s="23">
        <f>IF($BM291=0,"",E291-Q291)</f>
        <v/>
      </c>
      <c r="W291" s="23">
        <f>IF(OR(W$1="",$BM291=0),"",SUMIFS(Entries!$E$2:$E$5000,Entries!$C$2:$C$5000,"Actual",Entries!$A$2:$A$5000,"&gt;="&amp;$A291,Entries!$A$2:$A$5000,"&lt;"&amp;EDATE($A291,1),Entries!$B$2:$B$5000,W$1))</f>
        <v/>
      </c>
      <c r="X291" s="23">
        <f>IF(OR(X$1="",$BM291=0),"",SUMIFS(Entries!$E$2:$E$5000,Entries!$C$2:$C$5000,"Actual",Entries!$A$2:$A$5000,"&gt;="&amp;$A291,Entries!$A$2:$A$5000,"&lt;"&amp;EDATE($A291,1),Entries!$B$2:$B$5000,X$1))</f>
        <v/>
      </c>
      <c r="Y291" s="23">
        <f>IF(OR(Y$1="",$BM291=0),"",SUMIFS(Entries!$E$2:$E$5000,Entries!$C$2:$C$5000,"Actual",Entries!$A$2:$A$5000,"&gt;="&amp;$A291,Entries!$A$2:$A$5000,"&lt;"&amp;EDATE($A291,1),Entries!$B$2:$B$5000,Y$1))</f>
        <v/>
      </c>
      <c r="Z291" s="23">
        <f>IF(OR(Z$1="",$BM291=0),"",SUMIFS(Entries!$E$2:$E$5000,Entries!$C$2:$C$5000,"Actual",Entries!$A$2:$A$5000,"&gt;="&amp;$A291,Entries!$A$2:$A$5000,"&lt;"&amp;EDATE($A291,1),Entries!$B$2:$B$5000,Z$1))</f>
        <v/>
      </c>
      <c r="AA291" s="23">
        <f>IF(OR(AA$1="",$BM291=0),"",SUMIFS(Entries!$E$2:$E$5000,Entries!$C$2:$C$5000,"Actual",Entries!$A$2:$A$5000,"&gt;="&amp;$A291,Entries!$A$2:$A$5000,"&lt;"&amp;EDATE($A291,1),Entries!$B$2:$B$5000,AA$1))</f>
        <v/>
      </c>
      <c r="AB291" s="23">
        <f>IF(OR(AB$1="",$BM291=0),"",SUMIFS(Entries!$E$2:$E$5000,Entries!$C$2:$C$5000,"Actual",Entries!$A$2:$A$5000,"&gt;="&amp;$A291,Entries!$A$2:$A$5000,"&lt;"&amp;EDATE($A291,1),Entries!$B$2:$B$5000,AB$1))</f>
        <v/>
      </c>
      <c r="AC291" s="23">
        <f>IF(OR(AC$1="",$BM291=0),"",SUMIFS(Entries!$E$2:$E$5000,Entries!$C$2:$C$5000,"Actual",Entries!$A$2:$A$5000,"&gt;="&amp;$A291,Entries!$A$2:$A$5000,"&lt;"&amp;EDATE($A291,1),Entries!$B$2:$B$5000,AC$1))</f>
        <v/>
      </c>
      <c r="AD291" s="23">
        <f>IF(OR(AD$1="",$BM291=0),"",SUMIFS(Entries!$E$2:$E$5000,Entries!$C$2:$C$5000,"Actual",Entries!$A$2:$A$5000,"&gt;="&amp;$A291,Entries!$A$2:$A$5000,"&lt;"&amp;EDATE($A291,1),Entries!$B$2:$B$5000,AD$1))</f>
        <v/>
      </c>
      <c r="AE291" s="23">
        <f>IF(OR(AE$1="",$BM291=0),"",SUMIFS(Entries!$E$2:$E$5000,Entries!$C$2:$C$5000,"Actual",Entries!$A$2:$A$5000,"&gt;="&amp;$A291,Entries!$A$2:$A$5000,"&lt;"&amp;EDATE($A291,1),Entries!$B$2:$B$5000,AE$1))</f>
        <v/>
      </c>
      <c r="AF291" s="23">
        <f>IF(OR(AF$1="",$BM291=0),"",SUMIFS(Entries!$E$2:$E$5000,Entries!$C$2:$C$5000,"Actual",Entries!$A$2:$A$5000,"&gt;="&amp;$A291,Entries!$A$2:$A$5000,"&lt;"&amp;EDATE($A291,1),Entries!$B$2:$B$5000,AF$1))</f>
        <v/>
      </c>
      <c r="AG291" s="23">
        <f>IF(OR(AG$1="",$BM291=0),"",SUMIFS(Entries!$E$2:$E$5000,Entries!$C$2:$C$5000,"Actual",Entries!$A$2:$A$5000,"&gt;="&amp;$A291,Entries!$A$2:$A$5000,"&lt;"&amp;EDATE($A291,1),Entries!$B$2:$B$5000,AG$1))</f>
        <v/>
      </c>
      <c r="AH291" s="23">
        <f>IF(OR(AH$1="",$BM291=0),"",SUMIFS(Entries!$E$2:$E$5000,Entries!$C$2:$C$5000,"Actual",Entries!$A$2:$A$5000,"&gt;="&amp;$A291,Entries!$A$2:$A$5000,"&lt;"&amp;EDATE($A291,1),Entries!$B$2:$B$5000,AH$1))</f>
        <v/>
      </c>
      <c r="AI291" s="23">
        <f>IF(OR(AI$1="",$BM291=0),"",SUMIFS(Entries!$E$2:$E$5000,Entries!$C$2:$C$5000,"Actual",Entries!$A$2:$A$5000,"&gt;="&amp;$A291,Entries!$A$2:$A$5000,"&lt;"&amp;EDATE($A291,1),Entries!$B$2:$B$5000,AI$1))</f>
        <v/>
      </c>
      <c r="AJ291" s="23">
        <f>IF(OR(AJ$1="",$BM291=0),"",SUMIFS(Entries!$E$2:$E$5000,Entries!$C$2:$C$5000,"Actual",Entries!$A$2:$A$5000,"&gt;="&amp;$A291,Entries!$A$2:$A$5000,"&lt;"&amp;EDATE($A291,1),Entries!$B$2:$B$5000,AJ$1))</f>
        <v/>
      </c>
      <c r="AK291" s="23">
        <f>IF(OR(AK$1="",$BM291=0),"",SUMIFS(Entries!$E$2:$E$5000,Entries!$C$2:$C$5000,"Actual",Entries!$A$2:$A$5000,"&gt;="&amp;$A291,Entries!$A$2:$A$5000,"&lt;"&amp;EDATE($A291,1),Entries!$B$2:$B$5000,AK$1))</f>
        <v/>
      </c>
      <c r="AL291" s="23">
        <f>IF(OR(AL$1="",$BM291=0),"",SUMIFS(Entries!$E$2:$E$5000,Entries!$C$2:$C$5000,"Actual",Entries!$A$2:$A$5000,"&gt;="&amp;$A291,Entries!$A$2:$A$5000,"&lt;"&amp;EDATE($A291,1),Entries!$B$2:$B$5000,AL$1))</f>
        <v/>
      </c>
      <c r="AM291" s="23">
        <f>IF(OR(AM$1="",$BM291=0),"",SUMIFS(Entries!$E$2:$E$5000,Entries!$C$2:$C$5000,"Actual",Entries!$A$2:$A$5000,"&gt;="&amp;$A291,Entries!$A$2:$A$5000,"&lt;"&amp;EDATE($A291,1),Entries!$B$2:$B$5000,AM$1))</f>
        <v/>
      </c>
      <c r="AN291" s="23">
        <f>IF(OR(AN$1="",$BM291=0),"",SUMIFS(Entries!$E$2:$E$5000,Entries!$C$2:$C$5000,"Actual",Entries!$A$2:$A$5000,"&gt;="&amp;$A291,Entries!$A$2:$A$5000,"&lt;"&amp;EDATE($A291,1),Entries!$B$2:$B$5000,AN$1))</f>
        <v/>
      </c>
      <c r="AO291" s="23">
        <f>IF(OR(AO$1="",$BM291=0),"",SUMIFS(Entries!$E$2:$E$5000,Entries!$C$2:$C$5000,"Actual",Entries!$A$2:$A$5000,"&gt;="&amp;$A291,Entries!$A$2:$A$5000,"&lt;"&amp;EDATE($A291,1),Entries!$B$2:$B$5000,AO$1))</f>
        <v/>
      </c>
      <c r="AP291" s="23">
        <f>IF(OR(AP$1="",$BM291=0),"",SUMIFS(Entries!$E$2:$E$5000,Entries!$C$2:$C$5000,"Actual",Entries!$A$2:$A$5000,"&gt;="&amp;$A291,Entries!$A$2:$A$5000,"&lt;"&amp;EDATE($A291,1),Entries!$B$2:$B$5000,AP$1))</f>
        <v/>
      </c>
      <c r="AR291" s="23">
        <f>IF(OR(AR$1="",$BM291=0),"",IFERROR(LOOKUP(2,1/((Budgets!$A$2:$A$200=AR$1)*(Budgets!$B$2:$B$200&lt;EDATE($A291,1))),Budgets!$C$2:$C$200),0))</f>
        <v/>
      </c>
      <c r="AS291" s="23">
        <f>IF(OR(AS$1="",$BM291=0),"",IFERROR(LOOKUP(2,1/((Budgets!$A$2:$A$200=AS$1)*(Budgets!$B$2:$B$200&lt;EDATE($A291,1))),Budgets!$C$2:$C$200),0))</f>
        <v/>
      </c>
      <c r="AT291" s="23">
        <f>IF(OR(AT$1="",$BM291=0),"",IFERROR(LOOKUP(2,1/((Budgets!$A$2:$A$200=AT$1)*(Budgets!$B$2:$B$200&lt;EDATE($A291,1))),Budgets!$C$2:$C$200),0))</f>
        <v/>
      </c>
      <c r="AU291" s="23">
        <f>IF(OR(AU$1="",$BM291=0),"",IFERROR(LOOKUP(2,1/((Budgets!$A$2:$A$200=AU$1)*(Budgets!$B$2:$B$200&lt;EDATE($A291,1))),Budgets!$C$2:$C$200),0))</f>
        <v/>
      </c>
      <c r="AV291" s="23">
        <f>IF(OR(AV$1="",$BM291=0),"",IFERROR(LOOKUP(2,1/((Budgets!$A$2:$A$200=AV$1)*(Budgets!$B$2:$B$200&lt;EDATE($A291,1))),Budgets!$C$2:$C$200),0))</f>
        <v/>
      </c>
      <c r="AW291" s="23">
        <f>IF(OR(AW$1="",$BM291=0),"",IFERROR(LOOKUP(2,1/((Budgets!$A$2:$A$200=AW$1)*(Budgets!$B$2:$B$200&lt;EDATE($A291,1))),Budgets!$C$2:$C$200),0))</f>
        <v/>
      </c>
      <c r="AX291" s="23">
        <f>IF(OR(AX$1="",$BM291=0),"",IFERROR(LOOKUP(2,1/((Budgets!$A$2:$A$200=AX$1)*(Budgets!$B$2:$B$200&lt;EDATE($A291,1))),Budgets!$C$2:$C$200),0))</f>
        <v/>
      </c>
      <c r="AY291" s="23">
        <f>IF(OR(AY$1="",$BM291=0),"",IFERROR(LOOKUP(2,1/((Budgets!$A$2:$A$200=AY$1)*(Budgets!$B$2:$B$200&lt;EDATE($A291,1))),Budgets!$C$2:$C$200),0))</f>
        <v/>
      </c>
      <c r="AZ291" s="23">
        <f>IF(OR(AZ$1="",$BM291=0),"",IFERROR(LOOKUP(2,1/((Budgets!$A$2:$A$200=AZ$1)*(Budgets!$B$2:$B$200&lt;EDATE($A291,1))),Budgets!$C$2:$C$200),0))</f>
        <v/>
      </c>
      <c r="BA291" s="23">
        <f>IF(OR(BA$1="",$BM291=0),"",IFERROR(LOOKUP(2,1/((Budgets!$A$2:$A$200=BA$1)*(Budgets!$B$2:$B$200&lt;EDATE($A291,1))),Budgets!$C$2:$C$200),0))</f>
        <v/>
      </c>
      <c r="BB291" s="23">
        <f>IF(OR(BB$1="",$BM291=0),"",IFERROR(LOOKUP(2,1/((Budgets!$A$2:$A$200=BB$1)*(Budgets!$B$2:$B$200&lt;EDATE($A291,1))),Budgets!$C$2:$C$200),0))</f>
        <v/>
      </c>
      <c r="BC291" s="23">
        <f>IF(OR(BC$1="",$BM291=0),"",IFERROR(LOOKUP(2,1/((Budgets!$A$2:$A$200=BC$1)*(Budgets!$B$2:$B$200&lt;EDATE($A291,1))),Budgets!$C$2:$C$200),0))</f>
        <v/>
      </c>
      <c r="BD291" s="23">
        <f>IF(OR(BD$1="",$BM291=0),"",IFERROR(LOOKUP(2,1/((Budgets!$A$2:$A$200=BD$1)*(Budgets!$B$2:$B$200&lt;EDATE($A291,1))),Budgets!$C$2:$C$200),0))</f>
        <v/>
      </c>
      <c r="BE291" s="23">
        <f>IF(OR(BE$1="",$BM291=0),"",IFERROR(LOOKUP(2,1/((Budgets!$A$2:$A$200=BE$1)*(Budgets!$B$2:$B$200&lt;EDATE($A291,1))),Budgets!$C$2:$C$200),0))</f>
        <v/>
      </c>
      <c r="BF291" s="23">
        <f>IF(OR(BF$1="",$BM291=0),"",IFERROR(LOOKUP(2,1/((Budgets!$A$2:$A$200=BF$1)*(Budgets!$B$2:$B$200&lt;EDATE($A291,1))),Budgets!$C$2:$C$200),0))</f>
        <v/>
      </c>
      <c r="BG291" s="23">
        <f>IF(OR(BG$1="",$BM291=0),"",IFERROR(LOOKUP(2,1/((Budgets!$A$2:$A$200=BG$1)*(Budgets!$B$2:$B$200&lt;EDATE($A291,1))),Budgets!$C$2:$C$200),0))</f>
        <v/>
      </c>
      <c r="BH291" s="23">
        <f>IF(OR(BH$1="",$BM291=0),"",IFERROR(LOOKUP(2,1/((Budgets!$A$2:$A$200=BH$1)*(Budgets!$B$2:$B$200&lt;EDATE($A291,1))),Budgets!$C$2:$C$200),0))</f>
        <v/>
      </c>
      <c r="BI291" s="23">
        <f>IF(OR(BI$1="",$BM291=0),"",IFERROR(LOOKUP(2,1/((Budgets!$A$2:$A$200=BI$1)*(Budgets!$B$2:$B$200&lt;EDATE($A291,1))),Budgets!$C$2:$C$200),0))</f>
        <v/>
      </c>
      <c r="BJ291" s="23">
        <f>IF(OR(BJ$1="",$BM291=0),"",IFERROR(LOOKUP(2,1/((Budgets!$A$2:$A$200=BJ$1)*(Budgets!$B$2:$B$200&lt;EDATE($A291,1))),Budgets!$C$2:$C$200),0))</f>
        <v/>
      </c>
      <c r="BK291" s="23">
        <f>IF(OR(BK$1="",$BM291=0),"",IFERROR(LOOKUP(2,1/((Budgets!$A$2:$A$200=BK$1)*(Budgets!$B$2:$B$200&lt;EDATE($A291,1))),Budgets!$C$2:$C$200),0))</f>
        <v/>
      </c>
      <c r="BM291" s="21">
        <f>COUNTIFS(Entries!$A$2:$A$5000,"&gt;="&amp;$A291,Entries!$A$2:$A$5000,"&lt;"&amp;EDATE($A291,1))</f>
        <v/>
      </c>
    </row>
    <row r="292">
      <c r="A292" s="22" t="n">
        <v>48274</v>
      </c>
      <c r="B292" s="23">
        <f>IF($BM292=0,NA(),SUMIFS(Entries!$E$2:$E$5000,Entries!$C$2:$C$5000,"Income",Entries!$A$2:$A$5000,"&gt;="&amp;$A292,Entries!$A$2:$A$5000,"&lt;"&amp;EDATE($A292,1)))</f>
        <v/>
      </c>
      <c r="C292" s="23">
        <f>IF($BM292=0,"",SUMIFS(Entries!$E$2:$E$5000,Entries!$C$2:$C$5000,"Actual",Entries!$A$2:$A$5000,"&gt;="&amp;$A292,Entries!$A$2:$A$5000,"&lt;"&amp;EDATE($A292,1)))</f>
        <v/>
      </c>
      <c r="D292" s="23">
        <f>IF($BM292=0,"",SUMIFS(Entries!$E$2:$E$5000,Entries!$C$2:$C$5000,"One-off",Entries!$A$2:$A$5000,"&gt;="&amp;$A292,Entries!$A$2:$A$5000,"&lt;"&amp;EDATE($A292,1)))</f>
        <v/>
      </c>
      <c r="E292" s="23">
        <f>IF($BM292=0,NA(),C292+D292)</f>
        <v/>
      </c>
      <c r="F292" s="23">
        <f>IF($BM292=0,"",SUM(AR292:BK292))</f>
        <v/>
      </c>
      <c r="G292" s="23">
        <f>IF($BM292=0,"",B292-E292)</f>
        <v/>
      </c>
      <c r="H292" s="23">
        <f>IF($BM292=0,"",SUM($G$2:G292))</f>
        <v/>
      </c>
      <c r="I292" s="23">
        <f>IF($BM292=0,"",SUMIFS(Entries!$G$2:$G$5000,Entries!$A$2:$A$5000,"&gt;="&amp;$A292,Entries!$A$2:$A$5000,"&lt;"&amp;EDATE($A292,1)))</f>
        <v/>
      </c>
      <c r="J292" s="23">
        <f>IF($BM292=0,NA(),H292)</f>
        <v/>
      </c>
      <c r="K292" s="23">
        <f>IF($BM292=0,"",SUMIFS(Entries!$E$2:$E$5000,Entries!$C$2:$C$5000,"Income",Entries!$A$2:$A$5000,"&gt;="&amp;EDATE($A292,-11),Entries!$A$2:$A$5000,"&lt;"&amp;EDATE($A292,1))/COUNTIFS($A$2:$A$400,"&gt;="&amp;EDATE($A292,-11),$A$2:$A$400,"&lt;"&amp;EDATE($A292,1),$BM$2:$BM$400,"&gt;0"))</f>
      </c>
      <c r="L292" s="23">
        <f>IF($BM292=0,"",(SUMIFS(Entries!$E$2:$E$5000,Entries!$C$2:$C$5000,"Actual",Entries!$A$2:$A$5000,"&gt;="&amp;EDATE($A292,-11),Entries!$A$2:$A$5000,"&lt;"&amp;EDATE($A292,1))+SUMIFS(Entries!$E$2:$E$5000,Entries!$C$2:$C$5000,"One-off",Entries!$A$2:$A$5000,"&gt;="&amp;EDATE($A292,-11),Entries!$A$2:$A$5000,"&lt;"&amp;EDATE($A292,1)))/COUNTIFS($A$2:$A$400,"&gt;="&amp;EDATE($A292,-11),$A$2:$A$400,"&lt;"&amp;EDATE($A292,1),$BM$2:$BM$400,"&gt;0"))</f>
      </c>
      <c r="M292" s="24">
        <f>IF($BM292=0,NA(),IFERROR((K292-L292)/K292,0))</f>
        <v/>
      </c>
      <c r="N292" s="23">
        <f>IF($BM292=0,NA(),SUMIFS(Entries!$E$2:$E$5000,Entries!$D$2:$D$5000,"Core",Entries!$A$2:$A$5000,"&gt;="&amp;$A292,Entries!$A$2:$A$5000,"&lt;"&amp;EDATE($A292,1)))</f>
        <v/>
      </c>
      <c r="O292" s="23">
        <f>IF($BM292=0,NA(),SUMIFS(Entries!$E$2:$E$5000,Entries!$D$2:$D$5000,"Over &amp; above",Entries!$A$2:$A$5000,"&gt;="&amp;$A292,Entries!$A$2:$A$5000,"&lt;"&amp;EDATE($A292,1)))</f>
        <v/>
      </c>
      <c r="P292" s="23">
        <f>IF($BM292=0,NA(),SUMIFS(Entries!$E$2:$E$5000,Entries!$D$2:$D$5000,"One-off",Entries!$A$2:$A$5000,"&gt;="&amp;$A292,Entries!$A$2:$A$5000,"&lt;"&amp;EDATE($A292,1)))</f>
        <v/>
      </c>
      <c r="Q292" s="23">
        <f>IF($BM292=0,NA(),SUMIFS(Entries!$E$2:$E$5000,Entries!$D$2:$D$5000,"Reimbursable",Entries!$A$2:$A$5000,"&gt;="&amp;$A292,Entries!$A$2:$A$5000,"&lt;"&amp;EDATE($A292,1)))</f>
        <v/>
      </c>
      <c r="R292" s="23">
        <f>IF($BM292=0,NA(),SUMIFS(Entries!$E$2:$E$5000,Entries!$D$2:$D$5000,"Investment",Entries!$A$2:$A$5000,"&gt;="&amp;$A292,Entries!$A$2:$A$5000,"&lt;"&amp;EDATE($A292,1)))</f>
        <v/>
      </c>
      <c r="S292" s="23">
        <f>IF($BM292=0,NA(),N292+O292)</f>
        <v/>
      </c>
      <c r="T292" s="23">
        <f>IF($BM292=0,"",E292-Q292)</f>
        <v/>
      </c>
      <c r="W292" s="23">
        <f>IF(OR(W$1="",$BM292=0),"",SUMIFS(Entries!$E$2:$E$5000,Entries!$C$2:$C$5000,"Actual",Entries!$A$2:$A$5000,"&gt;="&amp;$A292,Entries!$A$2:$A$5000,"&lt;"&amp;EDATE($A292,1),Entries!$B$2:$B$5000,W$1))</f>
        <v/>
      </c>
      <c r="X292" s="23">
        <f>IF(OR(X$1="",$BM292=0),"",SUMIFS(Entries!$E$2:$E$5000,Entries!$C$2:$C$5000,"Actual",Entries!$A$2:$A$5000,"&gt;="&amp;$A292,Entries!$A$2:$A$5000,"&lt;"&amp;EDATE($A292,1),Entries!$B$2:$B$5000,X$1))</f>
        <v/>
      </c>
      <c r="Y292" s="23">
        <f>IF(OR(Y$1="",$BM292=0),"",SUMIFS(Entries!$E$2:$E$5000,Entries!$C$2:$C$5000,"Actual",Entries!$A$2:$A$5000,"&gt;="&amp;$A292,Entries!$A$2:$A$5000,"&lt;"&amp;EDATE($A292,1),Entries!$B$2:$B$5000,Y$1))</f>
        <v/>
      </c>
      <c r="Z292" s="23">
        <f>IF(OR(Z$1="",$BM292=0),"",SUMIFS(Entries!$E$2:$E$5000,Entries!$C$2:$C$5000,"Actual",Entries!$A$2:$A$5000,"&gt;="&amp;$A292,Entries!$A$2:$A$5000,"&lt;"&amp;EDATE($A292,1),Entries!$B$2:$B$5000,Z$1))</f>
        <v/>
      </c>
      <c r="AA292" s="23">
        <f>IF(OR(AA$1="",$BM292=0),"",SUMIFS(Entries!$E$2:$E$5000,Entries!$C$2:$C$5000,"Actual",Entries!$A$2:$A$5000,"&gt;="&amp;$A292,Entries!$A$2:$A$5000,"&lt;"&amp;EDATE($A292,1),Entries!$B$2:$B$5000,AA$1))</f>
        <v/>
      </c>
      <c r="AB292" s="23">
        <f>IF(OR(AB$1="",$BM292=0),"",SUMIFS(Entries!$E$2:$E$5000,Entries!$C$2:$C$5000,"Actual",Entries!$A$2:$A$5000,"&gt;="&amp;$A292,Entries!$A$2:$A$5000,"&lt;"&amp;EDATE($A292,1),Entries!$B$2:$B$5000,AB$1))</f>
        <v/>
      </c>
      <c r="AC292" s="23">
        <f>IF(OR(AC$1="",$BM292=0),"",SUMIFS(Entries!$E$2:$E$5000,Entries!$C$2:$C$5000,"Actual",Entries!$A$2:$A$5000,"&gt;="&amp;$A292,Entries!$A$2:$A$5000,"&lt;"&amp;EDATE($A292,1),Entries!$B$2:$B$5000,AC$1))</f>
        <v/>
      </c>
      <c r="AD292" s="23">
        <f>IF(OR(AD$1="",$BM292=0),"",SUMIFS(Entries!$E$2:$E$5000,Entries!$C$2:$C$5000,"Actual",Entries!$A$2:$A$5000,"&gt;="&amp;$A292,Entries!$A$2:$A$5000,"&lt;"&amp;EDATE($A292,1),Entries!$B$2:$B$5000,AD$1))</f>
        <v/>
      </c>
      <c r="AE292" s="23">
        <f>IF(OR(AE$1="",$BM292=0),"",SUMIFS(Entries!$E$2:$E$5000,Entries!$C$2:$C$5000,"Actual",Entries!$A$2:$A$5000,"&gt;="&amp;$A292,Entries!$A$2:$A$5000,"&lt;"&amp;EDATE($A292,1),Entries!$B$2:$B$5000,AE$1))</f>
        <v/>
      </c>
      <c r="AF292" s="23">
        <f>IF(OR(AF$1="",$BM292=0),"",SUMIFS(Entries!$E$2:$E$5000,Entries!$C$2:$C$5000,"Actual",Entries!$A$2:$A$5000,"&gt;="&amp;$A292,Entries!$A$2:$A$5000,"&lt;"&amp;EDATE($A292,1),Entries!$B$2:$B$5000,AF$1))</f>
        <v/>
      </c>
      <c r="AG292" s="23">
        <f>IF(OR(AG$1="",$BM292=0),"",SUMIFS(Entries!$E$2:$E$5000,Entries!$C$2:$C$5000,"Actual",Entries!$A$2:$A$5000,"&gt;="&amp;$A292,Entries!$A$2:$A$5000,"&lt;"&amp;EDATE($A292,1),Entries!$B$2:$B$5000,AG$1))</f>
        <v/>
      </c>
      <c r="AH292" s="23">
        <f>IF(OR(AH$1="",$BM292=0),"",SUMIFS(Entries!$E$2:$E$5000,Entries!$C$2:$C$5000,"Actual",Entries!$A$2:$A$5000,"&gt;="&amp;$A292,Entries!$A$2:$A$5000,"&lt;"&amp;EDATE($A292,1),Entries!$B$2:$B$5000,AH$1))</f>
        <v/>
      </c>
      <c r="AI292" s="23">
        <f>IF(OR(AI$1="",$BM292=0),"",SUMIFS(Entries!$E$2:$E$5000,Entries!$C$2:$C$5000,"Actual",Entries!$A$2:$A$5000,"&gt;="&amp;$A292,Entries!$A$2:$A$5000,"&lt;"&amp;EDATE($A292,1),Entries!$B$2:$B$5000,AI$1))</f>
        <v/>
      </c>
      <c r="AJ292" s="23">
        <f>IF(OR(AJ$1="",$BM292=0),"",SUMIFS(Entries!$E$2:$E$5000,Entries!$C$2:$C$5000,"Actual",Entries!$A$2:$A$5000,"&gt;="&amp;$A292,Entries!$A$2:$A$5000,"&lt;"&amp;EDATE($A292,1),Entries!$B$2:$B$5000,AJ$1))</f>
        <v/>
      </c>
      <c r="AK292" s="23">
        <f>IF(OR(AK$1="",$BM292=0),"",SUMIFS(Entries!$E$2:$E$5000,Entries!$C$2:$C$5000,"Actual",Entries!$A$2:$A$5000,"&gt;="&amp;$A292,Entries!$A$2:$A$5000,"&lt;"&amp;EDATE($A292,1),Entries!$B$2:$B$5000,AK$1))</f>
        <v/>
      </c>
      <c r="AL292" s="23">
        <f>IF(OR(AL$1="",$BM292=0),"",SUMIFS(Entries!$E$2:$E$5000,Entries!$C$2:$C$5000,"Actual",Entries!$A$2:$A$5000,"&gt;="&amp;$A292,Entries!$A$2:$A$5000,"&lt;"&amp;EDATE($A292,1),Entries!$B$2:$B$5000,AL$1))</f>
        <v/>
      </c>
      <c r="AM292" s="23">
        <f>IF(OR(AM$1="",$BM292=0),"",SUMIFS(Entries!$E$2:$E$5000,Entries!$C$2:$C$5000,"Actual",Entries!$A$2:$A$5000,"&gt;="&amp;$A292,Entries!$A$2:$A$5000,"&lt;"&amp;EDATE($A292,1),Entries!$B$2:$B$5000,AM$1))</f>
        <v/>
      </c>
      <c r="AN292" s="23">
        <f>IF(OR(AN$1="",$BM292=0),"",SUMIFS(Entries!$E$2:$E$5000,Entries!$C$2:$C$5000,"Actual",Entries!$A$2:$A$5000,"&gt;="&amp;$A292,Entries!$A$2:$A$5000,"&lt;"&amp;EDATE($A292,1),Entries!$B$2:$B$5000,AN$1))</f>
        <v/>
      </c>
      <c r="AO292" s="23">
        <f>IF(OR(AO$1="",$BM292=0),"",SUMIFS(Entries!$E$2:$E$5000,Entries!$C$2:$C$5000,"Actual",Entries!$A$2:$A$5000,"&gt;="&amp;$A292,Entries!$A$2:$A$5000,"&lt;"&amp;EDATE($A292,1),Entries!$B$2:$B$5000,AO$1))</f>
        <v/>
      </c>
      <c r="AP292" s="23">
        <f>IF(OR(AP$1="",$BM292=0),"",SUMIFS(Entries!$E$2:$E$5000,Entries!$C$2:$C$5000,"Actual",Entries!$A$2:$A$5000,"&gt;="&amp;$A292,Entries!$A$2:$A$5000,"&lt;"&amp;EDATE($A292,1),Entries!$B$2:$B$5000,AP$1))</f>
        <v/>
      </c>
      <c r="AR292" s="23">
        <f>IF(OR(AR$1="",$BM292=0),"",IFERROR(LOOKUP(2,1/((Budgets!$A$2:$A$200=AR$1)*(Budgets!$B$2:$B$200&lt;EDATE($A292,1))),Budgets!$C$2:$C$200),0))</f>
        <v/>
      </c>
      <c r="AS292" s="23">
        <f>IF(OR(AS$1="",$BM292=0),"",IFERROR(LOOKUP(2,1/((Budgets!$A$2:$A$200=AS$1)*(Budgets!$B$2:$B$200&lt;EDATE($A292,1))),Budgets!$C$2:$C$200),0))</f>
        <v/>
      </c>
      <c r="AT292" s="23">
        <f>IF(OR(AT$1="",$BM292=0),"",IFERROR(LOOKUP(2,1/((Budgets!$A$2:$A$200=AT$1)*(Budgets!$B$2:$B$200&lt;EDATE($A292,1))),Budgets!$C$2:$C$200),0))</f>
        <v/>
      </c>
      <c r="AU292" s="23">
        <f>IF(OR(AU$1="",$BM292=0),"",IFERROR(LOOKUP(2,1/((Budgets!$A$2:$A$200=AU$1)*(Budgets!$B$2:$B$200&lt;EDATE($A292,1))),Budgets!$C$2:$C$200),0))</f>
        <v/>
      </c>
      <c r="AV292" s="23">
        <f>IF(OR(AV$1="",$BM292=0),"",IFERROR(LOOKUP(2,1/((Budgets!$A$2:$A$200=AV$1)*(Budgets!$B$2:$B$200&lt;EDATE($A292,1))),Budgets!$C$2:$C$200),0))</f>
        <v/>
      </c>
      <c r="AW292" s="23">
        <f>IF(OR(AW$1="",$BM292=0),"",IFERROR(LOOKUP(2,1/((Budgets!$A$2:$A$200=AW$1)*(Budgets!$B$2:$B$200&lt;EDATE($A292,1))),Budgets!$C$2:$C$200),0))</f>
        <v/>
      </c>
      <c r="AX292" s="23">
        <f>IF(OR(AX$1="",$BM292=0),"",IFERROR(LOOKUP(2,1/((Budgets!$A$2:$A$200=AX$1)*(Budgets!$B$2:$B$200&lt;EDATE($A292,1))),Budgets!$C$2:$C$200),0))</f>
        <v/>
      </c>
      <c r="AY292" s="23">
        <f>IF(OR(AY$1="",$BM292=0),"",IFERROR(LOOKUP(2,1/((Budgets!$A$2:$A$200=AY$1)*(Budgets!$B$2:$B$200&lt;EDATE($A292,1))),Budgets!$C$2:$C$200),0))</f>
        <v/>
      </c>
      <c r="AZ292" s="23">
        <f>IF(OR(AZ$1="",$BM292=0),"",IFERROR(LOOKUP(2,1/((Budgets!$A$2:$A$200=AZ$1)*(Budgets!$B$2:$B$200&lt;EDATE($A292,1))),Budgets!$C$2:$C$200),0))</f>
        <v/>
      </c>
      <c r="BA292" s="23">
        <f>IF(OR(BA$1="",$BM292=0),"",IFERROR(LOOKUP(2,1/((Budgets!$A$2:$A$200=BA$1)*(Budgets!$B$2:$B$200&lt;EDATE($A292,1))),Budgets!$C$2:$C$200),0))</f>
        <v/>
      </c>
      <c r="BB292" s="23">
        <f>IF(OR(BB$1="",$BM292=0),"",IFERROR(LOOKUP(2,1/((Budgets!$A$2:$A$200=BB$1)*(Budgets!$B$2:$B$200&lt;EDATE($A292,1))),Budgets!$C$2:$C$200),0))</f>
        <v/>
      </c>
      <c r="BC292" s="23">
        <f>IF(OR(BC$1="",$BM292=0),"",IFERROR(LOOKUP(2,1/((Budgets!$A$2:$A$200=BC$1)*(Budgets!$B$2:$B$200&lt;EDATE($A292,1))),Budgets!$C$2:$C$200),0))</f>
        <v/>
      </c>
      <c r="BD292" s="23">
        <f>IF(OR(BD$1="",$BM292=0),"",IFERROR(LOOKUP(2,1/((Budgets!$A$2:$A$200=BD$1)*(Budgets!$B$2:$B$200&lt;EDATE($A292,1))),Budgets!$C$2:$C$200),0))</f>
        <v/>
      </c>
      <c r="BE292" s="23">
        <f>IF(OR(BE$1="",$BM292=0),"",IFERROR(LOOKUP(2,1/((Budgets!$A$2:$A$200=BE$1)*(Budgets!$B$2:$B$200&lt;EDATE($A292,1))),Budgets!$C$2:$C$200),0))</f>
        <v/>
      </c>
      <c r="BF292" s="23">
        <f>IF(OR(BF$1="",$BM292=0),"",IFERROR(LOOKUP(2,1/((Budgets!$A$2:$A$200=BF$1)*(Budgets!$B$2:$B$200&lt;EDATE($A292,1))),Budgets!$C$2:$C$200),0))</f>
        <v/>
      </c>
      <c r="BG292" s="23">
        <f>IF(OR(BG$1="",$BM292=0),"",IFERROR(LOOKUP(2,1/((Budgets!$A$2:$A$200=BG$1)*(Budgets!$B$2:$B$200&lt;EDATE($A292,1))),Budgets!$C$2:$C$200),0))</f>
        <v/>
      </c>
      <c r="BH292" s="23">
        <f>IF(OR(BH$1="",$BM292=0),"",IFERROR(LOOKUP(2,1/((Budgets!$A$2:$A$200=BH$1)*(Budgets!$B$2:$B$200&lt;EDATE($A292,1))),Budgets!$C$2:$C$200),0))</f>
        <v/>
      </c>
      <c r="BI292" s="23">
        <f>IF(OR(BI$1="",$BM292=0),"",IFERROR(LOOKUP(2,1/((Budgets!$A$2:$A$200=BI$1)*(Budgets!$B$2:$B$200&lt;EDATE($A292,1))),Budgets!$C$2:$C$200),0))</f>
        <v/>
      </c>
      <c r="BJ292" s="23">
        <f>IF(OR(BJ$1="",$BM292=0),"",IFERROR(LOOKUP(2,1/((Budgets!$A$2:$A$200=BJ$1)*(Budgets!$B$2:$B$200&lt;EDATE($A292,1))),Budgets!$C$2:$C$200),0))</f>
        <v/>
      </c>
      <c r="BK292" s="23">
        <f>IF(OR(BK$1="",$BM292=0),"",IFERROR(LOOKUP(2,1/((Budgets!$A$2:$A$200=BK$1)*(Budgets!$B$2:$B$200&lt;EDATE($A292,1))),Budgets!$C$2:$C$200),0))</f>
        <v/>
      </c>
      <c r="BM292" s="21">
        <f>COUNTIFS(Entries!$A$2:$A$5000,"&gt;="&amp;$A292,Entries!$A$2:$A$5000,"&lt;"&amp;EDATE($A292,1))</f>
        <v/>
      </c>
    </row>
    <row r="293">
      <c r="A293" s="22" t="n">
        <v>48305</v>
      </c>
      <c r="B293" s="23">
        <f>IF($BM293=0,NA(),SUMIFS(Entries!$E$2:$E$5000,Entries!$C$2:$C$5000,"Income",Entries!$A$2:$A$5000,"&gt;="&amp;$A293,Entries!$A$2:$A$5000,"&lt;"&amp;EDATE($A293,1)))</f>
        <v/>
      </c>
      <c r="C293" s="23">
        <f>IF($BM293=0,"",SUMIFS(Entries!$E$2:$E$5000,Entries!$C$2:$C$5000,"Actual",Entries!$A$2:$A$5000,"&gt;="&amp;$A293,Entries!$A$2:$A$5000,"&lt;"&amp;EDATE($A293,1)))</f>
        <v/>
      </c>
      <c r="D293" s="23">
        <f>IF($BM293=0,"",SUMIFS(Entries!$E$2:$E$5000,Entries!$C$2:$C$5000,"One-off",Entries!$A$2:$A$5000,"&gt;="&amp;$A293,Entries!$A$2:$A$5000,"&lt;"&amp;EDATE($A293,1)))</f>
        <v/>
      </c>
      <c r="E293" s="23">
        <f>IF($BM293=0,NA(),C293+D293)</f>
        <v/>
      </c>
      <c r="F293" s="23">
        <f>IF($BM293=0,"",SUM(AR293:BK293))</f>
        <v/>
      </c>
      <c r="G293" s="23">
        <f>IF($BM293=0,"",B293-E293)</f>
        <v/>
      </c>
      <c r="H293" s="23">
        <f>IF($BM293=0,"",SUM($G$2:G293))</f>
        <v/>
      </c>
      <c r="I293" s="23">
        <f>IF($BM293=0,"",SUMIFS(Entries!$G$2:$G$5000,Entries!$A$2:$A$5000,"&gt;="&amp;$A293,Entries!$A$2:$A$5000,"&lt;"&amp;EDATE($A293,1)))</f>
        <v/>
      </c>
      <c r="J293" s="23">
        <f>IF($BM293=0,NA(),H293)</f>
        <v/>
      </c>
      <c r="K293" s="23">
        <f>IF($BM293=0,"",SUMIFS(Entries!$E$2:$E$5000,Entries!$C$2:$C$5000,"Income",Entries!$A$2:$A$5000,"&gt;="&amp;EDATE($A293,-11),Entries!$A$2:$A$5000,"&lt;"&amp;EDATE($A293,1))/COUNTIFS($A$2:$A$400,"&gt;="&amp;EDATE($A293,-11),$A$2:$A$400,"&lt;"&amp;EDATE($A293,1),$BM$2:$BM$400,"&gt;0"))</f>
      </c>
      <c r="L293" s="23">
        <f>IF($BM293=0,"",(SUMIFS(Entries!$E$2:$E$5000,Entries!$C$2:$C$5000,"Actual",Entries!$A$2:$A$5000,"&gt;="&amp;EDATE($A293,-11),Entries!$A$2:$A$5000,"&lt;"&amp;EDATE($A293,1))+SUMIFS(Entries!$E$2:$E$5000,Entries!$C$2:$C$5000,"One-off",Entries!$A$2:$A$5000,"&gt;="&amp;EDATE($A293,-11),Entries!$A$2:$A$5000,"&lt;"&amp;EDATE($A293,1)))/COUNTIFS($A$2:$A$400,"&gt;="&amp;EDATE($A293,-11),$A$2:$A$400,"&lt;"&amp;EDATE($A293,1),$BM$2:$BM$400,"&gt;0"))</f>
      </c>
      <c r="M293" s="24">
        <f>IF($BM293=0,NA(),IFERROR((K293-L293)/K293,0))</f>
        <v/>
      </c>
      <c r="N293" s="23">
        <f>IF($BM293=0,NA(),SUMIFS(Entries!$E$2:$E$5000,Entries!$D$2:$D$5000,"Core",Entries!$A$2:$A$5000,"&gt;="&amp;$A293,Entries!$A$2:$A$5000,"&lt;"&amp;EDATE($A293,1)))</f>
        <v/>
      </c>
      <c r="O293" s="23">
        <f>IF($BM293=0,NA(),SUMIFS(Entries!$E$2:$E$5000,Entries!$D$2:$D$5000,"Over &amp; above",Entries!$A$2:$A$5000,"&gt;="&amp;$A293,Entries!$A$2:$A$5000,"&lt;"&amp;EDATE($A293,1)))</f>
        <v/>
      </c>
      <c r="P293" s="23">
        <f>IF($BM293=0,NA(),SUMIFS(Entries!$E$2:$E$5000,Entries!$D$2:$D$5000,"One-off",Entries!$A$2:$A$5000,"&gt;="&amp;$A293,Entries!$A$2:$A$5000,"&lt;"&amp;EDATE($A293,1)))</f>
        <v/>
      </c>
      <c r="Q293" s="23">
        <f>IF($BM293=0,NA(),SUMIFS(Entries!$E$2:$E$5000,Entries!$D$2:$D$5000,"Reimbursable",Entries!$A$2:$A$5000,"&gt;="&amp;$A293,Entries!$A$2:$A$5000,"&lt;"&amp;EDATE($A293,1)))</f>
        <v/>
      </c>
      <c r="R293" s="23">
        <f>IF($BM293=0,NA(),SUMIFS(Entries!$E$2:$E$5000,Entries!$D$2:$D$5000,"Investment",Entries!$A$2:$A$5000,"&gt;="&amp;$A293,Entries!$A$2:$A$5000,"&lt;"&amp;EDATE($A293,1)))</f>
        <v/>
      </c>
      <c r="S293" s="23">
        <f>IF($BM293=0,NA(),N293+O293)</f>
        <v/>
      </c>
      <c r="T293" s="23">
        <f>IF($BM293=0,"",E293-Q293)</f>
        <v/>
      </c>
      <c r="W293" s="23">
        <f>IF(OR(W$1="",$BM293=0),"",SUMIFS(Entries!$E$2:$E$5000,Entries!$C$2:$C$5000,"Actual",Entries!$A$2:$A$5000,"&gt;="&amp;$A293,Entries!$A$2:$A$5000,"&lt;"&amp;EDATE($A293,1),Entries!$B$2:$B$5000,W$1))</f>
        <v/>
      </c>
      <c r="X293" s="23">
        <f>IF(OR(X$1="",$BM293=0),"",SUMIFS(Entries!$E$2:$E$5000,Entries!$C$2:$C$5000,"Actual",Entries!$A$2:$A$5000,"&gt;="&amp;$A293,Entries!$A$2:$A$5000,"&lt;"&amp;EDATE($A293,1),Entries!$B$2:$B$5000,X$1))</f>
        <v/>
      </c>
      <c r="Y293" s="23">
        <f>IF(OR(Y$1="",$BM293=0),"",SUMIFS(Entries!$E$2:$E$5000,Entries!$C$2:$C$5000,"Actual",Entries!$A$2:$A$5000,"&gt;="&amp;$A293,Entries!$A$2:$A$5000,"&lt;"&amp;EDATE($A293,1),Entries!$B$2:$B$5000,Y$1))</f>
        <v/>
      </c>
      <c r="Z293" s="23">
        <f>IF(OR(Z$1="",$BM293=0),"",SUMIFS(Entries!$E$2:$E$5000,Entries!$C$2:$C$5000,"Actual",Entries!$A$2:$A$5000,"&gt;="&amp;$A293,Entries!$A$2:$A$5000,"&lt;"&amp;EDATE($A293,1),Entries!$B$2:$B$5000,Z$1))</f>
        <v/>
      </c>
      <c r="AA293" s="23">
        <f>IF(OR(AA$1="",$BM293=0),"",SUMIFS(Entries!$E$2:$E$5000,Entries!$C$2:$C$5000,"Actual",Entries!$A$2:$A$5000,"&gt;="&amp;$A293,Entries!$A$2:$A$5000,"&lt;"&amp;EDATE($A293,1),Entries!$B$2:$B$5000,AA$1))</f>
        <v/>
      </c>
      <c r="AB293" s="23">
        <f>IF(OR(AB$1="",$BM293=0),"",SUMIFS(Entries!$E$2:$E$5000,Entries!$C$2:$C$5000,"Actual",Entries!$A$2:$A$5000,"&gt;="&amp;$A293,Entries!$A$2:$A$5000,"&lt;"&amp;EDATE($A293,1),Entries!$B$2:$B$5000,AB$1))</f>
        <v/>
      </c>
      <c r="AC293" s="23">
        <f>IF(OR(AC$1="",$BM293=0),"",SUMIFS(Entries!$E$2:$E$5000,Entries!$C$2:$C$5000,"Actual",Entries!$A$2:$A$5000,"&gt;="&amp;$A293,Entries!$A$2:$A$5000,"&lt;"&amp;EDATE($A293,1),Entries!$B$2:$B$5000,AC$1))</f>
        <v/>
      </c>
      <c r="AD293" s="23">
        <f>IF(OR(AD$1="",$BM293=0),"",SUMIFS(Entries!$E$2:$E$5000,Entries!$C$2:$C$5000,"Actual",Entries!$A$2:$A$5000,"&gt;="&amp;$A293,Entries!$A$2:$A$5000,"&lt;"&amp;EDATE($A293,1),Entries!$B$2:$B$5000,AD$1))</f>
        <v/>
      </c>
      <c r="AE293" s="23">
        <f>IF(OR(AE$1="",$BM293=0),"",SUMIFS(Entries!$E$2:$E$5000,Entries!$C$2:$C$5000,"Actual",Entries!$A$2:$A$5000,"&gt;="&amp;$A293,Entries!$A$2:$A$5000,"&lt;"&amp;EDATE($A293,1),Entries!$B$2:$B$5000,AE$1))</f>
        <v/>
      </c>
      <c r="AF293" s="23">
        <f>IF(OR(AF$1="",$BM293=0),"",SUMIFS(Entries!$E$2:$E$5000,Entries!$C$2:$C$5000,"Actual",Entries!$A$2:$A$5000,"&gt;="&amp;$A293,Entries!$A$2:$A$5000,"&lt;"&amp;EDATE($A293,1),Entries!$B$2:$B$5000,AF$1))</f>
        <v/>
      </c>
      <c r="AG293" s="23">
        <f>IF(OR(AG$1="",$BM293=0),"",SUMIFS(Entries!$E$2:$E$5000,Entries!$C$2:$C$5000,"Actual",Entries!$A$2:$A$5000,"&gt;="&amp;$A293,Entries!$A$2:$A$5000,"&lt;"&amp;EDATE($A293,1),Entries!$B$2:$B$5000,AG$1))</f>
        <v/>
      </c>
      <c r="AH293" s="23">
        <f>IF(OR(AH$1="",$BM293=0),"",SUMIFS(Entries!$E$2:$E$5000,Entries!$C$2:$C$5000,"Actual",Entries!$A$2:$A$5000,"&gt;="&amp;$A293,Entries!$A$2:$A$5000,"&lt;"&amp;EDATE($A293,1),Entries!$B$2:$B$5000,AH$1))</f>
        <v/>
      </c>
      <c r="AI293" s="23">
        <f>IF(OR(AI$1="",$BM293=0),"",SUMIFS(Entries!$E$2:$E$5000,Entries!$C$2:$C$5000,"Actual",Entries!$A$2:$A$5000,"&gt;="&amp;$A293,Entries!$A$2:$A$5000,"&lt;"&amp;EDATE($A293,1),Entries!$B$2:$B$5000,AI$1))</f>
        <v/>
      </c>
      <c r="AJ293" s="23">
        <f>IF(OR(AJ$1="",$BM293=0),"",SUMIFS(Entries!$E$2:$E$5000,Entries!$C$2:$C$5000,"Actual",Entries!$A$2:$A$5000,"&gt;="&amp;$A293,Entries!$A$2:$A$5000,"&lt;"&amp;EDATE($A293,1),Entries!$B$2:$B$5000,AJ$1))</f>
        <v/>
      </c>
      <c r="AK293" s="23">
        <f>IF(OR(AK$1="",$BM293=0),"",SUMIFS(Entries!$E$2:$E$5000,Entries!$C$2:$C$5000,"Actual",Entries!$A$2:$A$5000,"&gt;="&amp;$A293,Entries!$A$2:$A$5000,"&lt;"&amp;EDATE($A293,1),Entries!$B$2:$B$5000,AK$1))</f>
        <v/>
      </c>
      <c r="AL293" s="23">
        <f>IF(OR(AL$1="",$BM293=0),"",SUMIFS(Entries!$E$2:$E$5000,Entries!$C$2:$C$5000,"Actual",Entries!$A$2:$A$5000,"&gt;="&amp;$A293,Entries!$A$2:$A$5000,"&lt;"&amp;EDATE($A293,1),Entries!$B$2:$B$5000,AL$1))</f>
        <v/>
      </c>
      <c r="AM293" s="23">
        <f>IF(OR(AM$1="",$BM293=0),"",SUMIFS(Entries!$E$2:$E$5000,Entries!$C$2:$C$5000,"Actual",Entries!$A$2:$A$5000,"&gt;="&amp;$A293,Entries!$A$2:$A$5000,"&lt;"&amp;EDATE($A293,1),Entries!$B$2:$B$5000,AM$1))</f>
        <v/>
      </c>
      <c r="AN293" s="23">
        <f>IF(OR(AN$1="",$BM293=0),"",SUMIFS(Entries!$E$2:$E$5000,Entries!$C$2:$C$5000,"Actual",Entries!$A$2:$A$5000,"&gt;="&amp;$A293,Entries!$A$2:$A$5000,"&lt;"&amp;EDATE($A293,1),Entries!$B$2:$B$5000,AN$1))</f>
        <v/>
      </c>
      <c r="AO293" s="23">
        <f>IF(OR(AO$1="",$BM293=0),"",SUMIFS(Entries!$E$2:$E$5000,Entries!$C$2:$C$5000,"Actual",Entries!$A$2:$A$5000,"&gt;="&amp;$A293,Entries!$A$2:$A$5000,"&lt;"&amp;EDATE($A293,1),Entries!$B$2:$B$5000,AO$1))</f>
        <v/>
      </c>
      <c r="AP293" s="23">
        <f>IF(OR(AP$1="",$BM293=0),"",SUMIFS(Entries!$E$2:$E$5000,Entries!$C$2:$C$5000,"Actual",Entries!$A$2:$A$5000,"&gt;="&amp;$A293,Entries!$A$2:$A$5000,"&lt;"&amp;EDATE($A293,1),Entries!$B$2:$B$5000,AP$1))</f>
        <v/>
      </c>
      <c r="AR293" s="23">
        <f>IF(OR(AR$1="",$BM293=0),"",IFERROR(LOOKUP(2,1/((Budgets!$A$2:$A$200=AR$1)*(Budgets!$B$2:$B$200&lt;EDATE($A293,1))),Budgets!$C$2:$C$200),0))</f>
        <v/>
      </c>
      <c r="AS293" s="23">
        <f>IF(OR(AS$1="",$BM293=0),"",IFERROR(LOOKUP(2,1/((Budgets!$A$2:$A$200=AS$1)*(Budgets!$B$2:$B$200&lt;EDATE($A293,1))),Budgets!$C$2:$C$200),0))</f>
        <v/>
      </c>
      <c r="AT293" s="23">
        <f>IF(OR(AT$1="",$BM293=0),"",IFERROR(LOOKUP(2,1/((Budgets!$A$2:$A$200=AT$1)*(Budgets!$B$2:$B$200&lt;EDATE($A293,1))),Budgets!$C$2:$C$200),0))</f>
        <v/>
      </c>
      <c r="AU293" s="23">
        <f>IF(OR(AU$1="",$BM293=0),"",IFERROR(LOOKUP(2,1/((Budgets!$A$2:$A$200=AU$1)*(Budgets!$B$2:$B$200&lt;EDATE($A293,1))),Budgets!$C$2:$C$200),0))</f>
        <v/>
      </c>
      <c r="AV293" s="23">
        <f>IF(OR(AV$1="",$BM293=0),"",IFERROR(LOOKUP(2,1/((Budgets!$A$2:$A$200=AV$1)*(Budgets!$B$2:$B$200&lt;EDATE($A293,1))),Budgets!$C$2:$C$200),0))</f>
        <v/>
      </c>
      <c r="AW293" s="23">
        <f>IF(OR(AW$1="",$BM293=0),"",IFERROR(LOOKUP(2,1/((Budgets!$A$2:$A$200=AW$1)*(Budgets!$B$2:$B$200&lt;EDATE($A293,1))),Budgets!$C$2:$C$200),0))</f>
        <v/>
      </c>
      <c r="AX293" s="23">
        <f>IF(OR(AX$1="",$BM293=0),"",IFERROR(LOOKUP(2,1/((Budgets!$A$2:$A$200=AX$1)*(Budgets!$B$2:$B$200&lt;EDATE($A293,1))),Budgets!$C$2:$C$200),0))</f>
        <v/>
      </c>
      <c r="AY293" s="23">
        <f>IF(OR(AY$1="",$BM293=0),"",IFERROR(LOOKUP(2,1/((Budgets!$A$2:$A$200=AY$1)*(Budgets!$B$2:$B$200&lt;EDATE($A293,1))),Budgets!$C$2:$C$200),0))</f>
        <v/>
      </c>
      <c r="AZ293" s="23">
        <f>IF(OR(AZ$1="",$BM293=0),"",IFERROR(LOOKUP(2,1/((Budgets!$A$2:$A$200=AZ$1)*(Budgets!$B$2:$B$200&lt;EDATE($A293,1))),Budgets!$C$2:$C$200),0))</f>
        <v/>
      </c>
      <c r="BA293" s="23">
        <f>IF(OR(BA$1="",$BM293=0),"",IFERROR(LOOKUP(2,1/((Budgets!$A$2:$A$200=BA$1)*(Budgets!$B$2:$B$200&lt;EDATE($A293,1))),Budgets!$C$2:$C$200),0))</f>
        <v/>
      </c>
      <c r="BB293" s="23">
        <f>IF(OR(BB$1="",$BM293=0),"",IFERROR(LOOKUP(2,1/((Budgets!$A$2:$A$200=BB$1)*(Budgets!$B$2:$B$200&lt;EDATE($A293,1))),Budgets!$C$2:$C$200),0))</f>
        <v/>
      </c>
      <c r="BC293" s="23">
        <f>IF(OR(BC$1="",$BM293=0),"",IFERROR(LOOKUP(2,1/((Budgets!$A$2:$A$200=BC$1)*(Budgets!$B$2:$B$200&lt;EDATE($A293,1))),Budgets!$C$2:$C$200),0))</f>
        <v/>
      </c>
      <c r="BD293" s="23">
        <f>IF(OR(BD$1="",$BM293=0),"",IFERROR(LOOKUP(2,1/((Budgets!$A$2:$A$200=BD$1)*(Budgets!$B$2:$B$200&lt;EDATE($A293,1))),Budgets!$C$2:$C$200),0))</f>
        <v/>
      </c>
      <c r="BE293" s="23">
        <f>IF(OR(BE$1="",$BM293=0),"",IFERROR(LOOKUP(2,1/((Budgets!$A$2:$A$200=BE$1)*(Budgets!$B$2:$B$200&lt;EDATE($A293,1))),Budgets!$C$2:$C$200),0))</f>
        <v/>
      </c>
      <c r="BF293" s="23">
        <f>IF(OR(BF$1="",$BM293=0),"",IFERROR(LOOKUP(2,1/((Budgets!$A$2:$A$200=BF$1)*(Budgets!$B$2:$B$200&lt;EDATE($A293,1))),Budgets!$C$2:$C$200),0))</f>
        <v/>
      </c>
      <c r="BG293" s="23">
        <f>IF(OR(BG$1="",$BM293=0),"",IFERROR(LOOKUP(2,1/((Budgets!$A$2:$A$200=BG$1)*(Budgets!$B$2:$B$200&lt;EDATE($A293,1))),Budgets!$C$2:$C$200),0))</f>
        <v/>
      </c>
      <c r="BH293" s="23">
        <f>IF(OR(BH$1="",$BM293=0),"",IFERROR(LOOKUP(2,1/((Budgets!$A$2:$A$200=BH$1)*(Budgets!$B$2:$B$200&lt;EDATE($A293,1))),Budgets!$C$2:$C$200),0))</f>
        <v/>
      </c>
      <c r="BI293" s="23">
        <f>IF(OR(BI$1="",$BM293=0),"",IFERROR(LOOKUP(2,1/((Budgets!$A$2:$A$200=BI$1)*(Budgets!$B$2:$B$200&lt;EDATE($A293,1))),Budgets!$C$2:$C$200),0))</f>
        <v/>
      </c>
      <c r="BJ293" s="23">
        <f>IF(OR(BJ$1="",$BM293=0),"",IFERROR(LOOKUP(2,1/((Budgets!$A$2:$A$200=BJ$1)*(Budgets!$B$2:$B$200&lt;EDATE($A293,1))),Budgets!$C$2:$C$200),0))</f>
        <v/>
      </c>
      <c r="BK293" s="23">
        <f>IF(OR(BK$1="",$BM293=0),"",IFERROR(LOOKUP(2,1/((Budgets!$A$2:$A$200=BK$1)*(Budgets!$B$2:$B$200&lt;EDATE($A293,1))),Budgets!$C$2:$C$200),0))</f>
        <v/>
      </c>
      <c r="BM293" s="21">
        <f>COUNTIFS(Entries!$A$2:$A$5000,"&gt;="&amp;$A293,Entries!$A$2:$A$5000,"&lt;"&amp;EDATE($A293,1))</f>
        <v/>
      </c>
    </row>
    <row r="294">
      <c r="A294" s="22" t="n">
        <v>48335</v>
      </c>
      <c r="B294" s="23">
        <f>IF($BM294=0,NA(),SUMIFS(Entries!$E$2:$E$5000,Entries!$C$2:$C$5000,"Income",Entries!$A$2:$A$5000,"&gt;="&amp;$A294,Entries!$A$2:$A$5000,"&lt;"&amp;EDATE($A294,1)))</f>
        <v/>
      </c>
      <c r="C294" s="23">
        <f>IF($BM294=0,"",SUMIFS(Entries!$E$2:$E$5000,Entries!$C$2:$C$5000,"Actual",Entries!$A$2:$A$5000,"&gt;="&amp;$A294,Entries!$A$2:$A$5000,"&lt;"&amp;EDATE($A294,1)))</f>
        <v/>
      </c>
      <c r="D294" s="23">
        <f>IF($BM294=0,"",SUMIFS(Entries!$E$2:$E$5000,Entries!$C$2:$C$5000,"One-off",Entries!$A$2:$A$5000,"&gt;="&amp;$A294,Entries!$A$2:$A$5000,"&lt;"&amp;EDATE($A294,1)))</f>
        <v/>
      </c>
      <c r="E294" s="23">
        <f>IF($BM294=0,NA(),C294+D294)</f>
        <v/>
      </c>
      <c r="F294" s="23">
        <f>IF($BM294=0,"",SUM(AR294:BK294))</f>
        <v/>
      </c>
      <c r="G294" s="23">
        <f>IF($BM294=0,"",B294-E294)</f>
        <v/>
      </c>
      <c r="H294" s="23">
        <f>IF($BM294=0,"",SUM($G$2:G294))</f>
        <v/>
      </c>
      <c r="I294" s="23">
        <f>IF($BM294=0,"",SUMIFS(Entries!$G$2:$G$5000,Entries!$A$2:$A$5000,"&gt;="&amp;$A294,Entries!$A$2:$A$5000,"&lt;"&amp;EDATE($A294,1)))</f>
        <v/>
      </c>
      <c r="J294" s="23">
        <f>IF($BM294=0,NA(),H294)</f>
        <v/>
      </c>
      <c r="K294" s="23">
        <f>IF($BM294=0,"",SUMIFS(Entries!$E$2:$E$5000,Entries!$C$2:$C$5000,"Income",Entries!$A$2:$A$5000,"&gt;="&amp;EDATE($A294,-11),Entries!$A$2:$A$5000,"&lt;"&amp;EDATE($A294,1))/COUNTIFS($A$2:$A$400,"&gt;="&amp;EDATE($A294,-11),$A$2:$A$400,"&lt;"&amp;EDATE($A294,1),$BM$2:$BM$400,"&gt;0"))</f>
      </c>
      <c r="L294" s="23">
        <f>IF($BM294=0,"",(SUMIFS(Entries!$E$2:$E$5000,Entries!$C$2:$C$5000,"Actual",Entries!$A$2:$A$5000,"&gt;="&amp;EDATE($A294,-11),Entries!$A$2:$A$5000,"&lt;"&amp;EDATE($A294,1))+SUMIFS(Entries!$E$2:$E$5000,Entries!$C$2:$C$5000,"One-off",Entries!$A$2:$A$5000,"&gt;="&amp;EDATE($A294,-11),Entries!$A$2:$A$5000,"&lt;"&amp;EDATE($A294,1)))/COUNTIFS($A$2:$A$400,"&gt;="&amp;EDATE($A294,-11),$A$2:$A$400,"&lt;"&amp;EDATE($A294,1),$BM$2:$BM$400,"&gt;0"))</f>
      </c>
      <c r="M294" s="24">
        <f>IF($BM294=0,NA(),IFERROR((K294-L294)/K294,0))</f>
        <v/>
      </c>
      <c r="N294" s="23">
        <f>IF($BM294=0,NA(),SUMIFS(Entries!$E$2:$E$5000,Entries!$D$2:$D$5000,"Core",Entries!$A$2:$A$5000,"&gt;="&amp;$A294,Entries!$A$2:$A$5000,"&lt;"&amp;EDATE($A294,1)))</f>
        <v/>
      </c>
      <c r="O294" s="23">
        <f>IF($BM294=0,NA(),SUMIFS(Entries!$E$2:$E$5000,Entries!$D$2:$D$5000,"Over &amp; above",Entries!$A$2:$A$5000,"&gt;="&amp;$A294,Entries!$A$2:$A$5000,"&lt;"&amp;EDATE($A294,1)))</f>
        <v/>
      </c>
      <c r="P294" s="23">
        <f>IF($BM294=0,NA(),SUMIFS(Entries!$E$2:$E$5000,Entries!$D$2:$D$5000,"One-off",Entries!$A$2:$A$5000,"&gt;="&amp;$A294,Entries!$A$2:$A$5000,"&lt;"&amp;EDATE($A294,1)))</f>
        <v/>
      </c>
      <c r="Q294" s="23">
        <f>IF($BM294=0,NA(),SUMIFS(Entries!$E$2:$E$5000,Entries!$D$2:$D$5000,"Reimbursable",Entries!$A$2:$A$5000,"&gt;="&amp;$A294,Entries!$A$2:$A$5000,"&lt;"&amp;EDATE($A294,1)))</f>
        <v/>
      </c>
      <c r="R294" s="23">
        <f>IF($BM294=0,NA(),SUMIFS(Entries!$E$2:$E$5000,Entries!$D$2:$D$5000,"Investment",Entries!$A$2:$A$5000,"&gt;="&amp;$A294,Entries!$A$2:$A$5000,"&lt;"&amp;EDATE($A294,1)))</f>
        <v/>
      </c>
      <c r="S294" s="23">
        <f>IF($BM294=0,NA(),N294+O294)</f>
        <v/>
      </c>
      <c r="T294" s="23">
        <f>IF($BM294=0,"",E294-Q294)</f>
        <v/>
      </c>
      <c r="W294" s="23">
        <f>IF(OR(W$1="",$BM294=0),"",SUMIFS(Entries!$E$2:$E$5000,Entries!$C$2:$C$5000,"Actual",Entries!$A$2:$A$5000,"&gt;="&amp;$A294,Entries!$A$2:$A$5000,"&lt;"&amp;EDATE($A294,1),Entries!$B$2:$B$5000,W$1))</f>
        <v/>
      </c>
      <c r="X294" s="23">
        <f>IF(OR(X$1="",$BM294=0),"",SUMIFS(Entries!$E$2:$E$5000,Entries!$C$2:$C$5000,"Actual",Entries!$A$2:$A$5000,"&gt;="&amp;$A294,Entries!$A$2:$A$5000,"&lt;"&amp;EDATE($A294,1),Entries!$B$2:$B$5000,X$1))</f>
        <v/>
      </c>
      <c r="Y294" s="23">
        <f>IF(OR(Y$1="",$BM294=0),"",SUMIFS(Entries!$E$2:$E$5000,Entries!$C$2:$C$5000,"Actual",Entries!$A$2:$A$5000,"&gt;="&amp;$A294,Entries!$A$2:$A$5000,"&lt;"&amp;EDATE($A294,1),Entries!$B$2:$B$5000,Y$1))</f>
        <v/>
      </c>
      <c r="Z294" s="23">
        <f>IF(OR(Z$1="",$BM294=0),"",SUMIFS(Entries!$E$2:$E$5000,Entries!$C$2:$C$5000,"Actual",Entries!$A$2:$A$5000,"&gt;="&amp;$A294,Entries!$A$2:$A$5000,"&lt;"&amp;EDATE($A294,1),Entries!$B$2:$B$5000,Z$1))</f>
        <v/>
      </c>
      <c r="AA294" s="23">
        <f>IF(OR(AA$1="",$BM294=0),"",SUMIFS(Entries!$E$2:$E$5000,Entries!$C$2:$C$5000,"Actual",Entries!$A$2:$A$5000,"&gt;="&amp;$A294,Entries!$A$2:$A$5000,"&lt;"&amp;EDATE($A294,1),Entries!$B$2:$B$5000,AA$1))</f>
        <v/>
      </c>
      <c r="AB294" s="23">
        <f>IF(OR(AB$1="",$BM294=0),"",SUMIFS(Entries!$E$2:$E$5000,Entries!$C$2:$C$5000,"Actual",Entries!$A$2:$A$5000,"&gt;="&amp;$A294,Entries!$A$2:$A$5000,"&lt;"&amp;EDATE($A294,1),Entries!$B$2:$B$5000,AB$1))</f>
        <v/>
      </c>
      <c r="AC294" s="23">
        <f>IF(OR(AC$1="",$BM294=0),"",SUMIFS(Entries!$E$2:$E$5000,Entries!$C$2:$C$5000,"Actual",Entries!$A$2:$A$5000,"&gt;="&amp;$A294,Entries!$A$2:$A$5000,"&lt;"&amp;EDATE($A294,1),Entries!$B$2:$B$5000,AC$1))</f>
        <v/>
      </c>
      <c r="AD294" s="23">
        <f>IF(OR(AD$1="",$BM294=0),"",SUMIFS(Entries!$E$2:$E$5000,Entries!$C$2:$C$5000,"Actual",Entries!$A$2:$A$5000,"&gt;="&amp;$A294,Entries!$A$2:$A$5000,"&lt;"&amp;EDATE($A294,1),Entries!$B$2:$B$5000,AD$1))</f>
        <v/>
      </c>
      <c r="AE294" s="23">
        <f>IF(OR(AE$1="",$BM294=0),"",SUMIFS(Entries!$E$2:$E$5000,Entries!$C$2:$C$5000,"Actual",Entries!$A$2:$A$5000,"&gt;="&amp;$A294,Entries!$A$2:$A$5000,"&lt;"&amp;EDATE($A294,1),Entries!$B$2:$B$5000,AE$1))</f>
        <v/>
      </c>
      <c r="AF294" s="23">
        <f>IF(OR(AF$1="",$BM294=0),"",SUMIFS(Entries!$E$2:$E$5000,Entries!$C$2:$C$5000,"Actual",Entries!$A$2:$A$5000,"&gt;="&amp;$A294,Entries!$A$2:$A$5000,"&lt;"&amp;EDATE($A294,1),Entries!$B$2:$B$5000,AF$1))</f>
        <v/>
      </c>
      <c r="AG294" s="23">
        <f>IF(OR(AG$1="",$BM294=0),"",SUMIFS(Entries!$E$2:$E$5000,Entries!$C$2:$C$5000,"Actual",Entries!$A$2:$A$5000,"&gt;="&amp;$A294,Entries!$A$2:$A$5000,"&lt;"&amp;EDATE($A294,1),Entries!$B$2:$B$5000,AG$1))</f>
        <v/>
      </c>
      <c r="AH294" s="23">
        <f>IF(OR(AH$1="",$BM294=0),"",SUMIFS(Entries!$E$2:$E$5000,Entries!$C$2:$C$5000,"Actual",Entries!$A$2:$A$5000,"&gt;="&amp;$A294,Entries!$A$2:$A$5000,"&lt;"&amp;EDATE($A294,1),Entries!$B$2:$B$5000,AH$1))</f>
        <v/>
      </c>
      <c r="AI294" s="23">
        <f>IF(OR(AI$1="",$BM294=0),"",SUMIFS(Entries!$E$2:$E$5000,Entries!$C$2:$C$5000,"Actual",Entries!$A$2:$A$5000,"&gt;="&amp;$A294,Entries!$A$2:$A$5000,"&lt;"&amp;EDATE($A294,1),Entries!$B$2:$B$5000,AI$1))</f>
        <v/>
      </c>
      <c r="AJ294" s="23">
        <f>IF(OR(AJ$1="",$BM294=0),"",SUMIFS(Entries!$E$2:$E$5000,Entries!$C$2:$C$5000,"Actual",Entries!$A$2:$A$5000,"&gt;="&amp;$A294,Entries!$A$2:$A$5000,"&lt;"&amp;EDATE($A294,1),Entries!$B$2:$B$5000,AJ$1))</f>
        <v/>
      </c>
      <c r="AK294" s="23">
        <f>IF(OR(AK$1="",$BM294=0),"",SUMIFS(Entries!$E$2:$E$5000,Entries!$C$2:$C$5000,"Actual",Entries!$A$2:$A$5000,"&gt;="&amp;$A294,Entries!$A$2:$A$5000,"&lt;"&amp;EDATE($A294,1),Entries!$B$2:$B$5000,AK$1))</f>
        <v/>
      </c>
      <c r="AL294" s="23">
        <f>IF(OR(AL$1="",$BM294=0),"",SUMIFS(Entries!$E$2:$E$5000,Entries!$C$2:$C$5000,"Actual",Entries!$A$2:$A$5000,"&gt;="&amp;$A294,Entries!$A$2:$A$5000,"&lt;"&amp;EDATE($A294,1),Entries!$B$2:$B$5000,AL$1))</f>
        <v/>
      </c>
      <c r="AM294" s="23">
        <f>IF(OR(AM$1="",$BM294=0),"",SUMIFS(Entries!$E$2:$E$5000,Entries!$C$2:$C$5000,"Actual",Entries!$A$2:$A$5000,"&gt;="&amp;$A294,Entries!$A$2:$A$5000,"&lt;"&amp;EDATE($A294,1),Entries!$B$2:$B$5000,AM$1))</f>
        <v/>
      </c>
      <c r="AN294" s="23">
        <f>IF(OR(AN$1="",$BM294=0),"",SUMIFS(Entries!$E$2:$E$5000,Entries!$C$2:$C$5000,"Actual",Entries!$A$2:$A$5000,"&gt;="&amp;$A294,Entries!$A$2:$A$5000,"&lt;"&amp;EDATE($A294,1),Entries!$B$2:$B$5000,AN$1))</f>
        <v/>
      </c>
      <c r="AO294" s="23">
        <f>IF(OR(AO$1="",$BM294=0),"",SUMIFS(Entries!$E$2:$E$5000,Entries!$C$2:$C$5000,"Actual",Entries!$A$2:$A$5000,"&gt;="&amp;$A294,Entries!$A$2:$A$5000,"&lt;"&amp;EDATE($A294,1),Entries!$B$2:$B$5000,AO$1))</f>
        <v/>
      </c>
      <c r="AP294" s="23">
        <f>IF(OR(AP$1="",$BM294=0),"",SUMIFS(Entries!$E$2:$E$5000,Entries!$C$2:$C$5000,"Actual",Entries!$A$2:$A$5000,"&gt;="&amp;$A294,Entries!$A$2:$A$5000,"&lt;"&amp;EDATE($A294,1),Entries!$B$2:$B$5000,AP$1))</f>
        <v/>
      </c>
      <c r="AR294" s="23">
        <f>IF(OR(AR$1="",$BM294=0),"",IFERROR(LOOKUP(2,1/((Budgets!$A$2:$A$200=AR$1)*(Budgets!$B$2:$B$200&lt;EDATE($A294,1))),Budgets!$C$2:$C$200),0))</f>
        <v/>
      </c>
      <c r="AS294" s="23">
        <f>IF(OR(AS$1="",$BM294=0),"",IFERROR(LOOKUP(2,1/((Budgets!$A$2:$A$200=AS$1)*(Budgets!$B$2:$B$200&lt;EDATE($A294,1))),Budgets!$C$2:$C$200),0))</f>
        <v/>
      </c>
      <c r="AT294" s="23">
        <f>IF(OR(AT$1="",$BM294=0),"",IFERROR(LOOKUP(2,1/((Budgets!$A$2:$A$200=AT$1)*(Budgets!$B$2:$B$200&lt;EDATE($A294,1))),Budgets!$C$2:$C$200),0))</f>
        <v/>
      </c>
      <c r="AU294" s="23">
        <f>IF(OR(AU$1="",$BM294=0),"",IFERROR(LOOKUP(2,1/((Budgets!$A$2:$A$200=AU$1)*(Budgets!$B$2:$B$200&lt;EDATE($A294,1))),Budgets!$C$2:$C$200),0))</f>
        <v/>
      </c>
      <c r="AV294" s="23">
        <f>IF(OR(AV$1="",$BM294=0),"",IFERROR(LOOKUP(2,1/((Budgets!$A$2:$A$200=AV$1)*(Budgets!$B$2:$B$200&lt;EDATE($A294,1))),Budgets!$C$2:$C$200),0))</f>
        <v/>
      </c>
      <c r="AW294" s="23">
        <f>IF(OR(AW$1="",$BM294=0),"",IFERROR(LOOKUP(2,1/((Budgets!$A$2:$A$200=AW$1)*(Budgets!$B$2:$B$200&lt;EDATE($A294,1))),Budgets!$C$2:$C$200),0))</f>
        <v/>
      </c>
      <c r="AX294" s="23">
        <f>IF(OR(AX$1="",$BM294=0),"",IFERROR(LOOKUP(2,1/((Budgets!$A$2:$A$200=AX$1)*(Budgets!$B$2:$B$200&lt;EDATE($A294,1))),Budgets!$C$2:$C$200),0))</f>
        <v/>
      </c>
      <c r="AY294" s="23">
        <f>IF(OR(AY$1="",$BM294=0),"",IFERROR(LOOKUP(2,1/((Budgets!$A$2:$A$200=AY$1)*(Budgets!$B$2:$B$200&lt;EDATE($A294,1))),Budgets!$C$2:$C$200),0))</f>
        <v/>
      </c>
      <c r="AZ294" s="23">
        <f>IF(OR(AZ$1="",$BM294=0),"",IFERROR(LOOKUP(2,1/((Budgets!$A$2:$A$200=AZ$1)*(Budgets!$B$2:$B$200&lt;EDATE($A294,1))),Budgets!$C$2:$C$200),0))</f>
        <v/>
      </c>
      <c r="BA294" s="23">
        <f>IF(OR(BA$1="",$BM294=0),"",IFERROR(LOOKUP(2,1/((Budgets!$A$2:$A$200=BA$1)*(Budgets!$B$2:$B$200&lt;EDATE($A294,1))),Budgets!$C$2:$C$200),0))</f>
        <v/>
      </c>
      <c r="BB294" s="23">
        <f>IF(OR(BB$1="",$BM294=0),"",IFERROR(LOOKUP(2,1/((Budgets!$A$2:$A$200=BB$1)*(Budgets!$B$2:$B$200&lt;EDATE($A294,1))),Budgets!$C$2:$C$200),0))</f>
        <v/>
      </c>
      <c r="BC294" s="23">
        <f>IF(OR(BC$1="",$BM294=0),"",IFERROR(LOOKUP(2,1/((Budgets!$A$2:$A$200=BC$1)*(Budgets!$B$2:$B$200&lt;EDATE($A294,1))),Budgets!$C$2:$C$200),0))</f>
        <v/>
      </c>
      <c r="BD294" s="23">
        <f>IF(OR(BD$1="",$BM294=0),"",IFERROR(LOOKUP(2,1/((Budgets!$A$2:$A$200=BD$1)*(Budgets!$B$2:$B$200&lt;EDATE($A294,1))),Budgets!$C$2:$C$200),0))</f>
        <v/>
      </c>
      <c r="BE294" s="23">
        <f>IF(OR(BE$1="",$BM294=0),"",IFERROR(LOOKUP(2,1/((Budgets!$A$2:$A$200=BE$1)*(Budgets!$B$2:$B$200&lt;EDATE($A294,1))),Budgets!$C$2:$C$200),0))</f>
        <v/>
      </c>
      <c r="BF294" s="23">
        <f>IF(OR(BF$1="",$BM294=0),"",IFERROR(LOOKUP(2,1/((Budgets!$A$2:$A$200=BF$1)*(Budgets!$B$2:$B$200&lt;EDATE($A294,1))),Budgets!$C$2:$C$200),0))</f>
        <v/>
      </c>
      <c r="BG294" s="23">
        <f>IF(OR(BG$1="",$BM294=0),"",IFERROR(LOOKUP(2,1/((Budgets!$A$2:$A$200=BG$1)*(Budgets!$B$2:$B$200&lt;EDATE($A294,1))),Budgets!$C$2:$C$200),0))</f>
        <v/>
      </c>
      <c r="BH294" s="23">
        <f>IF(OR(BH$1="",$BM294=0),"",IFERROR(LOOKUP(2,1/((Budgets!$A$2:$A$200=BH$1)*(Budgets!$B$2:$B$200&lt;EDATE($A294,1))),Budgets!$C$2:$C$200),0))</f>
        <v/>
      </c>
      <c r="BI294" s="23">
        <f>IF(OR(BI$1="",$BM294=0),"",IFERROR(LOOKUP(2,1/((Budgets!$A$2:$A$200=BI$1)*(Budgets!$B$2:$B$200&lt;EDATE($A294,1))),Budgets!$C$2:$C$200),0))</f>
        <v/>
      </c>
      <c r="BJ294" s="23">
        <f>IF(OR(BJ$1="",$BM294=0),"",IFERROR(LOOKUP(2,1/((Budgets!$A$2:$A$200=BJ$1)*(Budgets!$B$2:$B$200&lt;EDATE($A294,1))),Budgets!$C$2:$C$200),0))</f>
        <v/>
      </c>
      <c r="BK294" s="23">
        <f>IF(OR(BK$1="",$BM294=0),"",IFERROR(LOOKUP(2,1/((Budgets!$A$2:$A$200=BK$1)*(Budgets!$B$2:$B$200&lt;EDATE($A294,1))),Budgets!$C$2:$C$200),0))</f>
        <v/>
      </c>
      <c r="BM294" s="21">
        <f>COUNTIFS(Entries!$A$2:$A$5000,"&gt;="&amp;$A294,Entries!$A$2:$A$5000,"&lt;"&amp;EDATE($A294,1))</f>
        <v/>
      </c>
    </row>
    <row r="295">
      <c r="A295" s="22" t="n">
        <v>48366</v>
      </c>
      <c r="B295" s="23">
        <f>IF($BM295=0,NA(),SUMIFS(Entries!$E$2:$E$5000,Entries!$C$2:$C$5000,"Income",Entries!$A$2:$A$5000,"&gt;="&amp;$A295,Entries!$A$2:$A$5000,"&lt;"&amp;EDATE($A295,1)))</f>
        <v/>
      </c>
      <c r="C295" s="23">
        <f>IF($BM295=0,"",SUMIFS(Entries!$E$2:$E$5000,Entries!$C$2:$C$5000,"Actual",Entries!$A$2:$A$5000,"&gt;="&amp;$A295,Entries!$A$2:$A$5000,"&lt;"&amp;EDATE($A295,1)))</f>
        <v/>
      </c>
      <c r="D295" s="23">
        <f>IF($BM295=0,"",SUMIFS(Entries!$E$2:$E$5000,Entries!$C$2:$C$5000,"One-off",Entries!$A$2:$A$5000,"&gt;="&amp;$A295,Entries!$A$2:$A$5000,"&lt;"&amp;EDATE($A295,1)))</f>
        <v/>
      </c>
      <c r="E295" s="23">
        <f>IF($BM295=0,NA(),C295+D295)</f>
        <v/>
      </c>
      <c r="F295" s="23">
        <f>IF($BM295=0,"",SUM(AR295:BK295))</f>
        <v/>
      </c>
      <c r="G295" s="23">
        <f>IF($BM295=0,"",B295-E295)</f>
        <v/>
      </c>
      <c r="H295" s="23">
        <f>IF($BM295=0,"",SUM($G$2:G295))</f>
        <v/>
      </c>
      <c r="I295" s="23">
        <f>IF($BM295=0,"",SUMIFS(Entries!$G$2:$G$5000,Entries!$A$2:$A$5000,"&gt;="&amp;$A295,Entries!$A$2:$A$5000,"&lt;"&amp;EDATE($A295,1)))</f>
        <v/>
      </c>
      <c r="J295" s="23">
        <f>IF($BM295=0,NA(),H295)</f>
        <v/>
      </c>
      <c r="K295" s="23">
        <f>IF($BM295=0,"",SUMIFS(Entries!$E$2:$E$5000,Entries!$C$2:$C$5000,"Income",Entries!$A$2:$A$5000,"&gt;="&amp;EDATE($A295,-11),Entries!$A$2:$A$5000,"&lt;"&amp;EDATE($A295,1))/COUNTIFS($A$2:$A$400,"&gt;="&amp;EDATE($A295,-11),$A$2:$A$400,"&lt;"&amp;EDATE($A295,1),$BM$2:$BM$400,"&gt;0"))</f>
      </c>
      <c r="L295" s="23">
        <f>IF($BM295=0,"",(SUMIFS(Entries!$E$2:$E$5000,Entries!$C$2:$C$5000,"Actual",Entries!$A$2:$A$5000,"&gt;="&amp;EDATE($A295,-11),Entries!$A$2:$A$5000,"&lt;"&amp;EDATE($A295,1))+SUMIFS(Entries!$E$2:$E$5000,Entries!$C$2:$C$5000,"One-off",Entries!$A$2:$A$5000,"&gt;="&amp;EDATE($A295,-11),Entries!$A$2:$A$5000,"&lt;"&amp;EDATE($A295,1)))/COUNTIFS($A$2:$A$400,"&gt;="&amp;EDATE($A295,-11),$A$2:$A$400,"&lt;"&amp;EDATE($A295,1),$BM$2:$BM$400,"&gt;0"))</f>
      </c>
      <c r="M295" s="24">
        <f>IF($BM295=0,NA(),IFERROR((K295-L295)/K295,0))</f>
        <v/>
      </c>
      <c r="N295" s="23">
        <f>IF($BM295=0,NA(),SUMIFS(Entries!$E$2:$E$5000,Entries!$D$2:$D$5000,"Core",Entries!$A$2:$A$5000,"&gt;="&amp;$A295,Entries!$A$2:$A$5000,"&lt;"&amp;EDATE($A295,1)))</f>
        <v/>
      </c>
      <c r="O295" s="23">
        <f>IF($BM295=0,NA(),SUMIFS(Entries!$E$2:$E$5000,Entries!$D$2:$D$5000,"Over &amp; above",Entries!$A$2:$A$5000,"&gt;="&amp;$A295,Entries!$A$2:$A$5000,"&lt;"&amp;EDATE($A295,1)))</f>
        <v/>
      </c>
      <c r="P295" s="23">
        <f>IF($BM295=0,NA(),SUMIFS(Entries!$E$2:$E$5000,Entries!$D$2:$D$5000,"One-off",Entries!$A$2:$A$5000,"&gt;="&amp;$A295,Entries!$A$2:$A$5000,"&lt;"&amp;EDATE($A295,1)))</f>
        <v/>
      </c>
      <c r="Q295" s="23">
        <f>IF($BM295=0,NA(),SUMIFS(Entries!$E$2:$E$5000,Entries!$D$2:$D$5000,"Reimbursable",Entries!$A$2:$A$5000,"&gt;="&amp;$A295,Entries!$A$2:$A$5000,"&lt;"&amp;EDATE($A295,1)))</f>
        <v/>
      </c>
      <c r="R295" s="23">
        <f>IF($BM295=0,NA(),SUMIFS(Entries!$E$2:$E$5000,Entries!$D$2:$D$5000,"Investment",Entries!$A$2:$A$5000,"&gt;="&amp;$A295,Entries!$A$2:$A$5000,"&lt;"&amp;EDATE($A295,1)))</f>
        <v/>
      </c>
      <c r="S295" s="23">
        <f>IF($BM295=0,NA(),N295+O295)</f>
        <v/>
      </c>
      <c r="T295" s="23">
        <f>IF($BM295=0,"",E295-Q295)</f>
        <v/>
      </c>
      <c r="W295" s="23">
        <f>IF(OR(W$1="",$BM295=0),"",SUMIFS(Entries!$E$2:$E$5000,Entries!$C$2:$C$5000,"Actual",Entries!$A$2:$A$5000,"&gt;="&amp;$A295,Entries!$A$2:$A$5000,"&lt;"&amp;EDATE($A295,1),Entries!$B$2:$B$5000,W$1))</f>
        <v/>
      </c>
      <c r="X295" s="23">
        <f>IF(OR(X$1="",$BM295=0),"",SUMIFS(Entries!$E$2:$E$5000,Entries!$C$2:$C$5000,"Actual",Entries!$A$2:$A$5000,"&gt;="&amp;$A295,Entries!$A$2:$A$5000,"&lt;"&amp;EDATE($A295,1),Entries!$B$2:$B$5000,X$1))</f>
        <v/>
      </c>
      <c r="Y295" s="23">
        <f>IF(OR(Y$1="",$BM295=0),"",SUMIFS(Entries!$E$2:$E$5000,Entries!$C$2:$C$5000,"Actual",Entries!$A$2:$A$5000,"&gt;="&amp;$A295,Entries!$A$2:$A$5000,"&lt;"&amp;EDATE($A295,1),Entries!$B$2:$B$5000,Y$1))</f>
        <v/>
      </c>
      <c r="Z295" s="23">
        <f>IF(OR(Z$1="",$BM295=0),"",SUMIFS(Entries!$E$2:$E$5000,Entries!$C$2:$C$5000,"Actual",Entries!$A$2:$A$5000,"&gt;="&amp;$A295,Entries!$A$2:$A$5000,"&lt;"&amp;EDATE($A295,1),Entries!$B$2:$B$5000,Z$1))</f>
        <v/>
      </c>
      <c r="AA295" s="23">
        <f>IF(OR(AA$1="",$BM295=0),"",SUMIFS(Entries!$E$2:$E$5000,Entries!$C$2:$C$5000,"Actual",Entries!$A$2:$A$5000,"&gt;="&amp;$A295,Entries!$A$2:$A$5000,"&lt;"&amp;EDATE($A295,1),Entries!$B$2:$B$5000,AA$1))</f>
        <v/>
      </c>
      <c r="AB295" s="23">
        <f>IF(OR(AB$1="",$BM295=0),"",SUMIFS(Entries!$E$2:$E$5000,Entries!$C$2:$C$5000,"Actual",Entries!$A$2:$A$5000,"&gt;="&amp;$A295,Entries!$A$2:$A$5000,"&lt;"&amp;EDATE($A295,1),Entries!$B$2:$B$5000,AB$1))</f>
        <v/>
      </c>
      <c r="AC295" s="23">
        <f>IF(OR(AC$1="",$BM295=0),"",SUMIFS(Entries!$E$2:$E$5000,Entries!$C$2:$C$5000,"Actual",Entries!$A$2:$A$5000,"&gt;="&amp;$A295,Entries!$A$2:$A$5000,"&lt;"&amp;EDATE($A295,1),Entries!$B$2:$B$5000,AC$1))</f>
        <v/>
      </c>
      <c r="AD295" s="23">
        <f>IF(OR(AD$1="",$BM295=0),"",SUMIFS(Entries!$E$2:$E$5000,Entries!$C$2:$C$5000,"Actual",Entries!$A$2:$A$5000,"&gt;="&amp;$A295,Entries!$A$2:$A$5000,"&lt;"&amp;EDATE($A295,1),Entries!$B$2:$B$5000,AD$1))</f>
        <v/>
      </c>
      <c r="AE295" s="23">
        <f>IF(OR(AE$1="",$BM295=0),"",SUMIFS(Entries!$E$2:$E$5000,Entries!$C$2:$C$5000,"Actual",Entries!$A$2:$A$5000,"&gt;="&amp;$A295,Entries!$A$2:$A$5000,"&lt;"&amp;EDATE($A295,1),Entries!$B$2:$B$5000,AE$1))</f>
        <v/>
      </c>
      <c r="AF295" s="23">
        <f>IF(OR(AF$1="",$BM295=0),"",SUMIFS(Entries!$E$2:$E$5000,Entries!$C$2:$C$5000,"Actual",Entries!$A$2:$A$5000,"&gt;="&amp;$A295,Entries!$A$2:$A$5000,"&lt;"&amp;EDATE($A295,1),Entries!$B$2:$B$5000,AF$1))</f>
        <v/>
      </c>
      <c r="AG295" s="23">
        <f>IF(OR(AG$1="",$BM295=0),"",SUMIFS(Entries!$E$2:$E$5000,Entries!$C$2:$C$5000,"Actual",Entries!$A$2:$A$5000,"&gt;="&amp;$A295,Entries!$A$2:$A$5000,"&lt;"&amp;EDATE($A295,1),Entries!$B$2:$B$5000,AG$1))</f>
        <v/>
      </c>
      <c r="AH295" s="23">
        <f>IF(OR(AH$1="",$BM295=0),"",SUMIFS(Entries!$E$2:$E$5000,Entries!$C$2:$C$5000,"Actual",Entries!$A$2:$A$5000,"&gt;="&amp;$A295,Entries!$A$2:$A$5000,"&lt;"&amp;EDATE($A295,1),Entries!$B$2:$B$5000,AH$1))</f>
        <v/>
      </c>
      <c r="AI295" s="23">
        <f>IF(OR(AI$1="",$BM295=0),"",SUMIFS(Entries!$E$2:$E$5000,Entries!$C$2:$C$5000,"Actual",Entries!$A$2:$A$5000,"&gt;="&amp;$A295,Entries!$A$2:$A$5000,"&lt;"&amp;EDATE($A295,1),Entries!$B$2:$B$5000,AI$1))</f>
        <v/>
      </c>
      <c r="AJ295" s="23">
        <f>IF(OR(AJ$1="",$BM295=0),"",SUMIFS(Entries!$E$2:$E$5000,Entries!$C$2:$C$5000,"Actual",Entries!$A$2:$A$5000,"&gt;="&amp;$A295,Entries!$A$2:$A$5000,"&lt;"&amp;EDATE($A295,1),Entries!$B$2:$B$5000,AJ$1))</f>
        <v/>
      </c>
      <c r="AK295" s="23">
        <f>IF(OR(AK$1="",$BM295=0),"",SUMIFS(Entries!$E$2:$E$5000,Entries!$C$2:$C$5000,"Actual",Entries!$A$2:$A$5000,"&gt;="&amp;$A295,Entries!$A$2:$A$5000,"&lt;"&amp;EDATE($A295,1),Entries!$B$2:$B$5000,AK$1))</f>
        <v/>
      </c>
      <c r="AL295" s="23">
        <f>IF(OR(AL$1="",$BM295=0),"",SUMIFS(Entries!$E$2:$E$5000,Entries!$C$2:$C$5000,"Actual",Entries!$A$2:$A$5000,"&gt;="&amp;$A295,Entries!$A$2:$A$5000,"&lt;"&amp;EDATE($A295,1),Entries!$B$2:$B$5000,AL$1))</f>
        <v/>
      </c>
      <c r="AM295" s="23">
        <f>IF(OR(AM$1="",$BM295=0),"",SUMIFS(Entries!$E$2:$E$5000,Entries!$C$2:$C$5000,"Actual",Entries!$A$2:$A$5000,"&gt;="&amp;$A295,Entries!$A$2:$A$5000,"&lt;"&amp;EDATE($A295,1),Entries!$B$2:$B$5000,AM$1))</f>
        <v/>
      </c>
      <c r="AN295" s="23">
        <f>IF(OR(AN$1="",$BM295=0),"",SUMIFS(Entries!$E$2:$E$5000,Entries!$C$2:$C$5000,"Actual",Entries!$A$2:$A$5000,"&gt;="&amp;$A295,Entries!$A$2:$A$5000,"&lt;"&amp;EDATE($A295,1),Entries!$B$2:$B$5000,AN$1))</f>
        <v/>
      </c>
      <c r="AO295" s="23">
        <f>IF(OR(AO$1="",$BM295=0),"",SUMIFS(Entries!$E$2:$E$5000,Entries!$C$2:$C$5000,"Actual",Entries!$A$2:$A$5000,"&gt;="&amp;$A295,Entries!$A$2:$A$5000,"&lt;"&amp;EDATE($A295,1),Entries!$B$2:$B$5000,AO$1))</f>
        <v/>
      </c>
      <c r="AP295" s="23">
        <f>IF(OR(AP$1="",$BM295=0),"",SUMIFS(Entries!$E$2:$E$5000,Entries!$C$2:$C$5000,"Actual",Entries!$A$2:$A$5000,"&gt;="&amp;$A295,Entries!$A$2:$A$5000,"&lt;"&amp;EDATE($A295,1),Entries!$B$2:$B$5000,AP$1))</f>
        <v/>
      </c>
      <c r="AR295" s="23">
        <f>IF(OR(AR$1="",$BM295=0),"",IFERROR(LOOKUP(2,1/((Budgets!$A$2:$A$200=AR$1)*(Budgets!$B$2:$B$200&lt;EDATE($A295,1))),Budgets!$C$2:$C$200),0))</f>
        <v/>
      </c>
      <c r="AS295" s="23">
        <f>IF(OR(AS$1="",$BM295=0),"",IFERROR(LOOKUP(2,1/((Budgets!$A$2:$A$200=AS$1)*(Budgets!$B$2:$B$200&lt;EDATE($A295,1))),Budgets!$C$2:$C$200),0))</f>
        <v/>
      </c>
      <c r="AT295" s="23">
        <f>IF(OR(AT$1="",$BM295=0),"",IFERROR(LOOKUP(2,1/((Budgets!$A$2:$A$200=AT$1)*(Budgets!$B$2:$B$200&lt;EDATE($A295,1))),Budgets!$C$2:$C$200),0))</f>
        <v/>
      </c>
      <c r="AU295" s="23">
        <f>IF(OR(AU$1="",$BM295=0),"",IFERROR(LOOKUP(2,1/((Budgets!$A$2:$A$200=AU$1)*(Budgets!$B$2:$B$200&lt;EDATE($A295,1))),Budgets!$C$2:$C$200),0))</f>
        <v/>
      </c>
      <c r="AV295" s="23">
        <f>IF(OR(AV$1="",$BM295=0),"",IFERROR(LOOKUP(2,1/((Budgets!$A$2:$A$200=AV$1)*(Budgets!$B$2:$B$200&lt;EDATE($A295,1))),Budgets!$C$2:$C$200),0))</f>
        <v/>
      </c>
      <c r="AW295" s="23">
        <f>IF(OR(AW$1="",$BM295=0),"",IFERROR(LOOKUP(2,1/((Budgets!$A$2:$A$200=AW$1)*(Budgets!$B$2:$B$200&lt;EDATE($A295,1))),Budgets!$C$2:$C$200),0))</f>
        <v/>
      </c>
      <c r="AX295" s="23">
        <f>IF(OR(AX$1="",$BM295=0),"",IFERROR(LOOKUP(2,1/((Budgets!$A$2:$A$200=AX$1)*(Budgets!$B$2:$B$200&lt;EDATE($A295,1))),Budgets!$C$2:$C$200),0))</f>
        <v/>
      </c>
      <c r="AY295" s="23">
        <f>IF(OR(AY$1="",$BM295=0),"",IFERROR(LOOKUP(2,1/((Budgets!$A$2:$A$200=AY$1)*(Budgets!$B$2:$B$200&lt;EDATE($A295,1))),Budgets!$C$2:$C$200),0))</f>
        <v/>
      </c>
      <c r="AZ295" s="23">
        <f>IF(OR(AZ$1="",$BM295=0),"",IFERROR(LOOKUP(2,1/((Budgets!$A$2:$A$200=AZ$1)*(Budgets!$B$2:$B$200&lt;EDATE($A295,1))),Budgets!$C$2:$C$200),0))</f>
        <v/>
      </c>
      <c r="BA295" s="23">
        <f>IF(OR(BA$1="",$BM295=0),"",IFERROR(LOOKUP(2,1/((Budgets!$A$2:$A$200=BA$1)*(Budgets!$B$2:$B$200&lt;EDATE($A295,1))),Budgets!$C$2:$C$200),0))</f>
        <v/>
      </c>
      <c r="BB295" s="23">
        <f>IF(OR(BB$1="",$BM295=0),"",IFERROR(LOOKUP(2,1/((Budgets!$A$2:$A$200=BB$1)*(Budgets!$B$2:$B$200&lt;EDATE($A295,1))),Budgets!$C$2:$C$200),0))</f>
        <v/>
      </c>
      <c r="BC295" s="23">
        <f>IF(OR(BC$1="",$BM295=0),"",IFERROR(LOOKUP(2,1/((Budgets!$A$2:$A$200=BC$1)*(Budgets!$B$2:$B$200&lt;EDATE($A295,1))),Budgets!$C$2:$C$200),0))</f>
        <v/>
      </c>
      <c r="BD295" s="23">
        <f>IF(OR(BD$1="",$BM295=0),"",IFERROR(LOOKUP(2,1/((Budgets!$A$2:$A$200=BD$1)*(Budgets!$B$2:$B$200&lt;EDATE($A295,1))),Budgets!$C$2:$C$200),0))</f>
        <v/>
      </c>
      <c r="BE295" s="23">
        <f>IF(OR(BE$1="",$BM295=0),"",IFERROR(LOOKUP(2,1/((Budgets!$A$2:$A$200=BE$1)*(Budgets!$B$2:$B$200&lt;EDATE($A295,1))),Budgets!$C$2:$C$200),0))</f>
        <v/>
      </c>
      <c r="BF295" s="23">
        <f>IF(OR(BF$1="",$BM295=0),"",IFERROR(LOOKUP(2,1/((Budgets!$A$2:$A$200=BF$1)*(Budgets!$B$2:$B$200&lt;EDATE($A295,1))),Budgets!$C$2:$C$200),0))</f>
        <v/>
      </c>
      <c r="BG295" s="23">
        <f>IF(OR(BG$1="",$BM295=0),"",IFERROR(LOOKUP(2,1/((Budgets!$A$2:$A$200=BG$1)*(Budgets!$B$2:$B$200&lt;EDATE($A295,1))),Budgets!$C$2:$C$200),0))</f>
        <v/>
      </c>
      <c r="BH295" s="23">
        <f>IF(OR(BH$1="",$BM295=0),"",IFERROR(LOOKUP(2,1/((Budgets!$A$2:$A$200=BH$1)*(Budgets!$B$2:$B$200&lt;EDATE($A295,1))),Budgets!$C$2:$C$200),0))</f>
        <v/>
      </c>
      <c r="BI295" s="23">
        <f>IF(OR(BI$1="",$BM295=0),"",IFERROR(LOOKUP(2,1/((Budgets!$A$2:$A$200=BI$1)*(Budgets!$B$2:$B$200&lt;EDATE($A295,1))),Budgets!$C$2:$C$200),0))</f>
        <v/>
      </c>
      <c r="BJ295" s="23">
        <f>IF(OR(BJ$1="",$BM295=0),"",IFERROR(LOOKUP(2,1/((Budgets!$A$2:$A$200=BJ$1)*(Budgets!$B$2:$B$200&lt;EDATE($A295,1))),Budgets!$C$2:$C$200),0))</f>
        <v/>
      </c>
      <c r="BK295" s="23">
        <f>IF(OR(BK$1="",$BM295=0),"",IFERROR(LOOKUP(2,1/((Budgets!$A$2:$A$200=BK$1)*(Budgets!$B$2:$B$200&lt;EDATE($A295,1))),Budgets!$C$2:$C$200),0))</f>
        <v/>
      </c>
      <c r="BM295" s="21">
        <f>COUNTIFS(Entries!$A$2:$A$5000,"&gt;="&amp;$A295,Entries!$A$2:$A$5000,"&lt;"&amp;EDATE($A295,1))</f>
        <v/>
      </c>
    </row>
    <row r="296">
      <c r="A296" s="22" t="n">
        <v>48396</v>
      </c>
      <c r="B296" s="23">
        <f>IF($BM296=0,NA(),SUMIFS(Entries!$E$2:$E$5000,Entries!$C$2:$C$5000,"Income",Entries!$A$2:$A$5000,"&gt;="&amp;$A296,Entries!$A$2:$A$5000,"&lt;"&amp;EDATE($A296,1)))</f>
        <v/>
      </c>
      <c r="C296" s="23">
        <f>IF($BM296=0,"",SUMIFS(Entries!$E$2:$E$5000,Entries!$C$2:$C$5000,"Actual",Entries!$A$2:$A$5000,"&gt;="&amp;$A296,Entries!$A$2:$A$5000,"&lt;"&amp;EDATE($A296,1)))</f>
        <v/>
      </c>
      <c r="D296" s="23">
        <f>IF($BM296=0,"",SUMIFS(Entries!$E$2:$E$5000,Entries!$C$2:$C$5000,"One-off",Entries!$A$2:$A$5000,"&gt;="&amp;$A296,Entries!$A$2:$A$5000,"&lt;"&amp;EDATE($A296,1)))</f>
        <v/>
      </c>
      <c r="E296" s="23">
        <f>IF($BM296=0,NA(),C296+D296)</f>
        <v/>
      </c>
      <c r="F296" s="23">
        <f>IF($BM296=0,"",SUM(AR296:BK296))</f>
        <v/>
      </c>
      <c r="G296" s="23">
        <f>IF($BM296=0,"",B296-E296)</f>
        <v/>
      </c>
      <c r="H296" s="23">
        <f>IF($BM296=0,"",SUM($G$2:G296))</f>
        <v/>
      </c>
      <c r="I296" s="23">
        <f>IF($BM296=0,"",SUMIFS(Entries!$G$2:$G$5000,Entries!$A$2:$A$5000,"&gt;="&amp;$A296,Entries!$A$2:$A$5000,"&lt;"&amp;EDATE($A296,1)))</f>
        <v/>
      </c>
      <c r="J296" s="23">
        <f>IF($BM296=0,NA(),H296)</f>
        <v/>
      </c>
      <c r="K296" s="23">
        <f>IF($BM296=0,"",SUMIFS(Entries!$E$2:$E$5000,Entries!$C$2:$C$5000,"Income",Entries!$A$2:$A$5000,"&gt;="&amp;EDATE($A296,-11),Entries!$A$2:$A$5000,"&lt;"&amp;EDATE($A296,1))/COUNTIFS($A$2:$A$400,"&gt;="&amp;EDATE($A296,-11),$A$2:$A$400,"&lt;"&amp;EDATE($A296,1),$BM$2:$BM$400,"&gt;0"))</f>
      </c>
      <c r="L296" s="23">
        <f>IF($BM296=0,"",(SUMIFS(Entries!$E$2:$E$5000,Entries!$C$2:$C$5000,"Actual",Entries!$A$2:$A$5000,"&gt;="&amp;EDATE($A296,-11),Entries!$A$2:$A$5000,"&lt;"&amp;EDATE($A296,1))+SUMIFS(Entries!$E$2:$E$5000,Entries!$C$2:$C$5000,"One-off",Entries!$A$2:$A$5000,"&gt;="&amp;EDATE($A296,-11),Entries!$A$2:$A$5000,"&lt;"&amp;EDATE($A296,1)))/COUNTIFS($A$2:$A$400,"&gt;="&amp;EDATE($A296,-11),$A$2:$A$400,"&lt;"&amp;EDATE($A296,1),$BM$2:$BM$400,"&gt;0"))</f>
      </c>
      <c r="M296" s="24">
        <f>IF($BM296=0,NA(),IFERROR((K296-L296)/K296,0))</f>
        <v/>
      </c>
      <c r="N296" s="23">
        <f>IF($BM296=0,NA(),SUMIFS(Entries!$E$2:$E$5000,Entries!$D$2:$D$5000,"Core",Entries!$A$2:$A$5000,"&gt;="&amp;$A296,Entries!$A$2:$A$5000,"&lt;"&amp;EDATE($A296,1)))</f>
        <v/>
      </c>
      <c r="O296" s="23">
        <f>IF($BM296=0,NA(),SUMIFS(Entries!$E$2:$E$5000,Entries!$D$2:$D$5000,"Over &amp; above",Entries!$A$2:$A$5000,"&gt;="&amp;$A296,Entries!$A$2:$A$5000,"&lt;"&amp;EDATE($A296,1)))</f>
        <v/>
      </c>
      <c r="P296" s="23">
        <f>IF($BM296=0,NA(),SUMIFS(Entries!$E$2:$E$5000,Entries!$D$2:$D$5000,"One-off",Entries!$A$2:$A$5000,"&gt;="&amp;$A296,Entries!$A$2:$A$5000,"&lt;"&amp;EDATE($A296,1)))</f>
        <v/>
      </c>
      <c r="Q296" s="23">
        <f>IF($BM296=0,NA(),SUMIFS(Entries!$E$2:$E$5000,Entries!$D$2:$D$5000,"Reimbursable",Entries!$A$2:$A$5000,"&gt;="&amp;$A296,Entries!$A$2:$A$5000,"&lt;"&amp;EDATE($A296,1)))</f>
        <v/>
      </c>
      <c r="R296" s="23">
        <f>IF($BM296=0,NA(),SUMIFS(Entries!$E$2:$E$5000,Entries!$D$2:$D$5000,"Investment",Entries!$A$2:$A$5000,"&gt;="&amp;$A296,Entries!$A$2:$A$5000,"&lt;"&amp;EDATE($A296,1)))</f>
        <v/>
      </c>
      <c r="S296" s="23">
        <f>IF($BM296=0,NA(),N296+O296)</f>
        <v/>
      </c>
      <c r="T296" s="23">
        <f>IF($BM296=0,"",E296-Q296)</f>
        <v/>
      </c>
      <c r="W296" s="23">
        <f>IF(OR(W$1="",$BM296=0),"",SUMIFS(Entries!$E$2:$E$5000,Entries!$C$2:$C$5000,"Actual",Entries!$A$2:$A$5000,"&gt;="&amp;$A296,Entries!$A$2:$A$5000,"&lt;"&amp;EDATE($A296,1),Entries!$B$2:$B$5000,W$1))</f>
        <v/>
      </c>
      <c r="X296" s="23">
        <f>IF(OR(X$1="",$BM296=0),"",SUMIFS(Entries!$E$2:$E$5000,Entries!$C$2:$C$5000,"Actual",Entries!$A$2:$A$5000,"&gt;="&amp;$A296,Entries!$A$2:$A$5000,"&lt;"&amp;EDATE($A296,1),Entries!$B$2:$B$5000,X$1))</f>
        <v/>
      </c>
      <c r="Y296" s="23">
        <f>IF(OR(Y$1="",$BM296=0),"",SUMIFS(Entries!$E$2:$E$5000,Entries!$C$2:$C$5000,"Actual",Entries!$A$2:$A$5000,"&gt;="&amp;$A296,Entries!$A$2:$A$5000,"&lt;"&amp;EDATE($A296,1),Entries!$B$2:$B$5000,Y$1))</f>
        <v/>
      </c>
      <c r="Z296" s="23">
        <f>IF(OR(Z$1="",$BM296=0),"",SUMIFS(Entries!$E$2:$E$5000,Entries!$C$2:$C$5000,"Actual",Entries!$A$2:$A$5000,"&gt;="&amp;$A296,Entries!$A$2:$A$5000,"&lt;"&amp;EDATE($A296,1),Entries!$B$2:$B$5000,Z$1))</f>
        <v/>
      </c>
      <c r="AA296" s="23">
        <f>IF(OR(AA$1="",$BM296=0),"",SUMIFS(Entries!$E$2:$E$5000,Entries!$C$2:$C$5000,"Actual",Entries!$A$2:$A$5000,"&gt;="&amp;$A296,Entries!$A$2:$A$5000,"&lt;"&amp;EDATE($A296,1),Entries!$B$2:$B$5000,AA$1))</f>
        <v/>
      </c>
      <c r="AB296" s="23">
        <f>IF(OR(AB$1="",$BM296=0),"",SUMIFS(Entries!$E$2:$E$5000,Entries!$C$2:$C$5000,"Actual",Entries!$A$2:$A$5000,"&gt;="&amp;$A296,Entries!$A$2:$A$5000,"&lt;"&amp;EDATE($A296,1),Entries!$B$2:$B$5000,AB$1))</f>
        <v/>
      </c>
      <c r="AC296" s="23">
        <f>IF(OR(AC$1="",$BM296=0),"",SUMIFS(Entries!$E$2:$E$5000,Entries!$C$2:$C$5000,"Actual",Entries!$A$2:$A$5000,"&gt;="&amp;$A296,Entries!$A$2:$A$5000,"&lt;"&amp;EDATE($A296,1),Entries!$B$2:$B$5000,AC$1))</f>
        <v/>
      </c>
      <c r="AD296" s="23">
        <f>IF(OR(AD$1="",$BM296=0),"",SUMIFS(Entries!$E$2:$E$5000,Entries!$C$2:$C$5000,"Actual",Entries!$A$2:$A$5000,"&gt;="&amp;$A296,Entries!$A$2:$A$5000,"&lt;"&amp;EDATE($A296,1),Entries!$B$2:$B$5000,AD$1))</f>
        <v/>
      </c>
      <c r="AE296" s="23">
        <f>IF(OR(AE$1="",$BM296=0),"",SUMIFS(Entries!$E$2:$E$5000,Entries!$C$2:$C$5000,"Actual",Entries!$A$2:$A$5000,"&gt;="&amp;$A296,Entries!$A$2:$A$5000,"&lt;"&amp;EDATE($A296,1),Entries!$B$2:$B$5000,AE$1))</f>
        <v/>
      </c>
      <c r="AF296" s="23">
        <f>IF(OR(AF$1="",$BM296=0),"",SUMIFS(Entries!$E$2:$E$5000,Entries!$C$2:$C$5000,"Actual",Entries!$A$2:$A$5000,"&gt;="&amp;$A296,Entries!$A$2:$A$5000,"&lt;"&amp;EDATE($A296,1),Entries!$B$2:$B$5000,AF$1))</f>
        <v/>
      </c>
      <c r="AG296" s="23">
        <f>IF(OR(AG$1="",$BM296=0),"",SUMIFS(Entries!$E$2:$E$5000,Entries!$C$2:$C$5000,"Actual",Entries!$A$2:$A$5000,"&gt;="&amp;$A296,Entries!$A$2:$A$5000,"&lt;"&amp;EDATE($A296,1),Entries!$B$2:$B$5000,AG$1))</f>
        <v/>
      </c>
      <c r="AH296" s="23">
        <f>IF(OR(AH$1="",$BM296=0),"",SUMIFS(Entries!$E$2:$E$5000,Entries!$C$2:$C$5000,"Actual",Entries!$A$2:$A$5000,"&gt;="&amp;$A296,Entries!$A$2:$A$5000,"&lt;"&amp;EDATE($A296,1),Entries!$B$2:$B$5000,AH$1))</f>
        <v/>
      </c>
      <c r="AI296" s="23">
        <f>IF(OR(AI$1="",$BM296=0),"",SUMIFS(Entries!$E$2:$E$5000,Entries!$C$2:$C$5000,"Actual",Entries!$A$2:$A$5000,"&gt;="&amp;$A296,Entries!$A$2:$A$5000,"&lt;"&amp;EDATE($A296,1),Entries!$B$2:$B$5000,AI$1))</f>
        <v/>
      </c>
      <c r="AJ296" s="23">
        <f>IF(OR(AJ$1="",$BM296=0),"",SUMIFS(Entries!$E$2:$E$5000,Entries!$C$2:$C$5000,"Actual",Entries!$A$2:$A$5000,"&gt;="&amp;$A296,Entries!$A$2:$A$5000,"&lt;"&amp;EDATE($A296,1),Entries!$B$2:$B$5000,AJ$1))</f>
        <v/>
      </c>
      <c r="AK296" s="23">
        <f>IF(OR(AK$1="",$BM296=0),"",SUMIFS(Entries!$E$2:$E$5000,Entries!$C$2:$C$5000,"Actual",Entries!$A$2:$A$5000,"&gt;="&amp;$A296,Entries!$A$2:$A$5000,"&lt;"&amp;EDATE($A296,1),Entries!$B$2:$B$5000,AK$1))</f>
        <v/>
      </c>
      <c r="AL296" s="23">
        <f>IF(OR(AL$1="",$BM296=0),"",SUMIFS(Entries!$E$2:$E$5000,Entries!$C$2:$C$5000,"Actual",Entries!$A$2:$A$5000,"&gt;="&amp;$A296,Entries!$A$2:$A$5000,"&lt;"&amp;EDATE($A296,1),Entries!$B$2:$B$5000,AL$1))</f>
        <v/>
      </c>
      <c r="AM296" s="23">
        <f>IF(OR(AM$1="",$BM296=0),"",SUMIFS(Entries!$E$2:$E$5000,Entries!$C$2:$C$5000,"Actual",Entries!$A$2:$A$5000,"&gt;="&amp;$A296,Entries!$A$2:$A$5000,"&lt;"&amp;EDATE($A296,1),Entries!$B$2:$B$5000,AM$1))</f>
        <v/>
      </c>
      <c r="AN296" s="23">
        <f>IF(OR(AN$1="",$BM296=0),"",SUMIFS(Entries!$E$2:$E$5000,Entries!$C$2:$C$5000,"Actual",Entries!$A$2:$A$5000,"&gt;="&amp;$A296,Entries!$A$2:$A$5000,"&lt;"&amp;EDATE($A296,1),Entries!$B$2:$B$5000,AN$1))</f>
        <v/>
      </c>
      <c r="AO296" s="23">
        <f>IF(OR(AO$1="",$BM296=0),"",SUMIFS(Entries!$E$2:$E$5000,Entries!$C$2:$C$5000,"Actual",Entries!$A$2:$A$5000,"&gt;="&amp;$A296,Entries!$A$2:$A$5000,"&lt;"&amp;EDATE($A296,1),Entries!$B$2:$B$5000,AO$1))</f>
        <v/>
      </c>
      <c r="AP296" s="23">
        <f>IF(OR(AP$1="",$BM296=0),"",SUMIFS(Entries!$E$2:$E$5000,Entries!$C$2:$C$5000,"Actual",Entries!$A$2:$A$5000,"&gt;="&amp;$A296,Entries!$A$2:$A$5000,"&lt;"&amp;EDATE($A296,1),Entries!$B$2:$B$5000,AP$1))</f>
        <v/>
      </c>
      <c r="AR296" s="23">
        <f>IF(OR(AR$1="",$BM296=0),"",IFERROR(LOOKUP(2,1/((Budgets!$A$2:$A$200=AR$1)*(Budgets!$B$2:$B$200&lt;EDATE($A296,1))),Budgets!$C$2:$C$200),0))</f>
        <v/>
      </c>
      <c r="AS296" s="23">
        <f>IF(OR(AS$1="",$BM296=0),"",IFERROR(LOOKUP(2,1/((Budgets!$A$2:$A$200=AS$1)*(Budgets!$B$2:$B$200&lt;EDATE($A296,1))),Budgets!$C$2:$C$200),0))</f>
        <v/>
      </c>
      <c r="AT296" s="23">
        <f>IF(OR(AT$1="",$BM296=0),"",IFERROR(LOOKUP(2,1/((Budgets!$A$2:$A$200=AT$1)*(Budgets!$B$2:$B$200&lt;EDATE($A296,1))),Budgets!$C$2:$C$200),0))</f>
        <v/>
      </c>
      <c r="AU296" s="23">
        <f>IF(OR(AU$1="",$BM296=0),"",IFERROR(LOOKUP(2,1/((Budgets!$A$2:$A$200=AU$1)*(Budgets!$B$2:$B$200&lt;EDATE($A296,1))),Budgets!$C$2:$C$200),0))</f>
        <v/>
      </c>
      <c r="AV296" s="23">
        <f>IF(OR(AV$1="",$BM296=0),"",IFERROR(LOOKUP(2,1/((Budgets!$A$2:$A$200=AV$1)*(Budgets!$B$2:$B$200&lt;EDATE($A296,1))),Budgets!$C$2:$C$200),0))</f>
        <v/>
      </c>
      <c r="AW296" s="23">
        <f>IF(OR(AW$1="",$BM296=0),"",IFERROR(LOOKUP(2,1/((Budgets!$A$2:$A$200=AW$1)*(Budgets!$B$2:$B$200&lt;EDATE($A296,1))),Budgets!$C$2:$C$200),0))</f>
        <v/>
      </c>
      <c r="AX296" s="23">
        <f>IF(OR(AX$1="",$BM296=0),"",IFERROR(LOOKUP(2,1/((Budgets!$A$2:$A$200=AX$1)*(Budgets!$B$2:$B$200&lt;EDATE($A296,1))),Budgets!$C$2:$C$200),0))</f>
        <v/>
      </c>
      <c r="AY296" s="23">
        <f>IF(OR(AY$1="",$BM296=0),"",IFERROR(LOOKUP(2,1/((Budgets!$A$2:$A$200=AY$1)*(Budgets!$B$2:$B$200&lt;EDATE($A296,1))),Budgets!$C$2:$C$200),0))</f>
        <v/>
      </c>
      <c r="AZ296" s="23">
        <f>IF(OR(AZ$1="",$BM296=0),"",IFERROR(LOOKUP(2,1/((Budgets!$A$2:$A$200=AZ$1)*(Budgets!$B$2:$B$200&lt;EDATE($A296,1))),Budgets!$C$2:$C$200),0))</f>
        <v/>
      </c>
      <c r="BA296" s="23">
        <f>IF(OR(BA$1="",$BM296=0),"",IFERROR(LOOKUP(2,1/((Budgets!$A$2:$A$200=BA$1)*(Budgets!$B$2:$B$200&lt;EDATE($A296,1))),Budgets!$C$2:$C$200),0))</f>
        <v/>
      </c>
      <c r="BB296" s="23">
        <f>IF(OR(BB$1="",$BM296=0),"",IFERROR(LOOKUP(2,1/((Budgets!$A$2:$A$200=BB$1)*(Budgets!$B$2:$B$200&lt;EDATE($A296,1))),Budgets!$C$2:$C$200),0))</f>
        <v/>
      </c>
      <c r="BC296" s="23">
        <f>IF(OR(BC$1="",$BM296=0),"",IFERROR(LOOKUP(2,1/((Budgets!$A$2:$A$200=BC$1)*(Budgets!$B$2:$B$200&lt;EDATE($A296,1))),Budgets!$C$2:$C$200),0))</f>
        <v/>
      </c>
      <c r="BD296" s="23">
        <f>IF(OR(BD$1="",$BM296=0),"",IFERROR(LOOKUP(2,1/((Budgets!$A$2:$A$200=BD$1)*(Budgets!$B$2:$B$200&lt;EDATE($A296,1))),Budgets!$C$2:$C$200),0))</f>
        <v/>
      </c>
      <c r="BE296" s="23">
        <f>IF(OR(BE$1="",$BM296=0),"",IFERROR(LOOKUP(2,1/((Budgets!$A$2:$A$200=BE$1)*(Budgets!$B$2:$B$200&lt;EDATE($A296,1))),Budgets!$C$2:$C$200),0))</f>
        <v/>
      </c>
      <c r="BF296" s="23">
        <f>IF(OR(BF$1="",$BM296=0),"",IFERROR(LOOKUP(2,1/((Budgets!$A$2:$A$200=BF$1)*(Budgets!$B$2:$B$200&lt;EDATE($A296,1))),Budgets!$C$2:$C$200),0))</f>
        <v/>
      </c>
      <c r="BG296" s="23">
        <f>IF(OR(BG$1="",$BM296=0),"",IFERROR(LOOKUP(2,1/((Budgets!$A$2:$A$200=BG$1)*(Budgets!$B$2:$B$200&lt;EDATE($A296,1))),Budgets!$C$2:$C$200),0))</f>
        <v/>
      </c>
      <c r="BH296" s="23">
        <f>IF(OR(BH$1="",$BM296=0),"",IFERROR(LOOKUP(2,1/((Budgets!$A$2:$A$200=BH$1)*(Budgets!$B$2:$B$200&lt;EDATE($A296,1))),Budgets!$C$2:$C$200),0))</f>
        <v/>
      </c>
      <c r="BI296" s="23">
        <f>IF(OR(BI$1="",$BM296=0),"",IFERROR(LOOKUP(2,1/((Budgets!$A$2:$A$200=BI$1)*(Budgets!$B$2:$B$200&lt;EDATE($A296,1))),Budgets!$C$2:$C$200),0))</f>
        <v/>
      </c>
      <c r="BJ296" s="23">
        <f>IF(OR(BJ$1="",$BM296=0),"",IFERROR(LOOKUP(2,1/((Budgets!$A$2:$A$200=BJ$1)*(Budgets!$B$2:$B$200&lt;EDATE($A296,1))),Budgets!$C$2:$C$200),0))</f>
        <v/>
      </c>
      <c r="BK296" s="23">
        <f>IF(OR(BK$1="",$BM296=0),"",IFERROR(LOOKUP(2,1/((Budgets!$A$2:$A$200=BK$1)*(Budgets!$B$2:$B$200&lt;EDATE($A296,1))),Budgets!$C$2:$C$200),0))</f>
        <v/>
      </c>
      <c r="BM296" s="21">
        <f>COUNTIFS(Entries!$A$2:$A$5000,"&gt;="&amp;$A296,Entries!$A$2:$A$5000,"&lt;"&amp;EDATE($A296,1))</f>
        <v/>
      </c>
    </row>
    <row r="297">
      <c r="A297" s="22" t="n">
        <v>48427</v>
      </c>
      <c r="B297" s="23">
        <f>IF($BM297=0,NA(),SUMIFS(Entries!$E$2:$E$5000,Entries!$C$2:$C$5000,"Income",Entries!$A$2:$A$5000,"&gt;="&amp;$A297,Entries!$A$2:$A$5000,"&lt;"&amp;EDATE($A297,1)))</f>
        <v/>
      </c>
      <c r="C297" s="23">
        <f>IF($BM297=0,"",SUMIFS(Entries!$E$2:$E$5000,Entries!$C$2:$C$5000,"Actual",Entries!$A$2:$A$5000,"&gt;="&amp;$A297,Entries!$A$2:$A$5000,"&lt;"&amp;EDATE($A297,1)))</f>
        <v/>
      </c>
      <c r="D297" s="23">
        <f>IF($BM297=0,"",SUMIFS(Entries!$E$2:$E$5000,Entries!$C$2:$C$5000,"One-off",Entries!$A$2:$A$5000,"&gt;="&amp;$A297,Entries!$A$2:$A$5000,"&lt;"&amp;EDATE($A297,1)))</f>
        <v/>
      </c>
      <c r="E297" s="23">
        <f>IF($BM297=0,NA(),C297+D297)</f>
        <v/>
      </c>
      <c r="F297" s="23">
        <f>IF($BM297=0,"",SUM(AR297:BK297))</f>
        <v/>
      </c>
      <c r="G297" s="23">
        <f>IF($BM297=0,"",B297-E297)</f>
        <v/>
      </c>
      <c r="H297" s="23">
        <f>IF($BM297=0,"",SUM($G$2:G297))</f>
        <v/>
      </c>
      <c r="I297" s="23">
        <f>IF($BM297=0,"",SUMIFS(Entries!$G$2:$G$5000,Entries!$A$2:$A$5000,"&gt;="&amp;$A297,Entries!$A$2:$A$5000,"&lt;"&amp;EDATE($A297,1)))</f>
        <v/>
      </c>
      <c r="J297" s="23">
        <f>IF($BM297=0,NA(),H297)</f>
        <v/>
      </c>
      <c r="K297" s="23">
        <f>IF($BM297=0,"",SUMIFS(Entries!$E$2:$E$5000,Entries!$C$2:$C$5000,"Income",Entries!$A$2:$A$5000,"&gt;="&amp;EDATE($A297,-11),Entries!$A$2:$A$5000,"&lt;"&amp;EDATE($A297,1))/COUNTIFS($A$2:$A$400,"&gt;="&amp;EDATE($A297,-11),$A$2:$A$400,"&lt;"&amp;EDATE($A297,1),$BM$2:$BM$400,"&gt;0"))</f>
      </c>
      <c r="L297" s="23">
        <f>IF($BM297=0,"",(SUMIFS(Entries!$E$2:$E$5000,Entries!$C$2:$C$5000,"Actual",Entries!$A$2:$A$5000,"&gt;="&amp;EDATE($A297,-11),Entries!$A$2:$A$5000,"&lt;"&amp;EDATE($A297,1))+SUMIFS(Entries!$E$2:$E$5000,Entries!$C$2:$C$5000,"One-off",Entries!$A$2:$A$5000,"&gt;="&amp;EDATE($A297,-11),Entries!$A$2:$A$5000,"&lt;"&amp;EDATE($A297,1)))/COUNTIFS($A$2:$A$400,"&gt;="&amp;EDATE($A297,-11),$A$2:$A$400,"&lt;"&amp;EDATE($A297,1),$BM$2:$BM$400,"&gt;0"))</f>
      </c>
      <c r="M297" s="24">
        <f>IF($BM297=0,NA(),IFERROR((K297-L297)/K297,0))</f>
        <v/>
      </c>
      <c r="N297" s="23">
        <f>IF($BM297=0,NA(),SUMIFS(Entries!$E$2:$E$5000,Entries!$D$2:$D$5000,"Core",Entries!$A$2:$A$5000,"&gt;="&amp;$A297,Entries!$A$2:$A$5000,"&lt;"&amp;EDATE($A297,1)))</f>
        <v/>
      </c>
      <c r="O297" s="23">
        <f>IF($BM297=0,NA(),SUMIFS(Entries!$E$2:$E$5000,Entries!$D$2:$D$5000,"Over &amp; above",Entries!$A$2:$A$5000,"&gt;="&amp;$A297,Entries!$A$2:$A$5000,"&lt;"&amp;EDATE($A297,1)))</f>
        <v/>
      </c>
      <c r="P297" s="23">
        <f>IF($BM297=0,NA(),SUMIFS(Entries!$E$2:$E$5000,Entries!$D$2:$D$5000,"One-off",Entries!$A$2:$A$5000,"&gt;="&amp;$A297,Entries!$A$2:$A$5000,"&lt;"&amp;EDATE($A297,1)))</f>
        <v/>
      </c>
      <c r="Q297" s="23">
        <f>IF($BM297=0,NA(),SUMIFS(Entries!$E$2:$E$5000,Entries!$D$2:$D$5000,"Reimbursable",Entries!$A$2:$A$5000,"&gt;="&amp;$A297,Entries!$A$2:$A$5000,"&lt;"&amp;EDATE($A297,1)))</f>
        <v/>
      </c>
      <c r="R297" s="23">
        <f>IF($BM297=0,NA(),SUMIFS(Entries!$E$2:$E$5000,Entries!$D$2:$D$5000,"Investment",Entries!$A$2:$A$5000,"&gt;="&amp;$A297,Entries!$A$2:$A$5000,"&lt;"&amp;EDATE($A297,1)))</f>
        <v/>
      </c>
      <c r="S297" s="23">
        <f>IF($BM297=0,NA(),N297+O297)</f>
        <v/>
      </c>
      <c r="T297" s="23">
        <f>IF($BM297=0,"",E297-Q297)</f>
        <v/>
      </c>
      <c r="W297" s="23">
        <f>IF(OR(W$1="",$BM297=0),"",SUMIFS(Entries!$E$2:$E$5000,Entries!$C$2:$C$5000,"Actual",Entries!$A$2:$A$5000,"&gt;="&amp;$A297,Entries!$A$2:$A$5000,"&lt;"&amp;EDATE($A297,1),Entries!$B$2:$B$5000,W$1))</f>
        <v/>
      </c>
      <c r="X297" s="23">
        <f>IF(OR(X$1="",$BM297=0),"",SUMIFS(Entries!$E$2:$E$5000,Entries!$C$2:$C$5000,"Actual",Entries!$A$2:$A$5000,"&gt;="&amp;$A297,Entries!$A$2:$A$5000,"&lt;"&amp;EDATE($A297,1),Entries!$B$2:$B$5000,X$1))</f>
        <v/>
      </c>
      <c r="Y297" s="23">
        <f>IF(OR(Y$1="",$BM297=0),"",SUMIFS(Entries!$E$2:$E$5000,Entries!$C$2:$C$5000,"Actual",Entries!$A$2:$A$5000,"&gt;="&amp;$A297,Entries!$A$2:$A$5000,"&lt;"&amp;EDATE($A297,1),Entries!$B$2:$B$5000,Y$1))</f>
        <v/>
      </c>
      <c r="Z297" s="23">
        <f>IF(OR(Z$1="",$BM297=0),"",SUMIFS(Entries!$E$2:$E$5000,Entries!$C$2:$C$5000,"Actual",Entries!$A$2:$A$5000,"&gt;="&amp;$A297,Entries!$A$2:$A$5000,"&lt;"&amp;EDATE($A297,1),Entries!$B$2:$B$5000,Z$1))</f>
        <v/>
      </c>
      <c r="AA297" s="23">
        <f>IF(OR(AA$1="",$BM297=0),"",SUMIFS(Entries!$E$2:$E$5000,Entries!$C$2:$C$5000,"Actual",Entries!$A$2:$A$5000,"&gt;="&amp;$A297,Entries!$A$2:$A$5000,"&lt;"&amp;EDATE($A297,1),Entries!$B$2:$B$5000,AA$1))</f>
        <v/>
      </c>
      <c r="AB297" s="23">
        <f>IF(OR(AB$1="",$BM297=0),"",SUMIFS(Entries!$E$2:$E$5000,Entries!$C$2:$C$5000,"Actual",Entries!$A$2:$A$5000,"&gt;="&amp;$A297,Entries!$A$2:$A$5000,"&lt;"&amp;EDATE($A297,1),Entries!$B$2:$B$5000,AB$1))</f>
        <v/>
      </c>
      <c r="AC297" s="23">
        <f>IF(OR(AC$1="",$BM297=0),"",SUMIFS(Entries!$E$2:$E$5000,Entries!$C$2:$C$5000,"Actual",Entries!$A$2:$A$5000,"&gt;="&amp;$A297,Entries!$A$2:$A$5000,"&lt;"&amp;EDATE($A297,1),Entries!$B$2:$B$5000,AC$1))</f>
        <v/>
      </c>
      <c r="AD297" s="23">
        <f>IF(OR(AD$1="",$BM297=0),"",SUMIFS(Entries!$E$2:$E$5000,Entries!$C$2:$C$5000,"Actual",Entries!$A$2:$A$5000,"&gt;="&amp;$A297,Entries!$A$2:$A$5000,"&lt;"&amp;EDATE($A297,1),Entries!$B$2:$B$5000,AD$1))</f>
        <v/>
      </c>
      <c r="AE297" s="23">
        <f>IF(OR(AE$1="",$BM297=0),"",SUMIFS(Entries!$E$2:$E$5000,Entries!$C$2:$C$5000,"Actual",Entries!$A$2:$A$5000,"&gt;="&amp;$A297,Entries!$A$2:$A$5000,"&lt;"&amp;EDATE($A297,1),Entries!$B$2:$B$5000,AE$1))</f>
        <v/>
      </c>
      <c r="AF297" s="23">
        <f>IF(OR(AF$1="",$BM297=0),"",SUMIFS(Entries!$E$2:$E$5000,Entries!$C$2:$C$5000,"Actual",Entries!$A$2:$A$5000,"&gt;="&amp;$A297,Entries!$A$2:$A$5000,"&lt;"&amp;EDATE($A297,1),Entries!$B$2:$B$5000,AF$1))</f>
        <v/>
      </c>
      <c r="AG297" s="23">
        <f>IF(OR(AG$1="",$BM297=0),"",SUMIFS(Entries!$E$2:$E$5000,Entries!$C$2:$C$5000,"Actual",Entries!$A$2:$A$5000,"&gt;="&amp;$A297,Entries!$A$2:$A$5000,"&lt;"&amp;EDATE($A297,1),Entries!$B$2:$B$5000,AG$1))</f>
        <v/>
      </c>
      <c r="AH297" s="23">
        <f>IF(OR(AH$1="",$BM297=0),"",SUMIFS(Entries!$E$2:$E$5000,Entries!$C$2:$C$5000,"Actual",Entries!$A$2:$A$5000,"&gt;="&amp;$A297,Entries!$A$2:$A$5000,"&lt;"&amp;EDATE($A297,1),Entries!$B$2:$B$5000,AH$1))</f>
        <v/>
      </c>
      <c r="AI297" s="23">
        <f>IF(OR(AI$1="",$BM297=0),"",SUMIFS(Entries!$E$2:$E$5000,Entries!$C$2:$C$5000,"Actual",Entries!$A$2:$A$5000,"&gt;="&amp;$A297,Entries!$A$2:$A$5000,"&lt;"&amp;EDATE($A297,1),Entries!$B$2:$B$5000,AI$1))</f>
        <v/>
      </c>
      <c r="AJ297" s="23">
        <f>IF(OR(AJ$1="",$BM297=0),"",SUMIFS(Entries!$E$2:$E$5000,Entries!$C$2:$C$5000,"Actual",Entries!$A$2:$A$5000,"&gt;="&amp;$A297,Entries!$A$2:$A$5000,"&lt;"&amp;EDATE($A297,1),Entries!$B$2:$B$5000,AJ$1))</f>
        <v/>
      </c>
      <c r="AK297" s="23">
        <f>IF(OR(AK$1="",$BM297=0),"",SUMIFS(Entries!$E$2:$E$5000,Entries!$C$2:$C$5000,"Actual",Entries!$A$2:$A$5000,"&gt;="&amp;$A297,Entries!$A$2:$A$5000,"&lt;"&amp;EDATE($A297,1),Entries!$B$2:$B$5000,AK$1))</f>
        <v/>
      </c>
      <c r="AL297" s="23">
        <f>IF(OR(AL$1="",$BM297=0),"",SUMIFS(Entries!$E$2:$E$5000,Entries!$C$2:$C$5000,"Actual",Entries!$A$2:$A$5000,"&gt;="&amp;$A297,Entries!$A$2:$A$5000,"&lt;"&amp;EDATE($A297,1),Entries!$B$2:$B$5000,AL$1))</f>
        <v/>
      </c>
      <c r="AM297" s="23">
        <f>IF(OR(AM$1="",$BM297=0),"",SUMIFS(Entries!$E$2:$E$5000,Entries!$C$2:$C$5000,"Actual",Entries!$A$2:$A$5000,"&gt;="&amp;$A297,Entries!$A$2:$A$5000,"&lt;"&amp;EDATE($A297,1),Entries!$B$2:$B$5000,AM$1))</f>
        <v/>
      </c>
      <c r="AN297" s="23">
        <f>IF(OR(AN$1="",$BM297=0),"",SUMIFS(Entries!$E$2:$E$5000,Entries!$C$2:$C$5000,"Actual",Entries!$A$2:$A$5000,"&gt;="&amp;$A297,Entries!$A$2:$A$5000,"&lt;"&amp;EDATE($A297,1),Entries!$B$2:$B$5000,AN$1))</f>
        <v/>
      </c>
      <c r="AO297" s="23">
        <f>IF(OR(AO$1="",$BM297=0),"",SUMIFS(Entries!$E$2:$E$5000,Entries!$C$2:$C$5000,"Actual",Entries!$A$2:$A$5000,"&gt;="&amp;$A297,Entries!$A$2:$A$5000,"&lt;"&amp;EDATE($A297,1),Entries!$B$2:$B$5000,AO$1))</f>
        <v/>
      </c>
      <c r="AP297" s="23">
        <f>IF(OR(AP$1="",$BM297=0),"",SUMIFS(Entries!$E$2:$E$5000,Entries!$C$2:$C$5000,"Actual",Entries!$A$2:$A$5000,"&gt;="&amp;$A297,Entries!$A$2:$A$5000,"&lt;"&amp;EDATE($A297,1),Entries!$B$2:$B$5000,AP$1))</f>
        <v/>
      </c>
      <c r="AR297" s="23">
        <f>IF(OR(AR$1="",$BM297=0),"",IFERROR(LOOKUP(2,1/((Budgets!$A$2:$A$200=AR$1)*(Budgets!$B$2:$B$200&lt;EDATE($A297,1))),Budgets!$C$2:$C$200),0))</f>
        <v/>
      </c>
      <c r="AS297" s="23">
        <f>IF(OR(AS$1="",$BM297=0),"",IFERROR(LOOKUP(2,1/((Budgets!$A$2:$A$200=AS$1)*(Budgets!$B$2:$B$200&lt;EDATE($A297,1))),Budgets!$C$2:$C$200),0))</f>
        <v/>
      </c>
      <c r="AT297" s="23">
        <f>IF(OR(AT$1="",$BM297=0),"",IFERROR(LOOKUP(2,1/((Budgets!$A$2:$A$200=AT$1)*(Budgets!$B$2:$B$200&lt;EDATE($A297,1))),Budgets!$C$2:$C$200),0))</f>
        <v/>
      </c>
      <c r="AU297" s="23">
        <f>IF(OR(AU$1="",$BM297=0),"",IFERROR(LOOKUP(2,1/((Budgets!$A$2:$A$200=AU$1)*(Budgets!$B$2:$B$200&lt;EDATE($A297,1))),Budgets!$C$2:$C$200),0))</f>
        <v/>
      </c>
      <c r="AV297" s="23">
        <f>IF(OR(AV$1="",$BM297=0),"",IFERROR(LOOKUP(2,1/((Budgets!$A$2:$A$200=AV$1)*(Budgets!$B$2:$B$200&lt;EDATE($A297,1))),Budgets!$C$2:$C$200),0))</f>
        <v/>
      </c>
      <c r="AW297" s="23">
        <f>IF(OR(AW$1="",$BM297=0),"",IFERROR(LOOKUP(2,1/((Budgets!$A$2:$A$200=AW$1)*(Budgets!$B$2:$B$200&lt;EDATE($A297,1))),Budgets!$C$2:$C$200),0))</f>
        <v/>
      </c>
      <c r="AX297" s="23">
        <f>IF(OR(AX$1="",$BM297=0),"",IFERROR(LOOKUP(2,1/((Budgets!$A$2:$A$200=AX$1)*(Budgets!$B$2:$B$200&lt;EDATE($A297,1))),Budgets!$C$2:$C$200),0))</f>
        <v/>
      </c>
      <c r="AY297" s="23">
        <f>IF(OR(AY$1="",$BM297=0),"",IFERROR(LOOKUP(2,1/((Budgets!$A$2:$A$200=AY$1)*(Budgets!$B$2:$B$200&lt;EDATE($A297,1))),Budgets!$C$2:$C$200),0))</f>
        <v/>
      </c>
      <c r="AZ297" s="23">
        <f>IF(OR(AZ$1="",$BM297=0),"",IFERROR(LOOKUP(2,1/((Budgets!$A$2:$A$200=AZ$1)*(Budgets!$B$2:$B$200&lt;EDATE($A297,1))),Budgets!$C$2:$C$200),0))</f>
        <v/>
      </c>
      <c r="BA297" s="23">
        <f>IF(OR(BA$1="",$BM297=0),"",IFERROR(LOOKUP(2,1/((Budgets!$A$2:$A$200=BA$1)*(Budgets!$B$2:$B$200&lt;EDATE($A297,1))),Budgets!$C$2:$C$200),0))</f>
        <v/>
      </c>
      <c r="BB297" s="23">
        <f>IF(OR(BB$1="",$BM297=0),"",IFERROR(LOOKUP(2,1/((Budgets!$A$2:$A$200=BB$1)*(Budgets!$B$2:$B$200&lt;EDATE($A297,1))),Budgets!$C$2:$C$200),0))</f>
        <v/>
      </c>
      <c r="BC297" s="23">
        <f>IF(OR(BC$1="",$BM297=0),"",IFERROR(LOOKUP(2,1/((Budgets!$A$2:$A$200=BC$1)*(Budgets!$B$2:$B$200&lt;EDATE($A297,1))),Budgets!$C$2:$C$200),0))</f>
        <v/>
      </c>
      <c r="BD297" s="23">
        <f>IF(OR(BD$1="",$BM297=0),"",IFERROR(LOOKUP(2,1/((Budgets!$A$2:$A$200=BD$1)*(Budgets!$B$2:$B$200&lt;EDATE($A297,1))),Budgets!$C$2:$C$200),0))</f>
        <v/>
      </c>
      <c r="BE297" s="23">
        <f>IF(OR(BE$1="",$BM297=0),"",IFERROR(LOOKUP(2,1/((Budgets!$A$2:$A$200=BE$1)*(Budgets!$B$2:$B$200&lt;EDATE($A297,1))),Budgets!$C$2:$C$200),0))</f>
        <v/>
      </c>
      <c r="BF297" s="23">
        <f>IF(OR(BF$1="",$BM297=0),"",IFERROR(LOOKUP(2,1/((Budgets!$A$2:$A$200=BF$1)*(Budgets!$B$2:$B$200&lt;EDATE($A297,1))),Budgets!$C$2:$C$200),0))</f>
        <v/>
      </c>
      <c r="BG297" s="23">
        <f>IF(OR(BG$1="",$BM297=0),"",IFERROR(LOOKUP(2,1/((Budgets!$A$2:$A$200=BG$1)*(Budgets!$B$2:$B$200&lt;EDATE($A297,1))),Budgets!$C$2:$C$200),0))</f>
        <v/>
      </c>
      <c r="BH297" s="23">
        <f>IF(OR(BH$1="",$BM297=0),"",IFERROR(LOOKUP(2,1/((Budgets!$A$2:$A$200=BH$1)*(Budgets!$B$2:$B$200&lt;EDATE($A297,1))),Budgets!$C$2:$C$200),0))</f>
        <v/>
      </c>
      <c r="BI297" s="23">
        <f>IF(OR(BI$1="",$BM297=0),"",IFERROR(LOOKUP(2,1/((Budgets!$A$2:$A$200=BI$1)*(Budgets!$B$2:$B$200&lt;EDATE($A297,1))),Budgets!$C$2:$C$200),0))</f>
        <v/>
      </c>
      <c r="BJ297" s="23">
        <f>IF(OR(BJ$1="",$BM297=0),"",IFERROR(LOOKUP(2,1/((Budgets!$A$2:$A$200=BJ$1)*(Budgets!$B$2:$B$200&lt;EDATE($A297,1))),Budgets!$C$2:$C$200),0))</f>
        <v/>
      </c>
      <c r="BK297" s="23">
        <f>IF(OR(BK$1="",$BM297=0),"",IFERROR(LOOKUP(2,1/((Budgets!$A$2:$A$200=BK$1)*(Budgets!$B$2:$B$200&lt;EDATE($A297,1))),Budgets!$C$2:$C$200),0))</f>
        <v/>
      </c>
      <c r="BM297" s="21">
        <f>COUNTIFS(Entries!$A$2:$A$5000,"&gt;="&amp;$A297,Entries!$A$2:$A$5000,"&lt;"&amp;EDATE($A297,1))</f>
        <v/>
      </c>
    </row>
    <row r="298">
      <c r="A298" s="22" t="n">
        <v>48458</v>
      </c>
      <c r="B298" s="23">
        <f>IF($BM298=0,NA(),SUMIFS(Entries!$E$2:$E$5000,Entries!$C$2:$C$5000,"Income",Entries!$A$2:$A$5000,"&gt;="&amp;$A298,Entries!$A$2:$A$5000,"&lt;"&amp;EDATE($A298,1)))</f>
        <v/>
      </c>
      <c r="C298" s="23">
        <f>IF($BM298=0,"",SUMIFS(Entries!$E$2:$E$5000,Entries!$C$2:$C$5000,"Actual",Entries!$A$2:$A$5000,"&gt;="&amp;$A298,Entries!$A$2:$A$5000,"&lt;"&amp;EDATE($A298,1)))</f>
        <v/>
      </c>
      <c r="D298" s="23">
        <f>IF($BM298=0,"",SUMIFS(Entries!$E$2:$E$5000,Entries!$C$2:$C$5000,"One-off",Entries!$A$2:$A$5000,"&gt;="&amp;$A298,Entries!$A$2:$A$5000,"&lt;"&amp;EDATE($A298,1)))</f>
        <v/>
      </c>
      <c r="E298" s="23">
        <f>IF($BM298=0,NA(),C298+D298)</f>
        <v/>
      </c>
      <c r="F298" s="23">
        <f>IF($BM298=0,"",SUM(AR298:BK298))</f>
        <v/>
      </c>
      <c r="G298" s="23">
        <f>IF($BM298=0,"",B298-E298)</f>
        <v/>
      </c>
      <c r="H298" s="23">
        <f>IF($BM298=0,"",SUM($G$2:G298))</f>
        <v/>
      </c>
      <c r="I298" s="23">
        <f>IF($BM298=0,"",SUMIFS(Entries!$G$2:$G$5000,Entries!$A$2:$A$5000,"&gt;="&amp;$A298,Entries!$A$2:$A$5000,"&lt;"&amp;EDATE($A298,1)))</f>
        <v/>
      </c>
      <c r="J298" s="23">
        <f>IF($BM298=0,NA(),H298)</f>
        <v/>
      </c>
      <c r="K298" s="23">
        <f>IF($BM298=0,"",SUMIFS(Entries!$E$2:$E$5000,Entries!$C$2:$C$5000,"Income",Entries!$A$2:$A$5000,"&gt;="&amp;EDATE($A298,-11),Entries!$A$2:$A$5000,"&lt;"&amp;EDATE($A298,1))/COUNTIFS($A$2:$A$400,"&gt;="&amp;EDATE($A298,-11),$A$2:$A$400,"&lt;"&amp;EDATE($A298,1),$BM$2:$BM$400,"&gt;0"))</f>
      </c>
      <c r="L298" s="23">
        <f>IF($BM298=0,"",(SUMIFS(Entries!$E$2:$E$5000,Entries!$C$2:$C$5000,"Actual",Entries!$A$2:$A$5000,"&gt;="&amp;EDATE($A298,-11),Entries!$A$2:$A$5000,"&lt;"&amp;EDATE($A298,1))+SUMIFS(Entries!$E$2:$E$5000,Entries!$C$2:$C$5000,"One-off",Entries!$A$2:$A$5000,"&gt;="&amp;EDATE($A298,-11),Entries!$A$2:$A$5000,"&lt;"&amp;EDATE($A298,1)))/COUNTIFS($A$2:$A$400,"&gt;="&amp;EDATE($A298,-11),$A$2:$A$400,"&lt;"&amp;EDATE($A298,1),$BM$2:$BM$400,"&gt;0"))</f>
      </c>
      <c r="M298" s="24">
        <f>IF($BM298=0,NA(),IFERROR((K298-L298)/K298,0))</f>
        <v/>
      </c>
      <c r="N298" s="23">
        <f>IF($BM298=0,NA(),SUMIFS(Entries!$E$2:$E$5000,Entries!$D$2:$D$5000,"Core",Entries!$A$2:$A$5000,"&gt;="&amp;$A298,Entries!$A$2:$A$5000,"&lt;"&amp;EDATE($A298,1)))</f>
        <v/>
      </c>
      <c r="O298" s="23">
        <f>IF($BM298=0,NA(),SUMIFS(Entries!$E$2:$E$5000,Entries!$D$2:$D$5000,"Over &amp; above",Entries!$A$2:$A$5000,"&gt;="&amp;$A298,Entries!$A$2:$A$5000,"&lt;"&amp;EDATE($A298,1)))</f>
        <v/>
      </c>
      <c r="P298" s="23">
        <f>IF($BM298=0,NA(),SUMIFS(Entries!$E$2:$E$5000,Entries!$D$2:$D$5000,"One-off",Entries!$A$2:$A$5000,"&gt;="&amp;$A298,Entries!$A$2:$A$5000,"&lt;"&amp;EDATE($A298,1)))</f>
        <v/>
      </c>
      <c r="Q298" s="23">
        <f>IF($BM298=0,NA(),SUMIFS(Entries!$E$2:$E$5000,Entries!$D$2:$D$5000,"Reimbursable",Entries!$A$2:$A$5000,"&gt;="&amp;$A298,Entries!$A$2:$A$5000,"&lt;"&amp;EDATE($A298,1)))</f>
        <v/>
      </c>
      <c r="R298" s="23">
        <f>IF($BM298=0,NA(),SUMIFS(Entries!$E$2:$E$5000,Entries!$D$2:$D$5000,"Investment",Entries!$A$2:$A$5000,"&gt;="&amp;$A298,Entries!$A$2:$A$5000,"&lt;"&amp;EDATE($A298,1)))</f>
        <v/>
      </c>
      <c r="S298" s="23">
        <f>IF($BM298=0,NA(),N298+O298)</f>
        <v/>
      </c>
      <c r="T298" s="23">
        <f>IF($BM298=0,"",E298-Q298)</f>
        <v/>
      </c>
      <c r="W298" s="23">
        <f>IF(OR(W$1="",$BM298=0),"",SUMIFS(Entries!$E$2:$E$5000,Entries!$C$2:$C$5000,"Actual",Entries!$A$2:$A$5000,"&gt;="&amp;$A298,Entries!$A$2:$A$5000,"&lt;"&amp;EDATE($A298,1),Entries!$B$2:$B$5000,W$1))</f>
        <v/>
      </c>
      <c r="X298" s="23">
        <f>IF(OR(X$1="",$BM298=0),"",SUMIFS(Entries!$E$2:$E$5000,Entries!$C$2:$C$5000,"Actual",Entries!$A$2:$A$5000,"&gt;="&amp;$A298,Entries!$A$2:$A$5000,"&lt;"&amp;EDATE($A298,1),Entries!$B$2:$B$5000,X$1))</f>
        <v/>
      </c>
      <c r="Y298" s="23">
        <f>IF(OR(Y$1="",$BM298=0),"",SUMIFS(Entries!$E$2:$E$5000,Entries!$C$2:$C$5000,"Actual",Entries!$A$2:$A$5000,"&gt;="&amp;$A298,Entries!$A$2:$A$5000,"&lt;"&amp;EDATE($A298,1),Entries!$B$2:$B$5000,Y$1))</f>
        <v/>
      </c>
      <c r="Z298" s="23">
        <f>IF(OR(Z$1="",$BM298=0),"",SUMIFS(Entries!$E$2:$E$5000,Entries!$C$2:$C$5000,"Actual",Entries!$A$2:$A$5000,"&gt;="&amp;$A298,Entries!$A$2:$A$5000,"&lt;"&amp;EDATE($A298,1),Entries!$B$2:$B$5000,Z$1))</f>
        <v/>
      </c>
      <c r="AA298" s="23">
        <f>IF(OR(AA$1="",$BM298=0),"",SUMIFS(Entries!$E$2:$E$5000,Entries!$C$2:$C$5000,"Actual",Entries!$A$2:$A$5000,"&gt;="&amp;$A298,Entries!$A$2:$A$5000,"&lt;"&amp;EDATE($A298,1),Entries!$B$2:$B$5000,AA$1))</f>
        <v/>
      </c>
      <c r="AB298" s="23">
        <f>IF(OR(AB$1="",$BM298=0),"",SUMIFS(Entries!$E$2:$E$5000,Entries!$C$2:$C$5000,"Actual",Entries!$A$2:$A$5000,"&gt;="&amp;$A298,Entries!$A$2:$A$5000,"&lt;"&amp;EDATE($A298,1),Entries!$B$2:$B$5000,AB$1))</f>
        <v/>
      </c>
      <c r="AC298" s="23">
        <f>IF(OR(AC$1="",$BM298=0),"",SUMIFS(Entries!$E$2:$E$5000,Entries!$C$2:$C$5000,"Actual",Entries!$A$2:$A$5000,"&gt;="&amp;$A298,Entries!$A$2:$A$5000,"&lt;"&amp;EDATE($A298,1),Entries!$B$2:$B$5000,AC$1))</f>
        <v/>
      </c>
      <c r="AD298" s="23">
        <f>IF(OR(AD$1="",$BM298=0),"",SUMIFS(Entries!$E$2:$E$5000,Entries!$C$2:$C$5000,"Actual",Entries!$A$2:$A$5000,"&gt;="&amp;$A298,Entries!$A$2:$A$5000,"&lt;"&amp;EDATE($A298,1),Entries!$B$2:$B$5000,AD$1))</f>
        <v/>
      </c>
      <c r="AE298" s="23">
        <f>IF(OR(AE$1="",$BM298=0),"",SUMIFS(Entries!$E$2:$E$5000,Entries!$C$2:$C$5000,"Actual",Entries!$A$2:$A$5000,"&gt;="&amp;$A298,Entries!$A$2:$A$5000,"&lt;"&amp;EDATE($A298,1),Entries!$B$2:$B$5000,AE$1))</f>
        <v/>
      </c>
      <c r="AF298" s="23">
        <f>IF(OR(AF$1="",$BM298=0),"",SUMIFS(Entries!$E$2:$E$5000,Entries!$C$2:$C$5000,"Actual",Entries!$A$2:$A$5000,"&gt;="&amp;$A298,Entries!$A$2:$A$5000,"&lt;"&amp;EDATE($A298,1),Entries!$B$2:$B$5000,AF$1))</f>
        <v/>
      </c>
      <c r="AG298" s="23">
        <f>IF(OR(AG$1="",$BM298=0),"",SUMIFS(Entries!$E$2:$E$5000,Entries!$C$2:$C$5000,"Actual",Entries!$A$2:$A$5000,"&gt;="&amp;$A298,Entries!$A$2:$A$5000,"&lt;"&amp;EDATE($A298,1),Entries!$B$2:$B$5000,AG$1))</f>
        <v/>
      </c>
      <c r="AH298" s="23">
        <f>IF(OR(AH$1="",$BM298=0),"",SUMIFS(Entries!$E$2:$E$5000,Entries!$C$2:$C$5000,"Actual",Entries!$A$2:$A$5000,"&gt;="&amp;$A298,Entries!$A$2:$A$5000,"&lt;"&amp;EDATE($A298,1),Entries!$B$2:$B$5000,AH$1))</f>
        <v/>
      </c>
      <c r="AI298" s="23">
        <f>IF(OR(AI$1="",$BM298=0),"",SUMIFS(Entries!$E$2:$E$5000,Entries!$C$2:$C$5000,"Actual",Entries!$A$2:$A$5000,"&gt;="&amp;$A298,Entries!$A$2:$A$5000,"&lt;"&amp;EDATE($A298,1),Entries!$B$2:$B$5000,AI$1))</f>
        <v/>
      </c>
      <c r="AJ298" s="23">
        <f>IF(OR(AJ$1="",$BM298=0),"",SUMIFS(Entries!$E$2:$E$5000,Entries!$C$2:$C$5000,"Actual",Entries!$A$2:$A$5000,"&gt;="&amp;$A298,Entries!$A$2:$A$5000,"&lt;"&amp;EDATE($A298,1),Entries!$B$2:$B$5000,AJ$1))</f>
        <v/>
      </c>
      <c r="AK298" s="23">
        <f>IF(OR(AK$1="",$BM298=0),"",SUMIFS(Entries!$E$2:$E$5000,Entries!$C$2:$C$5000,"Actual",Entries!$A$2:$A$5000,"&gt;="&amp;$A298,Entries!$A$2:$A$5000,"&lt;"&amp;EDATE($A298,1),Entries!$B$2:$B$5000,AK$1))</f>
        <v/>
      </c>
      <c r="AL298" s="23">
        <f>IF(OR(AL$1="",$BM298=0),"",SUMIFS(Entries!$E$2:$E$5000,Entries!$C$2:$C$5000,"Actual",Entries!$A$2:$A$5000,"&gt;="&amp;$A298,Entries!$A$2:$A$5000,"&lt;"&amp;EDATE($A298,1),Entries!$B$2:$B$5000,AL$1))</f>
        <v/>
      </c>
      <c r="AM298" s="23">
        <f>IF(OR(AM$1="",$BM298=0),"",SUMIFS(Entries!$E$2:$E$5000,Entries!$C$2:$C$5000,"Actual",Entries!$A$2:$A$5000,"&gt;="&amp;$A298,Entries!$A$2:$A$5000,"&lt;"&amp;EDATE($A298,1),Entries!$B$2:$B$5000,AM$1))</f>
        <v/>
      </c>
      <c r="AN298" s="23">
        <f>IF(OR(AN$1="",$BM298=0),"",SUMIFS(Entries!$E$2:$E$5000,Entries!$C$2:$C$5000,"Actual",Entries!$A$2:$A$5000,"&gt;="&amp;$A298,Entries!$A$2:$A$5000,"&lt;"&amp;EDATE($A298,1),Entries!$B$2:$B$5000,AN$1))</f>
        <v/>
      </c>
      <c r="AO298" s="23">
        <f>IF(OR(AO$1="",$BM298=0),"",SUMIFS(Entries!$E$2:$E$5000,Entries!$C$2:$C$5000,"Actual",Entries!$A$2:$A$5000,"&gt;="&amp;$A298,Entries!$A$2:$A$5000,"&lt;"&amp;EDATE($A298,1),Entries!$B$2:$B$5000,AO$1))</f>
        <v/>
      </c>
      <c r="AP298" s="23">
        <f>IF(OR(AP$1="",$BM298=0),"",SUMIFS(Entries!$E$2:$E$5000,Entries!$C$2:$C$5000,"Actual",Entries!$A$2:$A$5000,"&gt;="&amp;$A298,Entries!$A$2:$A$5000,"&lt;"&amp;EDATE($A298,1),Entries!$B$2:$B$5000,AP$1))</f>
        <v/>
      </c>
      <c r="AR298" s="23">
        <f>IF(OR(AR$1="",$BM298=0),"",IFERROR(LOOKUP(2,1/((Budgets!$A$2:$A$200=AR$1)*(Budgets!$B$2:$B$200&lt;EDATE($A298,1))),Budgets!$C$2:$C$200),0))</f>
        <v/>
      </c>
      <c r="AS298" s="23">
        <f>IF(OR(AS$1="",$BM298=0),"",IFERROR(LOOKUP(2,1/((Budgets!$A$2:$A$200=AS$1)*(Budgets!$B$2:$B$200&lt;EDATE($A298,1))),Budgets!$C$2:$C$200),0))</f>
        <v/>
      </c>
      <c r="AT298" s="23">
        <f>IF(OR(AT$1="",$BM298=0),"",IFERROR(LOOKUP(2,1/((Budgets!$A$2:$A$200=AT$1)*(Budgets!$B$2:$B$200&lt;EDATE($A298,1))),Budgets!$C$2:$C$200),0))</f>
        <v/>
      </c>
      <c r="AU298" s="23">
        <f>IF(OR(AU$1="",$BM298=0),"",IFERROR(LOOKUP(2,1/((Budgets!$A$2:$A$200=AU$1)*(Budgets!$B$2:$B$200&lt;EDATE($A298,1))),Budgets!$C$2:$C$200),0))</f>
        <v/>
      </c>
      <c r="AV298" s="23">
        <f>IF(OR(AV$1="",$BM298=0),"",IFERROR(LOOKUP(2,1/((Budgets!$A$2:$A$200=AV$1)*(Budgets!$B$2:$B$200&lt;EDATE($A298,1))),Budgets!$C$2:$C$200),0))</f>
        <v/>
      </c>
      <c r="AW298" s="23">
        <f>IF(OR(AW$1="",$BM298=0),"",IFERROR(LOOKUP(2,1/((Budgets!$A$2:$A$200=AW$1)*(Budgets!$B$2:$B$200&lt;EDATE($A298,1))),Budgets!$C$2:$C$200),0))</f>
        <v/>
      </c>
      <c r="AX298" s="23">
        <f>IF(OR(AX$1="",$BM298=0),"",IFERROR(LOOKUP(2,1/((Budgets!$A$2:$A$200=AX$1)*(Budgets!$B$2:$B$200&lt;EDATE($A298,1))),Budgets!$C$2:$C$200),0))</f>
        <v/>
      </c>
      <c r="AY298" s="23">
        <f>IF(OR(AY$1="",$BM298=0),"",IFERROR(LOOKUP(2,1/((Budgets!$A$2:$A$200=AY$1)*(Budgets!$B$2:$B$200&lt;EDATE($A298,1))),Budgets!$C$2:$C$200),0))</f>
        <v/>
      </c>
      <c r="AZ298" s="23">
        <f>IF(OR(AZ$1="",$BM298=0),"",IFERROR(LOOKUP(2,1/((Budgets!$A$2:$A$200=AZ$1)*(Budgets!$B$2:$B$200&lt;EDATE($A298,1))),Budgets!$C$2:$C$200),0))</f>
        <v/>
      </c>
      <c r="BA298" s="23">
        <f>IF(OR(BA$1="",$BM298=0),"",IFERROR(LOOKUP(2,1/((Budgets!$A$2:$A$200=BA$1)*(Budgets!$B$2:$B$200&lt;EDATE($A298,1))),Budgets!$C$2:$C$200),0))</f>
        <v/>
      </c>
      <c r="BB298" s="23">
        <f>IF(OR(BB$1="",$BM298=0),"",IFERROR(LOOKUP(2,1/((Budgets!$A$2:$A$200=BB$1)*(Budgets!$B$2:$B$200&lt;EDATE($A298,1))),Budgets!$C$2:$C$200),0))</f>
        <v/>
      </c>
      <c r="BC298" s="23">
        <f>IF(OR(BC$1="",$BM298=0),"",IFERROR(LOOKUP(2,1/((Budgets!$A$2:$A$200=BC$1)*(Budgets!$B$2:$B$200&lt;EDATE($A298,1))),Budgets!$C$2:$C$200),0))</f>
        <v/>
      </c>
      <c r="BD298" s="23">
        <f>IF(OR(BD$1="",$BM298=0),"",IFERROR(LOOKUP(2,1/((Budgets!$A$2:$A$200=BD$1)*(Budgets!$B$2:$B$200&lt;EDATE($A298,1))),Budgets!$C$2:$C$200),0))</f>
        <v/>
      </c>
      <c r="BE298" s="23">
        <f>IF(OR(BE$1="",$BM298=0),"",IFERROR(LOOKUP(2,1/((Budgets!$A$2:$A$200=BE$1)*(Budgets!$B$2:$B$200&lt;EDATE($A298,1))),Budgets!$C$2:$C$200),0))</f>
        <v/>
      </c>
      <c r="BF298" s="23">
        <f>IF(OR(BF$1="",$BM298=0),"",IFERROR(LOOKUP(2,1/((Budgets!$A$2:$A$200=BF$1)*(Budgets!$B$2:$B$200&lt;EDATE($A298,1))),Budgets!$C$2:$C$200),0))</f>
        <v/>
      </c>
      <c r="BG298" s="23">
        <f>IF(OR(BG$1="",$BM298=0),"",IFERROR(LOOKUP(2,1/((Budgets!$A$2:$A$200=BG$1)*(Budgets!$B$2:$B$200&lt;EDATE($A298,1))),Budgets!$C$2:$C$200),0))</f>
        <v/>
      </c>
      <c r="BH298" s="23">
        <f>IF(OR(BH$1="",$BM298=0),"",IFERROR(LOOKUP(2,1/((Budgets!$A$2:$A$200=BH$1)*(Budgets!$B$2:$B$200&lt;EDATE($A298,1))),Budgets!$C$2:$C$200),0))</f>
        <v/>
      </c>
      <c r="BI298" s="23">
        <f>IF(OR(BI$1="",$BM298=0),"",IFERROR(LOOKUP(2,1/((Budgets!$A$2:$A$200=BI$1)*(Budgets!$B$2:$B$200&lt;EDATE($A298,1))),Budgets!$C$2:$C$200),0))</f>
        <v/>
      </c>
      <c r="BJ298" s="23">
        <f>IF(OR(BJ$1="",$BM298=0),"",IFERROR(LOOKUP(2,1/((Budgets!$A$2:$A$200=BJ$1)*(Budgets!$B$2:$B$200&lt;EDATE($A298,1))),Budgets!$C$2:$C$200),0))</f>
        <v/>
      </c>
      <c r="BK298" s="23">
        <f>IF(OR(BK$1="",$BM298=0),"",IFERROR(LOOKUP(2,1/((Budgets!$A$2:$A$200=BK$1)*(Budgets!$B$2:$B$200&lt;EDATE($A298,1))),Budgets!$C$2:$C$200),0))</f>
        <v/>
      </c>
      <c r="BM298" s="21">
        <f>COUNTIFS(Entries!$A$2:$A$5000,"&gt;="&amp;$A298,Entries!$A$2:$A$5000,"&lt;"&amp;EDATE($A298,1))</f>
        <v/>
      </c>
    </row>
    <row r="299">
      <c r="A299" s="22" t="n">
        <v>48488</v>
      </c>
      <c r="B299" s="23">
        <f>IF($BM299=0,NA(),SUMIFS(Entries!$E$2:$E$5000,Entries!$C$2:$C$5000,"Income",Entries!$A$2:$A$5000,"&gt;="&amp;$A299,Entries!$A$2:$A$5000,"&lt;"&amp;EDATE($A299,1)))</f>
        <v/>
      </c>
      <c r="C299" s="23">
        <f>IF($BM299=0,"",SUMIFS(Entries!$E$2:$E$5000,Entries!$C$2:$C$5000,"Actual",Entries!$A$2:$A$5000,"&gt;="&amp;$A299,Entries!$A$2:$A$5000,"&lt;"&amp;EDATE($A299,1)))</f>
        <v/>
      </c>
      <c r="D299" s="23">
        <f>IF($BM299=0,"",SUMIFS(Entries!$E$2:$E$5000,Entries!$C$2:$C$5000,"One-off",Entries!$A$2:$A$5000,"&gt;="&amp;$A299,Entries!$A$2:$A$5000,"&lt;"&amp;EDATE($A299,1)))</f>
        <v/>
      </c>
      <c r="E299" s="23">
        <f>IF($BM299=0,NA(),C299+D299)</f>
        <v/>
      </c>
      <c r="F299" s="23">
        <f>IF($BM299=0,"",SUM(AR299:BK299))</f>
        <v/>
      </c>
      <c r="G299" s="23">
        <f>IF($BM299=0,"",B299-E299)</f>
        <v/>
      </c>
      <c r="H299" s="23">
        <f>IF($BM299=0,"",SUM($G$2:G299))</f>
        <v/>
      </c>
      <c r="I299" s="23">
        <f>IF($BM299=0,"",SUMIFS(Entries!$G$2:$G$5000,Entries!$A$2:$A$5000,"&gt;="&amp;$A299,Entries!$A$2:$A$5000,"&lt;"&amp;EDATE($A299,1)))</f>
        <v/>
      </c>
      <c r="J299" s="23">
        <f>IF($BM299=0,NA(),H299)</f>
        <v/>
      </c>
      <c r="K299" s="23">
        <f>IF($BM299=0,"",SUMIFS(Entries!$E$2:$E$5000,Entries!$C$2:$C$5000,"Income",Entries!$A$2:$A$5000,"&gt;="&amp;EDATE($A299,-11),Entries!$A$2:$A$5000,"&lt;"&amp;EDATE($A299,1))/COUNTIFS($A$2:$A$400,"&gt;="&amp;EDATE($A299,-11),$A$2:$A$400,"&lt;"&amp;EDATE($A299,1),$BM$2:$BM$400,"&gt;0"))</f>
      </c>
      <c r="L299" s="23">
        <f>IF($BM299=0,"",(SUMIFS(Entries!$E$2:$E$5000,Entries!$C$2:$C$5000,"Actual",Entries!$A$2:$A$5000,"&gt;="&amp;EDATE($A299,-11),Entries!$A$2:$A$5000,"&lt;"&amp;EDATE($A299,1))+SUMIFS(Entries!$E$2:$E$5000,Entries!$C$2:$C$5000,"One-off",Entries!$A$2:$A$5000,"&gt;="&amp;EDATE($A299,-11),Entries!$A$2:$A$5000,"&lt;"&amp;EDATE($A299,1)))/COUNTIFS($A$2:$A$400,"&gt;="&amp;EDATE($A299,-11),$A$2:$A$400,"&lt;"&amp;EDATE($A299,1),$BM$2:$BM$400,"&gt;0"))</f>
      </c>
      <c r="M299" s="24">
        <f>IF($BM299=0,NA(),IFERROR((K299-L299)/K299,0))</f>
        <v/>
      </c>
      <c r="N299" s="23">
        <f>IF($BM299=0,NA(),SUMIFS(Entries!$E$2:$E$5000,Entries!$D$2:$D$5000,"Core",Entries!$A$2:$A$5000,"&gt;="&amp;$A299,Entries!$A$2:$A$5000,"&lt;"&amp;EDATE($A299,1)))</f>
        <v/>
      </c>
      <c r="O299" s="23">
        <f>IF($BM299=0,NA(),SUMIFS(Entries!$E$2:$E$5000,Entries!$D$2:$D$5000,"Over &amp; above",Entries!$A$2:$A$5000,"&gt;="&amp;$A299,Entries!$A$2:$A$5000,"&lt;"&amp;EDATE($A299,1)))</f>
        <v/>
      </c>
      <c r="P299" s="23">
        <f>IF($BM299=0,NA(),SUMIFS(Entries!$E$2:$E$5000,Entries!$D$2:$D$5000,"One-off",Entries!$A$2:$A$5000,"&gt;="&amp;$A299,Entries!$A$2:$A$5000,"&lt;"&amp;EDATE($A299,1)))</f>
        <v/>
      </c>
      <c r="Q299" s="23">
        <f>IF($BM299=0,NA(),SUMIFS(Entries!$E$2:$E$5000,Entries!$D$2:$D$5000,"Reimbursable",Entries!$A$2:$A$5000,"&gt;="&amp;$A299,Entries!$A$2:$A$5000,"&lt;"&amp;EDATE($A299,1)))</f>
        <v/>
      </c>
      <c r="R299" s="23">
        <f>IF($BM299=0,NA(),SUMIFS(Entries!$E$2:$E$5000,Entries!$D$2:$D$5000,"Investment",Entries!$A$2:$A$5000,"&gt;="&amp;$A299,Entries!$A$2:$A$5000,"&lt;"&amp;EDATE($A299,1)))</f>
        <v/>
      </c>
      <c r="S299" s="23">
        <f>IF($BM299=0,NA(),N299+O299)</f>
        <v/>
      </c>
      <c r="T299" s="23">
        <f>IF($BM299=0,"",E299-Q299)</f>
        <v/>
      </c>
      <c r="W299" s="23">
        <f>IF(OR(W$1="",$BM299=0),"",SUMIFS(Entries!$E$2:$E$5000,Entries!$C$2:$C$5000,"Actual",Entries!$A$2:$A$5000,"&gt;="&amp;$A299,Entries!$A$2:$A$5000,"&lt;"&amp;EDATE($A299,1),Entries!$B$2:$B$5000,W$1))</f>
        <v/>
      </c>
      <c r="X299" s="23">
        <f>IF(OR(X$1="",$BM299=0),"",SUMIFS(Entries!$E$2:$E$5000,Entries!$C$2:$C$5000,"Actual",Entries!$A$2:$A$5000,"&gt;="&amp;$A299,Entries!$A$2:$A$5000,"&lt;"&amp;EDATE($A299,1),Entries!$B$2:$B$5000,X$1))</f>
        <v/>
      </c>
      <c r="Y299" s="23">
        <f>IF(OR(Y$1="",$BM299=0),"",SUMIFS(Entries!$E$2:$E$5000,Entries!$C$2:$C$5000,"Actual",Entries!$A$2:$A$5000,"&gt;="&amp;$A299,Entries!$A$2:$A$5000,"&lt;"&amp;EDATE($A299,1),Entries!$B$2:$B$5000,Y$1))</f>
        <v/>
      </c>
      <c r="Z299" s="23">
        <f>IF(OR(Z$1="",$BM299=0),"",SUMIFS(Entries!$E$2:$E$5000,Entries!$C$2:$C$5000,"Actual",Entries!$A$2:$A$5000,"&gt;="&amp;$A299,Entries!$A$2:$A$5000,"&lt;"&amp;EDATE($A299,1),Entries!$B$2:$B$5000,Z$1))</f>
        <v/>
      </c>
      <c r="AA299" s="23">
        <f>IF(OR(AA$1="",$BM299=0),"",SUMIFS(Entries!$E$2:$E$5000,Entries!$C$2:$C$5000,"Actual",Entries!$A$2:$A$5000,"&gt;="&amp;$A299,Entries!$A$2:$A$5000,"&lt;"&amp;EDATE($A299,1),Entries!$B$2:$B$5000,AA$1))</f>
        <v/>
      </c>
      <c r="AB299" s="23">
        <f>IF(OR(AB$1="",$BM299=0),"",SUMIFS(Entries!$E$2:$E$5000,Entries!$C$2:$C$5000,"Actual",Entries!$A$2:$A$5000,"&gt;="&amp;$A299,Entries!$A$2:$A$5000,"&lt;"&amp;EDATE($A299,1),Entries!$B$2:$B$5000,AB$1))</f>
        <v/>
      </c>
      <c r="AC299" s="23">
        <f>IF(OR(AC$1="",$BM299=0),"",SUMIFS(Entries!$E$2:$E$5000,Entries!$C$2:$C$5000,"Actual",Entries!$A$2:$A$5000,"&gt;="&amp;$A299,Entries!$A$2:$A$5000,"&lt;"&amp;EDATE($A299,1),Entries!$B$2:$B$5000,AC$1))</f>
        <v/>
      </c>
      <c r="AD299" s="23">
        <f>IF(OR(AD$1="",$BM299=0),"",SUMIFS(Entries!$E$2:$E$5000,Entries!$C$2:$C$5000,"Actual",Entries!$A$2:$A$5000,"&gt;="&amp;$A299,Entries!$A$2:$A$5000,"&lt;"&amp;EDATE($A299,1),Entries!$B$2:$B$5000,AD$1))</f>
        <v/>
      </c>
      <c r="AE299" s="23">
        <f>IF(OR(AE$1="",$BM299=0),"",SUMIFS(Entries!$E$2:$E$5000,Entries!$C$2:$C$5000,"Actual",Entries!$A$2:$A$5000,"&gt;="&amp;$A299,Entries!$A$2:$A$5000,"&lt;"&amp;EDATE($A299,1),Entries!$B$2:$B$5000,AE$1))</f>
        <v/>
      </c>
      <c r="AF299" s="23">
        <f>IF(OR(AF$1="",$BM299=0),"",SUMIFS(Entries!$E$2:$E$5000,Entries!$C$2:$C$5000,"Actual",Entries!$A$2:$A$5000,"&gt;="&amp;$A299,Entries!$A$2:$A$5000,"&lt;"&amp;EDATE($A299,1),Entries!$B$2:$B$5000,AF$1))</f>
        <v/>
      </c>
      <c r="AG299" s="23">
        <f>IF(OR(AG$1="",$BM299=0),"",SUMIFS(Entries!$E$2:$E$5000,Entries!$C$2:$C$5000,"Actual",Entries!$A$2:$A$5000,"&gt;="&amp;$A299,Entries!$A$2:$A$5000,"&lt;"&amp;EDATE($A299,1),Entries!$B$2:$B$5000,AG$1))</f>
        <v/>
      </c>
      <c r="AH299" s="23">
        <f>IF(OR(AH$1="",$BM299=0),"",SUMIFS(Entries!$E$2:$E$5000,Entries!$C$2:$C$5000,"Actual",Entries!$A$2:$A$5000,"&gt;="&amp;$A299,Entries!$A$2:$A$5000,"&lt;"&amp;EDATE($A299,1),Entries!$B$2:$B$5000,AH$1))</f>
        <v/>
      </c>
      <c r="AI299" s="23">
        <f>IF(OR(AI$1="",$BM299=0),"",SUMIFS(Entries!$E$2:$E$5000,Entries!$C$2:$C$5000,"Actual",Entries!$A$2:$A$5000,"&gt;="&amp;$A299,Entries!$A$2:$A$5000,"&lt;"&amp;EDATE($A299,1),Entries!$B$2:$B$5000,AI$1))</f>
        <v/>
      </c>
      <c r="AJ299" s="23">
        <f>IF(OR(AJ$1="",$BM299=0),"",SUMIFS(Entries!$E$2:$E$5000,Entries!$C$2:$C$5000,"Actual",Entries!$A$2:$A$5000,"&gt;="&amp;$A299,Entries!$A$2:$A$5000,"&lt;"&amp;EDATE($A299,1),Entries!$B$2:$B$5000,AJ$1))</f>
        <v/>
      </c>
      <c r="AK299" s="23">
        <f>IF(OR(AK$1="",$BM299=0),"",SUMIFS(Entries!$E$2:$E$5000,Entries!$C$2:$C$5000,"Actual",Entries!$A$2:$A$5000,"&gt;="&amp;$A299,Entries!$A$2:$A$5000,"&lt;"&amp;EDATE($A299,1),Entries!$B$2:$B$5000,AK$1))</f>
        <v/>
      </c>
      <c r="AL299" s="23">
        <f>IF(OR(AL$1="",$BM299=0),"",SUMIFS(Entries!$E$2:$E$5000,Entries!$C$2:$C$5000,"Actual",Entries!$A$2:$A$5000,"&gt;="&amp;$A299,Entries!$A$2:$A$5000,"&lt;"&amp;EDATE($A299,1),Entries!$B$2:$B$5000,AL$1))</f>
        <v/>
      </c>
      <c r="AM299" s="23">
        <f>IF(OR(AM$1="",$BM299=0),"",SUMIFS(Entries!$E$2:$E$5000,Entries!$C$2:$C$5000,"Actual",Entries!$A$2:$A$5000,"&gt;="&amp;$A299,Entries!$A$2:$A$5000,"&lt;"&amp;EDATE($A299,1),Entries!$B$2:$B$5000,AM$1))</f>
        <v/>
      </c>
      <c r="AN299" s="23">
        <f>IF(OR(AN$1="",$BM299=0),"",SUMIFS(Entries!$E$2:$E$5000,Entries!$C$2:$C$5000,"Actual",Entries!$A$2:$A$5000,"&gt;="&amp;$A299,Entries!$A$2:$A$5000,"&lt;"&amp;EDATE($A299,1),Entries!$B$2:$B$5000,AN$1))</f>
        <v/>
      </c>
      <c r="AO299" s="23">
        <f>IF(OR(AO$1="",$BM299=0),"",SUMIFS(Entries!$E$2:$E$5000,Entries!$C$2:$C$5000,"Actual",Entries!$A$2:$A$5000,"&gt;="&amp;$A299,Entries!$A$2:$A$5000,"&lt;"&amp;EDATE($A299,1),Entries!$B$2:$B$5000,AO$1))</f>
        <v/>
      </c>
      <c r="AP299" s="23">
        <f>IF(OR(AP$1="",$BM299=0),"",SUMIFS(Entries!$E$2:$E$5000,Entries!$C$2:$C$5000,"Actual",Entries!$A$2:$A$5000,"&gt;="&amp;$A299,Entries!$A$2:$A$5000,"&lt;"&amp;EDATE($A299,1),Entries!$B$2:$B$5000,AP$1))</f>
        <v/>
      </c>
      <c r="AR299" s="23">
        <f>IF(OR(AR$1="",$BM299=0),"",IFERROR(LOOKUP(2,1/((Budgets!$A$2:$A$200=AR$1)*(Budgets!$B$2:$B$200&lt;EDATE($A299,1))),Budgets!$C$2:$C$200),0))</f>
        <v/>
      </c>
      <c r="AS299" s="23">
        <f>IF(OR(AS$1="",$BM299=0),"",IFERROR(LOOKUP(2,1/((Budgets!$A$2:$A$200=AS$1)*(Budgets!$B$2:$B$200&lt;EDATE($A299,1))),Budgets!$C$2:$C$200),0))</f>
        <v/>
      </c>
      <c r="AT299" s="23">
        <f>IF(OR(AT$1="",$BM299=0),"",IFERROR(LOOKUP(2,1/((Budgets!$A$2:$A$200=AT$1)*(Budgets!$B$2:$B$200&lt;EDATE($A299,1))),Budgets!$C$2:$C$200),0))</f>
        <v/>
      </c>
      <c r="AU299" s="23">
        <f>IF(OR(AU$1="",$BM299=0),"",IFERROR(LOOKUP(2,1/((Budgets!$A$2:$A$200=AU$1)*(Budgets!$B$2:$B$200&lt;EDATE($A299,1))),Budgets!$C$2:$C$200),0))</f>
        <v/>
      </c>
      <c r="AV299" s="23">
        <f>IF(OR(AV$1="",$BM299=0),"",IFERROR(LOOKUP(2,1/((Budgets!$A$2:$A$200=AV$1)*(Budgets!$B$2:$B$200&lt;EDATE($A299,1))),Budgets!$C$2:$C$200),0))</f>
        <v/>
      </c>
      <c r="AW299" s="23">
        <f>IF(OR(AW$1="",$BM299=0),"",IFERROR(LOOKUP(2,1/((Budgets!$A$2:$A$200=AW$1)*(Budgets!$B$2:$B$200&lt;EDATE($A299,1))),Budgets!$C$2:$C$200),0))</f>
        <v/>
      </c>
      <c r="AX299" s="23">
        <f>IF(OR(AX$1="",$BM299=0),"",IFERROR(LOOKUP(2,1/((Budgets!$A$2:$A$200=AX$1)*(Budgets!$B$2:$B$200&lt;EDATE($A299,1))),Budgets!$C$2:$C$200),0))</f>
        <v/>
      </c>
      <c r="AY299" s="23">
        <f>IF(OR(AY$1="",$BM299=0),"",IFERROR(LOOKUP(2,1/((Budgets!$A$2:$A$200=AY$1)*(Budgets!$B$2:$B$200&lt;EDATE($A299,1))),Budgets!$C$2:$C$200),0))</f>
        <v/>
      </c>
      <c r="AZ299" s="23">
        <f>IF(OR(AZ$1="",$BM299=0),"",IFERROR(LOOKUP(2,1/((Budgets!$A$2:$A$200=AZ$1)*(Budgets!$B$2:$B$200&lt;EDATE($A299,1))),Budgets!$C$2:$C$200),0))</f>
        <v/>
      </c>
      <c r="BA299" s="23">
        <f>IF(OR(BA$1="",$BM299=0),"",IFERROR(LOOKUP(2,1/((Budgets!$A$2:$A$200=BA$1)*(Budgets!$B$2:$B$200&lt;EDATE($A299,1))),Budgets!$C$2:$C$200),0))</f>
        <v/>
      </c>
      <c r="BB299" s="23">
        <f>IF(OR(BB$1="",$BM299=0),"",IFERROR(LOOKUP(2,1/((Budgets!$A$2:$A$200=BB$1)*(Budgets!$B$2:$B$200&lt;EDATE($A299,1))),Budgets!$C$2:$C$200),0))</f>
        <v/>
      </c>
      <c r="BC299" s="23">
        <f>IF(OR(BC$1="",$BM299=0),"",IFERROR(LOOKUP(2,1/((Budgets!$A$2:$A$200=BC$1)*(Budgets!$B$2:$B$200&lt;EDATE($A299,1))),Budgets!$C$2:$C$200),0))</f>
        <v/>
      </c>
      <c r="BD299" s="23">
        <f>IF(OR(BD$1="",$BM299=0),"",IFERROR(LOOKUP(2,1/((Budgets!$A$2:$A$200=BD$1)*(Budgets!$B$2:$B$200&lt;EDATE($A299,1))),Budgets!$C$2:$C$200),0))</f>
        <v/>
      </c>
      <c r="BE299" s="23">
        <f>IF(OR(BE$1="",$BM299=0),"",IFERROR(LOOKUP(2,1/((Budgets!$A$2:$A$200=BE$1)*(Budgets!$B$2:$B$200&lt;EDATE($A299,1))),Budgets!$C$2:$C$200),0))</f>
        <v/>
      </c>
      <c r="BF299" s="23">
        <f>IF(OR(BF$1="",$BM299=0),"",IFERROR(LOOKUP(2,1/((Budgets!$A$2:$A$200=BF$1)*(Budgets!$B$2:$B$200&lt;EDATE($A299,1))),Budgets!$C$2:$C$200),0))</f>
        <v/>
      </c>
      <c r="BG299" s="23">
        <f>IF(OR(BG$1="",$BM299=0),"",IFERROR(LOOKUP(2,1/((Budgets!$A$2:$A$200=BG$1)*(Budgets!$B$2:$B$200&lt;EDATE($A299,1))),Budgets!$C$2:$C$200),0))</f>
        <v/>
      </c>
      <c r="BH299" s="23">
        <f>IF(OR(BH$1="",$BM299=0),"",IFERROR(LOOKUP(2,1/((Budgets!$A$2:$A$200=BH$1)*(Budgets!$B$2:$B$200&lt;EDATE($A299,1))),Budgets!$C$2:$C$200),0))</f>
        <v/>
      </c>
      <c r="BI299" s="23">
        <f>IF(OR(BI$1="",$BM299=0),"",IFERROR(LOOKUP(2,1/((Budgets!$A$2:$A$200=BI$1)*(Budgets!$B$2:$B$200&lt;EDATE($A299,1))),Budgets!$C$2:$C$200),0))</f>
        <v/>
      </c>
      <c r="BJ299" s="23">
        <f>IF(OR(BJ$1="",$BM299=0),"",IFERROR(LOOKUP(2,1/((Budgets!$A$2:$A$200=BJ$1)*(Budgets!$B$2:$B$200&lt;EDATE($A299,1))),Budgets!$C$2:$C$200),0))</f>
        <v/>
      </c>
      <c r="BK299" s="23">
        <f>IF(OR(BK$1="",$BM299=0),"",IFERROR(LOOKUP(2,1/((Budgets!$A$2:$A$200=BK$1)*(Budgets!$B$2:$B$200&lt;EDATE($A299,1))),Budgets!$C$2:$C$200),0))</f>
        <v/>
      </c>
      <c r="BM299" s="21">
        <f>COUNTIFS(Entries!$A$2:$A$5000,"&gt;="&amp;$A299,Entries!$A$2:$A$5000,"&lt;"&amp;EDATE($A299,1))</f>
        <v/>
      </c>
    </row>
    <row r="300">
      <c r="A300" s="22" t="n">
        <v>48519</v>
      </c>
      <c r="B300" s="23">
        <f>IF($BM300=0,NA(),SUMIFS(Entries!$E$2:$E$5000,Entries!$C$2:$C$5000,"Income",Entries!$A$2:$A$5000,"&gt;="&amp;$A300,Entries!$A$2:$A$5000,"&lt;"&amp;EDATE($A300,1)))</f>
        <v/>
      </c>
      <c r="C300" s="23">
        <f>IF($BM300=0,"",SUMIFS(Entries!$E$2:$E$5000,Entries!$C$2:$C$5000,"Actual",Entries!$A$2:$A$5000,"&gt;="&amp;$A300,Entries!$A$2:$A$5000,"&lt;"&amp;EDATE($A300,1)))</f>
        <v/>
      </c>
      <c r="D300" s="23">
        <f>IF($BM300=0,"",SUMIFS(Entries!$E$2:$E$5000,Entries!$C$2:$C$5000,"One-off",Entries!$A$2:$A$5000,"&gt;="&amp;$A300,Entries!$A$2:$A$5000,"&lt;"&amp;EDATE($A300,1)))</f>
        <v/>
      </c>
      <c r="E300" s="23">
        <f>IF($BM300=0,NA(),C300+D300)</f>
        <v/>
      </c>
      <c r="F300" s="23">
        <f>IF($BM300=0,"",SUM(AR300:BK300))</f>
        <v/>
      </c>
      <c r="G300" s="23">
        <f>IF($BM300=0,"",B300-E300)</f>
        <v/>
      </c>
      <c r="H300" s="23">
        <f>IF($BM300=0,"",SUM($G$2:G300))</f>
        <v/>
      </c>
      <c r="I300" s="23">
        <f>IF($BM300=0,"",SUMIFS(Entries!$G$2:$G$5000,Entries!$A$2:$A$5000,"&gt;="&amp;$A300,Entries!$A$2:$A$5000,"&lt;"&amp;EDATE($A300,1)))</f>
        <v/>
      </c>
      <c r="J300" s="23">
        <f>IF($BM300=0,NA(),H300)</f>
        <v/>
      </c>
      <c r="K300" s="23">
        <f>IF($BM300=0,"",SUMIFS(Entries!$E$2:$E$5000,Entries!$C$2:$C$5000,"Income",Entries!$A$2:$A$5000,"&gt;="&amp;EDATE($A300,-11),Entries!$A$2:$A$5000,"&lt;"&amp;EDATE($A300,1))/COUNTIFS($A$2:$A$400,"&gt;="&amp;EDATE($A300,-11),$A$2:$A$400,"&lt;"&amp;EDATE($A300,1),$BM$2:$BM$400,"&gt;0"))</f>
      </c>
      <c r="L300" s="23">
        <f>IF($BM300=0,"",(SUMIFS(Entries!$E$2:$E$5000,Entries!$C$2:$C$5000,"Actual",Entries!$A$2:$A$5000,"&gt;="&amp;EDATE($A300,-11),Entries!$A$2:$A$5000,"&lt;"&amp;EDATE($A300,1))+SUMIFS(Entries!$E$2:$E$5000,Entries!$C$2:$C$5000,"One-off",Entries!$A$2:$A$5000,"&gt;="&amp;EDATE($A300,-11),Entries!$A$2:$A$5000,"&lt;"&amp;EDATE($A300,1)))/COUNTIFS($A$2:$A$400,"&gt;="&amp;EDATE($A300,-11),$A$2:$A$400,"&lt;"&amp;EDATE($A300,1),$BM$2:$BM$400,"&gt;0"))</f>
      </c>
      <c r="M300" s="24">
        <f>IF($BM300=0,NA(),IFERROR((K300-L300)/K300,0))</f>
        <v/>
      </c>
      <c r="N300" s="23">
        <f>IF($BM300=0,NA(),SUMIFS(Entries!$E$2:$E$5000,Entries!$D$2:$D$5000,"Core",Entries!$A$2:$A$5000,"&gt;="&amp;$A300,Entries!$A$2:$A$5000,"&lt;"&amp;EDATE($A300,1)))</f>
        <v/>
      </c>
      <c r="O300" s="23">
        <f>IF($BM300=0,NA(),SUMIFS(Entries!$E$2:$E$5000,Entries!$D$2:$D$5000,"Over &amp; above",Entries!$A$2:$A$5000,"&gt;="&amp;$A300,Entries!$A$2:$A$5000,"&lt;"&amp;EDATE($A300,1)))</f>
        <v/>
      </c>
      <c r="P300" s="23">
        <f>IF($BM300=0,NA(),SUMIFS(Entries!$E$2:$E$5000,Entries!$D$2:$D$5000,"One-off",Entries!$A$2:$A$5000,"&gt;="&amp;$A300,Entries!$A$2:$A$5000,"&lt;"&amp;EDATE($A300,1)))</f>
        <v/>
      </c>
      <c r="Q300" s="23">
        <f>IF($BM300=0,NA(),SUMIFS(Entries!$E$2:$E$5000,Entries!$D$2:$D$5000,"Reimbursable",Entries!$A$2:$A$5000,"&gt;="&amp;$A300,Entries!$A$2:$A$5000,"&lt;"&amp;EDATE($A300,1)))</f>
        <v/>
      </c>
      <c r="R300" s="23">
        <f>IF($BM300=0,NA(),SUMIFS(Entries!$E$2:$E$5000,Entries!$D$2:$D$5000,"Investment",Entries!$A$2:$A$5000,"&gt;="&amp;$A300,Entries!$A$2:$A$5000,"&lt;"&amp;EDATE($A300,1)))</f>
        <v/>
      </c>
      <c r="S300" s="23">
        <f>IF($BM300=0,NA(),N300+O300)</f>
        <v/>
      </c>
      <c r="T300" s="23">
        <f>IF($BM300=0,"",E300-Q300)</f>
        <v/>
      </c>
      <c r="W300" s="23">
        <f>IF(OR(W$1="",$BM300=0),"",SUMIFS(Entries!$E$2:$E$5000,Entries!$C$2:$C$5000,"Actual",Entries!$A$2:$A$5000,"&gt;="&amp;$A300,Entries!$A$2:$A$5000,"&lt;"&amp;EDATE($A300,1),Entries!$B$2:$B$5000,W$1))</f>
        <v/>
      </c>
      <c r="X300" s="23">
        <f>IF(OR(X$1="",$BM300=0),"",SUMIFS(Entries!$E$2:$E$5000,Entries!$C$2:$C$5000,"Actual",Entries!$A$2:$A$5000,"&gt;="&amp;$A300,Entries!$A$2:$A$5000,"&lt;"&amp;EDATE($A300,1),Entries!$B$2:$B$5000,X$1))</f>
        <v/>
      </c>
      <c r="Y300" s="23">
        <f>IF(OR(Y$1="",$BM300=0),"",SUMIFS(Entries!$E$2:$E$5000,Entries!$C$2:$C$5000,"Actual",Entries!$A$2:$A$5000,"&gt;="&amp;$A300,Entries!$A$2:$A$5000,"&lt;"&amp;EDATE($A300,1),Entries!$B$2:$B$5000,Y$1))</f>
        <v/>
      </c>
      <c r="Z300" s="23">
        <f>IF(OR(Z$1="",$BM300=0),"",SUMIFS(Entries!$E$2:$E$5000,Entries!$C$2:$C$5000,"Actual",Entries!$A$2:$A$5000,"&gt;="&amp;$A300,Entries!$A$2:$A$5000,"&lt;"&amp;EDATE($A300,1),Entries!$B$2:$B$5000,Z$1))</f>
        <v/>
      </c>
      <c r="AA300" s="23">
        <f>IF(OR(AA$1="",$BM300=0),"",SUMIFS(Entries!$E$2:$E$5000,Entries!$C$2:$C$5000,"Actual",Entries!$A$2:$A$5000,"&gt;="&amp;$A300,Entries!$A$2:$A$5000,"&lt;"&amp;EDATE($A300,1),Entries!$B$2:$B$5000,AA$1))</f>
        <v/>
      </c>
      <c r="AB300" s="23">
        <f>IF(OR(AB$1="",$BM300=0),"",SUMIFS(Entries!$E$2:$E$5000,Entries!$C$2:$C$5000,"Actual",Entries!$A$2:$A$5000,"&gt;="&amp;$A300,Entries!$A$2:$A$5000,"&lt;"&amp;EDATE($A300,1),Entries!$B$2:$B$5000,AB$1))</f>
        <v/>
      </c>
      <c r="AC300" s="23">
        <f>IF(OR(AC$1="",$BM300=0),"",SUMIFS(Entries!$E$2:$E$5000,Entries!$C$2:$C$5000,"Actual",Entries!$A$2:$A$5000,"&gt;="&amp;$A300,Entries!$A$2:$A$5000,"&lt;"&amp;EDATE($A300,1),Entries!$B$2:$B$5000,AC$1))</f>
        <v/>
      </c>
      <c r="AD300" s="23">
        <f>IF(OR(AD$1="",$BM300=0),"",SUMIFS(Entries!$E$2:$E$5000,Entries!$C$2:$C$5000,"Actual",Entries!$A$2:$A$5000,"&gt;="&amp;$A300,Entries!$A$2:$A$5000,"&lt;"&amp;EDATE($A300,1),Entries!$B$2:$B$5000,AD$1))</f>
        <v/>
      </c>
      <c r="AE300" s="23">
        <f>IF(OR(AE$1="",$BM300=0),"",SUMIFS(Entries!$E$2:$E$5000,Entries!$C$2:$C$5000,"Actual",Entries!$A$2:$A$5000,"&gt;="&amp;$A300,Entries!$A$2:$A$5000,"&lt;"&amp;EDATE($A300,1),Entries!$B$2:$B$5000,AE$1))</f>
        <v/>
      </c>
      <c r="AF300" s="23">
        <f>IF(OR(AF$1="",$BM300=0),"",SUMIFS(Entries!$E$2:$E$5000,Entries!$C$2:$C$5000,"Actual",Entries!$A$2:$A$5000,"&gt;="&amp;$A300,Entries!$A$2:$A$5000,"&lt;"&amp;EDATE($A300,1),Entries!$B$2:$B$5000,AF$1))</f>
        <v/>
      </c>
      <c r="AG300" s="23">
        <f>IF(OR(AG$1="",$BM300=0),"",SUMIFS(Entries!$E$2:$E$5000,Entries!$C$2:$C$5000,"Actual",Entries!$A$2:$A$5000,"&gt;="&amp;$A300,Entries!$A$2:$A$5000,"&lt;"&amp;EDATE($A300,1),Entries!$B$2:$B$5000,AG$1))</f>
        <v/>
      </c>
      <c r="AH300" s="23">
        <f>IF(OR(AH$1="",$BM300=0),"",SUMIFS(Entries!$E$2:$E$5000,Entries!$C$2:$C$5000,"Actual",Entries!$A$2:$A$5000,"&gt;="&amp;$A300,Entries!$A$2:$A$5000,"&lt;"&amp;EDATE($A300,1),Entries!$B$2:$B$5000,AH$1))</f>
        <v/>
      </c>
      <c r="AI300" s="23">
        <f>IF(OR(AI$1="",$BM300=0),"",SUMIFS(Entries!$E$2:$E$5000,Entries!$C$2:$C$5000,"Actual",Entries!$A$2:$A$5000,"&gt;="&amp;$A300,Entries!$A$2:$A$5000,"&lt;"&amp;EDATE($A300,1),Entries!$B$2:$B$5000,AI$1))</f>
        <v/>
      </c>
      <c r="AJ300" s="23">
        <f>IF(OR(AJ$1="",$BM300=0),"",SUMIFS(Entries!$E$2:$E$5000,Entries!$C$2:$C$5000,"Actual",Entries!$A$2:$A$5000,"&gt;="&amp;$A300,Entries!$A$2:$A$5000,"&lt;"&amp;EDATE($A300,1),Entries!$B$2:$B$5000,AJ$1))</f>
        <v/>
      </c>
      <c r="AK300" s="23">
        <f>IF(OR(AK$1="",$BM300=0),"",SUMIFS(Entries!$E$2:$E$5000,Entries!$C$2:$C$5000,"Actual",Entries!$A$2:$A$5000,"&gt;="&amp;$A300,Entries!$A$2:$A$5000,"&lt;"&amp;EDATE($A300,1),Entries!$B$2:$B$5000,AK$1))</f>
        <v/>
      </c>
      <c r="AL300" s="23">
        <f>IF(OR(AL$1="",$BM300=0),"",SUMIFS(Entries!$E$2:$E$5000,Entries!$C$2:$C$5000,"Actual",Entries!$A$2:$A$5000,"&gt;="&amp;$A300,Entries!$A$2:$A$5000,"&lt;"&amp;EDATE($A300,1),Entries!$B$2:$B$5000,AL$1))</f>
        <v/>
      </c>
      <c r="AM300" s="23">
        <f>IF(OR(AM$1="",$BM300=0),"",SUMIFS(Entries!$E$2:$E$5000,Entries!$C$2:$C$5000,"Actual",Entries!$A$2:$A$5000,"&gt;="&amp;$A300,Entries!$A$2:$A$5000,"&lt;"&amp;EDATE($A300,1),Entries!$B$2:$B$5000,AM$1))</f>
        <v/>
      </c>
      <c r="AN300" s="23">
        <f>IF(OR(AN$1="",$BM300=0),"",SUMIFS(Entries!$E$2:$E$5000,Entries!$C$2:$C$5000,"Actual",Entries!$A$2:$A$5000,"&gt;="&amp;$A300,Entries!$A$2:$A$5000,"&lt;"&amp;EDATE($A300,1),Entries!$B$2:$B$5000,AN$1))</f>
        <v/>
      </c>
      <c r="AO300" s="23">
        <f>IF(OR(AO$1="",$BM300=0),"",SUMIFS(Entries!$E$2:$E$5000,Entries!$C$2:$C$5000,"Actual",Entries!$A$2:$A$5000,"&gt;="&amp;$A300,Entries!$A$2:$A$5000,"&lt;"&amp;EDATE($A300,1),Entries!$B$2:$B$5000,AO$1))</f>
        <v/>
      </c>
      <c r="AP300" s="23">
        <f>IF(OR(AP$1="",$BM300=0),"",SUMIFS(Entries!$E$2:$E$5000,Entries!$C$2:$C$5000,"Actual",Entries!$A$2:$A$5000,"&gt;="&amp;$A300,Entries!$A$2:$A$5000,"&lt;"&amp;EDATE($A300,1),Entries!$B$2:$B$5000,AP$1))</f>
        <v/>
      </c>
      <c r="AR300" s="23">
        <f>IF(OR(AR$1="",$BM300=0),"",IFERROR(LOOKUP(2,1/((Budgets!$A$2:$A$200=AR$1)*(Budgets!$B$2:$B$200&lt;EDATE($A300,1))),Budgets!$C$2:$C$200),0))</f>
        <v/>
      </c>
      <c r="AS300" s="23">
        <f>IF(OR(AS$1="",$BM300=0),"",IFERROR(LOOKUP(2,1/((Budgets!$A$2:$A$200=AS$1)*(Budgets!$B$2:$B$200&lt;EDATE($A300,1))),Budgets!$C$2:$C$200),0))</f>
        <v/>
      </c>
      <c r="AT300" s="23">
        <f>IF(OR(AT$1="",$BM300=0),"",IFERROR(LOOKUP(2,1/((Budgets!$A$2:$A$200=AT$1)*(Budgets!$B$2:$B$200&lt;EDATE($A300,1))),Budgets!$C$2:$C$200),0))</f>
        <v/>
      </c>
      <c r="AU300" s="23">
        <f>IF(OR(AU$1="",$BM300=0),"",IFERROR(LOOKUP(2,1/((Budgets!$A$2:$A$200=AU$1)*(Budgets!$B$2:$B$200&lt;EDATE($A300,1))),Budgets!$C$2:$C$200),0))</f>
        <v/>
      </c>
      <c r="AV300" s="23">
        <f>IF(OR(AV$1="",$BM300=0),"",IFERROR(LOOKUP(2,1/((Budgets!$A$2:$A$200=AV$1)*(Budgets!$B$2:$B$200&lt;EDATE($A300,1))),Budgets!$C$2:$C$200),0))</f>
        <v/>
      </c>
      <c r="AW300" s="23">
        <f>IF(OR(AW$1="",$BM300=0),"",IFERROR(LOOKUP(2,1/((Budgets!$A$2:$A$200=AW$1)*(Budgets!$B$2:$B$200&lt;EDATE($A300,1))),Budgets!$C$2:$C$200),0))</f>
        <v/>
      </c>
      <c r="AX300" s="23">
        <f>IF(OR(AX$1="",$BM300=0),"",IFERROR(LOOKUP(2,1/((Budgets!$A$2:$A$200=AX$1)*(Budgets!$B$2:$B$200&lt;EDATE($A300,1))),Budgets!$C$2:$C$200),0))</f>
        <v/>
      </c>
      <c r="AY300" s="23">
        <f>IF(OR(AY$1="",$BM300=0),"",IFERROR(LOOKUP(2,1/((Budgets!$A$2:$A$200=AY$1)*(Budgets!$B$2:$B$200&lt;EDATE($A300,1))),Budgets!$C$2:$C$200),0))</f>
        <v/>
      </c>
      <c r="AZ300" s="23">
        <f>IF(OR(AZ$1="",$BM300=0),"",IFERROR(LOOKUP(2,1/((Budgets!$A$2:$A$200=AZ$1)*(Budgets!$B$2:$B$200&lt;EDATE($A300,1))),Budgets!$C$2:$C$200),0))</f>
        <v/>
      </c>
      <c r="BA300" s="23">
        <f>IF(OR(BA$1="",$BM300=0),"",IFERROR(LOOKUP(2,1/((Budgets!$A$2:$A$200=BA$1)*(Budgets!$B$2:$B$200&lt;EDATE($A300,1))),Budgets!$C$2:$C$200),0))</f>
        <v/>
      </c>
      <c r="BB300" s="23">
        <f>IF(OR(BB$1="",$BM300=0),"",IFERROR(LOOKUP(2,1/((Budgets!$A$2:$A$200=BB$1)*(Budgets!$B$2:$B$200&lt;EDATE($A300,1))),Budgets!$C$2:$C$200),0))</f>
        <v/>
      </c>
      <c r="BC300" s="23">
        <f>IF(OR(BC$1="",$BM300=0),"",IFERROR(LOOKUP(2,1/((Budgets!$A$2:$A$200=BC$1)*(Budgets!$B$2:$B$200&lt;EDATE($A300,1))),Budgets!$C$2:$C$200),0))</f>
        <v/>
      </c>
      <c r="BD300" s="23">
        <f>IF(OR(BD$1="",$BM300=0),"",IFERROR(LOOKUP(2,1/((Budgets!$A$2:$A$200=BD$1)*(Budgets!$B$2:$B$200&lt;EDATE($A300,1))),Budgets!$C$2:$C$200),0))</f>
        <v/>
      </c>
      <c r="BE300" s="23">
        <f>IF(OR(BE$1="",$BM300=0),"",IFERROR(LOOKUP(2,1/((Budgets!$A$2:$A$200=BE$1)*(Budgets!$B$2:$B$200&lt;EDATE($A300,1))),Budgets!$C$2:$C$200),0))</f>
        <v/>
      </c>
      <c r="BF300" s="23">
        <f>IF(OR(BF$1="",$BM300=0),"",IFERROR(LOOKUP(2,1/((Budgets!$A$2:$A$200=BF$1)*(Budgets!$B$2:$B$200&lt;EDATE($A300,1))),Budgets!$C$2:$C$200),0))</f>
        <v/>
      </c>
      <c r="BG300" s="23">
        <f>IF(OR(BG$1="",$BM300=0),"",IFERROR(LOOKUP(2,1/((Budgets!$A$2:$A$200=BG$1)*(Budgets!$B$2:$B$200&lt;EDATE($A300,1))),Budgets!$C$2:$C$200),0))</f>
        <v/>
      </c>
      <c r="BH300" s="23">
        <f>IF(OR(BH$1="",$BM300=0),"",IFERROR(LOOKUP(2,1/((Budgets!$A$2:$A$200=BH$1)*(Budgets!$B$2:$B$200&lt;EDATE($A300,1))),Budgets!$C$2:$C$200),0))</f>
        <v/>
      </c>
      <c r="BI300" s="23">
        <f>IF(OR(BI$1="",$BM300=0),"",IFERROR(LOOKUP(2,1/((Budgets!$A$2:$A$200=BI$1)*(Budgets!$B$2:$B$200&lt;EDATE($A300,1))),Budgets!$C$2:$C$200),0))</f>
        <v/>
      </c>
      <c r="BJ300" s="23">
        <f>IF(OR(BJ$1="",$BM300=0),"",IFERROR(LOOKUP(2,1/((Budgets!$A$2:$A$200=BJ$1)*(Budgets!$B$2:$B$200&lt;EDATE($A300,1))),Budgets!$C$2:$C$200),0))</f>
        <v/>
      </c>
      <c r="BK300" s="23">
        <f>IF(OR(BK$1="",$BM300=0),"",IFERROR(LOOKUP(2,1/((Budgets!$A$2:$A$200=BK$1)*(Budgets!$B$2:$B$200&lt;EDATE($A300,1))),Budgets!$C$2:$C$200),0))</f>
        <v/>
      </c>
      <c r="BM300" s="21">
        <f>COUNTIFS(Entries!$A$2:$A$5000,"&gt;="&amp;$A300,Entries!$A$2:$A$5000,"&lt;"&amp;EDATE($A300,1))</f>
        <v/>
      </c>
    </row>
    <row r="301">
      <c r="A301" s="22" t="n">
        <v>48549</v>
      </c>
      <c r="B301" s="23">
        <f>IF($BM301=0,NA(),SUMIFS(Entries!$E$2:$E$5000,Entries!$C$2:$C$5000,"Income",Entries!$A$2:$A$5000,"&gt;="&amp;$A301,Entries!$A$2:$A$5000,"&lt;"&amp;EDATE($A301,1)))</f>
        <v/>
      </c>
      <c r="C301" s="23">
        <f>IF($BM301=0,"",SUMIFS(Entries!$E$2:$E$5000,Entries!$C$2:$C$5000,"Actual",Entries!$A$2:$A$5000,"&gt;="&amp;$A301,Entries!$A$2:$A$5000,"&lt;"&amp;EDATE($A301,1)))</f>
        <v/>
      </c>
      <c r="D301" s="23">
        <f>IF($BM301=0,"",SUMIFS(Entries!$E$2:$E$5000,Entries!$C$2:$C$5000,"One-off",Entries!$A$2:$A$5000,"&gt;="&amp;$A301,Entries!$A$2:$A$5000,"&lt;"&amp;EDATE($A301,1)))</f>
        <v/>
      </c>
      <c r="E301" s="23">
        <f>IF($BM301=0,NA(),C301+D301)</f>
        <v/>
      </c>
      <c r="F301" s="23">
        <f>IF($BM301=0,"",SUM(AR301:BK301))</f>
        <v/>
      </c>
      <c r="G301" s="23">
        <f>IF($BM301=0,"",B301-E301)</f>
        <v/>
      </c>
      <c r="H301" s="23">
        <f>IF($BM301=0,"",SUM($G$2:G301))</f>
        <v/>
      </c>
      <c r="I301" s="23">
        <f>IF($BM301=0,"",SUMIFS(Entries!$G$2:$G$5000,Entries!$A$2:$A$5000,"&gt;="&amp;$A301,Entries!$A$2:$A$5000,"&lt;"&amp;EDATE($A301,1)))</f>
        <v/>
      </c>
      <c r="J301" s="23">
        <f>IF($BM301=0,NA(),H301)</f>
        <v/>
      </c>
      <c r="K301" s="23">
        <f>IF($BM301=0,"",SUMIFS(Entries!$E$2:$E$5000,Entries!$C$2:$C$5000,"Income",Entries!$A$2:$A$5000,"&gt;="&amp;EDATE($A301,-11),Entries!$A$2:$A$5000,"&lt;"&amp;EDATE($A301,1))/COUNTIFS($A$2:$A$400,"&gt;="&amp;EDATE($A301,-11),$A$2:$A$400,"&lt;"&amp;EDATE($A301,1),$BM$2:$BM$400,"&gt;0"))</f>
      </c>
      <c r="L301" s="23">
        <f>IF($BM301=0,"",(SUMIFS(Entries!$E$2:$E$5000,Entries!$C$2:$C$5000,"Actual",Entries!$A$2:$A$5000,"&gt;="&amp;EDATE($A301,-11),Entries!$A$2:$A$5000,"&lt;"&amp;EDATE($A301,1))+SUMIFS(Entries!$E$2:$E$5000,Entries!$C$2:$C$5000,"One-off",Entries!$A$2:$A$5000,"&gt;="&amp;EDATE($A301,-11),Entries!$A$2:$A$5000,"&lt;"&amp;EDATE($A301,1)))/COUNTIFS($A$2:$A$400,"&gt;="&amp;EDATE($A301,-11),$A$2:$A$400,"&lt;"&amp;EDATE($A301,1),$BM$2:$BM$400,"&gt;0"))</f>
      </c>
      <c r="M301" s="24">
        <f>IF($BM301=0,NA(),IFERROR((K301-L301)/K301,0))</f>
        <v/>
      </c>
      <c r="N301" s="23">
        <f>IF($BM301=0,NA(),SUMIFS(Entries!$E$2:$E$5000,Entries!$D$2:$D$5000,"Core",Entries!$A$2:$A$5000,"&gt;="&amp;$A301,Entries!$A$2:$A$5000,"&lt;"&amp;EDATE($A301,1)))</f>
        <v/>
      </c>
      <c r="O301" s="23">
        <f>IF($BM301=0,NA(),SUMIFS(Entries!$E$2:$E$5000,Entries!$D$2:$D$5000,"Over &amp; above",Entries!$A$2:$A$5000,"&gt;="&amp;$A301,Entries!$A$2:$A$5000,"&lt;"&amp;EDATE($A301,1)))</f>
        <v/>
      </c>
      <c r="P301" s="23">
        <f>IF($BM301=0,NA(),SUMIFS(Entries!$E$2:$E$5000,Entries!$D$2:$D$5000,"One-off",Entries!$A$2:$A$5000,"&gt;="&amp;$A301,Entries!$A$2:$A$5000,"&lt;"&amp;EDATE($A301,1)))</f>
        <v/>
      </c>
      <c r="Q301" s="23">
        <f>IF($BM301=0,NA(),SUMIFS(Entries!$E$2:$E$5000,Entries!$D$2:$D$5000,"Reimbursable",Entries!$A$2:$A$5000,"&gt;="&amp;$A301,Entries!$A$2:$A$5000,"&lt;"&amp;EDATE($A301,1)))</f>
        <v/>
      </c>
      <c r="R301" s="23">
        <f>IF($BM301=0,NA(),SUMIFS(Entries!$E$2:$E$5000,Entries!$D$2:$D$5000,"Investment",Entries!$A$2:$A$5000,"&gt;="&amp;$A301,Entries!$A$2:$A$5000,"&lt;"&amp;EDATE($A301,1)))</f>
        <v/>
      </c>
      <c r="S301" s="23">
        <f>IF($BM301=0,NA(),N301+O301)</f>
        <v/>
      </c>
      <c r="T301" s="23">
        <f>IF($BM301=0,"",E301-Q301)</f>
        <v/>
      </c>
      <c r="W301" s="23">
        <f>IF(OR(W$1="",$BM301=0),"",SUMIFS(Entries!$E$2:$E$5000,Entries!$C$2:$C$5000,"Actual",Entries!$A$2:$A$5000,"&gt;="&amp;$A301,Entries!$A$2:$A$5000,"&lt;"&amp;EDATE($A301,1),Entries!$B$2:$B$5000,W$1))</f>
        <v/>
      </c>
      <c r="X301" s="23">
        <f>IF(OR(X$1="",$BM301=0),"",SUMIFS(Entries!$E$2:$E$5000,Entries!$C$2:$C$5000,"Actual",Entries!$A$2:$A$5000,"&gt;="&amp;$A301,Entries!$A$2:$A$5000,"&lt;"&amp;EDATE($A301,1),Entries!$B$2:$B$5000,X$1))</f>
        <v/>
      </c>
      <c r="Y301" s="23">
        <f>IF(OR(Y$1="",$BM301=0),"",SUMIFS(Entries!$E$2:$E$5000,Entries!$C$2:$C$5000,"Actual",Entries!$A$2:$A$5000,"&gt;="&amp;$A301,Entries!$A$2:$A$5000,"&lt;"&amp;EDATE($A301,1),Entries!$B$2:$B$5000,Y$1))</f>
        <v/>
      </c>
      <c r="Z301" s="23">
        <f>IF(OR(Z$1="",$BM301=0),"",SUMIFS(Entries!$E$2:$E$5000,Entries!$C$2:$C$5000,"Actual",Entries!$A$2:$A$5000,"&gt;="&amp;$A301,Entries!$A$2:$A$5000,"&lt;"&amp;EDATE($A301,1),Entries!$B$2:$B$5000,Z$1))</f>
        <v/>
      </c>
      <c r="AA301" s="23">
        <f>IF(OR(AA$1="",$BM301=0),"",SUMIFS(Entries!$E$2:$E$5000,Entries!$C$2:$C$5000,"Actual",Entries!$A$2:$A$5000,"&gt;="&amp;$A301,Entries!$A$2:$A$5000,"&lt;"&amp;EDATE($A301,1),Entries!$B$2:$B$5000,AA$1))</f>
        <v/>
      </c>
      <c r="AB301" s="23">
        <f>IF(OR(AB$1="",$BM301=0),"",SUMIFS(Entries!$E$2:$E$5000,Entries!$C$2:$C$5000,"Actual",Entries!$A$2:$A$5000,"&gt;="&amp;$A301,Entries!$A$2:$A$5000,"&lt;"&amp;EDATE($A301,1),Entries!$B$2:$B$5000,AB$1))</f>
        <v/>
      </c>
      <c r="AC301" s="23">
        <f>IF(OR(AC$1="",$BM301=0),"",SUMIFS(Entries!$E$2:$E$5000,Entries!$C$2:$C$5000,"Actual",Entries!$A$2:$A$5000,"&gt;="&amp;$A301,Entries!$A$2:$A$5000,"&lt;"&amp;EDATE($A301,1),Entries!$B$2:$B$5000,AC$1))</f>
        <v/>
      </c>
      <c r="AD301" s="23">
        <f>IF(OR(AD$1="",$BM301=0),"",SUMIFS(Entries!$E$2:$E$5000,Entries!$C$2:$C$5000,"Actual",Entries!$A$2:$A$5000,"&gt;="&amp;$A301,Entries!$A$2:$A$5000,"&lt;"&amp;EDATE($A301,1),Entries!$B$2:$B$5000,AD$1))</f>
        <v/>
      </c>
      <c r="AE301" s="23">
        <f>IF(OR(AE$1="",$BM301=0),"",SUMIFS(Entries!$E$2:$E$5000,Entries!$C$2:$C$5000,"Actual",Entries!$A$2:$A$5000,"&gt;="&amp;$A301,Entries!$A$2:$A$5000,"&lt;"&amp;EDATE($A301,1),Entries!$B$2:$B$5000,AE$1))</f>
        <v/>
      </c>
      <c r="AF301" s="23">
        <f>IF(OR(AF$1="",$BM301=0),"",SUMIFS(Entries!$E$2:$E$5000,Entries!$C$2:$C$5000,"Actual",Entries!$A$2:$A$5000,"&gt;="&amp;$A301,Entries!$A$2:$A$5000,"&lt;"&amp;EDATE($A301,1),Entries!$B$2:$B$5000,AF$1))</f>
        <v/>
      </c>
      <c r="AG301" s="23">
        <f>IF(OR(AG$1="",$BM301=0),"",SUMIFS(Entries!$E$2:$E$5000,Entries!$C$2:$C$5000,"Actual",Entries!$A$2:$A$5000,"&gt;="&amp;$A301,Entries!$A$2:$A$5000,"&lt;"&amp;EDATE($A301,1),Entries!$B$2:$B$5000,AG$1))</f>
        <v/>
      </c>
      <c r="AH301" s="23">
        <f>IF(OR(AH$1="",$BM301=0),"",SUMIFS(Entries!$E$2:$E$5000,Entries!$C$2:$C$5000,"Actual",Entries!$A$2:$A$5000,"&gt;="&amp;$A301,Entries!$A$2:$A$5000,"&lt;"&amp;EDATE($A301,1),Entries!$B$2:$B$5000,AH$1))</f>
        <v/>
      </c>
      <c r="AI301" s="23">
        <f>IF(OR(AI$1="",$BM301=0),"",SUMIFS(Entries!$E$2:$E$5000,Entries!$C$2:$C$5000,"Actual",Entries!$A$2:$A$5000,"&gt;="&amp;$A301,Entries!$A$2:$A$5000,"&lt;"&amp;EDATE($A301,1),Entries!$B$2:$B$5000,AI$1))</f>
        <v/>
      </c>
      <c r="AJ301" s="23">
        <f>IF(OR(AJ$1="",$BM301=0),"",SUMIFS(Entries!$E$2:$E$5000,Entries!$C$2:$C$5000,"Actual",Entries!$A$2:$A$5000,"&gt;="&amp;$A301,Entries!$A$2:$A$5000,"&lt;"&amp;EDATE($A301,1),Entries!$B$2:$B$5000,AJ$1))</f>
        <v/>
      </c>
      <c r="AK301" s="23">
        <f>IF(OR(AK$1="",$BM301=0),"",SUMIFS(Entries!$E$2:$E$5000,Entries!$C$2:$C$5000,"Actual",Entries!$A$2:$A$5000,"&gt;="&amp;$A301,Entries!$A$2:$A$5000,"&lt;"&amp;EDATE($A301,1),Entries!$B$2:$B$5000,AK$1))</f>
        <v/>
      </c>
      <c r="AL301" s="23">
        <f>IF(OR(AL$1="",$BM301=0),"",SUMIFS(Entries!$E$2:$E$5000,Entries!$C$2:$C$5000,"Actual",Entries!$A$2:$A$5000,"&gt;="&amp;$A301,Entries!$A$2:$A$5000,"&lt;"&amp;EDATE($A301,1),Entries!$B$2:$B$5000,AL$1))</f>
        <v/>
      </c>
      <c r="AM301" s="23">
        <f>IF(OR(AM$1="",$BM301=0),"",SUMIFS(Entries!$E$2:$E$5000,Entries!$C$2:$C$5000,"Actual",Entries!$A$2:$A$5000,"&gt;="&amp;$A301,Entries!$A$2:$A$5000,"&lt;"&amp;EDATE($A301,1),Entries!$B$2:$B$5000,AM$1))</f>
        <v/>
      </c>
      <c r="AN301" s="23">
        <f>IF(OR(AN$1="",$BM301=0),"",SUMIFS(Entries!$E$2:$E$5000,Entries!$C$2:$C$5000,"Actual",Entries!$A$2:$A$5000,"&gt;="&amp;$A301,Entries!$A$2:$A$5000,"&lt;"&amp;EDATE($A301,1),Entries!$B$2:$B$5000,AN$1))</f>
        <v/>
      </c>
      <c r="AO301" s="23">
        <f>IF(OR(AO$1="",$BM301=0),"",SUMIFS(Entries!$E$2:$E$5000,Entries!$C$2:$C$5000,"Actual",Entries!$A$2:$A$5000,"&gt;="&amp;$A301,Entries!$A$2:$A$5000,"&lt;"&amp;EDATE($A301,1),Entries!$B$2:$B$5000,AO$1))</f>
        <v/>
      </c>
      <c r="AP301" s="23">
        <f>IF(OR(AP$1="",$BM301=0),"",SUMIFS(Entries!$E$2:$E$5000,Entries!$C$2:$C$5000,"Actual",Entries!$A$2:$A$5000,"&gt;="&amp;$A301,Entries!$A$2:$A$5000,"&lt;"&amp;EDATE($A301,1),Entries!$B$2:$B$5000,AP$1))</f>
        <v/>
      </c>
      <c r="AR301" s="23">
        <f>IF(OR(AR$1="",$BM301=0),"",IFERROR(LOOKUP(2,1/((Budgets!$A$2:$A$200=AR$1)*(Budgets!$B$2:$B$200&lt;EDATE($A301,1))),Budgets!$C$2:$C$200),0))</f>
        <v/>
      </c>
      <c r="AS301" s="23">
        <f>IF(OR(AS$1="",$BM301=0),"",IFERROR(LOOKUP(2,1/((Budgets!$A$2:$A$200=AS$1)*(Budgets!$B$2:$B$200&lt;EDATE($A301,1))),Budgets!$C$2:$C$200),0))</f>
        <v/>
      </c>
      <c r="AT301" s="23">
        <f>IF(OR(AT$1="",$BM301=0),"",IFERROR(LOOKUP(2,1/((Budgets!$A$2:$A$200=AT$1)*(Budgets!$B$2:$B$200&lt;EDATE($A301,1))),Budgets!$C$2:$C$200),0))</f>
        <v/>
      </c>
      <c r="AU301" s="23">
        <f>IF(OR(AU$1="",$BM301=0),"",IFERROR(LOOKUP(2,1/((Budgets!$A$2:$A$200=AU$1)*(Budgets!$B$2:$B$200&lt;EDATE($A301,1))),Budgets!$C$2:$C$200),0))</f>
        <v/>
      </c>
      <c r="AV301" s="23">
        <f>IF(OR(AV$1="",$BM301=0),"",IFERROR(LOOKUP(2,1/((Budgets!$A$2:$A$200=AV$1)*(Budgets!$B$2:$B$200&lt;EDATE($A301,1))),Budgets!$C$2:$C$200),0))</f>
        <v/>
      </c>
      <c r="AW301" s="23">
        <f>IF(OR(AW$1="",$BM301=0),"",IFERROR(LOOKUP(2,1/((Budgets!$A$2:$A$200=AW$1)*(Budgets!$B$2:$B$200&lt;EDATE($A301,1))),Budgets!$C$2:$C$200),0))</f>
        <v/>
      </c>
      <c r="AX301" s="23">
        <f>IF(OR(AX$1="",$BM301=0),"",IFERROR(LOOKUP(2,1/((Budgets!$A$2:$A$200=AX$1)*(Budgets!$B$2:$B$200&lt;EDATE($A301,1))),Budgets!$C$2:$C$200),0))</f>
        <v/>
      </c>
      <c r="AY301" s="23">
        <f>IF(OR(AY$1="",$BM301=0),"",IFERROR(LOOKUP(2,1/((Budgets!$A$2:$A$200=AY$1)*(Budgets!$B$2:$B$200&lt;EDATE($A301,1))),Budgets!$C$2:$C$200),0))</f>
        <v/>
      </c>
      <c r="AZ301" s="23">
        <f>IF(OR(AZ$1="",$BM301=0),"",IFERROR(LOOKUP(2,1/((Budgets!$A$2:$A$200=AZ$1)*(Budgets!$B$2:$B$200&lt;EDATE($A301,1))),Budgets!$C$2:$C$200),0))</f>
        <v/>
      </c>
      <c r="BA301" s="23">
        <f>IF(OR(BA$1="",$BM301=0),"",IFERROR(LOOKUP(2,1/((Budgets!$A$2:$A$200=BA$1)*(Budgets!$B$2:$B$200&lt;EDATE($A301,1))),Budgets!$C$2:$C$200),0))</f>
        <v/>
      </c>
      <c r="BB301" s="23">
        <f>IF(OR(BB$1="",$BM301=0),"",IFERROR(LOOKUP(2,1/((Budgets!$A$2:$A$200=BB$1)*(Budgets!$B$2:$B$200&lt;EDATE($A301,1))),Budgets!$C$2:$C$200),0))</f>
        <v/>
      </c>
      <c r="BC301" s="23">
        <f>IF(OR(BC$1="",$BM301=0),"",IFERROR(LOOKUP(2,1/((Budgets!$A$2:$A$200=BC$1)*(Budgets!$B$2:$B$200&lt;EDATE($A301,1))),Budgets!$C$2:$C$200),0))</f>
        <v/>
      </c>
      <c r="BD301" s="23">
        <f>IF(OR(BD$1="",$BM301=0),"",IFERROR(LOOKUP(2,1/((Budgets!$A$2:$A$200=BD$1)*(Budgets!$B$2:$B$200&lt;EDATE($A301,1))),Budgets!$C$2:$C$200),0))</f>
        <v/>
      </c>
      <c r="BE301" s="23">
        <f>IF(OR(BE$1="",$BM301=0),"",IFERROR(LOOKUP(2,1/((Budgets!$A$2:$A$200=BE$1)*(Budgets!$B$2:$B$200&lt;EDATE($A301,1))),Budgets!$C$2:$C$200),0))</f>
        <v/>
      </c>
      <c r="BF301" s="23">
        <f>IF(OR(BF$1="",$BM301=0),"",IFERROR(LOOKUP(2,1/((Budgets!$A$2:$A$200=BF$1)*(Budgets!$B$2:$B$200&lt;EDATE($A301,1))),Budgets!$C$2:$C$200),0))</f>
        <v/>
      </c>
      <c r="BG301" s="23">
        <f>IF(OR(BG$1="",$BM301=0),"",IFERROR(LOOKUP(2,1/((Budgets!$A$2:$A$200=BG$1)*(Budgets!$B$2:$B$200&lt;EDATE($A301,1))),Budgets!$C$2:$C$200),0))</f>
        <v/>
      </c>
      <c r="BH301" s="23">
        <f>IF(OR(BH$1="",$BM301=0),"",IFERROR(LOOKUP(2,1/((Budgets!$A$2:$A$200=BH$1)*(Budgets!$B$2:$B$200&lt;EDATE($A301,1))),Budgets!$C$2:$C$200),0))</f>
        <v/>
      </c>
      <c r="BI301" s="23">
        <f>IF(OR(BI$1="",$BM301=0),"",IFERROR(LOOKUP(2,1/((Budgets!$A$2:$A$200=BI$1)*(Budgets!$B$2:$B$200&lt;EDATE($A301,1))),Budgets!$C$2:$C$200),0))</f>
        <v/>
      </c>
      <c r="BJ301" s="23">
        <f>IF(OR(BJ$1="",$BM301=0),"",IFERROR(LOOKUP(2,1/((Budgets!$A$2:$A$200=BJ$1)*(Budgets!$B$2:$B$200&lt;EDATE($A301,1))),Budgets!$C$2:$C$200),0))</f>
        <v/>
      </c>
      <c r="BK301" s="23">
        <f>IF(OR(BK$1="",$BM301=0),"",IFERROR(LOOKUP(2,1/((Budgets!$A$2:$A$200=BK$1)*(Budgets!$B$2:$B$200&lt;EDATE($A301,1))),Budgets!$C$2:$C$200),0))</f>
        <v/>
      </c>
      <c r="BM301" s="21">
        <f>COUNTIFS(Entries!$A$2:$A$5000,"&gt;="&amp;$A301,Entries!$A$2:$A$5000,"&lt;"&amp;EDATE($A301,1))</f>
        <v/>
      </c>
    </row>
  </sheetData>
  <sheetProtection selectLockedCells="0" selectUnlockedCells="0" sheet="1" objects="0" insertRows="1" insertHyperlinks="1" autoFilter="1" scenarios="0" formatColumns="1" deleteColumns="1" insertColumns="1" pivotTables="1" deleteRows="1" formatCells="1" formatRows="1" sort="1"/>
  <conditionalFormatting sqref="B2:B301">
    <cfRule type="expression" priority="1" dxfId="0">
      <formula>ISNA(B2)</formula>
    </cfRule>
  </conditionalFormatting>
  <conditionalFormatting sqref="E2:E301">
    <cfRule type="expression" priority="2" dxfId="0">
      <formula>ISNA(E2)</formula>
    </cfRule>
  </conditionalFormatting>
  <conditionalFormatting sqref="J2:J301">
    <cfRule type="expression" priority="3" dxfId="0">
      <formula>ISNA(J2)</formula>
    </cfRule>
  </conditionalFormatting>
  <conditionalFormatting sqref="M2:M301">
    <cfRule type="expression" priority="4" dxfId="0">
      <formula>ISNA(M2)</formula>
    </cfRule>
  </conditionalFormatting>
  <conditionalFormatting sqref="N2:N301">
    <cfRule type="expression" priority="5" dxfId="0">
      <formula>ISNA(N2)</formula>
    </cfRule>
  </conditionalFormatting>
  <conditionalFormatting sqref="O2:O301">
    <cfRule type="expression" priority="6" dxfId="0">
      <formula>ISNA(O2)</formula>
    </cfRule>
  </conditionalFormatting>
  <conditionalFormatting sqref="P2:P301">
    <cfRule type="expression" priority="7" dxfId="0">
      <formula>ISNA(P2)</formula>
    </cfRule>
  </conditionalFormatting>
  <conditionalFormatting sqref="Q2:Q301">
    <cfRule type="expression" priority="8" dxfId="0">
      <formula>ISNA(Q2)</formula>
    </cfRule>
  </conditionalFormatting>
  <conditionalFormatting sqref="R2:R301">
    <cfRule type="expression" priority="9" dxfId="0">
      <formula>ISNA(R2)</formula>
    </cfRule>
  </conditionalFormatting>
  <conditionalFormatting sqref="S2:S301">
    <cfRule type="expression" priority="10" dxfId="0">
      <formula>ISNA(S2)</formula>
    </cfRule>
  </conditionalFormatting>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G78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0" customWidth="1" min="3" max="3"/>
    <col width="14" customWidth="1" min="4" max="4"/>
    <col width="13" customWidth="1" min="5" max="5"/>
    <col width="40" customWidth="1" min="6" max="6"/>
    <col width="13" customWidth="1" min="7" max="7"/>
  </cols>
  <sheetData>
    <row r="1">
      <c r="A1" s="25" t="inlineStr">
        <is>
          <t>Date</t>
        </is>
      </c>
      <c r="B1" s="25" t="inlineStr">
        <is>
          <t>Category</t>
        </is>
      </c>
      <c r="C1" s="25" t="inlineStr">
        <is>
          <t>Type</t>
        </is>
      </c>
      <c r="D1" s="25" t="inlineStr">
        <is>
          <t>Tier</t>
        </is>
      </c>
      <c r="E1" s="25" t="inlineStr">
        <is>
          <t>Amount</t>
        </is>
      </c>
      <c r="F1" s="25" t="inlineStr">
        <is>
          <t>Note</t>
        </is>
      </c>
      <c r="G1" s="25" t="inlineStr">
        <is>
          <t>Capital (auto)</t>
        </is>
      </c>
    </row>
    <row r="2">
      <c r="A2" s="26" t="n">
        <v>39448</v>
      </c>
      <c r="B2" s="12" t="inlineStr">
        <is>
          <t>Interest</t>
        </is>
      </c>
      <c r="C2" s="12" t="inlineStr">
        <is>
          <t>Income</t>
        </is>
      </c>
      <c r="D2" s="12" t="inlineStr">
        <is>
          <t>—</t>
        </is>
      </c>
      <c r="E2" s="27" t="n">
        <v>20</v>
      </c>
      <c r="G2" s="28">
        <f>IF(IFERROR(INDEX(Categories!$C$2:$C$200,MATCH(B2,Categories!$A$2:$A$200,0)),"N")="Y",E2,0)</f>
        <v/>
      </c>
    </row>
    <row r="3">
      <c r="A3" s="26" t="n">
        <v>39448</v>
      </c>
      <c r="B3" s="12" t="inlineStr">
        <is>
          <t>Salary</t>
        </is>
      </c>
      <c r="C3" s="12" t="inlineStr">
        <is>
          <t>Income</t>
        </is>
      </c>
      <c r="D3" s="12" t="inlineStr">
        <is>
          <t>—</t>
        </is>
      </c>
      <c r="E3" s="27" t="n">
        <v>3000</v>
      </c>
      <c r="G3" s="28">
        <f>IF(IFERROR(INDEX(Categories!$C$2:$C$200,MATCH(B3,Categories!$A$2:$A$200,0)),"N")="Y",E3,0)</f>
        <v/>
      </c>
    </row>
    <row r="4">
      <c r="A4" s="26" t="n">
        <v>39448</v>
      </c>
      <c r="B4" s="12" t="inlineStr">
        <is>
          <t>Uncategorised</t>
        </is>
      </c>
      <c r="C4" s="12" t="inlineStr">
        <is>
          <t>Actual</t>
        </is>
      </c>
      <c r="D4" s="12" t="inlineStr">
        <is>
          <t>Core</t>
        </is>
      </c>
      <c r="E4" s="27" t="n">
        <v>2000</v>
      </c>
      <c r="F4" s="28" t="inlineStr">
        <is>
          <t>Historical monthly total (pre per-category / per-tier tracking)</t>
        </is>
      </c>
      <c r="G4" s="28">
        <f>IF(IFERROR(INDEX(Categories!$C$2:$C$200,MATCH(B4,Categories!$A$2:$A$200,0)),"N")="Y",E4,0)</f>
        <v/>
      </c>
    </row>
    <row r="5">
      <c r="A5" s="26" t="n">
        <v>39479</v>
      </c>
      <c r="B5" s="12" t="inlineStr">
        <is>
          <t>Interest</t>
        </is>
      </c>
      <c r="C5" s="12" t="inlineStr">
        <is>
          <t>Income</t>
        </is>
      </c>
      <c r="D5" s="12" t="inlineStr">
        <is>
          <t>—</t>
        </is>
      </c>
      <c r="E5" s="27" t="n">
        <v>20</v>
      </c>
      <c r="G5" s="28">
        <f>IF(IFERROR(INDEX(Categories!$C$2:$C$200,MATCH(B5,Categories!$A$2:$A$200,0)),"N")="Y",E5,0)</f>
        <v/>
      </c>
    </row>
    <row r="6">
      <c r="A6" s="26" t="n">
        <v>39479</v>
      </c>
      <c r="B6" s="12" t="inlineStr">
        <is>
          <t>Salary</t>
        </is>
      </c>
      <c r="C6" s="12" t="inlineStr">
        <is>
          <t>Income</t>
        </is>
      </c>
      <c r="D6" s="12" t="inlineStr">
        <is>
          <t>—</t>
        </is>
      </c>
      <c r="E6" s="27" t="n">
        <v>3050</v>
      </c>
      <c r="G6" s="28">
        <f>IF(IFERROR(INDEX(Categories!$C$2:$C$200,MATCH(B6,Categories!$A$2:$A$200,0)),"N")="Y",E6,0)</f>
        <v/>
      </c>
    </row>
    <row r="7">
      <c r="A7" s="26" t="n">
        <v>39479</v>
      </c>
      <c r="B7" s="12" t="inlineStr">
        <is>
          <t>Uncategorised</t>
        </is>
      </c>
      <c r="C7" s="12" t="inlineStr">
        <is>
          <t>Actual</t>
        </is>
      </c>
      <c r="D7" s="12" t="inlineStr">
        <is>
          <t>Core</t>
        </is>
      </c>
      <c r="E7" s="27" t="n">
        <v>2120</v>
      </c>
      <c r="F7" s="28" t="inlineStr">
        <is>
          <t>Historical monthly total (pre per-category / per-tier tracking)</t>
        </is>
      </c>
      <c r="G7" s="28">
        <f>IF(IFERROR(INDEX(Categories!$C$2:$C$200,MATCH(B7,Categories!$A$2:$A$200,0)),"N")="Y",E7,0)</f>
        <v/>
      </c>
    </row>
    <row r="8">
      <c r="A8" s="26" t="n">
        <v>39508</v>
      </c>
      <c r="B8" s="12" t="inlineStr">
        <is>
          <t>Dividends</t>
        </is>
      </c>
      <c r="C8" s="12" t="inlineStr">
        <is>
          <t>Income</t>
        </is>
      </c>
      <c r="D8" s="12" t="inlineStr">
        <is>
          <t>—</t>
        </is>
      </c>
      <c r="E8" s="27" t="n">
        <v>150</v>
      </c>
      <c r="G8" s="28">
        <f>IF(IFERROR(INDEX(Categories!$C$2:$C$200,MATCH(B8,Categories!$A$2:$A$200,0)),"N")="Y",E8,0)</f>
        <v/>
      </c>
    </row>
    <row r="9">
      <c r="A9" s="26" t="n">
        <v>39508</v>
      </c>
      <c r="B9" s="12" t="inlineStr">
        <is>
          <t>Interest</t>
        </is>
      </c>
      <c r="C9" s="12" t="inlineStr">
        <is>
          <t>Income</t>
        </is>
      </c>
      <c r="D9" s="12" t="inlineStr">
        <is>
          <t>—</t>
        </is>
      </c>
      <c r="E9" s="27" t="n">
        <v>20</v>
      </c>
      <c r="G9" s="28">
        <f>IF(IFERROR(INDEX(Categories!$C$2:$C$200,MATCH(B9,Categories!$A$2:$A$200,0)),"N")="Y",E9,0)</f>
        <v/>
      </c>
    </row>
    <row r="10">
      <c r="A10" s="26" t="n">
        <v>39508</v>
      </c>
      <c r="B10" s="12" t="inlineStr">
        <is>
          <t>Salary</t>
        </is>
      </c>
      <c r="C10" s="12" t="inlineStr">
        <is>
          <t>Income</t>
        </is>
      </c>
      <c r="D10" s="12" t="inlineStr">
        <is>
          <t>—</t>
        </is>
      </c>
      <c r="E10" s="27" t="n">
        <v>3100</v>
      </c>
      <c r="G10" s="28">
        <f>IF(IFERROR(INDEX(Categories!$C$2:$C$200,MATCH(B10,Categories!$A$2:$A$200,0)),"N")="Y",E10,0)</f>
        <v/>
      </c>
    </row>
    <row r="11">
      <c r="A11" s="26" t="n">
        <v>39508</v>
      </c>
      <c r="B11" s="12" t="inlineStr">
        <is>
          <t>Uncategorised</t>
        </is>
      </c>
      <c r="C11" s="12" t="inlineStr">
        <is>
          <t>Actual</t>
        </is>
      </c>
      <c r="D11" s="12" t="inlineStr">
        <is>
          <t>Core</t>
        </is>
      </c>
      <c r="E11" s="27" t="n">
        <v>2240</v>
      </c>
      <c r="F11" s="28" t="inlineStr">
        <is>
          <t>Historical monthly total (pre per-category / per-tier tracking)</t>
        </is>
      </c>
      <c r="G11" s="28">
        <f>IF(IFERROR(INDEX(Categories!$C$2:$C$200,MATCH(B11,Categories!$A$2:$A$200,0)),"N")="Y",E11,0)</f>
        <v/>
      </c>
    </row>
    <row r="12">
      <c r="A12" s="26" t="n">
        <v>39539</v>
      </c>
      <c r="B12" s="12" t="inlineStr">
        <is>
          <t>Interest</t>
        </is>
      </c>
      <c r="C12" s="12" t="inlineStr">
        <is>
          <t>Income</t>
        </is>
      </c>
      <c r="D12" s="12" t="inlineStr">
        <is>
          <t>—</t>
        </is>
      </c>
      <c r="E12" s="27" t="n">
        <v>20</v>
      </c>
      <c r="G12" s="28">
        <f>IF(IFERROR(INDEX(Categories!$C$2:$C$200,MATCH(B12,Categories!$A$2:$A$200,0)),"N")="Y",E12,0)</f>
        <v/>
      </c>
    </row>
    <row r="13">
      <c r="A13" s="26" t="n">
        <v>39539</v>
      </c>
      <c r="B13" s="12" t="inlineStr">
        <is>
          <t>Salary</t>
        </is>
      </c>
      <c r="C13" s="12" t="inlineStr">
        <is>
          <t>Income</t>
        </is>
      </c>
      <c r="D13" s="12" t="inlineStr">
        <is>
          <t>—</t>
        </is>
      </c>
      <c r="E13" s="27" t="n">
        <v>3150</v>
      </c>
      <c r="G13" s="28">
        <f>IF(IFERROR(INDEX(Categories!$C$2:$C$200,MATCH(B13,Categories!$A$2:$A$200,0)),"N")="Y",E13,0)</f>
        <v/>
      </c>
    </row>
    <row r="14">
      <c r="A14" s="26" t="n">
        <v>39539</v>
      </c>
      <c r="B14" s="12" t="inlineStr">
        <is>
          <t>Uncategorised</t>
        </is>
      </c>
      <c r="C14" s="12" t="inlineStr">
        <is>
          <t>Actual</t>
        </is>
      </c>
      <c r="D14" s="12" t="inlineStr">
        <is>
          <t>Core</t>
        </is>
      </c>
      <c r="E14" s="27" t="n">
        <v>2360</v>
      </c>
      <c r="F14" s="28" t="inlineStr">
        <is>
          <t>Historical monthly total (pre per-category / per-tier tracking)</t>
        </is>
      </c>
      <c r="G14" s="28">
        <f>IF(IFERROR(INDEX(Categories!$C$2:$C$200,MATCH(B14,Categories!$A$2:$A$200,0)),"N")="Y",E14,0)</f>
        <v/>
      </c>
    </row>
    <row r="15">
      <c r="A15" s="26" t="n">
        <v>39569</v>
      </c>
      <c r="B15" s="12" t="inlineStr">
        <is>
          <t>Interest</t>
        </is>
      </c>
      <c r="C15" s="12" t="inlineStr">
        <is>
          <t>Income</t>
        </is>
      </c>
      <c r="D15" s="12" t="inlineStr">
        <is>
          <t>—</t>
        </is>
      </c>
      <c r="E15" s="27" t="n">
        <v>20</v>
      </c>
      <c r="G15" s="28">
        <f>IF(IFERROR(INDEX(Categories!$C$2:$C$200,MATCH(B15,Categories!$A$2:$A$200,0)),"N")="Y",E15,0)</f>
        <v/>
      </c>
    </row>
    <row r="16">
      <c r="A16" s="26" t="n">
        <v>39569</v>
      </c>
      <c r="B16" s="12" t="inlineStr">
        <is>
          <t>Salary</t>
        </is>
      </c>
      <c r="C16" s="12" t="inlineStr">
        <is>
          <t>Income</t>
        </is>
      </c>
      <c r="D16" s="12" t="inlineStr">
        <is>
          <t>—</t>
        </is>
      </c>
      <c r="E16" s="27" t="n">
        <v>3200</v>
      </c>
      <c r="G16" s="28">
        <f>IF(IFERROR(INDEX(Categories!$C$2:$C$200,MATCH(B16,Categories!$A$2:$A$200,0)),"N")="Y",E16,0)</f>
        <v/>
      </c>
    </row>
    <row r="17">
      <c r="A17" s="26" t="n">
        <v>39569</v>
      </c>
      <c r="B17" s="12" t="inlineStr">
        <is>
          <t>Uncategorised</t>
        </is>
      </c>
      <c r="C17" s="12" t="inlineStr">
        <is>
          <t>Actual</t>
        </is>
      </c>
      <c r="D17" s="12" t="inlineStr">
        <is>
          <t>Core</t>
        </is>
      </c>
      <c r="E17" s="27" t="n">
        <v>2480</v>
      </c>
      <c r="F17" s="28" t="inlineStr">
        <is>
          <t>Historical monthly total (pre per-category / per-tier tracking)</t>
        </is>
      </c>
      <c r="G17" s="28">
        <f>IF(IFERROR(INDEX(Categories!$C$2:$C$200,MATCH(B17,Categories!$A$2:$A$200,0)),"N")="Y",E17,0)</f>
        <v/>
      </c>
    </row>
    <row r="18">
      <c r="A18" s="26" t="n">
        <v>39600</v>
      </c>
      <c r="B18" s="12" t="inlineStr">
        <is>
          <t>Dividends</t>
        </is>
      </c>
      <c r="C18" s="12" t="inlineStr">
        <is>
          <t>Income</t>
        </is>
      </c>
      <c r="D18" s="12" t="inlineStr">
        <is>
          <t>—</t>
        </is>
      </c>
      <c r="E18" s="27" t="n">
        <v>150</v>
      </c>
      <c r="G18" s="28">
        <f>IF(IFERROR(INDEX(Categories!$C$2:$C$200,MATCH(B18,Categories!$A$2:$A$200,0)),"N")="Y",E18,0)</f>
        <v/>
      </c>
    </row>
    <row r="19">
      <c r="A19" s="26" t="n">
        <v>39600</v>
      </c>
      <c r="B19" s="12" t="inlineStr">
        <is>
          <t>Interest</t>
        </is>
      </c>
      <c r="C19" s="12" t="inlineStr">
        <is>
          <t>Income</t>
        </is>
      </c>
      <c r="D19" s="12" t="inlineStr">
        <is>
          <t>—</t>
        </is>
      </c>
      <c r="E19" s="27" t="n">
        <v>20</v>
      </c>
      <c r="G19" s="28">
        <f>IF(IFERROR(INDEX(Categories!$C$2:$C$200,MATCH(B19,Categories!$A$2:$A$200,0)),"N")="Y",E19,0)</f>
        <v/>
      </c>
    </row>
    <row r="20">
      <c r="A20" s="26" t="n">
        <v>39600</v>
      </c>
      <c r="B20" s="12" t="inlineStr">
        <is>
          <t>Salary</t>
        </is>
      </c>
      <c r="C20" s="12" t="inlineStr">
        <is>
          <t>Income</t>
        </is>
      </c>
      <c r="D20" s="12" t="inlineStr">
        <is>
          <t>—</t>
        </is>
      </c>
      <c r="E20" s="27" t="n">
        <v>3250</v>
      </c>
      <c r="G20" s="28">
        <f>IF(IFERROR(INDEX(Categories!$C$2:$C$200,MATCH(B20,Categories!$A$2:$A$200,0)),"N")="Y",E20,0)</f>
        <v/>
      </c>
    </row>
    <row r="21">
      <c r="A21" s="26" t="n">
        <v>39600</v>
      </c>
      <c r="B21" s="12" t="inlineStr">
        <is>
          <t>Uncategorised</t>
        </is>
      </c>
      <c r="C21" s="12" t="inlineStr">
        <is>
          <t>Actual</t>
        </is>
      </c>
      <c r="D21" s="12" t="inlineStr">
        <is>
          <t>Core</t>
        </is>
      </c>
      <c r="E21" s="27" t="n">
        <v>2000</v>
      </c>
      <c r="F21" s="28" t="inlineStr">
        <is>
          <t>Historical monthly total (pre per-category / per-tier tracking)</t>
        </is>
      </c>
      <c r="G21" s="28">
        <f>IF(IFERROR(INDEX(Categories!$C$2:$C$200,MATCH(B21,Categories!$A$2:$A$200,0)),"N")="Y",E21,0)</f>
        <v/>
      </c>
    </row>
    <row r="22">
      <c r="A22" s="26" t="n">
        <v>39630</v>
      </c>
      <c r="B22" s="12" t="inlineStr">
        <is>
          <t>Interest</t>
        </is>
      </c>
      <c r="C22" s="12" t="inlineStr">
        <is>
          <t>Income</t>
        </is>
      </c>
      <c r="D22" s="12" t="inlineStr">
        <is>
          <t>—</t>
        </is>
      </c>
      <c r="E22" s="27" t="n">
        <v>20</v>
      </c>
      <c r="G22" s="28">
        <f>IF(IFERROR(INDEX(Categories!$C$2:$C$200,MATCH(B22,Categories!$A$2:$A$200,0)),"N")="Y",E22,0)</f>
        <v/>
      </c>
    </row>
    <row r="23">
      <c r="A23" s="26" t="n">
        <v>39630</v>
      </c>
      <c r="B23" s="12" t="inlineStr">
        <is>
          <t>Salary</t>
        </is>
      </c>
      <c r="C23" s="12" t="inlineStr">
        <is>
          <t>Income</t>
        </is>
      </c>
      <c r="D23" s="12" t="inlineStr">
        <is>
          <t>—</t>
        </is>
      </c>
      <c r="E23" s="27" t="n">
        <v>3000</v>
      </c>
      <c r="G23" s="28">
        <f>IF(IFERROR(INDEX(Categories!$C$2:$C$200,MATCH(B23,Categories!$A$2:$A$200,0)),"N")="Y",E23,0)</f>
        <v/>
      </c>
    </row>
    <row r="24">
      <c r="A24" s="26" t="n">
        <v>39630</v>
      </c>
      <c r="B24" s="12" t="inlineStr">
        <is>
          <t>Uncategorised</t>
        </is>
      </c>
      <c r="C24" s="12" t="inlineStr">
        <is>
          <t>Actual</t>
        </is>
      </c>
      <c r="D24" s="12" t="inlineStr">
        <is>
          <t>Core</t>
        </is>
      </c>
      <c r="E24" s="27" t="n">
        <v>2120</v>
      </c>
      <c r="F24" s="28" t="inlineStr">
        <is>
          <t>Historical monthly total (pre per-category / per-tier tracking)</t>
        </is>
      </c>
      <c r="G24" s="28">
        <f>IF(IFERROR(INDEX(Categories!$C$2:$C$200,MATCH(B24,Categories!$A$2:$A$200,0)),"N")="Y",E24,0)</f>
        <v/>
      </c>
    </row>
    <row r="25">
      <c r="A25" s="26" t="n">
        <v>39661</v>
      </c>
      <c r="B25" s="12" t="inlineStr">
        <is>
          <t>Interest</t>
        </is>
      </c>
      <c r="C25" s="12" t="inlineStr">
        <is>
          <t>Income</t>
        </is>
      </c>
      <c r="D25" s="12" t="inlineStr">
        <is>
          <t>—</t>
        </is>
      </c>
      <c r="E25" s="27" t="n">
        <v>20</v>
      </c>
      <c r="G25" s="28">
        <f>IF(IFERROR(INDEX(Categories!$C$2:$C$200,MATCH(B25,Categories!$A$2:$A$200,0)),"N")="Y",E25,0)</f>
        <v/>
      </c>
    </row>
    <row r="26">
      <c r="A26" s="26" t="n">
        <v>39661</v>
      </c>
      <c r="B26" s="12" t="inlineStr">
        <is>
          <t>Salary</t>
        </is>
      </c>
      <c r="C26" s="12" t="inlineStr">
        <is>
          <t>Income</t>
        </is>
      </c>
      <c r="D26" s="12" t="inlineStr">
        <is>
          <t>—</t>
        </is>
      </c>
      <c r="E26" s="27" t="n">
        <v>3050</v>
      </c>
      <c r="G26" s="28">
        <f>IF(IFERROR(INDEX(Categories!$C$2:$C$200,MATCH(B26,Categories!$A$2:$A$200,0)),"N")="Y",E26,0)</f>
        <v/>
      </c>
    </row>
    <row r="27">
      <c r="A27" s="26" t="n">
        <v>39661</v>
      </c>
      <c r="B27" s="12" t="inlineStr">
        <is>
          <t>Uncategorised</t>
        </is>
      </c>
      <c r="C27" s="12" t="inlineStr">
        <is>
          <t>Actual</t>
        </is>
      </c>
      <c r="D27" s="12" t="inlineStr">
        <is>
          <t>Core</t>
        </is>
      </c>
      <c r="E27" s="27" t="n">
        <v>2240</v>
      </c>
      <c r="F27" s="28" t="inlineStr">
        <is>
          <t>Historical monthly total (pre per-category / per-tier tracking)</t>
        </is>
      </c>
      <c r="G27" s="28">
        <f>IF(IFERROR(INDEX(Categories!$C$2:$C$200,MATCH(B27,Categories!$A$2:$A$200,0)),"N")="Y",E27,0)</f>
        <v/>
      </c>
    </row>
    <row r="28">
      <c r="A28" s="26" t="n">
        <v>39692</v>
      </c>
      <c r="B28" s="12" t="inlineStr">
        <is>
          <t>Dividends</t>
        </is>
      </c>
      <c r="C28" s="12" t="inlineStr">
        <is>
          <t>Income</t>
        </is>
      </c>
      <c r="D28" s="12" t="inlineStr">
        <is>
          <t>—</t>
        </is>
      </c>
      <c r="E28" s="27" t="n">
        <v>150</v>
      </c>
      <c r="G28" s="28">
        <f>IF(IFERROR(INDEX(Categories!$C$2:$C$200,MATCH(B28,Categories!$A$2:$A$200,0)),"N")="Y",E28,0)</f>
        <v/>
      </c>
    </row>
    <row r="29">
      <c r="A29" s="26" t="n">
        <v>39692</v>
      </c>
      <c r="B29" s="12" t="inlineStr">
        <is>
          <t>Interest</t>
        </is>
      </c>
      <c r="C29" s="12" t="inlineStr">
        <is>
          <t>Income</t>
        </is>
      </c>
      <c r="D29" s="12" t="inlineStr">
        <is>
          <t>—</t>
        </is>
      </c>
      <c r="E29" s="27" t="n">
        <v>20</v>
      </c>
      <c r="G29" s="28">
        <f>IF(IFERROR(INDEX(Categories!$C$2:$C$200,MATCH(B29,Categories!$A$2:$A$200,0)),"N")="Y",E29,0)</f>
        <v/>
      </c>
    </row>
    <row r="30">
      <c r="A30" s="26" t="n">
        <v>39692</v>
      </c>
      <c r="B30" s="12" t="inlineStr">
        <is>
          <t>Salary</t>
        </is>
      </c>
      <c r="C30" s="12" t="inlineStr">
        <is>
          <t>Income</t>
        </is>
      </c>
      <c r="D30" s="12" t="inlineStr">
        <is>
          <t>—</t>
        </is>
      </c>
      <c r="E30" s="27" t="n">
        <v>3100</v>
      </c>
      <c r="G30" s="28">
        <f>IF(IFERROR(INDEX(Categories!$C$2:$C$200,MATCH(B30,Categories!$A$2:$A$200,0)),"N")="Y",E30,0)</f>
        <v/>
      </c>
    </row>
    <row r="31">
      <c r="A31" s="26" t="n">
        <v>39692</v>
      </c>
      <c r="B31" s="12" t="inlineStr">
        <is>
          <t>Uncategorised</t>
        </is>
      </c>
      <c r="C31" s="12" t="inlineStr">
        <is>
          <t>Actual</t>
        </is>
      </c>
      <c r="D31" s="12" t="inlineStr">
        <is>
          <t>Core</t>
        </is>
      </c>
      <c r="E31" s="27" t="n">
        <v>2360</v>
      </c>
      <c r="F31" s="28" t="inlineStr">
        <is>
          <t>Historical monthly total (pre per-category / per-tier tracking)</t>
        </is>
      </c>
      <c r="G31" s="28">
        <f>IF(IFERROR(INDEX(Categories!$C$2:$C$200,MATCH(B31,Categories!$A$2:$A$200,0)),"N")="Y",E31,0)</f>
        <v/>
      </c>
    </row>
    <row r="32">
      <c r="A32" s="26" t="n">
        <v>39722</v>
      </c>
      <c r="B32" s="12" t="inlineStr">
        <is>
          <t>Interest</t>
        </is>
      </c>
      <c r="C32" s="12" t="inlineStr">
        <is>
          <t>Income</t>
        </is>
      </c>
      <c r="D32" s="12" t="inlineStr">
        <is>
          <t>—</t>
        </is>
      </c>
      <c r="E32" s="27" t="n">
        <v>20</v>
      </c>
      <c r="G32" s="28">
        <f>IF(IFERROR(INDEX(Categories!$C$2:$C$200,MATCH(B32,Categories!$A$2:$A$200,0)),"N")="Y",E32,0)</f>
        <v/>
      </c>
    </row>
    <row r="33">
      <c r="A33" s="26" t="n">
        <v>39722</v>
      </c>
      <c r="B33" s="12" t="inlineStr">
        <is>
          <t>Salary</t>
        </is>
      </c>
      <c r="C33" s="12" t="inlineStr">
        <is>
          <t>Income</t>
        </is>
      </c>
      <c r="D33" s="12" t="inlineStr">
        <is>
          <t>—</t>
        </is>
      </c>
      <c r="E33" s="27" t="n">
        <v>3150</v>
      </c>
      <c r="G33" s="28">
        <f>IF(IFERROR(INDEX(Categories!$C$2:$C$200,MATCH(B33,Categories!$A$2:$A$200,0)),"N")="Y",E33,0)</f>
        <v/>
      </c>
    </row>
    <row r="34">
      <c r="A34" s="26" t="n">
        <v>39722</v>
      </c>
      <c r="B34" s="12" t="inlineStr">
        <is>
          <t>Uncategorised</t>
        </is>
      </c>
      <c r="C34" s="12" t="inlineStr">
        <is>
          <t>Actual</t>
        </is>
      </c>
      <c r="D34" s="12" t="inlineStr">
        <is>
          <t>Core</t>
        </is>
      </c>
      <c r="E34" s="27" t="n">
        <v>2480</v>
      </c>
      <c r="F34" s="28" t="inlineStr">
        <is>
          <t>Historical monthly total (pre per-category / per-tier tracking)</t>
        </is>
      </c>
      <c r="G34" s="28">
        <f>IF(IFERROR(INDEX(Categories!$C$2:$C$200,MATCH(B34,Categories!$A$2:$A$200,0)),"N")="Y",E34,0)</f>
        <v/>
      </c>
    </row>
    <row r="35">
      <c r="A35" s="26" t="n">
        <v>39753</v>
      </c>
      <c r="B35" s="12" t="inlineStr">
        <is>
          <t>Interest</t>
        </is>
      </c>
      <c r="C35" s="12" t="inlineStr">
        <is>
          <t>Income</t>
        </is>
      </c>
      <c r="D35" s="12" t="inlineStr">
        <is>
          <t>—</t>
        </is>
      </c>
      <c r="E35" s="27" t="n">
        <v>20</v>
      </c>
      <c r="G35" s="28">
        <f>IF(IFERROR(INDEX(Categories!$C$2:$C$200,MATCH(B35,Categories!$A$2:$A$200,0)),"N")="Y",E35,0)</f>
        <v/>
      </c>
    </row>
    <row r="36">
      <c r="A36" s="26" t="n">
        <v>39753</v>
      </c>
      <c r="B36" s="12" t="inlineStr">
        <is>
          <t>Salary</t>
        </is>
      </c>
      <c r="C36" s="12" t="inlineStr">
        <is>
          <t>Income</t>
        </is>
      </c>
      <c r="D36" s="12" t="inlineStr">
        <is>
          <t>—</t>
        </is>
      </c>
      <c r="E36" s="27" t="n">
        <v>3200</v>
      </c>
      <c r="G36" s="28">
        <f>IF(IFERROR(INDEX(Categories!$C$2:$C$200,MATCH(B36,Categories!$A$2:$A$200,0)),"N")="Y",E36,0)</f>
        <v/>
      </c>
    </row>
    <row r="37">
      <c r="A37" s="26" t="n">
        <v>39753</v>
      </c>
      <c r="B37" s="12" t="inlineStr">
        <is>
          <t>Uncategorised</t>
        </is>
      </c>
      <c r="C37" s="12" t="inlineStr">
        <is>
          <t>Actual</t>
        </is>
      </c>
      <c r="D37" s="12" t="inlineStr">
        <is>
          <t>Core</t>
        </is>
      </c>
      <c r="E37" s="27" t="n">
        <v>2000</v>
      </c>
      <c r="F37" s="28" t="inlineStr">
        <is>
          <t>Historical monthly total (pre per-category / per-tier tracking)</t>
        </is>
      </c>
      <c r="G37" s="28">
        <f>IF(IFERROR(INDEX(Categories!$C$2:$C$200,MATCH(B37,Categories!$A$2:$A$200,0)),"N")="Y",E37,0)</f>
        <v/>
      </c>
    </row>
    <row r="38">
      <c r="A38" s="26" t="n">
        <v>39783</v>
      </c>
      <c r="B38" s="12" t="inlineStr">
        <is>
          <t>Bonus/Claims</t>
        </is>
      </c>
      <c r="C38" s="12" t="inlineStr">
        <is>
          <t>Income</t>
        </is>
      </c>
      <c r="D38" s="12" t="inlineStr">
        <is>
          <t>—</t>
        </is>
      </c>
      <c r="E38" s="27" t="n">
        <v>3250</v>
      </c>
      <c r="G38" s="28">
        <f>IF(IFERROR(INDEX(Categories!$C$2:$C$200,MATCH(B38,Categories!$A$2:$A$200,0)),"N")="Y",E38,0)</f>
        <v/>
      </c>
    </row>
    <row r="39">
      <c r="A39" s="26" t="n">
        <v>39783</v>
      </c>
      <c r="B39" s="12" t="inlineStr">
        <is>
          <t>Dividends</t>
        </is>
      </c>
      <c r="C39" s="12" t="inlineStr">
        <is>
          <t>Income</t>
        </is>
      </c>
      <c r="D39" s="12" t="inlineStr">
        <is>
          <t>—</t>
        </is>
      </c>
      <c r="E39" s="27" t="n">
        <v>150</v>
      </c>
      <c r="G39" s="28">
        <f>IF(IFERROR(INDEX(Categories!$C$2:$C$200,MATCH(B39,Categories!$A$2:$A$200,0)),"N")="Y",E39,0)</f>
        <v/>
      </c>
    </row>
    <row r="40">
      <c r="A40" s="26" t="n">
        <v>39783</v>
      </c>
      <c r="B40" s="12" t="inlineStr">
        <is>
          <t>Interest</t>
        </is>
      </c>
      <c r="C40" s="12" t="inlineStr">
        <is>
          <t>Income</t>
        </is>
      </c>
      <c r="D40" s="12" t="inlineStr">
        <is>
          <t>—</t>
        </is>
      </c>
      <c r="E40" s="27" t="n">
        <v>20</v>
      </c>
      <c r="G40" s="28">
        <f>IF(IFERROR(INDEX(Categories!$C$2:$C$200,MATCH(B40,Categories!$A$2:$A$200,0)),"N")="Y",E40,0)</f>
        <v/>
      </c>
    </row>
    <row r="41">
      <c r="A41" s="26" t="n">
        <v>39783</v>
      </c>
      <c r="B41" s="12" t="inlineStr">
        <is>
          <t>Salary</t>
        </is>
      </c>
      <c r="C41" s="12" t="inlineStr">
        <is>
          <t>Income</t>
        </is>
      </c>
      <c r="D41" s="12" t="inlineStr">
        <is>
          <t>—</t>
        </is>
      </c>
      <c r="E41" s="27" t="n">
        <v>3250</v>
      </c>
      <c r="G41" s="28">
        <f>IF(IFERROR(INDEX(Categories!$C$2:$C$200,MATCH(B41,Categories!$A$2:$A$200,0)),"N")="Y",E41,0)</f>
        <v/>
      </c>
    </row>
    <row r="42">
      <c r="A42" s="26" t="n">
        <v>39783</v>
      </c>
      <c r="B42" s="12" t="inlineStr">
        <is>
          <t>Uncategorised</t>
        </is>
      </c>
      <c r="C42" s="12" t="inlineStr">
        <is>
          <t>Actual</t>
        </is>
      </c>
      <c r="D42" s="12" t="inlineStr">
        <is>
          <t>Core</t>
        </is>
      </c>
      <c r="E42" s="27" t="n">
        <v>2120</v>
      </c>
      <c r="F42" s="28" t="inlineStr">
        <is>
          <t>Historical monthly total (pre per-category / per-tier tracking)</t>
        </is>
      </c>
      <c r="G42" s="28">
        <f>IF(IFERROR(INDEX(Categories!$C$2:$C$200,MATCH(B42,Categories!$A$2:$A$200,0)),"N")="Y",E42,0)</f>
        <v/>
      </c>
    </row>
    <row r="43">
      <c r="A43" s="26" t="n">
        <v>39814</v>
      </c>
      <c r="B43" s="12" t="inlineStr">
        <is>
          <t>Interest</t>
        </is>
      </c>
      <c r="C43" s="12" t="inlineStr">
        <is>
          <t>Income</t>
        </is>
      </c>
      <c r="D43" s="12" t="inlineStr">
        <is>
          <t>—</t>
        </is>
      </c>
      <c r="E43" s="27" t="n">
        <v>20</v>
      </c>
      <c r="G43" s="28">
        <f>IF(IFERROR(INDEX(Categories!$C$2:$C$200,MATCH(B43,Categories!$A$2:$A$200,0)),"N")="Y",E43,0)</f>
        <v/>
      </c>
    </row>
    <row r="44">
      <c r="A44" s="26" t="n">
        <v>39814</v>
      </c>
      <c r="B44" s="12" t="inlineStr">
        <is>
          <t>Salary</t>
        </is>
      </c>
      <c r="C44" s="12" t="inlineStr">
        <is>
          <t>Income</t>
        </is>
      </c>
      <c r="D44" s="12" t="inlineStr">
        <is>
          <t>—</t>
        </is>
      </c>
      <c r="E44" s="27" t="n">
        <v>3180</v>
      </c>
      <c r="G44" s="28">
        <f>IF(IFERROR(INDEX(Categories!$C$2:$C$200,MATCH(B44,Categories!$A$2:$A$200,0)),"N")="Y",E44,0)</f>
        <v/>
      </c>
    </row>
    <row r="45">
      <c r="A45" s="26" t="n">
        <v>39814</v>
      </c>
      <c r="B45" s="12" t="inlineStr">
        <is>
          <t>Uncategorised</t>
        </is>
      </c>
      <c r="C45" s="12" t="inlineStr">
        <is>
          <t>Actual</t>
        </is>
      </c>
      <c r="D45" s="12" t="inlineStr">
        <is>
          <t>Core</t>
        </is>
      </c>
      <c r="E45" s="27" t="n">
        <v>2320</v>
      </c>
      <c r="F45" s="28" t="inlineStr">
        <is>
          <t>Historical monthly total (pre per-category / per-tier tracking)</t>
        </is>
      </c>
      <c r="G45" s="28">
        <f>IF(IFERROR(INDEX(Categories!$C$2:$C$200,MATCH(B45,Categories!$A$2:$A$200,0)),"N")="Y",E45,0)</f>
        <v/>
      </c>
    </row>
    <row r="46">
      <c r="A46" s="26" t="n">
        <v>39845</v>
      </c>
      <c r="B46" s="12" t="inlineStr">
        <is>
          <t>Interest</t>
        </is>
      </c>
      <c r="C46" s="12" t="inlineStr">
        <is>
          <t>Income</t>
        </is>
      </c>
      <c r="D46" s="12" t="inlineStr">
        <is>
          <t>—</t>
        </is>
      </c>
      <c r="E46" s="27" t="n">
        <v>20</v>
      </c>
      <c r="G46" s="28">
        <f>IF(IFERROR(INDEX(Categories!$C$2:$C$200,MATCH(B46,Categories!$A$2:$A$200,0)),"N")="Y",E46,0)</f>
        <v/>
      </c>
    </row>
    <row r="47">
      <c r="A47" s="26" t="n">
        <v>39845</v>
      </c>
      <c r="B47" s="12" t="inlineStr">
        <is>
          <t>Salary</t>
        </is>
      </c>
      <c r="C47" s="12" t="inlineStr">
        <is>
          <t>Income</t>
        </is>
      </c>
      <c r="D47" s="12" t="inlineStr">
        <is>
          <t>—</t>
        </is>
      </c>
      <c r="E47" s="27" t="n">
        <v>3230</v>
      </c>
      <c r="G47" s="28">
        <f>IF(IFERROR(INDEX(Categories!$C$2:$C$200,MATCH(B47,Categories!$A$2:$A$200,0)),"N")="Y",E47,0)</f>
        <v/>
      </c>
    </row>
    <row r="48">
      <c r="A48" s="26" t="n">
        <v>39845</v>
      </c>
      <c r="B48" s="12" t="inlineStr">
        <is>
          <t>Uncategorised</t>
        </is>
      </c>
      <c r="C48" s="12" t="inlineStr">
        <is>
          <t>Actual</t>
        </is>
      </c>
      <c r="D48" s="12" t="inlineStr">
        <is>
          <t>Core</t>
        </is>
      </c>
      <c r="E48" s="27" t="n">
        <v>2440</v>
      </c>
      <c r="F48" s="28" t="inlineStr">
        <is>
          <t>Historical monthly total (pre per-category / per-tier tracking)</t>
        </is>
      </c>
      <c r="G48" s="28">
        <f>IF(IFERROR(INDEX(Categories!$C$2:$C$200,MATCH(B48,Categories!$A$2:$A$200,0)),"N")="Y",E48,0)</f>
        <v/>
      </c>
    </row>
    <row r="49">
      <c r="A49" s="26" t="n">
        <v>39873</v>
      </c>
      <c r="B49" s="12" t="inlineStr">
        <is>
          <t>Dividends</t>
        </is>
      </c>
      <c r="C49" s="12" t="inlineStr">
        <is>
          <t>Income</t>
        </is>
      </c>
      <c r="D49" s="12" t="inlineStr">
        <is>
          <t>—</t>
        </is>
      </c>
      <c r="E49" s="27" t="n">
        <v>150</v>
      </c>
      <c r="G49" s="28">
        <f>IF(IFERROR(INDEX(Categories!$C$2:$C$200,MATCH(B49,Categories!$A$2:$A$200,0)),"N")="Y",E49,0)</f>
        <v/>
      </c>
    </row>
    <row r="50">
      <c r="A50" s="26" t="n">
        <v>39873</v>
      </c>
      <c r="B50" s="12" t="inlineStr">
        <is>
          <t>Interest</t>
        </is>
      </c>
      <c r="C50" s="12" t="inlineStr">
        <is>
          <t>Income</t>
        </is>
      </c>
      <c r="D50" s="12" t="inlineStr">
        <is>
          <t>—</t>
        </is>
      </c>
      <c r="E50" s="27" t="n">
        <v>20</v>
      </c>
      <c r="G50" s="28">
        <f>IF(IFERROR(INDEX(Categories!$C$2:$C$200,MATCH(B50,Categories!$A$2:$A$200,0)),"N")="Y",E50,0)</f>
        <v/>
      </c>
    </row>
    <row r="51">
      <c r="A51" s="26" t="n">
        <v>39873</v>
      </c>
      <c r="B51" s="12" t="inlineStr">
        <is>
          <t>Salary</t>
        </is>
      </c>
      <c r="C51" s="12" t="inlineStr">
        <is>
          <t>Income</t>
        </is>
      </c>
      <c r="D51" s="12" t="inlineStr">
        <is>
          <t>—</t>
        </is>
      </c>
      <c r="E51" s="27" t="n">
        <v>3280</v>
      </c>
      <c r="G51" s="28">
        <f>IF(IFERROR(INDEX(Categories!$C$2:$C$200,MATCH(B51,Categories!$A$2:$A$200,0)),"N")="Y",E51,0)</f>
        <v/>
      </c>
    </row>
    <row r="52">
      <c r="A52" s="26" t="n">
        <v>39873</v>
      </c>
      <c r="B52" s="12" t="inlineStr">
        <is>
          <t>Uncategorised</t>
        </is>
      </c>
      <c r="C52" s="12" t="inlineStr">
        <is>
          <t>Actual</t>
        </is>
      </c>
      <c r="D52" s="12" t="inlineStr">
        <is>
          <t>Core</t>
        </is>
      </c>
      <c r="E52" s="27" t="n">
        <v>2560</v>
      </c>
      <c r="F52" s="28" t="inlineStr">
        <is>
          <t>Historical monthly total (pre per-category / per-tier tracking)</t>
        </is>
      </c>
      <c r="G52" s="28">
        <f>IF(IFERROR(INDEX(Categories!$C$2:$C$200,MATCH(B52,Categories!$A$2:$A$200,0)),"N")="Y",E52,0)</f>
        <v/>
      </c>
    </row>
    <row r="53">
      <c r="A53" s="26" t="n">
        <v>39904</v>
      </c>
      <c r="B53" s="12" t="inlineStr">
        <is>
          <t>Interest</t>
        </is>
      </c>
      <c r="C53" s="12" t="inlineStr">
        <is>
          <t>Income</t>
        </is>
      </c>
      <c r="D53" s="12" t="inlineStr">
        <is>
          <t>—</t>
        </is>
      </c>
      <c r="E53" s="27" t="n">
        <v>20</v>
      </c>
      <c r="G53" s="28">
        <f>IF(IFERROR(INDEX(Categories!$C$2:$C$200,MATCH(B53,Categories!$A$2:$A$200,0)),"N")="Y",E53,0)</f>
        <v/>
      </c>
    </row>
    <row r="54">
      <c r="A54" s="26" t="n">
        <v>39904</v>
      </c>
      <c r="B54" s="12" t="inlineStr">
        <is>
          <t>Salary</t>
        </is>
      </c>
      <c r="C54" s="12" t="inlineStr">
        <is>
          <t>Income</t>
        </is>
      </c>
      <c r="D54" s="12" t="inlineStr">
        <is>
          <t>—</t>
        </is>
      </c>
      <c r="E54" s="27" t="n">
        <v>3330</v>
      </c>
      <c r="G54" s="28">
        <f>IF(IFERROR(INDEX(Categories!$C$2:$C$200,MATCH(B54,Categories!$A$2:$A$200,0)),"N")="Y",E54,0)</f>
        <v/>
      </c>
    </row>
    <row r="55">
      <c r="A55" s="26" t="n">
        <v>39904</v>
      </c>
      <c r="B55" s="12" t="inlineStr">
        <is>
          <t>Uncategorised</t>
        </is>
      </c>
      <c r="C55" s="12" t="inlineStr">
        <is>
          <t>Actual</t>
        </is>
      </c>
      <c r="D55" s="12" t="inlineStr">
        <is>
          <t>Core</t>
        </is>
      </c>
      <c r="E55" s="27" t="n">
        <v>2080</v>
      </c>
      <c r="F55" s="28" t="inlineStr">
        <is>
          <t>Historical monthly total (pre per-category / per-tier tracking)</t>
        </is>
      </c>
      <c r="G55" s="28">
        <f>IF(IFERROR(INDEX(Categories!$C$2:$C$200,MATCH(B55,Categories!$A$2:$A$200,0)),"N")="Y",E55,0)</f>
        <v/>
      </c>
    </row>
    <row r="56">
      <c r="A56" s="26" t="n">
        <v>39934</v>
      </c>
      <c r="B56" s="12" t="inlineStr">
        <is>
          <t>Interest</t>
        </is>
      </c>
      <c r="C56" s="12" t="inlineStr">
        <is>
          <t>Income</t>
        </is>
      </c>
      <c r="D56" s="12" t="inlineStr">
        <is>
          <t>—</t>
        </is>
      </c>
      <c r="E56" s="27" t="n">
        <v>20</v>
      </c>
      <c r="G56" s="28">
        <f>IF(IFERROR(INDEX(Categories!$C$2:$C$200,MATCH(B56,Categories!$A$2:$A$200,0)),"N")="Y",E56,0)</f>
        <v/>
      </c>
    </row>
    <row r="57">
      <c r="A57" s="26" t="n">
        <v>39934</v>
      </c>
      <c r="B57" s="12" t="inlineStr">
        <is>
          <t>Salary</t>
        </is>
      </c>
      <c r="C57" s="12" t="inlineStr">
        <is>
          <t>Income</t>
        </is>
      </c>
      <c r="D57" s="12" t="inlineStr">
        <is>
          <t>—</t>
        </is>
      </c>
      <c r="E57" s="27" t="n">
        <v>3380</v>
      </c>
      <c r="G57" s="28">
        <f>IF(IFERROR(INDEX(Categories!$C$2:$C$200,MATCH(B57,Categories!$A$2:$A$200,0)),"N")="Y",E57,0)</f>
        <v/>
      </c>
    </row>
    <row r="58">
      <c r="A58" s="26" t="n">
        <v>39934</v>
      </c>
      <c r="B58" s="12" t="inlineStr">
        <is>
          <t>Uncategorised</t>
        </is>
      </c>
      <c r="C58" s="12" t="inlineStr">
        <is>
          <t>Actual</t>
        </is>
      </c>
      <c r="D58" s="12" t="inlineStr">
        <is>
          <t>Core</t>
        </is>
      </c>
      <c r="E58" s="27" t="n">
        <v>2200</v>
      </c>
      <c r="F58" s="28" t="inlineStr">
        <is>
          <t>Historical monthly total (pre per-category / per-tier tracking)</t>
        </is>
      </c>
      <c r="G58" s="28">
        <f>IF(IFERROR(INDEX(Categories!$C$2:$C$200,MATCH(B58,Categories!$A$2:$A$200,0)),"N")="Y",E58,0)</f>
        <v/>
      </c>
    </row>
    <row r="59">
      <c r="A59" s="26" t="n">
        <v>39965</v>
      </c>
      <c r="B59" s="12" t="inlineStr">
        <is>
          <t>Dividends</t>
        </is>
      </c>
      <c r="C59" s="12" t="inlineStr">
        <is>
          <t>Income</t>
        </is>
      </c>
      <c r="D59" s="12" t="inlineStr">
        <is>
          <t>—</t>
        </is>
      </c>
      <c r="E59" s="27" t="n">
        <v>150</v>
      </c>
      <c r="G59" s="28">
        <f>IF(IFERROR(INDEX(Categories!$C$2:$C$200,MATCH(B59,Categories!$A$2:$A$200,0)),"N")="Y",E59,0)</f>
        <v/>
      </c>
    </row>
    <row r="60">
      <c r="A60" s="26" t="n">
        <v>39965</v>
      </c>
      <c r="B60" s="12" t="inlineStr">
        <is>
          <t>Interest</t>
        </is>
      </c>
      <c r="C60" s="12" t="inlineStr">
        <is>
          <t>Income</t>
        </is>
      </c>
      <c r="D60" s="12" t="inlineStr">
        <is>
          <t>—</t>
        </is>
      </c>
      <c r="E60" s="27" t="n">
        <v>20</v>
      </c>
      <c r="G60" s="28">
        <f>IF(IFERROR(INDEX(Categories!$C$2:$C$200,MATCH(B60,Categories!$A$2:$A$200,0)),"N")="Y",E60,0)</f>
        <v/>
      </c>
    </row>
    <row r="61">
      <c r="A61" s="26" t="n">
        <v>39965</v>
      </c>
      <c r="B61" s="12" t="inlineStr">
        <is>
          <t>Salary</t>
        </is>
      </c>
      <c r="C61" s="12" t="inlineStr">
        <is>
          <t>Income</t>
        </is>
      </c>
      <c r="D61" s="12" t="inlineStr">
        <is>
          <t>—</t>
        </is>
      </c>
      <c r="E61" s="27" t="n">
        <v>3430</v>
      </c>
      <c r="G61" s="28">
        <f>IF(IFERROR(INDEX(Categories!$C$2:$C$200,MATCH(B61,Categories!$A$2:$A$200,0)),"N")="Y",E61,0)</f>
        <v/>
      </c>
    </row>
    <row r="62">
      <c r="A62" s="26" t="n">
        <v>39965</v>
      </c>
      <c r="B62" s="12" t="inlineStr">
        <is>
          <t>Uncategorised</t>
        </is>
      </c>
      <c r="C62" s="12" t="inlineStr">
        <is>
          <t>Actual</t>
        </is>
      </c>
      <c r="D62" s="12" t="inlineStr">
        <is>
          <t>Core</t>
        </is>
      </c>
      <c r="E62" s="27" t="n">
        <v>2320</v>
      </c>
      <c r="F62" s="28" t="inlineStr">
        <is>
          <t>Historical monthly total (pre per-category / per-tier tracking)</t>
        </is>
      </c>
      <c r="G62" s="28">
        <f>IF(IFERROR(INDEX(Categories!$C$2:$C$200,MATCH(B62,Categories!$A$2:$A$200,0)),"N")="Y",E62,0)</f>
        <v/>
      </c>
    </row>
    <row r="63">
      <c r="A63" s="26" t="n">
        <v>39995</v>
      </c>
      <c r="B63" s="12" t="inlineStr">
        <is>
          <t>Interest</t>
        </is>
      </c>
      <c r="C63" s="12" t="inlineStr">
        <is>
          <t>Income</t>
        </is>
      </c>
      <c r="D63" s="12" t="inlineStr">
        <is>
          <t>—</t>
        </is>
      </c>
      <c r="E63" s="27" t="n">
        <v>20</v>
      </c>
      <c r="G63" s="28">
        <f>IF(IFERROR(INDEX(Categories!$C$2:$C$200,MATCH(B63,Categories!$A$2:$A$200,0)),"N")="Y",E63,0)</f>
        <v/>
      </c>
    </row>
    <row r="64">
      <c r="A64" s="26" t="n">
        <v>39995</v>
      </c>
      <c r="B64" s="12" t="inlineStr">
        <is>
          <t>Salary</t>
        </is>
      </c>
      <c r="C64" s="12" t="inlineStr">
        <is>
          <t>Income</t>
        </is>
      </c>
      <c r="D64" s="12" t="inlineStr">
        <is>
          <t>—</t>
        </is>
      </c>
      <c r="E64" s="27" t="n">
        <v>3180</v>
      </c>
      <c r="G64" s="28">
        <f>IF(IFERROR(INDEX(Categories!$C$2:$C$200,MATCH(B64,Categories!$A$2:$A$200,0)),"N")="Y",E64,0)</f>
        <v/>
      </c>
    </row>
    <row r="65">
      <c r="A65" s="26" t="n">
        <v>39995</v>
      </c>
      <c r="B65" s="12" t="inlineStr">
        <is>
          <t>Uncategorised</t>
        </is>
      </c>
      <c r="C65" s="12" t="inlineStr">
        <is>
          <t>Actual</t>
        </is>
      </c>
      <c r="D65" s="12" t="inlineStr">
        <is>
          <t>Core</t>
        </is>
      </c>
      <c r="E65" s="27" t="n">
        <v>2440</v>
      </c>
      <c r="F65" s="28" t="inlineStr">
        <is>
          <t>Historical monthly total (pre per-category / per-tier tracking)</t>
        </is>
      </c>
      <c r="G65" s="28">
        <f>IF(IFERROR(INDEX(Categories!$C$2:$C$200,MATCH(B65,Categories!$A$2:$A$200,0)),"N")="Y",E65,0)</f>
        <v/>
      </c>
    </row>
    <row r="66">
      <c r="A66" s="26" t="n">
        <v>40026</v>
      </c>
      <c r="B66" s="12" t="inlineStr">
        <is>
          <t>Interest</t>
        </is>
      </c>
      <c r="C66" s="12" t="inlineStr">
        <is>
          <t>Income</t>
        </is>
      </c>
      <c r="D66" s="12" t="inlineStr">
        <is>
          <t>—</t>
        </is>
      </c>
      <c r="E66" s="27" t="n">
        <v>20</v>
      </c>
      <c r="G66" s="28">
        <f>IF(IFERROR(INDEX(Categories!$C$2:$C$200,MATCH(B66,Categories!$A$2:$A$200,0)),"N")="Y",E66,0)</f>
        <v/>
      </c>
    </row>
    <row r="67">
      <c r="A67" s="26" t="n">
        <v>40026</v>
      </c>
      <c r="B67" s="12" t="inlineStr">
        <is>
          <t>Salary</t>
        </is>
      </c>
      <c r="C67" s="12" t="inlineStr">
        <is>
          <t>Income</t>
        </is>
      </c>
      <c r="D67" s="12" t="inlineStr">
        <is>
          <t>—</t>
        </is>
      </c>
      <c r="E67" s="27" t="n">
        <v>3230</v>
      </c>
      <c r="G67" s="28">
        <f>IF(IFERROR(INDEX(Categories!$C$2:$C$200,MATCH(B67,Categories!$A$2:$A$200,0)),"N")="Y",E67,0)</f>
        <v/>
      </c>
    </row>
    <row r="68">
      <c r="A68" s="26" t="n">
        <v>40026</v>
      </c>
      <c r="B68" s="12" t="inlineStr">
        <is>
          <t>Uncategorised</t>
        </is>
      </c>
      <c r="C68" s="12" t="inlineStr">
        <is>
          <t>Actual</t>
        </is>
      </c>
      <c r="D68" s="12" t="inlineStr">
        <is>
          <t>Core</t>
        </is>
      </c>
      <c r="E68" s="27" t="n">
        <v>2560</v>
      </c>
      <c r="F68" s="28" t="inlineStr">
        <is>
          <t>Historical monthly total (pre per-category / per-tier tracking)</t>
        </is>
      </c>
      <c r="G68" s="28">
        <f>IF(IFERROR(INDEX(Categories!$C$2:$C$200,MATCH(B68,Categories!$A$2:$A$200,0)),"N")="Y",E68,0)</f>
        <v/>
      </c>
    </row>
    <row r="69">
      <c r="A69" s="26" t="n">
        <v>40057</v>
      </c>
      <c r="B69" s="12" t="inlineStr">
        <is>
          <t>Dividends</t>
        </is>
      </c>
      <c r="C69" s="12" t="inlineStr">
        <is>
          <t>Income</t>
        </is>
      </c>
      <c r="D69" s="12" t="inlineStr">
        <is>
          <t>—</t>
        </is>
      </c>
      <c r="E69" s="27" t="n">
        <v>150</v>
      </c>
      <c r="G69" s="28">
        <f>IF(IFERROR(INDEX(Categories!$C$2:$C$200,MATCH(B69,Categories!$A$2:$A$200,0)),"N")="Y",E69,0)</f>
        <v/>
      </c>
    </row>
    <row r="70">
      <c r="A70" s="26" t="n">
        <v>40057</v>
      </c>
      <c r="B70" s="12" t="inlineStr">
        <is>
          <t>Interest</t>
        </is>
      </c>
      <c r="C70" s="12" t="inlineStr">
        <is>
          <t>Income</t>
        </is>
      </c>
      <c r="D70" s="12" t="inlineStr">
        <is>
          <t>—</t>
        </is>
      </c>
      <c r="E70" s="27" t="n">
        <v>20</v>
      </c>
      <c r="G70" s="28">
        <f>IF(IFERROR(INDEX(Categories!$C$2:$C$200,MATCH(B70,Categories!$A$2:$A$200,0)),"N")="Y",E70,0)</f>
        <v/>
      </c>
    </row>
    <row r="71">
      <c r="A71" s="26" t="n">
        <v>40057</v>
      </c>
      <c r="B71" s="12" t="inlineStr">
        <is>
          <t>Salary</t>
        </is>
      </c>
      <c r="C71" s="12" t="inlineStr">
        <is>
          <t>Income</t>
        </is>
      </c>
      <c r="D71" s="12" t="inlineStr">
        <is>
          <t>—</t>
        </is>
      </c>
      <c r="E71" s="27" t="n">
        <v>3280</v>
      </c>
      <c r="G71" s="28">
        <f>IF(IFERROR(INDEX(Categories!$C$2:$C$200,MATCH(B71,Categories!$A$2:$A$200,0)),"N")="Y",E71,0)</f>
        <v/>
      </c>
    </row>
    <row r="72">
      <c r="A72" s="26" t="n">
        <v>40057</v>
      </c>
      <c r="B72" s="12" t="inlineStr">
        <is>
          <t>Uncategorised</t>
        </is>
      </c>
      <c r="C72" s="12" t="inlineStr">
        <is>
          <t>Actual</t>
        </is>
      </c>
      <c r="D72" s="12" t="inlineStr">
        <is>
          <t>Core</t>
        </is>
      </c>
      <c r="E72" s="27" t="n">
        <v>2080</v>
      </c>
      <c r="F72" s="28" t="inlineStr">
        <is>
          <t>Historical monthly total (pre per-category / per-tier tracking)</t>
        </is>
      </c>
      <c r="G72" s="28">
        <f>IF(IFERROR(INDEX(Categories!$C$2:$C$200,MATCH(B72,Categories!$A$2:$A$200,0)),"N")="Y",E72,0)</f>
        <v/>
      </c>
    </row>
    <row r="73">
      <c r="A73" s="26" t="n">
        <v>40087</v>
      </c>
      <c r="B73" s="12" t="inlineStr">
        <is>
          <t>Interest</t>
        </is>
      </c>
      <c r="C73" s="12" t="inlineStr">
        <is>
          <t>Income</t>
        </is>
      </c>
      <c r="D73" s="12" t="inlineStr">
        <is>
          <t>—</t>
        </is>
      </c>
      <c r="E73" s="27" t="n">
        <v>20</v>
      </c>
      <c r="G73" s="28">
        <f>IF(IFERROR(INDEX(Categories!$C$2:$C$200,MATCH(B73,Categories!$A$2:$A$200,0)),"N")="Y",E73,0)</f>
        <v/>
      </c>
    </row>
    <row r="74">
      <c r="A74" s="26" t="n">
        <v>40087</v>
      </c>
      <c r="B74" s="12" t="inlineStr">
        <is>
          <t>Salary</t>
        </is>
      </c>
      <c r="C74" s="12" t="inlineStr">
        <is>
          <t>Income</t>
        </is>
      </c>
      <c r="D74" s="12" t="inlineStr">
        <is>
          <t>—</t>
        </is>
      </c>
      <c r="E74" s="27" t="n">
        <v>3330</v>
      </c>
      <c r="G74" s="28">
        <f>IF(IFERROR(INDEX(Categories!$C$2:$C$200,MATCH(B74,Categories!$A$2:$A$200,0)),"N")="Y",E74,0)</f>
        <v/>
      </c>
    </row>
    <row r="75">
      <c r="A75" s="26" t="n">
        <v>40087</v>
      </c>
      <c r="B75" s="12" t="inlineStr">
        <is>
          <t>Uncategorised</t>
        </is>
      </c>
      <c r="C75" s="12" t="inlineStr">
        <is>
          <t>Actual</t>
        </is>
      </c>
      <c r="D75" s="12" t="inlineStr">
        <is>
          <t>Core</t>
        </is>
      </c>
      <c r="E75" s="27" t="n">
        <v>2200</v>
      </c>
      <c r="F75" s="28" t="inlineStr">
        <is>
          <t>Historical monthly total (pre per-category / per-tier tracking)</t>
        </is>
      </c>
      <c r="G75" s="28">
        <f>IF(IFERROR(INDEX(Categories!$C$2:$C$200,MATCH(B75,Categories!$A$2:$A$200,0)),"N")="Y",E75,0)</f>
        <v/>
      </c>
    </row>
    <row r="76">
      <c r="A76" s="26" t="n">
        <v>40118</v>
      </c>
      <c r="B76" s="12" t="inlineStr">
        <is>
          <t>Interest</t>
        </is>
      </c>
      <c r="C76" s="12" t="inlineStr">
        <is>
          <t>Income</t>
        </is>
      </c>
      <c r="D76" s="12" t="inlineStr">
        <is>
          <t>—</t>
        </is>
      </c>
      <c r="E76" s="27" t="n">
        <v>20</v>
      </c>
      <c r="G76" s="28">
        <f>IF(IFERROR(INDEX(Categories!$C$2:$C$200,MATCH(B76,Categories!$A$2:$A$200,0)),"N")="Y",E76,0)</f>
        <v/>
      </c>
    </row>
    <row r="77">
      <c r="A77" s="26" t="n">
        <v>40118</v>
      </c>
      <c r="B77" s="12" t="inlineStr">
        <is>
          <t>Salary</t>
        </is>
      </c>
      <c r="C77" s="12" t="inlineStr">
        <is>
          <t>Income</t>
        </is>
      </c>
      <c r="D77" s="12" t="inlineStr">
        <is>
          <t>—</t>
        </is>
      </c>
      <c r="E77" s="27" t="n">
        <v>3380</v>
      </c>
      <c r="G77" s="28">
        <f>IF(IFERROR(INDEX(Categories!$C$2:$C$200,MATCH(B77,Categories!$A$2:$A$200,0)),"N")="Y",E77,0)</f>
        <v/>
      </c>
    </row>
    <row r="78">
      <c r="A78" s="26" t="n">
        <v>40118</v>
      </c>
      <c r="B78" s="12" t="inlineStr">
        <is>
          <t>Uncategorised</t>
        </is>
      </c>
      <c r="C78" s="12" t="inlineStr">
        <is>
          <t>Actual</t>
        </is>
      </c>
      <c r="D78" s="12" t="inlineStr">
        <is>
          <t>Core</t>
        </is>
      </c>
      <c r="E78" s="27" t="n">
        <v>2320</v>
      </c>
      <c r="F78" s="28" t="inlineStr">
        <is>
          <t>Historical monthly total (pre per-category / per-tier tracking)</t>
        </is>
      </c>
      <c r="G78" s="28">
        <f>IF(IFERROR(INDEX(Categories!$C$2:$C$200,MATCH(B78,Categories!$A$2:$A$200,0)),"N")="Y",E78,0)</f>
        <v/>
      </c>
    </row>
    <row r="79">
      <c r="A79" s="26" t="n">
        <v>40148</v>
      </c>
      <c r="B79" s="12" t="inlineStr">
        <is>
          <t>Bonus/Claims</t>
        </is>
      </c>
      <c r="C79" s="12" t="inlineStr">
        <is>
          <t>Income</t>
        </is>
      </c>
      <c r="D79" s="12" t="inlineStr">
        <is>
          <t>—</t>
        </is>
      </c>
      <c r="E79" s="27" t="n">
        <v>3430</v>
      </c>
      <c r="G79" s="28">
        <f>IF(IFERROR(INDEX(Categories!$C$2:$C$200,MATCH(B79,Categories!$A$2:$A$200,0)),"N")="Y",E79,0)</f>
        <v/>
      </c>
    </row>
    <row r="80">
      <c r="A80" s="26" t="n">
        <v>40148</v>
      </c>
      <c r="B80" s="12" t="inlineStr">
        <is>
          <t>Dividends</t>
        </is>
      </c>
      <c r="C80" s="12" t="inlineStr">
        <is>
          <t>Income</t>
        </is>
      </c>
      <c r="D80" s="12" t="inlineStr">
        <is>
          <t>—</t>
        </is>
      </c>
      <c r="E80" s="27" t="n">
        <v>150</v>
      </c>
      <c r="G80" s="28">
        <f>IF(IFERROR(INDEX(Categories!$C$2:$C$200,MATCH(B80,Categories!$A$2:$A$200,0)),"N")="Y",E80,0)</f>
        <v/>
      </c>
    </row>
    <row r="81">
      <c r="A81" s="26" t="n">
        <v>40148</v>
      </c>
      <c r="B81" s="12" t="inlineStr">
        <is>
          <t>Interest</t>
        </is>
      </c>
      <c r="C81" s="12" t="inlineStr">
        <is>
          <t>Income</t>
        </is>
      </c>
      <c r="D81" s="12" t="inlineStr">
        <is>
          <t>—</t>
        </is>
      </c>
      <c r="E81" s="27" t="n">
        <v>20</v>
      </c>
      <c r="G81" s="28">
        <f>IF(IFERROR(INDEX(Categories!$C$2:$C$200,MATCH(B81,Categories!$A$2:$A$200,0)),"N")="Y",E81,0)</f>
        <v/>
      </c>
    </row>
    <row r="82">
      <c r="A82" s="26" t="n">
        <v>40148</v>
      </c>
      <c r="B82" s="12" t="inlineStr">
        <is>
          <t>Salary</t>
        </is>
      </c>
      <c r="C82" s="12" t="inlineStr">
        <is>
          <t>Income</t>
        </is>
      </c>
      <c r="D82" s="12" t="inlineStr">
        <is>
          <t>—</t>
        </is>
      </c>
      <c r="E82" s="27" t="n">
        <v>3430</v>
      </c>
      <c r="G82" s="28">
        <f>IF(IFERROR(INDEX(Categories!$C$2:$C$200,MATCH(B82,Categories!$A$2:$A$200,0)),"N")="Y",E82,0)</f>
        <v/>
      </c>
    </row>
    <row r="83">
      <c r="A83" s="26" t="n">
        <v>40148</v>
      </c>
      <c r="B83" s="12" t="inlineStr">
        <is>
          <t>Uncategorised</t>
        </is>
      </c>
      <c r="C83" s="12" t="inlineStr">
        <is>
          <t>Actual</t>
        </is>
      </c>
      <c r="D83" s="12" t="inlineStr">
        <is>
          <t>Core</t>
        </is>
      </c>
      <c r="E83" s="27" t="n">
        <v>2440</v>
      </c>
      <c r="F83" s="28" t="inlineStr">
        <is>
          <t>Historical monthly total (pre per-category / per-tier tracking)</t>
        </is>
      </c>
      <c r="G83" s="28">
        <f>IF(IFERROR(INDEX(Categories!$C$2:$C$200,MATCH(B83,Categories!$A$2:$A$200,0)),"N")="Y",E83,0)</f>
        <v/>
      </c>
    </row>
    <row r="84">
      <c r="A84" s="26" t="n">
        <v>40179</v>
      </c>
      <c r="B84" s="12" t="inlineStr">
        <is>
          <t>Interest</t>
        </is>
      </c>
      <c r="C84" s="12" t="inlineStr">
        <is>
          <t>Income</t>
        </is>
      </c>
      <c r="D84" s="12" t="inlineStr">
        <is>
          <t>—</t>
        </is>
      </c>
      <c r="E84" s="27" t="n">
        <v>20</v>
      </c>
      <c r="G84" s="28">
        <f>IF(IFERROR(INDEX(Categories!$C$2:$C$200,MATCH(B84,Categories!$A$2:$A$200,0)),"N")="Y",E84,0)</f>
        <v/>
      </c>
    </row>
    <row r="85">
      <c r="A85" s="26" t="n">
        <v>40179</v>
      </c>
      <c r="B85" s="12" t="inlineStr">
        <is>
          <t>Salary</t>
        </is>
      </c>
      <c r="C85" s="12" t="inlineStr">
        <is>
          <t>Income</t>
        </is>
      </c>
      <c r="D85" s="12" t="inlineStr">
        <is>
          <t>—</t>
        </is>
      </c>
      <c r="E85" s="27" t="n">
        <v>3360</v>
      </c>
      <c r="G85" s="28">
        <f>IF(IFERROR(INDEX(Categories!$C$2:$C$200,MATCH(B85,Categories!$A$2:$A$200,0)),"N")="Y",E85,0)</f>
        <v/>
      </c>
    </row>
    <row r="86">
      <c r="A86" s="26" t="n">
        <v>40179</v>
      </c>
      <c r="B86" s="12" t="inlineStr">
        <is>
          <t>Uncategorised</t>
        </is>
      </c>
      <c r="C86" s="12" t="inlineStr">
        <is>
          <t>Actual</t>
        </is>
      </c>
      <c r="D86" s="12" t="inlineStr">
        <is>
          <t>Core</t>
        </is>
      </c>
      <c r="E86" s="27" t="n">
        <v>2640</v>
      </c>
      <c r="F86" s="28" t="inlineStr">
        <is>
          <t>Historical monthly total (pre per-category / per-tier tracking)</t>
        </is>
      </c>
      <c r="G86" s="28">
        <f>IF(IFERROR(INDEX(Categories!$C$2:$C$200,MATCH(B86,Categories!$A$2:$A$200,0)),"N")="Y",E86,0)</f>
        <v/>
      </c>
    </row>
    <row r="87">
      <c r="A87" s="26" t="n">
        <v>40210</v>
      </c>
      <c r="B87" s="12" t="inlineStr">
        <is>
          <t>Interest</t>
        </is>
      </c>
      <c r="C87" s="12" t="inlineStr">
        <is>
          <t>Income</t>
        </is>
      </c>
      <c r="D87" s="12" t="inlineStr">
        <is>
          <t>—</t>
        </is>
      </c>
      <c r="E87" s="27" t="n">
        <v>20</v>
      </c>
      <c r="G87" s="28">
        <f>IF(IFERROR(INDEX(Categories!$C$2:$C$200,MATCH(B87,Categories!$A$2:$A$200,0)),"N")="Y",E87,0)</f>
        <v/>
      </c>
    </row>
    <row r="88">
      <c r="A88" s="26" t="n">
        <v>40210</v>
      </c>
      <c r="B88" s="12" t="inlineStr">
        <is>
          <t>Salary</t>
        </is>
      </c>
      <c r="C88" s="12" t="inlineStr">
        <is>
          <t>Income</t>
        </is>
      </c>
      <c r="D88" s="12" t="inlineStr">
        <is>
          <t>—</t>
        </is>
      </c>
      <c r="E88" s="27" t="n">
        <v>3410</v>
      </c>
      <c r="G88" s="28">
        <f>IF(IFERROR(INDEX(Categories!$C$2:$C$200,MATCH(B88,Categories!$A$2:$A$200,0)),"N")="Y",E88,0)</f>
        <v/>
      </c>
    </row>
    <row r="89">
      <c r="A89" s="26" t="n">
        <v>40210</v>
      </c>
      <c r="B89" s="12" t="inlineStr">
        <is>
          <t>Uncategorised</t>
        </is>
      </c>
      <c r="C89" s="12" t="inlineStr">
        <is>
          <t>Actual</t>
        </is>
      </c>
      <c r="D89" s="12" t="inlineStr">
        <is>
          <t>Core</t>
        </is>
      </c>
      <c r="E89" s="27" t="n">
        <v>2160</v>
      </c>
      <c r="F89" s="28" t="inlineStr">
        <is>
          <t>Historical monthly total (pre per-category / per-tier tracking)</t>
        </is>
      </c>
      <c r="G89" s="28">
        <f>IF(IFERROR(INDEX(Categories!$C$2:$C$200,MATCH(B89,Categories!$A$2:$A$200,0)),"N")="Y",E89,0)</f>
        <v/>
      </c>
    </row>
    <row r="90">
      <c r="A90" s="26" t="n">
        <v>40238</v>
      </c>
      <c r="B90" s="12" t="inlineStr">
        <is>
          <t>Dividends</t>
        </is>
      </c>
      <c r="C90" s="12" t="inlineStr">
        <is>
          <t>Income</t>
        </is>
      </c>
      <c r="D90" s="12" t="inlineStr">
        <is>
          <t>—</t>
        </is>
      </c>
      <c r="E90" s="27" t="n">
        <v>150</v>
      </c>
      <c r="G90" s="28">
        <f>IF(IFERROR(INDEX(Categories!$C$2:$C$200,MATCH(B90,Categories!$A$2:$A$200,0)),"N")="Y",E90,0)</f>
        <v/>
      </c>
    </row>
    <row r="91">
      <c r="A91" s="26" t="n">
        <v>40238</v>
      </c>
      <c r="B91" s="12" t="inlineStr">
        <is>
          <t>Interest</t>
        </is>
      </c>
      <c r="C91" s="12" t="inlineStr">
        <is>
          <t>Income</t>
        </is>
      </c>
      <c r="D91" s="12" t="inlineStr">
        <is>
          <t>—</t>
        </is>
      </c>
      <c r="E91" s="27" t="n">
        <v>20</v>
      </c>
      <c r="G91" s="28">
        <f>IF(IFERROR(INDEX(Categories!$C$2:$C$200,MATCH(B91,Categories!$A$2:$A$200,0)),"N")="Y",E91,0)</f>
        <v/>
      </c>
    </row>
    <row r="92">
      <c r="A92" s="26" t="n">
        <v>40238</v>
      </c>
      <c r="B92" s="12" t="inlineStr">
        <is>
          <t>Salary</t>
        </is>
      </c>
      <c r="C92" s="12" t="inlineStr">
        <is>
          <t>Income</t>
        </is>
      </c>
      <c r="D92" s="12" t="inlineStr">
        <is>
          <t>—</t>
        </is>
      </c>
      <c r="E92" s="27" t="n">
        <v>3460</v>
      </c>
      <c r="G92" s="28">
        <f>IF(IFERROR(INDEX(Categories!$C$2:$C$200,MATCH(B92,Categories!$A$2:$A$200,0)),"N")="Y",E92,0)</f>
        <v/>
      </c>
    </row>
    <row r="93">
      <c r="A93" s="26" t="n">
        <v>40238</v>
      </c>
      <c r="B93" s="12" t="inlineStr">
        <is>
          <t>Uncategorised</t>
        </is>
      </c>
      <c r="C93" s="12" t="inlineStr">
        <is>
          <t>Actual</t>
        </is>
      </c>
      <c r="D93" s="12" t="inlineStr">
        <is>
          <t>Core</t>
        </is>
      </c>
      <c r="E93" s="27" t="n">
        <v>2280</v>
      </c>
      <c r="F93" s="28" t="inlineStr">
        <is>
          <t>Historical monthly total (pre per-category / per-tier tracking)</t>
        </is>
      </c>
      <c r="G93" s="28">
        <f>IF(IFERROR(INDEX(Categories!$C$2:$C$200,MATCH(B93,Categories!$A$2:$A$200,0)),"N")="Y",E93,0)</f>
        <v/>
      </c>
    </row>
    <row r="94">
      <c r="A94" s="26" t="n">
        <v>40269</v>
      </c>
      <c r="B94" s="12" t="inlineStr">
        <is>
          <t>Interest</t>
        </is>
      </c>
      <c r="C94" s="12" t="inlineStr">
        <is>
          <t>Income</t>
        </is>
      </c>
      <c r="D94" s="12" t="inlineStr">
        <is>
          <t>—</t>
        </is>
      </c>
      <c r="E94" s="27" t="n">
        <v>20</v>
      </c>
      <c r="G94" s="28">
        <f>IF(IFERROR(INDEX(Categories!$C$2:$C$200,MATCH(B94,Categories!$A$2:$A$200,0)),"N")="Y",E94,0)</f>
        <v/>
      </c>
    </row>
    <row r="95">
      <c r="A95" s="26" t="n">
        <v>40269</v>
      </c>
      <c r="B95" s="12" t="inlineStr">
        <is>
          <t>Salary</t>
        </is>
      </c>
      <c r="C95" s="12" t="inlineStr">
        <is>
          <t>Income</t>
        </is>
      </c>
      <c r="D95" s="12" t="inlineStr">
        <is>
          <t>—</t>
        </is>
      </c>
      <c r="E95" s="27" t="n">
        <v>3510</v>
      </c>
      <c r="G95" s="28">
        <f>IF(IFERROR(INDEX(Categories!$C$2:$C$200,MATCH(B95,Categories!$A$2:$A$200,0)),"N")="Y",E95,0)</f>
        <v/>
      </c>
    </row>
    <row r="96">
      <c r="A96" s="26" t="n">
        <v>40269</v>
      </c>
      <c r="B96" s="12" t="inlineStr">
        <is>
          <t>Uncategorised</t>
        </is>
      </c>
      <c r="C96" s="12" t="inlineStr">
        <is>
          <t>Actual</t>
        </is>
      </c>
      <c r="D96" s="12" t="inlineStr">
        <is>
          <t>Core</t>
        </is>
      </c>
      <c r="E96" s="27" t="n">
        <v>2400</v>
      </c>
      <c r="F96" s="28" t="inlineStr">
        <is>
          <t>Historical monthly total (pre per-category / per-tier tracking)</t>
        </is>
      </c>
      <c r="G96" s="28">
        <f>IF(IFERROR(INDEX(Categories!$C$2:$C$200,MATCH(B96,Categories!$A$2:$A$200,0)),"N")="Y",E96,0)</f>
        <v/>
      </c>
    </row>
    <row r="97">
      <c r="A97" s="26" t="n">
        <v>40299</v>
      </c>
      <c r="B97" s="12" t="inlineStr">
        <is>
          <t>Interest</t>
        </is>
      </c>
      <c r="C97" s="12" t="inlineStr">
        <is>
          <t>Income</t>
        </is>
      </c>
      <c r="D97" s="12" t="inlineStr">
        <is>
          <t>—</t>
        </is>
      </c>
      <c r="E97" s="27" t="n">
        <v>20</v>
      </c>
      <c r="G97" s="28">
        <f>IF(IFERROR(INDEX(Categories!$C$2:$C$200,MATCH(B97,Categories!$A$2:$A$200,0)),"N")="Y",E97,0)</f>
        <v/>
      </c>
    </row>
    <row r="98">
      <c r="A98" s="26" t="n">
        <v>40299</v>
      </c>
      <c r="B98" s="12" t="inlineStr">
        <is>
          <t>Salary</t>
        </is>
      </c>
      <c r="C98" s="12" t="inlineStr">
        <is>
          <t>Income</t>
        </is>
      </c>
      <c r="D98" s="12" t="inlineStr">
        <is>
          <t>—</t>
        </is>
      </c>
      <c r="E98" s="27" t="n">
        <v>3560</v>
      </c>
      <c r="G98" s="28">
        <f>IF(IFERROR(INDEX(Categories!$C$2:$C$200,MATCH(B98,Categories!$A$2:$A$200,0)),"N")="Y",E98,0)</f>
        <v/>
      </c>
    </row>
    <row r="99">
      <c r="A99" s="26" t="n">
        <v>40299</v>
      </c>
      <c r="B99" s="12" t="inlineStr">
        <is>
          <t>Uncategorised</t>
        </is>
      </c>
      <c r="C99" s="12" t="inlineStr">
        <is>
          <t>Actual</t>
        </is>
      </c>
      <c r="D99" s="12" t="inlineStr">
        <is>
          <t>Core</t>
        </is>
      </c>
      <c r="E99" s="27" t="n">
        <v>2520</v>
      </c>
      <c r="F99" s="28" t="inlineStr">
        <is>
          <t>Historical monthly total (pre per-category / per-tier tracking)</t>
        </is>
      </c>
      <c r="G99" s="28">
        <f>IF(IFERROR(INDEX(Categories!$C$2:$C$200,MATCH(B99,Categories!$A$2:$A$200,0)),"N")="Y",E99,0)</f>
        <v/>
      </c>
    </row>
    <row r="100">
      <c r="A100" s="26" t="n">
        <v>40330</v>
      </c>
      <c r="B100" s="12" t="inlineStr">
        <is>
          <t>Dividends</t>
        </is>
      </c>
      <c r="C100" s="12" t="inlineStr">
        <is>
          <t>Income</t>
        </is>
      </c>
      <c r="D100" s="12" t="inlineStr">
        <is>
          <t>—</t>
        </is>
      </c>
      <c r="E100" s="27" t="n">
        <v>150</v>
      </c>
      <c r="G100" s="28">
        <f>IF(IFERROR(INDEX(Categories!$C$2:$C$200,MATCH(B100,Categories!$A$2:$A$200,0)),"N")="Y",E100,0)</f>
        <v/>
      </c>
    </row>
    <row r="101">
      <c r="A101" s="26" t="n">
        <v>40330</v>
      </c>
      <c r="B101" s="12" t="inlineStr">
        <is>
          <t>Interest</t>
        </is>
      </c>
      <c r="C101" s="12" t="inlineStr">
        <is>
          <t>Income</t>
        </is>
      </c>
      <c r="D101" s="12" t="inlineStr">
        <is>
          <t>—</t>
        </is>
      </c>
      <c r="E101" s="27" t="n">
        <v>20</v>
      </c>
      <c r="G101" s="28">
        <f>IF(IFERROR(INDEX(Categories!$C$2:$C$200,MATCH(B101,Categories!$A$2:$A$200,0)),"N")="Y",E101,0)</f>
        <v/>
      </c>
    </row>
    <row r="102">
      <c r="A102" s="26" t="n">
        <v>40330</v>
      </c>
      <c r="B102" s="12" t="inlineStr">
        <is>
          <t>Salary</t>
        </is>
      </c>
      <c r="C102" s="12" t="inlineStr">
        <is>
          <t>Income</t>
        </is>
      </c>
      <c r="D102" s="12" t="inlineStr">
        <is>
          <t>—</t>
        </is>
      </c>
      <c r="E102" s="27" t="n">
        <v>3610</v>
      </c>
      <c r="G102" s="28">
        <f>IF(IFERROR(INDEX(Categories!$C$2:$C$200,MATCH(B102,Categories!$A$2:$A$200,0)),"N")="Y",E102,0)</f>
        <v/>
      </c>
    </row>
    <row r="103">
      <c r="A103" s="26" t="n">
        <v>40330</v>
      </c>
      <c r="B103" s="12" t="inlineStr">
        <is>
          <t>Uncategorised</t>
        </is>
      </c>
      <c r="C103" s="12" t="inlineStr">
        <is>
          <t>Actual</t>
        </is>
      </c>
      <c r="D103" s="12" t="inlineStr">
        <is>
          <t>Core</t>
        </is>
      </c>
      <c r="E103" s="27" t="n">
        <v>2640</v>
      </c>
      <c r="F103" s="28" t="inlineStr">
        <is>
          <t>Historical monthly total (pre per-category / per-tier tracking)</t>
        </is>
      </c>
      <c r="G103" s="28">
        <f>IF(IFERROR(INDEX(Categories!$C$2:$C$200,MATCH(B103,Categories!$A$2:$A$200,0)),"N")="Y",E103,0)</f>
        <v/>
      </c>
    </row>
    <row r="104">
      <c r="A104" s="26" t="n">
        <v>40360</v>
      </c>
      <c r="B104" s="12" t="inlineStr">
        <is>
          <t>Interest</t>
        </is>
      </c>
      <c r="C104" s="12" t="inlineStr">
        <is>
          <t>Income</t>
        </is>
      </c>
      <c r="D104" s="12" t="inlineStr">
        <is>
          <t>—</t>
        </is>
      </c>
      <c r="E104" s="27" t="n">
        <v>20</v>
      </c>
      <c r="G104" s="28">
        <f>IF(IFERROR(INDEX(Categories!$C$2:$C$200,MATCH(B104,Categories!$A$2:$A$200,0)),"N")="Y",E104,0)</f>
        <v/>
      </c>
    </row>
    <row r="105">
      <c r="A105" s="26" t="n">
        <v>40360</v>
      </c>
      <c r="B105" s="12" t="inlineStr">
        <is>
          <t>Salary</t>
        </is>
      </c>
      <c r="C105" s="12" t="inlineStr">
        <is>
          <t>Income</t>
        </is>
      </c>
      <c r="D105" s="12" t="inlineStr">
        <is>
          <t>—</t>
        </is>
      </c>
      <c r="E105" s="27" t="n">
        <v>3360</v>
      </c>
      <c r="G105" s="28">
        <f>IF(IFERROR(INDEX(Categories!$C$2:$C$200,MATCH(B105,Categories!$A$2:$A$200,0)),"N")="Y",E105,0)</f>
        <v/>
      </c>
    </row>
    <row r="106">
      <c r="A106" s="26" t="n">
        <v>40360</v>
      </c>
      <c r="B106" s="12" t="inlineStr">
        <is>
          <t>Uncategorised</t>
        </is>
      </c>
      <c r="C106" s="12" t="inlineStr">
        <is>
          <t>Actual</t>
        </is>
      </c>
      <c r="D106" s="12" t="inlineStr">
        <is>
          <t>Core</t>
        </is>
      </c>
      <c r="E106" s="27" t="n">
        <v>2160</v>
      </c>
      <c r="F106" s="28" t="inlineStr">
        <is>
          <t>Historical monthly total (pre per-category / per-tier tracking)</t>
        </is>
      </c>
      <c r="G106" s="28">
        <f>IF(IFERROR(INDEX(Categories!$C$2:$C$200,MATCH(B106,Categories!$A$2:$A$200,0)),"N")="Y",E106,0)</f>
        <v/>
      </c>
    </row>
    <row r="107">
      <c r="A107" s="26" t="n">
        <v>40360</v>
      </c>
      <c r="B107" s="12" t="inlineStr">
        <is>
          <t>Misc</t>
        </is>
      </c>
      <c r="C107" s="12" t="inlineStr">
        <is>
          <t>One-off</t>
        </is>
      </c>
      <c r="D107" s="12" t="inlineStr">
        <is>
          <t>One-off</t>
        </is>
      </c>
      <c r="E107" s="27" t="n">
        <v>2500</v>
      </c>
      <c r="F107" s="28" t="inlineStr">
        <is>
          <t>Sample: overseas holiday</t>
        </is>
      </c>
      <c r="G107" s="28">
        <f>IF(IFERROR(INDEX(Categories!$C$2:$C$200,MATCH(B107,Categories!$A$2:$A$200,0)),"N")="Y",E107,0)</f>
        <v/>
      </c>
    </row>
    <row r="108">
      <c r="A108" s="26" t="n">
        <v>40391</v>
      </c>
      <c r="B108" s="12" t="inlineStr">
        <is>
          <t>Interest</t>
        </is>
      </c>
      <c r="C108" s="12" t="inlineStr">
        <is>
          <t>Income</t>
        </is>
      </c>
      <c r="D108" s="12" t="inlineStr">
        <is>
          <t>—</t>
        </is>
      </c>
      <c r="E108" s="27" t="n">
        <v>20</v>
      </c>
      <c r="G108" s="28">
        <f>IF(IFERROR(INDEX(Categories!$C$2:$C$200,MATCH(B108,Categories!$A$2:$A$200,0)),"N")="Y",E108,0)</f>
        <v/>
      </c>
    </row>
    <row r="109">
      <c r="A109" s="26" t="n">
        <v>40391</v>
      </c>
      <c r="B109" s="12" t="inlineStr">
        <is>
          <t>Salary</t>
        </is>
      </c>
      <c r="C109" s="12" t="inlineStr">
        <is>
          <t>Income</t>
        </is>
      </c>
      <c r="D109" s="12" t="inlineStr">
        <is>
          <t>—</t>
        </is>
      </c>
      <c r="E109" s="27" t="n">
        <v>3410</v>
      </c>
      <c r="G109" s="28">
        <f>IF(IFERROR(INDEX(Categories!$C$2:$C$200,MATCH(B109,Categories!$A$2:$A$200,0)),"N")="Y",E109,0)</f>
        <v/>
      </c>
    </row>
    <row r="110">
      <c r="A110" s="26" t="n">
        <v>40391</v>
      </c>
      <c r="B110" s="12" t="inlineStr">
        <is>
          <t>Uncategorised</t>
        </is>
      </c>
      <c r="C110" s="12" t="inlineStr">
        <is>
          <t>Actual</t>
        </is>
      </c>
      <c r="D110" s="12" t="inlineStr">
        <is>
          <t>Core</t>
        </is>
      </c>
      <c r="E110" s="27" t="n">
        <v>2280</v>
      </c>
      <c r="F110" s="28" t="inlineStr">
        <is>
          <t>Historical monthly total (pre per-category / per-tier tracking)</t>
        </is>
      </c>
      <c r="G110" s="28">
        <f>IF(IFERROR(INDEX(Categories!$C$2:$C$200,MATCH(B110,Categories!$A$2:$A$200,0)),"N")="Y",E110,0)</f>
        <v/>
      </c>
    </row>
    <row r="111">
      <c r="A111" s="26" t="n">
        <v>40422</v>
      </c>
      <c r="B111" s="12" t="inlineStr">
        <is>
          <t>Dividends</t>
        </is>
      </c>
      <c r="C111" s="12" t="inlineStr">
        <is>
          <t>Income</t>
        </is>
      </c>
      <c r="D111" s="12" t="inlineStr">
        <is>
          <t>—</t>
        </is>
      </c>
      <c r="E111" s="27" t="n">
        <v>150</v>
      </c>
      <c r="G111" s="28">
        <f>IF(IFERROR(INDEX(Categories!$C$2:$C$200,MATCH(B111,Categories!$A$2:$A$200,0)),"N")="Y",E111,0)</f>
        <v/>
      </c>
    </row>
    <row r="112">
      <c r="A112" s="26" t="n">
        <v>40422</v>
      </c>
      <c r="B112" s="12" t="inlineStr">
        <is>
          <t>Interest</t>
        </is>
      </c>
      <c r="C112" s="12" t="inlineStr">
        <is>
          <t>Income</t>
        </is>
      </c>
      <c r="D112" s="12" t="inlineStr">
        <is>
          <t>—</t>
        </is>
      </c>
      <c r="E112" s="27" t="n">
        <v>20</v>
      </c>
      <c r="G112" s="28">
        <f>IF(IFERROR(INDEX(Categories!$C$2:$C$200,MATCH(B112,Categories!$A$2:$A$200,0)),"N")="Y",E112,0)</f>
        <v/>
      </c>
    </row>
    <row r="113">
      <c r="A113" s="26" t="n">
        <v>40422</v>
      </c>
      <c r="B113" s="12" t="inlineStr">
        <is>
          <t>Salary</t>
        </is>
      </c>
      <c r="C113" s="12" t="inlineStr">
        <is>
          <t>Income</t>
        </is>
      </c>
      <c r="D113" s="12" t="inlineStr">
        <is>
          <t>—</t>
        </is>
      </c>
      <c r="E113" s="27" t="n">
        <v>3460</v>
      </c>
      <c r="G113" s="28">
        <f>IF(IFERROR(INDEX(Categories!$C$2:$C$200,MATCH(B113,Categories!$A$2:$A$200,0)),"N")="Y",E113,0)</f>
        <v/>
      </c>
    </row>
    <row r="114">
      <c r="A114" s="26" t="n">
        <v>40422</v>
      </c>
      <c r="B114" s="12" t="inlineStr">
        <is>
          <t>Uncategorised</t>
        </is>
      </c>
      <c r="C114" s="12" t="inlineStr">
        <is>
          <t>Actual</t>
        </is>
      </c>
      <c r="D114" s="12" t="inlineStr">
        <is>
          <t>Core</t>
        </is>
      </c>
      <c r="E114" s="27" t="n">
        <v>2400</v>
      </c>
      <c r="F114" s="28" t="inlineStr">
        <is>
          <t>Historical monthly total (pre per-category / per-tier tracking)</t>
        </is>
      </c>
      <c r="G114" s="28">
        <f>IF(IFERROR(INDEX(Categories!$C$2:$C$200,MATCH(B114,Categories!$A$2:$A$200,0)),"N")="Y",E114,0)</f>
        <v/>
      </c>
    </row>
    <row r="115">
      <c r="A115" s="26" t="n">
        <v>40452</v>
      </c>
      <c r="B115" s="12" t="inlineStr">
        <is>
          <t>Interest</t>
        </is>
      </c>
      <c r="C115" s="12" t="inlineStr">
        <is>
          <t>Income</t>
        </is>
      </c>
      <c r="D115" s="12" t="inlineStr">
        <is>
          <t>—</t>
        </is>
      </c>
      <c r="E115" s="27" t="n">
        <v>20</v>
      </c>
      <c r="G115" s="28">
        <f>IF(IFERROR(INDEX(Categories!$C$2:$C$200,MATCH(B115,Categories!$A$2:$A$200,0)),"N")="Y",E115,0)</f>
        <v/>
      </c>
    </row>
    <row r="116">
      <c r="A116" s="26" t="n">
        <v>40452</v>
      </c>
      <c r="B116" s="12" t="inlineStr">
        <is>
          <t>Salary</t>
        </is>
      </c>
      <c r="C116" s="12" t="inlineStr">
        <is>
          <t>Income</t>
        </is>
      </c>
      <c r="D116" s="12" t="inlineStr">
        <is>
          <t>—</t>
        </is>
      </c>
      <c r="E116" s="27" t="n">
        <v>3510</v>
      </c>
      <c r="G116" s="28">
        <f>IF(IFERROR(INDEX(Categories!$C$2:$C$200,MATCH(B116,Categories!$A$2:$A$200,0)),"N")="Y",E116,0)</f>
        <v/>
      </c>
    </row>
    <row r="117">
      <c r="A117" s="26" t="n">
        <v>40452</v>
      </c>
      <c r="B117" s="12" t="inlineStr">
        <is>
          <t>Uncategorised</t>
        </is>
      </c>
      <c r="C117" s="12" t="inlineStr">
        <is>
          <t>Actual</t>
        </is>
      </c>
      <c r="D117" s="12" t="inlineStr">
        <is>
          <t>Core</t>
        </is>
      </c>
      <c r="E117" s="27" t="n">
        <v>2520</v>
      </c>
      <c r="F117" s="28" t="inlineStr">
        <is>
          <t>Historical monthly total (pre per-category / per-tier tracking)</t>
        </is>
      </c>
      <c r="G117" s="28">
        <f>IF(IFERROR(INDEX(Categories!$C$2:$C$200,MATCH(B117,Categories!$A$2:$A$200,0)),"N")="Y",E117,0)</f>
        <v/>
      </c>
    </row>
    <row r="118">
      <c r="A118" s="26" t="n">
        <v>40483</v>
      </c>
      <c r="B118" s="12" t="inlineStr">
        <is>
          <t>Interest</t>
        </is>
      </c>
      <c r="C118" s="12" t="inlineStr">
        <is>
          <t>Income</t>
        </is>
      </c>
      <c r="D118" s="12" t="inlineStr">
        <is>
          <t>—</t>
        </is>
      </c>
      <c r="E118" s="27" t="n">
        <v>20</v>
      </c>
      <c r="G118" s="28">
        <f>IF(IFERROR(INDEX(Categories!$C$2:$C$200,MATCH(B118,Categories!$A$2:$A$200,0)),"N")="Y",E118,0)</f>
        <v/>
      </c>
    </row>
    <row r="119">
      <c r="A119" s="26" t="n">
        <v>40483</v>
      </c>
      <c r="B119" s="12" t="inlineStr">
        <is>
          <t>Salary</t>
        </is>
      </c>
      <c r="C119" s="12" t="inlineStr">
        <is>
          <t>Income</t>
        </is>
      </c>
      <c r="D119" s="12" t="inlineStr">
        <is>
          <t>—</t>
        </is>
      </c>
      <c r="E119" s="27" t="n">
        <v>3560</v>
      </c>
      <c r="G119" s="28">
        <f>IF(IFERROR(INDEX(Categories!$C$2:$C$200,MATCH(B119,Categories!$A$2:$A$200,0)),"N")="Y",E119,0)</f>
        <v/>
      </c>
    </row>
    <row r="120">
      <c r="A120" s="26" t="n">
        <v>40483</v>
      </c>
      <c r="B120" s="12" t="inlineStr">
        <is>
          <t>Uncategorised</t>
        </is>
      </c>
      <c r="C120" s="12" t="inlineStr">
        <is>
          <t>Actual</t>
        </is>
      </c>
      <c r="D120" s="12" t="inlineStr">
        <is>
          <t>Core</t>
        </is>
      </c>
      <c r="E120" s="27" t="n">
        <v>2640</v>
      </c>
      <c r="F120" s="28" t="inlineStr">
        <is>
          <t>Historical monthly total (pre per-category / per-tier tracking)</t>
        </is>
      </c>
      <c r="G120" s="28">
        <f>IF(IFERROR(INDEX(Categories!$C$2:$C$200,MATCH(B120,Categories!$A$2:$A$200,0)),"N")="Y",E120,0)</f>
        <v/>
      </c>
    </row>
    <row r="121">
      <c r="A121" s="26" t="n">
        <v>40513</v>
      </c>
      <c r="B121" s="12" t="inlineStr">
        <is>
          <t>Bonus/Claims</t>
        </is>
      </c>
      <c r="C121" s="12" t="inlineStr">
        <is>
          <t>Income</t>
        </is>
      </c>
      <c r="D121" s="12" t="inlineStr">
        <is>
          <t>—</t>
        </is>
      </c>
      <c r="E121" s="27" t="n">
        <v>3610</v>
      </c>
      <c r="G121" s="28">
        <f>IF(IFERROR(INDEX(Categories!$C$2:$C$200,MATCH(B121,Categories!$A$2:$A$200,0)),"N")="Y",E121,0)</f>
        <v/>
      </c>
    </row>
    <row r="122">
      <c r="A122" s="26" t="n">
        <v>40513</v>
      </c>
      <c r="B122" s="12" t="inlineStr">
        <is>
          <t>Dividends</t>
        </is>
      </c>
      <c r="C122" s="12" t="inlineStr">
        <is>
          <t>Income</t>
        </is>
      </c>
      <c r="D122" s="12" t="inlineStr">
        <is>
          <t>—</t>
        </is>
      </c>
      <c r="E122" s="27" t="n">
        <v>150</v>
      </c>
      <c r="G122" s="28">
        <f>IF(IFERROR(INDEX(Categories!$C$2:$C$200,MATCH(B122,Categories!$A$2:$A$200,0)),"N")="Y",E122,0)</f>
        <v/>
      </c>
    </row>
    <row r="123">
      <c r="A123" s="26" t="n">
        <v>40513</v>
      </c>
      <c r="B123" s="12" t="inlineStr">
        <is>
          <t>Interest</t>
        </is>
      </c>
      <c r="C123" s="12" t="inlineStr">
        <is>
          <t>Income</t>
        </is>
      </c>
      <c r="D123" s="12" t="inlineStr">
        <is>
          <t>—</t>
        </is>
      </c>
      <c r="E123" s="27" t="n">
        <v>20</v>
      </c>
      <c r="G123" s="28">
        <f>IF(IFERROR(INDEX(Categories!$C$2:$C$200,MATCH(B123,Categories!$A$2:$A$200,0)),"N")="Y",E123,0)</f>
        <v/>
      </c>
    </row>
    <row r="124">
      <c r="A124" s="26" t="n">
        <v>40513</v>
      </c>
      <c r="B124" s="12" t="inlineStr">
        <is>
          <t>Salary</t>
        </is>
      </c>
      <c r="C124" s="12" t="inlineStr">
        <is>
          <t>Income</t>
        </is>
      </c>
      <c r="D124" s="12" t="inlineStr">
        <is>
          <t>—</t>
        </is>
      </c>
      <c r="E124" s="27" t="n">
        <v>3610</v>
      </c>
      <c r="G124" s="28">
        <f>IF(IFERROR(INDEX(Categories!$C$2:$C$200,MATCH(B124,Categories!$A$2:$A$200,0)),"N")="Y",E124,0)</f>
        <v/>
      </c>
    </row>
    <row r="125">
      <c r="A125" s="26" t="n">
        <v>40513</v>
      </c>
      <c r="B125" s="12" t="inlineStr">
        <is>
          <t>Uncategorised</t>
        </is>
      </c>
      <c r="C125" s="12" t="inlineStr">
        <is>
          <t>Actual</t>
        </is>
      </c>
      <c r="D125" s="12" t="inlineStr">
        <is>
          <t>Core</t>
        </is>
      </c>
      <c r="E125" s="27" t="n">
        <v>2160</v>
      </c>
      <c r="F125" s="28" t="inlineStr">
        <is>
          <t>Historical monthly total (pre per-category / per-tier tracking)</t>
        </is>
      </c>
      <c r="G125" s="28">
        <f>IF(IFERROR(INDEX(Categories!$C$2:$C$200,MATCH(B125,Categories!$A$2:$A$200,0)),"N")="Y",E125,0)</f>
        <v/>
      </c>
    </row>
    <row r="126">
      <c r="A126" s="26" t="n">
        <v>40544</v>
      </c>
      <c r="B126" s="12" t="inlineStr">
        <is>
          <t>Interest</t>
        </is>
      </c>
      <c r="C126" s="12" t="inlineStr">
        <is>
          <t>Income</t>
        </is>
      </c>
      <c r="D126" s="12" t="inlineStr">
        <is>
          <t>—</t>
        </is>
      </c>
      <c r="E126" s="27" t="n">
        <v>20</v>
      </c>
      <c r="G126" s="28">
        <f>IF(IFERROR(INDEX(Categories!$C$2:$C$200,MATCH(B126,Categories!$A$2:$A$200,0)),"N")="Y",E126,0)</f>
        <v/>
      </c>
    </row>
    <row r="127">
      <c r="A127" s="26" t="n">
        <v>40544</v>
      </c>
      <c r="B127" s="12" t="inlineStr">
        <is>
          <t>Salary</t>
        </is>
      </c>
      <c r="C127" s="12" t="inlineStr">
        <is>
          <t>Income</t>
        </is>
      </c>
      <c r="D127" s="12" t="inlineStr">
        <is>
          <t>—</t>
        </is>
      </c>
      <c r="E127" s="27" t="n">
        <v>3540</v>
      </c>
      <c r="G127" s="28">
        <f>IF(IFERROR(INDEX(Categories!$C$2:$C$200,MATCH(B127,Categories!$A$2:$A$200,0)),"N")="Y",E127,0)</f>
        <v/>
      </c>
    </row>
    <row r="128">
      <c r="A128" s="26" t="n">
        <v>40544</v>
      </c>
      <c r="B128" s="12" t="inlineStr">
        <is>
          <t>Uncategorised</t>
        </is>
      </c>
      <c r="C128" s="12" t="inlineStr">
        <is>
          <t>Actual</t>
        </is>
      </c>
      <c r="D128" s="12" t="inlineStr">
        <is>
          <t>Core</t>
        </is>
      </c>
      <c r="E128" s="27" t="n">
        <v>2360</v>
      </c>
      <c r="F128" s="28" t="inlineStr">
        <is>
          <t>Historical monthly total (pre per-category / per-tier tracking)</t>
        </is>
      </c>
      <c r="G128" s="28">
        <f>IF(IFERROR(INDEX(Categories!$C$2:$C$200,MATCH(B128,Categories!$A$2:$A$200,0)),"N")="Y",E128,0)</f>
        <v/>
      </c>
    </row>
    <row r="129">
      <c r="A129" s="26" t="n">
        <v>40575</v>
      </c>
      <c r="B129" s="12" t="inlineStr">
        <is>
          <t>Interest</t>
        </is>
      </c>
      <c r="C129" s="12" t="inlineStr">
        <is>
          <t>Income</t>
        </is>
      </c>
      <c r="D129" s="12" t="inlineStr">
        <is>
          <t>—</t>
        </is>
      </c>
      <c r="E129" s="27" t="n">
        <v>20</v>
      </c>
      <c r="G129" s="28">
        <f>IF(IFERROR(INDEX(Categories!$C$2:$C$200,MATCH(B129,Categories!$A$2:$A$200,0)),"N")="Y",E129,0)</f>
        <v/>
      </c>
    </row>
    <row r="130">
      <c r="A130" s="26" t="n">
        <v>40575</v>
      </c>
      <c r="B130" s="12" t="inlineStr">
        <is>
          <t>Salary</t>
        </is>
      </c>
      <c r="C130" s="12" t="inlineStr">
        <is>
          <t>Income</t>
        </is>
      </c>
      <c r="D130" s="12" t="inlineStr">
        <is>
          <t>—</t>
        </is>
      </c>
      <c r="E130" s="27" t="n">
        <v>3590</v>
      </c>
      <c r="G130" s="28">
        <f>IF(IFERROR(INDEX(Categories!$C$2:$C$200,MATCH(B130,Categories!$A$2:$A$200,0)),"N")="Y",E130,0)</f>
        <v/>
      </c>
    </row>
    <row r="131">
      <c r="A131" s="26" t="n">
        <v>40575</v>
      </c>
      <c r="B131" s="12" t="inlineStr">
        <is>
          <t>Uncategorised</t>
        </is>
      </c>
      <c r="C131" s="12" t="inlineStr">
        <is>
          <t>Actual</t>
        </is>
      </c>
      <c r="D131" s="12" t="inlineStr">
        <is>
          <t>Core</t>
        </is>
      </c>
      <c r="E131" s="27" t="n">
        <v>2480</v>
      </c>
      <c r="F131" s="28" t="inlineStr">
        <is>
          <t>Historical monthly total (pre per-category / per-tier tracking)</t>
        </is>
      </c>
      <c r="G131" s="28">
        <f>IF(IFERROR(INDEX(Categories!$C$2:$C$200,MATCH(B131,Categories!$A$2:$A$200,0)),"N")="Y",E131,0)</f>
        <v/>
      </c>
    </row>
    <row r="132">
      <c r="A132" s="26" t="n">
        <v>40603</v>
      </c>
      <c r="B132" s="12" t="inlineStr">
        <is>
          <t>Dividends</t>
        </is>
      </c>
      <c r="C132" s="12" t="inlineStr">
        <is>
          <t>Income</t>
        </is>
      </c>
      <c r="D132" s="12" t="inlineStr">
        <is>
          <t>—</t>
        </is>
      </c>
      <c r="E132" s="27" t="n">
        <v>150</v>
      </c>
      <c r="G132" s="28">
        <f>IF(IFERROR(INDEX(Categories!$C$2:$C$200,MATCH(B132,Categories!$A$2:$A$200,0)),"N")="Y",E132,0)</f>
        <v/>
      </c>
    </row>
    <row r="133">
      <c r="A133" s="26" t="n">
        <v>40603</v>
      </c>
      <c r="B133" s="12" t="inlineStr">
        <is>
          <t>Interest</t>
        </is>
      </c>
      <c r="C133" s="12" t="inlineStr">
        <is>
          <t>Income</t>
        </is>
      </c>
      <c r="D133" s="12" t="inlineStr">
        <is>
          <t>—</t>
        </is>
      </c>
      <c r="E133" s="27" t="n">
        <v>20</v>
      </c>
      <c r="G133" s="28">
        <f>IF(IFERROR(INDEX(Categories!$C$2:$C$200,MATCH(B133,Categories!$A$2:$A$200,0)),"N")="Y",E133,0)</f>
        <v/>
      </c>
    </row>
    <row r="134">
      <c r="A134" s="26" t="n">
        <v>40603</v>
      </c>
      <c r="B134" s="12" t="inlineStr">
        <is>
          <t>Salary</t>
        </is>
      </c>
      <c r="C134" s="12" t="inlineStr">
        <is>
          <t>Income</t>
        </is>
      </c>
      <c r="D134" s="12" t="inlineStr">
        <is>
          <t>—</t>
        </is>
      </c>
      <c r="E134" s="27" t="n">
        <v>3640</v>
      </c>
      <c r="G134" s="28">
        <f>IF(IFERROR(INDEX(Categories!$C$2:$C$200,MATCH(B134,Categories!$A$2:$A$200,0)),"N")="Y",E134,0)</f>
        <v/>
      </c>
    </row>
    <row r="135">
      <c r="A135" s="26" t="n">
        <v>40603</v>
      </c>
      <c r="B135" s="12" t="inlineStr">
        <is>
          <t>Uncategorised</t>
        </is>
      </c>
      <c r="C135" s="12" t="inlineStr">
        <is>
          <t>Actual</t>
        </is>
      </c>
      <c r="D135" s="12" t="inlineStr">
        <is>
          <t>Core</t>
        </is>
      </c>
      <c r="E135" s="27" t="n">
        <v>2600</v>
      </c>
      <c r="F135" s="28" t="inlineStr">
        <is>
          <t>Historical monthly total (pre per-category / per-tier tracking)</t>
        </is>
      </c>
      <c r="G135" s="28">
        <f>IF(IFERROR(INDEX(Categories!$C$2:$C$200,MATCH(B135,Categories!$A$2:$A$200,0)),"N")="Y",E135,0)</f>
        <v/>
      </c>
    </row>
    <row r="136">
      <c r="A136" s="26" t="n">
        <v>40634</v>
      </c>
      <c r="B136" s="12" t="inlineStr">
        <is>
          <t>Interest</t>
        </is>
      </c>
      <c r="C136" s="12" t="inlineStr">
        <is>
          <t>Income</t>
        </is>
      </c>
      <c r="D136" s="12" t="inlineStr">
        <is>
          <t>—</t>
        </is>
      </c>
      <c r="E136" s="27" t="n">
        <v>20</v>
      </c>
      <c r="G136" s="28">
        <f>IF(IFERROR(INDEX(Categories!$C$2:$C$200,MATCH(B136,Categories!$A$2:$A$200,0)),"N")="Y",E136,0)</f>
        <v/>
      </c>
    </row>
    <row r="137">
      <c r="A137" s="26" t="n">
        <v>40634</v>
      </c>
      <c r="B137" s="12" t="inlineStr">
        <is>
          <t>Salary</t>
        </is>
      </c>
      <c r="C137" s="12" t="inlineStr">
        <is>
          <t>Income</t>
        </is>
      </c>
      <c r="D137" s="12" t="inlineStr">
        <is>
          <t>—</t>
        </is>
      </c>
      <c r="E137" s="27" t="n">
        <v>3690</v>
      </c>
      <c r="G137" s="28">
        <f>IF(IFERROR(INDEX(Categories!$C$2:$C$200,MATCH(B137,Categories!$A$2:$A$200,0)),"N")="Y",E137,0)</f>
        <v/>
      </c>
    </row>
    <row r="138">
      <c r="A138" s="26" t="n">
        <v>40634</v>
      </c>
      <c r="B138" s="12" t="inlineStr">
        <is>
          <t>Uncategorised</t>
        </is>
      </c>
      <c r="C138" s="12" t="inlineStr">
        <is>
          <t>Actual</t>
        </is>
      </c>
      <c r="D138" s="12" t="inlineStr">
        <is>
          <t>Core</t>
        </is>
      </c>
      <c r="E138" s="27" t="n">
        <v>2720</v>
      </c>
      <c r="F138" s="28" t="inlineStr">
        <is>
          <t>Historical monthly total (pre per-category / per-tier tracking)</t>
        </is>
      </c>
      <c r="G138" s="28">
        <f>IF(IFERROR(INDEX(Categories!$C$2:$C$200,MATCH(B138,Categories!$A$2:$A$200,0)),"N")="Y",E138,0)</f>
        <v/>
      </c>
    </row>
    <row r="139">
      <c r="A139" s="26" t="n">
        <v>40664</v>
      </c>
      <c r="B139" s="12" t="inlineStr">
        <is>
          <t>Interest</t>
        </is>
      </c>
      <c r="C139" s="12" t="inlineStr">
        <is>
          <t>Income</t>
        </is>
      </c>
      <c r="D139" s="12" t="inlineStr">
        <is>
          <t>—</t>
        </is>
      </c>
      <c r="E139" s="27" t="n">
        <v>20</v>
      </c>
      <c r="G139" s="28">
        <f>IF(IFERROR(INDEX(Categories!$C$2:$C$200,MATCH(B139,Categories!$A$2:$A$200,0)),"N")="Y",E139,0)</f>
        <v/>
      </c>
    </row>
    <row r="140">
      <c r="A140" s="26" t="n">
        <v>40664</v>
      </c>
      <c r="B140" s="12" t="inlineStr">
        <is>
          <t>Salary</t>
        </is>
      </c>
      <c r="C140" s="12" t="inlineStr">
        <is>
          <t>Income</t>
        </is>
      </c>
      <c r="D140" s="12" t="inlineStr">
        <is>
          <t>—</t>
        </is>
      </c>
      <c r="E140" s="27" t="n">
        <v>3740</v>
      </c>
      <c r="G140" s="28">
        <f>IF(IFERROR(INDEX(Categories!$C$2:$C$200,MATCH(B140,Categories!$A$2:$A$200,0)),"N")="Y",E140,0)</f>
        <v/>
      </c>
    </row>
    <row r="141">
      <c r="A141" s="26" t="n">
        <v>40664</v>
      </c>
      <c r="B141" s="12" t="inlineStr">
        <is>
          <t>Uncategorised</t>
        </is>
      </c>
      <c r="C141" s="12" t="inlineStr">
        <is>
          <t>Actual</t>
        </is>
      </c>
      <c r="D141" s="12" t="inlineStr">
        <is>
          <t>Core</t>
        </is>
      </c>
      <c r="E141" s="27" t="n">
        <v>2240</v>
      </c>
      <c r="F141" s="28" t="inlineStr">
        <is>
          <t>Historical monthly total (pre per-category / per-tier tracking)</t>
        </is>
      </c>
      <c r="G141" s="28">
        <f>IF(IFERROR(INDEX(Categories!$C$2:$C$200,MATCH(B141,Categories!$A$2:$A$200,0)),"N")="Y",E141,0)</f>
        <v/>
      </c>
    </row>
    <row r="142">
      <c r="A142" s="26" t="n">
        <v>40695</v>
      </c>
      <c r="B142" s="12" t="inlineStr">
        <is>
          <t>Dividends</t>
        </is>
      </c>
      <c r="C142" s="12" t="inlineStr">
        <is>
          <t>Income</t>
        </is>
      </c>
      <c r="D142" s="12" t="inlineStr">
        <is>
          <t>—</t>
        </is>
      </c>
      <c r="E142" s="27" t="n">
        <v>150</v>
      </c>
      <c r="G142" s="28">
        <f>IF(IFERROR(INDEX(Categories!$C$2:$C$200,MATCH(B142,Categories!$A$2:$A$200,0)),"N")="Y",E142,0)</f>
        <v/>
      </c>
    </row>
    <row r="143">
      <c r="A143" s="26" t="n">
        <v>40695</v>
      </c>
      <c r="B143" s="12" t="inlineStr">
        <is>
          <t>Interest</t>
        </is>
      </c>
      <c r="C143" s="12" t="inlineStr">
        <is>
          <t>Income</t>
        </is>
      </c>
      <c r="D143" s="12" t="inlineStr">
        <is>
          <t>—</t>
        </is>
      </c>
      <c r="E143" s="27" t="n">
        <v>20</v>
      </c>
      <c r="G143" s="28">
        <f>IF(IFERROR(INDEX(Categories!$C$2:$C$200,MATCH(B143,Categories!$A$2:$A$200,0)),"N")="Y",E143,0)</f>
        <v/>
      </c>
    </row>
    <row r="144">
      <c r="A144" s="26" t="n">
        <v>40695</v>
      </c>
      <c r="B144" s="12" t="inlineStr">
        <is>
          <t>Salary</t>
        </is>
      </c>
      <c r="C144" s="12" t="inlineStr">
        <is>
          <t>Income</t>
        </is>
      </c>
      <c r="D144" s="12" t="inlineStr">
        <is>
          <t>—</t>
        </is>
      </c>
      <c r="E144" s="27" t="n">
        <v>3790</v>
      </c>
      <c r="G144" s="28">
        <f>IF(IFERROR(INDEX(Categories!$C$2:$C$200,MATCH(B144,Categories!$A$2:$A$200,0)),"N")="Y",E144,0)</f>
        <v/>
      </c>
    </row>
    <row r="145">
      <c r="A145" s="26" t="n">
        <v>40695</v>
      </c>
      <c r="B145" s="12" t="inlineStr">
        <is>
          <t>Uncategorised</t>
        </is>
      </c>
      <c r="C145" s="12" t="inlineStr">
        <is>
          <t>Actual</t>
        </is>
      </c>
      <c r="D145" s="12" t="inlineStr">
        <is>
          <t>Core</t>
        </is>
      </c>
      <c r="E145" s="27" t="n">
        <v>2360</v>
      </c>
      <c r="F145" s="28" t="inlineStr">
        <is>
          <t>Historical monthly total (pre per-category / per-tier tracking)</t>
        </is>
      </c>
      <c r="G145" s="28">
        <f>IF(IFERROR(INDEX(Categories!$C$2:$C$200,MATCH(B145,Categories!$A$2:$A$200,0)),"N")="Y",E145,0)</f>
        <v/>
      </c>
    </row>
    <row r="146">
      <c r="A146" s="26" t="n">
        <v>40725</v>
      </c>
      <c r="B146" s="12" t="inlineStr">
        <is>
          <t>Interest</t>
        </is>
      </c>
      <c r="C146" s="12" t="inlineStr">
        <is>
          <t>Income</t>
        </is>
      </c>
      <c r="D146" s="12" t="inlineStr">
        <is>
          <t>—</t>
        </is>
      </c>
      <c r="E146" s="27" t="n">
        <v>20</v>
      </c>
      <c r="G146" s="28">
        <f>IF(IFERROR(INDEX(Categories!$C$2:$C$200,MATCH(B146,Categories!$A$2:$A$200,0)),"N")="Y",E146,0)</f>
        <v/>
      </c>
    </row>
    <row r="147">
      <c r="A147" s="26" t="n">
        <v>40725</v>
      </c>
      <c r="B147" s="12" t="inlineStr">
        <is>
          <t>Salary</t>
        </is>
      </c>
      <c r="C147" s="12" t="inlineStr">
        <is>
          <t>Income</t>
        </is>
      </c>
      <c r="D147" s="12" t="inlineStr">
        <is>
          <t>—</t>
        </is>
      </c>
      <c r="E147" s="27" t="n">
        <v>3540</v>
      </c>
      <c r="G147" s="28">
        <f>IF(IFERROR(INDEX(Categories!$C$2:$C$200,MATCH(B147,Categories!$A$2:$A$200,0)),"N")="Y",E147,0)</f>
        <v/>
      </c>
    </row>
    <row r="148">
      <c r="A148" s="26" t="n">
        <v>40725</v>
      </c>
      <c r="B148" s="12" t="inlineStr">
        <is>
          <t>Uncategorised</t>
        </is>
      </c>
      <c r="C148" s="12" t="inlineStr">
        <is>
          <t>Actual</t>
        </is>
      </c>
      <c r="D148" s="12" t="inlineStr">
        <is>
          <t>Core</t>
        </is>
      </c>
      <c r="E148" s="27" t="n">
        <v>2480</v>
      </c>
      <c r="F148" s="28" t="inlineStr">
        <is>
          <t>Historical monthly total (pre per-category / per-tier tracking)</t>
        </is>
      </c>
      <c r="G148" s="28">
        <f>IF(IFERROR(INDEX(Categories!$C$2:$C$200,MATCH(B148,Categories!$A$2:$A$200,0)),"N")="Y",E148,0)</f>
        <v/>
      </c>
    </row>
    <row r="149">
      <c r="A149" s="26" t="n">
        <v>40756</v>
      </c>
      <c r="B149" s="12" t="inlineStr">
        <is>
          <t>Interest</t>
        </is>
      </c>
      <c r="C149" s="12" t="inlineStr">
        <is>
          <t>Income</t>
        </is>
      </c>
      <c r="D149" s="12" t="inlineStr">
        <is>
          <t>—</t>
        </is>
      </c>
      <c r="E149" s="27" t="n">
        <v>20</v>
      </c>
      <c r="G149" s="28">
        <f>IF(IFERROR(INDEX(Categories!$C$2:$C$200,MATCH(B149,Categories!$A$2:$A$200,0)),"N")="Y",E149,0)</f>
        <v/>
      </c>
    </row>
    <row r="150">
      <c r="A150" s="26" t="n">
        <v>40756</v>
      </c>
      <c r="B150" s="12" t="inlineStr">
        <is>
          <t>Salary</t>
        </is>
      </c>
      <c r="C150" s="12" t="inlineStr">
        <is>
          <t>Income</t>
        </is>
      </c>
      <c r="D150" s="12" t="inlineStr">
        <is>
          <t>—</t>
        </is>
      </c>
      <c r="E150" s="27" t="n">
        <v>3590</v>
      </c>
      <c r="G150" s="28">
        <f>IF(IFERROR(INDEX(Categories!$C$2:$C$200,MATCH(B150,Categories!$A$2:$A$200,0)),"N")="Y",E150,0)</f>
        <v/>
      </c>
    </row>
    <row r="151">
      <c r="A151" s="26" t="n">
        <v>40756</v>
      </c>
      <c r="B151" s="12" t="inlineStr">
        <is>
          <t>Uncategorised</t>
        </is>
      </c>
      <c r="C151" s="12" t="inlineStr">
        <is>
          <t>Actual</t>
        </is>
      </c>
      <c r="D151" s="12" t="inlineStr">
        <is>
          <t>Core</t>
        </is>
      </c>
      <c r="E151" s="27" t="n">
        <v>2600</v>
      </c>
      <c r="F151" s="28" t="inlineStr">
        <is>
          <t>Historical monthly total (pre per-category / per-tier tracking)</t>
        </is>
      </c>
      <c r="G151" s="28">
        <f>IF(IFERROR(INDEX(Categories!$C$2:$C$200,MATCH(B151,Categories!$A$2:$A$200,0)),"N")="Y",E151,0)</f>
        <v/>
      </c>
    </row>
    <row r="152">
      <c r="A152" s="26" t="n">
        <v>40787</v>
      </c>
      <c r="B152" s="12" t="inlineStr">
        <is>
          <t>Dividends</t>
        </is>
      </c>
      <c r="C152" s="12" t="inlineStr">
        <is>
          <t>Income</t>
        </is>
      </c>
      <c r="D152" s="12" t="inlineStr">
        <is>
          <t>—</t>
        </is>
      </c>
      <c r="E152" s="27" t="n">
        <v>150</v>
      </c>
      <c r="G152" s="28">
        <f>IF(IFERROR(INDEX(Categories!$C$2:$C$200,MATCH(B152,Categories!$A$2:$A$200,0)),"N")="Y",E152,0)</f>
        <v/>
      </c>
    </row>
    <row r="153">
      <c r="A153" s="26" t="n">
        <v>40787</v>
      </c>
      <c r="B153" s="12" t="inlineStr">
        <is>
          <t>Interest</t>
        </is>
      </c>
      <c r="C153" s="12" t="inlineStr">
        <is>
          <t>Income</t>
        </is>
      </c>
      <c r="D153" s="12" t="inlineStr">
        <is>
          <t>—</t>
        </is>
      </c>
      <c r="E153" s="27" t="n">
        <v>20</v>
      </c>
      <c r="G153" s="28">
        <f>IF(IFERROR(INDEX(Categories!$C$2:$C$200,MATCH(B153,Categories!$A$2:$A$200,0)),"N")="Y",E153,0)</f>
        <v/>
      </c>
    </row>
    <row r="154">
      <c r="A154" s="26" t="n">
        <v>40787</v>
      </c>
      <c r="B154" s="12" t="inlineStr">
        <is>
          <t>Salary</t>
        </is>
      </c>
      <c r="C154" s="12" t="inlineStr">
        <is>
          <t>Income</t>
        </is>
      </c>
      <c r="D154" s="12" t="inlineStr">
        <is>
          <t>—</t>
        </is>
      </c>
      <c r="E154" s="27" t="n">
        <v>3640</v>
      </c>
      <c r="G154" s="28">
        <f>IF(IFERROR(INDEX(Categories!$C$2:$C$200,MATCH(B154,Categories!$A$2:$A$200,0)),"N")="Y",E154,0)</f>
        <v/>
      </c>
    </row>
    <row r="155">
      <c r="A155" s="26" t="n">
        <v>40787</v>
      </c>
      <c r="B155" s="12" t="inlineStr">
        <is>
          <t>Uncategorised</t>
        </is>
      </c>
      <c r="C155" s="12" t="inlineStr">
        <is>
          <t>Actual</t>
        </is>
      </c>
      <c r="D155" s="12" t="inlineStr">
        <is>
          <t>Core</t>
        </is>
      </c>
      <c r="E155" s="27" t="n">
        <v>2720</v>
      </c>
      <c r="F155" s="28" t="inlineStr">
        <is>
          <t>Historical monthly total (pre per-category / per-tier tracking)</t>
        </is>
      </c>
      <c r="G155" s="28">
        <f>IF(IFERROR(INDEX(Categories!$C$2:$C$200,MATCH(B155,Categories!$A$2:$A$200,0)),"N")="Y",E155,0)</f>
        <v/>
      </c>
    </row>
    <row r="156">
      <c r="A156" s="26" t="n">
        <v>40817</v>
      </c>
      <c r="B156" s="12" t="inlineStr">
        <is>
          <t>Interest</t>
        </is>
      </c>
      <c r="C156" s="12" t="inlineStr">
        <is>
          <t>Income</t>
        </is>
      </c>
      <c r="D156" s="12" t="inlineStr">
        <is>
          <t>—</t>
        </is>
      </c>
      <c r="E156" s="27" t="n">
        <v>20</v>
      </c>
      <c r="G156" s="28">
        <f>IF(IFERROR(INDEX(Categories!$C$2:$C$200,MATCH(B156,Categories!$A$2:$A$200,0)),"N")="Y",E156,0)</f>
        <v/>
      </c>
    </row>
    <row r="157">
      <c r="A157" s="26" t="n">
        <v>40817</v>
      </c>
      <c r="B157" s="12" t="inlineStr">
        <is>
          <t>Salary</t>
        </is>
      </c>
      <c r="C157" s="12" t="inlineStr">
        <is>
          <t>Income</t>
        </is>
      </c>
      <c r="D157" s="12" t="inlineStr">
        <is>
          <t>—</t>
        </is>
      </c>
      <c r="E157" s="27" t="n">
        <v>3690</v>
      </c>
      <c r="G157" s="28">
        <f>IF(IFERROR(INDEX(Categories!$C$2:$C$200,MATCH(B157,Categories!$A$2:$A$200,0)),"N")="Y",E157,0)</f>
        <v/>
      </c>
    </row>
    <row r="158">
      <c r="A158" s="26" t="n">
        <v>40817</v>
      </c>
      <c r="B158" s="12" t="inlineStr">
        <is>
          <t>Uncategorised</t>
        </is>
      </c>
      <c r="C158" s="12" t="inlineStr">
        <is>
          <t>Actual</t>
        </is>
      </c>
      <c r="D158" s="12" t="inlineStr">
        <is>
          <t>Core</t>
        </is>
      </c>
      <c r="E158" s="27" t="n">
        <v>2240</v>
      </c>
      <c r="F158" s="28" t="inlineStr">
        <is>
          <t>Historical monthly total (pre per-category / per-tier tracking)</t>
        </is>
      </c>
      <c r="G158" s="28">
        <f>IF(IFERROR(INDEX(Categories!$C$2:$C$200,MATCH(B158,Categories!$A$2:$A$200,0)),"N")="Y",E158,0)</f>
        <v/>
      </c>
    </row>
    <row r="159">
      <c r="A159" s="26" t="n">
        <v>40848</v>
      </c>
      <c r="B159" s="12" t="inlineStr">
        <is>
          <t>Interest</t>
        </is>
      </c>
      <c r="C159" s="12" t="inlineStr">
        <is>
          <t>Income</t>
        </is>
      </c>
      <c r="D159" s="12" t="inlineStr">
        <is>
          <t>—</t>
        </is>
      </c>
      <c r="E159" s="27" t="n">
        <v>20</v>
      </c>
      <c r="G159" s="28">
        <f>IF(IFERROR(INDEX(Categories!$C$2:$C$200,MATCH(B159,Categories!$A$2:$A$200,0)),"N")="Y",E159,0)</f>
        <v/>
      </c>
    </row>
    <row r="160">
      <c r="A160" s="26" t="n">
        <v>40848</v>
      </c>
      <c r="B160" s="12" t="inlineStr">
        <is>
          <t>Salary</t>
        </is>
      </c>
      <c r="C160" s="12" t="inlineStr">
        <is>
          <t>Income</t>
        </is>
      </c>
      <c r="D160" s="12" t="inlineStr">
        <is>
          <t>—</t>
        </is>
      </c>
      <c r="E160" s="27" t="n">
        <v>3740</v>
      </c>
      <c r="G160" s="28">
        <f>IF(IFERROR(INDEX(Categories!$C$2:$C$200,MATCH(B160,Categories!$A$2:$A$200,0)),"N")="Y",E160,0)</f>
        <v/>
      </c>
    </row>
    <row r="161">
      <c r="A161" s="26" t="n">
        <v>40848</v>
      </c>
      <c r="B161" s="12" t="inlineStr">
        <is>
          <t>Uncategorised</t>
        </is>
      </c>
      <c r="C161" s="12" t="inlineStr">
        <is>
          <t>Actual</t>
        </is>
      </c>
      <c r="D161" s="12" t="inlineStr">
        <is>
          <t>Core</t>
        </is>
      </c>
      <c r="E161" s="27" t="n">
        <v>2360</v>
      </c>
      <c r="F161" s="28" t="inlineStr">
        <is>
          <t>Historical monthly total (pre per-category / per-tier tracking)</t>
        </is>
      </c>
      <c r="G161" s="28">
        <f>IF(IFERROR(INDEX(Categories!$C$2:$C$200,MATCH(B161,Categories!$A$2:$A$200,0)),"N")="Y",E161,0)</f>
        <v/>
      </c>
    </row>
    <row r="162">
      <c r="A162" s="26" t="n">
        <v>40878</v>
      </c>
      <c r="B162" s="12" t="inlineStr">
        <is>
          <t>Bonus/Claims</t>
        </is>
      </c>
      <c r="C162" s="12" t="inlineStr">
        <is>
          <t>Income</t>
        </is>
      </c>
      <c r="D162" s="12" t="inlineStr">
        <is>
          <t>—</t>
        </is>
      </c>
      <c r="E162" s="27" t="n">
        <v>3790</v>
      </c>
      <c r="G162" s="28">
        <f>IF(IFERROR(INDEX(Categories!$C$2:$C$200,MATCH(B162,Categories!$A$2:$A$200,0)),"N")="Y",E162,0)</f>
        <v/>
      </c>
    </row>
    <row r="163">
      <c r="A163" s="26" t="n">
        <v>40878</v>
      </c>
      <c r="B163" s="12" t="inlineStr">
        <is>
          <t>Dividends</t>
        </is>
      </c>
      <c r="C163" s="12" t="inlineStr">
        <is>
          <t>Income</t>
        </is>
      </c>
      <c r="D163" s="12" t="inlineStr">
        <is>
          <t>—</t>
        </is>
      </c>
      <c r="E163" s="27" t="n">
        <v>150</v>
      </c>
      <c r="G163" s="28">
        <f>IF(IFERROR(INDEX(Categories!$C$2:$C$200,MATCH(B163,Categories!$A$2:$A$200,0)),"N")="Y",E163,0)</f>
        <v/>
      </c>
    </row>
    <row r="164">
      <c r="A164" s="26" t="n">
        <v>40878</v>
      </c>
      <c r="B164" s="12" t="inlineStr">
        <is>
          <t>Interest</t>
        </is>
      </c>
      <c r="C164" s="12" t="inlineStr">
        <is>
          <t>Income</t>
        </is>
      </c>
      <c r="D164" s="12" t="inlineStr">
        <is>
          <t>—</t>
        </is>
      </c>
      <c r="E164" s="27" t="n">
        <v>20</v>
      </c>
      <c r="G164" s="28">
        <f>IF(IFERROR(INDEX(Categories!$C$2:$C$200,MATCH(B164,Categories!$A$2:$A$200,0)),"N")="Y",E164,0)</f>
        <v/>
      </c>
    </row>
    <row r="165">
      <c r="A165" s="26" t="n">
        <v>40878</v>
      </c>
      <c r="B165" s="12" t="inlineStr">
        <is>
          <t>Salary</t>
        </is>
      </c>
      <c r="C165" s="12" t="inlineStr">
        <is>
          <t>Income</t>
        </is>
      </c>
      <c r="D165" s="12" t="inlineStr">
        <is>
          <t>—</t>
        </is>
      </c>
      <c r="E165" s="27" t="n">
        <v>3790</v>
      </c>
      <c r="G165" s="28">
        <f>IF(IFERROR(INDEX(Categories!$C$2:$C$200,MATCH(B165,Categories!$A$2:$A$200,0)),"N")="Y",E165,0)</f>
        <v/>
      </c>
    </row>
    <row r="166">
      <c r="A166" s="26" t="n">
        <v>40878</v>
      </c>
      <c r="B166" s="12" t="inlineStr">
        <is>
          <t>Uncategorised</t>
        </is>
      </c>
      <c r="C166" s="12" t="inlineStr">
        <is>
          <t>Actual</t>
        </is>
      </c>
      <c r="D166" s="12" t="inlineStr">
        <is>
          <t>Core</t>
        </is>
      </c>
      <c r="E166" s="27" t="n">
        <v>2480</v>
      </c>
      <c r="F166" s="28" t="inlineStr">
        <is>
          <t>Historical monthly total (pre per-category / per-tier tracking)</t>
        </is>
      </c>
      <c r="G166" s="28">
        <f>IF(IFERROR(INDEX(Categories!$C$2:$C$200,MATCH(B166,Categories!$A$2:$A$200,0)),"N")="Y",E166,0)</f>
        <v/>
      </c>
    </row>
    <row r="167">
      <c r="A167" s="26" t="n">
        <v>40909</v>
      </c>
      <c r="B167" s="12" t="inlineStr">
        <is>
          <t>Interest</t>
        </is>
      </c>
      <c r="C167" s="12" t="inlineStr">
        <is>
          <t>Income</t>
        </is>
      </c>
      <c r="D167" s="12" t="inlineStr">
        <is>
          <t>—</t>
        </is>
      </c>
      <c r="E167" s="27" t="n">
        <v>20</v>
      </c>
      <c r="G167" s="28">
        <f>IF(IFERROR(INDEX(Categories!$C$2:$C$200,MATCH(B167,Categories!$A$2:$A$200,0)),"N")="Y",E167,0)</f>
        <v/>
      </c>
    </row>
    <row r="168">
      <c r="A168" s="26" t="n">
        <v>40909</v>
      </c>
      <c r="B168" s="12" t="inlineStr">
        <is>
          <t>Salary</t>
        </is>
      </c>
      <c r="C168" s="12" t="inlineStr">
        <is>
          <t>Income</t>
        </is>
      </c>
      <c r="D168" s="12" t="inlineStr">
        <is>
          <t>—</t>
        </is>
      </c>
      <c r="E168" s="27" t="n">
        <v>3720</v>
      </c>
      <c r="G168" s="28">
        <f>IF(IFERROR(INDEX(Categories!$C$2:$C$200,MATCH(B168,Categories!$A$2:$A$200,0)),"N")="Y",E168,0)</f>
        <v/>
      </c>
    </row>
    <row r="169">
      <c r="A169" s="26" t="n">
        <v>40909</v>
      </c>
      <c r="B169" s="12" t="inlineStr">
        <is>
          <t>Uncategorised</t>
        </is>
      </c>
      <c r="C169" s="12" t="inlineStr">
        <is>
          <t>Actual</t>
        </is>
      </c>
      <c r="D169" s="12" t="inlineStr">
        <is>
          <t>Core</t>
        </is>
      </c>
      <c r="E169" s="27" t="n">
        <v>2680</v>
      </c>
      <c r="F169" s="28" t="inlineStr">
        <is>
          <t>Historical monthly total (pre per-category / per-tier tracking)</t>
        </is>
      </c>
      <c r="G169" s="28">
        <f>IF(IFERROR(INDEX(Categories!$C$2:$C$200,MATCH(B169,Categories!$A$2:$A$200,0)),"N")="Y",E169,0)</f>
        <v/>
      </c>
    </row>
    <row r="170">
      <c r="A170" s="26" t="n">
        <v>40940</v>
      </c>
      <c r="B170" s="12" t="inlineStr">
        <is>
          <t>Interest</t>
        </is>
      </c>
      <c r="C170" s="12" t="inlineStr">
        <is>
          <t>Income</t>
        </is>
      </c>
      <c r="D170" s="12" t="inlineStr">
        <is>
          <t>—</t>
        </is>
      </c>
      <c r="E170" s="27" t="n">
        <v>20</v>
      </c>
      <c r="G170" s="28">
        <f>IF(IFERROR(INDEX(Categories!$C$2:$C$200,MATCH(B170,Categories!$A$2:$A$200,0)),"N")="Y",E170,0)</f>
        <v/>
      </c>
    </row>
    <row r="171">
      <c r="A171" s="26" t="n">
        <v>40940</v>
      </c>
      <c r="B171" s="12" t="inlineStr">
        <is>
          <t>Salary</t>
        </is>
      </c>
      <c r="C171" s="12" t="inlineStr">
        <is>
          <t>Income</t>
        </is>
      </c>
      <c r="D171" s="12" t="inlineStr">
        <is>
          <t>—</t>
        </is>
      </c>
      <c r="E171" s="27" t="n">
        <v>3770</v>
      </c>
      <c r="G171" s="28">
        <f>IF(IFERROR(INDEX(Categories!$C$2:$C$200,MATCH(B171,Categories!$A$2:$A$200,0)),"N")="Y",E171,0)</f>
        <v/>
      </c>
    </row>
    <row r="172">
      <c r="A172" s="26" t="n">
        <v>40940</v>
      </c>
      <c r="B172" s="12" t="inlineStr">
        <is>
          <t>Uncategorised</t>
        </is>
      </c>
      <c r="C172" s="12" t="inlineStr">
        <is>
          <t>Actual</t>
        </is>
      </c>
      <c r="D172" s="12" t="inlineStr">
        <is>
          <t>Core</t>
        </is>
      </c>
      <c r="E172" s="27" t="n">
        <v>2800</v>
      </c>
      <c r="F172" s="28" t="inlineStr">
        <is>
          <t>Historical monthly total (pre per-category / per-tier tracking)</t>
        </is>
      </c>
      <c r="G172" s="28">
        <f>IF(IFERROR(INDEX(Categories!$C$2:$C$200,MATCH(B172,Categories!$A$2:$A$200,0)),"N")="Y",E172,0)</f>
        <v/>
      </c>
    </row>
    <row r="173">
      <c r="A173" s="26" t="n">
        <v>40969</v>
      </c>
      <c r="B173" s="12" t="inlineStr">
        <is>
          <t>Dividends</t>
        </is>
      </c>
      <c r="C173" s="12" t="inlineStr">
        <is>
          <t>Income</t>
        </is>
      </c>
      <c r="D173" s="12" t="inlineStr">
        <is>
          <t>—</t>
        </is>
      </c>
      <c r="E173" s="27" t="n">
        <v>150</v>
      </c>
      <c r="G173" s="28">
        <f>IF(IFERROR(INDEX(Categories!$C$2:$C$200,MATCH(B173,Categories!$A$2:$A$200,0)),"N")="Y",E173,0)</f>
        <v/>
      </c>
    </row>
    <row r="174">
      <c r="A174" s="26" t="n">
        <v>40969</v>
      </c>
      <c r="B174" s="12" t="inlineStr">
        <is>
          <t>Interest</t>
        </is>
      </c>
      <c r="C174" s="12" t="inlineStr">
        <is>
          <t>Income</t>
        </is>
      </c>
      <c r="D174" s="12" t="inlineStr">
        <is>
          <t>—</t>
        </is>
      </c>
      <c r="E174" s="27" t="n">
        <v>20</v>
      </c>
      <c r="G174" s="28">
        <f>IF(IFERROR(INDEX(Categories!$C$2:$C$200,MATCH(B174,Categories!$A$2:$A$200,0)),"N")="Y",E174,0)</f>
        <v/>
      </c>
    </row>
    <row r="175">
      <c r="A175" s="26" t="n">
        <v>40969</v>
      </c>
      <c r="B175" s="12" t="inlineStr">
        <is>
          <t>Salary</t>
        </is>
      </c>
      <c r="C175" s="12" t="inlineStr">
        <is>
          <t>Income</t>
        </is>
      </c>
      <c r="D175" s="12" t="inlineStr">
        <is>
          <t>—</t>
        </is>
      </c>
      <c r="E175" s="27" t="n">
        <v>3820</v>
      </c>
      <c r="G175" s="28">
        <f>IF(IFERROR(INDEX(Categories!$C$2:$C$200,MATCH(B175,Categories!$A$2:$A$200,0)),"N")="Y",E175,0)</f>
        <v/>
      </c>
    </row>
    <row r="176">
      <c r="A176" s="26" t="n">
        <v>40969</v>
      </c>
      <c r="B176" s="12" t="inlineStr">
        <is>
          <t>Uncategorised</t>
        </is>
      </c>
      <c r="C176" s="12" t="inlineStr">
        <is>
          <t>Actual</t>
        </is>
      </c>
      <c r="D176" s="12" t="inlineStr">
        <is>
          <t>Core</t>
        </is>
      </c>
      <c r="E176" s="27" t="n">
        <v>2320</v>
      </c>
      <c r="F176" s="28" t="inlineStr">
        <is>
          <t>Historical monthly total (pre per-category / per-tier tracking)</t>
        </is>
      </c>
      <c r="G176" s="28">
        <f>IF(IFERROR(INDEX(Categories!$C$2:$C$200,MATCH(B176,Categories!$A$2:$A$200,0)),"N")="Y",E176,0)</f>
        <v/>
      </c>
    </row>
    <row r="177">
      <c r="A177" s="26" t="n">
        <v>41000</v>
      </c>
      <c r="B177" s="12" t="inlineStr">
        <is>
          <t>Interest</t>
        </is>
      </c>
      <c r="C177" s="12" t="inlineStr">
        <is>
          <t>Income</t>
        </is>
      </c>
      <c r="D177" s="12" t="inlineStr">
        <is>
          <t>—</t>
        </is>
      </c>
      <c r="E177" s="27" t="n">
        <v>20</v>
      </c>
      <c r="G177" s="28">
        <f>IF(IFERROR(INDEX(Categories!$C$2:$C$200,MATCH(B177,Categories!$A$2:$A$200,0)),"N")="Y",E177,0)</f>
        <v/>
      </c>
    </row>
    <row r="178">
      <c r="A178" s="26" t="n">
        <v>41000</v>
      </c>
      <c r="B178" s="12" t="inlineStr">
        <is>
          <t>Salary</t>
        </is>
      </c>
      <c r="C178" s="12" t="inlineStr">
        <is>
          <t>Income</t>
        </is>
      </c>
      <c r="D178" s="12" t="inlineStr">
        <is>
          <t>—</t>
        </is>
      </c>
      <c r="E178" s="27" t="n">
        <v>3870</v>
      </c>
      <c r="G178" s="28">
        <f>IF(IFERROR(INDEX(Categories!$C$2:$C$200,MATCH(B178,Categories!$A$2:$A$200,0)),"N")="Y",E178,0)</f>
        <v/>
      </c>
    </row>
    <row r="179">
      <c r="A179" s="26" t="n">
        <v>41000</v>
      </c>
      <c r="B179" s="12" t="inlineStr">
        <is>
          <t>Uncategorised</t>
        </is>
      </c>
      <c r="C179" s="12" t="inlineStr">
        <is>
          <t>Actual</t>
        </is>
      </c>
      <c r="D179" s="12" t="inlineStr">
        <is>
          <t>Core</t>
        </is>
      </c>
      <c r="E179" s="27" t="n">
        <v>2440</v>
      </c>
      <c r="F179" s="28" t="inlineStr">
        <is>
          <t>Historical monthly total (pre per-category / per-tier tracking)</t>
        </is>
      </c>
      <c r="G179" s="28">
        <f>IF(IFERROR(INDEX(Categories!$C$2:$C$200,MATCH(B179,Categories!$A$2:$A$200,0)),"N")="Y",E179,0)</f>
        <v/>
      </c>
    </row>
    <row r="180">
      <c r="A180" s="26" t="n">
        <v>41030</v>
      </c>
      <c r="B180" s="12" t="inlineStr">
        <is>
          <t>Interest</t>
        </is>
      </c>
      <c r="C180" s="12" t="inlineStr">
        <is>
          <t>Income</t>
        </is>
      </c>
      <c r="D180" s="12" t="inlineStr">
        <is>
          <t>—</t>
        </is>
      </c>
      <c r="E180" s="27" t="n">
        <v>20</v>
      </c>
      <c r="G180" s="28">
        <f>IF(IFERROR(INDEX(Categories!$C$2:$C$200,MATCH(B180,Categories!$A$2:$A$200,0)),"N")="Y",E180,0)</f>
        <v/>
      </c>
    </row>
    <row r="181">
      <c r="A181" s="26" t="n">
        <v>41030</v>
      </c>
      <c r="B181" s="12" t="inlineStr">
        <is>
          <t>Salary</t>
        </is>
      </c>
      <c r="C181" s="12" t="inlineStr">
        <is>
          <t>Income</t>
        </is>
      </c>
      <c r="D181" s="12" t="inlineStr">
        <is>
          <t>—</t>
        </is>
      </c>
      <c r="E181" s="27" t="n">
        <v>3920</v>
      </c>
      <c r="G181" s="28">
        <f>IF(IFERROR(INDEX(Categories!$C$2:$C$200,MATCH(B181,Categories!$A$2:$A$200,0)),"N")="Y",E181,0)</f>
        <v/>
      </c>
    </row>
    <row r="182">
      <c r="A182" s="26" t="n">
        <v>41030</v>
      </c>
      <c r="B182" s="12" t="inlineStr">
        <is>
          <t>Uncategorised</t>
        </is>
      </c>
      <c r="C182" s="12" t="inlineStr">
        <is>
          <t>Actual</t>
        </is>
      </c>
      <c r="D182" s="12" t="inlineStr">
        <is>
          <t>Core</t>
        </is>
      </c>
      <c r="E182" s="27" t="n">
        <v>2560</v>
      </c>
      <c r="F182" s="28" t="inlineStr">
        <is>
          <t>Historical monthly total (pre per-category / per-tier tracking)</t>
        </is>
      </c>
      <c r="G182" s="28">
        <f>IF(IFERROR(INDEX(Categories!$C$2:$C$200,MATCH(B182,Categories!$A$2:$A$200,0)),"N")="Y",E182,0)</f>
        <v/>
      </c>
    </row>
    <row r="183">
      <c r="A183" s="26" t="n">
        <v>41061</v>
      </c>
      <c r="B183" s="12" t="inlineStr">
        <is>
          <t>Dividends</t>
        </is>
      </c>
      <c r="C183" s="12" t="inlineStr">
        <is>
          <t>Income</t>
        </is>
      </c>
      <c r="D183" s="12" t="inlineStr">
        <is>
          <t>—</t>
        </is>
      </c>
      <c r="E183" s="27" t="n">
        <v>150</v>
      </c>
      <c r="G183" s="28">
        <f>IF(IFERROR(INDEX(Categories!$C$2:$C$200,MATCH(B183,Categories!$A$2:$A$200,0)),"N")="Y",E183,0)</f>
        <v/>
      </c>
    </row>
    <row r="184">
      <c r="A184" s="26" t="n">
        <v>41061</v>
      </c>
      <c r="B184" s="12" t="inlineStr">
        <is>
          <t>Interest</t>
        </is>
      </c>
      <c r="C184" s="12" t="inlineStr">
        <is>
          <t>Income</t>
        </is>
      </c>
      <c r="D184" s="12" t="inlineStr">
        <is>
          <t>—</t>
        </is>
      </c>
      <c r="E184" s="27" t="n">
        <v>20</v>
      </c>
      <c r="G184" s="28">
        <f>IF(IFERROR(INDEX(Categories!$C$2:$C$200,MATCH(B184,Categories!$A$2:$A$200,0)),"N")="Y",E184,0)</f>
        <v/>
      </c>
    </row>
    <row r="185">
      <c r="A185" s="26" t="n">
        <v>41061</v>
      </c>
      <c r="B185" s="12" t="inlineStr">
        <is>
          <t>Salary</t>
        </is>
      </c>
      <c r="C185" s="12" t="inlineStr">
        <is>
          <t>Income</t>
        </is>
      </c>
      <c r="D185" s="12" t="inlineStr">
        <is>
          <t>—</t>
        </is>
      </c>
      <c r="E185" s="27" t="n">
        <v>3970</v>
      </c>
      <c r="G185" s="28">
        <f>IF(IFERROR(INDEX(Categories!$C$2:$C$200,MATCH(B185,Categories!$A$2:$A$200,0)),"N")="Y",E185,0)</f>
        <v/>
      </c>
    </row>
    <row r="186">
      <c r="A186" s="26" t="n">
        <v>41061</v>
      </c>
      <c r="B186" s="12" t="inlineStr">
        <is>
          <t>Uncategorised</t>
        </is>
      </c>
      <c r="C186" s="12" t="inlineStr">
        <is>
          <t>Actual</t>
        </is>
      </c>
      <c r="D186" s="12" t="inlineStr">
        <is>
          <t>Core</t>
        </is>
      </c>
      <c r="E186" s="27" t="n">
        <v>2680</v>
      </c>
      <c r="F186" s="28" t="inlineStr">
        <is>
          <t>Historical monthly total (pre per-category / per-tier tracking)</t>
        </is>
      </c>
      <c r="G186" s="28">
        <f>IF(IFERROR(INDEX(Categories!$C$2:$C$200,MATCH(B186,Categories!$A$2:$A$200,0)),"N")="Y",E186,0)</f>
        <v/>
      </c>
    </row>
    <row r="187">
      <c r="A187" s="26" t="n">
        <v>41091</v>
      </c>
      <c r="B187" s="12" t="inlineStr">
        <is>
          <t>Interest</t>
        </is>
      </c>
      <c r="C187" s="12" t="inlineStr">
        <is>
          <t>Income</t>
        </is>
      </c>
      <c r="D187" s="12" t="inlineStr">
        <is>
          <t>—</t>
        </is>
      </c>
      <c r="E187" s="27" t="n">
        <v>20</v>
      </c>
      <c r="G187" s="28">
        <f>IF(IFERROR(INDEX(Categories!$C$2:$C$200,MATCH(B187,Categories!$A$2:$A$200,0)),"N")="Y",E187,0)</f>
        <v/>
      </c>
    </row>
    <row r="188">
      <c r="A188" s="26" t="n">
        <v>41091</v>
      </c>
      <c r="B188" s="12" t="inlineStr">
        <is>
          <t>Salary</t>
        </is>
      </c>
      <c r="C188" s="12" t="inlineStr">
        <is>
          <t>Income</t>
        </is>
      </c>
      <c r="D188" s="12" t="inlineStr">
        <is>
          <t>—</t>
        </is>
      </c>
      <c r="E188" s="27" t="n">
        <v>3720</v>
      </c>
      <c r="G188" s="28">
        <f>IF(IFERROR(INDEX(Categories!$C$2:$C$200,MATCH(B188,Categories!$A$2:$A$200,0)),"N")="Y",E188,0)</f>
        <v/>
      </c>
    </row>
    <row r="189">
      <c r="A189" s="26" t="n">
        <v>41091</v>
      </c>
      <c r="B189" s="12" t="inlineStr">
        <is>
          <t>Uncategorised</t>
        </is>
      </c>
      <c r="C189" s="12" t="inlineStr">
        <is>
          <t>Actual</t>
        </is>
      </c>
      <c r="D189" s="12" t="inlineStr">
        <is>
          <t>Core</t>
        </is>
      </c>
      <c r="E189" s="27" t="n">
        <v>2800</v>
      </c>
      <c r="F189" s="28" t="inlineStr">
        <is>
          <t>Historical monthly total (pre per-category / per-tier tracking)</t>
        </is>
      </c>
      <c r="G189" s="28">
        <f>IF(IFERROR(INDEX(Categories!$C$2:$C$200,MATCH(B189,Categories!$A$2:$A$200,0)),"N")="Y",E189,0)</f>
        <v/>
      </c>
    </row>
    <row r="190">
      <c r="A190" s="26" t="n">
        <v>41122</v>
      </c>
      <c r="B190" s="12" t="inlineStr">
        <is>
          <t>Interest</t>
        </is>
      </c>
      <c r="C190" s="12" t="inlineStr">
        <is>
          <t>Income</t>
        </is>
      </c>
      <c r="D190" s="12" t="inlineStr">
        <is>
          <t>—</t>
        </is>
      </c>
      <c r="E190" s="27" t="n">
        <v>20</v>
      </c>
      <c r="G190" s="28">
        <f>IF(IFERROR(INDEX(Categories!$C$2:$C$200,MATCH(B190,Categories!$A$2:$A$200,0)),"N")="Y",E190,0)</f>
        <v/>
      </c>
    </row>
    <row r="191">
      <c r="A191" s="26" t="n">
        <v>41122</v>
      </c>
      <c r="B191" s="12" t="inlineStr">
        <is>
          <t>Salary</t>
        </is>
      </c>
      <c r="C191" s="12" t="inlineStr">
        <is>
          <t>Income</t>
        </is>
      </c>
      <c r="D191" s="12" t="inlineStr">
        <is>
          <t>—</t>
        </is>
      </c>
      <c r="E191" s="27" t="n">
        <v>3770</v>
      </c>
      <c r="G191" s="28">
        <f>IF(IFERROR(INDEX(Categories!$C$2:$C$200,MATCH(B191,Categories!$A$2:$A$200,0)),"N")="Y",E191,0)</f>
        <v/>
      </c>
    </row>
    <row r="192">
      <c r="A192" s="26" t="n">
        <v>41122</v>
      </c>
      <c r="B192" s="12" t="inlineStr">
        <is>
          <t>Uncategorised</t>
        </is>
      </c>
      <c r="C192" s="12" t="inlineStr">
        <is>
          <t>Actual</t>
        </is>
      </c>
      <c r="D192" s="12" t="inlineStr">
        <is>
          <t>Core</t>
        </is>
      </c>
      <c r="E192" s="27" t="n">
        <v>2320</v>
      </c>
      <c r="F192" s="28" t="inlineStr">
        <is>
          <t>Historical monthly total (pre per-category / per-tier tracking)</t>
        </is>
      </c>
      <c r="G192" s="28">
        <f>IF(IFERROR(INDEX(Categories!$C$2:$C$200,MATCH(B192,Categories!$A$2:$A$200,0)),"N")="Y",E192,0)</f>
        <v/>
      </c>
    </row>
    <row r="193">
      <c r="A193" s="26" t="n">
        <v>41153</v>
      </c>
      <c r="B193" s="12" t="inlineStr">
        <is>
          <t>Dividends</t>
        </is>
      </c>
      <c r="C193" s="12" t="inlineStr">
        <is>
          <t>Income</t>
        </is>
      </c>
      <c r="D193" s="12" t="inlineStr">
        <is>
          <t>—</t>
        </is>
      </c>
      <c r="E193" s="27" t="n">
        <v>150</v>
      </c>
      <c r="G193" s="28">
        <f>IF(IFERROR(INDEX(Categories!$C$2:$C$200,MATCH(B193,Categories!$A$2:$A$200,0)),"N")="Y",E193,0)</f>
        <v/>
      </c>
    </row>
    <row r="194">
      <c r="A194" s="26" t="n">
        <v>41153</v>
      </c>
      <c r="B194" s="12" t="inlineStr">
        <is>
          <t>Interest</t>
        </is>
      </c>
      <c r="C194" s="12" t="inlineStr">
        <is>
          <t>Income</t>
        </is>
      </c>
      <c r="D194" s="12" t="inlineStr">
        <is>
          <t>—</t>
        </is>
      </c>
      <c r="E194" s="27" t="n">
        <v>20</v>
      </c>
      <c r="G194" s="28">
        <f>IF(IFERROR(INDEX(Categories!$C$2:$C$200,MATCH(B194,Categories!$A$2:$A$200,0)),"N")="Y",E194,0)</f>
        <v/>
      </c>
    </row>
    <row r="195">
      <c r="A195" s="26" t="n">
        <v>41153</v>
      </c>
      <c r="B195" s="12" t="inlineStr">
        <is>
          <t>Salary</t>
        </is>
      </c>
      <c r="C195" s="12" t="inlineStr">
        <is>
          <t>Income</t>
        </is>
      </c>
      <c r="D195" s="12" t="inlineStr">
        <is>
          <t>—</t>
        </is>
      </c>
      <c r="E195" s="27" t="n">
        <v>3820</v>
      </c>
      <c r="G195" s="28">
        <f>IF(IFERROR(INDEX(Categories!$C$2:$C$200,MATCH(B195,Categories!$A$2:$A$200,0)),"N")="Y",E195,0)</f>
        <v/>
      </c>
    </row>
    <row r="196">
      <c r="A196" s="26" t="n">
        <v>41153</v>
      </c>
      <c r="B196" s="12" t="inlineStr">
        <is>
          <t>Uncategorised</t>
        </is>
      </c>
      <c r="C196" s="12" t="inlineStr">
        <is>
          <t>Actual</t>
        </is>
      </c>
      <c r="D196" s="12" t="inlineStr">
        <is>
          <t>Core</t>
        </is>
      </c>
      <c r="E196" s="27" t="n">
        <v>2440</v>
      </c>
      <c r="F196" s="28" t="inlineStr">
        <is>
          <t>Historical monthly total (pre per-category / per-tier tracking)</t>
        </is>
      </c>
      <c r="G196" s="28">
        <f>IF(IFERROR(INDEX(Categories!$C$2:$C$200,MATCH(B196,Categories!$A$2:$A$200,0)),"N")="Y",E196,0)</f>
        <v/>
      </c>
    </row>
    <row r="197">
      <c r="A197" s="26" t="n">
        <v>41183</v>
      </c>
      <c r="B197" s="12" t="inlineStr">
        <is>
          <t>Interest</t>
        </is>
      </c>
      <c r="C197" s="12" t="inlineStr">
        <is>
          <t>Income</t>
        </is>
      </c>
      <c r="D197" s="12" t="inlineStr">
        <is>
          <t>—</t>
        </is>
      </c>
      <c r="E197" s="27" t="n">
        <v>20</v>
      </c>
      <c r="G197" s="28">
        <f>IF(IFERROR(INDEX(Categories!$C$2:$C$200,MATCH(B197,Categories!$A$2:$A$200,0)),"N")="Y",E197,0)</f>
        <v/>
      </c>
    </row>
    <row r="198">
      <c r="A198" s="26" t="n">
        <v>41183</v>
      </c>
      <c r="B198" s="12" t="inlineStr">
        <is>
          <t>Salary</t>
        </is>
      </c>
      <c r="C198" s="12" t="inlineStr">
        <is>
          <t>Income</t>
        </is>
      </c>
      <c r="D198" s="12" t="inlineStr">
        <is>
          <t>—</t>
        </is>
      </c>
      <c r="E198" s="27" t="n">
        <v>3870</v>
      </c>
      <c r="G198" s="28">
        <f>IF(IFERROR(INDEX(Categories!$C$2:$C$200,MATCH(B198,Categories!$A$2:$A$200,0)),"N")="Y",E198,0)</f>
        <v/>
      </c>
    </row>
    <row r="199">
      <c r="A199" s="26" t="n">
        <v>41183</v>
      </c>
      <c r="B199" s="12" t="inlineStr">
        <is>
          <t>Uncategorised</t>
        </is>
      </c>
      <c r="C199" s="12" t="inlineStr">
        <is>
          <t>Actual</t>
        </is>
      </c>
      <c r="D199" s="12" t="inlineStr">
        <is>
          <t>Core</t>
        </is>
      </c>
      <c r="E199" s="27" t="n">
        <v>2560</v>
      </c>
      <c r="F199" s="28" t="inlineStr">
        <is>
          <t>Historical monthly total (pre per-category / per-tier tracking)</t>
        </is>
      </c>
      <c r="G199" s="28">
        <f>IF(IFERROR(INDEX(Categories!$C$2:$C$200,MATCH(B199,Categories!$A$2:$A$200,0)),"N")="Y",E199,0)</f>
        <v/>
      </c>
    </row>
    <row r="200">
      <c r="A200" s="26" t="n">
        <v>41214</v>
      </c>
      <c r="B200" s="12" t="inlineStr">
        <is>
          <t>Interest</t>
        </is>
      </c>
      <c r="C200" s="12" t="inlineStr">
        <is>
          <t>Income</t>
        </is>
      </c>
      <c r="D200" s="12" t="inlineStr">
        <is>
          <t>—</t>
        </is>
      </c>
      <c r="E200" s="27" t="n">
        <v>20</v>
      </c>
      <c r="G200" s="28">
        <f>IF(IFERROR(INDEX(Categories!$C$2:$C$200,MATCH(B200,Categories!$A$2:$A$200,0)),"N")="Y",E200,0)</f>
        <v/>
      </c>
    </row>
    <row r="201">
      <c r="A201" s="26" t="n">
        <v>41214</v>
      </c>
      <c r="B201" s="12" t="inlineStr">
        <is>
          <t>Salary</t>
        </is>
      </c>
      <c r="C201" s="12" t="inlineStr">
        <is>
          <t>Income</t>
        </is>
      </c>
      <c r="D201" s="12" t="inlineStr">
        <is>
          <t>—</t>
        </is>
      </c>
      <c r="E201" s="27" t="n">
        <v>3920</v>
      </c>
      <c r="G201" s="28">
        <f>IF(IFERROR(INDEX(Categories!$C$2:$C$200,MATCH(B201,Categories!$A$2:$A$200,0)),"N")="Y",E201,0)</f>
        <v/>
      </c>
    </row>
    <row r="202">
      <c r="A202" s="26" t="n">
        <v>41214</v>
      </c>
      <c r="B202" s="12" t="inlineStr">
        <is>
          <t>Uncategorised</t>
        </is>
      </c>
      <c r="C202" s="12" t="inlineStr">
        <is>
          <t>Actual</t>
        </is>
      </c>
      <c r="D202" s="12" t="inlineStr">
        <is>
          <t>Core</t>
        </is>
      </c>
      <c r="E202" s="27" t="n">
        <v>2680</v>
      </c>
      <c r="F202" s="28" t="inlineStr">
        <is>
          <t>Historical monthly total (pre per-category / per-tier tracking)</t>
        </is>
      </c>
      <c r="G202" s="28">
        <f>IF(IFERROR(INDEX(Categories!$C$2:$C$200,MATCH(B202,Categories!$A$2:$A$200,0)),"N")="Y",E202,0)</f>
        <v/>
      </c>
    </row>
    <row r="203">
      <c r="A203" s="26" t="n">
        <v>41244</v>
      </c>
      <c r="B203" s="12" t="inlineStr">
        <is>
          <t>Bonus/Claims</t>
        </is>
      </c>
      <c r="C203" s="12" t="inlineStr">
        <is>
          <t>Income</t>
        </is>
      </c>
      <c r="D203" s="12" t="inlineStr">
        <is>
          <t>—</t>
        </is>
      </c>
      <c r="E203" s="27" t="n">
        <v>3970</v>
      </c>
      <c r="G203" s="28">
        <f>IF(IFERROR(INDEX(Categories!$C$2:$C$200,MATCH(B203,Categories!$A$2:$A$200,0)),"N")="Y",E203,0)</f>
        <v/>
      </c>
    </row>
    <row r="204">
      <c r="A204" s="26" t="n">
        <v>41244</v>
      </c>
      <c r="B204" s="12" t="inlineStr">
        <is>
          <t>Dividends</t>
        </is>
      </c>
      <c r="C204" s="12" t="inlineStr">
        <is>
          <t>Income</t>
        </is>
      </c>
      <c r="D204" s="12" t="inlineStr">
        <is>
          <t>—</t>
        </is>
      </c>
      <c r="E204" s="27" t="n">
        <v>150</v>
      </c>
      <c r="G204" s="28">
        <f>IF(IFERROR(INDEX(Categories!$C$2:$C$200,MATCH(B204,Categories!$A$2:$A$200,0)),"N")="Y",E204,0)</f>
        <v/>
      </c>
    </row>
    <row r="205">
      <c r="A205" s="26" t="n">
        <v>41244</v>
      </c>
      <c r="B205" s="12" t="inlineStr">
        <is>
          <t>Interest</t>
        </is>
      </c>
      <c r="C205" s="12" t="inlineStr">
        <is>
          <t>Income</t>
        </is>
      </c>
      <c r="D205" s="12" t="inlineStr">
        <is>
          <t>—</t>
        </is>
      </c>
      <c r="E205" s="27" t="n">
        <v>20</v>
      </c>
      <c r="G205" s="28">
        <f>IF(IFERROR(INDEX(Categories!$C$2:$C$200,MATCH(B205,Categories!$A$2:$A$200,0)),"N")="Y",E205,0)</f>
        <v/>
      </c>
    </row>
    <row r="206">
      <c r="A206" s="26" t="n">
        <v>41244</v>
      </c>
      <c r="B206" s="12" t="inlineStr">
        <is>
          <t>Salary</t>
        </is>
      </c>
      <c r="C206" s="12" t="inlineStr">
        <is>
          <t>Income</t>
        </is>
      </c>
      <c r="D206" s="12" t="inlineStr">
        <is>
          <t>—</t>
        </is>
      </c>
      <c r="E206" s="27" t="n">
        <v>3970</v>
      </c>
      <c r="G206" s="28">
        <f>IF(IFERROR(INDEX(Categories!$C$2:$C$200,MATCH(B206,Categories!$A$2:$A$200,0)),"N")="Y",E206,0)</f>
        <v/>
      </c>
    </row>
    <row r="207">
      <c r="A207" s="26" t="n">
        <v>41244</v>
      </c>
      <c r="B207" s="12" t="inlineStr">
        <is>
          <t>Uncategorised</t>
        </is>
      </c>
      <c r="C207" s="12" t="inlineStr">
        <is>
          <t>Actual</t>
        </is>
      </c>
      <c r="D207" s="12" t="inlineStr">
        <is>
          <t>Core</t>
        </is>
      </c>
      <c r="E207" s="27" t="n">
        <v>2800</v>
      </c>
      <c r="F207" s="28" t="inlineStr">
        <is>
          <t>Historical monthly total (pre per-category / per-tier tracking)</t>
        </is>
      </c>
      <c r="G207" s="28">
        <f>IF(IFERROR(INDEX(Categories!$C$2:$C$200,MATCH(B207,Categories!$A$2:$A$200,0)),"N")="Y",E207,0)</f>
        <v/>
      </c>
    </row>
    <row r="208">
      <c r="A208" s="26" t="n">
        <v>41275</v>
      </c>
      <c r="B208" s="12" t="inlineStr">
        <is>
          <t>Interest</t>
        </is>
      </c>
      <c r="C208" s="12" t="inlineStr">
        <is>
          <t>Income</t>
        </is>
      </c>
      <c r="D208" s="12" t="inlineStr">
        <is>
          <t>—</t>
        </is>
      </c>
      <c r="E208" s="27" t="n">
        <v>20</v>
      </c>
      <c r="G208" s="28">
        <f>IF(IFERROR(INDEX(Categories!$C$2:$C$200,MATCH(B208,Categories!$A$2:$A$200,0)),"N")="Y",E208,0)</f>
        <v/>
      </c>
    </row>
    <row r="209">
      <c r="A209" s="26" t="n">
        <v>41275</v>
      </c>
      <c r="B209" s="12" t="inlineStr">
        <is>
          <t>Salary</t>
        </is>
      </c>
      <c r="C209" s="12" t="inlineStr">
        <is>
          <t>Income</t>
        </is>
      </c>
      <c r="D209" s="12" t="inlineStr">
        <is>
          <t>—</t>
        </is>
      </c>
      <c r="E209" s="27" t="n">
        <v>3900</v>
      </c>
      <c r="G209" s="28">
        <f>IF(IFERROR(INDEX(Categories!$C$2:$C$200,MATCH(B209,Categories!$A$2:$A$200,0)),"N")="Y",E209,0)</f>
        <v/>
      </c>
    </row>
    <row r="210">
      <c r="A210" s="26" t="n">
        <v>41275</v>
      </c>
      <c r="B210" s="12" t="inlineStr">
        <is>
          <t>Uncategorised</t>
        </is>
      </c>
      <c r="C210" s="12" t="inlineStr">
        <is>
          <t>Actual</t>
        </is>
      </c>
      <c r="D210" s="12" t="inlineStr">
        <is>
          <t>Core</t>
        </is>
      </c>
      <c r="E210" s="27" t="n">
        <v>2400</v>
      </c>
      <c r="F210" s="28" t="inlineStr">
        <is>
          <t>Historical monthly total (pre per-category / per-tier tracking)</t>
        </is>
      </c>
      <c r="G210" s="28">
        <f>IF(IFERROR(INDEX(Categories!$C$2:$C$200,MATCH(B210,Categories!$A$2:$A$200,0)),"N")="Y",E210,0)</f>
        <v/>
      </c>
    </row>
    <row r="211">
      <c r="A211" s="26" t="n">
        <v>41306</v>
      </c>
      <c r="B211" s="12" t="inlineStr">
        <is>
          <t>Interest</t>
        </is>
      </c>
      <c r="C211" s="12" t="inlineStr">
        <is>
          <t>Income</t>
        </is>
      </c>
      <c r="D211" s="12" t="inlineStr">
        <is>
          <t>—</t>
        </is>
      </c>
      <c r="E211" s="27" t="n">
        <v>20</v>
      </c>
      <c r="G211" s="28">
        <f>IF(IFERROR(INDEX(Categories!$C$2:$C$200,MATCH(B211,Categories!$A$2:$A$200,0)),"N")="Y",E211,0)</f>
        <v/>
      </c>
    </row>
    <row r="212">
      <c r="A212" s="26" t="n">
        <v>41306</v>
      </c>
      <c r="B212" s="12" t="inlineStr">
        <is>
          <t>Salary</t>
        </is>
      </c>
      <c r="C212" s="12" t="inlineStr">
        <is>
          <t>Income</t>
        </is>
      </c>
      <c r="D212" s="12" t="inlineStr">
        <is>
          <t>—</t>
        </is>
      </c>
      <c r="E212" s="27" t="n">
        <v>3950</v>
      </c>
      <c r="G212" s="28">
        <f>IF(IFERROR(INDEX(Categories!$C$2:$C$200,MATCH(B212,Categories!$A$2:$A$200,0)),"N")="Y",E212,0)</f>
        <v/>
      </c>
    </row>
    <row r="213">
      <c r="A213" s="26" t="n">
        <v>41306</v>
      </c>
      <c r="B213" s="12" t="inlineStr">
        <is>
          <t>Uncategorised</t>
        </is>
      </c>
      <c r="C213" s="12" t="inlineStr">
        <is>
          <t>Actual</t>
        </is>
      </c>
      <c r="D213" s="12" t="inlineStr">
        <is>
          <t>Core</t>
        </is>
      </c>
      <c r="E213" s="27" t="n">
        <v>2520</v>
      </c>
      <c r="F213" s="28" t="inlineStr">
        <is>
          <t>Historical monthly total (pre per-category / per-tier tracking)</t>
        </is>
      </c>
      <c r="G213" s="28">
        <f>IF(IFERROR(INDEX(Categories!$C$2:$C$200,MATCH(B213,Categories!$A$2:$A$200,0)),"N")="Y",E213,0)</f>
        <v/>
      </c>
    </row>
    <row r="214">
      <c r="A214" s="26" t="n">
        <v>41334</v>
      </c>
      <c r="B214" s="12" t="inlineStr">
        <is>
          <t>Dividends</t>
        </is>
      </c>
      <c r="C214" s="12" t="inlineStr">
        <is>
          <t>Income</t>
        </is>
      </c>
      <c r="D214" s="12" t="inlineStr">
        <is>
          <t>—</t>
        </is>
      </c>
      <c r="E214" s="27" t="n">
        <v>150</v>
      </c>
      <c r="G214" s="28">
        <f>IF(IFERROR(INDEX(Categories!$C$2:$C$200,MATCH(B214,Categories!$A$2:$A$200,0)),"N")="Y",E214,0)</f>
        <v/>
      </c>
    </row>
    <row r="215">
      <c r="A215" s="26" t="n">
        <v>41334</v>
      </c>
      <c r="B215" s="12" t="inlineStr">
        <is>
          <t>Interest</t>
        </is>
      </c>
      <c r="C215" s="12" t="inlineStr">
        <is>
          <t>Income</t>
        </is>
      </c>
      <c r="D215" s="12" t="inlineStr">
        <is>
          <t>—</t>
        </is>
      </c>
      <c r="E215" s="27" t="n">
        <v>20</v>
      </c>
      <c r="G215" s="28">
        <f>IF(IFERROR(INDEX(Categories!$C$2:$C$200,MATCH(B215,Categories!$A$2:$A$200,0)),"N")="Y",E215,0)</f>
        <v/>
      </c>
    </row>
    <row r="216">
      <c r="A216" s="26" t="n">
        <v>41334</v>
      </c>
      <c r="B216" s="12" t="inlineStr">
        <is>
          <t>Salary</t>
        </is>
      </c>
      <c r="C216" s="12" t="inlineStr">
        <is>
          <t>Income</t>
        </is>
      </c>
      <c r="D216" s="12" t="inlineStr">
        <is>
          <t>—</t>
        </is>
      </c>
      <c r="E216" s="27" t="n">
        <v>4000</v>
      </c>
      <c r="G216" s="28">
        <f>IF(IFERROR(INDEX(Categories!$C$2:$C$200,MATCH(B216,Categories!$A$2:$A$200,0)),"N")="Y",E216,0)</f>
        <v/>
      </c>
    </row>
    <row r="217">
      <c r="A217" s="26" t="n">
        <v>41334</v>
      </c>
      <c r="B217" s="12" t="inlineStr">
        <is>
          <t>Uncategorised</t>
        </is>
      </c>
      <c r="C217" s="12" t="inlineStr">
        <is>
          <t>Actual</t>
        </is>
      </c>
      <c r="D217" s="12" t="inlineStr">
        <is>
          <t>Core</t>
        </is>
      </c>
      <c r="E217" s="27" t="n">
        <v>2640</v>
      </c>
      <c r="F217" s="28" t="inlineStr">
        <is>
          <t>Historical monthly total (pre per-category / per-tier tracking)</t>
        </is>
      </c>
      <c r="G217" s="28">
        <f>IF(IFERROR(INDEX(Categories!$C$2:$C$200,MATCH(B217,Categories!$A$2:$A$200,0)),"N")="Y",E217,0)</f>
        <v/>
      </c>
    </row>
    <row r="218">
      <c r="A218" s="26" t="n">
        <v>41365</v>
      </c>
      <c r="B218" s="12" t="inlineStr">
        <is>
          <t>Interest</t>
        </is>
      </c>
      <c r="C218" s="12" t="inlineStr">
        <is>
          <t>Income</t>
        </is>
      </c>
      <c r="D218" s="12" t="inlineStr">
        <is>
          <t>—</t>
        </is>
      </c>
      <c r="E218" s="27" t="n">
        <v>20</v>
      </c>
      <c r="G218" s="28">
        <f>IF(IFERROR(INDEX(Categories!$C$2:$C$200,MATCH(B218,Categories!$A$2:$A$200,0)),"N")="Y",E218,0)</f>
        <v/>
      </c>
    </row>
    <row r="219">
      <c r="A219" s="26" t="n">
        <v>41365</v>
      </c>
      <c r="B219" s="12" t="inlineStr">
        <is>
          <t>Salary</t>
        </is>
      </c>
      <c r="C219" s="12" t="inlineStr">
        <is>
          <t>Income</t>
        </is>
      </c>
      <c r="D219" s="12" t="inlineStr">
        <is>
          <t>—</t>
        </is>
      </c>
      <c r="E219" s="27" t="n">
        <v>4050</v>
      </c>
      <c r="G219" s="28">
        <f>IF(IFERROR(INDEX(Categories!$C$2:$C$200,MATCH(B219,Categories!$A$2:$A$200,0)),"N")="Y",E219,0)</f>
        <v/>
      </c>
    </row>
    <row r="220">
      <c r="A220" s="26" t="n">
        <v>41365</v>
      </c>
      <c r="B220" s="12" t="inlineStr">
        <is>
          <t>Uncategorised</t>
        </is>
      </c>
      <c r="C220" s="12" t="inlineStr">
        <is>
          <t>Actual</t>
        </is>
      </c>
      <c r="D220" s="12" t="inlineStr">
        <is>
          <t>Core</t>
        </is>
      </c>
      <c r="E220" s="27" t="n">
        <v>2760</v>
      </c>
      <c r="F220" s="28" t="inlineStr">
        <is>
          <t>Historical monthly total (pre per-category / per-tier tracking)</t>
        </is>
      </c>
      <c r="G220" s="28">
        <f>IF(IFERROR(INDEX(Categories!$C$2:$C$200,MATCH(B220,Categories!$A$2:$A$200,0)),"N")="Y",E220,0)</f>
        <v/>
      </c>
    </row>
    <row r="221">
      <c r="A221" s="26" t="n">
        <v>41365</v>
      </c>
      <c r="B221" s="12" t="inlineStr">
        <is>
          <t>Investment</t>
        </is>
      </c>
      <c r="C221" s="12" t="inlineStr">
        <is>
          <t>One-off</t>
        </is>
      </c>
      <c r="D221" s="12" t="inlineStr">
        <is>
          <t>Investment</t>
        </is>
      </c>
      <c r="E221" s="27" t="n">
        <v>6000</v>
      </c>
      <c r="F221" s="28" t="inlineStr">
        <is>
          <t>Sample: index-fund top-up</t>
        </is>
      </c>
      <c r="G221" s="28">
        <f>IF(IFERROR(INDEX(Categories!$C$2:$C$200,MATCH(B221,Categories!$A$2:$A$200,0)),"N")="Y",E221,0)</f>
        <v/>
      </c>
    </row>
    <row r="222">
      <c r="A222" s="26" t="n">
        <v>41395</v>
      </c>
      <c r="B222" s="12" t="inlineStr">
        <is>
          <t>Interest</t>
        </is>
      </c>
      <c r="C222" s="12" t="inlineStr">
        <is>
          <t>Income</t>
        </is>
      </c>
      <c r="D222" s="12" t="inlineStr">
        <is>
          <t>—</t>
        </is>
      </c>
      <c r="E222" s="27" t="n">
        <v>20</v>
      </c>
      <c r="G222" s="28">
        <f>IF(IFERROR(INDEX(Categories!$C$2:$C$200,MATCH(B222,Categories!$A$2:$A$200,0)),"N")="Y",E222,0)</f>
        <v/>
      </c>
    </row>
    <row r="223">
      <c r="A223" s="26" t="n">
        <v>41395</v>
      </c>
      <c r="B223" s="12" t="inlineStr">
        <is>
          <t>Salary</t>
        </is>
      </c>
      <c r="C223" s="12" t="inlineStr">
        <is>
          <t>Income</t>
        </is>
      </c>
      <c r="D223" s="12" t="inlineStr">
        <is>
          <t>—</t>
        </is>
      </c>
      <c r="E223" s="27" t="n">
        <v>4100</v>
      </c>
      <c r="G223" s="28">
        <f>IF(IFERROR(INDEX(Categories!$C$2:$C$200,MATCH(B223,Categories!$A$2:$A$200,0)),"N")="Y",E223,0)</f>
        <v/>
      </c>
    </row>
    <row r="224">
      <c r="A224" s="26" t="n">
        <v>41395</v>
      </c>
      <c r="B224" s="12" t="inlineStr">
        <is>
          <t>Uncategorised</t>
        </is>
      </c>
      <c r="C224" s="12" t="inlineStr">
        <is>
          <t>Actual</t>
        </is>
      </c>
      <c r="D224" s="12" t="inlineStr">
        <is>
          <t>Core</t>
        </is>
      </c>
      <c r="E224" s="27" t="n">
        <v>2880</v>
      </c>
      <c r="F224" s="28" t="inlineStr">
        <is>
          <t>Historical monthly total (pre per-category / per-tier tracking)</t>
        </is>
      </c>
      <c r="G224" s="28">
        <f>IF(IFERROR(INDEX(Categories!$C$2:$C$200,MATCH(B224,Categories!$A$2:$A$200,0)),"N")="Y",E224,0)</f>
        <v/>
      </c>
    </row>
    <row r="225">
      <c r="A225" s="26" t="n">
        <v>41426</v>
      </c>
      <c r="B225" s="12" t="inlineStr">
        <is>
          <t>Dividends</t>
        </is>
      </c>
      <c r="C225" s="12" t="inlineStr">
        <is>
          <t>Income</t>
        </is>
      </c>
      <c r="D225" s="12" t="inlineStr">
        <is>
          <t>—</t>
        </is>
      </c>
      <c r="E225" s="27" t="n">
        <v>150</v>
      </c>
      <c r="G225" s="28">
        <f>IF(IFERROR(INDEX(Categories!$C$2:$C$200,MATCH(B225,Categories!$A$2:$A$200,0)),"N")="Y",E225,0)</f>
        <v/>
      </c>
    </row>
    <row r="226">
      <c r="A226" s="26" t="n">
        <v>41426</v>
      </c>
      <c r="B226" s="12" t="inlineStr">
        <is>
          <t>Interest</t>
        </is>
      </c>
      <c r="C226" s="12" t="inlineStr">
        <is>
          <t>Income</t>
        </is>
      </c>
      <c r="D226" s="12" t="inlineStr">
        <is>
          <t>—</t>
        </is>
      </c>
      <c r="E226" s="27" t="n">
        <v>20</v>
      </c>
      <c r="G226" s="28">
        <f>IF(IFERROR(INDEX(Categories!$C$2:$C$200,MATCH(B226,Categories!$A$2:$A$200,0)),"N")="Y",E226,0)</f>
        <v/>
      </c>
    </row>
    <row r="227">
      <c r="A227" s="26" t="n">
        <v>41426</v>
      </c>
      <c r="B227" s="12" t="inlineStr">
        <is>
          <t>Salary</t>
        </is>
      </c>
      <c r="C227" s="12" t="inlineStr">
        <is>
          <t>Income</t>
        </is>
      </c>
      <c r="D227" s="12" t="inlineStr">
        <is>
          <t>—</t>
        </is>
      </c>
      <c r="E227" s="27" t="n">
        <v>4150</v>
      </c>
      <c r="G227" s="28">
        <f>IF(IFERROR(INDEX(Categories!$C$2:$C$200,MATCH(B227,Categories!$A$2:$A$200,0)),"N")="Y",E227,0)</f>
        <v/>
      </c>
    </row>
    <row r="228">
      <c r="A228" s="26" t="n">
        <v>41426</v>
      </c>
      <c r="B228" s="12" t="inlineStr">
        <is>
          <t>Uncategorised</t>
        </is>
      </c>
      <c r="C228" s="12" t="inlineStr">
        <is>
          <t>Actual</t>
        </is>
      </c>
      <c r="D228" s="12" t="inlineStr">
        <is>
          <t>Core</t>
        </is>
      </c>
      <c r="E228" s="27" t="n">
        <v>2400</v>
      </c>
      <c r="F228" s="28" t="inlineStr">
        <is>
          <t>Historical monthly total (pre per-category / per-tier tracking)</t>
        </is>
      </c>
      <c r="G228" s="28">
        <f>IF(IFERROR(INDEX(Categories!$C$2:$C$200,MATCH(B228,Categories!$A$2:$A$200,0)),"N")="Y",E228,0)</f>
        <v/>
      </c>
    </row>
    <row r="229">
      <c r="A229" s="26" t="n">
        <v>41456</v>
      </c>
      <c r="B229" s="12" t="inlineStr">
        <is>
          <t>Interest</t>
        </is>
      </c>
      <c r="C229" s="12" t="inlineStr">
        <is>
          <t>Income</t>
        </is>
      </c>
      <c r="D229" s="12" t="inlineStr">
        <is>
          <t>—</t>
        </is>
      </c>
      <c r="E229" s="27" t="n">
        <v>20</v>
      </c>
      <c r="G229" s="28">
        <f>IF(IFERROR(INDEX(Categories!$C$2:$C$200,MATCH(B229,Categories!$A$2:$A$200,0)),"N")="Y",E229,0)</f>
        <v/>
      </c>
    </row>
    <row r="230">
      <c r="A230" s="26" t="n">
        <v>41456</v>
      </c>
      <c r="B230" s="12" t="inlineStr">
        <is>
          <t>Salary</t>
        </is>
      </c>
      <c r="C230" s="12" t="inlineStr">
        <is>
          <t>Income</t>
        </is>
      </c>
      <c r="D230" s="12" t="inlineStr">
        <is>
          <t>—</t>
        </is>
      </c>
      <c r="E230" s="27" t="n">
        <v>3900</v>
      </c>
      <c r="G230" s="28">
        <f>IF(IFERROR(INDEX(Categories!$C$2:$C$200,MATCH(B230,Categories!$A$2:$A$200,0)),"N")="Y",E230,0)</f>
        <v/>
      </c>
    </row>
    <row r="231">
      <c r="A231" s="26" t="n">
        <v>41456</v>
      </c>
      <c r="B231" s="12" t="inlineStr">
        <is>
          <t>Uncategorised</t>
        </is>
      </c>
      <c r="C231" s="12" t="inlineStr">
        <is>
          <t>Actual</t>
        </is>
      </c>
      <c r="D231" s="12" t="inlineStr">
        <is>
          <t>Core</t>
        </is>
      </c>
      <c r="E231" s="27" t="n">
        <v>2520</v>
      </c>
      <c r="F231" s="28" t="inlineStr">
        <is>
          <t>Historical monthly total (pre per-category / per-tier tracking)</t>
        </is>
      </c>
      <c r="G231" s="28">
        <f>IF(IFERROR(INDEX(Categories!$C$2:$C$200,MATCH(B231,Categories!$A$2:$A$200,0)),"N")="Y",E231,0)</f>
        <v/>
      </c>
    </row>
    <row r="232">
      <c r="A232" s="26" t="n">
        <v>41487</v>
      </c>
      <c r="B232" s="12" t="inlineStr">
        <is>
          <t>Interest</t>
        </is>
      </c>
      <c r="C232" s="12" t="inlineStr">
        <is>
          <t>Income</t>
        </is>
      </c>
      <c r="D232" s="12" t="inlineStr">
        <is>
          <t>—</t>
        </is>
      </c>
      <c r="E232" s="27" t="n">
        <v>20</v>
      </c>
      <c r="G232" s="28">
        <f>IF(IFERROR(INDEX(Categories!$C$2:$C$200,MATCH(B232,Categories!$A$2:$A$200,0)),"N")="Y",E232,0)</f>
        <v/>
      </c>
    </row>
    <row r="233">
      <c r="A233" s="26" t="n">
        <v>41487</v>
      </c>
      <c r="B233" s="12" t="inlineStr">
        <is>
          <t>Salary</t>
        </is>
      </c>
      <c r="C233" s="12" t="inlineStr">
        <is>
          <t>Income</t>
        </is>
      </c>
      <c r="D233" s="12" t="inlineStr">
        <is>
          <t>—</t>
        </is>
      </c>
      <c r="E233" s="27" t="n">
        <v>3950</v>
      </c>
      <c r="G233" s="28">
        <f>IF(IFERROR(INDEX(Categories!$C$2:$C$200,MATCH(B233,Categories!$A$2:$A$200,0)),"N")="Y",E233,0)</f>
        <v/>
      </c>
    </row>
    <row r="234">
      <c r="A234" s="26" t="n">
        <v>41487</v>
      </c>
      <c r="B234" s="12" t="inlineStr">
        <is>
          <t>Uncategorised</t>
        </is>
      </c>
      <c r="C234" s="12" t="inlineStr">
        <is>
          <t>Actual</t>
        </is>
      </c>
      <c r="D234" s="12" t="inlineStr">
        <is>
          <t>Core</t>
        </is>
      </c>
      <c r="E234" s="27" t="n">
        <v>2640</v>
      </c>
      <c r="F234" s="28" t="inlineStr">
        <is>
          <t>Historical monthly total (pre per-category / per-tier tracking)</t>
        </is>
      </c>
      <c r="G234" s="28">
        <f>IF(IFERROR(INDEX(Categories!$C$2:$C$200,MATCH(B234,Categories!$A$2:$A$200,0)),"N")="Y",E234,0)</f>
        <v/>
      </c>
    </row>
    <row r="235">
      <c r="A235" s="26" t="n">
        <v>41518</v>
      </c>
      <c r="B235" s="12" t="inlineStr">
        <is>
          <t>Dividends</t>
        </is>
      </c>
      <c r="C235" s="12" t="inlineStr">
        <is>
          <t>Income</t>
        </is>
      </c>
      <c r="D235" s="12" t="inlineStr">
        <is>
          <t>—</t>
        </is>
      </c>
      <c r="E235" s="27" t="n">
        <v>150</v>
      </c>
      <c r="G235" s="28">
        <f>IF(IFERROR(INDEX(Categories!$C$2:$C$200,MATCH(B235,Categories!$A$2:$A$200,0)),"N")="Y",E235,0)</f>
        <v/>
      </c>
    </row>
    <row r="236">
      <c r="A236" s="26" t="n">
        <v>41518</v>
      </c>
      <c r="B236" s="12" t="inlineStr">
        <is>
          <t>Interest</t>
        </is>
      </c>
      <c r="C236" s="12" t="inlineStr">
        <is>
          <t>Income</t>
        </is>
      </c>
      <c r="D236" s="12" t="inlineStr">
        <is>
          <t>—</t>
        </is>
      </c>
      <c r="E236" s="27" t="n">
        <v>20</v>
      </c>
      <c r="G236" s="28">
        <f>IF(IFERROR(INDEX(Categories!$C$2:$C$200,MATCH(B236,Categories!$A$2:$A$200,0)),"N")="Y",E236,0)</f>
        <v/>
      </c>
    </row>
    <row r="237">
      <c r="A237" s="26" t="n">
        <v>41518</v>
      </c>
      <c r="B237" s="12" t="inlineStr">
        <is>
          <t>Salary</t>
        </is>
      </c>
      <c r="C237" s="12" t="inlineStr">
        <is>
          <t>Income</t>
        </is>
      </c>
      <c r="D237" s="12" t="inlineStr">
        <is>
          <t>—</t>
        </is>
      </c>
      <c r="E237" s="27" t="n">
        <v>4000</v>
      </c>
      <c r="G237" s="28">
        <f>IF(IFERROR(INDEX(Categories!$C$2:$C$200,MATCH(B237,Categories!$A$2:$A$200,0)),"N")="Y",E237,0)</f>
        <v/>
      </c>
    </row>
    <row r="238">
      <c r="A238" s="26" t="n">
        <v>41518</v>
      </c>
      <c r="B238" s="12" t="inlineStr">
        <is>
          <t>Uncategorised</t>
        </is>
      </c>
      <c r="C238" s="12" t="inlineStr">
        <is>
          <t>Actual</t>
        </is>
      </c>
      <c r="D238" s="12" t="inlineStr">
        <is>
          <t>Core</t>
        </is>
      </c>
      <c r="E238" s="27" t="n">
        <v>2760</v>
      </c>
      <c r="F238" s="28" t="inlineStr">
        <is>
          <t>Historical monthly total (pre per-category / per-tier tracking)</t>
        </is>
      </c>
      <c r="G238" s="28">
        <f>IF(IFERROR(INDEX(Categories!$C$2:$C$200,MATCH(B238,Categories!$A$2:$A$200,0)),"N")="Y",E238,0)</f>
        <v/>
      </c>
    </row>
    <row r="239">
      <c r="A239" s="26" t="n">
        <v>41548</v>
      </c>
      <c r="B239" s="12" t="inlineStr">
        <is>
          <t>Interest</t>
        </is>
      </c>
      <c r="C239" s="12" t="inlineStr">
        <is>
          <t>Income</t>
        </is>
      </c>
      <c r="D239" s="12" t="inlineStr">
        <is>
          <t>—</t>
        </is>
      </c>
      <c r="E239" s="27" t="n">
        <v>20</v>
      </c>
      <c r="G239" s="28">
        <f>IF(IFERROR(INDEX(Categories!$C$2:$C$200,MATCH(B239,Categories!$A$2:$A$200,0)),"N")="Y",E239,0)</f>
        <v/>
      </c>
    </row>
    <row r="240">
      <c r="A240" s="26" t="n">
        <v>41548</v>
      </c>
      <c r="B240" s="12" t="inlineStr">
        <is>
          <t>Salary</t>
        </is>
      </c>
      <c r="C240" s="12" t="inlineStr">
        <is>
          <t>Income</t>
        </is>
      </c>
      <c r="D240" s="12" t="inlineStr">
        <is>
          <t>—</t>
        </is>
      </c>
      <c r="E240" s="27" t="n">
        <v>4050</v>
      </c>
      <c r="G240" s="28">
        <f>IF(IFERROR(INDEX(Categories!$C$2:$C$200,MATCH(B240,Categories!$A$2:$A$200,0)),"N")="Y",E240,0)</f>
        <v/>
      </c>
    </row>
    <row r="241">
      <c r="A241" s="26" t="n">
        <v>41548</v>
      </c>
      <c r="B241" s="12" t="inlineStr">
        <is>
          <t>Uncategorised</t>
        </is>
      </c>
      <c r="C241" s="12" t="inlineStr">
        <is>
          <t>Actual</t>
        </is>
      </c>
      <c r="D241" s="12" t="inlineStr">
        <is>
          <t>Core</t>
        </is>
      </c>
      <c r="E241" s="27" t="n">
        <v>2880</v>
      </c>
      <c r="F241" s="28" t="inlineStr">
        <is>
          <t>Historical monthly total (pre per-category / per-tier tracking)</t>
        </is>
      </c>
      <c r="G241" s="28">
        <f>IF(IFERROR(INDEX(Categories!$C$2:$C$200,MATCH(B241,Categories!$A$2:$A$200,0)),"N")="Y",E241,0)</f>
        <v/>
      </c>
    </row>
    <row r="242">
      <c r="A242" s="26" t="n">
        <v>41579</v>
      </c>
      <c r="B242" s="12" t="inlineStr">
        <is>
          <t>Interest</t>
        </is>
      </c>
      <c r="C242" s="12" t="inlineStr">
        <is>
          <t>Income</t>
        </is>
      </c>
      <c r="D242" s="12" t="inlineStr">
        <is>
          <t>—</t>
        </is>
      </c>
      <c r="E242" s="27" t="n">
        <v>20</v>
      </c>
      <c r="G242" s="28">
        <f>IF(IFERROR(INDEX(Categories!$C$2:$C$200,MATCH(B242,Categories!$A$2:$A$200,0)),"N")="Y",E242,0)</f>
        <v/>
      </c>
    </row>
    <row r="243">
      <c r="A243" s="26" t="n">
        <v>41579</v>
      </c>
      <c r="B243" s="12" t="inlineStr">
        <is>
          <t>Salary</t>
        </is>
      </c>
      <c r="C243" s="12" t="inlineStr">
        <is>
          <t>Income</t>
        </is>
      </c>
      <c r="D243" s="12" t="inlineStr">
        <is>
          <t>—</t>
        </is>
      </c>
      <c r="E243" s="27" t="n">
        <v>4100</v>
      </c>
      <c r="G243" s="28">
        <f>IF(IFERROR(INDEX(Categories!$C$2:$C$200,MATCH(B243,Categories!$A$2:$A$200,0)),"N")="Y",E243,0)</f>
        <v/>
      </c>
    </row>
    <row r="244">
      <c r="A244" s="26" t="n">
        <v>41579</v>
      </c>
      <c r="B244" s="12" t="inlineStr">
        <is>
          <t>Uncategorised</t>
        </is>
      </c>
      <c r="C244" s="12" t="inlineStr">
        <is>
          <t>Actual</t>
        </is>
      </c>
      <c r="D244" s="12" t="inlineStr">
        <is>
          <t>Core</t>
        </is>
      </c>
      <c r="E244" s="27" t="n">
        <v>2400</v>
      </c>
      <c r="F244" s="28" t="inlineStr">
        <is>
          <t>Historical monthly total (pre per-category / per-tier tracking)</t>
        </is>
      </c>
      <c r="G244" s="28">
        <f>IF(IFERROR(INDEX(Categories!$C$2:$C$200,MATCH(B244,Categories!$A$2:$A$200,0)),"N")="Y",E244,0)</f>
        <v/>
      </c>
    </row>
    <row r="245">
      <c r="A245" s="26" t="n">
        <v>41609</v>
      </c>
      <c r="B245" s="12" t="inlineStr">
        <is>
          <t>Bonus/Claims</t>
        </is>
      </c>
      <c r="C245" s="12" t="inlineStr">
        <is>
          <t>Income</t>
        </is>
      </c>
      <c r="D245" s="12" t="inlineStr">
        <is>
          <t>—</t>
        </is>
      </c>
      <c r="E245" s="27" t="n">
        <v>4150</v>
      </c>
      <c r="G245" s="28">
        <f>IF(IFERROR(INDEX(Categories!$C$2:$C$200,MATCH(B245,Categories!$A$2:$A$200,0)),"N")="Y",E245,0)</f>
        <v/>
      </c>
    </row>
    <row r="246">
      <c r="A246" s="26" t="n">
        <v>41609</v>
      </c>
      <c r="B246" s="12" t="inlineStr">
        <is>
          <t>Dividends</t>
        </is>
      </c>
      <c r="C246" s="12" t="inlineStr">
        <is>
          <t>Income</t>
        </is>
      </c>
      <c r="D246" s="12" t="inlineStr">
        <is>
          <t>—</t>
        </is>
      </c>
      <c r="E246" s="27" t="n">
        <v>150</v>
      </c>
      <c r="G246" s="28">
        <f>IF(IFERROR(INDEX(Categories!$C$2:$C$200,MATCH(B246,Categories!$A$2:$A$200,0)),"N")="Y",E246,0)</f>
        <v/>
      </c>
    </row>
    <row r="247">
      <c r="A247" s="26" t="n">
        <v>41609</v>
      </c>
      <c r="B247" s="12" t="inlineStr">
        <is>
          <t>Interest</t>
        </is>
      </c>
      <c r="C247" s="12" t="inlineStr">
        <is>
          <t>Income</t>
        </is>
      </c>
      <c r="D247" s="12" t="inlineStr">
        <is>
          <t>—</t>
        </is>
      </c>
      <c r="E247" s="27" t="n">
        <v>20</v>
      </c>
      <c r="G247" s="28">
        <f>IF(IFERROR(INDEX(Categories!$C$2:$C$200,MATCH(B247,Categories!$A$2:$A$200,0)),"N")="Y",E247,0)</f>
        <v/>
      </c>
    </row>
    <row r="248">
      <c r="A248" s="26" t="n">
        <v>41609</v>
      </c>
      <c r="B248" s="12" t="inlineStr">
        <is>
          <t>Salary</t>
        </is>
      </c>
      <c r="C248" s="12" t="inlineStr">
        <is>
          <t>Income</t>
        </is>
      </c>
      <c r="D248" s="12" t="inlineStr">
        <is>
          <t>—</t>
        </is>
      </c>
      <c r="E248" s="27" t="n">
        <v>4150</v>
      </c>
      <c r="G248" s="28">
        <f>IF(IFERROR(INDEX(Categories!$C$2:$C$200,MATCH(B248,Categories!$A$2:$A$200,0)),"N")="Y",E248,0)</f>
        <v/>
      </c>
    </row>
    <row r="249">
      <c r="A249" s="26" t="n">
        <v>41609</v>
      </c>
      <c r="B249" s="12" t="inlineStr">
        <is>
          <t>Uncategorised</t>
        </is>
      </c>
      <c r="C249" s="12" t="inlineStr">
        <is>
          <t>Actual</t>
        </is>
      </c>
      <c r="D249" s="12" t="inlineStr">
        <is>
          <t>Core</t>
        </is>
      </c>
      <c r="E249" s="27" t="n">
        <v>2520</v>
      </c>
      <c r="F249" s="28" t="inlineStr">
        <is>
          <t>Historical monthly total (pre per-category / per-tier tracking)</t>
        </is>
      </c>
      <c r="G249" s="28">
        <f>IF(IFERROR(INDEX(Categories!$C$2:$C$200,MATCH(B249,Categories!$A$2:$A$200,0)),"N")="Y",E249,0)</f>
        <v/>
      </c>
    </row>
    <row r="250">
      <c r="A250" s="26" t="n">
        <v>41640</v>
      </c>
      <c r="B250" s="12" t="inlineStr">
        <is>
          <t>Interest</t>
        </is>
      </c>
      <c r="C250" s="12" t="inlineStr">
        <is>
          <t>Income</t>
        </is>
      </c>
      <c r="D250" s="12" t="inlineStr">
        <is>
          <t>—</t>
        </is>
      </c>
      <c r="E250" s="27" t="n">
        <v>20</v>
      </c>
      <c r="G250" s="28">
        <f>IF(IFERROR(INDEX(Categories!$C$2:$C$200,MATCH(B250,Categories!$A$2:$A$200,0)),"N")="Y",E250,0)</f>
        <v/>
      </c>
    </row>
    <row r="251">
      <c r="A251" s="26" t="n">
        <v>41640</v>
      </c>
      <c r="B251" s="12" t="inlineStr">
        <is>
          <t>Salary</t>
        </is>
      </c>
      <c r="C251" s="12" t="inlineStr">
        <is>
          <t>Income</t>
        </is>
      </c>
      <c r="D251" s="12" t="inlineStr">
        <is>
          <t>—</t>
        </is>
      </c>
      <c r="E251" s="27" t="n">
        <v>4080</v>
      </c>
      <c r="G251" s="28">
        <f>IF(IFERROR(INDEX(Categories!$C$2:$C$200,MATCH(B251,Categories!$A$2:$A$200,0)),"N")="Y",E251,0)</f>
        <v/>
      </c>
    </row>
    <row r="252">
      <c r="A252" s="26" t="n">
        <v>41640</v>
      </c>
      <c r="B252" s="12" t="inlineStr">
        <is>
          <t>Uncategorised</t>
        </is>
      </c>
      <c r="C252" s="12" t="inlineStr">
        <is>
          <t>Actual</t>
        </is>
      </c>
      <c r="D252" s="12" t="inlineStr">
        <is>
          <t>Core</t>
        </is>
      </c>
      <c r="E252" s="27" t="n">
        <v>2720</v>
      </c>
      <c r="F252" s="28" t="inlineStr">
        <is>
          <t>Historical monthly total (pre per-category / per-tier tracking)</t>
        </is>
      </c>
      <c r="G252" s="28">
        <f>IF(IFERROR(INDEX(Categories!$C$2:$C$200,MATCH(B252,Categories!$A$2:$A$200,0)),"N")="Y",E252,0)</f>
        <v/>
      </c>
    </row>
    <row r="253">
      <c r="A253" s="26" t="n">
        <v>41671</v>
      </c>
      <c r="B253" s="12" t="inlineStr">
        <is>
          <t>Interest</t>
        </is>
      </c>
      <c r="C253" s="12" t="inlineStr">
        <is>
          <t>Income</t>
        </is>
      </c>
      <c r="D253" s="12" t="inlineStr">
        <is>
          <t>—</t>
        </is>
      </c>
      <c r="E253" s="27" t="n">
        <v>20</v>
      </c>
      <c r="G253" s="28">
        <f>IF(IFERROR(INDEX(Categories!$C$2:$C$200,MATCH(B253,Categories!$A$2:$A$200,0)),"N")="Y",E253,0)</f>
        <v/>
      </c>
    </row>
    <row r="254">
      <c r="A254" s="26" t="n">
        <v>41671</v>
      </c>
      <c r="B254" s="12" t="inlineStr">
        <is>
          <t>Salary</t>
        </is>
      </c>
      <c r="C254" s="12" t="inlineStr">
        <is>
          <t>Income</t>
        </is>
      </c>
      <c r="D254" s="12" t="inlineStr">
        <is>
          <t>—</t>
        </is>
      </c>
      <c r="E254" s="27" t="n">
        <v>4130</v>
      </c>
      <c r="G254" s="28">
        <f>IF(IFERROR(INDEX(Categories!$C$2:$C$200,MATCH(B254,Categories!$A$2:$A$200,0)),"N")="Y",E254,0)</f>
        <v/>
      </c>
    </row>
    <row r="255">
      <c r="A255" s="26" t="n">
        <v>41671</v>
      </c>
      <c r="B255" s="12" t="inlineStr">
        <is>
          <t>Uncategorised</t>
        </is>
      </c>
      <c r="C255" s="12" t="inlineStr">
        <is>
          <t>Actual</t>
        </is>
      </c>
      <c r="D255" s="12" t="inlineStr">
        <is>
          <t>Core</t>
        </is>
      </c>
      <c r="E255" s="27" t="n">
        <v>2840</v>
      </c>
      <c r="F255" s="28" t="inlineStr">
        <is>
          <t>Historical monthly total (pre per-category / per-tier tracking)</t>
        </is>
      </c>
      <c r="G255" s="28">
        <f>IF(IFERROR(INDEX(Categories!$C$2:$C$200,MATCH(B255,Categories!$A$2:$A$200,0)),"N")="Y",E255,0)</f>
        <v/>
      </c>
    </row>
    <row r="256">
      <c r="A256" s="26" t="n">
        <v>41699</v>
      </c>
      <c r="B256" s="12" t="inlineStr">
        <is>
          <t>Dividends</t>
        </is>
      </c>
      <c r="C256" s="12" t="inlineStr">
        <is>
          <t>Income</t>
        </is>
      </c>
      <c r="D256" s="12" t="inlineStr">
        <is>
          <t>—</t>
        </is>
      </c>
      <c r="E256" s="27" t="n">
        <v>150</v>
      </c>
      <c r="G256" s="28">
        <f>IF(IFERROR(INDEX(Categories!$C$2:$C$200,MATCH(B256,Categories!$A$2:$A$200,0)),"N")="Y",E256,0)</f>
        <v/>
      </c>
    </row>
    <row r="257">
      <c r="A257" s="26" t="n">
        <v>41699</v>
      </c>
      <c r="B257" s="12" t="inlineStr">
        <is>
          <t>Interest</t>
        </is>
      </c>
      <c r="C257" s="12" t="inlineStr">
        <is>
          <t>Income</t>
        </is>
      </c>
      <c r="D257" s="12" t="inlineStr">
        <is>
          <t>—</t>
        </is>
      </c>
      <c r="E257" s="27" t="n">
        <v>20</v>
      </c>
      <c r="G257" s="28">
        <f>IF(IFERROR(INDEX(Categories!$C$2:$C$200,MATCH(B257,Categories!$A$2:$A$200,0)),"N")="Y",E257,0)</f>
        <v/>
      </c>
    </row>
    <row r="258">
      <c r="A258" s="26" t="n">
        <v>41699</v>
      </c>
      <c r="B258" s="12" t="inlineStr">
        <is>
          <t>Salary</t>
        </is>
      </c>
      <c r="C258" s="12" t="inlineStr">
        <is>
          <t>Income</t>
        </is>
      </c>
      <c r="D258" s="12" t="inlineStr">
        <is>
          <t>—</t>
        </is>
      </c>
      <c r="E258" s="27" t="n">
        <v>4180</v>
      </c>
      <c r="G258" s="28">
        <f>IF(IFERROR(INDEX(Categories!$C$2:$C$200,MATCH(B258,Categories!$A$2:$A$200,0)),"N")="Y",E258,0)</f>
        <v/>
      </c>
    </row>
    <row r="259">
      <c r="A259" s="26" t="n">
        <v>41699</v>
      </c>
      <c r="B259" s="12" t="inlineStr">
        <is>
          <t>Uncategorised</t>
        </is>
      </c>
      <c r="C259" s="12" t="inlineStr">
        <is>
          <t>Actual</t>
        </is>
      </c>
      <c r="D259" s="12" t="inlineStr">
        <is>
          <t>Core</t>
        </is>
      </c>
      <c r="E259" s="27" t="n">
        <v>2960</v>
      </c>
      <c r="F259" s="28" t="inlineStr">
        <is>
          <t>Historical monthly total (pre per-category / per-tier tracking)</t>
        </is>
      </c>
      <c r="G259" s="28">
        <f>IF(IFERROR(INDEX(Categories!$C$2:$C$200,MATCH(B259,Categories!$A$2:$A$200,0)),"N")="Y",E259,0)</f>
        <v/>
      </c>
    </row>
    <row r="260">
      <c r="A260" s="26" t="n">
        <v>41730</v>
      </c>
      <c r="B260" s="12" t="inlineStr">
        <is>
          <t>Interest</t>
        </is>
      </c>
      <c r="C260" s="12" t="inlineStr">
        <is>
          <t>Income</t>
        </is>
      </c>
      <c r="D260" s="12" t="inlineStr">
        <is>
          <t>—</t>
        </is>
      </c>
      <c r="E260" s="27" t="n">
        <v>20</v>
      </c>
      <c r="G260" s="28">
        <f>IF(IFERROR(INDEX(Categories!$C$2:$C$200,MATCH(B260,Categories!$A$2:$A$200,0)),"N")="Y",E260,0)</f>
        <v/>
      </c>
    </row>
    <row r="261">
      <c r="A261" s="26" t="n">
        <v>41730</v>
      </c>
      <c r="B261" s="12" t="inlineStr">
        <is>
          <t>Salary</t>
        </is>
      </c>
      <c r="C261" s="12" t="inlineStr">
        <is>
          <t>Income</t>
        </is>
      </c>
      <c r="D261" s="12" t="inlineStr">
        <is>
          <t>—</t>
        </is>
      </c>
      <c r="E261" s="27" t="n">
        <v>4230</v>
      </c>
      <c r="G261" s="28">
        <f>IF(IFERROR(INDEX(Categories!$C$2:$C$200,MATCH(B261,Categories!$A$2:$A$200,0)),"N")="Y",E261,0)</f>
        <v/>
      </c>
    </row>
    <row r="262">
      <c r="A262" s="26" t="n">
        <v>41730</v>
      </c>
      <c r="B262" s="12" t="inlineStr">
        <is>
          <t>Uncategorised</t>
        </is>
      </c>
      <c r="C262" s="12" t="inlineStr">
        <is>
          <t>Actual</t>
        </is>
      </c>
      <c r="D262" s="12" t="inlineStr">
        <is>
          <t>Core</t>
        </is>
      </c>
      <c r="E262" s="27" t="n">
        <v>2480</v>
      </c>
      <c r="F262" s="28" t="inlineStr">
        <is>
          <t>Historical monthly total (pre per-category / per-tier tracking)</t>
        </is>
      </c>
      <c r="G262" s="28">
        <f>IF(IFERROR(INDEX(Categories!$C$2:$C$200,MATCH(B262,Categories!$A$2:$A$200,0)),"N")="Y",E262,0)</f>
        <v/>
      </c>
    </row>
    <row r="263">
      <c r="A263" s="26" t="n">
        <v>41760</v>
      </c>
      <c r="B263" s="12" t="inlineStr">
        <is>
          <t>Interest</t>
        </is>
      </c>
      <c r="C263" s="12" t="inlineStr">
        <is>
          <t>Income</t>
        </is>
      </c>
      <c r="D263" s="12" t="inlineStr">
        <is>
          <t>—</t>
        </is>
      </c>
      <c r="E263" s="27" t="n">
        <v>20</v>
      </c>
      <c r="G263" s="28">
        <f>IF(IFERROR(INDEX(Categories!$C$2:$C$200,MATCH(B263,Categories!$A$2:$A$200,0)),"N")="Y",E263,0)</f>
        <v/>
      </c>
    </row>
    <row r="264">
      <c r="A264" s="26" t="n">
        <v>41760</v>
      </c>
      <c r="B264" s="12" t="inlineStr">
        <is>
          <t>Salary</t>
        </is>
      </c>
      <c r="C264" s="12" t="inlineStr">
        <is>
          <t>Income</t>
        </is>
      </c>
      <c r="D264" s="12" t="inlineStr">
        <is>
          <t>—</t>
        </is>
      </c>
      <c r="E264" s="27" t="n">
        <v>4280</v>
      </c>
      <c r="G264" s="28">
        <f>IF(IFERROR(INDEX(Categories!$C$2:$C$200,MATCH(B264,Categories!$A$2:$A$200,0)),"N")="Y",E264,0)</f>
        <v/>
      </c>
    </row>
    <row r="265">
      <c r="A265" s="26" t="n">
        <v>41760</v>
      </c>
      <c r="B265" s="12" t="inlineStr">
        <is>
          <t>Uncategorised</t>
        </is>
      </c>
      <c r="C265" s="12" t="inlineStr">
        <is>
          <t>Actual</t>
        </is>
      </c>
      <c r="D265" s="12" t="inlineStr">
        <is>
          <t>Core</t>
        </is>
      </c>
      <c r="E265" s="27" t="n">
        <v>2600</v>
      </c>
      <c r="F265" s="28" t="inlineStr">
        <is>
          <t>Historical monthly total (pre per-category / per-tier tracking)</t>
        </is>
      </c>
      <c r="G265" s="28">
        <f>IF(IFERROR(INDEX(Categories!$C$2:$C$200,MATCH(B265,Categories!$A$2:$A$200,0)),"N")="Y",E265,0)</f>
        <v/>
      </c>
    </row>
    <row r="266">
      <c r="A266" s="26" t="n">
        <v>41791</v>
      </c>
      <c r="B266" s="12" t="inlineStr">
        <is>
          <t>Dividends</t>
        </is>
      </c>
      <c r="C266" s="12" t="inlineStr">
        <is>
          <t>Income</t>
        </is>
      </c>
      <c r="D266" s="12" t="inlineStr">
        <is>
          <t>—</t>
        </is>
      </c>
      <c r="E266" s="27" t="n">
        <v>150</v>
      </c>
      <c r="G266" s="28">
        <f>IF(IFERROR(INDEX(Categories!$C$2:$C$200,MATCH(B266,Categories!$A$2:$A$200,0)),"N")="Y",E266,0)</f>
        <v/>
      </c>
    </row>
    <row r="267">
      <c r="A267" s="26" t="n">
        <v>41791</v>
      </c>
      <c r="B267" s="12" t="inlineStr">
        <is>
          <t>Interest</t>
        </is>
      </c>
      <c r="C267" s="12" t="inlineStr">
        <is>
          <t>Income</t>
        </is>
      </c>
      <c r="D267" s="12" t="inlineStr">
        <is>
          <t>—</t>
        </is>
      </c>
      <c r="E267" s="27" t="n">
        <v>20</v>
      </c>
      <c r="G267" s="28">
        <f>IF(IFERROR(INDEX(Categories!$C$2:$C$200,MATCH(B267,Categories!$A$2:$A$200,0)),"N")="Y",E267,0)</f>
        <v/>
      </c>
    </row>
    <row r="268">
      <c r="A268" s="26" t="n">
        <v>41791</v>
      </c>
      <c r="B268" s="12" t="inlineStr">
        <is>
          <t>Salary</t>
        </is>
      </c>
      <c r="C268" s="12" t="inlineStr">
        <is>
          <t>Income</t>
        </is>
      </c>
      <c r="D268" s="12" t="inlineStr">
        <is>
          <t>—</t>
        </is>
      </c>
      <c r="E268" s="27" t="n">
        <v>4330</v>
      </c>
      <c r="G268" s="28">
        <f>IF(IFERROR(INDEX(Categories!$C$2:$C$200,MATCH(B268,Categories!$A$2:$A$200,0)),"N")="Y",E268,0)</f>
        <v/>
      </c>
    </row>
    <row r="269">
      <c r="A269" s="26" t="n">
        <v>41791</v>
      </c>
      <c r="B269" s="12" t="inlineStr">
        <is>
          <t>Uncategorised</t>
        </is>
      </c>
      <c r="C269" s="12" t="inlineStr">
        <is>
          <t>Actual</t>
        </is>
      </c>
      <c r="D269" s="12" t="inlineStr">
        <is>
          <t>Core</t>
        </is>
      </c>
      <c r="E269" s="27" t="n">
        <v>2720</v>
      </c>
      <c r="F269" s="28" t="inlineStr">
        <is>
          <t>Historical monthly total (pre per-category / per-tier tracking)</t>
        </is>
      </c>
      <c r="G269" s="28">
        <f>IF(IFERROR(INDEX(Categories!$C$2:$C$200,MATCH(B269,Categories!$A$2:$A$200,0)),"N")="Y",E269,0)</f>
        <v/>
      </c>
    </row>
    <row r="270">
      <c r="A270" s="26" t="n">
        <v>41821</v>
      </c>
      <c r="B270" s="12" t="inlineStr">
        <is>
          <t>Interest</t>
        </is>
      </c>
      <c r="C270" s="12" t="inlineStr">
        <is>
          <t>Income</t>
        </is>
      </c>
      <c r="D270" s="12" t="inlineStr">
        <is>
          <t>—</t>
        </is>
      </c>
      <c r="E270" s="27" t="n">
        <v>20</v>
      </c>
      <c r="G270" s="28">
        <f>IF(IFERROR(INDEX(Categories!$C$2:$C$200,MATCH(B270,Categories!$A$2:$A$200,0)),"N")="Y",E270,0)</f>
        <v/>
      </c>
    </row>
    <row r="271">
      <c r="A271" s="26" t="n">
        <v>41821</v>
      </c>
      <c r="B271" s="12" t="inlineStr">
        <is>
          <t>Salary</t>
        </is>
      </c>
      <c r="C271" s="12" t="inlineStr">
        <is>
          <t>Income</t>
        </is>
      </c>
      <c r="D271" s="12" t="inlineStr">
        <is>
          <t>—</t>
        </is>
      </c>
      <c r="E271" s="27" t="n">
        <v>4080</v>
      </c>
      <c r="G271" s="28">
        <f>IF(IFERROR(INDEX(Categories!$C$2:$C$200,MATCH(B271,Categories!$A$2:$A$200,0)),"N")="Y",E271,0)</f>
        <v/>
      </c>
    </row>
    <row r="272">
      <c r="A272" s="26" t="n">
        <v>41821</v>
      </c>
      <c r="B272" s="12" t="inlineStr">
        <is>
          <t>Uncategorised</t>
        </is>
      </c>
      <c r="C272" s="12" t="inlineStr">
        <is>
          <t>Actual</t>
        </is>
      </c>
      <c r="D272" s="12" t="inlineStr">
        <is>
          <t>Core</t>
        </is>
      </c>
      <c r="E272" s="27" t="n">
        <v>2840</v>
      </c>
      <c r="F272" s="28" t="inlineStr">
        <is>
          <t>Historical monthly total (pre per-category / per-tier tracking)</t>
        </is>
      </c>
      <c r="G272" s="28">
        <f>IF(IFERROR(INDEX(Categories!$C$2:$C$200,MATCH(B272,Categories!$A$2:$A$200,0)),"N")="Y",E272,0)</f>
        <v/>
      </c>
    </row>
    <row r="273">
      <c r="A273" s="26" t="n">
        <v>41852</v>
      </c>
      <c r="B273" s="12" t="inlineStr">
        <is>
          <t>Interest</t>
        </is>
      </c>
      <c r="C273" s="12" t="inlineStr">
        <is>
          <t>Income</t>
        </is>
      </c>
      <c r="D273" s="12" t="inlineStr">
        <is>
          <t>—</t>
        </is>
      </c>
      <c r="E273" s="27" t="n">
        <v>20</v>
      </c>
      <c r="G273" s="28">
        <f>IF(IFERROR(INDEX(Categories!$C$2:$C$200,MATCH(B273,Categories!$A$2:$A$200,0)),"N")="Y",E273,0)</f>
        <v/>
      </c>
    </row>
    <row r="274">
      <c r="A274" s="26" t="n">
        <v>41852</v>
      </c>
      <c r="B274" s="12" t="inlineStr">
        <is>
          <t>Salary</t>
        </is>
      </c>
      <c r="C274" s="12" t="inlineStr">
        <is>
          <t>Income</t>
        </is>
      </c>
      <c r="D274" s="12" t="inlineStr">
        <is>
          <t>—</t>
        </is>
      </c>
      <c r="E274" s="27" t="n">
        <v>4130</v>
      </c>
      <c r="G274" s="28">
        <f>IF(IFERROR(INDEX(Categories!$C$2:$C$200,MATCH(B274,Categories!$A$2:$A$200,0)),"N")="Y",E274,0)</f>
        <v/>
      </c>
    </row>
    <row r="275">
      <c r="A275" s="26" t="n">
        <v>41852</v>
      </c>
      <c r="B275" s="12" t="inlineStr">
        <is>
          <t>Uncategorised</t>
        </is>
      </c>
      <c r="C275" s="12" t="inlineStr">
        <is>
          <t>Actual</t>
        </is>
      </c>
      <c r="D275" s="12" t="inlineStr">
        <is>
          <t>Core</t>
        </is>
      </c>
      <c r="E275" s="27" t="n">
        <v>2960</v>
      </c>
      <c r="F275" s="28" t="inlineStr">
        <is>
          <t>Historical monthly total (pre per-category / per-tier tracking)</t>
        </is>
      </c>
      <c r="G275" s="28">
        <f>IF(IFERROR(INDEX(Categories!$C$2:$C$200,MATCH(B275,Categories!$A$2:$A$200,0)),"N")="Y",E275,0)</f>
        <v/>
      </c>
    </row>
    <row r="276">
      <c r="A276" s="26" t="n">
        <v>41883</v>
      </c>
      <c r="B276" s="12" t="inlineStr">
        <is>
          <t>Dividends</t>
        </is>
      </c>
      <c r="C276" s="12" t="inlineStr">
        <is>
          <t>Income</t>
        </is>
      </c>
      <c r="D276" s="12" t="inlineStr">
        <is>
          <t>—</t>
        </is>
      </c>
      <c r="E276" s="27" t="n">
        <v>150</v>
      </c>
      <c r="G276" s="28">
        <f>IF(IFERROR(INDEX(Categories!$C$2:$C$200,MATCH(B276,Categories!$A$2:$A$200,0)),"N")="Y",E276,0)</f>
        <v/>
      </c>
    </row>
    <row r="277">
      <c r="A277" s="26" t="n">
        <v>41883</v>
      </c>
      <c r="B277" s="12" t="inlineStr">
        <is>
          <t>Interest</t>
        </is>
      </c>
      <c r="C277" s="12" t="inlineStr">
        <is>
          <t>Income</t>
        </is>
      </c>
      <c r="D277" s="12" t="inlineStr">
        <is>
          <t>—</t>
        </is>
      </c>
      <c r="E277" s="27" t="n">
        <v>20</v>
      </c>
      <c r="G277" s="28">
        <f>IF(IFERROR(INDEX(Categories!$C$2:$C$200,MATCH(B277,Categories!$A$2:$A$200,0)),"N")="Y",E277,0)</f>
        <v/>
      </c>
    </row>
    <row r="278">
      <c r="A278" s="26" t="n">
        <v>41883</v>
      </c>
      <c r="B278" s="12" t="inlineStr">
        <is>
          <t>Salary</t>
        </is>
      </c>
      <c r="C278" s="12" t="inlineStr">
        <is>
          <t>Income</t>
        </is>
      </c>
      <c r="D278" s="12" t="inlineStr">
        <is>
          <t>—</t>
        </is>
      </c>
      <c r="E278" s="27" t="n">
        <v>4180</v>
      </c>
      <c r="G278" s="28">
        <f>IF(IFERROR(INDEX(Categories!$C$2:$C$200,MATCH(B278,Categories!$A$2:$A$200,0)),"N")="Y",E278,0)</f>
        <v/>
      </c>
    </row>
    <row r="279">
      <c r="A279" s="26" t="n">
        <v>41883</v>
      </c>
      <c r="B279" s="12" t="inlineStr">
        <is>
          <t>Uncategorised</t>
        </is>
      </c>
      <c r="C279" s="12" t="inlineStr">
        <is>
          <t>Actual</t>
        </is>
      </c>
      <c r="D279" s="12" t="inlineStr">
        <is>
          <t>Core</t>
        </is>
      </c>
      <c r="E279" s="27" t="n">
        <v>2480</v>
      </c>
      <c r="F279" s="28" t="inlineStr">
        <is>
          <t>Historical monthly total (pre per-category / per-tier tracking)</t>
        </is>
      </c>
      <c r="G279" s="28">
        <f>IF(IFERROR(INDEX(Categories!$C$2:$C$200,MATCH(B279,Categories!$A$2:$A$200,0)),"N")="Y",E279,0)</f>
        <v/>
      </c>
    </row>
    <row r="280">
      <c r="A280" s="26" t="n">
        <v>41913</v>
      </c>
      <c r="B280" s="12" t="inlineStr">
        <is>
          <t>Interest</t>
        </is>
      </c>
      <c r="C280" s="12" t="inlineStr">
        <is>
          <t>Income</t>
        </is>
      </c>
      <c r="D280" s="12" t="inlineStr">
        <is>
          <t>—</t>
        </is>
      </c>
      <c r="E280" s="27" t="n">
        <v>20</v>
      </c>
      <c r="G280" s="28">
        <f>IF(IFERROR(INDEX(Categories!$C$2:$C$200,MATCH(B280,Categories!$A$2:$A$200,0)),"N")="Y",E280,0)</f>
        <v/>
      </c>
    </row>
    <row r="281">
      <c r="A281" s="26" t="n">
        <v>41913</v>
      </c>
      <c r="B281" s="12" t="inlineStr">
        <is>
          <t>Salary</t>
        </is>
      </c>
      <c r="C281" s="12" t="inlineStr">
        <is>
          <t>Income</t>
        </is>
      </c>
      <c r="D281" s="12" t="inlineStr">
        <is>
          <t>—</t>
        </is>
      </c>
      <c r="E281" s="27" t="n">
        <v>4230</v>
      </c>
      <c r="G281" s="28">
        <f>IF(IFERROR(INDEX(Categories!$C$2:$C$200,MATCH(B281,Categories!$A$2:$A$200,0)),"N")="Y",E281,0)</f>
        <v/>
      </c>
    </row>
    <row r="282">
      <c r="A282" s="26" t="n">
        <v>41913</v>
      </c>
      <c r="B282" s="12" t="inlineStr">
        <is>
          <t>Uncategorised</t>
        </is>
      </c>
      <c r="C282" s="12" t="inlineStr">
        <is>
          <t>Actual</t>
        </is>
      </c>
      <c r="D282" s="12" t="inlineStr">
        <is>
          <t>Core</t>
        </is>
      </c>
      <c r="E282" s="27" t="n">
        <v>2600</v>
      </c>
      <c r="F282" s="28" t="inlineStr">
        <is>
          <t>Historical monthly total (pre per-category / per-tier tracking)</t>
        </is>
      </c>
      <c r="G282" s="28">
        <f>IF(IFERROR(INDEX(Categories!$C$2:$C$200,MATCH(B282,Categories!$A$2:$A$200,0)),"N")="Y",E282,0)</f>
        <v/>
      </c>
    </row>
    <row r="283">
      <c r="A283" s="26" t="n">
        <v>41944</v>
      </c>
      <c r="B283" s="12" t="inlineStr">
        <is>
          <t>Interest</t>
        </is>
      </c>
      <c r="C283" s="12" t="inlineStr">
        <is>
          <t>Income</t>
        </is>
      </c>
      <c r="D283" s="12" t="inlineStr">
        <is>
          <t>—</t>
        </is>
      </c>
      <c r="E283" s="27" t="n">
        <v>20</v>
      </c>
      <c r="G283" s="28">
        <f>IF(IFERROR(INDEX(Categories!$C$2:$C$200,MATCH(B283,Categories!$A$2:$A$200,0)),"N")="Y",E283,0)</f>
        <v/>
      </c>
    </row>
    <row r="284">
      <c r="A284" s="26" t="n">
        <v>41944</v>
      </c>
      <c r="B284" s="12" t="inlineStr">
        <is>
          <t>Salary</t>
        </is>
      </c>
      <c r="C284" s="12" t="inlineStr">
        <is>
          <t>Income</t>
        </is>
      </c>
      <c r="D284" s="12" t="inlineStr">
        <is>
          <t>—</t>
        </is>
      </c>
      <c r="E284" s="27" t="n">
        <v>4280</v>
      </c>
      <c r="G284" s="28">
        <f>IF(IFERROR(INDEX(Categories!$C$2:$C$200,MATCH(B284,Categories!$A$2:$A$200,0)),"N")="Y",E284,0)</f>
        <v/>
      </c>
    </row>
    <row r="285">
      <c r="A285" s="26" t="n">
        <v>41944</v>
      </c>
      <c r="B285" s="12" t="inlineStr">
        <is>
          <t>Uncategorised</t>
        </is>
      </c>
      <c r="C285" s="12" t="inlineStr">
        <is>
          <t>Actual</t>
        </is>
      </c>
      <c r="D285" s="12" t="inlineStr">
        <is>
          <t>Core</t>
        </is>
      </c>
      <c r="E285" s="27" t="n">
        <v>2720</v>
      </c>
      <c r="F285" s="28" t="inlineStr">
        <is>
          <t>Historical monthly total (pre per-category / per-tier tracking)</t>
        </is>
      </c>
      <c r="G285" s="28">
        <f>IF(IFERROR(INDEX(Categories!$C$2:$C$200,MATCH(B285,Categories!$A$2:$A$200,0)),"N")="Y",E285,0)</f>
        <v/>
      </c>
    </row>
    <row r="286">
      <c r="A286" s="26" t="n">
        <v>41974</v>
      </c>
      <c r="B286" s="12" t="inlineStr">
        <is>
          <t>Bonus/Claims</t>
        </is>
      </c>
      <c r="C286" s="12" t="inlineStr">
        <is>
          <t>Income</t>
        </is>
      </c>
      <c r="D286" s="12" t="inlineStr">
        <is>
          <t>—</t>
        </is>
      </c>
      <c r="E286" s="27" t="n">
        <v>4330</v>
      </c>
      <c r="G286" s="28">
        <f>IF(IFERROR(INDEX(Categories!$C$2:$C$200,MATCH(B286,Categories!$A$2:$A$200,0)),"N")="Y",E286,0)</f>
        <v/>
      </c>
    </row>
    <row r="287">
      <c r="A287" s="26" t="n">
        <v>41974</v>
      </c>
      <c r="B287" s="12" t="inlineStr">
        <is>
          <t>Dividends</t>
        </is>
      </c>
      <c r="C287" s="12" t="inlineStr">
        <is>
          <t>Income</t>
        </is>
      </c>
      <c r="D287" s="12" t="inlineStr">
        <is>
          <t>—</t>
        </is>
      </c>
      <c r="E287" s="27" t="n">
        <v>150</v>
      </c>
      <c r="G287" s="28">
        <f>IF(IFERROR(INDEX(Categories!$C$2:$C$200,MATCH(B287,Categories!$A$2:$A$200,0)),"N")="Y",E287,0)</f>
        <v/>
      </c>
    </row>
    <row r="288">
      <c r="A288" s="26" t="n">
        <v>41974</v>
      </c>
      <c r="B288" s="12" t="inlineStr">
        <is>
          <t>Interest</t>
        </is>
      </c>
      <c r="C288" s="12" t="inlineStr">
        <is>
          <t>Income</t>
        </is>
      </c>
      <c r="D288" s="12" t="inlineStr">
        <is>
          <t>—</t>
        </is>
      </c>
      <c r="E288" s="27" t="n">
        <v>20</v>
      </c>
      <c r="G288" s="28">
        <f>IF(IFERROR(INDEX(Categories!$C$2:$C$200,MATCH(B288,Categories!$A$2:$A$200,0)),"N")="Y",E288,0)</f>
        <v/>
      </c>
    </row>
    <row r="289">
      <c r="A289" s="26" t="n">
        <v>41974</v>
      </c>
      <c r="B289" s="12" t="inlineStr">
        <is>
          <t>Salary</t>
        </is>
      </c>
      <c r="C289" s="12" t="inlineStr">
        <is>
          <t>Income</t>
        </is>
      </c>
      <c r="D289" s="12" t="inlineStr">
        <is>
          <t>—</t>
        </is>
      </c>
      <c r="E289" s="27" t="n">
        <v>4330</v>
      </c>
      <c r="G289" s="28">
        <f>IF(IFERROR(INDEX(Categories!$C$2:$C$200,MATCH(B289,Categories!$A$2:$A$200,0)),"N")="Y",E289,0)</f>
        <v/>
      </c>
    </row>
    <row r="290">
      <c r="A290" s="26" t="n">
        <v>41974</v>
      </c>
      <c r="B290" s="12" t="inlineStr">
        <is>
          <t>Uncategorised</t>
        </is>
      </c>
      <c r="C290" s="12" t="inlineStr">
        <is>
          <t>Actual</t>
        </is>
      </c>
      <c r="D290" s="12" t="inlineStr">
        <is>
          <t>Core</t>
        </is>
      </c>
      <c r="E290" s="27" t="n">
        <v>2840</v>
      </c>
      <c r="F290" s="28" t="inlineStr">
        <is>
          <t>Historical monthly total (pre per-category / per-tier tracking)</t>
        </is>
      </c>
      <c r="G290" s="28">
        <f>IF(IFERROR(INDEX(Categories!$C$2:$C$200,MATCH(B290,Categories!$A$2:$A$200,0)),"N")="Y",E290,0)</f>
        <v/>
      </c>
    </row>
    <row r="291">
      <c r="A291" s="26" t="n">
        <v>42005</v>
      </c>
      <c r="B291" s="12" t="inlineStr">
        <is>
          <t>Interest</t>
        </is>
      </c>
      <c r="C291" s="12" t="inlineStr">
        <is>
          <t>Income</t>
        </is>
      </c>
      <c r="D291" s="12" t="inlineStr">
        <is>
          <t>—</t>
        </is>
      </c>
      <c r="E291" s="27" t="n">
        <v>20</v>
      </c>
      <c r="G291" s="28">
        <f>IF(IFERROR(INDEX(Categories!$C$2:$C$200,MATCH(B291,Categories!$A$2:$A$200,0)),"N")="Y",E291,0)</f>
        <v/>
      </c>
    </row>
    <row r="292">
      <c r="A292" s="26" t="n">
        <v>42005</v>
      </c>
      <c r="B292" s="12" t="inlineStr">
        <is>
          <t>Salary</t>
        </is>
      </c>
      <c r="C292" s="12" t="inlineStr">
        <is>
          <t>Income</t>
        </is>
      </c>
      <c r="D292" s="12" t="inlineStr">
        <is>
          <t>—</t>
        </is>
      </c>
      <c r="E292" s="27" t="n">
        <v>4260</v>
      </c>
      <c r="G292" s="28">
        <f>IF(IFERROR(INDEX(Categories!$C$2:$C$200,MATCH(B292,Categories!$A$2:$A$200,0)),"N")="Y",E292,0)</f>
        <v/>
      </c>
    </row>
    <row r="293">
      <c r="A293" s="26" t="n">
        <v>42005</v>
      </c>
      <c r="B293" s="12" t="inlineStr">
        <is>
          <t>Uncategorised</t>
        </is>
      </c>
      <c r="C293" s="12" t="inlineStr">
        <is>
          <t>Actual</t>
        </is>
      </c>
      <c r="D293" s="12" t="inlineStr">
        <is>
          <t>Core</t>
        </is>
      </c>
      <c r="E293" s="27" t="n">
        <v>3040</v>
      </c>
      <c r="F293" s="28" t="inlineStr">
        <is>
          <t>Historical monthly total (pre per-category / per-tier tracking)</t>
        </is>
      </c>
      <c r="G293" s="28">
        <f>IF(IFERROR(INDEX(Categories!$C$2:$C$200,MATCH(B293,Categories!$A$2:$A$200,0)),"N")="Y",E293,0)</f>
        <v/>
      </c>
    </row>
    <row r="294">
      <c r="A294" s="26" t="n">
        <v>42036</v>
      </c>
      <c r="B294" s="12" t="inlineStr">
        <is>
          <t>Interest</t>
        </is>
      </c>
      <c r="C294" s="12" t="inlineStr">
        <is>
          <t>Income</t>
        </is>
      </c>
      <c r="D294" s="12" t="inlineStr">
        <is>
          <t>—</t>
        </is>
      </c>
      <c r="E294" s="27" t="n">
        <v>20</v>
      </c>
      <c r="G294" s="28">
        <f>IF(IFERROR(INDEX(Categories!$C$2:$C$200,MATCH(B294,Categories!$A$2:$A$200,0)),"N")="Y",E294,0)</f>
        <v/>
      </c>
    </row>
    <row r="295">
      <c r="A295" s="26" t="n">
        <v>42036</v>
      </c>
      <c r="B295" s="12" t="inlineStr">
        <is>
          <t>Salary</t>
        </is>
      </c>
      <c r="C295" s="12" t="inlineStr">
        <is>
          <t>Income</t>
        </is>
      </c>
      <c r="D295" s="12" t="inlineStr">
        <is>
          <t>—</t>
        </is>
      </c>
      <c r="E295" s="27" t="n">
        <v>4310</v>
      </c>
      <c r="G295" s="28">
        <f>IF(IFERROR(INDEX(Categories!$C$2:$C$200,MATCH(B295,Categories!$A$2:$A$200,0)),"N")="Y",E295,0)</f>
        <v/>
      </c>
    </row>
    <row r="296">
      <c r="A296" s="26" t="n">
        <v>42036</v>
      </c>
      <c r="B296" s="12" t="inlineStr">
        <is>
          <t>Uncategorised</t>
        </is>
      </c>
      <c r="C296" s="12" t="inlineStr">
        <is>
          <t>Actual</t>
        </is>
      </c>
      <c r="D296" s="12" t="inlineStr">
        <is>
          <t>Core</t>
        </is>
      </c>
      <c r="E296" s="27" t="n">
        <v>2560</v>
      </c>
      <c r="F296" s="28" t="inlineStr">
        <is>
          <t>Historical monthly total (pre per-category / per-tier tracking)</t>
        </is>
      </c>
      <c r="G296" s="28">
        <f>IF(IFERROR(INDEX(Categories!$C$2:$C$200,MATCH(B296,Categories!$A$2:$A$200,0)),"N")="Y",E296,0)</f>
        <v/>
      </c>
    </row>
    <row r="297">
      <c r="A297" s="26" t="n">
        <v>42064</v>
      </c>
      <c r="B297" s="12" t="inlineStr">
        <is>
          <t>Dividends</t>
        </is>
      </c>
      <c r="C297" s="12" t="inlineStr">
        <is>
          <t>Income</t>
        </is>
      </c>
      <c r="D297" s="12" t="inlineStr">
        <is>
          <t>—</t>
        </is>
      </c>
      <c r="E297" s="27" t="n">
        <v>150</v>
      </c>
      <c r="G297" s="28">
        <f>IF(IFERROR(INDEX(Categories!$C$2:$C$200,MATCH(B297,Categories!$A$2:$A$200,0)),"N")="Y",E297,0)</f>
        <v/>
      </c>
    </row>
    <row r="298">
      <c r="A298" s="26" t="n">
        <v>42064</v>
      </c>
      <c r="B298" s="12" t="inlineStr">
        <is>
          <t>Interest</t>
        </is>
      </c>
      <c r="C298" s="12" t="inlineStr">
        <is>
          <t>Income</t>
        </is>
      </c>
      <c r="D298" s="12" t="inlineStr">
        <is>
          <t>—</t>
        </is>
      </c>
      <c r="E298" s="27" t="n">
        <v>20</v>
      </c>
      <c r="G298" s="28">
        <f>IF(IFERROR(INDEX(Categories!$C$2:$C$200,MATCH(B298,Categories!$A$2:$A$200,0)),"N")="Y",E298,0)</f>
        <v/>
      </c>
    </row>
    <row r="299">
      <c r="A299" s="26" t="n">
        <v>42064</v>
      </c>
      <c r="B299" s="12" t="inlineStr">
        <is>
          <t>Salary</t>
        </is>
      </c>
      <c r="C299" s="12" t="inlineStr">
        <is>
          <t>Income</t>
        </is>
      </c>
      <c r="D299" s="12" t="inlineStr">
        <is>
          <t>—</t>
        </is>
      </c>
      <c r="E299" s="27" t="n">
        <v>4360</v>
      </c>
      <c r="G299" s="28">
        <f>IF(IFERROR(INDEX(Categories!$C$2:$C$200,MATCH(B299,Categories!$A$2:$A$200,0)),"N")="Y",E299,0)</f>
        <v/>
      </c>
    </row>
    <row r="300">
      <c r="A300" s="26" t="n">
        <v>42064</v>
      </c>
      <c r="B300" s="12" t="inlineStr">
        <is>
          <t>Uncategorised</t>
        </is>
      </c>
      <c r="C300" s="12" t="inlineStr">
        <is>
          <t>Actual</t>
        </is>
      </c>
      <c r="D300" s="12" t="inlineStr">
        <is>
          <t>Core</t>
        </is>
      </c>
      <c r="E300" s="27" t="n">
        <v>2680</v>
      </c>
      <c r="F300" s="28" t="inlineStr">
        <is>
          <t>Historical monthly total (pre per-category / per-tier tracking)</t>
        </is>
      </c>
      <c r="G300" s="28">
        <f>IF(IFERROR(INDEX(Categories!$C$2:$C$200,MATCH(B300,Categories!$A$2:$A$200,0)),"N")="Y",E300,0)</f>
        <v/>
      </c>
    </row>
    <row r="301">
      <c r="A301" s="26" t="n">
        <v>42095</v>
      </c>
      <c r="B301" s="12" t="inlineStr">
        <is>
          <t>Interest</t>
        </is>
      </c>
      <c r="C301" s="12" t="inlineStr">
        <is>
          <t>Income</t>
        </is>
      </c>
      <c r="D301" s="12" t="inlineStr">
        <is>
          <t>—</t>
        </is>
      </c>
      <c r="E301" s="27" t="n">
        <v>20</v>
      </c>
      <c r="G301" s="28">
        <f>IF(IFERROR(INDEX(Categories!$C$2:$C$200,MATCH(B301,Categories!$A$2:$A$200,0)),"N")="Y",E301,0)</f>
        <v/>
      </c>
    </row>
    <row r="302">
      <c r="A302" s="26" t="n">
        <v>42095</v>
      </c>
      <c r="B302" s="12" t="inlineStr">
        <is>
          <t>Salary</t>
        </is>
      </c>
      <c r="C302" s="12" t="inlineStr">
        <is>
          <t>Income</t>
        </is>
      </c>
      <c r="D302" s="12" t="inlineStr">
        <is>
          <t>—</t>
        </is>
      </c>
      <c r="E302" s="27" t="n">
        <v>4410</v>
      </c>
      <c r="G302" s="28">
        <f>IF(IFERROR(INDEX(Categories!$C$2:$C$200,MATCH(B302,Categories!$A$2:$A$200,0)),"N")="Y",E302,0)</f>
        <v/>
      </c>
    </row>
    <row r="303">
      <c r="A303" s="26" t="n">
        <v>42095</v>
      </c>
      <c r="B303" s="12" t="inlineStr">
        <is>
          <t>Uncategorised</t>
        </is>
      </c>
      <c r="C303" s="12" t="inlineStr">
        <is>
          <t>Actual</t>
        </is>
      </c>
      <c r="D303" s="12" t="inlineStr">
        <is>
          <t>Core</t>
        </is>
      </c>
      <c r="E303" s="27" t="n">
        <v>2800</v>
      </c>
      <c r="F303" s="28" t="inlineStr">
        <is>
          <t>Historical monthly total (pre per-category / per-tier tracking)</t>
        </is>
      </c>
      <c r="G303" s="28">
        <f>IF(IFERROR(INDEX(Categories!$C$2:$C$200,MATCH(B303,Categories!$A$2:$A$200,0)),"N")="Y",E303,0)</f>
        <v/>
      </c>
    </row>
    <row r="304">
      <c r="A304" s="26" t="n">
        <v>42125</v>
      </c>
      <c r="B304" s="12" t="inlineStr">
        <is>
          <t>Interest</t>
        </is>
      </c>
      <c r="C304" s="12" t="inlineStr">
        <is>
          <t>Income</t>
        </is>
      </c>
      <c r="D304" s="12" t="inlineStr">
        <is>
          <t>—</t>
        </is>
      </c>
      <c r="E304" s="27" t="n">
        <v>20</v>
      </c>
      <c r="G304" s="28">
        <f>IF(IFERROR(INDEX(Categories!$C$2:$C$200,MATCH(B304,Categories!$A$2:$A$200,0)),"N")="Y",E304,0)</f>
        <v/>
      </c>
    </row>
    <row r="305">
      <c r="A305" s="26" t="n">
        <v>42125</v>
      </c>
      <c r="B305" s="12" t="inlineStr">
        <is>
          <t>Salary</t>
        </is>
      </c>
      <c r="C305" s="12" t="inlineStr">
        <is>
          <t>Income</t>
        </is>
      </c>
      <c r="D305" s="12" t="inlineStr">
        <is>
          <t>—</t>
        </is>
      </c>
      <c r="E305" s="27" t="n">
        <v>4460</v>
      </c>
      <c r="G305" s="28">
        <f>IF(IFERROR(INDEX(Categories!$C$2:$C$200,MATCH(B305,Categories!$A$2:$A$200,0)),"N")="Y",E305,0)</f>
        <v/>
      </c>
    </row>
    <row r="306">
      <c r="A306" s="26" t="n">
        <v>42125</v>
      </c>
      <c r="B306" s="12" t="inlineStr">
        <is>
          <t>Uncategorised</t>
        </is>
      </c>
      <c r="C306" s="12" t="inlineStr">
        <is>
          <t>Actual</t>
        </is>
      </c>
      <c r="D306" s="12" t="inlineStr">
        <is>
          <t>Core</t>
        </is>
      </c>
      <c r="E306" s="27" t="n">
        <v>2920</v>
      </c>
      <c r="F306" s="28" t="inlineStr">
        <is>
          <t>Historical monthly total (pre per-category / per-tier tracking)</t>
        </is>
      </c>
      <c r="G306" s="28">
        <f>IF(IFERROR(INDEX(Categories!$C$2:$C$200,MATCH(B306,Categories!$A$2:$A$200,0)),"N")="Y",E306,0)</f>
        <v/>
      </c>
    </row>
    <row r="307">
      <c r="A307" s="26" t="n">
        <v>42156</v>
      </c>
      <c r="B307" s="12" t="inlineStr">
        <is>
          <t>Dividends</t>
        </is>
      </c>
      <c r="C307" s="12" t="inlineStr">
        <is>
          <t>Income</t>
        </is>
      </c>
      <c r="D307" s="12" t="inlineStr">
        <is>
          <t>—</t>
        </is>
      </c>
      <c r="E307" s="27" t="n">
        <v>150</v>
      </c>
      <c r="G307" s="28">
        <f>IF(IFERROR(INDEX(Categories!$C$2:$C$200,MATCH(B307,Categories!$A$2:$A$200,0)),"N")="Y",E307,0)</f>
        <v/>
      </c>
    </row>
    <row r="308">
      <c r="A308" s="26" t="n">
        <v>42156</v>
      </c>
      <c r="B308" s="12" t="inlineStr">
        <is>
          <t>Interest</t>
        </is>
      </c>
      <c r="C308" s="12" t="inlineStr">
        <is>
          <t>Income</t>
        </is>
      </c>
      <c r="D308" s="12" t="inlineStr">
        <is>
          <t>—</t>
        </is>
      </c>
      <c r="E308" s="27" t="n">
        <v>20</v>
      </c>
      <c r="G308" s="28">
        <f>IF(IFERROR(INDEX(Categories!$C$2:$C$200,MATCH(B308,Categories!$A$2:$A$200,0)),"N")="Y",E308,0)</f>
        <v/>
      </c>
    </row>
    <row r="309">
      <c r="A309" s="26" t="n">
        <v>42156</v>
      </c>
      <c r="B309" s="12" t="inlineStr">
        <is>
          <t>Salary</t>
        </is>
      </c>
      <c r="C309" s="12" t="inlineStr">
        <is>
          <t>Income</t>
        </is>
      </c>
      <c r="D309" s="12" t="inlineStr">
        <is>
          <t>—</t>
        </is>
      </c>
      <c r="E309" s="27" t="n">
        <v>4510</v>
      </c>
      <c r="G309" s="28">
        <f>IF(IFERROR(INDEX(Categories!$C$2:$C$200,MATCH(B309,Categories!$A$2:$A$200,0)),"N")="Y",E309,0)</f>
        <v/>
      </c>
    </row>
    <row r="310">
      <c r="A310" s="26" t="n">
        <v>42156</v>
      </c>
      <c r="B310" s="12" t="inlineStr">
        <is>
          <t>Uncategorised</t>
        </is>
      </c>
      <c r="C310" s="12" t="inlineStr">
        <is>
          <t>Actual</t>
        </is>
      </c>
      <c r="D310" s="12" t="inlineStr">
        <is>
          <t>Core</t>
        </is>
      </c>
      <c r="E310" s="27" t="n">
        <v>3040</v>
      </c>
      <c r="F310" s="28" t="inlineStr">
        <is>
          <t>Historical monthly total (pre per-category / per-tier tracking)</t>
        </is>
      </c>
      <c r="G310" s="28">
        <f>IF(IFERROR(INDEX(Categories!$C$2:$C$200,MATCH(B310,Categories!$A$2:$A$200,0)),"N")="Y",E310,0)</f>
        <v/>
      </c>
    </row>
    <row r="311">
      <c r="A311" s="26" t="n">
        <v>42186</v>
      </c>
      <c r="B311" s="12" t="inlineStr">
        <is>
          <t>Interest</t>
        </is>
      </c>
      <c r="C311" s="12" t="inlineStr">
        <is>
          <t>Income</t>
        </is>
      </c>
      <c r="D311" s="12" t="inlineStr">
        <is>
          <t>—</t>
        </is>
      </c>
      <c r="E311" s="27" t="n">
        <v>20</v>
      </c>
      <c r="G311" s="28">
        <f>IF(IFERROR(INDEX(Categories!$C$2:$C$200,MATCH(B311,Categories!$A$2:$A$200,0)),"N")="Y",E311,0)</f>
        <v/>
      </c>
    </row>
    <row r="312">
      <c r="A312" s="26" t="n">
        <v>42186</v>
      </c>
      <c r="B312" s="12" t="inlineStr">
        <is>
          <t>Salary</t>
        </is>
      </c>
      <c r="C312" s="12" t="inlineStr">
        <is>
          <t>Income</t>
        </is>
      </c>
      <c r="D312" s="12" t="inlineStr">
        <is>
          <t>—</t>
        </is>
      </c>
      <c r="E312" s="27" t="n">
        <v>4260</v>
      </c>
      <c r="G312" s="28">
        <f>IF(IFERROR(INDEX(Categories!$C$2:$C$200,MATCH(B312,Categories!$A$2:$A$200,0)),"N")="Y",E312,0)</f>
        <v/>
      </c>
    </row>
    <row r="313">
      <c r="A313" s="26" t="n">
        <v>42186</v>
      </c>
      <c r="B313" s="12" t="inlineStr">
        <is>
          <t>Uncategorised</t>
        </is>
      </c>
      <c r="C313" s="12" t="inlineStr">
        <is>
          <t>Actual</t>
        </is>
      </c>
      <c r="D313" s="12" t="inlineStr">
        <is>
          <t>Core</t>
        </is>
      </c>
      <c r="E313" s="27" t="n">
        <v>2560</v>
      </c>
      <c r="F313" s="28" t="inlineStr">
        <is>
          <t>Historical monthly total (pre per-category / per-tier tracking)</t>
        </is>
      </c>
      <c r="G313" s="28">
        <f>IF(IFERROR(INDEX(Categories!$C$2:$C$200,MATCH(B313,Categories!$A$2:$A$200,0)),"N")="Y",E313,0)</f>
        <v/>
      </c>
    </row>
    <row r="314">
      <c r="A314" s="26" t="n">
        <v>42217</v>
      </c>
      <c r="B314" s="12" t="inlineStr">
        <is>
          <t>Interest</t>
        </is>
      </c>
      <c r="C314" s="12" t="inlineStr">
        <is>
          <t>Income</t>
        </is>
      </c>
      <c r="D314" s="12" t="inlineStr">
        <is>
          <t>—</t>
        </is>
      </c>
      <c r="E314" s="27" t="n">
        <v>20</v>
      </c>
      <c r="G314" s="28">
        <f>IF(IFERROR(INDEX(Categories!$C$2:$C$200,MATCH(B314,Categories!$A$2:$A$200,0)),"N")="Y",E314,0)</f>
        <v/>
      </c>
    </row>
    <row r="315">
      <c r="A315" s="26" t="n">
        <v>42217</v>
      </c>
      <c r="B315" s="12" t="inlineStr">
        <is>
          <t>Salary</t>
        </is>
      </c>
      <c r="C315" s="12" t="inlineStr">
        <is>
          <t>Income</t>
        </is>
      </c>
      <c r="D315" s="12" t="inlineStr">
        <is>
          <t>—</t>
        </is>
      </c>
      <c r="E315" s="27" t="n">
        <v>4310</v>
      </c>
      <c r="G315" s="28">
        <f>IF(IFERROR(INDEX(Categories!$C$2:$C$200,MATCH(B315,Categories!$A$2:$A$200,0)),"N")="Y",E315,0)</f>
        <v/>
      </c>
    </row>
    <row r="316">
      <c r="A316" s="26" t="n">
        <v>42217</v>
      </c>
      <c r="B316" s="12" t="inlineStr">
        <is>
          <t>Uncategorised</t>
        </is>
      </c>
      <c r="C316" s="12" t="inlineStr">
        <is>
          <t>Actual</t>
        </is>
      </c>
      <c r="D316" s="12" t="inlineStr">
        <is>
          <t>Core</t>
        </is>
      </c>
      <c r="E316" s="27" t="n">
        <v>2680</v>
      </c>
      <c r="F316" s="28" t="inlineStr">
        <is>
          <t>Historical monthly total (pre per-category / per-tier tracking)</t>
        </is>
      </c>
      <c r="G316" s="28">
        <f>IF(IFERROR(INDEX(Categories!$C$2:$C$200,MATCH(B316,Categories!$A$2:$A$200,0)),"N")="Y",E316,0)</f>
        <v/>
      </c>
    </row>
    <row r="317">
      <c r="A317" s="26" t="n">
        <v>42248</v>
      </c>
      <c r="B317" s="12" t="inlineStr">
        <is>
          <t>Dividends</t>
        </is>
      </c>
      <c r="C317" s="12" t="inlineStr">
        <is>
          <t>Income</t>
        </is>
      </c>
      <c r="D317" s="12" t="inlineStr">
        <is>
          <t>—</t>
        </is>
      </c>
      <c r="E317" s="27" t="n">
        <v>150</v>
      </c>
      <c r="G317" s="28">
        <f>IF(IFERROR(INDEX(Categories!$C$2:$C$200,MATCH(B317,Categories!$A$2:$A$200,0)),"N")="Y",E317,0)</f>
        <v/>
      </c>
    </row>
    <row r="318">
      <c r="A318" s="26" t="n">
        <v>42248</v>
      </c>
      <c r="B318" s="12" t="inlineStr">
        <is>
          <t>Interest</t>
        </is>
      </c>
      <c r="C318" s="12" t="inlineStr">
        <is>
          <t>Income</t>
        </is>
      </c>
      <c r="D318" s="12" t="inlineStr">
        <is>
          <t>—</t>
        </is>
      </c>
      <c r="E318" s="27" t="n">
        <v>20</v>
      </c>
      <c r="G318" s="28">
        <f>IF(IFERROR(INDEX(Categories!$C$2:$C$200,MATCH(B318,Categories!$A$2:$A$200,0)),"N")="Y",E318,0)</f>
        <v/>
      </c>
    </row>
    <row r="319">
      <c r="A319" s="26" t="n">
        <v>42248</v>
      </c>
      <c r="B319" s="12" t="inlineStr">
        <is>
          <t>Salary</t>
        </is>
      </c>
      <c r="C319" s="12" t="inlineStr">
        <is>
          <t>Income</t>
        </is>
      </c>
      <c r="D319" s="12" t="inlineStr">
        <is>
          <t>—</t>
        </is>
      </c>
      <c r="E319" s="27" t="n">
        <v>4360</v>
      </c>
      <c r="G319" s="28">
        <f>IF(IFERROR(INDEX(Categories!$C$2:$C$200,MATCH(B319,Categories!$A$2:$A$200,0)),"N")="Y",E319,0)</f>
        <v/>
      </c>
    </row>
    <row r="320">
      <c r="A320" s="26" t="n">
        <v>42248</v>
      </c>
      <c r="B320" s="12" t="inlineStr">
        <is>
          <t>Uncategorised</t>
        </is>
      </c>
      <c r="C320" s="12" t="inlineStr">
        <is>
          <t>Actual</t>
        </is>
      </c>
      <c r="D320" s="12" t="inlineStr">
        <is>
          <t>Core</t>
        </is>
      </c>
      <c r="E320" s="27" t="n">
        <v>2800</v>
      </c>
      <c r="F320" s="28" t="inlineStr">
        <is>
          <t>Historical monthly total (pre per-category / per-tier tracking)</t>
        </is>
      </c>
      <c r="G320" s="28">
        <f>IF(IFERROR(INDEX(Categories!$C$2:$C$200,MATCH(B320,Categories!$A$2:$A$200,0)),"N")="Y",E320,0)</f>
        <v/>
      </c>
    </row>
    <row r="321">
      <c r="A321" s="26" t="n">
        <v>42278</v>
      </c>
      <c r="B321" s="12" t="inlineStr">
        <is>
          <t>Interest</t>
        </is>
      </c>
      <c r="C321" s="12" t="inlineStr">
        <is>
          <t>Income</t>
        </is>
      </c>
      <c r="D321" s="12" t="inlineStr">
        <is>
          <t>—</t>
        </is>
      </c>
      <c r="E321" s="27" t="n">
        <v>20</v>
      </c>
      <c r="G321" s="28">
        <f>IF(IFERROR(INDEX(Categories!$C$2:$C$200,MATCH(B321,Categories!$A$2:$A$200,0)),"N")="Y",E321,0)</f>
        <v/>
      </c>
    </row>
    <row r="322">
      <c r="A322" s="26" t="n">
        <v>42278</v>
      </c>
      <c r="B322" s="12" t="inlineStr">
        <is>
          <t>Salary</t>
        </is>
      </c>
      <c r="C322" s="12" t="inlineStr">
        <is>
          <t>Income</t>
        </is>
      </c>
      <c r="D322" s="12" t="inlineStr">
        <is>
          <t>—</t>
        </is>
      </c>
      <c r="E322" s="27" t="n">
        <v>4410</v>
      </c>
      <c r="G322" s="28">
        <f>IF(IFERROR(INDEX(Categories!$C$2:$C$200,MATCH(B322,Categories!$A$2:$A$200,0)),"N")="Y",E322,0)</f>
        <v/>
      </c>
    </row>
    <row r="323">
      <c r="A323" s="26" t="n">
        <v>42278</v>
      </c>
      <c r="B323" s="12" t="inlineStr">
        <is>
          <t>Uncategorised</t>
        </is>
      </c>
      <c r="C323" s="12" t="inlineStr">
        <is>
          <t>Actual</t>
        </is>
      </c>
      <c r="D323" s="12" t="inlineStr">
        <is>
          <t>Core</t>
        </is>
      </c>
      <c r="E323" s="27" t="n">
        <v>2920</v>
      </c>
      <c r="F323" s="28" t="inlineStr">
        <is>
          <t>Historical monthly total (pre per-category / per-tier tracking)</t>
        </is>
      </c>
      <c r="G323" s="28">
        <f>IF(IFERROR(INDEX(Categories!$C$2:$C$200,MATCH(B323,Categories!$A$2:$A$200,0)),"N")="Y",E323,0)</f>
        <v/>
      </c>
    </row>
    <row r="324">
      <c r="A324" s="26" t="n">
        <v>42309</v>
      </c>
      <c r="B324" s="12" t="inlineStr">
        <is>
          <t>Interest</t>
        </is>
      </c>
      <c r="C324" s="12" t="inlineStr">
        <is>
          <t>Income</t>
        </is>
      </c>
      <c r="D324" s="12" t="inlineStr">
        <is>
          <t>—</t>
        </is>
      </c>
      <c r="E324" s="27" t="n">
        <v>20</v>
      </c>
      <c r="G324" s="28">
        <f>IF(IFERROR(INDEX(Categories!$C$2:$C$200,MATCH(B324,Categories!$A$2:$A$200,0)),"N")="Y",E324,0)</f>
        <v/>
      </c>
    </row>
    <row r="325">
      <c r="A325" s="26" t="n">
        <v>42309</v>
      </c>
      <c r="B325" s="12" t="inlineStr">
        <is>
          <t>Salary</t>
        </is>
      </c>
      <c r="C325" s="12" t="inlineStr">
        <is>
          <t>Income</t>
        </is>
      </c>
      <c r="D325" s="12" t="inlineStr">
        <is>
          <t>—</t>
        </is>
      </c>
      <c r="E325" s="27" t="n">
        <v>4460</v>
      </c>
      <c r="G325" s="28">
        <f>IF(IFERROR(INDEX(Categories!$C$2:$C$200,MATCH(B325,Categories!$A$2:$A$200,0)),"N")="Y",E325,0)</f>
        <v/>
      </c>
    </row>
    <row r="326">
      <c r="A326" s="26" t="n">
        <v>42309</v>
      </c>
      <c r="B326" s="12" t="inlineStr">
        <is>
          <t>Uncategorised</t>
        </is>
      </c>
      <c r="C326" s="12" t="inlineStr">
        <is>
          <t>Actual</t>
        </is>
      </c>
      <c r="D326" s="12" t="inlineStr">
        <is>
          <t>Core</t>
        </is>
      </c>
      <c r="E326" s="27" t="n">
        <v>3040</v>
      </c>
      <c r="F326" s="28" t="inlineStr">
        <is>
          <t>Historical monthly total (pre per-category / per-tier tracking)</t>
        </is>
      </c>
      <c r="G326" s="28">
        <f>IF(IFERROR(INDEX(Categories!$C$2:$C$200,MATCH(B326,Categories!$A$2:$A$200,0)),"N")="Y",E326,0)</f>
        <v/>
      </c>
    </row>
    <row r="327">
      <c r="A327" s="26" t="n">
        <v>42339</v>
      </c>
      <c r="B327" s="12" t="inlineStr">
        <is>
          <t>Bonus/Claims</t>
        </is>
      </c>
      <c r="C327" s="12" t="inlineStr">
        <is>
          <t>Income</t>
        </is>
      </c>
      <c r="D327" s="12" t="inlineStr">
        <is>
          <t>—</t>
        </is>
      </c>
      <c r="E327" s="27" t="n">
        <v>4510</v>
      </c>
      <c r="G327" s="28">
        <f>IF(IFERROR(INDEX(Categories!$C$2:$C$200,MATCH(B327,Categories!$A$2:$A$200,0)),"N")="Y",E327,0)</f>
        <v/>
      </c>
    </row>
    <row r="328">
      <c r="A328" s="26" t="n">
        <v>42339</v>
      </c>
      <c r="B328" s="12" t="inlineStr">
        <is>
          <t>Dividends</t>
        </is>
      </c>
      <c r="C328" s="12" t="inlineStr">
        <is>
          <t>Income</t>
        </is>
      </c>
      <c r="D328" s="12" t="inlineStr">
        <is>
          <t>—</t>
        </is>
      </c>
      <c r="E328" s="27" t="n">
        <v>150</v>
      </c>
      <c r="G328" s="28">
        <f>IF(IFERROR(INDEX(Categories!$C$2:$C$200,MATCH(B328,Categories!$A$2:$A$200,0)),"N")="Y",E328,0)</f>
        <v/>
      </c>
    </row>
    <row r="329">
      <c r="A329" s="26" t="n">
        <v>42339</v>
      </c>
      <c r="B329" s="12" t="inlineStr">
        <is>
          <t>Interest</t>
        </is>
      </c>
      <c r="C329" s="12" t="inlineStr">
        <is>
          <t>Income</t>
        </is>
      </c>
      <c r="D329" s="12" t="inlineStr">
        <is>
          <t>—</t>
        </is>
      </c>
      <c r="E329" s="27" t="n">
        <v>20</v>
      </c>
      <c r="G329" s="28">
        <f>IF(IFERROR(INDEX(Categories!$C$2:$C$200,MATCH(B329,Categories!$A$2:$A$200,0)),"N")="Y",E329,0)</f>
        <v/>
      </c>
    </row>
    <row r="330">
      <c r="A330" s="26" t="n">
        <v>42339</v>
      </c>
      <c r="B330" s="12" t="inlineStr">
        <is>
          <t>Salary</t>
        </is>
      </c>
      <c r="C330" s="12" t="inlineStr">
        <is>
          <t>Income</t>
        </is>
      </c>
      <c r="D330" s="12" t="inlineStr">
        <is>
          <t>—</t>
        </is>
      </c>
      <c r="E330" s="27" t="n">
        <v>4510</v>
      </c>
      <c r="G330" s="28">
        <f>IF(IFERROR(INDEX(Categories!$C$2:$C$200,MATCH(B330,Categories!$A$2:$A$200,0)),"N")="Y",E330,0)</f>
        <v/>
      </c>
    </row>
    <row r="331">
      <c r="A331" s="26" t="n">
        <v>42339</v>
      </c>
      <c r="B331" s="12" t="inlineStr">
        <is>
          <t>Uncategorised</t>
        </is>
      </c>
      <c r="C331" s="12" t="inlineStr">
        <is>
          <t>Actual</t>
        </is>
      </c>
      <c r="D331" s="12" t="inlineStr">
        <is>
          <t>Core</t>
        </is>
      </c>
      <c r="E331" s="27" t="n">
        <v>2560</v>
      </c>
      <c r="F331" s="28" t="inlineStr">
        <is>
          <t>Historical monthly total (pre per-category / per-tier tracking)</t>
        </is>
      </c>
      <c r="G331" s="28">
        <f>IF(IFERROR(INDEX(Categories!$C$2:$C$200,MATCH(B331,Categories!$A$2:$A$200,0)),"N")="Y",E331,0)</f>
        <v/>
      </c>
    </row>
    <row r="332">
      <c r="A332" s="26" t="n">
        <v>42370</v>
      </c>
      <c r="B332" s="12" t="inlineStr">
        <is>
          <t>Interest</t>
        </is>
      </c>
      <c r="C332" s="12" t="inlineStr">
        <is>
          <t>Income</t>
        </is>
      </c>
      <c r="D332" s="12" t="inlineStr">
        <is>
          <t>—</t>
        </is>
      </c>
      <c r="E332" s="27" t="n">
        <v>20</v>
      </c>
      <c r="G332" s="28">
        <f>IF(IFERROR(INDEX(Categories!$C$2:$C$200,MATCH(B332,Categories!$A$2:$A$200,0)),"N")="Y",E332,0)</f>
        <v/>
      </c>
    </row>
    <row r="333">
      <c r="A333" s="26" t="n">
        <v>42370</v>
      </c>
      <c r="B333" s="12" t="inlineStr">
        <is>
          <t>Salary</t>
        </is>
      </c>
      <c r="C333" s="12" t="inlineStr">
        <is>
          <t>Income</t>
        </is>
      </c>
      <c r="D333" s="12" t="inlineStr">
        <is>
          <t>—</t>
        </is>
      </c>
      <c r="E333" s="27" t="n">
        <v>4440</v>
      </c>
      <c r="G333" s="28">
        <f>IF(IFERROR(INDEX(Categories!$C$2:$C$200,MATCH(B333,Categories!$A$2:$A$200,0)),"N")="Y",E333,0)</f>
        <v/>
      </c>
    </row>
    <row r="334">
      <c r="A334" s="26" t="n">
        <v>42370</v>
      </c>
      <c r="B334" s="12" t="inlineStr">
        <is>
          <t>Uncategorised</t>
        </is>
      </c>
      <c r="C334" s="12" t="inlineStr">
        <is>
          <t>Actual</t>
        </is>
      </c>
      <c r="D334" s="12" t="inlineStr">
        <is>
          <t>Core</t>
        </is>
      </c>
      <c r="E334" s="27" t="n">
        <v>2760</v>
      </c>
      <c r="F334" s="28" t="inlineStr">
        <is>
          <t>Historical monthly total (pre per-category / per-tier tracking)</t>
        </is>
      </c>
      <c r="G334" s="28">
        <f>IF(IFERROR(INDEX(Categories!$C$2:$C$200,MATCH(B334,Categories!$A$2:$A$200,0)),"N")="Y",E334,0)</f>
        <v/>
      </c>
    </row>
    <row r="335">
      <c r="A335" s="26" t="n">
        <v>42401</v>
      </c>
      <c r="B335" s="12" t="inlineStr">
        <is>
          <t>Interest</t>
        </is>
      </c>
      <c r="C335" s="12" t="inlineStr">
        <is>
          <t>Income</t>
        </is>
      </c>
      <c r="D335" s="12" t="inlineStr">
        <is>
          <t>—</t>
        </is>
      </c>
      <c r="E335" s="27" t="n">
        <v>20</v>
      </c>
      <c r="G335" s="28">
        <f>IF(IFERROR(INDEX(Categories!$C$2:$C$200,MATCH(B335,Categories!$A$2:$A$200,0)),"N")="Y",E335,0)</f>
        <v/>
      </c>
    </row>
    <row r="336">
      <c r="A336" s="26" t="n">
        <v>42401</v>
      </c>
      <c r="B336" s="12" t="inlineStr">
        <is>
          <t>Salary</t>
        </is>
      </c>
      <c r="C336" s="12" t="inlineStr">
        <is>
          <t>Income</t>
        </is>
      </c>
      <c r="D336" s="12" t="inlineStr">
        <is>
          <t>—</t>
        </is>
      </c>
      <c r="E336" s="27" t="n">
        <v>4490</v>
      </c>
      <c r="G336" s="28">
        <f>IF(IFERROR(INDEX(Categories!$C$2:$C$200,MATCH(B336,Categories!$A$2:$A$200,0)),"N")="Y",E336,0)</f>
        <v/>
      </c>
    </row>
    <row r="337">
      <c r="A337" s="26" t="n">
        <v>42401</v>
      </c>
      <c r="B337" s="12" t="inlineStr">
        <is>
          <t>Uncategorised</t>
        </is>
      </c>
      <c r="C337" s="12" t="inlineStr">
        <is>
          <t>Actual</t>
        </is>
      </c>
      <c r="D337" s="12" t="inlineStr">
        <is>
          <t>Core</t>
        </is>
      </c>
      <c r="E337" s="27" t="n">
        <v>2880</v>
      </c>
      <c r="F337" s="28" t="inlineStr">
        <is>
          <t>Historical monthly total (pre per-category / per-tier tracking)</t>
        </is>
      </c>
      <c r="G337" s="28">
        <f>IF(IFERROR(INDEX(Categories!$C$2:$C$200,MATCH(B337,Categories!$A$2:$A$200,0)),"N")="Y",E337,0)</f>
        <v/>
      </c>
    </row>
    <row r="338">
      <c r="A338" s="26" t="n">
        <v>42430</v>
      </c>
      <c r="B338" s="12" t="inlineStr">
        <is>
          <t>Dividends</t>
        </is>
      </c>
      <c r="C338" s="12" t="inlineStr">
        <is>
          <t>Income</t>
        </is>
      </c>
      <c r="D338" s="12" t="inlineStr">
        <is>
          <t>—</t>
        </is>
      </c>
      <c r="E338" s="27" t="n">
        <v>150</v>
      </c>
      <c r="G338" s="28">
        <f>IF(IFERROR(INDEX(Categories!$C$2:$C$200,MATCH(B338,Categories!$A$2:$A$200,0)),"N")="Y",E338,0)</f>
        <v/>
      </c>
    </row>
    <row r="339">
      <c r="A339" s="26" t="n">
        <v>42430</v>
      </c>
      <c r="B339" s="12" t="inlineStr">
        <is>
          <t>Interest</t>
        </is>
      </c>
      <c r="C339" s="12" t="inlineStr">
        <is>
          <t>Income</t>
        </is>
      </c>
      <c r="D339" s="12" t="inlineStr">
        <is>
          <t>—</t>
        </is>
      </c>
      <c r="E339" s="27" t="n">
        <v>20</v>
      </c>
      <c r="G339" s="28">
        <f>IF(IFERROR(INDEX(Categories!$C$2:$C$200,MATCH(B339,Categories!$A$2:$A$200,0)),"N")="Y",E339,0)</f>
        <v/>
      </c>
    </row>
    <row r="340">
      <c r="A340" s="26" t="n">
        <v>42430</v>
      </c>
      <c r="B340" s="12" t="inlineStr">
        <is>
          <t>Salary</t>
        </is>
      </c>
      <c r="C340" s="12" t="inlineStr">
        <is>
          <t>Income</t>
        </is>
      </c>
      <c r="D340" s="12" t="inlineStr">
        <is>
          <t>—</t>
        </is>
      </c>
      <c r="E340" s="27" t="n">
        <v>4540</v>
      </c>
      <c r="G340" s="28">
        <f>IF(IFERROR(INDEX(Categories!$C$2:$C$200,MATCH(B340,Categories!$A$2:$A$200,0)),"N")="Y",E340,0)</f>
        <v/>
      </c>
    </row>
    <row r="341">
      <c r="A341" s="26" t="n">
        <v>42430</v>
      </c>
      <c r="B341" s="12" t="inlineStr">
        <is>
          <t>Uncategorised</t>
        </is>
      </c>
      <c r="C341" s="12" t="inlineStr">
        <is>
          <t>Actual</t>
        </is>
      </c>
      <c r="D341" s="12" t="inlineStr">
        <is>
          <t>Core</t>
        </is>
      </c>
      <c r="E341" s="27" t="n">
        <v>3000</v>
      </c>
      <c r="F341" s="28" t="inlineStr">
        <is>
          <t>Historical monthly total (pre per-category / per-tier tracking)</t>
        </is>
      </c>
      <c r="G341" s="28">
        <f>IF(IFERROR(INDEX(Categories!$C$2:$C$200,MATCH(B341,Categories!$A$2:$A$200,0)),"N")="Y",E341,0)</f>
        <v/>
      </c>
    </row>
    <row r="342">
      <c r="A342" s="26" t="n">
        <v>42461</v>
      </c>
      <c r="B342" s="12" t="inlineStr">
        <is>
          <t>Interest</t>
        </is>
      </c>
      <c r="C342" s="12" t="inlineStr">
        <is>
          <t>Income</t>
        </is>
      </c>
      <c r="D342" s="12" t="inlineStr">
        <is>
          <t>—</t>
        </is>
      </c>
      <c r="E342" s="27" t="n">
        <v>20</v>
      </c>
      <c r="G342" s="28">
        <f>IF(IFERROR(INDEX(Categories!$C$2:$C$200,MATCH(B342,Categories!$A$2:$A$200,0)),"N")="Y",E342,0)</f>
        <v/>
      </c>
    </row>
    <row r="343">
      <c r="A343" s="26" t="n">
        <v>42461</v>
      </c>
      <c r="B343" s="12" t="inlineStr">
        <is>
          <t>Salary</t>
        </is>
      </c>
      <c r="C343" s="12" t="inlineStr">
        <is>
          <t>Income</t>
        </is>
      </c>
      <c r="D343" s="12" t="inlineStr">
        <is>
          <t>—</t>
        </is>
      </c>
      <c r="E343" s="27" t="n">
        <v>4590</v>
      </c>
      <c r="G343" s="28">
        <f>IF(IFERROR(INDEX(Categories!$C$2:$C$200,MATCH(B343,Categories!$A$2:$A$200,0)),"N")="Y",E343,0)</f>
        <v/>
      </c>
    </row>
    <row r="344">
      <c r="A344" s="26" t="n">
        <v>42461</v>
      </c>
      <c r="B344" s="12" t="inlineStr">
        <is>
          <t>Uncategorised</t>
        </is>
      </c>
      <c r="C344" s="12" t="inlineStr">
        <is>
          <t>Actual</t>
        </is>
      </c>
      <c r="D344" s="12" t="inlineStr">
        <is>
          <t>Core</t>
        </is>
      </c>
      <c r="E344" s="27" t="n">
        <v>3120</v>
      </c>
      <c r="F344" s="28" t="inlineStr">
        <is>
          <t>Historical monthly total (pre per-category / per-tier tracking)</t>
        </is>
      </c>
      <c r="G344" s="28">
        <f>IF(IFERROR(INDEX(Categories!$C$2:$C$200,MATCH(B344,Categories!$A$2:$A$200,0)),"N")="Y",E344,0)</f>
        <v/>
      </c>
    </row>
    <row r="345">
      <c r="A345" s="26" t="n">
        <v>42491</v>
      </c>
      <c r="B345" s="12" t="inlineStr">
        <is>
          <t>Interest</t>
        </is>
      </c>
      <c r="C345" s="12" t="inlineStr">
        <is>
          <t>Income</t>
        </is>
      </c>
      <c r="D345" s="12" t="inlineStr">
        <is>
          <t>—</t>
        </is>
      </c>
      <c r="E345" s="27" t="n">
        <v>20</v>
      </c>
      <c r="G345" s="28">
        <f>IF(IFERROR(INDEX(Categories!$C$2:$C$200,MATCH(B345,Categories!$A$2:$A$200,0)),"N")="Y",E345,0)</f>
        <v/>
      </c>
    </row>
    <row r="346">
      <c r="A346" s="26" t="n">
        <v>42491</v>
      </c>
      <c r="B346" s="12" t="inlineStr">
        <is>
          <t>Salary</t>
        </is>
      </c>
      <c r="C346" s="12" t="inlineStr">
        <is>
          <t>Income</t>
        </is>
      </c>
      <c r="D346" s="12" t="inlineStr">
        <is>
          <t>—</t>
        </is>
      </c>
      <c r="E346" s="27" t="n">
        <v>4640</v>
      </c>
      <c r="G346" s="28">
        <f>IF(IFERROR(INDEX(Categories!$C$2:$C$200,MATCH(B346,Categories!$A$2:$A$200,0)),"N")="Y",E346,0)</f>
        <v/>
      </c>
    </row>
    <row r="347">
      <c r="A347" s="26" t="n">
        <v>42491</v>
      </c>
      <c r="B347" s="12" t="inlineStr">
        <is>
          <t>Uncategorised</t>
        </is>
      </c>
      <c r="C347" s="12" t="inlineStr">
        <is>
          <t>Actual</t>
        </is>
      </c>
      <c r="D347" s="12" t="inlineStr">
        <is>
          <t>Core</t>
        </is>
      </c>
      <c r="E347" s="27" t="n">
        <v>2640</v>
      </c>
      <c r="F347" s="28" t="inlineStr">
        <is>
          <t>Historical monthly total (pre per-category / per-tier tracking)</t>
        </is>
      </c>
      <c r="G347" s="28">
        <f>IF(IFERROR(INDEX(Categories!$C$2:$C$200,MATCH(B347,Categories!$A$2:$A$200,0)),"N")="Y",E347,0)</f>
        <v/>
      </c>
    </row>
    <row r="348">
      <c r="A348" s="26" t="n">
        <v>42522</v>
      </c>
      <c r="B348" s="12" t="inlineStr">
        <is>
          <t>Dividends</t>
        </is>
      </c>
      <c r="C348" s="12" t="inlineStr">
        <is>
          <t>Income</t>
        </is>
      </c>
      <c r="D348" s="12" t="inlineStr">
        <is>
          <t>—</t>
        </is>
      </c>
      <c r="E348" s="27" t="n">
        <v>150</v>
      </c>
      <c r="G348" s="28">
        <f>IF(IFERROR(INDEX(Categories!$C$2:$C$200,MATCH(B348,Categories!$A$2:$A$200,0)),"N")="Y",E348,0)</f>
        <v/>
      </c>
    </row>
    <row r="349">
      <c r="A349" s="26" t="n">
        <v>42522</v>
      </c>
      <c r="B349" s="12" t="inlineStr">
        <is>
          <t>Interest</t>
        </is>
      </c>
      <c r="C349" s="12" t="inlineStr">
        <is>
          <t>Income</t>
        </is>
      </c>
      <c r="D349" s="12" t="inlineStr">
        <is>
          <t>—</t>
        </is>
      </c>
      <c r="E349" s="27" t="n">
        <v>20</v>
      </c>
      <c r="G349" s="28">
        <f>IF(IFERROR(INDEX(Categories!$C$2:$C$200,MATCH(B349,Categories!$A$2:$A$200,0)),"N")="Y",E349,0)</f>
        <v/>
      </c>
    </row>
    <row r="350">
      <c r="A350" s="26" t="n">
        <v>42522</v>
      </c>
      <c r="B350" s="12" t="inlineStr">
        <is>
          <t>Salary</t>
        </is>
      </c>
      <c r="C350" s="12" t="inlineStr">
        <is>
          <t>Income</t>
        </is>
      </c>
      <c r="D350" s="12" t="inlineStr">
        <is>
          <t>—</t>
        </is>
      </c>
      <c r="E350" s="27" t="n">
        <v>4690</v>
      </c>
      <c r="G350" s="28">
        <f>IF(IFERROR(INDEX(Categories!$C$2:$C$200,MATCH(B350,Categories!$A$2:$A$200,0)),"N")="Y",E350,0)</f>
        <v/>
      </c>
    </row>
    <row r="351">
      <c r="A351" s="26" t="n">
        <v>42522</v>
      </c>
      <c r="B351" s="12" t="inlineStr">
        <is>
          <t>Uncategorised</t>
        </is>
      </c>
      <c r="C351" s="12" t="inlineStr">
        <is>
          <t>Actual</t>
        </is>
      </c>
      <c r="D351" s="12" t="inlineStr">
        <is>
          <t>Core</t>
        </is>
      </c>
      <c r="E351" s="27" t="n">
        <v>2760</v>
      </c>
      <c r="F351" s="28" t="inlineStr">
        <is>
          <t>Historical monthly total (pre per-category / per-tier tracking)</t>
        </is>
      </c>
      <c r="G351" s="28">
        <f>IF(IFERROR(INDEX(Categories!$C$2:$C$200,MATCH(B351,Categories!$A$2:$A$200,0)),"N")="Y",E351,0)</f>
        <v/>
      </c>
    </row>
    <row r="352">
      <c r="A352" s="26" t="n">
        <v>42552</v>
      </c>
      <c r="B352" s="12" t="inlineStr">
        <is>
          <t>Interest</t>
        </is>
      </c>
      <c r="C352" s="12" t="inlineStr">
        <is>
          <t>Income</t>
        </is>
      </c>
      <c r="D352" s="12" t="inlineStr">
        <is>
          <t>—</t>
        </is>
      </c>
      <c r="E352" s="27" t="n">
        <v>20</v>
      </c>
      <c r="G352" s="28">
        <f>IF(IFERROR(INDEX(Categories!$C$2:$C$200,MATCH(B352,Categories!$A$2:$A$200,0)),"N")="Y",E352,0)</f>
        <v/>
      </c>
    </row>
    <row r="353">
      <c r="A353" s="26" t="n">
        <v>42552</v>
      </c>
      <c r="B353" s="12" t="inlineStr">
        <is>
          <t>Salary</t>
        </is>
      </c>
      <c r="C353" s="12" t="inlineStr">
        <is>
          <t>Income</t>
        </is>
      </c>
      <c r="D353" s="12" t="inlineStr">
        <is>
          <t>—</t>
        </is>
      </c>
      <c r="E353" s="27" t="n">
        <v>4440</v>
      </c>
      <c r="G353" s="28">
        <f>IF(IFERROR(INDEX(Categories!$C$2:$C$200,MATCH(B353,Categories!$A$2:$A$200,0)),"N")="Y",E353,0)</f>
        <v/>
      </c>
    </row>
    <row r="354">
      <c r="A354" s="26" t="n">
        <v>42552</v>
      </c>
      <c r="B354" s="12" t="inlineStr">
        <is>
          <t>Uncategorised</t>
        </is>
      </c>
      <c r="C354" s="12" t="inlineStr">
        <is>
          <t>Actual</t>
        </is>
      </c>
      <c r="D354" s="12" t="inlineStr">
        <is>
          <t>Core</t>
        </is>
      </c>
      <c r="E354" s="27" t="n">
        <v>2880</v>
      </c>
      <c r="F354" s="28" t="inlineStr">
        <is>
          <t>Historical monthly total (pre per-category / per-tier tracking)</t>
        </is>
      </c>
      <c r="G354" s="28">
        <f>IF(IFERROR(INDEX(Categories!$C$2:$C$200,MATCH(B354,Categories!$A$2:$A$200,0)),"N")="Y",E354,0)</f>
        <v/>
      </c>
    </row>
    <row r="355">
      <c r="A355" s="26" t="n">
        <v>42583</v>
      </c>
      <c r="B355" s="12" t="inlineStr">
        <is>
          <t>Interest</t>
        </is>
      </c>
      <c r="C355" s="12" t="inlineStr">
        <is>
          <t>Income</t>
        </is>
      </c>
      <c r="D355" s="12" t="inlineStr">
        <is>
          <t>—</t>
        </is>
      </c>
      <c r="E355" s="27" t="n">
        <v>20</v>
      </c>
      <c r="G355" s="28">
        <f>IF(IFERROR(INDEX(Categories!$C$2:$C$200,MATCH(B355,Categories!$A$2:$A$200,0)),"N")="Y",E355,0)</f>
        <v/>
      </c>
    </row>
    <row r="356">
      <c r="A356" s="26" t="n">
        <v>42583</v>
      </c>
      <c r="B356" s="12" t="inlineStr">
        <is>
          <t>Salary</t>
        </is>
      </c>
      <c r="C356" s="12" t="inlineStr">
        <is>
          <t>Income</t>
        </is>
      </c>
      <c r="D356" s="12" t="inlineStr">
        <is>
          <t>—</t>
        </is>
      </c>
      <c r="E356" s="27" t="n">
        <v>4490</v>
      </c>
      <c r="G356" s="28">
        <f>IF(IFERROR(INDEX(Categories!$C$2:$C$200,MATCH(B356,Categories!$A$2:$A$200,0)),"N")="Y",E356,0)</f>
        <v/>
      </c>
    </row>
    <row r="357">
      <c r="A357" s="26" t="n">
        <v>42583</v>
      </c>
      <c r="B357" s="12" t="inlineStr">
        <is>
          <t>Uncategorised</t>
        </is>
      </c>
      <c r="C357" s="12" t="inlineStr">
        <is>
          <t>Actual</t>
        </is>
      </c>
      <c r="D357" s="12" t="inlineStr">
        <is>
          <t>Core</t>
        </is>
      </c>
      <c r="E357" s="27" t="n">
        <v>3000</v>
      </c>
      <c r="F357" s="28" t="inlineStr">
        <is>
          <t>Historical monthly total (pre per-category / per-tier tracking)</t>
        </is>
      </c>
      <c r="G357" s="28">
        <f>IF(IFERROR(INDEX(Categories!$C$2:$C$200,MATCH(B357,Categories!$A$2:$A$200,0)),"N")="Y",E357,0)</f>
        <v/>
      </c>
    </row>
    <row r="358">
      <c r="A358" s="26" t="n">
        <v>42614</v>
      </c>
      <c r="B358" s="12" t="inlineStr">
        <is>
          <t>Dividends</t>
        </is>
      </c>
      <c r="C358" s="12" t="inlineStr">
        <is>
          <t>Income</t>
        </is>
      </c>
      <c r="D358" s="12" t="inlineStr">
        <is>
          <t>—</t>
        </is>
      </c>
      <c r="E358" s="27" t="n">
        <v>150</v>
      </c>
      <c r="G358" s="28">
        <f>IF(IFERROR(INDEX(Categories!$C$2:$C$200,MATCH(B358,Categories!$A$2:$A$200,0)),"N")="Y",E358,0)</f>
        <v/>
      </c>
    </row>
    <row r="359">
      <c r="A359" s="26" t="n">
        <v>42614</v>
      </c>
      <c r="B359" s="12" t="inlineStr">
        <is>
          <t>Interest</t>
        </is>
      </c>
      <c r="C359" s="12" t="inlineStr">
        <is>
          <t>Income</t>
        </is>
      </c>
      <c r="D359" s="12" t="inlineStr">
        <is>
          <t>—</t>
        </is>
      </c>
      <c r="E359" s="27" t="n">
        <v>20</v>
      </c>
      <c r="G359" s="28">
        <f>IF(IFERROR(INDEX(Categories!$C$2:$C$200,MATCH(B359,Categories!$A$2:$A$200,0)),"N")="Y",E359,0)</f>
        <v/>
      </c>
    </row>
    <row r="360">
      <c r="A360" s="26" t="n">
        <v>42614</v>
      </c>
      <c r="B360" s="12" t="inlineStr">
        <is>
          <t>Salary</t>
        </is>
      </c>
      <c r="C360" s="12" t="inlineStr">
        <is>
          <t>Income</t>
        </is>
      </c>
      <c r="D360" s="12" t="inlineStr">
        <is>
          <t>—</t>
        </is>
      </c>
      <c r="E360" s="27" t="n">
        <v>4540</v>
      </c>
      <c r="G360" s="28">
        <f>IF(IFERROR(INDEX(Categories!$C$2:$C$200,MATCH(B360,Categories!$A$2:$A$200,0)),"N")="Y",E360,0)</f>
        <v/>
      </c>
    </row>
    <row r="361">
      <c r="A361" s="26" t="n">
        <v>42614</v>
      </c>
      <c r="B361" s="12" t="inlineStr">
        <is>
          <t>Uncategorised</t>
        </is>
      </c>
      <c r="C361" s="12" t="inlineStr">
        <is>
          <t>Actual</t>
        </is>
      </c>
      <c r="D361" s="12" t="inlineStr">
        <is>
          <t>Core</t>
        </is>
      </c>
      <c r="E361" s="27" t="n">
        <v>3120</v>
      </c>
      <c r="F361" s="28" t="inlineStr">
        <is>
          <t>Historical monthly total (pre per-category / per-tier tracking)</t>
        </is>
      </c>
      <c r="G361" s="28">
        <f>IF(IFERROR(INDEX(Categories!$C$2:$C$200,MATCH(B361,Categories!$A$2:$A$200,0)),"N")="Y",E361,0)</f>
        <v/>
      </c>
    </row>
    <row r="362">
      <c r="A362" s="26" t="n">
        <v>42614</v>
      </c>
      <c r="B362" s="12" t="inlineStr">
        <is>
          <t>Misc</t>
        </is>
      </c>
      <c r="C362" s="12" t="inlineStr">
        <is>
          <t>One-off</t>
        </is>
      </c>
      <c r="D362" s="12" t="inlineStr">
        <is>
          <t>One-off</t>
        </is>
      </c>
      <c r="E362" s="27" t="n">
        <v>4000</v>
      </c>
      <c r="F362" s="28" t="inlineStr">
        <is>
          <t>Sample: replacement car (downpayment)</t>
        </is>
      </c>
      <c r="G362" s="28">
        <f>IF(IFERROR(INDEX(Categories!$C$2:$C$200,MATCH(B362,Categories!$A$2:$A$200,0)),"N")="Y",E362,0)</f>
        <v/>
      </c>
    </row>
    <row r="363">
      <c r="A363" s="26" t="n">
        <v>42644</v>
      </c>
      <c r="B363" s="12" t="inlineStr">
        <is>
          <t>Interest</t>
        </is>
      </c>
      <c r="C363" s="12" t="inlineStr">
        <is>
          <t>Income</t>
        </is>
      </c>
      <c r="D363" s="12" t="inlineStr">
        <is>
          <t>—</t>
        </is>
      </c>
      <c r="E363" s="27" t="n">
        <v>20</v>
      </c>
      <c r="G363" s="28">
        <f>IF(IFERROR(INDEX(Categories!$C$2:$C$200,MATCH(B363,Categories!$A$2:$A$200,0)),"N")="Y",E363,0)</f>
        <v/>
      </c>
    </row>
    <row r="364">
      <c r="A364" s="26" t="n">
        <v>42644</v>
      </c>
      <c r="B364" s="12" t="inlineStr">
        <is>
          <t>Salary</t>
        </is>
      </c>
      <c r="C364" s="12" t="inlineStr">
        <is>
          <t>Income</t>
        </is>
      </c>
      <c r="D364" s="12" t="inlineStr">
        <is>
          <t>—</t>
        </is>
      </c>
      <c r="E364" s="27" t="n">
        <v>4590</v>
      </c>
      <c r="G364" s="28">
        <f>IF(IFERROR(INDEX(Categories!$C$2:$C$200,MATCH(B364,Categories!$A$2:$A$200,0)),"N")="Y",E364,0)</f>
        <v/>
      </c>
    </row>
    <row r="365">
      <c r="A365" s="26" t="n">
        <v>42644</v>
      </c>
      <c r="B365" s="12" t="inlineStr">
        <is>
          <t>Uncategorised</t>
        </is>
      </c>
      <c r="C365" s="12" t="inlineStr">
        <is>
          <t>Actual</t>
        </is>
      </c>
      <c r="D365" s="12" t="inlineStr">
        <is>
          <t>Core</t>
        </is>
      </c>
      <c r="E365" s="27" t="n">
        <v>2640</v>
      </c>
      <c r="F365" s="28" t="inlineStr">
        <is>
          <t>Historical monthly total (pre per-category / per-tier tracking)</t>
        </is>
      </c>
      <c r="G365" s="28">
        <f>IF(IFERROR(INDEX(Categories!$C$2:$C$200,MATCH(B365,Categories!$A$2:$A$200,0)),"N")="Y",E365,0)</f>
        <v/>
      </c>
    </row>
    <row r="366">
      <c r="A366" s="26" t="n">
        <v>42675</v>
      </c>
      <c r="B366" s="12" t="inlineStr">
        <is>
          <t>Interest</t>
        </is>
      </c>
      <c r="C366" s="12" t="inlineStr">
        <is>
          <t>Income</t>
        </is>
      </c>
      <c r="D366" s="12" t="inlineStr">
        <is>
          <t>—</t>
        </is>
      </c>
      <c r="E366" s="27" t="n">
        <v>20</v>
      </c>
      <c r="G366" s="28">
        <f>IF(IFERROR(INDEX(Categories!$C$2:$C$200,MATCH(B366,Categories!$A$2:$A$200,0)),"N")="Y",E366,0)</f>
        <v/>
      </c>
    </row>
    <row r="367">
      <c r="A367" s="26" t="n">
        <v>42675</v>
      </c>
      <c r="B367" s="12" t="inlineStr">
        <is>
          <t>Salary</t>
        </is>
      </c>
      <c r="C367" s="12" t="inlineStr">
        <is>
          <t>Income</t>
        </is>
      </c>
      <c r="D367" s="12" t="inlineStr">
        <is>
          <t>—</t>
        </is>
      </c>
      <c r="E367" s="27" t="n">
        <v>4640</v>
      </c>
      <c r="G367" s="28">
        <f>IF(IFERROR(INDEX(Categories!$C$2:$C$200,MATCH(B367,Categories!$A$2:$A$200,0)),"N")="Y",E367,0)</f>
        <v/>
      </c>
    </row>
    <row r="368">
      <c r="A368" s="26" t="n">
        <v>42675</v>
      </c>
      <c r="B368" s="12" t="inlineStr">
        <is>
          <t>Uncategorised</t>
        </is>
      </c>
      <c r="C368" s="12" t="inlineStr">
        <is>
          <t>Actual</t>
        </is>
      </c>
      <c r="D368" s="12" t="inlineStr">
        <is>
          <t>Core</t>
        </is>
      </c>
      <c r="E368" s="27" t="n">
        <v>2760</v>
      </c>
      <c r="F368" s="28" t="inlineStr">
        <is>
          <t>Historical monthly total (pre per-category / per-tier tracking)</t>
        </is>
      </c>
      <c r="G368" s="28">
        <f>IF(IFERROR(INDEX(Categories!$C$2:$C$200,MATCH(B368,Categories!$A$2:$A$200,0)),"N")="Y",E368,0)</f>
        <v/>
      </c>
    </row>
    <row r="369">
      <c r="A369" s="26" t="n">
        <v>42705</v>
      </c>
      <c r="B369" s="12" t="inlineStr">
        <is>
          <t>Bonus/Claims</t>
        </is>
      </c>
      <c r="C369" s="12" t="inlineStr">
        <is>
          <t>Income</t>
        </is>
      </c>
      <c r="D369" s="12" t="inlineStr">
        <is>
          <t>—</t>
        </is>
      </c>
      <c r="E369" s="27" t="n">
        <v>4690</v>
      </c>
      <c r="G369" s="28">
        <f>IF(IFERROR(INDEX(Categories!$C$2:$C$200,MATCH(B369,Categories!$A$2:$A$200,0)),"N")="Y",E369,0)</f>
        <v/>
      </c>
    </row>
    <row r="370">
      <c r="A370" s="26" t="n">
        <v>42705</v>
      </c>
      <c r="B370" s="12" t="inlineStr">
        <is>
          <t>Dividends</t>
        </is>
      </c>
      <c r="C370" s="12" t="inlineStr">
        <is>
          <t>Income</t>
        </is>
      </c>
      <c r="D370" s="12" t="inlineStr">
        <is>
          <t>—</t>
        </is>
      </c>
      <c r="E370" s="27" t="n">
        <v>150</v>
      </c>
      <c r="G370" s="28">
        <f>IF(IFERROR(INDEX(Categories!$C$2:$C$200,MATCH(B370,Categories!$A$2:$A$200,0)),"N")="Y",E370,0)</f>
        <v/>
      </c>
    </row>
    <row r="371">
      <c r="A371" s="26" t="n">
        <v>42705</v>
      </c>
      <c r="B371" s="12" t="inlineStr">
        <is>
          <t>Interest</t>
        </is>
      </c>
      <c r="C371" s="12" t="inlineStr">
        <is>
          <t>Income</t>
        </is>
      </c>
      <c r="D371" s="12" t="inlineStr">
        <is>
          <t>—</t>
        </is>
      </c>
      <c r="E371" s="27" t="n">
        <v>20</v>
      </c>
      <c r="G371" s="28">
        <f>IF(IFERROR(INDEX(Categories!$C$2:$C$200,MATCH(B371,Categories!$A$2:$A$200,0)),"N")="Y",E371,0)</f>
        <v/>
      </c>
    </row>
    <row r="372">
      <c r="A372" s="26" t="n">
        <v>42705</v>
      </c>
      <c r="B372" s="12" t="inlineStr">
        <is>
          <t>Salary</t>
        </is>
      </c>
      <c r="C372" s="12" t="inlineStr">
        <is>
          <t>Income</t>
        </is>
      </c>
      <c r="D372" s="12" t="inlineStr">
        <is>
          <t>—</t>
        </is>
      </c>
      <c r="E372" s="27" t="n">
        <v>4690</v>
      </c>
      <c r="G372" s="28">
        <f>IF(IFERROR(INDEX(Categories!$C$2:$C$200,MATCH(B372,Categories!$A$2:$A$200,0)),"N")="Y",E372,0)</f>
        <v/>
      </c>
    </row>
    <row r="373">
      <c r="A373" s="26" t="n">
        <v>42705</v>
      </c>
      <c r="B373" s="12" t="inlineStr">
        <is>
          <t>Uncategorised</t>
        </is>
      </c>
      <c r="C373" s="12" t="inlineStr">
        <is>
          <t>Actual</t>
        </is>
      </c>
      <c r="D373" s="12" t="inlineStr">
        <is>
          <t>Core</t>
        </is>
      </c>
      <c r="E373" s="27" t="n">
        <v>2880</v>
      </c>
      <c r="F373" s="28" t="inlineStr">
        <is>
          <t>Historical monthly total (pre per-category / per-tier tracking)</t>
        </is>
      </c>
      <c r="G373" s="28">
        <f>IF(IFERROR(INDEX(Categories!$C$2:$C$200,MATCH(B373,Categories!$A$2:$A$200,0)),"N")="Y",E373,0)</f>
        <v/>
      </c>
    </row>
    <row r="374">
      <c r="A374" s="26" t="n">
        <v>42736</v>
      </c>
      <c r="B374" s="12" t="inlineStr">
        <is>
          <t>Interest</t>
        </is>
      </c>
      <c r="C374" s="12" t="inlineStr">
        <is>
          <t>Income</t>
        </is>
      </c>
      <c r="D374" s="12" t="inlineStr">
        <is>
          <t>—</t>
        </is>
      </c>
      <c r="E374" s="27" t="n">
        <v>20</v>
      </c>
      <c r="G374" s="28">
        <f>IF(IFERROR(INDEX(Categories!$C$2:$C$200,MATCH(B374,Categories!$A$2:$A$200,0)),"N")="Y",E374,0)</f>
        <v/>
      </c>
    </row>
    <row r="375">
      <c r="A375" s="26" t="n">
        <v>42736</v>
      </c>
      <c r="B375" s="12" t="inlineStr">
        <is>
          <t>Salary</t>
        </is>
      </c>
      <c r="C375" s="12" t="inlineStr">
        <is>
          <t>Income</t>
        </is>
      </c>
      <c r="D375" s="12" t="inlineStr">
        <is>
          <t>—</t>
        </is>
      </c>
      <c r="E375" s="27" t="n">
        <v>4620</v>
      </c>
      <c r="G375" s="28">
        <f>IF(IFERROR(INDEX(Categories!$C$2:$C$200,MATCH(B375,Categories!$A$2:$A$200,0)),"N")="Y",E375,0)</f>
        <v/>
      </c>
    </row>
    <row r="376">
      <c r="A376" s="26" t="n">
        <v>42736</v>
      </c>
      <c r="B376" s="12" t="inlineStr">
        <is>
          <t>Uncategorised</t>
        </is>
      </c>
      <c r="C376" s="12" t="inlineStr">
        <is>
          <t>Actual</t>
        </is>
      </c>
      <c r="D376" s="12" t="inlineStr">
        <is>
          <t>Core</t>
        </is>
      </c>
      <c r="E376" s="27" t="n">
        <v>3080</v>
      </c>
      <c r="F376" s="28" t="inlineStr">
        <is>
          <t>Historical monthly total (pre per-category / per-tier tracking)</t>
        </is>
      </c>
      <c r="G376" s="28">
        <f>IF(IFERROR(INDEX(Categories!$C$2:$C$200,MATCH(B376,Categories!$A$2:$A$200,0)),"N")="Y",E376,0)</f>
        <v/>
      </c>
    </row>
    <row r="377">
      <c r="A377" s="26" t="n">
        <v>42767</v>
      </c>
      <c r="B377" s="12" t="inlineStr">
        <is>
          <t>Interest</t>
        </is>
      </c>
      <c r="C377" s="12" t="inlineStr">
        <is>
          <t>Income</t>
        </is>
      </c>
      <c r="D377" s="12" t="inlineStr">
        <is>
          <t>—</t>
        </is>
      </c>
      <c r="E377" s="27" t="n">
        <v>20</v>
      </c>
      <c r="G377" s="28">
        <f>IF(IFERROR(INDEX(Categories!$C$2:$C$200,MATCH(B377,Categories!$A$2:$A$200,0)),"N")="Y",E377,0)</f>
        <v/>
      </c>
    </row>
    <row r="378">
      <c r="A378" s="26" t="n">
        <v>42767</v>
      </c>
      <c r="B378" s="12" t="inlineStr">
        <is>
          <t>Salary</t>
        </is>
      </c>
      <c r="C378" s="12" t="inlineStr">
        <is>
          <t>Income</t>
        </is>
      </c>
      <c r="D378" s="12" t="inlineStr">
        <is>
          <t>—</t>
        </is>
      </c>
      <c r="E378" s="27" t="n">
        <v>4670</v>
      </c>
      <c r="G378" s="28">
        <f>IF(IFERROR(INDEX(Categories!$C$2:$C$200,MATCH(B378,Categories!$A$2:$A$200,0)),"N")="Y",E378,0)</f>
        <v/>
      </c>
    </row>
    <row r="379">
      <c r="A379" s="26" t="n">
        <v>42767</v>
      </c>
      <c r="B379" s="12" t="inlineStr">
        <is>
          <t>Uncategorised</t>
        </is>
      </c>
      <c r="C379" s="12" t="inlineStr">
        <is>
          <t>Actual</t>
        </is>
      </c>
      <c r="D379" s="12" t="inlineStr">
        <is>
          <t>Core</t>
        </is>
      </c>
      <c r="E379" s="27" t="n">
        <v>3200</v>
      </c>
      <c r="F379" s="28" t="inlineStr">
        <is>
          <t>Historical monthly total (pre per-category / per-tier tracking)</t>
        </is>
      </c>
      <c r="G379" s="28">
        <f>IF(IFERROR(INDEX(Categories!$C$2:$C$200,MATCH(B379,Categories!$A$2:$A$200,0)),"N")="Y",E379,0)</f>
        <v/>
      </c>
    </row>
    <row r="380">
      <c r="A380" s="26" t="n">
        <v>42795</v>
      </c>
      <c r="B380" s="12" t="inlineStr">
        <is>
          <t>Dividends</t>
        </is>
      </c>
      <c r="C380" s="12" t="inlineStr">
        <is>
          <t>Income</t>
        </is>
      </c>
      <c r="D380" s="12" t="inlineStr">
        <is>
          <t>—</t>
        </is>
      </c>
      <c r="E380" s="27" t="n">
        <v>150</v>
      </c>
      <c r="G380" s="28">
        <f>IF(IFERROR(INDEX(Categories!$C$2:$C$200,MATCH(B380,Categories!$A$2:$A$200,0)),"N")="Y",E380,0)</f>
        <v/>
      </c>
    </row>
    <row r="381">
      <c r="A381" s="26" t="n">
        <v>42795</v>
      </c>
      <c r="B381" s="12" t="inlineStr">
        <is>
          <t>Interest</t>
        </is>
      </c>
      <c r="C381" s="12" t="inlineStr">
        <is>
          <t>Income</t>
        </is>
      </c>
      <c r="D381" s="12" t="inlineStr">
        <is>
          <t>—</t>
        </is>
      </c>
      <c r="E381" s="27" t="n">
        <v>20</v>
      </c>
      <c r="G381" s="28">
        <f>IF(IFERROR(INDEX(Categories!$C$2:$C$200,MATCH(B381,Categories!$A$2:$A$200,0)),"N")="Y",E381,0)</f>
        <v/>
      </c>
    </row>
    <row r="382">
      <c r="A382" s="26" t="n">
        <v>42795</v>
      </c>
      <c r="B382" s="12" t="inlineStr">
        <is>
          <t>Salary</t>
        </is>
      </c>
      <c r="C382" s="12" t="inlineStr">
        <is>
          <t>Income</t>
        </is>
      </c>
      <c r="D382" s="12" t="inlineStr">
        <is>
          <t>—</t>
        </is>
      </c>
      <c r="E382" s="27" t="n">
        <v>4720</v>
      </c>
      <c r="G382" s="28">
        <f>IF(IFERROR(INDEX(Categories!$C$2:$C$200,MATCH(B382,Categories!$A$2:$A$200,0)),"N")="Y",E382,0)</f>
        <v/>
      </c>
    </row>
    <row r="383">
      <c r="A383" s="26" t="n">
        <v>42795</v>
      </c>
      <c r="B383" s="12" t="inlineStr">
        <is>
          <t>Uncategorised</t>
        </is>
      </c>
      <c r="C383" s="12" t="inlineStr">
        <is>
          <t>Actual</t>
        </is>
      </c>
      <c r="D383" s="12" t="inlineStr">
        <is>
          <t>Core</t>
        </is>
      </c>
      <c r="E383" s="27" t="n">
        <v>2720</v>
      </c>
      <c r="F383" s="28" t="inlineStr">
        <is>
          <t>Historical monthly total (pre per-category / per-tier tracking)</t>
        </is>
      </c>
      <c r="G383" s="28">
        <f>IF(IFERROR(INDEX(Categories!$C$2:$C$200,MATCH(B383,Categories!$A$2:$A$200,0)),"N")="Y",E383,0)</f>
        <v/>
      </c>
    </row>
    <row r="384">
      <c r="A384" s="26" t="n">
        <v>42826</v>
      </c>
      <c r="B384" s="12" t="inlineStr">
        <is>
          <t>Interest</t>
        </is>
      </c>
      <c r="C384" s="12" t="inlineStr">
        <is>
          <t>Income</t>
        </is>
      </c>
      <c r="D384" s="12" t="inlineStr">
        <is>
          <t>—</t>
        </is>
      </c>
      <c r="E384" s="27" t="n">
        <v>20</v>
      </c>
      <c r="G384" s="28">
        <f>IF(IFERROR(INDEX(Categories!$C$2:$C$200,MATCH(B384,Categories!$A$2:$A$200,0)),"N")="Y",E384,0)</f>
        <v/>
      </c>
    </row>
    <row r="385">
      <c r="A385" s="26" t="n">
        <v>42826</v>
      </c>
      <c r="B385" s="12" t="inlineStr">
        <is>
          <t>Salary</t>
        </is>
      </c>
      <c r="C385" s="12" t="inlineStr">
        <is>
          <t>Income</t>
        </is>
      </c>
      <c r="D385" s="12" t="inlineStr">
        <is>
          <t>—</t>
        </is>
      </c>
      <c r="E385" s="27" t="n">
        <v>4770</v>
      </c>
      <c r="G385" s="28">
        <f>IF(IFERROR(INDEX(Categories!$C$2:$C$200,MATCH(B385,Categories!$A$2:$A$200,0)),"N")="Y",E385,0)</f>
        <v/>
      </c>
    </row>
    <row r="386">
      <c r="A386" s="26" t="n">
        <v>42826</v>
      </c>
      <c r="B386" s="12" t="inlineStr">
        <is>
          <t>Uncategorised</t>
        </is>
      </c>
      <c r="C386" s="12" t="inlineStr">
        <is>
          <t>Actual</t>
        </is>
      </c>
      <c r="D386" s="12" t="inlineStr">
        <is>
          <t>Core</t>
        </is>
      </c>
      <c r="E386" s="27" t="n">
        <v>2840</v>
      </c>
      <c r="F386" s="28" t="inlineStr">
        <is>
          <t>Historical monthly total (pre per-category / per-tier tracking)</t>
        </is>
      </c>
      <c r="G386" s="28">
        <f>IF(IFERROR(INDEX(Categories!$C$2:$C$200,MATCH(B386,Categories!$A$2:$A$200,0)),"N")="Y",E386,0)</f>
        <v/>
      </c>
    </row>
    <row r="387">
      <c r="A387" s="26" t="n">
        <v>42856</v>
      </c>
      <c r="B387" s="12" t="inlineStr">
        <is>
          <t>Interest</t>
        </is>
      </c>
      <c r="C387" s="12" t="inlineStr">
        <is>
          <t>Income</t>
        </is>
      </c>
      <c r="D387" s="12" t="inlineStr">
        <is>
          <t>—</t>
        </is>
      </c>
      <c r="E387" s="27" t="n">
        <v>20</v>
      </c>
      <c r="G387" s="28">
        <f>IF(IFERROR(INDEX(Categories!$C$2:$C$200,MATCH(B387,Categories!$A$2:$A$200,0)),"N")="Y",E387,0)</f>
        <v/>
      </c>
    </row>
    <row r="388">
      <c r="A388" s="26" t="n">
        <v>42856</v>
      </c>
      <c r="B388" s="12" t="inlineStr">
        <is>
          <t>Salary</t>
        </is>
      </c>
      <c r="C388" s="12" t="inlineStr">
        <is>
          <t>Income</t>
        </is>
      </c>
      <c r="D388" s="12" t="inlineStr">
        <is>
          <t>—</t>
        </is>
      </c>
      <c r="E388" s="27" t="n">
        <v>4820</v>
      </c>
      <c r="G388" s="28">
        <f>IF(IFERROR(INDEX(Categories!$C$2:$C$200,MATCH(B388,Categories!$A$2:$A$200,0)),"N")="Y",E388,0)</f>
        <v/>
      </c>
    </row>
    <row r="389">
      <c r="A389" s="26" t="n">
        <v>42856</v>
      </c>
      <c r="B389" s="12" t="inlineStr">
        <is>
          <t>Uncategorised</t>
        </is>
      </c>
      <c r="C389" s="12" t="inlineStr">
        <is>
          <t>Actual</t>
        </is>
      </c>
      <c r="D389" s="12" t="inlineStr">
        <is>
          <t>Core</t>
        </is>
      </c>
      <c r="E389" s="27" t="n">
        <v>2960</v>
      </c>
      <c r="F389" s="28" t="inlineStr">
        <is>
          <t>Historical monthly total (pre per-category / per-tier tracking)</t>
        </is>
      </c>
      <c r="G389" s="28">
        <f>IF(IFERROR(INDEX(Categories!$C$2:$C$200,MATCH(B389,Categories!$A$2:$A$200,0)),"N")="Y",E389,0)</f>
        <v/>
      </c>
    </row>
    <row r="390">
      <c r="A390" s="26" t="n">
        <v>42887</v>
      </c>
      <c r="B390" s="12" t="inlineStr">
        <is>
          <t>Dividends</t>
        </is>
      </c>
      <c r="C390" s="12" t="inlineStr">
        <is>
          <t>Income</t>
        </is>
      </c>
      <c r="D390" s="12" t="inlineStr">
        <is>
          <t>—</t>
        </is>
      </c>
      <c r="E390" s="27" t="n">
        <v>150</v>
      </c>
      <c r="G390" s="28">
        <f>IF(IFERROR(INDEX(Categories!$C$2:$C$200,MATCH(B390,Categories!$A$2:$A$200,0)),"N")="Y",E390,0)</f>
        <v/>
      </c>
    </row>
    <row r="391">
      <c r="A391" s="26" t="n">
        <v>42887</v>
      </c>
      <c r="B391" s="12" t="inlineStr">
        <is>
          <t>Interest</t>
        </is>
      </c>
      <c r="C391" s="12" t="inlineStr">
        <is>
          <t>Income</t>
        </is>
      </c>
      <c r="D391" s="12" t="inlineStr">
        <is>
          <t>—</t>
        </is>
      </c>
      <c r="E391" s="27" t="n">
        <v>20</v>
      </c>
      <c r="G391" s="28">
        <f>IF(IFERROR(INDEX(Categories!$C$2:$C$200,MATCH(B391,Categories!$A$2:$A$200,0)),"N")="Y",E391,0)</f>
        <v/>
      </c>
    </row>
    <row r="392">
      <c r="A392" s="26" t="n">
        <v>42887</v>
      </c>
      <c r="B392" s="12" t="inlineStr">
        <is>
          <t>Salary</t>
        </is>
      </c>
      <c r="C392" s="12" t="inlineStr">
        <is>
          <t>Income</t>
        </is>
      </c>
      <c r="D392" s="12" t="inlineStr">
        <is>
          <t>—</t>
        </is>
      </c>
      <c r="E392" s="27" t="n">
        <v>4870</v>
      </c>
      <c r="G392" s="28">
        <f>IF(IFERROR(INDEX(Categories!$C$2:$C$200,MATCH(B392,Categories!$A$2:$A$200,0)),"N")="Y",E392,0)</f>
        <v/>
      </c>
    </row>
    <row r="393">
      <c r="A393" s="26" t="n">
        <v>42887</v>
      </c>
      <c r="B393" s="12" t="inlineStr">
        <is>
          <t>Uncategorised</t>
        </is>
      </c>
      <c r="C393" s="12" t="inlineStr">
        <is>
          <t>Actual</t>
        </is>
      </c>
      <c r="D393" s="12" t="inlineStr">
        <is>
          <t>Core</t>
        </is>
      </c>
      <c r="E393" s="27" t="n">
        <v>3080</v>
      </c>
      <c r="F393" s="28" t="inlineStr">
        <is>
          <t>Historical monthly total (pre per-category / per-tier tracking)</t>
        </is>
      </c>
      <c r="G393" s="28">
        <f>IF(IFERROR(INDEX(Categories!$C$2:$C$200,MATCH(B393,Categories!$A$2:$A$200,0)),"N")="Y",E393,0)</f>
        <v/>
      </c>
    </row>
    <row r="394">
      <c r="A394" s="26" t="n">
        <v>42917</v>
      </c>
      <c r="B394" s="12" t="inlineStr">
        <is>
          <t>Interest</t>
        </is>
      </c>
      <c r="C394" s="12" t="inlineStr">
        <is>
          <t>Income</t>
        </is>
      </c>
      <c r="D394" s="12" t="inlineStr">
        <is>
          <t>—</t>
        </is>
      </c>
      <c r="E394" s="27" t="n">
        <v>20</v>
      </c>
      <c r="G394" s="28">
        <f>IF(IFERROR(INDEX(Categories!$C$2:$C$200,MATCH(B394,Categories!$A$2:$A$200,0)),"N")="Y",E394,0)</f>
        <v/>
      </c>
    </row>
    <row r="395">
      <c r="A395" s="26" t="n">
        <v>42917</v>
      </c>
      <c r="B395" s="12" t="inlineStr">
        <is>
          <t>Salary</t>
        </is>
      </c>
      <c r="C395" s="12" t="inlineStr">
        <is>
          <t>Income</t>
        </is>
      </c>
      <c r="D395" s="12" t="inlineStr">
        <is>
          <t>—</t>
        </is>
      </c>
      <c r="E395" s="27" t="n">
        <v>4620</v>
      </c>
      <c r="G395" s="28">
        <f>IF(IFERROR(INDEX(Categories!$C$2:$C$200,MATCH(B395,Categories!$A$2:$A$200,0)),"N")="Y",E395,0)</f>
        <v/>
      </c>
    </row>
    <row r="396">
      <c r="A396" s="26" t="n">
        <v>42917</v>
      </c>
      <c r="B396" s="12" t="inlineStr">
        <is>
          <t>Uncategorised</t>
        </is>
      </c>
      <c r="C396" s="12" t="inlineStr">
        <is>
          <t>Actual</t>
        </is>
      </c>
      <c r="D396" s="12" t="inlineStr">
        <is>
          <t>Core</t>
        </is>
      </c>
      <c r="E396" s="27" t="n">
        <v>3200</v>
      </c>
      <c r="F396" s="28" t="inlineStr">
        <is>
          <t>Historical monthly total (pre per-category / per-tier tracking)</t>
        </is>
      </c>
      <c r="G396" s="28">
        <f>IF(IFERROR(INDEX(Categories!$C$2:$C$200,MATCH(B396,Categories!$A$2:$A$200,0)),"N")="Y",E396,0)</f>
        <v/>
      </c>
    </row>
    <row r="397">
      <c r="A397" s="26" t="n">
        <v>42948</v>
      </c>
      <c r="B397" s="12" t="inlineStr">
        <is>
          <t>Interest</t>
        </is>
      </c>
      <c r="C397" s="12" t="inlineStr">
        <is>
          <t>Income</t>
        </is>
      </c>
      <c r="D397" s="12" t="inlineStr">
        <is>
          <t>—</t>
        </is>
      </c>
      <c r="E397" s="27" t="n">
        <v>20</v>
      </c>
      <c r="G397" s="28">
        <f>IF(IFERROR(INDEX(Categories!$C$2:$C$200,MATCH(B397,Categories!$A$2:$A$200,0)),"N")="Y",E397,0)</f>
        <v/>
      </c>
    </row>
    <row r="398">
      <c r="A398" s="26" t="n">
        <v>42948</v>
      </c>
      <c r="B398" s="12" t="inlineStr">
        <is>
          <t>Salary</t>
        </is>
      </c>
      <c r="C398" s="12" t="inlineStr">
        <is>
          <t>Income</t>
        </is>
      </c>
      <c r="D398" s="12" t="inlineStr">
        <is>
          <t>—</t>
        </is>
      </c>
      <c r="E398" s="27" t="n">
        <v>4670</v>
      </c>
      <c r="G398" s="28">
        <f>IF(IFERROR(INDEX(Categories!$C$2:$C$200,MATCH(B398,Categories!$A$2:$A$200,0)),"N")="Y",E398,0)</f>
        <v/>
      </c>
    </row>
    <row r="399">
      <c r="A399" s="26" t="n">
        <v>42948</v>
      </c>
      <c r="B399" s="12" t="inlineStr">
        <is>
          <t>Uncategorised</t>
        </is>
      </c>
      <c r="C399" s="12" t="inlineStr">
        <is>
          <t>Actual</t>
        </is>
      </c>
      <c r="D399" s="12" t="inlineStr">
        <is>
          <t>Core</t>
        </is>
      </c>
      <c r="E399" s="27" t="n">
        <v>2720</v>
      </c>
      <c r="F399" s="28" t="inlineStr">
        <is>
          <t>Historical monthly total (pre per-category / per-tier tracking)</t>
        </is>
      </c>
      <c r="G399" s="28">
        <f>IF(IFERROR(INDEX(Categories!$C$2:$C$200,MATCH(B399,Categories!$A$2:$A$200,0)),"N")="Y",E399,0)</f>
        <v/>
      </c>
    </row>
    <row r="400">
      <c r="A400" s="26" t="n">
        <v>42979</v>
      </c>
      <c r="B400" s="12" t="inlineStr">
        <is>
          <t>Dividends</t>
        </is>
      </c>
      <c r="C400" s="12" t="inlineStr">
        <is>
          <t>Income</t>
        </is>
      </c>
      <c r="D400" s="12" t="inlineStr">
        <is>
          <t>—</t>
        </is>
      </c>
      <c r="E400" s="27" t="n">
        <v>150</v>
      </c>
      <c r="G400" s="28">
        <f>IF(IFERROR(INDEX(Categories!$C$2:$C$200,MATCH(B400,Categories!$A$2:$A$200,0)),"N")="Y",E400,0)</f>
        <v/>
      </c>
    </row>
    <row r="401">
      <c r="A401" s="26" t="n">
        <v>42979</v>
      </c>
      <c r="B401" s="12" t="inlineStr">
        <is>
          <t>Interest</t>
        </is>
      </c>
      <c r="C401" s="12" t="inlineStr">
        <is>
          <t>Income</t>
        </is>
      </c>
      <c r="D401" s="12" t="inlineStr">
        <is>
          <t>—</t>
        </is>
      </c>
      <c r="E401" s="27" t="n">
        <v>20</v>
      </c>
      <c r="G401" s="28">
        <f>IF(IFERROR(INDEX(Categories!$C$2:$C$200,MATCH(B401,Categories!$A$2:$A$200,0)),"N")="Y",E401,0)</f>
        <v/>
      </c>
    </row>
    <row r="402">
      <c r="A402" s="26" t="n">
        <v>42979</v>
      </c>
      <c r="B402" s="12" t="inlineStr">
        <is>
          <t>Salary</t>
        </is>
      </c>
      <c r="C402" s="12" t="inlineStr">
        <is>
          <t>Income</t>
        </is>
      </c>
      <c r="D402" s="12" t="inlineStr">
        <is>
          <t>—</t>
        </is>
      </c>
      <c r="E402" s="27" t="n">
        <v>4720</v>
      </c>
      <c r="G402" s="28">
        <f>IF(IFERROR(INDEX(Categories!$C$2:$C$200,MATCH(B402,Categories!$A$2:$A$200,0)),"N")="Y",E402,0)</f>
        <v/>
      </c>
    </row>
    <row r="403">
      <c r="A403" s="26" t="n">
        <v>42979</v>
      </c>
      <c r="B403" s="12" t="inlineStr">
        <is>
          <t>Uncategorised</t>
        </is>
      </c>
      <c r="C403" s="12" t="inlineStr">
        <is>
          <t>Actual</t>
        </is>
      </c>
      <c r="D403" s="12" t="inlineStr">
        <is>
          <t>Core</t>
        </is>
      </c>
      <c r="E403" s="27" t="n">
        <v>2840</v>
      </c>
      <c r="F403" s="28" t="inlineStr">
        <is>
          <t>Historical monthly total (pre per-category / per-tier tracking)</t>
        </is>
      </c>
      <c r="G403" s="28">
        <f>IF(IFERROR(INDEX(Categories!$C$2:$C$200,MATCH(B403,Categories!$A$2:$A$200,0)),"N")="Y",E403,0)</f>
        <v/>
      </c>
    </row>
    <row r="404">
      <c r="A404" s="26" t="n">
        <v>43009</v>
      </c>
      <c r="B404" s="12" t="inlineStr">
        <is>
          <t>Interest</t>
        </is>
      </c>
      <c r="C404" s="12" t="inlineStr">
        <is>
          <t>Income</t>
        </is>
      </c>
      <c r="D404" s="12" t="inlineStr">
        <is>
          <t>—</t>
        </is>
      </c>
      <c r="E404" s="27" t="n">
        <v>20</v>
      </c>
      <c r="G404" s="28">
        <f>IF(IFERROR(INDEX(Categories!$C$2:$C$200,MATCH(B404,Categories!$A$2:$A$200,0)),"N")="Y",E404,0)</f>
        <v/>
      </c>
    </row>
    <row r="405">
      <c r="A405" s="26" t="n">
        <v>43009</v>
      </c>
      <c r="B405" s="12" t="inlineStr">
        <is>
          <t>Salary</t>
        </is>
      </c>
      <c r="C405" s="12" t="inlineStr">
        <is>
          <t>Income</t>
        </is>
      </c>
      <c r="D405" s="12" t="inlineStr">
        <is>
          <t>—</t>
        </is>
      </c>
      <c r="E405" s="27" t="n">
        <v>4770</v>
      </c>
      <c r="G405" s="28">
        <f>IF(IFERROR(INDEX(Categories!$C$2:$C$200,MATCH(B405,Categories!$A$2:$A$200,0)),"N")="Y",E405,0)</f>
        <v/>
      </c>
    </row>
    <row r="406">
      <c r="A406" s="26" t="n">
        <v>43009</v>
      </c>
      <c r="B406" s="12" t="inlineStr">
        <is>
          <t>Uncategorised</t>
        </is>
      </c>
      <c r="C406" s="12" t="inlineStr">
        <is>
          <t>Actual</t>
        </is>
      </c>
      <c r="D406" s="12" t="inlineStr">
        <is>
          <t>Core</t>
        </is>
      </c>
      <c r="E406" s="27" t="n">
        <v>2960</v>
      </c>
      <c r="F406" s="28" t="inlineStr">
        <is>
          <t>Historical monthly total (pre per-category / per-tier tracking)</t>
        </is>
      </c>
      <c r="G406" s="28">
        <f>IF(IFERROR(INDEX(Categories!$C$2:$C$200,MATCH(B406,Categories!$A$2:$A$200,0)),"N")="Y",E406,0)</f>
        <v/>
      </c>
    </row>
    <row r="407">
      <c r="A407" s="26" t="n">
        <v>43040</v>
      </c>
      <c r="B407" s="12" t="inlineStr">
        <is>
          <t>Interest</t>
        </is>
      </c>
      <c r="C407" s="12" t="inlineStr">
        <is>
          <t>Income</t>
        </is>
      </c>
      <c r="D407" s="12" t="inlineStr">
        <is>
          <t>—</t>
        </is>
      </c>
      <c r="E407" s="27" t="n">
        <v>20</v>
      </c>
      <c r="G407" s="28">
        <f>IF(IFERROR(INDEX(Categories!$C$2:$C$200,MATCH(B407,Categories!$A$2:$A$200,0)),"N")="Y",E407,0)</f>
        <v/>
      </c>
    </row>
    <row r="408">
      <c r="A408" s="26" t="n">
        <v>43040</v>
      </c>
      <c r="B408" s="12" t="inlineStr">
        <is>
          <t>Salary</t>
        </is>
      </c>
      <c r="C408" s="12" t="inlineStr">
        <is>
          <t>Income</t>
        </is>
      </c>
      <c r="D408" s="12" t="inlineStr">
        <is>
          <t>—</t>
        </is>
      </c>
      <c r="E408" s="27" t="n">
        <v>4820</v>
      </c>
      <c r="G408" s="28">
        <f>IF(IFERROR(INDEX(Categories!$C$2:$C$200,MATCH(B408,Categories!$A$2:$A$200,0)),"N")="Y",E408,0)</f>
        <v/>
      </c>
    </row>
    <row r="409">
      <c r="A409" s="26" t="n">
        <v>43040</v>
      </c>
      <c r="B409" s="12" t="inlineStr">
        <is>
          <t>Uncategorised</t>
        </is>
      </c>
      <c r="C409" s="12" t="inlineStr">
        <is>
          <t>Actual</t>
        </is>
      </c>
      <c r="D409" s="12" t="inlineStr">
        <is>
          <t>Core</t>
        </is>
      </c>
      <c r="E409" s="27" t="n">
        <v>3080</v>
      </c>
      <c r="F409" s="28" t="inlineStr">
        <is>
          <t>Historical monthly total (pre per-category / per-tier tracking)</t>
        </is>
      </c>
      <c r="G409" s="28">
        <f>IF(IFERROR(INDEX(Categories!$C$2:$C$200,MATCH(B409,Categories!$A$2:$A$200,0)),"N")="Y",E409,0)</f>
        <v/>
      </c>
    </row>
    <row r="410">
      <c r="A410" s="26" t="n">
        <v>43070</v>
      </c>
      <c r="B410" s="12" t="inlineStr">
        <is>
          <t>Bonus/Claims</t>
        </is>
      </c>
      <c r="C410" s="12" t="inlineStr">
        <is>
          <t>Income</t>
        </is>
      </c>
      <c r="D410" s="12" t="inlineStr">
        <is>
          <t>—</t>
        </is>
      </c>
      <c r="E410" s="27" t="n">
        <v>4870</v>
      </c>
      <c r="G410" s="28">
        <f>IF(IFERROR(INDEX(Categories!$C$2:$C$200,MATCH(B410,Categories!$A$2:$A$200,0)),"N")="Y",E410,0)</f>
        <v/>
      </c>
    </row>
    <row r="411">
      <c r="A411" s="26" t="n">
        <v>43070</v>
      </c>
      <c r="B411" s="12" t="inlineStr">
        <is>
          <t>Dividends</t>
        </is>
      </c>
      <c r="C411" s="12" t="inlineStr">
        <is>
          <t>Income</t>
        </is>
      </c>
      <c r="D411" s="12" t="inlineStr">
        <is>
          <t>—</t>
        </is>
      </c>
      <c r="E411" s="27" t="n">
        <v>150</v>
      </c>
      <c r="G411" s="28">
        <f>IF(IFERROR(INDEX(Categories!$C$2:$C$200,MATCH(B411,Categories!$A$2:$A$200,0)),"N")="Y",E411,0)</f>
        <v/>
      </c>
    </row>
    <row r="412">
      <c r="A412" s="26" t="n">
        <v>43070</v>
      </c>
      <c r="B412" s="12" t="inlineStr">
        <is>
          <t>Interest</t>
        </is>
      </c>
      <c r="C412" s="12" t="inlineStr">
        <is>
          <t>Income</t>
        </is>
      </c>
      <c r="D412" s="12" t="inlineStr">
        <is>
          <t>—</t>
        </is>
      </c>
      <c r="E412" s="27" t="n">
        <v>20</v>
      </c>
      <c r="G412" s="28">
        <f>IF(IFERROR(INDEX(Categories!$C$2:$C$200,MATCH(B412,Categories!$A$2:$A$200,0)),"N")="Y",E412,0)</f>
        <v/>
      </c>
    </row>
    <row r="413">
      <c r="A413" s="26" t="n">
        <v>43070</v>
      </c>
      <c r="B413" s="12" t="inlineStr">
        <is>
          <t>Salary</t>
        </is>
      </c>
      <c r="C413" s="12" t="inlineStr">
        <is>
          <t>Income</t>
        </is>
      </c>
      <c r="D413" s="12" t="inlineStr">
        <is>
          <t>—</t>
        </is>
      </c>
      <c r="E413" s="27" t="n">
        <v>4870</v>
      </c>
      <c r="G413" s="28">
        <f>IF(IFERROR(INDEX(Categories!$C$2:$C$200,MATCH(B413,Categories!$A$2:$A$200,0)),"N")="Y",E413,0)</f>
        <v/>
      </c>
    </row>
    <row r="414">
      <c r="A414" s="26" t="n">
        <v>43070</v>
      </c>
      <c r="B414" s="12" t="inlineStr">
        <is>
          <t>Uncategorised</t>
        </is>
      </c>
      <c r="C414" s="12" t="inlineStr">
        <is>
          <t>Actual</t>
        </is>
      </c>
      <c r="D414" s="12" t="inlineStr">
        <is>
          <t>Core</t>
        </is>
      </c>
      <c r="E414" s="27" t="n">
        <v>3200</v>
      </c>
      <c r="F414" s="28" t="inlineStr">
        <is>
          <t>Historical monthly total (pre per-category / per-tier tracking)</t>
        </is>
      </c>
      <c r="G414" s="28">
        <f>IF(IFERROR(INDEX(Categories!$C$2:$C$200,MATCH(B414,Categories!$A$2:$A$200,0)),"N")="Y",E414,0)</f>
        <v/>
      </c>
    </row>
    <row r="415">
      <c r="A415" s="26" t="n">
        <v>43101</v>
      </c>
      <c r="B415" s="12" t="inlineStr">
        <is>
          <t>Interest</t>
        </is>
      </c>
      <c r="C415" s="12" t="inlineStr">
        <is>
          <t>Income</t>
        </is>
      </c>
      <c r="D415" s="12" t="inlineStr">
        <is>
          <t>—</t>
        </is>
      </c>
      <c r="E415" s="27" t="n">
        <v>20</v>
      </c>
      <c r="G415" s="28">
        <f>IF(IFERROR(INDEX(Categories!$C$2:$C$200,MATCH(B415,Categories!$A$2:$A$200,0)),"N")="Y",E415,0)</f>
        <v/>
      </c>
    </row>
    <row r="416">
      <c r="A416" s="26" t="n">
        <v>43101</v>
      </c>
      <c r="B416" s="12" t="inlineStr">
        <is>
          <t>Salary</t>
        </is>
      </c>
      <c r="C416" s="12" t="inlineStr">
        <is>
          <t>Income</t>
        </is>
      </c>
      <c r="D416" s="12" t="inlineStr">
        <is>
          <t>—</t>
        </is>
      </c>
      <c r="E416" s="27" t="n">
        <v>4800</v>
      </c>
      <c r="G416" s="28">
        <f>IF(IFERROR(INDEX(Categories!$C$2:$C$200,MATCH(B416,Categories!$A$2:$A$200,0)),"N")="Y",E416,0)</f>
        <v/>
      </c>
    </row>
    <row r="417">
      <c r="A417" s="26" t="n">
        <v>43101</v>
      </c>
      <c r="B417" s="12" t="inlineStr">
        <is>
          <t>Uncategorised</t>
        </is>
      </c>
      <c r="C417" s="12" t="inlineStr">
        <is>
          <t>Actual</t>
        </is>
      </c>
      <c r="D417" s="12" t="inlineStr">
        <is>
          <t>Core</t>
        </is>
      </c>
      <c r="E417" s="27" t="n">
        <v>2800</v>
      </c>
      <c r="F417" s="28" t="inlineStr">
        <is>
          <t>Historical monthly total (pre per-category / per-tier tracking)</t>
        </is>
      </c>
      <c r="G417" s="28">
        <f>IF(IFERROR(INDEX(Categories!$C$2:$C$200,MATCH(B417,Categories!$A$2:$A$200,0)),"N")="Y",E417,0)</f>
        <v/>
      </c>
    </row>
    <row r="418">
      <c r="A418" s="26" t="n">
        <v>43132</v>
      </c>
      <c r="B418" s="12" t="inlineStr">
        <is>
          <t>Interest</t>
        </is>
      </c>
      <c r="C418" s="12" t="inlineStr">
        <is>
          <t>Income</t>
        </is>
      </c>
      <c r="D418" s="12" t="inlineStr">
        <is>
          <t>—</t>
        </is>
      </c>
      <c r="E418" s="27" t="n">
        <v>20</v>
      </c>
      <c r="G418" s="28">
        <f>IF(IFERROR(INDEX(Categories!$C$2:$C$200,MATCH(B418,Categories!$A$2:$A$200,0)),"N")="Y",E418,0)</f>
        <v/>
      </c>
    </row>
    <row r="419">
      <c r="A419" s="26" t="n">
        <v>43132</v>
      </c>
      <c r="B419" s="12" t="inlineStr">
        <is>
          <t>Salary</t>
        </is>
      </c>
      <c r="C419" s="12" t="inlineStr">
        <is>
          <t>Income</t>
        </is>
      </c>
      <c r="D419" s="12" t="inlineStr">
        <is>
          <t>—</t>
        </is>
      </c>
      <c r="E419" s="27" t="n">
        <v>4850</v>
      </c>
      <c r="G419" s="28">
        <f>IF(IFERROR(INDEX(Categories!$C$2:$C$200,MATCH(B419,Categories!$A$2:$A$200,0)),"N")="Y",E419,0)</f>
        <v/>
      </c>
    </row>
    <row r="420">
      <c r="A420" s="26" t="n">
        <v>43132</v>
      </c>
      <c r="B420" s="12" t="inlineStr">
        <is>
          <t>Uncategorised</t>
        </is>
      </c>
      <c r="C420" s="12" t="inlineStr">
        <is>
          <t>Actual</t>
        </is>
      </c>
      <c r="D420" s="12" t="inlineStr">
        <is>
          <t>Core</t>
        </is>
      </c>
      <c r="E420" s="27" t="n">
        <v>2920</v>
      </c>
      <c r="F420" s="28" t="inlineStr">
        <is>
          <t>Historical monthly total (pre per-category / per-tier tracking)</t>
        </is>
      </c>
      <c r="G420" s="28">
        <f>IF(IFERROR(INDEX(Categories!$C$2:$C$200,MATCH(B420,Categories!$A$2:$A$200,0)),"N")="Y",E420,0)</f>
        <v/>
      </c>
    </row>
    <row r="421">
      <c r="A421" s="26" t="n">
        <v>43160</v>
      </c>
      <c r="B421" s="12" t="inlineStr">
        <is>
          <t>Dividends</t>
        </is>
      </c>
      <c r="C421" s="12" t="inlineStr">
        <is>
          <t>Income</t>
        </is>
      </c>
      <c r="D421" s="12" t="inlineStr">
        <is>
          <t>—</t>
        </is>
      </c>
      <c r="E421" s="27" t="n">
        <v>150</v>
      </c>
      <c r="G421" s="28">
        <f>IF(IFERROR(INDEX(Categories!$C$2:$C$200,MATCH(B421,Categories!$A$2:$A$200,0)),"N")="Y",E421,0)</f>
        <v/>
      </c>
    </row>
    <row r="422">
      <c r="A422" s="26" t="n">
        <v>43160</v>
      </c>
      <c r="B422" s="12" t="inlineStr">
        <is>
          <t>Interest</t>
        </is>
      </c>
      <c r="C422" s="12" t="inlineStr">
        <is>
          <t>Income</t>
        </is>
      </c>
      <c r="D422" s="12" t="inlineStr">
        <is>
          <t>—</t>
        </is>
      </c>
      <c r="E422" s="27" t="n">
        <v>20</v>
      </c>
      <c r="G422" s="28">
        <f>IF(IFERROR(INDEX(Categories!$C$2:$C$200,MATCH(B422,Categories!$A$2:$A$200,0)),"N")="Y",E422,0)</f>
        <v/>
      </c>
    </row>
    <row r="423">
      <c r="A423" s="26" t="n">
        <v>43160</v>
      </c>
      <c r="B423" s="12" t="inlineStr">
        <is>
          <t>Salary</t>
        </is>
      </c>
      <c r="C423" s="12" t="inlineStr">
        <is>
          <t>Income</t>
        </is>
      </c>
      <c r="D423" s="12" t="inlineStr">
        <is>
          <t>—</t>
        </is>
      </c>
      <c r="E423" s="27" t="n">
        <v>4900</v>
      </c>
      <c r="G423" s="28">
        <f>IF(IFERROR(INDEX(Categories!$C$2:$C$200,MATCH(B423,Categories!$A$2:$A$200,0)),"N")="Y",E423,0)</f>
        <v/>
      </c>
    </row>
    <row r="424">
      <c r="A424" s="26" t="n">
        <v>43160</v>
      </c>
      <c r="B424" s="12" t="inlineStr">
        <is>
          <t>Uncategorised</t>
        </is>
      </c>
      <c r="C424" s="12" t="inlineStr">
        <is>
          <t>Actual</t>
        </is>
      </c>
      <c r="D424" s="12" t="inlineStr">
        <is>
          <t>Core</t>
        </is>
      </c>
      <c r="E424" s="27" t="n">
        <v>3040</v>
      </c>
      <c r="F424" s="28" t="inlineStr">
        <is>
          <t>Historical monthly total (pre per-category / per-tier tracking)</t>
        </is>
      </c>
      <c r="G424" s="28">
        <f>IF(IFERROR(INDEX(Categories!$C$2:$C$200,MATCH(B424,Categories!$A$2:$A$200,0)),"N")="Y",E424,0)</f>
        <v/>
      </c>
    </row>
    <row r="425">
      <c r="A425" s="26" t="n">
        <v>43191</v>
      </c>
      <c r="B425" s="12" t="inlineStr">
        <is>
          <t>Interest</t>
        </is>
      </c>
      <c r="C425" s="12" t="inlineStr">
        <is>
          <t>Income</t>
        </is>
      </c>
      <c r="D425" s="12" t="inlineStr">
        <is>
          <t>—</t>
        </is>
      </c>
      <c r="E425" s="27" t="n">
        <v>20</v>
      </c>
      <c r="G425" s="28">
        <f>IF(IFERROR(INDEX(Categories!$C$2:$C$200,MATCH(B425,Categories!$A$2:$A$200,0)),"N")="Y",E425,0)</f>
        <v/>
      </c>
    </row>
    <row r="426">
      <c r="A426" s="26" t="n">
        <v>43191</v>
      </c>
      <c r="B426" s="12" t="inlineStr">
        <is>
          <t>Salary</t>
        </is>
      </c>
      <c r="C426" s="12" t="inlineStr">
        <is>
          <t>Income</t>
        </is>
      </c>
      <c r="D426" s="12" t="inlineStr">
        <is>
          <t>—</t>
        </is>
      </c>
      <c r="E426" s="27" t="n">
        <v>4950</v>
      </c>
      <c r="G426" s="28">
        <f>IF(IFERROR(INDEX(Categories!$C$2:$C$200,MATCH(B426,Categories!$A$2:$A$200,0)),"N")="Y",E426,0)</f>
        <v/>
      </c>
    </row>
    <row r="427">
      <c r="A427" s="26" t="n">
        <v>43191</v>
      </c>
      <c r="B427" s="12" t="inlineStr">
        <is>
          <t>Uncategorised</t>
        </is>
      </c>
      <c r="C427" s="12" t="inlineStr">
        <is>
          <t>Actual</t>
        </is>
      </c>
      <c r="D427" s="12" t="inlineStr">
        <is>
          <t>Core</t>
        </is>
      </c>
      <c r="E427" s="27" t="n">
        <v>3160</v>
      </c>
      <c r="F427" s="28" t="inlineStr">
        <is>
          <t>Historical monthly total (pre per-category / per-tier tracking)</t>
        </is>
      </c>
      <c r="G427" s="28">
        <f>IF(IFERROR(INDEX(Categories!$C$2:$C$200,MATCH(B427,Categories!$A$2:$A$200,0)),"N")="Y",E427,0)</f>
        <v/>
      </c>
    </row>
    <row r="428">
      <c r="A428" s="26" t="n">
        <v>43221</v>
      </c>
      <c r="B428" s="12" t="inlineStr">
        <is>
          <t>Interest</t>
        </is>
      </c>
      <c r="C428" s="12" t="inlineStr">
        <is>
          <t>Income</t>
        </is>
      </c>
      <c r="D428" s="12" t="inlineStr">
        <is>
          <t>—</t>
        </is>
      </c>
      <c r="E428" s="27" t="n">
        <v>20</v>
      </c>
      <c r="G428" s="28">
        <f>IF(IFERROR(INDEX(Categories!$C$2:$C$200,MATCH(B428,Categories!$A$2:$A$200,0)),"N")="Y",E428,0)</f>
        <v/>
      </c>
    </row>
    <row r="429">
      <c r="A429" s="26" t="n">
        <v>43221</v>
      </c>
      <c r="B429" s="12" t="inlineStr">
        <is>
          <t>Salary</t>
        </is>
      </c>
      <c r="C429" s="12" t="inlineStr">
        <is>
          <t>Income</t>
        </is>
      </c>
      <c r="D429" s="12" t="inlineStr">
        <is>
          <t>—</t>
        </is>
      </c>
      <c r="E429" s="27" t="n">
        <v>5000</v>
      </c>
      <c r="G429" s="28">
        <f>IF(IFERROR(INDEX(Categories!$C$2:$C$200,MATCH(B429,Categories!$A$2:$A$200,0)),"N")="Y",E429,0)</f>
        <v/>
      </c>
    </row>
    <row r="430">
      <c r="A430" s="26" t="n">
        <v>43221</v>
      </c>
      <c r="B430" s="12" t="inlineStr">
        <is>
          <t>Uncategorised</t>
        </is>
      </c>
      <c r="C430" s="12" t="inlineStr">
        <is>
          <t>Actual</t>
        </is>
      </c>
      <c r="D430" s="12" t="inlineStr">
        <is>
          <t>Core</t>
        </is>
      </c>
      <c r="E430" s="27" t="n">
        <v>3280</v>
      </c>
      <c r="F430" s="28" t="inlineStr">
        <is>
          <t>Historical monthly total (pre per-category / per-tier tracking)</t>
        </is>
      </c>
      <c r="G430" s="28">
        <f>IF(IFERROR(INDEX(Categories!$C$2:$C$200,MATCH(B430,Categories!$A$2:$A$200,0)),"N")="Y",E430,0)</f>
        <v/>
      </c>
    </row>
    <row r="431">
      <c r="A431" s="26" t="n">
        <v>43252</v>
      </c>
      <c r="B431" s="12" t="inlineStr">
        <is>
          <t>Dividends</t>
        </is>
      </c>
      <c r="C431" s="12" t="inlineStr">
        <is>
          <t>Income</t>
        </is>
      </c>
      <c r="D431" s="12" t="inlineStr">
        <is>
          <t>—</t>
        </is>
      </c>
      <c r="E431" s="27" t="n">
        <v>150</v>
      </c>
      <c r="G431" s="28">
        <f>IF(IFERROR(INDEX(Categories!$C$2:$C$200,MATCH(B431,Categories!$A$2:$A$200,0)),"N")="Y",E431,0)</f>
        <v/>
      </c>
    </row>
    <row r="432">
      <c r="A432" s="26" t="n">
        <v>43252</v>
      </c>
      <c r="B432" s="12" t="inlineStr">
        <is>
          <t>Interest</t>
        </is>
      </c>
      <c r="C432" s="12" t="inlineStr">
        <is>
          <t>Income</t>
        </is>
      </c>
      <c r="D432" s="12" t="inlineStr">
        <is>
          <t>—</t>
        </is>
      </c>
      <c r="E432" s="27" t="n">
        <v>20</v>
      </c>
      <c r="G432" s="28">
        <f>IF(IFERROR(INDEX(Categories!$C$2:$C$200,MATCH(B432,Categories!$A$2:$A$200,0)),"N")="Y",E432,0)</f>
        <v/>
      </c>
    </row>
    <row r="433">
      <c r="A433" s="26" t="n">
        <v>43252</v>
      </c>
      <c r="B433" s="12" t="inlineStr">
        <is>
          <t>Salary</t>
        </is>
      </c>
      <c r="C433" s="12" t="inlineStr">
        <is>
          <t>Income</t>
        </is>
      </c>
      <c r="D433" s="12" t="inlineStr">
        <is>
          <t>—</t>
        </is>
      </c>
      <c r="E433" s="27" t="n">
        <v>5050</v>
      </c>
      <c r="G433" s="28">
        <f>IF(IFERROR(INDEX(Categories!$C$2:$C$200,MATCH(B433,Categories!$A$2:$A$200,0)),"N")="Y",E433,0)</f>
        <v/>
      </c>
    </row>
    <row r="434">
      <c r="A434" s="26" t="n">
        <v>43252</v>
      </c>
      <c r="B434" s="12" t="inlineStr">
        <is>
          <t>Uncategorised</t>
        </is>
      </c>
      <c r="C434" s="12" t="inlineStr">
        <is>
          <t>Actual</t>
        </is>
      </c>
      <c r="D434" s="12" t="inlineStr">
        <is>
          <t>Core</t>
        </is>
      </c>
      <c r="E434" s="27" t="n">
        <v>2800</v>
      </c>
      <c r="F434" s="28" t="inlineStr">
        <is>
          <t>Historical monthly total (pre per-category / per-tier tracking)</t>
        </is>
      </c>
      <c r="G434" s="28">
        <f>IF(IFERROR(INDEX(Categories!$C$2:$C$200,MATCH(B434,Categories!$A$2:$A$200,0)),"N")="Y",E434,0)</f>
        <v/>
      </c>
    </row>
    <row r="435">
      <c r="A435" s="26" t="n">
        <v>43282</v>
      </c>
      <c r="B435" s="12" t="inlineStr">
        <is>
          <t>Interest</t>
        </is>
      </c>
      <c r="C435" s="12" t="inlineStr">
        <is>
          <t>Income</t>
        </is>
      </c>
      <c r="D435" s="12" t="inlineStr">
        <is>
          <t>—</t>
        </is>
      </c>
      <c r="E435" s="27" t="n">
        <v>20</v>
      </c>
      <c r="G435" s="28">
        <f>IF(IFERROR(INDEX(Categories!$C$2:$C$200,MATCH(B435,Categories!$A$2:$A$200,0)),"N")="Y",E435,0)</f>
        <v/>
      </c>
    </row>
    <row r="436">
      <c r="A436" s="26" t="n">
        <v>43282</v>
      </c>
      <c r="B436" s="12" t="inlineStr">
        <is>
          <t>Salary</t>
        </is>
      </c>
      <c r="C436" s="12" t="inlineStr">
        <is>
          <t>Income</t>
        </is>
      </c>
      <c r="D436" s="12" t="inlineStr">
        <is>
          <t>—</t>
        </is>
      </c>
      <c r="E436" s="27" t="n">
        <v>4800</v>
      </c>
      <c r="G436" s="28">
        <f>IF(IFERROR(INDEX(Categories!$C$2:$C$200,MATCH(B436,Categories!$A$2:$A$200,0)),"N")="Y",E436,0)</f>
        <v/>
      </c>
    </row>
    <row r="437">
      <c r="A437" s="26" t="n">
        <v>43282</v>
      </c>
      <c r="B437" s="12" t="inlineStr">
        <is>
          <t>Uncategorised</t>
        </is>
      </c>
      <c r="C437" s="12" t="inlineStr">
        <is>
          <t>Actual</t>
        </is>
      </c>
      <c r="D437" s="12" t="inlineStr">
        <is>
          <t>Core</t>
        </is>
      </c>
      <c r="E437" s="27" t="n">
        <v>2920</v>
      </c>
      <c r="F437" s="28" t="inlineStr">
        <is>
          <t>Historical monthly total (pre per-category / per-tier tracking)</t>
        </is>
      </c>
      <c r="G437" s="28">
        <f>IF(IFERROR(INDEX(Categories!$C$2:$C$200,MATCH(B437,Categories!$A$2:$A$200,0)),"N")="Y",E437,0)</f>
        <v/>
      </c>
    </row>
    <row r="438">
      <c r="A438" s="26" t="n">
        <v>43313</v>
      </c>
      <c r="B438" s="12" t="inlineStr">
        <is>
          <t>Interest</t>
        </is>
      </c>
      <c r="C438" s="12" t="inlineStr">
        <is>
          <t>Income</t>
        </is>
      </c>
      <c r="D438" s="12" t="inlineStr">
        <is>
          <t>—</t>
        </is>
      </c>
      <c r="E438" s="27" t="n">
        <v>20</v>
      </c>
      <c r="G438" s="28">
        <f>IF(IFERROR(INDEX(Categories!$C$2:$C$200,MATCH(B438,Categories!$A$2:$A$200,0)),"N")="Y",E438,0)</f>
        <v/>
      </c>
    </row>
    <row r="439">
      <c r="A439" s="26" t="n">
        <v>43313</v>
      </c>
      <c r="B439" s="12" t="inlineStr">
        <is>
          <t>Salary</t>
        </is>
      </c>
      <c r="C439" s="12" t="inlineStr">
        <is>
          <t>Income</t>
        </is>
      </c>
      <c r="D439" s="12" t="inlineStr">
        <is>
          <t>—</t>
        </is>
      </c>
      <c r="E439" s="27" t="n">
        <v>4850</v>
      </c>
      <c r="G439" s="28">
        <f>IF(IFERROR(INDEX(Categories!$C$2:$C$200,MATCH(B439,Categories!$A$2:$A$200,0)),"N")="Y",E439,0)</f>
        <v/>
      </c>
    </row>
    <row r="440">
      <c r="A440" s="26" t="n">
        <v>43313</v>
      </c>
      <c r="B440" s="12" t="inlineStr">
        <is>
          <t>Uncategorised</t>
        </is>
      </c>
      <c r="C440" s="12" t="inlineStr">
        <is>
          <t>Actual</t>
        </is>
      </c>
      <c r="D440" s="12" t="inlineStr">
        <is>
          <t>Core</t>
        </is>
      </c>
      <c r="E440" s="27" t="n">
        <v>3040</v>
      </c>
      <c r="F440" s="28" t="inlineStr">
        <is>
          <t>Historical monthly total (pre per-category / per-tier tracking)</t>
        </is>
      </c>
      <c r="G440" s="28">
        <f>IF(IFERROR(INDEX(Categories!$C$2:$C$200,MATCH(B440,Categories!$A$2:$A$200,0)),"N")="Y",E440,0)</f>
        <v/>
      </c>
    </row>
    <row r="441">
      <c r="A441" s="26" t="n">
        <v>43344</v>
      </c>
      <c r="B441" s="12" t="inlineStr">
        <is>
          <t>Dividends</t>
        </is>
      </c>
      <c r="C441" s="12" t="inlineStr">
        <is>
          <t>Income</t>
        </is>
      </c>
      <c r="D441" s="12" t="inlineStr">
        <is>
          <t>—</t>
        </is>
      </c>
      <c r="E441" s="27" t="n">
        <v>150</v>
      </c>
      <c r="G441" s="28">
        <f>IF(IFERROR(INDEX(Categories!$C$2:$C$200,MATCH(B441,Categories!$A$2:$A$200,0)),"N")="Y",E441,0)</f>
        <v/>
      </c>
    </row>
    <row r="442">
      <c r="A442" s="26" t="n">
        <v>43344</v>
      </c>
      <c r="B442" s="12" t="inlineStr">
        <is>
          <t>Interest</t>
        </is>
      </c>
      <c r="C442" s="12" t="inlineStr">
        <is>
          <t>Income</t>
        </is>
      </c>
      <c r="D442" s="12" t="inlineStr">
        <is>
          <t>—</t>
        </is>
      </c>
      <c r="E442" s="27" t="n">
        <v>20</v>
      </c>
      <c r="G442" s="28">
        <f>IF(IFERROR(INDEX(Categories!$C$2:$C$200,MATCH(B442,Categories!$A$2:$A$200,0)),"N")="Y",E442,0)</f>
        <v/>
      </c>
    </row>
    <row r="443">
      <c r="A443" s="26" t="n">
        <v>43344</v>
      </c>
      <c r="B443" s="12" t="inlineStr">
        <is>
          <t>Salary</t>
        </is>
      </c>
      <c r="C443" s="12" t="inlineStr">
        <is>
          <t>Income</t>
        </is>
      </c>
      <c r="D443" s="12" t="inlineStr">
        <is>
          <t>—</t>
        </is>
      </c>
      <c r="E443" s="27" t="n">
        <v>4900</v>
      </c>
      <c r="G443" s="28">
        <f>IF(IFERROR(INDEX(Categories!$C$2:$C$200,MATCH(B443,Categories!$A$2:$A$200,0)),"N")="Y",E443,0)</f>
        <v/>
      </c>
    </row>
    <row r="444">
      <c r="A444" s="26" t="n">
        <v>43344</v>
      </c>
      <c r="B444" s="12" t="inlineStr">
        <is>
          <t>Uncategorised</t>
        </is>
      </c>
      <c r="C444" s="12" t="inlineStr">
        <is>
          <t>Actual</t>
        </is>
      </c>
      <c r="D444" s="12" t="inlineStr">
        <is>
          <t>Core</t>
        </is>
      </c>
      <c r="E444" s="27" t="n">
        <v>3160</v>
      </c>
      <c r="F444" s="28" t="inlineStr">
        <is>
          <t>Historical monthly total (pre per-category / per-tier tracking)</t>
        </is>
      </c>
      <c r="G444" s="28">
        <f>IF(IFERROR(INDEX(Categories!$C$2:$C$200,MATCH(B444,Categories!$A$2:$A$200,0)),"N")="Y",E444,0)</f>
        <v/>
      </c>
    </row>
    <row r="445">
      <c r="A445" s="26" t="n">
        <v>43374</v>
      </c>
      <c r="B445" s="12" t="inlineStr">
        <is>
          <t>Interest</t>
        </is>
      </c>
      <c r="C445" s="12" t="inlineStr">
        <is>
          <t>Income</t>
        </is>
      </c>
      <c r="D445" s="12" t="inlineStr">
        <is>
          <t>—</t>
        </is>
      </c>
      <c r="E445" s="27" t="n">
        <v>20</v>
      </c>
      <c r="G445" s="28">
        <f>IF(IFERROR(INDEX(Categories!$C$2:$C$200,MATCH(B445,Categories!$A$2:$A$200,0)),"N")="Y",E445,0)</f>
        <v/>
      </c>
    </row>
    <row r="446">
      <c r="A446" s="26" t="n">
        <v>43374</v>
      </c>
      <c r="B446" s="12" t="inlineStr">
        <is>
          <t>Salary</t>
        </is>
      </c>
      <c r="C446" s="12" t="inlineStr">
        <is>
          <t>Income</t>
        </is>
      </c>
      <c r="D446" s="12" t="inlineStr">
        <is>
          <t>—</t>
        </is>
      </c>
      <c r="E446" s="27" t="n">
        <v>4950</v>
      </c>
      <c r="G446" s="28">
        <f>IF(IFERROR(INDEX(Categories!$C$2:$C$200,MATCH(B446,Categories!$A$2:$A$200,0)),"N")="Y",E446,0)</f>
        <v/>
      </c>
    </row>
    <row r="447">
      <c r="A447" s="26" t="n">
        <v>43374</v>
      </c>
      <c r="B447" s="12" t="inlineStr">
        <is>
          <t>Uncategorised</t>
        </is>
      </c>
      <c r="C447" s="12" t="inlineStr">
        <is>
          <t>Actual</t>
        </is>
      </c>
      <c r="D447" s="12" t="inlineStr">
        <is>
          <t>Core</t>
        </is>
      </c>
      <c r="E447" s="27" t="n">
        <v>3280</v>
      </c>
      <c r="F447" s="28" t="inlineStr">
        <is>
          <t>Historical monthly total (pre per-category / per-tier tracking)</t>
        </is>
      </c>
      <c r="G447" s="28">
        <f>IF(IFERROR(INDEX(Categories!$C$2:$C$200,MATCH(B447,Categories!$A$2:$A$200,0)),"N")="Y",E447,0)</f>
        <v/>
      </c>
    </row>
    <row r="448">
      <c r="A448" s="26" t="n">
        <v>43405</v>
      </c>
      <c r="B448" s="12" t="inlineStr">
        <is>
          <t>Interest</t>
        </is>
      </c>
      <c r="C448" s="12" t="inlineStr">
        <is>
          <t>Income</t>
        </is>
      </c>
      <c r="D448" s="12" t="inlineStr">
        <is>
          <t>—</t>
        </is>
      </c>
      <c r="E448" s="27" t="n">
        <v>20</v>
      </c>
      <c r="G448" s="28">
        <f>IF(IFERROR(INDEX(Categories!$C$2:$C$200,MATCH(B448,Categories!$A$2:$A$200,0)),"N")="Y",E448,0)</f>
        <v/>
      </c>
    </row>
    <row r="449">
      <c r="A449" s="26" t="n">
        <v>43405</v>
      </c>
      <c r="B449" s="12" t="inlineStr">
        <is>
          <t>Salary</t>
        </is>
      </c>
      <c r="C449" s="12" t="inlineStr">
        <is>
          <t>Income</t>
        </is>
      </c>
      <c r="D449" s="12" t="inlineStr">
        <is>
          <t>—</t>
        </is>
      </c>
      <c r="E449" s="27" t="n">
        <v>5000</v>
      </c>
      <c r="G449" s="28">
        <f>IF(IFERROR(INDEX(Categories!$C$2:$C$200,MATCH(B449,Categories!$A$2:$A$200,0)),"N")="Y",E449,0)</f>
        <v/>
      </c>
    </row>
    <row r="450">
      <c r="A450" s="26" t="n">
        <v>43405</v>
      </c>
      <c r="B450" s="12" t="inlineStr">
        <is>
          <t>Uncategorised</t>
        </is>
      </c>
      <c r="C450" s="12" t="inlineStr">
        <is>
          <t>Actual</t>
        </is>
      </c>
      <c r="D450" s="12" t="inlineStr">
        <is>
          <t>Core</t>
        </is>
      </c>
      <c r="E450" s="27" t="n">
        <v>2800</v>
      </c>
      <c r="F450" s="28" t="inlineStr">
        <is>
          <t>Historical monthly total (pre per-category / per-tier tracking)</t>
        </is>
      </c>
      <c r="G450" s="28">
        <f>IF(IFERROR(INDEX(Categories!$C$2:$C$200,MATCH(B450,Categories!$A$2:$A$200,0)),"N")="Y",E450,0)</f>
        <v/>
      </c>
    </row>
    <row r="451">
      <c r="A451" s="26" t="n">
        <v>43435</v>
      </c>
      <c r="B451" s="12" t="inlineStr">
        <is>
          <t>Bonus/Claims</t>
        </is>
      </c>
      <c r="C451" s="12" t="inlineStr">
        <is>
          <t>Income</t>
        </is>
      </c>
      <c r="D451" s="12" t="inlineStr">
        <is>
          <t>—</t>
        </is>
      </c>
      <c r="E451" s="27" t="n">
        <v>5050</v>
      </c>
      <c r="G451" s="28">
        <f>IF(IFERROR(INDEX(Categories!$C$2:$C$200,MATCH(B451,Categories!$A$2:$A$200,0)),"N")="Y",E451,0)</f>
        <v/>
      </c>
    </row>
    <row r="452">
      <c r="A452" s="26" t="n">
        <v>43435</v>
      </c>
      <c r="B452" s="12" t="inlineStr">
        <is>
          <t>Dividends</t>
        </is>
      </c>
      <c r="C452" s="12" t="inlineStr">
        <is>
          <t>Income</t>
        </is>
      </c>
      <c r="D452" s="12" t="inlineStr">
        <is>
          <t>—</t>
        </is>
      </c>
      <c r="E452" s="27" t="n">
        <v>150</v>
      </c>
      <c r="G452" s="28">
        <f>IF(IFERROR(INDEX(Categories!$C$2:$C$200,MATCH(B452,Categories!$A$2:$A$200,0)),"N")="Y",E452,0)</f>
        <v/>
      </c>
    </row>
    <row r="453">
      <c r="A453" s="26" t="n">
        <v>43435</v>
      </c>
      <c r="B453" s="12" t="inlineStr">
        <is>
          <t>Interest</t>
        </is>
      </c>
      <c r="C453" s="12" t="inlineStr">
        <is>
          <t>Income</t>
        </is>
      </c>
      <c r="D453" s="12" t="inlineStr">
        <is>
          <t>—</t>
        </is>
      </c>
      <c r="E453" s="27" t="n">
        <v>20</v>
      </c>
      <c r="G453" s="28">
        <f>IF(IFERROR(INDEX(Categories!$C$2:$C$200,MATCH(B453,Categories!$A$2:$A$200,0)),"N")="Y",E453,0)</f>
        <v/>
      </c>
    </row>
    <row r="454">
      <c r="A454" s="26" t="n">
        <v>43435</v>
      </c>
      <c r="B454" s="12" t="inlineStr">
        <is>
          <t>Salary</t>
        </is>
      </c>
      <c r="C454" s="12" t="inlineStr">
        <is>
          <t>Income</t>
        </is>
      </c>
      <c r="D454" s="12" t="inlineStr">
        <is>
          <t>—</t>
        </is>
      </c>
      <c r="E454" s="27" t="n">
        <v>5050</v>
      </c>
      <c r="G454" s="28">
        <f>IF(IFERROR(INDEX(Categories!$C$2:$C$200,MATCH(B454,Categories!$A$2:$A$200,0)),"N")="Y",E454,0)</f>
        <v/>
      </c>
    </row>
    <row r="455">
      <c r="A455" s="26" t="n">
        <v>43435</v>
      </c>
      <c r="B455" s="12" t="inlineStr">
        <is>
          <t>Uncategorised</t>
        </is>
      </c>
      <c r="C455" s="12" t="inlineStr">
        <is>
          <t>Actual</t>
        </is>
      </c>
      <c r="D455" s="12" t="inlineStr">
        <is>
          <t>Core</t>
        </is>
      </c>
      <c r="E455" s="27" t="n">
        <v>2920</v>
      </c>
      <c r="F455" s="28" t="inlineStr">
        <is>
          <t>Historical monthly total (pre per-category / per-tier tracking)</t>
        </is>
      </c>
      <c r="G455" s="28">
        <f>IF(IFERROR(INDEX(Categories!$C$2:$C$200,MATCH(B455,Categories!$A$2:$A$200,0)),"N")="Y",E455,0)</f>
        <v/>
      </c>
    </row>
    <row r="456">
      <c r="A456" s="26" t="n">
        <v>43466</v>
      </c>
      <c r="B456" s="12" t="inlineStr">
        <is>
          <t>Interest</t>
        </is>
      </c>
      <c r="C456" s="12" t="inlineStr">
        <is>
          <t>Income</t>
        </is>
      </c>
      <c r="D456" s="12" t="inlineStr">
        <is>
          <t>—</t>
        </is>
      </c>
      <c r="E456" s="27" t="n">
        <v>20</v>
      </c>
      <c r="G456" s="28">
        <f>IF(IFERROR(INDEX(Categories!$C$2:$C$200,MATCH(B456,Categories!$A$2:$A$200,0)),"N")="Y",E456,0)</f>
        <v/>
      </c>
    </row>
    <row r="457">
      <c r="A457" s="26" t="n">
        <v>43466</v>
      </c>
      <c r="B457" s="12" t="inlineStr">
        <is>
          <t>Salary</t>
        </is>
      </c>
      <c r="C457" s="12" t="inlineStr">
        <is>
          <t>Income</t>
        </is>
      </c>
      <c r="D457" s="12" t="inlineStr">
        <is>
          <t>—</t>
        </is>
      </c>
      <c r="E457" s="27" t="n">
        <v>4980</v>
      </c>
      <c r="G457" s="28">
        <f>IF(IFERROR(INDEX(Categories!$C$2:$C$200,MATCH(B457,Categories!$A$2:$A$200,0)),"N")="Y",E457,0)</f>
        <v/>
      </c>
    </row>
    <row r="458">
      <c r="A458" s="26" t="n">
        <v>43466</v>
      </c>
      <c r="B458" s="12" t="inlineStr">
        <is>
          <t>Uncategorised</t>
        </is>
      </c>
      <c r="C458" s="12" t="inlineStr">
        <is>
          <t>Actual</t>
        </is>
      </c>
      <c r="D458" s="12" t="inlineStr">
        <is>
          <t>Core</t>
        </is>
      </c>
      <c r="E458" s="27" t="n">
        <v>3120</v>
      </c>
      <c r="F458" s="28" t="inlineStr">
        <is>
          <t>Historical monthly total (pre per-category / per-tier tracking)</t>
        </is>
      </c>
      <c r="G458" s="28">
        <f>IF(IFERROR(INDEX(Categories!$C$2:$C$200,MATCH(B458,Categories!$A$2:$A$200,0)),"N")="Y",E458,0)</f>
        <v/>
      </c>
    </row>
    <row r="459">
      <c r="A459" s="26" t="n">
        <v>43497</v>
      </c>
      <c r="B459" s="12" t="inlineStr">
        <is>
          <t>Interest</t>
        </is>
      </c>
      <c r="C459" s="12" t="inlineStr">
        <is>
          <t>Income</t>
        </is>
      </c>
      <c r="D459" s="12" t="inlineStr">
        <is>
          <t>—</t>
        </is>
      </c>
      <c r="E459" s="27" t="n">
        <v>20</v>
      </c>
      <c r="G459" s="28">
        <f>IF(IFERROR(INDEX(Categories!$C$2:$C$200,MATCH(B459,Categories!$A$2:$A$200,0)),"N")="Y",E459,0)</f>
        <v/>
      </c>
    </row>
    <row r="460">
      <c r="A460" s="26" t="n">
        <v>43497</v>
      </c>
      <c r="B460" s="12" t="inlineStr">
        <is>
          <t>Salary</t>
        </is>
      </c>
      <c r="C460" s="12" t="inlineStr">
        <is>
          <t>Income</t>
        </is>
      </c>
      <c r="D460" s="12" t="inlineStr">
        <is>
          <t>—</t>
        </is>
      </c>
      <c r="E460" s="27" t="n">
        <v>5030</v>
      </c>
      <c r="G460" s="28">
        <f>IF(IFERROR(INDEX(Categories!$C$2:$C$200,MATCH(B460,Categories!$A$2:$A$200,0)),"N")="Y",E460,0)</f>
        <v/>
      </c>
    </row>
    <row r="461">
      <c r="A461" s="26" t="n">
        <v>43497</v>
      </c>
      <c r="B461" s="12" t="inlineStr">
        <is>
          <t>Uncategorised</t>
        </is>
      </c>
      <c r="C461" s="12" t="inlineStr">
        <is>
          <t>Actual</t>
        </is>
      </c>
      <c r="D461" s="12" t="inlineStr">
        <is>
          <t>Core</t>
        </is>
      </c>
      <c r="E461" s="27" t="n">
        <v>3240</v>
      </c>
      <c r="F461" s="28" t="inlineStr">
        <is>
          <t>Historical monthly total (pre per-category / per-tier tracking)</t>
        </is>
      </c>
      <c r="G461" s="28">
        <f>IF(IFERROR(INDEX(Categories!$C$2:$C$200,MATCH(B461,Categories!$A$2:$A$200,0)),"N")="Y",E461,0)</f>
        <v/>
      </c>
    </row>
    <row r="462">
      <c r="A462" s="26" t="n">
        <v>43525</v>
      </c>
      <c r="B462" s="12" t="inlineStr">
        <is>
          <t>Dividends</t>
        </is>
      </c>
      <c r="C462" s="12" t="inlineStr">
        <is>
          <t>Income</t>
        </is>
      </c>
      <c r="D462" s="12" t="inlineStr">
        <is>
          <t>—</t>
        </is>
      </c>
      <c r="E462" s="27" t="n">
        <v>150</v>
      </c>
      <c r="G462" s="28">
        <f>IF(IFERROR(INDEX(Categories!$C$2:$C$200,MATCH(B462,Categories!$A$2:$A$200,0)),"N")="Y",E462,0)</f>
        <v/>
      </c>
    </row>
    <row r="463">
      <c r="A463" s="26" t="n">
        <v>43525</v>
      </c>
      <c r="B463" s="12" t="inlineStr">
        <is>
          <t>Interest</t>
        </is>
      </c>
      <c r="C463" s="12" t="inlineStr">
        <is>
          <t>Income</t>
        </is>
      </c>
      <c r="D463" s="12" t="inlineStr">
        <is>
          <t>—</t>
        </is>
      </c>
      <c r="E463" s="27" t="n">
        <v>20</v>
      </c>
      <c r="G463" s="28">
        <f>IF(IFERROR(INDEX(Categories!$C$2:$C$200,MATCH(B463,Categories!$A$2:$A$200,0)),"N")="Y",E463,0)</f>
        <v/>
      </c>
    </row>
    <row r="464">
      <c r="A464" s="26" t="n">
        <v>43525</v>
      </c>
      <c r="B464" s="12" t="inlineStr">
        <is>
          <t>Salary</t>
        </is>
      </c>
      <c r="C464" s="12" t="inlineStr">
        <is>
          <t>Income</t>
        </is>
      </c>
      <c r="D464" s="12" t="inlineStr">
        <is>
          <t>—</t>
        </is>
      </c>
      <c r="E464" s="27" t="n">
        <v>5080</v>
      </c>
      <c r="G464" s="28">
        <f>IF(IFERROR(INDEX(Categories!$C$2:$C$200,MATCH(B464,Categories!$A$2:$A$200,0)),"N")="Y",E464,0)</f>
        <v/>
      </c>
    </row>
    <row r="465">
      <c r="A465" s="26" t="n">
        <v>43525</v>
      </c>
      <c r="B465" s="12" t="inlineStr">
        <is>
          <t>Uncategorised</t>
        </is>
      </c>
      <c r="C465" s="12" t="inlineStr">
        <is>
          <t>Actual</t>
        </is>
      </c>
      <c r="D465" s="12" t="inlineStr">
        <is>
          <t>Core</t>
        </is>
      </c>
      <c r="E465" s="27" t="n">
        <v>3360</v>
      </c>
      <c r="F465" s="28" t="inlineStr">
        <is>
          <t>Historical monthly total (pre per-category / per-tier tracking)</t>
        </is>
      </c>
      <c r="G465" s="28">
        <f>IF(IFERROR(INDEX(Categories!$C$2:$C$200,MATCH(B465,Categories!$A$2:$A$200,0)),"N")="Y",E465,0)</f>
        <v/>
      </c>
    </row>
    <row r="466">
      <c r="A466" s="26" t="n">
        <v>43556</v>
      </c>
      <c r="B466" s="12" t="inlineStr">
        <is>
          <t>Interest</t>
        </is>
      </c>
      <c r="C466" s="12" t="inlineStr">
        <is>
          <t>Income</t>
        </is>
      </c>
      <c r="D466" s="12" t="inlineStr">
        <is>
          <t>—</t>
        </is>
      </c>
      <c r="E466" s="27" t="n">
        <v>20</v>
      </c>
      <c r="G466" s="28">
        <f>IF(IFERROR(INDEX(Categories!$C$2:$C$200,MATCH(B466,Categories!$A$2:$A$200,0)),"N")="Y",E466,0)</f>
        <v/>
      </c>
    </row>
    <row r="467">
      <c r="A467" s="26" t="n">
        <v>43556</v>
      </c>
      <c r="B467" s="12" t="inlineStr">
        <is>
          <t>Salary</t>
        </is>
      </c>
      <c r="C467" s="12" t="inlineStr">
        <is>
          <t>Income</t>
        </is>
      </c>
      <c r="D467" s="12" t="inlineStr">
        <is>
          <t>—</t>
        </is>
      </c>
      <c r="E467" s="27" t="n">
        <v>5130</v>
      </c>
      <c r="G467" s="28">
        <f>IF(IFERROR(INDEX(Categories!$C$2:$C$200,MATCH(B467,Categories!$A$2:$A$200,0)),"N")="Y",E467,0)</f>
        <v/>
      </c>
    </row>
    <row r="468">
      <c r="A468" s="26" t="n">
        <v>43556</v>
      </c>
      <c r="B468" s="12" t="inlineStr">
        <is>
          <t>Uncategorised</t>
        </is>
      </c>
      <c r="C468" s="12" t="inlineStr">
        <is>
          <t>Actual</t>
        </is>
      </c>
      <c r="D468" s="12" t="inlineStr">
        <is>
          <t>Core</t>
        </is>
      </c>
      <c r="E468" s="27" t="n">
        <v>2880</v>
      </c>
      <c r="F468" s="28" t="inlineStr">
        <is>
          <t>Historical monthly total (pre per-category / per-tier tracking)</t>
        </is>
      </c>
      <c r="G468" s="28">
        <f>IF(IFERROR(INDEX(Categories!$C$2:$C$200,MATCH(B468,Categories!$A$2:$A$200,0)),"N")="Y",E468,0)</f>
        <v/>
      </c>
    </row>
    <row r="469">
      <c r="A469" s="26" t="n">
        <v>43586</v>
      </c>
      <c r="B469" s="12" t="inlineStr">
        <is>
          <t>Interest</t>
        </is>
      </c>
      <c r="C469" s="12" t="inlineStr">
        <is>
          <t>Income</t>
        </is>
      </c>
      <c r="D469" s="12" t="inlineStr">
        <is>
          <t>—</t>
        </is>
      </c>
      <c r="E469" s="27" t="n">
        <v>20</v>
      </c>
      <c r="G469" s="28">
        <f>IF(IFERROR(INDEX(Categories!$C$2:$C$200,MATCH(B469,Categories!$A$2:$A$200,0)),"N")="Y",E469,0)</f>
        <v/>
      </c>
    </row>
    <row r="470">
      <c r="A470" s="26" t="n">
        <v>43586</v>
      </c>
      <c r="B470" s="12" t="inlineStr">
        <is>
          <t>Salary</t>
        </is>
      </c>
      <c r="C470" s="12" t="inlineStr">
        <is>
          <t>Income</t>
        </is>
      </c>
      <c r="D470" s="12" t="inlineStr">
        <is>
          <t>—</t>
        </is>
      </c>
      <c r="E470" s="27" t="n">
        <v>5180</v>
      </c>
      <c r="G470" s="28">
        <f>IF(IFERROR(INDEX(Categories!$C$2:$C$200,MATCH(B470,Categories!$A$2:$A$200,0)),"N")="Y",E470,0)</f>
        <v/>
      </c>
    </row>
    <row r="471">
      <c r="A471" s="26" t="n">
        <v>43586</v>
      </c>
      <c r="B471" s="12" t="inlineStr">
        <is>
          <t>Uncategorised</t>
        </is>
      </c>
      <c r="C471" s="12" t="inlineStr">
        <is>
          <t>Actual</t>
        </is>
      </c>
      <c r="D471" s="12" t="inlineStr">
        <is>
          <t>Core</t>
        </is>
      </c>
      <c r="E471" s="27" t="n">
        <v>3000</v>
      </c>
      <c r="F471" s="28" t="inlineStr">
        <is>
          <t>Historical monthly total (pre per-category / per-tier tracking)</t>
        </is>
      </c>
      <c r="G471" s="28">
        <f>IF(IFERROR(INDEX(Categories!$C$2:$C$200,MATCH(B471,Categories!$A$2:$A$200,0)),"N")="Y",E471,0)</f>
        <v/>
      </c>
    </row>
    <row r="472">
      <c r="A472" s="26" t="n">
        <v>43617</v>
      </c>
      <c r="B472" s="12" t="inlineStr">
        <is>
          <t>Dividends</t>
        </is>
      </c>
      <c r="C472" s="12" t="inlineStr">
        <is>
          <t>Income</t>
        </is>
      </c>
      <c r="D472" s="12" t="inlineStr">
        <is>
          <t>—</t>
        </is>
      </c>
      <c r="E472" s="27" t="n">
        <v>150</v>
      </c>
      <c r="G472" s="28">
        <f>IF(IFERROR(INDEX(Categories!$C$2:$C$200,MATCH(B472,Categories!$A$2:$A$200,0)),"N")="Y",E472,0)</f>
        <v/>
      </c>
    </row>
    <row r="473">
      <c r="A473" s="26" t="n">
        <v>43617</v>
      </c>
      <c r="B473" s="12" t="inlineStr">
        <is>
          <t>Interest</t>
        </is>
      </c>
      <c r="C473" s="12" t="inlineStr">
        <is>
          <t>Income</t>
        </is>
      </c>
      <c r="D473" s="12" t="inlineStr">
        <is>
          <t>—</t>
        </is>
      </c>
      <c r="E473" s="27" t="n">
        <v>20</v>
      </c>
      <c r="G473" s="28">
        <f>IF(IFERROR(INDEX(Categories!$C$2:$C$200,MATCH(B473,Categories!$A$2:$A$200,0)),"N")="Y",E473,0)</f>
        <v/>
      </c>
    </row>
    <row r="474">
      <c r="A474" s="26" t="n">
        <v>43617</v>
      </c>
      <c r="B474" s="12" t="inlineStr">
        <is>
          <t>Salary</t>
        </is>
      </c>
      <c r="C474" s="12" t="inlineStr">
        <is>
          <t>Income</t>
        </is>
      </c>
      <c r="D474" s="12" t="inlineStr">
        <is>
          <t>—</t>
        </is>
      </c>
      <c r="E474" s="27" t="n">
        <v>5230</v>
      </c>
      <c r="G474" s="28">
        <f>IF(IFERROR(INDEX(Categories!$C$2:$C$200,MATCH(B474,Categories!$A$2:$A$200,0)),"N")="Y",E474,0)</f>
        <v/>
      </c>
    </row>
    <row r="475">
      <c r="A475" s="26" t="n">
        <v>43617</v>
      </c>
      <c r="B475" s="12" t="inlineStr">
        <is>
          <t>Uncategorised</t>
        </is>
      </c>
      <c r="C475" s="12" t="inlineStr">
        <is>
          <t>Actual</t>
        </is>
      </c>
      <c r="D475" s="12" t="inlineStr">
        <is>
          <t>Core</t>
        </is>
      </c>
      <c r="E475" s="27" t="n">
        <v>3120</v>
      </c>
      <c r="F475" s="28" t="inlineStr">
        <is>
          <t>Historical monthly total (pre per-category / per-tier tracking)</t>
        </is>
      </c>
      <c r="G475" s="28">
        <f>IF(IFERROR(INDEX(Categories!$C$2:$C$200,MATCH(B475,Categories!$A$2:$A$200,0)),"N")="Y",E475,0)</f>
        <v/>
      </c>
    </row>
    <row r="476">
      <c r="A476" s="26" t="n">
        <v>43647</v>
      </c>
      <c r="B476" s="12" t="inlineStr">
        <is>
          <t>Interest</t>
        </is>
      </c>
      <c r="C476" s="12" t="inlineStr">
        <is>
          <t>Income</t>
        </is>
      </c>
      <c r="D476" s="12" t="inlineStr">
        <is>
          <t>—</t>
        </is>
      </c>
      <c r="E476" s="27" t="n">
        <v>20</v>
      </c>
      <c r="G476" s="28">
        <f>IF(IFERROR(INDEX(Categories!$C$2:$C$200,MATCH(B476,Categories!$A$2:$A$200,0)),"N")="Y",E476,0)</f>
        <v/>
      </c>
    </row>
    <row r="477">
      <c r="A477" s="26" t="n">
        <v>43647</v>
      </c>
      <c r="B477" s="12" t="inlineStr">
        <is>
          <t>Salary</t>
        </is>
      </c>
      <c r="C477" s="12" t="inlineStr">
        <is>
          <t>Income</t>
        </is>
      </c>
      <c r="D477" s="12" t="inlineStr">
        <is>
          <t>—</t>
        </is>
      </c>
      <c r="E477" s="27" t="n">
        <v>4980</v>
      </c>
      <c r="G477" s="28">
        <f>IF(IFERROR(INDEX(Categories!$C$2:$C$200,MATCH(B477,Categories!$A$2:$A$200,0)),"N")="Y",E477,0)</f>
        <v/>
      </c>
    </row>
    <row r="478">
      <c r="A478" s="26" t="n">
        <v>43647</v>
      </c>
      <c r="B478" s="12" t="inlineStr">
        <is>
          <t>Uncategorised</t>
        </is>
      </c>
      <c r="C478" s="12" t="inlineStr">
        <is>
          <t>Actual</t>
        </is>
      </c>
      <c r="D478" s="12" t="inlineStr">
        <is>
          <t>Core</t>
        </is>
      </c>
      <c r="E478" s="27" t="n">
        <v>3240</v>
      </c>
      <c r="F478" s="28" t="inlineStr">
        <is>
          <t>Historical monthly total (pre per-category / per-tier tracking)</t>
        </is>
      </c>
      <c r="G478" s="28">
        <f>IF(IFERROR(INDEX(Categories!$C$2:$C$200,MATCH(B478,Categories!$A$2:$A$200,0)),"N")="Y",E478,0)</f>
        <v/>
      </c>
    </row>
    <row r="479">
      <c r="A479" s="26" t="n">
        <v>43678</v>
      </c>
      <c r="B479" s="12" t="inlineStr">
        <is>
          <t>Interest</t>
        </is>
      </c>
      <c r="C479" s="12" t="inlineStr">
        <is>
          <t>Income</t>
        </is>
      </c>
      <c r="D479" s="12" t="inlineStr">
        <is>
          <t>—</t>
        </is>
      </c>
      <c r="E479" s="27" t="n">
        <v>20</v>
      </c>
      <c r="G479" s="28">
        <f>IF(IFERROR(INDEX(Categories!$C$2:$C$200,MATCH(B479,Categories!$A$2:$A$200,0)),"N")="Y",E479,0)</f>
        <v/>
      </c>
    </row>
    <row r="480">
      <c r="A480" s="26" t="n">
        <v>43678</v>
      </c>
      <c r="B480" s="12" t="inlineStr">
        <is>
          <t>Salary</t>
        </is>
      </c>
      <c r="C480" s="12" t="inlineStr">
        <is>
          <t>Income</t>
        </is>
      </c>
      <c r="D480" s="12" t="inlineStr">
        <is>
          <t>—</t>
        </is>
      </c>
      <c r="E480" s="27" t="n">
        <v>5030</v>
      </c>
      <c r="G480" s="28">
        <f>IF(IFERROR(INDEX(Categories!$C$2:$C$200,MATCH(B480,Categories!$A$2:$A$200,0)),"N")="Y",E480,0)</f>
        <v/>
      </c>
    </row>
    <row r="481">
      <c r="A481" s="26" t="n">
        <v>43678</v>
      </c>
      <c r="B481" s="12" t="inlineStr">
        <is>
          <t>Uncategorised</t>
        </is>
      </c>
      <c r="C481" s="12" t="inlineStr">
        <is>
          <t>Actual</t>
        </is>
      </c>
      <c r="D481" s="12" t="inlineStr">
        <is>
          <t>Core</t>
        </is>
      </c>
      <c r="E481" s="27" t="n">
        <v>3360</v>
      </c>
      <c r="F481" s="28" t="inlineStr">
        <is>
          <t>Historical monthly total (pre per-category / per-tier tracking)</t>
        </is>
      </c>
      <c r="G481" s="28">
        <f>IF(IFERROR(INDEX(Categories!$C$2:$C$200,MATCH(B481,Categories!$A$2:$A$200,0)),"N")="Y",E481,0)</f>
        <v/>
      </c>
    </row>
    <row r="482">
      <c r="A482" s="26" t="n">
        <v>43709</v>
      </c>
      <c r="B482" s="12" t="inlineStr">
        <is>
          <t>Dividends</t>
        </is>
      </c>
      <c r="C482" s="12" t="inlineStr">
        <is>
          <t>Income</t>
        </is>
      </c>
      <c r="D482" s="12" t="inlineStr">
        <is>
          <t>—</t>
        </is>
      </c>
      <c r="E482" s="27" t="n">
        <v>150</v>
      </c>
      <c r="G482" s="28">
        <f>IF(IFERROR(INDEX(Categories!$C$2:$C$200,MATCH(B482,Categories!$A$2:$A$200,0)),"N")="Y",E482,0)</f>
        <v/>
      </c>
    </row>
    <row r="483">
      <c r="A483" s="26" t="n">
        <v>43709</v>
      </c>
      <c r="B483" s="12" t="inlineStr">
        <is>
          <t>Interest</t>
        </is>
      </c>
      <c r="C483" s="12" t="inlineStr">
        <is>
          <t>Income</t>
        </is>
      </c>
      <c r="D483" s="12" t="inlineStr">
        <is>
          <t>—</t>
        </is>
      </c>
      <c r="E483" s="27" t="n">
        <v>20</v>
      </c>
      <c r="G483" s="28">
        <f>IF(IFERROR(INDEX(Categories!$C$2:$C$200,MATCH(B483,Categories!$A$2:$A$200,0)),"N")="Y",E483,0)</f>
        <v/>
      </c>
    </row>
    <row r="484">
      <c r="A484" s="26" t="n">
        <v>43709</v>
      </c>
      <c r="B484" s="12" t="inlineStr">
        <is>
          <t>Salary</t>
        </is>
      </c>
      <c r="C484" s="12" t="inlineStr">
        <is>
          <t>Income</t>
        </is>
      </c>
      <c r="D484" s="12" t="inlineStr">
        <is>
          <t>—</t>
        </is>
      </c>
      <c r="E484" s="27" t="n">
        <v>5080</v>
      </c>
      <c r="G484" s="28">
        <f>IF(IFERROR(INDEX(Categories!$C$2:$C$200,MATCH(B484,Categories!$A$2:$A$200,0)),"N")="Y",E484,0)</f>
        <v/>
      </c>
    </row>
    <row r="485">
      <c r="A485" s="26" t="n">
        <v>43709</v>
      </c>
      <c r="B485" s="12" t="inlineStr">
        <is>
          <t>Uncategorised</t>
        </is>
      </c>
      <c r="C485" s="12" t="inlineStr">
        <is>
          <t>Actual</t>
        </is>
      </c>
      <c r="D485" s="12" t="inlineStr">
        <is>
          <t>Core</t>
        </is>
      </c>
      <c r="E485" s="27" t="n">
        <v>2880</v>
      </c>
      <c r="F485" s="28" t="inlineStr">
        <is>
          <t>Historical monthly total (pre per-category / per-tier tracking)</t>
        </is>
      </c>
      <c r="G485" s="28">
        <f>IF(IFERROR(INDEX(Categories!$C$2:$C$200,MATCH(B485,Categories!$A$2:$A$200,0)),"N")="Y",E485,0)</f>
        <v/>
      </c>
    </row>
    <row r="486">
      <c r="A486" s="26" t="n">
        <v>43739</v>
      </c>
      <c r="B486" s="12" t="inlineStr">
        <is>
          <t>Interest</t>
        </is>
      </c>
      <c r="C486" s="12" t="inlineStr">
        <is>
          <t>Income</t>
        </is>
      </c>
      <c r="D486" s="12" t="inlineStr">
        <is>
          <t>—</t>
        </is>
      </c>
      <c r="E486" s="27" t="n">
        <v>20</v>
      </c>
      <c r="G486" s="28">
        <f>IF(IFERROR(INDEX(Categories!$C$2:$C$200,MATCH(B486,Categories!$A$2:$A$200,0)),"N")="Y",E486,0)</f>
        <v/>
      </c>
    </row>
    <row r="487">
      <c r="A487" s="26" t="n">
        <v>43739</v>
      </c>
      <c r="B487" s="12" t="inlineStr">
        <is>
          <t>Salary</t>
        </is>
      </c>
      <c r="C487" s="12" t="inlineStr">
        <is>
          <t>Income</t>
        </is>
      </c>
      <c r="D487" s="12" t="inlineStr">
        <is>
          <t>—</t>
        </is>
      </c>
      <c r="E487" s="27" t="n">
        <v>5130</v>
      </c>
      <c r="G487" s="28">
        <f>IF(IFERROR(INDEX(Categories!$C$2:$C$200,MATCH(B487,Categories!$A$2:$A$200,0)),"N")="Y",E487,0)</f>
        <v/>
      </c>
    </row>
    <row r="488">
      <c r="A488" s="26" t="n">
        <v>43739</v>
      </c>
      <c r="B488" s="12" t="inlineStr">
        <is>
          <t>Uncategorised</t>
        </is>
      </c>
      <c r="C488" s="12" t="inlineStr">
        <is>
          <t>Actual</t>
        </is>
      </c>
      <c r="D488" s="12" t="inlineStr">
        <is>
          <t>Core</t>
        </is>
      </c>
      <c r="E488" s="27" t="n">
        <v>3000</v>
      </c>
      <c r="F488" s="28" t="inlineStr">
        <is>
          <t>Historical monthly total (pre per-category / per-tier tracking)</t>
        </is>
      </c>
      <c r="G488" s="28">
        <f>IF(IFERROR(INDEX(Categories!$C$2:$C$200,MATCH(B488,Categories!$A$2:$A$200,0)),"N")="Y",E488,0)</f>
        <v/>
      </c>
    </row>
    <row r="489">
      <c r="A489" s="26" t="n">
        <v>43770</v>
      </c>
      <c r="B489" s="12" t="inlineStr">
        <is>
          <t>Interest</t>
        </is>
      </c>
      <c r="C489" s="12" t="inlineStr">
        <is>
          <t>Income</t>
        </is>
      </c>
      <c r="D489" s="12" t="inlineStr">
        <is>
          <t>—</t>
        </is>
      </c>
      <c r="E489" s="27" t="n">
        <v>20</v>
      </c>
      <c r="G489" s="28">
        <f>IF(IFERROR(INDEX(Categories!$C$2:$C$200,MATCH(B489,Categories!$A$2:$A$200,0)),"N")="Y",E489,0)</f>
        <v/>
      </c>
    </row>
    <row r="490">
      <c r="A490" s="26" t="n">
        <v>43770</v>
      </c>
      <c r="B490" s="12" t="inlineStr">
        <is>
          <t>Salary</t>
        </is>
      </c>
      <c r="C490" s="12" t="inlineStr">
        <is>
          <t>Income</t>
        </is>
      </c>
      <c r="D490" s="12" t="inlineStr">
        <is>
          <t>—</t>
        </is>
      </c>
      <c r="E490" s="27" t="n">
        <v>5180</v>
      </c>
      <c r="G490" s="28">
        <f>IF(IFERROR(INDEX(Categories!$C$2:$C$200,MATCH(B490,Categories!$A$2:$A$200,0)),"N")="Y",E490,0)</f>
        <v/>
      </c>
    </row>
    <row r="491">
      <c r="A491" s="26" t="n">
        <v>43770</v>
      </c>
      <c r="B491" s="12" t="inlineStr">
        <is>
          <t>Uncategorised</t>
        </is>
      </c>
      <c r="C491" s="12" t="inlineStr">
        <is>
          <t>Actual</t>
        </is>
      </c>
      <c r="D491" s="12" t="inlineStr">
        <is>
          <t>Core</t>
        </is>
      </c>
      <c r="E491" s="27" t="n">
        <v>3120</v>
      </c>
      <c r="F491" s="28" t="inlineStr">
        <is>
          <t>Historical monthly total (pre per-category / per-tier tracking)</t>
        </is>
      </c>
      <c r="G491" s="28">
        <f>IF(IFERROR(INDEX(Categories!$C$2:$C$200,MATCH(B491,Categories!$A$2:$A$200,0)),"N")="Y",E491,0)</f>
        <v/>
      </c>
    </row>
    <row r="492">
      <c r="A492" s="26" t="n">
        <v>43770</v>
      </c>
      <c r="B492" s="12" t="inlineStr">
        <is>
          <t>Misc</t>
        </is>
      </c>
      <c r="C492" s="12" t="inlineStr">
        <is>
          <t>One-off</t>
        </is>
      </c>
      <c r="D492" s="12" t="inlineStr">
        <is>
          <t>One-off</t>
        </is>
      </c>
      <c r="E492" s="27" t="n">
        <v>1800</v>
      </c>
      <c r="F492" s="28" t="inlineStr">
        <is>
          <t>Sample: new laptop</t>
        </is>
      </c>
      <c r="G492" s="28">
        <f>IF(IFERROR(INDEX(Categories!$C$2:$C$200,MATCH(B492,Categories!$A$2:$A$200,0)),"N")="Y",E492,0)</f>
        <v/>
      </c>
    </row>
    <row r="493">
      <c r="A493" s="26" t="n">
        <v>43800</v>
      </c>
      <c r="B493" s="12" t="inlineStr">
        <is>
          <t>Bonus/Claims</t>
        </is>
      </c>
      <c r="C493" s="12" t="inlineStr">
        <is>
          <t>Income</t>
        </is>
      </c>
      <c r="D493" s="12" t="inlineStr">
        <is>
          <t>—</t>
        </is>
      </c>
      <c r="E493" s="27" t="n">
        <v>5230</v>
      </c>
      <c r="G493" s="28">
        <f>IF(IFERROR(INDEX(Categories!$C$2:$C$200,MATCH(B493,Categories!$A$2:$A$200,0)),"N")="Y",E493,0)</f>
        <v/>
      </c>
    </row>
    <row r="494">
      <c r="A494" s="26" t="n">
        <v>43800</v>
      </c>
      <c r="B494" s="12" t="inlineStr">
        <is>
          <t>Dividends</t>
        </is>
      </c>
      <c r="C494" s="12" t="inlineStr">
        <is>
          <t>Income</t>
        </is>
      </c>
      <c r="D494" s="12" t="inlineStr">
        <is>
          <t>—</t>
        </is>
      </c>
      <c r="E494" s="27" t="n">
        <v>150</v>
      </c>
      <c r="G494" s="28">
        <f>IF(IFERROR(INDEX(Categories!$C$2:$C$200,MATCH(B494,Categories!$A$2:$A$200,0)),"N")="Y",E494,0)</f>
        <v/>
      </c>
    </row>
    <row r="495">
      <c r="A495" s="26" t="n">
        <v>43800</v>
      </c>
      <c r="B495" s="12" t="inlineStr">
        <is>
          <t>Interest</t>
        </is>
      </c>
      <c r="C495" s="12" t="inlineStr">
        <is>
          <t>Income</t>
        </is>
      </c>
      <c r="D495" s="12" t="inlineStr">
        <is>
          <t>—</t>
        </is>
      </c>
      <c r="E495" s="27" t="n">
        <v>20</v>
      </c>
      <c r="G495" s="28">
        <f>IF(IFERROR(INDEX(Categories!$C$2:$C$200,MATCH(B495,Categories!$A$2:$A$200,0)),"N")="Y",E495,0)</f>
        <v/>
      </c>
    </row>
    <row r="496">
      <c r="A496" s="26" t="n">
        <v>43800</v>
      </c>
      <c r="B496" s="12" t="inlineStr">
        <is>
          <t>Salary</t>
        </is>
      </c>
      <c r="C496" s="12" t="inlineStr">
        <is>
          <t>Income</t>
        </is>
      </c>
      <c r="D496" s="12" t="inlineStr">
        <is>
          <t>—</t>
        </is>
      </c>
      <c r="E496" s="27" t="n">
        <v>5230</v>
      </c>
      <c r="G496" s="28">
        <f>IF(IFERROR(INDEX(Categories!$C$2:$C$200,MATCH(B496,Categories!$A$2:$A$200,0)),"N")="Y",E496,0)</f>
        <v/>
      </c>
    </row>
    <row r="497">
      <c r="A497" s="26" t="n">
        <v>43800</v>
      </c>
      <c r="B497" s="12" t="inlineStr">
        <is>
          <t>Uncategorised</t>
        </is>
      </c>
      <c r="C497" s="12" t="inlineStr">
        <is>
          <t>Actual</t>
        </is>
      </c>
      <c r="D497" s="12" t="inlineStr">
        <is>
          <t>Core</t>
        </is>
      </c>
      <c r="E497" s="27" t="n">
        <v>3240</v>
      </c>
      <c r="F497" s="28" t="inlineStr">
        <is>
          <t>Historical monthly total (pre per-category / per-tier tracking)</t>
        </is>
      </c>
      <c r="G497" s="28">
        <f>IF(IFERROR(INDEX(Categories!$C$2:$C$200,MATCH(B497,Categories!$A$2:$A$200,0)),"N")="Y",E497,0)</f>
        <v/>
      </c>
    </row>
    <row r="498">
      <c r="A498" s="26" t="n">
        <v>43831</v>
      </c>
      <c r="B498" s="12" t="inlineStr">
        <is>
          <t>Interest</t>
        </is>
      </c>
      <c r="C498" s="12" t="inlineStr">
        <is>
          <t>Income</t>
        </is>
      </c>
      <c r="D498" s="12" t="inlineStr">
        <is>
          <t>—</t>
        </is>
      </c>
      <c r="E498" s="27" t="n">
        <v>20</v>
      </c>
      <c r="G498" s="28">
        <f>IF(IFERROR(INDEX(Categories!$C$2:$C$200,MATCH(B498,Categories!$A$2:$A$200,0)),"N")="Y",E498,0)</f>
        <v/>
      </c>
    </row>
    <row r="499">
      <c r="A499" s="26" t="n">
        <v>43831</v>
      </c>
      <c r="B499" s="12" t="inlineStr">
        <is>
          <t>Salary</t>
        </is>
      </c>
      <c r="C499" s="12" t="inlineStr">
        <is>
          <t>Income</t>
        </is>
      </c>
      <c r="D499" s="12" t="inlineStr">
        <is>
          <t>—</t>
        </is>
      </c>
      <c r="E499" s="27" t="n">
        <v>5160</v>
      </c>
      <c r="G499" s="28">
        <f>IF(IFERROR(INDEX(Categories!$C$2:$C$200,MATCH(B499,Categories!$A$2:$A$200,0)),"N")="Y",E499,0)</f>
        <v/>
      </c>
    </row>
    <row r="500">
      <c r="A500" s="26" t="n">
        <v>43831</v>
      </c>
      <c r="B500" s="12" t="inlineStr">
        <is>
          <t>Uncategorised</t>
        </is>
      </c>
      <c r="C500" s="12" t="inlineStr">
        <is>
          <t>Actual</t>
        </is>
      </c>
      <c r="D500" s="12" t="inlineStr">
        <is>
          <t>Core</t>
        </is>
      </c>
      <c r="E500" s="27" t="n">
        <v>3440</v>
      </c>
      <c r="F500" s="28" t="inlineStr">
        <is>
          <t>Historical monthly total (pre per-category / per-tier tracking)</t>
        </is>
      </c>
      <c r="G500" s="28">
        <f>IF(IFERROR(INDEX(Categories!$C$2:$C$200,MATCH(B500,Categories!$A$2:$A$200,0)),"N")="Y",E500,0)</f>
        <v/>
      </c>
    </row>
    <row r="501">
      <c r="A501" s="26" t="n">
        <v>43862</v>
      </c>
      <c r="B501" s="12" t="inlineStr">
        <is>
          <t>Interest</t>
        </is>
      </c>
      <c r="C501" s="12" t="inlineStr">
        <is>
          <t>Income</t>
        </is>
      </c>
      <c r="D501" s="12" t="inlineStr">
        <is>
          <t>—</t>
        </is>
      </c>
      <c r="E501" s="27" t="n">
        <v>20</v>
      </c>
      <c r="G501" s="28">
        <f>IF(IFERROR(INDEX(Categories!$C$2:$C$200,MATCH(B501,Categories!$A$2:$A$200,0)),"N")="Y",E501,0)</f>
        <v/>
      </c>
    </row>
    <row r="502">
      <c r="A502" s="26" t="n">
        <v>43862</v>
      </c>
      <c r="B502" s="12" t="inlineStr">
        <is>
          <t>Salary</t>
        </is>
      </c>
      <c r="C502" s="12" t="inlineStr">
        <is>
          <t>Income</t>
        </is>
      </c>
      <c r="D502" s="12" t="inlineStr">
        <is>
          <t>—</t>
        </is>
      </c>
      <c r="E502" s="27" t="n">
        <v>5210</v>
      </c>
      <c r="G502" s="28">
        <f>IF(IFERROR(INDEX(Categories!$C$2:$C$200,MATCH(B502,Categories!$A$2:$A$200,0)),"N")="Y",E502,0)</f>
        <v/>
      </c>
    </row>
    <row r="503">
      <c r="A503" s="26" t="n">
        <v>43862</v>
      </c>
      <c r="B503" s="12" t="inlineStr">
        <is>
          <t>Uncategorised</t>
        </is>
      </c>
      <c r="C503" s="12" t="inlineStr">
        <is>
          <t>Actual</t>
        </is>
      </c>
      <c r="D503" s="12" t="inlineStr">
        <is>
          <t>Core</t>
        </is>
      </c>
      <c r="E503" s="27" t="n">
        <v>2960</v>
      </c>
      <c r="F503" s="28" t="inlineStr">
        <is>
          <t>Historical monthly total (pre per-category / per-tier tracking)</t>
        </is>
      </c>
      <c r="G503" s="28">
        <f>IF(IFERROR(INDEX(Categories!$C$2:$C$200,MATCH(B503,Categories!$A$2:$A$200,0)),"N")="Y",E503,0)</f>
        <v/>
      </c>
    </row>
    <row r="504">
      <c r="A504" s="26" t="n">
        <v>43891</v>
      </c>
      <c r="B504" s="12" t="inlineStr">
        <is>
          <t>Dividends</t>
        </is>
      </c>
      <c r="C504" s="12" t="inlineStr">
        <is>
          <t>Income</t>
        </is>
      </c>
      <c r="D504" s="12" t="inlineStr">
        <is>
          <t>—</t>
        </is>
      </c>
      <c r="E504" s="27" t="n">
        <v>150</v>
      </c>
      <c r="G504" s="28">
        <f>IF(IFERROR(INDEX(Categories!$C$2:$C$200,MATCH(B504,Categories!$A$2:$A$200,0)),"N")="Y",E504,0)</f>
        <v/>
      </c>
    </row>
    <row r="505">
      <c r="A505" s="26" t="n">
        <v>43891</v>
      </c>
      <c r="B505" s="12" t="inlineStr">
        <is>
          <t>Interest</t>
        </is>
      </c>
      <c r="C505" s="12" t="inlineStr">
        <is>
          <t>Income</t>
        </is>
      </c>
      <c r="D505" s="12" t="inlineStr">
        <is>
          <t>—</t>
        </is>
      </c>
      <c r="E505" s="27" t="n">
        <v>20</v>
      </c>
      <c r="G505" s="28">
        <f>IF(IFERROR(INDEX(Categories!$C$2:$C$200,MATCH(B505,Categories!$A$2:$A$200,0)),"N")="Y",E505,0)</f>
        <v/>
      </c>
    </row>
    <row r="506">
      <c r="A506" s="26" t="n">
        <v>43891</v>
      </c>
      <c r="B506" s="12" t="inlineStr">
        <is>
          <t>Salary</t>
        </is>
      </c>
      <c r="C506" s="12" t="inlineStr">
        <is>
          <t>Income</t>
        </is>
      </c>
      <c r="D506" s="12" t="inlineStr">
        <is>
          <t>—</t>
        </is>
      </c>
      <c r="E506" s="27" t="n">
        <v>5260</v>
      </c>
      <c r="G506" s="28">
        <f>IF(IFERROR(INDEX(Categories!$C$2:$C$200,MATCH(B506,Categories!$A$2:$A$200,0)),"N")="Y",E506,0)</f>
        <v/>
      </c>
    </row>
    <row r="507">
      <c r="A507" s="26" t="n">
        <v>43891</v>
      </c>
      <c r="B507" s="12" t="inlineStr">
        <is>
          <t>Uncategorised</t>
        </is>
      </c>
      <c r="C507" s="12" t="inlineStr">
        <is>
          <t>Actual</t>
        </is>
      </c>
      <c r="D507" s="12" t="inlineStr">
        <is>
          <t>Core</t>
        </is>
      </c>
      <c r="E507" s="27" t="n">
        <v>3080</v>
      </c>
      <c r="F507" s="28" t="inlineStr">
        <is>
          <t>Historical monthly total (pre per-category / per-tier tracking)</t>
        </is>
      </c>
      <c r="G507" s="28">
        <f>IF(IFERROR(INDEX(Categories!$C$2:$C$200,MATCH(B507,Categories!$A$2:$A$200,0)),"N")="Y",E507,0)</f>
        <v/>
      </c>
    </row>
    <row r="508">
      <c r="A508" s="26" t="n">
        <v>43922</v>
      </c>
      <c r="B508" s="12" t="inlineStr">
        <is>
          <t>Interest</t>
        </is>
      </c>
      <c r="C508" s="12" t="inlineStr">
        <is>
          <t>Income</t>
        </is>
      </c>
      <c r="D508" s="12" t="inlineStr">
        <is>
          <t>—</t>
        </is>
      </c>
      <c r="E508" s="27" t="n">
        <v>20</v>
      </c>
      <c r="G508" s="28">
        <f>IF(IFERROR(INDEX(Categories!$C$2:$C$200,MATCH(B508,Categories!$A$2:$A$200,0)),"N")="Y",E508,0)</f>
        <v/>
      </c>
    </row>
    <row r="509">
      <c r="A509" s="26" t="n">
        <v>43922</v>
      </c>
      <c r="B509" s="12" t="inlineStr">
        <is>
          <t>Salary</t>
        </is>
      </c>
      <c r="C509" s="12" t="inlineStr">
        <is>
          <t>Income</t>
        </is>
      </c>
      <c r="D509" s="12" t="inlineStr">
        <is>
          <t>—</t>
        </is>
      </c>
      <c r="E509" s="27" t="n">
        <v>5310</v>
      </c>
      <c r="G509" s="28">
        <f>IF(IFERROR(INDEX(Categories!$C$2:$C$200,MATCH(B509,Categories!$A$2:$A$200,0)),"N")="Y",E509,0)</f>
        <v/>
      </c>
    </row>
    <row r="510">
      <c r="A510" s="26" t="n">
        <v>43922</v>
      </c>
      <c r="B510" s="12" t="inlineStr">
        <is>
          <t>Uncategorised</t>
        </is>
      </c>
      <c r="C510" s="12" t="inlineStr">
        <is>
          <t>Actual</t>
        </is>
      </c>
      <c r="D510" s="12" t="inlineStr">
        <is>
          <t>Core</t>
        </is>
      </c>
      <c r="E510" s="27" t="n">
        <v>3200</v>
      </c>
      <c r="F510" s="28" t="inlineStr">
        <is>
          <t>Historical monthly total (pre per-category / per-tier tracking)</t>
        </is>
      </c>
      <c r="G510" s="28">
        <f>IF(IFERROR(INDEX(Categories!$C$2:$C$200,MATCH(B510,Categories!$A$2:$A$200,0)),"N")="Y",E510,0)</f>
        <v/>
      </c>
    </row>
    <row r="511">
      <c r="A511" s="26" t="n">
        <v>43952</v>
      </c>
      <c r="B511" s="12" t="inlineStr">
        <is>
          <t>Interest</t>
        </is>
      </c>
      <c r="C511" s="12" t="inlineStr">
        <is>
          <t>Income</t>
        </is>
      </c>
      <c r="D511" s="12" t="inlineStr">
        <is>
          <t>—</t>
        </is>
      </c>
      <c r="E511" s="27" t="n">
        <v>20</v>
      </c>
      <c r="G511" s="28">
        <f>IF(IFERROR(INDEX(Categories!$C$2:$C$200,MATCH(B511,Categories!$A$2:$A$200,0)),"N")="Y",E511,0)</f>
        <v/>
      </c>
    </row>
    <row r="512">
      <c r="A512" s="26" t="n">
        <v>43952</v>
      </c>
      <c r="B512" s="12" t="inlineStr">
        <is>
          <t>Salary</t>
        </is>
      </c>
      <c r="C512" s="12" t="inlineStr">
        <is>
          <t>Income</t>
        </is>
      </c>
      <c r="D512" s="12" t="inlineStr">
        <is>
          <t>—</t>
        </is>
      </c>
      <c r="E512" s="27" t="n">
        <v>5360</v>
      </c>
      <c r="G512" s="28">
        <f>IF(IFERROR(INDEX(Categories!$C$2:$C$200,MATCH(B512,Categories!$A$2:$A$200,0)),"N")="Y",E512,0)</f>
        <v/>
      </c>
    </row>
    <row r="513">
      <c r="A513" s="26" t="n">
        <v>43952</v>
      </c>
      <c r="B513" s="12" t="inlineStr">
        <is>
          <t>Uncategorised</t>
        </is>
      </c>
      <c r="C513" s="12" t="inlineStr">
        <is>
          <t>Actual</t>
        </is>
      </c>
      <c r="D513" s="12" t="inlineStr">
        <is>
          <t>Core</t>
        </is>
      </c>
      <c r="E513" s="27" t="n">
        <v>3320</v>
      </c>
      <c r="F513" s="28" t="inlineStr">
        <is>
          <t>Historical monthly total (pre per-category / per-tier tracking)</t>
        </is>
      </c>
      <c r="G513" s="28">
        <f>IF(IFERROR(INDEX(Categories!$C$2:$C$200,MATCH(B513,Categories!$A$2:$A$200,0)),"N")="Y",E513,0)</f>
        <v/>
      </c>
    </row>
    <row r="514">
      <c r="A514" s="26" t="n">
        <v>43983</v>
      </c>
      <c r="B514" s="12" t="inlineStr">
        <is>
          <t>Dividends</t>
        </is>
      </c>
      <c r="C514" s="12" t="inlineStr">
        <is>
          <t>Income</t>
        </is>
      </c>
      <c r="D514" s="12" t="inlineStr">
        <is>
          <t>—</t>
        </is>
      </c>
      <c r="E514" s="27" t="n">
        <v>150</v>
      </c>
      <c r="G514" s="28">
        <f>IF(IFERROR(INDEX(Categories!$C$2:$C$200,MATCH(B514,Categories!$A$2:$A$200,0)),"N")="Y",E514,0)</f>
        <v/>
      </c>
    </row>
    <row r="515">
      <c r="A515" s="26" t="n">
        <v>43983</v>
      </c>
      <c r="B515" s="12" t="inlineStr">
        <is>
          <t>Interest</t>
        </is>
      </c>
      <c r="C515" s="12" t="inlineStr">
        <is>
          <t>Income</t>
        </is>
      </c>
      <c r="D515" s="12" t="inlineStr">
        <is>
          <t>—</t>
        </is>
      </c>
      <c r="E515" s="27" t="n">
        <v>20</v>
      </c>
      <c r="G515" s="28">
        <f>IF(IFERROR(INDEX(Categories!$C$2:$C$200,MATCH(B515,Categories!$A$2:$A$200,0)),"N")="Y",E515,0)</f>
        <v/>
      </c>
    </row>
    <row r="516">
      <c r="A516" s="26" t="n">
        <v>43983</v>
      </c>
      <c r="B516" s="12" t="inlineStr">
        <is>
          <t>Salary</t>
        </is>
      </c>
      <c r="C516" s="12" t="inlineStr">
        <is>
          <t>Income</t>
        </is>
      </c>
      <c r="D516" s="12" t="inlineStr">
        <is>
          <t>—</t>
        </is>
      </c>
      <c r="E516" s="27" t="n">
        <v>5410</v>
      </c>
      <c r="G516" s="28">
        <f>IF(IFERROR(INDEX(Categories!$C$2:$C$200,MATCH(B516,Categories!$A$2:$A$200,0)),"N")="Y",E516,0)</f>
        <v/>
      </c>
    </row>
    <row r="517">
      <c r="A517" s="26" t="n">
        <v>43983</v>
      </c>
      <c r="B517" s="12" t="inlineStr">
        <is>
          <t>Uncategorised</t>
        </is>
      </c>
      <c r="C517" s="12" t="inlineStr">
        <is>
          <t>Actual</t>
        </is>
      </c>
      <c r="D517" s="12" t="inlineStr">
        <is>
          <t>Core</t>
        </is>
      </c>
      <c r="E517" s="27" t="n">
        <v>3440</v>
      </c>
      <c r="F517" s="28" t="inlineStr">
        <is>
          <t>Historical monthly total (pre per-category / per-tier tracking)</t>
        </is>
      </c>
      <c r="G517" s="28">
        <f>IF(IFERROR(INDEX(Categories!$C$2:$C$200,MATCH(B517,Categories!$A$2:$A$200,0)),"N")="Y",E517,0)</f>
        <v/>
      </c>
    </row>
    <row r="518">
      <c r="A518" s="26" t="n">
        <v>44013</v>
      </c>
      <c r="B518" s="12" t="inlineStr">
        <is>
          <t>Interest</t>
        </is>
      </c>
      <c r="C518" s="12" t="inlineStr">
        <is>
          <t>Income</t>
        </is>
      </c>
      <c r="D518" s="12" t="inlineStr">
        <is>
          <t>—</t>
        </is>
      </c>
      <c r="E518" s="27" t="n">
        <v>20</v>
      </c>
      <c r="G518" s="28">
        <f>IF(IFERROR(INDEX(Categories!$C$2:$C$200,MATCH(B518,Categories!$A$2:$A$200,0)),"N")="Y",E518,0)</f>
        <v/>
      </c>
    </row>
    <row r="519">
      <c r="A519" s="26" t="n">
        <v>44013</v>
      </c>
      <c r="B519" s="12" t="inlineStr">
        <is>
          <t>Salary</t>
        </is>
      </c>
      <c r="C519" s="12" t="inlineStr">
        <is>
          <t>Income</t>
        </is>
      </c>
      <c r="D519" s="12" t="inlineStr">
        <is>
          <t>—</t>
        </is>
      </c>
      <c r="E519" s="27" t="n">
        <v>5160</v>
      </c>
      <c r="G519" s="28">
        <f>IF(IFERROR(INDEX(Categories!$C$2:$C$200,MATCH(B519,Categories!$A$2:$A$200,0)),"N")="Y",E519,0)</f>
        <v/>
      </c>
    </row>
    <row r="520">
      <c r="A520" s="26" t="n">
        <v>44013</v>
      </c>
      <c r="B520" s="12" t="inlineStr">
        <is>
          <t>Uncategorised</t>
        </is>
      </c>
      <c r="C520" s="12" t="inlineStr">
        <is>
          <t>Actual</t>
        </is>
      </c>
      <c r="D520" s="12" t="inlineStr">
        <is>
          <t>Core</t>
        </is>
      </c>
      <c r="E520" s="27" t="n">
        <v>2960</v>
      </c>
      <c r="F520" s="28" t="inlineStr">
        <is>
          <t>Historical monthly total (pre per-category / per-tier tracking)</t>
        </is>
      </c>
      <c r="G520" s="28">
        <f>IF(IFERROR(INDEX(Categories!$C$2:$C$200,MATCH(B520,Categories!$A$2:$A$200,0)),"N")="Y",E520,0)</f>
        <v/>
      </c>
    </row>
    <row r="521">
      <c r="A521" s="26" t="n">
        <v>44044</v>
      </c>
      <c r="B521" s="12" t="inlineStr">
        <is>
          <t>Interest</t>
        </is>
      </c>
      <c r="C521" s="12" t="inlineStr">
        <is>
          <t>Income</t>
        </is>
      </c>
      <c r="D521" s="12" t="inlineStr">
        <is>
          <t>—</t>
        </is>
      </c>
      <c r="E521" s="27" t="n">
        <v>20</v>
      </c>
      <c r="G521" s="28">
        <f>IF(IFERROR(INDEX(Categories!$C$2:$C$200,MATCH(B521,Categories!$A$2:$A$200,0)),"N")="Y",E521,0)</f>
        <v/>
      </c>
    </row>
    <row r="522">
      <c r="A522" s="26" t="n">
        <v>44044</v>
      </c>
      <c r="B522" s="12" t="inlineStr">
        <is>
          <t>Salary</t>
        </is>
      </c>
      <c r="C522" s="12" t="inlineStr">
        <is>
          <t>Income</t>
        </is>
      </c>
      <c r="D522" s="12" t="inlineStr">
        <is>
          <t>—</t>
        </is>
      </c>
      <c r="E522" s="27" t="n">
        <v>5210</v>
      </c>
      <c r="G522" s="28">
        <f>IF(IFERROR(INDEX(Categories!$C$2:$C$200,MATCH(B522,Categories!$A$2:$A$200,0)),"N")="Y",E522,0)</f>
        <v/>
      </c>
    </row>
    <row r="523">
      <c r="A523" s="26" t="n">
        <v>44044</v>
      </c>
      <c r="B523" s="12" t="inlineStr">
        <is>
          <t>Uncategorised</t>
        </is>
      </c>
      <c r="C523" s="12" t="inlineStr">
        <is>
          <t>Actual</t>
        </is>
      </c>
      <c r="D523" s="12" t="inlineStr">
        <is>
          <t>Core</t>
        </is>
      </c>
      <c r="E523" s="27" t="n">
        <v>3080</v>
      </c>
      <c r="F523" s="28" t="inlineStr">
        <is>
          <t>Historical monthly total (pre per-category / per-tier tracking)</t>
        </is>
      </c>
      <c r="G523" s="28">
        <f>IF(IFERROR(INDEX(Categories!$C$2:$C$200,MATCH(B523,Categories!$A$2:$A$200,0)),"N")="Y",E523,0)</f>
        <v/>
      </c>
    </row>
    <row r="524">
      <c r="A524" s="26" t="n">
        <v>44075</v>
      </c>
      <c r="B524" s="12" t="inlineStr">
        <is>
          <t>Dividends</t>
        </is>
      </c>
      <c r="C524" s="12" t="inlineStr">
        <is>
          <t>Income</t>
        </is>
      </c>
      <c r="D524" s="12" t="inlineStr">
        <is>
          <t>—</t>
        </is>
      </c>
      <c r="E524" s="27" t="n">
        <v>150</v>
      </c>
      <c r="G524" s="28">
        <f>IF(IFERROR(INDEX(Categories!$C$2:$C$200,MATCH(B524,Categories!$A$2:$A$200,0)),"N")="Y",E524,0)</f>
        <v/>
      </c>
    </row>
    <row r="525">
      <c r="A525" s="26" t="n">
        <v>44075</v>
      </c>
      <c r="B525" s="12" t="inlineStr">
        <is>
          <t>Interest</t>
        </is>
      </c>
      <c r="C525" s="12" t="inlineStr">
        <is>
          <t>Income</t>
        </is>
      </c>
      <c r="D525" s="12" t="inlineStr">
        <is>
          <t>—</t>
        </is>
      </c>
      <c r="E525" s="27" t="n">
        <v>20</v>
      </c>
      <c r="G525" s="28">
        <f>IF(IFERROR(INDEX(Categories!$C$2:$C$200,MATCH(B525,Categories!$A$2:$A$200,0)),"N")="Y",E525,0)</f>
        <v/>
      </c>
    </row>
    <row r="526">
      <c r="A526" s="26" t="n">
        <v>44075</v>
      </c>
      <c r="B526" s="12" t="inlineStr">
        <is>
          <t>Salary</t>
        </is>
      </c>
      <c r="C526" s="12" t="inlineStr">
        <is>
          <t>Income</t>
        </is>
      </c>
      <c r="D526" s="12" t="inlineStr">
        <is>
          <t>—</t>
        </is>
      </c>
      <c r="E526" s="27" t="n">
        <v>5260</v>
      </c>
      <c r="G526" s="28">
        <f>IF(IFERROR(INDEX(Categories!$C$2:$C$200,MATCH(B526,Categories!$A$2:$A$200,0)),"N")="Y",E526,0)</f>
        <v/>
      </c>
    </row>
    <row r="527">
      <c r="A527" s="26" t="n">
        <v>44075</v>
      </c>
      <c r="B527" s="12" t="inlineStr">
        <is>
          <t>Uncategorised</t>
        </is>
      </c>
      <c r="C527" s="12" t="inlineStr">
        <is>
          <t>Actual</t>
        </is>
      </c>
      <c r="D527" s="12" t="inlineStr">
        <is>
          <t>Core</t>
        </is>
      </c>
      <c r="E527" s="27" t="n">
        <v>3200</v>
      </c>
      <c r="F527" s="28" t="inlineStr">
        <is>
          <t>Historical monthly total (pre per-category / per-tier tracking)</t>
        </is>
      </c>
      <c r="G527" s="28">
        <f>IF(IFERROR(INDEX(Categories!$C$2:$C$200,MATCH(B527,Categories!$A$2:$A$200,0)),"N")="Y",E527,0)</f>
        <v/>
      </c>
    </row>
    <row r="528">
      <c r="A528" s="26" t="n">
        <v>44105</v>
      </c>
      <c r="B528" s="12" t="inlineStr">
        <is>
          <t>Interest</t>
        </is>
      </c>
      <c r="C528" s="12" t="inlineStr">
        <is>
          <t>Income</t>
        </is>
      </c>
      <c r="D528" s="12" t="inlineStr">
        <is>
          <t>—</t>
        </is>
      </c>
      <c r="E528" s="27" t="n">
        <v>20</v>
      </c>
      <c r="G528" s="28">
        <f>IF(IFERROR(INDEX(Categories!$C$2:$C$200,MATCH(B528,Categories!$A$2:$A$200,0)),"N")="Y",E528,0)</f>
        <v/>
      </c>
    </row>
    <row r="529">
      <c r="A529" s="26" t="n">
        <v>44105</v>
      </c>
      <c r="B529" s="12" t="inlineStr">
        <is>
          <t>Salary</t>
        </is>
      </c>
      <c r="C529" s="12" t="inlineStr">
        <is>
          <t>Income</t>
        </is>
      </c>
      <c r="D529" s="12" t="inlineStr">
        <is>
          <t>—</t>
        </is>
      </c>
      <c r="E529" s="27" t="n">
        <v>5310</v>
      </c>
      <c r="G529" s="28">
        <f>IF(IFERROR(INDEX(Categories!$C$2:$C$200,MATCH(B529,Categories!$A$2:$A$200,0)),"N")="Y",E529,0)</f>
        <v/>
      </c>
    </row>
    <row r="530">
      <c r="A530" s="26" t="n">
        <v>44105</v>
      </c>
      <c r="B530" s="12" t="inlineStr">
        <is>
          <t>Uncategorised</t>
        </is>
      </c>
      <c r="C530" s="12" t="inlineStr">
        <is>
          <t>Actual</t>
        </is>
      </c>
      <c r="D530" s="12" t="inlineStr">
        <is>
          <t>Core</t>
        </is>
      </c>
      <c r="E530" s="27" t="n">
        <v>3320</v>
      </c>
      <c r="F530" s="28" t="inlineStr">
        <is>
          <t>Historical monthly total (pre per-category / per-tier tracking)</t>
        </is>
      </c>
      <c r="G530" s="28">
        <f>IF(IFERROR(INDEX(Categories!$C$2:$C$200,MATCH(B530,Categories!$A$2:$A$200,0)),"N")="Y",E530,0)</f>
        <v/>
      </c>
    </row>
    <row r="531">
      <c r="A531" s="26" t="n">
        <v>44136</v>
      </c>
      <c r="B531" s="12" t="inlineStr">
        <is>
          <t>Interest</t>
        </is>
      </c>
      <c r="C531" s="12" t="inlineStr">
        <is>
          <t>Income</t>
        </is>
      </c>
      <c r="D531" s="12" t="inlineStr">
        <is>
          <t>—</t>
        </is>
      </c>
      <c r="E531" s="27" t="n">
        <v>20</v>
      </c>
      <c r="G531" s="28">
        <f>IF(IFERROR(INDEX(Categories!$C$2:$C$200,MATCH(B531,Categories!$A$2:$A$200,0)),"N")="Y",E531,0)</f>
        <v/>
      </c>
    </row>
    <row r="532">
      <c r="A532" s="26" t="n">
        <v>44136</v>
      </c>
      <c r="B532" s="12" t="inlineStr">
        <is>
          <t>Salary</t>
        </is>
      </c>
      <c r="C532" s="12" t="inlineStr">
        <is>
          <t>Income</t>
        </is>
      </c>
      <c r="D532" s="12" t="inlineStr">
        <is>
          <t>—</t>
        </is>
      </c>
      <c r="E532" s="27" t="n">
        <v>5360</v>
      </c>
      <c r="G532" s="28">
        <f>IF(IFERROR(INDEX(Categories!$C$2:$C$200,MATCH(B532,Categories!$A$2:$A$200,0)),"N")="Y",E532,0)</f>
        <v/>
      </c>
    </row>
    <row r="533">
      <c r="A533" s="26" t="n">
        <v>44136</v>
      </c>
      <c r="B533" s="12" t="inlineStr">
        <is>
          <t>Uncategorised</t>
        </is>
      </c>
      <c r="C533" s="12" t="inlineStr">
        <is>
          <t>Actual</t>
        </is>
      </c>
      <c r="D533" s="12" t="inlineStr">
        <is>
          <t>Core</t>
        </is>
      </c>
      <c r="E533" s="27" t="n">
        <v>3440</v>
      </c>
      <c r="F533" s="28" t="inlineStr">
        <is>
          <t>Historical monthly total (pre per-category / per-tier tracking)</t>
        </is>
      </c>
      <c r="G533" s="28">
        <f>IF(IFERROR(INDEX(Categories!$C$2:$C$200,MATCH(B533,Categories!$A$2:$A$200,0)),"N")="Y",E533,0)</f>
        <v/>
      </c>
    </row>
    <row r="534">
      <c r="A534" s="26" t="n">
        <v>44166</v>
      </c>
      <c r="B534" s="12" t="inlineStr">
        <is>
          <t>Bonus/Claims</t>
        </is>
      </c>
      <c r="C534" s="12" t="inlineStr">
        <is>
          <t>Income</t>
        </is>
      </c>
      <c r="D534" s="12" t="inlineStr">
        <is>
          <t>—</t>
        </is>
      </c>
      <c r="E534" s="27" t="n">
        <v>5410</v>
      </c>
      <c r="G534" s="28">
        <f>IF(IFERROR(INDEX(Categories!$C$2:$C$200,MATCH(B534,Categories!$A$2:$A$200,0)),"N")="Y",E534,0)</f>
        <v/>
      </c>
    </row>
    <row r="535">
      <c r="A535" s="26" t="n">
        <v>44166</v>
      </c>
      <c r="B535" s="12" t="inlineStr">
        <is>
          <t>Dividends</t>
        </is>
      </c>
      <c r="C535" s="12" t="inlineStr">
        <is>
          <t>Income</t>
        </is>
      </c>
      <c r="D535" s="12" t="inlineStr">
        <is>
          <t>—</t>
        </is>
      </c>
      <c r="E535" s="27" t="n">
        <v>150</v>
      </c>
      <c r="G535" s="28">
        <f>IF(IFERROR(INDEX(Categories!$C$2:$C$200,MATCH(B535,Categories!$A$2:$A$200,0)),"N")="Y",E535,0)</f>
        <v/>
      </c>
    </row>
    <row r="536">
      <c r="A536" s="26" t="n">
        <v>44166</v>
      </c>
      <c r="B536" s="12" t="inlineStr">
        <is>
          <t>Interest</t>
        </is>
      </c>
      <c r="C536" s="12" t="inlineStr">
        <is>
          <t>Income</t>
        </is>
      </c>
      <c r="D536" s="12" t="inlineStr">
        <is>
          <t>—</t>
        </is>
      </c>
      <c r="E536" s="27" t="n">
        <v>20</v>
      </c>
      <c r="G536" s="28">
        <f>IF(IFERROR(INDEX(Categories!$C$2:$C$200,MATCH(B536,Categories!$A$2:$A$200,0)),"N")="Y",E536,0)</f>
        <v/>
      </c>
    </row>
    <row r="537">
      <c r="A537" s="26" t="n">
        <v>44166</v>
      </c>
      <c r="B537" s="12" t="inlineStr">
        <is>
          <t>Salary</t>
        </is>
      </c>
      <c r="C537" s="12" t="inlineStr">
        <is>
          <t>Income</t>
        </is>
      </c>
      <c r="D537" s="12" t="inlineStr">
        <is>
          <t>—</t>
        </is>
      </c>
      <c r="E537" s="27" t="n">
        <v>5410</v>
      </c>
      <c r="G537" s="28">
        <f>IF(IFERROR(INDEX(Categories!$C$2:$C$200,MATCH(B537,Categories!$A$2:$A$200,0)),"N")="Y",E537,0)</f>
        <v/>
      </c>
    </row>
    <row r="538">
      <c r="A538" s="26" t="n">
        <v>44166</v>
      </c>
      <c r="B538" s="12" t="inlineStr">
        <is>
          <t>Uncategorised</t>
        </is>
      </c>
      <c r="C538" s="12" t="inlineStr">
        <is>
          <t>Actual</t>
        </is>
      </c>
      <c r="D538" s="12" t="inlineStr">
        <is>
          <t>Core</t>
        </is>
      </c>
      <c r="E538" s="27" t="n">
        <v>2960</v>
      </c>
      <c r="F538" s="28" t="inlineStr">
        <is>
          <t>Historical monthly total (pre per-category / per-tier tracking)</t>
        </is>
      </c>
      <c r="G538" s="28">
        <f>IF(IFERROR(INDEX(Categories!$C$2:$C$200,MATCH(B538,Categories!$A$2:$A$200,0)),"N")="Y",E538,0)</f>
        <v/>
      </c>
    </row>
    <row r="539">
      <c r="A539" s="26" t="n">
        <v>44197</v>
      </c>
      <c r="B539" s="12" t="inlineStr">
        <is>
          <t>Interest</t>
        </is>
      </c>
      <c r="C539" s="12" t="inlineStr">
        <is>
          <t>Income</t>
        </is>
      </c>
      <c r="D539" s="12" t="inlineStr">
        <is>
          <t>—</t>
        </is>
      </c>
      <c r="E539" s="27" t="n">
        <v>20</v>
      </c>
      <c r="G539" s="28">
        <f>IF(IFERROR(INDEX(Categories!$C$2:$C$200,MATCH(B539,Categories!$A$2:$A$200,0)),"N")="Y",E539,0)</f>
        <v/>
      </c>
    </row>
    <row r="540">
      <c r="A540" s="26" t="n">
        <v>44197</v>
      </c>
      <c r="B540" s="12" t="inlineStr">
        <is>
          <t>Salary</t>
        </is>
      </c>
      <c r="C540" s="12" t="inlineStr">
        <is>
          <t>Income</t>
        </is>
      </c>
      <c r="D540" s="12" t="inlineStr">
        <is>
          <t>—</t>
        </is>
      </c>
      <c r="E540" s="27" t="n">
        <v>5340</v>
      </c>
      <c r="G540" s="28">
        <f>IF(IFERROR(INDEX(Categories!$C$2:$C$200,MATCH(B540,Categories!$A$2:$A$200,0)),"N")="Y",E540,0)</f>
        <v/>
      </c>
    </row>
    <row r="541">
      <c r="A541" s="26" t="n">
        <v>44197</v>
      </c>
      <c r="B541" s="12" t="inlineStr">
        <is>
          <t>Uncategorised</t>
        </is>
      </c>
      <c r="C541" s="12" t="inlineStr">
        <is>
          <t>Actual</t>
        </is>
      </c>
      <c r="D541" s="12" t="inlineStr">
        <is>
          <t>Core</t>
        </is>
      </c>
      <c r="E541" s="27" t="n">
        <v>3160</v>
      </c>
      <c r="F541" s="28" t="inlineStr">
        <is>
          <t>Historical monthly total (pre per-category / per-tier tracking)</t>
        </is>
      </c>
      <c r="G541" s="28">
        <f>IF(IFERROR(INDEX(Categories!$C$2:$C$200,MATCH(B541,Categories!$A$2:$A$200,0)),"N")="Y",E541,0)</f>
        <v/>
      </c>
    </row>
    <row r="542">
      <c r="A542" s="26" t="n">
        <v>44228</v>
      </c>
      <c r="B542" s="12" t="inlineStr">
        <is>
          <t>Interest</t>
        </is>
      </c>
      <c r="C542" s="12" t="inlineStr">
        <is>
          <t>Income</t>
        </is>
      </c>
      <c r="D542" s="12" t="inlineStr">
        <is>
          <t>—</t>
        </is>
      </c>
      <c r="E542" s="27" t="n">
        <v>20</v>
      </c>
      <c r="G542" s="28">
        <f>IF(IFERROR(INDEX(Categories!$C$2:$C$200,MATCH(B542,Categories!$A$2:$A$200,0)),"N")="Y",E542,0)</f>
        <v/>
      </c>
    </row>
    <row r="543">
      <c r="A543" s="26" t="n">
        <v>44228</v>
      </c>
      <c r="B543" s="12" t="inlineStr">
        <is>
          <t>Salary</t>
        </is>
      </c>
      <c r="C543" s="12" t="inlineStr">
        <is>
          <t>Income</t>
        </is>
      </c>
      <c r="D543" s="12" t="inlineStr">
        <is>
          <t>—</t>
        </is>
      </c>
      <c r="E543" s="27" t="n">
        <v>5390</v>
      </c>
      <c r="G543" s="28">
        <f>IF(IFERROR(INDEX(Categories!$C$2:$C$200,MATCH(B543,Categories!$A$2:$A$200,0)),"N")="Y",E543,0)</f>
        <v/>
      </c>
    </row>
    <row r="544">
      <c r="A544" s="26" t="n">
        <v>44228</v>
      </c>
      <c r="B544" s="12" t="inlineStr">
        <is>
          <t>Uncategorised</t>
        </is>
      </c>
      <c r="C544" s="12" t="inlineStr">
        <is>
          <t>Actual</t>
        </is>
      </c>
      <c r="D544" s="12" t="inlineStr">
        <is>
          <t>Core</t>
        </is>
      </c>
      <c r="E544" s="27" t="n">
        <v>3280</v>
      </c>
      <c r="F544" s="28" t="inlineStr">
        <is>
          <t>Historical monthly total (pre per-category / per-tier tracking)</t>
        </is>
      </c>
      <c r="G544" s="28">
        <f>IF(IFERROR(INDEX(Categories!$C$2:$C$200,MATCH(B544,Categories!$A$2:$A$200,0)),"N")="Y",E544,0)</f>
        <v/>
      </c>
    </row>
    <row r="545">
      <c r="A545" s="26" t="n">
        <v>44256</v>
      </c>
      <c r="B545" s="12" t="inlineStr">
        <is>
          <t>Dividends</t>
        </is>
      </c>
      <c r="C545" s="12" t="inlineStr">
        <is>
          <t>Income</t>
        </is>
      </c>
      <c r="D545" s="12" t="inlineStr">
        <is>
          <t>—</t>
        </is>
      </c>
      <c r="E545" s="27" t="n">
        <v>150</v>
      </c>
      <c r="G545" s="28">
        <f>IF(IFERROR(INDEX(Categories!$C$2:$C$200,MATCH(B545,Categories!$A$2:$A$200,0)),"N")="Y",E545,0)</f>
        <v/>
      </c>
    </row>
    <row r="546">
      <c r="A546" s="26" t="n">
        <v>44256</v>
      </c>
      <c r="B546" s="12" t="inlineStr">
        <is>
          <t>Interest</t>
        </is>
      </c>
      <c r="C546" s="12" t="inlineStr">
        <is>
          <t>Income</t>
        </is>
      </c>
      <c r="D546" s="12" t="inlineStr">
        <is>
          <t>—</t>
        </is>
      </c>
      <c r="E546" s="27" t="n">
        <v>20</v>
      </c>
      <c r="G546" s="28">
        <f>IF(IFERROR(INDEX(Categories!$C$2:$C$200,MATCH(B546,Categories!$A$2:$A$200,0)),"N")="Y",E546,0)</f>
        <v/>
      </c>
    </row>
    <row r="547">
      <c r="A547" s="26" t="n">
        <v>44256</v>
      </c>
      <c r="B547" s="12" t="inlineStr">
        <is>
          <t>Salary</t>
        </is>
      </c>
      <c r="C547" s="12" t="inlineStr">
        <is>
          <t>Income</t>
        </is>
      </c>
      <c r="D547" s="12" t="inlineStr">
        <is>
          <t>—</t>
        </is>
      </c>
      <c r="E547" s="27" t="n">
        <v>5440</v>
      </c>
      <c r="G547" s="28">
        <f>IF(IFERROR(INDEX(Categories!$C$2:$C$200,MATCH(B547,Categories!$A$2:$A$200,0)),"N")="Y",E547,0)</f>
        <v/>
      </c>
    </row>
    <row r="548">
      <c r="A548" s="26" t="n">
        <v>44256</v>
      </c>
      <c r="B548" s="12" t="inlineStr">
        <is>
          <t>Uncategorised</t>
        </is>
      </c>
      <c r="C548" s="12" t="inlineStr">
        <is>
          <t>Actual</t>
        </is>
      </c>
      <c r="D548" s="12" t="inlineStr">
        <is>
          <t>Core</t>
        </is>
      </c>
      <c r="E548" s="27" t="n">
        <v>3400</v>
      </c>
      <c r="F548" s="28" t="inlineStr">
        <is>
          <t>Historical monthly total (pre per-category / per-tier tracking)</t>
        </is>
      </c>
      <c r="G548" s="28">
        <f>IF(IFERROR(INDEX(Categories!$C$2:$C$200,MATCH(B548,Categories!$A$2:$A$200,0)),"N")="Y",E548,0)</f>
        <v/>
      </c>
    </row>
    <row r="549">
      <c r="A549" s="26" t="n">
        <v>44287</v>
      </c>
      <c r="B549" s="12" t="inlineStr">
        <is>
          <t>Interest</t>
        </is>
      </c>
      <c r="C549" s="12" t="inlineStr">
        <is>
          <t>Income</t>
        </is>
      </c>
      <c r="D549" s="12" t="inlineStr">
        <is>
          <t>—</t>
        </is>
      </c>
      <c r="E549" s="27" t="n">
        <v>20</v>
      </c>
      <c r="G549" s="28">
        <f>IF(IFERROR(INDEX(Categories!$C$2:$C$200,MATCH(B549,Categories!$A$2:$A$200,0)),"N")="Y",E549,0)</f>
        <v/>
      </c>
    </row>
    <row r="550">
      <c r="A550" s="26" t="n">
        <v>44287</v>
      </c>
      <c r="B550" s="12" t="inlineStr">
        <is>
          <t>Salary</t>
        </is>
      </c>
      <c r="C550" s="12" t="inlineStr">
        <is>
          <t>Income</t>
        </is>
      </c>
      <c r="D550" s="12" t="inlineStr">
        <is>
          <t>—</t>
        </is>
      </c>
      <c r="E550" s="27" t="n">
        <v>5490</v>
      </c>
      <c r="G550" s="28">
        <f>IF(IFERROR(INDEX(Categories!$C$2:$C$200,MATCH(B550,Categories!$A$2:$A$200,0)),"N")="Y",E550,0)</f>
        <v/>
      </c>
    </row>
    <row r="551">
      <c r="A551" s="26" t="n">
        <v>44287</v>
      </c>
      <c r="B551" s="12" t="inlineStr">
        <is>
          <t>Uncategorised</t>
        </is>
      </c>
      <c r="C551" s="12" t="inlineStr">
        <is>
          <t>Actual</t>
        </is>
      </c>
      <c r="D551" s="12" t="inlineStr">
        <is>
          <t>Core</t>
        </is>
      </c>
      <c r="E551" s="27" t="n">
        <v>3520</v>
      </c>
      <c r="F551" s="28" t="inlineStr">
        <is>
          <t>Historical monthly total (pre per-category / per-tier tracking)</t>
        </is>
      </c>
      <c r="G551" s="28">
        <f>IF(IFERROR(INDEX(Categories!$C$2:$C$200,MATCH(B551,Categories!$A$2:$A$200,0)),"N")="Y",E551,0)</f>
        <v/>
      </c>
    </row>
    <row r="552">
      <c r="A552" s="26" t="n">
        <v>44317</v>
      </c>
      <c r="B552" s="12" t="inlineStr">
        <is>
          <t>Interest</t>
        </is>
      </c>
      <c r="C552" s="12" t="inlineStr">
        <is>
          <t>Income</t>
        </is>
      </c>
      <c r="D552" s="12" t="inlineStr">
        <is>
          <t>—</t>
        </is>
      </c>
      <c r="E552" s="27" t="n">
        <v>20</v>
      </c>
      <c r="G552" s="28">
        <f>IF(IFERROR(INDEX(Categories!$C$2:$C$200,MATCH(B552,Categories!$A$2:$A$200,0)),"N")="Y",E552,0)</f>
        <v/>
      </c>
    </row>
    <row r="553">
      <c r="A553" s="26" t="n">
        <v>44317</v>
      </c>
      <c r="B553" s="12" t="inlineStr">
        <is>
          <t>Salary</t>
        </is>
      </c>
      <c r="C553" s="12" t="inlineStr">
        <is>
          <t>Income</t>
        </is>
      </c>
      <c r="D553" s="12" t="inlineStr">
        <is>
          <t>—</t>
        </is>
      </c>
      <c r="E553" s="27" t="n">
        <v>5540</v>
      </c>
      <c r="G553" s="28">
        <f>IF(IFERROR(INDEX(Categories!$C$2:$C$200,MATCH(B553,Categories!$A$2:$A$200,0)),"N")="Y",E553,0)</f>
        <v/>
      </c>
    </row>
    <row r="554">
      <c r="A554" s="26" t="n">
        <v>44317</v>
      </c>
      <c r="B554" s="12" t="inlineStr">
        <is>
          <t>Uncategorised</t>
        </is>
      </c>
      <c r="C554" s="12" t="inlineStr">
        <is>
          <t>Actual</t>
        </is>
      </c>
      <c r="D554" s="12" t="inlineStr">
        <is>
          <t>Core</t>
        </is>
      </c>
      <c r="E554" s="27" t="n">
        <v>3040</v>
      </c>
      <c r="F554" s="28" t="inlineStr">
        <is>
          <t>Historical monthly total (pre per-category / per-tier tracking)</t>
        </is>
      </c>
      <c r="G554" s="28">
        <f>IF(IFERROR(INDEX(Categories!$C$2:$C$200,MATCH(B554,Categories!$A$2:$A$200,0)),"N")="Y",E554,0)</f>
        <v/>
      </c>
    </row>
    <row r="555">
      <c r="A555" s="26" t="n">
        <v>44348</v>
      </c>
      <c r="B555" s="12" t="inlineStr">
        <is>
          <t>Dividends</t>
        </is>
      </c>
      <c r="C555" s="12" t="inlineStr">
        <is>
          <t>Income</t>
        </is>
      </c>
      <c r="D555" s="12" t="inlineStr">
        <is>
          <t>—</t>
        </is>
      </c>
      <c r="E555" s="27" t="n">
        <v>150</v>
      </c>
      <c r="G555" s="28">
        <f>IF(IFERROR(INDEX(Categories!$C$2:$C$200,MATCH(B555,Categories!$A$2:$A$200,0)),"N")="Y",E555,0)</f>
        <v/>
      </c>
    </row>
    <row r="556">
      <c r="A556" s="26" t="n">
        <v>44348</v>
      </c>
      <c r="B556" s="12" t="inlineStr">
        <is>
          <t>Interest</t>
        </is>
      </c>
      <c r="C556" s="12" t="inlineStr">
        <is>
          <t>Income</t>
        </is>
      </c>
      <c r="D556" s="12" t="inlineStr">
        <is>
          <t>—</t>
        </is>
      </c>
      <c r="E556" s="27" t="n">
        <v>20</v>
      </c>
      <c r="G556" s="28">
        <f>IF(IFERROR(INDEX(Categories!$C$2:$C$200,MATCH(B556,Categories!$A$2:$A$200,0)),"N")="Y",E556,0)</f>
        <v/>
      </c>
    </row>
    <row r="557">
      <c r="A557" s="26" t="n">
        <v>44348</v>
      </c>
      <c r="B557" s="12" t="inlineStr">
        <is>
          <t>Salary</t>
        </is>
      </c>
      <c r="C557" s="12" t="inlineStr">
        <is>
          <t>Income</t>
        </is>
      </c>
      <c r="D557" s="12" t="inlineStr">
        <is>
          <t>—</t>
        </is>
      </c>
      <c r="E557" s="27" t="n">
        <v>5590</v>
      </c>
      <c r="G557" s="28">
        <f>IF(IFERROR(INDEX(Categories!$C$2:$C$200,MATCH(B557,Categories!$A$2:$A$200,0)),"N")="Y",E557,0)</f>
        <v/>
      </c>
    </row>
    <row r="558">
      <c r="A558" s="26" t="n">
        <v>44348</v>
      </c>
      <c r="B558" s="12" t="inlineStr">
        <is>
          <t>Uncategorised</t>
        </is>
      </c>
      <c r="C558" s="12" t="inlineStr">
        <is>
          <t>Actual</t>
        </is>
      </c>
      <c r="D558" s="12" t="inlineStr">
        <is>
          <t>Core</t>
        </is>
      </c>
      <c r="E558" s="27" t="n">
        <v>3160</v>
      </c>
      <c r="F558" s="28" t="inlineStr">
        <is>
          <t>Historical monthly total (pre per-category / per-tier tracking)</t>
        </is>
      </c>
      <c r="G558" s="28">
        <f>IF(IFERROR(INDEX(Categories!$C$2:$C$200,MATCH(B558,Categories!$A$2:$A$200,0)),"N")="Y",E558,0)</f>
        <v/>
      </c>
    </row>
    <row r="559">
      <c r="A559" s="26" t="n">
        <v>44378</v>
      </c>
      <c r="B559" s="12" t="inlineStr">
        <is>
          <t>Interest</t>
        </is>
      </c>
      <c r="C559" s="12" t="inlineStr">
        <is>
          <t>Income</t>
        </is>
      </c>
      <c r="D559" s="12" t="inlineStr">
        <is>
          <t>—</t>
        </is>
      </c>
      <c r="E559" s="27" t="n">
        <v>20</v>
      </c>
      <c r="G559" s="28">
        <f>IF(IFERROR(INDEX(Categories!$C$2:$C$200,MATCH(B559,Categories!$A$2:$A$200,0)),"N")="Y",E559,0)</f>
        <v/>
      </c>
    </row>
    <row r="560">
      <c r="A560" s="26" t="n">
        <v>44378</v>
      </c>
      <c r="B560" s="12" t="inlineStr">
        <is>
          <t>Salary</t>
        </is>
      </c>
      <c r="C560" s="12" t="inlineStr">
        <is>
          <t>Income</t>
        </is>
      </c>
      <c r="D560" s="12" t="inlineStr">
        <is>
          <t>—</t>
        </is>
      </c>
      <c r="E560" s="27" t="n">
        <v>5340</v>
      </c>
      <c r="G560" s="28">
        <f>IF(IFERROR(INDEX(Categories!$C$2:$C$200,MATCH(B560,Categories!$A$2:$A$200,0)),"N")="Y",E560,0)</f>
        <v/>
      </c>
    </row>
    <row r="561">
      <c r="A561" s="26" t="n">
        <v>44378</v>
      </c>
      <c r="B561" s="12" t="inlineStr">
        <is>
          <t>Uncategorised</t>
        </is>
      </c>
      <c r="C561" s="12" t="inlineStr">
        <is>
          <t>Actual</t>
        </is>
      </c>
      <c r="D561" s="12" t="inlineStr">
        <is>
          <t>Core</t>
        </is>
      </c>
      <c r="E561" s="27" t="n">
        <v>3280</v>
      </c>
      <c r="F561" s="28" t="inlineStr">
        <is>
          <t>Historical monthly total (pre per-category / per-tier tracking)</t>
        </is>
      </c>
      <c r="G561" s="28">
        <f>IF(IFERROR(INDEX(Categories!$C$2:$C$200,MATCH(B561,Categories!$A$2:$A$200,0)),"N")="Y",E561,0)</f>
        <v/>
      </c>
    </row>
    <row r="562">
      <c r="A562" s="26" t="n">
        <v>44409</v>
      </c>
      <c r="B562" s="12" t="inlineStr">
        <is>
          <t>Interest</t>
        </is>
      </c>
      <c r="C562" s="12" t="inlineStr">
        <is>
          <t>Income</t>
        </is>
      </c>
      <c r="D562" s="12" t="inlineStr">
        <is>
          <t>—</t>
        </is>
      </c>
      <c r="E562" s="27" t="n">
        <v>20</v>
      </c>
      <c r="G562" s="28">
        <f>IF(IFERROR(INDEX(Categories!$C$2:$C$200,MATCH(B562,Categories!$A$2:$A$200,0)),"N")="Y",E562,0)</f>
        <v/>
      </c>
    </row>
    <row r="563">
      <c r="A563" s="26" t="n">
        <v>44409</v>
      </c>
      <c r="B563" s="12" t="inlineStr">
        <is>
          <t>Salary</t>
        </is>
      </c>
      <c r="C563" s="12" t="inlineStr">
        <is>
          <t>Income</t>
        </is>
      </c>
      <c r="D563" s="12" t="inlineStr">
        <is>
          <t>—</t>
        </is>
      </c>
      <c r="E563" s="27" t="n">
        <v>5390</v>
      </c>
      <c r="G563" s="28">
        <f>IF(IFERROR(INDEX(Categories!$C$2:$C$200,MATCH(B563,Categories!$A$2:$A$200,0)),"N")="Y",E563,0)</f>
        <v/>
      </c>
    </row>
    <row r="564">
      <c r="A564" s="26" t="n">
        <v>44409</v>
      </c>
      <c r="B564" s="12" t="inlineStr">
        <is>
          <t>Uncategorised</t>
        </is>
      </c>
      <c r="C564" s="12" t="inlineStr">
        <is>
          <t>Actual</t>
        </is>
      </c>
      <c r="D564" s="12" t="inlineStr">
        <is>
          <t>Core</t>
        </is>
      </c>
      <c r="E564" s="27" t="n">
        <v>3400</v>
      </c>
      <c r="F564" s="28" t="inlineStr">
        <is>
          <t>Historical monthly total (pre per-category / per-tier tracking)</t>
        </is>
      </c>
      <c r="G564" s="28">
        <f>IF(IFERROR(INDEX(Categories!$C$2:$C$200,MATCH(B564,Categories!$A$2:$A$200,0)),"N")="Y",E564,0)</f>
        <v/>
      </c>
    </row>
    <row r="565">
      <c r="A565" s="26" t="n">
        <v>44440</v>
      </c>
      <c r="B565" s="12" t="inlineStr">
        <is>
          <t>Dividends</t>
        </is>
      </c>
      <c r="C565" s="12" t="inlineStr">
        <is>
          <t>Income</t>
        </is>
      </c>
      <c r="D565" s="12" t="inlineStr">
        <is>
          <t>—</t>
        </is>
      </c>
      <c r="E565" s="27" t="n">
        <v>150</v>
      </c>
      <c r="G565" s="28">
        <f>IF(IFERROR(INDEX(Categories!$C$2:$C$200,MATCH(B565,Categories!$A$2:$A$200,0)),"N")="Y",E565,0)</f>
        <v/>
      </c>
    </row>
    <row r="566">
      <c r="A566" s="26" t="n">
        <v>44440</v>
      </c>
      <c r="B566" s="12" t="inlineStr">
        <is>
          <t>Interest</t>
        </is>
      </c>
      <c r="C566" s="12" t="inlineStr">
        <is>
          <t>Income</t>
        </is>
      </c>
      <c r="D566" s="12" t="inlineStr">
        <is>
          <t>—</t>
        </is>
      </c>
      <c r="E566" s="27" t="n">
        <v>20</v>
      </c>
      <c r="G566" s="28">
        <f>IF(IFERROR(INDEX(Categories!$C$2:$C$200,MATCH(B566,Categories!$A$2:$A$200,0)),"N")="Y",E566,0)</f>
        <v/>
      </c>
    </row>
    <row r="567">
      <c r="A567" s="26" t="n">
        <v>44440</v>
      </c>
      <c r="B567" s="12" t="inlineStr">
        <is>
          <t>Salary</t>
        </is>
      </c>
      <c r="C567" s="12" t="inlineStr">
        <is>
          <t>Income</t>
        </is>
      </c>
      <c r="D567" s="12" t="inlineStr">
        <is>
          <t>—</t>
        </is>
      </c>
      <c r="E567" s="27" t="n">
        <v>5440</v>
      </c>
      <c r="G567" s="28">
        <f>IF(IFERROR(INDEX(Categories!$C$2:$C$200,MATCH(B567,Categories!$A$2:$A$200,0)),"N")="Y",E567,0)</f>
        <v/>
      </c>
    </row>
    <row r="568">
      <c r="A568" s="26" t="n">
        <v>44440</v>
      </c>
      <c r="B568" s="12" t="inlineStr">
        <is>
          <t>Uncategorised</t>
        </is>
      </c>
      <c r="C568" s="12" t="inlineStr">
        <is>
          <t>Actual</t>
        </is>
      </c>
      <c r="D568" s="12" t="inlineStr">
        <is>
          <t>Core</t>
        </is>
      </c>
      <c r="E568" s="27" t="n">
        <v>3520</v>
      </c>
      <c r="F568" s="28" t="inlineStr">
        <is>
          <t>Historical monthly total (pre per-category / per-tier tracking)</t>
        </is>
      </c>
      <c r="G568" s="28">
        <f>IF(IFERROR(INDEX(Categories!$C$2:$C$200,MATCH(B568,Categories!$A$2:$A$200,0)),"N")="Y",E568,0)</f>
        <v/>
      </c>
    </row>
    <row r="569">
      <c r="A569" s="26" t="n">
        <v>44470</v>
      </c>
      <c r="B569" s="12" t="inlineStr">
        <is>
          <t>Interest</t>
        </is>
      </c>
      <c r="C569" s="12" t="inlineStr">
        <is>
          <t>Income</t>
        </is>
      </c>
      <c r="D569" s="12" t="inlineStr">
        <is>
          <t>—</t>
        </is>
      </c>
      <c r="E569" s="27" t="n">
        <v>20</v>
      </c>
      <c r="G569" s="28">
        <f>IF(IFERROR(INDEX(Categories!$C$2:$C$200,MATCH(B569,Categories!$A$2:$A$200,0)),"N")="Y",E569,0)</f>
        <v/>
      </c>
    </row>
    <row r="570">
      <c r="A570" s="26" t="n">
        <v>44470</v>
      </c>
      <c r="B570" s="12" t="inlineStr">
        <is>
          <t>Salary</t>
        </is>
      </c>
      <c r="C570" s="12" t="inlineStr">
        <is>
          <t>Income</t>
        </is>
      </c>
      <c r="D570" s="12" t="inlineStr">
        <is>
          <t>—</t>
        </is>
      </c>
      <c r="E570" s="27" t="n">
        <v>5490</v>
      </c>
      <c r="G570" s="28">
        <f>IF(IFERROR(INDEX(Categories!$C$2:$C$200,MATCH(B570,Categories!$A$2:$A$200,0)),"N")="Y",E570,0)</f>
        <v/>
      </c>
    </row>
    <row r="571">
      <c r="A571" s="26" t="n">
        <v>44470</v>
      </c>
      <c r="B571" s="12" t="inlineStr">
        <is>
          <t>Uncategorised</t>
        </is>
      </c>
      <c r="C571" s="12" t="inlineStr">
        <is>
          <t>Actual</t>
        </is>
      </c>
      <c r="D571" s="12" t="inlineStr">
        <is>
          <t>Core</t>
        </is>
      </c>
      <c r="E571" s="27" t="n">
        <v>3040</v>
      </c>
      <c r="F571" s="28" t="inlineStr">
        <is>
          <t>Historical monthly total (pre per-category / per-tier tracking)</t>
        </is>
      </c>
      <c r="G571" s="28">
        <f>IF(IFERROR(INDEX(Categories!$C$2:$C$200,MATCH(B571,Categories!$A$2:$A$200,0)),"N")="Y",E571,0)</f>
        <v/>
      </c>
    </row>
    <row r="572">
      <c r="A572" s="26" t="n">
        <v>44501</v>
      </c>
      <c r="B572" s="12" t="inlineStr">
        <is>
          <t>Interest</t>
        </is>
      </c>
      <c r="C572" s="12" t="inlineStr">
        <is>
          <t>Income</t>
        </is>
      </c>
      <c r="D572" s="12" t="inlineStr">
        <is>
          <t>—</t>
        </is>
      </c>
      <c r="E572" s="27" t="n">
        <v>20</v>
      </c>
      <c r="G572" s="28">
        <f>IF(IFERROR(INDEX(Categories!$C$2:$C$200,MATCH(B572,Categories!$A$2:$A$200,0)),"N")="Y",E572,0)</f>
        <v/>
      </c>
    </row>
    <row r="573">
      <c r="A573" s="26" t="n">
        <v>44501</v>
      </c>
      <c r="B573" s="12" t="inlineStr">
        <is>
          <t>Salary</t>
        </is>
      </c>
      <c r="C573" s="12" t="inlineStr">
        <is>
          <t>Income</t>
        </is>
      </c>
      <c r="D573" s="12" t="inlineStr">
        <is>
          <t>—</t>
        </is>
      </c>
      <c r="E573" s="27" t="n">
        <v>5540</v>
      </c>
      <c r="G573" s="28">
        <f>IF(IFERROR(INDEX(Categories!$C$2:$C$200,MATCH(B573,Categories!$A$2:$A$200,0)),"N")="Y",E573,0)</f>
        <v/>
      </c>
    </row>
    <row r="574">
      <c r="A574" s="26" t="n">
        <v>44501</v>
      </c>
      <c r="B574" s="12" t="inlineStr">
        <is>
          <t>Uncategorised</t>
        </is>
      </c>
      <c r="C574" s="12" t="inlineStr">
        <is>
          <t>Actual</t>
        </is>
      </c>
      <c r="D574" s="12" t="inlineStr">
        <is>
          <t>Core</t>
        </is>
      </c>
      <c r="E574" s="27" t="n">
        <v>3160</v>
      </c>
      <c r="F574" s="28" t="inlineStr">
        <is>
          <t>Historical monthly total (pre per-category / per-tier tracking)</t>
        </is>
      </c>
      <c r="G574" s="28">
        <f>IF(IFERROR(INDEX(Categories!$C$2:$C$200,MATCH(B574,Categories!$A$2:$A$200,0)),"N")="Y",E574,0)</f>
        <v/>
      </c>
    </row>
    <row r="575">
      <c r="A575" s="26" t="n">
        <v>44531</v>
      </c>
      <c r="B575" s="12" t="inlineStr">
        <is>
          <t>Bonus/Claims</t>
        </is>
      </c>
      <c r="C575" s="12" t="inlineStr">
        <is>
          <t>Income</t>
        </is>
      </c>
      <c r="D575" s="12" t="inlineStr">
        <is>
          <t>—</t>
        </is>
      </c>
      <c r="E575" s="27" t="n">
        <v>5590</v>
      </c>
      <c r="G575" s="28">
        <f>IF(IFERROR(INDEX(Categories!$C$2:$C$200,MATCH(B575,Categories!$A$2:$A$200,0)),"N")="Y",E575,0)</f>
        <v/>
      </c>
    </row>
    <row r="576">
      <c r="A576" s="26" t="n">
        <v>44531</v>
      </c>
      <c r="B576" s="12" t="inlineStr">
        <is>
          <t>Dividends</t>
        </is>
      </c>
      <c r="C576" s="12" t="inlineStr">
        <is>
          <t>Income</t>
        </is>
      </c>
      <c r="D576" s="12" t="inlineStr">
        <is>
          <t>—</t>
        </is>
      </c>
      <c r="E576" s="27" t="n">
        <v>150</v>
      </c>
      <c r="G576" s="28">
        <f>IF(IFERROR(INDEX(Categories!$C$2:$C$200,MATCH(B576,Categories!$A$2:$A$200,0)),"N")="Y",E576,0)</f>
        <v/>
      </c>
    </row>
    <row r="577">
      <c r="A577" s="26" t="n">
        <v>44531</v>
      </c>
      <c r="B577" s="12" t="inlineStr">
        <is>
          <t>Interest</t>
        </is>
      </c>
      <c r="C577" s="12" t="inlineStr">
        <is>
          <t>Income</t>
        </is>
      </c>
      <c r="D577" s="12" t="inlineStr">
        <is>
          <t>—</t>
        </is>
      </c>
      <c r="E577" s="27" t="n">
        <v>20</v>
      </c>
      <c r="G577" s="28">
        <f>IF(IFERROR(INDEX(Categories!$C$2:$C$200,MATCH(B577,Categories!$A$2:$A$200,0)),"N")="Y",E577,0)</f>
        <v/>
      </c>
    </row>
    <row r="578">
      <c r="A578" s="26" t="n">
        <v>44531</v>
      </c>
      <c r="B578" s="12" t="inlineStr">
        <is>
          <t>Salary</t>
        </is>
      </c>
      <c r="C578" s="12" t="inlineStr">
        <is>
          <t>Income</t>
        </is>
      </c>
      <c r="D578" s="12" t="inlineStr">
        <is>
          <t>—</t>
        </is>
      </c>
      <c r="E578" s="27" t="n">
        <v>5590</v>
      </c>
      <c r="G578" s="28">
        <f>IF(IFERROR(INDEX(Categories!$C$2:$C$200,MATCH(B578,Categories!$A$2:$A$200,0)),"N")="Y",E578,0)</f>
        <v/>
      </c>
    </row>
    <row r="579">
      <c r="A579" s="26" t="n">
        <v>44531</v>
      </c>
      <c r="B579" s="12" t="inlineStr">
        <is>
          <t>Uncategorised</t>
        </is>
      </c>
      <c r="C579" s="12" t="inlineStr">
        <is>
          <t>Actual</t>
        </is>
      </c>
      <c r="D579" s="12" t="inlineStr">
        <is>
          <t>Core</t>
        </is>
      </c>
      <c r="E579" s="27" t="n">
        <v>3280</v>
      </c>
      <c r="F579" s="28" t="inlineStr">
        <is>
          <t>Historical monthly total (pre per-category / per-tier tracking)</t>
        </is>
      </c>
      <c r="G579" s="28">
        <f>IF(IFERROR(INDEX(Categories!$C$2:$C$200,MATCH(B579,Categories!$A$2:$A$200,0)),"N")="Y",E579,0)</f>
        <v/>
      </c>
    </row>
    <row r="580">
      <c r="A580" s="26" t="n">
        <v>44562</v>
      </c>
      <c r="B580" s="12" t="inlineStr">
        <is>
          <t>Interest</t>
        </is>
      </c>
      <c r="C580" s="12" t="inlineStr">
        <is>
          <t>Income</t>
        </is>
      </c>
      <c r="D580" s="12" t="inlineStr">
        <is>
          <t>—</t>
        </is>
      </c>
      <c r="E580" s="27" t="n">
        <v>20</v>
      </c>
      <c r="G580" s="28">
        <f>IF(IFERROR(INDEX(Categories!$C$2:$C$200,MATCH(B580,Categories!$A$2:$A$200,0)),"N")="Y",E580,0)</f>
        <v/>
      </c>
    </row>
    <row r="581">
      <c r="A581" s="26" t="n">
        <v>44562</v>
      </c>
      <c r="B581" s="12" t="inlineStr">
        <is>
          <t>Salary</t>
        </is>
      </c>
      <c r="C581" s="12" t="inlineStr">
        <is>
          <t>Income</t>
        </is>
      </c>
      <c r="D581" s="12" t="inlineStr">
        <is>
          <t>—</t>
        </is>
      </c>
      <c r="E581" s="27" t="n">
        <v>5520</v>
      </c>
      <c r="G581" s="28">
        <f>IF(IFERROR(INDEX(Categories!$C$2:$C$200,MATCH(B581,Categories!$A$2:$A$200,0)),"N")="Y",E581,0)</f>
        <v/>
      </c>
    </row>
    <row r="582">
      <c r="A582" s="26" t="n">
        <v>44562</v>
      </c>
      <c r="B582" s="12" t="inlineStr">
        <is>
          <t>Uncategorised</t>
        </is>
      </c>
      <c r="C582" s="12" t="inlineStr">
        <is>
          <t>Actual</t>
        </is>
      </c>
      <c r="D582" s="12" t="inlineStr">
        <is>
          <t>Core</t>
        </is>
      </c>
      <c r="E582" s="27" t="n">
        <v>3480</v>
      </c>
      <c r="F582" s="28" t="inlineStr">
        <is>
          <t>Historical monthly total (pre per-category / per-tier tracking)</t>
        </is>
      </c>
      <c r="G582" s="28">
        <f>IF(IFERROR(INDEX(Categories!$C$2:$C$200,MATCH(B582,Categories!$A$2:$A$200,0)),"N")="Y",E582,0)</f>
        <v/>
      </c>
    </row>
    <row r="583">
      <c r="A583" s="26" t="n">
        <v>44593</v>
      </c>
      <c r="B583" s="12" t="inlineStr">
        <is>
          <t>Interest</t>
        </is>
      </c>
      <c r="C583" s="12" t="inlineStr">
        <is>
          <t>Income</t>
        </is>
      </c>
      <c r="D583" s="12" t="inlineStr">
        <is>
          <t>—</t>
        </is>
      </c>
      <c r="E583" s="27" t="n">
        <v>20</v>
      </c>
      <c r="G583" s="28">
        <f>IF(IFERROR(INDEX(Categories!$C$2:$C$200,MATCH(B583,Categories!$A$2:$A$200,0)),"N")="Y",E583,0)</f>
        <v/>
      </c>
    </row>
    <row r="584">
      <c r="A584" s="26" t="n">
        <v>44593</v>
      </c>
      <c r="B584" s="12" t="inlineStr">
        <is>
          <t>Salary</t>
        </is>
      </c>
      <c r="C584" s="12" t="inlineStr">
        <is>
          <t>Income</t>
        </is>
      </c>
      <c r="D584" s="12" t="inlineStr">
        <is>
          <t>—</t>
        </is>
      </c>
      <c r="E584" s="27" t="n">
        <v>5570</v>
      </c>
      <c r="G584" s="28">
        <f>IF(IFERROR(INDEX(Categories!$C$2:$C$200,MATCH(B584,Categories!$A$2:$A$200,0)),"N")="Y",E584,0)</f>
        <v/>
      </c>
    </row>
    <row r="585">
      <c r="A585" s="26" t="n">
        <v>44593</v>
      </c>
      <c r="B585" s="12" t="inlineStr">
        <is>
          <t>Uncategorised</t>
        </is>
      </c>
      <c r="C585" s="12" t="inlineStr">
        <is>
          <t>Actual</t>
        </is>
      </c>
      <c r="D585" s="12" t="inlineStr">
        <is>
          <t>Core</t>
        </is>
      </c>
      <c r="E585" s="27" t="n">
        <v>3600</v>
      </c>
      <c r="F585" s="28" t="inlineStr">
        <is>
          <t>Historical monthly total (pre per-category / per-tier tracking)</t>
        </is>
      </c>
      <c r="G585" s="28">
        <f>IF(IFERROR(INDEX(Categories!$C$2:$C$200,MATCH(B585,Categories!$A$2:$A$200,0)),"N")="Y",E585,0)</f>
        <v/>
      </c>
    </row>
    <row r="586">
      <c r="A586" s="26" t="n">
        <v>44621</v>
      </c>
      <c r="B586" s="12" t="inlineStr">
        <is>
          <t>Dividends</t>
        </is>
      </c>
      <c r="C586" s="12" t="inlineStr">
        <is>
          <t>Income</t>
        </is>
      </c>
      <c r="D586" s="12" t="inlineStr">
        <is>
          <t>—</t>
        </is>
      </c>
      <c r="E586" s="27" t="n">
        <v>150</v>
      </c>
      <c r="G586" s="28">
        <f>IF(IFERROR(INDEX(Categories!$C$2:$C$200,MATCH(B586,Categories!$A$2:$A$200,0)),"N")="Y",E586,0)</f>
        <v/>
      </c>
    </row>
    <row r="587">
      <c r="A587" s="26" t="n">
        <v>44621</v>
      </c>
      <c r="B587" s="12" t="inlineStr">
        <is>
          <t>Interest</t>
        </is>
      </c>
      <c r="C587" s="12" t="inlineStr">
        <is>
          <t>Income</t>
        </is>
      </c>
      <c r="D587" s="12" t="inlineStr">
        <is>
          <t>—</t>
        </is>
      </c>
      <c r="E587" s="27" t="n">
        <v>20</v>
      </c>
      <c r="G587" s="28">
        <f>IF(IFERROR(INDEX(Categories!$C$2:$C$200,MATCH(B587,Categories!$A$2:$A$200,0)),"N")="Y",E587,0)</f>
        <v/>
      </c>
    </row>
    <row r="588">
      <c r="A588" s="26" t="n">
        <v>44621</v>
      </c>
      <c r="B588" s="12" t="inlineStr">
        <is>
          <t>Salary</t>
        </is>
      </c>
      <c r="C588" s="12" t="inlineStr">
        <is>
          <t>Income</t>
        </is>
      </c>
      <c r="D588" s="12" t="inlineStr">
        <is>
          <t>—</t>
        </is>
      </c>
      <c r="E588" s="27" t="n">
        <v>5620</v>
      </c>
      <c r="G588" s="28">
        <f>IF(IFERROR(INDEX(Categories!$C$2:$C$200,MATCH(B588,Categories!$A$2:$A$200,0)),"N")="Y",E588,0)</f>
        <v/>
      </c>
    </row>
    <row r="589">
      <c r="A589" s="26" t="n">
        <v>44621</v>
      </c>
      <c r="B589" s="12" t="inlineStr">
        <is>
          <t>Uncategorised</t>
        </is>
      </c>
      <c r="C589" s="12" t="inlineStr">
        <is>
          <t>Actual</t>
        </is>
      </c>
      <c r="D589" s="12" t="inlineStr">
        <is>
          <t>Core</t>
        </is>
      </c>
      <c r="E589" s="27" t="n">
        <v>3120</v>
      </c>
      <c r="F589" s="28" t="inlineStr">
        <is>
          <t>Historical monthly total (pre per-category / per-tier tracking)</t>
        </is>
      </c>
      <c r="G589" s="28">
        <f>IF(IFERROR(INDEX(Categories!$C$2:$C$200,MATCH(B589,Categories!$A$2:$A$200,0)),"N")="Y",E589,0)</f>
        <v/>
      </c>
    </row>
    <row r="590">
      <c r="A590" s="26" t="n">
        <v>44652</v>
      </c>
      <c r="B590" s="12" t="inlineStr">
        <is>
          <t>Interest</t>
        </is>
      </c>
      <c r="C590" s="12" t="inlineStr">
        <is>
          <t>Income</t>
        </is>
      </c>
      <c r="D590" s="12" t="inlineStr">
        <is>
          <t>—</t>
        </is>
      </c>
      <c r="E590" s="27" t="n">
        <v>20</v>
      </c>
      <c r="G590" s="28">
        <f>IF(IFERROR(INDEX(Categories!$C$2:$C$200,MATCH(B590,Categories!$A$2:$A$200,0)),"N")="Y",E590,0)</f>
        <v/>
      </c>
    </row>
    <row r="591">
      <c r="A591" s="26" t="n">
        <v>44652</v>
      </c>
      <c r="B591" s="12" t="inlineStr">
        <is>
          <t>Salary</t>
        </is>
      </c>
      <c r="C591" s="12" t="inlineStr">
        <is>
          <t>Income</t>
        </is>
      </c>
      <c r="D591" s="12" t="inlineStr">
        <is>
          <t>—</t>
        </is>
      </c>
      <c r="E591" s="27" t="n">
        <v>5670</v>
      </c>
      <c r="G591" s="28">
        <f>IF(IFERROR(INDEX(Categories!$C$2:$C$200,MATCH(B591,Categories!$A$2:$A$200,0)),"N")="Y",E591,0)</f>
        <v/>
      </c>
    </row>
    <row r="592">
      <c r="A592" s="26" t="n">
        <v>44652</v>
      </c>
      <c r="B592" s="12" t="inlineStr">
        <is>
          <t>Uncategorised</t>
        </is>
      </c>
      <c r="C592" s="12" t="inlineStr">
        <is>
          <t>Actual</t>
        </is>
      </c>
      <c r="D592" s="12" t="inlineStr">
        <is>
          <t>Core</t>
        </is>
      </c>
      <c r="E592" s="27" t="n">
        <v>3240</v>
      </c>
      <c r="F592" s="28" t="inlineStr">
        <is>
          <t>Historical monthly total (pre per-category / per-tier tracking)</t>
        </is>
      </c>
      <c r="G592" s="28">
        <f>IF(IFERROR(INDEX(Categories!$C$2:$C$200,MATCH(B592,Categories!$A$2:$A$200,0)),"N")="Y",E592,0)</f>
        <v/>
      </c>
    </row>
    <row r="593">
      <c r="A593" s="26" t="n">
        <v>44682</v>
      </c>
      <c r="B593" s="12" t="inlineStr">
        <is>
          <t>Interest</t>
        </is>
      </c>
      <c r="C593" s="12" t="inlineStr">
        <is>
          <t>Income</t>
        </is>
      </c>
      <c r="D593" s="12" t="inlineStr">
        <is>
          <t>—</t>
        </is>
      </c>
      <c r="E593" s="27" t="n">
        <v>20</v>
      </c>
      <c r="G593" s="28">
        <f>IF(IFERROR(INDEX(Categories!$C$2:$C$200,MATCH(B593,Categories!$A$2:$A$200,0)),"N")="Y",E593,0)</f>
        <v/>
      </c>
    </row>
    <row r="594">
      <c r="A594" s="26" t="n">
        <v>44682</v>
      </c>
      <c r="B594" s="12" t="inlineStr">
        <is>
          <t>Salary</t>
        </is>
      </c>
      <c r="C594" s="12" t="inlineStr">
        <is>
          <t>Income</t>
        </is>
      </c>
      <c r="D594" s="12" t="inlineStr">
        <is>
          <t>—</t>
        </is>
      </c>
      <c r="E594" s="27" t="n">
        <v>5720</v>
      </c>
      <c r="G594" s="28">
        <f>IF(IFERROR(INDEX(Categories!$C$2:$C$200,MATCH(B594,Categories!$A$2:$A$200,0)),"N")="Y",E594,0)</f>
        <v/>
      </c>
    </row>
    <row r="595">
      <c r="A595" s="26" t="n">
        <v>44682</v>
      </c>
      <c r="B595" s="12" t="inlineStr">
        <is>
          <t>Uncategorised</t>
        </is>
      </c>
      <c r="C595" s="12" t="inlineStr">
        <is>
          <t>Actual</t>
        </is>
      </c>
      <c r="D595" s="12" t="inlineStr">
        <is>
          <t>Core</t>
        </is>
      </c>
      <c r="E595" s="27" t="n">
        <v>3360</v>
      </c>
      <c r="F595" s="28" t="inlineStr">
        <is>
          <t>Historical monthly total (pre per-category / per-tier tracking)</t>
        </is>
      </c>
      <c r="G595" s="28">
        <f>IF(IFERROR(INDEX(Categories!$C$2:$C$200,MATCH(B595,Categories!$A$2:$A$200,0)),"N")="Y",E595,0)</f>
        <v/>
      </c>
    </row>
    <row r="596">
      <c r="A596" s="26" t="n">
        <v>44682</v>
      </c>
      <c r="B596" s="12" t="inlineStr">
        <is>
          <t>Wedding+House</t>
        </is>
      </c>
      <c r="C596" s="12" t="inlineStr">
        <is>
          <t>One-off</t>
        </is>
      </c>
      <c r="D596" s="12" t="inlineStr">
        <is>
          <t>One-off</t>
        </is>
      </c>
      <c r="E596" s="27" t="n">
        <v>8000</v>
      </c>
      <c r="F596" s="28" t="inlineStr">
        <is>
          <t>Sample: home renovation</t>
        </is>
      </c>
      <c r="G596" s="28">
        <f>IF(IFERROR(INDEX(Categories!$C$2:$C$200,MATCH(B596,Categories!$A$2:$A$200,0)),"N")="Y",E596,0)</f>
        <v/>
      </c>
    </row>
    <row r="597">
      <c r="A597" s="26" t="n">
        <v>44713</v>
      </c>
      <c r="B597" s="12" t="inlineStr">
        <is>
          <t>Dividends</t>
        </is>
      </c>
      <c r="C597" s="12" t="inlineStr">
        <is>
          <t>Income</t>
        </is>
      </c>
      <c r="D597" s="12" t="inlineStr">
        <is>
          <t>—</t>
        </is>
      </c>
      <c r="E597" s="27" t="n">
        <v>150</v>
      </c>
      <c r="G597" s="28">
        <f>IF(IFERROR(INDEX(Categories!$C$2:$C$200,MATCH(B597,Categories!$A$2:$A$200,0)),"N")="Y",E597,0)</f>
        <v/>
      </c>
    </row>
    <row r="598">
      <c r="A598" s="26" t="n">
        <v>44713</v>
      </c>
      <c r="B598" s="12" t="inlineStr">
        <is>
          <t>Interest</t>
        </is>
      </c>
      <c r="C598" s="12" t="inlineStr">
        <is>
          <t>Income</t>
        </is>
      </c>
      <c r="D598" s="12" t="inlineStr">
        <is>
          <t>—</t>
        </is>
      </c>
      <c r="E598" s="27" t="n">
        <v>20</v>
      </c>
      <c r="G598" s="28">
        <f>IF(IFERROR(INDEX(Categories!$C$2:$C$200,MATCH(B598,Categories!$A$2:$A$200,0)),"N")="Y",E598,0)</f>
        <v/>
      </c>
    </row>
    <row r="599">
      <c r="A599" s="26" t="n">
        <v>44713</v>
      </c>
      <c r="B599" s="12" t="inlineStr">
        <is>
          <t>Salary</t>
        </is>
      </c>
      <c r="C599" s="12" t="inlineStr">
        <is>
          <t>Income</t>
        </is>
      </c>
      <c r="D599" s="12" t="inlineStr">
        <is>
          <t>—</t>
        </is>
      </c>
      <c r="E599" s="27" t="n">
        <v>5770</v>
      </c>
      <c r="G599" s="28">
        <f>IF(IFERROR(INDEX(Categories!$C$2:$C$200,MATCH(B599,Categories!$A$2:$A$200,0)),"N")="Y",E599,0)</f>
        <v/>
      </c>
    </row>
    <row r="600">
      <c r="A600" s="26" t="n">
        <v>44713</v>
      </c>
      <c r="B600" s="12" t="inlineStr">
        <is>
          <t>Uncategorised</t>
        </is>
      </c>
      <c r="C600" s="12" t="inlineStr">
        <is>
          <t>Actual</t>
        </is>
      </c>
      <c r="D600" s="12" t="inlineStr">
        <is>
          <t>Core</t>
        </is>
      </c>
      <c r="E600" s="27" t="n">
        <v>3480</v>
      </c>
      <c r="F600" s="28" t="inlineStr">
        <is>
          <t>Historical monthly total (pre per-category / per-tier tracking)</t>
        </is>
      </c>
      <c r="G600" s="28">
        <f>IF(IFERROR(INDEX(Categories!$C$2:$C$200,MATCH(B600,Categories!$A$2:$A$200,0)),"N")="Y",E600,0)</f>
        <v/>
      </c>
    </row>
    <row r="601">
      <c r="A601" s="26" t="n">
        <v>44743</v>
      </c>
      <c r="B601" s="12" t="inlineStr">
        <is>
          <t>Interest</t>
        </is>
      </c>
      <c r="C601" s="12" t="inlineStr">
        <is>
          <t>Income</t>
        </is>
      </c>
      <c r="D601" s="12" t="inlineStr">
        <is>
          <t>—</t>
        </is>
      </c>
      <c r="E601" s="27" t="n">
        <v>20</v>
      </c>
      <c r="G601" s="28">
        <f>IF(IFERROR(INDEX(Categories!$C$2:$C$200,MATCH(B601,Categories!$A$2:$A$200,0)),"N")="Y",E601,0)</f>
        <v/>
      </c>
    </row>
    <row r="602">
      <c r="A602" s="26" t="n">
        <v>44743</v>
      </c>
      <c r="B602" s="12" t="inlineStr">
        <is>
          <t>Salary</t>
        </is>
      </c>
      <c r="C602" s="12" t="inlineStr">
        <is>
          <t>Income</t>
        </is>
      </c>
      <c r="D602" s="12" t="inlineStr">
        <is>
          <t>—</t>
        </is>
      </c>
      <c r="E602" s="27" t="n">
        <v>5520</v>
      </c>
      <c r="G602" s="28">
        <f>IF(IFERROR(INDEX(Categories!$C$2:$C$200,MATCH(B602,Categories!$A$2:$A$200,0)),"N")="Y",E602,0)</f>
        <v/>
      </c>
    </row>
    <row r="603">
      <c r="A603" s="26" t="n">
        <v>44743</v>
      </c>
      <c r="B603" s="12" t="inlineStr">
        <is>
          <t>Uncategorised</t>
        </is>
      </c>
      <c r="C603" s="12" t="inlineStr">
        <is>
          <t>Actual</t>
        </is>
      </c>
      <c r="D603" s="12" t="inlineStr">
        <is>
          <t>Core</t>
        </is>
      </c>
      <c r="E603" s="27" t="n">
        <v>3600</v>
      </c>
      <c r="F603" s="28" t="inlineStr">
        <is>
          <t>Historical monthly total (pre per-category / per-tier tracking)</t>
        </is>
      </c>
      <c r="G603" s="28">
        <f>IF(IFERROR(INDEX(Categories!$C$2:$C$200,MATCH(B603,Categories!$A$2:$A$200,0)),"N")="Y",E603,0)</f>
        <v/>
      </c>
    </row>
    <row r="604">
      <c r="A604" s="26" t="n">
        <v>44774</v>
      </c>
      <c r="B604" s="12" t="inlineStr">
        <is>
          <t>Interest</t>
        </is>
      </c>
      <c r="C604" s="12" t="inlineStr">
        <is>
          <t>Income</t>
        </is>
      </c>
      <c r="D604" s="12" t="inlineStr">
        <is>
          <t>—</t>
        </is>
      </c>
      <c r="E604" s="27" t="n">
        <v>20</v>
      </c>
      <c r="G604" s="28">
        <f>IF(IFERROR(INDEX(Categories!$C$2:$C$200,MATCH(B604,Categories!$A$2:$A$200,0)),"N")="Y",E604,0)</f>
        <v/>
      </c>
    </row>
    <row r="605">
      <c r="A605" s="26" t="n">
        <v>44774</v>
      </c>
      <c r="B605" s="12" t="inlineStr">
        <is>
          <t>Salary</t>
        </is>
      </c>
      <c r="C605" s="12" t="inlineStr">
        <is>
          <t>Income</t>
        </is>
      </c>
      <c r="D605" s="12" t="inlineStr">
        <is>
          <t>—</t>
        </is>
      </c>
      <c r="E605" s="27" t="n">
        <v>5570</v>
      </c>
      <c r="G605" s="28">
        <f>IF(IFERROR(INDEX(Categories!$C$2:$C$200,MATCH(B605,Categories!$A$2:$A$200,0)),"N")="Y",E605,0)</f>
        <v/>
      </c>
    </row>
    <row r="606">
      <c r="A606" s="26" t="n">
        <v>44774</v>
      </c>
      <c r="B606" s="12" t="inlineStr">
        <is>
          <t>Uncategorised</t>
        </is>
      </c>
      <c r="C606" s="12" t="inlineStr">
        <is>
          <t>Actual</t>
        </is>
      </c>
      <c r="D606" s="12" t="inlineStr">
        <is>
          <t>Core</t>
        </is>
      </c>
      <c r="E606" s="27" t="n">
        <v>3120</v>
      </c>
      <c r="F606" s="28" t="inlineStr">
        <is>
          <t>Historical monthly total (pre per-category / per-tier tracking)</t>
        </is>
      </c>
      <c r="G606" s="28">
        <f>IF(IFERROR(INDEX(Categories!$C$2:$C$200,MATCH(B606,Categories!$A$2:$A$200,0)),"N")="Y",E606,0)</f>
        <v/>
      </c>
    </row>
    <row r="607">
      <c r="A607" s="26" t="n">
        <v>44805</v>
      </c>
      <c r="B607" s="12" t="inlineStr">
        <is>
          <t>Dividends</t>
        </is>
      </c>
      <c r="C607" s="12" t="inlineStr">
        <is>
          <t>Income</t>
        </is>
      </c>
      <c r="D607" s="12" t="inlineStr">
        <is>
          <t>—</t>
        </is>
      </c>
      <c r="E607" s="27" t="n">
        <v>150</v>
      </c>
      <c r="G607" s="28">
        <f>IF(IFERROR(INDEX(Categories!$C$2:$C$200,MATCH(B607,Categories!$A$2:$A$200,0)),"N")="Y",E607,0)</f>
        <v/>
      </c>
    </row>
    <row r="608">
      <c r="A608" s="26" t="n">
        <v>44805</v>
      </c>
      <c r="B608" s="12" t="inlineStr">
        <is>
          <t>Interest</t>
        </is>
      </c>
      <c r="C608" s="12" t="inlineStr">
        <is>
          <t>Income</t>
        </is>
      </c>
      <c r="D608" s="12" t="inlineStr">
        <is>
          <t>—</t>
        </is>
      </c>
      <c r="E608" s="27" t="n">
        <v>20</v>
      </c>
      <c r="G608" s="28">
        <f>IF(IFERROR(INDEX(Categories!$C$2:$C$200,MATCH(B608,Categories!$A$2:$A$200,0)),"N")="Y",E608,0)</f>
        <v/>
      </c>
    </row>
    <row r="609">
      <c r="A609" s="26" t="n">
        <v>44805</v>
      </c>
      <c r="B609" s="12" t="inlineStr">
        <is>
          <t>Salary</t>
        </is>
      </c>
      <c r="C609" s="12" t="inlineStr">
        <is>
          <t>Income</t>
        </is>
      </c>
      <c r="D609" s="12" t="inlineStr">
        <is>
          <t>—</t>
        </is>
      </c>
      <c r="E609" s="27" t="n">
        <v>5620</v>
      </c>
      <c r="G609" s="28">
        <f>IF(IFERROR(INDEX(Categories!$C$2:$C$200,MATCH(B609,Categories!$A$2:$A$200,0)),"N")="Y",E609,0)</f>
        <v/>
      </c>
    </row>
    <row r="610">
      <c r="A610" s="26" t="n">
        <v>44805</v>
      </c>
      <c r="B610" s="12" t="inlineStr">
        <is>
          <t>Uncategorised</t>
        </is>
      </c>
      <c r="C610" s="12" t="inlineStr">
        <is>
          <t>Actual</t>
        </is>
      </c>
      <c r="D610" s="12" t="inlineStr">
        <is>
          <t>Core</t>
        </is>
      </c>
      <c r="E610" s="27" t="n">
        <v>3240</v>
      </c>
      <c r="F610" s="28" t="inlineStr">
        <is>
          <t>Historical monthly total (pre per-category / per-tier tracking)</t>
        </is>
      </c>
      <c r="G610" s="28">
        <f>IF(IFERROR(INDEX(Categories!$C$2:$C$200,MATCH(B610,Categories!$A$2:$A$200,0)),"N")="Y",E610,0)</f>
        <v/>
      </c>
    </row>
    <row r="611">
      <c r="A611" s="26" t="n">
        <v>44835</v>
      </c>
      <c r="B611" s="12" t="inlineStr">
        <is>
          <t>Interest</t>
        </is>
      </c>
      <c r="C611" s="12" t="inlineStr">
        <is>
          <t>Income</t>
        </is>
      </c>
      <c r="D611" s="12" t="inlineStr">
        <is>
          <t>—</t>
        </is>
      </c>
      <c r="E611" s="27" t="n">
        <v>20</v>
      </c>
      <c r="G611" s="28">
        <f>IF(IFERROR(INDEX(Categories!$C$2:$C$200,MATCH(B611,Categories!$A$2:$A$200,0)),"N")="Y",E611,0)</f>
        <v/>
      </c>
    </row>
    <row r="612">
      <c r="A612" s="26" t="n">
        <v>44835</v>
      </c>
      <c r="B612" s="12" t="inlineStr">
        <is>
          <t>Salary</t>
        </is>
      </c>
      <c r="C612" s="12" t="inlineStr">
        <is>
          <t>Income</t>
        </is>
      </c>
      <c r="D612" s="12" t="inlineStr">
        <is>
          <t>—</t>
        </is>
      </c>
      <c r="E612" s="27" t="n">
        <v>5670</v>
      </c>
      <c r="G612" s="28">
        <f>IF(IFERROR(INDEX(Categories!$C$2:$C$200,MATCH(B612,Categories!$A$2:$A$200,0)),"N")="Y",E612,0)</f>
        <v/>
      </c>
    </row>
    <row r="613">
      <c r="A613" s="26" t="n">
        <v>44835</v>
      </c>
      <c r="B613" s="12" t="inlineStr">
        <is>
          <t>Uncategorised</t>
        </is>
      </c>
      <c r="C613" s="12" t="inlineStr">
        <is>
          <t>Actual</t>
        </is>
      </c>
      <c r="D613" s="12" t="inlineStr">
        <is>
          <t>Core</t>
        </is>
      </c>
      <c r="E613" s="27" t="n">
        <v>3360</v>
      </c>
      <c r="F613" s="28" t="inlineStr">
        <is>
          <t>Historical monthly total (pre per-category / per-tier tracking)</t>
        </is>
      </c>
      <c r="G613" s="28">
        <f>IF(IFERROR(INDEX(Categories!$C$2:$C$200,MATCH(B613,Categories!$A$2:$A$200,0)),"N")="Y",E613,0)</f>
        <v/>
      </c>
    </row>
    <row r="614">
      <c r="A614" s="26" t="n">
        <v>44866</v>
      </c>
      <c r="B614" s="12" t="inlineStr">
        <is>
          <t>Interest</t>
        </is>
      </c>
      <c r="C614" s="12" t="inlineStr">
        <is>
          <t>Income</t>
        </is>
      </c>
      <c r="D614" s="12" t="inlineStr">
        <is>
          <t>—</t>
        </is>
      </c>
      <c r="E614" s="27" t="n">
        <v>20</v>
      </c>
      <c r="G614" s="28">
        <f>IF(IFERROR(INDEX(Categories!$C$2:$C$200,MATCH(B614,Categories!$A$2:$A$200,0)),"N")="Y",E614,0)</f>
        <v/>
      </c>
    </row>
    <row r="615">
      <c r="A615" s="26" t="n">
        <v>44866</v>
      </c>
      <c r="B615" s="12" t="inlineStr">
        <is>
          <t>Salary</t>
        </is>
      </c>
      <c r="C615" s="12" t="inlineStr">
        <is>
          <t>Income</t>
        </is>
      </c>
      <c r="D615" s="12" t="inlineStr">
        <is>
          <t>—</t>
        </is>
      </c>
      <c r="E615" s="27" t="n">
        <v>5720</v>
      </c>
      <c r="G615" s="28">
        <f>IF(IFERROR(INDEX(Categories!$C$2:$C$200,MATCH(B615,Categories!$A$2:$A$200,0)),"N")="Y",E615,0)</f>
        <v/>
      </c>
    </row>
    <row r="616">
      <c r="A616" s="26" t="n">
        <v>44866</v>
      </c>
      <c r="B616" s="12" t="inlineStr">
        <is>
          <t>Uncategorised</t>
        </is>
      </c>
      <c r="C616" s="12" t="inlineStr">
        <is>
          <t>Actual</t>
        </is>
      </c>
      <c r="D616" s="12" t="inlineStr">
        <is>
          <t>Core</t>
        </is>
      </c>
      <c r="E616" s="27" t="n">
        <v>3480</v>
      </c>
      <c r="F616" s="28" t="inlineStr">
        <is>
          <t>Historical monthly total (pre per-category / per-tier tracking)</t>
        </is>
      </c>
      <c r="G616" s="28">
        <f>IF(IFERROR(INDEX(Categories!$C$2:$C$200,MATCH(B616,Categories!$A$2:$A$200,0)),"N")="Y",E616,0)</f>
        <v/>
      </c>
    </row>
    <row r="617">
      <c r="A617" s="26" t="n">
        <v>44896</v>
      </c>
      <c r="B617" s="12" t="inlineStr">
        <is>
          <t>Bonus/Claims</t>
        </is>
      </c>
      <c r="C617" s="12" t="inlineStr">
        <is>
          <t>Income</t>
        </is>
      </c>
      <c r="D617" s="12" t="inlineStr">
        <is>
          <t>—</t>
        </is>
      </c>
      <c r="E617" s="27" t="n">
        <v>5770</v>
      </c>
      <c r="G617" s="28">
        <f>IF(IFERROR(INDEX(Categories!$C$2:$C$200,MATCH(B617,Categories!$A$2:$A$200,0)),"N")="Y",E617,0)</f>
        <v/>
      </c>
    </row>
    <row r="618">
      <c r="A618" s="26" t="n">
        <v>44896</v>
      </c>
      <c r="B618" s="12" t="inlineStr">
        <is>
          <t>Dividends</t>
        </is>
      </c>
      <c r="C618" s="12" t="inlineStr">
        <is>
          <t>Income</t>
        </is>
      </c>
      <c r="D618" s="12" t="inlineStr">
        <is>
          <t>—</t>
        </is>
      </c>
      <c r="E618" s="27" t="n">
        <v>150</v>
      </c>
      <c r="G618" s="28">
        <f>IF(IFERROR(INDEX(Categories!$C$2:$C$200,MATCH(B618,Categories!$A$2:$A$200,0)),"N")="Y",E618,0)</f>
        <v/>
      </c>
    </row>
    <row r="619">
      <c r="A619" s="26" t="n">
        <v>44896</v>
      </c>
      <c r="B619" s="12" t="inlineStr">
        <is>
          <t>Interest</t>
        </is>
      </c>
      <c r="C619" s="12" t="inlineStr">
        <is>
          <t>Income</t>
        </is>
      </c>
      <c r="D619" s="12" t="inlineStr">
        <is>
          <t>—</t>
        </is>
      </c>
      <c r="E619" s="27" t="n">
        <v>20</v>
      </c>
      <c r="G619" s="28">
        <f>IF(IFERROR(INDEX(Categories!$C$2:$C$200,MATCH(B619,Categories!$A$2:$A$200,0)),"N")="Y",E619,0)</f>
        <v/>
      </c>
    </row>
    <row r="620">
      <c r="A620" s="26" t="n">
        <v>44896</v>
      </c>
      <c r="B620" s="12" t="inlineStr">
        <is>
          <t>Salary</t>
        </is>
      </c>
      <c r="C620" s="12" t="inlineStr">
        <is>
          <t>Income</t>
        </is>
      </c>
      <c r="D620" s="12" t="inlineStr">
        <is>
          <t>—</t>
        </is>
      </c>
      <c r="E620" s="27" t="n">
        <v>5770</v>
      </c>
      <c r="G620" s="28">
        <f>IF(IFERROR(INDEX(Categories!$C$2:$C$200,MATCH(B620,Categories!$A$2:$A$200,0)),"N")="Y",E620,0)</f>
        <v/>
      </c>
    </row>
    <row r="621">
      <c r="A621" s="26" t="n">
        <v>44896</v>
      </c>
      <c r="B621" s="12" t="inlineStr">
        <is>
          <t>Uncategorised</t>
        </is>
      </c>
      <c r="C621" s="12" t="inlineStr">
        <is>
          <t>Actual</t>
        </is>
      </c>
      <c r="D621" s="12" t="inlineStr">
        <is>
          <t>Core</t>
        </is>
      </c>
      <c r="E621" s="27" t="n">
        <v>3600</v>
      </c>
      <c r="F621" s="28" t="inlineStr">
        <is>
          <t>Historical monthly total (pre per-category / per-tier tracking)</t>
        </is>
      </c>
      <c r="G621" s="28">
        <f>IF(IFERROR(INDEX(Categories!$C$2:$C$200,MATCH(B621,Categories!$A$2:$A$200,0)),"N")="Y",E621,0)</f>
        <v/>
      </c>
    </row>
    <row r="622">
      <c r="A622" s="26" t="n">
        <v>44927</v>
      </c>
      <c r="B622" s="12" t="inlineStr">
        <is>
          <t>Interest</t>
        </is>
      </c>
      <c r="C622" s="12" t="inlineStr">
        <is>
          <t>Income</t>
        </is>
      </c>
      <c r="D622" s="12" t="inlineStr">
        <is>
          <t>—</t>
        </is>
      </c>
      <c r="E622" s="27" t="n">
        <v>20</v>
      </c>
      <c r="G622" s="28">
        <f>IF(IFERROR(INDEX(Categories!$C$2:$C$200,MATCH(B622,Categories!$A$2:$A$200,0)),"N")="Y",E622,0)</f>
        <v/>
      </c>
    </row>
    <row r="623">
      <c r="A623" s="26" t="n">
        <v>44927</v>
      </c>
      <c r="B623" s="12" t="inlineStr">
        <is>
          <t>Salary</t>
        </is>
      </c>
      <c r="C623" s="12" t="inlineStr">
        <is>
          <t>Income</t>
        </is>
      </c>
      <c r="D623" s="12" t="inlineStr">
        <is>
          <t>—</t>
        </is>
      </c>
      <c r="E623" s="27" t="n">
        <v>5700</v>
      </c>
      <c r="G623" s="28">
        <f>IF(IFERROR(INDEX(Categories!$C$2:$C$200,MATCH(B623,Categories!$A$2:$A$200,0)),"N")="Y",E623,0)</f>
        <v/>
      </c>
    </row>
    <row r="624">
      <c r="A624" s="26" t="n">
        <v>44927</v>
      </c>
      <c r="B624" s="12" t="inlineStr">
        <is>
          <t>Uncategorised</t>
        </is>
      </c>
      <c r="C624" s="12" t="inlineStr">
        <is>
          <t>Actual</t>
        </is>
      </c>
      <c r="D624" s="12" t="inlineStr">
        <is>
          <t>Core</t>
        </is>
      </c>
      <c r="E624" s="27" t="n">
        <v>3200</v>
      </c>
      <c r="F624" s="28" t="inlineStr">
        <is>
          <t>Historical monthly total (pre per-category / per-tier tracking)</t>
        </is>
      </c>
      <c r="G624" s="28">
        <f>IF(IFERROR(INDEX(Categories!$C$2:$C$200,MATCH(B624,Categories!$A$2:$A$200,0)),"N")="Y",E624,0)</f>
        <v/>
      </c>
    </row>
    <row r="625">
      <c r="A625" s="26" t="n">
        <v>44958</v>
      </c>
      <c r="B625" s="12" t="inlineStr">
        <is>
          <t>Interest</t>
        </is>
      </c>
      <c r="C625" s="12" t="inlineStr">
        <is>
          <t>Income</t>
        </is>
      </c>
      <c r="D625" s="12" t="inlineStr">
        <is>
          <t>—</t>
        </is>
      </c>
      <c r="E625" s="27" t="n">
        <v>20</v>
      </c>
      <c r="G625" s="28">
        <f>IF(IFERROR(INDEX(Categories!$C$2:$C$200,MATCH(B625,Categories!$A$2:$A$200,0)),"N")="Y",E625,0)</f>
        <v/>
      </c>
    </row>
    <row r="626">
      <c r="A626" s="26" t="n">
        <v>44958</v>
      </c>
      <c r="B626" s="12" t="inlineStr">
        <is>
          <t>Salary</t>
        </is>
      </c>
      <c r="C626" s="12" t="inlineStr">
        <is>
          <t>Income</t>
        </is>
      </c>
      <c r="D626" s="12" t="inlineStr">
        <is>
          <t>—</t>
        </is>
      </c>
      <c r="E626" s="27" t="n">
        <v>5750</v>
      </c>
      <c r="G626" s="28">
        <f>IF(IFERROR(INDEX(Categories!$C$2:$C$200,MATCH(B626,Categories!$A$2:$A$200,0)),"N")="Y",E626,0)</f>
        <v/>
      </c>
    </row>
    <row r="627">
      <c r="A627" s="26" t="n">
        <v>44958</v>
      </c>
      <c r="B627" s="12" t="inlineStr">
        <is>
          <t>Uncategorised</t>
        </is>
      </c>
      <c r="C627" s="12" t="inlineStr">
        <is>
          <t>Actual</t>
        </is>
      </c>
      <c r="D627" s="12" t="inlineStr">
        <is>
          <t>Core</t>
        </is>
      </c>
      <c r="E627" s="27" t="n">
        <v>3320</v>
      </c>
      <c r="F627" s="28" t="inlineStr">
        <is>
          <t>Historical monthly total (pre per-category / per-tier tracking)</t>
        </is>
      </c>
      <c r="G627" s="28">
        <f>IF(IFERROR(INDEX(Categories!$C$2:$C$200,MATCH(B627,Categories!$A$2:$A$200,0)),"N")="Y",E627,0)</f>
        <v/>
      </c>
    </row>
    <row r="628">
      <c r="A628" s="26" t="n">
        <v>44986</v>
      </c>
      <c r="B628" s="12" t="inlineStr">
        <is>
          <t>Dividends</t>
        </is>
      </c>
      <c r="C628" s="12" t="inlineStr">
        <is>
          <t>Income</t>
        </is>
      </c>
      <c r="D628" s="12" t="inlineStr">
        <is>
          <t>—</t>
        </is>
      </c>
      <c r="E628" s="27" t="n">
        <v>150</v>
      </c>
      <c r="G628" s="28">
        <f>IF(IFERROR(INDEX(Categories!$C$2:$C$200,MATCH(B628,Categories!$A$2:$A$200,0)),"N")="Y",E628,0)</f>
        <v/>
      </c>
    </row>
    <row r="629">
      <c r="A629" s="26" t="n">
        <v>44986</v>
      </c>
      <c r="B629" s="12" t="inlineStr">
        <is>
          <t>Interest</t>
        </is>
      </c>
      <c r="C629" s="12" t="inlineStr">
        <is>
          <t>Income</t>
        </is>
      </c>
      <c r="D629" s="12" t="inlineStr">
        <is>
          <t>—</t>
        </is>
      </c>
      <c r="E629" s="27" t="n">
        <v>20</v>
      </c>
      <c r="G629" s="28">
        <f>IF(IFERROR(INDEX(Categories!$C$2:$C$200,MATCH(B629,Categories!$A$2:$A$200,0)),"N")="Y",E629,0)</f>
        <v/>
      </c>
    </row>
    <row r="630">
      <c r="A630" s="26" t="n">
        <v>44986</v>
      </c>
      <c r="B630" s="12" t="inlineStr">
        <is>
          <t>Salary</t>
        </is>
      </c>
      <c r="C630" s="12" t="inlineStr">
        <is>
          <t>Income</t>
        </is>
      </c>
      <c r="D630" s="12" t="inlineStr">
        <is>
          <t>—</t>
        </is>
      </c>
      <c r="E630" s="27" t="n">
        <v>5800</v>
      </c>
      <c r="G630" s="28">
        <f>IF(IFERROR(INDEX(Categories!$C$2:$C$200,MATCH(B630,Categories!$A$2:$A$200,0)),"N")="Y",E630,0)</f>
        <v/>
      </c>
    </row>
    <row r="631">
      <c r="A631" s="26" t="n">
        <v>44986</v>
      </c>
      <c r="B631" s="12" t="inlineStr">
        <is>
          <t>Uncategorised</t>
        </is>
      </c>
      <c r="C631" s="12" t="inlineStr">
        <is>
          <t>Actual</t>
        </is>
      </c>
      <c r="D631" s="12" t="inlineStr">
        <is>
          <t>Core</t>
        </is>
      </c>
      <c r="E631" s="27" t="n">
        <v>3440</v>
      </c>
      <c r="F631" s="28" t="inlineStr">
        <is>
          <t>Historical monthly total (pre per-category / per-tier tracking)</t>
        </is>
      </c>
      <c r="G631" s="28">
        <f>IF(IFERROR(INDEX(Categories!$C$2:$C$200,MATCH(B631,Categories!$A$2:$A$200,0)),"N")="Y",E631,0)</f>
        <v/>
      </c>
    </row>
    <row r="632">
      <c r="A632" s="26" t="n">
        <v>45017</v>
      </c>
      <c r="B632" s="12" t="inlineStr">
        <is>
          <t>Interest</t>
        </is>
      </c>
      <c r="C632" s="12" t="inlineStr">
        <is>
          <t>Income</t>
        </is>
      </c>
      <c r="D632" s="12" t="inlineStr">
        <is>
          <t>—</t>
        </is>
      </c>
      <c r="E632" s="27" t="n">
        <v>20</v>
      </c>
      <c r="G632" s="28">
        <f>IF(IFERROR(INDEX(Categories!$C$2:$C$200,MATCH(B632,Categories!$A$2:$A$200,0)),"N")="Y",E632,0)</f>
        <v/>
      </c>
    </row>
    <row r="633">
      <c r="A633" s="26" t="n">
        <v>45017</v>
      </c>
      <c r="B633" s="12" t="inlineStr">
        <is>
          <t>Salary</t>
        </is>
      </c>
      <c r="C633" s="12" t="inlineStr">
        <is>
          <t>Income</t>
        </is>
      </c>
      <c r="D633" s="12" t="inlineStr">
        <is>
          <t>—</t>
        </is>
      </c>
      <c r="E633" s="27" t="n">
        <v>5850</v>
      </c>
      <c r="G633" s="28">
        <f>IF(IFERROR(INDEX(Categories!$C$2:$C$200,MATCH(B633,Categories!$A$2:$A$200,0)),"N")="Y",E633,0)</f>
        <v/>
      </c>
    </row>
    <row r="634">
      <c r="A634" s="26" t="n">
        <v>45017</v>
      </c>
      <c r="B634" s="12" t="inlineStr">
        <is>
          <t>Uncategorised</t>
        </is>
      </c>
      <c r="C634" s="12" t="inlineStr">
        <is>
          <t>Actual</t>
        </is>
      </c>
      <c r="D634" s="12" t="inlineStr">
        <is>
          <t>Core</t>
        </is>
      </c>
      <c r="E634" s="27" t="n">
        <v>3560</v>
      </c>
      <c r="F634" s="28" t="inlineStr">
        <is>
          <t>Historical monthly total (pre per-category / per-tier tracking)</t>
        </is>
      </c>
      <c r="G634" s="28">
        <f>IF(IFERROR(INDEX(Categories!$C$2:$C$200,MATCH(B634,Categories!$A$2:$A$200,0)),"N")="Y",E634,0)</f>
        <v/>
      </c>
    </row>
    <row r="635">
      <c r="A635" s="26" t="n">
        <v>45047</v>
      </c>
      <c r="B635" s="12" t="inlineStr">
        <is>
          <t>Interest</t>
        </is>
      </c>
      <c r="C635" s="12" t="inlineStr">
        <is>
          <t>Income</t>
        </is>
      </c>
      <c r="D635" s="12" t="inlineStr">
        <is>
          <t>—</t>
        </is>
      </c>
      <c r="E635" s="27" t="n">
        <v>20</v>
      </c>
      <c r="G635" s="28">
        <f>IF(IFERROR(INDEX(Categories!$C$2:$C$200,MATCH(B635,Categories!$A$2:$A$200,0)),"N")="Y",E635,0)</f>
        <v/>
      </c>
    </row>
    <row r="636">
      <c r="A636" s="26" t="n">
        <v>45047</v>
      </c>
      <c r="B636" s="12" t="inlineStr">
        <is>
          <t>Salary</t>
        </is>
      </c>
      <c r="C636" s="12" t="inlineStr">
        <is>
          <t>Income</t>
        </is>
      </c>
      <c r="D636" s="12" t="inlineStr">
        <is>
          <t>—</t>
        </is>
      </c>
      <c r="E636" s="27" t="n">
        <v>5900</v>
      </c>
      <c r="G636" s="28">
        <f>IF(IFERROR(INDEX(Categories!$C$2:$C$200,MATCH(B636,Categories!$A$2:$A$200,0)),"N")="Y",E636,0)</f>
        <v/>
      </c>
    </row>
    <row r="637">
      <c r="A637" s="26" t="n">
        <v>45047</v>
      </c>
      <c r="B637" s="12" t="inlineStr">
        <is>
          <t>Uncategorised</t>
        </is>
      </c>
      <c r="C637" s="12" t="inlineStr">
        <is>
          <t>Actual</t>
        </is>
      </c>
      <c r="D637" s="12" t="inlineStr">
        <is>
          <t>Core</t>
        </is>
      </c>
      <c r="E637" s="27" t="n">
        <v>3680</v>
      </c>
      <c r="F637" s="28" t="inlineStr">
        <is>
          <t>Historical monthly total (pre per-category / per-tier tracking)</t>
        </is>
      </c>
      <c r="G637" s="28">
        <f>IF(IFERROR(INDEX(Categories!$C$2:$C$200,MATCH(B637,Categories!$A$2:$A$200,0)),"N")="Y",E637,0)</f>
        <v/>
      </c>
    </row>
    <row r="638">
      <c r="A638" s="26" t="n">
        <v>45078</v>
      </c>
      <c r="B638" s="12" t="inlineStr">
        <is>
          <t>Dividends</t>
        </is>
      </c>
      <c r="C638" s="12" t="inlineStr">
        <is>
          <t>Income</t>
        </is>
      </c>
      <c r="D638" s="12" t="inlineStr">
        <is>
          <t>—</t>
        </is>
      </c>
      <c r="E638" s="27" t="n">
        <v>150</v>
      </c>
      <c r="G638" s="28">
        <f>IF(IFERROR(INDEX(Categories!$C$2:$C$200,MATCH(B638,Categories!$A$2:$A$200,0)),"N")="Y",E638,0)</f>
        <v/>
      </c>
    </row>
    <row r="639">
      <c r="A639" s="26" t="n">
        <v>45078</v>
      </c>
      <c r="B639" s="12" t="inlineStr">
        <is>
          <t>Interest</t>
        </is>
      </c>
      <c r="C639" s="12" t="inlineStr">
        <is>
          <t>Income</t>
        </is>
      </c>
      <c r="D639" s="12" t="inlineStr">
        <is>
          <t>—</t>
        </is>
      </c>
      <c r="E639" s="27" t="n">
        <v>20</v>
      </c>
      <c r="G639" s="28">
        <f>IF(IFERROR(INDEX(Categories!$C$2:$C$200,MATCH(B639,Categories!$A$2:$A$200,0)),"N")="Y",E639,0)</f>
        <v/>
      </c>
    </row>
    <row r="640">
      <c r="A640" s="26" t="n">
        <v>45078</v>
      </c>
      <c r="B640" s="12" t="inlineStr">
        <is>
          <t>Salary</t>
        </is>
      </c>
      <c r="C640" s="12" t="inlineStr">
        <is>
          <t>Income</t>
        </is>
      </c>
      <c r="D640" s="12" t="inlineStr">
        <is>
          <t>—</t>
        </is>
      </c>
      <c r="E640" s="27" t="n">
        <v>5950</v>
      </c>
      <c r="G640" s="28">
        <f>IF(IFERROR(INDEX(Categories!$C$2:$C$200,MATCH(B640,Categories!$A$2:$A$200,0)),"N")="Y",E640,0)</f>
        <v/>
      </c>
    </row>
    <row r="641">
      <c r="A641" s="26" t="n">
        <v>45078</v>
      </c>
      <c r="B641" s="12" t="inlineStr">
        <is>
          <t>Uncategorised</t>
        </is>
      </c>
      <c r="C641" s="12" t="inlineStr">
        <is>
          <t>Actual</t>
        </is>
      </c>
      <c r="D641" s="12" t="inlineStr">
        <is>
          <t>Core</t>
        </is>
      </c>
      <c r="E641" s="27" t="n">
        <v>3200</v>
      </c>
      <c r="F641" s="28" t="inlineStr">
        <is>
          <t>Historical monthly total (pre per-category / per-tier tracking)</t>
        </is>
      </c>
      <c r="G641" s="28">
        <f>IF(IFERROR(INDEX(Categories!$C$2:$C$200,MATCH(B641,Categories!$A$2:$A$200,0)),"N")="Y",E641,0)</f>
        <v/>
      </c>
    </row>
    <row r="642">
      <c r="A642" s="26" t="n">
        <v>45108</v>
      </c>
      <c r="B642" s="12" t="inlineStr">
        <is>
          <t>Interest</t>
        </is>
      </c>
      <c r="C642" s="12" t="inlineStr">
        <is>
          <t>Income</t>
        </is>
      </c>
      <c r="D642" s="12" t="inlineStr">
        <is>
          <t>—</t>
        </is>
      </c>
      <c r="E642" s="27" t="n">
        <v>20</v>
      </c>
      <c r="G642" s="28">
        <f>IF(IFERROR(INDEX(Categories!$C$2:$C$200,MATCH(B642,Categories!$A$2:$A$200,0)),"N")="Y",E642,0)</f>
        <v/>
      </c>
    </row>
    <row r="643">
      <c r="A643" s="26" t="n">
        <v>45108</v>
      </c>
      <c r="B643" s="12" t="inlineStr">
        <is>
          <t>Salary</t>
        </is>
      </c>
      <c r="C643" s="12" t="inlineStr">
        <is>
          <t>Income</t>
        </is>
      </c>
      <c r="D643" s="12" t="inlineStr">
        <is>
          <t>—</t>
        </is>
      </c>
      <c r="E643" s="27" t="n">
        <v>5700</v>
      </c>
      <c r="G643" s="28">
        <f>IF(IFERROR(INDEX(Categories!$C$2:$C$200,MATCH(B643,Categories!$A$2:$A$200,0)),"N")="Y",E643,0)</f>
        <v/>
      </c>
    </row>
    <row r="644">
      <c r="A644" s="26" t="n">
        <v>45108</v>
      </c>
      <c r="B644" s="12" t="inlineStr">
        <is>
          <t>Uncategorised</t>
        </is>
      </c>
      <c r="C644" s="12" t="inlineStr">
        <is>
          <t>Actual</t>
        </is>
      </c>
      <c r="D644" s="12" t="inlineStr">
        <is>
          <t>Core</t>
        </is>
      </c>
      <c r="E644" s="27" t="n">
        <v>3320</v>
      </c>
      <c r="F644" s="28" t="inlineStr">
        <is>
          <t>Historical monthly total (pre per-category / per-tier tracking)</t>
        </is>
      </c>
      <c r="G644" s="28">
        <f>IF(IFERROR(INDEX(Categories!$C$2:$C$200,MATCH(B644,Categories!$A$2:$A$200,0)),"N")="Y",E644,0)</f>
        <v/>
      </c>
    </row>
    <row r="645">
      <c r="A645" s="26" t="n">
        <v>45139</v>
      </c>
      <c r="B645" s="12" t="inlineStr">
        <is>
          <t>Interest</t>
        </is>
      </c>
      <c r="C645" s="12" t="inlineStr">
        <is>
          <t>Income</t>
        </is>
      </c>
      <c r="D645" s="12" t="inlineStr">
        <is>
          <t>—</t>
        </is>
      </c>
      <c r="E645" s="27" t="n">
        <v>20</v>
      </c>
      <c r="G645" s="28">
        <f>IF(IFERROR(INDEX(Categories!$C$2:$C$200,MATCH(B645,Categories!$A$2:$A$200,0)),"N")="Y",E645,0)</f>
        <v/>
      </c>
    </row>
    <row r="646">
      <c r="A646" s="26" t="n">
        <v>45139</v>
      </c>
      <c r="B646" s="12" t="inlineStr">
        <is>
          <t>Salary</t>
        </is>
      </c>
      <c r="C646" s="12" t="inlineStr">
        <is>
          <t>Income</t>
        </is>
      </c>
      <c r="D646" s="12" t="inlineStr">
        <is>
          <t>—</t>
        </is>
      </c>
      <c r="E646" s="27" t="n">
        <v>5750</v>
      </c>
      <c r="G646" s="28">
        <f>IF(IFERROR(INDEX(Categories!$C$2:$C$200,MATCH(B646,Categories!$A$2:$A$200,0)),"N")="Y",E646,0)</f>
        <v/>
      </c>
    </row>
    <row r="647">
      <c r="A647" s="26" t="n">
        <v>45139</v>
      </c>
      <c r="B647" s="12" t="inlineStr">
        <is>
          <t>Uncategorised</t>
        </is>
      </c>
      <c r="C647" s="12" t="inlineStr">
        <is>
          <t>Actual</t>
        </is>
      </c>
      <c r="D647" s="12" t="inlineStr">
        <is>
          <t>Core</t>
        </is>
      </c>
      <c r="E647" s="27" t="n">
        <v>3440</v>
      </c>
      <c r="F647" s="28" t="inlineStr">
        <is>
          <t>Historical monthly total (pre per-category / per-tier tracking)</t>
        </is>
      </c>
      <c r="G647" s="28">
        <f>IF(IFERROR(INDEX(Categories!$C$2:$C$200,MATCH(B647,Categories!$A$2:$A$200,0)),"N")="Y",E647,0)</f>
        <v/>
      </c>
    </row>
    <row r="648">
      <c r="A648" s="26" t="n">
        <v>45170</v>
      </c>
      <c r="B648" s="12" t="inlineStr">
        <is>
          <t>Dividends</t>
        </is>
      </c>
      <c r="C648" s="12" t="inlineStr">
        <is>
          <t>Income</t>
        </is>
      </c>
      <c r="D648" s="12" t="inlineStr">
        <is>
          <t>—</t>
        </is>
      </c>
      <c r="E648" s="27" t="n">
        <v>150</v>
      </c>
      <c r="G648" s="28">
        <f>IF(IFERROR(INDEX(Categories!$C$2:$C$200,MATCH(B648,Categories!$A$2:$A$200,0)),"N")="Y",E648,0)</f>
        <v/>
      </c>
    </row>
    <row r="649">
      <c r="A649" s="26" t="n">
        <v>45170</v>
      </c>
      <c r="B649" s="12" t="inlineStr">
        <is>
          <t>Interest</t>
        </is>
      </c>
      <c r="C649" s="12" t="inlineStr">
        <is>
          <t>Income</t>
        </is>
      </c>
      <c r="D649" s="12" t="inlineStr">
        <is>
          <t>—</t>
        </is>
      </c>
      <c r="E649" s="27" t="n">
        <v>20</v>
      </c>
      <c r="G649" s="28">
        <f>IF(IFERROR(INDEX(Categories!$C$2:$C$200,MATCH(B649,Categories!$A$2:$A$200,0)),"N")="Y",E649,0)</f>
        <v/>
      </c>
    </row>
    <row r="650">
      <c r="A650" s="26" t="n">
        <v>45170</v>
      </c>
      <c r="B650" s="12" t="inlineStr">
        <is>
          <t>Salary</t>
        </is>
      </c>
      <c r="C650" s="12" t="inlineStr">
        <is>
          <t>Income</t>
        </is>
      </c>
      <c r="D650" s="12" t="inlineStr">
        <is>
          <t>—</t>
        </is>
      </c>
      <c r="E650" s="27" t="n">
        <v>5800</v>
      </c>
      <c r="G650" s="28">
        <f>IF(IFERROR(INDEX(Categories!$C$2:$C$200,MATCH(B650,Categories!$A$2:$A$200,0)),"N")="Y",E650,0)</f>
        <v/>
      </c>
    </row>
    <row r="651">
      <c r="A651" s="26" t="n">
        <v>45170</v>
      </c>
      <c r="B651" s="12" t="inlineStr">
        <is>
          <t>Uncategorised</t>
        </is>
      </c>
      <c r="C651" s="12" t="inlineStr">
        <is>
          <t>Actual</t>
        </is>
      </c>
      <c r="D651" s="12" t="inlineStr">
        <is>
          <t>Core</t>
        </is>
      </c>
      <c r="E651" s="27" t="n">
        <v>3560</v>
      </c>
      <c r="F651" s="28" t="inlineStr">
        <is>
          <t>Historical monthly total (pre per-category / per-tier tracking)</t>
        </is>
      </c>
      <c r="G651" s="28">
        <f>IF(IFERROR(INDEX(Categories!$C$2:$C$200,MATCH(B651,Categories!$A$2:$A$200,0)),"N")="Y",E651,0)</f>
        <v/>
      </c>
    </row>
    <row r="652">
      <c r="A652" s="26" t="n">
        <v>45200</v>
      </c>
      <c r="B652" s="12" t="inlineStr">
        <is>
          <t>Interest</t>
        </is>
      </c>
      <c r="C652" s="12" t="inlineStr">
        <is>
          <t>Income</t>
        </is>
      </c>
      <c r="D652" s="12" t="inlineStr">
        <is>
          <t>—</t>
        </is>
      </c>
      <c r="E652" s="27" t="n">
        <v>20</v>
      </c>
      <c r="G652" s="28">
        <f>IF(IFERROR(INDEX(Categories!$C$2:$C$200,MATCH(B652,Categories!$A$2:$A$200,0)),"N")="Y",E652,0)</f>
        <v/>
      </c>
    </row>
    <row r="653">
      <c r="A653" s="26" t="n">
        <v>45200</v>
      </c>
      <c r="B653" s="12" t="inlineStr">
        <is>
          <t>Salary</t>
        </is>
      </c>
      <c r="C653" s="12" t="inlineStr">
        <is>
          <t>Income</t>
        </is>
      </c>
      <c r="D653" s="12" t="inlineStr">
        <is>
          <t>—</t>
        </is>
      </c>
      <c r="E653" s="27" t="n">
        <v>5850</v>
      </c>
      <c r="G653" s="28">
        <f>IF(IFERROR(INDEX(Categories!$C$2:$C$200,MATCH(B653,Categories!$A$2:$A$200,0)),"N")="Y",E653,0)</f>
        <v/>
      </c>
    </row>
    <row r="654">
      <c r="A654" s="26" t="n">
        <v>45200</v>
      </c>
      <c r="B654" s="12" t="inlineStr">
        <is>
          <t>Uncategorised</t>
        </is>
      </c>
      <c r="C654" s="12" t="inlineStr">
        <is>
          <t>Actual</t>
        </is>
      </c>
      <c r="D654" s="12" t="inlineStr">
        <is>
          <t>Core</t>
        </is>
      </c>
      <c r="E654" s="27" t="n">
        <v>3680</v>
      </c>
      <c r="F654" s="28" t="inlineStr">
        <is>
          <t>Historical monthly total (pre per-category / per-tier tracking)</t>
        </is>
      </c>
      <c r="G654" s="28">
        <f>IF(IFERROR(INDEX(Categories!$C$2:$C$200,MATCH(B654,Categories!$A$2:$A$200,0)),"N")="Y",E654,0)</f>
        <v/>
      </c>
    </row>
    <row r="655">
      <c r="A655" s="26" t="n">
        <v>45231</v>
      </c>
      <c r="B655" s="12" t="inlineStr">
        <is>
          <t>Interest</t>
        </is>
      </c>
      <c r="C655" s="12" t="inlineStr">
        <is>
          <t>Income</t>
        </is>
      </c>
      <c r="D655" s="12" t="inlineStr">
        <is>
          <t>—</t>
        </is>
      </c>
      <c r="E655" s="27" t="n">
        <v>20</v>
      </c>
      <c r="G655" s="28">
        <f>IF(IFERROR(INDEX(Categories!$C$2:$C$200,MATCH(B655,Categories!$A$2:$A$200,0)),"N")="Y",E655,0)</f>
        <v/>
      </c>
    </row>
    <row r="656">
      <c r="A656" s="26" t="n">
        <v>45231</v>
      </c>
      <c r="B656" s="12" t="inlineStr">
        <is>
          <t>Salary</t>
        </is>
      </c>
      <c r="C656" s="12" t="inlineStr">
        <is>
          <t>Income</t>
        </is>
      </c>
      <c r="D656" s="12" t="inlineStr">
        <is>
          <t>—</t>
        </is>
      </c>
      <c r="E656" s="27" t="n">
        <v>5900</v>
      </c>
      <c r="G656" s="28">
        <f>IF(IFERROR(INDEX(Categories!$C$2:$C$200,MATCH(B656,Categories!$A$2:$A$200,0)),"N")="Y",E656,0)</f>
        <v/>
      </c>
    </row>
    <row r="657">
      <c r="A657" s="26" t="n">
        <v>45231</v>
      </c>
      <c r="B657" s="12" t="inlineStr">
        <is>
          <t>Uncategorised</t>
        </is>
      </c>
      <c r="C657" s="12" t="inlineStr">
        <is>
          <t>Actual</t>
        </is>
      </c>
      <c r="D657" s="12" t="inlineStr">
        <is>
          <t>Core</t>
        </is>
      </c>
      <c r="E657" s="27" t="n">
        <v>3200</v>
      </c>
      <c r="F657" s="28" t="inlineStr">
        <is>
          <t>Historical monthly total (pre per-category / per-tier tracking)</t>
        </is>
      </c>
      <c r="G657" s="28">
        <f>IF(IFERROR(INDEX(Categories!$C$2:$C$200,MATCH(B657,Categories!$A$2:$A$200,0)),"N")="Y",E657,0)</f>
        <v/>
      </c>
    </row>
    <row r="658">
      <c r="A658" s="26" t="n">
        <v>45261</v>
      </c>
      <c r="B658" s="12" t="inlineStr">
        <is>
          <t>Bonus/Claims</t>
        </is>
      </c>
      <c r="C658" s="12" t="inlineStr">
        <is>
          <t>Income</t>
        </is>
      </c>
      <c r="D658" s="12" t="inlineStr">
        <is>
          <t>—</t>
        </is>
      </c>
      <c r="E658" s="27" t="n">
        <v>5950</v>
      </c>
      <c r="G658" s="28">
        <f>IF(IFERROR(INDEX(Categories!$C$2:$C$200,MATCH(B658,Categories!$A$2:$A$200,0)),"N")="Y",E658,0)</f>
        <v/>
      </c>
    </row>
    <row r="659">
      <c r="A659" s="26" t="n">
        <v>45261</v>
      </c>
      <c r="B659" s="12" t="inlineStr">
        <is>
          <t>Dividends</t>
        </is>
      </c>
      <c r="C659" s="12" t="inlineStr">
        <is>
          <t>Income</t>
        </is>
      </c>
      <c r="D659" s="12" t="inlineStr">
        <is>
          <t>—</t>
        </is>
      </c>
      <c r="E659" s="27" t="n">
        <v>150</v>
      </c>
      <c r="G659" s="28">
        <f>IF(IFERROR(INDEX(Categories!$C$2:$C$200,MATCH(B659,Categories!$A$2:$A$200,0)),"N")="Y",E659,0)</f>
        <v/>
      </c>
    </row>
    <row r="660">
      <c r="A660" s="26" t="n">
        <v>45261</v>
      </c>
      <c r="B660" s="12" t="inlineStr">
        <is>
          <t>Interest</t>
        </is>
      </c>
      <c r="C660" s="12" t="inlineStr">
        <is>
          <t>Income</t>
        </is>
      </c>
      <c r="D660" s="12" t="inlineStr">
        <is>
          <t>—</t>
        </is>
      </c>
      <c r="E660" s="27" t="n">
        <v>20</v>
      </c>
      <c r="G660" s="28">
        <f>IF(IFERROR(INDEX(Categories!$C$2:$C$200,MATCH(B660,Categories!$A$2:$A$200,0)),"N")="Y",E660,0)</f>
        <v/>
      </c>
    </row>
    <row r="661">
      <c r="A661" s="26" t="n">
        <v>45261</v>
      </c>
      <c r="B661" s="12" t="inlineStr">
        <is>
          <t>Salary</t>
        </is>
      </c>
      <c r="C661" s="12" t="inlineStr">
        <is>
          <t>Income</t>
        </is>
      </c>
      <c r="D661" s="12" t="inlineStr">
        <is>
          <t>—</t>
        </is>
      </c>
      <c r="E661" s="27" t="n">
        <v>5950</v>
      </c>
      <c r="G661" s="28">
        <f>IF(IFERROR(INDEX(Categories!$C$2:$C$200,MATCH(B661,Categories!$A$2:$A$200,0)),"N")="Y",E661,0)</f>
        <v/>
      </c>
    </row>
    <row r="662">
      <c r="A662" s="26" t="n">
        <v>45261</v>
      </c>
      <c r="B662" s="12" t="inlineStr">
        <is>
          <t>Uncategorised</t>
        </is>
      </c>
      <c r="C662" s="12" t="inlineStr">
        <is>
          <t>Actual</t>
        </is>
      </c>
      <c r="D662" s="12" t="inlineStr">
        <is>
          <t>Core</t>
        </is>
      </c>
      <c r="E662" s="27" t="n">
        <v>3320</v>
      </c>
      <c r="F662" s="28" t="inlineStr">
        <is>
          <t>Historical monthly total (pre per-category / per-tier tracking)</t>
        </is>
      </c>
      <c r="G662" s="28">
        <f>IF(IFERROR(INDEX(Categories!$C$2:$C$200,MATCH(B662,Categories!$A$2:$A$200,0)),"N")="Y",E662,0)</f>
        <v/>
      </c>
    </row>
    <row r="663">
      <c r="A663" s="26" t="n">
        <v>45292</v>
      </c>
      <c r="B663" s="12" t="inlineStr">
        <is>
          <t>Interest</t>
        </is>
      </c>
      <c r="C663" s="12" t="inlineStr">
        <is>
          <t>Income</t>
        </is>
      </c>
      <c r="D663" s="12" t="inlineStr">
        <is>
          <t>—</t>
        </is>
      </c>
      <c r="E663" s="27" t="n">
        <v>20</v>
      </c>
      <c r="G663" s="28">
        <f>IF(IFERROR(INDEX(Categories!$C$2:$C$200,MATCH(B663,Categories!$A$2:$A$200,0)),"N")="Y",E663,0)</f>
        <v/>
      </c>
    </row>
    <row r="664">
      <c r="A664" s="26" t="n">
        <v>45292</v>
      </c>
      <c r="B664" s="12" t="inlineStr">
        <is>
          <t>Salary</t>
        </is>
      </c>
      <c r="C664" s="12" t="inlineStr">
        <is>
          <t>Income</t>
        </is>
      </c>
      <c r="D664" s="12" t="inlineStr">
        <is>
          <t>—</t>
        </is>
      </c>
      <c r="E664" s="27" t="n">
        <v>5880</v>
      </c>
      <c r="G664" s="28">
        <f>IF(IFERROR(INDEX(Categories!$C$2:$C$200,MATCH(B664,Categories!$A$2:$A$200,0)),"N")="Y",E664,0)</f>
        <v/>
      </c>
    </row>
    <row r="665">
      <c r="A665" s="26" t="n">
        <v>45292</v>
      </c>
      <c r="B665" s="12" t="inlineStr">
        <is>
          <t>Uncategorised</t>
        </is>
      </c>
      <c r="C665" s="12" t="inlineStr">
        <is>
          <t>Actual</t>
        </is>
      </c>
      <c r="D665" s="12" t="inlineStr">
        <is>
          <t>Core</t>
        </is>
      </c>
      <c r="E665" s="27" t="n">
        <v>3520</v>
      </c>
      <c r="F665" s="28" t="inlineStr">
        <is>
          <t>Historical monthly total (pre per-category / per-tier tracking)</t>
        </is>
      </c>
      <c r="G665" s="28">
        <f>IF(IFERROR(INDEX(Categories!$C$2:$C$200,MATCH(B665,Categories!$A$2:$A$200,0)),"N")="Y",E665,0)</f>
        <v/>
      </c>
    </row>
    <row r="666">
      <c r="A666" s="26" t="n">
        <v>45323</v>
      </c>
      <c r="B666" s="12" t="inlineStr">
        <is>
          <t>Interest</t>
        </is>
      </c>
      <c r="C666" s="12" t="inlineStr">
        <is>
          <t>Income</t>
        </is>
      </c>
      <c r="D666" s="12" t="inlineStr">
        <is>
          <t>—</t>
        </is>
      </c>
      <c r="E666" s="27" t="n">
        <v>20</v>
      </c>
      <c r="G666" s="28">
        <f>IF(IFERROR(INDEX(Categories!$C$2:$C$200,MATCH(B666,Categories!$A$2:$A$200,0)),"N")="Y",E666,0)</f>
        <v/>
      </c>
    </row>
    <row r="667">
      <c r="A667" s="26" t="n">
        <v>45323</v>
      </c>
      <c r="B667" s="12" t="inlineStr">
        <is>
          <t>Salary</t>
        </is>
      </c>
      <c r="C667" s="12" t="inlineStr">
        <is>
          <t>Income</t>
        </is>
      </c>
      <c r="D667" s="12" t="inlineStr">
        <is>
          <t>—</t>
        </is>
      </c>
      <c r="E667" s="27" t="n">
        <v>5930</v>
      </c>
      <c r="G667" s="28">
        <f>IF(IFERROR(INDEX(Categories!$C$2:$C$200,MATCH(B667,Categories!$A$2:$A$200,0)),"N")="Y",E667,0)</f>
        <v/>
      </c>
    </row>
    <row r="668">
      <c r="A668" s="26" t="n">
        <v>45323</v>
      </c>
      <c r="B668" s="12" t="inlineStr">
        <is>
          <t>Uncategorised</t>
        </is>
      </c>
      <c r="C668" s="12" t="inlineStr">
        <is>
          <t>Actual</t>
        </is>
      </c>
      <c r="D668" s="12" t="inlineStr">
        <is>
          <t>Core</t>
        </is>
      </c>
      <c r="E668" s="27" t="n">
        <v>3640</v>
      </c>
      <c r="F668" s="28" t="inlineStr">
        <is>
          <t>Historical monthly total (pre per-category / per-tier tracking)</t>
        </is>
      </c>
      <c r="G668" s="28">
        <f>IF(IFERROR(INDEX(Categories!$C$2:$C$200,MATCH(B668,Categories!$A$2:$A$200,0)),"N")="Y",E668,0)</f>
        <v/>
      </c>
    </row>
    <row r="669">
      <c r="A669" s="26" t="n">
        <v>45352</v>
      </c>
      <c r="B669" s="12" t="inlineStr">
        <is>
          <t>Dividends</t>
        </is>
      </c>
      <c r="C669" s="12" t="inlineStr">
        <is>
          <t>Income</t>
        </is>
      </c>
      <c r="D669" s="12" t="inlineStr">
        <is>
          <t>—</t>
        </is>
      </c>
      <c r="E669" s="27" t="n">
        <v>150</v>
      </c>
      <c r="G669" s="28">
        <f>IF(IFERROR(INDEX(Categories!$C$2:$C$200,MATCH(B669,Categories!$A$2:$A$200,0)),"N")="Y",E669,0)</f>
        <v/>
      </c>
    </row>
    <row r="670">
      <c r="A670" s="26" t="n">
        <v>45352</v>
      </c>
      <c r="B670" s="12" t="inlineStr">
        <is>
          <t>Interest</t>
        </is>
      </c>
      <c r="C670" s="12" t="inlineStr">
        <is>
          <t>Income</t>
        </is>
      </c>
      <c r="D670" s="12" t="inlineStr">
        <is>
          <t>—</t>
        </is>
      </c>
      <c r="E670" s="27" t="n">
        <v>20</v>
      </c>
      <c r="G670" s="28">
        <f>IF(IFERROR(INDEX(Categories!$C$2:$C$200,MATCH(B670,Categories!$A$2:$A$200,0)),"N")="Y",E670,0)</f>
        <v/>
      </c>
    </row>
    <row r="671">
      <c r="A671" s="26" t="n">
        <v>45352</v>
      </c>
      <c r="B671" s="12" t="inlineStr">
        <is>
          <t>Salary</t>
        </is>
      </c>
      <c r="C671" s="12" t="inlineStr">
        <is>
          <t>Income</t>
        </is>
      </c>
      <c r="D671" s="12" t="inlineStr">
        <is>
          <t>—</t>
        </is>
      </c>
      <c r="E671" s="27" t="n">
        <v>5980</v>
      </c>
      <c r="G671" s="28">
        <f>IF(IFERROR(INDEX(Categories!$C$2:$C$200,MATCH(B671,Categories!$A$2:$A$200,0)),"N")="Y",E671,0)</f>
        <v/>
      </c>
    </row>
    <row r="672">
      <c r="A672" s="26" t="n">
        <v>45352</v>
      </c>
      <c r="B672" s="12" t="inlineStr">
        <is>
          <t>Uncategorised</t>
        </is>
      </c>
      <c r="C672" s="12" t="inlineStr">
        <is>
          <t>Actual</t>
        </is>
      </c>
      <c r="D672" s="12" t="inlineStr">
        <is>
          <t>Core</t>
        </is>
      </c>
      <c r="E672" s="27" t="n">
        <v>3760</v>
      </c>
      <c r="F672" s="28" t="inlineStr">
        <is>
          <t>Historical monthly total (pre per-category / per-tier tracking)</t>
        </is>
      </c>
      <c r="G672" s="28">
        <f>IF(IFERROR(INDEX(Categories!$C$2:$C$200,MATCH(B672,Categories!$A$2:$A$200,0)),"N")="Y",E672,0)</f>
        <v/>
      </c>
    </row>
    <row r="673">
      <c r="A673" s="26" t="n">
        <v>45352</v>
      </c>
      <c r="B673" s="12" t="inlineStr">
        <is>
          <t>Investment</t>
        </is>
      </c>
      <c r="C673" s="12" t="inlineStr">
        <is>
          <t>One-off</t>
        </is>
      </c>
      <c r="D673" s="12" t="inlineStr">
        <is>
          <t>Investment</t>
        </is>
      </c>
      <c r="E673" s="27" t="n">
        <v>5000</v>
      </c>
      <c r="F673" s="28" t="inlineStr">
        <is>
          <t>Sample: index-fund top-up</t>
        </is>
      </c>
      <c r="G673" s="28">
        <f>IF(IFERROR(INDEX(Categories!$C$2:$C$200,MATCH(B673,Categories!$A$2:$A$200,0)),"N")="Y",E673,0)</f>
        <v/>
      </c>
    </row>
    <row r="674">
      <c r="A674" s="26" t="n">
        <v>45383</v>
      </c>
      <c r="B674" s="12" t="inlineStr">
        <is>
          <t>Interest</t>
        </is>
      </c>
      <c r="C674" s="12" t="inlineStr">
        <is>
          <t>Income</t>
        </is>
      </c>
      <c r="D674" s="12" t="inlineStr">
        <is>
          <t>—</t>
        </is>
      </c>
      <c r="E674" s="27" t="n">
        <v>20</v>
      </c>
      <c r="G674" s="28">
        <f>IF(IFERROR(INDEX(Categories!$C$2:$C$200,MATCH(B674,Categories!$A$2:$A$200,0)),"N")="Y",E674,0)</f>
        <v/>
      </c>
    </row>
    <row r="675">
      <c r="A675" s="26" t="n">
        <v>45383</v>
      </c>
      <c r="B675" s="12" t="inlineStr">
        <is>
          <t>Salary</t>
        </is>
      </c>
      <c r="C675" s="12" t="inlineStr">
        <is>
          <t>Income</t>
        </is>
      </c>
      <c r="D675" s="12" t="inlineStr">
        <is>
          <t>—</t>
        </is>
      </c>
      <c r="E675" s="27" t="n">
        <v>6030</v>
      </c>
      <c r="G675" s="28">
        <f>IF(IFERROR(INDEX(Categories!$C$2:$C$200,MATCH(B675,Categories!$A$2:$A$200,0)),"N")="Y",E675,0)</f>
        <v/>
      </c>
    </row>
    <row r="676">
      <c r="A676" s="26" t="n">
        <v>45383</v>
      </c>
      <c r="B676" s="12" t="inlineStr">
        <is>
          <t>Uncategorised</t>
        </is>
      </c>
      <c r="C676" s="12" t="inlineStr">
        <is>
          <t>Actual</t>
        </is>
      </c>
      <c r="D676" s="12" t="inlineStr">
        <is>
          <t>Core</t>
        </is>
      </c>
      <c r="E676" s="27" t="n">
        <v>3280</v>
      </c>
      <c r="F676" s="28" t="inlineStr">
        <is>
          <t>Historical monthly total (pre per-category / per-tier tracking)</t>
        </is>
      </c>
      <c r="G676" s="28">
        <f>IF(IFERROR(INDEX(Categories!$C$2:$C$200,MATCH(B676,Categories!$A$2:$A$200,0)),"N")="Y",E676,0)</f>
        <v/>
      </c>
    </row>
    <row r="677">
      <c r="A677" s="26" t="n">
        <v>45413</v>
      </c>
      <c r="B677" s="12" t="inlineStr">
        <is>
          <t>Interest</t>
        </is>
      </c>
      <c r="C677" s="12" t="inlineStr">
        <is>
          <t>Income</t>
        </is>
      </c>
      <c r="D677" s="12" t="inlineStr">
        <is>
          <t>—</t>
        </is>
      </c>
      <c r="E677" s="27" t="n">
        <v>20</v>
      </c>
      <c r="G677" s="28">
        <f>IF(IFERROR(INDEX(Categories!$C$2:$C$200,MATCH(B677,Categories!$A$2:$A$200,0)),"N")="Y",E677,0)</f>
        <v/>
      </c>
    </row>
    <row r="678">
      <c r="A678" s="26" t="n">
        <v>45413</v>
      </c>
      <c r="B678" s="12" t="inlineStr">
        <is>
          <t>Salary</t>
        </is>
      </c>
      <c r="C678" s="12" t="inlineStr">
        <is>
          <t>Income</t>
        </is>
      </c>
      <c r="D678" s="12" t="inlineStr">
        <is>
          <t>—</t>
        </is>
      </c>
      <c r="E678" s="27" t="n">
        <v>6080</v>
      </c>
      <c r="G678" s="28">
        <f>IF(IFERROR(INDEX(Categories!$C$2:$C$200,MATCH(B678,Categories!$A$2:$A$200,0)),"N")="Y",E678,0)</f>
        <v/>
      </c>
    </row>
    <row r="679">
      <c r="A679" s="26" t="n">
        <v>45413</v>
      </c>
      <c r="B679" s="12" t="inlineStr">
        <is>
          <t>Uncategorised</t>
        </is>
      </c>
      <c r="C679" s="12" t="inlineStr">
        <is>
          <t>Actual</t>
        </is>
      </c>
      <c r="D679" s="12" t="inlineStr">
        <is>
          <t>Core</t>
        </is>
      </c>
      <c r="E679" s="27" t="n">
        <v>3400</v>
      </c>
      <c r="F679" s="28" t="inlineStr">
        <is>
          <t>Historical monthly total (pre per-category / per-tier tracking)</t>
        </is>
      </c>
      <c r="G679" s="28">
        <f>IF(IFERROR(INDEX(Categories!$C$2:$C$200,MATCH(B679,Categories!$A$2:$A$200,0)),"N")="Y",E679,0)</f>
        <v/>
      </c>
    </row>
    <row r="680">
      <c r="A680" s="26" t="n">
        <v>45444</v>
      </c>
      <c r="B680" s="12" t="inlineStr">
        <is>
          <t>Dividends</t>
        </is>
      </c>
      <c r="C680" s="12" t="inlineStr">
        <is>
          <t>Income</t>
        </is>
      </c>
      <c r="D680" s="12" t="inlineStr">
        <is>
          <t>—</t>
        </is>
      </c>
      <c r="E680" s="27" t="n">
        <v>150</v>
      </c>
      <c r="G680" s="28">
        <f>IF(IFERROR(INDEX(Categories!$C$2:$C$200,MATCH(B680,Categories!$A$2:$A$200,0)),"N")="Y",E680,0)</f>
        <v/>
      </c>
    </row>
    <row r="681">
      <c r="A681" s="26" t="n">
        <v>45444</v>
      </c>
      <c r="B681" s="12" t="inlineStr">
        <is>
          <t>Interest</t>
        </is>
      </c>
      <c r="C681" s="12" t="inlineStr">
        <is>
          <t>Income</t>
        </is>
      </c>
      <c r="D681" s="12" t="inlineStr">
        <is>
          <t>—</t>
        </is>
      </c>
      <c r="E681" s="27" t="n">
        <v>20</v>
      </c>
      <c r="G681" s="28">
        <f>IF(IFERROR(INDEX(Categories!$C$2:$C$200,MATCH(B681,Categories!$A$2:$A$200,0)),"N")="Y",E681,0)</f>
        <v/>
      </c>
    </row>
    <row r="682">
      <c r="A682" s="26" t="n">
        <v>45444</v>
      </c>
      <c r="B682" s="12" t="inlineStr">
        <is>
          <t>Salary</t>
        </is>
      </c>
      <c r="C682" s="12" t="inlineStr">
        <is>
          <t>Income</t>
        </is>
      </c>
      <c r="D682" s="12" t="inlineStr">
        <is>
          <t>—</t>
        </is>
      </c>
      <c r="E682" s="27" t="n">
        <v>6130</v>
      </c>
      <c r="G682" s="28">
        <f>IF(IFERROR(INDEX(Categories!$C$2:$C$200,MATCH(B682,Categories!$A$2:$A$200,0)),"N")="Y",E682,0)</f>
        <v/>
      </c>
    </row>
    <row r="683">
      <c r="A683" s="26" t="n">
        <v>45444</v>
      </c>
      <c r="B683" s="12" t="inlineStr">
        <is>
          <t>Uncategorised</t>
        </is>
      </c>
      <c r="C683" s="12" t="inlineStr">
        <is>
          <t>Actual</t>
        </is>
      </c>
      <c r="D683" s="12" t="inlineStr">
        <is>
          <t>Core</t>
        </is>
      </c>
      <c r="E683" s="27" t="n">
        <v>3520</v>
      </c>
      <c r="F683" s="28" t="inlineStr">
        <is>
          <t>Historical monthly total (pre per-category / per-tier tracking)</t>
        </is>
      </c>
      <c r="G683" s="28">
        <f>IF(IFERROR(INDEX(Categories!$C$2:$C$200,MATCH(B683,Categories!$A$2:$A$200,0)),"N")="Y",E683,0)</f>
        <v/>
      </c>
    </row>
    <row r="684">
      <c r="A684" s="26" t="n">
        <v>45474</v>
      </c>
      <c r="B684" s="12" t="inlineStr">
        <is>
          <t>Interest</t>
        </is>
      </c>
      <c r="C684" s="12" t="inlineStr">
        <is>
          <t>Income</t>
        </is>
      </c>
      <c r="D684" s="12" t="inlineStr">
        <is>
          <t>—</t>
        </is>
      </c>
      <c r="E684" s="27" t="n">
        <v>20</v>
      </c>
      <c r="G684" s="28">
        <f>IF(IFERROR(INDEX(Categories!$C$2:$C$200,MATCH(B684,Categories!$A$2:$A$200,0)),"N")="Y",E684,0)</f>
        <v/>
      </c>
    </row>
    <row r="685">
      <c r="A685" s="26" t="n">
        <v>45474</v>
      </c>
      <c r="B685" s="12" t="inlineStr">
        <is>
          <t>Salary</t>
        </is>
      </c>
      <c r="C685" s="12" t="inlineStr">
        <is>
          <t>Income</t>
        </is>
      </c>
      <c r="D685" s="12" t="inlineStr">
        <is>
          <t>—</t>
        </is>
      </c>
      <c r="E685" s="27" t="n">
        <v>5880</v>
      </c>
      <c r="G685" s="28">
        <f>IF(IFERROR(INDEX(Categories!$C$2:$C$200,MATCH(B685,Categories!$A$2:$A$200,0)),"N")="Y",E685,0)</f>
        <v/>
      </c>
    </row>
    <row r="686">
      <c r="A686" s="26" t="n">
        <v>45474</v>
      </c>
      <c r="B686" s="12" t="inlineStr">
        <is>
          <t>Uncategorised</t>
        </is>
      </c>
      <c r="C686" s="12" t="inlineStr">
        <is>
          <t>Actual</t>
        </is>
      </c>
      <c r="D686" s="12" t="inlineStr">
        <is>
          <t>Core</t>
        </is>
      </c>
      <c r="E686" s="27" t="n">
        <v>3640</v>
      </c>
      <c r="F686" s="28" t="inlineStr">
        <is>
          <t>Historical monthly total (pre per-category / per-tier tracking)</t>
        </is>
      </c>
      <c r="G686" s="28">
        <f>IF(IFERROR(INDEX(Categories!$C$2:$C$200,MATCH(B686,Categories!$A$2:$A$200,0)),"N")="Y",E686,0)</f>
        <v/>
      </c>
    </row>
    <row r="687">
      <c r="A687" s="26" t="n">
        <v>45505</v>
      </c>
      <c r="B687" s="12" t="inlineStr">
        <is>
          <t>Interest</t>
        </is>
      </c>
      <c r="C687" s="12" t="inlineStr">
        <is>
          <t>Income</t>
        </is>
      </c>
      <c r="D687" s="12" t="inlineStr">
        <is>
          <t>—</t>
        </is>
      </c>
      <c r="E687" s="27" t="n">
        <v>20</v>
      </c>
      <c r="G687" s="28">
        <f>IF(IFERROR(INDEX(Categories!$C$2:$C$200,MATCH(B687,Categories!$A$2:$A$200,0)),"N")="Y",E687,0)</f>
        <v/>
      </c>
    </row>
    <row r="688">
      <c r="A688" s="26" t="n">
        <v>45505</v>
      </c>
      <c r="B688" s="12" t="inlineStr">
        <is>
          <t>Salary</t>
        </is>
      </c>
      <c r="C688" s="12" t="inlineStr">
        <is>
          <t>Income</t>
        </is>
      </c>
      <c r="D688" s="12" t="inlineStr">
        <is>
          <t>—</t>
        </is>
      </c>
      <c r="E688" s="27" t="n">
        <v>5930</v>
      </c>
      <c r="G688" s="28">
        <f>IF(IFERROR(INDEX(Categories!$C$2:$C$200,MATCH(B688,Categories!$A$2:$A$200,0)),"N")="Y",E688,0)</f>
        <v/>
      </c>
    </row>
    <row r="689">
      <c r="A689" s="26" t="n">
        <v>45505</v>
      </c>
      <c r="B689" s="12" t="inlineStr">
        <is>
          <t>Uncategorised</t>
        </is>
      </c>
      <c r="C689" s="12" t="inlineStr">
        <is>
          <t>Actual</t>
        </is>
      </c>
      <c r="D689" s="12" t="inlineStr">
        <is>
          <t>Core</t>
        </is>
      </c>
      <c r="E689" s="27" t="n">
        <v>3760</v>
      </c>
      <c r="F689" s="28" t="inlineStr">
        <is>
          <t>Historical monthly total (pre per-category / per-tier tracking)</t>
        </is>
      </c>
      <c r="G689" s="28">
        <f>IF(IFERROR(INDEX(Categories!$C$2:$C$200,MATCH(B689,Categories!$A$2:$A$200,0)),"N")="Y",E689,0)</f>
        <v/>
      </c>
    </row>
    <row r="690">
      <c r="A690" s="26" t="n">
        <v>45536</v>
      </c>
      <c r="B690" s="12" t="inlineStr">
        <is>
          <t>Dividends</t>
        </is>
      </c>
      <c r="C690" s="12" t="inlineStr">
        <is>
          <t>Income</t>
        </is>
      </c>
      <c r="D690" s="12" t="inlineStr">
        <is>
          <t>—</t>
        </is>
      </c>
      <c r="E690" s="27" t="n">
        <v>150</v>
      </c>
      <c r="G690" s="28">
        <f>IF(IFERROR(INDEX(Categories!$C$2:$C$200,MATCH(B690,Categories!$A$2:$A$200,0)),"N")="Y",E690,0)</f>
        <v/>
      </c>
    </row>
    <row r="691">
      <c r="A691" s="26" t="n">
        <v>45536</v>
      </c>
      <c r="B691" s="12" t="inlineStr">
        <is>
          <t>Interest</t>
        </is>
      </c>
      <c r="C691" s="12" t="inlineStr">
        <is>
          <t>Income</t>
        </is>
      </c>
      <c r="D691" s="12" t="inlineStr">
        <is>
          <t>—</t>
        </is>
      </c>
      <c r="E691" s="27" t="n">
        <v>20</v>
      </c>
      <c r="G691" s="28">
        <f>IF(IFERROR(INDEX(Categories!$C$2:$C$200,MATCH(B691,Categories!$A$2:$A$200,0)),"N")="Y",E691,0)</f>
        <v/>
      </c>
    </row>
    <row r="692">
      <c r="A692" s="26" t="n">
        <v>45536</v>
      </c>
      <c r="B692" s="12" t="inlineStr">
        <is>
          <t>Salary</t>
        </is>
      </c>
      <c r="C692" s="12" t="inlineStr">
        <is>
          <t>Income</t>
        </is>
      </c>
      <c r="D692" s="12" t="inlineStr">
        <is>
          <t>—</t>
        </is>
      </c>
      <c r="E692" s="27" t="n">
        <v>5980</v>
      </c>
      <c r="G692" s="28">
        <f>IF(IFERROR(INDEX(Categories!$C$2:$C$200,MATCH(B692,Categories!$A$2:$A$200,0)),"N")="Y",E692,0)</f>
        <v/>
      </c>
    </row>
    <row r="693">
      <c r="A693" s="26" t="n">
        <v>45536</v>
      </c>
      <c r="B693" s="12" t="inlineStr">
        <is>
          <t>Uncategorised</t>
        </is>
      </c>
      <c r="C693" s="12" t="inlineStr">
        <is>
          <t>Actual</t>
        </is>
      </c>
      <c r="D693" s="12" t="inlineStr">
        <is>
          <t>Core</t>
        </is>
      </c>
      <c r="E693" s="27" t="n">
        <v>3280</v>
      </c>
      <c r="F693" s="28" t="inlineStr">
        <is>
          <t>Historical monthly total (pre per-category / per-tier tracking)</t>
        </is>
      </c>
      <c r="G693" s="28">
        <f>IF(IFERROR(INDEX(Categories!$C$2:$C$200,MATCH(B693,Categories!$A$2:$A$200,0)),"N")="Y",E693,0)</f>
        <v/>
      </c>
    </row>
    <row r="694">
      <c r="A694" s="26" t="n">
        <v>45566</v>
      </c>
      <c r="B694" s="12" t="inlineStr">
        <is>
          <t>Interest</t>
        </is>
      </c>
      <c r="C694" s="12" t="inlineStr">
        <is>
          <t>Income</t>
        </is>
      </c>
      <c r="D694" s="12" t="inlineStr">
        <is>
          <t>—</t>
        </is>
      </c>
      <c r="E694" s="27" t="n">
        <v>20</v>
      </c>
      <c r="G694" s="28">
        <f>IF(IFERROR(INDEX(Categories!$C$2:$C$200,MATCH(B694,Categories!$A$2:$A$200,0)),"N")="Y",E694,0)</f>
        <v/>
      </c>
    </row>
    <row r="695">
      <c r="A695" s="26" t="n">
        <v>45566</v>
      </c>
      <c r="B695" s="12" t="inlineStr">
        <is>
          <t>Salary</t>
        </is>
      </c>
      <c r="C695" s="12" t="inlineStr">
        <is>
          <t>Income</t>
        </is>
      </c>
      <c r="D695" s="12" t="inlineStr">
        <is>
          <t>—</t>
        </is>
      </c>
      <c r="E695" s="27" t="n">
        <v>6030</v>
      </c>
      <c r="G695" s="28">
        <f>IF(IFERROR(INDEX(Categories!$C$2:$C$200,MATCH(B695,Categories!$A$2:$A$200,0)),"N")="Y",E695,0)</f>
        <v/>
      </c>
    </row>
    <row r="696">
      <c r="A696" s="26" t="n">
        <v>45566</v>
      </c>
      <c r="B696" s="12" t="inlineStr">
        <is>
          <t>Uncategorised</t>
        </is>
      </c>
      <c r="C696" s="12" t="inlineStr">
        <is>
          <t>Actual</t>
        </is>
      </c>
      <c r="D696" s="12" t="inlineStr">
        <is>
          <t>Core</t>
        </is>
      </c>
      <c r="E696" s="27" t="n">
        <v>3400</v>
      </c>
      <c r="F696" s="28" t="inlineStr">
        <is>
          <t>Historical monthly total (pre per-category / per-tier tracking)</t>
        </is>
      </c>
      <c r="G696" s="28">
        <f>IF(IFERROR(INDEX(Categories!$C$2:$C$200,MATCH(B696,Categories!$A$2:$A$200,0)),"N")="Y",E696,0)</f>
        <v/>
      </c>
    </row>
    <row r="697">
      <c r="A697" s="26" t="n">
        <v>45597</v>
      </c>
      <c r="B697" s="12" t="inlineStr">
        <is>
          <t>Interest</t>
        </is>
      </c>
      <c r="C697" s="12" t="inlineStr">
        <is>
          <t>Income</t>
        </is>
      </c>
      <c r="D697" s="12" t="inlineStr">
        <is>
          <t>—</t>
        </is>
      </c>
      <c r="E697" s="27" t="n">
        <v>20</v>
      </c>
      <c r="G697" s="28">
        <f>IF(IFERROR(INDEX(Categories!$C$2:$C$200,MATCH(B697,Categories!$A$2:$A$200,0)),"N")="Y",E697,0)</f>
        <v/>
      </c>
    </row>
    <row r="698">
      <c r="A698" s="26" t="n">
        <v>45597</v>
      </c>
      <c r="B698" s="12" t="inlineStr">
        <is>
          <t>Salary</t>
        </is>
      </c>
      <c r="C698" s="12" t="inlineStr">
        <is>
          <t>Income</t>
        </is>
      </c>
      <c r="D698" s="12" t="inlineStr">
        <is>
          <t>—</t>
        </is>
      </c>
      <c r="E698" s="27" t="n">
        <v>6080</v>
      </c>
      <c r="G698" s="28">
        <f>IF(IFERROR(INDEX(Categories!$C$2:$C$200,MATCH(B698,Categories!$A$2:$A$200,0)),"N")="Y",E698,0)</f>
        <v/>
      </c>
    </row>
    <row r="699">
      <c r="A699" s="26" t="n">
        <v>45597</v>
      </c>
      <c r="B699" s="12" t="inlineStr">
        <is>
          <t>Uncategorised</t>
        </is>
      </c>
      <c r="C699" s="12" t="inlineStr">
        <is>
          <t>Actual</t>
        </is>
      </c>
      <c r="D699" s="12" t="inlineStr">
        <is>
          <t>Core</t>
        </is>
      </c>
      <c r="E699" s="27" t="n">
        <v>3520</v>
      </c>
      <c r="F699" s="28" t="inlineStr">
        <is>
          <t>Historical monthly total (pre per-category / per-tier tracking)</t>
        </is>
      </c>
      <c r="G699" s="28">
        <f>IF(IFERROR(INDEX(Categories!$C$2:$C$200,MATCH(B699,Categories!$A$2:$A$200,0)),"N")="Y",E699,0)</f>
        <v/>
      </c>
    </row>
    <row r="700">
      <c r="A700" s="26" t="n">
        <v>45627</v>
      </c>
      <c r="B700" s="12" t="inlineStr">
        <is>
          <t>Bonus/Claims</t>
        </is>
      </c>
      <c r="C700" s="12" t="inlineStr">
        <is>
          <t>Income</t>
        </is>
      </c>
      <c r="D700" s="12" t="inlineStr">
        <is>
          <t>—</t>
        </is>
      </c>
      <c r="E700" s="27" t="n">
        <v>6130</v>
      </c>
      <c r="G700" s="28">
        <f>IF(IFERROR(INDEX(Categories!$C$2:$C$200,MATCH(B700,Categories!$A$2:$A$200,0)),"N")="Y",E700,0)</f>
        <v/>
      </c>
    </row>
    <row r="701">
      <c r="A701" s="26" t="n">
        <v>45627</v>
      </c>
      <c r="B701" s="12" t="inlineStr">
        <is>
          <t>Dividends</t>
        </is>
      </c>
      <c r="C701" s="12" t="inlineStr">
        <is>
          <t>Income</t>
        </is>
      </c>
      <c r="D701" s="12" t="inlineStr">
        <is>
          <t>—</t>
        </is>
      </c>
      <c r="E701" s="27" t="n">
        <v>150</v>
      </c>
      <c r="G701" s="28">
        <f>IF(IFERROR(INDEX(Categories!$C$2:$C$200,MATCH(B701,Categories!$A$2:$A$200,0)),"N")="Y",E701,0)</f>
        <v/>
      </c>
    </row>
    <row r="702">
      <c r="A702" s="26" t="n">
        <v>45627</v>
      </c>
      <c r="B702" s="12" t="inlineStr">
        <is>
          <t>Interest</t>
        </is>
      </c>
      <c r="C702" s="12" t="inlineStr">
        <is>
          <t>Income</t>
        </is>
      </c>
      <c r="D702" s="12" t="inlineStr">
        <is>
          <t>—</t>
        </is>
      </c>
      <c r="E702" s="27" t="n">
        <v>20</v>
      </c>
      <c r="G702" s="28">
        <f>IF(IFERROR(INDEX(Categories!$C$2:$C$200,MATCH(B702,Categories!$A$2:$A$200,0)),"N")="Y",E702,0)</f>
        <v/>
      </c>
    </row>
    <row r="703">
      <c r="A703" s="26" t="n">
        <v>45627</v>
      </c>
      <c r="B703" s="12" t="inlineStr">
        <is>
          <t>Salary</t>
        </is>
      </c>
      <c r="C703" s="12" t="inlineStr">
        <is>
          <t>Income</t>
        </is>
      </c>
      <c r="D703" s="12" t="inlineStr">
        <is>
          <t>—</t>
        </is>
      </c>
      <c r="E703" s="27" t="n">
        <v>6130</v>
      </c>
      <c r="G703" s="28">
        <f>IF(IFERROR(INDEX(Categories!$C$2:$C$200,MATCH(B703,Categories!$A$2:$A$200,0)),"N")="Y",E703,0)</f>
        <v/>
      </c>
    </row>
    <row r="704">
      <c r="A704" s="26" t="n">
        <v>45627</v>
      </c>
      <c r="B704" s="12" t="inlineStr">
        <is>
          <t>Uncategorised</t>
        </is>
      </c>
      <c r="C704" s="12" t="inlineStr">
        <is>
          <t>Actual</t>
        </is>
      </c>
      <c r="D704" s="12" t="inlineStr">
        <is>
          <t>Core</t>
        </is>
      </c>
      <c r="E704" s="27" t="n">
        <v>3640</v>
      </c>
      <c r="F704" s="28" t="inlineStr">
        <is>
          <t>Historical monthly total (pre per-category / per-tier tracking)</t>
        </is>
      </c>
      <c r="G704" s="28">
        <f>IF(IFERROR(INDEX(Categories!$C$2:$C$200,MATCH(B704,Categories!$A$2:$A$200,0)),"N")="Y",E704,0)</f>
        <v/>
      </c>
    </row>
    <row r="705">
      <c r="A705" s="26" t="n">
        <v>45658</v>
      </c>
      <c r="B705" s="12" t="inlineStr">
        <is>
          <t>Interest</t>
        </is>
      </c>
      <c r="C705" s="12" t="inlineStr">
        <is>
          <t>Income</t>
        </is>
      </c>
      <c r="D705" s="12" t="inlineStr">
        <is>
          <t>—</t>
        </is>
      </c>
      <c r="E705" s="27" t="n">
        <v>20</v>
      </c>
      <c r="G705" s="28">
        <f>IF(IFERROR(INDEX(Categories!$C$2:$C$200,MATCH(B705,Categories!$A$2:$A$200,0)),"N")="Y",E705,0)</f>
        <v/>
      </c>
    </row>
    <row r="706">
      <c r="A706" s="26" t="n">
        <v>45658</v>
      </c>
      <c r="B706" s="12" t="inlineStr">
        <is>
          <t>Salary</t>
        </is>
      </c>
      <c r="C706" s="12" t="inlineStr">
        <is>
          <t>Income</t>
        </is>
      </c>
      <c r="D706" s="12" t="inlineStr">
        <is>
          <t>—</t>
        </is>
      </c>
      <c r="E706" s="27" t="n">
        <v>6060</v>
      </c>
      <c r="G706" s="28">
        <f>IF(IFERROR(INDEX(Categories!$C$2:$C$200,MATCH(B706,Categories!$A$2:$A$200,0)),"N")="Y",E706,0)</f>
        <v/>
      </c>
    </row>
    <row r="707">
      <c r="A707" s="26" t="n">
        <v>45658</v>
      </c>
      <c r="B707" s="12" t="inlineStr">
        <is>
          <t>Bills</t>
        </is>
      </c>
      <c r="C707" s="12" t="inlineStr">
        <is>
          <t>Actual</t>
        </is>
      </c>
      <c r="D707" s="12" t="inlineStr">
        <is>
          <t>Core</t>
        </is>
      </c>
      <c r="E707" s="27" t="n">
        <v>200</v>
      </c>
      <c r="G707" s="28">
        <f>IF(IFERROR(INDEX(Categories!$C$2:$C$200,MATCH(B707,Categories!$A$2:$A$200,0)),"N")="Y",E707,0)</f>
        <v/>
      </c>
    </row>
    <row r="708">
      <c r="A708" s="26" t="n">
        <v>45658</v>
      </c>
      <c r="B708" s="12" t="inlineStr">
        <is>
          <t>Daily Food</t>
        </is>
      </c>
      <c r="C708" s="12" t="inlineStr">
        <is>
          <t>Actual</t>
        </is>
      </c>
      <c r="D708" s="12" t="inlineStr">
        <is>
          <t>Core</t>
        </is>
      </c>
      <c r="E708" s="27" t="n">
        <v>560</v>
      </c>
      <c r="G708" s="28">
        <f>IF(IFERROR(INDEX(Categories!$C$2:$C$200,MATCH(B708,Categories!$A$2:$A$200,0)),"N")="Y",E708,0)</f>
        <v/>
      </c>
    </row>
    <row r="709">
      <c r="A709" s="26" t="n">
        <v>45658</v>
      </c>
      <c r="B709" s="12" t="inlineStr">
        <is>
          <t>Donation</t>
        </is>
      </c>
      <c r="C709" s="12" t="inlineStr">
        <is>
          <t>Actual</t>
        </is>
      </c>
      <c r="D709" s="12" t="inlineStr">
        <is>
          <t>Over &amp; above</t>
        </is>
      </c>
      <c r="E709" s="27" t="n">
        <v>50</v>
      </c>
      <c r="G709" s="28">
        <f>IF(IFERROR(INDEX(Categories!$C$2:$C$200,MATCH(B709,Categories!$A$2:$A$200,0)),"N")="Y",E709,0)</f>
        <v/>
      </c>
    </row>
    <row r="710">
      <c r="A710" s="26" t="n">
        <v>45658</v>
      </c>
      <c r="B710" s="12" t="inlineStr">
        <is>
          <t>Groceries</t>
        </is>
      </c>
      <c r="C710" s="12" t="inlineStr">
        <is>
          <t>Actual</t>
        </is>
      </c>
      <c r="D710" s="12" t="inlineStr">
        <is>
          <t>Core</t>
        </is>
      </c>
      <c r="E710" s="27" t="n">
        <v>500</v>
      </c>
      <c r="G710" s="28">
        <f>IF(IFERROR(INDEX(Categories!$C$2:$C$200,MATCH(B710,Categories!$A$2:$A$200,0)),"N")="Y",E710,0)</f>
        <v/>
      </c>
    </row>
    <row r="711">
      <c r="A711" s="26" t="n">
        <v>45658</v>
      </c>
      <c r="B711" s="12" t="inlineStr">
        <is>
          <t>Household</t>
        </is>
      </c>
      <c r="C711" s="12" t="inlineStr">
        <is>
          <t>Actual</t>
        </is>
      </c>
      <c r="D711" s="12" t="inlineStr">
        <is>
          <t>Core</t>
        </is>
      </c>
      <c r="E711" s="27" t="n">
        <v>300</v>
      </c>
      <c r="G711" s="28">
        <f>IF(IFERROR(INDEX(Categories!$C$2:$C$200,MATCH(B711,Categories!$A$2:$A$200,0)),"N")="Y",E711,0)</f>
        <v/>
      </c>
    </row>
    <row r="712">
      <c r="A712" s="26" t="n">
        <v>45658</v>
      </c>
      <c r="B712" s="12" t="inlineStr">
        <is>
          <t>Insurance</t>
        </is>
      </c>
      <c r="C712" s="12" t="inlineStr">
        <is>
          <t>Actual</t>
        </is>
      </c>
      <c r="D712" s="12" t="inlineStr">
        <is>
          <t>Core</t>
        </is>
      </c>
      <c r="E712" s="27" t="n">
        <v>400</v>
      </c>
      <c r="G712" s="28">
        <f>IF(IFERROR(INDEX(Categories!$C$2:$C$200,MATCH(B712,Categories!$A$2:$A$200,0)),"N")="Y",E712,0)</f>
        <v/>
      </c>
    </row>
    <row r="713">
      <c r="A713" s="26" t="n">
        <v>45658</v>
      </c>
      <c r="B713" s="12" t="inlineStr">
        <is>
          <t>Shopping</t>
        </is>
      </c>
      <c r="C713" s="12" t="inlineStr">
        <is>
          <t>Actual</t>
        </is>
      </c>
      <c r="D713" s="12" t="inlineStr">
        <is>
          <t>Over &amp; above</t>
        </is>
      </c>
      <c r="E713" s="27" t="n">
        <v>150</v>
      </c>
      <c r="G713" s="28">
        <f>IF(IFERROR(INDEX(Categories!$C$2:$C$200,MATCH(B713,Categories!$A$2:$A$200,0)),"N")="Y",E713,0)</f>
        <v/>
      </c>
    </row>
    <row r="714">
      <c r="A714" s="26" t="n">
        <v>45658</v>
      </c>
      <c r="B714" s="12" t="inlineStr">
        <is>
          <t>Subscriptions</t>
        </is>
      </c>
      <c r="C714" s="12" t="inlineStr">
        <is>
          <t>Actual</t>
        </is>
      </c>
      <c r="D714" s="12" t="inlineStr">
        <is>
          <t>Over &amp; above</t>
        </is>
      </c>
      <c r="E714" s="27" t="n">
        <v>60</v>
      </c>
      <c r="G714" s="28">
        <f>IF(IFERROR(INDEX(Categories!$C$2:$C$200,MATCH(B714,Categories!$A$2:$A$200,0)),"N")="Y",E714,0)</f>
        <v/>
      </c>
    </row>
    <row r="715">
      <c r="A715" s="26" t="n">
        <v>45658</v>
      </c>
      <c r="B715" s="12" t="inlineStr">
        <is>
          <t>Transport</t>
        </is>
      </c>
      <c r="C715" s="12" t="inlineStr">
        <is>
          <t>Actual</t>
        </is>
      </c>
      <c r="D715" s="12" t="inlineStr">
        <is>
          <t>Core</t>
        </is>
      </c>
      <c r="E715" s="27" t="n">
        <v>150</v>
      </c>
      <c r="G715" s="28">
        <f>IF(IFERROR(INDEX(Categories!$C$2:$C$200,MATCH(B715,Categories!$A$2:$A$200,0)),"N")="Y",E715,0)</f>
        <v/>
      </c>
    </row>
    <row r="716">
      <c r="A716" s="26" t="n">
        <v>45658</v>
      </c>
      <c r="B716" s="12" t="inlineStr">
        <is>
          <t>Transport</t>
        </is>
      </c>
      <c r="C716" s="12" t="inlineStr">
        <is>
          <t>Actual</t>
        </is>
      </c>
      <c r="D716" s="12" t="inlineStr">
        <is>
          <t>Over &amp; above</t>
        </is>
      </c>
      <c r="E716" s="27" t="n">
        <v>80</v>
      </c>
      <c r="F716" s="28" t="inlineStr">
        <is>
          <t>Cab fares (trimmable)</t>
        </is>
      </c>
      <c r="G716" s="28">
        <f>IF(IFERROR(INDEX(Categories!$C$2:$C$200,MATCH(B716,Categories!$A$2:$A$200,0)),"N")="Y",E716,0)</f>
        <v/>
      </c>
    </row>
    <row r="717">
      <c r="A717" s="26" t="n">
        <v>45689</v>
      </c>
      <c r="B717" s="12" t="inlineStr">
        <is>
          <t>Interest</t>
        </is>
      </c>
      <c r="C717" s="12" t="inlineStr">
        <is>
          <t>Income</t>
        </is>
      </c>
      <c r="D717" s="12" t="inlineStr">
        <is>
          <t>—</t>
        </is>
      </c>
      <c r="E717" s="27" t="n">
        <v>20</v>
      </c>
      <c r="G717" s="28">
        <f>IF(IFERROR(INDEX(Categories!$C$2:$C$200,MATCH(B717,Categories!$A$2:$A$200,0)),"N")="Y",E717,0)</f>
        <v/>
      </c>
    </row>
    <row r="718">
      <c r="A718" s="26" t="n">
        <v>45689</v>
      </c>
      <c r="B718" s="12" t="inlineStr">
        <is>
          <t>Salary</t>
        </is>
      </c>
      <c r="C718" s="12" t="inlineStr">
        <is>
          <t>Income</t>
        </is>
      </c>
      <c r="D718" s="12" t="inlineStr">
        <is>
          <t>—</t>
        </is>
      </c>
      <c r="E718" s="27" t="n">
        <v>6110</v>
      </c>
      <c r="G718" s="28">
        <f>IF(IFERROR(INDEX(Categories!$C$2:$C$200,MATCH(B718,Categories!$A$2:$A$200,0)),"N")="Y",E718,0)</f>
        <v/>
      </c>
    </row>
    <row r="719">
      <c r="A719" s="26" t="n">
        <v>45689</v>
      </c>
      <c r="B719" s="12" t="inlineStr">
        <is>
          <t>Bills</t>
        </is>
      </c>
      <c r="C719" s="12" t="inlineStr">
        <is>
          <t>Actual</t>
        </is>
      </c>
      <c r="D719" s="12" t="inlineStr">
        <is>
          <t>Core</t>
        </is>
      </c>
      <c r="E719" s="27" t="n">
        <v>200</v>
      </c>
      <c r="G719" s="28">
        <f>IF(IFERROR(INDEX(Categories!$C$2:$C$200,MATCH(B719,Categories!$A$2:$A$200,0)),"N")="Y",E719,0)</f>
        <v/>
      </c>
    </row>
    <row r="720">
      <c r="A720" s="26" t="n">
        <v>45689</v>
      </c>
      <c r="B720" s="12" t="inlineStr">
        <is>
          <t>Daily Food</t>
        </is>
      </c>
      <c r="C720" s="12" t="inlineStr">
        <is>
          <t>Actual</t>
        </is>
      </c>
      <c r="D720" s="12" t="inlineStr">
        <is>
          <t>Core</t>
        </is>
      </c>
      <c r="E720" s="27" t="n">
        <v>580</v>
      </c>
      <c r="G720" s="28">
        <f>IF(IFERROR(INDEX(Categories!$C$2:$C$200,MATCH(B720,Categories!$A$2:$A$200,0)),"N")="Y",E720,0)</f>
        <v/>
      </c>
    </row>
    <row r="721">
      <c r="A721" s="26" t="n">
        <v>45689</v>
      </c>
      <c r="B721" s="12" t="inlineStr">
        <is>
          <t>Donation</t>
        </is>
      </c>
      <c r="C721" s="12" t="inlineStr">
        <is>
          <t>Actual</t>
        </is>
      </c>
      <c r="D721" s="12" t="inlineStr">
        <is>
          <t>Over &amp; above</t>
        </is>
      </c>
      <c r="E721" s="27" t="n">
        <v>50</v>
      </c>
      <c r="G721" s="28">
        <f>IF(IFERROR(INDEX(Categories!$C$2:$C$200,MATCH(B721,Categories!$A$2:$A$200,0)),"N")="Y",E721,0)</f>
        <v/>
      </c>
    </row>
    <row r="722">
      <c r="A722" s="26" t="n">
        <v>45689</v>
      </c>
      <c r="B722" s="12" t="inlineStr">
        <is>
          <t>Groceries</t>
        </is>
      </c>
      <c r="C722" s="12" t="inlineStr">
        <is>
          <t>Actual</t>
        </is>
      </c>
      <c r="D722" s="12" t="inlineStr">
        <is>
          <t>Core</t>
        </is>
      </c>
      <c r="E722" s="27" t="n">
        <v>530</v>
      </c>
      <c r="G722" s="28">
        <f>IF(IFERROR(INDEX(Categories!$C$2:$C$200,MATCH(B722,Categories!$A$2:$A$200,0)),"N")="Y",E722,0)</f>
        <v/>
      </c>
    </row>
    <row r="723">
      <c r="A723" s="26" t="n">
        <v>45689</v>
      </c>
      <c r="B723" s="12" t="inlineStr">
        <is>
          <t>Household</t>
        </is>
      </c>
      <c r="C723" s="12" t="inlineStr">
        <is>
          <t>Actual</t>
        </is>
      </c>
      <c r="D723" s="12" t="inlineStr">
        <is>
          <t>Core</t>
        </is>
      </c>
      <c r="E723" s="27" t="n">
        <v>300</v>
      </c>
      <c r="G723" s="28">
        <f>IF(IFERROR(INDEX(Categories!$C$2:$C$200,MATCH(B723,Categories!$A$2:$A$200,0)),"N")="Y",E723,0)</f>
        <v/>
      </c>
    </row>
    <row r="724">
      <c r="A724" s="26" t="n">
        <v>45689</v>
      </c>
      <c r="B724" s="12" t="inlineStr">
        <is>
          <t>Insurance</t>
        </is>
      </c>
      <c r="C724" s="12" t="inlineStr">
        <is>
          <t>Actual</t>
        </is>
      </c>
      <c r="D724" s="12" t="inlineStr">
        <is>
          <t>Core</t>
        </is>
      </c>
      <c r="E724" s="27" t="n">
        <v>400</v>
      </c>
      <c r="G724" s="28">
        <f>IF(IFERROR(INDEX(Categories!$C$2:$C$200,MATCH(B724,Categories!$A$2:$A$200,0)),"N")="Y",E724,0)</f>
        <v/>
      </c>
    </row>
    <row r="725">
      <c r="A725" s="26" t="n">
        <v>45689</v>
      </c>
      <c r="B725" s="12" t="inlineStr">
        <is>
          <t>Shopping</t>
        </is>
      </c>
      <c r="C725" s="12" t="inlineStr">
        <is>
          <t>Actual</t>
        </is>
      </c>
      <c r="D725" s="12" t="inlineStr">
        <is>
          <t>Over &amp; above</t>
        </is>
      </c>
      <c r="E725" s="27" t="n">
        <v>200</v>
      </c>
      <c r="G725" s="28">
        <f>IF(IFERROR(INDEX(Categories!$C$2:$C$200,MATCH(B725,Categories!$A$2:$A$200,0)),"N")="Y",E725,0)</f>
        <v/>
      </c>
    </row>
    <row r="726">
      <c r="A726" s="26" t="n">
        <v>45689</v>
      </c>
      <c r="B726" s="12" t="inlineStr">
        <is>
          <t>Subscriptions</t>
        </is>
      </c>
      <c r="C726" s="12" t="inlineStr">
        <is>
          <t>Actual</t>
        </is>
      </c>
      <c r="D726" s="12" t="inlineStr">
        <is>
          <t>Over &amp; above</t>
        </is>
      </c>
      <c r="E726" s="27" t="n">
        <v>60</v>
      </c>
      <c r="G726" s="28">
        <f>IF(IFERROR(INDEX(Categories!$C$2:$C$200,MATCH(B726,Categories!$A$2:$A$200,0)),"N")="Y",E726,0)</f>
        <v/>
      </c>
    </row>
    <row r="727">
      <c r="A727" s="26" t="n">
        <v>45689</v>
      </c>
      <c r="B727" s="12" t="inlineStr">
        <is>
          <t>Transport</t>
        </is>
      </c>
      <c r="C727" s="12" t="inlineStr">
        <is>
          <t>Actual</t>
        </is>
      </c>
      <c r="D727" s="12" t="inlineStr">
        <is>
          <t>Core</t>
        </is>
      </c>
      <c r="E727" s="27" t="n">
        <v>150</v>
      </c>
      <c r="G727" s="28">
        <f>IF(IFERROR(INDEX(Categories!$C$2:$C$200,MATCH(B727,Categories!$A$2:$A$200,0)),"N")="Y",E727,0)</f>
        <v/>
      </c>
    </row>
    <row r="728">
      <c r="A728" s="26" t="n">
        <v>45689</v>
      </c>
      <c r="B728" s="12" t="inlineStr">
        <is>
          <t>Transport</t>
        </is>
      </c>
      <c r="C728" s="12" t="inlineStr">
        <is>
          <t>Actual</t>
        </is>
      </c>
      <c r="D728" s="12" t="inlineStr">
        <is>
          <t>Over &amp; above</t>
        </is>
      </c>
      <c r="E728" s="27" t="n">
        <v>100</v>
      </c>
      <c r="F728" s="28" t="inlineStr">
        <is>
          <t>Cab fares (trimmable)</t>
        </is>
      </c>
      <c r="G728" s="28">
        <f>IF(IFERROR(INDEX(Categories!$C$2:$C$200,MATCH(B728,Categories!$A$2:$A$200,0)),"N")="Y",E728,0)</f>
        <v/>
      </c>
    </row>
    <row r="729">
      <c r="A729" s="26" t="n">
        <v>45717</v>
      </c>
      <c r="B729" s="12" t="inlineStr">
        <is>
          <t>Dividends</t>
        </is>
      </c>
      <c r="C729" s="12" t="inlineStr">
        <is>
          <t>Income</t>
        </is>
      </c>
      <c r="D729" s="12" t="inlineStr">
        <is>
          <t>—</t>
        </is>
      </c>
      <c r="E729" s="27" t="n">
        <v>150</v>
      </c>
      <c r="G729" s="28">
        <f>IF(IFERROR(INDEX(Categories!$C$2:$C$200,MATCH(B729,Categories!$A$2:$A$200,0)),"N")="Y",E729,0)</f>
        <v/>
      </c>
    </row>
    <row r="730">
      <c r="A730" s="26" t="n">
        <v>45717</v>
      </c>
      <c r="B730" s="12" t="inlineStr">
        <is>
          <t>Interest</t>
        </is>
      </c>
      <c r="C730" s="12" t="inlineStr">
        <is>
          <t>Income</t>
        </is>
      </c>
      <c r="D730" s="12" t="inlineStr">
        <is>
          <t>—</t>
        </is>
      </c>
      <c r="E730" s="27" t="n">
        <v>20</v>
      </c>
      <c r="G730" s="28">
        <f>IF(IFERROR(INDEX(Categories!$C$2:$C$200,MATCH(B730,Categories!$A$2:$A$200,0)),"N")="Y",E730,0)</f>
        <v/>
      </c>
    </row>
    <row r="731">
      <c r="A731" s="26" t="n">
        <v>45717</v>
      </c>
      <c r="B731" s="12" t="inlineStr">
        <is>
          <t>Salary</t>
        </is>
      </c>
      <c r="C731" s="12" t="inlineStr">
        <is>
          <t>Income</t>
        </is>
      </c>
      <c r="D731" s="12" t="inlineStr">
        <is>
          <t>—</t>
        </is>
      </c>
      <c r="E731" s="27" t="n">
        <v>6160</v>
      </c>
      <c r="G731" s="28">
        <f>IF(IFERROR(INDEX(Categories!$C$2:$C$200,MATCH(B731,Categories!$A$2:$A$200,0)),"N")="Y",E731,0)</f>
        <v/>
      </c>
    </row>
    <row r="732">
      <c r="A732" s="26" t="n">
        <v>45717</v>
      </c>
      <c r="B732" s="12" t="inlineStr">
        <is>
          <t>Bills</t>
        </is>
      </c>
      <c r="C732" s="12" t="inlineStr">
        <is>
          <t>Actual</t>
        </is>
      </c>
      <c r="D732" s="12" t="inlineStr">
        <is>
          <t>Core</t>
        </is>
      </c>
      <c r="E732" s="27" t="n">
        <v>200</v>
      </c>
      <c r="G732" s="28">
        <f>IF(IFERROR(INDEX(Categories!$C$2:$C$200,MATCH(B732,Categories!$A$2:$A$200,0)),"N")="Y",E732,0)</f>
        <v/>
      </c>
    </row>
    <row r="733">
      <c r="A733" s="26" t="n">
        <v>45717</v>
      </c>
      <c r="B733" s="12" t="inlineStr">
        <is>
          <t>Daily Food</t>
        </is>
      </c>
      <c r="C733" s="12" t="inlineStr">
        <is>
          <t>Actual</t>
        </is>
      </c>
      <c r="D733" s="12" t="inlineStr">
        <is>
          <t>Core</t>
        </is>
      </c>
      <c r="E733" s="27" t="n">
        <v>600</v>
      </c>
      <c r="G733" s="28">
        <f>IF(IFERROR(INDEX(Categories!$C$2:$C$200,MATCH(B733,Categories!$A$2:$A$200,0)),"N")="Y",E733,0)</f>
        <v/>
      </c>
    </row>
    <row r="734">
      <c r="A734" s="26" t="n">
        <v>45717</v>
      </c>
      <c r="B734" s="12" t="inlineStr">
        <is>
          <t>Donation</t>
        </is>
      </c>
      <c r="C734" s="12" t="inlineStr">
        <is>
          <t>Actual</t>
        </is>
      </c>
      <c r="D734" s="12" t="inlineStr">
        <is>
          <t>Over &amp; above</t>
        </is>
      </c>
      <c r="E734" s="27" t="n">
        <v>50</v>
      </c>
      <c r="G734" s="28">
        <f>IF(IFERROR(INDEX(Categories!$C$2:$C$200,MATCH(B734,Categories!$A$2:$A$200,0)),"N")="Y",E734,0)</f>
        <v/>
      </c>
    </row>
    <row r="735">
      <c r="A735" s="26" t="n">
        <v>45717</v>
      </c>
      <c r="B735" s="12" t="inlineStr">
        <is>
          <t>Groceries</t>
        </is>
      </c>
      <c r="C735" s="12" t="inlineStr">
        <is>
          <t>Actual</t>
        </is>
      </c>
      <c r="D735" s="12" t="inlineStr">
        <is>
          <t>Core</t>
        </is>
      </c>
      <c r="E735" s="27" t="n">
        <v>560</v>
      </c>
      <c r="G735" s="28">
        <f>IF(IFERROR(INDEX(Categories!$C$2:$C$200,MATCH(B735,Categories!$A$2:$A$200,0)),"N")="Y",E735,0)</f>
        <v/>
      </c>
    </row>
    <row r="736">
      <c r="A736" s="26" t="n">
        <v>45717</v>
      </c>
      <c r="B736" s="12" t="inlineStr">
        <is>
          <t>Household</t>
        </is>
      </c>
      <c r="C736" s="12" t="inlineStr">
        <is>
          <t>Actual</t>
        </is>
      </c>
      <c r="D736" s="12" t="inlineStr">
        <is>
          <t>Core</t>
        </is>
      </c>
      <c r="E736" s="27" t="n">
        <v>300</v>
      </c>
      <c r="G736" s="28">
        <f>IF(IFERROR(INDEX(Categories!$C$2:$C$200,MATCH(B736,Categories!$A$2:$A$200,0)),"N")="Y",E736,0)</f>
        <v/>
      </c>
    </row>
    <row r="737">
      <c r="A737" s="26" t="n">
        <v>45717</v>
      </c>
      <c r="B737" s="12" t="inlineStr">
        <is>
          <t>Insurance</t>
        </is>
      </c>
      <c r="C737" s="12" t="inlineStr">
        <is>
          <t>Actual</t>
        </is>
      </c>
      <c r="D737" s="12" t="inlineStr">
        <is>
          <t>Core</t>
        </is>
      </c>
      <c r="E737" s="27" t="n">
        <v>400</v>
      </c>
      <c r="G737" s="28">
        <f>IF(IFERROR(INDEX(Categories!$C$2:$C$200,MATCH(B737,Categories!$A$2:$A$200,0)),"N")="Y",E737,0)</f>
        <v/>
      </c>
    </row>
    <row r="738">
      <c r="A738" s="26" t="n">
        <v>45717</v>
      </c>
      <c r="B738" s="12" t="inlineStr">
        <is>
          <t>Misc</t>
        </is>
      </c>
      <c r="C738" s="12" t="inlineStr">
        <is>
          <t>Actual</t>
        </is>
      </c>
      <c r="D738" s="12" t="inlineStr">
        <is>
          <t>Reimbursable</t>
        </is>
      </c>
      <c r="E738" s="27" t="n">
        <v>300</v>
      </c>
      <c r="F738" s="28" t="inlineStr">
        <is>
          <t>Sample: work trip (claimable)</t>
        </is>
      </c>
      <c r="G738" s="28">
        <f>IF(IFERROR(INDEX(Categories!$C$2:$C$200,MATCH(B738,Categories!$A$2:$A$200,0)),"N")="Y",E738,0)</f>
        <v/>
      </c>
    </row>
    <row r="739">
      <c r="A739" s="26" t="n">
        <v>45717</v>
      </c>
      <c r="B739" s="12" t="inlineStr">
        <is>
          <t>Shopping</t>
        </is>
      </c>
      <c r="C739" s="12" t="inlineStr">
        <is>
          <t>Actual</t>
        </is>
      </c>
      <c r="D739" s="12" t="inlineStr">
        <is>
          <t>Over &amp; above</t>
        </is>
      </c>
      <c r="E739" s="27" t="n">
        <v>150</v>
      </c>
      <c r="G739" s="28">
        <f>IF(IFERROR(INDEX(Categories!$C$2:$C$200,MATCH(B739,Categories!$A$2:$A$200,0)),"N")="Y",E739,0)</f>
        <v/>
      </c>
    </row>
    <row r="740">
      <c r="A740" s="26" t="n">
        <v>45717</v>
      </c>
      <c r="B740" s="12" t="inlineStr">
        <is>
          <t>Subscriptions</t>
        </is>
      </c>
      <c r="C740" s="12" t="inlineStr">
        <is>
          <t>Actual</t>
        </is>
      </c>
      <c r="D740" s="12" t="inlineStr">
        <is>
          <t>Over &amp; above</t>
        </is>
      </c>
      <c r="E740" s="27" t="n">
        <v>60</v>
      </c>
      <c r="G740" s="28">
        <f>IF(IFERROR(INDEX(Categories!$C$2:$C$200,MATCH(B740,Categories!$A$2:$A$200,0)),"N")="Y",E740,0)</f>
        <v/>
      </c>
    </row>
    <row r="741">
      <c r="A741" s="26" t="n">
        <v>45717</v>
      </c>
      <c r="B741" s="12" t="inlineStr">
        <is>
          <t>Transport</t>
        </is>
      </c>
      <c r="C741" s="12" t="inlineStr">
        <is>
          <t>Actual</t>
        </is>
      </c>
      <c r="D741" s="12" t="inlineStr">
        <is>
          <t>Core</t>
        </is>
      </c>
      <c r="E741" s="27" t="n">
        <v>150</v>
      </c>
      <c r="G741" s="28">
        <f>IF(IFERROR(INDEX(Categories!$C$2:$C$200,MATCH(B741,Categories!$A$2:$A$200,0)),"N")="Y",E741,0)</f>
        <v/>
      </c>
    </row>
    <row r="742">
      <c r="A742" s="26" t="n">
        <v>45717</v>
      </c>
      <c r="B742" s="12" t="inlineStr">
        <is>
          <t>Transport</t>
        </is>
      </c>
      <c r="C742" s="12" t="inlineStr">
        <is>
          <t>Actual</t>
        </is>
      </c>
      <c r="D742" s="12" t="inlineStr">
        <is>
          <t>Over &amp; above</t>
        </is>
      </c>
      <c r="E742" s="27" t="n">
        <v>120</v>
      </c>
      <c r="F742" s="28" t="inlineStr">
        <is>
          <t>Cab fares (trimmable)</t>
        </is>
      </c>
      <c r="G742" s="28">
        <f>IF(IFERROR(INDEX(Categories!$C$2:$C$200,MATCH(B742,Categories!$A$2:$A$200,0)),"N")="Y",E742,0)</f>
        <v/>
      </c>
    </row>
    <row r="743">
      <c r="A743" s="26" t="n">
        <v>45748</v>
      </c>
      <c r="B743" s="12" t="inlineStr">
        <is>
          <t>Interest</t>
        </is>
      </c>
      <c r="C743" s="12" t="inlineStr">
        <is>
          <t>Income</t>
        </is>
      </c>
      <c r="D743" s="12" t="inlineStr">
        <is>
          <t>—</t>
        </is>
      </c>
      <c r="E743" s="27" t="n">
        <v>20</v>
      </c>
      <c r="G743" s="28">
        <f>IF(IFERROR(INDEX(Categories!$C$2:$C$200,MATCH(B743,Categories!$A$2:$A$200,0)),"N")="Y",E743,0)</f>
        <v/>
      </c>
    </row>
    <row r="744">
      <c r="A744" s="26" t="n">
        <v>45748</v>
      </c>
      <c r="B744" s="12" t="inlineStr">
        <is>
          <t>Salary</t>
        </is>
      </c>
      <c r="C744" s="12" t="inlineStr">
        <is>
          <t>Income</t>
        </is>
      </c>
      <c r="D744" s="12" t="inlineStr">
        <is>
          <t>—</t>
        </is>
      </c>
      <c r="E744" s="27" t="n">
        <v>6210</v>
      </c>
      <c r="G744" s="28">
        <f>IF(IFERROR(INDEX(Categories!$C$2:$C$200,MATCH(B744,Categories!$A$2:$A$200,0)),"N")="Y",E744,0)</f>
        <v/>
      </c>
    </row>
    <row r="745">
      <c r="A745" s="26" t="n">
        <v>45748</v>
      </c>
      <c r="B745" s="12" t="inlineStr">
        <is>
          <t>Bills</t>
        </is>
      </c>
      <c r="C745" s="12" t="inlineStr">
        <is>
          <t>Actual</t>
        </is>
      </c>
      <c r="D745" s="12" t="inlineStr">
        <is>
          <t>Core</t>
        </is>
      </c>
      <c r="E745" s="27" t="n">
        <v>200</v>
      </c>
      <c r="G745" s="28">
        <f>IF(IFERROR(INDEX(Categories!$C$2:$C$200,MATCH(B745,Categories!$A$2:$A$200,0)),"N")="Y",E745,0)</f>
        <v/>
      </c>
    </row>
    <row r="746">
      <c r="A746" s="26" t="n">
        <v>45748</v>
      </c>
      <c r="B746" s="12" t="inlineStr">
        <is>
          <t>Daily Food</t>
        </is>
      </c>
      <c r="C746" s="12" t="inlineStr">
        <is>
          <t>Actual</t>
        </is>
      </c>
      <c r="D746" s="12" t="inlineStr">
        <is>
          <t>Core</t>
        </is>
      </c>
      <c r="E746" s="27" t="n">
        <v>620</v>
      </c>
      <c r="G746" s="28">
        <f>IF(IFERROR(INDEX(Categories!$C$2:$C$200,MATCH(B746,Categories!$A$2:$A$200,0)),"N")="Y",E746,0)</f>
        <v/>
      </c>
    </row>
    <row r="747">
      <c r="A747" s="26" t="n">
        <v>45748</v>
      </c>
      <c r="B747" s="12" t="inlineStr">
        <is>
          <t>Donation</t>
        </is>
      </c>
      <c r="C747" s="12" t="inlineStr">
        <is>
          <t>Actual</t>
        </is>
      </c>
      <c r="D747" s="12" t="inlineStr">
        <is>
          <t>Over &amp; above</t>
        </is>
      </c>
      <c r="E747" s="27" t="n">
        <v>50</v>
      </c>
      <c r="G747" s="28">
        <f>IF(IFERROR(INDEX(Categories!$C$2:$C$200,MATCH(B747,Categories!$A$2:$A$200,0)),"N")="Y",E747,0)</f>
        <v/>
      </c>
    </row>
    <row r="748">
      <c r="A748" s="26" t="n">
        <v>45748</v>
      </c>
      <c r="B748" s="12" t="inlineStr">
        <is>
          <t>Groceries</t>
        </is>
      </c>
      <c r="C748" s="12" t="inlineStr">
        <is>
          <t>Actual</t>
        </is>
      </c>
      <c r="D748" s="12" t="inlineStr">
        <is>
          <t>Core</t>
        </is>
      </c>
      <c r="E748" s="27" t="n">
        <v>500</v>
      </c>
      <c r="G748" s="28">
        <f>IF(IFERROR(INDEX(Categories!$C$2:$C$200,MATCH(B748,Categories!$A$2:$A$200,0)),"N")="Y",E748,0)</f>
        <v/>
      </c>
    </row>
    <row r="749">
      <c r="A749" s="26" t="n">
        <v>45748</v>
      </c>
      <c r="B749" s="12" t="inlineStr">
        <is>
          <t>Household</t>
        </is>
      </c>
      <c r="C749" s="12" t="inlineStr">
        <is>
          <t>Actual</t>
        </is>
      </c>
      <c r="D749" s="12" t="inlineStr">
        <is>
          <t>Core</t>
        </is>
      </c>
      <c r="E749" s="27" t="n">
        <v>300</v>
      </c>
      <c r="G749" s="28">
        <f>IF(IFERROR(INDEX(Categories!$C$2:$C$200,MATCH(B749,Categories!$A$2:$A$200,0)),"N")="Y",E749,0)</f>
        <v/>
      </c>
    </row>
    <row r="750">
      <c r="A750" s="26" t="n">
        <v>45748</v>
      </c>
      <c r="B750" s="12" t="inlineStr">
        <is>
          <t>Insurance</t>
        </is>
      </c>
      <c r="C750" s="12" t="inlineStr">
        <is>
          <t>Actual</t>
        </is>
      </c>
      <c r="D750" s="12" t="inlineStr">
        <is>
          <t>Core</t>
        </is>
      </c>
      <c r="E750" s="27" t="n">
        <v>400</v>
      </c>
      <c r="G750" s="28">
        <f>IF(IFERROR(INDEX(Categories!$C$2:$C$200,MATCH(B750,Categories!$A$2:$A$200,0)),"N")="Y",E750,0)</f>
        <v/>
      </c>
    </row>
    <row r="751">
      <c r="A751" s="26" t="n">
        <v>45748</v>
      </c>
      <c r="B751" s="12" t="inlineStr">
        <is>
          <t>Shopping</t>
        </is>
      </c>
      <c r="C751" s="12" t="inlineStr">
        <is>
          <t>Actual</t>
        </is>
      </c>
      <c r="D751" s="12" t="inlineStr">
        <is>
          <t>Over &amp; above</t>
        </is>
      </c>
      <c r="E751" s="27" t="n">
        <v>200</v>
      </c>
      <c r="G751" s="28">
        <f>IF(IFERROR(INDEX(Categories!$C$2:$C$200,MATCH(B751,Categories!$A$2:$A$200,0)),"N")="Y",E751,0)</f>
        <v/>
      </c>
    </row>
    <row r="752">
      <c r="A752" s="26" t="n">
        <v>45748</v>
      </c>
      <c r="B752" s="12" t="inlineStr">
        <is>
          <t>Subscriptions</t>
        </is>
      </c>
      <c r="C752" s="12" t="inlineStr">
        <is>
          <t>Actual</t>
        </is>
      </c>
      <c r="D752" s="12" t="inlineStr">
        <is>
          <t>Over &amp; above</t>
        </is>
      </c>
      <c r="E752" s="27" t="n">
        <v>60</v>
      </c>
      <c r="G752" s="28">
        <f>IF(IFERROR(INDEX(Categories!$C$2:$C$200,MATCH(B752,Categories!$A$2:$A$200,0)),"N")="Y",E752,0)</f>
        <v/>
      </c>
    </row>
    <row r="753">
      <c r="A753" s="26" t="n">
        <v>45748</v>
      </c>
      <c r="B753" s="12" t="inlineStr">
        <is>
          <t>Transport</t>
        </is>
      </c>
      <c r="C753" s="12" t="inlineStr">
        <is>
          <t>Actual</t>
        </is>
      </c>
      <c r="D753" s="12" t="inlineStr">
        <is>
          <t>Core</t>
        </is>
      </c>
      <c r="E753" s="27" t="n">
        <v>150</v>
      </c>
      <c r="G753" s="28">
        <f>IF(IFERROR(INDEX(Categories!$C$2:$C$200,MATCH(B753,Categories!$A$2:$A$200,0)),"N")="Y",E753,0)</f>
        <v/>
      </c>
    </row>
    <row r="754">
      <c r="A754" s="26" t="n">
        <v>45748</v>
      </c>
      <c r="B754" s="12" t="inlineStr">
        <is>
          <t>Transport</t>
        </is>
      </c>
      <c r="C754" s="12" t="inlineStr">
        <is>
          <t>Actual</t>
        </is>
      </c>
      <c r="D754" s="12" t="inlineStr">
        <is>
          <t>Over &amp; above</t>
        </is>
      </c>
      <c r="E754" s="27" t="n">
        <v>80</v>
      </c>
      <c r="F754" s="28" t="inlineStr">
        <is>
          <t>Cab fares (trimmable)</t>
        </is>
      </c>
      <c r="G754" s="28">
        <f>IF(IFERROR(INDEX(Categories!$C$2:$C$200,MATCH(B754,Categories!$A$2:$A$200,0)),"N")="Y",E754,0)</f>
        <v/>
      </c>
    </row>
    <row r="755">
      <c r="A755" s="26" t="n">
        <v>45778</v>
      </c>
      <c r="B755" s="12" t="inlineStr">
        <is>
          <t>Interest</t>
        </is>
      </c>
      <c r="C755" s="12" t="inlineStr">
        <is>
          <t>Income</t>
        </is>
      </c>
      <c r="D755" s="12" t="inlineStr">
        <is>
          <t>—</t>
        </is>
      </c>
      <c r="E755" s="27" t="n">
        <v>20</v>
      </c>
      <c r="G755" s="28">
        <f>IF(IFERROR(INDEX(Categories!$C$2:$C$200,MATCH(B755,Categories!$A$2:$A$200,0)),"N")="Y",E755,0)</f>
        <v/>
      </c>
    </row>
    <row r="756">
      <c r="A756" s="26" t="n">
        <v>45778</v>
      </c>
      <c r="B756" s="12" t="inlineStr">
        <is>
          <t>Salary</t>
        </is>
      </c>
      <c r="C756" s="12" t="inlineStr">
        <is>
          <t>Income</t>
        </is>
      </c>
      <c r="D756" s="12" t="inlineStr">
        <is>
          <t>—</t>
        </is>
      </c>
      <c r="E756" s="27" t="n">
        <v>6260</v>
      </c>
      <c r="G756" s="28">
        <f>IF(IFERROR(INDEX(Categories!$C$2:$C$200,MATCH(B756,Categories!$A$2:$A$200,0)),"N")="Y",E756,0)</f>
        <v/>
      </c>
    </row>
    <row r="757">
      <c r="A757" s="26" t="n">
        <v>45778</v>
      </c>
      <c r="B757" s="12" t="inlineStr">
        <is>
          <t>Bills</t>
        </is>
      </c>
      <c r="C757" s="12" t="inlineStr">
        <is>
          <t>Actual</t>
        </is>
      </c>
      <c r="D757" s="12" t="inlineStr">
        <is>
          <t>Core</t>
        </is>
      </c>
      <c r="E757" s="27" t="n">
        <v>200</v>
      </c>
      <c r="G757" s="28">
        <f>IF(IFERROR(INDEX(Categories!$C$2:$C$200,MATCH(B757,Categories!$A$2:$A$200,0)),"N")="Y",E757,0)</f>
        <v/>
      </c>
    </row>
    <row r="758">
      <c r="A758" s="26" t="n">
        <v>45778</v>
      </c>
      <c r="B758" s="12" t="inlineStr">
        <is>
          <t>Daily Food</t>
        </is>
      </c>
      <c r="C758" s="12" t="inlineStr">
        <is>
          <t>Actual</t>
        </is>
      </c>
      <c r="D758" s="12" t="inlineStr">
        <is>
          <t>Core</t>
        </is>
      </c>
      <c r="E758" s="27" t="n">
        <v>560</v>
      </c>
      <c r="G758" s="28">
        <f>IF(IFERROR(INDEX(Categories!$C$2:$C$200,MATCH(B758,Categories!$A$2:$A$200,0)),"N")="Y",E758,0)</f>
        <v/>
      </c>
    </row>
    <row r="759">
      <c r="A759" s="26" t="n">
        <v>45778</v>
      </c>
      <c r="B759" s="12" t="inlineStr">
        <is>
          <t>Donation</t>
        </is>
      </c>
      <c r="C759" s="12" t="inlineStr">
        <is>
          <t>Actual</t>
        </is>
      </c>
      <c r="D759" s="12" t="inlineStr">
        <is>
          <t>Over &amp; above</t>
        </is>
      </c>
      <c r="E759" s="27" t="n">
        <v>50</v>
      </c>
      <c r="G759" s="28">
        <f>IF(IFERROR(INDEX(Categories!$C$2:$C$200,MATCH(B759,Categories!$A$2:$A$200,0)),"N")="Y",E759,0)</f>
        <v/>
      </c>
    </row>
    <row r="760">
      <c r="A760" s="26" t="n">
        <v>45778</v>
      </c>
      <c r="B760" s="12" t="inlineStr">
        <is>
          <t>Groceries</t>
        </is>
      </c>
      <c r="C760" s="12" t="inlineStr">
        <is>
          <t>Actual</t>
        </is>
      </c>
      <c r="D760" s="12" t="inlineStr">
        <is>
          <t>Core</t>
        </is>
      </c>
      <c r="E760" s="27" t="n">
        <v>530</v>
      </c>
      <c r="G760" s="28">
        <f>IF(IFERROR(INDEX(Categories!$C$2:$C$200,MATCH(B760,Categories!$A$2:$A$200,0)),"N")="Y",E760,0)</f>
        <v/>
      </c>
    </row>
    <row r="761">
      <c r="A761" s="26" t="n">
        <v>45778</v>
      </c>
      <c r="B761" s="12" t="inlineStr">
        <is>
          <t>Household</t>
        </is>
      </c>
      <c r="C761" s="12" t="inlineStr">
        <is>
          <t>Actual</t>
        </is>
      </c>
      <c r="D761" s="12" t="inlineStr">
        <is>
          <t>Core</t>
        </is>
      </c>
      <c r="E761" s="27" t="n">
        <v>300</v>
      </c>
      <c r="G761" s="28">
        <f>IF(IFERROR(INDEX(Categories!$C$2:$C$200,MATCH(B761,Categories!$A$2:$A$200,0)),"N")="Y",E761,0)</f>
        <v/>
      </c>
    </row>
    <row r="762">
      <c r="A762" s="26" t="n">
        <v>45778</v>
      </c>
      <c r="B762" s="12" t="inlineStr">
        <is>
          <t>Insurance</t>
        </is>
      </c>
      <c r="C762" s="12" t="inlineStr">
        <is>
          <t>Actual</t>
        </is>
      </c>
      <c r="D762" s="12" t="inlineStr">
        <is>
          <t>Core</t>
        </is>
      </c>
      <c r="E762" s="27" t="n">
        <v>400</v>
      </c>
      <c r="G762" s="28">
        <f>IF(IFERROR(INDEX(Categories!$C$2:$C$200,MATCH(B762,Categories!$A$2:$A$200,0)),"N")="Y",E762,0)</f>
        <v/>
      </c>
    </row>
    <row r="763">
      <c r="A763" s="26" t="n">
        <v>45778</v>
      </c>
      <c r="B763" s="12" t="inlineStr">
        <is>
          <t>Shopping</t>
        </is>
      </c>
      <c r="C763" s="12" t="inlineStr">
        <is>
          <t>Actual</t>
        </is>
      </c>
      <c r="D763" s="12" t="inlineStr">
        <is>
          <t>Over &amp; above</t>
        </is>
      </c>
      <c r="E763" s="27" t="n">
        <v>150</v>
      </c>
      <c r="G763" s="28">
        <f>IF(IFERROR(INDEX(Categories!$C$2:$C$200,MATCH(B763,Categories!$A$2:$A$200,0)),"N")="Y",E763,0)</f>
        <v/>
      </c>
    </row>
    <row r="764">
      <c r="A764" s="26" t="n">
        <v>45778</v>
      </c>
      <c r="B764" s="12" t="inlineStr">
        <is>
          <t>Subscriptions</t>
        </is>
      </c>
      <c r="C764" s="12" t="inlineStr">
        <is>
          <t>Actual</t>
        </is>
      </c>
      <c r="D764" s="12" t="inlineStr">
        <is>
          <t>Over &amp; above</t>
        </is>
      </c>
      <c r="E764" s="27" t="n">
        <v>60</v>
      </c>
      <c r="G764" s="28">
        <f>IF(IFERROR(INDEX(Categories!$C$2:$C$200,MATCH(B764,Categories!$A$2:$A$200,0)),"N")="Y",E764,0)</f>
        <v/>
      </c>
    </row>
    <row r="765">
      <c r="A765" s="26" t="n">
        <v>45778</v>
      </c>
      <c r="B765" s="12" t="inlineStr">
        <is>
          <t>Transport</t>
        </is>
      </c>
      <c r="C765" s="12" t="inlineStr">
        <is>
          <t>Actual</t>
        </is>
      </c>
      <c r="D765" s="12" t="inlineStr">
        <is>
          <t>Core</t>
        </is>
      </c>
      <c r="E765" s="27" t="n">
        <v>150</v>
      </c>
      <c r="G765" s="28">
        <f>IF(IFERROR(INDEX(Categories!$C$2:$C$200,MATCH(B765,Categories!$A$2:$A$200,0)),"N")="Y",E765,0)</f>
        <v/>
      </c>
    </row>
    <row r="766">
      <c r="A766" s="26" t="n">
        <v>45778</v>
      </c>
      <c r="B766" s="12" t="inlineStr">
        <is>
          <t>Transport</t>
        </is>
      </c>
      <c r="C766" s="12" t="inlineStr">
        <is>
          <t>Actual</t>
        </is>
      </c>
      <c r="D766" s="12" t="inlineStr">
        <is>
          <t>Over &amp; above</t>
        </is>
      </c>
      <c r="E766" s="27" t="n">
        <v>100</v>
      </c>
      <c r="F766" s="28" t="inlineStr">
        <is>
          <t>Cab fares (trimmable)</t>
        </is>
      </c>
      <c r="G766" s="28">
        <f>IF(IFERROR(INDEX(Categories!$C$2:$C$200,MATCH(B766,Categories!$A$2:$A$200,0)),"N")="Y",E766,0)</f>
        <v/>
      </c>
    </row>
    <row r="767">
      <c r="A767" s="26" t="n">
        <v>45778</v>
      </c>
      <c r="B767" s="12" t="inlineStr">
        <is>
          <t>Misc</t>
        </is>
      </c>
      <c r="C767" s="12" t="inlineStr">
        <is>
          <t>One-off</t>
        </is>
      </c>
      <c r="D767" s="12" t="inlineStr">
        <is>
          <t>One-off</t>
        </is>
      </c>
      <c r="E767" s="27" t="n">
        <v>1200</v>
      </c>
      <c r="F767" s="28" t="inlineStr">
        <is>
          <t>Sample: new phone</t>
        </is>
      </c>
      <c r="G767" s="28">
        <f>IF(IFERROR(INDEX(Categories!$C$2:$C$200,MATCH(B767,Categories!$A$2:$A$200,0)),"N")="Y",E767,0)</f>
        <v/>
      </c>
    </row>
    <row r="768">
      <c r="A768" s="26" t="n">
        <v>45809</v>
      </c>
      <c r="B768" s="12" t="inlineStr">
        <is>
          <t>Dividends</t>
        </is>
      </c>
      <c r="C768" s="12" t="inlineStr">
        <is>
          <t>Income</t>
        </is>
      </c>
      <c r="D768" s="12" t="inlineStr">
        <is>
          <t>—</t>
        </is>
      </c>
      <c r="E768" s="27" t="n">
        <v>150</v>
      </c>
      <c r="G768" s="28">
        <f>IF(IFERROR(INDEX(Categories!$C$2:$C$200,MATCH(B768,Categories!$A$2:$A$200,0)),"N")="Y",E768,0)</f>
        <v/>
      </c>
    </row>
    <row r="769">
      <c r="A769" s="26" t="n">
        <v>45809</v>
      </c>
      <c r="B769" s="12" t="inlineStr">
        <is>
          <t>Interest</t>
        </is>
      </c>
      <c r="C769" s="12" t="inlineStr">
        <is>
          <t>Income</t>
        </is>
      </c>
      <c r="D769" s="12" t="inlineStr">
        <is>
          <t>—</t>
        </is>
      </c>
      <c r="E769" s="27" t="n">
        <v>20</v>
      </c>
      <c r="G769" s="28">
        <f>IF(IFERROR(INDEX(Categories!$C$2:$C$200,MATCH(B769,Categories!$A$2:$A$200,0)),"N")="Y",E769,0)</f>
        <v/>
      </c>
    </row>
    <row r="770">
      <c r="A770" s="26" t="n">
        <v>45809</v>
      </c>
      <c r="B770" s="12" t="inlineStr">
        <is>
          <t>Salary</t>
        </is>
      </c>
      <c r="C770" s="12" t="inlineStr">
        <is>
          <t>Income</t>
        </is>
      </c>
      <c r="D770" s="12" t="inlineStr">
        <is>
          <t>—</t>
        </is>
      </c>
      <c r="E770" s="27" t="n">
        <v>6310</v>
      </c>
      <c r="G770" s="28">
        <f>IF(IFERROR(INDEX(Categories!$C$2:$C$200,MATCH(B770,Categories!$A$2:$A$200,0)),"N")="Y",E770,0)</f>
        <v/>
      </c>
    </row>
    <row r="771">
      <c r="A771" s="26" t="n">
        <v>45809</v>
      </c>
      <c r="B771" s="12" t="inlineStr">
        <is>
          <t>Bills</t>
        </is>
      </c>
      <c r="C771" s="12" t="inlineStr">
        <is>
          <t>Actual</t>
        </is>
      </c>
      <c r="D771" s="12" t="inlineStr">
        <is>
          <t>Core</t>
        </is>
      </c>
      <c r="E771" s="27" t="n">
        <v>200</v>
      </c>
      <c r="G771" s="28">
        <f>IF(IFERROR(INDEX(Categories!$C$2:$C$200,MATCH(B771,Categories!$A$2:$A$200,0)),"N")="Y",E771,0)</f>
        <v/>
      </c>
    </row>
    <row r="772">
      <c r="A772" s="26" t="n">
        <v>45809</v>
      </c>
      <c r="B772" s="12" t="inlineStr">
        <is>
          <t>Daily Food</t>
        </is>
      </c>
      <c r="C772" s="12" t="inlineStr">
        <is>
          <t>Actual</t>
        </is>
      </c>
      <c r="D772" s="12" t="inlineStr">
        <is>
          <t>Core</t>
        </is>
      </c>
      <c r="E772" s="27" t="n">
        <v>580</v>
      </c>
      <c r="G772" s="28">
        <f>IF(IFERROR(INDEX(Categories!$C$2:$C$200,MATCH(B772,Categories!$A$2:$A$200,0)),"N")="Y",E772,0)</f>
        <v/>
      </c>
    </row>
    <row r="773">
      <c r="A773" s="26" t="n">
        <v>45809</v>
      </c>
      <c r="B773" s="12" t="inlineStr">
        <is>
          <t>Donation</t>
        </is>
      </c>
      <c r="C773" s="12" t="inlineStr">
        <is>
          <t>Actual</t>
        </is>
      </c>
      <c r="D773" s="12" t="inlineStr">
        <is>
          <t>Over &amp; above</t>
        </is>
      </c>
      <c r="E773" s="27" t="n">
        <v>50</v>
      </c>
      <c r="G773" s="28">
        <f>IF(IFERROR(INDEX(Categories!$C$2:$C$200,MATCH(B773,Categories!$A$2:$A$200,0)),"N")="Y",E773,0)</f>
        <v/>
      </c>
    </row>
    <row r="774">
      <c r="A774" s="26" t="n">
        <v>45809</v>
      </c>
      <c r="B774" s="12" t="inlineStr">
        <is>
          <t>Groceries</t>
        </is>
      </c>
      <c r="C774" s="12" t="inlineStr">
        <is>
          <t>Actual</t>
        </is>
      </c>
      <c r="D774" s="12" t="inlineStr">
        <is>
          <t>Core</t>
        </is>
      </c>
      <c r="E774" s="27" t="n">
        <v>560</v>
      </c>
      <c r="G774" s="28">
        <f>IF(IFERROR(INDEX(Categories!$C$2:$C$200,MATCH(B774,Categories!$A$2:$A$200,0)),"N")="Y",E774,0)</f>
        <v/>
      </c>
    </row>
    <row r="775">
      <c r="A775" s="26" t="n">
        <v>45809</v>
      </c>
      <c r="B775" s="12" t="inlineStr">
        <is>
          <t>Household</t>
        </is>
      </c>
      <c r="C775" s="12" t="inlineStr">
        <is>
          <t>Actual</t>
        </is>
      </c>
      <c r="D775" s="12" t="inlineStr">
        <is>
          <t>Core</t>
        </is>
      </c>
      <c r="E775" s="27" t="n">
        <v>300</v>
      </c>
      <c r="G775" s="28">
        <f>IF(IFERROR(INDEX(Categories!$C$2:$C$200,MATCH(B775,Categories!$A$2:$A$200,0)),"N")="Y",E775,0)</f>
        <v/>
      </c>
    </row>
    <row r="776">
      <c r="A776" s="26" t="n">
        <v>45809</v>
      </c>
      <c r="B776" s="12" t="inlineStr">
        <is>
          <t>Insurance</t>
        </is>
      </c>
      <c r="C776" s="12" t="inlineStr">
        <is>
          <t>Actual</t>
        </is>
      </c>
      <c r="D776" s="12" t="inlineStr">
        <is>
          <t>Core</t>
        </is>
      </c>
      <c r="E776" s="27" t="n">
        <v>400</v>
      </c>
      <c r="G776" s="28">
        <f>IF(IFERROR(INDEX(Categories!$C$2:$C$200,MATCH(B776,Categories!$A$2:$A$200,0)),"N")="Y",E776,0)</f>
        <v/>
      </c>
    </row>
    <row r="777">
      <c r="A777" s="26" t="n">
        <v>45809</v>
      </c>
      <c r="B777" s="12" t="inlineStr">
        <is>
          <t>Shopping</t>
        </is>
      </c>
      <c r="C777" s="12" t="inlineStr">
        <is>
          <t>Actual</t>
        </is>
      </c>
      <c r="D777" s="12" t="inlineStr">
        <is>
          <t>Over &amp; above</t>
        </is>
      </c>
      <c r="E777" s="27" t="n">
        <v>200</v>
      </c>
      <c r="G777" s="28">
        <f>IF(IFERROR(INDEX(Categories!$C$2:$C$200,MATCH(B777,Categories!$A$2:$A$200,0)),"N")="Y",E777,0)</f>
        <v/>
      </c>
    </row>
    <row r="778">
      <c r="A778" s="26" t="n">
        <v>45809</v>
      </c>
      <c r="B778" s="12" t="inlineStr">
        <is>
          <t>Subscriptions</t>
        </is>
      </c>
      <c r="C778" s="12" t="inlineStr">
        <is>
          <t>Actual</t>
        </is>
      </c>
      <c r="D778" s="12" t="inlineStr">
        <is>
          <t>Over &amp; above</t>
        </is>
      </c>
      <c r="E778" s="27" t="n">
        <v>60</v>
      </c>
      <c r="G778" s="28">
        <f>IF(IFERROR(INDEX(Categories!$C$2:$C$200,MATCH(B778,Categories!$A$2:$A$200,0)),"N")="Y",E778,0)</f>
        <v/>
      </c>
    </row>
    <row r="779">
      <c r="A779" s="26" t="n">
        <v>45809</v>
      </c>
      <c r="B779" s="12" t="inlineStr">
        <is>
          <t>Transport</t>
        </is>
      </c>
      <c r="C779" s="12" t="inlineStr">
        <is>
          <t>Actual</t>
        </is>
      </c>
      <c r="D779" s="12" t="inlineStr">
        <is>
          <t>Core</t>
        </is>
      </c>
      <c r="E779" s="27" t="n">
        <v>150</v>
      </c>
      <c r="G779" s="28">
        <f>IF(IFERROR(INDEX(Categories!$C$2:$C$200,MATCH(B779,Categories!$A$2:$A$200,0)),"N")="Y",E779,0)</f>
        <v/>
      </c>
    </row>
    <row r="780">
      <c r="A780" s="26" t="n">
        <v>45809</v>
      </c>
      <c r="B780" s="12" t="inlineStr">
        <is>
          <t>Transport</t>
        </is>
      </c>
      <c r="C780" s="12" t="inlineStr">
        <is>
          <t>Actual</t>
        </is>
      </c>
      <c r="D780" s="12" t="inlineStr">
        <is>
          <t>Over &amp; above</t>
        </is>
      </c>
      <c r="E780" s="27" t="n">
        <v>120</v>
      </c>
      <c r="F780" s="28" t="inlineStr">
        <is>
          <t>Cab fares (trimmable)</t>
        </is>
      </c>
      <c r="G780" s="28">
        <f>IF(IFERROR(INDEX(Categories!$C$2:$C$200,MATCH(B780,Categories!$A$2:$A$200,0)),"N")="Y",E780,0)</f>
        <v/>
      </c>
    </row>
  </sheetData>
  <dataValidations count="3">
    <dataValidation sqref="C2:C5000" showDropDown="0" showInputMessage="0" showErrorMessage="0" allowBlank="1" type="list">
      <formula1>"Income,Actual,One-off"</formula1>
    </dataValidation>
    <dataValidation sqref="D2:D5000" showDropDown="0" showInputMessage="0" showErrorMessage="0" allowBlank="1" type="list">
      <formula1>"—,Core,Over &amp; above,One-off,Reimbursable,Investment"</formula1>
    </dataValidation>
    <dataValidation sqref="B2:B5000" showDropDown="0" showInputMessage="0" showErrorMessage="0" allowBlank="1" type="list">
      <formula1>=Categories!$A$2:$A$60</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6" customWidth="1" min="3" max="3"/>
  </cols>
  <sheetData>
    <row r="1">
      <c r="A1" s="25" t="inlineStr">
        <is>
          <t>Category</t>
        </is>
      </c>
      <c r="B1" s="25" t="inlineStr">
        <is>
          <t>Effective From</t>
        </is>
      </c>
      <c r="C1" s="25" t="inlineStr">
        <is>
          <t>Monthly Budget</t>
        </is>
      </c>
    </row>
    <row r="2">
      <c r="A2" s="29" t="inlineStr">
        <is>
          <t>Daily Food</t>
        </is>
      </c>
      <c r="B2" s="30" t="n">
        <v>39448</v>
      </c>
      <c r="C2" s="31" t="n">
        <v>400</v>
      </c>
    </row>
    <row r="3">
      <c r="A3" s="29" t="inlineStr">
        <is>
          <t>Daily Food</t>
        </is>
      </c>
      <c r="B3" s="30" t="n">
        <v>42005</v>
      </c>
      <c r="C3" s="31" t="n">
        <v>500</v>
      </c>
    </row>
    <row r="4">
      <c r="A4" s="29" t="inlineStr">
        <is>
          <t>Daily Food</t>
        </is>
      </c>
      <c r="B4" s="30" t="n">
        <v>44927</v>
      </c>
      <c r="C4" s="31" t="n">
        <v>600</v>
      </c>
    </row>
    <row r="5">
      <c r="A5" s="29" t="inlineStr">
        <is>
          <t>Transport</t>
        </is>
      </c>
      <c r="B5" s="30" t="n">
        <v>39448</v>
      </c>
      <c r="C5" s="31" t="n">
        <v>250</v>
      </c>
    </row>
    <row r="6">
      <c r="A6" s="29" t="inlineStr">
        <is>
          <t>Transport</t>
        </is>
      </c>
      <c r="B6" s="30" t="n">
        <v>43101</v>
      </c>
      <c r="C6" s="31" t="n">
        <v>300</v>
      </c>
    </row>
    <row r="7">
      <c r="A7" s="29" t="inlineStr">
        <is>
          <t>Groceries</t>
        </is>
      </c>
      <c r="B7" s="30" t="n">
        <v>39448</v>
      </c>
      <c r="C7" s="31" t="n">
        <v>350</v>
      </c>
    </row>
    <row r="8">
      <c r="A8" s="29" t="inlineStr">
        <is>
          <t>Groceries</t>
        </is>
      </c>
      <c r="B8" s="30" t="n">
        <v>43101</v>
      </c>
      <c r="C8" s="31" t="n">
        <v>450</v>
      </c>
    </row>
    <row r="9">
      <c r="A9" s="29" t="inlineStr">
        <is>
          <t>Groceries</t>
        </is>
      </c>
      <c r="B9" s="30" t="n">
        <v>44927</v>
      </c>
      <c r="C9" s="31" t="n">
        <v>500</v>
      </c>
    </row>
    <row r="10">
      <c r="A10" s="29" t="inlineStr">
        <is>
          <t>Bills</t>
        </is>
      </c>
      <c r="B10" s="30" t="n">
        <v>39448</v>
      </c>
      <c r="C10" s="31" t="n">
        <v>120</v>
      </c>
    </row>
    <row r="11">
      <c r="A11" s="29" t="inlineStr">
        <is>
          <t>Bills</t>
        </is>
      </c>
      <c r="B11" s="30" t="n">
        <v>42370</v>
      </c>
      <c r="C11" s="31" t="n">
        <v>180</v>
      </c>
    </row>
    <row r="12">
      <c r="A12" s="29" t="inlineStr">
        <is>
          <t>Bills</t>
        </is>
      </c>
      <c r="B12" s="30" t="n">
        <v>44927</v>
      </c>
      <c r="C12" s="31" t="n">
        <v>200</v>
      </c>
    </row>
    <row r="13">
      <c r="A13" s="29" t="inlineStr">
        <is>
          <t>Insurance</t>
        </is>
      </c>
      <c r="B13" s="30" t="n">
        <v>39448</v>
      </c>
      <c r="C13" s="31" t="n">
        <v>200</v>
      </c>
    </row>
    <row r="14">
      <c r="A14" s="29" t="inlineStr">
        <is>
          <t>Insurance</t>
        </is>
      </c>
      <c r="B14" s="30" t="n">
        <v>42005</v>
      </c>
      <c r="C14" s="31" t="n">
        <v>350</v>
      </c>
    </row>
    <row r="15">
      <c r="A15" s="29" t="inlineStr">
        <is>
          <t>Insurance</t>
        </is>
      </c>
      <c r="B15" s="30" t="n">
        <v>44927</v>
      </c>
      <c r="C15" s="31" t="n">
        <v>400</v>
      </c>
    </row>
    <row r="16">
      <c r="A16" s="29" t="inlineStr">
        <is>
          <t>Household</t>
        </is>
      </c>
      <c r="B16" s="30" t="n">
        <v>39448</v>
      </c>
      <c r="C16" s="31" t="n">
        <v>300</v>
      </c>
    </row>
    <row r="17">
      <c r="A17" s="29" t="inlineStr">
        <is>
          <t>Household</t>
        </is>
      </c>
      <c r="B17" s="30" t="n">
        <v>43831</v>
      </c>
      <c r="C17" s="31" t="n">
        <v>350</v>
      </c>
    </row>
    <row r="18">
      <c r="A18" s="29" t="inlineStr">
        <is>
          <t>Donation</t>
        </is>
      </c>
      <c r="B18" s="30" t="n">
        <v>39448</v>
      </c>
      <c r="C18" s="31" t="n">
        <v>30</v>
      </c>
    </row>
    <row r="19">
      <c r="A19" s="29" t="inlineStr">
        <is>
          <t>Donation</t>
        </is>
      </c>
      <c r="B19" s="30" t="n">
        <v>43831</v>
      </c>
      <c r="C19" s="31" t="n">
        <v>50</v>
      </c>
    </row>
    <row r="20">
      <c r="A20" s="29" t="inlineStr">
        <is>
          <t>Subscriptions</t>
        </is>
      </c>
      <c r="B20" s="30" t="n">
        <v>43101</v>
      </c>
      <c r="C20" s="31" t="n">
        <v>40</v>
      </c>
    </row>
    <row r="21">
      <c r="A21" s="29" t="inlineStr">
        <is>
          <t>Subscriptions</t>
        </is>
      </c>
      <c r="B21" s="30" t="n">
        <v>44927</v>
      </c>
      <c r="C21" s="31" t="n">
        <v>60</v>
      </c>
    </row>
    <row r="22">
      <c r="A22" s="29" t="inlineStr">
        <is>
          <t>Shopping</t>
        </is>
      </c>
      <c r="B22" s="30" t="n">
        <v>44927</v>
      </c>
      <c r="C22" s="31" t="n">
        <v>150</v>
      </c>
    </row>
    <row r="24">
      <c r="A24" s="32" t="inlineStr">
        <is>
          <t>To revise a budget, add a NEW row for the category with a later 'Effective From' date. Blue = you edit.</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F62"/>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8" customWidth="1" min="4" max="4"/>
    <col width="2" customWidth="1" min="5" max="5"/>
    <col width="18" customWidth="1" min="6" max="6"/>
  </cols>
  <sheetData>
    <row r="1">
      <c r="A1" s="25" t="inlineStr">
        <is>
          <t>Category</t>
        </is>
      </c>
      <c r="B1" s="25" t="inlineStr">
        <is>
          <t>Group</t>
        </is>
      </c>
      <c r="C1" s="25" t="inlineStr">
        <is>
          <t>Invested (Y/N)</t>
        </is>
      </c>
      <c r="D1" s="25" t="inlineStr">
        <is>
          <t>Active</t>
        </is>
      </c>
      <c r="E1" s="25" t="inlineStr"/>
      <c r="F1" s="25" t="inlineStr">
        <is>
          <t>ExpenseOrder (auto)</t>
        </is>
      </c>
    </row>
    <row r="2">
      <c r="A2" s="29" t="inlineStr">
        <is>
          <t>Salary</t>
        </is>
      </c>
      <c r="B2" s="29" t="inlineStr">
        <is>
          <t>Income</t>
        </is>
      </c>
      <c r="C2" s="29" t="inlineStr">
        <is>
          <t>N</t>
        </is>
      </c>
      <c r="D2" s="29" t="inlineStr">
        <is>
          <t>Y</t>
        </is>
      </c>
      <c r="F2" s="33">
        <f>IF(AND($B2="Expense",$D2="Y"),COUNTIFS($B$2:$B2,"Expense",$D$2:$D2,"Y"),"")</f>
        <v/>
      </c>
    </row>
    <row r="3">
      <c r="A3" s="29" t="inlineStr">
        <is>
          <t>Interest</t>
        </is>
      </c>
      <c r="B3" s="29" t="inlineStr">
        <is>
          <t>Income</t>
        </is>
      </c>
      <c r="C3" s="29" t="inlineStr">
        <is>
          <t>N</t>
        </is>
      </c>
      <c r="D3" s="29" t="inlineStr">
        <is>
          <t>Y</t>
        </is>
      </c>
      <c r="F3" s="33">
        <f>IF(AND($B3="Expense",$D3="Y"),COUNTIFS($B$2:$B3,"Expense",$D$2:$D3,"Y"),"")</f>
        <v/>
      </c>
    </row>
    <row r="4">
      <c r="A4" s="29" t="inlineStr">
        <is>
          <t>Dividends</t>
        </is>
      </c>
      <c r="B4" s="29" t="inlineStr">
        <is>
          <t>Income</t>
        </is>
      </c>
      <c r="C4" s="29" t="inlineStr">
        <is>
          <t>N</t>
        </is>
      </c>
      <c r="D4" s="29" t="inlineStr">
        <is>
          <t>Y</t>
        </is>
      </c>
      <c r="F4" s="33">
        <f>IF(AND($B4="Expense",$D4="Y"),COUNTIFS($B$2:$B4,"Expense",$D$2:$D4,"Y"),"")</f>
        <v/>
      </c>
    </row>
    <row r="5">
      <c r="A5" s="29" t="inlineStr">
        <is>
          <t>Bonus/Claims</t>
        </is>
      </c>
      <c r="B5" s="29" t="inlineStr">
        <is>
          <t>Income</t>
        </is>
      </c>
      <c r="C5" s="29" t="inlineStr">
        <is>
          <t>N</t>
        </is>
      </c>
      <c r="D5" s="29" t="inlineStr">
        <is>
          <t>Y</t>
        </is>
      </c>
      <c r="F5" s="33">
        <f>IF(AND($B5="Expense",$D5="Y"),COUNTIFS($B$2:$B5,"Expense",$D$2:$D5,"Y"),"")</f>
        <v/>
      </c>
    </row>
    <row r="6">
      <c r="A6" s="29" t="inlineStr">
        <is>
          <t>Daily Food</t>
        </is>
      </c>
      <c r="B6" s="29" t="inlineStr">
        <is>
          <t>Expense</t>
        </is>
      </c>
      <c r="C6" s="29" t="inlineStr">
        <is>
          <t>N</t>
        </is>
      </c>
      <c r="D6" s="29" t="inlineStr">
        <is>
          <t>Y</t>
        </is>
      </c>
      <c r="F6" s="33">
        <f>IF(AND($B6="Expense",$D6="Y"),COUNTIFS($B$2:$B6,"Expense",$D$2:$D6,"Y"),"")</f>
        <v/>
      </c>
    </row>
    <row r="7">
      <c r="A7" s="29" t="inlineStr">
        <is>
          <t>Transport</t>
        </is>
      </c>
      <c r="B7" s="29" t="inlineStr">
        <is>
          <t>Expense</t>
        </is>
      </c>
      <c r="C7" s="29" t="inlineStr">
        <is>
          <t>N</t>
        </is>
      </c>
      <c r="D7" s="29" t="inlineStr">
        <is>
          <t>Y</t>
        </is>
      </c>
      <c r="F7" s="33">
        <f>IF(AND($B7="Expense",$D7="Y"),COUNTIFS($B$2:$B7,"Expense",$D$2:$D7,"Y"),"")</f>
        <v/>
      </c>
    </row>
    <row r="8">
      <c r="A8" s="29" t="inlineStr">
        <is>
          <t>Credit Card</t>
        </is>
      </c>
      <c r="B8" s="29" t="inlineStr">
        <is>
          <t>Expense</t>
        </is>
      </c>
      <c r="C8" s="29" t="inlineStr">
        <is>
          <t>N</t>
        </is>
      </c>
      <c r="D8" s="29" t="inlineStr">
        <is>
          <t>Y</t>
        </is>
      </c>
      <c r="F8" s="33">
        <f>IF(AND($B8="Expense",$D8="Y"),COUNTIFS($B$2:$B8,"Expense",$D$2:$D8,"Y"),"")</f>
        <v/>
      </c>
    </row>
    <row r="9">
      <c r="A9" s="29" t="inlineStr">
        <is>
          <t>Household</t>
        </is>
      </c>
      <c r="B9" s="29" t="inlineStr">
        <is>
          <t>Expense</t>
        </is>
      </c>
      <c r="C9" s="29" t="inlineStr">
        <is>
          <t>N</t>
        </is>
      </c>
      <c r="D9" s="29" t="inlineStr">
        <is>
          <t>Y</t>
        </is>
      </c>
      <c r="F9" s="33">
        <f>IF(AND($B9="Expense",$D9="Y"),COUNTIFS($B$2:$B9,"Expense",$D$2:$D9,"Y"),"")</f>
        <v/>
      </c>
    </row>
    <row r="10">
      <c r="A10" s="29" t="inlineStr">
        <is>
          <t>Tax</t>
        </is>
      </c>
      <c r="B10" s="29" t="inlineStr">
        <is>
          <t>Expense</t>
        </is>
      </c>
      <c r="C10" s="29" t="inlineStr">
        <is>
          <t>N</t>
        </is>
      </c>
      <c r="D10" s="29" t="inlineStr">
        <is>
          <t>Y</t>
        </is>
      </c>
      <c r="F10" s="33">
        <f>IF(AND($B10="Expense",$D10="Y"),COUNTIFS($B$2:$B10,"Expense",$D$2:$D10,"Y"),"")</f>
        <v/>
      </c>
    </row>
    <row r="11">
      <c r="A11" s="29" t="inlineStr">
        <is>
          <t>Savings for holiday</t>
        </is>
      </c>
      <c r="B11" s="29" t="inlineStr">
        <is>
          <t>Expense</t>
        </is>
      </c>
      <c r="C11" s="29" t="inlineStr">
        <is>
          <t>N</t>
        </is>
      </c>
      <c r="D11" s="29" t="inlineStr">
        <is>
          <t>Y</t>
        </is>
      </c>
      <c r="F11" s="33">
        <f>IF(AND($B11="Expense",$D11="Y"),COUNTIFS($B$2:$B11,"Expense",$D$2:$D11,"Y"),"")</f>
        <v/>
      </c>
    </row>
    <row r="12">
      <c r="A12" s="29" t="inlineStr">
        <is>
          <t>Bills</t>
        </is>
      </c>
      <c r="B12" s="29" t="inlineStr">
        <is>
          <t>Expense</t>
        </is>
      </c>
      <c r="C12" s="29" t="inlineStr">
        <is>
          <t>N</t>
        </is>
      </c>
      <c r="D12" s="29" t="inlineStr">
        <is>
          <t>Y</t>
        </is>
      </c>
      <c r="F12" s="33">
        <f>IF(AND($B12="Expense",$D12="Y"),COUNTIFS($B$2:$B12,"Expense",$D$2:$D12,"Y"),"")</f>
        <v/>
      </c>
    </row>
    <row r="13">
      <c r="A13" s="29" t="inlineStr">
        <is>
          <t>Insurance</t>
        </is>
      </c>
      <c r="B13" s="29" t="inlineStr">
        <is>
          <t>Expense</t>
        </is>
      </c>
      <c r="C13" s="29" t="inlineStr">
        <is>
          <t>N</t>
        </is>
      </c>
      <c r="D13" s="29" t="inlineStr">
        <is>
          <t>Y</t>
        </is>
      </c>
      <c r="F13" s="33">
        <f>IF(AND($B13="Expense",$D13="Y"),COUNTIFS($B$2:$B13,"Expense",$D$2:$D13,"Y"),"")</f>
        <v/>
      </c>
    </row>
    <row r="14">
      <c r="A14" s="29" t="inlineStr">
        <is>
          <t>Donation</t>
        </is>
      </c>
      <c r="B14" s="29" t="inlineStr">
        <is>
          <t>Expense</t>
        </is>
      </c>
      <c r="C14" s="29" t="inlineStr">
        <is>
          <t>N</t>
        </is>
      </c>
      <c r="D14" s="29" t="inlineStr">
        <is>
          <t>Y</t>
        </is>
      </c>
      <c r="F14" s="33">
        <f>IF(AND($B14="Expense",$D14="Y"),COUNTIFS($B$2:$B14,"Expense",$D$2:$D14,"Y"),"")</f>
        <v/>
      </c>
    </row>
    <row r="15">
      <c r="A15" s="29" t="inlineStr">
        <is>
          <t>Misc</t>
        </is>
      </c>
      <c r="B15" s="29" t="inlineStr">
        <is>
          <t>One-off</t>
        </is>
      </c>
      <c r="C15" s="29" t="inlineStr">
        <is>
          <t>N</t>
        </is>
      </c>
      <c r="D15" s="29" t="inlineStr">
        <is>
          <t>Y</t>
        </is>
      </c>
      <c r="F15" s="33">
        <f>IF(AND($B15="Expense",$D15="Y"),COUNTIFS($B$2:$B15,"Expense",$D$2:$D15,"Y"),"")</f>
        <v/>
      </c>
    </row>
    <row r="16">
      <c r="A16" s="29" t="inlineStr">
        <is>
          <t>Investment</t>
        </is>
      </c>
      <c r="B16" s="29" t="inlineStr">
        <is>
          <t>One-off</t>
        </is>
      </c>
      <c r="C16" s="29" t="inlineStr">
        <is>
          <t>Y</t>
        </is>
      </c>
      <c r="D16" s="29" t="inlineStr">
        <is>
          <t>Y</t>
        </is>
      </c>
      <c r="F16" s="33">
        <f>IF(AND($B16="Expense",$D16="Y"),COUNTIFS($B$2:$B16,"Expense",$D$2:$D16,"Y"),"")</f>
        <v/>
      </c>
    </row>
    <row r="17">
      <c r="A17" s="29" t="inlineStr">
        <is>
          <t>Wedding+House</t>
        </is>
      </c>
      <c r="B17" s="29" t="inlineStr">
        <is>
          <t>One-off</t>
        </is>
      </c>
      <c r="C17" s="29" t="inlineStr">
        <is>
          <t>Y</t>
        </is>
      </c>
      <c r="D17" s="29" t="inlineStr">
        <is>
          <t>Y</t>
        </is>
      </c>
      <c r="F17" s="33">
        <f>IF(AND($B17="Expense",$D17="Y"),COUNTIFS($B$2:$B17,"Expense",$D$2:$D17,"Y"),"")</f>
        <v/>
      </c>
    </row>
    <row r="18">
      <c r="A18" s="29" t="inlineStr">
        <is>
          <t>Uncategorised</t>
        </is>
      </c>
      <c r="B18" s="29" t="inlineStr">
        <is>
          <t>Expense</t>
        </is>
      </c>
      <c r="C18" s="29" t="inlineStr">
        <is>
          <t>N</t>
        </is>
      </c>
      <c r="D18" s="29" t="inlineStr">
        <is>
          <t>Y</t>
        </is>
      </c>
      <c r="F18" s="33">
        <f>IF(AND($B18="Expense",$D18="Y"),COUNTIFS($B$2:$B18,"Expense",$D$2:$D18,"Y"),"")</f>
        <v/>
      </c>
    </row>
    <row r="19">
      <c r="A19" s="29" t="inlineStr">
        <is>
          <t>Groceries</t>
        </is>
      </c>
      <c r="B19" s="29" t="inlineStr">
        <is>
          <t>Expense</t>
        </is>
      </c>
      <c r="C19" s="29" t="inlineStr">
        <is>
          <t>N</t>
        </is>
      </c>
      <c r="D19" s="29" t="inlineStr">
        <is>
          <t>Y</t>
        </is>
      </c>
      <c r="F19" s="33">
        <f>IF(AND($B19="Expense",$D19="Y"),COUNTIFS($B$2:$B19,"Expense",$D$2:$D19,"Y"),"")</f>
        <v/>
      </c>
    </row>
    <row r="20">
      <c r="A20" s="29" t="inlineStr">
        <is>
          <t>Subscriptions</t>
        </is>
      </c>
      <c r="B20" s="29" t="inlineStr">
        <is>
          <t>Expense</t>
        </is>
      </c>
      <c r="C20" s="29" t="inlineStr">
        <is>
          <t>N</t>
        </is>
      </c>
      <c r="D20" s="29" t="inlineStr">
        <is>
          <t>Y</t>
        </is>
      </c>
      <c r="F20" s="33">
        <f>IF(AND($B20="Expense",$D20="Y"),COUNTIFS($B$2:$B20,"Expense",$D$2:$D20,"Y"),"")</f>
        <v/>
      </c>
    </row>
    <row r="21">
      <c r="A21" s="29" t="inlineStr">
        <is>
          <t>Shopping</t>
        </is>
      </c>
      <c r="B21" s="29" t="inlineStr">
        <is>
          <t>Expense</t>
        </is>
      </c>
      <c r="C21" s="29" t="inlineStr">
        <is>
          <t>N</t>
        </is>
      </c>
      <c r="D21" s="29" t="inlineStr">
        <is>
          <t>Y</t>
        </is>
      </c>
      <c r="F21" s="33">
        <f>IF(AND($B21="Expense",$D21="Y"),COUNTIFS($B$2:$B21,"Expense",$D$2:$D21,"Y"),"")</f>
        <v/>
      </c>
    </row>
    <row r="22">
      <c r="A22" s="29" t="inlineStr">
        <is>
          <t>Parents Allowance</t>
        </is>
      </c>
      <c r="B22" s="29" t="inlineStr">
        <is>
          <t>Expense</t>
        </is>
      </c>
      <c r="C22" s="29" t="inlineStr">
        <is>
          <t>N</t>
        </is>
      </c>
      <c r="D22" s="29" t="inlineStr">
        <is>
          <t>Y</t>
        </is>
      </c>
      <c r="F22" s="33">
        <f>IF(AND($B22="Expense",$D22="Y"),COUNTIFS($B$2:$B22,"Expense",$D$2:$D22,"Y"),"")</f>
        <v/>
      </c>
    </row>
    <row r="23">
      <c r="A23" s="29" t="inlineStr">
        <is>
          <t>Childcare</t>
        </is>
      </c>
      <c r="B23" s="29" t="inlineStr">
        <is>
          <t>Expense</t>
        </is>
      </c>
      <c r="C23" s="29" t="inlineStr">
        <is>
          <t>N</t>
        </is>
      </c>
      <c r="D23" s="29" t="inlineStr">
        <is>
          <t>Y</t>
        </is>
      </c>
      <c r="F23" s="33">
        <f>IF(AND($B23="Expense",$D23="Y"),COUNTIFS($B$2:$B23,"Expense",$D$2:$D23,"Y"),"")</f>
        <v/>
      </c>
    </row>
    <row r="24">
      <c r="A24" s="29" t="inlineStr">
        <is>
          <t>Kids Enrichment</t>
        </is>
      </c>
      <c r="B24" s="29" t="inlineStr">
        <is>
          <t>Expense</t>
        </is>
      </c>
      <c r="C24" s="29" t="inlineStr">
        <is>
          <t>N</t>
        </is>
      </c>
      <c r="D24" s="29" t="inlineStr">
        <is>
          <t>Y</t>
        </is>
      </c>
      <c r="F24" s="33">
        <f>IF(AND($B24="Expense",$D24="Y"),COUNTIFS($B$2:$B24,"Expense",$D$2:$D24,"Y"),"")</f>
        <v/>
      </c>
    </row>
    <row r="25">
      <c r="A25" s="29" t="inlineStr">
        <is>
          <t>Household Help</t>
        </is>
      </c>
      <c r="B25" s="29" t="inlineStr">
        <is>
          <t>Expense</t>
        </is>
      </c>
      <c r="C25" s="29" t="inlineStr">
        <is>
          <t>N</t>
        </is>
      </c>
      <c r="D25" s="29" t="inlineStr">
        <is>
          <t>Y</t>
        </is>
      </c>
      <c r="F25" s="33">
        <f>IF(AND($B25="Expense",$D25="Y"),COUNTIFS($B$2:$B25,"Expense",$D$2:$D25,"Y"),"")</f>
        <v/>
      </c>
    </row>
    <row r="26">
      <c r="A26" s="34" t="n"/>
      <c r="B26" s="34" t="n"/>
      <c r="C26" s="34" t="n"/>
      <c r="D26" s="34" t="n"/>
      <c r="F26" s="33">
        <f>IF(AND($B26="Expense",$D26="Y"),COUNTIFS($B$2:$B26,"Expense",$D$2:$D26,"Y"),"")</f>
        <v/>
      </c>
    </row>
    <row r="27">
      <c r="A27" s="34" t="n"/>
      <c r="B27" s="34" t="n"/>
      <c r="C27" s="34" t="n"/>
      <c r="D27" s="34" t="n"/>
      <c r="F27" s="33">
        <f>IF(AND($B27="Expense",$D27="Y"),COUNTIFS($B$2:$B27,"Expense",$D$2:$D27,"Y"),"")</f>
        <v/>
      </c>
    </row>
    <row r="28">
      <c r="A28" s="34" t="n"/>
      <c r="B28" s="34" t="n"/>
      <c r="C28" s="34" t="n"/>
      <c r="D28" s="34" t="n"/>
      <c r="F28" s="33">
        <f>IF(AND($B28="Expense",$D28="Y"),COUNTIFS($B$2:$B28,"Expense",$D$2:$D28,"Y"),"")</f>
        <v/>
      </c>
    </row>
    <row r="29">
      <c r="A29" s="34" t="n"/>
      <c r="B29" s="34" t="n"/>
      <c r="C29" s="34" t="n"/>
      <c r="D29" s="34" t="n"/>
      <c r="F29" s="33">
        <f>IF(AND($B29="Expense",$D29="Y"),COUNTIFS($B$2:$B29,"Expense",$D$2:$D29,"Y"),"")</f>
        <v/>
      </c>
    </row>
    <row r="30">
      <c r="A30" s="34" t="n"/>
      <c r="B30" s="34" t="n"/>
      <c r="C30" s="34" t="n"/>
      <c r="D30" s="34" t="n"/>
      <c r="F30" s="33">
        <f>IF(AND($B30="Expense",$D30="Y"),COUNTIFS($B$2:$B30,"Expense",$D$2:$D30,"Y"),"")</f>
        <v/>
      </c>
    </row>
    <row r="31">
      <c r="A31" s="34" t="n"/>
      <c r="B31" s="34" t="n"/>
      <c r="C31" s="34" t="n"/>
      <c r="D31" s="34" t="n"/>
      <c r="F31" s="33">
        <f>IF(AND($B31="Expense",$D31="Y"),COUNTIFS($B$2:$B31,"Expense",$D$2:$D31,"Y"),"")</f>
        <v/>
      </c>
    </row>
    <row r="32">
      <c r="A32" s="34" t="n"/>
      <c r="B32" s="34" t="n"/>
      <c r="C32" s="34" t="n"/>
      <c r="D32" s="34" t="n"/>
      <c r="F32" s="33">
        <f>IF(AND($B32="Expense",$D32="Y"),COUNTIFS($B$2:$B32,"Expense",$D$2:$D32,"Y"),"")</f>
        <v/>
      </c>
    </row>
    <row r="33">
      <c r="A33" s="34" t="n"/>
      <c r="B33" s="34" t="n"/>
      <c r="C33" s="34" t="n"/>
      <c r="D33" s="34" t="n"/>
      <c r="F33" s="33">
        <f>IF(AND($B33="Expense",$D33="Y"),COUNTIFS($B$2:$B33,"Expense",$D$2:$D33,"Y"),"")</f>
        <v/>
      </c>
    </row>
    <row r="34">
      <c r="A34" s="34" t="n"/>
      <c r="B34" s="34" t="n"/>
      <c r="C34" s="34" t="n"/>
      <c r="D34" s="34" t="n"/>
      <c r="F34" s="33">
        <f>IF(AND($B34="Expense",$D34="Y"),COUNTIFS($B$2:$B34,"Expense",$D$2:$D34,"Y"),"")</f>
        <v/>
      </c>
    </row>
    <row r="35">
      <c r="A35" s="34" t="n"/>
      <c r="B35" s="34" t="n"/>
      <c r="C35" s="34" t="n"/>
      <c r="D35" s="34" t="n"/>
      <c r="F35" s="33">
        <f>IF(AND($B35="Expense",$D35="Y"),COUNTIFS($B$2:$B35,"Expense",$D$2:$D35,"Y"),"")</f>
        <v/>
      </c>
    </row>
    <row r="36">
      <c r="A36" s="34" t="n"/>
      <c r="B36" s="34" t="n"/>
      <c r="C36" s="34" t="n"/>
      <c r="D36" s="34" t="n"/>
      <c r="F36" s="33">
        <f>IF(AND($B36="Expense",$D36="Y"),COUNTIFS($B$2:$B36,"Expense",$D$2:$D36,"Y"),"")</f>
        <v/>
      </c>
    </row>
    <row r="37">
      <c r="A37" s="34" t="n"/>
      <c r="B37" s="34" t="n"/>
      <c r="C37" s="34" t="n"/>
      <c r="D37" s="34" t="n"/>
      <c r="F37" s="33">
        <f>IF(AND($B37="Expense",$D37="Y"),COUNTIFS($B$2:$B37,"Expense",$D$2:$D37,"Y"),"")</f>
        <v/>
      </c>
    </row>
    <row r="38">
      <c r="A38" s="34" t="n"/>
      <c r="B38" s="34" t="n"/>
      <c r="C38" s="34" t="n"/>
      <c r="D38" s="34" t="n"/>
      <c r="F38" s="33">
        <f>IF(AND($B38="Expense",$D38="Y"),COUNTIFS($B$2:$B38,"Expense",$D$2:$D38,"Y"),"")</f>
        <v/>
      </c>
    </row>
    <row r="39">
      <c r="A39" s="34" t="n"/>
      <c r="B39" s="34" t="n"/>
      <c r="C39" s="34" t="n"/>
      <c r="D39" s="34" t="n"/>
      <c r="F39" s="33">
        <f>IF(AND($B39="Expense",$D39="Y"),COUNTIFS($B$2:$B39,"Expense",$D$2:$D39,"Y"),"")</f>
        <v/>
      </c>
    </row>
    <row r="40">
      <c r="A40" s="34" t="n"/>
      <c r="B40" s="34" t="n"/>
      <c r="C40" s="34" t="n"/>
      <c r="D40" s="34" t="n"/>
      <c r="F40" s="33">
        <f>IF(AND($B40="Expense",$D40="Y"),COUNTIFS($B$2:$B40,"Expense",$D$2:$D40,"Y"),"")</f>
        <v/>
      </c>
    </row>
    <row r="41">
      <c r="A41" s="34" t="n"/>
      <c r="B41" s="34" t="n"/>
      <c r="C41" s="34" t="n"/>
      <c r="D41" s="34" t="n"/>
      <c r="F41" s="33">
        <f>IF(AND($B41="Expense",$D41="Y"),COUNTIFS($B$2:$B41,"Expense",$D$2:$D41,"Y"),"")</f>
        <v/>
      </c>
    </row>
    <row r="42">
      <c r="A42" s="34" t="n"/>
      <c r="B42" s="34" t="n"/>
      <c r="C42" s="34" t="n"/>
      <c r="D42" s="34" t="n"/>
      <c r="F42" s="33">
        <f>IF(AND($B42="Expense",$D42="Y"),COUNTIFS($B$2:$B42,"Expense",$D$2:$D42,"Y"),"")</f>
        <v/>
      </c>
    </row>
    <row r="43">
      <c r="A43" s="34" t="n"/>
      <c r="B43" s="34" t="n"/>
      <c r="C43" s="34" t="n"/>
      <c r="D43" s="34" t="n"/>
      <c r="F43" s="33">
        <f>IF(AND($B43="Expense",$D43="Y"),COUNTIFS($B$2:$B43,"Expense",$D$2:$D43,"Y"),"")</f>
        <v/>
      </c>
    </row>
    <row r="44">
      <c r="A44" s="34" t="n"/>
      <c r="B44" s="34" t="n"/>
      <c r="C44" s="34" t="n"/>
      <c r="D44" s="34" t="n"/>
      <c r="F44" s="33">
        <f>IF(AND($B44="Expense",$D44="Y"),COUNTIFS($B$2:$B44,"Expense",$D$2:$D44,"Y"),"")</f>
        <v/>
      </c>
    </row>
    <row r="45">
      <c r="A45" s="34" t="n"/>
      <c r="B45" s="34" t="n"/>
      <c r="C45" s="34" t="n"/>
      <c r="D45" s="34" t="n"/>
      <c r="F45" s="33">
        <f>IF(AND($B45="Expense",$D45="Y"),COUNTIFS($B$2:$B45,"Expense",$D$2:$D45,"Y"),"")</f>
        <v/>
      </c>
    </row>
    <row r="46">
      <c r="A46" s="34" t="n"/>
      <c r="B46" s="34" t="n"/>
      <c r="C46" s="34" t="n"/>
      <c r="D46" s="34" t="n"/>
      <c r="F46" s="33">
        <f>IF(AND($B46="Expense",$D46="Y"),COUNTIFS($B$2:$B46,"Expense",$D$2:$D46,"Y"),"")</f>
        <v/>
      </c>
    </row>
    <row r="47">
      <c r="A47" s="34" t="n"/>
      <c r="B47" s="34" t="n"/>
      <c r="C47" s="34" t="n"/>
      <c r="D47" s="34" t="n"/>
      <c r="F47" s="33">
        <f>IF(AND($B47="Expense",$D47="Y"),COUNTIFS($B$2:$B47,"Expense",$D$2:$D47,"Y"),"")</f>
        <v/>
      </c>
    </row>
    <row r="48">
      <c r="A48" s="34" t="n"/>
      <c r="B48" s="34" t="n"/>
      <c r="C48" s="34" t="n"/>
      <c r="D48" s="34" t="n"/>
      <c r="F48" s="33">
        <f>IF(AND($B48="Expense",$D48="Y"),COUNTIFS($B$2:$B48,"Expense",$D$2:$D48,"Y"),"")</f>
        <v/>
      </c>
    </row>
    <row r="49">
      <c r="A49" s="34" t="n"/>
      <c r="B49" s="34" t="n"/>
      <c r="C49" s="34" t="n"/>
      <c r="D49" s="34" t="n"/>
      <c r="F49" s="33">
        <f>IF(AND($B49="Expense",$D49="Y"),COUNTIFS($B$2:$B49,"Expense",$D$2:$D49,"Y"),"")</f>
        <v/>
      </c>
    </row>
    <row r="50">
      <c r="A50" s="34" t="n"/>
      <c r="B50" s="34" t="n"/>
      <c r="C50" s="34" t="n"/>
      <c r="D50" s="34" t="n"/>
      <c r="F50" s="33">
        <f>IF(AND($B50="Expense",$D50="Y"),COUNTIFS($B$2:$B50,"Expense",$D$2:$D50,"Y"),"")</f>
        <v/>
      </c>
    </row>
    <row r="51">
      <c r="A51" s="34" t="n"/>
      <c r="B51" s="34" t="n"/>
      <c r="C51" s="34" t="n"/>
      <c r="D51" s="34" t="n"/>
      <c r="F51" s="33">
        <f>IF(AND($B51="Expense",$D51="Y"),COUNTIFS($B$2:$B51,"Expense",$D$2:$D51,"Y"),"")</f>
        <v/>
      </c>
    </row>
    <row r="52">
      <c r="A52" s="34" t="n"/>
      <c r="B52" s="34" t="n"/>
      <c r="C52" s="34" t="n"/>
      <c r="D52" s="34" t="n"/>
      <c r="F52" s="33">
        <f>IF(AND($B52="Expense",$D52="Y"),COUNTIFS($B$2:$B52,"Expense",$D$2:$D52,"Y"),"")</f>
        <v/>
      </c>
    </row>
    <row r="53">
      <c r="A53" s="34" t="n"/>
      <c r="B53" s="34" t="n"/>
      <c r="C53" s="34" t="n"/>
      <c r="D53" s="34" t="n"/>
      <c r="F53" s="33">
        <f>IF(AND($B53="Expense",$D53="Y"),COUNTIFS($B$2:$B53,"Expense",$D$2:$D53,"Y"),"")</f>
        <v/>
      </c>
    </row>
    <row r="54">
      <c r="A54" s="34" t="n"/>
      <c r="B54" s="34" t="n"/>
      <c r="C54" s="34" t="n"/>
      <c r="D54" s="34" t="n"/>
      <c r="F54" s="33">
        <f>IF(AND($B54="Expense",$D54="Y"),COUNTIFS($B$2:$B54,"Expense",$D$2:$D54,"Y"),"")</f>
        <v/>
      </c>
    </row>
    <row r="55">
      <c r="A55" s="34" t="n"/>
      <c r="B55" s="34" t="n"/>
      <c r="C55" s="34" t="n"/>
      <c r="D55" s="34" t="n"/>
      <c r="F55" s="33">
        <f>IF(AND($B55="Expense",$D55="Y"),COUNTIFS($B$2:$B55,"Expense",$D$2:$D55,"Y"),"")</f>
        <v/>
      </c>
    </row>
    <row r="56">
      <c r="A56" s="34" t="n"/>
      <c r="B56" s="34" t="n"/>
      <c r="C56" s="34" t="n"/>
      <c r="D56" s="34" t="n"/>
      <c r="F56" s="33">
        <f>IF(AND($B56="Expense",$D56="Y"),COUNTIFS($B$2:$B56,"Expense",$D$2:$D56,"Y"),"")</f>
        <v/>
      </c>
    </row>
    <row r="57">
      <c r="A57" s="34" t="n"/>
      <c r="B57" s="34" t="n"/>
      <c r="C57" s="34" t="n"/>
      <c r="D57" s="34" t="n"/>
      <c r="F57" s="33">
        <f>IF(AND($B57="Expense",$D57="Y"),COUNTIFS($B$2:$B57,"Expense",$D$2:$D57,"Y"),"")</f>
        <v/>
      </c>
    </row>
    <row r="58">
      <c r="A58" s="34" t="n"/>
      <c r="B58" s="34" t="n"/>
      <c r="C58" s="34" t="n"/>
      <c r="D58" s="34" t="n"/>
      <c r="F58" s="33">
        <f>IF(AND($B58="Expense",$D58="Y"),COUNTIFS($B$2:$B58,"Expense",$D$2:$D58,"Y"),"")</f>
        <v/>
      </c>
    </row>
    <row r="59">
      <c r="A59" s="34" t="n"/>
      <c r="B59" s="34" t="n"/>
      <c r="C59" s="34" t="n"/>
      <c r="D59" s="34" t="n"/>
      <c r="F59" s="33">
        <f>IF(AND($B59="Expense",$D59="Y"),COUNTIFS($B$2:$B59,"Expense",$D$2:$D59,"Y"),"")</f>
        <v/>
      </c>
    </row>
    <row r="60">
      <c r="A60" s="34" t="n"/>
      <c r="B60" s="34" t="n"/>
      <c r="C60" s="34" t="n"/>
      <c r="D60" s="34" t="n"/>
      <c r="F60" s="33">
        <f>IF(AND($B60="Expense",$D60="Y"),COUNTIFS($B$2:$B60,"Expense",$D$2:$D60,"Y"),"")</f>
        <v/>
      </c>
    </row>
    <row r="62">
      <c r="A62" s="32" t="inlineStr">
        <is>
          <t>Add a category by typing in the next empty (yellow) row. Group = Income / Expense / One-off; Active = Y to include it. Categories appear in the breakdown automatically.</t>
        </is>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17C69-26DA-EB47-A28A-A241BD0E117E}">
  <dimension ref="A1:S302"/>
  <sheetViews>
    <sheetView topLeftCell="H1" workbookViewId="0">
      <selection activeCell="S3" sqref="S3"/>
    </sheetView>
  </sheetViews>
  <sheetFormatPr baseColWidth="10" defaultRowHeight="15" x14ac:dyDescent="0.2"/>
  <cols>
    <col min="1" max="1" width="10" customWidth="1"/>
    <col min="2" max="10" width="10.33203125" customWidth="1"/>
    <col min="11" max="11" width="12.33203125" bestFit="1" customWidth="1"/>
    <col min="12" max="18" width="10.33203125" customWidth="1"/>
  </cols>
  <sheetData>
    <row r="1" spans="1:19" ht="17" x14ac:dyDescent="0.2">
      <c r="A1" s="70" t="inlineStr">
        <is>
          <t xml:space="preserve">Monthly expenses by category</t>
        </is>
      </c>
    </row>
    <row r="2" spans="1:19" ht="30" customHeight="1" x14ac:dyDescent="0.2">
      <c r="A2" s="71" t="inlineStr">
        <is>
          <t xml:space="preserve">Month</t>
        </is>
      </c>
      <c r="B2" s="71">
        <f>'Monthly Summary'!W1</f>
      </c>
      <c r="C2" s="71">
        <f>'Monthly Summary'!X1</f>
      </c>
      <c r="D2" s="71">
        <f>'Monthly Summary'!Y1</f>
      </c>
      <c r="E2" s="71">
        <f>'Monthly Summary'!Z1</f>
      </c>
      <c r="F2" s="71">
        <f>'Monthly Summary'!AA1</f>
      </c>
      <c r="G2" s="71">
        <f>'Monthly Summary'!AB1</f>
      </c>
      <c r="H2" s="71">
        <f>'Monthly Summary'!AC1</f>
      </c>
      <c r="I2" s="71">
        <f>'Monthly Summary'!AD1</f>
      </c>
      <c r="J2" s="71">
        <f>'Monthly Summary'!AE1</f>
      </c>
      <c r="K2" s="71">
        <f>'Monthly Summary'!AF1</f>
      </c>
      <c r="L2" s="71">
        <f>'Monthly Summary'!AG1</f>
      </c>
      <c r="M2" s="71">
        <f>'Monthly Summary'!AH1</f>
      </c>
      <c r="N2" s="71">
        <f>'Monthly Summary'!AI1</f>
      </c>
      <c r="O2" s="71">
        <f>'Monthly Summary'!AJ1</f>
      </c>
      <c r="P2" s="71">
        <f>'Monthly Summary'!AK1</f>
      </c>
      <c r="Q2" s="71">
        <f>'Monthly Summary'!AL1</f>
      </c>
      <c r="R2" s="71">
        <f>'Monthly Summary'!AM1</f>
      </c>
      <c r="S2" s="72" t="inlineStr">
        <is>
          <t xml:space="preserve">Total Expenses</t>
        </is>
      </c>
    </row>
    <row r="3" spans="1:19" x14ac:dyDescent="0.2">
      <c r="A3" s="73">
        <f>'Monthly Summary'!A2</f>
      </c>
      <c r="B3" s="74">
        <f>IF('Monthly Summary'!W2="",NA(),'Monthly Summary'!W2)</f>
      </c>
      <c r="C3" s="74">
        <f>IF('Monthly Summary'!X2="",NA(),'Monthly Summary'!X2)</f>
      </c>
      <c r="D3" s="74">
        <f>IF('Monthly Summary'!Y2="",NA(),'Monthly Summary'!Y2)</f>
      </c>
      <c r="E3" s="74">
        <f>IF('Monthly Summary'!Z2="",NA(),'Monthly Summary'!Z2)</f>
      </c>
      <c r="F3" s="74">
        <f>IF('Monthly Summary'!AA2="",NA(),'Monthly Summary'!AA2)</f>
      </c>
      <c r="G3" s="74">
        <f>IF('Monthly Summary'!AB2="",NA(),'Monthly Summary'!AB2)</f>
      </c>
      <c r="H3" s="74">
        <f>IF('Monthly Summary'!AC2="",NA(),'Monthly Summary'!AC2)</f>
      </c>
      <c r="I3" s="74">
        <f>IF('Monthly Summary'!AD2="",NA(),'Monthly Summary'!AD2)</f>
      </c>
      <c r="J3" s="74">
        <f>IF('Monthly Summary'!AE2="",NA(),'Monthly Summary'!AE2)</f>
      </c>
      <c r="K3" s="74">
        <f>IF('Monthly Summary'!AF2="",NA(),'Monthly Summary'!AF2)</f>
      </c>
      <c r="L3" s="74">
        <f>IF('Monthly Summary'!AG2="",NA(),'Monthly Summary'!AG2)</f>
      </c>
      <c r="M3" s="74">
        <f>IF('Monthly Summary'!AH2="",NA(),'Monthly Summary'!AH2)</f>
      </c>
      <c r="N3" s="74">
        <f>IF('Monthly Summary'!AI2="",NA(),'Monthly Summary'!AI2)</f>
      </c>
      <c r="O3" s="74">
        <f>IF('Monthly Summary'!AJ2="",NA(),'Monthly Summary'!AJ2)</f>
      </c>
      <c r="P3" s="74">
        <f>IF('Monthly Summary'!AK2="",NA(),'Monthly Summary'!AK2)</f>
      </c>
      <c r="Q3" s="74">
        <f>IF('Monthly Summary'!AL2="",NA(),'Monthly Summary'!AL2)</f>
      </c>
      <c r="R3" s="74">
        <f>IF('Monthly Summary'!AM2="",NA(),'Monthly Summary'!AM2)</f>
      </c>
      <c r="S3" s="74">
        <f>IF('Monthly Summary'!C2="",NA(),'Monthly Summary'!C2)</f>
      </c>
    </row>
    <row r="4" spans="1:19" x14ac:dyDescent="0.2">
      <c r="A4" s="73">
        <f>'Monthly Summary'!A3</f>
      </c>
      <c r="B4" s="74">
        <f>IF('Monthly Summary'!W3="",NA(),'Monthly Summary'!W3)</f>
      </c>
      <c r="C4" s="74">
        <f>IF('Monthly Summary'!X3="",NA(),'Monthly Summary'!X3)</f>
      </c>
      <c r="D4" s="74">
        <f>IF('Monthly Summary'!Y3="",NA(),'Monthly Summary'!Y3)</f>
      </c>
      <c r="E4" s="74">
        <f>IF('Monthly Summary'!Z3="",NA(),'Monthly Summary'!Z3)</f>
      </c>
      <c r="F4" s="74">
        <f>IF('Monthly Summary'!AA3="",NA(),'Monthly Summary'!AA3)</f>
      </c>
      <c r="G4" s="74">
        <f>IF('Monthly Summary'!AB3="",NA(),'Monthly Summary'!AB3)</f>
      </c>
      <c r="H4" s="74">
        <f>IF('Monthly Summary'!AC3="",NA(),'Monthly Summary'!AC3)</f>
      </c>
      <c r="I4" s="74">
        <f>IF('Monthly Summary'!AD3="",NA(),'Monthly Summary'!AD3)</f>
      </c>
      <c r="J4" s="74">
        <f>IF('Monthly Summary'!AE3="",NA(),'Monthly Summary'!AE3)</f>
      </c>
      <c r="K4" s="74">
        <f>IF('Monthly Summary'!AF3="",NA(),'Monthly Summary'!AF3)</f>
      </c>
      <c r="L4" s="74">
        <f>IF('Monthly Summary'!AG3="",NA(),'Monthly Summary'!AG3)</f>
      </c>
      <c r="M4" s="74">
        <f>IF('Monthly Summary'!AH3="",NA(),'Monthly Summary'!AH3)</f>
      </c>
      <c r="N4" s="74">
        <f>IF('Monthly Summary'!AI3="",NA(),'Monthly Summary'!AI3)</f>
      </c>
      <c r="O4" s="74">
        <f>IF('Monthly Summary'!AJ3="",NA(),'Monthly Summary'!AJ3)</f>
      </c>
      <c r="P4" s="74">
        <f>IF('Monthly Summary'!AK3="",NA(),'Monthly Summary'!AK3)</f>
      </c>
      <c r="Q4" s="74">
        <f>IF('Monthly Summary'!AL3="",NA(),'Monthly Summary'!AL3)</f>
      </c>
      <c r="R4" s="74">
        <f>IF('Monthly Summary'!AM3="",NA(),'Monthly Summary'!AM3)</f>
      </c>
      <c r="S4" s="74">
        <f>IF('Monthly Summary'!C3="",NA(),'Monthly Summary'!C3)</f>
      </c>
    </row>
    <row r="5" spans="1:19" x14ac:dyDescent="0.2">
      <c r="A5" s="73">
        <f>'Monthly Summary'!A4</f>
      </c>
      <c r="B5" s="74">
        <f>IF('Monthly Summary'!W4="",NA(),'Monthly Summary'!W4)</f>
      </c>
      <c r="C5" s="74">
        <f>IF('Monthly Summary'!X4="",NA(),'Monthly Summary'!X4)</f>
      </c>
      <c r="D5" s="74">
        <f>IF('Monthly Summary'!Y4="",NA(),'Monthly Summary'!Y4)</f>
      </c>
      <c r="E5" s="74">
        <f>IF('Monthly Summary'!Z4="",NA(),'Monthly Summary'!Z4)</f>
      </c>
      <c r="F5" s="74">
        <f>IF('Monthly Summary'!AA4="",NA(),'Monthly Summary'!AA4)</f>
      </c>
      <c r="G5" s="74">
        <f>IF('Monthly Summary'!AB4="",NA(),'Monthly Summary'!AB4)</f>
      </c>
      <c r="H5" s="74">
        <f>IF('Monthly Summary'!AC4="",NA(),'Monthly Summary'!AC4)</f>
      </c>
      <c r="I5" s="74">
        <f>IF('Monthly Summary'!AD4="",NA(),'Monthly Summary'!AD4)</f>
      </c>
      <c r="J5" s="74">
        <f>IF('Monthly Summary'!AE4="",NA(),'Monthly Summary'!AE4)</f>
      </c>
      <c r="K5" s="74">
        <f>IF('Monthly Summary'!AF4="",NA(),'Monthly Summary'!AF4)</f>
      </c>
      <c r="L5" s="74">
        <f>IF('Monthly Summary'!AG4="",NA(),'Monthly Summary'!AG4)</f>
      </c>
      <c r="M5" s="74">
        <f>IF('Monthly Summary'!AH4="",NA(),'Monthly Summary'!AH4)</f>
      </c>
      <c r="N5" s="74">
        <f>IF('Monthly Summary'!AI4="",NA(),'Monthly Summary'!AI4)</f>
      </c>
      <c r="O5" s="74">
        <f>IF('Monthly Summary'!AJ4="",NA(),'Monthly Summary'!AJ4)</f>
      </c>
      <c r="P5" s="74">
        <f>IF('Monthly Summary'!AK4="",NA(),'Monthly Summary'!AK4)</f>
      </c>
      <c r="Q5" s="74">
        <f>IF('Monthly Summary'!AL4="",NA(),'Monthly Summary'!AL4)</f>
      </c>
      <c r="R5" s="74">
        <f>IF('Monthly Summary'!AM4="",NA(),'Monthly Summary'!AM4)</f>
      </c>
      <c r="S5" s="74">
        <f>IF('Monthly Summary'!C4="",NA(),'Monthly Summary'!C4)</f>
      </c>
    </row>
    <row r="6" spans="1:19" x14ac:dyDescent="0.2">
      <c r="A6" s="73">
        <f>'Monthly Summary'!A5</f>
      </c>
      <c r="B6" s="74">
        <f>IF('Monthly Summary'!W5="",NA(),'Monthly Summary'!W5)</f>
      </c>
      <c r="C6" s="74">
        <f>IF('Monthly Summary'!X5="",NA(),'Monthly Summary'!X5)</f>
      </c>
      <c r="D6" s="74">
        <f>IF('Monthly Summary'!Y5="",NA(),'Monthly Summary'!Y5)</f>
      </c>
      <c r="E6" s="74">
        <f>IF('Monthly Summary'!Z5="",NA(),'Monthly Summary'!Z5)</f>
      </c>
      <c r="F6" s="74">
        <f>IF('Monthly Summary'!AA5="",NA(),'Monthly Summary'!AA5)</f>
      </c>
      <c r="G6" s="74">
        <f>IF('Monthly Summary'!AB5="",NA(),'Monthly Summary'!AB5)</f>
      </c>
      <c r="H6" s="74">
        <f>IF('Monthly Summary'!AC5="",NA(),'Monthly Summary'!AC5)</f>
      </c>
      <c r="I6" s="74">
        <f>IF('Monthly Summary'!AD5="",NA(),'Monthly Summary'!AD5)</f>
      </c>
      <c r="J6" s="74">
        <f>IF('Monthly Summary'!AE5="",NA(),'Monthly Summary'!AE5)</f>
      </c>
      <c r="K6" s="74">
        <f>IF('Monthly Summary'!AF5="",NA(),'Monthly Summary'!AF5)</f>
      </c>
      <c r="L6" s="74">
        <f>IF('Monthly Summary'!AG5="",NA(),'Monthly Summary'!AG5)</f>
      </c>
      <c r="M6" s="74">
        <f>IF('Monthly Summary'!AH5="",NA(),'Monthly Summary'!AH5)</f>
      </c>
      <c r="N6" s="74">
        <f>IF('Monthly Summary'!AI5="",NA(),'Monthly Summary'!AI5)</f>
      </c>
      <c r="O6" s="74">
        <f>IF('Monthly Summary'!AJ5="",NA(),'Monthly Summary'!AJ5)</f>
      </c>
      <c r="P6" s="74">
        <f>IF('Monthly Summary'!AK5="",NA(),'Monthly Summary'!AK5)</f>
      </c>
      <c r="Q6" s="74">
        <f>IF('Monthly Summary'!AL5="",NA(),'Monthly Summary'!AL5)</f>
      </c>
      <c r="R6" s="74">
        <f>IF('Monthly Summary'!AM5="",NA(),'Monthly Summary'!AM5)</f>
      </c>
      <c r="S6" s="74">
        <f>IF('Monthly Summary'!C5="",NA(),'Monthly Summary'!C5)</f>
      </c>
    </row>
    <row r="7" spans="1:19" x14ac:dyDescent="0.2">
      <c r="A7" s="73">
        <f>'Monthly Summary'!A6</f>
      </c>
      <c r="B7" s="74">
        <f>IF('Monthly Summary'!W6="",NA(),'Monthly Summary'!W6)</f>
      </c>
      <c r="C7" s="74">
        <f>IF('Monthly Summary'!X6="",NA(),'Monthly Summary'!X6)</f>
      </c>
      <c r="D7" s="74">
        <f>IF('Monthly Summary'!Y6="",NA(),'Monthly Summary'!Y6)</f>
      </c>
      <c r="E7" s="74">
        <f>IF('Monthly Summary'!Z6="",NA(),'Monthly Summary'!Z6)</f>
      </c>
      <c r="F7" s="74">
        <f>IF('Monthly Summary'!AA6="",NA(),'Monthly Summary'!AA6)</f>
      </c>
      <c r="G7" s="74">
        <f>IF('Monthly Summary'!AB6="",NA(),'Monthly Summary'!AB6)</f>
      </c>
      <c r="H7" s="74">
        <f>IF('Monthly Summary'!AC6="",NA(),'Monthly Summary'!AC6)</f>
      </c>
      <c r="I7" s="74">
        <f>IF('Monthly Summary'!AD6="",NA(),'Monthly Summary'!AD6)</f>
      </c>
      <c r="J7" s="74">
        <f>IF('Monthly Summary'!AE6="",NA(),'Monthly Summary'!AE6)</f>
      </c>
      <c r="K7" s="74">
        <f>IF('Monthly Summary'!AF6="",NA(),'Monthly Summary'!AF6)</f>
      </c>
      <c r="L7" s="74">
        <f>IF('Monthly Summary'!AG6="",NA(),'Monthly Summary'!AG6)</f>
      </c>
      <c r="M7" s="74">
        <f>IF('Monthly Summary'!AH6="",NA(),'Monthly Summary'!AH6)</f>
      </c>
      <c r="N7" s="74">
        <f>IF('Monthly Summary'!AI6="",NA(),'Monthly Summary'!AI6)</f>
      </c>
      <c r="O7" s="74">
        <f>IF('Monthly Summary'!AJ6="",NA(),'Monthly Summary'!AJ6)</f>
      </c>
      <c r="P7" s="74">
        <f>IF('Monthly Summary'!AK6="",NA(),'Monthly Summary'!AK6)</f>
      </c>
      <c r="Q7" s="74">
        <f>IF('Monthly Summary'!AL6="",NA(),'Monthly Summary'!AL6)</f>
      </c>
      <c r="R7" s="74">
        <f>IF('Monthly Summary'!AM6="",NA(),'Monthly Summary'!AM6)</f>
      </c>
      <c r="S7" s="74">
        <f>IF('Monthly Summary'!C6="",NA(),'Monthly Summary'!C6)</f>
      </c>
    </row>
    <row r="8" spans="1:19" x14ac:dyDescent="0.2">
      <c r="A8" s="73">
        <f>'Monthly Summary'!A7</f>
      </c>
      <c r="B8" s="74">
        <f>IF('Monthly Summary'!W7="",NA(),'Monthly Summary'!W7)</f>
      </c>
      <c r="C8" s="74">
        <f>IF('Monthly Summary'!X7="",NA(),'Monthly Summary'!X7)</f>
      </c>
      <c r="D8" s="74">
        <f>IF('Monthly Summary'!Y7="",NA(),'Monthly Summary'!Y7)</f>
      </c>
      <c r="E8" s="74">
        <f>IF('Monthly Summary'!Z7="",NA(),'Monthly Summary'!Z7)</f>
      </c>
      <c r="F8" s="74">
        <f>IF('Monthly Summary'!AA7="",NA(),'Monthly Summary'!AA7)</f>
      </c>
      <c r="G8" s="74">
        <f>IF('Monthly Summary'!AB7="",NA(),'Monthly Summary'!AB7)</f>
      </c>
      <c r="H8" s="74">
        <f>IF('Monthly Summary'!AC7="",NA(),'Monthly Summary'!AC7)</f>
      </c>
      <c r="I8" s="74">
        <f>IF('Monthly Summary'!AD7="",NA(),'Monthly Summary'!AD7)</f>
      </c>
      <c r="J8" s="74">
        <f>IF('Monthly Summary'!AE7="",NA(),'Monthly Summary'!AE7)</f>
      </c>
      <c r="K8" s="74">
        <f>IF('Monthly Summary'!AF7="",NA(),'Monthly Summary'!AF7)</f>
      </c>
      <c r="L8" s="74">
        <f>IF('Monthly Summary'!AG7="",NA(),'Monthly Summary'!AG7)</f>
      </c>
      <c r="M8" s="74">
        <f>IF('Monthly Summary'!AH7="",NA(),'Monthly Summary'!AH7)</f>
      </c>
      <c r="N8" s="74">
        <f>IF('Monthly Summary'!AI7="",NA(),'Monthly Summary'!AI7)</f>
      </c>
      <c r="O8" s="74">
        <f>IF('Monthly Summary'!AJ7="",NA(),'Monthly Summary'!AJ7)</f>
      </c>
      <c r="P8" s="74">
        <f>IF('Monthly Summary'!AK7="",NA(),'Monthly Summary'!AK7)</f>
      </c>
      <c r="Q8" s="74">
        <f>IF('Monthly Summary'!AL7="",NA(),'Monthly Summary'!AL7)</f>
      </c>
      <c r="R8" s="74">
        <f>IF('Monthly Summary'!AM7="",NA(),'Monthly Summary'!AM7)</f>
      </c>
      <c r="S8" s="74">
        <f>IF('Monthly Summary'!C7="",NA(),'Monthly Summary'!C7)</f>
      </c>
    </row>
    <row r="9" spans="1:19" x14ac:dyDescent="0.2">
      <c r="A9" s="73">
        <f>'Monthly Summary'!A8</f>
      </c>
      <c r="B9" s="74">
        <f>IF('Monthly Summary'!W8="",NA(),'Monthly Summary'!W8)</f>
      </c>
      <c r="C9" s="74">
        <f>IF('Monthly Summary'!X8="",NA(),'Monthly Summary'!X8)</f>
      </c>
      <c r="D9" s="74">
        <f>IF('Monthly Summary'!Y8="",NA(),'Monthly Summary'!Y8)</f>
      </c>
      <c r="E9" s="74">
        <f>IF('Monthly Summary'!Z8="",NA(),'Monthly Summary'!Z8)</f>
      </c>
      <c r="F9" s="74">
        <f>IF('Monthly Summary'!AA8="",NA(),'Monthly Summary'!AA8)</f>
      </c>
      <c r="G9" s="74">
        <f>IF('Monthly Summary'!AB8="",NA(),'Monthly Summary'!AB8)</f>
      </c>
      <c r="H9" s="74">
        <f>IF('Monthly Summary'!AC8="",NA(),'Monthly Summary'!AC8)</f>
      </c>
      <c r="I9" s="74">
        <f>IF('Monthly Summary'!AD8="",NA(),'Monthly Summary'!AD8)</f>
      </c>
      <c r="J9" s="74">
        <f>IF('Monthly Summary'!AE8="",NA(),'Monthly Summary'!AE8)</f>
      </c>
      <c r="K9" s="74">
        <f>IF('Monthly Summary'!AF8="",NA(),'Monthly Summary'!AF8)</f>
      </c>
      <c r="L9" s="74">
        <f>IF('Monthly Summary'!AG8="",NA(),'Monthly Summary'!AG8)</f>
      </c>
      <c r="M9" s="74">
        <f>IF('Monthly Summary'!AH8="",NA(),'Monthly Summary'!AH8)</f>
      </c>
      <c r="N9" s="74">
        <f>IF('Monthly Summary'!AI8="",NA(),'Monthly Summary'!AI8)</f>
      </c>
      <c r="O9" s="74">
        <f>IF('Monthly Summary'!AJ8="",NA(),'Monthly Summary'!AJ8)</f>
      </c>
      <c r="P9" s="74">
        <f>IF('Monthly Summary'!AK8="",NA(),'Monthly Summary'!AK8)</f>
      </c>
      <c r="Q9" s="74">
        <f>IF('Monthly Summary'!AL8="",NA(),'Monthly Summary'!AL8)</f>
      </c>
      <c r="R9" s="74">
        <f>IF('Monthly Summary'!AM8="",NA(),'Monthly Summary'!AM8)</f>
      </c>
      <c r="S9" s="74">
        <f>IF('Monthly Summary'!C8="",NA(),'Monthly Summary'!C8)</f>
      </c>
    </row>
    <row r="10" spans="1:19" x14ac:dyDescent="0.2">
      <c r="A10" s="73">
        <f>'Monthly Summary'!A9</f>
      </c>
      <c r="B10" s="74">
        <f>IF('Monthly Summary'!W9="",NA(),'Monthly Summary'!W9)</f>
      </c>
      <c r="C10" s="74">
        <f>IF('Monthly Summary'!X9="",NA(),'Monthly Summary'!X9)</f>
      </c>
      <c r="D10" s="74">
        <f>IF('Monthly Summary'!Y9="",NA(),'Monthly Summary'!Y9)</f>
      </c>
      <c r="E10" s="74">
        <f>IF('Monthly Summary'!Z9="",NA(),'Monthly Summary'!Z9)</f>
      </c>
      <c r="F10" s="74">
        <f>IF('Monthly Summary'!AA9="",NA(),'Monthly Summary'!AA9)</f>
      </c>
      <c r="G10" s="74">
        <f>IF('Monthly Summary'!AB9="",NA(),'Monthly Summary'!AB9)</f>
      </c>
      <c r="H10" s="74">
        <f>IF('Monthly Summary'!AC9="",NA(),'Monthly Summary'!AC9)</f>
      </c>
      <c r="I10" s="74">
        <f>IF('Monthly Summary'!AD9="",NA(),'Monthly Summary'!AD9)</f>
      </c>
      <c r="J10" s="74">
        <f>IF('Monthly Summary'!AE9="",NA(),'Monthly Summary'!AE9)</f>
      </c>
      <c r="K10" s="74">
        <f>IF('Monthly Summary'!AF9="",NA(),'Monthly Summary'!AF9)</f>
      </c>
      <c r="L10" s="74">
        <f>IF('Monthly Summary'!AG9="",NA(),'Monthly Summary'!AG9)</f>
      </c>
      <c r="M10" s="74">
        <f>IF('Monthly Summary'!AH9="",NA(),'Monthly Summary'!AH9)</f>
      </c>
      <c r="N10" s="74">
        <f>IF('Monthly Summary'!AI9="",NA(),'Monthly Summary'!AI9)</f>
      </c>
      <c r="O10" s="74">
        <f>IF('Monthly Summary'!AJ9="",NA(),'Monthly Summary'!AJ9)</f>
      </c>
      <c r="P10" s="74">
        <f>IF('Monthly Summary'!AK9="",NA(),'Monthly Summary'!AK9)</f>
      </c>
      <c r="Q10" s="74">
        <f>IF('Monthly Summary'!AL9="",NA(),'Monthly Summary'!AL9)</f>
      </c>
      <c r="R10" s="74">
        <f>IF('Monthly Summary'!AM9="",NA(),'Monthly Summary'!AM9)</f>
      </c>
      <c r="S10" s="74">
        <f>IF('Monthly Summary'!C9="",NA(),'Monthly Summary'!C9)</f>
      </c>
    </row>
    <row r="11" spans="1:19" x14ac:dyDescent="0.2">
      <c r="A11" s="73">
        <f>'Monthly Summary'!A10</f>
      </c>
      <c r="B11" s="74">
        <f>IF('Monthly Summary'!W10="",NA(),'Monthly Summary'!W10)</f>
      </c>
      <c r="C11" s="74">
        <f>IF('Monthly Summary'!X10="",NA(),'Monthly Summary'!X10)</f>
      </c>
      <c r="D11" s="74">
        <f>IF('Monthly Summary'!Y10="",NA(),'Monthly Summary'!Y10)</f>
      </c>
      <c r="E11" s="74">
        <f>IF('Monthly Summary'!Z10="",NA(),'Monthly Summary'!Z10)</f>
      </c>
      <c r="F11" s="74">
        <f>IF('Monthly Summary'!AA10="",NA(),'Monthly Summary'!AA10)</f>
      </c>
      <c r="G11" s="74">
        <f>IF('Monthly Summary'!AB10="",NA(),'Monthly Summary'!AB10)</f>
      </c>
      <c r="H11" s="74">
        <f>IF('Monthly Summary'!AC10="",NA(),'Monthly Summary'!AC10)</f>
      </c>
      <c r="I11" s="74">
        <f>IF('Monthly Summary'!AD10="",NA(),'Monthly Summary'!AD10)</f>
      </c>
      <c r="J11" s="74">
        <f>IF('Monthly Summary'!AE10="",NA(),'Monthly Summary'!AE10)</f>
      </c>
      <c r="K11" s="74">
        <f>IF('Monthly Summary'!AF10="",NA(),'Monthly Summary'!AF10)</f>
      </c>
      <c r="L11" s="74">
        <f>IF('Monthly Summary'!AG10="",NA(),'Monthly Summary'!AG10)</f>
      </c>
      <c r="M11" s="74">
        <f>IF('Monthly Summary'!AH10="",NA(),'Monthly Summary'!AH10)</f>
      </c>
      <c r="N11" s="74">
        <f>IF('Monthly Summary'!AI10="",NA(),'Monthly Summary'!AI10)</f>
      </c>
      <c r="O11" s="74">
        <f>IF('Monthly Summary'!AJ10="",NA(),'Monthly Summary'!AJ10)</f>
      </c>
      <c r="P11" s="74">
        <f>IF('Monthly Summary'!AK10="",NA(),'Monthly Summary'!AK10)</f>
      </c>
      <c r="Q11" s="74">
        <f>IF('Monthly Summary'!AL10="",NA(),'Monthly Summary'!AL10)</f>
      </c>
      <c r="R11" s="74">
        <f>IF('Monthly Summary'!AM10="",NA(),'Monthly Summary'!AM10)</f>
      </c>
      <c r="S11" s="74">
        <f>IF('Monthly Summary'!C10="",NA(),'Monthly Summary'!C10)</f>
      </c>
    </row>
    <row r="12" spans="1:19" x14ac:dyDescent="0.2">
      <c r="A12" s="73">
        <f>'Monthly Summary'!A11</f>
      </c>
      <c r="B12" s="74">
        <f>IF('Monthly Summary'!W11="",NA(),'Monthly Summary'!W11)</f>
      </c>
      <c r="C12" s="74">
        <f>IF('Monthly Summary'!X11="",NA(),'Monthly Summary'!X11)</f>
      </c>
      <c r="D12" s="74">
        <f>IF('Monthly Summary'!Y11="",NA(),'Monthly Summary'!Y11)</f>
      </c>
      <c r="E12" s="74">
        <f>IF('Monthly Summary'!Z11="",NA(),'Monthly Summary'!Z11)</f>
      </c>
      <c r="F12" s="74">
        <f>IF('Monthly Summary'!AA11="",NA(),'Monthly Summary'!AA11)</f>
      </c>
      <c r="G12" s="74">
        <f>IF('Monthly Summary'!AB11="",NA(),'Monthly Summary'!AB11)</f>
      </c>
      <c r="H12" s="74">
        <f>IF('Monthly Summary'!AC11="",NA(),'Monthly Summary'!AC11)</f>
      </c>
      <c r="I12" s="74">
        <f>IF('Monthly Summary'!AD11="",NA(),'Monthly Summary'!AD11)</f>
      </c>
      <c r="J12" s="74">
        <f>IF('Monthly Summary'!AE11="",NA(),'Monthly Summary'!AE11)</f>
      </c>
      <c r="K12" s="74">
        <f>IF('Monthly Summary'!AF11="",NA(),'Monthly Summary'!AF11)</f>
      </c>
      <c r="L12" s="74">
        <f>IF('Monthly Summary'!AG11="",NA(),'Monthly Summary'!AG11)</f>
      </c>
      <c r="M12" s="74">
        <f>IF('Monthly Summary'!AH11="",NA(),'Monthly Summary'!AH11)</f>
      </c>
      <c r="N12" s="74">
        <f>IF('Monthly Summary'!AI11="",NA(),'Monthly Summary'!AI11)</f>
      </c>
      <c r="O12" s="74">
        <f>IF('Monthly Summary'!AJ11="",NA(),'Monthly Summary'!AJ11)</f>
      </c>
      <c r="P12" s="74">
        <f>IF('Monthly Summary'!AK11="",NA(),'Monthly Summary'!AK11)</f>
      </c>
      <c r="Q12" s="74">
        <f>IF('Monthly Summary'!AL11="",NA(),'Monthly Summary'!AL11)</f>
      </c>
      <c r="R12" s="74">
        <f>IF('Monthly Summary'!AM11="",NA(),'Monthly Summary'!AM11)</f>
      </c>
      <c r="S12" s="74">
        <f>IF('Monthly Summary'!C11="",NA(),'Monthly Summary'!C11)</f>
      </c>
    </row>
    <row r="13" spans="1:19" x14ac:dyDescent="0.2">
      <c r="A13" s="73">
        <f>'Monthly Summary'!A12</f>
      </c>
      <c r="B13" s="74">
        <f>IF('Monthly Summary'!W12="",NA(),'Monthly Summary'!W12)</f>
      </c>
      <c r="C13" s="74">
        <f>IF('Monthly Summary'!X12="",NA(),'Monthly Summary'!X12)</f>
      </c>
      <c r="D13" s="74">
        <f>IF('Monthly Summary'!Y12="",NA(),'Monthly Summary'!Y12)</f>
      </c>
      <c r="E13" s="74">
        <f>IF('Monthly Summary'!Z12="",NA(),'Monthly Summary'!Z12)</f>
      </c>
      <c r="F13" s="74">
        <f>IF('Monthly Summary'!AA12="",NA(),'Monthly Summary'!AA12)</f>
      </c>
      <c r="G13" s="74">
        <f>IF('Monthly Summary'!AB12="",NA(),'Monthly Summary'!AB12)</f>
      </c>
      <c r="H13" s="74">
        <f>IF('Monthly Summary'!AC12="",NA(),'Monthly Summary'!AC12)</f>
      </c>
      <c r="I13" s="74">
        <f>IF('Monthly Summary'!AD12="",NA(),'Monthly Summary'!AD12)</f>
      </c>
      <c r="J13" s="74">
        <f>IF('Monthly Summary'!AE12="",NA(),'Monthly Summary'!AE12)</f>
      </c>
      <c r="K13" s="74">
        <f>IF('Monthly Summary'!AF12="",NA(),'Monthly Summary'!AF12)</f>
      </c>
      <c r="L13" s="74">
        <f>IF('Monthly Summary'!AG12="",NA(),'Monthly Summary'!AG12)</f>
      </c>
      <c r="M13" s="74">
        <f>IF('Monthly Summary'!AH12="",NA(),'Monthly Summary'!AH12)</f>
      </c>
      <c r="N13" s="74">
        <f>IF('Monthly Summary'!AI12="",NA(),'Monthly Summary'!AI12)</f>
      </c>
      <c r="O13" s="74">
        <f>IF('Monthly Summary'!AJ12="",NA(),'Monthly Summary'!AJ12)</f>
      </c>
      <c r="P13" s="74">
        <f>IF('Monthly Summary'!AK12="",NA(),'Monthly Summary'!AK12)</f>
      </c>
      <c r="Q13" s="74">
        <f>IF('Monthly Summary'!AL12="",NA(),'Monthly Summary'!AL12)</f>
      </c>
      <c r="R13" s="74">
        <f>IF('Monthly Summary'!AM12="",NA(),'Monthly Summary'!AM12)</f>
      </c>
      <c r="S13" s="74">
        <f>IF('Monthly Summary'!C12="",NA(),'Monthly Summary'!C12)</f>
      </c>
    </row>
    <row r="14" spans="1:19" x14ac:dyDescent="0.2">
      <c r="A14" s="73">
        <f>'Monthly Summary'!A13</f>
      </c>
      <c r="B14" s="74">
        <f>IF('Monthly Summary'!W13="",NA(),'Monthly Summary'!W13)</f>
      </c>
      <c r="C14" s="74">
        <f>IF('Monthly Summary'!X13="",NA(),'Monthly Summary'!X13)</f>
      </c>
      <c r="D14" s="74">
        <f>IF('Monthly Summary'!Y13="",NA(),'Monthly Summary'!Y13)</f>
      </c>
      <c r="E14" s="74">
        <f>IF('Monthly Summary'!Z13="",NA(),'Monthly Summary'!Z13)</f>
      </c>
      <c r="F14" s="74">
        <f>IF('Monthly Summary'!AA13="",NA(),'Monthly Summary'!AA13)</f>
      </c>
      <c r="G14" s="74">
        <f>IF('Monthly Summary'!AB13="",NA(),'Monthly Summary'!AB13)</f>
      </c>
      <c r="H14" s="74">
        <f>IF('Monthly Summary'!AC13="",NA(),'Monthly Summary'!AC13)</f>
      </c>
      <c r="I14" s="74">
        <f>IF('Monthly Summary'!AD13="",NA(),'Monthly Summary'!AD13)</f>
      </c>
      <c r="J14" s="74">
        <f>IF('Monthly Summary'!AE13="",NA(),'Monthly Summary'!AE13)</f>
      </c>
      <c r="K14" s="74">
        <f>IF('Monthly Summary'!AF13="",NA(),'Monthly Summary'!AF13)</f>
      </c>
      <c r="L14" s="74">
        <f>IF('Monthly Summary'!AG13="",NA(),'Monthly Summary'!AG13)</f>
      </c>
      <c r="M14" s="74">
        <f>IF('Monthly Summary'!AH13="",NA(),'Monthly Summary'!AH13)</f>
      </c>
      <c r="N14" s="74">
        <f>IF('Monthly Summary'!AI13="",NA(),'Monthly Summary'!AI13)</f>
      </c>
      <c r="O14" s="74">
        <f>IF('Monthly Summary'!AJ13="",NA(),'Monthly Summary'!AJ13)</f>
      </c>
      <c r="P14" s="74">
        <f>IF('Monthly Summary'!AK13="",NA(),'Monthly Summary'!AK13)</f>
      </c>
      <c r="Q14" s="74">
        <f>IF('Monthly Summary'!AL13="",NA(),'Monthly Summary'!AL13)</f>
      </c>
      <c r="R14" s="74">
        <f>IF('Monthly Summary'!AM13="",NA(),'Monthly Summary'!AM13)</f>
      </c>
      <c r="S14" s="74">
        <f>IF('Monthly Summary'!C13="",NA(),'Monthly Summary'!C13)</f>
      </c>
    </row>
    <row r="15" spans="1:19" x14ac:dyDescent="0.2">
      <c r="A15" s="73">
        <f>'Monthly Summary'!A14</f>
      </c>
      <c r="B15" s="74">
        <f>IF('Monthly Summary'!W14="",NA(),'Monthly Summary'!W14)</f>
      </c>
      <c r="C15" s="74">
        <f>IF('Monthly Summary'!X14="",NA(),'Monthly Summary'!X14)</f>
      </c>
      <c r="D15" s="74">
        <f>IF('Monthly Summary'!Y14="",NA(),'Monthly Summary'!Y14)</f>
      </c>
      <c r="E15" s="74">
        <f>IF('Monthly Summary'!Z14="",NA(),'Monthly Summary'!Z14)</f>
      </c>
      <c r="F15" s="74">
        <f>IF('Monthly Summary'!AA14="",NA(),'Monthly Summary'!AA14)</f>
      </c>
      <c r="G15" s="74">
        <f>IF('Monthly Summary'!AB14="",NA(),'Monthly Summary'!AB14)</f>
      </c>
      <c r="H15" s="74">
        <f>IF('Monthly Summary'!AC14="",NA(),'Monthly Summary'!AC14)</f>
      </c>
      <c r="I15" s="74">
        <f>IF('Monthly Summary'!AD14="",NA(),'Monthly Summary'!AD14)</f>
      </c>
      <c r="J15" s="74">
        <f>IF('Monthly Summary'!AE14="",NA(),'Monthly Summary'!AE14)</f>
      </c>
      <c r="K15" s="74">
        <f>IF('Monthly Summary'!AF14="",NA(),'Monthly Summary'!AF14)</f>
      </c>
      <c r="L15" s="74">
        <f>IF('Monthly Summary'!AG14="",NA(),'Monthly Summary'!AG14)</f>
      </c>
      <c r="M15" s="74">
        <f>IF('Monthly Summary'!AH14="",NA(),'Monthly Summary'!AH14)</f>
      </c>
      <c r="N15" s="74">
        <f>IF('Monthly Summary'!AI14="",NA(),'Monthly Summary'!AI14)</f>
      </c>
      <c r="O15" s="74">
        <f>IF('Monthly Summary'!AJ14="",NA(),'Monthly Summary'!AJ14)</f>
      </c>
      <c r="P15" s="74">
        <f>IF('Monthly Summary'!AK14="",NA(),'Monthly Summary'!AK14)</f>
      </c>
      <c r="Q15" s="74">
        <f>IF('Monthly Summary'!AL14="",NA(),'Monthly Summary'!AL14)</f>
      </c>
      <c r="R15" s="74">
        <f>IF('Monthly Summary'!AM14="",NA(),'Monthly Summary'!AM14)</f>
      </c>
      <c r="S15" s="74">
        <f>IF('Monthly Summary'!C14="",NA(),'Monthly Summary'!C14)</f>
      </c>
    </row>
    <row r="16" spans="1:19" x14ac:dyDescent="0.2">
      <c r="A16" s="73">
        <f>'Monthly Summary'!A15</f>
      </c>
      <c r="B16" s="74">
        <f>IF('Monthly Summary'!W15="",NA(),'Monthly Summary'!W15)</f>
      </c>
      <c r="C16" s="74">
        <f>IF('Monthly Summary'!X15="",NA(),'Monthly Summary'!X15)</f>
      </c>
      <c r="D16" s="74">
        <f>IF('Monthly Summary'!Y15="",NA(),'Monthly Summary'!Y15)</f>
      </c>
      <c r="E16" s="74">
        <f>IF('Monthly Summary'!Z15="",NA(),'Monthly Summary'!Z15)</f>
      </c>
      <c r="F16" s="74">
        <f>IF('Monthly Summary'!AA15="",NA(),'Monthly Summary'!AA15)</f>
      </c>
      <c r="G16" s="74">
        <f>IF('Monthly Summary'!AB15="",NA(),'Monthly Summary'!AB15)</f>
      </c>
      <c r="H16" s="74">
        <f>IF('Monthly Summary'!AC15="",NA(),'Monthly Summary'!AC15)</f>
      </c>
      <c r="I16" s="74">
        <f>IF('Monthly Summary'!AD15="",NA(),'Monthly Summary'!AD15)</f>
      </c>
      <c r="J16" s="74">
        <f>IF('Monthly Summary'!AE15="",NA(),'Monthly Summary'!AE15)</f>
      </c>
      <c r="K16" s="74">
        <f>IF('Monthly Summary'!AF15="",NA(),'Monthly Summary'!AF15)</f>
      </c>
      <c r="L16" s="74">
        <f>IF('Monthly Summary'!AG15="",NA(),'Monthly Summary'!AG15)</f>
      </c>
      <c r="M16" s="74">
        <f>IF('Monthly Summary'!AH15="",NA(),'Monthly Summary'!AH15)</f>
      </c>
      <c r="N16" s="74">
        <f>IF('Monthly Summary'!AI15="",NA(),'Monthly Summary'!AI15)</f>
      </c>
      <c r="O16" s="74">
        <f>IF('Monthly Summary'!AJ15="",NA(),'Monthly Summary'!AJ15)</f>
      </c>
      <c r="P16" s="74">
        <f>IF('Monthly Summary'!AK15="",NA(),'Monthly Summary'!AK15)</f>
      </c>
      <c r="Q16" s="74">
        <f>IF('Monthly Summary'!AL15="",NA(),'Monthly Summary'!AL15)</f>
      </c>
      <c r="R16" s="74">
        <f>IF('Monthly Summary'!AM15="",NA(),'Monthly Summary'!AM15)</f>
      </c>
      <c r="S16" s="74">
        <f>IF('Monthly Summary'!C15="",NA(),'Monthly Summary'!C15)</f>
      </c>
    </row>
    <row r="17" spans="1:19" x14ac:dyDescent="0.2">
      <c r="A17" s="73">
        <f>'Monthly Summary'!A16</f>
      </c>
      <c r="B17" s="74">
        <f>IF('Monthly Summary'!W16="",NA(),'Monthly Summary'!W16)</f>
      </c>
      <c r="C17" s="74">
        <f>IF('Monthly Summary'!X16="",NA(),'Monthly Summary'!X16)</f>
      </c>
      <c r="D17" s="74">
        <f>IF('Monthly Summary'!Y16="",NA(),'Monthly Summary'!Y16)</f>
      </c>
      <c r="E17" s="74">
        <f>IF('Monthly Summary'!Z16="",NA(),'Monthly Summary'!Z16)</f>
      </c>
      <c r="F17" s="74">
        <f>IF('Monthly Summary'!AA16="",NA(),'Monthly Summary'!AA16)</f>
      </c>
      <c r="G17" s="74">
        <f>IF('Monthly Summary'!AB16="",NA(),'Monthly Summary'!AB16)</f>
      </c>
      <c r="H17" s="74">
        <f>IF('Monthly Summary'!AC16="",NA(),'Monthly Summary'!AC16)</f>
      </c>
      <c r="I17" s="74">
        <f>IF('Monthly Summary'!AD16="",NA(),'Monthly Summary'!AD16)</f>
      </c>
      <c r="J17" s="74">
        <f>IF('Monthly Summary'!AE16="",NA(),'Monthly Summary'!AE16)</f>
      </c>
      <c r="K17" s="74">
        <f>IF('Monthly Summary'!AF16="",NA(),'Monthly Summary'!AF16)</f>
      </c>
      <c r="L17" s="74">
        <f>IF('Monthly Summary'!AG16="",NA(),'Monthly Summary'!AG16)</f>
      </c>
      <c r="M17" s="74">
        <f>IF('Monthly Summary'!AH16="",NA(),'Monthly Summary'!AH16)</f>
      </c>
      <c r="N17" s="74">
        <f>IF('Monthly Summary'!AI16="",NA(),'Monthly Summary'!AI16)</f>
      </c>
      <c r="O17" s="74">
        <f>IF('Monthly Summary'!AJ16="",NA(),'Monthly Summary'!AJ16)</f>
      </c>
      <c r="P17" s="74">
        <f>IF('Monthly Summary'!AK16="",NA(),'Monthly Summary'!AK16)</f>
      </c>
      <c r="Q17" s="74">
        <f>IF('Monthly Summary'!AL16="",NA(),'Monthly Summary'!AL16)</f>
      </c>
      <c r="R17" s="74">
        <f>IF('Monthly Summary'!AM16="",NA(),'Monthly Summary'!AM16)</f>
      </c>
      <c r="S17" s="74">
        <f>IF('Monthly Summary'!C16="",NA(),'Monthly Summary'!C16)</f>
      </c>
    </row>
    <row r="18" spans="1:19" x14ac:dyDescent="0.2">
      <c r="A18" s="73">
        <f>'Monthly Summary'!A17</f>
      </c>
      <c r="B18" s="74">
        <f>IF('Monthly Summary'!W17="",NA(),'Monthly Summary'!W17)</f>
      </c>
      <c r="C18" s="74">
        <f>IF('Monthly Summary'!X17="",NA(),'Monthly Summary'!X17)</f>
      </c>
      <c r="D18" s="74">
        <f>IF('Monthly Summary'!Y17="",NA(),'Monthly Summary'!Y17)</f>
      </c>
      <c r="E18" s="74">
        <f>IF('Monthly Summary'!Z17="",NA(),'Monthly Summary'!Z17)</f>
      </c>
      <c r="F18" s="74">
        <f>IF('Monthly Summary'!AA17="",NA(),'Monthly Summary'!AA17)</f>
      </c>
      <c r="G18" s="74">
        <f>IF('Monthly Summary'!AB17="",NA(),'Monthly Summary'!AB17)</f>
      </c>
      <c r="H18" s="74">
        <f>IF('Monthly Summary'!AC17="",NA(),'Monthly Summary'!AC17)</f>
      </c>
      <c r="I18" s="74">
        <f>IF('Monthly Summary'!AD17="",NA(),'Monthly Summary'!AD17)</f>
      </c>
      <c r="J18" s="74">
        <f>IF('Monthly Summary'!AE17="",NA(),'Monthly Summary'!AE17)</f>
      </c>
      <c r="K18" s="74">
        <f>IF('Monthly Summary'!AF17="",NA(),'Monthly Summary'!AF17)</f>
      </c>
      <c r="L18" s="74">
        <f>IF('Monthly Summary'!AG17="",NA(),'Monthly Summary'!AG17)</f>
      </c>
      <c r="M18" s="74">
        <f>IF('Monthly Summary'!AH17="",NA(),'Monthly Summary'!AH17)</f>
      </c>
      <c r="N18" s="74">
        <f>IF('Monthly Summary'!AI17="",NA(),'Monthly Summary'!AI17)</f>
      </c>
      <c r="O18" s="74">
        <f>IF('Monthly Summary'!AJ17="",NA(),'Monthly Summary'!AJ17)</f>
      </c>
      <c r="P18" s="74">
        <f>IF('Monthly Summary'!AK17="",NA(),'Monthly Summary'!AK17)</f>
      </c>
      <c r="Q18" s="74">
        <f>IF('Monthly Summary'!AL17="",NA(),'Monthly Summary'!AL17)</f>
      </c>
      <c r="R18" s="74">
        <f>IF('Monthly Summary'!AM17="",NA(),'Monthly Summary'!AM17)</f>
      </c>
      <c r="S18" s="74">
        <f>IF('Monthly Summary'!C17="",NA(),'Monthly Summary'!C17)</f>
      </c>
    </row>
    <row r="19" spans="1:19" x14ac:dyDescent="0.2">
      <c r="A19" s="73">
        <f>'Monthly Summary'!A18</f>
      </c>
      <c r="B19" s="74">
        <f>IF('Monthly Summary'!W18="",NA(),'Monthly Summary'!W18)</f>
      </c>
      <c r="C19" s="74">
        <f>IF('Monthly Summary'!X18="",NA(),'Monthly Summary'!X18)</f>
      </c>
      <c r="D19" s="74">
        <f>IF('Monthly Summary'!Y18="",NA(),'Monthly Summary'!Y18)</f>
      </c>
      <c r="E19" s="74">
        <f>IF('Monthly Summary'!Z18="",NA(),'Monthly Summary'!Z18)</f>
      </c>
      <c r="F19" s="74">
        <f>IF('Monthly Summary'!AA18="",NA(),'Monthly Summary'!AA18)</f>
      </c>
      <c r="G19" s="74">
        <f>IF('Monthly Summary'!AB18="",NA(),'Monthly Summary'!AB18)</f>
      </c>
      <c r="H19" s="74">
        <f>IF('Monthly Summary'!AC18="",NA(),'Monthly Summary'!AC18)</f>
      </c>
      <c r="I19" s="74">
        <f>IF('Monthly Summary'!AD18="",NA(),'Monthly Summary'!AD18)</f>
      </c>
      <c r="J19" s="74">
        <f>IF('Monthly Summary'!AE18="",NA(),'Monthly Summary'!AE18)</f>
      </c>
      <c r="K19" s="74">
        <f>IF('Monthly Summary'!AF18="",NA(),'Monthly Summary'!AF18)</f>
      </c>
      <c r="L19" s="74">
        <f>IF('Monthly Summary'!AG18="",NA(),'Monthly Summary'!AG18)</f>
      </c>
      <c r="M19" s="74">
        <f>IF('Monthly Summary'!AH18="",NA(),'Monthly Summary'!AH18)</f>
      </c>
      <c r="N19" s="74">
        <f>IF('Monthly Summary'!AI18="",NA(),'Monthly Summary'!AI18)</f>
      </c>
      <c r="O19" s="74">
        <f>IF('Monthly Summary'!AJ18="",NA(),'Monthly Summary'!AJ18)</f>
      </c>
      <c r="P19" s="74">
        <f>IF('Monthly Summary'!AK18="",NA(),'Monthly Summary'!AK18)</f>
      </c>
      <c r="Q19" s="74">
        <f>IF('Monthly Summary'!AL18="",NA(),'Monthly Summary'!AL18)</f>
      </c>
      <c r="R19" s="74">
        <f>IF('Monthly Summary'!AM18="",NA(),'Monthly Summary'!AM18)</f>
      </c>
      <c r="S19" s="74">
        <f>IF('Monthly Summary'!C18="",NA(),'Monthly Summary'!C18)</f>
      </c>
    </row>
    <row r="20" spans="1:19" x14ac:dyDescent="0.2">
      <c r="A20" s="73">
        <f>'Monthly Summary'!A19</f>
      </c>
      <c r="B20" s="74">
        <f>IF('Monthly Summary'!W19="",NA(),'Monthly Summary'!W19)</f>
      </c>
      <c r="C20" s="74">
        <f>IF('Monthly Summary'!X19="",NA(),'Monthly Summary'!X19)</f>
      </c>
      <c r="D20" s="74">
        <f>IF('Monthly Summary'!Y19="",NA(),'Monthly Summary'!Y19)</f>
      </c>
      <c r="E20" s="74">
        <f>IF('Monthly Summary'!Z19="",NA(),'Monthly Summary'!Z19)</f>
      </c>
      <c r="F20" s="74">
        <f>IF('Monthly Summary'!AA19="",NA(),'Monthly Summary'!AA19)</f>
      </c>
      <c r="G20" s="74">
        <f>IF('Monthly Summary'!AB19="",NA(),'Monthly Summary'!AB19)</f>
      </c>
      <c r="H20" s="74">
        <f>IF('Monthly Summary'!AC19="",NA(),'Monthly Summary'!AC19)</f>
      </c>
      <c r="I20" s="74">
        <f>IF('Monthly Summary'!AD19="",NA(),'Monthly Summary'!AD19)</f>
      </c>
      <c r="J20" s="74">
        <f>IF('Monthly Summary'!AE19="",NA(),'Monthly Summary'!AE19)</f>
      </c>
      <c r="K20" s="74">
        <f>IF('Monthly Summary'!AF19="",NA(),'Monthly Summary'!AF19)</f>
      </c>
      <c r="L20" s="74">
        <f>IF('Monthly Summary'!AG19="",NA(),'Monthly Summary'!AG19)</f>
      </c>
      <c r="M20" s="74">
        <f>IF('Monthly Summary'!AH19="",NA(),'Monthly Summary'!AH19)</f>
      </c>
      <c r="N20" s="74">
        <f>IF('Monthly Summary'!AI19="",NA(),'Monthly Summary'!AI19)</f>
      </c>
      <c r="O20" s="74">
        <f>IF('Monthly Summary'!AJ19="",NA(),'Monthly Summary'!AJ19)</f>
      </c>
      <c r="P20" s="74">
        <f>IF('Monthly Summary'!AK19="",NA(),'Monthly Summary'!AK19)</f>
      </c>
      <c r="Q20" s="74">
        <f>IF('Monthly Summary'!AL19="",NA(),'Monthly Summary'!AL19)</f>
      </c>
      <c r="R20" s="74">
        <f>IF('Monthly Summary'!AM19="",NA(),'Monthly Summary'!AM19)</f>
      </c>
      <c r="S20" s="74">
        <f>IF('Monthly Summary'!C19="",NA(),'Monthly Summary'!C19)</f>
      </c>
    </row>
    <row r="21" spans="1:19" x14ac:dyDescent="0.2">
      <c r="A21" s="73">
        <f>'Monthly Summary'!A20</f>
      </c>
      <c r="B21" s="74">
        <f>IF('Monthly Summary'!W20="",NA(),'Monthly Summary'!W20)</f>
      </c>
      <c r="C21" s="74">
        <f>IF('Monthly Summary'!X20="",NA(),'Monthly Summary'!X20)</f>
      </c>
      <c r="D21" s="74">
        <f>IF('Monthly Summary'!Y20="",NA(),'Monthly Summary'!Y20)</f>
      </c>
      <c r="E21" s="74">
        <f>IF('Monthly Summary'!Z20="",NA(),'Monthly Summary'!Z20)</f>
      </c>
      <c r="F21" s="74">
        <f>IF('Monthly Summary'!AA20="",NA(),'Monthly Summary'!AA20)</f>
      </c>
      <c r="G21" s="74">
        <f>IF('Monthly Summary'!AB20="",NA(),'Monthly Summary'!AB20)</f>
      </c>
      <c r="H21" s="74">
        <f>IF('Monthly Summary'!AC20="",NA(),'Monthly Summary'!AC20)</f>
      </c>
      <c r="I21" s="74">
        <f>IF('Monthly Summary'!AD20="",NA(),'Monthly Summary'!AD20)</f>
      </c>
      <c r="J21" s="74">
        <f>IF('Monthly Summary'!AE20="",NA(),'Monthly Summary'!AE20)</f>
      </c>
      <c r="K21" s="74">
        <f>IF('Monthly Summary'!AF20="",NA(),'Monthly Summary'!AF20)</f>
      </c>
      <c r="L21" s="74">
        <f>IF('Monthly Summary'!AG20="",NA(),'Monthly Summary'!AG20)</f>
      </c>
      <c r="M21" s="74">
        <f>IF('Monthly Summary'!AH20="",NA(),'Monthly Summary'!AH20)</f>
      </c>
      <c r="N21" s="74">
        <f>IF('Monthly Summary'!AI20="",NA(),'Monthly Summary'!AI20)</f>
      </c>
      <c r="O21" s="74">
        <f>IF('Monthly Summary'!AJ20="",NA(),'Monthly Summary'!AJ20)</f>
      </c>
      <c r="P21" s="74">
        <f>IF('Monthly Summary'!AK20="",NA(),'Monthly Summary'!AK20)</f>
      </c>
      <c r="Q21" s="74">
        <f>IF('Monthly Summary'!AL20="",NA(),'Monthly Summary'!AL20)</f>
      </c>
      <c r="R21" s="74">
        <f>IF('Monthly Summary'!AM20="",NA(),'Monthly Summary'!AM20)</f>
      </c>
      <c r="S21" s="74">
        <f>IF('Monthly Summary'!C20="",NA(),'Monthly Summary'!C20)</f>
      </c>
    </row>
    <row r="22" spans="1:19" x14ac:dyDescent="0.2">
      <c r="A22" s="73">
        <f>'Monthly Summary'!A21</f>
      </c>
      <c r="B22" s="74">
        <f>IF('Monthly Summary'!W21="",NA(),'Monthly Summary'!W21)</f>
      </c>
      <c r="C22" s="74">
        <f>IF('Monthly Summary'!X21="",NA(),'Monthly Summary'!X21)</f>
      </c>
      <c r="D22" s="74">
        <f>IF('Monthly Summary'!Y21="",NA(),'Monthly Summary'!Y21)</f>
      </c>
      <c r="E22" s="74">
        <f>IF('Monthly Summary'!Z21="",NA(),'Monthly Summary'!Z21)</f>
      </c>
      <c r="F22" s="74">
        <f>IF('Monthly Summary'!AA21="",NA(),'Monthly Summary'!AA21)</f>
      </c>
      <c r="G22" s="74">
        <f>IF('Monthly Summary'!AB21="",NA(),'Monthly Summary'!AB21)</f>
      </c>
      <c r="H22" s="74">
        <f>IF('Monthly Summary'!AC21="",NA(),'Monthly Summary'!AC21)</f>
      </c>
      <c r="I22" s="74">
        <f>IF('Monthly Summary'!AD21="",NA(),'Monthly Summary'!AD21)</f>
      </c>
      <c r="J22" s="74">
        <f>IF('Monthly Summary'!AE21="",NA(),'Monthly Summary'!AE21)</f>
      </c>
      <c r="K22" s="74">
        <f>IF('Monthly Summary'!AF21="",NA(),'Monthly Summary'!AF21)</f>
      </c>
      <c r="L22" s="74">
        <f>IF('Monthly Summary'!AG21="",NA(),'Monthly Summary'!AG21)</f>
      </c>
      <c r="M22" s="74">
        <f>IF('Monthly Summary'!AH21="",NA(),'Monthly Summary'!AH21)</f>
      </c>
      <c r="N22" s="74">
        <f>IF('Monthly Summary'!AI21="",NA(),'Monthly Summary'!AI21)</f>
      </c>
      <c r="O22" s="74">
        <f>IF('Monthly Summary'!AJ21="",NA(),'Monthly Summary'!AJ21)</f>
      </c>
      <c r="P22" s="74">
        <f>IF('Monthly Summary'!AK21="",NA(),'Monthly Summary'!AK21)</f>
      </c>
      <c r="Q22" s="74">
        <f>IF('Monthly Summary'!AL21="",NA(),'Monthly Summary'!AL21)</f>
      </c>
      <c r="R22" s="74">
        <f>IF('Monthly Summary'!AM21="",NA(),'Monthly Summary'!AM21)</f>
      </c>
      <c r="S22" s="74">
        <f>IF('Monthly Summary'!C21="",NA(),'Monthly Summary'!C21)</f>
      </c>
    </row>
    <row r="23" spans="1:19" x14ac:dyDescent="0.2">
      <c r="A23" s="73">
        <f>'Monthly Summary'!A22</f>
      </c>
      <c r="B23" s="74">
        <f>IF('Monthly Summary'!W22="",NA(),'Monthly Summary'!W22)</f>
      </c>
      <c r="C23" s="74">
        <f>IF('Monthly Summary'!X22="",NA(),'Monthly Summary'!X22)</f>
      </c>
      <c r="D23" s="74">
        <f>IF('Monthly Summary'!Y22="",NA(),'Monthly Summary'!Y22)</f>
      </c>
      <c r="E23" s="74">
        <f>IF('Monthly Summary'!Z22="",NA(),'Monthly Summary'!Z22)</f>
      </c>
      <c r="F23" s="74">
        <f>IF('Monthly Summary'!AA22="",NA(),'Monthly Summary'!AA22)</f>
      </c>
      <c r="G23" s="74">
        <f>IF('Monthly Summary'!AB22="",NA(),'Monthly Summary'!AB22)</f>
      </c>
      <c r="H23" s="74">
        <f>IF('Monthly Summary'!AC22="",NA(),'Monthly Summary'!AC22)</f>
      </c>
      <c r="I23" s="74">
        <f>IF('Monthly Summary'!AD22="",NA(),'Monthly Summary'!AD22)</f>
      </c>
      <c r="J23" s="74">
        <f>IF('Monthly Summary'!AE22="",NA(),'Monthly Summary'!AE22)</f>
      </c>
      <c r="K23" s="74">
        <f>IF('Monthly Summary'!AF22="",NA(),'Monthly Summary'!AF22)</f>
      </c>
      <c r="L23" s="74">
        <f>IF('Monthly Summary'!AG22="",NA(),'Monthly Summary'!AG22)</f>
      </c>
      <c r="M23" s="74">
        <f>IF('Monthly Summary'!AH22="",NA(),'Monthly Summary'!AH22)</f>
      </c>
      <c r="N23" s="74">
        <f>IF('Monthly Summary'!AI22="",NA(),'Monthly Summary'!AI22)</f>
      </c>
      <c r="O23" s="74">
        <f>IF('Monthly Summary'!AJ22="",NA(),'Monthly Summary'!AJ22)</f>
      </c>
      <c r="P23" s="74">
        <f>IF('Monthly Summary'!AK22="",NA(),'Monthly Summary'!AK22)</f>
      </c>
      <c r="Q23" s="74">
        <f>IF('Monthly Summary'!AL22="",NA(),'Monthly Summary'!AL22)</f>
      </c>
      <c r="R23" s="74">
        <f>IF('Monthly Summary'!AM22="",NA(),'Monthly Summary'!AM22)</f>
      </c>
      <c r="S23" s="74">
        <f>IF('Monthly Summary'!C22="",NA(),'Monthly Summary'!C22)</f>
      </c>
    </row>
    <row r="24" spans="1:19" x14ac:dyDescent="0.2">
      <c r="A24" s="73">
        <f>'Monthly Summary'!A23</f>
      </c>
      <c r="B24" s="74">
        <f>IF('Monthly Summary'!W23="",NA(),'Monthly Summary'!W23)</f>
      </c>
      <c r="C24" s="74">
        <f>IF('Monthly Summary'!X23="",NA(),'Monthly Summary'!X23)</f>
      </c>
      <c r="D24" s="74">
        <f>IF('Monthly Summary'!Y23="",NA(),'Monthly Summary'!Y23)</f>
      </c>
      <c r="E24" s="74">
        <f>IF('Monthly Summary'!Z23="",NA(),'Monthly Summary'!Z23)</f>
      </c>
      <c r="F24" s="74">
        <f>IF('Monthly Summary'!AA23="",NA(),'Monthly Summary'!AA23)</f>
      </c>
      <c r="G24" s="74">
        <f>IF('Monthly Summary'!AB23="",NA(),'Monthly Summary'!AB23)</f>
      </c>
      <c r="H24" s="74">
        <f>IF('Monthly Summary'!AC23="",NA(),'Monthly Summary'!AC23)</f>
      </c>
      <c r="I24" s="74">
        <f>IF('Monthly Summary'!AD23="",NA(),'Monthly Summary'!AD23)</f>
      </c>
      <c r="J24" s="74">
        <f>IF('Monthly Summary'!AE23="",NA(),'Monthly Summary'!AE23)</f>
      </c>
      <c r="K24" s="74">
        <f>IF('Monthly Summary'!AF23="",NA(),'Monthly Summary'!AF23)</f>
      </c>
      <c r="L24" s="74">
        <f>IF('Monthly Summary'!AG23="",NA(),'Monthly Summary'!AG23)</f>
      </c>
      <c r="M24" s="74">
        <f>IF('Monthly Summary'!AH23="",NA(),'Monthly Summary'!AH23)</f>
      </c>
      <c r="N24" s="74">
        <f>IF('Monthly Summary'!AI23="",NA(),'Monthly Summary'!AI23)</f>
      </c>
      <c r="O24" s="74">
        <f>IF('Monthly Summary'!AJ23="",NA(),'Monthly Summary'!AJ23)</f>
      </c>
      <c r="P24" s="74">
        <f>IF('Monthly Summary'!AK23="",NA(),'Monthly Summary'!AK23)</f>
      </c>
      <c r="Q24" s="74">
        <f>IF('Monthly Summary'!AL23="",NA(),'Monthly Summary'!AL23)</f>
      </c>
      <c r="R24" s="74">
        <f>IF('Monthly Summary'!AM23="",NA(),'Monthly Summary'!AM23)</f>
      </c>
      <c r="S24" s="74">
        <f>IF('Monthly Summary'!C23="",NA(),'Monthly Summary'!C23)</f>
      </c>
    </row>
    <row r="25" spans="1:19" x14ac:dyDescent="0.2">
      <c r="A25" s="73">
        <f>'Monthly Summary'!A24</f>
      </c>
      <c r="B25" s="74">
        <f>IF('Monthly Summary'!W24="",NA(),'Monthly Summary'!W24)</f>
      </c>
      <c r="C25" s="74">
        <f>IF('Monthly Summary'!X24="",NA(),'Monthly Summary'!X24)</f>
      </c>
      <c r="D25" s="74">
        <f>IF('Monthly Summary'!Y24="",NA(),'Monthly Summary'!Y24)</f>
      </c>
      <c r="E25" s="74">
        <f>IF('Monthly Summary'!Z24="",NA(),'Monthly Summary'!Z24)</f>
      </c>
      <c r="F25" s="74">
        <f>IF('Monthly Summary'!AA24="",NA(),'Monthly Summary'!AA24)</f>
      </c>
      <c r="G25" s="74">
        <f>IF('Monthly Summary'!AB24="",NA(),'Monthly Summary'!AB24)</f>
      </c>
      <c r="H25" s="74">
        <f>IF('Monthly Summary'!AC24="",NA(),'Monthly Summary'!AC24)</f>
      </c>
      <c r="I25" s="74">
        <f>IF('Monthly Summary'!AD24="",NA(),'Monthly Summary'!AD24)</f>
      </c>
      <c r="J25" s="74">
        <f>IF('Monthly Summary'!AE24="",NA(),'Monthly Summary'!AE24)</f>
      </c>
      <c r="K25" s="74">
        <f>IF('Monthly Summary'!AF24="",NA(),'Monthly Summary'!AF24)</f>
      </c>
      <c r="L25" s="74">
        <f>IF('Monthly Summary'!AG24="",NA(),'Monthly Summary'!AG24)</f>
      </c>
      <c r="M25" s="74">
        <f>IF('Monthly Summary'!AH24="",NA(),'Monthly Summary'!AH24)</f>
      </c>
      <c r="N25" s="74">
        <f>IF('Monthly Summary'!AI24="",NA(),'Monthly Summary'!AI24)</f>
      </c>
      <c r="O25" s="74">
        <f>IF('Monthly Summary'!AJ24="",NA(),'Monthly Summary'!AJ24)</f>
      </c>
      <c r="P25" s="74">
        <f>IF('Monthly Summary'!AK24="",NA(),'Monthly Summary'!AK24)</f>
      </c>
      <c r="Q25" s="74">
        <f>IF('Monthly Summary'!AL24="",NA(),'Monthly Summary'!AL24)</f>
      </c>
      <c r="R25" s="74">
        <f>IF('Monthly Summary'!AM24="",NA(),'Monthly Summary'!AM24)</f>
      </c>
      <c r="S25" s="74">
        <f>IF('Monthly Summary'!C24="",NA(),'Monthly Summary'!C24)</f>
      </c>
    </row>
    <row r="26" spans="1:19" x14ac:dyDescent="0.2">
      <c r="A26" s="73">
        <f>'Monthly Summary'!A25</f>
      </c>
      <c r="B26" s="74">
        <f>IF('Monthly Summary'!W25="",NA(),'Monthly Summary'!W25)</f>
      </c>
      <c r="C26" s="74">
        <f>IF('Monthly Summary'!X25="",NA(),'Monthly Summary'!X25)</f>
      </c>
      <c r="D26" s="74">
        <f>IF('Monthly Summary'!Y25="",NA(),'Monthly Summary'!Y25)</f>
      </c>
      <c r="E26" s="74">
        <f>IF('Monthly Summary'!Z25="",NA(),'Monthly Summary'!Z25)</f>
      </c>
      <c r="F26" s="74">
        <f>IF('Monthly Summary'!AA25="",NA(),'Monthly Summary'!AA25)</f>
      </c>
      <c r="G26" s="74">
        <f>IF('Monthly Summary'!AB25="",NA(),'Monthly Summary'!AB25)</f>
      </c>
      <c r="H26" s="74">
        <f>IF('Monthly Summary'!AC25="",NA(),'Monthly Summary'!AC25)</f>
      </c>
      <c r="I26" s="74">
        <f>IF('Monthly Summary'!AD25="",NA(),'Monthly Summary'!AD25)</f>
      </c>
      <c r="J26" s="74">
        <f>IF('Monthly Summary'!AE25="",NA(),'Monthly Summary'!AE25)</f>
      </c>
      <c r="K26" s="74">
        <f>IF('Monthly Summary'!AF25="",NA(),'Monthly Summary'!AF25)</f>
      </c>
      <c r="L26" s="74">
        <f>IF('Monthly Summary'!AG25="",NA(),'Monthly Summary'!AG25)</f>
      </c>
      <c r="M26" s="74">
        <f>IF('Monthly Summary'!AH25="",NA(),'Monthly Summary'!AH25)</f>
      </c>
      <c r="N26" s="74">
        <f>IF('Monthly Summary'!AI25="",NA(),'Monthly Summary'!AI25)</f>
      </c>
      <c r="O26" s="74">
        <f>IF('Monthly Summary'!AJ25="",NA(),'Monthly Summary'!AJ25)</f>
      </c>
      <c r="P26" s="74">
        <f>IF('Monthly Summary'!AK25="",NA(),'Monthly Summary'!AK25)</f>
      </c>
      <c r="Q26" s="74">
        <f>IF('Monthly Summary'!AL25="",NA(),'Monthly Summary'!AL25)</f>
      </c>
      <c r="R26" s="74">
        <f>IF('Monthly Summary'!AM25="",NA(),'Monthly Summary'!AM25)</f>
      </c>
      <c r="S26" s="74">
        <f>IF('Monthly Summary'!C25="",NA(),'Monthly Summary'!C25)</f>
      </c>
    </row>
    <row r="27" spans="1:19" x14ac:dyDescent="0.2">
      <c r="A27" s="73">
        <f>'Monthly Summary'!A26</f>
      </c>
      <c r="B27" s="74">
        <f>IF('Monthly Summary'!W26="",NA(),'Monthly Summary'!W26)</f>
      </c>
      <c r="C27" s="74">
        <f>IF('Monthly Summary'!X26="",NA(),'Monthly Summary'!X26)</f>
      </c>
      <c r="D27" s="74">
        <f>IF('Monthly Summary'!Y26="",NA(),'Monthly Summary'!Y26)</f>
      </c>
      <c r="E27" s="74">
        <f>IF('Monthly Summary'!Z26="",NA(),'Monthly Summary'!Z26)</f>
      </c>
      <c r="F27" s="74">
        <f>IF('Monthly Summary'!AA26="",NA(),'Monthly Summary'!AA26)</f>
      </c>
      <c r="G27" s="74">
        <f>IF('Monthly Summary'!AB26="",NA(),'Monthly Summary'!AB26)</f>
      </c>
      <c r="H27" s="74">
        <f>IF('Monthly Summary'!AC26="",NA(),'Monthly Summary'!AC26)</f>
      </c>
      <c r="I27" s="74">
        <f>IF('Monthly Summary'!AD26="",NA(),'Monthly Summary'!AD26)</f>
      </c>
      <c r="J27" s="74">
        <f>IF('Monthly Summary'!AE26="",NA(),'Monthly Summary'!AE26)</f>
      </c>
      <c r="K27" s="74">
        <f>IF('Monthly Summary'!AF26="",NA(),'Monthly Summary'!AF26)</f>
      </c>
      <c r="L27" s="74">
        <f>IF('Monthly Summary'!AG26="",NA(),'Monthly Summary'!AG26)</f>
      </c>
      <c r="M27" s="74">
        <f>IF('Monthly Summary'!AH26="",NA(),'Monthly Summary'!AH26)</f>
      </c>
      <c r="N27" s="74">
        <f>IF('Monthly Summary'!AI26="",NA(),'Monthly Summary'!AI26)</f>
      </c>
      <c r="O27" s="74">
        <f>IF('Monthly Summary'!AJ26="",NA(),'Monthly Summary'!AJ26)</f>
      </c>
      <c r="P27" s="74">
        <f>IF('Monthly Summary'!AK26="",NA(),'Monthly Summary'!AK26)</f>
      </c>
      <c r="Q27" s="74">
        <f>IF('Monthly Summary'!AL26="",NA(),'Monthly Summary'!AL26)</f>
      </c>
      <c r="R27" s="74">
        <f>IF('Monthly Summary'!AM26="",NA(),'Monthly Summary'!AM26)</f>
      </c>
      <c r="S27" s="74">
        <f>IF('Monthly Summary'!C26="",NA(),'Monthly Summary'!C26)</f>
      </c>
    </row>
    <row r="28" spans="1:19" x14ac:dyDescent="0.2">
      <c r="A28" s="73">
        <f>'Monthly Summary'!A27</f>
      </c>
      <c r="B28" s="74">
        <f>IF('Monthly Summary'!W27="",NA(),'Monthly Summary'!W27)</f>
      </c>
      <c r="C28" s="74">
        <f>IF('Monthly Summary'!X27="",NA(),'Monthly Summary'!X27)</f>
      </c>
      <c r="D28" s="74">
        <f>IF('Monthly Summary'!Y27="",NA(),'Monthly Summary'!Y27)</f>
      </c>
      <c r="E28" s="74">
        <f>IF('Monthly Summary'!Z27="",NA(),'Monthly Summary'!Z27)</f>
      </c>
      <c r="F28" s="74">
        <f>IF('Monthly Summary'!AA27="",NA(),'Monthly Summary'!AA27)</f>
      </c>
      <c r="G28" s="74">
        <f>IF('Monthly Summary'!AB27="",NA(),'Monthly Summary'!AB27)</f>
      </c>
      <c r="H28" s="74">
        <f>IF('Monthly Summary'!AC27="",NA(),'Monthly Summary'!AC27)</f>
      </c>
      <c r="I28" s="74">
        <f>IF('Monthly Summary'!AD27="",NA(),'Monthly Summary'!AD27)</f>
      </c>
      <c r="J28" s="74">
        <f>IF('Monthly Summary'!AE27="",NA(),'Monthly Summary'!AE27)</f>
      </c>
      <c r="K28" s="74">
        <f>IF('Monthly Summary'!AF27="",NA(),'Monthly Summary'!AF27)</f>
      </c>
      <c r="L28" s="74">
        <f>IF('Monthly Summary'!AG27="",NA(),'Monthly Summary'!AG27)</f>
      </c>
      <c r="M28" s="74">
        <f>IF('Monthly Summary'!AH27="",NA(),'Monthly Summary'!AH27)</f>
      </c>
      <c r="N28" s="74">
        <f>IF('Monthly Summary'!AI27="",NA(),'Monthly Summary'!AI27)</f>
      </c>
      <c r="O28" s="74">
        <f>IF('Monthly Summary'!AJ27="",NA(),'Monthly Summary'!AJ27)</f>
      </c>
      <c r="P28" s="74">
        <f>IF('Monthly Summary'!AK27="",NA(),'Monthly Summary'!AK27)</f>
      </c>
      <c r="Q28" s="74">
        <f>IF('Monthly Summary'!AL27="",NA(),'Monthly Summary'!AL27)</f>
      </c>
      <c r="R28" s="74">
        <f>IF('Monthly Summary'!AM27="",NA(),'Monthly Summary'!AM27)</f>
      </c>
      <c r="S28" s="74">
        <f>IF('Monthly Summary'!C27="",NA(),'Monthly Summary'!C27)</f>
      </c>
    </row>
    <row r="29" spans="1:19" x14ac:dyDescent="0.2">
      <c r="A29" s="73">
        <f>'Monthly Summary'!A28</f>
      </c>
      <c r="B29" s="74">
        <f>IF('Monthly Summary'!W28="",NA(),'Monthly Summary'!W28)</f>
      </c>
      <c r="C29" s="74">
        <f>IF('Monthly Summary'!X28="",NA(),'Monthly Summary'!X28)</f>
      </c>
      <c r="D29" s="74">
        <f>IF('Monthly Summary'!Y28="",NA(),'Monthly Summary'!Y28)</f>
      </c>
      <c r="E29" s="74">
        <f>IF('Monthly Summary'!Z28="",NA(),'Monthly Summary'!Z28)</f>
      </c>
      <c r="F29" s="74">
        <f>IF('Monthly Summary'!AA28="",NA(),'Monthly Summary'!AA28)</f>
      </c>
      <c r="G29" s="74">
        <f>IF('Monthly Summary'!AB28="",NA(),'Monthly Summary'!AB28)</f>
      </c>
      <c r="H29" s="74">
        <f>IF('Monthly Summary'!AC28="",NA(),'Monthly Summary'!AC28)</f>
      </c>
      <c r="I29" s="74">
        <f>IF('Monthly Summary'!AD28="",NA(),'Monthly Summary'!AD28)</f>
      </c>
      <c r="J29" s="74">
        <f>IF('Monthly Summary'!AE28="",NA(),'Monthly Summary'!AE28)</f>
      </c>
      <c r="K29" s="74">
        <f>IF('Monthly Summary'!AF28="",NA(),'Monthly Summary'!AF28)</f>
      </c>
      <c r="L29" s="74">
        <f>IF('Monthly Summary'!AG28="",NA(),'Monthly Summary'!AG28)</f>
      </c>
      <c r="M29" s="74">
        <f>IF('Monthly Summary'!AH28="",NA(),'Monthly Summary'!AH28)</f>
      </c>
      <c r="N29" s="74">
        <f>IF('Monthly Summary'!AI28="",NA(),'Monthly Summary'!AI28)</f>
      </c>
      <c r="O29" s="74">
        <f>IF('Monthly Summary'!AJ28="",NA(),'Monthly Summary'!AJ28)</f>
      </c>
      <c r="P29" s="74">
        <f>IF('Monthly Summary'!AK28="",NA(),'Monthly Summary'!AK28)</f>
      </c>
      <c r="Q29" s="74">
        <f>IF('Monthly Summary'!AL28="",NA(),'Monthly Summary'!AL28)</f>
      </c>
      <c r="R29" s="74">
        <f>IF('Monthly Summary'!AM28="",NA(),'Monthly Summary'!AM28)</f>
      </c>
      <c r="S29" s="74">
        <f>IF('Monthly Summary'!C28="",NA(),'Monthly Summary'!C28)</f>
      </c>
    </row>
    <row r="30" spans="1:19" x14ac:dyDescent="0.2">
      <c r="A30" s="73">
        <f>'Monthly Summary'!A29</f>
      </c>
      <c r="B30" s="74">
        <f>IF('Monthly Summary'!W29="",NA(),'Monthly Summary'!W29)</f>
      </c>
      <c r="C30" s="74">
        <f>IF('Monthly Summary'!X29="",NA(),'Monthly Summary'!X29)</f>
      </c>
      <c r="D30" s="74">
        <f>IF('Monthly Summary'!Y29="",NA(),'Monthly Summary'!Y29)</f>
      </c>
      <c r="E30" s="74">
        <f>IF('Monthly Summary'!Z29="",NA(),'Monthly Summary'!Z29)</f>
      </c>
      <c r="F30" s="74">
        <f>IF('Monthly Summary'!AA29="",NA(),'Monthly Summary'!AA29)</f>
      </c>
      <c r="G30" s="74">
        <f>IF('Monthly Summary'!AB29="",NA(),'Monthly Summary'!AB29)</f>
      </c>
      <c r="H30" s="74">
        <f>IF('Monthly Summary'!AC29="",NA(),'Monthly Summary'!AC29)</f>
      </c>
      <c r="I30" s="74">
        <f>IF('Monthly Summary'!AD29="",NA(),'Monthly Summary'!AD29)</f>
      </c>
      <c r="J30" s="74">
        <f>IF('Monthly Summary'!AE29="",NA(),'Monthly Summary'!AE29)</f>
      </c>
      <c r="K30" s="74">
        <f>IF('Monthly Summary'!AF29="",NA(),'Monthly Summary'!AF29)</f>
      </c>
      <c r="L30" s="74">
        <f>IF('Monthly Summary'!AG29="",NA(),'Monthly Summary'!AG29)</f>
      </c>
      <c r="M30" s="74">
        <f>IF('Monthly Summary'!AH29="",NA(),'Monthly Summary'!AH29)</f>
      </c>
      <c r="N30" s="74">
        <f>IF('Monthly Summary'!AI29="",NA(),'Monthly Summary'!AI29)</f>
      </c>
      <c r="O30" s="74">
        <f>IF('Monthly Summary'!AJ29="",NA(),'Monthly Summary'!AJ29)</f>
      </c>
      <c r="P30" s="74">
        <f>IF('Monthly Summary'!AK29="",NA(),'Monthly Summary'!AK29)</f>
      </c>
      <c r="Q30" s="74">
        <f>IF('Monthly Summary'!AL29="",NA(),'Monthly Summary'!AL29)</f>
      </c>
      <c r="R30" s="74">
        <f>IF('Monthly Summary'!AM29="",NA(),'Monthly Summary'!AM29)</f>
      </c>
      <c r="S30" s="74">
        <f>IF('Monthly Summary'!C29="",NA(),'Monthly Summary'!C29)</f>
      </c>
    </row>
    <row r="31" spans="1:19" x14ac:dyDescent="0.2">
      <c r="A31" s="73">
        <f>'Monthly Summary'!A30</f>
      </c>
      <c r="B31" s="74">
        <f>IF('Monthly Summary'!W30="",NA(),'Monthly Summary'!W30)</f>
      </c>
      <c r="C31" s="74">
        <f>IF('Monthly Summary'!X30="",NA(),'Monthly Summary'!X30)</f>
      </c>
      <c r="D31" s="74">
        <f>IF('Monthly Summary'!Y30="",NA(),'Monthly Summary'!Y30)</f>
      </c>
      <c r="E31" s="74">
        <f>IF('Monthly Summary'!Z30="",NA(),'Monthly Summary'!Z30)</f>
      </c>
      <c r="F31" s="74">
        <f>IF('Monthly Summary'!AA30="",NA(),'Monthly Summary'!AA30)</f>
      </c>
      <c r="G31" s="74">
        <f>IF('Monthly Summary'!AB30="",NA(),'Monthly Summary'!AB30)</f>
      </c>
      <c r="H31" s="74">
        <f>IF('Monthly Summary'!AC30="",NA(),'Monthly Summary'!AC30)</f>
      </c>
      <c r="I31" s="74">
        <f>IF('Monthly Summary'!AD30="",NA(),'Monthly Summary'!AD30)</f>
      </c>
      <c r="J31" s="74">
        <f>IF('Monthly Summary'!AE30="",NA(),'Monthly Summary'!AE30)</f>
      </c>
      <c r="K31" s="74">
        <f>IF('Monthly Summary'!AF30="",NA(),'Monthly Summary'!AF30)</f>
      </c>
      <c r="L31" s="74">
        <f>IF('Monthly Summary'!AG30="",NA(),'Monthly Summary'!AG30)</f>
      </c>
      <c r="M31" s="74">
        <f>IF('Monthly Summary'!AH30="",NA(),'Monthly Summary'!AH30)</f>
      </c>
      <c r="N31" s="74">
        <f>IF('Monthly Summary'!AI30="",NA(),'Monthly Summary'!AI30)</f>
      </c>
      <c r="O31" s="74">
        <f>IF('Monthly Summary'!AJ30="",NA(),'Monthly Summary'!AJ30)</f>
      </c>
      <c r="P31" s="74">
        <f>IF('Monthly Summary'!AK30="",NA(),'Monthly Summary'!AK30)</f>
      </c>
      <c r="Q31" s="74">
        <f>IF('Monthly Summary'!AL30="",NA(),'Monthly Summary'!AL30)</f>
      </c>
      <c r="R31" s="74">
        <f>IF('Monthly Summary'!AM30="",NA(),'Monthly Summary'!AM30)</f>
      </c>
      <c r="S31" s="74">
        <f>IF('Monthly Summary'!C30="",NA(),'Monthly Summary'!C30)</f>
      </c>
    </row>
    <row r="32" spans="1:19" x14ac:dyDescent="0.2">
      <c r="A32" s="73">
        <f>'Monthly Summary'!A31</f>
      </c>
      <c r="B32" s="74">
        <f>IF('Monthly Summary'!W31="",NA(),'Monthly Summary'!W31)</f>
      </c>
      <c r="C32" s="74">
        <f>IF('Monthly Summary'!X31="",NA(),'Monthly Summary'!X31)</f>
      </c>
      <c r="D32" s="74">
        <f>IF('Monthly Summary'!Y31="",NA(),'Monthly Summary'!Y31)</f>
      </c>
      <c r="E32" s="74">
        <f>IF('Monthly Summary'!Z31="",NA(),'Monthly Summary'!Z31)</f>
      </c>
      <c r="F32" s="74">
        <f>IF('Monthly Summary'!AA31="",NA(),'Monthly Summary'!AA31)</f>
      </c>
      <c r="G32" s="74">
        <f>IF('Monthly Summary'!AB31="",NA(),'Monthly Summary'!AB31)</f>
      </c>
      <c r="H32" s="74">
        <f>IF('Monthly Summary'!AC31="",NA(),'Monthly Summary'!AC31)</f>
      </c>
      <c r="I32" s="74">
        <f>IF('Monthly Summary'!AD31="",NA(),'Monthly Summary'!AD31)</f>
      </c>
      <c r="J32" s="74">
        <f>IF('Monthly Summary'!AE31="",NA(),'Monthly Summary'!AE31)</f>
      </c>
      <c r="K32" s="74">
        <f>IF('Monthly Summary'!AF31="",NA(),'Monthly Summary'!AF31)</f>
      </c>
      <c r="L32" s="74">
        <f>IF('Monthly Summary'!AG31="",NA(),'Monthly Summary'!AG31)</f>
      </c>
      <c r="M32" s="74">
        <f>IF('Monthly Summary'!AH31="",NA(),'Monthly Summary'!AH31)</f>
      </c>
      <c r="N32" s="74">
        <f>IF('Monthly Summary'!AI31="",NA(),'Monthly Summary'!AI31)</f>
      </c>
      <c r="O32" s="74">
        <f>IF('Monthly Summary'!AJ31="",NA(),'Monthly Summary'!AJ31)</f>
      </c>
      <c r="P32" s="74">
        <f>IF('Monthly Summary'!AK31="",NA(),'Monthly Summary'!AK31)</f>
      </c>
      <c r="Q32" s="74">
        <f>IF('Monthly Summary'!AL31="",NA(),'Monthly Summary'!AL31)</f>
      </c>
      <c r="R32" s="74">
        <f>IF('Monthly Summary'!AM31="",NA(),'Monthly Summary'!AM31)</f>
      </c>
      <c r="S32" s="74">
        <f>IF('Monthly Summary'!C31="",NA(),'Monthly Summary'!C31)</f>
      </c>
    </row>
    <row r="33" spans="1:19" x14ac:dyDescent="0.2">
      <c r="A33" s="73">
        <f>'Monthly Summary'!A32</f>
      </c>
      <c r="B33" s="74">
        <f>IF('Monthly Summary'!W32="",NA(),'Monthly Summary'!W32)</f>
      </c>
      <c r="C33" s="74">
        <f>IF('Monthly Summary'!X32="",NA(),'Monthly Summary'!X32)</f>
      </c>
      <c r="D33" s="74">
        <f>IF('Monthly Summary'!Y32="",NA(),'Monthly Summary'!Y32)</f>
      </c>
      <c r="E33" s="74">
        <f>IF('Monthly Summary'!Z32="",NA(),'Monthly Summary'!Z32)</f>
      </c>
      <c r="F33" s="74">
        <f>IF('Monthly Summary'!AA32="",NA(),'Monthly Summary'!AA32)</f>
      </c>
      <c r="G33" s="74">
        <f>IF('Monthly Summary'!AB32="",NA(),'Monthly Summary'!AB32)</f>
      </c>
      <c r="H33" s="74">
        <f>IF('Monthly Summary'!AC32="",NA(),'Monthly Summary'!AC32)</f>
      </c>
      <c r="I33" s="74">
        <f>IF('Monthly Summary'!AD32="",NA(),'Monthly Summary'!AD32)</f>
      </c>
      <c r="J33" s="74">
        <f>IF('Monthly Summary'!AE32="",NA(),'Monthly Summary'!AE32)</f>
      </c>
      <c r="K33" s="74">
        <f>IF('Monthly Summary'!AF32="",NA(),'Monthly Summary'!AF32)</f>
      </c>
      <c r="L33" s="74">
        <f>IF('Monthly Summary'!AG32="",NA(),'Monthly Summary'!AG32)</f>
      </c>
      <c r="M33" s="74">
        <f>IF('Monthly Summary'!AH32="",NA(),'Monthly Summary'!AH32)</f>
      </c>
      <c r="N33" s="74">
        <f>IF('Monthly Summary'!AI32="",NA(),'Monthly Summary'!AI32)</f>
      </c>
      <c r="O33" s="74">
        <f>IF('Monthly Summary'!AJ32="",NA(),'Monthly Summary'!AJ32)</f>
      </c>
      <c r="P33" s="74">
        <f>IF('Monthly Summary'!AK32="",NA(),'Monthly Summary'!AK32)</f>
      </c>
      <c r="Q33" s="74">
        <f>IF('Monthly Summary'!AL32="",NA(),'Monthly Summary'!AL32)</f>
      </c>
      <c r="R33" s="74">
        <f>IF('Monthly Summary'!AM32="",NA(),'Monthly Summary'!AM32)</f>
      </c>
      <c r="S33" s="74">
        <f>IF('Monthly Summary'!C32="",NA(),'Monthly Summary'!C32)</f>
      </c>
    </row>
    <row r="34" spans="1:19" x14ac:dyDescent="0.2">
      <c r="A34" s="73">
        <f>'Monthly Summary'!A33</f>
      </c>
      <c r="B34" s="74">
        <f>IF('Monthly Summary'!W33="",NA(),'Monthly Summary'!W33)</f>
      </c>
      <c r="C34" s="74">
        <f>IF('Monthly Summary'!X33="",NA(),'Monthly Summary'!X33)</f>
      </c>
      <c r="D34" s="74">
        <f>IF('Monthly Summary'!Y33="",NA(),'Monthly Summary'!Y33)</f>
      </c>
      <c r="E34" s="74">
        <f>IF('Monthly Summary'!Z33="",NA(),'Monthly Summary'!Z33)</f>
      </c>
      <c r="F34" s="74">
        <f>IF('Monthly Summary'!AA33="",NA(),'Monthly Summary'!AA33)</f>
      </c>
      <c r="G34" s="74">
        <f>IF('Monthly Summary'!AB33="",NA(),'Monthly Summary'!AB33)</f>
      </c>
      <c r="H34" s="74">
        <f>IF('Monthly Summary'!AC33="",NA(),'Monthly Summary'!AC33)</f>
      </c>
      <c r="I34" s="74">
        <f>IF('Monthly Summary'!AD33="",NA(),'Monthly Summary'!AD33)</f>
      </c>
      <c r="J34" s="74">
        <f>IF('Monthly Summary'!AE33="",NA(),'Monthly Summary'!AE33)</f>
      </c>
      <c r="K34" s="74">
        <f>IF('Monthly Summary'!AF33="",NA(),'Monthly Summary'!AF33)</f>
      </c>
      <c r="L34" s="74">
        <f>IF('Monthly Summary'!AG33="",NA(),'Monthly Summary'!AG33)</f>
      </c>
      <c r="M34" s="74">
        <f>IF('Monthly Summary'!AH33="",NA(),'Monthly Summary'!AH33)</f>
      </c>
      <c r="N34" s="74">
        <f>IF('Monthly Summary'!AI33="",NA(),'Monthly Summary'!AI33)</f>
      </c>
      <c r="O34" s="74">
        <f>IF('Monthly Summary'!AJ33="",NA(),'Monthly Summary'!AJ33)</f>
      </c>
      <c r="P34" s="74">
        <f>IF('Monthly Summary'!AK33="",NA(),'Monthly Summary'!AK33)</f>
      </c>
      <c r="Q34" s="74">
        <f>IF('Monthly Summary'!AL33="",NA(),'Monthly Summary'!AL33)</f>
      </c>
      <c r="R34" s="74">
        <f>IF('Monthly Summary'!AM33="",NA(),'Monthly Summary'!AM33)</f>
      </c>
      <c r="S34" s="74">
        <f>IF('Monthly Summary'!C33="",NA(),'Monthly Summary'!C33)</f>
      </c>
    </row>
    <row r="35" spans="1:19" x14ac:dyDescent="0.2">
      <c r="A35" s="73">
        <f>'Monthly Summary'!A34</f>
      </c>
      <c r="B35" s="74">
        <f>IF('Monthly Summary'!W34="",NA(),'Monthly Summary'!W34)</f>
      </c>
      <c r="C35" s="74">
        <f>IF('Monthly Summary'!X34="",NA(),'Monthly Summary'!X34)</f>
      </c>
      <c r="D35" s="74">
        <f>IF('Monthly Summary'!Y34="",NA(),'Monthly Summary'!Y34)</f>
      </c>
      <c r="E35" s="74">
        <f>IF('Monthly Summary'!Z34="",NA(),'Monthly Summary'!Z34)</f>
      </c>
      <c r="F35" s="74">
        <f>IF('Monthly Summary'!AA34="",NA(),'Monthly Summary'!AA34)</f>
      </c>
      <c r="G35" s="74">
        <f>IF('Monthly Summary'!AB34="",NA(),'Monthly Summary'!AB34)</f>
      </c>
      <c r="H35" s="74">
        <f>IF('Monthly Summary'!AC34="",NA(),'Monthly Summary'!AC34)</f>
      </c>
      <c r="I35" s="74">
        <f>IF('Monthly Summary'!AD34="",NA(),'Monthly Summary'!AD34)</f>
      </c>
      <c r="J35" s="74">
        <f>IF('Monthly Summary'!AE34="",NA(),'Monthly Summary'!AE34)</f>
      </c>
      <c r="K35" s="74">
        <f>IF('Monthly Summary'!AF34="",NA(),'Monthly Summary'!AF34)</f>
      </c>
      <c r="L35" s="74">
        <f>IF('Monthly Summary'!AG34="",NA(),'Monthly Summary'!AG34)</f>
      </c>
      <c r="M35" s="74">
        <f>IF('Monthly Summary'!AH34="",NA(),'Monthly Summary'!AH34)</f>
      </c>
      <c r="N35" s="74">
        <f>IF('Monthly Summary'!AI34="",NA(),'Monthly Summary'!AI34)</f>
      </c>
      <c r="O35" s="74">
        <f>IF('Monthly Summary'!AJ34="",NA(),'Monthly Summary'!AJ34)</f>
      </c>
      <c r="P35" s="74">
        <f>IF('Monthly Summary'!AK34="",NA(),'Monthly Summary'!AK34)</f>
      </c>
      <c r="Q35" s="74">
        <f>IF('Monthly Summary'!AL34="",NA(),'Monthly Summary'!AL34)</f>
      </c>
      <c r="R35" s="74">
        <f>IF('Monthly Summary'!AM34="",NA(),'Monthly Summary'!AM34)</f>
      </c>
      <c r="S35" s="74">
        <f>IF('Monthly Summary'!C34="",NA(),'Monthly Summary'!C34)</f>
      </c>
    </row>
    <row r="36" spans="1:19" x14ac:dyDescent="0.2">
      <c r="A36" s="73">
        <f>'Monthly Summary'!A35</f>
      </c>
      <c r="B36" s="74">
        <f>IF('Monthly Summary'!W35="",NA(),'Monthly Summary'!W35)</f>
      </c>
      <c r="C36" s="74">
        <f>IF('Monthly Summary'!X35="",NA(),'Monthly Summary'!X35)</f>
      </c>
      <c r="D36" s="74">
        <f>IF('Monthly Summary'!Y35="",NA(),'Monthly Summary'!Y35)</f>
      </c>
      <c r="E36" s="74">
        <f>IF('Monthly Summary'!Z35="",NA(),'Monthly Summary'!Z35)</f>
      </c>
      <c r="F36" s="74">
        <f>IF('Monthly Summary'!AA35="",NA(),'Monthly Summary'!AA35)</f>
      </c>
      <c r="G36" s="74">
        <f>IF('Monthly Summary'!AB35="",NA(),'Monthly Summary'!AB35)</f>
      </c>
      <c r="H36" s="74">
        <f>IF('Monthly Summary'!AC35="",NA(),'Monthly Summary'!AC35)</f>
      </c>
      <c r="I36" s="74">
        <f>IF('Monthly Summary'!AD35="",NA(),'Monthly Summary'!AD35)</f>
      </c>
      <c r="J36" s="74">
        <f>IF('Monthly Summary'!AE35="",NA(),'Monthly Summary'!AE35)</f>
      </c>
      <c r="K36" s="74">
        <f>IF('Monthly Summary'!AF35="",NA(),'Monthly Summary'!AF35)</f>
      </c>
      <c r="L36" s="74">
        <f>IF('Monthly Summary'!AG35="",NA(),'Monthly Summary'!AG35)</f>
      </c>
      <c r="M36" s="74">
        <f>IF('Monthly Summary'!AH35="",NA(),'Monthly Summary'!AH35)</f>
      </c>
      <c r="N36" s="74">
        <f>IF('Monthly Summary'!AI35="",NA(),'Monthly Summary'!AI35)</f>
      </c>
      <c r="O36" s="74">
        <f>IF('Monthly Summary'!AJ35="",NA(),'Monthly Summary'!AJ35)</f>
      </c>
      <c r="P36" s="74">
        <f>IF('Monthly Summary'!AK35="",NA(),'Monthly Summary'!AK35)</f>
      </c>
      <c r="Q36" s="74">
        <f>IF('Monthly Summary'!AL35="",NA(),'Monthly Summary'!AL35)</f>
      </c>
      <c r="R36" s="74">
        <f>IF('Monthly Summary'!AM35="",NA(),'Monthly Summary'!AM35)</f>
      </c>
      <c r="S36" s="74">
        <f>IF('Monthly Summary'!C35="",NA(),'Monthly Summary'!C35)</f>
      </c>
    </row>
    <row r="37" spans="1:19" x14ac:dyDescent="0.2">
      <c r="A37" s="73">
        <f>'Monthly Summary'!A36</f>
      </c>
      <c r="B37" s="74">
        <f>IF('Monthly Summary'!W36="",NA(),'Monthly Summary'!W36)</f>
      </c>
      <c r="C37" s="74">
        <f>IF('Monthly Summary'!X36="",NA(),'Monthly Summary'!X36)</f>
      </c>
      <c r="D37" s="74">
        <f>IF('Monthly Summary'!Y36="",NA(),'Monthly Summary'!Y36)</f>
      </c>
      <c r="E37" s="74">
        <f>IF('Monthly Summary'!Z36="",NA(),'Monthly Summary'!Z36)</f>
      </c>
      <c r="F37" s="74">
        <f>IF('Monthly Summary'!AA36="",NA(),'Monthly Summary'!AA36)</f>
      </c>
      <c r="G37" s="74">
        <f>IF('Monthly Summary'!AB36="",NA(),'Monthly Summary'!AB36)</f>
      </c>
      <c r="H37" s="74">
        <f>IF('Monthly Summary'!AC36="",NA(),'Monthly Summary'!AC36)</f>
      </c>
      <c r="I37" s="74">
        <f>IF('Monthly Summary'!AD36="",NA(),'Monthly Summary'!AD36)</f>
      </c>
      <c r="J37" s="74">
        <f>IF('Monthly Summary'!AE36="",NA(),'Monthly Summary'!AE36)</f>
      </c>
      <c r="K37" s="74">
        <f>IF('Monthly Summary'!AF36="",NA(),'Monthly Summary'!AF36)</f>
      </c>
      <c r="L37" s="74">
        <f>IF('Monthly Summary'!AG36="",NA(),'Monthly Summary'!AG36)</f>
      </c>
      <c r="M37" s="74">
        <f>IF('Monthly Summary'!AH36="",NA(),'Monthly Summary'!AH36)</f>
      </c>
      <c r="N37" s="74">
        <f>IF('Monthly Summary'!AI36="",NA(),'Monthly Summary'!AI36)</f>
      </c>
      <c r="O37" s="74">
        <f>IF('Monthly Summary'!AJ36="",NA(),'Monthly Summary'!AJ36)</f>
      </c>
      <c r="P37" s="74">
        <f>IF('Monthly Summary'!AK36="",NA(),'Monthly Summary'!AK36)</f>
      </c>
      <c r="Q37" s="74">
        <f>IF('Monthly Summary'!AL36="",NA(),'Monthly Summary'!AL36)</f>
      </c>
      <c r="R37" s="74">
        <f>IF('Monthly Summary'!AM36="",NA(),'Monthly Summary'!AM36)</f>
      </c>
      <c r="S37" s="74">
        <f>IF('Monthly Summary'!C36="",NA(),'Monthly Summary'!C36)</f>
      </c>
    </row>
    <row r="38" spans="1:19" x14ac:dyDescent="0.2">
      <c r="A38" s="73">
        <f>'Monthly Summary'!A37</f>
      </c>
      <c r="B38" s="74">
        <f>IF('Monthly Summary'!W37="",NA(),'Monthly Summary'!W37)</f>
      </c>
      <c r="C38" s="74">
        <f>IF('Monthly Summary'!X37="",NA(),'Monthly Summary'!X37)</f>
      </c>
      <c r="D38" s="74">
        <f>IF('Monthly Summary'!Y37="",NA(),'Monthly Summary'!Y37)</f>
      </c>
      <c r="E38" s="74">
        <f>IF('Monthly Summary'!Z37="",NA(),'Monthly Summary'!Z37)</f>
      </c>
      <c r="F38" s="74">
        <f>IF('Monthly Summary'!AA37="",NA(),'Monthly Summary'!AA37)</f>
      </c>
      <c r="G38" s="74">
        <f>IF('Monthly Summary'!AB37="",NA(),'Monthly Summary'!AB37)</f>
      </c>
      <c r="H38" s="74">
        <f>IF('Monthly Summary'!AC37="",NA(),'Monthly Summary'!AC37)</f>
      </c>
      <c r="I38" s="74">
        <f>IF('Monthly Summary'!AD37="",NA(),'Monthly Summary'!AD37)</f>
      </c>
      <c r="J38" s="74">
        <f>IF('Monthly Summary'!AE37="",NA(),'Monthly Summary'!AE37)</f>
      </c>
      <c r="K38" s="74">
        <f>IF('Monthly Summary'!AF37="",NA(),'Monthly Summary'!AF37)</f>
      </c>
      <c r="L38" s="74">
        <f>IF('Monthly Summary'!AG37="",NA(),'Monthly Summary'!AG37)</f>
      </c>
      <c r="M38" s="74">
        <f>IF('Monthly Summary'!AH37="",NA(),'Monthly Summary'!AH37)</f>
      </c>
      <c r="N38" s="74">
        <f>IF('Monthly Summary'!AI37="",NA(),'Monthly Summary'!AI37)</f>
      </c>
      <c r="O38" s="74">
        <f>IF('Monthly Summary'!AJ37="",NA(),'Monthly Summary'!AJ37)</f>
      </c>
      <c r="P38" s="74">
        <f>IF('Monthly Summary'!AK37="",NA(),'Monthly Summary'!AK37)</f>
      </c>
      <c r="Q38" s="74">
        <f>IF('Monthly Summary'!AL37="",NA(),'Monthly Summary'!AL37)</f>
      </c>
      <c r="R38" s="74">
        <f>IF('Monthly Summary'!AM37="",NA(),'Monthly Summary'!AM37)</f>
      </c>
      <c r="S38" s="74">
        <f>IF('Monthly Summary'!C37="",NA(),'Monthly Summary'!C37)</f>
      </c>
    </row>
    <row r="39" spans="1:19" x14ac:dyDescent="0.2">
      <c r="A39" s="73">
        <f>'Monthly Summary'!A38</f>
      </c>
      <c r="B39" s="74">
        <f>IF('Monthly Summary'!W38="",NA(),'Monthly Summary'!W38)</f>
      </c>
      <c r="C39" s="74">
        <f>IF('Monthly Summary'!X38="",NA(),'Monthly Summary'!X38)</f>
      </c>
      <c r="D39" s="74">
        <f>IF('Monthly Summary'!Y38="",NA(),'Monthly Summary'!Y38)</f>
      </c>
      <c r="E39" s="74">
        <f>IF('Monthly Summary'!Z38="",NA(),'Monthly Summary'!Z38)</f>
      </c>
      <c r="F39" s="74">
        <f>IF('Monthly Summary'!AA38="",NA(),'Monthly Summary'!AA38)</f>
      </c>
      <c r="G39" s="74">
        <f>IF('Monthly Summary'!AB38="",NA(),'Monthly Summary'!AB38)</f>
      </c>
      <c r="H39" s="74">
        <f>IF('Monthly Summary'!AC38="",NA(),'Monthly Summary'!AC38)</f>
      </c>
      <c r="I39" s="74">
        <f>IF('Monthly Summary'!AD38="",NA(),'Monthly Summary'!AD38)</f>
      </c>
      <c r="J39" s="74">
        <f>IF('Monthly Summary'!AE38="",NA(),'Monthly Summary'!AE38)</f>
      </c>
      <c r="K39" s="74">
        <f>IF('Monthly Summary'!AF38="",NA(),'Monthly Summary'!AF38)</f>
      </c>
      <c r="L39" s="74">
        <f>IF('Monthly Summary'!AG38="",NA(),'Monthly Summary'!AG38)</f>
      </c>
      <c r="M39" s="74">
        <f>IF('Monthly Summary'!AH38="",NA(),'Monthly Summary'!AH38)</f>
      </c>
      <c r="N39" s="74">
        <f>IF('Monthly Summary'!AI38="",NA(),'Monthly Summary'!AI38)</f>
      </c>
      <c r="O39" s="74">
        <f>IF('Monthly Summary'!AJ38="",NA(),'Monthly Summary'!AJ38)</f>
      </c>
      <c r="P39" s="74">
        <f>IF('Monthly Summary'!AK38="",NA(),'Monthly Summary'!AK38)</f>
      </c>
      <c r="Q39" s="74">
        <f>IF('Monthly Summary'!AL38="",NA(),'Monthly Summary'!AL38)</f>
      </c>
      <c r="R39" s="74">
        <f>IF('Monthly Summary'!AM38="",NA(),'Monthly Summary'!AM38)</f>
      </c>
      <c r="S39" s="74">
        <f>IF('Monthly Summary'!C38="",NA(),'Monthly Summary'!C38)</f>
      </c>
    </row>
    <row r="40" spans="1:19" x14ac:dyDescent="0.2">
      <c r="A40" s="73">
        <f>'Monthly Summary'!A39</f>
      </c>
      <c r="B40" s="74">
        <f>IF('Monthly Summary'!W39="",NA(),'Monthly Summary'!W39)</f>
      </c>
      <c r="C40" s="74">
        <f>IF('Monthly Summary'!X39="",NA(),'Monthly Summary'!X39)</f>
      </c>
      <c r="D40" s="74">
        <f>IF('Monthly Summary'!Y39="",NA(),'Monthly Summary'!Y39)</f>
      </c>
      <c r="E40" s="74">
        <f>IF('Monthly Summary'!Z39="",NA(),'Monthly Summary'!Z39)</f>
      </c>
      <c r="F40" s="74">
        <f>IF('Monthly Summary'!AA39="",NA(),'Monthly Summary'!AA39)</f>
      </c>
      <c r="G40" s="74">
        <f>IF('Monthly Summary'!AB39="",NA(),'Monthly Summary'!AB39)</f>
      </c>
      <c r="H40" s="74">
        <f>IF('Monthly Summary'!AC39="",NA(),'Monthly Summary'!AC39)</f>
      </c>
      <c r="I40" s="74">
        <f>IF('Monthly Summary'!AD39="",NA(),'Monthly Summary'!AD39)</f>
      </c>
      <c r="J40" s="74">
        <f>IF('Monthly Summary'!AE39="",NA(),'Monthly Summary'!AE39)</f>
      </c>
      <c r="K40" s="74">
        <f>IF('Monthly Summary'!AF39="",NA(),'Monthly Summary'!AF39)</f>
      </c>
      <c r="L40" s="74">
        <f>IF('Monthly Summary'!AG39="",NA(),'Monthly Summary'!AG39)</f>
      </c>
      <c r="M40" s="74">
        <f>IF('Monthly Summary'!AH39="",NA(),'Monthly Summary'!AH39)</f>
      </c>
      <c r="N40" s="74">
        <f>IF('Monthly Summary'!AI39="",NA(),'Monthly Summary'!AI39)</f>
      </c>
      <c r="O40" s="74">
        <f>IF('Monthly Summary'!AJ39="",NA(),'Monthly Summary'!AJ39)</f>
      </c>
      <c r="P40" s="74">
        <f>IF('Monthly Summary'!AK39="",NA(),'Monthly Summary'!AK39)</f>
      </c>
      <c r="Q40" s="74">
        <f>IF('Monthly Summary'!AL39="",NA(),'Monthly Summary'!AL39)</f>
      </c>
      <c r="R40" s="74">
        <f>IF('Monthly Summary'!AM39="",NA(),'Monthly Summary'!AM39)</f>
      </c>
      <c r="S40" s="74">
        <f>IF('Monthly Summary'!C39="",NA(),'Monthly Summary'!C39)</f>
      </c>
    </row>
    <row r="41" spans="1:19" x14ac:dyDescent="0.2">
      <c r="A41" s="73">
        <f>'Monthly Summary'!A40</f>
      </c>
      <c r="B41" s="74">
        <f>IF('Monthly Summary'!W40="",NA(),'Monthly Summary'!W40)</f>
      </c>
      <c r="C41" s="74">
        <f>IF('Monthly Summary'!X40="",NA(),'Monthly Summary'!X40)</f>
      </c>
      <c r="D41" s="74">
        <f>IF('Monthly Summary'!Y40="",NA(),'Monthly Summary'!Y40)</f>
      </c>
      <c r="E41" s="74">
        <f>IF('Monthly Summary'!Z40="",NA(),'Monthly Summary'!Z40)</f>
      </c>
      <c r="F41" s="74">
        <f>IF('Monthly Summary'!AA40="",NA(),'Monthly Summary'!AA40)</f>
      </c>
      <c r="G41" s="74">
        <f>IF('Monthly Summary'!AB40="",NA(),'Monthly Summary'!AB40)</f>
      </c>
      <c r="H41" s="74">
        <f>IF('Monthly Summary'!AC40="",NA(),'Monthly Summary'!AC40)</f>
      </c>
      <c r="I41" s="74">
        <f>IF('Monthly Summary'!AD40="",NA(),'Monthly Summary'!AD40)</f>
      </c>
      <c r="J41" s="74">
        <f>IF('Monthly Summary'!AE40="",NA(),'Monthly Summary'!AE40)</f>
      </c>
      <c r="K41" s="74">
        <f>IF('Monthly Summary'!AF40="",NA(),'Monthly Summary'!AF40)</f>
      </c>
      <c r="L41" s="74">
        <f>IF('Monthly Summary'!AG40="",NA(),'Monthly Summary'!AG40)</f>
      </c>
      <c r="M41" s="74">
        <f>IF('Monthly Summary'!AH40="",NA(),'Monthly Summary'!AH40)</f>
      </c>
      <c r="N41" s="74">
        <f>IF('Monthly Summary'!AI40="",NA(),'Monthly Summary'!AI40)</f>
      </c>
      <c r="O41" s="74">
        <f>IF('Monthly Summary'!AJ40="",NA(),'Monthly Summary'!AJ40)</f>
      </c>
      <c r="P41" s="74">
        <f>IF('Monthly Summary'!AK40="",NA(),'Monthly Summary'!AK40)</f>
      </c>
      <c r="Q41" s="74">
        <f>IF('Monthly Summary'!AL40="",NA(),'Monthly Summary'!AL40)</f>
      </c>
      <c r="R41" s="74">
        <f>IF('Monthly Summary'!AM40="",NA(),'Monthly Summary'!AM40)</f>
      </c>
      <c r="S41" s="74">
        <f>IF('Monthly Summary'!C40="",NA(),'Monthly Summary'!C40)</f>
      </c>
    </row>
    <row r="42" spans="1:19" x14ac:dyDescent="0.2">
      <c r="A42" s="73">
        <f>'Monthly Summary'!A41</f>
      </c>
      <c r="B42" s="74">
        <f>IF('Monthly Summary'!W41="",NA(),'Monthly Summary'!W41)</f>
      </c>
      <c r="C42" s="74">
        <f>IF('Monthly Summary'!X41="",NA(),'Monthly Summary'!X41)</f>
      </c>
      <c r="D42" s="74">
        <f>IF('Monthly Summary'!Y41="",NA(),'Monthly Summary'!Y41)</f>
      </c>
      <c r="E42" s="74">
        <f>IF('Monthly Summary'!Z41="",NA(),'Monthly Summary'!Z41)</f>
      </c>
      <c r="F42" s="74">
        <f>IF('Monthly Summary'!AA41="",NA(),'Monthly Summary'!AA41)</f>
      </c>
      <c r="G42" s="74">
        <f>IF('Monthly Summary'!AB41="",NA(),'Monthly Summary'!AB41)</f>
      </c>
      <c r="H42" s="74">
        <f>IF('Monthly Summary'!AC41="",NA(),'Monthly Summary'!AC41)</f>
      </c>
      <c r="I42" s="74">
        <f>IF('Monthly Summary'!AD41="",NA(),'Monthly Summary'!AD41)</f>
      </c>
      <c r="J42" s="74">
        <f>IF('Monthly Summary'!AE41="",NA(),'Monthly Summary'!AE41)</f>
      </c>
      <c r="K42" s="74">
        <f>IF('Monthly Summary'!AF41="",NA(),'Monthly Summary'!AF41)</f>
      </c>
      <c r="L42" s="74">
        <f>IF('Monthly Summary'!AG41="",NA(),'Monthly Summary'!AG41)</f>
      </c>
      <c r="M42" s="74">
        <f>IF('Monthly Summary'!AH41="",NA(),'Monthly Summary'!AH41)</f>
      </c>
      <c r="N42" s="74">
        <f>IF('Monthly Summary'!AI41="",NA(),'Monthly Summary'!AI41)</f>
      </c>
      <c r="O42" s="74">
        <f>IF('Monthly Summary'!AJ41="",NA(),'Monthly Summary'!AJ41)</f>
      </c>
      <c r="P42" s="74">
        <f>IF('Monthly Summary'!AK41="",NA(),'Monthly Summary'!AK41)</f>
      </c>
      <c r="Q42" s="74">
        <f>IF('Monthly Summary'!AL41="",NA(),'Monthly Summary'!AL41)</f>
      </c>
      <c r="R42" s="74">
        <f>IF('Monthly Summary'!AM41="",NA(),'Monthly Summary'!AM41)</f>
      </c>
      <c r="S42" s="74">
        <f>IF('Monthly Summary'!C41="",NA(),'Monthly Summary'!C41)</f>
      </c>
    </row>
    <row r="43" spans="1:19" x14ac:dyDescent="0.2">
      <c r="A43" s="73">
        <f>'Monthly Summary'!A42</f>
      </c>
      <c r="B43" s="74">
        <f>IF('Monthly Summary'!W42="",NA(),'Monthly Summary'!W42)</f>
      </c>
      <c r="C43" s="74">
        <f>IF('Monthly Summary'!X42="",NA(),'Monthly Summary'!X42)</f>
      </c>
      <c r="D43" s="74">
        <f>IF('Monthly Summary'!Y42="",NA(),'Monthly Summary'!Y42)</f>
      </c>
      <c r="E43" s="74">
        <f>IF('Monthly Summary'!Z42="",NA(),'Monthly Summary'!Z42)</f>
      </c>
      <c r="F43" s="74">
        <f>IF('Monthly Summary'!AA42="",NA(),'Monthly Summary'!AA42)</f>
      </c>
      <c r="G43" s="74">
        <f>IF('Monthly Summary'!AB42="",NA(),'Monthly Summary'!AB42)</f>
      </c>
      <c r="H43" s="74">
        <f>IF('Monthly Summary'!AC42="",NA(),'Monthly Summary'!AC42)</f>
      </c>
      <c r="I43" s="74">
        <f>IF('Monthly Summary'!AD42="",NA(),'Monthly Summary'!AD42)</f>
      </c>
      <c r="J43" s="74">
        <f>IF('Monthly Summary'!AE42="",NA(),'Monthly Summary'!AE42)</f>
      </c>
      <c r="K43" s="74">
        <f>IF('Monthly Summary'!AF42="",NA(),'Monthly Summary'!AF42)</f>
      </c>
      <c r="L43" s="74">
        <f>IF('Monthly Summary'!AG42="",NA(),'Monthly Summary'!AG42)</f>
      </c>
      <c r="M43" s="74">
        <f>IF('Monthly Summary'!AH42="",NA(),'Monthly Summary'!AH42)</f>
      </c>
      <c r="N43" s="74">
        <f>IF('Monthly Summary'!AI42="",NA(),'Monthly Summary'!AI42)</f>
      </c>
      <c r="O43" s="74">
        <f>IF('Monthly Summary'!AJ42="",NA(),'Monthly Summary'!AJ42)</f>
      </c>
      <c r="P43" s="74">
        <f>IF('Monthly Summary'!AK42="",NA(),'Monthly Summary'!AK42)</f>
      </c>
      <c r="Q43" s="74">
        <f>IF('Monthly Summary'!AL42="",NA(),'Monthly Summary'!AL42)</f>
      </c>
      <c r="R43" s="74">
        <f>IF('Monthly Summary'!AM42="",NA(),'Monthly Summary'!AM42)</f>
      </c>
      <c r="S43" s="74">
        <f>IF('Monthly Summary'!C42="",NA(),'Monthly Summary'!C42)</f>
      </c>
    </row>
    <row r="44" spans="1:19" x14ac:dyDescent="0.2">
      <c r="A44" s="73">
        <f>'Monthly Summary'!A43</f>
      </c>
      <c r="B44" s="74">
        <f>IF('Monthly Summary'!W43="",NA(),'Monthly Summary'!W43)</f>
      </c>
      <c r="C44" s="74">
        <f>IF('Monthly Summary'!X43="",NA(),'Monthly Summary'!X43)</f>
      </c>
      <c r="D44" s="74">
        <f>IF('Monthly Summary'!Y43="",NA(),'Monthly Summary'!Y43)</f>
      </c>
      <c r="E44" s="74">
        <f>IF('Monthly Summary'!Z43="",NA(),'Monthly Summary'!Z43)</f>
      </c>
      <c r="F44" s="74">
        <f>IF('Monthly Summary'!AA43="",NA(),'Monthly Summary'!AA43)</f>
      </c>
      <c r="G44" s="74">
        <f>IF('Monthly Summary'!AB43="",NA(),'Monthly Summary'!AB43)</f>
      </c>
      <c r="H44" s="74">
        <f>IF('Monthly Summary'!AC43="",NA(),'Monthly Summary'!AC43)</f>
      </c>
      <c r="I44" s="74">
        <f>IF('Monthly Summary'!AD43="",NA(),'Monthly Summary'!AD43)</f>
      </c>
      <c r="J44" s="74">
        <f>IF('Monthly Summary'!AE43="",NA(),'Monthly Summary'!AE43)</f>
      </c>
      <c r="K44" s="74">
        <f>IF('Monthly Summary'!AF43="",NA(),'Monthly Summary'!AF43)</f>
      </c>
      <c r="L44" s="74">
        <f>IF('Monthly Summary'!AG43="",NA(),'Monthly Summary'!AG43)</f>
      </c>
      <c r="M44" s="74">
        <f>IF('Monthly Summary'!AH43="",NA(),'Monthly Summary'!AH43)</f>
      </c>
      <c r="N44" s="74">
        <f>IF('Monthly Summary'!AI43="",NA(),'Monthly Summary'!AI43)</f>
      </c>
      <c r="O44" s="74">
        <f>IF('Monthly Summary'!AJ43="",NA(),'Monthly Summary'!AJ43)</f>
      </c>
      <c r="P44" s="74">
        <f>IF('Monthly Summary'!AK43="",NA(),'Monthly Summary'!AK43)</f>
      </c>
      <c r="Q44" s="74">
        <f>IF('Monthly Summary'!AL43="",NA(),'Monthly Summary'!AL43)</f>
      </c>
      <c r="R44" s="74">
        <f>IF('Monthly Summary'!AM43="",NA(),'Monthly Summary'!AM43)</f>
      </c>
      <c r="S44" s="74">
        <f>IF('Monthly Summary'!C43="",NA(),'Monthly Summary'!C43)</f>
      </c>
    </row>
    <row r="45" spans="1:19" x14ac:dyDescent="0.2">
      <c r="A45" s="73">
        <f>'Monthly Summary'!A44</f>
      </c>
      <c r="B45" s="74">
        <f>IF('Monthly Summary'!W44="",NA(),'Monthly Summary'!W44)</f>
      </c>
      <c r="C45" s="74">
        <f>IF('Monthly Summary'!X44="",NA(),'Monthly Summary'!X44)</f>
      </c>
      <c r="D45" s="74">
        <f>IF('Monthly Summary'!Y44="",NA(),'Monthly Summary'!Y44)</f>
      </c>
      <c r="E45" s="74">
        <f>IF('Monthly Summary'!Z44="",NA(),'Monthly Summary'!Z44)</f>
      </c>
      <c r="F45" s="74">
        <f>IF('Monthly Summary'!AA44="",NA(),'Monthly Summary'!AA44)</f>
      </c>
      <c r="G45" s="74">
        <f>IF('Monthly Summary'!AB44="",NA(),'Monthly Summary'!AB44)</f>
      </c>
      <c r="H45" s="74">
        <f>IF('Monthly Summary'!AC44="",NA(),'Monthly Summary'!AC44)</f>
      </c>
      <c r="I45" s="74">
        <f>IF('Monthly Summary'!AD44="",NA(),'Monthly Summary'!AD44)</f>
      </c>
      <c r="J45" s="74">
        <f>IF('Monthly Summary'!AE44="",NA(),'Monthly Summary'!AE44)</f>
      </c>
      <c r="K45" s="74">
        <f>IF('Monthly Summary'!AF44="",NA(),'Monthly Summary'!AF44)</f>
      </c>
      <c r="L45" s="74">
        <f>IF('Monthly Summary'!AG44="",NA(),'Monthly Summary'!AG44)</f>
      </c>
      <c r="M45" s="74">
        <f>IF('Monthly Summary'!AH44="",NA(),'Monthly Summary'!AH44)</f>
      </c>
      <c r="N45" s="74">
        <f>IF('Monthly Summary'!AI44="",NA(),'Monthly Summary'!AI44)</f>
      </c>
      <c r="O45" s="74">
        <f>IF('Monthly Summary'!AJ44="",NA(),'Monthly Summary'!AJ44)</f>
      </c>
      <c r="P45" s="74">
        <f>IF('Monthly Summary'!AK44="",NA(),'Monthly Summary'!AK44)</f>
      </c>
      <c r="Q45" s="74">
        <f>IF('Monthly Summary'!AL44="",NA(),'Monthly Summary'!AL44)</f>
      </c>
      <c r="R45" s="74">
        <f>IF('Monthly Summary'!AM44="",NA(),'Monthly Summary'!AM44)</f>
      </c>
      <c r="S45" s="74">
        <f>IF('Monthly Summary'!C44="",NA(),'Monthly Summary'!C44)</f>
      </c>
    </row>
    <row r="46" spans="1:19" x14ac:dyDescent="0.2">
      <c r="A46" s="73">
        <f>'Monthly Summary'!A45</f>
      </c>
      <c r="B46" s="74">
        <f>IF('Monthly Summary'!W45="",NA(),'Monthly Summary'!W45)</f>
      </c>
      <c r="C46" s="74">
        <f>IF('Monthly Summary'!X45="",NA(),'Monthly Summary'!X45)</f>
      </c>
      <c r="D46" s="74">
        <f>IF('Monthly Summary'!Y45="",NA(),'Monthly Summary'!Y45)</f>
      </c>
      <c r="E46" s="74">
        <f>IF('Monthly Summary'!Z45="",NA(),'Monthly Summary'!Z45)</f>
      </c>
      <c r="F46" s="74">
        <f>IF('Monthly Summary'!AA45="",NA(),'Monthly Summary'!AA45)</f>
      </c>
      <c r="G46" s="74">
        <f>IF('Monthly Summary'!AB45="",NA(),'Monthly Summary'!AB45)</f>
      </c>
      <c r="H46" s="74">
        <f>IF('Monthly Summary'!AC45="",NA(),'Monthly Summary'!AC45)</f>
      </c>
      <c r="I46" s="74">
        <f>IF('Monthly Summary'!AD45="",NA(),'Monthly Summary'!AD45)</f>
      </c>
      <c r="J46" s="74">
        <f>IF('Monthly Summary'!AE45="",NA(),'Monthly Summary'!AE45)</f>
      </c>
      <c r="K46" s="74">
        <f>IF('Monthly Summary'!AF45="",NA(),'Monthly Summary'!AF45)</f>
      </c>
      <c r="L46" s="74">
        <f>IF('Monthly Summary'!AG45="",NA(),'Monthly Summary'!AG45)</f>
      </c>
      <c r="M46" s="74">
        <f>IF('Monthly Summary'!AH45="",NA(),'Monthly Summary'!AH45)</f>
      </c>
      <c r="N46" s="74">
        <f>IF('Monthly Summary'!AI45="",NA(),'Monthly Summary'!AI45)</f>
      </c>
      <c r="O46" s="74">
        <f>IF('Monthly Summary'!AJ45="",NA(),'Monthly Summary'!AJ45)</f>
      </c>
      <c r="P46" s="74">
        <f>IF('Monthly Summary'!AK45="",NA(),'Monthly Summary'!AK45)</f>
      </c>
      <c r="Q46" s="74">
        <f>IF('Monthly Summary'!AL45="",NA(),'Monthly Summary'!AL45)</f>
      </c>
      <c r="R46" s="74">
        <f>IF('Monthly Summary'!AM45="",NA(),'Monthly Summary'!AM45)</f>
      </c>
      <c r="S46" s="74">
        <f>IF('Monthly Summary'!C45="",NA(),'Monthly Summary'!C45)</f>
      </c>
    </row>
    <row r="47" spans="1:19" x14ac:dyDescent="0.2">
      <c r="A47" s="73">
        <f>'Monthly Summary'!A46</f>
      </c>
      <c r="B47" s="74">
        <f>IF('Monthly Summary'!W46="",NA(),'Monthly Summary'!W46)</f>
      </c>
      <c r="C47" s="74">
        <f>IF('Monthly Summary'!X46="",NA(),'Monthly Summary'!X46)</f>
      </c>
      <c r="D47" s="74">
        <f>IF('Monthly Summary'!Y46="",NA(),'Monthly Summary'!Y46)</f>
      </c>
      <c r="E47" s="74">
        <f>IF('Monthly Summary'!Z46="",NA(),'Monthly Summary'!Z46)</f>
      </c>
      <c r="F47" s="74">
        <f>IF('Monthly Summary'!AA46="",NA(),'Monthly Summary'!AA46)</f>
      </c>
      <c r="G47" s="74">
        <f>IF('Monthly Summary'!AB46="",NA(),'Monthly Summary'!AB46)</f>
      </c>
      <c r="H47" s="74">
        <f>IF('Monthly Summary'!AC46="",NA(),'Monthly Summary'!AC46)</f>
      </c>
      <c r="I47" s="74">
        <f>IF('Monthly Summary'!AD46="",NA(),'Monthly Summary'!AD46)</f>
      </c>
      <c r="J47" s="74">
        <f>IF('Monthly Summary'!AE46="",NA(),'Monthly Summary'!AE46)</f>
      </c>
      <c r="K47" s="74">
        <f>IF('Monthly Summary'!AF46="",NA(),'Monthly Summary'!AF46)</f>
      </c>
      <c r="L47" s="74">
        <f>IF('Monthly Summary'!AG46="",NA(),'Monthly Summary'!AG46)</f>
      </c>
      <c r="M47" s="74">
        <f>IF('Monthly Summary'!AH46="",NA(),'Monthly Summary'!AH46)</f>
      </c>
      <c r="N47" s="74">
        <f>IF('Monthly Summary'!AI46="",NA(),'Monthly Summary'!AI46)</f>
      </c>
      <c r="O47" s="74">
        <f>IF('Monthly Summary'!AJ46="",NA(),'Monthly Summary'!AJ46)</f>
      </c>
      <c r="P47" s="74">
        <f>IF('Monthly Summary'!AK46="",NA(),'Monthly Summary'!AK46)</f>
      </c>
      <c r="Q47" s="74">
        <f>IF('Monthly Summary'!AL46="",NA(),'Monthly Summary'!AL46)</f>
      </c>
      <c r="R47" s="74">
        <f>IF('Monthly Summary'!AM46="",NA(),'Monthly Summary'!AM46)</f>
      </c>
      <c r="S47" s="74">
        <f>IF('Monthly Summary'!C46="",NA(),'Monthly Summary'!C46)</f>
      </c>
    </row>
    <row r="48" spans="1:19" x14ac:dyDescent="0.2">
      <c r="A48" s="73">
        <f>'Monthly Summary'!A47</f>
      </c>
      <c r="B48" s="74">
        <f>IF('Monthly Summary'!W47="",NA(),'Monthly Summary'!W47)</f>
      </c>
      <c r="C48" s="74">
        <f>IF('Monthly Summary'!X47="",NA(),'Monthly Summary'!X47)</f>
      </c>
      <c r="D48" s="74">
        <f>IF('Monthly Summary'!Y47="",NA(),'Monthly Summary'!Y47)</f>
      </c>
      <c r="E48" s="74">
        <f>IF('Monthly Summary'!Z47="",NA(),'Monthly Summary'!Z47)</f>
      </c>
      <c r="F48" s="74">
        <f>IF('Monthly Summary'!AA47="",NA(),'Monthly Summary'!AA47)</f>
      </c>
      <c r="G48" s="74">
        <f>IF('Monthly Summary'!AB47="",NA(),'Monthly Summary'!AB47)</f>
      </c>
      <c r="H48" s="74">
        <f>IF('Monthly Summary'!AC47="",NA(),'Monthly Summary'!AC47)</f>
      </c>
      <c r="I48" s="74">
        <f>IF('Monthly Summary'!AD47="",NA(),'Monthly Summary'!AD47)</f>
      </c>
      <c r="J48" s="74">
        <f>IF('Monthly Summary'!AE47="",NA(),'Monthly Summary'!AE47)</f>
      </c>
      <c r="K48" s="74">
        <f>IF('Monthly Summary'!AF47="",NA(),'Monthly Summary'!AF47)</f>
      </c>
      <c r="L48" s="74">
        <f>IF('Monthly Summary'!AG47="",NA(),'Monthly Summary'!AG47)</f>
      </c>
      <c r="M48" s="74">
        <f>IF('Monthly Summary'!AH47="",NA(),'Monthly Summary'!AH47)</f>
      </c>
      <c r="N48" s="74">
        <f>IF('Monthly Summary'!AI47="",NA(),'Monthly Summary'!AI47)</f>
      </c>
      <c r="O48" s="74">
        <f>IF('Monthly Summary'!AJ47="",NA(),'Monthly Summary'!AJ47)</f>
      </c>
      <c r="P48" s="74">
        <f>IF('Monthly Summary'!AK47="",NA(),'Monthly Summary'!AK47)</f>
      </c>
      <c r="Q48" s="74">
        <f>IF('Monthly Summary'!AL47="",NA(),'Monthly Summary'!AL47)</f>
      </c>
      <c r="R48" s="74">
        <f>IF('Monthly Summary'!AM47="",NA(),'Monthly Summary'!AM47)</f>
      </c>
      <c r="S48" s="74">
        <f>IF('Monthly Summary'!C47="",NA(),'Monthly Summary'!C47)</f>
      </c>
    </row>
    <row r="49" spans="1:19" x14ac:dyDescent="0.2">
      <c r="A49" s="73">
        <f>'Monthly Summary'!A48</f>
      </c>
      <c r="B49" s="74">
        <f>IF('Monthly Summary'!W48="",NA(),'Monthly Summary'!W48)</f>
      </c>
      <c r="C49" s="74">
        <f>IF('Monthly Summary'!X48="",NA(),'Monthly Summary'!X48)</f>
      </c>
      <c r="D49" s="74">
        <f>IF('Monthly Summary'!Y48="",NA(),'Monthly Summary'!Y48)</f>
      </c>
      <c r="E49" s="74">
        <f>IF('Monthly Summary'!Z48="",NA(),'Monthly Summary'!Z48)</f>
      </c>
      <c r="F49" s="74">
        <f>IF('Monthly Summary'!AA48="",NA(),'Monthly Summary'!AA48)</f>
      </c>
      <c r="G49" s="74">
        <f>IF('Monthly Summary'!AB48="",NA(),'Monthly Summary'!AB48)</f>
      </c>
      <c r="H49" s="74">
        <f>IF('Monthly Summary'!AC48="",NA(),'Monthly Summary'!AC48)</f>
      </c>
      <c r="I49" s="74">
        <f>IF('Monthly Summary'!AD48="",NA(),'Monthly Summary'!AD48)</f>
      </c>
      <c r="J49" s="74">
        <f>IF('Monthly Summary'!AE48="",NA(),'Monthly Summary'!AE48)</f>
      </c>
      <c r="K49" s="74">
        <f>IF('Monthly Summary'!AF48="",NA(),'Monthly Summary'!AF48)</f>
      </c>
      <c r="L49" s="74">
        <f>IF('Monthly Summary'!AG48="",NA(),'Monthly Summary'!AG48)</f>
      </c>
      <c r="M49" s="74">
        <f>IF('Monthly Summary'!AH48="",NA(),'Monthly Summary'!AH48)</f>
      </c>
      <c r="N49" s="74">
        <f>IF('Monthly Summary'!AI48="",NA(),'Monthly Summary'!AI48)</f>
      </c>
      <c r="O49" s="74">
        <f>IF('Monthly Summary'!AJ48="",NA(),'Monthly Summary'!AJ48)</f>
      </c>
      <c r="P49" s="74">
        <f>IF('Monthly Summary'!AK48="",NA(),'Monthly Summary'!AK48)</f>
      </c>
      <c r="Q49" s="74">
        <f>IF('Monthly Summary'!AL48="",NA(),'Monthly Summary'!AL48)</f>
      </c>
      <c r="R49" s="74">
        <f>IF('Monthly Summary'!AM48="",NA(),'Monthly Summary'!AM48)</f>
      </c>
      <c r="S49" s="74">
        <f>IF('Monthly Summary'!C48="",NA(),'Monthly Summary'!C48)</f>
      </c>
    </row>
    <row r="50" spans="1:19" x14ac:dyDescent="0.2">
      <c r="A50" s="73">
        <f>'Monthly Summary'!A49</f>
      </c>
      <c r="B50" s="74">
        <f>IF('Monthly Summary'!W49="",NA(),'Monthly Summary'!W49)</f>
      </c>
      <c r="C50" s="74">
        <f>IF('Monthly Summary'!X49="",NA(),'Monthly Summary'!X49)</f>
      </c>
      <c r="D50" s="74">
        <f>IF('Monthly Summary'!Y49="",NA(),'Monthly Summary'!Y49)</f>
      </c>
      <c r="E50" s="74">
        <f>IF('Monthly Summary'!Z49="",NA(),'Monthly Summary'!Z49)</f>
      </c>
      <c r="F50" s="74">
        <f>IF('Monthly Summary'!AA49="",NA(),'Monthly Summary'!AA49)</f>
      </c>
      <c r="G50" s="74">
        <f>IF('Monthly Summary'!AB49="",NA(),'Monthly Summary'!AB49)</f>
      </c>
      <c r="H50" s="74">
        <f>IF('Monthly Summary'!AC49="",NA(),'Monthly Summary'!AC49)</f>
      </c>
      <c r="I50" s="74">
        <f>IF('Monthly Summary'!AD49="",NA(),'Monthly Summary'!AD49)</f>
      </c>
      <c r="J50" s="74">
        <f>IF('Monthly Summary'!AE49="",NA(),'Monthly Summary'!AE49)</f>
      </c>
      <c r="K50" s="74">
        <f>IF('Monthly Summary'!AF49="",NA(),'Monthly Summary'!AF49)</f>
      </c>
      <c r="L50" s="74">
        <f>IF('Monthly Summary'!AG49="",NA(),'Monthly Summary'!AG49)</f>
      </c>
      <c r="M50" s="74">
        <f>IF('Monthly Summary'!AH49="",NA(),'Monthly Summary'!AH49)</f>
      </c>
      <c r="N50" s="74">
        <f>IF('Monthly Summary'!AI49="",NA(),'Monthly Summary'!AI49)</f>
      </c>
      <c r="O50" s="74">
        <f>IF('Monthly Summary'!AJ49="",NA(),'Monthly Summary'!AJ49)</f>
      </c>
      <c r="P50" s="74">
        <f>IF('Monthly Summary'!AK49="",NA(),'Monthly Summary'!AK49)</f>
      </c>
      <c r="Q50" s="74">
        <f>IF('Monthly Summary'!AL49="",NA(),'Monthly Summary'!AL49)</f>
      </c>
      <c r="R50" s="74">
        <f>IF('Monthly Summary'!AM49="",NA(),'Monthly Summary'!AM49)</f>
      </c>
      <c r="S50" s="74">
        <f>IF('Monthly Summary'!C49="",NA(),'Monthly Summary'!C49)</f>
      </c>
    </row>
    <row r="51" spans="1:19" x14ac:dyDescent="0.2">
      <c r="A51" s="73">
        <f>'Monthly Summary'!A50</f>
      </c>
      <c r="B51" s="74">
        <f>IF('Monthly Summary'!W50="",NA(),'Monthly Summary'!W50)</f>
      </c>
      <c r="C51" s="74">
        <f>IF('Monthly Summary'!X50="",NA(),'Monthly Summary'!X50)</f>
      </c>
      <c r="D51" s="74">
        <f>IF('Monthly Summary'!Y50="",NA(),'Monthly Summary'!Y50)</f>
      </c>
      <c r="E51" s="74">
        <f>IF('Monthly Summary'!Z50="",NA(),'Monthly Summary'!Z50)</f>
      </c>
      <c r="F51" s="74">
        <f>IF('Monthly Summary'!AA50="",NA(),'Monthly Summary'!AA50)</f>
      </c>
      <c r="G51" s="74">
        <f>IF('Monthly Summary'!AB50="",NA(),'Monthly Summary'!AB50)</f>
      </c>
      <c r="H51" s="74">
        <f>IF('Monthly Summary'!AC50="",NA(),'Monthly Summary'!AC50)</f>
      </c>
      <c r="I51" s="74">
        <f>IF('Monthly Summary'!AD50="",NA(),'Monthly Summary'!AD50)</f>
      </c>
      <c r="J51" s="74">
        <f>IF('Monthly Summary'!AE50="",NA(),'Monthly Summary'!AE50)</f>
      </c>
      <c r="K51" s="74">
        <f>IF('Monthly Summary'!AF50="",NA(),'Monthly Summary'!AF50)</f>
      </c>
      <c r="L51" s="74">
        <f>IF('Monthly Summary'!AG50="",NA(),'Monthly Summary'!AG50)</f>
      </c>
      <c r="M51" s="74">
        <f>IF('Monthly Summary'!AH50="",NA(),'Monthly Summary'!AH50)</f>
      </c>
      <c r="N51" s="74">
        <f>IF('Monthly Summary'!AI50="",NA(),'Monthly Summary'!AI50)</f>
      </c>
      <c r="O51" s="74">
        <f>IF('Monthly Summary'!AJ50="",NA(),'Monthly Summary'!AJ50)</f>
      </c>
      <c r="P51" s="74">
        <f>IF('Monthly Summary'!AK50="",NA(),'Monthly Summary'!AK50)</f>
      </c>
      <c r="Q51" s="74">
        <f>IF('Monthly Summary'!AL50="",NA(),'Monthly Summary'!AL50)</f>
      </c>
      <c r="R51" s="74">
        <f>IF('Monthly Summary'!AM50="",NA(),'Monthly Summary'!AM50)</f>
      </c>
      <c r="S51" s="74">
        <f>IF('Monthly Summary'!C50="",NA(),'Monthly Summary'!C50)</f>
      </c>
    </row>
    <row r="52" spans="1:19" x14ac:dyDescent="0.2">
      <c r="A52" s="73">
        <f>'Monthly Summary'!A51</f>
      </c>
      <c r="B52" s="74">
        <f>IF('Monthly Summary'!W51="",NA(),'Monthly Summary'!W51)</f>
      </c>
      <c r="C52" s="74">
        <f>IF('Monthly Summary'!X51="",NA(),'Monthly Summary'!X51)</f>
      </c>
      <c r="D52" s="74">
        <f>IF('Monthly Summary'!Y51="",NA(),'Monthly Summary'!Y51)</f>
      </c>
      <c r="E52" s="74">
        <f>IF('Monthly Summary'!Z51="",NA(),'Monthly Summary'!Z51)</f>
      </c>
      <c r="F52" s="74">
        <f>IF('Monthly Summary'!AA51="",NA(),'Monthly Summary'!AA51)</f>
      </c>
      <c r="G52" s="74">
        <f>IF('Monthly Summary'!AB51="",NA(),'Monthly Summary'!AB51)</f>
      </c>
      <c r="H52" s="74">
        <f>IF('Monthly Summary'!AC51="",NA(),'Monthly Summary'!AC51)</f>
      </c>
      <c r="I52" s="74">
        <f>IF('Monthly Summary'!AD51="",NA(),'Monthly Summary'!AD51)</f>
      </c>
      <c r="J52" s="74">
        <f>IF('Monthly Summary'!AE51="",NA(),'Monthly Summary'!AE51)</f>
      </c>
      <c r="K52" s="74">
        <f>IF('Monthly Summary'!AF51="",NA(),'Monthly Summary'!AF51)</f>
      </c>
      <c r="L52" s="74">
        <f>IF('Monthly Summary'!AG51="",NA(),'Monthly Summary'!AG51)</f>
      </c>
      <c r="M52" s="74">
        <f>IF('Monthly Summary'!AH51="",NA(),'Monthly Summary'!AH51)</f>
      </c>
      <c r="N52" s="74">
        <f>IF('Monthly Summary'!AI51="",NA(),'Monthly Summary'!AI51)</f>
      </c>
      <c r="O52" s="74">
        <f>IF('Monthly Summary'!AJ51="",NA(),'Monthly Summary'!AJ51)</f>
      </c>
      <c r="P52" s="74">
        <f>IF('Monthly Summary'!AK51="",NA(),'Monthly Summary'!AK51)</f>
      </c>
      <c r="Q52" s="74">
        <f>IF('Monthly Summary'!AL51="",NA(),'Monthly Summary'!AL51)</f>
      </c>
      <c r="R52" s="74">
        <f>IF('Monthly Summary'!AM51="",NA(),'Monthly Summary'!AM51)</f>
      </c>
      <c r="S52" s="74">
        <f>IF('Monthly Summary'!C51="",NA(),'Monthly Summary'!C51)</f>
      </c>
    </row>
    <row r="53" spans="1:19" x14ac:dyDescent="0.2">
      <c r="A53" s="73">
        <f>'Monthly Summary'!A52</f>
      </c>
      <c r="B53" s="74">
        <f>IF('Monthly Summary'!W52="",NA(),'Monthly Summary'!W52)</f>
      </c>
      <c r="C53" s="74">
        <f>IF('Monthly Summary'!X52="",NA(),'Monthly Summary'!X52)</f>
      </c>
      <c r="D53" s="74">
        <f>IF('Monthly Summary'!Y52="",NA(),'Monthly Summary'!Y52)</f>
      </c>
      <c r="E53" s="74">
        <f>IF('Monthly Summary'!Z52="",NA(),'Monthly Summary'!Z52)</f>
      </c>
      <c r="F53" s="74">
        <f>IF('Monthly Summary'!AA52="",NA(),'Monthly Summary'!AA52)</f>
      </c>
      <c r="G53" s="74">
        <f>IF('Monthly Summary'!AB52="",NA(),'Monthly Summary'!AB52)</f>
      </c>
      <c r="H53" s="74">
        <f>IF('Monthly Summary'!AC52="",NA(),'Monthly Summary'!AC52)</f>
      </c>
      <c r="I53" s="74">
        <f>IF('Monthly Summary'!AD52="",NA(),'Monthly Summary'!AD52)</f>
      </c>
      <c r="J53" s="74">
        <f>IF('Monthly Summary'!AE52="",NA(),'Monthly Summary'!AE52)</f>
      </c>
      <c r="K53" s="74">
        <f>IF('Monthly Summary'!AF52="",NA(),'Monthly Summary'!AF52)</f>
      </c>
      <c r="L53" s="74">
        <f>IF('Monthly Summary'!AG52="",NA(),'Monthly Summary'!AG52)</f>
      </c>
      <c r="M53" s="74">
        <f>IF('Monthly Summary'!AH52="",NA(),'Monthly Summary'!AH52)</f>
      </c>
      <c r="N53" s="74">
        <f>IF('Monthly Summary'!AI52="",NA(),'Monthly Summary'!AI52)</f>
      </c>
      <c r="O53" s="74">
        <f>IF('Monthly Summary'!AJ52="",NA(),'Monthly Summary'!AJ52)</f>
      </c>
      <c r="P53" s="74">
        <f>IF('Monthly Summary'!AK52="",NA(),'Monthly Summary'!AK52)</f>
      </c>
      <c r="Q53" s="74">
        <f>IF('Monthly Summary'!AL52="",NA(),'Monthly Summary'!AL52)</f>
      </c>
      <c r="R53" s="74">
        <f>IF('Monthly Summary'!AM52="",NA(),'Monthly Summary'!AM52)</f>
      </c>
      <c r="S53" s="74">
        <f>IF('Monthly Summary'!C52="",NA(),'Monthly Summary'!C52)</f>
      </c>
    </row>
    <row r="54" spans="1:19" x14ac:dyDescent="0.2">
      <c r="A54" s="73">
        <f>'Monthly Summary'!A53</f>
      </c>
      <c r="B54" s="74">
        <f>IF('Monthly Summary'!W53="",NA(),'Monthly Summary'!W53)</f>
      </c>
      <c r="C54" s="74">
        <f>IF('Monthly Summary'!X53="",NA(),'Monthly Summary'!X53)</f>
      </c>
      <c r="D54" s="74">
        <f>IF('Monthly Summary'!Y53="",NA(),'Monthly Summary'!Y53)</f>
      </c>
      <c r="E54" s="74">
        <f>IF('Monthly Summary'!Z53="",NA(),'Monthly Summary'!Z53)</f>
      </c>
      <c r="F54" s="74">
        <f>IF('Monthly Summary'!AA53="",NA(),'Monthly Summary'!AA53)</f>
      </c>
      <c r="G54" s="74">
        <f>IF('Monthly Summary'!AB53="",NA(),'Monthly Summary'!AB53)</f>
      </c>
      <c r="H54" s="74">
        <f>IF('Monthly Summary'!AC53="",NA(),'Monthly Summary'!AC53)</f>
      </c>
      <c r="I54" s="74">
        <f>IF('Monthly Summary'!AD53="",NA(),'Monthly Summary'!AD53)</f>
      </c>
      <c r="J54" s="74">
        <f>IF('Monthly Summary'!AE53="",NA(),'Monthly Summary'!AE53)</f>
      </c>
      <c r="K54" s="74">
        <f>IF('Monthly Summary'!AF53="",NA(),'Monthly Summary'!AF53)</f>
      </c>
      <c r="L54" s="74">
        <f>IF('Monthly Summary'!AG53="",NA(),'Monthly Summary'!AG53)</f>
      </c>
      <c r="M54" s="74">
        <f>IF('Monthly Summary'!AH53="",NA(),'Monthly Summary'!AH53)</f>
      </c>
      <c r="N54" s="74">
        <f>IF('Monthly Summary'!AI53="",NA(),'Monthly Summary'!AI53)</f>
      </c>
      <c r="O54" s="74">
        <f>IF('Monthly Summary'!AJ53="",NA(),'Monthly Summary'!AJ53)</f>
      </c>
      <c r="P54" s="74">
        <f>IF('Monthly Summary'!AK53="",NA(),'Monthly Summary'!AK53)</f>
      </c>
      <c r="Q54" s="74">
        <f>IF('Monthly Summary'!AL53="",NA(),'Monthly Summary'!AL53)</f>
      </c>
      <c r="R54" s="74">
        <f>IF('Monthly Summary'!AM53="",NA(),'Monthly Summary'!AM53)</f>
      </c>
      <c r="S54" s="74">
        <f>IF('Monthly Summary'!C53="",NA(),'Monthly Summary'!C53)</f>
      </c>
    </row>
    <row r="55" spans="1:19" x14ac:dyDescent="0.2">
      <c r="A55" s="73">
        <f>'Monthly Summary'!A54</f>
      </c>
      <c r="B55" s="74">
        <f>IF('Monthly Summary'!W54="",NA(),'Monthly Summary'!W54)</f>
      </c>
      <c r="C55" s="74">
        <f>IF('Monthly Summary'!X54="",NA(),'Monthly Summary'!X54)</f>
      </c>
      <c r="D55" s="74">
        <f>IF('Monthly Summary'!Y54="",NA(),'Monthly Summary'!Y54)</f>
      </c>
      <c r="E55" s="74">
        <f>IF('Monthly Summary'!Z54="",NA(),'Monthly Summary'!Z54)</f>
      </c>
      <c r="F55" s="74">
        <f>IF('Monthly Summary'!AA54="",NA(),'Monthly Summary'!AA54)</f>
      </c>
      <c r="G55" s="74">
        <f>IF('Monthly Summary'!AB54="",NA(),'Monthly Summary'!AB54)</f>
      </c>
      <c r="H55" s="74">
        <f>IF('Monthly Summary'!AC54="",NA(),'Monthly Summary'!AC54)</f>
      </c>
      <c r="I55" s="74">
        <f>IF('Monthly Summary'!AD54="",NA(),'Monthly Summary'!AD54)</f>
      </c>
      <c r="J55" s="74">
        <f>IF('Monthly Summary'!AE54="",NA(),'Monthly Summary'!AE54)</f>
      </c>
      <c r="K55" s="74">
        <f>IF('Monthly Summary'!AF54="",NA(),'Monthly Summary'!AF54)</f>
      </c>
      <c r="L55" s="74">
        <f>IF('Monthly Summary'!AG54="",NA(),'Monthly Summary'!AG54)</f>
      </c>
      <c r="M55" s="74">
        <f>IF('Monthly Summary'!AH54="",NA(),'Monthly Summary'!AH54)</f>
      </c>
      <c r="N55" s="74">
        <f>IF('Monthly Summary'!AI54="",NA(),'Monthly Summary'!AI54)</f>
      </c>
      <c r="O55" s="74">
        <f>IF('Monthly Summary'!AJ54="",NA(),'Monthly Summary'!AJ54)</f>
      </c>
      <c r="P55" s="74">
        <f>IF('Monthly Summary'!AK54="",NA(),'Monthly Summary'!AK54)</f>
      </c>
      <c r="Q55" s="74">
        <f>IF('Monthly Summary'!AL54="",NA(),'Monthly Summary'!AL54)</f>
      </c>
      <c r="R55" s="74">
        <f>IF('Monthly Summary'!AM54="",NA(),'Monthly Summary'!AM54)</f>
      </c>
      <c r="S55" s="74">
        <f>IF('Monthly Summary'!C54="",NA(),'Monthly Summary'!C54)</f>
      </c>
    </row>
    <row r="56" spans="1:19" x14ac:dyDescent="0.2">
      <c r="A56" s="73">
        <f>'Monthly Summary'!A55</f>
      </c>
      <c r="B56" s="74">
        <f>IF('Monthly Summary'!W55="",NA(),'Monthly Summary'!W55)</f>
      </c>
      <c r="C56" s="74">
        <f>IF('Monthly Summary'!X55="",NA(),'Monthly Summary'!X55)</f>
      </c>
      <c r="D56" s="74">
        <f>IF('Monthly Summary'!Y55="",NA(),'Monthly Summary'!Y55)</f>
      </c>
      <c r="E56" s="74">
        <f>IF('Monthly Summary'!Z55="",NA(),'Monthly Summary'!Z55)</f>
      </c>
      <c r="F56" s="74">
        <f>IF('Monthly Summary'!AA55="",NA(),'Monthly Summary'!AA55)</f>
      </c>
      <c r="G56" s="74">
        <f>IF('Monthly Summary'!AB55="",NA(),'Monthly Summary'!AB55)</f>
      </c>
      <c r="H56" s="74">
        <f>IF('Monthly Summary'!AC55="",NA(),'Monthly Summary'!AC55)</f>
      </c>
      <c r="I56" s="74">
        <f>IF('Monthly Summary'!AD55="",NA(),'Monthly Summary'!AD55)</f>
      </c>
      <c r="J56" s="74">
        <f>IF('Monthly Summary'!AE55="",NA(),'Monthly Summary'!AE55)</f>
      </c>
      <c r="K56" s="74">
        <f>IF('Monthly Summary'!AF55="",NA(),'Monthly Summary'!AF55)</f>
      </c>
      <c r="L56" s="74">
        <f>IF('Monthly Summary'!AG55="",NA(),'Monthly Summary'!AG55)</f>
      </c>
      <c r="M56" s="74">
        <f>IF('Monthly Summary'!AH55="",NA(),'Monthly Summary'!AH55)</f>
      </c>
      <c r="N56" s="74">
        <f>IF('Monthly Summary'!AI55="",NA(),'Monthly Summary'!AI55)</f>
      </c>
      <c r="O56" s="74">
        <f>IF('Monthly Summary'!AJ55="",NA(),'Monthly Summary'!AJ55)</f>
      </c>
      <c r="P56" s="74">
        <f>IF('Monthly Summary'!AK55="",NA(),'Monthly Summary'!AK55)</f>
      </c>
      <c r="Q56" s="74">
        <f>IF('Monthly Summary'!AL55="",NA(),'Monthly Summary'!AL55)</f>
      </c>
      <c r="R56" s="74">
        <f>IF('Monthly Summary'!AM55="",NA(),'Monthly Summary'!AM55)</f>
      </c>
      <c r="S56" s="74">
        <f>IF('Monthly Summary'!C55="",NA(),'Monthly Summary'!C55)</f>
      </c>
    </row>
    <row r="57" spans="1:19" x14ac:dyDescent="0.2">
      <c r="A57" s="73">
        <f>'Monthly Summary'!A56</f>
      </c>
      <c r="B57" s="74">
        <f>IF('Monthly Summary'!W56="",NA(),'Monthly Summary'!W56)</f>
      </c>
      <c r="C57" s="74">
        <f>IF('Monthly Summary'!X56="",NA(),'Monthly Summary'!X56)</f>
      </c>
      <c r="D57" s="74">
        <f>IF('Monthly Summary'!Y56="",NA(),'Monthly Summary'!Y56)</f>
      </c>
      <c r="E57" s="74">
        <f>IF('Monthly Summary'!Z56="",NA(),'Monthly Summary'!Z56)</f>
      </c>
      <c r="F57" s="74">
        <f>IF('Monthly Summary'!AA56="",NA(),'Monthly Summary'!AA56)</f>
      </c>
      <c r="G57" s="74">
        <f>IF('Monthly Summary'!AB56="",NA(),'Monthly Summary'!AB56)</f>
      </c>
      <c r="H57" s="74">
        <f>IF('Monthly Summary'!AC56="",NA(),'Monthly Summary'!AC56)</f>
      </c>
      <c r="I57" s="74">
        <f>IF('Monthly Summary'!AD56="",NA(),'Monthly Summary'!AD56)</f>
      </c>
      <c r="J57" s="74">
        <f>IF('Monthly Summary'!AE56="",NA(),'Monthly Summary'!AE56)</f>
      </c>
      <c r="K57" s="74">
        <f>IF('Monthly Summary'!AF56="",NA(),'Monthly Summary'!AF56)</f>
      </c>
      <c r="L57" s="74">
        <f>IF('Monthly Summary'!AG56="",NA(),'Monthly Summary'!AG56)</f>
      </c>
      <c r="M57" s="74">
        <f>IF('Monthly Summary'!AH56="",NA(),'Monthly Summary'!AH56)</f>
      </c>
      <c r="N57" s="74">
        <f>IF('Monthly Summary'!AI56="",NA(),'Monthly Summary'!AI56)</f>
      </c>
      <c r="O57" s="74">
        <f>IF('Monthly Summary'!AJ56="",NA(),'Monthly Summary'!AJ56)</f>
      </c>
      <c r="P57" s="74">
        <f>IF('Monthly Summary'!AK56="",NA(),'Monthly Summary'!AK56)</f>
      </c>
      <c r="Q57" s="74">
        <f>IF('Monthly Summary'!AL56="",NA(),'Monthly Summary'!AL56)</f>
      </c>
      <c r="R57" s="74">
        <f>IF('Monthly Summary'!AM56="",NA(),'Monthly Summary'!AM56)</f>
      </c>
      <c r="S57" s="74">
        <f>IF('Monthly Summary'!C56="",NA(),'Monthly Summary'!C56)</f>
      </c>
    </row>
    <row r="58" spans="1:19" x14ac:dyDescent="0.2">
      <c r="A58" s="73">
        <f>'Monthly Summary'!A57</f>
      </c>
      <c r="B58" s="74">
        <f>IF('Monthly Summary'!W57="",NA(),'Monthly Summary'!W57)</f>
      </c>
      <c r="C58" s="74">
        <f>IF('Monthly Summary'!X57="",NA(),'Monthly Summary'!X57)</f>
      </c>
      <c r="D58" s="74">
        <f>IF('Monthly Summary'!Y57="",NA(),'Monthly Summary'!Y57)</f>
      </c>
      <c r="E58" s="74">
        <f>IF('Monthly Summary'!Z57="",NA(),'Monthly Summary'!Z57)</f>
      </c>
      <c r="F58" s="74">
        <f>IF('Monthly Summary'!AA57="",NA(),'Monthly Summary'!AA57)</f>
      </c>
      <c r="G58" s="74">
        <f>IF('Monthly Summary'!AB57="",NA(),'Monthly Summary'!AB57)</f>
      </c>
      <c r="H58" s="74">
        <f>IF('Monthly Summary'!AC57="",NA(),'Monthly Summary'!AC57)</f>
      </c>
      <c r="I58" s="74">
        <f>IF('Monthly Summary'!AD57="",NA(),'Monthly Summary'!AD57)</f>
      </c>
      <c r="J58" s="74">
        <f>IF('Monthly Summary'!AE57="",NA(),'Monthly Summary'!AE57)</f>
      </c>
      <c r="K58" s="74">
        <f>IF('Monthly Summary'!AF57="",NA(),'Monthly Summary'!AF57)</f>
      </c>
      <c r="L58" s="74">
        <f>IF('Monthly Summary'!AG57="",NA(),'Monthly Summary'!AG57)</f>
      </c>
      <c r="M58" s="74">
        <f>IF('Monthly Summary'!AH57="",NA(),'Monthly Summary'!AH57)</f>
      </c>
      <c r="N58" s="74">
        <f>IF('Monthly Summary'!AI57="",NA(),'Monthly Summary'!AI57)</f>
      </c>
      <c r="O58" s="74">
        <f>IF('Monthly Summary'!AJ57="",NA(),'Monthly Summary'!AJ57)</f>
      </c>
      <c r="P58" s="74">
        <f>IF('Monthly Summary'!AK57="",NA(),'Monthly Summary'!AK57)</f>
      </c>
      <c r="Q58" s="74">
        <f>IF('Monthly Summary'!AL57="",NA(),'Monthly Summary'!AL57)</f>
      </c>
      <c r="R58" s="74">
        <f>IF('Monthly Summary'!AM57="",NA(),'Monthly Summary'!AM57)</f>
      </c>
      <c r="S58" s="74">
        <f>IF('Monthly Summary'!C57="",NA(),'Monthly Summary'!C57)</f>
      </c>
    </row>
    <row r="59" spans="1:19" x14ac:dyDescent="0.2">
      <c r="A59" s="73">
        <f>'Monthly Summary'!A58</f>
      </c>
      <c r="B59" s="74">
        <f>IF('Monthly Summary'!W58="",NA(),'Monthly Summary'!W58)</f>
      </c>
      <c r="C59" s="74">
        <f>IF('Monthly Summary'!X58="",NA(),'Monthly Summary'!X58)</f>
      </c>
      <c r="D59" s="74">
        <f>IF('Monthly Summary'!Y58="",NA(),'Monthly Summary'!Y58)</f>
      </c>
      <c r="E59" s="74">
        <f>IF('Monthly Summary'!Z58="",NA(),'Monthly Summary'!Z58)</f>
      </c>
      <c r="F59" s="74">
        <f>IF('Monthly Summary'!AA58="",NA(),'Monthly Summary'!AA58)</f>
      </c>
      <c r="G59" s="74">
        <f>IF('Monthly Summary'!AB58="",NA(),'Monthly Summary'!AB58)</f>
      </c>
      <c r="H59" s="74">
        <f>IF('Monthly Summary'!AC58="",NA(),'Monthly Summary'!AC58)</f>
      </c>
      <c r="I59" s="74">
        <f>IF('Monthly Summary'!AD58="",NA(),'Monthly Summary'!AD58)</f>
      </c>
      <c r="J59" s="74">
        <f>IF('Monthly Summary'!AE58="",NA(),'Monthly Summary'!AE58)</f>
      </c>
      <c r="K59" s="74">
        <f>IF('Monthly Summary'!AF58="",NA(),'Monthly Summary'!AF58)</f>
      </c>
      <c r="L59" s="74">
        <f>IF('Monthly Summary'!AG58="",NA(),'Monthly Summary'!AG58)</f>
      </c>
      <c r="M59" s="74">
        <f>IF('Monthly Summary'!AH58="",NA(),'Monthly Summary'!AH58)</f>
      </c>
      <c r="N59" s="74">
        <f>IF('Monthly Summary'!AI58="",NA(),'Monthly Summary'!AI58)</f>
      </c>
      <c r="O59" s="74">
        <f>IF('Monthly Summary'!AJ58="",NA(),'Monthly Summary'!AJ58)</f>
      </c>
      <c r="P59" s="74">
        <f>IF('Monthly Summary'!AK58="",NA(),'Monthly Summary'!AK58)</f>
      </c>
      <c r="Q59" s="74">
        <f>IF('Monthly Summary'!AL58="",NA(),'Monthly Summary'!AL58)</f>
      </c>
      <c r="R59" s="74">
        <f>IF('Monthly Summary'!AM58="",NA(),'Monthly Summary'!AM58)</f>
      </c>
      <c r="S59" s="74">
        <f>IF('Monthly Summary'!C58="",NA(),'Monthly Summary'!C58)</f>
      </c>
    </row>
    <row r="60" spans="1:19" x14ac:dyDescent="0.2">
      <c r="A60" s="73">
        <f>'Monthly Summary'!A59</f>
      </c>
      <c r="B60" s="74">
        <f>IF('Monthly Summary'!W59="",NA(),'Monthly Summary'!W59)</f>
      </c>
      <c r="C60" s="74">
        <f>IF('Monthly Summary'!X59="",NA(),'Monthly Summary'!X59)</f>
      </c>
      <c r="D60" s="74">
        <f>IF('Monthly Summary'!Y59="",NA(),'Monthly Summary'!Y59)</f>
      </c>
      <c r="E60" s="74">
        <f>IF('Monthly Summary'!Z59="",NA(),'Monthly Summary'!Z59)</f>
      </c>
      <c r="F60" s="74">
        <f>IF('Monthly Summary'!AA59="",NA(),'Monthly Summary'!AA59)</f>
      </c>
      <c r="G60" s="74">
        <f>IF('Monthly Summary'!AB59="",NA(),'Monthly Summary'!AB59)</f>
      </c>
      <c r="H60" s="74">
        <f>IF('Monthly Summary'!AC59="",NA(),'Monthly Summary'!AC59)</f>
      </c>
      <c r="I60" s="74">
        <f>IF('Monthly Summary'!AD59="",NA(),'Monthly Summary'!AD59)</f>
      </c>
      <c r="J60" s="74">
        <f>IF('Monthly Summary'!AE59="",NA(),'Monthly Summary'!AE59)</f>
      </c>
      <c r="K60" s="74">
        <f>IF('Monthly Summary'!AF59="",NA(),'Monthly Summary'!AF59)</f>
      </c>
      <c r="L60" s="74">
        <f>IF('Monthly Summary'!AG59="",NA(),'Monthly Summary'!AG59)</f>
      </c>
      <c r="M60" s="74">
        <f>IF('Monthly Summary'!AH59="",NA(),'Monthly Summary'!AH59)</f>
      </c>
      <c r="N60" s="74">
        <f>IF('Monthly Summary'!AI59="",NA(),'Monthly Summary'!AI59)</f>
      </c>
      <c r="O60" s="74">
        <f>IF('Monthly Summary'!AJ59="",NA(),'Monthly Summary'!AJ59)</f>
      </c>
      <c r="P60" s="74">
        <f>IF('Monthly Summary'!AK59="",NA(),'Monthly Summary'!AK59)</f>
      </c>
      <c r="Q60" s="74">
        <f>IF('Monthly Summary'!AL59="",NA(),'Monthly Summary'!AL59)</f>
      </c>
      <c r="R60" s="74">
        <f>IF('Monthly Summary'!AM59="",NA(),'Monthly Summary'!AM59)</f>
      </c>
      <c r="S60" s="74">
        <f>IF('Monthly Summary'!C59="",NA(),'Monthly Summary'!C59)</f>
      </c>
    </row>
    <row r="61" spans="1:19" x14ac:dyDescent="0.2">
      <c r="A61" s="73">
        <f>'Monthly Summary'!A60</f>
      </c>
      <c r="B61" s="74">
        <f>IF('Monthly Summary'!W60="",NA(),'Monthly Summary'!W60)</f>
      </c>
      <c r="C61" s="74">
        <f>IF('Monthly Summary'!X60="",NA(),'Monthly Summary'!X60)</f>
      </c>
      <c r="D61" s="74">
        <f>IF('Monthly Summary'!Y60="",NA(),'Monthly Summary'!Y60)</f>
      </c>
      <c r="E61" s="74">
        <f>IF('Monthly Summary'!Z60="",NA(),'Monthly Summary'!Z60)</f>
      </c>
      <c r="F61" s="74">
        <f>IF('Monthly Summary'!AA60="",NA(),'Monthly Summary'!AA60)</f>
      </c>
      <c r="G61" s="74">
        <f>IF('Monthly Summary'!AB60="",NA(),'Monthly Summary'!AB60)</f>
      </c>
      <c r="H61" s="74">
        <f>IF('Monthly Summary'!AC60="",NA(),'Monthly Summary'!AC60)</f>
      </c>
      <c r="I61" s="74">
        <f>IF('Monthly Summary'!AD60="",NA(),'Monthly Summary'!AD60)</f>
      </c>
      <c r="J61" s="74">
        <f>IF('Monthly Summary'!AE60="",NA(),'Monthly Summary'!AE60)</f>
      </c>
      <c r="K61" s="74">
        <f>IF('Monthly Summary'!AF60="",NA(),'Monthly Summary'!AF60)</f>
      </c>
      <c r="L61" s="74">
        <f>IF('Monthly Summary'!AG60="",NA(),'Monthly Summary'!AG60)</f>
      </c>
      <c r="M61" s="74">
        <f>IF('Monthly Summary'!AH60="",NA(),'Monthly Summary'!AH60)</f>
      </c>
      <c r="N61" s="74">
        <f>IF('Monthly Summary'!AI60="",NA(),'Monthly Summary'!AI60)</f>
      </c>
      <c r="O61" s="74">
        <f>IF('Monthly Summary'!AJ60="",NA(),'Monthly Summary'!AJ60)</f>
      </c>
      <c r="P61" s="74">
        <f>IF('Monthly Summary'!AK60="",NA(),'Monthly Summary'!AK60)</f>
      </c>
      <c r="Q61" s="74">
        <f>IF('Monthly Summary'!AL60="",NA(),'Monthly Summary'!AL60)</f>
      </c>
      <c r="R61" s="74">
        <f>IF('Monthly Summary'!AM60="",NA(),'Monthly Summary'!AM60)</f>
      </c>
      <c r="S61" s="74">
        <f>IF('Monthly Summary'!C60="",NA(),'Monthly Summary'!C60)</f>
      </c>
    </row>
    <row r="62" spans="1:19" x14ac:dyDescent="0.2">
      <c r="A62" s="73">
        <f>'Monthly Summary'!A61</f>
      </c>
      <c r="B62" s="74">
        <f>IF('Monthly Summary'!W61="",NA(),'Monthly Summary'!W61)</f>
      </c>
      <c r="C62" s="74">
        <f>IF('Monthly Summary'!X61="",NA(),'Monthly Summary'!X61)</f>
      </c>
      <c r="D62" s="74">
        <f>IF('Monthly Summary'!Y61="",NA(),'Monthly Summary'!Y61)</f>
      </c>
      <c r="E62" s="74">
        <f>IF('Monthly Summary'!Z61="",NA(),'Monthly Summary'!Z61)</f>
      </c>
      <c r="F62" s="74">
        <f>IF('Monthly Summary'!AA61="",NA(),'Monthly Summary'!AA61)</f>
      </c>
      <c r="G62" s="74">
        <f>IF('Monthly Summary'!AB61="",NA(),'Monthly Summary'!AB61)</f>
      </c>
      <c r="H62" s="74">
        <f>IF('Monthly Summary'!AC61="",NA(),'Monthly Summary'!AC61)</f>
      </c>
      <c r="I62" s="74">
        <f>IF('Monthly Summary'!AD61="",NA(),'Monthly Summary'!AD61)</f>
      </c>
      <c r="J62" s="74">
        <f>IF('Monthly Summary'!AE61="",NA(),'Monthly Summary'!AE61)</f>
      </c>
      <c r="K62" s="74">
        <f>IF('Monthly Summary'!AF61="",NA(),'Monthly Summary'!AF61)</f>
      </c>
      <c r="L62" s="74">
        <f>IF('Monthly Summary'!AG61="",NA(),'Monthly Summary'!AG61)</f>
      </c>
      <c r="M62" s="74">
        <f>IF('Monthly Summary'!AH61="",NA(),'Monthly Summary'!AH61)</f>
      </c>
      <c r="N62" s="74">
        <f>IF('Monthly Summary'!AI61="",NA(),'Monthly Summary'!AI61)</f>
      </c>
      <c r="O62" s="74">
        <f>IF('Monthly Summary'!AJ61="",NA(),'Monthly Summary'!AJ61)</f>
      </c>
      <c r="P62" s="74">
        <f>IF('Monthly Summary'!AK61="",NA(),'Monthly Summary'!AK61)</f>
      </c>
      <c r="Q62" s="74">
        <f>IF('Monthly Summary'!AL61="",NA(),'Monthly Summary'!AL61)</f>
      </c>
      <c r="R62" s="74">
        <f>IF('Monthly Summary'!AM61="",NA(),'Monthly Summary'!AM61)</f>
      </c>
      <c r="S62" s="74">
        <f>IF('Monthly Summary'!C61="",NA(),'Monthly Summary'!C61)</f>
      </c>
    </row>
    <row r="63" spans="1:19" x14ac:dyDescent="0.2">
      <c r="A63" s="73">
        <f>'Monthly Summary'!A62</f>
      </c>
      <c r="B63" s="74">
        <f>IF('Monthly Summary'!W62="",NA(),'Monthly Summary'!W62)</f>
      </c>
      <c r="C63" s="74">
        <f>IF('Monthly Summary'!X62="",NA(),'Monthly Summary'!X62)</f>
      </c>
      <c r="D63" s="74">
        <f>IF('Monthly Summary'!Y62="",NA(),'Monthly Summary'!Y62)</f>
      </c>
      <c r="E63" s="74">
        <f>IF('Monthly Summary'!Z62="",NA(),'Monthly Summary'!Z62)</f>
      </c>
      <c r="F63" s="74">
        <f>IF('Monthly Summary'!AA62="",NA(),'Monthly Summary'!AA62)</f>
      </c>
      <c r="G63" s="74">
        <f>IF('Monthly Summary'!AB62="",NA(),'Monthly Summary'!AB62)</f>
      </c>
      <c r="H63" s="74">
        <f>IF('Monthly Summary'!AC62="",NA(),'Monthly Summary'!AC62)</f>
      </c>
      <c r="I63" s="74">
        <f>IF('Monthly Summary'!AD62="",NA(),'Monthly Summary'!AD62)</f>
      </c>
      <c r="J63" s="74">
        <f>IF('Monthly Summary'!AE62="",NA(),'Monthly Summary'!AE62)</f>
      </c>
      <c r="K63" s="74">
        <f>IF('Monthly Summary'!AF62="",NA(),'Monthly Summary'!AF62)</f>
      </c>
      <c r="L63" s="74">
        <f>IF('Monthly Summary'!AG62="",NA(),'Monthly Summary'!AG62)</f>
      </c>
      <c r="M63" s="74">
        <f>IF('Monthly Summary'!AH62="",NA(),'Monthly Summary'!AH62)</f>
      </c>
      <c r="N63" s="74">
        <f>IF('Monthly Summary'!AI62="",NA(),'Monthly Summary'!AI62)</f>
      </c>
      <c r="O63" s="74">
        <f>IF('Monthly Summary'!AJ62="",NA(),'Monthly Summary'!AJ62)</f>
      </c>
      <c r="P63" s="74">
        <f>IF('Monthly Summary'!AK62="",NA(),'Monthly Summary'!AK62)</f>
      </c>
      <c r="Q63" s="74">
        <f>IF('Monthly Summary'!AL62="",NA(),'Monthly Summary'!AL62)</f>
      </c>
      <c r="R63" s="74">
        <f>IF('Monthly Summary'!AM62="",NA(),'Monthly Summary'!AM62)</f>
      </c>
      <c r="S63" s="74">
        <f>IF('Monthly Summary'!C62="",NA(),'Monthly Summary'!C62)</f>
      </c>
    </row>
    <row r="64" spans="1:19" x14ac:dyDescent="0.2">
      <c r="A64" s="73">
        <f>'Monthly Summary'!A63</f>
      </c>
      <c r="B64" s="74">
        <f>IF('Monthly Summary'!W63="",NA(),'Monthly Summary'!W63)</f>
      </c>
      <c r="C64" s="74">
        <f>IF('Monthly Summary'!X63="",NA(),'Monthly Summary'!X63)</f>
      </c>
      <c r="D64" s="74">
        <f>IF('Monthly Summary'!Y63="",NA(),'Monthly Summary'!Y63)</f>
      </c>
      <c r="E64" s="74">
        <f>IF('Monthly Summary'!Z63="",NA(),'Monthly Summary'!Z63)</f>
      </c>
      <c r="F64" s="74">
        <f>IF('Monthly Summary'!AA63="",NA(),'Monthly Summary'!AA63)</f>
      </c>
      <c r="G64" s="74">
        <f>IF('Monthly Summary'!AB63="",NA(),'Monthly Summary'!AB63)</f>
      </c>
      <c r="H64" s="74">
        <f>IF('Monthly Summary'!AC63="",NA(),'Monthly Summary'!AC63)</f>
      </c>
      <c r="I64" s="74">
        <f>IF('Monthly Summary'!AD63="",NA(),'Monthly Summary'!AD63)</f>
      </c>
      <c r="J64" s="74">
        <f>IF('Monthly Summary'!AE63="",NA(),'Monthly Summary'!AE63)</f>
      </c>
      <c r="K64" s="74">
        <f>IF('Monthly Summary'!AF63="",NA(),'Monthly Summary'!AF63)</f>
      </c>
      <c r="L64" s="74">
        <f>IF('Monthly Summary'!AG63="",NA(),'Monthly Summary'!AG63)</f>
      </c>
      <c r="M64" s="74">
        <f>IF('Monthly Summary'!AH63="",NA(),'Monthly Summary'!AH63)</f>
      </c>
      <c r="N64" s="74">
        <f>IF('Monthly Summary'!AI63="",NA(),'Monthly Summary'!AI63)</f>
      </c>
      <c r="O64" s="74">
        <f>IF('Monthly Summary'!AJ63="",NA(),'Monthly Summary'!AJ63)</f>
      </c>
      <c r="P64" s="74">
        <f>IF('Monthly Summary'!AK63="",NA(),'Monthly Summary'!AK63)</f>
      </c>
      <c r="Q64" s="74">
        <f>IF('Monthly Summary'!AL63="",NA(),'Monthly Summary'!AL63)</f>
      </c>
      <c r="R64" s="74">
        <f>IF('Monthly Summary'!AM63="",NA(),'Monthly Summary'!AM63)</f>
      </c>
      <c r="S64" s="74">
        <f>IF('Monthly Summary'!C63="",NA(),'Monthly Summary'!C63)</f>
      </c>
    </row>
    <row r="65" spans="1:19" x14ac:dyDescent="0.2">
      <c r="A65" s="73">
        <f>'Monthly Summary'!A64</f>
      </c>
      <c r="B65" s="74">
        <f>IF('Monthly Summary'!W64="",NA(),'Monthly Summary'!W64)</f>
      </c>
      <c r="C65" s="74">
        <f>IF('Monthly Summary'!X64="",NA(),'Monthly Summary'!X64)</f>
      </c>
      <c r="D65" s="74">
        <f>IF('Monthly Summary'!Y64="",NA(),'Monthly Summary'!Y64)</f>
      </c>
      <c r="E65" s="74">
        <f>IF('Monthly Summary'!Z64="",NA(),'Monthly Summary'!Z64)</f>
      </c>
      <c r="F65" s="74">
        <f>IF('Monthly Summary'!AA64="",NA(),'Monthly Summary'!AA64)</f>
      </c>
      <c r="G65" s="74">
        <f>IF('Monthly Summary'!AB64="",NA(),'Monthly Summary'!AB64)</f>
      </c>
      <c r="H65" s="74">
        <f>IF('Monthly Summary'!AC64="",NA(),'Monthly Summary'!AC64)</f>
      </c>
      <c r="I65" s="74">
        <f>IF('Monthly Summary'!AD64="",NA(),'Monthly Summary'!AD64)</f>
      </c>
      <c r="J65" s="74">
        <f>IF('Monthly Summary'!AE64="",NA(),'Monthly Summary'!AE64)</f>
      </c>
      <c r="K65" s="74">
        <f>IF('Monthly Summary'!AF64="",NA(),'Monthly Summary'!AF64)</f>
      </c>
      <c r="L65" s="74">
        <f>IF('Monthly Summary'!AG64="",NA(),'Monthly Summary'!AG64)</f>
      </c>
      <c r="M65" s="74">
        <f>IF('Monthly Summary'!AH64="",NA(),'Monthly Summary'!AH64)</f>
      </c>
      <c r="N65" s="74">
        <f>IF('Monthly Summary'!AI64="",NA(),'Monthly Summary'!AI64)</f>
      </c>
      <c r="O65" s="74">
        <f>IF('Monthly Summary'!AJ64="",NA(),'Monthly Summary'!AJ64)</f>
      </c>
      <c r="P65" s="74">
        <f>IF('Monthly Summary'!AK64="",NA(),'Monthly Summary'!AK64)</f>
      </c>
      <c r="Q65" s="74">
        <f>IF('Monthly Summary'!AL64="",NA(),'Monthly Summary'!AL64)</f>
      </c>
      <c r="R65" s="74">
        <f>IF('Monthly Summary'!AM64="",NA(),'Monthly Summary'!AM64)</f>
      </c>
      <c r="S65" s="74">
        <f>IF('Monthly Summary'!C64="",NA(),'Monthly Summary'!C64)</f>
      </c>
    </row>
    <row r="66" spans="1:19" x14ac:dyDescent="0.2">
      <c r="A66" s="73">
        <f>'Monthly Summary'!A65</f>
      </c>
      <c r="B66" s="74">
        <f>IF('Monthly Summary'!W65="",NA(),'Monthly Summary'!W65)</f>
      </c>
      <c r="C66" s="74">
        <f>IF('Monthly Summary'!X65="",NA(),'Monthly Summary'!X65)</f>
      </c>
      <c r="D66" s="74">
        <f>IF('Monthly Summary'!Y65="",NA(),'Monthly Summary'!Y65)</f>
      </c>
      <c r="E66" s="74">
        <f>IF('Monthly Summary'!Z65="",NA(),'Monthly Summary'!Z65)</f>
      </c>
      <c r="F66" s="74">
        <f>IF('Monthly Summary'!AA65="",NA(),'Monthly Summary'!AA65)</f>
      </c>
      <c r="G66" s="74">
        <f>IF('Monthly Summary'!AB65="",NA(),'Monthly Summary'!AB65)</f>
      </c>
      <c r="H66" s="74">
        <f>IF('Monthly Summary'!AC65="",NA(),'Monthly Summary'!AC65)</f>
      </c>
      <c r="I66" s="74">
        <f>IF('Monthly Summary'!AD65="",NA(),'Monthly Summary'!AD65)</f>
      </c>
      <c r="J66" s="74">
        <f>IF('Monthly Summary'!AE65="",NA(),'Monthly Summary'!AE65)</f>
      </c>
      <c r="K66" s="74">
        <f>IF('Monthly Summary'!AF65="",NA(),'Monthly Summary'!AF65)</f>
      </c>
      <c r="L66" s="74">
        <f>IF('Monthly Summary'!AG65="",NA(),'Monthly Summary'!AG65)</f>
      </c>
      <c r="M66" s="74">
        <f>IF('Monthly Summary'!AH65="",NA(),'Monthly Summary'!AH65)</f>
      </c>
      <c r="N66" s="74">
        <f>IF('Monthly Summary'!AI65="",NA(),'Monthly Summary'!AI65)</f>
      </c>
      <c r="O66" s="74">
        <f>IF('Monthly Summary'!AJ65="",NA(),'Monthly Summary'!AJ65)</f>
      </c>
      <c r="P66" s="74">
        <f>IF('Monthly Summary'!AK65="",NA(),'Monthly Summary'!AK65)</f>
      </c>
      <c r="Q66" s="74">
        <f>IF('Monthly Summary'!AL65="",NA(),'Monthly Summary'!AL65)</f>
      </c>
      <c r="R66" s="74">
        <f>IF('Monthly Summary'!AM65="",NA(),'Monthly Summary'!AM65)</f>
      </c>
      <c r="S66" s="74">
        <f>IF('Monthly Summary'!C65="",NA(),'Monthly Summary'!C65)</f>
      </c>
    </row>
    <row r="67" spans="1:19" x14ac:dyDescent="0.2">
      <c r="A67" s="73">
        <f>'Monthly Summary'!A66</f>
      </c>
      <c r="B67" s="74">
        <f>IF('Monthly Summary'!W66="",NA(),'Monthly Summary'!W66)</f>
      </c>
      <c r="C67" s="74">
        <f>IF('Monthly Summary'!X66="",NA(),'Monthly Summary'!X66)</f>
      </c>
      <c r="D67" s="74">
        <f>IF('Monthly Summary'!Y66="",NA(),'Monthly Summary'!Y66)</f>
      </c>
      <c r="E67" s="74">
        <f>IF('Monthly Summary'!Z66="",NA(),'Monthly Summary'!Z66)</f>
      </c>
      <c r="F67" s="74">
        <f>IF('Monthly Summary'!AA66="",NA(),'Monthly Summary'!AA66)</f>
      </c>
      <c r="G67" s="74">
        <f>IF('Monthly Summary'!AB66="",NA(),'Monthly Summary'!AB66)</f>
      </c>
      <c r="H67" s="74">
        <f>IF('Monthly Summary'!AC66="",NA(),'Monthly Summary'!AC66)</f>
      </c>
      <c r="I67" s="74">
        <f>IF('Monthly Summary'!AD66="",NA(),'Monthly Summary'!AD66)</f>
      </c>
      <c r="J67" s="74">
        <f>IF('Monthly Summary'!AE66="",NA(),'Monthly Summary'!AE66)</f>
      </c>
      <c r="K67" s="74">
        <f>IF('Monthly Summary'!AF66="",NA(),'Monthly Summary'!AF66)</f>
      </c>
      <c r="L67" s="74">
        <f>IF('Monthly Summary'!AG66="",NA(),'Monthly Summary'!AG66)</f>
      </c>
      <c r="M67" s="74">
        <f>IF('Monthly Summary'!AH66="",NA(),'Monthly Summary'!AH66)</f>
      </c>
      <c r="N67" s="74">
        <f>IF('Monthly Summary'!AI66="",NA(),'Monthly Summary'!AI66)</f>
      </c>
      <c r="O67" s="74">
        <f>IF('Monthly Summary'!AJ66="",NA(),'Monthly Summary'!AJ66)</f>
      </c>
      <c r="P67" s="74">
        <f>IF('Monthly Summary'!AK66="",NA(),'Monthly Summary'!AK66)</f>
      </c>
      <c r="Q67" s="74">
        <f>IF('Monthly Summary'!AL66="",NA(),'Monthly Summary'!AL66)</f>
      </c>
      <c r="R67" s="74">
        <f>IF('Monthly Summary'!AM66="",NA(),'Monthly Summary'!AM66)</f>
      </c>
      <c r="S67" s="74">
        <f>IF('Monthly Summary'!C66="",NA(),'Monthly Summary'!C66)</f>
      </c>
    </row>
    <row r="68" spans="1:19" x14ac:dyDescent="0.2">
      <c r="A68" s="73">
        <f>'Monthly Summary'!A67</f>
      </c>
      <c r="B68" s="74">
        <f>IF('Monthly Summary'!W67="",NA(),'Monthly Summary'!W67)</f>
      </c>
      <c r="C68" s="74">
        <f>IF('Monthly Summary'!X67="",NA(),'Monthly Summary'!X67)</f>
      </c>
      <c r="D68" s="74">
        <f>IF('Monthly Summary'!Y67="",NA(),'Monthly Summary'!Y67)</f>
      </c>
      <c r="E68" s="74">
        <f>IF('Monthly Summary'!Z67="",NA(),'Monthly Summary'!Z67)</f>
      </c>
      <c r="F68" s="74">
        <f>IF('Monthly Summary'!AA67="",NA(),'Monthly Summary'!AA67)</f>
      </c>
      <c r="G68" s="74">
        <f>IF('Monthly Summary'!AB67="",NA(),'Monthly Summary'!AB67)</f>
      </c>
      <c r="H68" s="74">
        <f>IF('Monthly Summary'!AC67="",NA(),'Monthly Summary'!AC67)</f>
      </c>
      <c r="I68" s="74">
        <f>IF('Monthly Summary'!AD67="",NA(),'Monthly Summary'!AD67)</f>
      </c>
      <c r="J68" s="74">
        <f>IF('Monthly Summary'!AE67="",NA(),'Monthly Summary'!AE67)</f>
      </c>
      <c r="K68" s="74">
        <f>IF('Monthly Summary'!AF67="",NA(),'Monthly Summary'!AF67)</f>
      </c>
      <c r="L68" s="74">
        <f>IF('Monthly Summary'!AG67="",NA(),'Monthly Summary'!AG67)</f>
      </c>
      <c r="M68" s="74">
        <f>IF('Monthly Summary'!AH67="",NA(),'Monthly Summary'!AH67)</f>
      </c>
      <c r="N68" s="74">
        <f>IF('Monthly Summary'!AI67="",NA(),'Monthly Summary'!AI67)</f>
      </c>
      <c r="O68" s="74">
        <f>IF('Monthly Summary'!AJ67="",NA(),'Monthly Summary'!AJ67)</f>
      </c>
      <c r="P68" s="74">
        <f>IF('Monthly Summary'!AK67="",NA(),'Monthly Summary'!AK67)</f>
      </c>
      <c r="Q68" s="74">
        <f>IF('Monthly Summary'!AL67="",NA(),'Monthly Summary'!AL67)</f>
      </c>
      <c r="R68" s="74">
        <f>IF('Monthly Summary'!AM67="",NA(),'Monthly Summary'!AM67)</f>
      </c>
      <c r="S68" s="74">
        <f>IF('Monthly Summary'!C67="",NA(),'Monthly Summary'!C67)</f>
      </c>
    </row>
    <row r="69" spans="1:19" x14ac:dyDescent="0.2">
      <c r="A69" s="73">
        <f>'Monthly Summary'!A68</f>
      </c>
      <c r="B69" s="74">
        <f>IF('Monthly Summary'!W68="",NA(),'Monthly Summary'!W68)</f>
      </c>
      <c r="C69" s="74">
        <f>IF('Monthly Summary'!X68="",NA(),'Monthly Summary'!X68)</f>
      </c>
      <c r="D69" s="74">
        <f>IF('Monthly Summary'!Y68="",NA(),'Monthly Summary'!Y68)</f>
      </c>
      <c r="E69" s="74">
        <f>IF('Monthly Summary'!Z68="",NA(),'Monthly Summary'!Z68)</f>
      </c>
      <c r="F69" s="74">
        <f>IF('Monthly Summary'!AA68="",NA(),'Monthly Summary'!AA68)</f>
      </c>
      <c r="G69" s="74">
        <f>IF('Monthly Summary'!AB68="",NA(),'Monthly Summary'!AB68)</f>
      </c>
      <c r="H69" s="74">
        <f>IF('Monthly Summary'!AC68="",NA(),'Monthly Summary'!AC68)</f>
      </c>
      <c r="I69" s="74">
        <f>IF('Monthly Summary'!AD68="",NA(),'Monthly Summary'!AD68)</f>
      </c>
      <c r="J69" s="74">
        <f>IF('Monthly Summary'!AE68="",NA(),'Monthly Summary'!AE68)</f>
      </c>
      <c r="K69" s="74">
        <f>IF('Monthly Summary'!AF68="",NA(),'Monthly Summary'!AF68)</f>
      </c>
      <c r="L69" s="74">
        <f>IF('Monthly Summary'!AG68="",NA(),'Monthly Summary'!AG68)</f>
      </c>
      <c r="M69" s="74">
        <f>IF('Monthly Summary'!AH68="",NA(),'Monthly Summary'!AH68)</f>
      </c>
      <c r="N69" s="74">
        <f>IF('Monthly Summary'!AI68="",NA(),'Monthly Summary'!AI68)</f>
      </c>
      <c r="O69" s="74">
        <f>IF('Monthly Summary'!AJ68="",NA(),'Monthly Summary'!AJ68)</f>
      </c>
      <c r="P69" s="74">
        <f>IF('Monthly Summary'!AK68="",NA(),'Monthly Summary'!AK68)</f>
      </c>
      <c r="Q69" s="74">
        <f>IF('Monthly Summary'!AL68="",NA(),'Monthly Summary'!AL68)</f>
      </c>
      <c r="R69" s="74">
        <f>IF('Monthly Summary'!AM68="",NA(),'Monthly Summary'!AM68)</f>
      </c>
      <c r="S69" s="74">
        <f>IF('Monthly Summary'!C68="",NA(),'Monthly Summary'!C68)</f>
      </c>
    </row>
    <row r="70" spans="1:19" x14ac:dyDescent="0.2">
      <c r="A70" s="73">
        <f>'Monthly Summary'!A69</f>
      </c>
      <c r="B70" s="74">
        <f>IF('Monthly Summary'!W69="",NA(),'Monthly Summary'!W69)</f>
      </c>
      <c r="C70" s="74">
        <f>IF('Monthly Summary'!X69="",NA(),'Monthly Summary'!X69)</f>
      </c>
      <c r="D70" s="74">
        <f>IF('Monthly Summary'!Y69="",NA(),'Monthly Summary'!Y69)</f>
      </c>
      <c r="E70" s="74">
        <f>IF('Monthly Summary'!Z69="",NA(),'Monthly Summary'!Z69)</f>
      </c>
      <c r="F70" s="74">
        <f>IF('Monthly Summary'!AA69="",NA(),'Monthly Summary'!AA69)</f>
      </c>
      <c r="G70" s="74">
        <f>IF('Monthly Summary'!AB69="",NA(),'Monthly Summary'!AB69)</f>
      </c>
      <c r="H70" s="74">
        <f>IF('Monthly Summary'!AC69="",NA(),'Monthly Summary'!AC69)</f>
      </c>
      <c r="I70" s="74">
        <f>IF('Monthly Summary'!AD69="",NA(),'Monthly Summary'!AD69)</f>
      </c>
      <c r="J70" s="74">
        <f>IF('Monthly Summary'!AE69="",NA(),'Monthly Summary'!AE69)</f>
      </c>
      <c r="K70" s="74">
        <f>IF('Monthly Summary'!AF69="",NA(),'Monthly Summary'!AF69)</f>
      </c>
      <c r="L70" s="74">
        <f>IF('Monthly Summary'!AG69="",NA(),'Monthly Summary'!AG69)</f>
      </c>
      <c r="M70" s="74">
        <f>IF('Monthly Summary'!AH69="",NA(),'Monthly Summary'!AH69)</f>
      </c>
      <c r="N70" s="74">
        <f>IF('Monthly Summary'!AI69="",NA(),'Monthly Summary'!AI69)</f>
      </c>
      <c r="O70" s="74">
        <f>IF('Monthly Summary'!AJ69="",NA(),'Monthly Summary'!AJ69)</f>
      </c>
      <c r="P70" s="74">
        <f>IF('Monthly Summary'!AK69="",NA(),'Monthly Summary'!AK69)</f>
      </c>
      <c r="Q70" s="74">
        <f>IF('Monthly Summary'!AL69="",NA(),'Monthly Summary'!AL69)</f>
      </c>
      <c r="R70" s="74">
        <f>IF('Monthly Summary'!AM69="",NA(),'Monthly Summary'!AM69)</f>
      </c>
      <c r="S70" s="74">
        <f>IF('Monthly Summary'!C69="",NA(),'Monthly Summary'!C69)</f>
      </c>
    </row>
    <row r="71" spans="1:19" x14ac:dyDescent="0.2">
      <c r="A71" s="73">
        <f>'Monthly Summary'!A70</f>
      </c>
      <c r="B71" s="74">
        <f>IF('Monthly Summary'!W70="",NA(),'Monthly Summary'!W70)</f>
      </c>
      <c r="C71" s="74">
        <f>IF('Monthly Summary'!X70="",NA(),'Monthly Summary'!X70)</f>
      </c>
      <c r="D71" s="74">
        <f>IF('Monthly Summary'!Y70="",NA(),'Monthly Summary'!Y70)</f>
      </c>
      <c r="E71" s="74">
        <f>IF('Monthly Summary'!Z70="",NA(),'Monthly Summary'!Z70)</f>
      </c>
      <c r="F71" s="74">
        <f>IF('Monthly Summary'!AA70="",NA(),'Monthly Summary'!AA70)</f>
      </c>
      <c r="G71" s="74">
        <f>IF('Monthly Summary'!AB70="",NA(),'Monthly Summary'!AB70)</f>
      </c>
      <c r="H71" s="74">
        <f>IF('Monthly Summary'!AC70="",NA(),'Monthly Summary'!AC70)</f>
      </c>
      <c r="I71" s="74">
        <f>IF('Monthly Summary'!AD70="",NA(),'Monthly Summary'!AD70)</f>
      </c>
      <c r="J71" s="74">
        <f>IF('Monthly Summary'!AE70="",NA(),'Monthly Summary'!AE70)</f>
      </c>
      <c r="K71" s="74">
        <f>IF('Monthly Summary'!AF70="",NA(),'Monthly Summary'!AF70)</f>
      </c>
      <c r="L71" s="74">
        <f>IF('Monthly Summary'!AG70="",NA(),'Monthly Summary'!AG70)</f>
      </c>
      <c r="M71" s="74">
        <f>IF('Monthly Summary'!AH70="",NA(),'Monthly Summary'!AH70)</f>
      </c>
      <c r="N71" s="74">
        <f>IF('Monthly Summary'!AI70="",NA(),'Monthly Summary'!AI70)</f>
      </c>
      <c r="O71" s="74">
        <f>IF('Monthly Summary'!AJ70="",NA(),'Monthly Summary'!AJ70)</f>
      </c>
      <c r="P71" s="74">
        <f>IF('Monthly Summary'!AK70="",NA(),'Monthly Summary'!AK70)</f>
      </c>
      <c r="Q71" s="74">
        <f>IF('Monthly Summary'!AL70="",NA(),'Monthly Summary'!AL70)</f>
      </c>
      <c r="R71" s="74">
        <f>IF('Monthly Summary'!AM70="",NA(),'Monthly Summary'!AM70)</f>
      </c>
      <c r="S71" s="74">
        <f>IF('Monthly Summary'!C70="",NA(),'Monthly Summary'!C70)</f>
      </c>
    </row>
    <row r="72" spans="1:19" x14ac:dyDescent="0.2">
      <c r="A72" s="73">
        <f>'Monthly Summary'!A71</f>
      </c>
      <c r="B72" s="74">
        <f>IF('Monthly Summary'!W71="",NA(),'Monthly Summary'!W71)</f>
      </c>
      <c r="C72" s="74">
        <f>IF('Monthly Summary'!X71="",NA(),'Monthly Summary'!X71)</f>
      </c>
      <c r="D72" s="74">
        <f>IF('Monthly Summary'!Y71="",NA(),'Monthly Summary'!Y71)</f>
      </c>
      <c r="E72" s="74">
        <f>IF('Monthly Summary'!Z71="",NA(),'Monthly Summary'!Z71)</f>
      </c>
      <c r="F72" s="74">
        <f>IF('Monthly Summary'!AA71="",NA(),'Monthly Summary'!AA71)</f>
      </c>
      <c r="G72" s="74">
        <f>IF('Monthly Summary'!AB71="",NA(),'Monthly Summary'!AB71)</f>
      </c>
      <c r="H72" s="74">
        <f>IF('Monthly Summary'!AC71="",NA(),'Monthly Summary'!AC71)</f>
      </c>
      <c r="I72" s="74">
        <f>IF('Monthly Summary'!AD71="",NA(),'Monthly Summary'!AD71)</f>
      </c>
      <c r="J72" s="74">
        <f>IF('Monthly Summary'!AE71="",NA(),'Monthly Summary'!AE71)</f>
      </c>
      <c r="K72" s="74">
        <f>IF('Monthly Summary'!AF71="",NA(),'Monthly Summary'!AF71)</f>
      </c>
      <c r="L72" s="74">
        <f>IF('Monthly Summary'!AG71="",NA(),'Monthly Summary'!AG71)</f>
      </c>
      <c r="M72" s="74">
        <f>IF('Monthly Summary'!AH71="",NA(),'Monthly Summary'!AH71)</f>
      </c>
      <c r="N72" s="74">
        <f>IF('Monthly Summary'!AI71="",NA(),'Monthly Summary'!AI71)</f>
      </c>
      <c r="O72" s="74">
        <f>IF('Monthly Summary'!AJ71="",NA(),'Monthly Summary'!AJ71)</f>
      </c>
      <c r="P72" s="74">
        <f>IF('Monthly Summary'!AK71="",NA(),'Monthly Summary'!AK71)</f>
      </c>
      <c r="Q72" s="74">
        <f>IF('Monthly Summary'!AL71="",NA(),'Monthly Summary'!AL71)</f>
      </c>
      <c r="R72" s="74">
        <f>IF('Monthly Summary'!AM71="",NA(),'Monthly Summary'!AM71)</f>
      </c>
      <c r="S72" s="74">
        <f>IF('Monthly Summary'!C71="",NA(),'Monthly Summary'!C71)</f>
      </c>
    </row>
    <row r="73" spans="1:19" x14ac:dyDescent="0.2">
      <c r="A73" s="73">
        <f>'Monthly Summary'!A72</f>
      </c>
      <c r="B73" s="74">
        <f>IF('Monthly Summary'!W72="",NA(),'Monthly Summary'!W72)</f>
      </c>
      <c r="C73" s="74">
        <f>IF('Monthly Summary'!X72="",NA(),'Monthly Summary'!X72)</f>
      </c>
      <c r="D73" s="74">
        <f>IF('Monthly Summary'!Y72="",NA(),'Monthly Summary'!Y72)</f>
      </c>
      <c r="E73" s="74">
        <f>IF('Monthly Summary'!Z72="",NA(),'Monthly Summary'!Z72)</f>
      </c>
      <c r="F73" s="74">
        <f>IF('Monthly Summary'!AA72="",NA(),'Monthly Summary'!AA72)</f>
      </c>
      <c r="G73" s="74">
        <f>IF('Monthly Summary'!AB72="",NA(),'Monthly Summary'!AB72)</f>
      </c>
      <c r="H73" s="74">
        <f>IF('Monthly Summary'!AC72="",NA(),'Monthly Summary'!AC72)</f>
      </c>
      <c r="I73" s="74">
        <f>IF('Monthly Summary'!AD72="",NA(),'Monthly Summary'!AD72)</f>
      </c>
      <c r="J73" s="74">
        <f>IF('Monthly Summary'!AE72="",NA(),'Monthly Summary'!AE72)</f>
      </c>
      <c r="K73" s="74">
        <f>IF('Monthly Summary'!AF72="",NA(),'Monthly Summary'!AF72)</f>
      </c>
      <c r="L73" s="74">
        <f>IF('Monthly Summary'!AG72="",NA(),'Monthly Summary'!AG72)</f>
      </c>
      <c r="M73" s="74">
        <f>IF('Monthly Summary'!AH72="",NA(),'Monthly Summary'!AH72)</f>
      </c>
      <c r="N73" s="74">
        <f>IF('Monthly Summary'!AI72="",NA(),'Monthly Summary'!AI72)</f>
      </c>
      <c r="O73" s="74">
        <f>IF('Monthly Summary'!AJ72="",NA(),'Monthly Summary'!AJ72)</f>
      </c>
      <c r="P73" s="74">
        <f>IF('Monthly Summary'!AK72="",NA(),'Monthly Summary'!AK72)</f>
      </c>
      <c r="Q73" s="74">
        <f>IF('Monthly Summary'!AL72="",NA(),'Monthly Summary'!AL72)</f>
      </c>
      <c r="R73" s="74">
        <f>IF('Monthly Summary'!AM72="",NA(),'Monthly Summary'!AM72)</f>
      </c>
      <c r="S73" s="74">
        <f>IF('Monthly Summary'!C72="",NA(),'Monthly Summary'!C72)</f>
      </c>
    </row>
    <row r="74" spans="1:19" x14ac:dyDescent="0.2">
      <c r="A74" s="73">
        <f>'Monthly Summary'!A73</f>
      </c>
      <c r="B74" s="74">
        <f>IF('Monthly Summary'!W73="",NA(),'Monthly Summary'!W73)</f>
      </c>
      <c r="C74" s="74">
        <f>IF('Monthly Summary'!X73="",NA(),'Monthly Summary'!X73)</f>
      </c>
      <c r="D74" s="74">
        <f>IF('Monthly Summary'!Y73="",NA(),'Monthly Summary'!Y73)</f>
      </c>
      <c r="E74" s="74">
        <f>IF('Monthly Summary'!Z73="",NA(),'Monthly Summary'!Z73)</f>
      </c>
      <c r="F74" s="74">
        <f>IF('Monthly Summary'!AA73="",NA(),'Monthly Summary'!AA73)</f>
      </c>
      <c r="G74" s="74">
        <f>IF('Monthly Summary'!AB73="",NA(),'Monthly Summary'!AB73)</f>
      </c>
      <c r="H74" s="74">
        <f>IF('Monthly Summary'!AC73="",NA(),'Monthly Summary'!AC73)</f>
      </c>
      <c r="I74" s="74">
        <f>IF('Monthly Summary'!AD73="",NA(),'Monthly Summary'!AD73)</f>
      </c>
      <c r="J74" s="74">
        <f>IF('Monthly Summary'!AE73="",NA(),'Monthly Summary'!AE73)</f>
      </c>
      <c r="K74" s="74">
        <f>IF('Monthly Summary'!AF73="",NA(),'Monthly Summary'!AF73)</f>
      </c>
      <c r="L74" s="74">
        <f>IF('Monthly Summary'!AG73="",NA(),'Monthly Summary'!AG73)</f>
      </c>
      <c r="M74" s="74">
        <f>IF('Monthly Summary'!AH73="",NA(),'Monthly Summary'!AH73)</f>
      </c>
      <c r="N74" s="74">
        <f>IF('Monthly Summary'!AI73="",NA(),'Monthly Summary'!AI73)</f>
      </c>
      <c r="O74" s="74">
        <f>IF('Monthly Summary'!AJ73="",NA(),'Monthly Summary'!AJ73)</f>
      </c>
      <c r="P74" s="74">
        <f>IF('Monthly Summary'!AK73="",NA(),'Monthly Summary'!AK73)</f>
      </c>
      <c r="Q74" s="74">
        <f>IF('Monthly Summary'!AL73="",NA(),'Monthly Summary'!AL73)</f>
      </c>
      <c r="R74" s="74">
        <f>IF('Monthly Summary'!AM73="",NA(),'Monthly Summary'!AM73)</f>
      </c>
      <c r="S74" s="74">
        <f>IF('Monthly Summary'!C73="",NA(),'Monthly Summary'!C73)</f>
      </c>
    </row>
    <row r="75" spans="1:19" x14ac:dyDescent="0.2">
      <c r="A75" s="73">
        <f>'Monthly Summary'!A74</f>
      </c>
      <c r="B75" s="74">
        <f>IF('Monthly Summary'!W74="",NA(),'Monthly Summary'!W74)</f>
      </c>
      <c r="C75" s="74">
        <f>IF('Monthly Summary'!X74="",NA(),'Monthly Summary'!X74)</f>
      </c>
      <c r="D75" s="74">
        <f>IF('Monthly Summary'!Y74="",NA(),'Monthly Summary'!Y74)</f>
      </c>
      <c r="E75" s="74">
        <f>IF('Monthly Summary'!Z74="",NA(),'Monthly Summary'!Z74)</f>
      </c>
      <c r="F75" s="74">
        <f>IF('Monthly Summary'!AA74="",NA(),'Monthly Summary'!AA74)</f>
      </c>
      <c r="G75" s="74">
        <f>IF('Monthly Summary'!AB74="",NA(),'Monthly Summary'!AB74)</f>
      </c>
      <c r="H75" s="74">
        <f>IF('Monthly Summary'!AC74="",NA(),'Monthly Summary'!AC74)</f>
      </c>
      <c r="I75" s="74">
        <f>IF('Monthly Summary'!AD74="",NA(),'Monthly Summary'!AD74)</f>
      </c>
      <c r="J75" s="74">
        <f>IF('Monthly Summary'!AE74="",NA(),'Monthly Summary'!AE74)</f>
      </c>
      <c r="K75" s="74">
        <f>IF('Monthly Summary'!AF74="",NA(),'Monthly Summary'!AF74)</f>
      </c>
      <c r="L75" s="74">
        <f>IF('Monthly Summary'!AG74="",NA(),'Monthly Summary'!AG74)</f>
      </c>
      <c r="M75" s="74">
        <f>IF('Monthly Summary'!AH74="",NA(),'Monthly Summary'!AH74)</f>
      </c>
      <c r="N75" s="74">
        <f>IF('Monthly Summary'!AI74="",NA(),'Monthly Summary'!AI74)</f>
      </c>
      <c r="O75" s="74">
        <f>IF('Monthly Summary'!AJ74="",NA(),'Monthly Summary'!AJ74)</f>
      </c>
      <c r="P75" s="74">
        <f>IF('Monthly Summary'!AK74="",NA(),'Monthly Summary'!AK74)</f>
      </c>
      <c r="Q75" s="74">
        <f>IF('Monthly Summary'!AL74="",NA(),'Monthly Summary'!AL74)</f>
      </c>
      <c r="R75" s="74">
        <f>IF('Monthly Summary'!AM74="",NA(),'Monthly Summary'!AM74)</f>
      </c>
      <c r="S75" s="74">
        <f>IF('Monthly Summary'!C74="",NA(),'Monthly Summary'!C74)</f>
      </c>
    </row>
    <row r="76" spans="1:19" x14ac:dyDescent="0.2">
      <c r="A76" s="73">
        <f>'Monthly Summary'!A75</f>
      </c>
      <c r="B76" s="74">
        <f>IF('Monthly Summary'!W75="",NA(),'Monthly Summary'!W75)</f>
      </c>
      <c r="C76" s="74">
        <f>IF('Monthly Summary'!X75="",NA(),'Monthly Summary'!X75)</f>
      </c>
      <c r="D76" s="74">
        <f>IF('Monthly Summary'!Y75="",NA(),'Monthly Summary'!Y75)</f>
      </c>
      <c r="E76" s="74">
        <f>IF('Monthly Summary'!Z75="",NA(),'Monthly Summary'!Z75)</f>
      </c>
      <c r="F76" s="74">
        <f>IF('Monthly Summary'!AA75="",NA(),'Monthly Summary'!AA75)</f>
      </c>
      <c r="G76" s="74">
        <f>IF('Monthly Summary'!AB75="",NA(),'Monthly Summary'!AB75)</f>
      </c>
      <c r="H76" s="74">
        <f>IF('Monthly Summary'!AC75="",NA(),'Monthly Summary'!AC75)</f>
      </c>
      <c r="I76" s="74">
        <f>IF('Monthly Summary'!AD75="",NA(),'Monthly Summary'!AD75)</f>
      </c>
      <c r="J76" s="74">
        <f>IF('Monthly Summary'!AE75="",NA(),'Monthly Summary'!AE75)</f>
      </c>
      <c r="K76" s="74">
        <f>IF('Monthly Summary'!AF75="",NA(),'Monthly Summary'!AF75)</f>
      </c>
      <c r="L76" s="74">
        <f>IF('Monthly Summary'!AG75="",NA(),'Monthly Summary'!AG75)</f>
      </c>
      <c r="M76" s="74">
        <f>IF('Monthly Summary'!AH75="",NA(),'Monthly Summary'!AH75)</f>
      </c>
      <c r="N76" s="74">
        <f>IF('Monthly Summary'!AI75="",NA(),'Monthly Summary'!AI75)</f>
      </c>
      <c r="O76" s="74">
        <f>IF('Monthly Summary'!AJ75="",NA(),'Monthly Summary'!AJ75)</f>
      </c>
      <c r="P76" s="74">
        <f>IF('Monthly Summary'!AK75="",NA(),'Monthly Summary'!AK75)</f>
      </c>
      <c r="Q76" s="74">
        <f>IF('Monthly Summary'!AL75="",NA(),'Monthly Summary'!AL75)</f>
      </c>
      <c r="R76" s="74">
        <f>IF('Monthly Summary'!AM75="",NA(),'Monthly Summary'!AM75)</f>
      </c>
      <c r="S76" s="74">
        <f>IF('Monthly Summary'!C75="",NA(),'Monthly Summary'!C75)</f>
      </c>
    </row>
    <row r="77" spans="1:19" x14ac:dyDescent="0.2">
      <c r="A77" s="73">
        <f>'Monthly Summary'!A76</f>
      </c>
      <c r="B77" s="74">
        <f>IF('Monthly Summary'!W76="",NA(),'Monthly Summary'!W76)</f>
      </c>
      <c r="C77" s="74">
        <f>IF('Monthly Summary'!X76="",NA(),'Monthly Summary'!X76)</f>
      </c>
      <c r="D77" s="74">
        <f>IF('Monthly Summary'!Y76="",NA(),'Monthly Summary'!Y76)</f>
      </c>
      <c r="E77" s="74">
        <f>IF('Monthly Summary'!Z76="",NA(),'Monthly Summary'!Z76)</f>
      </c>
      <c r="F77" s="74">
        <f>IF('Monthly Summary'!AA76="",NA(),'Monthly Summary'!AA76)</f>
      </c>
      <c r="G77" s="74">
        <f>IF('Monthly Summary'!AB76="",NA(),'Monthly Summary'!AB76)</f>
      </c>
      <c r="H77" s="74">
        <f>IF('Monthly Summary'!AC76="",NA(),'Monthly Summary'!AC76)</f>
      </c>
      <c r="I77" s="74">
        <f>IF('Monthly Summary'!AD76="",NA(),'Monthly Summary'!AD76)</f>
      </c>
      <c r="J77" s="74">
        <f>IF('Monthly Summary'!AE76="",NA(),'Monthly Summary'!AE76)</f>
      </c>
      <c r="K77" s="74">
        <f>IF('Monthly Summary'!AF76="",NA(),'Monthly Summary'!AF76)</f>
      </c>
      <c r="L77" s="74">
        <f>IF('Monthly Summary'!AG76="",NA(),'Monthly Summary'!AG76)</f>
      </c>
      <c r="M77" s="74">
        <f>IF('Monthly Summary'!AH76="",NA(),'Monthly Summary'!AH76)</f>
      </c>
      <c r="N77" s="74">
        <f>IF('Monthly Summary'!AI76="",NA(),'Monthly Summary'!AI76)</f>
      </c>
      <c r="O77" s="74">
        <f>IF('Monthly Summary'!AJ76="",NA(),'Monthly Summary'!AJ76)</f>
      </c>
      <c r="P77" s="74">
        <f>IF('Monthly Summary'!AK76="",NA(),'Monthly Summary'!AK76)</f>
      </c>
      <c r="Q77" s="74">
        <f>IF('Monthly Summary'!AL76="",NA(),'Monthly Summary'!AL76)</f>
      </c>
      <c r="R77" s="74">
        <f>IF('Monthly Summary'!AM76="",NA(),'Monthly Summary'!AM76)</f>
      </c>
      <c r="S77" s="74">
        <f>IF('Monthly Summary'!C76="",NA(),'Monthly Summary'!C76)</f>
      </c>
    </row>
    <row r="78" spans="1:19" x14ac:dyDescent="0.2">
      <c r="A78" s="73">
        <f>'Monthly Summary'!A77</f>
      </c>
      <c r="B78" s="74">
        <f>IF('Monthly Summary'!W77="",NA(),'Monthly Summary'!W77)</f>
      </c>
      <c r="C78" s="74">
        <f>IF('Monthly Summary'!X77="",NA(),'Monthly Summary'!X77)</f>
      </c>
      <c r="D78" s="74">
        <f>IF('Monthly Summary'!Y77="",NA(),'Monthly Summary'!Y77)</f>
      </c>
      <c r="E78" s="74">
        <f>IF('Monthly Summary'!Z77="",NA(),'Monthly Summary'!Z77)</f>
      </c>
      <c r="F78" s="74">
        <f>IF('Monthly Summary'!AA77="",NA(),'Monthly Summary'!AA77)</f>
      </c>
      <c r="G78" s="74">
        <f>IF('Monthly Summary'!AB77="",NA(),'Monthly Summary'!AB77)</f>
      </c>
      <c r="H78" s="74">
        <f>IF('Monthly Summary'!AC77="",NA(),'Monthly Summary'!AC77)</f>
      </c>
      <c r="I78" s="74">
        <f>IF('Monthly Summary'!AD77="",NA(),'Monthly Summary'!AD77)</f>
      </c>
      <c r="J78" s="74">
        <f>IF('Monthly Summary'!AE77="",NA(),'Monthly Summary'!AE77)</f>
      </c>
      <c r="K78" s="74">
        <f>IF('Monthly Summary'!AF77="",NA(),'Monthly Summary'!AF77)</f>
      </c>
      <c r="L78" s="74">
        <f>IF('Monthly Summary'!AG77="",NA(),'Monthly Summary'!AG77)</f>
      </c>
      <c r="M78" s="74">
        <f>IF('Monthly Summary'!AH77="",NA(),'Monthly Summary'!AH77)</f>
      </c>
      <c r="N78" s="74">
        <f>IF('Monthly Summary'!AI77="",NA(),'Monthly Summary'!AI77)</f>
      </c>
      <c r="O78" s="74">
        <f>IF('Monthly Summary'!AJ77="",NA(),'Monthly Summary'!AJ77)</f>
      </c>
      <c r="P78" s="74">
        <f>IF('Monthly Summary'!AK77="",NA(),'Monthly Summary'!AK77)</f>
      </c>
      <c r="Q78" s="74">
        <f>IF('Monthly Summary'!AL77="",NA(),'Monthly Summary'!AL77)</f>
      </c>
      <c r="R78" s="74">
        <f>IF('Monthly Summary'!AM77="",NA(),'Monthly Summary'!AM77)</f>
      </c>
      <c r="S78" s="74">
        <f>IF('Monthly Summary'!C77="",NA(),'Monthly Summary'!C77)</f>
      </c>
    </row>
    <row r="79" spans="1:19" x14ac:dyDescent="0.2">
      <c r="A79" s="73">
        <f>'Monthly Summary'!A78</f>
      </c>
      <c r="B79" s="74">
        <f>IF('Monthly Summary'!W78="",NA(),'Monthly Summary'!W78)</f>
      </c>
      <c r="C79" s="74">
        <f>IF('Monthly Summary'!X78="",NA(),'Monthly Summary'!X78)</f>
      </c>
      <c r="D79" s="74">
        <f>IF('Monthly Summary'!Y78="",NA(),'Monthly Summary'!Y78)</f>
      </c>
      <c r="E79" s="74">
        <f>IF('Monthly Summary'!Z78="",NA(),'Monthly Summary'!Z78)</f>
      </c>
      <c r="F79" s="74">
        <f>IF('Monthly Summary'!AA78="",NA(),'Monthly Summary'!AA78)</f>
      </c>
      <c r="G79" s="74">
        <f>IF('Monthly Summary'!AB78="",NA(),'Monthly Summary'!AB78)</f>
      </c>
      <c r="H79" s="74">
        <f>IF('Monthly Summary'!AC78="",NA(),'Monthly Summary'!AC78)</f>
      </c>
      <c r="I79" s="74">
        <f>IF('Monthly Summary'!AD78="",NA(),'Monthly Summary'!AD78)</f>
      </c>
      <c r="J79" s="74">
        <f>IF('Monthly Summary'!AE78="",NA(),'Monthly Summary'!AE78)</f>
      </c>
      <c r="K79" s="74">
        <f>IF('Monthly Summary'!AF78="",NA(),'Monthly Summary'!AF78)</f>
      </c>
      <c r="L79" s="74">
        <f>IF('Monthly Summary'!AG78="",NA(),'Monthly Summary'!AG78)</f>
      </c>
      <c r="M79" s="74">
        <f>IF('Monthly Summary'!AH78="",NA(),'Monthly Summary'!AH78)</f>
      </c>
      <c r="N79" s="74">
        <f>IF('Monthly Summary'!AI78="",NA(),'Monthly Summary'!AI78)</f>
      </c>
      <c r="O79" s="74">
        <f>IF('Monthly Summary'!AJ78="",NA(),'Monthly Summary'!AJ78)</f>
      </c>
      <c r="P79" s="74">
        <f>IF('Monthly Summary'!AK78="",NA(),'Monthly Summary'!AK78)</f>
      </c>
      <c r="Q79" s="74">
        <f>IF('Monthly Summary'!AL78="",NA(),'Monthly Summary'!AL78)</f>
      </c>
      <c r="R79" s="74">
        <f>IF('Monthly Summary'!AM78="",NA(),'Monthly Summary'!AM78)</f>
      </c>
      <c r="S79" s="74">
        <f>IF('Monthly Summary'!C78="",NA(),'Monthly Summary'!C78)</f>
      </c>
    </row>
    <row r="80" spans="1:19" x14ac:dyDescent="0.2">
      <c r="A80" s="73">
        <f>'Monthly Summary'!A79</f>
      </c>
      <c r="B80" s="74">
        <f>IF('Monthly Summary'!W79="",NA(),'Monthly Summary'!W79)</f>
      </c>
      <c r="C80" s="74">
        <f>IF('Monthly Summary'!X79="",NA(),'Monthly Summary'!X79)</f>
      </c>
      <c r="D80" s="74">
        <f>IF('Monthly Summary'!Y79="",NA(),'Monthly Summary'!Y79)</f>
      </c>
      <c r="E80" s="74">
        <f>IF('Monthly Summary'!Z79="",NA(),'Monthly Summary'!Z79)</f>
      </c>
      <c r="F80" s="74">
        <f>IF('Monthly Summary'!AA79="",NA(),'Monthly Summary'!AA79)</f>
      </c>
      <c r="G80" s="74">
        <f>IF('Monthly Summary'!AB79="",NA(),'Monthly Summary'!AB79)</f>
      </c>
      <c r="H80" s="74">
        <f>IF('Monthly Summary'!AC79="",NA(),'Monthly Summary'!AC79)</f>
      </c>
      <c r="I80" s="74">
        <f>IF('Monthly Summary'!AD79="",NA(),'Monthly Summary'!AD79)</f>
      </c>
      <c r="J80" s="74">
        <f>IF('Monthly Summary'!AE79="",NA(),'Monthly Summary'!AE79)</f>
      </c>
      <c r="K80" s="74">
        <f>IF('Monthly Summary'!AF79="",NA(),'Monthly Summary'!AF79)</f>
      </c>
      <c r="L80" s="74">
        <f>IF('Monthly Summary'!AG79="",NA(),'Monthly Summary'!AG79)</f>
      </c>
      <c r="M80" s="74">
        <f>IF('Monthly Summary'!AH79="",NA(),'Monthly Summary'!AH79)</f>
      </c>
      <c r="N80" s="74">
        <f>IF('Monthly Summary'!AI79="",NA(),'Monthly Summary'!AI79)</f>
      </c>
      <c r="O80" s="74">
        <f>IF('Monthly Summary'!AJ79="",NA(),'Monthly Summary'!AJ79)</f>
      </c>
      <c r="P80" s="74">
        <f>IF('Monthly Summary'!AK79="",NA(),'Monthly Summary'!AK79)</f>
      </c>
      <c r="Q80" s="74">
        <f>IF('Monthly Summary'!AL79="",NA(),'Monthly Summary'!AL79)</f>
      </c>
      <c r="R80" s="74">
        <f>IF('Monthly Summary'!AM79="",NA(),'Monthly Summary'!AM79)</f>
      </c>
      <c r="S80" s="74">
        <f>IF('Monthly Summary'!C79="",NA(),'Monthly Summary'!C79)</f>
      </c>
    </row>
    <row r="81" spans="1:19" x14ac:dyDescent="0.2">
      <c r="A81" s="73">
        <f>'Monthly Summary'!A80</f>
      </c>
      <c r="B81" s="74">
        <f>IF('Monthly Summary'!W80="",NA(),'Monthly Summary'!W80)</f>
      </c>
      <c r="C81" s="74">
        <f>IF('Monthly Summary'!X80="",NA(),'Monthly Summary'!X80)</f>
      </c>
      <c r="D81" s="74">
        <f>IF('Monthly Summary'!Y80="",NA(),'Monthly Summary'!Y80)</f>
      </c>
      <c r="E81" s="74">
        <f>IF('Monthly Summary'!Z80="",NA(),'Monthly Summary'!Z80)</f>
      </c>
      <c r="F81" s="74">
        <f>IF('Monthly Summary'!AA80="",NA(),'Monthly Summary'!AA80)</f>
      </c>
      <c r="G81" s="74">
        <f>IF('Monthly Summary'!AB80="",NA(),'Monthly Summary'!AB80)</f>
      </c>
      <c r="H81" s="74">
        <f>IF('Monthly Summary'!AC80="",NA(),'Monthly Summary'!AC80)</f>
      </c>
      <c r="I81" s="74">
        <f>IF('Monthly Summary'!AD80="",NA(),'Monthly Summary'!AD80)</f>
      </c>
      <c r="J81" s="74">
        <f>IF('Monthly Summary'!AE80="",NA(),'Monthly Summary'!AE80)</f>
      </c>
      <c r="K81" s="74">
        <f>IF('Monthly Summary'!AF80="",NA(),'Monthly Summary'!AF80)</f>
      </c>
      <c r="L81" s="74">
        <f>IF('Monthly Summary'!AG80="",NA(),'Monthly Summary'!AG80)</f>
      </c>
      <c r="M81" s="74">
        <f>IF('Monthly Summary'!AH80="",NA(),'Monthly Summary'!AH80)</f>
      </c>
      <c r="N81" s="74">
        <f>IF('Monthly Summary'!AI80="",NA(),'Monthly Summary'!AI80)</f>
      </c>
      <c r="O81" s="74">
        <f>IF('Monthly Summary'!AJ80="",NA(),'Monthly Summary'!AJ80)</f>
      </c>
      <c r="P81" s="74">
        <f>IF('Monthly Summary'!AK80="",NA(),'Monthly Summary'!AK80)</f>
      </c>
      <c r="Q81" s="74">
        <f>IF('Monthly Summary'!AL80="",NA(),'Monthly Summary'!AL80)</f>
      </c>
      <c r="R81" s="74">
        <f>IF('Monthly Summary'!AM80="",NA(),'Monthly Summary'!AM80)</f>
      </c>
      <c r="S81" s="74">
        <f>IF('Monthly Summary'!C80="",NA(),'Monthly Summary'!C80)</f>
      </c>
    </row>
    <row r="82" spans="1:19" x14ac:dyDescent="0.2">
      <c r="A82" s="73">
        <f>'Monthly Summary'!A81</f>
      </c>
      <c r="B82" s="74">
        <f>IF('Monthly Summary'!W81="",NA(),'Monthly Summary'!W81)</f>
      </c>
      <c r="C82" s="74">
        <f>IF('Monthly Summary'!X81="",NA(),'Monthly Summary'!X81)</f>
      </c>
      <c r="D82" s="74">
        <f>IF('Monthly Summary'!Y81="",NA(),'Monthly Summary'!Y81)</f>
      </c>
      <c r="E82" s="74">
        <f>IF('Monthly Summary'!Z81="",NA(),'Monthly Summary'!Z81)</f>
      </c>
      <c r="F82" s="74">
        <f>IF('Monthly Summary'!AA81="",NA(),'Monthly Summary'!AA81)</f>
      </c>
      <c r="G82" s="74">
        <f>IF('Monthly Summary'!AB81="",NA(),'Monthly Summary'!AB81)</f>
      </c>
      <c r="H82" s="74">
        <f>IF('Monthly Summary'!AC81="",NA(),'Monthly Summary'!AC81)</f>
      </c>
      <c r="I82" s="74">
        <f>IF('Monthly Summary'!AD81="",NA(),'Monthly Summary'!AD81)</f>
      </c>
      <c r="J82" s="74">
        <f>IF('Monthly Summary'!AE81="",NA(),'Monthly Summary'!AE81)</f>
      </c>
      <c r="K82" s="74">
        <f>IF('Monthly Summary'!AF81="",NA(),'Monthly Summary'!AF81)</f>
      </c>
      <c r="L82" s="74">
        <f>IF('Monthly Summary'!AG81="",NA(),'Monthly Summary'!AG81)</f>
      </c>
      <c r="M82" s="74">
        <f>IF('Monthly Summary'!AH81="",NA(),'Monthly Summary'!AH81)</f>
      </c>
      <c r="N82" s="74">
        <f>IF('Monthly Summary'!AI81="",NA(),'Monthly Summary'!AI81)</f>
      </c>
      <c r="O82" s="74">
        <f>IF('Monthly Summary'!AJ81="",NA(),'Monthly Summary'!AJ81)</f>
      </c>
      <c r="P82" s="74">
        <f>IF('Monthly Summary'!AK81="",NA(),'Monthly Summary'!AK81)</f>
      </c>
      <c r="Q82" s="74">
        <f>IF('Monthly Summary'!AL81="",NA(),'Monthly Summary'!AL81)</f>
      </c>
      <c r="R82" s="74">
        <f>IF('Monthly Summary'!AM81="",NA(),'Monthly Summary'!AM81)</f>
      </c>
      <c r="S82" s="74">
        <f>IF('Monthly Summary'!C81="",NA(),'Monthly Summary'!C81)</f>
      </c>
    </row>
    <row r="83" spans="1:19" x14ac:dyDescent="0.2">
      <c r="A83" s="73">
        <f>'Monthly Summary'!A82</f>
      </c>
      <c r="B83" s="74">
        <f>IF('Monthly Summary'!W82="",NA(),'Monthly Summary'!W82)</f>
      </c>
      <c r="C83" s="74">
        <f>IF('Monthly Summary'!X82="",NA(),'Monthly Summary'!X82)</f>
      </c>
      <c r="D83" s="74">
        <f>IF('Monthly Summary'!Y82="",NA(),'Monthly Summary'!Y82)</f>
      </c>
      <c r="E83" s="74">
        <f>IF('Monthly Summary'!Z82="",NA(),'Monthly Summary'!Z82)</f>
      </c>
      <c r="F83" s="74">
        <f>IF('Monthly Summary'!AA82="",NA(),'Monthly Summary'!AA82)</f>
      </c>
      <c r="G83" s="74">
        <f>IF('Monthly Summary'!AB82="",NA(),'Monthly Summary'!AB82)</f>
      </c>
      <c r="H83" s="74">
        <f>IF('Monthly Summary'!AC82="",NA(),'Monthly Summary'!AC82)</f>
      </c>
      <c r="I83" s="74">
        <f>IF('Monthly Summary'!AD82="",NA(),'Monthly Summary'!AD82)</f>
      </c>
      <c r="J83" s="74">
        <f>IF('Monthly Summary'!AE82="",NA(),'Monthly Summary'!AE82)</f>
      </c>
      <c r="K83" s="74">
        <f>IF('Monthly Summary'!AF82="",NA(),'Monthly Summary'!AF82)</f>
      </c>
      <c r="L83" s="74">
        <f>IF('Monthly Summary'!AG82="",NA(),'Monthly Summary'!AG82)</f>
      </c>
      <c r="M83" s="74">
        <f>IF('Monthly Summary'!AH82="",NA(),'Monthly Summary'!AH82)</f>
      </c>
      <c r="N83" s="74">
        <f>IF('Monthly Summary'!AI82="",NA(),'Monthly Summary'!AI82)</f>
      </c>
      <c r="O83" s="74">
        <f>IF('Monthly Summary'!AJ82="",NA(),'Monthly Summary'!AJ82)</f>
      </c>
      <c r="P83" s="74">
        <f>IF('Monthly Summary'!AK82="",NA(),'Monthly Summary'!AK82)</f>
      </c>
      <c r="Q83" s="74">
        <f>IF('Monthly Summary'!AL82="",NA(),'Monthly Summary'!AL82)</f>
      </c>
      <c r="R83" s="74">
        <f>IF('Monthly Summary'!AM82="",NA(),'Monthly Summary'!AM82)</f>
      </c>
      <c r="S83" s="74">
        <f>IF('Monthly Summary'!C82="",NA(),'Monthly Summary'!C82)</f>
      </c>
    </row>
    <row r="84" spans="1:19" x14ac:dyDescent="0.2">
      <c r="A84" s="73">
        <f>'Monthly Summary'!A83</f>
      </c>
      <c r="B84" s="74">
        <f>IF('Monthly Summary'!W83="",NA(),'Monthly Summary'!W83)</f>
      </c>
      <c r="C84" s="74">
        <f>IF('Monthly Summary'!X83="",NA(),'Monthly Summary'!X83)</f>
      </c>
      <c r="D84" s="74">
        <f>IF('Monthly Summary'!Y83="",NA(),'Monthly Summary'!Y83)</f>
      </c>
      <c r="E84" s="74">
        <f>IF('Monthly Summary'!Z83="",NA(),'Monthly Summary'!Z83)</f>
      </c>
      <c r="F84" s="74">
        <f>IF('Monthly Summary'!AA83="",NA(),'Monthly Summary'!AA83)</f>
      </c>
      <c r="G84" s="74">
        <f>IF('Monthly Summary'!AB83="",NA(),'Monthly Summary'!AB83)</f>
      </c>
      <c r="H84" s="74">
        <f>IF('Monthly Summary'!AC83="",NA(),'Monthly Summary'!AC83)</f>
      </c>
      <c r="I84" s="74">
        <f>IF('Monthly Summary'!AD83="",NA(),'Monthly Summary'!AD83)</f>
      </c>
      <c r="J84" s="74">
        <f>IF('Monthly Summary'!AE83="",NA(),'Monthly Summary'!AE83)</f>
      </c>
      <c r="K84" s="74">
        <f>IF('Monthly Summary'!AF83="",NA(),'Monthly Summary'!AF83)</f>
      </c>
      <c r="L84" s="74">
        <f>IF('Monthly Summary'!AG83="",NA(),'Monthly Summary'!AG83)</f>
      </c>
      <c r="M84" s="74">
        <f>IF('Monthly Summary'!AH83="",NA(),'Monthly Summary'!AH83)</f>
      </c>
      <c r="N84" s="74">
        <f>IF('Monthly Summary'!AI83="",NA(),'Monthly Summary'!AI83)</f>
      </c>
      <c r="O84" s="74">
        <f>IF('Monthly Summary'!AJ83="",NA(),'Monthly Summary'!AJ83)</f>
      </c>
      <c r="P84" s="74">
        <f>IF('Monthly Summary'!AK83="",NA(),'Monthly Summary'!AK83)</f>
      </c>
      <c r="Q84" s="74">
        <f>IF('Monthly Summary'!AL83="",NA(),'Monthly Summary'!AL83)</f>
      </c>
      <c r="R84" s="74">
        <f>IF('Monthly Summary'!AM83="",NA(),'Monthly Summary'!AM83)</f>
      </c>
      <c r="S84" s="74">
        <f>IF('Monthly Summary'!C83="",NA(),'Monthly Summary'!C83)</f>
      </c>
    </row>
    <row r="85" spans="1:19" x14ac:dyDescent="0.2">
      <c r="A85" s="73">
        <f>'Monthly Summary'!A84</f>
      </c>
      <c r="B85" s="74">
        <f>IF('Monthly Summary'!W84="",NA(),'Monthly Summary'!W84)</f>
      </c>
      <c r="C85" s="74">
        <f>IF('Monthly Summary'!X84="",NA(),'Monthly Summary'!X84)</f>
      </c>
      <c r="D85" s="74">
        <f>IF('Monthly Summary'!Y84="",NA(),'Monthly Summary'!Y84)</f>
      </c>
      <c r="E85" s="74">
        <f>IF('Monthly Summary'!Z84="",NA(),'Monthly Summary'!Z84)</f>
      </c>
      <c r="F85" s="74">
        <f>IF('Monthly Summary'!AA84="",NA(),'Monthly Summary'!AA84)</f>
      </c>
      <c r="G85" s="74">
        <f>IF('Monthly Summary'!AB84="",NA(),'Monthly Summary'!AB84)</f>
      </c>
      <c r="H85" s="74">
        <f>IF('Monthly Summary'!AC84="",NA(),'Monthly Summary'!AC84)</f>
      </c>
      <c r="I85" s="74">
        <f>IF('Monthly Summary'!AD84="",NA(),'Monthly Summary'!AD84)</f>
      </c>
      <c r="J85" s="74">
        <f>IF('Monthly Summary'!AE84="",NA(),'Monthly Summary'!AE84)</f>
      </c>
      <c r="K85" s="74">
        <f>IF('Monthly Summary'!AF84="",NA(),'Monthly Summary'!AF84)</f>
      </c>
      <c r="L85" s="74">
        <f>IF('Monthly Summary'!AG84="",NA(),'Monthly Summary'!AG84)</f>
      </c>
      <c r="M85" s="74">
        <f>IF('Monthly Summary'!AH84="",NA(),'Monthly Summary'!AH84)</f>
      </c>
      <c r="N85" s="74">
        <f>IF('Monthly Summary'!AI84="",NA(),'Monthly Summary'!AI84)</f>
      </c>
      <c r="O85" s="74">
        <f>IF('Monthly Summary'!AJ84="",NA(),'Monthly Summary'!AJ84)</f>
      </c>
      <c r="P85" s="74">
        <f>IF('Monthly Summary'!AK84="",NA(),'Monthly Summary'!AK84)</f>
      </c>
      <c r="Q85" s="74">
        <f>IF('Monthly Summary'!AL84="",NA(),'Monthly Summary'!AL84)</f>
      </c>
      <c r="R85" s="74">
        <f>IF('Monthly Summary'!AM84="",NA(),'Monthly Summary'!AM84)</f>
      </c>
      <c r="S85" s="74">
        <f>IF('Monthly Summary'!C84="",NA(),'Monthly Summary'!C84)</f>
      </c>
    </row>
    <row r="86" spans="1:19" x14ac:dyDescent="0.2">
      <c r="A86" s="73">
        <f>'Monthly Summary'!A85</f>
      </c>
      <c r="B86" s="74">
        <f>IF('Monthly Summary'!W85="",NA(),'Monthly Summary'!W85)</f>
      </c>
      <c r="C86" s="74">
        <f>IF('Monthly Summary'!X85="",NA(),'Monthly Summary'!X85)</f>
      </c>
      <c r="D86" s="74">
        <f>IF('Monthly Summary'!Y85="",NA(),'Monthly Summary'!Y85)</f>
      </c>
      <c r="E86" s="74">
        <f>IF('Monthly Summary'!Z85="",NA(),'Monthly Summary'!Z85)</f>
      </c>
      <c r="F86" s="74">
        <f>IF('Monthly Summary'!AA85="",NA(),'Monthly Summary'!AA85)</f>
      </c>
      <c r="G86" s="74">
        <f>IF('Monthly Summary'!AB85="",NA(),'Monthly Summary'!AB85)</f>
      </c>
      <c r="H86" s="74">
        <f>IF('Monthly Summary'!AC85="",NA(),'Monthly Summary'!AC85)</f>
      </c>
      <c r="I86" s="74">
        <f>IF('Monthly Summary'!AD85="",NA(),'Monthly Summary'!AD85)</f>
      </c>
      <c r="J86" s="74">
        <f>IF('Monthly Summary'!AE85="",NA(),'Monthly Summary'!AE85)</f>
      </c>
      <c r="K86" s="74">
        <f>IF('Monthly Summary'!AF85="",NA(),'Monthly Summary'!AF85)</f>
      </c>
      <c r="L86" s="74">
        <f>IF('Monthly Summary'!AG85="",NA(),'Monthly Summary'!AG85)</f>
      </c>
      <c r="M86" s="74">
        <f>IF('Monthly Summary'!AH85="",NA(),'Monthly Summary'!AH85)</f>
      </c>
      <c r="N86" s="74">
        <f>IF('Monthly Summary'!AI85="",NA(),'Monthly Summary'!AI85)</f>
      </c>
      <c r="O86" s="74">
        <f>IF('Monthly Summary'!AJ85="",NA(),'Monthly Summary'!AJ85)</f>
      </c>
      <c r="P86" s="74">
        <f>IF('Monthly Summary'!AK85="",NA(),'Monthly Summary'!AK85)</f>
      </c>
      <c r="Q86" s="74">
        <f>IF('Monthly Summary'!AL85="",NA(),'Monthly Summary'!AL85)</f>
      </c>
      <c r="R86" s="74">
        <f>IF('Monthly Summary'!AM85="",NA(),'Monthly Summary'!AM85)</f>
      </c>
      <c r="S86" s="74">
        <f>IF('Monthly Summary'!C85="",NA(),'Monthly Summary'!C85)</f>
      </c>
    </row>
    <row r="87" spans="1:19" x14ac:dyDescent="0.2">
      <c r="A87" s="73">
        <f>'Monthly Summary'!A86</f>
      </c>
      <c r="B87" s="74">
        <f>IF('Monthly Summary'!W86="",NA(),'Monthly Summary'!W86)</f>
      </c>
      <c r="C87" s="74">
        <f>IF('Monthly Summary'!X86="",NA(),'Monthly Summary'!X86)</f>
      </c>
      <c r="D87" s="74">
        <f>IF('Monthly Summary'!Y86="",NA(),'Monthly Summary'!Y86)</f>
      </c>
      <c r="E87" s="74">
        <f>IF('Monthly Summary'!Z86="",NA(),'Monthly Summary'!Z86)</f>
      </c>
      <c r="F87" s="74">
        <f>IF('Monthly Summary'!AA86="",NA(),'Monthly Summary'!AA86)</f>
      </c>
      <c r="G87" s="74">
        <f>IF('Monthly Summary'!AB86="",NA(),'Monthly Summary'!AB86)</f>
      </c>
      <c r="H87" s="74">
        <f>IF('Monthly Summary'!AC86="",NA(),'Monthly Summary'!AC86)</f>
      </c>
      <c r="I87" s="74">
        <f>IF('Monthly Summary'!AD86="",NA(),'Monthly Summary'!AD86)</f>
      </c>
      <c r="J87" s="74">
        <f>IF('Monthly Summary'!AE86="",NA(),'Monthly Summary'!AE86)</f>
      </c>
      <c r="K87" s="74">
        <f>IF('Monthly Summary'!AF86="",NA(),'Monthly Summary'!AF86)</f>
      </c>
      <c r="L87" s="74">
        <f>IF('Monthly Summary'!AG86="",NA(),'Monthly Summary'!AG86)</f>
      </c>
      <c r="M87" s="74">
        <f>IF('Monthly Summary'!AH86="",NA(),'Monthly Summary'!AH86)</f>
      </c>
      <c r="N87" s="74">
        <f>IF('Monthly Summary'!AI86="",NA(),'Monthly Summary'!AI86)</f>
      </c>
      <c r="O87" s="74">
        <f>IF('Monthly Summary'!AJ86="",NA(),'Monthly Summary'!AJ86)</f>
      </c>
      <c r="P87" s="74">
        <f>IF('Monthly Summary'!AK86="",NA(),'Monthly Summary'!AK86)</f>
      </c>
      <c r="Q87" s="74">
        <f>IF('Monthly Summary'!AL86="",NA(),'Monthly Summary'!AL86)</f>
      </c>
      <c r="R87" s="74">
        <f>IF('Monthly Summary'!AM86="",NA(),'Monthly Summary'!AM86)</f>
      </c>
      <c r="S87" s="74">
        <f>IF('Monthly Summary'!C86="",NA(),'Monthly Summary'!C86)</f>
      </c>
    </row>
    <row r="88" spans="1:19" x14ac:dyDescent="0.2">
      <c r="A88" s="73">
        <f>'Monthly Summary'!A87</f>
      </c>
      <c r="B88" s="74">
        <f>IF('Monthly Summary'!W87="",NA(),'Monthly Summary'!W87)</f>
      </c>
      <c r="C88" s="74">
        <f>IF('Monthly Summary'!X87="",NA(),'Monthly Summary'!X87)</f>
      </c>
      <c r="D88" s="74">
        <f>IF('Monthly Summary'!Y87="",NA(),'Monthly Summary'!Y87)</f>
      </c>
      <c r="E88" s="74">
        <f>IF('Monthly Summary'!Z87="",NA(),'Monthly Summary'!Z87)</f>
      </c>
      <c r="F88" s="74">
        <f>IF('Monthly Summary'!AA87="",NA(),'Monthly Summary'!AA87)</f>
      </c>
      <c r="G88" s="74">
        <f>IF('Monthly Summary'!AB87="",NA(),'Monthly Summary'!AB87)</f>
      </c>
      <c r="H88" s="74">
        <f>IF('Monthly Summary'!AC87="",NA(),'Monthly Summary'!AC87)</f>
      </c>
      <c r="I88" s="74">
        <f>IF('Monthly Summary'!AD87="",NA(),'Monthly Summary'!AD87)</f>
      </c>
      <c r="J88" s="74">
        <f>IF('Monthly Summary'!AE87="",NA(),'Monthly Summary'!AE87)</f>
      </c>
      <c r="K88" s="74">
        <f>IF('Monthly Summary'!AF87="",NA(),'Monthly Summary'!AF87)</f>
      </c>
      <c r="L88" s="74">
        <f>IF('Monthly Summary'!AG87="",NA(),'Monthly Summary'!AG87)</f>
      </c>
      <c r="M88" s="74">
        <f>IF('Monthly Summary'!AH87="",NA(),'Monthly Summary'!AH87)</f>
      </c>
      <c r="N88" s="74">
        <f>IF('Monthly Summary'!AI87="",NA(),'Monthly Summary'!AI87)</f>
      </c>
      <c r="O88" s="74">
        <f>IF('Monthly Summary'!AJ87="",NA(),'Monthly Summary'!AJ87)</f>
      </c>
      <c r="P88" s="74">
        <f>IF('Monthly Summary'!AK87="",NA(),'Monthly Summary'!AK87)</f>
      </c>
      <c r="Q88" s="74">
        <f>IF('Monthly Summary'!AL87="",NA(),'Monthly Summary'!AL87)</f>
      </c>
      <c r="R88" s="74">
        <f>IF('Monthly Summary'!AM87="",NA(),'Monthly Summary'!AM87)</f>
      </c>
      <c r="S88" s="74">
        <f>IF('Monthly Summary'!C87="",NA(),'Monthly Summary'!C87)</f>
      </c>
    </row>
    <row r="89" spans="1:19" x14ac:dyDescent="0.2">
      <c r="A89" s="73">
        <f>'Monthly Summary'!A88</f>
      </c>
      <c r="B89" s="74">
        <f>IF('Monthly Summary'!W88="",NA(),'Monthly Summary'!W88)</f>
      </c>
      <c r="C89" s="74">
        <f>IF('Monthly Summary'!X88="",NA(),'Monthly Summary'!X88)</f>
      </c>
      <c r="D89" s="74">
        <f>IF('Monthly Summary'!Y88="",NA(),'Monthly Summary'!Y88)</f>
      </c>
      <c r="E89" s="74">
        <f>IF('Monthly Summary'!Z88="",NA(),'Monthly Summary'!Z88)</f>
      </c>
      <c r="F89" s="74">
        <f>IF('Monthly Summary'!AA88="",NA(),'Monthly Summary'!AA88)</f>
      </c>
      <c r="G89" s="74">
        <f>IF('Monthly Summary'!AB88="",NA(),'Monthly Summary'!AB88)</f>
      </c>
      <c r="H89" s="74">
        <f>IF('Monthly Summary'!AC88="",NA(),'Monthly Summary'!AC88)</f>
      </c>
      <c r="I89" s="74">
        <f>IF('Monthly Summary'!AD88="",NA(),'Monthly Summary'!AD88)</f>
      </c>
      <c r="J89" s="74">
        <f>IF('Monthly Summary'!AE88="",NA(),'Monthly Summary'!AE88)</f>
      </c>
      <c r="K89" s="74">
        <f>IF('Monthly Summary'!AF88="",NA(),'Monthly Summary'!AF88)</f>
      </c>
      <c r="L89" s="74">
        <f>IF('Monthly Summary'!AG88="",NA(),'Monthly Summary'!AG88)</f>
      </c>
      <c r="M89" s="74">
        <f>IF('Monthly Summary'!AH88="",NA(),'Monthly Summary'!AH88)</f>
      </c>
      <c r="N89" s="74">
        <f>IF('Monthly Summary'!AI88="",NA(),'Monthly Summary'!AI88)</f>
      </c>
      <c r="O89" s="74">
        <f>IF('Monthly Summary'!AJ88="",NA(),'Monthly Summary'!AJ88)</f>
      </c>
      <c r="P89" s="74">
        <f>IF('Monthly Summary'!AK88="",NA(),'Monthly Summary'!AK88)</f>
      </c>
      <c r="Q89" s="74">
        <f>IF('Monthly Summary'!AL88="",NA(),'Monthly Summary'!AL88)</f>
      </c>
      <c r="R89" s="74">
        <f>IF('Monthly Summary'!AM88="",NA(),'Monthly Summary'!AM88)</f>
      </c>
      <c r="S89" s="74">
        <f>IF('Monthly Summary'!C88="",NA(),'Monthly Summary'!C88)</f>
      </c>
    </row>
    <row r="90" spans="1:19" x14ac:dyDescent="0.2">
      <c r="A90" s="73">
        <f>'Monthly Summary'!A89</f>
      </c>
      <c r="B90" s="74">
        <f>IF('Monthly Summary'!W89="",NA(),'Monthly Summary'!W89)</f>
      </c>
      <c r="C90" s="74">
        <f>IF('Monthly Summary'!X89="",NA(),'Monthly Summary'!X89)</f>
      </c>
      <c r="D90" s="74">
        <f>IF('Monthly Summary'!Y89="",NA(),'Monthly Summary'!Y89)</f>
      </c>
      <c r="E90" s="74">
        <f>IF('Monthly Summary'!Z89="",NA(),'Monthly Summary'!Z89)</f>
      </c>
      <c r="F90" s="74">
        <f>IF('Monthly Summary'!AA89="",NA(),'Monthly Summary'!AA89)</f>
      </c>
      <c r="G90" s="74">
        <f>IF('Monthly Summary'!AB89="",NA(),'Monthly Summary'!AB89)</f>
      </c>
      <c r="H90" s="74">
        <f>IF('Monthly Summary'!AC89="",NA(),'Monthly Summary'!AC89)</f>
      </c>
      <c r="I90" s="74">
        <f>IF('Monthly Summary'!AD89="",NA(),'Monthly Summary'!AD89)</f>
      </c>
      <c r="J90" s="74">
        <f>IF('Monthly Summary'!AE89="",NA(),'Monthly Summary'!AE89)</f>
      </c>
      <c r="K90" s="74">
        <f>IF('Monthly Summary'!AF89="",NA(),'Monthly Summary'!AF89)</f>
      </c>
      <c r="L90" s="74">
        <f>IF('Monthly Summary'!AG89="",NA(),'Monthly Summary'!AG89)</f>
      </c>
      <c r="M90" s="74">
        <f>IF('Monthly Summary'!AH89="",NA(),'Monthly Summary'!AH89)</f>
      </c>
      <c r="N90" s="74">
        <f>IF('Monthly Summary'!AI89="",NA(),'Monthly Summary'!AI89)</f>
      </c>
      <c r="O90" s="74">
        <f>IF('Monthly Summary'!AJ89="",NA(),'Monthly Summary'!AJ89)</f>
      </c>
      <c r="P90" s="74">
        <f>IF('Monthly Summary'!AK89="",NA(),'Monthly Summary'!AK89)</f>
      </c>
      <c r="Q90" s="74">
        <f>IF('Monthly Summary'!AL89="",NA(),'Monthly Summary'!AL89)</f>
      </c>
      <c r="R90" s="74">
        <f>IF('Monthly Summary'!AM89="",NA(),'Monthly Summary'!AM89)</f>
      </c>
      <c r="S90" s="74">
        <f>IF('Monthly Summary'!C89="",NA(),'Monthly Summary'!C89)</f>
      </c>
    </row>
    <row r="91" spans="1:19" x14ac:dyDescent="0.2">
      <c r="A91" s="73">
        <f>'Monthly Summary'!A90</f>
      </c>
      <c r="B91" s="74">
        <f>IF('Monthly Summary'!W90="",NA(),'Monthly Summary'!W90)</f>
      </c>
      <c r="C91" s="74">
        <f>IF('Monthly Summary'!X90="",NA(),'Monthly Summary'!X90)</f>
      </c>
      <c r="D91" s="74">
        <f>IF('Monthly Summary'!Y90="",NA(),'Monthly Summary'!Y90)</f>
      </c>
      <c r="E91" s="74">
        <f>IF('Monthly Summary'!Z90="",NA(),'Monthly Summary'!Z90)</f>
      </c>
      <c r="F91" s="74">
        <f>IF('Monthly Summary'!AA90="",NA(),'Monthly Summary'!AA90)</f>
      </c>
      <c r="G91" s="74">
        <f>IF('Monthly Summary'!AB90="",NA(),'Monthly Summary'!AB90)</f>
      </c>
      <c r="H91" s="74">
        <f>IF('Monthly Summary'!AC90="",NA(),'Monthly Summary'!AC90)</f>
      </c>
      <c r="I91" s="74">
        <f>IF('Monthly Summary'!AD90="",NA(),'Monthly Summary'!AD90)</f>
      </c>
      <c r="J91" s="74">
        <f>IF('Monthly Summary'!AE90="",NA(),'Monthly Summary'!AE90)</f>
      </c>
      <c r="K91" s="74">
        <f>IF('Monthly Summary'!AF90="",NA(),'Monthly Summary'!AF90)</f>
      </c>
      <c r="L91" s="74">
        <f>IF('Monthly Summary'!AG90="",NA(),'Monthly Summary'!AG90)</f>
      </c>
      <c r="M91" s="74">
        <f>IF('Monthly Summary'!AH90="",NA(),'Monthly Summary'!AH90)</f>
      </c>
      <c r="N91" s="74">
        <f>IF('Monthly Summary'!AI90="",NA(),'Monthly Summary'!AI90)</f>
      </c>
      <c r="O91" s="74">
        <f>IF('Monthly Summary'!AJ90="",NA(),'Monthly Summary'!AJ90)</f>
      </c>
      <c r="P91" s="74">
        <f>IF('Monthly Summary'!AK90="",NA(),'Monthly Summary'!AK90)</f>
      </c>
      <c r="Q91" s="74">
        <f>IF('Monthly Summary'!AL90="",NA(),'Monthly Summary'!AL90)</f>
      </c>
      <c r="R91" s="74">
        <f>IF('Monthly Summary'!AM90="",NA(),'Monthly Summary'!AM90)</f>
      </c>
      <c r="S91" s="74">
        <f>IF('Monthly Summary'!C90="",NA(),'Monthly Summary'!C90)</f>
      </c>
    </row>
    <row r="92" spans="1:19" x14ac:dyDescent="0.2">
      <c r="A92" s="73">
        <f>'Monthly Summary'!A91</f>
      </c>
      <c r="B92" s="74">
        <f>IF('Monthly Summary'!W91="",NA(),'Monthly Summary'!W91)</f>
      </c>
      <c r="C92" s="74">
        <f>IF('Monthly Summary'!X91="",NA(),'Monthly Summary'!X91)</f>
      </c>
      <c r="D92" s="74">
        <f>IF('Monthly Summary'!Y91="",NA(),'Monthly Summary'!Y91)</f>
      </c>
      <c r="E92" s="74">
        <f>IF('Monthly Summary'!Z91="",NA(),'Monthly Summary'!Z91)</f>
      </c>
      <c r="F92" s="74">
        <f>IF('Monthly Summary'!AA91="",NA(),'Monthly Summary'!AA91)</f>
      </c>
      <c r="G92" s="74">
        <f>IF('Monthly Summary'!AB91="",NA(),'Monthly Summary'!AB91)</f>
      </c>
      <c r="H92" s="74">
        <f>IF('Monthly Summary'!AC91="",NA(),'Monthly Summary'!AC91)</f>
      </c>
      <c r="I92" s="74">
        <f>IF('Monthly Summary'!AD91="",NA(),'Monthly Summary'!AD91)</f>
      </c>
      <c r="J92" s="74">
        <f>IF('Monthly Summary'!AE91="",NA(),'Monthly Summary'!AE91)</f>
      </c>
      <c r="K92" s="74">
        <f>IF('Monthly Summary'!AF91="",NA(),'Monthly Summary'!AF91)</f>
      </c>
      <c r="L92" s="74">
        <f>IF('Monthly Summary'!AG91="",NA(),'Monthly Summary'!AG91)</f>
      </c>
      <c r="M92" s="74">
        <f>IF('Monthly Summary'!AH91="",NA(),'Monthly Summary'!AH91)</f>
      </c>
      <c r="N92" s="74">
        <f>IF('Monthly Summary'!AI91="",NA(),'Monthly Summary'!AI91)</f>
      </c>
      <c r="O92" s="74">
        <f>IF('Monthly Summary'!AJ91="",NA(),'Monthly Summary'!AJ91)</f>
      </c>
      <c r="P92" s="74">
        <f>IF('Monthly Summary'!AK91="",NA(),'Monthly Summary'!AK91)</f>
      </c>
      <c r="Q92" s="74">
        <f>IF('Monthly Summary'!AL91="",NA(),'Monthly Summary'!AL91)</f>
      </c>
      <c r="R92" s="74">
        <f>IF('Monthly Summary'!AM91="",NA(),'Monthly Summary'!AM91)</f>
      </c>
      <c r="S92" s="74">
        <f>IF('Monthly Summary'!C91="",NA(),'Monthly Summary'!C91)</f>
      </c>
    </row>
    <row r="93" spans="1:19" x14ac:dyDescent="0.2">
      <c r="A93" s="73">
        <f>'Monthly Summary'!A92</f>
      </c>
      <c r="B93" s="74">
        <f>IF('Monthly Summary'!W92="",NA(),'Monthly Summary'!W92)</f>
      </c>
      <c r="C93" s="74">
        <f>IF('Monthly Summary'!X92="",NA(),'Monthly Summary'!X92)</f>
      </c>
      <c r="D93" s="74">
        <f>IF('Monthly Summary'!Y92="",NA(),'Monthly Summary'!Y92)</f>
      </c>
      <c r="E93" s="74">
        <f>IF('Monthly Summary'!Z92="",NA(),'Monthly Summary'!Z92)</f>
      </c>
      <c r="F93" s="74">
        <f>IF('Monthly Summary'!AA92="",NA(),'Monthly Summary'!AA92)</f>
      </c>
      <c r="G93" s="74">
        <f>IF('Monthly Summary'!AB92="",NA(),'Monthly Summary'!AB92)</f>
      </c>
      <c r="H93" s="74">
        <f>IF('Monthly Summary'!AC92="",NA(),'Monthly Summary'!AC92)</f>
      </c>
      <c r="I93" s="74">
        <f>IF('Monthly Summary'!AD92="",NA(),'Monthly Summary'!AD92)</f>
      </c>
      <c r="J93" s="74">
        <f>IF('Monthly Summary'!AE92="",NA(),'Monthly Summary'!AE92)</f>
      </c>
      <c r="K93" s="74">
        <f>IF('Monthly Summary'!AF92="",NA(),'Monthly Summary'!AF92)</f>
      </c>
      <c r="L93" s="74">
        <f>IF('Monthly Summary'!AG92="",NA(),'Monthly Summary'!AG92)</f>
      </c>
      <c r="M93" s="74">
        <f>IF('Monthly Summary'!AH92="",NA(),'Monthly Summary'!AH92)</f>
      </c>
      <c r="N93" s="74">
        <f>IF('Monthly Summary'!AI92="",NA(),'Monthly Summary'!AI92)</f>
      </c>
      <c r="O93" s="74">
        <f>IF('Monthly Summary'!AJ92="",NA(),'Monthly Summary'!AJ92)</f>
      </c>
      <c r="P93" s="74">
        <f>IF('Monthly Summary'!AK92="",NA(),'Monthly Summary'!AK92)</f>
      </c>
      <c r="Q93" s="74">
        <f>IF('Monthly Summary'!AL92="",NA(),'Monthly Summary'!AL92)</f>
      </c>
      <c r="R93" s="74">
        <f>IF('Monthly Summary'!AM92="",NA(),'Monthly Summary'!AM92)</f>
      </c>
      <c r="S93" s="74">
        <f>IF('Monthly Summary'!C92="",NA(),'Monthly Summary'!C92)</f>
      </c>
    </row>
    <row r="94" spans="1:19" x14ac:dyDescent="0.2">
      <c r="A94" s="73">
        <f>'Monthly Summary'!A93</f>
      </c>
      <c r="B94" s="74">
        <f>IF('Monthly Summary'!W93="",NA(),'Monthly Summary'!W93)</f>
      </c>
      <c r="C94" s="74">
        <f>IF('Monthly Summary'!X93="",NA(),'Monthly Summary'!X93)</f>
      </c>
      <c r="D94" s="74">
        <f>IF('Monthly Summary'!Y93="",NA(),'Monthly Summary'!Y93)</f>
      </c>
      <c r="E94" s="74">
        <f>IF('Monthly Summary'!Z93="",NA(),'Monthly Summary'!Z93)</f>
      </c>
      <c r="F94" s="74">
        <f>IF('Monthly Summary'!AA93="",NA(),'Monthly Summary'!AA93)</f>
      </c>
      <c r="G94" s="74">
        <f>IF('Monthly Summary'!AB93="",NA(),'Monthly Summary'!AB93)</f>
      </c>
      <c r="H94" s="74">
        <f>IF('Monthly Summary'!AC93="",NA(),'Monthly Summary'!AC93)</f>
      </c>
      <c r="I94" s="74">
        <f>IF('Monthly Summary'!AD93="",NA(),'Monthly Summary'!AD93)</f>
      </c>
      <c r="J94" s="74">
        <f>IF('Monthly Summary'!AE93="",NA(),'Monthly Summary'!AE93)</f>
      </c>
      <c r="K94" s="74">
        <f>IF('Monthly Summary'!AF93="",NA(),'Monthly Summary'!AF93)</f>
      </c>
      <c r="L94" s="74">
        <f>IF('Monthly Summary'!AG93="",NA(),'Monthly Summary'!AG93)</f>
      </c>
      <c r="M94" s="74">
        <f>IF('Monthly Summary'!AH93="",NA(),'Monthly Summary'!AH93)</f>
      </c>
      <c r="N94" s="74">
        <f>IF('Monthly Summary'!AI93="",NA(),'Monthly Summary'!AI93)</f>
      </c>
      <c r="O94" s="74">
        <f>IF('Monthly Summary'!AJ93="",NA(),'Monthly Summary'!AJ93)</f>
      </c>
      <c r="P94" s="74">
        <f>IF('Monthly Summary'!AK93="",NA(),'Monthly Summary'!AK93)</f>
      </c>
      <c r="Q94" s="74">
        <f>IF('Monthly Summary'!AL93="",NA(),'Monthly Summary'!AL93)</f>
      </c>
      <c r="R94" s="74">
        <f>IF('Monthly Summary'!AM93="",NA(),'Monthly Summary'!AM93)</f>
      </c>
      <c r="S94" s="74">
        <f>IF('Monthly Summary'!C93="",NA(),'Monthly Summary'!C93)</f>
      </c>
    </row>
    <row r="95" spans="1:19" x14ac:dyDescent="0.2">
      <c r="A95" s="73">
        <f>'Monthly Summary'!A94</f>
      </c>
      <c r="B95" s="74">
        <f>IF('Monthly Summary'!W94="",NA(),'Monthly Summary'!W94)</f>
      </c>
      <c r="C95" s="74">
        <f>IF('Monthly Summary'!X94="",NA(),'Monthly Summary'!X94)</f>
      </c>
      <c r="D95" s="74">
        <f>IF('Monthly Summary'!Y94="",NA(),'Monthly Summary'!Y94)</f>
      </c>
      <c r="E95" s="74">
        <f>IF('Monthly Summary'!Z94="",NA(),'Monthly Summary'!Z94)</f>
      </c>
      <c r="F95" s="74">
        <f>IF('Monthly Summary'!AA94="",NA(),'Monthly Summary'!AA94)</f>
      </c>
      <c r="G95" s="74">
        <f>IF('Monthly Summary'!AB94="",NA(),'Monthly Summary'!AB94)</f>
      </c>
      <c r="H95" s="74">
        <f>IF('Monthly Summary'!AC94="",NA(),'Monthly Summary'!AC94)</f>
      </c>
      <c r="I95" s="74">
        <f>IF('Monthly Summary'!AD94="",NA(),'Monthly Summary'!AD94)</f>
      </c>
      <c r="J95" s="74">
        <f>IF('Monthly Summary'!AE94="",NA(),'Monthly Summary'!AE94)</f>
      </c>
      <c r="K95" s="74">
        <f>IF('Monthly Summary'!AF94="",NA(),'Monthly Summary'!AF94)</f>
      </c>
      <c r="L95" s="74">
        <f>IF('Monthly Summary'!AG94="",NA(),'Monthly Summary'!AG94)</f>
      </c>
      <c r="M95" s="74">
        <f>IF('Monthly Summary'!AH94="",NA(),'Monthly Summary'!AH94)</f>
      </c>
      <c r="N95" s="74">
        <f>IF('Monthly Summary'!AI94="",NA(),'Monthly Summary'!AI94)</f>
      </c>
      <c r="O95" s="74">
        <f>IF('Monthly Summary'!AJ94="",NA(),'Monthly Summary'!AJ94)</f>
      </c>
      <c r="P95" s="74">
        <f>IF('Monthly Summary'!AK94="",NA(),'Monthly Summary'!AK94)</f>
      </c>
      <c r="Q95" s="74">
        <f>IF('Monthly Summary'!AL94="",NA(),'Monthly Summary'!AL94)</f>
      </c>
      <c r="R95" s="74">
        <f>IF('Monthly Summary'!AM94="",NA(),'Monthly Summary'!AM94)</f>
      </c>
      <c r="S95" s="74">
        <f>IF('Monthly Summary'!C94="",NA(),'Monthly Summary'!C94)</f>
      </c>
    </row>
    <row r="96" spans="1:19" x14ac:dyDescent="0.2">
      <c r="A96" s="73">
        <f>'Monthly Summary'!A95</f>
      </c>
      <c r="B96" s="74">
        <f>IF('Monthly Summary'!W95="",NA(),'Monthly Summary'!W95)</f>
      </c>
      <c r="C96" s="74">
        <f>IF('Monthly Summary'!X95="",NA(),'Monthly Summary'!X95)</f>
      </c>
      <c r="D96" s="74">
        <f>IF('Monthly Summary'!Y95="",NA(),'Monthly Summary'!Y95)</f>
      </c>
      <c r="E96" s="74">
        <f>IF('Monthly Summary'!Z95="",NA(),'Monthly Summary'!Z95)</f>
      </c>
      <c r="F96" s="74">
        <f>IF('Monthly Summary'!AA95="",NA(),'Monthly Summary'!AA95)</f>
      </c>
      <c r="G96" s="74">
        <f>IF('Monthly Summary'!AB95="",NA(),'Monthly Summary'!AB95)</f>
      </c>
      <c r="H96" s="74">
        <f>IF('Monthly Summary'!AC95="",NA(),'Monthly Summary'!AC95)</f>
      </c>
      <c r="I96" s="74">
        <f>IF('Monthly Summary'!AD95="",NA(),'Monthly Summary'!AD95)</f>
      </c>
      <c r="J96" s="74">
        <f>IF('Monthly Summary'!AE95="",NA(),'Monthly Summary'!AE95)</f>
      </c>
      <c r="K96" s="74">
        <f>IF('Monthly Summary'!AF95="",NA(),'Monthly Summary'!AF95)</f>
      </c>
      <c r="L96" s="74">
        <f>IF('Monthly Summary'!AG95="",NA(),'Monthly Summary'!AG95)</f>
      </c>
      <c r="M96" s="74">
        <f>IF('Monthly Summary'!AH95="",NA(),'Monthly Summary'!AH95)</f>
      </c>
      <c r="N96" s="74">
        <f>IF('Monthly Summary'!AI95="",NA(),'Monthly Summary'!AI95)</f>
      </c>
      <c r="O96" s="74">
        <f>IF('Monthly Summary'!AJ95="",NA(),'Monthly Summary'!AJ95)</f>
      </c>
      <c r="P96" s="74">
        <f>IF('Monthly Summary'!AK95="",NA(),'Monthly Summary'!AK95)</f>
      </c>
      <c r="Q96" s="74">
        <f>IF('Monthly Summary'!AL95="",NA(),'Monthly Summary'!AL95)</f>
      </c>
      <c r="R96" s="74">
        <f>IF('Monthly Summary'!AM95="",NA(),'Monthly Summary'!AM95)</f>
      </c>
      <c r="S96" s="74">
        <f>IF('Monthly Summary'!C95="",NA(),'Monthly Summary'!C95)</f>
      </c>
    </row>
    <row r="97" spans="1:19" x14ac:dyDescent="0.2">
      <c r="A97" s="73">
        <f>'Monthly Summary'!A96</f>
      </c>
      <c r="B97" s="74">
        <f>IF('Monthly Summary'!W96="",NA(),'Monthly Summary'!W96)</f>
      </c>
      <c r="C97" s="74">
        <f>IF('Monthly Summary'!X96="",NA(),'Monthly Summary'!X96)</f>
      </c>
      <c r="D97" s="74">
        <f>IF('Monthly Summary'!Y96="",NA(),'Monthly Summary'!Y96)</f>
      </c>
      <c r="E97" s="74">
        <f>IF('Monthly Summary'!Z96="",NA(),'Monthly Summary'!Z96)</f>
      </c>
      <c r="F97" s="74">
        <f>IF('Monthly Summary'!AA96="",NA(),'Monthly Summary'!AA96)</f>
      </c>
      <c r="G97" s="74">
        <f>IF('Monthly Summary'!AB96="",NA(),'Monthly Summary'!AB96)</f>
      </c>
      <c r="H97" s="74">
        <f>IF('Monthly Summary'!AC96="",NA(),'Monthly Summary'!AC96)</f>
      </c>
      <c r="I97" s="74">
        <f>IF('Monthly Summary'!AD96="",NA(),'Monthly Summary'!AD96)</f>
      </c>
      <c r="J97" s="74">
        <f>IF('Monthly Summary'!AE96="",NA(),'Monthly Summary'!AE96)</f>
      </c>
      <c r="K97" s="74">
        <f>IF('Monthly Summary'!AF96="",NA(),'Monthly Summary'!AF96)</f>
      </c>
      <c r="L97" s="74">
        <f>IF('Monthly Summary'!AG96="",NA(),'Monthly Summary'!AG96)</f>
      </c>
      <c r="M97" s="74">
        <f>IF('Monthly Summary'!AH96="",NA(),'Monthly Summary'!AH96)</f>
      </c>
      <c r="N97" s="74">
        <f>IF('Monthly Summary'!AI96="",NA(),'Monthly Summary'!AI96)</f>
      </c>
      <c r="O97" s="74">
        <f>IF('Monthly Summary'!AJ96="",NA(),'Monthly Summary'!AJ96)</f>
      </c>
      <c r="P97" s="74">
        <f>IF('Monthly Summary'!AK96="",NA(),'Monthly Summary'!AK96)</f>
      </c>
      <c r="Q97" s="74">
        <f>IF('Monthly Summary'!AL96="",NA(),'Monthly Summary'!AL96)</f>
      </c>
      <c r="R97" s="74">
        <f>IF('Monthly Summary'!AM96="",NA(),'Monthly Summary'!AM96)</f>
      </c>
      <c r="S97" s="74">
        <f>IF('Monthly Summary'!C96="",NA(),'Monthly Summary'!C96)</f>
      </c>
    </row>
    <row r="98" spans="1:19" x14ac:dyDescent="0.2">
      <c r="A98" s="73">
        <f>'Monthly Summary'!A97</f>
      </c>
      <c r="B98" s="74">
        <f>IF('Monthly Summary'!W97="",NA(),'Monthly Summary'!W97)</f>
      </c>
      <c r="C98" s="74">
        <f>IF('Monthly Summary'!X97="",NA(),'Monthly Summary'!X97)</f>
      </c>
      <c r="D98" s="74">
        <f>IF('Monthly Summary'!Y97="",NA(),'Monthly Summary'!Y97)</f>
      </c>
      <c r="E98" s="74">
        <f>IF('Monthly Summary'!Z97="",NA(),'Monthly Summary'!Z97)</f>
      </c>
      <c r="F98" s="74">
        <f>IF('Monthly Summary'!AA97="",NA(),'Monthly Summary'!AA97)</f>
      </c>
      <c r="G98" s="74">
        <f>IF('Monthly Summary'!AB97="",NA(),'Monthly Summary'!AB97)</f>
      </c>
      <c r="H98" s="74">
        <f>IF('Monthly Summary'!AC97="",NA(),'Monthly Summary'!AC97)</f>
      </c>
      <c r="I98" s="74">
        <f>IF('Monthly Summary'!AD97="",NA(),'Monthly Summary'!AD97)</f>
      </c>
      <c r="J98" s="74">
        <f>IF('Monthly Summary'!AE97="",NA(),'Monthly Summary'!AE97)</f>
      </c>
      <c r="K98" s="74">
        <f>IF('Monthly Summary'!AF97="",NA(),'Monthly Summary'!AF97)</f>
      </c>
      <c r="L98" s="74">
        <f>IF('Monthly Summary'!AG97="",NA(),'Monthly Summary'!AG97)</f>
      </c>
      <c r="M98" s="74">
        <f>IF('Monthly Summary'!AH97="",NA(),'Monthly Summary'!AH97)</f>
      </c>
      <c r="N98" s="74">
        <f>IF('Monthly Summary'!AI97="",NA(),'Monthly Summary'!AI97)</f>
      </c>
      <c r="O98" s="74">
        <f>IF('Monthly Summary'!AJ97="",NA(),'Monthly Summary'!AJ97)</f>
      </c>
      <c r="P98" s="74">
        <f>IF('Monthly Summary'!AK97="",NA(),'Monthly Summary'!AK97)</f>
      </c>
      <c r="Q98" s="74">
        <f>IF('Monthly Summary'!AL97="",NA(),'Monthly Summary'!AL97)</f>
      </c>
      <c r="R98" s="74">
        <f>IF('Monthly Summary'!AM97="",NA(),'Monthly Summary'!AM97)</f>
      </c>
      <c r="S98" s="74">
        <f>IF('Monthly Summary'!C97="",NA(),'Monthly Summary'!C97)</f>
      </c>
    </row>
    <row r="99" spans="1:19" x14ac:dyDescent="0.2">
      <c r="A99" s="73">
        <f>'Monthly Summary'!A98</f>
      </c>
      <c r="B99" s="74">
        <f>IF('Monthly Summary'!W98="",NA(),'Monthly Summary'!W98)</f>
      </c>
      <c r="C99" s="74">
        <f>IF('Monthly Summary'!X98="",NA(),'Monthly Summary'!X98)</f>
      </c>
      <c r="D99" s="74">
        <f>IF('Monthly Summary'!Y98="",NA(),'Monthly Summary'!Y98)</f>
      </c>
      <c r="E99" s="74">
        <f>IF('Monthly Summary'!Z98="",NA(),'Monthly Summary'!Z98)</f>
      </c>
      <c r="F99" s="74">
        <f>IF('Monthly Summary'!AA98="",NA(),'Monthly Summary'!AA98)</f>
      </c>
      <c r="G99" s="74">
        <f>IF('Monthly Summary'!AB98="",NA(),'Monthly Summary'!AB98)</f>
      </c>
      <c r="H99" s="74">
        <f>IF('Monthly Summary'!AC98="",NA(),'Monthly Summary'!AC98)</f>
      </c>
      <c r="I99" s="74">
        <f>IF('Monthly Summary'!AD98="",NA(),'Monthly Summary'!AD98)</f>
      </c>
      <c r="J99" s="74">
        <f>IF('Monthly Summary'!AE98="",NA(),'Monthly Summary'!AE98)</f>
      </c>
      <c r="K99" s="74">
        <f>IF('Monthly Summary'!AF98="",NA(),'Monthly Summary'!AF98)</f>
      </c>
      <c r="L99" s="74">
        <f>IF('Monthly Summary'!AG98="",NA(),'Monthly Summary'!AG98)</f>
      </c>
      <c r="M99" s="74">
        <f>IF('Monthly Summary'!AH98="",NA(),'Monthly Summary'!AH98)</f>
      </c>
      <c r="N99" s="74">
        <f>IF('Monthly Summary'!AI98="",NA(),'Monthly Summary'!AI98)</f>
      </c>
      <c r="O99" s="74">
        <f>IF('Monthly Summary'!AJ98="",NA(),'Monthly Summary'!AJ98)</f>
      </c>
      <c r="P99" s="74">
        <f>IF('Monthly Summary'!AK98="",NA(),'Monthly Summary'!AK98)</f>
      </c>
      <c r="Q99" s="74">
        <f>IF('Monthly Summary'!AL98="",NA(),'Monthly Summary'!AL98)</f>
      </c>
      <c r="R99" s="74">
        <f>IF('Monthly Summary'!AM98="",NA(),'Monthly Summary'!AM98)</f>
      </c>
      <c r="S99" s="74">
        <f>IF('Monthly Summary'!C98="",NA(),'Monthly Summary'!C98)</f>
      </c>
    </row>
    <row r="100" spans="1:19" x14ac:dyDescent="0.2">
      <c r="A100" s="73">
        <f>'Monthly Summary'!A99</f>
      </c>
      <c r="B100" s="74">
        <f>IF('Monthly Summary'!W99="",NA(),'Monthly Summary'!W99)</f>
      </c>
      <c r="C100" s="74">
        <f>IF('Monthly Summary'!X99="",NA(),'Monthly Summary'!X99)</f>
      </c>
      <c r="D100" s="74">
        <f>IF('Monthly Summary'!Y99="",NA(),'Monthly Summary'!Y99)</f>
      </c>
      <c r="E100" s="74">
        <f>IF('Monthly Summary'!Z99="",NA(),'Monthly Summary'!Z99)</f>
      </c>
      <c r="F100" s="74">
        <f>IF('Monthly Summary'!AA99="",NA(),'Monthly Summary'!AA99)</f>
      </c>
      <c r="G100" s="74">
        <f>IF('Monthly Summary'!AB99="",NA(),'Monthly Summary'!AB99)</f>
      </c>
      <c r="H100" s="74">
        <f>IF('Monthly Summary'!AC99="",NA(),'Monthly Summary'!AC99)</f>
      </c>
      <c r="I100" s="74">
        <f>IF('Monthly Summary'!AD99="",NA(),'Monthly Summary'!AD99)</f>
      </c>
      <c r="J100" s="74">
        <f>IF('Monthly Summary'!AE99="",NA(),'Monthly Summary'!AE99)</f>
      </c>
      <c r="K100" s="74">
        <f>IF('Monthly Summary'!AF99="",NA(),'Monthly Summary'!AF99)</f>
      </c>
      <c r="L100" s="74">
        <f>IF('Monthly Summary'!AG99="",NA(),'Monthly Summary'!AG99)</f>
      </c>
      <c r="M100" s="74">
        <f>IF('Monthly Summary'!AH99="",NA(),'Monthly Summary'!AH99)</f>
      </c>
      <c r="N100" s="74">
        <f>IF('Monthly Summary'!AI99="",NA(),'Monthly Summary'!AI99)</f>
      </c>
      <c r="O100" s="74">
        <f>IF('Monthly Summary'!AJ99="",NA(),'Monthly Summary'!AJ99)</f>
      </c>
      <c r="P100" s="74">
        <f>IF('Monthly Summary'!AK99="",NA(),'Monthly Summary'!AK99)</f>
      </c>
      <c r="Q100" s="74">
        <f>IF('Monthly Summary'!AL99="",NA(),'Monthly Summary'!AL99)</f>
      </c>
      <c r="R100" s="74">
        <f>IF('Monthly Summary'!AM99="",NA(),'Monthly Summary'!AM99)</f>
      </c>
      <c r="S100" s="74">
        <f>IF('Monthly Summary'!C99="",NA(),'Monthly Summary'!C99)</f>
      </c>
    </row>
    <row r="101" spans="1:19" x14ac:dyDescent="0.2">
      <c r="A101" s="73">
        <f>'Monthly Summary'!A100</f>
      </c>
      <c r="B101" s="74">
        <f>IF('Monthly Summary'!W100="",NA(),'Monthly Summary'!W100)</f>
      </c>
      <c r="C101" s="74">
        <f>IF('Monthly Summary'!X100="",NA(),'Monthly Summary'!X100)</f>
      </c>
      <c r="D101" s="74">
        <f>IF('Monthly Summary'!Y100="",NA(),'Monthly Summary'!Y100)</f>
      </c>
      <c r="E101" s="74">
        <f>IF('Monthly Summary'!Z100="",NA(),'Monthly Summary'!Z100)</f>
      </c>
      <c r="F101" s="74">
        <f>IF('Monthly Summary'!AA100="",NA(),'Monthly Summary'!AA100)</f>
      </c>
      <c r="G101" s="74">
        <f>IF('Monthly Summary'!AB100="",NA(),'Monthly Summary'!AB100)</f>
      </c>
      <c r="H101" s="74">
        <f>IF('Monthly Summary'!AC100="",NA(),'Monthly Summary'!AC100)</f>
      </c>
      <c r="I101" s="74">
        <f>IF('Monthly Summary'!AD100="",NA(),'Monthly Summary'!AD100)</f>
      </c>
      <c r="J101" s="74">
        <f>IF('Monthly Summary'!AE100="",NA(),'Monthly Summary'!AE100)</f>
      </c>
      <c r="K101" s="74">
        <f>IF('Monthly Summary'!AF100="",NA(),'Monthly Summary'!AF100)</f>
      </c>
      <c r="L101" s="74">
        <f>IF('Monthly Summary'!AG100="",NA(),'Monthly Summary'!AG100)</f>
      </c>
      <c r="M101" s="74">
        <f>IF('Monthly Summary'!AH100="",NA(),'Monthly Summary'!AH100)</f>
      </c>
      <c r="N101" s="74">
        <f>IF('Monthly Summary'!AI100="",NA(),'Monthly Summary'!AI100)</f>
      </c>
      <c r="O101" s="74">
        <f>IF('Monthly Summary'!AJ100="",NA(),'Monthly Summary'!AJ100)</f>
      </c>
      <c r="P101" s="74">
        <f>IF('Monthly Summary'!AK100="",NA(),'Monthly Summary'!AK100)</f>
      </c>
      <c r="Q101" s="74">
        <f>IF('Monthly Summary'!AL100="",NA(),'Monthly Summary'!AL100)</f>
      </c>
      <c r="R101" s="74">
        <f>IF('Monthly Summary'!AM100="",NA(),'Monthly Summary'!AM100)</f>
      </c>
      <c r="S101" s="74">
        <f>IF('Monthly Summary'!C100="",NA(),'Monthly Summary'!C100)</f>
      </c>
    </row>
    <row r="102" spans="1:19" x14ac:dyDescent="0.2">
      <c r="A102" s="73">
        <f>'Monthly Summary'!A101</f>
      </c>
      <c r="B102" s="74">
        <f>IF('Monthly Summary'!W101="",NA(),'Monthly Summary'!W101)</f>
      </c>
      <c r="C102" s="74">
        <f>IF('Monthly Summary'!X101="",NA(),'Monthly Summary'!X101)</f>
      </c>
      <c r="D102" s="74">
        <f>IF('Monthly Summary'!Y101="",NA(),'Monthly Summary'!Y101)</f>
      </c>
      <c r="E102" s="74">
        <f>IF('Monthly Summary'!Z101="",NA(),'Monthly Summary'!Z101)</f>
      </c>
      <c r="F102" s="74">
        <f>IF('Monthly Summary'!AA101="",NA(),'Monthly Summary'!AA101)</f>
      </c>
      <c r="G102" s="74">
        <f>IF('Monthly Summary'!AB101="",NA(),'Monthly Summary'!AB101)</f>
      </c>
      <c r="H102" s="74">
        <f>IF('Monthly Summary'!AC101="",NA(),'Monthly Summary'!AC101)</f>
      </c>
      <c r="I102" s="74">
        <f>IF('Monthly Summary'!AD101="",NA(),'Monthly Summary'!AD101)</f>
      </c>
      <c r="J102" s="74">
        <f>IF('Monthly Summary'!AE101="",NA(),'Monthly Summary'!AE101)</f>
      </c>
      <c r="K102" s="74">
        <f>IF('Monthly Summary'!AF101="",NA(),'Monthly Summary'!AF101)</f>
      </c>
      <c r="L102" s="74">
        <f>IF('Monthly Summary'!AG101="",NA(),'Monthly Summary'!AG101)</f>
      </c>
      <c r="M102" s="74">
        <f>IF('Monthly Summary'!AH101="",NA(),'Monthly Summary'!AH101)</f>
      </c>
      <c r="N102" s="74">
        <f>IF('Monthly Summary'!AI101="",NA(),'Monthly Summary'!AI101)</f>
      </c>
      <c r="O102" s="74">
        <f>IF('Monthly Summary'!AJ101="",NA(),'Monthly Summary'!AJ101)</f>
      </c>
      <c r="P102" s="74">
        <f>IF('Monthly Summary'!AK101="",NA(),'Monthly Summary'!AK101)</f>
      </c>
      <c r="Q102" s="74">
        <f>IF('Monthly Summary'!AL101="",NA(),'Monthly Summary'!AL101)</f>
      </c>
      <c r="R102" s="74">
        <f>IF('Monthly Summary'!AM101="",NA(),'Monthly Summary'!AM101)</f>
      </c>
      <c r="S102" s="74">
        <f>IF('Monthly Summary'!C101="",NA(),'Monthly Summary'!C101)</f>
      </c>
    </row>
    <row r="103" spans="1:19" x14ac:dyDescent="0.2">
      <c r="A103" s="73">
        <f>'Monthly Summary'!A102</f>
      </c>
      <c r="B103" s="74">
        <f>IF('Monthly Summary'!W102="",NA(),'Monthly Summary'!W102)</f>
      </c>
      <c r="C103" s="74">
        <f>IF('Monthly Summary'!X102="",NA(),'Monthly Summary'!X102)</f>
      </c>
      <c r="D103" s="74">
        <f>IF('Monthly Summary'!Y102="",NA(),'Monthly Summary'!Y102)</f>
      </c>
      <c r="E103" s="74">
        <f>IF('Monthly Summary'!Z102="",NA(),'Monthly Summary'!Z102)</f>
      </c>
      <c r="F103" s="74">
        <f>IF('Monthly Summary'!AA102="",NA(),'Monthly Summary'!AA102)</f>
      </c>
      <c r="G103" s="74">
        <f>IF('Monthly Summary'!AB102="",NA(),'Monthly Summary'!AB102)</f>
      </c>
      <c r="H103" s="74">
        <f>IF('Monthly Summary'!AC102="",NA(),'Monthly Summary'!AC102)</f>
      </c>
      <c r="I103" s="74">
        <f>IF('Monthly Summary'!AD102="",NA(),'Monthly Summary'!AD102)</f>
      </c>
      <c r="J103" s="74">
        <f>IF('Monthly Summary'!AE102="",NA(),'Monthly Summary'!AE102)</f>
      </c>
      <c r="K103" s="74">
        <f>IF('Monthly Summary'!AF102="",NA(),'Monthly Summary'!AF102)</f>
      </c>
      <c r="L103" s="74">
        <f>IF('Monthly Summary'!AG102="",NA(),'Monthly Summary'!AG102)</f>
      </c>
      <c r="M103" s="74">
        <f>IF('Monthly Summary'!AH102="",NA(),'Monthly Summary'!AH102)</f>
      </c>
      <c r="N103" s="74">
        <f>IF('Monthly Summary'!AI102="",NA(),'Monthly Summary'!AI102)</f>
      </c>
      <c r="O103" s="74">
        <f>IF('Monthly Summary'!AJ102="",NA(),'Monthly Summary'!AJ102)</f>
      </c>
      <c r="P103" s="74">
        <f>IF('Monthly Summary'!AK102="",NA(),'Monthly Summary'!AK102)</f>
      </c>
      <c r="Q103" s="74">
        <f>IF('Monthly Summary'!AL102="",NA(),'Monthly Summary'!AL102)</f>
      </c>
      <c r="R103" s="74">
        <f>IF('Monthly Summary'!AM102="",NA(),'Monthly Summary'!AM102)</f>
      </c>
      <c r="S103" s="74">
        <f>IF('Monthly Summary'!C102="",NA(),'Monthly Summary'!C102)</f>
      </c>
    </row>
    <row r="104" spans="1:19" x14ac:dyDescent="0.2">
      <c r="A104" s="73">
        <f>'Monthly Summary'!A103</f>
      </c>
      <c r="B104" s="74">
        <f>IF('Monthly Summary'!W103="",NA(),'Monthly Summary'!W103)</f>
      </c>
      <c r="C104" s="74">
        <f>IF('Monthly Summary'!X103="",NA(),'Monthly Summary'!X103)</f>
      </c>
      <c r="D104" s="74">
        <f>IF('Monthly Summary'!Y103="",NA(),'Monthly Summary'!Y103)</f>
      </c>
      <c r="E104" s="74">
        <f>IF('Monthly Summary'!Z103="",NA(),'Monthly Summary'!Z103)</f>
      </c>
      <c r="F104" s="74">
        <f>IF('Monthly Summary'!AA103="",NA(),'Monthly Summary'!AA103)</f>
      </c>
      <c r="G104" s="74">
        <f>IF('Monthly Summary'!AB103="",NA(),'Monthly Summary'!AB103)</f>
      </c>
      <c r="H104" s="74">
        <f>IF('Monthly Summary'!AC103="",NA(),'Monthly Summary'!AC103)</f>
      </c>
      <c r="I104" s="74">
        <f>IF('Monthly Summary'!AD103="",NA(),'Monthly Summary'!AD103)</f>
      </c>
      <c r="J104" s="74">
        <f>IF('Monthly Summary'!AE103="",NA(),'Monthly Summary'!AE103)</f>
      </c>
      <c r="K104" s="74">
        <f>IF('Monthly Summary'!AF103="",NA(),'Monthly Summary'!AF103)</f>
      </c>
      <c r="L104" s="74">
        <f>IF('Monthly Summary'!AG103="",NA(),'Monthly Summary'!AG103)</f>
      </c>
      <c r="M104" s="74">
        <f>IF('Monthly Summary'!AH103="",NA(),'Monthly Summary'!AH103)</f>
      </c>
      <c r="N104" s="74">
        <f>IF('Monthly Summary'!AI103="",NA(),'Monthly Summary'!AI103)</f>
      </c>
      <c r="O104" s="74">
        <f>IF('Monthly Summary'!AJ103="",NA(),'Monthly Summary'!AJ103)</f>
      </c>
      <c r="P104" s="74">
        <f>IF('Monthly Summary'!AK103="",NA(),'Monthly Summary'!AK103)</f>
      </c>
      <c r="Q104" s="74">
        <f>IF('Monthly Summary'!AL103="",NA(),'Monthly Summary'!AL103)</f>
      </c>
      <c r="R104" s="74">
        <f>IF('Monthly Summary'!AM103="",NA(),'Monthly Summary'!AM103)</f>
      </c>
      <c r="S104" s="74">
        <f>IF('Monthly Summary'!C103="",NA(),'Monthly Summary'!C103)</f>
      </c>
    </row>
    <row r="105" spans="1:19" x14ac:dyDescent="0.2">
      <c r="A105" s="73">
        <f>'Monthly Summary'!A104</f>
      </c>
      <c r="B105" s="74">
        <f>IF('Monthly Summary'!W104="",NA(),'Monthly Summary'!W104)</f>
      </c>
      <c r="C105" s="74">
        <f>IF('Monthly Summary'!X104="",NA(),'Monthly Summary'!X104)</f>
      </c>
      <c r="D105" s="74">
        <f>IF('Monthly Summary'!Y104="",NA(),'Monthly Summary'!Y104)</f>
      </c>
      <c r="E105" s="74">
        <f>IF('Monthly Summary'!Z104="",NA(),'Monthly Summary'!Z104)</f>
      </c>
      <c r="F105" s="74">
        <f>IF('Monthly Summary'!AA104="",NA(),'Monthly Summary'!AA104)</f>
      </c>
      <c r="G105" s="74">
        <f>IF('Monthly Summary'!AB104="",NA(),'Monthly Summary'!AB104)</f>
      </c>
      <c r="H105" s="74">
        <f>IF('Monthly Summary'!AC104="",NA(),'Monthly Summary'!AC104)</f>
      </c>
      <c r="I105" s="74">
        <f>IF('Monthly Summary'!AD104="",NA(),'Monthly Summary'!AD104)</f>
      </c>
      <c r="J105" s="74">
        <f>IF('Monthly Summary'!AE104="",NA(),'Monthly Summary'!AE104)</f>
      </c>
      <c r="K105" s="74">
        <f>IF('Monthly Summary'!AF104="",NA(),'Monthly Summary'!AF104)</f>
      </c>
      <c r="L105" s="74">
        <f>IF('Monthly Summary'!AG104="",NA(),'Monthly Summary'!AG104)</f>
      </c>
      <c r="M105" s="74">
        <f>IF('Monthly Summary'!AH104="",NA(),'Monthly Summary'!AH104)</f>
      </c>
      <c r="N105" s="74">
        <f>IF('Monthly Summary'!AI104="",NA(),'Monthly Summary'!AI104)</f>
      </c>
      <c r="O105" s="74">
        <f>IF('Monthly Summary'!AJ104="",NA(),'Monthly Summary'!AJ104)</f>
      </c>
      <c r="P105" s="74">
        <f>IF('Monthly Summary'!AK104="",NA(),'Monthly Summary'!AK104)</f>
      </c>
      <c r="Q105" s="74">
        <f>IF('Monthly Summary'!AL104="",NA(),'Monthly Summary'!AL104)</f>
      </c>
      <c r="R105" s="74">
        <f>IF('Monthly Summary'!AM104="",NA(),'Monthly Summary'!AM104)</f>
      </c>
      <c r="S105" s="74">
        <f>IF('Monthly Summary'!C104="",NA(),'Monthly Summary'!C104)</f>
      </c>
    </row>
    <row r="106" spans="1:19" x14ac:dyDescent="0.2">
      <c r="A106" s="73">
        <f>'Monthly Summary'!A105</f>
      </c>
      <c r="B106" s="74">
        <f>IF('Monthly Summary'!W105="",NA(),'Monthly Summary'!W105)</f>
      </c>
      <c r="C106" s="74">
        <f>IF('Monthly Summary'!X105="",NA(),'Monthly Summary'!X105)</f>
      </c>
      <c r="D106" s="74">
        <f>IF('Monthly Summary'!Y105="",NA(),'Monthly Summary'!Y105)</f>
      </c>
      <c r="E106" s="74">
        <f>IF('Monthly Summary'!Z105="",NA(),'Monthly Summary'!Z105)</f>
      </c>
      <c r="F106" s="74">
        <f>IF('Monthly Summary'!AA105="",NA(),'Monthly Summary'!AA105)</f>
      </c>
      <c r="G106" s="74">
        <f>IF('Monthly Summary'!AB105="",NA(),'Monthly Summary'!AB105)</f>
      </c>
      <c r="H106" s="74">
        <f>IF('Monthly Summary'!AC105="",NA(),'Monthly Summary'!AC105)</f>
      </c>
      <c r="I106" s="74">
        <f>IF('Monthly Summary'!AD105="",NA(),'Monthly Summary'!AD105)</f>
      </c>
      <c r="J106" s="74">
        <f>IF('Monthly Summary'!AE105="",NA(),'Monthly Summary'!AE105)</f>
      </c>
      <c r="K106" s="74">
        <f>IF('Monthly Summary'!AF105="",NA(),'Monthly Summary'!AF105)</f>
      </c>
      <c r="L106" s="74">
        <f>IF('Monthly Summary'!AG105="",NA(),'Monthly Summary'!AG105)</f>
      </c>
      <c r="M106" s="74">
        <f>IF('Monthly Summary'!AH105="",NA(),'Monthly Summary'!AH105)</f>
      </c>
      <c r="N106" s="74">
        <f>IF('Monthly Summary'!AI105="",NA(),'Monthly Summary'!AI105)</f>
      </c>
      <c r="O106" s="74">
        <f>IF('Monthly Summary'!AJ105="",NA(),'Monthly Summary'!AJ105)</f>
      </c>
      <c r="P106" s="74">
        <f>IF('Monthly Summary'!AK105="",NA(),'Monthly Summary'!AK105)</f>
      </c>
      <c r="Q106" s="74">
        <f>IF('Monthly Summary'!AL105="",NA(),'Monthly Summary'!AL105)</f>
      </c>
      <c r="R106" s="74">
        <f>IF('Monthly Summary'!AM105="",NA(),'Monthly Summary'!AM105)</f>
      </c>
      <c r="S106" s="74">
        <f>IF('Monthly Summary'!C105="",NA(),'Monthly Summary'!C105)</f>
      </c>
    </row>
    <row r="107" spans="1:19" x14ac:dyDescent="0.2">
      <c r="A107" s="73">
        <f>'Monthly Summary'!A106</f>
      </c>
      <c r="B107" s="74">
        <f>IF('Monthly Summary'!W106="",NA(),'Monthly Summary'!W106)</f>
      </c>
      <c r="C107" s="74">
        <f>IF('Monthly Summary'!X106="",NA(),'Monthly Summary'!X106)</f>
      </c>
      <c r="D107" s="74">
        <f>IF('Monthly Summary'!Y106="",NA(),'Monthly Summary'!Y106)</f>
      </c>
      <c r="E107" s="74">
        <f>IF('Monthly Summary'!Z106="",NA(),'Monthly Summary'!Z106)</f>
      </c>
      <c r="F107" s="74">
        <f>IF('Monthly Summary'!AA106="",NA(),'Monthly Summary'!AA106)</f>
      </c>
      <c r="G107" s="74">
        <f>IF('Monthly Summary'!AB106="",NA(),'Monthly Summary'!AB106)</f>
      </c>
      <c r="H107" s="74">
        <f>IF('Monthly Summary'!AC106="",NA(),'Monthly Summary'!AC106)</f>
      </c>
      <c r="I107" s="74">
        <f>IF('Monthly Summary'!AD106="",NA(),'Monthly Summary'!AD106)</f>
      </c>
      <c r="J107" s="74">
        <f>IF('Monthly Summary'!AE106="",NA(),'Monthly Summary'!AE106)</f>
      </c>
      <c r="K107" s="74">
        <f>IF('Monthly Summary'!AF106="",NA(),'Monthly Summary'!AF106)</f>
      </c>
      <c r="L107" s="74">
        <f>IF('Monthly Summary'!AG106="",NA(),'Monthly Summary'!AG106)</f>
      </c>
      <c r="M107" s="74">
        <f>IF('Monthly Summary'!AH106="",NA(),'Monthly Summary'!AH106)</f>
      </c>
      <c r="N107" s="74">
        <f>IF('Monthly Summary'!AI106="",NA(),'Monthly Summary'!AI106)</f>
      </c>
      <c r="O107" s="74">
        <f>IF('Monthly Summary'!AJ106="",NA(),'Monthly Summary'!AJ106)</f>
      </c>
      <c r="P107" s="74">
        <f>IF('Monthly Summary'!AK106="",NA(),'Monthly Summary'!AK106)</f>
      </c>
      <c r="Q107" s="74">
        <f>IF('Monthly Summary'!AL106="",NA(),'Monthly Summary'!AL106)</f>
      </c>
      <c r="R107" s="74">
        <f>IF('Monthly Summary'!AM106="",NA(),'Monthly Summary'!AM106)</f>
      </c>
      <c r="S107" s="74">
        <f>IF('Monthly Summary'!C106="",NA(),'Monthly Summary'!C106)</f>
      </c>
    </row>
    <row r="108" spans="1:19" x14ac:dyDescent="0.2">
      <c r="A108" s="73">
        <f>'Monthly Summary'!A107</f>
      </c>
      <c r="B108" s="74">
        <f>IF('Monthly Summary'!W107="",NA(),'Monthly Summary'!W107)</f>
      </c>
      <c r="C108" s="74">
        <f>IF('Monthly Summary'!X107="",NA(),'Monthly Summary'!X107)</f>
      </c>
      <c r="D108" s="74">
        <f>IF('Monthly Summary'!Y107="",NA(),'Monthly Summary'!Y107)</f>
      </c>
      <c r="E108" s="74">
        <f>IF('Monthly Summary'!Z107="",NA(),'Monthly Summary'!Z107)</f>
      </c>
      <c r="F108" s="74">
        <f>IF('Monthly Summary'!AA107="",NA(),'Monthly Summary'!AA107)</f>
      </c>
      <c r="G108" s="74">
        <f>IF('Monthly Summary'!AB107="",NA(),'Monthly Summary'!AB107)</f>
      </c>
      <c r="H108" s="74">
        <f>IF('Monthly Summary'!AC107="",NA(),'Monthly Summary'!AC107)</f>
      </c>
      <c r="I108" s="74">
        <f>IF('Monthly Summary'!AD107="",NA(),'Monthly Summary'!AD107)</f>
      </c>
      <c r="J108" s="74">
        <f>IF('Monthly Summary'!AE107="",NA(),'Monthly Summary'!AE107)</f>
      </c>
      <c r="K108" s="74">
        <f>IF('Monthly Summary'!AF107="",NA(),'Monthly Summary'!AF107)</f>
      </c>
      <c r="L108" s="74">
        <f>IF('Monthly Summary'!AG107="",NA(),'Monthly Summary'!AG107)</f>
      </c>
      <c r="M108" s="74">
        <f>IF('Monthly Summary'!AH107="",NA(),'Monthly Summary'!AH107)</f>
      </c>
      <c r="N108" s="74">
        <f>IF('Monthly Summary'!AI107="",NA(),'Monthly Summary'!AI107)</f>
      </c>
      <c r="O108" s="74">
        <f>IF('Monthly Summary'!AJ107="",NA(),'Monthly Summary'!AJ107)</f>
      </c>
      <c r="P108" s="74">
        <f>IF('Monthly Summary'!AK107="",NA(),'Monthly Summary'!AK107)</f>
      </c>
      <c r="Q108" s="74">
        <f>IF('Monthly Summary'!AL107="",NA(),'Monthly Summary'!AL107)</f>
      </c>
      <c r="R108" s="74">
        <f>IF('Monthly Summary'!AM107="",NA(),'Monthly Summary'!AM107)</f>
      </c>
      <c r="S108" s="74">
        <f>IF('Monthly Summary'!C107="",NA(),'Monthly Summary'!C107)</f>
      </c>
    </row>
    <row r="109" spans="1:19" x14ac:dyDescent="0.2">
      <c r="A109" s="73">
        <f>'Monthly Summary'!A108</f>
      </c>
      <c r="B109" s="74">
        <f>IF('Monthly Summary'!W108="",NA(),'Monthly Summary'!W108)</f>
      </c>
      <c r="C109" s="74">
        <f>IF('Monthly Summary'!X108="",NA(),'Monthly Summary'!X108)</f>
      </c>
      <c r="D109" s="74">
        <f>IF('Monthly Summary'!Y108="",NA(),'Monthly Summary'!Y108)</f>
      </c>
      <c r="E109" s="74">
        <f>IF('Monthly Summary'!Z108="",NA(),'Monthly Summary'!Z108)</f>
      </c>
      <c r="F109" s="74">
        <f>IF('Monthly Summary'!AA108="",NA(),'Monthly Summary'!AA108)</f>
      </c>
      <c r="G109" s="74">
        <f>IF('Monthly Summary'!AB108="",NA(),'Monthly Summary'!AB108)</f>
      </c>
      <c r="H109" s="74">
        <f>IF('Monthly Summary'!AC108="",NA(),'Monthly Summary'!AC108)</f>
      </c>
      <c r="I109" s="74">
        <f>IF('Monthly Summary'!AD108="",NA(),'Monthly Summary'!AD108)</f>
      </c>
      <c r="J109" s="74">
        <f>IF('Monthly Summary'!AE108="",NA(),'Monthly Summary'!AE108)</f>
      </c>
      <c r="K109" s="74">
        <f>IF('Monthly Summary'!AF108="",NA(),'Monthly Summary'!AF108)</f>
      </c>
      <c r="L109" s="74">
        <f>IF('Monthly Summary'!AG108="",NA(),'Monthly Summary'!AG108)</f>
      </c>
      <c r="M109" s="74">
        <f>IF('Monthly Summary'!AH108="",NA(),'Monthly Summary'!AH108)</f>
      </c>
      <c r="N109" s="74">
        <f>IF('Monthly Summary'!AI108="",NA(),'Monthly Summary'!AI108)</f>
      </c>
      <c r="O109" s="74">
        <f>IF('Monthly Summary'!AJ108="",NA(),'Monthly Summary'!AJ108)</f>
      </c>
      <c r="P109" s="74">
        <f>IF('Monthly Summary'!AK108="",NA(),'Monthly Summary'!AK108)</f>
      </c>
      <c r="Q109" s="74">
        <f>IF('Monthly Summary'!AL108="",NA(),'Monthly Summary'!AL108)</f>
      </c>
      <c r="R109" s="74">
        <f>IF('Monthly Summary'!AM108="",NA(),'Monthly Summary'!AM108)</f>
      </c>
      <c r="S109" s="74">
        <f>IF('Monthly Summary'!C108="",NA(),'Monthly Summary'!C108)</f>
      </c>
    </row>
    <row r="110" spans="1:19" x14ac:dyDescent="0.2">
      <c r="A110" s="73">
        <f>'Monthly Summary'!A109</f>
      </c>
      <c r="B110" s="74">
        <f>IF('Monthly Summary'!W109="",NA(),'Monthly Summary'!W109)</f>
      </c>
      <c r="C110" s="74">
        <f>IF('Monthly Summary'!X109="",NA(),'Monthly Summary'!X109)</f>
      </c>
      <c r="D110" s="74">
        <f>IF('Monthly Summary'!Y109="",NA(),'Monthly Summary'!Y109)</f>
      </c>
      <c r="E110" s="74">
        <f>IF('Monthly Summary'!Z109="",NA(),'Monthly Summary'!Z109)</f>
      </c>
      <c r="F110" s="74">
        <f>IF('Monthly Summary'!AA109="",NA(),'Monthly Summary'!AA109)</f>
      </c>
      <c r="G110" s="74">
        <f>IF('Monthly Summary'!AB109="",NA(),'Monthly Summary'!AB109)</f>
      </c>
      <c r="H110" s="74">
        <f>IF('Monthly Summary'!AC109="",NA(),'Monthly Summary'!AC109)</f>
      </c>
      <c r="I110" s="74">
        <f>IF('Monthly Summary'!AD109="",NA(),'Monthly Summary'!AD109)</f>
      </c>
      <c r="J110" s="74">
        <f>IF('Monthly Summary'!AE109="",NA(),'Monthly Summary'!AE109)</f>
      </c>
      <c r="K110" s="74">
        <f>IF('Monthly Summary'!AF109="",NA(),'Monthly Summary'!AF109)</f>
      </c>
      <c r="L110" s="74">
        <f>IF('Monthly Summary'!AG109="",NA(),'Monthly Summary'!AG109)</f>
      </c>
      <c r="M110" s="74">
        <f>IF('Monthly Summary'!AH109="",NA(),'Monthly Summary'!AH109)</f>
      </c>
      <c r="N110" s="74">
        <f>IF('Monthly Summary'!AI109="",NA(),'Monthly Summary'!AI109)</f>
      </c>
      <c r="O110" s="74">
        <f>IF('Monthly Summary'!AJ109="",NA(),'Monthly Summary'!AJ109)</f>
      </c>
      <c r="P110" s="74">
        <f>IF('Monthly Summary'!AK109="",NA(),'Monthly Summary'!AK109)</f>
      </c>
      <c r="Q110" s="74">
        <f>IF('Monthly Summary'!AL109="",NA(),'Monthly Summary'!AL109)</f>
      </c>
      <c r="R110" s="74">
        <f>IF('Monthly Summary'!AM109="",NA(),'Monthly Summary'!AM109)</f>
      </c>
      <c r="S110" s="74">
        <f>IF('Monthly Summary'!C109="",NA(),'Monthly Summary'!C109)</f>
      </c>
    </row>
    <row r="111" spans="1:19" x14ac:dyDescent="0.2">
      <c r="A111" s="73">
        <f>'Monthly Summary'!A110</f>
      </c>
      <c r="B111" s="74">
        <f>IF('Monthly Summary'!W110="",NA(),'Monthly Summary'!W110)</f>
      </c>
      <c r="C111" s="74">
        <f>IF('Monthly Summary'!X110="",NA(),'Monthly Summary'!X110)</f>
      </c>
      <c r="D111" s="74">
        <f>IF('Monthly Summary'!Y110="",NA(),'Monthly Summary'!Y110)</f>
      </c>
      <c r="E111" s="74">
        <f>IF('Monthly Summary'!Z110="",NA(),'Monthly Summary'!Z110)</f>
      </c>
      <c r="F111" s="74">
        <f>IF('Monthly Summary'!AA110="",NA(),'Monthly Summary'!AA110)</f>
      </c>
      <c r="G111" s="74">
        <f>IF('Monthly Summary'!AB110="",NA(),'Monthly Summary'!AB110)</f>
      </c>
      <c r="H111" s="74">
        <f>IF('Monthly Summary'!AC110="",NA(),'Monthly Summary'!AC110)</f>
      </c>
      <c r="I111" s="74">
        <f>IF('Monthly Summary'!AD110="",NA(),'Monthly Summary'!AD110)</f>
      </c>
      <c r="J111" s="74">
        <f>IF('Monthly Summary'!AE110="",NA(),'Monthly Summary'!AE110)</f>
      </c>
      <c r="K111" s="74">
        <f>IF('Monthly Summary'!AF110="",NA(),'Monthly Summary'!AF110)</f>
      </c>
      <c r="L111" s="74">
        <f>IF('Monthly Summary'!AG110="",NA(),'Monthly Summary'!AG110)</f>
      </c>
      <c r="M111" s="74">
        <f>IF('Monthly Summary'!AH110="",NA(),'Monthly Summary'!AH110)</f>
      </c>
      <c r="N111" s="74">
        <f>IF('Monthly Summary'!AI110="",NA(),'Monthly Summary'!AI110)</f>
      </c>
      <c r="O111" s="74">
        <f>IF('Monthly Summary'!AJ110="",NA(),'Monthly Summary'!AJ110)</f>
      </c>
      <c r="P111" s="74">
        <f>IF('Monthly Summary'!AK110="",NA(),'Monthly Summary'!AK110)</f>
      </c>
      <c r="Q111" s="74">
        <f>IF('Monthly Summary'!AL110="",NA(),'Monthly Summary'!AL110)</f>
      </c>
      <c r="R111" s="74">
        <f>IF('Monthly Summary'!AM110="",NA(),'Monthly Summary'!AM110)</f>
      </c>
      <c r="S111" s="74">
        <f>IF('Monthly Summary'!C110="",NA(),'Monthly Summary'!C110)</f>
      </c>
    </row>
    <row r="112" spans="1:19" x14ac:dyDescent="0.2">
      <c r="A112" s="73">
        <f>'Monthly Summary'!A111</f>
      </c>
      <c r="B112" s="74">
        <f>IF('Monthly Summary'!W111="",NA(),'Monthly Summary'!W111)</f>
      </c>
      <c r="C112" s="74">
        <f>IF('Monthly Summary'!X111="",NA(),'Monthly Summary'!X111)</f>
      </c>
      <c r="D112" s="74">
        <f>IF('Monthly Summary'!Y111="",NA(),'Monthly Summary'!Y111)</f>
      </c>
      <c r="E112" s="74">
        <f>IF('Monthly Summary'!Z111="",NA(),'Monthly Summary'!Z111)</f>
      </c>
      <c r="F112" s="74">
        <f>IF('Monthly Summary'!AA111="",NA(),'Monthly Summary'!AA111)</f>
      </c>
      <c r="G112" s="74">
        <f>IF('Monthly Summary'!AB111="",NA(),'Monthly Summary'!AB111)</f>
      </c>
      <c r="H112" s="74">
        <f>IF('Monthly Summary'!AC111="",NA(),'Monthly Summary'!AC111)</f>
      </c>
      <c r="I112" s="74">
        <f>IF('Monthly Summary'!AD111="",NA(),'Monthly Summary'!AD111)</f>
      </c>
      <c r="J112" s="74">
        <f>IF('Monthly Summary'!AE111="",NA(),'Monthly Summary'!AE111)</f>
      </c>
      <c r="K112" s="74">
        <f>IF('Monthly Summary'!AF111="",NA(),'Monthly Summary'!AF111)</f>
      </c>
      <c r="L112" s="74">
        <f>IF('Monthly Summary'!AG111="",NA(),'Monthly Summary'!AG111)</f>
      </c>
      <c r="M112" s="74">
        <f>IF('Monthly Summary'!AH111="",NA(),'Monthly Summary'!AH111)</f>
      </c>
      <c r="N112" s="74">
        <f>IF('Monthly Summary'!AI111="",NA(),'Monthly Summary'!AI111)</f>
      </c>
      <c r="O112" s="74">
        <f>IF('Monthly Summary'!AJ111="",NA(),'Monthly Summary'!AJ111)</f>
      </c>
      <c r="P112" s="74">
        <f>IF('Monthly Summary'!AK111="",NA(),'Monthly Summary'!AK111)</f>
      </c>
      <c r="Q112" s="74">
        <f>IF('Monthly Summary'!AL111="",NA(),'Monthly Summary'!AL111)</f>
      </c>
      <c r="R112" s="74">
        <f>IF('Monthly Summary'!AM111="",NA(),'Monthly Summary'!AM111)</f>
      </c>
      <c r="S112" s="74">
        <f>IF('Monthly Summary'!C111="",NA(),'Monthly Summary'!C111)</f>
      </c>
    </row>
    <row r="113" spans="1:19" x14ac:dyDescent="0.2">
      <c r="A113" s="73">
        <f>'Monthly Summary'!A112</f>
      </c>
      <c r="B113" s="74">
        <f>IF('Monthly Summary'!W112="",NA(),'Monthly Summary'!W112)</f>
      </c>
      <c r="C113" s="74">
        <f>IF('Monthly Summary'!X112="",NA(),'Monthly Summary'!X112)</f>
      </c>
      <c r="D113" s="74">
        <f>IF('Monthly Summary'!Y112="",NA(),'Monthly Summary'!Y112)</f>
      </c>
      <c r="E113" s="74">
        <f>IF('Monthly Summary'!Z112="",NA(),'Monthly Summary'!Z112)</f>
      </c>
      <c r="F113" s="74">
        <f>IF('Monthly Summary'!AA112="",NA(),'Monthly Summary'!AA112)</f>
      </c>
      <c r="G113" s="74">
        <f>IF('Monthly Summary'!AB112="",NA(),'Monthly Summary'!AB112)</f>
      </c>
      <c r="H113" s="74">
        <f>IF('Monthly Summary'!AC112="",NA(),'Monthly Summary'!AC112)</f>
      </c>
      <c r="I113" s="74">
        <f>IF('Monthly Summary'!AD112="",NA(),'Monthly Summary'!AD112)</f>
      </c>
      <c r="J113" s="74">
        <f>IF('Monthly Summary'!AE112="",NA(),'Monthly Summary'!AE112)</f>
      </c>
      <c r="K113" s="74">
        <f>IF('Monthly Summary'!AF112="",NA(),'Monthly Summary'!AF112)</f>
      </c>
      <c r="L113" s="74">
        <f>IF('Monthly Summary'!AG112="",NA(),'Monthly Summary'!AG112)</f>
      </c>
      <c r="M113" s="74">
        <f>IF('Monthly Summary'!AH112="",NA(),'Monthly Summary'!AH112)</f>
      </c>
      <c r="N113" s="74">
        <f>IF('Monthly Summary'!AI112="",NA(),'Monthly Summary'!AI112)</f>
      </c>
      <c r="O113" s="74">
        <f>IF('Monthly Summary'!AJ112="",NA(),'Monthly Summary'!AJ112)</f>
      </c>
      <c r="P113" s="74">
        <f>IF('Monthly Summary'!AK112="",NA(),'Monthly Summary'!AK112)</f>
      </c>
      <c r="Q113" s="74">
        <f>IF('Monthly Summary'!AL112="",NA(),'Monthly Summary'!AL112)</f>
      </c>
      <c r="R113" s="74">
        <f>IF('Monthly Summary'!AM112="",NA(),'Monthly Summary'!AM112)</f>
      </c>
      <c r="S113" s="74">
        <f>IF('Monthly Summary'!C112="",NA(),'Monthly Summary'!C112)</f>
      </c>
    </row>
    <row r="114" spans="1:19" x14ac:dyDescent="0.2">
      <c r="A114" s="73">
        <f>'Monthly Summary'!A113</f>
      </c>
      <c r="B114" s="74">
        <f>IF('Monthly Summary'!W113="",NA(),'Monthly Summary'!W113)</f>
      </c>
      <c r="C114" s="74">
        <f>IF('Monthly Summary'!X113="",NA(),'Monthly Summary'!X113)</f>
      </c>
      <c r="D114" s="74">
        <f>IF('Monthly Summary'!Y113="",NA(),'Monthly Summary'!Y113)</f>
      </c>
      <c r="E114" s="74">
        <f>IF('Monthly Summary'!Z113="",NA(),'Monthly Summary'!Z113)</f>
      </c>
      <c r="F114" s="74">
        <f>IF('Monthly Summary'!AA113="",NA(),'Monthly Summary'!AA113)</f>
      </c>
      <c r="G114" s="74">
        <f>IF('Monthly Summary'!AB113="",NA(),'Monthly Summary'!AB113)</f>
      </c>
      <c r="H114" s="74">
        <f>IF('Monthly Summary'!AC113="",NA(),'Monthly Summary'!AC113)</f>
      </c>
      <c r="I114" s="74">
        <f>IF('Monthly Summary'!AD113="",NA(),'Monthly Summary'!AD113)</f>
      </c>
      <c r="J114" s="74">
        <f>IF('Monthly Summary'!AE113="",NA(),'Monthly Summary'!AE113)</f>
      </c>
      <c r="K114" s="74">
        <f>IF('Monthly Summary'!AF113="",NA(),'Monthly Summary'!AF113)</f>
      </c>
      <c r="L114" s="74">
        <f>IF('Monthly Summary'!AG113="",NA(),'Monthly Summary'!AG113)</f>
      </c>
      <c r="M114" s="74">
        <f>IF('Monthly Summary'!AH113="",NA(),'Monthly Summary'!AH113)</f>
      </c>
      <c r="N114" s="74">
        <f>IF('Monthly Summary'!AI113="",NA(),'Monthly Summary'!AI113)</f>
      </c>
      <c r="O114" s="74">
        <f>IF('Monthly Summary'!AJ113="",NA(),'Monthly Summary'!AJ113)</f>
      </c>
      <c r="P114" s="74">
        <f>IF('Monthly Summary'!AK113="",NA(),'Monthly Summary'!AK113)</f>
      </c>
      <c r="Q114" s="74">
        <f>IF('Monthly Summary'!AL113="",NA(),'Monthly Summary'!AL113)</f>
      </c>
      <c r="R114" s="74">
        <f>IF('Monthly Summary'!AM113="",NA(),'Monthly Summary'!AM113)</f>
      </c>
      <c r="S114" s="74">
        <f>IF('Monthly Summary'!C113="",NA(),'Monthly Summary'!C113)</f>
      </c>
    </row>
    <row r="115" spans="1:19" x14ac:dyDescent="0.2">
      <c r="A115" s="73">
        <f>'Monthly Summary'!A114</f>
      </c>
      <c r="B115" s="74">
        <f>IF('Monthly Summary'!W114="",NA(),'Monthly Summary'!W114)</f>
      </c>
      <c r="C115" s="74">
        <f>IF('Monthly Summary'!X114="",NA(),'Monthly Summary'!X114)</f>
      </c>
      <c r="D115" s="74">
        <f>IF('Monthly Summary'!Y114="",NA(),'Monthly Summary'!Y114)</f>
      </c>
      <c r="E115" s="74">
        <f>IF('Monthly Summary'!Z114="",NA(),'Monthly Summary'!Z114)</f>
      </c>
      <c r="F115" s="74">
        <f>IF('Monthly Summary'!AA114="",NA(),'Monthly Summary'!AA114)</f>
      </c>
      <c r="G115" s="74">
        <f>IF('Monthly Summary'!AB114="",NA(),'Monthly Summary'!AB114)</f>
      </c>
      <c r="H115" s="74">
        <f>IF('Monthly Summary'!AC114="",NA(),'Monthly Summary'!AC114)</f>
      </c>
      <c r="I115" s="74">
        <f>IF('Monthly Summary'!AD114="",NA(),'Monthly Summary'!AD114)</f>
      </c>
      <c r="J115" s="74">
        <f>IF('Monthly Summary'!AE114="",NA(),'Monthly Summary'!AE114)</f>
      </c>
      <c r="K115" s="74">
        <f>IF('Monthly Summary'!AF114="",NA(),'Monthly Summary'!AF114)</f>
      </c>
      <c r="L115" s="74">
        <f>IF('Monthly Summary'!AG114="",NA(),'Monthly Summary'!AG114)</f>
      </c>
      <c r="M115" s="74">
        <f>IF('Monthly Summary'!AH114="",NA(),'Monthly Summary'!AH114)</f>
      </c>
      <c r="N115" s="74">
        <f>IF('Monthly Summary'!AI114="",NA(),'Monthly Summary'!AI114)</f>
      </c>
      <c r="O115" s="74">
        <f>IF('Monthly Summary'!AJ114="",NA(),'Monthly Summary'!AJ114)</f>
      </c>
      <c r="P115" s="74">
        <f>IF('Monthly Summary'!AK114="",NA(),'Monthly Summary'!AK114)</f>
      </c>
      <c r="Q115" s="74">
        <f>IF('Monthly Summary'!AL114="",NA(),'Monthly Summary'!AL114)</f>
      </c>
      <c r="R115" s="74">
        <f>IF('Monthly Summary'!AM114="",NA(),'Monthly Summary'!AM114)</f>
      </c>
      <c r="S115" s="74">
        <f>IF('Monthly Summary'!C114="",NA(),'Monthly Summary'!C114)</f>
      </c>
    </row>
    <row r="116" spans="1:19" x14ac:dyDescent="0.2">
      <c r="A116" s="73">
        <f>'Monthly Summary'!A115</f>
      </c>
      <c r="B116" s="74">
        <f>IF('Monthly Summary'!W115="",NA(),'Monthly Summary'!W115)</f>
      </c>
      <c r="C116" s="74">
        <f>IF('Monthly Summary'!X115="",NA(),'Monthly Summary'!X115)</f>
      </c>
      <c r="D116" s="74">
        <f>IF('Monthly Summary'!Y115="",NA(),'Monthly Summary'!Y115)</f>
      </c>
      <c r="E116" s="74">
        <f>IF('Monthly Summary'!Z115="",NA(),'Monthly Summary'!Z115)</f>
      </c>
      <c r="F116" s="74">
        <f>IF('Monthly Summary'!AA115="",NA(),'Monthly Summary'!AA115)</f>
      </c>
      <c r="G116" s="74">
        <f>IF('Monthly Summary'!AB115="",NA(),'Monthly Summary'!AB115)</f>
      </c>
      <c r="H116" s="74">
        <f>IF('Monthly Summary'!AC115="",NA(),'Monthly Summary'!AC115)</f>
      </c>
      <c r="I116" s="74">
        <f>IF('Monthly Summary'!AD115="",NA(),'Monthly Summary'!AD115)</f>
      </c>
      <c r="J116" s="74">
        <f>IF('Monthly Summary'!AE115="",NA(),'Monthly Summary'!AE115)</f>
      </c>
      <c r="K116" s="74">
        <f>IF('Monthly Summary'!AF115="",NA(),'Monthly Summary'!AF115)</f>
      </c>
      <c r="L116" s="74">
        <f>IF('Monthly Summary'!AG115="",NA(),'Monthly Summary'!AG115)</f>
      </c>
      <c r="M116" s="74">
        <f>IF('Monthly Summary'!AH115="",NA(),'Monthly Summary'!AH115)</f>
      </c>
      <c r="N116" s="74">
        <f>IF('Monthly Summary'!AI115="",NA(),'Monthly Summary'!AI115)</f>
      </c>
      <c r="O116" s="74">
        <f>IF('Monthly Summary'!AJ115="",NA(),'Monthly Summary'!AJ115)</f>
      </c>
      <c r="P116" s="74">
        <f>IF('Monthly Summary'!AK115="",NA(),'Monthly Summary'!AK115)</f>
      </c>
      <c r="Q116" s="74">
        <f>IF('Monthly Summary'!AL115="",NA(),'Monthly Summary'!AL115)</f>
      </c>
      <c r="R116" s="74">
        <f>IF('Monthly Summary'!AM115="",NA(),'Monthly Summary'!AM115)</f>
      </c>
      <c r="S116" s="74">
        <f>IF('Monthly Summary'!C115="",NA(),'Monthly Summary'!C115)</f>
      </c>
    </row>
    <row r="117" spans="1:19" x14ac:dyDescent="0.2">
      <c r="A117" s="73">
        <f>'Monthly Summary'!A116</f>
      </c>
      <c r="B117" s="74">
        <f>IF('Monthly Summary'!W116="",NA(),'Monthly Summary'!W116)</f>
      </c>
      <c r="C117" s="74">
        <f>IF('Monthly Summary'!X116="",NA(),'Monthly Summary'!X116)</f>
      </c>
      <c r="D117" s="74">
        <f>IF('Monthly Summary'!Y116="",NA(),'Monthly Summary'!Y116)</f>
      </c>
      <c r="E117" s="74">
        <f>IF('Monthly Summary'!Z116="",NA(),'Monthly Summary'!Z116)</f>
      </c>
      <c r="F117" s="74">
        <f>IF('Monthly Summary'!AA116="",NA(),'Monthly Summary'!AA116)</f>
      </c>
      <c r="G117" s="74">
        <f>IF('Monthly Summary'!AB116="",NA(),'Monthly Summary'!AB116)</f>
      </c>
      <c r="H117" s="74">
        <f>IF('Monthly Summary'!AC116="",NA(),'Monthly Summary'!AC116)</f>
      </c>
      <c r="I117" s="74">
        <f>IF('Monthly Summary'!AD116="",NA(),'Monthly Summary'!AD116)</f>
      </c>
      <c r="J117" s="74">
        <f>IF('Monthly Summary'!AE116="",NA(),'Monthly Summary'!AE116)</f>
      </c>
      <c r="K117" s="74">
        <f>IF('Monthly Summary'!AF116="",NA(),'Monthly Summary'!AF116)</f>
      </c>
      <c r="L117" s="74">
        <f>IF('Monthly Summary'!AG116="",NA(),'Monthly Summary'!AG116)</f>
      </c>
      <c r="M117" s="74">
        <f>IF('Monthly Summary'!AH116="",NA(),'Monthly Summary'!AH116)</f>
      </c>
      <c r="N117" s="74">
        <f>IF('Monthly Summary'!AI116="",NA(),'Monthly Summary'!AI116)</f>
      </c>
      <c r="O117" s="74">
        <f>IF('Monthly Summary'!AJ116="",NA(),'Monthly Summary'!AJ116)</f>
      </c>
      <c r="P117" s="74">
        <f>IF('Monthly Summary'!AK116="",NA(),'Monthly Summary'!AK116)</f>
      </c>
      <c r="Q117" s="74">
        <f>IF('Monthly Summary'!AL116="",NA(),'Monthly Summary'!AL116)</f>
      </c>
      <c r="R117" s="74">
        <f>IF('Monthly Summary'!AM116="",NA(),'Monthly Summary'!AM116)</f>
      </c>
      <c r="S117" s="74">
        <f>IF('Monthly Summary'!C116="",NA(),'Monthly Summary'!C116)</f>
      </c>
    </row>
    <row r="118" spans="1:19" x14ac:dyDescent="0.2">
      <c r="A118" s="73">
        <f>'Monthly Summary'!A117</f>
      </c>
      <c r="B118" s="74">
        <f>IF('Monthly Summary'!W117="",NA(),'Monthly Summary'!W117)</f>
      </c>
      <c r="C118" s="74">
        <f>IF('Monthly Summary'!X117="",NA(),'Monthly Summary'!X117)</f>
      </c>
      <c r="D118" s="74">
        <f>IF('Monthly Summary'!Y117="",NA(),'Monthly Summary'!Y117)</f>
      </c>
      <c r="E118" s="74">
        <f>IF('Monthly Summary'!Z117="",NA(),'Monthly Summary'!Z117)</f>
      </c>
      <c r="F118" s="74">
        <f>IF('Monthly Summary'!AA117="",NA(),'Monthly Summary'!AA117)</f>
      </c>
      <c r="G118" s="74">
        <f>IF('Monthly Summary'!AB117="",NA(),'Monthly Summary'!AB117)</f>
      </c>
      <c r="H118" s="74">
        <f>IF('Monthly Summary'!AC117="",NA(),'Monthly Summary'!AC117)</f>
      </c>
      <c r="I118" s="74">
        <f>IF('Monthly Summary'!AD117="",NA(),'Monthly Summary'!AD117)</f>
      </c>
      <c r="J118" s="74">
        <f>IF('Monthly Summary'!AE117="",NA(),'Monthly Summary'!AE117)</f>
      </c>
      <c r="K118" s="74">
        <f>IF('Monthly Summary'!AF117="",NA(),'Monthly Summary'!AF117)</f>
      </c>
      <c r="L118" s="74">
        <f>IF('Monthly Summary'!AG117="",NA(),'Monthly Summary'!AG117)</f>
      </c>
      <c r="M118" s="74">
        <f>IF('Monthly Summary'!AH117="",NA(),'Monthly Summary'!AH117)</f>
      </c>
      <c r="N118" s="74">
        <f>IF('Monthly Summary'!AI117="",NA(),'Monthly Summary'!AI117)</f>
      </c>
      <c r="O118" s="74">
        <f>IF('Monthly Summary'!AJ117="",NA(),'Monthly Summary'!AJ117)</f>
      </c>
      <c r="P118" s="74">
        <f>IF('Monthly Summary'!AK117="",NA(),'Monthly Summary'!AK117)</f>
      </c>
      <c r="Q118" s="74">
        <f>IF('Monthly Summary'!AL117="",NA(),'Monthly Summary'!AL117)</f>
      </c>
      <c r="R118" s="74">
        <f>IF('Monthly Summary'!AM117="",NA(),'Monthly Summary'!AM117)</f>
      </c>
      <c r="S118" s="74">
        <f>IF('Monthly Summary'!C117="",NA(),'Monthly Summary'!C117)</f>
      </c>
    </row>
    <row r="119" spans="1:19" x14ac:dyDescent="0.2">
      <c r="A119" s="73">
        <f>'Monthly Summary'!A118</f>
      </c>
      <c r="B119" s="74">
        <f>IF('Monthly Summary'!W118="",NA(),'Monthly Summary'!W118)</f>
      </c>
      <c r="C119" s="74">
        <f>IF('Monthly Summary'!X118="",NA(),'Monthly Summary'!X118)</f>
      </c>
      <c r="D119" s="74">
        <f>IF('Monthly Summary'!Y118="",NA(),'Monthly Summary'!Y118)</f>
      </c>
      <c r="E119" s="74">
        <f>IF('Monthly Summary'!Z118="",NA(),'Monthly Summary'!Z118)</f>
      </c>
      <c r="F119" s="74">
        <f>IF('Monthly Summary'!AA118="",NA(),'Monthly Summary'!AA118)</f>
      </c>
      <c r="G119" s="74">
        <f>IF('Monthly Summary'!AB118="",NA(),'Monthly Summary'!AB118)</f>
      </c>
      <c r="H119" s="74">
        <f>IF('Monthly Summary'!AC118="",NA(),'Monthly Summary'!AC118)</f>
      </c>
      <c r="I119" s="74">
        <f>IF('Monthly Summary'!AD118="",NA(),'Monthly Summary'!AD118)</f>
      </c>
      <c r="J119" s="74">
        <f>IF('Monthly Summary'!AE118="",NA(),'Monthly Summary'!AE118)</f>
      </c>
      <c r="K119" s="74">
        <f>IF('Monthly Summary'!AF118="",NA(),'Monthly Summary'!AF118)</f>
      </c>
      <c r="L119" s="74">
        <f>IF('Monthly Summary'!AG118="",NA(),'Monthly Summary'!AG118)</f>
      </c>
      <c r="M119" s="74">
        <f>IF('Monthly Summary'!AH118="",NA(),'Monthly Summary'!AH118)</f>
      </c>
      <c r="N119" s="74">
        <f>IF('Monthly Summary'!AI118="",NA(),'Monthly Summary'!AI118)</f>
      </c>
      <c r="O119" s="74">
        <f>IF('Monthly Summary'!AJ118="",NA(),'Monthly Summary'!AJ118)</f>
      </c>
      <c r="P119" s="74">
        <f>IF('Monthly Summary'!AK118="",NA(),'Monthly Summary'!AK118)</f>
      </c>
      <c r="Q119" s="74">
        <f>IF('Monthly Summary'!AL118="",NA(),'Monthly Summary'!AL118)</f>
      </c>
      <c r="R119" s="74">
        <f>IF('Monthly Summary'!AM118="",NA(),'Monthly Summary'!AM118)</f>
      </c>
      <c r="S119" s="74">
        <f>IF('Monthly Summary'!C118="",NA(),'Monthly Summary'!C118)</f>
      </c>
    </row>
    <row r="120" spans="1:19" x14ac:dyDescent="0.2">
      <c r="A120" s="73">
        <f>'Monthly Summary'!A119</f>
      </c>
      <c r="B120" s="74">
        <f>IF('Monthly Summary'!W119="",NA(),'Monthly Summary'!W119)</f>
      </c>
      <c r="C120" s="74">
        <f>IF('Monthly Summary'!X119="",NA(),'Monthly Summary'!X119)</f>
      </c>
      <c r="D120" s="74">
        <f>IF('Monthly Summary'!Y119="",NA(),'Monthly Summary'!Y119)</f>
      </c>
      <c r="E120" s="74">
        <f>IF('Monthly Summary'!Z119="",NA(),'Monthly Summary'!Z119)</f>
      </c>
      <c r="F120" s="74">
        <f>IF('Monthly Summary'!AA119="",NA(),'Monthly Summary'!AA119)</f>
      </c>
      <c r="G120" s="74">
        <f>IF('Monthly Summary'!AB119="",NA(),'Monthly Summary'!AB119)</f>
      </c>
      <c r="H120" s="74">
        <f>IF('Monthly Summary'!AC119="",NA(),'Monthly Summary'!AC119)</f>
      </c>
      <c r="I120" s="74">
        <f>IF('Monthly Summary'!AD119="",NA(),'Monthly Summary'!AD119)</f>
      </c>
      <c r="J120" s="74">
        <f>IF('Monthly Summary'!AE119="",NA(),'Monthly Summary'!AE119)</f>
      </c>
      <c r="K120" s="74">
        <f>IF('Monthly Summary'!AF119="",NA(),'Monthly Summary'!AF119)</f>
      </c>
      <c r="L120" s="74">
        <f>IF('Monthly Summary'!AG119="",NA(),'Monthly Summary'!AG119)</f>
      </c>
      <c r="M120" s="74">
        <f>IF('Monthly Summary'!AH119="",NA(),'Monthly Summary'!AH119)</f>
      </c>
      <c r="N120" s="74">
        <f>IF('Monthly Summary'!AI119="",NA(),'Monthly Summary'!AI119)</f>
      </c>
      <c r="O120" s="74">
        <f>IF('Monthly Summary'!AJ119="",NA(),'Monthly Summary'!AJ119)</f>
      </c>
      <c r="P120" s="74">
        <f>IF('Monthly Summary'!AK119="",NA(),'Monthly Summary'!AK119)</f>
      </c>
      <c r="Q120" s="74">
        <f>IF('Monthly Summary'!AL119="",NA(),'Monthly Summary'!AL119)</f>
      </c>
      <c r="R120" s="74">
        <f>IF('Monthly Summary'!AM119="",NA(),'Monthly Summary'!AM119)</f>
      </c>
      <c r="S120" s="74">
        <f>IF('Monthly Summary'!C119="",NA(),'Monthly Summary'!C119)</f>
      </c>
    </row>
    <row r="121" spans="1:19" x14ac:dyDescent="0.2">
      <c r="A121" s="73">
        <f>'Monthly Summary'!A120</f>
      </c>
      <c r="B121" s="74">
        <f>IF('Monthly Summary'!W120="",NA(),'Monthly Summary'!W120)</f>
      </c>
      <c r="C121" s="74">
        <f>IF('Monthly Summary'!X120="",NA(),'Monthly Summary'!X120)</f>
      </c>
      <c r="D121" s="74">
        <f>IF('Monthly Summary'!Y120="",NA(),'Monthly Summary'!Y120)</f>
      </c>
      <c r="E121" s="74">
        <f>IF('Monthly Summary'!Z120="",NA(),'Monthly Summary'!Z120)</f>
      </c>
      <c r="F121" s="74">
        <f>IF('Monthly Summary'!AA120="",NA(),'Monthly Summary'!AA120)</f>
      </c>
      <c r="G121" s="74">
        <f>IF('Monthly Summary'!AB120="",NA(),'Monthly Summary'!AB120)</f>
      </c>
      <c r="H121" s="74">
        <f>IF('Monthly Summary'!AC120="",NA(),'Monthly Summary'!AC120)</f>
      </c>
      <c r="I121" s="74">
        <f>IF('Monthly Summary'!AD120="",NA(),'Monthly Summary'!AD120)</f>
      </c>
      <c r="J121" s="74">
        <f>IF('Monthly Summary'!AE120="",NA(),'Monthly Summary'!AE120)</f>
      </c>
      <c r="K121" s="74">
        <f>IF('Monthly Summary'!AF120="",NA(),'Monthly Summary'!AF120)</f>
      </c>
      <c r="L121" s="74">
        <f>IF('Monthly Summary'!AG120="",NA(),'Monthly Summary'!AG120)</f>
      </c>
      <c r="M121" s="74">
        <f>IF('Monthly Summary'!AH120="",NA(),'Monthly Summary'!AH120)</f>
      </c>
      <c r="N121" s="74">
        <f>IF('Monthly Summary'!AI120="",NA(),'Monthly Summary'!AI120)</f>
      </c>
      <c r="O121" s="74">
        <f>IF('Monthly Summary'!AJ120="",NA(),'Monthly Summary'!AJ120)</f>
      </c>
      <c r="P121" s="74">
        <f>IF('Monthly Summary'!AK120="",NA(),'Monthly Summary'!AK120)</f>
      </c>
      <c r="Q121" s="74">
        <f>IF('Monthly Summary'!AL120="",NA(),'Monthly Summary'!AL120)</f>
      </c>
      <c r="R121" s="74">
        <f>IF('Monthly Summary'!AM120="",NA(),'Monthly Summary'!AM120)</f>
      </c>
      <c r="S121" s="74">
        <f>IF('Monthly Summary'!C120="",NA(),'Monthly Summary'!C120)</f>
      </c>
    </row>
    <row r="122" spans="1:19" x14ac:dyDescent="0.2">
      <c r="A122" s="73">
        <f>'Monthly Summary'!A121</f>
      </c>
      <c r="B122" s="74">
        <f>IF('Monthly Summary'!W121="",NA(),'Monthly Summary'!W121)</f>
      </c>
      <c r="C122" s="74">
        <f>IF('Monthly Summary'!X121="",NA(),'Monthly Summary'!X121)</f>
      </c>
      <c r="D122" s="74">
        <f>IF('Monthly Summary'!Y121="",NA(),'Monthly Summary'!Y121)</f>
      </c>
      <c r="E122" s="74">
        <f>IF('Monthly Summary'!Z121="",NA(),'Monthly Summary'!Z121)</f>
      </c>
      <c r="F122" s="74">
        <f>IF('Monthly Summary'!AA121="",NA(),'Monthly Summary'!AA121)</f>
      </c>
      <c r="G122" s="74">
        <f>IF('Monthly Summary'!AB121="",NA(),'Monthly Summary'!AB121)</f>
      </c>
      <c r="H122" s="74">
        <f>IF('Monthly Summary'!AC121="",NA(),'Monthly Summary'!AC121)</f>
      </c>
      <c r="I122" s="74">
        <f>IF('Monthly Summary'!AD121="",NA(),'Monthly Summary'!AD121)</f>
      </c>
      <c r="J122" s="74">
        <f>IF('Monthly Summary'!AE121="",NA(),'Monthly Summary'!AE121)</f>
      </c>
      <c r="K122" s="74">
        <f>IF('Monthly Summary'!AF121="",NA(),'Monthly Summary'!AF121)</f>
      </c>
      <c r="L122" s="74">
        <f>IF('Monthly Summary'!AG121="",NA(),'Monthly Summary'!AG121)</f>
      </c>
      <c r="M122" s="74">
        <f>IF('Monthly Summary'!AH121="",NA(),'Monthly Summary'!AH121)</f>
      </c>
      <c r="N122" s="74">
        <f>IF('Monthly Summary'!AI121="",NA(),'Monthly Summary'!AI121)</f>
      </c>
      <c r="O122" s="74">
        <f>IF('Monthly Summary'!AJ121="",NA(),'Monthly Summary'!AJ121)</f>
      </c>
      <c r="P122" s="74">
        <f>IF('Monthly Summary'!AK121="",NA(),'Monthly Summary'!AK121)</f>
      </c>
      <c r="Q122" s="74">
        <f>IF('Monthly Summary'!AL121="",NA(),'Monthly Summary'!AL121)</f>
      </c>
      <c r="R122" s="74">
        <f>IF('Monthly Summary'!AM121="",NA(),'Monthly Summary'!AM121)</f>
      </c>
      <c r="S122" s="74">
        <f>IF('Monthly Summary'!C121="",NA(),'Monthly Summary'!C121)</f>
      </c>
    </row>
    <row r="123" spans="1:19" x14ac:dyDescent="0.2">
      <c r="A123" s="73">
        <f>'Monthly Summary'!A122</f>
      </c>
      <c r="B123" s="74">
        <f>IF('Monthly Summary'!W122="",NA(),'Monthly Summary'!W122)</f>
      </c>
      <c r="C123" s="74">
        <f>IF('Monthly Summary'!X122="",NA(),'Monthly Summary'!X122)</f>
      </c>
      <c r="D123" s="74">
        <f>IF('Monthly Summary'!Y122="",NA(),'Monthly Summary'!Y122)</f>
      </c>
      <c r="E123" s="74">
        <f>IF('Monthly Summary'!Z122="",NA(),'Monthly Summary'!Z122)</f>
      </c>
      <c r="F123" s="74">
        <f>IF('Monthly Summary'!AA122="",NA(),'Monthly Summary'!AA122)</f>
      </c>
      <c r="G123" s="74">
        <f>IF('Monthly Summary'!AB122="",NA(),'Monthly Summary'!AB122)</f>
      </c>
      <c r="H123" s="74">
        <f>IF('Monthly Summary'!AC122="",NA(),'Monthly Summary'!AC122)</f>
      </c>
      <c r="I123" s="74">
        <f>IF('Monthly Summary'!AD122="",NA(),'Monthly Summary'!AD122)</f>
      </c>
      <c r="J123" s="74">
        <f>IF('Monthly Summary'!AE122="",NA(),'Monthly Summary'!AE122)</f>
      </c>
      <c r="K123" s="74">
        <f>IF('Monthly Summary'!AF122="",NA(),'Monthly Summary'!AF122)</f>
      </c>
      <c r="L123" s="74">
        <f>IF('Monthly Summary'!AG122="",NA(),'Monthly Summary'!AG122)</f>
      </c>
      <c r="M123" s="74">
        <f>IF('Monthly Summary'!AH122="",NA(),'Monthly Summary'!AH122)</f>
      </c>
      <c r="N123" s="74">
        <f>IF('Monthly Summary'!AI122="",NA(),'Monthly Summary'!AI122)</f>
      </c>
      <c r="O123" s="74">
        <f>IF('Monthly Summary'!AJ122="",NA(),'Monthly Summary'!AJ122)</f>
      </c>
      <c r="P123" s="74">
        <f>IF('Monthly Summary'!AK122="",NA(),'Monthly Summary'!AK122)</f>
      </c>
      <c r="Q123" s="74">
        <f>IF('Monthly Summary'!AL122="",NA(),'Monthly Summary'!AL122)</f>
      </c>
      <c r="R123" s="74">
        <f>IF('Monthly Summary'!AM122="",NA(),'Monthly Summary'!AM122)</f>
      </c>
      <c r="S123" s="74">
        <f>IF('Monthly Summary'!C122="",NA(),'Monthly Summary'!C122)</f>
      </c>
    </row>
    <row r="124" spans="1:19" x14ac:dyDescent="0.2">
      <c r="A124" s="73">
        <f>'Monthly Summary'!A123</f>
      </c>
      <c r="B124" s="74">
        <f>IF('Monthly Summary'!W123="",NA(),'Monthly Summary'!W123)</f>
      </c>
      <c r="C124" s="74">
        <f>IF('Monthly Summary'!X123="",NA(),'Monthly Summary'!X123)</f>
      </c>
      <c r="D124" s="74">
        <f>IF('Monthly Summary'!Y123="",NA(),'Monthly Summary'!Y123)</f>
      </c>
      <c r="E124" s="74">
        <f>IF('Monthly Summary'!Z123="",NA(),'Monthly Summary'!Z123)</f>
      </c>
      <c r="F124" s="74">
        <f>IF('Monthly Summary'!AA123="",NA(),'Monthly Summary'!AA123)</f>
      </c>
      <c r="G124" s="74">
        <f>IF('Monthly Summary'!AB123="",NA(),'Monthly Summary'!AB123)</f>
      </c>
      <c r="H124" s="74">
        <f>IF('Monthly Summary'!AC123="",NA(),'Monthly Summary'!AC123)</f>
      </c>
      <c r="I124" s="74">
        <f>IF('Monthly Summary'!AD123="",NA(),'Monthly Summary'!AD123)</f>
      </c>
      <c r="J124" s="74">
        <f>IF('Monthly Summary'!AE123="",NA(),'Monthly Summary'!AE123)</f>
      </c>
      <c r="K124" s="74">
        <f>IF('Monthly Summary'!AF123="",NA(),'Monthly Summary'!AF123)</f>
      </c>
      <c r="L124" s="74">
        <f>IF('Monthly Summary'!AG123="",NA(),'Monthly Summary'!AG123)</f>
      </c>
      <c r="M124" s="74">
        <f>IF('Monthly Summary'!AH123="",NA(),'Monthly Summary'!AH123)</f>
      </c>
      <c r="N124" s="74">
        <f>IF('Monthly Summary'!AI123="",NA(),'Monthly Summary'!AI123)</f>
      </c>
      <c r="O124" s="74">
        <f>IF('Monthly Summary'!AJ123="",NA(),'Monthly Summary'!AJ123)</f>
      </c>
      <c r="P124" s="74">
        <f>IF('Monthly Summary'!AK123="",NA(),'Monthly Summary'!AK123)</f>
      </c>
      <c r="Q124" s="74">
        <f>IF('Monthly Summary'!AL123="",NA(),'Monthly Summary'!AL123)</f>
      </c>
      <c r="R124" s="74">
        <f>IF('Monthly Summary'!AM123="",NA(),'Monthly Summary'!AM123)</f>
      </c>
      <c r="S124" s="74">
        <f>IF('Monthly Summary'!C123="",NA(),'Monthly Summary'!C123)</f>
      </c>
    </row>
    <row r="125" spans="1:19" x14ac:dyDescent="0.2">
      <c r="A125" s="73">
        <f>'Monthly Summary'!A124</f>
      </c>
      <c r="B125" s="74">
        <f>IF('Monthly Summary'!W124="",NA(),'Monthly Summary'!W124)</f>
      </c>
      <c r="C125" s="74">
        <f>IF('Monthly Summary'!X124="",NA(),'Monthly Summary'!X124)</f>
      </c>
      <c r="D125" s="74">
        <f>IF('Monthly Summary'!Y124="",NA(),'Monthly Summary'!Y124)</f>
      </c>
      <c r="E125" s="74">
        <f>IF('Monthly Summary'!Z124="",NA(),'Monthly Summary'!Z124)</f>
      </c>
      <c r="F125" s="74">
        <f>IF('Monthly Summary'!AA124="",NA(),'Monthly Summary'!AA124)</f>
      </c>
      <c r="G125" s="74">
        <f>IF('Monthly Summary'!AB124="",NA(),'Monthly Summary'!AB124)</f>
      </c>
      <c r="H125" s="74">
        <f>IF('Monthly Summary'!AC124="",NA(),'Monthly Summary'!AC124)</f>
      </c>
      <c r="I125" s="74">
        <f>IF('Monthly Summary'!AD124="",NA(),'Monthly Summary'!AD124)</f>
      </c>
      <c r="J125" s="74">
        <f>IF('Monthly Summary'!AE124="",NA(),'Monthly Summary'!AE124)</f>
      </c>
      <c r="K125" s="74">
        <f>IF('Monthly Summary'!AF124="",NA(),'Monthly Summary'!AF124)</f>
      </c>
      <c r="L125" s="74">
        <f>IF('Monthly Summary'!AG124="",NA(),'Monthly Summary'!AG124)</f>
      </c>
      <c r="M125" s="74">
        <f>IF('Monthly Summary'!AH124="",NA(),'Monthly Summary'!AH124)</f>
      </c>
      <c r="N125" s="74">
        <f>IF('Monthly Summary'!AI124="",NA(),'Monthly Summary'!AI124)</f>
      </c>
      <c r="O125" s="74">
        <f>IF('Monthly Summary'!AJ124="",NA(),'Monthly Summary'!AJ124)</f>
      </c>
      <c r="P125" s="74">
        <f>IF('Monthly Summary'!AK124="",NA(),'Monthly Summary'!AK124)</f>
      </c>
      <c r="Q125" s="74">
        <f>IF('Monthly Summary'!AL124="",NA(),'Monthly Summary'!AL124)</f>
      </c>
      <c r="R125" s="74">
        <f>IF('Monthly Summary'!AM124="",NA(),'Monthly Summary'!AM124)</f>
      </c>
      <c r="S125" s="74">
        <f>IF('Monthly Summary'!C124="",NA(),'Monthly Summary'!C124)</f>
      </c>
    </row>
    <row r="126" spans="1:19" x14ac:dyDescent="0.2">
      <c r="A126" s="73">
        <f>'Monthly Summary'!A125</f>
      </c>
      <c r="B126" s="74">
        <f>IF('Monthly Summary'!W125="",NA(),'Monthly Summary'!W125)</f>
      </c>
      <c r="C126" s="74">
        <f>IF('Monthly Summary'!X125="",NA(),'Monthly Summary'!X125)</f>
      </c>
      <c r="D126" s="74">
        <f>IF('Monthly Summary'!Y125="",NA(),'Monthly Summary'!Y125)</f>
      </c>
      <c r="E126" s="74">
        <f>IF('Monthly Summary'!Z125="",NA(),'Monthly Summary'!Z125)</f>
      </c>
      <c r="F126" s="74">
        <f>IF('Monthly Summary'!AA125="",NA(),'Monthly Summary'!AA125)</f>
      </c>
      <c r="G126" s="74">
        <f>IF('Monthly Summary'!AB125="",NA(),'Monthly Summary'!AB125)</f>
      </c>
      <c r="H126" s="74">
        <f>IF('Monthly Summary'!AC125="",NA(),'Monthly Summary'!AC125)</f>
      </c>
      <c r="I126" s="74">
        <f>IF('Monthly Summary'!AD125="",NA(),'Monthly Summary'!AD125)</f>
      </c>
      <c r="J126" s="74">
        <f>IF('Monthly Summary'!AE125="",NA(),'Monthly Summary'!AE125)</f>
      </c>
      <c r="K126" s="74">
        <f>IF('Monthly Summary'!AF125="",NA(),'Monthly Summary'!AF125)</f>
      </c>
      <c r="L126" s="74">
        <f>IF('Monthly Summary'!AG125="",NA(),'Monthly Summary'!AG125)</f>
      </c>
      <c r="M126" s="74">
        <f>IF('Monthly Summary'!AH125="",NA(),'Monthly Summary'!AH125)</f>
      </c>
      <c r="N126" s="74">
        <f>IF('Monthly Summary'!AI125="",NA(),'Monthly Summary'!AI125)</f>
      </c>
      <c r="O126" s="74">
        <f>IF('Monthly Summary'!AJ125="",NA(),'Monthly Summary'!AJ125)</f>
      </c>
      <c r="P126" s="74">
        <f>IF('Monthly Summary'!AK125="",NA(),'Monthly Summary'!AK125)</f>
      </c>
      <c r="Q126" s="74">
        <f>IF('Monthly Summary'!AL125="",NA(),'Monthly Summary'!AL125)</f>
      </c>
      <c r="R126" s="74">
        <f>IF('Monthly Summary'!AM125="",NA(),'Monthly Summary'!AM125)</f>
      </c>
      <c r="S126" s="74">
        <f>IF('Monthly Summary'!C125="",NA(),'Monthly Summary'!C125)</f>
      </c>
    </row>
    <row r="127" spans="1:19" x14ac:dyDescent="0.2">
      <c r="A127" s="73">
        <f>'Monthly Summary'!A126</f>
      </c>
      <c r="B127" s="74">
        <f>IF('Monthly Summary'!W126="",NA(),'Monthly Summary'!W126)</f>
      </c>
      <c r="C127" s="74">
        <f>IF('Monthly Summary'!X126="",NA(),'Monthly Summary'!X126)</f>
      </c>
      <c r="D127" s="74">
        <f>IF('Monthly Summary'!Y126="",NA(),'Monthly Summary'!Y126)</f>
      </c>
      <c r="E127" s="74">
        <f>IF('Monthly Summary'!Z126="",NA(),'Monthly Summary'!Z126)</f>
      </c>
      <c r="F127" s="74">
        <f>IF('Monthly Summary'!AA126="",NA(),'Monthly Summary'!AA126)</f>
      </c>
      <c r="G127" s="74">
        <f>IF('Monthly Summary'!AB126="",NA(),'Monthly Summary'!AB126)</f>
      </c>
      <c r="H127" s="74">
        <f>IF('Monthly Summary'!AC126="",NA(),'Monthly Summary'!AC126)</f>
      </c>
      <c r="I127" s="74">
        <f>IF('Monthly Summary'!AD126="",NA(),'Monthly Summary'!AD126)</f>
      </c>
      <c r="J127" s="74">
        <f>IF('Monthly Summary'!AE126="",NA(),'Monthly Summary'!AE126)</f>
      </c>
      <c r="K127" s="74">
        <f>IF('Monthly Summary'!AF126="",NA(),'Monthly Summary'!AF126)</f>
      </c>
      <c r="L127" s="74">
        <f>IF('Monthly Summary'!AG126="",NA(),'Monthly Summary'!AG126)</f>
      </c>
      <c r="M127" s="74">
        <f>IF('Monthly Summary'!AH126="",NA(),'Monthly Summary'!AH126)</f>
      </c>
      <c r="N127" s="74">
        <f>IF('Monthly Summary'!AI126="",NA(),'Monthly Summary'!AI126)</f>
      </c>
      <c r="O127" s="74">
        <f>IF('Monthly Summary'!AJ126="",NA(),'Monthly Summary'!AJ126)</f>
      </c>
      <c r="P127" s="74">
        <f>IF('Monthly Summary'!AK126="",NA(),'Monthly Summary'!AK126)</f>
      </c>
      <c r="Q127" s="74">
        <f>IF('Monthly Summary'!AL126="",NA(),'Monthly Summary'!AL126)</f>
      </c>
      <c r="R127" s="74">
        <f>IF('Monthly Summary'!AM126="",NA(),'Monthly Summary'!AM126)</f>
      </c>
      <c r="S127" s="74">
        <f>IF('Monthly Summary'!C126="",NA(),'Monthly Summary'!C126)</f>
      </c>
    </row>
    <row r="128" spans="1:19" x14ac:dyDescent="0.2">
      <c r="A128" s="73">
        <f>'Monthly Summary'!A127</f>
      </c>
      <c r="B128" s="74">
        <f>IF('Monthly Summary'!W127="",NA(),'Monthly Summary'!W127)</f>
      </c>
      <c r="C128" s="74">
        <f>IF('Monthly Summary'!X127="",NA(),'Monthly Summary'!X127)</f>
      </c>
      <c r="D128" s="74">
        <f>IF('Monthly Summary'!Y127="",NA(),'Monthly Summary'!Y127)</f>
      </c>
      <c r="E128" s="74">
        <f>IF('Monthly Summary'!Z127="",NA(),'Monthly Summary'!Z127)</f>
      </c>
      <c r="F128" s="74">
        <f>IF('Monthly Summary'!AA127="",NA(),'Monthly Summary'!AA127)</f>
      </c>
      <c r="G128" s="74">
        <f>IF('Monthly Summary'!AB127="",NA(),'Monthly Summary'!AB127)</f>
      </c>
      <c r="H128" s="74">
        <f>IF('Monthly Summary'!AC127="",NA(),'Monthly Summary'!AC127)</f>
      </c>
      <c r="I128" s="74">
        <f>IF('Monthly Summary'!AD127="",NA(),'Monthly Summary'!AD127)</f>
      </c>
      <c r="J128" s="74">
        <f>IF('Monthly Summary'!AE127="",NA(),'Monthly Summary'!AE127)</f>
      </c>
      <c r="K128" s="74">
        <f>IF('Monthly Summary'!AF127="",NA(),'Monthly Summary'!AF127)</f>
      </c>
      <c r="L128" s="74">
        <f>IF('Monthly Summary'!AG127="",NA(),'Monthly Summary'!AG127)</f>
      </c>
      <c r="M128" s="74">
        <f>IF('Monthly Summary'!AH127="",NA(),'Monthly Summary'!AH127)</f>
      </c>
      <c r="N128" s="74">
        <f>IF('Monthly Summary'!AI127="",NA(),'Monthly Summary'!AI127)</f>
      </c>
      <c r="O128" s="74">
        <f>IF('Monthly Summary'!AJ127="",NA(),'Monthly Summary'!AJ127)</f>
      </c>
      <c r="P128" s="74">
        <f>IF('Monthly Summary'!AK127="",NA(),'Monthly Summary'!AK127)</f>
      </c>
      <c r="Q128" s="74">
        <f>IF('Monthly Summary'!AL127="",NA(),'Monthly Summary'!AL127)</f>
      </c>
      <c r="R128" s="74">
        <f>IF('Monthly Summary'!AM127="",NA(),'Monthly Summary'!AM127)</f>
      </c>
      <c r="S128" s="74">
        <f>IF('Monthly Summary'!C127="",NA(),'Monthly Summary'!C127)</f>
      </c>
    </row>
    <row r="129" spans="1:19" x14ac:dyDescent="0.2">
      <c r="A129" s="73">
        <f>'Monthly Summary'!A128</f>
      </c>
      <c r="B129" s="74">
        <f>IF('Monthly Summary'!W128="",NA(),'Monthly Summary'!W128)</f>
      </c>
      <c r="C129" s="74">
        <f>IF('Monthly Summary'!X128="",NA(),'Monthly Summary'!X128)</f>
      </c>
      <c r="D129" s="74">
        <f>IF('Monthly Summary'!Y128="",NA(),'Monthly Summary'!Y128)</f>
      </c>
      <c r="E129" s="74">
        <f>IF('Monthly Summary'!Z128="",NA(),'Monthly Summary'!Z128)</f>
      </c>
      <c r="F129" s="74">
        <f>IF('Monthly Summary'!AA128="",NA(),'Monthly Summary'!AA128)</f>
      </c>
      <c r="G129" s="74">
        <f>IF('Monthly Summary'!AB128="",NA(),'Monthly Summary'!AB128)</f>
      </c>
      <c r="H129" s="74">
        <f>IF('Monthly Summary'!AC128="",NA(),'Monthly Summary'!AC128)</f>
      </c>
      <c r="I129" s="74">
        <f>IF('Monthly Summary'!AD128="",NA(),'Monthly Summary'!AD128)</f>
      </c>
      <c r="J129" s="74">
        <f>IF('Monthly Summary'!AE128="",NA(),'Monthly Summary'!AE128)</f>
      </c>
      <c r="K129" s="74">
        <f>IF('Monthly Summary'!AF128="",NA(),'Monthly Summary'!AF128)</f>
      </c>
      <c r="L129" s="74">
        <f>IF('Monthly Summary'!AG128="",NA(),'Monthly Summary'!AG128)</f>
      </c>
      <c r="M129" s="74">
        <f>IF('Monthly Summary'!AH128="",NA(),'Monthly Summary'!AH128)</f>
      </c>
      <c r="N129" s="74">
        <f>IF('Monthly Summary'!AI128="",NA(),'Monthly Summary'!AI128)</f>
      </c>
      <c r="O129" s="74">
        <f>IF('Monthly Summary'!AJ128="",NA(),'Monthly Summary'!AJ128)</f>
      </c>
      <c r="P129" s="74">
        <f>IF('Monthly Summary'!AK128="",NA(),'Monthly Summary'!AK128)</f>
      </c>
      <c r="Q129" s="74">
        <f>IF('Monthly Summary'!AL128="",NA(),'Monthly Summary'!AL128)</f>
      </c>
      <c r="R129" s="74">
        <f>IF('Monthly Summary'!AM128="",NA(),'Monthly Summary'!AM128)</f>
      </c>
      <c r="S129" s="74">
        <f>IF('Monthly Summary'!C128="",NA(),'Monthly Summary'!C128)</f>
      </c>
    </row>
    <row r="130" spans="1:19" x14ac:dyDescent="0.2">
      <c r="A130" s="73">
        <f>'Monthly Summary'!A129</f>
      </c>
      <c r="B130" s="74">
        <f>IF('Monthly Summary'!W129="",NA(),'Monthly Summary'!W129)</f>
      </c>
      <c r="C130" s="74">
        <f>IF('Monthly Summary'!X129="",NA(),'Monthly Summary'!X129)</f>
      </c>
      <c r="D130" s="74">
        <f>IF('Monthly Summary'!Y129="",NA(),'Monthly Summary'!Y129)</f>
      </c>
      <c r="E130" s="74">
        <f>IF('Monthly Summary'!Z129="",NA(),'Monthly Summary'!Z129)</f>
      </c>
      <c r="F130" s="74">
        <f>IF('Monthly Summary'!AA129="",NA(),'Monthly Summary'!AA129)</f>
      </c>
      <c r="G130" s="74">
        <f>IF('Monthly Summary'!AB129="",NA(),'Monthly Summary'!AB129)</f>
      </c>
      <c r="H130" s="74">
        <f>IF('Monthly Summary'!AC129="",NA(),'Monthly Summary'!AC129)</f>
      </c>
      <c r="I130" s="74">
        <f>IF('Monthly Summary'!AD129="",NA(),'Monthly Summary'!AD129)</f>
      </c>
      <c r="J130" s="74">
        <f>IF('Monthly Summary'!AE129="",NA(),'Monthly Summary'!AE129)</f>
      </c>
      <c r="K130" s="74">
        <f>IF('Monthly Summary'!AF129="",NA(),'Monthly Summary'!AF129)</f>
      </c>
      <c r="L130" s="74">
        <f>IF('Monthly Summary'!AG129="",NA(),'Monthly Summary'!AG129)</f>
      </c>
      <c r="M130" s="74">
        <f>IF('Monthly Summary'!AH129="",NA(),'Monthly Summary'!AH129)</f>
      </c>
      <c r="N130" s="74">
        <f>IF('Monthly Summary'!AI129="",NA(),'Monthly Summary'!AI129)</f>
      </c>
      <c r="O130" s="74">
        <f>IF('Monthly Summary'!AJ129="",NA(),'Monthly Summary'!AJ129)</f>
      </c>
      <c r="P130" s="74">
        <f>IF('Monthly Summary'!AK129="",NA(),'Monthly Summary'!AK129)</f>
      </c>
      <c r="Q130" s="74">
        <f>IF('Monthly Summary'!AL129="",NA(),'Monthly Summary'!AL129)</f>
      </c>
      <c r="R130" s="74">
        <f>IF('Monthly Summary'!AM129="",NA(),'Monthly Summary'!AM129)</f>
      </c>
      <c r="S130" s="74">
        <f>IF('Monthly Summary'!C129="",NA(),'Monthly Summary'!C129)</f>
      </c>
    </row>
    <row r="131" spans="1:19" x14ac:dyDescent="0.2">
      <c r="A131" s="73">
        <f>'Monthly Summary'!A130</f>
      </c>
      <c r="B131" s="74">
        <f>IF('Monthly Summary'!W130="",NA(),'Monthly Summary'!W130)</f>
      </c>
      <c r="C131" s="74">
        <f>IF('Monthly Summary'!X130="",NA(),'Monthly Summary'!X130)</f>
      </c>
      <c r="D131" s="74">
        <f>IF('Monthly Summary'!Y130="",NA(),'Monthly Summary'!Y130)</f>
      </c>
      <c r="E131" s="74">
        <f>IF('Monthly Summary'!Z130="",NA(),'Monthly Summary'!Z130)</f>
      </c>
      <c r="F131" s="74">
        <f>IF('Monthly Summary'!AA130="",NA(),'Monthly Summary'!AA130)</f>
      </c>
      <c r="G131" s="74">
        <f>IF('Monthly Summary'!AB130="",NA(),'Monthly Summary'!AB130)</f>
      </c>
      <c r="H131" s="74">
        <f>IF('Monthly Summary'!AC130="",NA(),'Monthly Summary'!AC130)</f>
      </c>
      <c r="I131" s="74">
        <f>IF('Monthly Summary'!AD130="",NA(),'Monthly Summary'!AD130)</f>
      </c>
      <c r="J131" s="74">
        <f>IF('Monthly Summary'!AE130="",NA(),'Monthly Summary'!AE130)</f>
      </c>
      <c r="K131" s="74">
        <f>IF('Monthly Summary'!AF130="",NA(),'Monthly Summary'!AF130)</f>
      </c>
      <c r="L131" s="74">
        <f>IF('Monthly Summary'!AG130="",NA(),'Monthly Summary'!AG130)</f>
      </c>
      <c r="M131" s="74">
        <f>IF('Monthly Summary'!AH130="",NA(),'Monthly Summary'!AH130)</f>
      </c>
      <c r="N131" s="74">
        <f>IF('Monthly Summary'!AI130="",NA(),'Monthly Summary'!AI130)</f>
      </c>
      <c r="O131" s="74">
        <f>IF('Monthly Summary'!AJ130="",NA(),'Monthly Summary'!AJ130)</f>
      </c>
      <c r="P131" s="74">
        <f>IF('Monthly Summary'!AK130="",NA(),'Monthly Summary'!AK130)</f>
      </c>
      <c r="Q131" s="74">
        <f>IF('Monthly Summary'!AL130="",NA(),'Monthly Summary'!AL130)</f>
      </c>
      <c r="R131" s="74">
        <f>IF('Monthly Summary'!AM130="",NA(),'Monthly Summary'!AM130)</f>
      </c>
      <c r="S131" s="74">
        <f>IF('Monthly Summary'!C130="",NA(),'Monthly Summary'!C130)</f>
      </c>
    </row>
    <row r="132" spans="1:19" x14ac:dyDescent="0.2">
      <c r="A132" s="73">
        <f>'Monthly Summary'!A131</f>
      </c>
      <c r="B132" s="74">
        <f>IF('Monthly Summary'!W131="",NA(),'Monthly Summary'!W131)</f>
      </c>
      <c r="C132" s="74">
        <f>IF('Monthly Summary'!X131="",NA(),'Monthly Summary'!X131)</f>
      </c>
      <c r="D132" s="74">
        <f>IF('Monthly Summary'!Y131="",NA(),'Monthly Summary'!Y131)</f>
      </c>
      <c r="E132" s="74">
        <f>IF('Monthly Summary'!Z131="",NA(),'Monthly Summary'!Z131)</f>
      </c>
      <c r="F132" s="74">
        <f>IF('Monthly Summary'!AA131="",NA(),'Monthly Summary'!AA131)</f>
      </c>
      <c r="G132" s="74">
        <f>IF('Monthly Summary'!AB131="",NA(),'Monthly Summary'!AB131)</f>
      </c>
      <c r="H132" s="74">
        <f>IF('Monthly Summary'!AC131="",NA(),'Monthly Summary'!AC131)</f>
      </c>
      <c r="I132" s="74">
        <f>IF('Monthly Summary'!AD131="",NA(),'Monthly Summary'!AD131)</f>
      </c>
      <c r="J132" s="74">
        <f>IF('Monthly Summary'!AE131="",NA(),'Monthly Summary'!AE131)</f>
      </c>
      <c r="K132" s="74">
        <f>IF('Monthly Summary'!AF131="",NA(),'Monthly Summary'!AF131)</f>
      </c>
      <c r="L132" s="74">
        <f>IF('Monthly Summary'!AG131="",NA(),'Monthly Summary'!AG131)</f>
      </c>
      <c r="M132" s="74">
        <f>IF('Monthly Summary'!AH131="",NA(),'Monthly Summary'!AH131)</f>
      </c>
      <c r="N132" s="74">
        <f>IF('Monthly Summary'!AI131="",NA(),'Monthly Summary'!AI131)</f>
      </c>
      <c r="O132" s="74">
        <f>IF('Monthly Summary'!AJ131="",NA(),'Monthly Summary'!AJ131)</f>
      </c>
      <c r="P132" s="74">
        <f>IF('Monthly Summary'!AK131="",NA(),'Monthly Summary'!AK131)</f>
      </c>
      <c r="Q132" s="74">
        <f>IF('Monthly Summary'!AL131="",NA(),'Monthly Summary'!AL131)</f>
      </c>
      <c r="R132" s="74">
        <f>IF('Monthly Summary'!AM131="",NA(),'Monthly Summary'!AM131)</f>
      </c>
      <c r="S132" s="74">
        <f>IF('Monthly Summary'!C131="",NA(),'Monthly Summary'!C131)</f>
      </c>
    </row>
    <row r="133" spans="1:19" x14ac:dyDescent="0.2">
      <c r="A133" s="73">
        <f>'Monthly Summary'!A132</f>
      </c>
      <c r="B133" s="74">
        <f>IF('Monthly Summary'!W132="",NA(),'Monthly Summary'!W132)</f>
      </c>
      <c r="C133" s="74">
        <f>IF('Monthly Summary'!X132="",NA(),'Monthly Summary'!X132)</f>
      </c>
      <c r="D133" s="74">
        <f>IF('Monthly Summary'!Y132="",NA(),'Monthly Summary'!Y132)</f>
      </c>
      <c r="E133" s="74">
        <f>IF('Monthly Summary'!Z132="",NA(),'Monthly Summary'!Z132)</f>
      </c>
      <c r="F133" s="74">
        <f>IF('Monthly Summary'!AA132="",NA(),'Monthly Summary'!AA132)</f>
      </c>
      <c r="G133" s="74">
        <f>IF('Monthly Summary'!AB132="",NA(),'Monthly Summary'!AB132)</f>
      </c>
      <c r="H133" s="74">
        <f>IF('Monthly Summary'!AC132="",NA(),'Monthly Summary'!AC132)</f>
      </c>
      <c r="I133" s="74">
        <f>IF('Monthly Summary'!AD132="",NA(),'Monthly Summary'!AD132)</f>
      </c>
      <c r="J133" s="74">
        <f>IF('Monthly Summary'!AE132="",NA(),'Monthly Summary'!AE132)</f>
      </c>
      <c r="K133" s="74">
        <f>IF('Monthly Summary'!AF132="",NA(),'Monthly Summary'!AF132)</f>
      </c>
      <c r="L133" s="74">
        <f>IF('Monthly Summary'!AG132="",NA(),'Monthly Summary'!AG132)</f>
      </c>
      <c r="M133" s="74">
        <f>IF('Monthly Summary'!AH132="",NA(),'Monthly Summary'!AH132)</f>
      </c>
      <c r="N133" s="74">
        <f>IF('Monthly Summary'!AI132="",NA(),'Monthly Summary'!AI132)</f>
      </c>
      <c r="O133" s="74">
        <f>IF('Monthly Summary'!AJ132="",NA(),'Monthly Summary'!AJ132)</f>
      </c>
      <c r="P133" s="74">
        <f>IF('Monthly Summary'!AK132="",NA(),'Monthly Summary'!AK132)</f>
      </c>
      <c r="Q133" s="74">
        <f>IF('Monthly Summary'!AL132="",NA(),'Monthly Summary'!AL132)</f>
      </c>
      <c r="R133" s="74">
        <f>IF('Monthly Summary'!AM132="",NA(),'Monthly Summary'!AM132)</f>
      </c>
      <c r="S133" s="74">
        <f>IF('Monthly Summary'!C132="",NA(),'Monthly Summary'!C132)</f>
      </c>
    </row>
    <row r="134" spans="1:19" x14ac:dyDescent="0.2">
      <c r="A134" s="73">
        <f>'Monthly Summary'!A133</f>
      </c>
      <c r="B134" s="74">
        <f>IF('Monthly Summary'!W133="",NA(),'Monthly Summary'!W133)</f>
      </c>
      <c r="C134" s="74">
        <f>IF('Monthly Summary'!X133="",NA(),'Monthly Summary'!X133)</f>
      </c>
      <c r="D134" s="74">
        <f>IF('Monthly Summary'!Y133="",NA(),'Monthly Summary'!Y133)</f>
      </c>
      <c r="E134" s="74">
        <f>IF('Monthly Summary'!Z133="",NA(),'Monthly Summary'!Z133)</f>
      </c>
      <c r="F134" s="74">
        <f>IF('Monthly Summary'!AA133="",NA(),'Monthly Summary'!AA133)</f>
      </c>
      <c r="G134" s="74">
        <f>IF('Monthly Summary'!AB133="",NA(),'Monthly Summary'!AB133)</f>
      </c>
      <c r="H134" s="74">
        <f>IF('Monthly Summary'!AC133="",NA(),'Monthly Summary'!AC133)</f>
      </c>
      <c r="I134" s="74">
        <f>IF('Monthly Summary'!AD133="",NA(),'Monthly Summary'!AD133)</f>
      </c>
      <c r="J134" s="74">
        <f>IF('Monthly Summary'!AE133="",NA(),'Monthly Summary'!AE133)</f>
      </c>
      <c r="K134" s="74">
        <f>IF('Monthly Summary'!AF133="",NA(),'Monthly Summary'!AF133)</f>
      </c>
      <c r="L134" s="74">
        <f>IF('Monthly Summary'!AG133="",NA(),'Monthly Summary'!AG133)</f>
      </c>
      <c r="M134" s="74">
        <f>IF('Monthly Summary'!AH133="",NA(),'Monthly Summary'!AH133)</f>
      </c>
      <c r="N134" s="74">
        <f>IF('Monthly Summary'!AI133="",NA(),'Monthly Summary'!AI133)</f>
      </c>
      <c r="O134" s="74">
        <f>IF('Monthly Summary'!AJ133="",NA(),'Monthly Summary'!AJ133)</f>
      </c>
      <c r="P134" s="74">
        <f>IF('Monthly Summary'!AK133="",NA(),'Monthly Summary'!AK133)</f>
      </c>
      <c r="Q134" s="74">
        <f>IF('Monthly Summary'!AL133="",NA(),'Monthly Summary'!AL133)</f>
      </c>
      <c r="R134" s="74">
        <f>IF('Monthly Summary'!AM133="",NA(),'Monthly Summary'!AM133)</f>
      </c>
      <c r="S134" s="74">
        <f>IF('Monthly Summary'!C133="",NA(),'Monthly Summary'!C133)</f>
      </c>
    </row>
    <row r="135" spans="1:19" x14ac:dyDescent="0.2">
      <c r="A135" s="73">
        <f>'Monthly Summary'!A134</f>
      </c>
      <c r="B135" s="74">
        <f>IF('Monthly Summary'!W134="",NA(),'Monthly Summary'!W134)</f>
      </c>
      <c r="C135" s="74">
        <f>IF('Monthly Summary'!X134="",NA(),'Monthly Summary'!X134)</f>
      </c>
      <c r="D135" s="74">
        <f>IF('Monthly Summary'!Y134="",NA(),'Monthly Summary'!Y134)</f>
      </c>
      <c r="E135" s="74">
        <f>IF('Monthly Summary'!Z134="",NA(),'Monthly Summary'!Z134)</f>
      </c>
      <c r="F135" s="74">
        <f>IF('Monthly Summary'!AA134="",NA(),'Monthly Summary'!AA134)</f>
      </c>
      <c r="G135" s="74">
        <f>IF('Monthly Summary'!AB134="",NA(),'Monthly Summary'!AB134)</f>
      </c>
      <c r="H135" s="74">
        <f>IF('Monthly Summary'!AC134="",NA(),'Monthly Summary'!AC134)</f>
      </c>
      <c r="I135" s="74">
        <f>IF('Monthly Summary'!AD134="",NA(),'Monthly Summary'!AD134)</f>
      </c>
      <c r="J135" s="74">
        <f>IF('Monthly Summary'!AE134="",NA(),'Monthly Summary'!AE134)</f>
      </c>
      <c r="K135" s="74">
        <f>IF('Monthly Summary'!AF134="",NA(),'Monthly Summary'!AF134)</f>
      </c>
      <c r="L135" s="74">
        <f>IF('Monthly Summary'!AG134="",NA(),'Monthly Summary'!AG134)</f>
      </c>
      <c r="M135" s="74">
        <f>IF('Monthly Summary'!AH134="",NA(),'Monthly Summary'!AH134)</f>
      </c>
      <c r="N135" s="74">
        <f>IF('Monthly Summary'!AI134="",NA(),'Monthly Summary'!AI134)</f>
      </c>
      <c r="O135" s="74">
        <f>IF('Monthly Summary'!AJ134="",NA(),'Monthly Summary'!AJ134)</f>
      </c>
      <c r="P135" s="74">
        <f>IF('Monthly Summary'!AK134="",NA(),'Monthly Summary'!AK134)</f>
      </c>
      <c r="Q135" s="74">
        <f>IF('Monthly Summary'!AL134="",NA(),'Monthly Summary'!AL134)</f>
      </c>
      <c r="R135" s="74">
        <f>IF('Monthly Summary'!AM134="",NA(),'Monthly Summary'!AM134)</f>
      </c>
      <c r="S135" s="74">
        <f>IF('Monthly Summary'!C134="",NA(),'Monthly Summary'!C134)</f>
      </c>
    </row>
    <row r="136" spans="1:19" x14ac:dyDescent="0.2">
      <c r="A136" s="73">
        <f>'Monthly Summary'!A135</f>
      </c>
      <c r="B136" s="74">
        <f>IF('Monthly Summary'!W135="",NA(),'Monthly Summary'!W135)</f>
      </c>
      <c r="C136" s="74">
        <f>IF('Monthly Summary'!X135="",NA(),'Monthly Summary'!X135)</f>
      </c>
      <c r="D136" s="74">
        <f>IF('Monthly Summary'!Y135="",NA(),'Monthly Summary'!Y135)</f>
      </c>
      <c r="E136" s="74">
        <f>IF('Monthly Summary'!Z135="",NA(),'Monthly Summary'!Z135)</f>
      </c>
      <c r="F136" s="74">
        <f>IF('Monthly Summary'!AA135="",NA(),'Monthly Summary'!AA135)</f>
      </c>
      <c r="G136" s="74">
        <f>IF('Monthly Summary'!AB135="",NA(),'Monthly Summary'!AB135)</f>
      </c>
      <c r="H136" s="74">
        <f>IF('Monthly Summary'!AC135="",NA(),'Monthly Summary'!AC135)</f>
      </c>
      <c r="I136" s="74">
        <f>IF('Monthly Summary'!AD135="",NA(),'Monthly Summary'!AD135)</f>
      </c>
      <c r="J136" s="74">
        <f>IF('Monthly Summary'!AE135="",NA(),'Monthly Summary'!AE135)</f>
      </c>
      <c r="K136" s="74">
        <f>IF('Monthly Summary'!AF135="",NA(),'Monthly Summary'!AF135)</f>
      </c>
      <c r="L136" s="74">
        <f>IF('Monthly Summary'!AG135="",NA(),'Monthly Summary'!AG135)</f>
      </c>
      <c r="M136" s="74">
        <f>IF('Monthly Summary'!AH135="",NA(),'Monthly Summary'!AH135)</f>
      </c>
      <c r="N136" s="74">
        <f>IF('Monthly Summary'!AI135="",NA(),'Monthly Summary'!AI135)</f>
      </c>
      <c r="O136" s="74">
        <f>IF('Monthly Summary'!AJ135="",NA(),'Monthly Summary'!AJ135)</f>
      </c>
      <c r="P136" s="74">
        <f>IF('Monthly Summary'!AK135="",NA(),'Monthly Summary'!AK135)</f>
      </c>
      <c r="Q136" s="74">
        <f>IF('Monthly Summary'!AL135="",NA(),'Monthly Summary'!AL135)</f>
      </c>
      <c r="R136" s="74">
        <f>IF('Monthly Summary'!AM135="",NA(),'Monthly Summary'!AM135)</f>
      </c>
      <c r="S136" s="74">
        <f>IF('Monthly Summary'!C135="",NA(),'Monthly Summary'!C135)</f>
      </c>
    </row>
    <row r="137" spans="1:19" x14ac:dyDescent="0.2">
      <c r="A137" s="73">
        <f>'Monthly Summary'!A136</f>
      </c>
      <c r="B137" s="74">
        <f>IF('Monthly Summary'!W136="",NA(),'Monthly Summary'!W136)</f>
      </c>
      <c r="C137" s="74">
        <f>IF('Monthly Summary'!X136="",NA(),'Monthly Summary'!X136)</f>
      </c>
      <c r="D137" s="74">
        <f>IF('Monthly Summary'!Y136="",NA(),'Monthly Summary'!Y136)</f>
      </c>
      <c r="E137" s="74">
        <f>IF('Monthly Summary'!Z136="",NA(),'Monthly Summary'!Z136)</f>
      </c>
      <c r="F137" s="74">
        <f>IF('Monthly Summary'!AA136="",NA(),'Monthly Summary'!AA136)</f>
      </c>
      <c r="G137" s="74">
        <f>IF('Monthly Summary'!AB136="",NA(),'Monthly Summary'!AB136)</f>
      </c>
      <c r="H137" s="74">
        <f>IF('Monthly Summary'!AC136="",NA(),'Monthly Summary'!AC136)</f>
      </c>
      <c r="I137" s="74">
        <f>IF('Monthly Summary'!AD136="",NA(),'Monthly Summary'!AD136)</f>
      </c>
      <c r="J137" s="74">
        <f>IF('Monthly Summary'!AE136="",NA(),'Monthly Summary'!AE136)</f>
      </c>
      <c r="K137" s="74">
        <f>IF('Monthly Summary'!AF136="",NA(),'Monthly Summary'!AF136)</f>
      </c>
      <c r="L137" s="74">
        <f>IF('Monthly Summary'!AG136="",NA(),'Monthly Summary'!AG136)</f>
      </c>
      <c r="M137" s="74">
        <f>IF('Monthly Summary'!AH136="",NA(),'Monthly Summary'!AH136)</f>
      </c>
      <c r="N137" s="74">
        <f>IF('Monthly Summary'!AI136="",NA(),'Monthly Summary'!AI136)</f>
      </c>
      <c r="O137" s="74">
        <f>IF('Monthly Summary'!AJ136="",NA(),'Monthly Summary'!AJ136)</f>
      </c>
      <c r="P137" s="74">
        <f>IF('Monthly Summary'!AK136="",NA(),'Monthly Summary'!AK136)</f>
      </c>
      <c r="Q137" s="74">
        <f>IF('Monthly Summary'!AL136="",NA(),'Monthly Summary'!AL136)</f>
      </c>
      <c r="R137" s="74">
        <f>IF('Monthly Summary'!AM136="",NA(),'Monthly Summary'!AM136)</f>
      </c>
      <c r="S137" s="74">
        <f>IF('Monthly Summary'!C136="",NA(),'Monthly Summary'!C136)</f>
      </c>
    </row>
    <row r="138" spans="1:19" x14ac:dyDescent="0.2">
      <c r="A138" s="73">
        <f>'Monthly Summary'!A137</f>
      </c>
      <c r="B138" s="74">
        <f>IF('Monthly Summary'!W137="",NA(),'Monthly Summary'!W137)</f>
      </c>
      <c r="C138" s="74">
        <f>IF('Monthly Summary'!X137="",NA(),'Monthly Summary'!X137)</f>
      </c>
      <c r="D138" s="74">
        <f>IF('Monthly Summary'!Y137="",NA(),'Monthly Summary'!Y137)</f>
      </c>
      <c r="E138" s="74">
        <f>IF('Monthly Summary'!Z137="",NA(),'Monthly Summary'!Z137)</f>
      </c>
      <c r="F138" s="74">
        <f>IF('Monthly Summary'!AA137="",NA(),'Monthly Summary'!AA137)</f>
      </c>
      <c r="G138" s="74">
        <f>IF('Monthly Summary'!AB137="",NA(),'Monthly Summary'!AB137)</f>
      </c>
      <c r="H138" s="74">
        <f>IF('Monthly Summary'!AC137="",NA(),'Monthly Summary'!AC137)</f>
      </c>
      <c r="I138" s="74">
        <f>IF('Monthly Summary'!AD137="",NA(),'Monthly Summary'!AD137)</f>
      </c>
      <c r="J138" s="74">
        <f>IF('Monthly Summary'!AE137="",NA(),'Monthly Summary'!AE137)</f>
      </c>
      <c r="K138" s="74">
        <f>IF('Monthly Summary'!AF137="",NA(),'Monthly Summary'!AF137)</f>
      </c>
      <c r="L138" s="74">
        <f>IF('Monthly Summary'!AG137="",NA(),'Monthly Summary'!AG137)</f>
      </c>
      <c r="M138" s="74">
        <f>IF('Monthly Summary'!AH137="",NA(),'Monthly Summary'!AH137)</f>
      </c>
      <c r="N138" s="74">
        <f>IF('Monthly Summary'!AI137="",NA(),'Monthly Summary'!AI137)</f>
      </c>
      <c r="O138" s="74">
        <f>IF('Monthly Summary'!AJ137="",NA(),'Monthly Summary'!AJ137)</f>
      </c>
      <c r="P138" s="74">
        <f>IF('Monthly Summary'!AK137="",NA(),'Monthly Summary'!AK137)</f>
      </c>
      <c r="Q138" s="74">
        <f>IF('Monthly Summary'!AL137="",NA(),'Monthly Summary'!AL137)</f>
      </c>
      <c r="R138" s="74">
        <f>IF('Monthly Summary'!AM137="",NA(),'Monthly Summary'!AM137)</f>
      </c>
      <c r="S138" s="74">
        <f>IF('Monthly Summary'!C137="",NA(),'Monthly Summary'!C137)</f>
      </c>
    </row>
    <row r="139" spans="1:19" x14ac:dyDescent="0.2">
      <c r="A139" s="73">
        <f>'Monthly Summary'!A138</f>
      </c>
      <c r="B139" s="74">
        <f>IF('Monthly Summary'!W138="",NA(),'Monthly Summary'!W138)</f>
      </c>
      <c r="C139" s="74">
        <f>IF('Monthly Summary'!X138="",NA(),'Monthly Summary'!X138)</f>
      </c>
      <c r="D139" s="74">
        <f>IF('Monthly Summary'!Y138="",NA(),'Monthly Summary'!Y138)</f>
      </c>
      <c r="E139" s="74">
        <f>IF('Monthly Summary'!Z138="",NA(),'Monthly Summary'!Z138)</f>
      </c>
      <c r="F139" s="74">
        <f>IF('Monthly Summary'!AA138="",NA(),'Monthly Summary'!AA138)</f>
      </c>
      <c r="G139" s="74">
        <f>IF('Monthly Summary'!AB138="",NA(),'Monthly Summary'!AB138)</f>
      </c>
      <c r="H139" s="74">
        <f>IF('Monthly Summary'!AC138="",NA(),'Monthly Summary'!AC138)</f>
      </c>
      <c r="I139" s="74">
        <f>IF('Monthly Summary'!AD138="",NA(),'Monthly Summary'!AD138)</f>
      </c>
      <c r="J139" s="74">
        <f>IF('Monthly Summary'!AE138="",NA(),'Monthly Summary'!AE138)</f>
      </c>
      <c r="K139" s="74">
        <f>IF('Monthly Summary'!AF138="",NA(),'Monthly Summary'!AF138)</f>
      </c>
      <c r="L139" s="74">
        <f>IF('Monthly Summary'!AG138="",NA(),'Monthly Summary'!AG138)</f>
      </c>
      <c r="M139" s="74">
        <f>IF('Monthly Summary'!AH138="",NA(),'Monthly Summary'!AH138)</f>
      </c>
      <c r="N139" s="74">
        <f>IF('Monthly Summary'!AI138="",NA(),'Monthly Summary'!AI138)</f>
      </c>
      <c r="O139" s="74">
        <f>IF('Monthly Summary'!AJ138="",NA(),'Monthly Summary'!AJ138)</f>
      </c>
      <c r="P139" s="74">
        <f>IF('Monthly Summary'!AK138="",NA(),'Monthly Summary'!AK138)</f>
      </c>
      <c r="Q139" s="74">
        <f>IF('Monthly Summary'!AL138="",NA(),'Monthly Summary'!AL138)</f>
      </c>
      <c r="R139" s="74">
        <f>IF('Monthly Summary'!AM138="",NA(),'Monthly Summary'!AM138)</f>
      </c>
      <c r="S139" s="74">
        <f>IF('Monthly Summary'!C138="",NA(),'Monthly Summary'!C138)</f>
      </c>
    </row>
    <row r="140" spans="1:19" x14ac:dyDescent="0.2">
      <c r="A140" s="73">
        <f>'Monthly Summary'!A139</f>
      </c>
      <c r="B140" s="74">
        <f>IF('Monthly Summary'!W139="",NA(),'Monthly Summary'!W139)</f>
      </c>
      <c r="C140" s="74">
        <f>IF('Monthly Summary'!X139="",NA(),'Monthly Summary'!X139)</f>
      </c>
      <c r="D140" s="74">
        <f>IF('Monthly Summary'!Y139="",NA(),'Monthly Summary'!Y139)</f>
      </c>
      <c r="E140" s="74">
        <f>IF('Monthly Summary'!Z139="",NA(),'Monthly Summary'!Z139)</f>
      </c>
      <c r="F140" s="74">
        <f>IF('Monthly Summary'!AA139="",NA(),'Monthly Summary'!AA139)</f>
      </c>
      <c r="G140" s="74">
        <f>IF('Monthly Summary'!AB139="",NA(),'Monthly Summary'!AB139)</f>
      </c>
      <c r="H140" s="74">
        <f>IF('Monthly Summary'!AC139="",NA(),'Monthly Summary'!AC139)</f>
      </c>
      <c r="I140" s="74">
        <f>IF('Monthly Summary'!AD139="",NA(),'Monthly Summary'!AD139)</f>
      </c>
      <c r="J140" s="74">
        <f>IF('Monthly Summary'!AE139="",NA(),'Monthly Summary'!AE139)</f>
      </c>
      <c r="K140" s="74">
        <f>IF('Monthly Summary'!AF139="",NA(),'Monthly Summary'!AF139)</f>
      </c>
      <c r="L140" s="74">
        <f>IF('Monthly Summary'!AG139="",NA(),'Monthly Summary'!AG139)</f>
      </c>
      <c r="M140" s="74">
        <f>IF('Monthly Summary'!AH139="",NA(),'Monthly Summary'!AH139)</f>
      </c>
      <c r="N140" s="74">
        <f>IF('Monthly Summary'!AI139="",NA(),'Monthly Summary'!AI139)</f>
      </c>
      <c r="O140" s="74">
        <f>IF('Monthly Summary'!AJ139="",NA(),'Monthly Summary'!AJ139)</f>
      </c>
      <c r="P140" s="74">
        <f>IF('Monthly Summary'!AK139="",NA(),'Monthly Summary'!AK139)</f>
      </c>
      <c r="Q140" s="74">
        <f>IF('Monthly Summary'!AL139="",NA(),'Monthly Summary'!AL139)</f>
      </c>
      <c r="R140" s="74">
        <f>IF('Monthly Summary'!AM139="",NA(),'Monthly Summary'!AM139)</f>
      </c>
      <c r="S140" s="74">
        <f>IF('Monthly Summary'!C139="",NA(),'Monthly Summary'!C139)</f>
      </c>
    </row>
    <row r="141" spans="1:19" x14ac:dyDescent="0.2">
      <c r="A141" s="73">
        <f>'Monthly Summary'!A140</f>
      </c>
      <c r="B141" s="74">
        <f>IF('Monthly Summary'!W140="",NA(),'Monthly Summary'!W140)</f>
      </c>
      <c r="C141" s="74">
        <f>IF('Monthly Summary'!X140="",NA(),'Monthly Summary'!X140)</f>
      </c>
      <c r="D141" s="74">
        <f>IF('Monthly Summary'!Y140="",NA(),'Monthly Summary'!Y140)</f>
      </c>
      <c r="E141" s="74">
        <f>IF('Monthly Summary'!Z140="",NA(),'Monthly Summary'!Z140)</f>
      </c>
      <c r="F141" s="74">
        <f>IF('Monthly Summary'!AA140="",NA(),'Monthly Summary'!AA140)</f>
      </c>
      <c r="G141" s="74">
        <f>IF('Monthly Summary'!AB140="",NA(),'Monthly Summary'!AB140)</f>
      </c>
      <c r="H141" s="74">
        <f>IF('Monthly Summary'!AC140="",NA(),'Monthly Summary'!AC140)</f>
      </c>
      <c r="I141" s="74">
        <f>IF('Monthly Summary'!AD140="",NA(),'Monthly Summary'!AD140)</f>
      </c>
      <c r="J141" s="74">
        <f>IF('Monthly Summary'!AE140="",NA(),'Monthly Summary'!AE140)</f>
      </c>
      <c r="K141" s="74">
        <f>IF('Monthly Summary'!AF140="",NA(),'Monthly Summary'!AF140)</f>
      </c>
      <c r="L141" s="74">
        <f>IF('Monthly Summary'!AG140="",NA(),'Monthly Summary'!AG140)</f>
      </c>
      <c r="M141" s="74">
        <f>IF('Monthly Summary'!AH140="",NA(),'Monthly Summary'!AH140)</f>
      </c>
      <c r="N141" s="74">
        <f>IF('Monthly Summary'!AI140="",NA(),'Monthly Summary'!AI140)</f>
      </c>
      <c r="O141" s="74">
        <f>IF('Monthly Summary'!AJ140="",NA(),'Monthly Summary'!AJ140)</f>
      </c>
      <c r="P141" s="74">
        <f>IF('Monthly Summary'!AK140="",NA(),'Monthly Summary'!AK140)</f>
      </c>
      <c r="Q141" s="74">
        <f>IF('Monthly Summary'!AL140="",NA(),'Monthly Summary'!AL140)</f>
      </c>
      <c r="R141" s="74">
        <f>IF('Monthly Summary'!AM140="",NA(),'Monthly Summary'!AM140)</f>
      </c>
      <c r="S141" s="74">
        <f>IF('Monthly Summary'!C140="",NA(),'Monthly Summary'!C140)</f>
      </c>
    </row>
    <row r="142" spans="1:19" x14ac:dyDescent="0.2">
      <c r="A142" s="73">
        <f>'Monthly Summary'!A141</f>
      </c>
      <c r="B142" s="74">
        <f>IF('Monthly Summary'!W141="",NA(),'Monthly Summary'!W141)</f>
      </c>
      <c r="C142" s="74">
        <f>IF('Monthly Summary'!X141="",NA(),'Monthly Summary'!X141)</f>
      </c>
      <c r="D142" s="74">
        <f>IF('Monthly Summary'!Y141="",NA(),'Monthly Summary'!Y141)</f>
      </c>
      <c r="E142" s="74">
        <f>IF('Monthly Summary'!Z141="",NA(),'Monthly Summary'!Z141)</f>
      </c>
      <c r="F142" s="74">
        <f>IF('Monthly Summary'!AA141="",NA(),'Monthly Summary'!AA141)</f>
      </c>
      <c r="G142" s="74">
        <f>IF('Monthly Summary'!AB141="",NA(),'Monthly Summary'!AB141)</f>
      </c>
      <c r="H142" s="74">
        <f>IF('Monthly Summary'!AC141="",NA(),'Monthly Summary'!AC141)</f>
      </c>
      <c r="I142" s="74">
        <f>IF('Monthly Summary'!AD141="",NA(),'Monthly Summary'!AD141)</f>
      </c>
      <c r="J142" s="74">
        <f>IF('Monthly Summary'!AE141="",NA(),'Monthly Summary'!AE141)</f>
      </c>
      <c r="K142" s="74">
        <f>IF('Monthly Summary'!AF141="",NA(),'Monthly Summary'!AF141)</f>
      </c>
      <c r="L142" s="74">
        <f>IF('Monthly Summary'!AG141="",NA(),'Monthly Summary'!AG141)</f>
      </c>
      <c r="M142" s="74">
        <f>IF('Monthly Summary'!AH141="",NA(),'Monthly Summary'!AH141)</f>
      </c>
      <c r="N142" s="74">
        <f>IF('Monthly Summary'!AI141="",NA(),'Monthly Summary'!AI141)</f>
      </c>
      <c r="O142" s="74">
        <f>IF('Monthly Summary'!AJ141="",NA(),'Monthly Summary'!AJ141)</f>
      </c>
      <c r="P142" s="74">
        <f>IF('Monthly Summary'!AK141="",NA(),'Monthly Summary'!AK141)</f>
      </c>
      <c r="Q142" s="74">
        <f>IF('Monthly Summary'!AL141="",NA(),'Monthly Summary'!AL141)</f>
      </c>
      <c r="R142" s="74">
        <f>IF('Monthly Summary'!AM141="",NA(),'Monthly Summary'!AM141)</f>
      </c>
      <c r="S142" s="74">
        <f>IF('Monthly Summary'!C141="",NA(),'Monthly Summary'!C141)</f>
      </c>
    </row>
    <row r="143" spans="1:19" x14ac:dyDescent="0.2">
      <c r="A143" s="73">
        <f>'Monthly Summary'!A142</f>
      </c>
      <c r="B143" s="74">
        <f>IF('Monthly Summary'!W142="",NA(),'Monthly Summary'!W142)</f>
      </c>
      <c r="C143" s="74">
        <f>IF('Monthly Summary'!X142="",NA(),'Monthly Summary'!X142)</f>
      </c>
      <c r="D143" s="74">
        <f>IF('Monthly Summary'!Y142="",NA(),'Monthly Summary'!Y142)</f>
      </c>
      <c r="E143" s="74">
        <f>IF('Monthly Summary'!Z142="",NA(),'Monthly Summary'!Z142)</f>
      </c>
      <c r="F143" s="74">
        <f>IF('Monthly Summary'!AA142="",NA(),'Monthly Summary'!AA142)</f>
      </c>
      <c r="G143" s="74">
        <f>IF('Monthly Summary'!AB142="",NA(),'Monthly Summary'!AB142)</f>
      </c>
      <c r="H143" s="74">
        <f>IF('Monthly Summary'!AC142="",NA(),'Monthly Summary'!AC142)</f>
      </c>
      <c r="I143" s="74">
        <f>IF('Monthly Summary'!AD142="",NA(),'Monthly Summary'!AD142)</f>
      </c>
      <c r="J143" s="74">
        <f>IF('Monthly Summary'!AE142="",NA(),'Monthly Summary'!AE142)</f>
      </c>
      <c r="K143" s="74">
        <f>IF('Monthly Summary'!AF142="",NA(),'Monthly Summary'!AF142)</f>
      </c>
      <c r="L143" s="74">
        <f>IF('Monthly Summary'!AG142="",NA(),'Monthly Summary'!AG142)</f>
      </c>
      <c r="M143" s="74">
        <f>IF('Monthly Summary'!AH142="",NA(),'Monthly Summary'!AH142)</f>
      </c>
      <c r="N143" s="74">
        <f>IF('Monthly Summary'!AI142="",NA(),'Monthly Summary'!AI142)</f>
      </c>
      <c r="O143" s="74">
        <f>IF('Monthly Summary'!AJ142="",NA(),'Monthly Summary'!AJ142)</f>
      </c>
      <c r="P143" s="74">
        <f>IF('Monthly Summary'!AK142="",NA(),'Monthly Summary'!AK142)</f>
      </c>
      <c r="Q143" s="74">
        <f>IF('Monthly Summary'!AL142="",NA(),'Monthly Summary'!AL142)</f>
      </c>
      <c r="R143" s="74">
        <f>IF('Monthly Summary'!AM142="",NA(),'Monthly Summary'!AM142)</f>
      </c>
      <c r="S143" s="74">
        <f>IF('Monthly Summary'!C142="",NA(),'Monthly Summary'!C142)</f>
      </c>
    </row>
    <row r="144" spans="1:19" x14ac:dyDescent="0.2">
      <c r="A144" s="73">
        <f>'Monthly Summary'!A143</f>
      </c>
      <c r="B144" s="74">
        <f>IF('Monthly Summary'!W143="",NA(),'Monthly Summary'!W143)</f>
      </c>
      <c r="C144" s="74">
        <f>IF('Monthly Summary'!X143="",NA(),'Monthly Summary'!X143)</f>
      </c>
      <c r="D144" s="74">
        <f>IF('Monthly Summary'!Y143="",NA(),'Monthly Summary'!Y143)</f>
      </c>
      <c r="E144" s="74">
        <f>IF('Monthly Summary'!Z143="",NA(),'Monthly Summary'!Z143)</f>
      </c>
      <c r="F144" s="74">
        <f>IF('Monthly Summary'!AA143="",NA(),'Monthly Summary'!AA143)</f>
      </c>
      <c r="G144" s="74">
        <f>IF('Monthly Summary'!AB143="",NA(),'Monthly Summary'!AB143)</f>
      </c>
      <c r="H144" s="74">
        <f>IF('Monthly Summary'!AC143="",NA(),'Monthly Summary'!AC143)</f>
      </c>
      <c r="I144" s="74">
        <f>IF('Monthly Summary'!AD143="",NA(),'Monthly Summary'!AD143)</f>
      </c>
      <c r="J144" s="74">
        <f>IF('Monthly Summary'!AE143="",NA(),'Monthly Summary'!AE143)</f>
      </c>
      <c r="K144" s="74">
        <f>IF('Monthly Summary'!AF143="",NA(),'Monthly Summary'!AF143)</f>
      </c>
      <c r="L144" s="74">
        <f>IF('Monthly Summary'!AG143="",NA(),'Monthly Summary'!AG143)</f>
      </c>
      <c r="M144" s="74">
        <f>IF('Monthly Summary'!AH143="",NA(),'Monthly Summary'!AH143)</f>
      </c>
      <c r="N144" s="74">
        <f>IF('Monthly Summary'!AI143="",NA(),'Monthly Summary'!AI143)</f>
      </c>
      <c r="O144" s="74">
        <f>IF('Monthly Summary'!AJ143="",NA(),'Monthly Summary'!AJ143)</f>
      </c>
      <c r="P144" s="74">
        <f>IF('Monthly Summary'!AK143="",NA(),'Monthly Summary'!AK143)</f>
      </c>
      <c r="Q144" s="74">
        <f>IF('Monthly Summary'!AL143="",NA(),'Monthly Summary'!AL143)</f>
      </c>
      <c r="R144" s="74">
        <f>IF('Monthly Summary'!AM143="",NA(),'Monthly Summary'!AM143)</f>
      </c>
      <c r="S144" s="74">
        <f>IF('Monthly Summary'!C143="",NA(),'Monthly Summary'!C143)</f>
      </c>
    </row>
    <row r="145" spans="1:19" x14ac:dyDescent="0.2">
      <c r="A145" s="73">
        <f>'Monthly Summary'!A144</f>
      </c>
      <c r="B145" s="74">
        <f>IF('Monthly Summary'!W144="",NA(),'Monthly Summary'!W144)</f>
      </c>
      <c r="C145" s="74">
        <f>IF('Monthly Summary'!X144="",NA(),'Monthly Summary'!X144)</f>
      </c>
      <c r="D145" s="74">
        <f>IF('Monthly Summary'!Y144="",NA(),'Monthly Summary'!Y144)</f>
      </c>
      <c r="E145" s="74">
        <f>IF('Monthly Summary'!Z144="",NA(),'Monthly Summary'!Z144)</f>
      </c>
      <c r="F145" s="74">
        <f>IF('Monthly Summary'!AA144="",NA(),'Monthly Summary'!AA144)</f>
      </c>
      <c r="G145" s="74">
        <f>IF('Monthly Summary'!AB144="",NA(),'Monthly Summary'!AB144)</f>
      </c>
      <c r="H145" s="74">
        <f>IF('Monthly Summary'!AC144="",NA(),'Monthly Summary'!AC144)</f>
      </c>
      <c r="I145" s="74">
        <f>IF('Monthly Summary'!AD144="",NA(),'Monthly Summary'!AD144)</f>
      </c>
      <c r="J145" s="74">
        <f>IF('Monthly Summary'!AE144="",NA(),'Monthly Summary'!AE144)</f>
      </c>
      <c r="K145" s="74">
        <f>IF('Monthly Summary'!AF144="",NA(),'Monthly Summary'!AF144)</f>
      </c>
      <c r="L145" s="74">
        <f>IF('Monthly Summary'!AG144="",NA(),'Monthly Summary'!AG144)</f>
      </c>
      <c r="M145" s="74">
        <f>IF('Monthly Summary'!AH144="",NA(),'Monthly Summary'!AH144)</f>
      </c>
      <c r="N145" s="74">
        <f>IF('Monthly Summary'!AI144="",NA(),'Monthly Summary'!AI144)</f>
      </c>
      <c r="O145" s="74">
        <f>IF('Monthly Summary'!AJ144="",NA(),'Monthly Summary'!AJ144)</f>
      </c>
      <c r="P145" s="74">
        <f>IF('Monthly Summary'!AK144="",NA(),'Monthly Summary'!AK144)</f>
      </c>
      <c r="Q145" s="74">
        <f>IF('Monthly Summary'!AL144="",NA(),'Monthly Summary'!AL144)</f>
      </c>
      <c r="R145" s="74">
        <f>IF('Monthly Summary'!AM144="",NA(),'Monthly Summary'!AM144)</f>
      </c>
      <c r="S145" s="74">
        <f>IF('Monthly Summary'!C144="",NA(),'Monthly Summary'!C144)</f>
      </c>
    </row>
    <row r="146" spans="1:19" x14ac:dyDescent="0.2">
      <c r="A146" s="73">
        <f>'Monthly Summary'!A145</f>
      </c>
      <c r="B146" s="74">
        <f>IF('Monthly Summary'!W145="",NA(),'Monthly Summary'!W145)</f>
      </c>
      <c r="C146" s="74">
        <f>IF('Monthly Summary'!X145="",NA(),'Monthly Summary'!X145)</f>
      </c>
      <c r="D146" s="74">
        <f>IF('Monthly Summary'!Y145="",NA(),'Monthly Summary'!Y145)</f>
      </c>
      <c r="E146" s="74">
        <f>IF('Monthly Summary'!Z145="",NA(),'Monthly Summary'!Z145)</f>
      </c>
      <c r="F146" s="74">
        <f>IF('Monthly Summary'!AA145="",NA(),'Monthly Summary'!AA145)</f>
      </c>
      <c r="G146" s="74">
        <f>IF('Monthly Summary'!AB145="",NA(),'Monthly Summary'!AB145)</f>
      </c>
      <c r="H146" s="74">
        <f>IF('Monthly Summary'!AC145="",NA(),'Monthly Summary'!AC145)</f>
      </c>
      <c r="I146" s="74">
        <f>IF('Monthly Summary'!AD145="",NA(),'Monthly Summary'!AD145)</f>
      </c>
      <c r="J146" s="74">
        <f>IF('Monthly Summary'!AE145="",NA(),'Monthly Summary'!AE145)</f>
      </c>
      <c r="K146" s="74">
        <f>IF('Monthly Summary'!AF145="",NA(),'Monthly Summary'!AF145)</f>
      </c>
      <c r="L146" s="74">
        <f>IF('Monthly Summary'!AG145="",NA(),'Monthly Summary'!AG145)</f>
      </c>
      <c r="M146" s="74">
        <f>IF('Monthly Summary'!AH145="",NA(),'Monthly Summary'!AH145)</f>
      </c>
      <c r="N146" s="74">
        <f>IF('Monthly Summary'!AI145="",NA(),'Monthly Summary'!AI145)</f>
      </c>
      <c r="O146" s="74">
        <f>IF('Monthly Summary'!AJ145="",NA(),'Monthly Summary'!AJ145)</f>
      </c>
      <c r="P146" s="74">
        <f>IF('Monthly Summary'!AK145="",NA(),'Monthly Summary'!AK145)</f>
      </c>
      <c r="Q146" s="74">
        <f>IF('Monthly Summary'!AL145="",NA(),'Monthly Summary'!AL145)</f>
      </c>
      <c r="R146" s="74">
        <f>IF('Monthly Summary'!AM145="",NA(),'Monthly Summary'!AM145)</f>
      </c>
      <c r="S146" s="74">
        <f>IF('Monthly Summary'!C145="",NA(),'Monthly Summary'!C145)</f>
      </c>
    </row>
    <row r="147" spans="1:19" x14ac:dyDescent="0.2">
      <c r="A147" s="73">
        <f>'Monthly Summary'!A146</f>
      </c>
      <c r="B147" s="74">
        <f>IF('Monthly Summary'!W146="",NA(),'Monthly Summary'!W146)</f>
      </c>
      <c r="C147" s="74">
        <f>IF('Monthly Summary'!X146="",NA(),'Monthly Summary'!X146)</f>
      </c>
      <c r="D147" s="74">
        <f>IF('Monthly Summary'!Y146="",NA(),'Monthly Summary'!Y146)</f>
      </c>
      <c r="E147" s="74">
        <f>IF('Monthly Summary'!Z146="",NA(),'Monthly Summary'!Z146)</f>
      </c>
      <c r="F147" s="74">
        <f>IF('Monthly Summary'!AA146="",NA(),'Monthly Summary'!AA146)</f>
      </c>
      <c r="G147" s="74">
        <f>IF('Monthly Summary'!AB146="",NA(),'Monthly Summary'!AB146)</f>
      </c>
      <c r="H147" s="74">
        <f>IF('Monthly Summary'!AC146="",NA(),'Monthly Summary'!AC146)</f>
      </c>
      <c r="I147" s="74">
        <f>IF('Monthly Summary'!AD146="",NA(),'Monthly Summary'!AD146)</f>
      </c>
      <c r="J147" s="74">
        <f>IF('Monthly Summary'!AE146="",NA(),'Monthly Summary'!AE146)</f>
      </c>
      <c r="K147" s="74">
        <f>IF('Monthly Summary'!AF146="",NA(),'Monthly Summary'!AF146)</f>
      </c>
      <c r="L147" s="74">
        <f>IF('Monthly Summary'!AG146="",NA(),'Monthly Summary'!AG146)</f>
      </c>
      <c r="M147" s="74">
        <f>IF('Monthly Summary'!AH146="",NA(),'Monthly Summary'!AH146)</f>
      </c>
      <c r="N147" s="74">
        <f>IF('Monthly Summary'!AI146="",NA(),'Monthly Summary'!AI146)</f>
      </c>
      <c r="O147" s="74">
        <f>IF('Monthly Summary'!AJ146="",NA(),'Monthly Summary'!AJ146)</f>
      </c>
      <c r="P147" s="74">
        <f>IF('Monthly Summary'!AK146="",NA(),'Monthly Summary'!AK146)</f>
      </c>
      <c r="Q147" s="74">
        <f>IF('Monthly Summary'!AL146="",NA(),'Monthly Summary'!AL146)</f>
      </c>
      <c r="R147" s="74">
        <f>IF('Monthly Summary'!AM146="",NA(),'Monthly Summary'!AM146)</f>
      </c>
      <c r="S147" s="74">
        <f>IF('Monthly Summary'!C146="",NA(),'Monthly Summary'!C146)</f>
      </c>
    </row>
    <row r="148" spans="1:19" x14ac:dyDescent="0.2">
      <c r="A148" s="73">
        <f>'Monthly Summary'!A147</f>
      </c>
      <c r="B148" s="74">
        <f>IF('Monthly Summary'!W147="",NA(),'Monthly Summary'!W147)</f>
      </c>
      <c r="C148" s="74">
        <f>IF('Monthly Summary'!X147="",NA(),'Monthly Summary'!X147)</f>
      </c>
      <c r="D148" s="74">
        <f>IF('Monthly Summary'!Y147="",NA(),'Monthly Summary'!Y147)</f>
      </c>
      <c r="E148" s="74">
        <f>IF('Monthly Summary'!Z147="",NA(),'Monthly Summary'!Z147)</f>
      </c>
      <c r="F148" s="74">
        <f>IF('Monthly Summary'!AA147="",NA(),'Monthly Summary'!AA147)</f>
      </c>
      <c r="G148" s="74">
        <f>IF('Monthly Summary'!AB147="",NA(),'Monthly Summary'!AB147)</f>
      </c>
      <c r="H148" s="74">
        <f>IF('Monthly Summary'!AC147="",NA(),'Monthly Summary'!AC147)</f>
      </c>
      <c r="I148" s="74">
        <f>IF('Monthly Summary'!AD147="",NA(),'Monthly Summary'!AD147)</f>
      </c>
      <c r="J148" s="74">
        <f>IF('Monthly Summary'!AE147="",NA(),'Monthly Summary'!AE147)</f>
      </c>
      <c r="K148" s="74">
        <f>IF('Monthly Summary'!AF147="",NA(),'Monthly Summary'!AF147)</f>
      </c>
      <c r="L148" s="74">
        <f>IF('Monthly Summary'!AG147="",NA(),'Monthly Summary'!AG147)</f>
      </c>
      <c r="M148" s="74">
        <f>IF('Monthly Summary'!AH147="",NA(),'Monthly Summary'!AH147)</f>
      </c>
      <c r="N148" s="74">
        <f>IF('Monthly Summary'!AI147="",NA(),'Monthly Summary'!AI147)</f>
      </c>
      <c r="O148" s="74">
        <f>IF('Monthly Summary'!AJ147="",NA(),'Monthly Summary'!AJ147)</f>
      </c>
      <c r="P148" s="74">
        <f>IF('Monthly Summary'!AK147="",NA(),'Monthly Summary'!AK147)</f>
      </c>
      <c r="Q148" s="74">
        <f>IF('Monthly Summary'!AL147="",NA(),'Monthly Summary'!AL147)</f>
      </c>
      <c r="R148" s="74">
        <f>IF('Monthly Summary'!AM147="",NA(),'Monthly Summary'!AM147)</f>
      </c>
      <c r="S148" s="74">
        <f>IF('Monthly Summary'!C147="",NA(),'Monthly Summary'!C147)</f>
      </c>
    </row>
    <row r="149" spans="1:19" x14ac:dyDescent="0.2">
      <c r="A149" s="73">
        <f>'Monthly Summary'!A148</f>
      </c>
      <c r="B149" s="74">
        <f>IF('Monthly Summary'!W148="",NA(),'Monthly Summary'!W148)</f>
      </c>
      <c r="C149" s="74">
        <f>IF('Monthly Summary'!X148="",NA(),'Monthly Summary'!X148)</f>
      </c>
      <c r="D149" s="74">
        <f>IF('Monthly Summary'!Y148="",NA(),'Monthly Summary'!Y148)</f>
      </c>
      <c r="E149" s="74">
        <f>IF('Monthly Summary'!Z148="",NA(),'Monthly Summary'!Z148)</f>
      </c>
      <c r="F149" s="74">
        <f>IF('Monthly Summary'!AA148="",NA(),'Monthly Summary'!AA148)</f>
      </c>
      <c r="G149" s="74">
        <f>IF('Monthly Summary'!AB148="",NA(),'Monthly Summary'!AB148)</f>
      </c>
      <c r="H149" s="74">
        <f>IF('Monthly Summary'!AC148="",NA(),'Monthly Summary'!AC148)</f>
      </c>
      <c r="I149" s="74">
        <f>IF('Monthly Summary'!AD148="",NA(),'Monthly Summary'!AD148)</f>
      </c>
      <c r="J149" s="74">
        <f>IF('Monthly Summary'!AE148="",NA(),'Monthly Summary'!AE148)</f>
      </c>
      <c r="K149" s="74">
        <f>IF('Monthly Summary'!AF148="",NA(),'Monthly Summary'!AF148)</f>
      </c>
      <c r="L149" s="74">
        <f>IF('Monthly Summary'!AG148="",NA(),'Monthly Summary'!AG148)</f>
      </c>
      <c r="M149" s="74">
        <f>IF('Monthly Summary'!AH148="",NA(),'Monthly Summary'!AH148)</f>
      </c>
      <c r="N149" s="74">
        <f>IF('Monthly Summary'!AI148="",NA(),'Monthly Summary'!AI148)</f>
      </c>
      <c r="O149" s="74">
        <f>IF('Monthly Summary'!AJ148="",NA(),'Monthly Summary'!AJ148)</f>
      </c>
      <c r="P149" s="74">
        <f>IF('Monthly Summary'!AK148="",NA(),'Monthly Summary'!AK148)</f>
      </c>
      <c r="Q149" s="74">
        <f>IF('Monthly Summary'!AL148="",NA(),'Monthly Summary'!AL148)</f>
      </c>
      <c r="R149" s="74">
        <f>IF('Monthly Summary'!AM148="",NA(),'Monthly Summary'!AM148)</f>
      </c>
      <c r="S149" s="74">
        <f>IF('Monthly Summary'!C148="",NA(),'Monthly Summary'!C148)</f>
      </c>
    </row>
    <row r="150" spans="1:19" x14ac:dyDescent="0.2">
      <c r="A150" s="73">
        <f>'Monthly Summary'!A149</f>
      </c>
      <c r="B150" s="74">
        <f>IF('Monthly Summary'!W149="",NA(),'Monthly Summary'!W149)</f>
      </c>
      <c r="C150" s="74">
        <f>IF('Monthly Summary'!X149="",NA(),'Monthly Summary'!X149)</f>
      </c>
      <c r="D150" s="74">
        <f>IF('Monthly Summary'!Y149="",NA(),'Monthly Summary'!Y149)</f>
      </c>
      <c r="E150" s="74">
        <f>IF('Monthly Summary'!Z149="",NA(),'Monthly Summary'!Z149)</f>
      </c>
      <c r="F150" s="74">
        <f>IF('Monthly Summary'!AA149="",NA(),'Monthly Summary'!AA149)</f>
      </c>
      <c r="G150" s="74">
        <f>IF('Monthly Summary'!AB149="",NA(),'Monthly Summary'!AB149)</f>
      </c>
      <c r="H150" s="74">
        <f>IF('Monthly Summary'!AC149="",NA(),'Monthly Summary'!AC149)</f>
      </c>
      <c r="I150" s="74">
        <f>IF('Monthly Summary'!AD149="",NA(),'Monthly Summary'!AD149)</f>
      </c>
      <c r="J150" s="74">
        <f>IF('Monthly Summary'!AE149="",NA(),'Monthly Summary'!AE149)</f>
      </c>
      <c r="K150" s="74">
        <f>IF('Monthly Summary'!AF149="",NA(),'Monthly Summary'!AF149)</f>
      </c>
      <c r="L150" s="74">
        <f>IF('Monthly Summary'!AG149="",NA(),'Monthly Summary'!AG149)</f>
      </c>
      <c r="M150" s="74">
        <f>IF('Monthly Summary'!AH149="",NA(),'Monthly Summary'!AH149)</f>
      </c>
      <c r="N150" s="74">
        <f>IF('Monthly Summary'!AI149="",NA(),'Monthly Summary'!AI149)</f>
      </c>
      <c r="O150" s="74">
        <f>IF('Monthly Summary'!AJ149="",NA(),'Monthly Summary'!AJ149)</f>
      </c>
      <c r="P150" s="74">
        <f>IF('Monthly Summary'!AK149="",NA(),'Monthly Summary'!AK149)</f>
      </c>
      <c r="Q150" s="74">
        <f>IF('Monthly Summary'!AL149="",NA(),'Monthly Summary'!AL149)</f>
      </c>
      <c r="R150" s="74">
        <f>IF('Monthly Summary'!AM149="",NA(),'Monthly Summary'!AM149)</f>
      </c>
      <c r="S150" s="74">
        <f>IF('Monthly Summary'!C149="",NA(),'Monthly Summary'!C149)</f>
      </c>
    </row>
    <row r="151" spans="1:19" x14ac:dyDescent="0.2">
      <c r="A151" s="73">
        <f>'Monthly Summary'!A150</f>
      </c>
      <c r="B151" s="74">
        <f>IF('Monthly Summary'!W150="",NA(),'Monthly Summary'!W150)</f>
      </c>
      <c r="C151" s="74">
        <f>IF('Monthly Summary'!X150="",NA(),'Monthly Summary'!X150)</f>
      </c>
      <c r="D151" s="74">
        <f>IF('Monthly Summary'!Y150="",NA(),'Monthly Summary'!Y150)</f>
      </c>
      <c r="E151" s="74">
        <f>IF('Monthly Summary'!Z150="",NA(),'Monthly Summary'!Z150)</f>
      </c>
      <c r="F151" s="74">
        <f>IF('Monthly Summary'!AA150="",NA(),'Monthly Summary'!AA150)</f>
      </c>
      <c r="G151" s="74">
        <f>IF('Monthly Summary'!AB150="",NA(),'Monthly Summary'!AB150)</f>
      </c>
      <c r="H151" s="74">
        <f>IF('Monthly Summary'!AC150="",NA(),'Monthly Summary'!AC150)</f>
      </c>
      <c r="I151" s="74">
        <f>IF('Monthly Summary'!AD150="",NA(),'Monthly Summary'!AD150)</f>
      </c>
      <c r="J151" s="74">
        <f>IF('Monthly Summary'!AE150="",NA(),'Monthly Summary'!AE150)</f>
      </c>
      <c r="K151" s="74">
        <f>IF('Monthly Summary'!AF150="",NA(),'Monthly Summary'!AF150)</f>
      </c>
      <c r="L151" s="74">
        <f>IF('Monthly Summary'!AG150="",NA(),'Monthly Summary'!AG150)</f>
      </c>
      <c r="M151" s="74">
        <f>IF('Monthly Summary'!AH150="",NA(),'Monthly Summary'!AH150)</f>
      </c>
      <c r="N151" s="74">
        <f>IF('Monthly Summary'!AI150="",NA(),'Monthly Summary'!AI150)</f>
      </c>
      <c r="O151" s="74">
        <f>IF('Monthly Summary'!AJ150="",NA(),'Monthly Summary'!AJ150)</f>
      </c>
      <c r="P151" s="74">
        <f>IF('Monthly Summary'!AK150="",NA(),'Monthly Summary'!AK150)</f>
      </c>
      <c r="Q151" s="74">
        <f>IF('Monthly Summary'!AL150="",NA(),'Monthly Summary'!AL150)</f>
      </c>
      <c r="R151" s="74">
        <f>IF('Monthly Summary'!AM150="",NA(),'Monthly Summary'!AM150)</f>
      </c>
      <c r="S151" s="74">
        <f>IF('Monthly Summary'!C150="",NA(),'Monthly Summary'!C150)</f>
      </c>
    </row>
    <row r="152" spans="1:19" x14ac:dyDescent="0.2">
      <c r="A152" s="73">
        <f>'Monthly Summary'!A151</f>
      </c>
      <c r="B152" s="74">
        <f>IF('Monthly Summary'!W151="",NA(),'Monthly Summary'!W151)</f>
      </c>
      <c r="C152" s="74">
        <f>IF('Monthly Summary'!X151="",NA(),'Monthly Summary'!X151)</f>
      </c>
      <c r="D152" s="74">
        <f>IF('Monthly Summary'!Y151="",NA(),'Monthly Summary'!Y151)</f>
      </c>
      <c r="E152" s="74">
        <f>IF('Monthly Summary'!Z151="",NA(),'Monthly Summary'!Z151)</f>
      </c>
      <c r="F152" s="74">
        <f>IF('Monthly Summary'!AA151="",NA(),'Monthly Summary'!AA151)</f>
      </c>
      <c r="G152" s="74">
        <f>IF('Monthly Summary'!AB151="",NA(),'Monthly Summary'!AB151)</f>
      </c>
      <c r="H152" s="74">
        <f>IF('Monthly Summary'!AC151="",NA(),'Monthly Summary'!AC151)</f>
      </c>
      <c r="I152" s="74">
        <f>IF('Monthly Summary'!AD151="",NA(),'Monthly Summary'!AD151)</f>
      </c>
      <c r="J152" s="74">
        <f>IF('Monthly Summary'!AE151="",NA(),'Monthly Summary'!AE151)</f>
      </c>
      <c r="K152" s="74">
        <f>IF('Monthly Summary'!AF151="",NA(),'Monthly Summary'!AF151)</f>
      </c>
      <c r="L152" s="74">
        <f>IF('Monthly Summary'!AG151="",NA(),'Monthly Summary'!AG151)</f>
      </c>
      <c r="M152" s="74">
        <f>IF('Monthly Summary'!AH151="",NA(),'Monthly Summary'!AH151)</f>
      </c>
      <c r="N152" s="74">
        <f>IF('Monthly Summary'!AI151="",NA(),'Monthly Summary'!AI151)</f>
      </c>
      <c r="O152" s="74">
        <f>IF('Monthly Summary'!AJ151="",NA(),'Monthly Summary'!AJ151)</f>
      </c>
      <c r="P152" s="74">
        <f>IF('Monthly Summary'!AK151="",NA(),'Monthly Summary'!AK151)</f>
      </c>
      <c r="Q152" s="74">
        <f>IF('Monthly Summary'!AL151="",NA(),'Monthly Summary'!AL151)</f>
      </c>
      <c r="R152" s="74">
        <f>IF('Monthly Summary'!AM151="",NA(),'Monthly Summary'!AM151)</f>
      </c>
      <c r="S152" s="74">
        <f>IF('Monthly Summary'!C151="",NA(),'Monthly Summary'!C151)</f>
      </c>
    </row>
    <row r="153" spans="1:19" x14ac:dyDescent="0.2">
      <c r="A153" s="73">
        <f>'Monthly Summary'!A152</f>
      </c>
      <c r="B153" s="74">
        <f>IF('Monthly Summary'!W152="",NA(),'Monthly Summary'!W152)</f>
      </c>
      <c r="C153" s="74">
        <f>IF('Monthly Summary'!X152="",NA(),'Monthly Summary'!X152)</f>
      </c>
      <c r="D153" s="74">
        <f>IF('Monthly Summary'!Y152="",NA(),'Monthly Summary'!Y152)</f>
      </c>
      <c r="E153" s="74">
        <f>IF('Monthly Summary'!Z152="",NA(),'Monthly Summary'!Z152)</f>
      </c>
      <c r="F153" s="74">
        <f>IF('Monthly Summary'!AA152="",NA(),'Monthly Summary'!AA152)</f>
      </c>
      <c r="G153" s="74">
        <f>IF('Monthly Summary'!AB152="",NA(),'Monthly Summary'!AB152)</f>
      </c>
      <c r="H153" s="74">
        <f>IF('Monthly Summary'!AC152="",NA(),'Monthly Summary'!AC152)</f>
      </c>
      <c r="I153" s="74">
        <f>IF('Monthly Summary'!AD152="",NA(),'Monthly Summary'!AD152)</f>
      </c>
      <c r="J153" s="74">
        <f>IF('Monthly Summary'!AE152="",NA(),'Monthly Summary'!AE152)</f>
      </c>
      <c r="K153" s="74">
        <f>IF('Monthly Summary'!AF152="",NA(),'Monthly Summary'!AF152)</f>
      </c>
      <c r="L153" s="74">
        <f>IF('Monthly Summary'!AG152="",NA(),'Monthly Summary'!AG152)</f>
      </c>
      <c r="M153" s="74">
        <f>IF('Monthly Summary'!AH152="",NA(),'Monthly Summary'!AH152)</f>
      </c>
      <c r="N153" s="74">
        <f>IF('Monthly Summary'!AI152="",NA(),'Monthly Summary'!AI152)</f>
      </c>
      <c r="O153" s="74">
        <f>IF('Monthly Summary'!AJ152="",NA(),'Monthly Summary'!AJ152)</f>
      </c>
      <c r="P153" s="74">
        <f>IF('Monthly Summary'!AK152="",NA(),'Monthly Summary'!AK152)</f>
      </c>
      <c r="Q153" s="74">
        <f>IF('Monthly Summary'!AL152="",NA(),'Monthly Summary'!AL152)</f>
      </c>
      <c r="R153" s="74">
        <f>IF('Monthly Summary'!AM152="",NA(),'Monthly Summary'!AM152)</f>
      </c>
      <c r="S153" s="74">
        <f>IF('Monthly Summary'!C152="",NA(),'Monthly Summary'!C152)</f>
      </c>
    </row>
    <row r="154" spans="1:19" x14ac:dyDescent="0.2">
      <c r="A154" s="73">
        <f>'Monthly Summary'!A153</f>
      </c>
      <c r="B154" s="74">
        <f>IF('Monthly Summary'!W153="",NA(),'Monthly Summary'!W153)</f>
      </c>
      <c r="C154" s="74">
        <f>IF('Monthly Summary'!X153="",NA(),'Monthly Summary'!X153)</f>
      </c>
      <c r="D154" s="74">
        <f>IF('Monthly Summary'!Y153="",NA(),'Monthly Summary'!Y153)</f>
      </c>
      <c r="E154" s="74">
        <f>IF('Monthly Summary'!Z153="",NA(),'Monthly Summary'!Z153)</f>
      </c>
      <c r="F154" s="74">
        <f>IF('Monthly Summary'!AA153="",NA(),'Monthly Summary'!AA153)</f>
      </c>
      <c r="G154" s="74">
        <f>IF('Monthly Summary'!AB153="",NA(),'Monthly Summary'!AB153)</f>
      </c>
      <c r="H154" s="74">
        <f>IF('Monthly Summary'!AC153="",NA(),'Monthly Summary'!AC153)</f>
      </c>
      <c r="I154" s="74">
        <f>IF('Monthly Summary'!AD153="",NA(),'Monthly Summary'!AD153)</f>
      </c>
      <c r="J154" s="74">
        <f>IF('Monthly Summary'!AE153="",NA(),'Monthly Summary'!AE153)</f>
      </c>
      <c r="K154" s="74">
        <f>IF('Monthly Summary'!AF153="",NA(),'Monthly Summary'!AF153)</f>
      </c>
      <c r="L154" s="74">
        <f>IF('Monthly Summary'!AG153="",NA(),'Monthly Summary'!AG153)</f>
      </c>
      <c r="M154" s="74">
        <f>IF('Monthly Summary'!AH153="",NA(),'Monthly Summary'!AH153)</f>
      </c>
      <c r="N154" s="74">
        <f>IF('Monthly Summary'!AI153="",NA(),'Monthly Summary'!AI153)</f>
      </c>
      <c r="O154" s="74">
        <f>IF('Monthly Summary'!AJ153="",NA(),'Monthly Summary'!AJ153)</f>
      </c>
      <c r="P154" s="74">
        <f>IF('Monthly Summary'!AK153="",NA(),'Monthly Summary'!AK153)</f>
      </c>
      <c r="Q154" s="74">
        <f>IF('Monthly Summary'!AL153="",NA(),'Monthly Summary'!AL153)</f>
      </c>
      <c r="R154" s="74">
        <f>IF('Monthly Summary'!AM153="",NA(),'Monthly Summary'!AM153)</f>
      </c>
      <c r="S154" s="74">
        <f>IF('Monthly Summary'!C153="",NA(),'Monthly Summary'!C153)</f>
      </c>
    </row>
    <row r="155" spans="1:19" x14ac:dyDescent="0.2">
      <c r="A155" s="73">
        <f>'Monthly Summary'!A154</f>
      </c>
      <c r="B155" s="74">
        <f>IF('Monthly Summary'!W154="",NA(),'Monthly Summary'!W154)</f>
      </c>
      <c r="C155" s="74">
        <f>IF('Monthly Summary'!X154="",NA(),'Monthly Summary'!X154)</f>
      </c>
      <c r="D155" s="74">
        <f>IF('Monthly Summary'!Y154="",NA(),'Monthly Summary'!Y154)</f>
      </c>
      <c r="E155" s="74">
        <f>IF('Monthly Summary'!Z154="",NA(),'Monthly Summary'!Z154)</f>
      </c>
      <c r="F155" s="74">
        <f>IF('Monthly Summary'!AA154="",NA(),'Monthly Summary'!AA154)</f>
      </c>
      <c r="G155" s="74">
        <f>IF('Monthly Summary'!AB154="",NA(),'Monthly Summary'!AB154)</f>
      </c>
      <c r="H155" s="74">
        <f>IF('Monthly Summary'!AC154="",NA(),'Monthly Summary'!AC154)</f>
      </c>
      <c r="I155" s="74">
        <f>IF('Monthly Summary'!AD154="",NA(),'Monthly Summary'!AD154)</f>
      </c>
      <c r="J155" s="74">
        <f>IF('Monthly Summary'!AE154="",NA(),'Monthly Summary'!AE154)</f>
      </c>
      <c r="K155" s="74">
        <f>IF('Monthly Summary'!AF154="",NA(),'Monthly Summary'!AF154)</f>
      </c>
      <c r="L155" s="74">
        <f>IF('Monthly Summary'!AG154="",NA(),'Monthly Summary'!AG154)</f>
      </c>
      <c r="M155" s="74">
        <f>IF('Monthly Summary'!AH154="",NA(),'Monthly Summary'!AH154)</f>
      </c>
      <c r="N155" s="74">
        <f>IF('Monthly Summary'!AI154="",NA(),'Monthly Summary'!AI154)</f>
      </c>
      <c r="O155" s="74">
        <f>IF('Monthly Summary'!AJ154="",NA(),'Monthly Summary'!AJ154)</f>
      </c>
      <c r="P155" s="74">
        <f>IF('Monthly Summary'!AK154="",NA(),'Monthly Summary'!AK154)</f>
      </c>
      <c r="Q155" s="74">
        <f>IF('Monthly Summary'!AL154="",NA(),'Monthly Summary'!AL154)</f>
      </c>
      <c r="R155" s="74">
        <f>IF('Monthly Summary'!AM154="",NA(),'Monthly Summary'!AM154)</f>
      </c>
      <c r="S155" s="74">
        <f>IF('Monthly Summary'!C154="",NA(),'Monthly Summary'!C154)</f>
      </c>
    </row>
    <row r="156" spans="1:19" x14ac:dyDescent="0.2">
      <c r="A156" s="73">
        <f>'Monthly Summary'!A155</f>
      </c>
      <c r="B156" s="74">
        <f>IF('Monthly Summary'!W155="",NA(),'Monthly Summary'!W155)</f>
      </c>
      <c r="C156" s="74">
        <f>IF('Monthly Summary'!X155="",NA(),'Monthly Summary'!X155)</f>
      </c>
      <c r="D156" s="74">
        <f>IF('Monthly Summary'!Y155="",NA(),'Monthly Summary'!Y155)</f>
      </c>
      <c r="E156" s="74">
        <f>IF('Monthly Summary'!Z155="",NA(),'Monthly Summary'!Z155)</f>
      </c>
      <c r="F156" s="74">
        <f>IF('Monthly Summary'!AA155="",NA(),'Monthly Summary'!AA155)</f>
      </c>
      <c r="G156" s="74">
        <f>IF('Monthly Summary'!AB155="",NA(),'Monthly Summary'!AB155)</f>
      </c>
      <c r="H156" s="74">
        <f>IF('Monthly Summary'!AC155="",NA(),'Monthly Summary'!AC155)</f>
      </c>
      <c r="I156" s="74">
        <f>IF('Monthly Summary'!AD155="",NA(),'Monthly Summary'!AD155)</f>
      </c>
      <c r="J156" s="74">
        <f>IF('Monthly Summary'!AE155="",NA(),'Monthly Summary'!AE155)</f>
      </c>
      <c r="K156" s="74">
        <f>IF('Monthly Summary'!AF155="",NA(),'Monthly Summary'!AF155)</f>
      </c>
      <c r="L156" s="74">
        <f>IF('Monthly Summary'!AG155="",NA(),'Monthly Summary'!AG155)</f>
      </c>
      <c r="M156" s="74">
        <f>IF('Monthly Summary'!AH155="",NA(),'Monthly Summary'!AH155)</f>
      </c>
      <c r="N156" s="74">
        <f>IF('Monthly Summary'!AI155="",NA(),'Monthly Summary'!AI155)</f>
      </c>
      <c r="O156" s="74">
        <f>IF('Monthly Summary'!AJ155="",NA(),'Monthly Summary'!AJ155)</f>
      </c>
      <c r="P156" s="74">
        <f>IF('Monthly Summary'!AK155="",NA(),'Monthly Summary'!AK155)</f>
      </c>
      <c r="Q156" s="74">
        <f>IF('Monthly Summary'!AL155="",NA(),'Monthly Summary'!AL155)</f>
      </c>
      <c r="R156" s="74">
        <f>IF('Monthly Summary'!AM155="",NA(),'Monthly Summary'!AM155)</f>
      </c>
      <c r="S156" s="74">
        <f>IF('Monthly Summary'!C155="",NA(),'Monthly Summary'!C155)</f>
      </c>
    </row>
    <row r="157" spans="1:19" x14ac:dyDescent="0.2">
      <c r="A157" s="73">
        <f>'Monthly Summary'!A156</f>
      </c>
      <c r="B157" s="74">
        <f>IF('Monthly Summary'!W156="",NA(),'Monthly Summary'!W156)</f>
      </c>
      <c r="C157" s="74">
        <f>IF('Monthly Summary'!X156="",NA(),'Monthly Summary'!X156)</f>
      </c>
      <c r="D157" s="74">
        <f>IF('Monthly Summary'!Y156="",NA(),'Monthly Summary'!Y156)</f>
      </c>
      <c r="E157" s="74">
        <f>IF('Monthly Summary'!Z156="",NA(),'Monthly Summary'!Z156)</f>
      </c>
      <c r="F157" s="74">
        <f>IF('Monthly Summary'!AA156="",NA(),'Monthly Summary'!AA156)</f>
      </c>
      <c r="G157" s="74">
        <f>IF('Monthly Summary'!AB156="",NA(),'Monthly Summary'!AB156)</f>
      </c>
      <c r="H157" s="74">
        <f>IF('Monthly Summary'!AC156="",NA(),'Monthly Summary'!AC156)</f>
      </c>
      <c r="I157" s="74">
        <f>IF('Monthly Summary'!AD156="",NA(),'Monthly Summary'!AD156)</f>
      </c>
      <c r="J157" s="74">
        <f>IF('Monthly Summary'!AE156="",NA(),'Monthly Summary'!AE156)</f>
      </c>
      <c r="K157" s="74">
        <f>IF('Monthly Summary'!AF156="",NA(),'Monthly Summary'!AF156)</f>
      </c>
      <c r="L157" s="74">
        <f>IF('Monthly Summary'!AG156="",NA(),'Monthly Summary'!AG156)</f>
      </c>
      <c r="M157" s="74">
        <f>IF('Monthly Summary'!AH156="",NA(),'Monthly Summary'!AH156)</f>
      </c>
      <c r="N157" s="74">
        <f>IF('Monthly Summary'!AI156="",NA(),'Monthly Summary'!AI156)</f>
      </c>
      <c r="O157" s="74">
        <f>IF('Monthly Summary'!AJ156="",NA(),'Monthly Summary'!AJ156)</f>
      </c>
      <c r="P157" s="74">
        <f>IF('Monthly Summary'!AK156="",NA(),'Monthly Summary'!AK156)</f>
      </c>
      <c r="Q157" s="74">
        <f>IF('Monthly Summary'!AL156="",NA(),'Monthly Summary'!AL156)</f>
      </c>
      <c r="R157" s="74">
        <f>IF('Monthly Summary'!AM156="",NA(),'Monthly Summary'!AM156)</f>
      </c>
      <c r="S157" s="74">
        <f>IF('Monthly Summary'!C156="",NA(),'Monthly Summary'!C156)</f>
      </c>
    </row>
    <row r="158" spans="1:19" x14ac:dyDescent="0.2">
      <c r="A158" s="73">
        <f>'Monthly Summary'!A157</f>
      </c>
      <c r="B158" s="74">
        <f>IF('Monthly Summary'!W157="",NA(),'Monthly Summary'!W157)</f>
      </c>
      <c r="C158" s="74">
        <f>IF('Monthly Summary'!X157="",NA(),'Monthly Summary'!X157)</f>
      </c>
      <c r="D158" s="74">
        <f>IF('Monthly Summary'!Y157="",NA(),'Monthly Summary'!Y157)</f>
      </c>
      <c r="E158" s="74">
        <f>IF('Monthly Summary'!Z157="",NA(),'Monthly Summary'!Z157)</f>
      </c>
      <c r="F158" s="74">
        <f>IF('Monthly Summary'!AA157="",NA(),'Monthly Summary'!AA157)</f>
      </c>
      <c r="G158" s="74">
        <f>IF('Monthly Summary'!AB157="",NA(),'Monthly Summary'!AB157)</f>
      </c>
      <c r="H158" s="74">
        <f>IF('Monthly Summary'!AC157="",NA(),'Monthly Summary'!AC157)</f>
      </c>
      <c r="I158" s="74">
        <f>IF('Monthly Summary'!AD157="",NA(),'Monthly Summary'!AD157)</f>
      </c>
      <c r="J158" s="74">
        <f>IF('Monthly Summary'!AE157="",NA(),'Monthly Summary'!AE157)</f>
      </c>
      <c r="K158" s="74">
        <f>IF('Monthly Summary'!AF157="",NA(),'Monthly Summary'!AF157)</f>
      </c>
      <c r="L158" s="74">
        <f>IF('Monthly Summary'!AG157="",NA(),'Monthly Summary'!AG157)</f>
      </c>
      <c r="M158" s="74">
        <f>IF('Monthly Summary'!AH157="",NA(),'Monthly Summary'!AH157)</f>
      </c>
      <c r="N158" s="74">
        <f>IF('Monthly Summary'!AI157="",NA(),'Monthly Summary'!AI157)</f>
      </c>
      <c r="O158" s="74">
        <f>IF('Monthly Summary'!AJ157="",NA(),'Monthly Summary'!AJ157)</f>
      </c>
      <c r="P158" s="74">
        <f>IF('Monthly Summary'!AK157="",NA(),'Monthly Summary'!AK157)</f>
      </c>
      <c r="Q158" s="74">
        <f>IF('Monthly Summary'!AL157="",NA(),'Monthly Summary'!AL157)</f>
      </c>
      <c r="R158" s="74">
        <f>IF('Monthly Summary'!AM157="",NA(),'Monthly Summary'!AM157)</f>
      </c>
      <c r="S158" s="74">
        <f>IF('Monthly Summary'!C157="",NA(),'Monthly Summary'!C157)</f>
      </c>
    </row>
    <row r="159" spans="1:19" x14ac:dyDescent="0.2">
      <c r="A159" s="73">
        <f>'Monthly Summary'!A158</f>
      </c>
      <c r="B159" s="74">
        <f>IF('Monthly Summary'!W158="",NA(),'Monthly Summary'!W158)</f>
      </c>
      <c r="C159" s="74">
        <f>IF('Monthly Summary'!X158="",NA(),'Monthly Summary'!X158)</f>
      </c>
      <c r="D159" s="74">
        <f>IF('Monthly Summary'!Y158="",NA(),'Monthly Summary'!Y158)</f>
      </c>
      <c r="E159" s="74">
        <f>IF('Monthly Summary'!Z158="",NA(),'Monthly Summary'!Z158)</f>
      </c>
      <c r="F159" s="74">
        <f>IF('Monthly Summary'!AA158="",NA(),'Monthly Summary'!AA158)</f>
      </c>
      <c r="G159" s="74">
        <f>IF('Monthly Summary'!AB158="",NA(),'Monthly Summary'!AB158)</f>
      </c>
      <c r="H159" s="74">
        <f>IF('Monthly Summary'!AC158="",NA(),'Monthly Summary'!AC158)</f>
      </c>
      <c r="I159" s="74">
        <f>IF('Monthly Summary'!AD158="",NA(),'Monthly Summary'!AD158)</f>
      </c>
      <c r="J159" s="74">
        <f>IF('Monthly Summary'!AE158="",NA(),'Monthly Summary'!AE158)</f>
      </c>
      <c r="K159" s="74">
        <f>IF('Monthly Summary'!AF158="",NA(),'Monthly Summary'!AF158)</f>
      </c>
      <c r="L159" s="74">
        <f>IF('Monthly Summary'!AG158="",NA(),'Monthly Summary'!AG158)</f>
      </c>
      <c r="M159" s="74">
        <f>IF('Monthly Summary'!AH158="",NA(),'Monthly Summary'!AH158)</f>
      </c>
      <c r="N159" s="74">
        <f>IF('Monthly Summary'!AI158="",NA(),'Monthly Summary'!AI158)</f>
      </c>
      <c r="O159" s="74">
        <f>IF('Monthly Summary'!AJ158="",NA(),'Monthly Summary'!AJ158)</f>
      </c>
      <c r="P159" s="74">
        <f>IF('Monthly Summary'!AK158="",NA(),'Monthly Summary'!AK158)</f>
      </c>
      <c r="Q159" s="74">
        <f>IF('Monthly Summary'!AL158="",NA(),'Monthly Summary'!AL158)</f>
      </c>
      <c r="R159" s="74">
        <f>IF('Monthly Summary'!AM158="",NA(),'Monthly Summary'!AM158)</f>
      </c>
      <c r="S159" s="74">
        <f>IF('Monthly Summary'!C158="",NA(),'Monthly Summary'!C158)</f>
      </c>
    </row>
    <row r="160" spans="1:19" x14ac:dyDescent="0.2">
      <c r="A160" s="73">
        <f>'Monthly Summary'!A159</f>
      </c>
      <c r="B160" s="74">
        <f>IF('Monthly Summary'!W159="",NA(),'Monthly Summary'!W159)</f>
      </c>
      <c r="C160" s="74">
        <f>IF('Monthly Summary'!X159="",NA(),'Monthly Summary'!X159)</f>
      </c>
      <c r="D160" s="74">
        <f>IF('Monthly Summary'!Y159="",NA(),'Monthly Summary'!Y159)</f>
      </c>
      <c r="E160" s="74">
        <f>IF('Monthly Summary'!Z159="",NA(),'Monthly Summary'!Z159)</f>
      </c>
      <c r="F160" s="74">
        <f>IF('Monthly Summary'!AA159="",NA(),'Monthly Summary'!AA159)</f>
      </c>
      <c r="G160" s="74">
        <f>IF('Monthly Summary'!AB159="",NA(),'Monthly Summary'!AB159)</f>
      </c>
      <c r="H160" s="74">
        <f>IF('Monthly Summary'!AC159="",NA(),'Monthly Summary'!AC159)</f>
      </c>
      <c r="I160" s="74">
        <f>IF('Monthly Summary'!AD159="",NA(),'Monthly Summary'!AD159)</f>
      </c>
      <c r="J160" s="74">
        <f>IF('Monthly Summary'!AE159="",NA(),'Monthly Summary'!AE159)</f>
      </c>
      <c r="K160" s="74">
        <f>IF('Monthly Summary'!AF159="",NA(),'Monthly Summary'!AF159)</f>
      </c>
      <c r="L160" s="74">
        <f>IF('Monthly Summary'!AG159="",NA(),'Monthly Summary'!AG159)</f>
      </c>
      <c r="M160" s="74">
        <f>IF('Monthly Summary'!AH159="",NA(),'Monthly Summary'!AH159)</f>
      </c>
      <c r="N160" s="74">
        <f>IF('Monthly Summary'!AI159="",NA(),'Monthly Summary'!AI159)</f>
      </c>
      <c r="O160" s="74">
        <f>IF('Monthly Summary'!AJ159="",NA(),'Monthly Summary'!AJ159)</f>
      </c>
      <c r="P160" s="74">
        <f>IF('Monthly Summary'!AK159="",NA(),'Monthly Summary'!AK159)</f>
      </c>
      <c r="Q160" s="74">
        <f>IF('Monthly Summary'!AL159="",NA(),'Monthly Summary'!AL159)</f>
      </c>
      <c r="R160" s="74">
        <f>IF('Monthly Summary'!AM159="",NA(),'Monthly Summary'!AM159)</f>
      </c>
      <c r="S160" s="74">
        <f>IF('Monthly Summary'!C159="",NA(),'Monthly Summary'!C159)</f>
      </c>
    </row>
    <row r="161" spans="1:19" x14ac:dyDescent="0.2">
      <c r="A161" s="73">
        <f>'Monthly Summary'!A160</f>
      </c>
      <c r="B161" s="74">
        <f>IF('Monthly Summary'!W160="",NA(),'Monthly Summary'!W160)</f>
      </c>
      <c r="C161" s="74">
        <f>IF('Monthly Summary'!X160="",NA(),'Monthly Summary'!X160)</f>
      </c>
      <c r="D161" s="74">
        <f>IF('Monthly Summary'!Y160="",NA(),'Monthly Summary'!Y160)</f>
      </c>
      <c r="E161" s="74">
        <f>IF('Monthly Summary'!Z160="",NA(),'Monthly Summary'!Z160)</f>
      </c>
      <c r="F161" s="74">
        <f>IF('Monthly Summary'!AA160="",NA(),'Monthly Summary'!AA160)</f>
      </c>
      <c r="G161" s="74">
        <f>IF('Monthly Summary'!AB160="",NA(),'Monthly Summary'!AB160)</f>
      </c>
      <c r="H161" s="74">
        <f>IF('Monthly Summary'!AC160="",NA(),'Monthly Summary'!AC160)</f>
      </c>
      <c r="I161" s="74">
        <f>IF('Monthly Summary'!AD160="",NA(),'Monthly Summary'!AD160)</f>
      </c>
      <c r="J161" s="74">
        <f>IF('Monthly Summary'!AE160="",NA(),'Monthly Summary'!AE160)</f>
      </c>
      <c r="K161" s="74">
        <f>IF('Monthly Summary'!AF160="",NA(),'Monthly Summary'!AF160)</f>
      </c>
      <c r="L161" s="74">
        <f>IF('Monthly Summary'!AG160="",NA(),'Monthly Summary'!AG160)</f>
      </c>
      <c r="M161" s="74">
        <f>IF('Monthly Summary'!AH160="",NA(),'Monthly Summary'!AH160)</f>
      </c>
      <c r="N161" s="74">
        <f>IF('Monthly Summary'!AI160="",NA(),'Monthly Summary'!AI160)</f>
      </c>
      <c r="O161" s="74">
        <f>IF('Monthly Summary'!AJ160="",NA(),'Monthly Summary'!AJ160)</f>
      </c>
      <c r="P161" s="74">
        <f>IF('Monthly Summary'!AK160="",NA(),'Monthly Summary'!AK160)</f>
      </c>
      <c r="Q161" s="74">
        <f>IF('Monthly Summary'!AL160="",NA(),'Monthly Summary'!AL160)</f>
      </c>
      <c r="R161" s="74">
        <f>IF('Monthly Summary'!AM160="",NA(),'Monthly Summary'!AM160)</f>
      </c>
      <c r="S161" s="74">
        <f>IF('Monthly Summary'!C160="",NA(),'Monthly Summary'!C160)</f>
      </c>
    </row>
    <row r="162" spans="1:19" x14ac:dyDescent="0.2">
      <c r="A162" s="73">
        <f>'Monthly Summary'!A161</f>
      </c>
      <c r="B162" s="74">
        <f>IF('Monthly Summary'!W161="",NA(),'Monthly Summary'!W161)</f>
      </c>
      <c r="C162" s="74">
        <f>IF('Monthly Summary'!X161="",NA(),'Monthly Summary'!X161)</f>
      </c>
      <c r="D162" s="74">
        <f>IF('Monthly Summary'!Y161="",NA(),'Monthly Summary'!Y161)</f>
      </c>
      <c r="E162" s="74">
        <f>IF('Monthly Summary'!Z161="",NA(),'Monthly Summary'!Z161)</f>
      </c>
      <c r="F162" s="74">
        <f>IF('Monthly Summary'!AA161="",NA(),'Monthly Summary'!AA161)</f>
      </c>
      <c r="G162" s="74">
        <f>IF('Monthly Summary'!AB161="",NA(),'Monthly Summary'!AB161)</f>
      </c>
      <c r="H162" s="74">
        <f>IF('Monthly Summary'!AC161="",NA(),'Monthly Summary'!AC161)</f>
      </c>
      <c r="I162" s="74">
        <f>IF('Monthly Summary'!AD161="",NA(),'Monthly Summary'!AD161)</f>
      </c>
      <c r="J162" s="74">
        <f>IF('Monthly Summary'!AE161="",NA(),'Monthly Summary'!AE161)</f>
      </c>
      <c r="K162" s="74">
        <f>IF('Monthly Summary'!AF161="",NA(),'Monthly Summary'!AF161)</f>
      </c>
      <c r="L162" s="74">
        <f>IF('Monthly Summary'!AG161="",NA(),'Monthly Summary'!AG161)</f>
      </c>
      <c r="M162" s="74">
        <f>IF('Monthly Summary'!AH161="",NA(),'Monthly Summary'!AH161)</f>
      </c>
      <c r="N162" s="74">
        <f>IF('Monthly Summary'!AI161="",NA(),'Monthly Summary'!AI161)</f>
      </c>
      <c r="O162" s="74">
        <f>IF('Monthly Summary'!AJ161="",NA(),'Monthly Summary'!AJ161)</f>
      </c>
      <c r="P162" s="74">
        <f>IF('Monthly Summary'!AK161="",NA(),'Monthly Summary'!AK161)</f>
      </c>
      <c r="Q162" s="74">
        <f>IF('Monthly Summary'!AL161="",NA(),'Monthly Summary'!AL161)</f>
      </c>
      <c r="R162" s="74">
        <f>IF('Monthly Summary'!AM161="",NA(),'Monthly Summary'!AM161)</f>
      </c>
      <c r="S162" s="74">
        <f>IF('Monthly Summary'!C161="",NA(),'Monthly Summary'!C161)</f>
      </c>
    </row>
    <row r="163" spans="1:19" x14ac:dyDescent="0.2">
      <c r="A163" s="73">
        <f>'Monthly Summary'!A162</f>
      </c>
      <c r="B163" s="74">
        <f>IF('Monthly Summary'!W162="",NA(),'Monthly Summary'!W162)</f>
      </c>
      <c r="C163" s="74">
        <f>IF('Monthly Summary'!X162="",NA(),'Monthly Summary'!X162)</f>
      </c>
      <c r="D163" s="74">
        <f>IF('Monthly Summary'!Y162="",NA(),'Monthly Summary'!Y162)</f>
      </c>
      <c r="E163" s="74">
        <f>IF('Monthly Summary'!Z162="",NA(),'Monthly Summary'!Z162)</f>
      </c>
      <c r="F163" s="74">
        <f>IF('Monthly Summary'!AA162="",NA(),'Monthly Summary'!AA162)</f>
      </c>
      <c r="G163" s="74">
        <f>IF('Monthly Summary'!AB162="",NA(),'Monthly Summary'!AB162)</f>
      </c>
      <c r="H163" s="74">
        <f>IF('Monthly Summary'!AC162="",NA(),'Monthly Summary'!AC162)</f>
      </c>
      <c r="I163" s="74">
        <f>IF('Monthly Summary'!AD162="",NA(),'Monthly Summary'!AD162)</f>
      </c>
      <c r="J163" s="74">
        <f>IF('Monthly Summary'!AE162="",NA(),'Monthly Summary'!AE162)</f>
      </c>
      <c r="K163" s="74">
        <f>IF('Monthly Summary'!AF162="",NA(),'Monthly Summary'!AF162)</f>
      </c>
      <c r="L163" s="74">
        <f>IF('Monthly Summary'!AG162="",NA(),'Monthly Summary'!AG162)</f>
      </c>
      <c r="M163" s="74">
        <f>IF('Monthly Summary'!AH162="",NA(),'Monthly Summary'!AH162)</f>
      </c>
      <c r="N163" s="74">
        <f>IF('Monthly Summary'!AI162="",NA(),'Monthly Summary'!AI162)</f>
      </c>
      <c r="O163" s="74">
        <f>IF('Monthly Summary'!AJ162="",NA(),'Monthly Summary'!AJ162)</f>
      </c>
      <c r="P163" s="74">
        <f>IF('Monthly Summary'!AK162="",NA(),'Monthly Summary'!AK162)</f>
      </c>
      <c r="Q163" s="74">
        <f>IF('Monthly Summary'!AL162="",NA(),'Monthly Summary'!AL162)</f>
      </c>
      <c r="R163" s="74">
        <f>IF('Monthly Summary'!AM162="",NA(),'Monthly Summary'!AM162)</f>
      </c>
      <c r="S163" s="74">
        <f>IF('Monthly Summary'!C162="",NA(),'Monthly Summary'!C162)</f>
      </c>
    </row>
    <row r="164" spans="1:19" x14ac:dyDescent="0.2">
      <c r="A164" s="73">
        <f>'Monthly Summary'!A163</f>
      </c>
      <c r="B164" s="74">
        <f>IF('Monthly Summary'!W163="",NA(),'Monthly Summary'!W163)</f>
      </c>
      <c r="C164" s="74">
        <f>IF('Monthly Summary'!X163="",NA(),'Monthly Summary'!X163)</f>
      </c>
      <c r="D164" s="74">
        <f>IF('Monthly Summary'!Y163="",NA(),'Monthly Summary'!Y163)</f>
      </c>
      <c r="E164" s="74">
        <f>IF('Monthly Summary'!Z163="",NA(),'Monthly Summary'!Z163)</f>
      </c>
      <c r="F164" s="74">
        <f>IF('Monthly Summary'!AA163="",NA(),'Monthly Summary'!AA163)</f>
      </c>
      <c r="G164" s="74">
        <f>IF('Monthly Summary'!AB163="",NA(),'Monthly Summary'!AB163)</f>
      </c>
      <c r="H164" s="74">
        <f>IF('Monthly Summary'!AC163="",NA(),'Monthly Summary'!AC163)</f>
      </c>
      <c r="I164" s="74">
        <f>IF('Monthly Summary'!AD163="",NA(),'Monthly Summary'!AD163)</f>
      </c>
      <c r="J164" s="74">
        <f>IF('Monthly Summary'!AE163="",NA(),'Monthly Summary'!AE163)</f>
      </c>
      <c r="K164" s="74">
        <f>IF('Monthly Summary'!AF163="",NA(),'Monthly Summary'!AF163)</f>
      </c>
      <c r="L164" s="74">
        <f>IF('Monthly Summary'!AG163="",NA(),'Monthly Summary'!AG163)</f>
      </c>
      <c r="M164" s="74">
        <f>IF('Monthly Summary'!AH163="",NA(),'Monthly Summary'!AH163)</f>
      </c>
      <c r="N164" s="74">
        <f>IF('Monthly Summary'!AI163="",NA(),'Monthly Summary'!AI163)</f>
      </c>
      <c r="O164" s="74">
        <f>IF('Monthly Summary'!AJ163="",NA(),'Monthly Summary'!AJ163)</f>
      </c>
      <c r="P164" s="74">
        <f>IF('Monthly Summary'!AK163="",NA(),'Monthly Summary'!AK163)</f>
      </c>
      <c r="Q164" s="74">
        <f>IF('Monthly Summary'!AL163="",NA(),'Monthly Summary'!AL163)</f>
      </c>
      <c r="R164" s="74">
        <f>IF('Monthly Summary'!AM163="",NA(),'Monthly Summary'!AM163)</f>
      </c>
      <c r="S164" s="74">
        <f>IF('Monthly Summary'!C163="",NA(),'Monthly Summary'!C163)</f>
      </c>
    </row>
    <row r="165" spans="1:19" x14ac:dyDescent="0.2">
      <c r="A165" s="73">
        <f>'Monthly Summary'!A164</f>
      </c>
      <c r="B165" s="74">
        <f>IF('Monthly Summary'!W164="",NA(),'Monthly Summary'!W164)</f>
      </c>
      <c r="C165" s="74">
        <f>IF('Monthly Summary'!X164="",NA(),'Monthly Summary'!X164)</f>
      </c>
      <c r="D165" s="74">
        <f>IF('Monthly Summary'!Y164="",NA(),'Monthly Summary'!Y164)</f>
      </c>
      <c r="E165" s="74">
        <f>IF('Monthly Summary'!Z164="",NA(),'Monthly Summary'!Z164)</f>
      </c>
      <c r="F165" s="74">
        <f>IF('Monthly Summary'!AA164="",NA(),'Monthly Summary'!AA164)</f>
      </c>
      <c r="G165" s="74">
        <f>IF('Monthly Summary'!AB164="",NA(),'Monthly Summary'!AB164)</f>
      </c>
      <c r="H165" s="74">
        <f>IF('Monthly Summary'!AC164="",NA(),'Monthly Summary'!AC164)</f>
      </c>
      <c r="I165" s="74">
        <f>IF('Monthly Summary'!AD164="",NA(),'Monthly Summary'!AD164)</f>
      </c>
      <c r="J165" s="74">
        <f>IF('Monthly Summary'!AE164="",NA(),'Monthly Summary'!AE164)</f>
      </c>
      <c r="K165" s="74">
        <f>IF('Monthly Summary'!AF164="",NA(),'Monthly Summary'!AF164)</f>
      </c>
      <c r="L165" s="74">
        <f>IF('Monthly Summary'!AG164="",NA(),'Monthly Summary'!AG164)</f>
      </c>
      <c r="M165" s="74">
        <f>IF('Monthly Summary'!AH164="",NA(),'Monthly Summary'!AH164)</f>
      </c>
      <c r="N165" s="74">
        <f>IF('Monthly Summary'!AI164="",NA(),'Monthly Summary'!AI164)</f>
      </c>
      <c r="O165" s="74">
        <f>IF('Monthly Summary'!AJ164="",NA(),'Monthly Summary'!AJ164)</f>
      </c>
      <c r="P165" s="74">
        <f>IF('Monthly Summary'!AK164="",NA(),'Monthly Summary'!AK164)</f>
      </c>
      <c r="Q165" s="74">
        <f>IF('Monthly Summary'!AL164="",NA(),'Monthly Summary'!AL164)</f>
      </c>
      <c r="R165" s="74">
        <f>IF('Monthly Summary'!AM164="",NA(),'Monthly Summary'!AM164)</f>
      </c>
      <c r="S165" s="74">
        <f>IF('Monthly Summary'!C164="",NA(),'Monthly Summary'!C164)</f>
      </c>
    </row>
    <row r="166" spans="1:19" x14ac:dyDescent="0.2">
      <c r="A166" s="73">
        <f>'Monthly Summary'!A165</f>
      </c>
      <c r="B166" s="74">
        <f>IF('Monthly Summary'!W165="",NA(),'Monthly Summary'!W165)</f>
      </c>
      <c r="C166" s="74">
        <f>IF('Monthly Summary'!X165="",NA(),'Monthly Summary'!X165)</f>
      </c>
      <c r="D166" s="74">
        <f>IF('Monthly Summary'!Y165="",NA(),'Monthly Summary'!Y165)</f>
      </c>
      <c r="E166" s="74">
        <f>IF('Monthly Summary'!Z165="",NA(),'Monthly Summary'!Z165)</f>
      </c>
      <c r="F166" s="74">
        <f>IF('Monthly Summary'!AA165="",NA(),'Monthly Summary'!AA165)</f>
      </c>
      <c r="G166" s="74">
        <f>IF('Monthly Summary'!AB165="",NA(),'Monthly Summary'!AB165)</f>
      </c>
      <c r="H166" s="74">
        <f>IF('Monthly Summary'!AC165="",NA(),'Monthly Summary'!AC165)</f>
      </c>
      <c r="I166" s="74">
        <f>IF('Monthly Summary'!AD165="",NA(),'Monthly Summary'!AD165)</f>
      </c>
      <c r="J166" s="74">
        <f>IF('Monthly Summary'!AE165="",NA(),'Monthly Summary'!AE165)</f>
      </c>
      <c r="K166" s="74">
        <f>IF('Monthly Summary'!AF165="",NA(),'Monthly Summary'!AF165)</f>
      </c>
      <c r="L166" s="74">
        <f>IF('Monthly Summary'!AG165="",NA(),'Monthly Summary'!AG165)</f>
      </c>
      <c r="M166" s="74">
        <f>IF('Monthly Summary'!AH165="",NA(),'Monthly Summary'!AH165)</f>
      </c>
      <c r="N166" s="74">
        <f>IF('Monthly Summary'!AI165="",NA(),'Monthly Summary'!AI165)</f>
      </c>
      <c r="O166" s="74">
        <f>IF('Monthly Summary'!AJ165="",NA(),'Monthly Summary'!AJ165)</f>
      </c>
      <c r="P166" s="74">
        <f>IF('Monthly Summary'!AK165="",NA(),'Monthly Summary'!AK165)</f>
      </c>
      <c r="Q166" s="74">
        <f>IF('Monthly Summary'!AL165="",NA(),'Monthly Summary'!AL165)</f>
      </c>
      <c r="R166" s="74">
        <f>IF('Monthly Summary'!AM165="",NA(),'Monthly Summary'!AM165)</f>
      </c>
      <c r="S166" s="74">
        <f>IF('Monthly Summary'!C165="",NA(),'Monthly Summary'!C165)</f>
      </c>
    </row>
    <row r="167" spans="1:19" x14ac:dyDescent="0.2">
      <c r="A167" s="73">
        <f>'Monthly Summary'!A166</f>
      </c>
      <c r="B167" s="74">
        <f>IF('Monthly Summary'!W166="",NA(),'Monthly Summary'!W166)</f>
      </c>
      <c r="C167" s="74">
        <f>IF('Monthly Summary'!X166="",NA(),'Monthly Summary'!X166)</f>
      </c>
      <c r="D167" s="74">
        <f>IF('Monthly Summary'!Y166="",NA(),'Monthly Summary'!Y166)</f>
      </c>
      <c r="E167" s="74">
        <f>IF('Monthly Summary'!Z166="",NA(),'Monthly Summary'!Z166)</f>
      </c>
      <c r="F167" s="74">
        <f>IF('Monthly Summary'!AA166="",NA(),'Monthly Summary'!AA166)</f>
      </c>
      <c r="G167" s="74">
        <f>IF('Monthly Summary'!AB166="",NA(),'Monthly Summary'!AB166)</f>
      </c>
      <c r="H167" s="74">
        <f>IF('Monthly Summary'!AC166="",NA(),'Monthly Summary'!AC166)</f>
      </c>
      <c r="I167" s="74">
        <f>IF('Monthly Summary'!AD166="",NA(),'Monthly Summary'!AD166)</f>
      </c>
      <c r="J167" s="74">
        <f>IF('Monthly Summary'!AE166="",NA(),'Monthly Summary'!AE166)</f>
      </c>
      <c r="K167" s="74">
        <f>IF('Monthly Summary'!AF166="",NA(),'Monthly Summary'!AF166)</f>
      </c>
      <c r="L167" s="74">
        <f>IF('Monthly Summary'!AG166="",NA(),'Monthly Summary'!AG166)</f>
      </c>
      <c r="M167" s="74">
        <f>IF('Monthly Summary'!AH166="",NA(),'Monthly Summary'!AH166)</f>
      </c>
      <c r="N167" s="74">
        <f>IF('Monthly Summary'!AI166="",NA(),'Monthly Summary'!AI166)</f>
      </c>
      <c r="O167" s="74">
        <f>IF('Monthly Summary'!AJ166="",NA(),'Monthly Summary'!AJ166)</f>
      </c>
      <c r="P167" s="74">
        <f>IF('Monthly Summary'!AK166="",NA(),'Monthly Summary'!AK166)</f>
      </c>
      <c r="Q167" s="74">
        <f>IF('Monthly Summary'!AL166="",NA(),'Monthly Summary'!AL166)</f>
      </c>
      <c r="R167" s="74">
        <f>IF('Monthly Summary'!AM166="",NA(),'Monthly Summary'!AM166)</f>
      </c>
      <c r="S167" s="74">
        <f>IF('Monthly Summary'!C166="",NA(),'Monthly Summary'!C166)</f>
      </c>
    </row>
    <row r="168" spans="1:19" x14ac:dyDescent="0.2">
      <c r="A168" s="73">
        <f>'Monthly Summary'!A167</f>
      </c>
      <c r="B168" s="74">
        <f>IF('Monthly Summary'!W167="",NA(),'Monthly Summary'!W167)</f>
      </c>
      <c r="C168" s="74">
        <f>IF('Monthly Summary'!X167="",NA(),'Monthly Summary'!X167)</f>
      </c>
      <c r="D168" s="74">
        <f>IF('Monthly Summary'!Y167="",NA(),'Monthly Summary'!Y167)</f>
      </c>
      <c r="E168" s="74">
        <f>IF('Monthly Summary'!Z167="",NA(),'Monthly Summary'!Z167)</f>
      </c>
      <c r="F168" s="74">
        <f>IF('Monthly Summary'!AA167="",NA(),'Monthly Summary'!AA167)</f>
      </c>
      <c r="G168" s="74">
        <f>IF('Monthly Summary'!AB167="",NA(),'Monthly Summary'!AB167)</f>
      </c>
      <c r="H168" s="74">
        <f>IF('Monthly Summary'!AC167="",NA(),'Monthly Summary'!AC167)</f>
      </c>
      <c r="I168" s="74">
        <f>IF('Monthly Summary'!AD167="",NA(),'Monthly Summary'!AD167)</f>
      </c>
      <c r="J168" s="74">
        <f>IF('Monthly Summary'!AE167="",NA(),'Monthly Summary'!AE167)</f>
      </c>
      <c r="K168" s="74">
        <f>IF('Monthly Summary'!AF167="",NA(),'Monthly Summary'!AF167)</f>
      </c>
      <c r="L168" s="74">
        <f>IF('Monthly Summary'!AG167="",NA(),'Monthly Summary'!AG167)</f>
      </c>
      <c r="M168" s="74">
        <f>IF('Monthly Summary'!AH167="",NA(),'Monthly Summary'!AH167)</f>
      </c>
      <c r="N168" s="74">
        <f>IF('Monthly Summary'!AI167="",NA(),'Monthly Summary'!AI167)</f>
      </c>
      <c r="O168" s="74">
        <f>IF('Monthly Summary'!AJ167="",NA(),'Monthly Summary'!AJ167)</f>
      </c>
      <c r="P168" s="74">
        <f>IF('Monthly Summary'!AK167="",NA(),'Monthly Summary'!AK167)</f>
      </c>
      <c r="Q168" s="74">
        <f>IF('Monthly Summary'!AL167="",NA(),'Monthly Summary'!AL167)</f>
      </c>
      <c r="R168" s="74">
        <f>IF('Monthly Summary'!AM167="",NA(),'Monthly Summary'!AM167)</f>
      </c>
      <c r="S168" s="74">
        <f>IF('Monthly Summary'!C167="",NA(),'Monthly Summary'!C167)</f>
      </c>
    </row>
    <row r="169" spans="1:19" x14ac:dyDescent="0.2">
      <c r="A169" s="73">
        <f>'Monthly Summary'!A168</f>
      </c>
      <c r="B169" s="74">
        <f>IF('Monthly Summary'!W168="",NA(),'Monthly Summary'!W168)</f>
      </c>
      <c r="C169" s="74">
        <f>IF('Monthly Summary'!X168="",NA(),'Monthly Summary'!X168)</f>
      </c>
      <c r="D169" s="74">
        <f>IF('Monthly Summary'!Y168="",NA(),'Monthly Summary'!Y168)</f>
      </c>
      <c r="E169" s="74">
        <f>IF('Monthly Summary'!Z168="",NA(),'Monthly Summary'!Z168)</f>
      </c>
      <c r="F169" s="74">
        <f>IF('Monthly Summary'!AA168="",NA(),'Monthly Summary'!AA168)</f>
      </c>
      <c r="G169" s="74">
        <f>IF('Monthly Summary'!AB168="",NA(),'Monthly Summary'!AB168)</f>
      </c>
      <c r="H169" s="74">
        <f>IF('Monthly Summary'!AC168="",NA(),'Monthly Summary'!AC168)</f>
      </c>
      <c r="I169" s="74">
        <f>IF('Monthly Summary'!AD168="",NA(),'Monthly Summary'!AD168)</f>
      </c>
      <c r="J169" s="74">
        <f>IF('Monthly Summary'!AE168="",NA(),'Monthly Summary'!AE168)</f>
      </c>
      <c r="K169" s="74">
        <f>IF('Monthly Summary'!AF168="",NA(),'Monthly Summary'!AF168)</f>
      </c>
      <c r="L169" s="74">
        <f>IF('Monthly Summary'!AG168="",NA(),'Monthly Summary'!AG168)</f>
      </c>
      <c r="M169" s="74">
        <f>IF('Monthly Summary'!AH168="",NA(),'Monthly Summary'!AH168)</f>
      </c>
      <c r="N169" s="74">
        <f>IF('Monthly Summary'!AI168="",NA(),'Monthly Summary'!AI168)</f>
      </c>
      <c r="O169" s="74">
        <f>IF('Monthly Summary'!AJ168="",NA(),'Monthly Summary'!AJ168)</f>
      </c>
      <c r="P169" s="74">
        <f>IF('Monthly Summary'!AK168="",NA(),'Monthly Summary'!AK168)</f>
      </c>
      <c r="Q169" s="74">
        <f>IF('Monthly Summary'!AL168="",NA(),'Monthly Summary'!AL168)</f>
      </c>
      <c r="R169" s="74">
        <f>IF('Monthly Summary'!AM168="",NA(),'Monthly Summary'!AM168)</f>
      </c>
      <c r="S169" s="74">
        <f>IF('Monthly Summary'!C168="",NA(),'Monthly Summary'!C168)</f>
      </c>
    </row>
    <row r="170" spans="1:19" x14ac:dyDescent="0.2">
      <c r="A170" s="73">
        <f>'Monthly Summary'!A169</f>
      </c>
      <c r="B170" s="74">
        <f>IF('Monthly Summary'!W169="",NA(),'Monthly Summary'!W169)</f>
      </c>
      <c r="C170" s="74">
        <f>IF('Monthly Summary'!X169="",NA(),'Monthly Summary'!X169)</f>
      </c>
      <c r="D170" s="74">
        <f>IF('Monthly Summary'!Y169="",NA(),'Monthly Summary'!Y169)</f>
      </c>
      <c r="E170" s="74">
        <f>IF('Monthly Summary'!Z169="",NA(),'Monthly Summary'!Z169)</f>
      </c>
      <c r="F170" s="74">
        <f>IF('Monthly Summary'!AA169="",NA(),'Monthly Summary'!AA169)</f>
      </c>
      <c r="G170" s="74">
        <f>IF('Monthly Summary'!AB169="",NA(),'Monthly Summary'!AB169)</f>
      </c>
      <c r="H170" s="74">
        <f>IF('Monthly Summary'!AC169="",NA(),'Monthly Summary'!AC169)</f>
      </c>
      <c r="I170" s="74">
        <f>IF('Monthly Summary'!AD169="",NA(),'Monthly Summary'!AD169)</f>
      </c>
      <c r="J170" s="74">
        <f>IF('Monthly Summary'!AE169="",NA(),'Monthly Summary'!AE169)</f>
      </c>
      <c r="K170" s="74">
        <f>IF('Monthly Summary'!AF169="",NA(),'Monthly Summary'!AF169)</f>
      </c>
      <c r="L170" s="74">
        <f>IF('Monthly Summary'!AG169="",NA(),'Monthly Summary'!AG169)</f>
      </c>
      <c r="M170" s="74">
        <f>IF('Monthly Summary'!AH169="",NA(),'Monthly Summary'!AH169)</f>
      </c>
      <c r="N170" s="74">
        <f>IF('Monthly Summary'!AI169="",NA(),'Monthly Summary'!AI169)</f>
      </c>
      <c r="O170" s="74">
        <f>IF('Monthly Summary'!AJ169="",NA(),'Monthly Summary'!AJ169)</f>
      </c>
      <c r="P170" s="74">
        <f>IF('Monthly Summary'!AK169="",NA(),'Monthly Summary'!AK169)</f>
      </c>
      <c r="Q170" s="74">
        <f>IF('Monthly Summary'!AL169="",NA(),'Monthly Summary'!AL169)</f>
      </c>
      <c r="R170" s="74">
        <f>IF('Monthly Summary'!AM169="",NA(),'Monthly Summary'!AM169)</f>
      </c>
      <c r="S170" s="74">
        <f>IF('Monthly Summary'!C169="",NA(),'Monthly Summary'!C169)</f>
      </c>
    </row>
    <row r="171" spans="1:19" x14ac:dyDescent="0.2">
      <c r="A171" s="73">
        <f>'Monthly Summary'!A170</f>
      </c>
      <c r="B171" s="74">
        <f>IF('Monthly Summary'!W170="",NA(),'Monthly Summary'!W170)</f>
      </c>
      <c r="C171" s="74">
        <f>IF('Monthly Summary'!X170="",NA(),'Monthly Summary'!X170)</f>
      </c>
      <c r="D171" s="74">
        <f>IF('Monthly Summary'!Y170="",NA(),'Monthly Summary'!Y170)</f>
      </c>
      <c r="E171" s="74">
        <f>IF('Monthly Summary'!Z170="",NA(),'Monthly Summary'!Z170)</f>
      </c>
      <c r="F171" s="74">
        <f>IF('Monthly Summary'!AA170="",NA(),'Monthly Summary'!AA170)</f>
      </c>
      <c r="G171" s="74">
        <f>IF('Monthly Summary'!AB170="",NA(),'Monthly Summary'!AB170)</f>
      </c>
      <c r="H171" s="74">
        <f>IF('Monthly Summary'!AC170="",NA(),'Monthly Summary'!AC170)</f>
      </c>
      <c r="I171" s="74">
        <f>IF('Monthly Summary'!AD170="",NA(),'Monthly Summary'!AD170)</f>
      </c>
      <c r="J171" s="74">
        <f>IF('Monthly Summary'!AE170="",NA(),'Monthly Summary'!AE170)</f>
      </c>
      <c r="K171" s="74">
        <f>IF('Monthly Summary'!AF170="",NA(),'Monthly Summary'!AF170)</f>
      </c>
      <c r="L171" s="74">
        <f>IF('Monthly Summary'!AG170="",NA(),'Monthly Summary'!AG170)</f>
      </c>
      <c r="M171" s="74">
        <f>IF('Monthly Summary'!AH170="",NA(),'Monthly Summary'!AH170)</f>
      </c>
      <c r="N171" s="74">
        <f>IF('Monthly Summary'!AI170="",NA(),'Monthly Summary'!AI170)</f>
      </c>
      <c r="O171" s="74">
        <f>IF('Monthly Summary'!AJ170="",NA(),'Monthly Summary'!AJ170)</f>
      </c>
      <c r="P171" s="74">
        <f>IF('Monthly Summary'!AK170="",NA(),'Monthly Summary'!AK170)</f>
      </c>
      <c r="Q171" s="74">
        <f>IF('Monthly Summary'!AL170="",NA(),'Monthly Summary'!AL170)</f>
      </c>
      <c r="R171" s="74">
        <f>IF('Monthly Summary'!AM170="",NA(),'Monthly Summary'!AM170)</f>
      </c>
      <c r="S171" s="74">
        <f>IF('Monthly Summary'!C170="",NA(),'Monthly Summary'!C170)</f>
      </c>
    </row>
    <row r="172" spans="1:19" x14ac:dyDescent="0.2">
      <c r="A172" s="73">
        <f>'Monthly Summary'!A171</f>
      </c>
      <c r="B172" s="74">
        <f>IF('Monthly Summary'!W171="",NA(),'Monthly Summary'!W171)</f>
      </c>
      <c r="C172" s="74">
        <f>IF('Monthly Summary'!X171="",NA(),'Monthly Summary'!X171)</f>
      </c>
      <c r="D172" s="74">
        <f>IF('Monthly Summary'!Y171="",NA(),'Monthly Summary'!Y171)</f>
      </c>
      <c r="E172" s="74">
        <f>IF('Monthly Summary'!Z171="",NA(),'Monthly Summary'!Z171)</f>
      </c>
      <c r="F172" s="74">
        <f>IF('Monthly Summary'!AA171="",NA(),'Monthly Summary'!AA171)</f>
      </c>
      <c r="G172" s="74">
        <f>IF('Monthly Summary'!AB171="",NA(),'Monthly Summary'!AB171)</f>
      </c>
      <c r="H172" s="74">
        <f>IF('Monthly Summary'!AC171="",NA(),'Monthly Summary'!AC171)</f>
      </c>
      <c r="I172" s="74">
        <f>IF('Monthly Summary'!AD171="",NA(),'Monthly Summary'!AD171)</f>
      </c>
      <c r="J172" s="74">
        <f>IF('Monthly Summary'!AE171="",NA(),'Monthly Summary'!AE171)</f>
      </c>
      <c r="K172" s="74">
        <f>IF('Monthly Summary'!AF171="",NA(),'Monthly Summary'!AF171)</f>
      </c>
      <c r="L172" s="74">
        <f>IF('Monthly Summary'!AG171="",NA(),'Monthly Summary'!AG171)</f>
      </c>
      <c r="M172" s="74">
        <f>IF('Monthly Summary'!AH171="",NA(),'Monthly Summary'!AH171)</f>
      </c>
      <c r="N172" s="74">
        <f>IF('Monthly Summary'!AI171="",NA(),'Monthly Summary'!AI171)</f>
      </c>
      <c r="O172" s="74">
        <f>IF('Monthly Summary'!AJ171="",NA(),'Monthly Summary'!AJ171)</f>
      </c>
      <c r="P172" s="74">
        <f>IF('Monthly Summary'!AK171="",NA(),'Monthly Summary'!AK171)</f>
      </c>
      <c r="Q172" s="74">
        <f>IF('Monthly Summary'!AL171="",NA(),'Monthly Summary'!AL171)</f>
      </c>
      <c r="R172" s="74">
        <f>IF('Monthly Summary'!AM171="",NA(),'Monthly Summary'!AM171)</f>
      </c>
      <c r="S172" s="74">
        <f>IF('Monthly Summary'!C171="",NA(),'Monthly Summary'!C171)</f>
      </c>
    </row>
    <row r="173" spans="1:19" x14ac:dyDescent="0.2">
      <c r="A173" s="73">
        <f>'Monthly Summary'!A172</f>
      </c>
      <c r="B173" s="74">
        <f>IF('Monthly Summary'!W172="",NA(),'Monthly Summary'!W172)</f>
      </c>
      <c r="C173" s="74">
        <f>IF('Monthly Summary'!X172="",NA(),'Monthly Summary'!X172)</f>
      </c>
      <c r="D173" s="74">
        <f>IF('Monthly Summary'!Y172="",NA(),'Monthly Summary'!Y172)</f>
      </c>
      <c r="E173" s="74">
        <f>IF('Monthly Summary'!Z172="",NA(),'Monthly Summary'!Z172)</f>
      </c>
      <c r="F173" s="74">
        <f>IF('Monthly Summary'!AA172="",NA(),'Monthly Summary'!AA172)</f>
      </c>
      <c r="G173" s="74">
        <f>IF('Monthly Summary'!AB172="",NA(),'Monthly Summary'!AB172)</f>
      </c>
      <c r="H173" s="74">
        <f>IF('Monthly Summary'!AC172="",NA(),'Monthly Summary'!AC172)</f>
      </c>
      <c r="I173" s="74">
        <f>IF('Monthly Summary'!AD172="",NA(),'Monthly Summary'!AD172)</f>
      </c>
      <c r="J173" s="74">
        <f>IF('Monthly Summary'!AE172="",NA(),'Monthly Summary'!AE172)</f>
      </c>
      <c r="K173" s="74">
        <f>IF('Monthly Summary'!AF172="",NA(),'Monthly Summary'!AF172)</f>
      </c>
      <c r="L173" s="74">
        <f>IF('Monthly Summary'!AG172="",NA(),'Monthly Summary'!AG172)</f>
      </c>
      <c r="M173" s="74">
        <f>IF('Monthly Summary'!AH172="",NA(),'Monthly Summary'!AH172)</f>
      </c>
      <c r="N173" s="74">
        <f>IF('Monthly Summary'!AI172="",NA(),'Monthly Summary'!AI172)</f>
      </c>
      <c r="O173" s="74">
        <f>IF('Monthly Summary'!AJ172="",NA(),'Monthly Summary'!AJ172)</f>
      </c>
      <c r="P173" s="74">
        <f>IF('Monthly Summary'!AK172="",NA(),'Monthly Summary'!AK172)</f>
      </c>
      <c r="Q173" s="74">
        <f>IF('Monthly Summary'!AL172="",NA(),'Monthly Summary'!AL172)</f>
      </c>
      <c r="R173" s="74">
        <f>IF('Monthly Summary'!AM172="",NA(),'Monthly Summary'!AM172)</f>
      </c>
      <c r="S173" s="74">
        <f>IF('Monthly Summary'!C172="",NA(),'Monthly Summary'!C172)</f>
      </c>
    </row>
    <row r="174" spans="1:19" x14ac:dyDescent="0.2">
      <c r="A174" s="73">
        <f>'Monthly Summary'!A173</f>
      </c>
      <c r="B174" s="74">
        <f>IF('Monthly Summary'!W173="",NA(),'Monthly Summary'!W173)</f>
      </c>
      <c r="C174" s="74">
        <f>IF('Monthly Summary'!X173="",NA(),'Monthly Summary'!X173)</f>
      </c>
      <c r="D174" s="74">
        <f>IF('Monthly Summary'!Y173="",NA(),'Monthly Summary'!Y173)</f>
      </c>
      <c r="E174" s="74">
        <f>IF('Monthly Summary'!Z173="",NA(),'Monthly Summary'!Z173)</f>
      </c>
      <c r="F174" s="74">
        <f>IF('Monthly Summary'!AA173="",NA(),'Monthly Summary'!AA173)</f>
      </c>
      <c r="G174" s="74">
        <f>IF('Monthly Summary'!AB173="",NA(),'Monthly Summary'!AB173)</f>
      </c>
      <c r="H174" s="74">
        <f>IF('Monthly Summary'!AC173="",NA(),'Monthly Summary'!AC173)</f>
      </c>
      <c r="I174" s="74">
        <f>IF('Monthly Summary'!AD173="",NA(),'Monthly Summary'!AD173)</f>
      </c>
      <c r="J174" s="74">
        <f>IF('Monthly Summary'!AE173="",NA(),'Monthly Summary'!AE173)</f>
      </c>
      <c r="K174" s="74">
        <f>IF('Monthly Summary'!AF173="",NA(),'Monthly Summary'!AF173)</f>
      </c>
      <c r="L174" s="74">
        <f>IF('Monthly Summary'!AG173="",NA(),'Monthly Summary'!AG173)</f>
      </c>
      <c r="M174" s="74">
        <f>IF('Monthly Summary'!AH173="",NA(),'Monthly Summary'!AH173)</f>
      </c>
      <c r="N174" s="74">
        <f>IF('Monthly Summary'!AI173="",NA(),'Monthly Summary'!AI173)</f>
      </c>
      <c r="O174" s="74">
        <f>IF('Monthly Summary'!AJ173="",NA(),'Monthly Summary'!AJ173)</f>
      </c>
      <c r="P174" s="74">
        <f>IF('Monthly Summary'!AK173="",NA(),'Monthly Summary'!AK173)</f>
      </c>
      <c r="Q174" s="74">
        <f>IF('Monthly Summary'!AL173="",NA(),'Monthly Summary'!AL173)</f>
      </c>
      <c r="R174" s="74">
        <f>IF('Monthly Summary'!AM173="",NA(),'Monthly Summary'!AM173)</f>
      </c>
      <c r="S174" s="74">
        <f>IF('Monthly Summary'!C173="",NA(),'Monthly Summary'!C173)</f>
      </c>
    </row>
    <row r="175" spans="1:19" x14ac:dyDescent="0.2">
      <c r="A175" s="73">
        <f>'Monthly Summary'!A174</f>
      </c>
      <c r="B175" s="74">
        <f>IF('Monthly Summary'!W174="",NA(),'Monthly Summary'!W174)</f>
      </c>
      <c r="C175" s="74">
        <f>IF('Monthly Summary'!X174="",NA(),'Monthly Summary'!X174)</f>
      </c>
      <c r="D175" s="74">
        <f>IF('Monthly Summary'!Y174="",NA(),'Monthly Summary'!Y174)</f>
      </c>
      <c r="E175" s="74">
        <f>IF('Monthly Summary'!Z174="",NA(),'Monthly Summary'!Z174)</f>
      </c>
      <c r="F175" s="74">
        <f>IF('Monthly Summary'!AA174="",NA(),'Monthly Summary'!AA174)</f>
      </c>
      <c r="G175" s="74">
        <f>IF('Monthly Summary'!AB174="",NA(),'Monthly Summary'!AB174)</f>
      </c>
      <c r="H175" s="74">
        <f>IF('Monthly Summary'!AC174="",NA(),'Monthly Summary'!AC174)</f>
      </c>
      <c r="I175" s="74">
        <f>IF('Monthly Summary'!AD174="",NA(),'Monthly Summary'!AD174)</f>
      </c>
      <c r="J175" s="74">
        <f>IF('Monthly Summary'!AE174="",NA(),'Monthly Summary'!AE174)</f>
      </c>
      <c r="K175" s="74">
        <f>IF('Monthly Summary'!AF174="",NA(),'Monthly Summary'!AF174)</f>
      </c>
      <c r="L175" s="74">
        <f>IF('Monthly Summary'!AG174="",NA(),'Monthly Summary'!AG174)</f>
      </c>
      <c r="M175" s="74">
        <f>IF('Monthly Summary'!AH174="",NA(),'Monthly Summary'!AH174)</f>
      </c>
      <c r="N175" s="74">
        <f>IF('Monthly Summary'!AI174="",NA(),'Monthly Summary'!AI174)</f>
      </c>
      <c r="O175" s="74">
        <f>IF('Monthly Summary'!AJ174="",NA(),'Monthly Summary'!AJ174)</f>
      </c>
      <c r="P175" s="74">
        <f>IF('Monthly Summary'!AK174="",NA(),'Monthly Summary'!AK174)</f>
      </c>
      <c r="Q175" s="74">
        <f>IF('Monthly Summary'!AL174="",NA(),'Monthly Summary'!AL174)</f>
      </c>
      <c r="R175" s="74">
        <f>IF('Monthly Summary'!AM174="",NA(),'Monthly Summary'!AM174)</f>
      </c>
      <c r="S175" s="74">
        <f>IF('Monthly Summary'!C174="",NA(),'Monthly Summary'!C174)</f>
      </c>
    </row>
    <row r="176" spans="1:19" x14ac:dyDescent="0.2">
      <c r="A176" s="73">
        <f>'Monthly Summary'!A175</f>
      </c>
      <c r="B176" s="74">
        <f>IF('Monthly Summary'!W175="",NA(),'Monthly Summary'!W175)</f>
      </c>
      <c r="C176" s="74">
        <f>IF('Monthly Summary'!X175="",NA(),'Monthly Summary'!X175)</f>
      </c>
      <c r="D176" s="74">
        <f>IF('Monthly Summary'!Y175="",NA(),'Monthly Summary'!Y175)</f>
      </c>
      <c r="E176" s="74">
        <f>IF('Monthly Summary'!Z175="",NA(),'Monthly Summary'!Z175)</f>
      </c>
      <c r="F176" s="74">
        <f>IF('Monthly Summary'!AA175="",NA(),'Monthly Summary'!AA175)</f>
      </c>
      <c r="G176" s="74">
        <f>IF('Monthly Summary'!AB175="",NA(),'Monthly Summary'!AB175)</f>
      </c>
      <c r="H176" s="74">
        <f>IF('Monthly Summary'!AC175="",NA(),'Monthly Summary'!AC175)</f>
      </c>
      <c r="I176" s="74">
        <f>IF('Monthly Summary'!AD175="",NA(),'Monthly Summary'!AD175)</f>
      </c>
      <c r="J176" s="74">
        <f>IF('Monthly Summary'!AE175="",NA(),'Monthly Summary'!AE175)</f>
      </c>
      <c r="K176" s="74">
        <f>IF('Monthly Summary'!AF175="",NA(),'Monthly Summary'!AF175)</f>
      </c>
      <c r="L176" s="74">
        <f>IF('Monthly Summary'!AG175="",NA(),'Monthly Summary'!AG175)</f>
      </c>
      <c r="M176" s="74">
        <f>IF('Monthly Summary'!AH175="",NA(),'Monthly Summary'!AH175)</f>
      </c>
      <c r="N176" s="74">
        <f>IF('Monthly Summary'!AI175="",NA(),'Monthly Summary'!AI175)</f>
      </c>
      <c r="O176" s="74">
        <f>IF('Monthly Summary'!AJ175="",NA(),'Monthly Summary'!AJ175)</f>
      </c>
      <c r="P176" s="74">
        <f>IF('Monthly Summary'!AK175="",NA(),'Monthly Summary'!AK175)</f>
      </c>
      <c r="Q176" s="74">
        <f>IF('Monthly Summary'!AL175="",NA(),'Monthly Summary'!AL175)</f>
      </c>
      <c r="R176" s="74">
        <f>IF('Monthly Summary'!AM175="",NA(),'Monthly Summary'!AM175)</f>
      </c>
      <c r="S176" s="74">
        <f>IF('Monthly Summary'!C175="",NA(),'Monthly Summary'!C175)</f>
      </c>
    </row>
    <row r="177" spans="1:19" x14ac:dyDescent="0.2">
      <c r="A177" s="73">
        <f>'Monthly Summary'!A176</f>
      </c>
      <c r="B177" s="74">
        <f>IF('Monthly Summary'!W176="",NA(),'Monthly Summary'!W176)</f>
      </c>
      <c r="C177" s="74">
        <f>IF('Monthly Summary'!X176="",NA(),'Monthly Summary'!X176)</f>
      </c>
      <c r="D177" s="74">
        <f>IF('Monthly Summary'!Y176="",NA(),'Monthly Summary'!Y176)</f>
      </c>
      <c r="E177" s="74">
        <f>IF('Monthly Summary'!Z176="",NA(),'Monthly Summary'!Z176)</f>
      </c>
      <c r="F177" s="74">
        <f>IF('Monthly Summary'!AA176="",NA(),'Monthly Summary'!AA176)</f>
      </c>
      <c r="G177" s="74">
        <f>IF('Monthly Summary'!AB176="",NA(),'Monthly Summary'!AB176)</f>
      </c>
      <c r="H177" s="74">
        <f>IF('Monthly Summary'!AC176="",NA(),'Monthly Summary'!AC176)</f>
      </c>
      <c r="I177" s="74">
        <f>IF('Monthly Summary'!AD176="",NA(),'Monthly Summary'!AD176)</f>
      </c>
      <c r="J177" s="74">
        <f>IF('Monthly Summary'!AE176="",NA(),'Monthly Summary'!AE176)</f>
      </c>
      <c r="K177" s="74">
        <f>IF('Monthly Summary'!AF176="",NA(),'Monthly Summary'!AF176)</f>
      </c>
      <c r="L177" s="74">
        <f>IF('Monthly Summary'!AG176="",NA(),'Monthly Summary'!AG176)</f>
      </c>
      <c r="M177" s="74">
        <f>IF('Monthly Summary'!AH176="",NA(),'Monthly Summary'!AH176)</f>
      </c>
      <c r="N177" s="74">
        <f>IF('Monthly Summary'!AI176="",NA(),'Monthly Summary'!AI176)</f>
      </c>
      <c r="O177" s="74">
        <f>IF('Monthly Summary'!AJ176="",NA(),'Monthly Summary'!AJ176)</f>
      </c>
      <c r="P177" s="74">
        <f>IF('Monthly Summary'!AK176="",NA(),'Monthly Summary'!AK176)</f>
      </c>
      <c r="Q177" s="74">
        <f>IF('Monthly Summary'!AL176="",NA(),'Monthly Summary'!AL176)</f>
      </c>
      <c r="R177" s="74">
        <f>IF('Monthly Summary'!AM176="",NA(),'Monthly Summary'!AM176)</f>
      </c>
      <c r="S177" s="74">
        <f>IF('Monthly Summary'!C176="",NA(),'Monthly Summary'!C176)</f>
      </c>
    </row>
    <row r="178" spans="1:19" x14ac:dyDescent="0.2">
      <c r="A178" s="73">
        <f>'Monthly Summary'!A177</f>
      </c>
      <c r="B178" s="74">
        <f>IF('Monthly Summary'!W177="",NA(),'Monthly Summary'!W177)</f>
      </c>
      <c r="C178" s="74">
        <f>IF('Monthly Summary'!X177="",NA(),'Monthly Summary'!X177)</f>
      </c>
      <c r="D178" s="74">
        <f>IF('Monthly Summary'!Y177="",NA(),'Monthly Summary'!Y177)</f>
      </c>
      <c r="E178" s="74">
        <f>IF('Monthly Summary'!Z177="",NA(),'Monthly Summary'!Z177)</f>
      </c>
      <c r="F178" s="74">
        <f>IF('Monthly Summary'!AA177="",NA(),'Monthly Summary'!AA177)</f>
      </c>
      <c r="G178" s="74">
        <f>IF('Monthly Summary'!AB177="",NA(),'Monthly Summary'!AB177)</f>
      </c>
      <c r="H178" s="74">
        <f>IF('Monthly Summary'!AC177="",NA(),'Monthly Summary'!AC177)</f>
      </c>
      <c r="I178" s="74">
        <f>IF('Monthly Summary'!AD177="",NA(),'Monthly Summary'!AD177)</f>
      </c>
      <c r="J178" s="74">
        <f>IF('Monthly Summary'!AE177="",NA(),'Monthly Summary'!AE177)</f>
      </c>
      <c r="K178" s="74">
        <f>IF('Monthly Summary'!AF177="",NA(),'Monthly Summary'!AF177)</f>
      </c>
      <c r="L178" s="74">
        <f>IF('Monthly Summary'!AG177="",NA(),'Monthly Summary'!AG177)</f>
      </c>
      <c r="M178" s="74">
        <f>IF('Monthly Summary'!AH177="",NA(),'Monthly Summary'!AH177)</f>
      </c>
      <c r="N178" s="74">
        <f>IF('Monthly Summary'!AI177="",NA(),'Monthly Summary'!AI177)</f>
      </c>
      <c r="O178" s="74">
        <f>IF('Monthly Summary'!AJ177="",NA(),'Monthly Summary'!AJ177)</f>
      </c>
      <c r="P178" s="74">
        <f>IF('Monthly Summary'!AK177="",NA(),'Monthly Summary'!AK177)</f>
      </c>
      <c r="Q178" s="74">
        <f>IF('Monthly Summary'!AL177="",NA(),'Monthly Summary'!AL177)</f>
      </c>
      <c r="R178" s="74">
        <f>IF('Monthly Summary'!AM177="",NA(),'Monthly Summary'!AM177)</f>
      </c>
      <c r="S178" s="74">
        <f>IF('Monthly Summary'!C177="",NA(),'Monthly Summary'!C177)</f>
      </c>
    </row>
    <row r="179" spans="1:19" x14ac:dyDescent="0.2">
      <c r="A179" s="73">
        <f>'Monthly Summary'!A178</f>
      </c>
      <c r="B179" s="74">
        <f>IF('Monthly Summary'!W178="",NA(),'Monthly Summary'!W178)</f>
      </c>
      <c r="C179" s="74">
        <f>IF('Monthly Summary'!X178="",NA(),'Monthly Summary'!X178)</f>
      </c>
      <c r="D179" s="74">
        <f>IF('Monthly Summary'!Y178="",NA(),'Monthly Summary'!Y178)</f>
      </c>
      <c r="E179" s="74">
        <f>IF('Monthly Summary'!Z178="",NA(),'Monthly Summary'!Z178)</f>
      </c>
      <c r="F179" s="74">
        <f>IF('Monthly Summary'!AA178="",NA(),'Monthly Summary'!AA178)</f>
      </c>
      <c r="G179" s="74">
        <f>IF('Monthly Summary'!AB178="",NA(),'Monthly Summary'!AB178)</f>
      </c>
      <c r="H179" s="74">
        <f>IF('Monthly Summary'!AC178="",NA(),'Monthly Summary'!AC178)</f>
      </c>
      <c r="I179" s="74">
        <f>IF('Monthly Summary'!AD178="",NA(),'Monthly Summary'!AD178)</f>
      </c>
      <c r="J179" s="74">
        <f>IF('Monthly Summary'!AE178="",NA(),'Monthly Summary'!AE178)</f>
      </c>
      <c r="K179" s="74">
        <f>IF('Monthly Summary'!AF178="",NA(),'Monthly Summary'!AF178)</f>
      </c>
      <c r="L179" s="74">
        <f>IF('Monthly Summary'!AG178="",NA(),'Monthly Summary'!AG178)</f>
      </c>
      <c r="M179" s="74">
        <f>IF('Monthly Summary'!AH178="",NA(),'Monthly Summary'!AH178)</f>
      </c>
      <c r="N179" s="74">
        <f>IF('Monthly Summary'!AI178="",NA(),'Monthly Summary'!AI178)</f>
      </c>
      <c r="O179" s="74">
        <f>IF('Monthly Summary'!AJ178="",NA(),'Monthly Summary'!AJ178)</f>
      </c>
      <c r="P179" s="74">
        <f>IF('Monthly Summary'!AK178="",NA(),'Monthly Summary'!AK178)</f>
      </c>
      <c r="Q179" s="74">
        <f>IF('Monthly Summary'!AL178="",NA(),'Monthly Summary'!AL178)</f>
      </c>
      <c r="R179" s="74">
        <f>IF('Monthly Summary'!AM178="",NA(),'Monthly Summary'!AM178)</f>
      </c>
      <c r="S179" s="74">
        <f>IF('Monthly Summary'!C178="",NA(),'Monthly Summary'!C178)</f>
      </c>
    </row>
    <row r="180" spans="1:19" x14ac:dyDescent="0.2">
      <c r="A180" s="73">
        <f>'Monthly Summary'!A179</f>
      </c>
      <c r="B180" s="74">
        <f>IF('Monthly Summary'!W179="",NA(),'Monthly Summary'!W179)</f>
      </c>
      <c r="C180" s="74">
        <f>IF('Monthly Summary'!X179="",NA(),'Monthly Summary'!X179)</f>
      </c>
      <c r="D180" s="74">
        <f>IF('Monthly Summary'!Y179="",NA(),'Monthly Summary'!Y179)</f>
      </c>
      <c r="E180" s="74">
        <f>IF('Monthly Summary'!Z179="",NA(),'Monthly Summary'!Z179)</f>
      </c>
      <c r="F180" s="74">
        <f>IF('Monthly Summary'!AA179="",NA(),'Monthly Summary'!AA179)</f>
      </c>
      <c r="G180" s="74">
        <f>IF('Monthly Summary'!AB179="",NA(),'Monthly Summary'!AB179)</f>
      </c>
      <c r="H180" s="74">
        <f>IF('Monthly Summary'!AC179="",NA(),'Monthly Summary'!AC179)</f>
      </c>
      <c r="I180" s="74">
        <f>IF('Monthly Summary'!AD179="",NA(),'Monthly Summary'!AD179)</f>
      </c>
      <c r="J180" s="74">
        <f>IF('Monthly Summary'!AE179="",NA(),'Monthly Summary'!AE179)</f>
      </c>
      <c r="K180" s="74">
        <f>IF('Monthly Summary'!AF179="",NA(),'Monthly Summary'!AF179)</f>
      </c>
      <c r="L180" s="74">
        <f>IF('Monthly Summary'!AG179="",NA(),'Monthly Summary'!AG179)</f>
      </c>
      <c r="M180" s="74">
        <f>IF('Monthly Summary'!AH179="",NA(),'Monthly Summary'!AH179)</f>
      </c>
      <c r="N180" s="74">
        <f>IF('Monthly Summary'!AI179="",NA(),'Monthly Summary'!AI179)</f>
      </c>
      <c r="O180" s="74">
        <f>IF('Monthly Summary'!AJ179="",NA(),'Monthly Summary'!AJ179)</f>
      </c>
      <c r="P180" s="74">
        <f>IF('Monthly Summary'!AK179="",NA(),'Monthly Summary'!AK179)</f>
      </c>
      <c r="Q180" s="74">
        <f>IF('Monthly Summary'!AL179="",NA(),'Monthly Summary'!AL179)</f>
      </c>
      <c r="R180" s="74">
        <f>IF('Monthly Summary'!AM179="",NA(),'Monthly Summary'!AM179)</f>
      </c>
      <c r="S180" s="74">
        <f>IF('Monthly Summary'!C179="",NA(),'Monthly Summary'!C179)</f>
      </c>
    </row>
    <row r="181" spans="1:19" x14ac:dyDescent="0.2">
      <c r="A181" s="73">
        <f>'Monthly Summary'!A180</f>
      </c>
      <c r="B181" s="74">
        <f>IF('Monthly Summary'!W180="",NA(),'Monthly Summary'!W180)</f>
      </c>
      <c r="C181" s="74">
        <f>IF('Monthly Summary'!X180="",NA(),'Monthly Summary'!X180)</f>
      </c>
      <c r="D181" s="74">
        <f>IF('Monthly Summary'!Y180="",NA(),'Monthly Summary'!Y180)</f>
      </c>
      <c r="E181" s="74">
        <f>IF('Monthly Summary'!Z180="",NA(),'Monthly Summary'!Z180)</f>
      </c>
      <c r="F181" s="74">
        <f>IF('Monthly Summary'!AA180="",NA(),'Monthly Summary'!AA180)</f>
      </c>
      <c r="G181" s="74">
        <f>IF('Monthly Summary'!AB180="",NA(),'Monthly Summary'!AB180)</f>
      </c>
      <c r="H181" s="74">
        <f>IF('Monthly Summary'!AC180="",NA(),'Monthly Summary'!AC180)</f>
      </c>
      <c r="I181" s="74">
        <f>IF('Monthly Summary'!AD180="",NA(),'Monthly Summary'!AD180)</f>
      </c>
      <c r="J181" s="74">
        <f>IF('Monthly Summary'!AE180="",NA(),'Monthly Summary'!AE180)</f>
      </c>
      <c r="K181" s="74">
        <f>IF('Monthly Summary'!AF180="",NA(),'Monthly Summary'!AF180)</f>
      </c>
      <c r="L181" s="74">
        <f>IF('Monthly Summary'!AG180="",NA(),'Monthly Summary'!AG180)</f>
      </c>
      <c r="M181" s="74">
        <f>IF('Monthly Summary'!AH180="",NA(),'Monthly Summary'!AH180)</f>
      </c>
      <c r="N181" s="74">
        <f>IF('Monthly Summary'!AI180="",NA(),'Monthly Summary'!AI180)</f>
      </c>
      <c r="O181" s="74">
        <f>IF('Monthly Summary'!AJ180="",NA(),'Monthly Summary'!AJ180)</f>
      </c>
      <c r="P181" s="74">
        <f>IF('Monthly Summary'!AK180="",NA(),'Monthly Summary'!AK180)</f>
      </c>
      <c r="Q181" s="74">
        <f>IF('Monthly Summary'!AL180="",NA(),'Monthly Summary'!AL180)</f>
      </c>
      <c r="R181" s="74">
        <f>IF('Monthly Summary'!AM180="",NA(),'Monthly Summary'!AM180)</f>
      </c>
      <c r="S181" s="74">
        <f>IF('Monthly Summary'!C180="",NA(),'Monthly Summary'!C180)</f>
      </c>
    </row>
    <row r="182" spans="1:19" x14ac:dyDescent="0.2">
      <c r="A182" s="73">
        <f>'Monthly Summary'!A181</f>
      </c>
      <c r="B182" s="74">
        <f>IF('Monthly Summary'!W181="",NA(),'Monthly Summary'!W181)</f>
      </c>
      <c r="C182" s="74">
        <f>IF('Monthly Summary'!X181="",NA(),'Monthly Summary'!X181)</f>
      </c>
      <c r="D182" s="74">
        <f>IF('Monthly Summary'!Y181="",NA(),'Monthly Summary'!Y181)</f>
      </c>
      <c r="E182" s="74">
        <f>IF('Monthly Summary'!Z181="",NA(),'Monthly Summary'!Z181)</f>
      </c>
      <c r="F182" s="74">
        <f>IF('Monthly Summary'!AA181="",NA(),'Monthly Summary'!AA181)</f>
      </c>
      <c r="G182" s="74">
        <f>IF('Monthly Summary'!AB181="",NA(),'Monthly Summary'!AB181)</f>
      </c>
      <c r="H182" s="74">
        <f>IF('Monthly Summary'!AC181="",NA(),'Monthly Summary'!AC181)</f>
      </c>
      <c r="I182" s="74">
        <f>IF('Monthly Summary'!AD181="",NA(),'Monthly Summary'!AD181)</f>
      </c>
      <c r="J182" s="74">
        <f>IF('Monthly Summary'!AE181="",NA(),'Monthly Summary'!AE181)</f>
      </c>
      <c r="K182" s="74">
        <f>IF('Monthly Summary'!AF181="",NA(),'Monthly Summary'!AF181)</f>
      </c>
      <c r="L182" s="74">
        <f>IF('Monthly Summary'!AG181="",NA(),'Monthly Summary'!AG181)</f>
      </c>
      <c r="M182" s="74">
        <f>IF('Monthly Summary'!AH181="",NA(),'Monthly Summary'!AH181)</f>
      </c>
      <c r="N182" s="74">
        <f>IF('Monthly Summary'!AI181="",NA(),'Monthly Summary'!AI181)</f>
      </c>
      <c r="O182" s="74">
        <f>IF('Monthly Summary'!AJ181="",NA(),'Monthly Summary'!AJ181)</f>
      </c>
      <c r="P182" s="74">
        <f>IF('Monthly Summary'!AK181="",NA(),'Monthly Summary'!AK181)</f>
      </c>
      <c r="Q182" s="74">
        <f>IF('Monthly Summary'!AL181="",NA(),'Monthly Summary'!AL181)</f>
      </c>
      <c r="R182" s="74">
        <f>IF('Monthly Summary'!AM181="",NA(),'Monthly Summary'!AM181)</f>
      </c>
      <c r="S182" s="74">
        <f>IF('Monthly Summary'!C181="",NA(),'Monthly Summary'!C181)</f>
      </c>
    </row>
    <row r="183" spans="1:19" x14ac:dyDescent="0.2">
      <c r="A183" s="73">
        <f>'Monthly Summary'!A182</f>
      </c>
      <c r="B183" s="74">
        <f>IF('Monthly Summary'!W182="",NA(),'Monthly Summary'!W182)</f>
      </c>
      <c r="C183" s="74">
        <f>IF('Monthly Summary'!X182="",NA(),'Monthly Summary'!X182)</f>
      </c>
      <c r="D183" s="74">
        <f>IF('Monthly Summary'!Y182="",NA(),'Monthly Summary'!Y182)</f>
      </c>
      <c r="E183" s="74">
        <f>IF('Monthly Summary'!Z182="",NA(),'Monthly Summary'!Z182)</f>
      </c>
      <c r="F183" s="74">
        <f>IF('Monthly Summary'!AA182="",NA(),'Monthly Summary'!AA182)</f>
      </c>
      <c r="G183" s="74">
        <f>IF('Monthly Summary'!AB182="",NA(),'Monthly Summary'!AB182)</f>
      </c>
      <c r="H183" s="74">
        <f>IF('Monthly Summary'!AC182="",NA(),'Monthly Summary'!AC182)</f>
      </c>
      <c r="I183" s="74">
        <f>IF('Monthly Summary'!AD182="",NA(),'Monthly Summary'!AD182)</f>
      </c>
      <c r="J183" s="74">
        <f>IF('Monthly Summary'!AE182="",NA(),'Monthly Summary'!AE182)</f>
      </c>
      <c r="K183" s="74">
        <f>IF('Monthly Summary'!AF182="",NA(),'Monthly Summary'!AF182)</f>
      </c>
      <c r="L183" s="74">
        <f>IF('Monthly Summary'!AG182="",NA(),'Monthly Summary'!AG182)</f>
      </c>
      <c r="M183" s="74">
        <f>IF('Monthly Summary'!AH182="",NA(),'Monthly Summary'!AH182)</f>
      </c>
      <c r="N183" s="74">
        <f>IF('Monthly Summary'!AI182="",NA(),'Monthly Summary'!AI182)</f>
      </c>
      <c r="O183" s="74">
        <f>IF('Monthly Summary'!AJ182="",NA(),'Monthly Summary'!AJ182)</f>
      </c>
      <c r="P183" s="74">
        <f>IF('Monthly Summary'!AK182="",NA(),'Monthly Summary'!AK182)</f>
      </c>
      <c r="Q183" s="74">
        <f>IF('Monthly Summary'!AL182="",NA(),'Monthly Summary'!AL182)</f>
      </c>
      <c r="R183" s="74">
        <f>IF('Monthly Summary'!AM182="",NA(),'Monthly Summary'!AM182)</f>
      </c>
      <c r="S183" s="74">
        <f>IF('Monthly Summary'!C182="",NA(),'Monthly Summary'!C182)</f>
      </c>
    </row>
    <row r="184" spans="1:19" x14ac:dyDescent="0.2">
      <c r="A184" s="73">
        <f>'Monthly Summary'!A183</f>
      </c>
      <c r="B184" s="74">
        <f>IF('Monthly Summary'!W183="",NA(),'Monthly Summary'!W183)</f>
      </c>
      <c r="C184" s="74">
        <f>IF('Monthly Summary'!X183="",NA(),'Monthly Summary'!X183)</f>
      </c>
      <c r="D184" s="74">
        <f>IF('Monthly Summary'!Y183="",NA(),'Monthly Summary'!Y183)</f>
      </c>
      <c r="E184" s="74">
        <f>IF('Monthly Summary'!Z183="",NA(),'Monthly Summary'!Z183)</f>
      </c>
      <c r="F184" s="74">
        <f>IF('Monthly Summary'!AA183="",NA(),'Monthly Summary'!AA183)</f>
      </c>
      <c r="G184" s="74">
        <f>IF('Monthly Summary'!AB183="",NA(),'Monthly Summary'!AB183)</f>
      </c>
      <c r="H184" s="74">
        <f>IF('Monthly Summary'!AC183="",NA(),'Monthly Summary'!AC183)</f>
      </c>
      <c r="I184" s="74">
        <f>IF('Monthly Summary'!AD183="",NA(),'Monthly Summary'!AD183)</f>
      </c>
      <c r="J184" s="74">
        <f>IF('Monthly Summary'!AE183="",NA(),'Monthly Summary'!AE183)</f>
      </c>
      <c r="K184" s="74">
        <f>IF('Monthly Summary'!AF183="",NA(),'Monthly Summary'!AF183)</f>
      </c>
      <c r="L184" s="74">
        <f>IF('Monthly Summary'!AG183="",NA(),'Monthly Summary'!AG183)</f>
      </c>
      <c r="M184" s="74">
        <f>IF('Monthly Summary'!AH183="",NA(),'Monthly Summary'!AH183)</f>
      </c>
      <c r="N184" s="74">
        <f>IF('Monthly Summary'!AI183="",NA(),'Monthly Summary'!AI183)</f>
      </c>
      <c r="O184" s="74">
        <f>IF('Monthly Summary'!AJ183="",NA(),'Monthly Summary'!AJ183)</f>
      </c>
      <c r="P184" s="74">
        <f>IF('Monthly Summary'!AK183="",NA(),'Monthly Summary'!AK183)</f>
      </c>
      <c r="Q184" s="74">
        <f>IF('Monthly Summary'!AL183="",NA(),'Monthly Summary'!AL183)</f>
      </c>
      <c r="R184" s="74">
        <f>IF('Monthly Summary'!AM183="",NA(),'Monthly Summary'!AM183)</f>
      </c>
      <c r="S184" s="74">
        <f>IF('Monthly Summary'!C183="",NA(),'Monthly Summary'!C183)</f>
      </c>
    </row>
    <row r="185" spans="1:19" x14ac:dyDescent="0.2">
      <c r="A185" s="73">
        <f>'Monthly Summary'!A184</f>
      </c>
      <c r="B185" s="74">
        <f>IF('Monthly Summary'!W184="",NA(),'Monthly Summary'!W184)</f>
      </c>
      <c r="C185" s="74">
        <f>IF('Monthly Summary'!X184="",NA(),'Monthly Summary'!X184)</f>
      </c>
      <c r="D185" s="74">
        <f>IF('Monthly Summary'!Y184="",NA(),'Monthly Summary'!Y184)</f>
      </c>
      <c r="E185" s="74">
        <f>IF('Monthly Summary'!Z184="",NA(),'Monthly Summary'!Z184)</f>
      </c>
      <c r="F185" s="74">
        <f>IF('Monthly Summary'!AA184="",NA(),'Monthly Summary'!AA184)</f>
      </c>
      <c r="G185" s="74">
        <f>IF('Monthly Summary'!AB184="",NA(),'Monthly Summary'!AB184)</f>
      </c>
      <c r="H185" s="74">
        <f>IF('Monthly Summary'!AC184="",NA(),'Monthly Summary'!AC184)</f>
      </c>
      <c r="I185" s="74">
        <f>IF('Monthly Summary'!AD184="",NA(),'Monthly Summary'!AD184)</f>
      </c>
      <c r="J185" s="74">
        <f>IF('Monthly Summary'!AE184="",NA(),'Monthly Summary'!AE184)</f>
      </c>
      <c r="K185" s="74">
        <f>IF('Monthly Summary'!AF184="",NA(),'Monthly Summary'!AF184)</f>
      </c>
      <c r="L185" s="74">
        <f>IF('Monthly Summary'!AG184="",NA(),'Monthly Summary'!AG184)</f>
      </c>
      <c r="M185" s="74">
        <f>IF('Monthly Summary'!AH184="",NA(),'Monthly Summary'!AH184)</f>
      </c>
      <c r="N185" s="74">
        <f>IF('Monthly Summary'!AI184="",NA(),'Monthly Summary'!AI184)</f>
      </c>
      <c r="O185" s="74">
        <f>IF('Monthly Summary'!AJ184="",NA(),'Monthly Summary'!AJ184)</f>
      </c>
      <c r="P185" s="74">
        <f>IF('Monthly Summary'!AK184="",NA(),'Monthly Summary'!AK184)</f>
      </c>
      <c r="Q185" s="74">
        <f>IF('Monthly Summary'!AL184="",NA(),'Monthly Summary'!AL184)</f>
      </c>
      <c r="R185" s="74">
        <f>IF('Monthly Summary'!AM184="",NA(),'Monthly Summary'!AM184)</f>
      </c>
      <c r="S185" s="74">
        <f>IF('Monthly Summary'!C184="",NA(),'Monthly Summary'!C184)</f>
      </c>
    </row>
    <row r="186" spans="1:19" x14ac:dyDescent="0.2">
      <c r="A186" s="73">
        <f>'Monthly Summary'!A185</f>
      </c>
      <c r="B186" s="74">
        <f>IF('Monthly Summary'!W185="",NA(),'Monthly Summary'!W185)</f>
      </c>
      <c r="C186" s="74">
        <f>IF('Monthly Summary'!X185="",NA(),'Monthly Summary'!X185)</f>
      </c>
      <c r="D186" s="74">
        <f>IF('Monthly Summary'!Y185="",NA(),'Monthly Summary'!Y185)</f>
      </c>
      <c r="E186" s="74">
        <f>IF('Monthly Summary'!Z185="",NA(),'Monthly Summary'!Z185)</f>
      </c>
      <c r="F186" s="74">
        <f>IF('Monthly Summary'!AA185="",NA(),'Monthly Summary'!AA185)</f>
      </c>
      <c r="G186" s="74">
        <f>IF('Monthly Summary'!AB185="",NA(),'Monthly Summary'!AB185)</f>
      </c>
      <c r="H186" s="74">
        <f>IF('Monthly Summary'!AC185="",NA(),'Monthly Summary'!AC185)</f>
      </c>
      <c r="I186" s="74">
        <f>IF('Monthly Summary'!AD185="",NA(),'Monthly Summary'!AD185)</f>
      </c>
      <c r="J186" s="74">
        <f>IF('Monthly Summary'!AE185="",NA(),'Monthly Summary'!AE185)</f>
      </c>
      <c r="K186" s="74">
        <f>IF('Monthly Summary'!AF185="",NA(),'Monthly Summary'!AF185)</f>
      </c>
      <c r="L186" s="74">
        <f>IF('Monthly Summary'!AG185="",NA(),'Monthly Summary'!AG185)</f>
      </c>
      <c r="M186" s="74">
        <f>IF('Monthly Summary'!AH185="",NA(),'Monthly Summary'!AH185)</f>
      </c>
      <c r="N186" s="74">
        <f>IF('Monthly Summary'!AI185="",NA(),'Monthly Summary'!AI185)</f>
      </c>
      <c r="O186" s="74">
        <f>IF('Monthly Summary'!AJ185="",NA(),'Monthly Summary'!AJ185)</f>
      </c>
      <c r="P186" s="74">
        <f>IF('Monthly Summary'!AK185="",NA(),'Monthly Summary'!AK185)</f>
      </c>
      <c r="Q186" s="74">
        <f>IF('Monthly Summary'!AL185="",NA(),'Monthly Summary'!AL185)</f>
      </c>
      <c r="R186" s="74">
        <f>IF('Monthly Summary'!AM185="",NA(),'Monthly Summary'!AM185)</f>
      </c>
      <c r="S186" s="74">
        <f>IF('Monthly Summary'!C185="",NA(),'Monthly Summary'!C185)</f>
      </c>
    </row>
    <row r="187" spans="1:19" x14ac:dyDescent="0.2">
      <c r="A187" s="73">
        <f>'Monthly Summary'!A186</f>
      </c>
      <c r="B187" s="74">
        <f>IF('Monthly Summary'!W186="",NA(),'Monthly Summary'!W186)</f>
      </c>
      <c r="C187" s="74">
        <f>IF('Monthly Summary'!X186="",NA(),'Monthly Summary'!X186)</f>
      </c>
      <c r="D187" s="74">
        <f>IF('Monthly Summary'!Y186="",NA(),'Monthly Summary'!Y186)</f>
      </c>
      <c r="E187" s="74">
        <f>IF('Monthly Summary'!Z186="",NA(),'Monthly Summary'!Z186)</f>
      </c>
      <c r="F187" s="74">
        <f>IF('Monthly Summary'!AA186="",NA(),'Monthly Summary'!AA186)</f>
      </c>
      <c r="G187" s="74">
        <f>IF('Monthly Summary'!AB186="",NA(),'Monthly Summary'!AB186)</f>
      </c>
      <c r="H187" s="74">
        <f>IF('Monthly Summary'!AC186="",NA(),'Monthly Summary'!AC186)</f>
      </c>
      <c r="I187" s="74">
        <f>IF('Monthly Summary'!AD186="",NA(),'Monthly Summary'!AD186)</f>
      </c>
      <c r="J187" s="74">
        <f>IF('Monthly Summary'!AE186="",NA(),'Monthly Summary'!AE186)</f>
      </c>
      <c r="K187" s="74">
        <f>IF('Monthly Summary'!AF186="",NA(),'Monthly Summary'!AF186)</f>
      </c>
      <c r="L187" s="74">
        <f>IF('Monthly Summary'!AG186="",NA(),'Monthly Summary'!AG186)</f>
      </c>
      <c r="M187" s="74">
        <f>IF('Monthly Summary'!AH186="",NA(),'Monthly Summary'!AH186)</f>
      </c>
      <c r="N187" s="74">
        <f>IF('Monthly Summary'!AI186="",NA(),'Monthly Summary'!AI186)</f>
      </c>
      <c r="O187" s="74">
        <f>IF('Monthly Summary'!AJ186="",NA(),'Monthly Summary'!AJ186)</f>
      </c>
      <c r="P187" s="74">
        <f>IF('Monthly Summary'!AK186="",NA(),'Monthly Summary'!AK186)</f>
      </c>
      <c r="Q187" s="74">
        <f>IF('Monthly Summary'!AL186="",NA(),'Monthly Summary'!AL186)</f>
      </c>
      <c r="R187" s="74">
        <f>IF('Monthly Summary'!AM186="",NA(),'Monthly Summary'!AM186)</f>
      </c>
      <c r="S187" s="74">
        <f>IF('Monthly Summary'!C186="",NA(),'Monthly Summary'!C186)</f>
      </c>
    </row>
    <row r="188" spans="1:19" x14ac:dyDescent="0.2">
      <c r="A188" s="73">
        <f>'Monthly Summary'!A187</f>
      </c>
      <c r="B188" s="74">
        <f>IF('Monthly Summary'!W187="",NA(),'Monthly Summary'!W187)</f>
      </c>
      <c r="C188" s="74">
        <f>IF('Monthly Summary'!X187="",NA(),'Monthly Summary'!X187)</f>
      </c>
      <c r="D188" s="74">
        <f>IF('Monthly Summary'!Y187="",NA(),'Monthly Summary'!Y187)</f>
      </c>
      <c r="E188" s="74">
        <f>IF('Monthly Summary'!Z187="",NA(),'Monthly Summary'!Z187)</f>
      </c>
      <c r="F188" s="74">
        <f>IF('Monthly Summary'!AA187="",NA(),'Monthly Summary'!AA187)</f>
      </c>
      <c r="G188" s="74">
        <f>IF('Monthly Summary'!AB187="",NA(),'Monthly Summary'!AB187)</f>
      </c>
      <c r="H188" s="74">
        <f>IF('Monthly Summary'!AC187="",NA(),'Monthly Summary'!AC187)</f>
      </c>
      <c r="I188" s="74">
        <f>IF('Monthly Summary'!AD187="",NA(),'Monthly Summary'!AD187)</f>
      </c>
      <c r="J188" s="74">
        <f>IF('Monthly Summary'!AE187="",NA(),'Monthly Summary'!AE187)</f>
      </c>
      <c r="K188" s="74">
        <f>IF('Monthly Summary'!AF187="",NA(),'Monthly Summary'!AF187)</f>
      </c>
      <c r="L188" s="74">
        <f>IF('Monthly Summary'!AG187="",NA(),'Monthly Summary'!AG187)</f>
      </c>
      <c r="M188" s="74">
        <f>IF('Monthly Summary'!AH187="",NA(),'Monthly Summary'!AH187)</f>
      </c>
      <c r="N188" s="74">
        <f>IF('Monthly Summary'!AI187="",NA(),'Monthly Summary'!AI187)</f>
      </c>
      <c r="O188" s="74">
        <f>IF('Monthly Summary'!AJ187="",NA(),'Monthly Summary'!AJ187)</f>
      </c>
      <c r="P188" s="74">
        <f>IF('Monthly Summary'!AK187="",NA(),'Monthly Summary'!AK187)</f>
      </c>
      <c r="Q188" s="74">
        <f>IF('Monthly Summary'!AL187="",NA(),'Monthly Summary'!AL187)</f>
      </c>
      <c r="R188" s="74">
        <f>IF('Monthly Summary'!AM187="",NA(),'Monthly Summary'!AM187)</f>
      </c>
      <c r="S188" s="74">
        <f>IF('Monthly Summary'!C187="",NA(),'Monthly Summary'!C187)</f>
      </c>
    </row>
    <row r="189" spans="1:19" x14ac:dyDescent="0.2">
      <c r="A189" s="73">
        <f>'Monthly Summary'!A188</f>
      </c>
      <c r="B189" s="74">
        <f>IF('Monthly Summary'!W188="",NA(),'Monthly Summary'!W188)</f>
      </c>
      <c r="C189" s="74">
        <f>IF('Monthly Summary'!X188="",NA(),'Monthly Summary'!X188)</f>
      </c>
      <c r="D189" s="74">
        <f>IF('Monthly Summary'!Y188="",NA(),'Monthly Summary'!Y188)</f>
      </c>
      <c r="E189" s="74">
        <f>IF('Monthly Summary'!Z188="",NA(),'Monthly Summary'!Z188)</f>
      </c>
      <c r="F189" s="74">
        <f>IF('Monthly Summary'!AA188="",NA(),'Monthly Summary'!AA188)</f>
      </c>
      <c r="G189" s="74">
        <f>IF('Monthly Summary'!AB188="",NA(),'Monthly Summary'!AB188)</f>
      </c>
      <c r="H189" s="74">
        <f>IF('Monthly Summary'!AC188="",NA(),'Monthly Summary'!AC188)</f>
      </c>
      <c r="I189" s="74">
        <f>IF('Monthly Summary'!AD188="",NA(),'Monthly Summary'!AD188)</f>
      </c>
      <c r="J189" s="74">
        <f>IF('Monthly Summary'!AE188="",NA(),'Monthly Summary'!AE188)</f>
      </c>
      <c r="K189" s="74">
        <f>IF('Monthly Summary'!AF188="",NA(),'Monthly Summary'!AF188)</f>
      </c>
      <c r="L189" s="74">
        <f>IF('Monthly Summary'!AG188="",NA(),'Monthly Summary'!AG188)</f>
      </c>
      <c r="M189" s="74">
        <f>IF('Monthly Summary'!AH188="",NA(),'Monthly Summary'!AH188)</f>
      </c>
      <c r="N189" s="74">
        <f>IF('Monthly Summary'!AI188="",NA(),'Monthly Summary'!AI188)</f>
      </c>
      <c r="O189" s="74">
        <f>IF('Monthly Summary'!AJ188="",NA(),'Monthly Summary'!AJ188)</f>
      </c>
      <c r="P189" s="74">
        <f>IF('Monthly Summary'!AK188="",NA(),'Monthly Summary'!AK188)</f>
      </c>
      <c r="Q189" s="74">
        <f>IF('Monthly Summary'!AL188="",NA(),'Monthly Summary'!AL188)</f>
      </c>
      <c r="R189" s="74">
        <f>IF('Monthly Summary'!AM188="",NA(),'Monthly Summary'!AM188)</f>
      </c>
      <c r="S189" s="74">
        <f>IF('Monthly Summary'!C188="",NA(),'Monthly Summary'!C188)</f>
      </c>
    </row>
    <row r="190" spans="1:19" x14ac:dyDescent="0.2">
      <c r="A190" s="73">
        <f>'Monthly Summary'!A189</f>
      </c>
      <c r="B190" s="74">
        <f>IF('Monthly Summary'!W189="",NA(),'Monthly Summary'!W189)</f>
      </c>
      <c r="C190" s="74">
        <f>IF('Monthly Summary'!X189="",NA(),'Monthly Summary'!X189)</f>
      </c>
      <c r="D190" s="74">
        <f>IF('Monthly Summary'!Y189="",NA(),'Monthly Summary'!Y189)</f>
      </c>
      <c r="E190" s="74">
        <f>IF('Monthly Summary'!Z189="",NA(),'Monthly Summary'!Z189)</f>
      </c>
      <c r="F190" s="74">
        <f>IF('Monthly Summary'!AA189="",NA(),'Monthly Summary'!AA189)</f>
      </c>
      <c r="G190" s="74">
        <f>IF('Monthly Summary'!AB189="",NA(),'Monthly Summary'!AB189)</f>
      </c>
      <c r="H190" s="74">
        <f>IF('Monthly Summary'!AC189="",NA(),'Monthly Summary'!AC189)</f>
      </c>
      <c r="I190" s="74">
        <f>IF('Monthly Summary'!AD189="",NA(),'Monthly Summary'!AD189)</f>
      </c>
      <c r="J190" s="74">
        <f>IF('Monthly Summary'!AE189="",NA(),'Monthly Summary'!AE189)</f>
      </c>
      <c r="K190" s="74">
        <f>IF('Monthly Summary'!AF189="",NA(),'Monthly Summary'!AF189)</f>
      </c>
      <c r="L190" s="74">
        <f>IF('Monthly Summary'!AG189="",NA(),'Monthly Summary'!AG189)</f>
      </c>
      <c r="M190" s="74">
        <f>IF('Monthly Summary'!AH189="",NA(),'Monthly Summary'!AH189)</f>
      </c>
      <c r="N190" s="74">
        <f>IF('Monthly Summary'!AI189="",NA(),'Monthly Summary'!AI189)</f>
      </c>
      <c r="O190" s="74">
        <f>IF('Monthly Summary'!AJ189="",NA(),'Monthly Summary'!AJ189)</f>
      </c>
      <c r="P190" s="74">
        <f>IF('Monthly Summary'!AK189="",NA(),'Monthly Summary'!AK189)</f>
      </c>
      <c r="Q190" s="74">
        <f>IF('Monthly Summary'!AL189="",NA(),'Monthly Summary'!AL189)</f>
      </c>
      <c r="R190" s="74">
        <f>IF('Monthly Summary'!AM189="",NA(),'Monthly Summary'!AM189)</f>
      </c>
      <c r="S190" s="74">
        <f>IF('Monthly Summary'!C189="",NA(),'Monthly Summary'!C189)</f>
      </c>
    </row>
    <row r="191" spans="1:19" x14ac:dyDescent="0.2">
      <c r="A191" s="73">
        <f>'Monthly Summary'!A190</f>
      </c>
      <c r="B191" s="74">
        <f>IF('Monthly Summary'!W190="",NA(),'Monthly Summary'!W190)</f>
      </c>
      <c r="C191" s="74">
        <f>IF('Monthly Summary'!X190="",NA(),'Monthly Summary'!X190)</f>
      </c>
      <c r="D191" s="74">
        <f>IF('Monthly Summary'!Y190="",NA(),'Monthly Summary'!Y190)</f>
      </c>
      <c r="E191" s="74">
        <f>IF('Monthly Summary'!Z190="",NA(),'Monthly Summary'!Z190)</f>
      </c>
      <c r="F191" s="74">
        <f>IF('Monthly Summary'!AA190="",NA(),'Monthly Summary'!AA190)</f>
      </c>
      <c r="G191" s="74">
        <f>IF('Monthly Summary'!AB190="",NA(),'Monthly Summary'!AB190)</f>
      </c>
      <c r="H191" s="74">
        <f>IF('Monthly Summary'!AC190="",NA(),'Monthly Summary'!AC190)</f>
      </c>
      <c r="I191" s="74">
        <f>IF('Monthly Summary'!AD190="",NA(),'Monthly Summary'!AD190)</f>
      </c>
      <c r="J191" s="74">
        <f>IF('Monthly Summary'!AE190="",NA(),'Monthly Summary'!AE190)</f>
      </c>
      <c r="K191" s="74">
        <f>IF('Monthly Summary'!AF190="",NA(),'Monthly Summary'!AF190)</f>
      </c>
      <c r="L191" s="74">
        <f>IF('Monthly Summary'!AG190="",NA(),'Monthly Summary'!AG190)</f>
      </c>
      <c r="M191" s="74">
        <f>IF('Monthly Summary'!AH190="",NA(),'Monthly Summary'!AH190)</f>
      </c>
      <c r="N191" s="74">
        <f>IF('Monthly Summary'!AI190="",NA(),'Monthly Summary'!AI190)</f>
      </c>
      <c r="O191" s="74">
        <f>IF('Monthly Summary'!AJ190="",NA(),'Monthly Summary'!AJ190)</f>
      </c>
      <c r="P191" s="74">
        <f>IF('Monthly Summary'!AK190="",NA(),'Monthly Summary'!AK190)</f>
      </c>
      <c r="Q191" s="74">
        <f>IF('Monthly Summary'!AL190="",NA(),'Monthly Summary'!AL190)</f>
      </c>
      <c r="R191" s="74">
        <f>IF('Monthly Summary'!AM190="",NA(),'Monthly Summary'!AM190)</f>
      </c>
      <c r="S191" s="74">
        <f>IF('Monthly Summary'!C190="",NA(),'Monthly Summary'!C190)</f>
      </c>
    </row>
    <row r="192" spans="1:19" x14ac:dyDescent="0.2">
      <c r="A192" s="73">
        <f>'Monthly Summary'!A191</f>
      </c>
      <c r="B192" s="74">
        <f>IF('Monthly Summary'!W191="",NA(),'Monthly Summary'!W191)</f>
      </c>
      <c r="C192" s="74">
        <f>IF('Monthly Summary'!X191="",NA(),'Monthly Summary'!X191)</f>
      </c>
      <c r="D192" s="74">
        <f>IF('Monthly Summary'!Y191="",NA(),'Monthly Summary'!Y191)</f>
      </c>
      <c r="E192" s="74">
        <f>IF('Monthly Summary'!Z191="",NA(),'Monthly Summary'!Z191)</f>
      </c>
      <c r="F192" s="74">
        <f>IF('Monthly Summary'!AA191="",NA(),'Monthly Summary'!AA191)</f>
      </c>
      <c r="G192" s="74">
        <f>IF('Monthly Summary'!AB191="",NA(),'Monthly Summary'!AB191)</f>
      </c>
      <c r="H192" s="74">
        <f>IF('Monthly Summary'!AC191="",NA(),'Monthly Summary'!AC191)</f>
      </c>
      <c r="I192" s="74">
        <f>IF('Monthly Summary'!AD191="",NA(),'Monthly Summary'!AD191)</f>
      </c>
      <c r="J192" s="74">
        <f>IF('Monthly Summary'!AE191="",NA(),'Monthly Summary'!AE191)</f>
      </c>
      <c r="K192" s="74">
        <f>IF('Monthly Summary'!AF191="",NA(),'Monthly Summary'!AF191)</f>
      </c>
      <c r="L192" s="74">
        <f>IF('Monthly Summary'!AG191="",NA(),'Monthly Summary'!AG191)</f>
      </c>
      <c r="M192" s="74">
        <f>IF('Monthly Summary'!AH191="",NA(),'Monthly Summary'!AH191)</f>
      </c>
      <c r="N192" s="74">
        <f>IF('Monthly Summary'!AI191="",NA(),'Monthly Summary'!AI191)</f>
      </c>
      <c r="O192" s="74">
        <f>IF('Monthly Summary'!AJ191="",NA(),'Monthly Summary'!AJ191)</f>
      </c>
      <c r="P192" s="74">
        <f>IF('Monthly Summary'!AK191="",NA(),'Monthly Summary'!AK191)</f>
      </c>
      <c r="Q192" s="74">
        <f>IF('Monthly Summary'!AL191="",NA(),'Monthly Summary'!AL191)</f>
      </c>
      <c r="R192" s="74">
        <f>IF('Monthly Summary'!AM191="",NA(),'Monthly Summary'!AM191)</f>
      </c>
      <c r="S192" s="74">
        <f>IF('Monthly Summary'!C191="",NA(),'Monthly Summary'!C191)</f>
      </c>
    </row>
    <row r="193" spans="1:19" x14ac:dyDescent="0.2">
      <c r="A193" s="73">
        <f>'Monthly Summary'!A192</f>
      </c>
      <c r="B193" s="74">
        <f>IF('Monthly Summary'!W192="",NA(),'Monthly Summary'!W192)</f>
      </c>
      <c r="C193" s="74">
        <f>IF('Monthly Summary'!X192="",NA(),'Monthly Summary'!X192)</f>
      </c>
      <c r="D193" s="74">
        <f>IF('Monthly Summary'!Y192="",NA(),'Monthly Summary'!Y192)</f>
      </c>
      <c r="E193" s="74">
        <f>IF('Monthly Summary'!Z192="",NA(),'Monthly Summary'!Z192)</f>
      </c>
      <c r="F193" s="74">
        <f>IF('Monthly Summary'!AA192="",NA(),'Monthly Summary'!AA192)</f>
      </c>
      <c r="G193" s="74">
        <f>IF('Monthly Summary'!AB192="",NA(),'Monthly Summary'!AB192)</f>
      </c>
      <c r="H193" s="74">
        <f>IF('Monthly Summary'!AC192="",NA(),'Monthly Summary'!AC192)</f>
      </c>
      <c r="I193" s="74">
        <f>IF('Monthly Summary'!AD192="",NA(),'Monthly Summary'!AD192)</f>
      </c>
      <c r="J193" s="74">
        <f>IF('Monthly Summary'!AE192="",NA(),'Monthly Summary'!AE192)</f>
      </c>
      <c r="K193" s="74">
        <f>IF('Monthly Summary'!AF192="",NA(),'Monthly Summary'!AF192)</f>
      </c>
      <c r="L193" s="74">
        <f>IF('Monthly Summary'!AG192="",NA(),'Monthly Summary'!AG192)</f>
      </c>
      <c r="M193" s="74">
        <f>IF('Monthly Summary'!AH192="",NA(),'Monthly Summary'!AH192)</f>
      </c>
      <c r="N193" s="74">
        <f>IF('Monthly Summary'!AI192="",NA(),'Monthly Summary'!AI192)</f>
      </c>
      <c r="O193" s="74">
        <f>IF('Monthly Summary'!AJ192="",NA(),'Monthly Summary'!AJ192)</f>
      </c>
      <c r="P193" s="74">
        <f>IF('Monthly Summary'!AK192="",NA(),'Monthly Summary'!AK192)</f>
      </c>
      <c r="Q193" s="74">
        <f>IF('Monthly Summary'!AL192="",NA(),'Monthly Summary'!AL192)</f>
      </c>
      <c r="R193" s="74">
        <f>IF('Monthly Summary'!AM192="",NA(),'Monthly Summary'!AM192)</f>
      </c>
      <c r="S193" s="74">
        <f>IF('Monthly Summary'!C192="",NA(),'Monthly Summary'!C192)</f>
      </c>
    </row>
    <row r="194" spans="1:19" x14ac:dyDescent="0.2">
      <c r="A194" s="73">
        <f>'Monthly Summary'!A193</f>
      </c>
      <c r="B194" s="74">
        <f>IF('Monthly Summary'!W193="",NA(),'Monthly Summary'!W193)</f>
      </c>
      <c r="C194" s="74">
        <f>IF('Monthly Summary'!X193="",NA(),'Monthly Summary'!X193)</f>
      </c>
      <c r="D194" s="74">
        <f>IF('Monthly Summary'!Y193="",NA(),'Monthly Summary'!Y193)</f>
      </c>
      <c r="E194" s="74">
        <f>IF('Monthly Summary'!Z193="",NA(),'Monthly Summary'!Z193)</f>
      </c>
      <c r="F194" s="74">
        <f>IF('Monthly Summary'!AA193="",NA(),'Monthly Summary'!AA193)</f>
      </c>
      <c r="G194" s="74">
        <f>IF('Monthly Summary'!AB193="",NA(),'Monthly Summary'!AB193)</f>
      </c>
      <c r="H194" s="74">
        <f>IF('Monthly Summary'!AC193="",NA(),'Monthly Summary'!AC193)</f>
      </c>
      <c r="I194" s="74">
        <f>IF('Monthly Summary'!AD193="",NA(),'Monthly Summary'!AD193)</f>
      </c>
      <c r="J194" s="74">
        <f>IF('Monthly Summary'!AE193="",NA(),'Monthly Summary'!AE193)</f>
      </c>
      <c r="K194" s="74">
        <f>IF('Monthly Summary'!AF193="",NA(),'Monthly Summary'!AF193)</f>
      </c>
      <c r="L194" s="74">
        <f>IF('Monthly Summary'!AG193="",NA(),'Monthly Summary'!AG193)</f>
      </c>
      <c r="M194" s="74">
        <f>IF('Monthly Summary'!AH193="",NA(),'Monthly Summary'!AH193)</f>
      </c>
      <c r="N194" s="74">
        <f>IF('Monthly Summary'!AI193="",NA(),'Monthly Summary'!AI193)</f>
      </c>
      <c r="O194" s="74">
        <f>IF('Monthly Summary'!AJ193="",NA(),'Monthly Summary'!AJ193)</f>
      </c>
      <c r="P194" s="74">
        <f>IF('Monthly Summary'!AK193="",NA(),'Monthly Summary'!AK193)</f>
      </c>
      <c r="Q194" s="74">
        <f>IF('Monthly Summary'!AL193="",NA(),'Monthly Summary'!AL193)</f>
      </c>
      <c r="R194" s="74">
        <f>IF('Monthly Summary'!AM193="",NA(),'Monthly Summary'!AM193)</f>
      </c>
      <c r="S194" s="74">
        <f>IF('Monthly Summary'!C193="",NA(),'Monthly Summary'!C193)</f>
      </c>
    </row>
    <row r="195" spans="1:19" x14ac:dyDescent="0.2">
      <c r="A195" s="73">
        <f>'Monthly Summary'!A194</f>
      </c>
      <c r="B195" s="74">
        <f>IF('Monthly Summary'!W194="",NA(),'Monthly Summary'!W194)</f>
      </c>
      <c r="C195" s="74">
        <f>IF('Monthly Summary'!X194="",NA(),'Monthly Summary'!X194)</f>
      </c>
      <c r="D195" s="74">
        <f>IF('Monthly Summary'!Y194="",NA(),'Monthly Summary'!Y194)</f>
      </c>
      <c r="E195" s="74">
        <f>IF('Monthly Summary'!Z194="",NA(),'Monthly Summary'!Z194)</f>
      </c>
      <c r="F195" s="74">
        <f>IF('Monthly Summary'!AA194="",NA(),'Monthly Summary'!AA194)</f>
      </c>
      <c r="G195" s="74">
        <f>IF('Monthly Summary'!AB194="",NA(),'Monthly Summary'!AB194)</f>
      </c>
      <c r="H195" s="74">
        <f>IF('Monthly Summary'!AC194="",NA(),'Monthly Summary'!AC194)</f>
      </c>
      <c r="I195" s="74">
        <f>IF('Monthly Summary'!AD194="",NA(),'Monthly Summary'!AD194)</f>
      </c>
      <c r="J195" s="74">
        <f>IF('Monthly Summary'!AE194="",NA(),'Monthly Summary'!AE194)</f>
      </c>
      <c r="K195" s="74">
        <f>IF('Monthly Summary'!AF194="",NA(),'Monthly Summary'!AF194)</f>
      </c>
      <c r="L195" s="74">
        <f>IF('Monthly Summary'!AG194="",NA(),'Monthly Summary'!AG194)</f>
      </c>
      <c r="M195" s="74">
        <f>IF('Monthly Summary'!AH194="",NA(),'Monthly Summary'!AH194)</f>
      </c>
      <c r="N195" s="74">
        <f>IF('Monthly Summary'!AI194="",NA(),'Monthly Summary'!AI194)</f>
      </c>
      <c r="O195" s="74">
        <f>IF('Monthly Summary'!AJ194="",NA(),'Monthly Summary'!AJ194)</f>
      </c>
      <c r="P195" s="74">
        <f>IF('Monthly Summary'!AK194="",NA(),'Monthly Summary'!AK194)</f>
      </c>
      <c r="Q195" s="74">
        <f>IF('Monthly Summary'!AL194="",NA(),'Monthly Summary'!AL194)</f>
      </c>
      <c r="R195" s="74">
        <f>IF('Monthly Summary'!AM194="",NA(),'Monthly Summary'!AM194)</f>
      </c>
      <c r="S195" s="74">
        <f>IF('Monthly Summary'!C194="",NA(),'Monthly Summary'!C194)</f>
      </c>
    </row>
    <row r="196" spans="1:19" x14ac:dyDescent="0.2">
      <c r="A196" s="73">
        <f>'Monthly Summary'!A195</f>
      </c>
      <c r="B196" s="74">
        <f>IF('Monthly Summary'!W195="",NA(),'Monthly Summary'!W195)</f>
      </c>
      <c r="C196" s="74">
        <f>IF('Monthly Summary'!X195="",NA(),'Monthly Summary'!X195)</f>
      </c>
      <c r="D196" s="74">
        <f>IF('Monthly Summary'!Y195="",NA(),'Monthly Summary'!Y195)</f>
      </c>
      <c r="E196" s="74">
        <f>IF('Monthly Summary'!Z195="",NA(),'Monthly Summary'!Z195)</f>
      </c>
      <c r="F196" s="74">
        <f>IF('Monthly Summary'!AA195="",NA(),'Monthly Summary'!AA195)</f>
      </c>
      <c r="G196" s="74">
        <f>IF('Monthly Summary'!AB195="",NA(),'Monthly Summary'!AB195)</f>
      </c>
      <c r="H196" s="74">
        <f>IF('Monthly Summary'!AC195="",NA(),'Monthly Summary'!AC195)</f>
      </c>
      <c r="I196" s="74">
        <f>IF('Monthly Summary'!AD195="",NA(),'Monthly Summary'!AD195)</f>
      </c>
      <c r="J196" s="74">
        <f>IF('Monthly Summary'!AE195="",NA(),'Monthly Summary'!AE195)</f>
      </c>
      <c r="K196" s="74">
        <f>IF('Monthly Summary'!AF195="",NA(),'Monthly Summary'!AF195)</f>
      </c>
      <c r="L196" s="74">
        <f>IF('Monthly Summary'!AG195="",NA(),'Monthly Summary'!AG195)</f>
      </c>
      <c r="M196" s="74">
        <f>IF('Monthly Summary'!AH195="",NA(),'Monthly Summary'!AH195)</f>
      </c>
      <c r="N196" s="74">
        <f>IF('Monthly Summary'!AI195="",NA(),'Monthly Summary'!AI195)</f>
      </c>
      <c r="O196" s="74">
        <f>IF('Monthly Summary'!AJ195="",NA(),'Monthly Summary'!AJ195)</f>
      </c>
      <c r="P196" s="74">
        <f>IF('Monthly Summary'!AK195="",NA(),'Monthly Summary'!AK195)</f>
      </c>
      <c r="Q196" s="74">
        <f>IF('Monthly Summary'!AL195="",NA(),'Monthly Summary'!AL195)</f>
      </c>
      <c r="R196" s="74">
        <f>IF('Monthly Summary'!AM195="",NA(),'Monthly Summary'!AM195)</f>
      </c>
      <c r="S196" s="74">
        <f>IF('Monthly Summary'!C195="",NA(),'Monthly Summary'!C195)</f>
      </c>
    </row>
    <row r="197" spans="1:19" x14ac:dyDescent="0.2">
      <c r="A197" s="73">
        <f>'Monthly Summary'!A196</f>
      </c>
      <c r="B197" s="74">
        <f>IF('Monthly Summary'!W196="",NA(),'Monthly Summary'!W196)</f>
      </c>
      <c r="C197" s="74">
        <f>IF('Monthly Summary'!X196="",NA(),'Monthly Summary'!X196)</f>
      </c>
      <c r="D197" s="74">
        <f>IF('Monthly Summary'!Y196="",NA(),'Monthly Summary'!Y196)</f>
      </c>
      <c r="E197" s="74">
        <f>IF('Monthly Summary'!Z196="",NA(),'Monthly Summary'!Z196)</f>
      </c>
      <c r="F197" s="74">
        <f>IF('Monthly Summary'!AA196="",NA(),'Monthly Summary'!AA196)</f>
      </c>
      <c r="G197" s="74">
        <f>IF('Monthly Summary'!AB196="",NA(),'Monthly Summary'!AB196)</f>
      </c>
      <c r="H197" s="74">
        <f>IF('Monthly Summary'!AC196="",NA(),'Monthly Summary'!AC196)</f>
      </c>
      <c r="I197" s="74">
        <f>IF('Monthly Summary'!AD196="",NA(),'Monthly Summary'!AD196)</f>
      </c>
      <c r="J197" s="74">
        <f>IF('Monthly Summary'!AE196="",NA(),'Monthly Summary'!AE196)</f>
      </c>
      <c r="K197" s="74">
        <f>IF('Monthly Summary'!AF196="",NA(),'Monthly Summary'!AF196)</f>
      </c>
      <c r="L197" s="74">
        <f>IF('Monthly Summary'!AG196="",NA(),'Monthly Summary'!AG196)</f>
      </c>
      <c r="M197" s="74">
        <f>IF('Monthly Summary'!AH196="",NA(),'Monthly Summary'!AH196)</f>
      </c>
      <c r="N197" s="74">
        <f>IF('Monthly Summary'!AI196="",NA(),'Monthly Summary'!AI196)</f>
      </c>
      <c r="O197" s="74">
        <f>IF('Monthly Summary'!AJ196="",NA(),'Monthly Summary'!AJ196)</f>
      </c>
      <c r="P197" s="74">
        <f>IF('Monthly Summary'!AK196="",NA(),'Monthly Summary'!AK196)</f>
      </c>
      <c r="Q197" s="74">
        <f>IF('Monthly Summary'!AL196="",NA(),'Monthly Summary'!AL196)</f>
      </c>
      <c r="R197" s="74">
        <f>IF('Monthly Summary'!AM196="",NA(),'Monthly Summary'!AM196)</f>
      </c>
      <c r="S197" s="74">
        <f>IF('Monthly Summary'!C196="",NA(),'Monthly Summary'!C196)</f>
      </c>
    </row>
    <row r="198" spans="1:19" x14ac:dyDescent="0.2">
      <c r="A198" s="73">
        <f>'Monthly Summary'!A197</f>
      </c>
      <c r="B198" s="74">
        <f>IF('Monthly Summary'!W197="",NA(),'Monthly Summary'!W197)</f>
      </c>
      <c r="C198" s="74">
        <f>IF('Monthly Summary'!X197="",NA(),'Monthly Summary'!X197)</f>
      </c>
      <c r="D198" s="74">
        <f>IF('Monthly Summary'!Y197="",NA(),'Monthly Summary'!Y197)</f>
      </c>
      <c r="E198" s="74">
        <f>IF('Monthly Summary'!Z197="",NA(),'Monthly Summary'!Z197)</f>
      </c>
      <c r="F198" s="74">
        <f>IF('Monthly Summary'!AA197="",NA(),'Monthly Summary'!AA197)</f>
      </c>
      <c r="G198" s="74">
        <f>IF('Monthly Summary'!AB197="",NA(),'Monthly Summary'!AB197)</f>
      </c>
      <c r="H198" s="74">
        <f>IF('Monthly Summary'!AC197="",NA(),'Monthly Summary'!AC197)</f>
      </c>
      <c r="I198" s="74">
        <f>IF('Monthly Summary'!AD197="",NA(),'Monthly Summary'!AD197)</f>
      </c>
      <c r="J198" s="74">
        <f>IF('Monthly Summary'!AE197="",NA(),'Monthly Summary'!AE197)</f>
      </c>
      <c r="K198" s="74">
        <f>IF('Monthly Summary'!AF197="",NA(),'Monthly Summary'!AF197)</f>
      </c>
      <c r="L198" s="74">
        <f>IF('Monthly Summary'!AG197="",NA(),'Monthly Summary'!AG197)</f>
      </c>
      <c r="M198" s="74">
        <f>IF('Monthly Summary'!AH197="",NA(),'Monthly Summary'!AH197)</f>
      </c>
      <c r="N198" s="74">
        <f>IF('Monthly Summary'!AI197="",NA(),'Monthly Summary'!AI197)</f>
      </c>
      <c r="O198" s="74">
        <f>IF('Monthly Summary'!AJ197="",NA(),'Monthly Summary'!AJ197)</f>
      </c>
      <c r="P198" s="74">
        <f>IF('Monthly Summary'!AK197="",NA(),'Monthly Summary'!AK197)</f>
      </c>
      <c r="Q198" s="74">
        <f>IF('Monthly Summary'!AL197="",NA(),'Monthly Summary'!AL197)</f>
      </c>
      <c r="R198" s="74">
        <f>IF('Monthly Summary'!AM197="",NA(),'Monthly Summary'!AM197)</f>
      </c>
      <c r="S198" s="74">
        <f>IF('Monthly Summary'!C197="",NA(),'Monthly Summary'!C197)</f>
      </c>
    </row>
    <row r="199" spans="1:19" x14ac:dyDescent="0.2">
      <c r="A199" s="73">
        <f>'Monthly Summary'!A198</f>
      </c>
      <c r="B199" s="74">
        <f>IF('Monthly Summary'!W198="",NA(),'Monthly Summary'!W198)</f>
      </c>
      <c r="C199" s="74">
        <f>IF('Monthly Summary'!X198="",NA(),'Monthly Summary'!X198)</f>
      </c>
      <c r="D199" s="74">
        <f>IF('Monthly Summary'!Y198="",NA(),'Monthly Summary'!Y198)</f>
      </c>
      <c r="E199" s="74">
        <f>IF('Monthly Summary'!Z198="",NA(),'Monthly Summary'!Z198)</f>
      </c>
      <c r="F199" s="74">
        <f>IF('Monthly Summary'!AA198="",NA(),'Monthly Summary'!AA198)</f>
      </c>
      <c r="G199" s="74">
        <f>IF('Monthly Summary'!AB198="",NA(),'Monthly Summary'!AB198)</f>
      </c>
      <c r="H199" s="74">
        <f>IF('Monthly Summary'!AC198="",NA(),'Monthly Summary'!AC198)</f>
      </c>
      <c r="I199" s="74">
        <f>IF('Monthly Summary'!AD198="",NA(),'Monthly Summary'!AD198)</f>
      </c>
      <c r="J199" s="74">
        <f>IF('Monthly Summary'!AE198="",NA(),'Monthly Summary'!AE198)</f>
      </c>
      <c r="K199" s="74">
        <f>IF('Monthly Summary'!AF198="",NA(),'Monthly Summary'!AF198)</f>
      </c>
      <c r="L199" s="74">
        <f>IF('Monthly Summary'!AG198="",NA(),'Monthly Summary'!AG198)</f>
      </c>
      <c r="M199" s="74">
        <f>IF('Monthly Summary'!AH198="",NA(),'Monthly Summary'!AH198)</f>
      </c>
      <c r="N199" s="74">
        <f>IF('Monthly Summary'!AI198="",NA(),'Monthly Summary'!AI198)</f>
      </c>
      <c r="O199" s="74">
        <f>IF('Monthly Summary'!AJ198="",NA(),'Monthly Summary'!AJ198)</f>
      </c>
      <c r="P199" s="74">
        <f>IF('Monthly Summary'!AK198="",NA(),'Monthly Summary'!AK198)</f>
      </c>
      <c r="Q199" s="74">
        <f>IF('Monthly Summary'!AL198="",NA(),'Monthly Summary'!AL198)</f>
      </c>
      <c r="R199" s="74">
        <f>IF('Monthly Summary'!AM198="",NA(),'Monthly Summary'!AM198)</f>
      </c>
      <c r="S199" s="74">
        <f>IF('Monthly Summary'!C198="",NA(),'Monthly Summary'!C198)</f>
      </c>
    </row>
    <row r="200" spans="1:19" x14ac:dyDescent="0.2">
      <c r="A200" s="73">
        <f>'Monthly Summary'!A199</f>
      </c>
      <c r="B200" s="74">
        <f>IF('Monthly Summary'!W199="",NA(),'Monthly Summary'!W199)</f>
      </c>
      <c r="C200" s="74">
        <f>IF('Monthly Summary'!X199="",NA(),'Monthly Summary'!X199)</f>
      </c>
      <c r="D200" s="74">
        <f>IF('Monthly Summary'!Y199="",NA(),'Monthly Summary'!Y199)</f>
      </c>
      <c r="E200" s="74">
        <f>IF('Monthly Summary'!Z199="",NA(),'Monthly Summary'!Z199)</f>
      </c>
      <c r="F200" s="74">
        <f>IF('Monthly Summary'!AA199="",NA(),'Monthly Summary'!AA199)</f>
      </c>
      <c r="G200" s="74">
        <f>IF('Monthly Summary'!AB199="",NA(),'Monthly Summary'!AB199)</f>
      </c>
      <c r="H200" s="74">
        <f>IF('Monthly Summary'!AC199="",NA(),'Monthly Summary'!AC199)</f>
      </c>
      <c r="I200" s="74">
        <f>IF('Monthly Summary'!AD199="",NA(),'Monthly Summary'!AD199)</f>
      </c>
      <c r="J200" s="74">
        <f>IF('Monthly Summary'!AE199="",NA(),'Monthly Summary'!AE199)</f>
      </c>
      <c r="K200" s="74">
        <f>IF('Monthly Summary'!AF199="",NA(),'Monthly Summary'!AF199)</f>
      </c>
      <c r="L200" s="74">
        <f>IF('Monthly Summary'!AG199="",NA(),'Monthly Summary'!AG199)</f>
      </c>
      <c r="M200" s="74">
        <f>IF('Monthly Summary'!AH199="",NA(),'Monthly Summary'!AH199)</f>
      </c>
      <c r="N200" s="74">
        <f>IF('Monthly Summary'!AI199="",NA(),'Monthly Summary'!AI199)</f>
      </c>
      <c r="O200" s="74">
        <f>IF('Monthly Summary'!AJ199="",NA(),'Monthly Summary'!AJ199)</f>
      </c>
      <c r="P200" s="74">
        <f>IF('Monthly Summary'!AK199="",NA(),'Monthly Summary'!AK199)</f>
      </c>
      <c r="Q200" s="74">
        <f>IF('Monthly Summary'!AL199="",NA(),'Monthly Summary'!AL199)</f>
      </c>
      <c r="R200" s="74">
        <f>IF('Monthly Summary'!AM199="",NA(),'Monthly Summary'!AM199)</f>
      </c>
      <c r="S200" s="74">
        <f>IF('Monthly Summary'!C199="",NA(),'Monthly Summary'!C199)</f>
      </c>
    </row>
    <row r="201" spans="1:19" x14ac:dyDescent="0.2">
      <c r="A201" s="73">
        <f>'Monthly Summary'!A200</f>
      </c>
      <c r="B201" s="74">
        <f>IF('Monthly Summary'!W200="",NA(),'Monthly Summary'!W200)</f>
      </c>
      <c r="C201" s="74">
        <f>IF('Monthly Summary'!X200="",NA(),'Monthly Summary'!X200)</f>
      </c>
      <c r="D201" s="74">
        <f>IF('Monthly Summary'!Y200="",NA(),'Monthly Summary'!Y200)</f>
      </c>
      <c r="E201" s="74">
        <f>IF('Monthly Summary'!Z200="",NA(),'Monthly Summary'!Z200)</f>
      </c>
      <c r="F201" s="74">
        <f>IF('Monthly Summary'!AA200="",NA(),'Monthly Summary'!AA200)</f>
      </c>
      <c r="G201" s="74">
        <f>IF('Monthly Summary'!AB200="",NA(),'Monthly Summary'!AB200)</f>
      </c>
      <c r="H201" s="74">
        <f>IF('Monthly Summary'!AC200="",NA(),'Monthly Summary'!AC200)</f>
      </c>
      <c r="I201" s="74">
        <f>IF('Monthly Summary'!AD200="",NA(),'Monthly Summary'!AD200)</f>
      </c>
      <c r="J201" s="74">
        <f>IF('Monthly Summary'!AE200="",NA(),'Monthly Summary'!AE200)</f>
      </c>
      <c r="K201" s="74">
        <f>IF('Monthly Summary'!AF200="",NA(),'Monthly Summary'!AF200)</f>
      </c>
      <c r="L201" s="74">
        <f>IF('Monthly Summary'!AG200="",NA(),'Monthly Summary'!AG200)</f>
      </c>
      <c r="M201" s="74">
        <f>IF('Monthly Summary'!AH200="",NA(),'Monthly Summary'!AH200)</f>
      </c>
      <c r="N201" s="74">
        <f>IF('Monthly Summary'!AI200="",NA(),'Monthly Summary'!AI200)</f>
      </c>
      <c r="O201" s="74">
        <f>IF('Monthly Summary'!AJ200="",NA(),'Monthly Summary'!AJ200)</f>
      </c>
      <c r="P201" s="74">
        <f>IF('Monthly Summary'!AK200="",NA(),'Monthly Summary'!AK200)</f>
      </c>
      <c r="Q201" s="74">
        <f>IF('Monthly Summary'!AL200="",NA(),'Monthly Summary'!AL200)</f>
      </c>
      <c r="R201" s="74">
        <f>IF('Monthly Summary'!AM200="",NA(),'Monthly Summary'!AM200)</f>
      </c>
      <c r="S201" s="74">
        <f>IF('Monthly Summary'!C200="",NA(),'Monthly Summary'!C200)</f>
      </c>
    </row>
    <row r="202" spans="1:19" x14ac:dyDescent="0.2">
      <c r="A202" s="73">
        <f>'Monthly Summary'!A201</f>
      </c>
      <c r="B202" s="74">
        <f>IF('Monthly Summary'!W201="",NA(),'Monthly Summary'!W201)</f>
      </c>
      <c r="C202" s="74">
        <f>IF('Monthly Summary'!X201="",NA(),'Monthly Summary'!X201)</f>
      </c>
      <c r="D202" s="74">
        <f>IF('Monthly Summary'!Y201="",NA(),'Monthly Summary'!Y201)</f>
      </c>
      <c r="E202" s="74">
        <f>IF('Monthly Summary'!Z201="",NA(),'Monthly Summary'!Z201)</f>
      </c>
      <c r="F202" s="74">
        <f>IF('Monthly Summary'!AA201="",NA(),'Monthly Summary'!AA201)</f>
      </c>
      <c r="G202" s="74">
        <f>IF('Monthly Summary'!AB201="",NA(),'Monthly Summary'!AB201)</f>
      </c>
      <c r="H202" s="74">
        <f>IF('Monthly Summary'!AC201="",NA(),'Monthly Summary'!AC201)</f>
      </c>
      <c r="I202" s="74">
        <f>IF('Monthly Summary'!AD201="",NA(),'Monthly Summary'!AD201)</f>
      </c>
      <c r="J202" s="74">
        <f>IF('Monthly Summary'!AE201="",NA(),'Monthly Summary'!AE201)</f>
      </c>
      <c r="K202" s="74">
        <f>IF('Monthly Summary'!AF201="",NA(),'Monthly Summary'!AF201)</f>
      </c>
      <c r="L202" s="74">
        <f>IF('Monthly Summary'!AG201="",NA(),'Monthly Summary'!AG201)</f>
      </c>
      <c r="M202" s="74">
        <f>IF('Monthly Summary'!AH201="",NA(),'Monthly Summary'!AH201)</f>
      </c>
      <c r="N202" s="74">
        <f>IF('Monthly Summary'!AI201="",NA(),'Monthly Summary'!AI201)</f>
      </c>
      <c r="O202" s="74">
        <f>IF('Monthly Summary'!AJ201="",NA(),'Monthly Summary'!AJ201)</f>
      </c>
      <c r="P202" s="74">
        <f>IF('Monthly Summary'!AK201="",NA(),'Monthly Summary'!AK201)</f>
      </c>
      <c r="Q202" s="74">
        <f>IF('Monthly Summary'!AL201="",NA(),'Monthly Summary'!AL201)</f>
      </c>
      <c r="R202" s="74">
        <f>IF('Monthly Summary'!AM201="",NA(),'Monthly Summary'!AM201)</f>
      </c>
      <c r="S202" s="74">
        <f>IF('Monthly Summary'!C201="",NA(),'Monthly Summary'!C201)</f>
      </c>
    </row>
    <row r="203" spans="1:19" x14ac:dyDescent="0.2">
      <c r="A203" s="73">
        <f>'Monthly Summary'!A202</f>
      </c>
      <c r="B203" s="74">
        <f>IF('Monthly Summary'!W202="",NA(),'Monthly Summary'!W202)</f>
      </c>
      <c r="C203" s="74">
        <f>IF('Monthly Summary'!X202="",NA(),'Monthly Summary'!X202)</f>
      </c>
      <c r="D203" s="74">
        <f>IF('Monthly Summary'!Y202="",NA(),'Monthly Summary'!Y202)</f>
      </c>
      <c r="E203" s="74">
        <f>IF('Monthly Summary'!Z202="",NA(),'Monthly Summary'!Z202)</f>
      </c>
      <c r="F203" s="74">
        <f>IF('Monthly Summary'!AA202="",NA(),'Monthly Summary'!AA202)</f>
      </c>
      <c r="G203" s="74">
        <f>IF('Monthly Summary'!AB202="",NA(),'Monthly Summary'!AB202)</f>
      </c>
      <c r="H203" s="74">
        <f>IF('Monthly Summary'!AC202="",NA(),'Monthly Summary'!AC202)</f>
      </c>
      <c r="I203" s="74">
        <f>IF('Monthly Summary'!AD202="",NA(),'Monthly Summary'!AD202)</f>
      </c>
      <c r="J203" s="74">
        <f>IF('Monthly Summary'!AE202="",NA(),'Monthly Summary'!AE202)</f>
      </c>
      <c r="K203" s="74">
        <f>IF('Monthly Summary'!AF202="",NA(),'Monthly Summary'!AF202)</f>
      </c>
      <c r="L203" s="74">
        <f>IF('Monthly Summary'!AG202="",NA(),'Monthly Summary'!AG202)</f>
      </c>
      <c r="M203" s="74">
        <f>IF('Monthly Summary'!AH202="",NA(),'Monthly Summary'!AH202)</f>
      </c>
      <c r="N203" s="74">
        <f>IF('Monthly Summary'!AI202="",NA(),'Monthly Summary'!AI202)</f>
      </c>
      <c r="O203" s="74">
        <f>IF('Monthly Summary'!AJ202="",NA(),'Monthly Summary'!AJ202)</f>
      </c>
      <c r="P203" s="74">
        <f>IF('Monthly Summary'!AK202="",NA(),'Monthly Summary'!AK202)</f>
      </c>
      <c r="Q203" s="74">
        <f>IF('Monthly Summary'!AL202="",NA(),'Monthly Summary'!AL202)</f>
      </c>
      <c r="R203" s="74">
        <f>IF('Monthly Summary'!AM202="",NA(),'Monthly Summary'!AM202)</f>
      </c>
      <c r="S203" s="74">
        <f>IF('Monthly Summary'!C202="",NA(),'Monthly Summary'!C202)</f>
      </c>
    </row>
    <row r="204" spans="1:19" x14ac:dyDescent="0.2">
      <c r="A204" s="73">
        <f>'Monthly Summary'!A203</f>
      </c>
      <c r="B204" s="74">
        <f>IF('Monthly Summary'!W203="",NA(),'Monthly Summary'!W203)</f>
      </c>
      <c r="C204" s="74">
        <f>IF('Monthly Summary'!X203="",NA(),'Monthly Summary'!X203)</f>
      </c>
      <c r="D204" s="74">
        <f>IF('Monthly Summary'!Y203="",NA(),'Monthly Summary'!Y203)</f>
      </c>
      <c r="E204" s="74">
        <f>IF('Monthly Summary'!Z203="",NA(),'Monthly Summary'!Z203)</f>
      </c>
      <c r="F204" s="74">
        <f>IF('Monthly Summary'!AA203="",NA(),'Monthly Summary'!AA203)</f>
      </c>
      <c r="G204" s="74">
        <f>IF('Monthly Summary'!AB203="",NA(),'Monthly Summary'!AB203)</f>
      </c>
      <c r="H204" s="74">
        <f>IF('Monthly Summary'!AC203="",NA(),'Monthly Summary'!AC203)</f>
      </c>
      <c r="I204" s="74">
        <f>IF('Monthly Summary'!AD203="",NA(),'Monthly Summary'!AD203)</f>
      </c>
      <c r="J204" s="74">
        <f>IF('Monthly Summary'!AE203="",NA(),'Monthly Summary'!AE203)</f>
      </c>
      <c r="K204" s="74">
        <f>IF('Monthly Summary'!AF203="",NA(),'Monthly Summary'!AF203)</f>
      </c>
      <c r="L204" s="74">
        <f>IF('Monthly Summary'!AG203="",NA(),'Monthly Summary'!AG203)</f>
      </c>
      <c r="M204" s="74">
        <f>IF('Monthly Summary'!AH203="",NA(),'Monthly Summary'!AH203)</f>
      </c>
      <c r="N204" s="74">
        <f>IF('Monthly Summary'!AI203="",NA(),'Monthly Summary'!AI203)</f>
      </c>
      <c r="O204" s="74">
        <f>IF('Monthly Summary'!AJ203="",NA(),'Monthly Summary'!AJ203)</f>
      </c>
      <c r="P204" s="74">
        <f>IF('Monthly Summary'!AK203="",NA(),'Monthly Summary'!AK203)</f>
      </c>
      <c r="Q204" s="74">
        <f>IF('Monthly Summary'!AL203="",NA(),'Monthly Summary'!AL203)</f>
      </c>
      <c r="R204" s="74">
        <f>IF('Monthly Summary'!AM203="",NA(),'Monthly Summary'!AM203)</f>
      </c>
      <c r="S204" s="74">
        <f>IF('Monthly Summary'!C203="",NA(),'Monthly Summary'!C203)</f>
      </c>
    </row>
    <row r="205" spans="1:19" x14ac:dyDescent="0.2">
      <c r="A205" s="73">
        <f>'Monthly Summary'!A204</f>
      </c>
      <c r="B205" s="74">
        <f>IF('Monthly Summary'!W204="",NA(),'Monthly Summary'!W204)</f>
      </c>
      <c r="C205" s="74">
        <f>IF('Monthly Summary'!X204="",NA(),'Monthly Summary'!X204)</f>
      </c>
      <c r="D205" s="74">
        <f>IF('Monthly Summary'!Y204="",NA(),'Monthly Summary'!Y204)</f>
      </c>
      <c r="E205" s="74">
        <f>IF('Monthly Summary'!Z204="",NA(),'Monthly Summary'!Z204)</f>
      </c>
      <c r="F205" s="74">
        <f>IF('Monthly Summary'!AA204="",NA(),'Monthly Summary'!AA204)</f>
      </c>
      <c r="G205" s="74">
        <f>IF('Monthly Summary'!AB204="",NA(),'Monthly Summary'!AB204)</f>
      </c>
      <c r="H205" s="74">
        <f>IF('Monthly Summary'!AC204="",NA(),'Monthly Summary'!AC204)</f>
      </c>
      <c r="I205" s="74">
        <f>IF('Monthly Summary'!AD204="",NA(),'Monthly Summary'!AD204)</f>
      </c>
      <c r="J205" s="74">
        <f>IF('Monthly Summary'!AE204="",NA(),'Monthly Summary'!AE204)</f>
      </c>
      <c r="K205" s="74">
        <f>IF('Monthly Summary'!AF204="",NA(),'Monthly Summary'!AF204)</f>
      </c>
      <c r="L205" s="74">
        <f>IF('Monthly Summary'!AG204="",NA(),'Monthly Summary'!AG204)</f>
      </c>
      <c r="M205" s="74">
        <f>IF('Monthly Summary'!AH204="",NA(),'Monthly Summary'!AH204)</f>
      </c>
      <c r="N205" s="74">
        <f>IF('Monthly Summary'!AI204="",NA(),'Monthly Summary'!AI204)</f>
      </c>
      <c r="O205" s="74">
        <f>IF('Monthly Summary'!AJ204="",NA(),'Monthly Summary'!AJ204)</f>
      </c>
      <c r="P205" s="74">
        <f>IF('Monthly Summary'!AK204="",NA(),'Monthly Summary'!AK204)</f>
      </c>
      <c r="Q205" s="74">
        <f>IF('Monthly Summary'!AL204="",NA(),'Monthly Summary'!AL204)</f>
      </c>
      <c r="R205" s="74">
        <f>IF('Monthly Summary'!AM204="",NA(),'Monthly Summary'!AM204)</f>
      </c>
      <c r="S205" s="74">
        <f>IF('Monthly Summary'!C204="",NA(),'Monthly Summary'!C204)</f>
      </c>
    </row>
    <row r="206" spans="1:19" x14ac:dyDescent="0.2">
      <c r="A206" s="73">
        <f>'Monthly Summary'!A205</f>
      </c>
      <c r="B206" s="74">
        <f>IF('Monthly Summary'!W205="",NA(),'Monthly Summary'!W205)</f>
      </c>
      <c r="C206" s="74">
        <f>IF('Monthly Summary'!X205="",NA(),'Monthly Summary'!X205)</f>
      </c>
      <c r="D206" s="74">
        <f>IF('Monthly Summary'!Y205="",NA(),'Monthly Summary'!Y205)</f>
      </c>
      <c r="E206" s="74">
        <f>IF('Monthly Summary'!Z205="",NA(),'Monthly Summary'!Z205)</f>
      </c>
      <c r="F206" s="74">
        <f>IF('Monthly Summary'!AA205="",NA(),'Monthly Summary'!AA205)</f>
      </c>
      <c r="G206" s="74">
        <f>IF('Monthly Summary'!AB205="",NA(),'Monthly Summary'!AB205)</f>
      </c>
      <c r="H206" s="74">
        <f>IF('Monthly Summary'!AC205="",NA(),'Monthly Summary'!AC205)</f>
      </c>
      <c r="I206" s="74">
        <f>IF('Monthly Summary'!AD205="",NA(),'Monthly Summary'!AD205)</f>
      </c>
      <c r="J206" s="74">
        <f>IF('Monthly Summary'!AE205="",NA(),'Monthly Summary'!AE205)</f>
      </c>
      <c r="K206" s="74">
        <f>IF('Monthly Summary'!AF205="",NA(),'Monthly Summary'!AF205)</f>
      </c>
      <c r="L206" s="74">
        <f>IF('Monthly Summary'!AG205="",NA(),'Monthly Summary'!AG205)</f>
      </c>
      <c r="M206" s="74">
        <f>IF('Monthly Summary'!AH205="",NA(),'Monthly Summary'!AH205)</f>
      </c>
      <c r="N206" s="74">
        <f>IF('Monthly Summary'!AI205="",NA(),'Monthly Summary'!AI205)</f>
      </c>
      <c r="O206" s="74">
        <f>IF('Monthly Summary'!AJ205="",NA(),'Monthly Summary'!AJ205)</f>
      </c>
      <c r="P206" s="74">
        <f>IF('Monthly Summary'!AK205="",NA(),'Monthly Summary'!AK205)</f>
      </c>
      <c r="Q206" s="74">
        <f>IF('Monthly Summary'!AL205="",NA(),'Monthly Summary'!AL205)</f>
      </c>
      <c r="R206" s="74">
        <f>IF('Monthly Summary'!AM205="",NA(),'Monthly Summary'!AM205)</f>
      </c>
      <c r="S206" s="74">
        <f>IF('Monthly Summary'!C205="",NA(),'Monthly Summary'!C205)</f>
      </c>
    </row>
    <row r="207" spans="1:19" x14ac:dyDescent="0.2">
      <c r="A207" s="73">
        <f>'Monthly Summary'!A206</f>
      </c>
      <c r="B207" s="74">
        <f>IF('Monthly Summary'!W206="",NA(),'Monthly Summary'!W206)</f>
      </c>
      <c r="C207" s="74">
        <f>IF('Monthly Summary'!X206="",NA(),'Monthly Summary'!X206)</f>
      </c>
      <c r="D207" s="74">
        <f>IF('Monthly Summary'!Y206="",NA(),'Monthly Summary'!Y206)</f>
      </c>
      <c r="E207" s="74">
        <f>IF('Monthly Summary'!Z206="",NA(),'Monthly Summary'!Z206)</f>
      </c>
      <c r="F207" s="74">
        <f>IF('Monthly Summary'!AA206="",NA(),'Monthly Summary'!AA206)</f>
      </c>
      <c r="G207" s="74">
        <f>IF('Monthly Summary'!AB206="",NA(),'Monthly Summary'!AB206)</f>
      </c>
      <c r="H207" s="74">
        <f>IF('Monthly Summary'!AC206="",NA(),'Monthly Summary'!AC206)</f>
      </c>
      <c r="I207" s="74">
        <f>IF('Monthly Summary'!AD206="",NA(),'Monthly Summary'!AD206)</f>
      </c>
      <c r="J207" s="74">
        <f>IF('Monthly Summary'!AE206="",NA(),'Monthly Summary'!AE206)</f>
      </c>
      <c r="K207" s="74">
        <f>IF('Monthly Summary'!AF206="",NA(),'Monthly Summary'!AF206)</f>
      </c>
      <c r="L207" s="74">
        <f>IF('Monthly Summary'!AG206="",NA(),'Monthly Summary'!AG206)</f>
      </c>
      <c r="M207" s="74">
        <f>IF('Monthly Summary'!AH206="",NA(),'Monthly Summary'!AH206)</f>
      </c>
      <c r="N207" s="74">
        <f>IF('Monthly Summary'!AI206="",NA(),'Monthly Summary'!AI206)</f>
      </c>
      <c r="O207" s="74">
        <f>IF('Monthly Summary'!AJ206="",NA(),'Monthly Summary'!AJ206)</f>
      </c>
      <c r="P207" s="74">
        <f>IF('Monthly Summary'!AK206="",NA(),'Monthly Summary'!AK206)</f>
      </c>
      <c r="Q207" s="74">
        <f>IF('Monthly Summary'!AL206="",NA(),'Monthly Summary'!AL206)</f>
      </c>
      <c r="R207" s="74">
        <f>IF('Monthly Summary'!AM206="",NA(),'Monthly Summary'!AM206)</f>
      </c>
      <c r="S207" s="74">
        <f>IF('Monthly Summary'!C206="",NA(),'Monthly Summary'!C206)</f>
      </c>
    </row>
    <row r="208" spans="1:19" x14ac:dyDescent="0.2">
      <c r="A208" s="73">
        <f>'Monthly Summary'!A207</f>
      </c>
      <c r="B208" s="74">
        <f>IF('Monthly Summary'!W207="",NA(),'Monthly Summary'!W207)</f>
      </c>
      <c r="C208" s="74">
        <f>IF('Monthly Summary'!X207="",NA(),'Monthly Summary'!X207)</f>
      </c>
      <c r="D208" s="74">
        <f>IF('Monthly Summary'!Y207="",NA(),'Monthly Summary'!Y207)</f>
      </c>
      <c r="E208" s="74">
        <f>IF('Monthly Summary'!Z207="",NA(),'Monthly Summary'!Z207)</f>
      </c>
      <c r="F208" s="74">
        <f>IF('Monthly Summary'!AA207="",NA(),'Monthly Summary'!AA207)</f>
      </c>
      <c r="G208" s="74">
        <f>IF('Monthly Summary'!AB207="",NA(),'Monthly Summary'!AB207)</f>
      </c>
      <c r="H208" s="74">
        <f>IF('Monthly Summary'!AC207="",NA(),'Monthly Summary'!AC207)</f>
      </c>
      <c r="I208" s="74">
        <f>IF('Monthly Summary'!AD207="",NA(),'Monthly Summary'!AD207)</f>
      </c>
      <c r="J208" s="74">
        <f>IF('Monthly Summary'!AE207="",NA(),'Monthly Summary'!AE207)</f>
      </c>
      <c r="K208" s="74">
        <f>IF('Monthly Summary'!AF207="",NA(),'Monthly Summary'!AF207)</f>
      </c>
      <c r="L208" s="74">
        <f>IF('Monthly Summary'!AG207="",NA(),'Monthly Summary'!AG207)</f>
      </c>
      <c r="M208" s="74">
        <f>IF('Monthly Summary'!AH207="",NA(),'Monthly Summary'!AH207)</f>
      </c>
      <c r="N208" s="74">
        <f>IF('Monthly Summary'!AI207="",NA(),'Monthly Summary'!AI207)</f>
      </c>
      <c r="O208" s="74">
        <f>IF('Monthly Summary'!AJ207="",NA(),'Monthly Summary'!AJ207)</f>
      </c>
      <c r="P208" s="74">
        <f>IF('Monthly Summary'!AK207="",NA(),'Monthly Summary'!AK207)</f>
      </c>
      <c r="Q208" s="74">
        <f>IF('Monthly Summary'!AL207="",NA(),'Monthly Summary'!AL207)</f>
      </c>
      <c r="R208" s="74">
        <f>IF('Monthly Summary'!AM207="",NA(),'Monthly Summary'!AM207)</f>
      </c>
      <c r="S208" s="74">
        <f>IF('Monthly Summary'!C207="",NA(),'Monthly Summary'!C207)</f>
      </c>
    </row>
    <row r="209" spans="1:19" x14ac:dyDescent="0.2">
      <c r="A209" s="73">
        <f>'Monthly Summary'!A208</f>
      </c>
      <c r="B209" s="74">
        <f>IF('Monthly Summary'!W208="",NA(),'Monthly Summary'!W208)</f>
      </c>
      <c r="C209" s="74">
        <f>IF('Monthly Summary'!X208="",NA(),'Monthly Summary'!X208)</f>
      </c>
      <c r="D209" s="74">
        <f>IF('Monthly Summary'!Y208="",NA(),'Monthly Summary'!Y208)</f>
      </c>
      <c r="E209" s="74">
        <f>IF('Monthly Summary'!Z208="",NA(),'Monthly Summary'!Z208)</f>
      </c>
      <c r="F209" s="74">
        <f>IF('Monthly Summary'!AA208="",NA(),'Monthly Summary'!AA208)</f>
      </c>
      <c r="G209" s="74">
        <f>IF('Monthly Summary'!AB208="",NA(),'Monthly Summary'!AB208)</f>
      </c>
      <c r="H209" s="74">
        <f>IF('Monthly Summary'!AC208="",NA(),'Monthly Summary'!AC208)</f>
      </c>
      <c r="I209" s="74">
        <f>IF('Monthly Summary'!AD208="",NA(),'Monthly Summary'!AD208)</f>
      </c>
      <c r="J209" s="74">
        <f>IF('Monthly Summary'!AE208="",NA(),'Monthly Summary'!AE208)</f>
      </c>
      <c r="K209" s="74">
        <f>IF('Monthly Summary'!AF208="",NA(),'Monthly Summary'!AF208)</f>
      </c>
      <c r="L209" s="74">
        <f>IF('Monthly Summary'!AG208="",NA(),'Monthly Summary'!AG208)</f>
      </c>
      <c r="M209" s="74">
        <f>IF('Monthly Summary'!AH208="",NA(),'Monthly Summary'!AH208)</f>
      </c>
      <c r="N209" s="74">
        <f>IF('Monthly Summary'!AI208="",NA(),'Monthly Summary'!AI208)</f>
      </c>
      <c r="O209" s="74">
        <f>IF('Monthly Summary'!AJ208="",NA(),'Monthly Summary'!AJ208)</f>
      </c>
      <c r="P209" s="74">
        <f>IF('Monthly Summary'!AK208="",NA(),'Monthly Summary'!AK208)</f>
      </c>
      <c r="Q209" s="74">
        <f>IF('Monthly Summary'!AL208="",NA(),'Monthly Summary'!AL208)</f>
      </c>
      <c r="R209" s="74">
        <f>IF('Monthly Summary'!AM208="",NA(),'Monthly Summary'!AM208)</f>
      </c>
      <c r="S209" s="74">
        <f>IF('Monthly Summary'!C208="",NA(),'Monthly Summary'!C208)</f>
      </c>
    </row>
    <row r="210" spans="1:19" x14ac:dyDescent="0.2">
      <c r="A210" s="73">
        <f>'Monthly Summary'!A209</f>
      </c>
      <c r="B210" s="74">
        <f>IF('Monthly Summary'!W209="",NA(),'Monthly Summary'!W209)</f>
      </c>
      <c r="C210" s="74">
        <f>IF('Monthly Summary'!X209="",NA(),'Monthly Summary'!X209)</f>
      </c>
      <c r="D210" s="74">
        <f>IF('Monthly Summary'!Y209="",NA(),'Monthly Summary'!Y209)</f>
      </c>
      <c r="E210" s="74">
        <f>IF('Monthly Summary'!Z209="",NA(),'Monthly Summary'!Z209)</f>
      </c>
      <c r="F210" s="74">
        <f>IF('Monthly Summary'!AA209="",NA(),'Monthly Summary'!AA209)</f>
      </c>
      <c r="G210" s="74">
        <f>IF('Monthly Summary'!AB209="",NA(),'Monthly Summary'!AB209)</f>
      </c>
      <c r="H210" s="74">
        <f>IF('Monthly Summary'!AC209="",NA(),'Monthly Summary'!AC209)</f>
      </c>
      <c r="I210" s="74">
        <f>IF('Monthly Summary'!AD209="",NA(),'Monthly Summary'!AD209)</f>
      </c>
      <c r="J210" s="74">
        <f>IF('Monthly Summary'!AE209="",NA(),'Monthly Summary'!AE209)</f>
      </c>
      <c r="K210" s="74">
        <f>IF('Monthly Summary'!AF209="",NA(),'Monthly Summary'!AF209)</f>
      </c>
      <c r="L210" s="74">
        <f>IF('Monthly Summary'!AG209="",NA(),'Monthly Summary'!AG209)</f>
      </c>
      <c r="M210" s="74">
        <f>IF('Monthly Summary'!AH209="",NA(),'Monthly Summary'!AH209)</f>
      </c>
      <c r="N210" s="74">
        <f>IF('Monthly Summary'!AI209="",NA(),'Monthly Summary'!AI209)</f>
      </c>
      <c r="O210" s="74">
        <f>IF('Monthly Summary'!AJ209="",NA(),'Monthly Summary'!AJ209)</f>
      </c>
      <c r="P210" s="74">
        <f>IF('Monthly Summary'!AK209="",NA(),'Monthly Summary'!AK209)</f>
      </c>
      <c r="Q210" s="74">
        <f>IF('Monthly Summary'!AL209="",NA(),'Monthly Summary'!AL209)</f>
      </c>
      <c r="R210" s="74">
        <f>IF('Monthly Summary'!AM209="",NA(),'Monthly Summary'!AM209)</f>
      </c>
      <c r="S210" s="74">
        <f>IF('Monthly Summary'!C209="",NA(),'Monthly Summary'!C209)</f>
      </c>
    </row>
    <row r="211" spans="1:19" x14ac:dyDescent="0.2">
      <c r="A211" s="73">
        <f>'Monthly Summary'!A210</f>
      </c>
      <c r="B211" s="74">
        <f>IF('Monthly Summary'!W210="",NA(),'Monthly Summary'!W210)</f>
      </c>
      <c r="C211" s="74">
        <f>IF('Monthly Summary'!X210="",NA(),'Monthly Summary'!X210)</f>
      </c>
      <c r="D211" s="74">
        <f>IF('Monthly Summary'!Y210="",NA(),'Monthly Summary'!Y210)</f>
      </c>
      <c r="E211" s="74">
        <f>IF('Monthly Summary'!Z210="",NA(),'Monthly Summary'!Z210)</f>
      </c>
      <c r="F211" s="74">
        <f>IF('Monthly Summary'!AA210="",NA(),'Monthly Summary'!AA210)</f>
      </c>
      <c r="G211" s="74">
        <f>IF('Monthly Summary'!AB210="",NA(),'Monthly Summary'!AB210)</f>
      </c>
      <c r="H211" s="74">
        <f>IF('Monthly Summary'!AC210="",NA(),'Monthly Summary'!AC210)</f>
      </c>
      <c r="I211" s="74">
        <f>IF('Monthly Summary'!AD210="",NA(),'Monthly Summary'!AD210)</f>
      </c>
      <c r="J211" s="74">
        <f>IF('Monthly Summary'!AE210="",NA(),'Monthly Summary'!AE210)</f>
      </c>
      <c r="K211" s="74">
        <f>IF('Monthly Summary'!AF210="",NA(),'Monthly Summary'!AF210)</f>
      </c>
      <c r="L211" s="74">
        <f>IF('Monthly Summary'!AG210="",NA(),'Monthly Summary'!AG210)</f>
      </c>
      <c r="M211" s="74">
        <f>IF('Monthly Summary'!AH210="",NA(),'Monthly Summary'!AH210)</f>
      </c>
      <c r="N211" s="74">
        <f>IF('Monthly Summary'!AI210="",NA(),'Monthly Summary'!AI210)</f>
      </c>
      <c r="O211" s="74">
        <f>IF('Monthly Summary'!AJ210="",NA(),'Monthly Summary'!AJ210)</f>
      </c>
      <c r="P211" s="74">
        <f>IF('Monthly Summary'!AK210="",NA(),'Monthly Summary'!AK210)</f>
      </c>
      <c r="Q211" s="74">
        <f>IF('Monthly Summary'!AL210="",NA(),'Monthly Summary'!AL210)</f>
      </c>
      <c r="R211" s="74">
        <f>IF('Monthly Summary'!AM210="",NA(),'Monthly Summary'!AM210)</f>
      </c>
      <c r="S211" s="74">
        <f>IF('Monthly Summary'!C210="",NA(),'Monthly Summary'!C210)</f>
      </c>
    </row>
    <row r="212" spans="1:19" x14ac:dyDescent="0.2">
      <c r="A212" s="73">
        <f>'Monthly Summary'!A211</f>
      </c>
      <c r="B212" s="74">
        <f>IF('Monthly Summary'!W211="",NA(),'Monthly Summary'!W211)</f>
      </c>
      <c r="C212" s="74">
        <f>IF('Monthly Summary'!X211="",NA(),'Monthly Summary'!X211)</f>
      </c>
      <c r="D212" s="74">
        <f>IF('Monthly Summary'!Y211="",NA(),'Monthly Summary'!Y211)</f>
      </c>
      <c r="E212" s="74">
        <f>IF('Monthly Summary'!Z211="",NA(),'Monthly Summary'!Z211)</f>
      </c>
      <c r="F212" s="74">
        <f>IF('Monthly Summary'!AA211="",NA(),'Monthly Summary'!AA211)</f>
      </c>
      <c r="G212" s="74">
        <f>IF('Monthly Summary'!AB211="",NA(),'Monthly Summary'!AB211)</f>
      </c>
      <c r="H212" s="74">
        <f>IF('Monthly Summary'!AC211="",NA(),'Monthly Summary'!AC211)</f>
      </c>
      <c r="I212" s="74">
        <f>IF('Monthly Summary'!AD211="",NA(),'Monthly Summary'!AD211)</f>
      </c>
      <c r="J212" s="74">
        <f>IF('Monthly Summary'!AE211="",NA(),'Monthly Summary'!AE211)</f>
      </c>
      <c r="K212" s="74">
        <f>IF('Monthly Summary'!AF211="",NA(),'Monthly Summary'!AF211)</f>
      </c>
      <c r="L212" s="74">
        <f>IF('Monthly Summary'!AG211="",NA(),'Monthly Summary'!AG211)</f>
      </c>
      <c r="M212" s="74">
        <f>IF('Monthly Summary'!AH211="",NA(),'Monthly Summary'!AH211)</f>
      </c>
      <c r="N212" s="74">
        <f>IF('Monthly Summary'!AI211="",NA(),'Monthly Summary'!AI211)</f>
      </c>
      <c r="O212" s="74">
        <f>IF('Monthly Summary'!AJ211="",NA(),'Monthly Summary'!AJ211)</f>
      </c>
      <c r="P212" s="74">
        <f>IF('Monthly Summary'!AK211="",NA(),'Monthly Summary'!AK211)</f>
      </c>
      <c r="Q212" s="74">
        <f>IF('Monthly Summary'!AL211="",NA(),'Monthly Summary'!AL211)</f>
      </c>
      <c r="R212" s="74">
        <f>IF('Monthly Summary'!AM211="",NA(),'Monthly Summary'!AM211)</f>
      </c>
      <c r="S212" s="74">
        <f>IF('Monthly Summary'!C211="",NA(),'Monthly Summary'!C211)</f>
      </c>
    </row>
    <row r="213" spans="1:19" x14ac:dyDescent="0.2">
      <c r="A213" s="73">
        <f>'Monthly Summary'!A212</f>
      </c>
      <c r="B213" s="74">
        <f>IF('Monthly Summary'!W212="",NA(),'Monthly Summary'!W212)</f>
      </c>
      <c r="C213" s="74">
        <f>IF('Monthly Summary'!X212="",NA(),'Monthly Summary'!X212)</f>
      </c>
      <c r="D213" s="74">
        <f>IF('Monthly Summary'!Y212="",NA(),'Monthly Summary'!Y212)</f>
      </c>
      <c r="E213" s="74">
        <f>IF('Monthly Summary'!Z212="",NA(),'Monthly Summary'!Z212)</f>
      </c>
      <c r="F213" s="74">
        <f>IF('Monthly Summary'!AA212="",NA(),'Monthly Summary'!AA212)</f>
      </c>
      <c r="G213" s="74">
        <f>IF('Monthly Summary'!AB212="",NA(),'Monthly Summary'!AB212)</f>
      </c>
      <c r="H213" s="74">
        <f>IF('Monthly Summary'!AC212="",NA(),'Monthly Summary'!AC212)</f>
      </c>
      <c r="I213" s="74">
        <f>IF('Monthly Summary'!AD212="",NA(),'Monthly Summary'!AD212)</f>
      </c>
      <c r="J213" s="74">
        <f>IF('Monthly Summary'!AE212="",NA(),'Monthly Summary'!AE212)</f>
      </c>
      <c r="K213" s="74">
        <f>IF('Monthly Summary'!AF212="",NA(),'Monthly Summary'!AF212)</f>
      </c>
      <c r="L213" s="74">
        <f>IF('Monthly Summary'!AG212="",NA(),'Monthly Summary'!AG212)</f>
      </c>
      <c r="M213" s="74">
        <f>IF('Monthly Summary'!AH212="",NA(),'Monthly Summary'!AH212)</f>
      </c>
      <c r="N213" s="74">
        <f>IF('Monthly Summary'!AI212="",NA(),'Monthly Summary'!AI212)</f>
      </c>
      <c r="O213" s="74">
        <f>IF('Monthly Summary'!AJ212="",NA(),'Monthly Summary'!AJ212)</f>
      </c>
      <c r="P213" s="74">
        <f>IF('Monthly Summary'!AK212="",NA(),'Monthly Summary'!AK212)</f>
      </c>
      <c r="Q213" s="74">
        <f>IF('Monthly Summary'!AL212="",NA(),'Monthly Summary'!AL212)</f>
      </c>
      <c r="R213" s="74">
        <f>IF('Monthly Summary'!AM212="",NA(),'Monthly Summary'!AM212)</f>
      </c>
      <c r="S213" s="74">
        <f>IF('Monthly Summary'!C212="",NA(),'Monthly Summary'!C212)</f>
      </c>
    </row>
    <row r="214" spans="1:19" x14ac:dyDescent="0.2">
      <c r="A214" s="73">
        <f>'Monthly Summary'!A213</f>
      </c>
      <c r="B214" s="74">
        <f>IF('Monthly Summary'!W213="",NA(),'Monthly Summary'!W213)</f>
      </c>
      <c r="C214" s="74">
        <f>IF('Monthly Summary'!X213="",NA(),'Monthly Summary'!X213)</f>
      </c>
      <c r="D214" s="74">
        <f>IF('Monthly Summary'!Y213="",NA(),'Monthly Summary'!Y213)</f>
      </c>
      <c r="E214" s="74">
        <f>IF('Monthly Summary'!Z213="",NA(),'Monthly Summary'!Z213)</f>
      </c>
      <c r="F214" s="74">
        <f>IF('Monthly Summary'!AA213="",NA(),'Monthly Summary'!AA213)</f>
      </c>
      <c r="G214" s="74">
        <f>IF('Monthly Summary'!AB213="",NA(),'Monthly Summary'!AB213)</f>
      </c>
      <c r="H214" s="74">
        <f>IF('Monthly Summary'!AC213="",NA(),'Monthly Summary'!AC213)</f>
      </c>
      <c r="I214" s="74">
        <f>IF('Monthly Summary'!AD213="",NA(),'Monthly Summary'!AD213)</f>
      </c>
      <c r="J214" s="74">
        <f>IF('Monthly Summary'!AE213="",NA(),'Monthly Summary'!AE213)</f>
      </c>
      <c r="K214" s="74">
        <f>IF('Monthly Summary'!AF213="",NA(),'Monthly Summary'!AF213)</f>
      </c>
      <c r="L214" s="74">
        <f>IF('Monthly Summary'!AG213="",NA(),'Monthly Summary'!AG213)</f>
      </c>
      <c r="M214" s="74">
        <f>IF('Monthly Summary'!AH213="",NA(),'Monthly Summary'!AH213)</f>
      </c>
      <c r="N214" s="74">
        <f>IF('Monthly Summary'!AI213="",NA(),'Monthly Summary'!AI213)</f>
      </c>
      <c r="O214" s="74">
        <f>IF('Monthly Summary'!AJ213="",NA(),'Monthly Summary'!AJ213)</f>
      </c>
      <c r="P214" s="74">
        <f>IF('Monthly Summary'!AK213="",NA(),'Monthly Summary'!AK213)</f>
      </c>
      <c r="Q214" s="74">
        <f>IF('Monthly Summary'!AL213="",NA(),'Monthly Summary'!AL213)</f>
      </c>
      <c r="R214" s="74">
        <f>IF('Monthly Summary'!AM213="",NA(),'Monthly Summary'!AM213)</f>
      </c>
      <c r="S214" s="74">
        <f>IF('Monthly Summary'!C213="",NA(),'Monthly Summary'!C213)</f>
      </c>
    </row>
    <row r="215" spans="1:19" x14ac:dyDescent="0.2">
      <c r="A215" s="73">
        <f>'Monthly Summary'!A214</f>
      </c>
      <c r="B215" s="74">
        <f>IF('Monthly Summary'!W214="",NA(),'Monthly Summary'!W214)</f>
      </c>
      <c r="C215" s="74">
        <f>IF('Monthly Summary'!X214="",NA(),'Monthly Summary'!X214)</f>
      </c>
      <c r="D215" s="74">
        <f>IF('Monthly Summary'!Y214="",NA(),'Monthly Summary'!Y214)</f>
      </c>
      <c r="E215" s="74">
        <f>IF('Monthly Summary'!Z214="",NA(),'Monthly Summary'!Z214)</f>
      </c>
      <c r="F215" s="74">
        <f>IF('Monthly Summary'!AA214="",NA(),'Monthly Summary'!AA214)</f>
      </c>
      <c r="G215" s="74">
        <f>IF('Monthly Summary'!AB214="",NA(),'Monthly Summary'!AB214)</f>
      </c>
      <c r="H215" s="74">
        <f>IF('Monthly Summary'!AC214="",NA(),'Monthly Summary'!AC214)</f>
      </c>
      <c r="I215" s="74">
        <f>IF('Monthly Summary'!AD214="",NA(),'Monthly Summary'!AD214)</f>
      </c>
      <c r="J215" s="74">
        <f>IF('Monthly Summary'!AE214="",NA(),'Monthly Summary'!AE214)</f>
      </c>
      <c r="K215" s="74">
        <f>IF('Monthly Summary'!AF214="",NA(),'Monthly Summary'!AF214)</f>
      </c>
      <c r="L215" s="74">
        <f>IF('Monthly Summary'!AG214="",NA(),'Monthly Summary'!AG214)</f>
      </c>
      <c r="M215" s="74">
        <f>IF('Monthly Summary'!AH214="",NA(),'Monthly Summary'!AH214)</f>
      </c>
      <c r="N215" s="74">
        <f>IF('Monthly Summary'!AI214="",NA(),'Monthly Summary'!AI214)</f>
      </c>
      <c r="O215" s="74">
        <f>IF('Monthly Summary'!AJ214="",NA(),'Monthly Summary'!AJ214)</f>
      </c>
      <c r="P215" s="74">
        <f>IF('Monthly Summary'!AK214="",NA(),'Monthly Summary'!AK214)</f>
      </c>
      <c r="Q215" s="74">
        <f>IF('Monthly Summary'!AL214="",NA(),'Monthly Summary'!AL214)</f>
      </c>
      <c r="R215" s="74">
        <f>IF('Monthly Summary'!AM214="",NA(),'Monthly Summary'!AM214)</f>
      </c>
      <c r="S215" s="74">
        <f>IF('Monthly Summary'!C214="",NA(),'Monthly Summary'!C214)</f>
      </c>
    </row>
    <row r="216" spans="1:19" x14ac:dyDescent="0.2">
      <c r="A216" s="73">
        <f>'Monthly Summary'!A215</f>
      </c>
      <c r="B216" s="74">
        <f>IF('Monthly Summary'!W215="",NA(),'Monthly Summary'!W215)</f>
      </c>
      <c r="C216" s="74">
        <f>IF('Monthly Summary'!X215="",NA(),'Monthly Summary'!X215)</f>
      </c>
      <c r="D216" s="74">
        <f>IF('Monthly Summary'!Y215="",NA(),'Monthly Summary'!Y215)</f>
      </c>
      <c r="E216" s="74">
        <f>IF('Monthly Summary'!Z215="",NA(),'Monthly Summary'!Z215)</f>
      </c>
      <c r="F216" s="74">
        <f>IF('Monthly Summary'!AA215="",NA(),'Monthly Summary'!AA215)</f>
      </c>
      <c r="G216" s="74">
        <f>IF('Monthly Summary'!AB215="",NA(),'Monthly Summary'!AB215)</f>
      </c>
      <c r="H216" s="74">
        <f>IF('Monthly Summary'!AC215="",NA(),'Monthly Summary'!AC215)</f>
      </c>
      <c r="I216" s="74">
        <f>IF('Monthly Summary'!AD215="",NA(),'Monthly Summary'!AD215)</f>
      </c>
      <c r="J216" s="74">
        <f>IF('Monthly Summary'!AE215="",NA(),'Monthly Summary'!AE215)</f>
      </c>
      <c r="K216" s="74">
        <f>IF('Monthly Summary'!AF215="",NA(),'Monthly Summary'!AF215)</f>
      </c>
      <c r="L216" s="74">
        <f>IF('Monthly Summary'!AG215="",NA(),'Monthly Summary'!AG215)</f>
      </c>
      <c r="M216" s="74">
        <f>IF('Monthly Summary'!AH215="",NA(),'Monthly Summary'!AH215)</f>
      </c>
      <c r="N216" s="74">
        <f>IF('Monthly Summary'!AI215="",NA(),'Monthly Summary'!AI215)</f>
      </c>
      <c r="O216" s="74">
        <f>IF('Monthly Summary'!AJ215="",NA(),'Monthly Summary'!AJ215)</f>
      </c>
      <c r="P216" s="74">
        <f>IF('Monthly Summary'!AK215="",NA(),'Monthly Summary'!AK215)</f>
      </c>
      <c r="Q216" s="74">
        <f>IF('Monthly Summary'!AL215="",NA(),'Monthly Summary'!AL215)</f>
      </c>
      <c r="R216" s="74">
        <f>IF('Monthly Summary'!AM215="",NA(),'Monthly Summary'!AM215)</f>
      </c>
      <c r="S216" s="74">
        <f>IF('Monthly Summary'!C215="",NA(),'Monthly Summary'!C215)</f>
      </c>
    </row>
    <row r="217" spans="1:19" x14ac:dyDescent="0.2">
      <c r="A217" s="73">
        <f>'Monthly Summary'!A216</f>
      </c>
      <c r="B217" s="74">
        <f>IF('Monthly Summary'!W216="",NA(),'Monthly Summary'!W216)</f>
      </c>
      <c r="C217" s="74">
        <f>IF('Monthly Summary'!X216="",NA(),'Monthly Summary'!X216)</f>
      </c>
      <c r="D217" s="74">
        <f>IF('Monthly Summary'!Y216="",NA(),'Monthly Summary'!Y216)</f>
      </c>
      <c r="E217" s="74">
        <f>IF('Monthly Summary'!Z216="",NA(),'Monthly Summary'!Z216)</f>
      </c>
      <c r="F217" s="74">
        <f>IF('Monthly Summary'!AA216="",NA(),'Monthly Summary'!AA216)</f>
      </c>
      <c r="G217" s="74">
        <f>IF('Monthly Summary'!AB216="",NA(),'Monthly Summary'!AB216)</f>
      </c>
      <c r="H217" s="74">
        <f>IF('Monthly Summary'!AC216="",NA(),'Monthly Summary'!AC216)</f>
      </c>
      <c r="I217" s="74">
        <f>IF('Monthly Summary'!AD216="",NA(),'Monthly Summary'!AD216)</f>
      </c>
      <c r="J217" s="74">
        <f>IF('Monthly Summary'!AE216="",NA(),'Monthly Summary'!AE216)</f>
      </c>
      <c r="K217" s="74">
        <f>IF('Monthly Summary'!AF216="",NA(),'Monthly Summary'!AF216)</f>
      </c>
      <c r="L217" s="74">
        <f>IF('Monthly Summary'!AG216="",NA(),'Monthly Summary'!AG216)</f>
      </c>
      <c r="M217" s="74">
        <f>IF('Monthly Summary'!AH216="",NA(),'Monthly Summary'!AH216)</f>
      </c>
      <c r="N217" s="74">
        <f>IF('Monthly Summary'!AI216="",NA(),'Monthly Summary'!AI216)</f>
      </c>
      <c r="O217" s="74">
        <f>IF('Monthly Summary'!AJ216="",NA(),'Monthly Summary'!AJ216)</f>
      </c>
      <c r="P217" s="74">
        <f>IF('Monthly Summary'!AK216="",NA(),'Monthly Summary'!AK216)</f>
      </c>
      <c r="Q217" s="74">
        <f>IF('Monthly Summary'!AL216="",NA(),'Monthly Summary'!AL216)</f>
      </c>
      <c r="R217" s="74">
        <f>IF('Monthly Summary'!AM216="",NA(),'Monthly Summary'!AM216)</f>
      </c>
      <c r="S217" s="74">
        <f>IF('Monthly Summary'!C216="",NA(),'Monthly Summary'!C216)</f>
      </c>
    </row>
    <row r="218" spans="1:19" x14ac:dyDescent="0.2">
      <c r="A218" s="73">
        <f>'Monthly Summary'!A217</f>
      </c>
      <c r="B218" s="74">
        <f>IF('Monthly Summary'!W217="",NA(),'Monthly Summary'!W217)</f>
      </c>
      <c r="C218" s="74">
        <f>IF('Monthly Summary'!X217="",NA(),'Monthly Summary'!X217)</f>
      </c>
      <c r="D218" s="74">
        <f>IF('Monthly Summary'!Y217="",NA(),'Monthly Summary'!Y217)</f>
      </c>
      <c r="E218" s="74">
        <f>IF('Monthly Summary'!Z217="",NA(),'Monthly Summary'!Z217)</f>
      </c>
      <c r="F218" s="74">
        <f>IF('Monthly Summary'!AA217="",NA(),'Monthly Summary'!AA217)</f>
      </c>
      <c r="G218" s="74">
        <f>IF('Monthly Summary'!AB217="",NA(),'Monthly Summary'!AB217)</f>
      </c>
      <c r="H218" s="74">
        <f>IF('Monthly Summary'!AC217="",NA(),'Monthly Summary'!AC217)</f>
      </c>
      <c r="I218" s="74">
        <f>IF('Monthly Summary'!AD217="",NA(),'Monthly Summary'!AD217)</f>
      </c>
      <c r="J218" s="74">
        <f>IF('Monthly Summary'!AE217="",NA(),'Monthly Summary'!AE217)</f>
      </c>
      <c r="K218" s="74">
        <f>IF('Monthly Summary'!AF217="",NA(),'Monthly Summary'!AF217)</f>
      </c>
      <c r="L218" s="74">
        <f>IF('Monthly Summary'!AG217="",NA(),'Monthly Summary'!AG217)</f>
      </c>
      <c r="M218" s="74">
        <f>IF('Monthly Summary'!AH217="",NA(),'Monthly Summary'!AH217)</f>
      </c>
      <c r="N218" s="74">
        <f>IF('Monthly Summary'!AI217="",NA(),'Monthly Summary'!AI217)</f>
      </c>
      <c r="O218" s="74">
        <f>IF('Monthly Summary'!AJ217="",NA(),'Monthly Summary'!AJ217)</f>
      </c>
      <c r="P218" s="74">
        <f>IF('Monthly Summary'!AK217="",NA(),'Monthly Summary'!AK217)</f>
      </c>
      <c r="Q218" s="74">
        <f>IF('Monthly Summary'!AL217="",NA(),'Monthly Summary'!AL217)</f>
      </c>
      <c r="R218" s="74">
        <f>IF('Monthly Summary'!AM217="",NA(),'Monthly Summary'!AM217)</f>
      </c>
      <c r="S218" s="74">
        <f>IF('Monthly Summary'!C217="",NA(),'Monthly Summary'!C217)</f>
      </c>
    </row>
    <row r="219" spans="1:19" x14ac:dyDescent="0.2">
      <c r="A219" s="73">
        <f>'Monthly Summary'!A218</f>
      </c>
      <c r="B219" s="74">
        <f>IF('Monthly Summary'!W218="",NA(),'Monthly Summary'!W218)</f>
      </c>
      <c r="C219" s="74">
        <f>IF('Monthly Summary'!X218="",NA(),'Monthly Summary'!X218)</f>
      </c>
      <c r="D219" s="74">
        <f>IF('Monthly Summary'!Y218="",NA(),'Monthly Summary'!Y218)</f>
      </c>
      <c r="E219" s="74">
        <f>IF('Monthly Summary'!Z218="",NA(),'Monthly Summary'!Z218)</f>
      </c>
      <c r="F219" s="74">
        <f>IF('Monthly Summary'!AA218="",NA(),'Monthly Summary'!AA218)</f>
      </c>
      <c r="G219" s="74">
        <f>IF('Monthly Summary'!AB218="",NA(),'Monthly Summary'!AB218)</f>
      </c>
      <c r="H219" s="74">
        <f>IF('Monthly Summary'!AC218="",NA(),'Monthly Summary'!AC218)</f>
      </c>
      <c r="I219" s="74">
        <f>IF('Monthly Summary'!AD218="",NA(),'Monthly Summary'!AD218)</f>
      </c>
      <c r="J219" s="74">
        <f>IF('Monthly Summary'!AE218="",NA(),'Monthly Summary'!AE218)</f>
      </c>
      <c r="K219" s="74">
        <f>IF('Monthly Summary'!AF218="",NA(),'Monthly Summary'!AF218)</f>
      </c>
      <c r="L219" s="74">
        <f>IF('Monthly Summary'!AG218="",NA(),'Monthly Summary'!AG218)</f>
      </c>
      <c r="M219" s="74">
        <f>IF('Monthly Summary'!AH218="",NA(),'Monthly Summary'!AH218)</f>
      </c>
      <c r="N219" s="74">
        <f>IF('Monthly Summary'!AI218="",NA(),'Monthly Summary'!AI218)</f>
      </c>
      <c r="O219" s="74">
        <f>IF('Monthly Summary'!AJ218="",NA(),'Monthly Summary'!AJ218)</f>
      </c>
      <c r="P219" s="74">
        <f>IF('Monthly Summary'!AK218="",NA(),'Monthly Summary'!AK218)</f>
      </c>
      <c r="Q219" s="74">
        <f>IF('Monthly Summary'!AL218="",NA(),'Monthly Summary'!AL218)</f>
      </c>
      <c r="R219" s="74">
        <f>IF('Monthly Summary'!AM218="",NA(),'Monthly Summary'!AM218)</f>
      </c>
      <c r="S219" s="74">
        <f>IF('Monthly Summary'!C218="",NA(),'Monthly Summary'!C218)</f>
      </c>
    </row>
    <row r="220" spans="1:19" x14ac:dyDescent="0.2">
      <c r="A220" s="73">
        <f>'Monthly Summary'!A219</f>
      </c>
      <c r="B220" s="74">
        <f>IF('Monthly Summary'!W219="",NA(),'Monthly Summary'!W219)</f>
      </c>
      <c r="C220" s="74">
        <f>IF('Monthly Summary'!X219="",NA(),'Monthly Summary'!X219)</f>
      </c>
      <c r="D220" s="74">
        <f>IF('Monthly Summary'!Y219="",NA(),'Monthly Summary'!Y219)</f>
      </c>
      <c r="E220" s="74">
        <f>IF('Monthly Summary'!Z219="",NA(),'Monthly Summary'!Z219)</f>
      </c>
      <c r="F220" s="74">
        <f>IF('Monthly Summary'!AA219="",NA(),'Monthly Summary'!AA219)</f>
      </c>
      <c r="G220" s="74">
        <f>IF('Monthly Summary'!AB219="",NA(),'Monthly Summary'!AB219)</f>
      </c>
      <c r="H220" s="74">
        <f>IF('Monthly Summary'!AC219="",NA(),'Monthly Summary'!AC219)</f>
      </c>
      <c r="I220" s="74">
        <f>IF('Monthly Summary'!AD219="",NA(),'Monthly Summary'!AD219)</f>
      </c>
      <c r="J220" s="74">
        <f>IF('Monthly Summary'!AE219="",NA(),'Monthly Summary'!AE219)</f>
      </c>
      <c r="K220" s="74">
        <f>IF('Monthly Summary'!AF219="",NA(),'Monthly Summary'!AF219)</f>
      </c>
      <c r="L220" s="74">
        <f>IF('Monthly Summary'!AG219="",NA(),'Monthly Summary'!AG219)</f>
      </c>
      <c r="M220" s="74">
        <f>IF('Monthly Summary'!AH219="",NA(),'Monthly Summary'!AH219)</f>
      </c>
      <c r="N220" s="74">
        <f>IF('Monthly Summary'!AI219="",NA(),'Monthly Summary'!AI219)</f>
      </c>
      <c r="O220" s="74">
        <f>IF('Monthly Summary'!AJ219="",NA(),'Monthly Summary'!AJ219)</f>
      </c>
      <c r="P220" s="74">
        <f>IF('Monthly Summary'!AK219="",NA(),'Monthly Summary'!AK219)</f>
      </c>
      <c r="Q220" s="74">
        <f>IF('Monthly Summary'!AL219="",NA(),'Monthly Summary'!AL219)</f>
      </c>
      <c r="R220" s="74">
        <f>IF('Monthly Summary'!AM219="",NA(),'Monthly Summary'!AM219)</f>
      </c>
      <c r="S220" s="74">
        <f>IF('Monthly Summary'!C219="",NA(),'Monthly Summary'!C219)</f>
      </c>
    </row>
    <row r="221" spans="1:19" x14ac:dyDescent="0.2">
      <c r="A221" s="73">
        <f>'Monthly Summary'!A220</f>
      </c>
      <c r="B221" s="74">
        <f>IF('Monthly Summary'!W220="",NA(),'Monthly Summary'!W220)</f>
      </c>
      <c r="C221" s="74">
        <f>IF('Monthly Summary'!X220="",NA(),'Monthly Summary'!X220)</f>
      </c>
      <c r="D221" s="74">
        <f>IF('Monthly Summary'!Y220="",NA(),'Monthly Summary'!Y220)</f>
      </c>
      <c r="E221" s="74">
        <f>IF('Monthly Summary'!Z220="",NA(),'Monthly Summary'!Z220)</f>
      </c>
      <c r="F221" s="74">
        <f>IF('Monthly Summary'!AA220="",NA(),'Monthly Summary'!AA220)</f>
      </c>
      <c r="G221" s="74">
        <f>IF('Monthly Summary'!AB220="",NA(),'Monthly Summary'!AB220)</f>
      </c>
      <c r="H221" s="74">
        <f>IF('Monthly Summary'!AC220="",NA(),'Monthly Summary'!AC220)</f>
      </c>
      <c r="I221" s="74">
        <f>IF('Monthly Summary'!AD220="",NA(),'Monthly Summary'!AD220)</f>
      </c>
      <c r="J221" s="74">
        <f>IF('Monthly Summary'!AE220="",NA(),'Monthly Summary'!AE220)</f>
      </c>
      <c r="K221" s="74">
        <f>IF('Monthly Summary'!AF220="",NA(),'Monthly Summary'!AF220)</f>
      </c>
      <c r="L221" s="74">
        <f>IF('Monthly Summary'!AG220="",NA(),'Monthly Summary'!AG220)</f>
      </c>
      <c r="M221" s="74">
        <f>IF('Monthly Summary'!AH220="",NA(),'Monthly Summary'!AH220)</f>
      </c>
      <c r="N221" s="74">
        <f>IF('Monthly Summary'!AI220="",NA(),'Monthly Summary'!AI220)</f>
      </c>
      <c r="O221" s="74">
        <f>IF('Monthly Summary'!AJ220="",NA(),'Monthly Summary'!AJ220)</f>
      </c>
      <c r="P221" s="74">
        <f>IF('Monthly Summary'!AK220="",NA(),'Monthly Summary'!AK220)</f>
      </c>
      <c r="Q221" s="74">
        <f>IF('Monthly Summary'!AL220="",NA(),'Monthly Summary'!AL220)</f>
      </c>
      <c r="R221" s="74">
        <f>IF('Monthly Summary'!AM220="",NA(),'Monthly Summary'!AM220)</f>
      </c>
      <c r="S221" s="74">
        <f>IF('Monthly Summary'!C220="",NA(),'Monthly Summary'!C220)</f>
      </c>
    </row>
    <row r="222" spans="1:19" x14ac:dyDescent="0.2">
      <c r="A222" s="73">
        <f>'Monthly Summary'!A221</f>
      </c>
      <c r="B222" s="74">
        <f>IF('Monthly Summary'!W221="",NA(),'Monthly Summary'!W221)</f>
      </c>
      <c r="C222" s="74">
        <f>IF('Monthly Summary'!X221="",NA(),'Monthly Summary'!X221)</f>
      </c>
      <c r="D222" s="74">
        <f>IF('Monthly Summary'!Y221="",NA(),'Monthly Summary'!Y221)</f>
      </c>
      <c r="E222" s="74">
        <f>IF('Monthly Summary'!Z221="",NA(),'Monthly Summary'!Z221)</f>
      </c>
      <c r="F222" s="74">
        <f>IF('Monthly Summary'!AA221="",NA(),'Monthly Summary'!AA221)</f>
      </c>
      <c r="G222" s="74">
        <f>IF('Monthly Summary'!AB221="",NA(),'Monthly Summary'!AB221)</f>
      </c>
      <c r="H222" s="74">
        <f>IF('Monthly Summary'!AC221="",NA(),'Monthly Summary'!AC221)</f>
      </c>
      <c r="I222" s="74">
        <f>IF('Monthly Summary'!AD221="",NA(),'Monthly Summary'!AD221)</f>
      </c>
      <c r="J222" s="74">
        <f>IF('Monthly Summary'!AE221="",NA(),'Monthly Summary'!AE221)</f>
      </c>
      <c r="K222" s="74">
        <f>IF('Monthly Summary'!AF221="",NA(),'Monthly Summary'!AF221)</f>
      </c>
      <c r="L222" s="74">
        <f>IF('Monthly Summary'!AG221="",NA(),'Monthly Summary'!AG221)</f>
      </c>
      <c r="M222" s="74">
        <f>IF('Monthly Summary'!AH221="",NA(),'Monthly Summary'!AH221)</f>
      </c>
      <c r="N222" s="74">
        <f>IF('Monthly Summary'!AI221="",NA(),'Monthly Summary'!AI221)</f>
      </c>
      <c r="O222" s="74">
        <f>IF('Monthly Summary'!AJ221="",NA(),'Monthly Summary'!AJ221)</f>
      </c>
      <c r="P222" s="74">
        <f>IF('Monthly Summary'!AK221="",NA(),'Monthly Summary'!AK221)</f>
      </c>
      <c r="Q222" s="74">
        <f>IF('Monthly Summary'!AL221="",NA(),'Monthly Summary'!AL221)</f>
      </c>
      <c r="R222" s="74">
        <f>IF('Monthly Summary'!AM221="",NA(),'Monthly Summary'!AM221)</f>
      </c>
      <c r="S222" s="74">
        <f>IF('Monthly Summary'!C221="",NA(),'Monthly Summary'!C221)</f>
      </c>
    </row>
    <row r="223" spans="1:19" x14ac:dyDescent="0.2">
      <c r="A223" s="73">
        <f>'Monthly Summary'!A222</f>
      </c>
      <c r="B223" s="74">
        <f>IF('Monthly Summary'!W222="",NA(),'Monthly Summary'!W222)</f>
      </c>
      <c r="C223" s="74">
        <f>IF('Monthly Summary'!X222="",NA(),'Monthly Summary'!X222)</f>
      </c>
      <c r="D223" s="74">
        <f>IF('Monthly Summary'!Y222="",NA(),'Monthly Summary'!Y222)</f>
      </c>
      <c r="E223" s="74">
        <f>IF('Monthly Summary'!Z222="",NA(),'Monthly Summary'!Z222)</f>
      </c>
      <c r="F223" s="74">
        <f>IF('Monthly Summary'!AA222="",NA(),'Monthly Summary'!AA222)</f>
      </c>
      <c r="G223" s="74">
        <f>IF('Monthly Summary'!AB222="",NA(),'Monthly Summary'!AB222)</f>
      </c>
      <c r="H223" s="74">
        <f>IF('Monthly Summary'!AC222="",NA(),'Monthly Summary'!AC222)</f>
      </c>
      <c r="I223" s="74">
        <f>IF('Monthly Summary'!AD222="",NA(),'Monthly Summary'!AD222)</f>
      </c>
      <c r="J223" s="74">
        <f>IF('Monthly Summary'!AE222="",NA(),'Monthly Summary'!AE222)</f>
      </c>
      <c r="K223" s="74">
        <f>IF('Monthly Summary'!AF222="",NA(),'Monthly Summary'!AF222)</f>
      </c>
      <c r="L223" s="74">
        <f>IF('Monthly Summary'!AG222="",NA(),'Monthly Summary'!AG222)</f>
      </c>
      <c r="M223" s="74">
        <f>IF('Monthly Summary'!AH222="",NA(),'Monthly Summary'!AH222)</f>
      </c>
      <c r="N223" s="74">
        <f>IF('Monthly Summary'!AI222="",NA(),'Monthly Summary'!AI222)</f>
      </c>
      <c r="O223" s="74">
        <f>IF('Monthly Summary'!AJ222="",NA(),'Monthly Summary'!AJ222)</f>
      </c>
      <c r="P223" s="74">
        <f>IF('Monthly Summary'!AK222="",NA(),'Monthly Summary'!AK222)</f>
      </c>
      <c r="Q223" s="74">
        <f>IF('Monthly Summary'!AL222="",NA(),'Monthly Summary'!AL222)</f>
      </c>
      <c r="R223" s="74">
        <f>IF('Monthly Summary'!AM222="",NA(),'Monthly Summary'!AM222)</f>
      </c>
      <c r="S223" s="74">
        <f>IF('Monthly Summary'!C222="",NA(),'Monthly Summary'!C222)</f>
      </c>
    </row>
    <row r="224" spans="1:19" x14ac:dyDescent="0.2">
      <c r="A224" s="73">
        <f>'Monthly Summary'!A223</f>
      </c>
      <c r="B224" s="74">
        <f>IF('Monthly Summary'!W223="",NA(),'Monthly Summary'!W223)</f>
      </c>
      <c r="C224" s="74">
        <f>IF('Monthly Summary'!X223="",NA(),'Monthly Summary'!X223)</f>
      </c>
      <c r="D224" s="74">
        <f>IF('Monthly Summary'!Y223="",NA(),'Monthly Summary'!Y223)</f>
      </c>
      <c r="E224" s="74">
        <f>IF('Monthly Summary'!Z223="",NA(),'Monthly Summary'!Z223)</f>
      </c>
      <c r="F224" s="74">
        <f>IF('Monthly Summary'!AA223="",NA(),'Monthly Summary'!AA223)</f>
      </c>
      <c r="G224" s="74">
        <f>IF('Monthly Summary'!AB223="",NA(),'Monthly Summary'!AB223)</f>
      </c>
      <c r="H224" s="74">
        <f>IF('Monthly Summary'!AC223="",NA(),'Monthly Summary'!AC223)</f>
      </c>
      <c r="I224" s="74">
        <f>IF('Monthly Summary'!AD223="",NA(),'Monthly Summary'!AD223)</f>
      </c>
      <c r="J224" s="74">
        <f>IF('Monthly Summary'!AE223="",NA(),'Monthly Summary'!AE223)</f>
      </c>
      <c r="K224" s="74">
        <f>IF('Monthly Summary'!AF223="",NA(),'Monthly Summary'!AF223)</f>
      </c>
      <c r="L224" s="74">
        <f>IF('Monthly Summary'!AG223="",NA(),'Monthly Summary'!AG223)</f>
      </c>
      <c r="M224" s="74">
        <f>IF('Monthly Summary'!AH223="",NA(),'Monthly Summary'!AH223)</f>
      </c>
      <c r="N224" s="74">
        <f>IF('Monthly Summary'!AI223="",NA(),'Monthly Summary'!AI223)</f>
      </c>
      <c r="O224" s="74">
        <f>IF('Monthly Summary'!AJ223="",NA(),'Monthly Summary'!AJ223)</f>
      </c>
      <c r="P224" s="74">
        <f>IF('Monthly Summary'!AK223="",NA(),'Monthly Summary'!AK223)</f>
      </c>
      <c r="Q224" s="74">
        <f>IF('Monthly Summary'!AL223="",NA(),'Monthly Summary'!AL223)</f>
      </c>
      <c r="R224" s="74">
        <f>IF('Monthly Summary'!AM223="",NA(),'Monthly Summary'!AM223)</f>
      </c>
      <c r="S224" s="74">
        <f>IF('Monthly Summary'!C223="",NA(),'Monthly Summary'!C223)</f>
      </c>
    </row>
    <row r="225" spans="1:19" x14ac:dyDescent="0.2">
      <c r="A225" s="73">
        <f>'Monthly Summary'!A224</f>
      </c>
      <c r="B225" s="74">
        <f>IF('Monthly Summary'!W224="",NA(),'Monthly Summary'!W224)</f>
      </c>
      <c r="C225" s="74">
        <f>IF('Monthly Summary'!X224="",NA(),'Monthly Summary'!X224)</f>
      </c>
      <c r="D225" s="74">
        <f>IF('Monthly Summary'!Y224="",NA(),'Monthly Summary'!Y224)</f>
      </c>
      <c r="E225" s="74">
        <f>IF('Monthly Summary'!Z224="",NA(),'Monthly Summary'!Z224)</f>
      </c>
      <c r="F225" s="74">
        <f>IF('Monthly Summary'!AA224="",NA(),'Monthly Summary'!AA224)</f>
      </c>
      <c r="G225" s="74">
        <f>IF('Monthly Summary'!AB224="",NA(),'Monthly Summary'!AB224)</f>
      </c>
      <c r="H225" s="74">
        <f>IF('Monthly Summary'!AC224="",NA(),'Monthly Summary'!AC224)</f>
      </c>
      <c r="I225" s="74">
        <f>IF('Monthly Summary'!AD224="",NA(),'Monthly Summary'!AD224)</f>
      </c>
      <c r="J225" s="74">
        <f>IF('Monthly Summary'!AE224="",NA(),'Monthly Summary'!AE224)</f>
      </c>
      <c r="K225" s="74">
        <f>IF('Monthly Summary'!AF224="",NA(),'Monthly Summary'!AF224)</f>
      </c>
      <c r="L225" s="74">
        <f>IF('Monthly Summary'!AG224="",NA(),'Monthly Summary'!AG224)</f>
      </c>
      <c r="M225" s="74">
        <f>IF('Monthly Summary'!AH224="",NA(),'Monthly Summary'!AH224)</f>
      </c>
      <c r="N225" s="74">
        <f>IF('Monthly Summary'!AI224="",NA(),'Monthly Summary'!AI224)</f>
      </c>
      <c r="O225" s="74">
        <f>IF('Monthly Summary'!AJ224="",NA(),'Monthly Summary'!AJ224)</f>
      </c>
      <c r="P225" s="74">
        <f>IF('Monthly Summary'!AK224="",NA(),'Monthly Summary'!AK224)</f>
      </c>
      <c r="Q225" s="74">
        <f>IF('Monthly Summary'!AL224="",NA(),'Monthly Summary'!AL224)</f>
      </c>
      <c r="R225" s="74">
        <f>IF('Monthly Summary'!AM224="",NA(),'Monthly Summary'!AM224)</f>
      </c>
      <c r="S225" s="74">
        <f>IF('Monthly Summary'!C224="",NA(),'Monthly Summary'!C224)</f>
      </c>
    </row>
    <row r="226" spans="1:19" x14ac:dyDescent="0.2">
      <c r="A226" s="73">
        <f>'Monthly Summary'!A225</f>
      </c>
      <c r="B226" s="74">
        <f>IF('Monthly Summary'!W225="",NA(),'Monthly Summary'!W225)</f>
      </c>
      <c r="C226" s="74">
        <f>IF('Monthly Summary'!X225="",NA(),'Monthly Summary'!X225)</f>
      </c>
      <c r="D226" s="74">
        <f>IF('Monthly Summary'!Y225="",NA(),'Monthly Summary'!Y225)</f>
      </c>
      <c r="E226" s="74">
        <f>IF('Monthly Summary'!Z225="",NA(),'Monthly Summary'!Z225)</f>
      </c>
      <c r="F226" s="74">
        <f>IF('Monthly Summary'!AA225="",NA(),'Monthly Summary'!AA225)</f>
      </c>
      <c r="G226" s="74">
        <f>IF('Monthly Summary'!AB225="",NA(),'Monthly Summary'!AB225)</f>
      </c>
      <c r="H226" s="74">
        <f>IF('Monthly Summary'!AC225="",NA(),'Monthly Summary'!AC225)</f>
      </c>
      <c r="I226" s="74">
        <f>IF('Monthly Summary'!AD225="",NA(),'Monthly Summary'!AD225)</f>
      </c>
      <c r="J226" s="74">
        <f>IF('Monthly Summary'!AE225="",NA(),'Monthly Summary'!AE225)</f>
      </c>
      <c r="K226" s="74">
        <f>IF('Monthly Summary'!AF225="",NA(),'Monthly Summary'!AF225)</f>
      </c>
      <c r="L226" s="74">
        <f>IF('Monthly Summary'!AG225="",NA(),'Monthly Summary'!AG225)</f>
      </c>
      <c r="M226" s="74">
        <f>IF('Monthly Summary'!AH225="",NA(),'Monthly Summary'!AH225)</f>
      </c>
      <c r="N226" s="74">
        <f>IF('Monthly Summary'!AI225="",NA(),'Monthly Summary'!AI225)</f>
      </c>
      <c r="O226" s="74">
        <f>IF('Monthly Summary'!AJ225="",NA(),'Monthly Summary'!AJ225)</f>
      </c>
      <c r="P226" s="74">
        <f>IF('Monthly Summary'!AK225="",NA(),'Monthly Summary'!AK225)</f>
      </c>
      <c r="Q226" s="74">
        <f>IF('Monthly Summary'!AL225="",NA(),'Monthly Summary'!AL225)</f>
      </c>
      <c r="R226" s="74">
        <f>IF('Monthly Summary'!AM225="",NA(),'Monthly Summary'!AM225)</f>
      </c>
      <c r="S226" s="74">
        <f>IF('Monthly Summary'!C225="",NA(),'Monthly Summary'!C225)</f>
      </c>
    </row>
    <row r="227" spans="1:19" x14ac:dyDescent="0.2">
      <c r="A227" s="73">
        <f>'Monthly Summary'!A226</f>
      </c>
      <c r="B227" s="74">
        <f>IF('Monthly Summary'!W226="",NA(),'Monthly Summary'!W226)</f>
      </c>
      <c r="C227" s="74">
        <f>IF('Monthly Summary'!X226="",NA(),'Monthly Summary'!X226)</f>
      </c>
      <c r="D227" s="74">
        <f>IF('Monthly Summary'!Y226="",NA(),'Monthly Summary'!Y226)</f>
      </c>
      <c r="E227" s="74">
        <f>IF('Monthly Summary'!Z226="",NA(),'Monthly Summary'!Z226)</f>
      </c>
      <c r="F227" s="74">
        <f>IF('Monthly Summary'!AA226="",NA(),'Monthly Summary'!AA226)</f>
      </c>
      <c r="G227" s="74">
        <f>IF('Monthly Summary'!AB226="",NA(),'Monthly Summary'!AB226)</f>
      </c>
      <c r="H227" s="74">
        <f>IF('Monthly Summary'!AC226="",NA(),'Monthly Summary'!AC226)</f>
      </c>
      <c r="I227" s="74">
        <f>IF('Monthly Summary'!AD226="",NA(),'Monthly Summary'!AD226)</f>
      </c>
      <c r="J227" s="74">
        <f>IF('Monthly Summary'!AE226="",NA(),'Monthly Summary'!AE226)</f>
      </c>
      <c r="K227" s="74">
        <f>IF('Monthly Summary'!AF226="",NA(),'Monthly Summary'!AF226)</f>
      </c>
      <c r="L227" s="74">
        <f>IF('Monthly Summary'!AG226="",NA(),'Monthly Summary'!AG226)</f>
      </c>
      <c r="M227" s="74">
        <f>IF('Monthly Summary'!AH226="",NA(),'Monthly Summary'!AH226)</f>
      </c>
      <c r="N227" s="74">
        <f>IF('Monthly Summary'!AI226="",NA(),'Monthly Summary'!AI226)</f>
      </c>
      <c r="O227" s="74">
        <f>IF('Monthly Summary'!AJ226="",NA(),'Monthly Summary'!AJ226)</f>
      </c>
      <c r="P227" s="74">
        <f>IF('Monthly Summary'!AK226="",NA(),'Monthly Summary'!AK226)</f>
      </c>
      <c r="Q227" s="74">
        <f>IF('Monthly Summary'!AL226="",NA(),'Monthly Summary'!AL226)</f>
      </c>
      <c r="R227" s="74">
        <f>IF('Monthly Summary'!AM226="",NA(),'Monthly Summary'!AM226)</f>
      </c>
      <c r="S227" s="74">
        <f>IF('Monthly Summary'!C226="",NA(),'Monthly Summary'!C226)</f>
      </c>
    </row>
    <row r="228" spans="1:19" x14ac:dyDescent="0.2">
      <c r="A228" s="73">
        <f>'Monthly Summary'!A227</f>
      </c>
      <c r="B228" s="74">
        <f>IF('Monthly Summary'!W227="",NA(),'Monthly Summary'!W227)</f>
      </c>
      <c r="C228" s="74">
        <f>IF('Monthly Summary'!X227="",NA(),'Monthly Summary'!X227)</f>
      </c>
      <c r="D228" s="74">
        <f>IF('Monthly Summary'!Y227="",NA(),'Monthly Summary'!Y227)</f>
      </c>
      <c r="E228" s="74">
        <f>IF('Monthly Summary'!Z227="",NA(),'Monthly Summary'!Z227)</f>
      </c>
      <c r="F228" s="74">
        <f>IF('Monthly Summary'!AA227="",NA(),'Monthly Summary'!AA227)</f>
      </c>
      <c r="G228" s="74">
        <f>IF('Monthly Summary'!AB227="",NA(),'Monthly Summary'!AB227)</f>
      </c>
      <c r="H228" s="74">
        <f>IF('Monthly Summary'!AC227="",NA(),'Monthly Summary'!AC227)</f>
      </c>
      <c r="I228" s="74">
        <f>IF('Monthly Summary'!AD227="",NA(),'Monthly Summary'!AD227)</f>
      </c>
      <c r="J228" s="74">
        <f>IF('Monthly Summary'!AE227="",NA(),'Monthly Summary'!AE227)</f>
      </c>
      <c r="K228" s="74">
        <f>IF('Monthly Summary'!AF227="",NA(),'Monthly Summary'!AF227)</f>
      </c>
      <c r="L228" s="74">
        <f>IF('Monthly Summary'!AG227="",NA(),'Monthly Summary'!AG227)</f>
      </c>
      <c r="M228" s="74">
        <f>IF('Monthly Summary'!AH227="",NA(),'Monthly Summary'!AH227)</f>
      </c>
      <c r="N228" s="74">
        <f>IF('Monthly Summary'!AI227="",NA(),'Monthly Summary'!AI227)</f>
      </c>
      <c r="O228" s="74">
        <f>IF('Monthly Summary'!AJ227="",NA(),'Monthly Summary'!AJ227)</f>
      </c>
      <c r="P228" s="74">
        <f>IF('Monthly Summary'!AK227="",NA(),'Monthly Summary'!AK227)</f>
      </c>
      <c r="Q228" s="74">
        <f>IF('Monthly Summary'!AL227="",NA(),'Monthly Summary'!AL227)</f>
      </c>
      <c r="R228" s="74">
        <f>IF('Monthly Summary'!AM227="",NA(),'Monthly Summary'!AM227)</f>
      </c>
      <c r="S228" s="74">
        <f>IF('Monthly Summary'!C227="",NA(),'Monthly Summary'!C227)</f>
      </c>
    </row>
    <row r="229" spans="1:19" x14ac:dyDescent="0.2">
      <c r="A229" s="73">
        <f>'Monthly Summary'!A228</f>
      </c>
      <c r="B229" s="74">
        <f>IF('Monthly Summary'!W228="",NA(),'Monthly Summary'!W228)</f>
      </c>
      <c r="C229" s="74">
        <f>IF('Monthly Summary'!X228="",NA(),'Monthly Summary'!X228)</f>
      </c>
      <c r="D229" s="74">
        <f>IF('Monthly Summary'!Y228="",NA(),'Monthly Summary'!Y228)</f>
      </c>
      <c r="E229" s="74">
        <f>IF('Monthly Summary'!Z228="",NA(),'Monthly Summary'!Z228)</f>
      </c>
      <c r="F229" s="74">
        <f>IF('Monthly Summary'!AA228="",NA(),'Monthly Summary'!AA228)</f>
      </c>
      <c r="G229" s="74">
        <f>IF('Monthly Summary'!AB228="",NA(),'Monthly Summary'!AB228)</f>
      </c>
      <c r="H229" s="74">
        <f>IF('Monthly Summary'!AC228="",NA(),'Monthly Summary'!AC228)</f>
      </c>
      <c r="I229" s="74">
        <f>IF('Monthly Summary'!AD228="",NA(),'Monthly Summary'!AD228)</f>
      </c>
      <c r="J229" s="74">
        <f>IF('Monthly Summary'!AE228="",NA(),'Monthly Summary'!AE228)</f>
      </c>
      <c r="K229" s="74">
        <f>IF('Monthly Summary'!AF228="",NA(),'Monthly Summary'!AF228)</f>
      </c>
      <c r="L229" s="74">
        <f>IF('Monthly Summary'!AG228="",NA(),'Monthly Summary'!AG228)</f>
      </c>
      <c r="M229" s="74">
        <f>IF('Monthly Summary'!AH228="",NA(),'Monthly Summary'!AH228)</f>
      </c>
      <c r="N229" s="74">
        <f>IF('Monthly Summary'!AI228="",NA(),'Monthly Summary'!AI228)</f>
      </c>
      <c r="O229" s="74">
        <f>IF('Monthly Summary'!AJ228="",NA(),'Monthly Summary'!AJ228)</f>
      </c>
      <c r="P229" s="74">
        <f>IF('Monthly Summary'!AK228="",NA(),'Monthly Summary'!AK228)</f>
      </c>
      <c r="Q229" s="74">
        <f>IF('Monthly Summary'!AL228="",NA(),'Monthly Summary'!AL228)</f>
      </c>
      <c r="R229" s="74">
        <f>IF('Monthly Summary'!AM228="",NA(),'Monthly Summary'!AM228)</f>
      </c>
      <c r="S229" s="74">
        <f>IF('Monthly Summary'!C228="",NA(),'Monthly Summary'!C228)</f>
      </c>
    </row>
    <row r="230" spans="1:19" x14ac:dyDescent="0.2">
      <c r="A230" s="73">
        <f>'Monthly Summary'!A229</f>
      </c>
      <c r="B230" s="74">
        <f>IF('Monthly Summary'!W229="",NA(),'Monthly Summary'!W229)</f>
      </c>
      <c r="C230" s="74">
        <f>IF('Monthly Summary'!X229="",NA(),'Monthly Summary'!X229)</f>
      </c>
      <c r="D230" s="74">
        <f>IF('Monthly Summary'!Y229="",NA(),'Monthly Summary'!Y229)</f>
      </c>
      <c r="E230" s="74">
        <f>IF('Monthly Summary'!Z229="",NA(),'Monthly Summary'!Z229)</f>
      </c>
      <c r="F230" s="74">
        <f>IF('Monthly Summary'!AA229="",NA(),'Monthly Summary'!AA229)</f>
      </c>
      <c r="G230" s="74">
        <f>IF('Monthly Summary'!AB229="",NA(),'Monthly Summary'!AB229)</f>
      </c>
      <c r="H230" s="74">
        <f>IF('Monthly Summary'!AC229="",NA(),'Monthly Summary'!AC229)</f>
      </c>
      <c r="I230" s="74">
        <f>IF('Monthly Summary'!AD229="",NA(),'Monthly Summary'!AD229)</f>
      </c>
      <c r="J230" s="74">
        <f>IF('Monthly Summary'!AE229="",NA(),'Monthly Summary'!AE229)</f>
      </c>
      <c r="K230" s="74">
        <f>IF('Monthly Summary'!AF229="",NA(),'Monthly Summary'!AF229)</f>
      </c>
      <c r="L230" s="74">
        <f>IF('Monthly Summary'!AG229="",NA(),'Monthly Summary'!AG229)</f>
      </c>
      <c r="M230" s="74">
        <f>IF('Monthly Summary'!AH229="",NA(),'Monthly Summary'!AH229)</f>
      </c>
      <c r="N230" s="74">
        <f>IF('Monthly Summary'!AI229="",NA(),'Monthly Summary'!AI229)</f>
      </c>
      <c r="O230" s="74">
        <f>IF('Monthly Summary'!AJ229="",NA(),'Monthly Summary'!AJ229)</f>
      </c>
      <c r="P230" s="74">
        <f>IF('Monthly Summary'!AK229="",NA(),'Monthly Summary'!AK229)</f>
      </c>
      <c r="Q230" s="74">
        <f>IF('Monthly Summary'!AL229="",NA(),'Monthly Summary'!AL229)</f>
      </c>
      <c r="R230" s="74">
        <f>IF('Monthly Summary'!AM229="",NA(),'Monthly Summary'!AM229)</f>
      </c>
      <c r="S230" s="74">
        <f>IF('Monthly Summary'!C229="",NA(),'Monthly Summary'!C229)</f>
      </c>
    </row>
    <row r="231" spans="1:19" x14ac:dyDescent="0.2">
      <c r="A231" s="73">
        <f>'Monthly Summary'!A230</f>
      </c>
      <c r="B231" s="74">
        <f>IF('Monthly Summary'!W230="",NA(),'Monthly Summary'!W230)</f>
      </c>
      <c r="C231" s="74">
        <f>IF('Monthly Summary'!X230="",NA(),'Monthly Summary'!X230)</f>
      </c>
      <c r="D231" s="74">
        <f>IF('Monthly Summary'!Y230="",NA(),'Monthly Summary'!Y230)</f>
      </c>
      <c r="E231" s="74">
        <f>IF('Monthly Summary'!Z230="",NA(),'Monthly Summary'!Z230)</f>
      </c>
      <c r="F231" s="74">
        <f>IF('Monthly Summary'!AA230="",NA(),'Monthly Summary'!AA230)</f>
      </c>
      <c r="G231" s="74">
        <f>IF('Monthly Summary'!AB230="",NA(),'Monthly Summary'!AB230)</f>
      </c>
      <c r="H231" s="74">
        <f>IF('Monthly Summary'!AC230="",NA(),'Monthly Summary'!AC230)</f>
      </c>
      <c r="I231" s="74">
        <f>IF('Monthly Summary'!AD230="",NA(),'Monthly Summary'!AD230)</f>
      </c>
      <c r="J231" s="74">
        <f>IF('Monthly Summary'!AE230="",NA(),'Monthly Summary'!AE230)</f>
      </c>
      <c r="K231" s="74">
        <f>IF('Monthly Summary'!AF230="",NA(),'Monthly Summary'!AF230)</f>
      </c>
      <c r="L231" s="74">
        <f>IF('Monthly Summary'!AG230="",NA(),'Monthly Summary'!AG230)</f>
      </c>
      <c r="M231" s="74">
        <f>IF('Monthly Summary'!AH230="",NA(),'Monthly Summary'!AH230)</f>
      </c>
      <c r="N231" s="74">
        <f>IF('Monthly Summary'!AI230="",NA(),'Monthly Summary'!AI230)</f>
      </c>
      <c r="O231" s="74">
        <f>IF('Monthly Summary'!AJ230="",NA(),'Monthly Summary'!AJ230)</f>
      </c>
      <c r="P231" s="74">
        <f>IF('Monthly Summary'!AK230="",NA(),'Monthly Summary'!AK230)</f>
      </c>
      <c r="Q231" s="74">
        <f>IF('Monthly Summary'!AL230="",NA(),'Monthly Summary'!AL230)</f>
      </c>
      <c r="R231" s="74">
        <f>IF('Monthly Summary'!AM230="",NA(),'Monthly Summary'!AM230)</f>
      </c>
      <c r="S231" s="74">
        <f>IF('Monthly Summary'!C230="",NA(),'Monthly Summary'!C230)</f>
      </c>
    </row>
    <row r="232" spans="1:19" x14ac:dyDescent="0.2">
      <c r="A232" s="73">
        <f>'Monthly Summary'!A231</f>
      </c>
      <c r="B232" s="74">
        <f>IF('Monthly Summary'!W231="",NA(),'Monthly Summary'!W231)</f>
      </c>
      <c r="C232" s="74">
        <f>IF('Monthly Summary'!X231="",NA(),'Monthly Summary'!X231)</f>
      </c>
      <c r="D232" s="74">
        <f>IF('Monthly Summary'!Y231="",NA(),'Monthly Summary'!Y231)</f>
      </c>
      <c r="E232" s="74">
        <f>IF('Monthly Summary'!Z231="",NA(),'Monthly Summary'!Z231)</f>
      </c>
      <c r="F232" s="74">
        <f>IF('Monthly Summary'!AA231="",NA(),'Monthly Summary'!AA231)</f>
      </c>
      <c r="G232" s="74">
        <f>IF('Monthly Summary'!AB231="",NA(),'Monthly Summary'!AB231)</f>
      </c>
      <c r="H232" s="74">
        <f>IF('Monthly Summary'!AC231="",NA(),'Monthly Summary'!AC231)</f>
      </c>
      <c r="I232" s="74">
        <f>IF('Monthly Summary'!AD231="",NA(),'Monthly Summary'!AD231)</f>
      </c>
      <c r="J232" s="74">
        <f>IF('Monthly Summary'!AE231="",NA(),'Monthly Summary'!AE231)</f>
      </c>
      <c r="K232" s="74">
        <f>IF('Monthly Summary'!AF231="",NA(),'Monthly Summary'!AF231)</f>
      </c>
      <c r="L232" s="74">
        <f>IF('Monthly Summary'!AG231="",NA(),'Monthly Summary'!AG231)</f>
      </c>
      <c r="M232" s="74">
        <f>IF('Monthly Summary'!AH231="",NA(),'Monthly Summary'!AH231)</f>
      </c>
      <c r="N232" s="74">
        <f>IF('Monthly Summary'!AI231="",NA(),'Monthly Summary'!AI231)</f>
      </c>
      <c r="O232" s="74">
        <f>IF('Monthly Summary'!AJ231="",NA(),'Monthly Summary'!AJ231)</f>
      </c>
      <c r="P232" s="74">
        <f>IF('Monthly Summary'!AK231="",NA(),'Monthly Summary'!AK231)</f>
      </c>
      <c r="Q232" s="74">
        <f>IF('Monthly Summary'!AL231="",NA(),'Monthly Summary'!AL231)</f>
      </c>
      <c r="R232" s="74">
        <f>IF('Monthly Summary'!AM231="",NA(),'Monthly Summary'!AM231)</f>
      </c>
      <c r="S232" s="74">
        <f>IF('Monthly Summary'!C231="",NA(),'Monthly Summary'!C231)</f>
      </c>
    </row>
    <row r="233" spans="1:19" x14ac:dyDescent="0.2">
      <c r="A233" s="73">
        <f>'Monthly Summary'!A232</f>
      </c>
      <c r="B233" s="74">
        <f>IF('Monthly Summary'!W232="",NA(),'Monthly Summary'!W232)</f>
      </c>
      <c r="C233" s="74">
        <f>IF('Monthly Summary'!X232="",NA(),'Monthly Summary'!X232)</f>
      </c>
      <c r="D233" s="74">
        <f>IF('Monthly Summary'!Y232="",NA(),'Monthly Summary'!Y232)</f>
      </c>
      <c r="E233" s="74">
        <f>IF('Monthly Summary'!Z232="",NA(),'Monthly Summary'!Z232)</f>
      </c>
      <c r="F233" s="74">
        <f>IF('Monthly Summary'!AA232="",NA(),'Monthly Summary'!AA232)</f>
      </c>
      <c r="G233" s="74">
        <f>IF('Monthly Summary'!AB232="",NA(),'Monthly Summary'!AB232)</f>
      </c>
      <c r="H233" s="74">
        <f>IF('Monthly Summary'!AC232="",NA(),'Monthly Summary'!AC232)</f>
      </c>
      <c r="I233" s="74">
        <f>IF('Monthly Summary'!AD232="",NA(),'Monthly Summary'!AD232)</f>
      </c>
      <c r="J233" s="74">
        <f>IF('Monthly Summary'!AE232="",NA(),'Monthly Summary'!AE232)</f>
      </c>
      <c r="K233" s="74">
        <f>IF('Monthly Summary'!AF232="",NA(),'Monthly Summary'!AF232)</f>
      </c>
      <c r="L233" s="74">
        <f>IF('Monthly Summary'!AG232="",NA(),'Monthly Summary'!AG232)</f>
      </c>
      <c r="M233" s="74">
        <f>IF('Monthly Summary'!AH232="",NA(),'Monthly Summary'!AH232)</f>
      </c>
      <c r="N233" s="74">
        <f>IF('Monthly Summary'!AI232="",NA(),'Monthly Summary'!AI232)</f>
      </c>
      <c r="O233" s="74">
        <f>IF('Monthly Summary'!AJ232="",NA(),'Monthly Summary'!AJ232)</f>
      </c>
      <c r="P233" s="74">
        <f>IF('Monthly Summary'!AK232="",NA(),'Monthly Summary'!AK232)</f>
      </c>
      <c r="Q233" s="74">
        <f>IF('Monthly Summary'!AL232="",NA(),'Monthly Summary'!AL232)</f>
      </c>
      <c r="R233" s="74">
        <f>IF('Monthly Summary'!AM232="",NA(),'Monthly Summary'!AM232)</f>
      </c>
      <c r="S233" s="74">
        <f>IF('Monthly Summary'!C232="",NA(),'Monthly Summary'!C232)</f>
      </c>
    </row>
    <row r="234" spans="1:19" x14ac:dyDescent="0.2">
      <c r="A234" s="73">
        <f>'Monthly Summary'!A233</f>
      </c>
      <c r="B234" s="74">
        <f>IF('Monthly Summary'!W233="",NA(),'Monthly Summary'!W233)</f>
      </c>
      <c r="C234" s="74">
        <f>IF('Monthly Summary'!X233="",NA(),'Monthly Summary'!X233)</f>
      </c>
      <c r="D234" s="74">
        <f>IF('Monthly Summary'!Y233="",NA(),'Monthly Summary'!Y233)</f>
      </c>
      <c r="E234" s="74">
        <f>IF('Monthly Summary'!Z233="",NA(),'Monthly Summary'!Z233)</f>
      </c>
      <c r="F234" s="74">
        <f>IF('Monthly Summary'!AA233="",NA(),'Monthly Summary'!AA233)</f>
      </c>
      <c r="G234" s="74">
        <f>IF('Monthly Summary'!AB233="",NA(),'Monthly Summary'!AB233)</f>
      </c>
      <c r="H234" s="74">
        <f>IF('Monthly Summary'!AC233="",NA(),'Monthly Summary'!AC233)</f>
      </c>
      <c r="I234" s="74">
        <f>IF('Monthly Summary'!AD233="",NA(),'Monthly Summary'!AD233)</f>
      </c>
      <c r="J234" s="74">
        <f>IF('Monthly Summary'!AE233="",NA(),'Monthly Summary'!AE233)</f>
      </c>
      <c r="K234" s="74">
        <f>IF('Monthly Summary'!AF233="",NA(),'Monthly Summary'!AF233)</f>
      </c>
      <c r="L234" s="74">
        <f>IF('Monthly Summary'!AG233="",NA(),'Monthly Summary'!AG233)</f>
      </c>
      <c r="M234" s="74">
        <f>IF('Monthly Summary'!AH233="",NA(),'Monthly Summary'!AH233)</f>
      </c>
      <c r="N234" s="74">
        <f>IF('Monthly Summary'!AI233="",NA(),'Monthly Summary'!AI233)</f>
      </c>
      <c r="O234" s="74">
        <f>IF('Monthly Summary'!AJ233="",NA(),'Monthly Summary'!AJ233)</f>
      </c>
      <c r="P234" s="74">
        <f>IF('Monthly Summary'!AK233="",NA(),'Monthly Summary'!AK233)</f>
      </c>
      <c r="Q234" s="74">
        <f>IF('Monthly Summary'!AL233="",NA(),'Monthly Summary'!AL233)</f>
      </c>
      <c r="R234" s="74">
        <f>IF('Monthly Summary'!AM233="",NA(),'Monthly Summary'!AM233)</f>
      </c>
      <c r="S234" s="74">
        <f>IF('Monthly Summary'!C233="",NA(),'Monthly Summary'!C233)</f>
      </c>
    </row>
    <row r="235" spans="1:19" x14ac:dyDescent="0.2">
      <c r="A235" s="73">
        <f>'Monthly Summary'!A234</f>
      </c>
      <c r="B235" s="74">
        <f>IF('Monthly Summary'!W234="",NA(),'Monthly Summary'!W234)</f>
      </c>
      <c r="C235" s="74">
        <f>IF('Monthly Summary'!X234="",NA(),'Monthly Summary'!X234)</f>
      </c>
      <c r="D235" s="74">
        <f>IF('Monthly Summary'!Y234="",NA(),'Monthly Summary'!Y234)</f>
      </c>
      <c r="E235" s="74">
        <f>IF('Monthly Summary'!Z234="",NA(),'Monthly Summary'!Z234)</f>
      </c>
      <c r="F235" s="74">
        <f>IF('Monthly Summary'!AA234="",NA(),'Monthly Summary'!AA234)</f>
      </c>
      <c r="G235" s="74">
        <f>IF('Monthly Summary'!AB234="",NA(),'Monthly Summary'!AB234)</f>
      </c>
      <c r="H235" s="74">
        <f>IF('Monthly Summary'!AC234="",NA(),'Monthly Summary'!AC234)</f>
      </c>
      <c r="I235" s="74">
        <f>IF('Monthly Summary'!AD234="",NA(),'Monthly Summary'!AD234)</f>
      </c>
      <c r="J235" s="74">
        <f>IF('Monthly Summary'!AE234="",NA(),'Monthly Summary'!AE234)</f>
      </c>
      <c r="K235" s="74">
        <f>IF('Monthly Summary'!AF234="",NA(),'Monthly Summary'!AF234)</f>
      </c>
      <c r="L235" s="74">
        <f>IF('Monthly Summary'!AG234="",NA(),'Monthly Summary'!AG234)</f>
      </c>
      <c r="M235" s="74">
        <f>IF('Monthly Summary'!AH234="",NA(),'Monthly Summary'!AH234)</f>
      </c>
      <c r="N235" s="74">
        <f>IF('Monthly Summary'!AI234="",NA(),'Monthly Summary'!AI234)</f>
      </c>
      <c r="O235" s="74">
        <f>IF('Monthly Summary'!AJ234="",NA(),'Monthly Summary'!AJ234)</f>
      </c>
      <c r="P235" s="74">
        <f>IF('Monthly Summary'!AK234="",NA(),'Monthly Summary'!AK234)</f>
      </c>
      <c r="Q235" s="74">
        <f>IF('Monthly Summary'!AL234="",NA(),'Monthly Summary'!AL234)</f>
      </c>
      <c r="R235" s="74">
        <f>IF('Monthly Summary'!AM234="",NA(),'Monthly Summary'!AM234)</f>
      </c>
      <c r="S235" s="74">
        <f>IF('Monthly Summary'!C234="",NA(),'Monthly Summary'!C234)</f>
      </c>
    </row>
    <row r="236" spans="1:19" x14ac:dyDescent="0.2">
      <c r="A236" s="73">
        <f>'Monthly Summary'!A235</f>
      </c>
      <c r="B236" s="74">
        <f>IF('Monthly Summary'!W235="",NA(),'Monthly Summary'!W235)</f>
      </c>
      <c r="C236" s="74">
        <f>IF('Monthly Summary'!X235="",NA(),'Monthly Summary'!X235)</f>
      </c>
      <c r="D236" s="74">
        <f>IF('Monthly Summary'!Y235="",NA(),'Monthly Summary'!Y235)</f>
      </c>
      <c r="E236" s="74">
        <f>IF('Monthly Summary'!Z235="",NA(),'Monthly Summary'!Z235)</f>
      </c>
      <c r="F236" s="74">
        <f>IF('Monthly Summary'!AA235="",NA(),'Monthly Summary'!AA235)</f>
      </c>
      <c r="G236" s="74">
        <f>IF('Monthly Summary'!AB235="",NA(),'Monthly Summary'!AB235)</f>
      </c>
      <c r="H236" s="74">
        <f>IF('Monthly Summary'!AC235="",NA(),'Monthly Summary'!AC235)</f>
      </c>
      <c r="I236" s="74">
        <f>IF('Monthly Summary'!AD235="",NA(),'Monthly Summary'!AD235)</f>
      </c>
      <c r="J236" s="74">
        <f>IF('Monthly Summary'!AE235="",NA(),'Monthly Summary'!AE235)</f>
      </c>
      <c r="K236" s="74">
        <f>IF('Monthly Summary'!AF235="",NA(),'Monthly Summary'!AF235)</f>
      </c>
      <c r="L236" s="74">
        <f>IF('Monthly Summary'!AG235="",NA(),'Monthly Summary'!AG235)</f>
      </c>
      <c r="M236" s="74">
        <f>IF('Monthly Summary'!AH235="",NA(),'Monthly Summary'!AH235)</f>
      </c>
      <c r="N236" s="74">
        <f>IF('Monthly Summary'!AI235="",NA(),'Monthly Summary'!AI235)</f>
      </c>
      <c r="O236" s="74">
        <f>IF('Monthly Summary'!AJ235="",NA(),'Monthly Summary'!AJ235)</f>
      </c>
      <c r="P236" s="74">
        <f>IF('Monthly Summary'!AK235="",NA(),'Monthly Summary'!AK235)</f>
      </c>
      <c r="Q236" s="74">
        <f>IF('Monthly Summary'!AL235="",NA(),'Monthly Summary'!AL235)</f>
      </c>
      <c r="R236" s="74">
        <f>IF('Monthly Summary'!AM235="",NA(),'Monthly Summary'!AM235)</f>
      </c>
      <c r="S236" s="74">
        <f>IF('Monthly Summary'!C235="",NA(),'Monthly Summary'!C235)</f>
      </c>
    </row>
    <row r="237" spans="1:19" x14ac:dyDescent="0.2">
      <c r="A237" s="73">
        <f>'Monthly Summary'!A236</f>
      </c>
      <c r="B237" s="74">
        <f>IF('Monthly Summary'!W236="",NA(),'Monthly Summary'!W236)</f>
      </c>
      <c r="C237" s="74">
        <f>IF('Monthly Summary'!X236="",NA(),'Monthly Summary'!X236)</f>
      </c>
      <c r="D237" s="74">
        <f>IF('Monthly Summary'!Y236="",NA(),'Monthly Summary'!Y236)</f>
      </c>
      <c r="E237" s="74">
        <f>IF('Monthly Summary'!Z236="",NA(),'Monthly Summary'!Z236)</f>
      </c>
      <c r="F237" s="74">
        <f>IF('Monthly Summary'!AA236="",NA(),'Monthly Summary'!AA236)</f>
      </c>
      <c r="G237" s="74">
        <f>IF('Monthly Summary'!AB236="",NA(),'Monthly Summary'!AB236)</f>
      </c>
      <c r="H237" s="74">
        <f>IF('Monthly Summary'!AC236="",NA(),'Monthly Summary'!AC236)</f>
      </c>
      <c r="I237" s="74">
        <f>IF('Monthly Summary'!AD236="",NA(),'Monthly Summary'!AD236)</f>
      </c>
      <c r="J237" s="74">
        <f>IF('Monthly Summary'!AE236="",NA(),'Monthly Summary'!AE236)</f>
      </c>
      <c r="K237" s="74">
        <f>IF('Monthly Summary'!AF236="",NA(),'Monthly Summary'!AF236)</f>
      </c>
      <c r="L237" s="74">
        <f>IF('Monthly Summary'!AG236="",NA(),'Monthly Summary'!AG236)</f>
      </c>
      <c r="M237" s="74">
        <f>IF('Monthly Summary'!AH236="",NA(),'Monthly Summary'!AH236)</f>
      </c>
      <c r="N237" s="74">
        <f>IF('Monthly Summary'!AI236="",NA(),'Monthly Summary'!AI236)</f>
      </c>
      <c r="O237" s="74">
        <f>IF('Monthly Summary'!AJ236="",NA(),'Monthly Summary'!AJ236)</f>
      </c>
      <c r="P237" s="74">
        <f>IF('Monthly Summary'!AK236="",NA(),'Monthly Summary'!AK236)</f>
      </c>
      <c r="Q237" s="74">
        <f>IF('Monthly Summary'!AL236="",NA(),'Monthly Summary'!AL236)</f>
      </c>
      <c r="R237" s="74">
        <f>IF('Monthly Summary'!AM236="",NA(),'Monthly Summary'!AM236)</f>
      </c>
      <c r="S237" s="74">
        <f>IF('Monthly Summary'!C236="",NA(),'Monthly Summary'!C236)</f>
      </c>
    </row>
    <row r="238" spans="1:19" x14ac:dyDescent="0.2">
      <c r="A238" s="73">
        <f>'Monthly Summary'!A237</f>
      </c>
      <c r="B238" s="74">
        <f>IF('Monthly Summary'!W237="",NA(),'Monthly Summary'!W237)</f>
      </c>
      <c r="C238" s="74">
        <f>IF('Monthly Summary'!X237="",NA(),'Monthly Summary'!X237)</f>
      </c>
      <c r="D238" s="74">
        <f>IF('Monthly Summary'!Y237="",NA(),'Monthly Summary'!Y237)</f>
      </c>
      <c r="E238" s="74">
        <f>IF('Monthly Summary'!Z237="",NA(),'Monthly Summary'!Z237)</f>
      </c>
      <c r="F238" s="74">
        <f>IF('Monthly Summary'!AA237="",NA(),'Monthly Summary'!AA237)</f>
      </c>
      <c r="G238" s="74">
        <f>IF('Monthly Summary'!AB237="",NA(),'Monthly Summary'!AB237)</f>
      </c>
      <c r="H238" s="74">
        <f>IF('Monthly Summary'!AC237="",NA(),'Monthly Summary'!AC237)</f>
      </c>
      <c r="I238" s="74">
        <f>IF('Monthly Summary'!AD237="",NA(),'Monthly Summary'!AD237)</f>
      </c>
      <c r="J238" s="74">
        <f>IF('Monthly Summary'!AE237="",NA(),'Monthly Summary'!AE237)</f>
      </c>
      <c r="K238" s="74">
        <f>IF('Monthly Summary'!AF237="",NA(),'Monthly Summary'!AF237)</f>
      </c>
      <c r="L238" s="74">
        <f>IF('Monthly Summary'!AG237="",NA(),'Monthly Summary'!AG237)</f>
      </c>
      <c r="M238" s="74">
        <f>IF('Monthly Summary'!AH237="",NA(),'Monthly Summary'!AH237)</f>
      </c>
      <c r="N238" s="74">
        <f>IF('Monthly Summary'!AI237="",NA(),'Monthly Summary'!AI237)</f>
      </c>
      <c r="O238" s="74">
        <f>IF('Monthly Summary'!AJ237="",NA(),'Monthly Summary'!AJ237)</f>
      </c>
      <c r="P238" s="74">
        <f>IF('Monthly Summary'!AK237="",NA(),'Monthly Summary'!AK237)</f>
      </c>
      <c r="Q238" s="74">
        <f>IF('Monthly Summary'!AL237="",NA(),'Monthly Summary'!AL237)</f>
      </c>
      <c r="R238" s="74">
        <f>IF('Monthly Summary'!AM237="",NA(),'Monthly Summary'!AM237)</f>
      </c>
      <c r="S238" s="74">
        <f>IF('Monthly Summary'!C237="",NA(),'Monthly Summary'!C237)</f>
      </c>
    </row>
    <row r="239" spans="1:19" x14ac:dyDescent="0.2">
      <c r="A239" s="73">
        <f>'Monthly Summary'!A238</f>
      </c>
      <c r="B239" s="74">
        <f>IF('Monthly Summary'!W238="",NA(),'Monthly Summary'!W238)</f>
      </c>
      <c r="C239" s="74">
        <f>IF('Monthly Summary'!X238="",NA(),'Monthly Summary'!X238)</f>
      </c>
      <c r="D239" s="74">
        <f>IF('Monthly Summary'!Y238="",NA(),'Monthly Summary'!Y238)</f>
      </c>
      <c r="E239" s="74">
        <f>IF('Monthly Summary'!Z238="",NA(),'Monthly Summary'!Z238)</f>
      </c>
      <c r="F239" s="74">
        <f>IF('Monthly Summary'!AA238="",NA(),'Monthly Summary'!AA238)</f>
      </c>
      <c r="G239" s="74">
        <f>IF('Monthly Summary'!AB238="",NA(),'Monthly Summary'!AB238)</f>
      </c>
      <c r="H239" s="74">
        <f>IF('Monthly Summary'!AC238="",NA(),'Monthly Summary'!AC238)</f>
      </c>
      <c r="I239" s="74">
        <f>IF('Monthly Summary'!AD238="",NA(),'Monthly Summary'!AD238)</f>
      </c>
      <c r="J239" s="74">
        <f>IF('Monthly Summary'!AE238="",NA(),'Monthly Summary'!AE238)</f>
      </c>
      <c r="K239" s="74">
        <f>IF('Monthly Summary'!AF238="",NA(),'Monthly Summary'!AF238)</f>
      </c>
      <c r="L239" s="74">
        <f>IF('Monthly Summary'!AG238="",NA(),'Monthly Summary'!AG238)</f>
      </c>
      <c r="M239" s="74">
        <f>IF('Monthly Summary'!AH238="",NA(),'Monthly Summary'!AH238)</f>
      </c>
      <c r="N239" s="74">
        <f>IF('Monthly Summary'!AI238="",NA(),'Monthly Summary'!AI238)</f>
      </c>
      <c r="O239" s="74">
        <f>IF('Monthly Summary'!AJ238="",NA(),'Monthly Summary'!AJ238)</f>
      </c>
      <c r="P239" s="74">
        <f>IF('Monthly Summary'!AK238="",NA(),'Monthly Summary'!AK238)</f>
      </c>
      <c r="Q239" s="74">
        <f>IF('Monthly Summary'!AL238="",NA(),'Monthly Summary'!AL238)</f>
      </c>
      <c r="R239" s="74">
        <f>IF('Monthly Summary'!AM238="",NA(),'Monthly Summary'!AM238)</f>
      </c>
      <c r="S239" s="74">
        <f>IF('Monthly Summary'!C238="",NA(),'Monthly Summary'!C238)</f>
      </c>
    </row>
    <row r="240" spans="1:19" x14ac:dyDescent="0.2">
      <c r="A240" s="73">
        <f>'Monthly Summary'!A239</f>
      </c>
      <c r="B240" s="74">
        <f>IF('Monthly Summary'!W239="",NA(),'Monthly Summary'!W239)</f>
      </c>
      <c r="C240" s="74">
        <f>IF('Monthly Summary'!X239="",NA(),'Monthly Summary'!X239)</f>
      </c>
      <c r="D240" s="74">
        <f>IF('Monthly Summary'!Y239="",NA(),'Monthly Summary'!Y239)</f>
      </c>
      <c r="E240" s="74">
        <f>IF('Monthly Summary'!Z239="",NA(),'Monthly Summary'!Z239)</f>
      </c>
      <c r="F240" s="74">
        <f>IF('Monthly Summary'!AA239="",NA(),'Monthly Summary'!AA239)</f>
      </c>
      <c r="G240" s="74">
        <f>IF('Monthly Summary'!AB239="",NA(),'Monthly Summary'!AB239)</f>
      </c>
      <c r="H240" s="74">
        <f>IF('Monthly Summary'!AC239="",NA(),'Monthly Summary'!AC239)</f>
      </c>
      <c r="I240" s="74">
        <f>IF('Monthly Summary'!AD239="",NA(),'Monthly Summary'!AD239)</f>
      </c>
      <c r="J240" s="74">
        <f>IF('Monthly Summary'!AE239="",NA(),'Monthly Summary'!AE239)</f>
      </c>
      <c r="K240" s="74">
        <f>IF('Monthly Summary'!AF239="",NA(),'Monthly Summary'!AF239)</f>
      </c>
      <c r="L240" s="74">
        <f>IF('Monthly Summary'!AG239="",NA(),'Monthly Summary'!AG239)</f>
      </c>
      <c r="M240" s="74">
        <f>IF('Monthly Summary'!AH239="",NA(),'Monthly Summary'!AH239)</f>
      </c>
      <c r="N240" s="74">
        <f>IF('Monthly Summary'!AI239="",NA(),'Monthly Summary'!AI239)</f>
      </c>
      <c r="O240" s="74">
        <f>IF('Monthly Summary'!AJ239="",NA(),'Monthly Summary'!AJ239)</f>
      </c>
      <c r="P240" s="74">
        <f>IF('Monthly Summary'!AK239="",NA(),'Monthly Summary'!AK239)</f>
      </c>
      <c r="Q240" s="74">
        <f>IF('Monthly Summary'!AL239="",NA(),'Monthly Summary'!AL239)</f>
      </c>
      <c r="R240" s="74">
        <f>IF('Monthly Summary'!AM239="",NA(),'Monthly Summary'!AM239)</f>
      </c>
      <c r="S240" s="74">
        <f>IF('Monthly Summary'!C239="",NA(),'Monthly Summary'!C239)</f>
      </c>
    </row>
    <row r="241" spans="1:19" x14ac:dyDescent="0.2">
      <c r="A241" s="73">
        <f>'Monthly Summary'!A240</f>
      </c>
      <c r="B241" s="74">
        <f>IF('Monthly Summary'!W240="",NA(),'Monthly Summary'!W240)</f>
      </c>
      <c r="C241" s="74">
        <f>IF('Monthly Summary'!X240="",NA(),'Monthly Summary'!X240)</f>
      </c>
      <c r="D241" s="74">
        <f>IF('Monthly Summary'!Y240="",NA(),'Monthly Summary'!Y240)</f>
      </c>
      <c r="E241" s="74">
        <f>IF('Monthly Summary'!Z240="",NA(),'Monthly Summary'!Z240)</f>
      </c>
      <c r="F241" s="74">
        <f>IF('Monthly Summary'!AA240="",NA(),'Monthly Summary'!AA240)</f>
      </c>
      <c r="G241" s="74">
        <f>IF('Monthly Summary'!AB240="",NA(),'Monthly Summary'!AB240)</f>
      </c>
      <c r="H241" s="74">
        <f>IF('Monthly Summary'!AC240="",NA(),'Monthly Summary'!AC240)</f>
      </c>
      <c r="I241" s="74">
        <f>IF('Monthly Summary'!AD240="",NA(),'Monthly Summary'!AD240)</f>
      </c>
      <c r="J241" s="74">
        <f>IF('Monthly Summary'!AE240="",NA(),'Monthly Summary'!AE240)</f>
      </c>
      <c r="K241" s="74">
        <f>IF('Monthly Summary'!AF240="",NA(),'Monthly Summary'!AF240)</f>
      </c>
      <c r="L241" s="74">
        <f>IF('Monthly Summary'!AG240="",NA(),'Monthly Summary'!AG240)</f>
      </c>
      <c r="M241" s="74">
        <f>IF('Monthly Summary'!AH240="",NA(),'Monthly Summary'!AH240)</f>
      </c>
      <c r="N241" s="74">
        <f>IF('Monthly Summary'!AI240="",NA(),'Monthly Summary'!AI240)</f>
      </c>
      <c r="O241" s="74">
        <f>IF('Monthly Summary'!AJ240="",NA(),'Monthly Summary'!AJ240)</f>
      </c>
      <c r="P241" s="74">
        <f>IF('Monthly Summary'!AK240="",NA(),'Monthly Summary'!AK240)</f>
      </c>
      <c r="Q241" s="74">
        <f>IF('Monthly Summary'!AL240="",NA(),'Monthly Summary'!AL240)</f>
      </c>
      <c r="R241" s="74">
        <f>IF('Monthly Summary'!AM240="",NA(),'Monthly Summary'!AM240)</f>
      </c>
      <c r="S241" s="74">
        <f>IF('Monthly Summary'!C240="",NA(),'Monthly Summary'!C240)</f>
      </c>
    </row>
    <row r="242" spans="1:19" x14ac:dyDescent="0.2">
      <c r="A242" s="73">
        <f>'Monthly Summary'!A241</f>
      </c>
      <c r="B242" s="74">
        <f>IF('Monthly Summary'!W241="",NA(),'Monthly Summary'!W241)</f>
      </c>
      <c r="C242" s="74">
        <f>IF('Monthly Summary'!X241="",NA(),'Monthly Summary'!X241)</f>
      </c>
      <c r="D242" s="74">
        <f>IF('Monthly Summary'!Y241="",NA(),'Monthly Summary'!Y241)</f>
      </c>
      <c r="E242" s="74">
        <f>IF('Monthly Summary'!Z241="",NA(),'Monthly Summary'!Z241)</f>
      </c>
      <c r="F242" s="74">
        <f>IF('Monthly Summary'!AA241="",NA(),'Monthly Summary'!AA241)</f>
      </c>
      <c r="G242" s="74">
        <f>IF('Monthly Summary'!AB241="",NA(),'Monthly Summary'!AB241)</f>
      </c>
      <c r="H242" s="74">
        <f>IF('Monthly Summary'!AC241="",NA(),'Monthly Summary'!AC241)</f>
      </c>
      <c r="I242" s="74">
        <f>IF('Monthly Summary'!AD241="",NA(),'Monthly Summary'!AD241)</f>
      </c>
      <c r="J242" s="74">
        <f>IF('Monthly Summary'!AE241="",NA(),'Monthly Summary'!AE241)</f>
      </c>
      <c r="K242" s="74">
        <f>IF('Monthly Summary'!AF241="",NA(),'Monthly Summary'!AF241)</f>
      </c>
      <c r="L242" s="74">
        <f>IF('Monthly Summary'!AG241="",NA(),'Monthly Summary'!AG241)</f>
      </c>
      <c r="M242" s="74">
        <f>IF('Monthly Summary'!AH241="",NA(),'Monthly Summary'!AH241)</f>
      </c>
      <c r="N242" s="74">
        <f>IF('Monthly Summary'!AI241="",NA(),'Monthly Summary'!AI241)</f>
      </c>
      <c r="O242" s="74">
        <f>IF('Monthly Summary'!AJ241="",NA(),'Monthly Summary'!AJ241)</f>
      </c>
      <c r="P242" s="74">
        <f>IF('Monthly Summary'!AK241="",NA(),'Monthly Summary'!AK241)</f>
      </c>
      <c r="Q242" s="74">
        <f>IF('Monthly Summary'!AL241="",NA(),'Monthly Summary'!AL241)</f>
      </c>
      <c r="R242" s="74">
        <f>IF('Monthly Summary'!AM241="",NA(),'Monthly Summary'!AM241)</f>
      </c>
      <c r="S242" s="74">
        <f>IF('Monthly Summary'!C241="",NA(),'Monthly Summary'!C241)</f>
      </c>
    </row>
    <row r="243" spans="1:19" x14ac:dyDescent="0.2">
      <c r="A243" s="73">
        <f>'Monthly Summary'!A242</f>
      </c>
      <c r="B243" s="74">
        <f>IF('Monthly Summary'!W242="",NA(),'Monthly Summary'!W242)</f>
      </c>
      <c r="C243" s="74">
        <f>IF('Monthly Summary'!X242="",NA(),'Monthly Summary'!X242)</f>
      </c>
      <c r="D243" s="74">
        <f>IF('Monthly Summary'!Y242="",NA(),'Monthly Summary'!Y242)</f>
      </c>
      <c r="E243" s="74">
        <f>IF('Monthly Summary'!Z242="",NA(),'Monthly Summary'!Z242)</f>
      </c>
      <c r="F243" s="74">
        <f>IF('Monthly Summary'!AA242="",NA(),'Monthly Summary'!AA242)</f>
      </c>
      <c r="G243" s="74">
        <f>IF('Monthly Summary'!AB242="",NA(),'Monthly Summary'!AB242)</f>
      </c>
      <c r="H243" s="74">
        <f>IF('Monthly Summary'!AC242="",NA(),'Monthly Summary'!AC242)</f>
      </c>
      <c r="I243" s="74">
        <f>IF('Monthly Summary'!AD242="",NA(),'Monthly Summary'!AD242)</f>
      </c>
      <c r="J243" s="74">
        <f>IF('Monthly Summary'!AE242="",NA(),'Monthly Summary'!AE242)</f>
      </c>
      <c r="K243" s="74">
        <f>IF('Monthly Summary'!AF242="",NA(),'Monthly Summary'!AF242)</f>
      </c>
      <c r="L243" s="74">
        <f>IF('Monthly Summary'!AG242="",NA(),'Monthly Summary'!AG242)</f>
      </c>
      <c r="M243" s="74">
        <f>IF('Monthly Summary'!AH242="",NA(),'Monthly Summary'!AH242)</f>
      </c>
      <c r="N243" s="74">
        <f>IF('Monthly Summary'!AI242="",NA(),'Monthly Summary'!AI242)</f>
      </c>
      <c r="O243" s="74">
        <f>IF('Monthly Summary'!AJ242="",NA(),'Monthly Summary'!AJ242)</f>
      </c>
      <c r="P243" s="74">
        <f>IF('Monthly Summary'!AK242="",NA(),'Monthly Summary'!AK242)</f>
      </c>
      <c r="Q243" s="74">
        <f>IF('Monthly Summary'!AL242="",NA(),'Monthly Summary'!AL242)</f>
      </c>
      <c r="R243" s="74">
        <f>IF('Monthly Summary'!AM242="",NA(),'Monthly Summary'!AM242)</f>
      </c>
      <c r="S243" s="74">
        <f>IF('Monthly Summary'!C242="",NA(),'Monthly Summary'!C242)</f>
      </c>
    </row>
    <row r="244" spans="1:19" x14ac:dyDescent="0.2">
      <c r="A244" s="73">
        <f>'Monthly Summary'!A243</f>
      </c>
      <c r="B244" s="74">
        <f>IF('Monthly Summary'!W243="",NA(),'Monthly Summary'!W243)</f>
      </c>
      <c r="C244" s="74">
        <f>IF('Monthly Summary'!X243="",NA(),'Monthly Summary'!X243)</f>
      </c>
      <c r="D244" s="74">
        <f>IF('Monthly Summary'!Y243="",NA(),'Monthly Summary'!Y243)</f>
      </c>
      <c r="E244" s="74">
        <f>IF('Monthly Summary'!Z243="",NA(),'Monthly Summary'!Z243)</f>
      </c>
      <c r="F244" s="74">
        <f>IF('Monthly Summary'!AA243="",NA(),'Monthly Summary'!AA243)</f>
      </c>
      <c r="G244" s="74">
        <f>IF('Monthly Summary'!AB243="",NA(),'Monthly Summary'!AB243)</f>
      </c>
      <c r="H244" s="74">
        <f>IF('Monthly Summary'!AC243="",NA(),'Monthly Summary'!AC243)</f>
      </c>
      <c r="I244" s="74">
        <f>IF('Monthly Summary'!AD243="",NA(),'Monthly Summary'!AD243)</f>
      </c>
      <c r="J244" s="74">
        <f>IF('Monthly Summary'!AE243="",NA(),'Monthly Summary'!AE243)</f>
      </c>
      <c r="K244" s="74">
        <f>IF('Monthly Summary'!AF243="",NA(),'Monthly Summary'!AF243)</f>
      </c>
      <c r="L244" s="74">
        <f>IF('Monthly Summary'!AG243="",NA(),'Monthly Summary'!AG243)</f>
      </c>
      <c r="M244" s="74">
        <f>IF('Monthly Summary'!AH243="",NA(),'Monthly Summary'!AH243)</f>
      </c>
      <c r="N244" s="74">
        <f>IF('Monthly Summary'!AI243="",NA(),'Monthly Summary'!AI243)</f>
      </c>
      <c r="O244" s="74">
        <f>IF('Monthly Summary'!AJ243="",NA(),'Monthly Summary'!AJ243)</f>
      </c>
      <c r="P244" s="74">
        <f>IF('Monthly Summary'!AK243="",NA(),'Monthly Summary'!AK243)</f>
      </c>
      <c r="Q244" s="74">
        <f>IF('Monthly Summary'!AL243="",NA(),'Monthly Summary'!AL243)</f>
      </c>
      <c r="R244" s="74">
        <f>IF('Monthly Summary'!AM243="",NA(),'Monthly Summary'!AM243)</f>
      </c>
      <c r="S244" s="74">
        <f>IF('Monthly Summary'!C243="",NA(),'Monthly Summary'!C243)</f>
      </c>
    </row>
    <row r="245" spans="1:19" x14ac:dyDescent="0.2">
      <c r="A245" s="73">
        <f>'Monthly Summary'!A244</f>
      </c>
      <c r="B245" s="74">
        <f>IF('Monthly Summary'!W244="",NA(),'Monthly Summary'!W244)</f>
      </c>
      <c r="C245" s="74">
        <f>IF('Monthly Summary'!X244="",NA(),'Monthly Summary'!X244)</f>
      </c>
      <c r="D245" s="74">
        <f>IF('Monthly Summary'!Y244="",NA(),'Monthly Summary'!Y244)</f>
      </c>
      <c r="E245" s="74">
        <f>IF('Monthly Summary'!Z244="",NA(),'Monthly Summary'!Z244)</f>
      </c>
      <c r="F245" s="74">
        <f>IF('Monthly Summary'!AA244="",NA(),'Monthly Summary'!AA244)</f>
      </c>
      <c r="G245" s="74">
        <f>IF('Monthly Summary'!AB244="",NA(),'Monthly Summary'!AB244)</f>
      </c>
      <c r="H245" s="74">
        <f>IF('Monthly Summary'!AC244="",NA(),'Monthly Summary'!AC244)</f>
      </c>
      <c r="I245" s="74">
        <f>IF('Monthly Summary'!AD244="",NA(),'Monthly Summary'!AD244)</f>
      </c>
      <c r="J245" s="74">
        <f>IF('Monthly Summary'!AE244="",NA(),'Monthly Summary'!AE244)</f>
      </c>
      <c r="K245" s="74">
        <f>IF('Monthly Summary'!AF244="",NA(),'Monthly Summary'!AF244)</f>
      </c>
      <c r="L245" s="74">
        <f>IF('Monthly Summary'!AG244="",NA(),'Monthly Summary'!AG244)</f>
      </c>
      <c r="M245" s="74">
        <f>IF('Monthly Summary'!AH244="",NA(),'Monthly Summary'!AH244)</f>
      </c>
      <c r="N245" s="74">
        <f>IF('Monthly Summary'!AI244="",NA(),'Monthly Summary'!AI244)</f>
      </c>
      <c r="O245" s="74">
        <f>IF('Monthly Summary'!AJ244="",NA(),'Monthly Summary'!AJ244)</f>
      </c>
      <c r="P245" s="74">
        <f>IF('Monthly Summary'!AK244="",NA(),'Monthly Summary'!AK244)</f>
      </c>
      <c r="Q245" s="74">
        <f>IF('Monthly Summary'!AL244="",NA(),'Monthly Summary'!AL244)</f>
      </c>
      <c r="R245" s="74">
        <f>IF('Monthly Summary'!AM244="",NA(),'Monthly Summary'!AM244)</f>
      </c>
      <c r="S245" s="74">
        <f>IF('Monthly Summary'!C244="",NA(),'Monthly Summary'!C244)</f>
      </c>
    </row>
    <row r="246" spans="1:19" x14ac:dyDescent="0.2">
      <c r="A246" s="73">
        <f>'Monthly Summary'!A245</f>
      </c>
      <c r="B246" s="74">
        <f>IF('Monthly Summary'!W245="",NA(),'Monthly Summary'!W245)</f>
      </c>
      <c r="C246" s="74">
        <f>IF('Monthly Summary'!X245="",NA(),'Monthly Summary'!X245)</f>
      </c>
      <c r="D246" s="74">
        <f>IF('Monthly Summary'!Y245="",NA(),'Monthly Summary'!Y245)</f>
      </c>
      <c r="E246" s="74">
        <f>IF('Monthly Summary'!Z245="",NA(),'Monthly Summary'!Z245)</f>
      </c>
      <c r="F246" s="74">
        <f>IF('Monthly Summary'!AA245="",NA(),'Monthly Summary'!AA245)</f>
      </c>
      <c r="G246" s="74">
        <f>IF('Monthly Summary'!AB245="",NA(),'Monthly Summary'!AB245)</f>
      </c>
      <c r="H246" s="74">
        <f>IF('Monthly Summary'!AC245="",NA(),'Monthly Summary'!AC245)</f>
      </c>
      <c r="I246" s="74">
        <f>IF('Monthly Summary'!AD245="",NA(),'Monthly Summary'!AD245)</f>
      </c>
      <c r="J246" s="74">
        <f>IF('Monthly Summary'!AE245="",NA(),'Monthly Summary'!AE245)</f>
      </c>
      <c r="K246" s="74">
        <f>IF('Monthly Summary'!AF245="",NA(),'Monthly Summary'!AF245)</f>
      </c>
      <c r="L246" s="74">
        <f>IF('Monthly Summary'!AG245="",NA(),'Monthly Summary'!AG245)</f>
      </c>
      <c r="M246" s="74">
        <f>IF('Monthly Summary'!AH245="",NA(),'Monthly Summary'!AH245)</f>
      </c>
      <c r="N246" s="74">
        <f>IF('Monthly Summary'!AI245="",NA(),'Monthly Summary'!AI245)</f>
      </c>
      <c r="O246" s="74">
        <f>IF('Monthly Summary'!AJ245="",NA(),'Monthly Summary'!AJ245)</f>
      </c>
      <c r="P246" s="74">
        <f>IF('Monthly Summary'!AK245="",NA(),'Monthly Summary'!AK245)</f>
      </c>
      <c r="Q246" s="74">
        <f>IF('Monthly Summary'!AL245="",NA(),'Monthly Summary'!AL245)</f>
      </c>
      <c r="R246" s="74">
        <f>IF('Monthly Summary'!AM245="",NA(),'Monthly Summary'!AM245)</f>
      </c>
      <c r="S246" s="74">
        <f>IF('Monthly Summary'!C245="",NA(),'Monthly Summary'!C245)</f>
      </c>
    </row>
    <row r="247" spans="1:19" x14ac:dyDescent="0.2">
      <c r="A247" s="73">
        <f>'Monthly Summary'!A246</f>
      </c>
      <c r="B247" s="74">
        <f>IF('Monthly Summary'!W246="",NA(),'Monthly Summary'!W246)</f>
      </c>
      <c r="C247" s="74">
        <f>IF('Monthly Summary'!X246="",NA(),'Monthly Summary'!X246)</f>
      </c>
      <c r="D247" s="74">
        <f>IF('Monthly Summary'!Y246="",NA(),'Monthly Summary'!Y246)</f>
      </c>
      <c r="E247" s="74">
        <f>IF('Monthly Summary'!Z246="",NA(),'Monthly Summary'!Z246)</f>
      </c>
      <c r="F247" s="74">
        <f>IF('Monthly Summary'!AA246="",NA(),'Monthly Summary'!AA246)</f>
      </c>
      <c r="G247" s="74">
        <f>IF('Monthly Summary'!AB246="",NA(),'Monthly Summary'!AB246)</f>
      </c>
      <c r="H247" s="74">
        <f>IF('Monthly Summary'!AC246="",NA(),'Monthly Summary'!AC246)</f>
      </c>
      <c r="I247" s="74">
        <f>IF('Monthly Summary'!AD246="",NA(),'Monthly Summary'!AD246)</f>
      </c>
      <c r="J247" s="74">
        <f>IF('Monthly Summary'!AE246="",NA(),'Monthly Summary'!AE246)</f>
      </c>
      <c r="K247" s="74">
        <f>IF('Monthly Summary'!AF246="",NA(),'Monthly Summary'!AF246)</f>
      </c>
      <c r="L247" s="74">
        <f>IF('Monthly Summary'!AG246="",NA(),'Monthly Summary'!AG246)</f>
      </c>
      <c r="M247" s="74">
        <f>IF('Monthly Summary'!AH246="",NA(),'Monthly Summary'!AH246)</f>
      </c>
      <c r="N247" s="74">
        <f>IF('Monthly Summary'!AI246="",NA(),'Monthly Summary'!AI246)</f>
      </c>
      <c r="O247" s="74">
        <f>IF('Monthly Summary'!AJ246="",NA(),'Monthly Summary'!AJ246)</f>
      </c>
      <c r="P247" s="74">
        <f>IF('Monthly Summary'!AK246="",NA(),'Monthly Summary'!AK246)</f>
      </c>
      <c r="Q247" s="74">
        <f>IF('Monthly Summary'!AL246="",NA(),'Monthly Summary'!AL246)</f>
      </c>
      <c r="R247" s="74">
        <f>IF('Monthly Summary'!AM246="",NA(),'Monthly Summary'!AM246)</f>
      </c>
      <c r="S247" s="74">
        <f>IF('Monthly Summary'!C246="",NA(),'Monthly Summary'!C246)</f>
      </c>
    </row>
    <row r="248" spans="1:19" x14ac:dyDescent="0.2">
      <c r="A248" s="73">
        <f>'Monthly Summary'!A247</f>
      </c>
      <c r="B248" s="74">
        <f>IF('Monthly Summary'!W247="",NA(),'Monthly Summary'!W247)</f>
      </c>
      <c r="C248" s="74">
        <f>IF('Monthly Summary'!X247="",NA(),'Monthly Summary'!X247)</f>
      </c>
      <c r="D248" s="74">
        <f>IF('Monthly Summary'!Y247="",NA(),'Monthly Summary'!Y247)</f>
      </c>
      <c r="E248" s="74">
        <f>IF('Monthly Summary'!Z247="",NA(),'Monthly Summary'!Z247)</f>
      </c>
      <c r="F248" s="74">
        <f>IF('Monthly Summary'!AA247="",NA(),'Monthly Summary'!AA247)</f>
      </c>
      <c r="G248" s="74">
        <f>IF('Monthly Summary'!AB247="",NA(),'Monthly Summary'!AB247)</f>
      </c>
      <c r="H248" s="74">
        <f>IF('Monthly Summary'!AC247="",NA(),'Monthly Summary'!AC247)</f>
      </c>
      <c r="I248" s="74">
        <f>IF('Monthly Summary'!AD247="",NA(),'Monthly Summary'!AD247)</f>
      </c>
      <c r="J248" s="74">
        <f>IF('Monthly Summary'!AE247="",NA(),'Monthly Summary'!AE247)</f>
      </c>
      <c r="K248" s="74">
        <f>IF('Monthly Summary'!AF247="",NA(),'Monthly Summary'!AF247)</f>
      </c>
      <c r="L248" s="74">
        <f>IF('Monthly Summary'!AG247="",NA(),'Monthly Summary'!AG247)</f>
      </c>
      <c r="M248" s="74">
        <f>IF('Monthly Summary'!AH247="",NA(),'Monthly Summary'!AH247)</f>
      </c>
      <c r="N248" s="74">
        <f>IF('Monthly Summary'!AI247="",NA(),'Monthly Summary'!AI247)</f>
      </c>
      <c r="O248" s="74">
        <f>IF('Monthly Summary'!AJ247="",NA(),'Monthly Summary'!AJ247)</f>
      </c>
      <c r="P248" s="74">
        <f>IF('Monthly Summary'!AK247="",NA(),'Monthly Summary'!AK247)</f>
      </c>
      <c r="Q248" s="74">
        <f>IF('Monthly Summary'!AL247="",NA(),'Monthly Summary'!AL247)</f>
      </c>
      <c r="R248" s="74">
        <f>IF('Monthly Summary'!AM247="",NA(),'Monthly Summary'!AM247)</f>
      </c>
      <c r="S248" s="74">
        <f>IF('Monthly Summary'!C247="",NA(),'Monthly Summary'!C247)</f>
      </c>
    </row>
    <row r="249" spans="1:19" x14ac:dyDescent="0.2">
      <c r="A249" s="73">
        <f>'Monthly Summary'!A248</f>
      </c>
      <c r="B249" s="74">
        <f>IF('Monthly Summary'!W248="",NA(),'Monthly Summary'!W248)</f>
      </c>
      <c r="C249" s="74">
        <f>IF('Monthly Summary'!X248="",NA(),'Monthly Summary'!X248)</f>
      </c>
      <c r="D249" s="74">
        <f>IF('Monthly Summary'!Y248="",NA(),'Monthly Summary'!Y248)</f>
      </c>
      <c r="E249" s="74">
        <f>IF('Monthly Summary'!Z248="",NA(),'Monthly Summary'!Z248)</f>
      </c>
      <c r="F249" s="74">
        <f>IF('Monthly Summary'!AA248="",NA(),'Monthly Summary'!AA248)</f>
      </c>
      <c r="G249" s="74">
        <f>IF('Monthly Summary'!AB248="",NA(),'Monthly Summary'!AB248)</f>
      </c>
      <c r="H249" s="74">
        <f>IF('Monthly Summary'!AC248="",NA(),'Monthly Summary'!AC248)</f>
      </c>
      <c r="I249" s="74">
        <f>IF('Monthly Summary'!AD248="",NA(),'Monthly Summary'!AD248)</f>
      </c>
      <c r="J249" s="74">
        <f>IF('Monthly Summary'!AE248="",NA(),'Monthly Summary'!AE248)</f>
      </c>
      <c r="K249" s="74">
        <f>IF('Monthly Summary'!AF248="",NA(),'Monthly Summary'!AF248)</f>
      </c>
      <c r="L249" s="74">
        <f>IF('Monthly Summary'!AG248="",NA(),'Monthly Summary'!AG248)</f>
      </c>
      <c r="M249" s="74">
        <f>IF('Monthly Summary'!AH248="",NA(),'Monthly Summary'!AH248)</f>
      </c>
      <c r="N249" s="74">
        <f>IF('Monthly Summary'!AI248="",NA(),'Monthly Summary'!AI248)</f>
      </c>
      <c r="O249" s="74">
        <f>IF('Monthly Summary'!AJ248="",NA(),'Monthly Summary'!AJ248)</f>
      </c>
      <c r="P249" s="74">
        <f>IF('Monthly Summary'!AK248="",NA(),'Monthly Summary'!AK248)</f>
      </c>
      <c r="Q249" s="74">
        <f>IF('Monthly Summary'!AL248="",NA(),'Monthly Summary'!AL248)</f>
      </c>
      <c r="R249" s="74">
        <f>IF('Monthly Summary'!AM248="",NA(),'Monthly Summary'!AM248)</f>
      </c>
      <c r="S249" s="74">
        <f>IF('Monthly Summary'!C248="",NA(),'Monthly Summary'!C248)</f>
      </c>
    </row>
    <row r="250" spans="1:19" x14ac:dyDescent="0.2">
      <c r="A250" s="73">
        <f>'Monthly Summary'!A249</f>
      </c>
      <c r="B250" s="74">
        <f>IF('Monthly Summary'!W249="",NA(),'Monthly Summary'!W249)</f>
      </c>
      <c r="C250" s="74">
        <f>IF('Monthly Summary'!X249="",NA(),'Monthly Summary'!X249)</f>
      </c>
      <c r="D250" s="74">
        <f>IF('Monthly Summary'!Y249="",NA(),'Monthly Summary'!Y249)</f>
      </c>
      <c r="E250" s="74">
        <f>IF('Monthly Summary'!Z249="",NA(),'Monthly Summary'!Z249)</f>
      </c>
      <c r="F250" s="74">
        <f>IF('Monthly Summary'!AA249="",NA(),'Monthly Summary'!AA249)</f>
      </c>
      <c r="G250" s="74">
        <f>IF('Monthly Summary'!AB249="",NA(),'Monthly Summary'!AB249)</f>
      </c>
      <c r="H250" s="74">
        <f>IF('Monthly Summary'!AC249="",NA(),'Monthly Summary'!AC249)</f>
      </c>
      <c r="I250" s="74">
        <f>IF('Monthly Summary'!AD249="",NA(),'Monthly Summary'!AD249)</f>
      </c>
      <c r="J250" s="74">
        <f>IF('Monthly Summary'!AE249="",NA(),'Monthly Summary'!AE249)</f>
      </c>
      <c r="K250" s="74">
        <f>IF('Monthly Summary'!AF249="",NA(),'Monthly Summary'!AF249)</f>
      </c>
      <c r="L250" s="74">
        <f>IF('Monthly Summary'!AG249="",NA(),'Monthly Summary'!AG249)</f>
      </c>
      <c r="M250" s="74">
        <f>IF('Monthly Summary'!AH249="",NA(),'Monthly Summary'!AH249)</f>
      </c>
      <c r="N250" s="74">
        <f>IF('Monthly Summary'!AI249="",NA(),'Monthly Summary'!AI249)</f>
      </c>
      <c r="O250" s="74">
        <f>IF('Monthly Summary'!AJ249="",NA(),'Monthly Summary'!AJ249)</f>
      </c>
      <c r="P250" s="74">
        <f>IF('Monthly Summary'!AK249="",NA(),'Monthly Summary'!AK249)</f>
      </c>
      <c r="Q250" s="74">
        <f>IF('Monthly Summary'!AL249="",NA(),'Monthly Summary'!AL249)</f>
      </c>
      <c r="R250" s="74">
        <f>IF('Monthly Summary'!AM249="",NA(),'Monthly Summary'!AM249)</f>
      </c>
      <c r="S250" s="74">
        <f>IF('Monthly Summary'!C249="",NA(),'Monthly Summary'!C249)</f>
      </c>
    </row>
    <row r="251" spans="1:19" x14ac:dyDescent="0.2">
      <c r="A251" s="73">
        <f>'Monthly Summary'!A250</f>
      </c>
      <c r="B251" s="74">
        <f>IF('Monthly Summary'!W250="",NA(),'Monthly Summary'!W250)</f>
      </c>
      <c r="C251" s="74">
        <f>IF('Monthly Summary'!X250="",NA(),'Monthly Summary'!X250)</f>
      </c>
      <c r="D251" s="74">
        <f>IF('Monthly Summary'!Y250="",NA(),'Monthly Summary'!Y250)</f>
      </c>
      <c r="E251" s="74">
        <f>IF('Monthly Summary'!Z250="",NA(),'Monthly Summary'!Z250)</f>
      </c>
      <c r="F251" s="74">
        <f>IF('Monthly Summary'!AA250="",NA(),'Monthly Summary'!AA250)</f>
      </c>
      <c r="G251" s="74">
        <f>IF('Monthly Summary'!AB250="",NA(),'Monthly Summary'!AB250)</f>
      </c>
      <c r="H251" s="74">
        <f>IF('Monthly Summary'!AC250="",NA(),'Monthly Summary'!AC250)</f>
      </c>
      <c r="I251" s="74">
        <f>IF('Monthly Summary'!AD250="",NA(),'Monthly Summary'!AD250)</f>
      </c>
      <c r="J251" s="74">
        <f>IF('Monthly Summary'!AE250="",NA(),'Monthly Summary'!AE250)</f>
      </c>
      <c r="K251" s="74">
        <f>IF('Monthly Summary'!AF250="",NA(),'Monthly Summary'!AF250)</f>
      </c>
      <c r="L251" s="74">
        <f>IF('Monthly Summary'!AG250="",NA(),'Monthly Summary'!AG250)</f>
      </c>
      <c r="M251" s="74">
        <f>IF('Monthly Summary'!AH250="",NA(),'Monthly Summary'!AH250)</f>
      </c>
      <c r="N251" s="74">
        <f>IF('Monthly Summary'!AI250="",NA(),'Monthly Summary'!AI250)</f>
      </c>
      <c r="O251" s="74">
        <f>IF('Monthly Summary'!AJ250="",NA(),'Monthly Summary'!AJ250)</f>
      </c>
      <c r="P251" s="74">
        <f>IF('Monthly Summary'!AK250="",NA(),'Monthly Summary'!AK250)</f>
      </c>
      <c r="Q251" s="74">
        <f>IF('Monthly Summary'!AL250="",NA(),'Monthly Summary'!AL250)</f>
      </c>
      <c r="R251" s="74">
        <f>IF('Monthly Summary'!AM250="",NA(),'Monthly Summary'!AM250)</f>
      </c>
      <c r="S251" s="74">
        <f>IF('Monthly Summary'!C250="",NA(),'Monthly Summary'!C250)</f>
      </c>
    </row>
    <row r="252" spans="1:19" x14ac:dyDescent="0.2">
      <c r="A252" s="73">
        <f>'Monthly Summary'!A251</f>
      </c>
      <c r="B252" s="74">
        <f>IF('Monthly Summary'!W251="",NA(),'Monthly Summary'!W251)</f>
      </c>
      <c r="C252" s="74">
        <f>IF('Monthly Summary'!X251="",NA(),'Monthly Summary'!X251)</f>
      </c>
      <c r="D252" s="74">
        <f>IF('Monthly Summary'!Y251="",NA(),'Monthly Summary'!Y251)</f>
      </c>
      <c r="E252" s="74">
        <f>IF('Monthly Summary'!Z251="",NA(),'Monthly Summary'!Z251)</f>
      </c>
      <c r="F252" s="74">
        <f>IF('Monthly Summary'!AA251="",NA(),'Monthly Summary'!AA251)</f>
      </c>
      <c r="G252" s="74">
        <f>IF('Monthly Summary'!AB251="",NA(),'Monthly Summary'!AB251)</f>
      </c>
      <c r="H252" s="74">
        <f>IF('Monthly Summary'!AC251="",NA(),'Monthly Summary'!AC251)</f>
      </c>
      <c r="I252" s="74">
        <f>IF('Monthly Summary'!AD251="",NA(),'Monthly Summary'!AD251)</f>
      </c>
      <c r="J252" s="74">
        <f>IF('Monthly Summary'!AE251="",NA(),'Monthly Summary'!AE251)</f>
      </c>
      <c r="K252" s="74">
        <f>IF('Monthly Summary'!AF251="",NA(),'Monthly Summary'!AF251)</f>
      </c>
      <c r="L252" s="74">
        <f>IF('Monthly Summary'!AG251="",NA(),'Monthly Summary'!AG251)</f>
      </c>
      <c r="M252" s="74">
        <f>IF('Monthly Summary'!AH251="",NA(),'Monthly Summary'!AH251)</f>
      </c>
      <c r="N252" s="74">
        <f>IF('Monthly Summary'!AI251="",NA(),'Monthly Summary'!AI251)</f>
      </c>
      <c r="O252" s="74">
        <f>IF('Monthly Summary'!AJ251="",NA(),'Monthly Summary'!AJ251)</f>
      </c>
      <c r="P252" s="74">
        <f>IF('Monthly Summary'!AK251="",NA(),'Monthly Summary'!AK251)</f>
      </c>
      <c r="Q252" s="74">
        <f>IF('Monthly Summary'!AL251="",NA(),'Monthly Summary'!AL251)</f>
      </c>
      <c r="R252" s="74">
        <f>IF('Monthly Summary'!AM251="",NA(),'Monthly Summary'!AM251)</f>
      </c>
      <c r="S252" s="74">
        <f>IF('Monthly Summary'!C251="",NA(),'Monthly Summary'!C251)</f>
      </c>
    </row>
    <row r="253" spans="1:19" x14ac:dyDescent="0.2">
      <c r="A253" s="73">
        <f>'Monthly Summary'!A252</f>
      </c>
      <c r="B253" s="74">
        <f>IF('Monthly Summary'!W252="",NA(),'Monthly Summary'!W252)</f>
      </c>
      <c r="C253" s="74">
        <f>IF('Monthly Summary'!X252="",NA(),'Monthly Summary'!X252)</f>
      </c>
      <c r="D253" s="74">
        <f>IF('Monthly Summary'!Y252="",NA(),'Monthly Summary'!Y252)</f>
      </c>
      <c r="E253" s="74">
        <f>IF('Monthly Summary'!Z252="",NA(),'Monthly Summary'!Z252)</f>
      </c>
      <c r="F253" s="74">
        <f>IF('Monthly Summary'!AA252="",NA(),'Monthly Summary'!AA252)</f>
      </c>
      <c r="G253" s="74">
        <f>IF('Monthly Summary'!AB252="",NA(),'Monthly Summary'!AB252)</f>
      </c>
      <c r="H253" s="74">
        <f>IF('Monthly Summary'!AC252="",NA(),'Monthly Summary'!AC252)</f>
      </c>
      <c r="I253" s="74">
        <f>IF('Monthly Summary'!AD252="",NA(),'Monthly Summary'!AD252)</f>
      </c>
      <c r="J253" s="74">
        <f>IF('Monthly Summary'!AE252="",NA(),'Monthly Summary'!AE252)</f>
      </c>
      <c r="K253" s="74">
        <f>IF('Monthly Summary'!AF252="",NA(),'Monthly Summary'!AF252)</f>
      </c>
      <c r="L253" s="74">
        <f>IF('Monthly Summary'!AG252="",NA(),'Monthly Summary'!AG252)</f>
      </c>
      <c r="M253" s="74">
        <f>IF('Monthly Summary'!AH252="",NA(),'Monthly Summary'!AH252)</f>
      </c>
      <c r="N253" s="74">
        <f>IF('Monthly Summary'!AI252="",NA(),'Monthly Summary'!AI252)</f>
      </c>
      <c r="O253" s="74">
        <f>IF('Monthly Summary'!AJ252="",NA(),'Monthly Summary'!AJ252)</f>
      </c>
      <c r="P253" s="74">
        <f>IF('Monthly Summary'!AK252="",NA(),'Monthly Summary'!AK252)</f>
      </c>
      <c r="Q253" s="74">
        <f>IF('Monthly Summary'!AL252="",NA(),'Monthly Summary'!AL252)</f>
      </c>
      <c r="R253" s="74">
        <f>IF('Monthly Summary'!AM252="",NA(),'Monthly Summary'!AM252)</f>
      </c>
      <c r="S253" s="74">
        <f>IF('Monthly Summary'!C252="",NA(),'Monthly Summary'!C252)</f>
      </c>
    </row>
    <row r="254" spans="1:19" x14ac:dyDescent="0.2">
      <c r="A254" s="73">
        <f>'Monthly Summary'!A253</f>
      </c>
      <c r="B254" s="74">
        <f>IF('Monthly Summary'!W253="",NA(),'Monthly Summary'!W253)</f>
      </c>
      <c r="C254" s="74">
        <f>IF('Monthly Summary'!X253="",NA(),'Monthly Summary'!X253)</f>
      </c>
      <c r="D254" s="74">
        <f>IF('Monthly Summary'!Y253="",NA(),'Monthly Summary'!Y253)</f>
      </c>
      <c r="E254" s="74">
        <f>IF('Monthly Summary'!Z253="",NA(),'Monthly Summary'!Z253)</f>
      </c>
      <c r="F254" s="74">
        <f>IF('Monthly Summary'!AA253="",NA(),'Monthly Summary'!AA253)</f>
      </c>
      <c r="G254" s="74">
        <f>IF('Monthly Summary'!AB253="",NA(),'Monthly Summary'!AB253)</f>
      </c>
      <c r="H254" s="74">
        <f>IF('Monthly Summary'!AC253="",NA(),'Monthly Summary'!AC253)</f>
      </c>
      <c r="I254" s="74">
        <f>IF('Monthly Summary'!AD253="",NA(),'Monthly Summary'!AD253)</f>
      </c>
      <c r="J254" s="74">
        <f>IF('Monthly Summary'!AE253="",NA(),'Monthly Summary'!AE253)</f>
      </c>
      <c r="K254" s="74">
        <f>IF('Monthly Summary'!AF253="",NA(),'Monthly Summary'!AF253)</f>
      </c>
      <c r="L254" s="74">
        <f>IF('Monthly Summary'!AG253="",NA(),'Monthly Summary'!AG253)</f>
      </c>
      <c r="M254" s="74">
        <f>IF('Monthly Summary'!AH253="",NA(),'Monthly Summary'!AH253)</f>
      </c>
      <c r="N254" s="74">
        <f>IF('Monthly Summary'!AI253="",NA(),'Monthly Summary'!AI253)</f>
      </c>
      <c r="O254" s="74">
        <f>IF('Monthly Summary'!AJ253="",NA(),'Monthly Summary'!AJ253)</f>
      </c>
      <c r="P254" s="74">
        <f>IF('Monthly Summary'!AK253="",NA(),'Monthly Summary'!AK253)</f>
      </c>
      <c r="Q254" s="74">
        <f>IF('Monthly Summary'!AL253="",NA(),'Monthly Summary'!AL253)</f>
      </c>
      <c r="R254" s="74">
        <f>IF('Monthly Summary'!AM253="",NA(),'Monthly Summary'!AM253)</f>
      </c>
      <c r="S254" s="74">
        <f>IF('Monthly Summary'!C253="",NA(),'Monthly Summary'!C253)</f>
      </c>
    </row>
    <row r="255" spans="1:19" x14ac:dyDescent="0.2">
      <c r="A255" s="73">
        <f>'Monthly Summary'!A254</f>
      </c>
      <c r="B255" s="74">
        <f>IF('Monthly Summary'!W254="",NA(),'Monthly Summary'!W254)</f>
      </c>
      <c r="C255" s="74">
        <f>IF('Monthly Summary'!X254="",NA(),'Monthly Summary'!X254)</f>
      </c>
      <c r="D255" s="74">
        <f>IF('Monthly Summary'!Y254="",NA(),'Monthly Summary'!Y254)</f>
      </c>
      <c r="E255" s="74">
        <f>IF('Monthly Summary'!Z254="",NA(),'Monthly Summary'!Z254)</f>
      </c>
      <c r="F255" s="74">
        <f>IF('Monthly Summary'!AA254="",NA(),'Monthly Summary'!AA254)</f>
      </c>
      <c r="G255" s="74">
        <f>IF('Monthly Summary'!AB254="",NA(),'Monthly Summary'!AB254)</f>
      </c>
      <c r="H255" s="74">
        <f>IF('Monthly Summary'!AC254="",NA(),'Monthly Summary'!AC254)</f>
      </c>
      <c r="I255" s="74">
        <f>IF('Monthly Summary'!AD254="",NA(),'Monthly Summary'!AD254)</f>
      </c>
      <c r="J255" s="74">
        <f>IF('Monthly Summary'!AE254="",NA(),'Monthly Summary'!AE254)</f>
      </c>
      <c r="K255" s="74">
        <f>IF('Monthly Summary'!AF254="",NA(),'Monthly Summary'!AF254)</f>
      </c>
      <c r="L255" s="74">
        <f>IF('Monthly Summary'!AG254="",NA(),'Monthly Summary'!AG254)</f>
      </c>
      <c r="M255" s="74">
        <f>IF('Monthly Summary'!AH254="",NA(),'Monthly Summary'!AH254)</f>
      </c>
      <c r="N255" s="74">
        <f>IF('Monthly Summary'!AI254="",NA(),'Monthly Summary'!AI254)</f>
      </c>
      <c r="O255" s="74">
        <f>IF('Monthly Summary'!AJ254="",NA(),'Monthly Summary'!AJ254)</f>
      </c>
      <c r="P255" s="74">
        <f>IF('Monthly Summary'!AK254="",NA(),'Monthly Summary'!AK254)</f>
      </c>
      <c r="Q255" s="74">
        <f>IF('Monthly Summary'!AL254="",NA(),'Monthly Summary'!AL254)</f>
      </c>
      <c r="R255" s="74">
        <f>IF('Monthly Summary'!AM254="",NA(),'Monthly Summary'!AM254)</f>
      </c>
      <c r="S255" s="74">
        <f>IF('Monthly Summary'!C254="",NA(),'Monthly Summary'!C254)</f>
      </c>
    </row>
    <row r="256" spans="1:19" x14ac:dyDescent="0.2">
      <c r="A256" s="73">
        <f>'Monthly Summary'!A255</f>
      </c>
      <c r="B256" s="74">
        <f>IF('Monthly Summary'!W255="",NA(),'Monthly Summary'!W255)</f>
      </c>
      <c r="C256" s="74">
        <f>IF('Monthly Summary'!X255="",NA(),'Monthly Summary'!X255)</f>
      </c>
      <c r="D256" s="74">
        <f>IF('Monthly Summary'!Y255="",NA(),'Monthly Summary'!Y255)</f>
      </c>
      <c r="E256" s="74">
        <f>IF('Monthly Summary'!Z255="",NA(),'Monthly Summary'!Z255)</f>
      </c>
      <c r="F256" s="74">
        <f>IF('Monthly Summary'!AA255="",NA(),'Monthly Summary'!AA255)</f>
      </c>
      <c r="G256" s="74">
        <f>IF('Monthly Summary'!AB255="",NA(),'Monthly Summary'!AB255)</f>
      </c>
      <c r="H256" s="74">
        <f>IF('Monthly Summary'!AC255="",NA(),'Monthly Summary'!AC255)</f>
      </c>
      <c r="I256" s="74">
        <f>IF('Monthly Summary'!AD255="",NA(),'Monthly Summary'!AD255)</f>
      </c>
      <c r="J256" s="74">
        <f>IF('Monthly Summary'!AE255="",NA(),'Monthly Summary'!AE255)</f>
      </c>
      <c r="K256" s="74">
        <f>IF('Monthly Summary'!AF255="",NA(),'Monthly Summary'!AF255)</f>
      </c>
      <c r="L256" s="74">
        <f>IF('Monthly Summary'!AG255="",NA(),'Monthly Summary'!AG255)</f>
      </c>
      <c r="M256" s="74">
        <f>IF('Monthly Summary'!AH255="",NA(),'Monthly Summary'!AH255)</f>
      </c>
      <c r="N256" s="74">
        <f>IF('Monthly Summary'!AI255="",NA(),'Monthly Summary'!AI255)</f>
      </c>
      <c r="O256" s="74">
        <f>IF('Monthly Summary'!AJ255="",NA(),'Monthly Summary'!AJ255)</f>
      </c>
      <c r="P256" s="74">
        <f>IF('Monthly Summary'!AK255="",NA(),'Monthly Summary'!AK255)</f>
      </c>
      <c r="Q256" s="74">
        <f>IF('Monthly Summary'!AL255="",NA(),'Monthly Summary'!AL255)</f>
      </c>
      <c r="R256" s="74">
        <f>IF('Monthly Summary'!AM255="",NA(),'Monthly Summary'!AM255)</f>
      </c>
      <c r="S256" s="74">
        <f>IF('Monthly Summary'!C255="",NA(),'Monthly Summary'!C255)</f>
      </c>
    </row>
    <row r="257" spans="1:19" x14ac:dyDescent="0.2">
      <c r="A257" s="73">
        <f>'Monthly Summary'!A256</f>
      </c>
      <c r="B257" s="74">
        <f>IF('Monthly Summary'!W256="",NA(),'Monthly Summary'!W256)</f>
      </c>
      <c r="C257" s="74">
        <f>IF('Monthly Summary'!X256="",NA(),'Monthly Summary'!X256)</f>
      </c>
      <c r="D257" s="74">
        <f>IF('Monthly Summary'!Y256="",NA(),'Monthly Summary'!Y256)</f>
      </c>
      <c r="E257" s="74">
        <f>IF('Monthly Summary'!Z256="",NA(),'Monthly Summary'!Z256)</f>
      </c>
      <c r="F257" s="74">
        <f>IF('Monthly Summary'!AA256="",NA(),'Monthly Summary'!AA256)</f>
      </c>
      <c r="G257" s="74">
        <f>IF('Monthly Summary'!AB256="",NA(),'Monthly Summary'!AB256)</f>
      </c>
      <c r="H257" s="74">
        <f>IF('Monthly Summary'!AC256="",NA(),'Monthly Summary'!AC256)</f>
      </c>
      <c r="I257" s="74">
        <f>IF('Monthly Summary'!AD256="",NA(),'Monthly Summary'!AD256)</f>
      </c>
      <c r="J257" s="74">
        <f>IF('Monthly Summary'!AE256="",NA(),'Monthly Summary'!AE256)</f>
      </c>
      <c r="K257" s="74">
        <f>IF('Monthly Summary'!AF256="",NA(),'Monthly Summary'!AF256)</f>
      </c>
      <c r="L257" s="74">
        <f>IF('Monthly Summary'!AG256="",NA(),'Monthly Summary'!AG256)</f>
      </c>
      <c r="M257" s="74">
        <f>IF('Monthly Summary'!AH256="",NA(),'Monthly Summary'!AH256)</f>
      </c>
      <c r="N257" s="74">
        <f>IF('Monthly Summary'!AI256="",NA(),'Monthly Summary'!AI256)</f>
      </c>
      <c r="O257" s="74">
        <f>IF('Monthly Summary'!AJ256="",NA(),'Monthly Summary'!AJ256)</f>
      </c>
      <c r="P257" s="74">
        <f>IF('Monthly Summary'!AK256="",NA(),'Monthly Summary'!AK256)</f>
      </c>
      <c r="Q257" s="74">
        <f>IF('Monthly Summary'!AL256="",NA(),'Monthly Summary'!AL256)</f>
      </c>
      <c r="R257" s="74">
        <f>IF('Monthly Summary'!AM256="",NA(),'Monthly Summary'!AM256)</f>
      </c>
      <c r="S257" s="74">
        <f>IF('Monthly Summary'!C256="",NA(),'Monthly Summary'!C256)</f>
      </c>
    </row>
    <row r="258" spans="1:19" x14ac:dyDescent="0.2">
      <c r="A258" s="73">
        <f>'Monthly Summary'!A257</f>
      </c>
      <c r="B258" s="74">
        <f>IF('Monthly Summary'!W257="",NA(),'Monthly Summary'!W257)</f>
      </c>
      <c r="C258" s="74">
        <f>IF('Monthly Summary'!X257="",NA(),'Monthly Summary'!X257)</f>
      </c>
      <c r="D258" s="74">
        <f>IF('Monthly Summary'!Y257="",NA(),'Monthly Summary'!Y257)</f>
      </c>
      <c r="E258" s="74">
        <f>IF('Monthly Summary'!Z257="",NA(),'Monthly Summary'!Z257)</f>
      </c>
      <c r="F258" s="74">
        <f>IF('Monthly Summary'!AA257="",NA(),'Monthly Summary'!AA257)</f>
      </c>
      <c r="G258" s="74">
        <f>IF('Monthly Summary'!AB257="",NA(),'Monthly Summary'!AB257)</f>
      </c>
      <c r="H258" s="74">
        <f>IF('Monthly Summary'!AC257="",NA(),'Monthly Summary'!AC257)</f>
      </c>
      <c r="I258" s="74">
        <f>IF('Monthly Summary'!AD257="",NA(),'Monthly Summary'!AD257)</f>
      </c>
      <c r="J258" s="74">
        <f>IF('Monthly Summary'!AE257="",NA(),'Monthly Summary'!AE257)</f>
      </c>
      <c r="K258" s="74">
        <f>IF('Monthly Summary'!AF257="",NA(),'Monthly Summary'!AF257)</f>
      </c>
      <c r="L258" s="74">
        <f>IF('Monthly Summary'!AG257="",NA(),'Monthly Summary'!AG257)</f>
      </c>
      <c r="M258" s="74">
        <f>IF('Monthly Summary'!AH257="",NA(),'Monthly Summary'!AH257)</f>
      </c>
      <c r="N258" s="74">
        <f>IF('Monthly Summary'!AI257="",NA(),'Monthly Summary'!AI257)</f>
      </c>
      <c r="O258" s="74">
        <f>IF('Monthly Summary'!AJ257="",NA(),'Monthly Summary'!AJ257)</f>
      </c>
      <c r="P258" s="74">
        <f>IF('Monthly Summary'!AK257="",NA(),'Monthly Summary'!AK257)</f>
      </c>
      <c r="Q258" s="74">
        <f>IF('Monthly Summary'!AL257="",NA(),'Monthly Summary'!AL257)</f>
      </c>
      <c r="R258" s="74">
        <f>IF('Monthly Summary'!AM257="",NA(),'Monthly Summary'!AM257)</f>
      </c>
      <c r="S258" s="74">
        <f>IF('Monthly Summary'!C257="",NA(),'Monthly Summary'!C257)</f>
      </c>
    </row>
    <row r="259" spans="1:19" x14ac:dyDescent="0.2">
      <c r="A259" s="73">
        <f>'Monthly Summary'!A258</f>
      </c>
      <c r="B259" s="74">
        <f>IF('Monthly Summary'!W258="",NA(),'Monthly Summary'!W258)</f>
      </c>
      <c r="C259" s="74">
        <f>IF('Monthly Summary'!X258="",NA(),'Monthly Summary'!X258)</f>
      </c>
      <c r="D259" s="74">
        <f>IF('Monthly Summary'!Y258="",NA(),'Monthly Summary'!Y258)</f>
      </c>
      <c r="E259" s="74">
        <f>IF('Monthly Summary'!Z258="",NA(),'Monthly Summary'!Z258)</f>
      </c>
      <c r="F259" s="74">
        <f>IF('Monthly Summary'!AA258="",NA(),'Monthly Summary'!AA258)</f>
      </c>
      <c r="G259" s="74">
        <f>IF('Monthly Summary'!AB258="",NA(),'Monthly Summary'!AB258)</f>
      </c>
      <c r="H259" s="74">
        <f>IF('Monthly Summary'!AC258="",NA(),'Monthly Summary'!AC258)</f>
      </c>
      <c r="I259" s="74">
        <f>IF('Monthly Summary'!AD258="",NA(),'Monthly Summary'!AD258)</f>
      </c>
      <c r="J259" s="74">
        <f>IF('Monthly Summary'!AE258="",NA(),'Monthly Summary'!AE258)</f>
      </c>
      <c r="K259" s="74">
        <f>IF('Monthly Summary'!AF258="",NA(),'Monthly Summary'!AF258)</f>
      </c>
      <c r="L259" s="74">
        <f>IF('Monthly Summary'!AG258="",NA(),'Monthly Summary'!AG258)</f>
      </c>
      <c r="M259" s="74">
        <f>IF('Monthly Summary'!AH258="",NA(),'Monthly Summary'!AH258)</f>
      </c>
      <c r="N259" s="74">
        <f>IF('Monthly Summary'!AI258="",NA(),'Monthly Summary'!AI258)</f>
      </c>
      <c r="O259" s="74">
        <f>IF('Monthly Summary'!AJ258="",NA(),'Monthly Summary'!AJ258)</f>
      </c>
      <c r="P259" s="74">
        <f>IF('Monthly Summary'!AK258="",NA(),'Monthly Summary'!AK258)</f>
      </c>
      <c r="Q259" s="74">
        <f>IF('Monthly Summary'!AL258="",NA(),'Monthly Summary'!AL258)</f>
      </c>
      <c r="R259" s="74">
        <f>IF('Monthly Summary'!AM258="",NA(),'Monthly Summary'!AM258)</f>
      </c>
      <c r="S259" s="74">
        <f>IF('Monthly Summary'!C258="",NA(),'Monthly Summary'!C258)</f>
      </c>
    </row>
    <row r="260" spans="1:19" x14ac:dyDescent="0.2">
      <c r="A260" s="73">
        <f>'Monthly Summary'!A259</f>
      </c>
      <c r="B260" s="74">
        <f>IF('Monthly Summary'!W259="",NA(),'Monthly Summary'!W259)</f>
      </c>
      <c r="C260" s="74">
        <f>IF('Monthly Summary'!X259="",NA(),'Monthly Summary'!X259)</f>
      </c>
      <c r="D260" s="74">
        <f>IF('Monthly Summary'!Y259="",NA(),'Monthly Summary'!Y259)</f>
      </c>
      <c r="E260" s="74">
        <f>IF('Monthly Summary'!Z259="",NA(),'Monthly Summary'!Z259)</f>
      </c>
      <c r="F260" s="74">
        <f>IF('Monthly Summary'!AA259="",NA(),'Monthly Summary'!AA259)</f>
      </c>
      <c r="G260" s="74">
        <f>IF('Monthly Summary'!AB259="",NA(),'Monthly Summary'!AB259)</f>
      </c>
      <c r="H260" s="74">
        <f>IF('Monthly Summary'!AC259="",NA(),'Monthly Summary'!AC259)</f>
      </c>
      <c r="I260" s="74">
        <f>IF('Monthly Summary'!AD259="",NA(),'Monthly Summary'!AD259)</f>
      </c>
      <c r="J260" s="74">
        <f>IF('Monthly Summary'!AE259="",NA(),'Monthly Summary'!AE259)</f>
      </c>
      <c r="K260" s="74">
        <f>IF('Monthly Summary'!AF259="",NA(),'Monthly Summary'!AF259)</f>
      </c>
      <c r="L260" s="74">
        <f>IF('Monthly Summary'!AG259="",NA(),'Monthly Summary'!AG259)</f>
      </c>
      <c r="M260" s="74">
        <f>IF('Monthly Summary'!AH259="",NA(),'Monthly Summary'!AH259)</f>
      </c>
      <c r="N260" s="74">
        <f>IF('Monthly Summary'!AI259="",NA(),'Monthly Summary'!AI259)</f>
      </c>
      <c r="O260" s="74">
        <f>IF('Monthly Summary'!AJ259="",NA(),'Monthly Summary'!AJ259)</f>
      </c>
      <c r="P260" s="74">
        <f>IF('Monthly Summary'!AK259="",NA(),'Monthly Summary'!AK259)</f>
      </c>
      <c r="Q260" s="74">
        <f>IF('Monthly Summary'!AL259="",NA(),'Monthly Summary'!AL259)</f>
      </c>
      <c r="R260" s="74">
        <f>IF('Monthly Summary'!AM259="",NA(),'Monthly Summary'!AM259)</f>
      </c>
      <c r="S260" s="74">
        <f>IF('Monthly Summary'!C259="",NA(),'Monthly Summary'!C259)</f>
      </c>
    </row>
    <row r="261" spans="1:19" x14ac:dyDescent="0.2">
      <c r="A261" s="73">
        <f>'Monthly Summary'!A260</f>
      </c>
      <c r="B261" s="74">
        <f>IF('Monthly Summary'!W260="",NA(),'Monthly Summary'!W260)</f>
      </c>
      <c r="C261" s="74">
        <f>IF('Monthly Summary'!X260="",NA(),'Monthly Summary'!X260)</f>
      </c>
      <c r="D261" s="74">
        <f>IF('Monthly Summary'!Y260="",NA(),'Monthly Summary'!Y260)</f>
      </c>
      <c r="E261" s="74">
        <f>IF('Monthly Summary'!Z260="",NA(),'Monthly Summary'!Z260)</f>
      </c>
      <c r="F261" s="74">
        <f>IF('Monthly Summary'!AA260="",NA(),'Monthly Summary'!AA260)</f>
      </c>
      <c r="G261" s="74">
        <f>IF('Monthly Summary'!AB260="",NA(),'Monthly Summary'!AB260)</f>
      </c>
      <c r="H261" s="74">
        <f>IF('Monthly Summary'!AC260="",NA(),'Monthly Summary'!AC260)</f>
      </c>
      <c r="I261" s="74">
        <f>IF('Monthly Summary'!AD260="",NA(),'Monthly Summary'!AD260)</f>
      </c>
      <c r="J261" s="74">
        <f>IF('Monthly Summary'!AE260="",NA(),'Monthly Summary'!AE260)</f>
      </c>
      <c r="K261" s="74">
        <f>IF('Monthly Summary'!AF260="",NA(),'Monthly Summary'!AF260)</f>
      </c>
      <c r="L261" s="74">
        <f>IF('Monthly Summary'!AG260="",NA(),'Monthly Summary'!AG260)</f>
      </c>
      <c r="M261" s="74">
        <f>IF('Monthly Summary'!AH260="",NA(),'Monthly Summary'!AH260)</f>
      </c>
      <c r="N261" s="74">
        <f>IF('Monthly Summary'!AI260="",NA(),'Monthly Summary'!AI260)</f>
      </c>
      <c r="O261" s="74">
        <f>IF('Monthly Summary'!AJ260="",NA(),'Monthly Summary'!AJ260)</f>
      </c>
      <c r="P261" s="74">
        <f>IF('Monthly Summary'!AK260="",NA(),'Monthly Summary'!AK260)</f>
      </c>
      <c r="Q261" s="74">
        <f>IF('Monthly Summary'!AL260="",NA(),'Monthly Summary'!AL260)</f>
      </c>
      <c r="R261" s="74">
        <f>IF('Monthly Summary'!AM260="",NA(),'Monthly Summary'!AM260)</f>
      </c>
      <c r="S261" s="74">
        <f>IF('Monthly Summary'!C260="",NA(),'Monthly Summary'!C260)</f>
      </c>
    </row>
    <row r="262" spans="1:19" x14ac:dyDescent="0.2">
      <c r="A262" s="73">
        <f>'Monthly Summary'!A261</f>
      </c>
      <c r="B262" s="74">
        <f>IF('Monthly Summary'!W261="",NA(),'Monthly Summary'!W261)</f>
      </c>
      <c r="C262" s="74">
        <f>IF('Monthly Summary'!X261="",NA(),'Monthly Summary'!X261)</f>
      </c>
      <c r="D262" s="74">
        <f>IF('Monthly Summary'!Y261="",NA(),'Monthly Summary'!Y261)</f>
      </c>
      <c r="E262" s="74">
        <f>IF('Monthly Summary'!Z261="",NA(),'Monthly Summary'!Z261)</f>
      </c>
      <c r="F262" s="74">
        <f>IF('Monthly Summary'!AA261="",NA(),'Monthly Summary'!AA261)</f>
      </c>
      <c r="G262" s="74">
        <f>IF('Monthly Summary'!AB261="",NA(),'Monthly Summary'!AB261)</f>
      </c>
      <c r="H262" s="74">
        <f>IF('Monthly Summary'!AC261="",NA(),'Monthly Summary'!AC261)</f>
      </c>
      <c r="I262" s="74">
        <f>IF('Monthly Summary'!AD261="",NA(),'Monthly Summary'!AD261)</f>
      </c>
      <c r="J262" s="74">
        <f>IF('Monthly Summary'!AE261="",NA(),'Monthly Summary'!AE261)</f>
      </c>
      <c r="K262" s="74">
        <f>IF('Monthly Summary'!AF261="",NA(),'Monthly Summary'!AF261)</f>
      </c>
      <c r="L262" s="74">
        <f>IF('Monthly Summary'!AG261="",NA(),'Monthly Summary'!AG261)</f>
      </c>
      <c r="M262" s="74">
        <f>IF('Monthly Summary'!AH261="",NA(),'Monthly Summary'!AH261)</f>
      </c>
      <c r="N262" s="74">
        <f>IF('Monthly Summary'!AI261="",NA(),'Monthly Summary'!AI261)</f>
      </c>
      <c r="O262" s="74">
        <f>IF('Monthly Summary'!AJ261="",NA(),'Monthly Summary'!AJ261)</f>
      </c>
      <c r="P262" s="74">
        <f>IF('Monthly Summary'!AK261="",NA(),'Monthly Summary'!AK261)</f>
      </c>
      <c r="Q262" s="74">
        <f>IF('Monthly Summary'!AL261="",NA(),'Monthly Summary'!AL261)</f>
      </c>
      <c r="R262" s="74">
        <f>IF('Monthly Summary'!AM261="",NA(),'Monthly Summary'!AM261)</f>
      </c>
      <c r="S262" s="74">
        <f>IF('Monthly Summary'!C261="",NA(),'Monthly Summary'!C261)</f>
      </c>
    </row>
    <row r="263" spans="1:19" x14ac:dyDescent="0.2">
      <c r="A263" s="73">
        <f>'Monthly Summary'!A262</f>
      </c>
      <c r="B263" s="74">
        <f>IF('Monthly Summary'!W262="",NA(),'Monthly Summary'!W262)</f>
      </c>
      <c r="C263" s="74">
        <f>IF('Monthly Summary'!X262="",NA(),'Monthly Summary'!X262)</f>
      </c>
      <c r="D263" s="74">
        <f>IF('Monthly Summary'!Y262="",NA(),'Monthly Summary'!Y262)</f>
      </c>
      <c r="E263" s="74">
        <f>IF('Monthly Summary'!Z262="",NA(),'Monthly Summary'!Z262)</f>
      </c>
      <c r="F263" s="74">
        <f>IF('Monthly Summary'!AA262="",NA(),'Monthly Summary'!AA262)</f>
      </c>
      <c r="G263" s="74">
        <f>IF('Monthly Summary'!AB262="",NA(),'Monthly Summary'!AB262)</f>
      </c>
      <c r="H263" s="74">
        <f>IF('Monthly Summary'!AC262="",NA(),'Monthly Summary'!AC262)</f>
      </c>
      <c r="I263" s="74">
        <f>IF('Monthly Summary'!AD262="",NA(),'Monthly Summary'!AD262)</f>
      </c>
      <c r="J263" s="74">
        <f>IF('Monthly Summary'!AE262="",NA(),'Monthly Summary'!AE262)</f>
      </c>
      <c r="K263" s="74">
        <f>IF('Monthly Summary'!AF262="",NA(),'Monthly Summary'!AF262)</f>
      </c>
      <c r="L263" s="74">
        <f>IF('Monthly Summary'!AG262="",NA(),'Monthly Summary'!AG262)</f>
      </c>
      <c r="M263" s="74">
        <f>IF('Monthly Summary'!AH262="",NA(),'Monthly Summary'!AH262)</f>
      </c>
      <c r="N263" s="74">
        <f>IF('Monthly Summary'!AI262="",NA(),'Monthly Summary'!AI262)</f>
      </c>
      <c r="O263" s="74">
        <f>IF('Monthly Summary'!AJ262="",NA(),'Monthly Summary'!AJ262)</f>
      </c>
      <c r="P263" s="74">
        <f>IF('Monthly Summary'!AK262="",NA(),'Monthly Summary'!AK262)</f>
      </c>
      <c r="Q263" s="74">
        <f>IF('Monthly Summary'!AL262="",NA(),'Monthly Summary'!AL262)</f>
      </c>
      <c r="R263" s="74">
        <f>IF('Monthly Summary'!AM262="",NA(),'Monthly Summary'!AM262)</f>
      </c>
      <c r="S263" s="74">
        <f>IF('Monthly Summary'!C262="",NA(),'Monthly Summary'!C262)</f>
      </c>
    </row>
    <row r="264" spans="1:19" x14ac:dyDescent="0.2">
      <c r="A264" s="73">
        <f>'Monthly Summary'!A263</f>
      </c>
      <c r="B264" s="74">
        <f>IF('Monthly Summary'!W263="",NA(),'Monthly Summary'!W263)</f>
      </c>
      <c r="C264" s="74">
        <f>IF('Monthly Summary'!X263="",NA(),'Monthly Summary'!X263)</f>
      </c>
      <c r="D264" s="74">
        <f>IF('Monthly Summary'!Y263="",NA(),'Monthly Summary'!Y263)</f>
      </c>
      <c r="E264" s="74">
        <f>IF('Monthly Summary'!Z263="",NA(),'Monthly Summary'!Z263)</f>
      </c>
      <c r="F264" s="74">
        <f>IF('Monthly Summary'!AA263="",NA(),'Monthly Summary'!AA263)</f>
      </c>
      <c r="G264" s="74">
        <f>IF('Monthly Summary'!AB263="",NA(),'Monthly Summary'!AB263)</f>
      </c>
      <c r="H264" s="74">
        <f>IF('Monthly Summary'!AC263="",NA(),'Monthly Summary'!AC263)</f>
      </c>
      <c r="I264" s="74">
        <f>IF('Monthly Summary'!AD263="",NA(),'Monthly Summary'!AD263)</f>
      </c>
      <c r="J264" s="74">
        <f>IF('Monthly Summary'!AE263="",NA(),'Monthly Summary'!AE263)</f>
      </c>
      <c r="K264" s="74">
        <f>IF('Monthly Summary'!AF263="",NA(),'Monthly Summary'!AF263)</f>
      </c>
      <c r="L264" s="74">
        <f>IF('Monthly Summary'!AG263="",NA(),'Monthly Summary'!AG263)</f>
      </c>
      <c r="M264" s="74">
        <f>IF('Monthly Summary'!AH263="",NA(),'Monthly Summary'!AH263)</f>
      </c>
      <c r="N264" s="74">
        <f>IF('Monthly Summary'!AI263="",NA(),'Monthly Summary'!AI263)</f>
      </c>
      <c r="O264" s="74">
        <f>IF('Monthly Summary'!AJ263="",NA(),'Monthly Summary'!AJ263)</f>
      </c>
      <c r="P264" s="74">
        <f>IF('Monthly Summary'!AK263="",NA(),'Monthly Summary'!AK263)</f>
      </c>
      <c r="Q264" s="74">
        <f>IF('Monthly Summary'!AL263="",NA(),'Monthly Summary'!AL263)</f>
      </c>
      <c r="R264" s="74">
        <f>IF('Monthly Summary'!AM263="",NA(),'Monthly Summary'!AM263)</f>
      </c>
      <c r="S264" s="74">
        <f>IF('Monthly Summary'!C263="",NA(),'Monthly Summary'!C263)</f>
      </c>
    </row>
    <row r="265" spans="1:19" x14ac:dyDescent="0.2">
      <c r="A265" s="73">
        <f>'Monthly Summary'!A264</f>
      </c>
      <c r="B265" s="74">
        <f>IF('Monthly Summary'!W264="",NA(),'Monthly Summary'!W264)</f>
      </c>
      <c r="C265" s="74">
        <f>IF('Monthly Summary'!X264="",NA(),'Monthly Summary'!X264)</f>
      </c>
      <c r="D265" s="74">
        <f>IF('Monthly Summary'!Y264="",NA(),'Monthly Summary'!Y264)</f>
      </c>
      <c r="E265" s="74">
        <f>IF('Monthly Summary'!Z264="",NA(),'Monthly Summary'!Z264)</f>
      </c>
      <c r="F265" s="74">
        <f>IF('Monthly Summary'!AA264="",NA(),'Monthly Summary'!AA264)</f>
      </c>
      <c r="G265" s="74">
        <f>IF('Monthly Summary'!AB264="",NA(),'Monthly Summary'!AB264)</f>
      </c>
      <c r="H265" s="74">
        <f>IF('Monthly Summary'!AC264="",NA(),'Monthly Summary'!AC264)</f>
      </c>
      <c r="I265" s="74">
        <f>IF('Monthly Summary'!AD264="",NA(),'Monthly Summary'!AD264)</f>
      </c>
      <c r="J265" s="74">
        <f>IF('Monthly Summary'!AE264="",NA(),'Monthly Summary'!AE264)</f>
      </c>
      <c r="K265" s="74">
        <f>IF('Monthly Summary'!AF264="",NA(),'Monthly Summary'!AF264)</f>
      </c>
      <c r="L265" s="74">
        <f>IF('Monthly Summary'!AG264="",NA(),'Monthly Summary'!AG264)</f>
      </c>
      <c r="M265" s="74">
        <f>IF('Monthly Summary'!AH264="",NA(),'Monthly Summary'!AH264)</f>
      </c>
      <c r="N265" s="74">
        <f>IF('Monthly Summary'!AI264="",NA(),'Monthly Summary'!AI264)</f>
      </c>
      <c r="O265" s="74">
        <f>IF('Monthly Summary'!AJ264="",NA(),'Monthly Summary'!AJ264)</f>
      </c>
      <c r="P265" s="74">
        <f>IF('Monthly Summary'!AK264="",NA(),'Monthly Summary'!AK264)</f>
      </c>
      <c r="Q265" s="74">
        <f>IF('Monthly Summary'!AL264="",NA(),'Monthly Summary'!AL264)</f>
      </c>
      <c r="R265" s="74">
        <f>IF('Monthly Summary'!AM264="",NA(),'Monthly Summary'!AM264)</f>
      </c>
      <c r="S265" s="74">
        <f>IF('Monthly Summary'!C264="",NA(),'Monthly Summary'!C264)</f>
      </c>
    </row>
    <row r="266" spans="1:19" x14ac:dyDescent="0.2">
      <c r="A266" s="73">
        <f>'Monthly Summary'!A265</f>
      </c>
      <c r="B266" s="74">
        <f>IF('Monthly Summary'!W265="",NA(),'Monthly Summary'!W265)</f>
      </c>
      <c r="C266" s="74">
        <f>IF('Monthly Summary'!X265="",NA(),'Monthly Summary'!X265)</f>
      </c>
      <c r="D266" s="74">
        <f>IF('Monthly Summary'!Y265="",NA(),'Monthly Summary'!Y265)</f>
      </c>
      <c r="E266" s="74">
        <f>IF('Monthly Summary'!Z265="",NA(),'Monthly Summary'!Z265)</f>
      </c>
      <c r="F266" s="74">
        <f>IF('Monthly Summary'!AA265="",NA(),'Monthly Summary'!AA265)</f>
      </c>
      <c r="G266" s="74">
        <f>IF('Monthly Summary'!AB265="",NA(),'Monthly Summary'!AB265)</f>
      </c>
      <c r="H266" s="74">
        <f>IF('Monthly Summary'!AC265="",NA(),'Monthly Summary'!AC265)</f>
      </c>
      <c r="I266" s="74">
        <f>IF('Monthly Summary'!AD265="",NA(),'Monthly Summary'!AD265)</f>
      </c>
      <c r="J266" s="74">
        <f>IF('Monthly Summary'!AE265="",NA(),'Monthly Summary'!AE265)</f>
      </c>
      <c r="K266" s="74">
        <f>IF('Monthly Summary'!AF265="",NA(),'Monthly Summary'!AF265)</f>
      </c>
      <c r="L266" s="74">
        <f>IF('Monthly Summary'!AG265="",NA(),'Monthly Summary'!AG265)</f>
      </c>
      <c r="M266" s="74">
        <f>IF('Monthly Summary'!AH265="",NA(),'Monthly Summary'!AH265)</f>
      </c>
      <c r="N266" s="74">
        <f>IF('Monthly Summary'!AI265="",NA(),'Monthly Summary'!AI265)</f>
      </c>
      <c r="O266" s="74">
        <f>IF('Monthly Summary'!AJ265="",NA(),'Monthly Summary'!AJ265)</f>
      </c>
      <c r="P266" s="74">
        <f>IF('Monthly Summary'!AK265="",NA(),'Monthly Summary'!AK265)</f>
      </c>
      <c r="Q266" s="74">
        <f>IF('Monthly Summary'!AL265="",NA(),'Monthly Summary'!AL265)</f>
      </c>
      <c r="R266" s="74">
        <f>IF('Monthly Summary'!AM265="",NA(),'Monthly Summary'!AM265)</f>
      </c>
      <c r="S266" s="74">
        <f>IF('Monthly Summary'!C265="",NA(),'Monthly Summary'!C265)</f>
      </c>
    </row>
    <row r="267" spans="1:19" x14ac:dyDescent="0.2">
      <c r="A267" s="73">
        <f>'Monthly Summary'!A266</f>
      </c>
      <c r="B267" s="74">
        <f>IF('Monthly Summary'!W266="",NA(),'Monthly Summary'!W266)</f>
      </c>
      <c r="C267" s="74">
        <f>IF('Monthly Summary'!X266="",NA(),'Monthly Summary'!X266)</f>
      </c>
      <c r="D267" s="74">
        <f>IF('Monthly Summary'!Y266="",NA(),'Monthly Summary'!Y266)</f>
      </c>
      <c r="E267" s="74">
        <f>IF('Monthly Summary'!Z266="",NA(),'Monthly Summary'!Z266)</f>
      </c>
      <c r="F267" s="74">
        <f>IF('Monthly Summary'!AA266="",NA(),'Monthly Summary'!AA266)</f>
      </c>
      <c r="G267" s="74">
        <f>IF('Monthly Summary'!AB266="",NA(),'Monthly Summary'!AB266)</f>
      </c>
      <c r="H267" s="74">
        <f>IF('Monthly Summary'!AC266="",NA(),'Monthly Summary'!AC266)</f>
      </c>
      <c r="I267" s="74">
        <f>IF('Monthly Summary'!AD266="",NA(),'Monthly Summary'!AD266)</f>
      </c>
      <c r="J267" s="74">
        <f>IF('Monthly Summary'!AE266="",NA(),'Monthly Summary'!AE266)</f>
      </c>
      <c r="K267" s="74">
        <f>IF('Monthly Summary'!AF266="",NA(),'Monthly Summary'!AF266)</f>
      </c>
      <c r="L267" s="74">
        <f>IF('Monthly Summary'!AG266="",NA(),'Monthly Summary'!AG266)</f>
      </c>
      <c r="M267" s="74">
        <f>IF('Monthly Summary'!AH266="",NA(),'Monthly Summary'!AH266)</f>
      </c>
      <c r="N267" s="74">
        <f>IF('Monthly Summary'!AI266="",NA(),'Monthly Summary'!AI266)</f>
      </c>
      <c r="O267" s="74">
        <f>IF('Monthly Summary'!AJ266="",NA(),'Monthly Summary'!AJ266)</f>
      </c>
      <c r="P267" s="74">
        <f>IF('Monthly Summary'!AK266="",NA(),'Monthly Summary'!AK266)</f>
      </c>
      <c r="Q267" s="74">
        <f>IF('Monthly Summary'!AL266="",NA(),'Monthly Summary'!AL266)</f>
      </c>
      <c r="R267" s="74">
        <f>IF('Monthly Summary'!AM266="",NA(),'Monthly Summary'!AM266)</f>
      </c>
      <c r="S267" s="74">
        <f>IF('Monthly Summary'!C266="",NA(),'Monthly Summary'!C266)</f>
      </c>
    </row>
    <row r="268" spans="1:19" x14ac:dyDescent="0.2">
      <c r="A268" s="73">
        <f>'Monthly Summary'!A267</f>
      </c>
      <c r="B268" s="74">
        <f>IF('Monthly Summary'!W267="",NA(),'Monthly Summary'!W267)</f>
      </c>
      <c r="C268" s="74">
        <f>IF('Monthly Summary'!X267="",NA(),'Monthly Summary'!X267)</f>
      </c>
      <c r="D268" s="74">
        <f>IF('Monthly Summary'!Y267="",NA(),'Monthly Summary'!Y267)</f>
      </c>
      <c r="E268" s="74">
        <f>IF('Monthly Summary'!Z267="",NA(),'Monthly Summary'!Z267)</f>
      </c>
      <c r="F268" s="74">
        <f>IF('Monthly Summary'!AA267="",NA(),'Monthly Summary'!AA267)</f>
      </c>
      <c r="G268" s="74">
        <f>IF('Monthly Summary'!AB267="",NA(),'Monthly Summary'!AB267)</f>
      </c>
      <c r="H268" s="74">
        <f>IF('Monthly Summary'!AC267="",NA(),'Monthly Summary'!AC267)</f>
      </c>
      <c r="I268" s="74">
        <f>IF('Monthly Summary'!AD267="",NA(),'Monthly Summary'!AD267)</f>
      </c>
      <c r="J268" s="74">
        <f>IF('Monthly Summary'!AE267="",NA(),'Monthly Summary'!AE267)</f>
      </c>
      <c r="K268" s="74">
        <f>IF('Monthly Summary'!AF267="",NA(),'Monthly Summary'!AF267)</f>
      </c>
      <c r="L268" s="74">
        <f>IF('Monthly Summary'!AG267="",NA(),'Monthly Summary'!AG267)</f>
      </c>
      <c r="M268" s="74">
        <f>IF('Monthly Summary'!AH267="",NA(),'Monthly Summary'!AH267)</f>
      </c>
      <c r="N268" s="74">
        <f>IF('Monthly Summary'!AI267="",NA(),'Monthly Summary'!AI267)</f>
      </c>
      <c r="O268" s="74">
        <f>IF('Monthly Summary'!AJ267="",NA(),'Monthly Summary'!AJ267)</f>
      </c>
      <c r="P268" s="74">
        <f>IF('Monthly Summary'!AK267="",NA(),'Monthly Summary'!AK267)</f>
      </c>
      <c r="Q268" s="74">
        <f>IF('Monthly Summary'!AL267="",NA(),'Monthly Summary'!AL267)</f>
      </c>
      <c r="R268" s="74">
        <f>IF('Monthly Summary'!AM267="",NA(),'Monthly Summary'!AM267)</f>
      </c>
      <c r="S268" s="74">
        <f>IF('Monthly Summary'!C267="",NA(),'Monthly Summary'!C267)</f>
      </c>
    </row>
    <row r="269" spans="1:19" x14ac:dyDescent="0.2">
      <c r="A269" s="73">
        <f>'Monthly Summary'!A268</f>
      </c>
      <c r="B269" s="74">
        <f>IF('Monthly Summary'!W268="",NA(),'Monthly Summary'!W268)</f>
      </c>
      <c r="C269" s="74">
        <f>IF('Monthly Summary'!X268="",NA(),'Monthly Summary'!X268)</f>
      </c>
      <c r="D269" s="74">
        <f>IF('Monthly Summary'!Y268="",NA(),'Monthly Summary'!Y268)</f>
      </c>
      <c r="E269" s="74">
        <f>IF('Monthly Summary'!Z268="",NA(),'Monthly Summary'!Z268)</f>
      </c>
      <c r="F269" s="74">
        <f>IF('Monthly Summary'!AA268="",NA(),'Monthly Summary'!AA268)</f>
      </c>
      <c r="G269" s="74">
        <f>IF('Monthly Summary'!AB268="",NA(),'Monthly Summary'!AB268)</f>
      </c>
      <c r="H269" s="74">
        <f>IF('Monthly Summary'!AC268="",NA(),'Monthly Summary'!AC268)</f>
      </c>
      <c r="I269" s="74">
        <f>IF('Monthly Summary'!AD268="",NA(),'Monthly Summary'!AD268)</f>
      </c>
      <c r="J269" s="74">
        <f>IF('Monthly Summary'!AE268="",NA(),'Monthly Summary'!AE268)</f>
      </c>
      <c r="K269" s="74">
        <f>IF('Monthly Summary'!AF268="",NA(),'Monthly Summary'!AF268)</f>
      </c>
      <c r="L269" s="74">
        <f>IF('Monthly Summary'!AG268="",NA(),'Monthly Summary'!AG268)</f>
      </c>
      <c r="M269" s="74">
        <f>IF('Monthly Summary'!AH268="",NA(),'Monthly Summary'!AH268)</f>
      </c>
      <c r="N269" s="74">
        <f>IF('Monthly Summary'!AI268="",NA(),'Monthly Summary'!AI268)</f>
      </c>
      <c r="O269" s="74">
        <f>IF('Monthly Summary'!AJ268="",NA(),'Monthly Summary'!AJ268)</f>
      </c>
      <c r="P269" s="74">
        <f>IF('Monthly Summary'!AK268="",NA(),'Monthly Summary'!AK268)</f>
      </c>
      <c r="Q269" s="74">
        <f>IF('Monthly Summary'!AL268="",NA(),'Monthly Summary'!AL268)</f>
      </c>
      <c r="R269" s="74">
        <f>IF('Monthly Summary'!AM268="",NA(),'Monthly Summary'!AM268)</f>
      </c>
      <c r="S269" s="74">
        <f>IF('Monthly Summary'!C268="",NA(),'Monthly Summary'!C268)</f>
      </c>
    </row>
    <row r="270" spans="1:19" x14ac:dyDescent="0.2">
      <c r="A270" s="73">
        <f>'Monthly Summary'!A269</f>
      </c>
      <c r="B270" s="74">
        <f>IF('Monthly Summary'!W269="",NA(),'Monthly Summary'!W269)</f>
      </c>
      <c r="C270" s="74">
        <f>IF('Monthly Summary'!X269="",NA(),'Monthly Summary'!X269)</f>
      </c>
      <c r="D270" s="74">
        <f>IF('Monthly Summary'!Y269="",NA(),'Monthly Summary'!Y269)</f>
      </c>
      <c r="E270" s="74">
        <f>IF('Monthly Summary'!Z269="",NA(),'Monthly Summary'!Z269)</f>
      </c>
      <c r="F270" s="74">
        <f>IF('Monthly Summary'!AA269="",NA(),'Monthly Summary'!AA269)</f>
      </c>
      <c r="G270" s="74">
        <f>IF('Monthly Summary'!AB269="",NA(),'Monthly Summary'!AB269)</f>
      </c>
      <c r="H270" s="74">
        <f>IF('Monthly Summary'!AC269="",NA(),'Monthly Summary'!AC269)</f>
      </c>
      <c r="I270" s="74">
        <f>IF('Monthly Summary'!AD269="",NA(),'Monthly Summary'!AD269)</f>
      </c>
      <c r="J270" s="74">
        <f>IF('Monthly Summary'!AE269="",NA(),'Monthly Summary'!AE269)</f>
      </c>
      <c r="K270" s="74">
        <f>IF('Monthly Summary'!AF269="",NA(),'Monthly Summary'!AF269)</f>
      </c>
      <c r="L270" s="74">
        <f>IF('Monthly Summary'!AG269="",NA(),'Monthly Summary'!AG269)</f>
      </c>
      <c r="M270" s="74">
        <f>IF('Monthly Summary'!AH269="",NA(),'Monthly Summary'!AH269)</f>
      </c>
      <c r="N270" s="74">
        <f>IF('Monthly Summary'!AI269="",NA(),'Monthly Summary'!AI269)</f>
      </c>
      <c r="O270" s="74">
        <f>IF('Monthly Summary'!AJ269="",NA(),'Monthly Summary'!AJ269)</f>
      </c>
      <c r="P270" s="74">
        <f>IF('Monthly Summary'!AK269="",NA(),'Monthly Summary'!AK269)</f>
      </c>
      <c r="Q270" s="74">
        <f>IF('Monthly Summary'!AL269="",NA(),'Monthly Summary'!AL269)</f>
      </c>
      <c r="R270" s="74">
        <f>IF('Monthly Summary'!AM269="",NA(),'Monthly Summary'!AM269)</f>
      </c>
      <c r="S270" s="74">
        <f>IF('Monthly Summary'!C269="",NA(),'Monthly Summary'!C269)</f>
      </c>
    </row>
    <row r="271" spans="1:19" x14ac:dyDescent="0.2">
      <c r="A271" s="73">
        <f>'Monthly Summary'!A270</f>
      </c>
      <c r="B271" s="74">
        <f>IF('Monthly Summary'!W270="",NA(),'Monthly Summary'!W270)</f>
      </c>
      <c r="C271" s="74">
        <f>IF('Monthly Summary'!X270="",NA(),'Monthly Summary'!X270)</f>
      </c>
      <c r="D271" s="74">
        <f>IF('Monthly Summary'!Y270="",NA(),'Monthly Summary'!Y270)</f>
      </c>
      <c r="E271" s="74">
        <f>IF('Monthly Summary'!Z270="",NA(),'Monthly Summary'!Z270)</f>
      </c>
      <c r="F271" s="74">
        <f>IF('Monthly Summary'!AA270="",NA(),'Monthly Summary'!AA270)</f>
      </c>
      <c r="G271" s="74">
        <f>IF('Monthly Summary'!AB270="",NA(),'Monthly Summary'!AB270)</f>
      </c>
      <c r="H271" s="74">
        <f>IF('Monthly Summary'!AC270="",NA(),'Monthly Summary'!AC270)</f>
      </c>
      <c r="I271" s="74">
        <f>IF('Monthly Summary'!AD270="",NA(),'Monthly Summary'!AD270)</f>
      </c>
      <c r="J271" s="74">
        <f>IF('Monthly Summary'!AE270="",NA(),'Monthly Summary'!AE270)</f>
      </c>
      <c r="K271" s="74">
        <f>IF('Monthly Summary'!AF270="",NA(),'Monthly Summary'!AF270)</f>
      </c>
      <c r="L271" s="74">
        <f>IF('Monthly Summary'!AG270="",NA(),'Monthly Summary'!AG270)</f>
      </c>
      <c r="M271" s="74">
        <f>IF('Monthly Summary'!AH270="",NA(),'Monthly Summary'!AH270)</f>
      </c>
      <c r="N271" s="74">
        <f>IF('Monthly Summary'!AI270="",NA(),'Monthly Summary'!AI270)</f>
      </c>
      <c r="O271" s="74">
        <f>IF('Monthly Summary'!AJ270="",NA(),'Monthly Summary'!AJ270)</f>
      </c>
      <c r="P271" s="74">
        <f>IF('Monthly Summary'!AK270="",NA(),'Monthly Summary'!AK270)</f>
      </c>
      <c r="Q271" s="74">
        <f>IF('Monthly Summary'!AL270="",NA(),'Monthly Summary'!AL270)</f>
      </c>
      <c r="R271" s="74">
        <f>IF('Monthly Summary'!AM270="",NA(),'Monthly Summary'!AM270)</f>
      </c>
      <c r="S271" s="74">
        <f>IF('Monthly Summary'!C270="",NA(),'Monthly Summary'!C270)</f>
      </c>
    </row>
    <row r="272" spans="1:19" x14ac:dyDescent="0.2">
      <c r="A272" s="73">
        <f>'Monthly Summary'!A271</f>
      </c>
      <c r="B272" s="74">
        <f>IF('Monthly Summary'!W271="",NA(),'Monthly Summary'!W271)</f>
      </c>
      <c r="C272" s="74">
        <f>IF('Monthly Summary'!X271="",NA(),'Monthly Summary'!X271)</f>
      </c>
      <c r="D272" s="74">
        <f>IF('Monthly Summary'!Y271="",NA(),'Monthly Summary'!Y271)</f>
      </c>
      <c r="E272" s="74">
        <f>IF('Monthly Summary'!Z271="",NA(),'Monthly Summary'!Z271)</f>
      </c>
      <c r="F272" s="74">
        <f>IF('Monthly Summary'!AA271="",NA(),'Monthly Summary'!AA271)</f>
      </c>
      <c r="G272" s="74">
        <f>IF('Monthly Summary'!AB271="",NA(),'Monthly Summary'!AB271)</f>
      </c>
      <c r="H272" s="74">
        <f>IF('Monthly Summary'!AC271="",NA(),'Monthly Summary'!AC271)</f>
      </c>
      <c r="I272" s="74">
        <f>IF('Monthly Summary'!AD271="",NA(),'Monthly Summary'!AD271)</f>
      </c>
      <c r="J272" s="74">
        <f>IF('Monthly Summary'!AE271="",NA(),'Monthly Summary'!AE271)</f>
      </c>
      <c r="K272" s="74">
        <f>IF('Monthly Summary'!AF271="",NA(),'Monthly Summary'!AF271)</f>
      </c>
      <c r="L272" s="74">
        <f>IF('Monthly Summary'!AG271="",NA(),'Monthly Summary'!AG271)</f>
      </c>
      <c r="M272" s="74">
        <f>IF('Monthly Summary'!AH271="",NA(),'Monthly Summary'!AH271)</f>
      </c>
      <c r="N272" s="74">
        <f>IF('Monthly Summary'!AI271="",NA(),'Monthly Summary'!AI271)</f>
      </c>
      <c r="O272" s="74">
        <f>IF('Monthly Summary'!AJ271="",NA(),'Monthly Summary'!AJ271)</f>
      </c>
      <c r="P272" s="74">
        <f>IF('Monthly Summary'!AK271="",NA(),'Monthly Summary'!AK271)</f>
      </c>
      <c r="Q272" s="74">
        <f>IF('Monthly Summary'!AL271="",NA(),'Monthly Summary'!AL271)</f>
      </c>
      <c r="R272" s="74">
        <f>IF('Monthly Summary'!AM271="",NA(),'Monthly Summary'!AM271)</f>
      </c>
      <c r="S272" s="74">
        <f>IF('Monthly Summary'!C271="",NA(),'Monthly Summary'!C271)</f>
      </c>
    </row>
    <row r="273" spans="1:19" x14ac:dyDescent="0.2">
      <c r="A273" s="73">
        <f>'Monthly Summary'!A272</f>
      </c>
      <c r="B273" s="74">
        <f>IF('Monthly Summary'!W272="",NA(),'Monthly Summary'!W272)</f>
      </c>
      <c r="C273" s="74">
        <f>IF('Monthly Summary'!X272="",NA(),'Monthly Summary'!X272)</f>
      </c>
      <c r="D273" s="74">
        <f>IF('Monthly Summary'!Y272="",NA(),'Monthly Summary'!Y272)</f>
      </c>
      <c r="E273" s="74">
        <f>IF('Monthly Summary'!Z272="",NA(),'Monthly Summary'!Z272)</f>
      </c>
      <c r="F273" s="74">
        <f>IF('Monthly Summary'!AA272="",NA(),'Monthly Summary'!AA272)</f>
      </c>
      <c r="G273" s="74">
        <f>IF('Monthly Summary'!AB272="",NA(),'Monthly Summary'!AB272)</f>
      </c>
      <c r="H273" s="74">
        <f>IF('Monthly Summary'!AC272="",NA(),'Monthly Summary'!AC272)</f>
      </c>
      <c r="I273" s="74">
        <f>IF('Monthly Summary'!AD272="",NA(),'Monthly Summary'!AD272)</f>
      </c>
      <c r="J273" s="74">
        <f>IF('Monthly Summary'!AE272="",NA(),'Monthly Summary'!AE272)</f>
      </c>
      <c r="K273" s="74">
        <f>IF('Monthly Summary'!AF272="",NA(),'Monthly Summary'!AF272)</f>
      </c>
      <c r="L273" s="74">
        <f>IF('Monthly Summary'!AG272="",NA(),'Monthly Summary'!AG272)</f>
      </c>
      <c r="M273" s="74">
        <f>IF('Monthly Summary'!AH272="",NA(),'Monthly Summary'!AH272)</f>
      </c>
      <c r="N273" s="74">
        <f>IF('Monthly Summary'!AI272="",NA(),'Monthly Summary'!AI272)</f>
      </c>
      <c r="O273" s="74">
        <f>IF('Monthly Summary'!AJ272="",NA(),'Monthly Summary'!AJ272)</f>
      </c>
      <c r="P273" s="74">
        <f>IF('Monthly Summary'!AK272="",NA(),'Monthly Summary'!AK272)</f>
      </c>
      <c r="Q273" s="74">
        <f>IF('Monthly Summary'!AL272="",NA(),'Monthly Summary'!AL272)</f>
      </c>
      <c r="R273" s="74">
        <f>IF('Monthly Summary'!AM272="",NA(),'Monthly Summary'!AM272)</f>
      </c>
      <c r="S273" s="74">
        <f>IF('Monthly Summary'!C272="",NA(),'Monthly Summary'!C272)</f>
      </c>
    </row>
    <row r="274" spans="1:19" x14ac:dyDescent="0.2">
      <c r="A274" s="73">
        <f>'Monthly Summary'!A273</f>
      </c>
      <c r="B274" s="74">
        <f>IF('Monthly Summary'!W273="",NA(),'Monthly Summary'!W273)</f>
      </c>
      <c r="C274" s="74">
        <f>IF('Monthly Summary'!X273="",NA(),'Monthly Summary'!X273)</f>
      </c>
      <c r="D274" s="74">
        <f>IF('Monthly Summary'!Y273="",NA(),'Monthly Summary'!Y273)</f>
      </c>
      <c r="E274" s="74">
        <f>IF('Monthly Summary'!Z273="",NA(),'Monthly Summary'!Z273)</f>
      </c>
      <c r="F274" s="74">
        <f>IF('Monthly Summary'!AA273="",NA(),'Monthly Summary'!AA273)</f>
      </c>
      <c r="G274" s="74">
        <f>IF('Monthly Summary'!AB273="",NA(),'Monthly Summary'!AB273)</f>
      </c>
      <c r="H274" s="74">
        <f>IF('Monthly Summary'!AC273="",NA(),'Monthly Summary'!AC273)</f>
      </c>
      <c r="I274" s="74">
        <f>IF('Monthly Summary'!AD273="",NA(),'Monthly Summary'!AD273)</f>
      </c>
      <c r="J274" s="74">
        <f>IF('Monthly Summary'!AE273="",NA(),'Monthly Summary'!AE273)</f>
      </c>
      <c r="K274" s="74">
        <f>IF('Monthly Summary'!AF273="",NA(),'Monthly Summary'!AF273)</f>
      </c>
      <c r="L274" s="74">
        <f>IF('Monthly Summary'!AG273="",NA(),'Monthly Summary'!AG273)</f>
      </c>
      <c r="M274" s="74">
        <f>IF('Monthly Summary'!AH273="",NA(),'Monthly Summary'!AH273)</f>
      </c>
      <c r="N274" s="74">
        <f>IF('Monthly Summary'!AI273="",NA(),'Monthly Summary'!AI273)</f>
      </c>
      <c r="O274" s="74">
        <f>IF('Monthly Summary'!AJ273="",NA(),'Monthly Summary'!AJ273)</f>
      </c>
      <c r="P274" s="74">
        <f>IF('Monthly Summary'!AK273="",NA(),'Monthly Summary'!AK273)</f>
      </c>
      <c r="Q274" s="74">
        <f>IF('Monthly Summary'!AL273="",NA(),'Monthly Summary'!AL273)</f>
      </c>
      <c r="R274" s="74">
        <f>IF('Monthly Summary'!AM273="",NA(),'Monthly Summary'!AM273)</f>
      </c>
      <c r="S274" s="74">
        <f>IF('Monthly Summary'!C273="",NA(),'Monthly Summary'!C273)</f>
      </c>
    </row>
    <row r="275" spans="1:19" x14ac:dyDescent="0.2">
      <c r="A275" s="73">
        <f>'Monthly Summary'!A274</f>
      </c>
      <c r="B275" s="74">
        <f>IF('Monthly Summary'!W274="",NA(),'Monthly Summary'!W274)</f>
      </c>
      <c r="C275" s="74">
        <f>IF('Monthly Summary'!X274="",NA(),'Monthly Summary'!X274)</f>
      </c>
      <c r="D275" s="74">
        <f>IF('Monthly Summary'!Y274="",NA(),'Monthly Summary'!Y274)</f>
      </c>
      <c r="E275" s="74">
        <f>IF('Monthly Summary'!Z274="",NA(),'Monthly Summary'!Z274)</f>
      </c>
      <c r="F275" s="74">
        <f>IF('Monthly Summary'!AA274="",NA(),'Monthly Summary'!AA274)</f>
      </c>
      <c r="G275" s="74">
        <f>IF('Monthly Summary'!AB274="",NA(),'Monthly Summary'!AB274)</f>
      </c>
      <c r="H275" s="74">
        <f>IF('Monthly Summary'!AC274="",NA(),'Monthly Summary'!AC274)</f>
      </c>
      <c r="I275" s="74">
        <f>IF('Monthly Summary'!AD274="",NA(),'Monthly Summary'!AD274)</f>
      </c>
      <c r="J275" s="74">
        <f>IF('Monthly Summary'!AE274="",NA(),'Monthly Summary'!AE274)</f>
      </c>
      <c r="K275" s="74">
        <f>IF('Monthly Summary'!AF274="",NA(),'Monthly Summary'!AF274)</f>
      </c>
      <c r="L275" s="74">
        <f>IF('Monthly Summary'!AG274="",NA(),'Monthly Summary'!AG274)</f>
      </c>
      <c r="M275" s="74">
        <f>IF('Monthly Summary'!AH274="",NA(),'Monthly Summary'!AH274)</f>
      </c>
      <c r="N275" s="74">
        <f>IF('Monthly Summary'!AI274="",NA(),'Monthly Summary'!AI274)</f>
      </c>
      <c r="O275" s="74">
        <f>IF('Monthly Summary'!AJ274="",NA(),'Monthly Summary'!AJ274)</f>
      </c>
      <c r="P275" s="74">
        <f>IF('Monthly Summary'!AK274="",NA(),'Monthly Summary'!AK274)</f>
      </c>
      <c r="Q275" s="74">
        <f>IF('Monthly Summary'!AL274="",NA(),'Monthly Summary'!AL274)</f>
      </c>
      <c r="R275" s="74">
        <f>IF('Monthly Summary'!AM274="",NA(),'Monthly Summary'!AM274)</f>
      </c>
      <c r="S275" s="74">
        <f>IF('Monthly Summary'!C274="",NA(),'Monthly Summary'!C274)</f>
      </c>
    </row>
    <row r="276" spans="1:19" x14ac:dyDescent="0.2">
      <c r="A276" s="73">
        <f>'Monthly Summary'!A275</f>
      </c>
      <c r="B276" s="74">
        <f>IF('Monthly Summary'!W275="",NA(),'Monthly Summary'!W275)</f>
      </c>
      <c r="C276" s="74">
        <f>IF('Monthly Summary'!X275="",NA(),'Monthly Summary'!X275)</f>
      </c>
      <c r="D276" s="74">
        <f>IF('Monthly Summary'!Y275="",NA(),'Monthly Summary'!Y275)</f>
      </c>
      <c r="E276" s="74">
        <f>IF('Monthly Summary'!Z275="",NA(),'Monthly Summary'!Z275)</f>
      </c>
      <c r="F276" s="74">
        <f>IF('Monthly Summary'!AA275="",NA(),'Monthly Summary'!AA275)</f>
      </c>
      <c r="G276" s="74">
        <f>IF('Monthly Summary'!AB275="",NA(),'Monthly Summary'!AB275)</f>
      </c>
      <c r="H276" s="74">
        <f>IF('Monthly Summary'!AC275="",NA(),'Monthly Summary'!AC275)</f>
      </c>
      <c r="I276" s="74">
        <f>IF('Monthly Summary'!AD275="",NA(),'Monthly Summary'!AD275)</f>
      </c>
      <c r="J276" s="74">
        <f>IF('Monthly Summary'!AE275="",NA(),'Monthly Summary'!AE275)</f>
      </c>
      <c r="K276" s="74">
        <f>IF('Monthly Summary'!AF275="",NA(),'Monthly Summary'!AF275)</f>
      </c>
      <c r="L276" s="74">
        <f>IF('Monthly Summary'!AG275="",NA(),'Monthly Summary'!AG275)</f>
      </c>
      <c r="M276" s="74">
        <f>IF('Monthly Summary'!AH275="",NA(),'Monthly Summary'!AH275)</f>
      </c>
      <c r="N276" s="74">
        <f>IF('Monthly Summary'!AI275="",NA(),'Monthly Summary'!AI275)</f>
      </c>
      <c r="O276" s="74">
        <f>IF('Monthly Summary'!AJ275="",NA(),'Monthly Summary'!AJ275)</f>
      </c>
      <c r="P276" s="74">
        <f>IF('Monthly Summary'!AK275="",NA(),'Monthly Summary'!AK275)</f>
      </c>
      <c r="Q276" s="74">
        <f>IF('Monthly Summary'!AL275="",NA(),'Monthly Summary'!AL275)</f>
      </c>
      <c r="R276" s="74">
        <f>IF('Monthly Summary'!AM275="",NA(),'Monthly Summary'!AM275)</f>
      </c>
      <c r="S276" s="74">
        <f>IF('Monthly Summary'!C275="",NA(),'Monthly Summary'!C275)</f>
      </c>
    </row>
    <row r="277" spans="1:19" x14ac:dyDescent="0.2">
      <c r="A277" s="73">
        <f>'Monthly Summary'!A276</f>
      </c>
      <c r="B277" s="74">
        <f>IF('Monthly Summary'!W276="",NA(),'Monthly Summary'!W276)</f>
      </c>
      <c r="C277" s="74">
        <f>IF('Monthly Summary'!X276="",NA(),'Monthly Summary'!X276)</f>
      </c>
      <c r="D277" s="74">
        <f>IF('Monthly Summary'!Y276="",NA(),'Monthly Summary'!Y276)</f>
      </c>
      <c r="E277" s="74">
        <f>IF('Monthly Summary'!Z276="",NA(),'Monthly Summary'!Z276)</f>
      </c>
      <c r="F277" s="74">
        <f>IF('Monthly Summary'!AA276="",NA(),'Monthly Summary'!AA276)</f>
      </c>
      <c r="G277" s="74">
        <f>IF('Monthly Summary'!AB276="",NA(),'Monthly Summary'!AB276)</f>
      </c>
      <c r="H277" s="74">
        <f>IF('Monthly Summary'!AC276="",NA(),'Monthly Summary'!AC276)</f>
      </c>
      <c r="I277" s="74">
        <f>IF('Monthly Summary'!AD276="",NA(),'Monthly Summary'!AD276)</f>
      </c>
      <c r="J277" s="74">
        <f>IF('Monthly Summary'!AE276="",NA(),'Monthly Summary'!AE276)</f>
      </c>
      <c r="K277" s="74">
        <f>IF('Monthly Summary'!AF276="",NA(),'Monthly Summary'!AF276)</f>
      </c>
      <c r="L277" s="74">
        <f>IF('Monthly Summary'!AG276="",NA(),'Monthly Summary'!AG276)</f>
      </c>
      <c r="M277" s="74">
        <f>IF('Monthly Summary'!AH276="",NA(),'Monthly Summary'!AH276)</f>
      </c>
      <c r="N277" s="74">
        <f>IF('Monthly Summary'!AI276="",NA(),'Monthly Summary'!AI276)</f>
      </c>
      <c r="O277" s="74">
        <f>IF('Monthly Summary'!AJ276="",NA(),'Monthly Summary'!AJ276)</f>
      </c>
      <c r="P277" s="74">
        <f>IF('Monthly Summary'!AK276="",NA(),'Monthly Summary'!AK276)</f>
      </c>
      <c r="Q277" s="74">
        <f>IF('Monthly Summary'!AL276="",NA(),'Monthly Summary'!AL276)</f>
      </c>
      <c r="R277" s="74">
        <f>IF('Monthly Summary'!AM276="",NA(),'Monthly Summary'!AM276)</f>
      </c>
      <c r="S277" s="74">
        <f>IF('Monthly Summary'!C276="",NA(),'Monthly Summary'!C276)</f>
      </c>
    </row>
    <row r="278" spans="1:19" x14ac:dyDescent="0.2">
      <c r="A278" s="73">
        <f>'Monthly Summary'!A277</f>
      </c>
      <c r="B278" s="74">
        <f>IF('Monthly Summary'!W277="",NA(),'Monthly Summary'!W277)</f>
      </c>
      <c r="C278" s="74">
        <f>IF('Monthly Summary'!X277="",NA(),'Monthly Summary'!X277)</f>
      </c>
      <c r="D278" s="74">
        <f>IF('Monthly Summary'!Y277="",NA(),'Monthly Summary'!Y277)</f>
      </c>
      <c r="E278" s="74">
        <f>IF('Monthly Summary'!Z277="",NA(),'Monthly Summary'!Z277)</f>
      </c>
      <c r="F278" s="74">
        <f>IF('Monthly Summary'!AA277="",NA(),'Monthly Summary'!AA277)</f>
      </c>
      <c r="G278" s="74">
        <f>IF('Monthly Summary'!AB277="",NA(),'Monthly Summary'!AB277)</f>
      </c>
      <c r="H278" s="74">
        <f>IF('Monthly Summary'!AC277="",NA(),'Monthly Summary'!AC277)</f>
      </c>
      <c r="I278" s="74">
        <f>IF('Monthly Summary'!AD277="",NA(),'Monthly Summary'!AD277)</f>
      </c>
      <c r="J278" s="74">
        <f>IF('Monthly Summary'!AE277="",NA(),'Monthly Summary'!AE277)</f>
      </c>
      <c r="K278" s="74">
        <f>IF('Monthly Summary'!AF277="",NA(),'Monthly Summary'!AF277)</f>
      </c>
      <c r="L278" s="74">
        <f>IF('Monthly Summary'!AG277="",NA(),'Monthly Summary'!AG277)</f>
      </c>
      <c r="M278" s="74">
        <f>IF('Monthly Summary'!AH277="",NA(),'Monthly Summary'!AH277)</f>
      </c>
      <c r="N278" s="74">
        <f>IF('Monthly Summary'!AI277="",NA(),'Monthly Summary'!AI277)</f>
      </c>
      <c r="O278" s="74">
        <f>IF('Monthly Summary'!AJ277="",NA(),'Monthly Summary'!AJ277)</f>
      </c>
      <c r="P278" s="74">
        <f>IF('Monthly Summary'!AK277="",NA(),'Monthly Summary'!AK277)</f>
      </c>
      <c r="Q278" s="74">
        <f>IF('Monthly Summary'!AL277="",NA(),'Monthly Summary'!AL277)</f>
      </c>
      <c r="R278" s="74">
        <f>IF('Monthly Summary'!AM277="",NA(),'Monthly Summary'!AM277)</f>
      </c>
      <c r="S278" s="74">
        <f>IF('Monthly Summary'!C277="",NA(),'Monthly Summary'!C277)</f>
      </c>
    </row>
    <row r="279" spans="1:19" x14ac:dyDescent="0.2">
      <c r="A279" s="73">
        <f>'Monthly Summary'!A278</f>
      </c>
      <c r="B279" s="74">
        <f>IF('Monthly Summary'!W278="",NA(),'Monthly Summary'!W278)</f>
      </c>
      <c r="C279" s="74">
        <f>IF('Monthly Summary'!X278="",NA(),'Monthly Summary'!X278)</f>
      </c>
      <c r="D279" s="74">
        <f>IF('Monthly Summary'!Y278="",NA(),'Monthly Summary'!Y278)</f>
      </c>
      <c r="E279" s="74">
        <f>IF('Monthly Summary'!Z278="",NA(),'Monthly Summary'!Z278)</f>
      </c>
      <c r="F279" s="74">
        <f>IF('Monthly Summary'!AA278="",NA(),'Monthly Summary'!AA278)</f>
      </c>
      <c r="G279" s="74">
        <f>IF('Monthly Summary'!AB278="",NA(),'Monthly Summary'!AB278)</f>
      </c>
      <c r="H279" s="74">
        <f>IF('Monthly Summary'!AC278="",NA(),'Monthly Summary'!AC278)</f>
      </c>
      <c r="I279" s="74">
        <f>IF('Monthly Summary'!AD278="",NA(),'Monthly Summary'!AD278)</f>
      </c>
      <c r="J279" s="74">
        <f>IF('Monthly Summary'!AE278="",NA(),'Monthly Summary'!AE278)</f>
      </c>
      <c r="K279" s="74">
        <f>IF('Monthly Summary'!AF278="",NA(),'Monthly Summary'!AF278)</f>
      </c>
      <c r="L279" s="74">
        <f>IF('Monthly Summary'!AG278="",NA(),'Monthly Summary'!AG278)</f>
      </c>
      <c r="M279" s="74">
        <f>IF('Monthly Summary'!AH278="",NA(),'Monthly Summary'!AH278)</f>
      </c>
      <c r="N279" s="74">
        <f>IF('Monthly Summary'!AI278="",NA(),'Monthly Summary'!AI278)</f>
      </c>
      <c r="O279" s="74">
        <f>IF('Monthly Summary'!AJ278="",NA(),'Monthly Summary'!AJ278)</f>
      </c>
      <c r="P279" s="74">
        <f>IF('Monthly Summary'!AK278="",NA(),'Monthly Summary'!AK278)</f>
      </c>
      <c r="Q279" s="74">
        <f>IF('Monthly Summary'!AL278="",NA(),'Monthly Summary'!AL278)</f>
      </c>
      <c r="R279" s="74">
        <f>IF('Monthly Summary'!AM278="",NA(),'Monthly Summary'!AM278)</f>
      </c>
      <c r="S279" s="74">
        <f>IF('Monthly Summary'!C278="",NA(),'Monthly Summary'!C278)</f>
      </c>
    </row>
    <row r="280" spans="1:19" x14ac:dyDescent="0.2">
      <c r="A280" s="73">
        <f>'Monthly Summary'!A279</f>
      </c>
      <c r="B280" s="74">
        <f>IF('Monthly Summary'!W279="",NA(),'Monthly Summary'!W279)</f>
      </c>
      <c r="C280" s="74">
        <f>IF('Monthly Summary'!X279="",NA(),'Monthly Summary'!X279)</f>
      </c>
      <c r="D280" s="74">
        <f>IF('Monthly Summary'!Y279="",NA(),'Monthly Summary'!Y279)</f>
      </c>
      <c r="E280" s="74">
        <f>IF('Monthly Summary'!Z279="",NA(),'Monthly Summary'!Z279)</f>
      </c>
      <c r="F280" s="74">
        <f>IF('Monthly Summary'!AA279="",NA(),'Monthly Summary'!AA279)</f>
      </c>
      <c r="G280" s="74">
        <f>IF('Monthly Summary'!AB279="",NA(),'Monthly Summary'!AB279)</f>
      </c>
      <c r="H280" s="74">
        <f>IF('Monthly Summary'!AC279="",NA(),'Monthly Summary'!AC279)</f>
      </c>
      <c r="I280" s="74">
        <f>IF('Monthly Summary'!AD279="",NA(),'Monthly Summary'!AD279)</f>
      </c>
      <c r="J280" s="74">
        <f>IF('Monthly Summary'!AE279="",NA(),'Monthly Summary'!AE279)</f>
      </c>
      <c r="K280" s="74">
        <f>IF('Monthly Summary'!AF279="",NA(),'Monthly Summary'!AF279)</f>
      </c>
      <c r="L280" s="74">
        <f>IF('Monthly Summary'!AG279="",NA(),'Monthly Summary'!AG279)</f>
      </c>
      <c r="M280" s="74">
        <f>IF('Monthly Summary'!AH279="",NA(),'Monthly Summary'!AH279)</f>
      </c>
      <c r="N280" s="74">
        <f>IF('Monthly Summary'!AI279="",NA(),'Monthly Summary'!AI279)</f>
      </c>
      <c r="O280" s="74">
        <f>IF('Monthly Summary'!AJ279="",NA(),'Monthly Summary'!AJ279)</f>
      </c>
      <c r="P280" s="74">
        <f>IF('Monthly Summary'!AK279="",NA(),'Monthly Summary'!AK279)</f>
      </c>
      <c r="Q280" s="74">
        <f>IF('Monthly Summary'!AL279="",NA(),'Monthly Summary'!AL279)</f>
      </c>
      <c r="R280" s="74">
        <f>IF('Monthly Summary'!AM279="",NA(),'Monthly Summary'!AM279)</f>
      </c>
      <c r="S280" s="74">
        <f>IF('Monthly Summary'!C279="",NA(),'Monthly Summary'!C279)</f>
      </c>
    </row>
    <row r="281" spans="1:19" x14ac:dyDescent="0.2">
      <c r="A281" s="73">
        <f>'Monthly Summary'!A280</f>
      </c>
      <c r="B281" s="74">
        <f>IF('Monthly Summary'!W280="",NA(),'Monthly Summary'!W280)</f>
      </c>
      <c r="C281" s="74">
        <f>IF('Monthly Summary'!X280="",NA(),'Monthly Summary'!X280)</f>
      </c>
      <c r="D281" s="74">
        <f>IF('Monthly Summary'!Y280="",NA(),'Monthly Summary'!Y280)</f>
      </c>
      <c r="E281" s="74">
        <f>IF('Monthly Summary'!Z280="",NA(),'Monthly Summary'!Z280)</f>
      </c>
      <c r="F281" s="74">
        <f>IF('Monthly Summary'!AA280="",NA(),'Monthly Summary'!AA280)</f>
      </c>
      <c r="G281" s="74">
        <f>IF('Monthly Summary'!AB280="",NA(),'Monthly Summary'!AB280)</f>
      </c>
      <c r="H281" s="74">
        <f>IF('Monthly Summary'!AC280="",NA(),'Monthly Summary'!AC280)</f>
      </c>
      <c r="I281" s="74">
        <f>IF('Monthly Summary'!AD280="",NA(),'Monthly Summary'!AD280)</f>
      </c>
      <c r="J281" s="74">
        <f>IF('Monthly Summary'!AE280="",NA(),'Monthly Summary'!AE280)</f>
      </c>
      <c r="K281" s="74">
        <f>IF('Monthly Summary'!AF280="",NA(),'Monthly Summary'!AF280)</f>
      </c>
      <c r="L281" s="74">
        <f>IF('Monthly Summary'!AG280="",NA(),'Monthly Summary'!AG280)</f>
      </c>
      <c r="M281" s="74">
        <f>IF('Monthly Summary'!AH280="",NA(),'Monthly Summary'!AH280)</f>
      </c>
      <c r="N281" s="74">
        <f>IF('Monthly Summary'!AI280="",NA(),'Monthly Summary'!AI280)</f>
      </c>
      <c r="O281" s="74">
        <f>IF('Monthly Summary'!AJ280="",NA(),'Monthly Summary'!AJ280)</f>
      </c>
      <c r="P281" s="74">
        <f>IF('Monthly Summary'!AK280="",NA(),'Monthly Summary'!AK280)</f>
      </c>
      <c r="Q281" s="74">
        <f>IF('Monthly Summary'!AL280="",NA(),'Monthly Summary'!AL280)</f>
      </c>
      <c r="R281" s="74">
        <f>IF('Monthly Summary'!AM280="",NA(),'Monthly Summary'!AM280)</f>
      </c>
      <c r="S281" s="74">
        <f>IF('Monthly Summary'!C280="",NA(),'Monthly Summary'!C280)</f>
      </c>
    </row>
    <row r="282" spans="1:19" x14ac:dyDescent="0.2">
      <c r="A282" s="73">
        <f>'Monthly Summary'!A281</f>
      </c>
      <c r="B282" s="74">
        <f>IF('Monthly Summary'!W281="",NA(),'Monthly Summary'!W281)</f>
      </c>
      <c r="C282" s="74">
        <f>IF('Monthly Summary'!X281="",NA(),'Monthly Summary'!X281)</f>
      </c>
      <c r="D282" s="74">
        <f>IF('Monthly Summary'!Y281="",NA(),'Monthly Summary'!Y281)</f>
      </c>
      <c r="E282" s="74">
        <f>IF('Monthly Summary'!Z281="",NA(),'Monthly Summary'!Z281)</f>
      </c>
      <c r="F282" s="74">
        <f>IF('Monthly Summary'!AA281="",NA(),'Monthly Summary'!AA281)</f>
      </c>
      <c r="G282" s="74">
        <f>IF('Monthly Summary'!AB281="",NA(),'Monthly Summary'!AB281)</f>
      </c>
      <c r="H282" s="74">
        <f>IF('Monthly Summary'!AC281="",NA(),'Monthly Summary'!AC281)</f>
      </c>
      <c r="I282" s="74">
        <f>IF('Monthly Summary'!AD281="",NA(),'Monthly Summary'!AD281)</f>
      </c>
      <c r="J282" s="74">
        <f>IF('Monthly Summary'!AE281="",NA(),'Monthly Summary'!AE281)</f>
      </c>
      <c r="K282" s="74">
        <f>IF('Monthly Summary'!AF281="",NA(),'Monthly Summary'!AF281)</f>
      </c>
      <c r="L282" s="74">
        <f>IF('Monthly Summary'!AG281="",NA(),'Monthly Summary'!AG281)</f>
      </c>
      <c r="M282" s="74">
        <f>IF('Monthly Summary'!AH281="",NA(),'Monthly Summary'!AH281)</f>
      </c>
      <c r="N282" s="74">
        <f>IF('Monthly Summary'!AI281="",NA(),'Monthly Summary'!AI281)</f>
      </c>
      <c r="O282" s="74">
        <f>IF('Monthly Summary'!AJ281="",NA(),'Monthly Summary'!AJ281)</f>
      </c>
      <c r="P282" s="74">
        <f>IF('Monthly Summary'!AK281="",NA(),'Monthly Summary'!AK281)</f>
      </c>
      <c r="Q282" s="74">
        <f>IF('Monthly Summary'!AL281="",NA(),'Monthly Summary'!AL281)</f>
      </c>
      <c r="R282" s="74">
        <f>IF('Monthly Summary'!AM281="",NA(),'Monthly Summary'!AM281)</f>
      </c>
      <c r="S282" s="74">
        <f>IF('Monthly Summary'!C281="",NA(),'Monthly Summary'!C281)</f>
      </c>
    </row>
    <row r="283" spans="1:19" x14ac:dyDescent="0.2">
      <c r="A283" s="73">
        <f>'Monthly Summary'!A282</f>
      </c>
      <c r="B283" s="74">
        <f>IF('Monthly Summary'!W282="",NA(),'Monthly Summary'!W282)</f>
      </c>
      <c r="C283" s="74">
        <f>IF('Monthly Summary'!X282="",NA(),'Monthly Summary'!X282)</f>
      </c>
      <c r="D283" s="74">
        <f>IF('Monthly Summary'!Y282="",NA(),'Monthly Summary'!Y282)</f>
      </c>
      <c r="E283" s="74">
        <f>IF('Monthly Summary'!Z282="",NA(),'Monthly Summary'!Z282)</f>
      </c>
      <c r="F283" s="74">
        <f>IF('Monthly Summary'!AA282="",NA(),'Monthly Summary'!AA282)</f>
      </c>
      <c r="G283" s="74">
        <f>IF('Monthly Summary'!AB282="",NA(),'Monthly Summary'!AB282)</f>
      </c>
      <c r="H283" s="74">
        <f>IF('Monthly Summary'!AC282="",NA(),'Monthly Summary'!AC282)</f>
      </c>
      <c r="I283" s="74">
        <f>IF('Monthly Summary'!AD282="",NA(),'Monthly Summary'!AD282)</f>
      </c>
      <c r="J283" s="74">
        <f>IF('Monthly Summary'!AE282="",NA(),'Monthly Summary'!AE282)</f>
      </c>
      <c r="K283" s="74">
        <f>IF('Monthly Summary'!AF282="",NA(),'Monthly Summary'!AF282)</f>
      </c>
      <c r="L283" s="74">
        <f>IF('Monthly Summary'!AG282="",NA(),'Monthly Summary'!AG282)</f>
      </c>
      <c r="M283" s="74">
        <f>IF('Monthly Summary'!AH282="",NA(),'Monthly Summary'!AH282)</f>
      </c>
      <c r="N283" s="74">
        <f>IF('Monthly Summary'!AI282="",NA(),'Monthly Summary'!AI282)</f>
      </c>
      <c r="O283" s="74">
        <f>IF('Monthly Summary'!AJ282="",NA(),'Monthly Summary'!AJ282)</f>
      </c>
      <c r="P283" s="74">
        <f>IF('Monthly Summary'!AK282="",NA(),'Monthly Summary'!AK282)</f>
      </c>
      <c r="Q283" s="74">
        <f>IF('Monthly Summary'!AL282="",NA(),'Monthly Summary'!AL282)</f>
      </c>
      <c r="R283" s="74">
        <f>IF('Monthly Summary'!AM282="",NA(),'Monthly Summary'!AM282)</f>
      </c>
      <c r="S283" s="74">
        <f>IF('Monthly Summary'!C282="",NA(),'Monthly Summary'!C282)</f>
      </c>
    </row>
    <row r="284" spans="1:19" x14ac:dyDescent="0.2">
      <c r="A284" s="73">
        <f>'Monthly Summary'!A283</f>
      </c>
      <c r="B284" s="74">
        <f>IF('Monthly Summary'!W283="",NA(),'Monthly Summary'!W283)</f>
      </c>
      <c r="C284" s="74">
        <f>IF('Monthly Summary'!X283="",NA(),'Monthly Summary'!X283)</f>
      </c>
      <c r="D284" s="74">
        <f>IF('Monthly Summary'!Y283="",NA(),'Monthly Summary'!Y283)</f>
      </c>
      <c r="E284" s="74">
        <f>IF('Monthly Summary'!Z283="",NA(),'Monthly Summary'!Z283)</f>
      </c>
      <c r="F284" s="74">
        <f>IF('Monthly Summary'!AA283="",NA(),'Monthly Summary'!AA283)</f>
      </c>
      <c r="G284" s="74">
        <f>IF('Monthly Summary'!AB283="",NA(),'Monthly Summary'!AB283)</f>
      </c>
      <c r="H284" s="74">
        <f>IF('Monthly Summary'!AC283="",NA(),'Monthly Summary'!AC283)</f>
      </c>
      <c r="I284" s="74">
        <f>IF('Monthly Summary'!AD283="",NA(),'Monthly Summary'!AD283)</f>
      </c>
      <c r="J284" s="74">
        <f>IF('Monthly Summary'!AE283="",NA(),'Monthly Summary'!AE283)</f>
      </c>
      <c r="K284" s="74">
        <f>IF('Monthly Summary'!AF283="",NA(),'Monthly Summary'!AF283)</f>
      </c>
      <c r="L284" s="74">
        <f>IF('Monthly Summary'!AG283="",NA(),'Monthly Summary'!AG283)</f>
      </c>
      <c r="M284" s="74">
        <f>IF('Monthly Summary'!AH283="",NA(),'Monthly Summary'!AH283)</f>
      </c>
      <c r="N284" s="74">
        <f>IF('Monthly Summary'!AI283="",NA(),'Monthly Summary'!AI283)</f>
      </c>
      <c r="O284" s="74">
        <f>IF('Monthly Summary'!AJ283="",NA(),'Monthly Summary'!AJ283)</f>
      </c>
      <c r="P284" s="74">
        <f>IF('Monthly Summary'!AK283="",NA(),'Monthly Summary'!AK283)</f>
      </c>
      <c r="Q284" s="74">
        <f>IF('Monthly Summary'!AL283="",NA(),'Monthly Summary'!AL283)</f>
      </c>
      <c r="R284" s="74">
        <f>IF('Monthly Summary'!AM283="",NA(),'Monthly Summary'!AM283)</f>
      </c>
      <c r="S284" s="74">
        <f>IF('Monthly Summary'!C283="",NA(),'Monthly Summary'!C283)</f>
      </c>
    </row>
    <row r="285" spans="1:19" x14ac:dyDescent="0.2">
      <c r="A285" s="73">
        <f>'Monthly Summary'!A284</f>
      </c>
      <c r="B285" s="74">
        <f>IF('Monthly Summary'!W284="",NA(),'Monthly Summary'!W284)</f>
      </c>
      <c r="C285" s="74">
        <f>IF('Monthly Summary'!X284="",NA(),'Monthly Summary'!X284)</f>
      </c>
      <c r="D285" s="74">
        <f>IF('Monthly Summary'!Y284="",NA(),'Monthly Summary'!Y284)</f>
      </c>
      <c r="E285" s="74">
        <f>IF('Monthly Summary'!Z284="",NA(),'Monthly Summary'!Z284)</f>
      </c>
      <c r="F285" s="74">
        <f>IF('Monthly Summary'!AA284="",NA(),'Monthly Summary'!AA284)</f>
      </c>
      <c r="G285" s="74">
        <f>IF('Monthly Summary'!AB284="",NA(),'Monthly Summary'!AB284)</f>
      </c>
      <c r="H285" s="74">
        <f>IF('Monthly Summary'!AC284="",NA(),'Monthly Summary'!AC284)</f>
      </c>
      <c r="I285" s="74">
        <f>IF('Monthly Summary'!AD284="",NA(),'Monthly Summary'!AD284)</f>
      </c>
      <c r="J285" s="74">
        <f>IF('Monthly Summary'!AE284="",NA(),'Monthly Summary'!AE284)</f>
      </c>
      <c r="K285" s="74">
        <f>IF('Monthly Summary'!AF284="",NA(),'Monthly Summary'!AF284)</f>
      </c>
      <c r="L285" s="74">
        <f>IF('Monthly Summary'!AG284="",NA(),'Monthly Summary'!AG284)</f>
      </c>
      <c r="M285" s="74">
        <f>IF('Monthly Summary'!AH284="",NA(),'Monthly Summary'!AH284)</f>
      </c>
      <c r="N285" s="74">
        <f>IF('Monthly Summary'!AI284="",NA(),'Monthly Summary'!AI284)</f>
      </c>
      <c r="O285" s="74">
        <f>IF('Monthly Summary'!AJ284="",NA(),'Monthly Summary'!AJ284)</f>
      </c>
      <c r="P285" s="74">
        <f>IF('Monthly Summary'!AK284="",NA(),'Monthly Summary'!AK284)</f>
      </c>
      <c r="Q285" s="74">
        <f>IF('Monthly Summary'!AL284="",NA(),'Monthly Summary'!AL284)</f>
      </c>
      <c r="R285" s="74">
        <f>IF('Monthly Summary'!AM284="",NA(),'Monthly Summary'!AM284)</f>
      </c>
      <c r="S285" s="74">
        <f>IF('Monthly Summary'!C284="",NA(),'Monthly Summary'!C284)</f>
      </c>
    </row>
    <row r="286" spans="1:19" x14ac:dyDescent="0.2">
      <c r="A286" s="73">
        <f>'Monthly Summary'!A285</f>
      </c>
      <c r="B286" s="74">
        <f>IF('Monthly Summary'!W285="",NA(),'Monthly Summary'!W285)</f>
      </c>
      <c r="C286" s="74">
        <f>IF('Monthly Summary'!X285="",NA(),'Monthly Summary'!X285)</f>
      </c>
      <c r="D286" s="74">
        <f>IF('Monthly Summary'!Y285="",NA(),'Monthly Summary'!Y285)</f>
      </c>
      <c r="E286" s="74">
        <f>IF('Monthly Summary'!Z285="",NA(),'Monthly Summary'!Z285)</f>
      </c>
      <c r="F286" s="74">
        <f>IF('Monthly Summary'!AA285="",NA(),'Monthly Summary'!AA285)</f>
      </c>
      <c r="G286" s="74">
        <f>IF('Monthly Summary'!AB285="",NA(),'Monthly Summary'!AB285)</f>
      </c>
      <c r="H286" s="74">
        <f>IF('Monthly Summary'!AC285="",NA(),'Monthly Summary'!AC285)</f>
      </c>
      <c r="I286" s="74">
        <f>IF('Monthly Summary'!AD285="",NA(),'Monthly Summary'!AD285)</f>
      </c>
      <c r="J286" s="74">
        <f>IF('Monthly Summary'!AE285="",NA(),'Monthly Summary'!AE285)</f>
      </c>
      <c r="K286" s="74">
        <f>IF('Monthly Summary'!AF285="",NA(),'Monthly Summary'!AF285)</f>
      </c>
      <c r="L286" s="74">
        <f>IF('Monthly Summary'!AG285="",NA(),'Monthly Summary'!AG285)</f>
      </c>
      <c r="M286" s="74">
        <f>IF('Monthly Summary'!AH285="",NA(),'Monthly Summary'!AH285)</f>
      </c>
      <c r="N286" s="74">
        <f>IF('Monthly Summary'!AI285="",NA(),'Monthly Summary'!AI285)</f>
      </c>
      <c r="O286" s="74">
        <f>IF('Monthly Summary'!AJ285="",NA(),'Monthly Summary'!AJ285)</f>
      </c>
      <c r="P286" s="74">
        <f>IF('Monthly Summary'!AK285="",NA(),'Monthly Summary'!AK285)</f>
      </c>
      <c r="Q286" s="74">
        <f>IF('Monthly Summary'!AL285="",NA(),'Monthly Summary'!AL285)</f>
      </c>
      <c r="R286" s="74">
        <f>IF('Monthly Summary'!AM285="",NA(),'Monthly Summary'!AM285)</f>
      </c>
      <c r="S286" s="74">
        <f>IF('Monthly Summary'!C285="",NA(),'Monthly Summary'!C285)</f>
      </c>
    </row>
    <row r="287" spans="1:19" x14ac:dyDescent="0.2">
      <c r="A287" s="73">
        <f>'Monthly Summary'!A286</f>
      </c>
      <c r="B287" s="74">
        <f>IF('Monthly Summary'!W286="",NA(),'Monthly Summary'!W286)</f>
      </c>
      <c r="C287" s="74">
        <f>IF('Monthly Summary'!X286="",NA(),'Monthly Summary'!X286)</f>
      </c>
      <c r="D287" s="74">
        <f>IF('Monthly Summary'!Y286="",NA(),'Monthly Summary'!Y286)</f>
      </c>
      <c r="E287" s="74">
        <f>IF('Monthly Summary'!Z286="",NA(),'Monthly Summary'!Z286)</f>
      </c>
      <c r="F287" s="74">
        <f>IF('Monthly Summary'!AA286="",NA(),'Monthly Summary'!AA286)</f>
      </c>
      <c r="G287" s="74">
        <f>IF('Monthly Summary'!AB286="",NA(),'Monthly Summary'!AB286)</f>
      </c>
      <c r="H287" s="74">
        <f>IF('Monthly Summary'!AC286="",NA(),'Monthly Summary'!AC286)</f>
      </c>
      <c r="I287" s="74">
        <f>IF('Monthly Summary'!AD286="",NA(),'Monthly Summary'!AD286)</f>
      </c>
      <c r="J287" s="74">
        <f>IF('Monthly Summary'!AE286="",NA(),'Monthly Summary'!AE286)</f>
      </c>
      <c r="K287" s="74">
        <f>IF('Monthly Summary'!AF286="",NA(),'Monthly Summary'!AF286)</f>
      </c>
      <c r="L287" s="74">
        <f>IF('Monthly Summary'!AG286="",NA(),'Monthly Summary'!AG286)</f>
      </c>
      <c r="M287" s="74">
        <f>IF('Monthly Summary'!AH286="",NA(),'Monthly Summary'!AH286)</f>
      </c>
      <c r="N287" s="74">
        <f>IF('Monthly Summary'!AI286="",NA(),'Monthly Summary'!AI286)</f>
      </c>
      <c r="O287" s="74">
        <f>IF('Monthly Summary'!AJ286="",NA(),'Monthly Summary'!AJ286)</f>
      </c>
      <c r="P287" s="74">
        <f>IF('Monthly Summary'!AK286="",NA(),'Monthly Summary'!AK286)</f>
      </c>
      <c r="Q287" s="74">
        <f>IF('Monthly Summary'!AL286="",NA(),'Monthly Summary'!AL286)</f>
      </c>
      <c r="R287" s="74">
        <f>IF('Monthly Summary'!AM286="",NA(),'Monthly Summary'!AM286)</f>
      </c>
      <c r="S287" s="74">
        <f>IF('Monthly Summary'!C286="",NA(),'Monthly Summary'!C286)</f>
      </c>
    </row>
    <row r="288" spans="1:19" x14ac:dyDescent="0.2">
      <c r="A288" s="73">
        <f>'Monthly Summary'!A287</f>
      </c>
      <c r="B288" s="74">
        <f>IF('Monthly Summary'!W287="",NA(),'Monthly Summary'!W287)</f>
      </c>
      <c r="C288" s="74">
        <f>IF('Monthly Summary'!X287="",NA(),'Monthly Summary'!X287)</f>
      </c>
      <c r="D288" s="74">
        <f>IF('Monthly Summary'!Y287="",NA(),'Monthly Summary'!Y287)</f>
      </c>
      <c r="E288" s="74">
        <f>IF('Monthly Summary'!Z287="",NA(),'Monthly Summary'!Z287)</f>
      </c>
      <c r="F288" s="74">
        <f>IF('Monthly Summary'!AA287="",NA(),'Monthly Summary'!AA287)</f>
      </c>
      <c r="G288" s="74">
        <f>IF('Monthly Summary'!AB287="",NA(),'Monthly Summary'!AB287)</f>
      </c>
      <c r="H288" s="74">
        <f>IF('Monthly Summary'!AC287="",NA(),'Monthly Summary'!AC287)</f>
      </c>
      <c r="I288" s="74">
        <f>IF('Monthly Summary'!AD287="",NA(),'Monthly Summary'!AD287)</f>
      </c>
      <c r="J288" s="74">
        <f>IF('Monthly Summary'!AE287="",NA(),'Monthly Summary'!AE287)</f>
      </c>
      <c r="K288" s="74">
        <f>IF('Monthly Summary'!AF287="",NA(),'Monthly Summary'!AF287)</f>
      </c>
      <c r="L288" s="74">
        <f>IF('Monthly Summary'!AG287="",NA(),'Monthly Summary'!AG287)</f>
      </c>
      <c r="M288" s="74">
        <f>IF('Monthly Summary'!AH287="",NA(),'Monthly Summary'!AH287)</f>
      </c>
      <c r="N288" s="74">
        <f>IF('Monthly Summary'!AI287="",NA(),'Monthly Summary'!AI287)</f>
      </c>
      <c r="O288" s="74">
        <f>IF('Monthly Summary'!AJ287="",NA(),'Monthly Summary'!AJ287)</f>
      </c>
      <c r="P288" s="74">
        <f>IF('Monthly Summary'!AK287="",NA(),'Monthly Summary'!AK287)</f>
      </c>
      <c r="Q288" s="74">
        <f>IF('Monthly Summary'!AL287="",NA(),'Monthly Summary'!AL287)</f>
      </c>
      <c r="R288" s="74">
        <f>IF('Monthly Summary'!AM287="",NA(),'Monthly Summary'!AM287)</f>
      </c>
      <c r="S288" s="74">
        <f>IF('Monthly Summary'!C287="",NA(),'Monthly Summary'!C287)</f>
      </c>
    </row>
    <row r="289" spans="1:19" x14ac:dyDescent="0.2">
      <c r="A289" s="73">
        <f>'Monthly Summary'!A288</f>
      </c>
      <c r="B289" s="74">
        <f>IF('Monthly Summary'!W288="",NA(),'Monthly Summary'!W288)</f>
      </c>
      <c r="C289" s="74">
        <f>IF('Monthly Summary'!X288="",NA(),'Monthly Summary'!X288)</f>
      </c>
      <c r="D289" s="74">
        <f>IF('Monthly Summary'!Y288="",NA(),'Monthly Summary'!Y288)</f>
      </c>
      <c r="E289" s="74">
        <f>IF('Monthly Summary'!Z288="",NA(),'Monthly Summary'!Z288)</f>
      </c>
      <c r="F289" s="74">
        <f>IF('Monthly Summary'!AA288="",NA(),'Monthly Summary'!AA288)</f>
      </c>
      <c r="G289" s="74">
        <f>IF('Monthly Summary'!AB288="",NA(),'Monthly Summary'!AB288)</f>
      </c>
      <c r="H289" s="74">
        <f>IF('Monthly Summary'!AC288="",NA(),'Monthly Summary'!AC288)</f>
      </c>
      <c r="I289" s="74">
        <f>IF('Monthly Summary'!AD288="",NA(),'Monthly Summary'!AD288)</f>
      </c>
      <c r="J289" s="74">
        <f>IF('Monthly Summary'!AE288="",NA(),'Monthly Summary'!AE288)</f>
      </c>
      <c r="K289" s="74">
        <f>IF('Monthly Summary'!AF288="",NA(),'Monthly Summary'!AF288)</f>
      </c>
      <c r="L289" s="74">
        <f>IF('Monthly Summary'!AG288="",NA(),'Monthly Summary'!AG288)</f>
      </c>
      <c r="M289" s="74">
        <f>IF('Monthly Summary'!AH288="",NA(),'Monthly Summary'!AH288)</f>
      </c>
      <c r="N289" s="74">
        <f>IF('Monthly Summary'!AI288="",NA(),'Monthly Summary'!AI288)</f>
      </c>
      <c r="O289" s="74">
        <f>IF('Monthly Summary'!AJ288="",NA(),'Monthly Summary'!AJ288)</f>
      </c>
      <c r="P289" s="74">
        <f>IF('Monthly Summary'!AK288="",NA(),'Monthly Summary'!AK288)</f>
      </c>
      <c r="Q289" s="74">
        <f>IF('Monthly Summary'!AL288="",NA(),'Monthly Summary'!AL288)</f>
      </c>
      <c r="R289" s="74">
        <f>IF('Monthly Summary'!AM288="",NA(),'Monthly Summary'!AM288)</f>
      </c>
      <c r="S289" s="74">
        <f>IF('Monthly Summary'!C288="",NA(),'Monthly Summary'!C288)</f>
      </c>
    </row>
    <row r="290" spans="1:19" x14ac:dyDescent="0.2">
      <c r="A290" s="73">
        <f>'Monthly Summary'!A289</f>
      </c>
      <c r="B290" s="74">
        <f>IF('Monthly Summary'!W289="",NA(),'Monthly Summary'!W289)</f>
      </c>
      <c r="C290" s="74">
        <f>IF('Monthly Summary'!X289="",NA(),'Monthly Summary'!X289)</f>
      </c>
      <c r="D290" s="74">
        <f>IF('Monthly Summary'!Y289="",NA(),'Monthly Summary'!Y289)</f>
      </c>
      <c r="E290" s="74">
        <f>IF('Monthly Summary'!Z289="",NA(),'Monthly Summary'!Z289)</f>
      </c>
      <c r="F290" s="74">
        <f>IF('Monthly Summary'!AA289="",NA(),'Monthly Summary'!AA289)</f>
      </c>
      <c r="G290" s="74">
        <f>IF('Monthly Summary'!AB289="",NA(),'Monthly Summary'!AB289)</f>
      </c>
      <c r="H290" s="74">
        <f>IF('Monthly Summary'!AC289="",NA(),'Monthly Summary'!AC289)</f>
      </c>
      <c r="I290" s="74">
        <f>IF('Monthly Summary'!AD289="",NA(),'Monthly Summary'!AD289)</f>
      </c>
      <c r="J290" s="74">
        <f>IF('Monthly Summary'!AE289="",NA(),'Monthly Summary'!AE289)</f>
      </c>
      <c r="K290" s="74">
        <f>IF('Monthly Summary'!AF289="",NA(),'Monthly Summary'!AF289)</f>
      </c>
      <c r="L290" s="74">
        <f>IF('Monthly Summary'!AG289="",NA(),'Monthly Summary'!AG289)</f>
      </c>
      <c r="M290" s="74">
        <f>IF('Monthly Summary'!AH289="",NA(),'Monthly Summary'!AH289)</f>
      </c>
      <c r="N290" s="74">
        <f>IF('Monthly Summary'!AI289="",NA(),'Monthly Summary'!AI289)</f>
      </c>
      <c r="O290" s="74">
        <f>IF('Monthly Summary'!AJ289="",NA(),'Monthly Summary'!AJ289)</f>
      </c>
      <c r="P290" s="74">
        <f>IF('Monthly Summary'!AK289="",NA(),'Monthly Summary'!AK289)</f>
      </c>
      <c r="Q290" s="74">
        <f>IF('Monthly Summary'!AL289="",NA(),'Monthly Summary'!AL289)</f>
      </c>
      <c r="R290" s="74">
        <f>IF('Monthly Summary'!AM289="",NA(),'Monthly Summary'!AM289)</f>
      </c>
      <c r="S290" s="74">
        <f>IF('Monthly Summary'!C289="",NA(),'Monthly Summary'!C289)</f>
      </c>
    </row>
    <row r="291" spans="1:19" x14ac:dyDescent="0.2">
      <c r="A291" s="73">
        <f>'Monthly Summary'!A290</f>
      </c>
      <c r="B291" s="74">
        <f>IF('Monthly Summary'!W290="",NA(),'Monthly Summary'!W290)</f>
      </c>
      <c r="C291" s="74">
        <f>IF('Monthly Summary'!X290="",NA(),'Monthly Summary'!X290)</f>
      </c>
      <c r="D291" s="74">
        <f>IF('Monthly Summary'!Y290="",NA(),'Monthly Summary'!Y290)</f>
      </c>
      <c r="E291" s="74">
        <f>IF('Monthly Summary'!Z290="",NA(),'Monthly Summary'!Z290)</f>
      </c>
      <c r="F291" s="74">
        <f>IF('Monthly Summary'!AA290="",NA(),'Monthly Summary'!AA290)</f>
      </c>
      <c r="G291" s="74">
        <f>IF('Monthly Summary'!AB290="",NA(),'Monthly Summary'!AB290)</f>
      </c>
      <c r="H291" s="74">
        <f>IF('Monthly Summary'!AC290="",NA(),'Monthly Summary'!AC290)</f>
      </c>
      <c r="I291" s="74">
        <f>IF('Monthly Summary'!AD290="",NA(),'Monthly Summary'!AD290)</f>
      </c>
      <c r="J291" s="74">
        <f>IF('Monthly Summary'!AE290="",NA(),'Monthly Summary'!AE290)</f>
      </c>
      <c r="K291" s="74">
        <f>IF('Monthly Summary'!AF290="",NA(),'Monthly Summary'!AF290)</f>
      </c>
      <c r="L291" s="74">
        <f>IF('Monthly Summary'!AG290="",NA(),'Monthly Summary'!AG290)</f>
      </c>
      <c r="M291" s="74">
        <f>IF('Monthly Summary'!AH290="",NA(),'Monthly Summary'!AH290)</f>
      </c>
      <c r="N291" s="74">
        <f>IF('Monthly Summary'!AI290="",NA(),'Monthly Summary'!AI290)</f>
      </c>
      <c r="O291" s="74">
        <f>IF('Monthly Summary'!AJ290="",NA(),'Monthly Summary'!AJ290)</f>
      </c>
      <c r="P291" s="74">
        <f>IF('Monthly Summary'!AK290="",NA(),'Monthly Summary'!AK290)</f>
      </c>
      <c r="Q291" s="74">
        <f>IF('Monthly Summary'!AL290="",NA(),'Monthly Summary'!AL290)</f>
      </c>
      <c r="R291" s="74">
        <f>IF('Monthly Summary'!AM290="",NA(),'Monthly Summary'!AM290)</f>
      </c>
      <c r="S291" s="74">
        <f>IF('Monthly Summary'!C290="",NA(),'Monthly Summary'!C290)</f>
      </c>
    </row>
    <row r="292" spans="1:19" x14ac:dyDescent="0.2">
      <c r="A292" s="73">
        <f>'Monthly Summary'!A291</f>
      </c>
      <c r="B292" s="74">
        <f>IF('Monthly Summary'!W291="",NA(),'Monthly Summary'!W291)</f>
      </c>
      <c r="C292" s="74">
        <f>IF('Monthly Summary'!X291="",NA(),'Monthly Summary'!X291)</f>
      </c>
      <c r="D292" s="74">
        <f>IF('Monthly Summary'!Y291="",NA(),'Monthly Summary'!Y291)</f>
      </c>
      <c r="E292" s="74">
        <f>IF('Monthly Summary'!Z291="",NA(),'Monthly Summary'!Z291)</f>
      </c>
      <c r="F292" s="74">
        <f>IF('Monthly Summary'!AA291="",NA(),'Monthly Summary'!AA291)</f>
      </c>
      <c r="G292" s="74">
        <f>IF('Monthly Summary'!AB291="",NA(),'Monthly Summary'!AB291)</f>
      </c>
      <c r="H292" s="74">
        <f>IF('Monthly Summary'!AC291="",NA(),'Monthly Summary'!AC291)</f>
      </c>
      <c r="I292" s="74">
        <f>IF('Monthly Summary'!AD291="",NA(),'Monthly Summary'!AD291)</f>
      </c>
      <c r="J292" s="74">
        <f>IF('Monthly Summary'!AE291="",NA(),'Monthly Summary'!AE291)</f>
      </c>
      <c r="K292" s="74">
        <f>IF('Monthly Summary'!AF291="",NA(),'Monthly Summary'!AF291)</f>
      </c>
      <c r="L292" s="74">
        <f>IF('Monthly Summary'!AG291="",NA(),'Monthly Summary'!AG291)</f>
      </c>
      <c r="M292" s="74">
        <f>IF('Monthly Summary'!AH291="",NA(),'Monthly Summary'!AH291)</f>
      </c>
      <c r="N292" s="74">
        <f>IF('Monthly Summary'!AI291="",NA(),'Monthly Summary'!AI291)</f>
      </c>
      <c r="O292" s="74">
        <f>IF('Monthly Summary'!AJ291="",NA(),'Monthly Summary'!AJ291)</f>
      </c>
      <c r="P292" s="74">
        <f>IF('Monthly Summary'!AK291="",NA(),'Monthly Summary'!AK291)</f>
      </c>
      <c r="Q292" s="74">
        <f>IF('Monthly Summary'!AL291="",NA(),'Monthly Summary'!AL291)</f>
      </c>
      <c r="R292" s="74">
        <f>IF('Monthly Summary'!AM291="",NA(),'Monthly Summary'!AM291)</f>
      </c>
      <c r="S292" s="74">
        <f>IF('Monthly Summary'!C291="",NA(),'Monthly Summary'!C291)</f>
      </c>
    </row>
    <row r="293" spans="1:19" x14ac:dyDescent="0.2">
      <c r="A293" s="73">
        <f>'Monthly Summary'!A292</f>
      </c>
      <c r="B293" s="74">
        <f>IF('Monthly Summary'!W292="",NA(),'Monthly Summary'!W292)</f>
      </c>
      <c r="C293" s="74">
        <f>IF('Monthly Summary'!X292="",NA(),'Monthly Summary'!X292)</f>
      </c>
      <c r="D293" s="74">
        <f>IF('Monthly Summary'!Y292="",NA(),'Monthly Summary'!Y292)</f>
      </c>
      <c r="E293" s="74">
        <f>IF('Monthly Summary'!Z292="",NA(),'Monthly Summary'!Z292)</f>
      </c>
      <c r="F293" s="74">
        <f>IF('Monthly Summary'!AA292="",NA(),'Monthly Summary'!AA292)</f>
      </c>
      <c r="G293" s="74">
        <f>IF('Monthly Summary'!AB292="",NA(),'Monthly Summary'!AB292)</f>
      </c>
      <c r="H293" s="74">
        <f>IF('Monthly Summary'!AC292="",NA(),'Monthly Summary'!AC292)</f>
      </c>
      <c r="I293" s="74">
        <f>IF('Monthly Summary'!AD292="",NA(),'Monthly Summary'!AD292)</f>
      </c>
      <c r="J293" s="74">
        <f>IF('Monthly Summary'!AE292="",NA(),'Monthly Summary'!AE292)</f>
      </c>
      <c r="K293" s="74">
        <f>IF('Monthly Summary'!AF292="",NA(),'Monthly Summary'!AF292)</f>
      </c>
      <c r="L293" s="74">
        <f>IF('Monthly Summary'!AG292="",NA(),'Monthly Summary'!AG292)</f>
      </c>
      <c r="M293" s="74">
        <f>IF('Monthly Summary'!AH292="",NA(),'Monthly Summary'!AH292)</f>
      </c>
      <c r="N293" s="74">
        <f>IF('Monthly Summary'!AI292="",NA(),'Monthly Summary'!AI292)</f>
      </c>
      <c r="O293" s="74">
        <f>IF('Monthly Summary'!AJ292="",NA(),'Monthly Summary'!AJ292)</f>
      </c>
      <c r="P293" s="74">
        <f>IF('Monthly Summary'!AK292="",NA(),'Monthly Summary'!AK292)</f>
      </c>
      <c r="Q293" s="74">
        <f>IF('Monthly Summary'!AL292="",NA(),'Monthly Summary'!AL292)</f>
      </c>
      <c r="R293" s="74">
        <f>IF('Monthly Summary'!AM292="",NA(),'Monthly Summary'!AM292)</f>
      </c>
      <c r="S293" s="74">
        <f>IF('Monthly Summary'!C292="",NA(),'Monthly Summary'!C292)</f>
      </c>
    </row>
    <row r="294" spans="1:19" x14ac:dyDescent="0.2">
      <c r="A294" s="73">
        <f>'Monthly Summary'!A293</f>
      </c>
      <c r="B294" s="74">
        <f>IF('Monthly Summary'!W293="",NA(),'Monthly Summary'!W293)</f>
      </c>
      <c r="C294" s="74">
        <f>IF('Monthly Summary'!X293="",NA(),'Monthly Summary'!X293)</f>
      </c>
      <c r="D294" s="74">
        <f>IF('Monthly Summary'!Y293="",NA(),'Monthly Summary'!Y293)</f>
      </c>
      <c r="E294" s="74">
        <f>IF('Monthly Summary'!Z293="",NA(),'Monthly Summary'!Z293)</f>
      </c>
      <c r="F294" s="74">
        <f>IF('Monthly Summary'!AA293="",NA(),'Monthly Summary'!AA293)</f>
      </c>
      <c r="G294" s="74">
        <f>IF('Monthly Summary'!AB293="",NA(),'Monthly Summary'!AB293)</f>
      </c>
      <c r="H294" s="74">
        <f>IF('Monthly Summary'!AC293="",NA(),'Monthly Summary'!AC293)</f>
      </c>
      <c r="I294" s="74">
        <f>IF('Monthly Summary'!AD293="",NA(),'Monthly Summary'!AD293)</f>
      </c>
      <c r="J294" s="74">
        <f>IF('Monthly Summary'!AE293="",NA(),'Monthly Summary'!AE293)</f>
      </c>
      <c r="K294" s="74">
        <f>IF('Monthly Summary'!AF293="",NA(),'Monthly Summary'!AF293)</f>
      </c>
      <c r="L294" s="74">
        <f>IF('Monthly Summary'!AG293="",NA(),'Monthly Summary'!AG293)</f>
      </c>
      <c r="M294" s="74">
        <f>IF('Monthly Summary'!AH293="",NA(),'Monthly Summary'!AH293)</f>
      </c>
      <c r="N294" s="74">
        <f>IF('Monthly Summary'!AI293="",NA(),'Monthly Summary'!AI293)</f>
      </c>
      <c r="O294" s="74">
        <f>IF('Monthly Summary'!AJ293="",NA(),'Monthly Summary'!AJ293)</f>
      </c>
      <c r="P294" s="74">
        <f>IF('Monthly Summary'!AK293="",NA(),'Monthly Summary'!AK293)</f>
      </c>
      <c r="Q294" s="74">
        <f>IF('Monthly Summary'!AL293="",NA(),'Monthly Summary'!AL293)</f>
      </c>
      <c r="R294" s="74">
        <f>IF('Monthly Summary'!AM293="",NA(),'Monthly Summary'!AM293)</f>
      </c>
      <c r="S294" s="74">
        <f>IF('Monthly Summary'!C293="",NA(),'Monthly Summary'!C293)</f>
      </c>
    </row>
    <row r="295" spans="1:19" x14ac:dyDescent="0.2">
      <c r="A295" s="73">
        <f>'Monthly Summary'!A294</f>
      </c>
      <c r="B295" s="74">
        <f>IF('Monthly Summary'!W294="",NA(),'Monthly Summary'!W294)</f>
      </c>
      <c r="C295" s="74">
        <f>IF('Monthly Summary'!X294="",NA(),'Monthly Summary'!X294)</f>
      </c>
      <c r="D295" s="74">
        <f>IF('Monthly Summary'!Y294="",NA(),'Monthly Summary'!Y294)</f>
      </c>
      <c r="E295" s="74">
        <f>IF('Monthly Summary'!Z294="",NA(),'Monthly Summary'!Z294)</f>
      </c>
      <c r="F295" s="74">
        <f>IF('Monthly Summary'!AA294="",NA(),'Monthly Summary'!AA294)</f>
      </c>
      <c r="G295" s="74">
        <f>IF('Monthly Summary'!AB294="",NA(),'Monthly Summary'!AB294)</f>
      </c>
      <c r="H295" s="74">
        <f>IF('Monthly Summary'!AC294="",NA(),'Monthly Summary'!AC294)</f>
      </c>
      <c r="I295" s="74">
        <f>IF('Monthly Summary'!AD294="",NA(),'Monthly Summary'!AD294)</f>
      </c>
      <c r="J295" s="74">
        <f>IF('Monthly Summary'!AE294="",NA(),'Monthly Summary'!AE294)</f>
      </c>
      <c r="K295" s="74">
        <f>IF('Monthly Summary'!AF294="",NA(),'Monthly Summary'!AF294)</f>
      </c>
      <c r="L295" s="74">
        <f>IF('Monthly Summary'!AG294="",NA(),'Monthly Summary'!AG294)</f>
      </c>
      <c r="M295" s="74">
        <f>IF('Monthly Summary'!AH294="",NA(),'Monthly Summary'!AH294)</f>
      </c>
      <c r="N295" s="74">
        <f>IF('Monthly Summary'!AI294="",NA(),'Monthly Summary'!AI294)</f>
      </c>
      <c r="O295" s="74">
        <f>IF('Monthly Summary'!AJ294="",NA(),'Monthly Summary'!AJ294)</f>
      </c>
      <c r="P295" s="74">
        <f>IF('Monthly Summary'!AK294="",NA(),'Monthly Summary'!AK294)</f>
      </c>
      <c r="Q295" s="74">
        <f>IF('Monthly Summary'!AL294="",NA(),'Monthly Summary'!AL294)</f>
      </c>
      <c r="R295" s="74">
        <f>IF('Monthly Summary'!AM294="",NA(),'Monthly Summary'!AM294)</f>
      </c>
      <c r="S295" s="74">
        <f>IF('Monthly Summary'!C294="",NA(),'Monthly Summary'!C294)</f>
      </c>
    </row>
    <row r="296" spans="1:19" x14ac:dyDescent="0.2">
      <c r="A296" s="73">
        <f>'Monthly Summary'!A295</f>
      </c>
      <c r="B296" s="74">
        <f>IF('Monthly Summary'!W295="",NA(),'Monthly Summary'!W295)</f>
      </c>
      <c r="C296" s="74">
        <f>IF('Monthly Summary'!X295="",NA(),'Monthly Summary'!X295)</f>
      </c>
      <c r="D296" s="74">
        <f>IF('Monthly Summary'!Y295="",NA(),'Monthly Summary'!Y295)</f>
      </c>
      <c r="E296" s="74">
        <f>IF('Monthly Summary'!Z295="",NA(),'Monthly Summary'!Z295)</f>
      </c>
      <c r="F296" s="74">
        <f>IF('Monthly Summary'!AA295="",NA(),'Monthly Summary'!AA295)</f>
      </c>
      <c r="G296" s="74">
        <f>IF('Monthly Summary'!AB295="",NA(),'Monthly Summary'!AB295)</f>
      </c>
      <c r="H296" s="74">
        <f>IF('Monthly Summary'!AC295="",NA(),'Monthly Summary'!AC295)</f>
      </c>
      <c r="I296" s="74">
        <f>IF('Monthly Summary'!AD295="",NA(),'Monthly Summary'!AD295)</f>
      </c>
      <c r="J296" s="74">
        <f>IF('Monthly Summary'!AE295="",NA(),'Monthly Summary'!AE295)</f>
      </c>
      <c r="K296" s="74">
        <f>IF('Monthly Summary'!AF295="",NA(),'Monthly Summary'!AF295)</f>
      </c>
      <c r="L296" s="74">
        <f>IF('Monthly Summary'!AG295="",NA(),'Monthly Summary'!AG295)</f>
      </c>
      <c r="M296" s="74">
        <f>IF('Monthly Summary'!AH295="",NA(),'Monthly Summary'!AH295)</f>
      </c>
      <c r="N296" s="74">
        <f>IF('Monthly Summary'!AI295="",NA(),'Monthly Summary'!AI295)</f>
      </c>
      <c r="O296" s="74">
        <f>IF('Monthly Summary'!AJ295="",NA(),'Monthly Summary'!AJ295)</f>
      </c>
      <c r="P296" s="74">
        <f>IF('Monthly Summary'!AK295="",NA(),'Monthly Summary'!AK295)</f>
      </c>
      <c r="Q296" s="74">
        <f>IF('Monthly Summary'!AL295="",NA(),'Monthly Summary'!AL295)</f>
      </c>
      <c r="R296" s="74">
        <f>IF('Monthly Summary'!AM295="",NA(),'Monthly Summary'!AM295)</f>
      </c>
      <c r="S296" s="74">
        <f>IF('Monthly Summary'!C295="",NA(),'Monthly Summary'!C295)</f>
      </c>
    </row>
    <row r="297" spans="1:19" x14ac:dyDescent="0.2">
      <c r="A297" s="73">
        <f>'Monthly Summary'!A296</f>
      </c>
      <c r="B297" s="74">
        <f>IF('Monthly Summary'!W296="",NA(),'Monthly Summary'!W296)</f>
      </c>
      <c r="C297" s="74">
        <f>IF('Monthly Summary'!X296="",NA(),'Monthly Summary'!X296)</f>
      </c>
      <c r="D297" s="74">
        <f>IF('Monthly Summary'!Y296="",NA(),'Monthly Summary'!Y296)</f>
      </c>
      <c r="E297" s="74">
        <f>IF('Monthly Summary'!Z296="",NA(),'Monthly Summary'!Z296)</f>
      </c>
      <c r="F297" s="74">
        <f>IF('Monthly Summary'!AA296="",NA(),'Monthly Summary'!AA296)</f>
      </c>
      <c r="G297" s="74">
        <f>IF('Monthly Summary'!AB296="",NA(),'Monthly Summary'!AB296)</f>
      </c>
      <c r="H297" s="74">
        <f>IF('Monthly Summary'!AC296="",NA(),'Monthly Summary'!AC296)</f>
      </c>
      <c r="I297" s="74">
        <f>IF('Monthly Summary'!AD296="",NA(),'Monthly Summary'!AD296)</f>
      </c>
      <c r="J297" s="74">
        <f>IF('Monthly Summary'!AE296="",NA(),'Monthly Summary'!AE296)</f>
      </c>
      <c r="K297" s="74">
        <f>IF('Monthly Summary'!AF296="",NA(),'Monthly Summary'!AF296)</f>
      </c>
      <c r="L297" s="74">
        <f>IF('Monthly Summary'!AG296="",NA(),'Monthly Summary'!AG296)</f>
      </c>
      <c r="M297" s="74">
        <f>IF('Monthly Summary'!AH296="",NA(),'Monthly Summary'!AH296)</f>
      </c>
      <c r="N297" s="74">
        <f>IF('Monthly Summary'!AI296="",NA(),'Monthly Summary'!AI296)</f>
      </c>
      <c r="O297" s="74">
        <f>IF('Monthly Summary'!AJ296="",NA(),'Monthly Summary'!AJ296)</f>
      </c>
      <c r="P297" s="74">
        <f>IF('Monthly Summary'!AK296="",NA(),'Monthly Summary'!AK296)</f>
      </c>
      <c r="Q297" s="74">
        <f>IF('Monthly Summary'!AL296="",NA(),'Monthly Summary'!AL296)</f>
      </c>
      <c r="R297" s="74">
        <f>IF('Monthly Summary'!AM296="",NA(),'Monthly Summary'!AM296)</f>
      </c>
      <c r="S297" s="74">
        <f>IF('Monthly Summary'!C296="",NA(),'Monthly Summary'!C296)</f>
      </c>
    </row>
    <row r="298" spans="1:19" x14ac:dyDescent="0.2">
      <c r="A298" s="73">
        <f>'Monthly Summary'!A297</f>
      </c>
      <c r="B298" s="74">
        <f>IF('Monthly Summary'!W297="",NA(),'Monthly Summary'!W297)</f>
      </c>
      <c r="C298" s="74">
        <f>IF('Monthly Summary'!X297="",NA(),'Monthly Summary'!X297)</f>
      </c>
      <c r="D298" s="74">
        <f>IF('Monthly Summary'!Y297="",NA(),'Monthly Summary'!Y297)</f>
      </c>
      <c r="E298" s="74">
        <f>IF('Monthly Summary'!Z297="",NA(),'Monthly Summary'!Z297)</f>
      </c>
      <c r="F298" s="74">
        <f>IF('Monthly Summary'!AA297="",NA(),'Monthly Summary'!AA297)</f>
      </c>
      <c r="G298" s="74">
        <f>IF('Monthly Summary'!AB297="",NA(),'Monthly Summary'!AB297)</f>
      </c>
      <c r="H298" s="74">
        <f>IF('Monthly Summary'!AC297="",NA(),'Monthly Summary'!AC297)</f>
      </c>
      <c r="I298" s="74">
        <f>IF('Monthly Summary'!AD297="",NA(),'Monthly Summary'!AD297)</f>
      </c>
      <c r="J298" s="74">
        <f>IF('Monthly Summary'!AE297="",NA(),'Monthly Summary'!AE297)</f>
      </c>
      <c r="K298" s="74">
        <f>IF('Monthly Summary'!AF297="",NA(),'Monthly Summary'!AF297)</f>
      </c>
      <c r="L298" s="74">
        <f>IF('Monthly Summary'!AG297="",NA(),'Monthly Summary'!AG297)</f>
      </c>
      <c r="M298" s="74">
        <f>IF('Monthly Summary'!AH297="",NA(),'Monthly Summary'!AH297)</f>
      </c>
      <c r="N298" s="74">
        <f>IF('Monthly Summary'!AI297="",NA(),'Monthly Summary'!AI297)</f>
      </c>
      <c r="O298" s="74">
        <f>IF('Monthly Summary'!AJ297="",NA(),'Monthly Summary'!AJ297)</f>
      </c>
      <c r="P298" s="74">
        <f>IF('Monthly Summary'!AK297="",NA(),'Monthly Summary'!AK297)</f>
      </c>
      <c r="Q298" s="74">
        <f>IF('Monthly Summary'!AL297="",NA(),'Monthly Summary'!AL297)</f>
      </c>
      <c r="R298" s="74">
        <f>IF('Monthly Summary'!AM297="",NA(),'Monthly Summary'!AM297)</f>
      </c>
      <c r="S298" s="74">
        <f>IF('Monthly Summary'!C297="",NA(),'Monthly Summary'!C297)</f>
      </c>
    </row>
    <row r="299" spans="1:19" x14ac:dyDescent="0.2">
      <c r="A299" s="73">
        <f>'Monthly Summary'!A298</f>
      </c>
      <c r="B299" s="74">
        <f>IF('Monthly Summary'!W298="",NA(),'Monthly Summary'!W298)</f>
      </c>
      <c r="C299" s="74">
        <f>IF('Monthly Summary'!X298="",NA(),'Monthly Summary'!X298)</f>
      </c>
      <c r="D299" s="74">
        <f>IF('Monthly Summary'!Y298="",NA(),'Monthly Summary'!Y298)</f>
      </c>
      <c r="E299" s="74">
        <f>IF('Monthly Summary'!Z298="",NA(),'Monthly Summary'!Z298)</f>
      </c>
      <c r="F299" s="74">
        <f>IF('Monthly Summary'!AA298="",NA(),'Monthly Summary'!AA298)</f>
      </c>
      <c r="G299" s="74">
        <f>IF('Monthly Summary'!AB298="",NA(),'Monthly Summary'!AB298)</f>
      </c>
      <c r="H299" s="74">
        <f>IF('Monthly Summary'!AC298="",NA(),'Monthly Summary'!AC298)</f>
      </c>
      <c r="I299" s="74">
        <f>IF('Monthly Summary'!AD298="",NA(),'Monthly Summary'!AD298)</f>
      </c>
      <c r="J299" s="74">
        <f>IF('Monthly Summary'!AE298="",NA(),'Monthly Summary'!AE298)</f>
      </c>
      <c r="K299" s="74">
        <f>IF('Monthly Summary'!AF298="",NA(),'Monthly Summary'!AF298)</f>
      </c>
      <c r="L299" s="74">
        <f>IF('Monthly Summary'!AG298="",NA(),'Monthly Summary'!AG298)</f>
      </c>
      <c r="M299" s="74">
        <f>IF('Monthly Summary'!AH298="",NA(),'Monthly Summary'!AH298)</f>
      </c>
      <c r="N299" s="74">
        <f>IF('Monthly Summary'!AI298="",NA(),'Monthly Summary'!AI298)</f>
      </c>
      <c r="O299" s="74">
        <f>IF('Monthly Summary'!AJ298="",NA(),'Monthly Summary'!AJ298)</f>
      </c>
      <c r="P299" s="74">
        <f>IF('Monthly Summary'!AK298="",NA(),'Monthly Summary'!AK298)</f>
      </c>
      <c r="Q299" s="74">
        <f>IF('Monthly Summary'!AL298="",NA(),'Monthly Summary'!AL298)</f>
      </c>
      <c r="R299" s="74">
        <f>IF('Monthly Summary'!AM298="",NA(),'Monthly Summary'!AM298)</f>
      </c>
      <c r="S299" s="74">
        <f>IF('Monthly Summary'!C298="",NA(),'Monthly Summary'!C298)</f>
      </c>
    </row>
    <row r="300" spans="1:19" x14ac:dyDescent="0.2">
      <c r="A300" s="73">
        <f>'Monthly Summary'!A299</f>
      </c>
      <c r="B300" s="74">
        <f>IF('Monthly Summary'!W299="",NA(),'Monthly Summary'!W299)</f>
      </c>
      <c r="C300" s="74">
        <f>IF('Monthly Summary'!X299="",NA(),'Monthly Summary'!X299)</f>
      </c>
      <c r="D300" s="74">
        <f>IF('Monthly Summary'!Y299="",NA(),'Monthly Summary'!Y299)</f>
      </c>
      <c r="E300" s="74">
        <f>IF('Monthly Summary'!Z299="",NA(),'Monthly Summary'!Z299)</f>
      </c>
      <c r="F300" s="74">
        <f>IF('Monthly Summary'!AA299="",NA(),'Monthly Summary'!AA299)</f>
      </c>
      <c r="G300" s="74">
        <f>IF('Monthly Summary'!AB299="",NA(),'Monthly Summary'!AB299)</f>
      </c>
      <c r="H300" s="74">
        <f>IF('Monthly Summary'!AC299="",NA(),'Monthly Summary'!AC299)</f>
      </c>
      <c r="I300" s="74">
        <f>IF('Monthly Summary'!AD299="",NA(),'Monthly Summary'!AD299)</f>
      </c>
      <c r="J300" s="74">
        <f>IF('Monthly Summary'!AE299="",NA(),'Monthly Summary'!AE299)</f>
      </c>
      <c r="K300" s="74">
        <f>IF('Monthly Summary'!AF299="",NA(),'Monthly Summary'!AF299)</f>
      </c>
      <c r="L300" s="74">
        <f>IF('Monthly Summary'!AG299="",NA(),'Monthly Summary'!AG299)</f>
      </c>
      <c r="M300" s="74">
        <f>IF('Monthly Summary'!AH299="",NA(),'Monthly Summary'!AH299)</f>
      </c>
      <c r="N300" s="74">
        <f>IF('Monthly Summary'!AI299="",NA(),'Monthly Summary'!AI299)</f>
      </c>
      <c r="O300" s="74">
        <f>IF('Monthly Summary'!AJ299="",NA(),'Monthly Summary'!AJ299)</f>
      </c>
      <c r="P300" s="74">
        <f>IF('Monthly Summary'!AK299="",NA(),'Monthly Summary'!AK299)</f>
      </c>
      <c r="Q300" s="74">
        <f>IF('Monthly Summary'!AL299="",NA(),'Monthly Summary'!AL299)</f>
      </c>
      <c r="R300" s="74">
        <f>IF('Monthly Summary'!AM299="",NA(),'Monthly Summary'!AM299)</f>
      </c>
      <c r="S300" s="74">
        <f>IF('Monthly Summary'!C299="",NA(),'Monthly Summary'!C299)</f>
      </c>
    </row>
    <row r="301" spans="1:19" x14ac:dyDescent="0.2">
      <c r="A301" s="73">
        <f>'Monthly Summary'!A300</f>
      </c>
      <c r="B301" s="74">
        <f>IF('Monthly Summary'!W300="",NA(),'Monthly Summary'!W300)</f>
      </c>
      <c r="C301" s="74">
        <f>IF('Monthly Summary'!X300="",NA(),'Monthly Summary'!X300)</f>
      </c>
      <c r="D301" s="74">
        <f>IF('Monthly Summary'!Y300="",NA(),'Monthly Summary'!Y300)</f>
      </c>
      <c r="E301" s="74">
        <f>IF('Monthly Summary'!Z300="",NA(),'Monthly Summary'!Z300)</f>
      </c>
      <c r="F301" s="74">
        <f>IF('Monthly Summary'!AA300="",NA(),'Monthly Summary'!AA300)</f>
      </c>
      <c r="G301" s="74">
        <f>IF('Monthly Summary'!AB300="",NA(),'Monthly Summary'!AB300)</f>
      </c>
      <c r="H301" s="74">
        <f>IF('Monthly Summary'!AC300="",NA(),'Monthly Summary'!AC300)</f>
      </c>
      <c r="I301" s="74">
        <f>IF('Monthly Summary'!AD300="",NA(),'Monthly Summary'!AD300)</f>
      </c>
      <c r="J301" s="74">
        <f>IF('Monthly Summary'!AE300="",NA(),'Monthly Summary'!AE300)</f>
      </c>
      <c r="K301" s="74">
        <f>IF('Monthly Summary'!AF300="",NA(),'Monthly Summary'!AF300)</f>
      </c>
      <c r="L301" s="74">
        <f>IF('Monthly Summary'!AG300="",NA(),'Monthly Summary'!AG300)</f>
      </c>
      <c r="M301" s="74">
        <f>IF('Monthly Summary'!AH300="",NA(),'Monthly Summary'!AH300)</f>
      </c>
      <c r="N301" s="74">
        <f>IF('Monthly Summary'!AI300="",NA(),'Monthly Summary'!AI300)</f>
      </c>
      <c r="O301" s="74">
        <f>IF('Monthly Summary'!AJ300="",NA(),'Monthly Summary'!AJ300)</f>
      </c>
      <c r="P301" s="74">
        <f>IF('Monthly Summary'!AK300="",NA(),'Monthly Summary'!AK300)</f>
      </c>
      <c r="Q301" s="74">
        <f>IF('Monthly Summary'!AL300="",NA(),'Monthly Summary'!AL300)</f>
      </c>
      <c r="R301" s="74">
        <f>IF('Monthly Summary'!AM300="",NA(),'Monthly Summary'!AM300)</f>
      </c>
      <c r="S301" s="74">
        <f>IF('Monthly Summary'!C300="",NA(),'Monthly Summary'!C300)</f>
      </c>
    </row>
    <row r="302" spans="1:19" x14ac:dyDescent="0.2">
      <c r="A302" s="73">
        <f>'Monthly Summary'!A301</f>
      </c>
      <c r="B302" s="74">
        <f>IF('Monthly Summary'!W301="",NA(),'Monthly Summary'!W301)</f>
      </c>
      <c r="C302" s="74">
        <f>IF('Monthly Summary'!X301="",NA(),'Monthly Summary'!X301)</f>
      </c>
      <c r="D302" s="74">
        <f>IF('Monthly Summary'!Y301="",NA(),'Monthly Summary'!Y301)</f>
      </c>
      <c r="E302" s="74">
        <f>IF('Monthly Summary'!Z301="",NA(),'Monthly Summary'!Z301)</f>
      </c>
      <c r="F302" s="74">
        <f>IF('Monthly Summary'!AA301="",NA(),'Monthly Summary'!AA301)</f>
      </c>
      <c r="G302" s="74">
        <f>IF('Monthly Summary'!AB301="",NA(),'Monthly Summary'!AB301)</f>
      </c>
      <c r="H302" s="74">
        <f>IF('Monthly Summary'!AC301="",NA(),'Monthly Summary'!AC301)</f>
      </c>
      <c r="I302" s="74">
        <f>IF('Monthly Summary'!AD301="",NA(),'Monthly Summary'!AD301)</f>
      </c>
      <c r="J302" s="74">
        <f>IF('Monthly Summary'!AE301="",NA(),'Monthly Summary'!AE301)</f>
      </c>
      <c r="K302" s="74">
        <f>IF('Monthly Summary'!AF301="",NA(),'Monthly Summary'!AF301)</f>
      </c>
      <c r="L302" s="74">
        <f>IF('Monthly Summary'!AG301="",NA(),'Monthly Summary'!AG301)</f>
      </c>
      <c r="M302" s="74">
        <f>IF('Monthly Summary'!AH301="",NA(),'Monthly Summary'!AH301)</f>
      </c>
      <c r="N302" s="74">
        <f>IF('Monthly Summary'!AI301="",NA(),'Monthly Summary'!AI301)</f>
      </c>
      <c r="O302" s="74">
        <f>IF('Monthly Summary'!AJ301="",NA(),'Monthly Summary'!AJ301)</f>
      </c>
      <c r="P302" s="74">
        <f>IF('Monthly Summary'!AK301="",NA(),'Monthly Summary'!AK301)</f>
      </c>
      <c r="Q302" s="74">
        <f>IF('Monthly Summary'!AL301="",NA(),'Monthly Summary'!AL301)</f>
      </c>
      <c r="R302" s="74">
        <f>IF('Monthly Summary'!AM301="",NA(),'Monthly Summary'!AM301)</f>
      </c>
      <c r="S302" s="74">
        <f>IF('Monthly Summary'!C301="",NA(),'Monthly Summary'!C301)</f>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19C4C-08F2-434B-8616-98102D44B2CA}">
  <dimension ref="A1"/>
  <sheetViews>
    <sheetView tabSelected="1" workbookViewId="0"/>
  </sheetViews>
  <sheetFormatPr baseColWidth="10" defaultRowHeight="15" x14ac:dyDescent="0.2"/>
  <sheetData/>
  <pageMargins left="0.7" right="0.7" top="0.75" bottom="0.75" header="0.3" footer="0.3"/>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2026-08-18T11:30:31Z</dcterms:created>
  <dcterms:modified xmlns:dcterms="http://purl.org/dc/terms/" xmlns:xsi="http://www.w3.org/2001/XMLSchema-instance" xsi:type="dcterms:W3CDTF">2026-08-18T11:30:32Z</dcterms:modified>
</cp:coreProperties>
</file>