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Instructions" sheetId="1" state="visible" r:id="rId1"/>
    <sheet xmlns:r="http://schemas.openxmlformats.org/officeDocument/2006/relationships" name="Dashboard" sheetId="2" state="visible" r:id="rId2"/>
    <sheet xmlns:r="http://schemas.openxmlformats.org/officeDocument/2006/relationships" name="Monthly Summary" sheetId="3" state="visible" r:id="rId3"/>
    <sheet xmlns:r="http://schemas.openxmlformats.org/officeDocument/2006/relationships" name="Entries" sheetId="4" state="visible" r:id="rId4"/>
    <sheet xmlns:r="http://schemas.openxmlformats.org/officeDocument/2006/relationships" name="Budgets" sheetId="5" state="visible" r:id="rId5"/>
    <sheet xmlns:r="http://schemas.openxmlformats.org/officeDocument/2006/relationships" name="Categories"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7">
    <numFmt numFmtId="164" formatCode="\$#,##0"/>
    <numFmt numFmtId="165" formatCode="0.0%"/>
    <numFmt numFmtId="166" formatCode="yyyy\-mm"/>
    <numFmt numFmtId="167" formatCode="yyyy\-mm\-dd"/>
    <numFmt numFmtId="168" formatCode="$#,##0"/>
    <numFmt numFmtId="169" formatCode="yyyy-mm"/>
    <numFmt numFmtId="170" formatCode="yyyy-mm-dd"/>
  </numFmts>
  <fonts count="3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color rgb="FF222222"/>
      <sz val="10"/>
    </font>
    <font>
      <name val="Arial"/>
      <charset val="1"/>
      <family val="0"/>
      <b val="1"/>
      <color rgb="FF1F4E5F"/>
      <sz val="11"/>
    </font>
    <font>
      <name val="Arial"/>
      <charset val="1"/>
      <family val="0"/>
      <color rgb="FF11524A"/>
      <sz val="10"/>
    </font>
    <font>
      <name val="Arial"/>
      <charset val="1"/>
      <family val="0"/>
      <b val="1"/>
      <color rgb="FF11524A"/>
      <sz val="10"/>
    </font>
    <font>
      <name val="Arial"/>
      <charset val="1"/>
      <family val="0"/>
      <color rgb="FF808080"/>
      <sz val="9"/>
    </font>
    <font>
      <name val="Courier New"/>
      <charset val="1"/>
      <family val="0"/>
      <color rgb="FFB03A2E"/>
      <sz val="9"/>
    </font>
    <font>
      <name val="Arial"/>
      <charset val="1"/>
      <family val="0"/>
      <b val="1"/>
      <color rgb="FF1F4E5F"/>
      <sz val="16"/>
    </font>
    <font>
      <name val="Arial"/>
      <charset val="1"/>
      <family val="0"/>
      <color rgb="FF777777"/>
      <sz val="10"/>
    </font>
    <font>
      <name val="Arial"/>
      <charset val="1"/>
      <family val="0"/>
      <color rgb="FF555555"/>
      <sz val="10"/>
    </font>
    <font>
      <name val="Arial"/>
      <charset val="1"/>
      <family val="0"/>
      <b val="1"/>
      <color rgb="FF1F4E5F"/>
      <sz val="18"/>
    </font>
    <font>
      <name val="Arial"/>
      <charset val="1"/>
      <family val="0"/>
      <b val="1"/>
      <color rgb="FF777777"/>
      <sz val="9"/>
    </font>
    <font>
      <name val="Arial"/>
      <charset val="1"/>
      <family val="0"/>
      <b val="1"/>
      <color rgb="FF000000"/>
      <sz val="10"/>
    </font>
    <font>
      <name val="Arial"/>
      <charset val="1"/>
      <family val="0"/>
      <color rgb="FF777777"/>
      <sz val="9"/>
    </font>
    <font>
      <name val="Arial"/>
      <charset val="1"/>
      <family val="0"/>
      <color rgb="FF000000"/>
      <sz val="10"/>
    </font>
    <font>
      <name val="Calibri"/>
      <family val="2"/>
      <b val="1"/>
      <color rgb="FF000000"/>
      <sz val="18"/>
    </font>
    <font>
      <name val="Calibri"/>
      <family val="2"/>
      <color rgb="FF000000"/>
      <sz val="10"/>
    </font>
    <font>
      <name val="Arial"/>
      <charset val="1"/>
      <family val="0"/>
      <b val="1"/>
      <color rgb="FFFFFFFF"/>
      <sz val="10"/>
    </font>
    <font>
      <name val="Arial"/>
      <charset val="1"/>
      <family val="0"/>
      <color rgb="FFBBBBBB"/>
      <sz val="8"/>
    </font>
    <font>
      <name val="Arial"/>
      <charset val="1"/>
      <family val="0"/>
      <color rgb="FF0000FF"/>
      <sz val="10"/>
    </font>
    <font>
      <name val="Arial"/>
      <charset val="1"/>
      <family val="0"/>
      <color rgb="FF808080"/>
      <sz val="10"/>
    </font>
    <font>
      <name val="Arial"/>
      <charset val="1"/>
      <family val="0"/>
      <i val="1"/>
      <color rgb="FF808080"/>
      <sz val="9"/>
    </font>
    <font>
      <name val="Arial"/>
      <b val="1"/>
      <color rgb="00FFFFFF"/>
      <sz val="10"/>
    </font>
    <font>
      <name val="Arial"/>
      <color rgb="00BBBBBB"/>
      <sz val="8"/>
    </font>
    <font>
      <name val="Arial"/>
      <color rgb="00000000"/>
      <sz val="10"/>
    </font>
    <font>
      <name val="Arial"/>
      <b val="1"/>
      <color rgb="001F4E5F"/>
      <sz val="16"/>
    </font>
    <font>
      <name val="Arial"/>
      <color rgb="00777777"/>
      <sz val="10"/>
    </font>
    <font>
      <name val="Arial"/>
      <color rgb="00555555"/>
      <sz val="10"/>
    </font>
    <font>
      <name val="Arial"/>
      <b val="1"/>
      <color rgb="001F4E5F"/>
      <sz val="18"/>
    </font>
    <font>
      <name val="Arial"/>
      <b val="1"/>
      <color rgb="00777777"/>
      <sz val="9"/>
    </font>
    <font>
      <name val="Arial"/>
      <b val="1"/>
      <color rgb="00000000"/>
      <sz val="10"/>
    </font>
    <font>
      <name val="Arial"/>
      <color rgb="00777777"/>
      <sz val="9"/>
    </font>
    <font>
      <name val="Arial"/>
      <color rgb="000000FF"/>
      <sz val="10"/>
    </font>
    <font>
      <name val="Arial"/>
      <color rgb="00808080"/>
      <sz val="10"/>
    </font>
    <font>
      <name val="Arial"/>
      <color rgb="00808080"/>
      <sz val="9"/>
    </font>
  </fonts>
  <fills count="13">
    <fill>
      <patternFill/>
    </fill>
    <fill>
      <patternFill patternType="gray125"/>
    </fill>
    <fill>
      <patternFill patternType="solid">
        <fgColor rgb="FF1F4E5F"/>
        <bgColor rgb="FF11524A"/>
      </patternFill>
    </fill>
    <fill>
      <patternFill patternType="solid">
        <fgColor rgb="FFDDEBF1"/>
        <bgColor rgb="FFF2F7F5"/>
      </patternFill>
    </fill>
    <fill>
      <patternFill patternType="solid">
        <fgColor rgb="FFF2F7F5"/>
        <bgColor rgb="FFFFFFFF"/>
      </patternFill>
    </fill>
    <fill>
      <patternFill patternType="solid">
        <fgColor rgb="FFFFFFFF"/>
        <bgColor rgb="FFF2F7F5"/>
      </patternFill>
    </fill>
    <fill>
      <patternFill patternType="solid">
        <fgColor rgb="FF2E7D8A"/>
        <bgColor rgb="FF4F81BD"/>
      </patternFill>
    </fill>
    <fill>
      <patternFill patternType="solid">
        <fgColor rgb="FFB07D2B"/>
        <bgColor rgb="FFC0504D"/>
      </patternFill>
    </fill>
    <fill>
      <patternFill patternType="solid">
        <fgColor rgb="FFFFF7CC"/>
        <bgColor rgb="FFF2F7F5"/>
      </patternFill>
    </fill>
    <fill>
      <patternFill patternType="solid">
        <fgColor rgb="001F4E5F"/>
      </patternFill>
    </fill>
    <fill>
      <patternFill patternType="solid">
        <fgColor rgb="002E7D8A"/>
      </patternFill>
    </fill>
    <fill>
      <patternFill patternType="solid">
        <fgColor rgb="00B07D2B"/>
      </patternFill>
    </fill>
    <fill>
      <patternFill patternType="solid">
        <fgColor rgb="00FFF7CC"/>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0" applyAlignment="1" pivotButton="0" quotePrefix="0" xfId="0">
      <alignment horizontal="general" vertical="top" wrapText="1"/>
    </xf>
    <xf numFmtId="0" fontId="6" fillId="3" borderId="0" applyAlignment="1" pivotButton="0" quotePrefix="0" xfId="0">
      <alignment horizontal="general" vertical="center"/>
    </xf>
    <xf numFmtId="0" fontId="7" fillId="4" borderId="0" applyAlignment="1" pivotButton="0" quotePrefix="0" xfId="0">
      <alignment horizontal="general" vertical="center" wrapText="1"/>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center"/>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164" fontId="14" fillId="0" borderId="0" applyAlignment="1" pivotButton="0" quotePrefix="0" xfId="0">
      <alignment horizontal="general" vertical="bottom"/>
    </xf>
    <xf numFmtId="165"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166" fontId="0" fillId="0" borderId="0" applyAlignment="1" pivotButton="0" quotePrefix="0" xfId="0">
      <alignment horizontal="general" vertical="bottom"/>
    </xf>
    <xf numFmtId="0" fontId="18" fillId="0" borderId="0" applyAlignment="1" pivotButton="0" quotePrefix="0" xfId="0">
      <alignment horizontal="general" vertical="bottom"/>
    </xf>
    <xf numFmtId="164" fontId="0" fillId="0" borderId="0" applyAlignment="1" pivotButton="0" quotePrefix="0" xfId="0">
      <alignment horizontal="general" vertical="bottom"/>
    </xf>
    <xf numFmtId="0" fontId="21" fillId="2" borderId="0" applyAlignment="1" pivotButton="0" quotePrefix="0" xfId="0">
      <alignment horizontal="center" vertical="bottom" wrapText="1"/>
    </xf>
    <xf numFmtId="0" fontId="0" fillId="5" borderId="0" applyAlignment="1" pivotButton="0" quotePrefix="0" xfId="0">
      <alignment horizontal="general" vertical="bottom"/>
    </xf>
    <xf numFmtId="0" fontId="21" fillId="6" borderId="0" applyAlignment="1" pivotButton="0" quotePrefix="0" xfId="0">
      <alignment horizontal="center" vertical="bottom" wrapText="1"/>
    </xf>
    <xf numFmtId="0" fontId="21" fillId="7" borderId="0" applyAlignment="1" pivotButton="0" quotePrefix="0" xfId="0">
      <alignment horizontal="center" vertical="bottom" wrapText="1"/>
    </xf>
    <xf numFmtId="0" fontId="22" fillId="0" borderId="0" applyAlignment="1" pivotButton="0" quotePrefix="0" xfId="0">
      <alignment horizontal="general" vertical="bottom"/>
    </xf>
    <xf numFmtId="166" fontId="18" fillId="0" borderId="0" applyAlignment="1" pivotButton="0" quotePrefix="0" xfId="0">
      <alignment horizontal="general" vertical="bottom"/>
    </xf>
    <xf numFmtId="164" fontId="18" fillId="0" borderId="0" applyAlignment="1" pivotButton="0" quotePrefix="0" xfId="0">
      <alignment horizontal="general" vertical="bottom"/>
    </xf>
    <xf numFmtId="165" fontId="18" fillId="0" borderId="0" applyAlignment="1" pivotButton="0" quotePrefix="0" xfId="0">
      <alignment horizontal="general" vertical="bottom"/>
    </xf>
    <xf numFmtId="165" fontId="0" fillId="0" borderId="0" applyAlignment="1" pivotButton="0" quotePrefix="0" xfId="0">
      <alignment horizontal="general" vertical="bottom"/>
    </xf>
    <xf numFmtId="0" fontId="21" fillId="2" borderId="0" applyAlignment="1" pivotButton="0" quotePrefix="0" xfId="0">
      <alignment horizontal="center" vertical="bottom"/>
    </xf>
    <xf numFmtId="167" fontId="18" fillId="0" borderId="0" applyAlignment="1" pivotButton="0" quotePrefix="0" xfId="0">
      <alignment horizontal="general" vertical="bottom"/>
    </xf>
    <xf numFmtId="0" fontId="18" fillId="0" borderId="0" applyAlignment="1" pivotButton="0" quotePrefix="0" xfId="0">
      <alignment horizontal="general" vertical="bottom"/>
    </xf>
    <xf numFmtId="4" fontId="23" fillId="0" borderId="0" applyAlignment="1" pivotButton="0" quotePrefix="0" xfId="0">
      <alignment horizontal="general" vertical="bottom"/>
    </xf>
    <xf numFmtId="0" fontId="24" fillId="0" borderId="0" applyAlignment="1" pivotButton="0" quotePrefix="0" xfId="0">
      <alignment horizontal="general" vertical="bottom"/>
    </xf>
    <xf numFmtId="0" fontId="9" fillId="0" borderId="0" applyAlignment="1" pivotButton="0" quotePrefix="0" xfId="0">
      <alignment horizontal="general" vertical="bottom"/>
    </xf>
    <xf numFmtId="4" fontId="24" fillId="0" borderId="0" applyAlignment="1" pivotButton="0" quotePrefix="0" xfId="0">
      <alignment horizontal="general" vertical="bottom"/>
    </xf>
    <xf numFmtId="0" fontId="18" fillId="8" borderId="0" applyAlignment="1" pivotButton="0" quotePrefix="0" xfId="0">
      <alignment horizontal="general" vertical="bottom"/>
    </xf>
    <xf numFmtId="167" fontId="18" fillId="8" borderId="0" applyAlignment="1" pivotButton="0" quotePrefix="0" xfId="0">
      <alignment horizontal="general" vertical="bottom"/>
    </xf>
    <xf numFmtId="4" fontId="23" fillId="8" borderId="0" applyAlignment="1" pivotButton="0" quotePrefix="0" xfId="0">
      <alignment horizontal="general" vertical="bottom"/>
    </xf>
    <xf numFmtId="0" fontId="0" fillId="8" borderId="0" applyAlignment="1" pivotButton="0" quotePrefix="0" xfId="0">
      <alignment horizontal="general" vertical="bottom"/>
    </xf>
    <xf numFmtId="0" fontId="2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0" applyAlignment="1" pivotButton="0" quotePrefix="0" xfId="0">
      <alignment horizontal="general" vertical="top" wrapText="1"/>
    </xf>
    <xf numFmtId="0" fontId="6" fillId="3" borderId="0" applyAlignment="1" pivotButton="0" quotePrefix="0" xfId="0">
      <alignment horizontal="general" vertical="center"/>
    </xf>
    <xf numFmtId="0" fontId="7" fillId="4" borderId="0" applyAlignment="1" pivotButton="0" quotePrefix="0" xfId="0">
      <alignment horizontal="general" vertical="center" wrapText="1"/>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center"/>
    </xf>
    <xf numFmtId="0" fontId="29" fillId="0" borderId="0" pivotButton="0" quotePrefix="0" xfId="0"/>
    <xf numFmtId="0" fontId="30" fillId="0" borderId="0" pivotButton="0" quotePrefix="0" xfId="0"/>
    <xf numFmtId="0" fontId="31" fillId="0" borderId="0" pivotButton="0" quotePrefix="0" xfId="0"/>
    <xf numFmtId="0" fontId="32" fillId="0" borderId="0" pivotButton="0" quotePrefix="0" xfId="0"/>
    <xf numFmtId="168" fontId="32" fillId="0" borderId="0" pivotButton="0" quotePrefix="0" xfId="0"/>
    <xf numFmtId="165" fontId="32" fillId="0" borderId="0" pivotButton="0" quotePrefix="0" xfId="0"/>
    <xf numFmtId="0" fontId="33" fillId="0" borderId="0" pivotButton="0" quotePrefix="0" xfId="0"/>
    <xf numFmtId="0" fontId="34" fillId="0" borderId="0" pivotButton="0" quotePrefix="0" xfId="0"/>
    <xf numFmtId="0" fontId="35" fillId="0" borderId="0" pivotButton="0" quotePrefix="0" xfId="0"/>
    <xf numFmtId="169" fontId="0" fillId="0" borderId="0" pivotButton="0" quotePrefix="0" xfId="0"/>
    <xf numFmtId="0" fontId="28" fillId="0" borderId="0" pivotButton="0" quotePrefix="0" xfId="0"/>
    <xf numFmtId="168" fontId="0" fillId="0" borderId="0" pivotButton="0" quotePrefix="0" xfId="0"/>
    <xf numFmtId="0" fontId="26" fillId="9" borderId="0" applyAlignment="1" pivotButton="0" quotePrefix="0" xfId="0">
      <alignment horizontal="center" wrapText="1"/>
    </xf>
    <xf numFmtId="0" fontId="0" fillId="5" borderId="0" applyAlignment="1" pivotButton="0" quotePrefix="0" xfId="0">
      <alignment horizontal="general" vertical="bottom"/>
    </xf>
    <xf numFmtId="0" fontId="26" fillId="10" borderId="0" applyAlignment="1" pivotButton="0" quotePrefix="0" xfId="0">
      <alignment horizontal="center" wrapText="1"/>
    </xf>
    <xf numFmtId="0" fontId="26" fillId="11" borderId="0" applyAlignment="1" pivotButton="0" quotePrefix="0" xfId="0">
      <alignment horizontal="center" wrapText="1"/>
    </xf>
    <xf numFmtId="0" fontId="27" fillId="0" borderId="0" applyAlignment="1" pivotButton="0" quotePrefix="0" xfId="0">
      <alignment horizontal="general" vertical="bottom"/>
    </xf>
    <xf numFmtId="169" fontId="28" fillId="0" borderId="0" applyAlignment="1" pivotButton="0" quotePrefix="0" xfId="0">
      <alignment horizontal="general" vertical="bottom"/>
    </xf>
    <xf numFmtId="168" fontId="28" fillId="0" borderId="0" applyAlignment="1" pivotButton="0" quotePrefix="0" xfId="0">
      <alignment horizontal="general" vertical="bottom"/>
    </xf>
    <xf numFmtId="165" fontId="18" fillId="0" borderId="0" applyAlignment="1" pivotButton="0" quotePrefix="0" xfId="0">
      <alignment horizontal="general" vertical="bottom"/>
    </xf>
    <xf numFmtId="165" fontId="0" fillId="0" borderId="0" applyAlignment="1" pivotButton="0" quotePrefix="0" xfId="0">
      <alignment horizontal="general" vertical="bottom"/>
    </xf>
    <xf numFmtId="0" fontId="21" fillId="2" borderId="0" applyAlignment="1" pivotButton="0" quotePrefix="0" xfId="0">
      <alignment horizontal="center" vertical="bottom"/>
    </xf>
    <xf numFmtId="167" fontId="18" fillId="0" borderId="0" applyAlignment="1" pivotButton="0" quotePrefix="0" xfId="0">
      <alignment horizontal="general" vertical="bottom"/>
    </xf>
    <xf numFmtId="0" fontId="18" fillId="0" borderId="0" applyAlignment="1" pivotButton="0" quotePrefix="0" xfId="0">
      <alignment horizontal="general" vertical="bottom"/>
    </xf>
    <xf numFmtId="4" fontId="23" fillId="0" borderId="0" applyAlignment="1" pivotButton="0" quotePrefix="0" xfId="0">
      <alignment horizontal="general" vertical="bottom"/>
    </xf>
    <xf numFmtId="0" fontId="24" fillId="0" borderId="0" applyAlignment="1" pivotButton="0" quotePrefix="0" xfId="0">
      <alignment horizontal="general" vertical="bottom"/>
    </xf>
    <xf numFmtId="0" fontId="9" fillId="0" borderId="0" applyAlignment="1" pivotButton="0" quotePrefix="0" xfId="0">
      <alignment horizontal="general" vertical="bottom"/>
    </xf>
    <xf numFmtId="4" fontId="24" fillId="0" borderId="0" applyAlignment="1" pivotButton="0" quotePrefix="0" xfId="0">
      <alignment horizontal="general" vertical="bottom"/>
    </xf>
    <xf numFmtId="0" fontId="18" fillId="8" borderId="0" applyAlignment="1" pivotButton="0" quotePrefix="0" xfId="0">
      <alignment horizontal="general" vertical="bottom"/>
    </xf>
    <xf numFmtId="167" fontId="18" fillId="8" borderId="0" applyAlignment="1" pivotButton="0" quotePrefix="0" xfId="0">
      <alignment horizontal="general" vertical="bottom"/>
    </xf>
    <xf numFmtId="4" fontId="23" fillId="8" borderId="0" applyAlignment="1" pivotButton="0" quotePrefix="0" xfId="0">
      <alignment horizontal="general" vertical="bottom"/>
    </xf>
    <xf numFmtId="0" fontId="0" fillId="8" borderId="0" applyAlignment="1" pivotButton="0" quotePrefix="0" xfId="0">
      <alignment horizontal="general" vertical="bottom"/>
    </xf>
    <xf numFmtId="0" fontId="25" fillId="0" borderId="0" applyAlignment="1" pivotButton="0" quotePrefix="0" xfId="0">
      <alignment horizontal="general" vertical="bottom"/>
    </xf>
    <xf numFmtId="168" fontId="32" fillId="0" borderId="0" pivotButton="0" quotePrefix="0" xfId="0"/>
    <xf numFmtId="169" fontId="0" fillId="0" borderId="0" pivotButton="0" quotePrefix="0" xfId="0"/>
    <xf numFmtId="168" fontId="0" fillId="0" borderId="0" pivotButton="0" quotePrefix="0" xfId="0"/>
    <xf numFmtId="169" fontId="28" fillId="0" borderId="0" applyAlignment="1" pivotButton="0" quotePrefix="0" xfId="0">
      <alignment horizontal="general" vertical="bottom"/>
    </xf>
    <xf numFmtId="168" fontId="28" fillId="0" borderId="0" applyAlignment="1" pivotButton="0" quotePrefix="0" xfId="0">
      <alignment horizontal="general" vertical="bottom"/>
    </xf>
    <xf numFmtId="170" fontId="28" fillId="0" borderId="0" applyAlignment="1" pivotButton="0" quotePrefix="0" xfId="0">
      <alignment horizontal="general" vertical="bottom"/>
    </xf>
    <xf numFmtId="0" fontId="28" fillId="0" borderId="0" applyAlignment="1" pivotButton="0" quotePrefix="0" xfId="0">
      <alignment horizontal="general" vertical="bottom"/>
    </xf>
    <xf numFmtId="4" fontId="36" fillId="0" borderId="0" applyAlignment="1" pivotButton="0" quotePrefix="0" xfId="0">
      <alignment horizontal="general" vertical="bottom"/>
    </xf>
    <xf numFmtId="0" fontId="37" fillId="0" borderId="0" applyAlignment="1" pivotButton="0" quotePrefix="0" xfId="0">
      <alignment horizontal="general" vertical="bottom"/>
    </xf>
    <xf numFmtId="0" fontId="38" fillId="0" borderId="0" applyAlignment="1" pivotButton="0" quotePrefix="0" xfId="0">
      <alignment horizontal="general" vertical="bottom"/>
    </xf>
    <xf numFmtId="0" fontId="38" fillId="0" borderId="0" pivotButton="0" quotePrefix="0" xfId="0"/>
    <xf numFmtId="4" fontId="37" fillId="0" borderId="0" applyAlignment="1" pivotButton="0" quotePrefix="0" xfId="0">
      <alignment horizontal="general" vertical="bottom"/>
    </xf>
    <xf numFmtId="0" fontId="28" fillId="12" borderId="0" applyAlignment="1" pivotButton="0" quotePrefix="0" xfId="0">
      <alignment horizontal="general" vertical="bottom"/>
    </xf>
    <xf numFmtId="170" fontId="28" fillId="12" borderId="0" applyAlignment="1" pivotButton="0" quotePrefix="0" xfId="0">
      <alignment horizontal="general" vertical="bottom"/>
    </xf>
    <xf numFmtId="4" fontId="36" fillId="12"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ont>
        <name val="Arial"/>
        <charset val="1"/>
        <family val="0"/>
        <color rgb="FFFFFFFF"/>
        <sz val="10"/>
      </font>
    </dxf>
    <dxf>
      <font>
        <name val="Arial"/>
        <charset val="1"/>
        <family val="0"/>
        <color rgb="FFFFFFFF"/>
        <sz val="10"/>
      </font>
    </dxf>
    <dxf>
      <fill>
        <patternFill patternType="solid">
          <fgColor rgb="FF1F4E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ont>
        <name val="Arial"/>
        <color rgb="00FFFFFF"/>
        <sz val="1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BBBBB"/>
      <rgbColor rgb="FF808080"/>
      <rgbColor rgb="FF9999FF"/>
      <rgbColor rgb="FFC0504D"/>
      <rgbColor rgb="FFFFF7CC"/>
      <rgbColor rgb="FFDDEB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7F5"/>
      <rgbColor rgb="FFCCFFCC"/>
      <rgbColor rgb="FFFFFF99"/>
      <rgbColor rgb="FF99CCFF"/>
      <rgbColor rgb="FFFF99CC"/>
      <rgbColor rgb="FFCC99FF"/>
      <rgbColor rgb="FFFFCC99"/>
      <rgbColor rgb="FF4F81BD"/>
      <rgbColor rgb="FF33CCCC"/>
      <rgbColor rgb="FF99CC00"/>
      <rgbColor rgb="FFFFCC00"/>
      <rgbColor rgb="FFFF9900"/>
      <rgbColor rgb="FFB07D2B"/>
      <rgbColor rgb="FF777777"/>
      <rgbColor rgb="FFB3B3B3"/>
      <rgbColor rgb="FF1F4E5F"/>
      <rgbColor rgb="FF2E7D8A"/>
      <rgbColor rgb="FF11524A"/>
      <rgbColor rgb="FF333300"/>
      <rgbColor rgb="FFB03A2E"/>
      <rgbColor rgb="FF993366"/>
      <rgbColor rgb="FF555555"/>
      <rgbColor rgb="FF22222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Cash Saved (operating)</a:t>
            </a:r>
          </a:p>
        </rich>
      </tx>
    </title>
    <plotArea>
      <lineChart>
        <grouping val="standard"/>
        <ser>
          <idx val="0"/>
          <order val="0"/>
          <tx>
            <strRef>
              <f>'Monthly Summary'!J1</f>
            </strRef>
          </tx>
          <spPr>
            <a:ln xmlns:a="http://schemas.openxmlformats.org/drawingml/2006/main">
              <a:prstDash val="solid"/>
            </a:ln>
          </spPr>
          <marker>
            <symbol val="none"/>
            <spPr>
              <a:ln xmlns:a="http://schemas.openxmlformats.org/drawingml/2006/main">
                <a:prstDash val="solid"/>
              </a:ln>
            </spPr>
          </marker>
          <cat>
            <numRef>
              <f>'Monthly Summary'!$A$2:$A$301</f>
            </numRef>
          </cat>
          <val>
            <numRef>
              <f>'Monthly Summary'!$J$2:$J$301</f>
            </numRef>
          </val>
        </ser>
        <axId val="10"/>
        <axId val="100"/>
      </lineChart>
      <catAx>
        <axId val="10"/>
        <scaling>
          <orientation val="minMax"/>
        </scaling>
        <axPos val="l"/>
        <numFmt formatCode="yyyy" sourceLinked="0"/>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Income vs Total Spend</a:t>
            </a:r>
          </a:p>
        </rich>
      </tx>
    </title>
    <plotArea>
      <lineChart>
        <grouping val="standard"/>
        <ser>
          <idx val="0"/>
          <order val="0"/>
          <tx>
            <strRef>
              <f>'Monthly Summary'!B1</f>
            </strRef>
          </tx>
          <spPr>
            <a:ln xmlns:a="http://schemas.openxmlformats.org/drawingml/2006/main">
              <a:prstDash val="solid"/>
            </a:ln>
          </spPr>
          <marker>
            <symbol val="none"/>
            <spPr>
              <a:ln xmlns:a="http://schemas.openxmlformats.org/drawingml/2006/main">
                <a:prstDash val="solid"/>
              </a:ln>
            </spPr>
          </marker>
          <cat>
            <numRef>
              <f>'Monthly Summary'!$A$2:$A$301</f>
            </numRef>
          </cat>
          <val>
            <numRef>
              <f>'Monthly Summary'!$B$2:$B$301</f>
            </numRef>
          </val>
        </ser>
        <ser>
          <idx val="1"/>
          <order val="1"/>
          <tx>
            <strRef>
              <f>'Monthly Summary'!E1</f>
            </strRef>
          </tx>
          <spPr>
            <a:ln xmlns:a="http://schemas.openxmlformats.org/drawingml/2006/main">
              <a:prstDash val="solid"/>
            </a:ln>
          </spPr>
          <marker>
            <symbol val="none"/>
            <spPr>
              <a:ln xmlns:a="http://schemas.openxmlformats.org/drawingml/2006/main">
                <a:prstDash val="solid"/>
              </a:ln>
            </spPr>
          </marker>
          <cat>
            <numRef>
              <f>'Monthly Summary'!$A$2:$A$301</f>
            </numRef>
          </cat>
          <val>
            <numRef>
              <f>'Monthly Summary'!$E$2:$E$301</f>
            </numRef>
          </val>
        </ser>
        <axId val="10"/>
        <axId val="100"/>
      </lineChart>
      <catAx>
        <axId val="10"/>
        <scaling>
          <orientation val="minMax"/>
        </scaling>
        <axPos val="l"/>
        <numFmt formatCode="yyyy" sourceLinked="0"/>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Rolling Savings Ratio (12m)</a:t>
            </a:r>
          </a:p>
        </rich>
      </tx>
    </title>
    <plotArea>
      <lineChart>
        <grouping val="standard"/>
        <ser>
          <idx val="0"/>
          <order val="0"/>
          <tx>
            <strRef>
              <f>'Monthly Summary'!M1</f>
            </strRef>
          </tx>
          <spPr>
            <a:ln xmlns:a="http://schemas.openxmlformats.org/drawingml/2006/main">
              <a:prstDash val="solid"/>
            </a:ln>
          </spPr>
          <marker>
            <symbol val="none"/>
            <spPr>
              <a:ln xmlns:a="http://schemas.openxmlformats.org/drawingml/2006/main">
                <a:prstDash val="solid"/>
              </a:ln>
            </spPr>
          </marker>
          <cat>
            <numRef>
              <f>'Monthly Summary'!$A$2:$A$301</f>
            </numRef>
          </cat>
          <val>
            <numRef>
              <f>'Monthly Summary'!$M$2:$M$301</f>
            </numRef>
          </val>
        </ser>
        <axId val="10"/>
        <axId val="100"/>
      </lineChart>
      <catAx>
        <axId val="10"/>
        <scaling>
          <orientation val="minMax"/>
        </scaling>
        <axPos val="l"/>
        <numFmt formatCode="yyyy" sourceLinked="0"/>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Budget vs Actual by Category (latest month)</a:t>
            </a:r>
          </a:p>
        </rich>
      </tx>
    </title>
    <plotArea>
      <barChart>
        <barDir val="col"/>
        <grouping val="clustered"/>
        <ser>
          <idx val="0"/>
          <order val="0"/>
          <tx>
            <strRef>
              <f>'Dashboard'!B40</f>
            </strRef>
          </tx>
          <spPr>
            <a:ln xmlns:a="http://schemas.openxmlformats.org/drawingml/2006/main">
              <a:prstDash val="solid"/>
            </a:ln>
          </spPr>
          <cat>
            <numRef>
              <f>'Dashboard'!$A$41:$A$56</f>
            </numRef>
          </cat>
          <val>
            <numRef>
              <f>'Dashboard'!$B$41:$B$56</f>
            </numRef>
          </val>
        </ser>
        <ser>
          <idx val="1"/>
          <order val="1"/>
          <tx>
            <strRef>
              <f>'Dashboard'!C40</f>
            </strRef>
          </tx>
          <spPr>
            <a:ln xmlns:a="http://schemas.openxmlformats.org/drawingml/2006/main">
              <a:prstDash val="solid"/>
            </a:ln>
          </spPr>
          <cat>
            <numRef>
              <f>'Dashboard'!$A$41:$A$56</f>
            </numRef>
          </cat>
          <val>
            <numRef>
              <f>'Dashboard'!$C$41:$C$56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7</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7</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23</row>
      <rowOff>0</rowOff>
    </from>
    <ext cx="540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23</row>
      <rowOff>0</rowOff>
    </from>
    <ext cx="540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Entries" displayName="Entries" ref="A1:F773" headerRowCount="1" totalsRowCount="0" totalsRowShown="0">
  <autoFilter ref="A1:F1082"/>
  <tableColumns count="6">
    <tableColumn id="1" name="Date"/>
    <tableColumn id="2" name="Category"/>
    <tableColumn id="3" name="Type"/>
    <tableColumn id="4" name="Amount"/>
    <tableColumn id="5" name="Note"/>
    <tableColumn id="6" name="Capital (aut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0">
    <tabColor rgb="00808080"/>
    <outlinePr summaryBelow="1" summaryRight="1"/>
    <pageSetUpPr fitToPage="0"/>
  </sheetPr>
  <dimension ref="A1:A7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8" customWidth="1" style="42" min="1" max="1"/>
  </cols>
  <sheetData>
    <row r="1" ht="30" customHeight="1" s="43">
      <c r="A1" s="44" t="inlineStr">
        <is>
          <t xml:space="preserve">  Monthly Budget Tracker — Instructions &amp; Monthly Workflow</t>
        </is>
      </c>
    </row>
    <row r="2" ht="6" customHeight="1" s="43"/>
    <row r="3" ht="30" customHeight="1" s="43">
      <c r="A3" s="45" t="inlineStr">
        <is>
          <t>A single-ledger cash-flow tracker. You record every income, expense and one-off item once on the Entries tab; the Monthly Summary and Dashboard rebuild themselves. This sheet is the manual — start with the checklist, details follow.</t>
        </is>
      </c>
    </row>
    <row r="4" ht="6" customHeight="1" s="43"/>
    <row r="5" ht="19.5" customHeight="1" s="43">
      <c r="A5" s="46" t="inlineStr">
        <is>
          <t>THE TABS</t>
        </is>
      </c>
    </row>
    <row r="6" ht="15.75" customHeight="1" s="43">
      <c r="A6" s="45" t="inlineStr">
        <is>
          <t>You edit three tabs:  Entries (the ledger)  ·  Budgets (your plan)  ·  Categories (the master list).</t>
        </is>
      </c>
    </row>
    <row r="7" ht="30" customHeight="1" s="43">
      <c r="A7" s="45" t="inlineStr">
        <is>
          <t>Read-only, automatic:  Monthly Summary  ·  Dashboard.  Never type into these — they recalculate from the three above.</t>
        </is>
      </c>
    </row>
    <row r="8" ht="30" customHeight="1" s="43">
      <c r="A8" s="45" t="inlineStr">
        <is>
          <t>Tool files that live in the same folder as this workbook:  categorize_expenses.py  ·  rules.csv  (used in Step 2).</t>
        </is>
      </c>
    </row>
    <row r="9" ht="6" customHeight="1" s="43"/>
    <row r="10" ht="19.5" customHeight="1" s="43">
      <c r="A10" s="46" t="inlineStr">
        <is>
          <t>YOUR MONTHLY ROUTINE — AT A GLANCE</t>
        </is>
      </c>
    </row>
    <row r="11" ht="16.5" customHeight="1" s="43">
      <c r="A11" s="47" t="inlineStr">
        <is>
          <t>[ ] 1.  Gather this month’s bank statement (.xlsx) and any credit-card bills you paid (.pdf).</t>
        </is>
      </c>
    </row>
    <row r="12" ht="16.5" customHeight="1" s="43">
      <c r="A12" s="47" t="inlineStr">
        <is>
          <t>[ ] 2.  Produce the categorised draft (send the files to Claude, or run the script).</t>
        </is>
      </c>
    </row>
    <row r="13" ht="16.5" customHeight="1" s="43">
      <c r="A13" s="47" t="inlineStr">
        <is>
          <t>[ ] 3.  Open the draft’s Validation tab (status must not be FAIL); fix amber flags, confirm categories, teach any new merchants.</t>
        </is>
      </c>
    </row>
    <row r="14" ht="16.5" customHeight="1" s="43">
      <c r="A14" s="47" t="inlineStr">
        <is>
          <t>[ ] 4.  Paste the draft’s "Entries draft" rows into the Entries tab.</t>
        </is>
      </c>
    </row>
    <row r="15" ht="16.5" customHeight="1" s="43">
      <c r="A15" s="47" t="inlineStr">
        <is>
          <t>[ ] 5.  (Nothing to do — Monthly Summary fills in the new month automatically.)</t>
        </is>
      </c>
    </row>
    <row r="16" ht="16.5" customHeight="1" s="43">
      <c r="A16" s="47" t="inlineStr">
        <is>
          <t>[ ] 6.  Update Budgets if any budget changed.</t>
        </is>
      </c>
    </row>
    <row r="17" ht="16.5" customHeight="1" s="43">
      <c r="A17" s="47" t="inlineStr">
        <is>
          <t>[ ] 7.  Open the Dashboard and sanity-check the month.</t>
        </is>
      </c>
    </row>
    <row r="18" ht="6" customHeight="1" s="43"/>
    <row r="19" ht="19.5" customHeight="1" s="43">
      <c r="A19" s="46" t="inlineStr">
        <is>
          <t>STEP-BY-STEP</t>
        </is>
      </c>
    </row>
    <row r="20" ht="18" customHeight="1" s="43">
      <c r="A20" s="48" t="inlineStr">
        <is>
          <t>Step 1 — Gather your source files</t>
        </is>
      </c>
    </row>
    <row r="21" ht="30" customHeight="1" s="43">
      <c r="A21" s="45" t="inlineStr">
        <is>
          <t>Export the month’s bank account statement as Excel (.xlsx), with columns Transaction Date / Description / Withdrawal / Deposit. Download the PDF statement for any credit card whose bill you PAID this month (the payment shows up as a card line in the bank statement).</t>
        </is>
      </c>
    </row>
    <row r="22" ht="25.5" customHeight="1" s="43">
      <c r="A22" s="49" t="inlineStr">
        <is>
          <t>If you didn’t pay a card this month, you don’t need its bill. A card payment with no bill stays a single "Credit Card" line.</t>
        </is>
      </c>
    </row>
    <row r="23" ht="18" customHeight="1" s="43">
      <c r="A23" s="48" t="inlineStr">
        <is>
          <t>Step 2 — Produce the categorised draft</t>
        </is>
      </c>
    </row>
    <row r="24" ht="30" customHeight="1" s="43">
      <c r="A24" s="45" t="inlineStr">
        <is>
          <t>Option A (easiest) — In a Claude Cowork chat, attach the bank statement + card bill(s) and say "categorise this month for my budget tracker." Claude runs the categoriser and hands back a review draft.</t>
        </is>
      </c>
    </row>
    <row r="25" ht="15.75" customHeight="1" s="43">
      <c r="A25" s="45" t="inlineStr">
        <is>
          <t>Option B (self-service) — In Terminal, from the folder holding this workbook and the tool files, run:</t>
        </is>
      </c>
    </row>
    <row r="26" ht="15.75" customHeight="1" s="43">
      <c r="A26" s="50" t="inlineStr">
        <is>
          <t xml:space="preserve">     python3 categorize_expenses.py "your bank.xlsx" --bill "UOB bill.pdf" --month 2026-06 --out "Jun2026 draft.xlsx"</t>
        </is>
      </c>
    </row>
    <row r="27" ht="30" customHeight="1" s="43">
      <c r="A27" s="45" t="inlineStr">
        <is>
          <t>Add one --bill "file.pdf" for each card bill. --month is the tracker month the rows are dated to (YYYY-MM). One-time setup for Option B is at the bottom of this sheet.</t>
        </is>
      </c>
    </row>
    <row r="28" ht="18" customHeight="1" s="43">
      <c r="A28" s="48" t="inlineStr">
        <is>
          <t>Step 3 — Review the draft workbook</t>
        </is>
      </c>
    </row>
    <row r="29" ht="30" customHeight="1" s="43">
      <c r="A29" s="45" t="inlineStr">
        <is>
          <t>Start on the Validation tab. It shows a status — PASS, REVIEW or FAIL — and lists every issue. If the status is FAIL, do NOT paste: something could not be read or did not reconcile (e.g. a changed bank layout, or a card bill whose lines don’t add up to its printed total). Fix the cause first — the tool never guesses or drops money quietly.</t>
        </is>
      </c>
    </row>
    <row r="30" ht="30" customHeight="1" s="43">
      <c r="A30" s="45" t="inlineStr">
        <is>
          <t>Then, on the Bank tab, each line has a proposed Category and an Include flag; internal transfers are greyed out and excluded. On each Card tab, the bill’s charges are itemised and categorised (rebates/payments excluded, and the bill is reconciled to its total). Anything amber is flagged REVIEW — set its category before pasting.</t>
        </is>
      </c>
    </row>
    <row r="31" ht="30" customHeight="1" s="43">
      <c r="A31" s="45" t="inlineStr">
        <is>
          <t>When a merchant is wrong or unknown, teach it once: add a line to rules.csv (see "Teaching new merchants" below) and re-run Step 2. Flags shrink every month as the rules learn your merchants.</t>
        </is>
      </c>
    </row>
    <row r="32" ht="18" customHeight="1" s="43">
      <c r="A32" s="48" t="inlineStr">
        <is>
          <t>Step 4 — Paste into Entries</t>
        </is>
      </c>
    </row>
    <row r="33" ht="30" customHeight="1" s="43">
      <c r="A33" s="45" t="inlineStr">
        <is>
          <t>The draft’s "Entries draft" tab is already in the tracker’s format (Date · Category · Type · Amount · Note), one aggregated row per category for the month. Copy those rows and paste them at the bottom of the Entries tab (below the last row, inside the table).</t>
        </is>
      </c>
    </row>
    <row r="34" ht="18" customHeight="1" s="43">
      <c r="A34" s="48" t="inlineStr">
        <is>
          <t>Step 5 — Monthly Summary updates itself</t>
        </is>
      </c>
    </row>
    <row r="35" ht="30" customHeight="1" s="43">
      <c r="A35" s="45" t="inlineStr">
        <is>
          <t>Monthly Summary is pre-built years ahead and each month fills in automatically as you add Entries — no action needed. It is locked (read-only); use Review → Unprotect Sheet only if you ever need to extend it beyond its horizon.</t>
        </is>
      </c>
    </row>
    <row r="36" ht="18" customHeight="1" s="43">
      <c r="A36" s="48" t="inlineStr">
        <is>
          <t>Step 6 — Update budgets (only if something changed)</t>
        </is>
      </c>
    </row>
    <row r="37" ht="30" customHeight="1" s="43">
      <c r="A37" s="45" t="inlineStr">
        <is>
          <t>If a budget changed, add a NEW row on the Budgets tab for that category with a later "Effective From" date and the new amount. Don’t overwrite the old row — history stays accurate.</t>
        </is>
      </c>
    </row>
    <row r="38" ht="18" customHeight="1" s="43">
      <c r="A38" s="48" t="inlineStr">
        <is>
          <t>Step 7 — Check the Dashboard</t>
        </is>
      </c>
    </row>
    <row r="39" ht="30" customHeight="1" s="43">
      <c r="A39" s="45" t="inlineStr">
        <is>
          <t>Open the Dashboard: cumulative cash, income vs spend, rolling savings ratio and budget-vs-actual by category are all updated. A quick glance confirms the month looks right.</t>
        </is>
      </c>
    </row>
    <row r="40" ht="6" customHeight="1" s="43"/>
    <row r="41" ht="19.5" customHeight="1" s="43">
      <c r="A41" s="46" t="inlineStr">
        <is>
          <t>HOW CREDIT CARDS ARE HANDLED</t>
        </is>
      </c>
    </row>
    <row r="42" ht="30" customHeight="1" s="43">
      <c r="A42" s="45" t="inlineStr">
        <is>
          <t>A card payment in your bank statement stays a single "Credit Card" expense UNLESS you attach that card’s bill. When the bill is attached, the lump is replaced by the bill’s itemised, categorised spend (dining→Daily Food, MRT/Grab→Transport, etc.) — so nothing is double-counted.</t>
        </is>
      </c>
    </row>
    <row r="43" ht="30" customHeight="1" s="43">
      <c r="A43" s="45" t="inlineStr">
        <is>
          <t>Bills are matched to payments by the card’s last 4 digits, NOT by amount (the amount you pay often differs from the bill because of timing, previous balances and cashback). A bill’s charges are categorised in full; cashback rebates and the previous-balance payment are excluded.</t>
        </is>
      </c>
    </row>
    <row r="44" ht="6" customHeight="1" s="43"/>
    <row r="45" ht="19.5" customHeight="1" s="43">
      <c r="A45" s="46" t="inlineStr">
        <is>
          <t>WHAT IS EXCLUDED FROM SPENDING</t>
        </is>
      </c>
    </row>
    <row r="46" ht="30" customHeight="1" s="43">
      <c r="A46" s="45" t="inlineStr">
        <is>
          <t>Money moving to your own accounts (e.g. MariBank, Trust Bank), CPF contributions, inward transfers from yourself, and investments are NOT counted as expenditure — they are savings/transfers, kept out so your savings ratio stays meaningful. Investments are tracked separately as capital.</t>
        </is>
      </c>
    </row>
    <row r="47" ht="6" customHeight="1" s="43"/>
    <row r="48" ht="19.5" customHeight="1" s="43">
      <c r="A48" s="46" t="inlineStr">
        <is>
          <t>GROWING OR REDUCING CATEGORIES</t>
        </is>
      </c>
    </row>
    <row r="49" ht="30" customHeight="1" s="43">
      <c r="A49" s="45" t="inlineStr">
        <is>
          <t>To ADD a category: type it on the Categories tab in the next empty (yellow) row (Group = Expense, Active = Y), and add a Budgets row for it. It appears in the Monthly Summary breakdown automatically — no formula editing (room for 20 expense categories).</t>
        </is>
      </c>
    </row>
    <row r="50" ht="30" customHeight="1" s="43">
      <c r="A50" s="45" t="inlineStr">
        <is>
          <t>To STOP using a category: set its Active to N on Categories. It drops out and the others close the gap; past entries are untouched.</t>
        </is>
      </c>
    </row>
    <row r="51" ht="25.5" customHeight="1" s="43">
      <c r="A51" s="49" t="inlineStr">
        <is>
          <t>Current expense categories include: Daily Food, Transport, Groceries, Subscriptions, Shopping, Bills, Insurance, Tax, Household, Household Help, Childcare, Kids Enrichment, Parents Allowance, Donation, Savings for holiday, Credit Card, Uncategorised.</t>
        </is>
      </c>
    </row>
    <row r="52" ht="6" customHeight="1" s="43"/>
    <row r="53" ht="19.5" customHeight="1" s="43">
      <c r="A53" s="46" t="inlineStr">
        <is>
          <t>HISTORY vs GOING FORWARD</t>
        </is>
      </c>
    </row>
    <row r="54" ht="30" customHeight="1" s="43">
      <c r="A54" s="45" t="inlineStr">
        <is>
          <t>Older data (before per-category tracking) is stored under the "Uncategorised" category as one monthly total, to keep past totals truthful. From now on, spending is recorded per category and the breakdown fills in for real. Total Actual is always the true sum either way.</t>
        </is>
      </c>
    </row>
    <row r="55" ht="6" customHeight="1" s="43"/>
    <row r="56" ht="19.5" customHeight="1" s="43">
      <c r="A56" s="46" t="inlineStr">
        <is>
          <t>TEACHING THE CATEGORISER NEW MERCHANTS (rules.csv)</t>
        </is>
      </c>
    </row>
    <row r="57" ht="30" customHeight="1" s="43">
      <c r="A57" s="45" t="inlineStr">
        <is>
          <t>rules.csv is a plain list of rules read top-to-bottom; the FIRST pattern that matches a transaction wins. Each row is: pattern , category , type , include , note.  pattern is text (a keyword or regex) matched against the description.</t>
        </is>
      </c>
    </row>
    <row r="58" ht="15.75" customHeight="1" s="43">
      <c r="A58" s="45" t="inlineStr">
        <is>
          <t>To teach a merchant, add a row ABOVE the general keyword block, e.g.:   COLD STORAGE,Groceries,Actual,Y,</t>
        </is>
      </c>
    </row>
    <row r="59" ht="30" customHeight="1" s="43">
      <c r="A59" s="45" t="inlineStr">
        <is>
          <t>Set include to N to exclude a line (e.g. a transfer). Your confirmed merchants are already in the file: DBS Mum→Parents Allowance, Kcare/CDA→Childcare, Olive Tree→Kids Enrichment, AhTan/meide→Household Help.</t>
        </is>
      </c>
    </row>
    <row r="60" ht="6" customHeight="1" s="43"/>
    <row r="61" ht="19.5" customHeight="1" s="43">
      <c r="A61" s="46" t="inlineStr">
        <is>
          <t>COLOUR LEGEND</t>
        </is>
      </c>
    </row>
    <row r="62" ht="30" customHeight="1" s="43">
      <c r="A62" s="45" t="inlineStr">
        <is>
          <t>Yellow = you type here (Entries, Budgets, Categories).   Blue text = a number you entered.   Black = a formula/calculation.   Grey = an automatic helper column.   Tab colours: green = you edit; blue = automatic &amp; locked; grey = this guide (locked).</t>
        </is>
      </c>
    </row>
    <row r="63" ht="6" customHeight="1" s="43"/>
    <row r="64" ht="19.5" customHeight="1" s="43">
      <c r="A64" s="46" t="inlineStr">
        <is>
          <t>ADDING A NEW BANK OR CARD FORMAT</t>
        </is>
      </c>
    </row>
    <row r="65" ht="30" customHeight="1" s="43">
      <c r="A65" s="45" t="inlineStr">
        <is>
          <t>The categoriser is built as a template. Bank layouts live in a BANK_FORMATS list and card issuers in a CARD_FORMATS list near the top of categorize_expenses.py, each with the UOB version as a worked example and a commented TEMPLATE to copy. A bank is identified by the text AND column position of its headers, so a changed export is rejected (FAIL) rather than misread.</t>
        </is>
      </c>
    </row>
    <row r="66" ht="30" customHeight="1" s="43">
      <c r="A66" s="45" t="inlineStr">
        <is>
          <t>Card bills are reconciled — previous balance + all lines must equal the printed total — so a parser that goes out of date or misses lines fails loudly and the payment is kept as a lump instead of being silently under-counted. To add a new bank or card, copy the commented TEMPLATE block in categorize_expenses.py and fill in the new format.</t>
        </is>
      </c>
    </row>
    <row r="67" ht="6" customHeight="1" s="43"/>
    <row r="68" ht="19.5" customHeight="1" s="43">
      <c r="A68" s="46" t="inlineStr">
        <is>
          <t>SAMPLE DATA, SETUP &amp; PORTING</t>
        </is>
      </c>
    </row>
    <row r="69" ht="30" customHeight="1" s="43">
      <c r="A69" s="45" t="inlineStr">
        <is>
          <t>To run the script yourself (Step 2, Option B): install Python 3, then in Terminal run   pip3 install openpyxl pdfplumber   once. Keep categorize_expenses.py and rules.csv in the same folder as your statements.</t>
        </is>
      </c>
    </row>
    <row r="70" ht="30" customHeight="1" s="43">
      <c r="A70" s="45" t="inlineStr">
        <is>
          <t>This workbook ships with FICTIONAL sample data (2008-2025) purely to show the formulas and charts working — it is not real. To make it yours, clear the Entries and Budgets rows (keep the headers) and enter your own. To bulk-load an old Continual-Averaging-format history, use migrate_to_entries.py to reshape it into Entries + Budgets to paste in.</t>
        </is>
      </c>
    </row>
    <row r="71" ht="25.5" customHeight="1" s="43">
      <c r="A71" s="49" t="inlineStr">
        <is>
          <t>The bank parser is tuned to the UOB One Account layout and the bill parser to the UOB card format. A different bank or card bill needs a small parser addition — add a matching BANK_FORMATS / CARD_FORMATS entry (see the TEMPLATE blocks).</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tabColor rgb="002E75B6"/>
    <outlinePr summaryBelow="1" summaryRight="1"/>
    <pageSetUpPr/>
  </sheetPr>
  <dimension ref="A1:G56"/>
  <sheetViews>
    <sheetView showGridLines="0" workbookViewId="0">
      <selection activeCell="A1" sqref="A1"/>
    </sheetView>
  </sheetViews>
  <sheetFormatPr baseColWidth="8" defaultRowHeight="15"/>
  <cols>
    <col width="26" customWidth="1" style="43" min="1" max="1"/>
    <col width="26" customWidth="1" style="43" min="3" max="3"/>
    <col width="26" customWidth="1" style="43" min="5" max="5"/>
    <col width="26" customWidth="1" style="43" min="7" max="7"/>
  </cols>
  <sheetData>
    <row r="1">
      <c r="A1" s="51" t="inlineStr">
        <is>
          <t>Monthly Budget Tracker — Dashboard</t>
        </is>
      </c>
    </row>
    <row r="2">
      <c r="A2" s="52" t="inlineStr">
        <is>
          <t>Everything updates from the Entries ledger. This sheet is locked (read-only).</t>
        </is>
      </c>
    </row>
    <row r="4">
      <c r="A4" s="53" t="inlineStr">
        <is>
          <t>Latest month</t>
        </is>
      </c>
      <c r="C4" s="53" t="inlineStr">
        <is>
          <t>Cash saved (operating, cumulative)</t>
        </is>
      </c>
      <c r="E4" s="53" t="inlineStr">
        <is>
          <t>Rolling savings ratio (12m)</t>
        </is>
      </c>
      <c r="G4" s="53" t="inlineStr">
        <is>
          <t>Avg monthly spend (12m)</t>
        </is>
      </c>
    </row>
    <row r="5">
      <c r="A5" s="54">
        <f>TEXT(LOOKUP(2,1/('Monthly Summary'!$C$2:$C$400&lt;&gt;""),'Monthly Summary'!$A$2:$A$400),"mmm yyyy")</f>
        <v/>
      </c>
      <c r="C5" s="84">
        <f>LOOKUP(2,1/('Monthly Summary'!$C$2:$C$400&lt;&gt;""),'Monthly Summary'!$J$2:$J$400)</f>
        <v/>
      </c>
      <c r="E5" s="56">
        <f>LOOKUP(2,1/('Monthly Summary'!$C$2:$C$400&lt;&gt;""),'Monthly Summary'!$M$2:$M$400)</f>
        <v/>
      </c>
      <c r="G5" s="84">
        <f>LOOKUP(2,1/('Monthly Summary'!$C$2:$C$400&lt;&gt;""),'Monthly Summary'!$L$2:$L$400)</f>
        <v/>
      </c>
    </row>
    <row r="39">
      <c r="A39" s="57" t="inlineStr">
        <is>
          <t>Budget vs Actual — latest month (helper for chart)</t>
        </is>
      </c>
    </row>
    <row r="40">
      <c r="A40" s="58" t="inlineStr">
        <is>
          <t>Category</t>
        </is>
      </c>
      <c r="B40" s="58" t="inlineStr">
        <is>
          <t>Actual</t>
        </is>
      </c>
      <c r="C40" s="58" t="inlineStr">
        <is>
          <t>Budget</t>
        </is>
      </c>
      <c r="E40" s="59" t="inlineStr">
        <is>
          <t>Latest month:</t>
        </is>
      </c>
      <c r="F40" s="85">
        <f>LOOKUP(2,1/('Monthly Summary'!$C$2:$C$400&lt;&gt;""),'Monthly Summary'!$A$2:$A$400)</f>
        <v/>
      </c>
    </row>
    <row r="41">
      <c r="A41" s="61" t="inlineStr">
        <is>
          <t>Daily Food</t>
        </is>
      </c>
      <c r="B41" s="86">
        <f>SUMIFS(Entries!$D$2:$D$5000,Entries!$C$2:$C$5000,"Actual",Entries!$A$2:$A$5000,$F$40,Entries!$B$2:$B$5000,$A41)</f>
        <v/>
      </c>
      <c r="C41" s="86">
        <f>IFERROR(LOOKUP(2,1/((Budgets!$A$2:$A$200=$A41)*(Budgets!$B$2:$B$200&lt;=$F$40)),Budgets!$C$2:$C$200),0)</f>
        <v/>
      </c>
    </row>
    <row r="42">
      <c r="A42" s="61" t="inlineStr">
        <is>
          <t>Transport</t>
        </is>
      </c>
      <c r="B42" s="86">
        <f>SUMIFS(Entries!$D$2:$D$5000,Entries!$C$2:$C$5000,"Actual",Entries!$A$2:$A$5000,$F$40,Entries!$B$2:$B$5000,$A42)</f>
        <v/>
      </c>
      <c r="C42" s="86">
        <f>IFERROR(LOOKUP(2,1/((Budgets!$A$2:$A$200=$A42)*(Budgets!$B$2:$B$200&lt;=$F$40)),Budgets!$C$2:$C$200),0)</f>
        <v/>
      </c>
    </row>
    <row r="43">
      <c r="A43" s="61" t="inlineStr">
        <is>
          <t>Credit Card</t>
        </is>
      </c>
      <c r="B43" s="86">
        <f>SUMIFS(Entries!$D$2:$D$5000,Entries!$C$2:$C$5000,"Actual",Entries!$A$2:$A$5000,$F$40,Entries!$B$2:$B$5000,$A43)</f>
        <v/>
      </c>
      <c r="C43" s="86">
        <f>IFERROR(LOOKUP(2,1/((Budgets!$A$2:$A$200=$A43)*(Budgets!$B$2:$B$200&lt;=$F$40)),Budgets!$C$2:$C$200),0)</f>
        <v/>
      </c>
    </row>
    <row r="44">
      <c r="A44" s="61" t="inlineStr">
        <is>
          <t>Household</t>
        </is>
      </c>
      <c r="B44" s="86">
        <f>SUMIFS(Entries!$D$2:$D$5000,Entries!$C$2:$C$5000,"Actual",Entries!$A$2:$A$5000,$F$40,Entries!$B$2:$B$5000,$A44)</f>
        <v/>
      </c>
      <c r="C44" s="86">
        <f>IFERROR(LOOKUP(2,1/((Budgets!$A$2:$A$200=$A44)*(Budgets!$B$2:$B$200&lt;=$F$40)),Budgets!$C$2:$C$200),0)</f>
        <v/>
      </c>
    </row>
    <row r="45">
      <c r="A45" s="61" t="inlineStr">
        <is>
          <t>Tax</t>
        </is>
      </c>
      <c r="B45" s="86">
        <f>SUMIFS(Entries!$D$2:$D$5000,Entries!$C$2:$C$5000,"Actual",Entries!$A$2:$A$5000,$F$40,Entries!$B$2:$B$5000,$A45)</f>
        <v/>
      </c>
      <c r="C45" s="86">
        <f>IFERROR(LOOKUP(2,1/((Budgets!$A$2:$A$200=$A45)*(Budgets!$B$2:$B$200&lt;=$F$40)),Budgets!$C$2:$C$200),0)</f>
        <v/>
      </c>
    </row>
    <row r="46">
      <c r="A46" s="61" t="inlineStr">
        <is>
          <t>Savings for holiday</t>
        </is>
      </c>
      <c r="B46" s="86">
        <f>SUMIFS(Entries!$D$2:$D$5000,Entries!$C$2:$C$5000,"Actual",Entries!$A$2:$A$5000,$F$40,Entries!$B$2:$B$5000,$A46)</f>
        <v/>
      </c>
      <c r="C46" s="86">
        <f>IFERROR(LOOKUP(2,1/((Budgets!$A$2:$A$200=$A46)*(Budgets!$B$2:$B$200&lt;=$F$40)),Budgets!$C$2:$C$200),0)</f>
        <v/>
      </c>
    </row>
    <row r="47">
      <c r="A47" s="61" t="inlineStr">
        <is>
          <t>Bills</t>
        </is>
      </c>
      <c r="B47" s="86">
        <f>SUMIFS(Entries!$D$2:$D$5000,Entries!$C$2:$C$5000,"Actual",Entries!$A$2:$A$5000,$F$40,Entries!$B$2:$B$5000,$A47)</f>
        <v/>
      </c>
      <c r="C47" s="86">
        <f>IFERROR(LOOKUP(2,1/((Budgets!$A$2:$A$200=$A47)*(Budgets!$B$2:$B$200&lt;=$F$40)),Budgets!$C$2:$C$200),0)</f>
        <v/>
      </c>
    </row>
    <row r="48">
      <c r="A48" s="61" t="inlineStr">
        <is>
          <t>Insurance</t>
        </is>
      </c>
      <c r="B48" s="86">
        <f>SUMIFS(Entries!$D$2:$D$5000,Entries!$C$2:$C$5000,"Actual",Entries!$A$2:$A$5000,$F$40,Entries!$B$2:$B$5000,$A48)</f>
        <v/>
      </c>
      <c r="C48" s="86">
        <f>IFERROR(LOOKUP(2,1/((Budgets!$A$2:$A$200=$A48)*(Budgets!$B$2:$B$200&lt;=$F$40)),Budgets!$C$2:$C$200),0)</f>
        <v/>
      </c>
    </row>
    <row r="49">
      <c r="A49" s="61" t="inlineStr">
        <is>
          <t>Donation</t>
        </is>
      </c>
      <c r="B49" s="86">
        <f>SUMIFS(Entries!$D$2:$D$5000,Entries!$C$2:$C$5000,"Actual",Entries!$A$2:$A$5000,$F$40,Entries!$B$2:$B$5000,$A49)</f>
        <v/>
      </c>
      <c r="C49" s="86">
        <f>IFERROR(LOOKUP(2,1/((Budgets!$A$2:$A$200=$A49)*(Budgets!$B$2:$B$200&lt;=$F$40)),Budgets!$C$2:$C$200),0)</f>
        <v/>
      </c>
    </row>
    <row r="50">
      <c r="A50" s="61" t="inlineStr">
        <is>
          <t>Groceries</t>
        </is>
      </c>
      <c r="B50" s="86">
        <f>SUMIFS(Entries!$D$2:$D$5000,Entries!$C$2:$C$5000,"Actual",Entries!$A$2:$A$5000,$F$40,Entries!$B$2:$B$5000,$A50)</f>
        <v/>
      </c>
      <c r="C50" s="86">
        <f>IFERROR(LOOKUP(2,1/((Budgets!$A$2:$A$200=$A50)*(Budgets!$B$2:$B$200&lt;=$F$40)),Budgets!$C$2:$C$200),0)</f>
        <v/>
      </c>
    </row>
    <row r="51">
      <c r="A51" s="61" t="inlineStr">
        <is>
          <t>Subscriptions</t>
        </is>
      </c>
      <c r="B51" s="86">
        <f>SUMIFS(Entries!$D$2:$D$5000,Entries!$C$2:$C$5000,"Actual",Entries!$A$2:$A$5000,$F$40,Entries!$B$2:$B$5000,$A51)</f>
        <v/>
      </c>
      <c r="C51" s="86">
        <f>IFERROR(LOOKUP(2,1/((Budgets!$A$2:$A$200=$A51)*(Budgets!$B$2:$B$200&lt;=$F$40)),Budgets!$C$2:$C$200),0)</f>
        <v/>
      </c>
    </row>
    <row r="52">
      <c r="A52" s="61" t="inlineStr">
        <is>
          <t>Shopping</t>
        </is>
      </c>
      <c r="B52" s="86">
        <f>SUMIFS(Entries!$D$2:$D$5000,Entries!$C$2:$C$5000,"Actual",Entries!$A$2:$A$5000,$F$40,Entries!$B$2:$B$5000,$A52)</f>
        <v/>
      </c>
      <c r="C52" s="86">
        <f>IFERROR(LOOKUP(2,1/((Budgets!$A$2:$A$200=$A52)*(Budgets!$B$2:$B$200&lt;=$F$40)),Budgets!$C$2:$C$200),0)</f>
        <v/>
      </c>
    </row>
    <row r="53">
      <c r="A53" s="61" t="inlineStr">
        <is>
          <t>Parents Allowance</t>
        </is>
      </c>
      <c r="B53" s="86">
        <f>SUMIFS(Entries!$D$2:$D$5000,Entries!$C$2:$C$5000,"Actual",Entries!$A$2:$A$5000,$F$40,Entries!$B$2:$B$5000,$A53)</f>
        <v/>
      </c>
      <c r="C53" s="86">
        <f>IFERROR(LOOKUP(2,1/((Budgets!$A$2:$A$200=$A53)*(Budgets!$B$2:$B$200&lt;=$F$40)),Budgets!$C$2:$C$200),0)</f>
        <v/>
      </c>
    </row>
    <row r="54">
      <c r="A54" s="61" t="inlineStr">
        <is>
          <t>Childcare</t>
        </is>
      </c>
      <c r="B54" s="86">
        <f>SUMIFS(Entries!$D$2:$D$5000,Entries!$C$2:$C$5000,"Actual",Entries!$A$2:$A$5000,$F$40,Entries!$B$2:$B$5000,$A54)</f>
        <v/>
      </c>
      <c r="C54" s="86">
        <f>IFERROR(LOOKUP(2,1/((Budgets!$A$2:$A$200=$A54)*(Budgets!$B$2:$B$200&lt;=$F$40)),Budgets!$C$2:$C$200),0)</f>
        <v/>
      </c>
    </row>
    <row r="55">
      <c r="A55" s="61" t="inlineStr">
        <is>
          <t>Kids Enrichment</t>
        </is>
      </c>
      <c r="B55" s="86">
        <f>SUMIFS(Entries!$D$2:$D$5000,Entries!$C$2:$C$5000,"Actual",Entries!$A$2:$A$5000,$F$40,Entries!$B$2:$B$5000,$A55)</f>
        <v/>
      </c>
      <c r="C55" s="86">
        <f>IFERROR(LOOKUP(2,1/((Budgets!$A$2:$A$200=$A55)*(Budgets!$B$2:$B$200&lt;=$F$40)),Budgets!$C$2:$C$200),0)</f>
        <v/>
      </c>
    </row>
    <row r="56">
      <c r="A56" s="61" t="inlineStr">
        <is>
          <t>Household Help</t>
        </is>
      </c>
      <c r="B56" s="86">
        <f>SUMIFS(Entries!$D$2:$D$5000,Entries!$C$2:$C$5000,"Actual",Entries!$A$2:$A$5000,$F$40,Entries!$B$2:$B$5000,$A56)</f>
        <v/>
      </c>
      <c r="C56" s="86">
        <f>IFERROR(LOOKUP(2,1/((Budgets!$A$2:$A$200=$A56)*(Budgets!$B$2:$B$200&lt;=$F$40)),Budgets!$C$2:$C$200),0)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filterMode="0">
    <tabColor rgb="002E75B6"/>
    <outlinePr summaryBelow="1" summaryRight="1"/>
    <pageSetUpPr fitToPage="0"/>
  </sheetPr>
  <dimension ref="A1:BE30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9" customWidth="1" style="42" min="1" max="1"/>
    <col width="13" customWidth="1" style="42" min="2" max="13"/>
    <col width="2" customWidth="1" style="42" min="14" max="14"/>
    <col width="12" customWidth="1" style="42" min="15" max="34"/>
    <col width="2" customWidth="1" style="42" min="35" max="35"/>
    <col width="12" customWidth="1" style="42" min="36" max="55"/>
    <col hidden="1" width="13" customWidth="1" style="42" min="57" max="57"/>
  </cols>
  <sheetData>
    <row r="1" ht="23.25" customHeight="1" s="43">
      <c r="A1" s="63" t="inlineStr">
        <is>
          <t>Month</t>
        </is>
      </c>
      <c r="B1" s="63" t="inlineStr">
        <is>
          <t>Total Income</t>
        </is>
      </c>
      <c r="C1" s="63" t="inlineStr">
        <is>
          <t>Total Actual</t>
        </is>
      </c>
      <c r="D1" s="63" t="inlineStr">
        <is>
          <t>Total One-off</t>
        </is>
      </c>
      <c r="E1" s="63" t="inlineStr">
        <is>
          <t>Total Spend</t>
        </is>
      </c>
      <c r="F1" s="63" t="inlineStr">
        <is>
          <t>Total Budget</t>
        </is>
      </c>
      <c r="G1" s="63" t="inlineStr">
        <is>
          <t>Net Cash</t>
        </is>
      </c>
      <c r="H1" s="63" t="inlineStr">
        <is>
          <t>Cumulative Cash</t>
        </is>
      </c>
      <c r="I1" s="63" t="inlineStr">
        <is>
          <t>Capital Outflow</t>
        </is>
      </c>
      <c r="J1" s="63" t="inlineStr">
        <is>
          <t>Cumulative (operating)</t>
        </is>
      </c>
      <c r="K1" s="63" t="inlineStr">
        <is>
          <t>Rolling Income 12m</t>
        </is>
      </c>
      <c r="L1" s="63" t="inlineStr">
        <is>
          <t>Rolling Spend 12m</t>
        </is>
      </c>
      <c r="M1" s="63" t="inlineStr">
        <is>
          <t>Rolling Savings Ratio</t>
        </is>
      </c>
      <c r="N1" s="64" t="n"/>
      <c r="O1" s="65">
        <f>IFERROR(INDEX(Categories!$A$2:$A$200,MATCH(1,Categories!$F$2:$F$200,0)),"")</f>
        <v/>
      </c>
      <c r="P1" s="65">
        <f>IFERROR(INDEX(Categories!$A$2:$A$200,MATCH(2,Categories!$F$2:$F$200,0)),"")</f>
        <v/>
      </c>
      <c r="Q1" s="65">
        <f>IFERROR(INDEX(Categories!$A$2:$A$200,MATCH(3,Categories!$F$2:$F$200,0)),"")</f>
        <v/>
      </c>
      <c r="R1" s="65">
        <f>IFERROR(INDEX(Categories!$A$2:$A$200,MATCH(4,Categories!$F$2:$F$200,0)),"")</f>
        <v/>
      </c>
      <c r="S1" s="65">
        <f>IFERROR(INDEX(Categories!$A$2:$A$200,MATCH(5,Categories!$F$2:$F$200,0)),"")</f>
        <v/>
      </c>
      <c r="T1" s="65">
        <f>IFERROR(INDEX(Categories!$A$2:$A$200,MATCH(6,Categories!$F$2:$F$200,0)),"")</f>
        <v/>
      </c>
      <c r="U1" s="65">
        <f>IFERROR(INDEX(Categories!$A$2:$A$200,MATCH(7,Categories!$F$2:$F$200,0)),"")</f>
        <v/>
      </c>
      <c r="V1" s="65">
        <f>IFERROR(INDEX(Categories!$A$2:$A$200,MATCH(8,Categories!$F$2:$F$200,0)),"")</f>
        <v/>
      </c>
      <c r="W1" s="65">
        <f>IFERROR(INDEX(Categories!$A$2:$A$200,MATCH(9,Categories!$F$2:$F$200,0)),"")</f>
        <v/>
      </c>
      <c r="X1" s="65">
        <f>IFERROR(INDEX(Categories!$A$2:$A$200,MATCH(10,Categories!$F$2:$F$200,0)),"")</f>
        <v/>
      </c>
      <c r="Y1" s="65">
        <f>IFERROR(INDEX(Categories!$A$2:$A$200,MATCH(11,Categories!$F$2:$F$200,0)),"")</f>
        <v/>
      </c>
      <c r="Z1" s="65">
        <f>IFERROR(INDEX(Categories!$A$2:$A$200,MATCH(12,Categories!$F$2:$F$200,0)),"")</f>
        <v/>
      </c>
      <c r="AA1" s="65">
        <f>IFERROR(INDEX(Categories!$A$2:$A$200,MATCH(13,Categories!$F$2:$F$200,0)),"")</f>
        <v/>
      </c>
      <c r="AB1" s="65">
        <f>IFERROR(INDEX(Categories!$A$2:$A$200,MATCH(14,Categories!$F$2:$F$200,0)),"")</f>
        <v/>
      </c>
      <c r="AC1" s="65">
        <f>IFERROR(INDEX(Categories!$A$2:$A$200,MATCH(15,Categories!$F$2:$F$200,0)),"")</f>
        <v/>
      </c>
      <c r="AD1" s="65">
        <f>IFERROR(INDEX(Categories!$A$2:$A$200,MATCH(16,Categories!$F$2:$F$200,0)),"")</f>
        <v/>
      </c>
      <c r="AE1" s="65">
        <f>IFERROR(INDEX(Categories!$A$2:$A$200,MATCH(17,Categories!$F$2:$F$200,0)),"")</f>
        <v/>
      </c>
      <c r="AF1" s="65">
        <f>IFERROR(INDEX(Categories!$A$2:$A$200,MATCH(18,Categories!$F$2:$F$200,0)),"")</f>
        <v/>
      </c>
      <c r="AG1" s="65">
        <f>IFERROR(INDEX(Categories!$A$2:$A$200,MATCH(19,Categories!$F$2:$F$200,0)),"")</f>
        <v/>
      </c>
      <c r="AH1" s="65">
        <f>IFERROR(INDEX(Categories!$A$2:$A$200,MATCH(20,Categories!$F$2:$F$200,0)),"")</f>
        <v/>
      </c>
      <c r="AJ1" s="66">
        <f>O$1</f>
        <v/>
      </c>
      <c r="AK1" s="66">
        <f>P$1</f>
        <v/>
      </c>
      <c r="AL1" s="66">
        <f>Q$1</f>
        <v/>
      </c>
      <c r="AM1" s="66">
        <f>R$1</f>
        <v/>
      </c>
      <c r="AN1" s="66">
        <f>S$1</f>
        <v/>
      </c>
      <c r="AO1" s="66">
        <f>T$1</f>
        <v/>
      </c>
      <c r="AP1" s="66">
        <f>U$1</f>
        <v/>
      </c>
      <c r="AQ1" s="66">
        <f>V$1</f>
        <v/>
      </c>
      <c r="AR1" s="66">
        <f>W$1</f>
        <v/>
      </c>
      <c r="AS1" s="66">
        <f>X$1</f>
        <v/>
      </c>
      <c r="AT1" s="66">
        <f>Y$1</f>
        <v/>
      </c>
      <c r="AU1" s="66">
        <f>Z$1</f>
        <v/>
      </c>
      <c r="AV1" s="66">
        <f>AA$1</f>
        <v/>
      </c>
      <c r="AW1" s="66">
        <f>AB$1</f>
        <v/>
      </c>
      <c r="AX1" s="66">
        <f>AC$1</f>
        <v/>
      </c>
      <c r="AY1" s="66">
        <f>AD$1</f>
        <v/>
      </c>
      <c r="AZ1" s="66">
        <f>AE$1</f>
        <v/>
      </c>
      <c r="BA1" s="66">
        <f>AF$1</f>
        <v/>
      </c>
      <c r="BB1" s="66">
        <f>AG$1</f>
        <v/>
      </c>
      <c r="BC1" s="66">
        <f>AH$1</f>
        <v/>
      </c>
      <c r="BE1" s="67" t="inlineStr">
        <is>
          <t>_active</t>
        </is>
      </c>
    </row>
    <row r="2" ht="15" customHeight="1" s="43">
      <c r="A2" s="87" t="n">
        <v>39448</v>
      </c>
      <c r="B2" s="88">
        <f>IF($BE2=0,NA(),SUMIFS(Entries!$D$2:$D$5000,Entries!$C$2:$C$5000,"Income",Entries!$A$2:$A$5000,$A2))</f>
        <v/>
      </c>
      <c r="C2" s="88">
        <f>IF($BE2=0,"",SUMIFS(Entries!$D$2:$D$5000,Entries!$C$2:$C$5000,"Actual",Entries!$A$2:$A$5000,$A2))</f>
        <v/>
      </c>
      <c r="D2" s="88">
        <f>IF($BE2=0,"",SUMIFS(Entries!$D$2:$D$5000,Entries!$C$2:$C$5000,"One-off",Entries!$A$2:$A$5000,$A2))</f>
        <v/>
      </c>
      <c r="E2" s="88">
        <f>IF($BE2=0,NA(),C2+D2)</f>
        <v/>
      </c>
      <c r="F2" s="88">
        <f>IF($BE2=0,"",SUM(AJ2:BC2))</f>
        <v/>
      </c>
      <c r="G2" s="88">
        <f>IF($BE2=0,"",B2-E2)</f>
        <v/>
      </c>
      <c r="H2" s="88">
        <f>IF($BE2=0,"",SUM($G$2:G2))</f>
        <v/>
      </c>
      <c r="I2" s="88">
        <f>IF($BE2=0,"",SUMIFS(Entries!$F$2:$F$5000,Entries!$A$2:$A$5000,$A2))</f>
        <v/>
      </c>
      <c r="J2" s="88">
        <f>IF($BE2=0,NA(),H2+SUM($I$2:I2))</f>
        <v/>
      </c>
      <c r="K2" s="88">
        <f>""</f>
        <v/>
      </c>
      <c r="L2" s="88">
        <f>""</f>
        <v/>
      </c>
      <c r="M2" s="70">
        <f>NA()</f>
        <v/>
      </c>
      <c r="O2" s="88">
        <f>IF(OR(O$1="",$BE2=0),"",SUMIFS(Entries!$D$2:$D$5000,Entries!$C$2:$C$5000,"Actual",Entries!$A$2:$A$5000,$A2,Entries!$B$2:$B$5000,O$1))</f>
        <v/>
      </c>
      <c r="P2" s="88">
        <f>IF(OR(P$1="",$BE2=0),"",SUMIFS(Entries!$D$2:$D$5000,Entries!$C$2:$C$5000,"Actual",Entries!$A$2:$A$5000,$A2,Entries!$B$2:$B$5000,P$1))</f>
        <v/>
      </c>
      <c r="Q2" s="88">
        <f>IF(OR(Q$1="",$BE2=0),"",SUMIFS(Entries!$D$2:$D$5000,Entries!$C$2:$C$5000,"Actual",Entries!$A$2:$A$5000,$A2,Entries!$B$2:$B$5000,Q$1))</f>
        <v/>
      </c>
      <c r="R2" s="88">
        <f>IF(OR(R$1="",$BE2=0),"",SUMIFS(Entries!$D$2:$D$5000,Entries!$C$2:$C$5000,"Actual",Entries!$A$2:$A$5000,$A2,Entries!$B$2:$B$5000,R$1))</f>
        <v/>
      </c>
      <c r="S2" s="88">
        <f>IF(OR(S$1="",$BE2=0),"",SUMIFS(Entries!$D$2:$D$5000,Entries!$C$2:$C$5000,"Actual",Entries!$A$2:$A$5000,$A2,Entries!$B$2:$B$5000,S$1))</f>
        <v/>
      </c>
      <c r="T2" s="88">
        <f>IF(OR(T$1="",$BE2=0),"",SUMIFS(Entries!$D$2:$D$5000,Entries!$C$2:$C$5000,"Actual",Entries!$A$2:$A$5000,$A2,Entries!$B$2:$B$5000,T$1))</f>
        <v/>
      </c>
      <c r="U2" s="88">
        <f>IF(OR(U$1="",$BE2=0),"",SUMIFS(Entries!$D$2:$D$5000,Entries!$C$2:$C$5000,"Actual",Entries!$A$2:$A$5000,$A2,Entries!$B$2:$B$5000,U$1))</f>
        <v/>
      </c>
      <c r="V2" s="88">
        <f>IF(OR(V$1="",$BE2=0),"",SUMIFS(Entries!$D$2:$D$5000,Entries!$C$2:$C$5000,"Actual",Entries!$A$2:$A$5000,$A2,Entries!$B$2:$B$5000,V$1))</f>
        <v/>
      </c>
      <c r="W2" s="88">
        <f>IF(OR(W$1="",$BE2=0),"",SUMIFS(Entries!$D$2:$D$5000,Entries!$C$2:$C$5000,"Actual",Entries!$A$2:$A$5000,$A2,Entries!$B$2:$B$5000,W$1))</f>
        <v/>
      </c>
      <c r="X2" s="88">
        <f>IF(OR(X$1="",$BE2=0),"",SUMIFS(Entries!$D$2:$D$5000,Entries!$C$2:$C$5000,"Actual",Entries!$A$2:$A$5000,$A2,Entries!$B$2:$B$5000,X$1))</f>
        <v/>
      </c>
      <c r="Y2" s="88">
        <f>IF(OR(Y$1="",$BE2=0),"",SUMIFS(Entries!$D$2:$D$5000,Entries!$C$2:$C$5000,"Actual",Entries!$A$2:$A$5000,$A2,Entries!$B$2:$B$5000,Y$1))</f>
        <v/>
      </c>
      <c r="Z2" s="88">
        <f>IF(OR(Z$1="",$BE2=0),"",SUMIFS(Entries!$D$2:$D$5000,Entries!$C$2:$C$5000,"Actual",Entries!$A$2:$A$5000,$A2,Entries!$B$2:$B$5000,Z$1))</f>
        <v/>
      </c>
      <c r="AA2" s="88">
        <f>IF(OR(AA$1="",$BE2=0),"",SUMIFS(Entries!$D$2:$D$5000,Entries!$C$2:$C$5000,"Actual",Entries!$A$2:$A$5000,$A2,Entries!$B$2:$B$5000,AA$1))</f>
        <v/>
      </c>
      <c r="AB2" s="88">
        <f>IF(OR(AB$1="",$BE2=0),"",SUMIFS(Entries!$D$2:$D$5000,Entries!$C$2:$C$5000,"Actual",Entries!$A$2:$A$5000,$A2,Entries!$B$2:$B$5000,AB$1))</f>
        <v/>
      </c>
      <c r="AC2" s="88">
        <f>IF(OR(AC$1="",$BE2=0),"",SUMIFS(Entries!$D$2:$D$5000,Entries!$C$2:$C$5000,"Actual",Entries!$A$2:$A$5000,$A2,Entries!$B$2:$B$5000,AC$1))</f>
        <v/>
      </c>
      <c r="AD2" s="88">
        <f>IF(OR(AD$1="",$BE2=0),"",SUMIFS(Entries!$D$2:$D$5000,Entries!$C$2:$C$5000,"Actual",Entries!$A$2:$A$5000,$A2,Entries!$B$2:$B$5000,AD$1))</f>
        <v/>
      </c>
      <c r="AE2" s="88">
        <f>IF(OR(AE$1="",$BE2=0),"",SUMIFS(Entries!$D$2:$D$5000,Entries!$C$2:$C$5000,"Actual",Entries!$A$2:$A$5000,$A2,Entries!$B$2:$B$5000,AE$1))</f>
        <v/>
      </c>
      <c r="AF2" s="88">
        <f>IF(OR(AF$1="",$BE2=0),"",SUMIFS(Entries!$D$2:$D$5000,Entries!$C$2:$C$5000,"Actual",Entries!$A$2:$A$5000,$A2,Entries!$B$2:$B$5000,AF$1))</f>
        <v/>
      </c>
      <c r="AG2" s="88">
        <f>IF(OR(AG$1="",$BE2=0),"",SUMIFS(Entries!$D$2:$D$5000,Entries!$C$2:$C$5000,"Actual",Entries!$A$2:$A$5000,$A2,Entries!$B$2:$B$5000,AG$1))</f>
        <v/>
      </c>
      <c r="AH2" s="88">
        <f>IF(OR(AH$1="",$BE2=0),"",SUMIFS(Entries!$D$2:$D$5000,Entries!$C$2:$C$5000,"Actual",Entries!$A$2:$A$5000,$A2,Entries!$B$2:$B$5000,AH$1))</f>
        <v/>
      </c>
      <c r="AJ2" s="88">
        <f>IF(OR(AJ$1="",$BE2=0),"",IFERROR(LOOKUP(2,1/((Budgets!$A$2:$A$200=AJ$1)*(Budgets!$B$2:$B$200&lt;=$A2)),Budgets!$C$2:$C$200),0))</f>
        <v/>
      </c>
      <c r="AK2" s="88">
        <f>IF(OR(AK$1="",$BE2=0),"",IFERROR(LOOKUP(2,1/((Budgets!$A$2:$A$200=AK$1)*(Budgets!$B$2:$B$200&lt;=$A2)),Budgets!$C$2:$C$200),0))</f>
        <v/>
      </c>
      <c r="AL2" s="88">
        <f>IF(OR(AL$1="",$BE2=0),"",IFERROR(LOOKUP(2,1/((Budgets!$A$2:$A$200=AL$1)*(Budgets!$B$2:$B$200&lt;=$A2)),Budgets!$C$2:$C$200),0))</f>
        <v/>
      </c>
      <c r="AM2" s="88">
        <f>IF(OR(AM$1="",$BE2=0),"",IFERROR(LOOKUP(2,1/((Budgets!$A$2:$A$200=AM$1)*(Budgets!$B$2:$B$200&lt;=$A2)),Budgets!$C$2:$C$200),0))</f>
        <v/>
      </c>
      <c r="AN2" s="88">
        <f>IF(OR(AN$1="",$BE2=0),"",IFERROR(LOOKUP(2,1/((Budgets!$A$2:$A$200=AN$1)*(Budgets!$B$2:$B$200&lt;=$A2)),Budgets!$C$2:$C$200),0))</f>
        <v/>
      </c>
      <c r="AO2" s="88">
        <f>IF(OR(AO$1="",$BE2=0),"",IFERROR(LOOKUP(2,1/((Budgets!$A$2:$A$200=AO$1)*(Budgets!$B$2:$B$200&lt;=$A2)),Budgets!$C$2:$C$200),0))</f>
        <v/>
      </c>
      <c r="AP2" s="88">
        <f>IF(OR(AP$1="",$BE2=0),"",IFERROR(LOOKUP(2,1/((Budgets!$A$2:$A$200=AP$1)*(Budgets!$B$2:$B$200&lt;=$A2)),Budgets!$C$2:$C$200),0))</f>
        <v/>
      </c>
      <c r="AQ2" s="88">
        <f>IF(OR(AQ$1="",$BE2=0),"",IFERROR(LOOKUP(2,1/((Budgets!$A$2:$A$200=AQ$1)*(Budgets!$B$2:$B$200&lt;=$A2)),Budgets!$C$2:$C$200),0))</f>
        <v/>
      </c>
      <c r="AR2" s="88">
        <f>IF(OR(AR$1="",$BE2=0),"",IFERROR(LOOKUP(2,1/((Budgets!$A$2:$A$200=AR$1)*(Budgets!$B$2:$B$200&lt;=$A2)),Budgets!$C$2:$C$200),0))</f>
        <v/>
      </c>
      <c r="AS2" s="88">
        <f>IF(OR(AS$1="",$BE2=0),"",IFERROR(LOOKUP(2,1/((Budgets!$A$2:$A$200=AS$1)*(Budgets!$B$2:$B$200&lt;=$A2)),Budgets!$C$2:$C$200),0))</f>
        <v/>
      </c>
      <c r="AT2" s="88">
        <f>IF(OR(AT$1="",$BE2=0),"",IFERROR(LOOKUP(2,1/((Budgets!$A$2:$A$200=AT$1)*(Budgets!$B$2:$B$200&lt;=$A2)),Budgets!$C$2:$C$200),0))</f>
        <v/>
      </c>
      <c r="AU2" s="88">
        <f>IF(OR(AU$1="",$BE2=0),"",IFERROR(LOOKUP(2,1/((Budgets!$A$2:$A$200=AU$1)*(Budgets!$B$2:$B$200&lt;=$A2)),Budgets!$C$2:$C$200),0))</f>
        <v/>
      </c>
      <c r="AV2" s="88">
        <f>IF(OR(AV$1="",$BE2=0),"",IFERROR(LOOKUP(2,1/((Budgets!$A$2:$A$200=AV$1)*(Budgets!$B$2:$B$200&lt;=$A2)),Budgets!$C$2:$C$200),0))</f>
        <v/>
      </c>
      <c r="AW2" s="88">
        <f>IF(OR(AW$1="",$BE2=0),"",IFERROR(LOOKUP(2,1/((Budgets!$A$2:$A$200=AW$1)*(Budgets!$B$2:$B$200&lt;=$A2)),Budgets!$C$2:$C$200),0))</f>
        <v/>
      </c>
      <c r="AX2" s="88">
        <f>IF(OR(AX$1="",$BE2=0),"",IFERROR(LOOKUP(2,1/((Budgets!$A$2:$A$200=AX$1)*(Budgets!$B$2:$B$200&lt;=$A2)),Budgets!$C$2:$C$200),0))</f>
        <v/>
      </c>
      <c r="AY2" s="88">
        <f>IF(OR(AY$1="",$BE2=0),"",IFERROR(LOOKUP(2,1/((Budgets!$A$2:$A$200=AY$1)*(Budgets!$B$2:$B$200&lt;=$A2)),Budgets!$C$2:$C$200),0))</f>
        <v/>
      </c>
      <c r="AZ2" s="88">
        <f>IF(OR(AZ$1="",$BE2=0),"",IFERROR(LOOKUP(2,1/((Budgets!$A$2:$A$200=AZ$1)*(Budgets!$B$2:$B$200&lt;=$A2)),Budgets!$C$2:$C$200),0))</f>
        <v/>
      </c>
      <c r="BA2" s="88">
        <f>IF(OR(BA$1="",$BE2=0),"",IFERROR(LOOKUP(2,1/((Budgets!$A$2:$A$200=BA$1)*(Budgets!$B$2:$B$200&lt;=$A2)),Budgets!$C$2:$C$200),0))</f>
        <v/>
      </c>
      <c r="BB2" s="88">
        <f>IF(OR(BB$1="",$BE2=0),"",IFERROR(LOOKUP(2,1/((Budgets!$A$2:$A$200=BB$1)*(Budgets!$B$2:$B$200&lt;=$A2)),Budgets!$C$2:$C$200),0))</f>
        <v/>
      </c>
      <c r="BC2" s="88">
        <f>IF(OR(BC$1="",$BE2=0),"",IFERROR(LOOKUP(2,1/((Budgets!$A$2:$A$200=BC$1)*(Budgets!$B$2:$B$200&lt;=$A2)),Budgets!$C$2:$C$200),0))</f>
        <v/>
      </c>
      <c r="BE2" s="67">
        <f>COUNTIFS(Entries!$A$2:$A$5000,$A2)</f>
        <v/>
      </c>
    </row>
    <row r="3" ht="15" customHeight="1" s="43">
      <c r="A3" s="87" t="n">
        <v>39479</v>
      </c>
      <c r="B3" s="88">
        <f>IF($BE3=0,NA(),SUMIFS(Entries!$D$2:$D$5000,Entries!$C$2:$C$5000,"Income",Entries!$A$2:$A$5000,$A3))</f>
        <v/>
      </c>
      <c r="C3" s="88">
        <f>IF($BE3=0,"",SUMIFS(Entries!$D$2:$D$5000,Entries!$C$2:$C$5000,"Actual",Entries!$A$2:$A$5000,$A3))</f>
        <v/>
      </c>
      <c r="D3" s="88">
        <f>IF($BE3=0,"",SUMIFS(Entries!$D$2:$D$5000,Entries!$C$2:$C$5000,"One-off",Entries!$A$2:$A$5000,$A3))</f>
        <v/>
      </c>
      <c r="E3" s="88">
        <f>IF($BE3=0,NA(),C3+D3)</f>
        <v/>
      </c>
      <c r="F3" s="88">
        <f>IF($BE3=0,"",SUM(AJ3:BC3))</f>
        <v/>
      </c>
      <c r="G3" s="88">
        <f>IF($BE3=0,"",B3-E3)</f>
        <v/>
      </c>
      <c r="H3" s="88">
        <f>IF($BE3=0,"",SUM($G$2:G3))</f>
        <v/>
      </c>
      <c r="I3" s="88">
        <f>IF($BE3=0,"",SUMIFS(Entries!$F$2:$F$5000,Entries!$A$2:$A$5000,$A3))</f>
        <v/>
      </c>
      <c r="J3" s="88">
        <f>IF($BE3=0,NA(),H3+SUM($I$2:I3))</f>
        <v/>
      </c>
      <c r="K3" s="88">
        <f>""</f>
        <v/>
      </c>
      <c r="L3" s="88">
        <f>""</f>
        <v/>
      </c>
      <c r="M3" s="70">
        <f>NA()</f>
        <v/>
      </c>
      <c r="O3" s="88">
        <f>IF(OR(O$1="",$BE3=0),"",SUMIFS(Entries!$D$2:$D$5000,Entries!$C$2:$C$5000,"Actual",Entries!$A$2:$A$5000,$A3,Entries!$B$2:$B$5000,O$1))</f>
        <v/>
      </c>
      <c r="P3" s="88">
        <f>IF(OR(P$1="",$BE3=0),"",SUMIFS(Entries!$D$2:$D$5000,Entries!$C$2:$C$5000,"Actual",Entries!$A$2:$A$5000,$A3,Entries!$B$2:$B$5000,P$1))</f>
        <v/>
      </c>
      <c r="Q3" s="88">
        <f>IF(OR(Q$1="",$BE3=0),"",SUMIFS(Entries!$D$2:$D$5000,Entries!$C$2:$C$5000,"Actual",Entries!$A$2:$A$5000,$A3,Entries!$B$2:$B$5000,Q$1))</f>
        <v/>
      </c>
      <c r="R3" s="88">
        <f>IF(OR(R$1="",$BE3=0),"",SUMIFS(Entries!$D$2:$D$5000,Entries!$C$2:$C$5000,"Actual",Entries!$A$2:$A$5000,$A3,Entries!$B$2:$B$5000,R$1))</f>
        <v/>
      </c>
      <c r="S3" s="88">
        <f>IF(OR(S$1="",$BE3=0),"",SUMIFS(Entries!$D$2:$D$5000,Entries!$C$2:$C$5000,"Actual",Entries!$A$2:$A$5000,$A3,Entries!$B$2:$B$5000,S$1))</f>
        <v/>
      </c>
      <c r="T3" s="88">
        <f>IF(OR(T$1="",$BE3=0),"",SUMIFS(Entries!$D$2:$D$5000,Entries!$C$2:$C$5000,"Actual",Entries!$A$2:$A$5000,$A3,Entries!$B$2:$B$5000,T$1))</f>
        <v/>
      </c>
      <c r="U3" s="88">
        <f>IF(OR(U$1="",$BE3=0),"",SUMIFS(Entries!$D$2:$D$5000,Entries!$C$2:$C$5000,"Actual",Entries!$A$2:$A$5000,$A3,Entries!$B$2:$B$5000,U$1))</f>
        <v/>
      </c>
      <c r="V3" s="88">
        <f>IF(OR(V$1="",$BE3=0),"",SUMIFS(Entries!$D$2:$D$5000,Entries!$C$2:$C$5000,"Actual",Entries!$A$2:$A$5000,$A3,Entries!$B$2:$B$5000,V$1))</f>
        <v/>
      </c>
      <c r="W3" s="88">
        <f>IF(OR(W$1="",$BE3=0),"",SUMIFS(Entries!$D$2:$D$5000,Entries!$C$2:$C$5000,"Actual",Entries!$A$2:$A$5000,$A3,Entries!$B$2:$B$5000,W$1))</f>
        <v/>
      </c>
      <c r="X3" s="88">
        <f>IF(OR(X$1="",$BE3=0),"",SUMIFS(Entries!$D$2:$D$5000,Entries!$C$2:$C$5000,"Actual",Entries!$A$2:$A$5000,$A3,Entries!$B$2:$B$5000,X$1))</f>
        <v/>
      </c>
      <c r="Y3" s="88">
        <f>IF(OR(Y$1="",$BE3=0),"",SUMIFS(Entries!$D$2:$D$5000,Entries!$C$2:$C$5000,"Actual",Entries!$A$2:$A$5000,$A3,Entries!$B$2:$B$5000,Y$1))</f>
        <v/>
      </c>
      <c r="Z3" s="88">
        <f>IF(OR(Z$1="",$BE3=0),"",SUMIFS(Entries!$D$2:$D$5000,Entries!$C$2:$C$5000,"Actual",Entries!$A$2:$A$5000,$A3,Entries!$B$2:$B$5000,Z$1))</f>
        <v/>
      </c>
      <c r="AA3" s="88">
        <f>IF(OR(AA$1="",$BE3=0),"",SUMIFS(Entries!$D$2:$D$5000,Entries!$C$2:$C$5000,"Actual",Entries!$A$2:$A$5000,$A3,Entries!$B$2:$B$5000,AA$1))</f>
        <v/>
      </c>
      <c r="AB3" s="88">
        <f>IF(OR(AB$1="",$BE3=0),"",SUMIFS(Entries!$D$2:$D$5000,Entries!$C$2:$C$5000,"Actual",Entries!$A$2:$A$5000,$A3,Entries!$B$2:$B$5000,AB$1))</f>
        <v/>
      </c>
      <c r="AC3" s="88">
        <f>IF(OR(AC$1="",$BE3=0),"",SUMIFS(Entries!$D$2:$D$5000,Entries!$C$2:$C$5000,"Actual",Entries!$A$2:$A$5000,$A3,Entries!$B$2:$B$5000,AC$1))</f>
        <v/>
      </c>
      <c r="AD3" s="88">
        <f>IF(OR(AD$1="",$BE3=0),"",SUMIFS(Entries!$D$2:$D$5000,Entries!$C$2:$C$5000,"Actual",Entries!$A$2:$A$5000,$A3,Entries!$B$2:$B$5000,AD$1))</f>
        <v/>
      </c>
      <c r="AE3" s="88">
        <f>IF(OR(AE$1="",$BE3=0),"",SUMIFS(Entries!$D$2:$D$5000,Entries!$C$2:$C$5000,"Actual",Entries!$A$2:$A$5000,$A3,Entries!$B$2:$B$5000,AE$1))</f>
        <v/>
      </c>
      <c r="AF3" s="88">
        <f>IF(OR(AF$1="",$BE3=0),"",SUMIFS(Entries!$D$2:$D$5000,Entries!$C$2:$C$5000,"Actual",Entries!$A$2:$A$5000,$A3,Entries!$B$2:$B$5000,AF$1))</f>
        <v/>
      </c>
      <c r="AG3" s="88">
        <f>IF(OR(AG$1="",$BE3=0),"",SUMIFS(Entries!$D$2:$D$5000,Entries!$C$2:$C$5000,"Actual",Entries!$A$2:$A$5000,$A3,Entries!$B$2:$B$5000,AG$1))</f>
        <v/>
      </c>
      <c r="AH3" s="88">
        <f>IF(OR(AH$1="",$BE3=0),"",SUMIFS(Entries!$D$2:$D$5000,Entries!$C$2:$C$5000,"Actual",Entries!$A$2:$A$5000,$A3,Entries!$B$2:$B$5000,AH$1))</f>
        <v/>
      </c>
      <c r="AJ3" s="88">
        <f>IF(OR(AJ$1="",$BE3=0),"",IFERROR(LOOKUP(2,1/((Budgets!$A$2:$A$200=AJ$1)*(Budgets!$B$2:$B$200&lt;=$A3)),Budgets!$C$2:$C$200),0))</f>
        <v/>
      </c>
      <c r="AK3" s="88">
        <f>IF(OR(AK$1="",$BE3=0),"",IFERROR(LOOKUP(2,1/((Budgets!$A$2:$A$200=AK$1)*(Budgets!$B$2:$B$200&lt;=$A3)),Budgets!$C$2:$C$200),0))</f>
        <v/>
      </c>
      <c r="AL3" s="88">
        <f>IF(OR(AL$1="",$BE3=0),"",IFERROR(LOOKUP(2,1/((Budgets!$A$2:$A$200=AL$1)*(Budgets!$B$2:$B$200&lt;=$A3)),Budgets!$C$2:$C$200),0))</f>
        <v/>
      </c>
      <c r="AM3" s="88">
        <f>IF(OR(AM$1="",$BE3=0),"",IFERROR(LOOKUP(2,1/((Budgets!$A$2:$A$200=AM$1)*(Budgets!$B$2:$B$200&lt;=$A3)),Budgets!$C$2:$C$200),0))</f>
        <v/>
      </c>
      <c r="AN3" s="88">
        <f>IF(OR(AN$1="",$BE3=0),"",IFERROR(LOOKUP(2,1/((Budgets!$A$2:$A$200=AN$1)*(Budgets!$B$2:$B$200&lt;=$A3)),Budgets!$C$2:$C$200),0))</f>
        <v/>
      </c>
      <c r="AO3" s="88">
        <f>IF(OR(AO$1="",$BE3=0),"",IFERROR(LOOKUP(2,1/((Budgets!$A$2:$A$200=AO$1)*(Budgets!$B$2:$B$200&lt;=$A3)),Budgets!$C$2:$C$200),0))</f>
        <v/>
      </c>
      <c r="AP3" s="88">
        <f>IF(OR(AP$1="",$BE3=0),"",IFERROR(LOOKUP(2,1/((Budgets!$A$2:$A$200=AP$1)*(Budgets!$B$2:$B$200&lt;=$A3)),Budgets!$C$2:$C$200),0))</f>
        <v/>
      </c>
      <c r="AQ3" s="88">
        <f>IF(OR(AQ$1="",$BE3=0),"",IFERROR(LOOKUP(2,1/((Budgets!$A$2:$A$200=AQ$1)*(Budgets!$B$2:$B$200&lt;=$A3)),Budgets!$C$2:$C$200),0))</f>
        <v/>
      </c>
      <c r="AR3" s="88">
        <f>IF(OR(AR$1="",$BE3=0),"",IFERROR(LOOKUP(2,1/((Budgets!$A$2:$A$200=AR$1)*(Budgets!$B$2:$B$200&lt;=$A3)),Budgets!$C$2:$C$200),0))</f>
        <v/>
      </c>
      <c r="AS3" s="88">
        <f>IF(OR(AS$1="",$BE3=0),"",IFERROR(LOOKUP(2,1/((Budgets!$A$2:$A$200=AS$1)*(Budgets!$B$2:$B$200&lt;=$A3)),Budgets!$C$2:$C$200),0))</f>
        <v/>
      </c>
      <c r="AT3" s="88">
        <f>IF(OR(AT$1="",$BE3=0),"",IFERROR(LOOKUP(2,1/((Budgets!$A$2:$A$200=AT$1)*(Budgets!$B$2:$B$200&lt;=$A3)),Budgets!$C$2:$C$200),0))</f>
        <v/>
      </c>
      <c r="AU3" s="88">
        <f>IF(OR(AU$1="",$BE3=0),"",IFERROR(LOOKUP(2,1/((Budgets!$A$2:$A$200=AU$1)*(Budgets!$B$2:$B$200&lt;=$A3)),Budgets!$C$2:$C$200),0))</f>
        <v/>
      </c>
      <c r="AV3" s="88">
        <f>IF(OR(AV$1="",$BE3=0),"",IFERROR(LOOKUP(2,1/((Budgets!$A$2:$A$200=AV$1)*(Budgets!$B$2:$B$200&lt;=$A3)),Budgets!$C$2:$C$200),0))</f>
        <v/>
      </c>
      <c r="AW3" s="88">
        <f>IF(OR(AW$1="",$BE3=0),"",IFERROR(LOOKUP(2,1/((Budgets!$A$2:$A$200=AW$1)*(Budgets!$B$2:$B$200&lt;=$A3)),Budgets!$C$2:$C$200),0))</f>
        <v/>
      </c>
      <c r="AX3" s="88">
        <f>IF(OR(AX$1="",$BE3=0),"",IFERROR(LOOKUP(2,1/((Budgets!$A$2:$A$200=AX$1)*(Budgets!$B$2:$B$200&lt;=$A3)),Budgets!$C$2:$C$200),0))</f>
        <v/>
      </c>
      <c r="AY3" s="88">
        <f>IF(OR(AY$1="",$BE3=0),"",IFERROR(LOOKUP(2,1/((Budgets!$A$2:$A$200=AY$1)*(Budgets!$B$2:$B$200&lt;=$A3)),Budgets!$C$2:$C$200),0))</f>
        <v/>
      </c>
      <c r="AZ3" s="88">
        <f>IF(OR(AZ$1="",$BE3=0),"",IFERROR(LOOKUP(2,1/((Budgets!$A$2:$A$200=AZ$1)*(Budgets!$B$2:$B$200&lt;=$A3)),Budgets!$C$2:$C$200),0))</f>
        <v/>
      </c>
      <c r="BA3" s="88">
        <f>IF(OR(BA$1="",$BE3=0),"",IFERROR(LOOKUP(2,1/((Budgets!$A$2:$A$200=BA$1)*(Budgets!$B$2:$B$200&lt;=$A3)),Budgets!$C$2:$C$200),0))</f>
        <v/>
      </c>
      <c r="BB3" s="88">
        <f>IF(OR(BB$1="",$BE3=0),"",IFERROR(LOOKUP(2,1/((Budgets!$A$2:$A$200=BB$1)*(Budgets!$B$2:$B$200&lt;=$A3)),Budgets!$C$2:$C$200),0))</f>
        <v/>
      </c>
      <c r="BC3" s="88">
        <f>IF(OR(BC$1="",$BE3=0),"",IFERROR(LOOKUP(2,1/((Budgets!$A$2:$A$200=BC$1)*(Budgets!$B$2:$B$200&lt;=$A3)),Budgets!$C$2:$C$200),0))</f>
        <v/>
      </c>
      <c r="BE3" s="67">
        <f>COUNTIFS(Entries!$A$2:$A$5000,$A3)</f>
        <v/>
      </c>
    </row>
    <row r="4" ht="15" customHeight="1" s="43">
      <c r="A4" s="87" t="n">
        <v>39508</v>
      </c>
      <c r="B4" s="88">
        <f>IF($BE4=0,NA(),SUMIFS(Entries!$D$2:$D$5000,Entries!$C$2:$C$5000,"Income",Entries!$A$2:$A$5000,$A4))</f>
        <v/>
      </c>
      <c r="C4" s="88">
        <f>IF($BE4=0,"",SUMIFS(Entries!$D$2:$D$5000,Entries!$C$2:$C$5000,"Actual",Entries!$A$2:$A$5000,$A4))</f>
        <v/>
      </c>
      <c r="D4" s="88">
        <f>IF($BE4=0,"",SUMIFS(Entries!$D$2:$D$5000,Entries!$C$2:$C$5000,"One-off",Entries!$A$2:$A$5000,$A4))</f>
        <v/>
      </c>
      <c r="E4" s="88">
        <f>IF($BE4=0,NA(),C4+D4)</f>
        <v/>
      </c>
      <c r="F4" s="88">
        <f>IF($BE4=0,"",SUM(AJ4:BC4))</f>
        <v/>
      </c>
      <c r="G4" s="88">
        <f>IF($BE4=0,"",B4-E4)</f>
        <v/>
      </c>
      <c r="H4" s="88">
        <f>IF($BE4=0,"",SUM($G$2:G4))</f>
        <v/>
      </c>
      <c r="I4" s="88">
        <f>IF($BE4=0,"",SUMIFS(Entries!$F$2:$F$5000,Entries!$A$2:$A$5000,$A4))</f>
        <v/>
      </c>
      <c r="J4" s="88">
        <f>IF($BE4=0,NA(),H4+SUM($I$2:I4))</f>
        <v/>
      </c>
      <c r="K4" s="88">
        <f>""</f>
        <v/>
      </c>
      <c r="L4" s="88">
        <f>""</f>
        <v/>
      </c>
      <c r="M4" s="70">
        <f>NA()</f>
        <v/>
      </c>
      <c r="O4" s="88">
        <f>IF(OR(O$1="",$BE4=0),"",SUMIFS(Entries!$D$2:$D$5000,Entries!$C$2:$C$5000,"Actual",Entries!$A$2:$A$5000,$A4,Entries!$B$2:$B$5000,O$1))</f>
        <v/>
      </c>
      <c r="P4" s="88">
        <f>IF(OR(P$1="",$BE4=0),"",SUMIFS(Entries!$D$2:$D$5000,Entries!$C$2:$C$5000,"Actual",Entries!$A$2:$A$5000,$A4,Entries!$B$2:$B$5000,P$1))</f>
        <v/>
      </c>
      <c r="Q4" s="88">
        <f>IF(OR(Q$1="",$BE4=0),"",SUMIFS(Entries!$D$2:$D$5000,Entries!$C$2:$C$5000,"Actual",Entries!$A$2:$A$5000,$A4,Entries!$B$2:$B$5000,Q$1))</f>
        <v/>
      </c>
      <c r="R4" s="88">
        <f>IF(OR(R$1="",$BE4=0),"",SUMIFS(Entries!$D$2:$D$5000,Entries!$C$2:$C$5000,"Actual",Entries!$A$2:$A$5000,$A4,Entries!$B$2:$B$5000,R$1))</f>
        <v/>
      </c>
      <c r="S4" s="88">
        <f>IF(OR(S$1="",$BE4=0),"",SUMIFS(Entries!$D$2:$D$5000,Entries!$C$2:$C$5000,"Actual",Entries!$A$2:$A$5000,$A4,Entries!$B$2:$B$5000,S$1))</f>
        <v/>
      </c>
      <c r="T4" s="88">
        <f>IF(OR(T$1="",$BE4=0),"",SUMIFS(Entries!$D$2:$D$5000,Entries!$C$2:$C$5000,"Actual",Entries!$A$2:$A$5000,$A4,Entries!$B$2:$B$5000,T$1))</f>
        <v/>
      </c>
      <c r="U4" s="88">
        <f>IF(OR(U$1="",$BE4=0),"",SUMIFS(Entries!$D$2:$D$5000,Entries!$C$2:$C$5000,"Actual",Entries!$A$2:$A$5000,$A4,Entries!$B$2:$B$5000,U$1))</f>
        <v/>
      </c>
      <c r="V4" s="88">
        <f>IF(OR(V$1="",$BE4=0),"",SUMIFS(Entries!$D$2:$D$5000,Entries!$C$2:$C$5000,"Actual",Entries!$A$2:$A$5000,$A4,Entries!$B$2:$B$5000,V$1))</f>
        <v/>
      </c>
      <c r="W4" s="88">
        <f>IF(OR(W$1="",$BE4=0),"",SUMIFS(Entries!$D$2:$D$5000,Entries!$C$2:$C$5000,"Actual",Entries!$A$2:$A$5000,$A4,Entries!$B$2:$B$5000,W$1))</f>
        <v/>
      </c>
      <c r="X4" s="88">
        <f>IF(OR(X$1="",$BE4=0),"",SUMIFS(Entries!$D$2:$D$5000,Entries!$C$2:$C$5000,"Actual",Entries!$A$2:$A$5000,$A4,Entries!$B$2:$B$5000,X$1))</f>
        <v/>
      </c>
      <c r="Y4" s="88">
        <f>IF(OR(Y$1="",$BE4=0),"",SUMIFS(Entries!$D$2:$D$5000,Entries!$C$2:$C$5000,"Actual",Entries!$A$2:$A$5000,$A4,Entries!$B$2:$B$5000,Y$1))</f>
        <v/>
      </c>
      <c r="Z4" s="88">
        <f>IF(OR(Z$1="",$BE4=0),"",SUMIFS(Entries!$D$2:$D$5000,Entries!$C$2:$C$5000,"Actual",Entries!$A$2:$A$5000,$A4,Entries!$B$2:$B$5000,Z$1))</f>
        <v/>
      </c>
      <c r="AA4" s="88">
        <f>IF(OR(AA$1="",$BE4=0),"",SUMIFS(Entries!$D$2:$D$5000,Entries!$C$2:$C$5000,"Actual",Entries!$A$2:$A$5000,$A4,Entries!$B$2:$B$5000,AA$1))</f>
        <v/>
      </c>
      <c r="AB4" s="88">
        <f>IF(OR(AB$1="",$BE4=0),"",SUMIFS(Entries!$D$2:$D$5000,Entries!$C$2:$C$5000,"Actual",Entries!$A$2:$A$5000,$A4,Entries!$B$2:$B$5000,AB$1))</f>
        <v/>
      </c>
      <c r="AC4" s="88">
        <f>IF(OR(AC$1="",$BE4=0),"",SUMIFS(Entries!$D$2:$D$5000,Entries!$C$2:$C$5000,"Actual",Entries!$A$2:$A$5000,$A4,Entries!$B$2:$B$5000,AC$1))</f>
        <v/>
      </c>
      <c r="AD4" s="88">
        <f>IF(OR(AD$1="",$BE4=0),"",SUMIFS(Entries!$D$2:$D$5000,Entries!$C$2:$C$5000,"Actual",Entries!$A$2:$A$5000,$A4,Entries!$B$2:$B$5000,AD$1))</f>
        <v/>
      </c>
      <c r="AE4" s="88">
        <f>IF(OR(AE$1="",$BE4=0),"",SUMIFS(Entries!$D$2:$D$5000,Entries!$C$2:$C$5000,"Actual",Entries!$A$2:$A$5000,$A4,Entries!$B$2:$B$5000,AE$1))</f>
        <v/>
      </c>
      <c r="AF4" s="88">
        <f>IF(OR(AF$1="",$BE4=0),"",SUMIFS(Entries!$D$2:$D$5000,Entries!$C$2:$C$5000,"Actual",Entries!$A$2:$A$5000,$A4,Entries!$B$2:$B$5000,AF$1))</f>
        <v/>
      </c>
      <c r="AG4" s="88">
        <f>IF(OR(AG$1="",$BE4=0),"",SUMIFS(Entries!$D$2:$D$5000,Entries!$C$2:$C$5000,"Actual",Entries!$A$2:$A$5000,$A4,Entries!$B$2:$B$5000,AG$1))</f>
        <v/>
      </c>
      <c r="AH4" s="88">
        <f>IF(OR(AH$1="",$BE4=0),"",SUMIFS(Entries!$D$2:$D$5000,Entries!$C$2:$C$5000,"Actual",Entries!$A$2:$A$5000,$A4,Entries!$B$2:$B$5000,AH$1))</f>
        <v/>
      </c>
      <c r="AJ4" s="88">
        <f>IF(OR(AJ$1="",$BE4=0),"",IFERROR(LOOKUP(2,1/((Budgets!$A$2:$A$200=AJ$1)*(Budgets!$B$2:$B$200&lt;=$A4)),Budgets!$C$2:$C$200),0))</f>
        <v/>
      </c>
      <c r="AK4" s="88">
        <f>IF(OR(AK$1="",$BE4=0),"",IFERROR(LOOKUP(2,1/((Budgets!$A$2:$A$200=AK$1)*(Budgets!$B$2:$B$200&lt;=$A4)),Budgets!$C$2:$C$200),0))</f>
        <v/>
      </c>
      <c r="AL4" s="88">
        <f>IF(OR(AL$1="",$BE4=0),"",IFERROR(LOOKUP(2,1/((Budgets!$A$2:$A$200=AL$1)*(Budgets!$B$2:$B$200&lt;=$A4)),Budgets!$C$2:$C$200),0))</f>
        <v/>
      </c>
      <c r="AM4" s="88">
        <f>IF(OR(AM$1="",$BE4=0),"",IFERROR(LOOKUP(2,1/((Budgets!$A$2:$A$200=AM$1)*(Budgets!$B$2:$B$200&lt;=$A4)),Budgets!$C$2:$C$200),0))</f>
        <v/>
      </c>
      <c r="AN4" s="88">
        <f>IF(OR(AN$1="",$BE4=0),"",IFERROR(LOOKUP(2,1/((Budgets!$A$2:$A$200=AN$1)*(Budgets!$B$2:$B$200&lt;=$A4)),Budgets!$C$2:$C$200),0))</f>
        <v/>
      </c>
      <c r="AO4" s="88">
        <f>IF(OR(AO$1="",$BE4=0),"",IFERROR(LOOKUP(2,1/((Budgets!$A$2:$A$200=AO$1)*(Budgets!$B$2:$B$200&lt;=$A4)),Budgets!$C$2:$C$200),0))</f>
        <v/>
      </c>
      <c r="AP4" s="88">
        <f>IF(OR(AP$1="",$BE4=0),"",IFERROR(LOOKUP(2,1/((Budgets!$A$2:$A$200=AP$1)*(Budgets!$B$2:$B$200&lt;=$A4)),Budgets!$C$2:$C$200),0))</f>
        <v/>
      </c>
      <c r="AQ4" s="88">
        <f>IF(OR(AQ$1="",$BE4=0),"",IFERROR(LOOKUP(2,1/((Budgets!$A$2:$A$200=AQ$1)*(Budgets!$B$2:$B$200&lt;=$A4)),Budgets!$C$2:$C$200),0))</f>
        <v/>
      </c>
      <c r="AR4" s="88">
        <f>IF(OR(AR$1="",$BE4=0),"",IFERROR(LOOKUP(2,1/((Budgets!$A$2:$A$200=AR$1)*(Budgets!$B$2:$B$200&lt;=$A4)),Budgets!$C$2:$C$200),0))</f>
        <v/>
      </c>
      <c r="AS4" s="88">
        <f>IF(OR(AS$1="",$BE4=0),"",IFERROR(LOOKUP(2,1/((Budgets!$A$2:$A$200=AS$1)*(Budgets!$B$2:$B$200&lt;=$A4)),Budgets!$C$2:$C$200),0))</f>
        <v/>
      </c>
      <c r="AT4" s="88">
        <f>IF(OR(AT$1="",$BE4=0),"",IFERROR(LOOKUP(2,1/((Budgets!$A$2:$A$200=AT$1)*(Budgets!$B$2:$B$200&lt;=$A4)),Budgets!$C$2:$C$200),0))</f>
        <v/>
      </c>
      <c r="AU4" s="88">
        <f>IF(OR(AU$1="",$BE4=0),"",IFERROR(LOOKUP(2,1/((Budgets!$A$2:$A$200=AU$1)*(Budgets!$B$2:$B$200&lt;=$A4)),Budgets!$C$2:$C$200),0))</f>
        <v/>
      </c>
      <c r="AV4" s="88">
        <f>IF(OR(AV$1="",$BE4=0),"",IFERROR(LOOKUP(2,1/((Budgets!$A$2:$A$200=AV$1)*(Budgets!$B$2:$B$200&lt;=$A4)),Budgets!$C$2:$C$200),0))</f>
        <v/>
      </c>
      <c r="AW4" s="88">
        <f>IF(OR(AW$1="",$BE4=0),"",IFERROR(LOOKUP(2,1/((Budgets!$A$2:$A$200=AW$1)*(Budgets!$B$2:$B$200&lt;=$A4)),Budgets!$C$2:$C$200),0))</f>
        <v/>
      </c>
      <c r="AX4" s="88">
        <f>IF(OR(AX$1="",$BE4=0),"",IFERROR(LOOKUP(2,1/((Budgets!$A$2:$A$200=AX$1)*(Budgets!$B$2:$B$200&lt;=$A4)),Budgets!$C$2:$C$200),0))</f>
        <v/>
      </c>
      <c r="AY4" s="88">
        <f>IF(OR(AY$1="",$BE4=0),"",IFERROR(LOOKUP(2,1/((Budgets!$A$2:$A$200=AY$1)*(Budgets!$B$2:$B$200&lt;=$A4)),Budgets!$C$2:$C$200),0))</f>
        <v/>
      </c>
      <c r="AZ4" s="88">
        <f>IF(OR(AZ$1="",$BE4=0),"",IFERROR(LOOKUP(2,1/((Budgets!$A$2:$A$200=AZ$1)*(Budgets!$B$2:$B$200&lt;=$A4)),Budgets!$C$2:$C$200),0))</f>
        <v/>
      </c>
      <c r="BA4" s="88">
        <f>IF(OR(BA$1="",$BE4=0),"",IFERROR(LOOKUP(2,1/((Budgets!$A$2:$A$200=BA$1)*(Budgets!$B$2:$B$200&lt;=$A4)),Budgets!$C$2:$C$200),0))</f>
        <v/>
      </c>
      <c r="BB4" s="88">
        <f>IF(OR(BB$1="",$BE4=0),"",IFERROR(LOOKUP(2,1/((Budgets!$A$2:$A$200=BB$1)*(Budgets!$B$2:$B$200&lt;=$A4)),Budgets!$C$2:$C$200),0))</f>
        <v/>
      </c>
      <c r="BC4" s="88">
        <f>IF(OR(BC$1="",$BE4=0),"",IFERROR(LOOKUP(2,1/((Budgets!$A$2:$A$200=BC$1)*(Budgets!$B$2:$B$200&lt;=$A4)),Budgets!$C$2:$C$200),0))</f>
        <v/>
      </c>
      <c r="BE4" s="67">
        <f>COUNTIFS(Entries!$A$2:$A$5000,$A4)</f>
        <v/>
      </c>
    </row>
    <row r="5" ht="15" customHeight="1" s="43">
      <c r="A5" s="87" t="n">
        <v>39539</v>
      </c>
      <c r="B5" s="88">
        <f>IF($BE5=0,NA(),SUMIFS(Entries!$D$2:$D$5000,Entries!$C$2:$C$5000,"Income",Entries!$A$2:$A$5000,$A5))</f>
        <v/>
      </c>
      <c r="C5" s="88">
        <f>IF($BE5=0,"",SUMIFS(Entries!$D$2:$D$5000,Entries!$C$2:$C$5000,"Actual",Entries!$A$2:$A$5000,$A5))</f>
        <v/>
      </c>
      <c r="D5" s="88">
        <f>IF($BE5=0,"",SUMIFS(Entries!$D$2:$D$5000,Entries!$C$2:$C$5000,"One-off",Entries!$A$2:$A$5000,$A5))</f>
        <v/>
      </c>
      <c r="E5" s="88">
        <f>IF($BE5=0,NA(),C5+D5)</f>
        <v/>
      </c>
      <c r="F5" s="88">
        <f>IF($BE5=0,"",SUM(AJ5:BC5))</f>
        <v/>
      </c>
      <c r="G5" s="88">
        <f>IF($BE5=0,"",B5-E5)</f>
        <v/>
      </c>
      <c r="H5" s="88">
        <f>IF($BE5=0,"",SUM($G$2:G5))</f>
        <v/>
      </c>
      <c r="I5" s="88">
        <f>IF($BE5=0,"",SUMIFS(Entries!$F$2:$F$5000,Entries!$A$2:$A$5000,$A5))</f>
        <v/>
      </c>
      <c r="J5" s="88">
        <f>IF($BE5=0,NA(),H5+SUM($I$2:I5))</f>
        <v/>
      </c>
      <c r="K5" s="88">
        <f>""</f>
        <v/>
      </c>
      <c r="L5" s="88">
        <f>""</f>
        <v/>
      </c>
      <c r="M5" s="70">
        <f>NA()</f>
        <v/>
      </c>
      <c r="O5" s="88">
        <f>IF(OR(O$1="",$BE5=0),"",SUMIFS(Entries!$D$2:$D$5000,Entries!$C$2:$C$5000,"Actual",Entries!$A$2:$A$5000,$A5,Entries!$B$2:$B$5000,O$1))</f>
        <v/>
      </c>
      <c r="P5" s="88">
        <f>IF(OR(P$1="",$BE5=0),"",SUMIFS(Entries!$D$2:$D$5000,Entries!$C$2:$C$5000,"Actual",Entries!$A$2:$A$5000,$A5,Entries!$B$2:$B$5000,P$1))</f>
        <v/>
      </c>
      <c r="Q5" s="88">
        <f>IF(OR(Q$1="",$BE5=0),"",SUMIFS(Entries!$D$2:$D$5000,Entries!$C$2:$C$5000,"Actual",Entries!$A$2:$A$5000,$A5,Entries!$B$2:$B$5000,Q$1))</f>
        <v/>
      </c>
      <c r="R5" s="88">
        <f>IF(OR(R$1="",$BE5=0),"",SUMIFS(Entries!$D$2:$D$5000,Entries!$C$2:$C$5000,"Actual",Entries!$A$2:$A$5000,$A5,Entries!$B$2:$B$5000,R$1))</f>
        <v/>
      </c>
      <c r="S5" s="88">
        <f>IF(OR(S$1="",$BE5=0),"",SUMIFS(Entries!$D$2:$D$5000,Entries!$C$2:$C$5000,"Actual",Entries!$A$2:$A$5000,$A5,Entries!$B$2:$B$5000,S$1))</f>
        <v/>
      </c>
      <c r="T5" s="88">
        <f>IF(OR(T$1="",$BE5=0),"",SUMIFS(Entries!$D$2:$D$5000,Entries!$C$2:$C$5000,"Actual",Entries!$A$2:$A$5000,$A5,Entries!$B$2:$B$5000,T$1))</f>
        <v/>
      </c>
      <c r="U5" s="88">
        <f>IF(OR(U$1="",$BE5=0),"",SUMIFS(Entries!$D$2:$D$5000,Entries!$C$2:$C$5000,"Actual",Entries!$A$2:$A$5000,$A5,Entries!$B$2:$B$5000,U$1))</f>
        <v/>
      </c>
      <c r="V5" s="88">
        <f>IF(OR(V$1="",$BE5=0),"",SUMIFS(Entries!$D$2:$D$5000,Entries!$C$2:$C$5000,"Actual",Entries!$A$2:$A$5000,$A5,Entries!$B$2:$B$5000,V$1))</f>
        <v/>
      </c>
      <c r="W5" s="88">
        <f>IF(OR(W$1="",$BE5=0),"",SUMIFS(Entries!$D$2:$D$5000,Entries!$C$2:$C$5000,"Actual",Entries!$A$2:$A$5000,$A5,Entries!$B$2:$B$5000,W$1))</f>
        <v/>
      </c>
      <c r="X5" s="88">
        <f>IF(OR(X$1="",$BE5=0),"",SUMIFS(Entries!$D$2:$D$5000,Entries!$C$2:$C$5000,"Actual",Entries!$A$2:$A$5000,$A5,Entries!$B$2:$B$5000,X$1))</f>
        <v/>
      </c>
      <c r="Y5" s="88">
        <f>IF(OR(Y$1="",$BE5=0),"",SUMIFS(Entries!$D$2:$D$5000,Entries!$C$2:$C$5000,"Actual",Entries!$A$2:$A$5000,$A5,Entries!$B$2:$B$5000,Y$1))</f>
        <v/>
      </c>
      <c r="Z5" s="88">
        <f>IF(OR(Z$1="",$BE5=0),"",SUMIFS(Entries!$D$2:$D$5000,Entries!$C$2:$C$5000,"Actual",Entries!$A$2:$A$5000,$A5,Entries!$B$2:$B$5000,Z$1))</f>
        <v/>
      </c>
      <c r="AA5" s="88">
        <f>IF(OR(AA$1="",$BE5=0),"",SUMIFS(Entries!$D$2:$D$5000,Entries!$C$2:$C$5000,"Actual",Entries!$A$2:$A$5000,$A5,Entries!$B$2:$B$5000,AA$1))</f>
        <v/>
      </c>
      <c r="AB5" s="88">
        <f>IF(OR(AB$1="",$BE5=0),"",SUMIFS(Entries!$D$2:$D$5000,Entries!$C$2:$C$5000,"Actual",Entries!$A$2:$A$5000,$A5,Entries!$B$2:$B$5000,AB$1))</f>
        <v/>
      </c>
      <c r="AC5" s="88">
        <f>IF(OR(AC$1="",$BE5=0),"",SUMIFS(Entries!$D$2:$D$5000,Entries!$C$2:$C$5000,"Actual",Entries!$A$2:$A$5000,$A5,Entries!$B$2:$B$5000,AC$1))</f>
        <v/>
      </c>
      <c r="AD5" s="88">
        <f>IF(OR(AD$1="",$BE5=0),"",SUMIFS(Entries!$D$2:$D$5000,Entries!$C$2:$C$5000,"Actual",Entries!$A$2:$A$5000,$A5,Entries!$B$2:$B$5000,AD$1))</f>
        <v/>
      </c>
      <c r="AE5" s="88">
        <f>IF(OR(AE$1="",$BE5=0),"",SUMIFS(Entries!$D$2:$D$5000,Entries!$C$2:$C$5000,"Actual",Entries!$A$2:$A$5000,$A5,Entries!$B$2:$B$5000,AE$1))</f>
        <v/>
      </c>
      <c r="AF5" s="88">
        <f>IF(OR(AF$1="",$BE5=0),"",SUMIFS(Entries!$D$2:$D$5000,Entries!$C$2:$C$5000,"Actual",Entries!$A$2:$A$5000,$A5,Entries!$B$2:$B$5000,AF$1))</f>
        <v/>
      </c>
      <c r="AG5" s="88">
        <f>IF(OR(AG$1="",$BE5=0),"",SUMIFS(Entries!$D$2:$D$5000,Entries!$C$2:$C$5000,"Actual",Entries!$A$2:$A$5000,$A5,Entries!$B$2:$B$5000,AG$1))</f>
        <v/>
      </c>
      <c r="AH5" s="88">
        <f>IF(OR(AH$1="",$BE5=0),"",SUMIFS(Entries!$D$2:$D$5000,Entries!$C$2:$C$5000,"Actual",Entries!$A$2:$A$5000,$A5,Entries!$B$2:$B$5000,AH$1))</f>
        <v/>
      </c>
      <c r="AJ5" s="88">
        <f>IF(OR(AJ$1="",$BE5=0),"",IFERROR(LOOKUP(2,1/((Budgets!$A$2:$A$200=AJ$1)*(Budgets!$B$2:$B$200&lt;=$A5)),Budgets!$C$2:$C$200),0))</f>
        <v/>
      </c>
      <c r="AK5" s="88">
        <f>IF(OR(AK$1="",$BE5=0),"",IFERROR(LOOKUP(2,1/((Budgets!$A$2:$A$200=AK$1)*(Budgets!$B$2:$B$200&lt;=$A5)),Budgets!$C$2:$C$200),0))</f>
        <v/>
      </c>
      <c r="AL5" s="88">
        <f>IF(OR(AL$1="",$BE5=0),"",IFERROR(LOOKUP(2,1/((Budgets!$A$2:$A$200=AL$1)*(Budgets!$B$2:$B$200&lt;=$A5)),Budgets!$C$2:$C$200),0))</f>
        <v/>
      </c>
      <c r="AM5" s="88">
        <f>IF(OR(AM$1="",$BE5=0),"",IFERROR(LOOKUP(2,1/((Budgets!$A$2:$A$200=AM$1)*(Budgets!$B$2:$B$200&lt;=$A5)),Budgets!$C$2:$C$200),0))</f>
        <v/>
      </c>
      <c r="AN5" s="88">
        <f>IF(OR(AN$1="",$BE5=0),"",IFERROR(LOOKUP(2,1/((Budgets!$A$2:$A$200=AN$1)*(Budgets!$B$2:$B$200&lt;=$A5)),Budgets!$C$2:$C$200),0))</f>
        <v/>
      </c>
      <c r="AO5" s="88">
        <f>IF(OR(AO$1="",$BE5=0),"",IFERROR(LOOKUP(2,1/((Budgets!$A$2:$A$200=AO$1)*(Budgets!$B$2:$B$200&lt;=$A5)),Budgets!$C$2:$C$200),0))</f>
        <v/>
      </c>
      <c r="AP5" s="88">
        <f>IF(OR(AP$1="",$BE5=0),"",IFERROR(LOOKUP(2,1/((Budgets!$A$2:$A$200=AP$1)*(Budgets!$B$2:$B$200&lt;=$A5)),Budgets!$C$2:$C$200),0))</f>
        <v/>
      </c>
      <c r="AQ5" s="88">
        <f>IF(OR(AQ$1="",$BE5=0),"",IFERROR(LOOKUP(2,1/((Budgets!$A$2:$A$200=AQ$1)*(Budgets!$B$2:$B$200&lt;=$A5)),Budgets!$C$2:$C$200),0))</f>
        <v/>
      </c>
      <c r="AR5" s="88">
        <f>IF(OR(AR$1="",$BE5=0),"",IFERROR(LOOKUP(2,1/((Budgets!$A$2:$A$200=AR$1)*(Budgets!$B$2:$B$200&lt;=$A5)),Budgets!$C$2:$C$200),0))</f>
        <v/>
      </c>
      <c r="AS5" s="88">
        <f>IF(OR(AS$1="",$BE5=0),"",IFERROR(LOOKUP(2,1/((Budgets!$A$2:$A$200=AS$1)*(Budgets!$B$2:$B$200&lt;=$A5)),Budgets!$C$2:$C$200),0))</f>
        <v/>
      </c>
      <c r="AT5" s="88">
        <f>IF(OR(AT$1="",$BE5=0),"",IFERROR(LOOKUP(2,1/((Budgets!$A$2:$A$200=AT$1)*(Budgets!$B$2:$B$200&lt;=$A5)),Budgets!$C$2:$C$200),0))</f>
        <v/>
      </c>
      <c r="AU5" s="88">
        <f>IF(OR(AU$1="",$BE5=0),"",IFERROR(LOOKUP(2,1/((Budgets!$A$2:$A$200=AU$1)*(Budgets!$B$2:$B$200&lt;=$A5)),Budgets!$C$2:$C$200),0))</f>
        <v/>
      </c>
      <c r="AV5" s="88">
        <f>IF(OR(AV$1="",$BE5=0),"",IFERROR(LOOKUP(2,1/((Budgets!$A$2:$A$200=AV$1)*(Budgets!$B$2:$B$200&lt;=$A5)),Budgets!$C$2:$C$200),0))</f>
        <v/>
      </c>
      <c r="AW5" s="88">
        <f>IF(OR(AW$1="",$BE5=0),"",IFERROR(LOOKUP(2,1/((Budgets!$A$2:$A$200=AW$1)*(Budgets!$B$2:$B$200&lt;=$A5)),Budgets!$C$2:$C$200),0))</f>
        <v/>
      </c>
      <c r="AX5" s="88">
        <f>IF(OR(AX$1="",$BE5=0),"",IFERROR(LOOKUP(2,1/((Budgets!$A$2:$A$200=AX$1)*(Budgets!$B$2:$B$200&lt;=$A5)),Budgets!$C$2:$C$200),0))</f>
        <v/>
      </c>
      <c r="AY5" s="88">
        <f>IF(OR(AY$1="",$BE5=0),"",IFERROR(LOOKUP(2,1/((Budgets!$A$2:$A$200=AY$1)*(Budgets!$B$2:$B$200&lt;=$A5)),Budgets!$C$2:$C$200),0))</f>
        <v/>
      </c>
      <c r="AZ5" s="88">
        <f>IF(OR(AZ$1="",$BE5=0),"",IFERROR(LOOKUP(2,1/((Budgets!$A$2:$A$200=AZ$1)*(Budgets!$B$2:$B$200&lt;=$A5)),Budgets!$C$2:$C$200),0))</f>
        <v/>
      </c>
      <c r="BA5" s="88">
        <f>IF(OR(BA$1="",$BE5=0),"",IFERROR(LOOKUP(2,1/((Budgets!$A$2:$A$200=BA$1)*(Budgets!$B$2:$B$200&lt;=$A5)),Budgets!$C$2:$C$200),0))</f>
        <v/>
      </c>
      <c r="BB5" s="88">
        <f>IF(OR(BB$1="",$BE5=0),"",IFERROR(LOOKUP(2,1/((Budgets!$A$2:$A$200=BB$1)*(Budgets!$B$2:$B$200&lt;=$A5)),Budgets!$C$2:$C$200),0))</f>
        <v/>
      </c>
      <c r="BC5" s="88">
        <f>IF(OR(BC$1="",$BE5=0),"",IFERROR(LOOKUP(2,1/((Budgets!$A$2:$A$200=BC$1)*(Budgets!$B$2:$B$200&lt;=$A5)),Budgets!$C$2:$C$200),0))</f>
        <v/>
      </c>
      <c r="BE5" s="67">
        <f>COUNTIFS(Entries!$A$2:$A$5000,$A5)</f>
        <v/>
      </c>
    </row>
    <row r="6" ht="15" customHeight="1" s="43">
      <c r="A6" s="87" t="n">
        <v>39569</v>
      </c>
      <c r="B6" s="88">
        <f>IF($BE6=0,NA(),SUMIFS(Entries!$D$2:$D$5000,Entries!$C$2:$C$5000,"Income",Entries!$A$2:$A$5000,$A6))</f>
        <v/>
      </c>
      <c r="C6" s="88">
        <f>IF($BE6=0,"",SUMIFS(Entries!$D$2:$D$5000,Entries!$C$2:$C$5000,"Actual",Entries!$A$2:$A$5000,$A6))</f>
        <v/>
      </c>
      <c r="D6" s="88">
        <f>IF($BE6=0,"",SUMIFS(Entries!$D$2:$D$5000,Entries!$C$2:$C$5000,"One-off",Entries!$A$2:$A$5000,$A6))</f>
        <v/>
      </c>
      <c r="E6" s="88">
        <f>IF($BE6=0,NA(),C6+D6)</f>
        <v/>
      </c>
      <c r="F6" s="88">
        <f>IF($BE6=0,"",SUM(AJ6:BC6))</f>
        <v/>
      </c>
      <c r="G6" s="88">
        <f>IF($BE6=0,"",B6-E6)</f>
        <v/>
      </c>
      <c r="H6" s="88">
        <f>IF($BE6=0,"",SUM($G$2:G6))</f>
        <v/>
      </c>
      <c r="I6" s="88">
        <f>IF($BE6=0,"",SUMIFS(Entries!$F$2:$F$5000,Entries!$A$2:$A$5000,$A6))</f>
        <v/>
      </c>
      <c r="J6" s="88">
        <f>IF($BE6=0,NA(),H6+SUM($I$2:I6))</f>
        <v/>
      </c>
      <c r="K6" s="88">
        <f>""</f>
        <v/>
      </c>
      <c r="L6" s="88">
        <f>""</f>
        <v/>
      </c>
      <c r="M6" s="70">
        <f>NA()</f>
        <v/>
      </c>
      <c r="O6" s="88">
        <f>IF(OR(O$1="",$BE6=0),"",SUMIFS(Entries!$D$2:$D$5000,Entries!$C$2:$C$5000,"Actual",Entries!$A$2:$A$5000,$A6,Entries!$B$2:$B$5000,O$1))</f>
        <v/>
      </c>
      <c r="P6" s="88">
        <f>IF(OR(P$1="",$BE6=0),"",SUMIFS(Entries!$D$2:$D$5000,Entries!$C$2:$C$5000,"Actual",Entries!$A$2:$A$5000,$A6,Entries!$B$2:$B$5000,P$1))</f>
        <v/>
      </c>
      <c r="Q6" s="88">
        <f>IF(OR(Q$1="",$BE6=0),"",SUMIFS(Entries!$D$2:$D$5000,Entries!$C$2:$C$5000,"Actual",Entries!$A$2:$A$5000,$A6,Entries!$B$2:$B$5000,Q$1))</f>
        <v/>
      </c>
      <c r="R6" s="88">
        <f>IF(OR(R$1="",$BE6=0),"",SUMIFS(Entries!$D$2:$D$5000,Entries!$C$2:$C$5000,"Actual",Entries!$A$2:$A$5000,$A6,Entries!$B$2:$B$5000,R$1))</f>
        <v/>
      </c>
      <c r="S6" s="88">
        <f>IF(OR(S$1="",$BE6=0),"",SUMIFS(Entries!$D$2:$D$5000,Entries!$C$2:$C$5000,"Actual",Entries!$A$2:$A$5000,$A6,Entries!$B$2:$B$5000,S$1))</f>
        <v/>
      </c>
      <c r="T6" s="88">
        <f>IF(OR(T$1="",$BE6=0),"",SUMIFS(Entries!$D$2:$D$5000,Entries!$C$2:$C$5000,"Actual",Entries!$A$2:$A$5000,$A6,Entries!$B$2:$B$5000,T$1))</f>
        <v/>
      </c>
      <c r="U6" s="88">
        <f>IF(OR(U$1="",$BE6=0),"",SUMIFS(Entries!$D$2:$D$5000,Entries!$C$2:$C$5000,"Actual",Entries!$A$2:$A$5000,$A6,Entries!$B$2:$B$5000,U$1))</f>
        <v/>
      </c>
      <c r="V6" s="88">
        <f>IF(OR(V$1="",$BE6=0),"",SUMIFS(Entries!$D$2:$D$5000,Entries!$C$2:$C$5000,"Actual",Entries!$A$2:$A$5000,$A6,Entries!$B$2:$B$5000,V$1))</f>
        <v/>
      </c>
      <c r="W6" s="88">
        <f>IF(OR(W$1="",$BE6=0),"",SUMIFS(Entries!$D$2:$D$5000,Entries!$C$2:$C$5000,"Actual",Entries!$A$2:$A$5000,$A6,Entries!$B$2:$B$5000,W$1))</f>
        <v/>
      </c>
      <c r="X6" s="88">
        <f>IF(OR(X$1="",$BE6=0),"",SUMIFS(Entries!$D$2:$D$5000,Entries!$C$2:$C$5000,"Actual",Entries!$A$2:$A$5000,$A6,Entries!$B$2:$B$5000,X$1))</f>
        <v/>
      </c>
      <c r="Y6" s="88">
        <f>IF(OR(Y$1="",$BE6=0),"",SUMIFS(Entries!$D$2:$D$5000,Entries!$C$2:$C$5000,"Actual",Entries!$A$2:$A$5000,$A6,Entries!$B$2:$B$5000,Y$1))</f>
        <v/>
      </c>
      <c r="Z6" s="88">
        <f>IF(OR(Z$1="",$BE6=0),"",SUMIFS(Entries!$D$2:$D$5000,Entries!$C$2:$C$5000,"Actual",Entries!$A$2:$A$5000,$A6,Entries!$B$2:$B$5000,Z$1))</f>
        <v/>
      </c>
      <c r="AA6" s="88">
        <f>IF(OR(AA$1="",$BE6=0),"",SUMIFS(Entries!$D$2:$D$5000,Entries!$C$2:$C$5000,"Actual",Entries!$A$2:$A$5000,$A6,Entries!$B$2:$B$5000,AA$1))</f>
        <v/>
      </c>
      <c r="AB6" s="88">
        <f>IF(OR(AB$1="",$BE6=0),"",SUMIFS(Entries!$D$2:$D$5000,Entries!$C$2:$C$5000,"Actual",Entries!$A$2:$A$5000,$A6,Entries!$B$2:$B$5000,AB$1))</f>
        <v/>
      </c>
      <c r="AC6" s="88">
        <f>IF(OR(AC$1="",$BE6=0),"",SUMIFS(Entries!$D$2:$D$5000,Entries!$C$2:$C$5000,"Actual",Entries!$A$2:$A$5000,$A6,Entries!$B$2:$B$5000,AC$1))</f>
        <v/>
      </c>
      <c r="AD6" s="88">
        <f>IF(OR(AD$1="",$BE6=0),"",SUMIFS(Entries!$D$2:$D$5000,Entries!$C$2:$C$5000,"Actual",Entries!$A$2:$A$5000,$A6,Entries!$B$2:$B$5000,AD$1))</f>
        <v/>
      </c>
      <c r="AE6" s="88">
        <f>IF(OR(AE$1="",$BE6=0),"",SUMIFS(Entries!$D$2:$D$5000,Entries!$C$2:$C$5000,"Actual",Entries!$A$2:$A$5000,$A6,Entries!$B$2:$B$5000,AE$1))</f>
        <v/>
      </c>
      <c r="AF6" s="88">
        <f>IF(OR(AF$1="",$BE6=0),"",SUMIFS(Entries!$D$2:$D$5000,Entries!$C$2:$C$5000,"Actual",Entries!$A$2:$A$5000,$A6,Entries!$B$2:$B$5000,AF$1))</f>
        <v/>
      </c>
      <c r="AG6" s="88">
        <f>IF(OR(AG$1="",$BE6=0),"",SUMIFS(Entries!$D$2:$D$5000,Entries!$C$2:$C$5000,"Actual",Entries!$A$2:$A$5000,$A6,Entries!$B$2:$B$5000,AG$1))</f>
        <v/>
      </c>
      <c r="AH6" s="88">
        <f>IF(OR(AH$1="",$BE6=0),"",SUMIFS(Entries!$D$2:$D$5000,Entries!$C$2:$C$5000,"Actual",Entries!$A$2:$A$5000,$A6,Entries!$B$2:$B$5000,AH$1))</f>
        <v/>
      </c>
      <c r="AJ6" s="88">
        <f>IF(OR(AJ$1="",$BE6=0),"",IFERROR(LOOKUP(2,1/((Budgets!$A$2:$A$200=AJ$1)*(Budgets!$B$2:$B$200&lt;=$A6)),Budgets!$C$2:$C$200),0))</f>
        <v/>
      </c>
      <c r="AK6" s="88">
        <f>IF(OR(AK$1="",$BE6=0),"",IFERROR(LOOKUP(2,1/((Budgets!$A$2:$A$200=AK$1)*(Budgets!$B$2:$B$200&lt;=$A6)),Budgets!$C$2:$C$200),0))</f>
        <v/>
      </c>
      <c r="AL6" s="88">
        <f>IF(OR(AL$1="",$BE6=0),"",IFERROR(LOOKUP(2,1/((Budgets!$A$2:$A$200=AL$1)*(Budgets!$B$2:$B$200&lt;=$A6)),Budgets!$C$2:$C$200),0))</f>
        <v/>
      </c>
      <c r="AM6" s="88">
        <f>IF(OR(AM$1="",$BE6=0),"",IFERROR(LOOKUP(2,1/((Budgets!$A$2:$A$200=AM$1)*(Budgets!$B$2:$B$200&lt;=$A6)),Budgets!$C$2:$C$200),0))</f>
        <v/>
      </c>
      <c r="AN6" s="88">
        <f>IF(OR(AN$1="",$BE6=0),"",IFERROR(LOOKUP(2,1/((Budgets!$A$2:$A$200=AN$1)*(Budgets!$B$2:$B$200&lt;=$A6)),Budgets!$C$2:$C$200),0))</f>
        <v/>
      </c>
      <c r="AO6" s="88">
        <f>IF(OR(AO$1="",$BE6=0),"",IFERROR(LOOKUP(2,1/((Budgets!$A$2:$A$200=AO$1)*(Budgets!$B$2:$B$200&lt;=$A6)),Budgets!$C$2:$C$200),0))</f>
        <v/>
      </c>
      <c r="AP6" s="88">
        <f>IF(OR(AP$1="",$BE6=0),"",IFERROR(LOOKUP(2,1/((Budgets!$A$2:$A$200=AP$1)*(Budgets!$B$2:$B$200&lt;=$A6)),Budgets!$C$2:$C$200),0))</f>
        <v/>
      </c>
      <c r="AQ6" s="88">
        <f>IF(OR(AQ$1="",$BE6=0),"",IFERROR(LOOKUP(2,1/((Budgets!$A$2:$A$200=AQ$1)*(Budgets!$B$2:$B$200&lt;=$A6)),Budgets!$C$2:$C$200),0))</f>
        <v/>
      </c>
      <c r="AR6" s="88">
        <f>IF(OR(AR$1="",$BE6=0),"",IFERROR(LOOKUP(2,1/((Budgets!$A$2:$A$200=AR$1)*(Budgets!$B$2:$B$200&lt;=$A6)),Budgets!$C$2:$C$200),0))</f>
        <v/>
      </c>
      <c r="AS6" s="88">
        <f>IF(OR(AS$1="",$BE6=0),"",IFERROR(LOOKUP(2,1/((Budgets!$A$2:$A$200=AS$1)*(Budgets!$B$2:$B$200&lt;=$A6)),Budgets!$C$2:$C$200),0))</f>
        <v/>
      </c>
      <c r="AT6" s="88">
        <f>IF(OR(AT$1="",$BE6=0),"",IFERROR(LOOKUP(2,1/((Budgets!$A$2:$A$200=AT$1)*(Budgets!$B$2:$B$200&lt;=$A6)),Budgets!$C$2:$C$200),0))</f>
        <v/>
      </c>
      <c r="AU6" s="88">
        <f>IF(OR(AU$1="",$BE6=0),"",IFERROR(LOOKUP(2,1/((Budgets!$A$2:$A$200=AU$1)*(Budgets!$B$2:$B$200&lt;=$A6)),Budgets!$C$2:$C$200),0))</f>
        <v/>
      </c>
      <c r="AV6" s="88">
        <f>IF(OR(AV$1="",$BE6=0),"",IFERROR(LOOKUP(2,1/((Budgets!$A$2:$A$200=AV$1)*(Budgets!$B$2:$B$200&lt;=$A6)),Budgets!$C$2:$C$200),0))</f>
        <v/>
      </c>
      <c r="AW6" s="88">
        <f>IF(OR(AW$1="",$BE6=0),"",IFERROR(LOOKUP(2,1/((Budgets!$A$2:$A$200=AW$1)*(Budgets!$B$2:$B$200&lt;=$A6)),Budgets!$C$2:$C$200),0))</f>
        <v/>
      </c>
      <c r="AX6" s="88">
        <f>IF(OR(AX$1="",$BE6=0),"",IFERROR(LOOKUP(2,1/((Budgets!$A$2:$A$200=AX$1)*(Budgets!$B$2:$B$200&lt;=$A6)),Budgets!$C$2:$C$200),0))</f>
        <v/>
      </c>
      <c r="AY6" s="88">
        <f>IF(OR(AY$1="",$BE6=0),"",IFERROR(LOOKUP(2,1/((Budgets!$A$2:$A$200=AY$1)*(Budgets!$B$2:$B$200&lt;=$A6)),Budgets!$C$2:$C$200),0))</f>
        <v/>
      </c>
      <c r="AZ6" s="88">
        <f>IF(OR(AZ$1="",$BE6=0),"",IFERROR(LOOKUP(2,1/((Budgets!$A$2:$A$200=AZ$1)*(Budgets!$B$2:$B$200&lt;=$A6)),Budgets!$C$2:$C$200),0))</f>
        <v/>
      </c>
      <c r="BA6" s="88">
        <f>IF(OR(BA$1="",$BE6=0),"",IFERROR(LOOKUP(2,1/((Budgets!$A$2:$A$200=BA$1)*(Budgets!$B$2:$B$200&lt;=$A6)),Budgets!$C$2:$C$200),0))</f>
        <v/>
      </c>
      <c r="BB6" s="88">
        <f>IF(OR(BB$1="",$BE6=0),"",IFERROR(LOOKUP(2,1/((Budgets!$A$2:$A$200=BB$1)*(Budgets!$B$2:$B$200&lt;=$A6)),Budgets!$C$2:$C$200),0))</f>
        <v/>
      </c>
      <c r="BC6" s="88">
        <f>IF(OR(BC$1="",$BE6=0),"",IFERROR(LOOKUP(2,1/((Budgets!$A$2:$A$200=BC$1)*(Budgets!$B$2:$B$200&lt;=$A6)),Budgets!$C$2:$C$200),0))</f>
        <v/>
      </c>
      <c r="BE6" s="67">
        <f>COUNTIFS(Entries!$A$2:$A$5000,$A6)</f>
        <v/>
      </c>
    </row>
    <row r="7" ht="15" customHeight="1" s="43">
      <c r="A7" s="87" t="n">
        <v>39600</v>
      </c>
      <c r="B7" s="88">
        <f>IF($BE7=0,NA(),SUMIFS(Entries!$D$2:$D$5000,Entries!$C$2:$C$5000,"Income",Entries!$A$2:$A$5000,$A7))</f>
        <v/>
      </c>
      <c r="C7" s="88">
        <f>IF($BE7=0,"",SUMIFS(Entries!$D$2:$D$5000,Entries!$C$2:$C$5000,"Actual",Entries!$A$2:$A$5000,$A7))</f>
        <v/>
      </c>
      <c r="D7" s="88">
        <f>IF($BE7=0,"",SUMIFS(Entries!$D$2:$D$5000,Entries!$C$2:$C$5000,"One-off",Entries!$A$2:$A$5000,$A7))</f>
        <v/>
      </c>
      <c r="E7" s="88">
        <f>IF($BE7=0,NA(),C7+D7)</f>
        <v/>
      </c>
      <c r="F7" s="88">
        <f>IF($BE7=0,"",SUM(AJ7:BC7))</f>
        <v/>
      </c>
      <c r="G7" s="88">
        <f>IF($BE7=0,"",B7-E7)</f>
        <v/>
      </c>
      <c r="H7" s="88">
        <f>IF($BE7=0,"",SUM($G$2:G7))</f>
        <v/>
      </c>
      <c r="I7" s="88">
        <f>IF($BE7=0,"",SUMIFS(Entries!$F$2:$F$5000,Entries!$A$2:$A$5000,$A7))</f>
        <v/>
      </c>
      <c r="J7" s="88">
        <f>IF($BE7=0,NA(),H7+SUM($I$2:I7))</f>
        <v/>
      </c>
      <c r="K7" s="88">
        <f>""</f>
        <v/>
      </c>
      <c r="L7" s="88">
        <f>""</f>
        <v/>
      </c>
      <c r="M7" s="70">
        <f>NA()</f>
        <v/>
      </c>
      <c r="O7" s="88">
        <f>IF(OR(O$1="",$BE7=0),"",SUMIFS(Entries!$D$2:$D$5000,Entries!$C$2:$C$5000,"Actual",Entries!$A$2:$A$5000,$A7,Entries!$B$2:$B$5000,O$1))</f>
        <v/>
      </c>
      <c r="P7" s="88">
        <f>IF(OR(P$1="",$BE7=0),"",SUMIFS(Entries!$D$2:$D$5000,Entries!$C$2:$C$5000,"Actual",Entries!$A$2:$A$5000,$A7,Entries!$B$2:$B$5000,P$1))</f>
        <v/>
      </c>
      <c r="Q7" s="88">
        <f>IF(OR(Q$1="",$BE7=0),"",SUMIFS(Entries!$D$2:$D$5000,Entries!$C$2:$C$5000,"Actual",Entries!$A$2:$A$5000,$A7,Entries!$B$2:$B$5000,Q$1))</f>
        <v/>
      </c>
      <c r="R7" s="88">
        <f>IF(OR(R$1="",$BE7=0),"",SUMIFS(Entries!$D$2:$D$5000,Entries!$C$2:$C$5000,"Actual",Entries!$A$2:$A$5000,$A7,Entries!$B$2:$B$5000,R$1))</f>
        <v/>
      </c>
      <c r="S7" s="88">
        <f>IF(OR(S$1="",$BE7=0),"",SUMIFS(Entries!$D$2:$D$5000,Entries!$C$2:$C$5000,"Actual",Entries!$A$2:$A$5000,$A7,Entries!$B$2:$B$5000,S$1))</f>
        <v/>
      </c>
      <c r="T7" s="88">
        <f>IF(OR(T$1="",$BE7=0),"",SUMIFS(Entries!$D$2:$D$5000,Entries!$C$2:$C$5000,"Actual",Entries!$A$2:$A$5000,$A7,Entries!$B$2:$B$5000,T$1))</f>
        <v/>
      </c>
      <c r="U7" s="88">
        <f>IF(OR(U$1="",$BE7=0),"",SUMIFS(Entries!$D$2:$D$5000,Entries!$C$2:$C$5000,"Actual",Entries!$A$2:$A$5000,$A7,Entries!$B$2:$B$5000,U$1))</f>
        <v/>
      </c>
      <c r="V7" s="88">
        <f>IF(OR(V$1="",$BE7=0),"",SUMIFS(Entries!$D$2:$D$5000,Entries!$C$2:$C$5000,"Actual",Entries!$A$2:$A$5000,$A7,Entries!$B$2:$B$5000,V$1))</f>
        <v/>
      </c>
      <c r="W7" s="88">
        <f>IF(OR(W$1="",$BE7=0),"",SUMIFS(Entries!$D$2:$D$5000,Entries!$C$2:$C$5000,"Actual",Entries!$A$2:$A$5000,$A7,Entries!$B$2:$B$5000,W$1))</f>
        <v/>
      </c>
      <c r="X7" s="88">
        <f>IF(OR(X$1="",$BE7=0),"",SUMIFS(Entries!$D$2:$D$5000,Entries!$C$2:$C$5000,"Actual",Entries!$A$2:$A$5000,$A7,Entries!$B$2:$B$5000,X$1))</f>
        <v/>
      </c>
      <c r="Y7" s="88">
        <f>IF(OR(Y$1="",$BE7=0),"",SUMIFS(Entries!$D$2:$D$5000,Entries!$C$2:$C$5000,"Actual",Entries!$A$2:$A$5000,$A7,Entries!$B$2:$B$5000,Y$1))</f>
        <v/>
      </c>
      <c r="Z7" s="88">
        <f>IF(OR(Z$1="",$BE7=0),"",SUMIFS(Entries!$D$2:$D$5000,Entries!$C$2:$C$5000,"Actual",Entries!$A$2:$A$5000,$A7,Entries!$B$2:$B$5000,Z$1))</f>
        <v/>
      </c>
      <c r="AA7" s="88">
        <f>IF(OR(AA$1="",$BE7=0),"",SUMIFS(Entries!$D$2:$D$5000,Entries!$C$2:$C$5000,"Actual",Entries!$A$2:$A$5000,$A7,Entries!$B$2:$B$5000,AA$1))</f>
        <v/>
      </c>
      <c r="AB7" s="88">
        <f>IF(OR(AB$1="",$BE7=0),"",SUMIFS(Entries!$D$2:$D$5000,Entries!$C$2:$C$5000,"Actual",Entries!$A$2:$A$5000,$A7,Entries!$B$2:$B$5000,AB$1))</f>
        <v/>
      </c>
      <c r="AC7" s="88">
        <f>IF(OR(AC$1="",$BE7=0),"",SUMIFS(Entries!$D$2:$D$5000,Entries!$C$2:$C$5000,"Actual",Entries!$A$2:$A$5000,$A7,Entries!$B$2:$B$5000,AC$1))</f>
        <v/>
      </c>
      <c r="AD7" s="88">
        <f>IF(OR(AD$1="",$BE7=0),"",SUMIFS(Entries!$D$2:$D$5000,Entries!$C$2:$C$5000,"Actual",Entries!$A$2:$A$5000,$A7,Entries!$B$2:$B$5000,AD$1))</f>
        <v/>
      </c>
      <c r="AE7" s="88">
        <f>IF(OR(AE$1="",$BE7=0),"",SUMIFS(Entries!$D$2:$D$5000,Entries!$C$2:$C$5000,"Actual",Entries!$A$2:$A$5000,$A7,Entries!$B$2:$B$5000,AE$1))</f>
        <v/>
      </c>
      <c r="AF7" s="88">
        <f>IF(OR(AF$1="",$BE7=0),"",SUMIFS(Entries!$D$2:$D$5000,Entries!$C$2:$C$5000,"Actual",Entries!$A$2:$A$5000,$A7,Entries!$B$2:$B$5000,AF$1))</f>
        <v/>
      </c>
      <c r="AG7" s="88">
        <f>IF(OR(AG$1="",$BE7=0),"",SUMIFS(Entries!$D$2:$D$5000,Entries!$C$2:$C$5000,"Actual",Entries!$A$2:$A$5000,$A7,Entries!$B$2:$B$5000,AG$1))</f>
        <v/>
      </c>
      <c r="AH7" s="88">
        <f>IF(OR(AH$1="",$BE7=0),"",SUMIFS(Entries!$D$2:$D$5000,Entries!$C$2:$C$5000,"Actual",Entries!$A$2:$A$5000,$A7,Entries!$B$2:$B$5000,AH$1))</f>
        <v/>
      </c>
      <c r="AJ7" s="88">
        <f>IF(OR(AJ$1="",$BE7=0),"",IFERROR(LOOKUP(2,1/((Budgets!$A$2:$A$200=AJ$1)*(Budgets!$B$2:$B$200&lt;=$A7)),Budgets!$C$2:$C$200),0))</f>
        <v/>
      </c>
      <c r="AK7" s="88">
        <f>IF(OR(AK$1="",$BE7=0),"",IFERROR(LOOKUP(2,1/((Budgets!$A$2:$A$200=AK$1)*(Budgets!$B$2:$B$200&lt;=$A7)),Budgets!$C$2:$C$200),0))</f>
        <v/>
      </c>
      <c r="AL7" s="88">
        <f>IF(OR(AL$1="",$BE7=0),"",IFERROR(LOOKUP(2,1/((Budgets!$A$2:$A$200=AL$1)*(Budgets!$B$2:$B$200&lt;=$A7)),Budgets!$C$2:$C$200),0))</f>
        <v/>
      </c>
      <c r="AM7" s="88">
        <f>IF(OR(AM$1="",$BE7=0),"",IFERROR(LOOKUP(2,1/((Budgets!$A$2:$A$200=AM$1)*(Budgets!$B$2:$B$200&lt;=$A7)),Budgets!$C$2:$C$200),0))</f>
        <v/>
      </c>
      <c r="AN7" s="88">
        <f>IF(OR(AN$1="",$BE7=0),"",IFERROR(LOOKUP(2,1/((Budgets!$A$2:$A$200=AN$1)*(Budgets!$B$2:$B$200&lt;=$A7)),Budgets!$C$2:$C$200),0))</f>
        <v/>
      </c>
      <c r="AO7" s="88">
        <f>IF(OR(AO$1="",$BE7=0),"",IFERROR(LOOKUP(2,1/((Budgets!$A$2:$A$200=AO$1)*(Budgets!$B$2:$B$200&lt;=$A7)),Budgets!$C$2:$C$200),0))</f>
        <v/>
      </c>
      <c r="AP7" s="88">
        <f>IF(OR(AP$1="",$BE7=0),"",IFERROR(LOOKUP(2,1/((Budgets!$A$2:$A$200=AP$1)*(Budgets!$B$2:$B$200&lt;=$A7)),Budgets!$C$2:$C$200),0))</f>
        <v/>
      </c>
      <c r="AQ7" s="88">
        <f>IF(OR(AQ$1="",$BE7=0),"",IFERROR(LOOKUP(2,1/((Budgets!$A$2:$A$200=AQ$1)*(Budgets!$B$2:$B$200&lt;=$A7)),Budgets!$C$2:$C$200),0))</f>
        <v/>
      </c>
      <c r="AR7" s="88">
        <f>IF(OR(AR$1="",$BE7=0),"",IFERROR(LOOKUP(2,1/((Budgets!$A$2:$A$200=AR$1)*(Budgets!$B$2:$B$200&lt;=$A7)),Budgets!$C$2:$C$200),0))</f>
        <v/>
      </c>
      <c r="AS7" s="88">
        <f>IF(OR(AS$1="",$BE7=0),"",IFERROR(LOOKUP(2,1/((Budgets!$A$2:$A$200=AS$1)*(Budgets!$B$2:$B$200&lt;=$A7)),Budgets!$C$2:$C$200),0))</f>
        <v/>
      </c>
      <c r="AT7" s="88">
        <f>IF(OR(AT$1="",$BE7=0),"",IFERROR(LOOKUP(2,1/((Budgets!$A$2:$A$200=AT$1)*(Budgets!$B$2:$B$200&lt;=$A7)),Budgets!$C$2:$C$200),0))</f>
        <v/>
      </c>
      <c r="AU7" s="88">
        <f>IF(OR(AU$1="",$BE7=0),"",IFERROR(LOOKUP(2,1/((Budgets!$A$2:$A$200=AU$1)*(Budgets!$B$2:$B$200&lt;=$A7)),Budgets!$C$2:$C$200),0))</f>
        <v/>
      </c>
      <c r="AV7" s="88">
        <f>IF(OR(AV$1="",$BE7=0),"",IFERROR(LOOKUP(2,1/((Budgets!$A$2:$A$200=AV$1)*(Budgets!$B$2:$B$200&lt;=$A7)),Budgets!$C$2:$C$200),0))</f>
        <v/>
      </c>
      <c r="AW7" s="88">
        <f>IF(OR(AW$1="",$BE7=0),"",IFERROR(LOOKUP(2,1/((Budgets!$A$2:$A$200=AW$1)*(Budgets!$B$2:$B$200&lt;=$A7)),Budgets!$C$2:$C$200),0))</f>
        <v/>
      </c>
      <c r="AX7" s="88">
        <f>IF(OR(AX$1="",$BE7=0),"",IFERROR(LOOKUP(2,1/((Budgets!$A$2:$A$200=AX$1)*(Budgets!$B$2:$B$200&lt;=$A7)),Budgets!$C$2:$C$200),0))</f>
        <v/>
      </c>
      <c r="AY7" s="88">
        <f>IF(OR(AY$1="",$BE7=0),"",IFERROR(LOOKUP(2,1/((Budgets!$A$2:$A$200=AY$1)*(Budgets!$B$2:$B$200&lt;=$A7)),Budgets!$C$2:$C$200),0))</f>
        <v/>
      </c>
      <c r="AZ7" s="88">
        <f>IF(OR(AZ$1="",$BE7=0),"",IFERROR(LOOKUP(2,1/((Budgets!$A$2:$A$200=AZ$1)*(Budgets!$B$2:$B$200&lt;=$A7)),Budgets!$C$2:$C$200),0))</f>
        <v/>
      </c>
      <c r="BA7" s="88">
        <f>IF(OR(BA$1="",$BE7=0),"",IFERROR(LOOKUP(2,1/((Budgets!$A$2:$A$200=BA$1)*(Budgets!$B$2:$B$200&lt;=$A7)),Budgets!$C$2:$C$200),0))</f>
        <v/>
      </c>
      <c r="BB7" s="88">
        <f>IF(OR(BB$1="",$BE7=0),"",IFERROR(LOOKUP(2,1/((Budgets!$A$2:$A$200=BB$1)*(Budgets!$B$2:$B$200&lt;=$A7)),Budgets!$C$2:$C$200),0))</f>
        <v/>
      </c>
      <c r="BC7" s="88">
        <f>IF(OR(BC$1="",$BE7=0),"",IFERROR(LOOKUP(2,1/((Budgets!$A$2:$A$200=BC$1)*(Budgets!$B$2:$B$200&lt;=$A7)),Budgets!$C$2:$C$200),0))</f>
        <v/>
      </c>
      <c r="BE7" s="67">
        <f>COUNTIFS(Entries!$A$2:$A$5000,$A7)</f>
        <v/>
      </c>
    </row>
    <row r="8" ht="15" customHeight="1" s="43">
      <c r="A8" s="87" t="n">
        <v>39630</v>
      </c>
      <c r="B8" s="88">
        <f>IF($BE8=0,NA(),SUMIFS(Entries!$D$2:$D$5000,Entries!$C$2:$C$5000,"Income",Entries!$A$2:$A$5000,$A8))</f>
        <v/>
      </c>
      <c r="C8" s="88">
        <f>IF($BE8=0,"",SUMIFS(Entries!$D$2:$D$5000,Entries!$C$2:$C$5000,"Actual",Entries!$A$2:$A$5000,$A8))</f>
        <v/>
      </c>
      <c r="D8" s="88">
        <f>IF($BE8=0,"",SUMIFS(Entries!$D$2:$D$5000,Entries!$C$2:$C$5000,"One-off",Entries!$A$2:$A$5000,$A8))</f>
        <v/>
      </c>
      <c r="E8" s="88">
        <f>IF($BE8=0,NA(),C8+D8)</f>
        <v/>
      </c>
      <c r="F8" s="88">
        <f>IF($BE8=0,"",SUM(AJ8:BC8))</f>
        <v/>
      </c>
      <c r="G8" s="88">
        <f>IF($BE8=0,"",B8-E8)</f>
        <v/>
      </c>
      <c r="H8" s="88">
        <f>IF($BE8=0,"",SUM($G$2:G8))</f>
        <v/>
      </c>
      <c r="I8" s="88">
        <f>IF($BE8=0,"",SUMIFS(Entries!$F$2:$F$5000,Entries!$A$2:$A$5000,$A8))</f>
        <v/>
      </c>
      <c r="J8" s="88">
        <f>IF($BE8=0,NA(),H8+SUM($I$2:I8))</f>
        <v/>
      </c>
      <c r="K8" s="88">
        <f>""</f>
        <v/>
      </c>
      <c r="L8" s="88">
        <f>""</f>
        <v/>
      </c>
      <c r="M8" s="70">
        <f>NA()</f>
        <v/>
      </c>
      <c r="O8" s="88">
        <f>IF(OR(O$1="",$BE8=0),"",SUMIFS(Entries!$D$2:$D$5000,Entries!$C$2:$C$5000,"Actual",Entries!$A$2:$A$5000,$A8,Entries!$B$2:$B$5000,O$1))</f>
        <v/>
      </c>
      <c r="P8" s="88">
        <f>IF(OR(P$1="",$BE8=0),"",SUMIFS(Entries!$D$2:$D$5000,Entries!$C$2:$C$5000,"Actual",Entries!$A$2:$A$5000,$A8,Entries!$B$2:$B$5000,P$1))</f>
        <v/>
      </c>
      <c r="Q8" s="88">
        <f>IF(OR(Q$1="",$BE8=0),"",SUMIFS(Entries!$D$2:$D$5000,Entries!$C$2:$C$5000,"Actual",Entries!$A$2:$A$5000,$A8,Entries!$B$2:$B$5000,Q$1))</f>
        <v/>
      </c>
      <c r="R8" s="88">
        <f>IF(OR(R$1="",$BE8=0),"",SUMIFS(Entries!$D$2:$D$5000,Entries!$C$2:$C$5000,"Actual",Entries!$A$2:$A$5000,$A8,Entries!$B$2:$B$5000,R$1))</f>
        <v/>
      </c>
      <c r="S8" s="88">
        <f>IF(OR(S$1="",$BE8=0),"",SUMIFS(Entries!$D$2:$D$5000,Entries!$C$2:$C$5000,"Actual",Entries!$A$2:$A$5000,$A8,Entries!$B$2:$B$5000,S$1))</f>
        <v/>
      </c>
      <c r="T8" s="88">
        <f>IF(OR(T$1="",$BE8=0),"",SUMIFS(Entries!$D$2:$D$5000,Entries!$C$2:$C$5000,"Actual",Entries!$A$2:$A$5000,$A8,Entries!$B$2:$B$5000,T$1))</f>
        <v/>
      </c>
      <c r="U8" s="88">
        <f>IF(OR(U$1="",$BE8=0),"",SUMIFS(Entries!$D$2:$D$5000,Entries!$C$2:$C$5000,"Actual",Entries!$A$2:$A$5000,$A8,Entries!$B$2:$B$5000,U$1))</f>
        <v/>
      </c>
      <c r="V8" s="88">
        <f>IF(OR(V$1="",$BE8=0),"",SUMIFS(Entries!$D$2:$D$5000,Entries!$C$2:$C$5000,"Actual",Entries!$A$2:$A$5000,$A8,Entries!$B$2:$B$5000,V$1))</f>
        <v/>
      </c>
      <c r="W8" s="88">
        <f>IF(OR(W$1="",$BE8=0),"",SUMIFS(Entries!$D$2:$D$5000,Entries!$C$2:$C$5000,"Actual",Entries!$A$2:$A$5000,$A8,Entries!$B$2:$B$5000,W$1))</f>
        <v/>
      </c>
      <c r="X8" s="88">
        <f>IF(OR(X$1="",$BE8=0),"",SUMIFS(Entries!$D$2:$D$5000,Entries!$C$2:$C$5000,"Actual",Entries!$A$2:$A$5000,$A8,Entries!$B$2:$B$5000,X$1))</f>
        <v/>
      </c>
      <c r="Y8" s="88">
        <f>IF(OR(Y$1="",$BE8=0),"",SUMIFS(Entries!$D$2:$D$5000,Entries!$C$2:$C$5000,"Actual",Entries!$A$2:$A$5000,$A8,Entries!$B$2:$B$5000,Y$1))</f>
        <v/>
      </c>
      <c r="Z8" s="88">
        <f>IF(OR(Z$1="",$BE8=0),"",SUMIFS(Entries!$D$2:$D$5000,Entries!$C$2:$C$5000,"Actual",Entries!$A$2:$A$5000,$A8,Entries!$B$2:$B$5000,Z$1))</f>
        <v/>
      </c>
      <c r="AA8" s="88">
        <f>IF(OR(AA$1="",$BE8=0),"",SUMIFS(Entries!$D$2:$D$5000,Entries!$C$2:$C$5000,"Actual",Entries!$A$2:$A$5000,$A8,Entries!$B$2:$B$5000,AA$1))</f>
        <v/>
      </c>
      <c r="AB8" s="88">
        <f>IF(OR(AB$1="",$BE8=0),"",SUMIFS(Entries!$D$2:$D$5000,Entries!$C$2:$C$5000,"Actual",Entries!$A$2:$A$5000,$A8,Entries!$B$2:$B$5000,AB$1))</f>
        <v/>
      </c>
      <c r="AC8" s="88">
        <f>IF(OR(AC$1="",$BE8=0),"",SUMIFS(Entries!$D$2:$D$5000,Entries!$C$2:$C$5000,"Actual",Entries!$A$2:$A$5000,$A8,Entries!$B$2:$B$5000,AC$1))</f>
        <v/>
      </c>
      <c r="AD8" s="88">
        <f>IF(OR(AD$1="",$BE8=0),"",SUMIFS(Entries!$D$2:$D$5000,Entries!$C$2:$C$5000,"Actual",Entries!$A$2:$A$5000,$A8,Entries!$B$2:$B$5000,AD$1))</f>
        <v/>
      </c>
      <c r="AE8" s="88">
        <f>IF(OR(AE$1="",$BE8=0),"",SUMIFS(Entries!$D$2:$D$5000,Entries!$C$2:$C$5000,"Actual",Entries!$A$2:$A$5000,$A8,Entries!$B$2:$B$5000,AE$1))</f>
        <v/>
      </c>
      <c r="AF8" s="88">
        <f>IF(OR(AF$1="",$BE8=0),"",SUMIFS(Entries!$D$2:$D$5000,Entries!$C$2:$C$5000,"Actual",Entries!$A$2:$A$5000,$A8,Entries!$B$2:$B$5000,AF$1))</f>
        <v/>
      </c>
      <c r="AG8" s="88">
        <f>IF(OR(AG$1="",$BE8=0),"",SUMIFS(Entries!$D$2:$D$5000,Entries!$C$2:$C$5000,"Actual",Entries!$A$2:$A$5000,$A8,Entries!$B$2:$B$5000,AG$1))</f>
        <v/>
      </c>
      <c r="AH8" s="88">
        <f>IF(OR(AH$1="",$BE8=0),"",SUMIFS(Entries!$D$2:$D$5000,Entries!$C$2:$C$5000,"Actual",Entries!$A$2:$A$5000,$A8,Entries!$B$2:$B$5000,AH$1))</f>
        <v/>
      </c>
      <c r="AJ8" s="88">
        <f>IF(OR(AJ$1="",$BE8=0),"",IFERROR(LOOKUP(2,1/((Budgets!$A$2:$A$200=AJ$1)*(Budgets!$B$2:$B$200&lt;=$A8)),Budgets!$C$2:$C$200),0))</f>
        <v/>
      </c>
      <c r="AK8" s="88">
        <f>IF(OR(AK$1="",$BE8=0),"",IFERROR(LOOKUP(2,1/((Budgets!$A$2:$A$200=AK$1)*(Budgets!$B$2:$B$200&lt;=$A8)),Budgets!$C$2:$C$200),0))</f>
        <v/>
      </c>
      <c r="AL8" s="88">
        <f>IF(OR(AL$1="",$BE8=0),"",IFERROR(LOOKUP(2,1/((Budgets!$A$2:$A$200=AL$1)*(Budgets!$B$2:$B$200&lt;=$A8)),Budgets!$C$2:$C$200),0))</f>
        <v/>
      </c>
      <c r="AM8" s="88">
        <f>IF(OR(AM$1="",$BE8=0),"",IFERROR(LOOKUP(2,1/((Budgets!$A$2:$A$200=AM$1)*(Budgets!$B$2:$B$200&lt;=$A8)),Budgets!$C$2:$C$200),0))</f>
        <v/>
      </c>
      <c r="AN8" s="88">
        <f>IF(OR(AN$1="",$BE8=0),"",IFERROR(LOOKUP(2,1/((Budgets!$A$2:$A$200=AN$1)*(Budgets!$B$2:$B$200&lt;=$A8)),Budgets!$C$2:$C$200),0))</f>
        <v/>
      </c>
      <c r="AO8" s="88">
        <f>IF(OR(AO$1="",$BE8=0),"",IFERROR(LOOKUP(2,1/((Budgets!$A$2:$A$200=AO$1)*(Budgets!$B$2:$B$200&lt;=$A8)),Budgets!$C$2:$C$200),0))</f>
        <v/>
      </c>
      <c r="AP8" s="88">
        <f>IF(OR(AP$1="",$BE8=0),"",IFERROR(LOOKUP(2,1/((Budgets!$A$2:$A$200=AP$1)*(Budgets!$B$2:$B$200&lt;=$A8)),Budgets!$C$2:$C$200),0))</f>
        <v/>
      </c>
      <c r="AQ8" s="88">
        <f>IF(OR(AQ$1="",$BE8=0),"",IFERROR(LOOKUP(2,1/((Budgets!$A$2:$A$200=AQ$1)*(Budgets!$B$2:$B$200&lt;=$A8)),Budgets!$C$2:$C$200),0))</f>
        <v/>
      </c>
      <c r="AR8" s="88">
        <f>IF(OR(AR$1="",$BE8=0),"",IFERROR(LOOKUP(2,1/((Budgets!$A$2:$A$200=AR$1)*(Budgets!$B$2:$B$200&lt;=$A8)),Budgets!$C$2:$C$200),0))</f>
        <v/>
      </c>
      <c r="AS8" s="88">
        <f>IF(OR(AS$1="",$BE8=0),"",IFERROR(LOOKUP(2,1/((Budgets!$A$2:$A$200=AS$1)*(Budgets!$B$2:$B$200&lt;=$A8)),Budgets!$C$2:$C$200),0))</f>
        <v/>
      </c>
      <c r="AT8" s="88">
        <f>IF(OR(AT$1="",$BE8=0),"",IFERROR(LOOKUP(2,1/((Budgets!$A$2:$A$200=AT$1)*(Budgets!$B$2:$B$200&lt;=$A8)),Budgets!$C$2:$C$200),0))</f>
        <v/>
      </c>
      <c r="AU8" s="88">
        <f>IF(OR(AU$1="",$BE8=0),"",IFERROR(LOOKUP(2,1/((Budgets!$A$2:$A$200=AU$1)*(Budgets!$B$2:$B$200&lt;=$A8)),Budgets!$C$2:$C$200),0))</f>
        <v/>
      </c>
      <c r="AV8" s="88">
        <f>IF(OR(AV$1="",$BE8=0),"",IFERROR(LOOKUP(2,1/((Budgets!$A$2:$A$200=AV$1)*(Budgets!$B$2:$B$200&lt;=$A8)),Budgets!$C$2:$C$200),0))</f>
        <v/>
      </c>
      <c r="AW8" s="88">
        <f>IF(OR(AW$1="",$BE8=0),"",IFERROR(LOOKUP(2,1/((Budgets!$A$2:$A$200=AW$1)*(Budgets!$B$2:$B$200&lt;=$A8)),Budgets!$C$2:$C$200),0))</f>
        <v/>
      </c>
      <c r="AX8" s="88">
        <f>IF(OR(AX$1="",$BE8=0),"",IFERROR(LOOKUP(2,1/((Budgets!$A$2:$A$200=AX$1)*(Budgets!$B$2:$B$200&lt;=$A8)),Budgets!$C$2:$C$200),0))</f>
        <v/>
      </c>
      <c r="AY8" s="88">
        <f>IF(OR(AY$1="",$BE8=0),"",IFERROR(LOOKUP(2,1/((Budgets!$A$2:$A$200=AY$1)*(Budgets!$B$2:$B$200&lt;=$A8)),Budgets!$C$2:$C$200),0))</f>
        <v/>
      </c>
      <c r="AZ8" s="88">
        <f>IF(OR(AZ$1="",$BE8=0),"",IFERROR(LOOKUP(2,1/((Budgets!$A$2:$A$200=AZ$1)*(Budgets!$B$2:$B$200&lt;=$A8)),Budgets!$C$2:$C$200),0))</f>
        <v/>
      </c>
      <c r="BA8" s="88">
        <f>IF(OR(BA$1="",$BE8=0),"",IFERROR(LOOKUP(2,1/((Budgets!$A$2:$A$200=BA$1)*(Budgets!$B$2:$B$200&lt;=$A8)),Budgets!$C$2:$C$200),0))</f>
        <v/>
      </c>
      <c r="BB8" s="88">
        <f>IF(OR(BB$1="",$BE8=0),"",IFERROR(LOOKUP(2,1/((Budgets!$A$2:$A$200=BB$1)*(Budgets!$B$2:$B$200&lt;=$A8)),Budgets!$C$2:$C$200),0))</f>
        <v/>
      </c>
      <c r="BC8" s="88">
        <f>IF(OR(BC$1="",$BE8=0),"",IFERROR(LOOKUP(2,1/((Budgets!$A$2:$A$200=BC$1)*(Budgets!$B$2:$B$200&lt;=$A8)),Budgets!$C$2:$C$200),0))</f>
        <v/>
      </c>
      <c r="BE8" s="67">
        <f>COUNTIFS(Entries!$A$2:$A$5000,$A8)</f>
        <v/>
      </c>
    </row>
    <row r="9" ht="15" customHeight="1" s="43">
      <c r="A9" s="87" t="n">
        <v>39661</v>
      </c>
      <c r="B9" s="88">
        <f>IF($BE9=0,NA(),SUMIFS(Entries!$D$2:$D$5000,Entries!$C$2:$C$5000,"Income",Entries!$A$2:$A$5000,$A9))</f>
        <v/>
      </c>
      <c r="C9" s="88">
        <f>IF($BE9=0,"",SUMIFS(Entries!$D$2:$D$5000,Entries!$C$2:$C$5000,"Actual",Entries!$A$2:$A$5000,$A9))</f>
        <v/>
      </c>
      <c r="D9" s="88">
        <f>IF($BE9=0,"",SUMIFS(Entries!$D$2:$D$5000,Entries!$C$2:$C$5000,"One-off",Entries!$A$2:$A$5000,$A9))</f>
        <v/>
      </c>
      <c r="E9" s="88">
        <f>IF($BE9=0,NA(),C9+D9)</f>
        <v/>
      </c>
      <c r="F9" s="88">
        <f>IF($BE9=0,"",SUM(AJ9:BC9))</f>
        <v/>
      </c>
      <c r="G9" s="88">
        <f>IF($BE9=0,"",B9-E9)</f>
        <v/>
      </c>
      <c r="H9" s="88">
        <f>IF($BE9=0,"",SUM($G$2:G9))</f>
        <v/>
      </c>
      <c r="I9" s="88">
        <f>IF($BE9=0,"",SUMIFS(Entries!$F$2:$F$5000,Entries!$A$2:$A$5000,$A9))</f>
        <v/>
      </c>
      <c r="J9" s="88">
        <f>IF($BE9=0,NA(),H9+SUM($I$2:I9))</f>
        <v/>
      </c>
      <c r="K9" s="88">
        <f>""</f>
        <v/>
      </c>
      <c r="L9" s="88">
        <f>""</f>
        <v/>
      </c>
      <c r="M9" s="70">
        <f>NA()</f>
        <v/>
      </c>
      <c r="O9" s="88">
        <f>IF(OR(O$1="",$BE9=0),"",SUMIFS(Entries!$D$2:$D$5000,Entries!$C$2:$C$5000,"Actual",Entries!$A$2:$A$5000,$A9,Entries!$B$2:$B$5000,O$1))</f>
        <v/>
      </c>
      <c r="P9" s="88">
        <f>IF(OR(P$1="",$BE9=0),"",SUMIFS(Entries!$D$2:$D$5000,Entries!$C$2:$C$5000,"Actual",Entries!$A$2:$A$5000,$A9,Entries!$B$2:$B$5000,P$1))</f>
        <v/>
      </c>
      <c r="Q9" s="88">
        <f>IF(OR(Q$1="",$BE9=0),"",SUMIFS(Entries!$D$2:$D$5000,Entries!$C$2:$C$5000,"Actual",Entries!$A$2:$A$5000,$A9,Entries!$B$2:$B$5000,Q$1))</f>
        <v/>
      </c>
      <c r="R9" s="88">
        <f>IF(OR(R$1="",$BE9=0),"",SUMIFS(Entries!$D$2:$D$5000,Entries!$C$2:$C$5000,"Actual",Entries!$A$2:$A$5000,$A9,Entries!$B$2:$B$5000,R$1))</f>
        <v/>
      </c>
      <c r="S9" s="88">
        <f>IF(OR(S$1="",$BE9=0),"",SUMIFS(Entries!$D$2:$D$5000,Entries!$C$2:$C$5000,"Actual",Entries!$A$2:$A$5000,$A9,Entries!$B$2:$B$5000,S$1))</f>
        <v/>
      </c>
      <c r="T9" s="88">
        <f>IF(OR(T$1="",$BE9=0),"",SUMIFS(Entries!$D$2:$D$5000,Entries!$C$2:$C$5000,"Actual",Entries!$A$2:$A$5000,$A9,Entries!$B$2:$B$5000,T$1))</f>
        <v/>
      </c>
      <c r="U9" s="88">
        <f>IF(OR(U$1="",$BE9=0),"",SUMIFS(Entries!$D$2:$D$5000,Entries!$C$2:$C$5000,"Actual",Entries!$A$2:$A$5000,$A9,Entries!$B$2:$B$5000,U$1))</f>
        <v/>
      </c>
      <c r="V9" s="88">
        <f>IF(OR(V$1="",$BE9=0),"",SUMIFS(Entries!$D$2:$D$5000,Entries!$C$2:$C$5000,"Actual",Entries!$A$2:$A$5000,$A9,Entries!$B$2:$B$5000,V$1))</f>
        <v/>
      </c>
      <c r="W9" s="88">
        <f>IF(OR(W$1="",$BE9=0),"",SUMIFS(Entries!$D$2:$D$5000,Entries!$C$2:$C$5000,"Actual",Entries!$A$2:$A$5000,$A9,Entries!$B$2:$B$5000,W$1))</f>
        <v/>
      </c>
      <c r="X9" s="88">
        <f>IF(OR(X$1="",$BE9=0),"",SUMIFS(Entries!$D$2:$D$5000,Entries!$C$2:$C$5000,"Actual",Entries!$A$2:$A$5000,$A9,Entries!$B$2:$B$5000,X$1))</f>
        <v/>
      </c>
      <c r="Y9" s="88">
        <f>IF(OR(Y$1="",$BE9=0),"",SUMIFS(Entries!$D$2:$D$5000,Entries!$C$2:$C$5000,"Actual",Entries!$A$2:$A$5000,$A9,Entries!$B$2:$B$5000,Y$1))</f>
        <v/>
      </c>
      <c r="Z9" s="88">
        <f>IF(OR(Z$1="",$BE9=0),"",SUMIFS(Entries!$D$2:$D$5000,Entries!$C$2:$C$5000,"Actual",Entries!$A$2:$A$5000,$A9,Entries!$B$2:$B$5000,Z$1))</f>
        <v/>
      </c>
      <c r="AA9" s="88">
        <f>IF(OR(AA$1="",$BE9=0),"",SUMIFS(Entries!$D$2:$D$5000,Entries!$C$2:$C$5000,"Actual",Entries!$A$2:$A$5000,$A9,Entries!$B$2:$B$5000,AA$1))</f>
        <v/>
      </c>
      <c r="AB9" s="88">
        <f>IF(OR(AB$1="",$BE9=0),"",SUMIFS(Entries!$D$2:$D$5000,Entries!$C$2:$C$5000,"Actual",Entries!$A$2:$A$5000,$A9,Entries!$B$2:$B$5000,AB$1))</f>
        <v/>
      </c>
      <c r="AC9" s="88">
        <f>IF(OR(AC$1="",$BE9=0),"",SUMIFS(Entries!$D$2:$D$5000,Entries!$C$2:$C$5000,"Actual",Entries!$A$2:$A$5000,$A9,Entries!$B$2:$B$5000,AC$1))</f>
        <v/>
      </c>
      <c r="AD9" s="88">
        <f>IF(OR(AD$1="",$BE9=0),"",SUMIFS(Entries!$D$2:$D$5000,Entries!$C$2:$C$5000,"Actual",Entries!$A$2:$A$5000,$A9,Entries!$B$2:$B$5000,AD$1))</f>
        <v/>
      </c>
      <c r="AE9" s="88">
        <f>IF(OR(AE$1="",$BE9=0),"",SUMIFS(Entries!$D$2:$D$5000,Entries!$C$2:$C$5000,"Actual",Entries!$A$2:$A$5000,$A9,Entries!$B$2:$B$5000,AE$1))</f>
        <v/>
      </c>
      <c r="AF9" s="88">
        <f>IF(OR(AF$1="",$BE9=0),"",SUMIFS(Entries!$D$2:$D$5000,Entries!$C$2:$C$5000,"Actual",Entries!$A$2:$A$5000,$A9,Entries!$B$2:$B$5000,AF$1))</f>
        <v/>
      </c>
      <c r="AG9" s="88">
        <f>IF(OR(AG$1="",$BE9=0),"",SUMIFS(Entries!$D$2:$D$5000,Entries!$C$2:$C$5000,"Actual",Entries!$A$2:$A$5000,$A9,Entries!$B$2:$B$5000,AG$1))</f>
        <v/>
      </c>
      <c r="AH9" s="88">
        <f>IF(OR(AH$1="",$BE9=0),"",SUMIFS(Entries!$D$2:$D$5000,Entries!$C$2:$C$5000,"Actual",Entries!$A$2:$A$5000,$A9,Entries!$B$2:$B$5000,AH$1))</f>
        <v/>
      </c>
      <c r="AJ9" s="88">
        <f>IF(OR(AJ$1="",$BE9=0),"",IFERROR(LOOKUP(2,1/((Budgets!$A$2:$A$200=AJ$1)*(Budgets!$B$2:$B$200&lt;=$A9)),Budgets!$C$2:$C$200),0))</f>
        <v/>
      </c>
      <c r="AK9" s="88">
        <f>IF(OR(AK$1="",$BE9=0),"",IFERROR(LOOKUP(2,1/((Budgets!$A$2:$A$200=AK$1)*(Budgets!$B$2:$B$200&lt;=$A9)),Budgets!$C$2:$C$200),0))</f>
        <v/>
      </c>
      <c r="AL9" s="88">
        <f>IF(OR(AL$1="",$BE9=0),"",IFERROR(LOOKUP(2,1/((Budgets!$A$2:$A$200=AL$1)*(Budgets!$B$2:$B$200&lt;=$A9)),Budgets!$C$2:$C$200),0))</f>
        <v/>
      </c>
      <c r="AM9" s="88">
        <f>IF(OR(AM$1="",$BE9=0),"",IFERROR(LOOKUP(2,1/((Budgets!$A$2:$A$200=AM$1)*(Budgets!$B$2:$B$200&lt;=$A9)),Budgets!$C$2:$C$200),0))</f>
        <v/>
      </c>
      <c r="AN9" s="88">
        <f>IF(OR(AN$1="",$BE9=0),"",IFERROR(LOOKUP(2,1/((Budgets!$A$2:$A$200=AN$1)*(Budgets!$B$2:$B$200&lt;=$A9)),Budgets!$C$2:$C$200),0))</f>
        <v/>
      </c>
      <c r="AO9" s="88">
        <f>IF(OR(AO$1="",$BE9=0),"",IFERROR(LOOKUP(2,1/((Budgets!$A$2:$A$200=AO$1)*(Budgets!$B$2:$B$200&lt;=$A9)),Budgets!$C$2:$C$200),0))</f>
        <v/>
      </c>
      <c r="AP9" s="88">
        <f>IF(OR(AP$1="",$BE9=0),"",IFERROR(LOOKUP(2,1/((Budgets!$A$2:$A$200=AP$1)*(Budgets!$B$2:$B$200&lt;=$A9)),Budgets!$C$2:$C$200),0))</f>
        <v/>
      </c>
      <c r="AQ9" s="88">
        <f>IF(OR(AQ$1="",$BE9=0),"",IFERROR(LOOKUP(2,1/((Budgets!$A$2:$A$200=AQ$1)*(Budgets!$B$2:$B$200&lt;=$A9)),Budgets!$C$2:$C$200),0))</f>
        <v/>
      </c>
      <c r="AR9" s="88">
        <f>IF(OR(AR$1="",$BE9=0),"",IFERROR(LOOKUP(2,1/((Budgets!$A$2:$A$200=AR$1)*(Budgets!$B$2:$B$200&lt;=$A9)),Budgets!$C$2:$C$200),0))</f>
        <v/>
      </c>
      <c r="AS9" s="88">
        <f>IF(OR(AS$1="",$BE9=0),"",IFERROR(LOOKUP(2,1/((Budgets!$A$2:$A$200=AS$1)*(Budgets!$B$2:$B$200&lt;=$A9)),Budgets!$C$2:$C$200),0))</f>
        <v/>
      </c>
      <c r="AT9" s="88">
        <f>IF(OR(AT$1="",$BE9=0),"",IFERROR(LOOKUP(2,1/((Budgets!$A$2:$A$200=AT$1)*(Budgets!$B$2:$B$200&lt;=$A9)),Budgets!$C$2:$C$200),0))</f>
        <v/>
      </c>
      <c r="AU9" s="88">
        <f>IF(OR(AU$1="",$BE9=0),"",IFERROR(LOOKUP(2,1/((Budgets!$A$2:$A$200=AU$1)*(Budgets!$B$2:$B$200&lt;=$A9)),Budgets!$C$2:$C$200),0))</f>
        <v/>
      </c>
      <c r="AV9" s="88">
        <f>IF(OR(AV$1="",$BE9=0),"",IFERROR(LOOKUP(2,1/((Budgets!$A$2:$A$200=AV$1)*(Budgets!$B$2:$B$200&lt;=$A9)),Budgets!$C$2:$C$200),0))</f>
        <v/>
      </c>
      <c r="AW9" s="88">
        <f>IF(OR(AW$1="",$BE9=0),"",IFERROR(LOOKUP(2,1/((Budgets!$A$2:$A$200=AW$1)*(Budgets!$B$2:$B$200&lt;=$A9)),Budgets!$C$2:$C$200),0))</f>
        <v/>
      </c>
      <c r="AX9" s="88">
        <f>IF(OR(AX$1="",$BE9=0),"",IFERROR(LOOKUP(2,1/((Budgets!$A$2:$A$200=AX$1)*(Budgets!$B$2:$B$200&lt;=$A9)),Budgets!$C$2:$C$200),0))</f>
        <v/>
      </c>
      <c r="AY9" s="88">
        <f>IF(OR(AY$1="",$BE9=0),"",IFERROR(LOOKUP(2,1/((Budgets!$A$2:$A$200=AY$1)*(Budgets!$B$2:$B$200&lt;=$A9)),Budgets!$C$2:$C$200),0))</f>
        <v/>
      </c>
      <c r="AZ9" s="88">
        <f>IF(OR(AZ$1="",$BE9=0),"",IFERROR(LOOKUP(2,1/((Budgets!$A$2:$A$200=AZ$1)*(Budgets!$B$2:$B$200&lt;=$A9)),Budgets!$C$2:$C$200),0))</f>
        <v/>
      </c>
      <c r="BA9" s="88">
        <f>IF(OR(BA$1="",$BE9=0),"",IFERROR(LOOKUP(2,1/((Budgets!$A$2:$A$200=BA$1)*(Budgets!$B$2:$B$200&lt;=$A9)),Budgets!$C$2:$C$200),0))</f>
        <v/>
      </c>
      <c r="BB9" s="88">
        <f>IF(OR(BB$1="",$BE9=0),"",IFERROR(LOOKUP(2,1/((Budgets!$A$2:$A$200=BB$1)*(Budgets!$B$2:$B$200&lt;=$A9)),Budgets!$C$2:$C$200),0))</f>
        <v/>
      </c>
      <c r="BC9" s="88">
        <f>IF(OR(BC$1="",$BE9=0),"",IFERROR(LOOKUP(2,1/((Budgets!$A$2:$A$200=BC$1)*(Budgets!$B$2:$B$200&lt;=$A9)),Budgets!$C$2:$C$200),0))</f>
        <v/>
      </c>
      <c r="BE9" s="67">
        <f>COUNTIFS(Entries!$A$2:$A$5000,$A9)</f>
        <v/>
      </c>
    </row>
    <row r="10" ht="15" customHeight="1" s="43">
      <c r="A10" s="87" t="n">
        <v>39692</v>
      </c>
      <c r="B10" s="88">
        <f>IF($BE10=0,NA(),SUMIFS(Entries!$D$2:$D$5000,Entries!$C$2:$C$5000,"Income",Entries!$A$2:$A$5000,$A10))</f>
        <v/>
      </c>
      <c r="C10" s="88">
        <f>IF($BE10=0,"",SUMIFS(Entries!$D$2:$D$5000,Entries!$C$2:$C$5000,"Actual",Entries!$A$2:$A$5000,$A10))</f>
        <v/>
      </c>
      <c r="D10" s="88">
        <f>IF($BE10=0,"",SUMIFS(Entries!$D$2:$D$5000,Entries!$C$2:$C$5000,"One-off",Entries!$A$2:$A$5000,$A10))</f>
        <v/>
      </c>
      <c r="E10" s="88">
        <f>IF($BE10=0,NA(),C10+D10)</f>
        <v/>
      </c>
      <c r="F10" s="88">
        <f>IF($BE10=0,"",SUM(AJ10:BC10))</f>
        <v/>
      </c>
      <c r="G10" s="88">
        <f>IF($BE10=0,"",B10-E10)</f>
        <v/>
      </c>
      <c r="H10" s="88">
        <f>IF($BE10=0,"",SUM($G$2:G10))</f>
        <v/>
      </c>
      <c r="I10" s="88">
        <f>IF($BE10=0,"",SUMIFS(Entries!$F$2:$F$5000,Entries!$A$2:$A$5000,$A10))</f>
        <v/>
      </c>
      <c r="J10" s="88">
        <f>IF($BE10=0,NA(),H10+SUM($I$2:I10))</f>
        <v/>
      </c>
      <c r="K10" s="88">
        <f>""</f>
        <v/>
      </c>
      <c r="L10" s="88">
        <f>""</f>
        <v/>
      </c>
      <c r="M10" s="70">
        <f>NA()</f>
        <v/>
      </c>
      <c r="O10" s="88">
        <f>IF(OR(O$1="",$BE10=0),"",SUMIFS(Entries!$D$2:$D$5000,Entries!$C$2:$C$5000,"Actual",Entries!$A$2:$A$5000,$A10,Entries!$B$2:$B$5000,O$1))</f>
        <v/>
      </c>
      <c r="P10" s="88">
        <f>IF(OR(P$1="",$BE10=0),"",SUMIFS(Entries!$D$2:$D$5000,Entries!$C$2:$C$5000,"Actual",Entries!$A$2:$A$5000,$A10,Entries!$B$2:$B$5000,P$1))</f>
        <v/>
      </c>
      <c r="Q10" s="88">
        <f>IF(OR(Q$1="",$BE10=0),"",SUMIFS(Entries!$D$2:$D$5000,Entries!$C$2:$C$5000,"Actual",Entries!$A$2:$A$5000,$A10,Entries!$B$2:$B$5000,Q$1))</f>
        <v/>
      </c>
      <c r="R10" s="88">
        <f>IF(OR(R$1="",$BE10=0),"",SUMIFS(Entries!$D$2:$D$5000,Entries!$C$2:$C$5000,"Actual",Entries!$A$2:$A$5000,$A10,Entries!$B$2:$B$5000,R$1))</f>
        <v/>
      </c>
      <c r="S10" s="88">
        <f>IF(OR(S$1="",$BE10=0),"",SUMIFS(Entries!$D$2:$D$5000,Entries!$C$2:$C$5000,"Actual",Entries!$A$2:$A$5000,$A10,Entries!$B$2:$B$5000,S$1))</f>
        <v/>
      </c>
      <c r="T10" s="88">
        <f>IF(OR(T$1="",$BE10=0),"",SUMIFS(Entries!$D$2:$D$5000,Entries!$C$2:$C$5000,"Actual",Entries!$A$2:$A$5000,$A10,Entries!$B$2:$B$5000,T$1))</f>
        <v/>
      </c>
      <c r="U10" s="88">
        <f>IF(OR(U$1="",$BE10=0),"",SUMIFS(Entries!$D$2:$D$5000,Entries!$C$2:$C$5000,"Actual",Entries!$A$2:$A$5000,$A10,Entries!$B$2:$B$5000,U$1))</f>
        <v/>
      </c>
      <c r="V10" s="88">
        <f>IF(OR(V$1="",$BE10=0),"",SUMIFS(Entries!$D$2:$D$5000,Entries!$C$2:$C$5000,"Actual",Entries!$A$2:$A$5000,$A10,Entries!$B$2:$B$5000,V$1))</f>
        <v/>
      </c>
      <c r="W10" s="88">
        <f>IF(OR(W$1="",$BE10=0),"",SUMIFS(Entries!$D$2:$D$5000,Entries!$C$2:$C$5000,"Actual",Entries!$A$2:$A$5000,$A10,Entries!$B$2:$B$5000,W$1))</f>
        <v/>
      </c>
      <c r="X10" s="88">
        <f>IF(OR(X$1="",$BE10=0),"",SUMIFS(Entries!$D$2:$D$5000,Entries!$C$2:$C$5000,"Actual",Entries!$A$2:$A$5000,$A10,Entries!$B$2:$B$5000,X$1))</f>
        <v/>
      </c>
      <c r="Y10" s="88">
        <f>IF(OR(Y$1="",$BE10=0),"",SUMIFS(Entries!$D$2:$D$5000,Entries!$C$2:$C$5000,"Actual",Entries!$A$2:$A$5000,$A10,Entries!$B$2:$B$5000,Y$1))</f>
        <v/>
      </c>
      <c r="Z10" s="88">
        <f>IF(OR(Z$1="",$BE10=0),"",SUMIFS(Entries!$D$2:$D$5000,Entries!$C$2:$C$5000,"Actual",Entries!$A$2:$A$5000,$A10,Entries!$B$2:$B$5000,Z$1))</f>
        <v/>
      </c>
      <c r="AA10" s="88">
        <f>IF(OR(AA$1="",$BE10=0),"",SUMIFS(Entries!$D$2:$D$5000,Entries!$C$2:$C$5000,"Actual",Entries!$A$2:$A$5000,$A10,Entries!$B$2:$B$5000,AA$1))</f>
        <v/>
      </c>
      <c r="AB10" s="88">
        <f>IF(OR(AB$1="",$BE10=0),"",SUMIFS(Entries!$D$2:$D$5000,Entries!$C$2:$C$5000,"Actual",Entries!$A$2:$A$5000,$A10,Entries!$B$2:$B$5000,AB$1))</f>
        <v/>
      </c>
      <c r="AC10" s="88">
        <f>IF(OR(AC$1="",$BE10=0),"",SUMIFS(Entries!$D$2:$D$5000,Entries!$C$2:$C$5000,"Actual",Entries!$A$2:$A$5000,$A10,Entries!$B$2:$B$5000,AC$1))</f>
        <v/>
      </c>
      <c r="AD10" s="88">
        <f>IF(OR(AD$1="",$BE10=0),"",SUMIFS(Entries!$D$2:$D$5000,Entries!$C$2:$C$5000,"Actual",Entries!$A$2:$A$5000,$A10,Entries!$B$2:$B$5000,AD$1))</f>
        <v/>
      </c>
      <c r="AE10" s="88">
        <f>IF(OR(AE$1="",$BE10=0),"",SUMIFS(Entries!$D$2:$D$5000,Entries!$C$2:$C$5000,"Actual",Entries!$A$2:$A$5000,$A10,Entries!$B$2:$B$5000,AE$1))</f>
        <v/>
      </c>
      <c r="AF10" s="88">
        <f>IF(OR(AF$1="",$BE10=0),"",SUMIFS(Entries!$D$2:$D$5000,Entries!$C$2:$C$5000,"Actual",Entries!$A$2:$A$5000,$A10,Entries!$B$2:$B$5000,AF$1))</f>
        <v/>
      </c>
      <c r="AG10" s="88">
        <f>IF(OR(AG$1="",$BE10=0),"",SUMIFS(Entries!$D$2:$D$5000,Entries!$C$2:$C$5000,"Actual",Entries!$A$2:$A$5000,$A10,Entries!$B$2:$B$5000,AG$1))</f>
        <v/>
      </c>
      <c r="AH10" s="88">
        <f>IF(OR(AH$1="",$BE10=0),"",SUMIFS(Entries!$D$2:$D$5000,Entries!$C$2:$C$5000,"Actual",Entries!$A$2:$A$5000,$A10,Entries!$B$2:$B$5000,AH$1))</f>
        <v/>
      </c>
      <c r="AJ10" s="88">
        <f>IF(OR(AJ$1="",$BE10=0),"",IFERROR(LOOKUP(2,1/((Budgets!$A$2:$A$200=AJ$1)*(Budgets!$B$2:$B$200&lt;=$A10)),Budgets!$C$2:$C$200),0))</f>
        <v/>
      </c>
      <c r="AK10" s="88">
        <f>IF(OR(AK$1="",$BE10=0),"",IFERROR(LOOKUP(2,1/((Budgets!$A$2:$A$200=AK$1)*(Budgets!$B$2:$B$200&lt;=$A10)),Budgets!$C$2:$C$200),0))</f>
        <v/>
      </c>
      <c r="AL10" s="88">
        <f>IF(OR(AL$1="",$BE10=0),"",IFERROR(LOOKUP(2,1/((Budgets!$A$2:$A$200=AL$1)*(Budgets!$B$2:$B$200&lt;=$A10)),Budgets!$C$2:$C$200),0))</f>
        <v/>
      </c>
      <c r="AM10" s="88">
        <f>IF(OR(AM$1="",$BE10=0),"",IFERROR(LOOKUP(2,1/((Budgets!$A$2:$A$200=AM$1)*(Budgets!$B$2:$B$200&lt;=$A10)),Budgets!$C$2:$C$200),0))</f>
        <v/>
      </c>
      <c r="AN10" s="88">
        <f>IF(OR(AN$1="",$BE10=0),"",IFERROR(LOOKUP(2,1/((Budgets!$A$2:$A$200=AN$1)*(Budgets!$B$2:$B$200&lt;=$A10)),Budgets!$C$2:$C$200),0))</f>
        <v/>
      </c>
      <c r="AO10" s="88">
        <f>IF(OR(AO$1="",$BE10=0),"",IFERROR(LOOKUP(2,1/((Budgets!$A$2:$A$200=AO$1)*(Budgets!$B$2:$B$200&lt;=$A10)),Budgets!$C$2:$C$200),0))</f>
        <v/>
      </c>
      <c r="AP10" s="88">
        <f>IF(OR(AP$1="",$BE10=0),"",IFERROR(LOOKUP(2,1/((Budgets!$A$2:$A$200=AP$1)*(Budgets!$B$2:$B$200&lt;=$A10)),Budgets!$C$2:$C$200),0))</f>
        <v/>
      </c>
      <c r="AQ10" s="88">
        <f>IF(OR(AQ$1="",$BE10=0),"",IFERROR(LOOKUP(2,1/((Budgets!$A$2:$A$200=AQ$1)*(Budgets!$B$2:$B$200&lt;=$A10)),Budgets!$C$2:$C$200),0))</f>
        <v/>
      </c>
      <c r="AR10" s="88">
        <f>IF(OR(AR$1="",$BE10=0),"",IFERROR(LOOKUP(2,1/((Budgets!$A$2:$A$200=AR$1)*(Budgets!$B$2:$B$200&lt;=$A10)),Budgets!$C$2:$C$200),0))</f>
        <v/>
      </c>
      <c r="AS10" s="88">
        <f>IF(OR(AS$1="",$BE10=0),"",IFERROR(LOOKUP(2,1/((Budgets!$A$2:$A$200=AS$1)*(Budgets!$B$2:$B$200&lt;=$A10)),Budgets!$C$2:$C$200),0))</f>
        <v/>
      </c>
      <c r="AT10" s="88">
        <f>IF(OR(AT$1="",$BE10=0),"",IFERROR(LOOKUP(2,1/((Budgets!$A$2:$A$200=AT$1)*(Budgets!$B$2:$B$200&lt;=$A10)),Budgets!$C$2:$C$200),0))</f>
        <v/>
      </c>
      <c r="AU10" s="88">
        <f>IF(OR(AU$1="",$BE10=0),"",IFERROR(LOOKUP(2,1/((Budgets!$A$2:$A$200=AU$1)*(Budgets!$B$2:$B$200&lt;=$A10)),Budgets!$C$2:$C$200),0))</f>
        <v/>
      </c>
      <c r="AV10" s="88">
        <f>IF(OR(AV$1="",$BE10=0),"",IFERROR(LOOKUP(2,1/((Budgets!$A$2:$A$200=AV$1)*(Budgets!$B$2:$B$200&lt;=$A10)),Budgets!$C$2:$C$200),0))</f>
        <v/>
      </c>
      <c r="AW10" s="88">
        <f>IF(OR(AW$1="",$BE10=0),"",IFERROR(LOOKUP(2,1/((Budgets!$A$2:$A$200=AW$1)*(Budgets!$B$2:$B$200&lt;=$A10)),Budgets!$C$2:$C$200),0))</f>
        <v/>
      </c>
      <c r="AX10" s="88">
        <f>IF(OR(AX$1="",$BE10=0),"",IFERROR(LOOKUP(2,1/((Budgets!$A$2:$A$200=AX$1)*(Budgets!$B$2:$B$200&lt;=$A10)),Budgets!$C$2:$C$200),0))</f>
        <v/>
      </c>
      <c r="AY10" s="88">
        <f>IF(OR(AY$1="",$BE10=0),"",IFERROR(LOOKUP(2,1/((Budgets!$A$2:$A$200=AY$1)*(Budgets!$B$2:$B$200&lt;=$A10)),Budgets!$C$2:$C$200),0))</f>
        <v/>
      </c>
      <c r="AZ10" s="88">
        <f>IF(OR(AZ$1="",$BE10=0),"",IFERROR(LOOKUP(2,1/((Budgets!$A$2:$A$200=AZ$1)*(Budgets!$B$2:$B$200&lt;=$A10)),Budgets!$C$2:$C$200),0))</f>
        <v/>
      </c>
      <c r="BA10" s="88">
        <f>IF(OR(BA$1="",$BE10=0),"",IFERROR(LOOKUP(2,1/((Budgets!$A$2:$A$200=BA$1)*(Budgets!$B$2:$B$200&lt;=$A10)),Budgets!$C$2:$C$200),0))</f>
        <v/>
      </c>
      <c r="BB10" s="88">
        <f>IF(OR(BB$1="",$BE10=0),"",IFERROR(LOOKUP(2,1/((Budgets!$A$2:$A$200=BB$1)*(Budgets!$B$2:$B$200&lt;=$A10)),Budgets!$C$2:$C$200),0))</f>
        <v/>
      </c>
      <c r="BC10" s="88">
        <f>IF(OR(BC$1="",$BE10=0),"",IFERROR(LOOKUP(2,1/((Budgets!$A$2:$A$200=BC$1)*(Budgets!$B$2:$B$200&lt;=$A10)),Budgets!$C$2:$C$200),0))</f>
        <v/>
      </c>
      <c r="BE10" s="67">
        <f>COUNTIFS(Entries!$A$2:$A$5000,$A10)</f>
        <v/>
      </c>
    </row>
    <row r="11" ht="15" customHeight="1" s="43">
      <c r="A11" s="87" t="n">
        <v>39722</v>
      </c>
      <c r="B11" s="88">
        <f>IF($BE11=0,NA(),SUMIFS(Entries!$D$2:$D$5000,Entries!$C$2:$C$5000,"Income",Entries!$A$2:$A$5000,$A11))</f>
        <v/>
      </c>
      <c r="C11" s="88">
        <f>IF($BE11=0,"",SUMIFS(Entries!$D$2:$D$5000,Entries!$C$2:$C$5000,"Actual",Entries!$A$2:$A$5000,$A11))</f>
        <v/>
      </c>
      <c r="D11" s="88">
        <f>IF($BE11=0,"",SUMIFS(Entries!$D$2:$D$5000,Entries!$C$2:$C$5000,"One-off",Entries!$A$2:$A$5000,$A11))</f>
        <v/>
      </c>
      <c r="E11" s="88">
        <f>IF($BE11=0,NA(),C11+D11)</f>
        <v/>
      </c>
      <c r="F11" s="88">
        <f>IF($BE11=0,"",SUM(AJ11:BC11))</f>
        <v/>
      </c>
      <c r="G11" s="88">
        <f>IF($BE11=0,"",B11-E11)</f>
        <v/>
      </c>
      <c r="H11" s="88">
        <f>IF($BE11=0,"",SUM($G$2:G11))</f>
        <v/>
      </c>
      <c r="I11" s="88">
        <f>IF($BE11=0,"",SUMIFS(Entries!$F$2:$F$5000,Entries!$A$2:$A$5000,$A11))</f>
        <v/>
      </c>
      <c r="J11" s="88">
        <f>IF($BE11=0,NA(),H11+SUM($I$2:I11))</f>
        <v/>
      </c>
      <c r="K11" s="88">
        <f>""</f>
        <v/>
      </c>
      <c r="L11" s="88">
        <f>""</f>
        <v/>
      </c>
      <c r="M11" s="70">
        <f>NA()</f>
        <v/>
      </c>
      <c r="O11" s="88">
        <f>IF(OR(O$1="",$BE11=0),"",SUMIFS(Entries!$D$2:$D$5000,Entries!$C$2:$C$5000,"Actual",Entries!$A$2:$A$5000,$A11,Entries!$B$2:$B$5000,O$1))</f>
        <v/>
      </c>
      <c r="P11" s="88">
        <f>IF(OR(P$1="",$BE11=0),"",SUMIFS(Entries!$D$2:$D$5000,Entries!$C$2:$C$5000,"Actual",Entries!$A$2:$A$5000,$A11,Entries!$B$2:$B$5000,P$1))</f>
        <v/>
      </c>
      <c r="Q11" s="88">
        <f>IF(OR(Q$1="",$BE11=0),"",SUMIFS(Entries!$D$2:$D$5000,Entries!$C$2:$C$5000,"Actual",Entries!$A$2:$A$5000,$A11,Entries!$B$2:$B$5000,Q$1))</f>
        <v/>
      </c>
      <c r="R11" s="88">
        <f>IF(OR(R$1="",$BE11=0),"",SUMIFS(Entries!$D$2:$D$5000,Entries!$C$2:$C$5000,"Actual",Entries!$A$2:$A$5000,$A11,Entries!$B$2:$B$5000,R$1))</f>
        <v/>
      </c>
      <c r="S11" s="88">
        <f>IF(OR(S$1="",$BE11=0),"",SUMIFS(Entries!$D$2:$D$5000,Entries!$C$2:$C$5000,"Actual",Entries!$A$2:$A$5000,$A11,Entries!$B$2:$B$5000,S$1))</f>
        <v/>
      </c>
      <c r="T11" s="88">
        <f>IF(OR(T$1="",$BE11=0),"",SUMIFS(Entries!$D$2:$D$5000,Entries!$C$2:$C$5000,"Actual",Entries!$A$2:$A$5000,$A11,Entries!$B$2:$B$5000,T$1))</f>
        <v/>
      </c>
      <c r="U11" s="88">
        <f>IF(OR(U$1="",$BE11=0),"",SUMIFS(Entries!$D$2:$D$5000,Entries!$C$2:$C$5000,"Actual",Entries!$A$2:$A$5000,$A11,Entries!$B$2:$B$5000,U$1))</f>
        <v/>
      </c>
      <c r="V11" s="88">
        <f>IF(OR(V$1="",$BE11=0),"",SUMIFS(Entries!$D$2:$D$5000,Entries!$C$2:$C$5000,"Actual",Entries!$A$2:$A$5000,$A11,Entries!$B$2:$B$5000,V$1))</f>
        <v/>
      </c>
      <c r="W11" s="88">
        <f>IF(OR(W$1="",$BE11=0),"",SUMIFS(Entries!$D$2:$D$5000,Entries!$C$2:$C$5000,"Actual",Entries!$A$2:$A$5000,$A11,Entries!$B$2:$B$5000,W$1))</f>
        <v/>
      </c>
      <c r="X11" s="88">
        <f>IF(OR(X$1="",$BE11=0),"",SUMIFS(Entries!$D$2:$D$5000,Entries!$C$2:$C$5000,"Actual",Entries!$A$2:$A$5000,$A11,Entries!$B$2:$B$5000,X$1))</f>
        <v/>
      </c>
      <c r="Y11" s="88">
        <f>IF(OR(Y$1="",$BE11=0),"",SUMIFS(Entries!$D$2:$D$5000,Entries!$C$2:$C$5000,"Actual",Entries!$A$2:$A$5000,$A11,Entries!$B$2:$B$5000,Y$1))</f>
        <v/>
      </c>
      <c r="Z11" s="88">
        <f>IF(OR(Z$1="",$BE11=0),"",SUMIFS(Entries!$D$2:$D$5000,Entries!$C$2:$C$5000,"Actual",Entries!$A$2:$A$5000,$A11,Entries!$B$2:$B$5000,Z$1))</f>
        <v/>
      </c>
      <c r="AA11" s="88">
        <f>IF(OR(AA$1="",$BE11=0),"",SUMIFS(Entries!$D$2:$D$5000,Entries!$C$2:$C$5000,"Actual",Entries!$A$2:$A$5000,$A11,Entries!$B$2:$B$5000,AA$1))</f>
        <v/>
      </c>
      <c r="AB11" s="88">
        <f>IF(OR(AB$1="",$BE11=0),"",SUMIFS(Entries!$D$2:$D$5000,Entries!$C$2:$C$5000,"Actual",Entries!$A$2:$A$5000,$A11,Entries!$B$2:$B$5000,AB$1))</f>
        <v/>
      </c>
      <c r="AC11" s="88">
        <f>IF(OR(AC$1="",$BE11=0),"",SUMIFS(Entries!$D$2:$D$5000,Entries!$C$2:$C$5000,"Actual",Entries!$A$2:$A$5000,$A11,Entries!$B$2:$B$5000,AC$1))</f>
        <v/>
      </c>
      <c r="AD11" s="88">
        <f>IF(OR(AD$1="",$BE11=0),"",SUMIFS(Entries!$D$2:$D$5000,Entries!$C$2:$C$5000,"Actual",Entries!$A$2:$A$5000,$A11,Entries!$B$2:$B$5000,AD$1))</f>
        <v/>
      </c>
      <c r="AE11" s="88">
        <f>IF(OR(AE$1="",$BE11=0),"",SUMIFS(Entries!$D$2:$D$5000,Entries!$C$2:$C$5000,"Actual",Entries!$A$2:$A$5000,$A11,Entries!$B$2:$B$5000,AE$1))</f>
        <v/>
      </c>
      <c r="AF11" s="88">
        <f>IF(OR(AF$1="",$BE11=0),"",SUMIFS(Entries!$D$2:$D$5000,Entries!$C$2:$C$5000,"Actual",Entries!$A$2:$A$5000,$A11,Entries!$B$2:$B$5000,AF$1))</f>
        <v/>
      </c>
      <c r="AG11" s="88">
        <f>IF(OR(AG$1="",$BE11=0),"",SUMIFS(Entries!$D$2:$D$5000,Entries!$C$2:$C$5000,"Actual",Entries!$A$2:$A$5000,$A11,Entries!$B$2:$B$5000,AG$1))</f>
        <v/>
      </c>
      <c r="AH11" s="88">
        <f>IF(OR(AH$1="",$BE11=0),"",SUMIFS(Entries!$D$2:$D$5000,Entries!$C$2:$C$5000,"Actual",Entries!$A$2:$A$5000,$A11,Entries!$B$2:$B$5000,AH$1))</f>
        <v/>
      </c>
      <c r="AJ11" s="88">
        <f>IF(OR(AJ$1="",$BE11=0),"",IFERROR(LOOKUP(2,1/((Budgets!$A$2:$A$200=AJ$1)*(Budgets!$B$2:$B$200&lt;=$A11)),Budgets!$C$2:$C$200),0))</f>
        <v/>
      </c>
      <c r="AK11" s="88">
        <f>IF(OR(AK$1="",$BE11=0),"",IFERROR(LOOKUP(2,1/((Budgets!$A$2:$A$200=AK$1)*(Budgets!$B$2:$B$200&lt;=$A11)),Budgets!$C$2:$C$200),0))</f>
        <v/>
      </c>
      <c r="AL11" s="88">
        <f>IF(OR(AL$1="",$BE11=0),"",IFERROR(LOOKUP(2,1/((Budgets!$A$2:$A$200=AL$1)*(Budgets!$B$2:$B$200&lt;=$A11)),Budgets!$C$2:$C$200),0))</f>
        <v/>
      </c>
      <c r="AM11" s="88">
        <f>IF(OR(AM$1="",$BE11=0),"",IFERROR(LOOKUP(2,1/((Budgets!$A$2:$A$200=AM$1)*(Budgets!$B$2:$B$200&lt;=$A11)),Budgets!$C$2:$C$200),0))</f>
        <v/>
      </c>
      <c r="AN11" s="88">
        <f>IF(OR(AN$1="",$BE11=0),"",IFERROR(LOOKUP(2,1/((Budgets!$A$2:$A$200=AN$1)*(Budgets!$B$2:$B$200&lt;=$A11)),Budgets!$C$2:$C$200),0))</f>
        <v/>
      </c>
      <c r="AO11" s="88">
        <f>IF(OR(AO$1="",$BE11=0),"",IFERROR(LOOKUP(2,1/((Budgets!$A$2:$A$200=AO$1)*(Budgets!$B$2:$B$200&lt;=$A11)),Budgets!$C$2:$C$200),0))</f>
        <v/>
      </c>
      <c r="AP11" s="88">
        <f>IF(OR(AP$1="",$BE11=0),"",IFERROR(LOOKUP(2,1/((Budgets!$A$2:$A$200=AP$1)*(Budgets!$B$2:$B$200&lt;=$A11)),Budgets!$C$2:$C$200),0))</f>
        <v/>
      </c>
      <c r="AQ11" s="88">
        <f>IF(OR(AQ$1="",$BE11=0),"",IFERROR(LOOKUP(2,1/((Budgets!$A$2:$A$200=AQ$1)*(Budgets!$B$2:$B$200&lt;=$A11)),Budgets!$C$2:$C$200),0))</f>
        <v/>
      </c>
      <c r="AR11" s="88">
        <f>IF(OR(AR$1="",$BE11=0),"",IFERROR(LOOKUP(2,1/((Budgets!$A$2:$A$200=AR$1)*(Budgets!$B$2:$B$200&lt;=$A11)),Budgets!$C$2:$C$200),0))</f>
        <v/>
      </c>
      <c r="AS11" s="88">
        <f>IF(OR(AS$1="",$BE11=0),"",IFERROR(LOOKUP(2,1/((Budgets!$A$2:$A$200=AS$1)*(Budgets!$B$2:$B$200&lt;=$A11)),Budgets!$C$2:$C$200),0))</f>
        <v/>
      </c>
      <c r="AT11" s="88">
        <f>IF(OR(AT$1="",$BE11=0),"",IFERROR(LOOKUP(2,1/((Budgets!$A$2:$A$200=AT$1)*(Budgets!$B$2:$B$200&lt;=$A11)),Budgets!$C$2:$C$200),0))</f>
        <v/>
      </c>
      <c r="AU11" s="88">
        <f>IF(OR(AU$1="",$BE11=0),"",IFERROR(LOOKUP(2,1/((Budgets!$A$2:$A$200=AU$1)*(Budgets!$B$2:$B$200&lt;=$A11)),Budgets!$C$2:$C$200),0))</f>
        <v/>
      </c>
      <c r="AV11" s="88">
        <f>IF(OR(AV$1="",$BE11=0),"",IFERROR(LOOKUP(2,1/((Budgets!$A$2:$A$200=AV$1)*(Budgets!$B$2:$B$200&lt;=$A11)),Budgets!$C$2:$C$200),0))</f>
        <v/>
      </c>
      <c r="AW11" s="88">
        <f>IF(OR(AW$1="",$BE11=0),"",IFERROR(LOOKUP(2,1/((Budgets!$A$2:$A$200=AW$1)*(Budgets!$B$2:$B$200&lt;=$A11)),Budgets!$C$2:$C$200),0))</f>
        <v/>
      </c>
      <c r="AX11" s="88">
        <f>IF(OR(AX$1="",$BE11=0),"",IFERROR(LOOKUP(2,1/((Budgets!$A$2:$A$200=AX$1)*(Budgets!$B$2:$B$200&lt;=$A11)),Budgets!$C$2:$C$200),0))</f>
        <v/>
      </c>
      <c r="AY11" s="88">
        <f>IF(OR(AY$1="",$BE11=0),"",IFERROR(LOOKUP(2,1/((Budgets!$A$2:$A$200=AY$1)*(Budgets!$B$2:$B$200&lt;=$A11)),Budgets!$C$2:$C$200),0))</f>
        <v/>
      </c>
      <c r="AZ11" s="88">
        <f>IF(OR(AZ$1="",$BE11=0),"",IFERROR(LOOKUP(2,1/((Budgets!$A$2:$A$200=AZ$1)*(Budgets!$B$2:$B$200&lt;=$A11)),Budgets!$C$2:$C$200),0))</f>
        <v/>
      </c>
      <c r="BA11" s="88">
        <f>IF(OR(BA$1="",$BE11=0),"",IFERROR(LOOKUP(2,1/((Budgets!$A$2:$A$200=BA$1)*(Budgets!$B$2:$B$200&lt;=$A11)),Budgets!$C$2:$C$200),0))</f>
        <v/>
      </c>
      <c r="BB11" s="88">
        <f>IF(OR(BB$1="",$BE11=0),"",IFERROR(LOOKUP(2,1/((Budgets!$A$2:$A$200=BB$1)*(Budgets!$B$2:$B$200&lt;=$A11)),Budgets!$C$2:$C$200),0))</f>
        <v/>
      </c>
      <c r="BC11" s="88">
        <f>IF(OR(BC$1="",$BE11=0),"",IFERROR(LOOKUP(2,1/((Budgets!$A$2:$A$200=BC$1)*(Budgets!$B$2:$B$200&lt;=$A11)),Budgets!$C$2:$C$200),0))</f>
        <v/>
      </c>
      <c r="BE11" s="67">
        <f>COUNTIFS(Entries!$A$2:$A$5000,$A11)</f>
        <v/>
      </c>
    </row>
    <row r="12" ht="15" customHeight="1" s="43">
      <c r="A12" s="87" t="n">
        <v>39753</v>
      </c>
      <c r="B12" s="88">
        <f>IF($BE12=0,NA(),SUMIFS(Entries!$D$2:$D$5000,Entries!$C$2:$C$5000,"Income",Entries!$A$2:$A$5000,$A12))</f>
        <v/>
      </c>
      <c r="C12" s="88">
        <f>IF($BE12=0,"",SUMIFS(Entries!$D$2:$D$5000,Entries!$C$2:$C$5000,"Actual",Entries!$A$2:$A$5000,$A12))</f>
        <v/>
      </c>
      <c r="D12" s="88">
        <f>IF($BE12=0,"",SUMIFS(Entries!$D$2:$D$5000,Entries!$C$2:$C$5000,"One-off",Entries!$A$2:$A$5000,$A12))</f>
        <v/>
      </c>
      <c r="E12" s="88">
        <f>IF($BE12=0,NA(),C12+D12)</f>
        <v/>
      </c>
      <c r="F12" s="88">
        <f>IF($BE12=0,"",SUM(AJ12:BC12))</f>
        <v/>
      </c>
      <c r="G12" s="88">
        <f>IF($BE12=0,"",B12-E12)</f>
        <v/>
      </c>
      <c r="H12" s="88">
        <f>IF($BE12=0,"",SUM($G$2:G12))</f>
        <v/>
      </c>
      <c r="I12" s="88">
        <f>IF($BE12=0,"",SUMIFS(Entries!$F$2:$F$5000,Entries!$A$2:$A$5000,$A12))</f>
        <v/>
      </c>
      <c r="J12" s="88">
        <f>IF($BE12=0,NA(),H12+SUM($I$2:I12))</f>
        <v/>
      </c>
      <c r="K12" s="88">
        <f>""</f>
        <v/>
      </c>
      <c r="L12" s="88">
        <f>""</f>
        <v/>
      </c>
      <c r="M12" s="70">
        <f>NA()</f>
        <v/>
      </c>
      <c r="O12" s="88">
        <f>IF(OR(O$1="",$BE12=0),"",SUMIFS(Entries!$D$2:$D$5000,Entries!$C$2:$C$5000,"Actual",Entries!$A$2:$A$5000,$A12,Entries!$B$2:$B$5000,O$1))</f>
        <v/>
      </c>
      <c r="P12" s="88">
        <f>IF(OR(P$1="",$BE12=0),"",SUMIFS(Entries!$D$2:$D$5000,Entries!$C$2:$C$5000,"Actual",Entries!$A$2:$A$5000,$A12,Entries!$B$2:$B$5000,P$1))</f>
        <v/>
      </c>
      <c r="Q12" s="88">
        <f>IF(OR(Q$1="",$BE12=0),"",SUMIFS(Entries!$D$2:$D$5000,Entries!$C$2:$C$5000,"Actual",Entries!$A$2:$A$5000,$A12,Entries!$B$2:$B$5000,Q$1))</f>
        <v/>
      </c>
      <c r="R12" s="88">
        <f>IF(OR(R$1="",$BE12=0),"",SUMIFS(Entries!$D$2:$D$5000,Entries!$C$2:$C$5000,"Actual",Entries!$A$2:$A$5000,$A12,Entries!$B$2:$B$5000,R$1))</f>
        <v/>
      </c>
      <c r="S12" s="88">
        <f>IF(OR(S$1="",$BE12=0),"",SUMIFS(Entries!$D$2:$D$5000,Entries!$C$2:$C$5000,"Actual",Entries!$A$2:$A$5000,$A12,Entries!$B$2:$B$5000,S$1))</f>
        <v/>
      </c>
      <c r="T12" s="88">
        <f>IF(OR(T$1="",$BE12=0),"",SUMIFS(Entries!$D$2:$D$5000,Entries!$C$2:$C$5000,"Actual",Entries!$A$2:$A$5000,$A12,Entries!$B$2:$B$5000,T$1))</f>
        <v/>
      </c>
      <c r="U12" s="88">
        <f>IF(OR(U$1="",$BE12=0),"",SUMIFS(Entries!$D$2:$D$5000,Entries!$C$2:$C$5000,"Actual",Entries!$A$2:$A$5000,$A12,Entries!$B$2:$B$5000,U$1))</f>
        <v/>
      </c>
      <c r="V12" s="88">
        <f>IF(OR(V$1="",$BE12=0),"",SUMIFS(Entries!$D$2:$D$5000,Entries!$C$2:$C$5000,"Actual",Entries!$A$2:$A$5000,$A12,Entries!$B$2:$B$5000,V$1))</f>
        <v/>
      </c>
      <c r="W12" s="88">
        <f>IF(OR(W$1="",$BE12=0),"",SUMIFS(Entries!$D$2:$D$5000,Entries!$C$2:$C$5000,"Actual",Entries!$A$2:$A$5000,$A12,Entries!$B$2:$B$5000,W$1))</f>
        <v/>
      </c>
      <c r="X12" s="88">
        <f>IF(OR(X$1="",$BE12=0),"",SUMIFS(Entries!$D$2:$D$5000,Entries!$C$2:$C$5000,"Actual",Entries!$A$2:$A$5000,$A12,Entries!$B$2:$B$5000,X$1))</f>
        <v/>
      </c>
      <c r="Y12" s="88">
        <f>IF(OR(Y$1="",$BE12=0),"",SUMIFS(Entries!$D$2:$D$5000,Entries!$C$2:$C$5000,"Actual",Entries!$A$2:$A$5000,$A12,Entries!$B$2:$B$5000,Y$1))</f>
        <v/>
      </c>
      <c r="Z12" s="88">
        <f>IF(OR(Z$1="",$BE12=0),"",SUMIFS(Entries!$D$2:$D$5000,Entries!$C$2:$C$5000,"Actual",Entries!$A$2:$A$5000,$A12,Entries!$B$2:$B$5000,Z$1))</f>
        <v/>
      </c>
      <c r="AA12" s="88">
        <f>IF(OR(AA$1="",$BE12=0),"",SUMIFS(Entries!$D$2:$D$5000,Entries!$C$2:$C$5000,"Actual",Entries!$A$2:$A$5000,$A12,Entries!$B$2:$B$5000,AA$1))</f>
        <v/>
      </c>
      <c r="AB12" s="88">
        <f>IF(OR(AB$1="",$BE12=0),"",SUMIFS(Entries!$D$2:$D$5000,Entries!$C$2:$C$5000,"Actual",Entries!$A$2:$A$5000,$A12,Entries!$B$2:$B$5000,AB$1))</f>
        <v/>
      </c>
      <c r="AC12" s="88">
        <f>IF(OR(AC$1="",$BE12=0),"",SUMIFS(Entries!$D$2:$D$5000,Entries!$C$2:$C$5000,"Actual",Entries!$A$2:$A$5000,$A12,Entries!$B$2:$B$5000,AC$1))</f>
        <v/>
      </c>
      <c r="AD12" s="88">
        <f>IF(OR(AD$1="",$BE12=0),"",SUMIFS(Entries!$D$2:$D$5000,Entries!$C$2:$C$5000,"Actual",Entries!$A$2:$A$5000,$A12,Entries!$B$2:$B$5000,AD$1))</f>
        <v/>
      </c>
      <c r="AE12" s="88">
        <f>IF(OR(AE$1="",$BE12=0),"",SUMIFS(Entries!$D$2:$D$5000,Entries!$C$2:$C$5000,"Actual",Entries!$A$2:$A$5000,$A12,Entries!$B$2:$B$5000,AE$1))</f>
        <v/>
      </c>
      <c r="AF12" s="88">
        <f>IF(OR(AF$1="",$BE12=0),"",SUMIFS(Entries!$D$2:$D$5000,Entries!$C$2:$C$5000,"Actual",Entries!$A$2:$A$5000,$A12,Entries!$B$2:$B$5000,AF$1))</f>
        <v/>
      </c>
      <c r="AG12" s="88">
        <f>IF(OR(AG$1="",$BE12=0),"",SUMIFS(Entries!$D$2:$D$5000,Entries!$C$2:$C$5000,"Actual",Entries!$A$2:$A$5000,$A12,Entries!$B$2:$B$5000,AG$1))</f>
        <v/>
      </c>
      <c r="AH12" s="88">
        <f>IF(OR(AH$1="",$BE12=0),"",SUMIFS(Entries!$D$2:$D$5000,Entries!$C$2:$C$5000,"Actual",Entries!$A$2:$A$5000,$A12,Entries!$B$2:$B$5000,AH$1))</f>
        <v/>
      </c>
      <c r="AJ12" s="88">
        <f>IF(OR(AJ$1="",$BE12=0),"",IFERROR(LOOKUP(2,1/((Budgets!$A$2:$A$200=AJ$1)*(Budgets!$B$2:$B$200&lt;=$A12)),Budgets!$C$2:$C$200),0))</f>
        <v/>
      </c>
      <c r="AK12" s="88">
        <f>IF(OR(AK$1="",$BE12=0),"",IFERROR(LOOKUP(2,1/((Budgets!$A$2:$A$200=AK$1)*(Budgets!$B$2:$B$200&lt;=$A12)),Budgets!$C$2:$C$200),0))</f>
        <v/>
      </c>
      <c r="AL12" s="88">
        <f>IF(OR(AL$1="",$BE12=0),"",IFERROR(LOOKUP(2,1/((Budgets!$A$2:$A$200=AL$1)*(Budgets!$B$2:$B$200&lt;=$A12)),Budgets!$C$2:$C$200),0))</f>
        <v/>
      </c>
      <c r="AM12" s="88">
        <f>IF(OR(AM$1="",$BE12=0),"",IFERROR(LOOKUP(2,1/((Budgets!$A$2:$A$200=AM$1)*(Budgets!$B$2:$B$200&lt;=$A12)),Budgets!$C$2:$C$200),0))</f>
        <v/>
      </c>
      <c r="AN12" s="88">
        <f>IF(OR(AN$1="",$BE12=0),"",IFERROR(LOOKUP(2,1/((Budgets!$A$2:$A$200=AN$1)*(Budgets!$B$2:$B$200&lt;=$A12)),Budgets!$C$2:$C$200),0))</f>
        <v/>
      </c>
      <c r="AO12" s="88">
        <f>IF(OR(AO$1="",$BE12=0),"",IFERROR(LOOKUP(2,1/((Budgets!$A$2:$A$200=AO$1)*(Budgets!$B$2:$B$200&lt;=$A12)),Budgets!$C$2:$C$200),0))</f>
        <v/>
      </c>
      <c r="AP12" s="88">
        <f>IF(OR(AP$1="",$BE12=0),"",IFERROR(LOOKUP(2,1/((Budgets!$A$2:$A$200=AP$1)*(Budgets!$B$2:$B$200&lt;=$A12)),Budgets!$C$2:$C$200),0))</f>
        <v/>
      </c>
      <c r="AQ12" s="88">
        <f>IF(OR(AQ$1="",$BE12=0),"",IFERROR(LOOKUP(2,1/((Budgets!$A$2:$A$200=AQ$1)*(Budgets!$B$2:$B$200&lt;=$A12)),Budgets!$C$2:$C$200),0))</f>
        <v/>
      </c>
      <c r="AR12" s="88">
        <f>IF(OR(AR$1="",$BE12=0),"",IFERROR(LOOKUP(2,1/((Budgets!$A$2:$A$200=AR$1)*(Budgets!$B$2:$B$200&lt;=$A12)),Budgets!$C$2:$C$200),0))</f>
        <v/>
      </c>
      <c r="AS12" s="88">
        <f>IF(OR(AS$1="",$BE12=0),"",IFERROR(LOOKUP(2,1/((Budgets!$A$2:$A$200=AS$1)*(Budgets!$B$2:$B$200&lt;=$A12)),Budgets!$C$2:$C$200),0))</f>
        <v/>
      </c>
      <c r="AT12" s="88">
        <f>IF(OR(AT$1="",$BE12=0),"",IFERROR(LOOKUP(2,1/((Budgets!$A$2:$A$200=AT$1)*(Budgets!$B$2:$B$200&lt;=$A12)),Budgets!$C$2:$C$200),0))</f>
        <v/>
      </c>
      <c r="AU12" s="88">
        <f>IF(OR(AU$1="",$BE12=0),"",IFERROR(LOOKUP(2,1/((Budgets!$A$2:$A$200=AU$1)*(Budgets!$B$2:$B$200&lt;=$A12)),Budgets!$C$2:$C$200),0))</f>
        <v/>
      </c>
      <c r="AV12" s="88">
        <f>IF(OR(AV$1="",$BE12=0),"",IFERROR(LOOKUP(2,1/((Budgets!$A$2:$A$200=AV$1)*(Budgets!$B$2:$B$200&lt;=$A12)),Budgets!$C$2:$C$200),0))</f>
        <v/>
      </c>
      <c r="AW12" s="88">
        <f>IF(OR(AW$1="",$BE12=0),"",IFERROR(LOOKUP(2,1/((Budgets!$A$2:$A$200=AW$1)*(Budgets!$B$2:$B$200&lt;=$A12)),Budgets!$C$2:$C$200),0))</f>
        <v/>
      </c>
      <c r="AX12" s="88">
        <f>IF(OR(AX$1="",$BE12=0),"",IFERROR(LOOKUP(2,1/((Budgets!$A$2:$A$200=AX$1)*(Budgets!$B$2:$B$200&lt;=$A12)),Budgets!$C$2:$C$200),0))</f>
        <v/>
      </c>
      <c r="AY12" s="88">
        <f>IF(OR(AY$1="",$BE12=0),"",IFERROR(LOOKUP(2,1/((Budgets!$A$2:$A$200=AY$1)*(Budgets!$B$2:$B$200&lt;=$A12)),Budgets!$C$2:$C$200),0))</f>
        <v/>
      </c>
      <c r="AZ12" s="88">
        <f>IF(OR(AZ$1="",$BE12=0),"",IFERROR(LOOKUP(2,1/((Budgets!$A$2:$A$200=AZ$1)*(Budgets!$B$2:$B$200&lt;=$A12)),Budgets!$C$2:$C$200),0))</f>
        <v/>
      </c>
      <c r="BA12" s="88">
        <f>IF(OR(BA$1="",$BE12=0),"",IFERROR(LOOKUP(2,1/((Budgets!$A$2:$A$200=BA$1)*(Budgets!$B$2:$B$200&lt;=$A12)),Budgets!$C$2:$C$200),0))</f>
        <v/>
      </c>
      <c r="BB12" s="88">
        <f>IF(OR(BB$1="",$BE12=0),"",IFERROR(LOOKUP(2,1/((Budgets!$A$2:$A$200=BB$1)*(Budgets!$B$2:$B$200&lt;=$A12)),Budgets!$C$2:$C$200),0))</f>
        <v/>
      </c>
      <c r="BC12" s="88">
        <f>IF(OR(BC$1="",$BE12=0),"",IFERROR(LOOKUP(2,1/((Budgets!$A$2:$A$200=BC$1)*(Budgets!$B$2:$B$200&lt;=$A12)),Budgets!$C$2:$C$200),0))</f>
        <v/>
      </c>
      <c r="BE12" s="67">
        <f>COUNTIFS(Entries!$A$2:$A$5000,$A12)</f>
        <v/>
      </c>
    </row>
    <row r="13" ht="15" customHeight="1" s="43">
      <c r="A13" s="87" t="n">
        <v>39783</v>
      </c>
      <c r="B13" s="88">
        <f>IF($BE13=0,NA(),SUMIFS(Entries!$D$2:$D$5000,Entries!$C$2:$C$5000,"Income",Entries!$A$2:$A$5000,$A13))</f>
        <v/>
      </c>
      <c r="C13" s="88">
        <f>IF($BE13=0,"",SUMIFS(Entries!$D$2:$D$5000,Entries!$C$2:$C$5000,"Actual",Entries!$A$2:$A$5000,$A13))</f>
        <v/>
      </c>
      <c r="D13" s="88">
        <f>IF($BE13=0,"",SUMIFS(Entries!$D$2:$D$5000,Entries!$C$2:$C$5000,"One-off",Entries!$A$2:$A$5000,$A13))</f>
        <v/>
      </c>
      <c r="E13" s="88">
        <f>IF($BE13=0,NA(),C13+D13)</f>
        <v/>
      </c>
      <c r="F13" s="88">
        <f>IF($BE13=0,"",SUM(AJ13:BC13))</f>
        <v/>
      </c>
      <c r="G13" s="88">
        <f>IF($BE13=0,"",B13-E13)</f>
        <v/>
      </c>
      <c r="H13" s="88">
        <f>IF($BE13=0,"",SUM($G$2:G13))</f>
        <v/>
      </c>
      <c r="I13" s="88">
        <f>IF($BE13=0,"",SUMIFS(Entries!$F$2:$F$5000,Entries!$A$2:$A$5000,$A13))</f>
        <v/>
      </c>
      <c r="J13" s="88">
        <f>IF($BE13=0,NA(),H13+SUM($I$2:I13))</f>
        <v/>
      </c>
      <c r="K13" s="88">
        <f>IF($BE13=0,"",SUMIFS(Entries!$D$2:$D$5000,Entries!$C$2:$C$5000,"Income",Entries!$A$2:$A$5000,"&gt;="&amp;EDATE($A13,-11),Entries!$A$2:$A$5000,"&lt;="&amp;$A13)/12)</f>
        <v/>
      </c>
      <c r="L13" s="88">
        <f>IF($BE13=0,"",(SUMIFS(Entries!$D$2:$D$5000,Entries!$C$2:$C$5000,"Actual",Entries!$A$2:$A$5000,"&gt;="&amp;EDATE($A13,-11),Entries!$A$2:$A$5000,"&lt;="&amp;$A13)+SUMIFS(Entries!$D$2:$D$5000,Entries!$C$2:$C$5000,"One-off",Entries!$A$2:$A$5000,"&gt;="&amp;EDATE($A13,-11),Entries!$A$2:$A$5000,"&lt;="&amp;$A13))/12)</f>
        <v/>
      </c>
      <c r="M13" s="70">
        <f>IF($BE13=0,NA(),IFERROR((K13-L13)/K13,0))</f>
        <v/>
      </c>
      <c r="O13" s="88">
        <f>IF(OR(O$1="",$BE13=0),"",SUMIFS(Entries!$D$2:$D$5000,Entries!$C$2:$C$5000,"Actual",Entries!$A$2:$A$5000,$A13,Entries!$B$2:$B$5000,O$1))</f>
        <v/>
      </c>
      <c r="P13" s="88">
        <f>IF(OR(P$1="",$BE13=0),"",SUMIFS(Entries!$D$2:$D$5000,Entries!$C$2:$C$5000,"Actual",Entries!$A$2:$A$5000,$A13,Entries!$B$2:$B$5000,P$1))</f>
        <v/>
      </c>
      <c r="Q13" s="88">
        <f>IF(OR(Q$1="",$BE13=0),"",SUMIFS(Entries!$D$2:$D$5000,Entries!$C$2:$C$5000,"Actual",Entries!$A$2:$A$5000,$A13,Entries!$B$2:$B$5000,Q$1))</f>
        <v/>
      </c>
      <c r="R13" s="88">
        <f>IF(OR(R$1="",$BE13=0),"",SUMIFS(Entries!$D$2:$D$5000,Entries!$C$2:$C$5000,"Actual",Entries!$A$2:$A$5000,$A13,Entries!$B$2:$B$5000,R$1))</f>
        <v/>
      </c>
      <c r="S13" s="88">
        <f>IF(OR(S$1="",$BE13=0),"",SUMIFS(Entries!$D$2:$D$5000,Entries!$C$2:$C$5000,"Actual",Entries!$A$2:$A$5000,$A13,Entries!$B$2:$B$5000,S$1))</f>
        <v/>
      </c>
      <c r="T13" s="88">
        <f>IF(OR(T$1="",$BE13=0),"",SUMIFS(Entries!$D$2:$D$5000,Entries!$C$2:$C$5000,"Actual",Entries!$A$2:$A$5000,$A13,Entries!$B$2:$B$5000,T$1))</f>
        <v/>
      </c>
      <c r="U13" s="88">
        <f>IF(OR(U$1="",$BE13=0),"",SUMIFS(Entries!$D$2:$D$5000,Entries!$C$2:$C$5000,"Actual",Entries!$A$2:$A$5000,$A13,Entries!$B$2:$B$5000,U$1))</f>
        <v/>
      </c>
      <c r="V13" s="88">
        <f>IF(OR(V$1="",$BE13=0),"",SUMIFS(Entries!$D$2:$D$5000,Entries!$C$2:$C$5000,"Actual",Entries!$A$2:$A$5000,$A13,Entries!$B$2:$B$5000,V$1))</f>
        <v/>
      </c>
      <c r="W13" s="88">
        <f>IF(OR(W$1="",$BE13=0),"",SUMIFS(Entries!$D$2:$D$5000,Entries!$C$2:$C$5000,"Actual",Entries!$A$2:$A$5000,$A13,Entries!$B$2:$B$5000,W$1))</f>
        <v/>
      </c>
      <c r="X13" s="88">
        <f>IF(OR(X$1="",$BE13=0),"",SUMIFS(Entries!$D$2:$D$5000,Entries!$C$2:$C$5000,"Actual",Entries!$A$2:$A$5000,$A13,Entries!$B$2:$B$5000,X$1))</f>
        <v/>
      </c>
      <c r="Y13" s="88">
        <f>IF(OR(Y$1="",$BE13=0),"",SUMIFS(Entries!$D$2:$D$5000,Entries!$C$2:$C$5000,"Actual",Entries!$A$2:$A$5000,$A13,Entries!$B$2:$B$5000,Y$1))</f>
        <v/>
      </c>
      <c r="Z13" s="88">
        <f>IF(OR(Z$1="",$BE13=0),"",SUMIFS(Entries!$D$2:$D$5000,Entries!$C$2:$C$5000,"Actual",Entries!$A$2:$A$5000,$A13,Entries!$B$2:$B$5000,Z$1))</f>
        <v/>
      </c>
      <c r="AA13" s="88">
        <f>IF(OR(AA$1="",$BE13=0),"",SUMIFS(Entries!$D$2:$D$5000,Entries!$C$2:$C$5000,"Actual",Entries!$A$2:$A$5000,$A13,Entries!$B$2:$B$5000,AA$1))</f>
        <v/>
      </c>
      <c r="AB13" s="88">
        <f>IF(OR(AB$1="",$BE13=0),"",SUMIFS(Entries!$D$2:$D$5000,Entries!$C$2:$C$5000,"Actual",Entries!$A$2:$A$5000,$A13,Entries!$B$2:$B$5000,AB$1))</f>
        <v/>
      </c>
      <c r="AC13" s="88">
        <f>IF(OR(AC$1="",$BE13=0),"",SUMIFS(Entries!$D$2:$D$5000,Entries!$C$2:$C$5000,"Actual",Entries!$A$2:$A$5000,$A13,Entries!$B$2:$B$5000,AC$1))</f>
        <v/>
      </c>
      <c r="AD13" s="88">
        <f>IF(OR(AD$1="",$BE13=0),"",SUMIFS(Entries!$D$2:$D$5000,Entries!$C$2:$C$5000,"Actual",Entries!$A$2:$A$5000,$A13,Entries!$B$2:$B$5000,AD$1))</f>
        <v/>
      </c>
      <c r="AE13" s="88">
        <f>IF(OR(AE$1="",$BE13=0),"",SUMIFS(Entries!$D$2:$D$5000,Entries!$C$2:$C$5000,"Actual",Entries!$A$2:$A$5000,$A13,Entries!$B$2:$B$5000,AE$1))</f>
        <v/>
      </c>
      <c r="AF13" s="88">
        <f>IF(OR(AF$1="",$BE13=0),"",SUMIFS(Entries!$D$2:$D$5000,Entries!$C$2:$C$5000,"Actual",Entries!$A$2:$A$5000,$A13,Entries!$B$2:$B$5000,AF$1))</f>
        <v/>
      </c>
      <c r="AG13" s="88">
        <f>IF(OR(AG$1="",$BE13=0),"",SUMIFS(Entries!$D$2:$D$5000,Entries!$C$2:$C$5000,"Actual",Entries!$A$2:$A$5000,$A13,Entries!$B$2:$B$5000,AG$1))</f>
        <v/>
      </c>
      <c r="AH13" s="88">
        <f>IF(OR(AH$1="",$BE13=0),"",SUMIFS(Entries!$D$2:$D$5000,Entries!$C$2:$C$5000,"Actual",Entries!$A$2:$A$5000,$A13,Entries!$B$2:$B$5000,AH$1))</f>
        <v/>
      </c>
      <c r="AJ13" s="88">
        <f>IF(OR(AJ$1="",$BE13=0),"",IFERROR(LOOKUP(2,1/((Budgets!$A$2:$A$200=AJ$1)*(Budgets!$B$2:$B$200&lt;=$A13)),Budgets!$C$2:$C$200),0))</f>
        <v/>
      </c>
      <c r="AK13" s="88">
        <f>IF(OR(AK$1="",$BE13=0),"",IFERROR(LOOKUP(2,1/((Budgets!$A$2:$A$200=AK$1)*(Budgets!$B$2:$B$200&lt;=$A13)),Budgets!$C$2:$C$200),0))</f>
        <v/>
      </c>
      <c r="AL13" s="88">
        <f>IF(OR(AL$1="",$BE13=0),"",IFERROR(LOOKUP(2,1/((Budgets!$A$2:$A$200=AL$1)*(Budgets!$B$2:$B$200&lt;=$A13)),Budgets!$C$2:$C$200),0))</f>
        <v/>
      </c>
      <c r="AM13" s="88">
        <f>IF(OR(AM$1="",$BE13=0),"",IFERROR(LOOKUP(2,1/((Budgets!$A$2:$A$200=AM$1)*(Budgets!$B$2:$B$200&lt;=$A13)),Budgets!$C$2:$C$200),0))</f>
        <v/>
      </c>
      <c r="AN13" s="88">
        <f>IF(OR(AN$1="",$BE13=0),"",IFERROR(LOOKUP(2,1/((Budgets!$A$2:$A$200=AN$1)*(Budgets!$B$2:$B$200&lt;=$A13)),Budgets!$C$2:$C$200),0))</f>
        <v/>
      </c>
      <c r="AO13" s="88">
        <f>IF(OR(AO$1="",$BE13=0),"",IFERROR(LOOKUP(2,1/((Budgets!$A$2:$A$200=AO$1)*(Budgets!$B$2:$B$200&lt;=$A13)),Budgets!$C$2:$C$200),0))</f>
        <v/>
      </c>
      <c r="AP13" s="88">
        <f>IF(OR(AP$1="",$BE13=0),"",IFERROR(LOOKUP(2,1/((Budgets!$A$2:$A$200=AP$1)*(Budgets!$B$2:$B$200&lt;=$A13)),Budgets!$C$2:$C$200),0))</f>
        <v/>
      </c>
      <c r="AQ13" s="88">
        <f>IF(OR(AQ$1="",$BE13=0),"",IFERROR(LOOKUP(2,1/((Budgets!$A$2:$A$200=AQ$1)*(Budgets!$B$2:$B$200&lt;=$A13)),Budgets!$C$2:$C$200),0))</f>
        <v/>
      </c>
      <c r="AR13" s="88">
        <f>IF(OR(AR$1="",$BE13=0),"",IFERROR(LOOKUP(2,1/((Budgets!$A$2:$A$200=AR$1)*(Budgets!$B$2:$B$200&lt;=$A13)),Budgets!$C$2:$C$200),0))</f>
        <v/>
      </c>
      <c r="AS13" s="88">
        <f>IF(OR(AS$1="",$BE13=0),"",IFERROR(LOOKUP(2,1/((Budgets!$A$2:$A$200=AS$1)*(Budgets!$B$2:$B$200&lt;=$A13)),Budgets!$C$2:$C$200),0))</f>
        <v/>
      </c>
      <c r="AT13" s="88">
        <f>IF(OR(AT$1="",$BE13=0),"",IFERROR(LOOKUP(2,1/((Budgets!$A$2:$A$200=AT$1)*(Budgets!$B$2:$B$200&lt;=$A13)),Budgets!$C$2:$C$200),0))</f>
        <v/>
      </c>
      <c r="AU13" s="88">
        <f>IF(OR(AU$1="",$BE13=0),"",IFERROR(LOOKUP(2,1/((Budgets!$A$2:$A$200=AU$1)*(Budgets!$B$2:$B$200&lt;=$A13)),Budgets!$C$2:$C$200),0))</f>
        <v/>
      </c>
      <c r="AV13" s="88">
        <f>IF(OR(AV$1="",$BE13=0),"",IFERROR(LOOKUP(2,1/((Budgets!$A$2:$A$200=AV$1)*(Budgets!$B$2:$B$200&lt;=$A13)),Budgets!$C$2:$C$200),0))</f>
        <v/>
      </c>
      <c r="AW13" s="88">
        <f>IF(OR(AW$1="",$BE13=0),"",IFERROR(LOOKUP(2,1/((Budgets!$A$2:$A$200=AW$1)*(Budgets!$B$2:$B$200&lt;=$A13)),Budgets!$C$2:$C$200),0))</f>
        <v/>
      </c>
      <c r="AX13" s="88">
        <f>IF(OR(AX$1="",$BE13=0),"",IFERROR(LOOKUP(2,1/((Budgets!$A$2:$A$200=AX$1)*(Budgets!$B$2:$B$200&lt;=$A13)),Budgets!$C$2:$C$200),0))</f>
        <v/>
      </c>
      <c r="AY13" s="88">
        <f>IF(OR(AY$1="",$BE13=0),"",IFERROR(LOOKUP(2,1/((Budgets!$A$2:$A$200=AY$1)*(Budgets!$B$2:$B$200&lt;=$A13)),Budgets!$C$2:$C$200),0))</f>
        <v/>
      </c>
      <c r="AZ13" s="88">
        <f>IF(OR(AZ$1="",$BE13=0),"",IFERROR(LOOKUP(2,1/((Budgets!$A$2:$A$200=AZ$1)*(Budgets!$B$2:$B$200&lt;=$A13)),Budgets!$C$2:$C$200),0))</f>
        <v/>
      </c>
      <c r="BA13" s="88">
        <f>IF(OR(BA$1="",$BE13=0),"",IFERROR(LOOKUP(2,1/((Budgets!$A$2:$A$200=BA$1)*(Budgets!$B$2:$B$200&lt;=$A13)),Budgets!$C$2:$C$200),0))</f>
        <v/>
      </c>
      <c r="BB13" s="88">
        <f>IF(OR(BB$1="",$BE13=0),"",IFERROR(LOOKUP(2,1/((Budgets!$A$2:$A$200=BB$1)*(Budgets!$B$2:$B$200&lt;=$A13)),Budgets!$C$2:$C$200),0))</f>
        <v/>
      </c>
      <c r="BC13" s="88">
        <f>IF(OR(BC$1="",$BE13=0),"",IFERROR(LOOKUP(2,1/((Budgets!$A$2:$A$200=BC$1)*(Budgets!$B$2:$B$200&lt;=$A13)),Budgets!$C$2:$C$200),0))</f>
        <v/>
      </c>
      <c r="BE13" s="67">
        <f>COUNTIFS(Entries!$A$2:$A$5000,$A13)</f>
        <v/>
      </c>
    </row>
    <row r="14" ht="15" customHeight="1" s="43">
      <c r="A14" s="87" t="n">
        <v>39814</v>
      </c>
      <c r="B14" s="88">
        <f>IF($BE14=0,NA(),SUMIFS(Entries!$D$2:$D$5000,Entries!$C$2:$C$5000,"Income",Entries!$A$2:$A$5000,$A14))</f>
        <v/>
      </c>
      <c r="C14" s="88">
        <f>IF($BE14=0,"",SUMIFS(Entries!$D$2:$D$5000,Entries!$C$2:$C$5000,"Actual",Entries!$A$2:$A$5000,$A14))</f>
        <v/>
      </c>
      <c r="D14" s="88">
        <f>IF($BE14=0,"",SUMIFS(Entries!$D$2:$D$5000,Entries!$C$2:$C$5000,"One-off",Entries!$A$2:$A$5000,$A14))</f>
        <v/>
      </c>
      <c r="E14" s="88">
        <f>IF($BE14=0,NA(),C14+D14)</f>
        <v/>
      </c>
      <c r="F14" s="88">
        <f>IF($BE14=0,"",SUM(AJ14:BC14))</f>
        <v/>
      </c>
      <c r="G14" s="88">
        <f>IF($BE14=0,"",B14-E14)</f>
        <v/>
      </c>
      <c r="H14" s="88">
        <f>IF($BE14=0,"",SUM($G$2:G14))</f>
        <v/>
      </c>
      <c r="I14" s="88">
        <f>IF($BE14=0,"",SUMIFS(Entries!$F$2:$F$5000,Entries!$A$2:$A$5000,$A14))</f>
        <v/>
      </c>
      <c r="J14" s="88">
        <f>IF($BE14=0,NA(),H14+SUM($I$2:I14))</f>
        <v/>
      </c>
      <c r="K14" s="88">
        <f>IF($BE14=0,"",SUMIFS(Entries!$D$2:$D$5000,Entries!$C$2:$C$5000,"Income",Entries!$A$2:$A$5000,"&gt;="&amp;EDATE($A14,-11),Entries!$A$2:$A$5000,"&lt;="&amp;$A14)/12)</f>
        <v/>
      </c>
      <c r="L14" s="88">
        <f>IF($BE14=0,"",(SUMIFS(Entries!$D$2:$D$5000,Entries!$C$2:$C$5000,"Actual",Entries!$A$2:$A$5000,"&gt;="&amp;EDATE($A14,-11),Entries!$A$2:$A$5000,"&lt;="&amp;$A14)+SUMIFS(Entries!$D$2:$D$5000,Entries!$C$2:$C$5000,"One-off",Entries!$A$2:$A$5000,"&gt;="&amp;EDATE($A14,-11),Entries!$A$2:$A$5000,"&lt;="&amp;$A14))/12)</f>
        <v/>
      </c>
      <c r="M14" s="70">
        <f>IF($BE14=0,NA(),IFERROR((K14-L14)/K14,0))</f>
        <v/>
      </c>
      <c r="O14" s="88">
        <f>IF(OR(O$1="",$BE14=0),"",SUMIFS(Entries!$D$2:$D$5000,Entries!$C$2:$C$5000,"Actual",Entries!$A$2:$A$5000,$A14,Entries!$B$2:$B$5000,O$1))</f>
        <v/>
      </c>
      <c r="P14" s="88">
        <f>IF(OR(P$1="",$BE14=0),"",SUMIFS(Entries!$D$2:$D$5000,Entries!$C$2:$C$5000,"Actual",Entries!$A$2:$A$5000,$A14,Entries!$B$2:$B$5000,P$1))</f>
        <v/>
      </c>
      <c r="Q14" s="88">
        <f>IF(OR(Q$1="",$BE14=0),"",SUMIFS(Entries!$D$2:$D$5000,Entries!$C$2:$C$5000,"Actual",Entries!$A$2:$A$5000,$A14,Entries!$B$2:$B$5000,Q$1))</f>
        <v/>
      </c>
      <c r="R14" s="88">
        <f>IF(OR(R$1="",$BE14=0),"",SUMIFS(Entries!$D$2:$D$5000,Entries!$C$2:$C$5000,"Actual",Entries!$A$2:$A$5000,$A14,Entries!$B$2:$B$5000,R$1))</f>
        <v/>
      </c>
      <c r="S14" s="88">
        <f>IF(OR(S$1="",$BE14=0),"",SUMIFS(Entries!$D$2:$D$5000,Entries!$C$2:$C$5000,"Actual",Entries!$A$2:$A$5000,$A14,Entries!$B$2:$B$5000,S$1))</f>
        <v/>
      </c>
      <c r="T14" s="88">
        <f>IF(OR(T$1="",$BE14=0),"",SUMIFS(Entries!$D$2:$D$5000,Entries!$C$2:$C$5000,"Actual",Entries!$A$2:$A$5000,$A14,Entries!$B$2:$B$5000,T$1))</f>
        <v/>
      </c>
      <c r="U14" s="88">
        <f>IF(OR(U$1="",$BE14=0),"",SUMIFS(Entries!$D$2:$D$5000,Entries!$C$2:$C$5000,"Actual",Entries!$A$2:$A$5000,$A14,Entries!$B$2:$B$5000,U$1))</f>
        <v/>
      </c>
      <c r="V14" s="88">
        <f>IF(OR(V$1="",$BE14=0),"",SUMIFS(Entries!$D$2:$D$5000,Entries!$C$2:$C$5000,"Actual",Entries!$A$2:$A$5000,$A14,Entries!$B$2:$B$5000,V$1))</f>
        <v/>
      </c>
      <c r="W14" s="88">
        <f>IF(OR(W$1="",$BE14=0),"",SUMIFS(Entries!$D$2:$D$5000,Entries!$C$2:$C$5000,"Actual",Entries!$A$2:$A$5000,$A14,Entries!$B$2:$B$5000,W$1))</f>
        <v/>
      </c>
      <c r="X14" s="88">
        <f>IF(OR(X$1="",$BE14=0),"",SUMIFS(Entries!$D$2:$D$5000,Entries!$C$2:$C$5000,"Actual",Entries!$A$2:$A$5000,$A14,Entries!$B$2:$B$5000,X$1))</f>
        <v/>
      </c>
      <c r="Y14" s="88">
        <f>IF(OR(Y$1="",$BE14=0),"",SUMIFS(Entries!$D$2:$D$5000,Entries!$C$2:$C$5000,"Actual",Entries!$A$2:$A$5000,$A14,Entries!$B$2:$B$5000,Y$1))</f>
        <v/>
      </c>
      <c r="Z14" s="88">
        <f>IF(OR(Z$1="",$BE14=0),"",SUMIFS(Entries!$D$2:$D$5000,Entries!$C$2:$C$5000,"Actual",Entries!$A$2:$A$5000,$A14,Entries!$B$2:$B$5000,Z$1))</f>
        <v/>
      </c>
      <c r="AA14" s="88">
        <f>IF(OR(AA$1="",$BE14=0),"",SUMIFS(Entries!$D$2:$D$5000,Entries!$C$2:$C$5000,"Actual",Entries!$A$2:$A$5000,$A14,Entries!$B$2:$B$5000,AA$1))</f>
        <v/>
      </c>
      <c r="AB14" s="88">
        <f>IF(OR(AB$1="",$BE14=0),"",SUMIFS(Entries!$D$2:$D$5000,Entries!$C$2:$C$5000,"Actual",Entries!$A$2:$A$5000,$A14,Entries!$B$2:$B$5000,AB$1))</f>
        <v/>
      </c>
      <c r="AC14" s="88">
        <f>IF(OR(AC$1="",$BE14=0),"",SUMIFS(Entries!$D$2:$D$5000,Entries!$C$2:$C$5000,"Actual",Entries!$A$2:$A$5000,$A14,Entries!$B$2:$B$5000,AC$1))</f>
        <v/>
      </c>
      <c r="AD14" s="88">
        <f>IF(OR(AD$1="",$BE14=0),"",SUMIFS(Entries!$D$2:$D$5000,Entries!$C$2:$C$5000,"Actual",Entries!$A$2:$A$5000,$A14,Entries!$B$2:$B$5000,AD$1))</f>
        <v/>
      </c>
      <c r="AE14" s="88">
        <f>IF(OR(AE$1="",$BE14=0),"",SUMIFS(Entries!$D$2:$D$5000,Entries!$C$2:$C$5000,"Actual",Entries!$A$2:$A$5000,$A14,Entries!$B$2:$B$5000,AE$1))</f>
        <v/>
      </c>
      <c r="AF14" s="88">
        <f>IF(OR(AF$1="",$BE14=0),"",SUMIFS(Entries!$D$2:$D$5000,Entries!$C$2:$C$5000,"Actual",Entries!$A$2:$A$5000,$A14,Entries!$B$2:$B$5000,AF$1))</f>
        <v/>
      </c>
      <c r="AG14" s="88">
        <f>IF(OR(AG$1="",$BE14=0),"",SUMIFS(Entries!$D$2:$D$5000,Entries!$C$2:$C$5000,"Actual",Entries!$A$2:$A$5000,$A14,Entries!$B$2:$B$5000,AG$1))</f>
        <v/>
      </c>
      <c r="AH14" s="88">
        <f>IF(OR(AH$1="",$BE14=0),"",SUMIFS(Entries!$D$2:$D$5000,Entries!$C$2:$C$5000,"Actual",Entries!$A$2:$A$5000,$A14,Entries!$B$2:$B$5000,AH$1))</f>
        <v/>
      </c>
      <c r="AJ14" s="88">
        <f>IF(OR(AJ$1="",$BE14=0),"",IFERROR(LOOKUP(2,1/((Budgets!$A$2:$A$200=AJ$1)*(Budgets!$B$2:$B$200&lt;=$A14)),Budgets!$C$2:$C$200),0))</f>
        <v/>
      </c>
      <c r="AK14" s="88">
        <f>IF(OR(AK$1="",$BE14=0),"",IFERROR(LOOKUP(2,1/((Budgets!$A$2:$A$200=AK$1)*(Budgets!$B$2:$B$200&lt;=$A14)),Budgets!$C$2:$C$200),0))</f>
        <v/>
      </c>
      <c r="AL14" s="88">
        <f>IF(OR(AL$1="",$BE14=0),"",IFERROR(LOOKUP(2,1/((Budgets!$A$2:$A$200=AL$1)*(Budgets!$B$2:$B$200&lt;=$A14)),Budgets!$C$2:$C$200),0))</f>
        <v/>
      </c>
      <c r="AM14" s="88">
        <f>IF(OR(AM$1="",$BE14=0),"",IFERROR(LOOKUP(2,1/((Budgets!$A$2:$A$200=AM$1)*(Budgets!$B$2:$B$200&lt;=$A14)),Budgets!$C$2:$C$200),0))</f>
        <v/>
      </c>
      <c r="AN14" s="88">
        <f>IF(OR(AN$1="",$BE14=0),"",IFERROR(LOOKUP(2,1/((Budgets!$A$2:$A$200=AN$1)*(Budgets!$B$2:$B$200&lt;=$A14)),Budgets!$C$2:$C$200),0))</f>
        <v/>
      </c>
      <c r="AO14" s="88">
        <f>IF(OR(AO$1="",$BE14=0),"",IFERROR(LOOKUP(2,1/((Budgets!$A$2:$A$200=AO$1)*(Budgets!$B$2:$B$200&lt;=$A14)),Budgets!$C$2:$C$200),0))</f>
        <v/>
      </c>
      <c r="AP14" s="88">
        <f>IF(OR(AP$1="",$BE14=0),"",IFERROR(LOOKUP(2,1/((Budgets!$A$2:$A$200=AP$1)*(Budgets!$B$2:$B$200&lt;=$A14)),Budgets!$C$2:$C$200),0))</f>
        <v/>
      </c>
      <c r="AQ14" s="88">
        <f>IF(OR(AQ$1="",$BE14=0),"",IFERROR(LOOKUP(2,1/((Budgets!$A$2:$A$200=AQ$1)*(Budgets!$B$2:$B$200&lt;=$A14)),Budgets!$C$2:$C$200),0))</f>
        <v/>
      </c>
      <c r="AR14" s="88">
        <f>IF(OR(AR$1="",$BE14=0),"",IFERROR(LOOKUP(2,1/((Budgets!$A$2:$A$200=AR$1)*(Budgets!$B$2:$B$200&lt;=$A14)),Budgets!$C$2:$C$200),0))</f>
        <v/>
      </c>
      <c r="AS14" s="88">
        <f>IF(OR(AS$1="",$BE14=0),"",IFERROR(LOOKUP(2,1/((Budgets!$A$2:$A$200=AS$1)*(Budgets!$B$2:$B$200&lt;=$A14)),Budgets!$C$2:$C$200),0))</f>
        <v/>
      </c>
      <c r="AT14" s="88">
        <f>IF(OR(AT$1="",$BE14=0),"",IFERROR(LOOKUP(2,1/((Budgets!$A$2:$A$200=AT$1)*(Budgets!$B$2:$B$200&lt;=$A14)),Budgets!$C$2:$C$200),0))</f>
        <v/>
      </c>
      <c r="AU14" s="88">
        <f>IF(OR(AU$1="",$BE14=0),"",IFERROR(LOOKUP(2,1/((Budgets!$A$2:$A$200=AU$1)*(Budgets!$B$2:$B$200&lt;=$A14)),Budgets!$C$2:$C$200),0))</f>
        <v/>
      </c>
      <c r="AV14" s="88">
        <f>IF(OR(AV$1="",$BE14=0),"",IFERROR(LOOKUP(2,1/((Budgets!$A$2:$A$200=AV$1)*(Budgets!$B$2:$B$200&lt;=$A14)),Budgets!$C$2:$C$200),0))</f>
        <v/>
      </c>
      <c r="AW14" s="88">
        <f>IF(OR(AW$1="",$BE14=0),"",IFERROR(LOOKUP(2,1/((Budgets!$A$2:$A$200=AW$1)*(Budgets!$B$2:$B$200&lt;=$A14)),Budgets!$C$2:$C$200),0))</f>
        <v/>
      </c>
      <c r="AX14" s="88">
        <f>IF(OR(AX$1="",$BE14=0),"",IFERROR(LOOKUP(2,1/((Budgets!$A$2:$A$200=AX$1)*(Budgets!$B$2:$B$200&lt;=$A14)),Budgets!$C$2:$C$200),0))</f>
        <v/>
      </c>
      <c r="AY14" s="88">
        <f>IF(OR(AY$1="",$BE14=0),"",IFERROR(LOOKUP(2,1/((Budgets!$A$2:$A$200=AY$1)*(Budgets!$B$2:$B$200&lt;=$A14)),Budgets!$C$2:$C$200),0))</f>
        <v/>
      </c>
      <c r="AZ14" s="88">
        <f>IF(OR(AZ$1="",$BE14=0),"",IFERROR(LOOKUP(2,1/((Budgets!$A$2:$A$200=AZ$1)*(Budgets!$B$2:$B$200&lt;=$A14)),Budgets!$C$2:$C$200),0))</f>
        <v/>
      </c>
      <c r="BA14" s="88">
        <f>IF(OR(BA$1="",$BE14=0),"",IFERROR(LOOKUP(2,1/((Budgets!$A$2:$A$200=BA$1)*(Budgets!$B$2:$B$200&lt;=$A14)),Budgets!$C$2:$C$200),0))</f>
        <v/>
      </c>
      <c r="BB14" s="88">
        <f>IF(OR(BB$1="",$BE14=0),"",IFERROR(LOOKUP(2,1/((Budgets!$A$2:$A$200=BB$1)*(Budgets!$B$2:$B$200&lt;=$A14)),Budgets!$C$2:$C$200),0))</f>
        <v/>
      </c>
      <c r="BC14" s="88">
        <f>IF(OR(BC$1="",$BE14=0),"",IFERROR(LOOKUP(2,1/((Budgets!$A$2:$A$200=BC$1)*(Budgets!$B$2:$B$200&lt;=$A14)),Budgets!$C$2:$C$200),0))</f>
        <v/>
      </c>
      <c r="BE14" s="67">
        <f>COUNTIFS(Entries!$A$2:$A$5000,$A14)</f>
        <v/>
      </c>
    </row>
    <row r="15" ht="15" customHeight="1" s="43">
      <c r="A15" s="87" t="n">
        <v>39845</v>
      </c>
      <c r="B15" s="88">
        <f>IF($BE15=0,NA(),SUMIFS(Entries!$D$2:$D$5000,Entries!$C$2:$C$5000,"Income",Entries!$A$2:$A$5000,$A15))</f>
        <v/>
      </c>
      <c r="C15" s="88">
        <f>IF($BE15=0,"",SUMIFS(Entries!$D$2:$D$5000,Entries!$C$2:$C$5000,"Actual",Entries!$A$2:$A$5000,$A15))</f>
        <v/>
      </c>
      <c r="D15" s="88">
        <f>IF($BE15=0,"",SUMIFS(Entries!$D$2:$D$5000,Entries!$C$2:$C$5000,"One-off",Entries!$A$2:$A$5000,$A15))</f>
        <v/>
      </c>
      <c r="E15" s="88">
        <f>IF($BE15=0,NA(),C15+D15)</f>
        <v/>
      </c>
      <c r="F15" s="88">
        <f>IF($BE15=0,"",SUM(AJ15:BC15))</f>
        <v/>
      </c>
      <c r="G15" s="88">
        <f>IF($BE15=0,"",B15-E15)</f>
        <v/>
      </c>
      <c r="H15" s="88">
        <f>IF($BE15=0,"",SUM($G$2:G15))</f>
        <v/>
      </c>
      <c r="I15" s="88">
        <f>IF($BE15=0,"",SUMIFS(Entries!$F$2:$F$5000,Entries!$A$2:$A$5000,$A15))</f>
        <v/>
      </c>
      <c r="J15" s="88">
        <f>IF($BE15=0,NA(),H15+SUM($I$2:I15))</f>
        <v/>
      </c>
      <c r="K15" s="88">
        <f>IF($BE15=0,"",SUMIFS(Entries!$D$2:$D$5000,Entries!$C$2:$C$5000,"Income",Entries!$A$2:$A$5000,"&gt;="&amp;EDATE($A15,-11),Entries!$A$2:$A$5000,"&lt;="&amp;$A15)/12)</f>
        <v/>
      </c>
      <c r="L15" s="88">
        <f>IF($BE15=0,"",(SUMIFS(Entries!$D$2:$D$5000,Entries!$C$2:$C$5000,"Actual",Entries!$A$2:$A$5000,"&gt;="&amp;EDATE($A15,-11),Entries!$A$2:$A$5000,"&lt;="&amp;$A15)+SUMIFS(Entries!$D$2:$D$5000,Entries!$C$2:$C$5000,"One-off",Entries!$A$2:$A$5000,"&gt;="&amp;EDATE($A15,-11),Entries!$A$2:$A$5000,"&lt;="&amp;$A15))/12)</f>
        <v/>
      </c>
      <c r="M15" s="70">
        <f>IF($BE15=0,NA(),IFERROR((K15-L15)/K15,0))</f>
        <v/>
      </c>
      <c r="O15" s="88">
        <f>IF(OR(O$1="",$BE15=0),"",SUMIFS(Entries!$D$2:$D$5000,Entries!$C$2:$C$5000,"Actual",Entries!$A$2:$A$5000,$A15,Entries!$B$2:$B$5000,O$1))</f>
        <v/>
      </c>
      <c r="P15" s="88">
        <f>IF(OR(P$1="",$BE15=0),"",SUMIFS(Entries!$D$2:$D$5000,Entries!$C$2:$C$5000,"Actual",Entries!$A$2:$A$5000,$A15,Entries!$B$2:$B$5000,P$1))</f>
        <v/>
      </c>
      <c r="Q15" s="88">
        <f>IF(OR(Q$1="",$BE15=0),"",SUMIFS(Entries!$D$2:$D$5000,Entries!$C$2:$C$5000,"Actual",Entries!$A$2:$A$5000,$A15,Entries!$B$2:$B$5000,Q$1))</f>
        <v/>
      </c>
      <c r="R15" s="88">
        <f>IF(OR(R$1="",$BE15=0),"",SUMIFS(Entries!$D$2:$D$5000,Entries!$C$2:$C$5000,"Actual",Entries!$A$2:$A$5000,$A15,Entries!$B$2:$B$5000,R$1))</f>
        <v/>
      </c>
      <c r="S15" s="88">
        <f>IF(OR(S$1="",$BE15=0),"",SUMIFS(Entries!$D$2:$D$5000,Entries!$C$2:$C$5000,"Actual",Entries!$A$2:$A$5000,$A15,Entries!$B$2:$B$5000,S$1))</f>
        <v/>
      </c>
      <c r="T15" s="88">
        <f>IF(OR(T$1="",$BE15=0),"",SUMIFS(Entries!$D$2:$D$5000,Entries!$C$2:$C$5000,"Actual",Entries!$A$2:$A$5000,$A15,Entries!$B$2:$B$5000,T$1))</f>
        <v/>
      </c>
      <c r="U15" s="88">
        <f>IF(OR(U$1="",$BE15=0),"",SUMIFS(Entries!$D$2:$D$5000,Entries!$C$2:$C$5000,"Actual",Entries!$A$2:$A$5000,$A15,Entries!$B$2:$B$5000,U$1))</f>
        <v/>
      </c>
      <c r="V15" s="88">
        <f>IF(OR(V$1="",$BE15=0),"",SUMIFS(Entries!$D$2:$D$5000,Entries!$C$2:$C$5000,"Actual",Entries!$A$2:$A$5000,$A15,Entries!$B$2:$B$5000,V$1))</f>
        <v/>
      </c>
      <c r="W15" s="88">
        <f>IF(OR(W$1="",$BE15=0),"",SUMIFS(Entries!$D$2:$D$5000,Entries!$C$2:$C$5000,"Actual",Entries!$A$2:$A$5000,$A15,Entries!$B$2:$B$5000,W$1))</f>
        <v/>
      </c>
      <c r="X15" s="88">
        <f>IF(OR(X$1="",$BE15=0),"",SUMIFS(Entries!$D$2:$D$5000,Entries!$C$2:$C$5000,"Actual",Entries!$A$2:$A$5000,$A15,Entries!$B$2:$B$5000,X$1))</f>
        <v/>
      </c>
      <c r="Y15" s="88">
        <f>IF(OR(Y$1="",$BE15=0),"",SUMIFS(Entries!$D$2:$D$5000,Entries!$C$2:$C$5000,"Actual",Entries!$A$2:$A$5000,$A15,Entries!$B$2:$B$5000,Y$1))</f>
        <v/>
      </c>
      <c r="Z15" s="88">
        <f>IF(OR(Z$1="",$BE15=0),"",SUMIFS(Entries!$D$2:$D$5000,Entries!$C$2:$C$5000,"Actual",Entries!$A$2:$A$5000,$A15,Entries!$B$2:$B$5000,Z$1))</f>
        <v/>
      </c>
      <c r="AA15" s="88">
        <f>IF(OR(AA$1="",$BE15=0),"",SUMIFS(Entries!$D$2:$D$5000,Entries!$C$2:$C$5000,"Actual",Entries!$A$2:$A$5000,$A15,Entries!$B$2:$B$5000,AA$1))</f>
        <v/>
      </c>
      <c r="AB15" s="88">
        <f>IF(OR(AB$1="",$BE15=0),"",SUMIFS(Entries!$D$2:$D$5000,Entries!$C$2:$C$5000,"Actual",Entries!$A$2:$A$5000,$A15,Entries!$B$2:$B$5000,AB$1))</f>
        <v/>
      </c>
      <c r="AC15" s="88">
        <f>IF(OR(AC$1="",$BE15=0),"",SUMIFS(Entries!$D$2:$D$5000,Entries!$C$2:$C$5000,"Actual",Entries!$A$2:$A$5000,$A15,Entries!$B$2:$B$5000,AC$1))</f>
        <v/>
      </c>
      <c r="AD15" s="88">
        <f>IF(OR(AD$1="",$BE15=0),"",SUMIFS(Entries!$D$2:$D$5000,Entries!$C$2:$C$5000,"Actual",Entries!$A$2:$A$5000,$A15,Entries!$B$2:$B$5000,AD$1))</f>
        <v/>
      </c>
      <c r="AE15" s="88">
        <f>IF(OR(AE$1="",$BE15=0),"",SUMIFS(Entries!$D$2:$D$5000,Entries!$C$2:$C$5000,"Actual",Entries!$A$2:$A$5000,$A15,Entries!$B$2:$B$5000,AE$1))</f>
        <v/>
      </c>
      <c r="AF15" s="88">
        <f>IF(OR(AF$1="",$BE15=0),"",SUMIFS(Entries!$D$2:$D$5000,Entries!$C$2:$C$5000,"Actual",Entries!$A$2:$A$5000,$A15,Entries!$B$2:$B$5000,AF$1))</f>
        <v/>
      </c>
      <c r="AG15" s="88">
        <f>IF(OR(AG$1="",$BE15=0),"",SUMIFS(Entries!$D$2:$D$5000,Entries!$C$2:$C$5000,"Actual",Entries!$A$2:$A$5000,$A15,Entries!$B$2:$B$5000,AG$1))</f>
        <v/>
      </c>
      <c r="AH15" s="88">
        <f>IF(OR(AH$1="",$BE15=0),"",SUMIFS(Entries!$D$2:$D$5000,Entries!$C$2:$C$5000,"Actual",Entries!$A$2:$A$5000,$A15,Entries!$B$2:$B$5000,AH$1))</f>
        <v/>
      </c>
      <c r="AJ15" s="88">
        <f>IF(OR(AJ$1="",$BE15=0),"",IFERROR(LOOKUP(2,1/((Budgets!$A$2:$A$200=AJ$1)*(Budgets!$B$2:$B$200&lt;=$A15)),Budgets!$C$2:$C$200),0))</f>
        <v/>
      </c>
      <c r="AK15" s="88">
        <f>IF(OR(AK$1="",$BE15=0),"",IFERROR(LOOKUP(2,1/((Budgets!$A$2:$A$200=AK$1)*(Budgets!$B$2:$B$200&lt;=$A15)),Budgets!$C$2:$C$200),0))</f>
        <v/>
      </c>
      <c r="AL15" s="88">
        <f>IF(OR(AL$1="",$BE15=0),"",IFERROR(LOOKUP(2,1/((Budgets!$A$2:$A$200=AL$1)*(Budgets!$B$2:$B$200&lt;=$A15)),Budgets!$C$2:$C$200),0))</f>
        <v/>
      </c>
      <c r="AM15" s="88">
        <f>IF(OR(AM$1="",$BE15=0),"",IFERROR(LOOKUP(2,1/((Budgets!$A$2:$A$200=AM$1)*(Budgets!$B$2:$B$200&lt;=$A15)),Budgets!$C$2:$C$200),0))</f>
        <v/>
      </c>
      <c r="AN15" s="88">
        <f>IF(OR(AN$1="",$BE15=0),"",IFERROR(LOOKUP(2,1/((Budgets!$A$2:$A$200=AN$1)*(Budgets!$B$2:$B$200&lt;=$A15)),Budgets!$C$2:$C$200),0))</f>
        <v/>
      </c>
      <c r="AO15" s="88">
        <f>IF(OR(AO$1="",$BE15=0),"",IFERROR(LOOKUP(2,1/((Budgets!$A$2:$A$200=AO$1)*(Budgets!$B$2:$B$200&lt;=$A15)),Budgets!$C$2:$C$200),0))</f>
        <v/>
      </c>
      <c r="AP15" s="88">
        <f>IF(OR(AP$1="",$BE15=0),"",IFERROR(LOOKUP(2,1/((Budgets!$A$2:$A$200=AP$1)*(Budgets!$B$2:$B$200&lt;=$A15)),Budgets!$C$2:$C$200),0))</f>
        <v/>
      </c>
      <c r="AQ15" s="88">
        <f>IF(OR(AQ$1="",$BE15=0),"",IFERROR(LOOKUP(2,1/((Budgets!$A$2:$A$200=AQ$1)*(Budgets!$B$2:$B$200&lt;=$A15)),Budgets!$C$2:$C$200),0))</f>
        <v/>
      </c>
      <c r="AR15" s="88">
        <f>IF(OR(AR$1="",$BE15=0),"",IFERROR(LOOKUP(2,1/((Budgets!$A$2:$A$200=AR$1)*(Budgets!$B$2:$B$200&lt;=$A15)),Budgets!$C$2:$C$200),0))</f>
        <v/>
      </c>
      <c r="AS15" s="88">
        <f>IF(OR(AS$1="",$BE15=0),"",IFERROR(LOOKUP(2,1/((Budgets!$A$2:$A$200=AS$1)*(Budgets!$B$2:$B$200&lt;=$A15)),Budgets!$C$2:$C$200),0))</f>
        <v/>
      </c>
      <c r="AT15" s="88">
        <f>IF(OR(AT$1="",$BE15=0),"",IFERROR(LOOKUP(2,1/((Budgets!$A$2:$A$200=AT$1)*(Budgets!$B$2:$B$200&lt;=$A15)),Budgets!$C$2:$C$200),0))</f>
        <v/>
      </c>
      <c r="AU15" s="88">
        <f>IF(OR(AU$1="",$BE15=0),"",IFERROR(LOOKUP(2,1/((Budgets!$A$2:$A$200=AU$1)*(Budgets!$B$2:$B$200&lt;=$A15)),Budgets!$C$2:$C$200),0))</f>
        <v/>
      </c>
      <c r="AV15" s="88">
        <f>IF(OR(AV$1="",$BE15=0),"",IFERROR(LOOKUP(2,1/((Budgets!$A$2:$A$200=AV$1)*(Budgets!$B$2:$B$200&lt;=$A15)),Budgets!$C$2:$C$200),0))</f>
        <v/>
      </c>
      <c r="AW15" s="88">
        <f>IF(OR(AW$1="",$BE15=0),"",IFERROR(LOOKUP(2,1/((Budgets!$A$2:$A$200=AW$1)*(Budgets!$B$2:$B$200&lt;=$A15)),Budgets!$C$2:$C$200),0))</f>
        <v/>
      </c>
      <c r="AX15" s="88">
        <f>IF(OR(AX$1="",$BE15=0),"",IFERROR(LOOKUP(2,1/((Budgets!$A$2:$A$200=AX$1)*(Budgets!$B$2:$B$200&lt;=$A15)),Budgets!$C$2:$C$200),0))</f>
        <v/>
      </c>
      <c r="AY15" s="88">
        <f>IF(OR(AY$1="",$BE15=0),"",IFERROR(LOOKUP(2,1/((Budgets!$A$2:$A$200=AY$1)*(Budgets!$B$2:$B$200&lt;=$A15)),Budgets!$C$2:$C$200),0))</f>
        <v/>
      </c>
      <c r="AZ15" s="88">
        <f>IF(OR(AZ$1="",$BE15=0),"",IFERROR(LOOKUP(2,1/((Budgets!$A$2:$A$200=AZ$1)*(Budgets!$B$2:$B$200&lt;=$A15)),Budgets!$C$2:$C$200),0))</f>
        <v/>
      </c>
      <c r="BA15" s="88">
        <f>IF(OR(BA$1="",$BE15=0),"",IFERROR(LOOKUP(2,1/((Budgets!$A$2:$A$200=BA$1)*(Budgets!$B$2:$B$200&lt;=$A15)),Budgets!$C$2:$C$200),0))</f>
        <v/>
      </c>
      <c r="BB15" s="88">
        <f>IF(OR(BB$1="",$BE15=0),"",IFERROR(LOOKUP(2,1/((Budgets!$A$2:$A$200=BB$1)*(Budgets!$B$2:$B$200&lt;=$A15)),Budgets!$C$2:$C$200),0))</f>
        <v/>
      </c>
      <c r="BC15" s="88">
        <f>IF(OR(BC$1="",$BE15=0),"",IFERROR(LOOKUP(2,1/((Budgets!$A$2:$A$200=BC$1)*(Budgets!$B$2:$B$200&lt;=$A15)),Budgets!$C$2:$C$200),0))</f>
        <v/>
      </c>
      <c r="BE15" s="67">
        <f>COUNTIFS(Entries!$A$2:$A$5000,$A15)</f>
        <v/>
      </c>
    </row>
    <row r="16" ht="15" customHeight="1" s="43">
      <c r="A16" s="87" t="n">
        <v>39873</v>
      </c>
      <c r="B16" s="88">
        <f>IF($BE16=0,NA(),SUMIFS(Entries!$D$2:$D$5000,Entries!$C$2:$C$5000,"Income",Entries!$A$2:$A$5000,$A16))</f>
        <v/>
      </c>
      <c r="C16" s="88">
        <f>IF($BE16=0,"",SUMIFS(Entries!$D$2:$D$5000,Entries!$C$2:$C$5000,"Actual",Entries!$A$2:$A$5000,$A16))</f>
        <v/>
      </c>
      <c r="D16" s="88">
        <f>IF($BE16=0,"",SUMIFS(Entries!$D$2:$D$5000,Entries!$C$2:$C$5000,"One-off",Entries!$A$2:$A$5000,$A16))</f>
        <v/>
      </c>
      <c r="E16" s="88">
        <f>IF($BE16=0,NA(),C16+D16)</f>
        <v/>
      </c>
      <c r="F16" s="88">
        <f>IF($BE16=0,"",SUM(AJ16:BC16))</f>
        <v/>
      </c>
      <c r="G16" s="88">
        <f>IF($BE16=0,"",B16-E16)</f>
        <v/>
      </c>
      <c r="H16" s="88">
        <f>IF($BE16=0,"",SUM($G$2:G16))</f>
        <v/>
      </c>
      <c r="I16" s="88">
        <f>IF($BE16=0,"",SUMIFS(Entries!$F$2:$F$5000,Entries!$A$2:$A$5000,$A16))</f>
        <v/>
      </c>
      <c r="J16" s="88">
        <f>IF($BE16=0,NA(),H16+SUM($I$2:I16))</f>
        <v/>
      </c>
      <c r="K16" s="88">
        <f>IF($BE16=0,"",SUMIFS(Entries!$D$2:$D$5000,Entries!$C$2:$C$5000,"Income",Entries!$A$2:$A$5000,"&gt;="&amp;EDATE($A16,-11),Entries!$A$2:$A$5000,"&lt;="&amp;$A16)/12)</f>
        <v/>
      </c>
      <c r="L16" s="88">
        <f>IF($BE16=0,"",(SUMIFS(Entries!$D$2:$D$5000,Entries!$C$2:$C$5000,"Actual",Entries!$A$2:$A$5000,"&gt;="&amp;EDATE($A16,-11),Entries!$A$2:$A$5000,"&lt;="&amp;$A16)+SUMIFS(Entries!$D$2:$D$5000,Entries!$C$2:$C$5000,"One-off",Entries!$A$2:$A$5000,"&gt;="&amp;EDATE($A16,-11),Entries!$A$2:$A$5000,"&lt;="&amp;$A16))/12)</f>
        <v/>
      </c>
      <c r="M16" s="70">
        <f>IF($BE16=0,NA(),IFERROR((K16-L16)/K16,0))</f>
        <v/>
      </c>
      <c r="O16" s="88">
        <f>IF(OR(O$1="",$BE16=0),"",SUMIFS(Entries!$D$2:$D$5000,Entries!$C$2:$C$5000,"Actual",Entries!$A$2:$A$5000,$A16,Entries!$B$2:$B$5000,O$1))</f>
        <v/>
      </c>
      <c r="P16" s="88">
        <f>IF(OR(P$1="",$BE16=0),"",SUMIFS(Entries!$D$2:$D$5000,Entries!$C$2:$C$5000,"Actual",Entries!$A$2:$A$5000,$A16,Entries!$B$2:$B$5000,P$1))</f>
        <v/>
      </c>
      <c r="Q16" s="88">
        <f>IF(OR(Q$1="",$BE16=0),"",SUMIFS(Entries!$D$2:$D$5000,Entries!$C$2:$C$5000,"Actual",Entries!$A$2:$A$5000,$A16,Entries!$B$2:$B$5000,Q$1))</f>
        <v/>
      </c>
      <c r="R16" s="88">
        <f>IF(OR(R$1="",$BE16=0),"",SUMIFS(Entries!$D$2:$D$5000,Entries!$C$2:$C$5000,"Actual",Entries!$A$2:$A$5000,$A16,Entries!$B$2:$B$5000,R$1))</f>
        <v/>
      </c>
      <c r="S16" s="88">
        <f>IF(OR(S$1="",$BE16=0),"",SUMIFS(Entries!$D$2:$D$5000,Entries!$C$2:$C$5000,"Actual",Entries!$A$2:$A$5000,$A16,Entries!$B$2:$B$5000,S$1))</f>
        <v/>
      </c>
      <c r="T16" s="88">
        <f>IF(OR(T$1="",$BE16=0),"",SUMIFS(Entries!$D$2:$D$5000,Entries!$C$2:$C$5000,"Actual",Entries!$A$2:$A$5000,$A16,Entries!$B$2:$B$5000,T$1))</f>
        <v/>
      </c>
      <c r="U16" s="88">
        <f>IF(OR(U$1="",$BE16=0),"",SUMIFS(Entries!$D$2:$D$5000,Entries!$C$2:$C$5000,"Actual",Entries!$A$2:$A$5000,$A16,Entries!$B$2:$B$5000,U$1))</f>
        <v/>
      </c>
      <c r="V16" s="88">
        <f>IF(OR(V$1="",$BE16=0),"",SUMIFS(Entries!$D$2:$D$5000,Entries!$C$2:$C$5000,"Actual",Entries!$A$2:$A$5000,$A16,Entries!$B$2:$B$5000,V$1))</f>
        <v/>
      </c>
      <c r="W16" s="88">
        <f>IF(OR(W$1="",$BE16=0),"",SUMIFS(Entries!$D$2:$D$5000,Entries!$C$2:$C$5000,"Actual",Entries!$A$2:$A$5000,$A16,Entries!$B$2:$B$5000,W$1))</f>
        <v/>
      </c>
      <c r="X16" s="88">
        <f>IF(OR(X$1="",$BE16=0),"",SUMIFS(Entries!$D$2:$D$5000,Entries!$C$2:$C$5000,"Actual",Entries!$A$2:$A$5000,$A16,Entries!$B$2:$B$5000,X$1))</f>
        <v/>
      </c>
      <c r="Y16" s="88">
        <f>IF(OR(Y$1="",$BE16=0),"",SUMIFS(Entries!$D$2:$D$5000,Entries!$C$2:$C$5000,"Actual",Entries!$A$2:$A$5000,$A16,Entries!$B$2:$B$5000,Y$1))</f>
        <v/>
      </c>
      <c r="Z16" s="88">
        <f>IF(OR(Z$1="",$BE16=0),"",SUMIFS(Entries!$D$2:$D$5000,Entries!$C$2:$C$5000,"Actual",Entries!$A$2:$A$5000,$A16,Entries!$B$2:$B$5000,Z$1))</f>
        <v/>
      </c>
      <c r="AA16" s="88">
        <f>IF(OR(AA$1="",$BE16=0),"",SUMIFS(Entries!$D$2:$D$5000,Entries!$C$2:$C$5000,"Actual",Entries!$A$2:$A$5000,$A16,Entries!$B$2:$B$5000,AA$1))</f>
        <v/>
      </c>
      <c r="AB16" s="88">
        <f>IF(OR(AB$1="",$BE16=0),"",SUMIFS(Entries!$D$2:$D$5000,Entries!$C$2:$C$5000,"Actual",Entries!$A$2:$A$5000,$A16,Entries!$B$2:$B$5000,AB$1))</f>
        <v/>
      </c>
      <c r="AC16" s="88">
        <f>IF(OR(AC$1="",$BE16=0),"",SUMIFS(Entries!$D$2:$D$5000,Entries!$C$2:$C$5000,"Actual",Entries!$A$2:$A$5000,$A16,Entries!$B$2:$B$5000,AC$1))</f>
        <v/>
      </c>
      <c r="AD16" s="88">
        <f>IF(OR(AD$1="",$BE16=0),"",SUMIFS(Entries!$D$2:$D$5000,Entries!$C$2:$C$5000,"Actual",Entries!$A$2:$A$5000,$A16,Entries!$B$2:$B$5000,AD$1))</f>
        <v/>
      </c>
      <c r="AE16" s="88">
        <f>IF(OR(AE$1="",$BE16=0),"",SUMIFS(Entries!$D$2:$D$5000,Entries!$C$2:$C$5000,"Actual",Entries!$A$2:$A$5000,$A16,Entries!$B$2:$B$5000,AE$1))</f>
        <v/>
      </c>
      <c r="AF16" s="88">
        <f>IF(OR(AF$1="",$BE16=0),"",SUMIFS(Entries!$D$2:$D$5000,Entries!$C$2:$C$5000,"Actual",Entries!$A$2:$A$5000,$A16,Entries!$B$2:$B$5000,AF$1))</f>
        <v/>
      </c>
      <c r="AG16" s="88">
        <f>IF(OR(AG$1="",$BE16=0),"",SUMIFS(Entries!$D$2:$D$5000,Entries!$C$2:$C$5000,"Actual",Entries!$A$2:$A$5000,$A16,Entries!$B$2:$B$5000,AG$1))</f>
        <v/>
      </c>
      <c r="AH16" s="88">
        <f>IF(OR(AH$1="",$BE16=0),"",SUMIFS(Entries!$D$2:$D$5000,Entries!$C$2:$C$5000,"Actual",Entries!$A$2:$A$5000,$A16,Entries!$B$2:$B$5000,AH$1))</f>
        <v/>
      </c>
      <c r="AJ16" s="88">
        <f>IF(OR(AJ$1="",$BE16=0),"",IFERROR(LOOKUP(2,1/((Budgets!$A$2:$A$200=AJ$1)*(Budgets!$B$2:$B$200&lt;=$A16)),Budgets!$C$2:$C$200),0))</f>
        <v/>
      </c>
      <c r="AK16" s="88">
        <f>IF(OR(AK$1="",$BE16=0),"",IFERROR(LOOKUP(2,1/((Budgets!$A$2:$A$200=AK$1)*(Budgets!$B$2:$B$200&lt;=$A16)),Budgets!$C$2:$C$200),0))</f>
        <v/>
      </c>
      <c r="AL16" s="88">
        <f>IF(OR(AL$1="",$BE16=0),"",IFERROR(LOOKUP(2,1/((Budgets!$A$2:$A$200=AL$1)*(Budgets!$B$2:$B$200&lt;=$A16)),Budgets!$C$2:$C$200),0))</f>
        <v/>
      </c>
      <c r="AM16" s="88">
        <f>IF(OR(AM$1="",$BE16=0),"",IFERROR(LOOKUP(2,1/((Budgets!$A$2:$A$200=AM$1)*(Budgets!$B$2:$B$200&lt;=$A16)),Budgets!$C$2:$C$200),0))</f>
        <v/>
      </c>
      <c r="AN16" s="88">
        <f>IF(OR(AN$1="",$BE16=0),"",IFERROR(LOOKUP(2,1/((Budgets!$A$2:$A$200=AN$1)*(Budgets!$B$2:$B$200&lt;=$A16)),Budgets!$C$2:$C$200),0))</f>
        <v/>
      </c>
      <c r="AO16" s="88">
        <f>IF(OR(AO$1="",$BE16=0),"",IFERROR(LOOKUP(2,1/((Budgets!$A$2:$A$200=AO$1)*(Budgets!$B$2:$B$200&lt;=$A16)),Budgets!$C$2:$C$200),0))</f>
        <v/>
      </c>
      <c r="AP16" s="88">
        <f>IF(OR(AP$1="",$BE16=0),"",IFERROR(LOOKUP(2,1/((Budgets!$A$2:$A$200=AP$1)*(Budgets!$B$2:$B$200&lt;=$A16)),Budgets!$C$2:$C$200),0))</f>
        <v/>
      </c>
      <c r="AQ16" s="88">
        <f>IF(OR(AQ$1="",$BE16=0),"",IFERROR(LOOKUP(2,1/((Budgets!$A$2:$A$200=AQ$1)*(Budgets!$B$2:$B$200&lt;=$A16)),Budgets!$C$2:$C$200),0))</f>
        <v/>
      </c>
      <c r="AR16" s="88">
        <f>IF(OR(AR$1="",$BE16=0),"",IFERROR(LOOKUP(2,1/((Budgets!$A$2:$A$200=AR$1)*(Budgets!$B$2:$B$200&lt;=$A16)),Budgets!$C$2:$C$200),0))</f>
        <v/>
      </c>
      <c r="AS16" s="88">
        <f>IF(OR(AS$1="",$BE16=0),"",IFERROR(LOOKUP(2,1/((Budgets!$A$2:$A$200=AS$1)*(Budgets!$B$2:$B$200&lt;=$A16)),Budgets!$C$2:$C$200),0))</f>
        <v/>
      </c>
      <c r="AT16" s="88">
        <f>IF(OR(AT$1="",$BE16=0),"",IFERROR(LOOKUP(2,1/((Budgets!$A$2:$A$200=AT$1)*(Budgets!$B$2:$B$200&lt;=$A16)),Budgets!$C$2:$C$200),0))</f>
        <v/>
      </c>
      <c r="AU16" s="88">
        <f>IF(OR(AU$1="",$BE16=0),"",IFERROR(LOOKUP(2,1/((Budgets!$A$2:$A$200=AU$1)*(Budgets!$B$2:$B$200&lt;=$A16)),Budgets!$C$2:$C$200),0))</f>
        <v/>
      </c>
      <c r="AV16" s="88">
        <f>IF(OR(AV$1="",$BE16=0),"",IFERROR(LOOKUP(2,1/((Budgets!$A$2:$A$200=AV$1)*(Budgets!$B$2:$B$200&lt;=$A16)),Budgets!$C$2:$C$200),0))</f>
        <v/>
      </c>
      <c r="AW16" s="88">
        <f>IF(OR(AW$1="",$BE16=0),"",IFERROR(LOOKUP(2,1/((Budgets!$A$2:$A$200=AW$1)*(Budgets!$B$2:$B$200&lt;=$A16)),Budgets!$C$2:$C$200),0))</f>
        <v/>
      </c>
      <c r="AX16" s="88">
        <f>IF(OR(AX$1="",$BE16=0),"",IFERROR(LOOKUP(2,1/((Budgets!$A$2:$A$200=AX$1)*(Budgets!$B$2:$B$200&lt;=$A16)),Budgets!$C$2:$C$200),0))</f>
        <v/>
      </c>
      <c r="AY16" s="88">
        <f>IF(OR(AY$1="",$BE16=0),"",IFERROR(LOOKUP(2,1/((Budgets!$A$2:$A$200=AY$1)*(Budgets!$B$2:$B$200&lt;=$A16)),Budgets!$C$2:$C$200),0))</f>
        <v/>
      </c>
      <c r="AZ16" s="88">
        <f>IF(OR(AZ$1="",$BE16=0),"",IFERROR(LOOKUP(2,1/((Budgets!$A$2:$A$200=AZ$1)*(Budgets!$B$2:$B$200&lt;=$A16)),Budgets!$C$2:$C$200),0))</f>
        <v/>
      </c>
      <c r="BA16" s="88">
        <f>IF(OR(BA$1="",$BE16=0),"",IFERROR(LOOKUP(2,1/((Budgets!$A$2:$A$200=BA$1)*(Budgets!$B$2:$B$200&lt;=$A16)),Budgets!$C$2:$C$200),0))</f>
        <v/>
      </c>
      <c r="BB16" s="88">
        <f>IF(OR(BB$1="",$BE16=0),"",IFERROR(LOOKUP(2,1/((Budgets!$A$2:$A$200=BB$1)*(Budgets!$B$2:$B$200&lt;=$A16)),Budgets!$C$2:$C$200),0))</f>
        <v/>
      </c>
      <c r="BC16" s="88">
        <f>IF(OR(BC$1="",$BE16=0),"",IFERROR(LOOKUP(2,1/((Budgets!$A$2:$A$200=BC$1)*(Budgets!$B$2:$B$200&lt;=$A16)),Budgets!$C$2:$C$200),0))</f>
        <v/>
      </c>
      <c r="BE16" s="67">
        <f>COUNTIFS(Entries!$A$2:$A$5000,$A16)</f>
        <v/>
      </c>
    </row>
    <row r="17" ht="15" customHeight="1" s="43">
      <c r="A17" s="87" t="n">
        <v>39904</v>
      </c>
      <c r="B17" s="88">
        <f>IF($BE17=0,NA(),SUMIFS(Entries!$D$2:$D$5000,Entries!$C$2:$C$5000,"Income",Entries!$A$2:$A$5000,$A17))</f>
        <v/>
      </c>
      <c r="C17" s="88">
        <f>IF($BE17=0,"",SUMIFS(Entries!$D$2:$D$5000,Entries!$C$2:$C$5000,"Actual",Entries!$A$2:$A$5000,$A17))</f>
        <v/>
      </c>
      <c r="D17" s="88">
        <f>IF($BE17=0,"",SUMIFS(Entries!$D$2:$D$5000,Entries!$C$2:$C$5000,"One-off",Entries!$A$2:$A$5000,$A17))</f>
        <v/>
      </c>
      <c r="E17" s="88">
        <f>IF($BE17=0,NA(),C17+D17)</f>
        <v/>
      </c>
      <c r="F17" s="88">
        <f>IF($BE17=0,"",SUM(AJ17:BC17))</f>
        <v/>
      </c>
      <c r="G17" s="88">
        <f>IF($BE17=0,"",B17-E17)</f>
        <v/>
      </c>
      <c r="H17" s="88">
        <f>IF($BE17=0,"",SUM($G$2:G17))</f>
        <v/>
      </c>
      <c r="I17" s="88">
        <f>IF($BE17=0,"",SUMIFS(Entries!$F$2:$F$5000,Entries!$A$2:$A$5000,$A17))</f>
        <v/>
      </c>
      <c r="J17" s="88">
        <f>IF($BE17=0,NA(),H17+SUM($I$2:I17))</f>
        <v/>
      </c>
      <c r="K17" s="88">
        <f>IF($BE17=0,"",SUMIFS(Entries!$D$2:$D$5000,Entries!$C$2:$C$5000,"Income",Entries!$A$2:$A$5000,"&gt;="&amp;EDATE($A17,-11),Entries!$A$2:$A$5000,"&lt;="&amp;$A17)/12)</f>
        <v/>
      </c>
      <c r="L17" s="88">
        <f>IF($BE17=0,"",(SUMIFS(Entries!$D$2:$D$5000,Entries!$C$2:$C$5000,"Actual",Entries!$A$2:$A$5000,"&gt;="&amp;EDATE($A17,-11),Entries!$A$2:$A$5000,"&lt;="&amp;$A17)+SUMIFS(Entries!$D$2:$D$5000,Entries!$C$2:$C$5000,"One-off",Entries!$A$2:$A$5000,"&gt;="&amp;EDATE($A17,-11),Entries!$A$2:$A$5000,"&lt;="&amp;$A17))/12)</f>
        <v/>
      </c>
      <c r="M17" s="70">
        <f>IF($BE17=0,NA(),IFERROR((K17-L17)/K17,0))</f>
        <v/>
      </c>
      <c r="O17" s="88">
        <f>IF(OR(O$1="",$BE17=0),"",SUMIFS(Entries!$D$2:$D$5000,Entries!$C$2:$C$5000,"Actual",Entries!$A$2:$A$5000,$A17,Entries!$B$2:$B$5000,O$1))</f>
        <v/>
      </c>
      <c r="P17" s="88">
        <f>IF(OR(P$1="",$BE17=0),"",SUMIFS(Entries!$D$2:$D$5000,Entries!$C$2:$C$5000,"Actual",Entries!$A$2:$A$5000,$A17,Entries!$B$2:$B$5000,P$1))</f>
        <v/>
      </c>
      <c r="Q17" s="88">
        <f>IF(OR(Q$1="",$BE17=0),"",SUMIFS(Entries!$D$2:$D$5000,Entries!$C$2:$C$5000,"Actual",Entries!$A$2:$A$5000,$A17,Entries!$B$2:$B$5000,Q$1))</f>
        <v/>
      </c>
      <c r="R17" s="88">
        <f>IF(OR(R$1="",$BE17=0),"",SUMIFS(Entries!$D$2:$D$5000,Entries!$C$2:$C$5000,"Actual",Entries!$A$2:$A$5000,$A17,Entries!$B$2:$B$5000,R$1))</f>
        <v/>
      </c>
      <c r="S17" s="88">
        <f>IF(OR(S$1="",$BE17=0),"",SUMIFS(Entries!$D$2:$D$5000,Entries!$C$2:$C$5000,"Actual",Entries!$A$2:$A$5000,$A17,Entries!$B$2:$B$5000,S$1))</f>
        <v/>
      </c>
      <c r="T17" s="88">
        <f>IF(OR(T$1="",$BE17=0),"",SUMIFS(Entries!$D$2:$D$5000,Entries!$C$2:$C$5000,"Actual",Entries!$A$2:$A$5000,$A17,Entries!$B$2:$B$5000,T$1))</f>
        <v/>
      </c>
      <c r="U17" s="88">
        <f>IF(OR(U$1="",$BE17=0),"",SUMIFS(Entries!$D$2:$D$5000,Entries!$C$2:$C$5000,"Actual",Entries!$A$2:$A$5000,$A17,Entries!$B$2:$B$5000,U$1))</f>
        <v/>
      </c>
      <c r="V17" s="88">
        <f>IF(OR(V$1="",$BE17=0),"",SUMIFS(Entries!$D$2:$D$5000,Entries!$C$2:$C$5000,"Actual",Entries!$A$2:$A$5000,$A17,Entries!$B$2:$B$5000,V$1))</f>
        <v/>
      </c>
      <c r="W17" s="88">
        <f>IF(OR(W$1="",$BE17=0),"",SUMIFS(Entries!$D$2:$D$5000,Entries!$C$2:$C$5000,"Actual",Entries!$A$2:$A$5000,$A17,Entries!$B$2:$B$5000,W$1))</f>
        <v/>
      </c>
      <c r="X17" s="88">
        <f>IF(OR(X$1="",$BE17=0),"",SUMIFS(Entries!$D$2:$D$5000,Entries!$C$2:$C$5000,"Actual",Entries!$A$2:$A$5000,$A17,Entries!$B$2:$B$5000,X$1))</f>
        <v/>
      </c>
      <c r="Y17" s="88">
        <f>IF(OR(Y$1="",$BE17=0),"",SUMIFS(Entries!$D$2:$D$5000,Entries!$C$2:$C$5000,"Actual",Entries!$A$2:$A$5000,$A17,Entries!$B$2:$B$5000,Y$1))</f>
        <v/>
      </c>
      <c r="Z17" s="88">
        <f>IF(OR(Z$1="",$BE17=0),"",SUMIFS(Entries!$D$2:$D$5000,Entries!$C$2:$C$5000,"Actual",Entries!$A$2:$A$5000,$A17,Entries!$B$2:$B$5000,Z$1))</f>
        <v/>
      </c>
      <c r="AA17" s="88">
        <f>IF(OR(AA$1="",$BE17=0),"",SUMIFS(Entries!$D$2:$D$5000,Entries!$C$2:$C$5000,"Actual",Entries!$A$2:$A$5000,$A17,Entries!$B$2:$B$5000,AA$1))</f>
        <v/>
      </c>
      <c r="AB17" s="88">
        <f>IF(OR(AB$1="",$BE17=0),"",SUMIFS(Entries!$D$2:$D$5000,Entries!$C$2:$C$5000,"Actual",Entries!$A$2:$A$5000,$A17,Entries!$B$2:$B$5000,AB$1))</f>
        <v/>
      </c>
      <c r="AC17" s="88">
        <f>IF(OR(AC$1="",$BE17=0),"",SUMIFS(Entries!$D$2:$D$5000,Entries!$C$2:$C$5000,"Actual",Entries!$A$2:$A$5000,$A17,Entries!$B$2:$B$5000,AC$1))</f>
        <v/>
      </c>
      <c r="AD17" s="88">
        <f>IF(OR(AD$1="",$BE17=0),"",SUMIFS(Entries!$D$2:$D$5000,Entries!$C$2:$C$5000,"Actual",Entries!$A$2:$A$5000,$A17,Entries!$B$2:$B$5000,AD$1))</f>
        <v/>
      </c>
      <c r="AE17" s="88">
        <f>IF(OR(AE$1="",$BE17=0),"",SUMIFS(Entries!$D$2:$D$5000,Entries!$C$2:$C$5000,"Actual",Entries!$A$2:$A$5000,$A17,Entries!$B$2:$B$5000,AE$1))</f>
        <v/>
      </c>
      <c r="AF17" s="88">
        <f>IF(OR(AF$1="",$BE17=0),"",SUMIFS(Entries!$D$2:$D$5000,Entries!$C$2:$C$5000,"Actual",Entries!$A$2:$A$5000,$A17,Entries!$B$2:$B$5000,AF$1))</f>
        <v/>
      </c>
      <c r="AG17" s="88">
        <f>IF(OR(AG$1="",$BE17=0),"",SUMIFS(Entries!$D$2:$D$5000,Entries!$C$2:$C$5000,"Actual",Entries!$A$2:$A$5000,$A17,Entries!$B$2:$B$5000,AG$1))</f>
        <v/>
      </c>
      <c r="AH17" s="88">
        <f>IF(OR(AH$1="",$BE17=0),"",SUMIFS(Entries!$D$2:$D$5000,Entries!$C$2:$C$5000,"Actual",Entries!$A$2:$A$5000,$A17,Entries!$B$2:$B$5000,AH$1))</f>
        <v/>
      </c>
      <c r="AJ17" s="88">
        <f>IF(OR(AJ$1="",$BE17=0),"",IFERROR(LOOKUP(2,1/((Budgets!$A$2:$A$200=AJ$1)*(Budgets!$B$2:$B$200&lt;=$A17)),Budgets!$C$2:$C$200),0))</f>
        <v/>
      </c>
      <c r="AK17" s="88">
        <f>IF(OR(AK$1="",$BE17=0),"",IFERROR(LOOKUP(2,1/((Budgets!$A$2:$A$200=AK$1)*(Budgets!$B$2:$B$200&lt;=$A17)),Budgets!$C$2:$C$200),0))</f>
        <v/>
      </c>
      <c r="AL17" s="88">
        <f>IF(OR(AL$1="",$BE17=0),"",IFERROR(LOOKUP(2,1/((Budgets!$A$2:$A$200=AL$1)*(Budgets!$B$2:$B$200&lt;=$A17)),Budgets!$C$2:$C$200),0))</f>
        <v/>
      </c>
      <c r="AM17" s="88">
        <f>IF(OR(AM$1="",$BE17=0),"",IFERROR(LOOKUP(2,1/((Budgets!$A$2:$A$200=AM$1)*(Budgets!$B$2:$B$200&lt;=$A17)),Budgets!$C$2:$C$200),0))</f>
        <v/>
      </c>
      <c r="AN17" s="88">
        <f>IF(OR(AN$1="",$BE17=0),"",IFERROR(LOOKUP(2,1/((Budgets!$A$2:$A$200=AN$1)*(Budgets!$B$2:$B$200&lt;=$A17)),Budgets!$C$2:$C$200),0))</f>
        <v/>
      </c>
      <c r="AO17" s="88">
        <f>IF(OR(AO$1="",$BE17=0),"",IFERROR(LOOKUP(2,1/((Budgets!$A$2:$A$200=AO$1)*(Budgets!$B$2:$B$200&lt;=$A17)),Budgets!$C$2:$C$200),0))</f>
        <v/>
      </c>
      <c r="AP17" s="88">
        <f>IF(OR(AP$1="",$BE17=0),"",IFERROR(LOOKUP(2,1/((Budgets!$A$2:$A$200=AP$1)*(Budgets!$B$2:$B$200&lt;=$A17)),Budgets!$C$2:$C$200),0))</f>
        <v/>
      </c>
      <c r="AQ17" s="88">
        <f>IF(OR(AQ$1="",$BE17=0),"",IFERROR(LOOKUP(2,1/((Budgets!$A$2:$A$200=AQ$1)*(Budgets!$B$2:$B$200&lt;=$A17)),Budgets!$C$2:$C$200),0))</f>
        <v/>
      </c>
      <c r="AR17" s="88">
        <f>IF(OR(AR$1="",$BE17=0),"",IFERROR(LOOKUP(2,1/((Budgets!$A$2:$A$200=AR$1)*(Budgets!$B$2:$B$200&lt;=$A17)),Budgets!$C$2:$C$200),0))</f>
        <v/>
      </c>
      <c r="AS17" s="88">
        <f>IF(OR(AS$1="",$BE17=0),"",IFERROR(LOOKUP(2,1/((Budgets!$A$2:$A$200=AS$1)*(Budgets!$B$2:$B$200&lt;=$A17)),Budgets!$C$2:$C$200),0))</f>
        <v/>
      </c>
      <c r="AT17" s="88">
        <f>IF(OR(AT$1="",$BE17=0),"",IFERROR(LOOKUP(2,1/((Budgets!$A$2:$A$200=AT$1)*(Budgets!$B$2:$B$200&lt;=$A17)),Budgets!$C$2:$C$200),0))</f>
        <v/>
      </c>
      <c r="AU17" s="88">
        <f>IF(OR(AU$1="",$BE17=0),"",IFERROR(LOOKUP(2,1/((Budgets!$A$2:$A$200=AU$1)*(Budgets!$B$2:$B$200&lt;=$A17)),Budgets!$C$2:$C$200),0))</f>
        <v/>
      </c>
      <c r="AV17" s="88">
        <f>IF(OR(AV$1="",$BE17=0),"",IFERROR(LOOKUP(2,1/((Budgets!$A$2:$A$200=AV$1)*(Budgets!$B$2:$B$200&lt;=$A17)),Budgets!$C$2:$C$200),0))</f>
        <v/>
      </c>
      <c r="AW17" s="88">
        <f>IF(OR(AW$1="",$BE17=0),"",IFERROR(LOOKUP(2,1/((Budgets!$A$2:$A$200=AW$1)*(Budgets!$B$2:$B$200&lt;=$A17)),Budgets!$C$2:$C$200),0))</f>
        <v/>
      </c>
      <c r="AX17" s="88">
        <f>IF(OR(AX$1="",$BE17=0),"",IFERROR(LOOKUP(2,1/((Budgets!$A$2:$A$200=AX$1)*(Budgets!$B$2:$B$200&lt;=$A17)),Budgets!$C$2:$C$200),0))</f>
        <v/>
      </c>
      <c r="AY17" s="88">
        <f>IF(OR(AY$1="",$BE17=0),"",IFERROR(LOOKUP(2,1/((Budgets!$A$2:$A$200=AY$1)*(Budgets!$B$2:$B$200&lt;=$A17)),Budgets!$C$2:$C$200),0))</f>
        <v/>
      </c>
      <c r="AZ17" s="88">
        <f>IF(OR(AZ$1="",$BE17=0),"",IFERROR(LOOKUP(2,1/((Budgets!$A$2:$A$200=AZ$1)*(Budgets!$B$2:$B$200&lt;=$A17)),Budgets!$C$2:$C$200),0))</f>
        <v/>
      </c>
      <c r="BA17" s="88">
        <f>IF(OR(BA$1="",$BE17=0),"",IFERROR(LOOKUP(2,1/((Budgets!$A$2:$A$200=BA$1)*(Budgets!$B$2:$B$200&lt;=$A17)),Budgets!$C$2:$C$200),0))</f>
        <v/>
      </c>
      <c r="BB17" s="88">
        <f>IF(OR(BB$1="",$BE17=0),"",IFERROR(LOOKUP(2,1/((Budgets!$A$2:$A$200=BB$1)*(Budgets!$B$2:$B$200&lt;=$A17)),Budgets!$C$2:$C$200),0))</f>
        <v/>
      </c>
      <c r="BC17" s="88">
        <f>IF(OR(BC$1="",$BE17=0),"",IFERROR(LOOKUP(2,1/((Budgets!$A$2:$A$200=BC$1)*(Budgets!$B$2:$B$200&lt;=$A17)),Budgets!$C$2:$C$200),0))</f>
        <v/>
      </c>
      <c r="BE17" s="67">
        <f>COUNTIFS(Entries!$A$2:$A$5000,$A17)</f>
        <v/>
      </c>
    </row>
    <row r="18" ht="15" customHeight="1" s="43">
      <c r="A18" s="87" t="n">
        <v>39934</v>
      </c>
      <c r="B18" s="88">
        <f>IF($BE18=0,NA(),SUMIFS(Entries!$D$2:$D$5000,Entries!$C$2:$C$5000,"Income",Entries!$A$2:$A$5000,$A18))</f>
        <v/>
      </c>
      <c r="C18" s="88">
        <f>IF($BE18=0,"",SUMIFS(Entries!$D$2:$D$5000,Entries!$C$2:$C$5000,"Actual",Entries!$A$2:$A$5000,$A18))</f>
        <v/>
      </c>
      <c r="D18" s="88">
        <f>IF($BE18=0,"",SUMIFS(Entries!$D$2:$D$5000,Entries!$C$2:$C$5000,"One-off",Entries!$A$2:$A$5000,$A18))</f>
        <v/>
      </c>
      <c r="E18" s="88">
        <f>IF($BE18=0,NA(),C18+D18)</f>
        <v/>
      </c>
      <c r="F18" s="88">
        <f>IF($BE18=0,"",SUM(AJ18:BC18))</f>
        <v/>
      </c>
      <c r="G18" s="88">
        <f>IF($BE18=0,"",B18-E18)</f>
        <v/>
      </c>
      <c r="H18" s="88">
        <f>IF($BE18=0,"",SUM($G$2:G18))</f>
        <v/>
      </c>
      <c r="I18" s="88">
        <f>IF($BE18=0,"",SUMIFS(Entries!$F$2:$F$5000,Entries!$A$2:$A$5000,$A18))</f>
        <v/>
      </c>
      <c r="J18" s="88">
        <f>IF($BE18=0,NA(),H18+SUM($I$2:I18))</f>
        <v/>
      </c>
      <c r="K18" s="88">
        <f>IF($BE18=0,"",SUMIFS(Entries!$D$2:$D$5000,Entries!$C$2:$C$5000,"Income",Entries!$A$2:$A$5000,"&gt;="&amp;EDATE($A18,-11),Entries!$A$2:$A$5000,"&lt;="&amp;$A18)/12)</f>
        <v/>
      </c>
      <c r="L18" s="88">
        <f>IF($BE18=0,"",(SUMIFS(Entries!$D$2:$D$5000,Entries!$C$2:$C$5000,"Actual",Entries!$A$2:$A$5000,"&gt;="&amp;EDATE($A18,-11),Entries!$A$2:$A$5000,"&lt;="&amp;$A18)+SUMIFS(Entries!$D$2:$D$5000,Entries!$C$2:$C$5000,"One-off",Entries!$A$2:$A$5000,"&gt;="&amp;EDATE($A18,-11),Entries!$A$2:$A$5000,"&lt;="&amp;$A18))/12)</f>
        <v/>
      </c>
      <c r="M18" s="70">
        <f>IF($BE18=0,NA(),IFERROR((K18-L18)/K18,0))</f>
        <v/>
      </c>
      <c r="O18" s="88">
        <f>IF(OR(O$1="",$BE18=0),"",SUMIFS(Entries!$D$2:$D$5000,Entries!$C$2:$C$5000,"Actual",Entries!$A$2:$A$5000,$A18,Entries!$B$2:$B$5000,O$1))</f>
        <v/>
      </c>
      <c r="P18" s="88">
        <f>IF(OR(P$1="",$BE18=0),"",SUMIFS(Entries!$D$2:$D$5000,Entries!$C$2:$C$5000,"Actual",Entries!$A$2:$A$5000,$A18,Entries!$B$2:$B$5000,P$1))</f>
        <v/>
      </c>
      <c r="Q18" s="88">
        <f>IF(OR(Q$1="",$BE18=0),"",SUMIFS(Entries!$D$2:$D$5000,Entries!$C$2:$C$5000,"Actual",Entries!$A$2:$A$5000,$A18,Entries!$B$2:$B$5000,Q$1))</f>
        <v/>
      </c>
      <c r="R18" s="88">
        <f>IF(OR(R$1="",$BE18=0),"",SUMIFS(Entries!$D$2:$D$5000,Entries!$C$2:$C$5000,"Actual",Entries!$A$2:$A$5000,$A18,Entries!$B$2:$B$5000,R$1))</f>
        <v/>
      </c>
      <c r="S18" s="88">
        <f>IF(OR(S$1="",$BE18=0),"",SUMIFS(Entries!$D$2:$D$5000,Entries!$C$2:$C$5000,"Actual",Entries!$A$2:$A$5000,$A18,Entries!$B$2:$B$5000,S$1))</f>
        <v/>
      </c>
      <c r="T18" s="88">
        <f>IF(OR(T$1="",$BE18=0),"",SUMIFS(Entries!$D$2:$D$5000,Entries!$C$2:$C$5000,"Actual",Entries!$A$2:$A$5000,$A18,Entries!$B$2:$B$5000,T$1))</f>
        <v/>
      </c>
      <c r="U18" s="88">
        <f>IF(OR(U$1="",$BE18=0),"",SUMIFS(Entries!$D$2:$D$5000,Entries!$C$2:$C$5000,"Actual",Entries!$A$2:$A$5000,$A18,Entries!$B$2:$B$5000,U$1))</f>
        <v/>
      </c>
      <c r="V18" s="88">
        <f>IF(OR(V$1="",$BE18=0),"",SUMIFS(Entries!$D$2:$D$5000,Entries!$C$2:$C$5000,"Actual",Entries!$A$2:$A$5000,$A18,Entries!$B$2:$B$5000,V$1))</f>
        <v/>
      </c>
      <c r="W18" s="88">
        <f>IF(OR(W$1="",$BE18=0),"",SUMIFS(Entries!$D$2:$D$5000,Entries!$C$2:$C$5000,"Actual",Entries!$A$2:$A$5000,$A18,Entries!$B$2:$B$5000,W$1))</f>
        <v/>
      </c>
      <c r="X18" s="88">
        <f>IF(OR(X$1="",$BE18=0),"",SUMIFS(Entries!$D$2:$D$5000,Entries!$C$2:$C$5000,"Actual",Entries!$A$2:$A$5000,$A18,Entries!$B$2:$B$5000,X$1))</f>
        <v/>
      </c>
      <c r="Y18" s="88">
        <f>IF(OR(Y$1="",$BE18=0),"",SUMIFS(Entries!$D$2:$D$5000,Entries!$C$2:$C$5000,"Actual",Entries!$A$2:$A$5000,$A18,Entries!$B$2:$B$5000,Y$1))</f>
        <v/>
      </c>
      <c r="Z18" s="88">
        <f>IF(OR(Z$1="",$BE18=0),"",SUMIFS(Entries!$D$2:$D$5000,Entries!$C$2:$C$5000,"Actual",Entries!$A$2:$A$5000,$A18,Entries!$B$2:$B$5000,Z$1))</f>
        <v/>
      </c>
      <c r="AA18" s="88">
        <f>IF(OR(AA$1="",$BE18=0),"",SUMIFS(Entries!$D$2:$D$5000,Entries!$C$2:$C$5000,"Actual",Entries!$A$2:$A$5000,$A18,Entries!$B$2:$B$5000,AA$1))</f>
        <v/>
      </c>
      <c r="AB18" s="88">
        <f>IF(OR(AB$1="",$BE18=0),"",SUMIFS(Entries!$D$2:$D$5000,Entries!$C$2:$C$5000,"Actual",Entries!$A$2:$A$5000,$A18,Entries!$B$2:$B$5000,AB$1))</f>
        <v/>
      </c>
      <c r="AC18" s="88">
        <f>IF(OR(AC$1="",$BE18=0),"",SUMIFS(Entries!$D$2:$D$5000,Entries!$C$2:$C$5000,"Actual",Entries!$A$2:$A$5000,$A18,Entries!$B$2:$B$5000,AC$1))</f>
        <v/>
      </c>
      <c r="AD18" s="88">
        <f>IF(OR(AD$1="",$BE18=0),"",SUMIFS(Entries!$D$2:$D$5000,Entries!$C$2:$C$5000,"Actual",Entries!$A$2:$A$5000,$A18,Entries!$B$2:$B$5000,AD$1))</f>
        <v/>
      </c>
      <c r="AE18" s="88">
        <f>IF(OR(AE$1="",$BE18=0),"",SUMIFS(Entries!$D$2:$D$5000,Entries!$C$2:$C$5000,"Actual",Entries!$A$2:$A$5000,$A18,Entries!$B$2:$B$5000,AE$1))</f>
        <v/>
      </c>
      <c r="AF18" s="88">
        <f>IF(OR(AF$1="",$BE18=0),"",SUMIFS(Entries!$D$2:$D$5000,Entries!$C$2:$C$5000,"Actual",Entries!$A$2:$A$5000,$A18,Entries!$B$2:$B$5000,AF$1))</f>
        <v/>
      </c>
      <c r="AG18" s="88">
        <f>IF(OR(AG$1="",$BE18=0),"",SUMIFS(Entries!$D$2:$D$5000,Entries!$C$2:$C$5000,"Actual",Entries!$A$2:$A$5000,$A18,Entries!$B$2:$B$5000,AG$1))</f>
        <v/>
      </c>
      <c r="AH18" s="88">
        <f>IF(OR(AH$1="",$BE18=0),"",SUMIFS(Entries!$D$2:$D$5000,Entries!$C$2:$C$5000,"Actual",Entries!$A$2:$A$5000,$A18,Entries!$B$2:$B$5000,AH$1))</f>
        <v/>
      </c>
      <c r="AJ18" s="88">
        <f>IF(OR(AJ$1="",$BE18=0),"",IFERROR(LOOKUP(2,1/((Budgets!$A$2:$A$200=AJ$1)*(Budgets!$B$2:$B$200&lt;=$A18)),Budgets!$C$2:$C$200),0))</f>
        <v/>
      </c>
      <c r="AK18" s="88">
        <f>IF(OR(AK$1="",$BE18=0),"",IFERROR(LOOKUP(2,1/((Budgets!$A$2:$A$200=AK$1)*(Budgets!$B$2:$B$200&lt;=$A18)),Budgets!$C$2:$C$200),0))</f>
        <v/>
      </c>
      <c r="AL18" s="88">
        <f>IF(OR(AL$1="",$BE18=0),"",IFERROR(LOOKUP(2,1/((Budgets!$A$2:$A$200=AL$1)*(Budgets!$B$2:$B$200&lt;=$A18)),Budgets!$C$2:$C$200),0))</f>
        <v/>
      </c>
      <c r="AM18" s="88">
        <f>IF(OR(AM$1="",$BE18=0),"",IFERROR(LOOKUP(2,1/((Budgets!$A$2:$A$200=AM$1)*(Budgets!$B$2:$B$200&lt;=$A18)),Budgets!$C$2:$C$200),0))</f>
        <v/>
      </c>
      <c r="AN18" s="88">
        <f>IF(OR(AN$1="",$BE18=0),"",IFERROR(LOOKUP(2,1/((Budgets!$A$2:$A$200=AN$1)*(Budgets!$B$2:$B$200&lt;=$A18)),Budgets!$C$2:$C$200),0))</f>
        <v/>
      </c>
      <c r="AO18" s="88">
        <f>IF(OR(AO$1="",$BE18=0),"",IFERROR(LOOKUP(2,1/((Budgets!$A$2:$A$200=AO$1)*(Budgets!$B$2:$B$200&lt;=$A18)),Budgets!$C$2:$C$200),0))</f>
        <v/>
      </c>
      <c r="AP18" s="88">
        <f>IF(OR(AP$1="",$BE18=0),"",IFERROR(LOOKUP(2,1/((Budgets!$A$2:$A$200=AP$1)*(Budgets!$B$2:$B$200&lt;=$A18)),Budgets!$C$2:$C$200),0))</f>
        <v/>
      </c>
      <c r="AQ18" s="88">
        <f>IF(OR(AQ$1="",$BE18=0),"",IFERROR(LOOKUP(2,1/((Budgets!$A$2:$A$200=AQ$1)*(Budgets!$B$2:$B$200&lt;=$A18)),Budgets!$C$2:$C$200),0))</f>
        <v/>
      </c>
      <c r="AR18" s="88">
        <f>IF(OR(AR$1="",$BE18=0),"",IFERROR(LOOKUP(2,1/((Budgets!$A$2:$A$200=AR$1)*(Budgets!$B$2:$B$200&lt;=$A18)),Budgets!$C$2:$C$200),0))</f>
        <v/>
      </c>
      <c r="AS18" s="88">
        <f>IF(OR(AS$1="",$BE18=0),"",IFERROR(LOOKUP(2,1/((Budgets!$A$2:$A$200=AS$1)*(Budgets!$B$2:$B$200&lt;=$A18)),Budgets!$C$2:$C$200),0))</f>
        <v/>
      </c>
      <c r="AT18" s="88">
        <f>IF(OR(AT$1="",$BE18=0),"",IFERROR(LOOKUP(2,1/((Budgets!$A$2:$A$200=AT$1)*(Budgets!$B$2:$B$200&lt;=$A18)),Budgets!$C$2:$C$200),0))</f>
        <v/>
      </c>
      <c r="AU18" s="88">
        <f>IF(OR(AU$1="",$BE18=0),"",IFERROR(LOOKUP(2,1/((Budgets!$A$2:$A$200=AU$1)*(Budgets!$B$2:$B$200&lt;=$A18)),Budgets!$C$2:$C$200),0))</f>
        <v/>
      </c>
      <c r="AV18" s="88">
        <f>IF(OR(AV$1="",$BE18=0),"",IFERROR(LOOKUP(2,1/((Budgets!$A$2:$A$200=AV$1)*(Budgets!$B$2:$B$200&lt;=$A18)),Budgets!$C$2:$C$200),0))</f>
        <v/>
      </c>
      <c r="AW18" s="88">
        <f>IF(OR(AW$1="",$BE18=0),"",IFERROR(LOOKUP(2,1/((Budgets!$A$2:$A$200=AW$1)*(Budgets!$B$2:$B$200&lt;=$A18)),Budgets!$C$2:$C$200),0))</f>
        <v/>
      </c>
      <c r="AX18" s="88">
        <f>IF(OR(AX$1="",$BE18=0),"",IFERROR(LOOKUP(2,1/((Budgets!$A$2:$A$200=AX$1)*(Budgets!$B$2:$B$200&lt;=$A18)),Budgets!$C$2:$C$200),0))</f>
        <v/>
      </c>
      <c r="AY18" s="88">
        <f>IF(OR(AY$1="",$BE18=0),"",IFERROR(LOOKUP(2,1/((Budgets!$A$2:$A$200=AY$1)*(Budgets!$B$2:$B$200&lt;=$A18)),Budgets!$C$2:$C$200),0))</f>
        <v/>
      </c>
      <c r="AZ18" s="88">
        <f>IF(OR(AZ$1="",$BE18=0),"",IFERROR(LOOKUP(2,1/((Budgets!$A$2:$A$200=AZ$1)*(Budgets!$B$2:$B$200&lt;=$A18)),Budgets!$C$2:$C$200),0))</f>
        <v/>
      </c>
      <c r="BA18" s="88">
        <f>IF(OR(BA$1="",$BE18=0),"",IFERROR(LOOKUP(2,1/((Budgets!$A$2:$A$200=BA$1)*(Budgets!$B$2:$B$200&lt;=$A18)),Budgets!$C$2:$C$200),0))</f>
        <v/>
      </c>
      <c r="BB18" s="88">
        <f>IF(OR(BB$1="",$BE18=0),"",IFERROR(LOOKUP(2,1/((Budgets!$A$2:$A$200=BB$1)*(Budgets!$B$2:$B$200&lt;=$A18)),Budgets!$C$2:$C$200),0))</f>
        <v/>
      </c>
      <c r="BC18" s="88">
        <f>IF(OR(BC$1="",$BE18=0),"",IFERROR(LOOKUP(2,1/((Budgets!$A$2:$A$200=BC$1)*(Budgets!$B$2:$B$200&lt;=$A18)),Budgets!$C$2:$C$200),0))</f>
        <v/>
      </c>
      <c r="BE18" s="67">
        <f>COUNTIFS(Entries!$A$2:$A$5000,$A18)</f>
        <v/>
      </c>
    </row>
    <row r="19" ht="15" customHeight="1" s="43">
      <c r="A19" s="87" t="n">
        <v>39965</v>
      </c>
      <c r="B19" s="88">
        <f>IF($BE19=0,NA(),SUMIFS(Entries!$D$2:$D$5000,Entries!$C$2:$C$5000,"Income",Entries!$A$2:$A$5000,$A19))</f>
        <v/>
      </c>
      <c r="C19" s="88">
        <f>IF($BE19=0,"",SUMIFS(Entries!$D$2:$D$5000,Entries!$C$2:$C$5000,"Actual",Entries!$A$2:$A$5000,$A19))</f>
        <v/>
      </c>
      <c r="D19" s="88">
        <f>IF($BE19=0,"",SUMIFS(Entries!$D$2:$D$5000,Entries!$C$2:$C$5000,"One-off",Entries!$A$2:$A$5000,$A19))</f>
        <v/>
      </c>
      <c r="E19" s="88">
        <f>IF($BE19=0,NA(),C19+D19)</f>
        <v/>
      </c>
      <c r="F19" s="88">
        <f>IF($BE19=0,"",SUM(AJ19:BC19))</f>
        <v/>
      </c>
      <c r="G19" s="88">
        <f>IF($BE19=0,"",B19-E19)</f>
        <v/>
      </c>
      <c r="H19" s="88">
        <f>IF($BE19=0,"",SUM($G$2:G19))</f>
        <v/>
      </c>
      <c r="I19" s="88">
        <f>IF($BE19=0,"",SUMIFS(Entries!$F$2:$F$5000,Entries!$A$2:$A$5000,$A19))</f>
        <v/>
      </c>
      <c r="J19" s="88">
        <f>IF($BE19=0,NA(),H19+SUM($I$2:I19))</f>
        <v/>
      </c>
      <c r="K19" s="88">
        <f>IF($BE19=0,"",SUMIFS(Entries!$D$2:$D$5000,Entries!$C$2:$C$5000,"Income",Entries!$A$2:$A$5000,"&gt;="&amp;EDATE($A19,-11),Entries!$A$2:$A$5000,"&lt;="&amp;$A19)/12)</f>
        <v/>
      </c>
      <c r="L19" s="88">
        <f>IF($BE19=0,"",(SUMIFS(Entries!$D$2:$D$5000,Entries!$C$2:$C$5000,"Actual",Entries!$A$2:$A$5000,"&gt;="&amp;EDATE($A19,-11),Entries!$A$2:$A$5000,"&lt;="&amp;$A19)+SUMIFS(Entries!$D$2:$D$5000,Entries!$C$2:$C$5000,"One-off",Entries!$A$2:$A$5000,"&gt;="&amp;EDATE($A19,-11),Entries!$A$2:$A$5000,"&lt;="&amp;$A19))/12)</f>
        <v/>
      </c>
      <c r="M19" s="70">
        <f>IF($BE19=0,NA(),IFERROR((K19-L19)/K19,0))</f>
        <v/>
      </c>
      <c r="O19" s="88">
        <f>IF(OR(O$1="",$BE19=0),"",SUMIFS(Entries!$D$2:$D$5000,Entries!$C$2:$C$5000,"Actual",Entries!$A$2:$A$5000,$A19,Entries!$B$2:$B$5000,O$1))</f>
        <v/>
      </c>
      <c r="P19" s="88">
        <f>IF(OR(P$1="",$BE19=0),"",SUMIFS(Entries!$D$2:$D$5000,Entries!$C$2:$C$5000,"Actual",Entries!$A$2:$A$5000,$A19,Entries!$B$2:$B$5000,P$1))</f>
        <v/>
      </c>
      <c r="Q19" s="88">
        <f>IF(OR(Q$1="",$BE19=0),"",SUMIFS(Entries!$D$2:$D$5000,Entries!$C$2:$C$5000,"Actual",Entries!$A$2:$A$5000,$A19,Entries!$B$2:$B$5000,Q$1))</f>
        <v/>
      </c>
      <c r="R19" s="88">
        <f>IF(OR(R$1="",$BE19=0),"",SUMIFS(Entries!$D$2:$D$5000,Entries!$C$2:$C$5000,"Actual",Entries!$A$2:$A$5000,$A19,Entries!$B$2:$B$5000,R$1))</f>
        <v/>
      </c>
      <c r="S19" s="88">
        <f>IF(OR(S$1="",$BE19=0),"",SUMIFS(Entries!$D$2:$D$5000,Entries!$C$2:$C$5000,"Actual",Entries!$A$2:$A$5000,$A19,Entries!$B$2:$B$5000,S$1))</f>
        <v/>
      </c>
      <c r="T19" s="88">
        <f>IF(OR(T$1="",$BE19=0),"",SUMIFS(Entries!$D$2:$D$5000,Entries!$C$2:$C$5000,"Actual",Entries!$A$2:$A$5000,$A19,Entries!$B$2:$B$5000,T$1))</f>
        <v/>
      </c>
      <c r="U19" s="88">
        <f>IF(OR(U$1="",$BE19=0),"",SUMIFS(Entries!$D$2:$D$5000,Entries!$C$2:$C$5000,"Actual",Entries!$A$2:$A$5000,$A19,Entries!$B$2:$B$5000,U$1))</f>
        <v/>
      </c>
      <c r="V19" s="88">
        <f>IF(OR(V$1="",$BE19=0),"",SUMIFS(Entries!$D$2:$D$5000,Entries!$C$2:$C$5000,"Actual",Entries!$A$2:$A$5000,$A19,Entries!$B$2:$B$5000,V$1))</f>
        <v/>
      </c>
      <c r="W19" s="88">
        <f>IF(OR(W$1="",$BE19=0),"",SUMIFS(Entries!$D$2:$D$5000,Entries!$C$2:$C$5000,"Actual",Entries!$A$2:$A$5000,$A19,Entries!$B$2:$B$5000,W$1))</f>
        <v/>
      </c>
      <c r="X19" s="88">
        <f>IF(OR(X$1="",$BE19=0),"",SUMIFS(Entries!$D$2:$D$5000,Entries!$C$2:$C$5000,"Actual",Entries!$A$2:$A$5000,$A19,Entries!$B$2:$B$5000,X$1))</f>
        <v/>
      </c>
      <c r="Y19" s="88">
        <f>IF(OR(Y$1="",$BE19=0),"",SUMIFS(Entries!$D$2:$D$5000,Entries!$C$2:$C$5000,"Actual",Entries!$A$2:$A$5000,$A19,Entries!$B$2:$B$5000,Y$1))</f>
        <v/>
      </c>
      <c r="Z19" s="88">
        <f>IF(OR(Z$1="",$BE19=0),"",SUMIFS(Entries!$D$2:$D$5000,Entries!$C$2:$C$5000,"Actual",Entries!$A$2:$A$5000,$A19,Entries!$B$2:$B$5000,Z$1))</f>
        <v/>
      </c>
      <c r="AA19" s="88">
        <f>IF(OR(AA$1="",$BE19=0),"",SUMIFS(Entries!$D$2:$D$5000,Entries!$C$2:$C$5000,"Actual",Entries!$A$2:$A$5000,$A19,Entries!$B$2:$B$5000,AA$1))</f>
        <v/>
      </c>
      <c r="AB19" s="88">
        <f>IF(OR(AB$1="",$BE19=0),"",SUMIFS(Entries!$D$2:$D$5000,Entries!$C$2:$C$5000,"Actual",Entries!$A$2:$A$5000,$A19,Entries!$B$2:$B$5000,AB$1))</f>
        <v/>
      </c>
      <c r="AC19" s="88">
        <f>IF(OR(AC$1="",$BE19=0),"",SUMIFS(Entries!$D$2:$D$5000,Entries!$C$2:$C$5000,"Actual",Entries!$A$2:$A$5000,$A19,Entries!$B$2:$B$5000,AC$1))</f>
        <v/>
      </c>
      <c r="AD19" s="88">
        <f>IF(OR(AD$1="",$BE19=0),"",SUMIFS(Entries!$D$2:$D$5000,Entries!$C$2:$C$5000,"Actual",Entries!$A$2:$A$5000,$A19,Entries!$B$2:$B$5000,AD$1))</f>
        <v/>
      </c>
      <c r="AE19" s="88">
        <f>IF(OR(AE$1="",$BE19=0),"",SUMIFS(Entries!$D$2:$D$5000,Entries!$C$2:$C$5000,"Actual",Entries!$A$2:$A$5000,$A19,Entries!$B$2:$B$5000,AE$1))</f>
        <v/>
      </c>
      <c r="AF19" s="88">
        <f>IF(OR(AF$1="",$BE19=0),"",SUMIFS(Entries!$D$2:$D$5000,Entries!$C$2:$C$5000,"Actual",Entries!$A$2:$A$5000,$A19,Entries!$B$2:$B$5000,AF$1))</f>
        <v/>
      </c>
      <c r="AG19" s="88">
        <f>IF(OR(AG$1="",$BE19=0),"",SUMIFS(Entries!$D$2:$D$5000,Entries!$C$2:$C$5000,"Actual",Entries!$A$2:$A$5000,$A19,Entries!$B$2:$B$5000,AG$1))</f>
        <v/>
      </c>
      <c r="AH19" s="88">
        <f>IF(OR(AH$1="",$BE19=0),"",SUMIFS(Entries!$D$2:$D$5000,Entries!$C$2:$C$5000,"Actual",Entries!$A$2:$A$5000,$A19,Entries!$B$2:$B$5000,AH$1))</f>
        <v/>
      </c>
      <c r="AJ19" s="88">
        <f>IF(OR(AJ$1="",$BE19=0),"",IFERROR(LOOKUP(2,1/((Budgets!$A$2:$A$200=AJ$1)*(Budgets!$B$2:$B$200&lt;=$A19)),Budgets!$C$2:$C$200),0))</f>
        <v/>
      </c>
      <c r="AK19" s="88">
        <f>IF(OR(AK$1="",$BE19=0),"",IFERROR(LOOKUP(2,1/((Budgets!$A$2:$A$200=AK$1)*(Budgets!$B$2:$B$200&lt;=$A19)),Budgets!$C$2:$C$200),0))</f>
        <v/>
      </c>
      <c r="AL19" s="88">
        <f>IF(OR(AL$1="",$BE19=0),"",IFERROR(LOOKUP(2,1/((Budgets!$A$2:$A$200=AL$1)*(Budgets!$B$2:$B$200&lt;=$A19)),Budgets!$C$2:$C$200),0))</f>
        <v/>
      </c>
      <c r="AM19" s="88">
        <f>IF(OR(AM$1="",$BE19=0),"",IFERROR(LOOKUP(2,1/((Budgets!$A$2:$A$200=AM$1)*(Budgets!$B$2:$B$200&lt;=$A19)),Budgets!$C$2:$C$200),0))</f>
        <v/>
      </c>
      <c r="AN19" s="88">
        <f>IF(OR(AN$1="",$BE19=0),"",IFERROR(LOOKUP(2,1/((Budgets!$A$2:$A$200=AN$1)*(Budgets!$B$2:$B$200&lt;=$A19)),Budgets!$C$2:$C$200),0))</f>
        <v/>
      </c>
      <c r="AO19" s="88">
        <f>IF(OR(AO$1="",$BE19=0),"",IFERROR(LOOKUP(2,1/((Budgets!$A$2:$A$200=AO$1)*(Budgets!$B$2:$B$200&lt;=$A19)),Budgets!$C$2:$C$200),0))</f>
        <v/>
      </c>
      <c r="AP19" s="88">
        <f>IF(OR(AP$1="",$BE19=0),"",IFERROR(LOOKUP(2,1/((Budgets!$A$2:$A$200=AP$1)*(Budgets!$B$2:$B$200&lt;=$A19)),Budgets!$C$2:$C$200),0))</f>
        <v/>
      </c>
      <c r="AQ19" s="88">
        <f>IF(OR(AQ$1="",$BE19=0),"",IFERROR(LOOKUP(2,1/((Budgets!$A$2:$A$200=AQ$1)*(Budgets!$B$2:$B$200&lt;=$A19)),Budgets!$C$2:$C$200),0))</f>
        <v/>
      </c>
      <c r="AR19" s="88">
        <f>IF(OR(AR$1="",$BE19=0),"",IFERROR(LOOKUP(2,1/((Budgets!$A$2:$A$200=AR$1)*(Budgets!$B$2:$B$200&lt;=$A19)),Budgets!$C$2:$C$200),0))</f>
        <v/>
      </c>
      <c r="AS19" s="88">
        <f>IF(OR(AS$1="",$BE19=0),"",IFERROR(LOOKUP(2,1/((Budgets!$A$2:$A$200=AS$1)*(Budgets!$B$2:$B$200&lt;=$A19)),Budgets!$C$2:$C$200),0))</f>
        <v/>
      </c>
      <c r="AT19" s="88">
        <f>IF(OR(AT$1="",$BE19=0),"",IFERROR(LOOKUP(2,1/((Budgets!$A$2:$A$200=AT$1)*(Budgets!$B$2:$B$200&lt;=$A19)),Budgets!$C$2:$C$200),0))</f>
        <v/>
      </c>
      <c r="AU19" s="88">
        <f>IF(OR(AU$1="",$BE19=0),"",IFERROR(LOOKUP(2,1/((Budgets!$A$2:$A$200=AU$1)*(Budgets!$B$2:$B$200&lt;=$A19)),Budgets!$C$2:$C$200),0))</f>
        <v/>
      </c>
      <c r="AV19" s="88">
        <f>IF(OR(AV$1="",$BE19=0),"",IFERROR(LOOKUP(2,1/((Budgets!$A$2:$A$200=AV$1)*(Budgets!$B$2:$B$200&lt;=$A19)),Budgets!$C$2:$C$200),0))</f>
        <v/>
      </c>
      <c r="AW19" s="88">
        <f>IF(OR(AW$1="",$BE19=0),"",IFERROR(LOOKUP(2,1/((Budgets!$A$2:$A$200=AW$1)*(Budgets!$B$2:$B$200&lt;=$A19)),Budgets!$C$2:$C$200),0))</f>
        <v/>
      </c>
      <c r="AX19" s="88">
        <f>IF(OR(AX$1="",$BE19=0),"",IFERROR(LOOKUP(2,1/((Budgets!$A$2:$A$200=AX$1)*(Budgets!$B$2:$B$200&lt;=$A19)),Budgets!$C$2:$C$200),0))</f>
        <v/>
      </c>
      <c r="AY19" s="88">
        <f>IF(OR(AY$1="",$BE19=0),"",IFERROR(LOOKUP(2,1/((Budgets!$A$2:$A$200=AY$1)*(Budgets!$B$2:$B$200&lt;=$A19)),Budgets!$C$2:$C$200),0))</f>
        <v/>
      </c>
      <c r="AZ19" s="88">
        <f>IF(OR(AZ$1="",$BE19=0),"",IFERROR(LOOKUP(2,1/((Budgets!$A$2:$A$200=AZ$1)*(Budgets!$B$2:$B$200&lt;=$A19)),Budgets!$C$2:$C$200),0))</f>
        <v/>
      </c>
      <c r="BA19" s="88">
        <f>IF(OR(BA$1="",$BE19=0),"",IFERROR(LOOKUP(2,1/((Budgets!$A$2:$A$200=BA$1)*(Budgets!$B$2:$B$200&lt;=$A19)),Budgets!$C$2:$C$200),0))</f>
        <v/>
      </c>
      <c r="BB19" s="88">
        <f>IF(OR(BB$1="",$BE19=0),"",IFERROR(LOOKUP(2,1/((Budgets!$A$2:$A$200=BB$1)*(Budgets!$B$2:$B$200&lt;=$A19)),Budgets!$C$2:$C$200),0))</f>
        <v/>
      </c>
      <c r="BC19" s="88">
        <f>IF(OR(BC$1="",$BE19=0),"",IFERROR(LOOKUP(2,1/((Budgets!$A$2:$A$200=BC$1)*(Budgets!$B$2:$B$200&lt;=$A19)),Budgets!$C$2:$C$200),0))</f>
        <v/>
      </c>
      <c r="BE19" s="67">
        <f>COUNTIFS(Entries!$A$2:$A$5000,$A19)</f>
        <v/>
      </c>
    </row>
    <row r="20" ht="15" customHeight="1" s="43">
      <c r="A20" s="87" t="n">
        <v>39995</v>
      </c>
      <c r="B20" s="88">
        <f>IF($BE20=0,NA(),SUMIFS(Entries!$D$2:$D$5000,Entries!$C$2:$C$5000,"Income",Entries!$A$2:$A$5000,$A20))</f>
        <v/>
      </c>
      <c r="C20" s="88">
        <f>IF($BE20=0,"",SUMIFS(Entries!$D$2:$D$5000,Entries!$C$2:$C$5000,"Actual",Entries!$A$2:$A$5000,$A20))</f>
        <v/>
      </c>
      <c r="D20" s="88">
        <f>IF($BE20=0,"",SUMIFS(Entries!$D$2:$D$5000,Entries!$C$2:$C$5000,"One-off",Entries!$A$2:$A$5000,$A20))</f>
        <v/>
      </c>
      <c r="E20" s="88">
        <f>IF($BE20=0,NA(),C20+D20)</f>
        <v/>
      </c>
      <c r="F20" s="88">
        <f>IF($BE20=0,"",SUM(AJ20:BC20))</f>
        <v/>
      </c>
      <c r="G20" s="88">
        <f>IF($BE20=0,"",B20-E20)</f>
        <v/>
      </c>
      <c r="H20" s="88">
        <f>IF($BE20=0,"",SUM($G$2:G20))</f>
        <v/>
      </c>
      <c r="I20" s="88">
        <f>IF($BE20=0,"",SUMIFS(Entries!$F$2:$F$5000,Entries!$A$2:$A$5000,$A20))</f>
        <v/>
      </c>
      <c r="J20" s="88">
        <f>IF($BE20=0,NA(),H20+SUM($I$2:I20))</f>
        <v/>
      </c>
      <c r="K20" s="88">
        <f>IF($BE20=0,"",SUMIFS(Entries!$D$2:$D$5000,Entries!$C$2:$C$5000,"Income",Entries!$A$2:$A$5000,"&gt;="&amp;EDATE($A20,-11),Entries!$A$2:$A$5000,"&lt;="&amp;$A20)/12)</f>
        <v/>
      </c>
      <c r="L20" s="88">
        <f>IF($BE20=0,"",(SUMIFS(Entries!$D$2:$D$5000,Entries!$C$2:$C$5000,"Actual",Entries!$A$2:$A$5000,"&gt;="&amp;EDATE($A20,-11),Entries!$A$2:$A$5000,"&lt;="&amp;$A20)+SUMIFS(Entries!$D$2:$D$5000,Entries!$C$2:$C$5000,"One-off",Entries!$A$2:$A$5000,"&gt;="&amp;EDATE($A20,-11),Entries!$A$2:$A$5000,"&lt;="&amp;$A20))/12)</f>
        <v/>
      </c>
      <c r="M20" s="70">
        <f>IF($BE20=0,NA(),IFERROR((K20-L20)/K20,0))</f>
        <v/>
      </c>
      <c r="O20" s="88">
        <f>IF(OR(O$1="",$BE20=0),"",SUMIFS(Entries!$D$2:$D$5000,Entries!$C$2:$C$5000,"Actual",Entries!$A$2:$A$5000,$A20,Entries!$B$2:$B$5000,O$1))</f>
        <v/>
      </c>
      <c r="P20" s="88">
        <f>IF(OR(P$1="",$BE20=0),"",SUMIFS(Entries!$D$2:$D$5000,Entries!$C$2:$C$5000,"Actual",Entries!$A$2:$A$5000,$A20,Entries!$B$2:$B$5000,P$1))</f>
        <v/>
      </c>
      <c r="Q20" s="88">
        <f>IF(OR(Q$1="",$BE20=0),"",SUMIFS(Entries!$D$2:$D$5000,Entries!$C$2:$C$5000,"Actual",Entries!$A$2:$A$5000,$A20,Entries!$B$2:$B$5000,Q$1))</f>
        <v/>
      </c>
      <c r="R20" s="88">
        <f>IF(OR(R$1="",$BE20=0),"",SUMIFS(Entries!$D$2:$D$5000,Entries!$C$2:$C$5000,"Actual",Entries!$A$2:$A$5000,$A20,Entries!$B$2:$B$5000,R$1))</f>
        <v/>
      </c>
      <c r="S20" s="88">
        <f>IF(OR(S$1="",$BE20=0),"",SUMIFS(Entries!$D$2:$D$5000,Entries!$C$2:$C$5000,"Actual",Entries!$A$2:$A$5000,$A20,Entries!$B$2:$B$5000,S$1))</f>
        <v/>
      </c>
      <c r="T20" s="88">
        <f>IF(OR(T$1="",$BE20=0),"",SUMIFS(Entries!$D$2:$D$5000,Entries!$C$2:$C$5000,"Actual",Entries!$A$2:$A$5000,$A20,Entries!$B$2:$B$5000,T$1))</f>
        <v/>
      </c>
      <c r="U20" s="88">
        <f>IF(OR(U$1="",$BE20=0),"",SUMIFS(Entries!$D$2:$D$5000,Entries!$C$2:$C$5000,"Actual",Entries!$A$2:$A$5000,$A20,Entries!$B$2:$B$5000,U$1))</f>
        <v/>
      </c>
      <c r="V20" s="88">
        <f>IF(OR(V$1="",$BE20=0),"",SUMIFS(Entries!$D$2:$D$5000,Entries!$C$2:$C$5000,"Actual",Entries!$A$2:$A$5000,$A20,Entries!$B$2:$B$5000,V$1))</f>
        <v/>
      </c>
      <c r="W20" s="88">
        <f>IF(OR(W$1="",$BE20=0),"",SUMIFS(Entries!$D$2:$D$5000,Entries!$C$2:$C$5000,"Actual",Entries!$A$2:$A$5000,$A20,Entries!$B$2:$B$5000,W$1))</f>
        <v/>
      </c>
      <c r="X20" s="88">
        <f>IF(OR(X$1="",$BE20=0),"",SUMIFS(Entries!$D$2:$D$5000,Entries!$C$2:$C$5000,"Actual",Entries!$A$2:$A$5000,$A20,Entries!$B$2:$B$5000,X$1))</f>
        <v/>
      </c>
      <c r="Y20" s="88">
        <f>IF(OR(Y$1="",$BE20=0),"",SUMIFS(Entries!$D$2:$D$5000,Entries!$C$2:$C$5000,"Actual",Entries!$A$2:$A$5000,$A20,Entries!$B$2:$B$5000,Y$1))</f>
        <v/>
      </c>
      <c r="Z20" s="88">
        <f>IF(OR(Z$1="",$BE20=0),"",SUMIFS(Entries!$D$2:$D$5000,Entries!$C$2:$C$5000,"Actual",Entries!$A$2:$A$5000,$A20,Entries!$B$2:$B$5000,Z$1))</f>
        <v/>
      </c>
      <c r="AA20" s="88">
        <f>IF(OR(AA$1="",$BE20=0),"",SUMIFS(Entries!$D$2:$D$5000,Entries!$C$2:$C$5000,"Actual",Entries!$A$2:$A$5000,$A20,Entries!$B$2:$B$5000,AA$1))</f>
        <v/>
      </c>
      <c r="AB20" s="88">
        <f>IF(OR(AB$1="",$BE20=0),"",SUMIFS(Entries!$D$2:$D$5000,Entries!$C$2:$C$5000,"Actual",Entries!$A$2:$A$5000,$A20,Entries!$B$2:$B$5000,AB$1))</f>
        <v/>
      </c>
      <c r="AC20" s="88">
        <f>IF(OR(AC$1="",$BE20=0),"",SUMIFS(Entries!$D$2:$D$5000,Entries!$C$2:$C$5000,"Actual",Entries!$A$2:$A$5000,$A20,Entries!$B$2:$B$5000,AC$1))</f>
        <v/>
      </c>
      <c r="AD20" s="88">
        <f>IF(OR(AD$1="",$BE20=0),"",SUMIFS(Entries!$D$2:$D$5000,Entries!$C$2:$C$5000,"Actual",Entries!$A$2:$A$5000,$A20,Entries!$B$2:$B$5000,AD$1))</f>
        <v/>
      </c>
      <c r="AE20" s="88">
        <f>IF(OR(AE$1="",$BE20=0),"",SUMIFS(Entries!$D$2:$D$5000,Entries!$C$2:$C$5000,"Actual",Entries!$A$2:$A$5000,$A20,Entries!$B$2:$B$5000,AE$1))</f>
        <v/>
      </c>
      <c r="AF20" s="88">
        <f>IF(OR(AF$1="",$BE20=0),"",SUMIFS(Entries!$D$2:$D$5000,Entries!$C$2:$C$5000,"Actual",Entries!$A$2:$A$5000,$A20,Entries!$B$2:$B$5000,AF$1))</f>
        <v/>
      </c>
      <c r="AG20" s="88">
        <f>IF(OR(AG$1="",$BE20=0),"",SUMIFS(Entries!$D$2:$D$5000,Entries!$C$2:$C$5000,"Actual",Entries!$A$2:$A$5000,$A20,Entries!$B$2:$B$5000,AG$1))</f>
        <v/>
      </c>
      <c r="AH20" s="88">
        <f>IF(OR(AH$1="",$BE20=0),"",SUMIFS(Entries!$D$2:$D$5000,Entries!$C$2:$C$5000,"Actual",Entries!$A$2:$A$5000,$A20,Entries!$B$2:$B$5000,AH$1))</f>
        <v/>
      </c>
      <c r="AJ20" s="88">
        <f>IF(OR(AJ$1="",$BE20=0),"",IFERROR(LOOKUP(2,1/((Budgets!$A$2:$A$200=AJ$1)*(Budgets!$B$2:$B$200&lt;=$A20)),Budgets!$C$2:$C$200),0))</f>
        <v/>
      </c>
      <c r="AK20" s="88">
        <f>IF(OR(AK$1="",$BE20=0),"",IFERROR(LOOKUP(2,1/((Budgets!$A$2:$A$200=AK$1)*(Budgets!$B$2:$B$200&lt;=$A20)),Budgets!$C$2:$C$200),0))</f>
        <v/>
      </c>
      <c r="AL20" s="88">
        <f>IF(OR(AL$1="",$BE20=0),"",IFERROR(LOOKUP(2,1/((Budgets!$A$2:$A$200=AL$1)*(Budgets!$B$2:$B$200&lt;=$A20)),Budgets!$C$2:$C$200),0))</f>
        <v/>
      </c>
      <c r="AM20" s="88">
        <f>IF(OR(AM$1="",$BE20=0),"",IFERROR(LOOKUP(2,1/((Budgets!$A$2:$A$200=AM$1)*(Budgets!$B$2:$B$200&lt;=$A20)),Budgets!$C$2:$C$200),0))</f>
        <v/>
      </c>
      <c r="AN20" s="88">
        <f>IF(OR(AN$1="",$BE20=0),"",IFERROR(LOOKUP(2,1/((Budgets!$A$2:$A$200=AN$1)*(Budgets!$B$2:$B$200&lt;=$A20)),Budgets!$C$2:$C$200),0))</f>
        <v/>
      </c>
      <c r="AO20" s="88">
        <f>IF(OR(AO$1="",$BE20=0),"",IFERROR(LOOKUP(2,1/((Budgets!$A$2:$A$200=AO$1)*(Budgets!$B$2:$B$200&lt;=$A20)),Budgets!$C$2:$C$200),0))</f>
        <v/>
      </c>
      <c r="AP20" s="88">
        <f>IF(OR(AP$1="",$BE20=0),"",IFERROR(LOOKUP(2,1/((Budgets!$A$2:$A$200=AP$1)*(Budgets!$B$2:$B$200&lt;=$A20)),Budgets!$C$2:$C$200),0))</f>
        <v/>
      </c>
      <c r="AQ20" s="88">
        <f>IF(OR(AQ$1="",$BE20=0),"",IFERROR(LOOKUP(2,1/((Budgets!$A$2:$A$200=AQ$1)*(Budgets!$B$2:$B$200&lt;=$A20)),Budgets!$C$2:$C$200),0))</f>
        <v/>
      </c>
      <c r="AR20" s="88">
        <f>IF(OR(AR$1="",$BE20=0),"",IFERROR(LOOKUP(2,1/((Budgets!$A$2:$A$200=AR$1)*(Budgets!$B$2:$B$200&lt;=$A20)),Budgets!$C$2:$C$200),0))</f>
        <v/>
      </c>
      <c r="AS20" s="88">
        <f>IF(OR(AS$1="",$BE20=0),"",IFERROR(LOOKUP(2,1/((Budgets!$A$2:$A$200=AS$1)*(Budgets!$B$2:$B$200&lt;=$A20)),Budgets!$C$2:$C$200),0))</f>
        <v/>
      </c>
      <c r="AT20" s="88">
        <f>IF(OR(AT$1="",$BE20=0),"",IFERROR(LOOKUP(2,1/((Budgets!$A$2:$A$200=AT$1)*(Budgets!$B$2:$B$200&lt;=$A20)),Budgets!$C$2:$C$200),0))</f>
        <v/>
      </c>
      <c r="AU20" s="88">
        <f>IF(OR(AU$1="",$BE20=0),"",IFERROR(LOOKUP(2,1/((Budgets!$A$2:$A$200=AU$1)*(Budgets!$B$2:$B$200&lt;=$A20)),Budgets!$C$2:$C$200),0))</f>
        <v/>
      </c>
      <c r="AV20" s="88">
        <f>IF(OR(AV$1="",$BE20=0),"",IFERROR(LOOKUP(2,1/((Budgets!$A$2:$A$200=AV$1)*(Budgets!$B$2:$B$200&lt;=$A20)),Budgets!$C$2:$C$200),0))</f>
        <v/>
      </c>
      <c r="AW20" s="88">
        <f>IF(OR(AW$1="",$BE20=0),"",IFERROR(LOOKUP(2,1/((Budgets!$A$2:$A$200=AW$1)*(Budgets!$B$2:$B$200&lt;=$A20)),Budgets!$C$2:$C$200),0))</f>
        <v/>
      </c>
      <c r="AX20" s="88">
        <f>IF(OR(AX$1="",$BE20=0),"",IFERROR(LOOKUP(2,1/((Budgets!$A$2:$A$200=AX$1)*(Budgets!$B$2:$B$200&lt;=$A20)),Budgets!$C$2:$C$200),0))</f>
        <v/>
      </c>
      <c r="AY20" s="88">
        <f>IF(OR(AY$1="",$BE20=0),"",IFERROR(LOOKUP(2,1/((Budgets!$A$2:$A$200=AY$1)*(Budgets!$B$2:$B$200&lt;=$A20)),Budgets!$C$2:$C$200),0))</f>
        <v/>
      </c>
      <c r="AZ20" s="88">
        <f>IF(OR(AZ$1="",$BE20=0),"",IFERROR(LOOKUP(2,1/((Budgets!$A$2:$A$200=AZ$1)*(Budgets!$B$2:$B$200&lt;=$A20)),Budgets!$C$2:$C$200),0))</f>
        <v/>
      </c>
      <c r="BA20" s="88">
        <f>IF(OR(BA$1="",$BE20=0),"",IFERROR(LOOKUP(2,1/((Budgets!$A$2:$A$200=BA$1)*(Budgets!$B$2:$B$200&lt;=$A20)),Budgets!$C$2:$C$200),0))</f>
        <v/>
      </c>
      <c r="BB20" s="88">
        <f>IF(OR(BB$1="",$BE20=0),"",IFERROR(LOOKUP(2,1/((Budgets!$A$2:$A$200=BB$1)*(Budgets!$B$2:$B$200&lt;=$A20)),Budgets!$C$2:$C$200),0))</f>
        <v/>
      </c>
      <c r="BC20" s="88">
        <f>IF(OR(BC$1="",$BE20=0),"",IFERROR(LOOKUP(2,1/((Budgets!$A$2:$A$200=BC$1)*(Budgets!$B$2:$B$200&lt;=$A20)),Budgets!$C$2:$C$200),0))</f>
        <v/>
      </c>
      <c r="BE20" s="67">
        <f>COUNTIFS(Entries!$A$2:$A$5000,$A20)</f>
        <v/>
      </c>
    </row>
    <row r="21" ht="15" customHeight="1" s="43">
      <c r="A21" s="87" t="n">
        <v>40026</v>
      </c>
      <c r="B21" s="88">
        <f>IF($BE21=0,NA(),SUMIFS(Entries!$D$2:$D$5000,Entries!$C$2:$C$5000,"Income",Entries!$A$2:$A$5000,$A21))</f>
        <v/>
      </c>
      <c r="C21" s="88">
        <f>IF($BE21=0,"",SUMIFS(Entries!$D$2:$D$5000,Entries!$C$2:$C$5000,"Actual",Entries!$A$2:$A$5000,$A21))</f>
        <v/>
      </c>
      <c r="D21" s="88">
        <f>IF($BE21=0,"",SUMIFS(Entries!$D$2:$D$5000,Entries!$C$2:$C$5000,"One-off",Entries!$A$2:$A$5000,$A21))</f>
        <v/>
      </c>
      <c r="E21" s="88">
        <f>IF($BE21=0,NA(),C21+D21)</f>
        <v/>
      </c>
      <c r="F21" s="88">
        <f>IF($BE21=0,"",SUM(AJ21:BC21))</f>
        <v/>
      </c>
      <c r="G21" s="88">
        <f>IF($BE21=0,"",B21-E21)</f>
        <v/>
      </c>
      <c r="H21" s="88">
        <f>IF($BE21=0,"",SUM($G$2:G21))</f>
        <v/>
      </c>
      <c r="I21" s="88">
        <f>IF($BE21=0,"",SUMIFS(Entries!$F$2:$F$5000,Entries!$A$2:$A$5000,$A21))</f>
        <v/>
      </c>
      <c r="J21" s="88">
        <f>IF($BE21=0,NA(),H21+SUM($I$2:I21))</f>
        <v/>
      </c>
      <c r="K21" s="88">
        <f>IF($BE21=0,"",SUMIFS(Entries!$D$2:$D$5000,Entries!$C$2:$C$5000,"Income",Entries!$A$2:$A$5000,"&gt;="&amp;EDATE($A21,-11),Entries!$A$2:$A$5000,"&lt;="&amp;$A21)/12)</f>
        <v/>
      </c>
      <c r="L21" s="88">
        <f>IF($BE21=0,"",(SUMIFS(Entries!$D$2:$D$5000,Entries!$C$2:$C$5000,"Actual",Entries!$A$2:$A$5000,"&gt;="&amp;EDATE($A21,-11),Entries!$A$2:$A$5000,"&lt;="&amp;$A21)+SUMIFS(Entries!$D$2:$D$5000,Entries!$C$2:$C$5000,"One-off",Entries!$A$2:$A$5000,"&gt;="&amp;EDATE($A21,-11),Entries!$A$2:$A$5000,"&lt;="&amp;$A21))/12)</f>
        <v/>
      </c>
      <c r="M21" s="70">
        <f>IF($BE21=0,NA(),IFERROR((K21-L21)/K21,0))</f>
        <v/>
      </c>
      <c r="O21" s="88">
        <f>IF(OR(O$1="",$BE21=0),"",SUMIFS(Entries!$D$2:$D$5000,Entries!$C$2:$C$5000,"Actual",Entries!$A$2:$A$5000,$A21,Entries!$B$2:$B$5000,O$1))</f>
        <v/>
      </c>
      <c r="P21" s="88">
        <f>IF(OR(P$1="",$BE21=0),"",SUMIFS(Entries!$D$2:$D$5000,Entries!$C$2:$C$5000,"Actual",Entries!$A$2:$A$5000,$A21,Entries!$B$2:$B$5000,P$1))</f>
        <v/>
      </c>
      <c r="Q21" s="88">
        <f>IF(OR(Q$1="",$BE21=0),"",SUMIFS(Entries!$D$2:$D$5000,Entries!$C$2:$C$5000,"Actual",Entries!$A$2:$A$5000,$A21,Entries!$B$2:$B$5000,Q$1))</f>
        <v/>
      </c>
      <c r="R21" s="88">
        <f>IF(OR(R$1="",$BE21=0),"",SUMIFS(Entries!$D$2:$D$5000,Entries!$C$2:$C$5000,"Actual",Entries!$A$2:$A$5000,$A21,Entries!$B$2:$B$5000,R$1))</f>
        <v/>
      </c>
      <c r="S21" s="88">
        <f>IF(OR(S$1="",$BE21=0),"",SUMIFS(Entries!$D$2:$D$5000,Entries!$C$2:$C$5000,"Actual",Entries!$A$2:$A$5000,$A21,Entries!$B$2:$B$5000,S$1))</f>
        <v/>
      </c>
      <c r="T21" s="88">
        <f>IF(OR(T$1="",$BE21=0),"",SUMIFS(Entries!$D$2:$D$5000,Entries!$C$2:$C$5000,"Actual",Entries!$A$2:$A$5000,$A21,Entries!$B$2:$B$5000,T$1))</f>
        <v/>
      </c>
      <c r="U21" s="88">
        <f>IF(OR(U$1="",$BE21=0),"",SUMIFS(Entries!$D$2:$D$5000,Entries!$C$2:$C$5000,"Actual",Entries!$A$2:$A$5000,$A21,Entries!$B$2:$B$5000,U$1))</f>
        <v/>
      </c>
      <c r="V21" s="88">
        <f>IF(OR(V$1="",$BE21=0),"",SUMIFS(Entries!$D$2:$D$5000,Entries!$C$2:$C$5000,"Actual",Entries!$A$2:$A$5000,$A21,Entries!$B$2:$B$5000,V$1))</f>
        <v/>
      </c>
      <c r="W21" s="88">
        <f>IF(OR(W$1="",$BE21=0),"",SUMIFS(Entries!$D$2:$D$5000,Entries!$C$2:$C$5000,"Actual",Entries!$A$2:$A$5000,$A21,Entries!$B$2:$B$5000,W$1))</f>
        <v/>
      </c>
      <c r="X21" s="88">
        <f>IF(OR(X$1="",$BE21=0),"",SUMIFS(Entries!$D$2:$D$5000,Entries!$C$2:$C$5000,"Actual",Entries!$A$2:$A$5000,$A21,Entries!$B$2:$B$5000,X$1))</f>
        <v/>
      </c>
      <c r="Y21" s="88">
        <f>IF(OR(Y$1="",$BE21=0),"",SUMIFS(Entries!$D$2:$D$5000,Entries!$C$2:$C$5000,"Actual",Entries!$A$2:$A$5000,$A21,Entries!$B$2:$B$5000,Y$1))</f>
        <v/>
      </c>
      <c r="Z21" s="88">
        <f>IF(OR(Z$1="",$BE21=0),"",SUMIFS(Entries!$D$2:$D$5000,Entries!$C$2:$C$5000,"Actual",Entries!$A$2:$A$5000,$A21,Entries!$B$2:$B$5000,Z$1))</f>
        <v/>
      </c>
      <c r="AA21" s="88">
        <f>IF(OR(AA$1="",$BE21=0),"",SUMIFS(Entries!$D$2:$D$5000,Entries!$C$2:$C$5000,"Actual",Entries!$A$2:$A$5000,$A21,Entries!$B$2:$B$5000,AA$1))</f>
        <v/>
      </c>
      <c r="AB21" s="88">
        <f>IF(OR(AB$1="",$BE21=0),"",SUMIFS(Entries!$D$2:$D$5000,Entries!$C$2:$C$5000,"Actual",Entries!$A$2:$A$5000,$A21,Entries!$B$2:$B$5000,AB$1))</f>
        <v/>
      </c>
      <c r="AC21" s="88">
        <f>IF(OR(AC$1="",$BE21=0),"",SUMIFS(Entries!$D$2:$D$5000,Entries!$C$2:$C$5000,"Actual",Entries!$A$2:$A$5000,$A21,Entries!$B$2:$B$5000,AC$1))</f>
        <v/>
      </c>
      <c r="AD21" s="88">
        <f>IF(OR(AD$1="",$BE21=0),"",SUMIFS(Entries!$D$2:$D$5000,Entries!$C$2:$C$5000,"Actual",Entries!$A$2:$A$5000,$A21,Entries!$B$2:$B$5000,AD$1))</f>
        <v/>
      </c>
      <c r="AE21" s="88">
        <f>IF(OR(AE$1="",$BE21=0),"",SUMIFS(Entries!$D$2:$D$5000,Entries!$C$2:$C$5000,"Actual",Entries!$A$2:$A$5000,$A21,Entries!$B$2:$B$5000,AE$1))</f>
        <v/>
      </c>
      <c r="AF21" s="88">
        <f>IF(OR(AF$1="",$BE21=0),"",SUMIFS(Entries!$D$2:$D$5000,Entries!$C$2:$C$5000,"Actual",Entries!$A$2:$A$5000,$A21,Entries!$B$2:$B$5000,AF$1))</f>
        <v/>
      </c>
      <c r="AG21" s="88">
        <f>IF(OR(AG$1="",$BE21=0),"",SUMIFS(Entries!$D$2:$D$5000,Entries!$C$2:$C$5000,"Actual",Entries!$A$2:$A$5000,$A21,Entries!$B$2:$B$5000,AG$1))</f>
        <v/>
      </c>
      <c r="AH21" s="88">
        <f>IF(OR(AH$1="",$BE21=0),"",SUMIFS(Entries!$D$2:$D$5000,Entries!$C$2:$C$5000,"Actual",Entries!$A$2:$A$5000,$A21,Entries!$B$2:$B$5000,AH$1))</f>
        <v/>
      </c>
      <c r="AJ21" s="88">
        <f>IF(OR(AJ$1="",$BE21=0),"",IFERROR(LOOKUP(2,1/((Budgets!$A$2:$A$200=AJ$1)*(Budgets!$B$2:$B$200&lt;=$A21)),Budgets!$C$2:$C$200),0))</f>
        <v/>
      </c>
      <c r="AK21" s="88">
        <f>IF(OR(AK$1="",$BE21=0),"",IFERROR(LOOKUP(2,1/((Budgets!$A$2:$A$200=AK$1)*(Budgets!$B$2:$B$200&lt;=$A21)),Budgets!$C$2:$C$200),0))</f>
        <v/>
      </c>
      <c r="AL21" s="88">
        <f>IF(OR(AL$1="",$BE21=0),"",IFERROR(LOOKUP(2,1/((Budgets!$A$2:$A$200=AL$1)*(Budgets!$B$2:$B$200&lt;=$A21)),Budgets!$C$2:$C$200),0))</f>
        <v/>
      </c>
      <c r="AM21" s="88">
        <f>IF(OR(AM$1="",$BE21=0),"",IFERROR(LOOKUP(2,1/((Budgets!$A$2:$A$200=AM$1)*(Budgets!$B$2:$B$200&lt;=$A21)),Budgets!$C$2:$C$200),0))</f>
        <v/>
      </c>
      <c r="AN21" s="88">
        <f>IF(OR(AN$1="",$BE21=0),"",IFERROR(LOOKUP(2,1/((Budgets!$A$2:$A$200=AN$1)*(Budgets!$B$2:$B$200&lt;=$A21)),Budgets!$C$2:$C$200),0))</f>
        <v/>
      </c>
      <c r="AO21" s="88">
        <f>IF(OR(AO$1="",$BE21=0),"",IFERROR(LOOKUP(2,1/((Budgets!$A$2:$A$200=AO$1)*(Budgets!$B$2:$B$200&lt;=$A21)),Budgets!$C$2:$C$200),0))</f>
        <v/>
      </c>
      <c r="AP21" s="88">
        <f>IF(OR(AP$1="",$BE21=0),"",IFERROR(LOOKUP(2,1/((Budgets!$A$2:$A$200=AP$1)*(Budgets!$B$2:$B$200&lt;=$A21)),Budgets!$C$2:$C$200),0))</f>
        <v/>
      </c>
      <c r="AQ21" s="88">
        <f>IF(OR(AQ$1="",$BE21=0),"",IFERROR(LOOKUP(2,1/((Budgets!$A$2:$A$200=AQ$1)*(Budgets!$B$2:$B$200&lt;=$A21)),Budgets!$C$2:$C$200),0))</f>
        <v/>
      </c>
      <c r="AR21" s="88">
        <f>IF(OR(AR$1="",$BE21=0),"",IFERROR(LOOKUP(2,1/((Budgets!$A$2:$A$200=AR$1)*(Budgets!$B$2:$B$200&lt;=$A21)),Budgets!$C$2:$C$200),0))</f>
        <v/>
      </c>
      <c r="AS21" s="88">
        <f>IF(OR(AS$1="",$BE21=0),"",IFERROR(LOOKUP(2,1/((Budgets!$A$2:$A$200=AS$1)*(Budgets!$B$2:$B$200&lt;=$A21)),Budgets!$C$2:$C$200),0))</f>
        <v/>
      </c>
      <c r="AT21" s="88">
        <f>IF(OR(AT$1="",$BE21=0),"",IFERROR(LOOKUP(2,1/((Budgets!$A$2:$A$200=AT$1)*(Budgets!$B$2:$B$200&lt;=$A21)),Budgets!$C$2:$C$200),0))</f>
        <v/>
      </c>
      <c r="AU21" s="88">
        <f>IF(OR(AU$1="",$BE21=0),"",IFERROR(LOOKUP(2,1/((Budgets!$A$2:$A$200=AU$1)*(Budgets!$B$2:$B$200&lt;=$A21)),Budgets!$C$2:$C$200),0))</f>
        <v/>
      </c>
      <c r="AV21" s="88">
        <f>IF(OR(AV$1="",$BE21=0),"",IFERROR(LOOKUP(2,1/((Budgets!$A$2:$A$200=AV$1)*(Budgets!$B$2:$B$200&lt;=$A21)),Budgets!$C$2:$C$200),0))</f>
        <v/>
      </c>
      <c r="AW21" s="88">
        <f>IF(OR(AW$1="",$BE21=0),"",IFERROR(LOOKUP(2,1/((Budgets!$A$2:$A$200=AW$1)*(Budgets!$B$2:$B$200&lt;=$A21)),Budgets!$C$2:$C$200),0))</f>
        <v/>
      </c>
      <c r="AX21" s="88">
        <f>IF(OR(AX$1="",$BE21=0),"",IFERROR(LOOKUP(2,1/((Budgets!$A$2:$A$200=AX$1)*(Budgets!$B$2:$B$200&lt;=$A21)),Budgets!$C$2:$C$200),0))</f>
        <v/>
      </c>
      <c r="AY21" s="88">
        <f>IF(OR(AY$1="",$BE21=0),"",IFERROR(LOOKUP(2,1/((Budgets!$A$2:$A$200=AY$1)*(Budgets!$B$2:$B$200&lt;=$A21)),Budgets!$C$2:$C$200),0))</f>
        <v/>
      </c>
      <c r="AZ21" s="88">
        <f>IF(OR(AZ$1="",$BE21=0),"",IFERROR(LOOKUP(2,1/((Budgets!$A$2:$A$200=AZ$1)*(Budgets!$B$2:$B$200&lt;=$A21)),Budgets!$C$2:$C$200),0))</f>
        <v/>
      </c>
      <c r="BA21" s="88">
        <f>IF(OR(BA$1="",$BE21=0),"",IFERROR(LOOKUP(2,1/((Budgets!$A$2:$A$200=BA$1)*(Budgets!$B$2:$B$200&lt;=$A21)),Budgets!$C$2:$C$200),0))</f>
        <v/>
      </c>
      <c r="BB21" s="88">
        <f>IF(OR(BB$1="",$BE21=0),"",IFERROR(LOOKUP(2,1/((Budgets!$A$2:$A$200=BB$1)*(Budgets!$B$2:$B$200&lt;=$A21)),Budgets!$C$2:$C$200),0))</f>
        <v/>
      </c>
      <c r="BC21" s="88">
        <f>IF(OR(BC$1="",$BE21=0),"",IFERROR(LOOKUP(2,1/((Budgets!$A$2:$A$200=BC$1)*(Budgets!$B$2:$B$200&lt;=$A21)),Budgets!$C$2:$C$200),0))</f>
        <v/>
      </c>
      <c r="BE21" s="67">
        <f>COUNTIFS(Entries!$A$2:$A$5000,$A21)</f>
        <v/>
      </c>
    </row>
    <row r="22" ht="15" customHeight="1" s="43">
      <c r="A22" s="87" t="n">
        <v>40057</v>
      </c>
      <c r="B22" s="88">
        <f>IF($BE22=0,NA(),SUMIFS(Entries!$D$2:$D$5000,Entries!$C$2:$C$5000,"Income",Entries!$A$2:$A$5000,$A22))</f>
        <v/>
      </c>
      <c r="C22" s="88">
        <f>IF($BE22=0,"",SUMIFS(Entries!$D$2:$D$5000,Entries!$C$2:$C$5000,"Actual",Entries!$A$2:$A$5000,$A22))</f>
        <v/>
      </c>
      <c r="D22" s="88">
        <f>IF($BE22=0,"",SUMIFS(Entries!$D$2:$D$5000,Entries!$C$2:$C$5000,"One-off",Entries!$A$2:$A$5000,$A22))</f>
        <v/>
      </c>
      <c r="E22" s="88">
        <f>IF($BE22=0,NA(),C22+D22)</f>
        <v/>
      </c>
      <c r="F22" s="88">
        <f>IF($BE22=0,"",SUM(AJ22:BC22))</f>
        <v/>
      </c>
      <c r="G22" s="88">
        <f>IF($BE22=0,"",B22-E22)</f>
        <v/>
      </c>
      <c r="H22" s="88">
        <f>IF($BE22=0,"",SUM($G$2:G22))</f>
        <v/>
      </c>
      <c r="I22" s="88">
        <f>IF($BE22=0,"",SUMIFS(Entries!$F$2:$F$5000,Entries!$A$2:$A$5000,$A22))</f>
        <v/>
      </c>
      <c r="J22" s="88">
        <f>IF($BE22=0,NA(),H22+SUM($I$2:I22))</f>
        <v/>
      </c>
      <c r="K22" s="88">
        <f>IF($BE22=0,"",SUMIFS(Entries!$D$2:$D$5000,Entries!$C$2:$C$5000,"Income",Entries!$A$2:$A$5000,"&gt;="&amp;EDATE($A22,-11),Entries!$A$2:$A$5000,"&lt;="&amp;$A22)/12)</f>
        <v/>
      </c>
      <c r="L22" s="88">
        <f>IF($BE22=0,"",(SUMIFS(Entries!$D$2:$D$5000,Entries!$C$2:$C$5000,"Actual",Entries!$A$2:$A$5000,"&gt;="&amp;EDATE($A22,-11),Entries!$A$2:$A$5000,"&lt;="&amp;$A22)+SUMIFS(Entries!$D$2:$D$5000,Entries!$C$2:$C$5000,"One-off",Entries!$A$2:$A$5000,"&gt;="&amp;EDATE($A22,-11),Entries!$A$2:$A$5000,"&lt;="&amp;$A22))/12)</f>
        <v/>
      </c>
      <c r="M22" s="70">
        <f>IF($BE22=0,NA(),IFERROR((K22-L22)/K22,0))</f>
        <v/>
      </c>
      <c r="O22" s="88">
        <f>IF(OR(O$1="",$BE22=0),"",SUMIFS(Entries!$D$2:$D$5000,Entries!$C$2:$C$5000,"Actual",Entries!$A$2:$A$5000,$A22,Entries!$B$2:$B$5000,O$1))</f>
        <v/>
      </c>
      <c r="P22" s="88">
        <f>IF(OR(P$1="",$BE22=0),"",SUMIFS(Entries!$D$2:$D$5000,Entries!$C$2:$C$5000,"Actual",Entries!$A$2:$A$5000,$A22,Entries!$B$2:$B$5000,P$1))</f>
        <v/>
      </c>
      <c r="Q22" s="88">
        <f>IF(OR(Q$1="",$BE22=0),"",SUMIFS(Entries!$D$2:$D$5000,Entries!$C$2:$C$5000,"Actual",Entries!$A$2:$A$5000,$A22,Entries!$B$2:$B$5000,Q$1))</f>
        <v/>
      </c>
      <c r="R22" s="88">
        <f>IF(OR(R$1="",$BE22=0),"",SUMIFS(Entries!$D$2:$D$5000,Entries!$C$2:$C$5000,"Actual",Entries!$A$2:$A$5000,$A22,Entries!$B$2:$B$5000,R$1))</f>
        <v/>
      </c>
      <c r="S22" s="88">
        <f>IF(OR(S$1="",$BE22=0),"",SUMIFS(Entries!$D$2:$D$5000,Entries!$C$2:$C$5000,"Actual",Entries!$A$2:$A$5000,$A22,Entries!$B$2:$B$5000,S$1))</f>
        <v/>
      </c>
      <c r="T22" s="88">
        <f>IF(OR(T$1="",$BE22=0),"",SUMIFS(Entries!$D$2:$D$5000,Entries!$C$2:$C$5000,"Actual",Entries!$A$2:$A$5000,$A22,Entries!$B$2:$B$5000,T$1))</f>
        <v/>
      </c>
      <c r="U22" s="88">
        <f>IF(OR(U$1="",$BE22=0),"",SUMIFS(Entries!$D$2:$D$5000,Entries!$C$2:$C$5000,"Actual",Entries!$A$2:$A$5000,$A22,Entries!$B$2:$B$5000,U$1))</f>
        <v/>
      </c>
      <c r="V22" s="88">
        <f>IF(OR(V$1="",$BE22=0),"",SUMIFS(Entries!$D$2:$D$5000,Entries!$C$2:$C$5000,"Actual",Entries!$A$2:$A$5000,$A22,Entries!$B$2:$B$5000,V$1))</f>
        <v/>
      </c>
      <c r="W22" s="88">
        <f>IF(OR(W$1="",$BE22=0),"",SUMIFS(Entries!$D$2:$D$5000,Entries!$C$2:$C$5000,"Actual",Entries!$A$2:$A$5000,$A22,Entries!$B$2:$B$5000,W$1))</f>
        <v/>
      </c>
      <c r="X22" s="88">
        <f>IF(OR(X$1="",$BE22=0),"",SUMIFS(Entries!$D$2:$D$5000,Entries!$C$2:$C$5000,"Actual",Entries!$A$2:$A$5000,$A22,Entries!$B$2:$B$5000,X$1))</f>
        <v/>
      </c>
      <c r="Y22" s="88">
        <f>IF(OR(Y$1="",$BE22=0),"",SUMIFS(Entries!$D$2:$D$5000,Entries!$C$2:$C$5000,"Actual",Entries!$A$2:$A$5000,$A22,Entries!$B$2:$B$5000,Y$1))</f>
        <v/>
      </c>
      <c r="Z22" s="88">
        <f>IF(OR(Z$1="",$BE22=0),"",SUMIFS(Entries!$D$2:$D$5000,Entries!$C$2:$C$5000,"Actual",Entries!$A$2:$A$5000,$A22,Entries!$B$2:$B$5000,Z$1))</f>
        <v/>
      </c>
      <c r="AA22" s="88">
        <f>IF(OR(AA$1="",$BE22=0),"",SUMIFS(Entries!$D$2:$D$5000,Entries!$C$2:$C$5000,"Actual",Entries!$A$2:$A$5000,$A22,Entries!$B$2:$B$5000,AA$1))</f>
        <v/>
      </c>
      <c r="AB22" s="88">
        <f>IF(OR(AB$1="",$BE22=0),"",SUMIFS(Entries!$D$2:$D$5000,Entries!$C$2:$C$5000,"Actual",Entries!$A$2:$A$5000,$A22,Entries!$B$2:$B$5000,AB$1))</f>
        <v/>
      </c>
      <c r="AC22" s="88">
        <f>IF(OR(AC$1="",$BE22=0),"",SUMIFS(Entries!$D$2:$D$5000,Entries!$C$2:$C$5000,"Actual",Entries!$A$2:$A$5000,$A22,Entries!$B$2:$B$5000,AC$1))</f>
        <v/>
      </c>
      <c r="AD22" s="88">
        <f>IF(OR(AD$1="",$BE22=0),"",SUMIFS(Entries!$D$2:$D$5000,Entries!$C$2:$C$5000,"Actual",Entries!$A$2:$A$5000,$A22,Entries!$B$2:$B$5000,AD$1))</f>
        <v/>
      </c>
      <c r="AE22" s="88">
        <f>IF(OR(AE$1="",$BE22=0),"",SUMIFS(Entries!$D$2:$D$5000,Entries!$C$2:$C$5000,"Actual",Entries!$A$2:$A$5000,$A22,Entries!$B$2:$B$5000,AE$1))</f>
        <v/>
      </c>
      <c r="AF22" s="88">
        <f>IF(OR(AF$1="",$BE22=0),"",SUMIFS(Entries!$D$2:$D$5000,Entries!$C$2:$C$5000,"Actual",Entries!$A$2:$A$5000,$A22,Entries!$B$2:$B$5000,AF$1))</f>
        <v/>
      </c>
      <c r="AG22" s="88">
        <f>IF(OR(AG$1="",$BE22=0),"",SUMIFS(Entries!$D$2:$D$5000,Entries!$C$2:$C$5000,"Actual",Entries!$A$2:$A$5000,$A22,Entries!$B$2:$B$5000,AG$1))</f>
        <v/>
      </c>
      <c r="AH22" s="88">
        <f>IF(OR(AH$1="",$BE22=0),"",SUMIFS(Entries!$D$2:$D$5000,Entries!$C$2:$C$5000,"Actual",Entries!$A$2:$A$5000,$A22,Entries!$B$2:$B$5000,AH$1))</f>
        <v/>
      </c>
      <c r="AJ22" s="88">
        <f>IF(OR(AJ$1="",$BE22=0),"",IFERROR(LOOKUP(2,1/((Budgets!$A$2:$A$200=AJ$1)*(Budgets!$B$2:$B$200&lt;=$A22)),Budgets!$C$2:$C$200),0))</f>
        <v/>
      </c>
      <c r="AK22" s="88">
        <f>IF(OR(AK$1="",$BE22=0),"",IFERROR(LOOKUP(2,1/((Budgets!$A$2:$A$200=AK$1)*(Budgets!$B$2:$B$200&lt;=$A22)),Budgets!$C$2:$C$200),0))</f>
        <v/>
      </c>
      <c r="AL22" s="88">
        <f>IF(OR(AL$1="",$BE22=0),"",IFERROR(LOOKUP(2,1/((Budgets!$A$2:$A$200=AL$1)*(Budgets!$B$2:$B$200&lt;=$A22)),Budgets!$C$2:$C$200),0))</f>
        <v/>
      </c>
      <c r="AM22" s="88">
        <f>IF(OR(AM$1="",$BE22=0),"",IFERROR(LOOKUP(2,1/((Budgets!$A$2:$A$200=AM$1)*(Budgets!$B$2:$B$200&lt;=$A22)),Budgets!$C$2:$C$200),0))</f>
        <v/>
      </c>
      <c r="AN22" s="88">
        <f>IF(OR(AN$1="",$BE22=0),"",IFERROR(LOOKUP(2,1/((Budgets!$A$2:$A$200=AN$1)*(Budgets!$B$2:$B$200&lt;=$A22)),Budgets!$C$2:$C$200),0))</f>
        <v/>
      </c>
      <c r="AO22" s="88">
        <f>IF(OR(AO$1="",$BE22=0),"",IFERROR(LOOKUP(2,1/((Budgets!$A$2:$A$200=AO$1)*(Budgets!$B$2:$B$200&lt;=$A22)),Budgets!$C$2:$C$200),0))</f>
        <v/>
      </c>
      <c r="AP22" s="88">
        <f>IF(OR(AP$1="",$BE22=0),"",IFERROR(LOOKUP(2,1/((Budgets!$A$2:$A$200=AP$1)*(Budgets!$B$2:$B$200&lt;=$A22)),Budgets!$C$2:$C$200),0))</f>
        <v/>
      </c>
      <c r="AQ22" s="88">
        <f>IF(OR(AQ$1="",$BE22=0),"",IFERROR(LOOKUP(2,1/((Budgets!$A$2:$A$200=AQ$1)*(Budgets!$B$2:$B$200&lt;=$A22)),Budgets!$C$2:$C$200),0))</f>
        <v/>
      </c>
      <c r="AR22" s="88">
        <f>IF(OR(AR$1="",$BE22=0),"",IFERROR(LOOKUP(2,1/((Budgets!$A$2:$A$200=AR$1)*(Budgets!$B$2:$B$200&lt;=$A22)),Budgets!$C$2:$C$200),0))</f>
        <v/>
      </c>
      <c r="AS22" s="88">
        <f>IF(OR(AS$1="",$BE22=0),"",IFERROR(LOOKUP(2,1/((Budgets!$A$2:$A$200=AS$1)*(Budgets!$B$2:$B$200&lt;=$A22)),Budgets!$C$2:$C$200),0))</f>
        <v/>
      </c>
      <c r="AT22" s="88">
        <f>IF(OR(AT$1="",$BE22=0),"",IFERROR(LOOKUP(2,1/((Budgets!$A$2:$A$200=AT$1)*(Budgets!$B$2:$B$200&lt;=$A22)),Budgets!$C$2:$C$200),0))</f>
        <v/>
      </c>
      <c r="AU22" s="88">
        <f>IF(OR(AU$1="",$BE22=0),"",IFERROR(LOOKUP(2,1/((Budgets!$A$2:$A$200=AU$1)*(Budgets!$B$2:$B$200&lt;=$A22)),Budgets!$C$2:$C$200),0))</f>
        <v/>
      </c>
      <c r="AV22" s="88">
        <f>IF(OR(AV$1="",$BE22=0),"",IFERROR(LOOKUP(2,1/((Budgets!$A$2:$A$200=AV$1)*(Budgets!$B$2:$B$200&lt;=$A22)),Budgets!$C$2:$C$200),0))</f>
        <v/>
      </c>
      <c r="AW22" s="88">
        <f>IF(OR(AW$1="",$BE22=0),"",IFERROR(LOOKUP(2,1/((Budgets!$A$2:$A$200=AW$1)*(Budgets!$B$2:$B$200&lt;=$A22)),Budgets!$C$2:$C$200),0))</f>
        <v/>
      </c>
      <c r="AX22" s="88">
        <f>IF(OR(AX$1="",$BE22=0),"",IFERROR(LOOKUP(2,1/((Budgets!$A$2:$A$200=AX$1)*(Budgets!$B$2:$B$200&lt;=$A22)),Budgets!$C$2:$C$200),0))</f>
        <v/>
      </c>
      <c r="AY22" s="88">
        <f>IF(OR(AY$1="",$BE22=0),"",IFERROR(LOOKUP(2,1/((Budgets!$A$2:$A$200=AY$1)*(Budgets!$B$2:$B$200&lt;=$A22)),Budgets!$C$2:$C$200),0))</f>
        <v/>
      </c>
      <c r="AZ22" s="88">
        <f>IF(OR(AZ$1="",$BE22=0),"",IFERROR(LOOKUP(2,1/((Budgets!$A$2:$A$200=AZ$1)*(Budgets!$B$2:$B$200&lt;=$A22)),Budgets!$C$2:$C$200),0))</f>
        <v/>
      </c>
      <c r="BA22" s="88">
        <f>IF(OR(BA$1="",$BE22=0),"",IFERROR(LOOKUP(2,1/((Budgets!$A$2:$A$200=BA$1)*(Budgets!$B$2:$B$200&lt;=$A22)),Budgets!$C$2:$C$200),0))</f>
        <v/>
      </c>
      <c r="BB22" s="88">
        <f>IF(OR(BB$1="",$BE22=0),"",IFERROR(LOOKUP(2,1/((Budgets!$A$2:$A$200=BB$1)*(Budgets!$B$2:$B$200&lt;=$A22)),Budgets!$C$2:$C$200),0))</f>
        <v/>
      </c>
      <c r="BC22" s="88">
        <f>IF(OR(BC$1="",$BE22=0),"",IFERROR(LOOKUP(2,1/((Budgets!$A$2:$A$200=BC$1)*(Budgets!$B$2:$B$200&lt;=$A22)),Budgets!$C$2:$C$200),0))</f>
        <v/>
      </c>
      <c r="BE22" s="67">
        <f>COUNTIFS(Entries!$A$2:$A$5000,$A22)</f>
        <v/>
      </c>
    </row>
    <row r="23" ht="15" customHeight="1" s="43">
      <c r="A23" s="87" t="n">
        <v>40087</v>
      </c>
      <c r="B23" s="88">
        <f>IF($BE23=0,NA(),SUMIFS(Entries!$D$2:$D$5000,Entries!$C$2:$C$5000,"Income",Entries!$A$2:$A$5000,$A23))</f>
        <v/>
      </c>
      <c r="C23" s="88">
        <f>IF($BE23=0,"",SUMIFS(Entries!$D$2:$D$5000,Entries!$C$2:$C$5000,"Actual",Entries!$A$2:$A$5000,$A23))</f>
        <v/>
      </c>
      <c r="D23" s="88">
        <f>IF($BE23=0,"",SUMIFS(Entries!$D$2:$D$5000,Entries!$C$2:$C$5000,"One-off",Entries!$A$2:$A$5000,$A23))</f>
        <v/>
      </c>
      <c r="E23" s="88">
        <f>IF($BE23=0,NA(),C23+D23)</f>
        <v/>
      </c>
      <c r="F23" s="88">
        <f>IF($BE23=0,"",SUM(AJ23:BC23))</f>
        <v/>
      </c>
      <c r="G23" s="88">
        <f>IF($BE23=0,"",B23-E23)</f>
        <v/>
      </c>
      <c r="H23" s="88">
        <f>IF($BE23=0,"",SUM($G$2:G23))</f>
        <v/>
      </c>
      <c r="I23" s="88">
        <f>IF($BE23=0,"",SUMIFS(Entries!$F$2:$F$5000,Entries!$A$2:$A$5000,$A23))</f>
        <v/>
      </c>
      <c r="J23" s="88">
        <f>IF($BE23=0,NA(),H23+SUM($I$2:I23))</f>
        <v/>
      </c>
      <c r="K23" s="88">
        <f>IF($BE23=0,"",SUMIFS(Entries!$D$2:$D$5000,Entries!$C$2:$C$5000,"Income",Entries!$A$2:$A$5000,"&gt;="&amp;EDATE($A23,-11),Entries!$A$2:$A$5000,"&lt;="&amp;$A23)/12)</f>
        <v/>
      </c>
      <c r="L23" s="88">
        <f>IF($BE23=0,"",(SUMIFS(Entries!$D$2:$D$5000,Entries!$C$2:$C$5000,"Actual",Entries!$A$2:$A$5000,"&gt;="&amp;EDATE($A23,-11),Entries!$A$2:$A$5000,"&lt;="&amp;$A23)+SUMIFS(Entries!$D$2:$D$5000,Entries!$C$2:$C$5000,"One-off",Entries!$A$2:$A$5000,"&gt;="&amp;EDATE($A23,-11),Entries!$A$2:$A$5000,"&lt;="&amp;$A23))/12)</f>
        <v/>
      </c>
      <c r="M23" s="70">
        <f>IF($BE23=0,NA(),IFERROR((K23-L23)/K23,0))</f>
        <v/>
      </c>
      <c r="O23" s="88">
        <f>IF(OR(O$1="",$BE23=0),"",SUMIFS(Entries!$D$2:$D$5000,Entries!$C$2:$C$5000,"Actual",Entries!$A$2:$A$5000,$A23,Entries!$B$2:$B$5000,O$1))</f>
        <v/>
      </c>
      <c r="P23" s="88">
        <f>IF(OR(P$1="",$BE23=0),"",SUMIFS(Entries!$D$2:$D$5000,Entries!$C$2:$C$5000,"Actual",Entries!$A$2:$A$5000,$A23,Entries!$B$2:$B$5000,P$1))</f>
        <v/>
      </c>
      <c r="Q23" s="88">
        <f>IF(OR(Q$1="",$BE23=0),"",SUMIFS(Entries!$D$2:$D$5000,Entries!$C$2:$C$5000,"Actual",Entries!$A$2:$A$5000,$A23,Entries!$B$2:$B$5000,Q$1))</f>
        <v/>
      </c>
      <c r="R23" s="88">
        <f>IF(OR(R$1="",$BE23=0),"",SUMIFS(Entries!$D$2:$D$5000,Entries!$C$2:$C$5000,"Actual",Entries!$A$2:$A$5000,$A23,Entries!$B$2:$B$5000,R$1))</f>
        <v/>
      </c>
      <c r="S23" s="88">
        <f>IF(OR(S$1="",$BE23=0),"",SUMIFS(Entries!$D$2:$D$5000,Entries!$C$2:$C$5000,"Actual",Entries!$A$2:$A$5000,$A23,Entries!$B$2:$B$5000,S$1))</f>
        <v/>
      </c>
      <c r="T23" s="88">
        <f>IF(OR(T$1="",$BE23=0),"",SUMIFS(Entries!$D$2:$D$5000,Entries!$C$2:$C$5000,"Actual",Entries!$A$2:$A$5000,$A23,Entries!$B$2:$B$5000,T$1))</f>
        <v/>
      </c>
      <c r="U23" s="88">
        <f>IF(OR(U$1="",$BE23=0),"",SUMIFS(Entries!$D$2:$D$5000,Entries!$C$2:$C$5000,"Actual",Entries!$A$2:$A$5000,$A23,Entries!$B$2:$B$5000,U$1))</f>
        <v/>
      </c>
      <c r="V23" s="88">
        <f>IF(OR(V$1="",$BE23=0),"",SUMIFS(Entries!$D$2:$D$5000,Entries!$C$2:$C$5000,"Actual",Entries!$A$2:$A$5000,$A23,Entries!$B$2:$B$5000,V$1))</f>
        <v/>
      </c>
      <c r="W23" s="88">
        <f>IF(OR(W$1="",$BE23=0),"",SUMIFS(Entries!$D$2:$D$5000,Entries!$C$2:$C$5000,"Actual",Entries!$A$2:$A$5000,$A23,Entries!$B$2:$B$5000,W$1))</f>
        <v/>
      </c>
      <c r="X23" s="88">
        <f>IF(OR(X$1="",$BE23=0),"",SUMIFS(Entries!$D$2:$D$5000,Entries!$C$2:$C$5000,"Actual",Entries!$A$2:$A$5000,$A23,Entries!$B$2:$B$5000,X$1))</f>
        <v/>
      </c>
      <c r="Y23" s="88">
        <f>IF(OR(Y$1="",$BE23=0),"",SUMIFS(Entries!$D$2:$D$5000,Entries!$C$2:$C$5000,"Actual",Entries!$A$2:$A$5000,$A23,Entries!$B$2:$B$5000,Y$1))</f>
        <v/>
      </c>
      <c r="Z23" s="88">
        <f>IF(OR(Z$1="",$BE23=0),"",SUMIFS(Entries!$D$2:$D$5000,Entries!$C$2:$C$5000,"Actual",Entries!$A$2:$A$5000,$A23,Entries!$B$2:$B$5000,Z$1))</f>
        <v/>
      </c>
      <c r="AA23" s="88">
        <f>IF(OR(AA$1="",$BE23=0),"",SUMIFS(Entries!$D$2:$D$5000,Entries!$C$2:$C$5000,"Actual",Entries!$A$2:$A$5000,$A23,Entries!$B$2:$B$5000,AA$1))</f>
        <v/>
      </c>
      <c r="AB23" s="88">
        <f>IF(OR(AB$1="",$BE23=0),"",SUMIFS(Entries!$D$2:$D$5000,Entries!$C$2:$C$5000,"Actual",Entries!$A$2:$A$5000,$A23,Entries!$B$2:$B$5000,AB$1))</f>
        <v/>
      </c>
      <c r="AC23" s="88">
        <f>IF(OR(AC$1="",$BE23=0),"",SUMIFS(Entries!$D$2:$D$5000,Entries!$C$2:$C$5000,"Actual",Entries!$A$2:$A$5000,$A23,Entries!$B$2:$B$5000,AC$1))</f>
        <v/>
      </c>
      <c r="AD23" s="88">
        <f>IF(OR(AD$1="",$BE23=0),"",SUMIFS(Entries!$D$2:$D$5000,Entries!$C$2:$C$5000,"Actual",Entries!$A$2:$A$5000,$A23,Entries!$B$2:$B$5000,AD$1))</f>
        <v/>
      </c>
      <c r="AE23" s="88">
        <f>IF(OR(AE$1="",$BE23=0),"",SUMIFS(Entries!$D$2:$D$5000,Entries!$C$2:$C$5000,"Actual",Entries!$A$2:$A$5000,$A23,Entries!$B$2:$B$5000,AE$1))</f>
        <v/>
      </c>
      <c r="AF23" s="88">
        <f>IF(OR(AF$1="",$BE23=0),"",SUMIFS(Entries!$D$2:$D$5000,Entries!$C$2:$C$5000,"Actual",Entries!$A$2:$A$5000,$A23,Entries!$B$2:$B$5000,AF$1))</f>
        <v/>
      </c>
      <c r="AG23" s="88">
        <f>IF(OR(AG$1="",$BE23=0),"",SUMIFS(Entries!$D$2:$D$5000,Entries!$C$2:$C$5000,"Actual",Entries!$A$2:$A$5000,$A23,Entries!$B$2:$B$5000,AG$1))</f>
        <v/>
      </c>
      <c r="AH23" s="88">
        <f>IF(OR(AH$1="",$BE23=0),"",SUMIFS(Entries!$D$2:$D$5000,Entries!$C$2:$C$5000,"Actual",Entries!$A$2:$A$5000,$A23,Entries!$B$2:$B$5000,AH$1))</f>
        <v/>
      </c>
      <c r="AJ23" s="88">
        <f>IF(OR(AJ$1="",$BE23=0),"",IFERROR(LOOKUP(2,1/((Budgets!$A$2:$A$200=AJ$1)*(Budgets!$B$2:$B$200&lt;=$A23)),Budgets!$C$2:$C$200),0))</f>
        <v/>
      </c>
      <c r="AK23" s="88">
        <f>IF(OR(AK$1="",$BE23=0),"",IFERROR(LOOKUP(2,1/((Budgets!$A$2:$A$200=AK$1)*(Budgets!$B$2:$B$200&lt;=$A23)),Budgets!$C$2:$C$200),0))</f>
        <v/>
      </c>
      <c r="AL23" s="88">
        <f>IF(OR(AL$1="",$BE23=0),"",IFERROR(LOOKUP(2,1/((Budgets!$A$2:$A$200=AL$1)*(Budgets!$B$2:$B$200&lt;=$A23)),Budgets!$C$2:$C$200),0))</f>
        <v/>
      </c>
      <c r="AM23" s="88">
        <f>IF(OR(AM$1="",$BE23=0),"",IFERROR(LOOKUP(2,1/((Budgets!$A$2:$A$200=AM$1)*(Budgets!$B$2:$B$200&lt;=$A23)),Budgets!$C$2:$C$200),0))</f>
        <v/>
      </c>
      <c r="AN23" s="88">
        <f>IF(OR(AN$1="",$BE23=0),"",IFERROR(LOOKUP(2,1/((Budgets!$A$2:$A$200=AN$1)*(Budgets!$B$2:$B$200&lt;=$A23)),Budgets!$C$2:$C$200),0))</f>
        <v/>
      </c>
      <c r="AO23" s="88">
        <f>IF(OR(AO$1="",$BE23=0),"",IFERROR(LOOKUP(2,1/((Budgets!$A$2:$A$200=AO$1)*(Budgets!$B$2:$B$200&lt;=$A23)),Budgets!$C$2:$C$200),0))</f>
        <v/>
      </c>
      <c r="AP23" s="88">
        <f>IF(OR(AP$1="",$BE23=0),"",IFERROR(LOOKUP(2,1/((Budgets!$A$2:$A$200=AP$1)*(Budgets!$B$2:$B$200&lt;=$A23)),Budgets!$C$2:$C$200),0))</f>
        <v/>
      </c>
      <c r="AQ23" s="88">
        <f>IF(OR(AQ$1="",$BE23=0),"",IFERROR(LOOKUP(2,1/((Budgets!$A$2:$A$200=AQ$1)*(Budgets!$B$2:$B$200&lt;=$A23)),Budgets!$C$2:$C$200),0))</f>
        <v/>
      </c>
      <c r="AR23" s="88">
        <f>IF(OR(AR$1="",$BE23=0),"",IFERROR(LOOKUP(2,1/((Budgets!$A$2:$A$200=AR$1)*(Budgets!$B$2:$B$200&lt;=$A23)),Budgets!$C$2:$C$200),0))</f>
        <v/>
      </c>
      <c r="AS23" s="88">
        <f>IF(OR(AS$1="",$BE23=0),"",IFERROR(LOOKUP(2,1/((Budgets!$A$2:$A$200=AS$1)*(Budgets!$B$2:$B$200&lt;=$A23)),Budgets!$C$2:$C$200),0))</f>
        <v/>
      </c>
      <c r="AT23" s="88">
        <f>IF(OR(AT$1="",$BE23=0),"",IFERROR(LOOKUP(2,1/((Budgets!$A$2:$A$200=AT$1)*(Budgets!$B$2:$B$200&lt;=$A23)),Budgets!$C$2:$C$200),0))</f>
        <v/>
      </c>
      <c r="AU23" s="88">
        <f>IF(OR(AU$1="",$BE23=0),"",IFERROR(LOOKUP(2,1/((Budgets!$A$2:$A$200=AU$1)*(Budgets!$B$2:$B$200&lt;=$A23)),Budgets!$C$2:$C$200),0))</f>
        <v/>
      </c>
      <c r="AV23" s="88">
        <f>IF(OR(AV$1="",$BE23=0),"",IFERROR(LOOKUP(2,1/((Budgets!$A$2:$A$200=AV$1)*(Budgets!$B$2:$B$200&lt;=$A23)),Budgets!$C$2:$C$200),0))</f>
        <v/>
      </c>
      <c r="AW23" s="88">
        <f>IF(OR(AW$1="",$BE23=0),"",IFERROR(LOOKUP(2,1/((Budgets!$A$2:$A$200=AW$1)*(Budgets!$B$2:$B$200&lt;=$A23)),Budgets!$C$2:$C$200),0))</f>
        <v/>
      </c>
      <c r="AX23" s="88">
        <f>IF(OR(AX$1="",$BE23=0),"",IFERROR(LOOKUP(2,1/((Budgets!$A$2:$A$200=AX$1)*(Budgets!$B$2:$B$200&lt;=$A23)),Budgets!$C$2:$C$200),0))</f>
        <v/>
      </c>
      <c r="AY23" s="88">
        <f>IF(OR(AY$1="",$BE23=0),"",IFERROR(LOOKUP(2,1/((Budgets!$A$2:$A$200=AY$1)*(Budgets!$B$2:$B$200&lt;=$A23)),Budgets!$C$2:$C$200),0))</f>
        <v/>
      </c>
      <c r="AZ23" s="88">
        <f>IF(OR(AZ$1="",$BE23=0),"",IFERROR(LOOKUP(2,1/((Budgets!$A$2:$A$200=AZ$1)*(Budgets!$B$2:$B$200&lt;=$A23)),Budgets!$C$2:$C$200),0))</f>
        <v/>
      </c>
      <c r="BA23" s="88">
        <f>IF(OR(BA$1="",$BE23=0),"",IFERROR(LOOKUP(2,1/((Budgets!$A$2:$A$200=BA$1)*(Budgets!$B$2:$B$200&lt;=$A23)),Budgets!$C$2:$C$200),0))</f>
        <v/>
      </c>
      <c r="BB23" s="88">
        <f>IF(OR(BB$1="",$BE23=0),"",IFERROR(LOOKUP(2,1/((Budgets!$A$2:$A$200=BB$1)*(Budgets!$B$2:$B$200&lt;=$A23)),Budgets!$C$2:$C$200),0))</f>
        <v/>
      </c>
      <c r="BC23" s="88">
        <f>IF(OR(BC$1="",$BE23=0),"",IFERROR(LOOKUP(2,1/((Budgets!$A$2:$A$200=BC$1)*(Budgets!$B$2:$B$200&lt;=$A23)),Budgets!$C$2:$C$200),0))</f>
        <v/>
      </c>
      <c r="BE23" s="67">
        <f>COUNTIFS(Entries!$A$2:$A$5000,$A23)</f>
        <v/>
      </c>
    </row>
    <row r="24" ht="15" customHeight="1" s="43">
      <c r="A24" s="87" t="n">
        <v>40118</v>
      </c>
      <c r="B24" s="88">
        <f>IF($BE24=0,NA(),SUMIFS(Entries!$D$2:$D$5000,Entries!$C$2:$C$5000,"Income",Entries!$A$2:$A$5000,$A24))</f>
        <v/>
      </c>
      <c r="C24" s="88">
        <f>IF($BE24=0,"",SUMIFS(Entries!$D$2:$D$5000,Entries!$C$2:$C$5000,"Actual",Entries!$A$2:$A$5000,$A24))</f>
        <v/>
      </c>
      <c r="D24" s="88">
        <f>IF($BE24=0,"",SUMIFS(Entries!$D$2:$D$5000,Entries!$C$2:$C$5000,"One-off",Entries!$A$2:$A$5000,$A24))</f>
        <v/>
      </c>
      <c r="E24" s="88">
        <f>IF($BE24=0,NA(),C24+D24)</f>
        <v/>
      </c>
      <c r="F24" s="88">
        <f>IF($BE24=0,"",SUM(AJ24:BC24))</f>
        <v/>
      </c>
      <c r="G24" s="88">
        <f>IF($BE24=0,"",B24-E24)</f>
        <v/>
      </c>
      <c r="H24" s="88">
        <f>IF($BE24=0,"",SUM($G$2:G24))</f>
        <v/>
      </c>
      <c r="I24" s="88">
        <f>IF($BE24=0,"",SUMIFS(Entries!$F$2:$F$5000,Entries!$A$2:$A$5000,$A24))</f>
        <v/>
      </c>
      <c r="J24" s="88">
        <f>IF($BE24=0,NA(),H24+SUM($I$2:I24))</f>
        <v/>
      </c>
      <c r="K24" s="88">
        <f>IF($BE24=0,"",SUMIFS(Entries!$D$2:$D$5000,Entries!$C$2:$C$5000,"Income",Entries!$A$2:$A$5000,"&gt;="&amp;EDATE($A24,-11),Entries!$A$2:$A$5000,"&lt;="&amp;$A24)/12)</f>
        <v/>
      </c>
      <c r="L24" s="88">
        <f>IF($BE24=0,"",(SUMIFS(Entries!$D$2:$D$5000,Entries!$C$2:$C$5000,"Actual",Entries!$A$2:$A$5000,"&gt;="&amp;EDATE($A24,-11),Entries!$A$2:$A$5000,"&lt;="&amp;$A24)+SUMIFS(Entries!$D$2:$D$5000,Entries!$C$2:$C$5000,"One-off",Entries!$A$2:$A$5000,"&gt;="&amp;EDATE($A24,-11),Entries!$A$2:$A$5000,"&lt;="&amp;$A24))/12)</f>
        <v/>
      </c>
      <c r="M24" s="70">
        <f>IF($BE24=0,NA(),IFERROR((K24-L24)/K24,0))</f>
        <v/>
      </c>
      <c r="O24" s="88">
        <f>IF(OR(O$1="",$BE24=0),"",SUMIFS(Entries!$D$2:$D$5000,Entries!$C$2:$C$5000,"Actual",Entries!$A$2:$A$5000,$A24,Entries!$B$2:$B$5000,O$1))</f>
        <v/>
      </c>
      <c r="P24" s="88">
        <f>IF(OR(P$1="",$BE24=0),"",SUMIFS(Entries!$D$2:$D$5000,Entries!$C$2:$C$5000,"Actual",Entries!$A$2:$A$5000,$A24,Entries!$B$2:$B$5000,P$1))</f>
        <v/>
      </c>
      <c r="Q24" s="88">
        <f>IF(OR(Q$1="",$BE24=0),"",SUMIFS(Entries!$D$2:$D$5000,Entries!$C$2:$C$5000,"Actual",Entries!$A$2:$A$5000,$A24,Entries!$B$2:$B$5000,Q$1))</f>
        <v/>
      </c>
      <c r="R24" s="88">
        <f>IF(OR(R$1="",$BE24=0),"",SUMIFS(Entries!$D$2:$D$5000,Entries!$C$2:$C$5000,"Actual",Entries!$A$2:$A$5000,$A24,Entries!$B$2:$B$5000,R$1))</f>
        <v/>
      </c>
      <c r="S24" s="88">
        <f>IF(OR(S$1="",$BE24=0),"",SUMIFS(Entries!$D$2:$D$5000,Entries!$C$2:$C$5000,"Actual",Entries!$A$2:$A$5000,$A24,Entries!$B$2:$B$5000,S$1))</f>
        <v/>
      </c>
      <c r="T24" s="88">
        <f>IF(OR(T$1="",$BE24=0),"",SUMIFS(Entries!$D$2:$D$5000,Entries!$C$2:$C$5000,"Actual",Entries!$A$2:$A$5000,$A24,Entries!$B$2:$B$5000,T$1))</f>
        <v/>
      </c>
      <c r="U24" s="88">
        <f>IF(OR(U$1="",$BE24=0),"",SUMIFS(Entries!$D$2:$D$5000,Entries!$C$2:$C$5000,"Actual",Entries!$A$2:$A$5000,$A24,Entries!$B$2:$B$5000,U$1))</f>
        <v/>
      </c>
      <c r="V24" s="88">
        <f>IF(OR(V$1="",$BE24=0),"",SUMIFS(Entries!$D$2:$D$5000,Entries!$C$2:$C$5000,"Actual",Entries!$A$2:$A$5000,$A24,Entries!$B$2:$B$5000,V$1))</f>
        <v/>
      </c>
      <c r="W24" s="88">
        <f>IF(OR(W$1="",$BE24=0),"",SUMIFS(Entries!$D$2:$D$5000,Entries!$C$2:$C$5000,"Actual",Entries!$A$2:$A$5000,$A24,Entries!$B$2:$B$5000,W$1))</f>
        <v/>
      </c>
      <c r="X24" s="88">
        <f>IF(OR(X$1="",$BE24=0),"",SUMIFS(Entries!$D$2:$D$5000,Entries!$C$2:$C$5000,"Actual",Entries!$A$2:$A$5000,$A24,Entries!$B$2:$B$5000,X$1))</f>
        <v/>
      </c>
      <c r="Y24" s="88">
        <f>IF(OR(Y$1="",$BE24=0),"",SUMIFS(Entries!$D$2:$D$5000,Entries!$C$2:$C$5000,"Actual",Entries!$A$2:$A$5000,$A24,Entries!$B$2:$B$5000,Y$1))</f>
        <v/>
      </c>
      <c r="Z24" s="88">
        <f>IF(OR(Z$1="",$BE24=0),"",SUMIFS(Entries!$D$2:$D$5000,Entries!$C$2:$C$5000,"Actual",Entries!$A$2:$A$5000,$A24,Entries!$B$2:$B$5000,Z$1))</f>
        <v/>
      </c>
      <c r="AA24" s="88">
        <f>IF(OR(AA$1="",$BE24=0),"",SUMIFS(Entries!$D$2:$D$5000,Entries!$C$2:$C$5000,"Actual",Entries!$A$2:$A$5000,$A24,Entries!$B$2:$B$5000,AA$1))</f>
        <v/>
      </c>
      <c r="AB24" s="88">
        <f>IF(OR(AB$1="",$BE24=0),"",SUMIFS(Entries!$D$2:$D$5000,Entries!$C$2:$C$5000,"Actual",Entries!$A$2:$A$5000,$A24,Entries!$B$2:$B$5000,AB$1))</f>
        <v/>
      </c>
      <c r="AC24" s="88">
        <f>IF(OR(AC$1="",$BE24=0),"",SUMIFS(Entries!$D$2:$D$5000,Entries!$C$2:$C$5000,"Actual",Entries!$A$2:$A$5000,$A24,Entries!$B$2:$B$5000,AC$1))</f>
        <v/>
      </c>
      <c r="AD24" s="88">
        <f>IF(OR(AD$1="",$BE24=0),"",SUMIFS(Entries!$D$2:$D$5000,Entries!$C$2:$C$5000,"Actual",Entries!$A$2:$A$5000,$A24,Entries!$B$2:$B$5000,AD$1))</f>
        <v/>
      </c>
      <c r="AE24" s="88">
        <f>IF(OR(AE$1="",$BE24=0),"",SUMIFS(Entries!$D$2:$D$5000,Entries!$C$2:$C$5000,"Actual",Entries!$A$2:$A$5000,$A24,Entries!$B$2:$B$5000,AE$1))</f>
        <v/>
      </c>
      <c r="AF24" s="88">
        <f>IF(OR(AF$1="",$BE24=0),"",SUMIFS(Entries!$D$2:$D$5000,Entries!$C$2:$C$5000,"Actual",Entries!$A$2:$A$5000,$A24,Entries!$B$2:$B$5000,AF$1))</f>
        <v/>
      </c>
      <c r="AG24" s="88">
        <f>IF(OR(AG$1="",$BE24=0),"",SUMIFS(Entries!$D$2:$D$5000,Entries!$C$2:$C$5000,"Actual",Entries!$A$2:$A$5000,$A24,Entries!$B$2:$B$5000,AG$1))</f>
        <v/>
      </c>
      <c r="AH24" s="88">
        <f>IF(OR(AH$1="",$BE24=0),"",SUMIFS(Entries!$D$2:$D$5000,Entries!$C$2:$C$5000,"Actual",Entries!$A$2:$A$5000,$A24,Entries!$B$2:$B$5000,AH$1))</f>
        <v/>
      </c>
      <c r="AJ24" s="88">
        <f>IF(OR(AJ$1="",$BE24=0),"",IFERROR(LOOKUP(2,1/((Budgets!$A$2:$A$200=AJ$1)*(Budgets!$B$2:$B$200&lt;=$A24)),Budgets!$C$2:$C$200),0))</f>
        <v/>
      </c>
      <c r="AK24" s="88">
        <f>IF(OR(AK$1="",$BE24=0),"",IFERROR(LOOKUP(2,1/((Budgets!$A$2:$A$200=AK$1)*(Budgets!$B$2:$B$200&lt;=$A24)),Budgets!$C$2:$C$200),0))</f>
        <v/>
      </c>
      <c r="AL24" s="88">
        <f>IF(OR(AL$1="",$BE24=0),"",IFERROR(LOOKUP(2,1/((Budgets!$A$2:$A$200=AL$1)*(Budgets!$B$2:$B$200&lt;=$A24)),Budgets!$C$2:$C$200),0))</f>
        <v/>
      </c>
      <c r="AM24" s="88">
        <f>IF(OR(AM$1="",$BE24=0),"",IFERROR(LOOKUP(2,1/((Budgets!$A$2:$A$200=AM$1)*(Budgets!$B$2:$B$200&lt;=$A24)),Budgets!$C$2:$C$200),0))</f>
        <v/>
      </c>
      <c r="AN24" s="88">
        <f>IF(OR(AN$1="",$BE24=0),"",IFERROR(LOOKUP(2,1/((Budgets!$A$2:$A$200=AN$1)*(Budgets!$B$2:$B$200&lt;=$A24)),Budgets!$C$2:$C$200),0))</f>
        <v/>
      </c>
      <c r="AO24" s="88">
        <f>IF(OR(AO$1="",$BE24=0),"",IFERROR(LOOKUP(2,1/((Budgets!$A$2:$A$200=AO$1)*(Budgets!$B$2:$B$200&lt;=$A24)),Budgets!$C$2:$C$200),0))</f>
        <v/>
      </c>
      <c r="AP24" s="88">
        <f>IF(OR(AP$1="",$BE24=0),"",IFERROR(LOOKUP(2,1/((Budgets!$A$2:$A$200=AP$1)*(Budgets!$B$2:$B$200&lt;=$A24)),Budgets!$C$2:$C$200),0))</f>
        <v/>
      </c>
      <c r="AQ24" s="88">
        <f>IF(OR(AQ$1="",$BE24=0),"",IFERROR(LOOKUP(2,1/((Budgets!$A$2:$A$200=AQ$1)*(Budgets!$B$2:$B$200&lt;=$A24)),Budgets!$C$2:$C$200),0))</f>
        <v/>
      </c>
      <c r="AR24" s="88">
        <f>IF(OR(AR$1="",$BE24=0),"",IFERROR(LOOKUP(2,1/((Budgets!$A$2:$A$200=AR$1)*(Budgets!$B$2:$B$200&lt;=$A24)),Budgets!$C$2:$C$200),0))</f>
        <v/>
      </c>
      <c r="AS24" s="88">
        <f>IF(OR(AS$1="",$BE24=0),"",IFERROR(LOOKUP(2,1/((Budgets!$A$2:$A$200=AS$1)*(Budgets!$B$2:$B$200&lt;=$A24)),Budgets!$C$2:$C$200),0))</f>
        <v/>
      </c>
      <c r="AT24" s="88">
        <f>IF(OR(AT$1="",$BE24=0),"",IFERROR(LOOKUP(2,1/((Budgets!$A$2:$A$200=AT$1)*(Budgets!$B$2:$B$200&lt;=$A24)),Budgets!$C$2:$C$200),0))</f>
        <v/>
      </c>
      <c r="AU24" s="88">
        <f>IF(OR(AU$1="",$BE24=0),"",IFERROR(LOOKUP(2,1/((Budgets!$A$2:$A$200=AU$1)*(Budgets!$B$2:$B$200&lt;=$A24)),Budgets!$C$2:$C$200),0))</f>
        <v/>
      </c>
      <c r="AV24" s="88">
        <f>IF(OR(AV$1="",$BE24=0),"",IFERROR(LOOKUP(2,1/((Budgets!$A$2:$A$200=AV$1)*(Budgets!$B$2:$B$200&lt;=$A24)),Budgets!$C$2:$C$200),0))</f>
        <v/>
      </c>
      <c r="AW24" s="88">
        <f>IF(OR(AW$1="",$BE24=0),"",IFERROR(LOOKUP(2,1/((Budgets!$A$2:$A$200=AW$1)*(Budgets!$B$2:$B$200&lt;=$A24)),Budgets!$C$2:$C$200),0))</f>
        <v/>
      </c>
      <c r="AX24" s="88">
        <f>IF(OR(AX$1="",$BE24=0),"",IFERROR(LOOKUP(2,1/((Budgets!$A$2:$A$200=AX$1)*(Budgets!$B$2:$B$200&lt;=$A24)),Budgets!$C$2:$C$200),0))</f>
        <v/>
      </c>
      <c r="AY24" s="88">
        <f>IF(OR(AY$1="",$BE24=0),"",IFERROR(LOOKUP(2,1/((Budgets!$A$2:$A$200=AY$1)*(Budgets!$B$2:$B$200&lt;=$A24)),Budgets!$C$2:$C$200),0))</f>
        <v/>
      </c>
      <c r="AZ24" s="88">
        <f>IF(OR(AZ$1="",$BE24=0),"",IFERROR(LOOKUP(2,1/((Budgets!$A$2:$A$200=AZ$1)*(Budgets!$B$2:$B$200&lt;=$A24)),Budgets!$C$2:$C$200),0))</f>
        <v/>
      </c>
      <c r="BA24" s="88">
        <f>IF(OR(BA$1="",$BE24=0),"",IFERROR(LOOKUP(2,1/((Budgets!$A$2:$A$200=BA$1)*(Budgets!$B$2:$B$200&lt;=$A24)),Budgets!$C$2:$C$200),0))</f>
        <v/>
      </c>
      <c r="BB24" s="88">
        <f>IF(OR(BB$1="",$BE24=0),"",IFERROR(LOOKUP(2,1/((Budgets!$A$2:$A$200=BB$1)*(Budgets!$B$2:$B$200&lt;=$A24)),Budgets!$C$2:$C$200),0))</f>
        <v/>
      </c>
      <c r="BC24" s="88">
        <f>IF(OR(BC$1="",$BE24=0),"",IFERROR(LOOKUP(2,1/((Budgets!$A$2:$A$200=BC$1)*(Budgets!$B$2:$B$200&lt;=$A24)),Budgets!$C$2:$C$200),0))</f>
        <v/>
      </c>
      <c r="BE24" s="67">
        <f>COUNTIFS(Entries!$A$2:$A$5000,$A24)</f>
        <v/>
      </c>
    </row>
    <row r="25" ht="15" customHeight="1" s="43">
      <c r="A25" s="87" t="n">
        <v>40148</v>
      </c>
      <c r="B25" s="88">
        <f>IF($BE25=0,NA(),SUMIFS(Entries!$D$2:$D$5000,Entries!$C$2:$C$5000,"Income",Entries!$A$2:$A$5000,$A25))</f>
        <v/>
      </c>
      <c r="C25" s="88">
        <f>IF($BE25=0,"",SUMIFS(Entries!$D$2:$D$5000,Entries!$C$2:$C$5000,"Actual",Entries!$A$2:$A$5000,$A25))</f>
        <v/>
      </c>
      <c r="D25" s="88">
        <f>IF($BE25=0,"",SUMIFS(Entries!$D$2:$D$5000,Entries!$C$2:$C$5000,"One-off",Entries!$A$2:$A$5000,$A25))</f>
        <v/>
      </c>
      <c r="E25" s="88">
        <f>IF($BE25=0,NA(),C25+D25)</f>
        <v/>
      </c>
      <c r="F25" s="88">
        <f>IF($BE25=0,"",SUM(AJ25:BC25))</f>
        <v/>
      </c>
      <c r="G25" s="88">
        <f>IF($BE25=0,"",B25-E25)</f>
        <v/>
      </c>
      <c r="H25" s="88">
        <f>IF($BE25=0,"",SUM($G$2:G25))</f>
        <v/>
      </c>
      <c r="I25" s="88">
        <f>IF($BE25=0,"",SUMIFS(Entries!$F$2:$F$5000,Entries!$A$2:$A$5000,$A25))</f>
        <v/>
      </c>
      <c r="J25" s="88">
        <f>IF($BE25=0,NA(),H25+SUM($I$2:I25))</f>
        <v/>
      </c>
      <c r="K25" s="88">
        <f>IF($BE25=0,"",SUMIFS(Entries!$D$2:$D$5000,Entries!$C$2:$C$5000,"Income",Entries!$A$2:$A$5000,"&gt;="&amp;EDATE($A25,-11),Entries!$A$2:$A$5000,"&lt;="&amp;$A25)/12)</f>
        <v/>
      </c>
      <c r="L25" s="88">
        <f>IF($BE25=0,"",(SUMIFS(Entries!$D$2:$D$5000,Entries!$C$2:$C$5000,"Actual",Entries!$A$2:$A$5000,"&gt;="&amp;EDATE($A25,-11),Entries!$A$2:$A$5000,"&lt;="&amp;$A25)+SUMIFS(Entries!$D$2:$D$5000,Entries!$C$2:$C$5000,"One-off",Entries!$A$2:$A$5000,"&gt;="&amp;EDATE($A25,-11),Entries!$A$2:$A$5000,"&lt;="&amp;$A25))/12)</f>
        <v/>
      </c>
      <c r="M25" s="70">
        <f>IF($BE25=0,NA(),IFERROR((K25-L25)/K25,0))</f>
        <v/>
      </c>
      <c r="O25" s="88">
        <f>IF(OR(O$1="",$BE25=0),"",SUMIFS(Entries!$D$2:$D$5000,Entries!$C$2:$C$5000,"Actual",Entries!$A$2:$A$5000,$A25,Entries!$B$2:$B$5000,O$1))</f>
        <v/>
      </c>
      <c r="P25" s="88">
        <f>IF(OR(P$1="",$BE25=0),"",SUMIFS(Entries!$D$2:$D$5000,Entries!$C$2:$C$5000,"Actual",Entries!$A$2:$A$5000,$A25,Entries!$B$2:$B$5000,P$1))</f>
        <v/>
      </c>
      <c r="Q25" s="88">
        <f>IF(OR(Q$1="",$BE25=0),"",SUMIFS(Entries!$D$2:$D$5000,Entries!$C$2:$C$5000,"Actual",Entries!$A$2:$A$5000,$A25,Entries!$B$2:$B$5000,Q$1))</f>
        <v/>
      </c>
      <c r="R25" s="88">
        <f>IF(OR(R$1="",$BE25=0),"",SUMIFS(Entries!$D$2:$D$5000,Entries!$C$2:$C$5000,"Actual",Entries!$A$2:$A$5000,$A25,Entries!$B$2:$B$5000,R$1))</f>
        <v/>
      </c>
      <c r="S25" s="88">
        <f>IF(OR(S$1="",$BE25=0),"",SUMIFS(Entries!$D$2:$D$5000,Entries!$C$2:$C$5000,"Actual",Entries!$A$2:$A$5000,$A25,Entries!$B$2:$B$5000,S$1))</f>
        <v/>
      </c>
      <c r="T25" s="88">
        <f>IF(OR(T$1="",$BE25=0),"",SUMIFS(Entries!$D$2:$D$5000,Entries!$C$2:$C$5000,"Actual",Entries!$A$2:$A$5000,$A25,Entries!$B$2:$B$5000,T$1))</f>
        <v/>
      </c>
      <c r="U25" s="88">
        <f>IF(OR(U$1="",$BE25=0),"",SUMIFS(Entries!$D$2:$D$5000,Entries!$C$2:$C$5000,"Actual",Entries!$A$2:$A$5000,$A25,Entries!$B$2:$B$5000,U$1))</f>
        <v/>
      </c>
      <c r="V25" s="88">
        <f>IF(OR(V$1="",$BE25=0),"",SUMIFS(Entries!$D$2:$D$5000,Entries!$C$2:$C$5000,"Actual",Entries!$A$2:$A$5000,$A25,Entries!$B$2:$B$5000,V$1))</f>
        <v/>
      </c>
      <c r="W25" s="88">
        <f>IF(OR(W$1="",$BE25=0),"",SUMIFS(Entries!$D$2:$D$5000,Entries!$C$2:$C$5000,"Actual",Entries!$A$2:$A$5000,$A25,Entries!$B$2:$B$5000,W$1))</f>
        <v/>
      </c>
      <c r="X25" s="88">
        <f>IF(OR(X$1="",$BE25=0),"",SUMIFS(Entries!$D$2:$D$5000,Entries!$C$2:$C$5000,"Actual",Entries!$A$2:$A$5000,$A25,Entries!$B$2:$B$5000,X$1))</f>
        <v/>
      </c>
      <c r="Y25" s="88">
        <f>IF(OR(Y$1="",$BE25=0),"",SUMIFS(Entries!$D$2:$D$5000,Entries!$C$2:$C$5000,"Actual",Entries!$A$2:$A$5000,$A25,Entries!$B$2:$B$5000,Y$1))</f>
        <v/>
      </c>
      <c r="Z25" s="88">
        <f>IF(OR(Z$1="",$BE25=0),"",SUMIFS(Entries!$D$2:$D$5000,Entries!$C$2:$C$5000,"Actual",Entries!$A$2:$A$5000,$A25,Entries!$B$2:$B$5000,Z$1))</f>
        <v/>
      </c>
      <c r="AA25" s="88">
        <f>IF(OR(AA$1="",$BE25=0),"",SUMIFS(Entries!$D$2:$D$5000,Entries!$C$2:$C$5000,"Actual",Entries!$A$2:$A$5000,$A25,Entries!$B$2:$B$5000,AA$1))</f>
        <v/>
      </c>
      <c r="AB25" s="88">
        <f>IF(OR(AB$1="",$BE25=0),"",SUMIFS(Entries!$D$2:$D$5000,Entries!$C$2:$C$5000,"Actual",Entries!$A$2:$A$5000,$A25,Entries!$B$2:$B$5000,AB$1))</f>
        <v/>
      </c>
      <c r="AC25" s="88">
        <f>IF(OR(AC$1="",$BE25=0),"",SUMIFS(Entries!$D$2:$D$5000,Entries!$C$2:$C$5000,"Actual",Entries!$A$2:$A$5000,$A25,Entries!$B$2:$B$5000,AC$1))</f>
        <v/>
      </c>
      <c r="AD25" s="88">
        <f>IF(OR(AD$1="",$BE25=0),"",SUMIFS(Entries!$D$2:$D$5000,Entries!$C$2:$C$5000,"Actual",Entries!$A$2:$A$5000,$A25,Entries!$B$2:$B$5000,AD$1))</f>
        <v/>
      </c>
      <c r="AE25" s="88">
        <f>IF(OR(AE$1="",$BE25=0),"",SUMIFS(Entries!$D$2:$D$5000,Entries!$C$2:$C$5000,"Actual",Entries!$A$2:$A$5000,$A25,Entries!$B$2:$B$5000,AE$1))</f>
        <v/>
      </c>
      <c r="AF25" s="88">
        <f>IF(OR(AF$1="",$BE25=0),"",SUMIFS(Entries!$D$2:$D$5000,Entries!$C$2:$C$5000,"Actual",Entries!$A$2:$A$5000,$A25,Entries!$B$2:$B$5000,AF$1))</f>
        <v/>
      </c>
      <c r="AG25" s="88">
        <f>IF(OR(AG$1="",$BE25=0),"",SUMIFS(Entries!$D$2:$D$5000,Entries!$C$2:$C$5000,"Actual",Entries!$A$2:$A$5000,$A25,Entries!$B$2:$B$5000,AG$1))</f>
        <v/>
      </c>
      <c r="AH25" s="88">
        <f>IF(OR(AH$1="",$BE25=0),"",SUMIFS(Entries!$D$2:$D$5000,Entries!$C$2:$C$5000,"Actual",Entries!$A$2:$A$5000,$A25,Entries!$B$2:$B$5000,AH$1))</f>
        <v/>
      </c>
      <c r="AJ25" s="88">
        <f>IF(OR(AJ$1="",$BE25=0),"",IFERROR(LOOKUP(2,1/((Budgets!$A$2:$A$200=AJ$1)*(Budgets!$B$2:$B$200&lt;=$A25)),Budgets!$C$2:$C$200),0))</f>
        <v/>
      </c>
      <c r="AK25" s="88">
        <f>IF(OR(AK$1="",$BE25=0),"",IFERROR(LOOKUP(2,1/((Budgets!$A$2:$A$200=AK$1)*(Budgets!$B$2:$B$200&lt;=$A25)),Budgets!$C$2:$C$200),0))</f>
        <v/>
      </c>
      <c r="AL25" s="88">
        <f>IF(OR(AL$1="",$BE25=0),"",IFERROR(LOOKUP(2,1/((Budgets!$A$2:$A$200=AL$1)*(Budgets!$B$2:$B$200&lt;=$A25)),Budgets!$C$2:$C$200),0))</f>
        <v/>
      </c>
      <c r="AM25" s="88">
        <f>IF(OR(AM$1="",$BE25=0),"",IFERROR(LOOKUP(2,1/((Budgets!$A$2:$A$200=AM$1)*(Budgets!$B$2:$B$200&lt;=$A25)),Budgets!$C$2:$C$200),0))</f>
        <v/>
      </c>
      <c r="AN25" s="88">
        <f>IF(OR(AN$1="",$BE25=0),"",IFERROR(LOOKUP(2,1/((Budgets!$A$2:$A$200=AN$1)*(Budgets!$B$2:$B$200&lt;=$A25)),Budgets!$C$2:$C$200),0))</f>
        <v/>
      </c>
      <c r="AO25" s="88">
        <f>IF(OR(AO$1="",$BE25=0),"",IFERROR(LOOKUP(2,1/((Budgets!$A$2:$A$200=AO$1)*(Budgets!$B$2:$B$200&lt;=$A25)),Budgets!$C$2:$C$200),0))</f>
        <v/>
      </c>
      <c r="AP25" s="88">
        <f>IF(OR(AP$1="",$BE25=0),"",IFERROR(LOOKUP(2,1/((Budgets!$A$2:$A$200=AP$1)*(Budgets!$B$2:$B$200&lt;=$A25)),Budgets!$C$2:$C$200),0))</f>
        <v/>
      </c>
      <c r="AQ25" s="88">
        <f>IF(OR(AQ$1="",$BE25=0),"",IFERROR(LOOKUP(2,1/((Budgets!$A$2:$A$200=AQ$1)*(Budgets!$B$2:$B$200&lt;=$A25)),Budgets!$C$2:$C$200),0))</f>
        <v/>
      </c>
      <c r="AR25" s="88">
        <f>IF(OR(AR$1="",$BE25=0),"",IFERROR(LOOKUP(2,1/((Budgets!$A$2:$A$200=AR$1)*(Budgets!$B$2:$B$200&lt;=$A25)),Budgets!$C$2:$C$200),0))</f>
        <v/>
      </c>
      <c r="AS25" s="88">
        <f>IF(OR(AS$1="",$BE25=0),"",IFERROR(LOOKUP(2,1/((Budgets!$A$2:$A$200=AS$1)*(Budgets!$B$2:$B$200&lt;=$A25)),Budgets!$C$2:$C$200),0))</f>
        <v/>
      </c>
      <c r="AT25" s="88">
        <f>IF(OR(AT$1="",$BE25=0),"",IFERROR(LOOKUP(2,1/((Budgets!$A$2:$A$200=AT$1)*(Budgets!$B$2:$B$200&lt;=$A25)),Budgets!$C$2:$C$200),0))</f>
        <v/>
      </c>
      <c r="AU25" s="88">
        <f>IF(OR(AU$1="",$BE25=0),"",IFERROR(LOOKUP(2,1/((Budgets!$A$2:$A$200=AU$1)*(Budgets!$B$2:$B$200&lt;=$A25)),Budgets!$C$2:$C$200),0))</f>
        <v/>
      </c>
      <c r="AV25" s="88">
        <f>IF(OR(AV$1="",$BE25=0),"",IFERROR(LOOKUP(2,1/((Budgets!$A$2:$A$200=AV$1)*(Budgets!$B$2:$B$200&lt;=$A25)),Budgets!$C$2:$C$200),0))</f>
        <v/>
      </c>
      <c r="AW25" s="88">
        <f>IF(OR(AW$1="",$BE25=0),"",IFERROR(LOOKUP(2,1/((Budgets!$A$2:$A$200=AW$1)*(Budgets!$B$2:$B$200&lt;=$A25)),Budgets!$C$2:$C$200),0))</f>
        <v/>
      </c>
      <c r="AX25" s="88">
        <f>IF(OR(AX$1="",$BE25=0),"",IFERROR(LOOKUP(2,1/((Budgets!$A$2:$A$200=AX$1)*(Budgets!$B$2:$B$200&lt;=$A25)),Budgets!$C$2:$C$200),0))</f>
        <v/>
      </c>
      <c r="AY25" s="88">
        <f>IF(OR(AY$1="",$BE25=0),"",IFERROR(LOOKUP(2,1/((Budgets!$A$2:$A$200=AY$1)*(Budgets!$B$2:$B$200&lt;=$A25)),Budgets!$C$2:$C$200),0))</f>
        <v/>
      </c>
      <c r="AZ25" s="88">
        <f>IF(OR(AZ$1="",$BE25=0),"",IFERROR(LOOKUP(2,1/((Budgets!$A$2:$A$200=AZ$1)*(Budgets!$B$2:$B$200&lt;=$A25)),Budgets!$C$2:$C$200),0))</f>
        <v/>
      </c>
      <c r="BA25" s="88">
        <f>IF(OR(BA$1="",$BE25=0),"",IFERROR(LOOKUP(2,1/((Budgets!$A$2:$A$200=BA$1)*(Budgets!$B$2:$B$200&lt;=$A25)),Budgets!$C$2:$C$200),0))</f>
        <v/>
      </c>
      <c r="BB25" s="88">
        <f>IF(OR(BB$1="",$BE25=0),"",IFERROR(LOOKUP(2,1/((Budgets!$A$2:$A$200=BB$1)*(Budgets!$B$2:$B$200&lt;=$A25)),Budgets!$C$2:$C$200),0))</f>
        <v/>
      </c>
      <c r="BC25" s="88">
        <f>IF(OR(BC$1="",$BE25=0),"",IFERROR(LOOKUP(2,1/((Budgets!$A$2:$A$200=BC$1)*(Budgets!$B$2:$B$200&lt;=$A25)),Budgets!$C$2:$C$200),0))</f>
        <v/>
      </c>
      <c r="BE25" s="67">
        <f>COUNTIFS(Entries!$A$2:$A$5000,$A25)</f>
        <v/>
      </c>
    </row>
    <row r="26" ht="15" customHeight="1" s="43">
      <c r="A26" s="87" t="n">
        <v>40179</v>
      </c>
      <c r="B26" s="88">
        <f>IF($BE26=0,NA(),SUMIFS(Entries!$D$2:$D$5000,Entries!$C$2:$C$5000,"Income",Entries!$A$2:$A$5000,$A26))</f>
        <v/>
      </c>
      <c r="C26" s="88">
        <f>IF($BE26=0,"",SUMIFS(Entries!$D$2:$D$5000,Entries!$C$2:$C$5000,"Actual",Entries!$A$2:$A$5000,$A26))</f>
        <v/>
      </c>
      <c r="D26" s="88">
        <f>IF($BE26=0,"",SUMIFS(Entries!$D$2:$D$5000,Entries!$C$2:$C$5000,"One-off",Entries!$A$2:$A$5000,$A26))</f>
        <v/>
      </c>
      <c r="E26" s="88">
        <f>IF($BE26=0,NA(),C26+D26)</f>
        <v/>
      </c>
      <c r="F26" s="88">
        <f>IF($BE26=0,"",SUM(AJ26:BC26))</f>
        <v/>
      </c>
      <c r="G26" s="88">
        <f>IF($BE26=0,"",B26-E26)</f>
        <v/>
      </c>
      <c r="H26" s="88">
        <f>IF($BE26=0,"",SUM($G$2:G26))</f>
        <v/>
      </c>
      <c r="I26" s="88">
        <f>IF($BE26=0,"",SUMIFS(Entries!$F$2:$F$5000,Entries!$A$2:$A$5000,$A26))</f>
        <v/>
      </c>
      <c r="J26" s="88">
        <f>IF($BE26=0,NA(),H26+SUM($I$2:I26))</f>
        <v/>
      </c>
      <c r="K26" s="88">
        <f>IF($BE26=0,"",SUMIFS(Entries!$D$2:$D$5000,Entries!$C$2:$C$5000,"Income",Entries!$A$2:$A$5000,"&gt;="&amp;EDATE($A26,-11),Entries!$A$2:$A$5000,"&lt;="&amp;$A26)/12)</f>
        <v/>
      </c>
      <c r="L26" s="88">
        <f>IF($BE26=0,"",(SUMIFS(Entries!$D$2:$D$5000,Entries!$C$2:$C$5000,"Actual",Entries!$A$2:$A$5000,"&gt;="&amp;EDATE($A26,-11),Entries!$A$2:$A$5000,"&lt;="&amp;$A26)+SUMIFS(Entries!$D$2:$D$5000,Entries!$C$2:$C$5000,"One-off",Entries!$A$2:$A$5000,"&gt;="&amp;EDATE($A26,-11),Entries!$A$2:$A$5000,"&lt;="&amp;$A26))/12)</f>
        <v/>
      </c>
      <c r="M26" s="70">
        <f>IF($BE26=0,NA(),IFERROR((K26-L26)/K26,0))</f>
        <v/>
      </c>
      <c r="O26" s="88">
        <f>IF(OR(O$1="",$BE26=0),"",SUMIFS(Entries!$D$2:$D$5000,Entries!$C$2:$C$5000,"Actual",Entries!$A$2:$A$5000,$A26,Entries!$B$2:$B$5000,O$1))</f>
        <v/>
      </c>
      <c r="P26" s="88">
        <f>IF(OR(P$1="",$BE26=0),"",SUMIFS(Entries!$D$2:$D$5000,Entries!$C$2:$C$5000,"Actual",Entries!$A$2:$A$5000,$A26,Entries!$B$2:$B$5000,P$1))</f>
        <v/>
      </c>
      <c r="Q26" s="88">
        <f>IF(OR(Q$1="",$BE26=0),"",SUMIFS(Entries!$D$2:$D$5000,Entries!$C$2:$C$5000,"Actual",Entries!$A$2:$A$5000,$A26,Entries!$B$2:$B$5000,Q$1))</f>
        <v/>
      </c>
      <c r="R26" s="88">
        <f>IF(OR(R$1="",$BE26=0),"",SUMIFS(Entries!$D$2:$D$5000,Entries!$C$2:$C$5000,"Actual",Entries!$A$2:$A$5000,$A26,Entries!$B$2:$B$5000,R$1))</f>
        <v/>
      </c>
      <c r="S26" s="88">
        <f>IF(OR(S$1="",$BE26=0),"",SUMIFS(Entries!$D$2:$D$5000,Entries!$C$2:$C$5000,"Actual",Entries!$A$2:$A$5000,$A26,Entries!$B$2:$B$5000,S$1))</f>
        <v/>
      </c>
      <c r="T26" s="88">
        <f>IF(OR(T$1="",$BE26=0),"",SUMIFS(Entries!$D$2:$D$5000,Entries!$C$2:$C$5000,"Actual",Entries!$A$2:$A$5000,$A26,Entries!$B$2:$B$5000,T$1))</f>
        <v/>
      </c>
      <c r="U26" s="88">
        <f>IF(OR(U$1="",$BE26=0),"",SUMIFS(Entries!$D$2:$D$5000,Entries!$C$2:$C$5000,"Actual",Entries!$A$2:$A$5000,$A26,Entries!$B$2:$B$5000,U$1))</f>
        <v/>
      </c>
      <c r="V26" s="88">
        <f>IF(OR(V$1="",$BE26=0),"",SUMIFS(Entries!$D$2:$D$5000,Entries!$C$2:$C$5000,"Actual",Entries!$A$2:$A$5000,$A26,Entries!$B$2:$B$5000,V$1))</f>
        <v/>
      </c>
      <c r="W26" s="88">
        <f>IF(OR(W$1="",$BE26=0),"",SUMIFS(Entries!$D$2:$D$5000,Entries!$C$2:$C$5000,"Actual",Entries!$A$2:$A$5000,$A26,Entries!$B$2:$B$5000,W$1))</f>
        <v/>
      </c>
      <c r="X26" s="88">
        <f>IF(OR(X$1="",$BE26=0),"",SUMIFS(Entries!$D$2:$D$5000,Entries!$C$2:$C$5000,"Actual",Entries!$A$2:$A$5000,$A26,Entries!$B$2:$B$5000,X$1))</f>
        <v/>
      </c>
      <c r="Y26" s="88">
        <f>IF(OR(Y$1="",$BE26=0),"",SUMIFS(Entries!$D$2:$D$5000,Entries!$C$2:$C$5000,"Actual",Entries!$A$2:$A$5000,$A26,Entries!$B$2:$B$5000,Y$1))</f>
        <v/>
      </c>
      <c r="Z26" s="88">
        <f>IF(OR(Z$1="",$BE26=0),"",SUMIFS(Entries!$D$2:$D$5000,Entries!$C$2:$C$5000,"Actual",Entries!$A$2:$A$5000,$A26,Entries!$B$2:$B$5000,Z$1))</f>
        <v/>
      </c>
      <c r="AA26" s="88">
        <f>IF(OR(AA$1="",$BE26=0),"",SUMIFS(Entries!$D$2:$D$5000,Entries!$C$2:$C$5000,"Actual",Entries!$A$2:$A$5000,$A26,Entries!$B$2:$B$5000,AA$1))</f>
        <v/>
      </c>
      <c r="AB26" s="88">
        <f>IF(OR(AB$1="",$BE26=0),"",SUMIFS(Entries!$D$2:$D$5000,Entries!$C$2:$C$5000,"Actual",Entries!$A$2:$A$5000,$A26,Entries!$B$2:$B$5000,AB$1))</f>
        <v/>
      </c>
      <c r="AC26" s="88">
        <f>IF(OR(AC$1="",$BE26=0),"",SUMIFS(Entries!$D$2:$D$5000,Entries!$C$2:$C$5000,"Actual",Entries!$A$2:$A$5000,$A26,Entries!$B$2:$B$5000,AC$1))</f>
        <v/>
      </c>
      <c r="AD26" s="88">
        <f>IF(OR(AD$1="",$BE26=0),"",SUMIFS(Entries!$D$2:$D$5000,Entries!$C$2:$C$5000,"Actual",Entries!$A$2:$A$5000,$A26,Entries!$B$2:$B$5000,AD$1))</f>
        <v/>
      </c>
      <c r="AE26" s="88">
        <f>IF(OR(AE$1="",$BE26=0),"",SUMIFS(Entries!$D$2:$D$5000,Entries!$C$2:$C$5000,"Actual",Entries!$A$2:$A$5000,$A26,Entries!$B$2:$B$5000,AE$1))</f>
        <v/>
      </c>
      <c r="AF26" s="88">
        <f>IF(OR(AF$1="",$BE26=0),"",SUMIFS(Entries!$D$2:$D$5000,Entries!$C$2:$C$5000,"Actual",Entries!$A$2:$A$5000,$A26,Entries!$B$2:$B$5000,AF$1))</f>
        <v/>
      </c>
      <c r="AG26" s="88">
        <f>IF(OR(AG$1="",$BE26=0),"",SUMIFS(Entries!$D$2:$D$5000,Entries!$C$2:$C$5000,"Actual",Entries!$A$2:$A$5000,$A26,Entries!$B$2:$B$5000,AG$1))</f>
        <v/>
      </c>
      <c r="AH26" s="88">
        <f>IF(OR(AH$1="",$BE26=0),"",SUMIFS(Entries!$D$2:$D$5000,Entries!$C$2:$C$5000,"Actual",Entries!$A$2:$A$5000,$A26,Entries!$B$2:$B$5000,AH$1))</f>
        <v/>
      </c>
      <c r="AJ26" s="88">
        <f>IF(OR(AJ$1="",$BE26=0),"",IFERROR(LOOKUP(2,1/((Budgets!$A$2:$A$200=AJ$1)*(Budgets!$B$2:$B$200&lt;=$A26)),Budgets!$C$2:$C$200),0))</f>
        <v/>
      </c>
      <c r="AK26" s="88">
        <f>IF(OR(AK$1="",$BE26=0),"",IFERROR(LOOKUP(2,1/((Budgets!$A$2:$A$200=AK$1)*(Budgets!$B$2:$B$200&lt;=$A26)),Budgets!$C$2:$C$200),0))</f>
        <v/>
      </c>
      <c r="AL26" s="88">
        <f>IF(OR(AL$1="",$BE26=0),"",IFERROR(LOOKUP(2,1/((Budgets!$A$2:$A$200=AL$1)*(Budgets!$B$2:$B$200&lt;=$A26)),Budgets!$C$2:$C$200),0))</f>
        <v/>
      </c>
      <c r="AM26" s="88">
        <f>IF(OR(AM$1="",$BE26=0),"",IFERROR(LOOKUP(2,1/((Budgets!$A$2:$A$200=AM$1)*(Budgets!$B$2:$B$200&lt;=$A26)),Budgets!$C$2:$C$200),0))</f>
        <v/>
      </c>
      <c r="AN26" s="88">
        <f>IF(OR(AN$1="",$BE26=0),"",IFERROR(LOOKUP(2,1/((Budgets!$A$2:$A$200=AN$1)*(Budgets!$B$2:$B$200&lt;=$A26)),Budgets!$C$2:$C$200),0))</f>
        <v/>
      </c>
      <c r="AO26" s="88">
        <f>IF(OR(AO$1="",$BE26=0),"",IFERROR(LOOKUP(2,1/((Budgets!$A$2:$A$200=AO$1)*(Budgets!$B$2:$B$200&lt;=$A26)),Budgets!$C$2:$C$200),0))</f>
        <v/>
      </c>
      <c r="AP26" s="88">
        <f>IF(OR(AP$1="",$BE26=0),"",IFERROR(LOOKUP(2,1/((Budgets!$A$2:$A$200=AP$1)*(Budgets!$B$2:$B$200&lt;=$A26)),Budgets!$C$2:$C$200),0))</f>
        <v/>
      </c>
      <c r="AQ26" s="88">
        <f>IF(OR(AQ$1="",$BE26=0),"",IFERROR(LOOKUP(2,1/((Budgets!$A$2:$A$200=AQ$1)*(Budgets!$B$2:$B$200&lt;=$A26)),Budgets!$C$2:$C$200),0))</f>
        <v/>
      </c>
      <c r="AR26" s="88">
        <f>IF(OR(AR$1="",$BE26=0),"",IFERROR(LOOKUP(2,1/((Budgets!$A$2:$A$200=AR$1)*(Budgets!$B$2:$B$200&lt;=$A26)),Budgets!$C$2:$C$200),0))</f>
        <v/>
      </c>
      <c r="AS26" s="88">
        <f>IF(OR(AS$1="",$BE26=0),"",IFERROR(LOOKUP(2,1/((Budgets!$A$2:$A$200=AS$1)*(Budgets!$B$2:$B$200&lt;=$A26)),Budgets!$C$2:$C$200),0))</f>
        <v/>
      </c>
      <c r="AT26" s="88">
        <f>IF(OR(AT$1="",$BE26=0),"",IFERROR(LOOKUP(2,1/((Budgets!$A$2:$A$200=AT$1)*(Budgets!$B$2:$B$200&lt;=$A26)),Budgets!$C$2:$C$200),0))</f>
        <v/>
      </c>
      <c r="AU26" s="88">
        <f>IF(OR(AU$1="",$BE26=0),"",IFERROR(LOOKUP(2,1/((Budgets!$A$2:$A$200=AU$1)*(Budgets!$B$2:$B$200&lt;=$A26)),Budgets!$C$2:$C$200),0))</f>
        <v/>
      </c>
      <c r="AV26" s="88">
        <f>IF(OR(AV$1="",$BE26=0),"",IFERROR(LOOKUP(2,1/((Budgets!$A$2:$A$200=AV$1)*(Budgets!$B$2:$B$200&lt;=$A26)),Budgets!$C$2:$C$200),0))</f>
        <v/>
      </c>
      <c r="AW26" s="88">
        <f>IF(OR(AW$1="",$BE26=0),"",IFERROR(LOOKUP(2,1/((Budgets!$A$2:$A$200=AW$1)*(Budgets!$B$2:$B$200&lt;=$A26)),Budgets!$C$2:$C$200),0))</f>
        <v/>
      </c>
      <c r="AX26" s="88">
        <f>IF(OR(AX$1="",$BE26=0),"",IFERROR(LOOKUP(2,1/((Budgets!$A$2:$A$200=AX$1)*(Budgets!$B$2:$B$200&lt;=$A26)),Budgets!$C$2:$C$200),0))</f>
        <v/>
      </c>
      <c r="AY26" s="88">
        <f>IF(OR(AY$1="",$BE26=0),"",IFERROR(LOOKUP(2,1/((Budgets!$A$2:$A$200=AY$1)*(Budgets!$B$2:$B$200&lt;=$A26)),Budgets!$C$2:$C$200),0))</f>
        <v/>
      </c>
      <c r="AZ26" s="88">
        <f>IF(OR(AZ$1="",$BE26=0),"",IFERROR(LOOKUP(2,1/((Budgets!$A$2:$A$200=AZ$1)*(Budgets!$B$2:$B$200&lt;=$A26)),Budgets!$C$2:$C$200),0))</f>
        <v/>
      </c>
      <c r="BA26" s="88">
        <f>IF(OR(BA$1="",$BE26=0),"",IFERROR(LOOKUP(2,1/((Budgets!$A$2:$A$200=BA$1)*(Budgets!$B$2:$B$200&lt;=$A26)),Budgets!$C$2:$C$200),0))</f>
        <v/>
      </c>
      <c r="BB26" s="88">
        <f>IF(OR(BB$1="",$BE26=0),"",IFERROR(LOOKUP(2,1/((Budgets!$A$2:$A$200=BB$1)*(Budgets!$B$2:$B$200&lt;=$A26)),Budgets!$C$2:$C$200),0))</f>
        <v/>
      </c>
      <c r="BC26" s="88">
        <f>IF(OR(BC$1="",$BE26=0),"",IFERROR(LOOKUP(2,1/((Budgets!$A$2:$A$200=BC$1)*(Budgets!$B$2:$B$200&lt;=$A26)),Budgets!$C$2:$C$200),0))</f>
        <v/>
      </c>
      <c r="BE26" s="67">
        <f>COUNTIFS(Entries!$A$2:$A$5000,$A26)</f>
        <v/>
      </c>
    </row>
    <row r="27" ht="15" customHeight="1" s="43">
      <c r="A27" s="87" t="n">
        <v>40210</v>
      </c>
      <c r="B27" s="88">
        <f>IF($BE27=0,NA(),SUMIFS(Entries!$D$2:$D$5000,Entries!$C$2:$C$5000,"Income",Entries!$A$2:$A$5000,$A27))</f>
        <v/>
      </c>
      <c r="C27" s="88">
        <f>IF($BE27=0,"",SUMIFS(Entries!$D$2:$D$5000,Entries!$C$2:$C$5000,"Actual",Entries!$A$2:$A$5000,$A27))</f>
        <v/>
      </c>
      <c r="D27" s="88">
        <f>IF($BE27=0,"",SUMIFS(Entries!$D$2:$D$5000,Entries!$C$2:$C$5000,"One-off",Entries!$A$2:$A$5000,$A27))</f>
        <v/>
      </c>
      <c r="E27" s="88">
        <f>IF($BE27=0,NA(),C27+D27)</f>
        <v/>
      </c>
      <c r="F27" s="88">
        <f>IF($BE27=0,"",SUM(AJ27:BC27))</f>
        <v/>
      </c>
      <c r="G27" s="88">
        <f>IF($BE27=0,"",B27-E27)</f>
        <v/>
      </c>
      <c r="H27" s="88">
        <f>IF($BE27=0,"",SUM($G$2:G27))</f>
        <v/>
      </c>
      <c r="I27" s="88">
        <f>IF($BE27=0,"",SUMIFS(Entries!$F$2:$F$5000,Entries!$A$2:$A$5000,$A27))</f>
        <v/>
      </c>
      <c r="J27" s="88">
        <f>IF($BE27=0,NA(),H27+SUM($I$2:I27))</f>
        <v/>
      </c>
      <c r="K27" s="88">
        <f>IF($BE27=0,"",SUMIFS(Entries!$D$2:$D$5000,Entries!$C$2:$C$5000,"Income",Entries!$A$2:$A$5000,"&gt;="&amp;EDATE($A27,-11),Entries!$A$2:$A$5000,"&lt;="&amp;$A27)/12)</f>
        <v/>
      </c>
      <c r="L27" s="88">
        <f>IF($BE27=0,"",(SUMIFS(Entries!$D$2:$D$5000,Entries!$C$2:$C$5000,"Actual",Entries!$A$2:$A$5000,"&gt;="&amp;EDATE($A27,-11),Entries!$A$2:$A$5000,"&lt;="&amp;$A27)+SUMIFS(Entries!$D$2:$D$5000,Entries!$C$2:$C$5000,"One-off",Entries!$A$2:$A$5000,"&gt;="&amp;EDATE($A27,-11),Entries!$A$2:$A$5000,"&lt;="&amp;$A27))/12)</f>
        <v/>
      </c>
      <c r="M27" s="70">
        <f>IF($BE27=0,NA(),IFERROR((K27-L27)/K27,0))</f>
        <v/>
      </c>
      <c r="O27" s="88">
        <f>IF(OR(O$1="",$BE27=0),"",SUMIFS(Entries!$D$2:$D$5000,Entries!$C$2:$C$5000,"Actual",Entries!$A$2:$A$5000,$A27,Entries!$B$2:$B$5000,O$1))</f>
        <v/>
      </c>
      <c r="P27" s="88">
        <f>IF(OR(P$1="",$BE27=0),"",SUMIFS(Entries!$D$2:$D$5000,Entries!$C$2:$C$5000,"Actual",Entries!$A$2:$A$5000,$A27,Entries!$B$2:$B$5000,P$1))</f>
        <v/>
      </c>
      <c r="Q27" s="88">
        <f>IF(OR(Q$1="",$BE27=0),"",SUMIFS(Entries!$D$2:$D$5000,Entries!$C$2:$C$5000,"Actual",Entries!$A$2:$A$5000,$A27,Entries!$B$2:$B$5000,Q$1))</f>
        <v/>
      </c>
      <c r="R27" s="88">
        <f>IF(OR(R$1="",$BE27=0),"",SUMIFS(Entries!$D$2:$D$5000,Entries!$C$2:$C$5000,"Actual",Entries!$A$2:$A$5000,$A27,Entries!$B$2:$B$5000,R$1))</f>
        <v/>
      </c>
      <c r="S27" s="88">
        <f>IF(OR(S$1="",$BE27=0),"",SUMIFS(Entries!$D$2:$D$5000,Entries!$C$2:$C$5000,"Actual",Entries!$A$2:$A$5000,$A27,Entries!$B$2:$B$5000,S$1))</f>
        <v/>
      </c>
      <c r="T27" s="88">
        <f>IF(OR(T$1="",$BE27=0),"",SUMIFS(Entries!$D$2:$D$5000,Entries!$C$2:$C$5000,"Actual",Entries!$A$2:$A$5000,$A27,Entries!$B$2:$B$5000,T$1))</f>
        <v/>
      </c>
      <c r="U27" s="88">
        <f>IF(OR(U$1="",$BE27=0),"",SUMIFS(Entries!$D$2:$D$5000,Entries!$C$2:$C$5000,"Actual",Entries!$A$2:$A$5000,$A27,Entries!$B$2:$B$5000,U$1))</f>
        <v/>
      </c>
      <c r="V27" s="88">
        <f>IF(OR(V$1="",$BE27=0),"",SUMIFS(Entries!$D$2:$D$5000,Entries!$C$2:$C$5000,"Actual",Entries!$A$2:$A$5000,$A27,Entries!$B$2:$B$5000,V$1))</f>
        <v/>
      </c>
      <c r="W27" s="88">
        <f>IF(OR(W$1="",$BE27=0),"",SUMIFS(Entries!$D$2:$D$5000,Entries!$C$2:$C$5000,"Actual",Entries!$A$2:$A$5000,$A27,Entries!$B$2:$B$5000,W$1))</f>
        <v/>
      </c>
      <c r="X27" s="88">
        <f>IF(OR(X$1="",$BE27=0),"",SUMIFS(Entries!$D$2:$D$5000,Entries!$C$2:$C$5000,"Actual",Entries!$A$2:$A$5000,$A27,Entries!$B$2:$B$5000,X$1))</f>
        <v/>
      </c>
      <c r="Y27" s="88">
        <f>IF(OR(Y$1="",$BE27=0),"",SUMIFS(Entries!$D$2:$D$5000,Entries!$C$2:$C$5000,"Actual",Entries!$A$2:$A$5000,$A27,Entries!$B$2:$B$5000,Y$1))</f>
        <v/>
      </c>
      <c r="Z27" s="88">
        <f>IF(OR(Z$1="",$BE27=0),"",SUMIFS(Entries!$D$2:$D$5000,Entries!$C$2:$C$5000,"Actual",Entries!$A$2:$A$5000,$A27,Entries!$B$2:$B$5000,Z$1))</f>
        <v/>
      </c>
      <c r="AA27" s="88">
        <f>IF(OR(AA$1="",$BE27=0),"",SUMIFS(Entries!$D$2:$D$5000,Entries!$C$2:$C$5000,"Actual",Entries!$A$2:$A$5000,$A27,Entries!$B$2:$B$5000,AA$1))</f>
        <v/>
      </c>
      <c r="AB27" s="88">
        <f>IF(OR(AB$1="",$BE27=0),"",SUMIFS(Entries!$D$2:$D$5000,Entries!$C$2:$C$5000,"Actual",Entries!$A$2:$A$5000,$A27,Entries!$B$2:$B$5000,AB$1))</f>
        <v/>
      </c>
      <c r="AC27" s="88">
        <f>IF(OR(AC$1="",$BE27=0),"",SUMIFS(Entries!$D$2:$D$5000,Entries!$C$2:$C$5000,"Actual",Entries!$A$2:$A$5000,$A27,Entries!$B$2:$B$5000,AC$1))</f>
        <v/>
      </c>
      <c r="AD27" s="88">
        <f>IF(OR(AD$1="",$BE27=0),"",SUMIFS(Entries!$D$2:$D$5000,Entries!$C$2:$C$5000,"Actual",Entries!$A$2:$A$5000,$A27,Entries!$B$2:$B$5000,AD$1))</f>
        <v/>
      </c>
      <c r="AE27" s="88">
        <f>IF(OR(AE$1="",$BE27=0),"",SUMIFS(Entries!$D$2:$D$5000,Entries!$C$2:$C$5000,"Actual",Entries!$A$2:$A$5000,$A27,Entries!$B$2:$B$5000,AE$1))</f>
        <v/>
      </c>
      <c r="AF27" s="88">
        <f>IF(OR(AF$1="",$BE27=0),"",SUMIFS(Entries!$D$2:$D$5000,Entries!$C$2:$C$5000,"Actual",Entries!$A$2:$A$5000,$A27,Entries!$B$2:$B$5000,AF$1))</f>
        <v/>
      </c>
      <c r="AG27" s="88">
        <f>IF(OR(AG$1="",$BE27=0),"",SUMIFS(Entries!$D$2:$D$5000,Entries!$C$2:$C$5000,"Actual",Entries!$A$2:$A$5000,$A27,Entries!$B$2:$B$5000,AG$1))</f>
        <v/>
      </c>
      <c r="AH27" s="88">
        <f>IF(OR(AH$1="",$BE27=0),"",SUMIFS(Entries!$D$2:$D$5000,Entries!$C$2:$C$5000,"Actual",Entries!$A$2:$A$5000,$A27,Entries!$B$2:$B$5000,AH$1))</f>
        <v/>
      </c>
      <c r="AJ27" s="88">
        <f>IF(OR(AJ$1="",$BE27=0),"",IFERROR(LOOKUP(2,1/((Budgets!$A$2:$A$200=AJ$1)*(Budgets!$B$2:$B$200&lt;=$A27)),Budgets!$C$2:$C$200),0))</f>
        <v/>
      </c>
      <c r="AK27" s="88">
        <f>IF(OR(AK$1="",$BE27=0),"",IFERROR(LOOKUP(2,1/((Budgets!$A$2:$A$200=AK$1)*(Budgets!$B$2:$B$200&lt;=$A27)),Budgets!$C$2:$C$200),0))</f>
        <v/>
      </c>
      <c r="AL27" s="88">
        <f>IF(OR(AL$1="",$BE27=0),"",IFERROR(LOOKUP(2,1/((Budgets!$A$2:$A$200=AL$1)*(Budgets!$B$2:$B$200&lt;=$A27)),Budgets!$C$2:$C$200),0))</f>
        <v/>
      </c>
      <c r="AM27" s="88">
        <f>IF(OR(AM$1="",$BE27=0),"",IFERROR(LOOKUP(2,1/((Budgets!$A$2:$A$200=AM$1)*(Budgets!$B$2:$B$200&lt;=$A27)),Budgets!$C$2:$C$200),0))</f>
        <v/>
      </c>
      <c r="AN27" s="88">
        <f>IF(OR(AN$1="",$BE27=0),"",IFERROR(LOOKUP(2,1/((Budgets!$A$2:$A$200=AN$1)*(Budgets!$B$2:$B$200&lt;=$A27)),Budgets!$C$2:$C$200),0))</f>
        <v/>
      </c>
      <c r="AO27" s="88">
        <f>IF(OR(AO$1="",$BE27=0),"",IFERROR(LOOKUP(2,1/((Budgets!$A$2:$A$200=AO$1)*(Budgets!$B$2:$B$200&lt;=$A27)),Budgets!$C$2:$C$200),0))</f>
        <v/>
      </c>
      <c r="AP27" s="88">
        <f>IF(OR(AP$1="",$BE27=0),"",IFERROR(LOOKUP(2,1/((Budgets!$A$2:$A$200=AP$1)*(Budgets!$B$2:$B$200&lt;=$A27)),Budgets!$C$2:$C$200),0))</f>
        <v/>
      </c>
      <c r="AQ27" s="88">
        <f>IF(OR(AQ$1="",$BE27=0),"",IFERROR(LOOKUP(2,1/((Budgets!$A$2:$A$200=AQ$1)*(Budgets!$B$2:$B$200&lt;=$A27)),Budgets!$C$2:$C$200),0))</f>
        <v/>
      </c>
      <c r="AR27" s="88">
        <f>IF(OR(AR$1="",$BE27=0),"",IFERROR(LOOKUP(2,1/((Budgets!$A$2:$A$200=AR$1)*(Budgets!$B$2:$B$200&lt;=$A27)),Budgets!$C$2:$C$200),0))</f>
        <v/>
      </c>
      <c r="AS27" s="88">
        <f>IF(OR(AS$1="",$BE27=0),"",IFERROR(LOOKUP(2,1/((Budgets!$A$2:$A$200=AS$1)*(Budgets!$B$2:$B$200&lt;=$A27)),Budgets!$C$2:$C$200),0))</f>
        <v/>
      </c>
      <c r="AT27" s="88">
        <f>IF(OR(AT$1="",$BE27=0),"",IFERROR(LOOKUP(2,1/((Budgets!$A$2:$A$200=AT$1)*(Budgets!$B$2:$B$200&lt;=$A27)),Budgets!$C$2:$C$200),0))</f>
        <v/>
      </c>
      <c r="AU27" s="88">
        <f>IF(OR(AU$1="",$BE27=0),"",IFERROR(LOOKUP(2,1/((Budgets!$A$2:$A$200=AU$1)*(Budgets!$B$2:$B$200&lt;=$A27)),Budgets!$C$2:$C$200),0))</f>
        <v/>
      </c>
      <c r="AV27" s="88">
        <f>IF(OR(AV$1="",$BE27=0),"",IFERROR(LOOKUP(2,1/((Budgets!$A$2:$A$200=AV$1)*(Budgets!$B$2:$B$200&lt;=$A27)),Budgets!$C$2:$C$200),0))</f>
        <v/>
      </c>
      <c r="AW27" s="88">
        <f>IF(OR(AW$1="",$BE27=0),"",IFERROR(LOOKUP(2,1/((Budgets!$A$2:$A$200=AW$1)*(Budgets!$B$2:$B$200&lt;=$A27)),Budgets!$C$2:$C$200),0))</f>
        <v/>
      </c>
      <c r="AX27" s="88">
        <f>IF(OR(AX$1="",$BE27=0),"",IFERROR(LOOKUP(2,1/((Budgets!$A$2:$A$200=AX$1)*(Budgets!$B$2:$B$200&lt;=$A27)),Budgets!$C$2:$C$200),0))</f>
        <v/>
      </c>
      <c r="AY27" s="88">
        <f>IF(OR(AY$1="",$BE27=0),"",IFERROR(LOOKUP(2,1/((Budgets!$A$2:$A$200=AY$1)*(Budgets!$B$2:$B$200&lt;=$A27)),Budgets!$C$2:$C$200),0))</f>
        <v/>
      </c>
      <c r="AZ27" s="88">
        <f>IF(OR(AZ$1="",$BE27=0),"",IFERROR(LOOKUP(2,1/((Budgets!$A$2:$A$200=AZ$1)*(Budgets!$B$2:$B$200&lt;=$A27)),Budgets!$C$2:$C$200),0))</f>
        <v/>
      </c>
      <c r="BA27" s="88">
        <f>IF(OR(BA$1="",$BE27=0),"",IFERROR(LOOKUP(2,1/((Budgets!$A$2:$A$200=BA$1)*(Budgets!$B$2:$B$200&lt;=$A27)),Budgets!$C$2:$C$200),0))</f>
        <v/>
      </c>
      <c r="BB27" s="88">
        <f>IF(OR(BB$1="",$BE27=0),"",IFERROR(LOOKUP(2,1/((Budgets!$A$2:$A$200=BB$1)*(Budgets!$B$2:$B$200&lt;=$A27)),Budgets!$C$2:$C$200),0))</f>
        <v/>
      </c>
      <c r="BC27" s="88">
        <f>IF(OR(BC$1="",$BE27=0),"",IFERROR(LOOKUP(2,1/((Budgets!$A$2:$A$200=BC$1)*(Budgets!$B$2:$B$200&lt;=$A27)),Budgets!$C$2:$C$200),0))</f>
        <v/>
      </c>
      <c r="BE27" s="67">
        <f>COUNTIFS(Entries!$A$2:$A$5000,$A27)</f>
        <v/>
      </c>
    </row>
    <row r="28" ht="15" customHeight="1" s="43">
      <c r="A28" s="87" t="n">
        <v>40238</v>
      </c>
      <c r="B28" s="88">
        <f>IF($BE28=0,NA(),SUMIFS(Entries!$D$2:$D$5000,Entries!$C$2:$C$5000,"Income",Entries!$A$2:$A$5000,$A28))</f>
        <v/>
      </c>
      <c r="C28" s="88">
        <f>IF($BE28=0,"",SUMIFS(Entries!$D$2:$D$5000,Entries!$C$2:$C$5000,"Actual",Entries!$A$2:$A$5000,$A28))</f>
        <v/>
      </c>
      <c r="D28" s="88">
        <f>IF($BE28=0,"",SUMIFS(Entries!$D$2:$D$5000,Entries!$C$2:$C$5000,"One-off",Entries!$A$2:$A$5000,$A28))</f>
        <v/>
      </c>
      <c r="E28" s="88">
        <f>IF($BE28=0,NA(),C28+D28)</f>
        <v/>
      </c>
      <c r="F28" s="88">
        <f>IF($BE28=0,"",SUM(AJ28:BC28))</f>
        <v/>
      </c>
      <c r="G28" s="88">
        <f>IF($BE28=0,"",B28-E28)</f>
        <v/>
      </c>
      <c r="H28" s="88">
        <f>IF($BE28=0,"",SUM($G$2:G28))</f>
        <v/>
      </c>
      <c r="I28" s="88">
        <f>IF($BE28=0,"",SUMIFS(Entries!$F$2:$F$5000,Entries!$A$2:$A$5000,$A28))</f>
        <v/>
      </c>
      <c r="J28" s="88">
        <f>IF($BE28=0,NA(),H28+SUM($I$2:I28))</f>
        <v/>
      </c>
      <c r="K28" s="88">
        <f>IF($BE28=0,"",SUMIFS(Entries!$D$2:$D$5000,Entries!$C$2:$C$5000,"Income",Entries!$A$2:$A$5000,"&gt;="&amp;EDATE($A28,-11),Entries!$A$2:$A$5000,"&lt;="&amp;$A28)/12)</f>
        <v/>
      </c>
      <c r="L28" s="88">
        <f>IF($BE28=0,"",(SUMIFS(Entries!$D$2:$D$5000,Entries!$C$2:$C$5000,"Actual",Entries!$A$2:$A$5000,"&gt;="&amp;EDATE($A28,-11),Entries!$A$2:$A$5000,"&lt;="&amp;$A28)+SUMIFS(Entries!$D$2:$D$5000,Entries!$C$2:$C$5000,"One-off",Entries!$A$2:$A$5000,"&gt;="&amp;EDATE($A28,-11),Entries!$A$2:$A$5000,"&lt;="&amp;$A28))/12)</f>
        <v/>
      </c>
      <c r="M28" s="70">
        <f>IF($BE28=0,NA(),IFERROR((K28-L28)/K28,0))</f>
        <v/>
      </c>
      <c r="O28" s="88">
        <f>IF(OR(O$1="",$BE28=0),"",SUMIFS(Entries!$D$2:$D$5000,Entries!$C$2:$C$5000,"Actual",Entries!$A$2:$A$5000,$A28,Entries!$B$2:$B$5000,O$1))</f>
        <v/>
      </c>
      <c r="P28" s="88">
        <f>IF(OR(P$1="",$BE28=0),"",SUMIFS(Entries!$D$2:$D$5000,Entries!$C$2:$C$5000,"Actual",Entries!$A$2:$A$5000,$A28,Entries!$B$2:$B$5000,P$1))</f>
        <v/>
      </c>
      <c r="Q28" s="88">
        <f>IF(OR(Q$1="",$BE28=0),"",SUMIFS(Entries!$D$2:$D$5000,Entries!$C$2:$C$5000,"Actual",Entries!$A$2:$A$5000,$A28,Entries!$B$2:$B$5000,Q$1))</f>
        <v/>
      </c>
      <c r="R28" s="88">
        <f>IF(OR(R$1="",$BE28=0),"",SUMIFS(Entries!$D$2:$D$5000,Entries!$C$2:$C$5000,"Actual",Entries!$A$2:$A$5000,$A28,Entries!$B$2:$B$5000,R$1))</f>
        <v/>
      </c>
      <c r="S28" s="88">
        <f>IF(OR(S$1="",$BE28=0),"",SUMIFS(Entries!$D$2:$D$5000,Entries!$C$2:$C$5000,"Actual",Entries!$A$2:$A$5000,$A28,Entries!$B$2:$B$5000,S$1))</f>
        <v/>
      </c>
      <c r="T28" s="88">
        <f>IF(OR(T$1="",$BE28=0),"",SUMIFS(Entries!$D$2:$D$5000,Entries!$C$2:$C$5000,"Actual",Entries!$A$2:$A$5000,$A28,Entries!$B$2:$B$5000,T$1))</f>
        <v/>
      </c>
      <c r="U28" s="88">
        <f>IF(OR(U$1="",$BE28=0),"",SUMIFS(Entries!$D$2:$D$5000,Entries!$C$2:$C$5000,"Actual",Entries!$A$2:$A$5000,$A28,Entries!$B$2:$B$5000,U$1))</f>
        <v/>
      </c>
      <c r="V28" s="88">
        <f>IF(OR(V$1="",$BE28=0),"",SUMIFS(Entries!$D$2:$D$5000,Entries!$C$2:$C$5000,"Actual",Entries!$A$2:$A$5000,$A28,Entries!$B$2:$B$5000,V$1))</f>
        <v/>
      </c>
      <c r="W28" s="88">
        <f>IF(OR(W$1="",$BE28=0),"",SUMIFS(Entries!$D$2:$D$5000,Entries!$C$2:$C$5000,"Actual",Entries!$A$2:$A$5000,$A28,Entries!$B$2:$B$5000,W$1))</f>
        <v/>
      </c>
      <c r="X28" s="88">
        <f>IF(OR(X$1="",$BE28=0),"",SUMIFS(Entries!$D$2:$D$5000,Entries!$C$2:$C$5000,"Actual",Entries!$A$2:$A$5000,$A28,Entries!$B$2:$B$5000,X$1))</f>
        <v/>
      </c>
      <c r="Y28" s="88">
        <f>IF(OR(Y$1="",$BE28=0),"",SUMIFS(Entries!$D$2:$D$5000,Entries!$C$2:$C$5000,"Actual",Entries!$A$2:$A$5000,$A28,Entries!$B$2:$B$5000,Y$1))</f>
        <v/>
      </c>
      <c r="Z28" s="88">
        <f>IF(OR(Z$1="",$BE28=0),"",SUMIFS(Entries!$D$2:$D$5000,Entries!$C$2:$C$5000,"Actual",Entries!$A$2:$A$5000,$A28,Entries!$B$2:$B$5000,Z$1))</f>
        <v/>
      </c>
      <c r="AA28" s="88">
        <f>IF(OR(AA$1="",$BE28=0),"",SUMIFS(Entries!$D$2:$D$5000,Entries!$C$2:$C$5000,"Actual",Entries!$A$2:$A$5000,$A28,Entries!$B$2:$B$5000,AA$1))</f>
        <v/>
      </c>
      <c r="AB28" s="88">
        <f>IF(OR(AB$1="",$BE28=0),"",SUMIFS(Entries!$D$2:$D$5000,Entries!$C$2:$C$5000,"Actual",Entries!$A$2:$A$5000,$A28,Entries!$B$2:$B$5000,AB$1))</f>
        <v/>
      </c>
      <c r="AC28" s="88">
        <f>IF(OR(AC$1="",$BE28=0),"",SUMIFS(Entries!$D$2:$D$5000,Entries!$C$2:$C$5000,"Actual",Entries!$A$2:$A$5000,$A28,Entries!$B$2:$B$5000,AC$1))</f>
        <v/>
      </c>
      <c r="AD28" s="88">
        <f>IF(OR(AD$1="",$BE28=0),"",SUMIFS(Entries!$D$2:$D$5000,Entries!$C$2:$C$5000,"Actual",Entries!$A$2:$A$5000,$A28,Entries!$B$2:$B$5000,AD$1))</f>
        <v/>
      </c>
      <c r="AE28" s="88">
        <f>IF(OR(AE$1="",$BE28=0),"",SUMIFS(Entries!$D$2:$D$5000,Entries!$C$2:$C$5000,"Actual",Entries!$A$2:$A$5000,$A28,Entries!$B$2:$B$5000,AE$1))</f>
        <v/>
      </c>
      <c r="AF28" s="88">
        <f>IF(OR(AF$1="",$BE28=0),"",SUMIFS(Entries!$D$2:$D$5000,Entries!$C$2:$C$5000,"Actual",Entries!$A$2:$A$5000,$A28,Entries!$B$2:$B$5000,AF$1))</f>
        <v/>
      </c>
      <c r="AG28" s="88">
        <f>IF(OR(AG$1="",$BE28=0),"",SUMIFS(Entries!$D$2:$D$5000,Entries!$C$2:$C$5000,"Actual",Entries!$A$2:$A$5000,$A28,Entries!$B$2:$B$5000,AG$1))</f>
        <v/>
      </c>
      <c r="AH28" s="88">
        <f>IF(OR(AH$1="",$BE28=0),"",SUMIFS(Entries!$D$2:$D$5000,Entries!$C$2:$C$5000,"Actual",Entries!$A$2:$A$5000,$A28,Entries!$B$2:$B$5000,AH$1))</f>
        <v/>
      </c>
      <c r="AJ28" s="88">
        <f>IF(OR(AJ$1="",$BE28=0),"",IFERROR(LOOKUP(2,1/((Budgets!$A$2:$A$200=AJ$1)*(Budgets!$B$2:$B$200&lt;=$A28)),Budgets!$C$2:$C$200),0))</f>
        <v/>
      </c>
      <c r="AK28" s="88">
        <f>IF(OR(AK$1="",$BE28=0),"",IFERROR(LOOKUP(2,1/((Budgets!$A$2:$A$200=AK$1)*(Budgets!$B$2:$B$200&lt;=$A28)),Budgets!$C$2:$C$200),0))</f>
        <v/>
      </c>
      <c r="AL28" s="88">
        <f>IF(OR(AL$1="",$BE28=0),"",IFERROR(LOOKUP(2,1/((Budgets!$A$2:$A$200=AL$1)*(Budgets!$B$2:$B$200&lt;=$A28)),Budgets!$C$2:$C$200),0))</f>
        <v/>
      </c>
      <c r="AM28" s="88">
        <f>IF(OR(AM$1="",$BE28=0),"",IFERROR(LOOKUP(2,1/((Budgets!$A$2:$A$200=AM$1)*(Budgets!$B$2:$B$200&lt;=$A28)),Budgets!$C$2:$C$200),0))</f>
        <v/>
      </c>
      <c r="AN28" s="88">
        <f>IF(OR(AN$1="",$BE28=0),"",IFERROR(LOOKUP(2,1/((Budgets!$A$2:$A$200=AN$1)*(Budgets!$B$2:$B$200&lt;=$A28)),Budgets!$C$2:$C$200),0))</f>
        <v/>
      </c>
      <c r="AO28" s="88">
        <f>IF(OR(AO$1="",$BE28=0),"",IFERROR(LOOKUP(2,1/((Budgets!$A$2:$A$200=AO$1)*(Budgets!$B$2:$B$200&lt;=$A28)),Budgets!$C$2:$C$200),0))</f>
        <v/>
      </c>
      <c r="AP28" s="88">
        <f>IF(OR(AP$1="",$BE28=0),"",IFERROR(LOOKUP(2,1/((Budgets!$A$2:$A$200=AP$1)*(Budgets!$B$2:$B$200&lt;=$A28)),Budgets!$C$2:$C$200),0))</f>
        <v/>
      </c>
      <c r="AQ28" s="88">
        <f>IF(OR(AQ$1="",$BE28=0),"",IFERROR(LOOKUP(2,1/((Budgets!$A$2:$A$200=AQ$1)*(Budgets!$B$2:$B$200&lt;=$A28)),Budgets!$C$2:$C$200),0))</f>
        <v/>
      </c>
      <c r="AR28" s="88">
        <f>IF(OR(AR$1="",$BE28=0),"",IFERROR(LOOKUP(2,1/((Budgets!$A$2:$A$200=AR$1)*(Budgets!$B$2:$B$200&lt;=$A28)),Budgets!$C$2:$C$200),0))</f>
        <v/>
      </c>
      <c r="AS28" s="88">
        <f>IF(OR(AS$1="",$BE28=0),"",IFERROR(LOOKUP(2,1/((Budgets!$A$2:$A$200=AS$1)*(Budgets!$B$2:$B$200&lt;=$A28)),Budgets!$C$2:$C$200),0))</f>
        <v/>
      </c>
      <c r="AT28" s="88">
        <f>IF(OR(AT$1="",$BE28=0),"",IFERROR(LOOKUP(2,1/((Budgets!$A$2:$A$200=AT$1)*(Budgets!$B$2:$B$200&lt;=$A28)),Budgets!$C$2:$C$200),0))</f>
        <v/>
      </c>
      <c r="AU28" s="88">
        <f>IF(OR(AU$1="",$BE28=0),"",IFERROR(LOOKUP(2,1/((Budgets!$A$2:$A$200=AU$1)*(Budgets!$B$2:$B$200&lt;=$A28)),Budgets!$C$2:$C$200),0))</f>
        <v/>
      </c>
      <c r="AV28" s="88">
        <f>IF(OR(AV$1="",$BE28=0),"",IFERROR(LOOKUP(2,1/((Budgets!$A$2:$A$200=AV$1)*(Budgets!$B$2:$B$200&lt;=$A28)),Budgets!$C$2:$C$200),0))</f>
        <v/>
      </c>
      <c r="AW28" s="88">
        <f>IF(OR(AW$1="",$BE28=0),"",IFERROR(LOOKUP(2,1/((Budgets!$A$2:$A$200=AW$1)*(Budgets!$B$2:$B$200&lt;=$A28)),Budgets!$C$2:$C$200),0))</f>
        <v/>
      </c>
      <c r="AX28" s="88">
        <f>IF(OR(AX$1="",$BE28=0),"",IFERROR(LOOKUP(2,1/((Budgets!$A$2:$A$200=AX$1)*(Budgets!$B$2:$B$200&lt;=$A28)),Budgets!$C$2:$C$200),0))</f>
        <v/>
      </c>
      <c r="AY28" s="88">
        <f>IF(OR(AY$1="",$BE28=0),"",IFERROR(LOOKUP(2,1/((Budgets!$A$2:$A$200=AY$1)*(Budgets!$B$2:$B$200&lt;=$A28)),Budgets!$C$2:$C$200),0))</f>
        <v/>
      </c>
      <c r="AZ28" s="88">
        <f>IF(OR(AZ$1="",$BE28=0),"",IFERROR(LOOKUP(2,1/((Budgets!$A$2:$A$200=AZ$1)*(Budgets!$B$2:$B$200&lt;=$A28)),Budgets!$C$2:$C$200),0))</f>
        <v/>
      </c>
      <c r="BA28" s="88">
        <f>IF(OR(BA$1="",$BE28=0),"",IFERROR(LOOKUP(2,1/((Budgets!$A$2:$A$200=BA$1)*(Budgets!$B$2:$B$200&lt;=$A28)),Budgets!$C$2:$C$200),0))</f>
        <v/>
      </c>
      <c r="BB28" s="88">
        <f>IF(OR(BB$1="",$BE28=0),"",IFERROR(LOOKUP(2,1/((Budgets!$A$2:$A$200=BB$1)*(Budgets!$B$2:$B$200&lt;=$A28)),Budgets!$C$2:$C$200),0))</f>
        <v/>
      </c>
      <c r="BC28" s="88">
        <f>IF(OR(BC$1="",$BE28=0),"",IFERROR(LOOKUP(2,1/((Budgets!$A$2:$A$200=BC$1)*(Budgets!$B$2:$B$200&lt;=$A28)),Budgets!$C$2:$C$200),0))</f>
        <v/>
      </c>
      <c r="BE28" s="67">
        <f>COUNTIFS(Entries!$A$2:$A$5000,$A28)</f>
        <v/>
      </c>
    </row>
    <row r="29" ht="15" customHeight="1" s="43">
      <c r="A29" s="87" t="n">
        <v>40269</v>
      </c>
      <c r="B29" s="88">
        <f>IF($BE29=0,NA(),SUMIFS(Entries!$D$2:$D$5000,Entries!$C$2:$C$5000,"Income",Entries!$A$2:$A$5000,$A29))</f>
        <v/>
      </c>
      <c r="C29" s="88">
        <f>IF($BE29=0,"",SUMIFS(Entries!$D$2:$D$5000,Entries!$C$2:$C$5000,"Actual",Entries!$A$2:$A$5000,$A29))</f>
        <v/>
      </c>
      <c r="D29" s="88">
        <f>IF($BE29=0,"",SUMIFS(Entries!$D$2:$D$5000,Entries!$C$2:$C$5000,"One-off",Entries!$A$2:$A$5000,$A29))</f>
        <v/>
      </c>
      <c r="E29" s="88">
        <f>IF($BE29=0,NA(),C29+D29)</f>
        <v/>
      </c>
      <c r="F29" s="88">
        <f>IF($BE29=0,"",SUM(AJ29:BC29))</f>
        <v/>
      </c>
      <c r="G29" s="88">
        <f>IF($BE29=0,"",B29-E29)</f>
        <v/>
      </c>
      <c r="H29" s="88">
        <f>IF($BE29=0,"",SUM($G$2:G29))</f>
        <v/>
      </c>
      <c r="I29" s="88">
        <f>IF($BE29=0,"",SUMIFS(Entries!$F$2:$F$5000,Entries!$A$2:$A$5000,$A29))</f>
        <v/>
      </c>
      <c r="J29" s="88">
        <f>IF($BE29=0,NA(),H29+SUM($I$2:I29))</f>
        <v/>
      </c>
      <c r="K29" s="88">
        <f>IF($BE29=0,"",SUMIFS(Entries!$D$2:$D$5000,Entries!$C$2:$C$5000,"Income",Entries!$A$2:$A$5000,"&gt;="&amp;EDATE($A29,-11),Entries!$A$2:$A$5000,"&lt;="&amp;$A29)/12)</f>
        <v/>
      </c>
      <c r="L29" s="88">
        <f>IF($BE29=0,"",(SUMIFS(Entries!$D$2:$D$5000,Entries!$C$2:$C$5000,"Actual",Entries!$A$2:$A$5000,"&gt;="&amp;EDATE($A29,-11),Entries!$A$2:$A$5000,"&lt;="&amp;$A29)+SUMIFS(Entries!$D$2:$D$5000,Entries!$C$2:$C$5000,"One-off",Entries!$A$2:$A$5000,"&gt;="&amp;EDATE($A29,-11),Entries!$A$2:$A$5000,"&lt;="&amp;$A29))/12)</f>
        <v/>
      </c>
      <c r="M29" s="70">
        <f>IF($BE29=0,NA(),IFERROR((K29-L29)/K29,0))</f>
        <v/>
      </c>
      <c r="O29" s="88">
        <f>IF(OR(O$1="",$BE29=0),"",SUMIFS(Entries!$D$2:$D$5000,Entries!$C$2:$C$5000,"Actual",Entries!$A$2:$A$5000,$A29,Entries!$B$2:$B$5000,O$1))</f>
        <v/>
      </c>
      <c r="P29" s="88">
        <f>IF(OR(P$1="",$BE29=0),"",SUMIFS(Entries!$D$2:$D$5000,Entries!$C$2:$C$5000,"Actual",Entries!$A$2:$A$5000,$A29,Entries!$B$2:$B$5000,P$1))</f>
        <v/>
      </c>
      <c r="Q29" s="88">
        <f>IF(OR(Q$1="",$BE29=0),"",SUMIFS(Entries!$D$2:$D$5000,Entries!$C$2:$C$5000,"Actual",Entries!$A$2:$A$5000,$A29,Entries!$B$2:$B$5000,Q$1))</f>
        <v/>
      </c>
      <c r="R29" s="88">
        <f>IF(OR(R$1="",$BE29=0),"",SUMIFS(Entries!$D$2:$D$5000,Entries!$C$2:$C$5000,"Actual",Entries!$A$2:$A$5000,$A29,Entries!$B$2:$B$5000,R$1))</f>
        <v/>
      </c>
      <c r="S29" s="88">
        <f>IF(OR(S$1="",$BE29=0),"",SUMIFS(Entries!$D$2:$D$5000,Entries!$C$2:$C$5000,"Actual",Entries!$A$2:$A$5000,$A29,Entries!$B$2:$B$5000,S$1))</f>
        <v/>
      </c>
      <c r="T29" s="88">
        <f>IF(OR(T$1="",$BE29=0),"",SUMIFS(Entries!$D$2:$D$5000,Entries!$C$2:$C$5000,"Actual",Entries!$A$2:$A$5000,$A29,Entries!$B$2:$B$5000,T$1))</f>
        <v/>
      </c>
      <c r="U29" s="88">
        <f>IF(OR(U$1="",$BE29=0),"",SUMIFS(Entries!$D$2:$D$5000,Entries!$C$2:$C$5000,"Actual",Entries!$A$2:$A$5000,$A29,Entries!$B$2:$B$5000,U$1))</f>
        <v/>
      </c>
      <c r="V29" s="88">
        <f>IF(OR(V$1="",$BE29=0),"",SUMIFS(Entries!$D$2:$D$5000,Entries!$C$2:$C$5000,"Actual",Entries!$A$2:$A$5000,$A29,Entries!$B$2:$B$5000,V$1))</f>
        <v/>
      </c>
      <c r="W29" s="88">
        <f>IF(OR(W$1="",$BE29=0),"",SUMIFS(Entries!$D$2:$D$5000,Entries!$C$2:$C$5000,"Actual",Entries!$A$2:$A$5000,$A29,Entries!$B$2:$B$5000,W$1))</f>
        <v/>
      </c>
      <c r="X29" s="88">
        <f>IF(OR(X$1="",$BE29=0),"",SUMIFS(Entries!$D$2:$D$5000,Entries!$C$2:$C$5000,"Actual",Entries!$A$2:$A$5000,$A29,Entries!$B$2:$B$5000,X$1))</f>
        <v/>
      </c>
      <c r="Y29" s="88">
        <f>IF(OR(Y$1="",$BE29=0),"",SUMIFS(Entries!$D$2:$D$5000,Entries!$C$2:$C$5000,"Actual",Entries!$A$2:$A$5000,$A29,Entries!$B$2:$B$5000,Y$1))</f>
        <v/>
      </c>
      <c r="Z29" s="88">
        <f>IF(OR(Z$1="",$BE29=0),"",SUMIFS(Entries!$D$2:$D$5000,Entries!$C$2:$C$5000,"Actual",Entries!$A$2:$A$5000,$A29,Entries!$B$2:$B$5000,Z$1))</f>
        <v/>
      </c>
      <c r="AA29" s="88">
        <f>IF(OR(AA$1="",$BE29=0),"",SUMIFS(Entries!$D$2:$D$5000,Entries!$C$2:$C$5000,"Actual",Entries!$A$2:$A$5000,$A29,Entries!$B$2:$B$5000,AA$1))</f>
        <v/>
      </c>
      <c r="AB29" s="88">
        <f>IF(OR(AB$1="",$BE29=0),"",SUMIFS(Entries!$D$2:$D$5000,Entries!$C$2:$C$5000,"Actual",Entries!$A$2:$A$5000,$A29,Entries!$B$2:$B$5000,AB$1))</f>
        <v/>
      </c>
      <c r="AC29" s="88">
        <f>IF(OR(AC$1="",$BE29=0),"",SUMIFS(Entries!$D$2:$D$5000,Entries!$C$2:$C$5000,"Actual",Entries!$A$2:$A$5000,$A29,Entries!$B$2:$B$5000,AC$1))</f>
        <v/>
      </c>
      <c r="AD29" s="88">
        <f>IF(OR(AD$1="",$BE29=0),"",SUMIFS(Entries!$D$2:$D$5000,Entries!$C$2:$C$5000,"Actual",Entries!$A$2:$A$5000,$A29,Entries!$B$2:$B$5000,AD$1))</f>
        <v/>
      </c>
      <c r="AE29" s="88">
        <f>IF(OR(AE$1="",$BE29=0),"",SUMIFS(Entries!$D$2:$D$5000,Entries!$C$2:$C$5000,"Actual",Entries!$A$2:$A$5000,$A29,Entries!$B$2:$B$5000,AE$1))</f>
        <v/>
      </c>
      <c r="AF29" s="88">
        <f>IF(OR(AF$1="",$BE29=0),"",SUMIFS(Entries!$D$2:$D$5000,Entries!$C$2:$C$5000,"Actual",Entries!$A$2:$A$5000,$A29,Entries!$B$2:$B$5000,AF$1))</f>
        <v/>
      </c>
      <c r="AG29" s="88">
        <f>IF(OR(AG$1="",$BE29=0),"",SUMIFS(Entries!$D$2:$D$5000,Entries!$C$2:$C$5000,"Actual",Entries!$A$2:$A$5000,$A29,Entries!$B$2:$B$5000,AG$1))</f>
        <v/>
      </c>
      <c r="AH29" s="88">
        <f>IF(OR(AH$1="",$BE29=0),"",SUMIFS(Entries!$D$2:$D$5000,Entries!$C$2:$C$5000,"Actual",Entries!$A$2:$A$5000,$A29,Entries!$B$2:$B$5000,AH$1))</f>
        <v/>
      </c>
      <c r="AJ29" s="88">
        <f>IF(OR(AJ$1="",$BE29=0),"",IFERROR(LOOKUP(2,1/((Budgets!$A$2:$A$200=AJ$1)*(Budgets!$B$2:$B$200&lt;=$A29)),Budgets!$C$2:$C$200),0))</f>
        <v/>
      </c>
      <c r="AK29" s="88">
        <f>IF(OR(AK$1="",$BE29=0),"",IFERROR(LOOKUP(2,1/((Budgets!$A$2:$A$200=AK$1)*(Budgets!$B$2:$B$200&lt;=$A29)),Budgets!$C$2:$C$200),0))</f>
        <v/>
      </c>
      <c r="AL29" s="88">
        <f>IF(OR(AL$1="",$BE29=0),"",IFERROR(LOOKUP(2,1/((Budgets!$A$2:$A$200=AL$1)*(Budgets!$B$2:$B$200&lt;=$A29)),Budgets!$C$2:$C$200),0))</f>
        <v/>
      </c>
      <c r="AM29" s="88">
        <f>IF(OR(AM$1="",$BE29=0),"",IFERROR(LOOKUP(2,1/((Budgets!$A$2:$A$200=AM$1)*(Budgets!$B$2:$B$200&lt;=$A29)),Budgets!$C$2:$C$200),0))</f>
        <v/>
      </c>
      <c r="AN29" s="88">
        <f>IF(OR(AN$1="",$BE29=0),"",IFERROR(LOOKUP(2,1/((Budgets!$A$2:$A$200=AN$1)*(Budgets!$B$2:$B$200&lt;=$A29)),Budgets!$C$2:$C$200),0))</f>
        <v/>
      </c>
      <c r="AO29" s="88">
        <f>IF(OR(AO$1="",$BE29=0),"",IFERROR(LOOKUP(2,1/((Budgets!$A$2:$A$200=AO$1)*(Budgets!$B$2:$B$200&lt;=$A29)),Budgets!$C$2:$C$200),0))</f>
        <v/>
      </c>
      <c r="AP29" s="88">
        <f>IF(OR(AP$1="",$BE29=0),"",IFERROR(LOOKUP(2,1/((Budgets!$A$2:$A$200=AP$1)*(Budgets!$B$2:$B$200&lt;=$A29)),Budgets!$C$2:$C$200),0))</f>
        <v/>
      </c>
      <c r="AQ29" s="88">
        <f>IF(OR(AQ$1="",$BE29=0),"",IFERROR(LOOKUP(2,1/((Budgets!$A$2:$A$200=AQ$1)*(Budgets!$B$2:$B$200&lt;=$A29)),Budgets!$C$2:$C$200),0))</f>
        <v/>
      </c>
      <c r="AR29" s="88">
        <f>IF(OR(AR$1="",$BE29=0),"",IFERROR(LOOKUP(2,1/((Budgets!$A$2:$A$200=AR$1)*(Budgets!$B$2:$B$200&lt;=$A29)),Budgets!$C$2:$C$200),0))</f>
        <v/>
      </c>
      <c r="AS29" s="88">
        <f>IF(OR(AS$1="",$BE29=0),"",IFERROR(LOOKUP(2,1/((Budgets!$A$2:$A$200=AS$1)*(Budgets!$B$2:$B$200&lt;=$A29)),Budgets!$C$2:$C$200),0))</f>
        <v/>
      </c>
      <c r="AT29" s="88">
        <f>IF(OR(AT$1="",$BE29=0),"",IFERROR(LOOKUP(2,1/((Budgets!$A$2:$A$200=AT$1)*(Budgets!$B$2:$B$200&lt;=$A29)),Budgets!$C$2:$C$200),0))</f>
        <v/>
      </c>
      <c r="AU29" s="88">
        <f>IF(OR(AU$1="",$BE29=0),"",IFERROR(LOOKUP(2,1/((Budgets!$A$2:$A$200=AU$1)*(Budgets!$B$2:$B$200&lt;=$A29)),Budgets!$C$2:$C$200),0))</f>
        <v/>
      </c>
      <c r="AV29" s="88">
        <f>IF(OR(AV$1="",$BE29=0),"",IFERROR(LOOKUP(2,1/((Budgets!$A$2:$A$200=AV$1)*(Budgets!$B$2:$B$200&lt;=$A29)),Budgets!$C$2:$C$200),0))</f>
        <v/>
      </c>
      <c r="AW29" s="88">
        <f>IF(OR(AW$1="",$BE29=0),"",IFERROR(LOOKUP(2,1/((Budgets!$A$2:$A$200=AW$1)*(Budgets!$B$2:$B$200&lt;=$A29)),Budgets!$C$2:$C$200),0))</f>
        <v/>
      </c>
      <c r="AX29" s="88">
        <f>IF(OR(AX$1="",$BE29=0),"",IFERROR(LOOKUP(2,1/((Budgets!$A$2:$A$200=AX$1)*(Budgets!$B$2:$B$200&lt;=$A29)),Budgets!$C$2:$C$200),0))</f>
        <v/>
      </c>
      <c r="AY29" s="88">
        <f>IF(OR(AY$1="",$BE29=0),"",IFERROR(LOOKUP(2,1/((Budgets!$A$2:$A$200=AY$1)*(Budgets!$B$2:$B$200&lt;=$A29)),Budgets!$C$2:$C$200),0))</f>
        <v/>
      </c>
      <c r="AZ29" s="88">
        <f>IF(OR(AZ$1="",$BE29=0),"",IFERROR(LOOKUP(2,1/((Budgets!$A$2:$A$200=AZ$1)*(Budgets!$B$2:$B$200&lt;=$A29)),Budgets!$C$2:$C$200),0))</f>
        <v/>
      </c>
      <c r="BA29" s="88">
        <f>IF(OR(BA$1="",$BE29=0),"",IFERROR(LOOKUP(2,1/((Budgets!$A$2:$A$200=BA$1)*(Budgets!$B$2:$B$200&lt;=$A29)),Budgets!$C$2:$C$200),0))</f>
        <v/>
      </c>
      <c r="BB29" s="88">
        <f>IF(OR(BB$1="",$BE29=0),"",IFERROR(LOOKUP(2,1/((Budgets!$A$2:$A$200=BB$1)*(Budgets!$B$2:$B$200&lt;=$A29)),Budgets!$C$2:$C$200),0))</f>
        <v/>
      </c>
      <c r="BC29" s="88">
        <f>IF(OR(BC$1="",$BE29=0),"",IFERROR(LOOKUP(2,1/((Budgets!$A$2:$A$200=BC$1)*(Budgets!$B$2:$B$200&lt;=$A29)),Budgets!$C$2:$C$200),0))</f>
        <v/>
      </c>
      <c r="BE29" s="67">
        <f>COUNTIFS(Entries!$A$2:$A$5000,$A29)</f>
        <v/>
      </c>
    </row>
    <row r="30" ht="15" customHeight="1" s="43">
      <c r="A30" s="87" t="n">
        <v>40299</v>
      </c>
      <c r="B30" s="88">
        <f>IF($BE30=0,NA(),SUMIFS(Entries!$D$2:$D$5000,Entries!$C$2:$C$5000,"Income",Entries!$A$2:$A$5000,$A30))</f>
        <v/>
      </c>
      <c r="C30" s="88">
        <f>IF($BE30=0,"",SUMIFS(Entries!$D$2:$D$5000,Entries!$C$2:$C$5000,"Actual",Entries!$A$2:$A$5000,$A30))</f>
        <v/>
      </c>
      <c r="D30" s="88">
        <f>IF($BE30=0,"",SUMIFS(Entries!$D$2:$D$5000,Entries!$C$2:$C$5000,"One-off",Entries!$A$2:$A$5000,$A30))</f>
        <v/>
      </c>
      <c r="E30" s="88">
        <f>IF($BE30=0,NA(),C30+D30)</f>
        <v/>
      </c>
      <c r="F30" s="88">
        <f>IF($BE30=0,"",SUM(AJ30:BC30))</f>
        <v/>
      </c>
      <c r="G30" s="88">
        <f>IF($BE30=0,"",B30-E30)</f>
        <v/>
      </c>
      <c r="H30" s="88">
        <f>IF($BE30=0,"",SUM($G$2:G30))</f>
        <v/>
      </c>
      <c r="I30" s="88">
        <f>IF($BE30=0,"",SUMIFS(Entries!$F$2:$F$5000,Entries!$A$2:$A$5000,$A30))</f>
        <v/>
      </c>
      <c r="J30" s="88">
        <f>IF($BE30=0,NA(),H30+SUM($I$2:I30))</f>
        <v/>
      </c>
      <c r="K30" s="88">
        <f>IF($BE30=0,"",SUMIFS(Entries!$D$2:$D$5000,Entries!$C$2:$C$5000,"Income",Entries!$A$2:$A$5000,"&gt;="&amp;EDATE($A30,-11),Entries!$A$2:$A$5000,"&lt;="&amp;$A30)/12)</f>
        <v/>
      </c>
      <c r="L30" s="88">
        <f>IF($BE30=0,"",(SUMIFS(Entries!$D$2:$D$5000,Entries!$C$2:$C$5000,"Actual",Entries!$A$2:$A$5000,"&gt;="&amp;EDATE($A30,-11),Entries!$A$2:$A$5000,"&lt;="&amp;$A30)+SUMIFS(Entries!$D$2:$D$5000,Entries!$C$2:$C$5000,"One-off",Entries!$A$2:$A$5000,"&gt;="&amp;EDATE($A30,-11),Entries!$A$2:$A$5000,"&lt;="&amp;$A30))/12)</f>
        <v/>
      </c>
      <c r="M30" s="70">
        <f>IF($BE30=0,NA(),IFERROR((K30-L30)/K30,0))</f>
        <v/>
      </c>
      <c r="O30" s="88">
        <f>IF(OR(O$1="",$BE30=0),"",SUMIFS(Entries!$D$2:$D$5000,Entries!$C$2:$C$5000,"Actual",Entries!$A$2:$A$5000,$A30,Entries!$B$2:$B$5000,O$1))</f>
        <v/>
      </c>
      <c r="P30" s="88">
        <f>IF(OR(P$1="",$BE30=0),"",SUMIFS(Entries!$D$2:$D$5000,Entries!$C$2:$C$5000,"Actual",Entries!$A$2:$A$5000,$A30,Entries!$B$2:$B$5000,P$1))</f>
        <v/>
      </c>
      <c r="Q30" s="88">
        <f>IF(OR(Q$1="",$BE30=0),"",SUMIFS(Entries!$D$2:$D$5000,Entries!$C$2:$C$5000,"Actual",Entries!$A$2:$A$5000,$A30,Entries!$B$2:$B$5000,Q$1))</f>
        <v/>
      </c>
      <c r="R30" s="88">
        <f>IF(OR(R$1="",$BE30=0),"",SUMIFS(Entries!$D$2:$D$5000,Entries!$C$2:$C$5000,"Actual",Entries!$A$2:$A$5000,$A30,Entries!$B$2:$B$5000,R$1))</f>
        <v/>
      </c>
      <c r="S30" s="88">
        <f>IF(OR(S$1="",$BE30=0),"",SUMIFS(Entries!$D$2:$D$5000,Entries!$C$2:$C$5000,"Actual",Entries!$A$2:$A$5000,$A30,Entries!$B$2:$B$5000,S$1))</f>
        <v/>
      </c>
      <c r="T30" s="88">
        <f>IF(OR(T$1="",$BE30=0),"",SUMIFS(Entries!$D$2:$D$5000,Entries!$C$2:$C$5000,"Actual",Entries!$A$2:$A$5000,$A30,Entries!$B$2:$B$5000,T$1))</f>
        <v/>
      </c>
      <c r="U30" s="88">
        <f>IF(OR(U$1="",$BE30=0),"",SUMIFS(Entries!$D$2:$D$5000,Entries!$C$2:$C$5000,"Actual",Entries!$A$2:$A$5000,$A30,Entries!$B$2:$B$5000,U$1))</f>
        <v/>
      </c>
      <c r="V30" s="88">
        <f>IF(OR(V$1="",$BE30=0),"",SUMIFS(Entries!$D$2:$D$5000,Entries!$C$2:$C$5000,"Actual",Entries!$A$2:$A$5000,$A30,Entries!$B$2:$B$5000,V$1))</f>
        <v/>
      </c>
      <c r="W30" s="88">
        <f>IF(OR(W$1="",$BE30=0),"",SUMIFS(Entries!$D$2:$D$5000,Entries!$C$2:$C$5000,"Actual",Entries!$A$2:$A$5000,$A30,Entries!$B$2:$B$5000,W$1))</f>
        <v/>
      </c>
      <c r="X30" s="88">
        <f>IF(OR(X$1="",$BE30=0),"",SUMIFS(Entries!$D$2:$D$5000,Entries!$C$2:$C$5000,"Actual",Entries!$A$2:$A$5000,$A30,Entries!$B$2:$B$5000,X$1))</f>
        <v/>
      </c>
      <c r="Y30" s="88">
        <f>IF(OR(Y$1="",$BE30=0),"",SUMIFS(Entries!$D$2:$D$5000,Entries!$C$2:$C$5000,"Actual",Entries!$A$2:$A$5000,$A30,Entries!$B$2:$B$5000,Y$1))</f>
        <v/>
      </c>
      <c r="Z30" s="88">
        <f>IF(OR(Z$1="",$BE30=0),"",SUMIFS(Entries!$D$2:$D$5000,Entries!$C$2:$C$5000,"Actual",Entries!$A$2:$A$5000,$A30,Entries!$B$2:$B$5000,Z$1))</f>
        <v/>
      </c>
      <c r="AA30" s="88">
        <f>IF(OR(AA$1="",$BE30=0),"",SUMIFS(Entries!$D$2:$D$5000,Entries!$C$2:$C$5000,"Actual",Entries!$A$2:$A$5000,$A30,Entries!$B$2:$B$5000,AA$1))</f>
        <v/>
      </c>
      <c r="AB30" s="88">
        <f>IF(OR(AB$1="",$BE30=0),"",SUMIFS(Entries!$D$2:$D$5000,Entries!$C$2:$C$5000,"Actual",Entries!$A$2:$A$5000,$A30,Entries!$B$2:$B$5000,AB$1))</f>
        <v/>
      </c>
      <c r="AC30" s="88">
        <f>IF(OR(AC$1="",$BE30=0),"",SUMIFS(Entries!$D$2:$D$5000,Entries!$C$2:$C$5000,"Actual",Entries!$A$2:$A$5000,$A30,Entries!$B$2:$B$5000,AC$1))</f>
        <v/>
      </c>
      <c r="AD30" s="88">
        <f>IF(OR(AD$1="",$BE30=0),"",SUMIFS(Entries!$D$2:$D$5000,Entries!$C$2:$C$5000,"Actual",Entries!$A$2:$A$5000,$A30,Entries!$B$2:$B$5000,AD$1))</f>
        <v/>
      </c>
      <c r="AE30" s="88">
        <f>IF(OR(AE$1="",$BE30=0),"",SUMIFS(Entries!$D$2:$D$5000,Entries!$C$2:$C$5000,"Actual",Entries!$A$2:$A$5000,$A30,Entries!$B$2:$B$5000,AE$1))</f>
        <v/>
      </c>
      <c r="AF30" s="88">
        <f>IF(OR(AF$1="",$BE30=0),"",SUMIFS(Entries!$D$2:$D$5000,Entries!$C$2:$C$5000,"Actual",Entries!$A$2:$A$5000,$A30,Entries!$B$2:$B$5000,AF$1))</f>
        <v/>
      </c>
      <c r="AG30" s="88">
        <f>IF(OR(AG$1="",$BE30=0),"",SUMIFS(Entries!$D$2:$D$5000,Entries!$C$2:$C$5000,"Actual",Entries!$A$2:$A$5000,$A30,Entries!$B$2:$B$5000,AG$1))</f>
        <v/>
      </c>
      <c r="AH30" s="88">
        <f>IF(OR(AH$1="",$BE30=0),"",SUMIFS(Entries!$D$2:$D$5000,Entries!$C$2:$C$5000,"Actual",Entries!$A$2:$A$5000,$A30,Entries!$B$2:$B$5000,AH$1))</f>
        <v/>
      </c>
      <c r="AJ30" s="88">
        <f>IF(OR(AJ$1="",$BE30=0),"",IFERROR(LOOKUP(2,1/((Budgets!$A$2:$A$200=AJ$1)*(Budgets!$B$2:$B$200&lt;=$A30)),Budgets!$C$2:$C$200),0))</f>
        <v/>
      </c>
      <c r="AK30" s="88">
        <f>IF(OR(AK$1="",$BE30=0),"",IFERROR(LOOKUP(2,1/((Budgets!$A$2:$A$200=AK$1)*(Budgets!$B$2:$B$200&lt;=$A30)),Budgets!$C$2:$C$200),0))</f>
        <v/>
      </c>
      <c r="AL30" s="88">
        <f>IF(OR(AL$1="",$BE30=0),"",IFERROR(LOOKUP(2,1/((Budgets!$A$2:$A$200=AL$1)*(Budgets!$B$2:$B$200&lt;=$A30)),Budgets!$C$2:$C$200),0))</f>
        <v/>
      </c>
      <c r="AM30" s="88">
        <f>IF(OR(AM$1="",$BE30=0),"",IFERROR(LOOKUP(2,1/((Budgets!$A$2:$A$200=AM$1)*(Budgets!$B$2:$B$200&lt;=$A30)),Budgets!$C$2:$C$200),0))</f>
        <v/>
      </c>
      <c r="AN30" s="88">
        <f>IF(OR(AN$1="",$BE30=0),"",IFERROR(LOOKUP(2,1/((Budgets!$A$2:$A$200=AN$1)*(Budgets!$B$2:$B$200&lt;=$A30)),Budgets!$C$2:$C$200),0))</f>
        <v/>
      </c>
      <c r="AO30" s="88">
        <f>IF(OR(AO$1="",$BE30=0),"",IFERROR(LOOKUP(2,1/((Budgets!$A$2:$A$200=AO$1)*(Budgets!$B$2:$B$200&lt;=$A30)),Budgets!$C$2:$C$200),0))</f>
        <v/>
      </c>
      <c r="AP30" s="88">
        <f>IF(OR(AP$1="",$BE30=0),"",IFERROR(LOOKUP(2,1/((Budgets!$A$2:$A$200=AP$1)*(Budgets!$B$2:$B$200&lt;=$A30)),Budgets!$C$2:$C$200),0))</f>
        <v/>
      </c>
      <c r="AQ30" s="88">
        <f>IF(OR(AQ$1="",$BE30=0),"",IFERROR(LOOKUP(2,1/((Budgets!$A$2:$A$200=AQ$1)*(Budgets!$B$2:$B$200&lt;=$A30)),Budgets!$C$2:$C$200),0))</f>
        <v/>
      </c>
      <c r="AR30" s="88">
        <f>IF(OR(AR$1="",$BE30=0),"",IFERROR(LOOKUP(2,1/((Budgets!$A$2:$A$200=AR$1)*(Budgets!$B$2:$B$200&lt;=$A30)),Budgets!$C$2:$C$200),0))</f>
        <v/>
      </c>
      <c r="AS30" s="88">
        <f>IF(OR(AS$1="",$BE30=0),"",IFERROR(LOOKUP(2,1/((Budgets!$A$2:$A$200=AS$1)*(Budgets!$B$2:$B$200&lt;=$A30)),Budgets!$C$2:$C$200),0))</f>
        <v/>
      </c>
      <c r="AT30" s="88">
        <f>IF(OR(AT$1="",$BE30=0),"",IFERROR(LOOKUP(2,1/((Budgets!$A$2:$A$200=AT$1)*(Budgets!$B$2:$B$200&lt;=$A30)),Budgets!$C$2:$C$200),0))</f>
        <v/>
      </c>
      <c r="AU30" s="88">
        <f>IF(OR(AU$1="",$BE30=0),"",IFERROR(LOOKUP(2,1/((Budgets!$A$2:$A$200=AU$1)*(Budgets!$B$2:$B$200&lt;=$A30)),Budgets!$C$2:$C$200),0))</f>
        <v/>
      </c>
      <c r="AV30" s="88">
        <f>IF(OR(AV$1="",$BE30=0),"",IFERROR(LOOKUP(2,1/((Budgets!$A$2:$A$200=AV$1)*(Budgets!$B$2:$B$200&lt;=$A30)),Budgets!$C$2:$C$200),0))</f>
        <v/>
      </c>
      <c r="AW30" s="88">
        <f>IF(OR(AW$1="",$BE30=0),"",IFERROR(LOOKUP(2,1/((Budgets!$A$2:$A$200=AW$1)*(Budgets!$B$2:$B$200&lt;=$A30)),Budgets!$C$2:$C$200),0))</f>
        <v/>
      </c>
      <c r="AX30" s="88">
        <f>IF(OR(AX$1="",$BE30=0),"",IFERROR(LOOKUP(2,1/((Budgets!$A$2:$A$200=AX$1)*(Budgets!$B$2:$B$200&lt;=$A30)),Budgets!$C$2:$C$200),0))</f>
        <v/>
      </c>
      <c r="AY30" s="88">
        <f>IF(OR(AY$1="",$BE30=0),"",IFERROR(LOOKUP(2,1/((Budgets!$A$2:$A$200=AY$1)*(Budgets!$B$2:$B$200&lt;=$A30)),Budgets!$C$2:$C$200),0))</f>
        <v/>
      </c>
      <c r="AZ30" s="88">
        <f>IF(OR(AZ$1="",$BE30=0),"",IFERROR(LOOKUP(2,1/((Budgets!$A$2:$A$200=AZ$1)*(Budgets!$B$2:$B$200&lt;=$A30)),Budgets!$C$2:$C$200),0))</f>
        <v/>
      </c>
      <c r="BA30" s="88">
        <f>IF(OR(BA$1="",$BE30=0),"",IFERROR(LOOKUP(2,1/((Budgets!$A$2:$A$200=BA$1)*(Budgets!$B$2:$B$200&lt;=$A30)),Budgets!$C$2:$C$200),0))</f>
        <v/>
      </c>
      <c r="BB30" s="88">
        <f>IF(OR(BB$1="",$BE30=0),"",IFERROR(LOOKUP(2,1/((Budgets!$A$2:$A$200=BB$1)*(Budgets!$B$2:$B$200&lt;=$A30)),Budgets!$C$2:$C$200),0))</f>
        <v/>
      </c>
      <c r="BC30" s="88">
        <f>IF(OR(BC$1="",$BE30=0),"",IFERROR(LOOKUP(2,1/((Budgets!$A$2:$A$200=BC$1)*(Budgets!$B$2:$B$200&lt;=$A30)),Budgets!$C$2:$C$200),0))</f>
        <v/>
      </c>
      <c r="BE30" s="67">
        <f>COUNTIFS(Entries!$A$2:$A$5000,$A30)</f>
        <v/>
      </c>
    </row>
    <row r="31" ht="15" customHeight="1" s="43">
      <c r="A31" s="87" t="n">
        <v>40330</v>
      </c>
      <c r="B31" s="88">
        <f>IF($BE31=0,NA(),SUMIFS(Entries!$D$2:$D$5000,Entries!$C$2:$C$5000,"Income",Entries!$A$2:$A$5000,$A31))</f>
        <v/>
      </c>
      <c r="C31" s="88">
        <f>IF($BE31=0,"",SUMIFS(Entries!$D$2:$D$5000,Entries!$C$2:$C$5000,"Actual",Entries!$A$2:$A$5000,$A31))</f>
        <v/>
      </c>
      <c r="D31" s="88">
        <f>IF($BE31=0,"",SUMIFS(Entries!$D$2:$D$5000,Entries!$C$2:$C$5000,"One-off",Entries!$A$2:$A$5000,$A31))</f>
        <v/>
      </c>
      <c r="E31" s="88">
        <f>IF($BE31=0,NA(),C31+D31)</f>
        <v/>
      </c>
      <c r="F31" s="88">
        <f>IF($BE31=0,"",SUM(AJ31:BC31))</f>
        <v/>
      </c>
      <c r="G31" s="88">
        <f>IF($BE31=0,"",B31-E31)</f>
        <v/>
      </c>
      <c r="H31" s="88">
        <f>IF($BE31=0,"",SUM($G$2:G31))</f>
        <v/>
      </c>
      <c r="I31" s="88">
        <f>IF($BE31=0,"",SUMIFS(Entries!$F$2:$F$5000,Entries!$A$2:$A$5000,$A31))</f>
        <v/>
      </c>
      <c r="J31" s="88">
        <f>IF($BE31=0,NA(),H31+SUM($I$2:I31))</f>
        <v/>
      </c>
      <c r="K31" s="88">
        <f>IF($BE31=0,"",SUMIFS(Entries!$D$2:$D$5000,Entries!$C$2:$C$5000,"Income",Entries!$A$2:$A$5000,"&gt;="&amp;EDATE($A31,-11),Entries!$A$2:$A$5000,"&lt;="&amp;$A31)/12)</f>
        <v/>
      </c>
      <c r="L31" s="88">
        <f>IF($BE31=0,"",(SUMIFS(Entries!$D$2:$D$5000,Entries!$C$2:$C$5000,"Actual",Entries!$A$2:$A$5000,"&gt;="&amp;EDATE($A31,-11),Entries!$A$2:$A$5000,"&lt;="&amp;$A31)+SUMIFS(Entries!$D$2:$D$5000,Entries!$C$2:$C$5000,"One-off",Entries!$A$2:$A$5000,"&gt;="&amp;EDATE($A31,-11),Entries!$A$2:$A$5000,"&lt;="&amp;$A31))/12)</f>
        <v/>
      </c>
      <c r="M31" s="70">
        <f>IF($BE31=0,NA(),IFERROR((K31-L31)/K31,0))</f>
        <v/>
      </c>
      <c r="O31" s="88">
        <f>IF(OR(O$1="",$BE31=0),"",SUMIFS(Entries!$D$2:$D$5000,Entries!$C$2:$C$5000,"Actual",Entries!$A$2:$A$5000,$A31,Entries!$B$2:$B$5000,O$1))</f>
        <v/>
      </c>
      <c r="P31" s="88">
        <f>IF(OR(P$1="",$BE31=0),"",SUMIFS(Entries!$D$2:$D$5000,Entries!$C$2:$C$5000,"Actual",Entries!$A$2:$A$5000,$A31,Entries!$B$2:$B$5000,P$1))</f>
        <v/>
      </c>
      <c r="Q31" s="88">
        <f>IF(OR(Q$1="",$BE31=0),"",SUMIFS(Entries!$D$2:$D$5000,Entries!$C$2:$C$5000,"Actual",Entries!$A$2:$A$5000,$A31,Entries!$B$2:$B$5000,Q$1))</f>
        <v/>
      </c>
      <c r="R31" s="88">
        <f>IF(OR(R$1="",$BE31=0),"",SUMIFS(Entries!$D$2:$D$5000,Entries!$C$2:$C$5000,"Actual",Entries!$A$2:$A$5000,$A31,Entries!$B$2:$B$5000,R$1))</f>
        <v/>
      </c>
      <c r="S31" s="88">
        <f>IF(OR(S$1="",$BE31=0),"",SUMIFS(Entries!$D$2:$D$5000,Entries!$C$2:$C$5000,"Actual",Entries!$A$2:$A$5000,$A31,Entries!$B$2:$B$5000,S$1))</f>
        <v/>
      </c>
      <c r="T31" s="88">
        <f>IF(OR(T$1="",$BE31=0),"",SUMIFS(Entries!$D$2:$D$5000,Entries!$C$2:$C$5000,"Actual",Entries!$A$2:$A$5000,$A31,Entries!$B$2:$B$5000,T$1))</f>
        <v/>
      </c>
      <c r="U31" s="88">
        <f>IF(OR(U$1="",$BE31=0),"",SUMIFS(Entries!$D$2:$D$5000,Entries!$C$2:$C$5000,"Actual",Entries!$A$2:$A$5000,$A31,Entries!$B$2:$B$5000,U$1))</f>
        <v/>
      </c>
      <c r="V31" s="88">
        <f>IF(OR(V$1="",$BE31=0),"",SUMIFS(Entries!$D$2:$D$5000,Entries!$C$2:$C$5000,"Actual",Entries!$A$2:$A$5000,$A31,Entries!$B$2:$B$5000,V$1))</f>
        <v/>
      </c>
      <c r="W31" s="88">
        <f>IF(OR(W$1="",$BE31=0),"",SUMIFS(Entries!$D$2:$D$5000,Entries!$C$2:$C$5000,"Actual",Entries!$A$2:$A$5000,$A31,Entries!$B$2:$B$5000,W$1))</f>
        <v/>
      </c>
      <c r="X31" s="88">
        <f>IF(OR(X$1="",$BE31=0),"",SUMIFS(Entries!$D$2:$D$5000,Entries!$C$2:$C$5000,"Actual",Entries!$A$2:$A$5000,$A31,Entries!$B$2:$B$5000,X$1))</f>
        <v/>
      </c>
      <c r="Y31" s="88">
        <f>IF(OR(Y$1="",$BE31=0),"",SUMIFS(Entries!$D$2:$D$5000,Entries!$C$2:$C$5000,"Actual",Entries!$A$2:$A$5000,$A31,Entries!$B$2:$B$5000,Y$1))</f>
        <v/>
      </c>
      <c r="Z31" s="88">
        <f>IF(OR(Z$1="",$BE31=0),"",SUMIFS(Entries!$D$2:$D$5000,Entries!$C$2:$C$5000,"Actual",Entries!$A$2:$A$5000,$A31,Entries!$B$2:$B$5000,Z$1))</f>
        <v/>
      </c>
      <c r="AA31" s="88">
        <f>IF(OR(AA$1="",$BE31=0),"",SUMIFS(Entries!$D$2:$D$5000,Entries!$C$2:$C$5000,"Actual",Entries!$A$2:$A$5000,$A31,Entries!$B$2:$B$5000,AA$1))</f>
        <v/>
      </c>
      <c r="AB31" s="88">
        <f>IF(OR(AB$1="",$BE31=0),"",SUMIFS(Entries!$D$2:$D$5000,Entries!$C$2:$C$5000,"Actual",Entries!$A$2:$A$5000,$A31,Entries!$B$2:$B$5000,AB$1))</f>
        <v/>
      </c>
      <c r="AC31" s="88">
        <f>IF(OR(AC$1="",$BE31=0),"",SUMIFS(Entries!$D$2:$D$5000,Entries!$C$2:$C$5000,"Actual",Entries!$A$2:$A$5000,$A31,Entries!$B$2:$B$5000,AC$1))</f>
        <v/>
      </c>
      <c r="AD31" s="88">
        <f>IF(OR(AD$1="",$BE31=0),"",SUMIFS(Entries!$D$2:$D$5000,Entries!$C$2:$C$5000,"Actual",Entries!$A$2:$A$5000,$A31,Entries!$B$2:$B$5000,AD$1))</f>
        <v/>
      </c>
      <c r="AE31" s="88">
        <f>IF(OR(AE$1="",$BE31=0),"",SUMIFS(Entries!$D$2:$D$5000,Entries!$C$2:$C$5000,"Actual",Entries!$A$2:$A$5000,$A31,Entries!$B$2:$B$5000,AE$1))</f>
        <v/>
      </c>
      <c r="AF31" s="88">
        <f>IF(OR(AF$1="",$BE31=0),"",SUMIFS(Entries!$D$2:$D$5000,Entries!$C$2:$C$5000,"Actual",Entries!$A$2:$A$5000,$A31,Entries!$B$2:$B$5000,AF$1))</f>
        <v/>
      </c>
      <c r="AG31" s="88">
        <f>IF(OR(AG$1="",$BE31=0),"",SUMIFS(Entries!$D$2:$D$5000,Entries!$C$2:$C$5000,"Actual",Entries!$A$2:$A$5000,$A31,Entries!$B$2:$B$5000,AG$1))</f>
        <v/>
      </c>
      <c r="AH31" s="88">
        <f>IF(OR(AH$1="",$BE31=0),"",SUMIFS(Entries!$D$2:$D$5000,Entries!$C$2:$C$5000,"Actual",Entries!$A$2:$A$5000,$A31,Entries!$B$2:$B$5000,AH$1))</f>
        <v/>
      </c>
      <c r="AJ31" s="88">
        <f>IF(OR(AJ$1="",$BE31=0),"",IFERROR(LOOKUP(2,1/((Budgets!$A$2:$A$200=AJ$1)*(Budgets!$B$2:$B$200&lt;=$A31)),Budgets!$C$2:$C$200),0))</f>
        <v/>
      </c>
      <c r="AK31" s="88">
        <f>IF(OR(AK$1="",$BE31=0),"",IFERROR(LOOKUP(2,1/((Budgets!$A$2:$A$200=AK$1)*(Budgets!$B$2:$B$200&lt;=$A31)),Budgets!$C$2:$C$200),0))</f>
        <v/>
      </c>
      <c r="AL31" s="88">
        <f>IF(OR(AL$1="",$BE31=0),"",IFERROR(LOOKUP(2,1/((Budgets!$A$2:$A$200=AL$1)*(Budgets!$B$2:$B$200&lt;=$A31)),Budgets!$C$2:$C$200),0))</f>
        <v/>
      </c>
      <c r="AM31" s="88">
        <f>IF(OR(AM$1="",$BE31=0),"",IFERROR(LOOKUP(2,1/((Budgets!$A$2:$A$200=AM$1)*(Budgets!$B$2:$B$200&lt;=$A31)),Budgets!$C$2:$C$200),0))</f>
        <v/>
      </c>
      <c r="AN31" s="88">
        <f>IF(OR(AN$1="",$BE31=0),"",IFERROR(LOOKUP(2,1/((Budgets!$A$2:$A$200=AN$1)*(Budgets!$B$2:$B$200&lt;=$A31)),Budgets!$C$2:$C$200),0))</f>
        <v/>
      </c>
      <c r="AO31" s="88">
        <f>IF(OR(AO$1="",$BE31=0),"",IFERROR(LOOKUP(2,1/((Budgets!$A$2:$A$200=AO$1)*(Budgets!$B$2:$B$200&lt;=$A31)),Budgets!$C$2:$C$200),0))</f>
        <v/>
      </c>
      <c r="AP31" s="88">
        <f>IF(OR(AP$1="",$BE31=0),"",IFERROR(LOOKUP(2,1/((Budgets!$A$2:$A$200=AP$1)*(Budgets!$B$2:$B$200&lt;=$A31)),Budgets!$C$2:$C$200),0))</f>
        <v/>
      </c>
      <c r="AQ31" s="88">
        <f>IF(OR(AQ$1="",$BE31=0),"",IFERROR(LOOKUP(2,1/((Budgets!$A$2:$A$200=AQ$1)*(Budgets!$B$2:$B$200&lt;=$A31)),Budgets!$C$2:$C$200),0))</f>
        <v/>
      </c>
      <c r="AR31" s="88">
        <f>IF(OR(AR$1="",$BE31=0),"",IFERROR(LOOKUP(2,1/((Budgets!$A$2:$A$200=AR$1)*(Budgets!$B$2:$B$200&lt;=$A31)),Budgets!$C$2:$C$200),0))</f>
        <v/>
      </c>
      <c r="AS31" s="88">
        <f>IF(OR(AS$1="",$BE31=0),"",IFERROR(LOOKUP(2,1/((Budgets!$A$2:$A$200=AS$1)*(Budgets!$B$2:$B$200&lt;=$A31)),Budgets!$C$2:$C$200),0))</f>
        <v/>
      </c>
      <c r="AT31" s="88">
        <f>IF(OR(AT$1="",$BE31=0),"",IFERROR(LOOKUP(2,1/((Budgets!$A$2:$A$200=AT$1)*(Budgets!$B$2:$B$200&lt;=$A31)),Budgets!$C$2:$C$200),0))</f>
        <v/>
      </c>
      <c r="AU31" s="88">
        <f>IF(OR(AU$1="",$BE31=0),"",IFERROR(LOOKUP(2,1/((Budgets!$A$2:$A$200=AU$1)*(Budgets!$B$2:$B$200&lt;=$A31)),Budgets!$C$2:$C$200),0))</f>
        <v/>
      </c>
      <c r="AV31" s="88">
        <f>IF(OR(AV$1="",$BE31=0),"",IFERROR(LOOKUP(2,1/((Budgets!$A$2:$A$200=AV$1)*(Budgets!$B$2:$B$200&lt;=$A31)),Budgets!$C$2:$C$200),0))</f>
        <v/>
      </c>
      <c r="AW31" s="88">
        <f>IF(OR(AW$1="",$BE31=0),"",IFERROR(LOOKUP(2,1/((Budgets!$A$2:$A$200=AW$1)*(Budgets!$B$2:$B$200&lt;=$A31)),Budgets!$C$2:$C$200),0))</f>
        <v/>
      </c>
      <c r="AX31" s="88">
        <f>IF(OR(AX$1="",$BE31=0),"",IFERROR(LOOKUP(2,1/((Budgets!$A$2:$A$200=AX$1)*(Budgets!$B$2:$B$200&lt;=$A31)),Budgets!$C$2:$C$200),0))</f>
        <v/>
      </c>
      <c r="AY31" s="88">
        <f>IF(OR(AY$1="",$BE31=0),"",IFERROR(LOOKUP(2,1/((Budgets!$A$2:$A$200=AY$1)*(Budgets!$B$2:$B$200&lt;=$A31)),Budgets!$C$2:$C$200),0))</f>
        <v/>
      </c>
      <c r="AZ31" s="88">
        <f>IF(OR(AZ$1="",$BE31=0),"",IFERROR(LOOKUP(2,1/((Budgets!$A$2:$A$200=AZ$1)*(Budgets!$B$2:$B$200&lt;=$A31)),Budgets!$C$2:$C$200),0))</f>
        <v/>
      </c>
      <c r="BA31" s="88">
        <f>IF(OR(BA$1="",$BE31=0),"",IFERROR(LOOKUP(2,1/((Budgets!$A$2:$A$200=BA$1)*(Budgets!$B$2:$B$200&lt;=$A31)),Budgets!$C$2:$C$200),0))</f>
        <v/>
      </c>
      <c r="BB31" s="88">
        <f>IF(OR(BB$1="",$BE31=0),"",IFERROR(LOOKUP(2,1/((Budgets!$A$2:$A$200=BB$1)*(Budgets!$B$2:$B$200&lt;=$A31)),Budgets!$C$2:$C$200),0))</f>
        <v/>
      </c>
      <c r="BC31" s="88">
        <f>IF(OR(BC$1="",$BE31=0),"",IFERROR(LOOKUP(2,1/((Budgets!$A$2:$A$200=BC$1)*(Budgets!$B$2:$B$200&lt;=$A31)),Budgets!$C$2:$C$200),0))</f>
        <v/>
      </c>
      <c r="BE31" s="67">
        <f>COUNTIFS(Entries!$A$2:$A$5000,$A31)</f>
        <v/>
      </c>
    </row>
    <row r="32" ht="15" customHeight="1" s="43">
      <c r="A32" s="87" t="n">
        <v>40360</v>
      </c>
      <c r="B32" s="88">
        <f>IF($BE32=0,NA(),SUMIFS(Entries!$D$2:$D$5000,Entries!$C$2:$C$5000,"Income",Entries!$A$2:$A$5000,$A32))</f>
        <v/>
      </c>
      <c r="C32" s="88">
        <f>IF($BE32=0,"",SUMIFS(Entries!$D$2:$D$5000,Entries!$C$2:$C$5000,"Actual",Entries!$A$2:$A$5000,$A32))</f>
        <v/>
      </c>
      <c r="D32" s="88">
        <f>IF($BE32=0,"",SUMIFS(Entries!$D$2:$D$5000,Entries!$C$2:$C$5000,"One-off",Entries!$A$2:$A$5000,$A32))</f>
        <v/>
      </c>
      <c r="E32" s="88">
        <f>IF($BE32=0,NA(),C32+D32)</f>
        <v/>
      </c>
      <c r="F32" s="88">
        <f>IF($BE32=0,"",SUM(AJ32:BC32))</f>
        <v/>
      </c>
      <c r="G32" s="88">
        <f>IF($BE32=0,"",B32-E32)</f>
        <v/>
      </c>
      <c r="H32" s="88">
        <f>IF($BE32=0,"",SUM($G$2:G32))</f>
        <v/>
      </c>
      <c r="I32" s="88">
        <f>IF($BE32=0,"",SUMIFS(Entries!$F$2:$F$5000,Entries!$A$2:$A$5000,$A32))</f>
        <v/>
      </c>
      <c r="J32" s="88">
        <f>IF($BE32=0,NA(),H32+SUM($I$2:I32))</f>
        <v/>
      </c>
      <c r="K32" s="88">
        <f>IF($BE32=0,"",SUMIFS(Entries!$D$2:$D$5000,Entries!$C$2:$C$5000,"Income",Entries!$A$2:$A$5000,"&gt;="&amp;EDATE($A32,-11),Entries!$A$2:$A$5000,"&lt;="&amp;$A32)/12)</f>
        <v/>
      </c>
      <c r="L32" s="88">
        <f>IF($BE32=0,"",(SUMIFS(Entries!$D$2:$D$5000,Entries!$C$2:$C$5000,"Actual",Entries!$A$2:$A$5000,"&gt;="&amp;EDATE($A32,-11),Entries!$A$2:$A$5000,"&lt;="&amp;$A32)+SUMIFS(Entries!$D$2:$D$5000,Entries!$C$2:$C$5000,"One-off",Entries!$A$2:$A$5000,"&gt;="&amp;EDATE($A32,-11),Entries!$A$2:$A$5000,"&lt;="&amp;$A32))/12)</f>
        <v/>
      </c>
      <c r="M32" s="70">
        <f>IF($BE32=0,NA(),IFERROR((K32-L32)/K32,0))</f>
        <v/>
      </c>
      <c r="O32" s="88">
        <f>IF(OR(O$1="",$BE32=0),"",SUMIFS(Entries!$D$2:$D$5000,Entries!$C$2:$C$5000,"Actual",Entries!$A$2:$A$5000,$A32,Entries!$B$2:$B$5000,O$1))</f>
        <v/>
      </c>
      <c r="P32" s="88">
        <f>IF(OR(P$1="",$BE32=0),"",SUMIFS(Entries!$D$2:$D$5000,Entries!$C$2:$C$5000,"Actual",Entries!$A$2:$A$5000,$A32,Entries!$B$2:$B$5000,P$1))</f>
        <v/>
      </c>
      <c r="Q32" s="88">
        <f>IF(OR(Q$1="",$BE32=0),"",SUMIFS(Entries!$D$2:$D$5000,Entries!$C$2:$C$5000,"Actual",Entries!$A$2:$A$5000,$A32,Entries!$B$2:$B$5000,Q$1))</f>
        <v/>
      </c>
      <c r="R32" s="88">
        <f>IF(OR(R$1="",$BE32=0),"",SUMIFS(Entries!$D$2:$D$5000,Entries!$C$2:$C$5000,"Actual",Entries!$A$2:$A$5000,$A32,Entries!$B$2:$B$5000,R$1))</f>
        <v/>
      </c>
      <c r="S32" s="88">
        <f>IF(OR(S$1="",$BE32=0),"",SUMIFS(Entries!$D$2:$D$5000,Entries!$C$2:$C$5000,"Actual",Entries!$A$2:$A$5000,$A32,Entries!$B$2:$B$5000,S$1))</f>
        <v/>
      </c>
      <c r="T32" s="88">
        <f>IF(OR(T$1="",$BE32=0),"",SUMIFS(Entries!$D$2:$D$5000,Entries!$C$2:$C$5000,"Actual",Entries!$A$2:$A$5000,$A32,Entries!$B$2:$B$5000,T$1))</f>
        <v/>
      </c>
      <c r="U32" s="88">
        <f>IF(OR(U$1="",$BE32=0),"",SUMIFS(Entries!$D$2:$D$5000,Entries!$C$2:$C$5000,"Actual",Entries!$A$2:$A$5000,$A32,Entries!$B$2:$B$5000,U$1))</f>
        <v/>
      </c>
      <c r="V32" s="88">
        <f>IF(OR(V$1="",$BE32=0),"",SUMIFS(Entries!$D$2:$D$5000,Entries!$C$2:$C$5000,"Actual",Entries!$A$2:$A$5000,$A32,Entries!$B$2:$B$5000,V$1))</f>
        <v/>
      </c>
      <c r="W32" s="88">
        <f>IF(OR(W$1="",$BE32=0),"",SUMIFS(Entries!$D$2:$D$5000,Entries!$C$2:$C$5000,"Actual",Entries!$A$2:$A$5000,$A32,Entries!$B$2:$B$5000,W$1))</f>
        <v/>
      </c>
      <c r="X32" s="88">
        <f>IF(OR(X$1="",$BE32=0),"",SUMIFS(Entries!$D$2:$D$5000,Entries!$C$2:$C$5000,"Actual",Entries!$A$2:$A$5000,$A32,Entries!$B$2:$B$5000,X$1))</f>
        <v/>
      </c>
      <c r="Y32" s="88">
        <f>IF(OR(Y$1="",$BE32=0),"",SUMIFS(Entries!$D$2:$D$5000,Entries!$C$2:$C$5000,"Actual",Entries!$A$2:$A$5000,$A32,Entries!$B$2:$B$5000,Y$1))</f>
        <v/>
      </c>
      <c r="Z32" s="88">
        <f>IF(OR(Z$1="",$BE32=0),"",SUMIFS(Entries!$D$2:$D$5000,Entries!$C$2:$C$5000,"Actual",Entries!$A$2:$A$5000,$A32,Entries!$B$2:$B$5000,Z$1))</f>
        <v/>
      </c>
      <c r="AA32" s="88">
        <f>IF(OR(AA$1="",$BE32=0),"",SUMIFS(Entries!$D$2:$D$5000,Entries!$C$2:$C$5000,"Actual",Entries!$A$2:$A$5000,$A32,Entries!$B$2:$B$5000,AA$1))</f>
        <v/>
      </c>
      <c r="AB32" s="88">
        <f>IF(OR(AB$1="",$BE32=0),"",SUMIFS(Entries!$D$2:$D$5000,Entries!$C$2:$C$5000,"Actual",Entries!$A$2:$A$5000,$A32,Entries!$B$2:$B$5000,AB$1))</f>
        <v/>
      </c>
      <c r="AC32" s="88">
        <f>IF(OR(AC$1="",$BE32=0),"",SUMIFS(Entries!$D$2:$D$5000,Entries!$C$2:$C$5000,"Actual",Entries!$A$2:$A$5000,$A32,Entries!$B$2:$B$5000,AC$1))</f>
        <v/>
      </c>
      <c r="AD32" s="88">
        <f>IF(OR(AD$1="",$BE32=0),"",SUMIFS(Entries!$D$2:$D$5000,Entries!$C$2:$C$5000,"Actual",Entries!$A$2:$A$5000,$A32,Entries!$B$2:$B$5000,AD$1))</f>
        <v/>
      </c>
      <c r="AE32" s="88">
        <f>IF(OR(AE$1="",$BE32=0),"",SUMIFS(Entries!$D$2:$D$5000,Entries!$C$2:$C$5000,"Actual",Entries!$A$2:$A$5000,$A32,Entries!$B$2:$B$5000,AE$1))</f>
        <v/>
      </c>
      <c r="AF32" s="88">
        <f>IF(OR(AF$1="",$BE32=0),"",SUMIFS(Entries!$D$2:$D$5000,Entries!$C$2:$C$5000,"Actual",Entries!$A$2:$A$5000,$A32,Entries!$B$2:$B$5000,AF$1))</f>
        <v/>
      </c>
      <c r="AG32" s="88">
        <f>IF(OR(AG$1="",$BE32=0),"",SUMIFS(Entries!$D$2:$D$5000,Entries!$C$2:$C$5000,"Actual",Entries!$A$2:$A$5000,$A32,Entries!$B$2:$B$5000,AG$1))</f>
        <v/>
      </c>
      <c r="AH32" s="88">
        <f>IF(OR(AH$1="",$BE32=0),"",SUMIFS(Entries!$D$2:$D$5000,Entries!$C$2:$C$5000,"Actual",Entries!$A$2:$A$5000,$A32,Entries!$B$2:$B$5000,AH$1))</f>
        <v/>
      </c>
      <c r="AJ32" s="88">
        <f>IF(OR(AJ$1="",$BE32=0),"",IFERROR(LOOKUP(2,1/((Budgets!$A$2:$A$200=AJ$1)*(Budgets!$B$2:$B$200&lt;=$A32)),Budgets!$C$2:$C$200),0))</f>
        <v/>
      </c>
      <c r="AK32" s="88">
        <f>IF(OR(AK$1="",$BE32=0),"",IFERROR(LOOKUP(2,1/((Budgets!$A$2:$A$200=AK$1)*(Budgets!$B$2:$B$200&lt;=$A32)),Budgets!$C$2:$C$200),0))</f>
        <v/>
      </c>
      <c r="AL32" s="88">
        <f>IF(OR(AL$1="",$BE32=0),"",IFERROR(LOOKUP(2,1/((Budgets!$A$2:$A$200=AL$1)*(Budgets!$B$2:$B$200&lt;=$A32)),Budgets!$C$2:$C$200),0))</f>
        <v/>
      </c>
      <c r="AM32" s="88">
        <f>IF(OR(AM$1="",$BE32=0),"",IFERROR(LOOKUP(2,1/((Budgets!$A$2:$A$200=AM$1)*(Budgets!$B$2:$B$200&lt;=$A32)),Budgets!$C$2:$C$200),0))</f>
        <v/>
      </c>
      <c r="AN32" s="88">
        <f>IF(OR(AN$1="",$BE32=0),"",IFERROR(LOOKUP(2,1/((Budgets!$A$2:$A$200=AN$1)*(Budgets!$B$2:$B$200&lt;=$A32)),Budgets!$C$2:$C$200),0))</f>
        <v/>
      </c>
      <c r="AO32" s="88">
        <f>IF(OR(AO$1="",$BE32=0),"",IFERROR(LOOKUP(2,1/((Budgets!$A$2:$A$200=AO$1)*(Budgets!$B$2:$B$200&lt;=$A32)),Budgets!$C$2:$C$200),0))</f>
        <v/>
      </c>
      <c r="AP32" s="88">
        <f>IF(OR(AP$1="",$BE32=0),"",IFERROR(LOOKUP(2,1/((Budgets!$A$2:$A$200=AP$1)*(Budgets!$B$2:$B$200&lt;=$A32)),Budgets!$C$2:$C$200),0))</f>
        <v/>
      </c>
      <c r="AQ32" s="88">
        <f>IF(OR(AQ$1="",$BE32=0),"",IFERROR(LOOKUP(2,1/((Budgets!$A$2:$A$200=AQ$1)*(Budgets!$B$2:$B$200&lt;=$A32)),Budgets!$C$2:$C$200),0))</f>
        <v/>
      </c>
      <c r="AR32" s="88">
        <f>IF(OR(AR$1="",$BE32=0),"",IFERROR(LOOKUP(2,1/((Budgets!$A$2:$A$200=AR$1)*(Budgets!$B$2:$B$200&lt;=$A32)),Budgets!$C$2:$C$200),0))</f>
        <v/>
      </c>
      <c r="AS32" s="88">
        <f>IF(OR(AS$1="",$BE32=0),"",IFERROR(LOOKUP(2,1/((Budgets!$A$2:$A$200=AS$1)*(Budgets!$B$2:$B$200&lt;=$A32)),Budgets!$C$2:$C$200),0))</f>
        <v/>
      </c>
      <c r="AT32" s="88">
        <f>IF(OR(AT$1="",$BE32=0),"",IFERROR(LOOKUP(2,1/((Budgets!$A$2:$A$200=AT$1)*(Budgets!$B$2:$B$200&lt;=$A32)),Budgets!$C$2:$C$200),0))</f>
        <v/>
      </c>
      <c r="AU32" s="88">
        <f>IF(OR(AU$1="",$BE32=0),"",IFERROR(LOOKUP(2,1/((Budgets!$A$2:$A$200=AU$1)*(Budgets!$B$2:$B$200&lt;=$A32)),Budgets!$C$2:$C$200),0))</f>
        <v/>
      </c>
      <c r="AV32" s="88">
        <f>IF(OR(AV$1="",$BE32=0),"",IFERROR(LOOKUP(2,1/((Budgets!$A$2:$A$200=AV$1)*(Budgets!$B$2:$B$200&lt;=$A32)),Budgets!$C$2:$C$200),0))</f>
        <v/>
      </c>
      <c r="AW32" s="88">
        <f>IF(OR(AW$1="",$BE32=0),"",IFERROR(LOOKUP(2,1/((Budgets!$A$2:$A$200=AW$1)*(Budgets!$B$2:$B$200&lt;=$A32)),Budgets!$C$2:$C$200),0))</f>
        <v/>
      </c>
      <c r="AX32" s="88">
        <f>IF(OR(AX$1="",$BE32=0),"",IFERROR(LOOKUP(2,1/((Budgets!$A$2:$A$200=AX$1)*(Budgets!$B$2:$B$200&lt;=$A32)),Budgets!$C$2:$C$200),0))</f>
        <v/>
      </c>
      <c r="AY32" s="88">
        <f>IF(OR(AY$1="",$BE32=0),"",IFERROR(LOOKUP(2,1/((Budgets!$A$2:$A$200=AY$1)*(Budgets!$B$2:$B$200&lt;=$A32)),Budgets!$C$2:$C$200),0))</f>
        <v/>
      </c>
      <c r="AZ32" s="88">
        <f>IF(OR(AZ$1="",$BE32=0),"",IFERROR(LOOKUP(2,1/((Budgets!$A$2:$A$200=AZ$1)*(Budgets!$B$2:$B$200&lt;=$A32)),Budgets!$C$2:$C$200),0))</f>
        <v/>
      </c>
      <c r="BA32" s="88">
        <f>IF(OR(BA$1="",$BE32=0),"",IFERROR(LOOKUP(2,1/((Budgets!$A$2:$A$200=BA$1)*(Budgets!$B$2:$B$200&lt;=$A32)),Budgets!$C$2:$C$200),0))</f>
        <v/>
      </c>
      <c r="BB32" s="88">
        <f>IF(OR(BB$1="",$BE32=0),"",IFERROR(LOOKUP(2,1/((Budgets!$A$2:$A$200=BB$1)*(Budgets!$B$2:$B$200&lt;=$A32)),Budgets!$C$2:$C$200),0))</f>
        <v/>
      </c>
      <c r="BC32" s="88">
        <f>IF(OR(BC$1="",$BE32=0),"",IFERROR(LOOKUP(2,1/((Budgets!$A$2:$A$200=BC$1)*(Budgets!$B$2:$B$200&lt;=$A32)),Budgets!$C$2:$C$200),0))</f>
        <v/>
      </c>
      <c r="BE32" s="67">
        <f>COUNTIFS(Entries!$A$2:$A$5000,$A32)</f>
        <v/>
      </c>
    </row>
    <row r="33" ht="15" customHeight="1" s="43">
      <c r="A33" s="87" t="n">
        <v>40391</v>
      </c>
      <c r="B33" s="88">
        <f>IF($BE33=0,NA(),SUMIFS(Entries!$D$2:$D$5000,Entries!$C$2:$C$5000,"Income",Entries!$A$2:$A$5000,$A33))</f>
        <v/>
      </c>
      <c r="C33" s="88">
        <f>IF($BE33=0,"",SUMIFS(Entries!$D$2:$D$5000,Entries!$C$2:$C$5000,"Actual",Entries!$A$2:$A$5000,$A33))</f>
        <v/>
      </c>
      <c r="D33" s="88">
        <f>IF($BE33=0,"",SUMIFS(Entries!$D$2:$D$5000,Entries!$C$2:$C$5000,"One-off",Entries!$A$2:$A$5000,$A33))</f>
        <v/>
      </c>
      <c r="E33" s="88">
        <f>IF($BE33=0,NA(),C33+D33)</f>
        <v/>
      </c>
      <c r="F33" s="88">
        <f>IF($BE33=0,"",SUM(AJ33:BC33))</f>
        <v/>
      </c>
      <c r="G33" s="88">
        <f>IF($BE33=0,"",B33-E33)</f>
        <v/>
      </c>
      <c r="H33" s="88">
        <f>IF($BE33=0,"",SUM($G$2:G33))</f>
        <v/>
      </c>
      <c r="I33" s="88">
        <f>IF($BE33=0,"",SUMIFS(Entries!$F$2:$F$5000,Entries!$A$2:$A$5000,$A33))</f>
        <v/>
      </c>
      <c r="J33" s="88">
        <f>IF($BE33=0,NA(),H33+SUM($I$2:I33))</f>
        <v/>
      </c>
      <c r="K33" s="88">
        <f>IF($BE33=0,"",SUMIFS(Entries!$D$2:$D$5000,Entries!$C$2:$C$5000,"Income",Entries!$A$2:$A$5000,"&gt;="&amp;EDATE($A33,-11),Entries!$A$2:$A$5000,"&lt;="&amp;$A33)/12)</f>
        <v/>
      </c>
      <c r="L33" s="88">
        <f>IF($BE33=0,"",(SUMIFS(Entries!$D$2:$D$5000,Entries!$C$2:$C$5000,"Actual",Entries!$A$2:$A$5000,"&gt;="&amp;EDATE($A33,-11),Entries!$A$2:$A$5000,"&lt;="&amp;$A33)+SUMIFS(Entries!$D$2:$D$5000,Entries!$C$2:$C$5000,"One-off",Entries!$A$2:$A$5000,"&gt;="&amp;EDATE($A33,-11),Entries!$A$2:$A$5000,"&lt;="&amp;$A33))/12)</f>
        <v/>
      </c>
      <c r="M33" s="70">
        <f>IF($BE33=0,NA(),IFERROR((K33-L33)/K33,0))</f>
        <v/>
      </c>
      <c r="O33" s="88">
        <f>IF(OR(O$1="",$BE33=0),"",SUMIFS(Entries!$D$2:$D$5000,Entries!$C$2:$C$5000,"Actual",Entries!$A$2:$A$5000,$A33,Entries!$B$2:$B$5000,O$1))</f>
        <v/>
      </c>
      <c r="P33" s="88">
        <f>IF(OR(P$1="",$BE33=0),"",SUMIFS(Entries!$D$2:$D$5000,Entries!$C$2:$C$5000,"Actual",Entries!$A$2:$A$5000,$A33,Entries!$B$2:$B$5000,P$1))</f>
        <v/>
      </c>
      <c r="Q33" s="88">
        <f>IF(OR(Q$1="",$BE33=0),"",SUMIFS(Entries!$D$2:$D$5000,Entries!$C$2:$C$5000,"Actual",Entries!$A$2:$A$5000,$A33,Entries!$B$2:$B$5000,Q$1))</f>
        <v/>
      </c>
      <c r="R33" s="88">
        <f>IF(OR(R$1="",$BE33=0),"",SUMIFS(Entries!$D$2:$D$5000,Entries!$C$2:$C$5000,"Actual",Entries!$A$2:$A$5000,$A33,Entries!$B$2:$B$5000,R$1))</f>
        <v/>
      </c>
      <c r="S33" s="88">
        <f>IF(OR(S$1="",$BE33=0),"",SUMIFS(Entries!$D$2:$D$5000,Entries!$C$2:$C$5000,"Actual",Entries!$A$2:$A$5000,$A33,Entries!$B$2:$B$5000,S$1))</f>
        <v/>
      </c>
      <c r="T33" s="88">
        <f>IF(OR(T$1="",$BE33=0),"",SUMIFS(Entries!$D$2:$D$5000,Entries!$C$2:$C$5000,"Actual",Entries!$A$2:$A$5000,$A33,Entries!$B$2:$B$5000,T$1))</f>
        <v/>
      </c>
      <c r="U33" s="88">
        <f>IF(OR(U$1="",$BE33=0),"",SUMIFS(Entries!$D$2:$D$5000,Entries!$C$2:$C$5000,"Actual",Entries!$A$2:$A$5000,$A33,Entries!$B$2:$B$5000,U$1))</f>
        <v/>
      </c>
      <c r="V33" s="88">
        <f>IF(OR(V$1="",$BE33=0),"",SUMIFS(Entries!$D$2:$D$5000,Entries!$C$2:$C$5000,"Actual",Entries!$A$2:$A$5000,$A33,Entries!$B$2:$B$5000,V$1))</f>
        <v/>
      </c>
      <c r="W33" s="88">
        <f>IF(OR(W$1="",$BE33=0),"",SUMIFS(Entries!$D$2:$D$5000,Entries!$C$2:$C$5000,"Actual",Entries!$A$2:$A$5000,$A33,Entries!$B$2:$B$5000,W$1))</f>
        <v/>
      </c>
      <c r="X33" s="88">
        <f>IF(OR(X$1="",$BE33=0),"",SUMIFS(Entries!$D$2:$D$5000,Entries!$C$2:$C$5000,"Actual",Entries!$A$2:$A$5000,$A33,Entries!$B$2:$B$5000,X$1))</f>
        <v/>
      </c>
      <c r="Y33" s="88">
        <f>IF(OR(Y$1="",$BE33=0),"",SUMIFS(Entries!$D$2:$D$5000,Entries!$C$2:$C$5000,"Actual",Entries!$A$2:$A$5000,$A33,Entries!$B$2:$B$5000,Y$1))</f>
        <v/>
      </c>
      <c r="Z33" s="88">
        <f>IF(OR(Z$1="",$BE33=0),"",SUMIFS(Entries!$D$2:$D$5000,Entries!$C$2:$C$5000,"Actual",Entries!$A$2:$A$5000,$A33,Entries!$B$2:$B$5000,Z$1))</f>
        <v/>
      </c>
      <c r="AA33" s="88">
        <f>IF(OR(AA$1="",$BE33=0),"",SUMIFS(Entries!$D$2:$D$5000,Entries!$C$2:$C$5000,"Actual",Entries!$A$2:$A$5000,$A33,Entries!$B$2:$B$5000,AA$1))</f>
        <v/>
      </c>
      <c r="AB33" s="88">
        <f>IF(OR(AB$1="",$BE33=0),"",SUMIFS(Entries!$D$2:$D$5000,Entries!$C$2:$C$5000,"Actual",Entries!$A$2:$A$5000,$A33,Entries!$B$2:$B$5000,AB$1))</f>
        <v/>
      </c>
      <c r="AC33" s="88">
        <f>IF(OR(AC$1="",$BE33=0),"",SUMIFS(Entries!$D$2:$D$5000,Entries!$C$2:$C$5000,"Actual",Entries!$A$2:$A$5000,$A33,Entries!$B$2:$B$5000,AC$1))</f>
        <v/>
      </c>
      <c r="AD33" s="88">
        <f>IF(OR(AD$1="",$BE33=0),"",SUMIFS(Entries!$D$2:$D$5000,Entries!$C$2:$C$5000,"Actual",Entries!$A$2:$A$5000,$A33,Entries!$B$2:$B$5000,AD$1))</f>
        <v/>
      </c>
      <c r="AE33" s="88">
        <f>IF(OR(AE$1="",$BE33=0),"",SUMIFS(Entries!$D$2:$D$5000,Entries!$C$2:$C$5000,"Actual",Entries!$A$2:$A$5000,$A33,Entries!$B$2:$B$5000,AE$1))</f>
        <v/>
      </c>
      <c r="AF33" s="88">
        <f>IF(OR(AF$1="",$BE33=0),"",SUMIFS(Entries!$D$2:$D$5000,Entries!$C$2:$C$5000,"Actual",Entries!$A$2:$A$5000,$A33,Entries!$B$2:$B$5000,AF$1))</f>
        <v/>
      </c>
      <c r="AG33" s="88">
        <f>IF(OR(AG$1="",$BE33=0),"",SUMIFS(Entries!$D$2:$D$5000,Entries!$C$2:$C$5000,"Actual",Entries!$A$2:$A$5000,$A33,Entries!$B$2:$B$5000,AG$1))</f>
        <v/>
      </c>
      <c r="AH33" s="88">
        <f>IF(OR(AH$1="",$BE33=0),"",SUMIFS(Entries!$D$2:$D$5000,Entries!$C$2:$C$5000,"Actual",Entries!$A$2:$A$5000,$A33,Entries!$B$2:$B$5000,AH$1))</f>
        <v/>
      </c>
      <c r="AJ33" s="88">
        <f>IF(OR(AJ$1="",$BE33=0),"",IFERROR(LOOKUP(2,1/((Budgets!$A$2:$A$200=AJ$1)*(Budgets!$B$2:$B$200&lt;=$A33)),Budgets!$C$2:$C$200),0))</f>
        <v/>
      </c>
      <c r="AK33" s="88">
        <f>IF(OR(AK$1="",$BE33=0),"",IFERROR(LOOKUP(2,1/((Budgets!$A$2:$A$200=AK$1)*(Budgets!$B$2:$B$200&lt;=$A33)),Budgets!$C$2:$C$200),0))</f>
        <v/>
      </c>
      <c r="AL33" s="88">
        <f>IF(OR(AL$1="",$BE33=0),"",IFERROR(LOOKUP(2,1/((Budgets!$A$2:$A$200=AL$1)*(Budgets!$B$2:$B$200&lt;=$A33)),Budgets!$C$2:$C$200),0))</f>
        <v/>
      </c>
      <c r="AM33" s="88">
        <f>IF(OR(AM$1="",$BE33=0),"",IFERROR(LOOKUP(2,1/((Budgets!$A$2:$A$200=AM$1)*(Budgets!$B$2:$B$200&lt;=$A33)),Budgets!$C$2:$C$200),0))</f>
        <v/>
      </c>
      <c r="AN33" s="88">
        <f>IF(OR(AN$1="",$BE33=0),"",IFERROR(LOOKUP(2,1/((Budgets!$A$2:$A$200=AN$1)*(Budgets!$B$2:$B$200&lt;=$A33)),Budgets!$C$2:$C$200),0))</f>
        <v/>
      </c>
      <c r="AO33" s="88">
        <f>IF(OR(AO$1="",$BE33=0),"",IFERROR(LOOKUP(2,1/((Budgets!$A$2:$A$200=AO$1)*(Budgets!$B$2:$B$200&lt;=$A33)),Budgets!$C$2:$C$200),0))</f>
        <v/>
      </c>
      <c r="AP33" s="88">
        <f>IF(OR(AP$1="",$BE33=0),"",IFERROR(LOOKUP(2,1/((Budgets!$A$2:$A$200=AP$1)*(Budgets!$B$2:$B$200&lt;=$A33)),Budgets!$C$2:$C$200),0))</f>
        <v/>
      </c>
      <c r="AQ33" s="88">
        <f>IF(OR(AQ$1="",$BE33=0),"",IFERROR(LOOKUP(2,1/((Budgets!$A$2:$A$200=AQ$1)*(Budgets!$B$2:$B$200&lt;=$A33)),Budgets!$C$2:$C$200),0))</f>
        <v/>
      </c>
      <c r="AR33" s="88">
        <f>IF(OR(AR$1="",$BE33=0),"",IFERROR(LOOKUP(2,1/((Budgets!$A$2:$A$200=AR$1)*(Budgets!$B$2:$B$200&lt;=$A33)),Budgets!$C$2:$C$200),0))</f>
        <v/>
      </c>
      <c r="AS33" s="88">
        <f>IF(OR(AS$1="",$BE33=0),"",IFERROR(LOOKUP(2,1/((Budgets!$A$2:$A$200=AS$1)*(Budgets!$B$2:$B$200&lt;=$A33)),Budgets!$C$2:$C$200),0))</f>
        <v/>
      </c>
      <c r="AT33" s="88">
        <f>IF(OR(AT$1="",$BE33=0),"",IFERROR(LOOKUP(2,1/((Budgets!$A$2:$A$200=AT$1)*(Budgets!$B$2:$B$200&lt;=$A33)),Budgets!$C$2:$C$200),0))</f>
        <v/>
      </c>
      <c r="AU33" s="88">
        <f>IF(OR(AU$1="",$BE33=0),"",IFERROR(LOOKUP(2,1/((Budgets!$A$2:$A$200=AU$1)*(Budgets!$B$2:$B$200&lt;=$A33)),Budgets!$C$2:$C$200),0))</f>
        <v/>
      </c>
      <c r="AV33" s="88">
        <f>IF(OR(AV$1="",$BE33=0),"",IFERROR(LOOKUP(2,1/((Budgets!$A$2:$A$200=AV$1)*(Budgets!$B$2:$B$200&lt;=$A33)),Budgets!$C$2:$C$200),0))</f>
        <v/>
      </c>
      <c r="AW33" s="88">
        <f>IF(OR(AW$1="",$BE33=0),"",IFERROR(LOOKUP(2,1/((Budgets!$A$2:$A$200=AW$1)*(Budgets!$B$2:$B$200&lt;=$A33)),Budgets!$C$2:$C$200),0))</f>
        <v/>
      </c>
      <c r="AX33" s="88">
        <f>IF(OR(AX$1="",$BE33=0),"",IFERROR(LOOKUP(2,1/((Budgets!$A$2:$A$200=AX$1)*(Budgets!$B$2:$B$200&lt;=$A33)),Budgets!$C$2:$C$200),0))</f>
        <v/>
      </c>
      <c r="AY33" s="88">
        <f>IF(OR(AY$1="",$BE33=0),"",IFERROR(LOOKUP(2,1/((Budgets!$A$2:$A$200=AY$1)*(Budgets!$B$2:$B$200&lt;=$A33)),Budgets!$C$2:$C$200),0))</f>
        <v/>
      </c>
      <c r="AZ33" s="88">
        <f>IF(OR(AZ$1="",$BE33=0),"",IFERROR(LOOKUP(2,1/((Budgets!$A$2:$A$200=AZ$1)*(Budgets!$B$2:$B$200&lt;=$A33)),Budgets!$C$2:$C$200),0))</f>
        <v/>
      </c>
      <c r="BA33" s="88">
        <f>IF(OR(BA$1="",$BE33=0),"",IFERROR(LOOKUP(2,1/((Budgets!$A$2:$A$200=BA$1)*(Budgets!$B$2:$B$200&lt;=$A33)),Budgets!$C$2:$C$200),0))</f>
        <v/>
      </c>
      <c r="BB33" s="88">
        <f>IF(OR(BB$1="",$BE33=0),"",IFERROR(LOOKUP(2,1/((Budgets!$A$2:$A$200=BB$1)*(Budgets!$B$2:$B$200&lt;=$A33)),Budgets!$C$2:$C$200),0))</f>
        <v/>
      </c>
      <c r="BC33" s="88">
        <f>IF(OR(BC$1="",$BE33=0),"",IFERROR(LOOKUP(2,1/((Budgets!$A$2:$A$200=BC$1)*(Budgets!$B$2:$B$200&lt;=$A33)),Budgets!$C$2:$C$200),0))</f>
        <v/>
      </c>
      <c r="BE33" s="67">
        <f>COUNTIFS(Entries!$A$2:$A$5000,$A33)</f>
        <v/>
      </c>
    </row>
    <row r="34" ht="15" customHeight="1" s="43">
      <c r="A34" s="87" t="n">
        <v>40422</v>
      </c>
      <c r="B34" s="88">
        <f>IF($BE34=0,NA(),SUMIFS(Entries!$D$2:$D$5000,Entries!$C$2:$C$5000,"Income",Entries!$A$2:$A$5000,$A34))</f>
        <v/>
      </c>
      <c r="C34" s="88">
        <f>IF($BE34=0,"",SUMIFS(Entries!$D$2:$D$5000,Entries!$C$2:$C$5000,"Actual",Entries!$A$2:$A$5000,$A34))</f>
        <v/>
      </c>
      <c r="D34" s="88">
        <f>IF($BE34=0,"",SUMIFS(Entries!$D$2:$D$5000,Entries!$C$2:$C$5000,"One-off",Entries!$A$2:$A$5000,$A34))</f>
        <v/>
      </c>
      <c r="E34" s="88">
        <f>IF($BE34=0,NA(),C34+D34)</f>
        <v/>
      </c>
      <c r="F34" s="88">
        <f>IF($BE34=0,"",SUM(AJ34:BC34))</f>
        <v/>
      </c>
      <c r="G34" s="88">
        <f>IF($BE34=0,"",B34-E34)</f>
        <v/>
      </c>
      <c r="H34" s="88">
        <f>IF($BE34=0,"",SUM($G$2:G34))</f>
        <v/>
      </c>
      <c r="I34" s="88">
        <f>IF($BE34=0,"",SUMIFS(Entries!$F$2:$F$5000,Entries!$A$2:$A$5000,$A34))</f>
        <v/>
      </c>
      <c r="J34" s="88">
        <f>IF($BE34=0,NA(),H34+SUM($I$2:I34))</f>
        <v/>
      </c>
      <c r="K34" s="88">
        <f>IF($BE34=0,"",SUMIFS(Entries!$D$2:$D$5000,Entries!$C$2:$C$5000,"Income",Entries!$A$2:$A$5000,"&gt;="&amp;EDATE($A34,-11),Entries!$A$2:$A$5000,"&lt;="&amp;$A34)/12)</f>
        <v/>
      </c>
      <c r="L34" s="88">
        <f>IF($BE34=0,"",(SUMIFS(Entries!$D$2:$D$5000,Entries!$C$2:$C$5000,"Actual",Entries!$A$2:$A$5000,"&gt;="&amp;EDATE($A34,-11),Entries!$A$2:$A$5000,"&lt;="&amp;$A34)+SUMIFS(Entries!$D$2:$D$5000,Entries!$C$2:$C$5000,"One-off",Entries!$A$2:$A$5000,"&gt;="&amp;EDATE($A34,-11),Entries!$A$2:$A$5000,"&lt;="&amp;$A34))/12)</f>
        <v/>
      </c>
      <c r="M34" s="70">
        <f>IF($BE34=0,NA(),IFERROR((K34-L34)/K34,0))</f>
        <v/>
      </c>
      <c r="O34" s="88">
        <f>IF(OR(O$1="",$BE34=0),"",SUMIFS(Entries!$D$2:$D$5000,Entries!$C$2:$C$5000,"Actual",Entries!$A$2:$A$5000,$A34,Entries!$B$2:$B$5000,O$1))</f>
        <v/>
      </c>
      <c r="P34" s="88">
        <f>IF(OR(P$1="",$BE34=0),"",SUMIFS(Entries!$D$2:$D$5000,Entries!$C$2:$C$5000,"Actual",Entries!$A$2:$A$5000,$A34,Entries!$B$2:$B$5000,P$1))</f>
        <v/>
      </c>
      <c r="Q34" s="88">
        <f>IF(OR(Q$1="",$BE34=0),"",SUMIFS(Entries!$D$2:$D$5000,Entries!$C$2:$C$5000,"Actual",Entries!$A$2:$A$5000,$A34,Entries!$B$2:$B$5000,Q$1))</f>
        <v/>
      </c>
      <c r="R34" s="88">
        <f>IF(OR(R$1="",$BE34=0),"",SUMIFS(Entries!$D$2:$D$5000,Entries!$C$2:$C$5000,"Actual",Entries!$A$2:$A$5000,$A34,Entries!$B$2:$B$5000,R$1))</f>
        <v/>
      </c>
      <c r="S34" s="88">
        <f>IF(OR(S$1="",$BE34=0),"",SUMIFS(Entries!$D$2:$D$5000,Entries!$C$2:$C$5000,"Actual",Entries!$A$2:$A$5000,$A34,Entries!$B$2:$B$5000,S$1))</f>
        <v/>
      </c>
      <c r="T34" s="88">
        <f>IF(OR(T$1="",$BE34=0),"",SUMIFS(Entries!$D$2:$D$5000,Entries!$C$2:$C$5000,"Actual",Entries!$A$2:$A$5000,$A34,Entries!$B$2:$B$5000,T$1))</f>
        <v/>
      </c>
      <c r="U34" s="88">
        <f>IF(OR(U$1="",$BE34=0),"",SUMIFS(Entries!$D$2:$D$5000,Entries!$C$2:$C$5000,"Actual",Entries!$A$2:$A$5000,$A34,Entries!$B$2:$B$5000,U$1))</f>
        <v/>
      </c>
      <c r="V34" s="88">
        <f>IF(OR(V$1="",$BE34=0),"",SUMIFS(Entries!$D$2:$D$5000,Entries!$C$2:$C$5000,"Actual",Entries!$A$2:$A$5000,$A34,Entries!$B$2:$B$5000,V$1))</f>
        <v/>
      </c>
      <c r="W34" s="88">
        <f>IF(OR(W$1="",$BE34=0),"",SUMIFS(Entries!$D$2:$D$5000,Entries!$C$2:$C$5000,"Actual",Entries!$A$2:$A$5000,$A34,Entries!$B$2:$B$5000,W$1))</f>
        <v/>
      </c>
      <c r="X34" s="88">
        <f>IF(OR(X$1="",$BE34=0),"",SUMIFS(Entries!$D$2:$D$5000,Entries!$C$2:$C$5000,"Actual",Entries!$A$2:$A$5000,$A34,Entries!$B$2:$B$5000,X$1))</f>
        <v/>
      </c>
      <c r="Y34" s="88">
        <f>IF(OR(Y$1="",$BE34=0),"",SUMIFS(Entries!$D$2:$D$5000,Entries!$C$2:$C$5000,"Actual",Entries!$A$2:$A$5000,$A34,Entries!$B$2:$B$5000,Y$1))</f>
        <v/>
      </c>
      <c r="Z34" s="88">
        <f>IF(OR(Z$1="",$BE34=0),"",SUMIFS(Entries!$D$2:$D$5000,Entries!$C$2:$C$5000,"Actual",Entries!$A$2:$A$5000,$A34,Entries!$B$2:$B$5000,Z$1))</f>
        <v/>
      </c>
      <c r="AA34" s="88">
        <f>IF(OR(AA$1="",$BE34=0),"",SUMIFS(Entries!$D$2:$D$5000,Entries!$C$2:$C$5000,"Actual",Entries!$A$2:$A$5000,$A34,Entries!$B$2:$B$5000,AA$1))</f>
        <v/>
      </c>
      <c r="AB34" s="88">
        <f>IF(OR(AB$1="",$BE34=0),"",SUMIFS(Entries!$D$2:$D$5000,Entries!$C$2:$C$5000,"Actual",Entries!$A$2:$A$5000,$A34,Entries!$B$2:$B$5000,AB$1))</f>
        <v/>
      </c>
      <c r="AC34" s="88">
        <f>IF(OR(AC$1="",$BE34=0),"",SUMIFS(Entries!$D$2:$D$5000,Entries!$C$2:$C$5000,"Actual",Entries!$A$2:$A$5000,$A34,Entries!$B$2:$B$5000,AC$1))</f>
        <v/>
      </c>
      <c r="AD34" s="88">
        <f>IF(OR(AD$1="",$BE34=0),"",SUMIFS(Entries!$D$2:$D$5000,Entries!$C$2:$C$5000,"Actual",Entries!$A$2:$A$5000,$A34,Entries!$B$2:$B$5000,AD$1))</f>
        <v/>
      </c>
      <c r="AE34" s="88">
        <f>IF(OR(AE$1="",$BE34=0),"",SUMIFS(Entries!$D$2:$D$5000,Entries!$C$2:$C$5000,"Actual",Entries!$A$2:$A$5000,$A34,Entries!$B$2:$B$5000,AE$1))</f>
        <v/>
      </c>
      <c r="AF34" s="88">
        <f>IF(OR(AF$1="",$BE34=0),"",SUMIFS(Entries!$D$2:$D$5000,Entries!$C$2:$C$5000,"Actual",Entries!$A$2:$A$5000,$A34,Entries!$B$2:$B$5000,AF$1))</f>
        <v/>
      </c>
      <c r="AG34" s="88">
        <f>IF(OR(AG$1="",$BE34=0),"",SUMIFS(Entries!$D$2:$D$5000,Entries!$C$2:$C$5000,"Actual",Entries!$A$2:$A$5000,$A34,Entries!$B$2:$B$5000,AG$1))</f>
        <v/>
      </c>
      <c r="AH34" s="88">
        <f>IF(OR(AH$1="",$BE34=0),"",SUMIFS(Entries!$D$2:$D$5000,Entries!$C$2:$C$5000,"Actual",Entries!$A$2:$A$5000,$A34,Entries!$B$2:$B$5000,AH$1))</f>
        <v/>
      </c>
      <c r="AJ34" s="88">
        <f>IF(OR(AJ$1="",$BE34=0),"",IFERROR(LOOKUP(2,1/((Budgets!$A$2:$A$200=AJ$1)*(Budgets!$B$2:$B$200&lt;=$A34)),Budgets!$C$2:$C$200),0))</f>
        <v/>
      </c>
      <c r="AK34" s="88">
        <f>IF(OR(AK$1="",$BE34=0),"",IFERROR(LOOKUP(2,1/((Budgets!$A$2:$A$200=AK$1)*(Budgets!$B$2:$B$200&lt;=$A34)),Budgets!$C$2:$C$200),0))</f>
        <v/>
      </c>
      <c r="AL34" s="88">
        <f>IF(OR(AL$1="",$BE34=0),"",IFERROR(LOOKUP(2,1/((Budgets!$A$2:$A$200=AL$1)*(Budgets!$B$2:$B$200&lt;=$A34)),Budgets!$C$2:$C$200),0))</f>
        <v/>
      </c>
      <c r="AM34" s="88">
        <f>IF(OR(AM$1="",$BE34=0),"",IFERROR(LOOKUP(2,1/((Budgets!$A$2:$A$200=AM$1)*(Budgets!$B$2:$B$200&lt;=$A34)),Budgets!$C$2:$C$200),0))</f>
        <v/>
      </c>
      <c r="AN34" s="88">
        <f>IF(OR(AN$1="",$BE34=0),"",IFERROR(LOOKUP(2,1/((Budgets!$A$2:$A$200=AN$1)*(Budgets!$B$2:$B$200&lt;=$A34)),Budgets!$C$2:$C$200),0))</f>
        <v/>
      </c>
      <c r="AO34" s="88">
        <f>IF(OR(AO$1="",$BE34=0),"",IFERROR(LOOKUP(2,1/((Budgets!$A$2:$A$200=AO$1)*(Budgets!$B$2:$B$200&lt;=$A34)),Budgets!$C$2:$C$200),0))</f>
        <v/>
      </c>
      <c r="AP34" s="88">
        <f>IF(OR(AP$1="",$BE34=0),"",IFERROR(LOOKUP(2,1/((Budgets!$A$2:$A$200=AP$1)*(Budgets!$B$2:$B$200&lt;=$A34)),Budgets!$C$2:$C$200),0))</f>
        <v/>
      </c>
      <c r="AQ34" s="88">
        <f>IF(OR(AQ$1="",$BE34=0),"",IFERROR(LOOKUP(2,1/((Budgets!$A$2:$A$200=AQ$1)*(Budgets!$B$2:$B$200&lt;=$A34)),Budgets!$C$2:$C$200),0))</f>
        <v/>
      </c>
      <c r="AR34" s="88">
        <f>IF(OR(AR$1="",$BE34=0),"",IFERROR(LOOKUP(2,1/((Budgets!$A$2:$A$200=AR$1)*(Budgets!$B$2:$B$200&lt;=$A34)),Budgets!$C$2:$C$200),0))</f>
        <v/>
      </c>
      <c r="AS34" s="88">
        <f>IF(OR(AS$1="",$BE34=0),"",IFERROR(LOOKUP(2,1/((Budgets!$A$2:$A$200=AS$1)*(Budgets!$B$2:$B$200&lt;=$A34)),Budgets!$C$2:$C$200),0))</f>
        <v/>
      </c>
      <c r="AT34" s="88">
        <f>IF(OR(AT$1="",$BE34=0),"",IFERROR(LOOKUP(2,1/((Budgets!$A$2:$A$200=AT$1)*(Budgets!$B$2:$B$200&lt;=$A34)),Budgets!$C$2:$C$200),0))</f>
        <v/>
      </c>
      <c r="AU34" s="88">
        <f>IF(OR(AU$1="",$BE34=0),"",IFERROR(LOOKUP(2,1/((Budgets!$A$2:$A$200=AU$1)*(Budgets!$B$2:$B$200&lt;=$A34)),Budgets!$C$2:$C$200),0))</f>
        <v/>
      </c>
      <c r="AV34" s="88">
        <f>IF(OR(AV$1="",$BE34=0),"",IFERROR(LOOKUP(2,1/((Budgets!$A$2:$A$200=AV$1)*(Budgets!$B$2:$B$200&lt;=$A34)),Budgets!$C$2:$C$200),0))</f>
        <v/>
      </c>
      <c r="AW34" s="88">
        <f>IF(OR(AW$1="",$BE34=0),"",IFERROR(LOOKUP(2,1/((Budgets!$A$2:$A$200=AW$1)*(Budgets!$B$2:$B$200&lt;=$A34)),Budgets!$C$2:$C$200),0))</f>
        <v/>
      </c>
      <c r="AX34" s="88">
        <f>IF(OR(AX$1="",$BE34=0),"",IFERROR(LOOKUP(2,1/((Budgets!$A$2:$A$200=AX$1)*(Budgets!$B$2:$B$200&lt;=$A34)),Budgets!$C$2:$C$200),0))</f>
        <v/>
      </c>
      <c r="AY34" s="88">
        <f>IF(OR(AY$1="",$BE34=0),"",IFERROR(LOOKUP(2,1/((Budgets!$A$2:$A$200=AY$1)*(Budgets!$B$2:$B$200&lt;=$A34)),Budgets!$C$2:$C$200),0))</f>
        <v/>
      </c>
      <c r="AZ34" s="88">
        <f>IF(OR(AZ$1="",$BE34=0),"",IFERROR(LOOKUP(2,1/((Budgets!$A$2:$A$200=AZ$1)*(Budgets!$B$2:$B$200&lt;=$A34)),Budgets!$C$2:$C$200),0))</f>
        <v/>
      </c>
      <c r="BA34" s="88">
        <f>IF(OR(BA$1="",$BE34=0),"",IFERROR(LOOKUP(2,1/((Budgets!$A$2:$A$200=BA$1)*(Budgets!$B$2:$B$200&lt;=$A34)),Budgets!$C$2:$C$200),0))</f>
        <v/>
      </c>
      <c r="BB34" s="88">
        <f>IF(OR(BB$1="",$BE34=0),"",IFERROR(LOOKUP(2,1/((Budgets!$A$2:$A$200=BB$1)*(Budgets!$B$2:$B$200&lt;=$A34)),Budgets!$C$2:$C$200),0))</f>
        <v/>
      </c>
      <c r="BC34" s="88">
        <f>IF(OR(BC$1="",$BE34=0),"",IFERROR(LOOKUP(2,1/((Budgets!$A$2:$A$200=BC$1)*(Budgets!$B$2:$B$200&lt;=$A34)),Budgets!$C$2:$C$200),0))</f>
        <v/>
      </c>
      <c r="BE34" s="67">
        <f>COUNTIFS(Entries!$A$2:$A$5000,$A34)</f>
        <v/>
      </c>
    </row>
    <row r="35" ht="15" customHeight="1" s="43">
      <c r="A35" s="87" t="n">
        <v>40452</v>
      </c>
      <c r="B35" s="88">
        <f>IF($BE35=0,NA(),SUMIFS(Entries!$D$2:$D$5000,Entries!$C$2:$C$5000,"Income",Entries!$A$2:$A$5000,$A35))</f>
        <v/>
      </c>
      <c r="C35" s="88">
        <f>IF($BE35=0,"",SUMIFS(Entries!$D$2:$D$5000,Entries!$C$2:$C$5000,"Actual",Entries!$A$2:$A$5000,$A35))</f>
        <v/>
      </c>
      <c r="D35" s="88">
        <f>IF($BE35=0,"",SUMIFS(Entries!$D$2:$D$5000,Entries!$C$2:$C$5000,"One-off",Entries!$A$2:$A$5000,$A35))</f>
        <v/>
      </c>
      <c r="E35" s="88">
        <f>IF($BE35=0,NA(),C35+D35)</f>
        <v/>
      </c>
      <c r="F35" s="88">
        <f>IF($BE35=0,"",SUM(AJ35:BC35))</f>
        <v/>
      </c>
      <c r="G35" s="88">
        <f>IF($BE35=0,"",B35-E35)</f>
        <v/>
      </c>
      <c r="H35" s="88">
        <f>IF($BE35=0,"",SUM($G$2:G35))</f>
        <v/>
      </c>
      <c r="I35" s="88">
        <f>IF($BE35=0,"",SUMIFS(Entries!$F$2:$F$5000,Entries!$A$2:$A$5000,$A35))</f>
        <v/>
      </c>
      <c r="J35" s="88">
        <f>IF($BE35=0,NA(),H35+SUM($I$2:I35))</f>
        <v/>
      </c>
      <c r="K35" s="88">
        <f>IF($BE35=0,"",SUMIFS(Entries!$D$2:$D$5000,Entries!$C$2:$C$5000,"Income",Entries!$A$2:$A$5000,"&gt;="&amp;EDATE($A35,-11),Entries!$A$2:$A$5000,"&lt;="&amp;$A35)/12)</f>
        <v/>
      </c>
      <c r="L35" s="88">
        <f>IF($BE35=0,"",(SUMIFS(Entries!$D$2:$D$5000,Entries!$C$2:$C$5000,"Actual",Entries!$A$2:$A$5000,"&gt;="&amp;EDATE($A35,-11),Entries!$A$2:$A$5000,"&lt;="&amp;$A35)+SUMIFS(Entries!$D$2:$D$5000,Entries!$C$2:$C$5000,"One-off",Entries!$A$2:$A$5000,"&gt;="&amp;EDATE($A35,-11),Entries!$A$2:$A$5000,"&lt;="&amp;$A35))/12)</f>
        <v/>
      </c>
      <c r="M35" s="70">
        <f>IF($BE35=0,NA(),IFERROR((K35-L35)/K35,0))</f>
        <v/>
      </c>
      <c r="O35" s="88">
        <f>IF(OR(O$1="",$BE35=0),"",SUMIFS(Entries!$D$2:$D$5000,Entries!$C$2:$C$5000,"Actual",Entries!$A$2:$A$5000,$A35,Entries!$B$2:$B$5000,O$1))</f>
        <v/>
      </c>
      <c r="P35" s="88">
        <f>IF(OR(P$1="",$BE35=0),"",SUMIFS(Entries!$D$2:$D$5000,Entries!$C$2:$C$5000,"Actual",Entries!$A$2:$A$5000,$A35,Entries!$B$2:$B$5000,P$1))</f>
        <v/>
      </c>
      <c r="Q35" s="88">
        <f>IF(OR(Q$1="",$BE35=0),"",SUMIFS(Entries!$D$2:$D$5000,Entries!$C$2:$C$5000,"Actual",Entries!$A$2:$A$5000,$A35,Entries!$B$2:$B$5000,Q$1))</f>
        <v/>
      </c>
      <c r="R35" s="88">
        <f>IF(OR(R$1="",$BE35=0),"",SUMIFS(Entries!$D$2:$D$5000,Entries!$C$2:$C$5000,"Actual",Entries!$A$2:$A$5000,$A35,Entries!$B$2:$B$5000,R$1))</f>
        <v/>
      </c>
      <c r="S35" s="88">
        <f>IF(OR(S$1="",$BE35=0),"",SUMIFS(Entries!$D$2:$D$5000,Entries!$C$2:$C$5000,"Actual",Entries!$A$2:$A$5000,$A35,Entries!$B$2:$B$5000,S$1))</f>
        <v/>
      </c>
      <c r="T35" s="88">
        <f>IF(OR(T$1="",$BE35=0),"",SUMIFS(Entries!$D$2:$D$5000,Entries!$C$2:$C$5000,"Actual",Entries!$A$2:$A$5000,$A35,Entries!$B$2:$B$5000,T$1))</f>
        <v/>
      </c>
      <c r="U35" s="88">
        <f>IF(OR(U$1="",$BE35=0),"",SUMIFS(Entries!$D$2:$D$5000,Entries!$C$2:$C$5000,"Actual",Entries!$A$2:$A$5000,$A35,Entries!$B$2:$B$5000,U$1))</f>
        <v/>
      </c>
      <c r="V35" s="88">
        <f>IF(OR(V$1="",$BE35=0),"",SUMIFS(Entries!$D$2:$D$5000,Entries!$C$2:$C$5000,"Actual",Entries!$A$2:$A$5000,$A35,Entries!$B$2:$B$5000,V$1))</f>
        <v/>
      </c>
      <c r="W35" s="88">
        <f>IF(OR(W$1="",$BE35=0),"",SUMIFS(Entries!$D$2:$D$5000,Entries!$C$2:$C$5000,"Actual",Entries!$A$2:$A$5000,$A35,Entries!$B$2:$B$5000,W$1))</f>
        <v/>
      </c>
      <c r="X35" s="88">
        <f>IF(OR(X$1="",$BE35=0),"",SUMIFS(Entries!$D$2:$D$5000,Entries!$C$2:$C$5000,"Actual",Entries!$A$2:$A$5000,$A35,Entries!$B$2:$B$5000,X$1))</f>
        <v/>
      </c>
      <c r="Y35" s="88">
        <f>IF(OR(Y$1="",$BE35=0),"",SUMIFS(Entries!$D$2:$D$5000,Entries!$C$2:$C$5000,"Actual",Entries!$A$2:$A$5000,$A35,Entries!$B$2:$B$5000,Y$1))</f>
        <v/>
      </c>
      <c r="Z35" s="88">
        <f>IF(OR(Z$1="",$BE35=0),"",SUMIFS(Entries!$D$2:$D$5000,Entries!$C$2:$C$5000,"Actual",Entries!$A$2:$A$5000,$A35,Entries!$B$2:$B$5000,Z$1))</f>
        <v/>
      </c>
      <c r="AA35" s="88">
        <f>IF(OR(AA$1="",$BE35=0),"",SUMIFS(Entries!$D$2:$D$5000,Entries!$C$2:$C$5000,"Actual",Entries!$A$2:$A$5000,$A35,Entries!$B$2:$B$5000,AA$1))</f>
        <v/>
      </c>
      <c r="AB35" s="88">
        <f>IF(OR(AB$1="",$BE35=0),"",SUMIFS(Entries!$D$2:$D$5000,Entries!$C$2:$C$5000,"Actual",Entries!$A$2:$A$5000,$A35,Entries!$B$2:$B$5000,AB$1))</f>
        <v/>
      </c>
      <c r="AC35" s="88">
        <f>IF(OR(AC$1="",$BE35=0),"",SUMIFS(Entries!$D$2:$D$5000,Entries!$C$2:$C$5000,"Actual",Entries!$A$2:$A$5000,$A35,Entries!$B$2:$B$5000,AC$1))</f>
        <v/>
      </c>
      <c r="AD35" s="88">
        <f>IF(OR(AD$1="",$BE35=0),"",SUMIFS(Entries!$D$2:$D$5000,Entries!$C$2:$C$5000,"Actual",Entries!$A$2:$A$5000,$A35,Entries!$B$2:$B$5000,AD$1))</f>
        <v/>
      </c>
      <c r="AE35" s="88">
        <f>IF(OR(AE$1="",$BE35=0),"",SUMIFS(Entries!$D$2:$D$5000,Entries!$C$2:$C$5000,"Actual",Entries!$A$2:$A$5000,$A35,Entries!$B$2:$B$5000,AE$1))</f>
        <v/>
      </c>
      <c r="AF35" s="88">
        <f>IF(OR(AF$1="",$BE35=0),"",SUMIFS(Entries!$D$2:$D$5000,Entries!$C$2:$C$5000,"Actual",Entries!$A$2:$A$5000,$A35,Entries!$B$2:$B$5000,AF$1))</f>
        <v/>
      </c>
      <c r="AG35" s="88">
        <f>IF(OR(AG$1="",$BE35=0),"",SUMIFS(Entries!$D$2:$D$5000,Entries!$C$2:$C$5000,"Actual",Entries!$A$2:$A$5000,$A35,Entries!$B$2:$B$5000,AG$1))</f>
        <v/>
      </c>
      <c r="AH35" s="88">
        <f>IF(OR(AH$1="",$BE35=0),"",SUMIFS(Entries!$D$2:$D$5000,Entries!$C$2:$C$5000,"Actual",Entries!$A$2:$A$5000,$A35,Entries!$B$2:$B$5000,AH$1))</f>
        <v/>
      </c>
      <c r="AJ35" s="88">
        <f>IF(OR(AJ$1="",$BE35=0),"",IFERROR(LOOKUP(2,1/((Budgets!$A$2:$A$200=AJ$1)*(Budgets!$B$2:$B$200&lt;=$A35)),Budgets!$C$2:$C$200),0))</f>
        <v/>
      </c>
      <c r="AK35" s="88">
        <f>IF(OR(AK$1="",$BE35=0),"",IFERROR(LOOKUP(2,1/((Budgets!$A$2:$A$200=AK$1)*(Budgets!$B$2:$B$200&lt;=$A35)),Budgets!$C$2:$C$200),0))</f>
        <v/>
      </c>
      <c r="AL35" s="88">
        <f>IF(OR(AL$1="",$BE35=0),"",IFERROR(LOOKUP(2,1/((Budgets!$A$2:$A$200=AL$1)*(Budgets!$B$2:$B$200&lt;=$A35)),Budgets!$C$2:$C$200),0))</f>
        <v/>
      </c>
      <c r="AM35" s="88">
        <f>IF(OR(AM$1="",$BE35=0),"",IFERROR(LOOKUP(2,1/((Budgets!$A$2:$A$200=AM$1)*(Budgets!$B$2:$B$200&lt;=$A35)),Budgets!$C$2:$C$200),0))</f>
        <v/>
      </c>
      <c r="AN35" s="88">
        <f>IF(OR(AN$1="",$BE35=0),"",IFERROR(LOOKUP(2,1/((Budgets!$A$2:$A$200=AN$1)*(Budgets!$B$2:$B$200&lt;=$A35)),Budgets!$C$2:$C$200),0))</f>
        <v/>
      </c>
      <c r="AO35" s="88">
        <f>IF(OR(AO$1="",$BE35=0),"",IFERROR(LOOKUP(2,1/((Budgets!$A$2:$A$200=AO$1)*(Budgets!$B$2:$B$200&lt;=$A35)),Budgets!$C$2:$C$200),0))</f>
        <v/>
      </c>
      <c r="AP35" s="88">
        <f>IF(OR(AP$1="",$BE35=0),"",IFERROR(LOOKUP(2,1/((Budgets!$A$2:$A$200=AP$1)*(Budgets!$B$2:$B$200&lt;=$A35)),Budgets!$C$2:$C$200),0))</f>
        <v/>
      </c>
      <c r="AQ35" s="88">
        <f>IF(OR(AQ$1="",$BE35=0),"",IFERROR(LOOKUP(2,1/((Budgets!$A$2:$A$200=AQ$1)*(Budgets!$B$2:$B$200&lt;=$A35)),Budgets!$C$2:$C$200),0))</f>
        <v/>
      </c>
      <c r="AR35" s="88">
        <f>IF(OR(AR$1="",$BE35=0),"",IFERROR(LOOKUP(2,1/((Budgets!$A$2:$A$200=AR$1)*(Budgets!$B$2:$B$200&lt;=$A35)),Budgets!$C$2:$C$200),0))</f>
        <v/>
      </c>
      <c r="AS35" s="88">
        <f>IF(OR(AS$1="",$BE35=0),"",IFERROR(LOOKUP(2,1/((Budgets!$A$2:$A$200=AS$1)*(Budgets!$B$2:$B$200&lt;=$A35)),Budgets!$C$2:$C$200),0))</f>
        <v/>
      </c>
      <c r="AT35" s="88">
        <f>IF(OR(AT$1="",$BE35=0),"",IFERROR(LOOKUP(2,1/((Budgets!$A$2:$A$200=AT$1)*(Budgets!$B$2:$B$200&lt;=$A35)),Budgets!$C$2:$C$200),0))</f>
        <v/>
      </c>
      <c r="AU35" s="88">
        <f>IF(OR(AU$1="",$BE35=0),"",IFERROR(LOOKUP(2,1/((Budgets!$A$2:$A$200=AU$1)*(Budgets!$B$2:$B$200&lt;=$A35)),Budgets!$C$2:$C$200),0))</f>
        <v/>
      </c>
      <c r="AV35" s="88">
        <f>IF(OR(AV$1="",$BE35=0),"",IFERROR(LOOKUP(2,1/((Budgets!$A$2:$A$200=AV$1)*(Budgets!$B$2:$B$200&lt;=$A35)),Budgets!$C$2:$C$200),0))</f>
        <v/>
      </c>
      <c r="AW35" s="88">
        <f>IF(OR(AW$1="",$BE35=0),"",IFERROR(LOOKUP(2,1/((Budgets!$A$2:$A$200=AW$1)*(Budgets!$B$2:$B$200&lt;=$A35)),Budgets!$C$2:$C$200),0))</f>
        <v/>
      </c>
      <c r="AX35" s="88">
        <f>IF(OR(AX$1="",$BE35=0),"",IFERROR(LOOKUP(2,1/((Budgets!$A$2:$A$200=AX$1)*(Budgets!$B$2:$B$200&lt;=$A35)),Budgets!$C$2:$C$200),0))</f>
        <v/>
      </c>
      <c r="AY35" s="88">
        <f>IF(OR(AY$1="",$BE35=0),"",IFERROR(LOOKUP(2,1/((Budgets!$A$2:$A$200=AY$1)*(Budgets!$B$2:$B$200&lt;=$A35)),Budgets!$C$2:$C$200),0))</f>
        <v/>
      </c>
      <c r="AZ35" s="88">
        <f>IF(OR(AZ$1="",$BE35=0),"",IFERROR(LOOKUP(2,1/((Budgets!$A$2:$A$200=AZ$1)*(Budgets!$B$2:$B$200&lt;=$A35)),Budgets!$C$2:$C$200),0))</f>
        <v/>
      </c>
      <c r="BA35" s="88">
        <f>IF(OR(BA$1="",$BE35=0),"",IFERROR(LOOKUP(2,1/((Budgets!$A$2:$A$200=BA$1)*(Budgets!$B$2:$B$200&lt;=$A35)),Budgets!$C$2:$C$200),0))</f>
        <v/>
      </c>
      <c r="BB35" s="88">
        <f>IF(OR(BB$1="",$BE35=0),"",IFERROR(LOOKUP(2,1/((Budgets!$A$2:$A$200=BB$1)*(Budgets!$B$2:$B$200&lt;=$A35)),Budgets!$C$2:$C$200),0))</f>
        <v/>
      </c>
      <c r="BC35" s="88">
        <f>IF(OR(BC$1="",$BE35=0),"",IFERROR(LOOKUP(2,1/((Budgets!$A$2:$A$200=BC$1)*(Budgets!$B$2:$B$200&lt;=$A35)),Budgets!$C$2:$C$200),0))</f>
        <v/>
      </c>
      <c r="BE35" s="67">
        <f>COUNTIFS(Entries!$A$2:$A$5000,$A35)</f>
        <v/>
      </c>
    </row>
    <row r="36" ht="15" customHeight="1" s="43">
      <c r="A36" s="87" t="n">
        <v>40483</v>
      </c>
      <c r="B36" s="88">
        <f>IF($BE36=0,NA(),SUMIFS(Entries!$D$2:$D$5000,Entries!$C$2:$C$5000,"Income",Entries!$A$2:$A$5000,$A36))</f>
        <v/>
      </c>
      <c r="C36" s="88">
        <f>IF($BE36=0,"",SUMIFS(Entries!$D$2:$D$5000,Entries!$C$2:$C$5000,"Actual",Entries!$A$2:$A$5000,$A36))</f>
        <v/>
      </c>
      <c r="D36" s="88">
        <f>IF($BE36=0,"",SUMIFS(Entries!$D$2:$D$5000,Entries!$C$2:$C$5000,"One-off",Entries!$A$2:$A$5000,$A36))</f>
        <v/>
      </c>
      <c r="E36" s="88">
        <f>IF($BE36=0,NA(),C36+D36)</f>
        <v/>
      </c>
      <c r="F36" s="88">
        <f>IF($BE36=0,"",SUM(AJ36:BC36))</f>
        <v/>
      </c>
      <c r="G36" s="88">
        <f>IF($BE36=0,"",B36-E36)</f>
        <v/>
      </c>
      <c r="H36" s="88">
        <f>IF($BE36=0,"",SUM($G$2:G36))</f>
        <v/>
      </c>
      <c r="I36" s="88">
        <f>IF($BE36=0,"",SUMIFS(Entries!$F$2:$F$5000,Entries!$A$2:$A$5000,$A36))</f>
        <v/>
      </c>
      <c r="J36" s="88">
        <f>IF($BE36=0,NA(),H36+SUM($I$2:I36))</f>
        <v/>
      </c>
      <c r="K36" s="88">
        <f>IF($BE36=0,"",SUMIFS(Entries!$D$2:$D$5000,Entries!$C$2:$C$5000,"Income",Entries!$A$2:$A$5000,"&gt;="&amp;EDATE($A36,-11),Entries!$A$2:$A$5000,"&lt;="&amp;$A36)/12)</f>
        <v/>
      </c>
      <c r="L36" s="88">
        <f>IF($BE36=0,"",(SUMIFS(Entries!$D$2:$D$5000,Entries!$C$2:$C$5000,"Actual",Entries!$A$2:$A$5000,"&gt;="&amp;EDATE($A36,-11),Entries!$A$2:$A$5000,"&lt;="&amp;$A36)+SUMIFS(Entries!$D$2:$D$5000,Entries!$C$2:$C$5000,"One-off",Entries!$A$2:$A$5000,"&gt;="&amp;EDATE($A36,-11),Entries!$A$2:$A$5000,"&lt;="&amp;$A36))/12)</f>
        <v/>
      </c>
      <c r="M36" s="70">
        <f>IF($BE36=0,NA(),IFERROR((K36-L36)/K36,0))</f>
        <v/>
      </c>
      <c r="O36" s="88">
        <f>IF(OR(O$1="",$BE36=0),"",SUMIFS(Entries!$D$2:$D$5000,Entries!$C$2:$C$5000,"Actual",Entries!$A$2:$A$5000,$A36,Entries!$B$2:$B$5000,O$1))</f>
        <v/>
      </c>
      <c r="P36" s="88">
        <f>IF(OR(P$1="",$BE36=0),"",SUMIFS(Entries!$D$2:$D$5000,Entries!$C$2:$C$5000,"Actual",Entries!$A$2:$A$5000,$A36,Entries!$B$2:$B$5000,P$1))</f>
        <v/>
      </c>
      <c r="Q36" s="88">
        <f>IF(OR(Q$1="",$BE36=0),"",SUMIFS(Entries!$D$2:$D$5000,Entries!$C$2:$C$5000,"Actual",Entries!$A$2:$A$5000,$A36,Entries!$B$2:$B$5000,Q$1))</f>
        <v/>
      </c>
      <c r="R36" s="88">
        <f>IF(OR(R$1="",$BE36=0),"",SUMIFS(Entries!$D$2:$D$5000,Entries!$C$2:$C$5000,"Actual",Entries!$A$2:$A$5000,$A36,Entries!$B$2:$B$5000,R$1))</f>
        <v/>
      </c>
      <c r="S36" s="88">
        <f>IF(OR(S$1="",$BE36=0),"",SUMIFS(Entries!$D$2:$D$5000,Entries!$C$2:$C$5000,"Actual",Entries!$A$2:$A$5000,$A36,Entries!$B$2:$B$5000,S$1))</f>
        <v/>
      </c>
      <c r="T36" s="88">
        <f>IF(OR(T$1="",$BE36=0),"",SUMIFS(Entries!$D$2:$D$5000,Entries!$C$2:$C$5000,"Actual",Entries!$A$2:$A$5000,$A36,Entries!$B$2:$B$5000,T$1))</f>
        <v/>
      </c>
      <c r="U36" s="88">
        <f>IF(OR(U$1="",$BE36=0),"",SUMIFS(Entries!$D$2:$D$5000,Entries!$C$2:$C$5000,"Actual",Entries!$A$2:$A$5000,$A36,Entries!$B$2:$B$5000,U$1))</f>
        <v/>
      </c>
      <c r="V36" s="88">
        <f>IF(OR(V$1="",$BE36=0),"",SUMIFS(Entries!$D$2:$D$5000,Entries!$C$2:$C$5000,"Actual",Entries!$A$2:$A$5000,$A36,Entries!$B$2:$B$5000,V$1))</f>
        <v/>
      </c>
      <c r="W36" s="88">
        <f>IF(OR(W$1="",$BE36=0),"",SUMIFS(Entries!$D$2:$D$5000,Entries!$C$2:$C$5000,"Actual",Entries!$A$2:$A$5000,$A36,Entries!$B$2:$B$5000,W$1))</f>
        <v/>
      </c>
      <c r="X36" s="88">
        <f>IF(OR(X$1="",$BE36=0),"",SUMIFS(Entries!$D$2:$D$5000,Entries!$C$2:$C$5000,"Actual",Entries!$A$2:$A$5000,$A36,Entries!$B$2:$B$5000,X$1))</f>
        <v/>
      </c>
      <c r="Y36" s="88">
        <f>IF(OR(Y$1="",$BE36=0),"",SUMIFS(Entries!$D$2:$D$5000,Entries!$C$2:$C$5000,"Actual",Entries!$A$2:$A$5000,$A36,Entries!$B$2:$B$5000,Y$1))</f>
        <v/>
      </c>
      <c r="Z36" s="88">
        <f>IF(OR(Z$1="",$BE36=0),"",SUMIFS(Entries!$D$2:$D$5000,Entries!$C$2:$C$5000,"Actual",Entries!$A$2:$A$5000,$A36,Entries!$B$2:$B$5000,Z$1))</f>
        <v/>
      </c>
      <c r="AA36" s="88">
        <f>IF(OR(AA$1="",$BE36=0),"",SUMIFS(Entries!$D$2:$D$5000,Entries!$C$2:$C$5000,"Actual",Entries!$A$2:$A$5000,$A36,Entries!$B$2:$B$5000,AA$1))</f>
        <v/>
      </c>
      <c r="AB36" s="88">
        <f>IF(OR(AB$1="",$BE36=0),"",SUMIFS(Entries!$D$2:$D$5000,Entries!$C$2:$C$5000,"Actual",Entries!$A$2:$A$5000,$A36,Entries!$B$2:$B$5000,AB$1))</f>
        <v/>
      </c>
      <c r="AC36" s="88">
        <f>IF(OR(AC$1="",$BE36=0),"",SUMIFS(Entries!$D$2:$D$5000,Entries!$C$2:$C$5000,"Actual",Entries!$A$2:$A$5000,$A36,Entries!$B$2:$B$5000,AC$1))</f>
        <v/>
      </c>
      <c r="AD36" s="88">
        <f>IF(OR(AD$1="",$BE36=0),"",SUMIFS(Entries!$D$2:$D$5000,Entries!$C$2:$C$5000,"Actual",Entries!$A$2:$A$5000,$A36,Entries!$B$2:$B$5000,AD$1))</f>
        <v/>
      </c>
      <c r="AE36" s="88">
        <f>IF(OR(AE$1="",$BE36=0),"",SUMIFS(Entries!$D$2:$D$5000,Entries!$C$2:$C$5000,"Actual",Entries!$A$2:$A$5000,$A36,Entries!$B$2:$B$5000,AE$1))</f>
        <v/>
      </c>
      <c r="AF36" s="88">
        <f>IF(OR(AF$1="",$BE36=0),"",SUMIFS(Entries!$D$2:$D$5000,Entries!$C$2:$C$5000,"Actual",Entries!$A$2:$A$5000,$A36,Entries!$B$2:$B$5000,AF$1))</f>
        <v/>
      </c>
      <c r="AG36" s="88">
        <f>IF(OR(AG$1="",$BE36=0),"",SUMIFS(Entries!$D$2:$D$5000,Entries!$C$2:$C$5000,"Actual",Entries!$A$2:$A$5000,$A36,Entries!$B$2:$B$5000,AG$1))</f>
        <v/>
      </c>
      <c r="AH36" s="88">
        <f>IF(OR(AH$1="",$BE36=0),"",SUMIFS(Entries!$D$2:$D$5000,Entries!$C$2:$C$5000,"Actual",Entries!$A$2:$A$5000,$A36,Entries!$B$2:$B$5000,AH$1))</f>
        <v/>
      </c>
      <c r="AJ36" s="88">
        <f>IF(OR(AJ$1="",$BE36=0),"",IFERROR(LOOKUP(2,1/((Budgets!$A$2:$A$200=AJ$1)*(Budgets!$B$2:$B$200&lt;=$A36)),Budgets!$C$2:$C$200),0))</f>
        <v/>
      </c>
      <c r="AK36" s="88">
        <f>IF(OR(AK$1="",$BE36=0),"",IFERROR(LOOKUP(2,1/((Budgets!$A$2:$A$200=AK$1)*(Budgets!$B$2:$B$200&lt;=$A36)),Budgets!$C$2:$C$200),0))</f>
        <v/>
      </c>
      <c r="AL36" s="88">
        <f>IF(OR(AL$1="",$BE36=0),"",IFERROR(LOOKUP(2,1/((Budgets!$A$2:$A$200=AL$1)*(Budgets!$B$2:$B$200&lt;=$A36)),Budgets!$C$2:$C$200),0))</f>
        <v/>
      </c>
      <c r="AM36" s="88">
        <f>IF(OR(AM$1="",$BE36=0),"",IFERROR(LOOKUP(2,1/((Budgets!$A$2:$A$200=AM$1)*(Budgets!$B$2:$B$200&lt;=$A36)),Budgets!$C$2:$C$200),0))</f>
        <v/>
      </c>
      <c r="AN36" s="88">
        <f>IF(OR(AN$1="",$BE36=0),"",IFERROR(LOOKUP(2,1/((Budgets!$A$2:$A$200=AN$1)*(Budgets!$B$2:$B$200&lt;=$A36)),Budgets!$C$2:$C$200),0))</f>
        <v/>
      </c>
      <c r="AO36" s="88">
        <f>IF(OR(AO$1="",$BE36=0),"",IFERROR(LOOKUP(2,1/((Budgets!$A$2:$A$200=AO$1)*(Budgets!$B$2:$B$200&lt;=$A36)),Budgets!$C$2:$C$200),0))</f>
        <v/>
      </c>
      <c r="AP36" s="88">
        <f>IF(OR(AP$1="",$BE36=0),"",IFERROR(LOOKUP(2,1/((Budgets!$A$2:$A$200=AP$1)*(Budgets!$B$2:$B$200&lt;=$A36)),Budgets!$C$2:$C$200),0))</f>
        <v/>
      </c>
      <c r="AQ36" s="88">
        <f>IF(OR(AQ$1="",$BE36=0),"",IFERROR(LOOKUP(2,1/((Budgets!$A$2:$A$200=AQ$1)*(Budgets!$B$2:$B$200&lt;=$A36)),Budgets!$C$2:$C$200),0))</f>
        <v/>
      </c>
      <c r="AR36" s="88">
        <f>IF(OR(AR$1="",$BE36=0),"",IFERROR(LOOKUP(2,1/((Budgets!$A$2:$A$200=AR$1)*(Budgets!$B$2:$B$200&lt;=$A36)),Budgets!$C$2:$C$200),0))</f>
        <v/>
      </c>
      <c r="AS36" s="88">
        <f>IF(OR(AS$1="",$BE36=0),"",IFERROR(LOOKUP(2,1/((Budgets!$A$2:$A$200=AS$1)*(Budgets!$B$2:$B$200&lt;=$A36)),Budgets!$C$2:$C$200),0))</f>
        <v/>
      </c>
      <c r="AT36" s="88">
        <f>IF(OR(AT$1="",$BE36=0),"",IFERROR(LOOKUP(2,1/((Budgets!$A$2:$A$200=AT$1)*(Budgets!$B$2:$B$200&lt;=$A36)),Budgets!$C$2:$C$200),0))</f>
        <v/>
      </c>
      <c r="AU36" s="88">
        <f>IF(OR(AU$1="",$BE36=0),"",IFERROR(LOOKUP(2,1/((Budgets!$A$2:$A$200=AU$1)*(Budgets!$B$2:$B$200&lt;=$A36)),Budgets!$C$2:$C$200),0))</f>
        <v/>
      </c>
      <c r="AV36" s="88">
        <f>IF(OR(AV$1="",$BE36=0),"",IFERROR(LOOKUP(2,1/((Budgets!$A$2:$A$200=AV$1)*(Budgets!$B$2:$B$200&lt;=$A36)),Budgets!$C$2:$C$200),0))</f>
        <v/>
      </c>
      <c r="AW36" s="88">
        <f>IF(OR(AW$1="",$BE36=0),"",IFERROR(LOOKUP(2,1/((Budgets!$A$2:$A$200=AW$1)*(Budgets!$B$2:$B$200&lt;=$A36)),Budgets!$C$2:$C$200),0))</f>
        <v/>
      </c>
      <c r="AX36" s="88">
        <f>IF(OR(AX$1="",$BE36=0),"",IFERROR(LOOKUP(2,1/((Budgets!$A$2:$A$200=AX$1)*(Budgets!$B$2:$B$200&lt;=$A36)),Budgets!$C$2:$C$200),0))</f>
        <v/>
      </c>
      <c r="AY36" s="88">
        <f>IF(OR(AY$1="",$BE36=0),"",IFERROR(LOOKUP(2,1/((Budgets!$A$2:$A$200=AY$1)*(Budgets!$B$2:$B$200&lt;=$A36)),Budgets!$C$2:$C$200),0))</f>
        <v/>
      </c>
      <c r="AZ36" s="88">
        <f>IF(OR(AZ$1="",$BE36=0),"",IFERROR(LOOKUP(2,1/((Budgets!$A$2:$A$200=AZ$1)*(Budgets!$B$2:$B$200&lt;=$A36)),Budgets!$C$2:$C$200),0))</f>
        <v/>
      </c>
      <c r="BA36" s="88">
        <f>IF(OR(BA$1="",$BE36=0),"",IFERROR(LOOKUP(2,1/((Budgets!$A$2:$A$200=BA$1)*(Budgets!$B$2:$B$200&lt;=$A36)),Budgets!$C$2:$C$200),0))</f>
        <v/>
      </c>
      <c r="BB36" s="88">
        <f>IF(OR(BB$1="",$BE36=0),"",IFERROR(LOOKUP(2,1/((Budgets!$A$2:$A$200=BB$1)*(Budgets!$B$2:$B$200&lt;=$A36)),Budgets!$C$2:$C$200),0))</f>
        <v/>
      </c>
      <c r="BC36" s="88">
        <f>IF(OR(BC$1="",$BE36=0),"",IFERROR(LOOKUP(2,1/((Budgets!$A$2:$A$200=BC$1)*(Budgets!$B$2:$B$200&lt;=$A36)),Budgets!$C$2:$C$200),0))</f>
        <v/>
      </c>
      <c r="BE36" s="67">
        <f>COUNTIFS(Entries!$A$2:$A$5000,$A36)</f>
        <v/>
      </c>
    </row>
    <row r="37" ht="15" customHeight="1" s="43">
      <c r="A37" s="87" t="n">
        <v>40513</v>
      </c>
      <c r="B37" s="88">
        <f>IF($BE37=0,NA(),SUMIFS(Entries!$D$2:$D$5000,Entries!$C$2:$C$5000,"Income",Entries!$A$2:$A$5000,$A37))</f>
        <v/>
      </c>
      <c r="C37" s="88">
        <f>IF($BE37=0,"",SUMIFS(Entries!$D$2:$D$5000,Entries!$C$2:$C$5000,"Actual",Entries!$A$2:$A$5000,$A37))</f>
        <v/>
      </c>
      <c r="D37" s="88">
        <f>IF($BE37=0,"",SUMIFS(Entries!$D$2:$D$5000,Entries!$C$2:$C$5000,"One-off",Entries!$A$2:$A$5000,$A37))</f>
        <v/>
      </c>
      <c r="E37" s="88">
        <f>IF($BE37=0,NA(),C37+D37)</f>
        <v/>
      </c>
      <c r="F37" s="88">
        <f>IF($BE37=0,"",SUM(AJ37:BC37))</f>
        <v/>
      </c>
      <c r="G37" s="88">
        <f>IF($BE37=0,"",B37-E37)</f>
        <v/>
      </c>
      <c r="H37" s="88">
        <f>IF($BE37=0,"",SUM($G$2:G37))</f>
        <v/>
      </c>
      <c r="I37" s="88">
        <f>IF($BE37=0,"",SUMIFS(Entries!$F$2:$F$5000,Entries!$A$2:$A$5000,$A37))</f>
        <v/>
      </c>
      <c r="J37" s="88">
        <f>IF($BE37=0,NA(),H37+SUM($I$2:I37))</f>
        <v/>
      </c>
      <c r="K37" s="88">
        <f>IF($BE37=0,"",SUMIFS(Entries!$D$2:$D$5000,Entries!$C$2:$C$5000,"Income",Entries!$A$2:$A$5000,"&gt;="&amp;EDATE($A37,-11),Entries!$A$2:$A$5000,"&lt;="&amp;$A37)/12)</f>
        <v/>
      </c>
      <c r="L37" s="88">
        <f>IF($BE37=0,"",(SUMIFS(Entries!$D$2:$D$5000,Entries!$C$2:$C$5000,"Actual",Entries!$A$2:$A$5000,"&gt;="&amp;EDATE($A37,-11),Entries!$A$2:$A$5000,"&lt;="&amp;$A37)+SUMIFS(Entries!$D$2:$D$5000,Entries!$C$2:$C$5000,"One-off",Entries!$A$2:$A$5000,"&gt;="&amp;EDATE($A37,-11),Entries!$A$2:$A$5000,"&lt;="&amp;$A37))/12)</f>
        <v/>
      </c>
      <c r="M37" s="70">
        <f>IF($BE37=0,NA(),IFERROR((K37-L37)/K37,0))</f>
        <v/>
      </c>
      <c r="O37" s="88">
        <f>IF(OR(O$1="",$BE37=0),"",SUMIFS(Entries!$D$2:$D$5000,Entries!$C$2:$C$5000,"Actual",Entries!$A$2:$A$5000,$A37,Entries!$B$2:$B$5000,O$1))</f>
        <v/>
      </c>
      <c r="P37" s="88">
        <f>IF(OR(P$1="",$BE37=0),"",SUMIFS(Entries!$D$2:$D$5000,Entries!$C$2:$C$5000,"Actual",Entries!$A$2:$A$5000,$A37,Entries!$B$2:$B$5000,P$1))</f>
        <v/>
      </c>
      <c r="Q37" s="88">
        <f>IF(OR(Q$1="",$BE37=0),"",SUMIFS(Entries!$D$2:$D$5000,Entries!$C$2:$C$5000,"Actual",Entries!$A$2:$A$5000,$A37,Entries!$B$2:$B$5000,Q$1))</f>
        <v/>
      </c>
      <c r="R37" s="88">
        <f>IF(OR(R$1="",$BE37=0),"",SUMIFS(Entries!$D$2:$D$5000,Entries!$C$2:$C$5000,"Actual",Entries!$A$2:$A$5000,$A37,Entries!$B$2:$B$5000,R$1))</f>
        <v/>
      </c>
      <c r="S37" s="88">
        <f>IF(OR(S$1="",$BE37=0),"",SUMIFS(Entries!$D$2:$D$5000,Entries!$C$2:$C$5000,"Actual",Entries!$A$2:$A$5000,$A37,Entries!$B$2:$B$5000,S$1))</f>
        <v/>
      </c>
      <c r="T37" s="88">
        <f>IF(OR(T$1="",$BE37=0),"",SUMIFS(Entries!$D$2:$D$5000,Entries!$C$2:$C$5000,"Actual",Entries!$A$2:$A$5000,$A37,Entries!$B$2:$B$5000,T$1))</f>
        <v/>
      </c>
      <c r="U37" s="88">
        <f>IF(OR(U$1="",$BE37=0),"",SUMIFS(Entries!$D$2:$D$5000,Entries!$C$2:$C$5000,"Actual",Entries!$A$2:$A$5000,$A37,Entries!$B$2:$B$5000,U$1))</f>
        <v/>
      </c>
      <c r="V37" s="88">
        <f>IF(OR(V$1="",$BE37=0),"",SUMIFS(Entries!$D$2:$D$5000,Entries!$C$2:$C$5000,"Actual",Entries!$A$2:$A$5000,$A37,Entries!$B$2:$B$5000,V$1))</f>
        <v/>
      </c>
      <c r="W37" s="88">
        <f>IF(OR(W$1="",$BE37=0),"",SUMIFS(Entries!$D$2:$D$5000,Entries!$C$2:$C$5000,"Actual",Entries!$A$2:$A$5000,$A37,Entries!$B$2:$B$5000,W$1))</f>
        <v/>
      </c>
      <c r="X37" s="88">
        <f>IF(OR(X$1="",$BE37=0),"",SUMIFS(Entries!$D$2:$D$5000,Entries!$C$2:$C$5000,"Actual",Entries!$A$2:$A$5000,$A37,Entries!$B$2:$B$5000,X$1))</f>
        <v/>
      </c>
      <c r="Y37" s="88">
        <f>IF(OR(Y$1="",$BE37=0),"",SUMIFS(Entries!$D$2:$D$5000,Entries!$C$2:$C$5000,"Actual",Entries!$A$2:$A$5000,$A37,Entries!$B$2:$B$5000,Y$1))</f>
        <v/>
      </c>
      <c r="Z37" s="88">
        <f>IF(OR(Z$1="",$BE37=0),"",SUMIFS(Entries!$D$2:$D$5000,Entries!$C$2:$C$5000,"Actual",Entries!$A$2:$A$5000,$A37,Entries!$B$2:$B$5000,Z$1))</f>
        <v/>
      </c>
      <c r="AA37" s="88">
        <f>IF(OR(AA$1="",$BE37=0),"",SUMIFS(Entries!$D$2:$D$5000,Entries!$C$2:$C$5000,"Actual",Entries!$A$2:$A$5000,$A37,Entries!$B$2:$B$5000,AA$1))</f>
        <v/>
      </c>
      <c r="AB37" s="88">
        <f>IF(OR(AB$1="",$BE37=0),"",SUMIFS(Entries!$D$2:$D$5000,Entries!$C$2:$C$5000,"Actual",Entries!$A$2:$A$5000,$A37,Entries!$B$2:$B$5000,AB$1))</f>
        <v/>
      </c>
      <c r="AC37" s="88">
        <f>IF(OR(AC$1="",$BE37=0),"",SUMIFS(Entries!$D$2:$D$5000,Entries!$C$2:$C$5000,"Actual",Entries!$A$2:$A$5000,$A37,Entries!$B$2:$B$5000,AC$1))</f>
        <v/>
      </c>
      <c r="AD37" s="88">
        <f>IF(OR(AD$1="",$BE37=0),"",SUMIFS(Entries!$D$2:$D$5000,Entries!$C$2:$C$5000,"Actual",Entries!$A$2:$A$5000,$A37,Entries!$B$2:$B$5000,AD$1))</f>
        <v/>
      </c>
      <c r="AE37" s="88">
        <f>IF(OR(AE$1="",$BE37=0),"",SUMIFS(Entries!$D$2:$D$5000,Entries!$C$2:$C$5000,"Actual",Entries!$A$2:$A$5000,$A37,Entries!$B$2:$B$5000,AE$1))</f>
        <v/>
      </c>
      <c r="AF37" s="88">
        <f>IF(OR(AF$1="",$BE37=0),"",SUMIFS(Entries!$D$2:$D$5000,Entries!$C$2:$C$5000,"Actual",Entries!$A$2:$A$5000,$A37,Entries!$B$2:$B$5000,AF$1))</f>
        <v/>
      </c>
      <c r="AG37" s="88">
        <f>IF(OR(AG$1="",$BE37=0),"",SUMIFS(Entries!$D$2:$D$5000,Entries!$C$2:$C$5000,"Actual",Entries!$A$2:$A$5000,$A37,Entries!$B$2:$B$5000,AG$1))</f>
        <v/>
      </c>
      <c r="AH37" s="88">
        <f>IF(OR(AH$1="",$BE37=0),"",SUMIFS(Entries!$D$2:$D$5000,Entries!$C$2:$C$5000,"Actual",Entries!$A$2:$A$5000,$A37,Entries!$B$2:$B$5000,AH$1))</f>
        <v/>
      </c>
      <c r="AJ37" s="88">
        <f>IF(OR(AJ$1="",$BE37=0),"",IFERROR(LOOKUP(2,1/((Budgets!$A$2:$A$200=AJ$1)*(Budgets!$B$2:$B$200&lt;=$A37)),Budgets!$C$2:$C$200),0))</f>
        <v/>
      </c>
      <c r="AK37" s="88">
        <f>IF(OR(AK$1="",$BE37=0),"",IFERROR(LOOKUP(2,1/((Budgets!$A$2:$A$200=AK$1)*(Budgets!$B$2:$B$200&lt;=$A37)),Budgets!$C$2:$C$200),0))</f>
        <v/>
      </c>
      <c r="AL37" s="88">
        <f>IF(OR(AL$1="",$BE37=0),"",IFERROR(LOOKUP(2,1/((Budgets!$A$2:$A$200=AL$1)*(Budgets!$B$2:$B$200&lt;=$A37)),Budgets!$C$2:$C$200),0))</f>
        <v/>
      </c>
      <c r="AM37" s="88">
        <f>IF(OR(AM$1="",$BE37=0),"",IFERROR(LOOKUP(2,1/((Budgets!$A$2:$A$200=AM$1)*(Budgets!$B$2:$B$200&lt;=$A37)),Budgets!$C$2:$C$200),0))</f>
        <v/>
      </c>
      <c r="AN37" s="88">
        <f>IF(OR(AN$1="",$BE37=0),"",IFERROR(LOOKUP(2,1/((Budgets!$A$2:$A$200=AN$1)*(Budgets!$B$2:$B$200&lt;=$A37)),Budgets!$C$2:$C$200),0))</f>
        <v/>
      </c>
      <c r="AO37" s="88">
        <f>IF(OR(AO$1="",$BE37=0),"",IFERROR(LOOKUP(2,1/((Budgets!$A$2:$A$200=AO$1)*(Budgets!$B$2:$B$200&lt;=$A37)),Budgets!$C$2:$C$200),0))</f>
        <v/>
      </c>
      <c r="AP37" s="88">
        <f>IF(OR(AP$1="",$BE37=0),"",IFERROR(LOOKUP(2,1/((Budgets!$A$2:$A$200=AP$1)*(Budgets!$B$2:$B$200&lt;=$A37)),Budgets!$C$2:$C$200),0))</f>
        <v/>
      </c>
      <c r="AQ37" s="88">
        <f>IF(OR(AQ$1="",$BE37=0),"",IFERROR(LOOKUP(2,1/((Budgets!$A$2:$A$200=AQ$1)*(Budgets!$B$2:$B$200&lt;=$A37)),Budgets!$C$2:$C$200),0))</f>
        <v/>
      </c>
      <c r="AR37" s="88">
        <f>IF(OR(AR$1="",$BE37=0),"",IFERROR(LOOKUP(2,1/((Budgets!$A$2:$A$200=AR$1)*(Budgets!$B$2:$B$200&lt;=$A37)),Budgets!$C$2:$C$200),0))</f>
        <v/>
      </c>
      <c r="AS37" s="88">
        <f>IF(OR(AS$1="",$BE37=0),"",IFERROR(LOOKUP(2,1/((Budgets!$A$2:$A$200=AS$1)*(Budgets!$B$2:$B$200&lt;=$A37)),Budgets!$C$2:$C$200),0))</f>
        <v/>
      </c>
      <c r="AT37" s="88">
        <f>IF(OR(AT$1="",$BE37=0),"",IFERROR(LOOKUP(2,1/((Budgets!$A$2:$A$200=AT$1)*(Budgets!$B$2:$B$200&lt;=$A37)),Budgets!$C$2:$C$200),0))</f>
        <v/>
      </c>
      <c r="AU37" s="88">
        <f>IF(OR(AU$1="",$BE37=0),"",IFERROR(LOOKUP(2,1/((Budgets!$A$2:$A$200=AU$1)*(Budgets!$B$2:$B$200&lt;=$A37)),Budgets!$C$2:$C$200),0))</f>
        <v/>
      </c>
      <c r="AV37" s="88">
        <f>IF(OR(AV$1="",$BE37=0),"",IFERROR(LOOKUP(2,1/((Budgets!$A$2:$A$200=AV$1)*(Budgets!$B$2:$B$200&lt;=$A37)),Budgets!$C$2:$C$200),0))</f>
        <v/>
      </c>
      <c r="AW37" s="88">
        <f>IF(OR(AW$1="",$BE37=0),"",IFERROR(LOOKUP(2,1/((Budgets!$A$2:$A$200=AW$1)*(Budgets!$B$2:$B$200&lt;=$A37)),Budgets!$C$2:$C$200),0))</f>
        <v/>
      </c>
      <c r="AX37" s="88">
        <f>IF(OR(AX$1="",$BE37=0),"",IFERROR(LOOKUP(2,1/((Budgets!$A$2:$A$200=AX$1)*(Budgets!$B$2:$B$200&lt;=$A37)),Budgets!$C$2:$C$200),0))</f>
        <v/>
      </c>
      <c r="AY37" s="88">
        <f>IF(OR(AY$1="",$BE37=0),"",IFERROR(LOOKUP(2,1/((Budgets!$A$2:$A$200=AY$1)*(Budgets!$B$2:$B$200&lt;=$A37)),Budgets!$C$2:$C$200),0))</f>
        <v/>
      </c>
      <c r="AZ37" s="88">
        <f>IF(OR(AZ$1="",$BE37=0),"",IFERROR(LOOKUP(2,1/((Budgets!$A$2:$A$200=AZ$1)*(Budgets!$B$2:$B$200&lt;=$A37)),Budgets!$C$2:$C$200),0))</f>
        <v/>
      </c>
      <c r="BA37" s="88">
        <f>IF(OR(BA$1="",$BE37=0),"",IFERROR(LOOKUP(2,1/((Budgets!$A$2:$A$200=BA$1)*(Budgets!$B$2:$B$200&lt;=$A37)),Budgets!$C$2:$C$200),0))</f>
        <v/>
      </c>
      <c r="BB37" s="88">
        <f>IF(OR(BB$1="",$BE37=0),"",IFERROR(LOOKUP(2,1/((Budgets!$A$2:$A$200=BB$1)*(Budgets!$B$2:$B$200&lt;=$A37)),Budgets!$C$2:$C$200),0))</f>
        <v/>
      </c>
      <c r="BC37" s="88">
        <f>IF(OR(BC$1="",$BE37=0),"",IFERROR(LOOKUP(2,1/((Budgets!$A$2:$A$200=BC$1)*(Budgets!$B$2:$B$200&lt;=$A37)),Budgets!$C$2:$C$200),0))</f>
        <v/>
      </c>
      <c r="BE37" s="67">
        <f>COUNTIFS(Entries!$A$2:$A$5000,$A37)</f>
        <v/>
      </c>
    </row>
    <row r="38" ht="15" customHeight="1" s="43">
      <c r="A38" s="87" t="n">
        <v>40544</v>
      </c>
      <c r="B38" s="88">
        <f>IF($BE38=0,NA(),SUMIFS(Entries!$D$2:$D$5000,Entries!$C$2:$C$5000,"Income",Entries!$A$2:$A$5000,$A38))</f>
        <v/>
      </c>
      <c r="C38" s="88">
        <f>IF($BE38=0,"",SUMIFS(Entries!$D$2:$D$5000,Entries!$C$2:$C$5000,"Actual",Entries!$A$2:$A$5000,$A38))</f>
        <v/>
      </c>
      <c r="D38" s="88">
        <f>IF($BE38=0,"",SUMIFS(Entries!$D$2:$D$5000,Entries!$C$2:$C$5000,"One-off",Entries!$A$2:$A$5000,$A38))</f>
        <v/>
      </c>
      <c r="E38" s="88">
        <f>IF($BE38=0,NA(),C38+D38)</f>
        <v/>
      </c>
      <c r="F38" s="88">
        <f>IF($BE38=0,"",SUM(AJ38:BC38))</f>
        <v/>
      </c>
      <c r="G38" s="88">
        <f>IF($BE38=0,"",B38-E38)</f>
        <v/>
      </c>
      <c r="H38" s="88">
        <f>IF($BE38=0,"",SUM($G$2:G38))</f>
        <v/>
      </c>
      <c r="I38" s="88">
        <f>IF($BE38=0,"",SUMIFS(Entries!$F$2:$F$5000,Entries!$A$2:$A$5000,$A38))</f>
        <v/>
      </c>
      <c r="J38" s="88">
        <f>IF($BE38=0,NA(),H38+SUM($I$2:I38))</f>
        <v/>
      </c>
      <c r="K38" s="88">
        <f>IF($BE38=0,"",SUMIFS(Entries!$D$2:$D$5000,Entries!$C$2:$C$5000,"Income",Entries!$A$2:$A$5000,"&gt;="&amp;EDATE($A38,-11),Entries!$A$2:$A$5000,"&lt;="&amp;$A38)/12)</f>
        <v/>
      </c>
      <c r="L38" s="88">
        <f>IF($BE38=0,"",(SUMIFS(Entries!$D$2:$D$5000,Entries!$C$2:$C$5000,"Actual",Entries!$A$2:$A$5000,"&gt;="&amp;EDATE($A38,-11),Entries!$A$2:$A$5000,"&lt;="&amp;$A38)+SUMIFS(Entries!$D$2:$D$5000,Entries!$C$2:$C$5000,"One-off",Entries!$A$2:$A$5000,"&gt;="&amp;EDATE($A38,-11),Entries!$A$2:$A$5000,"&lt;="&amp;$A38))/12)</f>
        <v/>
      </c>
      <c r="M38" s="70">
        <f>IF($BE38=0,NA(),IFERROR((K38-L38)/K38,0))</f>
        <v/>
      </c>
      <c r="O38" s="88">
        <f>IF(OR(O$1="",$BE38=0),"",SUMIFS(Entries!$D$2:$D$5000,Entries!$C$2:$C$5000,"Actual",Entries!$A$2:$A$5000,$A38,Entries!$B$2:$B$5000,O$1))</f>
        <v/>
      </c>
      <c r="P38" s="88">
        <f>IF(OR(P$1="",$BE38=0),"",SUMIFS(Entries!$D$2:$D$5000,Entries!$C$2:$C$5000,"Actual",Entries!$A$2:$A$5000,$A38,Entries!$B$2:$B$5000,P$1))</f>
        <v/>
      </c>
      <c r="Q38" s="88">
        <f>IF(OR(Q$1="",$BE38=0),"",SUMIFS(Entries!$D$2:$D$5000,Entries!$C$2:$C$5000,"Actual",Entries!$A$2:$A$5000,$A38,Entries!$B$2:$B$5000,Q$1))</f>
        <v/>
      </c>
      <c r="R38" s="88">
        <f>IF(OR(R$1="",$BE38=0),"",SUMIFS(Entries!$D$2:$D$5000,Entries!$C$2:$C$5000,"Actual",Entries!$A$2:$A$5000,$A38,Entries!$B$2:$B$5000,R$1))</f>
        <v/>
      </c>
      <c r="S38" s="88">
        <f>IF(OR(S$1="",$BE38=0),"",SUMIFS(Entries!$D$2:$D$5000,Entries!$C$2:$C$5000,"Actual",Entries!$A$2:$A$5000,$A38,Entries!$B$2:$B$5000,S$1))</f>
        <v/>
      </c>
      <c r="T38" s="88">
        <f>IF(OR(T$1="",$BE38=0),"",SUMIFS(Entries!$D$2:$D$5000,Entries!$C$2:$C$5000,"Actual",Entries!$A$2:$A$5000,$A38,Entries!$B$2:$B$5000,T$1))</f>
        <v/>
      </c>
      <c r="U38" s="88">
        <f>IF(OR(U$1="",$BE38=0),"",SUMIFS(Entries!$D$2:$D$5000,Entries!$C$2:$C$5000,"Actual",Entries!$A$2:$A$5000,$A38,Entries!$B$2:$B$5000,U$1))</f>
        <v/>
      </c>
      <c r="V38" s="88">
        <f>IF(OR(V$1="",$BE38=0),"",SUMIFS(Entries!$D$2:$D$5000,Entries!$C$2:$C$5000,"Actual",Entries!$A$2:$A$5000,$A38,Entries!$B$2:$B$5000,V$1))</f>
        <v/>
      </c>
      <c r="W38" s="88">
        <f>IF(OR(W$1="",$BE38=0),"",SUMIFS(Entries!$D$2:$D$5000,Entries!$C$2:$C$5000,"Actual",Entries!$A$2:$A$5000,$A38,Entries!$B$2:$B$5000,W$1))</f>
        <v/>
      </c>
      <c r="X38" s="88">
        <f>IF(OR(X$1="",$BE38=0),"",SUMIFS(Entries!$D$2:$D$5000,Entries!$C$2:$C$5000,"Actual",Entries!$A$2:$A$5000,$A38,Entries!$B$2:$B$5000,X$1))</f>
        <v/>
      </c>
      <c r="Y38" s="88">
        <f>IF(OR(Y$1="",$BE38=0),"",SUMIFS(Entries!$D$2:$D$5000,Entries!$C$2:$C$5000,"Actual",Entries!$A$2:$A$5000,$A38,Entries!$B$2:$B$5000,Y$1))</f>
        <v/>
      </c>
      <c r="Z38" s="88">
        <f>IF(OR(Z$1="",$BE38=0),"",SUMIFS(Entries!$D$2:$D$5000,Entries!$C$2:$C$5000,"Actual",Entries!$A$2:$A$5000,$A38,Entries!$B$2:$B$5000,Z$1))</f>
        <v/>
      </c>
      <c r="AA38" s="88">
        <f>IF(OR(AA$1="",$BE38=0),"",SUMIFS(Entries!$D$2:$D$5000,Entries!$C$2:$C$5000,"Actual",Entries!$A$2:$A$5000,$A38,Entries!$B$2:$B$5000,AA$1))</f>
        <v/>
      </c>
      <c r="AB38" s="88">
        <f>IF(OR(AB$1="",$BE38=0),"",SUMIFS(Entries!$D$2:$D$5000,Entries!$C$2:$C$5000,"Actual",Entries!$A$2:$A$5000,$A38,Entries!$B$2:$B$5000,AB$1))</f>
        <v/>
      </c>
      <c r="AC38" s="88">
        <f>IF(OR(AC$1="",$BE38=0),"",SUMIFS(Entries!$D$2:$D$5000,Entries!$C$2:$C$5000,"Actual",Entries!$A$2:$A$5000,$A38,Entries!$B$2:$B$5000,AC$1))</f>
        <v/>
      </c>
      <c r="AD38" s="88">
        <f>IF(OR(AD$1="",$BE38=0),"",SUMIFS(Entries!$D$2:$D$5000,Entries!$C$2:$C$5000,"Actual",Entries!$A$2:$A$5000,$A38,Entries!$B$2:$B$5000,AD$1))</f>
        <v/>
      </c>
      <c r="AE38" s="88">
        <f>IF(OR(AE$1="",$BE38=0),"",SUMIFS(Entries!$D$2:$D$5000,Entries!$C$2:$C$5000,"Actual",Entries!$A$2:$A$5000,$A38,Entries!$B$2:$B$5000,AE$1))</f>
        <v/>
      </c>
      <c r="AF38" s="88">
        <f>IF(OR(AF$1="",$BE38=0),"",SUMIFS(Entries!$D$2:$D$5000,Entries!$C$2:$C$5000,"Actual",Entries!$A$2:$A$5000,$A38,Entries!$B$2:$B$5000,AF$1))</f>
        <v/>
      </c>
      <c r="AG38" s="88">
        <f>IF(OR(AG$1="",$BE38=0),"",SUMIFS(Entries!$D$2:$D$5000,Entries!$C$2:$C$5000,"Actual",Entries!$A$2:$A$5000,$A38,Entries!$B$2:$B$5000,AG$1))</f>
        <v/>
      </c>
      <c r="AH38" s="88">
        <f>IF(OR(AH$1="",$BE38=0),"",SUMIFS(Entries!$D$2:$D$5000,Entries!$C$2:$C$5000,"Actual",Entries!$A$2:$A$5000,$A38,Entries!$B$2:$B$5000,AH$1))</f>
        <v/>
      </c>
      <c r="AJ38" s="88">
        <f>IF(OR(AJ$1="",$BE38=0),"",IFERROR(LOOKUP(2,1/((Budgets!$A$2:$A$200=AJ$1)*(Budgets!$B$2:$B$200&lt;=$A38)),Budgets!$C$2:$C$200),0))</f>
        <v/>
      </c>
      <c r="AK38" s="88">
        <f>IF(OR(AK$1="",$BE38=0),"",IFERROR(LOOKUP(2,1/((Budgets!$A$2:$A$200=AK$1)*(Budgets!$B$2:$B$200&lt;=$A38)),Budgets!$C$2:$C$200),0))</f>
        <v/>
      </c>
      <c r="AL38" s="88">
        <f>IF(OR(AL$1="",$BE38=0),"",IFERROR(LOOKUP(2,1/((Budgets!$A$2:$A$200=AL$1)*(Budgets!$B$2:$B$200&lt;=$A38)),Budgets!$C$2:$C$200),0))</f>
        <v/>
      </c>
      <c r="AM38" s="88">
        <f>IF(OR(AM$1="",$BE38=0),"",IFERROR(LOOKUP(2,1/((Budgets!$A$2:$A$200=AM$1)*(Budgets!$B$2:$B$200&lt;=$A38)),Budgets!$C$2:$C$200),0))</f>
        <v/>
      </c>
      <c r="AN38" s="88">
        <f>IF(OR(AN$1="",$BE38=0),"",IFERROR(LOOKUP(2,1/((Budgets!$A$2:$A$200=AN$1)*(Budgets!$B$2:$B$200&lt;=$A38)),Budgets!$C$2:$C$200),0))</f>
        <v/>
      </c>
      <c r="AO38" s="88">
        <f>IF(OR(AO$1="",$BE38=0),"",IFERROR(LOOKUP(2,1/((Budgets!$A$2:$A$200=AO$1)*(Budgets!$B$2:$B$200&lt;=$A38)),Budgets!$C$2:$C$200),0))</f>
        <v/>
      </c>
      <c r="AP38" s="88">
        <f>IF(OR(AP$1="",$BE38=0),"",IFERROR(LOOKUP(2,1/((Budgets!$A$2:$A$200=AP$1)*(Budgets!$B$2:$B$200&lt;=$A38)),Budgets!$C$2:$C$200),0))</f>
        <v/>
      </c>
      <c r="AQ38" s="88">
        <f>IF(OR(AQ$1="",$BE38=0),"",IFERROR(LOOKUP(2,1/((Budgets!$A$2:$A$200=AQ$1)*(Budgets!$B$2:$B$200&lt;=$A38)),Budgets!$C$2:$C$200),0))</f>
        <v/>
      </c>
      <c r="AR38" s="88">
        <f>IF(OR(AR$1="",$BE38=0),"",IFERROR(LOOKUP(2,1/((Budgets!$A$2:$A$200=AR$1)*(Budgets!$B$2:$B$200&lt;=$A38)),Budgets!$C$2:$C$200),0))</f>
        <v/>
      </c>
      <c r="AS38" s="88">
        <f>IF(OR(AS$1="",$BE38=0),"",IFERROR(LOOKUP(2,1/((Budgets!$A$2:$A$200=AS$1)*(Budgets!$B$2:$B$200&lt;=$A38)),Budgets!$C$2:$C$200),0))</f>
        <v/>
      </c>
      <c r="AT38" s="88">
        <f>IF(OR(AT$1="",$BE38=0),"",IFERROR(LOOKUP(2,1/((Budgets!$A$2:$A$200=AT$1)*(Budgets!$B$2:$B$200&lt;=$A38)),Budgets!$C$2:$C$200),0))</f>
        <v/>
      </c>
      <c r="AU38" s="88">
        <f>IF(OR(AU$1="",$BE38=0),"",IFERROR(LOOKUP(2,1/((Budgets!$A$2:$A$200=AU$1)*(Budgets!$B$2:$B$200&lt;=$A38)),Budgets!$C$2:$C$200),0))</f>
        <v/>
      </c>
      <c r="AV38" s="88">
        <f>IF(OR(AV$1="",$BE38=0),"",IFERROR(LOOKUP(2,1/((Budgets!$A$2:$A$200=AV$1)*(Budgets!$B$2:$B$200&lt;=$A38)),Budgets!$C$2:$C$200),0))</f>
        <v/>
      </c>
      <c r="AW38" s="88">
        <f>IF(OR(AW$1="",$BE38=0),"",IFERROR(LOOKUP(2,1/((Budgets!$A$2:$A$200=AW$1)*(Budgets!$B$2:$B$200&lt;=$A38)),Budgets!$C$2:$C$200),0))</f>
        <v/>
      </c>
      <c r="AX38" s="88">
        <f>IF(OR(AX$1="",$BE38=0),"",IFERROR(LOOKUP(2,1/((Budgets!$A$2:$A$200=AX$1)*(Budgets!$B$2:$B$200&lt;=$A38)),Budgets!$C$2:$C$200),0))</f>
        <v/>
      </c>
      <c r="AY38" s="88">
        <f>IF(OR(AY$1="",$BE38=0),"",IFERROR(LOOKUP(2,1/((Budgets!$A$2:$A$200=AY$1)*(Budgets!$B$2:$B$200&lt;=$A38)),Budgets!$C$2:$C$200),0))</f>
        <v/>
      </c>
      <c r="AZ38" s="88">
        <f>IF(OR(AZ$1="",$BE38=0),"",IFERROR(LOOKUP(2,1/((Budgets!$A$2:$A$200=AZ$1)*(Budgets!$B$2:$B$200&lt;=$A38)),Budgets!$C$2:$C$200),0))</f>
        <v/>
      </c>
      <c r="BA38" s="88">
        <f>IF(OR(BA$1="",$BE38=0),"",IFERROR(LOOKUP(2,1/((Budgets!$A$2:$A$200=BA$1)*(Budgets!$B$2:$B$200&lt;=$A38)),Budgets!$C$2:$C$200),0))</f>
        <v/>
      </c>
      <c r="BB38" s="88">
        <f>IF(OR(BB$1="",$BE38=0),"",IFERROR(LOOKUP(2,1/((Budgets!$A$2:$A$200=BB$1)*(Budgets!$B$2:$B$200&lt;=$A38)),Budgets!$C$2:$C$200),0))</f>
        <v/>
      </c>
      <c r="BC38" s="88">
        <f>IF(OR(BC$1="",$BE38=0),"",IFERROR(LOOKUP(2,1/((Budgets!$A$2:$A$200=BC$1)*(Budgets!$B$2:$B$200&lt;=$A38)),Budgets!$C$2:$C$200),0))</f>
        <v/>
      </c>
      <c r="BE38" s="67">
        <f>COUNTIFS(Entries!$A$2:$A$5000,$A38)</f>
        <v/>
      </c>
    </row>
    <row r="39" ht="15" customHeight="1" s="43">
      <c r="A39" s="87" t="n">
        <v>40575</v>
      </c>
      <c r="B39" s="88">
        <f>IF($BE39=0,NA(),SUMIFS(Entries!$D$2:$D$5000,Entries!$C$2:$C$5000,"Income",Entries!$A$2:$A$5000,$A39))</f>
        <v/>
      </c>
      <c r="C39" s="88">
        <f>IF($BE39=0,"",SUMIFS(Entries!$D$2:$D$5000,Entries!$C$2:$C$5000,"Actual",Entries!$A$2:$A$5000,$A39))</f>
        <v/>
      </c>
      <c r="D39" s="88">
        <f>IF($BE39=0,"",SUMIFS(Entries!$D$2:$D$5000,Entries!$C$2:$C$5000,"One-off",Entries!$A$2:$A$5000,$A39))</f>
        <v/>
      </c>
      <c r="E39" s="88">
        <f>IF($BE39=0,NA(),C39+D39)</f>
        <v/>
      </c>
      <c r="F39" s="88">
        <f>IF($BE39=0,"",SUM(AJ39:BC39))</f>
        <v/>
      </c>
      <c r="G39" s="88">
        <f>IF($BE39=0,"",B39-E39)</f>
        <v/>
      </c>
      <c r="H39" s="88">
        <f>IF($BE39=0,"",SUM($G$2:G39))</f>
        <v/>
      </c>
      <c r="I39" s="88">
        <f>IF($BE39=0,"",SUMIFS(Entries!$F$2:$F$5000,Entries!$A$2:$A$5000,$A39))</f>
        <v/>
      </c>
      <c r="J39" s="88">
        <f>IF($BE39=0,NA(),H39+SUM($I$2:I39))</f>
        <v/>
      </c>
      <c r="K39" s="88">
        <f>IF($BE39=0,"",SUMIFS(Entries!$D$2:$D$5000,Entries!$C$2:$C$5000,"Income",Entries!$A$2:$A$5000,"&gt;="&amp;EDATE($A39,-11),Entries!$A$2:$A$5000,"&lt;="&amp;$A39)/12)</f>
        <v/>
      </c>
      <c r="L39" s="88">
        <f>IF($BE39=0,"",(SUMIFS(Entries!$D$2:$D$5000,Entries!$C$2:$C$5000,"Actual",Entries!$A$2:$A$5000,"&gt;="&amp;EDATE($A39,-11),Entries!$A$2:$A$5000,"&lt;="&amp;$A39)+SUMIFS(Entries!$D$2:$D$5000,Entries!$C$2:$C$5000,"One-off",Entries!$A$2:$A$5000,"&gt;="&amp;EDATE($A39,-11),Entries!$A$2:$A$5000,"&lt;="&amp;$A39))/12)</f>
        <v/>
      </c>
      <c r="M39" s="70">
        <f>IF($BE39=0,NA(),IFERROR((K39-L39)/K39,0))</f>
        <v/>
      </c>
      <c r="O39" s="88">
        <f>IF(OR(O$1="",$BE39=0),"",SUMIFS(Entries!$D$2:$D$5000,Entries!$C$2:$C$5000,"Actual",Entries!$A$2:$A$5000,$A39,Entries!$B$2:$B$5000,O$1))</f>
        <v/>
      </c>
      <c r="P39" s="88">
        <f>IF(OR(P$1="",$BE39=0),"",SUMIFS(Entries!$D$2:$D$5000,Entries!$C$2:$C$5000,"Actual",Entries!$A$2:$A$5000,$A39,Entries!$B$2:$B$5000,P$1))</f>
        <v/>
      </c>
      <c r="Q39" s="88">
        <f>IF(OR(Q$1="",$BE39=0),"",SUMIFS(Entries!$D$2:$D$5000,Entries!$C$2:$C$5000,"Actual",Entries!$A$2:$A$5000,$A39,Entries!$B$2:$B$5000,Q$1))</f>
        <v/>
      </c>
      <c r="R39" s="88">
        <f>IF(OR(R$1="",$BE39=0),"",SUMIFS(Entries!$D$2:$D$5000,Entries!$C$2:$C$5000,"Actual",Entries!$A$2:$A$5000,$A39,Entries!$B$2:$B$5000,R$1))</f>
        <v/>
      </c>
      <c r="S39" s="88">
        <f>IF(OR(S$1="",$BE39=0),"",SUMIFS(Entries!$D$2:$D$5000,Entries!$C$2:$C$5000,"Actual",Entries!$A$2:$A$5000,$A39,Entries!$B$2:$B$5000,S$1))</f>
        <v/>
      </c>
      <c r="T39" s="88">
        <f>IF(OR(T$1="",$BE39=0),"",SUMIFS(Entries!$D$2:$D$5000,Entries!$C$2:$C$5000,"Actual",Entries!$A$2:$A$5000,$A39,Entries!$B$2:$B$5000,T$1))</f>
        <v/>
      </c>
      <c r="U39" s="88">
        <f>IF(OR(U$1="",$BE39=0),"",SUMIFS(Entries!$D$2:$D$5000,Entries!$C$2:$C$5000,"Actual",Entries!$A$2:$A$5000,$A39,Entries!$B$2:$B$5000,U$1))</f>
        <v/>
      </c>
      <c r="V39" s="88">
        <f>IF(OR(V$1="",$BE39=0),"",SUMIFS(Entries!$D$2:$D$5000,Entries!$C$2:$C$5000,"Actual",Entries!$A$2:$A$5000,$A39,Entries!$B$2:$B$5000,V$1))</f>
        <v/>
      </c>
      <c r="W39" s="88">
        <f>IF(OR(W$1="",$BE39=0),"",SUMIFS(Entries!$D$2:$D$5000,Entries!$C$2:$C$5000,"Actual",Entries!$A$2:$A$5000,$A39,Entries!$B$2:$B$5000,W$1))</f>
        <v/>
      </c>
      <c r="X39" s="88">
        <f>IF(OR(X$1="",$BE39=0),"",SUMIFS(Entries!$D$2:$D$5000,Entries!$C$2:$C$5000,"Actual",Entries!$A$2:$A$5000,$A39,Entries!$B$2:$B$5000,X$1))</f>
        <v/>
      </c>
      <c r="Y39" s="88">
        <f>IF(OR(Y$1="",$BE39=0),"",SUMIFS(Entries!$D$2:$D$5000,Entries!$C$2:$C$5000,"Actual",Entries!$A$2:$A$5000,$A39,Entries!$B$2:$B$5000,Y$1))</f>
        <v/>
      </c>
      <c r="Z39" s="88">
        <f>IF(OR(Z$1="",$BE39=0),"",SUMIFS(Entries!$D$2:$D$5000,Entries!$C$2:$C$5000,"Actual",Entries!$A$2:$A$5000,$A39,Entries!$B$2:$B$5000,Z$1))</f>
        <v/>
      </c>
      <c r="AA39" s="88">
        <f>IF(OR(AA$1="",$BE39=0),"",SUMIFS(Entries!$D$2:$D$5000,Entries!$C$2:$C$5000,"Actual",Entries!$A$2:$A$5000,$A39,Entries!$B$2:$B$5000,AA$1))</f>
        <v/>
      </c>
      <c r="AB39" s="88">
        <f>IF(OR(AB$1="",$BE39=0),"",SUMIFS(Entries!$D$2:$D$5000,Entries!$C$2:$C$5000,"Actual",Entries!$A$2:$A$5000,$A39,Entries!$B$2:$B$5000,AB$1))</f>
        <v/>
      </c>
      <c r="AC39" s="88">
        <f>IF(OR(AC$1="",$BE39=0),"",SUMIFS(Entries!$D$2:$D$5000,Entries!$C$2:$C$5000,"Actual",Entries!$A$2:$A$5000,$A39,Entries!$B$2:$B$5000,AC$1))</f>
        <v/>
      </c>
      <c r="AD39" s="88">
        <f>IF(OR(AD$1="",$BE39=0),"",SUMIFS(Entries!$D$2:$D$5000,Entries!$C$2:$C$5000,"Actual",Entries!$A$2:$A$5000,$A39,Entries!$B$2:$B$5000,AD$1))</f>
        <v/>
      </c>
      <c r="AE39" s="88">
        <f>IF(OR(AE$1="",$BE39=0),"",SUMIFS(Entries!$D$2:$D$5000,Entries!$C$2:$C$5000,"Actual",Entries!$A$2:$A$5000,$A39,Entries!$B$2:$B$5000,AE$1))</f>
        <v/>
      </c>
      <c r="AF39" s="88">
        <f>IF(OR(AF$1="",$BE39=0),"",SUMIFS(Entries!$D$2:$D$5000,Entries!$C$2:$C$5000,"Actual",Entries!$A$2:$A$5000,$A39,Entries!$B$2:$B$5000,AF$1))</f>
        <v/>
      </c>
      <c r="AG39" s="88">
        <f>IF(OR(AG$1="",$BE39=0),"",SUMIFS(Entries!$D$2:$D$5000,Entries!$C$2:$C$5000,"Actual",Entries!$A$2:$A$5000,$A39,Entries!$B$2:$B$5000,AG$1))</f>
        <v/>
      </c>
      <c r="AH39" s="88">
        <f>IF(OR(AH$1="",$BE39=0),"",SUMIFS(Entries!$D$2:$D$5000,Entries!$C$2:$C$5000,"Actual",Entries!$A$2:$A$5000,$A39,Entries!$B$2:$B$5000,AH$1))</f>
        <v/>
      </c>
      <c r="AJ39" s="88">
        <f>IF(OR(AJ$1="",$BE39=0),"",IFERROR(LOOKUP(2,1/((Budgets!$A$2:$A$200=AJ$1)*(Budgets!$B$2:$B$200&lt;=$A39)),Budgets!$C$2:$C$200),0))</f>
        <v/>
      </c>
      <c r="AK39" s="88">
        <f>IF(OR(AK$1="",$BE39=0),"",IFERROR(LOOKUP(2,1/((Budgets!$A$2:$A$200=AK$1)*(Budgets!$B$2:$B$200&lt;=$A39)),Budgets!$C$2:$C$200),0))</f>
        <v/>
      </c>
      <c r="AL39" s="88">
        <f>IF(OR(AL$1="",$BE39=0),"",IFERROR(LOOKUP(2,1/((Budgets!$A$2:$A$200=AL$1)*(Budgets!$B$2:$B$200&lt;=$A39)),Budgets!$C$2:$C$200),0))</f>
        <v/>
      </c>
      <c r="AM39" s="88">
        <f>IF(OR(AM$1="",$BE39=0),"",IFERROR(LOOKUP(2,1/((Budgets!$A$2:$A$200=AM$1)*(Budgets!$B$2:$B$200&lt;=$A39)),Budgets!$C$2:$C$200),0))</f>
        <v/>
      </c>
      <c r="AN39" s="88">
        <f>IF(OR(AN$1="",$BE39=0),"",IFERROR(LOOKUP(2,1/((Budgets!$A$2:$A$200=AN$1)*(Budgets!$B$2:$B$200&lt;=$A39)),Budgets!$C$2:$C$200),0))</f>
        <v/>
      </c>
      <c r="AO39" s="88">
        <f>IF(OR(AO$1="",$BE39=0),"",IFERROR(LOOKUP(2,1/((Budgets!$A$2:$A$200=AO$1)*(Budgets!$B$2:$B$200&lt;=$A39)),Budgets!$C$2:$C$200),0))</f>
        <v/>
      </c>
      <c r="AP39" s="88">
        <f>IF(OR(AP$1="",$BE39=0),"",IFERROR(LOOKUP(2,1/((Budgets!$A$2:$A$200=AP$1)*(Budgets!$B$2:$B$200&lt;=$A39)),Budgets!$C$2:$C$200),0))</f>
        <v/>
      </c>
      <c r="AQ39" s="88">
        <f>IF(OR(AQ$1="",$BE39=0),"",IFERROR(LOOKUP(2,1/((Budgets!$A$2:$A$200=AQ$1)*(Budgets!$B$2:$B$200&lt;=$A39)),Budgets!$C$2:$C$200),0))</f>
        <v/>
      </c>
      <c r="AR39" s="88">
        <f>IF(OR(AR$1="",$BE39=0),"",IFERROR(LOOKUP(2,1/((Budgets!$A$2:$A$200=AR$1)*(Budgets!$B$2:$B$200&lt;=$A39)),Budgets!$C$2:$C$200),0))</f>
        <v/>
      </c>
      <c r="AS39" s="88">
        <f>IF(OR(AS$1="",$BE39=0),"",IFERROR(LOOKUP(2,1/((Budgets!$A$2:$A$200=AS$1)*(Budgets!$B$2:$B$200&lt;=$A39)),Budgets!$C$2:$C$200),0))</f>
        <v/>
      </c>
      <c r="AT39" s="88">
        <f>IF(OR(AT$1="",$BE39=0),"",IFERROR(LOOKUP(2,1/((Budgets!$A$2:$A$200=AT$1)*(Budgets!$B$2:$B$200&lt;=$A39)),Budgets!$C$2:$C$200),0))</f>
        <v/>
      </c>
      <c r="AU39" s="88">
        <f>IF(OR(AU$1="",$BE39=0),"",IFERROR(LOOKUP(2,1/((Budgets!$A$2:$A$200=AU$1)*(Budgets!$B$2:$B$200&lt;=$A39)),Budgets!$C$2:$C$200),0))</f>
        <v/>
      </c>
      <c r="AV39" s="88">
        <f>IF(OR(AV$1="",$BE39=0),"",IFERROR(LOOKUP(2,1/((Budgets!$A$2:$A$200=AV$1)*(Budgets!$B$2:$B$200&lt;=$A39)),Budgets!$C$2:$C$200),0))</f>
        <v/>
      </c>
      <c r="AW39" s="88">
        <f>IF(OR(AW$1="",$BE39=0),"",IFERROR(LOOKUP(2,1/((Budgets!$A$2:$A$200=AW$1)*(Budgets!$B$2:$B$200&lt;=$A39)),Budgets!$C$2:$C$200),0))</f>
        <v/>
      </c>
      <c r="AX39" s="88">
        <f>IF(OR(AX$1="",$BE39=0),"",IFERROR(LOOKUP(2,1/((Budgets!$A$2:$A$200=AX$1)*(Budgets!$B$2:$B$200&lt;=$A39)),Budgets!$C$2:$C$200),0))</f>
        <v/>
      </c>
      <c r="AY39" s="88">
        <f>IF(OR(AY$1="",$BE39=0),"",IFERROR(LOOKUP(2,1/((Budgets!$A$2:$A$200=AY$1)*(Budgets!$B$2:$B$200&lt;=$A39)),Budgets!$C$2:$C$200),0))</f>
        <v/>
      </c>
      <c r="AZ39" s="88">
        <f>IF(OR(AZ$1="",$BE39=0),"",IFERROR(LOOKUP(2,1/((Budgets!$A$2:$A$200=AZ$1)*(Budgets!$B$2:$B$200&lt;=$A39)),Budgets!$C$2:$C$200),0))</f>
        <v/>
      </c>
      <c r="BA39" s="88">
        <f>IF(OR(BA$1="",$BE39=0),"",IFERROR(LOOKUP(2,1/((Budgets!$A$2:$A$200=BA$1)*(Budgets!$B$2:$B$200&lt;=$A39)),Budgets!$C$2:$C$200),0))</f>
        <v/>
      </c>
      <c r="BB39" s="88">
        <f>IF(OR(BB$1="",$BE39=0),"",IFERROR(LOOKUP(2,1/((Budgets!$A$2:$A$200=BB$1)*(Budgets!$B$2:$B$200&lt;=$A39)),Budgets!$C$2:$C$200),0))</f>
        <v/>
      </c>
      <c r="BC39" s="88">
        <f>IF(OR(BC$1="",$BE39=0),"",IFERROR(LOOKUP(2,1/((Budgets!$A$2:$A$200=BC$1)*(Budgets!$B$2:$B$200&lt;=$A39)),Budgets!$C$2:$C$200),0))</f>
        <v/>
      </c>
      <c r="BE39" s="67">
        <f>COUNTIFS(Entries!$A$2:$A$5000,$A39)</f>
        <v/>
      </c>
    </row>
    <row r="40" ht="15" customHeight="1" s="43">
      <c r="A40" s="87" t="n">
        <v>40603</v>
      </c>
      <c r="B40" s="88">
        <f>IF($BE40=0,NA(),SUMIFS(Entries!$D$2:$D$5000,Entries!$C$2:$C$5000,"Income",Entries!$A$2:$A$5000,$A40))</f>
        <v/>
      </c>
      <c r="C40" s="88">
        <f>IF($BE40=0,"",SUMIFS(Entries!$D$2:$D$5000,Entries!$C$2:$C$5000,"Actual",Entries!$A$2:$A$5000,$A40))</f>
        <v/>
      </c>
      <c r="D40" s="88">
        <f>IF($BE40=0,"",SUMIFS(Entries!$D$2:$D$5000,Entries!$C$2:$C$5000,"One-off",Entries!$A$2:$A$5000,$A40))</f>
        <v/>
      </c>
      <c r="E40" s="88">
        <f>IF($BE40=0,NA(),C40+D40)</f>
        <v/>
      </c>
      <c r="F40" s="88">
        <f>IF($BE40=0,"",SUM(AJ40:BC40))</f>
        <v/>
      </c>
      <c r="G40" s="88">
        <f>IF($BE40=0,"",B40-E40)</f>
        <v/>
      </c>
      <c r="H40" s="88">
        <f>IF($BE40=0,"",SUM($G$2:G40))</f>
        <v/>
      </c>
      <c r="I40" s="88">
        <f>IF($BE40=0,"",SUMIFS(Entries!$F$2:$F$5000,Entries!$A$2:$A$5000,$A40))</f>
        <v/>
      </c>
      <c r="J40" s="88">
        <f>IF($BE40=0,NA(),H40+SUM($I$2:I40))</f>
        <v/>
      </c>
      <c r="K40" s="88">
        <f>IF($BE40=0,"",SUMIFS(Entries!$D$2:$D$5000,Entries!$C$2:$C$5000,"Income",Entries!$A$2:$A$5000,"&gt;="&amp;EDATE($A40,-11),Entries!$A$2:$A$5000,"&lt;="&amp;$A40)/12)</f>
        <v/>
      </c>
      <c r="L40" s="88">
        <f>IF($BE40=0,"",(SUMIFS(Entries!$D$2:$D$5000,Entries!$C$2:$C$5000,"Actual",Entries!$A$2:$A$5000,"&gt;="&amp;EDATE($A40,-11),Entries!$A$2:$A$5000,"&lt;="&amp;$A40)+SUMIFS(Entries!$D$2:$D$5000,Entries!$C$2:$C$5000,"One-off",Entries!$A$2:$A$5000,"&gt;="&amp;EDATE($A40,-11),Entries!$A$2:$A$5000,"&lt;="&amp;$A40))/12)</f>
        <v/>
      </c>
      <c r="M40" s="70">
        <f>IF($BE40=0,NA(),IFERROR((K40-L40)/K40,0))</f>
        <v/>
      </c>
      <c r="O40" s="88">
        <f>IF(OR(O$1="",$BE40=0),"",SUMIFS(Entries!$D$2:$D$5000,Entries!$C$2:$C$5000,"Actual",Entries!$A$2:$A$5000,$A40,Entries!$B$2:$B$5000,O$1))</f>
        <v/>
      </c>
      <c r="P40" s="88">
        <f>IF(OR(P$1="",$BE40=0),"",SUMIFS(Entries!$D$2:$D$5000,Entries!$C$2:$C$5000,"Actual",Entries!$A$2:$A$5000,$A40,Entries!$B$2:$B$5000,P$1))</f>
        <v/>
      </c>
      <c r="Q40" s="88">
        <f>IF(OR(Q$1="",$BE40=0),"",SUMIFS(Entries!$D$2:$D$5000,Entries!$C$2:$C$5000,"Actual",Entries!$A$2:$A$5000,$A40,Entries!$B$2:$B$5000,Q$1))</f>
        <v/>
      </c>
      <c r="R40" s="88">
        <f>IF(OR(R$1="",$BE40=0),"",SUMIFS(Entries!$D$2:$D$5000,Entries!$C$2:$C$5000,"Actual",Entries!$A$2:$A$5000,$A40,Entries!$B$2:$B$5000,R$1))</f>
        <v/>
      </c>
      <c r="S40" s="88">
        <f>IF(OR(S$1="",$BE40=0),"",SUMIFS(Entries!$D$2:$D$5000,Entries!$C$2:$C$5000,"Actual",Entries!$A$2:$A$5000,$A40,Entries!$B$2:$B$5000,S$1))</f>
        <v/>
      </c>
      <c r="T40" s="88">
        <f>IF(OR(T$1="",$BE40=0),"",SUMIFS(Entries!$D$2:$D$5000,Entries!$C$2:$C$5000,"Actual",Entries!$A$2:$A$5000,$A40,Entries!$B$2:$B$5000,T$1))</f>
        <v/>
      </c>
      <c r="U40" s="88">
        <f>IF(OR(U$1="",$BE40=0),"",SUMIFS(Entries!$D$2:$D$5000,Entries!$C$2:$C$5000,"Actual",Entries!$A$2:$A$5000,$A40,Entries!$B$2:$B$5000,U$1))</f>
        <v/>
      </c>
      <c r="V40" s="88">
        <f>IF(OR(V$1="",$BE40=0),"",SUMIFS(Entries!$D$2:$D$5000,Entries!$C$2:$C$5000,"Actual",Entries!$A$2:$A$5000,$A40,Entries!$B$2:$B$5000,V$1))</f>
        <v/>
      </c>
      <c r="W40" s="88">
        <f>IF(OR(W$1="",$BE40=0),"",SUMIFS(Entries!$D$2:$D$5000,Entries!$C$2:$C$5000,"Actual",Entries!$A$2:$A$5000,$A40,Entries!$B$2:$B$5000,W$1))</f>
        <v/>
      </c>
      <c r="X40" s="88">
        <f>IF(OR(X$1="",$BE40=0),"",SUMIFS(Entries!$D$2:$D$5000,Entries!$C$2:$C$5000,"Actual",Entries!$A$2:$A$5000,$A40,Entries!$B$2:$B$5000,X$1))</f>
        <v/>
      </c>
      <c r="Y40" s="88">
        <f>IF(OR(Y$1="",$BE40=0),"",SUMIFS(Entries!$D$2:$D$5000,Entries!$C$2:$C$5000,"Actual",Entries!$A$2:$A$5000,$A40,Entries!$B$2:$B$5000,Y$1))</f>
        <v/>
      </c>
      <c r="Z40" s="88">
        <f>IF(OR(Z$1="",$BE40=0),"",SUMIFS(Entries!$D$2:$D$5000,Entries!$C$2:$C$5000,"Actual",Entries!$A$2:$A$5000,$A40,Entries!$B$2:$B$5000,Z$1))</f>
        <v/>
      </c>
      <c r="AA40" s="88">
        <f>IF(OR(AA$1="",$BE40=0),"",SUMIFS(Entries!$D$2:$D$5000,Entries!$C$2:$C$5000,"Actual",Entries!$A$2:$A$5000,$A40,Entries!$B$2:$B$5000,AA$1))</f>
        <v/>
      </c>
      <c r="AB40" s="88">
        <f>IF(OR(AB$1="",$BE40=0),"",SUMIFS(Entries!$D$2:$D$5000,Entries!$C$2:$C$5000,"Actual",Entries!$A$2:$A$5000,$A40,Entries!$B$2:$B$5000,AB$1))</f>
        <v/>
      </c>
      <c r="AC40" s="88">
        <f>IF(OR(AC$1="",$BE40=0),"",SUMIFS(Entries!$D$2:$D$5000,Entries!$C$2:$C$5000,"Actual",Entries!$A$2:$A$5000,$A40,Entries!$B$2:$B$5000,AC$1))</f>
        <v/>
      </c>
      <c r="AD40" s="88">
        <f>IF(OR(AD$1="",$BE40=0),"",SUMIFS(Entries!$D$2:$D$5000,Entries!$C$2:$C$5000,"Actual",Entries!$A$2:$A$5000,$A40,Entries!$B$2:$B$5000,AD$1))</f>
        <v/>
      </c>
      <c r="AE40" s="88">
        <f>IF(OR(AE$1="",$BE40=0),"",SUMIFS(Entries!$D$2:$D$5000,Entries!$C$2:$C$5000,"Actual",Entries!$A$2:$A$5000,$A40,Entries!$B$2:$B$5000,AE$1))</f>
        <v/>
      </c>
      <c r="AF40" s="88">
        <f>IF(OR(AF$1="",$BE40=0),"",SUMIFS(Entries!$D$2:$D$5000,Entries!$C$2:$C$5000,"Actual",Entries!$A$2:$A$5000,$A40,Entries!$B$2:$B$5000,AF$1))</f>
        <v/>
      </c>
      <c r="AG40" s="88">
        <f>IF(OR(AG$1="",$BE40=0),"",SUMIFS(Entries!$D$2:$D$5000,Entries!$C$2:$C$5000,"Actual",Entries!$A$2:$A$5000,$A40,Entries!$B$2:$B$5000,AG$1))</f>
        <v/>
      </c>
      <c r="AH40" s="88">
        <f>IF(OR(AH$1="",$BE40=0),"",SUMIFS(Entries!$D$2:$D$5000,Entries!$C$2:$C$5000,"Actual",Entries!$A$2:$A$5000,$A40,Entries!$B$2:$B$5000,AH$1))</f>
        <v/>
      </c>
      <c r="AJ40" s="88">
        <f>IF(OR(AJ$1="",$BE40=0),"",IFERROR(LOOKUP(2,1/((Budgets!$A$2:$A$200=AJ$1)*(Budgets!$B$2:$B$200&lt;=$A40)),Budgets!$C$2:$C$200),0))</f>
        <v/>
      </c>
      <c r="AK40" s="88">
        <f>IF(OR(AK$1="",$BE40=0),"",IFERROR(LOOKUP(2,1/((Budgets!$A$2:$A$200=AK$1)*(Budgets!$B$2:$B$200&lt;=$A40)),Budgets!$C$2:$C$200),0))</f>
        <v/>
      </c>
      <c r="AL40" s="88">
        <f>IF(OR(AL$1="",$BE40=0),"",IFERROR(LOOKUP(2,1/((Budgets!$A$2:$A$200=AL$1)*(Budgets!$B$2:$B$200&lt;=$A40)),Budgets!$C$2:$C$200),0))</f>
        <v/>
      </c>
      <c r="AM40" s="88">
        <f>IF(OR(AM$1="",$BE40=0),"",IFERROR(LOOKUP(2,1/((Budgets!$A$2:$A$200=AM$1)*(Budgets!$B$2:$B$200&lt;=$A40)),Budgets!$C$2:$C$200),0))</f>
        <v/>
      </c>
      <c r="AN40" s="88">
        <f>IF(OR(AN$1="",$BE40=0),"",IFERROR(LOOKUP(2,1/((Budgets!$A$2:$A$200=AN$1)*(Budgets!$B$2:$B$200&lt;=$A40)),Budgets!$C$2:$C$200),0))</f>
        <v/>
      </c>
      <c r="AO40" s="88">
        <f>IF(OR(AO$1="",$BE40=0),"",IFERROR(LOOKUP(2,1/((Budgets!$A$2:$A$200=AO$1)*(Budgets!$B$2:$B$200&lt;=$A40)),Budgets!$C$2:$C$200),0))</f>
        <v/>
      </c>
      <c r="AP40" s="88">
        <f>IF(OR(AP$1="",$BE40=0),"",IFERROR(LOOKUP(2,1/((Budgets!$A$2:$A$200=AP$1)*(Budgets!$B$2:$B$200&lt;=$A40)),Budgets!$C$2:$C$200),0))</f>
        <v/>
      </c>
      <c r="AQ40" s="88">
        <f>IF(OR(AQ$1="",$BE40=0),"",IFERROR(LOOKUP(2,1/((Budgets!$A$2:$A$200=AQ$1)*(Budgets!$B$2:$B$200&lt;=$A40)),Budgets!$C$2:$C$200),0))</f>
        <v/>
      </c>
      <c r="AR40" s="88">
        <f>IF(OR(AR$1="",$BE40=0),"",IFERROR(LOOKUP(2,1/((Budgets!$A$2:$A$200=AR$1)*(Budgets!$B$2:$B$200&lt;=$A40)),Budgets!$C$2:$C$200),0))</f>
        <v/>
      </c>
      <c r="AS40" s="88">
        <f>IF(OR(AS$1="",$BE40=0),"",IFERROR(LOOKUP(2,1/((Budgets!$A$2:$A$200=AS$1)*(Budgets!$B$2:$B$200&lt;=$A40)),Budgets!$C$2:$C$200),0))</f>
        <v/>
      </c>
      <c r="AT40" s="88">
        <f>IF(OR(AT$1="",$BE40=0),"",IFERROR(LOOKUP(2,1/((Budgets!$A$2:$A$200=AT$1)*(Budgets!$B$2:$B$200&lt;=$A40)),Budgets!$C$2:$C$200),0))</f>
        <v/>
      </c>
      <c r="AU40" s="88">
        <f>IF(OR(AU$1="",$BE40=0),"",IFERROR(LOOKUP(2,1/((Budgets!$A$2:$A$200=AU$1)*(Budgets!$B$2:$B$200&lt;=$A40)),Budgets!$C$2:$C$200),0))</f>
        <v/>
      </c>
      <c r="AV40" s="88">
        <f>IF(OR(AV$1="",$BE40=0),"",IFERROR(LOOKUP(2,1/((Budgets!$A$2:$A$200=AV$1)*(Budgets!$B$2:$B$200&lt;=$A40)),Budgets!$C$2:$C$200),0))</f>
        <v/>
      </c>
      <c r="AW40" s="88">
        <f>IF(OR(AW$1="",$BE40=0),"",IFERROR(LOOKUP(2,1/((Budgets!$A$2:$A$200=AW$1)*(Budgets!$B$2:$B$200&lt;=$A40)),Budgets!$C$2:$C$200),0))</f>
        <v/>
      </c>
      <c r="AX40" s="88">
        <f>IF(OR(AX$1="",$BE40=0),"",IFERROR(LOOKUP(2,1/((Budgets!$A$2:$A$200=AX$1)*(Budgets!$B$2:$B$200&lt;=$A40)),Budgets!$C$2:$C$200),0))</f>
        <v/>
      </c>
      <c r="AY40" s="88">
        <f>IF(OR(AY$1="",$BE40=0),"",IFERROR(LOOKUP(2,1/((Budgets!$A$2:$A$200=AY$1)*(Budgets!$B$2:$B$200&lt;=$A40)),Budgets!$C$2:$C$200),0))</f>
        <v/>
      </c>
      <c r="AZ40" s="88">
        <f>IF(OR(AZ$1="",$BE40=0),"",IFERROR(LOOKUP(2,1/((Budgets!$A$2:$A$200=AZ$1)*(Budgets!$B$2:$B$200&lt;=$A40)),Budgets!$C$2:$C$200),0))</f>
        <v/>
      </c>
      <c r="BA40" s="88">
        <f>IF(OR(BA$1="",$BE40=0),"",IFERROR(LOOKUP(2,1/((Budgets!$A$2:$A$200=BA$1)*(Budgets!$B$2:$B$200&lt;=$A40)),Budgets!$C$2:$C$200),0))</f>
        <v/>
      </c>
      <c r="BB40" s="88">
        <f>IF(OR(BB$1="",$BE40=0),"",IFERROR(LOOKUP(2,1/((Budgets!$A$2:$A$200=BB$1)*(Budgets!$B$2:$B$200&lt;=$A40)),Budgets!$C$2:$C$200),0))</f>
        <v/>
      </c>
      <c r="BC40" s="88">
        <f>IF(OR(BC$1="",$BE40=0),"",IFERROR(LOOKUP(2,1/((Budgets!$A$2:$A$200=BC$1)*(Budgets!$B$2:$B$200&lt;=$A40)),Budgets!$C$2:$C$200),0))</f>
        <v/>
      </c>
      <c r="BE40" s="67">
        <f>COUNTIFS(Entries!$A$2:$A$5000,$A40)</f>
        <v/>
      </c>
    </row>
    <row r="41" ht="15" customHeight="1" s="43">
      <c r="A41" s="87" t="n">
        <v>40634</v>
      </c>
      <c r="B41" s="88">
        <f>IF($BE41=0,NA(),SUMIFS(Entries!$D$2:$D$5000,Entries!$C$2:$C$5000,"Income",Entries!$A$2:$A$5000,$A41))</f>
        <v/>
      </c>
      <c r="C41" s="88">
        <f>IF($BE41=0,"",SUMIFS(Entries!$D$2:$D$5000,Entries!$C$2:$C$5000,"Actual",Entries!$A$2:$A$5000,$A41))</f>
        <v/>
      </c>
      <c r="D41" s="88">
        <f>IF($BE41=0,"",SUMIFS(Entries!$D$2:$D$5000,Entries!$C$2:$C$5000,"One-off",Entries!$A$2:$A$5000,$A41))</f>
        <v/>
      </c>
      <c r="E41" s="88">
        <f>IF($BE41=0,NA(),C41+D41)</f>
        <v/>
      </c>
      <c r="F41" s="88">
        <f>IF($BE41=0,"",SUM(AJ41:BC41))</f>
        <v/>
      </c>
      <c r="G41" s="88">
        <f>IF($BE41=0,"",B41-E41)</f>
        <v/>
      </c>
      <c r="H41" s="88">
        <f>IF($BE41=0,"",SUM($G$2:G41))</f>
        <v/>
      </c>
      <c r="I41" s="88">
        <f>IF($BE41=0,"",SUMIFS(Entries!$F$2:$F$5000,Entries!$A$2:$A$5000,$A41))</f>
        <v/>
      </c>
      <c r="J41" s="88">
        <f>IF($BE41=0,NA(),H41+SUM($I$2:I41))</f>
        <v/>
      </c>
      <c r="K41" s="88">
        <f>IF($BE41=0,"",SUMIFS(Entries!$D$2:$D$5000,Entries!$C$2:$C$5000,"Income",Entries!$A$2:$A$5000,"&gt;="&amp;EDATE($A41,-11),Entries!$A$2:$A$5000,"&lt;="&amp;$A41)/12)</f>
        <v/>
      </c>
      <c r="L41" s="88">
        <f>IF($BE41=0,"",(SUMIFS(Entries!$D$2:$D$5000,Entries!$C$2:$C$5000,"Actual",Entries!$A$2:$A$5000,"&gt;="&amp;EDATE($A41,-11),Entries!$A$2:$A$5000,"&lt;="&amp;$A41)+SUMIFS(Entries!$D$2:$D$5000,Entries!$C$2:$C$5000,"One-off",Entries!$A$2:$A$5000,"&gt;="&amp;EDATE($A41,-11),Entries!$A$2:$A$5000,"&lt;="&amp;$A41))/12)</f>
        <v/>
      </c>
      <c r="M41" s="70">
        <f>IF($BE41=0,NA(),IFERROR((K41-L41)/K41,0))</f>
        <v/>
      </c>
      <c r="O41" s="88">
        <f>IF(OR(O$1="",$BE41=0),"",SUMIFS(Entries!$D$2:$D$5000,Entries!$C$2:$C$5000,"Actual",Entries!$A$2:$A$5000,$A41,Entries!$B$2:$B$5000,O$1))</f>
        <v/>
      </c>
      <c r="P41" s="88">
        <f>IF(OR(P$1="",$BE41=0),"",SUMIFS(Entries!$D$2:$D$5000,Entries!$C$2:$C$5000,"Actual",Entries!$A$2:$A$5000,$A41,Entries!$B$2:$B$5000,P$1))</f>
        <v/>
      </c>
      <c r="Q41" s="88">
        <f>IF(OR(Q$1="",$BE41=0),"",SUMIFS(Entries!$D$2:$D$5000,Entries!$C$2:$C$5000,"Actual",Entries!$A$2:$A$5000,$A41,Entries!$B$2:$B$5000,Q$1))</f>
        <v/>
      </c>
      <c r="R41" s="88">
        <f>IF(OR(R$1="",$BE41=0),"",SUMIFS(Entries!$D$2:$D$5000,Entries!$C$2:$C$5000,"Actual",Entries!$A$2:$A$5000,$A41,Entries!$B$2:$B$5000,R$1))</f>
        <v/>
      </c>
      <c r="S41" s="88">
        <f>IF(OR(S$1="",$BE41=0),"",SUMIFS(Entries!$D$2:$D$5000,Entries!$C$2:$C$5000,"Actual",Entries!$A$2:$A$5000,$A41,Entries!$B$2:$B$5000,S$1))</f>
        <v/>
      </c>
      <c r="T41" s="88">
        <f>IF(OR(T$1="",$BE41=0),"",SUMIFS(Entries!$D$2:$D$5000,Entries!$C$2:$C$5000,"Actual",Entries!$A$2:$A$5000,$A41,Entries!$B$2:$B$5000,T$1))</f>
        <v/>
      </c>
      <c r="U41" s="88">
        <f>IF(OR(U$1="",$BE41=0),"",SUMIFS(Entries!$D$2:$D$5000,Entries!$C$2:$C$5000,"Actual",Entries!$A$2:$A$5000,$A41,Entries!$B$2:$B$5000,U$1))</f>
        <v/>
      </c>
      <c r="V41" s="88">
        <f>IF(OR(V$1="",$BE41=0),"",SUMIFS(Entries!$D$2:$D$5000,Entries!$C$2:$C$5000,"Actual",Entries!$A$2:$A$5000,$A41,Entries!$B$2:$B$5000,V$1))</f>
        <v/>
      </c>
      <c r="W41" s="88">
        <f>IF(OR(W$1="",$BE41=0),"",SUMIFS(Entries!$D$2:$D$5000,Entries!$C$2:$C$5000,"Actual",Entries!$A$2:$A$5000,$A41,Entries!$B$2:$B$5000,W$1))</f>
        <v/>
      </c>
      <c r="X41" s="88">
        <f>IF(OR(X$1="",$BE41=0),"",SUMIFS(Entries!$D$2:$D$5000,Entries!$C$2:$C$5000,"Actual",Entries!$A$2:$A$5000,$A41,Entries!$B$2:$B$5000,X$1))</f>
        <v/>
      </c>
      <c r="Y41" s="88">
        <f>IF(OR(Y$1="",$BE41=0),"",SUMIFS(Entries!$D$2:$D$5000,Entries!$C$2:$C$5000,"Actual",Entries!$A$2:$A$5000,$A41,Entries!$B$2:$B$5000,Y$1))</f>
        <v/>
      </c>
      <c r="Z41" s="88">
        <f>IF(OR(Z$1="",$BE41=0),"",SUMIFS(Entries!$D$2:$D$5000,Entries!$C$2:$C$5000,"Actual",Entries!$A$2:$A$5000,$A41,Entries!$B$2:$B$5000,Z$1))</f>
        <v/>
      </c>
      <c r="AA41" s="88">
        <f>IF(OR(AA$1="",$BE41=0),"",SUMIFS(Entries!$D$2:$D$5000,Entries!$C$2:$C$5000,"Actual",Entries!$A$2:$A$5000,$A41,Entries!$B$2:$B$5000,AA$1))</f>
        <v/>
      </c>
      <c r="AB41" s="88">
        <f>IF(OR(AB$1="",$BE41=0),"",SUMIFS(Entries!$D$2:$D$5000,Entries!$C$2:$C$5000,"Actual",Entries!$A$2:$A$5000,$A41,Entries!$B$2:$B$5000,AB$1))</f>
        <v/>
      </c>
      <c r="AC41" s="88">
        <f>IF(OR(AC$1="",$BE41=0),"",SUMIFS(Entries!$D$2:$D$5000,Entries!$C$2:$C$5000,"Actual",Entries!$A$2:$A$5000,$A41,Entries!$B$2:$B$5000,AC$1))</f>
        <v/>
      </c>
      <c r="AD41" s="88">
        <f>IF(OR(AD$1="",$BE41=0),"",SUMIFS(Entries!$D$2:$D$5000,Entries!$C$2:$C$5000,"Actual",Entries!$A$2:$A$5000,$A41,Entries!$B$2:$B$5000,AD$1))</f>
        <v/>
      </c>
      <c r="AE41" s="88">
        <f>IF(OR(AE$1="",$BE41=0),"",SUMIFS(Entries!$D$2:$D$5000,Entries!$C$2:$C$5000,"Actual",Entries!$A$2:$A$5000,$A41,Entries!$B$2:$B$5000,AE$1))</f>
        <v/>
      </c>
      <c r="AF41" s="88">
        <f>IF(OR(AF$1="",$BE41=0),"",SUMIFS(Entries!$D$2:$D$5000,Entries!$C$2:$C$5000,"Actual",Entries!$A$2:$A$5000,$A41,Entries!$B$2:$B$5000,AF$1))</f>
        <v/>
      </c>
      <c r="AG41" s="88">
        <f>IF(OR(AG$1="",$BE41=0),"",SUMIFS(Entries!$D$2:$D$5000,Entries!$C$2:$C$5000,"Actual",Entries!$A$2:$A$5000,$A41,Entries!$B$2:$B$5000,AG$1))</f>
        <v/>
      </c>
      <c r="AH41" s="88">
        <f>IF(OR(AH$1="",$BE41=0),"",SUMIFS(Entries!$D$2:$D$5000,Entries!$C$2:$C$5000,"Actual",Entries!$A$2:$A$5000,$A41,Entries!$B$2:$B$5000,AH$1))</f>
        <v/>
      </c>
      <c r="AJ41" s="88">
        <f>IF(OR(AJ$1="",$BE41=0),"",IFERROR(LOOKUP(2,1/((Budgets!$A$2:$A$200=AJ$1)*(Budgets!$B$2:$B$200&lt;=$A41)),Budgets!$C$2:$C$200),0))</f>
        <v/>
      </c>
      <c r="AK41" s="88">
        <f>IF(OR(AK$1="",$BE41=0),"",IFERROR(LOOKUP(2,1/((Budgets!$A$2:$A$200=AK$1)*(Budgets!$B$2:$B$200&lt;=$A41)),Budgets!$C$2:$C$200),0))</f>
        <v/>
      </c>
      <c r="AL41" s="88">
        <f>IF(OR(AL$1="",$BE41=0),"",IFERROR(LOOKUP(2,1/((Budgets!$A$2:$A$200=AL$1)*(Budgets!$B$2:$B$200&lt;=$A41)),Budgets!$C$2:$C$200),0))</f>
        <v/>
      </c>
      <c r="AM41" s="88">
        <f>IF(OR(AM$1="",$BE41=0),"",IFERROR(LOOKUP(2,1/((Budgets!$A$2:$A$200=AM$1)*(Budgets!$B$2:$B$200&lt;=$A41)),Budgets!$C$2:$C$200),0))</f>
        <v/>
      </c>
      <c r="AN41" s="88">
        <f>IF(OR(AN$1="",$BE41=0),"",IFERROR(LOOKUP(2,1/((Budgets!$A$2:$A$200=AN$1)*(Budgets!$B$2:$B$200&lt;=$A41)),Budgets!$C$2:$C$200),0))</f>
        <v/>
      </c>
      <c r="AO41" s="88">
        <f>IF(OR(AO$1="",$BE41=0),"",IFERROR(LOOKUP(2,1/((Budgets!$A$2:$A$200=AO$1)*(Budgets!$B$2:$B$200&lt;=$A41)),Budgets!$C$2:$C$200),0))</f>
        <v/>
      </c>
      <c r="AP41" s="88">
        <f>IF(OR(AP$1="",$BE41=0),"",IFERROR(LOOKUP(2,1/((Budgets!$A$2:$A$200=AP$1)*(Budgets!$B$2:$B$200&lt;=$A41)),Budgets!$C$2:$C$200),0))</f>
        <v/>
      </c>
      <c r="AQ41" s="88">
        <f>IF(OR(AQ$1="",$BE41=0),"",IFERROR(LOOKUP(2,1/((Budgets!$A$2:$A$200=AQ$1)*(Budgets!$B$2:$B$200&lt;=$A41)),Budgets!$C$2:$C$200),0))</f>
        <v/>
      </c>
      <c r="AR41" s="88">
        <f>IF(OR(AR$1="",$BE41=0),"",IFERROR(LOOKUP(2,1/((Budgets!$A$2:$A$200=AR$1)*(Budgets!$B$2:$B$200&lt;=$A41)),Budgets!$C$2:$C$200),0))</f>
        <v/>
      </c>
      <c r="AS41" s="88">
        <f>IF(OR(AS$1="",$BE41=0),"",IFERROR(LOOKUP(2,1/((Budgets!$A$2:$A$200=AS$1)*(Budgets!$B$2:$B$200&lt;=$A41)),Budgets!$C$2:$C$200),0))</f>
        <v/>
      </c>
      <c r="AT41" s="88">
        <f>IF(OR(AT$1="",$BE41=0),"",IFERROR(LOOKUP(2,1/((Budgets!$A$2:$A$200=AT$1)*(Budgets!$B$2:$B$200&lt;=$A41)),Budgets!$C$2:$C$200),0))</f>
        <v/>
      </c>
      <c r="AU41" s="88">
        <f>IF(OR(AU$1="",$BE41=0),"",IFERROR(LOOKUP(2,1/((Budgets!$A$2:$A$200=AU$1)*(Budgets!$B$2:$B$200&lt;=$A41)),Budgets!$C$2:$C$200),0))</f>
        <v/>
      </c>
      <c r="AV41" s="88">
        <f>IF(OR(AV$1="",$BE41=0),"",IFERROR(LOOKUP(2,1/((Budgets!$A$2:$A$200=AV$1)*(Budgets!$B$2:$B$200&lt;=$A41)),Budgets!$C$2:$C$200),0))</f>
        <v/>
      </c>
      <c r="AW41" s="88">
        <f>IF(OR(AW$1="",$BE41=0),"",IFERROR(LOOKUP(2,1/((Budgets!$A$2:$A$200=AW$1)*(Budgets!$B$2:$B$200&lt;=$A41)),Budgets!$C$2:$C$200),0))</f>
        <v/>
      </c>
      <c r="AX41" s="88">
        <f>IF(OR(AX$1="",$BE41=0),"",IFERROR(LOOKUP(2,1/((Budgets!$A$2:$A$200=AX$1)*(Budgets!$B$2:$B$200&lt;=$A41)),Budgets!$C$2:$C$200),0))</f>
        <v/>
      </c>
      <c r="AY41" s="88">
        <f>IF(OR(AY$1="",$BE41=0),"",IFERROR(LOOKUP(2,1/((Budgets!$A$2:$A$200=AY$1)*(Budgets!$B$2:$B$200&lt;=$A41)),Budgets!$C$2:$C$200),0))</f>
        <v/>
      </c>
      <c r="AZ41" s="88">
        <f>IF(OR(AZ$1="",$BE41=0),"",IFERROR(LOOKUP(2,1/((Budgets!$A$2:$A$200=AZ$1)*(Budgets!$B$2:$B$200&lt;=$A41)),Budgets!$C$2:$C$200),0))</f>
        <v/>
      </c>
      <c r="BA41" s="88">
        <f>IF(OR(BA$1="",$BE41=0),"",IFERROR(LOOKUP(2,1/((Budgets!$A$2:$A$200=BA$1)*(Budgets!$B$2:$B$200&lt;=$A41)),Budgets!$C$2:$C$200),0))</f>
        <v/>
      </c>
      <c r="BB41" s="88">
        <f>IF(OR(BB$1="",$BE41=0),"",IFERROR(LOOKUP(2,1/((Budgets!$A$2:$A$200=BB$1)*(Budgets!$B$2:$B$200&lt;=$A41)),Budgets!$C$2:$C$200),0))</f>
        <v/>
      </c>
      <c r="BC41" s="88">
        <f>IF(OR(BC$1="",$BE41=0),"",IFERROR(LOOKUP(2,1/((Budgets!$A$2:$A$200=BC$1)*(Budgets!$B$2:$B$200&lt;=$A41)),Budgets!$C$2:$C$200),0))</f>
        <v/>
      </c>
      <c r="BE41" s="67">
        <f>COUNTIFS(Entries!$A$2:$A$5000,$A41)</f>
        <v/>
      </c>
    </row>
    <row r="42" ht="15" customHeight="1" s="43">
      <c r="A42" s="87" t="n">
        <v>40664</v>
      </c>
      <c r="B42" s="88">
        <f>IF($BE42=0,NA(),SUMIFS(Entries!$D$2:$D$5000,Entries!$C$2:$C$5000,"Income",Entries!$A$2:$A$5000,$A42))</f>
        <v/>
      </c>
      <c r="C42" s="88">
        <f>IF($BE42=0,"",SUMIFS(Entries!$D$2:$D$5000,Entries!$C$2:$C$5000,"Actual",Entries!$A$2:$A$5000,$A42))</f>
        <v/>
      </c>
      <c r="D42" s="88">
        <f>IF($BE42=0,"",SUMIFS(Entries!$D$2:$D$5000,Entries!$C$2:$C$5000,"One-off",Entries!$A$2:$A$5000,$A42))</f>
        <v/>
      </c>
      <c r="E42" s="88">
        <f>IF($BE42=0,NA(),C42+D42)</f>
        <v/>
      </c>
      <c r="F42" s="88">
        <f>IF($BE42=0,"",SUM(AJ42:BC42))</f>
        <v/>
      </c>
      <c r="G42" s="88">
        <f>IF($BE42=0,"",B42-E42)</f>
        <v/>
      </c>
      <c r="H42" s="88">
        <f>IF($BE42=0,"",SUM($G$2:G42))</f>
        <v/>
      </c>
      <c r="I42" s="88">
        <f>IF($BE42=0,"",SUMIFS(Entries!$F$2:$F$5000,Entries!$A$2:$A$5000,$A42))</f>
        <v/>
      </c>
      <c r="J42" s="88">
        <f>IF($BE42=0,NA(),H42+SUM($I$2:I42))</f>
        <v/>
      </c>
      <c r="K42" s="88">
        <f>IF($BE42=0,"",SUMIFS(Entries!$D$2:$D$5000,Entries!$C$2:$C$5000,"Income",Entries!$A$2:$A$5000,"&gt;="&amp;EDATE($A42,-11),Entries!$A$2:$A$5000,"&lt;="&amp;$A42)/12)</f>
        <v/>
      </c>
      <c r="L42" s="88">
        <f>IF($BE42=0,"",(SUMIFS(Entries!$D$2:$D$5000,Entries!$C$2:$C$5000,"Actual",Entries!$A$2:$A$5000,"&gt;="&amp;EDATE($A42,-11),Entries!$A$2:$A$5000,"&lt;="&amp;$A42)+SUMIFS(Entries!$D$2:$D$5000,Entries!$C$2:$C$5000,"One-off",Entries!$A$2:$A$5000,"&gt;="&amp;EDATE($A42,-11),Entries!$A$2:$A$5000,"&lt;="&amp;$A42))/12)</f>
        <v/>
      </c>
      <c r="M42" s="70">
        <f>IF($BE42=0,NA(),IFERROR((K42-L42)/K42,0))</f>
        <v/>
      </c>
      <c r="O42" s="88">
        <f>IF(OR(O$1="",$BE42=0),"",SUMIFS(Entries!$D$2:$D$5000,Entries!$C$2:$C$5000,"Actual",Entries!$A$2:$A$5000,$A42,Entries!$B$2:$B$5000,O$1))</f>
        <v/>
      </c>
      <c r="P42" s="88">
        <f>IF(OR(P$1="",$BE42=0),"",SUMIFS(Entries!$D$2:$D$5000,Entries!$C$2:$C$5000,"Actual",Entries!$A$2:$A$5000,$A42,Entries!$B$2:$B$5000,P$1))</f>
        <v/>
      </c>
      <c r="Q42" s="88">
        <f>IF(OR(Q$1="",$BE42=0),"",SUMIFS(Entries!$D$2:$D$5000,Entries!$C$2:$C$5000,"Actual",Entries!$A$2:$A$5000,$A42,Entries!$B$2:$B$5000,Q$1))</f>
        <v/>
      </c>
      <c r="R42" s="88">
        <f>IF(OR(R$1="",$BE42=0),"",SUMIFS(Entries!$D$2:$D$5000,Entries!$C$2:$C$5000,"Actual",Entries!$A$2:$A$5000,$A42,Entries!$B$2:$B$5000,R$1))</f>
        <v/>
      </c>
      <c r="S42" s="88">
        <f>IF(OR(S$1="",$BE42=0),"",SUMIFS(Entries!$D$2:$D$5000,Entries!$C$2:$C$5000,"Actual",Entries!$A$2:$A$5000,$A42,Entries!$B$2:$B$5000,S$1))</f>
        <v/>
      </c>
      <c r="T42" s="88">
        <f>IF(OR(T$1="",$BE42=0),"",SUMIFS(Entries!$D$2:$D$5000,Entries!$C$2:$C$5000,"Actual",Entries!$A$2:$A$5000,$A42,Entries!$B$2:$B$5000,T$1))</f>
        <v/>
      </c>
      <c r="U42" s="88">
        <f>IF(OR(U$1="",$BE42=0),"",SUMIFS(Entries!$D$2:$D$5000,Entries!$C$2:$C$5000,"Actual",Entries!$A$2:$A$5000,$A42,Entries!$B$2:$B$5000,U$1))</f>
        <v/>
      </c>
      <c r="V42" s="88">
        <f>IF(OR(V$1="",$BE42=0),"",SUMIFS(Entries!$D$2:$D$5000,Entries!$C$2:$C$5000,"Actual",Entries!$A$2:$A$5000,$A42,Entries!$B$2:$B$5000,V$1))</f>
        <v/>
      </c>
      <c r="W42" s="88">
        <f>IF(OR(W$1="",$BE42=0),"",SUMIFS(Entries!$D$2:$D$5000,Entries!$C$2:$C$5000,"Actual",Entries!$A$2:$A$5000,$A42,Entries!$B$2:$B$5000,W$1))</f>
        <v/>
      </c>
      <c r="X42" s="88">
        <f>IF(OR(X$1="",$BE42=0),"",SUMIFS(Entries!$D$2:$D$5000,Entries!$C$2:$C$5000,"Actual",Entries!$A$2:$A$5000,$A42,Entries!$B$2:$B$5000,X$1))</f>
        <v/>
      </c>
      <c r="Y42" s="88">
        <f>IF(OR(Y$1="",$BE42=0),"",SUMIFS(Entries!$D$2:$D$5000,Entries!$C$2:$C$5000,"Actual",Entries!$A$2:$A$5000,$A42,Entries!$B$2:$B$5000,Y$1))</f>
        <v/>
      </c>
      <c r="Z42" s="88">
        <f>IF(OR(Z$1="",$BE42=0),"",SUMIFS(Entries!$D$2:$D$5000,Entries!$C$2:$C$5000,"Actual",Entries!$A$2:$A$5000,$A42,Entries!$B$2:$B$5000,Z$1))</f>
        <v/>
      </c>
      <c r="AA42" s="88">
        <f>IF(OR(AA$1="",$BE42=0),"",SUMIFS(Entries!$D$2:$D$5000,Entries!$C$2:$C$5000,"Actual",Entries!$A$2:$A$5000,$A42,Entries!$B$2:$B$5000,AA$1))</f>
        <v/>
      </c>
      <c r="AB42" s="88">
        <f>IF(OR(AB$1="",$BE42=0),"",SUMIFS(Entries!$D$2:$D$5000,Entries!$C$2:$C$5000,"Actual",Entries!$A$2:$A$5000,$A42,Entries!$B$2:$B$5000,AB$1))</f>
        <v/>
      </c>
      <c r="AC42" s="88">
        <f>IF(OR(AC$1="",$BE42=0),"",SUMIFS(Entries!$D$2:$D$5000,Entries!$C$2:$C$5000,"Actual",Entries!$A$2:$A$5000,$A42,Entries!$B$2:$B$5000,AC$1))</f>
        <v/>
      </c>
      <c r="AD42" s="88">
        <f>IF(OR(AD$1="",$BE42=0),"",SUMIFS(Entries!$D$2:$D$5000,Entries!$C$2:$C$5000,"Actual",Entries!$A$2:$A$5000,$A42,Entries!$B$2:$B$5000,AD$1))</f>
        <v/>
      </c>
      <c r="AE42" s="88">
        <f>IF(OR(AE$1="",$BE42=0),"",SUMIFS(Entries!$D$2:$D$5000,Entries!$C$2:$C$5000,"Actual",Entries!$A$2:$A$5000,$A42,Entries!$B$2:$B$5000,AE$1))</f>
        <v/>
      </c>
      <c r="AF42" s="88">
        <f>IF(OR(AF$1="",$BE42=0),"",SUMIFS(Entries!$D$2:$D$5000,Entries!$C$2:$C$5000,"Actual",Entries!$A$2:$A$5000,$A42,Entries!$B$2:$B$5000,AF$1))</f>
        <v/>
      </c>
      <c r="AG42" s="88">
        <f>IF(OR(AG$1="",$BE42=0),"",SUMIFS(Entries!$D$2:$D$5000,Entries!$C$2:$C$5000,"Actual",Entries!$A$2:$A$5000,$A42,Entries!$B$2:$B$5000,AG$1))</f>
        <v/>
      </c>
      <c r="AH42" s="88">
        <f>IF(OR(AH$1="",$BE42=0),"",SUMIFS(Entries!$D$2:$D$5000,Entries!$C$2:$C$5000,"Actual",Entries!$A$2:$A$5000,$A42,Entries!$B$2:$B$5000,AH$1))</f>
        <v/>
      </c>
      <c r="AJ42" s="88">
        <f>IF(OR(AJ$1="",$BE42=0),"",IFERROR(LOOKUP(2,1/((Budgets!$A$2:$A$200=AJ$1)*(Budgets!$B$2:$B$200&lt;=$A42)),Budgets!$C$2:$C$200),0))</f>
        <v/>
      </c>
      <c r="AK42" s="88">
        <f>IF(OR(AK$1="",$BE42=0),"",IFERROR(LOOKUP(2,1/((Budgets!$A$2:$A$200=AK$1)*(Budgets!$B$2:$B$200&lt;=$A42)),Budgets!$C$2:$C$200),0))</f>
        <v/>
      </c>
      <c r="AL42" s="88">
        <f>IF(OR(AL$1="",$BE42=0),"",IFERROR(LOOKUP(2,1/((Budgets!$A$2:$A$200=AL$1)*(Budgets!$B$2:$B$200&lt;=$A42)),Budgets!$C$2:$C$200),0))</f>
        <v/>
      </c>
      <c r="AM42" s="88">
        <f>IF(OR(AM$1="",$BE42=0),"",IFERROR(LOOKUP(2,1/((Budgets!$A$2:$A$200=AM$1)*(Budgets!$B$2:$B$200&lt;=$A42)),Budgets!$C$2:$C$200),0))</f>
        <v/>
      </c>
      <c r="AN42" s="88">
        <f>IF(OR(AN$1="",$BE42=0),"",IFERROR(LOOKUP(2,1/((Budgets!$A$2:$A$200=AN$1)*(Budgets!$B$2:$B$200&lt;=$A42)),Budgets!$C$2:$C$200),0))</f>
        <v/>
      </c>
      <c r="AO42" s="88">
        <f>IF(OR(AO$1="",$BE42=0),"",IFERROR(LOOKUP(2,1/((Budgets!$A$2:$A$200=AO$1)*(Budgets!$B$2:$B$200&lt;=$A42)),Budgets!$C$2:$C$200),0))</f>
        <v/>
      </c>
      <c r="AP42" s="88">
        <f>IF(OR(AP$1="",$BE42=0),"",IFERROR(LOOKUP(2,1/((Budgets!$A$2:$A$200=AP$1)*(Budgets!$B$2:$B$200&lt;=$A42)),Budgets!$C$2:$C$200),0))</f>
        <v/>
      </c>
      <c r="AQ42" s="88">
        <f>IF(OR(AQ$1="",$BE42=0),"",IFERROR(LOOKUP(2,1/((Budgets!$A$2:$A$200=AQ$1)*(Budgets!$B$2:$B$200&lt;=$A42)),Budgets!$C$2:$C$200),0))</f>
        <v/>
      </c>
      <c r="AR42" s="88">
        <f>IF(OR(AR$1="",$BE42=0),"",IFERROR(LOOKUP(2,1/((Budgets!$A$2:$A$200=AR$1)*(Budgets!$B$2:$B$200&lt;=$A42)),Budgets!$C$2:$C$200),0))</f>
        <v/>
      </c>
      <c r="AS42" s="88">
        <f>IF(OR(AS$1="",$BE42=0),"",IFERROR(LOOKUP(2,1/((Budgets!$A$2:$A$200=AS$1)*(Budgets!$B$2:$B$200&lt;=$A42)),Budgets!$C$2:$C$200),0))</f>
        <v/>
      </c>
      <c r="AT42" s="88">
        <f>IF(OR(AT$1="",$BE42=0),"",IFERROR(LOOKUP(2,1/((Budgets!$A$2:$A$200=AT$1)*(Budgets!$B$2:$B$200&lt;=$A42)),Budgets!$C$2:$C$200),0))</f>
        <v/>
      </c>
      <c r="AU42" s="88">
        <f>IF(OR(AU$1="",$BE42=0),"",IFERROR(LOOKUP(2,1/((Budgets!$A$2:$A$200=AU$1)*(Budgets!$B$2:$B$200&lt;=$A42)),Budgets!$C$2:$C$200),0))</f>
        <v/>
      </c>
      <c r="AV42" s="88">
        <f>IF(OR(AV$1="",$BE42=0),"",IFERROR(LOOKUP(2,1/((Budgets!$A$2:$A$200=AV$1)*(Budgets!$B$2:$B$200&lt;=$A42)),Budgets!$C$2:$C$200),0))</f>
        <v/>
      </c>
      <c r="AW42" s="88">
        <f>IF(OR(AW$1="",$BE42=0),"",IFERROR(LOOKUP(2,1/((Budgets!$A$2:$A$200=AW$1)*(Budgets!$B$2:$B$200&lt;=$A42)),Budgets!$C$2:$C$200),0))</f>
        <v/>
      </c>
      <c r="AX42" s="88">
        <f>IF(OR(AX$1="",$BE42=0),"",IFERROR(LOOKUP(2,1/((Budgets!$A$2:$A$200=AX$1)*(Budgets!$B$2:$B$200&lt;=$A42)),Budgets!$C$2:$C$200),0))</f>
        <v/>
      </c>
      <c r="AY42" s="88">
        <f>IF(OR(AY$1="",$BE42=0),"",IFERROR(LOOKUP(2,1/((Budgets!$A$2:$A$200=AY$1)*(Budgets!$B$2:$B$200&lt;=$A42)),Budgets!$C$2:$C$200),0))</f>
        <v/>
      </c>
      <c r="AZ42" s="88">
        <f>IF(OR(AZ$1="",$BE42=0),"",IFERROR(LOOKUP(2,1/((Budgets!$A$2:$A$200=AZ$1)*(Budgets!$B$2:$B$200&lt;=$A42)),Budgets!$C$2:$C$200),0))</f>
        <v/>
      </c>
      <c r="BA42" s="88">
        <f>IF(OR(BA$1="",$BE42=0),"",IFERROR(LOOKUP(2,1/((Budgets!$A$2:$A$200=BA$1)*(Budgets!$B$2:$B$200&lt;=$A42)),Budgets!$C$2:$C$200),0))</f>
        <v/>
      </c>
      <c r="BB42" s="88">
        <f>IF(OR(BB$1="",$BE42=0),"",IFERROR(LOOKUP(2,1/((Budgets!$A$2:$A$200=BB$1)*(Budgets!$B$2:$B$200&lt;=$A42)),Budgets!$C$2:$C$200),0))</f>
        <v/>
      </c>
      <c r="BC42" s="88">
        <f>IF(OR(BC$1="",$BE42=0),"",IFERROR(LOOKUP(2,1/((Budgets!$A$2:$A$200=BC$1)*(Budgets!$B$2:$B$200&lt;=$A42)),Budgets!$C$2:$C$200),0))</f>
        <v/>
      </c>
      <c r="BE42" s="67">
        <f>COUNTIFS(Entries!$A$2:$A$5000,$A42)</f>
        <v/>
      </c>
    </row>
    <row r="43" ht="15" customHeight="1" s="43">
      <c r="A43" s="87" t="n">
        <v>40695</v>
      </c>
      <c r="B43" s="88">
        <f>IF($BE43=0,NA(),SUMIFS(Entries!$D$2:$D$5000,Entries!$C$2:$C$5000,"Income",Entries!$A$2:$A$5000,$A43))</f>
        <v/>
      </c>
      <c r="C43" s="88">
        <f>IF($BE43=0,"",SUMIFS(Entries!$D$2:$D$5000,Entries!$C$2:$C$5000,"Actual",Entries!$A$2:$A$5000,$A43))</f>
        <v/>
      </c>
      <c r="D43" s="88">
        <f>IF($BE43=0,"",SUMIFS(Entries!$D$2:$D$5000,Entries!$C$2:$C$5000,"One-off",Entries!$A$2:$A$5000,$A43))</f>
        <v/>
      </c>
      <c r="E43" s="88">
        <f>IF($BE43=0,NA(),C43+D43)</f>
        <v/>
      </c>
      <c r="F43" s="88">
        <f>IF($BE43=0,"",SUM(AJ43:BC43))</f>
        <v/>
      </c>
      <c r="G43" s="88">
        <f>IF($BE43=0,"",B43-E43)</f>
        <v/>
      </c>
      <c r="H43" s="88">
        <f>IF($BE43=0,"",SUM($G$2:G43))</f>
        <v/>
      </c>
      <c r="I43" s="88">
        <f>IF($BE43=0,"",SUMIFS(Entries!$F$2:$F$5000,Entries!$A$2:$A$5000,$A43))</f>
        <v/>
      </c>
      <c r="J43" s="88">
        <f>IF($BE43=0,NA(),H43+SUM($I$2:I43))</f>
        <v/>
      </c>
      <c r="K43" s="88">
        <f>IF($BE43=0,"",SUMIFS(Entries!$D$2:$D$5000,Entries!$C$2:$C$5000,"Income",Entries!$A$2:$A$5000,"&gt;="&amp;EDATE($A43,-11),Entries!$A$2:$A$5000,"&lt;="&amp;$A43)/12)</f>
        <v/>
      </c>
      <c r="L43" s="88">
        <f>IF($BE43=0,"",(SUMIFS(Entries!$D$2:$D$5000,Entries!$C$2:$C$5000,"Actual",Entries!$A$2:$A$5000,"&gt;="&amp;EDATE($A43,-11),Entries!$A$2:$A$5000,"&lt;="&amp;$A43)+SUMIFS(Entries!$D$2:$D$5000,Entries!$C$2:$C$5000,"One-off",Entries!$A$2:$A$5000,"&gt;="&amp;EDATE($A43,-11),Entries!$A$2:$A$5000,"&lt;="&amp;$A43))/12)</f>
        <v/>
      </c>
      <c r="M43" s="70">
        <f>IF($BE43=0,NA(),IFERROR((K43-L43)/K43,0))</f>
        <v/>
      </c>
      <c r="O43" s="88">
        <f>IF(OR(O$1="",$BE43=0),"",SUMIFS(Entries!$D$2:$D$5000,Entries!$C$2:$C$5000,"Actual",Entries!$A$2:$A$5000,$A43,Entries!$B$2:$B$5000,O$1))</f>
        <v/>
      </c>
      <c r="P43" s="88">
        <f>IF(OR(P$1="",$BE43=0),"",SUMIFS(Entries!$D$2:$D$5000,Entries!$C$2:$C$5000,"Actual",Entries!$A$2:$A$5000,$A43,Entries!$B$2:$B$5000,P$1))</f>
        <v/>
      </c>
      <c r="Q43" s="88">
        <f>IF(OR(Q$1="",$BE43=0),"",SUMIFS(Entries!$D$2:$D$5000,Entries!$C$2:$C$5000,"Actual",Entries!$A$2:$A$5000,$A43,Entries!$B$2:$B$5000,Q$1))</f>
        <v/>
      </c>
      <c r="R43" s="88">
        <f>IF(OR(R$1="",$BE43=0),"",SUMIFS(Entries!$D$2:$D$5000,Entries!$C$2:$C$5000,"Actual",Entries!$A$2:$A$5000,$A43,Entries!$B$2:$B$5000,R$1))</f>
        <v/>
      </c>
      <c r="S43" s="88">
        <f>IF(OR(S$1="",$BE43=0),"",SUMIFS(Entries!$D$2:$D$5000,Entries!$C$2:$C$5000,"Actual",Entries!$A$2:$A$5000,$A43,Entries!$B$2:$B$5000,S$1))</f>
        <v/>
      </c>
      <c r="T43" s="88">
        <f>IF(OR(T$1="",$BE43=0),"",SUMIFS(Entries!$D$2:$D$5000,Entries!$C$2:$C$5000,"Actual",Entries!$A$2:$A$5000,$A43,Entries!$B$2:$B$5000,T$1))</f>
        <v/>
      </c>
      <c r="U43" s="88">
        <f>IF(OR(U$1="",$BE43=0),"",SUMIFS(Entries!$D$2:$D$5000,Entries!$C$2:$C$5000,"Actual",Entries!$A$2:$A$5000,$A43,Entries!$B$2:$B$5000,U$1))</f>
        <v/>
      </c>
      <c r="V43" s="88">
        <f>IF(OR(V$1="",$BE43=0),"",SUMIFS(Entries!$D$2:$D$5000,Entries!$C$2:$C$5000,"Actual",Entries!$A$2:$A$5000,$A43,Entries!$B$2:$B$5000,V$1))</f>
        <v/>
      </c>
      <c r="W43" s="88">
        <f>IF(OR(W$1="",$BE43=0),"",SUMIFS(Entries!$D$2:$D$5000,Entries!$C$2:$C$5000,"Actual",Entries!$A$2:$A$5000,$A43,Entries!$B$2:$B$5000,W$1))</f>
        <v/>
      </c>
      <c r="X43" s="88">
        <f>IF(OR(X$1="",$BE43=0),"",SUMIFS(Entries!$D$2:$D$5000,Entries!$C$2:$C$5000,"Actual",Entries!$A$2:$A$5000,$A43,Entries!$B$2:$B$5000,X$1))</f>
        <v/>
      </c>
      <c r="Y43" s="88">
        <f>IF(OR(Y$1="",$BE43=0),"",SUMIFS(Entries!$D$2:$D$5000,Entries!$C$2:$C$5000,"Actual",Entries!$A$2:$A$5000,$A43,Entries!$B$2:$B$5000,Y$1))</f>
        <v/>
      </c>
      <c r="Z43" s="88">
        <f>IF(OR(Z$1="",$BE43=0),"",SUMIFS(Entries!$D$2:$D$5000,Entries!$C$2:$C$5000,"Actual",Entries!$A$2:$A$5000,$A43,Entries!$B$2:$B$5000,Z$1))</f>
        <v/>
      </c>
      <c r="AA43" s="88">
        <f>IF(OR(AA$1="",$BE43=0),"",SUMIFS(Entries!$D$2:$D$5000,Entries!$C$2:$C$5000,"Actual",Entries!$A$2:$A$5000,$A43,Entries!$B$2:$B$5000,AA$1))</f>
        <v/>
      </c>
      <c r="AB43" s="88">
        <f>IF(OR(AB$1="",$BE43=0),"",SUMIFS(Entries!$D$2:$D$5000,Entries!$C$2:$C$5000,"Actual",Entries!$A$2:$A$5000,$A43,Entries!$B$2:$B$5000,AB$1))</f>
        <v/>
      </c>
      <c r="AC43" s="88">
        <f>IF(OR(AC$1="",$BE43=0),"",SUMIFS(Entries!$D$2:$D$5000,Entries!$C$2:$C$5000,"Actual",Entries!$A$2:$A$5000,$A43,Entries!$B$2:$B$5000,AC$1))</f>
        <v/>
      </c>
      <c r="AD43" s="88">
        <f>IF(OR(AD$1="",$BE43=0),"",SUMIFS(Entries!$D$2:$D$5000,Entries!$C$2:$C$5000,"Actual",Entries!$A$2:$A$5000,$A43,Entries!$B$2:$B$5000,AD$1))</f>
        <v/>
      </c>
      <c r="AE43" s="88">
        <f>IF(OR(AE$1="",$BE43=0),"",SUMIFS(Entries!$D$2:$D$5000,Entries!$C$2:$C$5000,"Actual",Entries!$A$2:$A$5000,$A43,Entries!$B$2:$B$5000,AE$1))</f>
        <v/>
      </c>
      <c r="AF43" s="88">
        <f>IF(OR(AF$1="",$BE43=0),"",SUMIFS(Entries!$D$2:$D$5000,Entries!$C$2:$C$5000,"Actual",Entries!$A$2:$A$5000,$A43,Entries!$B$2:$B$5000,AF$1))</f>
        <v/>
      </c>
      <c r="AG43" s="88">
        <f>IF(OR(AG$1="",$BE43=0),"",SUMIFS(Entries!$D$2:$D$5000,Entries!$C$2:$C$5000,"Actual",Entries!$A$2:$A$5000,$A43,Entries!$B$2:$B$5000,AG$1))</f>
        <v/>
      </c>
      <c r="AH43" s="88">
        <f>IF(OR(AH$1="",$BE43=0),"",SUMIFS(Entries!$D$2:$D$5000,Entries!$C$2:$C$5000,"Actual",Entries!$A$2:$A$5000,$A43,Entries!$B$2:$B$5000,AH$1))</f>
        <v/>
      </c>
      <c r="AJ43" s="88">
        <f>IF(OR(AJ$1="",$BE43=0),"",IFERROR(LOOKUP(2,1/((Budgets!$A$2:$A$200=AJ$1)*(Budgets!$B$2:$B$200&lt;=$A43)),Budgets!$C$2:$C$200),0))</f>
        <v/>
      </c>
      <c r="AK43" s="88">
        <f>IF(OR(AK$1="",$BE43=0),"",IFERROR(LOOKUP(2,1/((Budgets!$A$2:$A$200=AK$1)*(Budgets!$B$2:$B$200&lt;=$A43)),Budgets!$C$2:$C$200),0))</f>
        <v/>
      </c>
      <c r="AL43" s="88">
        <f>IF(OR(AL$1="",$BE43=0),"",IFERROR(LOOKUP(2,1/((Budgets!$A$2:$A$200=AL$1)*(Budgets!$B$2:$B$200&lt;=$A43)),Budgets!$C$2:$C$200),0))</f>
        <v/>
      </c>
      <c r="AM43" s="88">
        <f>IF(OR(AM$1="",$BE43=0),"",IFERROR(LOOKUP(2,1/((Budgets!$A$2:$A$200=AM$1)*(Budgets!$B$2:$B$200&lt;=$A43)),Budgets!$C$2:$C$200),0))</f>
        <v/>
      </c>
      <c r="AN43" s="88">
        <f>IF(OR(AN$1="",$BE43=0),"",IFERROR(LOOKUP(2,1/((Budgets!$A$2:$A$200=AN$1)*(Budgets!$B$2:$B$200&lt;=$A43)),Budgets!$C$2:$C$200),0))</f>
        <v/>
      </c>
      <c r="AO43" s="88">
        <f>IF(OR(AO$1="",$BE43=0),"",IFERROR(LOOKUP(2,1/((Budgets!$A$2:$A$200=AO$1)*(Budgets!$B$2:$B$200&lt;=$A43)),Budgets!$C$2:$C$200),0))</f>
        <v/>
      </c>
      <c r="AP43" s="88">
        <f>IF(OR(AP$1="",$BE43=0),"",IFERROR(LOOKUP(2,1/((Budgets!$A$2:$A$200=AP$1)*(Budgets!$B$2:$B$200&lt;=$A43)),Budgets!$C$2:$C$200),0))</f>
        <v/>
      </c>
      <c r="AQ43" s="88">
        <f>IF(OR(AQ$1="",$BE43=0),"",IFERROR(LOOKUP(2,1/((Budgets!$A$2:$A$200=AQ$1)*(Budgets!$B$2:$B$200&lt;=$A43)),Budgets!$C$2:$C$200),0))</f>
        <v/>
      </c>
      <c r="AR43" s="88">
        <f>IF(OR(AR$1="",$BE43=0),"",IFERROR(LOOKUP(2,1/((Budgets!$A$2:$A$200=AR$1)*(Budgets!$B$2:$B$200&lt;=$A43)),Budgets!$C$2:$C$200),0))</f>
        <v/>
      </c>
      <c r="AS43" s="88">
        <f>IF(OR(AS$1="",$BE43=0),"",IFERROR(LOOKUP(2,1/((Budgets!$A$2:$A$200=AS$1)*(Budgets!$B$2:$B$200&lt;=$A43)),Budgets!$C$2:$C$200),0))</f>
        <v/>
      </c>
      <c r="AT43" s="88">
        <f>IF(OR(AT$1="",$BE43=0),"",IFERROR(LOOKUP(2,1/((Budgets!$A$2:$A$200=AT$1)*(Budgets!$B$2:$B$200&lt;=$A43)),Budgets!$C$2:$C$200),0))</f>
        <v/>
      </c>
      <c r="AU43" s="88">
        <f>IF(OR(AU$1="",$BE43=0),"",IFERROR(LOOKUP(2,1/((Budgets!$A$2:$A$200=AU$1)*(Budgets!$B$2:$B$200&lt;=$A43)),Budgets!$C$2:$C$200),0))</f>
        <v/>
      </c>
      <c r="AV43" s="88">
        <f>IF(OR(AV$1="",$BE43=0),"",IFERROR(LOOKUP(2,1/((Budgets!$A$2:$A$200=AV$1)*(Budgets!$B$2:$B$200&lt;=$A43)),Budgets!$C$2:$C$200),0))</f>
        <v/>
      </c>
      <c r="AW43" s="88">
        <f>IF(OR(AW$1="",$BE43=0),"",IFERROR(LOOKUP(2,1/((Budgets!$A$2:$A$200=AW$1)*(Budgets!$B$2:$B$200&lt;=$A43)),Budgets!$C$2:$C$200),0))</f>
        <v/>
      </c>
      <c r="AX43" s="88">
        <f>IF(OR(AX$1="",$BE43=0),"",IFERROR(LOOKUP(2,1/((Budgets!$A$2:$A$200=AX$1)*(Budgets!$B$2:$B$200&lt;=$A43)),Budgets!$C$2:$C$200),0))</f>
        <v/>
      </c>
      <c r="AY43" s="88">
        <f>IF(OR(AY$1="",$BE43=0),"",IFERROR(LOOKUP(2,1/((Budgets!$A$2:$A$200=AY$1)*(Budgets!$B$2:$B$200&lt;=$A43)),Budgets!$C$2:$C$200),0))</f>
        <v/>
      </c>
      <c r="AZ43" s="88">
        <f>IF(OR(AZ$1="",$BE43=0),"",IFERROR(LOOKUP(2,1/((Budgets!$A$2:$A$200=AZ$1)*(Budgets!$B$2:$B$200&lt;=$A43)),Budgets!$C$2:$C$200),0))</f>
        <v/>
      </c>
      <c r="BA43" s="88">
        <f>IF(OR(BA$1="",$BE43=0),"",IFERROR(LOOKUP(2,1/((Budgets!$A$2:$A$200=BA$1)*(Budgets!$B$2:$B$200&lt;=$A43)),Budgets!$C$2:$C$200),0))</f>
        <v/>
      </c>
      <c r="BB43" s="88">
        <f>IF(OR(BB$1="",$BE43=0),"",IFERROR(LOOKUP(2,1/((Budgets!$A$2:$A$200=BB$1)*(Budgets!$B$2:$B$200&lt;=$A43)),Budgets!$C$2:$C$200),0))</f>
        <v/>
      </c>
      <c r="BC43" s="88">
        <f>IF(OR(BC$1="",$BE43=0),"",IFERROR(LOOKUP(2,1/((Budgets!$A$2:$A$200=BC$1)*(Budgets!$B$2:$B$200&lt;=$A43)),Budgets!$C$2:$C$200),0))</f>
        <v/>
      </c>
      <c r="BE43" s="67">
        <f>COUNTIFS(Entries!$A$2:$A$5000,$A43)</f>
        <v/>
      </c>
    </row>
    <row r="44" ht="15" customHeight="1" s="43">
      <c r="A44" s="87" t="n">
        <v>40725</v>
      </c>
      <c r="B44" s="88">
        <f>IF($BE44=0,NA(),SUMIFS(Entries!$D$2:$D$5000,Entries!$C$2:$C$5000,"Income",Entries!$A$2:$A$5000,$A44))</f>
        <v/>
      </c>
      <c r="C44" s="88">
        <f>IF($BE44=0,"",SUMIFS(Entries!$D$2:$D$5000,Entries!$C$2:$C$5000,"Actual",Entries!$A$2:$A$5000,$A44))</f>
        <v/>
      </c>
      <c r="D44" s="88">
        <f>IF($BE44=0,"",SUMIFS(Entries!$D$2:$D$5000,Entries!$C$2:$C$5000,"One-off",Entries!$A$2:$A$5000,$A44))</f>
        <v/>
      </c>
      <c r="E44" s="88">
        <f>IF($BE44=0,NA(),C44+D44)</f>
        <v/>
      </c>
      <c r="F44" s="88">
        <f>IF($BE44=0,"",SUM(AJ44:BC44))</f>
        <v/>
      </c>
      <c r="G44" s="88">
        <f>IF($BE44=0,"",B44-E44)</f>
        <v/>
      </c>
      <c r="H44" s="88">
        <f>IF($BE44=0,"",SUM($G$2:G44))</f>
        <v/>
      </c>
      <c r="I44" s="88">
        <f>IF($BE44=0,"",SUMIFS(Entries!$F$2:$F$5000,Entries!$A$2:$A$5000,$A44))</f>
        <v/>
      </c>
      <c r="J44" s="88">
        <f>IF($BE44=0,NA(),H44+SUM($I$2:I44))</f>
        <v/>
      </c>
      <c r="K44" s="88">
        <f>IF($BE44=0,"",SUMIFS(Entries!$D$2:$D$5000,Entries!$C$2:$C$5000,"Income",Entries!$A$2:$A$5000,"&gt;="&amp;EDATE($A44,-11),Entries!$A$2:$A$5000,"&lt;="&amp;$A44)/12)</f>
        <v/>
      </c>
      <c r="L44" s="88">
        <f>IF($BE44=0,"",(SUMIFS(Entries!$D$2:$D$5000,Entries!$C$2:$C$5000,"Actual",Entries!$A$2:$A$5000,"&gt;="&amp;EDATE($A44,-11),Entries!$A$2:$A$5000,"&lt;="&amp;$A44)+SUMIFS(Entries!$D$2:$D$5000,Entries!$C$2:$C$5000,"One-off",Entries!$A$2:$A$5000,"&gt;="&amp;EDATE($A44,-11),Entries!$A$2:$A$5000,"&lt;="&amp;$A44))/12)</f>
        <v/>
      </c>
      <c r="M44" s="70">
        <f>IF($BE44=0,NA(),IFERROR((K44-L44)/K44,0))</f>
        <v/>
      </c>
      <c r="O44" s="88">
        <f>IF(OR(O$1="",$BE44=0),"",SUMIFS(Entries!$D$2:$D$5000,Entries!$C$2:$C$5000,"Actual",Entries!$A$2:$A$5000,$A44,Entries!$B$2:$B$5000,O$1))</f>
        <v/>
      </c>
      <c r="P44" s="88">
        <f>IF(OR(P$1="",$BE44=0),"",SUMIFS(Entries!$D$2:$D$5000,Entries!$C$2:$C$5000,"Actual",Entries!$A$2:$A$5000,$A44,Entries!$B$2:$B$5000,P$1))</f>
        <v/>
      </c>
      <c r="Q44" s="88">
        <f>IF(OR(Q$1="",$BE44=0),"",SUMIFS(Entries!$D$2:$D$5000,Entries!$C$2:$C$5000,"Actual",Entries!$A$2:$A$5000,$A44,Entries!$B$2:$B$5000,Q$1))</f>
        <v/>
      </c>
      <c r="R44" s="88">
        <f>IF(OR(R$1="",$BE44=0),"",SUMIFS(Entries!$D$2:$D$5000,Entries!$C$2:$C$5000,"Actual",Entries!$A$2:$A$5000,$A44,Entries!$B$2:$B$5000,R$1))</f>
        <v/>
      </c>
      <c r="S44" s="88">
        <f>IF(OR(S$1="",$BE44=0),"",SUMIFS(Entries!$D$2:$D$5000,Entries!$C$2:$C$5000,"Actual",Entries!$A$2:$A$5000,$A44,Entries!$B$2:$B$5000,S$1))</f>
        <v/>
      </c>
      <c r="T44" s="88">
        <f>IF(OR(T$1="",$BE44=0),"",SUMIFS(Entries!$D$2:$D$5000,Entries!$C$2:$C$5000,"Actual",Entries!$A$2:$A$5000,$A44,Entries!$B$2:$B$5000,T$1))</f>
        <v/>
      </c>
      <c r="U44" s="88">
        <f>IF(OR(U$1="",$BE44=0),"",SUMIFS(Entries!$D$2:$D$5000,Entries!$C$2:$C$5000,"Actual",Entries!$A$2:$A$5000,$A44,Entries!$B$2:$B$5000,U$1))</f>
        <v/>
      </c>
      <c r="V44" s="88">
        <f>IF(OR(V$1="",$BE44=0),"",SUMIFS(Entries!$D$2:$D$5000,Entries!$C$2:$C$5000,"Actual",Entries!$A$2:$A$5000,$A44,Entries!$B$2:$B$5000,V$1))</f>
        <v/>
      </c>
      <c r="W44" s="88">
        <f>IF(OR(W$1="",$BE44=0),"",SUMIFS(Entries!$D$2:$D$5000,Entries!$C$2:$C$5000,"Actual",Entries!$A$2:$A$5000,$A44,Entries!$B$2:$B$5000,W$1))</f>
        <v/>
      </c>
      <c r="X44" s="88">
        <f>IF(OR(X$1="",$BE44=0),"",SUMIFS(Entries!$D$2:$D$5000,Entries!$C$2:$C$5000,"Actual",Entries!$A$2:$A$5000,$A44,Entries!$B$2:$B$5000,X$1))</f>
        <v/>
      </c>
      <c r="Y44" s="88">
        <f>IF(OR(Y$1="",$BE44=0),"",SUMIFS(Entries!$D$2:$D$5000,Entries!$C$2:$C$5000,"Actual",Entries!$A$2:$A$5000,$A44,Entries!$B$2:$B$5000,Y$1))</f>
        <v/>
      </c>
      <c r="Z44" s="88">
        <f>IF(OR(Z$1="",$BE44=0),"",SUMIFS(Entries!$D$2:$D$5000,Entries!$C$2:$C$5000,"Actual",Entries!$A$2:$A$5000,$A44,Entries!$B$2:$B$5000,Z$1))</f>
        <v/>
      </c>
      <c r="AA44" s="88">
        <f>IF(OR(AA$1="",$BE44=0),"",SUMIFS(Entries!$D$2:$D$5000,Entries!$C$2:$C$5000,"Actual",Entries!$A$2:$A$5000,$A44,Entries!$B$2:$B$5000,AA$1))</f>
        <v/>
      </c>
      <c r="AB44" s="88">
        <f>IF(OR(AB$1="",$BE44=0),"",SUMIFS(Entries!$D$2:$D$5000,Entries!$C$2:$C$5000,"Actual",Entries!$A$2:$A$5000,$A44,Entries!$B$2:$B$5000,AB$1))</f>
        <v/>
      </c>
      <c r="AC44" s="88">
        <f>IF(OR(AC$1="",$BE44=0),"",SUMIFS(Entries!$D$2:$D$5000,Entries!$C$2:$C$5000,"Actual",Entries!$A$2:$A$5000,$A44,Entries!$B$2:$B$5000,AC$1))</f>
        <v/>
      </c>
      <c r="AD44" s="88">
        <f>IF(OR(AD$1="",$BE44=0),"",SUMIFS(Entries!$D$2:$D$5000,Entries!$C$2:$C$5000,"Actual",Entries!$A$2:$A$5000,$A44,Entries!$B$2:$B$5000,AD$1))</f>
        <v/>
      </c>
      <c r="AE44" s="88">
        <f>IF(OR(AE$1="",$BE44=0),"",SUMIFS(Entries!$D$2:$D$5000,Entries!$C$2:$C$5000,"Actual",Entries!$A$2:$A$5000,$A44,Entries!$B$2:$B$5000,AE$1))</f>
        <v/>
      </c>
      <c r="AF44" s="88">
        <f>IF(OR(AF$1="",$BE44=0),"",SUMIFS(Entries!$D$2:$D$5000,Entries!$C$2:$C$5000,"Actual",Entries!$A$2:$A$5000,$A44,Entries!$B$2:$B$5000,AF$1))</f>
        <v/>
      </c>
      <c r="AG44" s="88">
        <f>IF(OR(AG$1="",$BE44=0),"",SUMIFS(Entries!$D$2:$D$5000,Entries!$C$2:$C$5000,"Actual",Entries!$A$2:$A$5000,$A44,Entries!$B$2:$B$5000,AG$1))</f>
        <v/>
      </c>
      <c r="AH44" s="88">
        <f>IF(OR(AH$1="",$BE44=0),"",SUMIFS(Entries!$D$2:$D$5000,Entries!$C$2:$C$5000,"Actual",Entries!$A$2:$A$5000,$A44,Entries!$B$2:$B$5000,AH$1))</f>
        <v/>
      </c>
      <c r="AJ44" s="88">
        <f>IF(OR(AJ$1="",$BE44=0),"",IFERROR(LOOKUP(2,1/((Budgets!$A$2:$A$200=AJ$1)*(Budgets!$B$2:$B$200&lt;=$A44)),Budgets!$C$2:$C$200),0))</f>
        <v/>
      </c>
      <c r="AK44" s="88">
        <f>IF(OR(AK$1="",$BE44=0),"",IFERROR(LOOKUP(2,1/((Budgets!$A$2:$A$200=AK$1)*(Budgets!$B$2:$B$200&lt;=$A44)),Budgets!$C$2:$C$200),0))</f>
        <v/>
      </c>
      <c r="AL44" s="88">
        <f>IF(OR(AL$1="",$BE44=0),"",IFERROR(LOOKUP(2,1/((Budgets!$A$2:$A$200=AL$1)*(Budgets!$B$2:$B$200&lt;=$A44)),Budgets!$C$2:$C$200),0))</f>
        <v/>
      </c>
      <c r="AM44" s="88">
        <f>IF(OR(AM$1="",$BE44=0),"",IFERROR(LOOKUP(2,1/((Budgets!$A$2:$A$200=AM$1)*(Budgets!$B$2:$B$200&lt;=$A44)),Budgets!$C$2:$C$200),0))</f>
        <v/>
      </c>
      <c r="AN44" s="88">
        <f>IF(OR(AN$1="",$BE44=0),"",IFERROR(LOOKUP(2,1/((Budgets!$A$2:$A$200=AN$1)*(Budgets!$B$2:$B$200&lt;=$A44)),Budgets!$C$2:$C$200),0))</f>
        <v/>
      </c>
      <c r="AO44" s="88">
        <f>IF(OR(AO$1="",$BE44=0),"",IFERROR(LOOKUP(2,1/((Budgets!$A$2:$A$200=AO$1)*(Budgets!$B$2:$B$200&lt;=$A44)),Budgets!$C$2:$C$200),0))</f>
        <v/>
      </c>
      <c r="AP44" s="88">
        <f>IF(OR(AP$1="",$BE44=0),"",IFERROR(LOOKUP(2,1/((Budgets!$A$2:$A$200=AP$1)*(Budgets!$B$2:$B$200&lt;=$A44)),Budgets!$C$2:$C$200),0))</f>
        <v/>
      </c>
      <c r="AQ44" s="88">
        <f>IF(OR(AQ$1="",$BE44=0),"",IFERROR(LOOKUP(2,1/((Budgets!$A$2:$A$200=AQ$1)*(Budgets!$B$2:$B$200&lt;=$A44)),Budgets!$C$2:$C$200),0))</f>
        <v/>
      </c>
      <c r="AR44" s="88">
        <f>IF(OR(AR$1="",$BE44=0),"",IFERROR(LOOKUP(2,1/((Budgets!$A$2:$A$200=AR$1)*(Budgets!$B$2:$B$200&lt;=$A44)),Budgets!$C$2:$C$200),0))</f>
        <v/>
      </c>
      <c r="AS44" s="88">
        <f>IF(OR(AS$1="",$BE44=0),"",IFERROR(LOOKUP(2,1/((Budgets!$A$2:$A$200=AS$1)*(Budgets!$B$2:$B$200&lt;=$A44)),Budgets!$C$2:$C$200),0))</f>
        <v/>
      </c>
      <c r="AT44" s="88">
        <f>IF(OR(AT$1="",$BE44=0),"",IFERROR(LOOKUP(2,1/((Budgets!$A$2:$A$200=AT$1)*(Budgets!$B$2:$B$200&lt;=$A44)),Budgets!$C$2:$C$200),0))</f>
        <v/>
      </c>
      <c r="AU44" s="88">
        <f>IF(OR(AU$1="",$BE44=0),"",IFERROR(LOOKUP(2,1/((Budgets!$A$2:$A$200=AU$1)*(Budgets!$B$2:$B$200&lt;=$A44)),Budgets!$C$2:$C$200),0))</f>
        <v/>
      </c>
      <c r="AV44" s="88">
        <f>IF(OR(AV$1="",$BE44=0),"",IFERROR(LOOKUP(2,1/((Budgets!$A$2:$A$200=AV$1)*(Budgets!$B$2:$B$200&lt;=$A44)),Budgets!$C$2:$C$200),0))</f>
        <v/>
      </c>
      <c r="AW44" s="88">
        <f>IF(OR(AW$1="",$BE44=0),"",IFERROR(LOOKUP(2,1/((Budgets!$A$2:$A$200=AW$1)*(Budgets!$B$2:$B$200&lt;=$A44)),Budgets!$C$2:$C$200),0))</f>
        <v/>
      </c>
      <c r="AX44" s="88">
        <f>IF(OR(AX$1="",$BE44=0),"",IFERROR(LOOKUP(2,1/((Budgets!$A$2:$A$200=AX$1)*(Budgets!$B$2:$B$200&lt;=$A44)),Budgets!$C$2:$C$200),0))</f>
        <v/>
      </c>
      <c r="AY44" s="88">
        <f>IF(OR(AY$1="",$BE44=0),"",IFERROR(LOOKUP(2,1/((Budgets!$A$2:$A$200=AY$1)*(Budgets!$B$2:$B$200&lt;=$A44)),Budgets!$C$2:$C$200),0))</f>
        <v/>
      </c>
      <c r="AZ44" s="88">
        <f>IF(OR(AZ$1="",$BE44=0),"",IFERROR(LOOKUP(2,1/((Budgets!$A$2:$A$200=AZ$1)*(Budgets!$B$2:$B$200&lt;=$A44)),Budgets!$C$2:$C$200),0))</f>
        <v/>
      </c>
      <c r="BA44" s="88">
        <f>IF(OR(BA$1="",$BE44=0),"",IFERROR(LOOKUP(2,1/((Budgets!$A$2:$A$200=BA$1)*(Budgets!$B$2:$B$200&lt;=$A44)),Budgets!$C$2:$C$200),0))</f>
        <v/>
      </c>
      <c r="BB44" s="88">
        <f>IF(OR(BB$1="",$BE44=0),"",IFERROR(LOOKUP(2,1/((Budgets!$A$2:$A$200=BB$1)*(Budgets!$B$2:$B$200&lt;=$A44)),Budgets!$C$2:$C$200),0))</f>
        <v/>
      </c>
      <c r="BC44" s="88">
        <f>IF(OR(BC$1="",$BE44=0),"",IFERROR(LOOKUP(2,1/((Budgets!$A$2:$A$200=BC$1)*(Budgets!$B$2:$B$200&lt;=$A44)),Budgets!$C$2:$C$200),0))</f>
        <v/>
      </c>
      <c r="BE44" s="67">
        <f>COUNTIFS(Entries!$A$2:$A$5000,$A44)</f>
        <v/>
      </c>
    </row>
    <row r="45" ht="15" customHeight="1" s="43">
      <c r="A45" s="87" t="n">
        <v>40756</v>
      </c>
      <c r="B45" s="88">
        <f>IF($BE45=0,NA(),SUMIFS(Entries!$D$2:$D$5000,Entries!$C$2:$C$5000,"Income",Entries!$A$2:$A$5000,$A45))</f>
        <v/>
      </c>
      <c r="C45" s="88">
        <f>IF($BE45=0,"",SUMIFS(Entries!$D$2:$D$5000,Entries!$C$2:$C$5000,"Actual",Entries!$A$2:$A$5000,$A45))</f>
        <v/>
      </c>
      <c r="D45" s="88">
        <f>IF($BE45=0,"",SUMIFS(Entries!$D$2:$D$5000,Entries!$C$2:$C$5000,"One-off",Entries!$A$2:$A$5000,$A45))</f>
        <v/>
      </c>
      <c r="E45" s="88">
        <f>IF($BE45=0,NA(),C45+D45)</f>
        <v/>
      </c>
      <c r="F45" s="88">
        <f>IF($BE45=0,"",SUM(AJ45:BC45))</f>
        <v/>
      </c>
      <c r="G45" s="88">
        <f>IF($BE45=0,"",B45-E45)</f>
        <v/>
      </c>
      <c r="H45" s="88">
        <f>IF($BE45=0,"",SUM($G$2:G45))</f>
        <v/>
      </c>
      <c r="I45" s="88">
        <f>IF($BE45=0,"",SUMIFS(Entries!$F$2:$F$5000,Entries!$A$2:$A$5000,$A45))</f>
        <v/>
      </c>
      <c r="J45" s="88">
        <f>IF($BE45=0,NA(),H45+SUM($I$2:I45))</f>
        <v/>
      </c>
      <c r="K45" s="88">
        <f>IF($BE45=0,"",SUMIFS(Entries!$D$2:$D$5000,Entries!$C$2:$C$5000,"Income",Entries!$A$2:$A$5000,"&gt;="&amp;EDATE($A45,-11),Entries!$A$2:$A$5000,"&lt;="&amp;$A45)/12)</f>
        <v/>
      </c>
      <c r="L45" s="88">
        <f>IF($BE45=0,"",(SUMIFS(Entries!$D$2:$D$5000,Entries!$C$2:$C$5000,"Actual",Entries!$A$2:$A$5000,"&gt;="&amp;EDATE($A45,-11),Entries!$A$2:$A$5000,"&lt;="&amp;$A45)+SUMIFS(Entries!$D$2:$D$5000,Entries!$C$2:$C$5000,"One-off",Entries!$A$2:$A$5000,"&gt;="&amp;EDATE($A45,-11),Entries!$A$2:$A$5000,"&lt;="&amp;$A45))/12)</f>
        <v/>
      </c>
      <c r="M45" s="70">
        <f>IF($BE45=0,NA(),IFERROR((K45-L45)/K45,0))</f>
        <v/>
      </c>
      <c r="O45" s="88">
        <f>IF(OR(O$1="",$BE45=0),"",SUMIFS(Entries!$D$2:$D$5000,Entries!$C$2:$C$5000,"Actual",Entries!$A$2:$A$5000,$A45,Entries!$B$2:$B$5000,O$1))</f>
        <v/>
      </c>
      <c r="P45" s="88">
        <f>IF(OR(P$1="",$BE45=0),"",SUMIFS(Entries!$D$2:$D$5000,Entries!$C$2:$C$5000,"Actual",Entries!$A$2:$A$5000,$A45,Entries!$B$2:$B$5000,P$1))</f>
        <v/>
      </c>
      <c r="Q45" s="88">
        <f>IF(OR(Q$1="",$BE45=0),"",SUMIFS(Entries!$D$2:$D$5000,Entries!$C$2:$C$5000,"Actual",Entries!$A$2:$A$5000,$A45,Entries!$B$2:$B$5000,Q$1))</f>
        <v/>
      </c>
      <c r="R45" s="88">
        <f>IF(OR(R$1="",$BE45=0),"",SUMIFS(Entries!$D$2:$D$5000,Entries!$C$2:$C$5000,"Actual",Entries!$A$2:$A$5000,$A45,Entries!$B$2:$B$5000,R$1))</f>
        <v/>
      </c>
      <c r="S45" s="88">
        <f>IF(OR(S$1="",$BE45=0),"",SUMIFS(Entries!$D$2:$D$5000,Entries!$C$2:$C$5000,"Actual",Entries!$A$2:$A$5000,$A45,Entries!$B$2:$B$5000,S$1))</f>
        <v/>
      </c>
      <c r="T45" s="88">
        <f>IF(OR(T$1="",$BE45=0),"",SUMIFS(Entries!$D$2:$D$5000,Entries!$C$2:$C$5000,"Actual",Entries!$A$2:$A$5000,$A45,Entries!$B$2:$B$5000,T$1))</f>
        <v/>
      </c>
      <c r="U45" s="88">
        <f>IF(OR(U$1="",$BE45=0),"",SUMIFS(Entries!$D$2:$D$5000,Entries!$C$2:$C$5000,"Actual",Entries!$A$2:$A$5000,$A45,Entries!$B$2:$B$5000,U$1))</f>
        <v/>
      </c>
      <c r="V45" s="88">
        <f>IF(OR(V$1="",$BE45=0),"",SUMIFS(Entries!$D$2:$D$5000,Entries!$C$2:$C$5000,"Actual",Entries!$A$2:$A$5000,$A45,Entries!$B$2:$B$5000,V$1))</f>
        <v/>
      </c>
      <c r="W45" s="88">
        <f>IF(OR(W$1="",$BE45=0),"",SUMIFS(Entries!$D$2:$D$5000,Entries!$C$2:$C$5000,"Actual",Entries!$A$2:$A$5000,$A45,Entries!$B$2:$B$5000,W$1))</f>
        <v/>
      </c>
      <c r="X45" s="88">
        <f>IF(OR(X$1="",$BE45=0),"",SUMIFS(Entries!$D$2:$D$5000,Entries!$C$2:$C$5000,"Actual",Entries!$A$2:$A$5000,$A45,Entries!$B$2:$B$5000,X$1))</f>
        <v/>
      </c>
      <c r="Y45" s="88">
        <f>IF(OR(Y$1="",$BE45=0),"",SUMIFS(Entries!$D$2:$D$5000,Entries!$C$2:$C$5000,"Actual",Entries!$A$2:$A$5000,$A45,Entries!$B$2:$B$5000,Y$1))</f>
        <v/>
      </c>
      <c r="Z45" s="88">
        <f>IF(OR(Z$1="",$BE45=0),"",SUMIFS(Entries!$D$2:$D$5000,Entries!$C$2:$C$5000,"Actual",Entries!$A$2:$A$5000,$A45,Entries!$B$2:$B$5000,Z$1))</f>
        <v/>
      </c>
      <c r="AA45" s="88">
        <f>IF(OR(AA$1="",$BE45=0),"",SUMIFS(Entries!$D$2:$D$5000,Entries!$C$2:$C$5000,"Actual",Entries!$A$2:$A$5000,$A45,Entries!$B$2:$B$5000,AA$1))</f>
        <v/>
      </c>
      <c r="AB45" s="88">
        <f>IF(OR(AB$1="",$BE45=0),"",SUMIFS(Entries!$D$2:$D$5000,Entries!$C$2:$C$5000,"Actual",Entries!$A$2:$A$5000,$A45,Entries!$B$2:$B$5000,AB$1))</f>
        <v/>
      </c>
      <c r="AC45" s="88">
        <f>IF(OR(AC$1="",$BE45=0),"",SUMIFS(Entries!$D$2:$D$5000,Entries!$C$2:$C$5000,"Actual",Entries!$A$2:$A$5000,$A45,Entries!$B$2:$B$5000,AC$1))</f>
        <v/>
      </c>
      <c r="AD45" s="88">
        <f>IF(OR(AD$1="",$BE45=0),"",SUMIFS(Entries!$D$2:$D$5000,Entries!$C$2:$C$5000,"Actual",Entries!$A$2:$A$5000,$A45,Entries!$B$2:$B$5000,AD$1))</f>
        <v/>
      </c>
      <c r="AE45" s="88">
        <f>IF(OR(AE$1="",$BE45=0),"",SUMIFS(Entries!$D$2:$D$5000,Entries!$C$2:$C$5000,"Actual",Entries!$A$2:$A$5000,$A45,Entries!$B$2:$B$5000,AE$1))</f>
        <v/>
      </c>
      <c r="AF45" s="88">
        <f>IF(OR(AF$1="",$BE45=0),"",SUMIFS(Entries!$D$2:$D$5000,Entries!$C$2:$C$5000,"Actual",Entries!$A$2:$A$5000,$A45,Entries!$B$2:$B$5000,AF$1))</f>
        <v/>
      </c>
      <c r="AG45" s="88">
        <f>IF(OR(AG$1="",$BE45=0),"",SUMIFS(Entries!$D$2:$D$5000,Entries!$C$2:$C$5000,"Actual",Entries!$A$2:$A$5000,$A45,Entries!$B$2:$B$5000,AG$1))</f>
        <v/>
      </c>
      <c r="AH45" s="88">
        <f>IF(OR(AH$1="",$BE45=0),"",SUMIFS(Entries!$D$2:$D$5000,Entries!$C$2:$C$5000,"Actual",Entries!$A$2:$A$5000,$A45,Entries!$B$2:$B$5000,AH$1))</f>
        <v/>
      </c>
      <c r="AJ45" s="88">
        <f>IF(OR(AJ$1="",$BE45=0),"",IFERROR(LOOKUP(2,1/((Budgets!$A$2:$A$200=AJ$1)*(Budgets!$B$2:$B$200&lt;=$A45)),Budgets!$C$2:$C$200),0))</f>
        <v/>
      </c>
      <c r="AK45" s="88">
        <f>IF(OR(AK$1="",$BE45=0),"",IFERROR(LOOKUP(2,1/((Budgets!$A$2:$A$200=AK$1)*(Budgets!$B$2:$B$200&lt;=$A45)),Budgets!$C$2:$C$200),0))</f>
        <v/>
      </c>
      <c r="AL45" s="88">
        <f>IF(OR(AL$1="",$BE45=0),"",IFERROR(LOOKUP(2,1/((Budgets!$A$2:$A$200=AL$1)*(Budgets!$B$2:$B$200&lt;=$A45)),Budgets!$C$2:$C$200),0))</f>
        <v/>
      </c>
      <c r="AM45" s="88">
        <f>IF(OR(AM$1="",$BE45=0),"",IFERROR(LOOKUP(2,1/((Budgets!$A$2:$A$200=AM$1)*(Budgets!$B$2:$B$200&lt;=$A45)),Budgets!$C$2:$C$200),0))</f>
        <v/>
      </c>
      <c r="AN45" s="88">
        <f>IF(OR(AN$1="",$BE45=0),"",IFERROR(LOOKUP(2,1/((Budgets!$A$2:$A$200=AN$1)*(Budgets!$B$2:$B$200&lt;=$A45)),Budgets!$C$2:$C$200),0))</f>
        <v/>
      </c>
      <c r="AO45" s="88">
        <f>IF(OR(AO$1="",$BE45=0),"",IFERROR(LOOKUP(2,1/((Budgets!$A$2:$A$200=AO$1)*(Budgets!$B$2:$B$200&lt;=$A45)),Budgets!$C$2:$C$200),0))</f>
        <v/>
      </c>
      <c r="AP45" s="88">
        <f>IF(OR(AP$1="",$BE45=0),"",IFERROR(LOOKUP(2,1/((Budgets!$A$2:$A$200=AP$1)*(Budgets!$B$2:$B$200&lt;=$A45)),Budgets!$C$2:$C$200),0))</f>
        <v/>
      </c>
      <c r="AQ45" s="88">
        <f>IF(OR(AQ$1="",$BE45=0),"",IFERROR(LOOKUP(2,1/((Budgets!$A$2:$A$200=AQ$1)*(Budgets!$B$2:$B$200&lt;=$A45)),Budgets!$C$2:$C$200),0))</f>
        <v/>
      </c>
      <c r="AR45" s="88">
        <f>IF(OR(AR$1="",$BE45=0),"",IFERROR(LOOKUP(2,1/((Budgets!$A$2:$A$200=AR$1)*(Budgets!$B$2:$B$200&lt;=$A45)),Budgets!$C$2:$C$200),0))</f>
        <v/>
      </c>
      <c r="AS45" s="88">
        <f>IF(OR(AS$1="",$BE45=0),"",IFERROR(LOOKUP(2,1/((Budgets!$A$2:$A$200=AS$1)*(Budgets!$B$2:$B$200&lt;=$A45)),Budgets!$C$2:$C$200),0))</f>
        <v/>
      </c>
      <c r="AT45" s="88">
        <f>IF(OR(AT$1="",$BE45=0),"",IFERROR(LOOKUP(2,1/((Budgets!$A$2:$A$200=AT$1)*(Budgets!$B$2:$B$200&lt;=$A45)),Budgets!$C$2:$C$200),0))</f>
        <v/>
      </c>
      <c r="AU45" s="88">
        <f>IF(OR(AU$1="",$BE45=0),"",IFERROR(LOOKUP(2,1/((Budgets!$A$2:$A$200=AU$1)*(Budgets!$B$2:$B$200&lt;=$A45)),Budgets!$C$2:$C$200),0))</f>
        <v/>
      </c>
      <c r="AV45" s="88">
        <f>IF(OR(AV$1="",$BE45=0),"",IFERROR(LOOKUP(2,1/((Budgets!$A$2:$A$200=AV$1)*(Budgets!$B$2:$B$200&lt;=$A45)),Budgets!$C$2:$C$200),0))</f>
        <v/>
      </c>
      <c r="AW45" s="88">
        <f>IF(OR(AW$1="",$BE45=0),"",IFERROR(LOOKUP(2,1/((Budgets!$A$2:$A$200=AW$1)*(Budgets!$B$2:$B$200&lt;=$A45)),Budgets!$C$2:$C$200),0))</f>
        <v/>
      </c>
      <c r="AX45" s="88">
        <f>IF(OR(AX$1="",$BE45=0),"",IFERROR(LOOKUP(2,1/((Budgets!$A$2:$A$200=AX$1)*(Budgets!$B$2:$B$200&lt;=$A45)),Budgets!$C$2:$C$200),0))</f>
        <v/>
      </c>
      <c r="AY45" s="88">
        <f>IF(OR(AY$1="",$BE45=0),"",IFERROR(LOOKUP(2,1/((Budgets!$A$2:$A$200=AY$1)*(Budgets!$B$2:$B$200&lt;=$A45)),Budgets!$C$2:$C$200),0))</f>
        <v/>
      </c>
      <c r="AZ45" s="88">
        <f>IF(OR(AZ$1="",$BE45=0),"",IFERROR(LOOKUP(2,1/((Budgets!$A$2:$A$200=AZ$1)*(Budgets!$B$2:$B$200&lt;=$A45)),Budgets!$C$2:$C$200),0))</f>
        <v/>
      </c>
      <c r="BA45" s="88">
        <f>IF(OR(BA$1="",$BE45=0),"",IFERROR(LOOKUP(2,1/((Budgets!$A$2:$A$200=BA$1)*(Budgets!$B$2:$B$200&lt;=$A45)),Budgets!$C$2:$C$200),0))</f>
        <v/>
      </c>
      <c r="BB45" s="88">
        <f>IF(OR(BB$1="",$BE45=0),"",IFERROR(LOOKUP(2,1/((Budgets!$A$2:$A$200=BB$1)*(Budgets!$B$2:$B$200&lt;=$A45)),Budgets!$C$2:$C$200),0))</f>
        <v/>
      </c>
      <c r="BC45" s="88">
        <f>IF(OR(BC$1="",$BE45=0),"",IFERROR(LOOKUP(2,1/((Budgets!$A$2:$A$200=BC$1)*(Budgets!$B$2:$B$200&lt;=$A45)),Budgets!$C$2:$C$200),0))</f>
        <v/>
      </c>
      <c r="BE45" s="67">
        <f>COUNTIFS(Entries!$A$2:$A$5000,$A45)</f>
        <v/>
      </c>
    </row>
    <row r="46" ht="15" customHeight="1" s="43">
      <c r="A46" s="87" t="n">
        <v>40787</v>
      </c>
      <c r="B46" s="88">
        <f>IF($BE46=0,NA(),SUMIFS(Entries!$D$2:$D$5000,Entries!$C$2:$C$5000,"Income",Entries!$A$2:$A$5000,$A46))</f>
        <v/>
      </c>
      <c r="C46" s="88">
        <f>IF($BE46=0,"",SUMIFS(Entries!$D$2:$D$5000,Entries!$C$2:$C$5000,"Actual",Entries!$A$2:$A$5000,$A46))</f>
        <v/>
      </c>
      <c r="D46" s="88">
        <f>IF($BE46=0,"",SUMIFS(Entries!$D$2:$D$5000,Entries!$C$2:$C$5000,"One-off",Entries!$A$2:$A$5000,$A46))</f>
        <v/>
      </c>
      <c r="E46" s="88">
        <f>IF($BE46=0,NA(),C46+D46)</f>
        <v/>
      </c>
      <c r="F46" s="88">
        <f>IF($BE46=0,"",SUM(AJ46:BC46))</f>
        <v/>
      </c>
      <c r="G46" s="88">
        <f>IF($BE46=0,"",B46-E46)</f>
        <v/>
      </c>
      <c r="H46" s="88">
        <f>IF($BE46=0,"",SUM($G$2:G46))</f>
        <v/>
      </c>
      <c r="I46" s="88">
        <f>IF($BE46=0,"",SUMIFS(Entries!$F$2:$F$5000,Entries!$A$2:$A$5000,$A46))</f>
        <v/>
      </c>
      <c r="J46" s="88">
        <f>IF($BE46=0,NA(),H46+SUM($I$2:I46))</f>
        <v/>
      </c>
      <c r="K46" s="88">
        <f>IF($BE46=0,"",SUMIFS(Entries!$D$2:$D$5000,Entries!$C$2:$C$5000,"Income",Entries!$A$2:$A$5000,"&gt;="&amp;EDATE($A46,-11),Entries!$A$2:$A$5000,"&lt;="&amp;$A46)/12)</f>
        <v/>
      </c>
      <c r="L46" s="88">
        <f>IF($BE46=0,"",(SUMIFS(Entries!$D$2:$D$5000,Entries!$C$2:$C$5000,"Actual",Entries!$A$2:$A$5000,"&gt;="&amp;EDATE($A46,-11),Entries!$A$2:$A$5000,"&lt;="&amp;$A46)+SUMIFS(Entries!$D$2:$D$5000,Entries!$C$2:$C$5000,"One-off",Entries!$A$2:$A$5000,"&gt;="&amp;EDATE($A46,-11),Entries!$A$2:$A$5000,"&lt;="&amp;$A46))/12)</f>
        <v/>
      </c>
      <c r="M46" s="70">
        <f>IF($BE46=0,NA(),IFERROR((K46-L46)/K46,0))</f>
        <v/>
      </c>
      <c r="O46" s="88">
        <f>IF(OR(O$1="",$BE46=0),"",SUMIFS(Entries!$D$2:$D$5000,Entries!$C$2:$C$5000,"Actual",Entries!$A$2:$A$5000,$A46,Entries!$B$2:$B$5000,O$1))</f>
        <v/>
      </c>
      <c r="P46" s="88">
        <f>IF(OR(P$1="",$BE46=0),"",SUMIFS(Entries!$D$2:$D$5000,Entries!$C$2:$C$5000,"Actual",Entries!$A$2:$A$5000,$A46,Entries!$B$2:$B$5000,P$1))</f>
        <v/>
      </c>
      <c r="Q46" s="88">
        <f>IF(OR(Q$1="",$BE46=0),"",SUMIFS(Entries!$D$2:$D$5000,Entries!$C$2:$C$5000,"Actual",Entries!$A$2:$A$5000,$A46,Entries!$B$2:$B$5000,Q$1))</f>
        <v/>
      </c>
      <c r="R46" s="88">
        <f>IF(OR(R$1="",$BE46=0),"",SUMIFS(Entries!$D$2:$D$5000,Entries!$C$2:$C$5000,"Actual",Entries!$A$2:$A$5000,$A46,Entries!$B$2:$B$5000,R$1))</f>
        <v/>
      </c>
      <c r="S46" s="88">
        <f>IF(OR(S$1="",$BE46=0),"",SUMIFS(Entries!$D$2:$D$5000,Entries!$C$2:$C$5000,"Actual",Entries!$A$2:$A$5000,$A46,Entries!$B$2:$B$5000,S$1))</f>
        <v/>
      </c>
      <c r="T46" s="88">
        <f>IF(OR(T$1="",$BE46=0),"",SUMIFS(Entries!$D$2:$D$5000,Entries!$C$2:$C$5000,"Actual",Entries!$A$2:$A$5000,$A46,Entries!$B$2:$B$5000,T$1))</f>
        <v/>
      </c>
      <c r="U46" s="88">
        <f>IF(OR(U$1="",$BE46=0),"",SUMIFS(Entries!$D$2:$D$5000,Entries!$C$2:$C$5000,"Actual",Entries!$A$2:$A$5000,$A46,Entries!$B$2:$B$5000,U$1))</f>
        <v/>
      </c>
      <c r="V46" s="88">
        <f>IF(OR(V$1="",$BE46=0),"",SUMIFS(Entries!$D$2:$D$5000,Entries!$C$2:$C$5000,"Actual",Entries!$A$2:$A$5000,$A46,Entries!$B$2:$B$5000,V$1))</f>
        <v/>
      </c>
      <c r="W46" s="88">
        <f>IF(OR(W$1="",$BE46=0),"",SUMIFS(Entries!$D$2:$D$5000,Entries!$C$2:$C$5000,"Actual",Entries!$A$2:$A$5000,$A46,Entries!$B$2:$B$5000,W$1))</f>
        <v/>
      </c>
      <c r="X46" s="88">
        <f>IF(OR(X$1="",$BE46=0),"",SUMIFS(Entries!$D$2:$D$5000,Entries!$C$2:$C$5000,"Actual",Entries!$A$2:$A$5000,$A46,Entries!$B$2:$B$5000,X$1))</f>
        <v/>
      </c>
      <c r="Y46" s="88">
        <f>IF(OR(Y$1="",$BE46=0),"",SUMIFS(Entries!$D$2:$D$5000,Entries!$C$2:$C$5000,"Actual",Entries!$A$2:$A$5000,$A46,Entries!$B$2:$B$5000,Y$1))</f>
        <v/>
      </c>
      <c r="Z46" s="88">
        <f>IF(OR(Z$1="",$BE46=0),"",SUMIFS(Entries!$D$2:$D$5000,Entries!$C$2:$C$5000,"Actual",Entries!$A$2:$A$5000,$A46,Entries!$B$2:$B$5000,Z$1))</f>
        <v/>
      </c>
      <c r="AA46" s="88">
        <f>IF(OR(AA$1="",$BE46=0),"",SUMIFS(Entries!$D$2:$D$5000,Entries!$C$2:$C$5000,"Actual",Entries!$A$2:$A$5000,$A46,Entries!$B$2:$B$5000,AA$1))</f>
        <v/>
      </c>
      <c r="AB46" s="88">
        <f>IF(OR(AB$1="",$BE46=0),"",SUMIFS(Entries!$D$2:$D$5000,Entries!$C$2:$C$5000,"Actual",Entries!$A$2:$A$5000,$A46,Entries!$B$2:$B$5000,AB$1))</f>
        <v/>
      </c>
      <c r="AC46" s="88">
        <f>IF(OR(AC$1="",$BE46=0),"",SUMIFS(Entries!$D$2:$D$5000,Entries!$C$2:$C$5000,"Actual",Entries!$A$2:$A$5000,$A46,Entries!$B$2:$B$5000,AC$1))</f>
        <v/>
      </c>
      <c r="AD46" s="88">
        <f>IF(OR(AD$1="",$BE46=0),"",SUMIFS(Entries!$D$2:$D$5000,Entries!$C$2:$C$5000,"Actual",Entries!$A$2:$A$5000,$A46,Entries!$B$2:$B$5000,AD$1))</f>
        <v/>
      </c>
      <c r="AE46" s="88">
        <f>IF(OR(AE$1="",$BE46=0),"",SUMIFS(Entries!$D$2:$D$5000,Entries!$C$2:$C$5000,"Actual",Entries!$A$2:$A$5000,$A46,Entries!$B$2:$B$5000,AE$1))</f>
        <v/>
      </c>
      <c r="AF46" s="88">
        <f>IF(OR(AF$1="",$BE46=0),"",SUMIFS(Entries!$D$2:$D$5000,Entries!$C$2:$C$5000,"Actual",Entries!$A$2:$A$5000,$A46,Entries!$B$2:$B$5000,AF$1))</f>
        <v/>
      </c>
      <c r="AG46" s="88">
        <f>IF(OR(AG$1="",$BE46=0),"",SUMIFS(Entries!$D$2:$D$5000,Entries!$C$2:$C$5000,"Actual",Entries!$A$2:$A$5000,$A46,Entries!$B$2:$B$5000,AG$1))</f>
        <v/>
      </c>
      <c r="AH46" s="88">
        <f>IF(OR(AH$1="",$BE46=0),"",SUMIFS(Entries!$D$2:$D$5000,Entries!$C$2:$C$5000,"Actual",Entries!$A$2:$A$5000,$A46,Entries!$B$2:$B$5000,AH$1))</f>
        <v/>
      </c>
      <c r="AJ46" s="88">
        <f>IF(OR(AJ$1="",$BE46=0),"",IFERROR(LOOKUP(2,1/((Budgets!$A$2:$A$200=AJ$1)*(Budgets!$B$2:$B$200&lt;=$A46)),Budgets!$C$2:$C$200),0))</f>
        <v/>
      </c>
      <c r="AK46" s="88">
        <f>IF(OR(AK$1="",$BE46=0),"",IFERROR(LOOKUP(2,1/((Budgets!$A$2:$A$200=AK$1)*(Budgets!$B$2:$B$200&lt;=$A46)),Budgets!$C$2:$C$200),0))</f>
        <v/>
      </c>
      <c r="AL46" s="88">
        <f>IF(OR(AL$1="",$BE46=0),"",IFERROR(LOOKUP(2,1/((Budgets!$A$2:$A$200=AL$1)*(Budgets!$B$2:$B$200&lt;=$A46)),Budgets!$C$2:$C$200),0))</f>
        <v/>
      </c>
      <c r="AM46" s="88">
        <f>IF(OR(AM$1="",$BE46=0),"",IFERROR(LOOKUP(2,1/((Budgets!$A$2:$A$200=AM$1)*(Budgets!$B$2:$B$200&lt;=$A46)),Budgets!$C$2:$C$200),0))</f>
        <v/>
      </c>
      <c r="AN46" s="88">
        <f>IF(OR(AN$1="",$BE46=0),"",IFERROR(LOOKUP(2,1/((Budgets!$A$2:$A$200=AN$1)*(Budgets!$B$2:$B$200&lt;=$A46)),Budgets!$C$2:$C$200),0))</f>
        <v/>
      </c>
      <c r="AO46" s="88">
        <f>IF(OR(AO$1="",$BE46=0),"",IFERROR(LOOKUP(2,1/((Budgets!$A$2:$A$200=AO$1)*(Budgets!$B$2:$B$200&lt;=$A46)),Budgets!$C$2:$C$200),0))</f>
        <v/>
      </c>
      <c r="AP46" s="88">
        <f>IF(OR(AP$1="",$BE46=0),"",IFERROR(LOOKUP(2,1/((Budgets!$A$2:$A$200=AP$1)*(Budgets!$B$2:$B$200&lt;=$A46)),Budgets!$C$2:$C$200),0))</f>
        <v/>
      </c>
      <c r="AQ46" s="88">
        <f>IF(OR(AQ$1="",$BE46=0),"",IFERROR(LOOKUP(2,1/((Budgets!$A$2:$A$200=AQ$1)*(Budgets!$B$2:$B$200&lt;=$A46)),Budgets!$C$2:$C$200),0))</f>
        <v/>
      </c>
      <c r="AR46" s="88">
        <f>IF(OR(AR$1="",$BE46=0),"",IFERROR(LOOKUP(2,1/((Budgets!$A$2:$A$200=AR$1)*(Budgets!$B$2:$B$200&lt;=$A46)),Budgets!$C$2:$C$200),0))</f>
        <v/>
      </c>
      <c r="AS46" s="88">
        <f>IF(OR(AS$1="",$BE46=0),"",IFERROR(LOOKUP(2,1/((Budgets!$A$2:$A$200=AS$1)*(Budgets!$B$2:$B$200&lt;=$A46)),Budgets!$C$2:$C$200),0))</f>
        <v/>
      </c>
      <c r="AT46" s="88">
        <f>IF(OR(AT$1="",$BE46=0),"",IFERROR(LOOKUP(2,1/((Budgets!$A$2:$A$200=AT$1)*(Budgets!$B$2:$B$200&lt;=$A46)),Budgets!$C$2:$C$200),0))</f>
        <v/>
      </c>
      <c r="AU46" s="88">
        <f>IF(OR(AU$1="",$BE46=0),"",IFERROR(LOOKUP(2,1/((Budgets!$A$2:$A$200=AU$1)*(Budgets!$B$2:$B$200&lt;=$A46)),Budgets!$C$2:$C$200),0))</f>
        <v/>
      </c>
      <c r="AV46" s="88">
        <f>IF(OR(AV$1="",$BE46=0),"",IFERROR(LOOKUP(2,1/((Budgets!$A$2:$A$200=AV$1)*(Budgets!$B$2:$B$200&lt;=$A46)),Budgets!$C$2:$C$200),0))</f>
        <v/>
      </c>
      <c r="AW46" s="88">
        <f>IF(OR(AW$1="",$BE46=0),"",IFERROR(LOOKUP(2,1/((Budgets!$A$2:$A$200=AW$1)*(Budgets!$B$2:$B$200&lt;=$A46)),Budgets!$C$2:$C$200),0))</f>
        <v/>
      </c>
      <c r="AX46" s="88">
        <f>IF(OR(AX$1="",$BE46=0),"",IFERROR(LOOKUP(2,1/((Budgets!$A$2:$A$200=AX$1)*(Budgets!$B$2:$B$200&lt;=$A46)),Budgets!$C$2:$C$200),0))</f>
        <v/>
      </c>
      <c r="AY46" s="88">
        <f>IF(OR(AY$1="",$BE46=0),"",IFERROR(LOOKUP(2,1/((Budgets!$A$2:$A$200=AY$1)*(Budgets!$B$2:$B$200&lt;=$A46)),Budgets!$C$2:$C$200),0))</f>
        <v/>
      </c>
      <c r="AZ46" s="88">
        <f>IF(OR(AZ$1="",$BE46=0),"",IFERROR(LOOKUP(2,1/((Budgets!$A$2:$A$200=AZ$1)*(Budgets!$B$2:$B$200&lt;=$A46)),Budgets!$C$2:$C$200),0))</f>
        <v/>
      </c>
      <c r="BA46" s="88">
        <f>IF(OR(BA$1="",$BE46=0),"",IFERROR(LOOKUP(2,1/((Budgets!$A$2:$A$200=BA$1)*(Budgets!$B$2:$B$200&lt;=$A46)),Budgets!$C$2:$C$200),0))</f>
        <v/>
      </c>
      <c r="BB46" s="88">
        <f>IF(OR(BB$1="",$BE46=0),"",IFERROR(LOOKUP(2,1/((Budgets!$A$2:$A$200=BB$1)*(Budgets!$B$2:$B$200&lt;=$A46)),Budgets!$C$2:$C$200),0))</f>
        <v/>
      </c>
      <c r="BC46" s="88">
        <f>IF(OR(BC$1="",$BE46=0),"",IFERROR(LOOKUP(2,1/((Budgets!$A$2:$A$200=BC$1)*(Budgets!$B$2:$B$200&lt;=$A46)),Budgets!$C$2:$C$200),0))</f>
        <v/>
      </c>
      <c r="BE46" s="67">
        <f>COUNTIFS(Entries!$A$2:$A$5000,$A46)</f>
        <v/>
      </c>
    </row>
    <row r="47" ht="15" customHeight="1" s="43">
      <c r="A47" s="87" t="n">
        <v>40817</v>
      </c>
      <c r="B47" s="88">
        <f>IF($BE47=0,NA(),SUMIFS(Entries!$D$2:$D$5000,Entries!$C$2:$C$5000,"Income",Entries!$A$2:$A$5000,$A47))</f>
        <v/>
      </c>
      <c r="C47" s="88">
        <f>IF($BE47=0,"",SUMIFS(Entries!$D$2:$D$5000,Entries!$C$2:$C$5000,"Actual",Entries!$A$2:$A$5000,$A47))</f>
        <v/>
      </c>
      <c r="D47" s="88">
        <f>IF($BE47=0,"",SUMIFS(Entries!$D$2:$D$5000,Entries!$C$2:$C$5000,"One-off",Entries!$A$2:$A$5000,$A47))</f>
        <v/>
      </c>
      <c r="E47" s="88">
        <f>IF($BE47=0,NA(),C47+D47)</f>
        <v/>
      </c>
      <c r="F47" s="88">
        <f>IF($BE47=0,"",SUM(AJ47:BC47))</f>
        <v/>
      </c>
      <c r="G47" s="88">
        <f>IF($BE47=0,"",B47-E47)</f>
        <v/>
      </c>
      <c r="H47" s="88">
        <f>IF($BE47=0,"",SUM($G$2:G47))</f>
        <v/>
      </c>
      <c r="I47" s="88">
        <f>IF($BE47=0,"",SUMIFS(Entries!$F$2:$F$5000,Entries!$A$2:$A$5000,$A47))</f>
        <v/>
      </c>
      <c r="J47" s="88">
        <f>IF($BE47=0,NA(),H47+SUM($I$2:I47))</f>
        <v/>
      </c>
      <c r="K47" s="88">
        <f>IF($BE47=0,"",SUMIFS(Entries!$D$2:$D$5000,Entries!$C$2:$C$5000,"Income",Entries!$A$2:$A$5000,"&gt;="&amp;EDATE($A47,-11),Entries!$A$2:$A$5000,"&lt;="&amp;$A47)/12)</f>
        <v/>
      </c>
      <c r="L47" s="88">
        <f>IF($BE47=0,"",(SUMIFS(Entries!$D$2:$D$5000,Entries!$C$2:$C$5000,"Actual",Entries!$A$2:$A$5000,"&gt;="&amp;EDATE($A47,-11),Entries!$A$2:$A$5000,"&lt;="&amp;$A47)+SUMIFS(Entries!$D$2:$D$5000,Entries!$C$2:$C$5000,"One-off",Entries!$A$2:$A$5000,"&gt;="&amp;EDATE($A47,-11),Entries!$A$2:$A$5000,"&lt;="&amp;$A47))/12)</f>
        <v/>
      </c>
      <c r="M47" s="70">
        <f>IF($BE47=0,NA(),IFERROR((K47-L47)/K47,0))</f>
        <v/>
      </c>
      <c r="O47" s="88">
        <f>IF(OR(O$1="",$BE47=0),"",SUMIFS(Entries!$D$2:$D$5000,Entries!$C$2:$C$5000,"Actual",Entries!$A$2:$A$5000,$A47,Entries!$B$2:$B$5000,O$1))</f>
        <v/>
      </c>
      <c r="P47" s="88">
        <f>IF(OR(P$1="",$BE47=0),"",SUMIFS(Entries!$D$2:$D$5000,Entries!$C$2:$C$5000,"Actual",Entries!$A$2:$A$5000,$A47,Entries!$B$2:$B$5000,P$1))</f>
        <v/>
      </c>
      <c r="Q47" s="88">
        <f>IF(OR(Q$1="",$BE47=0),"",SUMIFS(Entries!$D$2:$D$5000,Entries!$C$2:$C$5000,"Actual",Entries!$A$2:$A$5000,$A47,Entries!$B$2:$B$5000,Q$1))</f>
        <v/>
      </c>
      <c r="R47" s="88">
        <f>IF(OR(R$1="",$BE47=0),"",SUMIFS(Entries!$D$2:$D$5000,Entries!$C$2:$C$5000,"Actual",Entries!$A$2:$A$5000,$A47,Entries!$B$2:$B$5000,R$1))</f>
        <v/>
      </c>
      <c r="S47" s="88">
        <f>IF(OR(S$1="",$BE47=0),"",SUMIFS(Entries!$D$2:$D$5000,Entries!$C$2:$C$5000,"Actual",Entries!$A$2:$A$5000,$A47,Entries!$B$2:$B$5000,S$1))</f>
        <v/>
      </c>
      <c r="T47" s="88">
        <f>IF(OR(T$1="",$BE47=0),"",SUMIFS(Entries!$D$2:$D$5000,Entries!$C$2:$C$5000,"Actual",Entries!$A$2:$A$5000,$A47,Entries!$B$2:$B$5000,T$1))</f>
        <v/>
      </c>
      <c r="U47" s="88">
        <f>IF(OR(U$1="",$BE47=0),"",SUMIFS(Entries!$D$2:$D$5000,Entries!$C$2:$C$5000,"Actual",Entries!$A$2:$A$5000,$A47,Entries!$B$2:$B$5000,U$1))</f>
        <v/>
      </c>
      <c r="V47" s="88">
        <f>IF(OR(V$1="",$BE47=0),"",SUMIFS(Entries!$D$2:$D$5000,Entries!$C$2:$C$5000,"Actual",Entries!$A$2:$A$5000,$A47,Entries!$B$2:$B$5000,V$1))</f>
        <v/>
      </c>
      <c r="W47" s="88">
        <f>IF(OR(W$1="",$BE47=0),"",SUMIFS(Entries!$D$2:$D$5000,Entries!$C$2:$C$5000,"Actual",Entries!$A$2:$A$5000,$A47,Entries!$B$2:$B$5000,W$1))</f>
        <v/>
      </c>
      <c r="X47" s="88">
        <f>IF(OR(X$1="",$BE47=0),"",SUMIFS(Entries!$D$2:$D$5000,Entries!$C$2:$C$5000,"Actual",Entries!$A$2:$A$5000,$A47,Entries!$B$2:$B$5000,X$1))</f>
        <v/>
      </c>
      <c r="Y47" s="88">
        <f>IF(OR(Y$1="",$BE47=0),"",SUMIFS(Entries!$D$2:$D$5000,Entries!$C$2:$C$5000,"Actual",Entries!$A$2:$A$5000,$A47,Entries!$B$2:$B$5000,Y$1))</f>
        <v/>
      </c>
      <c r="Z47" s="88">
        <f>IF(OR(Z$1="",$BE47=0),"",SUMIFS(Entries!$D$2:$D$5000,Entries!$C$2:$C$5000,"Actual",Entries!$A$2:$A$5000,$A47,Entries!$B$2:$B$5000,Z$1))</f>
        <v/>
      </c>
      <c r="AA47" s="88">
        <f>IF(OR(AA$1="",$BE47=0),"",SUMIFS(Entries!$D$2:$D$5000,Entries!$C$2:$C$5000,"Actual",Entries!$A$2:$A$5000,$A47,Entries!$B$2:$B$5000,AA$1))</f>
        <v/>
      </c>
      <c r="AB47" s="88">
        <f>IF(OR(AB$1="",$BE47=0),"",SUMIFS(Entries!$D$2:$D$5000,Entries!$C$2:$C$5000,"Actual",Entries!$A$2:$A$5000,$A47,Entries!$B$2:$B$5000,AB$1))</f>
        <v/>
      </c>
      <c r="AC47" s="88">
        <f>IF(OR(AC$1="",$BE47=0),"",SUMIFS(Entries!$D$2:$D$5000,Entries!$C$2:$C$5000,"Actual",Entries!$A$2:$A$5000,$A47,Entries!$B$2:$B$5000,AC$1))</f>
        <v/>
      </c>
      <c r="AD47" s="88">
        <f>IF(OR(AD$1="",$BE47=0),"",SUMIFS(Entries!$D$2:$D$5000,Entries!$C$2:$C$5000,"Actual",Entries!$A$2:$A$5000,$A47,Entries!$B$2:$B$5000,AD$1))</f>
        <v/>
      </c>
      <c r="AE47" s="88">
        <f>IF(OR(AE$1="",$BE47=0),"",SUMIFS(Entries!$D$2:$D$5000,Entries!$C$2:$C$5000,"Actual",Entries!$A$2:$A$5000,$A47,Entries!$B$2:$B$5000,AE$1))</f>
        <v/>
      </c>
      <c r="AF47" s="88">
        <f>IF(OR(AF$1="",$BE47=0),"",SUMIFS(Entries!$D$2:$D$5000,Entries!$C$2:$C$5000,"Actual",Entries!$A$2:$A$5000,$A47,Entries!$B$2:$B$5000,AF$1))</f>
        <v/>
      </c>
      <c r="AG47" s="88">
        <f>IF(OR(AG$1="",$BE47=0),"",SUMIFS(Entries!$D$2:$D$5000,Entries!$C$2:$C$5000,"Actual",Entries!$A$2:$A$5000,$A47,Entries!$B$2:$B$5000,AG$1))</f>
        <v/>
      </c>
      <c r="AH47" s="88">
        <f>IF(OR(AH$1="",$BE47=0),"",SUMIFS(Entries!$D$2:$D$5000,Entries!$C$2:$C$5000,"Actual",Entries!$A$2:$A$5000,$A47,Entries!$B$2:$B$5000,AH$1))</f>
        <v/>
      </c>
      <c r="AJ47" s="88">
        <f>IF(OR(AJ$1="",$BE47=0),"",IFERROR(LOOKUP(2,1/((Budgets!$A$2:$A$200=AJ$1)*(Budgets!$B$2:$B$200&lt;=$A47)),Budgets!$C$2:$C$200),0))</f>
        <v/>
      </c>
      <c r="AK47" s="88">
        <f>IF(OR(AK$1="",$BE47=0),"",IFERROR(LOOKUP(2,1/((Budgets!$A$2:$A$200=AK$1)*(Budgets!$B$2:$B$200&lt;=$A47)),Budgets!$C$2:$C$200),0))</f>
        <v/>
      </c>
      <c r="AL47" s="88">
        <f>IF(OR(AL$1="",$BE47=0),"",IFERROR(LOOKUP(2,1/((Budgets!$A$2:$A$200=AL$1)*(Budgets!$B$2:$B$200&lt;=$A47)),Budgets!$C$2:$C$200),0))</f>
        <v/>
      </c>
      <c r="AM47" s="88">
        <f>IF(OR(AM$1="",$BE47=0),"",IFERROR(LOOKUP(2,1/((Budgets!$A$2:$A$200=AM$1)*(Budgets!$B$2:$B$200&lt;=$A47)),Budgets!$C$2:$C$200),0))</f>
        <v/>
      </c>
      <c r="AN47" s="88">
        <f>IF(OR(AN$1="",$BE47=0),"",IFERROR(LOOKUP(2,1/((Budgets!$A$2:$A$200=AN$1)*(Budgets!$B$2:$B$200&lt;=$A47)),Budgets!$C$2:$C$200),0))</f>
        <v/>
      </c>
      <c r="AO47" s="88">
        <f>IF(OR(AO$1="",$BE47=0),"",IFERROR(LOOKUP(2,1/((Budgets!$A$2:$A$200=AO$1)*(Budgets!$B$2:$B$200&lt;=$A47)),Budgets!$C$2:$C$200),0))</f>
        <v/>
      </c>
      <c r="AP47" s="88">
        <f>IF(OR(AP$1="",$BE47=0),"",IFERROR(LOOKUP(2,1/((Budgets!$A$2:$A$200=AP$1)*(Budgets!$B$2:$B$200&lt;=$A47)),Budgets!$C$2:$C$200),0))</f>
        <v/>
      </c>
      <c r="AQ47" s="88">
        <f>IF(OR(AQ$1="",$BE47=0),"",IFERROR(LOOKUP(2,1/((Budgets!$A$2:$A$200=AQ$1)*(Budgets!$B$2:$B$200&lt;=$A47)),Budgets!$C$2:$C$200),0))</f>
        <v/>
      </c>
      <c r="AR47" s="88">
        <f>IF(OR(AR$1="",$BE47=0),"",IFERROR(LOOKUP(2,1/((Budgets!$A$2:$A$200=AR$1)*(Budgets!$B$2:$B$200&lt;=$A47)),Budgets!$C$2:$C$200),0))</f>
        <v/>
      </c>
      <c r="AS47" s="88">
        <f>IF(OR(AS$1="",$BE47=0),"",IFERROR(LOOKUP(2,1/((Budgets!$A$2:$A$200=AS$1)*(Budgets!$B$2:$B$200&lt;=$A47)),Budgets!$C$2:$C$200),0))</f>
        <v/>
      </c>
      <c r="AT47" s="88">
        <f>IF(OR(AT$1="",$BE47=0),"",IFERROR(LOOKUP(2,1/((Budgets!$A$2:$A$200=AT$1)*(Budgets!$B$2:$B$200&lt;=$A47)),Budgets!$C$2:$C$200),0))</f>
        <v/>
      </c>
      <c r="AU47" s="88">
        <f>IF(OR(AU$1="",$BE47=0),"",IFERROR(LOOKUP(2,1/((Budgets!$A$2:$A$200=AU$1)*(Budgets!$B$2:$B$200&lt;=$A47)),Budgets!$C$2:$C$200),0))</f>
        <v/>
      </c>
      <c r="AV47" s="88">
        <f>IF(OR(AV$1="",$BE47=0),"",IFERROR(LOOKUP(2,1/((Budgets!$A$2:$A$200=AV$1)*(Budgets!$B$2:$B$200&lt;=$A47)),Budgets!$C$2:$C$200),0))</f>
        <v/>
      </c>
      <c r="AW47" s="88">
        <f>IF(OR(AW$1="",$BE47=0),"",IFERROR(LOOKUP(2,1/((Budgets!$A$2:$A$200=AW$1)*(Budgets!$B$2:$B$200&lt;=$A47)),Budgets!$C$2:$C$200),0))</f>
        <v/>
      </c>
      <c r="AX47" s="88">
        <f>IF(OR(AX$1="",$BE47=0),"",IFERROR(LOOKUP(2,1/((Budgets!$A$2:$A$200=AX$1)*(Budgets!$B$2:$B$200&lt;=$A47)),Budgets!$C$2:$C$200),0))</f>
        <v/>
      </c>
      <c r="AY47" s="88">
        <f>IF(OR(AY$1="",$BE47=0),"",IFERROR(LOOKUP(2,1/((Budgets!$A$2:$A$200=AY$1)*(Budgets!$B$2:$B$200&lt;=$A47)),Budgets!$C$2:$C$200),0))</f>
        <v/>
      </c>
      <c r="AZ47" s="88">
        <f>IF(OR(AZ$1="",$BE47=0),"",IFERROR(LOOKUP(2,1/((Budgets!$A$2:$A$200=AZ$1)*(Budgets!$B$2:$B$200&lt;=$A47)),Budgets!$C$2:$C$200),0))</f>
        <v/>
      </c>
      <c r="BA47" s="88">
        <f>IF(OR(BA$1="",$BE47=0),"",IFERROR(LOOKUP(2,1/((Budgets!$A$2:$A$200=BA$1)*(Budgets!$B$2:$B$200&lt;=$A47)),Budgets!$C$2:$C$200),0))</f>
        <v/>
      </c>
      <c r="BB47" s="88">
        <f>IF(OR(BB$1="",$BE47=0),"",IFERROR(LOOKUP(2,1/((Budgets!$A$2:$A$200=BB$1)*(Budgets!$B$2:$B$200&lt;=$A47)),Budgets!$C$2:$C$200),0))</f>
        <v/>
      </c>
      <c r="BC47" s="88">
        <f>IF(OR(BC$1="",$BE47=0),"",IFERROR(LOOKUP(2,1/((Budgets!$A$2:$A$200=BC$1)*(Budgets!$B$2:$B$200&lt;=$A47)),Budgets!$C$2:$C$200),0))</f>
        <v/>
      </c>
      <c r="BE47" s="67">
        <f>COUNTIFS(Entries!$A$2:$A$5000,$A47)</f>
        <v/>
      </c>
    </row>
    <row r="48" ht="15" customHeight="1" s="43">
      <c r="A48" s="87" t="n">
        <v>40848</v>
      </c>
      <c r="B48" s="88">
        <f>IF($BE48=0,NA(),SUMIFS(Entries!$D$2:$D$5000,Entries!$C$2:$C$5000,"Income",Entries!$A$2:$A$5000,$A48))</f>
        <v/>
      </c>
      <c r="C48" s="88">
        <f>IF($BE48=0,"",SUMIFS(Entries!$D$2:$D$5000,Entries!$C$2:$C$5000,"Actual",Entries!$A$2:$A$5000,$A48))</f>
        <v/>
      </c>
      <c r="D48" s="88">
        <f>IF($BE48=0,"",SUMIFS(Entries!$D$2:$D$5000,Entries!$C$2:$C$5000,"One-off",Entries!$A$2:$A$5000,$A48))</f>
        <v/>
      </c>
      <c r="E48" s="88">
        <f>IF($BE48=0,NA(),C48+D48)</f>
        <v/>
      </c>
      <c r="F48" s="88">
        <f>IF($BE48=0,"",SUM(AJ48:BC48))</f>
        <v/>
      </c>
      <c r="G48" s="88">
        <f>IF($BE48=0,"",B48-E48)</f>
        <v/>
      </c>
      <c r="H48" s="88">
        <f>IF($BE48=0,"",SUM($G$2:G48))</f>
        <v/>
      </c>
      <c r="I48" s="88">
        <f>IF($BE48=0,"",SUMIFS(Entries!$F$2:$F$5000,Entries!$A$2:$A$5000,$A48))</f>
        <v/>
      </c>
      <c r="J48" s="88">
        <f>IF($BE48=0,NA(),H48+SUM($I$2:I48))</f>
        <v/>
      </c>
      <c r="K48" s="88">
        <f>IF($BE48=0,"",SUMIFS(Entries!$D$2:$D$5000,Entries!$C$2:$C$5000,"Income",Entries!$A$2:$A$5000,"&gt;="&amp;EDATE($A48,-11),Entries!$A$2:$A$5000,"&lt;="&amp;$A48)/12)</f>
        <v/>
      </c>
      <c r="L48" s="88">
        <f>IF($BE48=0,"",(SUMIFS(Entries!$D$2:$D$5000,Entries!$C$2:$C$5000,"Actual",Entries!$A$2:$A$5000,"&gt;="&amp;EDATE($A48,-11),Entries!$A$2:$A$5000,"&lt;="&amp;$A48)+SUMIFS(Entries!$D$2:$D$5000,Entries!$C$2:$C$5000,"One-off",Entries!$A$2:$A$5000,"&gt;="&amp;EDATE($A48,-11),Entries!$A$2:$A$5000,"&lt;="&amp;$A48))/12)</f>
        <v/>
      </c>
      <c r="M48" s="70">
        <f>IF($BE48=0,NA(),IFERROR((K48-L48)/K48,0))</f>
        <v/>
      </c>
      <c r="O48" s="88">
        <f>IF(OR(O$1="",$BE48=0),"",SUMIFS(Entries!$D$2:$D$5000,Entries!$C$2:$C$5000,"Actual",Entries!$A$2:$A$5000,$A48,Entries!$B$2:$B$5000,O$1))</f>
        <v/>
      </c>
      <c r="P48" s="88">
        <f>IF(OR(P$1="",$BE48=0),"",SUMIFS(Entries!$D$2:$D$5000,Entries!$C$2:$C$5000,"Actual",Entries!$A$2:$A$5000,$A48,Entries!$B$2:$B$5000,P$1))</f>
        <v/>
      </c>
      <c r="Q48" s="88">
        <f>IF(OR(Q$1="",$BE48=0),"",SUMIFS(Entries!$D$2:$D$5000,Entries!$C$2:$C$5000,"Actual",Entries!$A$2:$A$5000,$A48,Entries!$B$2:$B$5000,Q$1))</f>
        <v/>
      </c>
      <c r="R48" s="88">
        <f>IF(OR(R$1="",$BE48=0),"",SUMIFS(Entries!$D$2:$D$5000,Entries!$C$2:$C$5000,"Actual",Entries!$A$2:$A$5000,$A48,Entries!$B$2:$B$5000,R$1))</f>
        <v/>
      </c>
      <c r="S48" s="88">
        <f>IF(OR(S$1="",$BE48=0),"",SUMIFS(Entries!$D$2:$D$5000,Entries!$C$2:$C$5000,"Actual",Entries!$A$2:$A$5000,$A48,Entries!$B$2:$B$5000,S$1))</f>
        <v/>
      </c>
      <c r="T48" s="88">
        <f>IF(OR(T$1="",$BE48=0),"",SUMIFS(Entries!$D$2:$D$5000,Entries!$C$2:$C$5000,"Actual",Entries!$A$2:$A$5000,$A48,Entries!$B$2:$B$5000,T$1))</f>
        <v/>
      </c>
      <c r="U48" s="88">
        <f>IF(OR(U$1="",$BE48=0),"",SUMIFS(Entries!$D$2:$D$5000,Entries!$C$2:$C$5000,"Actual",Entries!$A$2:$A$5000,$A48,Entries!$B$2:$B$5000,U$1))</f>
        <v/>
      </c>
      <c r="V48" s="88">
        <f>IF(OR(V$1="",$BE48=0),"",SUMIFS(Entries!$D$2:$D$5000,Entries!$C$2:$C$5000,"Actual",Entries!$A$2:$A$5000,$A48,Entries!$B$2:$B$5000,V$1))</f>
        <v/>
      </c>
      <c r="W48" s="88">
        <f>IF(OR(W$1="",$BE48=0),"",SUMIFS(Entries!$D$2:$D$5000,Entries!$C$2:$C$5000,"Actual",Entries!$A$2:$A$5000,$A48,Entries!$B$2:$B$5000,W$1))</f>
        <v/>
      </c>
      <c r="X48" s="88">
        <f>IF(OR(X$1="",$BE48=0),"",SUMIFS(Entries!$D$2:$D$5000,Entries!$C$2:$C$5000,"Actual",Entries!$A$2:$A$5000,$A48,Entries!$B$2:$B$5000,X$1))</f>
        <v/>
      </c>
      <c r="Y48" s="88">
        <f>IF(OR(Y$1="",$BE48=0),"",SUMIFS(Entries!$D$2:$D$5000,Entries!$C$2:$C$5000,"Actual",Entries!$A$2:$A$5000,$A48,Entries!$B$2:$B$5000,Y$1))</f>
        <v/>
      </c>
      <c r="Z48" s="88">
        <f>IF(OR(Z$1="",$BE48=0),"",SUMIFS(Entries!$D$2:$D$5000,Entries!$C$2:$C$5000,"Actual",Entries!$A$2:$A$5000,$A48,Entries!$B$2:$B$5000,Z$1))</f>
        <v/>
      </c>
      <c r="AA48" s="88">
        <f>IF(OR(AA$1="",$BE48=0),"",SUMIFS(Entries!$D$2:$D$5000,Entries!$C$2:$C$5000,"Actual",Entries!$A$2:$A$5000,$A48,Entries!$B$2:$B$5000,AA$1))</f>
        <v/>
      </c>
      <c r="AB48" s="88">
        <f>IF(OR(AB$1="",$BE48=0),"",SUMIFS(Entries!$D$2:$D$5000,Entries!$C$2:$C$5000,"Actual",Entries!$A$2:$A$5000,$A48,Entries!$B$2:$B$5000,AB$1))</f>
        <v/>
      </c>
      <c r="AC48" s="88">
        <f>IF(OR(AC$1="",$BE48=0),"",SUMIFS(Entries!$D$2:$D$5000,Entries!$C$2:$C$5000,"Actual",Entries!$A$2:$A$5000,$A48,Entries!$B$2:$B$5000,AC$1))</f>
        <v/>
      </c>
      <c r="AD48" s="88">
        <f>IF(OR(AD$1="",$BE48=0),"",SUMIFS(Entries!$D$2:$D$5000,Entries!$C$2:$C$5000,"Actual",Entries!$A$2:$A$5000,$A48,Entries!$B$2:$B$5000,AD$1))</f>
        <v/>
      </c>
      <c r="AE48" s="88">
        <f>IF(OR(AE$1="",$BE48=0),"",SUMIFS(Entries!$D$2:$D$5000,Entries!$C$2:$C$5000,"Actual",Entries!$A$2:$A$5000,$A48,Entries!$B$2:$B$5000,AE$1))</f>
        <v/>
      </c>
      <c r="AF48" s="88">
        <f>IF(OR(AF$1="",$BE48=0),"",SUMIFS(Entries!$D$2:$D$5000,Entries!$C$2:$C$5000,"Actual",Entries!$A$2:$A$5000,$A48,Entries!$B$2:$B$5000,AF$1))</f>
        <v/>
      </c>
      <c r="AG48" s="88">
        <f>IF(OR(AG$1="",$BE48=0),"",SUMIFS(Entries!$D$2:$D$5000,Entries!$C$2:$C$5000,"Actual",Entries!$A$2:$A$5000,$A48,Entries!$B$2:$B$5000,AG$1))</f>
        <v/>
      </c>
      <c r="AH48" s="88">
        <f>IF(OR(AH$1="",$BE48=0),"",SUMIFS(Entries!$D$2:$D$5000,Entries!$C$2:$C$5000,"Actual",Entries!$A$2:$A$5000,$A48,Entries!$B$2:$B$5000,AH$1))</f>
        <v/>
      </c>
      <c r="AJ48" s="88">
        <f>IF(OR(AJ$1="",$BE48=0),"",IFERROR(LOOKUP(2,1/((Budgets!$A$2:$A$200=AJ$1)*(Budgets!$B$2:$B$200&lt;=$A48)),Budgets!$C$2:$C$200),0))</f>
        <v/>
      </c>
      <c r="AK48" s="88">
        <f>IF(OR(AK$1="",$BE48=0),"",IFERROR(LOOKUP(2,1/((Budgets!$A$2:$A$200=AK$1)*(Budgets!$B$2:$B$200&lt;=$A48)),Budgets!$C$2:$C$200),0))</f>
        <v/>
      </c>
      <c r="AL48" s="88">
        <f>IF(OR(AL$1="",$BE48=0),"",IFERROR(LOOKUP(2,1/((Budgets!$A$2:$A$200=AL$1)*(Budgets!$B$2:$B$200&lt;=$A48)),Budgets!$C$2:$C$200),0))</f>
        <v/>
      </c>
      <c r="AM48" s="88">
        <f>IF(OR(AM$1="",$BE48=0),"",IFERROR(LOOKUP(2,1/((Budgets!$A$2:$A$200=AM$1)*(Budgets!$B$2:$B$200&lt;=$A48)),Budgets!$C$2:$C$200),0))</f>
        <v/>
      </c>
      <c r="AN48" s="88">
        <f>IF(OR(AN$1="",$BE48=0),"",IFERROR(LOOKUP(2,1/((Budgets!$A$2:$A$200=AN$1)*(Budgets!$B$2:$B$200&lt;=$A48)),Budgets!$C$2:$C$200),0))</f>
        <v/>
      </c>
      <c r="AO48" s="88">
        <f>IF(OR(AO$1="",$BE48=0),"",IFERROR(LOOKUP(2,1/((Budgets!$A$2:$A$200=AO$1)*(Budgets!$B$2:$B$200&lt;=$A48)),Budgets!$C$2:$C$200),0))</f>
        <v/>
      </c>
      <c r="AP48" s="88">
        <f>IF(OR(AP$1="",$BE48=0),"",IFERROR(LOOKUP(2,1/((Budgets!$A$2:$A$200=AP$1)*(Budgets!$B$2:$B$200&lt;=$A48)),Budgets!$C$2:$C$200),0))</f>
        <v/>
      </c>
      <c r="AQ48" s="88">
        <f>IF(OR(AQ$1="",$BE48=0),"",IFERROR(LOOKUP(2,1/((Budgets!$A$2:$A$200=AQ$1)*(Budgets!$B$2:$B$200&lt;=$A48)),Budgets!$C$2:$C$200),0))</f>
        <v/>
      </c>
      <c r="AR48" s="88">
        <f>IF(OR(AR$1="",$BE48=0),"",IFERROR(LOOKUP(2,1/((Budgets!$A$2:$A$200=AR$1)*(Budgets!$B$2:$B$200&lt;=$A48)),Budgets!$C$2:$C$200),0))</f>
        <v/>
      </c>
      <c r="AS48" s="88">
        <f>IF(OR(AS$1="",$BE48=0),"",IFERROR(LOOKUP(2,1/((Budgets!$A$2:$A$200=AS$1)*(Budgets!$B$2:$B$200&lt;=$A48)),Budgets!$C$2:$C$200),0))</f>
        <v/>
      </c>
      <c r="AT48" s="88">
        <f>IF(OR(AT$1="",$BE48=0),"",IFERROR(LOOKUP(2,1/((Budgets!$A$2:$A$200=AT$1)*(Budgets!$B$2:$B$200&lt;=$A48)),Budgets!$C$2:$C$200),0))</f>
        <v/>
      </c>
      <c r="AU48" s="88">
        <f>IF(OR(AU$1="",$BE48=0),"",IFERROR(LOOKUP(2,1/((Budgets!$A$2:$A$200=AU$1)*(Budgets!$B$2:$B$200&lt;=$A48)),Budgets!$C$2:$C$200),0))</f>
        <v/>
      </c>
      <c r="AV48" s="88">
        <f>IF(OR(AV$1="",$BE48=0),"",IFERROR(LOOKUP(2,1/((Budgets!$A$2:$A$200=AV$1)*(Budgets!$B$2:$B$200&lt;=$A48)),Budgets!$C$2:$C$200),0))</f>
        <v/>
      </c>
      <c r="AW48" s="88">
        <f>IF(OR(AW$1="",$BE48=0),"",IFERROR(LOOKUP(2,1/((Budgets!$A$2:$A$200=AW$1)*(Budgets!$B$2:$B$200&lt;=$A48)),Budgets!$C$2:$C$200),0))</f>
        <v/>
      </c>
      <c r="AX48" s="88">
        <f>IF(OR(AX$1="",$BE48=0),"",IFERROR(LOOKUP(2,1/((Budgets!$A$2:$A$200=AX$1)*(Budgets!$B$2:$B$200&lt;=$A48)),Budgets!$C$2:$C$200),0))</f>
        <v/>
      </c>
      <c r="AY48" s="88">
        <f>IF(OR(AY$1="",$BE48=0),"",IFERROR(LOOKUP(2,1/((Budgets!$A$2:$A$200=AY$1)*(Budgets!$B$2:$B$200&lt;=$A48)),Budgets!$C$2:$C$200),0))</f>
        <v/>
      </c>
      <c r="AZ48" s="88">
        <f>IF(OR(AZ$1="",$BE48=0),"",IFERROR(LOOKUP(2,1/((Budgets!$A$2:$A$200=AZ$1)*(Budgets!$B$2:$B$200&lt;=$A48)),Budgets!$C$2:$C$200),0))</f>
        <v/>
      </c>
      <c r="BA48" s="88">
        <f>IF(OR(BA$1="",$BE48=0),"",IFERROR(LOOKUP(2,1/((Budgets!$A$2:$A$200=BA$1)*(Budgets!$B$2:$B$200&lt;=$A48)),Budgets!$C$2:$C$200),0))</f>
        <v/>
      </c>
      <c r="BB48" s="88">
        <f>IF(OR(BB$1="",$BE48=0),"",IFERROR(LOOKUP(2,1/((Budgets!$A$2:$A$200=BB$1)*(Budgets!$B$2:$B$200&lt;=$A48)),Budgets!$C$2:$C$200),0))</f>
        <v/>
      </c>
      <c r="BC48" s="88">
        <f>IF(OR(BC$1="",$BE48=0),"",IFERROR(LOOKUP(2,1/((Budgets!$A$2:$A$200=BC$1)*(Budgets!$B$2:$B$200&lt;=$A48)),Budgets!$C$2:$C$200),0))</f>
        <v/>
      </c>
      <c r="BE48" s="67">
        <f>COUNTIFS(Entries!$A$2:$A$5000,$A48)</f>
        <v/>
      </c>
    </row>
    <row r="49" ht="15" customHeight="1" s="43">
      <c r="A49" s="87" t="n">
        <v>40878</v>
      </c>
      <c r="B49" s="88">
        <f>IF($BE49=0,NA(),SUMIFS(Entries!$D$2:$D$5000,Entries!$C$2:$C$5000,"Income",Entries!$A$2:$A$5000,$A49))</f>
        <v/>
      </c>
      <c r="C49" s="88">
        <f>IF($BE49=0,"",SUMIFS(Entries!$D$2:$D$5000,Entries!$C$2:$C$5000,"Actual",Entries!$A$2:$A$5000,$A49))</f>
        <v/>
      </c>
      <c r="D49" s="88">
        <f>IF($BE49=0,"",SUMIFS(Entries!$D$2:$D$5000,Entries!$C$2:$C$5000,"One-off",Entries!$A$2:$A$5000,$A49))</f>
        <v/>
      </c>
      <c r="E49" s="88">
        <f>IF($BE49=0,NA(),C49+D49)</f>
        <v/>
      </c>
      <c r="F49" s="88">
        <f>IF($BE49=0,"",SUM(AJ49:BC49))</f>
        <v/>
      </c>
      <c r="G49" s="88">
        <f>IF($BE49=0,"",B49-E49)</f>
        <v/>
      </c>
      <c r="H49" s="88">
        <f>IF($BE49=0,"",SUM($G$2:G49))</f>
        <v/>
      </c>
      <c r="I49" s="88">
        <f>IF($BE49=0,"",SUMIFS(Entries!$F$2:$F$5000,Entries!$A$2:$A$5000,$A49))</f>
        <v/>
      </c>
      <c r="J49" s="88">
        <f>IF($BE49=0,NA(),H49+SUM($I$2:I49))</f>
        <v/>
      </c>
      <c r="K49" s="88">
        <f>IF($BE49=0,"",SUMIFS(Entries!$D$2:$D$5000,Entries!$C$2:$C$5000,"Income",Entries!$A$2:$A$5000,"&gt;="&amp;EDATE($A49,-11),Entries!$A$2:$A$5000,"&lt;="&amp;$A49)/12)</f>
        <v/>
      </c>
      <c r="L49" s="88">
        <f>IF($BE49=0,"",(SUMIFS(Entries!$D$2:$D$5000,Entries!$C$2:$C$5000,"Actual",Entries!$A$2:$A$5000,"&gt;="&amp;EDATE($A49,-11),Entries!$A$2:$A$5000,"&lt;="&amp;$A49)+SUMIFS(Entries!$D$2:$D$5000,Entries!$C$2:$C$5000,"One-off",Entries!$A$2:$A$5000,"&gt;="&amp;EDATE($A49,-11),Entries!$A$2:$A$5000,"&lt;="&amp;$A49))/12)</f>
        <v/>
      </c>
      <c r="M49" s="70">
        <f>IF($BE49=0,NA(),IFERROR((K49-L49)/K49,0))</f>
        <v/>
      </c>
      <c r="O49" s="88">
        <f>IF(OR(O$1="",$BE49=0),"",SUMIFS(Entries!$D$2:$D$5000,Entries!$C$2:$C$5000,"Actual",Entries!$A$2:$A$5000,$A49,Entries!$B$2:$B$5000,O$1))</f>
        <v/>
      </c>
      <c r="P49" s="88">
        <f>IF(OR(P$1="",$BE49=0),"",SUMIFS(Entries!$D$2:$D$5000,Entries!$C$2:$C$5000,"Actual",Entries!$A$2:$A$5000,$A49,Entries!$B$2:$B$5000,P$1))</f>
        <v/>
      </c>
      <c r="Q49" s="88">
        <f>IF(OR(Q$1="",$BE49=0),"",SUMIFS(Entries!$D$2:$D$5000,Entries!$C$2:$C$5000,"Actual",Entries!$A$2:$A$5000,$A49,Entries!$B$2:$B$5000,Q$1))</f>
        <v/>
      </c>
      <c r="R49" s="88">
        <f>IF(OR(R$1="",$BE49=0),"",SUMIFS(Entries!$D$2:$D$5000,Entries!$C$2:$C$5000,"Actual",Entries!$A$2:$A$5000,$A49,Entries!$B$2:$B$5000,R$1))</f>
        <v/>
      </c>
      <c r="S49" s="88">
        <f>IF(OR(S$1="",$BE49=0),"",SUMIFS(Entries!$D$2:$D$5000,Entries!$C$2:$C$5000,"Actual",Entries!$A$2:$A$5000,$A49,Entries!$B$2:$B$5000,S$1))</f>
        <v/>
      </c>
      <c r="T49" s="88">
        <f>IF(OR(T$1="",$BE49=0),"",SUMIFS(Entries!$D$2:$D$5000,Entries!$C$2:$C$5000,"Actual",Entries!$A$2:$A$5000,$A49,Entries!$B$2:$B$5000,T$1))</f>
        <v/>
      </c>
      <c r="U49" s="88">
        <f>IF(OR(U$1="",$BE49=0),"",SUMIFS(Entries!$D$2:$D$5000,Entries!$C$2:$C$5000,"Actual",Entries!$A$2:$A$5000,$A49,Entries!$B$2:$B$5000,U$1))</f>
        <v/>
      </c>
      <c r="V49" s="88">
        <f>IF(OR(V$1="",$BE49=0),"",SUMIFS(Entries!$D$2:$D$5000,Entries!$C$2:$C$5000,"Actual",Entries!$A$2:$A$5000,$A49,Entries!$B$2:$B$5000,V$1))</f>
        <v/>
      </c>
      <c r="W49" s="88">
        <f>IF(OR(W$1="",$BE49=0),"",SUMIFS(Entries!$D$2:$D$5000,Entries!$C$2:$C$5000,"Actual",Entries!$A$2:$A$5000,$A49,Entries!$B$2:$B$5000,W$1))</f>
        <v/>
      </c>
      <c r="X49" s="88">
        <f>IF(OR(X$1="",$BE49=0),"",SUMIFS(Entries!$D$2:$D$5000,Entries!$C$2:$C$5000,"Actual",Entries!$A$2:$A$5000,$A49,Entries!$B$2:$B$5000,X$1))</f>
        <v/>
      </c>
      <c r="Y49" s="88">
        <f>IF(OR(Y$1="",$BE49=0),"",SUMIFS(Entries!$D$2:$D$5000,Entries!$C$2:$C$5000,"Actual",Entries!$A$2:$A$5000,$A49,Entries!$B$2:$B$5000,Y$1))</f>
        <v/>
      </c>
      <c r="Z49" s="88">
        <f>IF(OR(Z$1="",$BE49=0),"",SUMIFS(Entries!$D$2:$D$5000,Entries!$C$2:$C$5000,"Actual",Entries!$A$2:$A$5000,$A49,Entries!$B$2:$B$5000,Z$1))</f>
        <v/>
      </c>
      <c r="AA49" s="88">
        <f>IF(OR(AA$1="",$BE49=0),"",SUMIFS(Entries!$D$2:$D$5000,Entries!$C$2:$C$5000,"Actual",Entries!$A$2:$A$5000,$A49,Entries!$B$2:$B$5000,AA$1))</f>
        <v/>
      </c>
      <c r="AB49" s="88">
        <f>IF(OR(AB$1="",$BE49=0),"",SUMIFS(Entries!$D$2:$D$5000,Entries!$C$2:$C$5000,"Actual",Entries!$A$2:$A$5000,$A49,Entries!$B$2:$B$5000,AB$1))</f>
        <v/>
      </c>
      <c r="AC49" s="88">
        <f>IF(OR(AC$1="",$BE49=0),"",SUMIFS(Entries!$D$2:$D$5000,Entries!$C$2:$C$5000,"Actual",Entries!$A$2:$A$5000,$A49,Entries!$B$2:$B$5000,AC$1))</f>
        <v/>
      </c>
      <c r="AD49" s="88">
        <f>IF(OR(AD$1="",$BE49=0),"",SUMIFS(Entries!$D$2:$D$5000,Entries!$C$2:$C$5000,"Actual",Entries!$A$2:$A$5000,$A49,Entries!$B$2:$B$5000,AD$1))</f>
        <v/>
      </c>
      <c r="AE49" s="88">
        <f>IF(OR(AE$1="",$BE49=0),"",SUMIFS(Entries!$D$2:$D$5000,Entries!$C$2:$C$5000,"Actual",Entries!$A$2:$A$5000,$A49,Entries!$B$2:$B$5000,AE$1))</f>
        <v/>
      </c>
      <c r="AF49" s="88">
        <f>IF(OR(AF$1="",$BE49=0),"",SUMIFS(Entries!$D$2:$D$5000,Entries!$C$2:$C$5000,"Actual",Entries!$A$2:$A$5000,$A49,Entries!$B$2:$B$5000,AF$1))</f>
        <v/>
      </c>
      <c r="AG49" s="88">
        <f>IF(OR(AG$1="",$BE49=0),"",SUMIFS(Entries!$D$2:$D$5000,Entries!$C$2:$C$5000,"Actual",Entries!$A$2:$A$5000,$A49,Entries!$B$2:$B$5000,AG$1))</f>
        <v/>
      </c>
      <c r="AH49" s="88">
        <f>IF(OR(AH$1="",$BE49=0),"",SUMIFS(Entries!$D$2:$D$5000,Entries!$C$2:$C$5000,"Actual",Entries!$A$2:$A$5000,$A49,Entries!$B$2:$B$5000,AH$1))</f>
        <v/>
      </c>
      <c r="AJ49" s="88">
        <f>IF(OR(AJ$1="",$BE49=0),"",IFERROR(LOOKUP(2,1/((Budgets!$A$2:$A$200=AJ$1)*(Budgets!$B$2:$B$200&lt;=$A49)),Budgets!$C$2:$C$200),0))</f>
        <v/>
      </c>
      <c r="AK49" s="88">
        <f>IF(OR(AK$1="",$BE49=0),"",IFERROR(LOOKUP(2,1/((Budgets!$A$2:$A$200=AK$1)*(Budgets!$B$2:$B$200&lt;=$A49)),Budgets!$C$2:$C$200),0))</f>
        <v/>
      </c>
      <c r="AL49" s="88">
        <f>IF(OR(AL$1="",$BE49=0),"",IFERROR(LOOKUP(2,1/((Budgets!$A$2:$A$200=AL$1)*(Budgets!$B$2:$B$200&lt;=$A49)),Budgets!$C$2:$C$200),0))</f>
        <v/>
      </c>
      <c r="AM49" s="88">
        <f>IF(OR(AM$1="",$BE49=0),"",IFERROR(LOOKUP(2,1/((Budgets!$A$2:$A$200=AM$1)*(Budgets!$B$2:$B$200&lt;=$A49)),Budgets!$C$2:$C$200),0))</f>
        <v/>
      </c>
      <c r="AN49" s="88">
        <f>IF(OR(AN$1="",$BE49=0),"",IFERROR(LOOKUP(2,1/((Budgets!$A$2:$A$200=AN$1)*(Budgets!$B$2:$B$200&lt;=$A49)),Budgets!$C$2:$C$200),0))</f>
        <v/>
      </c>
      <c r="AO49" s="88">
        <f>IF(OR(AO$1="",$BE49=0),"",IFERROR(LOOKUP(2,1/((Budgets!$A$2:$A$200=AO$1)*(Budgets!$B$2:$B$200&lt;=$A49)),Budgets!$C$2:$C$200),0))</f>
        <v/>
      </c>
      <c r="AP49" s="88">
        <f>IF(OR(AP$1="",$BE49=0),"",IFERROR(LOOKUP(2,1/((Budgets!$A$2:$A$200=AP$1)*(Budgets!$B$2:$B$200&lt;=$A49)),Budgets!$C$2:$C$200),0))</f>
        <v/>
      </c>
      <c r="AQ49" s="88">
        <f>IF(OR(AQ$1="",$BE49=0),"",IFERROR(LOOKUP(2,1/((Budgets!$A$2:$A$200=AQ$1)*(Budgets!$B$2:$B$200&lt;=$A49)),Budgets!$C$2:$C$200),0))</f>
        <v/>
      </c>
      <c r="AR49" s="88">
        <f>IF(OR(AR$1="",$BE49=0),"",IFERROR(LOOKUP(2,1/((Budgets!$A$2:$A$200=AR$1)*(Budgets!$B$2:$B$200&lt;=$A49)),Budgets!$C$2:$C$200),0))</f>
        <v/>
      </c>
      <c r="AS49" s="88">
        <f>IF(OR(AS$1="",$BE49=0),"",IFERROR(LOOKUP(2,1/((Budgets!$A$2:$A$200=AS$1)*(Budgets!$B$2:$B$200&lt;=$A49)),Budgets!$C$2:$C$200),0))</f>
        <v/>
      </c>
      <c r="AT49" s="88">
        <f>IF(OR(AT$1="",$BE49=0),"",IFERROR(LOOKUP(2,1/((Budgets!$A$2:$A$200=AT$1)*(Budgets!$B$2:$B$200&lt;=$A49)),Budgets!$C$2:$C$200),0))</f>
        <v/>
      </c>
      <c r="AU49" s="88">
        <f>IF(OR(AU$1="",$BE49=0),"",IFERROR(LOOKUP(2,1/((Budgets!$A$2:$A$200=AU$1)*(Budgets!$B$2:$B$200&lt;=$A49)),Budgets!$C$2:$C$200),0))</f>
        <v/>
      </c>
      <c r="AV49" s="88">
        <f>IF(OR(AV$1="",$BE49=0),"",IFERROR(LOOKUP(2,1/((Budgets!$A$2:$A$200=AV$1)*(Budgets!$B$2:$B$200&lt;=$A49)),Budgets!$C$2:$C$200),0))</f>
        <v/>
      </c>
      <c r="AW49" s="88">
        <f>IF(OR(AW$1="",$BE49=0),"",IFERROR(LOOKUP(2,1/((Budgets!$A$2:$A$200=AW$1)*(Budgets!$B$2:$B$200&lt;=$A49)),Budgets!$C$2:$C$200),0))</f>
        <v/>
      </c>
      <c r="AX49" s="88">
        <f>IF(OR(AX$1="",$BE49=0),"",IFERROR(LOOKUP(2,1/((Budgets!$A$2:$A$200=AX$1)*(Budgets!$B$2:$B$200&lt;=$A49)),Budgets!$C$2:$C$200),0))</f>
        <v/>
      </c>
      <c r="AY49" s="88">
        <f>IF(OR(AY$1="",$BE49=0),"",IFERROR(LOOKUP(2,1/((Budgets!$A$2:$A$200=AY$1)*(Budgets!$B$2:$B$200&lt;=$A49)),Budgets!$C$2:$C$200),0))</f>
        <v/>
      </c>
      <c r="AZ49" s="88">
        <f>IF(OR(AZ$1="",$BE49=0),"",IFERROR(LOOKUP(2,1/((Budgets!$A$2:$A$200=AZ$1)*(Budgets!$B$2:$B$200&lt;=$A49)),Budgets!$C$2:$C$200),0))</f>
        <v/>
      </c>
      <c r="BA49" s="88">
        <f>IF(OR(BA$1="",$BE49=0),"",IFERROR(LOOKUP(2,1/((Budgets!$A$2:$A$200=BA$1)*(Budgets!$B$2:$B$200&lt;=$A49)),Budgets!$C$2:$C$200),0))</f>
        <v/>
      </c>
      <c r="BB49" s="88">
        <f>IF(OR(BB$1="",$BE49=0),"",IFERROR(LOOKUP(2,1/((Budgets!$A$2:$A$200=BB$1)*(Budgets!$B$2:$B$200&lt;=$A49)),Budgets!$C$2:$C$200),0))</f>
        <v/>
      </c>
      <c r="BC49" s="88">
        <f>IF(OR(BC$1="",$BE49=0),"",IFERROR(LOOKUP(2,1/((Budgets!$A$2:$A$200=BC$1)*(Budgets!$B$2:$B$200&lt;=$A49)),Budgets!$C$2:$C$200),0))</f>
        <v/>
      </c>
      <c r="BE49" s="67">
        <f>COUNTIFS(Entries!$A$2:$A$5000,$A49)</f>
        <v/>
      </c>
    </row>
    <row r="50" ht="15" customHeight="1" s="43">
      <c r="A50" s="87" t="n">
        <v>40909</v>
      </c>
      <c r="B50" s="88">
        <f>IF($BE50=0,NA(),SUMIFS(Entries!$D$2:$D$5000,Entries!$C$2:$C$5000,"Income",Entries!$A$2:$A$5000,$A50))</f>
        <v/>
      </c>
      <c r="C50" s="88">
        <f>IF($BE50=0,"",SUMIFS(Entries!$D$2:$D$5000,Entries!$C$2:$C$5000,"Actual",Entries!$A$2:$A$5000,$A50))</f>
        <v/>
      </c>
      <c r="D50" s="88">
        <f>IF($BE50=0,"",SUMIFS(Entries!$D$2:$D$5000,Entries!$C$2:$C$5000,"One-off",Entries!$A$2:$A$5000,$A50))</f>
        <v/>
      </c>
      <c r="E50" s="88">
        <f>IF($BE50=0,NA(),C50+D50)</f>
        <v/>
      </c>
      <c r="F50" s="88">
        <f>IF($BE50=0,"",SUM(AJ50:BC50))</f>
        <v/>
      </c>
      <c r="G50" s="88">
        <f>IF($BE50=0,"",B50-E50)</f>
        <v/>
      </c>
      <c r="H50" s="88">
        <f>IF($BE50=0,"",SUM($G$2:G50))</f>
        <v/>
      </c>
      <c r="I50" s="88">
        <f>IF($BE50=0,"",SUMIFS(Entries!$F$2:$F$5000,Entries!$A$2:$A$5000,$A50))</f>
        <v/>
      </c>
      <c r="J50" s="88">
        <f>IF($BE50=0,NA(),H50+SUM($I$2:I50))</f>
        <v/>
      </c>
      <c r="K50" s="88">
        <f>IF($BE50=0,"",SUMIFS(Entries!$D$2:$D$5000,Entries!$C$2:$C$5000,"Income",Entries!$A$2:$A$5000,"&gt;="&amp;EDATE($A50,-11),Entries!$A$2:$A$5000,"&lt;="&amp;$A50)/12)</f>
        <v/>
      </c>
      <c r="L50" s="88">
        <f>IF($BE50=0,"",(SUMIFS(Entries!$D$2:$D$5000,Entries!$C$2:$C$5000,"Actual",Entries!$A$2:$A$5000,"&gt;="&amp;EDATE($A50,-11),Entries!$A$2:$A$5000,"&lt;="&amp;$A50)+SUMIFS(Entries!$D$2:$D$5000,Entries!$C$2:$C$5000,"One-off",Entries!$A$2:$A$5000,"&gt;="&amp;EDATE($A50,-11),Entries!$A$2:$A$5000,"&lt;="&amp;$A50))/12)</f>
        <v/>
      </c>
      <c r="M50" s="70">
        <f>IF($BE50=0,NA(),IFERROR((K50-L50)/K50,0))</f>
        <v/>
      </c>
      <c r="O50" s="88">
        <f>IF(OR(O$1="",$BE50=0),"",SUMIFS(Entries!$D$2:$D$5000,Entries!$C$2:$C$5000,"Actual",Entries!$A$2:$A$5000,$A50,Entries!$B$2:$B$5000,O$1))</f>
        <v/>
      </c>
      <c r="P50" s="88">
        <f>IF(OR(P$1="",$BE50=0),"",SUMIFS(Entries!$D$2:$D$5000,Entries!$C$2:$C$5000,"Actual",Entries!$A$2:$A$5000,$A50,Entries!$B$2:$B$5000,P$1))</f>
        <v/>
      </c>
      <c r="Q50" s="88">
        <f>IF(OR(Q$1="",$BE50=0),"",SUMIFS(Entries!$D$2:$D$5000,Entries!$C$2:$C$5000,"Actual",Entries!$A$2:$A$5000,$A50,Entries!$B$2:$B$5000,Q$1))</f>
        <v/>
      </c>
      <c r="R50" s="88">
        <f>IF(OR(R$1="",$BE50=0),"",SUMIFS(Entries!$D$2:$D$5000,Entries!$C$2:$C$5000,"Actual",Entries!$A$2:$A$5000,$A50,Entries!$B$2:$B$5000,R$1))</f>
        <v/>
      </c>
      <c r="S50" s="88">
        <f>IF(OR(S$1="",$BE50=0),"",SUMIFS(Entries!$D$2:$D$5000,Entries!$C$2:$C$5000,"Actual",Entries!$A$2:$A$5000,$A50,Entries!$B$2:$B$5000,S$1))</f>
        <v/>
      </c>
      <c r="T50" s="88">
        <f>IF(OR(T$1="",$BE50=0),"",SUMIFS(Entries!$D$2:$D$5000,Entries!$C$2:$C$5000,"Actual",Entries!$A$2:$A$5000,$A50,Entries!$B$2:$B$5000,T$1))</f>
        <v/>
      </c>
      <c r="U50" s="88">
        <f>IF(OR(U$1="",$BE50=0),"",SUMIFS(Entries!$D$2:$D$5000,Entries!$C$2:$C$5000,"Actual",Entries!$A$2:$A$5000,$A50,Entries!$B$2:$B$5000,U$1))</f>
        <v/>
      </c>
      <c r="V50" s="88">
        <f>IF(OR(V$1="",$BE50=0),"",SUMIFS(Entries!$D$2:$D$5000,Entries!$C$2:$C$5000,"Actual",Entries!$A$2:$A$5000,$A50,Entries!$B$2:$B$5000,V$1))</f>
        <v/>
      </c>
      <c r="W50" s="88">
        <f>IF(OR(W$1="",$BE50=0),"",SUMIFS(Entries!$D$2:$D$5000,Entries!$C$2:$C$5000,"Actual",Entries!$A$2:$A$5000,$A50,Entries!$B$2:$B$5000,W$1))</f>
        <v/>
      </c>
      <c r="X50" s="88">
        <f>IF(OR(X$1="",$BE50=0),"",SUMIFS(Entries!$D$2:$D$5000,Entries!$C$2:$C$5000,"Actual",Entries!$A$2:$A$5000,$A50,Entries!$B$2:$B$5000,X$1))</f>
        <v/>
      </c>
      <c r="Y50" s="88">
        <f>IF(OR(Y$1="",$BE50=0),"",SUMIFS(Entries!$D$2:$D$5000,Entries!$C$2:$C$5000,"Actual",Entries!$A$2:$A$5000,$A50,Entries!$B$2:$B$5000,Y$1))</f>
        <v/>
      </c>
      <c r="Z50" s="88">
        <f>IF(OR(Z$1="",$BE50=0),"",SUMIFS(Entries!$D$2:$D$5000,Entries!$C$2:$C$5000,"Actual",Entries!$A$2:$A$5000,$A50,Entries!$B$2:$B$5000,Z$1))</f>
        <v/>
      </c>
      <c r="AA50" s="88">
        <f>IF(OR(AA$1="",$BE50=0),"",SUMIFS(Entries!$D$2:$D$5000,Entries!$C$2:$C$5000,"Actual",Entries!$A$2:$A$5000,$A50,Entries!$B$2:$B$5000,AA$1))</f>
        <v/>
      </c>
      <c r="AB50" s="88">
        <f>IF(OR(AB$1="",$BE50=0),"",SUMIFS(Entries!$D$2:$D$5000,Entries!$C$2:$C$5000,"Actual",Entries!$A$2:$A$5000,$A50,Entries!$B$2:$B$5000,AB$1))</f>
        <v/>
      </c>
      <c r="AC50" s="88">
        <f>IF(OR(AC$1="",$BE50=0),"",SUMIFS(Entries!$D$2:$D$5000,Entries!$C$2:$C$5000,"Actual",Entries!$A$2:$A$5000,$A50,Entries!$B$2:$B$5000,AC$1))</f>
        <v/>
      </c>
      <c r="AD50" s="88">
        <f>IF(OR(AD$1="",$BE50=0),"",SUMIFS(Entries!$D$2:$D$5000,Entries!$C$2:$C$5000,"Actual",Entries!$A$2:$A$5000,$A50,Entries!$B$2:$B$5000,AD$1))</f>
        <v/>
      </c>
      <c r="AE50" s="88">
        <f>IF(OR(AE$1="",$BE50=0),"",SUMIFS(Entries!$D$2:$D$5000,Entries!$C$2:$C$5000,"Actual",Entries!$A$2:$A$5000,$A50,Entries!$B$2:$B$5000,AE$1))</f>
        <v/>
      </c>
      <c r="AF50" s="88">
        <f>IF(OR(AF$1="",$BE50=0),"",SUMIFS(Entries!$D$2:$D$5000,Entries!$C$2:$C$5000,"Actual",Entries!$A$2:$A$5000,$A50,Entries!$B$2:$B$5000,AF$1))</f>
        <v/>
      </c>
      <c r="AG50" s="88">
        <f>IF(OR(AG$1="",$BE50=0),"",SUMIFS(Entries!$D$2:$D$5000,Entries!$C$2:$C$5000,"Actual",Entries!$A$2:$A$5000,$A50,Entries!$B$2:$B$5000,AG$1))</f>
        <v/>
      </c>
      <c r="AH50" s="88">
        <f>IF(OR(AH$1="",$BE50=0),"",SUMIFS(Entries!$D$2:$D$5000,Entries!$C$2:$C$5000,"Actual",Entries!$A$2:$A$5000,$A50,Entries!$B$2:$B$5000,AH$1))</f>
        <v/>
      </c>
      <c r="AJ50" s="88">
        <f>IF(OR(AJ$1="",$BE50=0),"",IFERROR(LOOKUP(2,1/((Budgets!$A$2:$A$200=AJ$1)*(Budgets!$B$2:$B$200&lt;=$A50)),Budgets!$C$2:$C$200),0))</f>
        <v/>
      </c>
      <c r="AK50" s="88">
        <f>IF(OR(AK$1="",$BE50=0),"",IFERROR(LOOKUP(2,1/((Budgets!$A$2:$A$200=AK$1)*(Budgets!$B$2:$B$200&lt;=$A50)),Budgets!$C$2:$C$200),0))</f>
        <v/>
      </c>
      <c r="AL50" s="88">
        <f>IF(OR(AL$1="",$BE50=0),"",IFERROR(LOOKUP(2,1/((Budgets!$A$2:$A$200=AL$1)*(Budgets!$B$2:$B$200&lt;=$A50)),Budgets!$C$2:$C$200),0))</f>
        <v/>
      </c>
      <c r="AM50" s="88">
        <f>IF(OR(AM$1="",$BE50=0),"",IFERROR(LOOKUP(2,1/((Budgets!$A$2:$A$200=AM$1)*(Budgets!$B$2:$B$200&lt;=$A50)),Budgets!$C$2:$C$200),0))</f>
        <v/>
      </c>
      <c r="AN50" s="88">
        <f>IF(OR(AN$1="",$BE50=0),"",IFERROR(LOOKUP(2,1/((Budgets!$A$2:$A$200=AN$1)*(Budgets!$B$2:$B$200&lt;=$A50)),Budgets!$C$2:$C$200),0))</f>
        <v/>
      </c>
      <c r="AO50" s="88">
        <f>IF(OR(AO$1="",$BE50=0),"",IFERROR(LOOKUP(2,1/((Budgets!$A$2:$A$200=AO$1)*(Budgets!$B$2:$B$200&lt;=$A50)),Budgets!$C$2:$C$200),0))</f>
        <v/>
      </c>
      <c r="AP50" s="88">
        <f>IF(OR(AP$1="",$BE50=0),"",IFERROR(LOOKUP(2,1/((Budgets!$A$2:$A$200=AP$1)*(Budgets!$B$2:$B$200&lt;=$A50)),Budgets!$C$2:$C$200),0))</f>
        <v/>
      </c>
      <c r="AQ50" s="88">
        <f>IF(OR(AQ$1="",$BE50=0),"",IFERROR(LOOKUP(2,1/((Budgets!$A$2:$A$200=AQ$1)*(Budgets!$B$2:$B$200&lt;=$A50)),Budgets!$C$2:$C$200),0))</f>
        <v/>
      </c>
      <c r="AR50" s="88">
        <f>IF(OR(AR$1="",$BE50=0),"",IFERROR(LOOKUP(2,1/((Budgets!$A$2:$A$200=AR$1)*(Budgets!$B$2:$B$200&lt;=$A50)),Budgets!$C$2:$C$200),0))</f>
        <v/>
      </c>
      <c r="AS50" s="88">
        <f>IF(OR(AS$1="",$BE50=0),"",IFERROR(LOOKUP(2,1/((Budgets!$A$2:$A$200=AS$1)*(Budgets!$B$2:$B$200&lt;=$A50)),Budgets!$C$2:$C$200),0))</f>
        <v/>
      </c>
      <c r="AT50" s="88">
        <f>IF(OR(AT$1="",$BE50=0),"",IFERROR(LOOKUP(2,1/((Budgets!$A$2:$A$200=AT$1)*(Budgets!$B$2:$B$200&lt;=$A50)),Budgets!$C$2:$C$200),0))</f>
        <v/>
      </c>
      <c r="AU50" s="88">
        <f>IF(OR(AU$1="",$BE50=0),"",IFERROR(LOOKUP(2,1/((Budgets!$A$2:$A$200=AU$1)*(Budgets!$B$2:$B$200&lt;=$A50)),Budgets!$C$2:$C$200),0))</f>
        <v/>
      </c>
      <c r="AV50" s="88">
        <f>IF(OR(AV$1="",$BE50=0),"",IFERROR(LOOKUP(2,1/((Budgets!$A$2:$A$200=AV$1)*(Budgets!$B$2:$B$200&lt;=$A50)),Budgets!$C$2:$C$200),0))</f>
        <v/>
      </c>
      <c r="AW50" s="88">
        <f>IF(OR(AW$1="",$BE50=0),"",IFERROR(LOOKUP(2,1/((Budgets!$A$2:$A$200=AW$1)*(Budgets!$B$2:$B$200&lt;=$A50)),Budgets!$C$2:$C$200),0))</f>
        <v/>
      </c>
      <c r="AX50" s="88">
        <f>IF(OR(AX$1="",$BE50=0),"",IFERROR(LOOKUP(2,1/((Budgets!$A$2:$A$200=AX$1)*(Budgets!$B$2:$B$200&lt;=$A50)),Budgets!$C$2:$C$200),0))</f>
        <v/>
      </c>
      <c r="AY50" s="88">
        <f>IF(OR(AY$1="",$BE50=0),"",IFERROR(LOOKUP(2,1/((Budgets!$A$2:$A$200=AY$1)*(Budgets!$B$2:$B$200&lt;=$A50)),Budgets!$C$2:$C$200),0))</f>
        <v/>
      </c>
      <c r="AZ50" s="88">
        <f>IF(OR(AZ$1="",$BE50=0),"",IFERROR(LOOKUP(2,1/((Budgets!$A$2:$A$200=AZ$1)*(Budgets!$B$2:$B$200&lt;=$A50)),Budgets!$C$2:$C$200),0))</f>
        <v/>
      </c>
      <c r="BA50" s="88">
        <f>IF(OR(BA$1="",$BE50=0),"",IFERROR(LOOKUP(2,1/((Budgets!$A$2:$A$200=BA$1)*(Budgets!$B$2:$B$200&lt;=$A50)),Budgets!$C$2:$C$200),0))</f>
        <v/>
      </c>
      <c r="BB50" s="88">
        <f>IF(OR(BB$1="",$BE50=0),"",IFERROR(LOOKUP(2,1/((Budgets!$A$2:$A$200=BB$1)*(Budgets!$B$2:$B$200&lt;=$A50)),Budgets!$C$2:$C$200),0))</f>
        <v/>
      </c>
      <c r="BC50" s="88">
        <f>IF(OR(BC$1="",$BE50=0),"",IFERROR(LOOKUP(2,1/((Budgets!$A$2:$A$200=BC$1)*(Budgets!$B$2:$B$200&lt;=$A50)),Budgets!$C$2:$C$200),0))</f>
        <v/>
      </c>
      <c r="BE50" s="67">
        <f>COUNTIFS(Entries!$A$2:$A$5000,$A50)</f>
        <v/>
      </c>
    </row>
    <row r="51" ht="15" customHeight="1" s="43">
      <c r="A51" s="87" t="n">
        <v>40940</v>
      </c>
      <c r="B51" s="88">
        <f>IF($BE51=0,NA(),SUMIFS(Entries!$D$2:$D$5000,Entries!$C$2:$C$5000,"Income",Entries!$A$2:$A$5000,$A51))</f>
        <v/>
      </c>
      <c r="C51" s="88">
        <f>IF($BE51=0,"",SUMIFS(Entries!$D$2:$D$5000,Entries!$C$2:$C$5000,"Actual",Entries!$A$2:$A$5000,$A51))</f>
        <v/>
      </c>
      <c r="D51" s="88">
        <f>IF($BE51=0,"",SUMIFS(Entries!$D$2:$D$5000,Entries!$C$2:$C$5000,"One-off",Entries!$A$2:$A$5000,$A51))</f>
        <v/>
      </c>
      <c r="E51" s="88">
        <f>IF($BE51=0,NA(),C51+D51)</f>
        <v/>
      </c>
      <c r="F51" s="88">
        <f>IF($BE51=0,"",SUM(AJ51:BC51))</f>
        <v/>
      </c>
      <c r="G51" s="88">
        <f>IF($BE51=0,"",B51-E51)</f>
        <v/>
      </c>
      <c r="H51" s="88">
        <f>IF($BE51=0,"",SUM($G$2:G51))</f>
        <v/>
      </c>
      <c r="I51" s="88">
        <f>IF($BE51=0,"",SUMIFS(Entries!$F$2:$F$5000,Entries!$A$2:$A$5000,$A51))</f>
        <v/>
      </c>
      <c r="J51" s="88">
        <f>IF($BE51=0,NA(),H51+SUM($I$2:I51))</f>
        <v/>
      </c>
      <c r="K51" s="88">
        <f>IF($BE51=0,"",SUMIFS(Entries!$D$2:$D$5000,Entries!$C$2:$C$5000,"Income",Entries!$A$2:$A$5000,"&gt;="&amp;EDATE($A51,-11),Entries!$A$2:$A$5000,"&lt;="&amp;$A51)/12)</f>
        <v/>
      </c>
      <c r="L51" s="88">
        <f>IF($BE51=0,"",(SUMIFS(Entries!$D$2:$D$5000,Entries!$C$2:$C$5000,"Actual",Entries!$A$2:$A$5000,"&gt;="&amp;EDATE($A51,-11),Entries!$A$2:$A$5000,"&lt;="&amp;$A51)+SUMIFS(Entries!$D$2:$D$5000,Entries!$C$2:$C$5000,"One-off",Entries!$A$2:$A$5000,"&gt;="&amp;EDATE($A51,-11),Entries!$A$2:$A$5000,"&lt;="&amp;$A51))/12)</f>
        <v/>
      </c>
      <c r="M51" s="70">
        <f>IF($BE51=0,NA(),IFERROR((K51-L51)/K51,0))</f>
        <v/>
      </c>
      <c r="O51" s="88">
        <f>IF(OR(O$1="",$BE51=0),"",SUMIFS(Entries!$D$2:$D$5000,Entries!$C$2:$C$5000,"Actual",Entries!$A$2:$A$5000,$A51,Entries!$B$2:$B$5000,O$1))</f>
        <v/>
      </c>
      <c r="P51" s="88">
        <f>IF(OR(P$1="",$BE51=0),"",SUMIFS(Entries!$D$2:$D$5000,Entries!$C$2:$C$5000,"Actual",Entries!$A$2:$A$5000,$A51,Entries!$B$2:$B$5000,P$1))</f>
        <v/>
      </c>
      <c r="Q51" s="88">
        <f>IF(OR(Q$1="",$BE51=0),"",SUMIFS(Entries!$D$2:$D$5000,Entries!$C$2:$C$5000,"Actual",Entries!$A$2:$A$5000,$A51,Entries!$B$2:$B$5000,Q$1))</f>
        <v/>
      </c>
      <c r="R51" s="88">
        <f>IF(OR(R$1="",$BE51=0),"",SUMIFS(Entries!$D$2:$D$5000,Entries!$C$2:$C$5000,"Actual",Entries!$A$2:$A$5000,$A51,Entries!$B$2:$B$5000,R$1))</f>
        <v/>
      </c>
      <c r="S51" s="88">
        <f>IF(OR(S$1="",$BE51=0),"",SUMIFS(Entries!$D$2:$D$5000,Entries!$C$2:$C$5000,"Actual",Entries!$A$2:$A$5000,$A51,Entries!$B$2:$B$5000,S$1))</f>
        <v/>
      </c>
      <c r="T51" s="88">
        <f>IF(OR(T$1="",$BE51=0),"",SUMIFS(Entries!$D$2:$D$5000,Entries!$C$2:$C$5000,"Actual",Entries!$A$2:$A$5000,$A51,Entries!$B$2:$B$5000,T$1))</f>
        <v/>
      </c>
      <c r="U51" s="88">
        <f>IF(OR(U$1="",$BE51=0),"",SUMIFS(Entries!$D$2:$D$5000,Entries!$C$2:$C$5000,"Actual",Entries!$A$2:$A$5000,$A51,Entries!$B$2:$B$5000,U$1))</f>
        <v/>
      </c>
      <c r="V51" s="88">
        <f>IF(OR(V$1="",$BE51=0),"",SUMIFS(Entries!$D$2:$D$5000,Entries!$C$2:$C$5000,"Actual",Entries!$A$2:$A$5000,$A51,Entries!$B$2:$B$5000,V$1))</f>
        <v/>
      </c>
      <c r="W51" s="88">
        <f>IF(OR(W$1="",$BE51=0),"",SUMIFS(Entries!$D$2:$D$5000,Entries!$C$2:$C$5000,"Actual",Entries!$A$2:$A$5000,$A51,Entries!$B$2:$B$5000,W$1))</f>
        <v/>
      </c>
      <c r="X51" s="88">
        <f>IF(OR(X$1="",$BE51=0),"",SUMIFS(Entries!$D$2:$D$5000,Entries!$C$2:$C$5000,"Actual",Entries!$A$2:$A$5000,$A51,Entries!$B$2:$B$5000,X$1))</f>
        <v/>
      </c>
      <c r="Y51" s="88">
        <f>IF(OR(Y$1="",$BE51=0),"",SUMIFS(Entries!$D$2:$D$5000,Entries!$C$2:$C$5000,"Actual",Entries!$A$2:$A$5000,$A51,Entries!$B$2:$B$5000,Y$1))</f>
        <v/>
      </c>
      <c r="Z51" s="88">
        <f>IF(OR(Z$1="",$BE51=0),"",SUMIFS(Entries!$D$2:$D$5000,Entries!$C$2:$C$5000,"Actual",Entries!$A$2:$A$5000,$A51,Entries!$B$2:$B$5000,Z$1))</f>
        <v/>
      </c>
      <c r="AA51" s="88">
        <f>IF(OR(AA$1="",$BE51=0),"",SUMIFS(Entries!$D$2:$D$5000,Entries!$C$2:$C$5000,"Actual",Entries!$A$2:$A$5000,$A51,Entries!$B$2:$B$5000,AA$1))</f>
        <v/>
      </c>
      <c r="AB51" s="88">
        <f>IF(OR(AB$1="",$BE51=0),"",SUMIFS(Entries!$D$2:$D$5000,Entries!$C$2:$C$5000,"Actual",Entries!$A$2:$A$5000,$A51,Entries!$B$2:$B$5000,AB$1))</f>
        <v/>
      </c>
      <c r="AC51" s="88">
        <f>IF(OR(AC$1="",$BE51=0),"",SUMIFS(Entries!$D$2:$D$5000,Entries!$C$2:$C$5000,"Actual",Entries!$A$2:$A$5000,$A51,Entries!$B$2:$B$5000,AC$1))</f>
        <v/>
      </c>
      <c r="AD51" s="88">
        <f>IF(OR(AD$1="",$BE51=0),"",SUMIFS(Entries!$D$2:$D$5000,Entries!$C$2:$C$5000,"Actual",Entries!$A$2:$A$5000,$A51,Entries!$B$2:$B$5000,AD$1))</f>
        <v/>
      </c>
      <c r="AE51" s="88">
        <f>IF(OR(AE$1="",$BE51=0),"",SUMIFS(Entries!$D$2:$D$5000,Entries!$C$2:$C$5000,"Actual",Entries!$A$2:$A$5000,$A51,Entries!$B$2:$B$5000,AE$1))</f>
        <v/>
      </c>
      <c r="AF51" s="88">
        <f>IF(OR(AF$1="",$BE51=0),"",SUMIFS(Entries!$D$2:$D$5000,Entries!$C$2:$C$5000,"Actual",Entries!$A$2:$A$5000,$A51,Entries!$B$2:$B$5000,AF$1))</f>
        <v/>
      </c>
      <c r="AG51" s="88">
        <f>IF(OR(AG$1="",$BE51=0),"",SUMIFS(Entries!$D$2:$D$5000,Entries!$C$2:$C$5000,"Actual",Entries!$A$2:$A$5000,$A51,Entries!$B$2:$B$5000,AG$1))</f>
        <v/>
      </c>
      <c r="AH51" s="88">
        <f>IF(OR(AH$1="",$BE51=0),"",SUMIFS(Entries!$D$2:$D$5000,Entries!$C$2:$C$5000,"Actual",Entries!$A$2:$A$5000,$A51,Entries!$B$2:$B$5000,AH$1))</f>
        <v/>
      </c>
      <c r="AJ51" s="88">
        <f>IF(OR(AJ$1="",$BE51=0),"",IFERROR(LOOKUP(2,1/((Budgets!$A$2:$A$200=AJ$1)*(Budgets!$B$2:$B$200&lt;=$A51)),Budgets!$C$2:$C$200),0))</f>
        <v/>
      </c>
      <c r="AK51" s="88">
        <f>IF(OR(AK$1="",$BE51=0),"",IFERROR(LOOKUP(2,1/((Budgets!$A$2:$A$200=AK$1)*(Budgets!$B$2:$B$200&lt;=$A51)),Budgets!$C$2:$C$200),0))</f>
        <v/>
      </c>
      <c r="AL51" s="88">
        <f>IF(OR(AL$1="",$BE51=0),"",IFERROR(LOOKUP(2,1/((Budgets!$A$2:$A$200=AL$1)*(Budgets!$B$2:$B$200&lt;=$A51)),Budgets!$C$2:$C$200),0))</f>
        <v/>
      </c>
      <c r="AM51" s="88">
        <f>IF(OR(AM$1="",$BE51=0),"",IFERROR(LOOKUP(2,1/((Budgets!$A$2:$A$200=AM$1)*(Budgets!$B$2:$B$200&lt;=$A51)),Budgets!$C$2:$C$200),0))</f>
        <v/>
      </c>
      <c r="AN51" s="88">
        <f>IF(OR(AN$1="",$BE51=0),"",IFERROR(LOOKUP(2,1/((Budgets!$A$2:$A$200=AN$1)*(Budgets!$B$2:$B$200&lt;=$A51)),Budgets!$C$2:$C$200),0))</f>
        <v/>
      </c>
      <c r="AO51" s="88">
        <f>IF(OR(AO$1="",$BE51=0),"",IFERROR(LOOKUP(2,1/((Budgets!$A$2:$A$200=AO$1)*(Budgets!$B$2:$B$200&lt;=$A51)),Budgets!$C$2:$C$200),0))</f>
        <v/>
      </c>
      <c r="AP51" s="88">
        <f>IF(OR(AP$1="",$BE51=0),"",IFERROR(LOOKUP(2,1/((Budgets!$A$2:$A$200=AP$1)*(Budgets!$B$2:$B$200&lt;=$A51)),Budgets!$C$2:$C$200),0))</f>
        <v/>
      </c>
      <c r="AQ51" s="88">
        <f>IF(OR(AQ$1="",$BE51=0),"",IFERROR(LOOKUP(2,1/((Budgets!$A$2:$A$200=AQ$1)*(Budgets!$B$2:$B$200&lt;=$A51)),Budgets!$C$2:$C$200),0))</f>
        <v/>
      </c>
      <c r="AR51" s="88">
        <f>IF(OR(AR$1="",$BE51=0),"",IFERROR(LOOKUP(2,1/((Budgets!$A$2:$A$200=AR$1)*(Budgets!$B$2:$B$200&lt;=$A51)),Budgets!$C$2:$C$200),0))</f>
        <v/>
      </c>
      <c r="AS51" s="88">
        <f>IF(OR(AS$1="",$BE51=0),"",IFERROR(LOOKUP(2,1/((Budgets!$A$2:$A$200=AS$1)*(Budgets!$B$2:$B$200&lt;=$A51)),Budgets!$C$2:$C$200),0))</f>
        <v/>
      </c>
      <c r="AT51" s="88">
        <f>IF(OR(AT$1="",$BE51=0),"",IFERROR(LOOKUP(2,1/((Budgets!$A$2:$A$200=AT$1)*(Budgets!$B$2:$B$200&lt;=$A51)),Budgets!$C$2:$C$200),0))</f>
        <v/>
      </c>
      <c r="AU51" s="88">
        <f>IF(OR(AU$1="",$BE51=0),"",IFERROR(LOOKUP(2,1/((Budgets!$A$2:$A$200=AU$1)*(Budgets!$B$2:$B$200&lt;=$A51)),Budgets!$C$2:$C$200),0))</f>
        <v/>
      </c>
      <c r="AV51" s="88">
        <f>IF(OR(AV$1="",$BE51=0),"",IFERROR(LOOKUP(2,1/((Budgets!$A$2:$A$200=AV$1)*(Budgets!$B$2:$B$200&lt;=$A51)),Budgets!$C$2:$C$200),0))</f>
        <v/>
      </c>
      <c r="AW51" s="88">
        <f>IF(OR(AW$1="",$BE51=0),"",IFERROR(LOOKUP(2,1/((Budgets!$A$2:$A$200=AW$1)*(Budgets!$B$2:$B$200&lt;=$A51)),Budgets!$C$2:$C$200),0))</f>
        <v/>
      </c>
      <c r="AX51" s="88">
        <f>IF(OR(AX$1="",$BE51=0),"",IFERROR(LOOKUP(2,1/((Budgets!$A$2:$A$200=AX$1)*(Budgets!$B$2:$B$200&lt;=$A51)),Budgets!$C$2:$C$200),0))</f>
        <v/>
      </c>
      <c r="AY51" s="88">
        <f>IF(OR(AY$1="",$BE51=0),"",IFERROR(LOOKUP(2,1/((Budgets!$A$2:$A$200=AY$1)*(Budgets!$B$2:$B$200&lt;=$A51)),Budgets!$C$2:$C$200),0))</f>
        <v/>
      </c>
      <c r="AZ51" s="88">
        <f>IF(OR(AZ$1="",$BE51=0),"",IFERROR(LOOKUP(2,1/((Budgets!$A$2:$A$200=AZ$1)*(Budgets!$B$2:$B$200&lt;=$A51)),Budgets!$C$2:$C$200),0))</f>
        <v/>
      </c>
      <c r="BA51" s="88">
        <f>IF(OR(BA$1="",$BE51=0),"",IFERROR(LOOKUP(2,1/((Budgets!$A$2:$A$200=BA$1)*(Budgets!$B$2:$B$200&lt;=$A51)),Budgets!$C$2:$C$200),0))</f>
        <v/>
      </c>
      <c r="BB51" s="88">
        <f>IF(OR(BB$1="",$BE51=0),"",IFERROR(LOOKUP(2,1/((Budgets!$A$2:$A$200=BB$1)*(Budgets!$B$2:$B$200&lt;=$A51)),Budgets!$C$2:$C$200),0))</f>
        <v/>
      </c>
      <c r="BC51" s="88">
        <f>IF(OR(BC$1="",$BE51=0),"",IFERROR(LOOKUP(2,1/((Budgets!$A$2:$A$200=BC$1)*(Budgets!$B$2:$B$200&lt;=$A51)),Budgets!$C$2:$C$200),0))</f>
        <v/>
      </c>
      <c r="BE51" s="67">
        <f>COUNTIFS(Entries!$A$2:$A$5000,$A51)</f>
        <v/>
      </c>
    </row>
    <row r="52" ht="15" customHeight="1" s="43">
      <c r="A52" s="87" t="n">
        <v>40969</v>
      </c>
      <c r="B52" s="88">
        <f>IF($BE52=0,NA(),SUMIFS(Entries!$D$2:$D$5000,Entries!$C$2:$C$5000,"Income",Entries!$A$2:$A$5000,$A52))</f>
        <v/>
      </c>
      <c r="C52" s="88">
        <f>IF($BE52=0,"",SUMIFS(Entries!$D$2:$D$5000,Entries!$C$2:$C$5000,"Actual",Entries!$A$2:$A$5000,$A52))</f>
        <v/>
      </c>
      <c r="D52" s="88">
        <f>IF($BE52=0,"",SUMIFS(Entries!$D$2:$D$5000,Entries!$C$2:$C$5000,"One-off",Entries!$A$2:$A$5000,$A52))</f>
        <v/>
      </c>
      <c r="E52" s="88">
        <f>IF($BE52=0,NA(),C52+D52)</f>
        <v/>
      </c>
      <c r="F52" s="88">
        <f>IF($BE52=0,"",SUM(AJ52:BC52))</f>
        <v/>
      </c>
      <c r="G52" s="88">
        <f>IF($BE52=0,"",B52-E52)</f>
        <v/>
      </c>
      <c r="H52" s="88">
        <f>IF($BE52=0,"",SUM($G$2:G52))</f>
        <v/>
      </c>
      <c r="I52" s="88">
        <f>IF($BE52=0,"",SUMIFS(Entries!$F$2:$F$5000,Entries!$A$2:$A$5000,$A52))</f>
        <v/>
      </c>
      <c r="J52" s="88">
        <f>IF($BE52=0,NA(),H52+SUM($I$2:I52))</f>
        <v/>
      </c>
      <c r="K52" s="88">
        <f>IF($BE52=0,"",SUMIFS(Entries!$D$2:$D$5000,Entries!$C$2:$C$5000,"Income",Entries!$A$2:$A$5000,"&gt;="&amp;EDATE($A52,-11),Entries!$A$2:$A$5000,"&lt;="&amp;$A52)/12)</f>
        <v/>
      </c>
      <c r="L52" s="88">
        <f>IF($BE52=0,"",(SUMIFS(Entries!$D$2:$D$5000,Entries!$C$2:$C$5000,"Actual",Entries!$A$2:$A$5000,"&gt;="&amp;EDATE($A52,-11),Entries!$A$2:$A$5000,"&lt;="&amp;$A52)+SUMIFS(Entries!$D$2:$D$5000,Entries!$C$2:$C$5000,"One-off",Entries!$A$2:$A$5000,"&gt;="&amp;EDATE($A52,-11),Entries!$A$2:$A$5000,"&lt;="&amp;$A52))/12)</f>
        <v/>
      </c>
      <c r="M52" s="70">
        <f>IF($BE52=0,NA(),IFERROR((K52-L52)/K52,0))</f>
        <v/>
      </c>
      <c r="O52" s="88">
        <f>IF(OR(O$1="",$BE52=0),"",SUMIFS(Entries!$D$2:$D$5000,Entries!$C$2:$C$5000,"Actual",Entries!$A$2:$A$5000,$A52,Entries!$B$2:$B$5000,O$1))</f>
        <v/>
      </c>
      <c r="P52" s="88">
        <f>IF(OR(P$1="",$BE52=0),"",SUMIFS(Entries!$D$2:$D$5000,Entries!$C$2:$C$5000,"Actual",Entries!$A$2:$A$5000,$A52,Entries!$B$2:$B$5000,P$1))</f>
        <v/>
      </c>
      <c r="Q52" s="88">
        <f>IF(OR(Q$1="",$BE52=0),"",SUMIFS(Entries!$D$2:$D$5000,Entries!$C$2:$C$5000,"Actual",Entries!$A$2:$A$5000,$A52,Entries!$B$2:$B$5000,Q$1))</f>
        <v/>
      </c>
      <c r="R52" s="88">
        <f>IF(OR(R$1="",$BE52=0),"",SUMIFS(Entries!$D$2:$D$5000,Entries!$C$2:$C$5000,"Actual",Entries!$A$2:$A$5000,$A52,Entries!$B$2:$B$5000,R$1))</f>
        <v/>
      </c>
      <c r="S52" s="88">
        <f>IF(OR(S$1="",$BE52=0),"",SUMIFS(Entries!$D$2:$D$5000,Entries!$C$2:$C$5000,"Actual",Entries!$A$2:$A$5000,$A52,Entries!$B$2:$B$5000,S$1))</f>
        <v/>
      </c>
      <c r="T52" s="88">
        <f>IF(OR(T$1="",$BE52=0),"",SUMIFS(Entries!$D$2:$D$5000,Entries!$C$2:$C$5000,"Actual",Entries!$A$2:$A$5000,$A52,Entries!$B$2:$B$5000,T$1))</f>
        <v/>
      </c>
      <c r="U52" s="88">
        <f>IF(OR(U$1="",$BE52=0),"",SUMIFS(Entries!$D$2:$D$5000,Entries!$C$2:$C$5000,"Actual",Entries!$A$2:$A$5000,$A52,Entries!$B$2:$B$5000,U$1))</f>
        <v/>
      </c>
      <c r="V52" s="88">
        <f>IF(OR(V$1="",$BE52=0),"",SUMIFS(Entries!$D$2:$D$5000,Entries!$C$2:$C$5000,"Actual",Entries!$A$2:$A$5000,$A52,Entries!$B$2:$B$5000,V$1))</f>
        <v/>
      </c>
      <c r="W52" s="88">
        <f>IF(OR(W$1="",$BE52=0),"",SUMIFS(Entries!$D$2:$D$5000,Entries!$C$2:$C$5000,"Actual",Entries!$A$2:$A$5000,$A52,Entries!$B$2:$B$5000,W$1))</f>
        <v/>
      </c>
      <c r="X52" s="88">
        <f>IF(OR(X$1="",$BE52=0),"",SUMIFS(Entries!$D$2:$D$5000,Entries!$C$2:$C$5000,"Actual",Entries!$A$2:$A$5000,$A52,Entries!$B$2:$B$5000,X$1))</f>
        <v/>
      </c>
      <c r="Y52" s="88">
        <f>IF(OR(Y$1="",$BE52=0),"",SUMIFS(Entries!$D$2:$D$5000,Entries!$C$2:$C$5000,"Actual",Entries!$A$2:$A$5000,$A52,Entries!$B$2:$B$5000,Y$1))</f>
        <v/>
      </c>
      <c r="Z52" s="88">
        <f>IF(OR(Z$1="",$BE52=0),"",SUMIFS(Entries!$D$2:$D$5000,Entries!$C$2:$C$5000,"Actual",Entries!$A$2:$A$5000,$A52,Entries!$B$2:$B$5000,Z$1))</f>
        <v/>
      </c>
      <c r="AA52" s="88">
        <f>IF(OR(AA$1="",$BE52=0),"",SUMIFS(Entries!$D$2:$D$5000,Entries!$C$2:$C$5000,"Actual",Entries!$A$2:$A$5000,$A52,Entries!$B$2:$B$5000,AA$1))</f>
        <v/>
      </c>
      <c r="AB52" s="88">
        <f>IF(OR(AB$1="",$BE52=0),"",SUMIFS(Entries!$D$2:$D$5000,Entries!$C$2:$C$5000,"Actual",Entries!$A$2:$A$5000,$A52,Entries!$B$2:$B$5000,AB$1))</f>
        <v/>
      </c>
      <c r="AC52" s="88">
        <f>IF(OR(AC$1="",$BE52=0),"",SUMIFS(Entries!$D$2:$D$5000,Entries!$C$2:$C$5000,"Actual",Entries!$A$2:$A$5000,$A52,Entries!$B$2:$B$5000,AC$1))</f>
        <v/>
      </c>
      <c r="AD52" s="88">
        <f>IF(OR(AD$1="",$BE52=0),"",SUMIFS(Entries!$D$2:$D$5000,Entries!$C$2:$C$5000,"Actual",Entries!$A$2:$A$5000,$A52,Entries!$B$2:$B$5000,AD$1))</f>
        <v/>
      </c>
      <c r="AE52" s="88">
        <f>IF(OR(AE$1="",$BE52=0),"",SUMIFS(Entries!$D$2:$D$5000,Entries!$C$2:$C$5000,"Actual",Entries!$A$2:$A$5000,$A52,Entries!$B$2:$B$5000,AE$1))</f>
        <v/>
      </c>
      <c r="AF52" s="88">
        <f>IF(OR(AF$1="",$BE52=0),"",SUMIFS(Entries!$D$2:$D$5000,Entries!$C$2:$C$5000,"Actual",Entries!$A$2:$A$5000,$A52,Entries!$B$2:$B$5000,AF$1))</f>
        <v/>
      </c>
      <c r="AG52" s="88">
        <f>IF(OR(AG$1="",$BE52=0),"",SUMIFS(Entries!$D$2:$D$5000,Entries!$C$2:$C$5000,"Actual",Entries!$A$2:$A$5000,$A52,Entries!$B$2:$B$5000,AG$1))</f>
        <v/>
      </c>
      <c r="AH52" s="88">
        <f>IF(OR(AH$1="",$BE52=0),"",SUMIFS(Entries!$D$2:$D$5000,Entries!$C$2:$C$5000,"Actual",Entries!$A$2:$A$5000,$A52,Entries!$B$2:$B$5000,AH$1))</f>
        <v/>
      </c>
      <c r="AJ52" s="88">
        <f>IF(OR(AJ$1="",$BE52=0),"",IFERROR(LOOKUP(2,1/((Budgets!$A$2:$A$200=AJ$1)*(Budgets!$B$2:$B$200&lt;=$A52)),Budgets!$C$2:$C$200),0))</f>
        <v/>
      </c>
      <c r="AK52" s="88">
        <f>IF(OR(AK$1="",$BE52=0),"",IFERROR(LOOKUP(2,1/((Budgets!$A$2:$A$200=AK$1)*(Budgets!$B$2:$B$200&lt;=$A52)),Budgets!$C$2:$C$200),0))</f>
        <v/>
      </c>
      <c r="AL52" s="88">
        <f>IF(OR(AL$1="",$BE52=0),"",IFERROR(LOOKUP(2,1/((Budgets!$A$2:$A$200=AL$1)*(Budgets!$B$2:$B$200&lt;=$A52)),Budgets!$C$2:$C$200),0))</f>
        <v/>
      </c>
      <c r="AM52" s="88">
        <f>IF(OR(AM$1="",$BE52=0),"",IFERROR(LOOKUP(2,1/((Budgets!$A$2:$A$200=AM$1)*(Budgets!$B$2:$B$200&lt;=$A52)),Budgets!$C$2:$C$200),0))</f>
        <v/>
      </c>
      <c r="AN52" s="88">
        <f>IF(OR(AN$1="",$BE52=0),"",IFERROR(LOOKUP(2,1/((Budgets!$A$2:$A$200=AN$1)*(Budgets!$B$2:$B$200&lt;=$A52)),Budgets!$C$2:$C$200),0))</f>
        <v/>
      </c>
      <c r="AO52" s="88">
        <f>IF(OR(AO$1="",$BE52=0),"",IFERROR(LOOKUP(2,1/((Budgets!$A$2:$A$200=AO$1)*(Budgets!$B$2:$B$200&lt;=$A52)),Budgets!$C$2:$C$200),0))</f>
        <v/>
      </c>
      <c r="AP52" s="88">
        <f>IF(OR(AP$1="",$BE52=0),"",IFERROR(LOOKUP(2,1/((Budgets!$A$2:$A$200=AP$1)*(Budgets!$B$2:$B$200&lt;=$A52)),Budgets!$C$2:$C$200),0))</f>
        <v/>
      </c>
      <c r="AQ52" s="88">
        <f>IF(OR(AQ$1="",$BE52=0),"",IFERROR(LOOKUP(2,1/((Budgets!$A$2:$A$200=AQ$1)*(Budgets!$B$2:$B$200&lt;=$A52)),Budgets!$C$2:$C$200),0))</f>
        <v/>
      </c>
      <c r="AR52" s="88">
        <f>IF(OR(AR$1="",$BE52=0),"",IFERROR(LOOKUP(2,1/((Budgets!$A$2:$A$200=AR$1)*(Budgets!$B$2:$B$200&lt;=$A52)),Budgets!$C$2:$C$200),0))</f>
        <v/>
      </c>
      <c r="AS52" s="88">
        <f>IF(OR(AS$1="",$BE52=0),"",IFERROR(LOOKUP(2,1/((Budgets!$A$2:$A$200=AS$1)*(Budgets!$B$2:$B$200&lt;=$A52)),Budgets!$C$2:$C$200),0))</f>
        <v/>
      </c>
      <c r="AT52" s="88">
        <f>IF(OR(AT$1="",$BE52=0),"",IFERROR(LOOKUP(2,1/((Budgets!$A$2:$A$200=AT$1)*(Budgets!$B$2:$B$200&lt;=$A52)),Budgets!$C$2:$C$200),0))</f>
        <v/>
      </c>
      <c r="AU52" s="88">
        <f>IF(OR(AU$1="",$BE52=0),"",IFERROR(LOOKUP(2,1/((Budgets!$A$2:$A$200=AU$1)*(Budgets!$B$2:$B$200&lt;=$A52)),Budgets!$C$2:$C$200),0))</f>
        <v/>
      </c>
      <c r="AV52" s="88">
        <f>IF(OR(AV$1="",$BE52=0),"",IFERROR(LOOKUP(2,1/((Budgets!$A$2:$A$200=AV$1)*(Budgets!$B$2:$B$200&lt;=$A52)),Budgets!$C$2:$C$200),0))</f>
        <v/>
      </c>
      <c r="AW52" s="88">
        <f>IF(OR(AW$1="",$BE52=0),"",IFERROR(LOOKUP(2,1/((Budgets!$A$2:$A$200=AW$1)*(Budgets!$B$2:$B$200&lt;=$A52)),Budgets!$C$2:$C$200),0))</f>
        <v/>
      </c>
      <c r="AX52" s="88">
        <f>IF(OR(AX$1="",$BE52=0),"",IFERROR(LOOKUP(2,1/((Budgets!$A$2:$A$200=AX$1)*(Budgets!$B$2:$B$200&lt;=$A52)),Budgets!$C$2:$C$200),0))</f>
        <v/>
      </c>
      <c r="AY52" s="88">
        <f>IF(OR(AY$1="",$BE52=0),"",IFERROR(LOOKUP(2,1/((Budgets!$A$2:$A$200=AY$1)*(Budgets!$B$2:$B$200&lt;=$A52)),Budgets!$C$2:$C$200),0))</f>
        <v/>
      </c>
      <c r="AZ52" s="88">
        <f>IF(OR(AZ$1="",$BE52=0),"",IFERROR(LOOKUP(2,1/((Budgets!$A$2:$A$200=AZ$1)*(Budgets!$B$2:$B$200&lt;=$A52)),Budgets!$C$2:$C$200),0))</f>
        <v/>
      </c>
      <c r="BA52" s="88">
        <f>IF(OR(BA$1="",$BE52=0),"",IFERROR(LOOKUP(2,1/((Budgets!$A$2:$A$200=BA$1)*(Budgets!$B$2:$B$200&lt;=$A52)),Budgets!$C$2:$C$200),0))</f>
        <v/>
      </c>
      <c r="BB52" s="88">
        <f>IF(OR(BB$1="",$BE52=0),"",IFERROR(LOOKUP(2,1/((Budgets!$A$2:$A$200=BB$1)*(Budgets!$B$2:$B$200&lt;=$A52)),Budgets!$C$2:$C$200),0))</f>
        <v/>
      </c>
      <c r="BC52" s="88">
        <f>IF(OR(BC$1="",$BE52=0),"",IFERROR(LOOKUP(2,1/((Budgets!$A$2:$A$200=BC$1)*(Budgets!$B$2:$B$200&lt;=$A52)),Budgets!$C$2:$C$200),0))</f>
        <v/>
      </c>
      <c r="BE52" s="67">
        <f>COUNTIFS(Entries!$A$2:$A$5000,$A52)</f>
        <v/>
      </c>
    </row>
    <row r="53" ht="15" customHeight="1" s="43">
      <c r="A53" s="87" t="n">
        <v>41000</v>
      </c>
      <c r="B53" s="88">
        <f>IF($BE53=0,NA(),SUMIFS(Entries!$D$2:$D$5000,Entries!$C$2:$C$5000,"Income",Entries!$A$2:$A$5000,$A53))</f>
        <v/>
      </c>
      <c r="C53" s="88">
        <f>IF($BE53=0,"",SUMIFS(Entries!$D$2:$D$5000,Entries!$C$2:$C$5000,"Actual",Entries!$A$2:$A$5000,$A53))</f>
        <v/>
      </c>
      <c r="D53" s="88">
        <f>IF($BE53=0,"",SUMIFS(Entries!$D$2:$D$5000,Entries!$C$2:$C$5000,"One-off",Entries!$A$2:$A$5000,$A53))</f>
        <v/>
      </c>
      <c r="E53" s="88">
        <f>IF($BE53=0,NA(),C53+D53)</f>
        <v/>
      </c>
      <c r="F53" s="88">
        <f>IF($BE53=0,"",SUM(AJ53:BC53))</f>
        <v/>
      </c>
      <c r="G53" s="88">
        <f>IF($BE53=0,"",B53-E53)</f>
        <v/>
      </c>
      <c r="H53" s="88">
        <f>IF($BE53=0,"",SUM($G$2:G53))</f>
        <v/>
      </c>
      <c r="I53" s="88">
        <f>IF($BE53=0,"",SUMIFS(Entries!$F$2:$F$5000,Entries!$A$2:$A$5000,$A53))</f>
        <v/>
      </c>
      <c r="J53" s="88">
        <f>IF($BE53=0,NA(),H53+SUM($I$2:I53))</f>
        <v/>
      </c>
      <c r="K53" s="88">
        <f>IF($BE53=0,"",SUMIFS(Entries!$D$2:$D$5000,Entries!$C$2:$C$5000,"Income",Entries!$A$2:$A$5000,"&gt;="&amp;EDATE($A53,-11),Entries!$A$2:$A$5000,"&lt;="&amp;$A53)/12)</f>
        <v/>
      </c>
      <c r="L53" s="88">
        <f>IF($BE53=0,"",(SUMIFS(Entries!$D$2:$D$5000,Entries!$C$2:$C$5000,"Actual",Entries!$A$2:$A$5000,"&gt;="&amp;EDATE($A53,-11),Entries!$A$2:$A$5000,"&lt;="&amp;$A53)+SUMIFS(Entries!$D$2:$D$5000,Entries!$C$2:$C$5000,"One-off",Entries!$A$2:$A$5000,"&gt;="&amp;EDATE($A53,-11),Entries!$A$2:$A$5000,"&lt;="&amp;$A53))/12)</f>
        <v/>
      </c>
      <c r="M53" s="70">
        <f>IF($BE53=0,NA(),IFERROR((K53-L53)/K53,0))</f>
        <v/>
      </c>
      <c r="O53" s="88">
        <f>IF(OR(O$1="",$BE53=0),"",SUMIFS(Entries!$D$2:$D$5000,Entries!$C$2:$C$5000,"Actual",Entries!$A$2:$A$5000,$A53,Entries!$B$2:$B$5000,O$1))</f>
        <v/>
      </c>
      <c r="P53" s="88">
        <f>IF(OR(P$1="",$BE53=0),"",SUMIFS(Entries!$D$2:$D$5000,Entries!$C$2:$C$5000,"Actual",Entries!$A$2:$A$5000,$A53,Entries!$B$2:$B$5000,P$1))</f>
        <v/>
      </c>
      <c r="Q53" s="88">
        <f>IF(OR(Q$1="",$BE53=0),"",SUMIFS(Entries!$D$2:$D$5000,Entries!$C$2:$C$5000,"Actual",Entries!$A$2:$A$5000,$A53,Entries!$B$2:$B$5000,Q$1))</f>
        <v/>
      </c>
      <c r="R53" s="88">
        <f>IF(OR(R$1="",$BE53=0),"",SUMIFS(Entries!$D$2:$D$5000,Entries!$C$2:$C$5000,"Actual",Entries!$A$2:$A$5000,$A53,Entries!$B$2:$B$5000,R$1))</f>
        <v/>
      </c>
      <c r="S53" s="88">
        <f>IF(OR(S$1="",$BE53=0),"",SUMIFS(Entries!$D$2:$D$5000,Entries!$C$2:$C$5000,"Actual",Entries!$A$2:$A$5000,$A53,Entries!$B$2:$B$5000,S$1))</f>
        <v/>
      </c>
      <c r="T53" s="88">
        <f>IF(OR(T$1="",$BE53=0),"",SUMIFS(Entries!$D$2:$D$5000,Entries!$C$2:$C$5000,"Actual",Entries!$A$2:$A$5000,$A53,Entries!$B$2:$B$5000,T$1))</f>
        <v/>
      </c>
      <c r="U53" s="88">
        <f>IF(OR(U$1="",$BE53=0),"",SUMIFS(Entries!$D$2:$D$5000,Entries!$C$2:$C$5000,"Actual",Entries!$A$2:$A$5000,$A53,Entries!$B$2:$B$5000,U$1))</f>
        <v/>
      </c>
      <c r="V53" s="88">
        <f>IF(OR(V$1="",$BE53=0),"",SUMIFS(Entries!$D$2:$D$5000,Entries!$C$2:$C$5000,"Actual",Entries!$A$2:$A$5000,$A53,Entries!$B$2:$B$5000,V$1))</f>
        <v/>
      </c>
      <c r="W53" s="88">
        <f>IF(OR(W$1="",$BE53=0),"",SUMIFS(Entries!$D$2:$D$5000,Entries!$C$2:$C$5000,"Actual",Entries!$A$2:$A$5000,$A53,Entries!$B$2:$B$5000,W$1))</f>
        <v/>
      </c>
      <c r="X53" s="88">
        <f>IF(OR(X$1="",$BE53=0),"",SUMIFS(Entries!$D$2:$D$5000,Entries!$C$2:$C$5000,"Actual",Entries!$A$2:$A$5000,$A53,Entries!$B$2:$B$5000,X$1))</f>
        <v/>
      </c>
      <c r="Y53" s="88">
        <f>IF(OR(Y$1="",$BE53=0),"",SUMIFS(Entries!$D$2:$D$5000,Entries!$C$2:$C$5000,"Actual",Entries!$A$2:$A$5000,$A53,Entries!$B$2:$B$5000,Y$1))</f>
        <v/>
      </c>
      <c r="Z53" s="88">
        <f>IF(OR(Z$1="",$BE53=0),"",SUMIFS(Entries!$D$2:$D$5000,Entries!$C$2:$C$5000,"Actual",Entries!$A$2:$A$5000,$A53,Entries!$B$2:$B$5000,Z$1))</f>
        <v/>
      </c>
      <c r="AA53" s="88">
        <f>IF(OR(AA$1="",$BE53=0),"",SUMIFS(Entries!$D$2:$D$5000,Entries!$C$2:$C$5000,"Actual",Entries!$A$2:$A$5000,$A53,Entries!$B$2:$B$5000,AA$1))</f>
        <v/>
      </c>
      <c r="AB53" s="88">
        <f>IF(OR(AB$1="",$BE53=0),"",SUMIFS(Entries!$D$2:$D$5000,Entries!$C$2:$C$5000,"Actual",Entries!$A$2:$A$5000,$A53,Entries!$B$2:$B$5000,AB$1))</f>
        <v/>
      </c>
      <c r="AC53" s="88">
        <f>IF(OR(AC$1="",$BE53=0),"",SUMIFS(Entries!$D$2:$D$5000,Entries!$C$2:$C$5000,"Actual",Entries!$A$2:$A$5000,$A53,Entries!$B$2:$B$5000,AC$1))</f>
        <v/>
      </c>
      <c r="AD53" s="88">
        <f>IF(OR(AD$1="",$BE53=0),"",SUMIFS(Entries!$D$2:$D$5000,Entries!$C$2:$C$5000,"Actual",Entries!$A$2:$A$5000,$A53,Entries!$B$2:$B$5000,AD$1))</f>
        <v/>
      </c>
      <c r="AE53" s="88">
        <f>IF(OR(AE$1="",$BE53=0),"",SUMIFS(Entries!$D$2:$D$5000,Entries!$C$2:$C$5000,"Actual",Entries!$A$2:$A$5000,$A53,Entries!$B$2:$B$5000,AE$1))</f>
        <v/>
      </c>
      <c r="AF53" s="88">
        <f>IF(OR(AF$1="",$BE53=0),"",SUMIFS(Entries!$D$2:$D$5000,Entries!$C$2:$C$5000,"Actual",Entries!$A$2:$A$5000,$A53,Entries!$B$2:$B$5000,AF$1))</f>
        <v/>
      </c>
      <c r="AG53" s="88">
        <f>IF(OR(AG$1="",$BE53=0),"",SUMIFS(Entries!$D$2:$D$5000,Entries!$C$2:$C$5000,"Actual",Entries!$A$2:$A$5000,$A53,Entries!$B$2:$B$5000,AG$1))</f>
        <v/>
      </c>
      <c r="AH53" s="88">
        <f>IF(OR(AH$1="",$BE53=0),"",SUMIFS(Entries!$D$2:$D$5000,Entries!$C$2:$C$5000,"Actual",Entries!$A$2:$A$5000,$A53,Entries!$B$2:$B$5000,AH$1))</f>
        <v/>
      </c>
      <c r="AJ53" s="88">
        <f>IF(OR(AJ$1="",$BE53=0),"",IFERROR(LOOKUP(2,1/((Budgets!$A$2:$A$200=AJ$1)*(Budgets!$B$2:$B$200&lt;=$A53)),Budgets!$C$2:$C$200),0))</f>
        <v/>
      </c>
      <c r="AK53" s="88">
        <f>IF(OR(AK$1="",$BE53=0),"",IFERROR(LOOKUP(2,1/((Budgets!$A$2:$A$200=AK$1)*(Budgets!$B$2:$B$200&lt;=$A53)),Budgets!$C$2:$C$200),0))</f>
        <v/>
      </c>
      <c r="AL53" s="88">
        <f>IF(OR(AL$1="",$BE53=0),"",IFERROR(LOOKUP(2,1/((Budgets!$A$2:$A$200=AL$1)*(Budgets!$B$2:$B$200&lt;=$A53)),Budgets!$C$2:$C$200),0))</f>
        <v/>
      </c>
      <c r="AM53" s="88">
        <f>IF(OR(AM$1="",$BE53=0),"",IFERROR(LOOKUP(2,1/((Budgets!$A$2:$A$200=AM$1)*(Budgets!$B$2:$B$200&lt;=$A53)),Budgets!$C$2:$C$200),0))</f>
        <v/>
      </c>
      <c r="AN53" s="88">
        <f>IF(OR(AN$1="",$BE53=0),"",IFERROR(LOOKUP(2,1/((Budgets!$A$2:$A$200=AN$1)*(Budgets!$B$2:$B$200&lt;=$A53)),Budgets!$C$2:$C$200),0))</f>
        <v/>
      </c>
      <c r="AO53" s="88">
        <f>IF(OR(AO$1="",$BE53=0),"",IFERROR(LOOKUP(2,1/((Budgets!$A$2:$A$200=AO$1)*(Budgets!$B$2:$B$200&lt;=$A53)),Budgets!$C$2:$C$200),0))</f>
        <v/>
      </c>
      <c r="AP53" s="88">
        <f>IF(OR(AP$1="",$BE53=0),"",IFERROR(LOOKUP(2,1/((Budgets!$A$2:$A$200=AP$1)*(Budgets!$B$2:$B$200&lt;=$A53)),Budgets!$C$2:$C$200),0))</f>
        <v/>
      </c>
      <c r="AQ53" s="88">
        <f>IF(OR(AQ$1="",$BE53=0),"",IFERROR(LOOKUP(2,1/((Budgets!$A$2:$A$200=AQ$1)*(Budgets!$B$2:$B$200&lt;=$A53)),Budgets!$C$2:$C$200),0))</f>
        <v/>
      </c>
      <c r="AR53" s="88">
        <f>IF(OR(AR$1="",$BE53=0),"",IFERROR(LOOKUP(2,1/((Budgets!$A$2:$A$200=AR$1)*(Budgets!$B$2:$B$200&lt;=$A53)),Budgets!$C$2:$C$200),0))</f>
        <v/>
      </c>
      <c r="AS53" s="88">
        <f>IF(OR(AS$1="",$BE53=0),"",IFERROR(LOOKUP(2,1/((Budgets!$A$2:$A$200=AS$1)*(Budgets!$B$2:$B$200&lt;=$A53)),Budgets!$C$2:$C$200),0))</f>
        <v/>
      </c>
      <c r="AT53" s="88">
        <f>IF(OR(AT$1="",$BE53=0),"",IFERROR(LOOKUP(2,1/((Budgets!$A$2:$A$200=AT$1)*(Budgets!$B$2:$B$200&lt;=$A53)),Budgets!$C$2:$C$200),0))</f>
        <v/>
      </c>
      <c r="AU53" s="88">
        <f>IF(OR(AU$1="",$BE53=0),"",IFERROR(LOOKUP(2,1/((Budgets!$A$2:$A$200=AU$1)*(Budgets!$B$2:$B$200&lt;=$A53)),Budgets!$C$2:$C$200),0))</f>
        <v/>
      </c>
      <c r="AV53" s="88">
        <f>IF(OR(AV$1="",$BE53=0),"",IFERROR(LOOKUP(2,1/((Budgets!$A$2:$A$200=AV$1)*(Budgets!$B$2:$B$200&lt;=$A53)),Budgets!$C$2:$C$200),0))</f>
        <v/>
      </c>
      <c r="AW53" s="88">
        <f>IF(OR(AW$1="",$BE53=0),"",IFERROR(LOOKUP(2,1/((Budgets!$A$2:$A$200=AW$1)*(Budgets!$B$2:$B$200&lt;=$A53)),Budgets!$C$2:$C$200),0))</f>
        <v/>
      </c>
      <c r="AX53" s="88">
        <f>IF(OR(AX$1="",$BE53=0),"",IFERROR(LOOKUP(2,1/((Budgets!$A$2:$A$200=AX$1)*(Budgets!$B$2:$B$200&lt;=$A53)),Budgets!$C$2:$C$200),0))</f>
        <v/>
      </c>
      <c r="AY53" s="88">
        <f>IF(OR(AY$1="",$BE53=0),"",IFERROR(LOOKUP(2,1/((Budgets!$A$2:$A$200=AY$1)*(Budgets!$B$2:$B$200&lt;=$A53)),Budgets!$C$2:$C$200),0))</f>
        <v/>
      </c>
      <c r="AZ53" s="88">
        <f>IF(OR(AZ$1="",$BE53=0),"",IFERROR(LOOKUP(2,1/((Budgets!$A$2:$A$200=AZ$1)*(Budgets!$B$2:$B$200&lt;=$A53)),Budgets!$C$2:$C$200),0))</f>
        <v/>
      </c>
      <c r="BA53" s="88">
        <f>IF(OR(BA$1="",$BE53=0),"",IFERROR(LOOKUP(2,1/((Budgets!$A$2:$A$200=BA$1)*(Budgets!$B$2:$B$200&lt;=$A53)),Budgets!$C$2:$C$200),0))</f>
        <v/>
      </c>
      <c r="BB53" s="88">
        <f>IF(OR(BB$1="",$BE53=0),"",IFERROR(LOOKUP(2,1/((Budgets!$A$2:$A$200=BB$1)*(Budgets!$B$2:$B$200&lt;=$A53)),Budgets!$C$2:$C$200),0))</f>
        <v/>
      </c>
      <c r="BC53" s="88">
        <f>IF(OR(BC$1="",$BE53=0),"",IFERROR(LOOKUP(2,1/((Budgets!$A$2:$A$200=BC$1)*(Budgets!$B$2:$B$200&lt;=$A53)),Budgets!$C$2:$C$200),0))</f>
        <v/>
      </c>
      <c r="BE53" s="67">
        <f>COUNTIFS(Entries!$A$2:$A$5000,$A53)</f>
        <v/>
      </c>
    </row>
    <row r="54" ht="15" customHeight="1" s="43">
      <c r="A54" s="87" t="n">
        <v>41030</v>
      </c>
      <c r="B54" s="88">
        <f>IF($BE54=0,NA(),SUMIFS(Entries!$D$2:$D$5000,Entries!$C$2:$C$5000,"Income",Entries!$A$2:$A$5000,$A54))</f>
        <v/>
      </c>
      <c r="C54" s="88">
        <f>IF($BE54=0,"",SUMIFS(Entries!$D$2:$D$5000,Entries!$C$2:$C$5000,"Actual",Entries!$A$2:$A$5000,$A54))</f>
        <v/>
      </c>
      <c r="D54" s="88">
        <f>IF($BE54=0,"",SUMIFS(Entries!$D$2:$D$5000,Entries!$C$2:$C$5000,"One-off",Entries!$A$2:$A$5000,$A54))</f>
        <v/>
      </c>
      <c r="E54" s="88">
        <f>IF($BE54=0,NA(),C54+D54)</f>
        <v/>
      </c>
      <c r="F54" s="88">
        <f>IF($BE54=0,"",SUM(AJ54:BC54))</f>
        <v/>
      </c>
      <c r="G54" s="88">
        <f>IF($BE54=0,"",B54-E54)</f>
        <v/>
      </c>
      <c r="H54" s="88">
        <f>IF($BE54=0,"",SUM($G$2:G54))</f>
        <v/>
      </c>
      <c r="I54" s="88">
        <f>IF($BE54=0,"",SUMIFS(Entries!$F$2:$F$5000,Entries!$A$2:$A$5000,$A54))</f>
        <v/>
      </c>
      <c r="J54" s="88">
        <f>IF($BE54=0,NA(),H54+SUM($I$2:I54))</f>
        <v/>
      </c>
      <c r="K54" s="88">
        <f>IF($BE54=0,"",SUMIFS(Entries!$D$2:$D$5000,Entries!$C$2:$C$5000,"Income",Entries!$A$2:$A$5000,"&gt;="&amp;EDATE($A54,-11),Entries!$A$2:$A$5000,"&lt;="&amp;$A54)/12)</f>
        <v/>
      </c>
      <c r="L54" s="88">
        <f>IF($BE54=0,"",(SUMIFS(Entries!$D$2:$D$5000,Entries!$C$2:$C$5000,"Actual",Entries!$A$2:$A$5000,"&gt;="&amp;EDATE($A54,-11),Entries!$A$2:$A$5000,"&lt;="&amp;$A54)+SUMIFS(Entries!$D$2:$D$5000,Entries!$C$2:$C$5000,"One-off",Entries!$A$2:$A$5000,"&gt;="&amp;EDATE($A54,-11),Entries!$A$2:$A$5000,"&lt;="&amp;$A54))/12)</f>
        <v/>
      </c>
      <c r="M54" s="70">
        <f>IF($BE54=0,NA(),IFERROR((K54-L54)/K54,0))</f>
        <v/>
      </c>
      <c r="O54" s="88">
        <f>IF(OR(O$1="",$BE54=0),"",SUMIFS(Entries!$D$2:$D$5000,Entries!$C$2:$C$5000,"Actual",Entries!$A$2:$A$5000,$A54,Entries!$B$2:$B$5000,O$1))</f>
        <v/>
      </c>
      <c r="P54" s="88">
        <f>IF(OR(P$1="",$BE54=0),"",SUMIFS(Entries!$D$2:$D$5000,Entries!$C$2:$C$5000,"Actual",Entries!$A$2:$A$5000,$A54,Entries!$B$2:$B$5000,P$1))</f>
        <v/>
      </c>
      <c r="Q54" s="88">
        <f>IF(OR(Q$1="",$BE54=0),"",SUMIFS(Entries!$D$2:$D$5000,Entries!$C$2:$C$5000,"Actual",Entries!$A$2:$A$5000,$A54,Entries!$B$2:$B$5000,Q$1))</f>
        <v/>
      </c>
      <c r="R54" s="88">
        <f>IF(OR(R$1="",$BE54=0),"",SUMIFS(Entries!$D$2:$D$5000,Entries!$C$2:$C$5000,"Actual",Entries!$A$2:$A$5000,$A54,Entries!$B$2:$B$5000,R$1))</f>
        <v/>
      </c>
      <c r="S54" s="88">
        <f>IF(OR(S$1="",$BE54=0),"",SUMIFS(Entries!$D$2:$D$5000,Entries!$C$2:$C$5000,"Actual",Entries!$A$2:$A$5000,$A54,Entries!$B$2:$B$5000,S$1))</f>
        <v/>
      </c>
      <c r="T54" s="88">
        <f>IF(OR(T$1="",$BE54=0),"",SUMIFS(Entries!$D$2:$D$5000,Entries!$C$2:$C$5000,"Actual",Entries!$A$2:$A$5000,$A54,Entries!$B$2:$B$5000,T$1))</f>
        <v/>
      </c>
      <c r="U54" s="88">
        <f>IF(OR(U$1="",$BE54=0),"",SUMIFS(Entries!$D$2:$D$5000,Entries!$C$2:$C$5000,"Actual",Entries!$A$2:$A$5000,$A54,Entries!$B$2:$B$5000,U$1))</f>
        <v/>
      </c>
      <c r="V54" s="88">
        <f>IF(OR(V$1="",$BE54=0),"",SUMIFS(Entries!$D$2:$D$5000,Entries!$C$2:$C$5000,"Actual",Entries!$A$2:$A$5000,$A54,Entries!$B$2:$B$5000,V$1))</f>
        <v/>
      </c>
      <c r="W54" s="88">
        <f>IF(OR(W$1="",$BE54=0),"",SUMIFS(Entries!$D$2:$D$5000,Entries!$C$2:$C$5000,"Actual",Entries!$A$2:$A$5000,$A54,Entries!$B$2:$B$5000,W$1))</f>
        <v/>
      </c>
      <c r="X54" s="88">
        <f>IF(OR(X$1="",$BE54=0),"",SUMIFS(Entries!$D$2:$D$5000,Entries!$C$2:$C$5000,"Actual",Entries!$A$2:$A$5000,$A54,Entries!$B$2:$B$5000,X$1))</f>
        <v/>
      </c>
      <c r="Y54" s="88">
        <f>IF(OR(Y$1="",$BE54=0),"",SUMIFS(Entries!$D$2:$D$5000,Entries!$C$2:$C$5000,"Actual",Entries!$A$2:$A$5000,$A54,Entries!$B$2:$B$5000,Y$1))</f>
        <v/>
      </c>
      <c r="Z54" s="88">
        <f>IF(OR(Z$1="",$BE54=0),"",SUMIFS(Entries!$D$2:$D$5000,Entries!$C$2:$C$5000,"Actual",Entries!$A$2:$A$5000,$A54,Entries!$B$2:$B$5000,Z$1))</f>
        <v/>
      </c>
      <c r="AA54" s="88">
        <f>IF(OR(AA$1="",$BE54=0),"",SUMIFS(Entries!$D$2:$D$5000,Entries!$C$2:$C$5000,"Actual",Entries!$A$2:$A$5000,$A54,Entries!$B$2:$B$5000,AA$1))</f>
        <v/>
      </c>
      <c r="AB54" s="88">
        <f>IF(OR(AB$1="",$BE54=0),"",SUMIFS(Entries!$D$2:$D$5000,Entries!$C$2:$C$5000,"Actual",Entries!$A$2:$A$5000,$A54,Entries!$B$2:$B$5000,AB$1))</f>
        <v/>
      </c>
      <c r="AC54" s="88">
        <f>IF(OR(AC$1="",$BE54=0),"",SUMIFS(Entries!$D$2:$D$5000,Entries!$C$2:$C$5000,"Actual",Entries!$A$2:$A$5000,$A54,Entries!$B$2:$B$5000,AC$1))</f>
        <v/>
      </c>
      <c r="AD54" s="88">
        <f>IF(OR(AD$1="",$BE54=0),"",SUMIFS(Entries!$D$2:$D$5000,Entries!$C$2:$C$5000,"Actual",Entries!$A$2:$A$5000,$A54,Entries!$B$2:$B$5000,AD$1))</f>
        <v/>
      </c>
      <c r="AE54" s="88">
        <f>IF(OR(AE$1="",$BE54=0),"",SUMIFS(Entries!$D$2:$D$5000,Entries!$C$2:$C$5000,"Actual",Entries!$A$2:$A$5000,$A54,Entries!$B$2:$B$5000,AE$1))</f>
        <v/>
      </c>
      <c r="AF54" s="88">
        <f>IF(OR(AF$1="",$BE54=0),"",SUMIFS(Entries!$D$2:$D$5000,Entries!$C$2:$C$5000,"Actual",Entries!$A$2:$A$5000,$A54,Entries!$B$2:$B$5000,AF$1))</f>
        <v/>
      </c>
      <c r="AG54" s="88">
        <f>IF(OR(AG$1="",$BE54=0),"",SUMIFS(Entries!$D$2:$D$5000,Entries!$C$2:$C$5000,"Actual",Entries!$A$2:$A$5000,$A54,Entries!$B$2:$B$5000,AG$1))</f>
        <v/>
      </c>
      <c r="AH54" s="88">
        <f>IF(OR(AH$1="",$BE54=0),"",SUMIFS(Entries!$D$2:$D$5000,Entries!$C$2:$C$5000,"Actual",Entries!$A$2:$A$5000,$A54,Entries!$B$2:$B$5000,AH$1))</f>
        <v/>
      </c>
      <c r="AJ54" s="88">
        <f>IF(OR(AJ$1="",$BE54=0),"",IFERROR(LOOKUP(2,1/((Budgets!$A$2:$A$200=AJ$1)*(Budgets!$B$2:$B$200&lt;=$A54)),Budgets!$C$2:$C$200),0))</f>
        <v/>
      </c>
      <c r="AK54" s="88">
        <f>IF(OR(AK$1="",$BE54=0),"",IFERROR(LOOKUP(2,1/((Budgets!$A$2:$A$200=AK$1)*(Budgets!$B$2:$B$200&lt;=$A54)),Budgets!$C$2:$C$200),0))</f>
        <v/>
      </c>
      <c r="AL54" s="88">
        <f>IF(OR(AL$1="",$BE54=0),"",IFERROR(LOOKUP(2,1/((Budgets!$A$2:$A$200=AL$1)*(Budgets!$B$2:$B$200&lt;=$A54)),Budgets!$C$2:$C$200),0))</f>
        <v/>
      </c>
      <c r="AM54" s="88">
        <f>IF(OR(AM$1="",$BE54=0),"",IFERROR(LOOKUP(2,1/((Budgets!$A$2:$A$200=AM$1)*(Budgets!$B$2:$B$200&lt;=$A54)),Budgets!$C$2:$C$200),0))</f>
        <v/>
      </c>
      <c r="AN54" s="88">
        <f>IF(OR(AN$1="",$BE54=0),"",IFERROR(LOOKUP(2,1/((Budgets!$A$2:$A$200=AN$1)*(Budgets!$B$2:$B$200&lt;=$A54)),Budgets!$C$2:$C$200),0))</f>
        <v/>
      </c>
      <c r="AO54" s="88">
        <f>IF(OR(AO$1="",$BE54=0),"",IFERROR(LOOKUP(2,1/((Budgets!$A$2:$A$200=AO$1)*(Budgets!$B$2:$B$200&lt;=$A54)),Budgets!$C$2:$C$200),0))</f>
        <v/>
      </c>
      <c r="AP54" s="88">
        <f>IF(OR(AP$1="",$BE54=0),"",IFERROR(LOOKUP(2,1/((Budgets!$A$2:$A$200=AP$1)*(Budgets!$B$2:$B$200&lt;=$A54)),Budgets!$C$2:$C$200),0))</f>
        <v/>
      </c>
      <c r="AQ54" s="88">
        <f>IF(OR(AQ$1="",$BE54=0),"",IFERROR(LOOKUP(2,1/((Budgets!$A$2:$A$200=AQ$1)*(Budgets!$B$2:$B$200&lt;=$A54)),Budgets!$C$2:$C$200),0))</f>
        <v/>
      </c>
      <c r="AR54" s="88">
        <f>IF(OR(AR$1="",$BE54=0),"",IFERROR(LOOKUP(2,1/((Budgets!$A$2:$A$200=AR$1)*(Budgets!$B$2:$B$200&lt;=$A54)),Budgets!$C$2:$C$200),0))</f>
        <v/>
      </c>
      <c r="AS54" s="88">
        <f>IF(OR(AS$1="",$BE54=0),"",IFERROR(LOOKUP(2,1/((Budgets!$A$2:$A$200=AS$1)*(Budgets!$B$2:$B$200&lt;=$A54)),Budgets!$C$2:$C$200),0))</f>
        <v/>
      </c>
      <c r="AT54" s="88">
        <f>IF(OR(AT$1="",$BE54=0),"",IFERROR(LOOKUP(2,1/((Budgets!$A$2:$A$200=AT$1)*(Budgets!$B$2:$B$200&lt;=$A54)),Budgets!$C$2:$C$200),0))</f>
        <v/>
      </c>
      <c r="AU54" s="88">
        <f>IF(OR(AU$1="",$BE54=0),"",IFERROR(LOOKUP(2,1/((Budgets!$A$2:$A$200=AU$1)*(Budgets!$B$2:$B$200&lt;=$A54)),Budgets!$C$2:$C$200),0))</f>
        <v/>
      </c>
      <c r="AV54" s="88">
        <f>IF(OR(AV$1="",$BE54=0),"",IFERROR(LOOKUP(2,1/((Budgets!$A$2:$A$200=AV$1)*(Budgets!$B$2:$B$200&lt;=$A54)),Budgets!$C$2:$C$200),0))</f>
        <v/>
      </c>
      <c r="AW54" s="88">
        <f>IF(OR(AW$1="",$BE54=0),"",IFERROR(LOOKUP(2,1/((Budgets!$A$2:$A$200=AW$1)*(Budgets!$B$2:$B$200&lt;=$A54)),Budgets!$C$2:$C$200),0))</f>
        <v/>
      </c>
      <c r="AX54" s="88">
        <f>IF(OR(AX$1="",$BE54=0),"",IFERROR(LOOKUP(2,1/((Budgets!$A$2:$A$200=AX$1)*(Budgets!$B$2:$B$200&lt;=$A54)),Budgets!$C$2:$C$200),0))</f>
        <v/>
      </c>
      <c r="AY54" s="88">
        <f>IF(OR(AY$1="",$BE54=0),"",IFERROR(LOOKUP(2,1/((Budgets!$A$2:$A$200=AY$1)*(Budgets!$B$2:$B$200&lt;=$A54)),Budgets!$C$2:$C$200),0))</f>
        <v/>
      </c>
      <c r="AZ54" s="88">
        <f>IF(OR(AZ$1="",$BE54=0),"",IFERROR(LOOKUP(2,1/((Budgets!$A$2:$A$200=AZ$1)*(Budgets!$B$2:$B$200&lt;=$A54)),Budgets!$C$2:$C$200),0))</f>
        <v/>
      </c>
      <c r="BA54" s="88">
        <f>IF(OR(BA$1="",$BE54=0),"",IFERROR(LOOKUP(2,1/((Budgets!$A$2:$A$200=BA$1)*(Budgets!$B$2:$B$200&lt;=$A54)),Budgets!$C$2:$C$200),0))</f>
        <v/>
      </c>
      <c r="BB54" s="88">
        <f>IF(OR(BB$1="",$BE54=0),"",IFERROR(LOOKUP(2,1/((Budgets!$A$2:$A$200=BB$1)*(Budgets!$B$2:$B$200&lt;=$A54)),Budgets!$C$2:$C$200),0))</f>
        <v/>
      </c>
      <c r="BC54" s="88">
        <f>IF(OR(BC$1="",$BE54=0),"",IFERROR(LOOKUP(2,1/((Budgets!$A$2:$A$200=BC$1)*(Budgets!$B$2:$B$200&lt;=$A54)),Budgets!$C$2:$C$200),0))</f>
        <v/>
      </c>
      <c r="BE54" s="67">
        <f>COUNTIFS(Entries!$A$2:$A$5000,$A54)</f>
        <v/>
      </c>
    </row>
    <row r="55" ht="15" customHeight="1" s="43">
      <c r="A55" s="87" t="n">
        <v>41061</v>
      </c>
      <c r="B55" s="88">
        <f>IF($BE55=0,NA(),SUMIFS(Entries!$D$2:$D$5000,Entries!$C$2:$C$5000,"Income",Entries!$A$2:$A$5000,$A55))</f>
        <v/>
      </c>
      <c r="C55" s="88">
        <f>IF($BE55=0,"",SUMIFS(Entries!$D$2:$D$5000,Entries!$C$2:$C$5000,"Actual",Entries!$A$2:$A$5000,$A55))</f>
        <v/>
      </c>
      <c r="D55" s="88">
        <f>IF($BE55=0,"",SUMIFS(Entries!$D$2:$D$5000,Entries!$C$2:$C$5000,"One-off",Entries!$A$2:$A$5000,$A55))</f>
        <v/>
      </c>
      <c r="E55" s="88">
        <f>IF($BE55=0,NA(),C55+D55)</f>
        <v/>
      </c>
      <c r="F55" s="88">
        <f>IF($BE55=0,"",SUM(AJ55:BC55))</f>
        <v/>
      </c>
      <c r="G55" s="88">
        <f>IF($BE55=0,"",B55-E55)</f>
        <v/>
      </c>
      <c r="H55" s="88">
        <f>IF($BE55=0,"",SUM($G$2:G55))</f>
        <v/>
      </c>
      <c r="I55" s="88">
        <f>IF($BE55=0,"",SUMIFS(Entries!$F$2:$F$5000,Entries!$A$2:$A$5000,$A55))</f>
        <v/>
      </c>
      <c r="J55" s="88">
        <f>IF($BE55=0,NA(),H55+SUM($I$2:I55))</f>
        <v/>
      </c>
      <c r="K55" s="88">
        <f>IF($BE55=0,"",SUMIFS(Entries!$D$2:$D$5000,Entries!$C$2:$C$5000,"Income",Entries!$A$2:$A$5000,"&gt;="&amp;EDATE($A55,-11),Entries!$A$2:$A$5000,"&lt;="&amp;$A55)/12)</f>
        <v/>
      </c>
      <c r="L55" s="88">
        <f>IF($BE55=0,"",(SUMIFS(Entries!$D$2:$D$5000,Entries!$C$2:$C$5000,"Actual",Entries!$A$2:$A$5000,"&gt;="&amp;EDATE($A55,-11),Entries!$A$2:$A$5000,"&lt;="&amp;$A55)+SUMIFS(Entries!$D$2:$D$5000,Entries!$C$2:$C$5000,"One-off",Entries!$A$2:$A$5000,"&gt;="&amp;EDATE($A55,-11),Entries!$A$2:$A$5000,"&lt;="&amp;$A55))/12)</f>
        <v/>
      </c>
      <c r="M55" s="70">
        <f>IF($BE55=0,NA(),IFERROR((K55-L55)/K55,0))</f>
        <v/>
      </c>
      <c r="O55" s="88">
        <f>IF(OR(O$1="",$BE55=0),"",SUMIFS(Entries!$D$2:$D$5000,Entries!$C$2:$C$5000,"Actual",Entries!$A$2:$A$5000,$A55,Entries!$B$2:$B$5000,O$1))</f>
        <v/>
      </c>
      <c r="P55" s="88">
        <f>IF(OR(P$1="",$BE55=0),"",SUMIFS(Entries!$D$2:$D$5000,Entries!$C$2:$C$5000,"Actual",Entries!$A$2:$A$5000,$A55,Entries!$B$2:$B$5000,P$1))</f>
        <v/>
      </c>
      <c r="Q55" s="88">
        <f>IF(OR(Q$1="",$BE55=0),"",SUMIFS(Entries!$D$2:$D$5000,Entries!$C$2:$C$5000,"Actual",Entries!$A$2:$A$5000,$A55,Entries!$B$2:$B$5000,Q$1))</f>
        <v/>
      </c>
      <c r="R55" s="88">
        <f>IF(OR(R$1="",$BE55=0),"",SUMIFS(Entries!$D$2:$D$5000,Entries!$C$2:$C$5000,"Actual",Entries!$A$2:$A$5000,$A55,Entries!$B$2:$B$5000,R$1))</f>
        <v/>
      </c>
      <c r="S55" s="88">
        <f>IF(OR(S$1="",$BE55=0),"",SUMIFS(Entries!$D$2:$D$5000,Entries!$C$2:$C$5000,"Actual",Entries!$A$2:$A$5000,$A55,Entries!$B$2:$B$5000,S$1))</f>
        <v/>
      </c>
      <c r="T55" s="88">
        <f>IF(OR(T$1="",$BE55=0),"",SUMIFS(Entries!$D$2:$D$5000,Entries!$C$2:$C$5000,"Actual",Entries!$A$2:$A$5000,$A55,Entries!$B$2:$B$5000,T$1))</f>
        <v/>
      </c>
      <c r="U55" s="88">
        <f>IF(OR(U$1="",$BE55=0),"",SUMIFS(Entries!$D$2:$D$5000,Entries!$C$2:$C$5000,"Actual",Entries!$A$2:$A$5000,$A55,Entries!$B$2:$B$5000,U$1))</f>
        <v/>
      </c>
      <c r="V55" s="88">
        <f>IF(OR(V$1="",$BE55=0),"",SUMIFS(Entries!$D$2:$D$5000,Entries!$C$2:$C$5000,"Actual",Entries!$A$2:$A$5000,$A55,Entries!$B$2:$B$5000,V$1))</f>
        <v/>
      </c>
      <c r="W55" s="88">
        <f>IF(OR(W$1="",$BE55=0),"",SUMIFS(Entries!$D$2:$D$5000,Entries!$C$2:$C$5000,"Actual",Entries!$A$2:$A$5000,$A55,Entries!$B$2:$B$5000,W$1))</f>
        <v/>
      </c>
      <c r="X55" s="88">
        <f>IF(OR(X$1="",$BE55=0),"",SUMIFS(Entries!$D$2:$D$5000,Entries!$C$2:$C$5000,"Actual",Entries!$A$2:$A$5000,$A55,Entries!$B$2:$B$5000,X$1))</f>
        <v/>
      </c>
      <c r="Y55" s="88">
        <f>IF(OR(Y$1="",$BE55=0),"",SUMIFS(Entries!$D$2:$D$5000,Entries!$C$2:$C$5000,"Actual",Entries!$A$2:$A$5000,$A55,Entries!$B$2:$B$5000,Y$1))</f>
        <v/>
      </c>
      <c r="Z55" s="88">
        <f>IF(OR(Z$1="",$BE55=0),"",SUMIFS(Entries!$D$2:$D$5000,Entries!$C$2:$C$5000,"Actual",Entries!$A$2:$A$5000,$A55,Entries!$B$2:$B$5000,Z$1))</f>
        <v/>
      </c>
      <c r="AA55" s="88">
        <f>IF(OR(AA$1="",$BE55=0),"",SUMIFS(Entries!$D$2:$D$5000,Entries!$C$2:$C$5000,"Actual",Entries!$A$2:$A$5000,$A55,Entries!$B$2:$B$5000,AA$1))</f>
        <v/>
      </c>
      <c r="AB55" s="88">
        <f>IF(OR(AB$1="",$BE55=0),"",SUMIFS(Entries!$D$2:$D$5000,Entries!$C$2:$C$5000,"Actual",Entries!$A$2:$A$5000,$A55,Entries!$B$2:$B$5000,AB$1))</f>
        <v/>
      </c>
      <c r="AC55" s="88">
        <f>IF(OR(AC$1="",$BE55=0),"",SUMIFS(Entries!$D$2:$D$5000,Entries!$C$2:$C$5000,"Actual",Entries!$A$2:$A$5000,$A55,Entries!$B$2:$B$5000,AC$1))</f>
        <v/>
      </c>
      <c r="AD55" s="88">
        <f>IF(OR(AD$1="",$BE55=0),"",SUMIFS(Entries!$D$2:$D$5000,Entries!$C$2:$C$5000,"Actual",Entries!$A$2:$A$5000,$A55,Entries!$B$2:$B$5000,AD$1))</f>
        <v/>
      </c>
      <c r="AE55" s="88">
        <f>IF(OR(AE$1="",$BE55=0),"",SUMIFS(Entries!$D$2:$D$5000,Entries!$C$2:$C$5000,"Actual",Entries!$A$2:$A$5000,$A55,Entries!$B$2:$B$5000,AE$1))</f>
        <v/>
      </c>
      <c r="AF55" s="88">
        <f>IF(OR(AF$1="",$BE55=0),"",SUMIFS(Entries!$D$2:$D$5000,Entries!$C$2:$C$5000,"Actual",Entries!$A$2:$A$5000,$A55,Entries!$B$2:$B$5000,AF$1))</f>
        <v/>
      </c>
      <c r="AG55" s="88">
        <f>IF(OR(AG$1="",$BE55=0),"",SUMIFS(Entries!$D$2:$D$5000,Entries!$C$2:$C$5000,"Actual",Entries!$A$2:$A$5000,$A55,Entries!$B$2:$B$5000,AG$1))</f>
        <v/>
      </c>
      <c r="AH55" s="88">
        <f>IF(OR(AH$1="",$BE55=0),"",SUMIFS(Entries!$D$2:$D$5000,Entries!$C$2:$C$5000,"Actual",Entries!$A$2:$A$5000,$A55,Entries!$B$2:$B$5000,AH$1))</f>
        <v/>
      </c>
      <c r="AJ55" s="88">
        <f>IF(OR(AJ$1="",$BE55=0),"",IFERROR(LOOKUP(2,1/((Budgets!$A$2:$A$200=AJ$1)*(Budgets!$B$2:$B$200&lt;=$A55)),Budgets!$C$2:$C$200),0))</f>
        <v/>
      </c>
      <c r="AK55" s="88">
        <f>IF(OR(AK$1="",$BE55=0),"",IFERROR(LOOKUP(2,1/((Budgets!$A$2:$A$200=AK$1)*(Budgets!$B$2:$B$200&lt;=$A55)),Budgets!$C$2:$C$200),0))</f>
        <v/>
      </c>
      <c r="AL55" s="88">
        <f>IF(OR(AL$1="",$BE55=0),"",IFERROR(LOOKUP(2,1/((Budgets!$A$2:$A$200=AL$1)*(Budgets!$B$2:$B$200&lt;=$A55)),Budgets!$C$2:$C$200),0))</f>
        <v/>
      </c>
      <c r="AM55" s="88">
        <f>IF(OR(AM$1="",$BE55=0),"",IFERROR(LOOKUP(2,1/((Budgets!$A$2:$A$200=AM$1)*(Budgets!$B$2:$B$200&lt;=$A55)),Budgets!$C$2:$C$200),0))</f>
        <v/>
      </c>
      <c r="AN55" s="88">
        <f>IF(OR(AN$1="",$BE55=0),"",IFERROR(LOOKUP(2,1/((Budgets!$A$2:$A$200=AN$1)*(Budgets!$B$2:$B$200&lt;=$A55)),Budgets!$C$2:$C$200),0))</f>
        <v/>
      </c>
      <c r="AO55" s="88">
        <f>IF(OR(AO$1="",$BE55=0),"",IFERROR(LOOKUP(2,1/((Budgets!$A$2:$A$200=AO$1)*(Budgets!$B$2:$B$200&lt;=$A55)),Budgets!$C$2:$C$200),0))</f>
        <v/>
      </c>
      <c r="AP55" s="88">
        <f>IF(OR(AP$1="",$BE55=0),"",IFERROR(LOOKUP(2,1/((Budgets!$A$2:$A$200=AP$1)*(Budgets!$B$2:$B$200&lt;=$A55)),Budgets!$C$2:$C$200),0))</f>
        <v/>
      </c>
      <c r="AQ55" s="88">
        <f>IF(OR(AQ$1="",$BE55=0),"",IFERROR(LOOKUP(2,1/((Budgets!$A$2:$A$200=AQ$1)*(Budgets!$B$2:$B$200&lt;=$A55)),Budgets!$C$2:$C$200),0))</f>
        <v/>
      </c>
      <c r="AR55" s="88">
        <f>IF(OR(AR$1="",$BE55=0),"",IFERROR(LOOKUP(2,1/((Budgets!$A$2:$A$200=AR$1)*(Budgets!$B$2:$B$200&lt;=$A55)),Budgets!$C$2:$C$200),0))</f>
        <v/>
      </c>
      <c r="AS55" s="88">
        <f>IF(OR(AS$1="",$BE55=0),"",IFERROR(LOOKUP(2,1/((Budgets!$A$2:$A$200=AS$1)*(Budgets!$B$2:$B$200&lt;=$A55)),Budgets!$C$2:$C$200),0))</f>
        <v/>
      </c>
      <c r="AT55" s="88">
        <f>IF(OR(AT$1="",$BE55=0),"",IFERROR(LOOKUP(2,1/((Budgets!$A$2:$A$200=AT$1)*(Budgets!$B$2:$B$200&lt;=$A55)),Budgets!$C$2:$C$200),0))</f>
        <v/>
      </c>
      <c r="AU55" s="88">
        <f>IF(OR(AU$1="",$BE55=0),"",IFERROR(LOOKUP(2,1/((Budgets!$A$2:$A$200=AU$1)*(Budgets!$B$2:$B$200&lt;=$A55)),Budgets!$C$2:$C$200),0))</f>
        <v/>
      </c>
      <c r="AV55" s="88">
        <f>IF(OR(AV$1="",$BE55=0),"",IFERROR(LOOKUP(2,1/((Budgets!$A$2:$A$200=AV$1)*(Budgets!$B$2:$B$200&lt;=$A55)),Budgets!$C$2:$C$200),0))</f>
        <v/>
      </c>
      <c r="AW55" s="88">
        <f>IF(OR(AW$1="",$BE55=0),"",IFERROR(LOOKUP(2,1/((Budgets!$A$2:$A$200=AW$1)*(Budgets!$B$2:$B$200&lt;=$A55)),Budgets!$C$2:$C$200),0))</f>
        <v/>
      </c>
      <c r="AX55" s="88">
        <f>IF(OR(AX$1="",$BE55=0),"",IFERROR(LOOKUP(2,1/((Budgets!$A$2:$A$200=AX$1)*(Budgets!$B$2:$B$200&lt;=$A55)),Budgets!$C$2:$C$200),0))</f>
        <v/>
      </c>
      <c r="AY55" s="88">
        <f>IF(OR(AY$1="",$BE55=0),"",IFERROR(LOOKUP(2,1/((Budgets!$A$2:$A$200=AY$1)*(Budgets!$B$2:$B$200&lt;=$A55)),Budgets!$C$2:$C$200),0))</f>
        <v/>
      </c>
      <c r="AZ55" s="88">
        <f>IF(OR(AZ$1="",$BE55=0),"",IFERROR(LOOKUP(2,1/((Budgets!$A$2:$A$200=AZ$1)*(Budgets!$B$2:$B$200&lt;=$A55)),Budgets!$C$2:$C$200),0))</f>
        <v/>
      </c>
      <c r="BA55" s="88">
        <f>IF(OR(BA$1="",$BE55=0),"",IFERROR(LOOKUP(2,1/((Budgets!$A$2:$A$200=BA$1)*(Budgets!$B$2:$B$200&lt;=$A55)),Budgets!$C$2:$C$200),0))</f>
        <v/>
      </c>
      <c r="BB55" s="88">
        <f>IF(OR(BB$1="",$BE55=0),"",IFERROR(LOOKUP(2,1/((Budgets!$A$2:$A$200=BB$1)*(Budgets!$B$2:$B$200&lt;=$A55)),Budgets!$C$2:$C$200),0))</f>
        <v/>
      </c>
      <c r="BC55" s="88">
        <f>IF(OR(BC$1="",$BE55=0),"",IFERROR(LOOKUP(2,1/((Budgets!$A$2:$A$200=BC$1)*(Budgets!$B$2:$B$200&lt;=$A55)),Budgets!$C$2:$C$200),0))</f>
        <v/>
      </c>
      <c r="BE55" s="67">
        <f>COUNTIFS(Entries!$A$2:$A$5000,$A55)</f>
        <v/>
      </c>
    </row>
    <row r="56" ht="15" customHeight="1" s="43">
      <c r="A56" s="87" t="n">
        <v>41091</v>
      </c>
      <c r="B56" s="88">
        <f>IF($BE56=0,NA(),SUMIFS(Entries!$D$2:$D$5000,Entries!$C$2:$C$5000,"Income",Entries!$A$2:$A$5000,$A56))</f>
        <v/>
      </c>
      <c r="C56" s="88">
        <f>IF($BE56=0,"",SUMIFS(Entries!$D$2:$D$5000,Entries!$C$2:$C$5000,"Actual",Entries!$A$2:$A$5000,$A56))</f>
        <v/>
      </c>
      <c r="D56" s="88">
        <f>IF($BE56=0,"",SUMIFS(Entries!$D$2:$D$5000,Entries!$C$2:$C$5000,"One-off",Entries!$A$2:$A$5000,$A56))</f>
        <v/>
      </c>
      <c r="E56" s="88">
        <f>IF($BE56=0,NA(),C56+D56)</f>
        <v/>
      </c>
      <c r="F56" s="88">
        <f>IF($BE56=0,"",SUM(AJ56:BC56))</f>
        <v/>
      </c>
      <c r="G56" s="88">
        <f>IF($BE56=0,"",B56-E56)</f>
        <v/>
      </c>
      <c r="H56" s="88">
        <f>IF($BE56=0,"",SUM($G$2:G56))</f>
        <v/>
      </c>
      <c r="I56" s="88">
        <f>IF($BE56=0,"",SUMIFS(Entries!$F$2:$F$5000,Entries!$A$2:$A$5000,$A56))</f>
        <v/>
      </c>
      <c r="J56" s="88">
        <f>IF($BE56=0,NA(),H56+SUM($I$2:I56))</f>
        <v/>
      </c>
      <c r="K56" s="88">
        <f>IF($BE56=0,"",SUMIFS(Entries!$D$2:$D$5000,Entries!$C$2:$C$5000,"Income",Entries!$A$2:$A$5000,"&gt;="&amp;EDATE($A56,-11),Entries!$A$2:$A$5000,"&lt;="&amp;$A56)/12)</f>
        <v/>
      </c>
      <c r="L56" s="88">
        <f>IF($BE56=0,"",(SUMIFS(Entries!$D$2:$D$5000,Entries!$C$2:$C$5000,"Actual",Entries!$A$2:$A$5000,"&gt;="&amp;EDATE($A56,-11),Entries!$A$2:$A$5000,"&lt;="&amp;$A56)+SUMIFS(Entries!$D$2:$D$5000,Entries!$C$2:$C$5000,"One-off",Entries!$A$2:$A$5000,"&gt;="&amp;EDATE($A56,-11),Entries!$A$2:$A$5000,"&lt;="&amp;$A56))/12)</f>
        <v/>
      </c>
      <c r="M56" s="70">
        <f>IF($BE56=0,NA(),IFERROR((K56-L56)/K56,0))</f>
        <v/>
      </c>
      <c r="O56" s="88">
        <f>IF(OR(O$1="",$BE56=0),"",SUMIFS(Entries!$D$2:$D$5000,Entries!$C$2:$C$5000,"Actual",Entries!$A$2:$A$5000,$A56,Entries!$B$2:$B$5000,O$1))</f>
        <v/>
      </c>
      <c r="P56" s="88">
        <f>IF(OR(P$1="",$BE56=0),"",SUMIFS(Entries!$D$2:$D$5000,Entries!$C$2:$C$5000,"Actual",Entries!$A$2:$A$5000,$A56,Entries!$B$2:$B$5000,P$1))</f>
        <v/>
      </c>
      <c r="Q56" s="88">
        <f>IF(OR(Q$1="",$BE56=0),"",SUMIFS(Entries!$D$2:$D$5000,Entries!$C$2:$C$5000,"Actual",Entries!$A$2:$A$5000,$A56,Entries!$B$2:$B$5000,Q$1))</f>
        <v/>
      </c>
      <c r="R56" s="88">
        <f>IF(OR(R$1="",$BE56=0),"",SUMIFS(Entries!$D$2:$D$5000,Entries!$C$2:$C$5000,"Actual",Entries!$A$2:$A$5000,$A56,Entries!$B$2:$B$5000,R$1))</f>
        <v/>
      </c>
      <c r="S56" s="88">
        <f>IF(OR(S$1="",$BE56=0),"",SUMIFS(Entries!$D$2:$D$5000,Entries!$C$2:$C$5000,"Actual",Entries!$A$2:$A$5000,$A56,Entries!$B$2:$B$5000,S$1))</f>
        <v/>
      </c>
      <c r="T56" s="88">
        <f>IF(OR(T$1="",$BE56=0),"",SUMIFS(Entries!$D$2:$D$5000,Entries!$C$2:$C$5000,"Actual",Entries!$A$2:$A$5000,$A56,Entries!$B$2:$B$5000,T$1))</f>
        <v/>
      </c>
      <c r="U56" s="88">
        <f>IF(OR(U$1="",$BE56=0),"",SUMIFS(Entries!$D$2:$D$5000,Entries!$C$2:$C$5000,"Actual",Entries!$A$2:$A$5000,$A56,Entries!$B$2:$B$5000,U$1))</f>
        <v/>
      </c>
      <c r="V56" s="88">
        <f>IF(OR(V$1="",$BE56=0),"",SUMIFS(Entries!$D$2:$D$5000,Entries!$C$2:$C$5000,"Actual",Entries!$A$2:$A$5000,$A56,Entries!$B$2:$B$5000,V$1))</f>
        <v/>
      </c>
      <c r="W56" s="88">
        <f>IF(OR(W$1="",$BE56=0),"",SUMIFS(Entries!$D$2:$D$5000,Entries!$C$2:$C$5000,"Actual",Entries!$A$2:$A$5000,$A56,Entries!$B$2:$B$5000,W$1))</f>
        <v/>
      </c>
      <c r="X56" s="88">
        <f>IF(OR(X$1="",$BE56=0),"",SUMIFS(Entries!$D$2:$D$5000,Entries!$C$2:$C$5000,"Actual",Entries!$A$2:$A$5000,$A56,Entries!$B$2:$B$5000,X$1))</f>
        <v/>
      </c>
      <c r="Y56" s="88">
        <f>IF(OR(Y$1="",$BE56=0),"",SUMIFS(Entries!$D$2:$D$5000,Entries!$C$2:$C$5000,"Actual",Entries!$A$2:$A$5000,$A56,Entries!$B$2:$B$5000,Y$1))</f>
        <v/>
      </c>
      <c r="Z56" s="88">
        <f>IF(OR(Z$1="",$BE56=0),"",SUMIFS(Entries!$D$2:$D$5000,Entries!$C$2:$C$5000,"Actual",Entries!$A$2:$A$5000,$A56,Entries!$B$2:$B$5000,Z$1))</f>
        <v/>
      </c>
      <c r="AA56" s="88">
        <f>IF(OR(AA$1="",$BE56=0),"",SUMIFS(Entries!$D$2:$D$5000,Entries!$C$2:$C$5000,"Actual",Entries!$A$2:$A$5000,$A56,Entries!$B$2:$B$5000,AA$1))</f>
        <v/>
      </c>
      <c r="AB56" s="88">
        <f>IF(OR(AB$1="",$BE56=0),"",SUMIFS(Entries!$D$2:$D$5000,Entries!$C$2:$C$5000,"Actual",Entries!$A$2:$A$5000,$A56,Entries!$B$2:$B$5000,AB$1))</f>
        <v/>
      </c>
      <c r="AC56" s="88">
        <f>IF(OR(AC$1="",$BE56=0),"",SUMIFS(Entries!$D$2:$D$5000,Entries!$C$2:$C$5000,"Actual",Entries!$A$2:$A$5000,$A56,Entries!$B$2:$B$5000,AC$1))</f>
        <v/>
      </c>
      <c r="AD56" s="88">
        <f>IF(OR(AD$1="",$BE56=0),"",SUMIFS(Entries!$D$2:$D$5000,Entries!$C$2:$C$5000,"Actual",Entries!$A$2:$A$5000,$A56,Entries!$B$2:$B$5000,AD$1))</f>
        <v/>
      </c>
      <c r="AE56" s="88">
        <f>IF(OR(AE$1="",$BE56=0),"",SUMIFS(Entries!$D$2:$D$5000,Entries!$C$2:$C$5000,"Actual",Entries!$A$2:$A$5000,$A56,Entries!$B$2:$B$5000,AE$1))</f>
        <v/>
      </c>
      <c r="AF56" s="88">
        <f>IF(OR(AF$1="",$BE56=0),"",SUMIFS(Entries!$D$2:$D$5000,Entries!$C$2:$C$5000,"Actual",Entries!$A$2:$A$5000,$A56,Entries!$B$2:$B$5000,AF$1))</f>
        <v/>
      </c>
      <c r="AG56" s="88">
        <f>IF(OR(AG$1="",$BE56=0),"",SUMIFS(Entries!$D$2:$D$5000,Entries!$C$2:$C$5000,"Actual",Entries!$A$2:$A$5000,$A56,Entries!$B$2:$B$5000,AG$1))</f>
        <v/>
      </c>
      <c r="AH56" s="88">
        <f>IF(OR(AH$1="",$BE56=0),"",SUMIFS(Entries!$D$2:$D$5000,Entries!$C$2:$C$5000,"Actual",Entries!$A$2:$A$5000,$A56,Entries!$B$2:$B$5000,AH$1))</f>
        <v/>
      </c>
      <c r="AJ56" s="88">
        <f>IF(OR(AJ$1="",$BE56=0),"",IFERROR(LOOKUP(2,1/((Budgets!$A$2:$A$200=AJ$1)*(Budgets!$B$2:$B$200&lt;=$A56)),Budgets!$C$2:$C$200),0))</f>
        <v/>
      </c>
      <c r="AK56" s="88">
        <f>IF(OR(AK$1="",$BE56=0),"",IFERROR(LOOKUP(2,1/((Budgets!$A$2:$A$200=AK$1)*(Budgets!$B$2:$B$200&lt;=$A56)),Budgets!$C$2:$C$200),0))</f>
        <v/>
      </c>
      <c r="AL56" s="88">
        <f>IF(OR(AL$1="",$BE56=0),"",IFERROR(LOOKUP(2,1/((Budgets!$A$2:$A$200=AL$1)*(Budgets!$B$2:$B$200&lt;=$A56)),Budgets!$C$2:$C$200),0))</f>
        <v/>
      </c>
      <c r="AM56" s="88">
        <f>IF(OR(AM$1="",$BE56=0),"",IFERROR(LOOKUP(2,1/((Budgets!$A$2:$A$200=AM$1)*(Budgets!$B$2:$B$200&lt;=$A56)),Budgets!$C$2:$C$200),0))</f>
        <v/>
      </c>
      <c r="AN56" s="88">
        <f>IF(OR(AN$1="",$BE56=0),"",IFERROR(LOOKUP(2,1/((Budgets!$A$2:$A$200=AN$1)*(Budgets!$B$2:$B$200&lt;=$A56)),Budgets!$C$2:$C$200),0))</f>
        <v/>
      </c>
      <c r="AO56" s="88">
        <f>IF(OR(AO$1="",$BE56=0),"",IFERROR(LOOKUP(2,1/((Budgets!$A$2:$A$200=AO$1)*(Budgets!$B$2:$B$200&lt;=$A56)),Budgets!$C$2:$C$200),0))</f>
        <v/>
      </c>
      <c r="AP56" s="88">
        <f>IF(OR(AP$1="",$BE56=0),"",IFERROR(LOOKUP(2,1/((Budgets!$A$2:$A$200=AP$1)*(Budgets!$B$2:$B$200&lt;=$A56)),Budgets!$C$2:$C$200),0))</f>
        <v/>
      </c>
      <c r="AQ56" s="88">
        <f>IF(OR(AQ$1="",$BE56=0),"",IFERROR(LOOKUP(2,1/((Budgets!$A$2:$A$200=AQ$1)*(Budgets!$B$2:$B$200&lt;=$A56)),Budgets!$C$2:$C$200),0))</f>
        <v/>
      </c>
      <c r="AR56" s="88">
        <f>IF(OR(AR$1="",$BE56=0),"",IFERROR(LOOKUP(2,1/((Budgets!$A$2:$A$200=AR$1)*(Budgets!$B$2:$B$200&lt;=$A56)),Budgets!$C$2:$C$200),0))</f>
        <v/>
      </c>
      <c r="AS56" s="88">
        <f>IF(OR(AS$1="",$BE56=0),"",IFERROR(LOOKUP(2,1/((Budgets!$A$2:$A$200=AS$1)*(Budgets!$B$2:$B$200&lt;=$A56)),Budgets!$C$2:$C$200),0))</f>
        <v/>
      </c>
      <c r="AT56" s="88">
        <f>IF(OR(AT$1="",$BE56=0),"",IFERROR(LOOKUP(2,1/((Budgets!$A$2:$A$200=AT$1)*(Budgets!$B$2:$B$200&lt;=$A56)),Budgets!$C$2:$C$200),0))</f>
        <v/>
      </c>
      <c r="AU56" s="88">
        <f>IF(OR(AU$1="",$BE56=0),"",IFERROR(LOOKUP(2,1/((Budgets!$A$2:$A$200=AU$1)*(Budgets!$B$2:$B$200&lt;=$A56)),Budgets!$C$2:$C$200),0))</f>
        <v/>
      </c>
      <c r="AV56" s="88">
        <f>IF(OR(AV$1="",$BE56=0),"",IFERROR(LOOKUP(2,1/((Budgets!$A$2:$A$200=AV$1)*(Budgets!$B$2:$B$200&lt;=$A56)),Budgets!$C$2:$C$200),0))</f>
        <v/>
      </c>
      <c r="AW56" s="88">
        <f>IF(OR(AW$1="",$BE56=0),"",IFERROR(LOOKUP(2,1/((Budgets!$A$2:$A$200=AW$1)*(Budgets!$B$2:$B$200&lt;=$A56)),Budgets!$C$2:$C$200),0))</f>
        <v/>
      </c>
      <c r="AX56" s="88">
        <f>IF(OR(AX$1="",$BE56=0),"",IFERROR(LOOKUP(2,1/((Budgets!$A$2:$A$200=AX$1)*(Budgets!$B$2:$B$200&lt;=$A56)),Budgets!$C$2:$C$200),0))</f>
        <v/>
      </c>
      <c r="AY56" s="88">
        <f>IF(OR(AY$1="",$BE56=0),"",IFERROR(LOOKUP(2,1/((Budgets!$A$2:$A$200=AY$1)*(Budgets!$B$2:$B$200&lt;=$A56)),Budgets!$C$2:$C$200),0))</f>
        <v/>
      </c>
      <c r="AZ56" s="88">
        <f>IF(OR(AZ$1="",$BE56=0),"",IFERROR(LOOKUP(2,1/((Budgets!$A$2:$A$200=AZ$1)*(Budgets!$B$2:$B$200&lt;=$A56)),Budgets!$C$2:$C$200),0))</f>
        <v/>
      </c>
      <c r="BA56" s="88">
        <f>IF(OR(BA$1="",$BE56=0),"",IFERROR(LOOKUP(2,1/((Budgets!$A$2:$A$200=BA$1)*(Budgets!$B$2:$B$200&lt;=$A56)),Budgets!$C$2:$C$200),0))</f>
        <v/>
      </c>
      <c r="BB56" s="88">
        <f>IF(OR(BB$1="",$BE56=0),"",IFERROR(LOOKUP(2,1/((Budgets!$A$2:$A$200=BB$1)*(Budgets!$B$2:$B$200&lt;=$A56)),Budgets!$C$2:$C$200),0))</f>
        <v/>
      </c>
      <c r="BC56" s="88">
        <f>IF(OR(BC$1="",$BE56=0),"",IFERROR(LOOKUP(2,1/((Budgets!$A$2:$A$200=BC$1)*(Budgets!$B$2:$B$200&lt;=$A56)),Budgets!$C$2:$C$200),0))</f>
        <v/>
      </c>
      <c r="BE56" s="67">
        <f>COUNTIFS(Entries!$A$2:$A$5000,$A56)</f>
        <v/>
      </c>
    </row>
    <row r="57" ht="15" customHeight="1" s="43">
      <c r="A57" s="87" t="n">
        <v>41122</v>
      </c>
      <c r="B57" s="88">
        <f>IF($BE57=0,NA(),SUMIFS(Entries!$D$2:$D$5000,Entries!$C$2:$C$5000,"Income",Entries!$A$2:$A$5000,$A57))</f>
        <v/>
      </c>
      <c r="C57" s="88">
        <f>IF($BE57=0,"",SUMIFS(Entries!$D$2:$D$5000,Entries!$C$2:$C$5000,"Actual",Entries!$A$2:$A$5000,$A57))</f>
        <v/>
      </c>
      <c r="D57" s="88">
        <f>IF($BE57=0,"",SUMIFS(Entries!$D$2:$D$5000,Entries!$C$2:$C$5000,"One-off",Entries!$A$2:$A$5000,$A57))</f>
        <v/>
      </c>
      <c r="E57" s="88">
        <f>IF($BE57=0,NA(),C57+D57)</f>
        <v/>
      </c>
      <c r="F57" s="88">
        <f>IF($BE57=0,"",SUM(AJ57:BC57))</f>
        <v/>
      </c>
      <c r="G57" s="88">
        <f>IF($BE57=0,"",B57-E57)</f>
        <v/>
      </c>
      <c r="H57" s="88">
        <f>IF($BE57=0,"",SUM($G$2:G57))</f>
        <v/>
      </c>
      <c r="I57" s="88">
        <f>IF($BE57=0,"",SUMIFS(Entries!$F$2:$F$5000,Entries!$A$2:$A$5000,$A57))</f>
        <v/>
      </c>
      <c r="J57" s="88">
        <f>IF($BE57=0,NA(),H57+SUM($I$2:I57))</f>
        <v/>
      </c>
      <c r="K57" s="88">
        <f>IF($BE57=0,"",SUMIFS(Entries!$D$2:$D$5000,Entries!$C$2:$C$5000,"Income",Entries!$A$2:$A$5000,"&gt;="&amp;EDATE($A57,-11),Entries!$A$2:$A$5000,"&lt;="&amp;$A57)/12)</f>
        <v/>
      </c>
      <c r="L57" s="88">
        <f>IF($BE57=0,"",(SUMIFS(Entries!$D$2:$D$5000,Entries!$C$2:$C$5000,"Actual",Entries!$A$2:$A$5000,"&gt;="&amp;EDATE($A57,-11),Entries!$A$2:$A$5000,"&lt;="&amp;$A57)+SUMIFS(Entries!$D$2:$D$5000,Entries!$C$2:$C$5000,"One-off",Entries!$A$2:$A$5000,"&gt;="&amp;EDATE($A57,-11),Entries!$A$2:$A$5000,"&lt;="&amp;$A57))/12)</f>
        <v/>
      </c>
      <c r="M57" s="70">
        <f>IF($BE57=0,NA(),IFERROR((K57-L57)/K57,0))</f>
        <v/>
      </c>
      <c r="O57" s="88">
        <f>IF(OR(O$1="",$BE57=0),"",SUMIFS(Entries!$D$2:$D$5000,Entries!$C$2:$C$5000,"Actual",Entries!$A$2:$A$5000,$A57,Entries!$B$2:$B$5000,O$1))</f>
        <v/>
      </c>
      <c r="P57" s="88">
        <f>IF(OR(P$1="",$BE57=0),"",SUMIFS(Entries!$D$2:$D$5000,Entries!$C$2:$C$5000,"Actual",Entries!$A$2:$A$5000,$A57,Entries!$B$2:$B$5000,P$1))</f>
        <v/>
      </c>
      <c r="Q57" s="88">
        <f>IF(OR(Q$1="",$BE57=0),"",SUMIFS(Entries!$D$2:$D$5000,Entries!$C$2:$C$5000,"Actual",Entries!$A$2:$A$5000,$A57,Entries!$B$2:$B$5000,Q$1))</f>
        <v/>
      </c>
      <c r="R57" s="88">
        <f>IF(OR(R$1="",$BE57=0),"",SUMIFS(Entries!$D$2:$D$5000,Entries!$C$2:$C$5000,"Actual",Entries!$A$2:$A$5000,$A57,Entries!$B$2:$B$5000,R$1))</f>
        <v/>
      </c>
      <c r="S57" s="88">
        <f>IF(OR(S$1="",$BE57=0),"",SUMIFS(Entries!$D$2:$D$5000,Entries!$C$2:$C$5000,"Actual",Entries!$A$2:$A$5000,$A57,Entries!$B$2:$B$5000,S$1))</f>
        <v/>
      </c>
      <c r="T57" s="88">
        <f>IF(OR(T$1="",$BE57=0),"",SUMIFS(Entries!$D$2:$D$5000,Entries!$C$2:$C$5000,"Actual",Entries!$A$2:$A$5000,$A57,Entries!$B$2:$B$5000,T$1))</f>
        <v/>
      </c>
      <c r="U57" s="88">
        <f>IF(OR(U$1="",$BE57=0),"",SUMIFS(Entries!$D$2:$D$5000,Entries!$C$2:$C$5000,"Actual",Entries!$A$2:$A$5000,$A57,Entries!$B$2:$B$5000,U$1))</f>
        <v/>
      </c>
      <c r="V57" s="88">
        <f>IF(OR(V$1="",$BE57=0),"",SUMIFS(Entries!$D$2:$D$5000,Entries!$C$2:$C$5000,"Actual",Entries!$A$2:$A$5000,$A57,Entries!$B$2:$B$5000,V$1))</f>
        <v/>
      </c>
      <c r="W57" s="88">
        <f>IF(OR(W$1="",$BE57=0),"",SUMIFS(Entries!$D$2:$D$5000,Entries!$C$2:$C$5000,"Actual",Entries!$A$2:$A$5000,$A57,Entries!$B$2:$B$5000,W$1))</f>
        <v/>
      </c>
      <c r="X57" s="88">
        <f>IF(OR(X$1="",$BE57=0),"",SUMIFS(Entries!$D$2:$D$5000,Entries!$C$2:$C$5000,"Actual",Entries!$A$2:$A$5000,$A57,Entries!$B$2:$B$5000,X$1))</f>
        <v/>
      </c>
      <c r="Y57" s="88">
        <f>IF(OR(Y$1="",$BE57=0),"",SUMIFS(Entries!$D$2:$D$5000,Entries!$C$2:$C$5000,"Actual",Entries!$A$2:$A$5000,$A57,Entries!$B$2:$B$5000,Y$1))</f>
        <v/>
      </c>
      <c r="Z57" s="88">
        <f>IF(OR(Z$1="",$BE57=0),"",SUMIFS(Entries!$D$2:$D$5000,Entries!$C$2:$C$5000,"Actual",Entries!$A$2:$A$5000,$A57,Entries!$B$2:$B$5000,Z$1))</f>
        <v/>
      </c>
      <c r="AA57" s="88">
        <f>IF(OR(AA$1="",$BE57=0),"",SUMIFS(Entries!$D$2:$D$5000,Entries!$C$2:$C$5000,"Actual",Entries!$A$2:$A$5000,$A57,Entries!$B$2:$B$5000,AA$1))</f>
        <v/>
      </c>
      <c r="AB57" s="88">
        <f>IF(OR(AB$1="",$BE57=0),"",SUMIFS(Entries!$D$2:$D$5000,Entries!$C$2:$C$5000,"Actual",Entries!$A$2:$A$5000,$A57,Entries!$B$2:$B$5000,AB$1))</f>
        <v/>
      </c>
      <c r="AC57" s="88">
        <f>IF(OR(AC$1="",$BE57=0),"",SUMIFS(Entries!$D$2:$D$5000,Entries!$C$2:$C$5000,"Actual",Entries!$A$2:$A$5000,$A57,Entries!$B$2:$B$5000,AC$1))</f>
        <v/>
      </c>
      <c r="AD57" s="88">
        <f>IF(OR(AD$1="",$BE57=0),"",SUMIFS(Entries!$D$2:$D$5000,Entries!$C$2:$C$5000,"Actual",Entries!$A$2:$A$5000,$A57,Entries!$B$2:$B$5000,AD$1))</f>
        <v/>
      </c>
      <c r="AE57" s="88">
        <f>IF(OR(AE$1="",$BE57=0),"",SUMIFS(Entries!$D$2:$D$5000,Entries!$C$2:$C$5000,"Actual",Entries!$A$2:$A$5000,$A57,Entries!$B$2:$B$5000,AE$1))</f>
        <v/>
      </c>
      <c r="AF57" s="88">
        <f>IF(OR(AF$1="",$BE57=0),"",SUMIFS(Entries!$D$2:$D$5000,Entries!$C$2:$C$5000,"Actual",Entries!$A$2:$A$5000,$A57,Entries!$B$2:$B$5000,AF$1))</f>
        <v/>
      </c>
      <c r="AG57" s="88">
        <f>IF(OR(AG$1="",$BE57=0),"",SUMIFS(Entries!$D$2:$D$5000,Entries!$C$2:$C$5000,"Actual",Entries!$A$2:$A$5000,$A57,Entries!$B$2:$B$5000,AG$1))</f>
        <v/>
      </c>
      <c r="AH57" s="88">
        <f>IF(OR(AH$1="",$BE57=0),"",SUMIFS(Entries!$D$2:$D$5000,Entries!$C$2:$C$5000,"Actual",Entries!$A$2:$A$5000,$A57,Entries!$B$2:$B$5000,AH$1))</f>
        <v/>
      </c>
      <c r="AJ57" s="88">
        <f>IF(OR(AJ$1="",$BE57=0),"",IFERROR(LOOKUP(2,1/((Budgets!$A$2:$A$200=AJ$1)*(Budgets!$B$2:$B$200&lt;=$A57)),Budgets!$C$2:$C$200),0))</f>
        <v/>
      </c>
      <c r="AK57" s="88">
        <f>IF(OR(AK$1="",$BE57=0),"",IFERROR(LOOKUP(2,1/((Budgets!$A$2:$A$200=AK$1)*(Budgets!$B$2:$B$200&lt;=$A57)),Budgets!$C$2:$C$200),0))</f>
        <v/>
      </c>
      <c r="AL57" s="88">
        <f>IF(OR(AL$1="",$BE57=0),"",IFERROR(LOOKUP(2,1/((Budgets!$A$2:$A$200=AL$1)*(Budgets!$B$2:$B$200&lt;=$A57)),Budgets!$C$2:$C$200),0))</f>
        <v/>
      </c>
      <c r="AM57" s="88">
        <f>IF(OR(AM$1="",$BE57=0),"",IFERROR(LOOKUP(2,1/((Budgets!$A$2:$A$200=AM$1)*(Budgets!$B$2:$B$200&lt;=$A57)),Budgets!$C$2:$C$200),0))</f>
        <v/>
      </c>
      <c r="AN57" s="88">
        <f>IF(OR(AN$1="",$BE57=0),"",IFERROR(LOOKUP(2,1/((Budgets!$A$2:$A$200=AN$1)*(Budgets!$B$2:$B$200&lt;=$A57)),Budgets!$C$2:$C$200),0))</f>
        <v/>
      </c>
      <c r="AO57" s="88">
        <f>IF(OR(AO$1="",$BE57=0),"",IFERROR(LOOKUP(2,1/((Budgets!$A$2:$A$200=AO$1)*(Budgets!$B$2:$B$200&lt;=$A57)),Budgets!$C$2:$C$200),0))</f>
        <v/>
      </c>
      <c r="AP57" s="88">
        <f>IF(OR(AP$1="",$BE57=0),"",IFERROR(LOOKUP(2,1/((Budgets!$A$2:$A$200=AP$1)*(Budgets!$B$2:$B$200&lt;=$A57)),Budgets!$C$2:$C$200),0))</f>
        <v/>
      </c>
      <c r="AQ57" s="88">
        <f>IF(OR(AQ$1="",$BE57=0),"",IFERROR(LOOKUP(2,1/((Budgets!$A$2:$A$200=AQ$1)*(Budgets!$B$2:$B$200&lt;=$A57)),Budgets!$C$2:$C$200),0))</f>
        <v/>
      </c>
      <c r="AR57" s="88">
        <f>IF(OR(AR$1="",$BE57=0),"",IFERROR(LOOKUP(2,1/((Budgets!$A$2:$A$200=AR$1)*(Budgets!$B$2:$B$200&lt;=$A57)),Budgets!$C$2:$C$200),0))</f>
        <v/>
      </c>
      <c r="AS57" s="88">
        <f>IF(OR(AS$1="",$BE57=0),"",IFERROR(LOOKUP(2,1/((Budgets!$A$2:$A$200=AS$1)*(Budgets!$B$2:$B$200&lt;=$A57)),Budgets!$C$2:$C$200),0))</f>
        <v/>
      </c>
      <c r="AT57" s="88">
        <f>IF(OR(AT$1="",$BE57=0),"",IFERROR(LOOKUP(2,1/((Budgets!$A$2:$A$200=AT$1)*(Budgets!$B$2:$B$200&lt;=$A57)),Budgets!$C$2:$C$200),0))</f>
        <v/>
      </c>
      <c r="AU57" s="88">
        <f>IF(OR(AU$1="",$BE57=0),"",IFERROR(LOOKUP(2,1/((Budgets!$A$2:$A$200=AU$1)*(Budgets!$B$2:$B$200&lt;=$A57)),Budgets!$C$2:$C$200),0))</f>
        <v/>
      </c>
      <c r="AV57" s="88">
        <f>IF(OR(AV$1="",$BE57=0),"",IFERROR(LOOKUP(2,1/((Budgets!$A$2:$A$200=AV$1)*(Budgets!$B$2:$B$200&lt;=$A57)),Budgets!$C$2:$C$200),0))</f>
        <v/>
      </c>
      <c r="AW57" s="88">
        <f>IF(OR(AW$1="",$BE57=0),"",IFERROR(LOOKUP(2,1/((Budgets!$A$2:$A$200=AW$1)*(Budgets!$B$2:$B$200&lt;=$A57)),Budgets!$C$2:$C$200),0))</f>
        <v/>
      </c>
      <c r="AX57" s="88">
        <f>IF(OR(AX$1="",$BE57=0),"",IFERROR(LOOKUP(2,1/((Budgets!$A$2:$A$200=AX$1)*(Budgets!$B$2:$B$200&lt;=$A57)),Budgets!$C$2:$C$200),0))</f>
        <v/>
      </c>
      <c r="AY57" s="88">
        <f>IF(OR(AY$1="",$BE57=0),"",IFERROR(LOOKUP(2,1/((Budgets!$A$2:$A$200=AY$1)*(Budgets!$B$2:$B$200&lt;=$A57)),Budgets!$C$2:$C$200),0))</f>
        <v/>
      </c>
      <c r="AZ57" s="88">
        <f>IF(OR(AZ$1="",$BE57=0),"",IFERROR(LOOKUP(2,1/((Budgets!$A$2:$A$200=AZ$1)*(Budgets!$B$2:$B$200&lt;=$A57)),Budgets!$C$2:$C$200),0))</f>
        <v/>
      </c>
      <c r="BA57" s="88">
        <f>IF(OR(BA$1="",$BE57=0),"",IFERROR(LOOKUP(2,1/((Budgets!$A$2:$A$200=BA$1)*(Budgets!$B$2:$B$200&lt;=$A57)),Budgets!$C$2:$C$200),0))</f>
        <v/>
      </c>
      <c r="BB57" s="88">
        <f>IF(OR(BB$1="",$BE57=0),"",IFERROR(LOOKUP(2,1/((Budgets!$A$2:$A$200=BB$1)*(Budgets!$B$2:$B$200&lt;=$A57)),Budgets!$C$2:$C$200),0))</f>
        <v/>
      </c>
      <c r="BC57" s="88">
        <f>IF(OR(BC$1="",$BE57=0),"",IFERROR(LOOKUP(2,1/((Budgets!$A$2:$A$200=BC$1)*(Budgets!$B$2:$B$200&lt;=$A57)),Budgets!$C$2:$C$200),0))</f>
        <v/>
      </c>
      <c r="BE57" s="67">
        <f>COUNTIFS(Entries!$A$2:$A$5000,$A57)</f>
        <v/>
      </c>
    </row>
    <row r="58" ht="15" customHeight="1" s="43">
      <c r="A58" s="87" t="n">
        <v>41153</v>
      </c>
      <c r="B58" s="88">
        <f>IF($BE58=0,NA(),SUMIFS(Entries!$D$2:$D$5000,Entries!$C$2:$C$5000,"Income",Entries!$A$2:$A$5000,$A58))</f>
        <v/>
      </c>
      <c r="C58" s="88">
        <f>IF($BE58=0,"",SUMIFS(Entries!$D$2:$D$5000,Entries!$C$2:$C$5000,"Actual",Entries!$A$2:$A$5000,$A58))</f>
        <v/>
      </c>
      <c r="D58" s="88">
        <f>IF($BE58=0,"",SUMIFS(Entries!$D$2:$D$5000,Entries!$C$2:$C$5000,"One-off",Entries!$A$2:$A$5000,$A58))</f>
        <v/>
      </c>
      <c r="E58" s="88">
        <f>IF($BE58=0,NA(),C58+D58)</f>
        <v/>
      </c>
      <c r="F58" s="88">
        <f>IF($BE58=0,"",SUM(AJ58:BC58))</f>
        <v/>
      </c>
      <c r="G58" s="88">
        <f>IF($BE58=0,"",B58-E58)</f>
        <v/>
      </c>
      <c r="H58" s="88">
        <f>IF($BE58=0,"",SUM($G$2:G58))</f>
        <v/>
      </c>
      <c r="I58" s="88">
        <f>IF($BE58=0,"",SUMIFS(Entries!$F$2:$F$5000,Entries!$A$2:$A$5000,$A58))</f>
        <v/>
      </c>
      <c r="J58" s="88">
        <f>IF($BE58=0,NA(),H58+SUM($I$2:I58))</f>
        <v/>
      </c>
      <c r="K58" s="88">
        <f>IF($BE58=0,"",SUMIFS(Entries!$D$2:$D$5000,Entries!$C$2:$C$5000,"Income",Entries!$A$2:$A$5000,"&gt;="&amp;EDATE($A58,-11),Entries!$A$2:$A$5000,"&lt;="&amp;$A58)/12)</f>
        <v/>
      </c>
      <c r="L58" s="88">
        <f>IF($BE58=0,"",(SUMIFS(Entries!$D$2:$D$5000,Entries!$C$2:$C$5000,"Actual",Entries!$A$2:$A$5000,"&gt;="&amp;EDATE($A58,-11),Entries!$A$2:$A$5000,"&lt;="&amp;$A58)+SUMIFS(Entries!$D$2:$D$5000,Entries!$C$2:$C$5000,"One-off",Entries!$A$2:$A$5000,"&gt;="&amp;EDATE($A58,-11),Entries!$A$2:$A$5000,"&lt;="&amp;$A58))/12)</f>
        <v/>
      </c>
      <c r="M58" s="70">
        <f>IF($BE58=0,NA(),IFERROR((K58-L58)/K58,0))</f>
        <v/>
      </c>
      <c r="O58" s="88">
        <f>IF(OR(O$1="",$BE58=0),"",SUMIFS(Entries!$D$2:$D$5000,Entries!$C$2:$C$5000,"Actual",Entries!$A$2:$A$5000,$A58,Entries!$B$2:$B$5000,O$1))</f>
        <v/>
      </c>
      <c r="P58" s="88">
        <f>IF(OR(P$1="",$BE58=0),"",SUMIFS(Entries!$D$2:$D$5000,Entries!$C$2:$C$5000,"Actual",Entries!$A$2:$A$5000,$A58,Entries!$B$2:$B$5000,P$1))</f>
        <v/>
      </c>
      <c r="Q58" s="88">
        <f>IF(OR(Q$1="",$BE58=0),"",SUMIFS(Entries!$D$2:$D$5000,Entries!$C$2:$C$5000,"Actual",Entries!$A$2:$A$5000,$A58,Entries!$B$2:$B$5000,Q$1))</f>
        <v/>
      </c>
      <c r="R58" s="88">
        <f>IF(OR(R$1="",$BE58=0),"",SUMIFS(Entries!$D$2:$D$5000,Entries!$C$2:$C$5000,"Actual",Entries!$A$2:$A$5000,$A58,Entries!$B$2:$B$5000,R$1))</f>
        <v/>
      </c>
      <c r="S58" s="88">
        <f>IF(OR(S$1="",$BE58=0),"",SUMIFS(Entries!$D$2:$D$5000,Entries!$C$2:$C$5000,"Actual",Entries!$A$2:$A$5000,$A58,Entries!$B$2:$B$5000,S$1))</f>
        <v/>
      </c>
      <c r="T58" s="88">
        <f>IF(OR(T$1="",$BE58=0),"",SUMIFS(Entries!$D$2:$D$5000,Entries!$C$2:$C$5000,"Actual",Entries!$A$2:$A$5000,$A58,Entries!$B$2:$B$5000,T$1))</f>
        <v/>
      </c>
      <c r="U58" s="88">
        <f>IF(OR(U$1="",$BE58=0),"",SUMIFS(Entries!$D$2:$D$5000,Entries!$C$2:$C$5000,"Actual",Entries!$A$2:$A$5000,$A58,Entries!$B$2:$B$5000,U$1))</f>
        <v/>
      </c>
      <c r="V58" s="88">
        <f>IF(OR(V$1="",$BE58=0),"",SUMIFS(Entries!$D$2:$D$5000,Entries!$C$2:$C$5000,"Actual",Entries!$A$2:$A$5000,$A58,Entries!$B$2:$B$5000,V$1))</f>
        <v/>
      </c>
      <c r="W58" s="88">
        <f>IF(OR(W$1="",$BE58=0),"",SUMIFS(Entries!$D$2:$D$5000,Entries!$C$2:$C$5000,"Actual",Entries!$A$2:$A$5000,$A58,Entries!$B$2:$B$5000,W$1))</f>
        <v/>
      </c>
      <c r="X58" s="88">
        <f>IF(OR(X$1="",$BE58=0),"",SUMIFS(Entries!$D$2:$D$5000,Entries!$C$2:$C$5000,"Actual",Entries!$A$2:$A$5000,$A58,Entries!$B$2:$B$5000,X$1))</f>
        <v/>
      </c>
      <c r="Y58" s="88">
        <f>IF(OR(Y$1="",$BE58=0),"",SUMIFS(Entries!$D$2:$D$5000,Entries!$C$2:$C$5000,"Actual",Entries!$A$2:$A$5000,$A58,Entries!$B$2:$B$5000,Y$1))</f>
        <v/>
      </c>
      <c r="Z58" s="88">
        <f>IF(OR(Z$1="",$BE58=0),"",SUMIFS(Entries!$D$2:$D$5000,Entries!$C$2:$C$5000,"Actual",Entries!$A$2:$A$5000,$A58,Entries!$B$2:$B$5000,Z$1))</f>
        <v/>
      </c>
      <c r="AA58" s="88">
        <f>IF(OR(AA$1="",$BE58=0),"",SUMIFS(Entries!$D$2:$D$5000,Entries!$C$2:$C$5000,"Actual",Entries!$A$2:$A$5000,$A58,Entries!$B$2:$B$5000,AA$1))</f>
        <v/>
      </c>
      <c r="AB58" s="88">
        <f>IF(OR(AB$1="",$BE58=0),"",SUMIFS(Entries!$D$2:$D$5000,Entries!$C$2:$C$5000,"Actual",Entries!$A$2:$A$5000,$A58,Entries!$B$2:$B$5000,AB$1))</f>
        <v/>
      </c>
      <c r="AC58" s="88">
        <f>IF(OR(AC$1="",$BE58=0),"",SUMIFS(Entries!$D$2:$D$5000,Entries!$C$2:$C$5000,"Actual",Entries!$A$2:$A$5000,$A58,Entries!$B$2:$B$5000,AC$1))</f>
        <v/>
      </c>
      <c r="AD58" s="88">
        <f>IF(OR(AD$1="",$BE58=0),"",SUMIFS(Entries!$D$2:$D$5000,Entries!$C$2:$C$5000,"Actual",Entries!$A$2:$A$5000,$A58,Entries!$B$2:$B$5000,AD$1))</f>
        <v/>
      </c>
      <c r="AE58" s="88">
        <f>IF(OR(AE$1="",$BE58=0),"",SUMIFS(Entries!$D$2:$D$5000,Entries!$C$2:$C$5000,"Actual",Entries!$A$2:$A$5000,$A58,Entries!$B$2:$B$5000,AE$1))</f>
        <v/>
      </c>
      <c r="AF58" s="88">
        <f>IF(OR(AF$1="",$BE58=0),"",SUMIFS(Entries!$D$2:$D$5000,Entries!$C$2:$C$5000,"Actual",Entries!$A$2:$A$5000,$A58,Entries!$B$2:$B$5000,AF$1))</f>
        <v/>
      </c>
      <c r="AG58" s="88">
        <f>IF(OR(AG$1="",$BE58=0),"",SUMIFS(Entries!$D$2:$D$5000,Entries!$C$2:$C$5000,"Actual",Entries!$A$2:$A$5000,$A58,Entries!$B$2:$B$5000,AG$1))</f>
        <v/>
      </c>
      <c r="AH58" s="88">
        <f>IF(OR(AH$1="",$BE58=0),"",SUMIFS(Entries!$D$2:$D$5000,Entries!$C$2:$C$5000,"Actual",Entries!$A$2:$A$5000,$A58,Entries!$B$2:$B$5000,AH$1))</f>
        <v/>
      </c>
      <c r="AJ58" s="88">
        <f>IF(OR(AJ$1="",$BE58=0),"",IFERROR(LOOKUP(2,1/((Budgets!$A$2:$A$200=AJ$1)*(Budgets!$B$2:$B$200&lt;=$A58)),Budgets!$C$2:$C$200),0))</f>
        <v/>
      </c>
      <c r="AK58" s="88">
        <f>IF(OR(AK$1="",$BE58=0),"",IFERROR(LOOKUP(2,1/((Budgets!$A$2:$A$200=AK$1)*(Budgets!$B$2:$B$200&lt;=$A58)),Budgets!$C$2:$C$200),0))</f>
        <v/>
      </c>
      <c r="AL58" s="88">
        <f>IF(OR(AL$1="",$BE58=0),"",IFERROR(LOOKUP(2,1/((Budgets!$A$2:$A$200=AL$1)*(Budgets!$B$2:$B$200&lt;=$A58)),Budgets!$C$2:$C$200),0))</f>
        <v/>
      </c>
      <c r="AM58" s="88">
        <f>IF(OR(AM$1="",$BE58=0),"",IFERROR(LOOKUP(2,1/((Budgets!$A$2:$A$200=AM$1)*(Budgets!$B$2:$B$200&lt;=$A58)),Budgets!$C$2:$C$200),0))</f>
        <v/>
      </c>
      <c r="AN58" s="88">
        <f>IF(OR(AN$1="",$BE58=0),"",IFERROR(LOOKUP(2,1/((Budgets!$A$2:$A$200=AN$1)*(Budgets!$B$2:$B$200&lt;=$A58)),Budgets!$C$2:$C$200),0))</f>
        <v/>
      </c>
      <c r="AO58" s="88">
        <f>IF(OR(AO$1="",$BE58=0),"",IFERROR(LOOKUP(2,1/((Budgets!$A$2:$A$200=AO$1)*(Budgets!$B$2:$B$200&lt;=$A58)),Budgets!$C$2:$C$200),0))</f>
        <v/>
      </c>
      <c r="AP58" s="88">
        <f>IF(OR(AP$1="",$BE58=0),"",IFERROR(LOOKUP(2,1/((Budgets!$A$2:$A$200=AP$1)*(Budgets!$B$2:$B$200&lt;=$A58)),Budgets!$C$2:$C$200),0))</f>
        <v/>
      </c>
      <c r="AQ58" s="88">
        <f>IF(OR(AQ$1="",$BE58=0),"",IFERROR(LOOKUP(2,1/((Budgets!$A$2:$A$200=AQ$1)*(Budgets!$B$2:$B$200&lt;=$A58)),Budgets!$C$2:$C$200),0))</f>
        <v/>
      </c>
      <c r="AR58" s="88">
        <f>IF(OR(AR$1="",$BE58=0),"",IFERROR(LOOKUP(2,1/((Budgets!$A$2:$A$200=AR$1)*(Budgets!$B$2:$B$200&lt;=$A58)),Budgets!$C$2:$C$200),0))</f>
        <v/>
      </c>
      <c r="AS58" s="88">
        <f>IF(OR(AS$1="",$BE58=0),"",IFERROR(LOOKUP(2,1/((Budgets!$A$2:$A$200=AS$1)*(Budgets!$B$2:$B$200&lt;=$A58)),Budgets!$C$2:$C$200),0))</f>
        <v/>
      </c>
      <c r="AT58" s="88">
        <f>IF(OR(AT$1="",$BE58=0),"",IFERROR(LOOKUP(2,1/((Budgets!$A$2:$A$200=AT$1)*(Budgets!$B$2:$B$200&lt;=$A58)),Budgets!$C$2:$C$200),0))</f>
        <v/>
      </c>
      <c r="AU58" s="88">
        <f>IF(OR(AU$1="",$BE58=0),"",IFERROR(LOOKUP(2,1/((Budgets!$A$2:$A$200=AU$1)*(Budgets!$B$2:$B$200&lt;=$A58)),Budgets!$C$2:$C$200),0))</f>
        <v/>
      </c>
      <c r="AV58" s="88">
        <f>IF(OR(AV$1="",$BE58=0),"",IFERROR(LOOKUP(2,1/((Budgets!$A$2:$A$200=AV$1)*(Budgets!$B$2:$B$200&lt;=$A58)),Budgets!$C$2:$C$200),0))</f>
        <v/>
      </c>
      <c r="AW58" s="88">
        <f>IF(OR(AW$1="",$BE58=0),"",IFERROR(LOOKUP(2,1/((Budgets!$A$2:$A$200=AW$1)*(Budgets!$B$2:$B$200&lt;=$A58)),Budgets!$C$2:$C$200),0))</f>
        <v/>
      </c>
      <c r="AX58" s="88">
        <f>IF(OR(AX$1="",$BE58=0),"",IFERROR(LOOKUP(2,1/((Budgets!$A$2:$A$200=AX$1)*(Budgets!$B$2:$B$200&lt;=$A58)),Budgets!$C$2:$C$200),0))</f>
        <v/>
      </c>
      <c r="AY58" s="88">
        <f>IF(OR(AY$1="",$BE58=0),"",IFERROR(LOOKUP(2,1/((Budgets!$A$2:$A$200=AY$1)*(Budgets!$B$2:$B$200&lt;=$A58)),Budgets!$C$2:$C$200),0))</f>
        <v/>
      </c>
      <c r="AZ58" s="88">
        <f>IF(OR(AZ$1="",$BE58=0),"",IFERROR(LOOKUP(2,1/((Budgets!$A$2:$A$200=AZ$1)*(Budgets!$B$2:$B$200&lt;=$A58)),Budgets!$C$2:$C$200),0))</f>
        <v/>
      </c>
      <c r="BA58" s="88">
        <f>IF(OR(BA$1="",$BE58=0),"",IFERROR(LOOKUP(2,1/((Budgets!$A$2:$A$200=BA$1)*(Budgets!$B$2:$B$200&lt;=$A58)),Budgets!$C$2:$C$200),0))</f>
        <v/>
      </c>
      <c r="BB58" s="88">
        <f>IF(OR(BB$1="",$BE58=0),"",IFERROR(LOOKUP(2,1/((Budgets!$A$2:$A$200=BB$1)*(Budgets!$B$2:$B$200&lt;=$A58)),Budgets!$C$2:$C$200),0))</f>
        <v/>
      </c>
      <c r="BC58" s="88">
        <f>IF(OR(BC$1="",$BE58=0),"",IFERROR(LOOKUP(2,1/((Budgets!$A$2:$A$200=BC$1)*(Budgets!$B$2:$B$200&lt;=$A58)),Budgets!$C$2:$C$200),0))</f>
        <v/>
      </c>
      <c r="BE58" s="67">
        <f>COUNTIFS(Entries!$A$2:$A$5000,$A58)</f>
        <v/>
      </c>
    </row>
    <row r="59" ht="15" customHeight="1" s="43">
      <c r="A59" s="87" t="n">
        <v>41183</v>
      </c>
      <c r="B59" s="88">
        <f>IF($BE59=0,NA(),SUMIFS(Entries!$D$2:$D$5000,Entries!$C$2:$C$5000,"Income",Entries!$A$2:$A$5000,$A59))</f>
        <v/>
      </c>
      <c r="C59" s="88">
        <f>IF($BE59=0,"",SUMIFS(Entries!$D$2:$D$5000,Entries!$C$2:$C$5000,"Actual",Entries!$A$2:$A$5000,$A59))</f>
        <v/>
      </c>
      <c r="D59" s="88">
        <f>IF($BE59=0,"",SUMIFS(Entries!$D$2:$D$5000,Entries!$C$2:$C$5000,"One-off",Entries!$A$2:$A$5000,$A59))</f>
        <v/>
      </c>
      <c r="E59" s="88">
        <f>IF($BE59=0,NA(),C59+D59)</f>
        <v/>
      </c>
      <c r="F59" s="88">
        <f>IF($BE59=0,"",SUM(AJ59:BC59))</f>
        <v/>
      </c>
      <c r="G59" s="88">
        <f>IF($BE59=0,"",B59-E59)</f>
        <v/>
      </c>
      <c r="H59" s="88">
        <f>IF($BE59=0,"",SUM($G$2:G59))</f>
        <v/>
      </c>
      <c r="I59" s="88">
        <f>IF($BE59=0,"",SUMIFS(Entries!$F$2:$F$5000,Entries!$A$2:$A$5000,$A59))</f>
        <v/>
      </c>
      <c r="J59" s="88">
        <f>IF($BE59=0,NA(),H59+SUM($I$2:I59))</f>
        <v/>
      </c>
      <c r="K59" s="88">
        <f>IF($BE59=0,"",SUMIFS(Entries!$D$2:$D$5000,Entries!$C$2:$C$5000,"Income",Entries!$A$2:$A$5000,"&gt;="&amp;EDATE($A59,-11),Entries!$A$2:$A$5000,"&lt;="&amp;$A59)/12)</f>
        <v/>
      </c>
      <c r="L59" s="88">
        <f>IF($BE59=0,"",(SUMIFS(Entries!$D$2:$D$5000,Entries!$C$2:$C$5000,"Actual",Entries!$A$2:$A$5000,"&gt;="&amp;EDATE($A59,-11),Entries!$A$2:$A$5000,"&lt;="&amp;$A59)+SUMIFS(Entries!$D$2:$D$5000,Entries!$C$2:$C$5000,"One-off",Entries!$A$2:$A$5000,"&gt;="&amp;EDATE($A59,-11),Entries!$A$2:$A$5000,"&lt;="&amp;$A59))/12)</f>
        <v/>
      </c>
      <c r="M59" s="70">
        <f>IF($BE59=0,NA(),IFERROR((K59-L59)/K59,0))</f>
        <v/>
      </c>
      <c r="O59" s="88">
        <f>IF(OR(O$1="",$BE59=0),"",SUMIFS(Entries!$D$2:$D$5000,Entries!$C$2:$C$5000,"Actual",Entries!$A$2:$A$5000,$A59,Entries!$B$2:$B$5000,O$1))</f>
        <v/>
      </c>
      <c r="P59" s="88">
        <f>IF(OR(P$1="",$BE59=0),"",SUMIFS(Entries!$D$2:$D$5000,Entries!$C$2:$C$5000,"Actual",Entries!$A$2:$A$5000,$A59,Entries!$B$2:$B$5000,P$1))</f>
        <v/>
      </c>
      <c r="Q59" s="88">
        <f>IF(OR(Q$1="",$BE59=0),"",SUMIFS(Entries!$D$2:$D$5000,Entries!$C$2:$C$5000,"Actual",Entries!$A$2:$A$5000,$A59,Entries!$B$2:$B$5000,Q$1))</f>
        <v/>
      </c>
      <c r="R59" s="88">
        <f>IF(OR(R$1="",$BE59=0),"",SUMIFS(Entries!$D$2:$D$5000,Entries!$C$2:$C$5000,"Actual",Entries!$A$2:$A$5000,$A59,Entries!$B$2:$B$5000,R$1))</f>
        <v/>
      </c>
      <c r="S59" s="88">
        <f>IF(OR(S$1="",$BE59=0),"",SUMIFS(Entries!$D$2:$D$5000,Entries!$C$2:$C$5000,"Actual",Entries!$A$2:$A$5000,$A59,Entries!$B$2:$B$5000,S$1))</f>
        <v/>
      </c>
      <c r="T59" s="88">
        <f>IF(OR(T$1="",$BE59=0),"",SUMIFS(Entries!$D$2:$D$5000,Entries!$C$2:$C$5000,"Actual",Entries!$A$2:$A$5000,$A59,Entries!$B$2:$B$5000,T$1))</f>
        <v/>
      </c>
      <c r="U59" s="88">
        <f>IF(OR(U$1="",$BE59=0),"",SUMIFS(Entries!$D$2:$D$5000,Entries!$C$2:$C$5000,"Actual",Entries!$A$2:$A$5000,$A59,Entries!$B$2:$B$5000,U$1))</f>
        <v/>
      </c>
      <c r="V59" s="88">
        <f>IF(OR(V$1="",$BE59=0),"",SUMIFS(Entries!$D$2:$D$5000,Entries!$C$2:$C$5000,"Actual",Entries!$A$2:$A$5000,$A59,Entries!$B$2:$B$5000,V$1))</f>
        <v/>
      </c>
      <c r="W59" s="88">
        <f>IF(OR(W$1="",$BE59=0),"",SUMIFS(Entries!$D$2:$D$5000,Entries!$C$2:$C$5000,"Actual",Entries!$A$2:$A$5000,$A59,Entries!$B$2:$B$5000,W$1))</f>
        <v/>
      </c>
      <c r="X59" s="88">
        <f>IF(OR(X$1="",$BE59=0),"",SUMIFS(Entries!$D$2:$D$5000,Entries!$C$2:$C$5000,"Actual",Entries!$A$2:$A$5000,$A59,Entries!$B$2:$B$5000,X$1))</f>
        <v/>
      </c>
      <c r="Y59" s="88">
        <f>IF(OR(Y$1="",$BE59=0),"",SUMIFS(Entries!$D$2:$D$5000,Entries!$C$2:$C$5000,"Actual",Entries!$A$2:$A$5000,$A59,Entries!$B$2:$B$5000,Y$1))</f>
        <v/>
      </c>
      <c r="Z59" s="88">
        <f>IF(OR(Z$1="",$BE59=0),"",SUMIFS(Entries!$D$2:$D$5000,Entries!$C$2:$C$5000,"Actual",Entries!$A$2:$A$5000,$A59,Entries!$B$2:$B$5000,Z$1))</f>
        <v/>
      </c>
      <c r="AA59" s="88">
        <f>IF(OR(AA$1="",$BE59=0),"",SUMIFS(Entries!$D$2:$D$5000,Entries!$C$2:$C$5000,"Actual",Entries!$A$2:$A$5000,$A59,Entries!$B$2:$B$5000,AA$1))</f>
        <v/>
      </c>
      <c r="AB59" s="88">
        <f>IF(OR(AB$1="",$BE59=0),"",SUMIFS(Entries!$D$2:$D$5000,Entries!$C$2:$C$5000,"Actual",Entries!$A$2:$A$5000,$A59,Entries!$B$2:$B$5000,AB$1))</f>
        <v/>
      </c>
      <c r="AC59" s="88">
        <f>IF(OR(AC$1="",$BE59=0),"",SUMIFS(Entries!$D$2:$D$5000,Entries!$C$2:$C$5000,"Actual",Entries!$A$2:$A$5000,$A59,Entries!$B$2:$B$5000,AC$1))</f>
        <v/>
      </c>
      <c r="AD59" s="88">
        <f>IF(OR(AD$1="",$BE59=0),"",SUMIFS(Entries!$D$2:$D$5000,Entries!$C$2:$C$5000,"Actual",Entries!$A$2:$A$5000,$A59,Entries!$B$2:$B$5000,AD$1))</f>
        <v/>
      </c>
      <c r="AE59" s="88">
        <f>IF(OR(AE$1="",$BE59=0),"",SUMIFS(Entries!$D$2:$D$5000,Entries!$C$2:$C$5000,"Actual",Entries!$A$2:$A$5000,$A59,Entries!$B$2:$B$5000,AE$1))</f>
        <v/>
      </c>
      <c r="AF59" s="88">
        <f>IF(OR(AF$1="",$BE59=0),"",SUMIFS(Entries!$D$2:$D$5000,Entries!$C$2:$C$5000,"Actual",Entries!$A$2:$A$5000,$A59,Entries!$B$2:$B$5000,AF$1))</f>
        <v/>
      </c>
      <c r="AG59" s="88">
        <f>IF(OR(AG$1="",$BE59=0),"",SUMIFS(Entries!$D$2:$D$5000,Entries!$C$2:$C$5000,"Actual",Entries!$A$2:$A$5000,$A59,Entries!$B$2:$B$5000,AG$1))</f>
        <v/>
      </c>
      <c r="AH59" s="88">
        <f>IF(OR(AH$1="",$BE59=0),"",SUMIFS(Entries!$D$2:$D$5000,Entries!$C$2:$C$5000,"Actual",Entries!$A$2:$A$5000,$A59,Entries!$B$2:$B$5000,AH$1))</f>
        <v/>
      </c>
      <c r="AJ59" s="88">
        <f>IF(OR(AJ$1="",$BE59=0),"",IFERROR(LOOKUP(2,1/((Budgets!$A$2:$A$200=AJ$1)*(Budgets!$B$2:$B$200&lt;=$A59)),Budgets!$C$2:$C$200),0))</f>
        <v/>
      </c>
      <c r="AK59" s="88">
        <f>IF(OR(AK$1="",$BE59=0),"",IFERROR(LOOKUP(2,1/((Budgets!$A$2:$A$200=AK$1)*(Budgets!$B$2:$B$200&lt;=$A59)),Budgets!$C$2:$C$200),0))</f>
        <v/>
      </c>
      <c r="AL59" s="88">
        <f>IF(OR(AL$1="",$BE59=0),"",IFERROR(LOOKUP(2,1/((Budgets!$A$2:$A$200=AL$1)*(Budgets!$B$2:$B$200&lt;=$A59)),Budgets!$C$2:$C$200),0))</f>
        <v/>
      </c>
      <c r="AM59" s="88">
        <f>IF(OR(AM$1="",$BE59=0),"",IFERROR(LOOKUP(2,1/((Budgets!$A$2:$A$200=AM$1)*(Budgets!$B$2:$B$200&lt;=$A59)),Budgets!$C$2:$C$200),0))</f>
        <v/>
      </c>
      <c r="AN59" s="88">
        <f>IF(OR(AN$1="",$BE59=0),"",IFERROR(LOOKUP(2,1/((Budgets!$A$2:$A$200=AN$1)*(Budgets!$B$2:$B$200&lt;=$A59)),Budgets!$C$2:$C$200),0))</f>
        <v/>
      </c>
      <c r="AO59" s="88">
        <f>IF(OR(AO$1="",$BE59=0),"",IFERROR(LOOKUP(2,1/((Budgets!$A$2:$A$200=AO$1)*(Budgets!$B$2:$B$200&lt;=$A59)),Budgets!$C$2:$C$200),0))</f>
        <v/>
      </c>
      <c r="AP59" s="88">
        <f>IF(OR(AP$1="",$BE59=0),"",IFERROR(LOOKUP(2,1/((Budgets!$A$2:$A$200=AP$1)*(Budgets!$B$2:$B$200&lt;=$A59)),Budgets!$C$2:$C$200),0))</f>
        <v/>
      </c>
      <c r="AQ59" s="88">
        <f>IF(OR(AQ$1="",$BE59=0),"",IFERROR(LOOKUP(2,1/((Budgets!$A$2:$A$200=AQ$1)*(Budgets!$B$2:$B$200&lt;=$A59)),Budgets!$C$2:$C$200),0))</f>
        <v/>
      </c>
      <c r="AR59" s="88">
        <f>IF(OR(AR$1="",$BE59=0),"",IFERROR(LOOKUP(2,1/((Budgets!$A$2:$A$200=AR$1)*(Budgets!$B$2:$B$200&lt;=$A59)),Budgets!$C$2:$C$200),0))</f>
        <v/>
      </c>
      <c r="AS59" s="88">
        <f>IF(OR(AS$1="",$BE59=0),"",IFERROR(LOOKUP(2,1/((Budgets!$A$2:$A$200=AS$1)*(Budgets!$B$2:$B$200&lt;=$A59)),Budgets!$C$2:$C$200),0))</f>
        <v/>
      </c>
      <c r="AT59" s="88">
        <f>IF(OR(AT$1="",$BE59=0),"",IFERROR(LOOKUP(2,1/((Budgets!$A$2:$A$200=AT$1)*(Budgets!$B$2:$B$200&lt;=$A59)),Budgets!$C$2:$C$200),0))</f>
        <v/>
      </c>
      <c r="AU59" s="88">
        <f>IF(OR(AU$1="",$BE59=0),"",IFERROR(LOOKUP(2,1/((Budgets!$A$2:$A$200=AU$1)*(Budgets!$B$2:$B$200&lt;=$A59)),Budgets!$C$2:$C$200),0))</f>
        <v/>
      </c>
      <c r="AV59" s="88">
        <f>IF(OR(AV$1="",$BE59=0),"",IFERROR(LOOKUP(2,1/((Budgets!$A$2:$A$200=AV$1)*(Budgets!$B$2:$B$200&lt;=$A59)),Budgets!$C$2:$C$200),0))</f>
        <v/>
      </c>
      <c r="AW59" s="88">
        <f>IF(OR(AW$1="",$BE59=0),"",IFERROR(LOOKUP(2,1/((Budgets!$A$2:$A$200=AW$1)*(Budgets!$B$2:$B$200&lt;=$A59)),Budgets!$C$2:$C$200),0))</f>
        <v/>
      </c>
      <c r="AX59" s="88">
        <f>IF(OR(AX$1="",$BE59=0),"",IFERROR(LOOKUP(2,1/((Budgets!$A$2:$A$200=AX$1)*(Budgets!$B$2:$B$200&lt;=$A59)),Budgets!$C$2:$C$200),0))</f>
        <v/>
      </c>
      <c r="AY59" s="88">
        <f>IF(OR(AY$1="",$BE59=0),"",IFERROR(LOOKUP(2,1/((Budgets!$A$2:$A$200=AY$1)*(Budgets!$B$2:$B$200&lt;=$A59)),Budgets!$C$2:$C$200),0))</f>
        <v/>
      </c>
      <c r="AZ59" s="88">
        <f>IF(OR(AZ$1="",$BE59=0),"",IFERROR(LOOKUP(2,1/((Budgets!$A$2:$A$200=AZ$1)*(Budgets!$B$2:$B$200&lt;=$A59)),Budgets!$C$2:$C$200),0))</f>
        <v/>
      </c>
      <c r="BA59" s="88">
        <f>IF(OR(BA$1="",$BE59=0),"",IFERROR(LOOKUP(2,1/((Budgets!$A$2:$A$200=BA$1)*(Budgets!$B$2:$B$200&lt;=$A59)),Budgets!$C$2:$C$200),0))</f>
        <v/>
      </c>
      <c r="BB59" s="88">
        <f>IF(OR(BB$1="",$BE59=0),"",IFERROR(LOOKUP(2,1/((Budgets!$A$2:$A$200=BB$1)*(Budgets!$B$2:$B$200&lt;=$A59)),Budgets!$C$2:$C$200),0))</f>
        <v/>
      </c>
      <c r="BC59" s="88">
        <f>IF(OR(BC$1="",$BE59=0),"",IFERROR(LOOKUP(2,1/((Budgets!$A$2:$A$200=BC$1)*(Budgets!$B$2:$B$200&lt;=$A59)),Budgets!$C$2:$C$200),0))</f>
        <v/>
      </c>
      <c r="BE59" s="67">
        <f>COUNTIFS(Entries!$A$2:$A$5000,$A59)</f>
        <v/>
      </c>
    </row>
    <row r="60" ht="15" customHeight="1" s="43">
      <c r="A60" s="87" t="n">
        <v>41214</v>
      </c>
      <c r="B60" s="88">
        <f>IF($BE60=0,NA(),SUMIFS(Entries!$D$2:$D$5000,Entries!$C$2:$C$5000,"Income",Entries!$A$2:$A$5000,$A60))</f>
        <v/>
      </c>
      <c r="C60" s="88">
        <f>IF($BE60=0,"",SUMIFS(Entries!$D$2:$D$5000,Entries!$C$2:$C$5000,"Actual",Entries!$A$2:$A$5000,$A60))</f>
        <v/>
      </c>
      <c r="D60" s="88">
        <f>IF($BE60=0,"",SUMIFS(Entries!$D$2:$D$5000,Entries!$C$2:$C$5000,"One-off",Entries!$A$2:$A$5000,$A60))</f>
        <v/>
      </c>
      <c r="E60" s="88">
        <f>IF($BE60=0,NA(),C60+D60)</f>
        <v/>
      </c>
      <c r="F60" s="88">
        <f>IF($BE60=0,"",SUM(AJ60:BC60))</f>
        <v/>
      </c>
      <c r="G60" s="88">
        <f>IF($BE60=0,"",B60-E60)</f>
        <v/>
      </c>
      <c r="H60" s="88">
        <f>IF($BE60=0,"",SUM($G$2:G60))</f>
        <v/>
      </c>
      <c r="I60" s="88">
        <f>IF($BE60=0,"",SUMIFS(Entries!$F$2:$F$5000,Entries!$A$2:$A$5000,$A60))</f>
        <v/>
      </c>
      <c r="J60" s="88">
        <f>IF($BE60=0,NA(),H60+SUM($I$2:I60))</f>
        <v/>
      </c>
      <c r="K60" s="88">
        <f>IF($BE60=0,"",SUMIFS(Entries!$D$2:$D$5000,Entries!$C$2:$C$5000,"Income",Entries!$A$2:$A$5000,"&gt;="&amp;EDATE($A60,-11),Entries!$A$2:$A$5000,"&lt;="&amp;$A60)/12)</f>
        <v/>
      </c>
      <c r="L60" s="88">
        <f>IF($BE60=0,"",(SUMIFS(Entries!$D$2:$D$5000,Entries!$C$2:$C$5000,"Actual",Entries!$A$2:$A$5000,"&gt;="&amp;EDATE($A60,-11),Entries!$A$2:$A$5000,"&lt;="&amp;$A60)+SUMIFS(Entries!$D$2:$D$5000,Entries!$C$2:$C$5000,"One-off",Entries!$A$2:$A$5000,"&gt;="&amp;EDATE($A60,-11),Entries!$A$2:$A$5000,"&lt;="&amp;$A60))/12)</f>
        <v/>
      </c>
      <c r="M60" s="70">
        <f>IF($BE60=0,NA(),IFERROR((K60-L60)/K60,0))</f>
        <v/>
      </c>
      <c r="O60" s="88">
        <f>IF(OR(O$1="",$BE60=0),"",SUMIFS(Entries!$D$2:$D$5000,Entries!$C$2:$C$5000,"Actual",Entries!$A$2:$A$5000,$A60,Entries!$B$2:$B$5000,O$1))</f>
        <v/>
      </c>
      <c r="P60" s="88">
        <f>IF(OR(P$1="",$BE60=0),"",SUMIFS(Entries!$D$2:$D$5000,Entries!$C$2:$C$5000,"Actual",Entries!$A$2:$A$5000,$A60,Entries!$B$2:$B$5000,P$1))</f>
        <v/>
      </c>
      <c r="Q60" s="88">
        <f>IF(OR(Q$1="",$BE60=0),"",SUMIFS(Entries!$D$2:$D$5000,Entries!$C$2:$C$5000,"Actual",Entries!$A$2:$A$5000,$A60,Entries!$B$2:$B$5000,Q$1))</f>
        <v/>
      </c>
      <c r="R60" s="88">
        <f>IF(OR(R$1="",$BE60=0),"",SUMIFS(Entries!$D$2:$D$5000,Entries!$C$2:$C$5000,"Actual",Entries!$A$2:$A$5000,$A60,Entries!$B$2:$B$5000,R$1))</f>
        <v/>
      </c>
      <c r="S60" s="88">
        <f>IF(OR(S$1="",$BE60=0),"",SUMIFS(Entries!$D$2:$D$5000,Entries!$C$2:$C$5000,"Actual",Entries!$A$2:$A$5000,$A60,Entries!$B$2:$B$5000,S$1))</f>
        <v/>
      </c>
      <c r="T60" s="88">
        <f>IF(OR(T$1="",$BE60=0),"",SUMIFS(Entries!$D$2:$D$5000,Entries!$C$2:$C$5000,"Actual",Entries!$A$2:$A$5000,$A60,Entries!$B$2:$B$5000,T$1))</f>
        <v/>
      </c>
      <c r="U60" s="88">
        <f>IF(OR(U$1="",$BE60=0),"",SUMIFS(Entries!$D$2:$D$5000,Entries!$C$2:$C$5000,"Actual",Entries!$A$2:$A$5000,$A60,Entries!$B$2:$B$5000,U$1))</f>
        <v/>
      </c>
      <c r="V60" s="88">
        <f>IF(OR(V$1="",$BE60=0),"",SUMIFS(Entries!$D$2:$D$5000,Entries!$C$2:$C$5000,"Actual",Entries!$A$2:$A$5000,$A60,Entries!$B$2:$B$5000,V$1))</f>
        <v/>
      </c>
      <c r="W60" s="88">
        <f>IF(OR(W$1="",$BE60=0),"",SUMIFS(Entries!$D$2:$D$5000,Entries!$C$2:$C$5000,"Actual",Entries!$A$2:$A$5000,$A60,Entries!$B$2:$B$5000,W$1))</f>
        <v/>
      </c>
      <c r="X60" s="88">
        <f>IF(OR(X$1="",$BE60=0),"",SUMIFS(Entries!$D$2:$D$5000,Entries!$C$2:$C$5000,"Actual",Entries!$A$2:$A$5000,$A60,Entries!$B$2:$B$5000,X$1))</f>
        <v/>
      </c>
      <c r="Y60" s="88">
        <f>IF(OR(Y$1="",$BE60=0),"",SUMIFS(Entries!$D$2:$D$5000,Entries!$C$2:$C$5000,"Actual",Entries!$A$2:$A$5000,$A60,Entries!$B$2:$B$5000,Y$1))</f>
        <v/>
      </c>
      <c r="Z60" s="88">
        <f>IF(OR(Z$1="",$BE60=0),"",SUMIFS(Entries!$D$2:$D$5000,Entries!$C$2:$C$5000,"Actual",Entries!$A$2:$A$5000,$A60,Entries!$B$2:$B$5000,Z$1))</f>
        <v/>
      </c>
      <c r="AA60" s="88">
        <f>IF(OR(AA$1="",$BE60=0),"",SUMIFS(Entries!$D$2:$D$5000,Entries!$C$2:$C$5000,"Actual",Entries!$A$2:$A$5000,$A60,Entries!$B$2:$B$5000,AA$1))</f>
        <v/>
      </c>
      <c r="AB60" s="88">
        <f>IF(OR(AB$1="",$BE60=0),"",SUMIFS(Entries!$D$2:$D$5000,Entries!$C$2:$C$5000,"Actual",Entries!$A$2:$A$5000,$A60,Entries!$B$2:$B$5000,AB$1))</f>
        <v/>
      </c>
      <c r="AC60" s="88">
        <f>IF(OR(AC$1="",$BE60=0),"",SUMIFS(Entries!$D$2:$D$5000,Entries!$C$2:$C$5000,"Actual",Entries!$A$2:$A$5000,$A60,Entries!$B$2:$B$5000,AC$1))</f>
        <v/>
      </c>
      <c r="AD60" s="88">
        <f>IF(OR(AD$1="",$BE60=0),"",SUMIFS(Entries!$D$2:$D$5000,Entries!$C$2:$C$5000,"Actual",Entries!$A$2:$A$5000,$A60,Entries!$B$2:$B$5000,AD$1))</f>
        <v/>
      </c>
      <c r="AE60" s="88">
        <f>IF(OR(AE$1="",$BE60=0),"",SUMIFS(Entries!$D$2:$D$5000,Entries!$C$2:$C$5000,"Actual",Entries!$A$2:$A$5000,$A60,Entries!$B$2:$B$5000,AE$1))</f>
        <v/>
      </c>
      <c r="AF60" s="88">
        <f>IF(OR(AF$1="",$BE60=0),"",SUMIFS(Entries!$D$2:$D$5000,Entries!$C$2:$C$5000,"Actual",Entries!$A$2:$A$5000,$A60,Entries!$B$2:$B$5000,AF$1))</f>
        <v/>
      </c>
      <c r="AG60" s="88">
        <f>IF(OR(AG$1="",$BE60=0),"",SUMIFS(Entries!$D$2:$D$5000,Entries!$C$2:$C$5000,"Actual",Entries!$A$2:$A$5000,$A60,Entries!$B$2:$B$5000,AG$1))</f>
        <v/>
      </c>
      <c r="AH60" s="88">
        <f>IF(OR(AH$1="",$BE60=0),"",SUMIFS(Entries!$D$2:$D$5000,Entries!$C$2:$C$5000,"Actual",Entries!$A$2:$A$5000,$A60,Entries!$B$2:$B$5000,AH$1))</f>
        <v/>
      </c>
      <c r="AJ60" s="88">
        <f>IF(OR(AJ$1="",$BE60=0),"",IFERROR(LOOKUP(2,1/((Budgets!$A$2:$A$200=AJ$1)*(Budgets!$B$2:$B$200&lt;=$A60)),Budgets!$C$2:$C$200),0))</f>
        <v/>
      </c>
      <c r="AK60" s="88">
        <f>IF(OR(AK$1="",$BE60=0),"",IFERROR(LOOKUP(2,1/((Budgets!$A$2:$A$200=AK$1)*(Budgets!$B$2:$B$200&lt;=$A60)),Budgets!$C$2:$C$200),0))</f>
        <v/>
      </c>
      <c r="AL60" s="88">
        <f>IF(OR(AL$1="",$BE60=0),"",IFERROR(LOOKUP(2,1/((Budgets!$A$2:$A$200=AL$1)*(Budgets!$B$2:$B$200&lt;=$A60)),Budgets!$C$2:$C$200),0))</f>
        <v/>
      </c>
      <c r="AM60" s="88">
        <f>IF(OR(AM$1="",$BE60=0),"",IFERROR(LOOKUP(2,1/((Budgets!$A$2:$A$200=AM$1)*(Budgets!$B$2:$B$200&lt;=$A60)),Budgets!$C$2:$C$200),0))</f>
        <v/>
      </c>
      <c r="AN60" s="88">
        <f>IF(OR(AN$1="",$BE60=0),"",IFERROR(LOOKUP(2,1/((Budgets!$A$2:$A$200=AN$1)*(Budgets!$B$2:$B$200&lt;=$A60)),Budgets!$C$2:$C$200),0))</f>
        <v/>
      </c>
      <c r="AO60" s="88">
        <f>IF(OR(AO$1="",$BE60=0),"",IFERROR(LOOKUP(2,1/((Budgets!$A$2:$A$200=AO$1)*(Budgets!$B$2:$B$200&lt;=$A60)),Budgets!$C$2:$C$200),0))</f>
        <v/>
      </c>
      <c r="AP60" s="88">
        <f>IF(OR(AP$1="",$BE60=0),"",IFERROR(LOOKUP(2,1/((Budgets!$A$2:$A$200=AP$1)*(Budgets!$B$2:$B$200&lt;=$A60)),Budgets!$C$2:$C$200),0))</f>
        <v/>
      </c>
      <c r="AQ60" s="88">
        <f>IF(OR(AQ$1="",$BE60=0),"",IFERROR(LOOKUP(2,1/((Budgets!$A$2:$A$200=AQ$1)*(Budgets!$B$2:$B$200&lt;=$A60)),Budgets!$C$2:$C$200),0))</f>
        <v/>
      </c>
      <c r="AR60" s="88">
        <f>IF(OR(AR$1="",$BE60=0),"",IFERROR(LOOKUP(2,1/((Budgets!$A$2:$A$200=AR$1)*(Budgets!$B$2:$B$200&lt;=$A60)),Budgets!$C$2:$C$200),0))</f>
        <v/>
      </c>
      <c r="AS60" s="88">
        <f>IF(OR(AS$1="",$BE60=0),"",IFERROR(LOOKUP(2,1/((Budgets!$A$2:$A$200=AS$1)*(Budgets!$B$2:$B$200&lt;=$A60)),Budgets!$C$2:$C$200),0))</f>
        <v/>
      </c>
      <c r="AT60" s="88">
        <f>IF(OR(AT$1="",$BE60=0),"",IFERROR(LOOKUP(2,1/((Budgets!$A$2:$A$200=AT$1)*(Budgets!$B$2:$B$200&lt;=$A60)),Budgets!$C$2:$C$200),0))</f>
        <v/>
      </c>
      <c r="AU60" s="88">
        <f>IF(OR(AU$1="",$BE60=0),"",IFERROR(LOOKUP(2,1/((Budgets!$A$2:$A$200=AU$1)*(Budgets!$B$2:$B$200&lt;=$A60)),Budgets!$C$2:$C$200),0))</f>
        <v/>
      </c>
      <c r="AV60" s="88">
        <f>IF(OR(AV$1="",$BE60=0),"",IFERROR(LOOKUP(2,1/((Budgets!$A$2:$A$200=AV$1)*(Budgets!$B$2:$B$200&lt;=$A60)),Budgets!$C$2:$C$200),0))</f>
        <v/>
      </c>
      <c r="AW60" s="88">
        <f>IF(OR(AW$1="",$BE60=0),"",IFERROR(LOOKUP(2,1/((Budgets!$A$2:$A$200=AW$1)*(Budgets!$B$2:$B$200&lt;=$A60)),Budgets!$C$2:$C$200),0))</f>
        <v/>
      </c>
      <c r="AX60" s="88">
        <f>IF(OR(AX$1="",$BE60=0),"",IFERROR(LOOKUP(2,1/((Budgets!$A$2:$A$200=AX$1)*(Budgets!$B$2:$B$200&lt;=$A60)),Budgets!$C$2:$C$200),0))</f>
        <v/>
      </c>
      <c r="AY60" s="88">
        <f>IF(OR(AY$1="",$BE60=0),"",IFERROR(LOOKUP(2,1/((Budgets!$A$2:$A$200=AY$1)*(Budgets!$B$2:$B$200&lt;=$A60)),Budgets!$C$2:$C$200),0))</f>
        <v/>
      </c>
      <c r="AZ60" s="88">
        <f>IF(OR(AZ$1="",$BE60=0),"",IFERROR(LOOKUP(2,1/((Budgets!$A$2:$A$200=AZ$1)*(Budgets!$B$2:$B$200&lt;=$A60)),Budgets!$C$2:$C$200),0))</f>
        <v/>
      </c>
      <c r="BA60" s="88">
        <f>IF(OR(BA$1="",$BE60=0),"",IFERROR(LOOKUP(2,1/((Budgets!$A$2:$A$200=BA$1)*(Budgets!$B$2:$B$200&lt;=$A60)),Budgets!$C$2:$C$200),0))</f>
        <v/>
      </c>
      <c r="BB60" s="88">
        <f>IF(OR(BB$1="",$BE60=0),"",IFERROR(LOOKUP(2,1/((Budgets!$A$2:$A$200=BB$1)*(Budgets!$B$2:$B$200&lt;=$A60)),Budgets!$C$2:$C$200),0))</f>
        <v/>
      </c>
      <c r="BC60" s="88">
        <f>IF(OR(BC$1="",$BE60=0),"",IFERROR(LOOKUP(2,1/((Budgets!$A$2:$A$200=BC$1)*(Budgets!$B$2:$B$200&lt;=$A60)),Budgets!$C$2:$C$200),0))</f>
        <v/>
      </c>
      <c r="BE60" s="67">
        <f>COUNTIFS(Entries!$A$2:$A$5000,$A60)</f>
        <v/>
      </c>
    </row>
    <row r="61" ht="15" customHeight="1" s="43">
      <c r="A61" s="87" t="n">
        <v>41244</v>
      </c>
      <c r="B61" s="88">
        <f>IF($BE61=0,NA(),SUMIFS(Entries!$D$2:$D$5000,Entries!$C$2:$C$5000,"Income",Entries!$A$2:$A$5000,$A61))</f>
        <v/>
      </c>
      <c r="C61" s="88">
        <f>IF($BE61=0,"",SUMIFS(Entries!$D$2:$D$5000,Entries!$C$2:$C$5000,"Actual",Entries!$A$2:$A$5000,$A61))</f>
        <v/>
      </c>
      <c r="D61" s="88">
        <f>IF($BE61=0,"",SUMIFS(Entries!$D$2:$D$5000,Entries!$C$2:$C$5000,"One-off",Entries!$A$2:$A$5000,$A61))</f>
        <v/>
      </c>
      <c r="E61" s="88">
        <f>IF($BE61=0,NA(),C61+D61)</f>
        <v/>
      </c>
      <c r="F61" s="88">
        <f>IF($BE61=0,"",SUM(AJ61:BC61))</f>
        <v/>
      </c>
      <c r="G61" s="88">
        <f>IF($BE61=0,"",B61-E61)</f>
        <v/>
      </c>
      <c r="H61" s="88">
        <f>IF($BE61=0,"",SUM($G$2:G61))</f>
        <v/>
      </c>
      <c r="I61" s="88">
        <f>IF($BE61=0,"",SUMIFS(Entries!$F$2:$F$5000,Entries!$A$2:$A$5000,$A61))</f>
        <v/>
      </c>
      <c r="J61" s="88">
        <f>IF($BE61=0,NA(),H61+SUM($I$2:I61))</f>
        <v/>
      </c>
      <c r="K61" s="88">
        <f>IF($BE61=0,"",SUMIFS(Entries!$D$2:$D$5000,Entries!$C$2:$C$5000,"Income",Entries!$A$2:$A$5000,"&gt;="&amp;EDATE($A61,-11),Entries!$A$2:$A$5000,"&lt;="&amp;$A61)/12)</f>
        <v/>
      </c>
      <c r="L61" s="88">
        <f>IF($BE61=0,"",(SUMIFS(Entries!$D$2:$D$5000,Entries!$C$2:$C$5000,"Actual",Entries!$A$2:$A$5000,"&gt;="&amp;EDATE($A61,-11),Entries!$A$2:$A$5000,"&lt;="&amp;$A61)+SUMIFS(Entries!$D$2:$D$5000,Entries!$C$2:$C$5000,"One-off",Entries!$A$2:$A$5000,"&gt;="&amp;EDATE($A61,-11),Entries!$A$2:$A$5000,"&lt;="&amp;$A61))/12)</f>
        <v/>
      </c>
      <c r="M61" s="70">
        <f>IF($BE61=0,NA(),IFERROR((K61-L61)/K61,0))</f>
        <v/>
      </c>
      <c r="O61" s="88">
        <f>IF(OR(O$1="",$BE61=0),"",SUMIFS(Entries!$D$2:$D$5000,Entries!$C$2:$C$5000,"Actual",Entries!$A$2:$A$5000,$A61,Entries!$B$2:$B$5000,O$1))</f>
        <v/>
      </c>
      <c r="P61" s="88">
        <f>IF(OR(P$1="",$BE61=0),"",SUMIFS(Entries!$D$2:$D$5000,Entries!$C$2:$C$5000,"Actual",Entries!$A$2:$A$5000,$A61,Entries!$B$2:$B$5000,P$1))</f>
        <v/>
      </c>
      <c r="Q61" s="88">
        <f>IF(OR(Q$1="",$BE61=0),"",SUMIFS(Entries!$D$2:$D$5000,Entries!$C$2:$C$5000,"Actual",Entries!$A$2:$A$5000,$A61,Entries!$B$2:$B$5000,Q$1))</f>
        <v/>
      </c>
      <c r="R61" s="88">
        <f>IF(OR(R$1="",$BE61=0),"",SUMIFS(Entries!$D$2:$D$5000,Entries!$C$2:$C$5000,"Actual",Entries!$A$2:$A$5000,$A61,Entries!$B$2:$B$5000,R$1))</f>
        <v/>
      </c>
      <c r="S61" s="88">
        <f>IF(OR(S$1="",$BE61=0),"",SUMIFS(Entries!$D$2:$D$5000,Entries!$C$2:$C$5000,"Actual",Entries!$A$2:$A$5000,$A61,Entries!$B$2:$B$5000,S$1))</f>
        <v/>
      </c>
      <c r="T61" s="88">
        <f>IF(OR(T$1="",$BE61=0),"",SUMIFS(Entries!$D$2:$D$5000,Entries!$C$2:$C$5000,"Actual",Entries!$A$2:$A$5000,$A61,Entries!$B$2:$B$5000,T$1))</f>
        <v/>
      </c>
      <c r="U61" s="88">
        <f>IF(OR(U$1="",$BE61=0),"",SUMIFS(Entries!$D$2:$D$5000,Entries!$C$2:$C$5000,"Actual",Entries!$A$2:$A$5000,$A61,Entries!$B$2:$B$5000,U$1))</f>
        <v/>
      </c>
      <c r="V61" s="88">
        <f>IF(OR(V$1="",$BE61=0),"",SUMIFS(Entries!$D$2:$D$5000,Entries!$C$2:$C$5000,"Actual",Entries!$A$2:$A$5000,$A61,Entries!$B$2:$B$5000,V$1))</f>
        <v/>
      </c>
      <c r="W61" s="88">
        <f>IF(OR(W$1="",$BE61=0),"",SUMIFS(Entries!$D$2:$D$5000,Entries!$C$2:$C$5000,"Actual",Entries!$A$2:$A$5000,$A61,Entries!$B$2:$B$5000,W$1))</f>
        <v/>
      </c>
      <c r="X61" s="88">
        <f>IF(OR(X$1="",$BE61=0),"",SUMIFS(Entries!$D$2:$D$5000,Entries!$C$2:$C$5000,"Actual",Entries!$A$2:$A$5000,$A61,Entries!$B$2:$B$5000,X$1))</f>
        <v/>
      </c>
      <c r="Y61" s="88">
        <f>IF(OR(Y$1="",$BE61=0),"",SUMIFS(Entries!$D$2:$D$5000,Entries!$C$2:$C$5000,"Actual",Entries!$A$2:$A$5000,$A61,Entries!$B$2:$B$5000,Y$1))</f>
        <v/>
      </c>
      <c r="Z61" s="88">
        <f>IF(OR(Z$1="",$BE61=0),"",SUMIFS(Entries!$D$2:$D$5000,Entries!$C$2:$C$5000,"Actual",Entries!$A$2:$A$5000,$A61,Entries!$B$2:$B$5000,Z$1))</f>
        <v/>
      </c>
      <c r="AA61" s="88">
        <f>IF(OR(AA$1="",$BE61=0),"",SUMIFS(Entries!$D$2:$D$5000,Entries!$C$2:$C$5000,"Actual",Entries!$A$2:$A$5000,$A61,Entries!$B$2:$B$5000,AA$1))</f>
        <v/>
      </c>
      <c r="AB61" s="88">
        <f>IF(OR(AB$1="",$BE61=0),"",SUMIFS(Entries!$D$2:$D$5000,Entries!$C$2:$C$5000,"Actual",Entries!$A$2:$A$5000,$A61,Entries!$B$2:$B$5000,AB$1))</f>
        <v/>
      </c>
      <c r="AC61" s="88">
        <f>IF(OR(AC$1="",$BE61=0),"",SUMIFS(Entries!$D$2:$D$5000,Entries!$C$2:$C$5000,"Actual",Entries!$A$2:$A$5000,$A61,Entries!$B$2:$B$5000,AC$1))</f>
        <v/>
      </c>
      <c r="AD61" s="88">
        <f>IF(OR(AD$1="",$BE61=0),"",SUMIFS(Entries!$D$2:$D$5000,Entries!$C$2:$C$5000,"Actual",Entries!$A$2:$A$5000,$A61,Entries!$B$2:$B$5000,AD$1))</f>
        <v/>
      </c>
      <c r="AE61" s="88">
        <f>IF(OR(AE$1="",$BE61=0),"",SUMIFS(Entries!$D$2:$D$5000,Entries!$C$2:$C$5000,"Actual",Entries!$A$2:$A$5000,$A61,Entries!$B$2:$B$5000,AE$1))</f>
        <v/>
      </c>
      <c r="AF61" s="88">
        <f>IF(OR(AF$1="",$BE61=0),"",SUMIFS(Entries!$D$2:$D$5000,Entries!$C$2:$C$5000,"Actual",Entries!$A$2:$A$5000,$A61,Entries!$B$2:$B$5000,AF$1))</f>
        <v/>
      </c>
      <c r="AG61" s="88">
        <f>IF(OR(AG$1="",$BE61=0),"",SUMIFS(Entries!$D$2:$D$5000,Entries!$C$2:$C$5000,"Actual",Entries!$A$2:$A$5000,$A61,Entries!$B$2:$B$5000,AG$1))</f>
        <v/>
      </c>
      <c r="AH61" s="88">
        <f>IF(OR(AH$1="",$BE61=0),"",SUMIFS(Entries!$D$2:$D$5000,Entries!$C$2:$C$5000,"Actual",Entries!$A$2:$A$5000,$A61,Entries!$B$2:$B$5000,AH$1))</f>
        <v/>
      </c>
      <c r="AJ61" s="88">
        <f>IF(OR(AJ$1="",$BE61=0),"",IFERROR(LOOKUP(2,1/((Budgets!$A$2:$A$200=AJ$1)*(Budgets!$B$2:$B$200&lt;=$A61)),Budgets!$C$2:$C$200),0))</f>
        <v/>
      </c>
      <c r="AK61" s="88">
        <f>IF(OR(AK$1="",$BE61=0),"",IFERROR(LOOKUP(2,1/((Budgets!$A$2:$A$200=AK$1)*(Budgets!$B$2:$B$200&lt;=$A61)),Budgets!$C$2:$C$200),0))</f>
        <v/>
      </c>
      <c r="AL61" s="88">
        <f>IF(OR(AL$1="",$BE61=0),"",IFERROR(LOOKUP(2,1/((Budgets!$A$2:$A$200=AL$1)*(Budgets!$B$2:$B$200&lt;=$A61)),Budgets!$C$2:$C$200),0))</f>
        <v/>
      </c>
      <c r="AM61" s="88">
        <f>IF(OR(AM$1="",$BE61=0),"",IFERROR(LOOKUP(2,1/((Budgets!$A$2:$A$200=AM$1)*(Budgets!$B$2:$B$200&lt;=$A61)),Budgets!$C$2:$C$200),0))</f>
        <v/>
      </c>
      <c r="AN61" s="88">
        <f>IF(OR(AN$1="",$BE61=0),"",IFERROR(LOOKUP(2,1/((Budgets!$A$2:$A$200=AN$1)*(Budgets!$B$2:$B$200&lt;=$A61)),Budgets!$C$2:$C$200),0))</f>
        <v/>
      </c>
      <c r="AO61" s="88">
        <f>IF(OR(AO$1="",$BE61=0),"",IFERROR(LOOKUP(2,1/((Budgets!$A$2:$A$200=AO$1)*(Budgets!$B$2:$B$200&lt;=$A61)),Budgets!$C$2:$C$200),0))</f>
        <v/>
      </c>
      <c r="AP61" s="88">
        <f>IF(OR(AP$1="",$BE61=0),"",IFERROR(LOOKUP(2,1/((Budgets!$A$2:$A$200=AP$1)*(Budgets!$B$2:$B$200&lt;=$A61)),Budgets!$C$2:$C$200),0))</f>
        <v/>
      </c>
      <c r="AQ61" s="88">
        <f>IF(OR(AQ$1="",$BE61=0),"",IFERROR(LOOKUP(2,1/((Budgets!$A$2:$A$200=AQ$1)*(Budgets!$B$2:$B$200&lt;=$A61)),Budgets!$C$2:$C$200),0))</f>
        <v/>
      </c>
      <c r="AR61" s="88">
        <f>IF(OR(AR$1="",$BE61=0),"",IFERROR(LOOKUP(2,1/((Budgets!$A$2:$A$200=AR$1)*(Budgets!$B$2:$B$200&lt;=$A61)),Budgets!$C$2:$C$200),0))</f>
        <v/>
      </c>
      <c r="AS61" s="88">
        <f>IF(OR(AS$1="",$BE61=0),"",IFERROR(LOOKUP(2,1/((Budgets!$A$2:$A$200=AS$1)*(Budgets!$B$2:$B$200&lt;=$A61)),Budgets!$C$2:$C$200),0))</f>
        <v/>
      </c>
      <c r="AT61" s="88">
        <f>IF(OR(AT$1="",$BE61=0),"",IFERROR(LOOKUP(2,1/((Budgets!$A$2:$A$200=AT$1)*(Budgets!$B$2:$B$200&lt;=$A61)),Budgets!$C$2:$C$200),0))</f>
        <v/>
      </c>
      <c r="AU61" s="88">
        <f>IF(OR(AU$1="",$BE61=0),"",IFERROR(LOOKUP(2,1/((Budgets!$A$2:$A$200=AU$1)*(Budgets!$B$2:$B$200&lt;=$A61)),Budgets!$C$2:$C$200),0))</f>
        <v/>
      </c>
      <c r="AV61" s="88">
        <f>IF(OR(AV$1="",$BE61=0),"",IFERROR(LOOKUP(2,1/((Budgets!$A$2:$A$200=AV$1)*(Budgets!$B$2:$B$200&lt;=$A61)),Budgets!$C$2:$C$200),0))</f>
        <v/>
      </c>
      <c r="AW61" s="88">
        <f>IF(OR(AW$1="",$BE61=0),"",IFERROR(LOOKUP(2,1/((Budgets!$A$2:$A$200=AW$1)*(Budgets!$B$2:$B$200&lt;=$A61)),Budgets!$C$2:$C$200),0))</f>
        <v/>
      </c>
      <c r="AX61" s="88">
        <f>IF(OR(AX$1="",$BE61=0),"",IFERROR(LOOKUP(2,1/((Budgets!$A$2:$A$200=AX$1)*(Budgets!$B$2:$B$200&lt;=$A61)),Budgets!$C$2:$C$200),0))</f>
        <v/>
      </c>
      <c r="AY61" s="88">
        <f>IF(OR(AY$1="",$BE61=0),"",IFERROR(LOOKUP(2,1/((Budgets!$A$2:$A$200=AY$1)*(Budgets!$B$2:$B$200&lt;=$A61)),Budgets!$C$2:$C$200),0))</f>
        <v/>
      </c>
      <c r="AZ61" s="88">
        <f>IF(OR(AZ$1="",$BE61=0),"",IFERROR(LOOKUP(2,1/((Budgets!$A$2:$A$200=AZ$1)*(Budgets!$B$2:$B$200&lt;=$A61)),Budgets!$C$2:$C$200),0))</f>
        <v/>
      </c>
      <c r="BA61" s="88">
        <f>IF(OR(BA$1="",$BE61=0),"",IFERROR(LOOKUP(2,1/((Budgets!$A$2:$A$200=BA$1)*(Budgets!$B$2:$B$200&lt;=$A61)),Budgets!$C$2:$C$200),0))</f>
        <v/>
      </c>
      <c r="BB61" s="88">
        <f>IF(OR(BB$1="",$BE61=0),"",IFERROR(LOOKUP(2,1/((Budgets!$A$2:$A$200=BB$1)*(Budgets!$B$2:$B$200&lt;=$A61)),Budgets!$C$2:$C$200),0))</f>
        <v/>
      </c>
      <c r="BC61" s="88">
        <f>IF(OR(BC$1="",$BE61=0),"",IFERROR(LOOKUP(2,1/((Budgets!$A$2:$A$200=BC$1)*(Budgets!$B$2:$B$200&lt;=$A61)),Budgets!$C$2:$C$200),0))</f>
        <v/>
      </c>
      <c r="BE61" s="67">
        <f>COUNTIFS(Entries!$A$2:$A$5000,$A61)</f>
        <v/>
      </c>
    </row>
    <row r="62" ht="15" customHeight="1" s="43">
      <c r="A62" s="87" t="n">
        <v>41275</v>
      </c>
      <c r="B62" s="88">
        <f>IF($BE62=0,NA(),SUMIFS(Entries!$D$2:$D$5000,Entries!$C$2:$C$5000,"Income",Entries!$A$2:$A$5000,$A62))</f>
        <v/>
      </c>
      <c r="C62" s="88">
        <f>IF($BE62=0,"",SUMIFS(Entries!$D$2:$D$5000,Entries!$C$2:$C$5000,"Actual",Entries!$A$2:$A$5000,$A62))</f>
        <v/>
      </c>
      <c r="D62" s="88">
        <f>IF($BE62=0,"",SUMIFS(Entries!$D$2:$D$5000,Entries!$C$2:$C$5000,"One-off",Entries!$A$2:$A$5000,$A62))</f>
        <v/>
      </c>
      <c r="E62" s="88">
        <f>IF($BE62=0,NA(),C62+D62)</f>
        <v/>
      </c>
      <c r="F62" s="88">
        <f>IF($BE62=0,"",SUM(AJ62:BC62))</f>
        <v/>
      </c>
      <c r="G62" s="88">
        <f>IF($BE62=0,"",B62-E62)</f>
        <v/>
      </c>
      <c r="H62" s="88">
        <f>IF($BE62=0,"",SUM($G$2:G62))</f>
        <v/>
      </c>
      <c r="I62" s="88">
        <f>IF($BE62=0,"",SUMIFS(Entries!$F$2:$F$5000,Entries!$A$2:$A$5000,$A62))</f>
        <v/>
      </c>
      <c r="J62" s="88">
        <f>IF($BE62=0,NA(),H62+SUM($I$2:I62))</f>
        <v/>
      </c>
      <c r="K62" s="88">
        <f>IF($BE62=0,"",SUMIFS(Entries!$D$2:$D$5000,Entries!$C$2:$C$5000,"Income",Entries!$A$2:$A$5000,"&gt;="&amp;EDATE($A62,-11),Entries!$A$2:$A$5000,"&lt;="&amp;$A62)/12)</f>
        <v/>
      </c>
      <c r="L62" s="88">
        <f>IF($BE62=0,"",(SUMIFS(Entries!$D$2:$D$5000,Entries!$C$2:$C$5000,"Actual",Entries!$A$2:$A$5000,"&gt;="&amp;EDATE($A62,-11),Entries!$A$2:$A$5000,"&lt;="&amp;$A62)+SUMIFS(Entries!$D$2:$D$5000,Entries!$C$2:$C$5000,"One-off",Entries!$A$2:$A$5000,"&gt;="&amp;EDATE($A62,-11),Entries!$A$2:$A$5000,"&lt;="&amp;$A62))/12)</f>
        <v/>
      </c>
      <c r="M62" s="70">
        <f>IF($BE62=0,NA(),IFERROR((K62-L62)/K62,0))</f>
        <v/>
      </c>
      <c r="O62" s="88">
        <f>IF(OR(O$1="",$BE62=0),"",SUMIFS(Entries!$D$2:$D$5000,Entries!$C$2:$C$5000,"Actual",Entries!$A$2:$A$5000,$A62,Entries!$B$2:$B$5000,O$1))</f>
        <v/>
      </c>
      <c r="P62" s="88">
        <f>IF(OR(P$1="",$BE62=0),"",SUMIFS(Entries!$D$2:$D$5000,Entries!$C$2:$C$5000,"Actual",Entries!$A$2:$A$5000,$A62,Entries!$B$2:$B$5000,P$1))</f>
        <v/>
      </c>
      <c r="Q62" s="88">
        <f>IF(OR(Q$1="",$BE62=0),"",SUMIFS(Entries!$D$2:$D$5000,Entries!$C$2:$C$5000,"Actual",Entries!$A$2:$A$5000,$A62,Entries!$B$2:$B$5000,Q$1))</f>
        <v/>
      </c>
      <c r="R62" s="88">
        <f>IF(OR(R$1="",$BE62=0),"",SUMIFS(Entries!$D$2:$D$5000,Entries!$C$2:$C$5000,"Actual",Entries!$A$2:$A$5000,$A62,Entries!$B$2:$B$5000,R$1))</f>
        <v/>
      </c>
      <c r="S62" s="88">
        <f>IF(OR(S$1="",$BE62=0),"",SUMIFS(Entries!$D$2:$D$5000,Entries!$C$2:$C$5000,"Actual",Entries!$A$2:$A$5000,$A62,Entries!$B$2:$B$5000,S$1))</f>
        <v/>
      </c>
      <c r="T62" s="88">
        <f>IF(OR(T$1="",$BE62=0),"",SUMIFS(Entries!$D$2:$D$5000,Entries!$C$2:$C$5000,"Actual",Entries!$A$2:$A$5000,$A62,Entries!$B$2:$B$5000,T$1))</f>
        <v/>
      </c>
      <c r="U62" s="88">
        <f>IF(OR(U$1="",$BE62=0),"",SUMIFS(Entries!$D$2:$D$5000,Entries!$C$2:$C$5000,"Actual",Entries!$A$2:$A$5000,$A62,Entries!$B$2:$B$5000,U$1))</f>
        <v/>
      </c>
      <c r="V62" s="88">
        <f>IF(OR(V$1="",$BE62=0),"",SUMIFS(Entries!$D$2:$D$5000,Entries!$C$2:$C$5000,"Actual",Entries!$A$2:$A$5000,$A62,Entries!$B$2:$B$5000,V$1))</f>
        <v/>
      </c>
      <c r="W62" s="88">
        <f>IF(OR(W$1="",$BE62=0),"",SUMIFS(Entries!$D$2:$D$5000,Entries!$C$2:$C$5000,"Actual",Entries!$A$2:$A$5000,$A62,Entries!$B$2:$B$5000,W$1))</f>
        <v/>
      </c>
      <c r="X62" s="88">
        <f>IF(OR(X$1="",$BE62=0),"",SUMIFS(Entries!$D$2:$D$5000,Entries!$C$2:$C$5000,"Actual",Entries!$A$2:$A$5000,$A62,Entries!$B$2:$B$5000,X$1))</f>
        <v/>
      </c>
      <c r="Y62" s="88">
        <f>IF(OR(Y$1="",$BE62=0),"",SUMIFS(Entries!$D$2:$D$5000,Entries!$C$2:$C$5000,"Actual",Entries!$A$2:$A$5000,$A62,Entries!$B$2:$B$5000,Y$1))</f>
        <v/>
      </c>
      <c r="Z62" s="88">
        <f>IF(OR(Z$1="",$BE62=0),"",SUMIFS(Entries!$D$2:$D$5000,Entries!$C$2:$C$5000,"Actual",Entries!$A$2:$A$5000,$A62,Entries!$B$2:$B$5000,Z$1))</f>
        <v/>
      </c>
      <c r="AA62" s="88">
        <f>IF(OR(AA$1="",$BE62=0),"",SUMIFS(Entries!$D$2:$D$5000,Entries!$C$2:$C$5000,"Actual",Entries!$A$2:$A$5000,$A62,Entries!$B$2:$B$5000,AA$1))</f>
        <v/>
      </c>
      <c r="AB62" s="88">
        <f>IF(OR(AB$1="",$BE62=0),"",SUMIFS(Entries!$D$2:$D$5000,Entries!$C$2:$C$5000,"Actual",Entries!$A$2:$A$5000,$A62,Entries!$B$2:$B$5000,AB$1))</f>
        <v/>
      </c>
      <c r="AC62" s="88">
        <f>IF(OR(AC$1="",$BE62=0),"",SUMIFS(Entries!$D$2:$D$5000,Entries!$C$2:$C$5000,"Actual",Entries!$A$2:$A$5000,$A62,Entries!$B$2:$B$5000,AC$1))</f>
        <v/>
      </c>
      <c r="AD62" s="88">
        <f>IF(OR(AD$1="",$BE62=0),"",SUMIFS(Entries!$D$2:$D$5000,Entries!$C$2:$C$5000,"Actual",Entries!$A$2:$A$5000,$A62,Entries!$B$2:$B$5000,AD$1))</f>
        <v/>
      </c>
      <c r="AE62" s="88">
        <f>IF(OR(AE$1="",$BE62=0),"",SUMIFS(Entries!$D$2:$D$5000,Entries!$C$2:$C$5000,"Actual",Entries!$A$2:$A$5000,$A62,Entries!$B$2:$B$5000,AE$1))</f>
        <v/>
      </c>
      <c r="AF62" s="88">
        <f>IF(OR(AF$1="",$BE62=0),"",SUMIFS(Entries!$D$2:$D$5000,Entries!$C$2:$C$5000,"Actual",Entries!$A$2:$A$5000,$A62,Entries!$B$2:$B$5000,AF$1))</f>
        <v/>
      </c>
      <c r="AG62" s="88">
        <f>IF(OR(AG$1="",$BE62=0),"",SUMIFS(Entries!$D$2:$D$5000,Entries!$C$2:$C$5000,"Actual",Entries!$A$2:$A$5000,$A62,Entries!$B$2:$B$5000,AG$1))</f>
        <v/>
      </c>
      <c r="AH62" s="88">
        <f>IF(OR(AH$1="",$BE62=0),"",SUMIFS(Entries!$D$2:$D$5000,Entries!$C$2:$C$5000,"Actual",Entries!$A$2:$A$5000,$A62,Entries!$B$2:$B$5000,AH$1))</f>
        <v/>
      </c>
      <c r="AJ62" s="88">
        <f>IF(OR(AJ$1="",$BE62=0),"",IFERROR(LOOKUP(2,1/((Budgets!$A$2:$A$200=AJ$1)*(Budgets!$B$2:$B$200&lt;=$A62)),Budgets!$C$2:$C$200),0))</f>
        <v/>
      </c>
      <c r="AK62" s="88">
        <f>IF(OR(AK$1="",$BE62=0),"",IFERROR(LOOKUP(2,1/((Budgets!$A$2:$A$200=AK$1)*(Budgets!$B$2:$B$200&lt;=$A62)),Budgets!$C$2:$C$200),0))</f>
        <v/>
      </c>
      <c r="AL62" s="88">
        <f>IF(OR(AL$1="",$BE62=0),"",IFERROR(LOOKUP(2,1/((Budgets!$A$2:$A$200=AL$1)*(Budgets!$B$2:$B$200&lt;=$A62)),Budgets!$C$2:$C$200),0))</f>
        <v/>
      </c>
      <c r="AM62" s="88">
        <f>IF(OR(AM$1="",$BE62=0),"",IFERROR(LOOKUP(2,1/((Budgets!$A$2:$A$200=AM$1)*(Budgets!$B$2:$B$200&lt;=$A62)),Budgets!$C$2:$C$200),0))</f>
        <v/>
      </c>
      <c r="AN62" s="88">
        <f>IF(OR(AN$1="",$BE62=0),"",IFERROR(LOOKUP(2,1/((Budgets!$A$2:$A$200=AN$1)*(Budgets!$B$2:$B$200&lt;=$A62)),Budgets!$C$2:$C$200),0))</f>
        <v/>
      </c>
      <c r="AO62" s="88">
        <f>IF(OR(AO$1="",$BE62=0),"",IFERROR(LOOKUP(2,1/((Budgets!$A$2:$A$200=AO$1)*(Budgets!$B$2:$B$200&lt;=$A62)),Budgets!$C$2:$C$200),0))</f>
        <v/>
      </c>
      <c r="AP62" s="88">
        <f>IF(OR(AP$1="",$BE62=0),"",IFERROR(LOOKUP(2,1/((Budgets!$A$2:$A$200=AP$1)*(Budgets!$B$2:$B$200&lt;=$A62)),Budgets!$C$2:$C$200),0))</f>
        <v/>
      </c>
      <c r="AQ62" s="88">
        <f>IF(OR(AQ$1="",$BE62=0),"",IFERROR(LOOKUP(2,1/((Budgets!$A$2:$A$200=AQ$1)*(Budgets!$B$2:$B$200&lt;=$A62)),Budgets!$C$2:$C$200),0))</f>
        <v/>
      </c>
      <c r="AR62" s="88">
        <f>IF(OR(AR$1="",$BE62=0),"",IFERROR(LOOKUP(2,1/((Budgets!$A$2:$A$200=AR$1)*(Budgets!$B$2:$B$200&lt;=$A62)),Budgets!$C$2:$C$200),0))</f>
        <v/>
      </c>
      <c r="AS62" s="88">
        <f>IF(OR(AS$1="",$BE62=0),"",IFERROR(LOOKUP(2,1/((Budgets!$A$2:$A$200=AS$1)*(Budgets!$B$2:$B$200&lt;=$A62)),Budgets!$C$2:$C$200),0))</f>
        <v/>
      </c>
      <c r="AT62" s="88">
        <f>IF(OR(AT$1="",$BE62=0),"",IFERROR(LOOKUP(2,1/((Budgets!$A$2:$A$200=AT$1)*(Budgets!$B$2:$B$200&lt;=$A62)),Budgets!$C$2:$C$200),0))</f>
        <v/>
      </c>
      <c r="AU62" s="88">
        <f>IF(OR(AU$1="",$BE62=0),"",IFERROR(LOOKUP(2,1/((Budgets!$A$2:$A$200=AU$1)*(Budgets!$B$2:$B$200&lt;=$A62)),Budgets!$C$2:$C$200),0))</f>
        <v/>
      </c>
      <c r="AV62" s="88">
        <f>IF(OR(AV$1="",$BE62=0),"",IFERROR(LOOKUP(2,1/((Budgets!$A$2:$A$200=AV$1)*(Budgets!$B$2:$B$200&lt;=$A62)),Budgets!$C$2:$C$200),0))</f>
        <v/>
      </c>
      <c r="AW62" s="88">
        <f>IF(OR(AW$1="",$BE62=0),"",IFERROR(LOOKUP(2,1/((Budgets!$A$2:$A$200=AW$1)*(Budgets!$B$2:$B$200&lt;=$A62)),Budgets!$C$2:$C$200),0))</f>
        <v/>
      </c>
      <c r="AX62" s="88">
        <f>IF(OR(AX$1="",$BE62=0),"",IFERROR(LOOKUP(2,1/((Budgets!$A$2:$A$200=AX$1)*(Budgets!$B$2:$B$200&lt;=$A62)),Budgets!$C$2:$C$200),0))</f>
        <v/>
      </c>
      <c r="AY62" s="88">
        <f>IF(OR(AY$1="",$BE62=0),"",IFERROR(LOOKUP(2,1/((Budgets!$A$2:$A$200=AY$1)*(Budgets!$B$2:$B$200&lt;=$A62)),Budgets!$C$2:$C$200),0))</f>
        <v/>
      </c>
      <c r="AZ62" s="88">
        <f>IF(OR(AZ$1="",$BE62=0),"",IFERROR(LOOKUP(2,1/((Budgets!$A$2:$A$200=AZ$1)*(Budgets!$B$2:$B$200&lt;=$A62)),Budgets!$C$2:$C$200),0))</f>
        <v/>
      </c>
      <c r="BA62" s="88">
        <f>IF(OR(BA$1="",$BE62=0),"",IFERROR(LOOKUP(2,1/((Budgets!$A$2:$A$200=BA$1)*(Budgets!$B$2:$B$200&lt;=$A62)),Budgets!$C$2:$C$200),0))</f>
        <v/>
      </c>
      <c r="BB62" s="88">
        <f>IF(OR(BB$1="",$BE62=0),"",IFERROR(LOOKUP(2,1/((Budgets!$A$2:$A$200=BB$1)*(Budgets!$B$2:$B$200&lt;=$A62)),Budgets!$C$2:$C$200),0))</f>
        <v/>
      </c>
      <c r="BC62" s="88">
        <f>IF(OR(BC$1="",$BE62=0),"",IFERROR(LOOKUP(2,1/((Budgets!$A$2:$A$200=BC$1)*(Budgets!$B$2:$B$200&lt;=$A62)),Budgets!$C$2:$C$200),0))</f>
        <v/>
      </c>
      <c r="BE62" s="67">
        <f>COUNTIFS(Entries!$A$2:$A$5000,$A62)</f>
        <v/>
      </c>
    </row>
    <row r="63" ht="15" customHeight="1" s="43">
      <c r="A63" s="87" t="n">
        <v>41306</v>
      </c>
      <c r="B63" s="88">
        <f>IF($BE63=0,NA(),SUMIFS(Entries!$D$2:$D$5000,Entries!$C$2:$C$5000,"Income",Entries!$A$2:$A$5000,$A63))</f>
        <v/>
      </c>
      <c r="C63" s="88">
        <f>IF($BE63=0,"",SUMIFS(Entries!$D$2:$D$5000,Entries!$C$2:$C$5000,"Actual",Entries!$A$2:$A$5000,$A63))</f>
        <v/>
      </c>
      <c r="D63" s="88">
        <f>IF($BE63=0,"",SUMIFS(Entries!$D$2:$D$5000,Entries!$C$2:$C$5000,"One-off",Entries!$A$2:$A$5000,$A63))</f>
        <v/>
      </c>
      <c r="E63" s="88">
        <f>IF($BE63=0,NA(),C63+D63)</f>
        <v/>
      </c>
      <c r="F63" s="88">
        <f>IF($BE63=0,"",SUM(AJ63:BC63))</f>
        <v/>
      </c>
      <c r="G63" s="88">
        <f>IF($BE63=0,"",B63-E63)</f>
        <v/>
      </c>
      <c r="H63" s="88">
        <f>IF($BE63=0,"",SUM($G$2:G63))</f>
        <v/>
      </c>
      <c r="I63" s="88">
        <f>IF($BE63=0,"",SUMIFS(Entries!$F$2:$F$5000,Entries!$A$2:$A$5000,$A63))</f>
        <v/>
      </c>
      <c r="J63" s="88">
        <f>IF($BE63=0,NA(),H63+SUM($I$2:I63))</f>
        <v/>
      </c>
      <c r="K63" s="88">
        <f>IF($BE63=0,"",SUMIFS(Entries!$D$2:$D$5000,Entries!$C$2:$C$5000,"Income",Entries!$A$2:$A$5000,"&gt;="&amp;EDATE($A63,-11),Entries!$A$2:$A$5000,"&lt;="&amp;$A63)/12)</f>
        <v/>
      </c>
      <c r="L63" s="88">
        <f>IF($BE63=0,"",(SUMIFS(Entries!$D$2:$D$5000,Entries!$C$2:$C$5000,"Actual",Entries!$A$2:$A$5000,"&gt;="&amp;EDATE($A63,-11),Entries!$A$2:$A$5000,"&lt;="&amp;$A63)+SUMIFS(Entries!$D$2:$D$5000,Entries!$C$2:$C$5000,"One-off",Entries!$A$2:$A$5000,"&gt;="&amp;EDATE($A63,-11),Entries!$A$2:$A$5000,"&lt;="&amp;$A63))/12)</f>
        <v/>
      </c>
      <c r="M63" s="70">
        <f>IF($BE63=0,NA(),IFERROR((K63-L63)/K63,0))</f>
        <v/>
      </c>
      <c r="O63" s="88">
        <f>IF(OR(O$1="",$BE63=0),"",SUMIFS(Entries!$D$2:$D$5000,Entries!$C$2:$C$5000,"Actual",Entries!$A$2:$A$5000,$A63,Entries!$B$2:$B$5000,O$1))</f>
        <v/>
      </c>
      <c r="P63" s="88">
        <f>IF(OR(P$1="",$BE63=0),"",SUMIFS(Entries!$D$2:$D$5000,Entries!$C$2:$C$5000,"Actual",Entries!$A$2:$A$5000,$A63,Entries!$B$2:$B$5000,P$1))</f>
        <v/>
      </c>
      <c r="Q63" s="88">
        <f>IF(OR(Q$1="",$BE63=0),"",SUMIFS(Entries!$D$2:$D$5000,Entries!$C$2:$C$5000,"Actual",Entries!$A$2:$A$5000,$A63,Entries!$B$2:$B$5000,Q$1))</f>
        <v/>
      </c>
      <c r="R63" s="88">
        <f>IF(OR(R$1="",$BE63=0),"",SUMIFS(Entries!$D$2:$D$5000,Entries!$C$2:$C$5000,"Actual",Entries!$A$2:$A$5000,$A63,Entries!$B$2:$B$5000,R$1))</f>
        <v/>
      </c>
      <c r="S63" s="88">
        <f>IF(OR(S$1="",$BE63=0),"",SUMIFS(Entries!$D$2:$D$5000,Entries!$C$2:$C$5000,"Actual",Entries!$A$2:$A$5000,$A63,Entries!$B$2:$B$5000,S$1))</f>
        <v/>
      </c>
      <c r="T63" s="88">
        <f>IF(OR(T$1="",$BE63=0),"",SUMIFS(Entries!$D$2:$D$5000,Entries!$C$2:$C$5000,"Actual",Entries!$A$2:$A$5000,$A63,Entries!$B$2:$B$5000,T$1))</f>
        <v/>
      </c>
      <c r="U63" s="88">
        <f>IF(OR(U$1="",$BE63=0),"",SUMIFS(Entries!$D$2:$D$5000,Entries!$C$2:$C$5000,"Actual",Entries!$A$2:$A$5000,$A63,Entries!$B$2:$B$5000,U$1))</f>
        <v/>
      </c>
      <c r="V63" s="88">
        <f>IF(OR(V$1="",$BE63=0),"",SUMIFS(Entries!$D$2:$D$5000,Entries!$C$2:$C$5000,"Actual",Entries!$A$2:$A$5000,$A63,Entries!$B$2:$B$5000,V$1))</f>
        <v/>
      </c>
      <c r="W63" s="88">
        <f>IF(OR(W$1="",$BE63=0),"",SUMIFS(Entries!$D$2:$D$5000,Entries!$C$2:$C$5000,"Actual",Entries!$A$2:$A$5000,$A63,Entries!$B$2:$B$5000,W$1))</f>
        <v/>
      </c>
      <c r="X63" s="88">
        <f>IF(OR(X$1="",$BE63=0),"",SUMIFS(Entries!$D$2:$D$5000,Entries!$C$2:$C$5000,"Actual",Entries!$A$2:$A$5000,$A63,Entries!$B$2:$B$5000,X$1))</f>
        <v/>
      </c>
      <c r="Y63" s="88">
        <f>IF(OR(Y$1="",$BE63=0),"",SUMIFS(Entries!$D$2:$D$5000,Entries!$C$2:$C$5000,"Actual",Entries!$A$2:$A$5000,$A63,Entries!$B$2:$B$5000,Y$1))</f>
        <v/>
      </c>
      <c r="Z63" s="88">
        <f>IF(OR(Z$1="",$BE63=0),"",SUMIFS(Entries!$D$2:$D$5000,Entries!$C$2:$C$5000,"Actual",Entries!$A$2:$A$5000,$A63,Entries!$B$2:$B$5000,Z$1))</f>
        <v/>
      </c>
      <c r="AA63" s="88">
        <f>IF(OR(AA$1="",$BE63=0),"",SUMIFS(Entries!$D$2:$D$5000,Entries!$C$2:$C$5000,"Actual",Entries!$A$2:$A$5000,$A63,Entries!$B$2:$B$5000,AA$1))</f>
        <v/>
      </c>
      <c r="AB63" s="88">
        <f>IF(OR(AB$1="",$BE63=0),"",SUMIFS(Entries!$D$2:$D$5000,Entries!$C$2:$C$5000,"Actual",Entries!$A$2:$A$5000,$A63,Entries!$B$2:$B$5000,AB$1))</f>
        <v/>
      </c>
      <c r="AC63" s="88">
        <f>IF(OR(AC$1="",$BE63=0),"",SUMIFS(Entries!$D$2:$D$5000,Entries!$C$2:$C$5000,"Actual",Entries!$A$2:$A$5000,$A63,Entries!$B$2:$B$5000,AC$1))</f>
        <v/>
      </c>
      <c r="AD63" s="88">
        <f>IF(OR(AD$1="",$BE63=0),"",SUMIFS(Entries!$D$2:$D$5000,Entries!$C$2:$C$5000,"Actual",Entries!$A$2:$A$5000,$A63,Entries!$B$2:$B$5000,AD$1))</f>
        <v/>
      </c>
      <c r="AE63" s="88">
        <f>IF(OR(AE$1="",$BE63=0),"",SUMIFS(Entries!$D$2:$D$5000,Entries!$C$2:$C$5000,"Actual",Entries!$A$2:$A$5000,$A63,Entries!$B$2:$B$5000,AE$1))</f>
        <v/>
      </c>
      <c r="AF63" s="88">
        <f>IF(OR(AF$1="",$BE63=0),"",SUMIFS(Entries!$D$2:$D$5000,Entries!$C$2:$C$5000,"Actual",Entries!$A$2:$A$5000,$A63,Entries!$B$2:$B$5000,AF$1))</f>
        <v/>
      </c>
      <c r="AG63" s="88">
        <f>IF(OR(AG$1="",$BE63=0),"",SUMIFS(Entries!$D$2:$D$5000,Entries!$C$2:$C$5000,"Actual",Entries!$A$2:$A$5000,$A63,Entries!$B$2:$B$5000,AG$1))</f>
        <v/>
      </c>
      <c r="AH63" s="88">
        <f>IF(OR(AH$1="",$BE63=0),"",SUMIFS(Entries!$D$2:$D$5000,Entries!$C$2:$C$5000,"Actual",Entries!$A$2:$A$5000,$A63,Entries!$B$2:$B$5000,AH$1))</f>
        <v/>
      </c>
      <c r="AJ63" s="88">
        <f>IF(OR(AJ$1="",$BE63=0),"",IFERROR(LOOKUP(2,1/((Budgets!$A$2:$A$200=AJ$1)*(Budgets!$B$2:$B$200&lt;=$A63)),Budgets!$C$2:$C$200),0))</f>
        <v/>
      </c>
      <c r="AK63" s="88">
        <f>IF(OR(AK$1="",$BE63=0),"",IFERROR(LOOKUP(2,1/((Budgets!$A$2:$A$200=AK$1)*(Budgets!$B$2:$B$200&lt;=$A63)),Budgets!$C$2:$C$200),0))</f>
        <v/>
      </c>
      <c r="AL63" s="88">
        <f>IF(OR(AL$1="",$BE63=0),"",IFERROR(LOOKUP(2,1/((Budgets!$A$2:$A$200=AL$1)*(Budgets!$B$2:$B$200&lt;=$A63)),Budgets!$C$2:$C$200),0))</f>
        <v/>
      </c>
      <c r="AM63" s="88">
        <f>IF(OR(AM$1="",$BE63=0),"",IFERROR(LOOKUP(2,1/((Budgets!$A$2:$A$200=AM$1)*(Budgets!$B$2:$B$200&lt;=$A63)),Budgets!$C$2:$C$200),0))</f>
        <v/>
      </c>
      <c r="AN63" s="88">
        <f>IF(OR(AN$1="",$BE63=0),"",IFERROR(LOOKUP(2,1/((Budgets!$A$2:$A$200=AN$1)*(Budgets!$B$2:$B$200&lt;=$A63)),Budgets!$C$2:$C$200),0))</f>
        <v/>
      </c>
      <c r="AO63" s="88">
        <f>IF(OR(AO$1="",$BE63=0),"",IFERROR(LOOKUP(2,1/((Budgets!$A$2:$A$200=AO$1)*(Budgets!$B$2:$B$200&lt;=$A63)),Budgets!$C$2:$C$200),0))</f>
        <v/>
      </c>
      <c r="AP63" s="88">
        <f>IF(OR(AP$1="",$BE63=0),"",IFERROR(LOOKUP(2,1/((Budgets!$A$2:$A$200=AP$1)*(Budgets!$B$2:$B$200&lt;=$A63)),Budgets!$C$2:$C$200),0))</f>
        <v/>
      </c>
      <c r="AQ63" s="88">
        <f>IF(OR(AQ$1="",$BE63=0),"",IFERROR(LOOKUP(2,1/((Budgets!$A$2:$A$200=AQ$1)*(Budgets!$B$2:$B$200&lt;=$A63)),Budgets!$C$2:$C$200),0))</f>
        <v/>
      </c>
      <c r="AR63" s="88">
        <f>IF(OR(AR$1="",$BE63=0),"",IFERROR(LOOKUP(2,1/((Budgets!$A$2:$A$200=AR$1)*(Budgets!$B$2:$B$200&lt;=$A63)),Budgets!$C$2:$C$200),0))</f>
        <v/>
      </c>
      <c r="AS63" s="88">
        <f>IF(OR(AS$1="",$BE63=0),"",IFERROR(LOOKUP(2,1/((Budgets!$A$2:$A$200=AS$1)*(Budgets!$B$2:$B$200&lt;=$A63)),Budgets!$C$2:$C$200),0))</f>
        <v/>
      </c>
      <c r="AT63" s="88">
        <f>IF(OR(AT$1="",$BE63=0),"",IFERROR(LOOKUP(2,1/((Budgets!$A$2:$A$200=AT$1)*(Budgets!$B$2:$B$200&lt;=$A63)),Budgets!$C$2:$C$200),0))</f>
        <v/>
      </c>
      <c r="AU63" s="88">
        <f>IF(OR(AU$1="",$BE63=0),"",IFERROR(LOOKUP(2,1/((Budgets!$A$2:$A$200=AU$1)*(Budgets!$B$2:$B$200&lt;=$A63)),Budgets!$C$2:$C$200),0))</f>
        <v/>
      </c>
      <c r="AV63" s="88">
        <f>IF(OR(AV$1="",$BE63=0),"",IFERROR(LOOKUP(2,1/((Budgets!$A$2:$A$200=AV$1)*(Budgets!$B$2:$B$200&lt;=$A63)),Budgets!$C$2:$C$200),0))</f>
        <v/>
      </c>
      <c r="AW63" s="88">
        <f>IF(OR(AW$1="",$BE63=0),"",IFERROR(LOOKUP(2,1/((Budgets!$A$2:$A$200=AW$1)*(Budgets!$B$2:$B$200&lt;=$A63)),Budgets!$C$2:$C$200),0))</f>
        <v/>
      </c>
      <c r="AX63" s="88">
        <f>IF(OR(AX$1="",$BE63=0),"",IFERROR(LOOKUP(2,1/((Budgets!$A$2:$A$200=AX$1)*(Budgets!$B$2:$B$200&lt;=$A63)),Budgets!$C$2:$C$200),0))</f>
        <v/>
      </c>
      <c r="AY63" s="88">
        <f>IF(OR(AY$1="",$BE63=0),"",IFERROR(LOOKUP(2,1/((Budgets!$A$2:$A$200=AY$1)*(Budgets!$B$2:$B$200&lt;=$A63)),Budgets!$C$2:$C$200),0))</f>
        <v/>
      </c>
      <c r="AZ63" s="88">
        <f>IF(OR(AZ$1="",$BE63=0),"",IFERROR(LOOKUP(2,1/((Budgets!$A$2:$A$200=AZ$1)*(Budgets!$B$2:$B$200&lt;=$A63)),Budgets!$C$2:$C$200),0))</f>
        <v/>
      </c>
      <c r="BA63" s="88">
        <f>IF(OR(BA$1="",$BE63=0),"",IFERROR(LOOKUP(2,1/((Budgets!$A$2:$A$200=BA$1)*(Budgets!$B$2:$B$200&lt;=$A63)),Budgets!$C$2:$C$200),0))</f>
        <v/>
      </c>
      <c r="BB63" s="88">
        <f>IF(OR(BB$1="",$BE63=0),"",IFERROR(LOOKUP(2,1/((Budgets!$A$2:$A$200=BB$1)*(Budgets!$B$2:$B$200&lt;=$A63)),Budgets!$C$2:$C$200),0))</f>
        <v/>
      </c>
      <c r="BC63" s="88">
        <f>IF(OR(BC$1="",$BE63=0),"",IFERROR(LOOKUP(2,1/((Budgets!$A$2:$A$200=BC$1)*(Budgets!$B$2:$B$200&lt;=$A63)),Budgets!$C$2:$C$200),0))</f>
        <v/>
      </c>
      <c r="BE63" s="67">
        <f>COUNTIFS(Entries!$A$2:$A$5000,$A63)</f>
        <v/>
      </c>
    </row>
    <row r="64" ht="15" customHeight="1" s="43">
      <c r="A64" s="87" t="n">
        <v>41334</v>
      </c>
      <c r="B64" s="88">
        <f>IF($BE64=0,NA(),SUMIFS(Entries!$D$2:$D$5000,Entries!$C$2:$C$5000,"Income",Entries!$A$2:$A$5000,$A64))</f>
        <v/>
      </c>
      <c r="C64" s="88">
        <f>IF($BE64=0,"",SUMIFS(Entries!$D$2:$D$5000,Entries!$C$2:$C$5000,"Actual",Entries!$A$2:$A$5000,$A64))</f>
        <v/>
      </c>
      <c r="D64" s="88">
        <f>IF($BE64=0,"",SUMIFS(Entries!$D$2:$D$5000,Entries!$C$2:$C$5000,"One-off",Entries!$A$2:$A$5000,$A64))</f>
        <v/>
      </c>
      <c r="E64" s="88">
        <f>IF($BE64=0,NA(),C64+D64)</f>
        <v/>
      </c>
      <c r="F64" s="88">
        <f>IF($BE64=0,"",SUM(AJ64:BC64))</f>
        <v/>
      </c>
      <c r="G64" s="88">
        <f>IF($BE64=0,"",B64-E64)</f>
        <v/>
      </c>
      <c r="H64" s="88">
        <f>IF($BE64=0,"",SUM($G$2:G64))</f>
        <v/>
      </c>
      <c r="I64" s="88">
        <f>IF($BE64=0,"",SUMIFS(Entries!$F$2:$F$5000,Entries!$A$2:$A$5000,$A64))</f>
        <v/>
      </c>
      <c r="J64" s="88">
        <f>IF($BE64=0,NA(),H64+SUM($I$2:I64))</f>
        <v/>
      </c>
      <c r="K64" s="88">
        <f>IF($BE64=0,"",SUMIFS(Entries!$D$2:$D$5000,Entries!$C$2:$C$5000,"Income",Entries!$A$2:$A$5000,"&gt;="&amp;EDATE($A64,-11),Entries!$A$2:$A$5000,"&lt;="&amp;$A64)/12)</f>
        <v/>
      </c>
      <c r="L64" s="88">
        <f>IF($BE64=0,"",(SUMIFS(Entries!$D$2:$D$5000,Entries!$C$2:$C$5000,"Actual",Entries!$A$2:$A$5000,"&gt;="&amp;EDATE($A64,-11),Entries!$A$2:$A$5000,"&lt;="&amp;$A64)+SUMIFS(Entries!$D$2:$D$5000,Entries!$C$2:$C$5000,"One-off",Entries!$A$2:$A$5000,"&gt;="&amp;EDATE($A64,-11),Entries!$A$2:$A$5000,"&lt;="&amp;$A64))/12)</f>
        <v/>
      </c>
      <c r="M64" s="70">
        <f>IF($BE64=0,NA(),IFERROR((K64-L64)/K64,0))</f>
        <v/>
      </c>
      <c r="O64" s="88">
        <f>IF(OR(O$1="",$BE64=0),"",SUMIFS(Entries!$D$2:$D$5000,Entries!$C$2:$C$5000,"Actual",Entries!$A$2:$A$5000,$A64,Entries!$B$2:$B$5000,O$1))</f>
        <v/>
      </c>
      <c r="P64" s="88">
        <f>IF(OR(P$1="",$BE64=0),"",SUMIFS(Entries!$D$2:$D$5000,Entries!$C$2:$C$5000,"Actual",Entries!$A$2:$A$5000,$A64,Entries!$B$2:$B$5000,P$1))</f>
        <v/>
      </c>
      <c r="Q64" s="88">
        <f>IF(OR(Q$1="",$BE64=0),"",SUMIFS(Entries!$D$2:$D$5000,Entries!$C$2:$C$5000,"Actual",Entries!$A$2:$A$5000,$A64,Entries!$B$2:$B$5000,Q$1))</f>
        <v/>
      </c>
      <c r="R64" s="88">
        <f>IF(OR(R$1="",$BE64=0),"",SUMIFS(Entries!$D$2:$D$5000,Entries!$C$2:$C$5000,"Actual",Entries!$A$2:$A$5000,$A64,Entries!$B$2:$B$5000,R$1))</f>
        <v/>
      </c>
      <c r="S64" s="88">
        <f>IF(OR(S$1="",$BE64=0),"",SUMIFS(Entries!$D$2:$D$5000,Entries!$C$2:$C$5000,"Actual",Entries!$A$2:$A$5000,$A64,Entries!$B$2:$B$5000,S$1))</f>
        <v/>
      </c>
      <c r="T64" s="88">
        <f>IF(OR(T$1="",$BE64=0),"",SUMIFS(Entries!$D$2:$D$5000,Entries!$C$2:$C$5000,"Actual",Entries!$A$2:$A$5000,$A64,Entries!$B$2:$B$5000,T$1))</f>
        <v/>
      </c>
      <c r="U64" s="88">
        <f>IF(OR(U$1="",$BE64=0),"",SUMIFS(Entries!$D$2:$D$5000,Entries!$C$2:$C$5000,"Actual",Entries!$A$2:$A$5000,$A64,Entries!$B$2:$B$5000,U$1))</f>
        <v/>
      </c>
      <c r="V64" s="88">
        <f>IF(OR(V$1="",$BE64=0),"",SUMIFS(Entries!$D$2:$D$5000,Entries!$C$2:$C$5000,"Actual",Entries!$A$2:$A$5000,$A64,Entries!$B$2:$B$5000,V$1))</f>
        <v/>
      </c>
      <c r="W64" s="88">
        <f>IF(OR(W$1="",$BE64=0),"",SUMIFS(Entries!$D$2:$D$5000,Entries!$C$2:$C$5000,"Actual",Entries!$A$2:$A$5000,$A64,Entries!$B$2:$B$5000,W$1))</f>
        <v/>
      </c>
      <c r="X64" s="88">
        <f>IF(OR(X$1="",$BE64=0),"",SUMIFS(Entries!$D$2:$D$5000,Entries!$C$2:$C$5000,"Actual",Entries!$A$2:$A$5000,$A64,Entries!$B$2:$B$5000,X$1))</f>
        <v/>
      </c>
      <c r="Y64" s="88">
        <f>IF(OR(Y$1="",$BE64=0),"",SUMIFS(Entries!$D$2:$D$5000,Entries!$C$2:$C$5000,"Actual",Entries!$A$2:$A$5000,$A64,Entries!$B$2:$B$5000,Y$1))</f>
        <v/>
      </c>
      <c r="Z64" s="88">
        <f>IF(OR(Z$1="",$BE64=0),"",SUMIFS(Entries!$D$2:$D$5000,Entries!$C$2:$C$5000,"Actual",Entries!$A$2:$A$5000,$A64,Entries!$B$2:$B$5000,Z$1))</f>
        <v/>
      </c>
      <c r="AA64" s="88">
        <f>IF(OR(AA$1="",$BE64=0),"",SUMIFS(Entries!$D$2:$D$5000,Entries!$C$2:$C$5000,"Actual",Entries!$A$2:$A$5000,$A64,Entries!$B$2:$B$5000,AA$1))</f>
        <v/>
      </c>
      <c r="AB64" s="88">
        <f>IF(OR(AB$1="",$BE64=0),"",SUMIFS(Entries!$D$2:$D$5000,Entries!$C$2:$C$5000,"Actual",Entries!$A$2:$A$5000,$A64,Entries!$B$2:$B$5000,AB$1))</f>
        <v/>
      </c>
      <c r="AC64" s="88">
        <f>IF(OR(AC$1="",$BE64=0),"",SUMIFS(Entries!$D$2:$D$5000,Entries!$C$2:$C$5000,"Actual",Entries!$A$2:$A$5000,$A64,Entries!$B$2:$B$5000,AC$1))</f>
        <v/>
      </c>
      <c r="AD64" s="88">
        <f>IF(OR(AD$1="",$BE64=0),"",SUMIFS(Entries!$D$2:$D$5000,Entries!$C$2:$C$5000,"Actual",Entries!$A$2:$A$5000,$A64,Entries!$B$2:$B$5000,AD$1))</f>
        <v/>
      </c>
      <c r="AE64" s="88">
        <f>IF(OR(AE$1="",$BE64=0),"",SUMIFS(Entries!$D$2:$D$5000,Entries!$C$2:$C$5000,"Actual",Entries!$A$2:$A$5000,$A64,Entries!$B$2:$B$5000,AE$1))</f>
        <v/>
      </c>
      <c r="AF64" s="88">
        <f>IF(OR(AF$1="",$BE64=0),"",SUMIFS(Entries!$D$2:$D$5000,Entries!$C$2:$C$5000,"Actual",Entries!$A$2:$A$5000,$A64,Entries!$B$2:$B$5000,AF$1))</f>
        <v/>
      </c>
      <c r="AG64" s="88">
        <f>IF(OR(AG$1="",$BE64=0),"",SUMIFS(Entries!$D$2:$D$5000,Entries!$C$2:$C$5000,"Actual",Entries!$A$2:$A$5000,$A64,Entries!$B$2:$B$5000,AG$1))</f>
        <v/>
      </c>
      <c r="AH64" s="88">
        <f>IF(OR(AH$1="",$BE64=0),"",SUMIFS(Entries!$D$2:$D$5000,Entries!$C$2:$C$5000,"Actual",Entries!$A$2:$A$5000,$A64,Entries!$B$2:$B$5000,AH$1))</f>
        <v/>
      </c>
      <c r="AJ64" s="88">
        <f>IF(OR(AJ$1="",$BE64=0),"",IFERROR(LOOKUP(2,1/((Budgets!$A$2:$A$200=AJ$1)*(Budgets!$B$2:$B$200&lt;=$A64)),Budgets!$C$2:$C$200),0))</f>
        <v/>
      </c>
      <c r="AK64" s="88">
        <f>IF(OR(AK$1="",$BE64=0),"",IFERROR(LOOKUP(2,1/((Budgets!$A$2:$A$200=AK$1)*(Budgets!$B$2:$B$200&lt;=$A64)),Budgets!$C$2:$C$200),0))</f>
        <v/>
      </c>
      <c r="AL64" s="88">
        <f>IF(OR(AL$1="",$BE64=0),"",IFERROR(LOOKUP(2,1/((Budgets!$A$2:$A$200=AL$1)*(Budgets!$B$2:$B$200&lt;=$A64)),Budgets!$C$2:$C$200),0))</f>
        <v/>
      </c>
      <c r="AM64" s="88">
        <f>IF(OR(AM$1="",$BE64=0),"",IFERROR(LOOKUP(2,1/((Budgets!$A$2:$A$200=AM$1)*(Budgets!$B$2:$B$200&lt;=$A64)),Budgets!$C$2:$C$200),0))</f>
        <v/>
      </c>
      <c r="AN64" s="88">
        <f>IF(OR(AN$1="",$BE64=0),"",IFERROR(LOOKUP(2,1/((Budgets!$A$2:$A$200=AN$1)*(Budgets!$B$2:$B$200&lt;=$A64)),Budgets!$C$2:$C$200),0))</f>
        <v/>
      </c>
      <c r="AO64" s="88">
        <f>IF(OR(AO$1="",$BE64=0),"",IFERROR(LOOKUP(2,1/((Budgets!$A$2:$A$200=AO$1)*(Budgets!$B$2:$B$200&lt;=$A64)),Budgets!$C$2:$C$200),0))</f>
        <v/>
      </c>
      <c r="AP64" s="88">
        <f>IF(OR(AP$1="",$BE64=0),"",IFERROR(LOOKUP(2,1/((Budgets!$A$2:$A$200=AP$1)*(Budgets!$B$2:$B$200&lt;=$A64)),Budgets!$C$2:$C$200),0))</f>
        <v/>
      </c>
      <c r="AQ64" s="88">
        <f>IF(OR(AQ$1="",$BE64=0),"",IFERROR(LOOKUP(2,1/((Budgets!$A$2:$A$200=AQ$1)*(Budgets!$B$2:$B$200&lt;=$A64)),Budgets!$C$2:$C$200),0))</f>
        <v/>
      </c>
      <c r="AR64" s="88">
        <f>IF(OR(AR$1="",$BE64=0),"",IFERROR(LOOKUP(2,1/((Budgets!$A$2:$A$200=AR$1)*(Budgets!$B$2:$B$200&lt;=$A64)),Budgets!$C$2:$C$200),0))</f>
        <v/>
      </c>
      <c r="AS64" s="88">
        <f>IF(OR(AS$1="",$BE64=0),"",IFERROR(LOOKUP(2,1/((Budgets!$A$2:$A$200=AS$1)*(Budgets!$B$2:$B$200&lt;=$A64)),Budgets!$C$2:$C$200),0))</f>
        <v/>
      </c>
      <c r="AT64" s="88">
        <f>IF(OR(AT$1="",$BE64=0),"",IFERROR(LOOKUP(2,1/((Budgets!$A$2:$A$200=AT$1)*(Budgets!$B$2:$B$200&lt;=$A64)),Budgets!$C$2:$C$200),0))</f>
        <v/>
      </c>
      <c r="AU64" s="88">
        <f>IF(OR(AU$1="",$BE64=0),"",IFERROR(LOOKUP(2,1/((Budgets!$A$2:$A$200=AU$1)*(Budgets!$B$2:$B$200&lt;=$A64)),Budgets!$C$2:$C$200),0))</f>
        <v/>
      </c>
      <c r="AV64" s="88">
        <f>IF(OR(AV$1="",$BE64=0),"",IFERROR(LOOKUP(2,1/((Budgets!$A$2:$A$200=AV$1)*(Budgets!$B$2:$B$200&lt;=$A64)),Budgets!$C$2:$C$200),0))</f>
        <v/>
      </c>
      <c r="AW64" s="88">
        <f>IF(OR(AW$1="",$BE64=0),"",IFERROR(LOOKUP(2,1/((Budgets!$A$2:$A$200=AW$1)*(Budgets!$B$2:$B$200&lt;=$A64)),Budgets!$C$2:$C$200),0))</f>
        <v/>
      </c>
      <c r="AX64" s="88">
        <f>IF(OR(AX$1="",$BE64=0),"",IFERROR(LOOKUP(2,1/((Budgets!$A$2:$A$200=AX$1)*(Budgets!$B$2:$B$200&lt;=$A64)),Budgets!$C$2:$C$200),0))</f>
        <v/>
      </c>
      <c r="AY64" s="88">
        <f>IF(OR(AY$1="",$BE64=0),"",IFERROR(LOOKUP(2,1/((Budgets!$A$2:$A$200=AY$1)*(Budgets!$B$2:$B$200&lt;=$A64)),Budgets!$C$2:$C$200),0))</f>
        <v/>
      </c>
      <c r="AZ64" s="88">
        <f>IF(OR(AZ$1="",$BE64=0),"",IFERROR(LOOKUP(2,1/((Budgets!$A$2:$A$200=AZ$1)*(Budgets!$B$2:$B$200&lt;=$A64)),Budgets!$C$2:$C$200),0))</f>
        <v/>
      </c>
      <c r="BA64" s="88">
        <f>IF(OR(BA$1="",$BE64=0),"",IFERROR(LOOKUP(2,1/((Budgets!$A$2:$A$200=BA$1)*(Budgets!$B$2:$B$200&lt;=$A64)),Budgets!$C$2:$C$200),0))</f>
        <v/>
      </c>
      <c r="BB64" s="88">
        <f>IF(OR(BB$1="",$BE64=0),"",IFERROR(LOOKUP(2,1/((Budgets!$A$2:$A$200=BB$1)*(Budgets!$B$2:$B$200&lt;=$A64)),Budgets!$C$2:$C$200),0))</f>
        <v/>
      </c>
      <c r="BC64" s="88">
        <f>IF(OR(BC$1="",$BE64=0),"",IFERROR(LOOKUP(2,1/((Budgets!$A$2:$A$200=BC$1)*(Budgets!$B$2:$B$200&lt;=$A64)),Budgets!$C$2:$C$200),0))</f>
        <v/>
      </c>
      <c r="BE64" s="67">
        <f>COUNTIFS(Entries!$A$2:$A$5000,$A64)</f>
        <v/>
      </c>
    </row>
    <row r="65" ht="15" customHeight="1" s="43">
      <c r="A65" s="87" t="n">
        <v>41365</v>
      </c>
      <c r="B65" s="88">
        <f>IF($BE65=0,NA(),SUMIFS(Entries!$D$2:$D$5000,Entries!$C$2:$C$5000,"Income",Entries!$A$2:$A$5000,$A65))</f>
        <v/>
      </c>
      <c r="C65" s="88">
        <f>IF($BE65=0,"",SUMIFS(Entries!$D$2:$D$5000,Entries!$C$2:$C$5000,"Actual",Entries!$A$2:$A$5000,$A65))</f>
        <v/>
      </c>
      <c r="D65" s="88">
        <f>IF($BE65=0,"",SUMIFS(Entries!$D$2:$D$5000,Entries!$C$2:$C$5000,"One-off",Entries!$A$2:$A$5000,$A65))</f>
        <v/>
      </c>
      <c r="E65" s="88">
        <f>IF($BE65=0,NA(),C65+D65)</f>
        <v/>
      </c>
      <c r="F65" s="88">
        <f>IF($BE65=0,"",SUM(AJ65:BC65))</f>
        <v/>
      </c>
      <c r="G65" s="88">
        <f>IF($BE65=0,"",B65-E65)</f>
        <v/>
      </c>
      <c r="H65" s="88">
        <f>IF($BE65=0,"",SUM($G$2:G65))</f>
        <v/>
      </c>
      <c r="I65" s="88">
        <f>IF($BE65=0,"",SUMIFS(Entries!$F$2:$F$5000,Entries!$A$2:$A$5000,$A65))</f>
        <v/>
      </c>
      <c r="J65" s="88">
        <f>IF($BE65=0,NA(),H65+SUM($I$2:I65))</f>
        <v/>
      </c>
      <c r="K65" s="88">
        <f>IF($BE65=0,"",SUMIFS(Entries!$D$2:$D$5000,Entries!$C$2:$C$5000,"Income",Entries!$A$2:$A$5000,"&gt;="&amp;EDATE($A65,-11),Entries!$A$2:$A$5000,"&lt;="&amp;$A65)/12)</f>
        <v/>
      </c>
      <c r="L65" s="88">
        <f>IF($BE65=0,"",(SUMIFS(Entries!$D$2:$D$5000,Entries!$C$2:$C$5000,"Actual",Entries!$A$2:$A$5000,"&gt;="&amp;EDATE($A65,-11),Entries!$A$2:$A$5000,"&lt;="&amp;$A65)+SUMIFS(Entries!$D$2:$D$5000,Entries!$C$2:$C$5000,"One-off",Entries!$A$2:$A$5000,"&gt;="&amp;EDATE($A65,-11),Entries!$A$2:$A$5000,"&lt;="&amp;$A65))/12)</f>
        <v/>
      </c>
      <c r="M65" s="70">
        <f>IF($BE65=0,NA(),IFERROR((K65-L65)/K65,0))</f>
        <v/>
      </c>
      <c r="O65" s="88">
        <f>IF(OR(O$1="",$BE65=0),"",SUMIFS(Entries!$D$2:$D$5000,Entries!$C$2:$C$5000,"Actual",Entries!$A$2:$A$5000,$A65,Entries!$B$2:$B$5000,O$1))</f>
        <v/>
      </c>
      <c r="P65" s="88">
        <f>IF(OR(P$1="",$BE65=0),"",SUMIFS(Entries!$D$2:$D$5000,Entries!$C$2:$C$5000,"Actual",Entries!$A$2:$A$5000,$A65,Entries!$B$2:$B$5000,P$1))</f>
        <v/>
      </c>
      <c r="Q65" s="88">
        <f>IF(OR(Q$1="",$BE65=0),"",SUMIFS(Entries!$D$2:$D$5000,Entries!$C$2:$C$5000,"Actual",Entries!$A$2:$A$5000,$A65,Entries!$B$2:$B$5000,Q$1))</f>
        <v/>
      </c>
      <c r="R65" s="88">
        <f>IF(OR(R$1="",$BE65=0),"",SUMIFS(Entries!$D$2:$D$5000,Entries!$C$2:$C$5000,"Actual",Entries!$A$2:$A$5000,$A65,Entries!$B$2:$B$5000,R$1))</f>
        <v/>
      </c>
      <c r="S65" s="88">
        <f>IF(OR(S$1="",$BE65=0),"",SUMIFS(Entries!$D$2:$D$5000,Entries!$C$2:$C$5000,"Actual",Entries!$A$2:$A$5000,$A65,Entries!$B$2:$B$5000,S$1))</f>
        <v/>
      </c>
      <c r="T65" s="88">
        <f>IF(OR(T$1="",$BE65=0),"",SUMIFS(Entries!$D$2:$D$5000,Entries!$C$2:$C$5000,"Actual",Entries!$A$2:$A$5000,$A65,Entries!$B$2:$B$5000,T$1))</f>
        <v/>
      </c>
      <c r="U65" s="88">
        <f>IF(OR(U$1="",$BE65=0),"",SUMIFS(Entries!$D$2:$D$5000,Entries!$C$2:$C$5000,"Actual",Entries!$A$2:$A$5000,$A65,Entries!$B$2:$B$5000,U$1))</f>
        <v/>
      </c>
      <c r="V65" s="88">
        <f>IF(OR(V$1="",$BE65=0),"",SUMIFS(Entries!$D$2:$D$5000,Entries!$C$2:$C$5000,"Actual",Entries!$A$2:$A$5000,$A65,Entries!$B$2:$B$5000,V$1))</f>
        <v/>
      </c>
      <c r="W65" s="88">
        <f>IF(OR(W$1="",$BE65=0),"",SUMIFS(Entries!$D$2:$D$5000,Entries!$C$2:$C$5000,"Actual",Entries!$A$2:$A$5000,$A65,Entries!$B$2:$B$5000,W$1))</f>
        <v/>
      </c>
      <c r="X65" s="88">
        <f>IF(OR(X$1="",$BE65=0),"",SUMIFS(Entries!$D$2:$D$5000,Entries!$C$2:$C$5000,"Actual",Entries!$A$2:$A$5000,$A65,Entries!$B$2:$B$5000,X$1))</f>
        <v/>
      </c>
      <c r="Y65" s="88">
        <f>IF(OR(Y$1="",$BE65=0),"",SUMIFS(Entries!$D$2:$D$5000,Entries!$C$2:$C$5000,"Actual",Entries!$A$2:$A$5000,$A65,Entries!$B$2:$B$5000,Y$1))</f>
        <v/>
      </c>
      <c r="Z65" s="88">
        <f>IF(OR(Z$1="",$BE65=0),"",SUMIFS(Entries!$D$2:$D$5000,Entries!$C$2:$C$5000,"Actual",Entries!$A$2:$A$5000,$A65,Entries!$B$2:$B$5000,Z$1))</f>
        <v/>
      </c>
      <c r="AA65" s="88">
        <f>IF(OR(AA$1="",$BE65=0),"",SUMIFS(Entries!$D$2:$D$5000,Entries!$C$2:$C$5000,"Actual",Entries!$A$2:$A$5000,$A65,Entries!$B$2:$B$5000,AA$1))</f>
        <v/>
      </c>
      <c r="AB65" s="88">
        <f>IF(OR(AB$1="",$BE65=0),"",SUMIFS(Entries!$D$2:$D$5000,Entries!$C$2:$C$5000,"Actual",Entries!$A$2:$A$5000,$A65,Entries!$B$2:$B$5000,AB$1))</f>
        <v/>
      </c>
      <c r="AC65" s="88">
        <f>IF(OR(AC$1="",$BE65=0),"",SUMIFS(Entries!$D$2:$D$5000,Entries!$C$2:$C$5000,"Actual",Entries!$A$2:$A$5000,$A65,Entries!$B$2:$B$5000,AC$1))</f>
        <v/>
      </c>
      <c r="AD65" s="88">
        <f>IF(OR(AD$1="",$BE65=0),"",SUMIFS(Entries!$D$2:$D$5000,Entries!$C$2:$C$5000,"Actual",Entries!$A$2:$A$5000,$A65,Entries!$B$2:$B$5000,AD$1))</f>
        <v/>
      </c>
      <c r="AE65" s="88">
        <f>IF(OR(AE$1="",$BE65=0),"",SUMIFS(Entries!$D$2:$D$5000,Entries!$C$2:$C$5000,"Actual",Entries!$A$2:$A$5000,$A65,Entries!$B$2:$B$5000,AE$1))</f>
        <v/>
      </c>
      <c r="AF65" s="88">
        <f>IF(OR(AF$1="",$BE65=0),"",SUMIFS(Entries!$D$2:$D$5000,Entries!$C$2:$C$5000,"Actual",Entries!$A$2:$A$5000,$A65,Entries!$B$2:$B$5000,AF$1))</f>
        <v/>
      </c>
      <c r="AG65" s="88">
        <f>IF(OR(AG$1="",$BE65=0),"",SUMIFS(Entries!$D$2:$D$5000,Entries!$C$2:$C$5000,"Actual",Entries!$A$2:$A$5000,$A65,Entries!$B$2:$B$5000,AG$1))</f>
        <v/>
      </c>
      <c r="AH65" s="88">
        <f>IF(OR(AH$1="",$BE65=0),"",SUMIFS(Entries!$D$2:$D$5000,Entries!$C$2:$C$5000,"Actual",Entries!$A$2:$A$5000,$A65,Entries!$B$2:$B$5000,AH$1))</f>
        <v/>
      </c>
      <c r="AJ65" s="88">
        <f>IF(OR(AJ$1="",$BE65=0),"",IFERROR(LOOKUP(2,1/((Budgets!$A$2:$A$200=AJ$1)*(Budgets!$B$2:$B$200&lt;=$A65)),Budgets!$C$2:$C$200),0))</f>
        <v/>
      </c>
      <c r="AK65" s="88">
        <f>IF(OR(AK$1="",$BE65=0),"",IFERROR(LOOKUP(2,1/((Budgets!$A$2:$A$200=AK$1)*(Budgets!$B$2:$B$200&lt;=$A65)),Budgets!$C$2:$C$200),0))</f>
        <v/>
      </c>
      <c r="AL65" s="88">
        <f>IF(OR(AL$1="",$BE65=0),"",IFERROR(LOOKUP(2,1/((Budgets!$A$2:$A$200=AL$1)*(Budgets!$B$2:$B$200&lt;=$A65)),Budgets!$C$2:$C$200),0))</f>
        <v/>
      </c>
      <c r="AM65" s="88">
        <f>IF(OR(AM$1="",$BE65=0),"",IFERROR(LOOKUP(2,1/((Budgets!$A$2:$A$200=AM$1)*(Budgets!$B$2:$B$200&lt;=$A65)),Budgets!$C$2:$C$200),0))</f>
        <v/>
      </c>
      <c r="AN65" s="88">
        <f>IF(OR(AN$1="",$BE65=0),"",IFERROR(LOOKUP(2,1/((Budgets!$A$2:$A$200=AN$1)*(Budgets!$B$2:$B$200&lt;=$A65)),Budgets!$C$2:$C$200),0))</f>
        <v/>
      </c>
      <c r="AO65" s="88">
        <f>IF(OR(AO$1="",$BE65=0),"",IFERROR(LOOKUP(2,1/((Budgets!$A$2:$A$200=AO$1)*(Budgets!$B$2:$B$200&lt;=$A65)),Budgets!$C$2:$C$200),0))</f>
        <v/>
      </c>
      <c r="AP65" s="88">
        <f>IF(OR(AP$1="",$BE65=0),"",IFERROR(LOOKUP(2,1/((Budgets!$A$2:$A$200=AP$1)*(Budgets!$B$2:$B$200&lt;=$A65)),Budgets!$C$2:$C$200),0))</f>
        <v/>
      </c>
      <c r="AQ65" s="88">
        <f>IF(OR(AQ$1="",$BE65=0),"",IFERROR(LOOKUP(2,1/((Budgets!$A$2:$A$200=AQ$1)*(Budgets!$B$2:$B$200&lt;=$A65)),Budgets!$C$2:$C$200),0))</f>
        <v/>
      </c>
      <c r="AR65" s="88">
        <f>IF(OR(AR$1="",$BE65=0),"",IFERROR(LOOKUP(2,1/((Budgets!$A$2:$A$200=AR$1)*(Budgets!$B$2:$B$200&lt;=$A65)),Budgets!$C$2:$C$200),0))</f>
        <v/>
      </c>
      <c r="AS65" s="88">
        <f>IF(OR(AS$1="",$BE65=0),"",IFERROR(LOOKUP(2,1/((Budgets!$A$2:$A$200=AS$1)*(Budgets!$B$2:$B$200&lt;=$A65)),Budgets!$C$2:$C$200),0))</f>
        <v/>
      </c>
      <c r="AT65" s="88">
        <f>IF(OR(AT$1="",$BE65=0),"",IFERROR(LOOKUP(2,1/((Budgets!$A$2:$A$200=AT$1)*(Budgets!$B$2:$B$200&lt;=$A65)),Budgets!$C$2:$C$200),0))</f>
        <v/>
      </c>
      <c r="AU65" s="88">
        <f>IF(OR(AU$1="",$BE65=0),"",IFERROR(LOOKUP(2,1/((Budgets!$A$2:$A$200=AU$1)*(Budgets!$B$2:$B$200&lt;=$A65)),Budgets!$C$2:$C$200),0))</f>
        <v/>
      </c>
      <c r="AV65" s="88">
        <f>IF(OR(AV$1="",$BE65=0),"",IFERROR(LOOKUP(2,1/((Budgets!$A$2:$A$200=AV$1)*(Budgets!$B$2:$B$200&lt;=$A65)),Budgets!$C$2:$C$200),0))</f>
        <v/>
      </c>
      <c r="AW65" s="88">
        <f>IF(OR(AW$1="",$BE65=0),"",IFERROR(LOOKUP(2,1/((Budgets!$A$2:$A$200=AW$1)*(Budgets!$B$2:$B$200&lt;=$A65)),Budgets!$C$2:$C$200),0))</f>
        <v/>
      </c>
      <c r="AX65" s="88">
        <f>IF(OR(AX$1="",$BE65=0),"",IFERROR(LOOKUP(2,1/((Budgets!$A$2:$A$200=AX$1)*(Budgets!$B$2:$B$200&lt;=$A65)),Budgets!$C$2:$C$200),0))</f>
        <v/>
      </c>
      <c r="AY65" s="88">
        <f>IF(OR(AY$1="",$BE65=0),"",IFERROR(LOOKUP(2,1/((Budgets!$A$2:$A$200=AY$1)*(Budgets!$B$2:$B$200&lt;=$A65)),Budgets!$C$2:$C$200),0))</f>
        <v/>
      </c>
      <c r="AZ65" s="88">
        <f>IF(OR(AZ$1="",$BE65=0),"",IFERROR(LOOKUP(2,1/((Budgets!$A$2:$A$200=AZ$1)*(Budgets!$B$2:$B$200&lt;=$A65)),Budgets!$C$2:$C$200),0))</f>
        <v/>
      </c>
      <c r="BA65" s="88">
        <f>IF(OR(BA$1="",$BE65=0),"",IFERROR(LOOKUP(2,1/((Budgets!$A$2:$A$200=BA$1)*(Budgets!$B$2:$B$200&lt;=$A65)),Budgets!$C$2:$C$200),0))</f>
        <v/>
      </c>
      <c r="BB65" s="88">
        <f>IF(OR(BB$1="",$BE65=0),"",IFERROR(LOOKUP(2,1/((Budgets!$A$2:$A$200=BB$1)*(Budgets!$B$2:$B$200&lt;=$A65)),Budgets!$C$2:$C$200),0))</f>
        <v/>
      </c>
      <c r="BC65" s="88">
        <f>IF(OR(BC$1="",$BE65=0),"",IFERROR(LOOKUP(2,1/((Budgets!$A$2:$A$200=BC$1)*(Budgets!$B$2:$B$200&lt;=$A65)),Budgets!$C$2:$C$200),0))</f>
        <v/>
      </c>
      <c r="BE65" s="67">
        <f>COUNTIFS(Entries!$A$2:$A$5000,$A65)</f>
        <v/>
      </c>
    </row>
    <row r="66" ht="15" customHeight="1" s="43">
      <c r="A66" s="87" t="n">
        <v>41395</v>
      </c>
      <c r="B66" s="88">
        <f>IF($BE66=0,NA(),SUMIFS(Entries!$D$2:$D$5000,Entries!$C$2:$C$5000,"Income",Entries!$A$2:$A$5000,$A66))</f>
        <v/>
      </c>
      <c r="C66" s="88">
        <f>IF($BE66=0,"",SUMIFS(Entries!$D$2:$D$5000,Entries!$C$2:$C$5000,"Actual",Entries!$A$2:$A$5000,$A66))</f>
        <v/>
      </c>
      <c r="D66" s="88">
        <f>IF($BE66=0,"",SUMIFS(Entries!$D$2:$D$5000,Entries!$C$2:$C$5000,"One-off",Entries!$A$2:$A$5000,$A66))</f>
        <v/>
      </c>
      <c r="E66" s="88">
        <f>IF($BE66=0,NA(),C66+D66)</f>
        <v/>
      </c>
      <c r="F66" s="88">
        <f>IF($BE66=0,"",SUM(AJ66:BC66))</f>
        <v/>
      </c>
      <c r="G66" s="88">
        <f>IF($BE66=0,"",B66-E66)</f>
        <v/>
      </c>
      <c r="H66" s="88">
        <f>IF($BE66=0,"",SUM($G$2:G66))</f>
        <v/>
      </c>
      <c r="I66" s="88">
        <f>IF($BE66=0,"",SUMIFS(Entries!$F$2:$F$5000,Entries!$A$2:$A$5000,$A66))</f>
        <v/>
      </c>
      <c r="J66" s="88">
        <f>IF($BE66=0,NA(),H66+SUM($I$2:I66))</f>
        <v/>
      </c>
      <c r="K66" s="88">
        <f>IF($BE66=0,"",SUMIFS(Entries!$D$2:$D$5000,Entries!$C$2:$C$5000,"Income",Entries!$A$2:$A$5000,"&gt;="&amp;EDATE($A66,-11),Entries!$A$2:$A$5000,"&lt;="&amp;$A66)/12)</f>
        <v/>
      </c>
      <c r="L66" s="88">
        <f>IF($BE66=0,"",(SUMIFS(Entries!$D$2:$D$5000,Entries!$C$2:$C$5000,"Actual",Entries!$A$2:$A$5000,"&gt;="&amp;EDATE($A66,-11),Entries!$A$2:$A$5000,"&lt;="&amp;$A66)+SUMIFS(Entries!$D$2:$D$5000,Entries!$C$2:$C$5000,"One-off",Entries!$A$2:$A$5000,"&gt;="&amp;EDATE($A66,-11),Entries!$A$2:$A$5000,"&lt;="&amp;$A66))/12)</f>
        <v/>
      </c>
      <c r="M66" s="70">
        <f>IF($BE66=0,NA(),IFERROR((K66-L66)/K66,0))</f>
        <v/>
      </c>
      <c r="O66" s="88">
        <f>IF(OR(O$1="",$BE66=0),"",SUMIFS(Entries!$D$2:$D$5000,Entries!$C$2:$C$5000,"Actual",Entries!$A$2:$A$5000,$A66,Entries!$B$2:$B$5000,O$1))</f>
        <v/>
      </c>
      <c r="P66" s="88">
        <f>IF(OR(P$1="",$BE66=0),"",SUMIFS(Entries!$D$2:$D$5000,Entries!$C$2:$C$5000,"Actual",Entries!$A$2:$A$5000,$A66,Entries!$B$2:$B$5000,P$1))</f>
        <v/>
      </c>
      <c r="Q66" s="88">
        <f>IF(OR(Q$1="",$BE66=0),"",SUMIFS(Entries!$D$2:$D$5000,Entries!$C$2:$C$5000,"Actual",Entries!$A$2:$A$5000,$A66,Entries!$B$2:$B$5000,Q$1))</f>
        <v/>
      </c>
      <c r="R66" s="88">
        <f>IF(OR(R$1="",$BE66=0),"",SUMIFS(Entries!$D$2:$D$5000,Entries!$C$2:$C$5000,"Actual",Entries!$A$2:$A$5000,$A66,Entries!$B$2:$B$5000,R$1))</f>
        <v/>
      </c>
      <c r="S66" s="88">
        <f>IF(OR(S$1="",$BE66=0),"",SUMIFS(Entries!$D$2:$D$5000,Entries!$C$2:$C$5000,"Actual",Entries!$A$2:$A$5000,$A66,Entries!$B$2:$B$5000,S$1))</f>
        <v/>
      </c>
      <c r="T66" s="88">
        <f>IF(OR(T$1="",$BE66=0),"",SUMIFS(Entries!$D$2:$D$5000,Entries!$C$2:$C$5000,"Actual",Entries!$A$2:$A$5000,$A66,Entries!$B$2:$B$5000,T$1))</f>
        <v/>
      </c>
      <c r="U66" s="88">
        <f>IF(OR(U$1="",$BE66=0),"",SUMIFS(Entries!$D$2:$D$5000,Entries!$C$2:$C$5000,"Actual",Entries!$A$2:$A$5000,$A66,Entries!$B$2:$B$5000,U$1))</f>
        <v/>
      </c>
      <c r="V66" s="88">
        <f>IF(OR(V$1="",$BE66=0),"",SUMIFS(Entries!$D$2:$D$5000,Entries!$C$2:$C$5000,"Actual",Entries!$A$2:$A$5000,$A66,Entries!$B$2:$B$5000,V$1))</f>
        <v/>
      </c>
      <c r="W66" s="88">
        <f>IF(OR(W$1="",$BE66=0),"",SUMIFS(Entries!$D$2:$D$5000,Entries!$C$2:$C$5000,"Actual",Entries!$A$2:$A$5000,$A66,Entries!$B$2:$B$5000,W$1))</f>
        <v/>
      </c>
      <c r="X66" s="88">
        <f>IF(OR(X$1="",$BE66=0),"",SUMIFS(Entries!$D$2:$D$5000,Entries!$C$2:$C$5000,"Actual",Entries!$A$2:$A$5000,$A66,Entries!$B$2:$B$5000,X$1))</f>
        <v/>
      </c>
      <c r="Y66" s="88">
        <f>IF(OR(Y$1="",$BE66=0),"",SUMIFS(Entries!$D$2:$D$5000,Entries!$C$2:$C$5000,"Actual",Entries!$A$2:$A$5000,$A66,Entries!$B$2:$B$5000,Y$1))</f>
        <v/>
      </c>
      <c r="Z66" s="88">
        <f>IF(OR(Z$1="",$BE66=0),"",SUMIFS(Entries!$D$2:$D$5000,Entries!$C$2:$C$5000,"Actual",Entries!$A$2:$A$5000,$A66,Entries!$B$2:$B$5000,Z$1))</f>
        <v/>
      </c>
      <c r="AA66" s="88">
        <f>IF(OR(AA$1="",$BE66=0),"",SUMIFS(Entries!$D$2:$D$5000,Entries!$C$2:$C$5000,"Actual",Entries!$A$2:$A$5000,$A66,Entries!$B$2:$B$5000,AA$1))</f>
        <v/>
      </c>
      <c r="AB66" s="88">
        <f>IF(OR(AB$1="",$BE66=0),"",SUMIFS(Entries!$D$2:$D$5000,Entries!$C$2:$C$5000,"Actual",Entries!$A$2:$A$5000,$A66,Entries!$B$2:$B$5000,AB$1))</f>
        <v/>
      </c>
      <c r="AC66" s="88">
        <f>IF(OR(AC$1="",$BE66=0),"",SUMIFS(Entries!$D$2:$D$5000,Entries!$C$2:$C$5000,"Actual",Entries!$A$2:$A$5000,$A66,Entries!$B$2:$B$5000,AC$1))</f>
        <v/>
      </c>
      <c r="AD66" s="88">
        <f>IF(OR(AD$1="",$BE66=0),"",SUMIFS(Entries!$D$2:$D$5000,Entries!$C$2:$C$5000,"Actual",Entries!$A$2:$A$5000,$A66,Entries!$B$2:$B$5000,AD$1))</f>
        <v/>
      </c>
      <c r="AE66" s="88">
        <f>IF(OR(AE$1="",$BE66=0),"",SUMIFS(Entries!$D$2:$D$5000,Entries!$C$2:$C$5000,"Actual",Entries!$A$2:$A$5000,$A66,Entries!$B$2:$B$5000,AE$1))</f>
        <v/>
      </c>
      <c r="AF66" s="88">
        <f>IF(OR(AF$1="",$BE66=0),"",SUMIFS(Entries!$D$2:$D$5000,Entries!$C$2:$C$5000,"Actual",Entries!$A$2:$A$5000,$A66,Entries!$B$2:$B$5000,AF$1))</f>
        <v/>
      </c>
      <c r="AG66" s="88">
        <f>IF(OR(AG$1="",$BE66=0),"",SUMIFS(Entries!$D$2:$D$5000,Entries!$C$2:$C$5000,"Actual",Entries!$A$2:$A$5000,$A66,Entries!$B$2:$B$5000,AG$1))</f>
        <v/>
      </c>
      <c r="AH66" s="88">
        <f>IF(OR(AH$1="",$BE66=0),"",SUMIFS(Entries!$D$2:$D$5000,Entries!$C$2:$C$5000,"Actual",Entries!$A$2:$A$5000,$A66,Entries!$B$2:$B$5000,AH$1))</f>
        <v/>
      </c>
      <c r="AJ66" s="88">
        <f>IF(OR(AJ$1="",$BE66=0),"",IFERROR(LOOKUP(2,1/((Budgets!$A$2:$A$200=AJ$1)*(Budgets!$B$2:$B$200&lt;=$A66)),Budgets!$C$2:$C$200),0))</f>
        <v/>
      </c>
      <c r="AK66" s="88">
        <f>IF(OR(AK$1="",$BE66=0),"",IFERROR(LOOKUP(2,1/((Budgets!$A$2:$A$200=AK$1)*(Budgets!$B$2:$B$200&lt;=$A66)),Budgets!$C$2:$C$200),0))</f>
        <v/>
      </c>
      <c r="AL66" s="88">
        <f>IF(OR(AL$1="",$BE66=0),"",IFERROR(LOOKUP(2,1/((Budgets!$A$2:$A$200=AL$1)*(Budgets!$B$2:$B$200&lt;=$A66)),Budgets!$C$2:$C$200),0))</f>
        <v/>
      </c>
      <c r="AM66" s="88">
        <f>IF(OR(AM$1="",$BE66=0),"",IFERROR(LOOKUP(2,1/((Budgets!$A$2:$A$200=AM$1)*(Budgets!$B$2:$B$200&lt;=$A66)),Budgets!$C$2:$C$200),0))</f>
        <v/>
      </c>
      <c r="AN66" s="88">
        <f>IF(OR(AN$1="",$BE66=0),"",IFERROR(LOOKUP(2,1/((Budgets!$A$2:$A$200=AN$1)*(Budgets!$B$2:$B$200&lt;=$A66)),Budgets!$C$2:$C$200),0))</f>
        <v/>
      </c>
      <c r="AO66" s="88">
        <f>IF(OR(AO$1="",$BE66=0),"",IFERROR(LOOKUP(2,1/((Budgets!$A$2:$A$200=AO$1)*(Budgets!$B$2:$B$200&lt;=$A66)),Budgets!$C$2:$C$200),0))</f>
        <v/>
      </c>
      <c r="AP66" s="88">
        <f>IF(OR(AP$1="",$BE66=0),"",IFERROR(LOOKUP(2,1/((Budgets!$A$2:$A$200=AP$1)*(Budgets!$B$2:$B$200&lt;=$A66)),Budgets!$C$2:$C$200),0))</f>
        <v/>
      </c>
      <c r="AQ66" s="88">
        <f>IF(OR(AQ$1="",$BE66=0),"",IFERROR(LOOKUP(2,1/((Budgets!$A$2:$A$200=AQ$1)*(Budgets!$B$2:$B$200&lt;=$A66)),Budgets!$C$2:$C$200),0))</f>
        <v/>
      </c>
      <c r="AR66" s="88">
        <f>IF(OR(AR$1="",$BE66=0),"",IFERROR(LOOKUP(2,1/((Budgets!$A$2:$A$200=AR$1)*(Budgets!$B$2:$B$200&lt;=$A66)),Budgets!$C$2:$C$200),0))</f>
        <v/>
      </c>
      <c r="AS66" s="88">
        <f>IF(OR(AS$1="",$BE66=0),"",IFERROR(LOOKUP(2,1/((Budgets!$A$2:$A$200=AS$1)*(Budgets!$B$2:$B$200&lt;=$A66)),Budgets!$C$2:$C$200),0))</f>
        <v/>
      </c>
      <c r="AT66" s="88">
        <f>IF(OR(AT$1="",$BE66=0),"",IFERROR(LOOKUP(2,1/((Budgets!$A$2:$A$200=AT$1)*(Budgets!$B$2:$B$200&lt;=$A66)),Budgets!$C$2:$C$200),0))</f>
        <v/>
      </c>
      <c r="AU66" s="88">
        <f>IF(OR(AU$1="",$BE66=0),"",IFERROR(LOOKUP(2,1/((Budgets!$A$2:$A$200=AU$1)*(Budgets!$B$2:$B$200&lt;=$A66)),Budgets!$C$2:$C$200),0))</f>
        <v/>
      </c>
      <c r="AV66" s="88">
        <f>IF(OR(AV$1="",$BE66=0),"",IFERROR(LOOKUP(2,1/((Budgets!$A$2:$A$200=AV$1)*(Budgets!$B$2:$B$200&lt;=$A66)),Budgets!$C$2:$C$200),0))</f>
        <v/>
      </c>
      <c r="AW66" s="88">
        <f>IF(OR(AW$1="",$BE66=0),"",IFERROR(LOOKUP(2,1/((Budgets!$A$2:$A$200=AW$1)*(Budgets!$B$2:$B$200&lt;=$A66)),Budgets!$C$2:$C$200),0))</f>
        <v/>
      </c>
      <c r="AX66" s="88">
        <f>IF(OR(AX$1="",$BE66=0),"",IFERROR(LOOKUP(2,1/((Budgets!$A$2:$A$200=AX$1)*(Budgets!$B$2:$B$200&lt;=$A66)),Budgets!$C$2:$C$200),0))</f>
        <v/>
      </c>
      <c r="AY66" s="88">
        <f>IF(OR(AY$1="",$BE66=0),"",IFERROR(LOOKUP(2,1/((Budgets!$A$2:$A$200=AY$1)*(Budgets!$B$2:$B$200&lt;=$A66)),Budgets!$C$2:$C$200),0))</f>
        <v/>
      </c>
      <c r="AZ66" s="88">
        <f>IF(OR(AZ$1="",$BE66=0),"",IFERROR(LOOKUP(2,1/((Budgets!$A$2:$A$200=AZ$1)*(Budgets!$B$2:$B$200&lt;=$A66)),Budgets!$C$2:$C$200),0))</f>
        <v/>
      </c>
      <c r="BA66" s="88">
        <f>IF(OR(BA$1="",$BE66=0),"",IFERROR(LOOKUP(2,1/((Budgets!$A$2:$A$200=BA$1)*(Budgets!$B$2:$B$200&lt;=$A66)),Budgets!$C$2:$C$200),0))</f>
        <v/>
      </c>
      <c r="BB66" s="88">
        <f>IF(OR(BB$1="",$BE66=0),"",IFERROR(LOOKUP(2,1/((Budgets!$A$2:$A$200=BB$1)*(Budgets!$B$2:$B$200&lt;=$A66)),Budgets!$C$2:$C$200),0))</f>
        <v/>
      </c>
      <c r="BC66" s="88">
        <f>IF(OR(BC$1="",$BE66=0),"",IFERROR(LOOKUP(2,1/((Budgets!$A$2:$A$200=BC$1)*(Budgets!$B$2:$B$200&lt;=$A66)),Budgets!$C$2:$C$200),0))</f>
        <v/>
      </c>
      <c r="BE66" s="67">
        <f>COUNTIFS(Entries!$A$2:$A$5000,$A66)</f>
        <v/>
      </c>
    </row>
    <row r="67" ht="15" customHeight="1" s="43">
      <c r="A67" s="87" t="n">
        <v>41426</v>
      </c>
      <c r="B67" s="88">
        <f>IF($BE67=0,NA(),SUMIFS(Entries!$D$2:$D$5000,Entries!$C$2:$C$5000,"Income",Entries!$A$2:$A$5000,$A67))</f>
        <v/>
      </c>
      <c r="C67" s="88">
        <f>IF($BE67=0,"",SUMIFS(Entries!$D$2:$D$5000,Entries!$C$2:$C$5000,"Actual",Entries!$A$2:$A$5000,$A67))</f>
        <v/>
      </c>
      <c r="D67" s="88">
        <f>IF($BE67=0,"",SUMIFS(Entries!$D$2:$D$5000,Entries!$C$2:$C$5000,"One-off",Entries!$A$2:$A$5000,$A67))</f>
        <v/>
      </c>
      <c r="E67" s="88">
        <f>IF($BE67=0,NA(),C67+D67)</f>
        <v/>
      </c>
      <c r="F67" s="88">
        <f>IF($BE67=0,"",SUM(AJ67:BC67))</f>
        <v/>
      </c>
      <c r="G67" s="88">
        <f>IF($BE67=0,"",B67-E67)</f>
        <v/>
      </c>
      <c r="H67" s="88">
        <f>IF($BE67=0,"",SUM($G$2:G67))</f>
        <v/>
      </c>
      <c r="I67" s="88">
        <f>IF($BE67=0,"",SUMIFS(Entries!$F$2:$F$5000,Entries!$A$2:$A$5000,$A67))</f>
        <v/>
      </c>
      <c r="J67" s="88">
        <f>IF($BE67=0,NA(),H67+SUM($I$2:I67))</f>
        <v/>
      </c>
      <c r="K67" s="88">
        <f>IF($BE67=0,"",SUMIFS(Entries!$D$2:$D$5000,Entries!$C$2:$C$5000,"Income",Entries!$A$2:$A$5000,"&gt;="&amp;EDATE($A67,-11),Entries!$A$2:$A$5000,"&lt;="&amp;$A67)/12)</f>
        <v/>
      </c>
      <c r="L67" s="88">
        <f>IF($BE67=0,"",(SUMIFS(Entries!$D$2:$D$5000,Entries!$C$2:$C$5000,"Actual",Entries!$A$2:$A$5000,"&gt;="&amp;EDATE($A67,-11),Entries!$A$2:$A$5000,"&lt;="&amp;$A67)+SUMIFS(Entries!$D$2:$D$5000,Entries!$C$2:$C$5000,"One-off",Entries!$A$2:$A$5000,"&gt;="&amp;EDATE($A67,-11),Entries!$A$2:$A$5000,"&lt;="&amp;$A67))/12)</f>
        <v/>
      </c>
      <c r="M67" s="70">
        <f>IF($BE67=0,NA(),IFERROR((K67-L67)/K67,0))</f>
        <v/>
      </c>
      <c r="O67" s="88">
        <f>IF(OR(O$1="",$BE67=0),"",SUMIFS(Entries!$D$2:$D$5000,Entries!$C$2:$C$5000,"Actual",Entries!$A$2:$A$5000,$A67,Entries!$B$2:$B$5000,O$1))</f>
        <v/>
      </c>
      <c r="P67" s="88">
        <f>IF(OR(P$1="",$BE67=0),"",SUMIFS(Entries!$D$2:$D$5000,Entries!$C$2:$C$5000,"Actual",Entries!$A$2:$A$5000,$A67,Entries!$B$2:$B$5000,P$1))</f>
        <v/>
      </c>
      <c r="Q67" s="88">
        <f>IF(OR(Q$1="",$BE67=0),"",SUMIFS(Entries!$D$2:$D$5000,Entries!$C$2:$C$5000,"Actual",Entries!$A$2:$A$5000,$A67,Entries!$B$2:$B$5000,Q$1))</f>
        <v/>
      </c>
      <c r="R67" s="88">
        <f>IF(OR(R$1="",$BE67=0),"",SUMIFS(Entries!$D$2:$D$5000,Entries!$C$2:$C$5000,"Actual",Entries!$A$2:$A$5000,$A67,Entries!$B$2:$B$5000,R$1))</f>
        <v/>
      </c>
      <c r="S67" s="88">
        <f>IF(OR(S$1="",$BE67=0),"",SUMIFS(Entries!$D$2:$D$5000,Entries!$C$2:$C$5000,"Actual",Entries!$A$2:$A$5000,$A67,Entries!$B$2:$B$5000,S$1))</f>
        <v/>
      </c>
      <c r="T67" s="88">
        <f>IF(OR(T$1="",$BE67=0),"",SUMIFS(Entries!$D$2:$D$5000,Entries!$C$2:$C$5000,"Actual",Entries!$A$2:$A$5000,$A67,Entries!$B$2:$B$5000,T$1))</f>
        <v/>
      </c>
      <c r="U67" s="88">
        <f>IF(OR(U$1="",$BE67=0),"",SUMIFS(Entries!$D$2:$D$5000,Entries!$C$2:$C$5000,"Actual",Entries!$A$2:$A$5000,$A67,Entries!$B$2:$B$5000,U$1))</f>
        <v/>
      </c>
      <c r="V67" s="88">
        <f>IF(OR(V$1="",$BE67=0),"",SUMIFS(Entries!$D$2:$D$5000,Entries!$C$2:$C$5000,"Actual",Entries!$A$2:$A$5000,$A67,Entries!$B$2:$B$5000,V$1))</f>
        <v/>
      </c>
      <c r="W67" s="88">
        <f>IF(OR(W$1="",$BE67=0),"",SUMIFS(Entries!$D$2:$D$5000,Entries!$C$2:$C$5000,"Actual",Entries!$A$2:$A$5000,$A67,Entries!$B$2:$B$5000,W$1))</f>
        <v/>
      </c>
      <c r="X67" s="88">
        <f>IF(OR(X$1="",$BE67=0),"",SUMIFS(Entries!$D$2:$D$5000,Entries!$C$2:$C$5000,"Actual",Entries!$A$2:$A$5000,$A67,Entries!$B$2:$B$5000,X$1))</f>
        <v/>
      </c>
      <c r="Y67" s="88">
        <f>IF(OR(Y$1="",$BE67=0),"",SUMIFS(Entries!$D$2:$D$5000,Entries!$C$2:$C$5000,"Actual",Entries!$A$2:$A$5000,$A67,Entries!$B$2:$B$5000,Y$1))</f>
        <v/>
      </c>
      <c r="Z67" s="88">
        <f>IF(OR(Z$1="",$BE67=0),"",SUMIFS(Entries!$D$2:$D$5000,Entries!$C$2:$C$5000,"Actual",Entries!$A$2:$A$5000,$A67,Entries!$B$2:$B$5000,Z$1))</f>
        <v/>
      </c>
      <c r="AA67" s="88">
        <f>IF(OR(AA$1="",$BE67=0),"",SUMIFS(Entries!$D$2:$D$5000,Entries!$C$2:$C$5000,"Actual",Entries!$A$2:$A$5000,$A67,Entries!$B$2:$B$5000,AA$1))</f>
        <v/>
      </c>
      <c r="AB67" s="88">
        <f>IF(OR(AB$1="",$BE67=0),"",SUMIFS(Entries!$D$2:$D$5000,Entries!$C$2:$C$5000,"Actual",Entries!$A$2:$A$5000,$A67,Entries!$B$2:$B$5000,AB$1))</f>
        <v/>
      </c>
      <c r="AC67" s="88">
        <f>IF(OR(AC$1="",$BE67=0),"",SUMIFS(Entries!$D$2:$D$5000,Entries!$C$2:$C$5000,"Actual",Entries!$A$2:$A$5000,$A67,Entries!$B$2:$B$5000,AC$1))</f>
        <v/>
      </c>
      <c r="AD67" s="88">
        <f>IF(OR(AD$1="",$BE67=0),"",SUMIFS(Entries!$D$2:$D$5000,Entries!$C$2:$C$5000,"Actual",Entries!$A$2:$A$5000,$A67,Entries!$B$2:$B$5000,AD$1))</f>
        <v/>
      </c>
      <c r="AE67" s="88">
        <f>IF(OR(AE$1="",$BE67=0),"",SUMIFS(Entries!$D$2:$D$5000,Entries!$C$2:$C$5000,"Actual",Entries!$A$2:$A$5000,$A67,Entries!$B$2:$B$5000,AE$1))</f>
        <v/>
      </c>
      <c r="AF67" s="88">
        <f>IF(OR(AF$1="",$BE67=0),"",SUMIFS(Entries!$D$2:$D$5000,Entries!$C$2:$C$5000,"Actual",Entries!$A$2:$A$5000,$A67,Entries!$B$2:$B$5000,AF$1))</f>
        <v/>
      </c>
      <c r="AG67" s="88">
        <f>IF(OR(AG$1="",$BE67=0),"",SUMIFS(Entries!$D$2:$D$5000,Entries!$C$2:$C$5000,"Actual",Entries!$A$2:$A$5000,$A67,Entries!$B$2:$B$5000,AG$1))</f>
        <v/>
      </c>
      <c r="AH67" s="88">
        <f>IF(OR(AH$1="",$BE67=0),"",SUMIFS(Entries!$D$2:$D$5000,Entries!$C$2:$C$5000,"Actual",Entries!$A$2:$A$5000,$A67,Entries!$B$2:$B$5000,AH$1))</f>
        <v/>
      </c>
      <c r="AJ67" s="88">
        <f>IF(OR(AJ$1="",$BE67=0),"",IFERROR(LOOKUP(2,1/((Budgets!$A$2:$A$200=AJ$1)*(Budgets!$B$2:$B$200&lt;=$A67)),Budgets!$C$2:$C$200),0))</f>
        <v/>
      </c>
      <c r="AK67" s="88">
        <f>IF(OR(AK$1="",$BE67=0),"",IFERROR(LOOKUP(2,1/((Budgets!$A$2:$A$200=AK$1)*(Budgets!$B$2:$B$200&lt;=$A67)),Budgets!$C$2:$C$200),0))</f>
        <v/>
      </c>
      <c r="AL67" s="88">
        <f>IF(OR(AL$1="",$BE67=0),"",IFERROR(LOOKUP(2,1/((Budgets!$A$2:$A$200=AL$1)*(Budgets!$B$2:$B$200&lt;=$A67)),Budgets!$C$2:$C$200),0))</f>
        <v/>
      </c>
      <c r="AM67" s="88">
        <f>IF(OR(AM$1="",$BE67=0),"",IFERROR(LOOKUP(2,1/((Budgets!$A$2:$A$200=AM$1)*(Budgets!$B$2:$B$200&lt;=$A67)),Budgets!$C$2:$C$200),0))</f>
        <v/>
      </c>
      <c r="AN67" s="88">
        <f>IF(OR(AN$1="",$BE67=0),"",IFERROR(LOOKUP(2,1/((Budgets!$A$2:$A$200=AN$1)*(Budgets!$B$2:$B$200&lt;=$A67)),Budgets!$C$2:$C$200),0))</f>
        <v/>
      </c>
      <c r="AO67" s="88">
        <f>IF(OR(AO$1="",$BE67=0),"",IFERROR(LOOKUP(2,1/((Budgets!$A$2:$A$200=AO$1)*(Budgets!$B$2:$B$200&lt;=$A67)),Budgets!$C$2:$C$200),0))</f>
        <v/>
      </c>
      <c r="AP67" s="88">
        <f>IF(OR(AP$1="",$BE67=0),"",IFERROR(LOOKUP(2,1/((Budgets!$A$2:$A$200=AP$1)*(Budgets!$B$2:$B$200&lt;=$A67)),Budgets!$C$2:$C$200),0))</f>
        <v/>
      </c>
      <c r="AQ67" s="88">
        <f>IF(OR(AQ$1="",$BE67=0),"",IFERROR(LOOKUP(2,1/((Budgets!$A$2:$A$200=AQ$1)*(Budgets!$B$2:$B$200&lt;=$A67)),Budgets!$C$2:$C$200),0))</f>
        <v/>
      </c>
      <c r="AR67" s="88">
        <f>IF(OR(AR$1="",$BE67=0),"",IFERROR(LOOKUP(2,1/((Budgets!$A$2:$A$200=AR$1)*(Budgets!$B$2:$B$200&lt;=$A67)),Budgets!$C$2:$C$200),0))</f>
        <v/>
      </c>
      <c r="AS67" s="88">
        <f>IF(OR(AS$1="",$BE67=0),"",IFERROR(LOOKUP(2,1/((Budgets!$A$2:$A$200=AS$1)*(Budgets!$B$2:$B$200&lt;=$A67)),Budgets!$C$2:$C$200),0))</f>
        <v/>
      </c>
      <c r="AT67" s="88">
        <f>IF(OR(AT$1="",$BE67=0),"",IFERROR(LOOKUP(2,1/((Budgets!$A$2:$A$200=AT$1)*(Budgets!$B$2:$B$200&lt;=$A67)),Budgets!$C$2:$C$200),0))</f>
        <v/>
      </c>
      <c r="AU67" s="88">
        <f>IF(OR(AU$1="",$BE67=0),"",IFERROR(LOOKUP(2,1/((Budgets!$A$2:$A$200=AU$1)*(Budgets!$B$2:$B$200&lt;=$A67)),Budgets!$C$2:$C$200),0))</f>
        <v/>
      </c>
      <c r="AV67" s="88">
        <f>IF(OR(AV$1="",$BE67=0),"",IFERROR(LOOKUP(2,1/((Budgets!$A$2:$A$200=AV$1)*(Budgets!$B$2:$B$200&lt;=$A67)),Budgets!$C$2:$C$200),0))</f>
        <v/>
      </c>
      <c r="AW67" s="88">
        <f>IF(OR(AW$1="",$BE67=0),"",IFERROR(LOOKUP(2,1/((Budgets!$A$2:$A$200=AW$1)*(Budgets!$B$2:$B$200&lt;=$A67)),Budgets!$C$2:$C$200),0))</f>
        <v/>
      </c>
      <c r="AX67" s="88">
        <f>IF(OR(AX$1="",$BE67=0),"",IFERROR(LOOKUP(2,1/((Budgets!$A$2:$A$200=AX$1)*(Budgets!$B$2:$B$200&lt;=$A67)),Budgets!$C$2:$C$200),0))</f>
        <v/>
      </c>
      <c r="AY67" s="88">
        <f>IF(OR(AY$1="",$BE67=0),"",IFERROR(LOOKUP(2,1/((Budgets!$A$2:$A$200=AY$1)*(Budgets!$B$2:$B$200&lt;=$A67)),Budgets!$C$2:$C$200),0))</f>
        <v/>
      </c>
      <c r="AZ67" s="88">
        <f>IF(OR(AZ$1="",$BE67=0),"",IFERROR(LOOKUP(2,1/((Budgets!$A$2:$A$200=AZ$1)*(Budgets!$B$2:$B$200&lt;=$A67)),Budgets!$C$2:$C$200),0))</f>
        <v/>
      </c>
      <c r="BA67" s="88">
        <f>IF(OR(BA$1="",$BE67=0),"",IFERROR(LOOKUP(2,1/((Budgets!$A$2:$A$200=BA$1)*(Budgets!$B$2:$B$200&lt;=$A67)),Budgets!$C$2:$C$200),0))</f>
        <v/>
      </c>
      <c r="BB67" s="88">
        <f>IF(OR(BB$1="",$BE67=0),"",IFERROR(LOOKUP(2,1/((Budgets!$A$2:$A$200=BB$1)*(Budgets!$B$2:$B$200&lt;=$A67)),Budgets!$C$2:$C$200),0))</f>
        <v/>
      </c>
      <c r="BC67" s="88">
        <f>IF(OR(BC$1="",$BE67=0),"",IFERROR(LOOKUP(2,1/((Budgets!$A$2:$A$200=BC$1)*(Budgets!$B$2:$B$200&lt;=$A67)),Budgets!$C$2:$C$200),0))</f>
        <v/>
      </c>
      <c r="BE67" s="67">
        <f>COUNTIFS(Entries!$A$2:$A$5000,$A67)</f>
        <v/>
      </c>
    </row>
    <row r="68" ht="15" customHeight="1" s="43">
      <c r="A68" s="87" t="n">
        <v>41456</v>
      </c>
      <c r="B68" s="88">
        <f>IF($BE68=0,NA(),SUMIFS(Entries!$D$2:$D$5000,Entries!$C$2:$C$5000,"Income",Entries!$A$2:$A$5000,$A68))</f>
        <v/>
      </c>
      <c r="C68" s="88">
        <f>IF($BE68=0,"",SUMIFS(Entries!$D$2:$D$5000,Entries!$C$2:$C$5000,"Actual",Entries!$A$2:$A$5000,$A68))</f>
        <v/>
      </c>
      <c r="D68" s="88">
        <f>IF($BE68=0,"",SUMIFS(Entries!$D$2:$D$5000,Entries!$C$2:$C$5000,"One-off",Entries!$A$2:$A$5000,$A68))</f>
        <v/>
      </c>
      <c r="E68" s="88">
        <f>IF($BE68=0,NA(),C68+D68)</f>
        <v/>
      </c>
      <c r="F68" s="88">
        <f>IF($BE68=0,"",SUM(AJ68:BC68))</f>
        <v/>
      </c>
      <c r="G68" s="88">
        <f>IF($BE68=0,"",B68-E68)</f>
        <v/>
      </c>
      <c r="H68" s="88">
        <f>IF($BE68=0,"",SUM($G$2:G68))</f>
        <v/>
      </c>
      <c r="I68" s="88">
        <f>IF($BE68=0,"",SUMIFS(Entries!$F$2:$F$5000,Entries!$A$2:$A$5000,$A68))</f>
        <v/>
      </c>
      <c r="J68" s="88">
        <f>IF($BE68=0,NA(),H68+SUM($I$2:I68))</f>
        <v/>
      </c>
      <c r="K68" s="88">
        <f>IF($BE68=0,"",SUMIFS(Entries!$D$2:$D$5000,Entries!$C$2:$C$5000,"Income",Entries!$A$2:$A$5000,"&gt;="&amp;EDATE($A68,-11),Entries!$A$2:$A$5000,"&lt;="&amp;$A68)/12)</f>
        <v/>
      </c>
      <c r="L68" s="88">
        <f>IF($BE68=0,"",(SUMIFS(Entries!$D$2:$D$5000,Entries!$C$2:$C$5000,"Actual",Entries!$A$2:$A$5000,"&gt;="&amp;EDATE($A68,-11),Entries!$A$2:$A$5000,"&lt;="&amp;$A68)+SUMIFS(Entries!$D$2:$D$5000,Entries!$C$2:$C$5000,"One-off",Entries!$A$2:$A$5000,"&gt;="&amp;EDATE($A68,-11),Entries!$A$2:$A$5000,"&lt;="&amp;$A68))/12)</f>
        <v/>
      </c>
      <c r="M68" s="70">
        <f>IF($BE68=0,NA(),IFERROR((K68-L68)/K68,0))</f>
        <v/>
      </c>
      <c r="O68" s="88">
        <f>IF(OR(O$1="",$BE68=0),"",SUMIFS(Entries!$D$2:$D$5000,Entries!$C$2:$C$5000,"Actual",Entries!$A$2:$A$5000,$A68,Entries!$B$2:$B$5000,O$1))</f>
        <v/>
      </c>
      <c r="P68" s="88">
        <f>IF(OR(P$1="",$BE68=0),"",SUMIFS(Entries!$D$2:$D$5000,Entries!$C$2:$C$5000,"Actual",Entries!$A$2:$A$5000,$A68,Entries!$B$2:$B$5000,P$1))</f>
        <v/>
      </c>
      <c r="Q68" s="88">
        <f>IF(OR(Q$1="",$BE68=0),"",SUMIFS(Entries!$D$2:$D$5000,Entries!$C$2:$C$5000,"Actual",Entries!$A$2:$A$5000,$A68,Entries!$B$2:$B$5000,Q$1))</f>
        <v/>
      </c>
      <c r="R68" s="88">
        <f>IF(OR(R$1="",$BE68=0),"",SUMIFS(Entries!$D$2:$D$5000,Entries!$C$2:$C$5000,"Actual",Entries!$A$2:$A$5000,$A68,Entries!$B$2:$B$5000,R$1))</f>
        <v/>
      </c>
      <c r="S68" s="88">
        <f>IF(OR(S$1="",$BE68=0),"",SUMIFS(Entries!$D$2:$D$5000,Entries!$C$2:$C$5000,"Actual",Entries!$A$2:$A$5000,$A68,Entries!$B$2:$B$5000,S$1))</f>
        <v/>
      </c>
      <c r="T68" s="88">
        <f>IF(OR(T$1="",$BE68=0),"",SUMIFS(Entries!$D$2:$D$5000,Entries!$C$2:$C$5000,"Actual",Entries!$A$2:$A$5000,$A68,Entries!$B$2:$B$5000,T$1))</f>
        <v/>
      </c>
      <c r="U68" s="88">
        <f>IF(OR(U$1="",$BE68=0),"",SUMIFS(Entries!$D$2:$D$5000,Entries!$C$2:$C$5000,"Actual",Entries!$A$2:$A$5000,$A68,Entries!$B$2:$B$5000,U$1))</f>
        <v/>
      </c>
      <c r="V68" s="88">
        <f>IF(OR(V$1="",$BE68=0),"",SUMIFS(Entries!$D$2:$D$5000,Entries!$C$2:$C$5000,"Actual",Entries!$A$2:$A$5000,$A68,Entries!$B$2:$B$5000,V$1))</f>
        <v/>
      </c>
      <c r="W68" s="88">
        <f>IF(OR(W$1="",$BE68=0),"",SUMIFS(Entries!$D$2:$D$5000,Entries!$C$2:$C$5000,"Actual",Entries!$A$2:$A$5000,$A68,Entries!$B$2:$B$5000,W$1))</f>
        <v/>
      </c>
      <c r="X68" s="88">
        <f>IF(OR(X$1="",$BE68=0),"",SUMIFS(Entries!$D$2:$D$5000,Entries!$C$2:$C$5000,"Actual",Entries!$A$2:$A$5000,$A68,Entries!$B$2:$B$5000,X$1))</f>
        <v/>
      </c>
      <c r="Y68" s="88">
        <f>IF(OR(Y$1="",$BE68=0),"",SUMIFS(Entries!$D$2:$D$5000,Entries!$C$2:$C$5000,"Actual",Entries!$A$2:$A$5000,$A68,Entries!$B$2:$B$5000,Y$1))</f>
        <v/>
      </c>
      <c r="Z68" s="88">
        <f>IF(OR(Z$1="",$BE68=0),"",SUMIFS(Entries!$D$2:$D$5000,Entries!$C$2:$C$5000,"Actual",Entries!$A$2:$A$5000,$A68,Entries!$B$2:$B$5000,Z$1))</f>
        <v/>
      </c>
      <c r="AA68" s="88">
        <f>IF(OR(AA$1="",$BE68=0),"",SUMIFS(Entries!$D$2:$D$5000,Entries!$C$2:$C$5000,"Actual",Entries!$A$2:$A$5000,$A68,Entries!$B$2:$B$5000,AA$1))</f>
        <v/>
      </c>
      <c r="AB68" s="88">
        <f>IF(OR(AB$1="",$BE68=0),"",SUMIFS(Entries!$D$2:$D$5000,Entries!$C$2:$C$5000,"Actual",Entries!$A$2:$A$5000,$A68,Entries!$B$2:$B$5000,AB$1))</f>
        <v/>
      </c>
      <c r="AC68" s="88">
        <f>IF(OR(AC$1="",$BE68=0),"",SUMIFS(Entries!$D$2:$D$5000,Entries!$C$2:$C$5000,"Actual",Entries!$A$2:$A$5000,$A68,Entries!$B$2:$B$5000,AC$1))</f>
        <v/>
      </c>
      <c r="AD68" s="88">
        <f>IF(OR(AD$1="",$BE68=0),"",SUMIFS(Entries!$D$2:$D$5000,Entries!$C$2:$C$5000,"Actual",Entries!$A$2:$A$5000,$A68,Entries!$B$2:$B$5000,AD$1))</f>
        <v/>
      </c>
      <c r="AE68" s="88">
        <f>IF(OR(AE$1="",$BE68=0),"",SUMIFS(Entries!$D$2:$D$5000,Entries!$C$2:$C$5000,"Actual",Entries!$A$2:$A$5000,$A68,Entries!$B$2:$B$5000,AE$1))</f>
        <v/>
      </c>
      <c r="AF68" s="88">
        <f>IF(OR(AF$1="",$BE68=0),"",SUMIFS(Entries!$D$2:$D$5000,Entries!$C$2:$C$5000,"Actual",Entries!$A$2:$A$5000,$A68,Entries!$B$2:$B$5000,AF$1))</f>
        <v/>
      </c>
      <c r="AG68" s="88">
        <f>IF(OR(AG$1="",$BE68=0),"",SUMIFS(Entries!$D$2:$D$5000,Entries!$C$2:$C$5000,"Actual",Entries!$A$2:$A$5000,$A68,Entries!$B$2:$B$5000,AG$1))</f>
        <v/>
      </c>
      <c r="AH68" s="88">
        <f>IF(OR(AH$1="",$BE68=0),"",SUMIFS(Entries!$D$2:$D$5000,Entries!$C$2:$C$5000,"Actual",Entries!$A$2:$A$5000,$A68,Entries!$B$2:$B$5000,AH$1))</f>
        <v/>
      </c>
      <c r="AJ68" s="88">
        <f>IF(OR(AJ$1="",$BE68=0),"",IFERROR(LOOKUP(2,1/((Budgets!$A$2:$A$200=AJ$1)*(Budgets!$B$2:$B$200&lt;=$A68)),Budgets!$C$2:$C$200),0))</f>
        <v/>
      </c>
      <c r="AK68" s="88">
        <f>IF(OR(AK$1="",$BE68=0),"",IFERROR(LOOKUP(2,1/((Budgets!$A$2:$A$200=AK$1)*(Budgets!$B$2:$B$200&lt;=$A68)),Budgets!$C$2:$C$200),0))</f>
        <v/>
      </c>
      <c r="AL68" s="88">
        <f>IF(OR(AL$1="",$BE68=0),"",IFERROR(LOOKUP(2,1/((Budgets!$A$2:$A$200=AL$1)*(Budgets!$B$2:$B$200&lt;=$A68)),Budgets!$C$2:$C$200),0))</f>
        <v/>
      </c>
      <c r="AM68" s="88">
        <f>IF(OR(AM$1="",$BE68=0),"",IFERROR(LOOKUP(2,1/((Budgets!$A$2:$A$200=AM$1)*(Budgets!$B$2:$B$200&lt;=$A68)),Budgets!$C$2:$C$200),0))</f>
        <v/>
      </c>
      <c r="AN68" s="88">
        <f>IF(OR(AN$1="",$BE68=0),"",IFERROR(LOOKUP(2,1/((Budgets!$A$2:$A$200=AN$1)*(Budgets!$B$2:$B$200&lt;=$A68)),Budgets!$C$2:$C$200),0))</f>
        <v/>
      </c>
      <c r="AO68" s="88">
        <f>IF(OR(AO$1="",$BE68=0),"",IFERROR(LOOKUP(2,1/((Budgets!$A$2:$A$200=AO$1)*(Budgets!$B$2:$B$200&lt;=$A68)),Budgets!$C$2:$C$200),0))</f>
        <v/>
      </c>
      <c r="AP68" s="88">
        <f>IF(OR(AP$1="",$BE68=0),"",IFERROR(LOOKUP(2,1/((Budgets!$A$2:$A$200=AP$1)*(Budgets!$B$2:$B$200&lt;=$A68)),Budgets!$C$2:$C$200),0))</f>
        <v/>
      </c>
      <c r="AQ68" s="88">
        <f>IF(OR(AQ$1="",$BE68=0),"",IFERROR(LOOKUP(2,1/((Budgets!$A$2:$A$200=AQ$1)*(Budgets!$B$2:$B$200&lt;=$A68)),Budgets!$C$2:$C$200),0))</f>
        <v/>
      </c>
      <c r="AR68" s="88">
        <f>IF(OR(AR$1="",$BE68=0),"",IFERROR(LOOKUP(2,1/((Budgets!$A$2:$A$200=AR$1)*(Budgets!$B$2:$B$200&lt;=$A68)),Budgets!$C$2:$C$200),0))</f>
        <v/>
      </c>
      <c r="AS68" s="88">
        <f>IF(OR(AS$1="",$BE68=0),"",IFERROR(LOOKUP(2,1/((Budgets!$A$2:$A$200=AS$1)*(Budgets!$B$2:$B$200&lt;=$A68)),Budgets!$C$2:$C$200),0))</f>
        <v/>
      </c>
      <c r="AT68" s="88">
        <f>IF(OR(AT$1="",$BE68=0),"",IFERROR(LOOKUP(2,1/((Budgets!$A$2:$A$200=AT$1)*(Budgets!$B$2:$B$200&lt;=$A68)),Budgets!$C$2:$C$200),0))</f>
        <v/>
      </c>
      <c r="AU68" s="88">
        <f>IF(OR(AU$1="",$BE68=0),"",IFERROR(LOOKUP(2,1/((Budgets!$A$2:$A$200=AU$1)*(Budgets!$B$2:$B$200&lt;=$A68)),Budgets!$C$2:$C$200),0))</f>
        <v/>
      </c>
      <c r="AV68" s="88">
        <f>IF(OR(AV$1="",$BE68=0),"",IFERROR(LOOKUP(2,1/((Budgets!$A$2:$A$200=AV$1)*(Budgets!$B$2:$B$200&lt;=$A68)),Budgets!$C$2:$C$200),0))</f>
        <v/>
      </c>
      <c r="AW68" s="88">
        <f>IF(OR(AW$1="",$BE68=0),"",IFERROR(LOOKUP(2,1/((Budgets!$A$2:$A$200=AW$1)*(Budgets!$B$2:$B$200&lt;=$A68)),Budgets!$C$2:$C$200),0))</f>
        <v/>
      </c>
      <c r="AX68" s="88">
        <f>IF(OR(AX$1="",$BE68=0),"",IFERROR(LOOKUP(2,1/((Budgets!$A$2:$A$200=AX$1)*(Budgets!$B$2:$B$200&lt;=$A68)),Budgets!$C$2:$C$200),0))</f>
        <v/>
      </c>
      <c r="AY68" s="88">
        <f>IF(OR(AY$1="",$BE68=0),"",IFERROR(LOOKUP(2,1/((Budgets!$A$2:$A$200=AY$1)*(Budgets!$B$2:$B$200&lt;=$A68)),Budgets!$C$2:$C$200),0))</f>
        <v/>
      </c>
      <c r="AZ68" s="88">
        <f>IF(OR(AZ$1="",$BE68=0),"",IFERROR(LOOKUP(2,1/((Budgets!$A$2:$A$200=AZ$1)*(Budgets!$B$2:$B$200&lt;=$A68)),Budgets!$C$2:$C$200),0))</f>
        <v/>
      </c>
      <c r="BA68" s="88">
        <f>IF(OR(BA$1="",$BE68=0),"",IFERROR(LOOKUP(2,1/((Budgets!$A$2:$A$200=BA$1)*(Budgets!$B$2:$B$200&lt;=$A68)),Budgets!$C$2:$C$200),0))</f>
        <v/>
      </c>
      <c r="BB68" s="88">
        <f>IF(OR(BB$1="",$BE68=0),"",IFERROR(LOOKUP(2,1/((Budgets!$A$2:$A$200=BB$1)*(Budgets!$B$2:$B$200&lt;=$A68)),Budgets!$C$2:$C$200),0))</f>
        <v/>
      </c>
      <c r="BC68" s="88">
        <f>IF(OR(BC$1="",$BE68=0),"",IFERROR(LOOKUP(2,1/((Budgets!$A$2:$A$200=BC$1)*(Budgets!$B$2:$B$200&lt;=$A68)),Budgets!$C$2:$C$200),0))</f>
        <v/>
      </c>
      <c r="BE68" s="67">
        <f>COUNTIFS(Entries!$A$2:$A$5000,$A68)</f>
        <v/>
      </c>
    </row>
    <row r="69" ht="15" customHeight="1" s="43">
      <c r="A69" s="87" t="n">
        <v>41487</v>
      </c>
      <c r="B69" s="88">
        <f>IF($BE69=0,NA(),SUMIFS(Entries!$D$2:$D$5000,Entries!$C$2:$C$5000,"Income",Entries!$A$2:$A$5000,$A69))</f>
        <v/>
      </c>
      <c r="C69" s="88">
        <f>IF($BE69=0,"",SUMIFS(Entries!$D$2:$D$5000,Entries!$C$2:$C$5000,"Actual",Entries!$A$2:$A$5000,$A69))</f>
        <v/>
      </c>
      <c r="D69" s="88">
        <f>IF($BE69=0,"",SUMIFS(Entries!$D$2:$D$5000,Entries!$C$2:$C$5000,"One-off",Entries!$A$2:$A$5000,$A69))</f>
        <v/>
      </c>
      <c r="E69" s="88">
        <f>IF($BE69=0,NA(),C69+D69)</f>
        <v/>
      </c>
      <c r="F69" s="88">
        <f>IF($BE69=0,"",SUM(AJ69:BC69))</f>
        <v/>
      </c>
      <c r="G69" s="88">
        <f>IF($BE69=0,"",B69-E69)</f>
        <v/>
      </c>
      <c r="H69" s="88">
        <f>IF($BE69=0,"",SUM($G$2:G69))</f>
        <v/>
      </c>
      <c r="I69" s="88">
        <f>IF($BE69=0,"",SUMIFS(Entries!$F$2:$F$5000,Entries!$A$2:$A$5000,$A69))</f>
        <v/>
      </c>
      <c r="J69" s="88">
        <f>IF($BE69=0,NA(),H69+SUM($I$2:I69))</f>
        <v/>
      </c>
      <c r="K69" s="88">
        <f>IF($BE69=0,"",SUMIFS(Entries!$D$2:$D$5000,Entries!$C$2:$C$5000,"Income",Entries!$A$2:$A$5000,"&gt;="&amp;EDATE($A69,-11),Entries!$A$2:$A$5000,"&lt;="&amp;$A69)/12)</f>
        <v/>
      </c>
      <c r="L69" s="88">
        <f>IF($BE69=0,"",(SUMIFS(Entries!$D$2:$D$5000,Entries!$C$2:$C$5000,"Actual",Entries!$A$2:$A$5000,"&gt;="&amp;EDATE($A69,-11),Entries!$A$2:$A$5000,"&lt;="&amp;$A69)+SUMIFS(Entries!$D$2:$D$5000,Entries!$C$2:$C$5000,"One-off",Entries!$A$2:$A$5000,"&gt;="&amp;EDATE($A69,-11),Entries!$A$2:$A$5000,"&lt;="&amp;$A69))/12)</f>
        <v/>
      </c>
      <c r="M69" s="70">
        <f>IF($BE69=0,NA(),IFERROR((K69-L69)/K69,0))</f>
        <v/>
      </c>
      <c r="O69" s="88">
        <f>IF(OR(O$1="",$BE69=0),"",SUMIFS(Entries!$D$2:$D$5000,Entries!$C$2:$C$5000,"Actual",Entries!$A$2:$A$5000,$A69,Entries!$B$2:$B$5000,O$1))</f>
        <v/>
      </c>
      <c r="P69" s="88">
        <f>IF(OR(P$1="",$BE69=0),"",SUMIFS(Entries!$D$2:$D$5000,Entries!$C$2:$C$5000,"Actual",Entries!$A$2:$A$5000,$A69,Entries!$B$2:$B$5000,P$1))</f>
        <v/>
      </c>
      <c r="Q69" s="88">
        <f>IF(OR(Q$1="",$BE69=0),"",SUMIFS(Entries!$D$2:$D$5000,Entries!$C$2:$C$5000,"Actual",Entries!$A$2:$A$5000,$A69,Entries!$B$2:$B$5000,Q$1))</f>
        <v/>
      </c>
      <c r="R69" s="88">
        <f>IF(OR(R$1="",$BE69=0),"",SUMIFS(Entries!$D$2:$D$5000,Entries!$C$2:$C$5000,"Actual",Entries!$A$2:$A$5000,$A69,Entries!$B$2:$B$5000,R$1))</f>
        <v/>
      </c>
      <c r="S69" s="88">
        <f>IF(OR(S$1="",$BE69=0),"",SUMIFS(Entries!$D$2:$D$5000,Entries!$C$2:$C$5000,"Actual",Entries!$A$2:$A$5000,$A69,Entries!$B$2:$B$5000,S$1))</f>
        <v/>
      </c>
      <c r="T69" s="88">
        <f>IF(OR(T$1="",$BE69=0),"",SUMIFS(Entries!$D$2:$D$5000,Entries!$C$2:$C$5000,"Actual",Entries!$A$2:$A$5000,$A69,Entries!$B$2:$B$5000,T$1))</f>
        <v/>
      </c>
      <c r="U69" s="88">
        <f>IF(OR(U$1="",$BE69=0),"",SUMIFS(Entries!$D$2:$D$5000,Entries!$C$2:$C$5000,"Actual",Entries!$A$2:$A$5000,$A69,Entries!$B$2:$B$5000,U$1))</f>
        <v/>
      </c>
      <c r="V69" s="88">
        <f>IF(OR(V$1="",$BE69=0),"",SUMIFS(Entries!$D$2:$D$5000,Entries!$C$2:$C$5000,"Actual",Entries!$A$2:$A$5000,$A69,Entries!$B$2:$B$5000,V$1))</f>
        <v/>
      </c>
      <c r="W69" s="88">
        <f>IF(OR(W$1="",$BE69=0),"",SUMIFS(Entries!$D$2:$D$5000,Entries!$C$2:$C$5000,"Actual",Entries!$A$2:$A$5000,$A69,Entries!$B$2:$B$5000,W$1))</f>
        <v/>
      </c>
      <c r="X69" s="88">
        <f>IF(OR(X$1="",$BE69=0),"",SUMIFS(Entries!$D$2:$D$5000,Entries!$C$2:$C$5000,"Actual",Entries!$A$2:$A$5000,$A69,Entries!$B$2:$B$5000,X$1))</f>
        <v/>
      </c>
      <c r="Y69" s="88">
        <f>IF(OR(Y$1="",$BE69=0),"",SUMIFS(Entries!$D$2:$D$5000,Entries!$C$2:$C$5000,"Actual",Entries!$A$2:$A$5000,$A69,Entries!$B$2:$B$5000,Y$1))</f>
        <v/>
      </c>
      <c r="Z69" s="88">
        <f>IF(OR(Z$1="",$BE69=0),"",SUMIFS(Entries!$D$2:$D$5000,Entries!$C$2:$C$5000,"Actual",Entries!$A$2:$A$5000,$A69,Entries!$B$2:$B$5000,Z$1))</f>
        <v/>
      </c>
      <c r="AA69" s="88">
        <f>IF(OR(AA$1="",$BE69=0),"",SUMIFS(Entries!$D$2:$D$5000,Entries!$C$2:$C$5000,"Actual",Entries!$A$2:$A$5000,$A69,Entries!$B$2:$B$5000,AA$1))</f>
        <v/>
      </c>
      <c r="AB69" s="88">
        <f>IF(OR(AB$1="",$BE69=0),"",SUMIFS(Entries!$D$2:$D$5000,Entries!$C$2:$C$5000,"Actual",Entries!$A$2:$A$5000,$A69,Entries!$B$2:$B$5000,AB$1))</f>
        <v/>
      </c>
      <c r="AC69" s="88">
        <f>IF(OR(AC$1="",$BE69=0),"",SUMIFS(Entries!$D$2:$D$5000,Entries!$C$2:$C$5000,"Actual",Entries!$A$2:$A$5000,$A69,Entries!$B$2:$B$5000,AC$1))</f>
        <v/>
      </c>
      <c r="AD69" s="88">
        <f>IF(OR(AD$1="",$BE69=0),"",SUMIFS(Entries!$D$2:$D$5000,Entries!$C$2:$C$5000,"Actual",Entries!$A$2:$A$5000,$A69,Entries!$B$2:$B$5000,AD$1))</f>
        <v/>
      </c>
      <c r="AE69" s="88">
        <f>IF(OR(AE$1="",$BE69=0),"",SUMIFS(Entries!$D$2:$D$5000,Entries!$C$2:$C$5000,"Actual",Entries!$A$2:$A$5000,$A69,Entries!$B$2:$B$5000,AE$1))</f>
        <v/>
      </c>
      <c r="AF69" s="88">
        <f>IF(OR(AF$1="",$BE69=0),"",SUMIFS(Entries!$D$2:$D$5000,Entries!$C$2:$C$5000,"Actual",Entries!$A$2:$A$5000,$A69,Entries!$B$2:$B$5000,AF$1))</f>
        <v/>
      </c>
      <c r="AG69" s="88">
        <f>IF(OR(AG$1="",$BE69=0),"",SUMIFS(Entries!$D$2:$D$5000,Entries!$C$2:$C$5000,"Actual",Entries!$A$2:$A$5000,$A69,Entries!$B$2:$B$5000,AG$1))</f>
        <v/>
      </c>
      <c r="AH69" s="88">
        <f>IF(OR(AH$1="",$BE69=0),"",SUMIFS(Entries!$D$2:$D$5000,Entries!$C$2:$C$5000,"Actual",Entries!$A$2:$A$5000,$A69,Entries!$B$2:$B$5000,AH$1))</f>
        <v/>
      </c>
      <c r="AJ69" s="88">
        <f>IF(OR(AJ$1="",$BE69=0),"",IFERROR(LOOKUP(2,1/((Budgets!$A$2:$A$200=AJ$1)*(Budgets!$B$2:$B$200&lt;=$A69)),Budgets!$C$2:$C$200),0))</f>
        <v/>
      </c>
      <c r="AK69" s="88">
        <f>IF(OR(AK$1="",$BE69=0),"",IFERROR(LOOKUP(2,1/((Budgets!$A$2:$A$200=AK$1)*(Budgets!$B$2:$B$200&lt;=$A69)),Budgets!$C$2:$C$200),0))</f>
        <v/>
      </c>
      <c r="AL69" s="88">
        <f>IF(OR(AL$1="",$BE69=0),"",IFERROR(LOOKUP(2,1/((Budgets!$A$2:$A$200=AL$1)*(Budgets!$B$2:$B$200&lt;=$A69)),Budgets!$C$2:$C$200),0))</f>
        <v/>
      </c>
      <c r="AM69" s="88">
        <f>IF(OR(AM$1="",$BE69=0),"",IFERROR(LOOKUP(2,1/((Budgets!$A$2:$A$200=AM$1)*(Budgets!$B$2:$B$200&lt;=$A69)),Budgets!$C$2:$C$200),0))</f>
        <v/>
      </c>
      <c r="AN69" s="88">
        <f>IF(OR(AN$1="",$BE69=0),"",IFERROR(LOOKUP(2,1/((Budgets!$A$2:$A$200=AN$1)*(Budgets!$B$2:$B$200&lt;=$A69)),Budgets!$C$2:$C$200),0))</f>
        <v/>
      </c>
      <c r="AO69" s="88">
        <f>IF(OR(AO$1="",$BE69=0),"",IFERROR(LOOKUP(2,1/((Budgets!$A$2:$A$200=AO$1)*(Budgets!$B$2:$B$200&lt;=$A69)),Budgets!$C$2:$C$200),0))</f>
        <v/>
      </c>
      <c r="AP69" s="88">
        <f>IF(OR(AP$1="",$BE69=0),"",IFERROR(LOOKUP(2,1/((Budgets!$A$2:$A$200=AP$1)*(Budgets!$B$2:$B$200&lt;=$A69)),Budgets!$C$2:$C$200),0))</f>
        <v/>
      </c>
      <c r="AQ69" s="88">
        <f>IF(OR(AQ$1="",$BE69=0),"",IFERROR(LOOKUP(2,1/((Budgets!$A$2:$A$200=AQ$1)*(Budgets!$B$2:$B$200&lt;=$A69)),Budgets!$C$2:$C$200),0))</f>
        <v/>
      </c>
      <c r="AR69" s="88">
        <f>IF(OR(AR$1="",$BE69=0),"",IFERROR(LOOKUP(2,1/((Budgets!$A$2:$A$200=AR$1)*(Budgets!$B$2:$B$200&lt;=$A69)),Budgets!$C$2:$C$200),0))</f>
        <v/>
      </c>
      <c r="AS69" s="88">
        <f>IF(OR(AS$1="",$BE69=0),"",IFERROR(LOOKUP(2,1/((Budgets!$A$2:$A$200=AS$1)*(Budgets!$B$2:$B$200&lt;=$A69)),Budgets!$C$2:$C$200),0))</f>
        <v/>
      </c>
      <c r="AT69" s="88">
        <f>IF(OR(AT$1="",$BE69=0),"",IFERROR(LOOKUP(2,1/((Budgets!$A$2:$A$200=AT$1)*(Budgets!$B$2:$B$200&lt;=$A69)),Budgets!$C$2:$C$200),0))</f>
        <v/>
      </c>
      <c r="AU69" s="88">
        <f>IF(OR(AU$1="",$BE69=0),"",IFERROR(LOOKUP(2,1/((Budgets!$A$2:$A$200=AU$1)*(Budgets!$B$2:$B$200&lt;=$A69)),Budgets!$C$2:$C$200),0))</f>
        <v/>
      </c>
      <c r="AV69" s="88">
        <f>IF(OR(AV$1="",$BE69=0),"",IFERROR(LOOKUP(2,1/((Budgets!$A$2:$A$200=AV$1)*(Budgets!$B$2:$B$200&lt;=$A69)),Budgets!$C$2:$C$200),0))</f>
        <v/>
      </c>
      <c r="AW69" s="88">
        <f>IF(OR(AW$1="",$BE69=0),"",IFERROR(LOOKUP(2,1/((Budgets!$A$2:$A$200=AW$1)*(Budgets!$B$2:$B$200&lt;=$A69)),Budgets!$C$2:$C$200),0))</f>
        <v/>
      </c>
      <c r="AX69" s="88">
        <f>IF(OR(AX$1="",$BE69=0),"",IFERROR(LOOKUP(2,1/((Budgets!$A$2:$A$200=AX$1)*(Budgets!$B$2:$B$200&lt;=$A69)),Budgets!$C$2:$C$200),0))</f>
        <v/>
      </c>
      <c r="AY69" s="88">
        <f>IF(OR(AY$1="",$BE69=0),"",IFERROR(LOOKUP(2,1/((Budgets!$A$2:$A$200=AY$1)*(Budgets!$B$2:$B$200&lt;=$A69)),Budgets!$C$2:$C$200),0))</f>
        <v/>
      </c>
      <c r="AZ69" s="88">
        <f>IF(OR(AZ$1="",$BE69=0),"",IFERROR(LOOKUP(2,1/((Budgets!$A$2:$A$200=AZ$1)*(Budgets!$B$2:$B$200&lt;=$A69)),Budgets!$C$2:$C$200),0))</f>
        <v/>
      </c>
      <c r="BA69" s="88">
        <f>IF(OR(BA$1="",$BE69=0),"",IFERROR(LOOKUP(2,1/((Budgets!$A$2:$A$200=BA$1)*(Budgets!$B$2:$B$200&lt;=$A69)),Budgets!$C$2:$C$200),0))</f>
        <v/>
      </c>
      <c r="BB69" s="88">
        <f>IF(OR(BB$1="",$BE69=0),"",IFERROR(LOOKUP(2,1/((Budgets!$A$2:$A$200=BB$1)*(Budgets!$B$2:$B$200&lt;=$A69)),Budgets!$C$2:$C$200),0))</f>
        <v/>
      </c>
      <c r="BC69" s="88">
        <f>IF(OR(BC$1="",$BE69=0),"",IFERROR(LOOKUP(2,1/((Budgets!$A$2:$A$200=BC$1)*(Budgets!$B$2:$B$200&lt;=$A69)),Budgets!$C$2:$C$200),0))</f>
        <v/>
      </c>
      <c r="BE69" s="67">
        <f>COUNTIFS(Entries!$A$2:$A$5000,$A69)</f>
        <v/>
      </c>
    </row>
    <row r="70" ht="15" customHeight="1" s="43">
      <c r="A70" s="87" t="n">
        <v>41518</v>
      </c>
      <c r="B70" s="88">
        <f>IF($BE70=0,NA(),SUMIFS(Entries!$D$2:$D$5000,Entries!$C$2:$C$5000,"Income",Entries!$A$2:$A$5000,$A70))</f>
        <v/>
      </c>
      <c r="C70" s="88">
        <f>IF($BE70=0,"",SUMIFS(Entries!$D$2:$D$5000,Entries!$C$2:$C$5000,"Actual",Entries!$A$2:$A$5000,$A70))</f>
        <v/>
      </c>
      <c r="D70" s="88">
        <f>IF($BE70=0,"",SUMIFS(Entries!$D$2:$D$5000,Entries!$C$2:$C$5000,"One-off",Entries!$A$2:$A$5000,$A70))</f>
        <v/>
      </c>
      <c r="E70" s="88">
        <f>IF($BE70=0,NA(),C70+D70)</f>
        <v/>
      </c>
      <c r="F70" s="88">
        <f>IF($BE70=0,"",SUM(AJ70:BC70))</f>
        <v/>
      </c>
      <c r="G70" s="88">
        <f>IF($BE70=0,"",B70-E70)</f>
        <v/>
      </c>
      <c r="H70" s="88">
        <f>IF($BE70=0,"",SUM($G$2:G70))</f>
        <v/>
      </c>
      <c r="I70" s="88">
        <f>IF($BE70=0,"",SUMIFS(Entries!$F$2:$F$5000,Entries!$A$2:$A$5000,$A70))</f>
        <v/>
      </c>
      <c r="J70" s="88">
        <f>IF($BE70=0,NA(),H70+SUM($I$2:I70))</f>
        <v/>
      </c>
      <c r="K70" s="88">
        <f>IF($BE70=0,"",SUMIFS(Entries!$D$2:$D$5000,Entries!$C$2:$C$5000,"Income",Entries!$A$2:$A$5000,"&gt;="&amp;EDATE($A70,-11),Entries!$A$2:$A$5000,"&lt;="&amp;$A70)/12)</f>
        <v/>
      </c>
      <c r="L70" s="88">
        <f>IF($BE70=0,"",(SUMIFS(Entries!$D$2:$D$5000,Entries!$C$2:$C$5000,"Actual",Entries!$A$2:$A$5000,"&gt;="&amp;EDATE($A70,-11),Entries!$A$2:$A$5000,"&lt;="&amp;$A70)+SUMIFS(Entries!$D$2:$D$5000,Entries!$C$2:$C$5000,"One-off",Entries!$A$2:$A$5000,"&gt;="&amp;EDATE($A70,-11),Entries!$A$2:$A$5000,"&lt;="&amp;$A70))/12)</f>
        <v/>
      </c>
      <c r="M70" s="70">
        <f>IF($BE70=0,NA(),IFERROR((K70-L70)/K70,0))</f>
        <v/>
      </c>
      <c r="O70" s="88">
        <f>IF(OR(O$1="",$BE70=0),"",SUMIFS(Entries!$D$2:$D$5000,Entries!$C$2:$C$5000,"Actual",Entries!$A$2:$A$5000,$A70,Entries!$B$2:$B$5000,O$1))</f>
        <v/>
      </c>
      <c r="P70" s="88">
        <f>IF(OR(P$1="",$BE70=0),"",SUMIFS(Entries!$D$2:$D$5000,Entries!$C$2:$C$5000,"Actual",Entries!$A$2:$A$5000,$A70,Entries!$B$2:$B$5000,P$1))</f>
        <v/>
      </c>
      <c r="Q70" s="88">
        <f>IF(OR(Q$1="",$BE70=0),"",SUMIFS(Entries!$D$2:$D$5000,Entries!$C$2:$C$5000,"Actual",Entries!$A$2:$A$5000,$A70,Entries!$B$2:$B$5000,Q$1))</f>
        <v/>
      </c>
      <c r="R70" s="88">
        <f>IF(OR(R$1="",$BE70=0),"",SUMIFS(Entries!$D$2:$D$5000,Entries!$C$2:$C$5000,"Actual",Entries!$A$2:$A$5000,$A70,Entries!$B$2:$B$5000,R$1))</f>
        <v/>
      </c>
      <c r="S70" s="88">
        <f>IF(OR(S$1="",$BE70=0),"",SUMIFS(Entries!$D$2:$D$5000,Entries!$C$2:$C$5000,"Actual",Entries!$A$2:$A$5000,$A70,Entries!$B$2:$B$5000,S$1))</f>
        <v/>
      </c>
      <c r="T70" s="88">
        <f>IF(OR(T$1="",$BE70=0),"",SUMIFS(Entries!$D$2:$D$5000,Entries!$C$2:$C$5000,"Actual",Entries!$A$2:$A$5000,$A70,Entries!$B$2:$B$5000,T$1))</f>
        <v/>
      </c>
      <c r="U70" s="88">
        <f>IF(OR(U$1="",$BE70=0),"",SUMIFS(Entries!$D$2:$D$5000,Entries!$C$2:$C$5000,"Actual",Entries!$A$2:$A$5000,$A70,Entries!$B$2:$B$5000,U$1))</f>
        <v/>
      </c>
      <c r="V70" s="88">
        <f>IF(OR(V$1="",$BE70=0),"",SUMIFS(Entries!$D$2:$D$5000,Entries!$C$2:$C$5000,"Actual",Entries!$A$2:$A$5000,$A70,Entries!$B$2:$B$5000,V$1))</f>
        <v/>
      </c>
      <c r="W70" s="88">
        <f>IF(OR(W$1="",$BE70=0),"",SUMIFS(Entries!$D$2:$D$5000,Entries!$C$2:$C$5000,"Actual",Entries!$A$2:$A$5000,$A70,Entries!$B$2:$B$5000,W$1))</f>
        <v/>
      </c>
      <c r="X70" s="88">
        <f>IF(OR(X$1="",$BE70=0),"",SUMIFS(Entries!$D$2:$D$5000,Entries!$C$2:$C$5000,"Actual",Entries!$A$2:$A$5000,$A70,Entries!$B$2:$B$5000,X$1))</f>
        <v/>
      </c>
      <c r="Y70" s="88">
        <f>IF(OR(Y$1="",$BE70=0),"",SUMIFS(Entries!$D$2:$D$5000,Entries!$C$2:$C$5000,"Actual",Entries!$A$2:$A$5000,$A70,Entries!$B$2:$B$5000,Y$1))</f>
        <v/>
      </c>
      <c r="Z70" s="88">
        <f>IF(OR(Z$1="",$BE70=0),"",SUMIFS(Entries!$D$2:$D$5000,Entries!$C$2:$C$5000,"Actual",Entries!$A$2:$A$5000,$A70,Entries!$B$2:$B$5000,Z$1))</f>
        <v/>
      </c>
      <c r="AA70" s="88">
        <f>IF(OR(AA$1="",$BE70=0),"",SUMIFS(Entries!$D$2:$D$5000,Entries!$C$2:$C$5000,"Actual",Entries!$A$2:$A$5000,$A70,Entries!$B$2:$B$5000,AA$1))</f>
        <v/>
      </c>
      <c r="AB70" s="88">
        <f>IF(OR(AB$1="",$BE70=0),"",SUMIFS(Entries!$D$2:$D$5000,Entries!$C$2:$C$5000,"Actual",Entries!$A$2:$A$5000,$A70,Entries!$B$2:$B$5000,AB$1))</f>
        <v/>
      </c>
      <c r="AC70" s="88">
        <f>IF(OR(AC$1="",$BE70=0),"",SUMIFS(Entries!$D$2:$D$5000,Entries!$C$2:$C$5000,"Actual",Entries!$A$2:$A$5000,$A70,Entries!$B$2:$B$5000,AC$1))</f>
        <v/>
      </c>
      <c r="AD70" s="88">
        <f>IF(OR(AD$1="",$BE70=0),"",SUMIFS(Entries!$D$2:$D$5000,Entries!$C$2:$C$5000,"Actual",Entries!$A$2:$A$5000,$A70,Entries!$B$2:$B$5000,AD$1))</f>
        <v/>
      </c>
      <c r="AE70" s="88">
        <f>IF(OR(AE$1="",$BE70=0),"",SUMIFS(Entries!$D$2:$D$5000,Entries!$C$2:$C$5000,"Actual",Entries!$A$2:$A$5000,$A70,Entries!$B$2:$B$5000,AE$1))</f>
        <v/>
      </c>
      <c r="AF70" s="88">
        <f>IF(OR(AF$1="",$BE70=0),"",SUMIFS(Entries!$D$2:$D$5000,Entries!$C$2:$C$5000,"Actual",Entries!$A$2:$A$5000,$A70,Entries!$B$2:$B$5000,AF$1))</f>
        <v/>
      </c>
      <c r="AG70" s="88">
        <f>IF(OR(AG$1="",$BE70=0),"",SUMIFS(Entries!$D$2:$D$5000,Entries!$C$2:$C$5000,"Actual",Entries!$A$2:$A$5000,$A70,Entries!$B$2:$B$5000,AG$1))</f>
        <v/>
      </c>
      <c r="AH70" s="88">
        <f>IF(OR(AH$1="",$BE70=0),"",SUMIFS(Entries!$D$2:$D$5000,Entries!$C$2:$C$5000,"Actual",Entries!$A$2:$A$5000,$A70,Entries!$B$2:$B$5000,AH$1))</f>
        <v/>
      </c>
      <c r="AJ70" s="88">
        <f>IF(OR(AJ$1="",$BE70=0),"",IFERROR(LOOKUP(2,1/((Budgets!$A$2:$A$200=AJ$1)*(Budgets!$B$2:$B$200&lt;=$A70)),Budgets!$C$2:$C$200),0))</f>
        <v/>
      </c>
      <c r="AK70" s="88">
        <f>IF(OR(AK$1="",$BE70=0),"",IFERROR(LOOKUP(2,1/((Budgets!$A$2:$A$200=AK$1)*(Budgets!$B$2:$B$200&lt;=$A70)),Budgets!$C$2:$C$200),0))</f>
        <v/>
      </c>
      <c r="AL70" s="88">
        <f>IF(OR(AL$1="",$BE70=0),"",IFERROR(LOOKUP(2,1/((Budgets!$A$2:$A$200=AL$1)*(Budgets!$B$2:$B$200&lt;=$A70)),Budgets!$C$2:$C$200),0))</f>
        <v/>
      </c>
      <c r="AM70" s="88">
        <f>IF(OR(AM$1="",$BE70=0),"",IFERROR(LOOKUP(2,1/((Budgets!$A$2:$A$200=AM$1)*(Budgets!$B$2:$B$200&lt;=$A70)),Budgets!$C$2:$C$200),0))</f>
        <v/>
      </c>
      <c r="AN70" s="88">
        <f>IF(OR(AN$1="",$BE70=0),"",IFERROR(LOOKUP(2,1/((Budgets!$A$2:$A$200=AN$1)*(Budgets!$B$2:$B$200&lt;=$A70)),Budgets!$C$2:$C$200),0))</f>
        <v/>
      </c>
      <c r="AO70" s="88">
        <f>IF(OR(AO$1="",$BE70=0),"",IFERROR(LOOKUP(2,1/((Budgets!$A$2:$A$200=AO$1)*(Budgets!$B$2:$B$200&lt;=$A70)),Budgets!$C$2:$C$200),0))</f>
        <v/>
      </c>
      <c r="AP70" s="88">
        <f>IF(OR(AP$1="",$BE70=0),"",IFERROR(LOOKUP(2,1/((Budgets!$A$2:$A$200=AP$1)*(Budgets!$B$2:$B$200&lt;=$A70)),Budgets!$C$2:$C$200),0))</f>
        <v/>
      </c>
      <c r="AQ70" s="88">
        <f>IF(OR(AQ$1="",$BE70=0),"",IFERROR(LOOKUP(2,1/((Budgets!$A$2:$A$200=AQ$1)*(Budgets!$B$2:$B$200&lt;=$A70)),Budgets!$C$2:$C$200),0))</f>
        <v/>
      </c>
      <c r="AR70" s="88">
        <f>IF(OR(AR$1="",$BE70=0),"",IFERROR(LOOKUP(2,1/((Budgets!$A$2:$A$200=AR$1)*(Budgets!$B$2:$B$200&lt;=$A70)),Budgets!$C$2:$C$200),0))</f>
        <v/>
      </c>
      <c r="AS70" s="88">
        <f>IF(OR(AS$1="",$BE70=0),"",IFERROR(LOOKUP(2,1/((Budgets!$A$2:$A$200=AS$1)*(Budgets!$B$2:$B$200&lt;=$A70)),Budgets!$C$2:$C$200),0))</f>
        <v/>
      </c>
      <c r="AT70" s="88">
        <f>IF(OR(AT$1="",$BE70=0),"",IFERROR(LOOKUP(2,1/((Budgets!$A$2:$A$200=AT$1)*(Budgets!$B$2:$B$200&lt;=$A70)),Budgets!$C$2:$C$200),0))</f>
        <v/>
      </c>
      <c r="AU70" s="88">
        <f>IF(OR(AU$1="",$BE70=0),"",IFERROR(LOOKUP(2,1/((Budgets!$A$2:$A$200=AU$1)*(Budgets!$B$2:$B$200&lt;=$A70)),Budgets!$C$2:$C$200),0))</f>
        <v/>
      </c>
      <c r="AV70" s="88">
        <f>IF(OR(AV$1="",$BE70=0),"",IFERROR(LOOKUP(2,1/((Budgets!$A$2:$A$200=AV$1)*(Budgets!$B$2:$B$200&lt;=$A70)),Budgets!$C$2:$C$200),0))</f>
        <v/>
      </c>
      <c r="AW70" s="88">
        <f>IF(OR(AW$1="",$BE70=0),"",IFERROR(LOOKUP(2,1/((Budgets!$A$2:$A$200=AW$1)*(Budgets!$B$2:$B$200&lt;=$A70)),Budgets!$C$2:$C$200),0))</f>
        <v/>
      </c>
      <c r="AX70" s="88">
        <f>IF(OR(AX$1="",$BE70=0),"",IFERROR(LOOKUP(2,1/((Budgets!$A$2:$A$200=AX$1)*(Budgets!$B$2:$B$200&lt;=$A70)),Budgets!$C$2:$C$200),0))</f>
        <v/>
      </c>
      <c r="AY70" s="88">
        <f>IF(OR(AY$1="",$BE70=0),"",IFERROR(LOOKUP(2,1/((Budgets!$A$2:$A$200=AY$1)*(Budgets!$B$2:$B$200&lt;=$A70)),Budgets!$C$2:$C$200),0))</f>
        <v/>
      </c>
      <c r="AZ70" s="88">
        <f>IF(OR(AZ$1="",$BE70=0),"",IFERROR(LOOKUP(2,1/((Budgets!$A$2:$A$200=AZ$1)*(Budgets!$B$2:$B$200&lt;=$A70)),Budgets!$C$2:$C$200),0))</f>
        <v/>
      </c>
      <c r="BA70" s="88">
        <f>IF(OR(BA$1="",$BE70=0),"",IFERROR(LOOKUP(2,1/((Budgets!$A$2:$A$200=BA$1)*(Budgets!$B$2:$B$200&lt;=$A70)),Budgets!$C$2:$C$200),0))</f>
        <v/>
      </c>
      <c r="BB70" s="88">
        <f>IF(OR(BB$1="",$BE70=0),"",IFERROR(LOOKUP(2,1/((Budgets!$A$2:$A$200=BB$1)*(Budgets!$B$2:$B$200&lt;=$A70)),Budgets!$C$2:$C$200),0))</f>
        <v/>
      </c>
      <c r="BC70" s="88">
        <f>IF(OR(BC$1="",$BE70=0),"",IFERROR(LOOKUP(2,1/((Budgets!$A$2:$A$200=BC$1)*(Budgets!$B$2:$B$200&lt;=$A70)),Budgets!$C$2:$C$200),0))</f>
        <v/>
      </c>
      <c r="BE70" s="67">
        <f>COUNTIFS(Entries!$A$2:$A$5000,$A70)</f>
        <v/>
      </c>
    </row>
    <row r="71" ht="15" customHeight="1" s="43">
      <c r="A71" s="87" t="n">
        <v>41548</v>
      </c>
      <c r="B71" s="88">
        <f>IF($BE71=0,NA(),SUMIFS(Entries!$D$2:$D$5000,Entries!$C$2:$C$5000,"Income",Entries!$A$2:$A$5000,$A71))</f>
        <v/>
      </c>
      <c r="C71" s="88">
        <f>IF($BE71=0,"",SUMIFS(Entries!$D$2:$D$5000,Entries!$C$2:$C$5000,"Actual",Entries!$A$2:$A$5000,$A71))</f>
        <v/>
      </c>
      <c r="D71" s="88">
        <f>IF($BE71=0,"",SUMIFS(Entries!$D$2:$D$5000,Entries!$C$2:$C$5000,"One-off",Entries!$A$2:$A$5000,$A71))</f>
        <v/>
      </c>
      <c r="E71" s="88">
        <f>IF($BE71=0,NA(),C71+D71)</f>
        <v/>
      </c>
      <c r="F71" s="88">
        <f>IF($BE71=0,"",SUM(AJ71:BC71))</f>
        <v/>
      </c>
      <c r="G71" s="88">
        <f>IF($BE71=0,"",B71-E71)</f>
        <v/>
      </c>
      <c r="H71" s="88">
        <f>IF($BE71=0,"",SUM($G$2:G71))</f>
        <v/>
      </c>
      <c r="I71" s="88">
        <f>IF($BE71=0,"",SUMIFS(Entries!$F$2:$F$5000,Entries!$A$2:$A$5000,$A71))</f>
        <v/>
      </c>
      <c r="J71" s="88">
        <f>IF($BE71=0,NA(),H71+SUM($I$2:I71))</f>
        <v/>
      </c>
      <c r="K71" s="88">
        <f>IF($BE71=0,"",SUMIFS(Entries!$D$2:$D$5000,Entries!$C$2:$C$5000,"Income",Entries!$A$2:$A$5000,"&gt;="&amp;EDATE($A71,-11),Entries!$A$2:$A$5000,"&lt;="&amp;$A71)/12)</f>
        <v/>
      </c>
      <c r="L71" s="88">
        <f>IF($BE71=0,"",(SUMIFS(Entries!$D$2:$D$5000,Entries!$C$2:$C$5000,"Actual",Entries!$A$2:$A$5000,"&gt;="&amp;EDATE($A71,-11),Entries!$A$2:$A$5000,"&lt;="&amp;$A71)+SUMIFS(Entries!$D$2:$D$5000,Entries!$C$2:$C$5000,"One-off",Entries!$A$2:$A$5000,"&gt;="&amp;EDATE($A71,-11),Entries!$A$2:$A$5000,"&lt;="&amp;$A71))/12)</f>
        <v/>
      </c>
      <c r="M71" s="70">
        <f>IF($BE71=0,NA(),IFERROR((K71-L71)/K71,0))</f>
        <v/>
      </c>
      <c r="O71" s="88">
        <f>IF(OR(O$1="",$BE71=0),"",SUMIFS(Entries!$D$2:$D$5000,Entries!$C$2:$C$5000,"Actual",Entries!$A$2:$A$5000,$A71,Entries!$B$2:$B$5000,O$1))</f>
        <v/>
      </c>
      <c r="P71" s="88">
        <f>IF(OR(P$1="",$BE71=0),"",SUMIFS(Entries!$D$2:$D$5000,Entries!$C$2:$C$5000,"Actual",Entries!$A$2:$A$5000,$A71,Entries!$B$2:$B$5000,P$1))</f>
        <v/>
      </c>
      <c r="Q71" s="88">
        <f>IF(OR(Q$1="",$BE71=0),"",SUMIFS(Entries!$D$2:$D$5000,Entries!$C$2:$C$5000,"Actual",Entries!$A$2:$A$5000,$A71,Entries!$B$2:$B$5000,Q$1))</f>
        <v/>
      </c>
      <c r="R71" s="88">
        <f>IF(OR(R$1="",$BE71=0),"",SUMIFS(Entries!$D$2:$D$5000,Entries!$C$2:$C$5000,"Actual",Entries!$A$2:$A$5000,$A71,Entries!$B$2:$B$5000,R$1))</f>
        <v/>
      </c>
      <c r="S71" s="88">
        <f>IF(OR(S$1="",$BE71=0),"",SUMIFS(Entries!$D$2:$D$5000,Entries!$C$2:$C$5000,"Actual",Entries!$A$2:$A$5000,$A71,Entries!$B$2:$B$5000,S$1))</f>
        <v/>
      </c>
      <c r="T71" s="88">
        <f>IF(OR(T$1="",$BE71=0),"",SUMIFS(Entries!$D$2:$D$5000,Entries!$C$2:$C$5000,"Actual",Entries!$A$2:$A$5000,$A71,Entries!$B$2:$B$5000,T$1))</f>
        <v/>
      </c>
      <c r="U71" s="88">
        <f>IF(OR(U$1="",$BE71=0),"",SUMIFS(Entries!$D$2:$D$5000,Entries!$C$2:$C$5000,"Actual",Entries!$A$2:$A$5000,$A71,Entries!$B$2:$B$5000,U$1))</f>
        <v/>
      </c>
      <c r="V71" s="88">
        <f>IF(OR(V$1="",$BE71=0),"",SUMIFS(Entries!$D$2:$D$5000,Entries!$C$2:$C$5000,"Actual",Entries!$A$2:$A$5000,$A71,Entries!$B$2:$B$5000,V$1))</f>
        <v/>
      </c>
      <c r="W71" s="88">
        <f>IF(OR(W$1="",$BE71=0),"",SUMIFS(Entries!$D$2:$D$5000,Entries!$C$2:$C$5000,"Actual",Entries!$A$2:$A$5000,$A71,Entries!$B$2:$B$5000,W$1))</f>
        <v/>
      </c>
      <c r="X71" s="88">
        <f>IF(OR(X$1="",$BE71=0),"",SUMIFS(Entries!$D$2:$D$5000,Entries!$C$2:$C$5000,"Actual",Entries!$A$2:$A$5000,$A71,Entries!$B$2:$B$5000,X$1))</f>
        <v/>
      </c>
      <c r="Y71" s="88">
        <f>IF(OR(Y$1="",$BE71=0),"",SUMIFS(Entries!$D$2:$D$5000,Entries!$C$2:$C$5000,"Actual",Entries!$A$2:$A$5000,$A71,Entries!$B$2:$B$5000,Y$1))</f>
        <v/>
      </c>
      <c r="Z71" s="88">
        <f>IF(OR(Z$1="",$BE71=0),"",SUMIFS(Entries!$D$2:$D$5000,Entries!$C$2:$C$5000,"Actual",Entries!$A$2:$A$5000,$A71,Entries!$B$2:$B$5000,Z$1))</f>
        <v/>
      </c>
      <c r="AA71" s="88">
        <f>IF(OR(AA$1="",$BE71=0),"",SUMIFS(Entries!$D$2:$D$5000,Entries!$C$2:$C$5000,"Actual",Entries!$A$2:$A$5000,$A71,Entries!$B$2:$B$5000,AA$1))</f>
        <v/>
      </c>
      <c r="AB71" s="88">
        <f>IF(OR(AB$1="",$BE71=0),"",SUMIFS(Entries!$D$2:$D$5000,Entries!$C$2:$C$5000,"Actual",Entries!$A$2:$A$5000,$A71,Entries!$B$2:$B$5000,AB$1))</f>
        <v/>
      </c>
      <c r="AC71" s="88">
        <f>IF(OR(AC$1="",$BE71=0),"",SUMIFS(Entries!$D$2:$D$5000,Entries!$C$2:$C$5000,"Actual",Entries!$A$2:$A$5000,$A71,Entries!$B$2:$B$5000,AC$1))</f>
        <v/>
      </c>
      <c r="AD71" s="88">
        <f>IF(OR(AD$1="",$BE71=0),"",SUMIFS(Entries!$D$2:$D$5000,Entries!$C$2:$C$5000,"Actual",Entries!$A$2:$A$5000,$A71,Entries!$B$2:$B$5000,AD$1))</f>
        <v/>
      </c>
      <c r="AE71" s="88">
        <f>IF(OR(AE$1="",$BE71=0),"",SUMIFS(Entries!$D$2:$D$5000,Entries!$C$2:$C$5000,"Actual",Entries!$A$2:$A$5000,$A71,Entries!$B$2:$B$5000,AE$1))</f>
        <v/>
      </c>
      <c r="AF71" s="88">
        <f>IF(OR(AF$1="",$BE71=0),"",SUMIFS(Entries!$D$2:$D$5000,Entries!$C$2:$C$5000,"Actual",Entries!$A$2:$A$5000,$A71,Entries!$B$2:$B$5000,AF$1))</f>
        <v/>
      </c>
      <c r="AG71" s="88">
        <f>IF(OR(AG$1="",$BE71=0),"",SUMIFS(Entries!$D$2:$D$5000,Entries!$C$2:$C$5000,"Actual",Entries!$A$2:$A$5000,$A71,Entries!$B$2:$B$5000,AG$1))</f>
        <v/>
      </c>
      <c r="AH71" s="88">
        <f>IF(OR(AH$1="",$BE71=0),"",SUMIFS(Entries!$D$2:$D$5000,Entries!$C$2:$C$5000,"Actual",Entries!$A$2:$A$5000,$A71,Entries!$B$2:$B$5000,AH$1))</f>
        <v/>
      </c>
      <c r="AJ71" s="88">
        <f>IF(OR(AJ$1="",$BE71=0),"",IFERROR(LOOKUP(2,1/((Budgets!$A$2:$A$200=AJ$1)*(Budgets!$B$2:$B$200&lt;=$A71)),Budgets!$C$2:$C$200),0))</f>
        <v/>
      </c>
      <c r="AK71" s="88">
        <f>IF(OR(AK$1="",$BE71=0),"",IFERROR(LOOKUP(2,1/((Budgets!$A$2:$A$200=AK$1)*(Budgets!$B$2:$B$200&lt;=$A71)),Budgets!$C$2:$C$200),0))</f>
        <v/>
      </c>
      <c r="AL71" s="88">
        <f>IF(OR(AL$1="",$BE71=0),"",IFERROR(LOOKUP(2,1/((Budgets!$A$2:$A$200=AL$1)*(Budgets!$B$2:$B$200&lt;=$A71)),Budgets!$C$2:$C$200),0))</f>
        <v/>
      </c>
      <c r="AM71" s="88">
        <f>IF(OR(AM$1="",$BE71=0),"",IFERROR(LOOKUP(2,1/((Budgets!$A$2:$A$200=AM$1)*(Budgets!$B$2:$B$200&lt;=$A71)),Budgets!$C$2:$C$200),0))</f>
        <v/>
      </c>
      <c r="AN71" s="88">
        <f>IF(OR(AN$1="",$BE71=0),"",IFERROR(LOOKUP(2,1/((Budgets!$A$2:$A$200=AN$1)*(Budgets!$B$2:$B$200&lt;=$A71)),Budgets!$C$2:$C$200),0))</f>
        <v/>
      </c>
      <c r="AO71" s="88">
        <f>IF(OR(AO$1="",$BE71=0),"",IFERROR(LOOKUP(2,1/((Budgets!$A$2:$A$200=AO$1)*(Budgets!$B$2:$B$200&lt;=$A71)),Budgets!$C$2:$C$200),0))</f>
        <v/>
      </c>
      <c r="AP71" s="88">
        <f>IF(OR(AP$1="",$BE71=0),"",IFERROR(LOOKUP(2,1/((Budgets!$A$2:$A$200=AP$1)*(Budgets!$B$2:$B$200&lt;=$A71)),Budgets!$C$2:$C$200),0))</f>
        <v/>
      </c>
      <c r="AQ71" s="88">
        <f>IF(OR(AQ$1="",$BE71=0),"",IFERROR(LOOKUP(2,1/((Budgets!$A$2:$A$200=AQ$1)*(Budgets!$B$2:$B$200&lt;=$A71)),Budgets!$C$2:$C$200),0))</f>
        <v/>
      </c>
      <c r="AR71" s="88">
        <f>IF(OR(AR$1="",$BE71=0),"",IFERROR(LOOKUP(2,1/((Budgets!$A$2:$A$200=AR$1)*(Budgets!$B$2:$B$200&lt;=$A71)),Budgets!$C$2:$C$200),0))</f>
        <v/>
      </c>
      <c r="AS71" s="88">
        <f>IF(OR(AS$1="",$BE71=0),"",IFERROR(LOOKUP(2,1/((Budgets!$A$2:$A$200=AS$1)*(Budgets!$B$2:$B$200&lt;=$A71)),Budgets!$C$2:$C$200),0))</f>
        <v/>
      </c>
      <c r="AT71" s="88">
        <f>IF(OR(AT$1="",$BE71=0),"",IFERROR(LOOKUP(2,1/((Budgets!$A$2:$A$200=AT$1)*(Budgets!$B$2:$B$200&lt;=$A71)),Budgets!$C$2:$C$200),0))</f>
        <v/>
      </c>
      <c r="AU71" s="88">
        <f>IF(OR(AU$1="",$BE71=0),"",IFERROR(LOOKUP(2,1/((Budgets!$A$2:$A$200=AU$1)*(Budgets!$B$2:$B$200&lt;=$A71)),Budgets!$C$2:$C$200),0))</f>
        <v/>
      </c>
      <c r="AV71" s="88">
        <f>IF(OR(AV$1="",$BE71=0),"",IFERROR(LOOKUP(2,1/((Budgets!$A$2:$A$200=AV$1)*(Budgets!$B$2:$B$200&lt;=$A71)),Budgets!$C$2:$C$200),0))</f>
        <v/>
      </c>
      <c r="AW71" s="88">
        <f>IF(OR(AW$1="",$BE71=0),"",IFERROR(LOOKUP(2,1/((Budgets!$A$2:$A$200=AW$1)*(Budgets!$B$2:$B$200&lt;=$A71)),Budgets!$C$2:$C$200),0))</f>
        <v/>
      </c>
      <c r="AX71" s="88">
        <f>IF(OR(AX$1="",$BE71=0),"",IFERROR(LOOKUP(2,1/((Budgets!$A$2:$A$200=AX$1)*(Budgets!$B$2:$B$200&lt;=$A71)),Budgets!$C$2:$C$200),0))</f>
        <v/>
      </c>
      <c r="AY71" s="88">
        <f>IF(OR(AY$1="",$BE71=0),"",IFERROR(LOOKUP(2,1/((Budgets!$A$2:$A$200=AY$1)*(Budgets!$B$2:$B$200&lt;=$A71)),Budgets!$C$2:$C$200),0))</f>
        <v/>
      </c>
      <c r="AZ71" s="88">
        <f>IF(OR(AZ$1="",$BE71=0),"",IFERROR(LOOKUP(2,1/((Budgets!$A$2:$A$200=AZ$1)*(Budgets!$B$2:$B$200&lt;=$A71)),Budgets!$C$2:$C$200),0))</f>
        <v/>
      </c>
      <c r="BA71" s="88">
        <f>IF(OR(BA$1="",$BE71=0),"",IFERROR(LOOKUP(2,1/((Budgets!$A$2:$A$200=BA$1)*(Budgets!$B$2:$B$200&lt;=$A71)),Budgets!$C$2:$C$200),0))</f>
        <v/>
      </c>
      <c r="BB71" s="88">
        <f>IF(OR(BB$1="",$BE71=0),"",IFERROR(LOOKUP(2,1/((Budgets!$A$2:$A$200=BB$1)*(Budgets!$B$2:$B$200&lt;=$A71)),Budgets!$C$2:$C$200),0))</f>
        <v/>
      </c>
      <c r="BC71" s="88">
        <f>IF(OR(BC$1="",$BE71=0),"",IFERROR(LOOKUP(2,1/((Budgets!$A$2:$A$200=BC$1)*(Budgets!$B$2:$B$200&lt;=$A71)),Budgets!$C$2:$C$200),0))</f>
        <v/>
      </c>
      <c r="BE71" s="67">
        <f>COUNTIFS(Entries!$A$2:$A$5000,$A71)</f>
        <v/>
      </c>
    </row>
    <row r="72" ht="15" customHeight="1" s="43">
      <c r="A72" s="87" t="n">
        <v>41579</v>
      </c>
      <c r="B72" s="88">
        <f>IF($BE72=0,NA(),SUMIFS(Entries!$D$2:$D$5000,Entries!$C$2:$C$5000,"Income",Entries!$A$2:$A$5000,$A72))</f>
        <v/>
      </c>
      <c r="C72" s="88">
        <f>IF($BE72=0,"",SUMIFS(Entries!$D$2:$D$5000,Entries!$C$2:$C$5000,"Actual",Entries!$A$2:$A$5000,$A72))</f>
        <v/>
      </c>
      <c r="D72" s="88">
        <f>IF($BE72=0,"",SUMIFS(Entries!$D$2:$D$5000,Entries!$C$2:$C$5000,"One-off",Entries!$A$2:$A$5000,$A72))</f>
        <v/>
      </c>
      <c r="E72" s="88">
        <f>IF($BE72=0,NA(),C72+D72)</f>
        <v/>
      </c>
      <c r="F72" s="88">
        <f>IF($BE72=0,"",SUM(AJ72:BC72))</f>
        <v/>
      </c>
      <c r="G72" s="88">
        <f>IF($BE72=0,"",B72-E72)</f>
        <v/>
      </c>
      <c r="H72" s="88">
        <f>IF($BE72=0,"",SUM($G$2:G72))</f>
        <v/>
      </c>
      <c r="I72" s="88">
        <f>IF($BE72=0,"",SUMIFS(Entries!$F$2:$F$5000,Entries!$A$2:$A$5000,$A72))</f>
        <v/>
      </c>
      <c r="J72" s="88">
        <f>IF($BE72=0,NA(),H72+SUM($I$2:I72))</f>
        <v/>
      </c>
      <c r="K72" s="88">
        <f>IF($BE72=0,"",SUMIFS(Entries!$D$2:$D$5000,Entries!$C$2:$C$5000,"Income",Entries!$A$2:$A$5000,"&gt;="&amp;EDATE($A72,-11),Entries!$A$2:$A$5000,"&lt;="&amp;$A72)/12)</f>
        <v/>
      </c>
      <c r="L72" s="88">
        <f>IF($BE72=0,"",(SUMIFS(Entries!$D$2:$D$5000,Entries!$C$2:$C$5000,"Actual",Entries!$A$2:$A$5000,"&gt;="&amp;EDATE($A72,-11),Entries!$A$2:$A$5000,"&lt;="&amp;$A72)+SUMIFS(Entries!$D$2:$D$5000,Entries!$C$2:$C$5000,"One-off",Entries!$A$2:$A$5000,"&gt;="&amp;EDATE($A72,-11),Entries!$A$2:$A$5000,"&lt;="&amp;$A72))/12)</f>
        <v/>
      </c>
      <c r="M72" s="70">
        <f>IF($BE72=0,NA(),IFERROR((K72-L72)/K72,0))</f>
        <v/>
      </c>
      <c r="O72" s="88">
        <f>IF(OR(O$1="",$BE72=0),"",SUMIFS(Entries!$D$2:$D$5000,Entries!$C$2:$C$5000,"Actual",Entries!$A$2:$A$5000,$A72,Entries!$B$2:$B$5000,O$1))</f>
        <v/>
      </c>
      <c r="P72" s="88">
        <f>IF(OR(P$1="",$BE72=0),"",SUMIFS(Entries!$D$2:$D$5000,Entries!$C$2:$C$5000,"Actual",Entries!$A$2:$A$5000,$A72,Entries!$B$2:$B$5000,P$1))</f>
        <v/>
      </c>
      <c r="Q72" s="88">
        <f>IF(OR(Q$1="",$BE72=0),"",SUMIFS(Entries!$D$2:$D$5000,Entries!$C$2:$C$5000,"Actual",Entries!$A$2:$A$5000,$A72,Entries!$B$2:$B$5000,Q$1))</f>
        <v/>
      </c>
      <c r="R72" s="88">
        <f>IF(OR(R$1="",$BE72=0),"",SUMIFS(Entries!$D$2:$D$5000,Entries!$C$2:$C$5000,"Actual",Entries!$A$2:$A$5000,$A72,Entries!$B$2:$B$5000,R$1))</f>
        <v/>
      </c>
      <c r="S72" s="88">
        <f>IF(OR(S$1="",$BE72=0),"",SUMIFS(Entries!$D$2:$D$5000,Entries!$C$2:$C$5000,"Actual",Entries!$A$2:$A$5000,$A72,Entries!$B$2:$B$5000,S$1))</f>
        <v/>
      </c>
      <c r="T72" s="88">
        <f>IF(OR(T$1="",$BE72=0),"",SUMIFS(Entries!$D$2:$D$5000,Entries!$C$2:$C$5000,"Actual",Entries!$A$2:$A$5000,$A72,Entries!$B$2:$B$5000,T$1))</f>
        <v/>
      </c>
      <c r="U72" s="88">
        <f>IF(OR(U$1="",$BE72=0),"",SUMIFS(Entries!$D$2:$D$5000,Entries!$C$2:$C$5000,"Actual",Entries!$A$2:$A$5000,$A72,Entries!$B$2:$B$5000,U$1))</f>
        <v/>
      </c>
      <c r="V72" s="88">
        <f>IF(OR(V$1="",$BE72=0),"",SUMIFS(Entries!$D$2:$D$5000,Entries!$C$2:$C$5000,"Actual",Entries!$A$2:$A$5000,$A72,Entries!$B$2:$B$5000,V$1))</f>
        <v/>
      </c>
      <c r="W72" s="88">
        <f>IF(OR(W$1="",$BE72=0),"",SUMIFS(Entries!$D$2:$D$5000,Entries!$C$2:$C$5000,"Actual",Entries!$A$2:$A$5000,$A72,Entries!$B$2:$B$5000,W$1))</f>
        <v/>
      </c>
      <c r="X72" s="88">
        <f>IF(OR(X$1="",$BE72=0),"",SUMIFS(Entries!$D$2:$D$5000,Entries!$C$2:$C$5000,"Actual",Entries!$A$2:$A$5000,$A72,Entries!$B$2:$B$5000,X$1))</f>
        <v/>
      </c>
      <c r="Y72" s="88">
        <f>IF(OR(Y$1="",$BE72=0),"",SUMIFS(Entries!$D$2:$D$5000,Entries!$C$2:$C$5000,"Actual",Entries!$A$2:$A$5000,$A72,Entries!$B$2:$B$5000,Y$1))</f>
        <v/>
      </c>
      <c r="Z72" s="88">
        <f>IF(OR(Z$1="",$BE72=0),"",SUMIFS(Entries!$D$2:$D$5000,Entries!$C$2:$C$5000,"Actual",Entries!$A$2:$A$5000,$A72,Entries!$B$2:$B$5000,Z$1))</f>
        <v/>
      </c>
      <c r="AA72" s="88">
        <f>IF(OR(AA$1="",$BE72=0),"",SUMIFS(Entries!$D$2:$D$5000,Entries!$C$2:$C$5000,"Actual",Entries!$A$2:$A$5000,$A72,Entries!$B$2:$B$5000,AA$1))</f>
        <v/>
      </c>
      <c r="AB72" s="88">
        <f>IF(OR(AB$1="",$BE72=0),"",SUMIFS(Entries!$D$2:$D$5000,Entries!$C$2:$C$5000,"Actual",Entries!$A$2:$A$5000,$A72,Entries!$B$2:$B$5000,AB$1))</f>
        <v/>
      </c>
      <c r="AC72" s="88">
        <f>IF(OR(AC$1="",$BE72=0),"",SUMIFS(Entries!$D$2:$D$5000,Entries!$C$2:$C$5000,"Actual",Entries!$A$2:$A$5000,$A72,Entries!$B$2:$B$5000,AC$1))</f>
        <v/>
      </c>
      <c r="AD72" s="88">
        <f>IF(OR(AD$1="",$BE72=0),"",SUMIFS(Entries!$D$2:$D$5000,Entries!$C$2:$C$5000,"Actual",Entries!$A$2:$A$5000,$A72,Entries!$B$2:$B$5000,AD$1))</f>
        <v/>
      </c>
      <c r="AE72" s="88">
        <f>IF(OR(AE$1="",$BE72=0),"",SUMIFS(Entries!$D$2:$D$5000,Entries!$C$2:$C$5000,"Actual",Entries!$A$2:$A$5000,$A72,Entries!$B$2:$B$5000,AE$1))</f>
        <v/>
      </c>
      <c r="AF72" s="88">
        <f>IF(OR(AF$1="",$BE72=0),"",SUMIFS(Entries!$D$2:$D$5000,Entries!$C$2:$C$5000,"Actual",Entries!$A$2:$A$5000,$A72,Entries!$B$2:$B$5000,AF$1))</f>
        <v/>
      </c>
      <c r="AG72" s="88">
        <f>IF(OR(AG$1="",$BE72=0),"",SUMIFS(Entries!$D$2:$D$5000,Entries!$C$2:$C$5000,"Actual",Entries!$A$2:$A$5000,$A72,Entries!$B$2:$B$5000,AG$1))</f>
        <v/>
      </c>
      <c r="AH72" s="88">
        <f>IF(OR(AH$1="",$BE72=0),"",SUMIFS(Entries!$D$2:$D$5000,Entries!$C$2:$C$5000,"Actual",Entries!$A$2:$A$5000,$A72,Entries!$B$2:$B$5000,AH$1))</f>
        <v/>
      </c>
      <c r="AJ72" s="88">
        <f>IF(OR(AJ$1="",$BE72=0),"",IFERROR(LOOKUP(2,1/((Budgets!$A$2:$A$200=AJ$1)*(Budgets!$B$2:$B$200&lt;=$A72)),Budgets!$C$2:$C$200),0))</f>
        <v/>
      </c>
      <c r="AK72" s="88">
        <f>IF(OR(AK$1="",$BE72=0),"",IFERROR(LOOKUP(2,1/((Budgets!$A$2:$A$200=AK$1)*(Budgets!$B$2:$B$200&lt;=$A72)),Budgets!$C$2:$C$200),0))</f>
        <v/>
      </c>
      <c r="AL72" s="88">
        <f>IF(OR(AL$1="",$BE72=0),"",IFERROR(LOOKUP(2,1/((Budgets!$A$2:$A$200=AL$1)*(Budgets!$B$2:$B$200&lt;=$A72)),Budgets!$C$2:$C$200),0))</f>
        <v/>
      </c>
      <c r="AM72" s="88">
        <f>IF(OR(AM$1="",$BE72=0),"",IFERROR(LOOKUP(2,1/((Budgets!$A$2:$A$200=AM$1)*(Budgets!$B$2:$B$200&lt;=$A72)),Budgets!$C$2:$C$200),0))</f>
        <v/>
      </c>
      <c r="AN72" s="88">
        <f>IF(OR(AN$1="",$BE72=0),"",IFERROR(LOOKUP(2,1/((Budgets!$A$2:$A$200=AN$1)*(Budgets!$B$2:$B$200&lt;=$A72)),Budgets!$C$2:$C$200),0))</f>
        <v/>
      </c>
      <c r="AO72" s="88">
        <f>IF(OR(AO$1="",$BE72=0),"",IFERROR(LOOKUP(2,1/((Budgets!$A$2:$A$200=AO$1)*(Budgets!$B$2:$B$200&lt;=$A72)),Budgets!$C$2:$C$200),0))</f>
        <v/>
      </c>
      <c r="AP72" s="88">
        <f>IF(OR(AP$1="",$BE72=0),"",IFERROR(LOOKUP(2,1/((Budgets!$A$2:$A$200=AP$1)*(Budgets!$B$2:$B$200&lt;=$A72)),Budgets!$C$2:$C$200),0))</f>
        <v/>
      </c>
      <c r="AQ72" s="88">
        <f>IF(OR(AQ$1="",$BE72=0),"",IFERROR(LOOKUP(2,1/((Budgets!$A$2:$A$200=AQ$1)*(Budgets!$B$2:$B$200&lt;=$A72)),Budgets!$C$2:$C$200),0))</f>
        <v/>
      </c>
      <c r="AR72" s="88">
        <f>IF(OR(AR$1="",$BE72=0),"",IFERROR(LOOKUP(2,1/((Budgets!$A$2:$A$200=AR$1)*(Budgets!$B$2:$B$200&lt;=$A72)),Budgets!$C$2:$C$200),0))</f>
        <v/>
      </c>
      <c r="AS72" s="88">
        <f>IF(OR(AS$1="",$BE72=0),"",IFERROR(LOOKUP(2,1/((Budgets!$A$2:$A$200=AS$1)*(Budgets!$B$2:$B$200&lt;=$A72)),Budgets!$C$2:$C$200),0))</f>
        <v/>
      </c>
      <c r="AT72" s="88">
        <f>IF(OR(AT$1="",$BE72=0),"",IFERROR(LOOKUP(2,1/((Budgets!$A$2:$A$200=AT$1)*(Budgets!$B$2:$B$200&lt;=$A72)),Budgets!$C$2:$C$200),0))</f>
        <v/>
      </c>
      <c r="AU72" s="88">
        <f>IF(OR(AU$1="",$BE72=0),"",IFERROR(LOOKUP(2,1/((Budgets!$A$2:$A$200=AU$1)*(Budgets!$B$2:$B$200&lt;=$A72)),Budgets!$C$2:$C$200),0))</f>
        <v/>
      </c>
      <c r="AV72" s="88">
        <f>IF(OR(AV$1="",$BE72=0),"",IFERROR(LOOKUP(2,1/((Budgets!$A$2:$A$200=AV$1)*(Budgets!$B$2:$B$200&lt;=$A72)),Budgets!$C$2:$C$200),0))</f>
        <v/>
      </c>
      <c r="AW72" s="88">
        <f>IF(OR(AW$1="",$BE72=0),"",IFERROR(LOOKUP(2,1/((Budgets!$A$2:$A$200=AW$1)*(Budgets!$B$2:$B$200&lt;=$A72)),Budgets!$C$2:$C$200),0))</f>
        <v/>
      </c>
      <c r="AX72" s="88">
        <f>IF(OR(AX$1="",$BE72=0),"",IFERROR(LOOKUP(2,1/((Budgets!$A$2:$A$200=AX$1)*(Budgets!$B$2:$B$200&lt;=$A72)),Budgets!$C$2:$C$200),0))</f>
        <v/>
      </c>
      <c r="AY72" s="88">
        <f>IF(OR(AY$1="",$BE72=0),"",IFERROR(LOOKUP(2,1/((Budgets!$A$2:$A$200=AY$1)*(Budgets!$B$2:$B$200&lt;=$A72)),Budgets!$C$2:$C$200),0))</f>
        <v/>
      </c>
      <c r="AZ72" s="88">
        <f>IF(OR(AZ$1="",$BE72=0),"",IFERROR(LOOKUP(2,1/((Budgets!$A$2:$A$200=AZ$1)*(Budgets!$B$2:$B$200&lt;=$A72)),Budgets!$C$2:$C$200),0))</f>
        <v/>
      </c>
      <c r="BA72" s="88">
        <f>IF(OR(BA$1="",$BE72=0),"",IFERROR(LOOKUP(2,1/((Budgets!$A$2:$A$200=BA$1)*(Budgets!$B$2:$B$200&lt;=$A72)),Budgets!$C$2:$C$200),0))</f>
        <v/>
      </c>
      <c r="BB72" s="88">
        <f>IF(OR(BB$1="",$BE72=0),"",IFERROR(LOOKUP(2,1/((Budgets!$A$2:$A$200=BB$1)*(Budgets!$B$2:$B$200&lt;=$A72)),Budgets!$C$2:$C$200),0))</f>
        <v/>
      </c>
      <c r="BC72" s="88">
        <f>IF(OR(BC$1="",$BE72=0),"",IFERROR(LOOKUP(2,1/((Budgets!$A$2:$A$200=BC$1)*(Budgets!$B$2:$B$200&lt;=$A72)),Budgets!$C$2:$C$200),0))</f>
        <v/>
      </c>
      <c r="BE72" s="67">
        <f>COUNTIFS(Entries!$A$2:$A$5000,$A72)</f>
        <v/>
      </c>
    </row>
    <row r="73" ht="15" customHeight="1" s="43">
      <c r="A73" s="87" t="n">
        <v>41609</v>
      </c>
      <c r="B73" s="88">
        <f>IF($BE73=0,NA(),SUMIFS(Entries!$D$2:$D$5000,Entries!$C$2:$C$5000,"Income",Entries!$A$2:$A$5000,$A73))</f>
        <v/>
      </c>
      <c r="C73" s="88">
        <f>IF($BE73=0,"",SUMIFS(Entries!$D$2:$D$5000,Entries!$C$2:$C$5000,"Actual",Entries!$A$2:$A$5000,$A73))</f>
        <v/>
      </c>
      <c r="D73" s="88">
        <f>IF($BE73=0,"",SUMIFS(Entries!$D$2:$D$5000,Entries!$C$2:$C$5000,"One-off",Entries!$A$2:$A$5000,$A73))</f>
        <v/>
      </c>
      <c r="E73" s="88">
        <f>IF($BE73=0,NA(),C73+D73)</f>
        <v/>
      </c>
      <c r="F73" s="88">
        <f>IF($BE73=0,"",SUM(AJ73:BC73))</f>
        <v/>
      </c>
      <c r="G73" s="88">
        <f>IF($BE73=0,"",B73-E73)</f>
        <v/>
      </c>
      <c r="H73" s="88">
        <f>IF($BE73=0,"",SUM($G$2:G73))</f>
        <v/>
      </c>
      <c r="I73" s="88">
        <f>IF($BE73=0,"",SUMIFS(Entries!$F$2:$F$5000,Entries!$A$2:$A$5000,$A73))</f>
        <v/>
      </c>
      <c r="J73" s="88">
        <f>IF($BE73=0,NA(),H73+SUM($I$2:I73))</f>
        <v/>
      </c>
      <c r="K73" s="88">
        <f>IF($BE73=0,"",SUMIFS(Entries!$D$2:$D$5000,Entries!$C$2:$C$5000,"Income",Entries!$A$2:$A$5000,"&gt;="&amp;EDATE($A73,-11),Entries!$A$2:$A$5000,"&lt;="&amp;$A73)/12)</f>
        <v/>
      </c>
      <c r="L73" s="88">
        <f>IF($BE73=0,"",(SUMIFS(Entries!$D$2:$D$5000,Entries!$C$2:$C$5000,"Actual",Entries!$A$2:$A$5000,"&gt;="&amp;EDATE($A73,-11),Entries!$A$2:$A$5000,"&lt;="&amp;$A73)+SUMIFS(Entries!$D$2:$D$5000,Entries!$C$2:$C$5000,"One-off",Entries!$A$2:$A$5000,"&gt;="&amp;EDATE($A73,-11),Entries!$A$2:$A$5000,"&lt;="&amp;$A73))/12)</f>
        <v/>
      </c>
      <c r="M73" s="70">
        <f>IF($BE73=0,NA(),IFERROR((K73-L73)/K73,0))</f>
        <v/>
      </c>
      <c r="O73" s="88">
        <f>IF(OR(O$1="",$BE73=0),"",SUMIFS(Entries!$D$2:$D$5000,Entries!$C$2:$C$5000,"Actual",Entries!$A$2:$A$5000,$A73,Entries!$B$2:$B$5000,O$1))</f>
        <v/>
      </c>
      <c r="P73" s="88">
        <f>IF(OR(P$1="",$BE73=0),"",SUMIFS(Entries!$D$2:$D$5000,Entries!$C$2:$C$5000,"Actual",Entries!$A$2:$A$5000,$A73,Entries!$B$2:$B$5000,P$1))</f>
        <v/>
      </c>
      <c r="Q73" s="88">
        <f>IF(OR(Q$1="",$BE73=0),"",SUMIFS(Entries!$D$2:$D$5000,Entries!$C$2:$C$5000,"Actual",Entries!$A$2:$A$5000,$A73,Entries!$B$2:$B$5000,Q$1))</f>
        <v/>
      </c>
      <c r="R73" s="88">
        <f>IF(OR(R$1="",$BE73=0),"",SUMIFS(Entries!$D$2:$D$5000,Entries!$C$2:$C$5000,"Actual",Entries!$A$2:$A$5000,$A73,Entries!$B$2:$B$5000,R$1))</f>
        <v/>
      </c>
      <c r="S73" s="88">
        <f>IF(OR(S$1="",$BE73=0),"",SUMIFS(Entries!$D$2:$D$5000,Entries!$C$2:$C$5000,"Actual",Entries!$A$2:$A$5000,$A73,Entries!$B$2:$B$5000,S$1))</f>
        <v/>
      </c>
      <c r="T73" s="88">
        <f>IF(OR(T$1="",$BE73=0),"",SUMIFS(Entries!$D$2:$D$5000,Entries!$C$2:$C$5000,"Actual",Entries!$A$2:$A$5000,$A73,Entries!$B$2:$B$5000,T$1))</f>
        <v/>
      </c>
      <c r="U73" s="88">
        <f>IF(OR(U$1="",$BE73=0),"",SUMIFS(Entries!$D$2:$D$5000,Entries!$C$2:$C$5000,"Actual",Entries!$A$2:$A$5000,$A73,Entries!$B$2:$B$5000,U$1))</f>
        <v/>
      </c>
      <c r="V73" s="88">
        <f>IF(OR(V$1="",$BE73=0),"",SUMIFS(Entries!$D$2:$D$5000,Entries!$C$2:$C$5000,"Actual",Entries!$A$2:$A$5000,$A73,Entries!$B$2:$B$5000,V$1))</f>
        <v/>
      </c>
      <c r="W73" s="88">
        <f>IF(OR(W$1="",$BE73=0),"",SUMIFS(Entries!$D$2:$D$5000,Entries!$C$2:$C$5000,"Actual",Entries!$A$2:$A$5000,$A73,Entries!$B$2:$B$5000,W$1))</f>
        <v/>
      </c>
      <c r="X73" s="88">
        <f>IF(OR(X$1="",$BE73=0),"",SUMIFS(Entries!$D$2:$D$5000,Entries!$C$2:$C$5000,"Actual",Entries!$A$2:$A$5000,$A73,Entries!$B$2:$B$5000,X$1))</f>
        <v/>
      </c>
      <c r="Y73" s="88">
        <f>IF(OR(Y$1="",$BE73=0),"",SUMIFS(Entries!$D$2:$D$5000,Entries!$C$2:$C$5000,"Actual",Entries!$A$2:$A$5000,$A73,Entries!$B$2:$B$5000,Y$1))</f>
        <v/>
      </c>
      <c r="Z73" s="88">
        <f>IF(OR(Z$1="",$BE73=0),"",SUMIFS(Entries!$D$2:$D$5000,Entries!$C$2:$C$5000,"Actual",Entries!$A$2:$A$5000,$A73,Entries!$B$2:$B$5000,Z$1))</f>
        <v/>
      </c>
      <c r="AA73" s="88">
        <f>IF(OR(AA$1="",$BE73=0),"",SUMIFS(Entries!$D$2:$D$5000,Entries!$C$2:$C$5000,"Actual",Entries!$A$2:$A$5000,$A73,Entries!$B$2:$B$5000,AA$1))</f>
        <v/>
      </c>
      <c r="AB73" s="88">
        <f>IF(OR(AB$1="",$BE73=0),"",SUMIFS(Entries!$D$2:$D$5000,Entries!$C$2:$C$5000,"Actual",Entries!$A$2:$A$5000,$A73,Entries!$B$2:$B$5000,AB$1))</f>
        <v/>
      </c>
      <c r="AC73" s="88">
        <f>IF(OR(AC$1="",$BE73=0),"",SUMIFS(Entries!$D$2:$D$5000,Entries!$C$2:$C$5000,"Actual",Entries!$A$2:$A$5000,$A73,Entries!$B$2:$B$5000,AC$1))</f>
        <v/>
      </c>
      <c r="AD73" s="88">
        <f>IF(OR(AD$1="",$BE73=0),"",SUMIFS(Entries!$D$2:$D$5000,Entries!$C$2:$C$5000,"Actual",Entries!$A$2:$A$5000,$A73,Entries!$B$2:$B$5000,AD$1))</f>
        <v/>
      </c>
      <c r="AE73" s="88">
        <f>IF(OR(AE$1="",$BE73=0),"",SUMIFS(Entries!$D$2:$D$5000,Entries!$C$2:$C$5000,"Actual",Entries!$A$2:$A$5000,$A73,Entries!$B$2:$B$5000,AE$1))</f>
        <v/>
      </c>
      <c r="AF73" s="88">
        <f>IF(OR(AF$1="",$BE73=0),"",SUMIFS(Entries!$D$2:$D$5000,Entries!$C$2:$C$5000,"Actual",Entries!$A$2:$A$5000,$A73,Entries!$B$2:$B$5000,AF$1))</f>
        <v/>
      </c>
      <c r="AG73" s="88">
        <f>IF(OR(AG$1="",$BE73=0),"",SUMIFS(Entries!$D$2:$D$5000,Entries!$C$2:$C$5000,"Actual",Entries!$A$2:$A$5000,$A73,Entries!$B$2:$B$5000,AG$1))</f>
        <v/>
      </c>
      <c r="AH73" s="88">
        <f>IF(OR(AH$1="",$BE73=0),"",SUMIFS(Entries!$D$2:$D$5000,Entries!$C$2:$C$5000,"Actual",Entries!$A$2:$A$5000,$A73,Entries!$B$2:$B$5000,AH$1))</f>
        <v/>
      </c>
      <c r="AJ73" s="88">
        <f>IF(OR(AJ$1="",$BE73=0),"",IFERROR(LOOKUP(2,1/((Budgets!$A$2:$A$200=AJ$1)*(Budgets!$B$2:$B$200&lt;=$A73)),Budgets!$C$2:$C$200),0))</f>
        <v/>
      </c>
      <c r="AK73" s="88">
        <f>IF(OR(AK$1="",$BE73=0),"",IFERROR(LOOKUP(2,1/((Budgets!$A$2:$A$200=AK$1)*(Budgets!$B$2:$B$200&lt;=$A73)),Budgets!$C$2:$C$200),0))</f>
        <v/>
      </c>
      <c r="AL73" s="88">
        <f>IF(OR(AL$1="",$BE73=0),"",IFERROR(LOOKUP(2,1/((Budgets!$A$2:$A$200=AL$1)*(Budgets!$B$2:$B$200&lt;=$A73)),Budgets!$C$2:$C$200),0))</f>
        <v/>
      </c>
      <c r="AM73" s="88">
        <f>IF(OR(AM$1="",$BE73=0),"",IFERROR(LOOKUP(2,1/((Budgets!$A$2:$A$200=AM$1)*(Budgets!$B$2:$B$200&lt;=$A73)),Budgets!$C$2:$C$200),0))</f>
        <v/>
      </c>
      <c r="AN73" s="88">
        <f>IF(OR(AN$1="",$BE73=0),"",IFERROR(LOOKUP(2,1/((Budgets!$A$2:$A$200=AN$1)*(Budgets!$B$2:$B$200&lt;=$A73)),Budgets!$C$2:$C$200),0))</f>
        <v/>
      </c>
      <c r="AO73" s="88">
        <f>IF(OR(AO$1="",$BE73=0),"",IFERROR(LOOKUP(2,1/((Budgets!$A$2:$A$200=AO$1)*(Budgets!$B$2:$B$200&lt;=$A73)),Budgets!$C$2:$C$200),0))</f>
        <v/>
      </c>
      <c r="AP73" s="88">
        <f>IF(OR(AP$1="",$BE73=0),"",IFERROR(LOOKUP(2,1/((Budgets!$A$2:$A$200=AP$1)*(Budgets!$B$2:$B$200&lt;=$A73)),Budgets!$C$2:$C$200),0))</f>
        <v/>
      </c>
      <c r="AQ73" s="88">
        <f>IF(OR(AQ$1="",$BE73=0),"",IFERROR(LOOKUP(2,1/((Budgets!$A$2:$A$200=AQ$1)*(Budgets!$B$2:$B$200&lt;=$A73)),Budgets!$C$2:$C$200),0))</f>
        <v/>
      </c>
      <c r="AR73" s="88">
        <f>IF(OR(AR$1="",$BE73=0),"",IFERROR(LOOKUP(2,1/((Budgets!$A$2:$A$200=AR$1)*(Budgets!$B$2:$B$200&lt;=$A73)),Budgets!$C$2:$C$200),0))</f>
        <v/>
      </c>
      <c r="AS73" s="88">
        <f>IF(OR(AS$1="",$BE73=0),"",IFERROR(LOOKUP(2,1/((Budgets!$A$2:$A$200=AS$1)*(Budgets!$B$2:$B$200&lt;=$A73)),Budgets!$C$2:$C$200),0))</f>
        <v/>
      </c>
      <c r="AT73" s="88">
        <f>IF(OR(AT$1="",$BE73=0),"",IFERROR(LOOKUP(2,1/((Budgets!$A$2:$A$200=AT$1)*(Budgets!$B$2:$B$200&lt;=$A73)),Budgets!$C$2:$C$200),0))</f>
        <v/>
      </c>
      <c r="AU73" s="88">
        <f>IF(OR(AU$1="",$BE73=0),"",IFERROR(LOOKUP(2,1/((Budgets!$A$2:$A$200=AU$1)*(Budgets!$B$2:$B$200&lt;=$A73)),Budgets!$C$2:$C$200),0))</f>
        <v/>
      </c>
      <c r="AV73" s="88">
        <f>IF(OR(AV$1="",$BE73=0),"",IFERROR(LOOKUP(2,1/((Budgets!$A$2:$A$200=AV$1)*(Budgets!$B$2:$B$200&lt;=$A73)),Budgets!$C$2:$C$200),0))</f>
        <v/>
      </c>
      <c r="AW73" s="88">
        <f>IF(OR(AW$1="",$BE73=0),"",IFERROR(LOOKUP(2,1/((Budgets!$A$2:$A$200=AW$1)*(Budgets!$B$2:$B$200&lt;=$A73)),Budgets!$C$2:$C$200),0))</f>
        <v/>
      </c>
      <c r="AX73" s="88">
        <f>IF(OR(AX$1="",$BE73=0),"",IFERROR(LOOKUP(2,1/((Budgets!$A$2:$A$200=AX$1)*(Budgets!$B$2:$B$200&lt;=$A73)),Budgets!$C$2:$C$200),0))</f>
        <v/>
      </c>
      <c r="AY73" s="88">
        <f>IF(OR(AY$1="",$BE73=0),"",IFERROR(LOOKUP(2,1/((Budgets!$A$2:$A$200=AY$1)*(Budgets!$B$2:$B$200&lt;=$A73)),Budgets!$C$2:$C$200),0))</f>
        <v/>
      </c>
      <c r="AZ73" s="88">
        <f>IF(OR(AZ$1="",$BE73=0),"",IFERROR(LOOKUP(2,1/((Budgets!$A$2:$A$200=AZ$1)*(Budgets!$B$2:$B$200&lt;=$A73)),Budgets!$C$2:$C$200),0))</f>
        <v/>
      </c>
      <c r="BA73" s="88">
        <f>IF(OR(BA$1="",$BE73=0),"",IFERROR(LOOKUP(2,1/((Budgets!$A$2:$A$200=BA$1)*(Budgets!$B$2:$B$200&lt;=$A73)),Budgets!$C$2:$C$200),0))</f>
        <v/>
      </c>
      <c r="BB73" s="88">
        <f>IF(OR(BB$1="",$BE73=0),"",IFERROR(LOOKUP(2,1/((Budgets!$A$2:$A$200=BB$1)*(Budgets!$B$2:$B$200&lt;=$A73)),Budgets!$C$2:$C$200),0))</f>
        <v/>
      </c>
      <c r="BC73" s="88">
        <f>IF(OR(BC$1="",$BE73=0),"",IFERROR(LOOKUP(2,1/((Budgets!$A$2:$A$200=BC$1)*(Budgets!$B$2:$B$200&lt;=$A73)),Budgets!$C$2:$C$200),0))</f>
        <v/>
      </c>
      <c r="BE73" s="67">
        <f>COUNTIFS(Entries!$A$2:$A$5000,$A73)</f>
        <v/>
      </c>
    </row>
    <row r="74" ht="15" customHeight="1" s="43">
      <c r="A74" s="87" t="n">
        <v>41640</v>
      </c>
      <c r="B74" s="88">
        <f>IF($BE74=0,NA(),SUMIFS(Entries!$D$2:$D$5000,Entries!$C$2:$C$5000,"Income",Entries!$A$2:$A$5000,$A74))</f>
        <v/>
      </c>
      <c r="C74" s="88">
        <f>IF($BE74=0,"",SUMIFS(Entries!$D$2:$D$5000,Entries!$C$2:$C$5000,"Actual",Entries!$A$2:$A$5000,$A74))</f>
        <v/>
      </c>
      <c r="D74" s="88">
        <f>IF($BE74=0,"",SUMIFS(Entries!$D$2:$D$5000,Entries!$C$2:$C$5000,"One-off",Entries!$A$2:$A$5000,$A74))</f>
        <v/>
      </c>
      <c r="E74" s="88">
        <f>IF($BE74=0,NA(),C74+D74)</f>
        <v/>
      </c>
      <c r="F74" s="88">
        <f>IF($BE74=0,"",SUM(AJ74:BC74))</f>
        <v/>
      </c>
      <c r="G74" s="88">
        <f>IF($BE74=0,"",B74-E74)</f>
        <v/>
      </c>
      <c r="H74" s="88">
        <f>IF($BE74=0,"",SUM($G$2:G74))</f>
        <v/>
      </c>
      <c r="I74" s="88">
        <f>IF($BE74=0,"",SUMIFS(Entries!$F$2:$F$5000,Entries!$A$2:$A$5000,$A74))</f>
        <v/>
      </c>
      <c r="J74" s="88">
        <f>IF($BE74=0,NA(),H74+SUM($I$2:I74))</f>
        <v/>
      </c>
      <c r="K74" s="88">
        <f>IF($BE74=0,"",SUMIFS(Entries!$D$2:$D$5000,Entries!$C$2:$C$5000,"Income",Entries!$A$2:$A$5000,"&gt;="&amp;EDATE($A74,-11),Entries!$A$2:$A$5000,"&lt;="&amp;$A74)/12)</f>
        <v/>
      </c>
      <c r="L74" s="88">
        <f>IF($BE74=0,"",(SUMIFS(Entries!$D$2:$D$5000,Entries!$C$2:$C$5000,"Actual",Entries!$A$2:$A$5000,"&gt;="&amp;EDATE($A74,-11),Entries!$A$2:$A$5000,"&lt;="&amp;$A74)+SUMIFS(Entries!$D$2:$D$5000,Entries!$C$2:$C$5000,"One-off",Entries!$A$2:$A$5000,"&gt;="&amp;EDATE($A74,-11),Entries!$A$2:$A$5000,"&lt;="&amp;$A74))/12)</f>
        <v/>
      </c>
      <c r="M74" s="70">
        <f>IF($BE74=0,NA(),IFERROR((K74-L74)/K74,0))</f>
        <v/>
      </c>
      <c r="O74" s="88">
        <f>IF(OR(O$1="",$BE74=0),"",SUMIFS(Entries!$D$2:$D$5000,Entries!$C$2:$C$5000,"Actual",Entries!$A$2:$A$5000,$A74,Entries!$B$2:$B$5000,O$1))</f>
        <v/>
      </c>
      <c r="P74" s="88">
        <f>IF(OR(P$1="",$BE74=0),"",SUMIFS(Entries!$D$2:$D$5000,Entries!$C$2:$C$5000,"Actual",Entries!$A$2:$A$5000,$A74,Entries!$B$2:$B$5000,P$1))</f>
        <v/>
      </c>
      <c r="Q74" s="88">
        <f>IF(OR(Q$1="",$BE74=0),"",SUMIFS(Entries!$D$2:$D$5000,Entries!$C$2:$C$5000,"Actual",Entries!$A$2:$A$5000,$A74,Entries!$B$2:$B$5000,Q$1))</f>
        <v/>
      </c>
      <c r="R74" s="88">
        <f>IF(OR(R$1="",$BE74=0),"",SUMIFS(Entries!$D$2:$D$5000,Entries!$C$2:$C$5000,"Actual",Entries!$A$2:$A$5000,$A74,Entries!$B$2:$B$5000,R$1))</f>
        <v/>
      </c>
      <c r="S74" s="88">
        <f>IF(OR(S$1="",$BE74=0),"",SUMIFS(Entries!$D$2:$D$5000,Entries!$C$2:$C$5000,"Actual",Entries!$A$2:$A$5000,$A74,Entries!$B$2:$B$5000,S$1))</f>
        <v/>
      </c>
      <c r="T74" s="88">
        <f>IF(OR(T$1="",$BE74=0),"",SUMIFS(Entries!$D$2:$D$5000,Entries!$C$2:$C$5000,"Actual",Entries!$A$2:$A$5000,$A74,Entries!$B$2:$B$5000,T$1))</f>
        <v/>
      </c>
      <c r="U74" s="88">
        <f>IF(OR(U$1="",$BE74=0),"",SUMIFS(Entries!$D$2:$D$5000,Entries!$C$2:$C$5000,"Actual",Entries!$A$2:$A$5000,$A74,Entries!$B$2:$B$5000,U$1))</f>
        <v/>
      </c>
      <c r="V74" s="88">
        <f>IF(OR(V$1="",$BE74=0),"",SUMIFS(Entries!$D$2:$D$5000,Entries!$C$2:$C$5000,"Actual",Entries!$A$2:$A$5000,$A74,Entries!$B$2:$B$5000,V$1))</f>
        <v/>
      </c>
      <c r="W74" s="88">
        <f>IF(OR(W$1="",$BE74=0),"",SUMIFS(Entries!$D$2:$D$5000,Entries!$C$2:$C$5000,"Actual",Entries!$A$2:$A$5000,$A74,Entries!$B$2:$B$5000,W$1))</f>
        <v/>
      </c>
      <c r="X74" s="88">
        <f>IF(OR(X$1="",$BE74=0),"",SUMIFS(Entries!$D$2:$D$5000,Entries!$C$2:$C$5000,"Actual",Entries!$A$2:$A$5000,$A74,Entries!$B$2:$B$5000,X$1))</f>
        <v/>
      </c>
      <c r="Y74" s="88">
        <f>IF(OR(Y$1="",$BE74=0),"",SUMIFS(Entries!$D$2:$D$5000,Entries!$C$2:$C$5000,"Actual",Entries!$A$2:$A$5000,$A74,Entries!$B$2:$B$5000,Y$1))</f>
        <v/>
      </c>
      <c r="Z74" s="88">
        <f>IF(OR(Z$1="",$BE74=0),"",SUMIFS(Entries!$D$2:$D$5000,Entries!$C$2:$C$5000,"Actual",Entries!$A$2:$A$5000,$A74,Entries!$B$2:$B$5000,Z$1))</f>
        <v/>
      </c>
      <c r="AA74" s="88">
        <f>IF(OR(AA$1="",$BE74=0),"",SUMIFS(Entries!$D$2:$D$5000,Entries!$C$2:$C$5000,"Actual",Entries!$A$2:$A$5000,$A74,Entries!$B$2:$B$5000,AA$1))</f>
        <v/>
      </c>
      <c r="AB74" s="88">
        <f>IF(OR(AB$1="",$BE74=0),"",SUMIFS(Entries!$D$2:$D$5000,Entries!$C$2:$C$5000,"Actual",Entries!$A$2:$A$5000,$A74,Entries!$B$2:$B$5000,AB$1))</f>
        <v/>
      </c>
      <c r="AC74" s="88">
        <f>IF(OR(AC$1="",$BE74=0),"",SUMIFS(Entries!$D$2:$D$5000,Entries!$C$2:$C$5000,"Actual",Entries!$A$2:$A$5000,$A74,Entries!$B$2:$B$5000,AC$1))</f>
        <v/>
      </c>
      <c r="AD74" s="88">
        <f>IF(OR(AD$1="",$BE74=0),"",SUMIFS(Entries!$D$2:$D$5000,Entries!$C$2:$C$5000,"Actual",Entries!$A$2:$A$5000,$A74,Entries!$B$2:$B$5000,AD$1))</f>
        <v/>
      </c>
      <c r="AE74" s="88">
        <f>IF(OR(AE$1="",$BE74=0),"",SUMIFS(Entries!$D$2:$D$5000,Entries!$C$2:$C$5000,"Actual",Entries!$A$2:$A$5000,$A74,Entries!$B$2:$B$5000,AE$1))</f>
        <v/>
      </c>
      <c r="AF74" s="88">
        <f>IF(OR(AF$1="",$BE74=0),"",SUMIFS(Entries!$D$2:$D$5000,Entries!$C$2:$C$5000,"Actual",Entries!$A$2:$A$5000,$A74,Entries!$B$2:$B$5000,AF$1))</f>
        <v/>
      </c>
      <c r="AG74" s="88">
        <f>IF(OR(AG$1="",$BE74=0),"",SUMIFS(Entries!$D$2:$D$5000,Entries!$C$2:$C$5000,"Actual",Entries!$A$2:$A$5000,$A74,Entries!$B$2:$B$5000,AG$1))</f>
        <v/>
      </c>
      <c r="AH74" s="88">
        <f>IF(OR(AH$1="",$BE74=0),"",SUMIFS(Entries!$D$2:$D$5000,Entries!$C$2:$C$5000,"Actual",Entries!$A$2:$A$5000,$A74,Entries!$B$2:$B$5000,AH$1))</f>
        <v/>
      </c>
      <c r="AJ74" s="88">
        <f>IF(OR(AJ$1="",$BE74=0),"",IFERROR(LOOKUP(2,1/((Budgets!$A$2:$A$200=AJ$1)*(Budgets!$B$2:$B$200&lt;=$A74)),Budgets!$C$2:$C$200),0))</f>
        <v/>
      </c>
      <c r="AK74" s="88">
        <f>IF(OR(AK$1="",$BE74=0),"",IFERROR(LOOKUP(2,1/((Budgets!$A$2:$A$200=AK$1)*(Budgets!$B$2:$B$200&lt;=$A74)),Budgets!$C$2:$C$200),0))</f>
        <v/>
      </c>
      <c r="AL74" s="88">
        <f>IF(OR(AL$1="",$BE74=0),"",IFERROR(LOOKUP(2,1/((Budgets!$A$2:$A$200=AL$1)*(Budgets!$B$2:$B$200&lt;=$A74)),Budgets!$C$2:$C$200),0))</f>
        <v/>
      </c>
      <c r="AM74" s="88">
        <f>IF(OR(AM$1="",$BE74=0),"",IFERROR(LOOKUP(2,1/((Budgets!$A$2:$A$200=AM$1)*(Budgets!$B$2:$B$200&lt;=$A74)),Budgets!$C$2:$C$200),0))</f>
        <v/>
      </c>
      <c r="AN74" s="88">
        <f>IF(OR(AN$1="",$BE74=0),"",IFERROR(LOOKUP(2,1/((Budgets!$A$2:$A$200=AN$1)*(Budgets!$B$2:$B$200&lt;=$A74)),Budgets!$C$2:$C$200),0))</f>
        <v/>
      </c>
      <c r="AO74" s="88">
        <f>IF(OR(AO$1="",$BE74=0),"",IFERROR(LOOKUP(2,1/((Budgets!$A$2:$A$200=AO$1)*(Budgets!$B$2:$B$200&lt;=$A74)),Budgets!$C$2:$C$200),0))</f>
        <v/>
      </c>
      <c r="AP74" s="88">
        <f>IF(OR(AP$1="",$BE74=0),"",IFERROR(LOOKUP(2,1/((Budgets!$A$2:$A$200=AP$1)*(Budgets!$B$2:$B$200&lt;=$A74)),Budgets!$C$2:$C$200),0))</f>
        <v/>
      </c>
      <c r="AQ74" s="88">
        <f>IF(OR(AQ$1="",$BE74=0),"",IFERROR(LOOKUP(2,1/((Budgets!$A$2:$A$200=AQ$1)*(Budgets!$B$2:$B$200&lt;=$A74)),Budgets!$C$2:$C$200),0))</f>
        <v/>
      </c>
      <c r="AR74" s="88">
        <f>IF(OR(AR$1="",$BE74=0),"",IFERROR(LOOKUP(2,1/((Budgets!$A$2:$A$200=AR$1)*(Budgets!$B$2:$B$200&lt;=$A74)),Budgets!$C$2:$C$200),0))</f>
        <v/>
      </c>
      <c r="AS74" s="88">
        <f>IF(OR(AS$1="",$BE74=0),"",IFERROR(LOOKUP(2,1/((Budgets!$A$2:$A$200=AS$1)*(Budgets!$B$2:$B$200&lt;=$A74)),Budgets!$C$2:$C$200),0))</f>
        <v/>
      </c>
      <c r="AT74" s="88">
        <f>IF(OR(AT$1="",$BE74=0),"",IFERROR(LOOKUP(2,1/((Budgets!$A$2:$A$200=AT$1)*(Budgets!$B$2:$B$200&lt;=$A74)),Budgets!$C$2:$C$200),0))</f>
        <v/>
      </c>
      <c r="AU74" s="88">
        <f>IF(OR(AU$1="",$BE74=0),"",IFERROR(LOOKUP(2,1/((Budgets!$A$2:$A$200=AU$1)*(Budgets!$B$2:$B$200&lt;=$A74)),Budgets!$C$2:$C$200),0))</f>
        <v/>
      </c>
      <c r="AV74" s="88">
        <f>IF(OR(AV$1="",$BE74=0),"",IFERROR(LOOKUP(2,1/((Budgets!$A$2:$A$200=AV$1)*(Budgets!$B$2:$B$200&lt;=$A74)),Budgets!$C$2:$C$200),0))</f>
        <v/>
      </c>
      <c r="AW74" s="88">
        <f>IF(OR(AW$1="",$BE74=0),"",IFERROR(LOOKUP(2,1/((Budgets!$A$2:$A$200=AW$1)*(Budgets!$B$2:$B$200&lt;=$A74)),Budgets!$C$2:$C$200),0))</f>
        <v/>
      </c>
      <c r="AX74" s="88">
        <f>IF(OR(AX$1="",$BE74=0),"",IFERROR(LOOKUP(2,1/((Budgets!$A$2:$A$200=AX$1)*(Budgets!$B$2:$B$200&lt;=$A74)),Budgets!$C$2:$C$200),0))</f>
        <v/>
      </c>
      <c r="AY74" s="88">
        <f>IF(OR(AY$1="",$BE74=0),"",IFERROR(LOOKUP(2,1/((Budgets!$A$2:$A$200=AY$1)*(Budgets!$B$2:$B$200&lt;=$A74)),Budgets!$C$2:$C$200),0))</f>
        <v/>
      </c>
      <c r="AZ74" s="88">
        <f>IF(OR(AZ$1="",$BE74=0),"",IFERROR(LOOKUP(2,1/((Budgets!$A$2:$A$200=AZ$1)*(Budgets!$B$2:$B$200&lt;=$A74)),Budgets!$C$2:$C$200),0))</f>
        <v/>
      </c>
      <c r="BA74" s="88">
        <f>IF(OR(BA$1="",$BE74=0),"",IFERROR(LOOKUP(2,1/((Budgets!$A$2:$A$200=BA$1)*(Budgets!$B$2:$B$200&lt;=$A74)),Budgets!$C$2:$C$200),0))</f>
        <v/>
      </c>
      <c r="BB74" s="88">
        <f>IF(OR(BB$1="",$BE74=0),"",IFERROR(LOOKUP(2,1/((Budgets!$A$2:$A$200=BB$1)*(Budgets!$B$2:$B$200&lt;=$A74)),Budgets!$C$2:$C$200),0))</f>
        <v/>
      </c>
      <c r="BC74" s="88">
        <f>IF(OR(BC$1="",$BE74=0),"",IFERROR(LOOKUP(2,1/((Budgets!$A$2:$A$200=BC$1)*(Budgets!$B$2:$B$200&lt;=$A74)),Budgets!$C$2:$C$200),0))</f>
        <v/>
      </c>
      <c r="BE74" s="67">
        <f>COUNTIFS(Entries!$A$2:$A$5000,$A74)</f>
        <v/>
      </c>
    </row>
    <row r="75" ht="15" customHeight="1" s="43">
      <c r="A75" s="87" t="n">
        <v>41671</v>
      </c>
      <c r="B75" s="88">
        <f>IF($BE75=0,NA(),SUMIFS(Entries!$D$2:$D$5000,Entries!$C$2:$C$5000,"Income",Entries!$A$2:$A$5000,$A75))</f>
        <v/>
      </c>
      <c r="C75" s="88">
        <f>IF($BE75=0,"",SUMIFS(Entries!$D$2:$D$5000,Entries!$C$2:$C$5000,"Actual",Entries!$A$2:$A$5000,$A75))</f>
        <v/>
      </c>
      <c r="D75" s="88">
        <f>IF($BE75=0,"",SUMIFS(Entries!$D$2:$D$5000,Entries!$C$2:$C$5000,"One-off",Entries!$A$2:$A$5000,$A75))</f>
        <v/>
      </c>
      <c r="E75" s="88">
        <f>IF($BE75=0,NA(),C75+D75)</f>
        <v/>
      </c>
      <c r="F75" s="88">
        <f>IF($BE75=0,"",SUM(AJ75:BC75))</f>
        <v/>
      </c>
      <c r="G75" s="88">
        <f>IF($BE75=0,"",B75-E75)</f>
        <v/>
      </c>
      <c r="H75" s="88">
        <f>IF($BE75=0,"",SUM($G$2:G75))</f>
        <v/>
      </c>
      <c r="I75" s="88">
        <f>IF($BE75=0,"",SUMIFS(Entries!$F$2:$F$5000,Entries!$A$2:$A$5000,$A75))</f>
        <v/>
      </c>
      <c r="J75" s="88">
        <f>IF($BE75=0,NA(),H75+SUM($I$2:I75))</f>
        <v/>
      </c>
      <c r="K75" s="88">
        <f>IF($BE75=0,"",SUMIFS(Entries!$D$2:$D$5000,Entries!$C$2:$C$5000,"Income",Entries!$A$2:$A$5000,"&gt;="&amp;EDATE($A75,-11),Entries!$A$2:$A$5000,"&lt;="&amp;$A75)/12)</f>
        <v/>
      </c>
      <c r="L75" s="88">
        <f>IF($BE75=0,"",(SUMIFS(Entries!$D$2:$D$5000,Entries!$C$2:$C$5000,"Actual",Entries!$A$2:$A$5000,"&gt;="&amp;EDATE($A75,-11),Entries!$A$2:$A$5000,"&lt;="&amp;$A75)+SUMIFS(Entries!$D$2:$D$5000,Entries!$C$2:$C$5000,"One-off",Entries!$A$2:$A$5000,"&gt;="&amp;EDATE($A75,-11),Entries!$A$2:$A$5000,"&lt;="&amp;$A75))/12)</f>
        <v/>
      </c>
      <c r="M75" s="70">
        <f>IF($BE75=0,NA(),IFERROR((K75-L75)/K75,0))</f>
        <v/>
      </c>
      <c r="O75" s="88">
        <f>IF(OR(O$1="",$BE75=0),"",SUMIFS(Entries!$D$2:$D$5000,Entries!$C$2:$C$5000,"Actual",Entries!$A$2:$A$5000,$A75,Entries!$B$2:$B$5000,O$1))</f>
        <v/>
      </c>
      <c r="P75" s="88">
        <f>IF(OR(P$1="",$BE75=0),"",SUMIFS(Entries!$D$2:$D$5000,Entries!$C$2:$C$5000,"Actual",Entries!$A$2:$A$5000,$A75,Entries!$B$2:$B$5000,P$1))</f>
        <v/>
      </c>
      <c r="Q75" s="88">
        <f>IF(OR(Q$1="",$BE75=0),"",SUMIFS(Entries!$D$2:$D$5000,Entries!$C$2:$C$5000,"Actual",Entries!$A$2:$A$5000,$A75,Entries!$B$2:$B$5000,Q$1))</f>
        <v/>
      </c>
      <c r="R75" s="88">
        <f>IF(OR(R$1="",$BE75=0),"",SUMIFS(Entries!$D$2:$D$5000,Entries!$C$2:$C$5000,"Actual",Entries!$A$2:$A$5000,$A75,Entries!$B$2:$B$5000,R$1))</f>
        <v/>
      </c>
      <c r="S75" s="88">
        <f>IF(OR(S$1="",$BE75=0),"",SUMIFS(Entries!$D$2:$D$5000,Entries!$C$2:$C$5000,"Actual",Entries!$A$2:$A$5000,$A75,Entries!$B$2:$B$5000,S$1))</f>
        <v/>
      </c>
      <c r="T75" s="88">
        <f>IF(OR(T$1="",$BE75=0),"",SUMIFS(Entries!$D$2:$D$5000,Entries!$C$2:$C$5000,"Actual",Entries!$A$2:$A$5000,$A75,Entries!$B$2:$B$5000,T$1))</f>
        <v/>
      </c>
      <c r="U75" s="88">
        <f>IF(OR(U$1="",$BE75=0),"",SUMIFS(Entries!$D$2:$D$5000,Entries!$C$2:$C$5000,"Actual",Entries!$A$2:$A$5000,$A75,Entries!$B$2:$B$5000,U$1))</f>
        <v/>
      </c>
      <c r="V75" s="88">
        <f>IF(OR(V$1="",$BE75=0),"",SUMIFS(Entries!$D$2:$D$5000,Entries!$C$2:$C$5000,"Actual",Entries!$A$2:$A$5000,$A75,Entries!$B$2:$B$5000,V$1))</f>
        <v/>
      </c>
      <c r="W75" s="88">
        <f>IF(OR(W$1="",$BE75=0),"",SUMIFS(Entries!$D$2:$D$5000,Entries!$C$2:$C$5000,"Actual",Entries!$A$2:$A$5000,$A75,Entries!$B$2:$B$5000,W$1))</f>
        <v/>
      </c>
      <c r="X75" s="88">
        <f>IF(OR(X$1="",$BE75=0),"",SUMIFS(Entries!$D$2:$D$5000,Entries!$C$2:$C$5000,"Actual",Entries!$A$2:$A$5000,$A75,Entries!$B$2:$B$5000,X$1))</f>
        <v/>
      </c>
      <c r="Y75" s="88">
        <f>IF(OR(Y$1="",$BE75=0),"",SUMIFS(Entries!$D$2:$D$5000,Entries!$C$2:$C$5000,"Actual",Entries!$A$2:$A$5000,$A75,Entries!$B$2:$B$5000,Y$1))</f>
        <v/>
      </c>
      <c r="Z75" s="88">
        <f>IF(OR(Z$1="",$BE75=0),"",SUMIFS(Entries!$D$2:$D$5000,Entries!$C$2:$C$5000,"Actual",Entries!$A$2:$A$5000,$A75,Entries!$B$2:$B$5000,Z$1))</f>
        <v/>
      </c>
      <c r="AA75" s="88">
        <f>IF(OR(AA$1="",$BE75=0),"",SUMIFS(Entries!$D$2:$D$5000,Entries!$C$2:$C$5000,"Actual",Entries!$A$2:$A$5000,$A75,Entries!$B$2:$B$5000,AA$1))</f>
        <v/>
      </c>
      <c r="AB75" s="88">
        <f>IF(OR(AB$1="",$BE75=0),"",SUMIFS(Entries!$D$2:$D$5000,Entries!$C$2:$C$5000,"Actual",Entries!$A$2:$A$5000,$A75,Entries!$B$2:$B$5000,AB$1))</f>
        <v/>
      </c>
      <c r="AC75" s="88">
        <f>IF(OR(AC$1="",$BE75=0),"",SUMIFS(Entries!$D$2:$D$5000,Entries!$C$2:$C$5000,"Actual",Entries!$A$2:$A$5000,$A75,Entries!$B$2:$B$5000,AC$1))</f>
        <v/>
      </c>
      <c r="AD75" s="88">
        <f>IF(OR(AD$1="",$BE75=0),"",SUMIFS(Entries!$D$2:$D$5000,Entries!$C$2:$C$5000,"Actual",Entries!$A$2:$A$5000,$A75,Entries!$B$2:$B$5000,AD$1))</f>
        <v/>
      </c>
      <c r="AE75" s="88">
        <f>IF(OR(AE$1="",$BE75=0),"",SUMIFS(Entries!$D$2:$D$5000,Entries!$C$2:$C$5000,"Actual",Entries!$A$2:$A$5000,$A75,Entries!$B$2:$B$5000,AE$1))</f>
        <v/>
      </c>
      <c r="AF75" s="88">
        <f>IF(OR(AF$1="",$BE75=0),"",SUMIFS(Entries!$D$2:$D$5000,Entries!$C$2:$C$5000,"Actual",Entries!$A$2:$A$5000,$A75,Entries!$B$2:$B$5000,AF$1))</f>
        <v/>
      </c>
      <c r="AG75" s="88">
        <f>IF(OR(AG$1="",$BE75=0),"",SUMIFS(Entries!$D$2:$D$5000,Entries!$C$2:$C$5000,"Actual",Entries!$A$2:$A$5000,$A75,Entries!$B$2:$B$5000,AG$1))</f>
        <v/>
      </c>
      <c r="AH75" s="88">
        <f>IF(OR(AH$1="",$BE75=0),"",SUMIFS(Entries!$D$2:$D$5000,Entries!$C$2:$C$5000,"Actual",Entries!$A$2:$A$5000,$A75,Entries!$B$2:$B$5000,AH$1))</f>
        <v/>
      </c>
      <c r="AJ75" s="88">
        <f>IF(OR(AJ$1="",$BE75=0),"",IFERROR(LOOKUP(2,1/((Budgets!$A$2:$A$200=AJ$1)*(Budgets!$B$2:$B$200&lt;=$A75)),Budgets!$C$2:$C$200),0))</f>
        <v/>
      </c>
      <c r="AK75" s="88">
        <f>IF(OR(AK$1="",$BE75=0),"",IFERROR(LOOKUP(2,1/((Budgets!$A$2:$A$200=AK$1)*(Budgets!$B$2:$B$200&lt;=$A75)),Budgets!$C$2:$C$200),0))</f>
        <v/>
      </c>
      <c r="AL75" s="88">
        <f>IF(OR(AL$1="",$BE75=0),"",IFERROR(LOOKUP(2,1/((Budgets!$A$2:$A$200=AL$1)*(Budgets!$B$2:$B$200&lt;=$A75)),Budgets!$C$2:$C$200),0))</f>
        <v/>
      </c>
      <c r="AM75" s="88">
        <f>IF(OR(AM$1="",$BE75=0),"",IFERROR(LOOKUP(2,1/((Budgets!$A$2:$A$200=AM$1)*(Budgets!$B$2:$B$200&lt;=$A75)),Budgets!$C$2:$C$200),0))</f>
        <v/>
      </c>
      <c r="AN75" s="88">
        <f>IF(OR(AN$1="",$BE75=0),"",IFERROR(LOOKUP(2,1/((Budgets!$A$2:$A$200=AN$1)*(Budgets!$B$2:$B$200&lt;=$A75)),Budgets!$C$2:$C$200),0))</f>
        <v/>
      </c>
      <c r="AO75" s="88">
        <f>IF(OR(AO$1="",$BE75=0),"",IFERROR(LOOKUP(2,1/((Budgets!$A$2:$A$200=AO$1)*(Budgets!$B$2:$B$200&lt;=$A75)),Budgets!$C$2:$C$200),0))</f>
        <v/>
      </c>
      <c r="AP75" s="88">
        <f>IF(OR(AP$1="",$BE75=0),"",IFERROR(LOOKUP(2,1/((Budgets!$A$2:$A$200=AP$1)*(Budgets!$B$2:$B$200&lt;=$A75)),Budgets!$C$2:$C$200),0))</f>
        <v/>
      </c>
      <c r="AQ75" s="88">
        <f>IF(OR(AQ$1="",$BE75=0),"",IFERROR(LOOKUP(2,1/((Budgets!$A$2:$A$200=AQ$1)*(Budgets!$B$2:$B$200&lt;=$A75)),Budgets!$C$2:$C$200),0))</f>
        <v/>
      </c>
      <c r="AR75" s="88">
        <f>IF(OR(AR$1="",$BE75=0),"",IFERROR(LOOKUP(2,1/((Budgets!$A$2:$A$200=AR$1)*(Budgets!$B$2:$B$200&lt;=$A75)),Budgets!$C$2:$C$200),0))</f>
        <v/>
      </c>
      <c r="AS75" s="88">
        <f>IF(OR(AS$1="",$BE75=0),"",IFERROR(LOOKUP(2,1/((Budgets!$A$2:$A$200=AS$1)*(Budgets!$B$2:$B$200&lt;=$A75)),Budgets!$C$2:$C$200),0))</f>
        <v/>
      </c>
      <c r="AT75" s="88">
        <f>IF(OR(AT$1="",$BE75=0),"",IFERROR(LOOKUP(2,1/((Budgets!$A$2:$A$200=AT$1)*(Budgets!$B$2:$B$200&lt;=$A75)),Budgets!$C$2:$C$200),0))</f>
        <v/>
      </c>
      <c r="AU75" s="88">
        <f>IF(OR(AU$1="",$BE75=0),"",IFERROR(LOOKUP(2,1/((Budgets!$A$2:$A$200=AU$1)*(Budgets!$B$2:$B$200&lt;=$A75)),Budgets!$C$2:$C$200),0))</f>
        <v/>
      </c>
      <c r="AV75" s="88">
        <f>IF(OR(AV$1="",$BE75=0),"",IFERROR(LOOKUP(2,1/((Budgets!$A$2:$A$200=AV$1)*(Budgets!$B$2:$B$200&lt;=$A75)),Budgets!$C$2:$C$200),0))</f>
        <v/>
      </c>
      <c r="AW75" s="88">
        <f>IF(OR(AW$1="",$BE75=0),"",IFERROR(LOOKUP(2,1/((Budgets!$A$2:$A$200=AW$1)*(Budgets!$B$2:$B$200&lt;=$A75)),Budgets!$C$2:$C$200),0))</f>
        <v/>
      </c>
      <c r="AX75" s="88">
        <f>IF(OR(AX$1="",$BE75=0),"",IFERROR(LOOKUP(2,1/((Budgets!$A$2:$A$200=AX$1)*(Budgets!$B$2:$B$200&lt;=$A75)),Budgets!$C$2:$C$200),0))</f>
        <v/>
      </c>
      <c r="AY75" s="88">
        <f>IF(OR(AY$1="",$BE75=0),"",IFERROR(LOOKUP(2,1/((Budgets!$A$2:$A$200=AY$1)*(Budgets!$B$2:$B$200&lt;=$A75)),Budgets!$C$2:$C$200),0))</f>
        <v/>
      </c>
      <c r="AZ75" s="88">
        <f>IF(OR(AZ$1="",$BE75=0),"",IFERROR(LOOKUP(2,1/((Budgets!$A$2:$A$200=AZ$1)*(Budgets!$B$2:$B$200&lt;=$A75)),Budgets!$C$2:$C$200),0))</f>
        <v/>
      </c>
      <c r="BA75" s="88">
        <f>IF(OR(BA$1="",$BE75=0),"",IFERROR(LOOKUP(2,1/((Budgets!$A$2:$A$200=BA$1)*(Budgets!$B$2:$B$200&lt;=$A75)),Budgets!$C$2:$C$200),0))</f>
        <v/>
      </c>
      <c r="BB75" s="88">
        <f>IF(OR(BB$1="",$BE75=0),"",IFERROR(LOOKUP(2,1/((Budgets!$A$2:$A$200=BB$1)*(Budgets!$B$2:$B$200&lt;=$A75)),Budgets!$C$2:$C$200),0))</f>
        <v/>
      </c>
      <c r="BC75" s="88">
        <f>IF(OR(BC$1="",$BE75=0),"",IFERROR(LOOKUP(2,1/((Budgets!$A$2:$A$200=BC$1)*(Budgets!$B$2:$B$200&lt;=$A75)),Budgets!$C$2:$C$200),0))</f>
        <v/>
      </c>
      <c r="BE75" s="67">
        <f>COUNTIFS(Entries!$A$2:$A$5000,$A75)</f>
        <v/>
      </c>
    </row>
    <row r="76" ht="15" customHeight="1" s="43">
      <c r="A76" s="87" t="n">
        <v>41699</v>
      </c>
      <c r="B76" s="88">
        <f>IF($BE76=0,NA(),SUMIFS(Entries!$D$2:$D$5000,Entries!$C$2:$C$5000,"Income",Entries!$A$2:$A$5000,$A76))</f>
        <v/>
      </c>
      <c r="C76" s="88">
        <f>IF($BE76=0,"",SUMIFS(Entries!$D$2:$D$5000,Entries!$C$2:$C$5000,"Actual",Entries!$A$2:$A$5000,$A76))</f>
        <v/>
      </c>
      <c r="D76" s="88">
        <f>IF($BE76=0,"",SUMIFS(Entries!$D$2:$D$5000,Entries!$C$2:$C$5000,"One-off",Entries!$A$2:$A$5000,$A76))</f>
        <v/>
      </c>
      <c r="E76" s="88">
        <f>IF($BE76=0,NA(),C76+D76)</f>
        <v/>
      </c>
      <c r="F76" s="88">
        <f>IF($BE76=0,"",SUM(AJ76:BC76))</f>
        <v/>
      </c>
      <c r="G76" s="88">
        <f>IF($BE76=0,"",B76-E76)</f>
        <v/>
      </c>
      <c r="H76" s="88">
        <f>IF($BE76=0,"",SUM($G$2:G76))</f>
        <v/>
      </c>
      <c r="I76" s="88">
        <f>IF($BE76=0,"",SUMIFS(Entries!$F$2:$F$5000,Entries!$A$2:$A$5000,$A76))</f>
        <v/>
      </c>
      <c r="J76" s="88">
        <f>IF($BE76=0,NA(),H76+SUM($I$2:I76))</f>
        <v/>
      </c>
      <c r="K76" s="88">
        <f>IF($BE76=0,"",SUMIFS(Entries!$D$2:$D$5000,Entries!$C$2:$C$5000,"Income",Entries!$A$2:$A$5000,"&gt;="&amp;EDATE($A76,-11),Entries!$A$2:$A$5000,"&lt;="&amp;$A76)/12)</f>
        <v/>
      </c>
      <c r="L76" s="88">
        <f>IF($BE76=0,"",(SUMIFS(Entries!$D$2:$D$5000,Entries!$C$2:$C$5000,"Actual",Entries!$A$2:$A$5000,"&gt;="&amp;EDATE($A76,-11),Entries!$A$2:$A$5000,"&lt;="&amp;$A76)+SUMIFS(Entries!$D$2:$D$5000,Entries!$C$2:$C$5000,"One-off",Entries!$A$2:$A$5000,"&gt;="&amp;EDATE($A76,-11),Entries!$A$2:$A$5000,"&lt;="&amp;$A76))/12)</f>
        <v/>
      </c>
      <c r="M76" s="70">
        <f>IF($BE76=0,NA(),IFERROR((K76-L76)/K76,0))</f>
        <v/>
      </c>
      <c r="O76" s="88">
        <f>IF(OR(O$1="",$BE76=0),"",SUMIFS(Entries!$D$2:$D$5000,Entries!$C$2:$C$5000,"Actual",Entries!$A$2:$A$5000,$A76,Entries!$B$2:$B$5000,O$1))</f>
        <v/>
      </c>
      <c r="P76" s="88">
        <f>IF(OR(P$1="",$BE76=0),"",SUMIFS(Entries!$D$2:$D$5000,Entries!$C$2:$C$5000,"Actual",Entries!$A$2:$A$5000,$A76,Entries!$B$2:$B$5000,P$1))</f>
        <v/>
      </c>
      <c r="Q76" s="88">
        <f>IF(OR(Q$1="",$BE76=0),"",SUMIFS(Entries!$D$2:$D$5000,Entries!$C$2:$C$5000,"Actual",Entries!$A$2:$A$5000,$A76,Entries!$B$2:$B$5000,Q$1))</f>
        <v/>
      </c>
      <c r="R76" s="88">
        <f>IF(OR(R$1="",$BE76=0),"",SUMIFS(Entries!$D$2:$D$5000,Entries!$C$2:$C$5000,"Actual",Entries!$A$2:$A$5000,$A76,Entries!$B$2:$B$5000,R$1))</f>
        <v/>
      </c>
      <c r="S76" s="88">
        <f>IF(OR(S$1="",$BE76=0),"",SUMIFS(Entries!$D$2:$D$5000,Entries!$C$2:$C$5000,"Actual",Entries!$A$2:$A$5000,$A76,Entries!$B$2:$B$5000,S$1))</f>
        <v/>
      </c>
      <c r="T76" s="88">
        <f>IF(OR(T$1="",$BE76=0),"",SUMIFS(Entries!$D$2:$D$5000,Entries!$C$2:$C$5000,"Actual",Entries!$A$2:$A$5000,$A76,Entries!$B$2:$B$5000,T$1))</f>
        <v/>
      </c>
      <c r="U76" s="88">
        <f>IF(OR(U$1="",$BE76=0),"",SUMIFS(Entries!$D$2:$D$5000,Entries!$C$2:$C$5000,"Actual",Entries!$A$2:$A$5000,$A76,Entries!$B$2:$B$5000,U$1))</f>
        <v/>
      </c>
      <c r="V76" s="88">
        <f>IF(OR(V$1="",$BE76=0),"",SUMIFS(Entries!$D$2:$D$5000,Entries!$C$2:$C$5000,"Actual",Entries!$A$2:$A$5000,$A76,Entries!$B$2:$B$5000,V$1))</f>
        <v/>
      </c>
      <c r="W76" s="88">
        <f>IF(OR(W$1="",$BE76=0),"",SUMIFS(Entries!$D$2:$D$5000,Entries!$C$2:$C$5000,"Actual",Entries!$A$2:$A$5000,$A76,Entries!$B$2:$B$5000,W$1))</f>
        <v/>
      </c>
      <c r="X76" s="88">
        <f>IF(OR(X$1="",$BE76=0),"",SUMIFS(Entries!$D$2:$D$5000,Entries!$C$2:$C$5000,"Actual",Entries!$A$2:$A$5000,$A76,Entries!$B$2:$B$5000,X$1))</f>
        <v/>
      </c>
      <c r="Y76" s="88">
        <f>IF(OR(Y$1="",$BE76=0),"",SUMIFS(Entries!$D$2:$D$5000,Entries!$C$2:$C$5000,"Actual",Entries!$A$2:$A$5000,$A76,Entries!$B$2:$B$5000,Y$1))</f>
        <v/>
      </c>
      <c r="Z76" s="88">
        <f>IF(OR(Z$1="",$BE76=0),"",SUMIFS(Entries!$D$2:$D$5000,Entries!$C$2:$C$5000,"Actual",Entries!$A$2:$A$5000,$A76,Entries!$B$2:$B$5000,Z$1))</f>
        <v/>
      </c>
      <c r="AA76" s="88">
        <f>IF(OR(AA$1="",$BE76=0),"",SUMIFS(Entries!$D$2:$D$5000,Entries!$C$2:$C$5000,"Actual",Entries!$A$2:$A$5000,$A76,Entries!$B$2:$B$5000,AA$1))</f>
        <v/>
      </c>
      <c r="AB76" s="88">
        <f>IF(OR(AB$1="",$BE76=0),"",SUMIFS(Entries!$D$2:$D$5000,Entries!$C$2:$C$5000,"Actual",Entries!$A$2:$A$5000,$A76,Entries!$B$2:$B$5000,AB$1))</f>
        <v/>
      </c>
      <c r="AC76" s="88">
        <f>IF(OR(AC$1="",$BE76=0),"",SUMIFS(Entries!$D$2:$D$5000,Entries!$C$2:$C$5000,"Actual",Entries!$A$2:$A$5000,$A76,Entries!$B$2:$B$5000,AC$1))</f>
        <v/>
      </c>
      <c r="AD76" s="88">
        <f>IF(OR(AD$1="",$BE76=0),"",SUMIFS(Entries!$D$2:$D$5000,Entries!$C$2:$C$5000,"Actual",Entries!$A$2:$A$5000,$A76,Entries!$B$2:$B$5000,AD$1))</f>
        <v/>
      </c>
      <c r="AE76" s="88">
        <f>IF(OR(AE$1="",$BE76=0),"",SUMIFS(Entries!$D$2:$D$5000,Entries!$C$2:$C$5000,"Actual",Entries!$A$2:$A$5000,$A76,Entries!$B$2:$B$5000,AE$1))</f>
        <v/>
      </c>
      <c r="AF76" s="88">
        <f>IF(OR(AF$1="",$BE76=0),"",SUMIFS(Entries!$D$2:$D$5000,Entries!$C$2:$C$5000,"Actual",Entries!$A$2:$A$5000,$A76,Entries!$B$2:$B$5000,AF$1))</f>
        <v/>
      </c>
      <c r="AG76" s="88">
        <f>IF(OR(AG$1="",$BE76=0),"",SUMIFS(Entries!$D$2:$D$5000,Entries!$C$2:$C$5000,"Actual",Entries!$A$2:$A$5000,$A76,Entries!$B$2:$B$5000,AG$1))</f>
        <v/>
      </c>
      <c r="AH76" s="88">
        <f>IF(OR(AH$1="",$BE76=0),"",SUMIFS(Entries!$D$2:$D$5000,Entries!$C$2:$C$5000,"Actual",Entries!$A$2:$A$5000,$A76,Entries!$B$2:$B$5000,AH$1))</f>
        <v/>
      </c>
      <c r="AJ76" s="88">
        <f>IF(OR(AJ$1="",$BE76=0),"",IFERROR(LOOKUP(2,1/((Budgets!$A$2:$A$200=AJ$1)*(Budgets!$B$2:$B$200&lt;=$A76)),Budgets!$C$2:$C$200),0))</f>
        <v/>
      </c>
      <c r="AK76" s="88">
        <f>IF(OR(AK$1="",$BE76=0),"",IFERROR(LOOKUP(2,1/((Budgets!$A$2:$A$200=AK$1)*(Budgets!$B$2:$B$200&lt;=$A76)),Budgets!$C$2:$C$200),0))</f>
        <v/>
      </c>
      <c r="AL76" s="88">
        <f>IF(OR(AL$1="",$BE76=0),"",IFERROR(LOOKUP(2,1/((Budgets!$A$2:$A$200=AL$1)*(Budgets!$B$2:$B$200&lt;=$A76)),Budgets!$C$2:$C$200),0))</f>
        <v/>
      </c>
      <c r="AM76" s="88">
        <f>IF(OR(AM$1="",$BE76=0),"",IFERROR(LOOKUP(2,1/((Budgets!$A$2:$A$200=AM$1)*(Budgets!$B$2:$B$200&lt;=$A76)),Budgets!$C$2:$C$200),0))</f>
        <v/>
      </c>
      <c r="AN76" s="88">
        <f>IF(OR(AN$1="",$BE76=0),"",IFERROR(LOOKUP(2,1/((Budgets!$A$2:$A$200=AN$1)*(Budgets!$B$2:$B$200&lt;=$A76)),Budgets!$C$2:$C$200),0))</f>
        <v/>
      </c>
      <c r="AO76" s="88">
        <f>IF(OR(AO$1="",$BE76=0),"",IFERROR(LOOKUP(2,1/((Budgets!$A$2:$A$200=AO$1)*(Budgets!$B$2:$B$200&lt;=$A76)),Budgets!$C$2:$C$200),0))</f>
        <v/>
      </c>
      <c r="AP76" s="88">
        <f>IF(OR(AP$1="",$BE76=0),"",IFERROR(LOOKUP(2,1/((Budgets!$A$2:$A$200=AP$1)*(Budgets!$B$2:$B$200&lt;=$A76)),Budgets!$C$2:$C$200),0))</f>
        <v/>
      </c>
      <c r="AQ76" s="88">
        <f>IF(OR(AQ$1="",$BE76=0),"",IFERROR(LOOKUP(2,1/((Budgets!$A$2:$A$200=AQ$1)*(Budgets!$B$2:$B$200&lt;=$A76)),Budgets!$C$2:$C$200),0))</f>
        <v/>
      </c>
      <c r="AR76" s="88">
        <f>IF(OR(AR$1="",$BE76=0),"",IFERROR(LOOKUP(2,1/((Budgets!$A$2:$A$200=AR$1)*(Budgets!$B$2:$B$200&lt;=$A76)),Budgets!$C$2:$C$200),0))</f>
        <v/>
      </c>
      <c r="AS76" s="88">
        <f>IF(OR(AS$1="",$BE76=0),"",IFERROR(LOOKUP(2,1/((Budgets!$A$2:$A$200=AS$1)*(Budgets!$B$2:$B$200&lt;=$A76)),Budgets!$C$2:$C$200),0))</f>
        <v/>
      </c>
      <c r="AT76" s="88">
        <f>IF(OR(AT$1="",$BE76=0),"",IFERROR(LOOKUP(2,1/((Budgets!$A$2:$A$200=AT$1)*(Budgets!$B$2:$B$200&lt;=$A76)),Budgets!$C$2:$C$200),0))</f>
        <v/>
      </c>
      <c r="AU76" s="88">
        <f>IF(OR(AU$1="",$BE76=0),"",IFERROR(LOOKUP(2,1/((Budgets!$A$2:$A$200=AU$1)*(Budgets!$B$2:$B$200&lt;=$A76)),Budgets!$C$2:$C$200),0))</f>
        <v/>
      </c>
      <c r="AV76" s="88">
        <f>IF(OR(AV$1="",$BE76=0),"",IFERROR(LOOKUP(2,1/((Budgets!$A$2:$A$200=AV$1)*(Budgets!$B$2:$B$200&lt;=$A76)),Budgets!$C$2:$C$200),0))</f>
        <v/>
      </c>
      <c r="AW76" s="88">
        <f>IF(OR(AW$1="",$BE76=0),"",IFERROR(LOOKUP(2,1/((Budgets!$A$2:$A$200=AW$1)*(Budgets!$B$2:$B$200&lt;=$A76)),Budgets!$C$2:$C$200),0))</f>
        <v/>
      </c>
      <c r="AX76" s="88">
        <f>IF(OR(AX$1="",$BE76=0),"",IFERROR(LOOKUP(2,1/((Budgets!$A$2:$A$200=AX$1)*(Budgets!$B$2:$B$200&lt;=$A76)),Budgets!$C$2:$C$200),0))</f>
        <v/>
      </c>
      <c r="AY76" s="88">
        <f>IF(OR(AY$1="",$BE76=0),"",IFERROR(LOOKUP(2,1/((Budgets!$A$2:$A$200=AY$1)*(Budgets!$B$2:$B$200&lt;=$A76)),Budgets!$C$2:$C$200),0))</f>
        <v/>
      </c>
      <c r="AZ76" s="88">
        <f>IF(OR(AZ$1="",$BE76=0),"",IFERROR(LOOKUP(2,1/((Budgets!$A$2:$A$200=AZ$1)*(Budgets!$B$2:$B$200&lt;=$A76)),Budgets!$C$2:$C$200),0))</f>
        <v/>
      </c>
      <c r="BA76" s="88">
        <f>IF(OR(BA$1="",$BE76=0),"",IFERROR(LOOKUP(2,1/((Budgets!$A$2:$A$200=BA$1)*(Budgets!$B$2:$B$200&lt;=$A76)),Budgets!$C$2:$C$200),0))</f>
        <v/>
      </c>
      <c r="BB76" s="88">
        <f>IF(OR(BB$1="",$BE76=0),"",IFERROR(LOOKUP(2,1/((Budgets!$A$2:$A$200=BB$1)*(Budgets!$B$2:$B$200&lt;=$A76)),Budgets!$C$2:$C$200),0))</f>
        <v/>
      </c>
      <c r="BC76" s="88">
        <f>IF(OR(BC$1="",$BE76=0),"",IFERROR(LOOKUP(2,1/((Budgets!$A$2:$A$200=BC$1)*(Budgets!$B$2:$B$200&lt;=$A76)),Budgets!$C$2:$C$200),0))</f>
        <v/>
      </c>
      <c r="BE76" s="67">
        <f>COUNTIFS(Entries!$A$2:$A$5000,$A76)</f>
        <v/>
      </c>
    </row>
    <row r="77" ht="15" customHeight="1" s="43">
      <c r="A77" s="87" t="n">
        <v>41730</v>
      </c>
      <c r="B77" s="88">
        <f>IF($BE77=0,NA(),SUMIFS(Entries!$D$2:$D$5000,Entries!$C$2:$C$5000,"Income",Entries!$A$2:$A$5000,$A77))</f>
        <v/>
      </c>
      <c r="C77" s="88">
        <f>IF($BE77=0,"",SUMIFS(Entries!$D$2:$D$5000,Entries!$C$2:$C$5000,"Actual",Entries!$A$2:$A$5000,$A77))</f>
        <v/>
      </c>
      <c r="D77" s="88">
        <f>IF($BE77=0,"",SUMIFS(Entries!$D$2:$D$5000,Entries!$C$2:$C$5000,"One-off",Entries!$A$2:$A$5000,$A77))</f>
        <v/>
      </c>
      <c r="E77" s="88">
        <f>IF($BE77=0,NA(),C77+D77)</f>
        <v/>
      </c>
      <c r="F77" s="88">
        <f>IF($BE77=0,"",SUM(AJ77:BC77))</f>
        <v/>
      </c>
      <c r="G77" s="88">
        <f>IF($BE77=0,"",B77-E77)</f>
        <v/>
      </c>
      <c r="H77" s="88">
        <f>IF($BE77=0,"",SUM($G$2:G77))</f>
        <v/>
      </c>
      <c r="I77" s="88">
        <f>IF($BE77=0,"",SUMIFS(Entries!$F$2:$F$5000,Entries!$A$2:$A$5000,$A77))</f>
        <v/>
      </c>
      <c r="J77" s="88">
        <f>IF($BE77=0,NA(),H77+SUM($I$2:I77))</f>
        <v/>
      </c>
      <c r="K77" s="88">
        <f>IF($BE77=0,"",SUMIFS(Entries!$D$2:$D$5000,Entries!$C$2:$C$5000,"Income",Entries!$A$2:$A$5000,"&gt;="&amp;EDATE($A77,-11),Entries!$A$2:$A$5000,"&lt;="&amp;$A77)/12)</f>
        <v/>
      </c>
      <c r="L77" s="88">
        <f>IF($BE77=0,"",(SUMIFS(Entries!$D$2:$D$5000,Entries!$C$2:$C$5000,"Actual",Entries!$A$2:$A$5000,"&gt;="&amp;EDATE($A77,-11),Entries!$A$2:$A$5000,"&lt;="&amp;$A77)+SUMIFS(Entries!$D$2:$D$5000,Entries!$C$2:$C$5000,"One-off",Entries!$A$2:$A$5000,"&gt;="&amp;EDATE($A77,-11),Entries!$A$2:$A$5000,"&lt;="&amp;$A77))/12)</f>
        <v/>
      </c>
      <c r="M77" s="70">
        <f>IF($BE77=0,NA(),IFERROR((K77-L77)/K77,0))</f>
        <v/>
      </c>
      <c r="O77" s="88">
        <f>IF(OR(O$1="",$BE77=0),"",SUMIFS(Entries!$D$2:$D$5000,Entries!$C$2:$C$5000,"Actual",Entries!$A$2:$A$5000,$A77,Entries!$B$2:$B$5000,O$1))</f>
        <v/>
      </c>
      <c r="P77" s="88">
        <f>IF(OR(P$1="",$BE77=0),"",SUMIFS(Entries!$D$2:$D$5000,Entries!$C$2:$C$5000,"Actual",Entries!$A$2:$A$5000,$A77,Entries!$B$2:$B$5000,P$1))</f>
        <v/>
      </c>
      <c r="Q77" s="88">
        <f>IF(OR(Q$1="",$BE77=0),"",SUMIFS(Entries!$D$2:$D$5000,Entries!$C$2:$C$5000,"Actual",Entries!$A$2:$A$5000,$A77,Entries!$B$2:$B$5000,Q$1))</f>
        <v/>
      </c>
      <c r="R77" s="88">
        <f>IF(OR(R$1="",$BE77=0),"",SUMIFS(Entries!$D$2:$D$5000,Entries!$C$2:$C$5000,"Actual",Entries!$A$2:$A$5000,$A77,Entries!$B$2:$B$5000,R$1))</f>
        <v/>
      </c>
      <c r="S77" s="88">
        <f>IF(OR(S$1="",$BE77=0),"",SUMIFS(Entries!$D$2:$D$5000,Entries!$C$2:$C$5000,"Actual",Entries!$A$2:$A$5000,$A77,Entries!$B$2:$B$5000,S$1))</f>
        <v/>
      </c>
      <c r="T77" s="88">
        <f>IF(OR(T$1="",$BE77=0),"",SUMIFS(Entries!$D$2:$D$5000,Entries!$C$2:$C$5000,"Actual",Entries!$A$2:$A$5000,$A77,Entries!$B$2:$B$5000,T$1))</f>
        <v/>
      </c>
      <c r="U77" s="88">
        <f>IF(OR(U$1="",$BE77=0),"",SUMIFS(Entries!$D$2:$D$5000,Entries!$C$2:$C$5000,"Actual",Entries!$A$2:$A$5000,$A77,Entries!$B$2:$B$5000,U$1))</f>
        <v/>
      </c>
      <c r="V77" s="88">
        <f>IF(OR(V$1="",$BE77=0),"",SUMIFS(Entries!$D$2:$D$5000,Entries!$C$2:$C$5000,"Actual",Entries!$A$2:$A$5000,$A77,Entries!$B$2:$B$5000,V$1))</f>
        <v/>
      </c>
      <c r="W77" s="88">
        <f>IF(OR(W$1="",$BE77=0),"",SUMIFS(Entries!$D$2:$D$5000,Entries!$C$2:$C$5000,"Actual",Entries!$A$2:$A$5000,$A77,Entries!$B$2:$B$5000,W$1))</f>
        <v/>
      </c>
      <c r="X77" s="88">
        <f>IF(OR(X$1="",$BE77=0),"",SUMIFS(Entries!$D$2:$D$5000,Entries!$C$2:$C$5000,"Actual",Entries!$A$2:$A$5000,$A77,Entries!$B$2:$B$5000,X$1))</f>
        <v/>
      </c>
      <c r="Y77" s="88">
        <f>IF(OR(Y$1="",$BE77=0),"",SUMIFS(Entries!$D$2:$D$5000,Entries!$C$2:$C$5000,"Actual",Entries!$A$2:$A$5000,$A77,Entries!$B$2:$B$5000,Y$1))</f>
        <v/>
      </c>
      <c r="Z77" s="88">
        <f>IF(OR(Z$1="",$BE77=0),"",SUMIFS(Entries!$D$2:$D$5000,Entries!$C$2:$C$5000,"Actual",Entries!$A$2:$A$5000,$A77,Entries!$B$2:$B$5000,Z$1))</f>
        <v/>
      </c>
      <c r="AA77" s="88">
        <f>IF(OR(AA$1="",$BE77=0),"",SUMIFS(Entries!$D$2:$D$5000,Entries!$C$2:$C$5000,"Actual",Entries!$A$2:$A$5000,$A77,Entries!$B$2:$B$5000,AA$1))</f>
        <v/>
      </c>
      <c r="AB77" s="88">
        <f>IF(OR(AB$1="",$BE77=0),"",SUMIFS(Entries!$D$2:$D$5000,Entries!$C$2:$C$5000,"Actual",Entries!$A$2:$A$5000,$A77,Entries!$B$2:$B$5000,AB$1))</f>
        <v/>
      </c>
      <c r="AC77" s="88">
        <f>IF(OR(AC$1="",$BE77=0),"",SUMIFS(Entries!$D$2:$D$5000,Entries!$C$2:$C$5000,"Actual",Entries!$A$2:$A$5000,$A77,Entries!$B$2:$B$5000,AC$1))</f>
        <v/>
      </c>
      <c r="AD77" s="88">
        <f>IF(OR(AD$1="",$BE77=0),"",SUMIFS(Entries!$D$2:$D$5000,Entries!$C$2:$C$5000,"Actual",Entries!$A$2:$A$5000,$A77,Entries!$B$2:$B$5000,AD$1))</f>
        <v/>
      </c>
      <c r="AE77" s="88">
        <f>IF(OR(AE$1="",$BE77=0),"",SUMIFS(Entries!$D$2:$D$5000,Entries!$C$2:$C$5000,"Actual",Entries!$A$2:$A$5000,$A77,Entries!$B$2:$B$5000,AE$1))</f>
        <v/>
      </c>
      <c r="AF77" s="88">
        <f>IF(OR(AF$1="",$BE77=0),"",SUMIFS(Entries!$D$2:$D$5000,Entries!$C$2:$C$5000,"Actual",Entries!$A$2:$A$5000,$A77,Entries!$B$2:$B$5000,AF$1))</f>
        <v/>
      </c>
      <c r="AG77" s="88">
        <f>IF(OR(AG$1="",$BE77=0),"",SUMIFS(Entries!$D$2:$D$5000,Entries!$C$2:$C$5000,"Actual",Entries!$A$2:$A$5000,$A77,Entries!$B$2:$B$5000,AG$1))</f>
        <v/>
      </c>
      <c r="AH77" s="88">
        <f>IF(OR(AH$1="",$BE77=0),"",SUMIFS(Entries!$D$2:$D$5000,Entries!$C$2:$C$5000,"Actual",Entries!$A$2:$A$5000,$A77,Entries!$B$2:$B$5000,AH$1))</f>
        <v/>
      </c>
      <c r="AJ77" s="88">
        <f>IF(OR(AJ$1="",$BE77=0),"",IFERROR(LOOKUP(2,1/((Budgets!$A$2:$A$200=AJ$1)*(Budgets!$B$2:$B$200&lt;=$A77)),Budgets!$C$2:$C$200),0))</f>
        <v/>
      </c>
      <c r="AK77" s="88">
        <f>IF(OR(AK$1="",$BE77=0),"",IFERROR(LOOKUP(2,1/((Budgets!$A$2:$A$200=AK$1)*(Budgets!$B$2:$B$200&lt;=$A77)),Budgets!$C$2:$C$200),0))</f>
        <v/>
      </c>
      <c r="AL77" s="88">
        <f>IF(OR(AL$1="",$BE77=0),"",IFERROR(LOOKUP(2,1/((Budgets!$A$2:$A$200=AL$1)*(Budgets!$B$2:$B$200&lt;=$A77)),Budgets!$C$2:$C$200),0))</f>
        <v/>
      </c>
      <c r="AM77" s="88">
        <f>IF(OR(AM$1="",$BE77=0),"",IFERROR(LOOKUP(2,1/((Budgets!$A$2:$A$200=AM$1)*(Budgets!$B$2:$B$200&lt;=$A77)),Budgets!$C$2:$C$200),0))</f>
        <v/>
      </c>
      <c r="AN77" s="88">
        <f>IF(OR(AN$1="",$BE77=0),"",IFERROR(LOOKUP(2,1/((Budgets!$A$2:$A$200=AN$1)*(Budgets!$B$2:$B$200&lt;=$A77)),Budgets!$C$2:$C$200),0))</f>
        <v/>
      </c>
      <c r="AO77" s="88">
        <f>IF(OR(AO$1="",$BE77=0),"",IFERROR(LOOKUP(2,1/((Budgets!$A$2:$A$200=AO$1)*(Budgets!$B$2:$B$200&lt;=$A77)),Budgets!$C$2:$C$200),0))</f>
        <v/>
      </c>
      <c r="AP77" s="88">
        <f>IF(OR(AP$1="",$BE77=0),"",IFERROR(LOOKUP(2,1/((Budgets!$A$2:$A$200=AP$1)*(Budgets!$B$2:$B$200&lt;=$A77)),Budgets!$C$2:$C$200),0))</f>
        <v/>
      </c>
      <c r="AQ77" s="88">
        <f>IF(OR(AQ$1="",$BE77=0),"",IFERROR(LOOKUP(2,1/((Budgets!$A$2:$A$200=AQ$1)*(Budgets!$B$2:$B$200&lt;=$A77)),Budgets!$C$2:$C$200),0))</f>
        <v/>
      </c>
      <c r="AR77" s="88">
        <f>IF(OR(AR$1="",$BE77=0),"",IFERROR(LOOKUP(2,1/((Budgets!$A$2:$A$200=AR$1)*(Budgets!$B$2:$B$200&lt;=$A77)),Budgets!$C$2:$C$200),0))</f>
        <v/>
      </c>
      <c r="AS77" s="88">
        <f>IF(OR(AS$1="",$BE77=0),"",IFERROR(LOOKUP(2,1/((Budgets!$A$2:$A$200=AS$1)*(Budgets!$B$2:$B$200&lt;=$A77)),Budgets!$C$2:$C$200),0))</f>
        <v/>
      </c>
      <c r="AT77" s="88">
        <f>IF(OR(AT$1="",$BE77=0),"",IFERROR(LOOKUP(2,1/((Budgets!$A$2:$A$200=AT$1)*(Budgets!$B$2:$B$200&lt;=$A77)),Budgets!$C$2:$C$200),0))</f>
        <v/>
      </c>
      <c r="AU77" s="88">
        <f>IF(OR(AU$1="",$BE77=0),"",IFERROR(LOOKUP(2,1/((Budgets!$A$2:$A$200=AU$1)*(Budgets!$B$2:$B$200&lt;=$A77)),Budgets!$C$2:$C$200),0))</f>
        <v/>
      </c>
      <c r="AV77" s="88">
        <f>IF(OR(AV$1="",$BE77=0),"",IFERROR(LOOKUP(2,1/((Budgets!$A$2:$A$200=AV$1)*(Budgets!$B$2:$B$200&lt;=$A77)),Budgets!$C$2:$C$200),0))</f>
        <v/>
      </c>
      <c r="AW77" s="88">
        <f>IF(OR(AW$1="",$BE77=0),"",IFERROR(LOOKUP(2,1/((Budgets!$A$2:$A$200=AW$1)*(Budgets!$B$2:$B$200&lt;=$A77)),Budgets!$C$2:$C$200),0))</f>
        <v/>
      </c>
      <c r="AX77" s="88">
        <f>IF(OR(AX$1="",$BE77=0),"",IFERROR(LOOKUP(2,1/((Budgets!$A$2:$A$200=AX$1)*(Budgets!$B$2:$B$200&lt;=$A77)),Budgets!$C$2:$C$200),0))</f>
        <v/>
      </c>
      <c r="AY77" s="88">
        <f>IF(OR(AY$1="",$BE77=0),"",IFERROR(LOOKUP(2,1/((Budgets!$A$2:$A$200=AY$1)*(Budgets!$B$2:$B$200&lt;=$A77)),Budgets!$C$2:$C$200),0))</f>
        <v/>
      </c>
      <c r="AZ77" s="88">
        <f>IF(OR(AZ$1="",$BE77=0),"",IFERROR(LOOKUP(2,1/((Budgets!$A$2:$A$200=AZ$1)*(Budgets!$B$2:$B$200&lt;=$A77)),Budgets!$C$2:$C$200),0))</f>
        <v/>
      </c>
      <c r="BA77" s="88">
        <f>IF(OR(BA$1="",$BE77=0),"",IFERROR(LOOKUP(2,1/((Budgets!$A$2:$A$200=BA$1)*(Budgets!$B$2:$B$200&lt;=$A77)),Budgets!$C$2:$C$200),0))</f>
        <v/>
      </c>
      <c r="BB77" s="88">
        <f>IF(OR(BB$1="",$BE77=0),"",IFERROR(LOOKUP(2,1/((Budgets!$A$2:$A$200=BB$1)*(Budgets!$B$2:$B$200&lt;=$A77)),Budgets!$C$2:$C$200),0))</f>
        <v/>
      </c>
      <c r="BC77" s="88">
        <f>IF(OR(BC$1="",$BE77=0),"",IFERROR(LOOKUP(2,1/((Budgets!$A$2:$A$200=BC$1)*(Budgets!$B$2:$B$200&lt;=$A77)),Budgets!$C$2:$C$200),0))</f>
        <v/>
      </c>
      <c r="BE77" s="67">
        <f>COUNTIFS(Entries!$A$2:$A$5000,$A77)</f>
        <v/>
      </c>
    </row>
    <row r="78" ht="15" customHeight="1" s="43">
      <c r="A78" s="87" t="n">
        <v>41760</v>
      </c>
      <c r="B78" s="88">
        <f>IF($BE78=0,NA(),SUMIFS(Entries!$D$2:$D$5000,Entries!$C$2:$C$5000,"Income",Entries!$A$2:$A$5000,$A78))</f>
        <v/>
      </c>
      <c r="C78" s="88">
        <f>IF($BE78=0,"",SUMIFS(Entries!$D$2:$D$5000,Entries!$C$2:$C$5000,"Actual",Entries!$A$2:$A$5000,$A78))</f>
        <v/>
      </c>
      <c r="D78" s="88">
        <f>IF($BE78=0,"",SUMIFS(Entries!$D$2:$D$5000,Entries!$C$2:$C$5000,"One-off",Entries!$A$2:$A$5000,$A78))</f>
        <v/>
      </c>
      <c r="E78" s="88">
        <f>IF($BE78=0,NA(),C78+D78)</f>
        <v/>
      </c>
      <c r="F78" s="88">
        <f>IF($BE78=0,"",SUM(AJ78:BC78))</f>
        <v/>
      </c>
      <c r="G78" s="88">
        <f>IF($BE78=0,"",B78-E78)</f>
        <v/>
      </c>
      <c r="H78" s="88">
        <f>IF($BE78=0,"",SUM($G$2:G78))</f>
        <v/>
      </c>
      <c r="I78" s="88">
        <f>IF($BE78=0,"",SUMIFS(Entries!$F$2:$F$5000,Entries!$A$2:$A$5000,$A78))</f>
        <v/>
      </c>
      <c r="J78" s="88">
        <f>IF($BE78=0,NA(),H78+SUM($I$2:I78))</f>
        <v/>
      </c>
      <c r="K78" s="88">
        <f>IF($BE78=0,"",SUMIFS(Entries!$D$2:$D$5000,Entries!$C$2:$C$5000,"Income",Entries!$A$2:$A$5000,"&gt;="&amp;EDATE($A78,-11),Entries!$A$2:$A$5000,"&lt;="&amp;$A78)/12)</f>
        <v/>
      </c>
      <c r="L78" s="88">
        <f>IF($BE78=0,"",(SUMIFS(Entries!$D$2:$D$5000,Entries!$C$2:$C$5000,"Actual",Entries!$A$2:$A$5000,"&gt;="&amp;EDATE($A78,-11),Entries!$A$2:$A$5000,"&lt;="&amp;$A78)+SUMIFS(Entries!$D$2:$D$5000,Entries!$C$2:$C$5000,"One-off",Entries!$A$2:$A$5000,"&gt;="&amp;EDATE($A78,-11),Entries!$A$2:$A$5000,"&lt;="&amp;$A78))/12)</f>
        <v/>
      </c>
      <c r="M78" s="70">
        <f>IF($BE78=0,NA(),IFERROR((K78-L78)/K78,0))</f>
        <v/>
      </c>
      <c r="O78" s="88">
        <f>IF(OR(O$1="",$BE78=0),"",SUMIFS(Entries!$D$2:$D$5000,Entries!$C$2:$C$5000,"Actual",Entries!$A$2:$A$5000,$A78,Entries!$B$2:$B$5000,O$1))</f>
        <v/>
      </c>
      <c r="P78" s="88">
        <f>IF(OR(P$1="",$BE78=0),"",SUMIFS(Entries!$D$2:$D$5000,Entries!$C$2:$C$5000,"Actual",Entries!$A$2:$A$5000,$A78,Entries!$B$2:$B$5000,P$1))</f>
        <v/>
      </c>
      <c r="Q78" s="88">
        <f>IF(OR(Q$1="",$BE78=0),"",SUMIFS(Entries!$D$2:$D$5000,Entries!$C$2:$C$5000,"Actual",Entries!$A$2:$A$5000,$A78,Entries!$B$2:$B$5000,Q$1))</f>
        <v/>
      </c>
      <c r="R78" s="88">
        <f>IF(OR(R$1="",$BE78=0),"",SUMIFS(Entries!$D$2:$D$5000,Entries!$C$2:$C$5000,"Actual",Entries!$A$2:$A$5000,$A78,Entries!$B$2:$B$5000,R$1))</f>
        <v/>
      </c>
      <c r="S78" s="88">
        <f>IF(OR(S$1="",$BE78=0),"",SUMIFS(Entries!$D$2:$D$5000,Entries!$C$2:$C$5000,"Actual",Entries!$A$2:$A$5000,$A78,Entries!$B$2:$B$5000,S$1))</f>
        <v/>
      </c>
      <c r="T78" s="88">
        <f>IF(OR(T$1="",$BE78=0),"",SUMIFS(Entries!$D$2:$D$5000,Entries!$C$2:$C$5000,"Actual",Entries!$A$2:$A$5000,$A78,Entries!$B$2:$B$5000,T$1))</f>
        <v/>
      </c>
      <c r="U78" s="88">
        <f>IF(OR(U$1="",$BE78=0),"",SUMIFS(Entries!$D$2:$D$5000,Entries!$C$2:$C$5000,"Actual",Entries!$A$2:$A$5000,$A78,Entries!$B$2:$B$5000,U$1))</f>
        <v/>
      </c>
      <c r="V78" s="88">
        <f>IF(OR(V$1="",$BE78=0),"",SUMIFS(Entries!$D$2:$D$5000,Entries!$C$2:$C$5000,"Actual",Entries!$A$2:$A$5000,$A78,Entries!$B$2:$B$5000,V$1))</f>
        <v/>
      </c>
      <c r="W78" s="88">
        <f>IF(OR(W$1="",$BE78=0),"",SUMIFS(Entries!$D$2:$D$5000,Entries!$C$2:$C$5000,"Actual",Entries!$A$2:$A$5000,$A78,Entries!$B$2:$B$5000,W$1))</f>
        <v/>
      </c>
      <c r="X78" s="88">
        <f>IF(OR(X$1="",$BE78=0),"",SUMIFS(Entries!$D$2:$D$5000,Entries!$C$2:$C$5000,"Actual",Entries!$A$2:$A$5000,$A78,Entries!$B$2:$B$5000,X$1))</f>
        <v/>
      </c>
      <c r="Y78" s="88">
        <f>IF(OR(Y$1="",$BE78=0),"",SUMIFS(Entries!$D$2:$D$5000,Entries!$C$2:$C$5000,"Actual",Entries!$A$2:$A$5000,$A78,Entries!$B$2:$B$5000,Y$1))</f>
        <v/>
      </c>
      <c r="Z78" s="88">
        <f>IF(OR(Z$1="",$BE78=0),"",SUMIFS(Entries!$D$2:$D$5000,Entries!$C$2:$C$5000,"Actual",Entries!$A$2:$A$5000,$A78,Entries!$B$2:$B$5000,Z$1))</f>
        <v/>
      </c>
      <c r="AA78" s="88">
        <f>IF(OR(AA$1="",$BE78=0),"",SUMIFS(Entries!$D$2:$D$5000,Entries!$C$2:$C$5000,"Actual",Entries!$A$2:$A$5000,$A78,Entries!$B$2:$B$5000,AA$1))</f>
        <v/>
      </c>
      <c r="AB78" s="88">
        <f>IF(OR(AB$1="",$BE78=0),"",SUMIFS(Entries!$D$2:$D$5000,Entries!$C$2:$C$5000,"Actual",Entries!$A$2:$A$5000,$A78,Entries!$B$2:$B$5000,AB$1))</f>
        <v/>
      </c>
      <c r="AC78" s="88">
        <f>IF(OR(AC$1="",$BE78=0),"",SUMIFS(Entries!$D$2:$D$5000,Entries!$C$2:$C$5000,"Actual",Entries!$A$2:$A$5000,$A78,Entries!$B$2:$B$5000,AC$1))</f>
        <v/>
      </c>
      <c r="AD78" s="88">
        <f>IF(OR(AD$1="",$BE78=0),"",SUMIFS(Entries!$D$2:$D$5000,Entries!$C$2:$C$5000,"Actual",Entries!$A$2:$A$5000,$A78,Entries!$B$2:$B$5000,AD$1))</f>
        <v/>
      </c>
      <c r="AE78" s="88">
        <f>IF(OR(AE$1="",$BE78=0),"",SUMIFS(Entries!$D$2:$D$5000,Entries!$C$2:$C$5000,"Actual",Entries!$A$2:$A$5000,$A78,Entries!$B$2:$B$5000,AE$1))</f>
        <v/>
      </c>
      <c r="AF78" s="88">
        <f>IF(OR(AF$1="",$BE78=0),"",SUMIFS(Entries!$D$2:$D$5000,Entries!$C$2:$C$5000,"Actual",Entries!$A$2:$A$5000,$A78,Entries!$B$2:$B$5000,AF$1))</f>
        <v/>
      </c>
      <c r="AG78" s="88">
        <f>IF(OR(AG$1="",$BE78=0),"",SUMIFS(Entries!$D$2:$D$5000,Entries!$C$2:$C$5000,"Actual",Entries!$A$2:$A$5000,$A78,Entries!$B$2:$B$5000,AG$1))</f>
        <v/>
      </c>
      <c r="AH78" s="88">
        <f>IF(OR(AH$1="",$BE78=0),"",SUMIFS(Entries!$D$2:$D$5000,Entries!$C$2:$C$5000,"Actual",Entries!$A$2:$A$5000,$A78,Entries!$B$2:$B$5000,AH$1))</f>
        <v/>
      </c>
      <c r="AJ78" s="88">
        <f>IF(OR(AJ$1="",$BE78=0),"",IFERROR(LOOKUP(2,1/((Budgets!$A$2:$A$200=AJ$1)*(Budgets!$B$2:$B$200&lt;=$A78)),Budgets!$C$2:$C$200),0))</f>
        <v/>
      </c>
      <c r="AK78" s="88">
        <f>IF(OR(AK$1="",$BE78=0),"",IFERROR(LOOKUP(2,1/((Budgets!$A$2:$A$200=AK$1)*(Budgets!$B$2:$B$200&lt;=$A78)),Budgets!$C$2:$C$200),0))</f>
        <v/>
      </c>
      <c r="AL78" s="88">
        <f>IF(OR(AL$1="",$BE78=0),"",IFERROR(LOOKUP(2,1/((Budgets!$A$2:$A$200=AL$1)*(Budgets!$B$2:$B$200&lt;=$A78)),Budgets!$C$2:$C$200),0))</f>
        <v/>
      </c>
      <c r="AM78" s="88">
        <f>IF(OR(AM$1="",$BE78=0),"",IFERROR(LOOKUP(2,1/((Budgets!$A$2:$A$200=AM$1)*(Budgets!$B$2:$B$200&lt;=$A78)),Budgets!$C$2:$C$200),0))</f>
        <v/>
      </c>
      <c r="AN78" s="88">
        <f>IF(OR(AN$1="",$BE78=0),"",IFERROR(LOOKUP(2,1/((Budgets!$A$2:$A$200=AN$1)*(Budgets!$B$2:$B$200&lt;=$A78)),Budgets!$C$2:$C$200),0))</f>
        <v/>
      </c>
      <c r="AO78" s="88">
        <f>IF(OR(AO$1="",$BE78=0),"",IFERROR(LOOKUP(2,1/((Budgets!$A$2:$A$200=AO$1)*(Budgets!$B$2:$B$200&lt;=$A78)),Budgets!$C$2:$C$200),0))</f>
        <v/>
      </c>
      <c r="AP78" s="88">
        <f>IF(OR(AP$1="",$BE78=0),"",IFERROR(LOOKUP(2,1/((Budgets!$A$2:$A$200=AP$1)*(Budgets!$B$2:$B$200&lt;=$A78)),Budgets!$C$2:$C$200),0))</f>
        <v/>
      </c>
      <c r="AQ78" s="88">
        <f>IF(OR(AQ$1="",$BE78=0),"",IFERROR(LOOKUP(2,1/((Budgets!$A$2:$A$200=AQ$1)*(Budgets!$B$2:$B$200&lt;=$A78)),Budgets!$C$2:$C$200),0))</f>
        <v/>
      </c>
      <c r="AR78" s="88">
        <f>IF(OR(AR$1="",$BE78=0),"",IFERROR(LOOKUP(2,1/((Budgets!$A$2:$A$200=AR$1)*(Budgets!$B$2:$B$200&lt;=$A78)),Budgets!$C$2:$C$200),0))</f>
        <v/>
      </c>
      <c r="AS78" s="88">
        <f>IF(OR(AS$1="",$BE78=0),"",IFERROR(LOOKUP(2,1/((Budgets!$A$2:$A$200=AS$1)*(Budgets!$B$2:$B$200&lt;=$A78)),Budgets!$C$2:$C$200),0))</f>
        <v/>
      </c>
      <c r="AT78" s="88">
        <f>IF(OR(AT$1="",$BE78=0),"",IFERROR(LOOKUP(2,1/((Budgets!$A$2:$A$200=AT$1)*(Budgets!$B$2:$B$200&lt;=$A78)),Budgets!$C$2:$C$200),0))</f>
        <v/>
      </c>
      <c r="AU78" s="88">
        <f>IF(OR(AU$1="",$BE78=0),"",IFERROR(LOOKUP(2,1/((Budgets!$A$2:$A$200=AU$1)*(Budgets!$B$2:$B$200&lt;=$A78)),Budgets!$C$2:$C$200),0))</f>
        <v/>
      </c>
      <c r="AV78" s="88">
        <f>IF(OR(AV$1="",$BE78=0),"",IFERROR(LOOKUP(2,1/((Budgets!$A$2:$A$200=AV$1)*(Budgets!$B$2:$B$200&lt;=$A78)),Budgets!$C$2:$C$200),0))</f>
        <v/>
      </c>
      <c r="AW78" s="88">
        <f>IF(OR(AW$1="",$BE78=0),"",IFERROR(LOOKUP(2,1/((Budgets!$A$2:$A$200=AW$1)*(Budgets!$B$2:$B$200&lt;=$A78)),Budgets!$C$2:$C$200),0))</f>
        <v/>
      </c>
      <c r="AX78" s="88">
        <f>IF(OR(AX$1="",$BE78=0),"",IFERROR(LOOKUP(2,1/((Budgets!$A$2:$A$200=AX$1)*(Budgets!$B$2:$B$200&lt;=$A78)),Budgets!$C$2:$C$200),0))</f>
        <v/>
      </c>
      <c r="AY78" s="88">
        <f>IF(OR(AY$1="",$BE78=0),"",IFERROR(LOOKUP(2,1/((Budgets!$A$2:$A$200=AY$1)*(Budgets!$B$2:$B$200&lt;=$A78)),Budgets!$C$2:$C$200),0))</f>
        <v/>
      </c>
      <c r="AZ78" s="88">
        <f>IF(OR(AZ$1="",$BE78=0),"",IFERROR(LOOKUP(2,1/((Budgets!$A$2:$A$200=AZ$1)*(Budgets!$B$2:$B$200&lt;=$A78)),Budgets!$C$2:$C$200),0))</f>
        <v/>
      </c>
      <c r="BA78" s="88">
        <f>IF(OR(BA$1="",$BE78=0),"",IFERROR(LOOKUP(2,1/((Budgets!$A$2:$A$200=BA$1)*(Budgets!$B$2:$B$200&lt;=$A78)),Budgets!$C$2:$C$200),0))</f>
        <v/>
      </c>
      <c r="BB78" s="88">
        <f>IF(OR(BB$1="",$BE78=0),"",IFERROR(LOOKUP(2,1/((Budgets!$A$2:$A$200=BB$1)*(Budgets!$B$2:$B$200&lt;=$A78)),Budgets!$C$2:$C$200),0))</f>
        <v/>
      </c>
      <c r="BC78" s="88">
        <f>IF(OR(BC$1="",$BE78=0),"",IFERROR(LOOKUP(2,1/((Budgets!$A$2:$A$200=BC$1)*(Budgets!$B$2:$B$200&lt;=$A78)),Budgets!$C$2:$C$200),0))</f>
        <v/>
      </c>
      <c r="BE78" s="67">
        <f>COUNTIFS(Entries!$A$2:$A$5000,$A78)</f>
        <v/>
      </c>
    </row>
    <row r="79" ht="15" customHeight="1" s="43">
      <c r="A79" s="87" t="n">
        <v>41791</v>
      </c>
      <c r="B79" s="88">
        <f>IF($BE79=0,NA(),SUMIFS(Entries!$D$2:$D$5000,Entries!$C$2:$C$5000,"Income",Entries!$A$2:$A$5000,$A79))</f>
        <v/>
      </c>
      <c r="C79" s="88">
        <f>IF($BE79=0,"",SUMIFS(Entries!$D$2:$D$5000,Entries!$C$2:$C$5000,"Actual",Entries!$A$2:$A$5000,$A79))</f>
        <v/>
      </c>
      <c r="D79" s="88">
        <f>IF($BE79=0,"",SUMIFS(Entries!$D$2:$D$5000,Entries!$C$2:$C$5000,"One-off",Entries!$A$2:$A$5000,$A79))</f>
        <v/>
      </c>
      <c r="E79" s="88">
        <f>IF($BE79=0,NA(),C79+D79)</f>
        <v/>
      </c>
      <c r="F79" s="88">
        <f>IF($BE79=0,"",SUM(AJ79:BC79))</f>
        <v/>
      </c>
      <c r="G79" s="88">
        <f>IF($BE79=0,"",B79-E79)</f>
        <v/>
      </c>
      <c r="H79" s="88">
        <f>IF($BE79=0,"",SUM($G$2:G79))</f>
        <v/>
      </c>
      <c r="I79" s="88">
        <f>IF($BE79=0,"",SUMIFS(Entries!$F$2:$F$5000,Entries!$A$2:$A$5000,$A79))</f>
        <v/>
      </c>
      <c r="J79" s="88">
        <f>IF($BE79=0,NA(),H79+SUM($I$2:I79))</f>
        <v/>
      </c>
      <c r="K79" s="88">
        <f>IF($BE79=0,"",SUMIFS(Entries!$D$2:$D$5000,Entries!$C$2:$C$5000,"Income",Entries!$A$2:$A$5000,"&gt;="&amp;EDATE($A79,-11),Entries!$A$2:$A$5000,"&lt;="&amp;$A79)/12)</f>
        <v/>
      </c>
      <c r="L79" s="88">
        <f>IF($BE79=0,"",(SUMIFS(Entries!$D$2:$D$5000,Entries!$C$2:$C$5000,"Actual",Entries!$A$2:$A$5000,"&gt;="&amp;EDATE($A79,-11),Entries!$A$2:$A$5000,"&lt;="&amp;$A79)+SUMIFS(Entries!$D$2:$D$5000,Entries!$C$2:$C$5000,"One-off",Entries!$A$2:$A$5000,"&gt;="&amp;EDATE($A79,-11),Entries!$A$2:$A$5000,"&lt;="&amp;$A79))/12)</f>
        <v/>
      </c>
      <c r="M79" s="70">
        <f>IF($BE79=0,NA(),IFERROR((K79-L79)/K79,0))</f>
        <v/>
      </c>
      <c r="O79" s="88">
        <f>IF(OR(O$1="",$BE79=0),"",SUMIFS(Entries!$D$2:$D$5000,Entries!$C$2:$C$5000,"Actual",Entries!$A$2:$A$5000,$A79,Entries!$B$2:$B$5000,O$1))</f>
        <v/>
      </c>
      <c r="P79" s="88">
        <f>IF(OR(P$1="",$BE79=0),"",SUMIFS(Entries!$D$2:$D$5000,Entries!$C$2:$C$5000,"Actual",Entries!$A$2:$A$5000,$A79,Entries!$B$2:$B$5000,P$1))</f>
        <v/>
      </c>
      <c r="Q79" s="88">
        <f>IF(OR(Q$1="",$BE79=0),"",SUMIFS(Entries!$D$2:$D$5000,Entries!$C$2:$C$5000,"Actual",Entries!$A$2:$A$5000,$A79,Entries!$B$2:$B$5000,Q$1))</f>
        <v/>
      </c>
      <c r="R79" s="88">
        <f>IF(OR(R$1="",$BE79=0),"",SUMIFS(Entries!$D$2:$D$5000,Entries!$C$2:$C$5000,"Actual",Entries!$A$2:$A$5000,$A79,Entries!$B$2:$B$5000,R$1))</f>
        <v/>
      </c>
      <c r="S79" s="88">
        <f>IF(OR(S$1="",$BE79=0),"",SUMIFS(Entries!$D$2:$D$5000,Entries!$C$2:$C$5000,"Actual",Entries!$A$2:$A$5000,$A79,Entries!$B$2:$B$5000,S$1))</f>
        <v/>
      </c>
      <c r="T79" s="88">
        <f>IF(OR(T$1="",$BE79=0),"",SUMIFS(Entries!$D$2:$D$5000,Entries!$C$2:$C$5000,"Actual",Entries!$A$2:$A$5000,$A79,Entries!$B$2:$B$5000,T$1))</f>
        <v/>
      </c>
      <c r="U79" s="88">
        <f>IF(OR(U$1="",$BE79=0),"",SUMIFS(Entries!$D$2:$D$5000,Entries!$C$2:$C$5000,"Actual",Entries!$A$2:$A$5000,$A79,Entries!$B$2:$B$5000,U$1))</f>
        <v/>
      </c>
      <c r="V79" s="88">
        <f>IF(OR(V$1="",$BE79=0),"",SUMIFS(Entries!$D$2:$D$5000,Entries!$C$2:$C$5000,"Actual",Entries!$A$2:$A$5000,$A79,Entries!$B$2:$B$5000,V$1))</f>
        <v/>
      </c>
      <c r="W79" s="88">
        <f>IF(OR(W$1="",$BE79=0),"",SUMIFS(Entries!$D$2:$D$5000,Entries!$C$2:$C$5000,"Actual",Entries!$A$2:$A$5000,$A79,Entries!$B$2:$B$5000,W$1))</f>
        <v/>
      </c>
      <c r="X79" s="88">
        <f>IF(OR(X$1="",$BE79=0),"",SUMIFS(Entries!$D$2:$D$5000,Entries!$C$2:$C$5000,"Actual",Entries!$A$2:$A$5000,$A79,Entries!$B$2:$B$5000,X$1))</f>
        <v/>
      </c>
      <c r="Y79" s="88">
        <f>IF(OR(Y$1="",$BE79=0),"",SUMIFS(Entries!$D$2:$D$5000,Entries!$C$2:$C$5000,"Actual",Entries!$A$2:$A$5000,$A79,Entries!$B$2:$B$5000,Y$1))</f>
        <v/>
      </c>
      <c r="Z79" s="88">
        <f>IF(OR(Z$1="",$BE79=0),"",SUMIFS(Entries!$D$2:$D$5000,Entries!$C$2:$C$5000,"Actual",Entries!$A$2:$A$5000,$A79,Entries!$B$2:$B$5000,Z$1))</f>
        <v/>
      </c>
      <c r="AA79" s="88">
        <f>IF(OR(AA$1="",$BE79=0),"",SUMIFS(Entries!$D$2:$D$5000,Entries!$C$2:$C$5000,"Actual",Entries!$A$2:$A$5000,$A79,Entries!$B$2:$B$5000,AA$1))</f>
        <v/>
      </c>
      <c r="AB79" s="88">
        <f>IF(OR(AB$1="",$BE79=0),"",SUMIFS(Entries!$D$2:$D$5000,Entries!$C$2:$C$5000,"Actual",Entries!$A$2:$A$5000,$A79,Entries!$B$2:$B$5000,AB$1))</f>
        <v/>
      </c>
      <c r="AC79" s="88">
        <f>IF(OR(AC$1="",$BE79=0),"",SUMIFS(Entries!$D$2:$D$5000,Entries!$C$2:$C$5000,"Actual",Entries!$A$2:$A$5000,$A79,Entries!$B$2:$B$5000,AC$1))</f>
        <v/>
      </c>
      <c r="AD79" s="88">
        <f>IF(OR(AD$1="",$BE79=0),"",SUMIFS(Entries!$D$2:$D$5000,Entries!$C$2:$C$5000,"Actual",Entries!$A$2:$A$5000,$A79,Entries!$B$2:$B$5000,AD$1))</f>
        <v/>
      </c>
      <c r="AE79" s="88">
        <f>IF(OR(AE$1="",$BE79=0),"",SUMIFS(Entries!$D$2:$D$5000,Entries!$C$2:$C$5000,"Actual",Entries!$A$2:$A$5000,$A79,Entries!$B$2:$B$5000,AE$1))</f>
        <v/>
      </c>
      <c r="AF79" s="88">
        <f>IF(OR(AF$1="",$BE79=0),"",SUMIFS(Entries!$D$2:$D$5000,Entries!$C$2:$C$5000,"Actual",Entries!$A$2:$A$5000,$A79,Entries!$B$2:$B$5000,AF$1))</f>
        <v/>
      </c>
      <c r="AG79" s="88">
        <f>IF(OR(AG$1="",$BE79=0),"",SUMIFS(Entries!$D$2:$D$5000,Entries!$C$2:$C$5000,"Actual",Entries!$A$2:$A$5000,$A79,Entries!$B$2:$B$5000,AG$1))</f>
        <v/>
      </c>
      <c r="AH79" s="88">
        <f>IF(OR(AH$1="",$BE79=0),"",SUMIFS(Entries!$D$2:$D$5000,Entries!$C$2:$C$5000,"Actual",Entries!$A$2:$A$5000,$A79,Entries!$B$2:$B$5000,AH$1))</f>
        <v/>
      </c>
      <c r="AJ79" s="88">
        <f>IF(OR(AJ$1="",$BE79=0),"",IFERROR(LOOKUP(2,1/((Budgets!$A$2:$A$200=AJ$1)*(Budgets!$B$2:$B$200&lt;=$A79)),Budgets!$C$2:$C$200),0))</f>
        <v/>
      </c>
      <c r="AK79" s="88">
        <f>IF(OR(AK$1="",$BE79=0),"",IFERROR(LOOKUP(2,1/((Budgets!$A$2:$A$200=AK$1)*(Budgets!$B$2:$B$200&lt;=$A79)),Budgets!$C$2:$C$200),0))</f>
        <v/>
      </c>
      <c r="AL79" s="88">
        <f>IF(OR(AL$1="",$BE79=0),"",IFERROR(LOOKUP(2,1/((Budgets!$A$2:$A$200=AL$1)*(Budgets!$B$2:$B$200&lt;=$A79)),Budgets!$C$2:$C$200),0))</f>
        <v/>
      </c>
      <c r="AM79" s="88">
        <f>IF(OR(AM$1="",$BE79=0),"",IFERROR(LOOKUP(2,1/((Budgets!$A$2:$A$200=AM$1)*(Budgets!$B$2:$B$200&lt;=$A79)),Budgets!$C$2:$C$200),0))</f>
        <v/>
      </c>
      <c r="AN79" s="88">
        <f>IF(OR(AN$1="",$BE79=0),"",IFERROR(LOOKUP(2,1/((Budgets!$A$2:$A$200=AN$1)*(Budgets!$B$2:$B$200&lt;=$A79)),Budgets!$C$2:$C$200),0))</f>
        <v/>
      </c>
      <c r="AO79" s="88">
        <f>IF(OR(AO$1="",$BE79=0),"",IFERROR(LOOKUP(2,1/((Budgets!$A$2:$A$200=AO$1)*(Budgets!$B$2:$B$200&lt;=$A79)),Budgets!$C$2:$C$200),0))</f>
        <v/>
      </c>
      <c r="AP79" s="88">
        <f>IF(OR(AP$1="",$BE79=0),"",IFERROR(LOOKUP(2,1/((Budgets!$A$2:$A$200=AP$1)*(Budgets!$B$2:$B$200&lt;=$A79)),Budgets!$C$2:$C$200),0))</f>
        <v/>
      </c>
      <c r="AQ79" s="88">
        <f>IF(OR(AQ$1="",$BE79=0),"",IFERROR(LOOKUP(2,1/((Budgets!$A$2:$A$200=AQ$1)*(Budgets!$B$2:$B$200&lt;=$A79)),Budgets!$C$2:$C$200),0))</f>
        <v/>
      </c>
      <c r="AR79" s="88">
        <f>IF(OR(AR$1="",$BE79=0),"",IFERROR(LOOKUP(2,1/((Budgets!$A$2:$A$200=AR$1)*(Budgets!$B$2:$B$200&lt;=$A79)),Budgets!$C$2:$C$200),0))</f>
        <v/>
      </c>
      <c r="AS79" s="88">
        <f>IF(OR(AS$1="",$BE79=0),"",IFERROR(LOOKUP(2,1/((Budgets!$A$2:$A$200=AS$1)*(Budgets!$B$2:$B$200&lt;=$A79)),Budgets!$C$2:$C$200),0))</f>
        <v/>
      </c>
      <c r="AT79" s="88">
        <f>IF(OR(AT$1="",$BE79=0),"",IFERROR(LOOKUP(2,1/((Budgets!$A$2:$A$200=AT$1)*(Budgets!$B$2:$B$200&lt;=$A79)),Budgets!$C$2:$C$200),0))</f>
        <v/>
      </c>
      <c r="AU79" s="88">
        <f>IF(OR(AU$1="",$BE79=0),"",IFERROR(LOOKUP(2,1/((Budgets!$A$2:$A$200=AU$1)*(Budgets!$B$2:$B$200&lt;=$A79)),Budgets!$C$2:$C$200),0))</f>
        <v/>
      </c>
      <c r="AV79" s="88">
        <f>IF(OR(AV$1="",$BE79=0),"",IFERROR(LOOKUP(2,1/((Budgets!$A$2:$A$200=AV$1)*(Budgets!$B$2:$B$200&lt;=$A79)),Budgets!$C$2:$C$200),0))</f>
        <v/>
      </c>
      <c r="AW79" s="88">
        <f>IF(OR(AW$1="",$BE79=0),"",IFERROR(LOOKUP(2,1/((Budgets!$A$2:$A$200=AW$1)*(Budgets!$B$2:$B$200&lt;=$A79)),Budgets!$C$2:$C$200),0))</f>
        <v/>
      </c>
      <c r="AX79" s="88">
        <f>IF(OR(AX$1="",$BE79=0),"",IFERROR(LOOKUP(2,1/((Budgets!$A$2:$A$200=AX$1)*(Budgets!$B$2:$B$200&lt;=$A79)),Budgets!$C$2:$C$200),0))</f>
        <v/>
      </c>
      <c r="AY79" s="88">
        <f>IF(OR(AY$1="",$BE79=0),"",IFERROR(LOOKUP(2,1/((Budgets!$A$2:$A$200=AY$1)*(Budgets!$B$2:$B$200&lt;=$A79)),Budgets!$C$2:$C$200),0))</f>
        <v/>
      </c>
      <c r="AZ79" s="88">
        <f>IF(OR(AZ$1="",$BE79=0),"",IFERROR(LOOKUP(2,1/((Budgets!$A$2:$A$200=AZ$1)*(Budgets!$B$2:$B$200&lt;=$A79)),Budgets!$C$2:$C$200),0))</f>
        <v/>
      </c>
      <c r="BA79" s="88">
        <f>IF(OR(BA$1="",$BE79=0),"",IFERROR(LOOKUP(2,1/((Budgets!$A$2:$A$200=BA$1)*(Budgets!$B$2:$B$200&lt;=$A79)),Budgets!$C$2:$C$200),0))</f>
        <v/>
      </c>
      <c r="BB79" s="88">
        <f>IF(OR(BB$1="",$BE79=0),"",IFERROR(LOOKUP(2,1/((Budgets!$A$2:$A$200=BB$1)*(Budgets!$B$2:$B$200&lt;=$A79)),Budgets!$C$2:$C$200),0))</f>
        <v/>
      </c>
      <c r="BC79" s="88">
        <f>IF(OR(BC$1="",$BE79=0),"",IFERROR(LOOKUP(2,1/((Budgets!$A$2:$A$200=BC$1)*(Budgets!$B$2:$B$200&lt;=$A79)),Budgets!$C$2:$C$200),0))</f>
        <v/>
      </c>
      <c r="BE79" s="67">
        <f>COUNTIFS(Entries!$A$2:$A$5000,$A79)</f>
        <v/>
      </c>
    </row>
    <row r="80" ht="15" customHeight="1" s="43">
      <c r="A80" s="87" t="n">
        <v>41821</v>
      </c>
      <c r="B80" s="88">
        <f>IF($BE80=0,NA(),SUMIFS(Entries!$D$2:$D$5000,Entries!$C$2:$C$5000,"Income",Entries!$A$2:$A$5000,$A80))</f>
        <v/>
      </c>
      <c r="C80" s="88">
        <f>IF($BE80=0,"",SUMIFS(Entries!$D$2:$D$5000,Entries!$C$2:$C$5000,"Actual",Entries!$A$2:$A$5000,$A80))</f>
        <v/>
      </c>
      <c r="D80" s="88">
        <f>IF($BE80=0,"",SUMIFS(Entries!$D$2:$D$5000,Entries!$C$2:$C$5000,"One-off",Entries!$A$2:$A$5000,$A80))</f>
        <v/>
      </c>
      <c r="E80" s="88">
        <f>IF($BE80=0,NA(),C80+D80)</f>
        <v/>
      </c>
      <c r="F80" s="88">
        <f>IF($BE80=0,"",SUM(AJ80:BC80))</f>
        <v/>
      </c>
      <c r="G80" s="88">
        <f>IF($BE80=0,"",B80-E80)</f>
        <v/>
      </c>
      <c r="H80" s="88">
        <f>IF($BE80=0,"",SUM($G$2:G80))</f>
        <v/>
      </c>
      <c r="I80" s="88">
        <f>IF($BE80=0,"",SUMIFS(Entries!$F$2:$F$5000,Entries!$A$2:$A$5000,$A80))</f>
        <v/>
      </c>
      <c r="J80" s="88">
        <f>IF($BE80=0,NA(),H80+SUM($I$2:I80))</f>
        <v/>
      </c>
      <c r="K80" s="88">
        <f>IF($BE80=0,"",SUMIFS(Entries!$D$2:$D$5000,Entries!$C$2:$C$5000,"Income",Entries!$A$2:$A$5000,"&gt;="&amp;EDATE($A80,-11),Entries!$A$2:$A$5000,"&lt;="&amp;$A80)/12)</f>
        <v/>
      </c>
      <c r="L80" s="88">
        <f>IF($BE80=0,"",(SUMIFS(Entries!$D$2:$D$5000,Entries!$C$2:$C$5000,"Actual",Entries!$A$2:$A$5000,"&gt;="&amp;EDATE($A80,-11),Entries!$A$2:$A$5000,"&lt;="&amp;$A80)+SUMIFS(Entries!$D$2:$D$5000,Entries!$C$2:$C$5000,"One-off",Entries!$A$2:$A$5000,"&gt;="&amp;EDATE($A80,-11),Entries!$A$2:$A$5000,"&lt;="&amp;$A80))/12)</f>
        <v/>
      </c>
      <c r="M80" s="70">
        <f>IF($BE80=0,NA(),IFERROR((K80-L80)/K80,0))</f>
        <v/>
      </c>
      <c r="O80" s="88">
        <f>IF(OR(O$1="",$BE80=0),"",SUMIFS(Entries!$D$2:$D$5000,Entries!$C$2:$C$5000,"Actual",Entries!$A$2:$A$5000,$A80,Entries!$B$2:$B$5000,O$1))</f>
        <v/>
      </c>
      <c r="P80" s="88">
        <f>IF(OR(P$1="",$BE80=0),"",SUMIFS(Entries!$D$2:$D$5000,Entries!$C$2:$C$5000,"Actual",Entries!$A$2:$A$5000,$A80,Entries!$B$2:$B$5000,P$1))</f>
        <v/>
      </c>
      <c r="Q80" s="88">
        <f>IF(OR(Q$1="",$BE80=0),"",SUMIFS(Entries!$D$2:$D$5000,Entries!$C$2:$C$5000,"Actual",Entries!$A$2:$A$5000,$A80,Entries!$B$2:$B$5000,Q$1))</f>
        <v/>
      </c>
      <c r="R80" s="88">
        <f>IF(OR(R$1="",$BE80=0),"",SUMIFS(Entries!$D$2:$D$5000,Entries!$C$2:$C$5000,"Actual",Entries!$A$2:$A$5000,$A80,Entries!$B$2:$B$5000,R$1))</f>
        <v/>
      </c>
      <c r="S80" s="88">
        <f>IF(OR(S$1="",$BE80=0),"",SUMIFS(Entries!$D$2:$D$5000,Entries!$C$2:$C$5000,"Actual",Entries!$A$2:$A$5000,$A80,Entries!$B$2:$B$5000,S$1))</f>
        <v/>
      </c>
      <c r="T80" s="88">
        <f>IF(OR(T$1="",$BE80=0),"",SUMIFS(Entries!$D$2:$D$5000,Entries!$C$2:$C$5000,"Actual",Entries!$A$2:$A$5000,$A80,Entries!$B$2:$B$5000,T$1))</f>
        <v/>
      </c>
      <c r="U80" s="88">
        <f>IF(OR(U$1="",$BE80=0),"",SUMIFS(Entries!$D$2:$D$5000,Entries!$C$2:$C$5000,"Actual",Entries!$A$2:$A$5000,$A80,Entries!$B$2:$B$5000,U$1))</f>
        <v/>
      </c>
      <c r="V80" s="88">
        <f>IF(OR(V$1="",$BE80=0),"",SUMIFS(Entries!$D$2:$D$5000,Entries!$C$2:$C$5000,"Actual",Entries!$A$2:$A$5000,$A80,Entries!$B$2:$B$5000,V$1))</f>
        <v/>
      </c>
      <c r="W80" s="88">
        <f>IF(OR(W$1="",$BE80=0),"",SUMIFS(Entries!$D$2:$D$5000,Entries!$C$2:$C$5000,"Actual",Entries!$A$2:$A$5000,$A80,Entries!$B$2:$B$5000,W$1))</f>
        <v/>
      </c>
      <c r="X80" s="88">
        <f>IF(OR(X$1="",$BE80=0),"",SUMIFS(Entries!$D$2:$D$5000,Entries!$C$2:$C$5000,"Actual",Entries!$A$2:$A$5000,$A80,Entries!$B$2:$B$5000,X$1))</f>
        <v/>
      </c>
      <c r="Y80" s="88">
        <f>IF(OR(Y$1="",$BE80=0),"",SUMIFS(Entries!$D$2:$D$5000,Entries!$C$2:$C$5000,"Actual",Entries!$A$2:$A$5000,$A80,Entries!$B$2:$B$5000,Y$1))</f>
        <v/>
      </c>
      <c r="Z80" s="88">
        <f>IF(OR(Z$1="",$BE80=0),"",SUMIFS(Entries!$D$2:$D$5000,Entries!$C$2:$C$5000,"Actual",Entries!$A$2:$A$5000,$A80,Entries!$B$2:$B$5000,Z$1))</f>
        <v/>
      </c>
      <c r="AA80" s="88">
        <f>IF(OR(AA$1="",$BE80=0),"",SUMIFS(Entries!$D$2:$D$5000,Entries!$C$2:$C$5000,"Actual",Entries!$A$2:$A$5000,$A80,Entries!$B$2:$B$5000,AA$1))</f>
        <v/>
      </c>
      <c r="AB80" s="88">
        <f>IF(OR(AB$1="",$BE80=0),"",SUMIFS(Entries!$D$2:$D$5000,Entries!$C$2:$C$5000,"Actual",Entries!$A$2:$A$5000,$A80,Entries!$B$2:$B$5000,AB$1))</f>
        <v/>
      </c>
      <c r="AC80" s="88">
        <f>IF(OR(AC$1="",$BE80=0),"",SUMIFS(Entries!$D$2:$D$5000,Entries!$C$2:$C$5000,"Actual",Entries!$A$2:$A$5000,$A80,Entries!$B$2:$B$5000,AC$1))</f>
        <v/>
      </c>
      <c r="AD80" s="88">
        <f>IF(OR(AD$1="",$BE80=0),"",SUMIFS(Entries!$D$2:$D$5000,Entries!$C$2:$C$5000,"Actual",Entries!$A$2:$A$5000,$A80,Entries!$B$2:$B$5000,AD$1))</f>
        <v/>
      </c>
      <c r="AE80" s="88">
        <f>IF(OR(AE$1="",$BE80=0),"",SUMIFS(Entries!$D$2:$D$5000,Entries!$C$2:$C$5000,"Actual",Entries!$A$2:$A$5000,$A80,Entries!$B$2:$B$5000,AE$1))</f>
        <v/>
      </c>
      <c r="AF80" s="88">
        <f>IF(OR(AF$1="",$BE80=0),"",SUMIFS(Entries!$D$2:$D$5000,Entries!$C$2:$C$5000,"Actual",Entries!$A$2:$A$5000,$A80,Entries!$B$2:$B$5000,AF$1))</f>
        <v/>
      </c>
      <c r="AG80" s="88">
        <f>IF(OR(AG$1="",$BE80=0),"",SUMIFS(Entries!$D$2:$D$5000,Entries!$C$2:$C$5000,"Actual",Entries!$A$2:$A$5000,$A80,Entries!$B$2:$B$5000,AG$1))</f>
        <v/>
      </c>
      <c r="AH80" s="88">
        <f>IF(OR(AH$1="",$BE80=0),"",SUMIFS(Entries!$D$2:$D$5000,Entries!$C$2:$C$5000,"Actual",Entries!$A$2:$A$5000,$A80,Entries!$B$2:$B$5000,AH$1))</f>
        <v/>
      </c>
      <c r="AJ80" s="88">
        <f>IF(OR(AJ$1="",$BE80=0),"",IFERROR(LOOKUP(2,1/((Budgets!$A$2:$A$200=AJ$1)*(Budgets!$B$2:$B$200&lt;=$A80)),Budgets!$C$2:$C$200),0))</f>
        <v/>
      </c>
      <c r="AK80" s="88">
        <f>IF(OR(AK$1="",$BE80=0),"",IFERROR(LOOKUP(2,1/((Budgets!$A$2:$A$200=AK$1)*(Budgets!$B$2:$B$200&lt;=$A80)),Budgets!$C$2:$C$200),0))</f>
        <v/>
      </c>
      <c r="AL80" s="88">
        <f>IF(OR(AL$1="",$BE80=0),"",IFERROR(LOOKUP(2,1/((Budgets!$A$2:$A$200=AL$1)*(Budgets!$B$2:$B$200&lt;=$A80)),Budgets!$C$2:$C$200),0))</f>
        <v/>
      </c>
      <c r="AM80" s="88">
        <f>IF(OR(AM$1="",$BE80=0),"",IFERROR(LOOKUP(2,1/((Budgets!$A$2:$A$200=AM$1)*(Budgets!$B$2:$B$200&lt;=$A80)),Budgets!$C$2:$C$200),0))</f>
        <v/>
      </c>
      <c r="AN80" s="88">
        <f>IF(OR(AN$1="",$BE80=0),"",IFERROR(LOOKUP(2,1/((Budgets!$A$2:$A$200=AN$1)*(Budgets!$B$2:$B$200&lt;=$A80)),Budgets!$C$2:$C$200),0))</f>
        <v/>
      </c>
      <c r="AO80" s="88">
        <f>IF(OR(AO$1="",$BE80=0),"",IFERROR(LOOKUP(2,1/((Budgets!$A$2:$A$200=AO$1)*(Budgets!$B$2:$B$200&lt;=$A80)),Budgets!$C$2:$C$200),0))</f>
        <v/>
      </c>
      <c r="AP80" s="88">
        <f>IF(OR(AP$1="",$BE80=0),"",IFERROR(LOOKUP(2,1/((Budgets!$A$2:$A$200=AP$1)*(Budgets!$B$2:$B$200&lt;=$A80)),Budgets!$C$2:$C$200),0))</f>
        <v/>
      </c>
      <c r="AQ80" s="88">
        <f>IF(OR(AQ$1="",$BE80=0),"",IFERROR(LOOKUP(2,1/((Budgets!$A$2:$A$200=AQ$1)*(Budgets!$B$2:$B$200&lt;=$A80)),Budgets!$C$2:$C$200),0))</f>
        <v/>
      </c>
      <c r="AR80" s="88">
        <f>IF(OR(AR$1="",$BE80=0),"",IFERROR(LOOKUP(2,1/((Budgets!$A$2:$A$200=AR$1)*(Budgets!$B$2:$B$200&lt;=$A80)),Budgets!$C$2:$C$200),0))</f>
        <v/>
      </c>
      <c r="AS80" s="88">
        <f>IF(OR(AS$1="",$BE80=0),"",IFERROR(LOOKUP(2,1/((Budgets!$A$2:$A$200=AS$1)*(Budgets!$B$2:$B$200&lt;=$A80)),Budgets!$C$2:$C$200),0))</f>
        <v/>
      </c>
      <c r="AT80" s="88">
        <f>IF(OR(AT$1="",$BE80=0),"",IFERROR(LOOKUP(2,1/((Budgets!$A$2:$A$200=AT$1)*(Budgets!$B$2:$B$200&lt;=$A80)),Budgets!$C$2:$C$200),0))</f>
        <v/>
      </c>
      <c r="AU80" s="88">
        <f>IF(OR(AU$1="",$BE80=0),"",IFERROR(LOOKUP(2,1/((Budgets!$A$2:$A$200=AU$1)*(Budgets!$B$2:$B$200&lt;=$A80)),Budgets!$C$2:$C$200),0))</f>
        <v/>
      </c>
      <c r="AV80" s="88">
        <f>IF(OR(AV$1="",$BE80=0),"",IFERROR(LOOKUP(2,1/((Budgets!$A$2:$A$200=AV$1)*(Budgets!$B$2:$B$200&lt;=$A80)),Budgets!$C$2:$C$200),0))</f>
        <v/>
      </c>
      <c r="AW80" s="88">
        <f>IF(OR(AW$1="",$BE80=0),"",IFERROR(LOOKUP(2,1/((Budgets!$A$2:$A$200=AW$1)*(Budgets!$B$2:$B$200&lt;=$A80)),Budgets!$C$2:$C$200),0))</f>
        <v/>
      </c>
      <c r="AX80" s="88">
        <f>IF(OR(AX$1="",$BE80=0),"",IFERROR(LOOKUP(2,1/((Budgets!$A$2:$A$200=AX$1)*(Budgets!$B$2:$B$200&lt;=$A80)),Budgets!$C$2:$C$200),0))</f>
        <v/>
      </c>
      <c r="AY80" s="88">
        <f>IF(OR(AY$1="",$BE80=0),"",IFERROR(LOOKUP(2,1/((Budgets!$A$2:$A$200=AY$1)*(Budgets!$B$2:$B$200&lt;=$A80)),Budgets!$C$2:$C$200),0))</f>
        <v/>
      </c>
      <c r="AZ80" s="88">
        <f>IF(OR(AZ$1="",$BE80=0),"",IFERROR(LOOKUP(2,1/((Budgets!$A$2:$A$200=AZ$1)*(Budgets!$B$2:$B$200&lt;=$A80)),Budgets!$C$2:$C$200),0))</f>
        <v/>
      </c>
      <c r="BA80" s="88">
        <f>IF(OR(BA$1="",$BE80=0),"",IFERROR(LOOKUP(2,1/((Budgets!$A$2:$A$200=BA$1)*(Budgets!$B$2:$B$200&lt;=$A80)),Budgets!$C$2:$C$200),0))</f>
        <v/>
      </c>
      <c r="BB80" s="88">
        <f>IF(OR(BB$1="",$BE80=0),"",IFERROR(LOOKUP(2,1/((Budgets!$A$2:$A$200=BB$1)*(Budgets!$B$2:$B$200&lt;=$A80)),Budgets!$C$2:$C$200),0))</f>
        <v/>
      </c>
      <c r="BC80" s="88">
        <f>IF(OR(BC$1="",$BE80=0),"",IFERROR(LOOKUP(2,1/((Budgets!$A$2:$A$200=BC$1)*(Budgets!$B$2:$B$200&lt;=$A80)),Budgets!$C$2:$C$200),0))</f>
        <v/>
      </c>
      <c r="BE80" s="67">
        <f>COUNTIFS(Entries!$A$2:$A$5000,$A80)</f>
        <v/>
      </c>
    </row>
    <row r="81" ht="15" customHeight="1" s="43">
      <c r="A81" s="87" t="n">
        <v>41852</v>
      </c>
      <c r="B81" s="88">
        <f>IF($BE81=0,NA(),SUMIFS(Entries!$D$2:$D$5000,Entries!$C$2:$C$5000,"Income",Entries!$A$2:$A$5000,$A81))</f>
        <v/>
      </c>
      <c r="C81" s="88">
        <f>IF($BE81=0,"",SUMIFS(Entries!$D$2:$D$5000,Entries!$C$2:$C$5000,"Actual",Entries!$A$2:$A$5000,$A81))</f>
        <v/>
      </c>
      <c r="D81" s="88">
        <f>IF($BE81=0,"",SUMIFS(Entries!$D$2:$D$5000,Entries!$C$2:$C$5000,"One-off",Entries!$A$2:$A$5000,$A81))</f>
        <v/>
      </c>
      <c r="E81" s="88">
        <f>IF($BE81=0,NA(),C81+D81)</f>
        <v/>
      </c>
      <c r="F81" s="88">
        <f>IF($BE81=0,"",SUM(AJ81:BC81))</f>
        <v/>
      </c>
      <c r="G81" s="88">
        <f>IF($BE81=0,"",B81-E81)</f>
        <v/>
      </c>
      <c r="H81" s="88">
        <f>IF($BE81=0,"",SUM($G$2:G81))</f>
        <v/>
      </c>
      <c r="I81" s="88">
        <f>IF($BE81=0,"",SUMIFS(Entries!$F$2:$F$5000,Entries!$A$2:$A$5000,$A81))</f>
        <v/>
      </c>
      <c r="J81" s="88">
        <f>IF($BE81=0,NA(),H81+SUM($I$2:I81))</f>
        <v/>
      </c>
      <c r="K81" s="88">
        <f>IF($BE81=0,"",SUMIFS(Entries!$D$2:$D$5000,Entries!$C$2:$C$5000,"Income",Entries!$A$2:$A$5000,"&gt;="&amp;EDATE($A81,-11),Entries!$A$2:$A$5000,"&lt;="&amp;$A81)/12)</f>
        <v/>
      </c>
      <c r="L81" s="88">
        <f>IF($BE81=0,"",(SUMIFS(Entries!$D$2:$D$5000,Entries!$C$2:$C$5000,"Actual",Entries!$A$2:$A$5000,"&gt;="&amp;EDATE($A81,-11),Entries!$A$2:$A$5000,"&lt;="&amp;$A81)+SUMIFS(Entries!$D$2:$D$5000,Entries!$C$2:$C$5000,"One-off",Entries!$A$2:$A$5000,"&gt;="&amp;EDATE($A81,-11),Entries!$A$2:$A$5000,"&lt;="&amp;$A81))/12)</f>
        <v/>
      </c>
      <c r="M81" s="70">
        <f>IF($BE81=0,NA(),IFERROR((K81-L81)/K81,0))</f>
        <v/>
      </c>
      <c r="O81" s="88">
        <f>IF(OR(O$1="",$BE81=0),"",SUMIFS(Entries!$D$2:$D$5000,Entries!$C$2:$C$5000,"Actual",Entries!$A$2:$A$5000,$A81,Entries!$B$2:$B$5000,O$1))</f>
        <v/>
      </c>
      <c r="P81" s="88">
        <f>IF(OR(P$1="",$BE81=0),"",SUMIFS(Entries!$D$2:$D$5000,Entries!$C$2:$C$5000,"Actual",Entries!$A$2:$A$5000,$A81,Entries!$B$2:$B$5000,P$1))</f>
        <v/>
      </c>
      <c r="Q81" s="88">
        <f>IF(OR(Q$1="",$BE81=0),"",SUMIFS(Entries!$D$2:$D$5000,Entries!$C$2:$C$5000,"Actual",Entries!$A$2:$A$5000,$A81,Entries!$B$2:$B$5000,Q$1))</f>
        <v/>
      </c>
      <c r="R81" s="88">
        <f>IF(OR(R$1="",$BE81=0),"",SUMIFS(Entries!$D$2:$D$5000,Entries!$C$2:$C$5000,"Actual",Entries!$A$2:$A$5000,$A81,Entries!$B$2:$B$5000,R$1))</f>
        <v/>
      </c>
      <c r="S81" s="88">
        <f>IF(OR(S$1="",$BE81=0),"",SUMIFS(Entries!$D$2:$D$5000,Entries!$C$2:$C$5000,"Actual",Entries!$A$2:$A$5000,$A81,Entries!$B$2:$B$5000,S$1))</f>
        <v/>
      </c>
      <c r="T81" s="88">
        <f>IF(OR(T$1="",$BE81=0),"",SUMIFS(Entries!$D$2:$D$5000,Entries!$C$2:$C$5000,"Actual",Entries!$A$2:$A$5000,$A81,Entries!$B$2:$B$5000,T$1))</f>
        <v/>
      </c>
      <c r="U81" s="88">
        <f>IF(OR(U$1="",$BE81=0),"",SUMIFS(Entries!$D$2:$D$5000,Entries!$C$2:$C$5000,"Actual",Entries!$A$2:$A$5000,$A81,Entries!$B$2:$B$5000,U$1))</f>
        <v/>
      </c>
      <c r="V81" s="88">
        <f>IF(OR(V$1="",$BE81=0),"",SUMIFS(Entries!$D$2:$D$5000,Entries!$C$2:$C$5000,"Actual",Entries!$A$2:$A$5000,$A81,Entries!$B$2:$B$5000,V$1))</f>
        <v/>
      </c>
      <c r="W81" s="88">
        <f>IF(OR(W$1="",$BE81=0),"",SUMIFS(Entries!$D$2:$D$5000,Entries!$C$2:$C$5000,"Actual",Entries!$A$2:$A$5000,$A81,Entries!$B$2:$B$5000,W$1))</f>
        <v/>
      </c>
      <c r="X81" s="88">
        <f>IF(OR(X$1="",$BE81=0),"",SUMIFS(Entries!$D$2:$D$5000,Entries!$C$2:$C$5000,"Actual",Entries!$A$2:$A$5000,$A81,Entries!$B$2:$B$5000,X$1))</f>
        <v/>
      </c>
      <c r="Y81" s="88">
        <f>IF(OR(Y$1="",$BE81=0),"",SUMIFS(Entries!$D$2:$D$5000,Entries!$C$2:$C$5000,"Actual",Entries!$A$2:$A$5000,$A81,Entries!$B$2:$B$5000,Y$1))</f>
        <v/>
      </c>
      <c r="Z81" s="88">
        <f>IF(OR(Z$1="",$BE81=0),"",SUMIFS(Entries!$D$2:$D$5000,Entries!$C$2:$C$5000,"Actual",Entries!$A$2:$A$5000,$A81,Entries!$B$2:$B$5000,Z$1))</f>
        <v/>
      </c>
      <c r="AA81" s="88">
        <f>IF(OR(AA$1="",$BE81=0),"",SUMIFS(Entries!$D$2:$D$5000,Entries!$C$2:$C$5000,"Actual",Entries!$A$2:$A$5000,$A81,Entries!$B$2:$B$5000,AA$1))</f>
        <v/>
      </c>
      <c r="AB81" s="88">
        <f>IF(OR(AB$1="",$BE81=0),"",SUMIFS(Entries!$D$2:$D$5000,Entries!$C$2:$C$5000,"Actual",Entries!$A$2:$A$5000,$A81,Entries!$B$2:$B$5000,AB$1))</f>
        <v/>
      </c>
      <c r="AC81" s="88">
        <f>IF(OR(AC$1="",$BE81=0),"",SUMIFS(Entries!$D$2:$D$5000,Entries!$C$2:$C$5000,"Actual",Entries!$A$2:$A$5000,$A81,Entries!$B$2:$B$5000,AC$1))</f>
        <v/>
      </c>
      <c r="AD81" s="88">
        <f>IF(OR(AD$1="",$BE81=0),"",SUMIFS(Entries!$D$2:$D$5000,Entries!$C$2:$C$5000,"Actual",Entries!$A$2:$A$5000,$A81,Entries!$B$2:$B$5000,AD$1))</f>
        <v/>
      </c>
      <c r="AE81" s="88">
        <f>IF(OR(AE$1="",$BE81=0),"",SUMIFS(Entries!$D$2:$D$5000,Entries!$C$2:$C$5000,"Actual",Entries!$A$2:$A$5000,$A81,Entries!$B$2:$B$5000,AE$1))</f>
        <v/>
      </c>
      <c r="AF81" s="88">
        <f>IF(OR(AF$1="",$BE81=0),"",SUMIFS(Entries!$D$2:$D$5000,Entries!$C$2:$C$5000,"Actual",Entries!$A$2:$A$5000,$A81,Entries!$B$2:$B$5000,AF$1))</f>
        <v/>
      </c>
      <c r="AG81" s="88">
        <f>IF(OR(AG$1="",$BE81=0),"",SUMIFS(Entries!$D$2:$D$5000,Entries!$C$2:$C$5000,"Actual",Entries!$A$2:$A$5000,$A81,Entries!$B$2:$B$5000,AG$1))</f>
        <v/>
      </c>
      <c r="AH81" s="88">
        <f>IF(OR(AH$1="",$BE81=0),"",SUMIFS(Entries!$D$2:$D$5000,Entries!$C$2:$C$5000,"Actual",Entries!$A$2:$A$5000,$A81,Entries!$B$2:$B$5000,AH$1))</f>
        <v/>
      </c>
      <c r="AJ81" s="88">
        <f>IF(OR(AJ$1="",$BE81=0),"",IFERROR(LOOKUP(2,1/((Budgets!$A$2:$A$200=AJ$1)*(Budgets!$B$2:$B$200&lt;=$A81)),Budgets!$C$2:$C$200),0))</f>
        <v/>
      </c>
      <c r="AK81" s="88">
        <f>IF(OR(AK$1="",$BE81=0),"",IFERROR(LOOKUP(2,1/((Budgets!$A$2:$A$200=AK$1)*(Budgets!$B$2:$B$200&lt;=$A81)),Budgets!$C$2:$C$200),0))</f>
        <v/>
      </c>
      <c r="AL81" s="88">
        <f>IF(OR(AL$1="",$BE81=0),"",IFERROR(LOOKUP(2,1/((Budgets!$A$2:$A$200=AL$1)*(Budgets!$B$2:$B$200&lt;=$A81)),Budgets!$C$2:$C$200),0))</f>
        <v/>
      </c>
      <c r="AM81" s="88">
        <f>IF(OR(AM$1="",$BE81=0),"",IFERROR(LOOKUP(2,1/((Budgets!$A$2:$A$200=AM$1)*(Budgets!$B$2:$B$200&lt;=$A81)),Budgets!$C$2:$C$200),0))</f>
        <v/>
      </c>
      <c r="AN81" s="88">
        <f>IF(OR(AN$1="",$BE81=0),"",IFERROR(LOOKUP(2,1/((Budgets!$A$2:$A$200=AN$1)*(Budgets!$B$2:$B$200&lt;=$A81)),Budgets!$C$2:$C$200),0))</f>
        <v/>
      </c>
      <c r="AO81" s="88">
        <f>IF(OR(AO$1="",$BE81=0),"",IFERROR(LOOKUP(2,1/((Budgets!$A$2:$A$200=AO$1)*(Budgets!$B$2:$B$200&lt;=$A81)),Budgets!$C$2:$C$200),0))</f>
        <v/>
      </c>
      <c r="AP81" s="88">
        <f>IF(OR(AP$1="",$BE81=0),"",IFERROR(LOOKUP(2,1/((Budgets!$A$2:$A$200=AP$1)*(Budgets!$B$2:$B$200&lt;=$A81)),Budgets!$C$2:$C$200),0))</f>
        <v/>
      </c>
      <c r="AQ81" s="88">
        <f>IF(OR(AQ$1="",$BE81=0),"",IFERROR(LOOKUP(2,1/((Budgets!$A$2:$A$200=AQ$1)*(Budgets!$B$2:$B$200&lt;=$A81)),Budgets!$C$2:$C$200),0))</f>
        <v/>
      </c>
      <c r="AR81" s="88">
        <f>IF(OR(AR$1="",$BE81=0),"",IFERROR(LOOKUP(2,1/((Budgets!$A$2:$A$200=AR$1)*(Budgets!$B$2:$B$200&lt;=$A81)),Budgets!$C$2:$C$200),0))</f>
        <v/>
      </c>
      <c r="AS81" s="88">
        <f>IF(OR(AS$1="",$BE81=0),"",IFERROR(LOOKUP(2,1/((Budgets!$A$2:$A$200=AS$1)*(Budgets!$B$2:$B$200&lt;=$A81)),Budgets!$C$2:$C$200),0))</f>
        <v/>
      </c>
      <c r="AT81" s="88">
        <f>IF(OR(AT$1="",$BE81=0),"",IFERROR(LOOKUP(2,1/((Budgets!$A$2:$A$200=AT$1)*(Budgets!$B$2:$B$200&lt;=$A81)),Budgets!$C$2:$C$200),0))</f>
        <v/>
      </c>
      <c r="AU81" s="88">
        <f>IF(OR(AU$1="",$BE81=0),"",IFERROR(LOOKUP(2,1/((Budgets!$A$2:$A$200=AU$1)*(Budgets!$B$2:$B$200&lt;=$A81)),Budgets!$C$2:$C$200),0))</f>
        <v/>
      </c>
      <c r="AV81" s="88">
        <f>IF(OR(AV$1="",$BE81=0),"",IFERROR(LOOKUP(2,1/((Budgets!$A$2:$A$200=AV$1)*(Budgets!$B$2:$B$200&lt;=$A81)),Budgets!$C$2:$C$200),0))</f>
        <v/>
      </c>
      <c r="AW81" s="88">
        <f>IF(OR(AW$1="",$BE81=0),"",IFERROR(LOOKUP(2,1/((Budgets!$A$2:$A$200=AW$1)*(Budgets!$B$2:$B$200&lt;=$A81)),Budgets!$C$2:$C$200),0))</f>
        <v/>
      </c>
      <c r="AX81" s="88">
        <f>IF(OR(AX$1="",$BE81=0),"",IFERROR(LOOKUP(2,1/((Budgets!$A$2:$A$200=AX$1)*(Budgets!$B$2:$B$200&lt;=$A81)),Budgets!$C$2:$C$200),0))</f>
        <v/>
      </c>
      <c r="AY81" s="88">
        <f>IF(OR(AY$1="",$BE81=0),"",IFERROR(LOOKUP(2,1/((Budgets!$A$2:$A$200=AY$1)*(Budgets!$B$2:$B$200&lt;=$A81)),Budgets!$C$2:$C$200),0))</f>
        <v/>
      </c>
      <c r="AZ81" s="88">
        <f>IF(OR(AZ$1="",$BE81=0),"",IFERROR(LOOKUP(2,1/((Budgets!$A$2:$A$200=AZ$1)*(Budgets!$B$2:$B$200&lt;=$A81)),Budgets!$C$2:$C$200),0))</f>
        <v/>
      </c>
      <c r="BA81" s="88">
        <f>IF(OR(BA$1="",$BE81=0),"",IFERROR(LOOKUP(2,1/((Budgets!$A$2:$A$200=BA$1)*(Budgets!$B$2:$B$200&lt;=$A81)),Budgets!$C$2:$C$200),0))</f>
        <v/>
      </c>
      <c r="BB81" s="88">
        <f>IF(OR(BB$1="",$BE81=0),"",IFERROR(LOOKUP(2,1/((Budgets!$A$2:$A$200=BB$1)*(Budgets!$B$2:$B$200&lt;=$A81)),Budgets!$C$2:$C$200),0))</f>
        <v/>
      </c>
      <c r="BC81" s="88">
        <f>IF(OR(BC$1="",$BE81=0),"",IFERROR(LOOKUP(2,1/((Budgets!$A$2:$A$200=BC$1)*(Budgets!$B$2:$B$200&lt;=$A81)),Budgets!$C$2:$C$200),0))</f>
        <v/>
      </c>
      <c r="BE81" s="67">
        <f>COUNTIFS(Entries!$A$2:$A$5000,$A81)</f>
        <v/>
      </c>
    </row>
    <row r="82" ht="15" customHeight="1" s="43">
      <c r="A82" s="87" t="n">
        <v>41883</v>
      </c>
      <c r="B82" s="88">
        <f>IF($BE82=0,NA(),SUMIFS(Entries!$D$2:$D$5000,Entries!$C$2:$C$5000,"Income",Entries!$A$2:$A$5000,$A82))</f>
        <v/>
      </c>
      <c r="C82" s="88">
        <f>IF($BE82=0,"",SUMIFS(Entries!$D$2:$D$5000,Entries!$C$2:$C$5000,"Actual",Entries!$A$2:$A$5000,$A82))</f>
        <v/>
      </c>
      <c r="D82" s="88">
        <f>IF($BE82=0,"",SUMIFS(Entries!$D$2:$D$5000,Entries!$C$2:$C$5000,"One-off",Entries!$A$2:$A$5000,$A82))</f>
        <v/>
      </c>
      <c r="E82" s="88">
        <f>IF($BE82=0,NA(),C82+D82)</f>
        <v/>
      </c>
      <c r="F82" s="88">
        <f>IF($BE82=0,"",SUM(AJ82:BC82))</f>
        <v/>
      </c>
      <c r="G82" s="88">
        <f>IF($BE82=0,"",B82-E82)</f>
        <v/>
      </c>
      <c r="H82" s="88">
        <f>IF($BE82=0,"",SUM($G$2:G82))</f>
        <v/>
      </c>
      <c r="I82" s="88">
        <f>IF($BE82=0,"",SUMIFS(Entries!$F$2:$F$5000,Entries!$A$2:$A$5000,$A82))</f>
        <v/>
      </c>
      <c r="J82" s="88">
        <f>IF($BE82=0,NA(),H82+SUM($I$2:I82))</f>
        <v/>
      </c>
      <c r="K82" s="88">
        <f>IF($BE82=0,"",SUMIFS(Entries!$D$2:$D$5000,Entries!$C$2:$C$5000,"Income",Entries!$A$2:$A$5000,"&gt;="&amp;EDATE($A82,-11),Entries!$A$2:$A$5000,"&lt;="&amp;$A82)/12)</f>
        <v/>
      </c>
      <c r="L82" s="88">
        <f>IF($BE82=0,"",(SUMIFS(Entries!$D$2:$D$5000,Entries!$C$2:$C$5000,"Actual",Entries!$A$2:$A$5000,"&gt;="&amp;EDATE($A82,-11),Entries!$A$2:$A$5000,"&lt;="&amp;$A82)+SUMIFS(Entries!$D$2:$D$5000,Entries!$C$2:$C$5000,"One-off",Entries!$A$2:$A$5000,"&gt;="&amp;EDATE($A82,-11),Entries!$A$2:$A$5000,"&lt;="&amp;$A82))/12)</f>
        <v/>
      </c>
      <c r="M82" s="70">
        <f>IF($BE82=0,NA(),IFERROR((K82-L82)/K82,0))</f>
        <v/>
      </c>
      <c r="O82" s="88">
        <f>IF(OR(O$1="",$BE82=0),"",SUMIFS(Entries!$D$2:$D$5000,Entries!$C$2:$C$5000,"Actual",Entries!$A$2:$A$5000,$A82,Entries!$B$2:$B$5000,O$1))</f>
        <v/>
      </c>
      <c r="P82" s="88">
        <f>IF(OR(P$1="",$BE82=0),"",SUMIFS(Entries!$D$2:$D$5000,Entries!$C$2:$C$5000,"Actual",Entries!$A$2:$A$5000,$A82,Entries!$B$2:$B$5000,P$1))</f>
        <v/>
      </c>
      <c r="Q82" s="88">
        <f>IF(OR(Q$1="",$BE82=0),"",SUMIFS(Entries!$D$2:$D$5000,Entries!$C$2:$C$5000,"Actual",Entries!$A$2:$A$5000,$A82,Entries!$B$2:$B$5000,Q$1))</f>
        <v/>
      </c>
      <c r="R82" s="88">
        <f>IF(OR(R$1="",$BE82=0),"",SUMIFS(Entries!$D$2:$D$5000,Entries!$C$2:$C$5000,"Actual",Entries!$A$2:$A$5000,$A82,Entries!$B$2:$B$5000,R$1))</f>
        <v/>
      </c>
      <c r="S82" s="88">
        <f>IF(OR(S$1="",$BE82=0),"",SUMIFS(Entries!$D$2:$D$5000,Entries!$C$2:$C$5000,"Actual",Entries!$A$2:$A$5000,$A82,Entries!$B$2:$B$5000,S$1))</f>
        <v/>
      </c>
      <c r="T82" s="88">
        <f>IF(OR(T$1="",$BE82=0),"",SUMIFS(Entries!$D$2:$D$5000,Entries!$C$2:$C$5000,"Actual",Entries!$A$2:$A$5000,$A82,Entries!$B$2:$B$5000,T$1))</f>
        <v/>
      </c>
      <c r="U82" s="88">
        <f>IF(OR(U$1="",$BE82=0),"",SUMIFS(Entries!$D$2:$D$5000,Entries!$C$2:$C$5000,"Actual",Entries!$A$2:$A$5000,$A82,Entries!$B$2:$B$5000,U$1))</f>
        <v/>
      </c>
      <c r="V82" s="88">
        <f>IF(OR(V$1="",$BE82=0),"",SUMIFS(Entries!$D$2:$D$5000,Entries!$C$2:$C$5000,"Actual",Entries!$A$2:$A$5000,$A82,Entries!$B$2:$B$5000,V$1))</f>
        <v/>
      </c>
      <c r="W82" s="88">
        <f>IF(OR(W$1="",$BE82=0),"",SUMIFS(Entries!$D$2:$D$5000,Entries!$C$2:$C$5000,"Actual",Entries!$A$2:$A$5000,$A82,Entries!$B$2:$B$5000,W$1))</f>
        <v/>
      </c>
      <c r="X82" s="88">
        <f>IF(OR(X$1="",$BE82=0),"",SUMIFS(Entries!$D$2:$D$5000,Entries!$C$2:$C$5000,"Actual",Entries!$A$2:$A$5000,$A82,Entries!$B$2:$B$5000,X$1))</f>
        <v/>
      </c>
      <c r="Y82" s="88">
        <f>IF(OR(Y$1="",$BE82=0),"",SUMIFS(Entries!$D$2:$D$5000,Entries!$C$2:$C$5000,"Actual",Entries!$A$2:$A$5000,$A82,Entries!$B$2:$B$5000,Y$1))</f>
        <v/>
      </c>
      <c r="Z82" s="88">
        <f>IF(OR(Z$1="",$BE82=0),"",SUMIFS(Entries!$D$2:$D$5000,Entries!$C$2:$C$5000,"Actual",Entries!$A$2:$A$5000,$A82,Entries!$B$2:$B$5000,Z$1))</f>
        <v/>
      </c>
      <c r="AA82" s="88">
        <f>IF(OR(AA$1="",$BE82=0),"",SUMIFS(Entries!$D$2:$D$5000,Entries!$C$2:$C$5000,"Actual",Entries!$A$2:$A$5000,$A82,Entries!$B$2:$B$5000,AA$1))</f>
        <v/>
      </c>
      <c r="AB82" s="88">
        <f>IF(OR(AB$1="",$BE82=0),"",SUMIFS(Entries!$D$2:$D$5000,Entries!$C$2:$C$5000,"Actual",Entries!$A$2:$A$5000,$A82,Entries!$B$2:$B$5000,AB$1))</f>
        <v/>
      </c>
      <c r="AC82" s="88">
        <f>IF(OR(AC$1="",$BE82=0),"",SUMIFS(Entries!$D$2:$D$5000,Entries!$C$2:$C$5000,"Actual",Entries!$A$2:$A$5000,$A82,Entries!$B$2:$B$5000,AC$1))</f>
        <v/>
      </c>
      <c r="AD82" s="88">
        <f>IF(OR(AD$1="",$BE82=0),"",SUMIFS(Entries!$D$2:$D$5000,Entries!$C$2:$C$5000,"Actual",Entries!$A$2:$A$5000,$A82,Entries!$B$2:$B$5000,AD$1))</f>
        <v/>
      </c>
      <c r="AE82" s="88">
        <f>IF(OR(AE$1="",$BE82=0),"",SUMIFS(Entries!$D$2:$D$5000,Entries!$C$2:$C$5000,"Actual",Entries!$A$2:$A$5000,$A82,Entries!$B$2:$B$5000,AE$1))</f>
        <v/>
      </c>
      <c r="AF82" s="88">
        <f>IF(OR(AF$1="",$BE82=0),"",SUMIFS(Entries!$D$2:$D$5000,Entries!$C$2:$C$5000,"Actual",Entries!$A$2:$A$5000,$A82,Entries!$B$2:$B$5000,AF$1))</f>
        <v/>
      </c>
      <c r="AG82" s="88">
        <f>IF(OR(AG$1="",$BE82=0),"",SUMIFS(Entries!$D$2:$D$5000,Entries!$C$2:$C$5000,"Actual",Entries!$A$2:$A$5000,$A82,Entries!$B$2:$B$5000,AG$1))</f>
        <v/>
      </c>
      <c r="AH82" s="88">
        <f>IF(OR(AH$1="",$BE82=0),"",SUMIFS(Entries!$D$2:$D$5000,Entries!$C$2:$C$5000,"Actual",Entries!$A$2:$A$5000,$A82,Entries!$B$2:$B$5000,AH$1))</f>
        <v/>
      </c>
      <c r="AJ82" s="88">
        <f>IF(OR(AJ$1="",$BE82=0),"",IFERROR(LOOKUP(2,1/((Budgets!$A$2:$A$200=AJ$1)*(Budgets!$B$2:$B$200&lt;=$A82)),Budgets!$C$2:$C$200),0))</f>
        <v/>
      </c>
      <c r="AK82" s="88">
        <f>IF(OR(AK$1="",$BE82=0),"",IFERROR(LOOKUP(2,1/((Budgets!$A$2:$A$200=AK$1)*(Budgets!$B$2:$B$200&lt;=$A82)),Budgets!$C$2:$C$200),0))</f>
        <v/>
      </c>
      <c r="AL82" s="88">
        <f>IF(OR(AL$1="",$BE82=0),"",IFERROR(LOOKUP(2,1/((Budgets!$A$2:$A$200=AL$1)*(Budgets!$B$2:$B$200&lt;=$A82)),Budgets!$C$2:$C$200),0))</f>
        <v/>
      </c>
      <c r="AM82" s="88">
        <f>IF(OR(AM$1="",$BE82=0),"",IFERROR(LOOKUP(2,1/((Budgets!$A$2:$A$200=AM$1)*(Budgets!$B$2:$B$200&lt;=$A82)),Budgets!$C$2:$C$200),0))</f>
        <v/>
      </c>
      <c r="AN82" s="88">
        <f>IF(OR(AN$1="",$BE82=0),"",IFERROR(LOOKUP(2,1/((Budgets!$A$2:$A$200=AN$1)*(Budgets!$B$2:$B$200&lt;=$A82)),Budgets!$C$2:$C$200),0))</f>
        <v/>
      </c>
      <c r="AO82" s="88">
        <f>IF(OR(AO$1="",$BE82=0),"",IFERROR(LOOKUP(2,1/((Budgets!$A$2:$A$200=AO$1)*(Budgets!$B$2:$B$200&lt;=$A82)),Budgets!$C$2:$C$200),0))</f>
        <v/>
      </c>
      <c r="AP82" s="88">
        <f>IF(OR(AP$1="",$BE82=0),"",IFERROR(LOOKUP(2,1/((Budgets!$A$2:$A$200=AP$1)*(Budgets!$B$2:$B$200&lt;=$A82)),Budgets!$C$2:$C$200),0))</f>
        <v/>
      </c>
      <c r="AQ82" s="88">
        <f>IF(OR(AQ$1="",$BE82=0),"",IFERROR(LOOKUP(2,1/((Budgets!$A$2:$A$200=AQ$1)*(Budgets!$B$2:$B$200&lt;=$A82)),Budgets!$C$2:$C$200),0))</f>
        <v/>
      </c>
      <c r="AR82" s="88">
        <f>IF(OR(AR$1="",$BE82=0),"",IFERROR(LOOKUP(2,1/((Budgets!$A$2:$A$200=AR$1)*(Budgets!$B$2:$B$200&lt;=$A82)),Budgets!$C$2:$C$200),0))</f>
        <v/>
      </c>
      <c r="AS82" s="88">
        <f>IF(OR(AS$1="",$BE82=0),"",IFERROR(LOOKUP(2,1/((Budgets!$A$2:$A$200=AS$1)*(Budgets!$B$2:$B$200&lt;=$A82)),Budgets!$C$2:$C$200),0))</f>
        <v/>
      </c>
      <c r="AT82" s="88">
        <f>IF(OR(AT$1="",$BE82=0),"",IFERROR(LOOKUP(2,1/((Budgets!$A$2:$A$200=AT$1)*(Budgets!$B$2:$B$200&lt;=$A82)),Budgets!$C$2:$C$200),0))</f>
        <v/>
      </c>
      <c r="AU82" s="88">
        <f>IF(OR(AU$1="",$BE82=0),"",IFERROR(LOOKUP(2,1/((Budgets!$A$2:$A$200=AU$1)*(Budgets!$B$2:$B$200&lt;=$A82)),Budgets!$C$2:$C$200),0))</f>
        <v/>
      </c>
      <c r="AV82" s="88">
        <f>IF(OR(AV$1="",$BE82=0),"",IFERROR(LOOKUP(2,1/((Budgets!$A$2:$A$200=AV$1)*(Budgets!$B$2:$B$200&lt;=$A82)),Budgets!$C$2:$C$200),0))</f>
        <v/>
      </c>
      <c r="AW82" s="88">
        <f>IF(OR(AW$1="",$BE82=0),"",IFERROR(LOOKUP(2,1/((Budgets!$A$2:$A$200=AW$1)*(Budgets!$B$2:$B$200&lt;=$A82)),Budgets!$C$2:$C$200),0))</f>
        <v/>
      </c>
      <c r="AX82" s="88">
        <f>IF(OR(AX$1="",$BE82=0),"",IFERROR(LOOKUP(2,1/((Budgets!$A$2:$A$200=AX$1)*(Budgets!$B$2:$B$200&lt;=$A82)),Budgets!$C$2:$C$200),0))</f>
        <v/>
      </c>
      <c r="AY82" s="88">
        <f>IF(OR(AY$1="",$BE82=0),"",IFERROR(LOOKUP(2,1/((Budgets!$A$2:$A$200=AY$1)*(Budgets!$B$2:$B$200&lt;=$A82)),Budgets!$C$2:$C$200),0))</f>
        <v/>
      </c>
      <c r="AZ82" s="88">
        <f>IF(OR(AZ$1="",$BE82=0),"",IFERROR(LOOKUP(2,1/((Budgets!$A$2:$A$200=AZ$1)*(Budgets!$B$2:$B$200&lt;=$A82)),Budgets!$C$2:$C$200),0))</f>
        <v/>
      </c>
      <c r="BA82" s="88">
        <f>IF(OR(BA$1="",$BE82=0),"",IFERROR(LOOKUP(2,1/((Budgets!$A$2:$A$200=BA$1)*(Budgets!$B$2:$B$200&lt;=$A82)),Budgets!$C$2:$C$200),0))</f>
        <v/>
      </c>
      <c r="BB82" s="88">
        <f>IF(OR(BB$1="",$BE82=0),"",IFERROR(LOOKUP(2,1/((Budgets!$A$2:$A$200=BB$1)*(Budgets!$B$2:$B$200&lt;=$A82)),Budgets!$C$2:$C$200),0))</f>
        <v/>
      </c>
      <c r="BC82" s="88">
        <f>IF(OR(BC$1="",$BE82=0),"",IFERROR(LOOKUP(2,1/((Budgets!$A$2:$A$200=BC$1)*(Budgets!$B$2:$B$200&lt;=$A82)),Budgets!$C$2:$C$200),0))</f>
        <v/>
      </c>
      <c r="BE82" s="67">
        <f>COUNTIFS(Entries!$A$2:$A$5000,$A82)</f>
        <v/>
      </c>
    </row>
    <row r="83" ht="15" customHeight="1" s="43">
      <c r="A83" s="87" t="n">
        <v>41913</v>
      </c>
      <c r="B83" s="88">
        <f>IF($BE83=0,NA(),SUMIFS(Entries!$D$2:$D$5000,Entries!$C$2:$C$5000,"Income",Entries!$A$2:$A$5000,$A83))</f>
        <v/>
      </c>
      <c r="C83" s="88">
        <f>IF($BE83=0,"",SUMIFS(Entries!$D$2:$D$5000,Entries!$C$2:$C$5000,"Actual",Entries!$A$2:$A$5000,$A83))</f>
        <v/>
      </c>
      <c r="D83" s="88">
        <f>IF($BE83=0,"",SUMIFS(Entries!$D$2:$D$5000,Entries!$C$2:$C$5000,"One-off",Entries!$A$2:$A$5000,$A83))</f>
        <v/>
      </c>
      <c r="E83" s="88">
        <f>IF($BE83=0,NA(),C83+D83)</f>
        <v/>
      </c>
      <c r="F83" s="88">
        <f>IF($BE83=0,"",SUM(AJ83:BC83))</f>
        <v/>
      </c>
      <c r="G83" s="88">
        <f>IF($BE83=0,"",B83-E83)</f>
        <v/>
      </c>
      <c r="H83" s="88">
        <f>IF($BE83=0,"",SUM($G$2:G83))</f>
        <v/>
      </c>
      <c r="I83" s="88">
        <f>IF($BE83=0,"",SUMIFS(Entries!$F$2:$F$5000,Entries!$A$2:$A$5000,$A83))</f>
        <v/>
      </c>
      <c r="J83" s="88">
        <f>IF($BE83=0,NA(),H83+SUM($I$2:I83))</f>
        <v/>
      </c>
      <c r="K83" s="88">
        <f>IF($BE83=0,"",SUMIFS(Entries!$D$2:$D$5000,Entries!$C$2:$C$5000,"Income",Entries!$A$2:$A$5000,"&gt;="&amp;EDATE($A83,-11),Entries!$A$2:$A$5000,"&lt;="&amp;$A83)/12)</f>
        <v/>
      </c>
      <c r="L83" s="88">
        <f>IF($BE83=0,"",(SUMIFS(Entries!$D$2:$D$5000,Entries!$C$2:$C$5000,"Actual",Entries!$A$2:$A$5000,"&gt;="&amp;EDATE($A83,-11),Entries!$A$2:$A$5000,"&lt;="&amp;$A83)+SUMIFS(Entries!$D$2:$D$5000,Entries!$C$2:$C$5000,"One-off",Entries!$A$2:$A$5000,"&gt;="&amp;EDATE($A83,-11),Entries!$A$2:$A$5000,"&lt;="&amp;$A83))/12)</f>
        <v/>
      </c>
      <c r="M83" s="70">
        <f>IF($BE83=0,NA(),IFERROR((K83-L83)/K83,0))</f>
        <v/>
      </c>
      <c r="O83" s="88">
        <f>IF(OR(O$1="",$BE83=0),"",SUMIFS(Entries!$D$2:$D$5000,Entries!$C$2:$C$5000,"Actual",Entries!$A$2:$A$5000,$A83,Entries!$B$2:$B$5000,O$1))</f>
        <v/>
      </c>
      <c r="P83" s="88">
        <f>IF(OR(P$1="",$BE83=0),"",SUMIFS(Entries!$D$2:$D$5000,Entries!$C$2:$C$5000,"Actual",Entries!$A$2:$A$5000,$A83,Entries!$B$2:$B$5000,P$1))</f>
        <v/>
      </c>
      <c r="Q83" s="88">
        <f>IF(OR(Q$1="",$BE83=0),"",SUMIFS(Entries!$D$2:$D$5000,Entries!$C$2:$C$5000,"Actual",Entries!$A$2:$A$5000,$A83,Entries!$B$2:$B$5000,Q$1))</f>
        <v/>
      </c>
      <c r="R83" s="88">
        <f>IF(OR(R$1="",$BE83=0),"",SUMIFS(Entries!$D$2:$D$5000,Entries!$C$2:$C$5000,"Actual",Entries!$A$2:$A$5000,$A83,Entries!$B$2:$B$5000,R$1))</f>
        <v/>
      </c>
      <c r="S83" s="88">
        <f>IF(OR(S$1="",$BE83=0),"",SUMIFS(Entries!$D$2:$D$5000,Entries!$C$2:$C$5000,"Actual",Entries!$A$2:$A$5000,$A83,Entries!$B$2:$B$5000,S$1))</f>
        <v/>
      </c>
      <c r="T83" s="88">
        <f>IF(OR(T$1="",$BE83=0),"",SUMIFS(Entries!$D$2:$D$5000,Entries!$C$2:$C$5000,"Actual",Entries!$A$2:$A$5000,$A83,Entries!$B$2:$B$5000,T$1))</f>
        <v/>
      </c>
      <c r="U83" s="88">
        <f>IF(OR(U$1="",$BE83=0),"",SUMIFS(Entries!$D$2:$D$5000,Entries!$C$2:$C$5000,"Actual",Entries!$A$2:$A$5000,$A83,Entries!$B$2:$B$5000,U$1))</f>
        <v/>
      </c>
      <c r="V83" s="88">
        <f>IF(OR(V$1="",$BE83=0),"",SUMIFS(Entries!$D$2:$D$5000,Entries!$C$2:$C$5000,"Actual",Entries!$A$2:$A$5000,$A83,Entries!$B$2:$B$5000,V$1))</f>
        <v/>
      </c>
      <c r="W83" s="88">
        <f>IF(OR(W$1="",$BE83=0),"",SUMIFS(Entries!$D$2:$D$5000,Entries!$C$2:$C$5000,"Actual",Entries!$A$2:$A$5000,$A83,Entries!$B$2:$B$5000,W$1))</f>
        <v/>
      </c>
      <c r="X83" s="88">
        <f>IF(OR(X$1="",$BE83=0),"",SUMIFS(Entries!$D$2:$D$5000,Entries!$C$2:$C$5000,"Actual",Entries!$A$2:$A$5000,$A83,Entries!$B$2:$B$5000,X$1))</f>
        <v/>
      </c>
      <c r="Y83" s="88">
        <f>IF(OR(Y$1="",$BE83=0),"",SUMIFS(Entries!$D$2:$D$5000,Entries!$C$2:$C$5000,"Actual",Entries!$A$2:$A$5000,$A83,Entries!$B$2:$B$5000,Y$1))</f>
        <v/>
      </c>
      <c r="Z83" s="88">
        <f>IF(OR(Z$1="",$BE83=0),"",SUMIFS(Entries!$D$2:$D$5000,Entries!$C$2:$C$5000,"Actual",Entries!$A$2:$A$5000,$A83,Entries!$B$2:$B$5000,Z$1))</f>
        <v/>
      </c>
      <c r="AA83" s="88">
        <f>IF(OR(AA$1="",$BE83=0),"",SUMIFS(Entries!$D$2:$D$5000,Entries!$C$2:$C$5000,"Actual",Entries!$A$2:$A$5000,$A83,Entries!$B$2:$B$5000,AA$1))</f>
        <v/>
      </c>
      <c r="AB83" s="88">
        <f>IF(OR(AB$1="",$BE83=0),"",SUMIFS(Entries!$D$2:$D$5000,Entries!$C$2:$C$5000,"Actual",Entries!$A$2:$A$5000,$A83,Entries!$B$2:$B$5000,AB$1))</f>
        <v/>
      </c>
      <c r="AC83" s="88">
        <f>IF(OR(AC$1="",$BE83=0),"",SUMIFS(Entries!$D$2:$D$5000,Entries!$C$2:$C$5000,"Actual",Entries!$A$2:$A$5000,$A83,Entries!$B$2:$B$5000,AC$1))</f>
        <v/>
      </c>
      <c r="AD83" s="88">
        <f>IF(OR(AD$1="",$BE83=0),"",SUMIFS(Entries!$D$2:$D$5000,Entries!$C$2:$C$5000,"Actual",Entries!$A$2:$A$5000,$A83,Entries!$B$2:$B$5000,AD$1))</f>
        <v/>
      </c>
      <c r="AE83" s="88">
        <f>IF(OR(AE$1="",$BE83=0),"",SUMIFS(Entries!$D$2:$D$5000,Entries!$C$2:$C$5000,"Actual",Entries!$A$2:$A$5000,$A83,Entries!$B$2:$B$5000,AE$1))</f>
        <v/>
      </c>
      <c r="AF83" s="88">
        <f>IF(OR(AF$1="",$BE83=0),"",SUMIFS(Entries!$D$2:$D$5000,Entries!$C$2:$C$5000,"Actual",Entries!$A$2:$A$5000,$A83,Entries!$B$2:$B$5000,AF$1))</f>
        <v/>
      </c>
      <c r="AG83" s="88">
        <f>IF(OR(AG$1="",$BE83=0),"",SUMIFS(Entries!$D$2:$D$5000,Entries!$C$2:$C$5000,"Actual",Entries!$A$2:$A$5000,$A83,Entries!$B$2:$B$5000,AG$1))</f>
        <v/>
      </c>
      <c r="AH83" s="88">
        <f>IF(OR(AH$1="",$BE83=0),"",SUMIFS(Entries!$D$2:$D$5000,Entries!$C$2:$C$5000,"Actual",Entries!$A$2:$A$5000,$A83,Entries!$B$2:$B$5000,AH$1))</f>
        <v/>
      </c>
      <c r="AJ83" s="88">
        <f>IF(OR(AJ$1="",$BE83=0),"",IFERROR(LOOKUP(2,1/((Budgets!$A$2:$A$200=AJ$1)*(Budgets!$B$2:$B$200&lt;=$A83)),Budgets!$C$2:$C$200),0))</f>
        <v/>
      </c>
      <c r="AK83" s="88">
        <f>IF(OR(AK$1="",$BE83=0),"",IFERROR(LOOKUP(2,1/((Budgets!$A$2:$A$200=AK$1)*(Budgets!$B$2:$B$200&lt;=$A83)),Budgets!$C$2:$C$200),0))</f>
        <v/>
      </c>
      <c r="AL83" s="88">
        <f>IF(OR(AL$1="",$BE83=0),"",IFERROR(LOOKUP(2,1/((Budgets!$A$2:$A$200=AL$1)*(Budgets!$B$2:$B$200&lt;=$A83)),Budgets!$C$2:$C$200),0))</f>
        <v/>
      </c>
      <c r="AM83" s="88">
        <f>IF(OR(AM$1="",$BE83=0),"",IFERROR(LOOKUP(2,1/((Budgets!$A$2:$A$200=AM$1)*(Budgets!$B$2:$B$200&lt;=$A83)),Budgets!$C$2:$C$200),0))</f>
        <v/>
      </c>
      <c r="AN83" s="88">
        <f>IF(OR(AN$1="",$BE83=0),"",IFERROR(LOOKUP(2,1/((Budgets!$A$2:$A$200=AN$1)*(Budgets!$B$2:$B$200&lt;=$A83)),Budgets!$C$2:$C$200),0))</f>
        <v/>
      </c>
      <c r="AO83" s="88">
        <f>IF(OR(AO$1="",$BE83=0),"",IFERROR(LOOKUP(2,1/((Budgets!$A$2:$A$200=AO$1)*(Budgets!$B$2:$B$200&lt;=$A83)),Budgets!$C$2:$C$200),0))</f>
        <v/>
      </c>
      <c r="AP83" s="88">
        <f>IF(OR(AP$1="",$BE83=0),"",IFERROR(LOOKUP(2,1/((Budgets!$A$2:$A$200=AP$1)*(Budgets!$B$2:$B$200&lt;=$A83)),Budgets!$C$2:$C$200),0))</f>
        <v/>
      </c>
      <c r="AQ83" s="88">
        <f>IF(OR(AQ$1="",$BE83=0),"",IFERROR(LOOKUP(2,1/((Budgets!$A$2:$A$200=AQ$1)*(Budgets!$B$2:$B$200&lt;=$A83)),Budgets!$C$2:$C$200),0))</f>
        <v/>
      </c>
      <c r="AR83" s="88">
        <f>IF(OR(AR$1="",$BE83=0),"",IFERROR(LOOKUP(2,1/((Budgets!$A$2:$A$200=AR$1)*(Budgets!$B$2:$B$200&lt;=$A83)),Budgets!$C$2:$C$200),0))</f>
        <v/>
      </c>
      <c r="AS83" s="88">
        <f>IF(OR(AS$1="",$BE83=0),"",IFERROR(LOOKUP(2,1/((Budgets!$A$2:$A$200=AS$1)*(Budgets!$B$2:$B$200&lt;=$A83)),Budgets!$C$2:$C$200),0))</f>
        <v/>
      </c>
      <c r="AT83" s="88">
        <f>IF(OR(AT$1="",$BE83=0),"",IFERROR(LOOKUP(2,1/((Budgets!$A$2:$A$200=AT$1)*(Budgets!$B$2:$B$200&lt;=$A83)),Budgets!$C$2:$C$200),0))</f>
        <v/>
      </c>
      <c r="AU83" s="88">
        <f>IF(OR(AU$1="",$BE83=0),"",IFERROR(LOOKUP(2,1/((Budgets!$A$2:$A$200=AU$1)*(Budgets!$B$2:$B$200&lt;=$A83)),Budgets!$C$2:$C$200),0))</f>
        <v/>
      </c>
      <c r="AV83" s="88">
        <f>IF(OR(AV$1="",$BE83=0),"",IFERROR(LOOKUP(2,1/((Budgets!$A$2:$A$200=AV$1)*(Budgets!$B$2:$B$200&lt;=$A83)),Budgets!$C$2:$C$200),0))</f>
        <v/>
      </c>
      <c r="AW83" s="88">
        <f>IF(OR(AW$1="",$BE83=0),"",IFERROR(LOOKUP(2,1/((Budgets!$A$2:$A$200=AW$1)*(Budgets!$B$2:$B$200&lt;=$A83)),Budgets!$C$2:$C$200),0))</f>
        <v/>
      </c>
      <c r="AX83" s="88">
        <f>IF(OR(AX$1="",$BE83=0),"",IFERROR(LOOKUP(2,1/((Budgets!$A$2:$A$200=AX$1)*(Budgets!$B$2:$B$200&lt;=$A83)),Budgets!$C$2:$C$200),0))</f>
        <v/>
      </c>
      <c r="AY83" s="88">
        <f>IF(OR(AY$1="",$BE83=0),"",IFERROR(LOOKUP(2,1/((Budgets!$A$2:$A$200=AY$1)*(Budgets!$B$2:$B$200&lt;=$A83)),Budgets!$C$2:$C$200),0))</f>
        <v/>
      </c>
      <c r="AZ83" s="88">
        <f>IF(OR(AZ$1="",$BE83=0),"",IFERROR(LOOKUP(2,1/((Budgets!$A$2:$A$200=AZ$1)*(Budgets!$B$2:$B$200&lt;=$A83)),Budgets!$C$2:$C$200),0))</f>
        <v/>
      </c>
      <c r="BA83" s="88">
        <f>IF(OR(BA$1="",$BE83=0),"",IFERROR(LOOKUP(2,1/((Budgets!$A$2:$A$200=BA$1)*(Budgets!$B$2:$B$200&lt;=$A83)),Budgets!$C$2:$C$200),0))</f>
        <v/>
      </c>
      <c r="BB83" s="88">
        <f>IF(OR(BB$1="",$BE83=0),"",IFERROR(LOOKUP(2,1/((Budgets!$A$2:$A$200=BB$1)*(Budgets!$B$2:$B$200&lt;=$A83)),Budgets!$C$2:$C$200),0))</f>
        <v/>
      </c>
      <c r="BC83" s="88">
        <f>IF(OR(BC$1="",$BE83=0),"",IFERROR(LOOKUP(2,1/((Budgets!$A$2:$A$200=BC$1)*(Budgets!$B$2:$B$200&lt;=$A83)),Budgets!$C$2:$C$200),0))</f>
        <v/>
      </c>
      <c r="BE83" s="67">
        <f>COUNTIFS(Entries!$A$2:$A$5000,$A83)</f>
        <v/>
      </c>
    </row>
    <row r="84" ht="15" customHeight="1" s="43">
      <c r="A84" s="87" t="n">
        <v>41944</v>
      </c>
      <c r="B84" s="88">
        <f>IF($BE84=0,NA(),SUMIFS(Entries!$D$2:$D$5000,Entries!$C$2:$C$5000,"Income",Entries!$A$2:$A$5000,$A84))</f>
        <v/>
      </c>
      <c r="C84" s="88">
        <f>IF($BE84=0,"",SUMIFS(Entries!$D$2:$D$5000,Entries!$C$2:$C$5000,"Actual",Entries!$A$2:$A$5000,$A84))</f>
        <v/>
      </c>
      <c r="D84" s="88">
        <f>IF($BE84=0,"",SUMIFS(Entries!$D$2:$D$5000,Entries!$C$2:$C$5000,"One-off",Entries!$A$2:$A$5000,$A84))</f>
        <v/>
      </c>
      <c r="E84" s="88">
        <f>IF($BE84=0,NA(),C84+D84)</f>
        <v/>
      </c>
      <c r="F84" s="88">
        <f>IF($BE84=0,"",SUM(AJ84:BC84))</f>
        <v/>
      </c>
      <c r="G84" s="88">
        <f>IF($BE84=0,"",B84-E84)</f>
        <v/>
      </c>
      <c r="H84" s="88">
        <f>IF($BE84=0,"",SUM($G$2:G84))</f>
        <v/>
      </c>
      <c r="I84" s="88">
        <f>IF($BE84=0,"",SUMIFS(Entries!$F$2:$F$5000,Entries!$A$2:$A$5000,$A84))</f>
        <v/>
      </c>
      <c r="J84" s="88">
        <f>IF($BE84=0,NA(),H84+SUM($I$2:I84))</f>
        <v/>
      </c>
      <c r="K84" s="88">
        <f>IF($BE84=0,"",SUMIFS(Entries!$D$2:$D$5000,Entries!$C$2:$C$5000,"Income",Entries!$A$2:$A$5000,"&gt;="&amp;EDATE($A84,-11),Entries!$A$2:$A$5000,"&lt;="&amp;$A84)/12)</f>
        <v/>
      </c>
      <c r="L84" s="88">
        <f>IF($BE84=0,"",(SUMIFS(Entries!$D$2:$D$5000,Entries!$C$2:$C$5000,"Actual",Entries!$A$2:$A$5000,"&gt;="&amp;EDATE($A84,-11),Entries!$A$2:$A$5000,"&lt;="&amp;$A84)+SUMIFS(Entries!$D$2:$D$5000,Entries!$C$2:$C$5000,"One-off",Entries!$A$2:$A$5000,"&gt;="&amp;EDATE($A84,-11),Entries!$A$2:$A$5000,"&lt;="&amp;$A84))/12)</f>
        <v/>
      </c>
      <c r="M84" s="70">
        <f>IF($BE84=0,NA(),IFERROR((K84-L84)/K84,0))</f>
        <v/>
      </c>
      <c r="O84" s="88">
        <f>IF(OR(O$1="",$BE84=0),"",SUMIFS(Entries!$D$2:$D$5000,Entries!$C$2:$C$5000,"Actual",Entries!$A$2:$A$5000,$A84,Entries!$B$2:$B$5000,O$1))</f>
        <v/>
      </c>
      <c r="P84" s="88">
        <f>IF(OR(P$1="",$BE84=0),"",SUMIFS(Entries!$D$2:$D$5000,Entries!$C$2:$C$5000,"Actual",Entries!$A$2:$A$5000,$A84,Entries!$B$2:$B$5000,P$1))</f>
        <v/>
      </c>
      <c r="Q84" s="88">
        <f>IF(OR(Q$1="",$BE84=0),"",SUMIFS(Entries!$D$2:$D$5000,Entries!$C$2:$C$5000,"Actual",Entries!$A$2:$A$5000,$A84,Entries!$B$2:$B$5000,Q$1))</f>
        <v/>
      </c>
      <c r="R84" s="88">
        <f>IF(OR(R$1="",$BE84=0),"",SUMIFS(Entries!$D$2:$D$5000,Entries!$C$2:$C$5000,"Actual",Entries!$A$2:$A$5000,$A84,Entries!$B$2:$B$5000,R$1))</f>
        <v/>
      </c>
      <c r="S84" s="88">
        <f>IF(OR(S$1="",$BE84=0),"",SUMIFS(Entries!$D$2:$D$5000,Entries!$C$2:$C$5000,"Actual",Entries!$A$2:$A$5000,$A84,Entries!$B$2:$B$5000,S$1))</f>
        <v/>
      </c>
      <c r="T84" s="88">
        <f>IF(OR(T$1="",$BE84=0),"",SUMIFS(Entries!$D$2:$D$5000,Entries!$C$2:$C$5000,"Actual",Entries!$A$2:$A$5000,$A84,Entries!$B$2:$B$5000,T$1))</f>
        <v/>
      </c>
      <c r="U84" s="88">
        <f>IF(OR(U$1="",$BE84=0),"",SUMIFS(Entries!$D$2:$D$5000,Entries!$C$2:$C$5000,"Actual",Entries!$A$2:$A$5000,$A84,Entries!$B$2:$B$5000,U$1))</f>
        <v/>
      </c>
      <c r="V84" s="88">
        <f>IF(OR(V$1="",$BE84=0),"",SUMIFS(Entries!$D$2:$D$5000,Entries!$C$2:$C$5000,"Actual",Entries!$A$2:$A$5000,$A84,Entries!$B$2:$B$5000,V$1))</f>
        <v/>
      </c>
      <c r="W84" s="88">
        <f>IF(OR(W$1="",$BE84=0),"",SUMIFS(Entries!$D$2:$D$5000,Entries!$C$2:$C$5000,"Actual",Entries!$A$2:$A$5000,$A84,Entries!$B$2:$B$5000,W$1))</f>
        <v/>
      </c>
      <c r="X84" s="88">
        <f>IF(OR(X$1="",$BE84=0),"",SUMIFS(Entries!$D$2:$D$5000,Entries!$C$2:$C$5000,"Actual",Entries!$A$2:$A$5000,$A84,Entries!$B$2:$B$5000,X$1))</f>
        <v/>
      </c>
      <c r="Y84" s="88">
        <f>IF(OR(Y$1="",$BE84=0),"",SUMIFS(Entries!$D$2:$D$5000,Entries!$C$2:$C$5000,"Actual",Entries!$A$2:$A$5000,$A84,Entries!$B$2:$B$5000,Y$1))</f>
        <v/>
      </c>
      <c r="Z84" s="88">
        <f>IF(OR(Z$1="",$BE84=0),"",SUMIFS(Entries!$D$2:$D$5000,Entries!$C$2:$C$5000,"Actual",Entries!$A$2:$A$5000,$A84,Entries!$B$2:$B$5000,Z$1))</f>
        <v/>
      </c>
      <c r="AA84" s="88">
        <f>IF(OR(AA$1="",$BE84=0),"",SUMIFS(Entries!$D$2:$D$5000,Entries!$C$2:$C$5000,"Actual",Entries!$A$2:$A$5000,$A84,Entries!$B$2:$B$5000,AA$1))</f>
        <v/>
      </c>
      <c r="AB84" s="88">
        <f>IF(OR(AB$1="",$BE84=0),"",SUMIFS(Entries!$D$2:$D$5000,Entries!$C$2:$C$5000,"Actual",Entries!$A$2:$A$5000,$A84,Entries!$B$2:$B$5000,AB$1))</f>
        <v/>
      </c>
      <c r="AC84" s="88">
        <f>IF(OR(AC$1="",$BE84=0),"",SUMIFS(Entries!$D$2:$D$5000,Entries!$C$2:$C$5000,"Actual",Entries!$A$2:$A$5000,$A84,Entries!$B$2:$B$5000,AC$1))</f>
        <v/>
      </c>
      <c r="AD84" s="88">
        <f>IF(OR(AD$1="",$BE84=0),"",SUMIFS(Entries!$D$2:$D$5000,Entries!$C$2:$C$5000,"Actual",Entries!$A$2:$A$5000,$A84,Entries!$B$2:$B$5000,AD$1))</f>
        <v/>
      </c>
      <c r="AE84" s="88">
        <f>IF(OR(AE$1="",$BE84=0),"",SUMIFS(Entries!$D$2:$D$5000,Entries!$C$2:$C$5000,"Actual",Entries!$A$2:$A$5000,$A84,Entries!$B$2:$B$5000,AE$1))</f>
        <v/>
      </c>
      <c r="AF84" s="88">
        <f>IF(OR(AF$1="",$BE84=0),"",SUMIFS(Entries!$D$2:$D$5000,Entries!$C$2:$C$5000,"Actual",Entries!$A$2:$A$5000,$A84,Entries!$B$2:$B$5000,AF$1))</f>
        <v/>
      </c>
      <c r="AG84" s="88">
        <f>IF(OR(AG$1="",$BE84=0),"",SUMIFS(Entries!$D$2:$D$5000,Entries!$C$2:$C$5000,"Actual",Entries!$A$2:$A$5000,$A84,Entries!$B$2:$B$5000,AG$1))</f>
        <v/>
      </c>
      <c r="AH84" s="88">
        <f>IF(OR(AH$1="",$BE84=0),"",SUMIFS(Entries!$D$2:$D$5000,Entries!$C$2:$C$5000,"Actual",Entries!$A$2:$A$5000,$A84,Entries!$B$2:$B$5000,AH$1))</f>
        <v/>
      </c>
      <c r="AJ84" s="88">
        <f>IF(OR(AJ$1="",$BE84=0),"",IFERROR(LOOKUP(2,1/((Budgets!$A$2:$A$200=AJ$1)*(Budgets!$B$2:$B$200&lt;=$A84)),Budgets!$C$2:$C$200),0))</f>
        <v/>
      </c>
      <c r="AK84" s="88">
        <f>IF(OR(AK$1="",$BE84=0),"",IFERROR(LOOKUP(2,1/((Budgets!$A$2:$A$200=AK$1)*(Budgets!$B$2:$B$200&lt;=$A84)),Budgets!$C$2:$C$200),0))</f>
        <v/>
      </c>
      <c r="AL84" s="88">
        <f>IF(OR(AL$1="",$BE84=0),"",IFERROR(LOOKUP(2,1/((Budgets!$A$2:$A$200=AL$1)*(Budgets!$B$2:$B$200&lt;=$A84)),Budgets!$C$2:$C$200),0))</f>
        <v/>
      </c>
      <c r="AM84" s="88">
        <f>IF(OR(AM$1="",$BE84=0),"",IFERROR(LOOKUP(2,1/((Budgets!$A$2:$A$200=AM$1)*(Budgets!$B$2:$B$200&lt;=$A84)),Budgets!$C$2:$C$200),0))</f>
        <v/>
      </c>
      <c r="AN84" s="88">
        <f>IF(OR(AN$1="",$BE84=0),"",IFERROR(LOOKUP(2,1/((Budgets!$A$2:$A$200=AN$1)*(Budgets!$B$2:$B$200&lt;=$A84)),Budgets!$C$2:$C$200),0))</f>
        <v/>
      </c>
      <c r="AO84" s="88">
        <f>IF(OR(AO$1="",$BE84=0),"",IFERROR(LOOKUP(2,1/((Budgets!$A$2:$A$200=AO$1)*(Budgets!$B$2:$B$200&lt;=$A84)),Budgets!$C$2:$C$200),0))</f>
        <v/>
      </c>
      <c r="AP84" s="88">
        <f>IF(OR(AP$1="",$BE84=0),"",IFERROR(LOOKUP(2,1/((Budgets!$A$2:$A$200=AP$1)*(Budgets!$B$2:$B$200&lt;=$A84)),Budgets!$C$2:$C$200),0))</f>
        <v/>
      </c>
      <c r="AQ84" s="88">
        <f>IF(OR(AQ$1="",$BE84=0),"",IFERROR(LOOKUP(2,1/((Budgets!$A$2:$A$200=AQ$1)*(Budgets!$B$2:$B$200&lt;=$A84)),Budgets!$C$2:$C$200),0))</f>
        <v/>
      </c>
      <c r="AR84" s="88">
        <f>IF(OR(AR$1="",$BE84=0),"",IFERROR(LOOKUP(2,1/((Budgets!$A$2:$A$200=AR$1)*(Budgets!$B$2:$B$200&lt;=$A84)),Budgets!$C$2:$C$200),0))</f>
        <v/>
      </c>
      <c r="AS84" s="88">
        <f>IF(OR(AS$1="",$BE84=0),"",IFERROR(LOOKUP(2,1/((Budgets!$A$2:$A$200=AS$1)*(Budgets!$B$2:$B$200&lt;=$A84)),Budgets!$C$2:$C$200),0))</f>
        <v/>
      </c>
      <c r="AT84" s="88">
        <f>IF(OR(AT$1="",$BE84=0),"",IFERROR(LOOKUP(2,1/((Budgets!$A$2:$A$200=AT$1)*(Budgets!$B$2:$B$200&lt;=$A84)),Budgets!$C$2:$C$200),0))</f>
        <v/>
      </c>
      <c r="AU84" s="88">
        <f>IF(OR(AU$1="",$BE84=0),"",IFERROR(LOOKUP(2,1/((Budgets!$A$2:$A$200=AU$1)*(Budgets!$B$2:$B$200&lt;=$A84)),Budgets!$C$2:$C$200),0))</f>
        <v/>
      </c>
      <c r="AV84" s="88">
        <f>IF(OR(AV$1="",$BE84=0),"",IFERROR(LOOKUP(2,1/((Budgets!$A$2:$A$200=AV$1)*(Budgets!$B$2:$B$200&lt;=$A84)),Budgets!$C$2:$C$200),0))</f>
        <v/>
      </c>
      <c r="AW84" s="88">
        <f>IF(OR(AW$1="",$BE84=0),"",IFERROR(LOOKUP(2,1/((Budgets!$A$2:$A$200=AW$1)*(Budgets!$B$2:$B$200&lt;=$A84)),Budgets!$C$2:$C$200),0))</f>
        <v/>
      </c>
      <c r="AX84" s="88">
        <f>IF(OR(AX$1="",$BE84=0),"",IFERROR(LOOKUP(2,1/((Budgets!$A$2:$A$200=AX$1)*(Budgets!$B$2:$B$200&lt;=$A84)),Budgets!$C$2:$C$200),0))</f>
        <v/>
      </c>
      <c r="AY84" s="88">
        <f>IF(OR(AY$1="",$BE84=0),"",IFERROR(LOOKUP(2,1/((Budgets!$A$2:$A$200=AY$1)*(Budgets!$B$2:$B$200&lt;=$A84)),Budgets!$C$2:$C$200),0))</f>
        <v/>
      </c>
      <c r="AZ84" s="88">
        <f>IF(OR(AZ$1="",$BE84=0),"",IFERROR(LOOKUP(2,1/((Budgets!$A$2:$A$200=AZ$1)*(Budgets!$B$2:$B$200&lt;=$A84)),Budgets!$C$2:$C$200),0))</f>
        <v/>
      </c>
      <c r="BA84" s="88">
        <f>IF(OR(BA$1="",$BE84=0),"",IFERROR(LOOKUP(2,1/((Budgets!$A$2:$A$200=BA$1)*(Budgets!$B$2:$B$200&lt;=$A84)),Budgets!$C$2:$C$200),0))</f>
        <v/>
      </c>
      <c r="BB84" s="88">
        <f>IF(OR(BB$1="",$BE84=0),"",IFERROR(LOOKUP(2,1/((Budgets!$A$2:$A$200=BB$1)*(Budgets!$B$2:$B$200&lt;=$A84)),Budgets!$C$2:$C$200),0))</f>
        <v/>
      </c>
      <c r="BC84" s="88">
        <f>IF(OR(BC$1="",$BE84=0),"",IFERROR(LOOKUP(2,1/((Budgets!$A$2:$A$200=BC$1)*(Budgets!$B$2:$B$200&lt;=$A84)),Budgets!$C$2:$C$200),0))</f>
        <v/>
      </c>
      <c r="BE84" s="67">
        <f>COUNTIFS(Entries!$A$2:$A$5000,$A84)</f>
        <v/>
      </c>
    </row>
    <row r="85" ht="15" customHeight="1" s="43">
      <c r="A85" s="87" t="n">
        <v>41974</v>
      </c>
      <c r="B85" s="88">
        <f>IF($BE85=0,NA(),SUMIFS(Entries!$D$2:$D$5000,Entries!$C$2:$C$5000,"Income",Entries!$A$2:$A$5000,$A85))</f>
        <v/>
      </c>
      <c r="C85" s="88">
        <f>IF($BE85=0,"",SUMIFS(Entries!$D$2:$D$5000,Entries!$C$2:$C$5000,"Actual",Entries!$A$2:$A$5000,$A85))</f>
        <v/>
      </c>
      <c r="D85" s="88">
        <f>IF($BE85=0,"",SUMIFS(Entries!$D$2:$D$5000,Entries!$C$2:$C$5000,"One-off",Entries!$A$2:$A$5000,$A85))</f>
        <v/>
      </c>
      <c r="E85" s="88">
        <f>IF($BE85=0,NA(),C85+D85)</f>
        <v/>
      </c>
      <c r="F85" s="88">
        <f>IF($BE85=0,"",SUM(AJ85:BC85))</f>
        <v/>
      </c>
      <c r="G85" s="88">
        <f>IF($BE85=0,"",B85-E85)</f>
        <v/>
      </c>
      <c r="H85" s="88">
        <f>IF($BE85=0,"",SUM($G$2:G85))</f>
        <v/>
      </c>
      <c r="I85" s="88">
        <f>IF($BE85=0,"",SUMIFS(Entries!$F$2:$F$5000,Entries!$A$2:$A$5000,$A85))</f>
        <v/>
      </c>
      <c r="J85" s="88">
        <f>IF($BE85=0,NA(),H85+SUM($I$2:I85))</f>
        <v/>
      </c>
      <c r="K85" s="88">
        <f>IF($BE85=0,"",SUMIFS(Entries!$D$2:$D$5000,Entries!$C$2:$C$5000,"Income",Entries!$A$2:$A$5000,"&gt;="&amp;EDATE($A85,-11),Entries!$A$2:$A$5000,"&lt;="&amp;$A85)/12)</f>
        <v/>
      </c>
      <c r="L85" s="88">
        <f>IF($BE85=0,"",(SUMIFS(Entries!$D$2:$D$5000,Entries!$C$2:$C$5000,"Actual",Entries!$A$2:$A$5000,"&gt;="&amp;EDATE($A85,-11),Entries!$A$2:$A$5000,"&lt;="&amp;$A85)+SUMIFS(Entries!$D$2:$D$5000,Entries!$C$2:$C$5000,"One-off",Entries!$A$2:$A$5000,"&gt;="&amp;EDATE($A85,-11),Entries!$A$2:$A$5000,"&lt;="&amp;$A85))/12)</f>
        <v/>
      </c>
      <c r="M85" s="70">
        <f>IF($BE85=0,NA(),IFERROR((K85-L85)/K85,0))</f>
        <v/>
      </c>
      <c r="O85" s="88">
        <f>IF(OR(O$1="",$BE85=0),"",SUMIFS(Entries!$D$2:$D$5000,Entries!$C$2:$C$5000,"Actual",Entries!$A$2:$A$5000,$A85,Entries!$B$2:$B$5000,O$1))</f>
        <v/>
      </c>
      <c r="P85" s="88">
        <f>IF(OR(P$1="",$BE85=0),"",SUMIFS(Entries!$D$2:$D$5000,Entries!$C$2:$C$5000,"Actual",Entries!$A$2:$A$5000,$A85,Entries!$B$2:$B$5000,P$1))</f>
        <v/>
      </c>
      <c r="Q85" s="88">
        <f>IF(OR(Q$1="",$BE85=0),"",SUMIFS(Entries!$D$2:$D$5000,Entries!$C$2:$C$5000,"Actual",Entries!$A$2:$A$5000,$A85,Entries!$B$2:$B$5000,Q$1))</f>
        <v/>
      </c>
      <c r="R85" s="88">
        <f>IF(OR(R$1="",$BE85=0),"",SUMIFS(Entries!$D$2:$D$5000,Entries!$C$2:$C$5000,"Actual",Entries!$A$2:$A$5000,$A85,Entries!$B$2:$B$5000,R$1))</f>
        <v/>
      </c>
      <c r="S85" s="88">
        <f>IF(OR(S$1="",$BE85=0),"",SUMIFS(Entries!$D$2:$D$5000,Entries!$C$2:$C$5000,"Actual",Entries!$A$2:$A$5000,$A85,Entries!$B$2:$B$5000,S$1))</f>
        <v/>
      </c>
      <c r="T85" s="88">
        <f>IF(OR(T$1="",$BE85=0),"",SUMIFS(Entries!$D$2:$D$5000,Entries!$C$2:$C$5000,"Actual",Entries!$A$2:$A$5000,$A85,Entries!$B$2:$B$5000,T$1))</f>
        <v/>
      </c>
      <c r="U85" s="88">
        <f>IF(OR(U$1="",$BE85=0),"",SUMIFS(Entries!$D$2:$D$5000,Entries!$C$2:$C$5000,"Actual",Entries!$A$2:$A$5000,$A85,Entries!$B$2:$B$5000,U$1))</f>
        <v/>
      </c>
      <c r="V85" s="88">
        <f>IF(OR(V$1="",$BE85=0),"",SUMIFS(Entries!$D$2:$D$5000,Entries!$C$2:$C$5000,"Actual",Entries!$A$2:$A$5000,$A85,Entries!$B$2:$B$5000,V$1))</f>
        <v/>
      </c>
      <c r="W85" s="88">
        <f>IF(OR(W$1="",$BE85=0),"",SUMIFS(Entries!$D$2:$D$5000,Entries!$C$2:$C$5000,"Actual",Entries!$A$2:$A$5000,$A85,Entries!$B$2:$B$5000,W$1))</f>
        <v/>
      </c>
      <c r="X85" s="88">
        <f>IF(OR(X$1="",$BE85=0),"",SUMIFS(Entries!$D$2:$D$5000,Entries!$C$2:$C$5000,"Actual",Entries!$A$2:$A$5000,$A85,Entries!$B$2:$B$5000,X$1))</f>
        <v/>
      </c>
      <c r="Y85" s="88">
        <f>IF(OR(Y$1="",$BE85=0),"",SUMIFS(Entries!$D$2:$D$5000,Entries!$C$2:$C$5000,"Actual",Entries!$A$2:$A$5000,$A85,Entries!$B$2:$B$5000,Y$1))</f>
        <v/>
      </c>
      <c r="Z85" s="88">
        <f>IF(OR(Z$1="",$BE85=0),"",SUMIFS(Entries!$D$2:$D$5000,Entries!$C$2:$C$5000,"Actual",Entries!$A$2:$A$5000,$A85,Entries!$B$2:$B$5000,Z$1))</f>
        <v/>
      </c>
      <c r="AA85" s="88">
        <f>IF(OR(AA$1="",$BE85=0),"",SUMIFS(Entries!$D$2:$D$5000,Entries!$C$2:$C$5000,"Actual",Entries!$A$2:$A$5000,$A85,Entries!$B$2:$B$5000,AA$1))</f>
        <v/>
      </c>
      <c r="AB85" s="88">
        <f>IF(OR(AB$1="",$BE85=0),"",SUMIFS(Entries!$D$2:$D$5000,Entries!$C$2:$C$5000,"Actual",Entries!$A$2:$A$5000,$A85,Entries!$B$2:$B$5000,AB$1))</f>
        <v/>
      </c>
      <c r="AC85" s="88">
        <f>IF(OR(AC$1="",$BE85=0),"",SUMIFS(Entries!$D$2:$D$5000,Entries!$C$2:$C$5000,"Actual",Entries!$A$2:$A$5000,$A85,Entries!$B$2:$B$5000,AC$1))</f>
        <v/>
      </c>
      <c r="AD85" s="88">
        <f>IF(OR(AD$1="",$BE85=0),"",SUMIFS(Entries!$D$2:$D$5000,Entries!$C$2:$C$5000,"Actual",Entries!$A$2:$A$5000,$A85,Entries!$B$2:$B$5000,AD$1))</f>
        <v/>
      </c>
      <c r="AE85" s="88">
        <f>IF(OR(AE$1="",$BE85=0),"",SUMIFS(Entries!$D$2:$D$5000,Entries!$C$2:$C$5000,"Actual",Entries!$A$2:$A$5000,$A85,Entries!$B$2:$B$5000,AE$1))</f>
        <v/>
      </c>
      <c r="AF85" s="88">
        <f>IF(OR(AF$1="",$BE85=0),"",SUMIFS(Entries!$D$2:$D$5000,Entries!$C$2:$C$5000,"Actual",Entries!$A$2:$A$5000,$A85,Entries!$B$2:$B$5000,AF$1))</f>
        <v/>
      </c>
      <c r="AG85" s="88">
        <f>IF(OR(AG$1="",$BE85=0),"",SUMIFS(Entries!$D$2:$D$5000,Entries!$C$2:$C$5000,"Actual",Entries!$A$2:$A$5000,$A85,Entries!$B$2:$B$5000,AG$1))</f>
        <v/>
      </c>
      <c r="AH85" s="88">
        <f>IF(OR(AH$1="",$BE85=0),"",SUMIFS(Entries!$D$2:$D$5000,Entries!$C$2:$C$5000,"Actual",Entries!$A$2:$A$5000,$A85,Entries!$B$2:$B$5000,AH$1))</f>
        <v/>
      </c>
      <c r="AJ85" s="88">
        <f>IF(OR(AJ$1="",$BE85=0),"",IFERROR(LOOKUP(2,1/((Budgets!$A$2:$A$200=AJ$1)*(Budgets!$B$2:$B$200&lt;=$A85)),Budgets!$C$2:$C$200),0))</f>
        <v/>
      </c>
      <c r="AK85" s="88">
        <f>IF(OR(AK$1="",$BE85=0),"",IFERROR(LOOKUP(2,1/((Budgets!$A$2:$A$200=AK$1)*(Budgets!$B$2:$B$200&lt;=$A85)),Budgets!$C$2:$C$200),0))</f>
        <v/>
      </c>
      <c r="AL85" s="88">
        <f>IF(OR(AL$1="",$BE85=0),"",IFERROR(LOOKUP(2,1/((Budgets!$A$2:$A$200=AL$1)*(Budgets!$B$2:$B$200&lt;=$A85)),Budgets!$C$2:$C$200),0))</f>
        <v/>
      </c>
      <c r="AM85" s="88">
        <f>IF(OR(AM$1="",$BE85=0),"",IFERROR(LOOKUP(2,1/((Budgets!$A$2:$A$200=AM$1)*(Budgets!$B$2:$B$200&lt;=$A85)),Budgets!$C$2:$C$200),0))</f>
        <v/>
      </c>
      <c r="AN85" s="88">
        <f>IF(OR(AN$1="",$BE85=0),"",IFERROR(LOOKUP(2,1/((Budgets!$A$2:$A$200=AN$1)*(Budgets!$B$2:$B$200&lt;=$A85)),Budgets!$C$2:$C$200),0))</f>
        <v/>
      </c>
      <c r="AO85" s="88">
        <f>IF(OR(AO$1="",$BE85=0),"",IFERROR(LOOKUP(2,1/((Budgets!$A$2:$A$200=AO$1)*(Budgets!$B$2:$B$200&lt;=$A85)),Budgets!$C$2:$C$200),0))</f>
        <v/>
      </c>
      <c r="AP85" s="88">
        <f>IF(OR(AP$1="",$BE85=0),"",IFERROR(LOOKUP(2,1/((Budgets!$A$2:$A$200=AP$1)*(Budgets!$B$2:$B$200&lt;=$A85)),Budgets!$C$2:$C$200),0))</f>
        <v/>
      </c>
      <c r="AQ85" s="88">
        <f>IF(OR(AQ$1="",$BE85=0),"",IFERROR(LOOKUP(2,1/((Budgets!$A$2:$A$200=AQ$1)*(Budgets!$B$2:$B$200&lt;=$A85)),Budgets!$C$2:$C$200),0))</f>
        <v/>
      </c>
      <c r="AR85" s="88">
        <f>IF(OR(AR$1="",$BE85=0),"",IFERROR(LOOKUP(2,1/((Budgets!$A$2:$A$200=AR$1)*(Budgets!$B$2:$B$200&lt;=$A85)),Budgets!$C$2:$C$200),0))</f>
        <v/>
      </c>
      <c r="AS85" s="88">
        <f>IF(OR(AS$1="",$BE85=0),"",IFERROR(LOOKUP(2,1/((Budgets!$A$2:$A$200=AS$1)*(Budgets!$B$2:$B$200&lt;=$A85)),Budgets!$C$2:$C$200),0))</f>
        <v/>
      </c>
      <c r="AT85" s="88">
        <f>IF(OR(AT$1="",$BE85=0),"",IFERROR(LOOKUP(2,1/((Budgets!$A$2:$A$200=AT$1)*(Budgets!$B$2:$B$200&lt;=$A85)),Budgets!$C$2:$C$200),0))</f>
        <v/>
      </c>
      <c r="AU85" s="88">
        <f>IF(OR(AU$1="",$BE85=0),"",IFERROR(LOOKUP(2,1/((Budgets!$A$2:$A$200=AU$1)*(Budgets!$B$2:$B$200&lt;=$A85)),Budgets!$C$2:$C$200),0))</f>
        <v/>
      </c>
      <c r="AV85" s="88">
        <f>IF(OR(AV$1="",$BE85=0),"",IFERROR(LOOKUP(2,1/((Budgets!$A$2:$A$200=AV$1)*(Budgets!$B$2:$B$200&lt;=$A85)),Budgets!$C$2:$C$200),0))</f>
        <v/>
      </c>
      <c r="AW85" s="88">
        <f>IF(OR(AW$1="",$BE85=0),"",IFERROR(LOOKUP(2,1/((Budgets!$A$2:$A$200=AW$1)*(Budgets!$B$2:$B$200&lt;=$A85)),Budgets!$C$2:$C$200),0))</f>
        <v/>
      </c>
      <c r="AX85" s="88">
        <f>IF(OR(AX$1="",$BE85=0),"",IFERROR(LOOKUP(2,1/((Budgets!$A$2:$A$200=AX$1)*(Budgets!$B$2:$B$200&lt;=$A85)),Budgets!$C$2:$C$200),0))</f>
        <v/>
      </c>
      <c r="AY85" s="88">
        <f>IF(OR(AY$1="",$BE85=0),"",IFERROR(LOOKUP(2,1/((Budgets!$A$2:$A$200=AY$1)*(Budgets!$B$2:$B$200&lt;=$A85)),Budgets!$C$2:$C$200),0))</f>
        <v/>
      </c>
      <c r="AZ85" s="88">
        <f>IF(OR(AZ$1="",$BE85=0),"",IFERROR(LOOKUP(2,1/((Budgets!$A$2:$A$200=AZ$1)*(Budgets!$B$2:$B$200&lt;=$A85)),Budgets!$C$2:$C$200),0))</f>
        <v/>
      </c>
      <c r="BA85" s="88">
        <f>IF(OR(BA$1="",$BE85=0),"",IFERROR(LOOKUP(2,1/((Budgets!$A$2:$A$200=BA$1)*(Budgets!$B$2:$B$200&lt;=$A85)),Budgets!$C$2:$C$200),0))</f>
        <v/>
      </c>
      <c r="BB85" s="88">
        <f>IF(OR(BB$1="",$BE85=0),"",IFERROR(LOOKUP(2,1/((Budgets!$A$2:$A$200=BB$1)*(Budgets!$B$2:$B$200&lt;=$A85)),Budgets!$C$2:$C$200),0))</f>
        <v/>
      </c>
      <c r="BC85" s="88">
        <f>IF(OR(BC$1="",$BE85=0),"",IFERROR(LOOKUP(2,1/((Budgets!$A$2:$A$200=BC$1)*(Budgets!$B$2:$B$200&lt;=$A85)),Budgets!$C$2:$C$200),0))</f>
        <v/>
      </c>
      <c r="BE85" s="67">
        <f>COUNTIFS(Entries!$A$2:$A$5000,$A85)</f>
        <v/>
      </c>
    </row>
    <row r="86" ht="15" customHeight="1" s="43">
      <c r="A86" s="87" t="n">
        <v>42005</v>
      </c>
      <c r="B86" s="88">
        <f>IF($BE86=0,NA(),SUMIFS(Entries!$D$2:$D$5000,Entries!$C$2:$C$5000,"Income",Entries!$A$2:$A$5000,$A86))</f>
        <v/>
      </c>
      <c r="C86" s="88">
        <f>IF($BE86=0,"",SUMIFS(Entries!$D$2:$D$5000,Entries!$C$2:$C$5000,"Actual",Entries!$A$2:$A$5000,$A86))</f>
        <v/>
      </c>
      <c r="D86" s="88">
        <f>IF($BE86=0,"",SUMIFS(Entries!$D$2:$D$5000,Entries!$C$2:$C$5000,"One-off",Entries!$A$2:$A$5000,$A86))</f>
        <v/>
      </c>
      <c r="E86" s="88">
        <f>IF($BE86=0,NA(),C86+D86)</f>
        <v/>
      </c>
      <c r="F86" s="88">
        <f>IF($BE86=0,"",SUM(AJ86:BC86))</f>
        <v/>
      </c>
      <c r="G86" s="88">
        <f>IF($BE86=0,"",B86-E86)</f>
        <v/>
      </c>
      <c r="H86" s="88">
        <f>IF($BE86=0,"",SUM($G$2:G86))</f>
        <v/>
      </c>
      <c r="I86" s="88">
        <f>IF($BE86=0,"",SUMIFS(Entries!$F$2:$F$5000,Entries!$A$2:$A$5000,$A86))</f>
        <v/>
      </c>
      <c r="J86" s="88">
        <f>IF($BE86=0,NA(),H86+SUM($I$2:I86))</f>
        <v/>
      </c>
      <c r="K86" s="88">
        <f>IF($BE86=0,"",SUMIFS(Entries!$D$2:$D$5000,Entries!$C$2:$C$5000,"Income",Entries!$A$2:$A$5000,"&gt;="&amp;EDATE($A86,-11),Entries!$A$2:$A$5000,"&lt;="&amp;$A86)/12)</f>
        <v/>
      </c>
      <c r="L86" s="88">
        <f>IF($BE86=0,"",(SUMIFS(Entries!$D$2:$D$5000,Entries!$C$2:$C$5000,"Actual",Entries!$A$2:$A$5000,"&gt;="&amp;EDATE($A86,-11),Entries!$A$2:$A$5000,"&lt;="&amp;$A86)+SUMIFS(Entries!$D$2:$D$5000,Entries!$C$2:$C$5000,"One-off",Entries!$A$2:$A$5000,"&gt;="&amp;EDATE($A86,-11),Entries!$A$2:$A$5000,"&lt;="&amp;$A86))/12)</f>
        <v/>
      </c>
      <c r="M86" s="70">
        <f>IF($BE86=0,NA(),IFERROR((K86-L86)/K86,0))</f>
        <v/>
      </c>
      <c r="O86" s="88">
        <f>IF(OR(O$1="",$BE86=0),"",SUMIFS(Entries!$D$2:$D$5000,Entries!$C$2:$C$5000,"Actual",Entries!$A$2:$A$5000,$A86,Entries!$B$2:$B$5000,O$1))</f>
        <v/>
      </c>
      <c r="P86" s="88">
        <f>IF(OR(P$1="",$BE86=0),"",SUMIFS(Entries!$D$2:$D$5000,Entries!$C$2:$C$5000,"Actual",Entries!$A$2:$A$5000,$A86,Entries!$B$2:$B$5000,P$1))</f>
        <v/>
      </c>
      <c r="Q86" s="88">
        <f>IF(OR(Q$1="",$BE86=0),"",SUMIFS(Entries!$D$2:$D$5000,Entries!$C$2:$C$5000,"Actual",Entries!$A$2:$A$5000,$A86,Entries!$B$2:$B$5000,Q$1))</f>
        <v/>
      </c>
      <c r="R86" s="88">
        <f>IF(OR(R$1="",$BE86=0),"",SUMIFS(Entries!$D$2:$D$5000,Entries!$C$2:$C$5000,"Actual",Entries!$A$2:$A$5000,$A86,Entries!$B$2:$B$5000,R$1))</f>
        <v/>
      </c>
      <c r="S86" s="88">
        <f>IF(OR(S$1="",$BE86=0),"",SUMIFS(Entries!$D$2:$D$5000,Entries!$C$2:$C$5000,"Actual",Entries!$A$2:$A$5000,$A86,Entries!$B$2:$B$5000,S$1))</f>
        <v/>
      </c>
      <c r="T86" s="88">
        <f>IF(OR(T$1="",$BE86=0),"",SUMIFS(Entries!$D$2:$D$5000,Entries!$C$2:$C$5000,"Actual",Entries!$A$2:$A$5000,$A86,Entries!$B$2:$B$5000,T$1))</f>
        <v/>
      </c>
      <c r="U86" s="88">
        <f>IF(OR(U$1="",$BE86=0),"",SUMIFS(Entries!$D$2:$D$5000,Entries!$C$2:$C$5000,"Actual",Entries!$A$2:$A$5000,$A86,Entries!$B$2:$B$5000,U$1))</f>
        <v/>
      </c>
      <c r="V86" s="88">
        <f>IF(OR(V$1="",$BE86=0),"",SUMIFS(Entries!$D$2:$D$5000,Entries!$C$2:$C$5000,"Actual",Entries!$A$2:$A$5000,$A86,Entries!$B$2:$B$5000,V$1))</f>
        <v/>
      </c>
      <c r="W86" s="88">
        <f>IF(OR(W$1="",$BE86=0),"",SUMIFS(Entries!$D$2:$D$5000,Entries!$C$2:$C$5000,"Actual",Entries!$A$2:$A$5000,$A86,Entries!$B$2:$B$5000,W$1))</f>
        <v/>
      </c>
      <c r="X86" s="88">
        <f>IF(OR(X$1="",$BE86=0),"",SUMIFS(Entries!$D$2:$D$5000,Entries!$C$2:$C$5000,"Actual",Entries!$A$2:$A$5000,$A86,Entries!$B$2:$B$5000,X$1))</f>
        <v/>
      </c>
      <c r="Y86" s="88">
        <f>IF(OR(Y$1="",$BE86=0),"",SUMIFS(Entries!$D$2:$D$5000,Entries!$C$2:$C$5000,"Actual",Entries!$A$2:$A$5000,$A86,Entries!$B$2:$B$5000,Y$1))</f>
        <v/>
      </c>
      <c r="Z86" s="88">
        <f>IF(OR(Z$1="",$BE86=0),"",SUMIFS(Entries!$D$2:$D$5000,Entries!$C$2:$C$5000,"Actual",Entries!$A$2:$A$5000,$A86,Entries!$B$2:$B$5000,Z$1))</f>
        <v/>
      </c>
      <c r="AA86" s="88">
        <f>IF(OR(AA$1="",$BE86=0),"",SUMIFS(Entries!$D$2:$D$5000,Entries!$C$2:$C$5000,"Actual",Entries!$A$2:$A$5000,$A86,Entries!$B$2:$B$5000,AA$1))</f>
        <v/>
      </c>
      <c r="AB86" s="88">
        <f>IF(OR(AB$1="",$BE86=0),"",SUMIFS(Entries!$D$2:$D$5000,Entries!$C$2:$C$5000,"Actual",Entries!$A$2:$A$5000,$A86,Entries!$B$2:$B$5000,AB$1))</f>
        <v/>
      </c>
      <c r="AC86" s="88">
        <f>IF(OR(AC$1="",$BE86=0),"",SUMIFS(Entries!$D$2:$D$5000,Entries!$C$2:$C$5000,"Actual",Entries!$A$2:$A$5000,$A86,Entries!$B$2:$B$5000,AC$1))</f>
        <v/>
      </c>
      <c r="AD86" s="88">
        <f>IF(OR(AD$1="",$BE86=0),"",SUMIFS(Entries!$D$2:$D$5000,Entries!$C$2:$C$5000,"Actual",Entries!$A$2:$A$5000,$A86,Entries!$B$2:$B$5000,AD$1))</f>
        <v/>
      </c>
      <c r="AE86" s="88">
        <f>IF(OR(AE$1="",$BE86=0),"",SUMIFS(Entries!$D$2:$D$5000,Entries!$C$2:$C$5000,"Actual",Entries!$A$2:$A$5000,$A86,Entries!$B$2:$B$5000,AE$1))</f>
        <v/>
      </c>
      <c r="AF86" s="88">
        <f>IF(OR(AF$1="",$BE86=0),"",SUMIFS(Entries!$D$2:$D$5000,Entries!$C$2:$C$5000,"Actual",Entries!$A$2:$A$5000,$A86,Entries!$B$2:$B$5000,AF$1))</f>
        <v/>
      </c>
      <c r="AG86" s="88">
        <f>IF(OR(AG$1="",$BE86=0),"",SUMIFS(Entries!$D$2:$D$5000,Entries!$C$2:$C$5000,"Actual",Entries!$A$2:$A$5000,$A86,Entries!$B$2:$B$5000,AG$1))</f>
        <v/>
      </c>
      <c r="AH86" s="88">
        <f>IF(OR(AH$1="",$BE86=0),"",SUMIFS(Entries!$D$2:$D$5000,Entries!$C$2:$C$5000,"Actual",Entries!$A$2:$A$5000,$A86,Entries!$B$2:$B$5000,AH$1))</f>
        <v/>
      </c>
      <c r="AJ86" s="88">
        <f>IF(OR(AJ$1="",$BE86=0),"",IFERROR(LOOKUP(2,1/((Budgets!$A$2:$A$200=AJ$1)*(Budgets!$B$2:$B$200&lt;=$A86)),Budgets!$C$2:$C$200),0))</f>
        <v/>
      </c>
      <c r="AK86" s="88">
        <f>IF(OR(AK$1="",$BE86=0),"",IFERROR(LOOKUP(2,1/((Budgets!$A$2:$A$200=AK$1)*(Budgets!$B$2:$B$200&lt;=$A86)),Budgets!$C$2:$C$200),0))</f>
        <v/>
      </c>
      <c r="AL86" s="88">
        <f>IF(OR(AL$1="",$BE86=0),"",IFERROR(LOOKUP(2,1/((Budgets!$A$2:$A$200=AL$1)*(Budgets!$B$2:$B$200&lt;=$A86)),Budgets!$C$2:$C$200),0))</f>
        <v/>
      </c>
      <c r="AM86" s="88">
        <f>IF(OR(AM$1="",$BE86=0),"",IFERROR(LOOKUP(2,1/((Budgets!$A$2:$A$200=AM$1)*(Budgets!$B$2:$B$200&lt;=$A86)),Budgets!$C$2:$C$200),0))</f>
        <v/>
      </c>
      <c r="AN86" s="88">
        <f>IF(OR(AN$1="",$BE86=0),"",IFERROR(LOOKUP(2,1/((Budgets!$A$2:$A$200=AN$1)*(Budgets!$B$2:$B$200&lt;=$A86)),Budgets!$C$2:$C$200),0))</f>
        <v/>
      </c>
      <c r="AO86" s="88">
        <f>IF(OR(AO$1="",$BE86=0),"",IFERROR(LOOKUP(2,1/((Budgets!$A$2:$A$200=AO$1)*(Budgets!$B$2:$B$200&lt;=$A86)),Budgets!$C$2:$C$200),0))</f>
        <v/>
      </c>
      <c r="AP86" s="88">
        <f>IF(OR(AP$1="",$BE86=0),"",IFERROR(LOOKUP(2,1/((Budgets!$A$2:$A$200=AP$1)*(Budgets!$B$2:$B$200&lt;=$A86)),Budgets!$C$2:$C$200),0))</f>
        <v/>
      </c>
      <c r="AQ86" s="88">
        <f>IF(OR(AQ$1="",$BE86=0),"",IFERROR(LOOKUP(2,1/((Budgets!$A$2:$A$200=AQ$1)*(Budgets!$B$2:$B$200&lt;=$A86)),Budgets!$C$2:$C$200),0))</f>
        <v/>
      </c>
      <c r="AR86" s="88">
        <f>IF(OR(AR$1="",$BE86=0),"",IFERROR(LOOKUP(2,1/((Budgets!$A$2:$A$200=AR$1)*(Budgets!$B$2:$B$200&lt;=$A86)),Budgets!$C$2:$C$200),0))</f>
        <v/>
      </c>
      <c r="AS86" s="88">
        <f>IF(OR(AS$1="",$BE86=0),"",IFERROR(LOOKUP(2,1/((Budgets!$A$2:$A$200=AS$1)*(Budgets!$B$2:$B$200&lt;=$A86)),Budgets!$C$2:$C$200),0))</f>
        <v/>
      </c>
      <c r="AT86" s="88">
        <f>IF(OR(AT$1="",$BE86=0),"",IFERROR(LOOKUP(2,1/((Budgets!$A$2:$A$200=AT$1)*(Budgets!$B$2:$B$200&lt;=$A86)),Budgets!$C$2:$C$200),0))</f>
        <v/>
      </c>
      <c r="AU86" s="88">
        <f>IF(OR(AU$1="",$BE86=0),"",IFERROR(LOOKUP(2,1/((Budgets!$A$2:$A$200=AU$1)*(Budgets!$B$2:$B$200&lt;=$A86)),Budgets!$C$2:$C$200),0))</f>
        <v/>
      </c>
      <c r="AV86" s="88">
        <f>IF(OR(AV$1="",$BE86=0),"",IFERROR(LOOKUP(2,1/((Budgets!$A$2:$A$200=AV$1)*(Budgets!$B$2:$B$200&lt;=$A86)),Budgets!$C$2:$C$200),0))</f>
        <v/>
      </c>
      <c r="AW86" s="88">
        <f>IF(OR(AW$1="",$BE86=0),"",IFERROR(LOOKUP(2,1/((Budgets!$A$2:$A$200=AW$1)*(Budgets!$B$2:$B$200&lt;=$A86)),Budgets!$C$2:$C$200),0))</f>
        <v/>
      </c>
      <c r="AX86" s="88">
        <f>IF(OR(AX$1="",$BE86=0),"",IFERROR(LOOKUP(2,1/((Budgets!$A$2:$A$200=AX$1)*(Budgets!$B$2:$B$200&lt;=$A86)),Budgets!$C$2:$C$200),0))</f>
        <v/>
      </c>
      <c r="AY86" s="88">
        <f>IF(OR(AY$1="",$BE86=0),"",IFERROR(LOOKUP(2,1/((Budgets!$A$2:$A$200=AY$1)*(Budgets!$B$2:$B$200&lt;=$A86)),Budgets!$C$2:$C$200),0))</f>
        <v/>
      </c>
      <c r="AZ86" s="88">
        <f>IF(OR(AZ$1="",$BE86=0),"",IFERROR(LOOKUP(2,1/((Budgets!$A$2:$A$200=AZ$1)*(Budgets!$B$2:$B$200&lt;=$A86)),Budgets!$C$2:$C$200),0))</f>
        <v/>
      </c>
      <c r="BA86" s="88">
        <f>IF(OR(BA$1="",$BE86=0),"",IFERROR(LOOKUP(2,1/((Budgets!$A$2:$A$200=BA$1)*(Budgets!$B$2:$B$200&lt;=$A86)),Budgets!$C$2:$C$200),0))</f>
        <v/>
      </c>
      <c r="BB86" s="88">
        <f>IF(OR(BB$1="",$BE86=0),"",IFERROR(LOOKUP(2,1/((Budgets!$A$2:$A$200=BB$1)*(Budgets!$B$2:$B$200&lt;=$A86)),Budgets!$C$2:$C$200),0))</f>
        <v/>
      </c>
      <c r="BC86" s="88">
        <f>IF(OR(BC$1="",$BE86=0),"",IFERROR(LOOKUP(2,1/((Budgets!$A$2:$A$200=BC$1)*(Budgets!$B$2:$B$200&lt;=$A86)),Budgets!$C$2:$C$200),0))</f>
        <v/>
      </c>
      <c r="BE86" s="67">
        <f>COUNTIFS(Entries!$A$2:$A$5000,$A86)</f>
        <v/>
      </c>
    </row>
    <row r="87" ht="15" customHeight="1" s="43">
      <c r="A87" s="87" t="n">
        <v>42036</v>
      </c>
      <c r="B87" s="88">
        <f>IF($BE87=0,NA(),SUMIFS(Entries!$D$2:$D$5000,Entries!$C$2:$C$5000,"Income",Entries!$A$2:$A$5000,$A87))</f>
        <v/>
      </c>
      <c r="C87" s="88">
        <f>IF($BE87=0,"",SUMIFS(Entries!$D$2:$D$5000,Entries!$C$2:$C$5000,"Actual",Entries!$A$2:$A$5000,$A87))</f>
        <v/>
      </c>
      <c r="D87" s="88">
        <f>IF($BE87=0,"",SUMIFS(Entries!$D$2:$D$5000,Entries!$C$2:$C$5000,"One-off",Entries!$A$2:$A$5000,$A87))</f>
        <v/>
      </c>
      <c r="E87" s="88">
        <f>IF($BE87=0,NA(),C87+D87)</f>
        <v/>
      </c>
      <c r="F87" s="88">
        <f>IF($BE87=0,"",SUM(AJ87:BC87))</f>
        <v/>
      </c>
      <c r="G87" s="88">
        <f>IF($BE87=0,"",B87-E87)</f>
        <v/>
      </c>
      <c r="H87" s="88">
        <f>IF($BE87=0,"",SUM($G$2:G87))</f>
        <v/>
      </c>
      <c r="I87" s="88">
        <f>IF($BE87=0,"",SUMIFS(Entries!$F$2:$F$5000,Entries!$A$2:$A$5000,$A87))</f>
        <v/>
      </c>
      <c r="J87" s="88">
        <f>IF($BE87=0,NA(),H87+SUM($I$2:I87))</f>
        <v/>
      </c>
      <c r="K87" s="88">
        <f>IF($BE87=0,"",SUMIFS(Entries!$D$2:$D$5000,Entries!$C$2:$C$5000,"Income",Entries!$A$2:$A$5000,"&gt;="&amp;EDATE($A87,-11),Entries!$A$2:$A$5000,"&lt;="&amp;$A87)/12)</f>
        <v/>
      </c>
      <c r="L87" s="88">
        <f>IF($BE87=0,"",(SUMIFS(Entries!$D$2:$D$5000,Entries!$C$2:$C$5000,"Actual",Entries!$A$2:$A$5000,"&gt;="&amp;EDATE($A87,-11),Entries!$A$2:$A$5000,"&lt;="&amp;$A87)+SUMIFS(Entries!$D$2:$D$5000,Entries!$C$2:$C$5000,"One-off",Entries!$A$2:$A$5000,"&gt;="&amp;EDATE($A87,-11),Entries!$A$2:$A$5000,"&lt;="&amp;$A87))/12)</f>
        <v/>
      </c>
      <c r="M87" s="70">
        <f>IF($BE87=0,NA(),IFERROR((K87-L87)/K87,0))</f>
        <v/>
      </c>
      <c r="O87" s="88">
        <f>IF(OR(O$1="",$BE87=0),"",SUMIFS(Entries!$D$2:$D$5000,Entries!$C$2:$C$5000,"Actual",Entries!$A$2:$A$5000,$A87,Entries!$B$2:$B$5000,O$1))</f>
        <v/>
      </c>
      <c r="P87" s="88">
        <f>IF(OR(P$1="",$BE87=0),"",SUMIFS(Entries!$D$2:$D$5000,Entries!$C$2:$C$5000,"Actual",Entries!$A$2:$A$5000,$A87,Entries!$B$2:$B$5000,P$1))</f>
        <v/>
      </c>
      <c r="Q87" s="88">
        <f>IF(OR(Q$1="",$BE87=0),"",SUMIFS(Entries!$D$2:$D$5000,Entries!$C$2:$C$5000,"Actual",Entries!$A$2:$A$5000,$A87,Entries!$B$2:$B$5000,Q$1))</f>
        <v/>
      </c>
      <c r="R87" s="88">
        <f>IF(OR(R$1="",$BE87=0),"",SUMIFS(Entries!$D$2:$D$5000,Entries!$C$2:$C$5000,"Actual",Entries!$A$2:$A$5000,$A87,Entries!$B$2:$B$5000,R$1))</f>
        <v/>
      </c>
      <c r="S87" s="88">
        <f>IF(OR(S$1="",$BE87=0),"",SUMIFS(Entries!$D$2:$D$5000,Entries!$C$2:$C$5000,"Actual",Entries!$A$2:$A$5000,$A87,Entries!$B$2:$B$5000,S$1))</f>
        <v/>
      </c>
      <c r="T87" s="88">
        <f>IF(OR(T$1="",$BE87=0),"",SUMIFS(Entries!$D$2:$D$5000,Entries!$C$2:$C$5000,"Actual",Entries!$A$2:$A$5000,$A87,Entries!$B$2:$B$5000,T$1))</f>
        <v/>
      </c>
      <c r="U87" s="88">
        <f>IF(OR(U$1="",$BE87=0),"",SUMIFS(Entries!$D$2:$D$5000,Entries!$C$2:$C$5000,"Actual",Entries!$A$2:$A$5000,$A87,Entries!$B$2:$B$5000,U$1))</f>
        <v/>
      </c>
      <c r="V87" s="88">
        <f>IF(OR(V$1="",$BE87=0),"",SUMIFS(Entries!$D$2:$D$5000,Entries!$C$2:$C$5000,"Actual",Entries!$A$2:$A$5000,$A87,Entries!$B$2:$B$5000,V$1))</f>
        <v/>
      </c>
      <c r="W87" s="88">
        <f>IF(OR(W$1="",$BE87=0),"",SUMIFS(Entries!$D$2:$D$5000,Entries!$C$2:$C$5000,"Actual",Entries!$A$2:$A$5000,$A87,Entries!$B$2:$B$5000,W$1))</f>
        <v/>
      </c>
      <c r="X87" s="88">
        <f>IF(OR(X$1="",$BE87=0),"",SUMIFS(Entries!$D$2:$D$5000,Entries!$C$2:$C$5000,"Actual",Entries!$A$2:$A$5000,$A87,Entries!$B$2:$B$5000,X$1))</f>
        <v/>
      </c>
      <c r="Y87" s="88">
        <f>IF(OR(Y$1="",$BE87=0),"",SUMIFS(Entries!$D$2:$D$5000,Entries!$C$2:$C$5000,"Actual",Entries!$A$2:$A$5000,$A87,Entries!$B$2:$B$5000,Y$1))</f>
        <v/>
      </c>
      <c r="Z87" s="88">
        <f>IF(OR(Z$1="",$BE87=0),"",SUMIFS(Entries!$D$2:$D$5000,Entries!$C$2:$C$5000,"Actual",Entries!$A$2:$A$5000,$A87,Entries!$B$2:$B$5000,Z$1))</f>
        <v/>
      </c>
      <c r="AA87" s="88">
        <f>IF(OR(AA$1="",$BE87=0),"",SUMIFS(Entries!$D$2:$D$5000,Entries!$C$2:$C$5000,"Actual",Entries!$A$2:$A$5000,$A87,Entries!$B$2:$B$5000,AA$1))</f>
        <v/>
      </c>
      <c r="AB87" s="88">
        <f>IF(OR(AB$1="",$BE87=0),"",SUMIFS(Entries!$D$2:$D$5000,Entries!$C$2:$C$5000,"Actual",Entries!$A$2:$A$5000,$A87,Entries!$B$2:$B$5000,AB$1))</f>
        <v/>
      </c>
      <c r="AC87" s="88">
        <f>IF(OR(AC$1="",$BE87=0),"",SUMIFS(Entries!$D$2:$D$5000,Entries!$C$2:$C$5000,"Actual",Entries!$A$2:$A$5000,$A87,Entries!$B$2:$B$5000,AC$1))</f>
        <v/>
      </c>
      <c r="AD87" s="88">
        <f>IF(OR(AD$1="",$BE87=0),"",SUMIFS(Entries!$D$2:$D$5000,Entries!$C$2:$C$5000,"Actual",Entries!$A$2:$A$5000,$A87,Entries!$B$2:$B$5000,AD$1))</f>
        <v/>
      </c>
      <c r="AE87" s="88">
        <f>IF(OR(AE$1="",$BE87=0),"",SUMIFS(Entries!$D$2:$D$5000,Entries!$C$2:$C$5000,"Actual",Entries!$A$2:$A$5000,$A87,Entries!$B$2:$B$5000,AE$1))</f>
        <v/>
      </c>
      <c r="AF87" s="88">
        <f>IF(OR(AF$1="",$BE87=0),"",SUMIFS(Entries!$D$2:$D$5000,Entries!$C$2:$C$5000,"Actual",Entries!$A$2:$A$5000,$A87,Entries!$B$2:$B$5000,AF$1))</f>
        <v/>
      </c>
      <c r="AG87" s="88">
        <f>IF(OR(AG$1="",$BE87=0),"",SUMIFS(Entries!$D$2:$D$5000,Entries!$C$2:$C$5000,"Actual",Entries!$A$2:$A$5000,$A87,Entries!$B$2:$B$5000,AG$1))</f>
        <v/>
      </c>
      <c r="AH87" s="88">
        <f>IF(OR(AH$1="",$BE87=0),"",SUMIFS(Entries!$D$2:$D$5000,Entries!$C$2:$C$5000,"Actual",Entries!$A$2:$A$5000,$A87,Entries!$B$2:$B$5000,AH$1))</f>
        <v/>
      </c>
      <c r="AJ87" s="88">
        <f>IF(OR(AJ$1="",$BE87=0),"",IFERROR(LOOKUP(2,1/((Budgets!$A$2:$A$200=AJ$1)*(Budgets!$B$2:$B$200&lt;=$A87)),Budgets!$C$2:$C$200),0))</f>
        <v/>
      </c>
      <c r="AK87" s="88">
        <f>IF(OR(AK$1="",$BE87=0),"",IFERROR(LOOKUP(2,1/((Budgets!$A$2:$A$200=AK$1)*(Budgets!$B$2:$B$200&lt;=$A87)),Budgets!$C$2:$C$200),0))</f>
        <v/>
      </c>
      <c r="AL87" s="88">
        <f>IF(OR(AL$1="",$BE87=0),"",IFERROR(LOOKUP(2,1/((Budgets!$A$2:$A$200=AL$1)*(Budgets!$B$2:$B$200&lt;=$A87)),Budgets!$C$2:$C$200),0))</f>
        <v/>
      </c>
      <c r="AM87" s="88">
        <f>IF(OR(AM$1="",$BE87=0),"",IFERROR(LOOKUP(2,1/((Budgets!$A$2:$A$200=AM$1)*(Budgets!$B$2:$B$200&lt;=$A87)),Budgets!$C$2:$C$200),0))</f>
        <v/>
      </c>
      <c r="AN87" s="88">
        <f>IF(OR(AN$1="",$BE87=0),"",IFERROR(LOOKUP(2,1/((Budgets!$A$2:$A$200=AN$1)*(Budgets!$B$2:$B$200&lt;=$A87)),Budgets!$C$2:$C$200),0))</f>
        <v/>
      </c>
      <c r="AO87" s="88">
        <f>IF(OR(AO$1="",$BE87=0),"",IFERROR(LOOKUP(2,1/((Budgets!$A$2:$A$200=AO$1)*(Budgets!$B$2:$B$200&lt;=$A87)),Budgets!$C$2:$C$200),0))</f>
        <v/>
      </c>
      <c r="AP87" s="88">
        <f>IF(OR(AP$1="",$BE87=0),"",IFERROR(LOOKUP(2,1/((Budgets!$A$2:$A$200=AP$1)*(Budgets!$B$2:$B$200&lt;=$A87)),Budgets!$C$2:$C$200),0))</f>
        <v/>
      </c>
      <c r="AQ87" s="88">
        <f>IF(OR(AQ$1="",$BE87=0),"",IFERROR(LOOKUP(2,1/((Budgets!$A$2:$A$200=AQ$1)*(Budgets!$B$2:$B$200&lt;=$A87)),Budgets!$C$2:$C$200),0))</f>
        <v/>
      </c>
      <c r="AR87" s="88">
        <f>IF(OR(AR$1="",$BE87=0),"",IFERROR(LOOKUP(2,1/((Budgets!$A$2:$A$200=AR$1)*(Budgets!$B$2:$B$200&lt;=$A87)),Budgets!$C$2:$C$200),0))</f>
        <v/>
      </c>
      <c r="AS87" s="88">
        <f>IF(OR(AS$1="",$BE87=0),"",IFERROR(LOOKUP(2,1/((Budgets!$A$2:$A$200=AS$1)*(Budgets!$B$2:$B$200&lt;=$A87)),Budgets!$C$2:$C$200),0))</f>
        <v/>
      </c>
      <c r="AT87" s="88">
        <f>IF(OR(AT$1="",$BE87=0),"",IFERROR(LOOKUP(2,1/((Budgets!$A$2:$A$200=AT$1)*(Budgets!$B$2:$B$200&lt;=$A87)),Budgets!$C$2:$C$200),0))</f>
        <v/>
      </c>
      <c r="AU87" s="88">
        <f>IF(OR(AU$1="",$BE87=0),"",IFERROR(LOOKUP(2,1/((Budgets!$A$2:$A$200=AU$1)*(Budgets!$B$2:$B$200&lt;=$A87)),Budgets!$C$2:$C$200),0))</f>
        <v/>
      </c>
      <c r="AV87" s="88">
        <f>IF(OR(AV$1="",$BE87=0),"",IFERROR(LOOKUP(2,1/((Budgets!$A$2:$A$200=AV$1)*(Budgets!$B$2:$B$200&lt;=$A87)),Budgets!$C$2:$C$200),0))</f>
        <v/>
      </c>
      <c r="AW87" s="88">
        <f>IF(OR(AW$1="",$BE87=0),"",IFERROR(LOOKUP(2,1/((Budgets!$A$2:$A$200=AW$1)*(Budgets!$B$2:$B$200&lt;=$A87)),Budgets!$C$2:$C$200),0))</f>
        <v/>
      </c>
      <c r="AX87" s="88">
        <f>IF(OR(AX$1="",$BE87=0),"",IFERROR(LOOKUP(2,1/((Budgets!$A$2:$A$200=AX$1)*(Budgets!$B$2:$B$200&lt;=$A87)),Budgets!$C$2:$C$200),0))</f>
        <v/>
      </c>
      <c r="AY87" s="88">
        <f>IF(OR(AY$1="",$BE87=0),"",IFERROR(LOOKUP(2,1/((Budgets!$A$2:$A$200=AY$1)*(Budgets!$B$2:$B$200&lt;=$A87)),Budgets!$C$2:$C$200),0))</f>
        <v/>
      </c>
      <c r="AZ87" s="88">
        <f>IF(OR(AZ$1="",$BE87=0),"",IFERROR(LOOKUP(2,1/((Budgets!$A$2:$A$200=AZ$1)*(Budgets!$B$2:$B$200&lt;=$A87)),Budgets!$C$2:$C$200),0))</f>
        <v/>
      </c>
      <c r="BA87" s="88">
        <f>IF(OR(BA$1="",$BE87=0),"",IFERROR(LOOKUP(2,1/((Budgets!$A$2:$A$200=BA$1)*(Budgets!$B$2:$B$200&lt;=$A87)),Budgets!$C$2:$C$200),0))</f>
        <v/>
      </c>
      <c r="BB87" s="88">
        <f>IF(OR(BB$1="",$BE87=0),"",IFERROR(LOOKUP(2,1/((Budgets!$A$2:$A$200=BB$1)*(Budgets!$B$2:$B$200&lt;=$A87)),Budgets!$C$2:$C$200),0))</f>
        <v/>
      </c>
      <c r="BC87" s="88">
        <f>IF(OR(BC$1="",$BE87=0),"",IFERROR(LOOKUP(2,1/((Budgets!$A$2:$A$200=BC$1)*(Budgets!$B$2:$B$200&lt;=$A87)),Budgets!$C$2:$C$200),0))</f>
        <v/>
      </c>
      <c r="BE87" s="67">
        <f>COUNTIFS(Entries!$A$2:$A$5000,$A87)</f>
        <v/>
      </c>
    </row>
    <row r="88" ht="15" customHeight="1" s="43">
      <c r="A88" s="87" t="n">
        <v>42064</v>
      </c>
      <c r="B88" s="88">
        <f>IF($BE88=0,NA(),SUMIFS(Entries!$D$2:$D$5000,Entries!$C$2:$C$5000,"Income",Entries!$A$2:$A$5000,$A88))</f>
        <v/>
      </c>
      <c r="C88" s="88">
        <f>IF($BE88=0,"",SUMIFS(Entries!$D$2:$D$5000,Entries!$C$2:$C$5000,"Actual",Entries!$A$2:$A$5000,$A88))</f>
        <v/>
      </c>
      <c r="D88" s="88">
        <f>IF($BE88=0,"",SUMIFS(Entries!$D$2:$D$5000,Entries!$C$2:$C$5000,"One-off",Entries!$A$2:$A$5000,$A88))</f>
        <v/>
      </c>
      <c r="E88" s="88">
        <f>IF($BE88=0,NA(),C88+D88)</f>
        <v/>
      </c>
      <c r="F88" s="88">
        <f>IF($BE88=0,"",SUM(AJ88:BC88))</f>
        <v/>
      </c>
      <c r="G88" s="88">
        <f>IF($BE88=0,"",B88-E88)</f>
        <v/>
      </c>
      <c r="H88" s="88">
        <f>IF($BE88=0,"",SUM($G$2:G88))</f>
        <v/>
      </c>
      <c r="I88" s="88">
        <f>IF($BE88=0,"",SUMIFS(Entries!$F$2:$F$5000,Entries!$A$2:$A$5000,$A88))</f>
        <v/>
      </c>
      <c r="J88" s="88">
        <f>IF($BE88=0,NA(),H88+SUM($I$2:I88))</f>
        <v/>
      </c>
      <c r="K88" s="88">
        <f>IF($BE88=0,"",SUMIFS(Entries!$D$2:$D$5000,Entries!$C$2:$C$5000,"Income",Entries!$A$2:$A$5000,"&gt;="&amp;EDATE($A88,-11),Entries!$A$2:$A$5000,"&lt;="&amp;$A88)/12)</f>
        <v/>
      </c>
      <c r="L88" s="88">
        <f>IF($BE88=0,"",(SUMIFS(Entries!$D$2:$D$5000,Entries!$C$2:$C$5000,"Actual",Entries!$A$2:$A$5000,"&gt;="&amp;EDATE($A88,-11),Entries!$A$2:$A$5000,"&lt;="&amp;$A88)+SUMIFS(Entries!$D$2:$D$5000,Entries!$C$2:$C$5000,"One-off",Entries!$A$2:$A$5000,"&gt;="&amp;EDATE($A88,-11),Entries!$A$2:$A$5000,"&lt;="&amp;$A88))/12)</f>
        <v/>
      </c>
      <c r="M88" s="70">
        <f>IF($BE88=0,NA(),IFERROR((K88-L88)/K88,0))</f>
        <v/>
      </c>
      <c r="O88" s="88">
        <f>IF(OR(O$1="",$BE88=0),"",SUMIFS(Entries!$D$2:$D$5000,Entries!$C$2:$C$5000,"Actual",Entries!$A$2:$A$5000,$A88,Entries!$B$2:$B$5000,O$1))</f>
        <v/>
      </c>
      <c r="P88" s="88">
        <f>IF(OR(P$1="",$BE88=0),"",SUMIFS(Entries!$D$2:$D$5000,Entries!$C$2:$C$5000,"Actual",Entries!$A$2:$A$5000,$A88,Entries!$B$2:$B$5000,P$1))</f>
        <v/>
      </c>
      <c r="Q88" s="88">
        <f>IF(OR(Q$1="",$BE88=0),"",SUMIFS(Entries!$D$2:$D$5000,Entries!$C$2:$C$5000,"Actual",Entries!$A$2:$A$5000,$A88,Entries!$B$2:$B$5000,Q$1))</f>
        <v/>
      </c>
      <c r="R88" s="88">
        <f>IF(OR(R$1="",$BE88=0),"",SUMIFS(Entries!$D$2:$D$5000,Entries!$C$2:$C$5000,"Actual",Entries!$A$2:$A$5000,$A88,Entries!$B$2:$B$5000,R$1))</f>
        <v/>
      </c>
      <c r="S88" s="88">
        <f>IF(OR(S$1="",$BE88=0),"",SUMIFS(Entries!$D$2:$D$5000,Entries!$C$2:$C$5000,"Actual",Entries!$A$2:$A$5000,$A88,Entries!$B$2:$B$5000,S$1))</f>
        <v/>
      </c>
      <c r="T88" s="88">
        <f>IF(OR(T$1="",$BE88=0),"",SUMIFS(Entries!$D$2:$D$5000,Entries!$C$2:$C$5000,"Actual",Entries!$A$2:$A$5000,$A88,Entries!$B$2:$B$5000,T$1))</f>
        <v/>
      </c>
      <c r="U88" s="88">
        <f>IF(OR(U$1="",$BE88=0),"",SUMIFS(Entries!$D$2:$D$5000,Entries!$C$2:$C$5000,"Actual",Entries!$A$2:$A$5000,$A88,Entries!$B$2:$B$5000,U$1))</f>
        <v/>
      </c>
      <c r="V88" s="88">
        <f>IF(OR(V$1="",$BE88=0),"",SUMIFS(Entries!$D$2:$D$5000,Entries!$C$2:$C$5000,"Actual",Entries!$A$2:$A$5000,$A88,Entries!$B$2:$B$5000,V$1))</f>
        <v/>
      </c>
      <c r="W88" s="88">
        <f>IF(OR(W$1="",$BE88=0),"",SUMIFS(Entries!$D$2:$D$5000,Entries!$C$2:$C$5000,"Actual",Entries!$A$2:$A$5000,$A88,Entries!$B$2:$B$5000,W$1))</f>
        <v/>
      </c>
      <c r="X88" s="88">
        <f>IF(OR(X$1="",$BE88=0),"",SUMIFS(Entries!$D$2:$D$5000,Entries!$C$2:$C$5000,"Actual",Entries!$A$2:$A$5000,$A88,Entries!$B$2:$B$5000,X$1))</f>
        <v/>
      </c>
      <c r="Y88" s="88">
        <f>IF(OR(Y$1="",$BE88=0),"",SUMIFS(Entries!$D$2:$D$5000,Entries!$C$2:$C$5000,"Actual",Entries!$A$2:$A$5000,$A88,Entries!$B$2:$B$5000,Y$1))</f>
        <v/>
      </c>
      <c r="Z88" s="88">
        <f>IF(OR(Z$1="",$BE88=0),"",SUMIFS(Entries!$D$2:$D$5000,Entries!$C$2:$C$5000,"Actual",Entries!$A$2:$A$5000,$A88,Entries!$B$2:$B$5000,Z$1))</f>
        <v/>
      </c>
      <c r="AA88" s="88">
        <f>IF(OR(AA$1="",$BE88=0),"",SUMIFS(Entries!$D$2:$D$5000,Entries!$C$2:$C$5000,"Actual",Entries!$A$2:$A$5000,$A88,Entries!$B$2:$B$5000,AA$1))</f>
        <v/>
      </c>
      <c r="AB88" s="88">
        <f>IF(OR(AB$1="",$BE88=0),"",SUMIFS(Entries!$D$2:$D$5000,Entries!$C$2:$C$5000,"Actual",Entries!$A$2:$A$5000,$A88,Entries!$B$2:$B$5000,AB$1))</f>
        <v/>
      </c>
      <c r="AC88" s="88">
        <f>IF(OR(AC$1="",$BE88=0),"",SUMIFS(Entries!$D$2:$D$5000,Entries!$C$2:$C$5000,"Actual",Entries!$A$2:$A$5000,$A88,Entries!$B$2:$B$5000,AC$1))</f>
        <v/>
      </c>
      <c r="AD88" s="88">
        <f>IF(OR(AD$1="",$BE88=0),"",SUMIFS(Entries!$D$2:$D$5000,Entries!$C$2:$C$5000,"Actual",Entries!$A$2:$A$5000,$A88,Entries!$B$2:$B$5000,AD$1))</f>
        <v/>
      </c>
      <c r="AE88" s="88">
        <f>IF(OR(AE$1="",$BE88=0),"",SUMIFS(Entries!$D$2:$D$5000,Entries!$C$2:$C$5000,"Actual",Entries!$A$2:$A$5000,$A88,Entries!$B$2:$B$5000,AE$1))</f>
        <v/>
      </c>
      <c r="AF88" s="88">
        <f>IF(OR(AF$1="",$BE88=0),"",SUMIFS(Entries!$D$2:$D$5000,Entries!$C$2:$C$5000,"Actual",Entries!$A$2:$A$5000,$A88,Entries!$B$2:$B$5000,AF$1))</f>
        <v/>
      </c>
      <c r="AG88" s="88">
        <f>IF(OR(AG$1="",$BE88=0),"",SUMIFS(Entries!$D$2:$D$5000,Entries!$C$2:$C$5000,"Actual",Entries!$A$2:$A$5000,$A88,Entries!$B$2:$B$5000,AG$1))</f>
        <v/>
      </c>
      <c r="AH88" s="88">
        <f>IF(OR(AH$1="",$BE88=0),"",SUMIFS(Entries!$D$2:$D$5000,Entries!$C$2:$C$5000,"Actual",Entries!$A$2:$A$5000,$A88,Entries!$B$2:$B$5000,AH$1))</f>
        <v/>
      </c>
      <c r="AJ88" s="88">
        <f>IF(OR(AJ$1="",$BE88=0),"",IFERROR(LOOKUP(2,1/((Budgets!$A$2:$A$200=AJ$1)*(Budgets!$B$2:$B$200&lt;=$A88)),Budgets!$C$2:$C$200),0))</f>
        <v/>
      </c>
      <c r="AK88" s="88">
        <f>IF(OR(AK$1="",$BE88=0),"",IFERROR(LOOKUP(2,1/((Budgets!$A$2:$A$200=AK$1)*(Budgets!$B$2:$B$200&lt;=$A88)),Budgets!$C$2:$C$200),0))</f>
        <v/>
      </c>
      <c r="AL88" s="88">
        <f>IF(OR(AL$1="",$BE88=0),"",IFERROR(LOOKUP(2,1/((Budgets!$A$2:$A$200=AL$1)*(Budgets!$B$2:$B$200&lt;=$A88)),Budgets!$C$2:$C$200),0))</f>
        <v/>
      </c>
      <c r="AM88" s="88">
        <f>IF(OR(AM$1="",$BE88=0),"",IFERROR(LOOKUP(2,1/((Budgets!$A$2:$A$200=AM$1)*(Budgets!$B$2:$B$200&lt;=$A88)),Budgets!$C$2:$C$200),0))</f>
        <v/>
      </c>
      <c r="AN88" s="88">
        <f>IF(OR(AN$1="",$BE88=0),"",IFERROR(LOOKUP(2,1/((Budgets!$A$2:$A$200=AN$1)*(Budgets!$B$2:$B$200&lt;=$A88)),Budgets!$C$2:$C$200),0))</f>
        <v/>
      </c>
      <c r="AO88" s="88">
        <f>IF(OR(AO$1="",$BE88=0),"",IFERROR(LOOKUP(2,1/((Budgets!$A$2:$A$200=AO$1)*(Budgets!$B$2:$B$200&lt;=$A88)),Budgets!$C$2:$C$200),0))</f>
        <v/>
      </c>
      <c r="AP88" s="88">
        <f>IF(OR(AP$1="",$BE88=0),"",IFERROR(LOOKUP(2,1/((Budgets!$A$2:$A$200=AP$1)*(Budgets!$B$2:$B$200&lt;=$A88)),Budgets!$C$2:$C$200),0))</f>
        <v/>
      </c>
      <c r="AQ88" s="88">
        <f>IF(OR(AQ$1="",$BE88=0),"",IFERROR(LOOKUP(2,1/((Budgets!$A$2:$A$200=AQ$1)*(Budgets!$B$2:$B$200&lt;=$A88)),Budgets!$C$2:$C$200),0))</f>
        <v/>
      </c>
      <c r="AR88" s="88">
        <f>IF(OR(AR$1="",$BE88=0),"",IFERROR(LOOKUP(2,1/((Budgets!$A$2:$A$200=AR$1)*(Budgets!$B$2:$B$200&lt;=$A88)),Budgets!$C$2:$C$200),0))</f>
        <v/>
      </c>
      <c r="AS88" s="88">
        <f>IF(OR(AS$1="",$BE88=0),"",IFERROR(LOOKUP(2,1/((Budgets!$A$2:$A$200=AS$1)*(Budgets!$B$2:$B$200&lt;=$A88)),Budgets!$C$2:$C$200),0))</f>
        <v/>
      </c>
      <c r="AT88" s="88">
        <f>IF(OR(AT$1="",$BE88=0),"",IFERROR(LOOKUP(2,1/((Budgets!$A$2:$A$200=AT$1)*(Budgets!$B$2:$B$200&lt;=$A88)),Budgets!$C$2:$C$200),0))</f>
        <v/>
      </c>
      <c r="AU88" s="88">
        <f>IF(OR(AU$1="",$BE88=0),"",IFERROR(LOOKUP(2,1/((Budgets!$A$2:$A$200=AU$1)*(Budgets!$B$2:$B$200&lt;=$A88)),Budgets!$C$2:$C$200),0))</f>
        <v/>
      </c>
      <c r="AV88" s="88">
        <f>IF(OR(AV$1="",$BE88=0),"",IFERROR(LOOKUP(2,1/((Budgets!$A$2:$A$200=AV$1)*(Budgets!$B$2:$B$200&lt;=$A88)),Budgets!$C$2:$C$200),0))</f>
        <v/>
      </c>
      <c r="AW88" s="88">
        <f>IF(OR(AW$1="",$BE88=0),"",IFERROR(LOOKUP(2,1/((Budgets!$A$2:$A$200=AW$1)*(Budgets!$B$2:$B$200&lt;=$A88)),Budgets!$C$2:$C$200),0))</f>
        <v/>
      </c>
      <c r="AX88" s="88">
        <f>IF(OR(AX$1="",$BE88=0),"",IFERROR(LOOKUP(2,1/((Budgets!$A$2:$A$200=AX$1)*(Budgets!$B$2:$B$200&lt;=$A88)),Budgets!$C$2:$C$200),0))</f>
        <v/>
      </c>
      <c r="AY88" s="88">
        <f>IF(OR(AY$1="",$BE88=0),"",IFERROR(LOOKUP(2,1/((Budgets!$A$2:$A$200=AY$1)*(Budgets!$B$2:$B$200&lt;=$A88)),Budgets!$C$2:$C$200),0))</f>
        <v/>
      </c>
      <c r="AZ88" s="88">
        <f>IF(OR(AZ$1="",$BE88=0),"",IFERROR(LOOKUP(2,1/((Budgets!$A$2:$A$200=AZ$1)*(Budgets!$B$2:$B$200&lt;=$A88)),Budgets!$C$2:$C$200),0))</f>
        <v/>
      </c>
      <c r="BA88" s="88">
        <f>IF(OR(BA$1="",$BE88=0),"",IFERROR(LOOKUP(2,1/((Budgets!$A$2:$A$200=BA$1)*(Budgets!$B$2:$B$200&lt;=$A88)),Budgets!$C$2:$C$200),0))</f>
        <v/>
      </c>
      <c r="BB88" s="88">
        <f>IF(OR(BB$1="",$BE88=0),"",IFERROR(LOOKUP(2,1/((Budgets!$A$2:$A$200=BB$1)*(Budgets!$B$2:$B$200&lt;=$A88)),Budgets!$C$2:$C$200),0))</f>
        <v/>
      </c>
      <c r="BC88" s="88">
        <f>IF(OR(BC$1="",$BE88=0),"",IFERROR(LOOKUP(2,1/((Budgets!$A$2:$A$200=BC$1)*(Budgets!$B$2:$B$200&lt;=$A88)),Budgets!$C$2:$C$200),0))</f>
        <v/>
      </c>
      <c r="BE88" s="67">
        <f>COUNTIFS(Entries!$A$2:$A$5000,$A88)</f>
        <v/>
      </c>
    </row>
    <row r="89" ht="15" customHeight="1" s="43">
      <c r="A89" s="87" t="n">
        <v>42095</v>
      </c>
      <c r="B89" s="88">
        <f>IF($BE89=0,NA(),SUMIFS(Entries!$D$2:$D$5000,Entries!$C$2:$C$5000,"Income",Entries!$A$2:$A$5000,$A89))</f>
        <v/>
      </c>
      <c r="C89" s="88">
        <f>IF($BE89=0,"",SUMIFS(Entries!$D$2:$D$5000,Entries!$C$2:$C$5000,"Actual",Entries!$A$2:$A$5000,$A89))</f>
        <v/>
      </c>
      <c r="D89" s="88">
        <f>IF($BE89=0,"",SUMIFS(Entries!$D$2:$D$5000,Entries!$C$2:$C$5000,"One-off",Entries!$A$2:$A$5000,$A89))</f>
        <v/>
      </c>
      <c r="E89" s="88">
        <f>IF($BE89=0,NA(),C89+D89)</f>
        <v/>
      </c>
      <c r="F89" s="88">
        <f>IF($BE89=0,"",SUM(AJ89:BC89))</f>
        <v/>
      </c>
      <c r="G89" s="88">
        <f>IF($BE89=0,"",B89-E89)</f>
        <v/>
      </c>
      <c r="H89" s="88">
        <f>IF($BE89=0,"",SUM($G$2:G89))</f>
        <v/>
      </c>
      <c r="I89" s="88">
        <f>IF($BE89=0,"",SUMIFS(Entries!$F$2:$F$5000,Entries!$A$2:$A$5000,$A89))</f>
        <v/>
      </c>
      <c r="J89" s="88">
        <f>IF($BE89=0,NA(),H89+SUM($I$2:I89))</f>
        <v/>
      </c>
      <c r="K89" s="88">
        <f>IF($BE89=0,"",SUMIFS(Entries!$D$2:$D$5000,Entries!$C$2:$C$5000,"Income",Entries!$A$2:$A$5000,"&gt;="&amp;EDATE($A89,-11),Entries!$A$2:$A$5000,"&lt;="&amp;$A89)/12)</f>
        <v/>
      </c>
      <c r="L89" s="88">
        <f>IF($BE89=0,"",(SUMIFS(Entries!$D$2:$D$5000,Entries!$C$2:$C$5000,"Actual",Entries!$A$2:$A$5000,"&gt;="&amp;EDATE($A89,-11),Entries!$A$2:$A$5000,"&lt;="&amp;$A89)+SUMIFS(Entries!$D$2:$D$5000,Entries!$C$2:$C$5000,"One-off",Entries!$A$2:$A$5000,"&gt;="&amp;EDATE($A89,-11),Entries!$A$2:$A$5000,"&lt;="&amp;$A89))/12)</f>
        <v/>
      </c>
      <c r="M89" s="70">
        <f>IF($BE89=0,NA(),IFERROR((K89-L89)/K89,0))</f>
        <v/>
      </c>
      <c r="O89" s="88">
        <f>IF(OR(O$1="",$BE89=0),"",SUMIFS(Entries!$D$2:$D$5000,Entries!$C$2:$C$5000,"Actual",Entries!$A$2:$A$5000,$A89,Entries!$B$2:$B$5000,O$1))</f>
        <v/>
      </c>
      <c r="P89" s="88">
        <f>IF(OR(P$1="",$BE89=0),"",SUMIFS(Entries!$D$2:$D$5000,Entries!$C$2:$C$5000,"Actual",Entries!$A$2:$A$5000,$A89,Entries!$B$2:$B$5000,P$1))</f>
        <v/>
      </c>
      <c r="Q89" s="88">
        <f>IF(OR(Q$1="",$BE89=0),"",SUMIFS(Entries!$D$2:$D$5000,Entries!$C$2:$C$5000,"Actual",Entries!$A$2:$A$5000,$A89,Entries!$B$2:$B$5000,Q$1))</f>
        <v/>
      </c>
      <c r="R89" s="88">
        <f>IF(OR(R$1="",$BE89=0),"",SUMIFS(Entries!$D$2:$D$5000,Entries!$C$2:$C$5000,"Actual",Entries!$A$2:$A$5000,$A89,Entries!$B$2:$B$5000,R$1))</f>
        <v/>
      </c>
      <c r="S89" s="88">
        <f>IF(OR(S$1="",$BE89=0),"",SUMIFS(Entries!$D$2:$D$5000,Entries!$C$2:$C$5000,"Actual",Entries!$A$2:$A$5000,$A89,Entries!$B$2:$B$5000,S$1))</f>
        <v/>
      </c>
      <c r="T89" s="88">
        <f>IF(OR(T$1="",$BE89=0),"",SUMIFS(Entries!$D$2:$D$5000,Entries!$C$2:$C$5000,"Actual",Entries!$A$2:$A$5000,$A89,Entries!$B$2:$B$5000,T$1))</f>
        <v/>
      </c>
      <c r="U89" s="88">
        <f>IF(OR(U$1="",$BE89=0),"",SUMIFS(Entries!$D$2:$D$5000,Entries!$C$2:$C$5000,"Actual",Entries!$A$2:$A$5000,$A89,Entries!$B$2:$B$5000,U$1))</f>
        <v/>
      </c>
      <c r="V89" s="88">
        <f>IF(OR(V$1="",$BE89=0),"",SUMIFS(Entries!$D$2:$D$5000,Entries!$C$2:$C$5000,"Actual",Entries!$A$2:$A$5000,$A89,Entries!$B$2:$B$5000,V$1))</f>
        <v/>
      </c>
      <c r="W89" s="88">
        <f>IF(OR(W$1="",$BE89=0),"",SUMIFS(Entries!$D$2:$D$5000,Entries!$C$2:$C$5000,"Actual",Entries!$A$2:$A$5000,$A89,Entries!$B$2:$B$5000,W$1))</f>
        <v/>
      </c>
      <c r="X89" s="88">
        <f>IF(OR(X$1="",$BE89=0),"",SUMIFS(Entries!$D$2:$D$5000,Entries!$C$2:$C$5000,"Actual",Entries!$A$2:$A$5000,$A89,Entries!$B$2:$B$5000,X$1))</f>
        <v/>
      </c>
      <c r="Y89" s="88">
        <f>IF(OR(Y$1="",$BE89=0),"",SUMIFS(Entries!$D$2:$D$5000,Entries!$C$2:$C$5000,"Actual",Entries!$A$2:$A$5000,$A89,Entries!$B$2:$B$5000,Y$1))</f>
        <v/>
      </c>
      <c r="Z89" s="88">
        <f>IF(OR(Z$1="",$BE89=0),"",SUMIFS(Entries!$D$2:$D$5000,Entries!$C$2:$C$5000,"Actual",Entries!$A$2:$A$5000,$A89,Entries!$B$2:$B$5000,Z$1))</f>
        <v/>
      </c>
      <c r="AA89" s="88">
        <f>IF(OR(AA$1="",$BE89=0),"",SUMIFS(Entries!$D$2:$D$5000,Entries!$C$2:$C$5000,"Actual",Entries!$A$2:$A$5000,$A89,Entries!$B$2:$B$5000,AA$1))</f>
        <v/>
      </c>
      <c r="AB89" s="88">
        <f>IF(OR(AB$1="",$BE89=0),"",SUMIFS(Entries!$D$2:$D$5000,Entries!$C$2:$C$5000,"Actual",Entries!$A$2:$A$5000,$A89,Entries!$B$2:$B$5000,AB$1))</f>
        <v/>
      </c>
      <c r="AC89" s="88">
        <f>IF(OR(AC$1="",$BE89=0),"",SUMIFS(Entries!$D$2:$D$5000,Entries!$C$2:$C$5000,"Actual",Entries!$A$2:$A$5000,$A89,Entries!$B$2:$B$5000,AC$1))</f>
        <v/>
      </c>
      <c r="AD89" s="88">
        <f>IF(OR(AD$1="",$BE89=0),"",SUMIFS(Entries!$D$2:$D$5000,Entries!$C$2:$C$5000,"Actual",Entries!$A$2:$A$5000,$A89,Entries!$B$2:$B$5000,AD$1))</f>
        <v/>
      </c>
      <c r="AE89" s="88">
        <f>IF(OR(AE$1="",$BE89=0),"",SUMIFS(Entries!$D$2:$D$5000,Entries!$C$2:$C$5000,"Actual",Entries!$A$2:$A$5000,$A89,Entries!$B$2:$B$5000,AE$1))</f>
        <v/>
      </c>
      <c r="AF89" s="88">
        <f>IF(OR(AF$1="",$BE89=0),"",SUMIFS(Entries!$D$2:$D$5000,Entries!$C$2:$C$5000,"Actual",Entries!$A$2:$A$5000,$A89,Entries!$B$2:$B$5000,AF$1))</f>
        <v/>
      </c>
      <c r="AG89" s="88">
        <f>IF(OR(AG$1="",$BE89=0),"",SUMIFS(Entries!$D$2:$D$5000,Entries!$C$2:$C$5000,"Actual",Entries!$A$2:$A$5000,$A89,Entries!$B$2:$B$5000,AG$1))</f>
        <v/>
      </c>
      <c r="AH89" s="88">
        <f>IF(OR(AH$1="",$BE89=0),"",SUMIFS(Entries!$D$2:$D$5000,Entries!$C$2:$C$5000,"Actual",Entries!$A$2:$A$5000,$A89,Entries!$B$2:$B$5000,AH$1))</f>
        <v/>
      </c>
      <c r="AJ89" s="88">
        <f>IF(OR(AJ$1="",$BE89=0),"",IFERROR(LOOKUP(2,1/((Budgets!$A$2:$A$200=AJ$1)*(Budgets!$B$2:$B$200&lt;=$A89)),Budgets!$C$2:$C$200),0))</f>
        <v/>
      </c>
      <c r="AK89" s="88">
        <f>IF(OR(AK$1="",$BE89=0),"",IFERROR(LOOKUP(2,1/((Budgets!$A$2:$A$200=AK$1)*(Budgets!$B$2:$B$200&lt;=$A89)),Budgets!$C$2:$C$200),0))</f>
        <v/>
      </c>
      <c r="AL89" s="88">
        <f>IF(OR(AL$1="",$BE89=0),"",IFERROR(LOOKUP(2,1/((Budgets!$A$2:$A$200=AL$1)*(Budgets!$B$2:$B$200&lt;=$A89)),Budgets!$C$2:$C$200),0))</f>
        <v/>
      </c>
      <c r="AM89" s="88">
        <f>IF(OR(AM$1="",$BE89=0),"",IFERROR(LOOKUP(2,1/((Budgets!$A$2:$A$200=AM$1)*(Budgets!$B$2:$B$200&lt;=$A89)),Budgets!$C$2:$C$200),0))</f>
        <v/>
      </c>
      <c r="AN89" s="88">
        <f>IF(OR(AN$1="",$BE89=0),"",IFERROR(LOOKUP(2,1/((Budgets!$A$2:$A$200=AN$1)*(Budgets!$B$2:$B$200&lt;=$A89)),Budgets!$C$2:$C$200),0))</f>
        <v/>
      </c>
      <c r="AO89" s="88">
        <f>IF(OR(AO$1="",$BE89=0),"",IFERROR(LOOKUP(2,1/((Budgets!$A$2:$A$200=AO$1)*(Budgets!$B$2:$B$200&lt;=$A89)),Budgets!$C$2:$C$200),0))</f>
        <v/>
      </c>
      <c r="AP89" s="88">
        <f>IF(OR(AP$1="",$BE89=0),"",IFERROR(LOOKUP(2,1/((Budgets!$A$2:$A$200=AP$1)*(Budgets!$B$2:$B$200&lt;=$A89)),Budgets!$C$2:$C$200),0))</f>
        <v/>
      </c>
      <c r="AQ89" s="88">
        <f>IF(OR(AQ$1="",$BE89=0),"",IFERROR(LOOKUP(2,1/((Budgets!$A$2:$A$200=AQ$1)*(Budgets!$B$2:$B$200&lt;=$A89)),Budgets!$C$2:$C$200),0))</f>
        <v/>
      </c>
      <c r="AR89" s="88">
        <f>IF(OR(AR$1="",$BE89=0),"",IFERROR(LOOKUP(2,1/((Budgets!$A$2:$A$200=AR$1)*(Budgets!$B$2:$B$200&lt;=$A89)),Budgets!$C$2:$C$200),0))</f>
        <v/>
      </c>
      <c r="AS89" s="88">
        <f>IF(OR(AS$1="",$BE89=0),"",IFERROR(LOOKUP(2,1/((Budgets!$A$2:$A$200=AS$1)*(Budgets!$B$2:$B$200&lt;=$A89)),Budgets!$C$2:$C$200),0))</f>
        <v/>
      </c>
      <c r="AT89" s="88">
        <f>IF(OR(AT$1="",$BE89=0),"",IFERROR(LOOKUP(2,1/((Budgets!$A$2:$A$200=AT$1)*(Budgets!$B$2:$B$200&lt;=$A89)),Budgets!$C$2:$C$200),0))</f>
        <v/>
      </c>
      <c r="AU89" s="88">
        <f>IF(OR(AU$1="",$BE89=0),"",IFERROR(LOOKUP(2,1/((Budgets!$A$2:$A$200=AU$1)*(Budgets!$B$2:$B$200&lt;=$A89)),Budgets!$C$2:$C$200),0))</f>
        <v/>
      </c>
      <c r="AV89" s="88">
        <f>IF(OR(AV$1="",$BE89=0),"",IFERROR(LOOKUP(2,1/((Budgets!$A$2:$A$200=AV$1)*(Budgets!$B$2:$B$200&lt;=$A89)),Budgets!$C$2:$C$200),0))</f>
        <v/>
      </c>
      <c r="AW89" s="88">
        <f>IF(OR(AW$1="",$BE89=0),"",IFERROR(LOOKUP(2,1/((Budgets!$A$2:$A$200=AW$1)*(Budgets!$B$2:$B$200&lt;=$A89)),Budgets!$C$2:$C$200),0))</f>
        <v/>
      </c>
      <c r="AX89" s="88">
        <f>IF(OR(AX$1="",$BE89=0),"",IFERROR(LOOKUP(2,1/((Budgets!$A$2:$A$200=AX$1)*(Budgets!$B$2:$B$200&lt;=$A89)),Budgets!$C$2:$C$200),0))</f>
        <v/>
      </c>
      <c r="AY89" s="88">
        <f>IF(OR(AY$1="",$BE89=0),"",IFERROR(LOOKUP(2,1/((Budgets!$A$2:$A$200=AY$1)*(Budgets!$B$2:$B$200&lt;=$A89)),Budgets!$C$2:$C$200),0))</f>
        <v/>
      </c>
      <c r="AZ89" s="88">
        <f>IF(OR(AZ$1="",$BE89=0),"",IFERROR(LOOKUP(2,1/((Budgets!$A$2:$A$200=AZ$1)*(Budgets!$B$2:$B$200&lt;=$A89)),Budgets!$C$2:$C$200),0))</f>
        <v/>
      </c>
      <c r="BA89" s="88">
        <f>IF(OR(BA$1="",$BE89=0),"",IFERROR(LOOKUP(2,1/((Budgets!$A$2:$A$200=BA$1)*(Budgets!$B$2:$B$200&lt;=$A89)),Budgets!$C$2:$C$200),0))</f>
        <v/>
      </c>
      <c r="BB89" s="88">
        <f>IF(OR(BB$1="",$BE89=0),"",IFERROR(LOOKUP(2,1/((Budgets!$A$2:$A$200=BB$1)*(Budgets!$B$2:$B$200&lt;=$A89)),Budgets!$C$2:$C$200),0))</f>
        <v/>
      </c>
      <c r="BC89" s="88">
        <f>IF(OR(BC$1="",$BE89=0),"",IFERROR(LOOKUP(2,1/((Budgets!$A$2:$A$200=BC$1)*(Budgets!$B$2:$B$200&lt;=$A89)),Budgets!$C$2:$C$200),0))</f>
        <v/>
      </c>
      <c r="BE89" s="67">
        <f>COUNTIFS(Entries!$A$2:$A$5000,$A89)</f>
        <v/>
      </c>
    </row>
    <row r="90" ht="15" customHeight="1" s="43">
      <c r="A90" s="87" t="n">
        <v>42125</v>
      </c>
      <c r="B90" s="88">
        <f>IF($BE90=0,NA(),SUMIFS(Entries!$D$2:$D$5000,Entries!$C$2:$C$5000,"Income",Entries!$A$2:$A$5000,$A90))</f>
        <v/>
      </c>
      <c r="C90" s="88">
        <f>IF($BE90=0,"",SUMIFS(Entries!$D$2:$D$5000,Entries!$C$2:$C$5000,"Actual",Entries!$A$2:$A$5000,$A90))</f>
        <v/>
      </c>
      <c r="D90" s="88">
        <f>IF($BE90=0,"",SUMIFS(Entries!$D$2:$D$5000,Entries!$C$2:$C$5000,"One-off",Entries!$A$2:$A$5000,$A90))</f>
        <v/>
      </c>
      <c r="E90" s="88">
        <f>IF($BE90=0,NA(),C90+D90)</f>
        <v/>
      </c>
      <c r="F90" s="88">
        <f>IF($BE90=0,"",SUM(AJ90:BC90))</f>
        <v/>
      </c>
      <c r="G90" s="88">
        <f>IF($BE90=0,"",B90-E90)</f>
        <v/>
      </c>
      <c r="H90" s="88">
        <f>IF($BE90=0,"",SUM($G$2:G90))</f>
        <v/>
      </c>
      <c r="I90" s="88">
        <f>IF($BE90=0,"",SUMIFS(Entries!$F$2:$F$5000,Entries!$A$2:$A$5000,$A90))</f>
        <v/>
      </c>
      <c r="J90" s="88">
        <f>IF($BE90=0,NA(),H90+SUM($I$2:I90))</f>
        <v/>
      </c>
      <c r="K90" s="88">
        <f>IF($BE90=0,"",SUMIFS(Entries!$D$2:$D$5000,Entries!$C$2:$C$5000,"Income",Entries!$A$2:$A$5000,"&gt;="&amp;EDATE($A90,-11),Entries!$A$2:$A$5000,"&lt;="&amp;$A90)/12)</f>
        <v/>
      </c>
      <c r="L90" s="88">
        <f>IF($BE90=0,"",(SUMIFS(Entries!$D$2:$D$5000,Entries!$C$2:$C$5000,"Actual",Entries!$A$2:$A$5000,"&gt;="&amp;EDATE($A90,-11),Entries!$A$2:$A$5000,"&lt;="&amp;$A90)+SUMIFS(Entries!$D$2:$D$5000,Entries!$C$2:$C$5000,"One-off",Entries!$A$2:$A$5000,"&gt;="&amp;EDATE($A90,-11),Entries!$A$2:$A$5000,"&lt;="&amp;$A90))/12)</f>
        <v/>
      </c>
      <c r="M90" s="70">
        <f>IF($BE90=0,NA(),IFERROR((K90-L90)/K90,0))</f>
        <v/>
      </c>
      <c r="O90" s="88">
        <f>IF(OR(O$1="",$BE90=0),"",SUMIFS(Entries!$D$2:$D$5000,Entries!$C$2:$C$5000,"Actual",Entries!$A$2:$A$5000,$A90,Entries!$B$2:$B$5000,O$1))</f>
        <v/>
      </c>
      <c r="P90" s="88">
        <f>IF(OR(P$1="",$BE90=0),"",SUMIFS(Entries!$D$2:$D$5000,Entries!$C$2:$C$5000,"Actual",Entries!$A$2:$A$5000,$A90,Entries!$B$2:$B$5000,P$1))</f>
        <v/>
      </c>
      <c r="Q90" s="88">
        <f>IF(OR(Q$1="",$BE90=0),"",SUMIFS(Entries!$D$2:$D$5000,Entries!$C$2:$C$5000,"Actual",Entries!$A$2:$A$5000,$A90,Entries!$B$2:$B$5000,Q$1))</f>
        <v/>
      </c>
      <c r="R90" s="88">
        <f>IF(OR(R$1="",$BE90=0),"",SUMIFS(Entries!$D$2:$D$5000,Entries!$C$2:$C$5000,"Actual",Entries!$A$2:$A$5000,$A90,Entries!$B$2:$B$5000,R$1))</f>
        <v/>
      </c>
      <c r="S90" s="88">
        <f>IF(OR(S$1="",$BE90=0),"",SUMIFS(Entries!$D$2:$D$5000,Entries!$C$2:$C$5000,"Actual",Entries!$A$2:$A$5000,$A90,Entries!$B$2:$B$5000,S$1))</f>
        <v/>
      </c>
      <c r="T90" s="88">
        <f>IF(OR(T$1="",$BE90=0),"",SUMIFS(Entries!$D$2:$D$5000,Entries!$C$2:$C$5000,"Actual",Entries!$A$2:$A$5000,$A90,Entries!$B$2:$B$5000,T$1))</f>
        <v/>
      </c>
      <c r="U90" s="88">
        <f>IF(OR(U$1="",$BE90=0),"",SUMIFS(Entries!$D$2:$D$5000,Entries!$C$2:$C$5000,"Actual",Entries!$A$2:$A$5000,$A90,Entries!$B$2:$B$5000,U$1))</f>
        <v/>
      </c>
      <c r="V90" s="88">
        <f>IF(OR(V$1="",$BE90=0),"",SUMIFS(Entries!$D$2:$D$5000,Entries!$C$2:$C$5000,"Actual",Entries!$A$2:$A$5000,$A90,Entries!$B$2:$B$5000,V$1))</f>
        <v/>
      </c>
      <c r="W90" s="88">
        <f>IF(OR(W$1="",$BE90=0),"",SUMIFS(Entries!$D$2:$D$5000,Entries!$C$2:$C$5000,"Actual",Entries!$A$2:$A$5000,$A90,Entries!$B$2:$B$5000,W$1))</f>
        <v/>
      </c>
      <c r="X90" s="88">
        <f>IF(OR(X$1="",$BE90=0),"",SUMIFS(Entries!$D$2:$D$5000,Entries!$C$2:$C$5000,"Actual",Entries!$A$2:$A$5000,$A90,Entries!$B$2:$B$5000,X$1))</f>
        <v/>
      </c>
      <c r="Y90" s="88">
        <f>IF(OR(Y$1="",$BE90=0),"",SUMIFS(Entries!$D$2:$D$5000,Entries!$C$2:$C$5000,"Actual",Entries!$A$2:$A$5000,$A90,Entries!$B$2:$B$5000,Y$1))</f>
        <v/>
      </c>
      <c r="Z90" s="88">
        <f>IF(OR(Z$1="",$BE90=0),"",SUMIFS(Entries!$D$2:$D$5000,Entries!$C$2:$C$5000,"Actual",Entries!$A$2:$A$5000,$A90,Entries!$B$2:$B$5000,Z$1))</f>
        <v/>
      </c>
      <c r="AA90" s="88">
        <f>IF(OR(AA$1="",$BE90=0),"",SUMIFS(Entries!$D$2:$D$5000,Entries!$C$2:$C$5000,"Actual",Entries!$A$2:$A$5000,$A90,Entries!$B$2:$B$5000,AA$1))</f>
        <v/>
      </c>
      <c r="AB90" s="88">
        <f>IF(OR(AB$1="",$BE90=0),"",SUMIFS(Entries!$D$2:$D$5000,Entries!$C$2:$C$5000,"Actual",Entries!$A$2:$A$5000,$A90,Entries!$B$2:$B$5000,AB$1))</f>
        <v/>
      </c>
      <c r="AC90" s="88">
        <f>IF(OR(AC$1="",$BE90=0),"",SUMIFS(Entries!$D$2:$D$5000,Entries!$C$2:$C$5000,"Actual",Entries!$A$2:$A$5000,$A90,Entries!$B$2:$B$5000,AC$1))</f>
        <v/>
      </c>
      <c r="AD90" s="88">
        <f>IF(OR(AD$1="",$BE90=0),"",SUMIFS(Entries!$D$2:$D$5000,Entries!$C$2:$C$5000,"Actual",Entries!$A$2:$A$5000,$A90,Entries!$B$2:$B$5000,AD$1))</f>
        <v/>
      </c>
      <c r="AE90" s="88">
        <f>IF(OR(AE$1="",$BE90=0),"",SUMIFS(Entries!$D$2:$D$5000,Entries!$C$2:$C$5000,"Actual",Entries!$A$2:$A$5000,$A90,Entries!$B$2:$B$5000,AE$1))</f>
        <v/>
      </c>
      <c r="AF90" s="88">
        <f>IF(OR(AF$1="",$BE90=0),"",SUMIFS(Entries!$D$2:$D$5000,Entries!$C$2:$C$5000,"Actual",Entries!$A$2:$A$5000,$A90,Entries!$B$2:$B$5000,AF$1))</f>
        <v/>
      </c>
      <c r="AG90" s="88">
        <f>IF(OR(AG$1="",$BE90=0),"",SUMIFS(Entries!$D$2:$D$5000,Entries!$C$2:$C$5000,"Actual",Entries!$A$2:$A$5000,$A90,Entries!$B$2:$B$5000,AG$1))</f>
        <v/>
      </c>
      <c r="AH90" s="88">
        <f>IF(OR(AH$1="",$BE90=0),"",SUMIFS(Entries!$D$2:$D$5000,Entries!$C$2:$C$5000,"Actual",Entries!$A$2:$A$5000,$A90,Entries!$B$2:$B$5000,AH$1))</f>
        <v/>
      </c>
      <c r="AJ90" s="88">
        <f>IF(OR(AJ$1="",$BE90=0),"",IFERROR(LOOKUP(2,1/((Budgets!$A$2:$A$200=AJ$1)*(Budgets!$B$2:$B$200&lt;=$A90)),Budgets!$C$2:$C$200),0))</f>
        <v/>
      </c>
      <c r="AK90" s="88">
        <f>IF(OR(AK$1="",$BE90=0),"",IFERROR(LOOKUP(2,1/((Budgets!$A$2:$A$200=AK$1)*(Budgets!$B$2:$B$200&lt;=$A90)),Budgets!$C$2:$C$200),0))</f>
        <v/>
      </c>
      <c r="AL90" s="88">
        <f>IF(OR(AL$1="",$BE90=0),"",IFERROR(LOOKUP(2,1/((Budgets!$A$2:$A$200=AL$1)*(Budgets!$B$2:$B$200&lt;=$A90)),Budgets!$C$2:$C$200),0))</f>
        <v/>
      </c>
      <c r="AM90" s="88">
        <f>IF(OR(AM$1="",$BE90=0),"",IFERROR(LOOKUP(2,1/((Budgets!$A$2:$A$200=AM$1)*(Budgets!$B$2:$B$200&lt;=$A90)),Budgets!$C$2:$C$200),0))</f>
        <v/>
      </c>
      <c r="AN90" s="88">
        <f>IF(OR(AN$1="",$BE90=0),"",IFERROR(LOOKUP(2,1/((Budgets!$A$2:$A$200=AN$1)*(Budgets!$B$2:$B$200&lt;=$A90)),Budgets!$C$2:$C$200),0))</f>
        <v/>
      </c>
      <c r="AO90" s="88">
        <f>IF(OR(AO$1="",$BE90=0),"",IFERROR(LOOKUP(2,1/((Budgets!$A$2:$A$200=AO$1)*(Budgets!$B$2:$B$200&lt;=$A90)),Budgets!$C$2:$C$200),0))</f>
        <v/>
      </c>
      <c r="AP90" s="88">
        <f>IF(OR(AP$1="",$BE90=0),"",IFERROR(LOOKUP(2,1/((Budgets!$A$2:$A$200=AP$1)*(Budgets!$B$2:$B$200&lt;=$A90)),Budgets!$C$2:$C$200),0))</f>
        <v/>
      </c>
      <c r="AQ90" s="88">
        <f>IF(OR(AQ$1="",$BE90=0),"",IFERROR(LOOKUP(2,1/((Budgets!$A$2:$A$200=AQ$1)*(Budgets!$B$2:$B$200&lt;=$A90)),Budgets!$C$2:$C$200),0))</f>
        <v/>
      </c>
      <c r="AR90" s="88">
        <f>IF(OR(AR$1="",$BE90=0),"",IFERROR(LOOKUP(2,1/((Budgets!$A$2:$A$200=AR$1)*(Budgets!$B$2:$B$200&lt;=$A90)),Budgets!$C$2:$C$200),0))</f>
        <v/>
      </c>
      <c r="AS90" s="88">
        <f>IF(OR(AS$1="",$BE90=0),"",IFERROR(LOOKUP(2,1/((Budgets!$A$2:$A$200=AS$1)*(Budgets!$B$2:$B$200&lt;=$A90)),Budgets!$C$2:$C$200),0))</f>
        <v/>
      </c>
      <c r="AT90" s="88">
        <f>IF(OR(AT$1="",$BE90=0),"",IFERROR(LOOKUP(2,1/((Budgets!$A$2:$A$200=AT$1)*(Budgets!$B$2:$B$200&lt;=$A90)),Budgets!$C$2:$C$200),0))</f>
        <v/>
      </c>
      <c r="AU90" s="88">
        <f>IF(OR(AU$1="",$BE90=0),"",IFERROR(LOOKUP(2,1/((Budgets!$A$2:$A$200=AU$1)*(Budgets!$B$2:$B$200&lt;=$A90)),Budgets!$C$2:$C$200),0))</f>
        <v/>
      </c>
      <c r="AV90" s="88">
        <f>IF(OR(AV$1="",$BE90=0),"",IFERROR(LOOKUP(2,1/((Budgets!$A$2:$A$200=AV$1)*(Budgets!$B$2:$B$200&lt;=$A90)),Budgets!$C$2:$C$200),0))</f>
        <v/>
      </c>
      <c r="AW90" s="88">
        <f>IF(OR(AW$1="",$BE90=0),"",IFERROR(LOOKUP(2,1/((Budgets!$A$2:$A$200=AW$1)*(Budgets!$B$2:$B$200&lt;=$A90)),Budgets!$C$2:$C$200),0))</f>
        <v/>
      </c>
      <c r="AX90" s="88">
        <f>IF(OR(AX$1="",$BE90=0),"",IFERROR(LOOKUP(2,1/((Budgets!$A$2:$A$200=AX$1)*(Budgets!$B$2:$B$200&lt;=$A90)),Budgets!$C$2:$C$200),0))</f>
        <v/>
      </c>
      <c r="AY90" s="88">
        <f>IF(OR(AY$1="",$BE90=0),"",IFERROR(LOOKUP(2,1/((Budgets!$A$2:$A$200=AY$1)*(Budgets!$B$2:$B$200&lt;=$A90)),Budgets!$C$2:$C$200),0))</f>
        <v/>
      </c>
      <c r="AZ90" s="88">
        <f>IF(OR(AZ$1="",$BE90=0),"",IFERROR(LOOKUP(2,1/((Budgets!$A$2:$A$200=AZ$1)*(Budgets!$B$2:$B$200&lt;=$A90)),Budgets!$C$2:$C$200),0))</f>
        <v/>
      </c>
      <c r="BA90" s="88">
        <f>IF(OR(BA$1="",$BE90=0),"",IFERROR(LOOKUP(2,1/((Budgets!$A$2:$A$200=BA$1)*(Budgets!$B$2:$B$200&lt;=$A90)),Budgets!$C$2:$C$200),0))</f>
        <v/>
      </c>
      <c r="BB90" s="88">
        <f>IF(OR(BB$1="",$BE90=0),"",IFERROR(LOOKUP(2,1/((Budgets!$A$2:$A$200=BB$1)*(Budgets!$B$2:$B$200&lt;=$A90)),Budgets!$C$2:$C$200),0))</f>
        <v/>
      </c>
      <c r="BC90" s="88">
        <f>IF(OR(BC$1="",$BE90=0),"",IFERROR(LOOKUP(2,1/((Budgets!$A$2:$A$200=BC$1)*(Budgets!$B$2:$B$200&lt;=$A90)),Budgets!$C$2:$C$200),0))</f>
        <v/>
      </c>
      <c r="BE90" s="67">
        <f>COUNTIFS(Entries!$A$2:$A$5000,$A90)</f>
        <v/>
      </c>
    </row>
    <row r="91" ht="15" customHeight="1" s="43">
      <c r="A91" s="87" t="n">
        <v>42156</v>
      </c>
      <c r="B91" s="88">
        <f>IF($BE91=0,NA(),SUMIFS(Entries!$D$2:$D$5000,Entries!$C$2:$C$5000,"Income",Entries!$A$2:$A$5000,$A91))</f>
        <v/>
      </c>
      <c r="C91" s="88">
        <f>IF($BE91=0,"",SUMIFS(Entries!$D$2:$D$5000,Entries!$C$2:$C$5000,"Actual",Entries!$A$2:$A$5000,$A91))</f>
        <v/>
      </c>
      <c r="D91" s="88">
        <f>IF($BE91=0,"",SUMIFS(Entries!$D$2:$D$5000,Entries!$C$2:$C$5000,"One-off",Entries!$A$2:$A$5000,$A91))</f>
        <v/>
      </c>
      <c r="E91" s="88">
        <f>IF($BE91=0,NA(),C91+D91)</f>
        <v/>
      </c>
      <c r="F91" s="88">
        <f>IF($BE91=0,"",SUM(AJ91:BC91))</f>
        <v/>
      </c>
      <c r="G91" s="88">
        <f>IF($BE91=0,"",B91-E91)</f>
        <v/>
      </c>
      <c r="H91" s="88">
        <f>IF($BE91=0,"",SUM($G$2:G91))</f>
        <v/>
      </c>
      <c r="I91" s="88">
        <f>IF($BE91=0,"",SUMIFS(Entries!$F$2:$F$5000,Entries!$A$2:$A$5000,$A91))</f>
        <v/>
      </c>
      <c r="J91" s="88">
        <f>IF($BE91=0,NA(),H91+SUM($I$2:I91))</f>
        <v/>
      </c>
      <c r="K91" s="88">
        <f>IF($BE91=0,"",SUMIFS(Entries!$D$2:$D$5000,Entries!$C$2:$C$5000,"Income",Entries!$A$2:$A$5000,"&gt;="&amp;EDATE($A91,-11),Entries!$A$2:$A$5000,"&lt;="&amp;$A91)/12)</f>
        <v/>
      </c>
      <c r="L91" s="88">
        <f>IF($BE91=0,"",(SUMIFS(Entries!$D$2:$D$5000,Entries!$C$2:$C$5000,"Actual",Entries!$A$2:$A$5000,"&gt;="&amp;EDATE($A91,-11),Entries!$A$2:$A$5000,"&lt;="&amp;$A91)+SUMIFS(Entries!$D$2:$D$5000,Entries!$C$2:$C$5000,"One-off",Entries!$A$2:$A$5000,"&gt;="&amp;EDATE($A91,-11),Entries!$A$2:$A$5000,"&lt;="&amp;$A91))/12)</f>
        <v/>
      </c>
      <c r="M91" s="70">
        <f>IF($BE91=0,NA(),IFERROR((K91-L91)/K91,0))</f>
        <v/>
      </c>
      <c r="O91" s="88">
        <f>IF(OR(O$1="",$BE91=0),"",SUMIFS(Entries!$D$2:$D$5000,Entries!$C$2:$C$5000,"Actual",Entries!$A$2:$A$5000,$A91,Entries!$B$2:$B$5000,O$1))</f>
        <v/>
      </c>
      <c r="P91" s="88">
        <f>IF(OR(P$1="",$BE91=0),"",SUMIFS(Entries!$D$2:$D$5000,Entries!$C$2:$C$5000,"Actual",Entries!$A$2:$A$5000,$A91,Entries!$B$2:$B$5000,P$1))</f>
        <v/>
      </c>
      <c r="Q91" s="88">
        <f>IF(OR(Q$1="",$BE91=0),"",SUMIFS(Entries!$D$2:$D$5000,Entries!$C$2:$C$5000,"Actual",Entries!$A$2:$A$5000,$A91,Entries!$B$2:$B$5000,Q$1))</f>
        <v/>
      </c>
      <c r="R91" s="88">
        <f>IF(OR(R$1="",$BE91=0),"",SUMIFS(Entries!$D$2:$D$5000,Entries!$C$2:$C$5000,"Actual",Entries!$A$2:$A$5000,$A91,Entries!$B$2:$B$5000,R$1))</f>
        <v/>
      </c>
      <c r="S91" s="88">
        <f>IF(OR(S$1="",$BE91=0),"",SUMIFS(Entries!$D$2:$D$5000,Entries!$C$2:$C$5000,"Actual",Entries!$A$2:$A$5000,$A91,Entries!$B$2:$B$5000,S$1))</f>
        <v/>
      </c>
      <c r="T91" s="88">
        <f>IF(OR(T$1="",$BE91=0),"",SUMIFS(Entries!$D$2:$D$5000,Entries!$C$2:$C$5000,"Actual",Entries!$A$2:$A$5000,$A91,Entries!$B$2:$B$5000,T$1))</f>
        <v/>
      </c>
      <c r="U91" s="88">
        <f>IF(OR(U$1="",$BE91=0),"",SUMIFS(Entries!$D$2:$D$5000,Entries!$C$2:$C$5000,"Actual",Entries!$A$2:$A$5000,$A91,Entries!$B$2:$B$5000,U$1))</f>
        <v/>
      </c>
      <c r="V91" s="88">
        <f>IF(OR(V$1="",$BE91=0),"",SUMIFS(Entries!$D$2:$D$5000,Entries!$C$2:$C$5000,"Actual",Entries!$A$2:$A$5000,$A91,Entries!$B$2:$B$5000,V$1))</f>
        <v/>
      </c>
      <c r="W91" s="88">
        <f>IF(OR(W$1="",$BE91=0),"",SUMIFS(Entries!$D$2:$D$5000,Entries!$C$2:$C$5000,"Actual",Entries!$A$2:$A$5000,$A91,Entries!$B$2:$B$5000,W$1))</f>
        <v/>
      </c>
      <c r="X91" s="88">
        <f>IF(OR(X$1="",$BE91=0),"",SUMIFS(Entries!$D$2:$D$5000,Entries!$C$2:$C$5000,"Actual",Entries!$A$2:$A$5000,$A91,Entries!$B$2:$B$5000,X$1))</f>
        <v/>
      </c>
      <c r="Y91" s="88">
        <f>IF(OR(Y$1="",$BE91=0),"",SUMIFS(Entries!$D$2:$D$5000,Entries!$C$2:$C$5000,"Actual",Entries!$A$2:$A$5000,$A91,Entries!$B$2:$B$5000,Y$1))</f>
        <v/>
      </c>
      <c r="Z91" s="88">
        <f>IF(OR(Z$1="",$BE91=0),"",SUMIFS(Entries!$D$2:$D$5000,Entries!$C$2:$C$5000,"Actual",Entries!$A$2:$A$5000,$A91,Entries!$B$2:$B$5000,Z$1))</f>
        <v/>
      </c>
      <c r="AA91" s="88">
        <f>IF(OR(AA$1="",$BE91=0),"",SUMIFS(Entries!$D$2:$D$5000,Entries!$C$2:$C$5000,"Actual",Entries!$A$2:$A$5000,$A91,Entries!$B$2:$B$5000,AA$1))</f>
        <v/>
      </c>
      <c r="AB91" s="88">
        <f>IF(OR(AB$1="",$BE91=0),"",SUMIFS(Entries!$D$2:$D$5000,Entries!$C$2:$C$5000,"Actual",Entries!$A$2:$A$5000,$A91,Entries!$B$2:$B$5000,AB$1))</f>
        <v/>
      </c>
      <c r="AC91" s="88">
        <f>IF(OR(AC$1="",$BE91=0),"",SUMIFS(Entries!$D$2:$D$5000,Entries!$C$2:$C$5000,"Actual",Entries!$A$2:$A$5000,$A91,Entries!$B$2:$B$5000,AC$1))</f>
        <v/>
      </c>
      <c r="AD91" s="88">
        <f>IF(OR(AD$1="",$BE91=0),"",SUMIFS(Entries!$D$2:$D$5000,Entries!$C$2:$C$5000,"Actual",Entries!$A$2:$A$5000,$A91,Entries!$B$2:$B$5000,AD$1))</f>
        <v/>
      </c>
      <c r="AE91" s="88">
        <f>IF(OR(AE$1="",$BE91=0),"",SUMIFS(Entries!$D$2:$D$5000,Entries!$C$2:$C$5000,"Actual",Entries!$A$2:$A$5000,$A91,Entries!$B$2:$B$5000,AE$1))</f>
        <v/>
      </c>
      <c r="AF91" s="88">
        <f>IF(OR(AF$1="",$BE91=0),"",SUMIFS(Entries!$D$2:$D$5000,Entries!$C$2:$C$5000,"Actual",Entries!$A$2:$A$5000,$A91,Entries!$B$2:$B$5000,AF$1))</f>
        <v/>
      </c>
      <c r="AG91" s="88">
        <f>IF(OR(AG$1="",$BE91=0),"",SUMIFS(Entries!$D$2:$D$5000,Entries!$C$2:$C$5000,"Actual",Entries!$A$2:$A$5000,$A91,Entries!$B$2:$B$5000,AG$1))</f>
        <v/>
      </c>
      <c r="AH91" s="88">
        <f>IF(OR(AH$1="",$BE91=0),"",SUMIFS(Entries!$D$2:$D$5000,Entries!$C$2:$C$5000,"Actual",Entries!$A$2:$A$5000,$A91,Entries!$B$2:$B$5000,AH$1))</f>
        <v/>
      </c>
      <c r="AJ91" s="88">
        <f>IF(OR(AJ$1="",$BE91=0),"",IFERROR(LOOKUP(2,1/((Budgets!$A$2:$A$200=AJ$1)*(Budgets!$B$2:$B$200&lt;=$A91)),Budgets!$C$2:$C$200),0))</f>
        <v/>
      </c>
      <c r="AK91" s="88">
        <f>IF(OR(AK$1="",$BE91=0),"",IFERROR(LOOKUP(2,1/((Budgets!$A$2:$A$200=AK$1)*(Budgets!$B$2:$B$200&lt;=$A91)),Budgets!$C$2:$C$200),0))</f>
        <v/>
      </c>
      <c r="AL91" s="88">
        <f>IF(OR(AL$1="",$BE91=0),"",IFERROR(LOOKUP(2,1/((Budgets!$A$2:$A$200=AL$1)*(Budgets!$B$2:$B$200&lt;=$A91)),Budgets!$C$2:$C$200),0))</f>
        <v/>
      </c>
      <c r="AM91" s="88">
        <f>IF(OR(AM$1="",$BE91=0),"",IFERROR(LOOKUP(2,1/((Budgets!$A$2:$A$200=AM$1)*(Budgets!$B$2:$B$200&lt;=$A91)),Budgets!$C$2:$C$200),0))</f>
        <v/>
      </c>
      <c r="AN91" s="88">
        <f>IF(OR(AN$1="",$BE91=0),"",IFERROR(LOOKUP(2,1/((Budgets!$A$2:$A$200=AN$1)*(Budgets!$B$2:$B$200&lt;=$A91)),Budgets!$C$2:$C$200),0))</f>
        <v/>
      </c>
      <c r="AO91" s="88">
        <f>IF(OR(AO$1="",$BE91=0),"",IFERROR(LOOKUP(2,1/((Budgets!$A$2:$A$200=AO$1)*(Budgets!$B$2:$B$200&lt;=$A91)),Budgets!$C$2:$C$200),0))</f>
        <v/>
      </c>
      <c r="AP91" s="88">
        <f>IF(OR(AP$1="",$BE91=0),"",IFERROR(LOOKUP(2,1/((Budgets!$A$2:$A$200=AP$1)*(Budgets!$B$2:$B$200&lt;=$A91)),Budgets!$C$2:$C$200),0))</f>
        <v/>
      </c>
      <c r="AQ91" s="88">
        <f>IF(OR(AQ$1="",$BE91=0),"",IFERROR(LOOKUP(2,1/((Budgets!$A$2:$A$200=AQ$1)*(Budgets!$B$2:$B$200&lt;=$A91)),Budgets!$C$2:$C$200),0))</f>
        <v/>
      </c>
      <c r="AR91" s="88">
        <f>IF(OR(AR$1="",$BE91=0),"",IFERROR(LOOKUP(2,1/((Budgets!$A$2:$A$200=AR$1)*(Budgets!$B$2:$B$200&lt;=$A91)),Budgets!$C$2:$C$200),0))</f>
        <v/>
      </c>
      <c r="AS91" s="88">
        <f>IF(OR(AS$1="",$BE91=0),"",IFERROR(LOOKUP(2,1/((Budgets!$A$2:$A$200=AS$1)*(Budgets!$B$2:$B$200&lt;=$A91)),Budgets!$C$2:$C$200),0))</f>
        <v/>
      </c>
      <c r="AT91" s="88">
        <f>IF(OR(AT$1="",$BE91=0),"",IFERROR(LOOKUP(2,1/((Budgets!$A$2:$A$200=AT$1)*(Budgets!$B$2:$B$200&lt;=$A91)),Budgets!$C$2:$C$200),0))</f>
        <v/>
      </c>
      <c r="AU91" s="88">
        <f>IF(OR(AU$1="",$BE91=0),"",IFERROR(LOOKUP(2,1/((Budgets!$A$2:$A$200=AU$1)*(Budgets!$B$2:$B$200&lt;=$A91)),Budgets!$C$2:$C$200),0))</f>
        <v/>
      </c>
      <c r="AV91" s="88">
        <f>IF(OR(AV$1="",$BE91=0),"",IFERROR(LOOKUP(2,1/((Budgets!$A$2:$A$200=AV$1)*(Budgets!$B$2:$B$200&lt;=$A91)),Budgets!$C$2:$C$200),0))</f>
        <v/>
      </c>
      <c r="AW91" s="88">
        <f>IF(OR(AW$1="",$BE91=0),"",IFERROR(LOOKUP(2,1/((Budgets!$A$2:$A$200=AW$1)*(Budgets!$B$2:$B$200&lt;=$A91)),Budgets!$C$2:$C$200),0))</f>
        <v/>
      </c>
      <c r="AX91" s="88">
        <f>IF(OR(AX$1="",$BE91=0),"",IFERROR(LOOKUP(2,1/((Budgets!$A$2:$A$200=AX$1)*(Budgets!$B$2:$B$200&lt;=$A91)),Budgets!$C$2:$C$200),0))</f>
        <v/>
      </c>
      <c r="AY91" s="88">
        <f>IF(OR(AY$1="",$BE91=0),"",IFERROR(LOOKUP(2,1/((Budgets!$A$2:$A$200=AY$1)*(Budgets!$B$2:$B$200&lt;=$A91)),Budgets!$C$2:$C$200),0))</f>
        <v/>
      </c>
      <c r="AZ91" s="88">
        <f>IF(OR(AZ$1="",$BE91=0),"",IFERROR(LOOKUP(2,1/((Budgets!$A$2:$A$200=AZ$1)*(Budgets!$B$2:$B$200&lt;=$A91)),Budgets!$C$2:$C$200),0))</f>
        <v/>
      </c>
      <c r="BA91" s="88">
        <f>IF(OR(BA$1="",$BE91=0),"",IFERROR(LOOKUP(2,1/((Budgets!$A$2:$A$200=BA$1)*(Budgets!$B$2:$B$200&lt;=$A91)),Budgets!$C$2:$C$200),0))</f>
        <v/>
      </c>
      <c r="BB91" s="88">
        <f>IF(OR(BB$1="",$BE91=0),"",IFERROR(LOOKUP(2,1/((Budgets!$A$2:$A$200=BB$1)*(Budgets!$B$2:$B$200&lt;=$A91)),Budgets!$C$2:$C$200),0))</f>
        <v/>
      </c>
      <c r="BC91" s="88">
        <f>IF(OR(BC$1="",$BE91=0),"",IFERROR(LOOKUP(2,1/((Budgets!$A$2:$A$200=BC$1)*(Budgets!$B$2:$B$200&lt;=$A91)),Budgets!$C$2:$C$200),0))</f>
        <v/>
      </c>
      <c r="BE91" s="67">
        <f>COUNTIFS(Entries!$A$2:$A$5000,$A91)</f>
        <v/>
      </c>
    </row>
    <row r="92" ht="15" customHeight="1" s="43">
      <c r="A92" s="87" t="n">
        <v>42186</v>
      </c>
      <c r="B92" s="88">
        <f>IF($BE92=0,NA(),SUMIFS(Entries!$D$2:$D$5000,Entries!$C$2:$C$5000,"Income",Entries!$A$2:$A$5000,$A92))</f>
        <v/>
      </c>
      <c r="C92" s="88">
        <f>IF($BE92=0,"",SUMIFS(Entries!$D$2:$D$5000,Entries!$C$2:$C$5000,"Actual",Entries!$A$2:$A$5000,$A92))</f>
        <v/>
      </c>
      <c r="D92" s="88">
        <f>IF($BE92=0,"",SUMIFS(Entries!$D$2:$D$5000,Entries!$C$2:$C$5000,"One-off",Entries!$A$2:$A$5000,$A92))</f>
        <v/>
      </c>
      <c r="E92" s="88">
        <f>IF($BE92=0,NA(),C92+D92)</f>
        <v/>
      </c>
      <c r="F92" s="88">
        <f>IF($BE92=0,"",SUM(AJ92:BC92))</f>
        <v/>
      </c>
      <c r="G92" s="88">
        <f>IF($BE92=0,"",B92-E92)</f>
        <v/>
      </c>
      <c r="H92" s="88">
        <f>IF($BE92=0,"",SUM($G$2:G92))</f>
        <v/>
      </c>
      <c r="I92" s="88">
        <f>IF($BE92=0,"",SUMIFS(Entries!$F$2:$F$5000,Entries!$A$2:$A$5000,$A92))</f>
        <v/>
      </c>
      <c r="J92" s="88">
        <f>IF($BE92=0,NA(),H92+SUM($I$2:I92))</f>
        <v/>
      </c>
      <c r="K92" s="88">
        <f>IF($BE92=0,"",SUMIFS(Entries!$D$2:$D$5000,Entries!$C$2:$C$5000,"Income",Entries!$A$2:$A$5000,"&gt;="&amp;EDATE($A92,-11),Entries!$A$2:$A$5000,"&lt;="&amp;$A92)/12)</f>
        <v/>
      </c>
      <c r="L92" s="88">
        <f>IF($BE92=0,"",(SUMIFS(Entries!$D$2:$D$5000,Entries!$C$2:$C$5000,"Actual",Entries!$A$2:$A$5000,"&gt;="&amp;EDATE($A92,-11),Entries!$A$2:$A$5000,"&lt;="&amp;$A92)+SUMIFS(Entries!$D$2:$D$5000,Entries!$C$2:$C$5000,"One-off",Entries!$A$2:$A$5000,"&gt;="&amp;EDATE($A92,-11),Entries!$A$2:$A$5000,"&lt;="&amp;$A92))/12)</f>
        <v/>
      </c>
      <c r="M92" s="70">
        <f>IF($BE92=0,NA(),IFERROR((K92-L92)/K92,0))</f>
        <v/>
      </c>
      <c r="O92" s="88">
        <f>IF(OR(O$1="",$BE92=0),"",SUMIFS(Entries!$D$2:$D$5000,Entries!$C$2:$C$5000,"Actual",Entries!$A$2:$A$5000,$A92,Entries!$B$2:$B$5000,O$1))</f>
        <v/>
      </c>
      <c r="P92" s="88">
        <f>IF(OR(P$1="",$BE92=0),"",SUMIFS(Entries!$D$2:$D$5000,Entries!$C$2:$C$5000,"Actual",Entries!$A$2:$A$5000,$A92,Entries!$B$2:$B$5000,P$1))</f>
        <v/>
      </c>
      <c r="Q92" s="88">
        <f>IF(OR(Q$1="",$BE92=0),"",SUMIFS(Entries!$D$2:$D$5000,Entries!$C$2:$C$5000,"Actual",Entries!$A$2:$A$5000,$A92,Entries!$B$2:$B$5000,Q$1))</f>
        <v/>
      </c>
      <c r="R92" s="88">
        <f>IF(OR(R$1="",$BE92=0),"",SUMIFS(Entries!$D$2:$D$5000,Entries!$C$2:$C$5000,"Actual",Entries!$A$2:$A$5000,$A92,Entries!$B$2:$B$5000,R$1))</f>
        <v/>
      </c>
      <c r="S92" s="88">
        <f>IF(OR(S$1="",$BE92=0),"",SUMIFS(Entries!$D$2:$D$5000,Entries!$C$2:$C$5000,"Actual",Entries!$A$2:$A$5000,$A92,Entries!$B$2:$B$5000,S$1))</f>
        <v/>
      </c>
      <c r="T92" s="88">
        <f>IF(OR(T$1="",$BE92=0),"",SUMIFS(Entries!$D$2:$D$5000,Entries!$C$2:$C$5000,"Actual",Entries!$A$2:$A$5000,$A92,Entries!$B$2:$B$5000,T$1))</f>
        <v/>
      </c>
      <c r="U92" s="88">
        <f>IF(OR(U$1="",$BE92=0),"",SUMIFS(Entries!$D$2:$D$5000,Entries!$C$2:$C$5000,"Actual",Entries!$A$2:$A$5000,$A92,Entries!$B$2:$B$5000,U$1))</f>
        <v/>
      </c>
      <c r="V92" s="88">
        <f>IF(OR(V$1="",$BE92=0),"",SUMIFS(Entries!$D$2:$D$5000,Entries!$C$2:$C$5000,"Actual",Entries!$A$2:$A$5000,$A92,Entries!$B$2:$B$5000,V$1))</f>
        <v/>
      </c>
      <c r="W92" s="88">
        <f>IF(OR(W$1="",$BE92=0),"",SUMIFS(Entries!$D$2:$D$5000,Entries!$C$2:$C$5000,"Actual",Entries!$A$2:$A$5000,$A92,Entries!$B$2:$B$5000,W$1))</f>
        <v/>
      </c>
      <c r="X92" s="88">
        <f>IF(OR(X$1="",$BE92=0),"",SUMIFS(Entries!$D$2:$D$5000,Entries!$C$2:$C$5000,"Actual",Entries!$A$2:$A$5000,$A92,Entries!$B$2:$B$5000,X$1))</f>
        <v/>
      </c>
      <c r="Y92" s="88">
        <f>IF(OR(Y$1="",$BE92=0),"",SUMIFS(Entries!$D$2:$D$5000,Entries!$C$2:$C$5000,"Actual",Entries!$A$2:$A$5000,$A92,Entries!$B$2:$B$5000,Y$1))</f>
        <v/>
      </c>
      <c r="Z92" s="88">
        <f>IF(OR(Z$1="",$BE92=0),"",SUMIFS(Entries!$D$2:$D$5000,Entries!$C$2:$C$5000,"Actual",Entries!$A$2:$A$5000,$A92,Entries!$B$2:$B$5000,Z$1))</f>
        <v/>
      </c>
      <c r="AA92" s="88">
        <f>IF(OR(AA$1="",$BE92=0),"",SUMIFS(Entries!$D$2:$D$5000,Entries!$C$2:$C$5000,"Actual",Entries!$A$2:$A$5000,$A92,Entries!$B$2:$B$5000,AA$1))</f>
        <v/>
      </c>
      <c r="AB92" s="88">
        <f>IF(OR(AB$1="",$BE92=0),"",SUMIFS(Entries!$D$2:$D$5000,Entries!$C$2:$C$5000,"Actual",Entries!$A$2:$A$5000,$A92,Entries!$B$2:$B$5000,AB$1))</f>
        <v/>
      </c>
      <c r="AC92" s="88">
        <f>IF(OR(AC$1="",$BE92=0),"",SUMIFS(Entries!$D$2:$D$5000,Entries!$C$2:$C$5000,"Actual",Entries!$A$2:$A$5000,$A92,Entries!$B$2:$B$5000,AC$1))</f>
        <v/>
      </c>
      <c r="AD92" s="88">
        <f>IF(OR(AD$1="",$BE92=0),"",SUMIFS(Entries!$D$2:$D$5000,Entries!$C$2:$C$5000,"Actual",Entries!$A$2:$A$5000,$A92,Entries!$B$2:$B$5000,AD$1))</f>
        <v/>
      </c>
      <c r="AE92" s="88">
        <f>IF(OR(AE$1="",$BE92=0),"",SUMIFS(Entries!$D$2:$D$5000,Entries!$C$2:$C$5000,"Actual",Entries!$A$2:$A$5000,$A92,Entries!$B$2:$B$5000,AE$1))</f>
        <v/>
      </c>
      <c r="AF92" s="88">
        <f>IF(OR(AF$1="",$BE92=0),"",SUMIFS(Entries!$D$2:$D$5000,Entries!$C$2:$C$5000,"Actual",Entries!$A$2:$A$5000,$A92,Entries!$B$2:$B$5000,AF$1))</f>
        <v/>
      </c>
      <c r="AG92" s="88">
        <f>IF(OR(AG$1="",$BE92=0),"",SUMIFS(Entries!$D$2:$D$5000,Entries!$C$2:$C$5000,"Actual",Entries!$A$2:$A$5000,$A92,Entries!$B$2:$B$5000,AG$1))</f>
        <v/>
      </c>
      <c r="AH92" s="88">
        <f>IF(OR(AH$1="",$BE92=0),"",SUMIFS(Entries!$D$2:$D$5000,Entries!$C$2:$C$5000,"Actual",Entries!$A$2:$A$5000,$A92,Entries!$B$2:$B$5000,AH$1))</f>
        <v/>
      </c>
      <c r="AJ92" s="88">
        <f>IF(OR(AJ$1="",$BE92=0),"",IFERROR(LOOKUP(2,1/((Budgets!$A$2:$A$200=AJ$1)*(Budgets!$B$2:$B$200&lt;=$A92)),Budgets!$C$2:$C$200),0))</f>
        <v/>
      </c>
      <c r="AK92" s="88">
        <f>IF(OR(AK$1="",$BE92=0),"",IFERROR(LOOKUP(2,1/((Budgets!$A$2:$A$200=AK$1)*(Budgets!$B$2:$B$200&lt;=$A92)),Budgets!$C$2:$C$200),0))</f>
        <v/>
      </c>
      <c r="AL92" s="88">
        <f>IF(OR(AL$1="",$BE92=0),"",IFERROR(LOOKUP(2,1/((Budgets!$A$2:$A$200=AL$1)*(Budgets!$B$2:$B$200&lt;=$A92)),Budgets!$C$2:$C$200),0))</f>
        <v/>
      </c>
      <c r="AM92" s="88">
        <f>IF(OR(AM$1="",$BE92=0),"",IFERROR(LOOKUP(2,1/((Budgets!$A$2:$A$200=AM$1)*(Budgets!$B$2:$B$200&lt;=$A92)),Budgets!$C$2:$C$200),0))</f>
        <v/>
      </c>
      <c r="AN92" s="88">
        <f>IF(OR(AN$1="",$BE92=0),"",IFERROR(LOOKUP(2,1/((Budgets!$A$2:$A$200=AN$1)*(Budgets!$B$2:$B$200&lt;=$A92)),Budgets!$C$2:$C$200),0))</f>
        <v/>
      </c>
      <c r="AO92" s="88">
        <f>IF(OR(AO$1="",$BE92=0),"",IFERROR(LOOKUP(2,1/((Budgets!$A$2:$A$200=AO$1)*(Budgets!$B$2:$B$200&lt;=$A92)),Budgets!$C$2:$C$200),0))</f>
        <v/>
      </c>
      <c r="AP92" s="88">
        <f>IF(OR(AP$1="",$BE92=0),"",IFERROR(LOOKUP(2,1/((Budgets!$A$2:$A$200=AP$1)*(Budgets!$B$2:$B$200&lt;=$A92)),Budgets!$C$2:$C$200),0))</f>
        <v/>
      </c>
      <c r="AQ92" s="88">
        <f>IF(OR(AQ$1="",$BE92=0),"",IFERROR(LOOKUP(2,1/((Budgets!$A$2:$A$200=AQ$1)*(Budgets!$B$2:$B$200&lt;=$A92)),Budgets!$C$2:$C$200),0))</f>
        <v/>
      </c>
      <c r="AR92" s="88">
        <f>IF(OR(AR$1="",$BE92=0),"",IFERROR(LOOKUP(2,1/((Budgets!$A$2:$A$200=AR$1)*(Budgets!$B$2:$B$200&lt;=$A92)),Budgets!$C$2:$C$200),0))</f>
        <v/>
      </c>
      <c r="AS92" s="88">
        <f>IF(OR(AS$1="",$BE92=0),"",IFERROR(LOOKUP(2,1/((Budgets!$A$2:$A$200=AS$1)*(Budgets!$B$2:$B$200&lt;=$A92)),Budgets!$C$2:$C$200),0))</f>
        <v/>
      </c>
      <c r="AT92" s="88">
        <f>IF(OR(AT$1="",$BE92=0),"",IFERROR(LOOKUP(2,1/((Budgets!$A$2:$A$200=AT$1)*(Budgets!$B$2:$B$200&lt;=$A92)),Budgets!$C$2:$C$200),0))</f>
        <v/>
      </c>
      <c r="AU92" s="88">
        <f>IF(OR(AU$1="",$BE92=0),"",IFERROR(LOOKUP(2,1/((Budgets!$A$2:$A$200=AU$1)*(Budgets!$B$2:$B$200&lt;=$A92)),Budgets!$C$2:$C$200),0))</f>
        <v/>
      </c>
      <c r="AV92" s="88">
        <f>IF(OR(AV$1="",$BE92=0),"",IFERROR(LOOKUP(2,1/((Budgets!$A$2:$A$200=AV$1)*(Budgets!$B$2:$B$200&lt;=$A92)),Budgets!$C$2:$C$200),0))</f>
        <v/>
      </c>
      <c r="AW92" s="88">
        <f>IF(OR(AW$1="",$BE92=0),"",IFERROR(LOOKUP(2,1/((Budgets!$A$2:$A$200=AW$1)*(Budgets!$B$2:$B$200&lt;=$A92)),Budgets!$C$2:$C$200),0))</f>
        <v/>
      </c>
      <c r="AX92" s="88">
        <f>IF(OR(AX$1="",$BE92=0),"",IFERROR(LOOKUP(2,1/((Budgets!$A$2:$A$200=AX$1)*(Budgets!$B$2:$B$200&lt;=$A92)),Budgets!$C$2:$C$200),0))</f>
        <v/>
      </c>
      <c r="AY92" s="88">
        <f>IF(OR(AY$1="",$BE92=0),"",IFERROR(LOOKUP(2,1/((Budgets!$A$2:$A$200=AY$1)*(Budgets!$B$2:$B$200&lt;=$A92)),Budgets!$C$2:$C$200),0))</f>
        <v/>
      </c>
      <c r="AZ92" s="88">
        <f>IF(OR(AZ$1="",$BE92=0),"",IFERROR(LOOKUP(2,1/((Budgets!$A$2:$A$200=AZ$1)*(Budgets!$B$2:$B$200&lt;=$A92)),Budgets!$C$2:$C$200),0))</f>
        <v/>
      </c>
      <c r="BA92" s="88">
        <f>IF(OR(BA$1="",$BE92=0),"",IFERROR(LOOKUP(2,1/((Budgets!$A$2:$A$200=BA$1)*(Budgets!$B$2:$B$200&lt;=$A92)),Budgets!$C$2:$C$200),0))</f>
        <v/>
      </c>
      <c r="BB92" s="88">
        <f>IF(OR(BB$1="",$BE92=0),"",IFERROR(LOOKUP(2,1/((Budgets!$A$2:$A$200=BB$1)*(Budgets!$B$2:$B$200&lt;=$A92)),Budgets!$C$2:$C$200),0))</f>
        <v/>
      </c>
      <c r="BC92" s="88">
        <f>IF(OR(BC$1="",$BE92=0),"",IFERROR(LOOKUP(2,1/((Budgets!$A$2:$A$200=BC$1)*(Budgets!$B$2:$B$200&lt;=$A92)),Budgets!$C$2:$C$200),0))</f>
        <v/>
      </c>
      <c r="BE92" s="67">
        <f>COUNTIFS(Entries!$A$2:$A$5000,$A92)</f>
        <v/>
      </c>
    </row>
    <row r="93" ht="15" customHeight="1" s="43">
      <c r="A93" s="87" t="n">
        <v>42217</v>
      </c>
      <c r="B93" s="88">
        <f>IF($BE93=0,NA(),SUMIFS(Entries!$D$2:$D$5000,Entries!$C$2:$C$5000,"Income",Entries!$A$2:$A$5000,$A93))</f>
        <v/>
      </c>
      <c r="C93" s="88">
        <f>IF($BE93=0,"",SUMIFS(Entries!$D$2:$D$5000,Entries!$C$2:$C$5000,"Actual",Entries!$A$2:$A$5000,$A93))</f>
        <v/>
      </c>
      <c r="D93" s="88">
        <f>IF($BE93=0,"",SUMIFS(Entries!$D$2:$D$5000,Entries!$C$2:$C$5000,"One-off",Entries!$A$2:$A$5000,$A93))</f>
        <v/>
      </c>
      <c r="E93" s="88">
        <f>IF($BE93=0,NA(),C93+D93)</f>
        <v/>
      </c>
      <c r="F93" s="88">
        <f>IF($BE93=0,"",SUM(AJ93:BC93))</f>
        <v/>
      </c>
      <c r="G93" s="88">
        <f>IF($BE93=0,"",B93-E93)</f>
        <v/>
      </c>
      <c r="H93" s="88">
        <f>IF($BE93=0,"",SUM($G$2:G93))</f>
        <v/>
      </c>
      <c r="I93" s="88">
        <f>IF($BE93=0,"",SUMIFS(Entries!$F$2:$F$5000,Entries!$A$2:$A$5000,$A93))</f>
        <v/>
      </c>
      <c r="J93" s="88">
        <f>IF($BE93=0,NA(),H93+SUM($I$2:I93))</f>
        <v/>
      </c>
      <c r="K93" s="88">
        <f>IF($BE93=0,"",SUMIFS(Entries!$D$2:$D$5000,Entries!$C$2:$C$5000,"Income",Entries!$A$2:$A$5000,"&gt;="&amp;EDATE($A93,-11),Entries!$A$2:$A$5000,"&lt;="&amp;$A93)/12)</f>
        <v/>
      </c>
      <c r="L93" s="88">
        <f>IF($BE93=0,"",(SUMIFS(Entries!$D$2:$D$5000,Entries!$C$2:$C$5000,"Actual",Entries!$A$2:$A$5000,"&gt;="&amp;EDATE($A93,-11),Entries!$A$2:$A$5000,"&lt;="&amp;$A93)+SUMIFS(Entries!$D$2:$D$5000,Entries!$C$2:$C$5000,"One-off",Entries!$A$2:$A$5000,"&gt;="&amp;EDATE($A93,-11),Entries!$A$2:$A$5000,"&lt;="&amp;$A93))/12)</f>
        <v/>
      </c>
      <c r="M93" s="70">
        <f>IF($BE93=0,NA(),IFERROR((K93-L93)/K93,0))</f>
        <v/>
      </c>
      <c r="O93" s="88">
        <f>IF(OR(O$1="",$BE93=0),"",SUMIFS(Entries!$D$2:$D$5000,Entries!$C$2:$C$5000,"Actual",Entries!$A$2:$A$5000,$A93,Entries!$B$2:$B$5000,O$1))</f>
        <v/>
      </c>
      <c r="P93" s="88">
        <f>IF(OR(P$1="",$BE93=0),"",SUMIFS(Entries!$D$2:$D$5000,Entries!$C$2:$C$5000,"Actual",Entries!$A$2:$A$5000,$A93,Entries!$B$2:$B$5000,P$1))</f>
        <v/>
      </c>
      <c r="Q93" s="88">
        <f>IF(OR(Q$1="",$BE93=0),"",SUMIFS(Entries!$D$2:$D$5000,Entries!$C$2:$C$5000,"Actual",Entries!$A$2:$A$5000,$A93,Entries!$B$2:$B$5000,Q$1))</f>
        <v/>
      </c>
      <c r="R93" s="88">
        <f>IF(OR(R$1="",$BE93=0),"",SUMIFS(Entries!$D$2:$D$5000,Entries!$C$2:$C$5000,"Actual",Entries!$A$2:$A$5000,$A93,Entries!$B$2:$B$5000,R$1))</f>
        <v/>
      </c>
      <c r="S93" s="88">
        <f>IF(OR(S$1="",$BE93=0),"",SUMIFS(Entries!$D$2:$D$5000,Entries!$C$2:$C$5000,"Actual",Entries!$A$2:$A$5000,$A93,Entries!$B$2:$B$5000,S$1))</f>
        <v/>
      </c>
      <c r="T93" s="88">
        <f>IF(OR(T$1="",$BE93=0),"",SUMIFS(Entries!$D$2:$D$5000,Entries!$C$2:$C$5000,"Actual",Entries!$A$2:$A$5000,$A93,Entries!$B$2:$B$5000,T$1))</f>
        <v/>
      </c>
      <c r="U93" s="88">
        <f>IF(OR(U$1="",$BE93=0),"",SUMIFS(Entries!$D$2:$D$5000,Entries!$C$2:$C$5000,"Actual",Entries!$A$2:$A$5000,$A93,Entries!$B$2:$B$5000,U$1))</f>
        <v/>
      </c>
      <c r="V93" s="88">
        <f>IF(OR(V$1="",$BE93=0),"",SUMIFS(Entries!$D$2:$D$5000,Entries!$C$2:$C$5000,"Actual",Entries!$A$2:$A$5000,$A93,Entries!$B$2:$B$5000,V$1))</f>
        <v/>
      </c>
      <c r="W93" s="88">
        <f>IF(OR(W$1="",$BE93=0),"",SUMIFS(Entries!$D$2:$D$5000,Entries!$C$2:$C$5000,"Actual",Entries!$A$2:$A$5000,$A93,Entries!$B$2:$B$5000,W$1))</f>
        <v/>
      </c>
      <c r="X93" s="88">
        <f>IF(OR(X$1="",$BE93=0),"",SUMIFS(Entries!$D$2:$D$5000,Entries!$C$2:$C$5000,"Actual",Entries!$A$2:$A$5000,$A93,Entries!$B$2:$B$5000,X$1))</f>
        <v/>
      </c>
      <c r="Y93" s="88">
        <f>IF(OR(Y$1="",$BE93=0),"",SUMIFS(Entries!$D$2:$D$5000,Entries!$C$2:$C$5000,"Actual",Entries!$A$2:$A$5000,$A93,Entries!$B$2:$B$5000,Y$1))</f>
        <v/>
      </c>
      <c r="Z93" s="88">
        <f>IF(OR(Z$1="",$BE93=0),"",SUMIFS(Entries!$D$2:$D$5000,Entries!$C$2:$C$5000,"Actual",Entries!$A$2:$A$5000,$A93,Entries!$B$2:$B$5000,Z$1))</f>
        <v/>
      </c>
      <c r="AA93" s="88">
        <f>IF(OR(AA$1="",$BE93=0),"",SUMIFS(Entries!$D$2:$D$5000,Entries!$C$2:$C$5000,"Actual",Entries!$A$2:$A$5000,$A93,Entries!$B$2:$B$5000,AA$1))</f>
        <v/>
      </c>
      <c r="AB93" s="88">
        <f>IF(OR(AB$1="",$BE93=0),"",SUMIFS(Entries!$D$2:$D$5000,Entries!$C$2:$C$5000,"Actual",Entries!$A$2:$A$5000,$A93,Entries!$B$2:$B$5000,AB$1))</f>
        <v/>
      </c>
      <c r="AC93" s="88">
        <f>IF(OR(AC$1="",$BE93=0),"",SUMIFS(Entries!$D$2:$D$5000,Entries!$C$2:$C$5000,"Actual",Entries!$A$2:$A$5000,$A93,Entries!$B$2:$B$5000,AC$1))</f>
        <v/>
      </c>
      <c r="AD93" s="88">
        <f>IF(OR(AD$1="",$BE93=0),"",SUMIFS(Entries!$D$2:$D$5000,Entries!$C$2:$C$5000,"Actual",Entries!$A$2:$A$5000,$A93,Entries!$B$2:$B$5000,AD$1))</f>
        <v/>
      </c>
      <c r="AE93" s="88">
        <f>IF(OR(AE$1="",$BE93=0),"",SUMIFS(Entries!$D$2:$D$5000,Entries!$C$2:$C$5000,"Actual",Entries!$A$2:$A$5000,$A93,Entries!$B$2:$B$5000,AE$1))</f>
        <v/>
      </c>
      <c r="AF93" s="88">
        <f>IF(OR(AF$1="",$BE93=0),"",SUMIFS(Entries!$D$2:$D$5000,Entries!$C$2:$C$5000,"Actual",Entries!$A$2:$A$5000,$A93,Entries!$B$2:$B$5000,AF$1))</f>
        <v/>
      </c>
      <c r="AG93" s="88">
        <f>IF(OR(AG$1="",$BE93=0),"",SUMIFS(Entries!$D$2:$D$5000,Entries!$C$2:$C$5000,"Actual",Entries!$A$2:$A$5000,$A93,Entries!$B$2:$B$5000,AG$1))</f>
        <v/>
      </c>
      <c r="AH93" s="88">
        <f>IF(OR(AH$1="",$BE93=0),"",SUMIFS(Entries!$D$2:$D$5000,Entries!$C$2:$C$5000,"Actual",Entries!$A$2:$A$5000,$A93,Entries!$B$2:$B$5000,AH$1))</f>
        <v/>
      </c>
      <c r="AJ93" s="88">
        <f>IF(OR(AJ$1="",$BE93=0),"",IFERROR(LOOKUP(2,1/((Budgets!$A$2:$A$200=AJ$1)*(Budgets!$B$2:$B$200&lt;=$A93)),Budgets!$C$2:$C$200),0))</f>
        <v/>
      </c>
      <c r="AK93" s="88">
        <f>IF(OR(AK$1="",$BE93=0),"",IFERROR(LOOKUP(2,1/((Budgets!$A$2:$A$200=AK$1)*(Budgets!$B$2:$B$200&lt;=$A93)),Budgets!$C$2:$C$200),0))</f>
        <v/>
      </c>
      <c r="AL93" s="88">
        <f>IF(OR(AL$1="",$BE93=0),"",IFERROR(LOOKUP(2,1/((Budgets!$A$2:$A$200=AL$1)*(Budgets!$B$2:$B$200&lt;=$A93)),Budgets!$C$2:$C$200),0))</f>
        <v/>
      </c>
      <c r="AM93" s="88">
        <f>IF(OR(AM$1="",$BE93=0),"",IFERROR(LOOKUP(2,1/((Budgets!$A$2:$A$200=AM$1)*(Budgets!$B$2:$B$200&lt;=$A93)),Budgets!$C$2:$C$200),0))</f>
        <v/>
      </c>
      <c r="AN93" s="88">
        <f>IF(OR(AN$1="",$BE93=0),"",IFERROR(LOOKUP(2,1/((Budgets!$A$2:$A$200=AN$1)*(Budgets!$B$2:$B$200&lt;=$A93)),Budgets!$C$2:$C$200),0))</f>
        <v/>
      </c>
      <c r="AO93" s="88">
        <f>IF(OR(AO$1="",$BE93=0),"",IFERROR(LOOKUP(2,1/((Budgets!$A$2:$A$200=AO$1)*(Budgets!$B$2:$B$200&lt;=$A93)),Budgets!$C$2:$C$200),0))</f>
        <v/>
      </c>
      <c r="AP93" s="88">
        <f>IF(OR(AP$1="",$BE93=0),"",IFERROR(LOOKUP(2,1/((Budgets!$A$2:$A$200=AP$1)*(Budgets!$B$2:$B$200&lt;=$A93)),Budgets!$C$2:$C$200),0))</f>
        <v/>
      </c>
      <c r="AQ93" s="88">
        <f>IF(OR(AQ$1="",$BE93=0),"",IFERROR(LOOKUP(2,1/((Budgets!$A$2:$A$200=AQ$1)*(Budgets!$B$2:$B$200&lt;=$A93)),Budgets!$C$2:$C$200),0))</f>
        <v/>
      </c>
      <c r="AR93" s="88">
        <f>IF(OR(AR$1="",$BE93=0),"",IFERROR(LOOKUP(2,1/((Budgets!$A$2:$A$200=AR$1)*(Budgets!$B$2:$B$200&lt;=$A93)),Budgets!$C$2:$C$200),0))</f>
        <v/>
      </c>
      <c r="AS93" s="88">
        <f>IF(OR(AS$1="",$BE93=0),"",IFERROR(LOOKUP(2,1/((Budgets!$A$2:$A$200=AS$1)*(Budgets!$B$2:$B$200&lt;=$A93)),Budgets!$C$2:$C$200),0))</f>
        <v/>
      </c>
      <c r="AT93" s="88">
        <f>IF(OR(AT$1="",$BE93=0),"",IFERROR(LOOKUP(2,1/((Budgets!$A$2:$A$200=AT$1)*(Budgets!$B$2:$B$200&lt;=$A93)),Budgets!$C$2:$C$200),0))</f>
        <v/>
      </c>
      <c r="AU93" s="88">
        <f>IF(OR(AU$1="",$BE93=0),"",IFERROR(LOOKUP(2,1/((Budgets!$A$2:$A$200=AU$1)*(Budgets!$B$2:$B$200&lt;=$A93)),Budgets!$C$2:$C$200),0))</f>
        <v/>
      </c>
      <c r="AV93" s="88">
        <f>IF(OR(AV$1="",$BE93=0),"",IFERROR(LOOKUP(2,1/((Budgets!$A$2:$A$200=AV$1)*(Budgets!$B$2:$B$200&lt;=$A93)),Budgets!$C$2:$C$200),0))</f>
        <v/>
      </c>
      <c r="AW93" s="88">
        <f>IF(OR(AW$1="",$BE93=0),"",IFERROR(LOOKUP(2,1/((Budgets!$A$2:$A$200=AW$1)*(Budgets!$B$2:$B$200&lt;=$A93)),Budgets!$C$2:$C$200),0))</f>
        <v/>
      </c>
      <c r="AX93" s="88">
        <f>IF(OR(AX$1="",$BE93=0),"",IFERROR(LOOKUP(2,1/((Budgets!$A$2:$A$200=AX$1)*(Budgets!$B$2:$B$200&lt;=$A93)),Budgets!$C$2:$C$200),0))</f>
        <v/>
      </c>
      <c r="AY93" s="88">
        <f>IF(OR(AY$1="",$BE93=0),"",IFERROR(LOOKUP(2,1/((Budgets!$A$2:$A$200=AY$1)*(Budgets!$B$2:$B$200&lt;=$A93)),Budgets!$C$2:$C$200),0))</f>
        <v/>
      </c>
      <c r="AZ93" s="88">
        <f>IF(OR(AZ$1="",$BE93=0),"",IFERROR(LOOKUP(2,1/((Budgets!$A$2:$A$200=AZ$1)*(Budgets!$B$2:$B$200&lt;=$A93)),Budgets!$C$2:$C$200),0))</f>
        <v/>
      </c>
      <c r="BA93" s="88">
        <f>IF(OR(BA$1="",$BE93=0),"",IFERROR(LOOKUP(2,1/((Budgets!$A$2:$A$200=BA$1)*(Budgets!$B$2:$B$200&lt;=$A93)),Budgets!$C$2:$C$200),0))</f>
        <v/>
      </c>
      <c r="BB93" s="88">
        <f>IF(OR(BB$1="",$BE93=0),"",IFERROR(LOOKUP(2,1/((Budgets!$A$2:$A$200=BB$1)*(Budgets!$B$2:$B$200&lt;=$A93)),Budgets!$C$2:$C$200),0))</f>
        <v/>
      </c>
      <c r="BC93" s="88">
        <f>IF(OR(BC$1="",$BE93=0),"",IFERROR(LOOKUP(2,1/((Budgets!$A$2:$A$200=BC$1)*(Budgets!$B$2:$B$200&lt;=$A93)),Budgets!$C$2:$C$200),0))</f>
        <v/>
      </c>
      <c r="BE93" s="67">
        <f>COUNTIFS(Entries!$A$2:$A$5000,$A93)</f>
        <v/>
      </c>
    </row>
    <row r="94" ht="15" customHeight="1" s="43">
      <c r="A94" s="87" t="n">
        <v>42248</v>
      </c>
      <c r="B94" s="88">
        <f>IF($BE94=0,NA(),SUMIFS(Entries!$D$2:$D$5000,Entries!$C$2:$C$5000,"Income",Entries!$A$2:$A$5000,$A94))</f>
        <v/>
      </c>
      <c r="C94" s="88">
        <f>IF($BE94=0,"",SUMIFS(Entries!$D$2:$D$5000,Entries!$C$2:$C$5000,"Actual",Entries!$A$2:$A$5000,$A94))</f>
        <v/>
      </c>
      <c r="D94" s="88">
        <f>IF($BE94=0,"",SUMIFS(Entries!$D$2:$D$5000,Entries!$C$2:$C$5000,"One-off",Entries!$A$2:$A$5000,$A94))</f>
        <v/>
      </c>
      <c r="E94" s="88">
        <f>IF($BE94=0,NA(),C94+D94)</f>
        <v/>
      </c>
      <c r="F94" s="88">
        <f>IF($BE94=0,"",SUM(AJ94:BC94))</f>
        <v/>
      </c>
      <c r="G94" s="88">
        <f>IF($BE94=0,"",B94-E94)</f>
        <v/>
      </c>
      <c r="H94" s="88">
        <f>IF($BE94=0,"",SUM($G$2:G94))</f>
        <v/>
      </c>
      <c r="I94" s="88">
        <f>IF($BE94=0,"",SUMIFS(Entries!$F$2:$F$5000,Entries!$A$2:$A$5000,$A94))</f>
        <v/>
      </c>
      <c r="J94" s="88">
        <f>IF($BE94=0,NA(),H94+SUM($I$2:I94))</f>
        <v/>
      </c>
      <c r="K94" s="88">
        <f>IF($BE94=0,"",SUMIFS(Entries!$D$2:$D$5000,Entries!$C$2:$C$5000,"Income",Entries!$A$2:$A$5000,"&gt;="&amp;EDATE($A94,-11),Entries!$A$2:$A$5000,"&lt;="&amp;$A94)/12)</f>
        <v/>
      </c>
      <c r="L94" s="88">
        <f>IF($BE94=0,"",(SUMIFS(Entries!$D$2:$D$5000,Entries!$C$2:$C$5000,"Actual",Entries!$A$2:$A$5000,"&gt;="&amp;EDATE($A94,-11),Entries!$A$2:$A$5000,"&lt;="&amp;$A94)+SUMIFS(Entries!$D$2:$D$5000,Entries!$C$2:$C$5000,"One-off",Entries!$A$2:$A$5000,"&gt;="&amp;EDATE($A94,-11),Entries!$A$2:$A$5000,"&lt;="&amp;$A94))/12)</f>
        <v/>
      </c>
      <c r="M94" s="70">
        <f>IF($BE94=0,NA(),IFERROR((K94-L94)/K94,0))</f>
        <v/>
      </c>
      <c r="O94" s="88">
        <f>IF(OR(O$1="",$BE94=0),"",SUMIFS(Entries!$D$2:$D$5000,Entries!$C$2:$C$5000,"Actual",Entries!$A$2:$A$5000,$A94,Entries!$B$2:$B$5000,O$1))</f>
        <v/>
      </c>
      <c r="P94" s="88">
        <f>IF(OR(P$1="",$BE94=0),"",SUMIFS(Entries!$D$2:$D$5000,Entries!$C$2:$C$5000,"Actual",Entries!$A$2:$A$5000,$A94,Entries!$B$2:$B$5000,P$1))</f>
        <v/>
      </c>
      <c r="Q94" s="88">
        <f>IF(OR(Q$1="",$BE94=0),"",SUMIFS(Entries!$D$2:$D$5000,Entries!$C$2:$C$5000,"Actual",Entries!$A$2:$A$5000,$A94,Entries!$B$2:$B$5000,Q$1))</f>
        <v/>
      </c>
      <c r="R94" s="88">
        <f>IF(OR(R$1="",$BE94=0),"",SUMIFS(Entries!$D$2:$D$5000,Entries!$C$2:$C$5000,"Actual",Entries!$A$2:$A$5000,$A94,Entries!$B$2:$B$5000,R$1))</f>
        <v/>
      </c>
      <c r="S94" s="88">
        <f>IF(OR(S$1="",$BE94=0),"",SUMIFS(Entries!$D$2:$D$5000,Entries!$C$2:$C$5000,"Actual",Entries!$A$2:$A$5000,$A94,Entries!$B$2:$B$5000,S$1))</f>
        <v/>
      </c>
      <c r="T94" s="88">
        <f>IF(OR(T$1="",$BE94=0),"",SUMIFS(Entries!$D$2:$D$5000,Entries!$C$2:$C$5000,"Actual",Entries!$A$2:$A$5000,$A94,Entries!$B$2:$B$5000,T$1))</f>
        <v/>
      </c>
      <c r="U94" s="88">
        <f>IF(OR(U$1="",$BE94=0),"",SUMIFS(Entries!$D$2:$D$5000,Entries!$C$2:$C$5000,"Actual",Entries!$A$2:$A$5000,$A94,Entries!$B$2:$B$5000,U$1))</f>
        <v/>
      </c>
      <c r="V94" s="88">
        <f>IF(OR(V$1="",$BE94=0),"",SUMIFS(Entries!$D$2:$D$5000,Entries!$C$2:$C$5000,"Actual",Entries!$A$2:$A$5000,$A94,Entries!$B$2:$B$5000,V$1))</f>
        <v/>
      </c>
      <c r="W94" s="88">
        <f>IF(OR(W$1="",$BE94=0),"",SUMIFS(Entries!$D$2:$D$5000,Entries!$C$2:$C$5000,"Actual",Entries!$A$2:$A$5000,$A94,Entries!$B$2:$B$5000,W$1))</f>
        <v/>
      </c>
      <c r="X94" s="88">
        <f>IF(OR(X$1="",$BE94=0),"",SUMIFS(Entries!$D$2:$D$5000,Entries!$C$2:$C$5000,"Actual",Entries!$A$2:$A$5000,$A94,Entries!$B$2:$B$5000,X$1))</f>
        <v/>
      </c>
      <c r="Y94" s="88">
        <f>IF(OR(Y$1="",$BE94=0),"",SUMIFS(Entries!$D$2:$D$5000,Entries!$C$2:$C$5000,"Actual",Entries!$A$2:$A$5000,$A94,Entries!$B$2:$B$5000,Y$1))</f>
        <v/>
      </c>
      <c r="Z94" s="88">
        <f>IF(OR(Z$1="",$BE94=0),"",SUMIFS(Entries!$D$2:$D$5000,Entries!$C$2:$C$5000,"Actual",Entries!$A$2:$A$5000,$A94,Entries!$B$2:$B$5000,Z$1))</f>
        <v/>
      </c>
      <c r="AA94" s="88">
        <f>IF(OR(AA$1="",$BE94=0),"",SUMIFS(Entries!$D$2:$D$5000,Entries!$C$2:$C$5000,"Actual",Entries!$A$2:$A$5000,$A94,Entries!$B$2:$B$5000,AA$1))</f>
        <v/>
      </c>
      <c r="AB94" s="88">
        <f>IF(OR(AB$1="",$BE94=0),"",SUMIFS(Entries!$D$2:$D$5000,Entries!$C$2:$C$5000,"Actual",Entries!$A$2:$A$5000,$A94,Entries!$B$2:$B$5000,AB$1))</f>
        <v/>
      </c>
      <c r="AC94" s="88">
        <f>IF(OR(AC$1="",$BE94=0),"",SUMIFS(Entries!$D$2:$D$5000,Entries!$C$2:$C$5000,"Actual",Entries!$A$2:$A$5000,$A94,Entries!$B$2:$B$5000,AC$1))</f>
        <v/>
      </c>
      <c r="AD94" s="88">
        <f>IF(OR(AD$1="",$BE94=0),"",SUMIFS(Entries!$D$2:$D$5000,Entries!$C$2:$C$5000,"Actual",Entries!$A$2:$A$5000,$A94,Entries!$B$2:$B$5000,AD$1))</f>
        <v/>
      </c>
      <c r="AE94" s="88">
        <f>IF(OR(AE$1="",$BE94=0),"",SUMIFS(Entries!$D$2:$D$5000,Entries!$C$2:$C$5000,"Actual",Entries!$A$2:$A$5000,$A94,Entries!$B$2:$B$5000,AE$1))</f>
        <v/>
      </c>
      <c r="AF94" s="88">
        <f>IF(OR(AF$1="",$BE94=0),"",SUMIFS(Entries!$D$2:$D$5000,Entries!$C$2:$C$5000,"Actual",Entries!$A$2:$A$5000,$A94,Entries!$B$2:$B$5000,AF$1))</f>
        <v/>
      </c>
      <c r="AG94" s="88">
        <f>IF(OR(AG$1="",$BE94=0),"",SUMIFS(Entries!$D$2:$D$5000,Entries!$C$2:$C$5000,"Actual",Entries!$A$2:$A$5000,$A94,Entries!$B$2:$B$5000,AG$1))</f>
        <v/>
      </c>
      <c r="AH94" s="88">
        <f>IF(OR(AH$1="",$BE94=0),"",SUMIFS(Entries!$D$2:$D$5000,Entries!$C$2:$C$5000,"Actual",Entries!$A$2:$A$5000,$A94,Entries!$B$2:$B$5000,AH$1))</f>
        <v/>
      </c>
      <c r="AJ94" s="88">
        <f>IF(OR(AJ$1="",$BE94=0),"",IFERROR(LOOKUP(2,1/((Budgets!$A$2:$A$200=AJ$1)*(Budgets!$B$2:$B$200&lt;=$A94)),Budgets!$C$2:$C$200),0))</f>
        <v/>
      </c>
      <c r="AK94" s="88">
        <f>IF(OR(AK$1="",$BE94=0),"",IFERROR(LOOKUP(2,1/((Budgets!$A$2:$A$200=AK$1)*(Budgets!$B$2:$B$200&lt;=$A94)),Budgets!$C$2:$C$200),0))</f>
        <v/>
      </c>
      <c r="AL94" s="88">
        <f>IF(OR(AL$1="",$BE94=0),"",IFERROR(LOOKUP(2,1/((Budgets!$A$2:$A$200=AL$1)*(Budgets!$B$2:$B$200&lt;=$A94)),Budgets!$C$2:$C$200),0))</f>
        <v/>
      </c>
      <c r="AM94" s="88">
        <f>IF(OR(AM$1="",$BE94=0),"",IFERROR(LOOKUP(2,1/((Budgets!$A$2:$A$200=AM$1)*(Budgets!$B$2:$B$200&lt;=$A94)),Budgets!$C$2:$C$200),0))</f>
        <v/>
      </c>
      <c r="AN94" s="88">
        <f>IF(OR(AN$1="",$BE94=0),"",IFERROR(LOOKUP(2,1/((Budgets!$A$2:$A$200=AN$1)*(Budgets!$B$2:$B$200&lt;=$A94)),Budgets!$C$2:$C$200),0))</f>
        <v/>
      </c>
      <c r="AO94" s="88">
        <f>IF(OR(AO$1="",$BE94=0),"",IFERROR(LOOKUP(2,1/((Budgets!$A$2:$A$200=AO$1)*(Budgets!$B$2:$B$200&lt;=$A94)),Budgets!$C$2:$C$200),0))</f>
        <v/>
      </c>
      <c r="AP94" s="88">
        <f>IF(OR(AP$1="",$BE94=0),"",IFERROR(LOOKUP(2,1/((Budgets!$A$2:$A$200=AP$1)*(Budgets!$B$2:$B$200&lt;=$A94)),Budgets!$C$2:$C$200),0))</f>
        <v/>
      </c>
      <c r="AQ94" s="88">
        <f>IF(OR(AQ$1="",$BE94=0),"",IFERROR(LOOKUP(2,1/((Budgets!$A$2:$A$200=AQ$1)*(Budgets!$B$2:$B$200&lt;=$A94)),Budgets!$C$2:$C$200),0))</f>
        <v/>
      </c>
      <c r="AR94" s="88">
        <f>IF(OR(AR$1="",$BE94=0),"",IFERROR(LOOKUP(2,1/((Budgets!$A$2:$A$200=AR$1)*(Budgets!$B$2:$B$200&lt;=$A94)),Budgets!$C$2:$C$200),0))</f>
        <v/>
      </c>
      <c r="AS94" s="88">
        <f>IF(OR(AS$1="",$BE94=0),"",IFERROR(LOOKUP(2,1/((Budgets!$A$2:$A$200=AS$1)*(Budgets!$B$2:$B$200&lt;=$A94)),Budgets!$C$2:$C$200),0))</f>
        <v/>
      </c>
      <c r="AT94" s="88">
        <f>IF(OR(AT$1="",$BE94=0),"",IFERROR(LOOKUP(2,1/((Budgets!$A$2:$A$200=AT$1)*(Budgets!$B$2:$B$200&lt;=$A94)),Budgets!$C$2:$C$200),0))</f>
        <v/>
      </c>
      <c r="AU94" s="88">
        <f>IF(OR(AU$1="",$BE94=0),"",IFERROR(LOOKUP(2,1/((Budgets!$A$2:$A$200=AU$1)*(Budgets!$B$2:$B$200&lt;=$A94)),Budgets!$C$2:$C$200),0))</f>
        <v/>
      </c>
      <c r="AV94" s="88">
        <f>IF(OR(AV$1="",$BE94=0),"",IFERROR(LOOKUP(2,1/((Budgets!$A$2:$A$200=AV$1)*(Budgets!$B$2:$B$200&lt;=$A94)),Budgets!$C$2:$C$200),0))</f>
        <v/>
      </c>
      <c r="AW94" s="88">
        <f>IF(OR(AW$1="",$BE94=0),"",IFERROR(LOOKUP(2,1/((Budgets!$A$2:$A$200=AW$1)*(Budgets!$B$2:$B$200&lt;=$A94)),Budgets!$C$2:$C$200),0))</f>
        <v/>
      </c>
      <c r="AX94" s="88">
        <f>IF(OR(AX$1="",$BE94=0),"",IFERROR(LOOKUP(2,1/((Budgets!$A$2:$A$200=AX$1)*(Budgets!$B$2:$B$200&lt;=$A94)),Budgets!$C$2:$C$200),0))</f>
        <v/>
      </c>
      <c r="AY94" s="88">
        <f>IF(OR(AY$1="",$BE94=0),"",IFERROR(LOOKUP(2,1/((Budgets!$A$2:$A$200=AY$1)*(Budgets!$B$2:$B$200&lt;=$A94)),Budgets!$C$2:$C$200),0))</f>
        <v/>
      </c>
      <c r="AZ94" s="88">
        <f>IF(OR(AZ$1="",$BE94=0),"",IFERROR(LOOKUP(2,1/((Budgets!$A$2:$A$200=AZ$1)*(Budgets!$B$2:$B$200&lt;=$A94)),Budgets!$C$2:$C$200),0))</f>
        <v/>
      </c>
      <c r="BA94" s="88">
        <f>IF(OR(BA$1="",$BE94=0),"",IFERROR(LOOKUP(2,1/((Budgets!$A$2:$A$200=BA$1)*(Budgets!$B$2:$B$200&lt;=$A94)),Budgets!$C$2:$C$200),0))</f>
        <v/>
      </c>
      <c r="BB94" s="88">
        <f>IF(OR(BB$1="",$BE94=0),"",IFERROR(LOOKUP(2,1/((Budgets!$A$2:$A$200=BB$1)*(Budgets!$B$2:$B$200&lt;=$A94)),Budgets!$C$2:$C$200),0))</f>
        <v/>
      </c>
      <c r="BC94" s="88">
        <f>IF(OR(BC$1="",$BE94=0),"",IFERROR(LOOKUP(2,1/((Budgets!$A$2:$A$200=BC$1)*(Budgets!$B$2:$B$200&lt;=$A94)),Budgets!$C$2:$C$200),0))</f>
        <v/>
      </c>
      <c r="BE94" s="67">
        <f>COUNTIFS(Entries!$A$2:$A$5000,$A94)</f>
        <v/>
      </c>
    </row>
    <row r="95" ht="15" customHeight="1" s="43">
      <c r="A95" s="87" t="n">
        <v>42278</v>
      </c>
      <c r="B95" s="88">
        <f>IF($BE95=0,NA(),SUMIFS(Entries!$D$2:$D$5000,Entries!$C$2:$C$5000,"Income",Entries!$A$2:$A$5000,$A95))</f>
        <v/>
      </c>
      <c r="C95" s="88">
        <f>IF($BE95=0,"",SUMIFS(Entries!$D$2:$D$5000,Entries!$C$2:$C$5000,"Actual",Entries!$A$2:$A$5000,$A95))</f>
        <v/>
      </c>
      <c r="D95" s="88">
        <f>IF($BE95=0,"",SUMIFS(Entries!$D$2:$D$5000,Entries!$C$2:$C$5000,"One-off",Entries!$A$2:$A$5000,$A95))</f>
        <v/>
      </c>
      <c r="E95" s="88">
        <f>IF($BE95=0,NA(),C95+D95)</f>
        <v/>
      </c>
      <c r="F95" s="88">
        <f>IF($BE95=0,"",SUM(AJ95:BC95))</f>
        <v/>
      </c>
      <c r="G95" s="88">
        <f>IF($BE95=0,"",B95-E95)</f>
        <v/>
      </c>
      <c r="H95" s="88">
        <f>IF($BE95=0,"",SUM($G$2:G95))</f>
        <v/>
      </c>
      <c r="I95" s="88">
        <f>IF($BE95=0,"",SUMIFS(Entries!$F$2:$F$5000,Entries!$A$2:$A$5000,$A95))</f>
        <v/>
      </c>
      <c r="J95" s="88">
        <f>IF($BE95=0,NA(),H95+SUM($I$2:I95))</f>
        <v/>
      </c>
      <c r="K95" s="88">
        <f>IF($BE95=0,"",SUMIFS(Entries!$D$2:$D$5000,Entries!$C$2:$C$5000,"Income",Entries!$A$2:$A$5000,"&gt;="&amp;EDATE($A95,-11),Entries!$A$2:$A$5000,"&lt;="&amp;$A95)/12)</f>
        <v/>
      </c>
      <c r="L95" s="88">
        <f>IF($BE95=0,"",(SUMIFS(Entries!$D$2:$D$5000,Entries!$C$2:$C$5000,"Actual",Entries!$A$2:$A$5000,"&gt;="&amp;EDATE($A95,-11),Entries!$A$2:$A$5000,"&lt;="&amp;$A95)+SUMIFS(Entries!$D$2:$D$5000,Entries!$C$2:$C$5000,"One-off",Entries!$A$2:$A$5000,"&gt;="&amp;EDATE($A95,-11),Entries!$A$2:$A$5000,"&lt;="&amp;$A95))/12)</f>
        <v/>
      </c>
      <c r="M95" s="70">
        <f>IF($BE95=0,NA(),IFERROR((K95-L95)/K95,0))</f>
        <v/>
      </c>
      <c r="O95" s="88">
        <f>IF(OR(O$1="",$BE95=0),"",SUMIFS(Entries!$D$2:$D$5000,Entries!$C$2:$C$5000,"Actual",Entries!$A$2:$A$5000,$A95,Entries!$B$2:$B$5000,O$1))</f>
        <v/>
      </c>
      <c r="P95" s="88">
        <f>IF(OR(P$1="",$BE95=0),"",SUMIFS(Entries!$D$2:$D$5000,Entries!$C$2:$C$5000,"Actual",Entries!$A$2:$A$5000,$A95,Entries!$B$2:$B$5000,P$1))</f>
        <v/>
      </c>
      <c r="Q95" s="88">
        <f>IF(OR(Q$1="",$BE95=0),"",SUMIFS(Entries!$D$2:$D$5000,Entries!$C$2:$C$5000,"Actual",Entries!$A$2:$A$5000,$A95,Entries!$B$2:$B$5000,Q$1))</f>
        <v/>
      </c>
      <c r="R95" s="88">
        <f>IF(OR(R$1="",$BE95=0),"",SUMIFS(Entries!$D$2:$D$5000,Entries!$C$2:$C$5000,"Actual",Entries!$A$2:$A$5000,$A95,Entries!$B$2:$B$5000,R$1))</f>
        <v/>
      </c>
      <c r="S95" s="88">
        <f>IF(OR(S$1="",$BE95=0),"",SUMIFS(Entries!$D$2:$D$5000,Entries!$C$2:$C$5000,"Actual",Entries!$A$2:$A$5000,$A95,Entries!$B$2:$B$5000,S$1))</f>
        <v/>
      </c>
      <c r="T95" s="88">
        <f>IF(OR(T$1="",$BE95=0),"",SUMIFS(Entries!$D$2:$D$5000,Entries!$C$2:$C$5000,"Actual",Entries!$A$2:$A$5000,$A95,Entries!$B$2:$B$5000,T$1))</f>
        <v/>
      </c>
      <c r="U95" s="88">
        <f>IF(OR(U$1="",$BE95=0),"",SUMIFS(Entries!$D$2:$D$5000,Entries!$C$2:$C$5000,"Actual",Entries!$A$2:$A$5000,$A95,Entries!$B$2:$B$5000,U$1))</f>
        <v/>
      </c>
      <c r="V95" s="88">
        <f>IF(OR(V$1="",$BE95=0),"",SUMIFS(Entries!$D$2:$D$5000,Entries!$C$2:$C$5000,"Actual",Entries!$A$2:$A$5000,$A95,Entries!$B$2:$B$5000,V$1))</f>
        <v/>
      </c>
      <c r="W95" s="88">
        <f>IF(OR(W$1="",$BE95=0),"",SUMIFS(Entries!$D$2:$D$5000,Entries!$C$2:$C$5000,"Actual",Entries!$A$2:$A$5000,$A95,Entries!$B$2:$B$5000,W$1))</f>
        <v/>
      </c>
      <c r="X95" s="88">
        <f>IF(OR(X$1="",$BE95=0),"",SUMIFS(Entries!$D$2:$D$5000,Entries!$C$2:$C$5000,"Actual",Entries!$A$2:$A$5000,$A95,Entries!$B$2:$B$5000,X$1))</f>
        <v/>
      </c>
      <c r="Y95" s="88">
        <f>IF(OR(Y$1="",$BE95=0),"",SUMIFS(Entries!$D$2:$D$5000,Entries!$C$2:$C$5000,"Actual",Entries!$A$2:$A$5000,$A95,Entries!$B$2:$B$5000,Y$1))</f>
        <v/>
      </c>
      <c r="Z95" s="88">
        <f>IF(OR(Z$1="",$BE95=0),"",SUMIFS(Entries!$D$2:$D$5000,Entries!$C$2:$C$5000,"Actual",Entries!$A$2:$A$5000,$A95,Entries!$B$2:$B$5000,Z$1))</f>
        <v/>
      </c>
      <c r="AA95" s="88">
        <f>IF(OR(AA$1="",$BE95=0),"",SUMIFS(Entries!$D$2:$D$5000,Entries!$C$2:$C$5000,"Actual",Entries!$A$2:$A$5000,$A95,Entries!$B$2:$B$5000,AA$1))</f>
        <v/>
      </c>
      <c r="AB95" s="88">
        <f>IF(OR(AB$1="",$BE95=0),"",SUMIFS(Entries!$D$2:$D$5000,Entries!$C$2:$C$5000,"Actual",Entries!$A$2:$A$5000,$A95,Entries!$B$2:$B$5000,AB$1))</f>
        <v/>
      </c>
      <c r="AC95" s="88">
        <f>IF(OR(AC$1="",$BE95=0),"",SUMIFS(Entries!$D$2:$D$5000,Entries!$C$2:$C$5000,"Actual",Entries!$A$2:$A$5000,$A95,Entries!$B$2:$B$5000,AC$1))</f>
        <v/>
      </c>
      <c r="AD95" s="88">
        <f>IF(OR(AD$1="",$BE95=0),"",SUMIFS(Entries!$D$2:$D$5000,Entries!$C$2:$C$5000,"Actual",Entries!$A$2:$A$5000,$A95,Entries!$B$2:$B$5000,AD$1))</f>
        <v/>
      </c>
      <c r="AE95" s="88">
        <f>IF(OR(AE$1="",$BE95=0),"",SUMIFS(Entries!$D$2:$D$5000,Entries!$C$2:$C$5000,"Actual",Entries!$A$2:$A$5000,$A95,Entries!$B$2:$B$5000,AE$1))</f>
        <v/>
      </c>
      <c r="AF95" s="88">
        <f>IF(OR(AF$1="",$BE95=0),"",SUMIFS(Entries!$D$2:$D$5000,Entries!$C$2:$C$5000,"Actual",Entries!$A$2:$A$5000,$A95,Entries!$B$2:$B$5000,AF$1))</f>
        <v/>
      </c>
      <c r="AG95" s="88">
        <f>IF(OR(AG$1="",$BE95=0),"",SUMIFS(Entries!$D$2:$D$5000,Entries!$C$2:$C$5000,"Actual",Entries!$A$2:$A$5000,$A95,Entries!$B$2:$B$5000,AG$1))</f>
        <v/>
      </c>
      <c r="AH95" s="88">
        <f>IF(OR(AH$1="",$BE95=0),"",SUMIFS(Entries!$D$2:$D$5000,Entries!$C$2:$C$5000,"Actual",Entries!$A$2:$A$5000,$A95,Entries!$B$2:$B$5000,AH$1))</f>
        <v/>
      </c>
      <c r="AJ95" s="88">
        <f>IF(OR(AJ$1="",$BE95=0),"",IFERROR(LOOKUP(2,1/((Budgets!$A$2:$A$200=AJ$1)*(Budgets!$B$2:$B$200&lt;=$A95)),Budgets!$C$2:$C$200),0))</f>
        <v/>
      </c>
      <c r="AK95" s="88">
        <f>IF(OR(AK$1="",$BE95=0),"",IFERROR(LOOKUP(2,1/((Budgets!$A$2:$A$200=AK$1)*(Budgets!$B$2:$B$200&lt;=$A95)),Budgets!$C$2:$C$200),0))</f>
        <v/>
      </c>
      <c r="AL95" s="88">
        <f>IF(OR(AL$1="",$BE95=0),"",IFERROR(LOOKUP(2,1/((Budgets!$A$2:$A$200=AL$1)*(Budgets!$B$2:$B$200&lt;=$A95)),Budgets!$C$2:$C$200),0))</f>
        <v/>
      </c>
      <c r="AM95" s="88">
        <f>IF(OR(AM$1="",$BE95=0),"",IFERROR(LOOKUP(2,1/((Budgets!$A$2:$A$200=AM$1)*(Budgets!$B$2:$B$200&lt;=$A95)),Budgets!$C$2:$C$200),0))</f>
        <v/>
      </c>
      <c r="AN95" s="88">
        <f>IF(OR(AN$1="",$BE95=0),"",IFERROR(LOOKUP(2,1/((Budgets!$A$2:$A$200=AN$1)*(Budgets!$B$2:$B$200&lt;=$A95)),Budgets!$C$2:$C$200),0))</f>
        <v/>
      </c>
      <c r="AO95" s="88">
        <f>IF(OR(AO$1="",$BE95=0),"",IFERROR(LOOKUP(2,1/((Budgets!$A$2:$A$200=AO$1)*(Budgets!$B$2:$B$200&lt;=$A95)),Budgets!$C$2:$C$200),0))</f>
        <v/>
      </c>
      <c r="AP95" s="88">
        <f>IF(OR(AP$1="",$BE95=0),"",IFERROR(LOOKUP(2,1/((Budgets!$A$2:$A$200=AP$1)*(Budgets!$B$2:$B$200&lt;=$A95)),Budgets!$C$2:$C$200),0))</f>
        <v/>
      </c>
      <c r="AQ95" s="88">
        <f>IF(OR(AQ$1="",$BE95=0),"",IFERROR(LOOKUP(2,1/((Budgets!$A$2:$A$200=AQ$1)*(Budgets!$B$2:$B$200&lt;=$A95)),Budgets!$C$2:$C$200),0))</f>
        <v/>
      </c>
      <c r="AR95" s="88">
        <f>IF(OR(AR$1="",$BE95=0),"",IFERROR(LOOKUP(2,1/((Budgets!$A$2:$A$200=AR$1)*(Budgets!$B$2:$B$200&lt;=$A95)),Budgets!$C$2:$C$200),0))</f>
        <v/>
      </c>
      <c r="AS95" s="88">
        <f>IF(OR(AS$1="",$BE95=0),"",IFERROR(LOOKUP(2,1/((Budgets!$A$2:$A$200=AS$1)*(Budgets!$B$2:$B$200&lt;=$A95)),Budgets!$C$2:$C$200),0))</f>
        <v/>
      </c>
      <c r="AT95" s="88">
        <f>IF(OR(AT$1="",$BE95=0),"",IFERROR(LOOKUP(2,1/((Budgets!$A$2:$A$200=AT$1)*(Budgets!$B$2:$B$200&lt;=$A95)),Budgets!$C$2:$C$200),0))</f>
        <v/>
      </c>
      <c r="AU95" s="88">
        <f>IF(OR(AU$1="",$BE95=0),"",IFERROR(LOOKUP(2,1/((Budgets!$A$2:$A$200=AU$1)*(Budgets!$B$2:$B$200&lt;=$A95)),Budgets!$C$2:$C$200),0))</f>
        <v/>
      </c>
      <c r="AV95" s="88">
        <f>IF(OR(AV$1="",$BE95=0),"",IFERROR(LOOKUP(2,1/((Budgets!$A$2:$A$200=AV$1)*(Budgets!$B$2:$B$200&lt;=$A95)),Budgets!$C$2:$C$200),0))</f>
        <v/>
      </c>
      <c r="AW95" s="88">
        <f>IF(OR(AW$1="",$BE95=0),"",IFERROR(LOOKUP(2,1/((Budgets!$A$2:$A$200=AW$1)*(Budgets!$B$2:$B$200&lt;=$A95)),Budgets!$C$2:$C$200),0))</f>
        <v/>
      </c>
      <c r="AX95" s="88">
        <f>IF(OR(AX$1="",$BE95=0),"",IFERROR(LOOKUP(2,1/((Budgets!$A$2:$A$200=AX$1)*(Budgets!$B$2:$B$200&lt;=$A95)),Budgets!$C$2:$C$200),0))</f>
        <v/>
      </c>
      <c r="AY95" s="88">
        <f>IF(OR(AY$1="",$BE95=0),"",IFERROR(LOOKUP(2,1/((Budgets!$A$2:$A$200=AY$1)*(Budgets!$B$2:$B$200&lt;=$A95)),Budgets!$C$2:$C$200),0))</f>
        <v/>
      </c>
      <c r="AZ95" s="88">
        <f>IF(OR(AZ$1="",$BE95=0),"",IFERROR(LOOKUP(2,1/((Budgets!$A$2:$A$200=AZ$1)*(Budgets!$B$2:$B$200&lt;=$A95)),Budgets!$C$2:$C$200),0))</f>
        <v/>
      </c>
      <c r="BA95" s="88">
        <f>IF(OR(BA$1="",$BE95=0),"",IFERROR(LOOKUP(2,1/((Budgets!$A$2:$A$200=BA$1)*(Budgets!$B$2:$B$200&lt;=$A95)),Budgets!$C$2:$C$200),0))</f>
        <v/>
      </c>
      <c r="BB95" s="88">
        <f>IF(OR(BB$1="",$BE95=0),"",IFERROR(LOOKUP(2,1/((Budgets!$A$2:$A$200=BB$1)*(Budgets!$B$2:$B$200&lt;=$A95)),Budgets!$C$2:$C$200),0))</f>
        <v/>
      </c>
      <c r="BC95" s="88">
        <f>IF(OR(BC$1="",$BE95=0),"",IFERROR(LOOKUP(2,1/((Budgets!$A$2:$A$200=BC$1)*(Budgets!$B$2:$B$200&lt;=$A95)),Budgets!$C$2:$C$200),0))</f>
        <v/>
      </c>
      <c r="BE95" s="67">
        <f>COUNTIFS(Entries!$A$2:$A$5000,$A95)</f>
        <v/>
      </c>
    </row>
    <row r="96" ht="15" customHeight="1" s="43">
      <c r="A96" s="87" t="n">
        <v>42309</v>
      </c>
      <c r="B96" s="88">
        <f>IF($BE96=0,NA(),SUMIFS(Entries!$D$2:$D$5000,Entries!$C$2:$C$5000,"Income",Entries!$A$2:$A$5000,$A96))</f>
        <v/>
      </c>
      <c r="C96" s="88">
        <f>IF($BE96=0,"",SUMIFS(Entries!$D$2:$D$5000,Entries!$C$2:$C$5000,"Actual",Entries!$A$2:$A$5000,$A96))</f>
        <v/>
      </c>
      <c r="D96" s="88">
        <f>IF($BE96=0,"",SUMIFS(Entries!$D$2:$D$5000,Entries!$C$2:$C$5000,"One-off",Entries!$A$2:$A$5000,$A96))</f>
        <v/>
      </c>
      <c r="E96" s="88">
        <f>IF($BE96=0,NA(),C96+D96)</f>
        <v/>
      </c>
      <c r="F96" s="88">
        <f>IF($BE96=0,"",SUM(AJ96:BC96))</f>
        <v/>
      </c>
      <c r="G96" s="88">
        <f>IF($BE96=0,"",B96-E96)</f>
        <v/>
      </c>
      <c r="H96" s="88">
        <f>IF($BE96=0,"",SUM($G$2:G96))</f>
        <v/>
      </c>
      <c r="I96" s="88">
        <f>IF($BE96=0,"",SUMIFS(Entries!$F$2:$F$5000,Entries!$A$2:$A$5000,$A96))</f>
        <v/>
      </c>
      <c r="J96" s="88">
        <f>IF($BE96=0,NA(),H96+SUM($I$2:I96))</f>
        <v/>
      </c>
      <c r="K96" s="88">
        <f>IF($BE96=0,"",SUMIFS(Entries!$D$2:$D$5000,Entries!$C$2:$C$5000,"Income",Entries!$A$2:$A$5000,"&gt;="&amp;EDATE($A96,-11),Entries!$A$2:$A$5000,"&lt;="&amp;$A96)/12)</f>
        <v/>
      </c>
      <c r="L96" s="88">
        <f>IF($BE96=0,"",(SUMIFS(Entries!$D$2:$D$5000,Entries!$C$2:$C$5000,"Actual",Entries!$A$2:$A$5000,"&gt;="&amp;EDATE($A96,-11),Entries!$A$2:$A$5000,"&lt;="&amp;$A96)+SUMIFS(Entries!$D$2:$D$5000,Entries!$C$2:$C$5000,"One-off",Entries!$A$2:$A$5000,"&gt;="&amp;EDATE($A96,-11),Entries!$A$2:$A$5000,"&lt;="&amp;$A96))/12)</f>
        <v/>
      </c>
      <c r="M96" s="70">
        <f>IF($BE96=0,NA(),IFERROR((K96-L96)/K96,0))</f>
        <v/>
      </c>
      <c r="O96" s="88">
        <f>IF(OR(O$1="",$BE96=0),"",SUMIFS(Entries!$D$2:$D$5000,Entries!$C$2:$C$5000,"Actual",Entries!$A$2:$A$5000,$A96,Entries!$B$2:$B$5000,O$1))</f>
        <v/>
      </c>
      <c r="P96" s="88">
        <f>IF(OR(P$1="",$BE96=0),"",SUMIFS(Entries!$D$2:$D$5000,Entries!$C$2:$C$5000,"Actual",Entries!$A$2:$A$5000,$A96,Entries!$B$2:$B$5000,P$1))</f>
        <v/>
      </c>
      <c r="Q96" s="88">
        <f>IF(OR(Q$1="",$BE96=0),"",SUMIFS(Entries!$D$2:$D$5000,Entries!$C$2:$C$5000,"Actual",Entries!$A$2:$A$5000,$A96,Entries!$B$2:$B$5000,Q$1))</f>
        <v/>
      </c>
      <c r="R96" s="88">
        <f>IF(OR(R$1="",$BE96=0),"",SUMIFS(Entries!$D$2:$D$5000,Entries!$C$2:$C$5000,"Actual",Entries!$A$2:$A$5000,$A96,Entries!$B$2:$B$5000,R$1))</f>
        <v/>
      </c>
      <c r="S96" s="88">
        <f>IF(OR(S$1="",$BE96=0),"",SUMIFS(Entries!$D$2:$D$5000,Entries!$C$2:$C$5000,"Actual",Entries!$A$2:$A$5000,$A96,Entries!$B$2:$B$5000,S$1))</f>
        <v/>
      </c>
      <c r="T96" s="88">
        <f>IF(OR(T$1="",$BE96=0),"",SUMIFS(Entries!$D$2:$D$5000,Entries!$C$2:$C$5000,"Actual",Entries!$A$2:$A$5000,$A96,Entries!$B$2:$B$5000,T$1))</f>
        <v/>
      </c>
      <c r="U96" s="88">
        <f>IF(OR(U$1="",$BE96=0),"",SUMIFS(Entries!$D$2:$D$5000,Entries!$C$2:$C$5000,"Actual",Entries!$A$2:$A$5000,$A96,Entries!$B$2:$B$5000,U$1))</f>
        <v/>
      </c>
      <c r="V96" s="88">
        <f>IF(OR(V$1="",$BE96=0),"",SUMIFS(Entries!$D$2:$D$5000,Entries!$C$2:$C$5000,"Actual",Entries!$A$2:$A$5000,$A96,Entries!$B$2:$B$5000,V$1))</f>
        <v/>
      </c>
      <c r="W96" s="88">
        <f>IF(OR(W$1="",$BE96=0),"",SUMIFS(Entries!$D$2:$D$5000,Entries!$C$2:$C$5000,"Actual",Entries!$A$2:$A$5000,$A96,Entries!$B$2:$B$5000,W$1))</f>
        <v/>
      </c>
      <c r="X96" s="88">
        <f>IF(OR(X$1="",$BE96=0),"",SUMIFS(Entries!$D$2:$D$5000,Entries!$C$2:$C$5000,"Actual",Entries!$A$2:$A$5000,$A96,Entries!$B$2:$B$5000,X$1))</f>
        <v/>
      </c>
      <c r="Y96" s="88">
        <f>IF(OR(Y$1="",$BE96=0),"",SUMIFS(Entries!$D$2:$D$5000,Entries!$C$2:$C$5000,"Actual",Entries!$A$2:$A$5000,$A96,Entries!$B$2:$B$5000,Y$1))</f>
        <v/>
      </c>
      <c r="Z96" s="88">
        <f>IF(OR(Z$1="",$BE96=0),"",SUMIFS(Entries!$D$2:$D$5000,Entries!$C$2:$C$5000,"Actual",Entries!$A$2:$A$5000,$A96,Entries!$B$2:$B$5000,Z$1))</f>
        <v/>
      </c>
      <c r="AA96" s="88">
        <f>IF(OR(AA$1="",$BE96=0),"",SUMIFS(Entries!$D$2:$D$5000,Entries!$C$2:$C$5000,"Actual",Entries!$A$2:$A$5000,$A96,Entries!$B$2:$B$5000,AA$1))</f>
        <v/>
      </c>
      <c r="AB96" s="88">
        <f>IF(OR(AB$1="",$BE96=0),"",SUMIFS(Entries!$D$2:$D$5000,Entries!$C$2:$C$5000,"Actual",Entries!$A$2:$A$5000,$A96,Entries!$B$2:$B$5000,AB$1))</f>
        <v/>
      </c>
      <c r="AC96" s="88">
        <f>IF(OR(AC$1="",$BE96=0),"",SUMIFS(Entries!$D$2:$D$5000,Entries!$C$2:$C$5000,"Actual",Entries!$A$2:$A$5000,$A96,Entries!$B$2:$B$5000,AC$1))</f>
        <v/>
      </c>
      <c r="AD96" s="88">
        <f>IF(OR(AD$1="",$BE96=0),"",SUMIFS(Entries!$D$2:$D$5000,Entries!$C$2:$C$5000,"Actual",Entries!$A$2:$A$5000,$A96,Entries!$B$2:$B$5000,AD$1))</f>
        <v/>
      </c>
      <c r="AE96" s="88">
        <f>IF(OR(AE$1="",$BE96=0),"",SUMIFS(Entries!$D$2:$D$5000,Entries!$C$2:$C$5000,"Actual",Entries!$A$2:$A$5000,$A96,Entries!$B$2:$B$5000,AE$1))</f>
        <v/>
      </c>
      <c r="AF96" s="88">
        <f>IF(OR(AF$1="",$BE96=0),"",SUMIFS(Entries!$D$2:$D$5000,Entries!$C$2:$C$5000,"Actual",Entries!$A$2:$A$5000,$A96,Entries!$B$2:$B$5000,AF$1))</f>
        <v/>
      </c>
      <c r="AG96" s="88">
        <f>IF(OR(AG$1="",$BE96=0),"",SUMIFS(Entries!$D$2:$D$5000,Entries!$C$2:$C$5000,"Actual",Entries!$A$2:$A$5000,$A96,Entries!$B$2:$B$5000,AG$1))</f>
        <v/>
      </c>
      <c r="AH96" s="88">
        <f>IF(OR(AH$1="",$BE96=0),"",SUMIFS(Entries!$D$2:$D$5000,Entries!$C$2:$C$5000,"Actual",Entries!$A$2:$A$5000,$A96,Entries!$B$2:$B$5000,AH$1))</f>
        <v/>
      </c>
      <c r="AJ96" s="88">
        <f>IF(OR(AJ$1="",$BE96=0),"",IFERROR(LOOKUP(2,1/((Budgets!$A$2:$A$200=AJ$1)*(Budgets!$B$2:$B$200&lt;=$A96)),Budgets!$C$2:$C$200),0))</f>
        <v/>
      </c>
      <c r="AK96" s="88">
        <f>IF(OR(AK$1="",$BE96=0),"",IFERROR(LOOKUP(2,1/((Budgets!$A$2:$A$200=AK$1)*(Budgets!$B$2:$B$200&lt;=$A96)),Budgets!$C$2:$C$200),0))</f>
        <v/>
      </c>
      <c r="AL96" s="88">
        <f>IF(OR(AL$1="",$BE96=0),"",IFERROR(LOOKUP(2,1/((Budgets!$A$2:$A$200=AL$1)*(Budgets!$B$2:$B$200&lt;=$A96)),Budgets!$C$2:$C$200),0))</f>
        <v/>
      </c>
      <c r="AM96" s="88">
        <f>IF(OR(AM$1="",$BE96=0),"",IFERROR(LOOKUP(2,1/((Budgets!$A$2:$A$200=AM$1)*(Budgets!$B$2:$B$200&lt;=$A96)),Budgets!$C$2:$C$200),0))</f>
        <v/>
      </c>
      <c r="AN96" s="88">
        <f>IF(OR(AN$1="",$BE96=0),"",IFERROR(LOOKUP(2,1/((Budgets!$A$2:$A$200=AN$1)*(Budgets!$B$2:$B$200&lt;=$A96)),Budgets!$C$2:$C$200),0))</f>
        <v/>
      </c>
      <c r="AO96" s="88">
        <f>IF(OR(AO$1="",$BE96=0),"",IFERROR(LOOKUP(2,1/((Budgets!$A$2:$A$200=AO$1)*(Budgets!$B$2:$B$200&lt;=$A96)),Budgets!$C$2:$C$200),0))</f>
        <v/>
      </c>
      <c r="AP96" s="88">
        <f>IF(OR(AP$1="",$BE96=0),"",IFERROR(LOOKUP(2,1/((Budgets!$A$2:$A$200=AP$1)*(Budgets!$B$2:$B$200&lt;=$A96)),Budgets!$C$2:$C$200),0))</f>
        <v/>
      </c>
      <c r="AQ96" s="88">
        <f>IF(OR(AQ$1="",$BE96=0),"",IFERROR(LOOKUP(2,1/((Budgets!$A$2:$A$200=AQ$1)*(Budgets!$B$2:$B$200&lt;=$A96)),Budgets!$C$2:$C$200),0))</f>
        <v/>
      </c>
      <c r="AR96" s="88">
        <f>IF(OR(AR$1="",$BE96=0),"",IFERROR(LOOKUP(2,1/((Budgets!$A$2:$A$200=AR$1)*(Budgets!$B$2:$B$200&lt;=$A96)),Budgets!$C$2:$C$200),0))</f>
        <v/>
      </c>
      <c r="AS96" s="88">
        <f>IF(OR(AS$1="",$BE96=0),"",IFERROR(LOOKUP(2,1/((Budgets!$A$2:$A$200=AS$1)*(Budgets!$B$2:$B$200&lt;=$A96)),Budgets!$C$2:$C$200),0))</f>
        <v/>
      </c>
      <c r="AT96" s="88">
        <f>IF(OR(AT$1="",$BE96=0),"",IFERROR(LOOKUP(2,1/((Budgets!$A$2:$A$200=AT$1)*(Budgets!$B$2:$B$200&lt;=$A96)),Budgets!$C$2:$C$200),0))</f>
        <v/>
      </c>
      <c r="AU96" s="88">
        <f>IF(OR(AU$1="",$BE96=0),"",IFERROR(LOOKUP(2,1/((Budgets!$A$2:$A$200=AU$1)*(Budgets!$B$2:$B$200&lt;=$A96)),Budgets!$C$2:$C$200),0))</f>
        <v/>
      </c>
      <c r="AV96" s="88">
        <f>IF(OR(AV$1="",$BE96=0),"",IFERROR(LOOKUP(2,1/((Budgets!$A$2:$A$200=AV$1)*(Budgets!$B$2:$B$200&lt;=$A96)),Budgets!$C$2:$C$200),0))</f>
        <v/>
      </c>
      <c r="AW96" s="88">
        <f>IF(OR(AW$1="",$BE96=0),"",IFERROR(LOOKUP(2,1/((Budgets!$A$2:$A$200=AW$1)*(Budgets!$B$2:$B$200&lt;=$A96)),Budgets!$C$2:$C$200),0))</f>
        <v/>
      </c>
      <c r="AX96" s="88">
        <f>IF(OR(AX$1="",$BE96=0),"",IFERROR(LOOKUP(2,1/((Budgets!$A$2:$A$200=AX$1)*(Budgets!$B$2:$B$200&lt;=$A96)),Budgets!$C$2:$C$200),0))</f>
        <v/>
      </c>
      <c r="AY96" s="88">
        <f>IF(OR(AY$1="",$BE96=0),"",IFERROR(LOOKUP(2,1/((Budgets!$A$2:$A$200=AY$1)*(Budgets!$B$2:$B$200&lt;=$A96)),Budgets!$C$2:$C$200),0))</f>
        <v/>
      </c>
      <c r="AZ96" s="88">
        <f>IF(OR(AZ$1="",$BE96=0),"",IFERROR(LOOKUP(2,1/((Budgets!$A$2:$A$200=AZ$1)*(Budgets!$B$2:$B$200&lt;=$A96)),Budgets!$C$2:$C$200),0))</f>
        <v/>
      </c>
      <c r="BA96" s="88">
        <f>IF(OR(BA$1="",$BE96=0),"",IFERROR(LOOKUP(2,1/((Budgets!$A$2:$A$200=BA$1)*(Budgets!$B$2:$B$200&lt;=$A96)),Budgets!$C$2:$C$200),0))</f>
        <v/>
      </c>
      <c r="BB96" s="88">
        <f>IF(OR(BB$1="",$BE96=0),"",IFERROR(LOOKUP(2,1/((Budgets!$A$2:$A$200=BB$1)*(Budgets!$B$2:$B$200&lt;=$A96)),Budgets!$C$2:$C$200),0))</f>
        <v/>
      </c>
      <c r="BC96" s="88">
        <f>IF(OR(BC$1="",$BE96=0),"",IFERROR(LOOKUP(2,1/((Budgets!$A$2:$A$200=BC$1)*(Budgets!$B$2:$B$200&lt;=$A96)),Budgets!$C$2:$C$200),0))</f>
        <v/>
      </c>
      <c r="BE96" s="67">
        <f>COUNTIFS(Entries!$A$2:$A$5000,$A96)</f>
        <v/>
      </c>
    </row>
    <row r="97" ht="15" customHeight="1" s="43">
      <c r="A97" s="87" t="n">
        <v>42339</v>
      </c>
      <c r="B97" s="88">
        <f>IF($BE97=0,NA(),SUMIFS(Entries!$D$2:$D$5000,Entries!$C$2:$C$5000,"Income",Entries!$A$2:$A$5000,$A97))</f>
        <v/>
      </c>
      <c r="C97" s="88">
        <f>IF($BE97=0,"",SUMIFS(Entries!$D$2:$D$5000,Entries!$C$2:$C$5000,"Actual",Entries!$A$2:$A$5000,$A97))</f>
        <v/>
      </c>
      <c r="D97" s="88">
        <f>IF($BE97=0,"",SUMIFS(Entries!$D$2:$D$5000,Entries!$C$2:$C$5000,"One-off",Entries!$A$2:$A$5000,$A97))</f>
        <v/>
      </c>
      <c r="E97" s="88">
        <f>IF($BE97=0,NA(),C97+D97)</f>
        <v/>
      </c>
      <c r="F97" s="88">
        <f>IF($BE97=0,"",SUM(AJ97:BC97))</f>
        <v/>
      </c>
      <c r="G97" s="88">
        <f>IF($BE97=0,"",B97-E97)</f>
        <v/>
      </c>
      <c r="H97" s="88">
        <f>IF($BE97=0,"",SUM($G$2:G97))</f>
        <v/>
      </c>
      <c r="I97" s="88">
        <f>IF($BE97=0,"",SUMIFS(Entries!$F$2:$F$5000,Entries!$A$2:$A$5000,$A97))</f>
        <v/>
      </c>
      <c r="J97" s="88">
        <f>IF($BE97=0,NA(),H97+SUM($I$2:I97))</f>
        <v/>
      </c>
      <c r="K97" s="88">
        <f>IF($BE97=0,"",SUMIFS(Entries!$D$2:$D$5000,Entries!$C$2:$C$5000,"Income",Entries!$A$2:$A$5000,"&gt;="&amp;EDATE($A97,-11),Entries!$A$2:$A$5000,"&lt;="&amp;$A97)/12)</f>
        <v/>
      </c>
      <c r="L97" s="88">
        <f>IF($BE97=0,"",(SUMIFS(Entries!$D$2:$D$5000,Entries!$C$2:$C$5000,"Actual",Entries!$A$2:$A$5000,"&gt;="&amp;EDATE($A97,-11),Entries!$A$2:$A$5000,"&lt;="&amp;$A97)+SUMIFS(Entries!$D$2:$D$5000,Entries!$C$2:$C$5000,"One-off",Entries!$A$2:$A$5000,"&gt;="&amp;EDATE($A97,-11),Entries!$A$2:$A$5000,"&lt;="&amp;$A97))/12)</f>
        <v/>
      </c>
      <c r="M97" s="70">
        <f>IF($BE97=0,NA(),IFERROR((K97-L97)/K97,0))</f>
        <v/>
      </c>
      <c r="O97" s="88">
        <f>IF(OR(O$1="",$BE97=0),"",SUMIFS(Entries!$D$2:$D$5000,Entries!$C$2:$C$5000,"Actual",Entries!$A$2:$A$5000,$A97,Entries!$B$2:$B$5000,O$1))</f>
        <v/>
      </c>
      <c r="P97" s="88">
        <f>IF(OR(P$1="",$BE97=0),"",SUMIFS(Entries!$D$2:$D$5000,Entries!$C$2:$C$5000,"Actual",Entries!$A$2:$A$5000,$A97,Entries!$B$2:$B$5000,P$1))</f>
        <v/>
      </c>
      <c r="Q97" s="88">
        <f>IF(OR(Q$1="",$BE97=0),"",SUMIFS(Entries!$D$2:$D$5000,Entries!$C$2:$C$5000,"Actual",Entries!$A$2:$A$5000,$A97,Entries!$B$2:$B$5000,Q$1))</f>
        <v/>
      </c>
      <c r="R97" s="88">
        <f>IF(OR(R$1="",$BE97=0),"",SUMIFS(Entries!$D$2:$D$5000,Entries!$C$2:$C$5000,"Actual",Entries!$A$2:$A$5000,$A97,Entries!$B$2:$B$5000,R$1))</f>
        <v/>
      </c>
      <c r="S97" s="88">
        <f>IF(OR(S$1="",$BE97=0),"",SUMIFS(Entries!$D$2:$D$5000,Entries!$C$2:$C$5000,"Actual",Entries!$A$2:$A$5000,$A97,Entries!$B$2:$B$5000,S$1))</f>
        <v/>
      </c>
      <c r="T97" s="88">
        <f>IF(OR(T$1="",$BE97=0),"",SUMIFS(Entries!$D$2:$D$5000,Entries!$C$2:$C$5000,"Actual",Entries!$A$2:$A$5000,$A97,Entries!$B$2:$B$5000,T$1))</f>
        <v/>
      </c>
      <c r="U97" s="88">
        <f>IF(OR(U$1="",$BE97=0),"",SUMIFS(Entries!$D$2:$D$5000,Entries!$C$2:$C$5000,"Actual",Entries!$A$2:$A$5000,$A97,Entries!$B$2:$B$5000,U$1))</f>
        <v/>
      </c>
      <c r="V97" s="88">
        <f>IF(OR(V$1="",$BE97=0),"",SUMIFS(Entries!$D$2:$D$5000,Entries!$C$2:$C$5000,"Actual",Entries!$A$2:$A$5000,$A97,Entries!$B$2:$B$5000,V$1))</f>
        <v/>
      </c>
      <c r="W97" s="88">
        <f>IF(OR(W$1="",$BE97=0),"",SUMIFS(Entries!$D$2:$D$5000,Entries!$C$2:$C$5000,"Actual",Entries!$A$2:$A$5000,$A97,Entries!$B$2:$B$5000,W$1))</f>
        <v/>
      </c>
      <c r="X97" s="88">
        <f>IF(OR(X$1="",$BE97=0),"",SUMIFS(Entries!$D$2:$D$5000,Entries!$C$2:$C$5000,"Actual",Entries!$A$2:$A$5000,$A97,Entries!$B$2:$B$5000,X$1))</f>
        <v/>
      </c>
      <c r="Y97" s="88">
        <f>IF(OR(Y$1="",$BE97=0),"",SUMIFS(Entries!$D$2:$D$5000,Entries!$C$2:$C$5000,"Actual",Entries!$A$2:$A$5000,$A97,Entries!$B$2:$B$5000,Y$1))</f>
        <v/>
      </c>
      <c r="Z97" s="88">
        <f>IF(OR(Z$1="",$BE97=0),"",SUMIFS(Entries!$D$2:$D$5000,Entries!$C$2:$C$5000,"Actual",Entries!$A$2:$A$5000,$A97,Entries!$B$2:$B$5000,Z$1))</f>
        <v/>
      </c>
      <c r="AA97" s="88">
        <f>IF(OR(AA$1="",$BE97=0),"",SUMIFS(Entries!$D$2:$D$5000,Entries!$C$2:$C$5000,"Actual",Entries!$A$2:$A$5000,$A97,Entries!$B$2:$B$5000,AA$1))</f>
        <v/>
      </c>
      <c r="AB97" s="88">
        <f>IF(OR(AB$1="",$BE97=0),"",SUMIFS(Entries!$D$2:$D$5000,Entries!$C$2:$C$5000,"Actual",Entries!$A$2:$A$5000,$A97,Entries!$B$2:$B$5000,AB$1))</f>
        <v/>
      </c>
      <c r="AC97" s="88">
        <f>IF(OR(AC$1="",$BE97=0),"",SUMIFS(Entries!$D$2:$D$5000,Entries!$C$2:$C$5000,"Actual",Entries!$A$2:$A$5000,$A97,Entries!$B$2:$B$5000,AC$1))</f>
        <v/>
      </c>
      <c r="AD97" s="88">
        <f>IF(OR(AD$1="",$BE97=0),"",SUMIFS(Entries!$D$2:$D$5000,Entries!$C$2:$C$5000,"Actual",Entries!$A$2:$A$5000,$A97,Entries!$B$2:$B$5000,AD$1))</f>
        <v/>
      </c>
      <c r="AE97" s="88">
        <f>IF(OR(AE$1="",$BE97=0),"",SUMIFS(Entries!$D$2:$D$5000,Entries!$C$2:$C$5000,"Actual",Entries!$A$2:$A$5000,$A97,Entries!$B$2:$B$5000,AE$1))</f>
        <v/>
      </c>
      <c r="AF97" s="88">
        <f>IF(OR(AF$1="",$BE97=0),"",SUMIFS(Entries!$D$2:$D$5000,Entries!$C$2:$C$5000,"Actual",Entries!$A$2:$A$5000,$A97,Entries!$B$2:$B$5000,AF$1))</f>
        <v/>
      </c>
      <c r="AG97" s="88">
        <f>IF(OR(AG$1="",$BE97=0),"",SUMIFS(Entries!$D$2:$D$5000,Entries!$C$2:$C$5000,"Actual",Entries!$A$2:$A$5000,$A97,Entries!$B$2:$B$5000,AG$1))</f>
        <v/>
      </c>
      <c r="AH97" s="88">
        <f>IF(OR(AH$1="",$BE97=0),"",SUMIFS(Entries!$D$2:$D$5000,Entries!$C$2:$C$5000,"Actual",Entries!$A$2:$A$5000,$A97,Entries!$B$2:$B$5000,AH$1))</f>
        <v/>
      </c>
      <c r="AJ97" s="88">
        <f>IF(OR(AJ$1="",$BE97=0),"",IFERROR(LOOKUP(2,1/((Budgets!$A$2:$A$200=AJ$1)*(Budgets!$B$2:$B$200&lt;=$A97)),Budgets!$C$2:$C$200),0))</f>
        <v/>
      </c>
      <c r="AK97" s="88">
        <f>IF(OR(AK$1="",$BE97=0),"",IFERROR(LOOKUP(2,1/((Budgets!$A$2:$A$200=AK$1)*(Budgets!$B$2:$B$200&lt;=$A97)),Budgets!$C$2:$C$200),0))</f>
        <v/>
      </c>
      <c r="AL97" s="88">
        <f>IF(OR(AL$1="",$BE97=0),"",IFERROR(LOOKUP(2,1/((Budgets!$A$2:$A$200=AL$1)*(Budgets!$B$2:$B$200&lt;=$A97)),Budgets!$C$2:$C$200),0))</f>
        <v/>
      </c>
      <c r="AM97" s="88">
        <f>IF(OR(AM$1="",$BE97=0),"",IFERROR(LOOKUP(2,1/((Budgets!$A$2:$A$200=AM$1)*(Budgets!$B$2:$B$200&lt;=$A97)),Budgets!$C$2:$C$200),0))</f>
        <v/>
      </c>
      <c r="AN97" s="88">
        <f>IF(OR(AN$1="",$BE97=0),"",IFERROR(LOOKUP(2,1/((Budgets!$A$2:$A$200=AN$1)*(Budgets!$B$2:$B$200&lt;=$A97)),Budgets!$C$2:$C$200),0))</f>
        <v/>
      </c>
      <c r="AO97" s="88">
        <f>IF(OR(AO$1="",$BE97=0),"",IFERROR(LOOKUP(2,1/((Budgets!$A$2:$A$200=AO$1)*(Budgets!$B$2:$B$200&lt;=$A97)),Budgets!$C$2:$C$200),0))</f>
        <v/>
      </c>
      <c r="AP97" s="88">
        <f>IF(OR(AP$1="",$BE97=0),"",IFERROR(LOOKUP(2,1/((Budgets!$A$2:$A$200=AP$1)*(Budgets!$B$2:$B$200&lt;=$A97)),Budgets!$C$2:$C$200),0))</f>
        <v/>
      </c>
      <c r="AQ97" s="88">
        <f>IF(OR(AQ$1="",$BE97=0),"",IFERROR(LOOKUP(2,1/((Budgets!$A$2:$A$200=AQ$1)*(Budgets!$B$2:$B$200&lt;=$A97)),Budgets!$C$2:$C$200),0))</f>
        <v/>
      </c>
      <c r="AR97" s="88">
        <f>IF(OR(AR$1="",$BE97=0),"",IFERROR(LOOKUP(2,1/((Budgets!$A$2:$A$200=AR$1)*(Budgets!$B$2:$B$200&lt;=$A97)),Budgets!$C$2:$C$200),0))</f>
        <v/>
      </c>
      <c r="AS97" s="88">
        <f>IF(OR(AS$1="",$BE97=0),"",IFERROR(LOOKUP(2,1/((Budgets!$A$2:$A$200=AS$1)*(Budgets!$B$2:$B$200&lt;=$A97)),Budgets!$C$2:$C$200),0))</f>
        <v/>
      </c>
      <c r="AT97" s="88">
        <f>IF(OR(AT$1="",$BE97=0),"",IFERROR(LOOKUP(2,1/((Budgets!$A$2:$A$200=AT$1)*(Budgets!$B$2:$B$200&lt;=$A97)),Budgets!$C$2:$C$200),0))</f>
        <v/>
      </c>
      <c r="AU97" s="88">
        <f>IF(OR(AU$1="",$BE97=0),"",IFERROR(LOOKUP(2,1/((Budgets!$A$2:$A$200=AU$1)*(Budgets!$B$2:$B$200&lt;=$A97)),Budgets!$C$2:$C$200),0))</f>
        <v/>
      </c>
      <c r="AV97" s="88">
        <f>IF(OR(AV$1="",$BE97=0),"",IFERROR(LOOKUP(2,1/((Budgets!$A$2:$A$200=AV$1)*(Budgets!$B$2:$B$200&lt;=$A97)),Budgets!$C$2:$C$200),0))</f>
        <v/>
      </c>
      <c r="AW97" s="88">
        <f>IF(OR(AW$1="",$BE97=0),"",IFERROR(LOOKUP(2,1/((Budgets!$A$2:$A$200=AW$1)*(Budgets!$B$2:$B$200&lt;=$A97)),Budgets!$C$2:$C$200),0))</f>
        <v/>
      </c>
      <c r="AX97" s="88">
        <f>IF(OR(AX$1="",$BE97=0),"",IFERROR(LOOKUP(2,1/((Budgets!$A$2:$A$200=AX$1)*(Budgets!$B$2:$B$200&lt;=$A97)),Budgets!$C$2:$C$200),0))</f>
        <v/>
      </c>
      <c r="AY97" s="88">
        <f>IF(OR(AY$1="",$BE97=0),"",IFERROR(LOOKUP(2,1/((Budgets!$A$2:$A$200=AY$1)*(Budgets!$B$2:$B$200&lt;=$A97)),Budgets!$C$2:$C$200),0))</f>
        <v/>
      </c>
      <c r="AZ97" s="88">
        <f>IF(OR(AZ$1="",$BE97=0),"",IFERROR(LOOKUP(2,1/((Budgets!$A$2:$A$200=AZ$1)*(Budgets!$B$2:$B$200&lt;=$A97)),Budgets!$C$2:$C$200),0))</f>
        <v/>
      </c>
      <c r="BA97" s="88">
        <f>IF(OR(BA$1="",$BE97=0),"",IFERROR(LOOKUP(2,1/((Budgets!$A$2:$A$200=BA$1)*(Budgets!$B$2:$B$200&lt;=$A97)),Budgets!$C$2:$C$200),0))</f>
        <v/>
      </c>
      <c r="BB97" s="88">
        <f>IF(OR(BB$1="",$BE97=0),"",IFERROR(LOOKUP(2,1/((Budgets!$A$2:$A$200=BB$1)*(Budgets!$B$2:$B$200&lt;=$A97)),Budgets!$C$2:$C$200),0))</f>
        <v/>
      </c>
      <c r="BC97" s="88">
        <f>IF(OR(BC$1="",$BE97=0),"",IFERROR(LOOKUP(2,1/((Budgets!$A$2:$A$200=BC$1)*(Budgets!$B$2:$B$200&lt;=$A97)),Budgets!$C$2:$C$200),0))</f>
        <v/>
      </c>
      <c r="BE97" s="67">
        <f>COUNTIFS(Entries!$A$2:$A$5000,$A97)</f>
        <v/>
      </c>
    </row>
    <row r="98" ht="15" customHeight="1" s="43">
      <c r="A98" s="87" t="n">
        <v>42370</v>
      </c>
      <c r="B98" s="88">
        <f>IF($BE98=0,NA(),SUMIFS(Entries!$D$2:$D$5000,Entries!$C$2:$C$5000,"Income",Entries!$A$2:$A$5000,$A98))</f>
        <v/>
      </c>
      <c r="C98" s="88">
        <f>IF($BE98=0,"",SUMIFS(Entries!$D$2:$D$5000,Entries!$C$2:$C$5000,"Actual",Entries!$A$2:$A$5000,$A98))</f>
        <v/>
      </c>
      <c r="D98" s="88">
        <f>IF($BE98=0,"",SUMIFS(Entries!$D$2:$D$5000,Entries!$C$2:$C$5000,"One-off",Entries!$A$2:$A$5000,$A98))</f>
        <v/>
      </c>
      <c r="E98" s="88">
        <f>IF($BE98=0,NA(),C98+D98)</f>
        <v/>
      </c>
      <c r="F98" s="88">
        <f>IF($BE98=0,"",SUM(AJ98:BC98))</f>
        <v/>
      </c>
      <c r="G98" s="88">
        <f>IF($BE98=0,"",B98-E98)</f>
        <v/>
      </c>
      <c r="H98" s="88">
        <f>IF($BE98=0,"",SUM($G$2:G98))</f>
        <v/>
      </c>
      <c r="I98" s="88">
        <f>IF($BE98=0,"",SUMIFS(Entries!$F$2:$F$5000,Entries!$A$2:$A$5000,$A98))</f>
        <v/>
      </c>
      <c r="J98" s="88">
        <f>IF($BE98=0,NA(),H98+SUM($I$2:I98))</f>
        <v/>
      </c>
      <c r="K98" s="88">
        <f>IF($BE98=0,"",SUMIFS(Entries!$D$2:$D$5000,Entries!$C$2:$C$5000,"Income",Entries!$A$2:$A$5000,"&gt;="&amp;EDATE($A98,-11),Entries!$A$2:$A$5000,"&lt;="&amp;$A98)/12)</f>
        <v/>
      </c>
      <c r="L98" s="88">
        <f>IF($BE98=0,"",(SUMIFS(Entries!$D$2:$D$5000,Entries!$C$2:$C$5000,"Actual",Entries!$A$2:$A$5000,"&gt;="&amp;EDATE($A98,-11),Entries!$A$2:$A$5000,"&lt;="&amp;$A98)+SUMIFS(Entries!$D$2:$D$5000,Entries!$C$2:$C$5000,"One-off",Entries!$A$2:$A$5000,"&gt;="&amp;EDATE($A98,-11),Entries!$A$2:$A$5000,"&lt;="&amp;$A98))/12)</f>
        <v/>
      </c>
      <c r="M98" s="70">
        <f>IF($BE98=0,NA(),IFERROR((K98-L98)/K98,0))</f>
        <v/>
      </c>
      <c r="O98" s="88">
        <f>IF(OR(O$1="",$BE98=0),"",SUMIFS(Entries!$D$2:$D$5000,Entries!$C$2:$C$5000,"Actual",Entries!$A$2:$A$5000,$A98,Entries!$B$2:$B$5000,O$1))</f>
        <v/>
      </c>
      <c r="P98" s="88">
        <f>IF(OR(P$1="",$BE98=0),"",SUMIFS(Entries!$D$2:$D$5000,Entries!$C$2:$C$5000,"Actual",Entries!$A$2:$A$5000,$A98,Entries!$B$2:$B$5000,P$1))</f>
        <v/>
      </c>
      <c r="Q98" s="88">
        <f>IF(OR(Q$1="",$BE98=0),"",SUMIFS(Entries!$D$2:$D$5000,Entries!$C$2:$C$5000,"Actual",Entries!$A$2:$A$5000,$A98,Entries!$B$2:$B$5000,Q$1))</f>
        <v/>
      </c>
      <c r="R98" s="88">
        <f>IF(OR(R$1="",$BE98=0),"",SUMIFS(Entries!$D$2:$D$5000,Entries!$C$2:$C$5000,"Actual",Entries!$A$2:$A$5000,$A98,Entries!$B$2:$B$5000,R$1))</f>
        <v/>
      </c>
      <c r="S98" s="88">
        <f>IF(OR(S$1="",$BE98=0),"",SUMIFS(Entries!$D$2:$D$5000,Entries!$C$2:$C$5000,"Actual",Entries!$A$2:$A$5000,$A98,Entries!$B$2:$B$5000,S$1))</f>
        <v/>
      </c>
      <c r="T98" s="88">
        <f>IF(OR(T$1="",$BE98=0),"",SUMIFS(Entries!$D$2:$D$5000,Entries!$C$2:$C$5000,"Actual",Entries!$A$2:$A$5000,$A98,Entries!$B$2:$B$5000,T$1))</f>
        <v/>
      </c>
      <c r="U98" s="88">
        <f>IF(OR(U$1="",$BE98=0),"",SUMIFS(Entries!$D$2:$D$5000,Entries!$C$2:$C$5000,"Actual",Entries!$A$2:$A$5000,$A98,Entries!$B$2:$B$5000,U$1))</f>
        <v/>
      </c>
      <c r="V98" s="88">
        <f>IF(OR(V$1="",$BE98=0),"",SUMIFS(Entries!$D$2:$D$5000,Entries!$C$2:$C$5000,"Actual",Entries!$A$2:$A$5000,$A98,Entries!$B$2:$B$5000,V$1))</f>
        <v/>
      </c>
      <c r="W98" s="88">
        <f>IF(OR(W$1="",$BE98=0),"",SUMIFS(Entries!$D$2:$D$5000,Entries!$C$2:$C$5000,"Actual",Entries!$A$2:$A$5000,$A98,Entries!$B$2:$B$5000,W$1))</f>
        <v/>
      </c>
      <c r="X98" s="88">
        <f>IF(OR(X$1="",$BE98=0),"",SUMIFS(Entries!$D$2:$D$5000,Entries!$C$2:$C$5000,"Actual",Entries!$A$2:$A$5000,$A98,Entries!$B$2:$B$5000,X$1))</f>
        <v/>
      </c>
      <c r="Y98" s="88">
        <f>IF(OR(Y$1="",$BE98=0),"",SUMIFS(Entries!$D$2:$D$5000,Entries!$C$2:$C$5000,"Actual",Entries!$A$2:$A$5000,$A98,Entries!$B$2:$B$5000,Y$1))</f>
        <v/>
      </c>
      <c r="Z98" s="88">
        <f>IF(OR(Z$1="",$BE98=0),"",SUMIFS(Entries!$D$2:$D$5000,Entries!$C$2:$C$5000,"Actual",Entries!$A$2:$A$5000,$A98,Entries!$B$2:$B$5000,Z$1))</f>
        <v/>
      </c>
      <c r="AA98" s="88">
        <f>IF(OR(AA$1="",$BE98=0),"",SUMIFS(Entries!$D$2:$D$5000,Entries!$C$2:$C$5000,"Actual",Entries!$A$2:$A$5000,$A98,Entries!$B$2:$B$5000,AA$1))</f>
        <v/>
      </c>
      <c r="AB98" s="88">
        <f>IF(OR(AB$1="",$BE98=0),"",SUMIFS(Entries!$D$2:$D$5000,Entries!$C$2:$C$5000,"Actual",Entries!$A$2:$A$5000,$A98,Entries!$B$2:$B$5000,AB$1))</f>
        <v/>
      </c>
      <c r="AC98" s="88">
        <f>IF(OR(AC$1="",$BE98=0),"",SUMIFS(Entries!$D$2:$D$5000,Entries!$C$2:$C$5000,"Actual",Entries!$A$2:$A$5000,$A98,Entries!$B$2:$B$5000,AC$1))</f>
        <v/>
      </c>
      <c r="AD98" s="88">
        <f>IF(OR(AD$1="",$BE98=0),"",SUMIFS(Entries!$D$2:$D$5000,Entries!$C$2:$C$5000,"Actual",Entries!$A$2:$A$5000,$A98,Entries!$B$2:$B$5000,AD$1))</f>
        <v/>
      </c>
      <c r="AE98" s="88">
        <f>IF(OR(AE$1="",$BE98=0),"",SUMIFS(Entries!$D$2:$D$5000,Entries!$C$2:$C$5000,"Actual",Entries!$A$2:$A$5000,$A98,Entries!$B$2:$B$5000,AE$1))</f>
        <v/>
      </c>
      <c r="AF98" s="88">
        <f>IF(OR(AF$1="",$BE98=0),"",SUMIFS(Entries!$D$2:$D$5000,Entries!$C$2:$C$5000,"Actual",Entries!$A$2:$A$5000,$A98,Entries!$B$2:$B$5000,AF$1))</f>
        <v/>
      </c>
      <c r="AG98" s="88">
        <f>IF(OR(AG$1="",$BE98=0),"",SUMIFS(Entries!$D$2:$D$5000,Entries!$C$2:$C$5000,"Actual",Entries!$A$2:$A$5000,$A98,Entries!$B$2:$B$5000,AG$1))</f>
        <v/>
      </c>
      <c r="AH98" s="88">
        <f>IF(OR(AH$1="",$BE98=0),"",SUMIFS(Entries!$D$2:$D$5000,Entries!$C$2:$C$5000,"Actual",Entries!$A$2:$A$5000,$A98,Entries!$B$2:$B$5000,AH$1))</f>
        <v/>
      </c>
      <c r="AJ98" s="88">
        <f>IF(OR(AJ$1="",$BE98=0),"",IFERROR(LOOKUP(2,1/((Budgets!$A$2:$A$200=AJ$1)*(Budgets!$B$2:$B$200&lt;=$A98)),Budgets!$C$2:$C$200),0))</f>
        <v/>
      </c>
      <c r="AK98" s="88">
        <f>IF(OR(AK$1="",$BE98=0),"",IFERROR(LOOKUP(2,1/((Budgets!$A$2:$A$200=AK$1)*(Budgets!$B$2:$B$200&lt;=$A98)),Budgets!$C$2:$C$200),0))</f>
        <v/>
      </c>
      <c r="AL98" s="88">
        <f>IF(OR(AL$1="",$BE98=0),"",IFERROR(LOOKUP(2,1/((Budgets!$A$2:$A$200=AL$1)*(Budgets!$B$2:$B$200&lt;=$A98)),Budgets!$C$2:$C$200),0))</f>
        <v/>
      </c>
      <c r="AM98" s="88">
        <f>IF(OR(AM$1="",$BE98=0),"",IFERROR(LOOKUP(2,1/((Budgets!$A$2:$A$200=AM$1)*(Budgets!$B$2:$B$200&lt;=$A98)),Budgets!$C$2:$C$200),0))</f>
        <v/>
      </c>
      <c r="AN98" s="88">
        <f>IF(OR(AN$1="",$BE98=0),"",IFERROR(LOOKUP(2,1/((Budgets!$A$2:$A$200=AN$1)*(Budgets!$B$2:$B$200&lt;=$A98)),Budgets!$C$2:$C$200),0))</f>
        <v/>
      </c>
      <c r="AO98" s="88">
        <f>IF(OR(AO$1="",$BE98=0),"",IFERROR(LOOKUP(2,1/((Budgets!$A$2:$A$200=AO$1)*(Budgets!$B$2:$B$200&lt;=$A98)),Budgets!$C$2:$C$200),0))</f>
        <v/>
      </c>
      <c r="AP98" s="88">
        <f>IF(OR(AP$1="",$BE98=0),"",IFERROR(LOOKUP(2,1/((Budgets!$A$2:$A$200=AP$1)*(Budgets!$B$2:$B$200&lt;=$A98)),Budgets!$C$2:$C$200),0))</f>
        <v/>
      </c>
      <c r="AQ98" s="88">
        <f>IF(OR(AQ$1="",$BE98=0),"",IFERROR(LOOKUP(2,1/((Budgets!$A$2:$A$200=AQ$1)*(Budgets!$B$2:$B$200&lt;=$A98)),Budgets!$C$2:$C$200),0))</f>
        <v/>
      </c>
      <c r="AR98" s="88">
        <f>IF(OR(AR$1="",$BE98=0),"",IFERROR(LOOKUP(2,1/((Budgets!$A$2:$A$200=AR$1)*(Budgets!$B$2:$B$200&lt;=$A98)),Budgets!$C$2:$C$200),0))</f>
        <v/>
      </c>
      <c r="AS98" s="88">
        <f>IF(OR(AS$1="",$BE98=0),"",IFERROR(LOOKUP(2,1/((Budgets!$A$2:$A$200=AS$1)*(Budgets!$B$2:$B$200&lt;=$A98)),Budgets!$C$2:$C$200),0))</f>
        <v/>
      </c>
      <c r="AT98" s="88">
        <f>IF(OR(AT$1="",$BE98=0),"",IFERROR(LOOKUP(2,1/((Budgets!$A$2:$A$200=AT$1)*(Budgets!$B$2:$B$200&lt;=$A98)),Budgets!$C$2:$C$200),0))</f>
        <v/>
      </c>
      <c r="AU98" s="88">
        <f>IF(OR(AU$1="",$BE98=0),"",IFERROR(LOOKUP(2,1/((Budgets!$A$2:$A$200=AU$1)*(Budgets!$B$2:$B$200&lt;=$A98)),Budgets!$C$2:$C$200),0))</f>
        <v/>
      </c>
      <c r="AV98" s="88">
        <f>IF(OR(AV$1="",$BE98=0),"",IFERROR(LOOKUP(2,1/((Budgets!$A$2:$A$200=AV$1)*(Budgets!$B$2:$B$200&lt;=$A98)),Budgets!$C$2:$C$200),0))</f>
        <v/>
      </c>
      <c r="AW98" s="88">
        <f>IF(OR(AW$1="",$BE98=0),"",IFERROR(LOOKUP(2,1/((Budgets!$A$2:$A$200=AW$1)*(Budgets!$B$2:$B$200&lt;=$A98)),Budgets!$C$2:$C$200),0))</f>
        <v/>
      </c>
      <c r="AX98" s="88">
        <f>IF(OR(AX$1="",$BE98=0),"",IFERROR(LOOKUP(2,1/((Budgets!$A$2:$A$200=AX$1)*(Budgets!$B$2:$B$200&lt;=$A98)),Budgets!$C$2:$C$200),0))</f>
        <v/>
      </c>
      <c r="AY98" s="88">
        <f>IF(OR(AY$1="",$BE98=0),"",IFERROR(LOOKUP(2,1/((Budgets!$A$2:$A$200=AY$1)*(Budgets!$B$2:$B$200&lt;=$A98)),Budgets!$C$2:$C$200),0))</f>
        <v/>
      </c>
      <c r="AZ98" s="88">
        <f>IF(OR(AZ$1="",$BE98=0),"",IFERROR(LOOKUP(2,1/((Budgets!$A$2:$A$200=AZ$1)*(Budgets!$B$2:$B$200&lt;=$A98)),Budgets!$C$2:$C$200),0))</f>
        <v/>
      </c>
      <c r="BA98" s="88">
        <f>IF(OR(BA$1="",$BE98=0),"",IFERROR(LOOKUP(2,1/((Budgets!$A$2:$A$200=BA$1)*(Budgets!$B$2:$B$200&lt;=$A98)),Budgets!$C$2:$C$200),0))</f>
        <v/>
      </c>
      <c r="BB98" s="88">
        <f>IF(OR(BB$1="",$BE98=0),"",IFERROR(LOOKUP(2,1/((Budgets!$A$2:$A$200=BB$1)*(Budgets!$B$2:$B$200&lt;=$A98)),Budgets!$C$2:$C$200),0))</f>
        <v/>
      </c>
      <c r="BC98" s="88">
        <f>IF(OR(BC$1="",$BE98=0),"",IFERROR(LOOKUP(2,1/((Budgets!$A$2:$A$200=BC$1)*(Budgets!$B$2:$B$200&lt;=$A98)),Budgets!$C$2:$C$200),0))</f>
        <v/>
      </c>
      <c r="BE98" s="67">
        <f>COUNTIFS(Entries!$A$2:$A$5000,$A98)</f>
        <v/>
      </c>
    </row>
    <row r="99" ht="15" customHeight="1" s="43">
      <c r="A99" s="87" t="n">
        <v>42401</v>
      </c>
      <c r="B99" s="88">
        <f>IF($BE99=0,NA(),SUMIFS(Entries!$D$2:$D$5000,Entries!$C$2:$C$5000,"Income",Entries!$A$2:$A$5000,$A99))</f>
        <v/>
      </c>
      <c r="C99" s="88">
        <f>IF($BE99=0,"",SUMIFS(Entries!$D$2:$D$5000,Entries!$C$2:$C$5000,"Actual",Entries!$A$2:$A$5000,$A99))</f>
        <v/>
      </c>
      <c r="D99" s="88">
        <f>IF($BE99=0,"",SUMIFS(Entries!$D$2:$D$5000,Entries!$C$2:$C$5000,"One-off",Entries!$A$2:$A$5000,$A99))</f>
        <v/>
      </c>
      <c r="E99" s="88">
        <f>IF($BE99=0,NA(),C99+D99)</f>
        <v/>
      </c>
      <c r="F99" s="88">
        <f>IF($BE99=0,"",SUM(AJ99:BC99))</f>
        <v/>
      </c>
      <c r="G99" s="88">
        <f>IF($BE99=0,"",B99-E99)</f>
        <v/>
      </c>
      <c r="H99" s="88">
        <f>IF($BE99=0,"",SUM($G$2:G99))</f>
        <v/>
      </c>
      <c r="I99" s="88">
        <f>IF($BE99=0,"",SUMIFS(Entries!$F$2:$F$5000,Entries!$A$2:$A$5000,$A99))</f>
        <v/>
      </c>
      <c r="J99" s="88">
        <f>IF($BE99=0,NA(),H99+SUM($I$2:I99))</f>
        <v/>
      </c>
      <c r="K99" s="88">
        <f>IF($BE99=0,"",SUMIFS(Entries!$D$2:$D$5000,Entries!$C$2:$C$5000,"Income",Entries!$A$2:$A$5000,"&gt;="&amp;EDATE($A99,-11),Entries!$A$2:$A$5000,"&lt;="&amp;$A99)/12)</f>
        <v/>
      </c>
      <c r="L99" s="88">
        <f>IF($BE99=0,"",(SUMIFS(Entries!$D$2:$D$5000,Entries!$C$2:$C$5000,"Actual",Entries!$A$2:$A$5000,"&gt;="&amp;EDATE($A99,-11),Entries!$A$2:$A$5000,"&lt;="&amp;$A99)+SUMIFS(Entries!$D$2:$D$5000,Entries!$C$2:$C$5000,"One-off",Entries!$A$2:$A$5000,"&gt;="&amp;EDATE($A99,-11),Entries!$A$2:$A$5000,"&lt;="&amp;$A99))/12)</f>
        <v/>
      </c>
      <c r="M99" s="70">
        <f>IF($BE99=0,NA(),IFERROR((K99-L99)/K99,0))</f>
        <v/>
      </c>
      <c r="O99" s="88">
        <f>IF(OR(O$1="",$BE99=0),"",SUMIFS(Entries!$D$2:$D$5000,Entries!$C$2:$C$5000,"Actual",Entries!$A$2:$A$5000,$A99,Entries!$B$2:$B$5000,O$1))</f>
        <v/>
      </c>
      <c r="P99" s="88">
        <f>IF(OR(P$1="",$BE99=0),"",SUMIFS(Entries!$D$2:$D$5000,Entries!$C$2:$C$5000,"Actual",Entries!$A$2:$A$5000,$A99,Entries!$B$2:$B$5000,P$1))</f>
        <v/>
      </c>
      <c r="Q99" s="88">
        <f>IF(OR(Q$1="",$BE99=0),"",SUMIFS(Entries!$D$2:$D$5000,Entries!$C$2:$C$5000,"Actual",Entries!$A$2:$A$5000,$A99,Entries!$B$2:$B$5000,Q$1))</f>
        <v/>
      </c>
      <c r="R99" s="88">
        <f>IF(OR(R$1="",$BE99=0),"",SUMIFS(Entries!$D$2:$D$5000,Entries!$C$2:$C$5000,"Actual",Entries!$A$2:$A$5000,$A99,Entries!$B$2:$B$5000,R$1))</f>
        <v/>
      </c>
      <c r="S99" s="88">
        <f>IF(OR(S$1="",$BE99=0),"",SUMIFS(Entries!$D$2:$D$5000,Entries!$C$2:$C$5000,"Actual",Entries!$A$2:$A$5000,$A99,Entries!$B$2:$B$5000,S$1))</f>
        <v/>
      </c>
      <c r="T99" s="88">
        <f>IF(OR(T$1="",$BE99=0),"",SUMIFS(Entries!$D$2:$D$5000,Entries!$C$2:$C$5000,"Actual",Entries!$A$2:$A$5000,$A99,Entries!$B$2:$B$5000,T$1))</f>
        <v/>
      </c>
      <c r="U99" s="88">
        <f>IF(OR(U$1="",$BE99=0),"",SUMIFS(Entries!$D$2:$D$5000,Entries!$C$2:$C$5000,"Actual",Entries!$A$2:$A$5000,$A99,Entries!$B$2:$B$5000,U$1))</f>
        <v/>
      </c>
      <c r="V99" s="88">
        <f>IF(OR(V$1="",$BE99=0),"",SUMIFS(Entries!$D$2:$D$5000,Entries!$C$2:$C$5000,"Actual",Entries!$A$2:$A$5000,$A99,Entries!$B$2:$B$5000,V$1))</f>
        <v/>
      </c>
      <c r="W99" s="88">
        <f>IF(OR(W$1="",$BE99=0),"",SUMIFS(Entries!$D$2:$D$5000,Entries!$C$2:$C$5000,"Actual",Entries!$A$2:$A$5000,$A99,Entries!$B$2:$B$5000,W$1))</f>
        <v/>
      </c>
      <c r="X99" s="88">
        <f>IF(OR(X$1="",$BE99=0),"",SUMIFS(Entries!$D$2:$D$5000,Entries!$C$2:$C$5000,"Actual",Entries!$A$2:$A$5000,$A99,Entries!$B$2:$B$5000,X$1))</f>
        <v/>
      </c>
      <c r="Y99" s="88">
        <f>IF(OR(Y$1="",$BE99=0),"",SUMIFS(Entries!$D$2:$D$5000,Entries!$C$2:$C$5000,"Actual",Entries!$A$2:$A$5000,$A99,Entries!$B$2:$B$5000,Y$1))</f>
        <v/>
      </c>
      <c r="Z99" s="88">
        <f>IF(OR(Z$1="",$BE99=0),"",SUMIFS(Entries!$D$2:$D$5000,Entries!$C$2:$C$5000,"Actual",Entries!$A$2:$A$5000,$A99,Entries!$B$2:$B$5000,Z$1))</f>
        <v/>
      </c>
      <c r="AA99" s="88">
        <f>IF(OR(AA$1="",$BE99=0),"",SUMIFS(Entries!$D$2:$D$5000,Entries!$C$2:$C$5000,"Actual",Entries!$A$2:$A$5000,$A99,Entries!$B$2:$B$5000,AA$1))</f>
        <v/>
      </c>
      <c r="AB99" s="88">
        <f>IF(OR(AB$1="",$BE99=0),"",SUMIFS(Entries!$D$2:$D$5000,Entries!$C$2:$C$5000,"Actual",Entries!$A$2:$A$5000,$A99,Entries!$B$2:$B$5000,AB$1))</f>
        <v/>
      </c>
      <c r="AC99" s="88">
        <f>IF(OR(AC$1="",$BE99=0),"",SUMIFS(Entries!$D$2:$D$5000,Entries!$C$2:$C$5000,"Actual",Entries!$A$2:$A$5000,$A99,Entries!$B$2:$B$5000,AC$1))</f>
        <v/>
      </c>
      <c r="AD99" s="88">
        <f>IF(OR(AD$1="",$BE99=0),"",SUMIFS(Entries!$D$2:$D$5000,Entries!$C$2:$C$5000,"Actual",Entries!$A$2:$A$5000,$A99,Entries!$B$2:$B$5000,AD$1))</f>
        <v/>
      </c>
      <c r="AE99" s="88">
        <f>IF(OR(AE$1="",$BE99=0),"",SUMIFS(Entries!$D$2:$D$5000,Entries!$C$2:$C$5000,"Actual",Entries!$A$2:$A$5000,$A99,Entries!$B$2:$B$5000,AE$1))</f>
        <v/>
      </c>
      <c r="AF99" s="88">
        <f>IF(OR(AF$1="",$BE99=0),"",SUMIFS(Entries!$D$2:$D$5000,Entries!$C$2:$C$5000,"Actual",Entries!$A$2:$A$5000,$A99,Entries!$B$2:$B$5000,AF$1))</f>
        <v/>
      </c>
      <c r="AG99" s="88">
        <f>IF(OR(AG$1="",$BE99=0),"",SUMIFS(Entries!$D$2:$D$5000,Entries!$C$2:$C$5000,"Actual",Entries!$A$2:$A$5000,$A99,Entries!$B$2:$B$5000,AG$1))</f>
        <v/>
      </c>
      <c r="AH99" s="88">
        <f>IF(OR(AH$1="",$BE99=0),"",SUMIFS(Entries!$D$2:$D$5000,Entries!$C$2:$C$5000,"Actual",Entries!$A$2:$A$5000,$A99,Entries!$B$2:$B$5000,AH$1))</f>
        <v/>
      </c>
      <c r="AJ99" s="88">
        <f>IF(OR(AJ$1="",$BE99=0),"",IFERROR(LOOKUP(2,1/((Budgets!$A$2:$A$200=AJ$1)*(Budgets!$B$2:$B$200&lt;=$A99)),Budgets!$C$2:$C$200),0))</f>
        <v/>
      </c>
      <c r="AK99" s="88">
        <f>IF(OR(AK$1="",$BE99=0),"",IFERROR(LOOKUP(2,1/((Budgets!$A$2:$A$200=AK$1)*(Budgets!$B$2:$B$200&lt;=$A99)),Budgets!$C$2:$C$200),0))</f>
        <v/>
      </c>
      <c r="AL99" s="88">
        <f>IF(OR(AL$1="",$BE99=0),"",IFERROR(LOOKUP(2,1/((Budgets!$A$2:$A$200=AL$1)*(Budgets!$B$2:$B$200&lt;=$A99)),Budgets!$C$2:$C$200),0))</f>
        <v/>
      </c>
      <c r="AM99" s="88">
        <f>IF(OR(AM$1="",$BE99=0),"",IFERROR(LOOKUP(2,1/((Budgets!$A$2:$A$200=AM$1)*(Budgets!$B$2:$B$200&lt;=$A99)),Budgets!$C$2:$C$200),0))</f>
        <v/>
      </c>
      <c r="AN99" s="88">
        <f>IF(OR(AN$1="",$BE99=0),"",IFERROR(LOOKUP(2,1/((Budgets!$A$2:$A$200=AN$1)*(Budgets!$B$2:$B$200&lt;=$A99)),Budgets!$C$2:$C$200),0))</f>
        <v/>
      </c>
      <c r="AO99" s="88">
        <f>IF(OR(AO$1="",$BE99=0),"",IFERROR(LOOKUP(2,1/((Budgets!$A$2:$A$200=AO$1)*(Budgets!$B$2:$B$200&lt;=$A99)),Budgets!$C$2:$C$200),0))</f>
        <v/>
      </c>
      <c r="AP99" s="88">
        <f>IF(OR(AP$1="",$BE99=0),"",IFERROR(LOOKUP(2,1/((Budgets!$A$2:$A$200=AP$1)*(Budgets!$B$2:$B$200&lt;=$A99)),Budgets!$C$2:$C$200),0))</f>
        <v/>
      </c>
      <c r="AQ99" s="88">
        <f>IF(OR(AQ$1="",$BE99=0),"",IFERROR(LOOKUP(2,1/((Budgets!$A$2:$A$200=AQ$1)*(Budgets!$B$2:$B$200&lt;=$A99)),Budgets!$C$2:$C$200),0))</f>
        <v/>
      </c>
      <c r="AR99" s="88">
        <f>IF(OR(AR$1="",$BE99=0),"",IFERROR(LOOKUP(2,1/((Budgets!$A$2:$A$200=AR$1)*(Budgets!$B$2:$B$200&lt;=$A99)),Budgets!$C$2:$C$200),0))</f>
        <v/>
      </c>
      <c r="AS99" s="88">
        <f>IF(OR(AS$1="",$BE99=0),"",IFERROR(LOOKUP(2,1/((Budgets!$A$2:$A$200=AS$1)*(Budgets!$B$2:$B$200&lt;=$A99)),Budgets!$C$2:$C$200),0))</f>
        <v/>
      </c>
      <c r="AT99" s="88">
        <f>IF(OR(AT$1="",$BE99=0),"",IFERROR(LOOKUP(2,1/((Budgets!$A$2:$A$200=AT$1)*(Budgets!$B$2:$B$200&lt;=$A99)),Budgets!$C$2:$C$200),0))</f>
        <v/>
      </c>
      <c r="AU99" s="88">
        <f>IF(OR(AU$1="",$BE99=0),"",IFERROR(LOOKUP(2,1/((Budgets!$A$2:$A$200=AU$1)*(Budgets!$B$2:$B$200&lt;=$A99)),Budgets!$C$2:$C$200),0))</f>
        <v/>
      </c>
      <c r="AV99" s="88">
        <f>IF(OR(AV$1="",$BE99=0),"",IFERROR(LOOKUP(2,1/((Budgets!$A$2:$A$200=AV$1)*(Budgets!$B$2:$B$200&lt;=$A99)),Budgets!$C$2:$C$200),0))</f>
        <v/>
      </c>
      <c r="AW99" s="88">
        <f>IF(OR(AW$1="",$BE99=0),"",IFERROR(LOOKUP(2,1/((Budgets!$A$2:$A$200=AW$1)*(Budgets!$B$2:$B$200&lt;=$A99)),Budgets!$C$2:$C$200),0))</f>
        <v/>
      </c>
      <c r="AX99" s="88">
        <f>IF(OR(AX$1="",$BE99=0),"",IFERROR(LOOKUP(2,1/((Budgets!$A$2:$A$200=AX$1)*(Budgets!$B$2:$B$200&lt;=$A99)),Budgets!$C$2:$C$200),0))</f>
        <v/>
      </c>
      <c r="AY99" s="88">
        <f>IF(OR(AY$1="",$BE99=0),"",IFERROR(LOOKUP(2,1/((Budgets!$A$2:$A$200=AY$1)*(Budgets!$B$2:$B$200&lt;=$A99)),Budgets!$C$2:$C$200),0))</f>
        <v/>
      </c>
      <c r="AZ99" s="88">
        <f>IF(OR(AZ$1="",$BE99=0),"",IFERROR(LOOKUP(2,1/((Budgets!$A$2:$A$200=AZ$1)*(Budgets!$B$2:$B$200&lt;=$A99)),Budgets!$C$2:$C$200),0))</f>
        <v/>
      </c>
      <c r="BA99" s="88">
        <f>IF(OR(BA$1="",$BE99=0),"",IFERROR(LOOKUP(2,1/((Budgets!$A$2:$A$200=BA$1)*(Budgets!$B$2:$B$200&lt;=$A99)),Budgets!$C$2:$C$200),0))</f>
        <v/>
      </c>
      <c r="BB99" s="88">
        <f>IF(OR(BB$1="",$BE99=0),"",IFERROR(LOOKUP(2,1/((Budgets!$A$2:$A$200=BB$1)*(Budgets!$B$2:$B$200&lt;=$A99)),Budgets!$C$2:$C$200),0))</f>
        <v/>
      </c>
      <c r="BC99" s="88">
        <f>IF(OR(BC$1="",$BE99=0),"",IFERROR(LOOKUP(2,1/((Budgets!$A$2:$A$200=BC$1)*(Budgets!$B$2:$B$200&lt;=$A99)),Budgets!$C$2:$C$200),0))</f>
        <v/>
      </c>
      <c r="BE99" s="67">
        <f>COUNTIFS(Entries!$A$2:$A$5000,$A99)</f>
        <v/>
      </c>
    </row>
    <row r="100" ht="15" customHeight="1" s="43">
      <c r="A100" s="87" t="n">
        <v>42430</v>
      </c>
      <c r="B100" s="88">
        <f>IF($BE100=0,NA(),SUMIFS(Entries!$D$2:$D$5000,Entries!$C$2:$C$5000,"Income",Entries!$A$2:$A$5000,$A100))</f>
        <v/>
      </c>
      <c r="C100" s="88">
        <f>IF($BE100=0,"",SUMIFS(Entries!$D$2:$D$5000,Entries!$C$2:$C$5000,"Actual",Entries!$A$2:$A$5000,$A100))</f>
        <v/>
      </c>
      <c r="D100" s="88">
        <f>IF($BE100=0,"",SUMIFS(Entries!$D$2:$D$5000,Entries!$C$2:$C$5000,"One-off",Entries!$A$2:$A$5000,$A100))</f>
        <v/>
      </c>
      <c r="E100" s="88">
        <f>IF($BE100=0,NA(),C100+D100)</f>
        <v/>
      </c>
      <c r="F100" s="88">
        <f>IF($BE100=0,"",SUM(AJ100:BC100))</f>
        <v/>
      </c>
      <c r="G100" s="88">
        <f>IF($BE100=0,"",B100-E100)</f>
        <v/>
      </c>
      <c r="H100" s="88">
        <f>IF($BE100=0,"",SUM($G$2:G100))</f>
        <v/>
      </c>
      <c r="I100" s="88">
        <f>IF($BE100=0,"",SUMIFS(Entries!$F$2:$F$5000,Entries!$A$2:$A$5000,$A100))</f>
        <v/>
      </c>
      <c r="J100" s="88">
        <f>IF($BE100=0,NA(),H100+SUM($I$2:I100))</f>
        <v/>
      </c>
      <c r="K100" s="88">
        <f>IF($BE100=0,"",SUMIFS(Entries!$D$2:$D$5000,Entries!$C$2:$C$5000,"Income",Entries!$A$2:$A$5000,"&gt;="&amp;EDATE($A100,-11),Entries!$A$2:$A$5000,"&lt;="&amp;$A100)/12)</f>
        <v/>
      </c>
      <c r="L100" s="88">
        <f>IF($BE100=0,"",(SUMIFS(Entries!$D$2:$D$5000,Entries!$C$2:$C$5000,"Actual",Entries!$A$2:$A$5000,"&gt;="&amp;EDATE($A100,-11),Entries!$A$2:$A$5000,"&lt;="&amp;$A100)+SUMIFS(Entries!$D$2:$D$5000,Entries!$C$2:$C$5000,"One-off",Entries!$A$2:$A$5000,"&gt;="&amp;EDATE($A100,-11),Entries!$A$2:$A$5000,"&lt;="&amp;$A100))/12)</f>
        <v/>
      </c>
      <c r="M100" s="70">
        <f>IF($BE100=0,NA(),IFERROR((K100-L100)/K100,0))</f>
        <v/>
      </c>
      <c r="O100" s="88">
        <f>IF(OR(O$1="",$BE100=0),"",SUMIFS(Entries!$D$2:$D$5000,Entries!$C$2:$C$5000,"Actual",Entries!$A$2:$A$5000,$A100,Entries!$B$2:$B$5000,O$1))</f>
        <v/>
      </c>
      <c r="P100" s="88">
        <f>IF(OR(P$1="",$BE100=0),"",SUMIFS(Entries!$D$2:$D$5000,Entries!$C$2:$C$5000,"Actual",Entries!$A$2:$A$5000,$A100,Entries!$B$2:$B$5000,P$1))</f>
        <v/>
      </c>
      <c r="Q100" s="88">
        <f>IF(OR(Q$1="",$BE100=0),"",SUMIFS(Entries!$D$2:$D$5000,Entries!$C$2:$C$5000,"Actual",Entries!$A$2:$A$5000,$A100,Entries!$B$2:$B$5000,Q$1))</f>
        <v/>
      </c>
      <c r="R100" s="88">
        <f>IF(OR(R$1="",$BE100=0),"",SUMIFS(Entries!$D$2:$D$5000,Entries!$C$2:$C$5000,"Actual",Entries!$A$2:$A$5000,$A100,Entries!$B$2:$B$5000,R$1))</f>
        <v/>
      </c>
      <c r="S100" s="88">
        <f>IF(OR(S$1="",$BE100=0),"",SUMIFS(Entries!$D$2:$D$5000,Entries!$C$2:$C$5000,"Actual",Entries!$A$2:$A$5000,$A100,Entries!$B$2:$B$5000,S$1))</f>
        <v/>
      </c>
      <c r="T100" s="88">
        <f>IF(OR(T$1="",$BE100=0),"",SUMIFS(Entries!$D$2:$D$5000,Entries!$C$2:$C$5000,"Actual",Entries!$A$2:$A$5000,$A100,Entries!$B$2:$B$5000,T$1))</f>
        <v/>
      </c>
      <c r="U100" s="88">
        <f>IF(OR(U$1="",$BE100=0),"",SUMIFS(Entries!$D$2:$D$5000,Entries!$C$2:$C$5000,"Actual",Entries!$A$2:$A$5000,$A100,Entries!$B$2:$B$5000,U$1))</f>
        <v/>
      </c>
      <c r="V100" s="88">
        <f>IF(OR(V$1="",$BE100=0),"",SUMIFS(Entries!$D$2:$D$5000,Entries!$C$2:$C$5000,"Actual",Entries!$A$2:$A$5000,$A100,Entries!$B$2:$B$5000,V$1))</f>
        <v/>
      </c>
      <c r="W100" s="88">
        <f>IF(OR(W$1="",$BE100=0),"",SUMIFS(Entries!$D$2:$D$5000,Entries!$C$2:$C$5000,"Actual",Entries!$A$2:$A$5000,$A100,Entries!$B$2:$B$5000,W$1))</f>
        <v/>
      </c>
      <c r="X100" s="88">
        <f>IF(OR(X$1="",$BE100=0),"",SUMIFS(Entries!$D$2:$D$5000,Entries!$C$2:$C$5000,"Actual",Entries!$A$2:$A$5000,$A100,Entries!$B$2:$B$5000,X$1))</f>
        <v/>
      </c>
      <c r="Y100" s="88">
        <f>IF(OR(Y$1="",$BE100=0),"",SUMIFS(Entries!$D$2:$D$5000,Entries!$C$2:$C$5000,"Actual",Entries!$A$2:$A$5000,$A100,Entries!$B$2:$B$5000,Y$1))</f>
        <v/>
      </c>
      <c r="Z100" s="88">
        <f>IF(OR(Z$1="",$BE100=0),"",SUMIFS(Entries!$D$2:$D$5000,Entries!$C$2:$C$5000,"Actual",Entries!$A$2:$A$5000,$A100,Entries!$B$2:$B$5000,Z$1))</f>
        <v/>
      </c>
      <c r="AA100" s="88">
        <f>IF(OR(AA$1="",$BE100=0),"",SUMIFS(Entries!$D$2:$D$5000,Entries!$C$2:$C$5000,"Actual",Entries!$A$2:$A$5000,$A100,Entries!$B$2:$B$5000,AA$1))</f>
        <v/>
      </c>
      <c r="AB100" s="88">
        <f>IF(OR(AB$1="",$BE100=0),"",SUMIFS(Entries!$D$2:$D$5000,Entries!$C$2:$C$5000,"Actual",Entries!$A$2:$A$5000,$A100,Entries!$B$2:$B$5000,AB$1))</f>
        <v/>
      </c>
      <c r="AC100" s="88">
        <f>IF(OR(AC$1="",$BE100=0),"",SUMIFS(Entries!$D$2:$D$5000,Entries!$C$2:$C$5000,"Actual",Entries!$A$2:$A$5000,$A100,Entries!$B$2:$B$5000,AC$1))</f>
        <v/>
      </c>
      <c r="AD100" s="88">
        <f>IF(OR(AD$1="",$BE100=0),"",SUMIFS(Entries!$D$2:$D$5000,Entries!$C$2:$C$5000,"Actual",Entries!$A$2:$A$5000,$A100,Entries!$B$2:$B$5000,AD$1))</f>
        <v/>
      </c>
      <c r="AE100" s="88">
        <f>IF(OR(AE$1="",$BE100=0),"",SUMIFS(Entries!$D$2:$D$5000,Entries!$C$2:$C$5000,"Actual",Entries!$A$2:$A$5000,$A100,Entries!$B$2:$B$5000,AE$1))</f>
        <v/>
      </c>
      <c r="AF100" s="88">
        <f>IF(OR(AF$1="",$BE100=0),"",SUMIFS(Entries!$D$2:$D$5000,Entries!$C$2:$C$5000,"Actual",Entries!$A$2:$A$5000,$A100,Entries!$B$2:$B$5000,AF$1))</f>
        <v/>
      </c>
      <c r="AG100" s="88">
        <f>IF(OR(AG$1="",$BE100=0),"",SUMIFS(Entries!$D$2:$D$5000,Entries!$C$2:$C$5000,"Actual",Entries!$A$2:$A$5000,$A100,Entries!$B$2:$B$5000,AG$1))</f>
        <v/>
      </c>
      <c r="AH100" s="88">
        <f>IF(OR(AH$1="",$BE100=0),"",SUMIFS(Entries!$D$2:$D$5000,Entries!$C$2:$C$5000,"Actual",Entries!$A$2:$A$5000,$A100,Entries!$B$2:$B$5000,AH$1))</f>
        <v/>
      </c>
      <c r="AJ100" s="88">
        <f>IF(OR(AJ$1="",$BE100=0),"",IFERROR(LOOKUP(2,1/((Budgets!$A$2:$A$200=AJ$1)*(Budgets!$B$2:$B$200&lt;=$A100)),Budgets!$C$2:$C$200),0))</f>
        <v/>
      </c>
      <c r="AK100" s="88">
        <f>IF(OR(AK$1="",$BE100=0),"",IFERROR(LOOKUP(2,1/((Budgets!$A$2:$A$200=AK$1)*(Budgets!$B$2:$B$200&lt;=$A100)),Budgets!$C$2:$C$200),0))</f>
        <v/>
      </c>
      <c r="AL100" s="88">
        <f>IF(OR(AL$1="",$BE100=0),"",IFERROR(LOOKUP(2,1/((Budgets!$A$2:$A$200=AL$1)*(Budgets!$B$2:$B$200&lt;=$A100)),Budgets!$C$2:$C$200),0))</f>
        <v/>
      </c>
      <c r="AM100" s="88">
        <f>IF(OR(AM$1="",$BE100=0),"",IFERROR(LOOKUP(2,1/((Budgets!$A$2:$A$200=AM$1)*(Budgets!$B$2:$B$200&lt;=$A100)),Budgets!$C$2:$C$200),0))</f>
        <v/>
      </c>
      <c r="AN100" s="88">
        <f>IF(OR(AN$1="",$BE100=0),"",IFERROR(LOOKUP(2,1/((Budgets!$A$2:$A$200=AN$1)*(Budgets!$B$2:$B$200&lt;=$A100)),Budgets!$C$2:$C$200),0))</f>
        <v/>
      </c>
      <c r="AO100" s="88">
        <f>IF(OR(AO$1="",$BE100=0),"",IFERROR(LOOKUP(2,1/((Budgets!$A$2:$A$200=AO$1)*(Budgets!$B$2:$B$200&lt;=$A100)),Budgets!$C$2:$C$200),0))</f>
        <v/>
      </c>
      <c r="AP100" s="88">
        <f>IF(OR(AP$1="",$BE100=0),"",IFERROR(LOOKUP(2,1/((Budgets!$A$2:$A$200=AP$1)*(Budgets!$B$2:$B$200&lt;=$A100)),Budgets!$C$2:$C$200),0))</f>
        <v/>
      </c>
      <c r="AQ100" s="88">
        <f>IF(OR(AQ$1="",$BE100=0),"",IFERROR(LOOKUP(2,1/((Budgets!$A$2:$A$200=AQ$1)*(Budgets!$B$2:$B$200&lt;=$A100)),Budgets!$C$2:$C$200),0))</f>
        <v/>
      </c>
      <c r="AR100" s="88">
        <f>IF(OR(AR$1="",$BE100=0),"",IFERROR(LOOKUP(2,1/((Budgets!$A$2:$A$200=AR$1)*(Budgets!$B$2:$B$200&lt;=$A100)),Budgets!$C$2:$C$200),0))</f>
        <v/>
      </c>
      <c r="AS100" s="88">
        <f>IF(OR(AS$1="",$BE100=0),"",IFERROR(LOOKUP(2,1/((Budgets!$A$2:$A$200=AS$1)*(Budgets!$B$2:$B$200&lt;=$A100)),Budgets!$C$2:$C$200),0))</f>
        <v/>
      </c>
      <c r="AT100" s="88">
        <f>IF(OR(AT$1="",$BE100=0),"",IFERROR(LOOKUP(2,1/((Budgets!$A$2:$A$200=AT$1)*(Budgets!$B$2:$B$200&lt;=$A100)),Budgets!$C$2:$C$200),0))</f>
        <v/>
      </c>
      <c r="AU100" s="88">
        <f>IF(OR(AU$1="",$BE100=0),"",IFERROR(LOOKUP(2,1/((Budgets!$A$2:$A$200=AU$1)*(Budgets!$B$2:$B$200&lt;=$A100)),Budgets!$C$2:$C$200),0))</f>
        <v/>
      </c>
      <c r="AV100" s="88">
        <f>IF(OR(AV$1="",$BE100=0),"",IFERROR(LOOKUP(2,1/((Budgets!$A$2:$A$200=AV$1)*(Budgets!$B$2:$B$200&lt;=$A100)),Budgets!$C$2:$C$200),0))</f>
        <v/>
      </c>
      <c r="AW100" s="88">
        <f>IF(OR(AW$1="",$BE100=0),"",IFERROR(LOOKUP(2,1/((Budgets!$A$2:$A$200=AW$1)*(Budgets!$B$2:$B$200&lt;=$A100)),Budgets!$C$2:$C$200),0))</f>
        <v/>
      </c>
      <c r="AX100" s="88">
        <f>IF(OR(AX$1="",$BE100=0),"",IFERROR(LOOKUP(2,1/((Budgets!$A$2:$A$200=AX$1)*(Budgets!$B$2:$B$200&lt;=$A100)),Budgets!$C$2:$C$200),0))</f>
        <v/>
      </c>
      <c r="AY100" s="88">
        <f>IF(OR(AY$1="",$BE100=0),"",IFERROR(LOOKUP(2,1/((Budgets!$A$2:$A$200=AY$1)*(Budgets!$B$2:$B$200&lt;=$A100)),Budgets!$C$2:$C$200),0))</f>
        <v/>
      </c>
      <c r="AZ100" s="88">
        <f>IF(OR(AZ$1="",$BE100=0),"",IFERROR(LOOKUP(2,1/((Budgets!$A$2:$A$200=AZ$1)*(Budgets!$B$2:$B$200&lt;=$A100)),Budgets!$C$2:$C$200),0))</f>
        <v/>
      </c>
      <c r="BA100" s="88">
        <f>IF(OR(BA$1="",$BE100=0),"",IFERROR(LOOKUP(2,1/((Budgets!$A$2:$A$200=BA$1)*(Budgets!$B$2:$B$200&lt;=$A100)),Budgets!$C$2:$C$200),0))</f>
        <v/>
      </c>
      <c r="BB100" s="88">
        <f>IF(OR(BB$1="",$BE100=0),"",IFERROR(LOOKUP(2,1/((Budgets!$A$2:$A$200=BB$1)*(Budgets!$B$2:$B$200&lt;=$A100)),Budgets!$C$2:$C$200),0))</f>
        <v/>
      </c>
      <c r="BC100" s="88">
        <f>IF(OR(BC$1="",$BE100=0),"",IFERROR(LOOKUP(2,1/((Budgets!$A$2:$A$200=BC$1)*(Budgets!$B$2:$B$200&lt;=$A100)),Budgets!$C$2:$C$200),0))</f>
        <v/>
      </c>
      <c r="BE100" s="67">
        <f>COUNTIFS(Entries!$A$2:$A$5000,$A100)</f>
        <v/>
      </c>
    </row>
    <row r="101" ht="15" customHeight="1" s="43">
      <c r="A101" s="87" t="n">
        <v>42461</v>
      </c>
      <c r="B101" s="88">
        <f>IF($BE101=0,NA(),SUMIFS(Entries!$D$2:$D$5000,Entries!$C$2:$C$5000,"Income",Entries!$A$2:$A$5000,$A101))</f>
        <v/>
      </c>
      <c r="C101" s="88">
        <f>IF($BE101=0,"",SUMIFS(Entries!$D$2:$D$5000,Entries!$C$2:$C$5000,"Actual",Entries!$A$2:$A$5000,$A101))</f>
        <v/>
      </c>
      <c r="D101" s="88">
        <f>IF($BE101=0,"",SUMIFS(Entries!$D$2:$D$5000,Entries!$C$2:$C$5000,"One-off",Entries!$A$2:$A$5000,$A101))</f>
        <v/>
      </c>
      <c r="E101" s="88">
        <f>IF($BE101=0,NA(),C101+D101)</f>
        <v/>
      </c>
      <c r="F101" s="88">
        <f>IF($BE101=0,"",SUM(AJ101:BC101))</f>
        <v/>
      </c>
      <c r="G101" s="88">
        <f>IF($BE101=0,"",B101-E101)</f>
        <v/>
      </c>
      <c r="H101" s="88">
        <f>IF($BE101=0,"",SUM($G$2:G101))</f>
        <v/>
      </c>
      <c r="I101" s="88">
        <f>IF($BE101=0,"",SUMIFS(Entries!$F$2:$F$5000,Entries!$A$2:$A$5000,$A101))</f>
        <v/>
      </c>
      <c r="J101" s="88">
        <f>IF($BE101=0,NA(),H101+SUM($I$2:I101))</f>
        <v/>
      </c>
      <c r="K101" s="88">
        <f>IF($BE101=0,"",SUMIFS(Entries!$D$2:$D$5000,Entries!$C$2:$C$5000,"Income",Entries!$A$2:$A$5000,"&gt;="&amp;EDATE($A101,-11),Entries!$A$2:$A$5000,"&lt;="&amp;$A101)/12)</f>
        <v/>
      </c>
      <c r="L101" s="88">
        <f>IF($BE101=0,"",(SUMIFS(Entries!$D$2:$D$5000,Entries!$C$2:$C$5000,"Actual",Entries!$A$2:$A$5000,"&gt;="&amp;EDATE($A101,-11),Entries!$A$2:$A$5000,"&lt;="&amp;$A101)+SUMIFS(Entries!$D$2:$D$5000,Entries!$C$2:$C$5000,"One-off",Entries!$A$2:$A$5000,"&gt;="&amp;EDATE($A101,-11),Entries!$A$2:$A$5000,"&lt;="&amp;$A101))/12)</f>
        <v/>
      </c>
      <c r="M101" s="70">
        <f>IF($BE101=0,NA(),IFERROR((K101-L101)/K101,0))</f>
        <v/>
      </c>
      <c r="O101" s="88">
        <f>IF(OR(O$1="",$BE101=0),"",SUMIFS(Entries!$D$2:$D$5000,Entries!$C$2:$C$5000,"Actual",Entries!$A$2:$A$5000,$A101,Entries!$B$2:$B$5000,O$1))</f>
        <v/>
      </c>
      <c r="P101" s="88">
        <f>IF(OR(P$1="",$BE101=0),"",SUMIFS(Entries!$D$2:$D$5000,Entries!$C$2:$C$5000,"Actual",Entries!$A$2:$A$5000,$A101,Entries!$B$2:$B$5000,P$1))</f>
        <v/>
      </c>
      <c r="Q101" s="88">
        <f>IF(OR(Q$1="",$BE101=0),"",SUMIFS(Entries!$D$2:$D$5000,Entries!$C$2:$C$5000,"Actual",Entries!$A$2:$A$5000,$A101,Entries!$B$2:$B$5000,Q$1))</f>
        <v/>
      </c>
      <c r="R101" s="88">
        <f>IF(OR(R$1="",$BE101=0),"",SUMIFS(Entries!$D$2:$D$5000,Entries!$C$2:$C$5000,"Actual",Entries!$A$2:$A$5000,$A101,Entries!$B$2:$B$5000,R$1))</f>
        <v/>
      </c>
      <c r="S101" s="88">
        <f>IF(OR(S$1="",$BE101=0),"",SUMIFS(Entries!$D$2:$D$5000,Entries!$C$2:$C$5000,"Actual",Entries!$A$2:$A$5000,$A101,Entries!$B$2:$B$5000,S$1))</f>
        <v/>
      </c>
      <c r="T101" s="88">
        <f>IF(OR(T$1="",$BE101=0),"",SUMIFS(Entries!$D$2:$D$5000,Entries!$C$2:$C$5000,"Actual",Entries!$A$2:$A$5000,$A101,Entries!$B$2:$B$5000,T$1))</f>
        <v/>
      </c>
      <c r="U101" s="88">
        <f>IF(OR(U$1="",$BE101=0),"",SUMIFS(Entries!$D$2:$D$5000,Entries!$C$2:$C$5000,"Actual",Entries!$A$2:$A$5000,$A101,Entries!$B$2:$B$5000,U$1))</f>
        <v/>
      </c>
      <c r="V101" s="88">
        <f>IF(OR(V$1="",$BE101=0),"",SUMIFS(Entries!$D$2:$D$5000,Entries!$C$2:$C$5000,"Actual",Entries!$A$2:$A$5000,$A101,Entries!$B$2:$B$5000,V$1))</f>
        <v/>
      </c>
      <c r="W101" s="88">
        <f>IF(OR(W$1="",$BE101=0),"",SUMIFS(Entries!$D$2:$D$5000,Entries!$C$2:$C$5000,"Actual",Entries!$A$2:$A$5000,$A101,Entries!$B$2:$B$5000,W$1))</f>
        <v/>
      </c>
      <c r="X101" s="88">
        <f>IF(OR(X$1="",$BE101=0),"",SUMIFS(Entries!$D$2:$D$5000,Entries!$C$2:$C$5000,"Actual",Entries!$A$2:$A$5000,$A101,Entries!$B$2:$B$5000,X$1))</f>
        <v/>
      </c>
      <c r="Y101" s="88">
        <f>IF(OR(Y$1="",$BE101=0),"",SUMIFS(Entries!$D$2:$D$5000,Entries!$C$2:$C$5000,"Actual",Entries!$A$2:$A$5000,$A101,Entries!$B$2:$B$5000,Y$1))</f>
        <v/>
      </c>
      <c r="Z101" s="88">
        <f>IF(OR(Z$1="",$BE101=0),"",SUMIFS(Entries!$D$2:$D$5000,Entries!$C$2:$C$5000,"Actual",Entries!$A$2:$A$5000,$A101,Entries!$B$2:$B$5000,Z$1))</f>
        <v/>
      </c>
      <c r="AA101" s="88">
        <f>IF(OR(AA$1="",$BE101=0),"",SUMIFS(Entries!$D$2:$D$5000,Entries!$C$2:$C$5000,"Actual",Entries!$A$2:$A$5000,$A101,Entries!$B$2:$B$5000,AA$1))</f>
        <v/>
      </c>
      <c r="AB101" s="88">
        <f>IF(OR(AB$1="",$BE101=0),"",SUMIFS(Entries!$D$2:$D$5000,Entries!$C$2:$C$5000,"Actual",Entries!$A$2:$A$5000,$A101,Entries!$B$2:$B$5000,AB$1))</f>
        <v/>
      </c>
      <c r="AC101" s="88">
        <f>IF(OR(AC$1="",$BE101=0),"",SUMIFS(Entries!$D$2:$D$5000,Entries!$C$2:$C$5000,"Actual",Entries!$A$2:$A$5000,$A101,Entries!$B$2:$B$5000,AC$1))</f>
        <v/>
      </c>
      <c r="AD101" s="88">
        <f>IF(OR(AD$1="",$BE101=0),"",SUMIFS(Entries!$D$2:$D$5000,Entries!$C$2:$C$5000,"Actual",Entries!$A$2:$A$5000,$A101,Entries!$B$2:$B$5000,AD$1))</f>
        <v/>
      </c>
      <c r="AE101" s="88">
        <f>IF(OR(AE$1="",$BE101=0),"",SUMIFS(Entries!$D$2:$D$5000,Entries!$C$2:$C$5000,"Actual",Entries!$A$2:$A$5000,$A101,Entries!$B$2:$B$5000,AE$1))</f>
        <v/>
      </c>
      <c r="AF101" s="88">
        <f>IF(OR(AF$1="",$BE101=0),"",SUMIFS(Entries!$D$2:$D$5000,Entries!$C$2:$C$5000,"Actual",Entries!$A$2:$A$5000,$A101,Entries!$B$2:$B$5000,AF$1))</f>
        <v/>
      </c>
      <c r="AG101" s="88">
        <f>IF(OR(AG$1="",$BE101=0),"",SUMIFS(Entries!$D$2:$D$5000,Entries!$C$2:$C$5000,"Actual",Entries!$A$2:$A$5000,$A101,Entries!$B$2:$B$5000,AG$1))</f>
        <v/>
      </c>
      <c r="AH101" s="88">
        <f>IF(OR(AH$1="",$BE101=0),"",SUMIFS(Entries!$D$2:$D$5000,Entries!$C$2:$C$5000,"Actual",Entries!$A$2:$A$5000,$A101,Entries!$B$2:$B$5000,AH$1))</f>
        <v/>
      </c>
      <c r="AJ101" s="88">
        <f>IF(OR(AJ$1="",$BE101=0),"",IFERROR(LOOKUP(2,1/((Budgets!$A$2:$A$200=AJ$1)*(Budgets!$B$2:$B$200&lt;=$A101)),Budgets!$C$2:$C$200),0))</f>
        <v/>
      </c>
      <c r="AK101" s="88">
        <f>IF(OR(AK$1="",$BE101=0),"",IFERROR(LOOKUP(2,1/((Budgets!$A$2:$A$200=AK$1)*(Budgets!$B$2:$B$200&lt;=$A101)),Budgets!$C$2:$C$200),0))</f>
        <v/>
      </c>
      <c r="AL101" s="88">
        <f>IF(OR(AL$1="",$BE101=0),"",IFERROR(LOOKUP(2,1/((Budgets!$A$2:$A$200=AL$1)*(Budgets!$B$2:$B$200&lt;=$A101)),Budgets!$C$2:$C$200),0))</f>
        <v/>
      </c>
      <c r="AM101" s="88">
        <f>IF(OR(AM$1="",$BE101=0),"",IFERROR(LOOKUP(2,1/((Budgets!$A$2:$A$200=AM$1)*(Budgets!$B$2:$B$200&lt;=$A101)),Budgets!$C$2:$C$200),0))</f>
        <v/>
      </c>
      <c r="AN101" s="88">
        <f>IF(OR(AN$1="",$BE101=0),"",IFERROR(LOOKUP(2,1/((Budgets!$A$2:$A$200=AN$1)*(Budgets!$B$2:$B$200&lt;=$A101)),Budgets!$C$2:$C$200),0))</f>
        <v/>
      </c>
      <c r="AO101" s="88">
        <f>IF(OR(AO$1="",$BE101=0),"",IFERROR(LOOKUP(2,1/((Budgets!$A$2:$A$200=AO$1)*(Budgets!$B$2:$B$200&lt;=$A101)),Budgets!$C$2:$C$200),0))</f>
        <v/>
      </c>
      <c r="AP101" s="88">
        <f>IF(OR(AP$1="",$BE101=0),"",IFERROR(LOOKUP(2,1/((Budgets!$A$2:$A$200=AP$1)*(Budgets!$B$2:$B$200&lt;=$A101)),Budgets!$C$2:$C$200),0))</f>
        <v/>
      </c>
      <c r="AQ101" s="88">
        <f>IF(OR(AQ$1="",$BE101=0),"",IFERROR(LOOKUP(2,1/((Budgets!$A$2:$A$200=AQ$1)*(Budgets!$B$2:$B$200&lt;=$A101)),Budgets!$C$2:$C$200),0))</f>
        <v/>
      </c>
      <c r="AR101" s="88">
        <f>IF(OR(AR$1="",$BE101=0),"",IFERROR(LOOKUP(2,1/((Budgets!$A$2:$A$200=AR$1)*(Budgets!$B$2:$B$200&lt;=$A101)),Budgets!$C$2:$C$200),0))</f>
        <v/>
      </c>
      <c r="AS101" s="88">
        <f>IF(OR(AS$1="",$BE101=0),"",IFERROR(LOOKUP(2,1/((Budgets!$A$2:$A$200=AS$1)*(Budgets!$B$2:$B$200&lt;=$A101)),Budgets!$C$2:$C$200),0))</f>
        <v/>
      </c>
      <c r="AT101" s="88">
        <f>IF(OR(AT$1="",$BE101=0),"",IFERROR(LOOKUP(2,1/((Budgets!$A$2:$A$200=AT$1)*(Budgets!$B$2:$B$200&lt;=$A101)),Budgets!$C$2:$C$200),0))</f>
        <v/>
      </c>
      <c r="AU101" s="88">
        <f>IF(OR(AU$1="",$BE101=0),"",IFERROR(LOOKUP(2,1/((Budgets!$A$2:$A$200=AU$1)*(Budgets!$B$2:$B$200&lt;=$A101)),Budgets!$C$2:$C$200),0))</f>
        <v/>
      </c>
      <c r="AV101" s="88">
        <f>IF(OR(AV$1="",$BE101=0),"",IFERROR(LOOKUP(2,1/((Budgets!$A$2:$A$200=AV$1)*(Budgets!$B$2:$B$200&lt;=$A101)),Budgets!$C$2:$C$200),0))</f>
        <v/>
      </c>
      <c r="AW101" s="88">
        <f>IF(OR(AW$1="",$BE101=0),"",IFERROR(LOOKUP(2,1/((Budgets!$A$2:$A$200=AW$1)*(Budgets!$B$2:$B$200&lt;=$A101)),Budgets!$C$2:$C$200),0))</f>
        <v/>
      </c>
      <c r="AX101" s="88">
        <f>IF(OR(AX$1="",$BE101=0),"",IFERROR(LOOKUP(2,1/((Budgets!$A$2:$A$200=AX$1)*(Budgets!$B$2:$B$200&lt;=$A101)),Budgets!$C$2:$C$200),0))</f>
        <v/>
      </c>
      <c r="AY101" s="88">
        <f>IF(OR(AY$1="",$BE101=0),"",IFERROR(LOOKUP(2,1/((Budgets!$A$2:$A$200=AY$1)*(Budgets!$B$2:$B$200&lt;=$A101)),Budgets!$C$2:$C$200),0))</f>
        <v/>
      </c>
      <c r="AZ101" s="88">
        <f>IF(OR(AZ$1="",$BE101=0),"",IFERROR(LOOKUP(2,1/((Budgets!$A$2:$A$200=AZ$1)*(Budgets!$B$2:$B$200&lt;=$A101)),Budgets!$C$2:$C$200),0))</f>
        <v/>
      </c>
      <c r="BA101" s="88">
        <f>IF(OR(BA$1="",$BE101=0),"",IFERROR(LOOKUP(2,1/((Budgets!$A$2:$A$200=BA$1)*(Budgets!$B$2:$B$200&lt;=$A101)),Budgets!$C$2:$C$200),0))</f>
        <v/>
      </c>
      <c r="BB101" s="88">
        <f>IF(OR(BB$1="",$BE101=0),"",IFERROR(LOOKUP(2,1/((Budgets!$A$2:$A$200=BB$1)*(Budgets!$B$2:$B$200&lt;=$A101)),Budgets!$C$2:$C$200),0))</f>
        <v/>
      </c>
      <c r="BC101" s="88">
        <f>IF(OR(BC$1="",$BE101=0),"",IFERROR(LOOKUP(2,1/((Budgets!$A$2:$A$200=BC$1)*(Budgets!$B$2:$B$200&lt;=$A101)),Budgets!$C$2:$C$200),0))</f>
        <v/>
      </c>
      <c r="BE101" s="67">
        <f>COUNTIFS(Entries!$A$2:$A$5000,$A101)</f>
        <v/>
      </c>
    </row>
    <row r="102" ht="15" customHeight="1" s="43">
      <c r="A102" s="87" t="n">
        <v>42491</v>
      </c>
      <c r="B102" s="88">
        <f>IF($BE102=0,NA(),SUMIFS(Entries!$D$2:$D$5000,Entries!$C$2:$C$5000,"Income",Entries!$A$2:$A$5000,$A102))</f>
        <v/>
      </c>
      <c r="C102" s="88">
        <f>IF($BE102=0,"",SUMIFS(Entries!$D$2:$D$5000,Entries!$C$2:$C$5000,"Actual",Entries!$A$2:$A$5000,$A102))</f>
        <v/>
      </c>
      <c r="D102" s="88">
        <f>IF($BE102=0,"",SUMIFS(Entries!$D$2:$D$5000,Entries!$C$2:$C$5000,"One-off",Entries!$A$2:$A$5000,$A102))</f>
        <v/>
      </c>
      <c r="E102" s="88">
        <f>IF($BE102=0,NA(),C102+D102)</f>
        <v/>
      </c>
      <c r="F102" s="88">
        <f>IF($BE102=0,"",SUM(AJ102:BC102))</f>
        <v/>
      </c>
      <c r="G102" s="88">
        <f>IF($BE102=0,"",B102-E102)</f>
        <v/>
      </c>
      <c r="H102" s="88">
        <f>IF($BE102=0,"",SUM($G$2:G102))</f>
        <v/>
      </c>
      <c r="I102" s="88">
        <f>IF($BE102=0,"",SUMIFS(Entries!$F$2:$F$5000,Entries!$A$2:$A$5000,$A102))</f>
        <v/>
      </c>
      <c r="J102" s="88">
        <f>IF($BE102=0,NA(),H102+SUM($I$2:I102))</f>
        <v/>
      </c>
      <c r="K102" s="88">
        <f>IF($BE102=0,"",SUMIFS(Entries!$D$2:$D$5000,Entries!$C$2:$C$5000,"Income",Entries!$A$2:$A$5000,"&gt;="&amp;EDATE($A102,-11),Entries!$A$2:$A$5000,"&lt;="&amp;$A102)/12)</f>
        <v/>
      </c>
      <c r="L102" s="88">
        <f>IF($BE102=0,"",(SUMIFS(Entries!$D$2:$D$5000,Entries!$C$2:$C$5000,"Actual",Entries!$A$2:$A$5000,"&gt;="&amp;EDATE($A102,-11),Entries!$A$2:$A$5000,"&lt;="&amp;$A102)+SUMIFS(Entries!$D$2:$D$5000,Entries!$C$2:$C$5000,"One-off",Entries!$A$2:$A$5000,"&gt;="&amp;EDATE($A102,-11),Entries!$A$2:$A$5000,"&lt;="&amp;$A102))/12)</f>
        <v/>
      </c>
      <c r="M102" s="70">
        <f>IF($BE102=0,NA(),IFERROR((K102-L102)/K102,0))</f>
        <v/>
      </c>
      <c r="O102" s="88">
        <f>IF(OR(O$1="",$BE102=0),"",SUMIFS(Entries!$D$2:$D$5000,Entries!$C$2:$C$5000,"Actual",Entries!$A$2:$A$5000,$A102,Entries!$B$2:$B$5000,O$1))</f>
        <v/>
      </c>
      <c r="P102" s="88">
        <f>IF(OR(P$1="",$BE102=0),"",SUMIFS(Entries!$D$2:$D$5000,Entries!$C$2:$C$5000,"Actual",Entries!$A$2:$A$5000,$A102,Entries!$B$2:$B$5000,P$1))</f>
        <v/>
      </c>
      <c r="Q102" s="88">
        <f>IF(OR(Q$1="",$BE102=0),"",SUMIFS(Entries!$D$2:$D$5000,Entries!$C$2:$C$5000,"Actual",Entries!$A$2:$A$5000,$A102,Entries!$B$2:$B$5000,Q$1))</f>
        <v/>
      </c>
      <c r="R102" s="88">
        <f>IF(OR(R$1="",$BE102=0),"",SUMIFS(Entries!$D$2:$D$5000,Entries!$C$2:$C$5000,"Actual",Entries!$A$2:$A$5000,$A102,Entries!$B$2:$B$5000,R$1))</f>
        <v/>
      </c>
      <c r="S102" s="88">
        <f>IF(OR(S$1="",$BE102=0),"",SUMIFS(Entries!$D$2:$D$5000,Entries!$C$2:$C$5000,"Actual",Entries!$A$2:$A$5000,$A102,Entries!$B$2:$B$5000,S$1))</f>
        <v/>
      </c>
      <c r="T102" s="88">
        <f>IF(OR(T$1="",$BE102=0),"",SUMIFS(Entries!$D$2:$D$5000,Entries!$C$2:$C$5000,"Actual",Entries!$A$2:$A$5000,$A102,Entries!$B$2:$B$5000,T$1))</f>
        <v/>
      </c>
      <c r="U102" s="88">
        <f>IF(OR(U$1="",$BE102=0),"",SUMIFS(Entries!$D$2:$D$5000,Entries!$C$2:$C$5000,"Actual",Entries!$A$2:$A$5000,$A102,Entries!$B$2:$B$5000,U$1))</f>
        <v/>
      </c>
      <c r="V102" s="88">
        <f>IF(OR(V$1="",$BE102=0),"",SUMIFS(Entries!$D$2:$D$5000,Entries!$C$2:$C$5000,"Actual",Entries!$A$2:$A$5000,$A102,Entries!$B$2:$B$5000,V$1))</f>
        <v/>
      </c>
      <c r="W102" s="88">
        <f>IF(OR(W$1="",$BE102=0),"",SUMIFS(Entries!$D$2:$D$5000,Entries!$C$2:$C$5000,"Actual",Entries!$A$2:$A$5000,$A102,Entries!$B$2:$B$5000,W$1))</f>
        <v/>
      </c>
      <c r="X102" s="88">
        <f>IF(OR(X$1="",$BE102=0),"",SUMIFS(Entries!$D$2:$D$5000,Entries!$C$2:$C$5000,"Actual",Entries!$A$2:$A$5000,$A102,Entries!$B$2:$B$5000,X$1))</f>
        <v/>
      </c>
      <c r="Y102" s="88">
        <f>IF(OR(Y$1="",$BE102=0),"",SUMIFS(Entries!$D$2:$D$5000,Entries!$C$2:$C$5000,"Actual",Entries!$A$2:$A$5000,$A102,Entries!$B$2:$B$5000,Y$1))</f>
        <v/>
      </c>
      <c r="Z102" s="88">
        <f>IF(OR(Z$1="",$BE102=0),"",SUMIFS(Entries!$D$2:$D$5000,Entries!$C$2:$C$5000,"Actual",Entries!$A$2:$A$5000,$A102,Entries!$B$2:$B$5000,Z$1))</f>
        <v/>
      </c>
      <c r="AA102" s="88">
        <f>IF(OR(AA$1="",$BE102=0),"",SUMIFS(Entries!$D$2:$D$5000,Entries!$C$2:$C$5000,"Actual",Entries!$A$2:$A$5000,$A102,Entries!$B$2:$B$5000,AA$1))</f>
        <v/>
      </c>
      <c r="AB102" s="88">
        <f>IF(OR(AB$1="",$BE102=0),"",SUMIFS(Entries!$D$2:$D$5000,Entries!$C$2:$C$5000,"Actual",Entries!$A$2:$A$5000,$A102,Entries!$B$2:$B$5000,AB$1))</f>
        <v/>
      </c>
      <c r="AC102" s="88">
        <f>IF(OR(AC$1="",$BE102=0),"",SUMIFS(Entries!$D$2:$D$5000,Entries!$C$2:$C$5000,"Actual",Entries!$A$2:$A$5000,$A102,Entries!$B$2:$B$5000,AC$1))</f>
        <v/>
      </c>
      <c r="AD102" s="88">
        <f>IF(OR(AD$1="",$BE102=0),"",SUMIFS(Entries!$D$2:$D$5000,Entries!$C$2:$C$5000,"Actual",Entries!$A$2:$A$5000,$A102,Entries!$B$2:$B$5000,AD$1))</f>
        <v/>
      </c>
      <c r="AE102" s="88">
        <f>IF(OR(AE$1="",$BE102=0),"",SUMIFS(Entries!$D$2:$D$5000,Entries!$C$2:$C$5000,"Actual",Entries!$A$2:$A$5000,$A102,Entries!$B$2:$B$5000,AE$1))</f>
        <v/>
      </c>
      <c r="AF102" s="88">
        <f>IF(OR(AF$1="",$BE102=0),"",SUMIFS(Entries!$D$2:$D$5000,Entries!$C$2:$C$5000,"Actual",Entries!$A$2:$A$5000,$A102,Entries!$B$2:$B$5000,AF$1))</f>
        <v/>
      </c>
      <c r="AG102" s="88">
        <f>IF(OR(AG$1="",$BE102=0),"",SUMIFS(Entries!$D$2:$D$5000,Entries!$C$2:$C$5000,"Actual",Entries!$A$2:$A$5000,$A102,Entries!$B$2:$B$5000,AG$1))</f>
        <v/>
      </c>
      <c r="AH102" s="88">
        <f>IF(OR(AH$1="",$BE102=0),"",SUMIFS(Entries!$D$2:$D$5000,Entries!$C$2:$C$5000,"Actual",Entries!$A$2:$A$5000,$A102,Entries!$B$2:$B$5000,AH$1))</f>
        <v/>
      </c>
      <c r="AJ102" s="88">
        <f>IF(OR(AJ$1="",$BE102=0),"",IFERROR(LOOKUP(2,1/((Budgets!$A$2:$A$200=AJ$1)*(Budgets!$B$2:$B$200&lt;=$A102)),Budgets!$C$2:$C$200),0))</f>
        <v/>
      </c>
      <c r="AK102" s="88">
        <f>IF(OR(AK$1="",$BE102=0),"",IFERROR(LOOKUP(2,1/((Budgets!$A$2:$A$200=AK$1)*(Budgets!$B$2:$B$200&lt;=$A102)),Budgets!$C$2:$C$200),0))</f>
        <v/>
      </c>
      <c r="AL102" s="88">
        <f>IF(OR(AL$1="",$BE102=0),"",IFERROR(LOOKUP(2,1/((Budgets!$A$2:$A$200=AL$1)*(Budgets!$B$2:$B$200&lt;=$A102)),Budgets!$C$2:$C$200),0))</f>
        <v/>
      </c>
      <c r="AM102" s="88">
        <f>IF(OR(AM$1="",$BE102=0),"",IFERROR(LOOKUP(2,1/((Budgets!$A$2:$A$200=AM$1)*(Budgets!$B$2:$B$200&lt;=$A102)),Budgets!$C$2:$C$200),0))</f>
        <v/>
      </c>
      <c r="AN102" s="88">
        <f>IF(OR(AN$1="",$BE102=0),"",IFERROR(LOOKUP(2,1/((Budgets!$A$2:$A$200=AN$1)*(Budgets!$B$2:$B$200&lt;=$A102)),Budgets!$C$2:$C$200),0))</f>
        <v/>
      </c>
      <c r="AO102" s="88">
        <f>IF(OR(AO$1="",$BE102=0),"",IFERROR(LOOKUP(2,1/((Budgets!$A$2:$A$200=AO$1)*(Budgets!$B$2:$B$200&lt;=$A102)),Budgets!$C$2:$C$200),0))</f>
        <v/>
      </c>
      <c r="AP102" s="88">
        <f>IF(OR(AP$1="",$BE102=0),"",IFERROR(LOOKUP(2,1/((Budgets!$A$2:$A$200=AP$1)*(Budgets!$B$2:$B$200&lt;=$A102)),Budgets!$C$2:$C$200),0))</f>
        <v/>
      </c>
      <c r="AQ102" s="88">
        <f>IF(OR(AQ$1="",$BE102=0),"",IFERROR(LOOKUP(2,1/((Budgets!$A$2:$A$200=AQ$1)*(Budgets!$B$2:$B$200&lt;=$A102)),Budgets!$C$2:$C$200),0))</f>
        <v/>
      </c>
      <c r="AR102" s="88">
        <f>IF(OR(AR$1="",$BE102=0),"",IFERROR(LOOKUP(2,1/((Budgets!$A$2:$A$200=AR$1)*(Budgets!$B$2:$B$200&lt;=$A102)),Budgets!$C$2:$C$200),0))</f>
        <v/>
      </c>
      <c r="AS102" s="88">
        <f>IF(OR(AS$1="",$BE102=0),"",IFERROR(LOOKUP(2,1/((Budgets!$A$2:$A$200=AS$1)*(Budgets!$B$2:$B$200&lt;=$A102)),Budgets!$C$2:$C$200),0))</f>
        <v/>
      </c>
      <c r="AT102" s="88">
        <f>IF(OR(AT$1="",$BE102=0),"",IFERROR(LOOKUP(2,1/((Budgets!$A$2:$A$200=AT$1)*(Budgets!$B$2:$B$200&lt;=$A102)),Budgets!$C$2:$C$200),0))</f>
        <v/>
      </c>
      <c r="AU102" s="88">
        <f>IF(OR(AU$1="",$BE102=0),"",IFERROR(LOOKUP(2,1/((Budgets!$A$2:$A$200=AU$1)*(Budgets!$B$2:$B$200&lt;=$A102)),Budgets!$C$2:$C$200),0))</f>
        <v/>
      </c>
      <c r="AV102" s="88">
        <f>IF(OR(AV$1="",$BE102=0),"",IFERROR(LOOKUP(2,1/((Budgets!$A$2:$A$200=AV$1)*(Budgets!$B$2:$B$200&lt;=$A102)),Budgets!$C$2:$C$200),0))</f>
        <v/>
      </c>
      <c r="AW102" s="88">
        <f>IF(OR(AW$1="",$BE102=0),"",IFERROR(LOOKUP(2,1/((Budgets!$A$2:$A$200=AW$1)*(Budgets!$B$2:$B$200&lt;=$A102)),Budgets!$C$2:$C$200),0))</f>
        <v/>
      </c>
      <c r="AX102" s="88">
        <f>IF(OR(AX$1="",$BE102=0),"",IFERROR(LOOKUP(2,1/((Budgets!$A$2:$A$200=AX$1)*(Budgets!$B$2:$B$200&lt;=$A102)),Budgets!$C$2:$C$200),0))</f>
        <v/>
      </c>
      <c r="AY102" s="88">
        <f>IF(OR(AY$1="",$BE102=0),"",IFERROR(LOOKUP(2,1/((Budgets!$A$2:$A$200=AY$1)*(Budgets!$B$2:$B$200&lt;=$A102)),Budgets!$C$2:$C$200),0))</f>
        <v/>
      </c>
      <c r="AZ102" s="88">
        <f>IF(OR(AZ$1="",$BE102=0),"",IFERROR(LOOKUP(2,1/((Budgets!$A$2:$A$200=AZ$1)*(Budgets!$B$2:$B$200&lt;=$A102)),Budgets!$C$2:$C$200),0))</f>
        <v/>
      </c>
      <c r="BA102" s="88">
        <f>IF(OR(BA$1="",$BE102=0),"",IFERROR(LOOKUP(2,1/((Budgets!$A$2:$A$200=BA$1)*(Budgets!$B$2:$B$200&lt;=$A102)),Budgets!$C$2:$C$200),0))</f>
        <v/>
      </c>
      <c r="BB102" s="88">
        <f>IF(OR(BB$1="",$BE102=0),"",IFERROR(LOOKUP(2,1/((Budgets!$A$2:$A$200=BB$1)*(Budgets!$B$2:$B$200&lt;=$A102)),Budgets!$C$2:$C$200),0))</f>
        <v/>
      </c>
      <c r="BC102" s="88">
        <f>IF(OR(BC$1="",$BE102=0),"",IFERROR(LOOKUP(2,1/((Budgets!$A$2:$A$200=BC$1)*(Budgets!$B$2:$B$200&lt;=$A102)),Budgets!$C$2:$C$200),0))</f>
        <v/>
      </c>
      <c r="BE102" s="67">
        <f>COUNTIFS(Entries!$A$2:$A$5000,$A102)</f>
        <v/>
      </c>
    </row>
    <row r="103" ht="15" customHeight="1" s="43">
      <c r="A103" s="87" t="n">
        <v>42522</v>
      </c>
      <c r="B103" s="88">
        <f>IF($BE103=0,NA(),SUMIFS(Entries!$D$2:$D$5000,Entries!$C$2:$C$5000,"Income",Entries!$A$2:$A$5000,$A103))</f>
        <v/>
      </c>
      <c r="C103" s="88">
        <f>IF($BE103=0,"",SUMIFS(Entries!$D$2:$D$5000,Entries!$C$2:$C$5000,"Actual",Entries!$A$2:$A$5000,$A103))</f>
        <v/>
      </c>
      <c r="D103" s="88">
        <f>IF($BE103=0,"",SUMIFS(Entries!$D$2:$D$5000,Entries!$C$2:$C$5000,"One-off",Entries!$A$2:$A$5000,$A103))</f>
        <v/>
      </c>
      <c r="E103" s="88">
        <f>IF($BE103=0,NA(),C103+D103)</f>
        <v/>
      </c>
      <c r="F103" s="88">
        <f>IF($BE103=0,"",SUM(AJ103:BC103))</f>
        <v/>
      </c>
      <c r="G103" s="88">
        <f>IF($BE103=0,"",B103-E103)</f>
        <v/>
      </c>
      <c r="H103" s="88">
        <f>IF($BE103=0,"",SUM($G$2:G103))</f>
        <v/>
      </c>
      <c r="I103" s="88">
        <f>IF($BE103=0,"",SUMIFS(Entries!$F$2:$F$5000,Entries!$A$2:$A$5000,$A103))</f>
        <v/>
      </c>
      <c r="J103" s="88">
        <f>IF($BE103=0,NA(),H103+SUM($I$2:I103))</f>
        <v/>
      </c>
      <c r="K103" s="88">
        <f>IF($BE103=0,"",SUMIFS(Entries!$D$2:$D$5000,Entries!$C$2:$C$5000,"Income",Entries!$A$2:$A$5000,"&gt;="&amp;EDATE($A103,-11),Entries!$A$2:$A$5000,"&lt;="&amp;$A103)/12)</f>
        <v/>
      </c>
      <c r="L103" s="88">
        <f>IF($BE103=0,"",(SUMIFS(Entries!$D$2:$D$5000,Entries!$C$2:$C$5000,"Actual",Entries!$A$2:$A$5000,"&gt;="&amp;EDATE($A103,-11),Entries!$A$2:$A$5000,"&lt;="&amp;$A103)+SUMIFS(Entries!$D$2:$D$5000,Entries!$C$2:$C$5000,"One-off",Entries!$A$2:$A$5000,"&gt;="&amp;EDATE($A103,-11),Entries!$A$2:$A$5000,"&lt;="&amp;$A103))/12)</f>
        <v/>
      </c>
      <c r="M103" s="70">
        <f>IF($BE103=0,NA(),IFERROR((K103-L103)/K103,0))</f>
        <v/>
      </c>
      <c r="O103" s="88">
        <f>IF(OR(O$1="",$BE103=0),"",SUMIFS(Entries!$D$2:$D$5000,Entries!$C$2:$C$5000,"Actual",Entries!$A$2:$A$5000,$A103,Entries!$B$2:$B$5000,O$1))</f>
        <v/>
      </c>
      <c r="P103" s="88">
        <f>IF(OR(P$1="",$BE103=0),"",SUMIFS(Entries!$D$2:$D$5000,Entries!$C$2:$C$5000,"Actual",Entries!$A$2:$A$5000,$A103,Entries!$B$2:$B$5000,P$1))</f>
        <v/>
      </c>
      <c r="Q103" s="88">
        <f>IF(OR(Q$1="",$BE103=0),"",SUMIFS(Entries!$D$2:$D$5000,Entries!$C$2:$C$5000,"Actual",Entries!$A$2:$A$5000,$A103,Entries!$B$2:$B$5000,Q$1))</f>
        <v/>
      </c>
      <c r="R103" s="88">
        <f>IF(OR(R$1="",$BE103=0),"",SUMIFS(Entries!$D$2:$D$5000,Entries!$C$2:$C$5000,"Actual",Entries!$A$2:$A$5000,$A103,Entries!$B$2:$B$5000,R$1))</f>
        <v/>
      </c>
      <c r="S103" s="88">
        <f>IF(OR(S$1="",$BE103=0),"",SUMIFS(Entries!$D$2:$D$5000,Entries!$C$2:$C$5000,"Actual",Entries!$A$2:$A$5000,$A103,Entries!$B$2:$B$5000,S$1))</f>
        <v/>
      </c>
      <c r="T103" s="88">
        <f>IF(OR(T$1="",$BE103=0),"",SUMIFS(Entries!$D$2:$D$5000,Entries!$C$2:$C$5000,"Actual",Entries!$A$2:$A$5000,$A103,Entries!$B$2:$B$5000,T$1))</f>
        <v/>
      </c>
      <c r="U103" s="88">
        <f>IF(OR(U$1="",$BE103=0),"",SUMIFS(Entries!$D$2:$D$5000,Entries!$C$2:$C$5000,"Actual",Entries!$A$2:$A$5000,$A103,Entries!$B$2:$B$5000,U$1))</f>
        <v/>
      </c>
      <c r="V103" s="88">
        <f>IF(OR(V$1="",$BE103=0),"",SUMIFS(Entries!$D$2:$D$5000,Entries!$C$2:$C$5000,"Actual",Entries!$A$2:$A$5000,$A103,Entries!$B$2:$B$5000,V$1))</f>
        <v/>
      </c>
      <c r="W103" s="88">
        <f>IF(OR(W$1="",$BE103=0),"",SUMIFS(Entries!$D$2:$D$5000,Entries!$C$2:$C$5000,"Actual",Entries!$A$2:$A$5000,$A103,Entries!$B$2:$B$5000,W$1))</f>
        <v/>
      </c>
      <c r="X103" s="88">
        <f>IF(OR(X$1="",$BE103=0),"",SUMIFS(Entries!$D$2:$D$5000,Entries!$C$2:$C$5000,"Actual",Entries!$A$2:$A$5000,$A103,Entries!$B$2:$B$5000,X$1))</f>
        <v/>
      </c>
      <c r="Y103" s="88">
        <f>IF(OR(Y$1="",$BE103=0),"",SUMIFS(Entries!$D$2:$D$5000,Entries!$C$2:$C$5000,"Actual",Entries!$A$2:$A$5000,$A103,Entries!$B$2:$B$5000,Y$1))</f>
        <v/>
      </c>
      <c r="Z103" s="88">
        <f>IF(OR(Z$1="",$BE103=0),"",SUMIFS(Entries!$D$2:$D$5000,Entries!$C$2:$C$5000,"Actual",Entries!$A$2:$A$5000,$A103,Entries!$B$2:$B$5000,Z$1))</f>
        <v/>
      </c>
      <c r="AA103" s="88">
        <f>IF(OR(AA$1="",$BE103=0),"",SUMIFS(Entries!$D$2:$D$5000,Entries!$C$2:$C$5000,"Actual",Entries!$A$2:$A$5000,$A103,Entries!$B$2:$B$5000,AA$1))</f>
        <v/>
      </c>
      <c r="AB103" s="88">
        <f>IF(OR(AB$1="",$BE103=0),"",SUMIFS(Entries!$D$2:$D$5000,Entries!$C$2:$C$5000,"Actual",Entries!$A$2:$A$5000,$A103,Entries!$B$2:$B$5000,AB$1))</f>
        <v/>
      </c>
      <c r="AC103" s="88">
        <f>IF(OR(AC$1="",$BE103=0),"",SUMIFS(Entries!$D$2:$D$5000,Entries!$C$2:$C$5000,"Actual",Entries!$A$2:$A$5000,$A103,Entries!$B$2:$B$5000,AC$1))</f>
        <v/>
      </c>
      <c r="AD103" s="88">
        <f>IF(OR(AD$1="",$BE103=0),"",SUMIFS(Entries!$D$2:$D$5000,Entries!$C$2:$C$5000,"Actual",Entries!$A$2:$A$5000,$A103,Entries!$B$2:$B$5000,AD$1))</f>
        <v/>
      </c>
      <c r="AE103" s="88">
        <f>IF(OR(AE$1="",$BE103=0),"",SUMIFS(Entries!$D$2:$D$5000,Entries!$C$2:$C$5000,"Actual",Entries!$A$2:$A$5000,$A103,Entries!$B$2:$B$5000,AE$1))</f>
        <v/>
      </c>
      <c r="AF103" s="88">
        <f>IF(OR(AF$1="",$BE103=0),"",SUMIFS(Entries!$D$2:$D$5000,Entries!$C$2:$C$5000,"Actual",Entries!$A$2:$A$5000,$A103,Entries!$B$2:$B$5000,AF$1))</f>
        <v/>
      </c>
      <c r="AG103" s="88">
        <f>IF(OR(AG$1="",$BE103=0),"",SUMIFS(Entries!$D$2:$D$5000,Entries!$C$2:$C$5000,"Actual",Entries!$A$2:$A$5000,$A103,Entries!$B$2:$B$5000,AG$1))</f>
        <v/>
      </c>
      <c r="AH103" s="88">
        <f>IF(OR(AH$1="",$BE103=0),"",SUMIFS(Entries!$D$2:$D$5000,Entries!$C$2:$C$5000,"Actual",Entries!$A$2:$A$5000,$A103,Entries!$B$2:$B$5000,AH$1))</f>
        <v/>
      </c>
      <c r="AJ103" s="88">
        <f>IF(OR(AJ$1="",$BE103=0),"",IFERROR(LOOKUP(2,1/((Budgets!$A$2:$A$200=AJ$1)*(Budgets!$B$2:$B$200&lt;=$A103)),Budgets!$C$2:$C$200),0))</f>
        <v/>
      </c>
      <c r="AK103" s="88">
        <f>IF(OR(AK$1="",$BE103=0),"",IFERROR(LOOKUP(2,1/((Budgets!$A$2:$A$200=AK$1)*(Budgets!$B$2:$B$200&lt;=$A103)),Budgets!$C$2:$C$200),0))</f>
        <v/>
      </c>
      <c r="AL103" s="88">
        <f>IF(OR(AL$1="",$BE103=0),"",IFERROR(LOOKUP(2,1/((Budgets!$A$2:$A$200=AL$1)*(Budgets!$B$2:$B$200&lt;=$A103)),Budgets!$C$2:$C$200),0))</f>
        <v/>
      </c>
      <c r="AM103" s="88">
        <f>IF(OR(AM$1="",$BE103=0),"",IFERROR(LOOKUP(2,1/((Budgets!$A$2:$A$200=AM$1)*(Budgets!$B$2:$B$200&lt;=$A103)),Budgets!$C$2:$C$200),0))</f>
        <v/>
      </c>
      <c r="AN103" s="88">
        <f>IF(OR(AN$1="",$BE103=0),"",IFERROR(LOOKUP(2,1/((Budgets!$A$2:$A$200=AN$1)*(Budgets!$B$2:$B$200&lt;=$A103)),Budgets!$C$2:$C$200),0))</f>
        <v/>
      </c>
      <c r="AO103" s="88">
        <f>IF(OR(AO$1="",$BE103=0),"",IFERROR(LOOKUP(2,1/((Budgets!$A$2:$A$200=AO$1)*(Budgets!$B$2:$B$200&lt;=$A103)),Budgets!$C$2:$C$200),0))</f>
        <v/>
      </c>
      <c r="AP103" s="88">
        <f>IF(OR(AP$1="",$BE103=0),"",IFERROR(LOOKUP(2,1/((Budgets!$A$2:$A$200=AP$1)*(Budgets!$B$2:$B$200&lt;=$A103)),Budgets!$C$2:$C$200),0))</f>
        <v/>
      </c>
      <c r="AQ103" s="88">
        <f>IF(OR(AQ$1="",$BE103=0),"",IFERROR(LOOKUP(2,1/((Budgets!$A$2:$A$200=AQ$1)*(Budgets!$B$2:$B$200&lt;=$A103)),Budgets!$C$2:$C$200),0))</f>
        <v/>
      </c>
      <c r="AR103" s="88">
        <f>IF(OR(AR$1="",$BE103=0),"",IFERROR(LOOKUP(2,1/((Budgets!$A$2:$A$200=AR$1)*(Budgets!$B$2:$B$200&lt;=$A103)),Budgets!$C$2:$C$200),0))</f>
        <v/>
      </c>
      <c r="AS103" s="88">
        <f>IF(OR(AS$1="",$BE103=0),"",IFERROR(LOOKUP(2,1/((Budgets!$A$2:$A$200=AS$1)*(Budgets!$B$2:$B$200&lt;=$A103)),Budgets!$C$2:$C$200),0))</f>
        <v/>
      </c>
      <c r="AT103" s="88">
        <f>IF(OR(AT$1="",$BE103=0),"",IFERROR(LOOKUP(2,1/((Budgets!$A$2:$A$200=AT$1)*(Budgets!$B$2:$B$200&lt;=$A103)),Budgets!$C$2:$C$200),0))</f>
        <v/>
      </c>
      <c r="AU103" s="88">
        <f>IF(OR(AU$1="",$BE103=0),"",IFERROR(LOOKUP(2,1/((Budgets!$A$2:$A$200=AU$1)*(Budgets!$B$2:$B$200&lt;=$A103)),Budgets!$C$2:$C$200),0))</f>
        <v/>
      </c>
      <c r="AV103" s="88">
        <f>IF(OR(AV$1="",$BE103=0),"",IFERROR(LOOKUP(2,1/((Budgets!$A$2:$A$200=AV$1)*(Budgets!$B$2:$B$200&lt;=$A103)),Budgets!$C$2:$C$200),0))</f>
        <v/>
      </c>
      <c r="AW103" s="88">
        <f>IF(OR(AW$1="",$BE103=0),"",IFERROR(LOOKUP(2,1/((Budgets!$A$2:$A$200=AW$1)*(Budgets!$B$2:$B$200&lt;=$A103)),Budgets!$C$2:$C$200),0))</f>
        <v/>
      </c>
      <c r="AX103" s="88">
        <f>IF(OR(AX$1="",$BE103=0),"",IFERROR(LOOKUP(2,1/((Budgets!$A$2:$A$200=AX$1)*(Budgets!$B$2:$B$200&lt;=$A103)),Budgets!$C$2:$C$200),0))</f>
        <v/>
      </c>
      <c r="AY103" s="88">
        <f>IF(OR(AY$1="",$BE103=0),"",IFERROR(LOOKUP(2,1/((Budgets!$A$2:$A$200=AY$1)*(Budgets!$B$2:$B$200&lt;=$A103)),Budgets!$C$2:$C$200),0))</f>
        <v/>
      </c>
      <c r="AZ103" s="88">
        <f>IF(OR(AZ$1="",$BE103=0),"",IFERROR(LOOKUP(2,1/((Budgets!$A$2:$A$200=AZ$1)*(Budgets!$B$2:$B$200&lt;=$A103)),Budgets!$C$2:$C$200),0))</f>
        <v/>
      </c>
      <c r="BA103" s="88">
        <f>IF(OR(BA$1="",$BE103=0),"",IFERROR(LOOKUP(2,1/((Budgets!$A$2:$A$200=BA$1)*(Budgets!$B$2:$B$200&lt;=$A103)),Budgets!$C$2:$C$200),0))</f>
        <v/>
      </c>
      <c r="BB103" s="88">
        <f>IF(OR(BB$1="",$BE103=0),"",IFERROR(LOOKUP(2,1/((Budgets!$A$2:$A$200=BB$1)*(Budgets!$B$2:$B$200&lt;=$A103)),Budgets!$C$2:$C$200),0))</f>
        <v/>
      </c>
      <c r="BC103" s="88">
        <f>IF(OR(BC$1="",$BE103=0),"",IFERROR(LOOKUP(2,1/((Budgets!$A$2:$A$200=BC$1)*(Budgets!$B$2:$B$200&lt;=$A103)),Budgets!$C$2:$C$200),0))</f>
        <v/>
      </c>
      <c r="BE103" s="67">
        <f>COUNTIFS(Entries!$A$2:$A$5000,$A103)</f>
        <v/>
      </c>
    </row>
    <row r="104" ht="15" customHeight="1" s="43">
      <c r="A104" s="87" t="n">
        <v>42552</v>
      </c>
      <c r="B104" s="88">
        <f>IF($BE104=0,NA(),SUMIFS(Entries!$D$2:$D$5000,Entries!$C$2:$C$5000,"Income",Entries!$A$2:$A$5000,$A104))</f>
        <v/>
      </c>
      <c r="C104" s="88">
        <f>IF($BE104=0,"",SUMIFS(Entries!$D$2:$D$5000,Entries!$C$2:$C$5000,"Actual",Entries!$A$2:$A$5000,$A104))</f>
        <v/>
      </c>
      <c r="D104" s="88">
        <f>IF($BE104=0,"",SUMIFS(Entries!$D$2:$D$5000,Entries!$C$2:$C$5000,"One-off",Entries!$A$2:$A$5000,$A104))</f>
        <v/>
      </c>
      <c r="E104" s="88">
        <f>IF($BE104=0,NA(),C104+D104)</f>
        <v/>
      </c>
      <c r="F104" s="88">
        <f>IF($BE104=0,"",SUM(AJ104:BC104))</f>
        <v/>
      </c>
      <c r="G104" s="88">
        <f>IF($BE104=0,"",B104-E104)</f>
        <v/>
      </c>
      <c r="H104" s="88">
        <f>IF($BE104=0,"",SUM($G$2:G104))</f>
        <v/>
      </c>
      <c r="I104" s="88">
        <f>IF($BE104=0,"",SUMIFS(Entries!$F$2:$F$5000,Entries!$A$2:$A$5000,$A104))</f>
        <v/>
      </c>
      <c r="J104" s="88">
        <f>IF($BE104=0,NA(),H104+SUM($I$2:I104))</f>
        <v/>
      </c>
      <c r="K104" s="88">
        <f>IF($BE104=0,"",SUMIFS(Entries!$D$2:$D$5000,Entries!$C$2:$C$5000,"Income",Entries!$A$2:$A$5000,"&gt;="&amp;EDATE($A104,-11),Entries!$A$2:$A$5000,"&lt;="&amp;$A104)/12)</f>
        <v/>
      </c>
      <c r="L104" s="88">
        <f>IF($BE104=0,"",(SUMIFS(Entries!$D$2:$D$5000,Entries!$C$2:$C$5000,"Actual",Entries!$A$2:$A$5000,"&gt;="&amp;EDATE($A104,-11),Entries!$A$2:$A$5000,"&lt;="&amp;$A104)+SUMIFS(Entries!$D$2:$D$5000,Entries!$C$2:$C$5000,"One-off",Entries!$A$2:$A$5000,"&gt;="&amp;EDATE($A104,-11),Entries!$A$2:$A$5000,"&lt;="&amp;$A104))/12)</f>
        <v/>
      </c>
      <c r="M104" s="70">
        <f>IF($BE104=0,NA(),IFERROR((K104-L104)/K104,0))</f>
        <v/>
      </c>
      <c r="O104" s="88">
        <f>IF(OR(O$1="",$BE104=0),"",SUMIFS(Entries!$D$2:$D$5000,Entries!$C$2:$C$5000,"Actual",Entries!$A$2:$A$5000,$A104,Entries!$B$2:$B$5000,O$1))</f>
        <v/>
      </c>
      <c r="P104" s="88">
        <f>IF(OR(P$1="",$BE104=0),"",SUMIFS(Entries!$D$2:$D$5000,Entries!$C$2:$C$5000,"Actual",Entries!$A$2:$A$5000,$A104,Entries!$B$2:$B$5000,P$1))</f>
        <v/>
      </c>
      <c r="Q104" s="88">
        <f>IF(OR(Q$1="",$BE104=0),"",SUMIFS(Entries!$D$2:$D$5000,Entries!$C$2:$C$5000,"Actual",Entries!$A$2:$A$5000,$A104,Entries!$B$2:$B$5000,Q$1))</f>
        <v/>
      </c>
      <c r="R104" s="88">
        <f>IF(OR(R$1="",$BE104=0),"",SUMIFS(Entries!$D$2:$D$5000,Entries!$C$2:$C$5000,"Actual",Entries!$A$2:$A$5000,$A104,Entries!$B$2:$B$5000,R$1))</f>
        <v/>
      </c>
      <c r="S104" s="88">
        <f>IF(OR(S$1="",$BE104=0),"",SUMIFS(Entries!$D$2:$D$5000,Entries!$C$2:$C$5000,"Actual",Entries!$A$2:$A$5000,$A104,Entries!$B$2:$B$5000,S$1))</f>
        <v/>
      </c>
      <c r="T104" s="88">
        <f>IF(OR(T$1="",$BE104=0),"",SUMIFS(Entries!$D$2:$D$5000,Entries!$C$2:$C$5000,"Actual",Entries!$A$2:$A$5000,$A104,Entries!$B$2:$B$5000,T$1))</f>
        <v/>
      </c>
      <c r="U104" s="88">
        <f>IF(OR(U$1="",$BE104=0),"",SUMIFS(Entries!$D$2:$D$5000,Entries!$C$2:$C$5000,"Actual",Entries!$A$2:$A$5000,$A104,Entries!$B$2:$B$5000,U$1))</f>
        <v/>
      </c>
      <c r="V104" s="88">
        <f>IF(OR(V$1="",$BE104=0),"",SUMIFS(Entries!$D$2:$D$5000,Entries!$C$2:$C$5000,"Actual",Entries!$A$2:$A$5000,$A104,Entries!$B$2:$B$5000,V$1))</f>
        <v/>
      </c>
      <c r="W104" s="88">
        <f>IF(OR(W$1="",$BE104=0),"",SUMIFS(Entries!$D$2:$D$5000,Entries!$C$2:$C$5000,"Actual",Entries!$A$2:$A$5000,$A104,Entries!$B$2:$B$5000,W$1))</f>
        <v/>
      </c>
      <c r="X104" s="88">
        <f>IF(OR(X$1="",$BE104=0),"",SUMIFS(Entries!$D$2:$D$5000,Entries!$C$2:$C$5000,"Actual",Entries!$A$2:$A$5000,$A104,Entries!$B$2:$B$5000,X$1))</f>
        <v/>
      </c>
      <c r="Y104" s="88">
        <f>IF(OR(Y$1="",$BE104=0),"",SUMIFS(Entries!$D$2:$D$5000,Entries!$C$2:$C$5000,"Actual",Entries!$A$2:$A$5000,$A104,Entries!$B$2:$B$5000,Y$1))</f>
        <v/>
      </c>
      <c r="Z104" s="88">
        <f>IF(OR(Z$1="",$BE104=0),"",SUMIFS(Entries!$D$2:$D$5000,Entries!$C$2:$C$5000,"Actual",Entries!$A$2:$A$5000,$A104,Entries!$B$2:$B$5000,Z$1))</f>
        <v/>
      </c>
      <c r="AA104" s="88">
        <f>IF(OR(AA$1="",$BE104=0),"",SUMIFS(Entries!$D$2:$D$5000,Entries!$C$2:$C$5000,"Actual",Entries!$A$2:$A$5000,$A104,Entries!$B$2:$B$5000,AA$1))</f>
        <v/>
      </c>
      <c r="AB104" s="88">
        <f>IF(OR(AB$1="",$BE104=0),"",SUMIFS(Entries!$D$2:$D$5000,Entries!$C$2:$C$5000,"Actual",Entries!$A$2:$A$5000,$A104,Entries!$B$2:$B$5000,AB$1))</f>
        <v/>
      </c>
      <c r="AC104" s="88">
        <f>IF(OR(AC$1="",$BE104=0),"",SUMIFS(Entries!$D$2:$D$5000,Entries!$C$2:$C$5000,"Actual",Entries!$A$2:$A$5000,$A104,Entries!$B$2:$B$5000,AC$1))</f>
        <v/>
      </c>
      <c r="AD104" s="88">
        <f>IF(OR(AD$1="",$BE104=0),"",SUMIFS(Entries!$D$2:$D$5000,Entries!$C$2:$C$5000,"Actual",Entries!$A$2:$A$5000,$A104,Entries!$B$2:$B$5000,AD$1))</f>
        <v/>
      </c>
      <c r="AE104" s="88">
        <f>IF(OR(AE$1="",$BE104=0),"",SUMIFS(Entries!$D$2:$D$5000,Entries!$C$2:$C$5000,"Actual",Entries!$A$2:$A$5000,$A104,Entries!$B$2:$B$5000,AE$1))</f>
        <v/>
      </c>
      <c r="AF104" s="88">
        <f>IF(OR(AF$1="",$BE104=0),"",SUMIFS(Entries!$D$2:$D$5000,Entries!$C$2:$C$5000,"Actual",Entries!$A$2:$A$5000,$A104,Entries!$B$2:$B$5000,AF$1))</f>
        <v/>
      </c>
      <c r="AG104" s="88">
        <f>IF(OR(AG$1="",$BE104=0),"",SUMIFS(Entries!$D$2:$D$5000,Entries!$C$2:$C$5000,"Actual",Entries!$A$2:$A$5000,$A104,Entries!$B$2:$B$5000,AG$1))</f>
        <v/>
      </c>
      <c r="AH104" s="88">
        <f>IF(OR(AH$1="",$BE104=0),"",SUMIFS(Entries!$D$2:$D$5000,Entries!$C$2:$C$5000,"Actual",Entries!$A$2:$A$5000,$A104,Entries!$B$2:$B$5000,AH$1))</f>
        <v/>
      </c>
      <c r="AJ104" s="88">
        <f>IF(OR(AJ$1="",$BE104=0),"",IFERROR(LOOKUP(2,1/((Budgets!$A$2:$A$200=AJ$1)*(Budgets!$B$2:$B$200&lt;=$A104)),Budgets!$C$2:$C$200),0))</f>
        <v/>
      </c>
      <c r="AK104" s="88">
        <f>IF(OR(AK$1="",$BE104=0),"",IFERROR(LOOKUP(2,1/((Budgets!$A$2:$A$200=AK$1)*(Budgets!$B$2:$B$200&lt;=$A104)),Budgets!$C$2:$C$200),0))</f>
        <v/>
      </c>
      <c r="AL104" s="88">
        <f>IF(OR(AL$1="",$BE104=0),"",IFERROR(LOOKUP(2,1/((Budgets!$A$2:$A$200=AL$1)*(Budgets!$B$2:$B$200&lt;=$A104)),Budgets!$C$2:$C$200),0))</f>
        <v/>
      </c>
      <c r="AM104" s="88">
        <f>IF(OR(AM$1="",$BE104=0),"",IFERROR(LOOKUP(2,1/((Budgets!$A$2:$A$200=AM$1)*(Budgets!$B$2:$B$200&lt;=$A104)),Budgets!$C$2:$C$200),0))</f>
        <v/>
      </c>
      <c r="AN104" s="88">
        <f>IF(OR(AN$1="",$BE104=0),"",IFERROR(LOOKUP(2,1/((Budgets!$A$2:$A$200=AN$1)*(Budgets!$B$2:$B$200&lt;=$A104)),Budgets!$C$2:$C$200),0))</f>
        <v/>
      </c>
      <c r="AO104" s="88">
        <f>IF(OR(AO$1="",$BE104=0),"",IFERROR(LOOKUP(2,1/((Budgets!$A$2:$A$200=AO$1)*(Budgets!$B$2:$B$200&lt;=$A104)),Budgets!$C$2:$C$200),0))</f>
        <v/>
      </c>
      <c r="AP104" s="88">
        <f>IF(OR(AP$1="",$BE104=0),"",IFERROR(LOOKUP(2,1/((Budgets!$A$2:$A$200=AP$1)*(Budgets!$B$2:$B$200&lt;=$A104)),Budgets!$C$2:$C$200),0))</f>
        <v/>
      </c>
      <c r="AQ104" s="88">
        <f>IF(OR(AQ$1="",$BE104=0),"",IFERROR(LOOKUP(2,1/((Budgets!$A$2:$A$200=AQ$1)*(Budgets!$B$2:$B$200&lt;=$A104)),Budgets!$C$2:$C$200),0))</f>
        <v/>
      </c>
      <c r="AR104" s="88">
        <f>IF(OR(AR$1="",$BE104=0),"",IFERROR(LOOKUP(2,1/((Budgets!$A$2:$A$200=AR$1)*(Budgets!$B$2:$B$200&lt;=$A104)),Budgets!$C$2:$C$200),0))</f>
        <v/>
      </c>
      <c r="AS104" s="88">
        <f>IF(OR(AS$1="",$BE104=0),"",IFERROR(LOOKUP(2,1/((Budgets!$A$2:$A$200=AS$1)*(Budgets!$B$2:$B$200&lt;=$A104)),Budgets!$C$2:$C$200),0))</f>
        <v/>
      </c>
      <c r="AT104" s="88">
        <f>IF(OR(AT$1="",$BE104=0),"",IFERROR(LOOKUP(2,1/((Budgets!$A$2:$A$200=AT$1)*(Budgets!$B$2:$B$200&lt;=$A104)),Budgets!$C$2:$C$200),0))</f>
        <v/>
      </c>
      <c r="AU104" s="88">
        <f>IF(OR(AU$1="",$BE104=0),"",IFERROR(LOOKUP(2,1/((Budgets!$A$2:$A$200=AU$1)*(Budgets!$B$2:$B$200&lt;=$A104)),Budgets!$C$2:$C$200),0))</f>
        <v/>
      </c>
      <c r="AV104" s="88">
        <f>IF(OR(AV$1="",$BE104=0),"",IFERROR(LOOKUP(2,1/((Budgets!$A$2:$A$200=AV$1)*(Budgets!$B$2:$B$200&lt;=$A104)),Budgets!$C$2:$C$200),0))</f>
        <v/>
      </c>
      <c r="AW104" s="88">
        <f>IF(OR(AW$1="",$BE104=0),"",IFERROR(LOOKUP(2,1/((Budgets!$A$2:$A$200=AW$1)*(Budgets!$B$2:$B$200&lt;=$A104)),Budgets!$C$2:$C$200),0))</f>
        <v/>
      </c>
      <c r="AX104" s="88">
        <f>IF(OR(AX$1="",$BE104=0),"",IFERROR(LOOKUP(2,1/((Budgets!$A$2:$A$200=AX$1)*(Budgets!$B$2:$B$200&lt;=$A104)),Budgets!$C$2:$C$200),0))</f>
        <v/>
      </c>
      <c r="AY104" s="88">
        <f>IF(OR(AY$1="",$BE104=0),"",IFERROR(LOOKUP(2,1/((Budgets!$A$2:$A$200=AY$1)*(Budgets!$B$2:$B$200&lt;=$A104)),Budgets!$C$2:$C$200),0))</f>
        <v/>
      </c>
      <c r="AZ104" s="88">
        <f>IF(OR(AZ$1="",$BE104=0),"",IFERROR(LOOKUP(2,1/((Budgets!$A$2:$A$200=AZ$1)*(Budgets!$B$2:$B$200&lt;=$A104)),Budgets!$C$2:$C$200),0))</f>
        <v/>
      </c>
      <c r="BA104" s="88">
        <f>IF(OR(BA$1="",$BE104=0),"",IFERROR(LOOKUP(2,1/((Budgets!$A$2:$A$200=BA$1)*(Budgets!$B$2:$B$200&lt;=$A104)),Budgets!$C$2:$C$200),0))</f>
        <v/>
      </c>
      <c r="BB104" s="88">
        <f>IF(OR(BB$1="",$BE104=0),"",IFERROR(LOOKUP(2,1/((Budgets!$A$2:$A$200=BB$1)*(Budgets!$B$2:$B$200&lt;=$A104)),Budgets!$C$2:$C$200),0))</f>
        <v/>
      </c>
      <c r="BC104" s="88">
        <f>IF(OR(BC$1="",$BE104=0),"",IFERROR(LOOKUP(2,1/((Budgets!$A$2:$A$200=BC$1)*(Budgets!$B$2:$B$200&lt;=$A104)),Budgets!$C$2:$C$200),0))</f>
        <v/>
      </c>
      <c r="BE104" s="67">
        <f>COUNTIFS(Entries!$A$2:$A$5000,$A104)</f>
        <v/>
      </c>
    </row>
    <row r="105" ht="15" customHeight="1" s="43">
      <c r="A105" s="87" t="n">
        <v>42583</v>
      </c>
      <c r="B105" s="88">
        <f>IF($BE105=0,NA(),SUMIFS(Entries!$D$2:$D$5000,Entries!$C$2:$C$5000,"Income",Entries!$A$2:$A$5000,$A105))</f>
        <v/>
      </c>
      <c r="C105" s="88">
        <f>IF($BE105=0,"",SUMIFS(Entries!$D$2:$D$5000,Entries!$C$2:$C$5000,"Actual",Entries!$A$2:$A$5000,$A105))</f>
        <v/>
      </c>
      <c r="D105" s="88">
        <f>IF($BE105=0,"",SUMIFS(Entries!$D$2:$D$5000,Entries!$C$2:$C$5000,"One-off",Entries!$A$2:$A$5000,$A105))</f>
        <v/>
      </c>
      <c r="E105" s="88">
        <f>IF($BE105=0,NA(),C105+D105)</f>
        <v/>
      </c>
      <c r="F105" s="88">
        <f>IF($BE105=0,"",SUM(AJ105:BC105))</f>
        <v/>
      </c>
      <c r="G105" s="88">
        <f>IF($BE105=0,"",B105-E105)</f>
        <v/>
      </c>
      <c r="H105" s="88">
        <f>IF($BE105=0,"",SUM($G$2:G105))</f>
        <v/>
      </c>
      <c r="I105" s="88">
        <f>IF($BE105=0,"",SUMIFS(Entries!$F$2:$F$5000,Entries!$A$2:$A$5000,$A105))</f>
        <v/>
      </c>
      <c r="J105" s="88">
        <f>IF($BE105=0,NA(),H105+SUM($I$2:I105))</f>
        <v/>
      </c>
      <c r="K105" s="88">
        <f>IF($BE105=0,"",SUMIFS(Entries!$D$2:$D$5000,Entries!$C$2:$C$5000,"Income",Entries!$A$2:$A$5000,"&gt;="&amp;EDATE($A105,-11),Entries!$A$2:$A$5000,"&lt;="&amp;$A105)/12)</f>
        <v/>
      </c>
      <c r="L105" s="88">
        <f>IF($BE105=0,"",(SUMIFS(Entries!$D$2:$D$5000,Entries!$C$2:$C$5000,"Actual",Entries!$A$2:$A$5000,"&gt;="&amp;EDATE($A105,-11),Entries!$A$2:$A$5000,"&lt;="&amp;$A105)+SUMIFS(Entries!$D$2:$D$5000,Entries!$C$2:$C$5000,"One-off",Entries!$A$2:$A$5000,"&gt;="&amp;EDATE($A105,-11),Entries!$A$2:$A$5000,"&lt;="&amp;$A105))/12)</f>
        <v/>
      </c>
      <c r="M105" s="70">
        <f>IF($BE105=0,NA(),IFERROR((K105-L105)/K105,0))</f>
        <v/>
      </c>
      <c r="O105" s="88">
        <f>IF(OR(O$1="",$BE105=0),"",SUMIFS(Entries!$D$2:$D$5000,Entries!$C$2:$C$5000,"Actual",Entries!$A$2:$A$5000,$A105,Entries!$B$2:$B$5000,O$1))</f>
        <v/>
      </c>
      <c r="P105" s="88">
        <f>IF(OR(P$1="",$BE105=0),"",SUMIFS(Entries!$D$2:$D$5000,Entries!$C$2:$C$5000,"Actual",Entries!$A$2:$A$5000,$A105,Entries!$B$2:$B$5000,P$1))</f>
        <v/>
      </c>
      <c r="Q105" s="88">
        <f>IF(OR(Q$1="",$BE105=0),"",SUMIFS(Entries!$D$2:$D$5000,Entries!$C$2:$C$5000,"Actual",Entries!$A$2:$A$5000,$A105,Entries!$B$2:$B$5000,Q$1))</f>
        <v/>
      </c>
      <c r="R105" s="88">
        <f>IF(OR(R$1="",$BE105=0),"",SUMIFS(Entries!$D$2:$D$5000,Entries!$C$2:$C$5000,"Actual",Entries!$A$2:$A$5000,$A105,Entries!$B$2:$B$5000,R$1))</f>
        <v/>
      </c>
      <c r="S105" s="88">
        <f>IF(OR(S$1="",$BE105=0),"",SUMIFS(Entries!$D$2:$D$5000,Entries!$C$2:$C$5000,"Actual",Entries!$A$2:$A$5000,$A105,Entries!$B$2:$B$5000,S$1))</f>
        <v/>
      </c>
      <c r="T105" s="88">
        <f>IF(OR(T$1="",$BE105=0),"",SUMIFS(Entries!$D$2:$D$5000,Entries!$C$2:$C$5000,"Actual",Entries!$A$2:$A$5000,$A105,Entries!$B$2:$B$5000,T$1))</f>
        <v/>
      </c>
      <c r="U105" s="88">
        <f>IF(OR(U$1="",$BE105=0),"",SUMIFS(Entries!$D$2:$D$5000,Entries!$C$2:$C$5000,"Actual",Entries!$A$2:$A$5000,$A105,Entries!$B$2:$B$5000,U$1))</f>
        <v/>
      </c>
      <c r="V105" s="88">
        <f>IF(OR(V$1="",$BE105=0),"",SUMIFS(Entries!$D$2:$D$5000,Entries!$C$2:$C$5000,"Actual",Entries!$A$2:$A$5000,$A105,Entries!$B$2:$B$5000,V$1))</f>
        <v/>
      </c>
      <c r="W105" s="88">
        <f>IF(OR(W$1="",$BE105=0),"",SUMIFS(Entries!$D$2:$D$5000,Entries!$C$2:$C$5000,"Actual",Entries!$A$2:$A$5000,$A105,Entries!$B$2:$B$5000,W$1))</f>
        <v/>
      </c>
      <c r="X105" s="88">
        <f>IF(OR(X$1="",$BE105=0),"",SUMIFS(Entries!$D$2:$D$5000,Entries!$C$2:$C$5000,"Actual",Entries!$A$2:$A$5000,$A105,Entries!$B$2:$B$5000,X$1))</f>
        <v/>
      </c>
      <c r="Y105" s="88">
        <f>IF(OR(Y$1="",$BE105=0),"",SUMIFS(Entries!$D$2:$D$5000,Entries!$C$2:$C$5000,"Actual",Entries!$A$2:$A$5000,$A105,Entries!$B$2:$B$5000,Y$1))</f>
        <v/>
      </c>
      <c r="Z105" s="88">
        <f>IF(OR(Z$1="",$BE105=0),"",SUMIFS(Entries!$D$2:$D$5000,Entries!$C$2:$C$5000,"Actual",Entries!$A$2:$A$5000,$A105,Entries!$B$2:$B$5000,Z$1))</f>
        <v/>
      </c>
      <c r="AA105" s="88">
        <f>IF(OR(AA$1="",$BE105=0),"",SUMIFS(Entries!$D$2:$D$5000,Entries!$C$2:$C$5000,"Actual",Entries!$A$2:$A$5000,$A105,Entries!$B$2:$B$5000,AA$1))</f>
        <v/>
      </c>
      <c r="AB105" s="88">
        <f>IF(OR(AB$1="",$BE105=0),"",SUMIFS(Entries!$D$2:$D$5000,Entries!$C$2:$C$5000,"Actual",Entries!$A$2:$A$5000,$A105,Entries!$B$2:$B$5000,AB$1))</f>
        <v/>
      </c>
      <c r="AC105" s="88">
        <f>IF(OR(AC$1="",$BE105=0),"",SUMIFS(Entries!$D$2:$D$5000,Entries!$C$2:$C$5000,"Actual",Entries!$A$2:$A$5000,$A105,Entries!$B$2:$B$5000,AC$1))</f>
        <v/>
      </c>
      <c r="AD105" s="88">
        <f>IF(OR(AD$1="",$BE105=0),"",SUMIFS(Entries!$D$2:$D$5000,Entries!$C$2:$C$5000,"Actual",Entries!$A$2:$A$5000,$A105,Entries!$B$2:$B$5000,AD$1))</f>
        <v/>
      </c>
      <c r="AE105" s="88">
        <f>IF(OR(AE$1="",$BE105=0),"",SUMIFS(Entries!$D$2:$D$5000,Entries!$C$2:$C$5000,"Actual",Entries!$A$2:$A$5000,$A105,Entries!$B$2:$B$5000,AE$1))</f>
        <v/>
      </c>
      <c r="AF105" s="88">
        <f>IF(OR(AF$1="",$BE105=0),"",SUMIFS(Entries!$D$2:$D$5000,Entries!$C$2:$C$5000,"Actual",Entries!$A$2:$A$5000,$A105,Entries!$B$2:$B$5000,AF$1))</f>
        <v/>
      </c>
      <c r="AG105" s="88">
        <f>IF(OR(AG$1="",$BE105=0),"",SUMIFS(Entries!$D$2:$D$5000,Entries!$C$2:$C$5000,"Actual",Entries!$A$2:$A$5000,$A105,Entries!$B$2:$B$5000,AG$1))</f>
        <v/>
      </c>
      <c r="AH105" s="88">
        <f>IF(OR(AH$1="",$BE105=0),"",SUMIFS(Entries!$D$2:$D$5000,Entries!$C$2:$C$5000,"Actual",Entries!$A$2:$A$5000,$A105,Entries!$B$2:$B$5000,AH$1))</f>
        <v/>
      </c>
      <c r="AJ105" s="88">
        <f>IF(OR(AJ$1="",$BE105=0),"",IFERROR(LOOKUP(2,1/((Budgets!$A$2:$A$200=AJ$1)*(Budgets!$B$2:$B$200&lt;=$A105)),Budgets!$C$2:$C$200),0))</f>
        <v/>
      </c>
      <c r="AK105" s="88">
        <f>IF(OR(AK$1="",$BE105=0),"",IFERROR(LOOKUP(2,1/((Budgets!$A$2:$A$200=AK$1)*(Budgets!$B$2:$B$200&lt;=$A105)),Budgets!$C$2:$C$200),0))</f>
        <v/>
      </c>
      <c r="AL105" s="88">
        <f>IF(OR(AL$1="",$BE105=0),"",IFERROR(LOOKUP(2,1/((Budgets!$A$2:$A$200=AL$1)*(Budgets!$B$2:$B$200&lt;=$A105)),Budgets!$C$2:$C$200),0))</f>
        <v/>
      </c>
      <c r="AM105" s="88">
        <f>IF(OR(AM$1="",$BE105=0),"",IFERROR(LOOKUP(2,1/((Budgets!$A$2:$A$200=AM$1)*(Budgets!$B$2:$B$200&lt;=$A105)),Budgets!$C$2:$C$200),0))</f>
        <v/>
      </c>
      <c r="AN105" s="88">
        <f>IF(OR(AN$1="",$BE105=0),"",IFERROR(LOOKUP(2,1/((Budgets!$A$2:$A$200=AN$1)*(Budgets!$B$2:$B$200&lt;=$A105)),Budgets!$C$2:$C$200),0))</f>
        <v/>
      </c>
      <c r="AO105" s="88">
        <f>IF(OR(AO$1="",$BE105=0),"",IFERROR(LOOKUP(2,1/((Budgets!$A$2:$A$200=AO$1)*(Budgets!$B$2:$B$200&lt;=$A105)),Budgets!$C$2:$C$200),0))</f>
        <v/>
      </c>
      <c r="AP105" s="88">
        <f>IF(OR(AP$1="",$BE105=0),"",IFERROR(LOOKUP(2,1/((Budgets!$A$2:$A$200=AP$1)*(Budgets!$B$2:$B$200&lt;=$A105)),Budgets!$C$2:$C$200),0))</f>
        <v/>
      </c>
      <c r="AQ105" s="88">
        <f>IF(OR(AQ$1="",$BE105=0),"",IFERROR(LOOKUP(2,1/((Budgets!$A$2:$A$200=AQ$1)*(Budgets!$B$2:$B$200&lt;=$A105)),Budgets!$C$2:$C$200),0))</f>
        <v/>
      </c>
      <c r="AR105" s="88">
        <f>IF(OR(AR$1="",$BE105=0),"",IFERROR(LOOKUP(2,1/((Budgets!$A$2:$A$200=AR$1)*(Budgets!$B$2:$B$200&lt;=$A105)),Budgets!$C$2:$C$200),0))</f>
        <v/>
      </c>
      <c r="AS105" s="88">
        <f>IF(OR(AS$1="",$BE105=0),"",IFERROR(LOOKUP(2,1/((Budgets!$A$2:$A$200=AS$1)*(Budgets!$B$2:$B$200&lt;=$A105)),Budgets!$C$2:$C$200),0))</f>
        <v/>
      </c>
      <c r="AT105" s="88">
        <f>IF(OR(AT$1="",$BE105=0),"",IFERROR(LOOKUP(2,1/((Budgets!$A$2:$A$200=AT$1)*(Budgets!$B$2:$B$200&lt;=$A105)),Budgets!$C$2:$C$200),0))</f>
        <v/>
      </c>
      <c r="AU105" s="88">
        <f>IF(OR(AU$1="",$BE105=0),"",IFERROR(LOOKUP(2,1/((Budgets!$A$2:$A$200=AU$1)*(Budgets!$B$2:$B$200&lt;=$A105)),Budgets!$C$2:$C$200),0))</f>
        <v/>
      </c>
      <c r="AV105" s="88">
        <f>IF(OR(AV$1="",$BE105=0),"",IFERROR(LOOKUP(2,1/((Budgets!$A$2:$A$200=AV$1)*(Budgets!$B$2:$B$200&lt;=$A105)),Budgets!$C$2:$C$200),0))</f>
        <v/>
      </c>
      <c r="AW105" s="88">
        <f>IF(OR(AW$1="",$BE105=0),"",IFERROR(LOOKUP(2,1/((Budgets!$A$2:$A$200=AW$1)*(Budgets!$B$2:$B$200&lt;=$A105)),Budgets!$C$2:$C$200),0))</f>
        <v/>
      </c>
      <c r="AX105" s="88">
        <f>IF(OR(AX$1="",$BE105=0),"",IFERROR(LOOKUP(2,1/((Budgets!$A$2:$A$200=AX$1)*(Budgets!$B$2:$B$200&lt;=$A105)),Budgets!$C$2:$C$200),0))</f>
        <v/>
      </c>
      <c r="AY105" s="88">
        <f>IF(OR(AY$1="",$BE105=0),"",IFERROR(LOOKUP(2,1/((Budgets!$A$2:$A$200=AY$1)*(Budgets!$B$2:$B$200&lt;=$A105)),Budgets!$C$2:$C$200),0))</f>
        <v/>
      </c>
      <c r="AZ105" s="88">
        <f>IF(OR(AZ$1="",$BE105=0),"",IFERROR(LOOKUP(2,1/((Budgets!$A$2:$A$200=AZ$1)*(Budgets!$B$2:$B$200&lt;=$A105)),Budgets!$C$2:$C$200),0))</f>
        <v/>
      </c>
      <c r="BA105" s="88">
        <f>IF(OR(BA$1="",$BE105=0),"",IFERROR(LOOKUP(2,1/((Budgets!$A$2:$A$200=BA$1)*(Budgets!$B$2:$B$200&lt;=$A105)),Budgets!$C$2:$C$200),0))</f>
        <v/>
      </c>
      <c r="BB105" s="88">
        <f>IF(OR(BB$1="",$BE105=0),"",IFERROR(LOOKUP(2,1/((Budgets!$A$2:$A$200=BB$1)*(Budgets!$B$2:$B$200&lt;=$A105)),Budgets!$C$2:$C$200),0))</f>
        <v/>
      </c>
      <c r="BC105" s="88">
        <f>IF(OR(BC$1="",$BE105=0),"",IFERROR(LOOKUP(2,1/((Budgets!$A$2:$A$200=BC$1)*(Budgets!$B$2:$B$200&lt;=$A105)),Budgets!$C$2:$C$200),0))</f>
        <v/>
      </c>
      <c r="BE105" s="67">
        <f>COUNTIFS(Entries!$A$2:$A$5000,$A105)</f>
        <v/>
      </c>
    </row>
    <row r="106" ht="15" customHeight="1" s="43">
      <c r="A106" s="87" t="n">
        <v>42614</v>
      </c>
      <c r="B106" s="88">
        <f>IF($BE106=0,NA(),SUMIFS(Entries!$D$2:$D$5000,Entries!$C$2:$C$5000,"Income",Entries!$A$2:$A$5000,$A106))</f>
        <v/>
      </c>
      <c r="C106" s="88">
        <f>IF($BE106=0,"",SUMIFS(Entries!$D$2:$D$5000,Entries!$C$2:$C$5000,"Actual",Entries!$A$2:$A$5000,$A106))</f>
        <v/>
      </c>
      <c r="D106" s="88">
        <f>IF($BE106=0,"",SUMIFS(Entries!$D$2:$D$5000,Entries!$C$2:$C$5000,"One-off",Entries!$A$2:$A$5000,$A106))</f>
        <v/>
      </c>
      <c r="E106" s="88">
        <f>IF($BE106=0,NA(),C106+D106)</f>
        <v/>
      </c>
      <c r="F106" s="88">
        <f>IF($BE106=0,"",SUM(AJ106:BC106))</f>
        <v/>
      </c>
      <c r="G106" s="88">
        <f>IF($BE106=0,"",B106-E106)</f>
        <v/>
      </c>
      <c r="H106" s="88">
        <f>IF($BE106=0,"",SUM($G$2:G106))</f>
        <v/>
      </c>
      <c r="I106" s="88">
        <f>IF($BE106=0,"",SUMIFS(Entries!$F$2:$F$5000,Entries!$A$2:$A$5000,$A106))</f>
        <v/>
      </c>
      <c r="J106" s="88">
        <f>IF($BE106=0,NA(),H106+SUM($I$2:I106))</f>
        <v/>
      </c>
      <c r="K106" s="88">
        <f>IF($BE106=0,"",SUMIFS(Entries!$D$2:$D$5000,Entries!$C$2:$C$5000,"Income",Entries!$A$2:$A$5000,"&gt;="&amp;EDATE($A106,-11),Entries!$A$2:$A$5000,"&lt;="&amp;$A106)/12)</f>
        <v/>
      </c>
      <c r="L106" s="88">
        <f>IF($BE106=0,"",(SUMIFS(Entries!$D$2:$D$5000,Entries!$C$2:$C$5000,"Actual",Entries!$A$2:$A$5000,"&gt;="&amp;EDATE($A106,-11),Entries!$A$2:$A$5000,"&lt;="&amp;$A106)+SUMIFS(Entries!$D$2:$D$5000,Entries!$C$2:$C$5000,"One-off",Entries!$A$2:$A$5000,"&gt;="&amp;EDATE($A106,-11),Entries!$A$2:$A$5000,"&lt;="&amp;$A106))/12)</f>
        <v/>
      </c>
      <c r="M106" s="70">
        <f>IF($BE106=0,NA(),IFERROR((K106-L106)/K106,0))</f>
        <v/>
      </c>
      <c r="O106" s="88">
        <f>IF(OR(O$1="",$BE106=0),"",SUMIFS(Entries!$D$2:$D$5000,Entries!$C$2:$C$5000,"Actual",Entries!$A$2:$A$5000,$A106,Entries!$B$2:$B$5000,O$1))</f>
        <v/>
      </c>
      <c r="P106" s="88">
        <f>IF(OR(P$1="",$BE106=0),"",SUMIFS(Entries!$D$2:$D$5000,Entries!$C$2:$C$5000,"Actual",Entries!$A$2:$A$5000,$A106,Entries!$B$2:$B$5000,P$1))</f>
        <v/>
      </c>
      <c r="Q106" s="88">
        <f>IF(OR(Q$1="",$BE106=0),"",SUMIFS(Entries!$D$2:$D$5000,Entries!$C$2:$C$5000,"Actual",Entries!$A$2:$A$5000,$A106,Entries!$B$2:$B$5000,Q$1))</f>
        <v/>
      </c>
      <c r="R106" s="88">
        <f>IF(OR(R$1="",$BE106=0),"",SUMIFS(Entries!$D$2:$D$5000,Entries!$C$2:$C$5000,"Actual",Entries!$A$2:$A$5000,$A106,Entries!$B$2:$B$5000,R$1))</f>
        <v/>
      </c>
      <c r="S106" s="88">
        <f>IF(OR(S$1="",$BE106=0),"",SUMIFS(Entries!$D$2:$D$5000,Entries!$C$2:$C$5000,"Actual",Entries!$A$2:$A$5000,$A106,Entries!$B$2:$B$5000,S$1))</f>
        <v/>
      </c>
      <c r="T106" s="88">
        <f>IF(OR(T$1="",$BE106=0),"",SUMIFS(Entries!$D$2:$D$5000,Entries!$C$2:$C$5000,"Actual",Entries!$A$2:$A$5000,$A106,Entries!$B$2:$B$5000,T$1))</f>
        <v/>
      </c>
      <c r="U106" s="88">
        <f>IF(OR(U$1="",$BE106=0),"",SUMIFS(Entries!$D$2:$D$5000,Entries!$C$2:$C$5000,"Actual",Entries!$A$2:$A$5000,$A106,Entries!$B$2:$B$5000,U$1))</f>
        <v/>
      </c>
      <c r="V106" s="88">
        <f>IF(OR(V$1="",$BE106=0),"",SUMIFS(Entries!$D$2:$D$5000,Entries!$C$2:$C$5000,"Actual",Entries!$A$2:$A$5000,$A106,Entries!$B$2:$B$5000,V$1))</f>
        <v/>
      </c>
      <c r="W106" s="88">
        <f>IF(OR(W$1="",$BE106=0),"",SUMIFS(Entries!$D$2:$D$5000,Entries!$C$2:$C$5000,"Actual",Entries!$A$2:$A$5000,$A106,Entries!$B$2:$B$5000,W$1))</f>
        <v/>
      </c>
      <c r="X106" s="88">
        <f>IF(OR(X$1="",$BE106=0),"",SUMIFS(Entries!$D$2:$D$5000,Entries!$C$2:$C$5000,"Actual",Entries!$A$2:$A$5000,$A106,Entries!$B$2:$B$5000,X$1))</f>
        <v/>
      </c>
      <c r="Y106" s="88">
        <f>IF(OR(Y$1="",$BE106=0),"",SUMIFS(Entries!$D$2:$D$5000,Entries!$C$2:$C$5000,"Actual",Entries!$A$2:$A$5000,$A106,Entries!$B$2:$B$5000,Y$1))</f>
        <v/>
      </c>
      <c r="Z106" s="88">
        <f>IF(OR(Z$1="",$BE106=0),"",SUMIFS(Entries!$D$2:$D$5000,Entries!$C$2:$C$5000,"Actual",Entries!$A$2:$A$5000,$A106,Entries!$B$2:$B$5000,Z$1))</f>
        <v/>
      </c>
      <c r="AA106" s="88">
        <f>IF(OR(AA$1="",$BE106=0),"",SUMIFS(Entries!$D$2:$D$5000,Entries!$C$2:$C$5000,"Actual",Entries!$A$2:$A$5000,$A106,Entries!$B$2:$B$5000,AA$1))</f>
        <v/>
      </c>
      <c r="AB106" s="88">
        <f>IF(OR(AB$1="",$BE106=0),"",SUMIFS(Entries!$D$2:$D$5000,Entries!$C$2:$C$5000,"Actual",Entries!$A$2:$A$5000,$A106,Entries!$B$2:$B$5000,AB$1))</f>
        <v/>
      </c>
      <c r="AC106" s="88">
        <f>IF(OR(AC$1="",$BE106=0),"",SUMIFS(Entries!$D$2:$D$5000,Entries!$C$2:$C$5000,"Actual",Entries!$A$2:$A$5000,$A106,Entries!$B$2:$B$5000,AC$1))</f>
        <v/>
      </c>
      <c r="AD106" s="88">
        <f>IF(OR(AD$1="",$BE106=0),"",SUMIFS(Entries!$D$2:$D$5000,Entries!$C$2:$C$5000,"Actual",Entries!$A$2:$A$5000,$A106,Entries!$B$2:$B$5000,AD$1))</f>
        <v/>
      </c>
      <c r="AE106" s="88">
        <f>IF(OR(AE$1="",$BE106=0),"",SUMIFS(Entries!$D$2:$D$5000,Entries!$C$2:$C$5000,"Actual",Entries!$A$2:$A$5000,$A106,Entries!$B$2:$B$5000,AE$1))</f>
        <v/>
      </c>
      <c r="AF106" s="88">
        <f>IF(OR(AF$1="",$BE106=0),"",SUMIFS(Entries!$D$2:$D$5000,Entries!$C$2:$C$5000,"Actual",Entries!$A$2:$A$5000,$A106,Entries!$B$2:$B$5000,AF$1))</f>
        <v/>
      </c>
      <c r="AG106" s="88">
        <f>IF(OR(AG$1="",$BE106=0),"",SUMIFS(Entries!$D$2:$D$5000,Entries!$C$2:$C$5000,"Actual",Entries!$A$2:$A$5000,$A106,Entries!$B$2:$B$5000,AG$1))</f>
        <v/>
      </c>
      <c r="AH106" s="88">
        <f>IF(OR(AH$1="",$BE106=0),"",SUMIFS(Entries!$D$2:$D$5000,Entries!$C$2:$C$5000,"Actual",Entries!$A$2:$A$5000,$A106,Entries!$B$2:$B$5000,AH$1))</f>
        <v/>
      </c>
      <c r="AJ106" s="88">
        <f>IF(OR(AJ$1="",$BE106=0),"",IFERROR(LOOKUP(2,1/((Budgets!$A$2:$A$200=AJ$1)*(Budgets!$B$2:$B$200&lt;=$A106)),Budgets!$C$2:$C$200),0))</f>
        <v/>
      </c>
      <c r="AK106" s="88">
        <f>IF(OR(AK$1="",$BE106=0),"",IFERROR(LOOKUP(2,1/((Budgets!$A$2:$A$200=AK$1)*(Budgets!$B$2:$B$200&lt;=$A106)),Budgets!$C$2:$C$200),0))</f>
        <v/>
      </c>
      <c r="AL106" s="88">
        <f>IF(OR(AL$1="",$BE106=0),"",IFERROR(LOOKUP(2,1/((Budgets!$A$2:$A$200=AL$1)*(Budgets!$B$2:$B$200&lt;=$A106)),Budgets!$C$2:$C$200),0))</f>
        <v/>
      </c>
      <c r="AM106" s="88">
        <f>IF(OR(AM$1="",$BE106=0),"",IFERROR(LOOKUP(2,1/((Budgets!$A$2:$A$200=AM$1)*(Budgets!$B$2:$B$200&lt;=$A106)),Budgets!$C$2:$C$200),0))</f>
        <v/>
      </c>
      <c r="AN106" s="88">
        <f>IF(OR(AN$1="",$BE106=0),"",IFERROR(LOOKUP(2,1/((Budgets!$A$2:$A$200=AN$1)*(Budgets!$B$2:$B$200&lt;=$A106)),Budgets!$C$2:$C$200),0))</f>
        <v/>
      </c>
      <c r="AO106" s="88">
        <f>IF(OR(AO$1="",$BE106=0),"",IFERROR(LOOKUP(2,1/((Budgets!$A$2:$A$200=AO$1)*(Budgets!$B$2:$B$200&lt;=$A106)),Budgets!$C$2:$C$200),0))</f>
        <v/>
      </c>
      <c r="AP106" s="88">
        <f>IF(OR(AP$1="",$BE106=0),"",IFERROR(LOOKUP(2,1/((Budgets!$A$2:$A$200=AP$1)*(Budgets!$B$2:$B$200&lt;=$A106)),Budgets!$C$2:$C$200),0))</f>
        <v/>
      </c>
      <c r="AQ106" s="88">
        <f>IF(OR(AQ$1="",$BE106=0),"",IFERROR(LOOKUP(2,1/((Budgets!$A$2:$A$200=AQ$1)*(Budgets!$B$2:$B$200&lt;=$A106)),Budgets!$C$2:$C$200),0))</f>
        <v/>
      </c>
      <c r="AR106" s="88">
        <f>IF(OR(AR$1="",$BE106=0),"",IFERROR(LOOKUP(2,1/((Budgets!$A$2:$A$200=AR$1)*(Budgets!$B$2:$B$200&lt;=$A106)),Budgets!$C$2:$C$200),0))</f>
        <v/>
      </c>
      <c r="AS106" s="88">
        <f>IF(OR(AS$1="",$BE106=0),"",IFERROR(LOOKUP(2,1/((Budgets!$A$2:$A$200=AS$1)*(Budgets!$B$2:$B$200&lt;=$A106)),Budgets!$C$2:$C$200),0))</f>
        <v/>
      </c>
      <c r="AT106" s="88">
        <f>IF(OR(AT$1="",$BE106=0),"",IFERROR(LOOKUP(2,1/((Budgets!$A$2:$A$200=AT$1)*(Budgets!$B$2:$B$200&lt;=$A106)),Budgets!$C$2:$C$200),0))</f>
        <v/>
      </c>
      <c r="AU106" s="88">
        <f>IF(OR(AU$1="",$BE106=0),"",IFERROR(LOOKUP(2,1/((Budgets!$A$2:$A$200=AU$1)*(Budgets!$B$2:$B$200&lt;=$A106)),Budgets!$C$2:$C$200),0))</f>
        <v/>
      </c>
      <c r="AV106" s="88">
        <f>IF(OR(AV$1="",$BE106=0),"",IFERROR(LOOKUP(2,1/((Budgets!$A$2:$A$200=AV$1)*(Budgets!$B$2:$B$200&lt;=$A106)),Budgets!$C$2:$C$200),0))</f>
        <v/>
      </c>
      <c r="AW106" s="88">
        <f>IF(OR(AW$1="",$BE106=0),"",IFERROR(LOOKUP(2,1/((Budgets!$A$2:$A$200=AW$1)*(Budgets!$B$2:$B$200&lt;=$A106)),Budgets!$C$2:$C$200),0))</f>
        <v/>
      </c>
      <c r="AX106" s="88">
        <f>IF(OR(AX$1="",$BE106=0),"",IFERROR(LOOKUP(2,1/((Budgets!$A$2:$A$200=AX$1)*(Budgets!$B$2:$B$200&lt;=$A106)),Budgets!$C$2:$C$200),0))</f>
        <v/>
      </c>
      <c r="AY106" s="88">
        <f>IF(OR(AY$1="",$BE106=0),"",IFERROR(LOOKUP(2,1/((Budgets!$A$2:$A$200=AY$1)*(Budgets!$B$2:$B$200&lt;=$A106)),Budgets!$C$2:$C$200),0))</f>
        <v/>
      </c>
      <c r="AZ106" s="88">
        <f>IF(OR(AZ$1="",$BE106=0),"",IFERROR(LOOKUP(2,1/((Budgets!$A$2:$A$200=AZ$1)*(Budgets!$B$2:$B$200&lt;=$A106)),Budgets!$C$2:$C$200),0))</f>
        <v/>
      </c>
      <c r="BA106" s="88">
        <f>IF(OR(BA$1="",$BE106=0),"",IFERROR(LOOKUP(2,1/((Budgets!$A$2:$A$200=BA$1)*(Budgets!$B$2:$B$200&lt;=$A106)),Budgets!$C$2:$C$200),0))</f>
        <v/>
      </c>
      <c r="BB106" s="88">
        <f>IF(OR(BB$1="",$BE106=0),"",IFERROR(LOOKUP(2,1/((Budgets!$A$2:$A$200=BB$1)*(Budgets!$B$2:$B$200&lt;=$A106)),Budgets!$C$2:$C$200),0))</f>
        <v/>
      </c>
      <c r="BC106" s="88">
        <f>IF(OR(BC$1="",$BE106=0),"",IFERROR(LOOKUP(2,1/((Budgets!$A$2:$A$200=BC$1)*(Budgets!$B$2:$B$200&lt;=$A106)),Budgets!$C$2:$C$200),0))</f>
        <v/>
      </c>
      <c r="BE106" s="67">
        <f>COUNTIFS(Entries!$A$2:$A$5000,$A106)</f>
        <v/>
      </c>
    </row>
    <row r="107" ht="15" customHeight="1" s="43">
      <c r="A107" s="87" t="n">
        <v>42644</v>
      </c>
      <c r="B107" s="88">
        <f>IF($BE107=0,NA(),SUMIFS(Entries!$D$2:$D$5000,Entries!$C$2:$C$5000,"Income",Entries!$A$2:$A$5000,$A107))</f>
        <v/>
      </c>
      <c r="C107" s="88">
        <f>IF($BE107=0,"",SUMIFS(Entries!$D$2:$D$5000,Entries!$C$2:$C$5000,"Actual",Entries!$A$2:$A$5000,$A107))</f>
        <v/>
      </c>
      <c r="D107" s="88">
        <f>IF($BE107=0,"",SUMIFS(Entries!$D$2:$D$5000,Entries!$C$2:$C$5000,"One-off",Entries!$A$2:$A$5000,$A107))</f>
        <v/>
      </c>
      <c r="E107" s="88">
        <f>IF($BE107=0,NA(),C107+D107)</f>
        <v/>
      </c>
      <c r="F107" s="88">
        <f>IF($BE107=0,"",SUM(AJ107:BC107))</f>
        <v/>
      </c>
      <c r="G107" s="88">
        <f>IF($BE107=0,"",B107-E107)</f>
        <v/>
      </c>
      <c r="H107" s="88">
        <f>IF($BE107=0,"",SUM($G$2:G107))</f>
        <v/>
      </c>
      <c r="I107" s="88">
        <f>IF($BE107=0,"",SUMIFS(Entries!$F$2:$F$5000,Entries!$A$2:$A$5000,$A107))</f>
        <v/>
      </c>
      <c r="J107" s="88">
        <f>IF($BE107=0,NA(),H107+SUM($I$2:I107))</f>
        <v/>
      </c>
      <c r="K107" s="88">
        <f>IF($BE107=0,"",SUMIFS(Entries!$D$2:$D$5000,Entries!$C$2:$C$5000,"Income",Entries!$A$2:$A$5000,"&gt;="&amp;EDATE($A107,-11),Entries!$A$2:$A$5000,"&lt;="&amp;$A107)/12)</f>
        <v/>
      </c>
      <c r="L107" s="88">
        <f>IF($BE107=0,"",(SUMIFS(Entries!$D$2:$D$5000,Entries!$C$2:$C$5000,"Actual",Entries!$A$2:$A$5000,"&gt;="&amp;EDATE($A107,-11),Entries!$A$2:$A$5000,"&lt;="&amp;$A107)+SUMIFS(Entries!$D$2:$D$5000,Entries!$C$2:$C$5000,"One-off",Entries!$A$2:$A$5000,"&gt;="&amp;EDATE($A107,-11),Entries!$A$2:$A$5000,"&lt;="&amp;$A107))/12)</f>
        <v/>
      </c>
      <c r="M107" s="70">
        <f>IF($BE107=0,NA(),IFERROR((K107-L107)/K107,0))</f>
        <v/>
      </c>
      <c r="O107" s="88">
        <f>IF(OR(O$1="",$BE107=0),"",SUMIFS(Entries!$D$2:$D$5000,Entries!$C$2:$C$5000,"Actual",Entries!$A$2:$A$5000,$A107,Entries!$B$2:$B$5000,O$1))</f>
        <v/>
      </c>
      <c r="P107" s="88">
        <f>IF(OR(P$1="",$BE107=0),"",SUMIFS(Entries!$D$2:$D$5000,Entries!$C$2:$C$5000,"Actual",Entries!$A$2:$A$5000,$A107,Entries!$B$2:$B$5000,P$1))</f>
        <v/>
      </c>
      <c r="Q107" s="88">
        <f>IF(OR(Q$1="",$BE107=0),"",SUMIFS(Entries!$D$2:$D$5000,Entries!$C$2:$C$5000,"Actual",Entries!$A$2:$A$5000,$A107,Entries!$B$2:$B$5000,Q$1))</f>
        <v/>
      </c>
      <c r="R107" s="88">
        <f>IF(OR(R$1="",$BE107=0),"",SUMIFS(Entries!$D$2:$D$5000,Entries!$C$2:$C$5000,"Actual",Entries!$A$2:$A$5000,$A107,Entries!$B$2:$B$5000,R$1))</f>
        <v/>
      </c>
      <c r="S107" s="88">
        <f>IF(OR(S$1="",$BE107=0),"",SUMIFS(Entries!$D$2:$D$5000,Entries!$C$2:$C$5000,"Actual",Entries!$A$2:$A$5000,$A107,Entries!$B$2:$B$5000,S$1))</f>
        <v/>
      </c>
      <c r="T107" s="88">
        <f>IF(OR(T$1="",$BE107=0),"",SUMIFS(Entries!$D$2:$D$5000,Entries!$C$2:$C$5000,"Actual",Entries!$A$2:$A$5000,$A107,Entries!$B$2:$B$5000,T$1))</f>
        <v/>
      </c>
      <c r="U107" s="88">
        <f>IF(OR(U$1="",$BE107=0),"",SUMIFS(Entries!$D$2:$D$5000,Entries!$C$2:$C$5000,"Actual",Entries!$A$2:$A$5000,$A107,Entries!$B$2:$B$5000,U$1))</f>
        <v/>
      </c>
      <c r="V107" s="88">
        <f>IF(OR(V$1="",$BE107=0),"",SUMIFS(Entries!$D$2:$D$5000,Entries!$C$2:$C$5000,"Actual",Entries!$A$2:$A$5000,$A107,Entries!$B$2:$B$5000,V$1))</f>
        <v/>
      </c>
      <c r="W107" s="88">
        <f>IF(OR(W$1="",$BE107=0),"",SUMIFS(Entries!$D$2:$D$5000,Entries!$C$2:$C$5000,"Actual",Entries!$A$2:$A$5000,$A107,Entries!$B$2:$B$5000,W$1))</f>
        <v/>
      </c>
      <c r="X107" s="88">
        <f>IF(OR(X$1="",$BE107=0),"",SUMIFS(Entries!$D$2:$D$5000,Entries!$C$2:$C$5000,"Actual",Entries!$A$2:$A$5000,$A107,Entries!$B$2:$B$5000,X$1))</f>
        <v/>
      </c>
      <c r="Y107" s="88">
        <f>IF(OR(Y$1="",$BE107=0),"",SUMIFS(Entries!$D$2:$D$5000,Entries!$C$2:$C$5000,"Actual",Entries!$A$2:$A$5000,$A107,Entries!$B$2:$B$5000,Y$1))</f>
        <v/>
      </c>
      <c r="Z107" s="88">
        <f>IF(OR(Z$1="",$BE107=0),"",SUMIFS(Entries!$D$2:$D$5000,Entries!$C$2:$C$5000,"Actual",Entries!$A$2:$A$5000,$A107,Entries!$B$2:$B$5000,Z$1))</f>
        <v/>
      </c>
      <c r="AA107" s="88">
        <f>IF(OR(AA$1="",$BE107=0),"",SUMIFS(Entries!$D$2:$D$5000,Entries!$C$2:$C$5000,"Actual",Entries!$A$2:$A$5000,$A107,Entries!$B$2:$B$5000,AA$1))</f>
        <v/>
      </c>
      <c r="AB107" s="88">
        <f>IF(OR(AB$1="",$BE107=0),"",SUMIFS(Entries!$D$2:$D$5000,Entries!$C$2:$C$5000,"Actual",Entries!$A$2:$A$5000,$A107,Entries!$B$2:$B$5000,AB$1))</f>
        <v/>
      </c>
      <c r="AC107" s="88">
        <f>IF(OR(AC$1="",$BE107=0),"",SUMIFS(Entries!$D$2:$D$5000,Entries!$C$2:$C$5000,"Actual",Entries!$A$2:$A$5000,$A107,Entries!$B$2:$B$5000,AC$1))</f>
        <v/>
      </c>
      <c r="AD107" s="88">
        <f>IF(OR(AD$1="",$BE107=0),"",SUMIFS(Entries!$D$2:$D$5000,Entries!$C$2:$C$5000,"Actual",Entries!$A$2:$A$5000,$A107,Entries!$B$2:$B$5000,AD$1))</f>
        <v/>
      </c>
      <c r="AE107" s="88">
        <f>IF(OR(AE$1="",$BE107=0),"",SUMIFS(Entries!$D$2:$D$5000,Entries!$C$2:$C$5000,"Actual",Entries!$A$2:$A$5000,$A107,Entries!$B$2:$B$5000,AE$1))</f>
        <v/>
      </c>
      <c r="AF107" s="88">
        <f>IF(OR(AF$1="",$BE107=0),"",SUMIFS(Entries!$D$2:$D$5000,Entries!$C$2:$C$5000,"Actual",Entries!$A$2:$A$5000,$A107,Entries!$B$2:$B$5000,AF$1))</f>
        <v/>
      </c>
      <c r="AG107" s="88">
        <f>IF(OR(AG$1="",$BE107=0),"",SUMIFS(Entries!$D$2:$D$5000,Entries!$C$2:$C$5000,"Actual",Entries!$A$2:$A$5000,$A107,Entries!$B$2:$B$5000,AG$1))</f>
        <v/>
      </c>
      <c r="AH107" s="88">
        <f>IF(OR(AH$1="",$BE107=0),"",SUMIFS(Entries!$D$2:$D$5000,Entries!$C$2:$C$5000,"Actual",Entries!$A$2:$A$5000,$A107,Entries!$B$2:$B$5000,AH$1))</f>
        <v/>
      </c>
      <c r="AJ107" s="88">
        <f>IF(OR(AJ$1="",$BE107=0),"",IFERROR(LOOKUP(2,1/((Budgets!$A$2:$A$200=AJ$1)*(Budgets!$B$2:$B$200&lt;=$A107)),Budgets!$C$2:$C$200),0))</f>
        <v/>
      </c>
      <c r="AK107" s="88">
        <f>IF(OR(AK$1="",$BE107=0),"",IFERROR(LOOKUP(2,1/((Budgets!$A$2:$A$200=AK$1)*(Budgets!$B$2:$B$200&lt;=$A107)),Budgets!$C$2:$C$200),0))</f>
        <v/>
      </c>
      <c r="AL107" s="88">
        <f>IF(OR(AL$1="",$BE107=0),"",IFERROR(LOOKUP(2,1/((Budgets!$A$2:$A$200=AL$1)*(Budgets!$B$2:$B$200&lt;=$A107)),Budgets!$C$2:$C$200),0))</f>
        <v/>
      </c>
      <c r="AM107" s="88">
        <f>IF(OR(AM$1="",$BE107=0),"",IFERROR(LOOKUP(2,1/((Budgets!$A$2:$A$200=AM$1)*(Budgets!$B$2:$B$200&lt;=$A107)),Budgets!$C$2:$C$200),0))</f>
        <v/>
      </c>
      <c r="AN107" s="88">
        <f>IF(OR(AN$1="",$BE107=0),"",IFERROR(LOOKUP(2,1/((Budgets!$A$2:$A$200=AN$1)*(Budgets!$B$2:$B$200&lt;=$A107)),Budgets!$C$2:$C$200),0))</f>
        <v/>
      </c>
      <c r="AO107" s="88">
        <f>IF(OR(AO$1="",$BE107=0),"",IFERROR(LOOKUP(2,1/((Budgets!$A$2:$A$200=AO$1)*(Budgets!$B$2:$B$200&lt;=$A107)),Budgets!$C$2:$C$200),0))</f>
        <v/>
      </c>
      <c r="AP107" s="88">
        <f>IF(OR(AP$1="",$BE107=0),"",IFERROR(LOOKUP(2,1/((Budgets!$A$2:$A$200=AP$1)*(Budgets!$B$2:$B$200&lt;=$A107)),Budgets!$C$2:$C$200),0))</f>
        <v/>
      </c>
      <c r="AQ107" s="88">
        <f>IF(OR(AQ$1="",$BE107=0),"",IFERROR(LOOKUP(2,1/((Budgets!$A$2:$A$200=AQ$1)*(Budgets!$B$2:$B$200&lt;=$A107)),Budgets!$C$2:$C$200),0))</f>
        <v/>
      </c>
      <c r="AR107" s="88">
        <f>IF(OR(AR$1="",$BE107=0),"",IFERROR(LOOKUP(2,1/((Budgets!$A$2:$A$200=AR$1)*(Budgets!$B$2:$B$200&lt;=$A107)),Budgets!$C$2:$C$200),0))</f>
        <v/>
      </c>
      <c r="AS107" s="88">
        <f>IF(OR(AS$1="",$BE107=0),"",IFERROR(LOOKUP(2,1/((Budgets!$A$2:$A$200=AS$1)*(Budgets!$B$2:$B$200&lt;=$A107)),Budgets!$C$2:$C$200),0))</f>
        <v/>
      </c>
      <c r="AT107" s="88">
        <f>IF(OR(AT$1="",$BE107=0),"",IFERROR(LOOKUP(2,1/((Budgets!$A$2:$A$200=AT$1)*(Budgets!$B$2:$B$200&lt;=$A107)),Budgets!$C$2:$C$200),0))</f>
        <v/>
      </c>
      <c r="AU107" s="88">
        <f>IF(OR(AU$1="",$BE107=0),"",IFERROR(LOOKUP(2,1/((Budgets!$A$2:$A$200=AU$1)*(Budgets!$B$2:$B$200&lt;=$A107)),Budgets!$C$2:$C$200),0))</f>
        <v/>
      </c>
      <c r="AV107" s="88">
        <f>IF(OR(AV$1="",$BE107=0),"",IFERROR(LOOKUP(2,1/((Budgets!$A$2:$A$200=AV$1)*(Budgets!$B$2:$B$200&lt;=$A107)),Budgets!$C$2:$C$200),0))</f>
        <v/>
      </c>
      <c r="AW107" s="88">
        <f>IF(OR(AW$1="",$BE107=0),"",IFERROR(LOOKUP(2,1/((Budgets!$A$2:$A$200=AW$1)*(Budgets!$B$2:$B$200&lt;=$A107)),Budgets!$C$2:$C$200),0))</f>
        <v/>
      </c>
      <c r="AX107" s="88">
        <f>IF(OR(AX$1="",$BE107=0),"",IFERROR(LOOKUP(2,1/((Budgets!$A$2:$A$200=AX$1)*(Budgets!$B$2:$B$200&lt;=$A107)),Budgets!$C$2:$C$200),0))</f>
        <v/>
      </c>
      <c r="AY107" s="88">
        <f>IF(OR(AY$1="",$BE107=0),"",IFERROR(LOOKUP(2,1/((Budgets!$A$2:$A$200=AY$1)*(Budgets!$B$2:$B$200&lt;=$A107)),Budgets!$C$2:$C$200),0))</f>
        <v/>
      </c>
      <c r="AZ107" s="88">
        <f>IF(OR(AZ$1="",$BE107=0),"",IFERROR(LOOKUP(2,1/((Budgets!$A$2:$A$200=AZ$1)*(Budgets!$B$2:$B$200&lt;=$A107)),Budgets!$C$2:$C$200),0))</f>
        <v/>
      </c>
      <c r="BA107" s="88">
        <f>IF(OR(BA$1="",$BE107=0),"",IFERROR(LOOKUP(2,1/((Budgets!$A$2:$A$200=BA$1)*(Budgets!$B$2:$B$200&lt;=$A107)),Budgets!$C$2:$C$200),0))</f>
        <v/>
      </c>
      <c r="BB107" s="88">
        <f>IF(OR(BB$1="",$BE107=0),"",IFERROR(LOOKUP(2,1/((Budgets!$A$2:$A$200=BB$1)*(Budgets!$B$2:$B$200&lt;=$A107)),Budgets!$C$2:$C$200),0))</f>
        <v/>
      </c>
      <c r="BC107" s="88">
        <f>IF(OR(BC$1="",$BE107=0),"",IFERROR(LOOKUP(2,1/((Budgets!$A$2:$A$200=BC$1)*(Budgets!$B$2:$B$200&lt;=$A107)),Budgets!$C$2:$C$200),0))</f>
        <v/>
      </c>
      <c r="BE107" s="67">
        <f>COUNTIFS(Entries!$A$2:$A$5000,$A107)</f>
        <v/>
      </c>
    </row>
    <row r="108" ht="15" customHeight="1" s="43">
      <c r="A108" s="87" t="n">
        <v>42675</v>
      </c>
      <c r="B108" s="88">
        <f>IF($BE108=0,NA(),SUMIFS(Entries!$D$2:$D$5000,Entries!$C$2:$C$5000,"Income",Entries!$A$2:$A$5000,$A108))</f>
        <v/>
      </c>
      <c r="C108" s="88">
        <f>IF($BE108=0,"",SUMIFS(Entries!$D$2:$D$5000,Entries!$C$2:$C$5000,"Actual",Entries!$A$2:$A$5000,$A108))</f>
        <v/>
      </c>
      <c r="D108" s="88">
        <f>IF($BE108=0,"",SUMIFS(Entries!$D$2:$D$5000,Entries!$C$2:$C$5000,"One-off",Entries!$A$2:$A$5000,$A108))</f>
        <v/>
      </c>
      <c r="E108" s="88">
        <f>IF($BE108=0,NA(),C108+D108)</f>
        <v/>
      </c>
      <c r="F108" s="88">
        <f>IF($BE108=0,"",SUM(AJ108:BC108))</f>
        <v/>
      </c>
      <c r="G108" s="88">
        <f>IF($BE108=0,"",B108-E108)</f>
        <v/>
      </c>
      <c r="H108" s="88">
        <f>IF($BE108=0,"",SUM($G$2:G108))</f>
        <v/>
      </c>
      <c r="I108" s="88">
        <f>IF($BE108=0,"",SUMIFS(Entries!$F$2:$F$5000,Entries!$A$2:$A$5000,$A108))</f>
        <v/>
      </c>
      <c r="J108" s="88">
        <f>IF($BE108=0,NA(),H108+SUM($I$2:I108))</f>
        <v/>
      </c>
      <c r="K108" s="88">
        <f>IF($BE108=0,"",SUMIFS(Entries!$D$2:$D$5000,Entries!$C$2:$C$5000,"Income",Entries!$A$2:$A$5000,"&gt;="&amp;EDATE($A108,-11),Entries!$A$2:$A$5000,"&lt;="&amp;$A108)/12)</f>
        <v/>
      </c>
      <c r="L108" s="88">
        <f>IF($BE108=0,"",(SUMIFS(Entries!$D$2:$D$5000,Entries!$C$2:$C$5000,"Actual",Entries!$A$2:$A$5000,"&gt;="&amp;EDATE($A108,-11),Entries!$A$2:$A$5000,"&lt;="&amp;$A108)+SUMIFS(Entries!$D$2:$D$5000,Entries!$C$2:$C$5000,"One-off",Entries!$A$2:$A$5000,"&gt;="&amp;EDATE($A108,-11),Entries!$A$2:$A$5000,"&lt;="&amp;$A108))/12)</f>
        <v/>
      </c>
      <c r="M108" s="70">
        <f>IF($BE108=0,NA(),IFERROR((K108-L108)/K108,0))</f>
        <v/>
      </c>
      <c r="O108" s="88">
        <f>IF(OR(O$1="",$BE108=0),"",SUMIFS(Entries!$D$2:$D$5000,Entries!$C$2:$C$5000,"Actual",Entries!$A$2:$A$5000,$A108,Entries!$B$2:$B$5000,O$1))</f>
        <v/>
      </c>
      <c r="P108" s="88">
        <f>IF(OR(P$1="",$BE108=0),"",SUMIFS(Entries!$D$2:$D$5000,Entries!$C$2:$C$5000,"Actual",Entries!$A$2:$A$5000,$A108,Entries!$B$2:$B$5000,P$1))</f>
        <v/>
      </c>
      <c r="Q108" s="88">
        <f>IF(OR(Q$1="",$BE108=0),"",SUMIFS(Entries!$D$2:$D$5000,Entries!$C$2:$C$5000,"Actual",Entries!$A$2:$A$5000,$A108,Entries!$B$2:$B$5000,Q$1))</f>
        <v/>
      </c>
      <c r="R108" s="88">
        <f>IF(OR(R$1="",$BE108=0),"",SUMIFS(Entries!$D$2:$D$5000,Entries!$C$2:$C$5000,"Actual",Entries!$A$2:$A$5000,$A108,Entries!$B$2:$B$5000,R$1))</f>
        <v/>
      </c>
      <c r="S108" s="88">
        <f>IF(OR(S$1="",$BE108=0),"",SUMIFS(Entries!$D$2:$D$5000,Entries!$C$2:$C$5000,"Actual",Entries!$A$2:$A$5000,$A108,Entries!$B$2:$B$5000,S$1))</f>
        <v/>
      </c>
      <c r="T108" s="88">
        <f>IF(OR(T$1="",$BE108=0),"",SUMIFS(Entries!$D$2:$D$5000,Entries!$C$2:$C$5000,"Actual",Entries!$A$2:$A$5000,$A108,Entries!$B$2:$B$5000,T$1))</f>
        <v/>
      </c>
      <c r="U108" s="88">
        <f>IF(OR(U$1="",$BE108=0),"",SUMIFS(Entries!$D$2:$D$5000,Entries!$C$2:$C$5000,"Actual",Entries!$A$2:$A$5000,$A108,Entries!$B$2:$B$5000,U$1))</f>
        <v/>
      </c>
      <c r="V108" s="88">
        <f>IF(OR(V$1="",$BE108=0),"",SUMIFS(Entries!$D$2:$D$5000,Entries!$C$2:$C$5000,"Actual",Entries!$A$2:$A$5000,$A108,Entries!$B$2:$B$5000,V$1))</f>
        <v/>
      </c>
      <c r="W108" s="88">
        <f>IF(OR(W$1="",$BE108=0),"",SUMIFS(Entries!$D$2:$D$5000,Entries!$C$2:$C$5000,"Actual",Entries!$A$2:$A$5000,$A108,Entries!$B$2:$B$5000,W$1))</f>
        <v/>
      </c>
      <c r="X108" s="88">
        <f>IF(OR(X$1="",$BE108=0),"",SUMIFS(Entries!$D$2:$D$5000,Entries!$C$2:$C$5000,"Actual",Entries!$A$2:$A$5000,$A108,Entries!$B$2:$B$5000,X$1))</f>
        <v/>
      </c>
      <c r="Y108" s="88">
        <f>IF(OR(Y$1="",$BE108=0),"",SUMIFS(Entries!$D$2:$D$5000,Entries!$C$2:$C$5000,"Actual",Entries!$A$2:$A$5000,$A108,Entries!$B$2:$B$5000,Y$1))</f>
        <v/>
      </c>
      <c r="Z108" s="88">
        <f>IF(OR(Z$1="",$BE108=0),"",SUMIFS(Entries!$D$2:$D$5000,Entries!$C$2:$C$5000,"Actual",Entries!$A$2:$A$5000,$A108,Entries!$B$2:$B$5000,Z$1))</f>
        <v/>
      </c>
      <c r="AA108" s="88">
        <f>IF(OR(AA$1="",$BE108=0),"",SUMIFS(Entries!$D$2:$D$5000,Entries!$C$2:$C$5000,"Actual",Entries!$A$2:$A$5000,$A108,Entries!$B$2:$B$5000,AA$1))</f>
        <v/>
      </c>
      <c r="AB108" s="88">
        <f>IF(OR(AB$1="",$BE108=0),"",SUMIFS(Entries!$D$2:$D$5000,Entries!$C$2:$C$5000,"Actual",Entries!$A$2:$A$5000,$A108,Entries!$B$2:$B$5000,AB$1))</f>
        <v/>
      </c>
      <c r="AC108" s="88">
        <f>IF(OR(AC$1="",$BE108=0),"",SUMIFS(Entries!$D$2:$D$5000,Entries!$C$2:$C$5000,"Actual",Entries!$A$2:$A$5000,$A108,Entries!$B$2:$B$5000,AC$1))</f>
        <v/>
      </c>
      <c r="AD108" s="88">
        <f>IF(OR(AD$1="",$BE108=0),"",SUMIFS(Entries!$D$2:$D$5000,Entries!$C$2:$C$5000,"Actual",Entries!$A$2:$A$5000,$A108,Entries!$B$2:$B$5000,AD$1))</f>
        <v/>
      </c>
      <c r="AE108" s="88">
        <f>IF(OR(AE$1="",$BE108=0),"",SUMIFS(Entries!$D$2:$D$5000,Entries!$C$2:$C$5000,"Actual",Entries!$A$2:$A$5000,$A108,Entries!$B$2:$B$5000,AE$1))</f>
        <v/>
      </c>
      <c r="AF108" s="88">
        <f>IF(OR(AF$1="",$BE108=0),"",SUMIFS(Entries!$D$2:$D$5000,Entries!$C$2:$C$5000,"Actual",Entries!$A$2:$A$5000,$A108,Entries!$B$2:$B$5000,AF$1))</f>
        <v/>
      </c>
      <c r="AG108" s="88">
        <f>IF(OR(AG$1="",$BE108=0),"",SUMIFS(Entries!$D$2:$D$5000,Entries!$C$2:$C$5000,"Actual",Entries!$A$2:$A$5000,$A108,Entries!$B$2:$B$5000,AG$1))</f>
        <v/>
      </c>
      <c r="AH108" s="88">
        <f>IF(OR(AH$1="",$BE108=0),"",SUMIFS(Entries!$D$2:$D$5000,Entries!$C$2:$C$5000,"Actual",Entries!$A$2:$A$5000,$A108,Entries!$B$2:$B$5000,AH$1))</f>
        <v/>
      </c>
      <c r="AJ108" s="88">
        <f>IF(OR(AJ$1="",$BE108=0),"",IFERROR(LOOKUP(2,1/((Budgets!$A$2:$A$200=AJ$1)*(Budgets!$B$2:$B$200&lt;=$A108)),Budgets!$C$2:$C$200),0))</f>
        <v/>
      </c>
      <c r="AK108" s="88">
        <f>IF(OR(AK$1="",$BE108=0),"",IFERROR(LOOKUP(2,1/((Budgets!$A$2:$A$200=AK$1)*(Budgets!$B$2:$B$200&lt;=$A108)),Budgets!$C$2:$C$200),0))</f>
        <v/>
      </c>
      <c r="AL108" s="88">
        <f>IF(OR(AL$1="",$BE108=0),"",IFERROR(LOOKUP(2,1/((Budgets!$A$2:$A$200=AL$1)*(Budgets!$B$2:$B$200&lt;=$A108)),Budgets!$C$2:$C$200),0))</f>
        <v/>
      </c>
      <c r="AM108" s="88">
        <f>IF(OR(AM$1="",$BE108=0),"",IFERROR(LOOKUP(2,1/((Budgets!$A$2:$A$200=AM$1)*(Budgets!$B$2:$B$200&lt;=$A108)),Budgets!$C$2:$C$200),0))</f>
        <v/>
      </c>
      <c r="AN108" s="88">
        <f>IF(OR(AN$1="",$BE108=0),"",IFERROR(LOOKUP(2,1/((Budgets!$A$2:$A$200=AN$1)*(Budgets!$B$2:$B$200&lt;=$A108)),Budgets!$C$2:$C$200),0))</f>
        <v/>
      </c>
      <c r="AO108" s="88">
        <f>IF(OR(AO$1="",$BE108=0),"",IFERROR(LOOKUP(2,1/((Budgets!$A$2:$A$200=AO$1)*(Budgets!$B$2:$B$200&lt;=$A108)),Budgets!$C$2:$C$200),0))</f>
        <v/>
      </c>
      <c r="AP108" s="88">
        <f>IF(OR(AP$1="",$BE108=0),"",IFERROR(LOOKUP(2,1/((Budgets!$A$2:$A$200=AP$1)*(Budgets!$B$2:$B$200&lt;=$A108)),Budgets!$C$2:$C$200),0))</f>
        <v/>
      </c>
      <c r="AQ108" s="88">
        <f>IF(OR(AQ$1="",$BE108=0),"",IFERROR(LOOKUP(2,1/((Budgets!$A$2:$A$200=AQ$1)*(Budgets!$B$2:$B$200&lt;=$A108)),Budgets!$C$2:$C$200),0))</f>
        <v/>
      </c>
      <c r="AR108" s="88">
        <f>IF(OR(AR$1="",$BE108=0),"",IFERROR(LOOKUP(2,1/((Budgets!$A$2:$A$200=AR$1)*(Budgets!$B$2:$B$200&lt;=$A108)),Budgets!$C$2:$C$200),0))</f>
        <v/>
      </c>
      <c r="AS108" s="88">
        <f>IF(OR(AS$1="",$BE108=0),"",IFERROR(LOOKUP(2,1/((Budgets!$A$2:$A$200=AS$1)*(Budgets!$B$2:$B$200&lt;=$A108)),Budgets!$C$2:$C$200),0))</f>
        <v/>
      </c>
      <c r="AT108" s="88">
        <f>IF(OR(AT$1="",$BE108=0),"",IFERROR(LOOKUP(2,1/((Budgets!$A$2:$A$200=AT$1)*(Budgets!$B$2:$B$200&lt;=$A108)),Budgets!$C$2:$C$200),0))</f>
        <v/>
      </c>
      <c r="AU108" s="88">
        <f>IF(OR(AU$1="",$BE108=0),"",IFERROR(LOOKUP(2,1/((Budgets!$A$2:$A$200=AU$1)*(Budgets!$B$2:$B$200&lt;=$A108)),Budgets!$C$2:$C$200),0))</f>
        <v/>
      </c>
      <c r="AV108" s="88">
        <f>IF(OR(AV$1="",$BE108=0),"",IFERROR(LOOKUP(2,1/((Budgets!$A$2:$A$200=AV$1)*(Budgets!$B$2:$B$200&lt;=$A108)),Budgets!$C$2:$C$200),0))</f>
        <v/>
      </c>
      <c r="AW108" s="88">
        <f>IF(OR(AW$1="",$BE108=0),"",IFERROR(LOOKUP(2,1/((Budgets!$A$2:$A$200=AW$1)*(Budgets!$B$2:$B$200&lt;=$A108)),Budgets!$C$2:$C$200),0))</f>
        <v/>
      </c>
      <c r="AX108" s="88">
        <f>IF(OR(AX$1="",$BE108=0),"",IFERROR(LOOKUP(2,1/((Budgets!$A$2:$A$200=AX$1)*(Budgets!$B$2:$B$200&lt;=$A108)),Budgets!$C$2:$C$200),0))</f>
        <v/>
      </c>
      <c r="AY108" s="88">
        <f>IF(OR(AY$1="",$BE108=0),"",IFERROR(LOOKUP(2,1/((Budgets!$A$2:$A$200=AY$1)*(Budgets!$B$2:$B$200&lt;=$A108)),Budgets!$C$2:$C$200),0))</f>
        <v/>
      </c>
      <c r="AZ108" s="88">
        <f>IF(OR(AZ$1="",$BE108=0),"",IFERROR(LOOKUP(2,1/((Budgets!$A$2:$A$200=AZ$1)*(Budgets!$B$2:$B$200&lt;=$A108)),Budgets!$C$2:$C$200),0))</f>
        <v/>
      </c>
      <c r="BA108" s="88">
        <f>IF(OR(BA$1="",$BE108=0),"",IFERROR(LOOKUP(2,1/((Budgets!$A$2:$A$200=BA$1)*(Budgets!$B$2:$B$200&lt;=$A108)),Budgets!$C$2:$C$200),0))</f>
        <v/>
      </c>
      <c r="BB108" s="88">
        <f>IF(OR(BB$1="",$BE108=0),"",IFERROR(LOOKUP(2,1/((Budgets!$A$2:$A$200=BB$1)*(Budgets!$B$2:$B$200&lt;=$A108)),Budgets!$C$2:$C$200),0))</f>
        <v/>
      </c>
      <c r="BC108" s="88">
        <f>IF(OR(BC$1="",$BE108=0),"",IFERROR(LOOKUP(2,1/((Budgets!$A$2:$A$200=BC$1)*(Budgets!$B$2:$B$200&lt;=$A108)),Budgets!$C$2:$C$200),0))</f>
        <v/>
      </c>
      <c r="BE108" s="67">
        <f>COUNTIFS(Entries!$A$2:$A$5000,$A108)</f>
        <v/>
      </c>
    </row>
    <row r="109" ht="15" customHeight="1" s="43">
      <c r="A109" s="87" t="n">
        <v>42705</v>
      </c>
      <c r="B109" s="88">
        <f>IF($BE109=0,NA(),SUMIFS(Entries!$D$2:$D$5000,Entries!$C$2:$C$5000,"Income",Entries!$A$2:$A$5000,$A109))</f>
        <v/>
      </c>
      <c r="C109" s="88">
        <f>IF($BE109=0,"",SUMIFS(Entries!$D$2:$D$5000,Entries!$C$2:$C$5000,"Actual",Entries!$A$2:$A$5000,$A109))</f>
        <v/>
      </c>
      <c r="D109" s="88">
        <f>IF($BE109=0,"",SUMIFS(Entries!$D$2:$D$5000,Entries!$C$2:$C$5000,"One-off",Entries!$A$2:$A$5000,$A109))</f>
        <v/>
      </c>
      <c r="E109" s="88">
        <f>IF($BE109=0,NA(),C109+D109)</f>
        <v/>
      </c>
      <c r="F109" s="88">
        <f>IF($BE109=0,"",SUM(AJ109:BC109))</f>
        <v/>
      </c>
      <c r="G109" s="88">
        <f>IF($BE109=0,"",B109-E109)</f>
        <v/>
      </c>
      <c r="H109" s="88">
        <f>IF($BE109=0,"",SUM($G$2:G109))</f>
        <v/>
      </c>
      <c r="I109" s="88">
        <f>IF($BE109=0,"",SUMIFS(Entries!$F$2:$F$5000,Entries!$A$2:$A$5000,$A109))</f>
        <v/>
      </c>
      <c r="J109" s="88">
        <f>IF($BE109=0,NA(),H109+SUM($I$2:I109))</f>
        <v/>
      </c>
      <c r="K109" s="88">
        <f>IF($BE109=0,"",SUMIFS(Entries!$D$2:$D$5000,Entries!$C$2:$C$5000,"Income",Entries!$A$2:$A$5000,"&gt;="&amp;EDATE($A109,-11),Entries!$A$2:$A$5000,"&lt;="&amp;$A109)/12)</f>
        <v/>
      </c>
      <c r="L109" s="88">
        <f>IF($BE109=0,"",(SUMIFS(Entries!$D$2:$D$5000,Entries!$C$2:$C$5000,"Actual",Entries!$A$2:$A$5000,"&gt;="&amp;EDATE($A109,-11),Entries!$A$2:$A$5000,"&lt;="&amp;$A109)+SUMIFS(Entries!$D$2:$D$5000,Entries!$C$2:$C$5000,"One-off",Entries!$A$2:$A$5000,"&gt;="&amp;EDATE($A109,-11),Entries!$A$2:$A$5000,"&lt;="&amp;$A109))/12)</f>
        <v/>
      </c>
      <c r="M109" s="70">
        <f>IF($BE109=0,NA(),IFERROR((K109-L109)/K109,0))</f>
        <v/>
      </c>
      <c r="O109" s="88">
        <f>IF(OR(O$1="",$BE109=0),"",SUMIFS(Entries!$D$2:$D$5000,Entries!$C$2:$C$5000,"Actual",Entries!$A$2:$A$5000,$A109,Entries!$B$2:$B$5000,O$1))</f>
        <v/>
      </c>
      <c r="P109" s="88">
        <f>IF(OR(P$1="",$BE109=0),"",SUMIFS(Entries!$D$2:$D$5000,Entries!$C$2:$C$5000,"Actual",Entries!$A$2:$A$5000,$A109,Entries!$B$2:$B$5000,P$1))</f>
        <v/>
      </c>
      <c r="Q109" s="88">
        <f>IF(OR(Q$1="",$BE109=0),"",SUMIFS(Entries!$D$2:$D$5000,Entries!$C$2:$C$5000,"Actual",Entries!$A$2:$A$5000,$A109,Entries!$B$2:$B$5000,Q$1))</f>
        <v/>
      </c>
      <c r="R109" s="88">
        <f>IF(OR(R$1="",$BE109=0),"",SUMIFS(Entries!$D$2:$D$5000,Entries!$C$2:$C$5000,"Actual",Entries!$A$2:$A$5000,$A109,Entries!$B$2:$B$5000,R$1))</f>
        <v/>
      </c>
      <c r="S109" s="88">
        <f>IF(OR(S$1="",$BE109=0),"",SUMIFS(Entries!$D$2:$D$5000,Entries!$C$2:$C$5000,"Actual",Entries!$A$2:$A$5000,$A109,Entries!$B$2:$B$5000,S$1))</f>
        <v/>
      </c>
      <c r="T109" s="88">
        <f>IF(OR(T$1="",$BE109=0),"",SUMIFS(Entries!$D$2:$D$5000,Entries!$C$2:$C$5000,"Actual",Entries!$A$2:$A$5000,$A109,Entries!$B$2:$B$5000,T$1))</f>
        <v/>
      </c>
      <c r="U109" s="88">
        <f>IF(OR(U$1="",$BE109=0),"",SUMIFS(Entries!$D$2:$D$5000,Entries!$C$2:$C$5000,"Actual",Entries!$A$2:$A$5000,$A109,Entries!$B$2:$B$5000,U$1))</f>
        <v/>
      </c>
      <c r="V109" s="88">
        <f>IF(OR(V$1="",$BE109=0),"",SUMIFS(Entries!$D$2:$D$5000,Entries!$C$2:$C$5000,"Actual",Entries!$A$2:$A$5000,$A109,Entries!$B$2:$B$5000,V$1))</f>
        <v/>
      </c>
      <c r="W109" s="88">
        <f>IF(OR(W$1="",$BE109=0),"",SUMIFS(Entries!$D$2:$D$5000,Entries!$C$2:$C$5000,"Actual",Entries!$A$2:$A$5000,$A109,Entries!$B$2:$B$5000,W$1))</f>
        <v/>
      </c>
      <c r="X109" s="88">
        <f>IF(OR(X$1="",$BE109=0),"",SUMIFS(Entries!$D$2:$D$5000,Entries!$C$2:$C$5000,"Actual",Entries!$A$2:$A$5000,$A109,Entries!$B$2:$B$5000,X$1))</f>
        <v/>
      </c>
      <c r="Y109" s="88">
        <f>IF(OR(Y$1="",$BE109=0),"",SUMIFS(Entries!$D$2:$D$5000,Entries!$C$2:$C$5000,"Actual",Entries!$A$2:$A$5000,$A109,Entries!$B$2:$B$5000,Y$1))</f>
        <v/>
      </c>
      <c r="Z109" s="88">
        <f>IF(OR(Z$1="",$BE109=0),"",SUMIFS(Entries!$D$2:$D$5000,Entries!$C$2:$C$5000,"Actual",Entries!$A$2:$A$5000,$A109,Entries!$B$2:$B$5000,Z$1))</f>
        <v/>
      </c>
      <c r="AA109" s="88">
        <f>IF(OR(AA$1="",$BE109=0),"",SUMIFS(Entries!$D$2:$D$5000,Entries!$C$2:$C$5000,"Actual",Entries!$A$2:$A$5000,$A109,Entries!$B$2:$B$5000,AA$1))</f>
        <v/>
      </c>
      <c r="AB109" s="88">
        <f>IF(OR(AB$1="",$BE109=0),"",SUMIFS(Entries!$D$2:$D$5000,Entries!$C$2:$C$5000,"Actual",Entries!$A$2:$A$5000,$A109,Entries!$B$2:$B$5000,AB$1))</f>
        <v/>
      </c>
      <c r="AC109" s="88">
        <f>IF(OR(AC$1="",$BE109=0),"",SUMIFS(Entries!$D$2:$D$5000,Entries!$C$2:$C$5000,"Actual",Entries!$A$2:$A$5000,$A109,Entries!$B$2:$B$5000,AC$1))</f>
        <v/>
      </c>
      <c r="AD109" s="88">
        <f>IF(OR(AD$1="",$BE109=0),"",SUMIFS(Entries!$D$2:$D$5000,Entries!$C$2:$C$5000,"Actual",Entries!$A$2:$A$5000,$A109,Entries!$B$2:$B$5000,AD$1))</f>
        <v/>
      </c>
      <c r="AE109" s="88">
        <f>IF(OR(AE$1="",$BE109=0),"",SUMIFS(Entries!$D$2:$D$5000,Entries!$C$2:$C$5000,"Actual",Entries!$A$2:$A$5000,$A109,Entries!$B$2:$B$5000,AE$1))</f>
        <v/>
      </c>
      <c r="AF109" s="88">
        <f>IF(OR(AF$1="",$BE109=0),"",SUMIFS(Entries!$D$2:$D$5000,Entries!$C$2:$C$5000,"Actual",Entries!$A$2:$A$5000,$A109,Entries!$B$2:$B$5000,AF$1))</f>
        <v/>
      </c>
      <c r="AG109" s="88">
        <f>IF(OR(AG$1="",$BE109=0),"",SUMIFS(Entries!$D$2:$D$5000,Entries!$C$2:$C$5000,"Actual",Entries!$A$2:$A$5000,$A109,Entries!$B$2:$B$5000,AG$1))</f>
        <v/>
      </c>
      <c r="AH109" s="88">
        <f>IF(OR(AH$1="",$BE109=0),"",SUMIFS(Entries!$D$2:$D$5000,Entries!$C$2:$C$5000,"Actual",Entries!$A$2:$A$5000,$A109,Entries!$B$2:$B$5000,AH$1))</f>
        <v/>
      </c>
      <c r="AJ109" s="88">
        <f>IF(OR(AJ$1="",$BE109=0),"",IFERROR(LOOKUP(2,1/((Budgets!$A$2:$A$200=AJ$1)*(Budgets!$B$2:$B$200&lt;=$A109)),Budgets!$C$2:$C$200),0))</f>
        <v/>
      </c>
      <c r="AK109" s="88">
        <f>IF(OR(AK$1="",$BE109=0),"",IFERROR(LOOKUP(2,1/((Budgets!$A$2:$A$200=AK$1)*(Budgets!$B$2:$B$200&lt;=$A109)),Budgets!$C$2:$C$200),0))</f>
        <v/>
      </c>
      <c r="AL109" s="88">
        <f>IF(OR(AL$1="",$BE109=0),"",IFERROR(LOOKUP(2,1/((Budgets!$A$2:$A$200=AL$1)*(Budgets!$B$2:$B$200&lt;=$A109)),Budgets!$C$2:$C$200),0))</f>
        <v/>
      </c>
      <c r="AM109" s="88">
        <f>IF(OR(AM$1="",$BE109=0),"",IFERROR(LOOKUP(2,1/((Budgets!$A$2:$A$200=AM$1)*(Budgets!$B$2:$B$200&lt;=$A109)),Budgets!$C$2:$C$200),0))</f>
        <v/>
      </c>
      <c r="AN109" s="88">
        <f>IF(OR(AN$1="",$BE109=0),"",IFERROR(LOOKUP(2,1/((Budgets!$A$2:$A$200=AN$1)*(Budgets!$B$2:$B$200&lt;=$A109)),Budgets!$C$2:$C$200),0))</f>
        <v/>
      </c>
      <c r="AO109" s="88">
        <f>IF(OR(AO$1="",$BE109=0),"",IFERROR(LOOKUP(2,1/((Budgets!$A$2:$A$200=AO$1)*(Budgets!$B$2:$B$200&lt;=$A109)),Budgets!$C$2:$C$200),0))</f>
        <v/>
      </c>
      <c r="AP109" s="88">
        <f>IF(OR(AP$1="",$BE109=0),"",IFERROR(LOOKUP(2,1/((Budgets!$A$2:$A$200=AP$1)*(Budgets!$B$2:$B$200&lt;=$A109)),Budgets!$C$2:$C$200),0))</f>
        <v/>
      </c>
      <c r="AQ109" s="88">
        <f>IF(OR(AQ$1="",$BE109=0),"",IFERROR(LOOKUP(2,1/((Budgets!$A$2:$A$200=AQ$1)*(Budgets!$B$2:$B$200&lt;=$A109)),Budgets!$C$2:$C$200),0))</f>
        <v/>
      </c>
      <c r="AR109" s="88">
        <f>IF(OR(AR$1="",$BE109=0),"",IFERROR(LOOKUP(2,1/((Budgets!$A$2:$A$200=AR$1)*(Budgets!$B$2:$B$200&lt;=$A109)),Budgets!$C$2:$C$200),0))</f>
        <v/>
      </c>
      <c r="AS109" s="88">
        <f>IF(OR(AS$1="",$BE109=0),"",IFERROR(LOOKUP(2,1/((Budgets!$A$2:$A$200=AS$1)*(Budgets!$B$2:$B$200&lt;=$A109)),Budgets!$C$2:$C$200),0))</f>
        <v/>
      </c>
      <c r="AT109" s="88">
        <f>IF(OR(AT$1="",$BE109=0),"",IFERROR(LOOKUP(2,1/((Budgets!$A$2:$A$200=AT$1)*(Budgets!$B$2:$B$200&lt;=$A109)),Budgets!$C$2:$C$200),0))</f>
        <v/>
      </c>
      <c r="AU109" s="88">
        <f>IF(OR(AU$1="",$BE109=0),"",IFERROR(LOOKUP(2,1/((Budgets!$A$2:$A$200=AU$1)*(Budgets!$B$2:$B$200&lt;=$A109)),Budgets!$C$2:$C$200),0))</f>
        <v/>
      </c>
      <c r="AV109" s="88">
        <f>IF(OR(AV$1="",$BE109=0),"",IFERROR(LOOKUP(2,1/((Budgets!$A$2:$A$200=AV$1)*(Budgets!$B$2:$B$200&lt;=$A109)),Budgets!$C$2:$C$200),0))</f>
        <v/>
      </c>
      <c r="AW109" s="88">
        <f>IF(OR(AW$1="",$BE109=0),"",IFERROR(LOOKUP(2,1/((Budgets!$A$2:$A$200=AW$1)*(Budgets!$B$2:$B$200&lt;=$A109)),Budgets!$C$2:$C$200),0))</f>
        <v/>
      </c>
      <c r="AX109" s="88">
        <f>IF(OR(AX$1="",$BE109=0),"",IFERROR(LOOKUP(2,1/((Budgets!$A$2:$A$200=AX$1)*(Budgets!$B$2:$B$200&lt;=$A109)),Budgets!$C$2:$C$200),0))</f>
        <v/>
      </c>
      <c r="AY109" s="88">
        <f>IF(OR(AY$1="",$BE109=0),"",IFERROR(LOOKUP(2,1/((Budgets!$A$2:$A$200=AY$1)*(Budgets!$B$2:$B$200&lt;=$A109)),Budgets!$C$2:$C$200),0))</f>
        <v/>
      </c>
      <c r="AZ109" s="88">
        <f>IF(OR(AZ$1="",$BE109=0),"",IFERROR(LOOKUP(2,1/((Budgets!$A$2:$A$200=AZ$1)*(Budgets!$B$2:$B$200&lt;=$A109)),Budgets!$C$2:$C$200),0))</f>
        <v/>
      </c>
      <c r="BA109" s="88">
        <f>IF(OR(BA$1="",$BE109=0),"",IFERROR(LOOKUP(2,1/((Budgets!$A$2:$A$200=BA$1)*(Budgets!$B$2:$B$200&lt;=$A109)),Budgets!$C$2:$C$200),0))</f>
        <v/>
      </c>
      <c r="BB109" s="88">
        <f>IF(OR(BB$1="",$BE109=0),"",IFERROR(LOOKUP(2,1/((Budgets!$A$2:$A$200=BB$1)*(Budgets!$B$2:$B$200&lt;=$A109)),Budgets!$C$2:$C$200),0))</f>
        <v/>
      </c>
      <c r="BC109" s="88">
        <f>IF(OR(BC$1="",$BE109=0),"",IFERROR(LOOKUP(2,1/((Budgets!$A$2:$A$200=BC$1)*(Budgets!$B$2:$B$200&lt;=$A109)),Budgets!$C$2:$C$200),0))</f>
        <v/>
      </c>
      <c r="BE109" s="67">
        <f>COUNTIFS(Entries!$A$2:$A$5000,$A109)</f>
        <v/>
      </c>
    </row>
    <row r="110" ht="15" customHeight="1" s="43">
      <c r="A110" s="87" t="n">
        <v>42736</v>
      </c>
      <c r="B110" s="88">
        <f>IF($BE110=0,NA(),SUMIFS(Entries!$D$2:$D$5000,Entries!$C$2:$C$5000,"Income",Entries!$A$2:$A$5000,$A110))</f>
        <v/>
      </c>
      <c r="C110" s="88">
        <f>IF($BE110=0,"",SUMIFS(Entries!$D$2:$D$5000,Entries!$C$2:$C$5000,"Actual",Entries!$A$2:$A$5000,$A110))</f>
        <v/>
      </c>
      <c r="D110" s="88">
        <f>IF($BE110=0,"",SUMIFS(Entries!$D$2:$D$5000,Entries!$C$2:$C$5000,"One-off",Entries!$A$2:$A$5000,$A110))</f>
        <v/>
      </c>
      <c r="E110" s="88">
        <f>IF($BE110=0,NA(),C110+D110)</f>
        <v/>
      </c>
      <c r="F110" s="88">
        <f>IF($BE110=0,"",SUM(AJ110:BC110))</f>
        <v/>
      </c>
      <c r="G110" s="88">
        <f>IF($BE110=0,"",B110-E110)</f>
        <v/>
      </c>
      <c r="H110" s="88">
        <f>IF($BE110=0,"",SUM($G$2:G110))</f>
        <v/>
      </c>
      <c r="I110" s="88">
        <f>IF($BE110=0,"",SUMIFS(Entries!$F$2:$F$5000,Entries!$A$2:$A$5000,$A110))</f>
        <v/>
      </c>
      <c r="J110" s="88">
        <f>IF($BE110=0,NA(),H110+SUM($I$2:I110))</f>
        <v/>
      </c>
      <c r="K110" s="88">
        <f>IF($BE110=0,"",SUMIFS(Entries!$D$2:$D$5000,Entries!$C$2:$C$5000,"Income",Entries!$A$2:$A$5000,"&gt;="&amp;EDATE($A110,-11),Entries!$A$2:$A$5000,"&lt;="&amp;$A110)/12)</f>
        <v/>
      </c>
      <c r="L110" s="88">
        <f>IF($BE110=0,"",(SUMIFS(Entries!$D$2:$D$5000,Entries!$C$2:$C$5000,"Actual",Entries!$A$2:$A$5000,"&gt;="&amp;EDATE($A110,-11),Entries!$A$2:$A$5000,"&lt;="&amp;$A110)+SUMIFS(Entries!$D$2:$D$5000,Entries!$C$2:$C$5000,"One-off",Entries!$A$2:$A$5000,"&gt;="&amp;EDATE($A110,-11),Entries!$A$2:$A$5000,"&lt;="&amp;$A110))/12)</f>
        <v/>
      </c>
      <c r="M110" s="70">
        <f>IF($BE110=0,NA(),IFERROR((K110-L110)/K110,0))</f>
        <v/>
      </c>
      <c r="O110" s="88">
        <f>IF(OR(O$1="",$BE110=0),"",SUMIFS(Entries!$D$2:$D$5000,Entries!$C$2:$C$5000,"Actual",Entries!$A$2:$A$5000,$A110,Entries!$B$2:$B$5000,O$1))</f>
        <v/>
      </c>
      <c r="P110" s="88">
        <f>IF(OR(P$1="",$BE110=0),"",SUMIFS(Entries!$D$2:$D$5000,Entries!$C$2:$C$5000,"Actual",Entries!$A$2:$A$5000,$A110,Entries!$B$2:$B$5000,P$1))</f>
        <v/>
      </c>
      <c r="Q110" s="88">
        <f>IF(OR(Q$1="",$BE110=0),"",SUMIFS(Entries!$D$2:$D$5000,Entries!$C$2:$C$5000,"Actual",Entries!$A$2:$A$5000,$A110,Entries!$B$2:$B$5000,Q$1))</f>
        <v/>
      </c>
      <c r="R110" s="88">
        <f>IF(OR(R$1="",$BE110=0),"",SUMIFS(Entries!$D$2:$D$5000,Entries!$C$2:$C$5000,"Actual",Entries!$A$2:$A$5000,$A110,Entries!$B$2:$B$5000,R$1))</f>
        <v/>
      </c>
      <c r="S110" s="88">
        <f>IF(OR(S$1="",$BE110=0),"",SUMIFS(Entries!$D$2:$D$5000,Entries!$C$2:$C$5000,"Actual",Entries!$A$2:$A$5000,$A110,Entries!$B$2:$B$5000,S$1))</f>
        <v/>
      </c>
      <c r="T110" s="88">
        <f>IF(OR(T$1="",$BE110=0),"",SUMIFS(Entries!$D$2:$D$5000,Entries!$C$2:$C$5000,"Actual",Entries!$A$2:$A$5000,$A110,Entries!$B$2:$B$5000,T$1))</f>
        <v/>
      </c>
      <c r="U110" s="88">
        <f>IF(OR(U$1="",$BE110=0),"",SUMIFS(Entries!$D$2:$D$5000,Entries!$C$2:$C$5000,"Actual",Entries!$A$2:$A$5000,$A110,Entries!$B$2:$B$5000,U$1))</f>
        <v/>
      </c>
      <c r="V110" s="88">
        <f>IF(OR(V$1="",$BE110=0),"",SUMIFS(Entries!$D$2:$D$5000,Entries!$C$2:$C$5000,"Actual",Entries!$A$2:$A$5000,$A110,Entries!$B$2:$B$5000,V$1))</f>
        <v/>
      </c>
      <c r="W110" s="88">
        <f>IF(OR(W$1="",$BE110=0),"",SUMIFS(Entries!$D$2:$D$5000,Entries!$C$2:$C$5000,"Actual",Entries!$A$2:$A$5000,$A110,Entries!$B$2:$B$5000,W$1))</f>
        <v/>
      </c>
      <c r="X110" s="88">
        <f>IF(OR(X$1="",$BE110=0),"",SUMIFS(Entries!$D$2:$D$5000,Entries!$C$2:$C$5000,"Actual",Entries!$A$2:$A$5000,$A110,Entries!$B$2:$B$5000,X$1))</f>
        <v/>
      </c>
      <c r="Y110" s="88">
        <f>IF(OR(Y$1="",$BE110=0),"",SUMIFS(Entries!$D$2:$D$5000,Entries!$C$2:$C$5000,"Actual",Entries!$A$2:$A$5000,$A110,Entries!$B$2:$B$5000,Y$1))</f>
        <v/>
      </c>
      <c r="Z110" s="88">
        <f>IF(OR(Z$1="",$BE110=0),"",SUMIFS(Entries!$D$2:$D$5000,Entries!$C$2:$C$5000,"Actual",Entries!$A$2:$A$5000,$A110,Entries!$B$2:$B$5000,Z$1))</f>
        <v/>
      </c>
      <c r="AA110" s="88">
        <f>IF(OR(AA$1="",$BE110=0),"",SUMIFS(Entries!$D$2:$D$5000,Entries!$C$2:$C$5000,"Actual",Entries!$A$2:$A$5000,$A110,Entries!$B$2:$B$5000,AA$1))</f>
        <v/>
      </c>
      <c r="AB110" s="88">
        <f>IF(OR(AB$1="",$BE110=0),"",SUMIFS(Entries!$D$2:$D$5000,Entries!$C$2:$C$5000,"Actual",Entries!$A$2:$A$5000,$A110,Entries!$B$2:$B$5000,AB$1))</f>
        <v/>
      </c>
      <c r="AC110" s="88">
        <f>IF(OR(AC$1="",$BE110=0),"",SUMIFS(Entries!$D$2:$D$5000,Entries!$C$2:$C$5000,"Actual",Entries!$A$2:$A$5000,$A110,Entries!$B$2:$B$5000,AC$1))</f>
        <v/>
      </c>
      <c r="AD110" s="88">
        <f>IF(OR(AD$1="",$BE110=0),"",SUMIFS(Entries!$D$2:$D$5000,Entries!$C$2:$C$5000,"Actual",Entries!$A$2:$A$5000,$A110,Entries!$B$2:$B$5000,AD$1))</f>
        <v/>
      </c>
      <c r="AE110" s="88">
        <f>IF(OR(AE$1="",$BE110=0),"",SUMIFS(Entries!$D$2:$D$5000,Entries!$C$2:$C$5000,"Actual",Entries!$A$2:$A$5000,$A110,Entries!$B$2:$B$5000,AE$1))</f>
        <v/>
      </c>
      <c r="AF110" s="88">
        <f>IF(OR(AF$1="",$BE110=0),"",SUMIFS(Entries!$D$2:$D$5000,Entries!$C$2:$C$5000,"Actual",Entries!$A$2:$A$5000,$A110,Entries!$B$2:$B$5000,AF$1))</f>
        <v/>
      </c>
      <c r="AG110" s="88">
        <f>IF(OR(AG$1="",$BE110=0),"",SUMIFS(Entries!$D$2:$D$5000,Entries!$C$2:$C$5000,"Actual",Entries!$A$2:$A$5000,$A110,Entries!$B$2:$B$5000,AG$1))</f>
        <v/>
      </c>
      <c r="AH110" s="88">
        <f>IF(OR(AH$1="",$BE110=0),"",SUMIFS(Entries!$D$2:$D$5000,Entries!$C$2:$C$5000,"Actual",Entries!$A$2:$A$5000,$A110,Entries!$B$2:$B$5000,AH$1))</f>
        <v/>
      </c>
      <c r="AJ110" s="88">
        <f>IF(OR(AJ$1="",$BE110=0),"",IFERROR(LOOKUP(2,1/((Budgets!$A$2:$A$200=AJ$1)*(Budgets!$B$2:$B$200&lt;=$A110)),Budgets!$C$2:$C$200),0))</f>
        <v/>
      </c>
      <c r="AK110" s="88">
        <f>IF(OR(AK$1="",$BE110=0),"",IFERROR(LOOKUP(2,1/((Budgets!$A$2:$A$200=AK$1)*(Budgets!$B$2:$B$200&lt;=$A110)),Budgets!$C$2:$C$200),0))</f>
        <v/>
      </c>
      <c r="AL110" s="88">
        <f>IF(OR(AL$1="",$BE110=0),"",IFERROR(LOOKUP(2,1/((Budgets!$A$2:$A$200=AL$1)*(Budgets!$B$2:$B$200&lt;=$A110)),Budgets!$C$2:$C$200),0))</f>
        <v/>
      </c>
      <c r="AM110" s="88">
        <f>IF(OR(AM$1="",$BE110=0),"",IFERROR(LOOKUP(2,1/((Budgets!$A$2:$A$200=AM$1)*(Budgets!$B$2:$B$200&lt;=$A110)),Budgets!$C$2:$C$200),0))</f>
        <v/>
      </c>
      <c r="AN110" s="88">
        <f>IF(OR(AN$1="",$BE110=0),"",IFERROR(LOOKUP(2,1/((Budgets!$A$2:$A$200=AN$1)*(Budgets!$B$2:$B$200&lt;=$A110)),Budgets!$C$2:$C$200),0))</f>
        <v/>
      </c>
      <c r="AO110" s="88">
        <f>IF(OR(AO$1="",$BE110=0),"",IFERROR(LOOKUP(2,1/((Budgets!$A$2:$A$200=AO$1)*(Budgets!$B$2:$B$200&lt;=$A110)),Budgets!$C$2:$C$200),0))</f>
        <v/>
      </c>
      <c r="AP110" s="88">
        <f>IF(OR(AP$1="",$BE110=0),"",IFERROR(LOOKUP(2,1/((Budgets!$A$2:$A$200=AP$1)*(Budgets!$B$2:$B$200&lt;=$A110)),Budgets!$C$2:$C$200),0))</f>
        <v/>
      </c>
      <c r="AQ110" s="88">
        <f>IF(OR(AQ$1="",$BE110=0),"",IFERROR(LOOKUP(2,1/((Budgets!$A$2:$A$200=AQ$1)*(Budgets!$B$2:$B$200&lt;=$A110)),Budgets!$C$2:$C$200),0))</f>
        <v/>
      </c>
      <c r="AR110" s="88">
        <f>IF(OR(AR$1="",$BE110=0),"",IFERROR(LOOKUP(2,1/((Budgets!$A$2:$A$200=AR$1)*(Budgets!$B$2:$B$200&lt;=$A110)),Budgets!$C$2:$C$200),0))</f>
        <v/>
      </c>
      <c r="AS110" s="88">
        <f>IF(OR(AS$1="",$BE110=0),"",IFERROR(LOOKUP(2,1/((Budgets!$A$2:$A$200=AS$1)*(Budgets!$B$2:$B$200&lt;=$A110)),Budgets!$C$2:$C$200),0))</f>
        <v/>
      </c>
      <c r="AT110" s="88">
        <f>IF(OR(AT$1="",$BE110=0),"",IFERROR(LOOKUP(2,1/((Budgets!$A$2:$A$200=AT$1)*(Budgets!$B$2:$B$200&lt;=$A110)),Budgets!$C$2:$C$200),0))</f>
        <v/>
      </c>
      <c r="AU110" s="88">
        <f>IF(OR(AU$1="",$BE110=0),"",IFERROR(LOOKUP(2,1/((Budgets!$A$2:$A$200=AU$1)*(Budgets!$B$2:$B$200&lt;=$A110)),Budgets!$C$2:$C$200),0))</f>
        <v/>
      </c>
      <c r="AV110" s="88">
        <f>IF(OR(AV$1="",$BE110=0),"",IFERROR(LOOKUP(2,1/((Budgets!$A$2:$A$200=AV$1)*(Budgets!$B$2:$B$200&lt;=$A110)),Budgets!$C$2:$C$200),0))</f>
        <v/>
      </c>
      <c r="AW110" s="88">
        <f>IF(OR(AW$1="",$BE110=0),"",IFERROR(LOOKUP(2,1/((Budgets!$A$2:$A$200=AW$1)*(Budgets!$B$2:$B$200&lt;=$A110)),Budgets!$C$2:$C$200),0))</f>
        <v/>
      </c>
      <c r="AX110" s="88">
        <f>IF(OR(AX$1="",$BE110=0),"",IFERROR(LOOKUP(2,1/((Budgets!$A$2:$A$200=AX$1)*(Budgets!$B$2:$B$200&lt;=$A110)),Budgets!$C$2:$C$200),0))</f>
        <v/>
      </c>
      <c r="AY110" s="88">
        <f>IF(OR(AY$1="",$BE110=0),"",IFERROR(LOOKUP(2,1/((Budgets!$A$2:$A$200=AY$1)*(Budgets!$B$2:$B$200&lt;=$A110)),Budgets!$C$2:$C$200),0))</f>
        <v/>
      </c>
      <c r="AZ110" s="88">
        <f>IF(OR(AZ$1="",$BE110=0),"",IFERROR(LOOKUP(2,1/((Budgets!$A$2:$A$200=AZ$1)*(Budgets!$B$2:$B$200&lt;=$A110)),Budgets!$C$2:$C$200),0))</f>
        <v/>
      </c>
      <c r="BA110" s="88">
        <f>IF(OR(BA$1="",$BE110=0),"",IFERROR(LOOKUP(2,1/((Budgets!$A$2:$A$200=BA$1)*(Budgets!$B$2:$B$200&lt;=$A110)),Budgets!$C$2:$C$200),0))</f>
        <v/>
      </c>
      <c r="BB110" s="88">
        <f>IF(OR(BB$1="",$BE110=0),"",IFERROR(LOOKUP(2,1/((Budgets!$A$2:$A$200=BB$1)*(Budgets!$B$2:$B$200&lt;=$A110)),Budgets!$C$2:$C$200),0))</f>
        <v/>
      </c>
      <c r="BC110" s="88">
        <f>IF(OR(BC$1="",$BE110=0),"",IFERROR(LOOKUP(2,1/((Budgets!$A$2:$A$200=BC$1)*(Budgets!$B$2:$B$200&lt;=$A110)),Budgets!$C$2:$C$200),0))</f>
        <v/>
      </c>
      <c r="BE110" s="67">
        <f>COUNTIFS(Entries!$A$2:$A$5000,$A110)</f>
        <v/>
      </c>
    </row>
    <row r="111" ht="15" customHeight="1" s="43">
      <c r="A111" s="87" t="n">
        <v>42767</v>
      </c>
      <c r="B111" s="88">
        <f>IF($BE111=0,NA(),SUMIFS(Entries!$D$2:$D$5000,Entries!$C$2:$C$5000,"Income",Entries!$A$2:$A$5000,$A111))</f>
        <v/>
      </c>
      <c r="C111" s="88">
        <f>IF($BE111=0,"",SUMIFS(Entries!$D$2:$D$5000,Entries!$C$2:$C$5000,"Actual",Entries!$A$2:$A$5000,$A111))</f>
        <v/>
      </c>
      <c r="D111" s="88">
        <f>IF($BE111=0,"",SUMIFS(Entries!$D$2:$D$5000,Entries!$C$2:$C$5000,"One-off",Entries!$A$2:$A$5000,$A111))</f>
        <v/>
      </c>
      <c r="E111" s="88">
        <f>IF($BE111=0,NA(),C111+D111)</f>
        <v/>
      </c>
      <c r="F111" s="88">
        <f>IF($BE111=0,"",SUM(AJ111:BC111))</f>
        <v/>
      </c>
      <c r="G111" s="88">
        <f>IF($BE111=0,"",B111-E111)</f>
        <v/>
      </c>
      <c r="H111" s="88">
        <f>IF($BE111=0,"",SUM($G$2:G111))</f>
        <v/>
      </c>
      <c r="I111" s="88">
        <f>IF($BE111=0,"",SUMIFS(Entries!$F$2:$F$5000,Entries!$A$2:$A$5000,$A111))</f>
        <v/>
      </c>
      <c r="J111" s="88">
        <f>IF($BE111=0,NA(),H111+SUM($I$2:I111))</f>
        <v/>
      </c>
      <c r="K111" s="88">
        <f>IF($BE111=0,"",SUMIFS(Entries!$D$2:$D$5000,Entries!$C$2:$C$5000,"Income",Entries!$A$2:$A$5000,"&gt;="&amp;EDATE($A111,-11),Entries!$A$2:$A$5000,"&lt;="&amp;$A111)/12)</f>
        <v/>
      </c>
      <c r="L111" s="88">
        <f>IF($BE111=0,"",(SUMIFS(Entries!$D$2:$D$5000,Entries!$C$2:$C$5000,"Actual",Entries!$A$2:$A$5000,"&gt;="&amp;EDATE($A111,-11),Entries!$A$2:$A$5000,"&lt;="&amp;$A111)+SUMIFS(Entries!$D$2:$D$5000,Entries!$C$2:$C$5000,"One-off",Entries!$A$2:$A$5000,"&gt;="&amp;EDATE($A111,-11),Entries!$A$2:$A$5000,"&lt;="&amp;$A111))/12)</f>
        <v/>
      </c>
      <c r="M111" s="70">
        <f>IF($BE111=0,NA(),IFERROR((K111-L111)/K111,0))</f>
        <v/>
      </c>
      <c r="O111" s="88">
        <f>IF(OR(O$1="",$BE111=0),"",SUMIFS(Entries!$D$2:$D$5000,Entries!$C$2:$C$5000,"Actual",Entries!$A$2:$A$5000,$A111,Entries!$B$2:$B$5000,O$1))</f>
        <v/>
      </c>
      <c r="P111" s="88">
        <f>IF(OR(P$1="",$BE111=0),"",SUMIFS(Entries!$D$2:$D$5000,Entries!$C$2:$C$5000,"Actual",Entries!$A$2:$A$5000,$A111,Entries!$B$2:$B$5000,P$1))</f>
        <v/>
      </c>
      <c r="Q111" s="88">
        <f>IF(OR(Q$1="",$BE111=0),"",SUMIFS(Entries!$D$2:$D$5000,Entries!$C$2:$C$5000,"Actual",Entries!$A$2:$A$5000,$A111,Entries!$B$2:$B$5000,Q$1))</f>
        <v/>
      </c>
      <c r="R111" s="88">
        <f>IF(OR(R$1="",$BE111=0),"",SUMIFS(Entries!$D$2:$D$5000,Entries!$C$2:$C$5000,"Actual",Entries!$A$2:$A$5000,$A111,Entries!$B$2:$B$5000,R$1))</f>
        <v/>
      </c>
      <c r="S111" s="88">
        <f>IF(OR(S$1="",$BE111=0),"",SUMIFS(Entries!$D$2:$D$5000,Entries!$C$2:$C$5000,"Actual",Entries!$A$2:$A$5000,$A111,Entries!$B$2:$B$5000,S$1))</f>
        <v/>
      </c>
      <c r="T111" s="88">
        <f>IF(OR(T$1="",$BE111=0),"",SUMIFS(Entries!$D$2:$D$5000,Entries!$C$2:$C$5000,"Actual",Entries!$A$2:$A$5000,$A111,Entries!$B$2:$B$5000,T$1))</f>
        <v/>
      </c>
      <c r="U111" s="88">
        <f>IF(OR(U$1="",$BE111=0),"",SUMIFS(Entries!$D$2:$D$5000,Entries!$C$2:$C$5000,"Actual",Entries!$A$2:$A$5000,$A111,Entries!$B$2:$B$5000,U$1))</f>
        <v/>
      </c>
      <c r="V111" s="88">
        <f>IF(OR(V$1="",$BE111=0),"",SUMIFS(Entries!$D$2:$D$5000,Entries!$C$2:$C$5000,"Actual",Entries!$A$2:$A$5000,$A111,Entries!$B$2:$B$5000,V$1))</f>
        <v/>
      </c>
      <c r="W111" s="88">
        <f>IF(OR(W$1="",$BE111=0),"",SUMIFS(Entries!$D$2:$D$5000,Entries!$C$2:$C$5000,"Actual",Entries!$A$2:$A$5000,$A111,Entries!$B$2:$B$5000,W$1))</f>
        <v/>
      </c>
      <c r="X111" s="88">
        <f>IF(OR(X$1="",$BE111=0),"",SUMIFS(Entries!$D$2:$D$5000,Entries!$C$2:$C$5000,"Actual",Entries!$A$2:$A$5000,$A111,Entries!$B$2:$B$5000,X$1))</f>
        <v/>
      </c>
      <c r="Y111" s="88">
        <f>IF(OR(Y$1="",$BE111=0),"",SUMIFS(Entries!$D$2:$D$5000,Entries!$C$2:$C$5000,"Actual",Entries!$A$2:$A$5000,$A111,Entries!$B$2:$B$5000,Y$1))</f>
        <v/>
      </c>
      <c r="Z111" s="88">
        <f>IF(OR(Z$1="",$BE111=0),"",SUMIFS(Entries!$D$2:$D$5000,Entries!$C$2:$C$5000,"Actual",Entries!$A$2:$A$5000,$A111,Entries!$B$2:$B$5000,Z$1))</f>
        <v/>
      </c>
      <c r="AA111" s="88">
        <f>IF(OR(AA$1="",$BE111=0),"",SUMIFS(Entries!$D$2:$D$5000,Entries!$C$2:$C$5000,"Actual",Entries!$A$2:$A$5000,$A111,Entries!$B$2:$B$5000,AA$1))</f>
        <v/>
      </c>
      <c r="AB111" s="88">
        <f>IF(OR(AB$1="",$BE111=0),"",SUMIFS(Entries!$D$2:$D$5000,Entries!$C$2:$C$5000,"Actual",Entries!$A$2:$A$5000,$A111,Entries!$B$2:$B$5000,AB$1))</f>
        <v/>
      </c>
      <c r="AC111" s="88">
        <f>IF(OR(AC$1="",$BE111=0),"",SUMIFS(Entries!$D$2:$D$5000,Entries!$C$2:$C$5000,"Actual",Entries!$A$2:$A$5000,$A111,Entries!$B$2:$B$5000,AC$1))</f>
        <v/>
      </c>
      <c r="AD111" s="88">
        <f>IF(OR(AD$1="",$BE111=0),"",SUMIFS(Entries!$D$2:$D$5000,Entries!$C$2:$C$5000,"Actual",Entries!$A$2:$A$5000,$A111,Entries!$B$2:$B$5000,AD$1))</f>
        <v/>
      </c>
      <c r="AE111" s="88">
        <f>IF(OR(AE$1="",$BE111=0),"",SUMIFS(Entries!$D$2:$D$5000,Entries!$C$2:$C$5000,"Actual",Entries!$A$2:$A$5000,$A111,Entries!$B$2:$B$5000,AE$1))</f>
        <v/>
      </c>
      <c r="AF111" s="88">
        <f>IF(OR(AF$1="",$BE111=0),"",SUMIFS(Entries!$D$2:$D$5000,Entries!$C$2:$C$5000,"Actual",Entries!$A$2:$A$5000,$A111,Entries!$B$2:$B$5000,AF$1))</f>
        <v/>
      </c>
      <c r="AG111" s="88">
        <f>IF(OR(AG$1="",$BE111=0),"",SUMIFS(Entries!$D$2:$D$5000,Entries!$C$2:$C$5000,"Actual",Entries!$A$2:$A$5000,$A111,Entries!$B$2:$B$5000,AG$1))</f>
        <v/>
      </c>
      <c r="AH111" s="88">
        <f>IF(OR(AH$1="",$BE111=0),"",SUMIFS(Entries!$D$2:$D$5000,Entries!$C$2:$C$5000,"Actual",Entries!$A$2:$A$5000,$A111,Entries!$B$2:$B$5000,AH$1))</f>
        <v/>
      </c>
      <c r="AJ111" s="88">
        <f>IF(OR(AJ$1="",$BE111=0),"",IFERROR(LOOKUP(2,1/((Budgets!$A$2:$A$200=AJ$1)*(Budgets!$B$2:$B$200&lt;=$A111)),Budgets!$C$2:$C$200),0))</f>
        <v/>
      </c>
      <c r="AK111" s="88">
        <f>IF(OR(AK$1="",$BE111=0),"",IFERROR(LOOKUP(2,1/((Budgets!$A$2:$A$200=AK$1)*(Budgets!$B$2:$B$200&lt;=$A111)),Budgets!$C$2:$C$200),0))</f>
        <v/>
      </c>
      <c r="AL111" s="88">
        <f>IF(OR(AL$1="",$BE111=0),"",IFERROR(LOOKUP(2,1/((Budgets!$A$2:$A$200=AL$1)*(Budgets!$B$2:$B$200&lt;=$A111)),Budgets!$C$2:$C$200),0))</f>
        <v/>
      </c>
      <c r="AM111" s="88">
        <f>IF(OR(AM$1="",$BE111=0),"",IFERROR(LOOKUP(2,1/((Budgets!$A$2:$A$200=AM$1)*(Budgets!$B$2:$B$200&lt;=$A111)),Budgets!$C$2:$C$200),0))</f>
        <v/>
      </c>
      <c r="AN111" s="88">
        <f>IF(OR(AN$1="",$BE111=0),"",IFERROR(LOOKUP(2,1/((Budgets!$A$2:$A$200=AN$1)*(Budgets!$B$2:$B$200&lt;=$A111)),Budgets!$C$2:$C$200),0))</f>
        <v/>
      </c>
      <c r="AO111" s="88">
        <f>IF(OR(AO$1="",$BE111=0),"",IFERROR(LOOKUP(2,1/((Budgets!$A$2:$A$200=AO$1)*(Budgets!$B$2:$B$200&lt;=$A111)),Budgets!$C$2:$C$200),0))</f>
        <v/>
      </c>
      <c r="AP111" s="88">
        <f>IF(OR(AP$1="",$BE111=0),"",IFERROR(LOOKUP(2,1/((Budgets!$A$2:$A$200=AP$1)*(Budgets!$B$2:$B$200&lt;=$A111)),Budgets!$C$2:$C$200),0))</f>
        <v/>
      </c>
      <c r="AQ111" s="88">
        <f>IF(OR(AQ$1="",$BE111=0),"",IFERROR(LOOKUP(2,1/((Budgets!$A$2:$A$200=AQ$1)*(Budgets!$B$2:$B$200&lt;=$A111)),Budgets!$C$2:$C$200),0))</f>
        <v/>
      </c>
      <c r="AR111" s="88">
        <f>IF(OR(AR$1="",$BE111=0),"",IFERROR(LOOKUP(2,1/((Budgets!$A$2:$A$200=AR$1)*(Budgets!$B$2:$B$200&lt;=$A111)),Budgets!$C$2:$C$200),0))</f>
        <v/>
      </c>
      <c r="AS111" s="88">
        <f>IF(OR(AS$1="",$BE111=0),"",IFERROR(LOOKUP(2,1/((Budgets!$A$2:$A$200=AS$1)*(Budgets!$B$2:$B$200&lt;=$A111)),Budgets!$C$2:$C$200),0))</f>
        <v/>
      </c>
      <c r="AT111" s="88">
        <f>IF(OR(AT$1="",$BE111=0),"",IFERROR(LOOKUP(2,1/((Budgets!$A$2:$A$200=AT$1)*(Budgets!$B$2:$B$200&lt;=$A111)),Budgets!$C$2:$C$200),0))</f>
        <v/>
      </c>
      <c r="AU111" s="88">
        <f>IF(OR(AU$1="",$BE111=0),"",IFERROR(LOOKUP(2,1/((Budgets!$A$2:$A$200=AU$1)*(Budgets!$B$2:$B$200&lt;=$A111)),Budgets!$C$2:$C$200),0))</f>
        <v/>
      </c>
      <c r="AV111" s="88">
        <f>IF(OR(AV$1="",$BE111=0),"",IFERROR(LOOKUP(2,1/((Budgets!$A$2:$A$200=AV$1)*(Budgets!$B$2:$B$200&lt;=$A111)),Budgets!$C$2:$C$200),0))</f>
        <v/>
      </c>
      <c r="AW111" s="88">
        <f>IF(OR(AW$1="",$BE111=0),"",IFERROR(LOOKUP(2,1/((Budgets!$A$2:$A$200=AW$1)*(Budgets!$B$2:$B$200&lt;=$A111)),Budgets!$C$2:$C$200),0))</f>
        <v/>
      </c>
      <c r="AX111" s="88">
        <f>IF(OR(AX$1="",$BE111=0),"",IFERROR(LOOKUP(2,1/((Budgets!$A$2:$A$200=AX$1)*(Budgets!$B$2:$B$200&lt;=$A111)),Budgets!$C$2:$C$200),0))</f>
        <v/>
      </c>
      <c r="AY111" s="88">
        <f>IF(OR(AY$1="",$BE111=0),"",IFERROR(LOOKUP(2,1/((Budgets!$A$2:$A$200=AY$1)*(Budgets!$B$2:$B$200&lt;=$A111)),Budgets!$C$2:$C$200),0))</f>
        <v/>
      </c>
      <c r="AZ111" s="88">
        <f>IF(OR(AZ$1="",$BE111=0),"",IFERROR(LOOKUP(2,1/((Budgets!$A$2:$A$200=AZ$1)*(Budgets!$B$2:$B$200&lt;=$A111)),Budgets!$C$2:$C$200),0))</f>
        <v/>
      </c>
      <c r="BA111" s="88">
        <f>IF(OR(BA$1="",$BE111=0),"",IFERROR(LOOKUP(2,1/((Budgets!$A$2:$A$200=BA$1)*(Budgets!$B$2:$B$200&lt;=$A111)),Budgets!$C$2:$C$200),0))</f>
        <v/>
      </c>
      <c r="BB111" s="88">
        <f>IF(OR(BB$1="",$BE111=0),"",IFERROR(LOOKUP(2,1/((Budgets!$A$2:$A$200=BB$1)*(Budgets!$B$2:$B$200&lt;=$A111)),Budgets!$C$2:$C$200),0))</f>
        <v/>
      </c>
      <c r="BC111" s="88">
        <f>IF(OR(BC$1="",$BE111=0),"",IFERROR(LOOKUP(2,1/((Budgets!$A$2:$A$200=BC$1)*(Budgets!$B$2:$B$200&lt;=$A111)),Budgets!$C$2:$C$200),0))</f>
        <v/>
      </c>
      <c r="BE111" s="67">
        <f>COUNTIFS(Entries!$A$2:$A$5000,$A111)</f>
        <v/>
      </c>
    </row>
    <row r="112" ht="15" customHeight="1" s="43">
      <c r="A112" s="87" t="n">
        <v>42795</v>
      </c>
      <c r="B112" s="88">
        <f>IF($BE112=0,NA(),SUMIFS(Entries!$D$2:$D$5000,Entries!$C$2:$C$5000,"Income",Entries!$A$2:$A$5000,$A112))</f>
        <v/>
      </c>
      <c r="C112" s="88">
        <f>IF($BE112=0,"",SUMIFS(Entries!$D$2:$D$5000,Entries!$C$2:$C$5000,"Actual",Entries!$A$2:$A$5000,$A112))</f>
        <v/>
      </c>
      <c r="D112" s="88">
        <f>IF($BE112=0,"",SUMIFS(Entries!$D$2:$D$5000,Entries!$C$2:$C$5000,"One-off",Entries!$A$2:$A$5000,$A112))</f>
        <v/>
      </c>
      <c r="E112" s="88">
        <f>IF($BE112=0,NA(),C112+D112)</f>
        <v/>
      </c>
      <c r="F112" s="88">
        <f>IF($BE112=0,"",SUM(AJ112:BC112))</f>
        <v/>
      </c>
      <c r="G112" s="88">
        <f>IF($BE112=0,"",B112-E112)</f>
        <v/>
      </c>
      <c r="H112" s="88">
        <f>IF($BE112=0,"",SUM($G$2:G112))</f>
        <v/>
      </c>
      <c r="I112" s="88">
        <f>IF($BE112=0,"",SUMIFS(Entries!$F$2:$F$5000,Entries!$A$2:$A$5000,$A112))</f>
        <v/>
      </c>
      <c r="J112" s="88">
        <f>IF($BE112=0,NA(),H112+SUM($I$2:I112))</f>
        <v/>
      </c>
      <c r="K112" s="88">
        <f>IF($BE112=0,"",SUMIFS(Entries!$D$2:$D$5000,Entries!$C$2:$C$5000,"Income",Entries!$A$2:$A$5000,"&gt;="&amp;EDATE($A112,-11),Entries!$A$2:$A$5000,"&lt;="&amp;$A112)/12)</f>
        <v/>
      </c>
      <c r="L112" s="88">
        <f>IF($BE112=0,"",(SUMIFS(Entries!$D$2:$D$5000,Entries!$C$2:$C$5000,"Actual",Entries!$A$2:$A$5000,"&gt;="&amp;EDATE($A112,-11),Entries!$A$2:$A$5000,"&lt;="&amp;$A112)+SUMIFS(Entries!$D$2:$D$5000,Entries!$C$2:$C$5000,"One-off",Entries!$A$2:$A$5000,"&gt;="&amp;EDATE($A112,-11),Entries!$A$2:$A$5000,"&lt;="&amp;$A112))/12)</f>
        <v/>
      </c>
      <c r="M112" s="70">
        <f>IF($BE112=0,NA(),IFERROR((K112-L112)/K112,0))</f>
        <v/>
      </c>
      <c r="O112" s="88">
        <f>IF(OR(O$1="",$BE112=0),"",SUMIFS(Entries!$D$2:$D$5000,Entries!$C$2:$C$5000,"Actual",Entries!$A$2:$A$5000,$A112,Entries!$B$2:$B$5000,O$1))</f>
        <v/>
      </c>
      <c r="P112" s="88">
        <f>IF(OR(P$1="",$BE112=0),"",SUMIFS(Entries!$D$2:$D$5000,Entries!$C$2:$C$5000,"Actual",Entries!$A$2:$A$5000,$A112,Entries!$B$2:$B$5000,P$1))</f>
        <v/>
      </c>
      <c r="Q112" s="88">
        <f>IF(OR(Q$1="",$BE112=0),"",SUMIFS(Entries!$D$2:$D$5000,Entries!$C$2:$C$5000,"Actual",Entries!$A$2:$A$5000,$A112,Entries!$B$2:$B$5000,Q$1))</f>
        <v/>
      </c>
      <c r="R112" s="88">
        <f>IF(OR(R$1="",$BE112=0),"",SUMIFS(Entries!$D$2:$D$5000,Entries!$C$2:$C$5000,"Actual",Entries!$A$2:$A$5000,$A112,Entries!$B$2:$B$5000,R$1))</f>
        <v/>
      </c>
      <c r="S112" s="88">
        <f>IF(OR(S$1="",$BE112=0),"",SUMIFS(Entries!$D$2:$D$5000,Entries!$C$2:$C$5000,"Actual",Entries!$A$2:$A$5000,$A112,Entries!$B$2:$B$5000,S$1))</f>
        <v/>
      </c>
      <c r="T112" s="88">
        <f>IF(OR(T$1="",$BE112=0),"",SUMIFS(Entries!$D$2:$D$5000,Entries!$C$2:$C$5000,"Actual",Entries!$A$2:$A$5000,$A112,Entries!$B$2:$B$5000,T$1))</f>
        <v/>
      </c>
      <c r="U112" s="88">
        <f>IF(OR(U$1="",$BE112=0),"",SUMIFS(Entries!$D$2:$D$5000,Entries!$C$2:$C$5000,"Actual",Entries!$A$2:$A$5000,$A112,Entries!$B$2:$B$5000,U$1))</f>
        <v/>
      </c>
      <c r="V112" s="88">
        <f>IF(OR(V$1="",$BE112=0),"",SUMIFS(Entries!$D$2:$D$5000,Entries!$C$2:$C$5000,"Actual",Entries!$A$2:$A$5000,$A112,Entries!$B$2:$B$5000,V$1))</f>
        <v/>
      </c>
      <c r="W112" s="88">
        <f>IF(OR(W$1="",$BE112=0),"",SUMIFS(Entries!$D$2:$D$5000,Entries!$C$2:$C$5000,"Actual",Entries!$A$2:$A$5000,$A112,Entries!$B$2:$B$5000,W$1))</f>
        <v/>
      </c>
      <c r="X112" s="88">
        <f>IF(OR(X$1="",$BE112=0),"",SUMIFS(Entries!$D$2:$D$5000,Entries!$C$2:$C$5000,"Actual",Entries!$A$2:$A$5000,$A112,Entries!$B$2:$B$5000,X$1))</f>
        <v/>
      </c>
      <c r="Y112" s="88">
        <f>IF(OR(Y$1="",$BE112=0),"",SUMIFS(Entries!$D$2:$D$5000,Entries!$C$2:$C$5000,"Actual",Entries!$A$2:$A$5000,$A112,Entries!$B$2:$B$5000,Y$1))</f>
        <v/>
      </c>
      <c r="Z112" s="88">
        <f>IF(OR(Z$1="",$BE112=0),"",SUMIFS(Entries!$D$2:$D$5000,Entries!$C$2:$C$5000,"Actual",Entries!$A$2:$A$5000,$A112,Entries!$B$2:$B$5000,Z$1))</f>
        <v/>
      </c>
      <c r="AA112" s="88">
        <f>IF(OR(AA$1="",$BE112=0),"",SUMIFS(Entries!$D$2:$D$5000,Entries!$C$2:$C$5000,"Actual",Entries!$A$2:$A$5000,$A112,Entries!$B$2:$B$5000,AA$1))</f>
        <v/>
      </c>
      <c r="AB112" s="88">
        <f>IF(OR(AB$1="",$BE112=0),"",SUMIFS(Entries!$D$2:$D$5000,Entries!$C$2:$C$5000,"Actual",Entries!$A$2:$A$5000,$A112,Entries!$B$2:$B$5000,AB$1))</f>
        <v/>
      </c>
      <c r="AC112" s="88">
        <f>IF(OR(AC$1="",$BE112=0),"",SUMIFS(Entries!$D$2:$D$5000,Entries!$C$2:$C$5000,"Actual",Entries!$A$2:$A$5000,$A112,Entries!$B$2:$B$5000,AC$1))</f>
        <v/>
      </c>
      <c r="AD112" s="88">
        <f>IF(OR(AD$1="",$BE112=0),"",SUMIFS(Entries!$D$2:$D$5000,Entries!$C$2:$C$5000,"Actual",Entries!$A$2:$A$5000,$A112,Entries!$B$2:$B$5000,AD$1))</f>
        <v/>
      </c>
      <c r="AE112" s="88">
        <f>IF(OR(AE$1="",$BE112=0),"",SUMIFS(Entries!$D$2:$D$5000,Entries!$C$2:$C$5000,"Actual",Entries!$A$2:$A$5000,$A112,Entries!$B$2:$B$5000,AE$1))</f>
        <v/>
      </c>
      <c r="AF112" s="88">
        <f>IF(OR(AF$1="",$BE112=0),"",SUMIFS(Entries!$D$2:$D$5000,Entries!$C$2:$C$5000,"Actual",Entries!$A$2:$A$5000,$A112,Entries!$B$2:$B$5000,AF$1))</f>
        <v/>
      </c>
      <c r="AG112" s="88">
        <f>IF(OR(AG$1="",$BE112=0),"",SUMIFS(Entries!$D$2:$D$5000,Entries!$C$2:$C$5000,"Actual",Entries!$A$2:$A$5000,$A112,Entries!$B$2:$B$5000,AG$1))</f>
        <v/>
      </c>
      <c r="AH112" s="88">
        <f>IF(OR(AH$1="",$BE112=0),"",SUMIFS(Entries!$D$2:$D$5000,Entries!$C$2:$C$5000,"Actual",Entries!$A$2:$A$5000,$A112,Entries!$B$2:$B$5000,AH$1))</f>
        <v/>
      </c>
      <c r="AJ112" s="88">
        <f>IF(OR(AJ$1="",$BE112=0),"",IFERROR(LOOKUP(2,1/((Budgets!$A$2:$A$200=AJ$1)*(Budgets!$B$2:$B$200&lt;=$A112)),Budgets!$C$2:$C$200),0))</f>
        <v/>
      </c>
      <c r="AK112" s="88">
        <f>IF(OR(AK$1="",$BE112=0),"",IFERROR(LOOKUP(2,1/((Budgets!$A$2:$A$200=AK$1)*(Budgets!$B$2:$B$200&lt;=$A112)),Budgets!$C$2:$C$200),0))</f>
        <v/>
      </c>
      <c r="AL112" s="88">
        <f>IF(OR(AL$1="",$BE112=0),"",IFERROR(LOOKUP(2,1/((Budgets!$A$2:$A$200=AL$1)*(Budgets!$B$2:$B$200&lt;=$A112)),Budgets!$C$2:$C$200),0))</f>
        <v/>
      </c>
      <c r="AM112" s="88">
        <f>IF(OR(AM$1="",$BE112=0),"",IFERROR(LOOKUP(2,1/((Budgets!$A$2:$A$200=AM$1)*(Budgets!$B$2:$B$200&lt;=$A112)),Budgets!$C$2:$C$200),0))</f>
        <v/>
      </c>
      <c r="AN112" s="88">
        <f>IF(OR(AN$1="",$BE112=0),"",IFERROR(LOOKUP(2,1/((Budgets!$A$2:$A$200=AN$1)*(Budgets!$B$2:$B$200&lt;=$A112)),Budgets!$C$2:$C$200),0))</f>
        <v/>
      </c>
      <c r="AO112" s="88">
        <f>IF(OR(AO$1="",$BE112=0),"",IFERROR(LOOKUP(2,1/((Budgets!$A$2:$A$200=AO$1)*(Budgets!$B$2:$B$200&lt;=$A112)),Budgets!$C$2:$C$200),0))</f>
        <v/>
      </c>
      <c r="AP112" s="88">
        <f>IF(OR(AP$1="",$BE112=0),"",IFERROR(LOOKUP(2,1/((Budgets!$A$2:$A$200=AP$1)*(Budgets!$B$2:$B$200&lt;=$A112)),Budgets!$C$2:$C$200),0))</f>
        <v/>
      </c>
      <c r="AQ112" s="88">
        <f>IF(OR(AQ$1="",$BE112=0),"",IFERROR(LOOKUP(2,1/((Budgets!$A$2:$A$200=AQ$1)*(Budgets!$B$2:$B$200&lt;=$A112)),Budgets!$C$2:$C$200),0))</f>
        <v/>
      </c>
      <c r="AR112" s="88">
        <f>IF(OR(AR$1="",$BE112=0),"",IFERROR(LOOKUP(2,1/((Budgets!$A$2:$A$200=AR$1)*(Budgets!$B$2:$B$200&lt;=$A112)),Budgets!$C$2:$C$200),0))</f>
        <v/>
      </c>
      <c r="AS112" s="88">
        <f>IF(OR(AS$1="",$BE112=0),"",IFERROR(LOOKUP(2,1/((Budgets!$A$2:$A$200=AS$1)*(Budgets!$B$2:$B$200&lt;=$A112)),Budgets!$C$2:$C$200),0))</f>
        <v/>
      </c>
      <c r="AT112" s="88">
        <f>IF(OR(AT$1="",$BE112=0),"",IFERROR(LOOKUP(2,1/((Budgets!$A$2:$A$200=AT$1)*(Budgets!$B$2:$B$200&lt;=$A112)),Budgets!$C$2:$C$200),0))</f>
        <v/>
      </c>
      <c r="AU112" s="88">
        <f>IF(OR(AU$1="",$BE112=0),"",IFERROR(LOOKUP(2,1/((Budgets!$A$2:$A$200=AU$1)*(Budgets!$B$2:$B$200&lt;=$A112)),Budgets!$C$2:$C$200),0))</f>
        <v/>
      </c>
      <c r="AV112" s="88">
        <f>IF(OR(AV$1="",$BE112=0),"",IFERROR(LOOKUP(2,1/((Budgets!$A$2:$A$200=AV$1)*(Budgets!$B$2:$B$200&lt;=$A112)),Budgets!$C$2:$C$200),0))</f>
        <v/>
      </c>
      <c r="AW112" s="88">
        <f>IF(OR(AW$1="",$BE112=0),"",IFERROR(LOOKUP(2,1/((Budgets!$A$2:$A$200=AW$1)*(Budgets!$B$2:$B$200&lt;=$A112)),Budgets!$C$2:$C$200),0))</f>
        <v/>
      </c>
      <c r="AX112" s="88">
        <f>IF(OR(AX$1="",$BE112=0),"",IFERROR(LOOKUP(2,1/((Budgets!$A$2:$A$200=AX$1)*(Budgets!$B$2:$B$200&lt;=$A112)),Budgets!$C$2:$C$200),0))</f>
        <v/>
      </c>
      <c r="AY112" s="88">
        <f>IF(OR(AY$1="",$BE112=0),"",IFERROR(LOOKUP(2,1/((Budgets!$A$2:$A$200=AY$1)*(Budgets!$B$2:$B$200&lt;=$A112)),Budgets!$C$2:$C$200),0))</f>
        <v/>
      </c>
      <c r="AZ112" s="88">
        <f>IF(OR(AZ$1="",$BE112=0),"",IFERROR(LOOKUP(2,1/((Budgets!$A$2:$A$200=AZ$1)*(Budgets!$B$2:$B$200&lt;=$A112)),Budgets!$C$2:$C$200),0))</f>
        <v/>
      </c>
      <c r="BA112" s="88">
        <f>IF(OR(BA$1="",$BE112=0),"",IFERROR(LOOKUP(2,1/((Budgets!$A$2:$A$200=BA$1)*(Budgets!$B$2:$B$200&lt;=$A112)),Budgets!$C$2:$C$200),0))</f>
        <v/>
      </c>
      <c r="BB112" s="88">
        <f>IF(OR(BB$1="",$BE112=0),"",IFERROR(LOOKUP(2,1/((Budgets!$A$2:$A$200=BB$1)*(Budgets!$B$2:$B$200&lt;=$A112)),Budgets!$C$2:$C$200),0))</f>
        <v/>
      </c>
      <c r="BC112" s="88">
        <f>IF(OR(BC$1="",$BE112=0),"",IFERROR(LOOKUP(2,1/((Budgets!$A$2:$A$200=BC$1)*(Budgets!$B$2:$B$200&lt;=$A112)),Budgets!$C$2:$C$200),0))</f>
        <v/>
      </c>
      <c r="BE112" s="67">
        <f>COUNTIFS(Entries!$A$2:$A$5000,$A112)</f>
        <v/>
      </c>
    </row>
    <row r="113" ht="15" customHeight="1" s="43">
      <c r="A113" s="87" t="n">
        <v>42826</v>
      </c>
      <c r="B113" s="88">
        <f>IF($BE113=0,NA(),SUMIFS(Entries!$D$2:$D$5000,Entries!$C$2:$C$5000,"Income",Entries!$A$2:$A$5000,$A113))</f>
        <v/>
      </c>
      <c r="C113" s="88">
        <f>IF($BE113=0,"",SUMIFS(Entries!$D$2:$D$5000,Entries!$C$2:$C$5000,"Actual",Entries!$A$2:$A$5000,$A113))</f>
        <v/>
      </c>
      <c r="D113" s="88">
        <f>IF($BE113=0,"",SUMIFS(Entries!$D$2:$D$5000,Entries!$C$2:$C$5000,"One-off",Entries!$A$2:$A$5000,$A113))</f>
        <v/>
      </c>
      <c r="E113" s="88">
        <f>IF($BE113=0,NA(),C113+D113)</f>
        <v/>
      </c>
      <c r="F113" s="88">
        <f>IF($BE113=0,"",SUM(AJ113:BC113))</f>
        <v/>
      </c>
      <c r="G113" s="88">
        <f>IF($BE113=0,"",B113-E113)</f>
        <v/>
      </c>
      <c r="H113" s="88">
        <f>IF($BE113=0,"",SUM($G$2:G113))</f>
        <v/>
      </c>
      <c r="I113" s="88">
        <f>IF($BE113=0,"",SUMIFS(Entries!$F$2:$F$5000,Entries!$A$2:$A$5000,$A113))</f>
        <v/>
      </c>
      <c r="J113" s="88">
        <f>IF($BE113=0,NA(),H113+SUM($I$2:I113))</f>
        <v/>
      </c>
      <c r="K113" s="88">
        <f>IF($BE113=0,"",SUMIFS(Entries!$D$2:$D$5000,Entries!$C$2:$C$5000,"Income",Entries!$A$2:$A$5000,"&gt;="&amp;EDATE($A113,-11),Entries!$A$2:$A$5000,"&lt;="&amp;$A113)/12)</f>
        <v/>
      </c>
      <c r="L113" s="88">
        <f>IF($BE113=0,"",(SUMIFS(Entries!$D$2:$D$5000,Entries!$C$2:$C$5000,"Actual",Entries!$A$2:$A$5000,"&gt;="&amp;EDATE($A113,-11),Entries!$A$2:$A$5000,"&lt;="&amp;$A113)+SUMIFS(Entries!$D$2:$D$5000,Entries!$C$2:$C$5000,"One-off",Entries!$A$2:$A$5000,"&gt;="&amp;EDATE($A113,-11),Entries!$A$2:$A$5000,"&lt;="&amp;$A113))/12)</f>
        <v/>
      </c>
      <c r="M113" s="70">
        <f>IF($BE113=0,NA(),IFERROR((K113-L113)/K113,0))</f>
        <v/>
      </c>
      <c r="O113" s="88">
        <f>IF(OR(O$1="",$BE113=0),"",SUMIFS(Entries!$D$2:$D$5000,Entries!$C$2:$C$5000,"Actual",Entries!$A$2:$A$5000,$A113,Entries!$B$2:$B$5000,O$1))</f>
        <v/>
      </c>
      <c r="P113" s="88">
        <f>IF(OR(P$1="",$BE113=0),"",SUMIFS(Entries!$D$2:$D$5000,Entries!$C$2:$C$5000,"Actual",Entries!$A$2:$A$5000,$A113,Entries!$B$2:$B$5000,P$1))</f>
        <v/>
      </c>
      <c r="Q113" s="88">
        <f>IF(OR(Q$1="",$BE113=0),"",SUMIFS(Entries!$D$2:$D$5000,Entries!$C$2:$C$5000,"Actual",Entries!$A$2:$A$5000,$A113,Entries!$B$2:$B$5000,Q$1))</f>
        <v/>
      </c>
      <c r="R113" s="88">
        <f>IF(OR(R$1="",$BE113=0),"",SUMIFS(Entries!$D$2:$D$5000,Entries!$C$2:$C$5000,"Actual",Entries!$A$2:$A$5000,$A113,Entries!$B$2:$B$5000,R$1))</f>
        <v/>
      </c>
      <c r="S113" s="88">
        <f>IF(OR(S$1="",$BE113=0),"",SUMIFS(Entries!$D$2:$D$5000,Entries!$C$2:$C$5000,"Actual",Entries!$A$2:$A$5000,$A113,Entries!$B$2:$B$5000,S$1))</f>
        <v/>
      </c>
      <c r="T113" s="88">
        <f>IF(OR(T$1="",$BE113=0),"",SUMIFS(Entries!$D$2:$D$5000,Entries!$C$2:$C$5000,"Actual",Entries!$A$2:$A$5000,$A113,Entries!$B$2:$B$5000,T$1))</f>
        <v/>
      </c>
      <c r="U113" s="88">
        <f>IF(OR(U$1="",$BE113=0),"",SUMIFS(Entries!$D$2:$D$5000,Entries!$C$2:$C$5000,"Actual",Entries!$A$2:$A$5000,$A113,Entries!$B$2:$B$5000,U$1))</f>
        <v/>
      </c>
      <c r="V113" s="88">
        <f>IF(OR(V$1="",$BE113=0),"",SUMIFS(Entries!$D$2:$D$5000,Entries!$C$2:$C$5000,"Actual",Entries!$A$2:$A$5000,$A113,Entries!$B$2:$B$5000,V$1))</f>
        <v/>
      </c>
      <c r="W113" s="88">
        <f>IF(OR(W$1="",$BE113=0),"",SUMIFS(Entries!$D$2:$D$5000,Entries!$C$2:$C$5000,"Actual",Entries!$A$2:$A$5000,$A113,Entries!$B$2:$B$5000,W$1))</f>
        <v/>
      </c>
      <c r="X113" s="88">
        <f>IF(OR(X$1="",$BE113=0),"",SUMIFS(Entries!$D$2:$D$5000,Entries!$C$2:$C$5000,"Actual",Entries!$A$2:$A$5000,$A113,Entries!$B$2:$B$5000,X$1))</f>
        <v/>
      </c>
      <c r="Y113" s="88">
        <f>IF(OR(Y$1="",$BE113=0),"",SUMIFS(Entries!$D$2:$D$5000,Entries!$C$2:$C$5000,"Actual",Entries!$A$2:$A$5000,$A113,Entries!$B$2:$B$5000,Y$1))</f>
        <v/>
      </c>
      <c r="Z113" s="88">
        <f>IF(OR(Z$1="",$BE113=0),"",SUMIFS(Entries!$D$2:$D$5000,Entries!$C$2:$C$5000,"Actual",Entries!$A$2:$A$5000,$A113,Entries!$B$2:$B$5000,Z$1))</f>
        <v/>
      </c>
      <c r="AA113" s="88">
        <f>IF(OR(AA$1="",$BE113=0),"",SUMIFS(Entries!$D$2:$D$5000,Entries!$C$2:$C$5000,"Actual",Entries!$A$2:$A$5000,$A113,Entries!$B$2:$B$5000,AA$1))</f>
        <v/>
      </c>
      <c r="AB113" s="88">
        <f>IF(OR(AB$1="",$BE113=0),"",SUMIFS(Entries!$D$2:$D$5000,Entries!$C$2:$C$5000,"Actual",Entries!$A$2:$A$5000,$A113,Entries!$B$2:$B$5000,AB$1))</f>
        <v/>
      </c>
      <c r="AC113" s="88">
        <f>IF(OR(AC$1="",$BE113=0),"",SUMIFS(Entries!$D$2:$D$5000,Entries!$C$2:$C$5000,"Actual",Entries!$A$2:$A$5000,$A113,Entries!$B$2:$B$5000,AC$1))</f>
        <v/>
      </c>
      <c r="AD113" s="88">
        <f>IF(OR(AD$1="",$BE113=0),"",SUMIFS(Entries!$D$2:$D$5000,Entries!$C$2:$C$5000,"Actual",Entries!$A$2:$A$5000,$A113,Entries!$B$2:$B$5000,AD$1))</f>
        <v/>
      </c>
      <c r="AE113" s="88">
        <f>IF(OR(AE$1="",$BE113=0),"",SUMIFS(Entries!$D$2:$D$5000,Entries!$C$2:$C$5000,"Actual",Entries!$A$2:$A$5000,$A113,Entries!$B$2:$B$5000,AE$1))</f>
        <v/>
      </c>
      <c r="AF113" s="88">
        <f>IF(OR(AF$1="",$BE113=0),"",SUMIFS(Entries!$D$2:$D$5000,Entries!$C$2:$C$5000,"Actual",Entries!$A$2:$A$5000,$A113,Entries!$B$2:$B$5000,AF$1))</f>
        <v/>
      </c>
      <c r="AG113" s="88">
        <f>IF(OR(AG$1="",$BE113=0),"",SUMIFS(Entries!$D$2:$D$5000,Entries!$C$2:$C$5000,"Actual",Entries!$A$2:$A$5000,$A113,Entries!$B$2:$B$5000,AG$1))</f>
        <v/>
      </c>
      <c r="AH113" s="88">
        <f>IF(OR(AH$1="",$BE113=0),"",SUMIFS(Entries!$D$2:$D$5000,Entries!$C$2:$C$5000,"Actual",Entries!$A$2:$A$5000,$A113,Entries!$B$2:$B$5000,AH$1))</f>
        <v/>
      </c>
      <c r="AJ113" s="88">
        <f>IF(OR(AJ$1="",$BE113=0),"",IFERROR(LOOKUP(2,1/((Budgets!$A$2:$A$200=AJ$1)*(Budgets!$B$2:$B$200&lt;=$A113)),Budgets!$C$2:$C$200),0))</f>
        <v/>
      </c>
      <c r="AK113" s="88">
        <f>IF(OR(AK$1="",$BE113=0),"",IFERROR(LOOKUP(2,1/((Budgets!$A$2:$A$200=AK$1)*(Budgets!$B$2:$B$200&lt;=$A113)),Budgets!$C$2:$C$200),0))</f>
        <v/>
      </c>
      <c r="AL113" s="88">
        <f>IF(OR(AL$1="",$BE113=0),"",IFERROR(LOOKUP(2,1/((Budgets!$A$2:$A$200=AL$1)*(Budgets!$B$2:$B$200&lt;=$A113)),Budgets!$C$2:$C$200),0))</f>
        <v/>
      </c>
      <c r="AM113" s="88">
        <f>IF(OR(AM$1="",$BE113=0),"",IFERROR(LOOKUP(2,1/((Budgets!$A$2:$A$200=AM$1)*(Budgets!$B$2:$B$200&lt;=$A113)),Budgets!$C$2:$C$200),0))</f>
        <v/>
      </c>
      <c r="AN113" s="88">
        <f>IF(OR(AN$1="",$BE113=0),"",IFERROR(LOOKUP(2,1/((Budgets!$A$2:$A$200=AN$1)*(Budgets!$B$2:$B$200&lt;=$A113)),Budgets!$C$2:$C$200),0))</f>
        <v/>
      </c>
      <c r="AO113" s="88">
        <f>IF(OR(AO$1="",$BE113=0),"",IFERROR(LOOKUP(2,1/((Budgets!$A$2:$A$200=AO$1)*(Budgets!$B$2:$B$200&lt;=$A113)),Budgets!$C$2:$C$200),0))</f>
        <v/>
      </c>
      <c r="AP113" s="88">
        <f>IF(OR(AP$1="",$BE113=0),"",IFERROR(LOOKUP(2,1/((Budgets!$A$2:$A$200=AP$1)*(Budgets!$B$2:$B$200&lt;=$A113)),Budgets!$C$2:$C$200),0))</f>
        <v/>
      </c>
      <c r="AQ113" s="88">
        <f>IF(OR(AQ$1="",$BE113=0),"",IFERROR(LOOKUP(2,1/((Budgets!$A$2:$A$200=AQ$1)*(Budgets!$B$2:$B$200&lt;=$A113)),Budgets!$C$2:$C$200),0))</f>
        <v/>
      </c>
      <c r="AR113" s="88">
        <f>IF(OR(AR$1="",$BE113=0),"",IFERROR(LOOKUP(2,1/((Budgets!$A$2:$A$200=AR$1)*(Budgets!$B$2:$B$200&lt;=$A113)),Budgets!$C$2:$C$200),0))</f>
        <v/>
      </c>
      <c r="AS113" s="88">
        <f>IF(OR(AS$1="",$BE113=0),"",IFERROR(LOOKUP(2,1/((Budgets!$A$2:$A$200=AS$1)*(Budgets!$B$2:$B$200&lt;=$A113)),Budgets!$C$2:$C$200),0))</f>
        <v/>
      </c>
      <c r="AT113" s="88">
        <f>IF(OR(AT$1="",$BE113=0),"",IFERROR(LOOKUP(2,1/((Budgets!$A$2:$A$200=AT$1)*(Budgets!$B$2:$B$200&lt;=$A113)),Budgets!$C$2:$C$200),0))</f>
        <v/>
      </c>
      <c r="AU113" s="88">
        <f>IF(OR(AU$1="",$BE113=0),"",IFERROR(LOOKUP(2,1/((Budgets!$A$2:$A$200=AU$1)*(Budgets!$B$2:$B$200&lt;=$A113)),Budgets!$C$2:$C$200),0))</f>
        <v/>
      </c>
      <c r="AV113" s="88">
        <f>IF(OR(AV$1="",$BE113=0),"",IFERROR(LOOKUP(2,1/((Budgets!$A$2:$A$200=AV$1)*(Budgets!$B$2:$B$200&lt;=$A113)),Budgets!$C$2:$C$200),0))</f>
        <v/>
      </c>
      <c r="AW113" s="88">
        <f>IF(OR(AW$1="",$BE113=0),"",IFERROR(LOOKUP(2,1/((Budgets!$A$2:$A$200=AW$1)*(Budgets!$B$2:$B$200&lt;=$A113)),Budgets!$C$2:$C$200),0))</f>
        <v/>
      </c>
      <c r="AX113" s="88">
        <f>IF(OR(AX$1="",$BE113=0),"",IFERROR(LOOKUP(2,1/((Budgets!$A$2:$A$200=AX$1)*(Budgets!$B$2:$B$200&lt;=$A113)),Budgets!$C$2:$C$200),0))</f>
        <v/>
      </c>
      <c r="AY113" s="88">
        <f>IF(OR(AY$1="",$BE113=0),"",IFERROR(LOOKUP(2,1/((Budgets!$A$2:$A$200=AY$1)*(Budgets!$B$2:$B$200&lt;=$A113)),Budgets!$C$2:$C$200),0))</f>
        <v/>
      </c>
      <c r="AZ113" s="88">
        <f>IF(OR(AZ$1="",$BE113=0),"",IFERROR(LOOKUP(2,1/((Budgets!$A$2:$A$200=AZ$1)*(Budgets!$B$2:$B$200&lt;=$A113)),Budgets!$C$2:$C$200),0))</f>
        <v/>
      </c>
      <c r="BA113" s="88">
        <f>IF(OR(BA$1="",$BE113=0),"",IFERROR(LOOKUP(2,1/((Budgets!$A$2:$A$200=BA$1)*(Budgets!$B$2:$B$200&lt;=$A113)),Budgets!$C$2:$C$200),0))</f>
        <v/>
      </c>
      <c r="BB113" s="88">
        <f>IF(OR(BB$1="",$BE113=0),"",IFERROR(LOOKUP(2,1/((Budgets!$A$2:$A$200=BB$1)*(Budgets!$B$2:$B$200&lt;=$A113)),Budgets!$C$2:$C$200),0))</f>
        <v/>
      </c>
      <c r="BC113" s="88">
        <f>IF(OR(BC$1="",$BE113=0),"",IFERROR(LOOKUP(2,1/((Budgets!$A$2:$A$200=BC$1)*(Budgets!$B$2:$B$200&lt;=$A113)),Budgets!$C$2:$C$200),0))</f>
        <v/>
      </c>
      <c r="BE113" s="67">
        <f>COUNTIFS(Entries!$A$2:$A$5000,$A113)</f>
        <v/>
      </c>
    </row>
    <row r="114" ht="15" customHeight="1" s="43">
      <c r="A114" s="87" t="n">
        <v>42856</v>
      </c>
      <c r="B114" s="88">
        <f>IF($BE114=0,NA(),SUMIFS(Entries!$D$2:$D$5000,Entries!$C$2:$C$5000,"Income",Entries!$A$2:$A$5000,$A114))</f>
        <v/>
      </c>
      <c r="C114" s="88">
        <f>IF($BE114=0,"",SUMIFS(Entries!$D$2:$D$5000,Entries!$C$2:$C$5000,"Actual",Entries!$A$2:$A$5000,$A114))</f>
        <v/>
      </c>
      <c r="D114" s="88">
        <f>IF($BE114=0,"",SUMIFS(Entries!$D$2:$D$5000,Entries!$C$2:$C$5000,"One-off",Entries!$A$2:$A$5000,$A114))</f>
        <v/>
      </c>
      <c r="E114" s="88">
        <f>IF($BE114=0,NA(),C114+D114)</f>
        <v/>
      </c>
      <c r="F114" s="88">
        <f>IF($BE114=0,"",SUM(AJ114:BC114))</f>
        <v/>
      </c>
      <c r="G114" s="88">
        <f>IF($BE114=0,"",B114-E114)</f>
        <v/>
      </c>
      <c r="H114" s="88">
        <f>IF($BE114=0,"",SUM($G$2:G114))</f>
        <v/>
      </c>
      <c r="I114" s="88">
        <f>IF($BE114=0,"",SUMIFS(Entries!$F$2:$F$5000,Entries!$A$2:$A$5000,$A114))</f>
        <v/>
      </c>
      <c r="J114" s="88">
        <f>IF($BE114=0,NA(),H114+SUM($I$2:I114))</f>
        <v/>
      </c>
      <c r="K114" s="88">
        <f>IF($BE114=0,"",SUMIFS(Entries!$D$2:$D$5000,Entries!$C$2:$C$5000,"Income",Entries!$A$2:$A$5000,"&gt;="&amp;EDATE($A114,-11),Entries!$A$2:$A$5000,"&lt;="&amp;$A114)/12)</f>
        <v/>
      </c>
      <c r="L114" s="88">
        <f>IF($BE114=0,"",(SUMIFS(Entries!$D$2:$D$5000,Entries!$C$2:$C$5000,"Actual",Entries!$A$2:$A$5000,"&gt;="&amp;EDATE($A114,-11),Entries!$A$2:$A$5000,"&lt;="&amp;$A114)+SUMIFS(Entries!$D$2:$D$5000,Entries!$C$2:$C$5000,"One-off",Entries!$A$2:$A$5000,"&gt;="&amp;EDATE($A114,-11),Entries!$A$2:$A$5000,"&lt;="&amp;$A114))/12)</f>
        <v/>
      </c>
      <c r="M114" s="70">
        <f>IF($BE114=0,NA(),IFERROR((K114-L114)/K114,0))</f>
        <v/>
      </c>
      <c r="O114" s="88">
        <f>IF(OR(O$1="",$BE114=0),"",SUMIFS(Entries!$D$2:$D$5000,Entries!$C$2:$C$5000,"Actual",Entries!$A$2:$A$5000,$A114,Entries!$B$2:$B$5000,O$1))</f>
        <v/>
      </c>
      <c r="P114" s="88">
        <f>IF(OR(P$1="",$BE114=0),"",SUMIFS(Entries!$D$2:$D$5000,Entries!$C$2:$C$5000,"Actual",Entries!$A$2:$A$5000,$A114,Entries!$B$2:$B$5000,P$1))</f>
        <v/>
      </c>
      <c r="Q114" s="88">
        <f>IF(OR(Q$1="",$BE114=0),"",SUMIFS(Entries!$D$2:$D$5000,Entries!$C$2:$C$5000,"Actual",Entries!$A$2:$A$5000,$A114,Entries!$B$2:$B$5000,Q$1))</f>
        <v/>
      </c>
      <c r="R114" s="88">
        <f>IF(OR(R$1="",$BE114=0),"",SUMIFS(Entries!$D$2:$D$5000,Entries!$C$2:$C$5000,"Actual",Entries!$A$2:$A$5000,$A114,Entries!$B$2:$B$5000,R$1))</f>
        <v/>
      </c>
      <c r="S114" s="88">
        <f>IF(OR(S$1="",$BE114=0),"",SUMIFS(Entries!$D$2:$D$5000,Entries!$C$2:$C$5000,"Actual",Entries!$A$2:$A$5000,$A114,Entries!$B$2:$B$5000,S$1))</f>
        <v/>
      </c>
      <c r="T114" s="88">
        <f>IF(OR(T$1="",$BE114=0),"",SUMIFS(Entries!$D$2:$D$5000,Entries!$C$2:$C$5000,"Actual",Entries!$A$2:$A$5000,$A114,Entries!$B$2:$B$5000,T$1))</f>
        <v/>
      </c>
      <c r="U114" s="88">
        <f>IF(OR(U$1="",$BE114=0),"",SUMIFS(Entries!$D$2:$D$5000,Entries!$C$2:$C$5000,"Actual",Entries!$A$2:$A$5000,$A114,Entries!$B$2:$B$5000,U$1))</f>
        <v/>
      </c>
      <c r="V114" s="88">
        <f>IF(OR(V$1="",$BE114=0),"",SUMIFS(Entries!$D$2:$D$5000,Entries!$C$2:$C$5000,"Actual",Entries!$A$2:$A$5000,$A114,Entries!$B$2:$B$5000,V$1))</f>
        <v/>
      </c>
      <c r="W114" s="88">
        <f>IF(OR(W$1="",$BE114=0),"",SUMIFS(Entries!$D$2:$D$5000,Entries!$C$2:$C$5000,"Actual",Entries!$A$2:$A$5000,$A114,Entries!$B$2:$B$5000,W$1))</f>
        <v/>
      </c>
      <c r="X114" s="88">
        <f>IF(OR(X$1="",$BE114=0),"",SUMIFS(Entries!$D$2:$D$5000,Entries!$C$2:$C$5000,"Actual",Entries!$A$2:$A$5000,$A114,Entries!$B$2:$B$5000,X$1))</f>
        <v/>
      </c>
      <c r="Y114" s="88">
        <f>IF(OR(Y$1="",$BE114=0),"",SUMIFS(Entries!$D$2:$D$5000,Entries!$C$2:$C$5000,"Actual",Entries!$A$2:$A$5000,$A114,Entries!$B$2:$B$5000,Y$1))</f>
        <v/>
      </c>
      <c r="Z114" s="88">
        <f>IF(OR(Z$1="",$BE114=0),"",SUMIFS(Entries!$D$2:$D$5000,Entries!$C$2:$C$5000,"Actual",Entries!$A$2:$A$5000,$A114,Entries!$B$2:$B$5000,Z$1))</f>
        <v/>
      </c>
      <c r="AA114" s="88">
        <f>IF(OR(AA$1="",$BE114=0),"",SUMIFS(Entries!$D$2:$D$5000,Entries!$C$2:$C$5000,"Actual",Entries!$A$2:$A$5000,$A114,Entries!$B$2:$B$5000,AA$1))</f>
        <v/>
      </c>
      <c r="AB114" s="88">
        <f>IF(OR(AB$1="",$BE114=0),"",SUMIFS(Entries!$D$2:$D$5000,Entries!$C$2:$C$5000,"Actual",Entries!$A$2:$A$5000,$A114,Entries!$B$2:$B$5000,AB$1))</f>
        <v/>
      </c>
      <c r="AC114" s="88">
        <f>IF(OR(AC$1="",$BE114=0),"",SUMIFS(Entries!$D$2:$D$5000,Entries!$C$2:$C$5000,"Actual",Entries!$A$2:$A$5000,$A114,Entries!$B$2:$B$5000,AC$1))</f>
        <v/>
      </c>
      <c r="AD114" s="88">
        <f>IF(OR(AD$1="",$BE114=0),"",SUMIFS(Entries!$D$2:$D$5000,Entries!$C$2:$C$5000,"Actual",Entries!$A$2:$A$5000,$A114,Entries!$B$2:$B$5000,AD$1))</f>
        <v/>
      </c>
      <c r="AE114" s="88">
        <f>IF(OR(AE$1="",$BE114=0),"",SUMIFS(Entries!$D$2:$D$5000,Entries!$C$2:$C$5000,"Actual",Entries!$A$2:$A$5000,$A114,Entries!$B$2:$B$5000,AE$1))</f>
        <v/>
      </c>
      <c r="AF114" s="88">
        <f>IF(OR(AF$1="",$BE114=0),"",SUMIFS(Entries!$D$2:$D$5000,Entries!$C$2:$C$5000,"Actual",Entries!$A$2:$A$5000,$A114,Entries!$B$2:$B$5000,AF$1))</f>
        <v/>
      </c>
      <c r="AG114" s="88">
        <f>IF(OR(AG$1="",$BE114=0),"",SUMIFS(Entries!$D$2:$D$5000,Entries!$C$2:$C$5000,"Actual",Entries!$A$2:$A$5000,$A114,Entries!$B$2:$B$5000,AG$1))</f>
        <v/>
      </c>
      <c r="AH114" s="88">
        <f>IF(OR(AH$1="",$BE114=0),"",SUMIFS(Entries!$D$2:$D$5000,Entries!$C$2:$C$5000,"Actual",Entries!$A$2:$A$5000,$A114,Entries!$B$2:$B$5000,AH$1))</f>
        <v/>
      </c>
      <c r="AJ114" s="88">
        <f>IF(OR(AJ$1="",$BE114=0),"",IFERROR(LOOKUP(2,1/((Budgets!$A$2:$A$200=AJ$1)*(Budgets!$B$2:$B$200&lt;=$A114)),Budgets!$C$2:$C$200),0))</f>
        <v/>
      </c>
      <c r="AK114" s="88">
        <f>IF(OR(AK$1="",$BE114=0),"",IFERROR(LOOKUP(2,1/((Budgets!$A$2:$A$200=AK$1)*(Budgets!$B$2:$B$200&lt;=$A114)),Budgets!$C$2:$C$200),0))</f>
        <v/>
      </c>
      <c r="AL114" s="88">
        <f>IF(OR(AL$1="",$BE114=0),"",IFERROR(LOOKUP(2,1/((Budgets!$A$2:$A$200=AL$1)*(Budgets!$B$2:$B$200&lt;=$A114)),Budgets!$C$2:$C$200),0))</f>
        <v/>
      </c>
      <c r="AM114" s="88">
        <f>IF(OR(AM$1="",$BE114=0),"",IFERROR(LOOKUP(2,1/((Budgets!$A$2:$A$200=AM$1)*(Budgets!$B$2:$B$200&lt;=$A114)),Budgets!$C$2:$C$200),0))</f>
        <v/>
      </c>
      <c r="AN114" s="88">
        <f>IF(OR(AN$1="",$BE114=0),"",IFERROR(LOOKUP(2,1/((Budgets!$A$2:$A$200=AN$1)*(Budgets!$B$2:$B$200&lt;=$A114)),Budgets!$C$2:$C$200),0))</f>
        <v/>
      </c>
      <c r="AO114" s="88">
        <f>IF(OR(AO$1="",$BE114=0),"",IFERROR(LOOKUP(2,1/((Budgets!$A$2:$A$200=AO$1)*(Budgets!$B$2:$B$200&lt;=$A114)),Budgets!$C$2:$C$200),0))</f>
        <v/>
      </c>
      <c r="AP114" s="88">
        <f>IF(OR(AP$1="",$BE114=0),"",IFERROR(LOOKUP(2,1/((Budgets!$A$2:$A$200=AP$1)*(Budgets!$B$2:$B$200&lt;=$A114)),Budgets!$C$2:$C$200),0))</f>
        <v/>
      </c>
      <c r="AQ114" s="88">
        <f>IF(OR(AQ$1="",$BE114=0),"",IFERROR(LOOKUP(2,1/((Budgets!$A$2:$A$200=AQ$1)*(Budgets!$B$2:$B$200&lt;=$A114)),Budgets!$C$2:$C$200),0))</f>
        <v/>
      </c>
      <c r="AR114" s="88">
        <f>IF(OR(AR$1="",$BE114=0),"",IFERROR(LOOKUP(2,1/((Budgets!$A$2:$A$200=AR$1)*(Budgets!$B$2:$B$200&lt;=$A114)),Budgets!$C$2:$C$200),0))</f>
        <v/>
      </c>
      <c r="AS114" s="88">
        <f>IF(OR(AS$1="",$BE114=0),"",IFERROR(LOOKUP(2,1/((Budgets!$A$2:$A$200=AS$1)*(Budgets!$B$2:$B$200&lt;=$A114)),Budgets!$C$2:$C$200),0))</f>
        <v/>
      </c>
      <c r="AT114" s="88">
        <f>IF(OR(AT$1="",$BE114=0),"",IFERROR(LOOKUP(2,1/((Budgets!$A$2:$A$200=AT$1)*(Budgets!$B$2:$B$200&lt;=$A114)),Budgets!$C$2:$C$200),0))</f>
        <v/>
      </c>
      <c r="AU114" s="88">
        <f>IF(OR(AU$1="",$BE114=0),"",IFERROR(LOOKUP(2,1/((Budgets!$A$2:$A$200=AU$1)*(Budgets!$B$2:$B$200&lt;=$A114)),Budgets!$C$2:$C$200),0))</f>
        <v/>
      </c>
      <c r="AV114" s="88">
        <f>IF(OR(AV$1="",$BE114=0),"",IFERROR(LOOKUP(2,1/((Budgets!$A$2:$A$200=AV$1)*(Budgets!$B$2:$B$200&lt;=$A114)),Budgets!$C$2:$C$200),0))</f>
        <v/>
      </c>
      <c r="AW114" s="88">
        <f>IF(OR(AW$1="",$BE114=0),"",IFERROR(LOOKUP(2,1/((Budgets!$A$2:$A$200=AW$1)*(Budgets!$B$2:$B$200&lt;=$A114)),Budgets!$C$2:$C$200),0))</f>
        <v/>
      </c>
      <c r="AX114" s="88">
        <f>IF(OR(AX$1="",$BE114=0),"",IFERROR(LOOKUP(2,1/((Budgets!$A$2:$A$200=AX$1)*(Budgets!$B$2:$B$200&lt;=$A114)),Budgets!$C$2:$C$200),0))</f>
        <v/>
      </c>
      <c r="AY114" s="88">
        <f>IF(OR(AY$1="",$BE114=0),"",IFERROR(LOOKUP(2,1/((Budgets!$A$2:$A$200=AY$1)*(Budgets!$B$2:$B$200&lt;=$A114)),Budgets!$C$2:$C$200),0))</f>
        <v/>
      </c>
      <c r="AZ114" s="88">
        <f>IF(OR(AZ$1="",$BE114=0),"",IFERROR(LOOKUP(2,1/((Budgets!$A$2:$A$200=AZ$1)*(Budgets!$B$2:$B$200&lt;=$A114)),Budgets!$C$2:$C$200),0))</f>
        <v/>
      </c>
      <c r="BA114" s="88">
        <f>IF(OR(BA$1="",$BE114=0),"",IFERROR(LOOKUP(2,1/((Budgets!$A$2:$A$200=BA$1)*(Budgets!$B$2:$B$200&lt;=$A114)),Budgets!$C$2:$C$200),0))</f>
        <v/>
      </c>
      <c r="BB114" s="88">
        <f>IF(OR(BB$1="",$BE114=0),"",IFERROR(LOOKUP(2,1/((Budgets!$A$2:$A$200=BB$1)*(Budgets!$B$2:$B$200&lt;=$A114)),Budgets!$C$2:$C$200),0))</f>
        <v/>
      </c>
      <c r="BC114" s="88">
        <f>IF(OR(BC$1="",$BE114=0),"",IFERROR(LOOKUP(2,1/((Budgets!$A$2:$A$200=BC$1)*(Budgets!$B$2:$B$200&lt;=$A114)),Budgets!$C$2:$C$200),0))</f>
        <v/>
      </c>
      <c r="BE114" s="67">
        <f>COUNTIFS(Entries!$A$2:$A$5000,$A114)</f>
        <v/>
      </c>
    </row>
    <row r="115" ht="15" customHeight="1" s="43">
      <c r="A115" s="87" t="n">
        <v>42887</v>
      </c>
      <c r="B115" s="88">
        <f>IF($BE115=0,NA(),SUMIFS(Entries!$D$2:$D$5000,Entries!$C$2:$C$5000,"Income",Entries!$A$2:$A$5000,$A115))</f>
        <v/>
      </c>
      <c r="C115" s="88">
        <f>IF($BE115=0,"",SUMIFS(Entries!$D$2:$D$5000,Entries!$C$2:$C$5000,"Actual",Entries!$A$2:$A$5000,$A115))</f>
        <v/>
      </c>
      <c r="D115" s="88">
        <f>IF($BE115=0,"",SUMIFS(Entries!$D$2:$D$5000,Entries!$C$2:$C$5000,"One-off",Entries!$A$2:$A$5000,$A115))</f>
        <v/>
      </c>
      <c r="E115" s="88">
        <f>IF($BE115=0,NA(),C115+D115)</f>
        <v/>
      </c>
      <c r="F115" s="88">
        <f>IF($BE115=0,"",SUM(AJ115:BC115))</f>
        <v/>
      </c>
      <c r="G115" s="88">
        <f>IF($BE115=0,"",B115-E115)</f>
        <v/>
      </c>
      <c r="H115" s="88">
        <f>IF($BE115=0,"",SUM($G$2:G115))</f>
        <v/>
      </c>
      <c r="I115" s="88">
        <f>IF($BE115=0,"",SUMIFS(Entries!$F$2:$F$5000,Entries!$A$2:$A$5000,$A115))</f>
        <v/>
      </c>
      <c r="J115" s="88">
        <f>IF($BE115=0,NA(),H115+SUM($I$2:I115))</f>
        <v/>
      </c>
      <c r="K115" s="88">
        <f>IF($BE115=0,"",SUMIFS(Entries!$D$2:$D$5000,Entries!$C$2:$C$5000,"Income",Entries!$A$2:$A$5000,"&gt;="&amp;EDATE($A115,-11),Entries!$A$2:$A$5000,"&lt;="&amp;$A115)/12)</f>
        <v/>
      </c>
      <c r="L115" s="88">
        <f>IF($BE115=0,"",(SUMIFS(Entries!$D$2:$D$5000,Entries!$C$2:$C$5000,"Actual",Entries!$A$2:$A$5000,"&gt;="&amp;EDATE($A115,-11),Entries!$A$2:$A$5000,"&lt;="&amp;$A115)+SUMIFS(Entries!$D$2:$D$5000,Entries!$C$2:$C$5000,"One-off",Entries!$A$2:$A$5000,"&gt;="&amp;EDATE($A115,-11),Entries!$A$2:$A$5000,"&lt;="&amp;$A115))/12)</f>
        <v/>
      </c>
      <c r="M115" s="70">
        <f>IF($BE115=0,NA(),IFERROR((K115-L115)/K115,0))</f>
        <v/>
      </c>
      <c r="O115" s="88">
        <f>IF(OR(O$1="",$BE115=0),"",SUMIFS(Entries!$D$2:$D$5000,Entries!$C$2:$C$5000,"Actual",Entries!$A$2:$A$5000,$A115,Entries!$B$2:$B$5000,O$1))</f>
        <v/>
      </c>
      <c r="P115" s="88">
        <f>IF(OR(P$1="",$BE115=0),"",SUMIFS(Entries!$D$2:$D$5000,Entries!$C$2:$C$5000,"Actual",Entries!$A$2:$A$5000,$A115,Entries!$B$2:$B$5000,P$1))</f>
        <v/>
      </c>
      <c r="Q115" s="88">
        <f>IF(OR(Q$1="",$BE115=0),"",SUMIFS(Entries!$D$2:$D$5000,Entries!$C$2:$C$5000,"Actual",Entries!$A$2:$A$5000,$A115,Entries!$B$2:$B$5000,Q$1))</f>
        <v/>
      </c>
      <c r="R115" s="88">
        <f>IF(OR(R$1="",$BE115=0),"",SUMIFS(Entries!$D$2:$D$5000,Entries!$C$2:$C$5000,"Actual",Entries!$A$2:$A$5000,$A115,Entries!$B$2:$B$5000,R$1))</f>
        <v/>
      </c>
      <c r="S115" s="88">
        <f>IF(OR(S$1="",$BE115=0),"",SUMIFS(Entries!$D$2:$D$5000,Entries!$C$2:$C$5000,"Actual",Entries!$A$2:$A$5000,$A115,Entries!$B$2:$B$5000,S$1))</f>
        <v/>
      </c>
      <c r="T115" s="88">
        <f>IF(OR(T$1="",$BE115=0),"",SUMIFS(Entries!$D$2:$D$5000,Entries!$C$2:$C$5000,"Actual",Entries!$A$2:$A$5000,$A115,Entries!$B$2:$B$5000,T$1))</f>
        <v/>
      </c>
      <c r="U115" s="88">
        <f>IF(OR(U$1="",$BE115=0),"",SUMIFS(Entries!$D$2:$D$5000,Entries!$C$2:$C$5000,"Actual",Entries!$A$2:$A$5000,$A115,Entries!$B$2:$B$5000,U$1))</f>
        <v/>
      </c>
      <c r="V115" s="88">
        <f>IF(OR(V$1="",$BE115=0),"",SUMIFS(Entries!$D$2:$D$5000,Entries!$C$2:$C$5000,"Actual",Entries!$A$2:$A$5000,$A115,Entries!$B$2:$B$5000,V$1))</f>
        <v/>
      </c>
      <c r="W115" s="88">
        <f>IF(OR(W$1="",$BE115=0),"",SUMIFS(Entries!$D$2:$D$5000,Entries!$C$2:$C$5000,"Actual",Entries!$A$2:$A$5000,$A115,Entries!$B$2:$B$5000,W$1))</f>
        <v/>
      </c>
      <c r="X115" s="88">
        <f>IF(OR(X$1="",$BE115=0),"",SUMIFS(Entries!$D$2:$D$5000,Entries!$C$2:$C$5000,"Actual",Entries!$A$2:$A$5000,$A115,Entries!$B$2:$B$5000,X$1))</f>
        <v/>
      </c>
      <c r="Y115" s="88">
        <f>IF(OR(Y$1="",$BE115=0),"",SUMIFS(Entries!$D$2:$D$5000,Entries!$C$2:$C$5000,"Actual",Entries!$A$2:$A$5000,$A115,Entries!$B$2:$B$5000,Y$1))</f>
        <v/>
      </c>
      <c r="Z115" s="88">
        <f>IF(OR(Z$1="",$BE115=0),"",SUMIFS(Entries!$D$2:$D$5000,Entries!$C$2:$C$5000,"Actual",Entries!$A$2:$A$5000,$A115,Entries!$B$2:$B$5000,Z$1))</f>
        <v/>
      </c>
      <c r="AA115" s="88">
        <f>IF(OR(AA$1="",$BE115=0),"",SUMIFS(Entries!$D$2:$D$5000,Entries!$C$2:$C$5000,"Actual",Entries!$A$2:$A$5000,$A115,Entries!$B$2:$B$5000,AA$1))</f>
        <v/>
      </c>
      <c r="AB115" s="88">
        <f>IF(OR(AB$1="",$BE115=0),"",SUMIFS(Entries!$D$2:$D$5000,Entries!$C$2:$C$5000,"Actual",Entries!$A$2:$A$5000,$A115,Entries!$B$2:$B$5000,AB$1))</f>
        <v/>
      </c>
      <c r="AC115" s="88">
        <f>IF(OR(AC$1="",$BE115=0),"",SUMIFS(Entries!$D$2:$D$5000,Entries!$C$2:$C$5000,"Actual",Entries!$A$2:$A$5000,$A115,Entries!$B$2:$B$5000,AC$1))</f>
        <v/>
      </c>
      <c r="AD115" s="88">
        <f>IF(OR(AD$1="",$BE115=0),"",SUMIFS(Entries!$D$2:$D$5000,Entries!$C$2:$C$5000,"Actual",Entries!$A$2:$A$5000,$A115,Entries!$B$2:$B$5000,AD$1))</f>
        <v/>
      </c>
      <c r="AE115" s="88">
        <f>IF(OR(AE$1="",$BE115=0),"",SUMIFS(Entries!$D$2:$D$5000,Entries!$C$2:$C$5000,"Actual",Entries!$A$2:$A$5000,$A115,Entries!$B$2:$B$5000,AE$1))</f>
        <v/>
      </c>
      <c r="AF115" s="88">
        <f>IF(OR(AF$1="",$BE115=0),"",SUMIFS(Entries!$D$2:$D$5000,Entries!$C$2:$C$5000,"Actual",Entries!$A$2:$A$5000,$A115,Entries!$B$2:$B$5000,AF$1))</f>
        <v/>
      </c>
      <c r="AG115" s="88">
        <f>IF(OR(AG$1="",$BE115=0),"",SUMIFS(Entries!$D$2:$D$5000,Entries!$C$2:$C$5000,"Actual",Entries!$A$2:$A$5000,$A115,Entries!$B$2:$B$5000,AG$1))</f>
        <v/>
      </c>
      <c r="AH115" s="88">
        <f>IF(OR(AH$1="",$BE115=0),"",SUMIFS(Entries!$D$2:$D$5000,Entries!$C$2:$C$5000,"Actual",Entries!$A$2:$A$5000,$A115,Entries!$B$2:$B$5000,AH$1))</f>
        <v/>
      </c>
      <c r="AJ115" s="88">
        <f>IF(OR(AJ$1="",$BE115=0),"",IFERROR(LOOKUP(2,1/((Budgets!$A$2:$A$200=AJ$1)*(Budgets!$B$2:$B$200&lt;=$A115)),Budgets!$C$2:$C$200),0))</f>
        <v/>
      </c>
      <c r="AK115" s="88">
        <f>IF(OR(AK$1="",$BE115=0),"",IFERROR(LOOKUP(2,1/((Budgets!$A$2:$A$200=AK$1)*(Budgets!$B$2:$B$200&lt;=$A115)),Budgets!$C$2:$C$200),0))</f>
        <v/>
      </c>
      <c r="AL115" s="88">
        <f>IF(OR(AL$1="",$BE115=0),"",IFERROR(LOOKUP(2,1/((Budgets!$A$2:$A$200=AL$1)*(Budgets!$B$2:$B$200&lt;=$A115)),Budgets!$C$2:$C$200),0))</f>
        <v/>
      </c>
      <c r="AM115" s="88">
        <f>IF(OR(AM$1="",$BE115=0),"",IFERROR(LOOKUP(2,1/((Budgets!$A$2:$A$200=AM$1)*(Budgets!$B$2:$B$200&lt;=$A115)),Budgets!$C$2:$C$200),0))</f>
        <v/>
      </c>
      <c r="AN115" s="88">
        <f>IF(OR(AN$1="",$BE115=0),"",IFERROR(LOOKUP(2,1/((Budgets!$A$2:$A$200=AN$1)*(Budgets!$B$2:$B$200&lt;=$A115)),Budgets!$C$2:$C$200),0))</f>
        <v/>
      </c>
      <c r="AO115" s="88">
        <f>IF(OR(AO$1="",$BE115=0),"",IFERROR(LOOKUP(2,1/((Budgets!$A$2:$A$200=AO$1)*(Budgets!$B$2:$B$200&lt;=$A115)),Budgets!$C$2:$C$200),0))</f>
        <v/>
      </c>
      <c r="AP115" s="88">
        <f>IF(OR(AP$1="",$BE115=0),"",IFERROR(LOOKUP(2,1/((Budgets!$A$2:$A$200=AP$1)*(Budgets!$B$2:$B$200&lt;=$A115)),Budgets!$C$2:$C$200),0))</f>
        <v/>
      </c>
      <c r="AQ115" s="88">
        <f>IF(OR(AQ$1="",$BE115=0),"",IFERROR(LOOKUP(2,1/((Budgets!$A$2:$A$200=AQ$1)*(Budgets!$B$2:$B$200&lt;=$A115)),Budgets!$C$2:$C$200),0))</f>
        <v/>
      </c>
      <c r="AR115" s="88">
        <f>IF(OR(AR$1="",$BE115=0),"",IFERROR(LOOKUP(2,1/((Budgets!$A$2:$A$200=AR$1)*(Budgets!$B$2:$B$200&lt;=$A115)),Budgets!$C$2:$C$200),0))</f>
        <v/>
      </c>
      <c r="AS115" s="88">
        <f>IF(OR(AS$1="",$BE115=0),"",IFERROR(LOOKUP(2,1/((Budgets!$A$2:$A$200=AS$1)*(Budgets!$B$2:$B$200&lt;=$A115)),Budgets!$C$2:$C$200),0))</f>
        <v/>
      </c>
      <c r="AT115" s="88">
        <f>IF(OR(AT$1="",$BE115=0),"",IFERROR(LOOKUP(2,1/((Budgets!$A$2:$A$200=AT$1)*(Budgets!$B$2:$B$200&lt;=$A115)),Budgets!$C$2:$C$200),0))</f>
        <v/>
      </c>
      <c r="AU115" s="88">
        <f>IF(OR(AU$1="",$BE115=0),"",IFERROR(LOOKUP(2,1/((Budgets!$A$2:$A$200=AU$1)*(Budgets!$B$2:$B$200&lt;=$A115)),Budgets!$C$2:$C$200),0))</f>
        <v/>
      </c>
      <c r="AV115" s="88">
        <f>IF(OR(AV$1="",$BE115=0),"",IFERROR(LOOKUP(2,1/((Budgets!$A$2:$A$200=AV$1)*(Budgets!$B$2:$B$200&lt;=$A115)),Budgets!$C$2:$C$200),0))</f>
        <v/>
      </c>
      <c r="AW115" s="88">
        <f>IF(OR(AW$1="",$BE115=0),"",IFERROR(LOOKUP(2,1/((Budgets!$A$2:$A$200=AW$1)*(Budgets!$B$2:$B$200&lt;=$A115)),Budgets!$C$2:$C$200),0))</f>
        <v/>
      </c>
      <c r="AX115" s="88">
        <f>IF(OR(AX$1="",$BE115=0),"",IFERROR(LOOKUP(2,1/((Budgets!$A$2:$A$200=AX$1)*(Budgets!$B$2:$B$200&lt;=$A115)),Budgets!$C$2:$C$200),0))</f>
        <v/>
      </c>
      <c r="AY115" s="88">
        <f>IF(OR(AY$1="",$BE115=0),"",IFERROR(LOOKUP(2,1/((Budgets!$A$2:$A$200=AY$1)*(Budgets!$B$2:$B$200&lt;=$A115)),Budgets!$C$2:$C$200),0))</f>
        <v/>
      </c>
      <c r="AZ115" s="88">
        <f>IF(OR(AZ$1="",$BE115=0),"",IFERROR(LOOKUP(2,1/((Budgets!$A$2:$A$200=AZ$1)*(Budgets!$B$2:$B$200&lt;=$A115)),Budgets!$C$2:$C$200),0))</f>
        <v/>
      </c>
      <c r="BA115" s="88">
        <f>IF(OR(BA$1="",$BE115=0),"",IFERROR(LOOKUP(2,1/((Budgets!$A$2:$A$200=BA$1)*(Budgets!$B$2:$B$200&lt;=$A115)),Budgets!$C$2:$C$200),0))</f>
        <v/>
      </c>
      <c r="BB115" s="88">
        <f>IF(OR(BB$1="",$BE115=0),"",IFERROR(LOOKUP(2,1/((Budgets!$A$2:$A$200=BB$1)*(Budgets!$B$2:$B$200&lt;=$A115)),Budgets!$C$2:$C$200),0))</f>
        <v/>
      </c>
      <c r="BC115" s="88">
        <f>IF(OR(BC$1="",$BE115=0),"",IFERROR(LOOKUP(2,1/((Budgets!$A$2:$A$200=BC$1)*(Budgets!$B$2:$B$200&lt;=$A115)),Budgets!$C$2:$C$200),0))</f>
        <v/>
      </c>
      <c r="BE115" s="67">
        <f>COUNTIFS(Entries!$A$2:$A$5000,$A115)</f>
        <v/>
      </c>
    </row>
    <row r="116" ht="15" customHeight="1" s="43">
      <c r="A116" s="87" t="n">
        <v>42917</v>
      </c>
      <c r="B116" s="88">
        <f>IF($BE116=0,NA(),SUMIFS(Entries!$D$2:$D$5000,Entries!$C$2:$C$5000,"Income",Entries!$A$2:$A$5000,$A116))</f>
        <v/>
      </c>
      <c r="C116" s="88">
        <f>IF($BE116=0,"",SUMIFS(Entries!$D$2:$D$5000,Entries!$C$2:$C$5000,"Actual",Entries!$A$2:$A$5000,$A116))</f>
        <v/>
      </c>
      <c r="D116" s="88">
        <f>IF($BE116=0,"",SUMIFS(Entries!$D$2:$D$5000,Entries!$C$2:$C$5000,"One-off",Entries!$A$2:$A$5000,$A116))</f>
        <v/>
      </c>
      <c r="E116" s="88">
        <f>IF($BE116=0,NA(),C116+D116)</f>
        <v/>
      </c>
      <c r="F116" s="88">
        <f>IF($BE116=0,"",SUM(AJ116:BC116))</f>
        <v/>
      </c>
      <c r="G116" s="88">
        <f>IF($BE116=0,"",B116-E116)</f>
        <v/>
      </c>
      <c r="H116" s="88">
        <f>IF($BE116=0,"",SUM($G$2:G116))</f>
        <v/>
      </c>
      <c r="I116" s="88">
        <f>IF($BE116=0,"",SUMIFS(Entries!$F$2:$F$5000,Entries!$A$2:$A$5000,$A116))</f>
        <v/>
      </c>
      <c r="J116" s="88">
        <f>IF($BE116=0,NA(),H116+SUM($I$2:I116))</f>
        <v/>
      </c>
      <c r="K116" s="88">
        <f>IF($BE116=0,"",SUMIFS(Entries!$D$2:$D$5000,Entries!$C$2:$C$5000,"Income",Entries!$A$2:$A$5000,"&gt;="&amp;EDATE($A116,-11),Entries!$A$2:$A$5000,"&lt;="&amp;$A116)/12)</f>
        <v/>
      </c>
      <c r="L116" s="88">
        <f>IF($BE116=0,"",(SUMIFS(Entries!$D$2:$D$5000,Entries!$C$2:$C$5000,"Actual",Entries!$A$2:$A$5000,"&gt;="&amp;EDATE($A116,-11),Entries!$A$2:$A$5000,"&lt;="&amp;$A116)+SUMIFS(Entries!$D$2:$D$5000,Entries!$C$2:$C$5000,"One-off",Entries!$A$2:$A$5000,"&gt;="&amp;EDATE($A116,-11),Entries!$A$2:$A$5000,"&lt;="&amp;$A116))/12)</f>
        <v/>
      </c>
      <c r="M116" s="70">
        <f>IF($BE116=0,NA(),IFERROR((K116-L116)/K116,0))</f>
        <v/>
      </c>
      <c r="O116" s="88">
        <f>IF(OR(O$1="",$BE116=0),"",SUMIFS(Entries!$D$2:$D$5000,Entries!$C$2:$C$5000,"Actual",Entries!$A$2:$A$5000,$A116,Entries!$B$2:$B$5000,O$1))</f>
        <v/>
      </c>
      <c r="P116" s="88">
        <f>IF(OR(P$1="",$BE116=0),"",SUMIFS(Entries!$D$2:$D$5000,Entries!$C$2:$C$5000,"Actual",Entries!$A$2:$A$5000,$A116,Entries!$B$2:$B$5000,P$1))</f>
        <v/>
      </c>
      <c r="Q116" s="88">
        <f>IF(OR(Q$1="",$BE116=0),"",SUMIFS(Entries!$D$2:$D$5000,Entries!$C$2:$C$5000,"Actual",Entries!$A$2:$A$5000,$A116,Entries!$B$2:$B$5000,Q$1))</f>
        <v/>
      </c>
      <c r="R116" s="88">
        <f>IF(OR(R$1="",$BE116=0),"",SUMIFS(Entries!$D$2:$D$5000,Entries!$C$2:$C$5000,"Actual",Entries!$A$2:$A$5000,$A116,Entries!$B$2:$B$5000,R$1))</f>
        <v/>
      </c>
      <c r="S116" s="88">
        <f>IF(OR(S$1="",$BE116=0),"",SUMIFS(Entries!$D$2:$D$5000,Entries!$C$2:$C$5000,"Actual",Entries!$A$2:$A$5000,$A116,Entries!$B$2:$B$5000,S$1))</f>
        <v/>
      </c>
      <c r="T116" s="88">
        <f>IF(OR(T$1="",$BE116=0),"",SUMIFS(Entries!$D$2:$D$5000,Entries!$C$2:$C$5000,"Actual",Entries!$A$2:$A$5000,$A116,Entries!$B$2:$B$5000,T$1))</f>
        <v/>
      </c>
      <c r="U116" s="88">
        <f>IF(OR(U$1="",$BE116=0),"",SUMIFS(Entries!$D$2:$D$5000,Entries!$C$2:$C$5000,"Actual",Entries!$A$2:$A$5000,$A116,Entries!$B$2:$B$5000,U$1))</f>
        <v/>
      </c>
      <c r="V116" s="88">
        <f>IF(OR(V$1="",$BE116=0),"",SUMIFS(Entries!$D$2:$D$5000,Entries!$C$2:$C$5000,"Actual",Entries!$A$2:$A$5000,$A116,Entries!$B$2:$B$5000,V$1))</f>
        <v/>
      </c>
      <c r="W116" s="88">
        <f>IF(OR(W$1="",$BE116=0),"",SUMIFS(Entries!$D$2:$D$5000,Entries!$C$2:$C$5000,"Actual",Entries!$A$2:$A$5000,$A116,Entries!$B$2:$B$5000,W$1))</f>
        <v/>
      </c>
      <c r="X116" s="88">
        <f>IF(OR(X$1="",$BE116=0),"",SUMIFS(Entries!$D$2:$D$5000,Entries!$C$2:$C$5000,"Actual",Entries!$A$2:$A$5000,$A116,Entries!$B$2:$B$5000,X$1))</f>
        <v/>
      </c>
      <c r="Y116" s="88">
        <f>IF(OR(Y$1="",$BE116=0),"",SUMIFS(Entries!$D$2:$D$5000,Entries!$C$2:$C$5000,"Actual",Entries!$A$2:$A$5000,$A116,Entries!$B$2:$B$5000,Y$1))</f>
        <v/>
      </c>
      <c r="Z116" s="88">
        <f>IF(OR(Z$1="",$BE116=0),"",SUMIFS(Entries!$D$2:$D$5000,Entries!$C$2:$C$5000,"Actual",Entries!$A$2:$A$5000,$A116,Entries!$B$2:$B$5000,Z$1))</f>
        <v/>
      </c>
      <c r="AA116" s="88">
        <f>IF(OR(AA$1="",$BE116=0),"",SUMIFS(Entries!$D$2:$D$5000,Entries!$C$2:$C$5000,"Actual",Entries!$A$2:$A$5000,$A116,Entries!$B$2:$B$5000,AA$1))</f>
        <v/>
      </c>
      <c r="AB116" s="88">
        <f>IF(OR(AB$1="",$BE116=0),"",SUMIFS(Entries!$D$2:$D$5000,Entries!$C$2:$C$5000,"Actual",Entries!$A$2:$A$5000,$A116,Entries!$B$2:$B$5000,AB$1))</f>
        <v/>
      </c>
      <c r="AC116" s="88">
        <f>IF(OR(AC$1="",$BE116=0),"",SUMIFS(Entries!$D$2:$D$5000,Entries!$C$2:$C$5000,"Actual",Entries!$A$2:$A$5000,$A116,Entries!$B$2:$B$5000,AC$1))</f>
        <v/>
      </c>
      <c r="AD116" s="88">
        <f>IF(OR(AD$1="",$BE116=0),"",SUMIFS(Entries!$D$2:$D$5000,Entries!$C$2:$C$5000,"Actual",Entries!$A$2:$A$5000,$A116,Entries!$B$2:$B$5000,AD$1))</f>
        <v/>
      </c>
      <c r="AE116" s="88">
        <f>IF(OR(AE$1="",$BE116=0),"",SUMIFS(Entries!$D$2:$D$5000,Entries!$C$2:$C$5000,"Actual",Entries!$A$2:$A$5000,$A116,Entries!$B$2:$B$5000,AE$1))</f>
        <v/>
      </c>
      <c r="AF116" s="88">
        <f>IF(OR(AF$1="",$BE116=0),"",SUMIFS(Entries!$D$2:$D$5000,Entries!$C$2:$C$5000,"Actual",Entries!$A$2:$A$5000,$A116,Entries!$B$2:$B$5000,AF$1))</f>
        <v/>
      </c>
      <c r="AG116" s="88">
        <f>IF(OR(AG$1="",$BE116=0),"",SUMIFS(Entries!$D$2:$D$5000,Entries!$C$2:$C$5000,"Actual",Entries!$A$2:$A$5000,$A116,Entries!$B$2:$B$5000,AG$1))</f>
        <v/>
      </c>
      <c r="AH116" s="88">
        <f>IF(OR(AH$1="",$BE116=0),"",SUMIFS(Entries!$D$2:$D$5000,Entries!$C$2:$C$5000,"Actual",Entries!$A$2:$A$5000,$A116,Entries!$B$2:$B$5000,AH$1))</f>
        <v/>
      </c>
      <c r="AJ116" s="88">
        <f>IF(OR(AJ$1="",$BE116=0),"",IFERROR(LOOKUP(2,1/((Budgets!$A$2:$A$200=AJ$1)*(Budgets!$B$2:$B$200&lt;=$A116)),Budgets!$C$2:$C$200),0))</f>
        <v/>
      </c>
      <c r="AK116" s="88">
        <f>IF(OR(AK$1="",$BE116=0),"",IFERROR(LOOKUP(2,1/((Budgets!$A$2:$A$200=AK$1)*(Budgets!$B$2:$B$200&lt;=$A116)),Budgets!$C$2:$C$200),0))</f>
        <v/>
      </c>
      <c r="AL116" s="88">
        <f>IF(OR(AL$1="",$BE116=0),"",IFERROR(LOOKUP(2,1/((Budgets!$A$2:$A$200=AL$1)*(Budgets!$B$2:$B$200&lt;=$A116)),Budgets!$C$2:$C$200),0))</f>
        <v/>
      </c>
      <c r="AM116" s="88">
        <f>IF(OR(AM$1="",$BE116=0),"",IFERROR(LOOKUP(2,1/((Budgets!$A$2:$A$200=AM$1)*(Budgets!$B$2:$B$200&lt;=$A116)),Budgets!$C$2:$C$200),0))</f>
        <v/>
      </c>
      <c r="AN116" s="88">
        <f>IF(OR(AN$1="",$BE116=0),"",IFERROR(LOOKUP(2,1/((Budgets!$A$2:$A$200=AN$1)*(Budgets!$B$2:$B$200&lt;=$A116)),Budgets!$C$2:$C$200),0))</f>
        <v/>
      </c>
      <c r="AO116" s="88">
        <f>IF(OR(AO$1="",$BE116=0),"",IFERROR(LOOKUP(2,1/((Budgets!$A$2:$A$200=AO$1)*(Budgets!$B$2:$B$200&lt;=$A116)),Budgets!$C$2:$C$200),0))</f>
        <v/>
      </c>
      <c r="AP116" s="88">
        <f>IF(OR(AP$1="",$BE116=0),"",IFERROR(LOOKUP(2,1/((Budgets!$A$2:$A$200=AP$1)*(Budgets!$B$2:$B$200&lt;=$A116)),Budgets!$C$2:$C$200),0))</f>
        <v/>
      </c>
      <c r="AQ116" s="88">
        <f>IF(OR(AQ$1="",$BE116=0),"",IFERROR(LOOKUP(2,1/((Budgets!$A$2:$A$200=AQ$1)*(Budgets!$B$2:$B$200&lt;=$A116)),Budgets!$C$2:$C$200),0))</f>
        <v/>
      </c>
      <c r="AR116" s="88">
        <f>IF(OR(AR$1="",$BE116=0),"",IFERROR(LOOKUP(2,1/((Budgets!$A$2:$A$200=AR$1)*(Budgets!$B$2:$B$200&lt;=$A116)),Budgets!$C$2:$C$200),0))</f>
        <v/>
      </c>
      <c r="AS116" s="88">
        <f>IF(OR(AS$1="",$BE116=0),"",IFERROR(LOOKUP(2,1/((Budgets!$A$2:$A$200=AS$1)*(Budgets!$B$2:$B$200&lt;=$A116)),Budgets!$C$2:$C$200),0))</f>
        <v/>
      </c>
      <c r="AT116" s="88">
        <f>IF(OR(AT$1="",$BE116=0),"",IFERROR(LOOKUP(2,1/((Budgets!$A$2:$A$200=AT$1)*(Budgets!$B$2:$B$200&lt;=$A116)),Budgets!$C$2:$C$200),0))</f>
        <v/>
      </c>
      <c r="AU116" s="88">
        <f>IF(OR(AU$1="",$BE116=0),"",IFERROR(LOOKUP(2,1/((Budgets!$A$2:$A$200=AU$1)*(Budgets!$B$2:$B$200&lt;=$A116)),Budgets!$C$2:$C$200),0))</f>
        <v/>
      </c>
      <c r="AV116" s="88">
        <f>IF(OR(AV$1="",$BE116=0),"",IFERROR(LOOKUP(2,1/((Budgets!$A$2:$A$200=AV$1)*(Budgets!$B$2:$B$200&lt;=$A116)),Budgets!$C$2:$C$200),0))</f>
        <v/>
      </c>
      <c r="AW116" s="88">
        <f>IF(OR(AW$1="",$BE116=0),"",IFERROR(LOOKUP(2,1/((Budgets!$A$2:$A$200=AW$1)*(Budgets!$B$2:$B$200&lt;=$A116)),Budgets!$C$2:$C$200),0))</f>
        <v/>
      </c>
      <c r="AX116" s="88">
        <f>IF(OR(AX$1="",$BE116=0),"",IFERROR(LOOKUP(2,1/((Budgets!$A$2:$A$200=AX$1)*(Budgets!$B$2:$B$200&lt;=$A116)),Budgets!$C$2:$C$200),0))</f>
        <v/>
      </c>
      <c r="AY116" s="88">
        <f>IF(OR(AY$1="",$BE116=0),"",IFERROR(LOOKUP(2,1/((Budgets!$A$2:$A$200=AY$1)*(Budgets!$B$2:$B$200&lt;=$A116)),Budgets!$C$2:$C$200),0))</f>
        <v/>
      </c>
      <c r="AZ116" s="88">
        <f>IF(OR(AZ$1="",$BE116=0),"",IFERROR(LOOKUP(2,1/((Budgets!$A$2:$A$200=AZ$1)*(Budgets!$B$2:$B$200&lt;=$A116)),Budgets!$C$2:$C$200),0))</f>
        <v/>
      </c>
      <c r="BA116" s="88">
        <f>IF(OR(BA$1="",$BE116=0),"",IFERROR(LOOKUP(2,1/((Budgets!$A$2:$A$200=BA$1)*(Budgets!$B$2:$B$200&lt;=$A116)),Budgets!$C$2:$C$200),0))</f>
        <v/>
      </c>
      <c r="BB116" s="88">
        <f>IF(OR(BB$1="",$BE116=0),"",IFERROR(LOOKUP(2,1/((Budgets!$A$2:$A$200=BB$1)*(Budgets!$B$2:$B$200&lt;=$A116)),Budgets!$C$2:$C$200),0))</f>
        <v/>
      </c>
      <c r="BC116" s="88">
        <f>IF(OR(BC$1="",$BE116=0),"",IFERROR(LOOKUP(2,1/((Budgets!$A$2:$A$200=BC$1)*(Budgets!$B$2:$B$200&lt;=$A116)),Budgets!$C$2:$C$200),0))</f>
        <v/>
      </c>
      <c r="BE116" s="67">
        <f>COUNTIFS(Entries!$A$2:$A$5000,$A116)</f>
        <v/>
      </c>
    </row>
    <row r="117" ht="15" customHeight="1" s="43">
      <c r="A117" s="87" t="n">
        <v>42948</v>
      </c>
      <c r="B117" s="88">
        <f>IF($BE117=0,NA(),SUMIFS(Entries!$D$2:$D$5000,Entries!$C$2:$C$5000,"Income",Entries!$A$2:$A$5000,$A117))</f>
        <v/>
      </c>
      <c r="C117" s="88">
        <f>IF($BE117=0,"",SUMIFS(Entries!$D$2:$D$5000,Entries!$C$2:$C$5000,"Actual",Entries!$A$2:$A$5000,$A117))</f>
        <v/>
      </c>
      <c r="D117" s="88">
        <f>IF($BE117=0,"",SUMIFS(Entries!$D$2:$D$5000,Entries!$C$2:$C$5000,"One-off",Entries!$A$2:$A$5000,$A117))</f>
        <v/>
      </c>
      <c r="E117" s="88">
        <f>IF($BE117=0,NA(),C117+D117)</f>
        <v/>
      </c>
      <c r="F117" s="88">
        <f>IF($BE117=0,"",SUM(AJ117:BC117))</f>
        <v/>
      </c>
      <c r="G117" s="88">
        <f>IF($BE117=0,"",B117-E117)</f>
        <v/>
      </c>
      <c r="H117" s="88">
        <f>IF($BE117=0,"",SUM($G$2:G117))</f>
        <v/>
      </c>
      <c r="I117" s="88">
        <f>IF($BE117=0,"",SUMIFS(Entries!$F$2:$F$5000,Entries!$A$2:$A$5000,$A117))</f>
        <v/>
      </c>
      <c r="J117" s="88">
        <f>IF($BE117=0,NA(),H117+SUM($I$2:I117))</f>
        <v/>
      </c>
      <c r="K117" s="88">
        <f>IF($BE117=0,"",SUMIFS(Entries!$D$2:$D$5000,Entries!$C$2:$C$5000,"Income",Entries!$A$2:$A$5000,"&gt;="&amp;EDATE($A117,-11),Entries!$A$2:$A$5000,"&lt;="&amp;$A117)/12)</f>
        <v/>
      </c>
      <c r="L117" s="88">
        <f>IF($BE117=0,"",(SUMIFS(Entries!$D$2:$D$5000,Entries!$C$2:$C$5000,"Actual",Entries!$A$2:$A$5000,"&gt;="&amp;EDATE($A117,-11),Entries!$A$2:$A$5000,"&lt;="&amp;$A117)+SUMIFS(Entries!$D$2:$D$5000,Entries!$C$2:$C$5000,"One-off",Entries!$A$2:$A$5000,"&gt;="&amp;EDATE($A117,-11),Entries!$A$2:$A$5000,"&lt;="&amp;$A117))/12)</f>
        <v/>
      </c>
      <c r="M117" s="70">
        <f>IF($BE117=0,NA(),IFERROR((K117-L117)/K117,0))</f>
        <v/>
      </c>
      <c r="O117" s="88">
        <f>IF(OR(O$1="",$BE117=0),"",SUMIFS(Entries!$D$2:$D$5000,Entries!$C$2:$C$5000,"Actual",Entries!$A$2:$A$5000,$A117,Entries!$B$2:$B$5000,O$1))</f>
        <v/>
      </c>
      <c r="P117" s="88">
        <f>IF(OR(P$1="",$BE117=0),"",SUMIFS(Entries!$D$2:$D$5000,Entries!$C$2:$C$5000,"Actual",Entries!$A$2:$A$5000,$A117,Entries!$B$2:$B$5000,P$1))</f>
        <v/>
      </c>
      <c r="Q117" s="88">
        <f>IF(OR(Q$1="",$BE117=0),"",SUMIFS(Entries!$D$2:$D$5000,Entries!$C$2:$C$5000,"Actual",Entries!$A$2:$A$5000,$A117,Entries!$B$2:$B$5000,Q$1))</f>
        <v/>
      </c>
      <c r="R117" s="88">
        <f>IF(OR(R$1="",$BE117=0),"",SUMIFS(Entries!$D$2:$D$5000,Entries!$C$2:$C$5000,"Actual",Entries!$A$2:$A$5000,$A117,Entries!$B$2:$B$5000,R$1))</f>
        <v/>
      </c>
      <c r="S117" s="88">
        <f>IF(OR(S$1="",$BE117=0),"",SUMIFS(Entries!$D$2:$D$5000,Entries!$C$2:$C$5000,"Actual",Entries!$A$2:$A$5000,$A117,Entries!$B$2:$B$5000,S$1))</f>
        <v/>
      </c>
      <c r="T117" s="88">
        <f>IF(OR(T$1="",$BE117=0),"",SUMIFS(Entries!$D$2:$D$5000,Entries!$C$2:$C$5000,"Actual",Entries!$A$2:$A$5000,$A117,Entries!$B$2:$B$5000,T$1))</f>
        <v/>
      </c>
      <c r="U117" s="88">
        <f>IF(OR(U$1="",$BE117=0),"",SUMIFS(Entries!$D$2:$D$5000,Entries!$C$2:$C$5000,"Actual",Entries!$A$2:$A$5000,$A117,Entries!$B$2:$B$5000,U$1))</f>
        <v/>
      </c>
      <c r="V117" s="88">
        <f>IF(OR(V$1="",$BE117=0),"",SUMIFS(Entries!$D$2:$D$5000,Entries!$C$2:$C$5000,"Actual",Entries!$A$2:$A$5000,$A117,Entries!$B$2:$B$5000,V$1))</f>
        <v/>
      </c>
      <c r="W117" s="88">
        <f>IF(OR(W$1="",$BE117=0),"",SUMIFS(Entries!$D$2:$D$5000,Entries!$C$2:$C$5000,"Actual",Entries!$A$2:$A$5000,$A117,Entries!$B$2:$B$5000,W$1))</f>
        <v/>
      </c>
      <c r="X117" s="88">
        <f>IF(OR(X$1="",$BE117=0),"",SUMIFS(Entries!$D$2:$D$5000,Entries!$C$2:$C$5000,"Actual",Entries!$A$2:$A$5000,$A117,Entries!$B$2:$B$5000,X$1))</f>
        <v/>
      </c>
      <c r="Y117" s="88">
        <f>IF(OR(Y$1="",$BE117=0),"",SUMIFS(Entries!$D$2:$D$5000,Entries!$C$2:$C$5000,"Actual",Entries!$A$2:$A$5000,$A117,Entries!$B$2:$B$5000,Y$1))</f>
        <v/>
      </c>
      <c r="Z117" s="88">
        <f>IF(OR(Z$1="",$BE117=0),"",SUMIFS(Entries!$D$2:$D$5000,Entries!$C$2:$C$5000,"Actual",Entries!$A$2:$A$5000,$A117,Entries!$B$2:$B$5000,Z$1))</f>
        <v/>
      </c>
      <c r="AA117" s="88">
        <f>IF(OR(AA$1="",$BE117=0),"",SUMIFS(Entries!$D$2:$D$5000,Entries!$C$2:$C$5000,"Actual",Entries!$A$2:$A$5000,$A117,Entries!$B$2:$B$5000,AA$1))</f>
        <v/>
      </c>
      <c r="AB117" s="88">
        <f>IF(OR(AB$1="",$BE117=0),"",SUMIFS(Entries!$D$2:$D$5000,Entries!$C$2:$C$5000,"Actual",Entries!$A$2:$A$5000,$A117,Entries!$B$2:$B$5000,AB$1))</f>
        <v/>
      </c>
      <c r="AC117" s="88">
        <f>IF(OR(AC$1="",$BE117=0),"",SUMIFS(Entries!$D$2:$D$5000,Entries!$C$2:$C$5000,"Actual",Entries!$A$2:$A$5000,$A117,Entries!$B$2:$B$5000,AC$1))</f>
        <v/>
      </c>
      <c r="AD117" s="88">
        <f>IF(OR(AD$1="",$BE117=0),"",SUMIFS(Entries!$D$2:$D$5000,Entries!$C$2:$C$5000,"Actual",Entries!$A$2:$A$5000,$A117,Entries!$B$2:$B$5000,AD$1))</f>
        <v/>
      </c>
      <c r="AE117" s="88">
        <f>IF(OR(AE$1="",$BE117=0),"",SUMIFS(Entries!$D$2:$D$5000,Entries!$C$2:$C$5000,"Actual",Entries!$A$2:$A$5000,$A117,Entries!$B$2:$B$5000,AE$1))</f>
        <v/>
      </c>
      <c r="AF117" s="88">
        <f>IF(OR(AF$1="",$BE117=0),"",SUMIFS(Entries!$D$2:$D$5000,Entries!$C$2:$C$5000,"Actual",Entries!$A$2:$A$5000,$A117,Entries!$B$2:$B$5000,AF$1))</f>
        <v/>
      </c>
      <c r="AG117" s="88">
        <f>IF(OR(AG$1="",$BE117=0),"",SUMIFS(Entries!$D$2:$D$5000,Entries!$C$2:$C$5000,"Actual",Entries!$A$2:$A$5000,$A117,Entries!$B$2:$B$5000,AG$1))</f>
        <v/>
      </c>
      <c r="AH117" s="88">
        <f>IF(OR(AH$1="",$BE117=0),"",SUMIFS(Entries!$D$2:$D$5000,Entries!$C$2:$C$5000,"Actual",Entries!$A$2:$A$5000,$A117,Entries!$B$2:$B$5000,AH$1))</f>
        <v/>
      </c>
      <c r="AJ117" s="88">
        <f>IF(OR(AJ$1="",$BE117=0),"",IFERROR(LOOKUP(2,1/((Budgets!$A$2:$A$200=AJ$1)*(Budgets!$B$2:$B$200&lt;=$A117)),Budgets!$C$2:$C$200),0))</f>
        <v/>
      </c>
      <c r="AK117" s="88">
        <f>IF(OR(AK$1="",$BE117=0),"",IFERROR(LOOKUP(2,1/((Budgets!$A$2:$A$200=AK$1)*(Budgets!$B$2:$B$200&lt;=$A117)),Budgets!$C$2:$C$200),0))</f>
        <v/>
      </c>
      <c r="AL117" s="88">
        <f>IF(OR(AL$1="",$BE117=0),"",IFERROR(LOOKUP(2,1/((Budgets!$A$2:$A$200=AL$1)*(Budgets!$B$2:$B$200&lt;=$A117)),Budgets!$C$2:$C$200),0))</f>
        <v/>
      </c>
      <c r="AM117" s="88">
        <f>IF(OR(AM$1="",$BE117=0),"",IFERROR(LOOKUP(2,1/((Budgets!$A$2:$A$200=AM$1)*(Budgets!$B$2:$B$200&lt;=$A117)),Budgets!$C$2:$C$200),0))</f>
        <v/>
      </c>
      <c r="AN117" s="88">
        <f>IF(OR(AN$1="",$BE117=0),"",IFERROR(LOOKUP(2,1/((Budgets!$A$2:$A$200=AN$1)*(Budgets!$B$2:$B$200&lt;=$A117)),Budgets!$C$2:$C$200),0))</f>
        <v/>
      </c>
      <c r="AO117" s="88">
        <f>IF(OR(AO$1="",$BE117=0),"",IFERROR(LOOKUP(2,1/((Budgets!$A$2:$A$200=AO$1)*(Budgets!$B$2:$B$200&lt;=$A117)),Budgets!$C$2:$C$200),0))</f>
        <v/>
      </c>
      <c r="AP117" s="88">
        <f>IF(OR(AP$1="",$BE117=0),"",IFERROR(LOOKUP(2,1/((Budgets!$A$2:$A$200=AP$1)*(Budgets!$B$2:$B$200&lt;=$A117)),Budgets!$C$2:$C$200),0))</f>
        <v/>
      </c>
      <c r="AQ117" s="88">
        <f>IF(OR(AQ$1="",$BE117=0),"",IFERROR(LOOKUP(2,1/((Budgets!$A$2:$A$200=AQ$1)*(Budgets!$B$2:$B$200&lt;=$A117)),Budgets!$C$2:$C$200),0))</f>
        <v/>
      </c>
      <c r="AR117" s="88">
        <f>IF(OR(AR$1="",$BE117=0),"",IFERROR(LOOKUP(2,1/((Budgets!$A$2:$A$200=AR$1)*(Budgets!$B$2:$B$200&lt;=$A117)),Budgets!$C$2:$C$200),0))</f>
        <v/>
      </c>
      <c r="AS117" s="88">
        <f>IF(OR(AS$1="",$BE117=0),"",IFERROR(LOOKUP(2,1/((Budgets!$A$2:$A$200=AS$1)*(Budgets!$B$2:$B$200&lt;=$A117)),Budgets!$C$2:$C$200),0))</f>
        <v/>
      </c>
      <c r="AT117" s="88">
        <f>IF(OR(AT$1="",$BE117=0),"",IFERROR(LOOKUP(2,1/((Budgets!$A$2:$A$200=AT$1)*(Budgets!$B$2:$B$200&lt;=$A117)),Budgets!$C$2:$C$200),0))</f>
        <v/>
      </c>
      <c r="AU117" s="88">
        <f>IF(OR(AU$1="",$BE117=0),"",IFERROR(LOOKUP(2,1/((Budgets!$A$2:$A$200=AU$1)*(Budgets!$B$2:$B$200&lt;=$A117)),Budgets!$C$2:$C$200),0))</f>
        <v/>
      </c>
      <c r="AV117" s="88">
        <f>IF(OR(AV$1="",$BE117=0),"",IFERROR(LOOKUP(2,1/((Budgets!$A$2:$A$200=AV$1)*(Budgets!$B$2:$B$200&lt;=$A117)),Budgets!$C$2:$C$200),0))</f>
        <v/>
      </c>
      <c r="AW117" s="88">
        <f>IF(OR(AW$1="",$BE117=0),"",IFERROR(LOOKUP(2,1/((Budgets!$A$2:$A$200=AW$1)*(Budgets!$B$2:$B$200&lt;=$A117)),Budgets!$C$2:$C$200),0))</f>
        <v/>
      </c>
      <c r="AX117" s="88">
        <f>IF(OR(AX$1="",$BE117=0),"",IFERROR(LOOKUP(2,1/((Budgets!$A$2:$A$200=AX$1)*(Budgets!$B$2:$B$200&lt;=$A117)),Budgets!$C$2:$C$200),0))</f>
        <v/>
      </c>
      <c r="AY117" s="88">
        <f>IF(OR(AY$1="",$BE117=0),"",IFERROR(LOOKUP(2,1/((Budgets!$A$2:$A$200=AY$1)*(Budgets!$B$2:$B$200&lt;=$A117)),Budgets!$C$2:$C$200),0))</f>
        <v/>
      </c>
      <c r="AZ117" s="88">
        <f>IF(OR(AZ$1="",$BE117=0),"",IFERROR(LOOKUP(2,1/((Budgets!$A$2:$A$200=AZ$1)*(Budgets!$B$2:$B$200&lt;=$A117)),Budgets!$C$2:$C$200),0))</f>
        <v/>
      </c>
      <c r="BA117" s="88">
        <f>IF(OR(BA$1="",$BE117=0),"",IFERROR(LOOKUP(2,1/((Budgets!$A$2:$A$200=BA$1)*(Budgets!$B$2:$B$200&lt;=$A117)),Budgets!$C$2:$C$200),0))</f>
        <v/>
      </c>
      <c r="BB117" s="88">
        <f>IF(OR(BB$1="",$BE117=0),"",IFERROR(LOOKUP(2,1/((Budgets!$A$2:$A$200=BB$1)*(Budgets!$B$2:$B$200&lt;=$A117)),Budgets!$C$2:$C$200),0))</f>
        <v/>
      </c>
      <c r="BC117" s="88">
        <f>IF(OR(BC$1="",$BE117=0),"",IFERROR(LOOKUP(2,1/((Budgets!$A$2:$A$200=BC$1)*(Budgets!$B$2:$B$200&lt;=$A117)),Budgets!$C$2:$C$200),0))</f>
        <v/>
      </c>
      <c r="BE117" s="67">
        <f>COUNTIFS(Entries!$A$2:$A$5000,$A117)</f>
        <v/>
      </c>
    </row>
    <row r="118" ht="15" customHeight="1" s="43">
      <c r="A118" s="87" t="n">
        <v>42979</v>
      </c>
      <c r="B118" s="88">
        <f>IF($BE118=0,NA(),SUMIFS(Entries!$D$2:$D$5000,Entries!$C$2:$C$5000,"Income",Entries!$A$2:$A$5000,$A118))</f>
        <v/>
      </c>
      <c r="C118" s="88">
        <f>IF($BE118=0,"",SUMIFS(Entries!$D$2:$D$5000,Entries!$C$2:$C$5000,"Actual",Entries!$A$2:$A$5000,$A118))</f>
        <v/>
      </c>
      <c r="D118" s="88">
        <f>IF($BE118=0,"",SUMIFS(Entries!$D$2:$D$5000,Entries!$C$2:$C$5000,"One-off",Entries!$A$2:$A$5000,$A118))</f>
        <v/>
      </c>
      <c r="E118" s="88">
        <f>IF($BE118=0,NA(),C118+D118)</f>
        <v/>
      </c>
      <c r="F118" s="88">
        <f>IF($BE118=0,"",SUM(AJ118:BC118))</f>
        <v/>
      </c>
      <c r="G118" s="88">
        <f>IF($BE118=0,"",B118-E118)</f>
        <v/>
      </c>
      <c r="H118" s="88">
        <f>IF($BE118=0,"",SUM($G$2:G118))</f>
        <v/>
      </c>
      <c r="I118" s="88">
        <f>IF($BE118=0,"",SUMIFS(Entries!$F$2:$F$5000,Entries!$A$2:$A$5000,$A118))</f>
        <v/>
      </c>
      <c r="J118" s="88">
        <f>IF($BE118=0,NA(),H118+SUM($I$2:I118))</f>
        <v/>
      </c>
      <c r="K118" s="88">
        <f>IF($BE118=0,"",SUMIFS(Entries!$D$2:$D$5000,Entries!$C$2:$C$5000,"Income",Entries!$A$2:$A$5000,"&gt;="&amp;EDATE($A118,-11),Entries!$A$2:$A$5000,"&lt;="&amp;$A118)/12)</f>
        <v/>
      </c>
      <c r="L118" s="88">
        <f>IF($BE118=0,"",(SUMIFS(Entries!$D$2:$D$5000,Entries!$C$2:$C$5000,"Actual",Entries!$A$2:$A$5000,"&gt;="&amp;EDATE($A118,-11),Entries!$A$2:$A$5000,"&lt;="&amp;$A118)+SUMIFS(Entries!$D$2:$D$5000,Entries!$C$2:$C$5000,"One-off",Entries!$A$2:$A$5000,"&gt;="&amp;EDATE($A118,-11),Entries!$A$2:$A$5000,"&lt;="&amp;$A118))/12)</f>
        <v/>
      </c>
      <c r="M118" s="70">
        <f>IF($BE118=0,NA(),IFERROR((K118-L118)/K118,0))</f>
        <v/>
      </c>
      <c r="O118" s="88">
        <f>IF(OR(O$1="",$BE118=0),"",SUMIFS(Entries!$D$2:$D$5000,Entries!$C$2:$C$5000,"Actual",Entries!$A$2:$A$5000,$A118,Entries!$B$2:$B$5000,O$1))</f>
        <v/>
      </c>
      <c r="P118" s="88">
        <f>IF(OR(P$1="",$BE118=0),"",SUMIFS(Entries!$D$2:$D$5000,Entries!$C$2:$C$5000,"Actual",Entries!$A$2:$A$5000,$A118,Entries!$B$2:$B$5000,P$1))</f>
        <v/>
      </c>
      <c r="Q118" s="88">
        <f>IF(OR(Q$1="",$BE118=0),"",SUMIFS(Entries!$D$2:$D$5000,Entries!$C$2:$C$5000,"Actual",Entries!$A$2:$A$5000,$A118,Entries!$B$2:$B$5000,Q$1))</f>
        <v/>
      </c>
      <c r="R118" s="88">
        <f>IF(OR(R$1="",$BE118=0),"",SUMIFS(Entries!$D$2:$D$5000,Entries!$C$2:$C$5000,"Actual",Entries!$A$2:$A$5000,$A118,Entries!$B$2:$B$5000,R$1))</f>
        <v/>
      </c>
      <c r="S118" s="88">
        <f>IF(OR(S$1="",$BE118=0),"",SUMIFS(Entries!$D$2:$D$5000,Entries!$C$2:$C$5000,"Actual",Entries!$A$2:$A$5000,$A118,Entries!$B$2:$B$5000,S$1))</f>
        <v/>
      </c>
      <c r="T118" s="88">
        <f>IF(OR(T$1="",$BE118=0),"",SUMIFS(Entries!$D$2:$D$5000,Entries!$C$2:$C$5000,"Actual",Entries!$A$2:$A$5000,$A118,Entries!$B$2:$B$5000,T$1))</f>
        <v/>
      </c>
      <c r="U118" s="88">
        <f>IF(OR(U$1="",$BE118=0),"",SUMIFS(Entries!$D$2:$D$5000,Entries!$C$2:$C$5000,"Actual",Entries!$A$2:$A$5000,$A118,Entries!$B$2:$B$5000,U$1))</f>
        <v/>
      </c>
      <c r="V118" s="88">
        <f>IF(OR(V$1="",$BE118=0),"",SUMIFS(Entries!$D$2:$D$5000,Entries!$C$2:$C$5000,"Actual",Entries!$A$2:$A$5000,$A118,Entries!$B$2:$B$5000,V$1))</f>
        <v/>
      </c>
      <c r="W118" s="88">
        <f>IF(OR(W$1="",$BE118=0),"",SUMIFS(Entries!$D$2:$D$5000,Entries!$C$2:$C$5000,"Actual",Entries!$A$2:$A$5000,$A118,Entries!$B$2:$B$5000,W$1))</f>
        <v/>
      </c>
      <c r="X118" s="88">
        <f>IF(OR(X$1="",$BE118=0),"",SUMIFS(Entries!$D$2:$D$5000,Entries!$C$2:$C$5000,"Actual",Entries!$A$2:$A$5000,$A118,Entries!$B$2:$B$5000,X$1))</f>
        <v/>
      </c>
      <c r="Y118" s="88">
        <f>IF(OR(Y$1="",$BE118=0),"",SUMIFS(Entries!$D$2:$D$5000,Entries!$C$2:$C$5000,"Actual",Entries!$A$2:$A$5000,$A118,Entries!$B$2:$B$5000,Y$1))</f>
        <v/>
      </c>
      <c r="Z118" s="88">
        <f>IF(OR(Z$1="",$BE118=0),"",SUMIFS(Entries!$D$2:$D$5000,Entries!$C$2:$C$5000,"Actual",Entries!$A$2:$A$5000,$A118,Entries!$B$2:$B$5000,Z$1))</f>
        <v/>
      </c>
      <c r="AA118" s="88">
        <f>IF(OR(AA$1="",$BE118=0),"",SUMIFS(Entries!$D$2:$D$5000,Entries!$C$2:$C$5000,"Actual",Entries!$A$2:$A$5000,$A118,Entries!$B$2:$B$5000,AA$1))</f>
        <v/>
      </c>
      <c r="AB118" s="88">
        <f>IF(OR(AB$1="",$BE118=0),"",SUMIFS(Entries!$D$2:$D$5000,Entries!$C$2:$C$5000,"Actual",Entries!$A$2:$A$5000,$A118,Entries!$B$2:$B$5000,AB$1))</f>
        <v/>
      </c>
      <c r="AC118" s="88">
        <f>IF(OR(AC$1="",$BE118=0),"",SUMIFS(Entries!$D$2:$D$5000,Entries!$C$2:$C$5000,"Actual",Entries!$A$2:$A$5000,$A118,Entries!$B$2:$B$5000,AC$1))</f>
        <v/>
      </c>
      <c r="AD118" s="88">
        <f>IF(OR(AD$1="",$BE118=0),"",SUMIFS(Entries!$D$2:$D$5000,Entries!$C$2:$C$5000,"Actual",Entries!$A$2:$A$5000,$A118,Entries!$B$2:$B$5000,AD$1))</f>
        <v/>
      </c>
      <c r="AE118" s="88">
        <f>IF(OR(AE$1="",$BE118=0),"",SUMIFS(Entries!$D$2:$D$5000,Entries!$C$2:$C$5000,"Actual",Entries!$A$2:$A$5000,$A118,Entries!$B$2:$B$5000,AE$1))</f>
        <v/>
      </c>
      <c r="AF118" s="88">
        <f>IF(OR(AF$1="",$BE118=0),"",SUMIFS(Entries!$D$2:$D$5000,Entries!$C$2:$C$5000,"Actual",Entries!$A$2:$A$5000,$A118,Entries!$B$2:$B$5000,AF$1))</f>
        <v/>
      </c>
      <c r="AG118" s="88">
        <f>IF(OR(AG$1="",$BE118=0),"",SUMIFS(Entries!$D$2:$D$5000,Entries!$C$2:$C$5000,"Actual",Entries!$A$2:$A$5000,$A118,Entries!$B$2:$B$5000,AG$1))</f>
        <v/>
      </c>
      <c r="AH118" s="88">
        <f>IF(OR(AH$1="",$BE118=0),"",SUMIFS(Entries!$D$2:$D$5000,Entries!$C$2:$C$5000,"Actual",Entries!$A$2:$A$5000,$A118,Entries!$B$2:$B$5000,AH$1))</f>
        <v/>
      </c>
      <c r="AJ118" s="88">
        <f>IF(OR(AJ$1="",$BE118=0),"",IFERROR(LOOKUP(2,1/((Budgets!$A$2:$A$200=AJ$1)*(Budgets!$B$2:$B$200&lt;=$A118)),Budgets!$C$2:$C$200),0))</f>
        <v/>
      </c>
      <c r="AK118" s="88">
        <f>IF(OR(AK$1="",$BE118=0),"",IFERROR(LOOKUP(2,1/((Budgets!$A$2:$A$200=AK$1)*(Budgets!$B$2:$B$200&lt;=$A118)),Budgets!$C$2:$C$200),0))</f>
        <v/>
      </c>
      <c r="AL118" s="88">
        <f>IF(OR(AL$1="",$BE118=0),"",IFERROR(LOOKUP(2,1/((Budgets!$A$2:$A$200=AL$1)*(Budgets!$B$2:$B$200&lt;=$A118)),Budgets!$C$2:$C$200),0))</f>
        <v/>
      </c>
      <c r="AM118" s="88">
        <f>IF(OR(AM$1="",$BE118=0),"",IFERROR(LOOKUP(2,1/((Budgets!$A$2:$A$200=AM$1)*(Budgets!$B$2:$B$200&lt;=$A118)),Budgets!$C$2:$C$200),0))</f>
        <v/>
      </c>
      <c r="AN118" s="88">
        <f>IF(OR(AN$1="",$BE118=0),"",IFERROR(LOOKUP(2,1/((Budgets!$A$2:$A$200=AN$1)*(Budgets!$B$2:$B$200&lt;=$A118)),Budgets!$C$2:$C$200),0))</f>
        <v/>
      </c>
      <c r="AO118" s="88">
        <f>IF(OR(AO$1="",$BE118=0),"",IFERROR(LOOKUP(2,1/((Budgets!$A$2:$A$200=AO$1)*(Budgets!$B$2:$B$200&lt;=$A118)),Budgets!$C$2:$C$200),0))</f>
        <v/>
      </c>
      <c r="AP118" s="88">
        <f>IF(OR(AP$1="",$BE118=0),"",IFERROR(LOOKUP(2,1/((Budgets!$A$2:$A$200=AP$1)*(Budgets!$B$2:$B$200&lt;=$A118)),Budgets!$C$2:$C$200),0))</f>
        <v/>
      </c>
      <c r="AQ118" s="88">
        <f>IF(OR(AQ$1="",$BE118=0),"",IFERROR(LOOKUP(2,1/((Budgets!$A$2:$A$200=AQ$1)*(Budgets!$B$2:$B$200&lt;=$A118)),Budgets!$C$2:$C$200),0))</f>
        <v/>
      </c>
      <c r="AR118" s="88">
        <f>IF(OR(AR$1="",$BE118=0),"",IFERROR(LOOKUP(2,1/((Budgets!$A$2:$A$200=AR$1)*(Budgets!$B$2:$B$200&lt;=$A118)),Budgets!$C$2:$C$200),0))</f>
        <v/>
      </c>
      <c r="AS118" s="88">
        <f>IF(OR(AS$1="",$BE118=0),"",IFERROR(LOOKUP(2,1/((Budgets!$A$2:$A$200=AS$1)*(Budgets!$B$2:$B$200&lt;=$A118)),Budgets!$C$2:$C$200),0))</f>
        <v/>
      </c>
      <c r="AT118" s="88">
        <f>IF(OR(AT$1="",$BE118=0),"",IFERROR(LOOKUP(2,1/((Budgets!$A$2:$A$200=AT$1)*(Budgets!$B$2:$B$200&lt;=$A118)),Budgets!$C$2:$C$200),0))</f>
        <v/>
      </c>
      <c r="AU118" s="88">
        <f>IF(OR(AU$1="",$BE118=0),"",IFERROR(LOOKUP(2,1/((Budgets!$A$2:$A$200=AU$1)*(Budgets!$B$2:$B$200&lt;=$A118)),Budgets!$C$2:$C$200),0))</f>
        <v/>
      </c>
      <c r="AV118" s="88">
        <f>IF(OR(AV$1="",$BE118=0),"",IFERROR(LOOKUP(2,1/((Budgets!$A$2:$A$200=AV$1)*(Budgets!$B$2:$B$200&lt;=$A118)),Budgets!$C$2:$C$200),0))</f>
        <v/>
      </c>
      <c r="AW118" s="88">
        <f>IF(OR(AW$1="",$BE118=0),"",IFERROR(LOOKUP(2,1/((Budgets!$A$2:$A$200=AW$1)*(Budgets!$B$2:$B$200&lt;=$A118)),Budgets!$C$2:$C$200),0))</f>
        <v/>
      </c>
      <c r="AX118" s="88">
        <f>IF(OR(AX$1="",$BE118=0),"",IFERROR(LOOKUP(2,1/((Budgets!$A$2:$A$200=AX$1)*(Budgets!$B$2:$B$200&lt;=$A118)),Budgets!$C$2:$C$200),0))</f>
        <v/>
      </c>
      <c r="AY118" s="88">
        <f>IF(OR(AY$1="",$BE118=0),"",IFERROR(LOOKUP(2,1/((Budgets!$A$2:$A$200=AY$1)*(Budgets!$B$2:$B$200&lt;=$A118)),Budgets!$C$2:$C$200),0))</f>
        <v/>
      </c>
      <c r="AZ118" s="88">
        <f>IF(OR(AZ$1="",$BE118=0),"",IFERROR(LOOKUP(2,1/((Budgets!$A$2:$A$200=AZ$1)*(Budgets!$B$2:$B$200&lt;=$A118)),Budgets!$C$2:$C$200),0))</f>
        <v/>
      </c>
      <c r="BA118" s="88">
        <f>IF(OR(BA$1="",$BE118=0),"",IFERROR(LOOKUP(2,1/((Budgets!$A$2:$A$200=BA$1)*(Budgets!$B$2:$B$200&lt;=$A118)),Budgets!$C$2:$C$200),0))</f>
        <v/>
      </c>
      <c r="BB118" s="88">
        <f>IF(OR(BB$1="",$BE118=0),"",IFERROR(LOOKUP(2,1/((Budgets!$A$2:$A$200=BB$1)*(Budgets!$B$2:$B$200&lt;=$A118)),Budgets!$C$2:$C$200),0))</f>
        <v/>
      </c>
      <c r="BC118" s="88">
        <f>IF(OR(BC$1="",$BE118=0),"",IFERROR(LOOKUP(2,1/((Budgets!$A$2:$A$200=BC$1)*(Budgets!$B$2:$B$200&lt;=$A118)),Budgets!$C$2:$C$200),0))</f>
        <v/>
      </c>
      <c r="BE118" s="67">
        <f>COUNTIFS(Entries!$A$2:$A$5000,$A118)</f>
        <v/>
      </c>
    </row>
    <row r="119" ht="15" customHeight="1" s="43">
      <c r="A119" s="87" t="n">
        <v>43009</v>
      </c>
      <c r="B119" s="88">
        <f>IF($BE119=0,NA(),SUMIFS(Entries!$D$2:$D$5000,Entries!$C$2:$C$5000,"Income",Entries!$A$2:$A$5000,$A119))</f>
        <v/>
      </c>
      <c r="C119" s="88">
        <f>IF($BE119=0,"",SUMIFS(Entries!$D$2:$D$5000,Entries!$C$2:$C$5000,"Actual",Entries!$A$2:$A$5000,$A119))</f>
        <v/>
      </c>
      <c r="D119" s="88">
        <f>IF($BE119=0,"",SUMIFS(Entries!$D$2:$D$5000,Entries!$C$2:$C$5000,"One-off",Entries!$A$2:$A$5000,$A119))</f>
        <v/>
      </c>
      <c r="E119" s="88">
        <f>IF($BE119=0,NA(),C119+D119)</f>
        <v/>
      </c>
      <c r="F119" s="88">
        <f>IF($BE119=0,"",SUM(AJ119:BC119))</f>
        <v/>
      </c>
      <c r="G119" s="88">
        <f>IF($BE119=0,"",B119-E119)</f>
        <v/>
      </c>
      <c r="H119" s="88">
        <f>IF($BE119=0,"",SUM($G$2:G119))</f>
        <v/>
      </c>
      <c r="I119" s="88">
        <f>IF($BE119=0,"",SUMIFS(Entries!$F$2:$F$5000,Entries!$A$2:$A$5000,$A119))</f>
        <v/>
      </c>
      <c r="J119" s="88">
        <f>IF($BE119=0,NA(),H119+SUM($I$2:I119))</f>
        <v/>
      </c>
      <c r="K119" s="88">
        <f>IF($BE119=0,"",SUMIFS(Entries!$D$2:$D$5000,Entries!$C$2:$C$5000,"Income",Entries!$A$2:$A$5000,"&gt;="&amp;EDATE($A119,-11),Entries!$A$2:$A$5000,"&lt;="&amp;$A119)/12)</f>
        <v/>
      </c>
      <c r="L119" s="88">
        <f>IF($BE119=0,"",(SUMIFS(Entries!$D$2:$D$5000,Entries!$C$2:$C$5000,"Actual",Entries!$A$2:$A$5000,"&gt;="&amp;EDATE($A119,-11),Entries!$A$2:$A$5000,"&lt;="&amp;$A119)+SUMIFS(Entries!$D$2:$D$5000,Entries!$C$2:$C$5000,"One-off",Entries!$A$2:$A$5000,"&gt;="&amp;EDATE($A119,-11),Entries!$A$2:$A$5000,"&lt;="&amp;$A119))/12)</f>
        <v/>
      </c>
      <c r="M119" s="70">
        <f>IF($BE119=0,NA(),IFERROR((K119-L119)/K119,0))</f>
        <v/>
      </c>
      <c r="O119" s="88">
        <f>IF(OR(O$1="",$BE119=0),"",SUMIFS(Entries!$D$2:$D$5000,Entries!$C$2:$C$5000,"Actual",Entries!$A$2:$A$5000,$A119,Entries!$B$2:$B$5000,O$1))</f>
        <v/>
      </c>
      <c r="P119" s="88">
        <f>IF(OR(P$1="",$BE119=0),"",SUMIFS(Entries!$D$2:$D$5000,Entries!$C$2:$C$5000,"Actual",Entries!$A$2:$A$5000,$A119,Entries!$B$2:$B$5000,P$1))</f>
        <v/>
      </c>
      <c r="Q119" s="88">
        <f>IF(OR(Q$1="",$BE119=0),"",SUMIFS(Entries!$D$2:$D$5000,Entries!$C$2:$C$5000,"Actual",Entries!$A$2:$A$5000,$A119,Entries!$B$2:$B$5000,Q$1))</f>
        <v/>
      </c>
      <c r="R119" s="88">
        <f>IF(OR(R$1="",$BE119=0),"",SUMIFS(Entries!$D$2:$D$5000,Entries!$C$2:$C$5000,"Actual",Entries!$A$2:$A$5000,$A119,Entries!$B$2:$B$5000,R$1))</f>
        <v/>
      </c>
      <c r="S119" s="88">
        <f>IF(OR(S$1="",$BE119=0),"",SUMIFS(Entries!$D$2:$D$5000,Entries!$C$2:$C$5000,"Actual",Entries!$A$2:$A$5000,$A119,Entries!$B$2:$B$5000,S$1))</f>
        <v/>
      </c>
      <c r="T119" s="88">
        <f>IF(OR(T$1="",$BE119=0),"",SUMIFS(Entries!$D$2:$D$5000,Entries!$C$2:$C$5000,"Actual",Entries!$A$2:$A$5000,$A119,Entries!$B$2:$B$5000,T$1))</f>
        <v/>
      </c>
      <c r="U119" s="88">
        <f>IF(OR(U$1="",$BE119=0),"",SUMIFS(Entries!$D$2:$D$5000,Entries!$C$2:$C$5000,"Actual",Entries!$A$2:$A$5000,$A119,Entries!$B$2:$B$5000,U$1))</f>
        <v/>
      </c>
      <c r="V119" s="88">
        <f>IF(OR(V$1="",$BE119=0),"",SUMIFS(Entries!$D$2:$D$5000,Entries!$C$2:$C$5000,"Actual",Entries!$A$2:$A$5000,$A119,Entries!$B$2:$B$5000,V$1))</f>
        <v/>
      </c>
      <c r="W119" s="88">
        <f>IF(OR(W$1="",$BE119=0),"",SUMIFS(Entries!$D$2:$D$5000,Entries!$C$2:$C$5000,"Actual",Entries!$A$2:$A$5000,$A119,Entries!$B$2:$B$5000,W$1))</f>
        <v/>
      </c>
      <c r="X119" s="88">
        <f>IF(OR(X$1="",$BE119=0),"",SUMIFS(Entries!$D$2:$D$5000,Entries!$C$2:$C$5000,"Actual",Entries!$A$2:$A$5000,$A119,Entries!$B$2:$B$5000,X$1))</f>
        <v/>
      </c>
      <c r="Y119" s="88">
        <f>IF(OR(Y$1="",$BE119=0),"",SUMIFS(Entries!$D$2:$D$5000,Entries!$C$2:$C$5000,"Actual",Entries!$A$2:$A$5000,$A119,Entries!$B$2:$B$5000,Y$1))</f>
        <v/>
      </c>
      <c r="Z119" s="88">
        <f>IF(OR(Z$1="",$BE119=0),"",SUMIFS(Entries!$D$2:$D$5000,Entries!$C$2:$C$5000,"Actual",Entries!$A$2:$A$5000,$A119,Entries!$B$2:$B$5000,Z$1))</f>
        <v/>
      </c>
      <c r="AA119" s="88">
        <f>IF(OR(AA$1="",$BE119=0),"",SUMIFS(Entries!$D$2:$D$5000,Entries!$C$2:$C$5000,"Actual",Entries!$A$2:$A$5000,$A119,Entries!$B$2:$B$5000,AA$1))</f>
        <v/>
      </c>
      <c r="AB119" s="88">
        <f>IF(OR(AB$1="",$BE119=0),"",SUMIFS(Entries!$D$2:$D$5000,Entries!$C$2:$C$5000,"Actual",Entries!$A$2:$A$5000,$A119,Entries!$B$2:$B$5000,AB$1))</f>
        <v/>
      </c>
      <c r="AC119" s="88">
        <f>IF(OR(AC$1="",$BE119=0),"",SUMIFS(Entries!$D$2:$D$5000,Entries!$C$2:$C$5000,"Actual",Entries!$A$2:$A$5000,$A119,Entries!$B$2:$B$5000,AC$1))</f>
        <v/>
      </c>
      <c r="AD119" s="88">
        <f>IF(OR(AD$1="",$BE119=0),"",SUMIFS(Entries!$D$2:$D$5000,Entries!$C$2:$C$5000,"Actual",Entries!$A$2:$A$5000,$A119,Entries!$B$2:$B$5000,AD$1))</f>
        <v/>
      </c>
      <c r="AE119" s="88">
        <f>IF(OR(AE$1="",$BE119=0),"",SUMIFS(Entries!$D$2:$D$5000,Entries!$C$2:$C$5000,"Actual",Entries!$A$2:$A$5000,$A119,Entries!$B$2:$B$5000,AE$1))</f>
        <v/>
      </c>
      <c r="AF119" s="88">
        <f>IF(OR(AF$1="",$BE119=0),"",SUMIFS(Entries!$D$2:$D$5000,Entries!$C$2:$C$5000,"Actual",Entries!$A$2:$A$5000,$A119,Entries!$B$2:$B$5000,AF$1))</f>
        <v/>
      </c>
      <c r="AG119" s="88">
        <f>IF(OR(AG$1="",$BE119=0),"",SUMIFS(Entries!$D$2:$D$5000,Entries!$C$2:$C$5000,"Actual",Entries!$A$2:$A$5000,$A119,Entries!$B$2:$B$5000,AG$1))</f>
        <v/>
      </c>
      <c r="AH119" s="88">
        <f>IF(OR(AH$1="",$BE119=0),"",SUMIFS(Entries!$D$2:$D$5000,Entries!$C$2:$C$5000,"Actual",Entries!$A$2:$A$5000,$A119,Entries!$B$2:$B$5000,AH$1))</f>
        <v/>
      </c>
      <c r="AJ119" s="88">
        <f>IF(OR(AJ$1="",$BE119=0),"",IFERROR(LOOKUP(2,1/((Budgets!$A$2:$A$200=AJ$1)*(Budgets!$B$2:$B$200&lt;=$A119)),Budgets!$C$2:$C$200),0))</f>
        <v/>
      </c>
      <c r="AK119" s="88">
        <f>IF(OR(AK$1="",$BE119=0),"",IFERROR(LOOKUP(2,1/((Budgets!$A$2:$A$200=AK$1)*(Budgets!$B$2:$B$200&lt;=$A119)),Budgets!$C$2:$C$200),0))</f>
        <v/>
      </c>
      <c r="AL119" s="88">
        <f>IF(OR(AL$1="",$BE119=0),"",IFERROR(LOOKUP(2,1/((Budgets!$A$2:$A$200=AL$1)*(Budgets!$B$2:$B$200&lt;=$A119)),Budgets!$C$2:$C$200),0))</f>
        <v/>
      </c>
      <c r="AM119" s="88">
        <f>IF(OR(AM$1="",$BE119=0),"",IFERROR(LOOKUP(2,1/((Budgets!$A$2:$A$200=AM$1)*(Budgets!$B$2:$B$200&lt;=$A119)),Budgets!$C$2:$C$200),0))</f>
        <v/>
      </c>
      <c r="AN119" s="88">
        <f>IF(OR(AN$1="",$BE119=0),"",IFERROR(LOOKUP(2,1/((Budgets!$A$2:$A$200=AN$1)*(Budgets!$B$2:$B$200&lt;=$A119)),Budgets!$C$2:$C$200),0))</f>
        <v/>
      </c>
      <c r="AO119" s="88">
        <f>IF(OR(AO$1="",$BE119=0),"",IFERROR(LOOKUP(2,1/((Budgets!$A$2:$A$200=AO$1)*(Budgets!$B$2:$B$200&lt;=$A119)),Budgets!$C$2:$C$200),0))</f>
        <v/>
      </c>
      <c r="AP119" s="88">
        <f>IF(OR(AP$1="",$BE119=0),"",IFERROR(LOOKUP(2,1/((Budgets!$A$2:$A$200=AP$1)*(Budgets!$B$2:$B$200&lt;=$A119)),Budgets!$C$2:$C$200),0))</f>
        <v/>
      </c>
      <c r="AQ119" s="88">
        <f>IF(OR(AQ$1="",$BE119=0),"",IFERROR(LOOKUP(2,1/((Budgets!$A$2:$A$200=AQ$1)*(Budgets!$B$2:$B$200&lt;=$A119)),Budgets!$C$2:$C$200),0))</f>
        <v/>
      </c>
      <c r="AR119" s="88">
        <f>IF(OR(AR$1="",$BE119=0),"",IFERROR(LOOKUP(2,1/((Budgets!$A$2:$A$200=AR$1)*(Budgets!$B$2:$B$200&lt;=$A119)),Budgets!$C$2:$C$200),0))</f>
        <v/>
      </c>
      <c r="AS119" s="88">
        <f>IF(OR(AS$1="",$BE119=0),"",IFERROR(LOOKUP(2,1/((Budgets!$A$2:$A$200=AS$1)*(Budgets!$B$2:$B$200&lt;=$A119)),Budgets!$C$2:$C$200),0))</f>
        <v/>
      </c>
      <c r="AT119" s="88">
        <f>IF(OR(AT$1="",$BE119=0),"",IFERROR(LOOKUP(2,1/((Budgets!$A$2:$A$200=AT$1)*(Budgets!$B$2:$B$200&lt;=$A119)),Budgets!$C$2:$C$200),0))</f>
        <v/>
      </c>
      <c r="AU119" s="88">
        <f>IF(OR(AU$1="",$BE119=0),"",IFERROR(LOOKUP(2,1/((Budgets!$A$2:$A$200=AU$1)*(Budgets!$B$2:$B$200&lt;=$A119)),Budgets!$C$2:$C$200),0))</f>
        <v/>
      </c>
      <c r="AV119" s="88">
        <f>IF(OR(AV$1="",$BE119=0),"",IFERROR(LOOKUP(2,1/((Budgets!$A$2:$A$200=AV$1)*(Budgets!$B$2:$B$200&lt;=$A119)),Budgets!$C$2:$C$200),0))</f>
        <v/>
      </c>
      <c r="AW119" s="88">
        <f>IF(OR(AW$1="",$BE119=0),"",IFERROR(LOOKUP(2,1/((Budgets!$A$2:$A$200=AW$1)*(Budgets!$B$2:$B$200&lt;=$A119)),Budgets!$C$2:$C$200),0))</f>
        <v/>
      </c>
      <c r="AX119" s="88">
        <f>IF(OR(AX$1="",$BE119=0),"",IFERROR(LOOKUP(2,1/((Budgets!$A$2:$A$200=AX$1)*(Budgets!$B$2:$B$200&lt;=$A119)),Budgets!$C$2:$C$200),0))</f>
        <v/>
      </c>
      <c r="AY119" s="88">
        <f>IF(OR(AY$1="",$BE119=0),"",IFERROR(LOOKUP(2,1/((Budgets!$A$2:$A$200=AY$1)*(Budgets!$B$2:$B$200&lt;=$A119)),Budgets!$C$2:$C$200),0))</f>
        <v/>
      </c>
      <c r="AZ119" s="88">
        <f>IF(OR(AZ$1="",$BE119=0),"",IFERROR(LOOKUP(2,1/((Budgets!$A$2:$A$200=AZ$1)*(Budgets!$B$2:$B$200&lt;=$A119)),Budgets!$C$2:$C$200),0))</f>
        <v/>
      </c>
      <c r="BA119" s="88">
        <f>IF(OR(BA$1="",$BE119=0),"",IFERROR(LOOKUP(2,1/((Budgets!$A$2:$A$200=BA$1)*(Budgets!$B$2:$B$200&lt;=$A119)),Budgets!$C$2:$C$200),0))</f>
        <v/>
      </c>
      <c r="BB119" s="88">
        <f>IF(OR(BB$1="",$BE119=0),"",IFERROR(LOOKUP(2,1/((Budgets!$A$2:$A$200=BB$1)*(Budgets!$B$2:$B$200&lt;=$A119)),Budgets!$C$2:$C$200),0))</f>
        <v/>
      </c>
      <c r="BC119" s="88">
        <f>IF(OR(BC$1="",$BE119=0),"",IFERROR(LOOKUP(2,1/((Budgets!$A$2:$A$200=BC$1)*(Budgets!$B$2:$B$200&lt;=$A119)),Budgets!$C$2:$C$200),0))</f>
        <v/>
      </c>
      <c r="BE119" s="67">
        <f>COUNTIFS(Entries!$A$2:$A$5000,$A119)</f>
        <v/>
      </c>
    </row>
    <row r="120" ht="15" customHeight="1" s="43">
      <c r="A120" s="87" t="n">
        <v>43040</v>
      </c>
      <c r="B120" s="88">
        <f>IF($BE120=0,NA(),SUMIFS(Entries!$D$2:$D$5000,Entries!$C$2:$C$5000,"Income",Entries!$A$2:$A$5000,$A120))</f>
        <v/>
      </c>
      <c r="C120" s="88">
        <f>IF($BE120=0,"",SUMIFS(Entries!$D$2:$D$5000,Entries!$C$2:$C$5000,"Actual",Entries!$A$2:$A$5000,$A120))</f>
        <v/>
      </c>
      <c r="D120" s="88">
        <f>IF($BE120=0,"",SUMIFS(Entries!$D$2:$D$5000,Entries!$C$2:$C$5000,"One-off",Entries!$A$2:$A$5000,$A120))</f>
        <v/>
      </c>
      <c r="E120" s="88">
        <f>IF($BE120=0,NA(),C120+D120)</f>
        <v/>
      </c>
      <c r="F120" s="88">
        <f>IF($BE120=0,"",SUM(AJ120:BC120))</f>
        <v/>
      </c>
      <c r="G120" s="88">
        <f>IF($BE120=0,"",B120-E120)</f>
        <v/>
      </c>
      <c r="H120" s="88">
        <f>IF($BE120=0,"",SUM($G$2:G120))</f>
        <v/>
      </c>
      <c r="I120" s="88">
        <f>IF($BE120=0,"",SUMIFS(Entries!$F$2:$F$5000,Entries!$A$2:$A$5000,$A120))</f>
        <v/>
      </c>
      <c r="J120" s="88">
        <f>IF($BE120=0,NA(),H120+SUM($I$2:I120))</f>
        <v/>
      </c>
      <c r="K120" s="88">
        <f>IF($BE120=0,"",SUMIFS(Entries!$D$2:$D$5000,Entries!$C$2:$C$5000,"Income",Entries!$A$2:$A$5000,"&gt;="&amp;EDATE($A120,-11),Entries!$A$2:$A$5000,"&lt;="&amp;$A120)/12)</f>
        <v/>
      </c>
      <c r="L120" s="88">
        <f>IF($BE120=0,"",(SUMIFS(Entries!$D$2:$D$5000,Entries!$C$2:$C$5000,"Actual",Entries!$A$2:$A$5000,"&gt;="&amp;EDATE($A120,-11),Entries!$A$2:$A$5000,"&lt;="&amp;$A120)+SUMIFS(Entries!$D$2:$D$5000,Entries!$C$2:$C$5000,"One-off",Entries!$A$2:$A$5000,"&gt;="&amp;EDATE($A120,-11),Entries!$A$2:$A$5000,"&lt;="&amp;$A120))/12)</f>
        <v/>
      </c>
      <c r="M120" s="70">
        <f>IF($BE120=0,NA(),IFERROR((K120-L120)/K120,0))</f>
        <v/>
      </c>
      <c r="O120" s="88">
        <f>IF(OR(O$1="",$BE120=0),"",SUMIFS(Entries!$D$2:$D$5000,Entries!$C$2:$C$5000,"Actual",Entries!$A$2:$A$5000,$A120,Entries!$B$2:$B$5000,O$1))</f>
        <v/>
      </c>
      <c r="P120" s="88">
        <f>IF(OR(P$1="",$BE120=0),"",SUMIFS(Entries!$D$2:$D$5000,Entries!$C$2:$C$5000,"Actual",Entries!$A$2:$A$5000,$A120,Entries!$B$2:$B$5000,P$1))</f>
        <v/>
      </c>
      <c r="Q120" s="88">
        <f>IF(OR(Q$1="",$BE120=0),"",SUMIFS(Entries!$D$2:$D$5000,Entries!$C$2:$C$5000,"Actual",Entries!$A$2:$A$5000,$A120,Entries!$B$2:$B$5000,Q$1))</f>
        <v/>
      </c>
      <c r="R120" s="88">
        <f>IF(OR(R$1="",$BE120=0),"",SUMIFS(Entries!$D$2:$D$5000,Entries!$C$2:$C$5000,"Actual",Entries!$A$2:$A$5000,$A120,Entries!$B$2:$B$5000,R$1))</f>
        <v/>
      </c>
      <c r="S120" s="88">
        <f>IF(OR(S$1="",$BE120=0),"",SUMIFS(Entries!$D$2:$D$5000,Entries!$C$2:$C$5000,"Actual",Entries!$A$2:$A$5000,$A120,Entries!$B$2:$B$5000,S$1))</f>
        <v/>
      </c>
      <c r="T120" s="88">
        <f>IF(OR(T$1="",$BE120=0),"",SUMIFS(Entries!$D$2:$D$5000,Entries!$C$2:$C$5000,"Actual",Entries!$A$2:$A$5000,$A120,Entries!$B$2:$B$5000,T$1))</f>
        <v/>
      </c>
      <c r="U120" s="88">
        <f>IF(OR(U$1="",$BE120=0),"",SUMIFS(Entries!$D$2:$D$5000,Entries!$C$2:$C$5000,"Actual",Entries!$A$2:$A$5000,$A120,Entries!$B$2:$B$5000,U$1))</f>
        <v/>
      </c>
      <c r="V120" s="88">
        <f>IF(OR(V$1="",$BE120=0),"",SUMIFS(Entries!$D$2:$D$5000,Entries!$C$2:$C$5000,"Actual",Entries!$A$2:$A$5000,$A120,Entries!$B$2:$B$5000,V$1))</f>
        <v/>
      </c>
      <c r="W120" s="88">
        <f>IF(OR(W$1="",$BE120=0),"",SUMIFS(Entries!$D$2:$D$5000,Entries!$C$2:$C$5000,"Actual",Entries!$A$2:$A$5000,$A120,Entries!$B$2:$B$5000,W$1))</f>
        <v/>
      </c>
      <c r="X120" s="88">
        <f>IF(OR(X$1="",$BE120=0),"",SUMIFS(Entries!$D$2:$D$5000,Entries!$C$2:$C$5000,"Actual",Entries!$A$2:$A$5000,$A120,Entries!$B$2:$B$5000,X$1))</f>
        <v/>
      </c>
      <c r="Y120" s="88">
        <f>IF(OR(Y$1="",$BE120=0),"",SUMIFS(Entries!$D$2:$D$5000,Entries!$C$2:$C$5000,"Actual",Entries!$A$2:$A$5000,$A120,Entries!$B$2:$B$5000,Y$1))</f>
        <v/>
      </c>
      <c r="Z120" s="88">
        <f>IF(OR(Z$1="",$BE120=0),"",SUMIFS(Entries!$D$2:$D$5000,Entries!$C$2:$C$5000,"Actual",Entries!$A$2:$A$5000,$A120,Entries!$B$2:$B$5000,Z$1))</f>
        <v/>
      </c>
      <c r="AA120" s="88">
        <f>IF(OR(AA$1="",$BE120=0),"",SUMIFS(Entries!$D$2:$D$5000,Entries!$C$2:$C$5000,"Actual",Entries!$A$2:$A$5000,$A120,Entries!$B$2:$B$5000,AA$1))</f>
        <v/>
      </c>
      <c r="AB120" s="88">
        <f>IF(OR(AB$1="",$BE120=0),"",SUMIFS(Entries!$D$2:$D$5000,Entries!$C$2:$C$5000,"Actual",Entries!$A$2:$A$5000,$A120,Entries!$B$2:$B$5000,AB$1))</f>
        <v/>
      </c>
      <c r="AC120" s="88">
        <f>IF(OR(AC$1="",$BE120=0),"",SUMIFS(Entries!$D$2:$D$5000,Entries!$C$2:$C$5000,"Actual",Entries!$A$2:$A$5000,$A120,Entries!$B$2:$B$5000,AC$1))</f>
        <v/>
      </c>
      <c r="AD120" s="88">
        <f>IF(OR(AD$1="",$BE120=0),"",SUMIFS(Entries!$D$2:$D$5000,Entries!$C$2:$C$5000,"Actual",Entries!$A$2:$A$5000,$A120,Entries!$B$2:$B$5000,AD$1))</f>
        <v/>
      </c>
      <c r="AE120" s="88">
        <f>IF(OR(AE$1="",$BE120=0),"",SUMIFS(Entries!$D$2:$D$5000,Entries!$C$2:$C$5000,"Actual",Entries!$A$2:$A$5000,$A120,Entries!$B$2:$B$5000,AE$1))</f>
        <v/>
      </c>
      <c r="AF120" s="88">
        <f>IF(OR(AF$1="",$BE120=0),"",SUMIFS(Entries!$D$2:$D$5000,Entries!$C$2:$C$5000,"Actual",Entries!$A$2:$A$5000,$A120,Entries!$B$2:$B$5000,AF$1))</f>
        <v/>
      </c>
      <c r="AG120" s="88">
        <f>IF(OR(AG$1="",$BE120=0),"",SUMIFS(Entries!$D$2:$D$5000,Entries!$C$2:$C$5000,"Actual",Entries!$A$2:$A$5000,$A120,Entries!$B$2:$B$5000,AG$1))</f>
        <v/>
      </c>
      <c r="AH120" s="88">
        <f>IF(OR(AH$1="",$BE120=0),"",SUMIFS(Entries!$D$2:$D$5000,Entries!$C$2:$C$5000,"Actual",Entries!$A$2:$A$5000,$A120,Entries!$B$2:$B$5000,AH$1))</f>
        <v/>
      </c>
      <c r="AJ120" s="88">
        <f>IF(OR(AJ$1="",$BE120=0),"",IFERROR(LOOKUP(2,1/((Budgets!$A$2:$A$200=AJ$1)*(Budgets!$B$2:$B$200&lt;=$A120)),Budgets!$C$2:$C$200),0))</f>
        <v/>
      </c>
      <c r="AK120" s="88">
        <f>IF(OR(AK$1="",$BE120=0),"",IFERROR(LOOKUP(2,1/((Budgets!$A$2:$A$200=AK$1)*(Budgets!$B$2:$B$200&lt;=$A120)),Budgets!$C$2:$C$200),0))</f>
        <v/>
      </c>
      <c r="AL120" s="88">
        <f>IF(OR(AL$1="",$BE120=0),"",IFERROR(LOOKUP(2,1/((Budgets!$A$2:$A$200=AL$1)*(Budgets!$B$2:$B$200&lt;=$A120)),Budgets!$C$2:$C$200),0))</f>
        <v/>
      </c>
      <c r="AM120" s="88">
        <f>IF(OR(AM$1="",$BE120=0),"",IFERROR(LOOKUP(2,1/((Budgets!$A$2:$A$200=AM$1)*(Budgets!$B$2:$B$200&lt;=$A120)),Budgets!$C$2:$C$200),0))</f>
        <v/>
      </c>
      <c r="AN120" s="88">
        <f>IF(OR(AN$1="",$BE120=0),"",IFERROR(LOOKUP(2,1/((Budgets!$A$2:$A$200=AN$1)*(Budgets!$B$2:$B$200&lt;=$A120)),Budgets!$C$2:$C$200),0))</f>
        <v/>
      </c>
      <c r="AO120" s="88">
        <f>IF(OR(AO$1="",$BE120=0),"",IFERROR(LOOKUP(2,1/((Budgets!$A$2:$A$200=AO$1)*(Budgets!$B$2:$B$200&lt;=$A120)),Budgets!$C$2:$C$200),0))</f>
        <v/>
      </c>
      <c r="AP120" s="88">
        <f>IF(OR(AP$1="",$BE120=0),"",IFERROR(LOOKUP(2,1/((Budgets!$A$2:$A$200=AP$1)*(Budgets!$B$2:$B$200&lt;=$A120)),Budgets!$C$2:$C$200),0))</f>
        <v/>
      </c>
      <c r="AQ120" s="88">
        <f>IF(OR(AQ$1="",$BE120=0),"",IFERROR(LOOKUP(2,1/((Budgets!$A$2:$A$200=AQ$1)*(Budgets!$B$2:$B$200&lt;=$A120)),Budgets!$C$2:$C$200),0))</f>
        <v/>
      </c>
      <c r="AR120" s="88">
        <f>IF(OR(AR$1="",$BE120=0),"",IFERROR(LOOKUP(2,1/((Budgets!$A$2:$A$200=AR$1)*(Budgets!$B$2:$B$200&lt;=$A120)),Budgets!$C$2:$C$200),0))</f>
        <v/>
      </c>
      <c r="AS120" s="88">
        <f>IF(OR(AS$1="",$BE120=0),"",IFERROR(LOOKUP(2,1/((Budgets!$A$2:$A$200=AS$1)*(Budgets!$B$2:$B$200&lt;=$A120)),Budgets!$C$2:$C$200),0))</f>
        <v/>
      </c>
      <c r="AT120" s="88">
        <f>IF(OR(AT$1="",$BE120=0),"",IFERROR(LOOKUP(2,1/((Budgets!$A$2:$A$200=AT$1)*(Budgets!$B$2:$B$200&lt;=$A120)),Budgets!$C$2:$C$200),0))</f>
        <v/>
      </c>
      <c r="AU120" s="88">
        <f>IF(OR(AU$1="",$BE120=0),"",IFERROR(LOOKUP(2,1/((Budgets!$A$2:$A$200=AU$1)*(Budgets!$B$2:$B$200&lt;=$A120)),Budgets!$C$2:$C$200),0))</f>
        <v/>
      </c>
      <c r="AV120" s="88">
        <f>IF(OR(AV$1="",$BE120=0),"",IFERROR(LOOKUP(2,1/((Budgets!$A$2:$A$200=AV$1)*(Budgets!$B$2:$B$200&lt;=$A120)),Budgets!$C$2:$C$200),0))</f>
        <v/>
      </c>
      <c r="AW120" s="88">
        <f>IF(OR(AW$1="",$BE120=0),"",IFERROR(LOOKUP(2,1/((Budgets!$A$2:$A$200=AW$1)*(Budgets!$B$2:$B$200&lt;=$A120)),Budgets!$C$2:$C$200),0))</f>
        <v/>
      </c>
      <c r="AX120" s="88">
        <f>IF(OR(AX$1="",$BE120=0),"",IFERROR(LOOKUP(2,1/((Budgets!$A$2:$A$200=AX$1)*(Budgets!$B$2:$B$200&lt;=$A120)),Budgets!$C$2:$C$200),0))</f>
        <v/>
      </c>
      <c r="AY120" s="88">
        <f>IF(OR(AY$1="",$BE120=0),"",IFERROR(LOOKUP(2,1/((Budgets!$A$2:$A$200=AY$1)*(Budgets!$B$2:$B$200&lt;=$A120)),Budgets!$C$2:$C$200),0))</f>
        <v/>
      </c>
      <c r="AZ120" s="88">
        <f>IF(OR(AZ$1="",$BE120=0),"",IFERROR(LOOKUP(2,1/((Budgets!$A$2:$A$200=AZ$1)*(Budgets!$B$2:$B$200&lt;=$A120)),Budgets!$C$2:$C$200),0))</f>
        <v/>
      </c>
      <c r="BA120" s="88">
        <f>IF(OR(BA$1="",$BE120=0),"",IFERROR(LOOKUP(2,1/((Budgets!$A$2:$A$200=BA$1)*(Budgets!$B$2:$B$200&lt;=$A120)),Budgets!$C$2:$C$200),0))</f>
        <v/>
      </c>
      <c r="BB120" s="88">
        <f>IF(OR(BB$1="",$BE120=0),"",IFERROR(LOOKUP(2,1/((Budgets!$A$2:$A$200=BB$1)*(Budgets!$B$2:$B$200&lt;=$A120)),Budgets!$C$2:$C$200),0))</f>
        <v/>
      </c>
      <c r="BC120" s="88">
        <f>IF(OR(BC$1="",$BE120=0),"",IFERROR(LOOKUP(2,1/((Budgets!$A$2:$A$200=BC$1)*(Budgets!$B$2:$B$200&lt;=$A120)),Budgets!$C$2:$C$200),0))</f>
        <v/>
      </c>
      <c r="BE120" s="67">
        <f>COUNTIFS(Entries!$A$2:$A$5000,$A120)</f>
        <v/>
      </c>
    </row>
    <row r="121" ht="15" customHeight="1" s="43">
      <c r="A121" s="87" t="n">
        <v>43070</v>
      </c>
      <c r="B121" s="88">
        <f>IF($BE121=0,NA(),SUMIFS(Entries!$D$2:$D$5000,Entries!$C$2:$C$5000,"Income",Entries!$A$2:$A$5000,$A121))</f>
        <v/>
      </c>
      <c r="C121" s="88">
        <f>IF($BE121=0,"",SUMIFS(Entries!$D$2:$D$5000,Entries!$C$2:$C$5000,"Actual",Entries!$A$2:$A$5000,$A121))</f>
        <v/>
      </c>
      <c r="D121" s="88">
        <f>IF($BE121=0,"",SUMIFS(Entries!$D$2:$D$5000,Entries!$C$2:$C$5000,"One-off",Entries!$A$2:$A$5000,$A121))</f>
        <v/>
      </c>
      <c r="E121" s="88">
        <f>IF($BE121=0,NA(),C121+D121)</f>
        <v/>
      </c>
      <c r="F121" s="88">
        <f>IF($BE121=0,"",SUM(AJ121:BC121))</f>
        <v/>
      </c>
      <c r="G121" s="88">
        <f>IF($BE121=0,"",B121-E121)</f>
        <v/>
      </c>
      <c r="H121" s="88">
        <f>IF($BE121=0,"",SUM($G$2:G121))</f>
        <v/>
      </c>
      <c r="I121" s="88">
        <f>IF($BE121=0,"",SUMIFS(Entries!$F$2:$F$5000,Entries!$A$2:$A$5000,$A121))</f>
        <v/>
      </c>
      <c r="J121" s="88">
        <f>IF($BE121=0,NA(),H121+SUM($I$2:I121))</f>
        <v/>
      </c>
      <c r="K121" s="88">
        <f>IF($BE121=0,"",SUMIFS(Entries!$D$2:$D$5000,Entries!$C$2:$C$5000,"Income",Entries!$A$2:$A$5000,"&gt;="&amp;EDATE($A121,-11),Entries!$A$2:$A$5000,"&lt;="&amp;$A121)/12)</f>
        <v/>
      </c>
      <c r="L121" s="88">
        <f>IF($BE121=0,"",(SUMIFS(Entries!$D$2:$D$5000,Entries!$C$2:$C$5000,"Actual",Entries!$A$2:$A$5000,"&gt;="&amp;EDATE($A121,-11),Entries!$A$2:$A$5000,"&lt;="&amp;$A121)+SUMIFS(Entries!$D$2:$D$5000,Entries!$C$2:$C$5000,"One-off",Entries!$A$2:$A$5000,"&gt;="&amp;EDATE($A121,-11),Entries!$A$2:$A$5000,"&lt;="&amp;$A121))/12)</f>
        <v/>
      </c>
      <c r="M121" s="70">
        <f>IF($BE121=0,NA(),IFERROR((K121-L121)/K121,0))</f>
        <v/>
      </c>
      <c r="O121" s="88">
        <f>IF(OR(O$1="",$BE121=0),"",SUMIFS(Entries!$D$2:$D$5000,Entries!$C$2:$C$5000,"Actual",Entries!$A$2:$A$5000,$A121,Entries!$B$2:$B$5000,O$1))</f>
        <v/>
      </c>
      <c r="P121" s="88">
        <f>IF(OR(P$1="",$BE121=0),"",SUMIFS(Entries!$D$2:$D$5000,Entries!$C$2:$C$5000,"Actual",Entries!$A$2:$A$5000,$A121,Entries!$B$2:$B$5000,P$1))</f>
        <v/>
      </c>
      <c r="Q121" s="88">
        <f>IF(OR(Q$1="",$BE121=0),"",SUMIFS(Entries!$D$2:$D$5000,Entries!$C$2:$C$5000,"Actual",Entries!$A$2:$A$5000,$A121,Entries!$B$2:$B$5000,Q$1))</f>
        <v/>
      </c>
      <c r="R121" s="88">
        <f>IF(OR(R$1="",$BE121=0),"",SUMIFS(Entries!$D$2:$D$5000,Entries!$C$2:$C$5000,"Actual",Entries!$A$2:$A$5000,$A121,Entries!$B$2:$B$5000,R$1))</f>
        <v/>
      </c>
      <c r="S121" s="88">
        <f>IF(OR(S$1="",$BE121=0),"",SUMIFS(Entries!$D$2:$D$5000,Entries!$C$2:$C$5000,"Actual",Entries!$A$2:$A$5000,$A121,Entries!$B$2:$B$5000,S$1))</f>
        <v/>
      </c>
      <c r="T121" s="88">
        <f>IF(OR(T$1="",$BE121=0),"",SUMIFS(Entries!$D$2:$D$5000,Entries!$C$2:$C$5000,"Actual",Entries!$A$2:$A$5000,$A121,Entries!$B$2:$B$5000,T$1))</f>
        <v/>
      </c>
      <c r="U121" s="88">
        <f>IF(OR(U$1="",$BE121=0),"",SUMIFS(Entries!$D$2:$D$5000,Entries!$C$2:$C$5000,"Actual",Entries!$A$2:$A$5000,$A121,Entries!$B$2:$B$5000,U$1))</f>
        <v/>
      </c>
      <c r="V121" s="88">
        <f>IF(OR(V$1="",$BE121=0),"",SUMIFS(Entries!$D$2:$D$5000,Entries!$C$2:$C$5000,"Actual",Entries!$A$2:$A$5000,$A121,Entries!$B$2:$B$5000,V$1))</f>
        <v/>
      </c>
      <c r="W121" s="88">
        <f>IF(OR(W$1="",$BE121=0),"",SUMIFS(Entries!$D$2:$D$5000,Entries!$C$2:$C$5000,"Actual",Entries!$A$2:$A$5000,$A121,Entries!$B$2:$B$5000,W$1))</f>
        <v/>
      </c>
      <c r="X121" s="88">
        <f>IF(OR(X$1="",$BE121=0),"",SUMIFS(Entries!$D$2:$D$5000,Entries!$C$2:$C$5000,"Actual",Entries!$A$2:$A$5000,$A121,Entries!$B$2:$B$5000,X$1))</f>
        <v/>
      </c>
      <c r="Y121" s="88">
        <f>IF(OR(Y$1="",$BE121=0),"",SUMIFS(Entries!$D$2:$D$5000,Entries!$C$2:$C$5000,"Actual",Entries!$A$2:$A$5000,$A121,Entries!$B$2:$B$5000,Y$1))</f>
        <v/>
      </c>
      <c r="Z121" s="88">
        <f>IF(OR(Z$1="",$BE121=0),"",SUMIFS(Entries!$D$2:$D$5000,Entries!$C$2:$C$5000,"Actual",Entries!$A$2:$A$5000,$A121,Entries!$B$2:$B$5000,Z$1))</f>
        <v/>
      </c>
      <c r="AA121" s="88">
        <f>IF(OR(AA$1="",$BE121=0),"",SUMIFS(Entries!$D$2:$D$5000,Entries!$C$2:$C$5000,"Actual",Entries!$A$2:$A$5000,$A121,Entries!$B$2:$B$5000,AA$1))</f>
        <v/>
      </c>
      <c r="AB121" s="88">
        <f>IF(OR(AB$1="",$BE121=0),"",SUMIFS(Entries!$D$2:$D$5000,Entries!$C$2:$C$5000,"Actual",Entries!$A$2:$A$5000,$A121,Entries!$B$2:$B$5000,AB$1))</f>
        <v/>
      </c>
      <c r="AC121" s="88">
        <f>IF(OR(AC$1="",$BE121=0),"",SUMIFS(Entries!$D$2:$D$5000,Entries!$C$2:$C$5000,"Actual",Entries!$A$2:$A$5000,$A121,Entries!$B$2:$B$5000,AC$1))</f>
        <v/>
      </c>
      <c r="AD121" s="88">
        <f>IF(OR(AD$1="",$BE121=0),"",SUMIFS(Entries!$D$2:$D$5000,Entries!$C$2:$C$5000,"Actual",Entries!$A$2:$A$5000,$A121,Entries!$B$2:$B$5000,AD$1))</f>
        <v/>
      </c>
      <c r="AE121" s="88">
        <f>IF(OR(AE$1="",$BE121=0),"",SUMIFS(Entries!$D$2:$D$5000,Entries!$C$2:$C$5000,"Actual",Entries!$A$2:$A$5000,$A121,Entries!$B$2:$B$5000,AE$1))</f>
        <v/>
      </c>
      <c r="AF121" s="88">
        <f>IF(OR(AF$1="",$BE121=0),"",SUMIFS(Entries!$D$2:$D$5000,Entries!$C$2:$C$5000,"Actual",Entries!$A$2:$A$5000,$A121,Entries!$B$2:$B$5000,AF$1))</f>
        <v/>
      </c>
      <c r="AG121" s="88">
        <f>IF(OR(AG$1="",$BE121=0),"",SUMIFS(Entries!$D$2:$D$5000,Entries!$C$2:$C$5000,"Actual",Entries!$A$2:$A$5000,$A121,Entries!$B$2:$B$5000,AG$1))</f>
        <v/>
      </c>
      <c r="AH121" s="88">
        <f>IF(OR(AH$1="",$BE121=0),"",SUMIFS(Entries!$D$2:$D$5000,Entries!$C$2:$C$5000,"Actual",Entries!$A$2:$A$5000,$A121,Entries!$B$2:$B$5000,AH$1))</f>
        <v/>
      </c>
      <c r="AJ121" s="88">
        <f>IF(OR(AJ$1="",$BE121=0),"",IFERROR(LOOKUP(2,1/((Budgets!$A$2:$A$200=AJ$1)*(Budgets!$B$2:$B$200&lt;=$A121)),Budgets!$C$2:$C$200),0))</f>
        <v/>
      </c>
      <c r="AK121" s="88">
        <f>IF(OR(AK$1="",$BE121=0),"",IFERROR(LOOKUP(2,1/((Budgets!$A$2:$A$200=AK$1)*(Budgets!$B$2:$B$200&lt;=$A121)),Budgets!$C$2:$C$200),0))</f>
        <v/>
      </c>
      <c r="AL121" s="88">
        <f>IF(OR(AL$1="",$BE121=0),"",IFERROR(LOOKUP(2,1/((Budgets!$A$2:$A$200=AL$1)*(Budgets!$B$2:$B$200&lt;=$A121)),Budgets!$C$2:$C$200),0))</f>
        <v/>
      </c>
      <c r="AM121" s="88">
        <f>IF(OR(AM$1="",$BE121=0),"",IFERROR(LOOKUP(2,1/((Budgets!$A$2:$A$200=AM$1)*(Budgets!$B$2:$B$200&lt;=$A121)),Budgets!$C$2:$C$200),0))</f>
        <v/>
      </c>
      <c r="AN121" s="88">
        <f>IF(OR(AN$1="",$BE121=0),"",IFERROR(LOOKUP(2,1/((Budgets!$A$2:$A$200=AN$1)*(Budgets!$B$2:$B$200&lt;=$A121)),Budgets!$C$2:$C$200),0))</f>
        <v/>
      </c>
      <c r="AO121" s="88">
        <f>IF(OR(AO$1="",$BE121=0),"",IFERROR(LOOKUP(2,1/((Budgets!$A$2:$A$200=AO$1)*(Budgets!$B$2:$B$200&lt;=$A121)),Budgets!$C$2:$C$200),0))</f>
        <v/>
      </c>
      <c r="AP121" s="88">
        <f>IF(OR(AP$1="",$BE121=0),"",IFERROR(LOOKUP(2,1/((Budgets!$A$2:$A$200=AP$1)*(Budgets!$B$2:$B$200&lt;=$A121)),Budgets!$C$2:$C$200),0))</f>
        <v/>
      </c>
      <c r="AQ121" s="88">
        <f>IF(OR(AQ$1="",$BE121=0),"",IFERROR(LOOKUP(2,1/((Budgets!$A$2:$A$200=AQ$1)*(Budgets!$B$2:$B$200&lt;=$A121)),Budgets!$C$2:$C$200),0))</f>
        <v/>
      </c>
      <c r="AR121" s="88">
        <f>IF(OR(AR$1="",$BE121=0),"",IFERROR(LOOKUP(2,1/((Budgets!$A$2:$A$200=AR$1)*(Budgets!$B$2:$B$200&lt;=$A121)),Budgets!$C$2:$C$200),0))</f>
        <v/>
      </c>
      <c r="AS121" s="88">
        <f>IF(OR(AS$1="",$BE121=0),"",IFERROR(LOOKUP(2,1/((Budgets!$A$2:$A$200=AS$1)*(Budgets!$B$2:$B$200&lt;=$A121)),Budgets!$C$2:$C$200),0))</f>
        <v/>
      </c>
      <c r="AT121" s="88">
        <f>IF(OR(AT$1="",$BE121=0),"",IFERROR(LOOKUP(2,1/((Budgets!$A$2:$A$200=AT$1)*(Budgets!$B$2:$B$200&lt;=$A121)),Budgets!$C$2:$C$200),0))</f>
        <v/>
      </c>
      <c r="AU121" s="88">
        <f>IF(OR(AU$1="",$BE121=0),"",IFERROR(LOOKUP(2,1/((Budgets!$A$2:$A$200=AU$1)*(Budgets!$B$2:$B$200&lt;=$A121)),Budgets!$C$2:$C$200),0))</f>
        <v/>
      </c>
      <c r="AV121" s="88">
        <f>IF(OR(AV$1="",$BE121=0),"",IFERROR(LOOKUP(2,1/((Budgets!$A$2:$A$200=AV$1)*(Budgets!$B$2:$B$200&lt;=$A121)),Budgets!$C$2:$C$200),0))</f>
        <v/>
      </c>
      <c r="AW121" s="88">
        <f>IF(OR(AW$1="",$BE121=0),"",IFERROR(LOOKUP(2,1/((Budgets!$A$2:$A$200=AW$1)*(Budgets!$B$2:$B$200&lt;=$A121)),Budgets!$C$2:$C$200),0))</f>
        <v/>
      </c>
      <c r="AX121" s="88">
        <f>IF(OR(AX$1="",$BE121=0),"",IFERROR(LOOKUP(2,1/((Budgets!$A$2:$A$200=AX$1)*(Budgets!$B$2:$B$200&lt;=$A121)),Budgets!$C$2:$C$200),0))</f>
        <v/>
      </c>
      <c r="AY121" s="88">
        <f>IF(OR(AY$1="",$BE121=0),"",IFERROR(LOOKUP(2,1/((Budgets!$A$2:$A$200=AY$1)*(Budgets!$B$2:$B$200&lt;=$A121)),Budgets!$C$2:$C$200),0))</f>
        <v/>
      </c>
      <c r="AZ121" s="88">
        <f>IF(OR(AZ$1="",$BE121=0),"",IFERROR(LOOKUP(2,1/((Budgets!$A$2:$A$200=AZ$1)*(Budgets!$B$2:$B$200&lt;=$A121)),Budgets!$C$2:$C$200),0))</f>
        <v/>
      </c>
      <c r="BA121" s="88">
        <f>IF(OR(BA$1="",$BE121=0),"",IFERROR(LOOKUP(2,1/((Budgets!$A$2:$A$200=BA$1)*(Budgets!$B$2:$B$200&lt;=$A121)),Budgets!$C$2:$C$200),0))</f>
        <v/>
      </c>
      <c r="BB121" s="88">
        <f>IF(OR(BB$1="",$BE121=0),"",IFERROR(LOOKUP(2,1/((Budgets!$A$2:$A$200=BB$1)*(Budgets!$B$2:$B$200&lt;=$A121)),Budgets!$C$2:$C$200),0))</f>
        <v/>
      </c>
      <c r="BC121" s="88">
        <f>IF(OR(BC$1="",$BE121=0),"",IFERROR(LOOKUP(2,1/((Budgets!$A$2:$A$200=BC$1)*(Budgets!$B$2:$B$200&lt;=$A121)),Budgets!$C$2:$C$200),0))</f>
        <v/>
      </c>
      <c r="BE121" s="67">
        <f>COUNTIFS(Entries!$A$2:$A$5000,$A121)</f>
        <v/>
      </c>
    </row>
    <row r="122" ht="15" customHeight="1" s="43">
      <c r="A122" s="87" t="n">
        <v>43101</v>
      </c>
      <c r="B122" s="88">
        <f>IF($BE122=0,NA(),SUMIFS(Entries!$D$2:$D$5000,Entries!$C$2:$C$5000,"Income",Entries!$A$2:$A$5000,$A122))</f>
        <v/>
      </c>
      <c r="C122" s="88">
        <f>IF($BE122=0,"",SUMIFS(Entries!$D$2:$D$5000,Entries!$C$2:$C$5000,"Actual",Entries!$A$2:$A$5000,$A122))</f>
        <v/>
      </c>
      <c r="D122" s="88">
        <f>IF($BE122=0,"",SUMIFS(Entries!$D$2:$D$5000,Entries!$C$2:$C$5000,"One-off",Entries!$A$2:$A$5000,$A122))</f>
        <v/>
      </c>
      <c r="E122" s="88">
        <f>IF($BE122=0,NA(),C122+D122)</f>
        <v/>
      </c>
      <c r="F122" s="88">
        <f>IF($BE122=0,"",SUM(AJ122:BC122))</f>
        <v/>
      </c>
      <c r="G122" s="88">
        <f>IF($BE122=0,"",B122-E122)</f>
        <v/>
      </c>
      <c r="H122" s="88">
        <f>IF($BE122=0,"",SUM($G$2:G122))</f>
        <v/>
      </c>
      <c r="I122" s="88">
        <f>IF($BE122=0,"",SUMIFS(Entries!$F$2:$F$5000,Entries!$A$2:$A$5000,$A122))</f>
        <v/>
      </c>
      <c r="J122" s="88">
        <f>IF($BE122=0,NA(),H122+SUM($I$2:I122))</f>
        <v/>
      </c>
      <c r="K122" s="88">
        <f>IF($BE122=0,"",SUMIFS(Entries!$D$2:$D$5000,Entries!$C$2:$C$5000,"Income",Entries!$A$2:$A$5000,"&gt;="&amp;EDATE($A122,-11),Entries!$A$2:$A$5000,"&lt;="&amp;$A122)/12)</f>
        <v/>
      </c>
      <c r="L122" s="88">
        <f>IF($BE122=0,"",(SUMIFS(Entries!$D$2:$D$5000,Entries!$C$2:$C$5000,"Actual",Entries!$A$2:$A$5000,"&gt;="&amp;EDATE($A122,-11),Entries!$A$2:$A$5000,"&lt;="&amp;$A122)+SUMIFS(Entries!$D$2:$D$5000,Entries!$C$2:$C$5000,"One-off",Entries!$A$2:$A$5000,"&gt;="&amp;EDATE($A122,-11),Entries!$A$2:$A$5000,"&lt;="&amp;$A122))/12)</f>
        <v/>
      </c>
      <c r="M122" s="70">
        <f>IF($BE122=0,NA(),IFERROR((K122-L122)/K122,0))</f>
        <v/>
      </c>
      <c r="O122" s="88">
        <f>IF(OR(O$1="",$BE122=0),"",SUMIFS(Entries!$D$2:$D$5000,Entries!$C$2:$C$5000,"Actual",Entries!$A$2:$A$5000,$A122,Entries!$B$2:$B$5000,O$1))</f>
        <v/>
      </c>
      <c r="P122" s="88">
        <f>IF(OR(P$1="",$BE122=0),"",SUMIFS(Entries!$D$2:$D$5000,Entries!$C$2:$C$5000,"Actual",Entries!$A$2:$A$5000,$A122,Entries!$B$2:$B$5000,P$1))</f>
        <v/>
      </c>
      <c r="Q122" s="88">
        <f>IF(OR(Q$1="",$BE122=0),"",SUMIFS(Entries!$D$2:$D$5000,Entries!$C$2:$C$5000,"Actual",Entries!$A$2:$A$5000,$A122,Entries!$B$2:$B$5000,Q$1))</f>
        <v/>
      </c>
      <c r="R122" s="88">
        <f>IF(OR(R$1="",$BE122=0),"",SUMIFS(Entries!$D$2:$D$5000,Entries!$C$2:$C$5000,"Actual",Entries!$A$2:$A$5000,$A122,Entries!$B$2:$B$5000,R$1))</f>
        <v/>
      </c>
      <c r="S122" s="88">
        <f>IF(OR(S$1="",$BE122=0),"",SUMIFS(Entries!$D$2:$D$5000,Entries!$C$2:$C$5000,"Actual",Entries!$A$2:$A$5000,$A122,Entries!$B$2:$B$5000,S$1))</f>
        <v/>
      </c>
      <c r="T122" s="88">
        <f>IF(OR(T$1="",$BE122=0),"",SUMIFS(Entries!$D$2:$D$5000,Entries!$C$2:$C$5000,"Actual",Entries!$A$2:$A$5000,$A122,Entries!$B$2:$B$5000,T$1))</f>
        <v/>
      </c>
      <c r="U122" s="88">
        <f>IF(OR(U$1="",$BE122=0),"",SUMIFS(Entries!$D$2:$D$5000,Entries!$C$2:$C$5000,"Actual",Entries!$A$2:$A$5000,$A122,Entries!$B$2:$B$5000,U$1))</f>
        <v/>
      </c>
      <c r="V122" s="88">
        <f>IF(OR(V$1="",$BE122=0),"",SUMIFS(Entries!$D$2:$D$5000,Entries!$C$2:$C$5000,"Actual",Entries!$A$2:$A$5000,$A122,Entries!$B$2:$B$5000,V$1))</f>
        <v/>
      </c>
      <c r="W122" s="88">
        <f>IF(OR(W$1="",$BE122=0),"",SUMIFS(Entries!$D$2:$D$5000,Entries!$C$2:$C$5000,"Actual",Entries!$A$2:$A$5000,$A122,Entries!$B$2:$B$5000,W$1))</f>
        <v/>
      </c>
      <c r="X122" s="88">
        <f>IF(OR(X$1="",$BE122=0),"",SUMIFS(Entries!$D$2:$D$5000,Entries!$C$2:$C$5000,"Actual",Entries!$A$2:$A$5000,$A122,Entries!$B$2:$B$5000,X$1))</f>
        <v/>
      </c>
      <c r="Y122" s="88">
        <f>IF(OR(Y$1="",$BE122=0),"",SUMIFS(Entries!$D$2:$D$5000,Entries!$C$2:$C$5000,"Actual",Entries!$A$2:$A$5000,$A122,Entries!$B$2:$B$5000,Y$1))</f>
        <v/>
      </c>
      <c r="Z122" s="88">
        <f>IF(OR(Z$1="",$BE122=0),"",SUMIFS(Entries!$D$2:$D$5000,Entries!$C$2:$C$5000,"Actual",Entries!$A$2:$A$5000,$A122,Entries!$B$2:$B$5000,Z$1))</f>
        <v/>
      </c>
      <c r="AA122" s="88">
        <f>IF(OR(AA$1="",$BE122=0),"",SUMIFS(Entries!$D$2:$D$5000,Entries!$C$2:$C$5000,"Actual",Entries!$A$2:$A$5000,$A122,Entries!$B$2:$B$5000,AA$1))</f>
        <v/>
      </c>
      <c r="AB122" s="88">
        <f>IF(OR(AB$1="",$BE122=0),"",SUMIFS(Entries!$D$2:$D$5000,Entries!$C$2:$C$5000,"Actual",Entries!$A$2:$A$5000,$A122,Entries!$B$2:$B$5000,AB$1))</f>
        <v/>
      </c>
      <c r="AC122" s="88">
        <f>IF(OR(AC$1="",$BE122=0),"",SUMIFS(Entries!$D$2:$D$5000,Entries!$C$2:$C$5000,"Actual",Entries!$A$2:$A$5000,$A122,Entries!$B$2:$B$5000,AC$1))</f>
        <v/>
      </c>
      <c r="AD122" s="88">
        <f>IF(OR(AD$1="",$BE122=0),"",SUMIFS(Entries!$D$2:$D$5000,Entries!$C$2:$C$5000,"Actual",Entries!$A$2:$A$5000,$A122,Entries!$B$2:$B$5000,AD$1))</f>
        <v/>
      </c>
      <c r="AE122" s="88">
        <f>IF(OR(AE$1="",$BE122=0),"",SUMIFS(Entries!$D$2:$D$5000,Entries!$C$2:$C$5000,"Actual",Entries!$A$2:$A$5000,$A122,Entries!$B$2:$B$5000,AE$1))</f>
        <v/>
      </c>
      <c r="AF122" s="88">
        <f>IF(OR(AF$1="",$BE122=0),"",SUMIFS(Entries!$D$2:$D$5000,Entries!$C$2:$C$5000,"Actual",Entries!$A$2:$A$5000,$A122,Entries!$B$2:$B$5000,AF$1))</f>
        <v/>
      </c>
      <c r="AG122" s="88">
        <f>IF(OR(AG$1="",$BE122=0),"",SUMIFS(Entries!$D$2:$D$5000,Entries!$C$2:$C$5000,"Actual",Entries!$A$2:$A$5000,$A122,Entries!$B$2:$B$5000,AG$1))</f>
        <v/>
      </c>
      <c r="AH122" s="88">
        <f>IF(OR(AH$1="",$BE122=0),"",SUMIFS(Entries!$D$2:$D$5000,Entries!$C$2:$C$5000,"Actual",Entries!$A$2:$A$5000,$A122,Entries!$B$2:$B$5000,AH$1))</f>
        <v/>
      </c>
      <c r="AJ122" s="88">
        <f>IF(OR(AJ$1="",$BE122=0),"",IFERROR(LOOKUP(2,1/((Budgets!$A$2:$A$200=AJ$1)*(Budgets!$B$2:$B$200&lt;=$A122)),Budgets!$C$2:$C$200),0))</f>
        <v/>
      </c>
      <c r="AK122" s="88">
        <f>IF(OR(AK$1="",$BE122=0),"",IFERROR(LOOKUP(2,1/((Budgets!$A$2:$A$200=AK$1)*(Budgets!$B$2:$B$200&lt;=$A122)),Budgets!$C$2:$C$200),0))</f>
        <v/>
      </c>
      <c r="AL122" s="88">
        <f>IF(OR(AL$1="",$BE122=0),"",IFERROR(LOOKUP(2,1/((Budgets!$A$2:$A$200=AL$1)*(Budgets!$B$2:$B$200&lt;=$A122)),Budgets!$C$2:$C$200),0))</f>
        <v/>
      </c>
      <c r="AM122" s="88">
        <f>IF(OR(AM$1="",$BE122=0),"",IFERROR(LOOKUP(2,1/((Budgets!$A$2:$A$200=AM$1)*(Budgets!$B$2:$B$200&lt;=$A122)),Budgets!$C$2:$C$200),0))</f>
        <v/>
      </c>
      <c r="AN122" s="88">
        <f>IF(OR(AN$1="",$BE122=0),"",IFERROR(LOOKUP(2,1/((Budgets!$A$2:$A$200=AN$1)*(Budgets!$B$2:$B$200&lt;=$A122)),Budgets!$C$2:$C$200),0))</f>
        <v/>
      </c>
      <c r="AO122" s="88">
        <f>IF(OR(AO$1="",$BE122=0),"",IFERROR(LOOKUP(2,1/((Budgets!$A$2:$A$200=AO$1)*(Budgets!$B$2:$B$200&lt;=$A122)),Budgets!$C$2:$C$200),0))</f>
        <v/>
      </c>
      <c r="AP122" s="88">
        <f>IF(OR(AP$1="",$BE122=0),"",IFERROR(LOOKUP(2,1/((Budgets!$A$2:$A$200=AP$1)*(Budgets!$B$2:$B$200&lt;=$A122)),Budgets!$C$2:$C$200),0))</f>
        <v/>
      </c>
      <c r="AQ122" s="88">
        <f>IF(OR(AQ$1="",$BE122=0),"",IFERROR(LOOKUP(2,1/((Budgets!$A$2:$A$200=AQ$1)*(Budgets!$B$2:$B$200&lt;=$A122)),Budgets!$C$2:$C$200),0))</f>
        <v/>
      </c>
      <c r="AR122" s="88">
        <f>IF(OR(AR$1="",$BE122=0),"",IFERROR(LOOKUP(2,1/((Budgets!$A$2:$A$200=AR$1)*(Budgets!$B$2:$B$200&lt;=$A122)),Budgets!$C$2:$C$200),0))</f>
        <v/>
      </c>
      <c r="AS122" s="88">
        <f>IF(OR(AS$1="",$BE122=0),"",IFERROR(LOOKUP(2,1/((Budgets!$A$2:$A$200=AS$1)*(Budgets!$B$2:$B$200&lt;=$A122)),Budgets!$C$2:$C$200),0))</f>
        <v/>
      </c>
      <c r="AT122" s="88">
        <f>IF(OR(AT$1="",$BE122=0),"",IFERROR(LOOKUP(2,1/((Budgets!$A$2:$A$200=AT$1)*(Budgets!$B$2:$B$200&lt;=$A122)),Budgets!$C$2:$C$200),0))</f>
        <v/>
      </c>
      <c r="AU122" s="88">
        <f>IF(OR(AU$1="",$BE122=0),"",IFERROR(LOOKUP(2,1/((Budgets!$A$2:$A$200=AU$1)*(Budgets!$B$2:$B$200&lt;=$A122)),Budgets!$C$2:$C$200),0))</f>
        <v/>
      </c>
      <c r="AV122" s="88">
        <f>IF(OR(AV$1="",$BE122=0),"",IFERROR(LOOKUP(2,1/((Budgets!$A$2:$A$200=AV$1)*(Budgets!$B$2:$B$200&lt;=$A122)),Budgets!$C$2:$C$200),0))</f>
        <v/>
      </c>
      <c r="AW122" s="88">
        <f>IF(OR(AW$1="",$BE122=0),"",IFERROR(LOOKUP(2,1/((Budgets!$A$2:$A$200=AW$1)*(Budgets!$B$2:$B$200&lt;=$A122)),Budgets!$C$2:$C$200),0))</f>
        <v/>
      </c>
      <c r="AX122" s="88">
        <f>IF(OR(AX$1="",$BE122=0),"",IFERROR(LOOKUP(2,1/((Budgets!$A$2:$A$200=AX$1)*(Budgets!$B$2:$B$200&lt;=$A122)),Budgets!$C$2:$C$200),0))</f>
        <v/>
      </c>
      <c r="AY122" s="88">
        <f>IF(OR(AY$1="",$BE122=0),"",IFERROR(LOOKUP(2,1/((Budgets!$A$2:$A$200=AY$1)*(Budgets!$B$2:$B$200&lt;=$A122)),Budgets!$C$2:$C$200),0))</f>
        <v/>
      </c>
      <c r="AZ122" s="88">
        <f>IF(OR(AZ$1="",$BE122=0),"",IFERROR(LOOKUP(2,1/((Budgets!$A$2:$A$200=AZ$1)*(Budgets!$B$2:$B$200&lt;=$A122)),Budgets!$C$2:$C$200),0))</f>
        <v/>
      </c>
      <c r="BA122" s="88">
        <f>IF(OR(BA$1="",$BE122=0),"",IFERROR(LOOKUP(2,1/((Budgets!$A$2:$A$200=BA$1)*(Budgets!$B$2:$B$200&lt;=$A122)),Budgets!$C$2:$C$200),0))</f>
        <v/>
      </c>
      <c r="BB122" s="88">
        <f>IF(OR(BB$1="",$BE122=0),"",IFERROR(LOOKUP(2,1/((Budgets!$A$2:$A$200=BB$1)*(Budgets!$B$2:$B$200&lt;=$A122)),Budgets!$C$2:$C$200),0))</f>
        <v/>
      </c>
      <c r="BC122" s="88">
        <f>IF(OR(BC$1="",$BE122=0),"",IFERROR(LOOKUP(2,1/((Budgets!$A$2:$A$200=BC$1)*(Budgets!$B$2:$B$200&lt;=$A122)),Budgets!$C$2:$C$200),0))</f>
        <v/>
      </c>
      <c r="BE122" s="67">
        <f>COUNTIFS(Entries!$A$2:$A$5000,$A122)</f>
        <v/>
      </c>
    </row>
    <row r="123" ht="15" customHeight="1" s="43">
      <c r="A123" s="87" t="n">
        <v>43132</v>
      </c>
      <c r="B123" s="88">
        <f>IF($BE123=0,NA(),SUMIFS(Entries!$D$2:$D$5000,Entries!$C$2:$C$5000,"Income",Entries!$A$2:$A$5000,$A123))</f>
        <v/>
      </c>
      <c r="C123" s="88">
        <f>IF($BE123=0,"",SUMIFS(Entries!$D$2:$D$5000,Entries!$C$2:$C$5000,"Actual",Entries!$A$2:$A$5000,$A123))</f>
        <v/>
      </c>
      <c r="D123" s="88">
        <f>IF($BE123=0,"",SUMIFS(Entries!$D$2:$D$5000,Entries!$C$2:$C$5000,"One-off",Entries!$A$2:$A$5000,$A123))</f>
        <v/>
      </c>
      <c r="E123" s="88">
        <f>IF($BE123=0,NA(),C123+D123)</f>
        <v/>
      </c>
      <c r="F123" s="88">
        <f>IF($BE123=0,"",SUM(AJ123:BC123))</f>
        <v/>
      </c>
      <c r="G123" s="88">
        <f>IF($BE123=0,"",B123-E123)</f>
        <v/>
      </c>
      <c r="H123" s="88">
        <f>IF($BE123=0,"",SUM($G$2:G123))</f>
        <v/>
      </c>
      <c r="I123" s="88">
        <f>IF($BE123=0,"",SUMIFS(Entries!$F$2:$F$5000,Entries!$A$2:$A$5000,$A123))</f>
        <v/>
      </c>
      <c r="J123" s="88">
        <f>IF($BE123=0,NA(),H123+SUM($I$2:I123))</f>
        <v/>
      </c>
      <c r="K123" s="88">
        <f>IF($BE123=0,"",SUMIFS(Entries!$D$2:$D$5000,Entries!$C$2:$C$5000,"Income",Entries!$A$2:$A$5000,"&gt;="&amp;EDATE($A123,-11),Entries!$A$2:$A$5000,"&lt;="&amp;$A123)/12)</f>
        <v/>
      </c>
      <c r="L123" s="88">
        <f>IF($BE123=0,"",(SUMIFS(Entries!$D$2:$D$5000,Entries!$C$2:$C$5000,"Actual",Entries!$A$2:$A$5000,"&gt;="&amp;EDATE($A123,-11),Entries!$A$2:$A$5000,"&lt;="&amp;$A123)+SUMIFS(Entries!$D$2:$D$5000,Entries!$C$2:$C$5000,"One-off",Entries!$A$2:$A$5000,"&gt;="&amp;EDATE($A123,-11),Entries!$A$2:$A$5000,"&lt;="&amp;$A123))/12)</f>
        <v/>
      </c>
      <c r="M123" s="70">
        <f>IF($BE123=0,NA(),IFERROR((K123-L123)/K123,0))</f>
        <v/>
      </c>
      <c r="O123" s="88">
        <f>IF(OR(O$1="",$BE123=0),"",SUMIFS(Entries!$D$2:$D$5000,Entries!$C$2:$C$5000,"Actual",Entries!$A$2:$A$5000,$A123,Entries!$B$2:$B$5000,O$1))</f>
        <v/>
      </c>
      <c r="P123" s="88">
        <f>IF(OR(P$1="",$BE123=0),"",SUMIFS(Entries!$D$2:$D$5000,Entries!$C$2:$C$5000,"Actual",Entries!$A$2:$A$5000,$A123,Entries!$B$2:$B$5000,P$1))</f>
        <v/>
      </c>
      <c r="Q123" s="88">
        <f>IF(OR(Q$1="",$BE123=0),"",SUMIFS(Entries!$D$2:$D$5000,Entries!$C$2:$C$5000,"Actual",Entries!$A$2:$A$5000,$A123,Entries!$B$2:$B$5000,Q$1))</f>
        <v/>
      </c>
      <c r="R123" s="88">
        <f>IF(OR(R$1="",$BE123=0),"",SUMIFS(Entries!$D$2:$D$5000,Entries!$C$2:$C$5000,"Actual",Entries!$A$2:$A$5000,$A123,Entries!$B$2:$B$5000,R$1))</f>
        <v/>
      </c>
      <c r="S123" s="88">
        <f>IF(OR(S$1="",$BE123=0),"",SUMIFS(Entries!$D$2:$D$5000,Entries!$C$2:$C$5000,"Actual",Entries!$A$2:$A$5000,$A123,Entries!$B$2:$B$5000,S$1))</f>
        <v/>
      </c>
      <c r="T123" s="88">
        <f>IF(OR(T$1="",$BE123=0),"",SUMIFS(Entries!$D$2:$D$5000,Entries!$C$2:$C$5000,"Actual",Entries!$A$2:$A$5000,$A123,Entries!$B$2:$B$5000,T$1))</f>
        <v/>
      </c>
      <c r="U123" s="88">
        <f>IF(OR(U$1="",$BE123=0),"",SUMIFS(Entries!$D$2:$D$5000,Entries!$C$2:$C$5000,"Actual",Entries!$A$2:$A$5000,$A123,Entries!$B$2:$B$5000,U$1))</f>
        <v/>
      </c>
      <c r="V123" s="88">
        <f>IF(OR(V$1="",$BE123=0),"",SUMIFS(Entries!$D$2:$D$5000,Entries!$C$2:$C$5000,"Actual",Entries!$A$2:$A$5000,$A123,Entries!$B$2:$B$5000,V$1))</f>
        <v/>
      </c>
      <c r="W123" s="88">
        <f>IF(OR(W$1="",$BE123=0),"",SUMIFS(Entries!$D$2:$D$5000,Entries!$C$2:$C$5000,"Actual",Entries!$A$2:$A$5000,$A123,Entries!$B$2:$B$5000,W$1))</f>
        <v/>
      </c>
      <c r="X123" s="88">
        <f>IF(OR(X$1="",$BE123=0),"",SUMIFS(Entries!$D$2:$D$5000,Entries!$C$2:$C$5000,"Actual",Entries!$A$2:$A$5000,$A123,Entries!$B$2:$B$5000,X$1))</f>
        <v/>
      </c>
      <c r="Y123" s="88">
        <f>IF(OR(Y$1="",$BE123=0),"",SUMIFS(Entries!$D$2:$D$5000,Entries!$C$2:$C$5000,"Actual",Entries!$A$2:$A$5000,$A123,Entries!$B$2:$B$5000,Y$1))</f>
        <v/>
      </c>
      <c r="Z123" s="88">
        <f>IF(OR(Z$1="",$BE123=0),"",SUMIFS(Entries!$D$2:$D$5000,Entries!$C$2:$C$5000,"Actual",Entries!$A$2:$A$5000,$A123,Entries!$B$2:$B$5000,Z$1))</f>
        <v/>
      </c>
      <c r="AA123" s="88">
        <f>IF(OR(AA$1="",$BE123=0),"",SUMIFS(Entries!$D$2:$D$5000,Entries!$C$2:$C$5000,"Actual",Entries!$A$2:$A$5000,$A123,Entries!$B$2:$B$5000,AA$1))</f>
        <v/>
      </c>
      <c r="AB123" s="88">
        <f>IF(OR(AB$1="",$BE123=0),"",SUMIFS(Entries!$D$2:$D$5000,Entries!$C$2:$C$5000,"Actual",Entries!$A$2:$A$5000,$A123,Entries!$B$2:$B$5000,AB$1))</f>
        <v/>
      </c>
      <c r="AC123" s="88">
        <f>IF(OR(AC$1="",$BE123=0),"",SUMIFS(Entries!$D$2:$D$5000,Entries!$C$2:$C$5000,"Actual",Entries!$A$2:$A$5000,$A123,Entries!$B$2:$B$5000,AC$1))</f>
        <v/>
      </c>
      <c r="AD123" s="88">
        <f>IF(OR(AD$1="",$BE123=0),"",SUMIFS(Entries!$D$2:$D$5000,Entries!$C$2:$C$5000,"Actual",Entries!$A$2:$A$5000,$A123,Entries!$B$2:$B$5000,AD$1))</f>
        <v/>
      </c>
      <c r="AE123" s="88">
        <f>IF(OR(AE$1="",$BE123=0),"",SUMIFS(Entries!$D$2:$D$5000,Entries!$C$2:$C$5000,"Actual",Entries!$A$2:$A$5000,$A123,Entries!$B$2:$B$5000,AE$1))</f>
        <v/>
      </c>
      <c r="AF123" s="88">
        <f>IF(OR(AF$1="",$BE123=0),"",SUMIFS(Entries!$D$2:$D$5000,Entries!$C$2:$C$5000,"Actual",Entries!$A$2:$A$5000,$A123,Entries!$B$2:$B$5000,AF$1))</f>
        <v/>
      </c>
      <c r="AG123" s="88">
        <f>IF(OR(AG$1="",$BE123=0),"",SUMIFS(Entries!$D$2:$D$5000,Entries!$C$2:$C$5000,"Actual",Entries!$A$2:$A$5000,$A123,Entries!$B$2:$B$5000,AG$1))</f>
        <v/>
      </c>
      <c r="AH123" s="88">
        <f>IF(OR(AH$1="",$BE123=0),"",SUMIFS(Entries!$D$2:$D$5000,Entries!$C$2:$C$5000,"Actual",Entries!$A$2:$A$5000,$A123,Entries!$B$2:$B$5000,AH$1))</f>
        <v/>
      </c>
      <c r="AJ123" s="88">
        <f>IF(OR(AJ$1="",$BE123=0),"",IFERROR(LOOKUP(2,1/((Budgets!$A$2:$A$200=AJ$1)*(Budgets!$B$2:$B$200&lt;=$A123)),Budgets!$C$2:$C$200),0))</f>
        <v/>
      </c>
      <c r="AK123" s="88">
        <f>IF(OR(AK$1="",$BE123=0),"",IFERROR(LOOKUP(2,1/((Budgets!$A$2:$A$200=AK$1)*(Budgets!$B$2:$B$200&lt;=$A123)),Budgets!$C$2:$C$200),0))</f>
        <v/>
      </c>
      <c r="AL123" s="88">
        <f>IF(OR(AL$1="",$BE123=0),"",IFERROR(LOOKUP(2,1/((Budgets!$A$2:$A$200=AL$1)*(Budgets!$B$2:$B$200&lt;=$A123)),Budgets!$C$2:$C$200),0))</f>
        <v/>
      </c>
      <c r="AM123" s="88">
        <f>IF(OR(AM$1="",$BE123=0),"",IFERROR(LOOKUP(2,1/((Budgets!$A$2:$A$200=AM$1)*(Budgets!$B$2:$B$200&lt;=$A123)),Budgets!$C$2:$C$200),0))</f>
        <v/>
      </c>
      <c r="AN123" s="88">
        <f>IF(OR(AN$1="",$BE123=0),"",IFERROR(LOOKUP(2,1/((Budgets!$A$2:$A$200=AN$1)*(Budgets!$B$2:$B$200&lt;=$A123)),Budgets!$C$2:$C$200),0))</f>
        <v/>
      </c>
      <c r="AO123" s="88">
        <f>IF(OR(AO$1="",$BE123=0),"",IFERROR(LOOKUP(2,1/((Budgets!$A$2:$A$200=AO$1)*(Budgets!$B$2:$B$200&lt;=$A123)),Budgets!$C$2:$C$200),0))</f>
        <v/>
      </c>
      <c r="AP123" s="88">
        <f>IF(OR(AP$1="",$BE123=0),"",IFERROR(LOOKUP(2,1/((Budgets!$A$2:$A$200=AP$1)*(Budgets!$B$2:$B$200&lt;=$A123)),Budgets!$C$2:$C$200),0))</f>
        <v/>
      </c>
      <c r="AQ123" s="88">
        <f>IF(OR(AQ$1="",$BE123=0),"",IFERROR(LOOKUP(2,1/((Budgets!$A$2:$A$200=AQ$1)*(Budgets!$B$2:$B$200&lt;=$A123)),Budgets!$C$2:$C$200),0))</f>
        <v/>
      </c>
      <c r="AR123" s="88">
        <f>IF(OR(AR$1="",$BE123=0),"",IFERROR(LOOKUP(2,1/((Budgets!$A$2:$A$200=AR$1)*(Budgets!$B$2:$B$200&lt;=$A123)),Budgets!$C$2:$C$200),0))</f>
        <v/>
      </c>
      <c r="AS123" s="88">
        <f>IF(OR(AS$1="",$BE123=0),"",IFERROR(LOOKUP(2,1/((Budgets!$A$2:$A$200=AS$1)*(Budgets!$B$2:$B$200&lt;=$A123)),Budgets!$C$2:$C$200),0))</f>
        <v/>
      </c>
      <c r="AT123" s="88">
        <f>IF(OR(AT$1="",$BE123=0),"",IFERROR(LOOKUP(2,1/((Budgets!$A$2:$A$200=AT$1)*(Budgets!$B$2:$B$200&lt;=$A123)),Budgets!$C$2:$C$200),0))</f>
        <v/>
      </c>
      <c r="AU123" s="88">
        <f>IF(OR(AU$1="",$BE123=0),"",IFERROR(LOOKUP(2,1/((Budgets!$A$2:$A$200=AU$1)*(Budgets!$B$2:$B$200&lt;=$A123)),Budgets!$C$2:$C$200),0))</f>
        <v/>
      </c>
      <c r="AV123" s="88">
        <f>IF(OR(AV$1="",$BE123=0),"",IFERROR(LOOKUP(2,1/((Budgets!$A$2:$A$200=AV$1)*(Budgets!$B$2:$B$200&lt;=$A123)),Budgets!$C$2:$C$200),0))</f>
        <v/>
      </c>
      <c r="AW123" s="88">
        <f>IF(OR(AW$1="",$BE123=0),"",IFERROR(LOOKUP(2,1/((Budgets!$A$2:$A$200=AW$1)*(Budgets!$B$2:$B$200&lt;=$A123)),Budgets!$C$2:$C$200),0))</f>
        <v/>
      </c>
      <c r="AX123" s="88">
        <f>IF(OR(AX$1="",$BE123=0),"",IFERROR(LOOKUP(2,1/((Budgets!$A$2:$A$200=AX$1)*(Budgets!$B$2:$B$200&lt;=$A123)),Budgets!$C$2:$C$200),0))</f>
        <v/>
      </c>
      <c r="AY123" s="88">
        <f>IF(OR(AY$1="",$BE123=0),"",IFERROR(LOOKUP(2,1/((Budgets!$A$2:$A$200=AY$1)*(Budgets!$B$2:$B$200&lt;=$A123)),Budgets!$C$2:$C$200),0))</f>
        <v/>
      </c>
      <c r="AZ123" s="88">
        <f>IF(OR(AZ$1="",$BE123=0),"",IFERROR(LOOKUP(2,1/((Budgets!$A$2:$A$200=AZ$1)*(Budgets!$B$2:$B$200&lt;=$A123)),Budgets!$C$2:$C$200),0))</f>
        <v/>
      </c>
      <c r="BA123" s="88">
        <f>IF(OR(BA$1="",$BE123=0),"",IFERROR(LOOKUP(2,1/((Budgets!$A$2:$A$200=BA$1)*(Budgets!$B$2:$B$200&lt;=$A123)),Budgets!$C$2:$C$200),0))</f>
        <v/>
      </c>
      <c r="BB123" s="88">
        <f>IF(OR(BB$1="",$BE123=0),"",IFERROR(LOOKUP(2,1/((Budgets!$A$2:$A$200=BB$1)*(Budgets!$B$2:$B$200&lt;=$A123)),Budgets!$C$2:$C$200),0))</f>
        <v/>
      </c>
      <c r="BC123" s="88">
        <f>IF(OR(BC$1="",$BE123=0),"",IFERROR(LOOKUP(2,1/((Budgets!$A$2:$A$200=BC$1)*(Budgets!$B$2:$B$200&lt;=$A123)),Budgets!$C$2:$C$200),0))</f>
        <v/>
      </c>
      <c r="BE123" s="67">
        <f>COUNTIFS(Entries!$A$2:$A$5000,$A123)</f>
        <v/>
      </c>
    </row>
    <row r="124" ht="15" customHeight="1" s="43">
      <c r="A124" s="87" t="n">
        <v>43160</v>
      </c>
      <c r="B124" s="88">
        <f>IF($BE124=0,NA(),SUMIFS(Entries!$D$2:$D$5000,Entries!$C$2:$C$5000,"Income",Entries!$A$2:$A$5000,$A124))</f>
        <v/>
      </c>
      <c r="C124" s="88">
        <f>IF($BE124=0,"",SUMIFS(Entries!$D$2:$D$5000,Entries!$C$2:$C$5000,"Actual",Entries!$A$2:$A$5000,$A124))</f>
        <v/>
      </c>
      <c r="D124" s="88">
        <f>IF($BE124=0,"",SUMIFS(Entries!$D$2:$D$5000,Entries!$C$2:$C$5000,"One-off",Entries!$A$2:$A$5000,$A124))</f>
        <v/>
      </c>
      <c r="E124" s="88">
        <f>IF($BE124=0,NA(),C124+D124)</f>
        <v/>
      </c>
      <c r="F124" s="88">
        <f>IF($BE124=0,"",SUM(AJ124:BC124))</f>
        <v/>
      </c>
      <c r="G124" s="88">
        <f>IF($BE124=0,"",B124-E124)</f>
        <v/>
      </c>
      <c r="H124" s="88">
        <f>IF($BE124=0,"",SUM($G$2:G124))</f>
        <v/>
      </c>
      <c r="I124" s="88">
        <f>IF($BE124=0,"",SUMIFS(Entries!$F$2:$F$5000,Entries!$A$2:$A$5000,$A124))</f>
        <v/>
      </c>
      <c r="J124" s="88">
        <f>IF($BE124=0,NA(),H124+SUM($I$2:I124))</f>
        <v/>
      </c>
      <c r="K124" s="88">
        <f>IF($BE124=0,"",SUMIFS(Entries!$D$2:$D$5000,Entries!$C$2:$C$5000,"Income",Entries!$A$2:$A$5000,"&gt;="&amp;EDATE($A124,-11),Entries!$A$2:$A$5000,"&lt;="&amp;$A124)/12)</f>
        <v/>
      </c>
      <c r="L124" s="88">
        <f>IF($BE124=0,"",(SUMIFS(Entries!$D$2:$D$5000,Entries!$C$2:$C$5000,"Actual",Entries!$A$2:$A$5000,"&gt;="&amp;EDATE($A124,-11),Entries!$A$2:$A$5000,"&lt;="&amp;$A124)+SUMIFS(Entries!$D$2:$D$5000,Entries!$C$2:$C$5000,"One-off",Entries!$A$2:$A$5000,"&gt;="&amp;EDATE($A124,-11),Entries!$A$2:$A$5000,"&lt;="&amp;$A124))/12)</f>
        <v/>
      </c>
      <c r="M124" s="70">
        <f>IF($BE124=0,NA(),IFERROR((K124-L124)/K124,0))</f>
        <v/>
      </c>
      <c r="O124" s="88">
        <f>IF(OR(O$1="",$BE124=0),"",SUMIFS(Entries!$D$2:$D$5000,Entries!$C$2:$C$5000,"Actual",Entries!$A$2:$A$5000,$A124,Entries!$B$2:$B$5000,O$1))</f>
        <v/>
      </c>
      <c r="P124" s="88">
        <f>IF(OR(P$1="",$BE124=0),"",SUMIFS(Entries!$D$2:$D$5000,Entries!$C$2:$C$5000,"Actual",Entries!$A$2:$A$5000,$A124,Entries!$B$2:$B$5000,P$1))</f>
        <v/>
      </c>
      <c r="Q124" s="88">
        <f>IF(OR(Q$1="",$BE124=0),"",SUMIFS(Entries!$D$2:$D$5000,Entries!$C$2:$C$5000,"Actual",Entries!$A$2:$A$5000,$A124,Entries!$B$2:$B$5000,Q$1))</f>
        <v/>
      </c>
      <c r="R124" s="88">
        <f>IF(OR(R$1="",$BE124=0),"",SUMIFS(Entries!$D$2:$D$5000,Entries!$C$2:$C$5000,"Actual",Entries!$A$2:$A$5000,$A124,Entries!$B$2:$B$5000,R$1))</f>
        <v/>
      </c>
      <c r="S124" s="88">
        <f>IF(OR(S$1="",$BE124=0),"",SUMIFS(Entries!$D$2:$D$5000,Entries!$C$2:$C$5000,"Actual",Entries!$A$2:$A$5000,$A124,Entries!$B$2:$B$5000,S$1))</f>
        <v/>
      </c>
      <c r="T124" s="88">
        <f>IF(OR(T$1="",$BE124=0),"",SUMIFS(Entries!$D$2:$D$5000,Entries!$C$2:$C$5000,"Actual",Entries!$A$2:$A$5000,$A124,Entries!$B$2:$B$5000,T$1))</f>
        <v/>
      </c>
      <c r="U124" s="88">
        <f>IF(OR(U$1="",$BE124=0),"",SUMIFS(Entries!$D$2:$D$5000,Entries!$C$2:$C$5000,"Actual",Entries!$A$2:$A$5000,$A124,Entries!$B$2:$B$5000,U$1))</f>
        <v/>
      </c>
      <c r="V124" s="88">
        <f>IF(OR(V$1="",$BE124=0),"",SUMIFS(Entries!$D$2:$D$5000,Entries!$C$2:$C$5000,"Actual",Entries!$A$2:$A$5000,$A124,Entries!$B$2:$B$5000,V$1))</f>
        <v/>
      </c>
      <c r="W124" s="88">
        <f>IF(OR(W$1="",$BE124=0),"",SUMIFS(Entries!$D$2:$D$5000,Entries!$C$2:$C$5000,"Actual",Entries!$A$2:$A$5000,$A124,Entries!$B$2:$B$5000,W$1))</f>
        <v/>
      </c>
      <c r="X124" s="88">
        <f>IF(OR(X$1="",$BE124=0),"",SUMIFS(Entries!$D$2:$D$5000,Entries!$C$2:$C$5000,"Actual",Entries!$A$2:$A$5000,$A124,Entries!$B$2:$B$5000,X$1))</f>
        <v/>
      </c>
      <c r="Y124" s="88">
        <f>IF(OR(Y$1="",$BE124=0),"",SUMIFS(Entries!$D$2:$D$5000,Entries!$C$2:$C$5000,"Actual",Entries!$A$2:$A$5000,$A124,Entries!$B$2:$B$5000,Y$1))</f>
        <v/>
      </c>
      <c r="Z124" s="88">
        <f>IF(OR(Z$1="",$BE124=0),"",SUMIFS(Entries!$D$2:$D$5000,Entries!$C$2:$C$5000,"Actual",Entries!$A$2:$A$5000,$A124,Entries!$B$2:$B$5000,Z$1))</f>
        <v/>
      </c>
      <c r="AA124" s="88">
        <f>IF(OR(AA$1="",$BE124=0),"",SUMIFS(Entries!$D$2:$D$5000,Entries!$C$2:$C$5000,"Actual",Entries!$A$2:$A$5000,$A124,Entries!$B$2:$B$5000,AA$1))</f>
        <v/>
      </c>
      <c r="AB124" s="88">
        <f>IF(OR(AB$1="",$BE124=0),"",SUMIFS(Entries!$D$2:$D$5000,Entries!$C$2:$C$5000,"Actual",Entries!$A$2:$A$5000,$A124,Entries!$B$2:$B$5000,AB$1))</f>
        <v/>
      </c>
      <c r="AC124" s="88">
        <f>IF(OR(AC$1="",$BE124=0),"",SUMIFS(Entries!$D$2:$D$5000,Entries!$C$2:$C$5000,"Actual",Entries!$A$2:$A$5000,$A124,Entries!$B$2:$B$5000,AC$1))</f>
        <v/>
      </c>
      <c r="AD124" s="88">
        <f>IF(OR(AD$1="",$BE124=0),"",SUMIFS(Entries!$D$2:$D$5000,Entries!$C$2:$C$5000,"Actual",Entries!$A$2:$A$5000,$A124,Entries!$B$2:$B$5000,AD$1))</f>
        <v/>
      </c>
      <c r="AE124" s="88">
        <f>IF(OR(AE$1="",$BE124=0),"",SUMIFS(Entries!$D$2:$D$5000,Entries!$C$2:$C$5000,"Actual",Entries!$A$2:$A$5000,$A124,Entries!$B$2:$B$5000,AE$1))</f>
        <v/>
      </c>
      <c r="AF124" s="88">
        <f>IF(OR(AF$1="",$BE124=0),"",SUMIFS(Entries!$D$2:$D$5000,Entries!$C$2:$C$5000,"Actual",Entries!$A$2:$A$5000,$A124,Entries!$B$2:$B$5000,AF$1))</f>
        <v/>
      </c>
      <c r="AG124" s="88">
        <f>IF(OR(AG$1="",$BE124=0),"",SUMIFS(Entries!$D$2:$D$5000,Entries!$C$2:$C$5000,"Actual",Entries!$A$2:$A$5000,$A124,Entries!$B$2:$B$5000,AG$1))</f>
        <v/>
      </c>
      <c r="AH124" s="88">
        <f>IF(OR(AH$1="",$BE124=0),"",SUMIFS(Entries!$D$2:$D$5000,Entries!$C$2:$C$5000,"Actual",Entries!$A$2:$A$5000,$A124,Entries!$B$2:$B$5000,AH$1))</f>
        <v/>
      </c>
      <c r="AJ124" s="88">
        <f>IF(OR(AJ$1="",$BE124=0),"",IFERROR(LOOKUP(2,1/((Budgets!$A$2:$A$200=AJ$1)*(Budgets!$B$2:$B$200&lt;=$A124)),Budgets!$C$2:$C$200),0))</f>
        <v/>
      </c>
      <c r="AK124" s="88">
        <f>IF(OR(AK$1="",$BE124=0),"",IFERROR(LOOKUP(2,1/((Budgets!$A$2:$A$200=AK$1)*(Budgets!$B$2:$B$200&lt;=$A124)),Budgets!$C$2:$C$200),0))</f>
        <v/>
      </c>
      <c r="AL124" s="88">
        <f>IF(OR(AL$1="",$BE124=0),"",IFERROR(LOOKUP(2,1/((Budgets!$A$2:$A$200=AL$1)*(Budgets!$B$2:$B$200&lt;=$A124)),Budgets!$C$2:$C$200),0))</f>
        <v/>
      </c>
      <c r="AM124" s="88">
        <f>IF(OR(AM$1="",$BE124=0),"",IFERROR(LOOKUP(2,1/((Budgets!$A$2:$A$200=AM$1)*(Budgets!$B$2:$B$200&lt;=$A124)),Budgets!$C$2:$C$200),0))</f>
        <v/>
      </c>
      <c r="AN124" s="88">
        <f>IF(OR(AN$1="",$BE124=0),"",IFERROR(LOOKUP(2,1/((Budgets!$A$2:$A$200=AN$1)*(Budgets!$B$2:$B$200&lt;=$A124)),Budgets!$C$2:$C$200),0))</f>
        <v/>
      </c>
      <c r="AO124" s="88">
        <f>IF(OR(AO$1="",$BE124=0),"",IFERROR(LOOKUP(2,1/((Budgets!$A$2:$A$200=AO$1)*(Budgets!$B$2:$B$200&lt;=$A124)),Budgets!$C$2:$C$200),0))</f>
        <v/>
      </c>
      <c r="AP124" s="88">
        <f>IF(OR(AP$1="",$BE124=0),"",IFERROR(LOOKUP(2,1/((Budgets!$A$2:$A$200=AP$1)*(Budgets!$B$2:$B$200&lt;=$A124)),Budgets!$C$2:$C$200),0))</f>
        <v/>
      </c>
      <c r="AQ124" s="88">
        <f>IF(OR(AQ$1="",$BE124=0),"",IFERROR(LOOKUP(2,1/((Budgets!$A$2:$A$200=AQ$1)*(Budgets!$B$2:$B$200&lt;=$A124)),Budgets!$C$2:$C$200),0))</f>
        <v/>
      </c>
      <c r="AR124" s="88">
        <f>IF(OR(AR$1="",$BE124=0),"",IFERROR(LOOKUP(2,1/((Budgets!$A$2:$A$200=AR$1)*(Budgets!$B$2:$B$200&lt;=$A124)),Budgets!$C$2:$C$200),0))</f>
        <v/>
      </c>
      <c r="AS124" s="88">
        <f>IF(OR(AS$1="",$BE124=0),"",IFERROR(LOOKUP(2,1/((Budgets!$A$2:$A$200=AS$1)*(Budgets!$B$2:$B$200&lt;=$A124)),Budgets!$C$2:$C$200),0))</f>
        <v/>
      </c>
      <c r="AT124" s="88">
        <f>IF(OR(AT$1="",$BE124=0),"",IFERROR(LOOKUP(2,1/((Budgets!$A$2:$A$200=AT$1)*(Budgets!$B$2:$B$200&lt;=$A124)),Budgets!$C$2:$C$200),0))</f>
        <v/>
      </c>
      <c r="AU124" s="88">
        <f>IF(OR(AU$1="",$BE124=0),"",IFERROR(LOOKUP(2,1/((Budgets!$A$2:$A$200=AU$1)*(Budgets!$B$2:$B$200&lt;=$A124)),Budgets!$C$2:$C$200),0))</f>
        <v/>
      </c>
      <c r="AV124" s="88">
        <f>IF(OR(AV$1="",$BE124=0),"",IFERROR(LOOKUP(2,1/((Budgets!$A$2:$A$200=AV$1)*(Budgets!$B$2:$B$200&lt;=$A124)),Budgets!$C$2:$C$200),0))</f>
        <v/>
      </c>
      <c r="AW124" s="88">
        <f>IF(OR(AW$1="",$BE124=0),"",IFERROR(LOOKUP(2,1/((Budgets!$A$2:$A$200=AW$1)*(Budgets!$B$2:$B$200&lt;=$A124)),Budgets!$C$2:$C$200),0))</f>
        <v/>
      </c>
      <c r="AX124" s="88">
        <f>IF(OR(AX$1="",$BE124=0),"",IFERROR(LOOKUP(2,1/((Budgets!$A$2:$A$200=AX$1)*(Budgets!$B$2:$B$200&lt;=$A124)),Budgets!$C$2:$C$200),0))</f>
        <v/>
      </c>
      <c r="AY124" s="88">
        <f>IF(OR(AY$1="",$BE124=0),"",IFERROR(LOOKUP(2,1/((Budgets!$A$2:$A$200=AY$1)*(Budgets!$B$2:$B$200&lt;=$A124)),Budgets!$C$2:$C$200),0))</f>
        <v/>
      </c>
      <c r="AZ124" s="88">
        <f>IF(OR(AZ$1="",$BE124=0),"",IFERROR(LOOKUP(2,1/((Budgets!$A$2:$A$200=AZ$1)*(Budgets!$B$2:$B$200&lt;=$A124)),Budgets!$C$2:$C$200),0))</f>
        <v/>
      </c>
      <c r="BA124" s="88">
        <f>IF(OR(BA$1="",$BE124=0),"",IFERROR(LOOKUP(2,1/((Budgets!$A$2:$A$200=BA$1)*(Budgets!$B$2:$B$200&lt;=$A124)),Budgets!$C$2:$C$200),0))</f>
        <v/>
      </c>
      <c r="BB124" s="88">
        <f>IF(OR(BB$1="",$BE124=0),"",IFERROR(LOOKUP(2,1/((Budgets!$A$2:$A$200=BB$1)*(Budgets!$B$2:$B$200&lt;=$A124)),Budgets!$C$2:$C$200),0))</f>
        <v/>
      </c>
      <c r="BC124" s="88">
        <f>IF(OR(BC$1="",$BE124=0),"",IFERROR(LOOKUP(2,1/((Budgets!$A$2:$A$200=BC$1)*(Budgets!$B$2:$B$200&lt;=$A124)),Budgets!$C$2:$C$200),0))</f>
        <v/>
      </c>
      <c r="BE124" s="67">
        <f>COUNTIFS(Entries!$A$2:$A$5000,$A124)</f>
        <v/>
      </c>
    </row>
    <row r="125" ht="15" customHeight="1" s="43">
      <c r="A125" s="87" t="n">
        <v>43191</v>
      </c>
      <c r="B125" s="88">
        <f>IF($BE125=0,NA(),SUMIFS(Entries!$D$2:$D$5000,Entries!$C$2:$C$5000,"Income",Entries!$A$2:$A$5000,$A125))</f>
        <v/>
      </c>
      <c r="C125" s="88">
        <f>IF($BE125=0,"",SUMIFS(Entries!$D$2:$D$5000,Entries!$C$2:$C$5000,"Actual",Entries!$A$2:$A$5000,$A125))</f>
        <v/>
      </c>
      <c r="D125" s="88">
        <f>IF($BE125=0,"",SUMIFS(Entries!$D$2:$D$5000,Entries!$C$2:$C$5000,"One-off",Entries!$A$2:$A$5000,$A125))</f>
        <v/>
      </c>
      <c r="E125" s="88">
        <f>IF($BE125=0,NA(),C125+D125)</f>
        <v/>
      </c>
      <c r="F125" s="88">
        <f>IF($BE125=0,"",SUM(AJ125:BC125))</f>
        <v/>
      </c>
      <c r="G125" s="88">
        <f>IF($BE125=0,"",B125-E125)</f>
        <v/>
      </c>
      <c r="H125" s="88">
        <f>IF($BE125=0,"",SUM($G$2:G125))</f>
        <v/>
      </c>
      <c r="I125" s="88">
        <f>IF($BE125=0,"",SUMIFS(Entries!$F$2:$F$5000,Entries!$A$2:$A$5000,$A125))</f>
        <v/>
      </c>
      <c r="J125" s="88">
        <f>IF($BE125=0,NA(),H125+SUM($I$2:I125))</f>
        <v/>
      </c>
      <c r="K125" s="88">
        <f>IF($BE125=0,"",SUMIFS(Entries!$D$2:$D$5000,Entries!$C$2:$C$5000,"Income",Entries!$A$2:$A$5000,"&gt;="&amp;EDATE($A125,-11),Entries!$A$2:$A$5000,"&lt;="&amp;$A125)/12)</f>
        <v/>
      </c>
      <c r="L125" s="88">
        <f>IF($BE125=0,"",(SUMIFS(Entries!$D$2:$D$5000,Entries!$C$2:$C$5000,"Actual",Entries!$A$2:$A$5000,"&gt;="&amp;EDATE($A125,-11),Entries!$A$2:$A$5000,"&lt;="&amp;$A125)+SUMIFS(Entries!$D$2:$D$5000,Entries!$C$2:$C$5000,"One-off",Entries!$A$2:$A$5000,"&gt;="&amp;EDATE($A125,-11),Entries!$A$2:$A$5000,"&lt;="&amp;$A125))/12)</f>
        <v/>
      </c>
      <c r="M125" s="70">
        <f>IF($BE125=0,NA(),IFERROR((K125-L125)/K125,0))</f>
        <v/>
      </c>
      <c r="O125" s="88">
        <f>IF(OR(O$1="",$BE125=0),"",SUMIFS(Entries!$D$2:$D$5000,Entries!$C$2:$C$5000,"Actual",Entries!$A$2:$A$5000,$A125,Entries!$B$2:$B$5000,O$1))</f>
        <v/>
      </c>
      <c r="P125" s="88">
        <f>IF(OR(P$1="",$BE125=0),"",SUMIFS(Entries!$D$2:$D$5000,Entries!$C$2:$C$5000,"Actual",Entries!$A$2:$A$5000,$A125,Entries!$B$2:$B$5000,P$1))</f>
        <v/>
      </c>
      <c r="Q125" s="88">
        <f>IF(OR(Q$1="",$BE125=0),"",SUMIFS(Entries!$D$2:$D$5000,Entries!$C$2:$C$5000,"Actual",Entries!$A$2:$A$5000,$A125,Entries!$B$2:$B$5000,Q$1))</f>
        <v/>
      </c>
      <c r="R125" s="88">
        <f>IF(OR(R$1="",$BE125=0),"",SUMIFS(Entries!$D$2:$D$5000,Entries!$C$2:$C$5000,"Actual",Entries!$A$2:$A$5000,$A125,Entries!$B$2:$B$5000,R$1))</f>
        <v/>
      </c>
      <c r="S125" s="88">
        <f>IF(OR(S$1="",$BE125=0),"",SUMIFS(Entries!$D$2:$D$5000,Entries!$C$2:$C$5000,"Actual",Entries!$A$2:$A$5000,$A125,Entries!$B$2:$B$5000,S$1))</f>
        <v/>
      </c>
      <c r="T125" s="88">
        <f>IF(OR(T$1="",$BE125=0),"",SUMIFS(Entries!$D$2:$D$5000,Entries!$C$2:$C$5000,"Actual",Entries!$A$2:$A$5000,$A125,Entries!$B$2:$B$5000,T$1))</f>
        <v/>
      </c>
      <c r="U125" s="88">
        <f>IF(OR(U$1="",$BE125=0),"",SUMIFS(Entries!$D$2:$D$5000,Entries!$C$2:$C$5000,"Actual",Entries!$A$2:$A$5000,$A125,Entries!$B$2:$B$5000,U$1))</f>
        <v/>
      </c>
      <c r="V125" s="88">
        <f>IF(OR(V$1="",$BE125=0),"",SUMIFS(Entries!$D$2:$D$5000,Entries!$C$2:$C$5000,"Actual",Entries!$A$2:$A$5000,$A125,Entries!$B$2:$B$5000,V$1))</f>
        <v/>
      </c>
      <c r="W125" s="88">
        <f>IF(OR(W$1="",$BE125=0),"",SUMIFS(Entries!$D$2:$D$5000,Entries!$C$2:$C$5000,"Actual",Entries!$A$2:$A$5000,$A125,Entries!$B$2:$B$5000,W$1))</f>
        <v/>
      </c>
      <c r="X125" s="88">
        <f>IF(OR(X$1="",$BE125=0),"",SUMIFS(Entries!$D$2:$D$5000,Entries!$C$2:$C$5000,"Actual",Entries!$A$2:$A$5000,$A125,Entries!$B$2:$B$5000,X$1))</f>
        <v/>
      </c>
      <c r="Y125" s="88">
        <f>IF(OR(Y$1="",$BE125=0),"",SUMIFS(Entries!$D$2:$D$5000,Entries!$C$2:$C$5000,"Actual",Entries!$A$2:$A$5000,$A125,Entries!$B$2:$B$5000,Y$1))</f>
        <v/>
      </c>
      <c r="Z125" s="88">
        <f>IF(OR(Z$1="",$BE125=0),"",SUMIFS(Entries!$D$2:$D$5000,Entries!$C$2:$C$5000,"Actual",Entries!$A$2:$A$5000,$A125,Entries!$B$2:$B$5000,Z$1))</f>
        <v/>
      </c>
      <c r="AA125" s="88">
        <f>IF(OR(AA$1="",$BE125=0),"",SUMIFS(Entries!$D$2:$D$5000,Entries!$C$2:$C$5000,"Actual",Entries!$A$2:$A$5000,$A125,Entries!$B$2:$B$5000,AA$1))</f>
        <v/>
      </c>
      <c r="AB125" s="88">
        <f>IF(OR(AB$1="",$BE125=0),"",SUMIFS(Entries!$D$2:$D$5000,Entries!$C$2:$C$5000,"Actual",Entries!$A$2:$A$5000,$A125,Entries!$B$2:$B$5000,AB$1))</f>
        <v/>
      </c>
      <c r="AC125" s="88">
        <f>IF(OR(AC$1="",$BE125=0),"",SUMIFS(Entries!$D$2:$D$5000,Entries!$C$2:$C$5000,"Actual",Entries!$A$2:$A$5000,$A125,Entries!$B$2:$B$5000,AC$1))</f>
        <v/>
      </c>
      <c r="AD125" s="88">
        <f>IF(OR(AD$1="",$BE125=0),"",SUMIFS(Entries!$D$2:$D$5000,Entries!$C$2:$C$5000,"Actual",Entries!$A$2:$A$5000,$A125,Entries!$B$2:$B$5000,AD$1))</f>
        <v/>
      </c>
      <c r="AE125" s="88">
        <f>IF(OR(AE$1="",$BE125=0),"",SUMIFS(Entries!$D$2:$D$5000,Entries!$C$2:$C$5000,"Actual",Entries!$A$2:$A$5000,$A125,Entries!$B$2:$B$5000,AE$1))</f>
        <v/>
      </c>
      <c r="AF125" s="88">
        <f>IF(OR(AF$1="",$BE125=0),"",SUMIFS(Entries!$D$2:$D$5000,Entries!$C$2:$C$5000,"Actual",Entries!$A$2:$A$5000,$A125,Entries!$B$2:$B$5000,AF$1))</f>
        <v/>
      </c>
      <c r="AG125" s="88">
        <f>IF(OR(AG$1="",$BE125=0),"",SUMIFS(Entries!$D$2:$D$5000,Entries!$C$2:$C$5000,"Actual",Entries!$A$2:$A$5000,$A125,Entries!$B$2:$B$5000,AG$1))</f>
        <v/>
      </c>
      <c r="AH125" s="88">
        <f>IF(OR(AH$1="",$BE125=0),"",SUMIFS(Entries!$D$2:$D$5000,Entries!$C$2:$C$5000,"Actual",Entries!$A$2:$A$5000,$A125,Entries!$B$2:$B$5000,AH$1))</f>
        <v/>
      </c>
      <c r="AJ125" s="88">
        <f>IF(OR(AJ$1="",$BE125=0),"",IFERROR(LOOKUP(2,1/((Budgets!$A$2:$A$200=AJ$1)*(Budgets!$B$2:$B$200&lt;=$A125)),Budgets!$C$2:$C$200),0))</f>
        <v/>
      </c>
      <c r="AK125" s="88">
        <f>IF(OR(AK$1="",$BE125=0),"",IFERROR(LOOKUP(2,1/((Budgets!$A$2:$A$200=AK$1)*(Budgets!$B$2:$B$200&lt;=$A125)),Budgets!$C$2:$C$200),0))</f>
        <v/>
      </c>
      <c r="AL125" s="88">
        <f>IF(OR(AL$1="",$BE125=0),"",IFERROR(LOOKUP(2,1/((Budgets!$A$2:$A$200=AL$1)*(Budgets!$B$2:$B$200&lt;=$A125)),Budgets!$C$2:$C$200),0))</f>
        <v/>
      </c>
      <c r="AM125" s="88">
        <f>IF(OR(AM$1="",$BE125=0),"",IFERROR(LOOKUP(2,1/((Budgets!$A$2:$A$200=AM$1)*(Budgets!$B$2:$B$200&lt;=$A125)),Budgets!$C$2:$C$200),0))</f>
        <v/>
      </c>
      <c r="AN125" s="88">
        <f>IF(OR(AN$1="",$BE125=0),"",IFERROR(LOOKUP(2,1/((Budgets!$A$2:$A$200=AN$1)*(Budgets!$B$2:$B$200&lt;=$A125)),Budgets!$C$2:$C$200),0))</f>
        <v/>
      </c>
      <c r="AO125" s="88">
        <f>IF(OR(AO$1="",$BE125=0),"",IFERROR(LOOKUP(2,1/((Budgets!$A$2:$A$200=AO$1)*(Budgets!$B$2:$B$200&lt;=$A125)),Budgets!$C$2:$C$200),0))</f>
        <v/>
      </c>
      <c r="AP125" s="88">
        <f>IF(OR(AP$1="",$BE125=0),"",IFERROR(LOOKUP(2,1/((Budgets!$A$2:$A$200=AP$1)*(Budgets!$B$2:$B$200&lt;=$A125)),Budgets!$C$2:$C$200),0))</f>
        <v/>
      </c>
      <c r="AQ125" s="88">
        <f>IF(OR(AQ$1="",$BE125=0),"",IFERROR(LOOKUP(2,1/((Budgets!$A$2:$A$200=AQ$1)*(Budgets!$B$2:$B$200&lt;=$A125)),Budgets!$C$2:$C$200),0))</f>
        <v/>
      </c>
      <c r="AR125" s="88">
        <f>IF(OR(AR$1="",$BE125=0),"",IFERROR(LOOKUP(2,1/((Budgets!$A$2:$A$200=AR$1)*(Budgets!$B$2:$B$200&lt;=$A125)),Budgets!$C$2:$C$200),0))</f>
        <v/>
      </c>
      <c r="AS125" s="88">
        <f>IF(OR(AS$1="",$BE125=0),"",IFERROR(LOOKUP(2,1/((Budgets!$A$2:$A$200=AS$1)*(Budgets!$B$2:$B$200&lt;=$A125)),Budgets!$C$2:$C$200),0))</f>
        <v/>
      </c>
      <c r="AT125" s="88">
        <f>IF(OR(AT$1="",$BE125=0),"",IFERROR(LOOKUP(2,1/((Budgets!$A$2:$A$200=AT$1)*(Budgets!$B$2:$B$200&lt;=$A125)),Budgets!$C$2:$C$200),0))</f>
        <v/>
      </c>
      <c r="AU125" s="88">
        <f>IF(OR(AU$1="",$BE125=0),"",IFERROR(LOOKUP(2,1/((Budgets!$A$2:$A$200=AU$1)*(Budgets!$B$2:$B$200&lt;=$A125)),Budgets!$C$2:$C$200),0))</f>
        <v/>
      </c>
      <c r="AV125" s="88">
        <f>IF(OR(AV$1="",$BE125=0),"",IFERROR(LOOKUP(2,1/((Budgets!$A$2:$A$200=AV$1)*(Budgets!$B$2:$B$200&lt;=$A125)),Budgets!$C$2:$C$200),0))</f>
        <v/>
      </c>
      <c r="AW125" s="88">
        <f>IF(OR(AW$1="",$BE125=0),"",IFERROR(LOOKUP(2,1/((Budgets!$A$2:$A$200=AW$1)*(Budgets!$B$2:$B$200&lt;=$A125)),Budgets!$C$2:$C$200),0))</f>
        <v/>
      </c>
      <c r="AX125" s="88">
        <f>IF(OR(AX$1="",$BE125=0),"",IFERROR(LOOKUP(2,1/((Budgets!$A$2:$A$200=AX$1)*(Budgets!$B$2:$B$200&lt;=$A125)),Budgets!$C$2:$C$200),0))</f>
        <v/>
      </c>
      <c r="AY125" s="88">
        <f>IF(OR(AY$1="",$BE125=0),"",IFERROR(LOOKUP(2,1/((Budgets!$A$2:$A$200=AY$1)*(Budgets!$B$2:$B$200&lt;=$A125)),Budgets!$C$2:$C$200),0))</f>
        <v/>
      </c>
      <c r="AZ125" s="88">
        <f>IF(OR(AZ$1="",$BE125=0),"",IFERROR(LOOKUP(2,1/((Budgets!$A$2:$A$200=AZ$1)*(Budgets!$B$2:$B$200&lt;=$A125)),Budgets!$C$2:$C$200),0))</f>
        <v/>
      </c>
      <c r="BA125" s="88">
        <f>IF(OR(BA$1="",$BE125=0),"",IFERROR(LOOKUP(2,1/((Budgets!$A$2:$A$200=BA$1)*(Budgets!$B$2:$B$200&lt;=$A125)),Budgets!$C$2:$C$200),0))</f>
        <v/>
      </c>
      <c r="BB125" s="88">
        <f>IF(OR(BB$1="",$BE125=0),"",IFERROR(LOOKUP(2,1/((Budgets!$A$2:$A$200=BB$1)*(Budgets!$B$2:$B$200&lt;=$A125)),Budgets!$C$2:$C$200),0))</f>
        <v/>
      </c>
      <c r="BC125" s="88">
        <f>IF(OR(BC$1="",$BE125=0),"",IFERROR(LOOKUP(2,1/((Budgets!$A$2:$A$200=BC$1)*(Budgets!$B$2:$B$200&lt;=$A125)),Budgets!$C$2:$C$200),0))</f>
        <v/>
      </c>
      <c r="BE125" s="67">
        <f>COUNTIFS(Entries!$A$2:$A$5000,$A125)</f>
        <v/>
      </c>
    </row>
    <row r="126" ht="15" customHeight="1" s="43">
      <c r="A126" s="87" t="n">
        <v>43221</v>
      </c>
      <c r="B126" s="88">
        <f>IF($BE126=0,NA(),SUMIFS(Entries!$D$2:$D$5000,Entries!$C$2:$C$5000,"Income",Entries!$A$2:$A$5000,$A126))</f>
        <v/>
      </c>
      <c r="C126" s="88">
        <f>IF($BE126=0,"",SUMIFS(Entries!$D$2:$D$5000,Entries!$C$2:$C$5000,"Actual",Entries!$A$2:$A$5000,$A126))</f>
        <v/>
      </c>
      <c r="D126" s="88">
        <f>IF($BE126=0,"",SUMIFS(Entries!$D$2:$D$5000,Entries!$C$2:$C$5000,"One-off",Entries!$A$2:$A$5000,$A126))</f>
        <v/>
      </c>
      <c r="E126" s="88">
        <f>IF($BE126=0,NA(),C126+D126)</f>
        <v/>
      </c>
      <c r="F126" s="88">
        <f>IF($BE126=0,"",SUM(AJ126:BC126))</f>
        <v/>
      </c>
      <c r="G126" s="88">
        <f>IF($BE126=0,"",B126-E126)</f>
        <v/>
      </c>
      <c r="H126" s="88">
        <f>IF($BE126=0,"",SUM($G$2:G126))</f>
        <v/>
      </c>
      <c r="I126" s="88">
        <f>IF($BE126=0,"",SUMIFS(Entries!$F$2:$F$5000,Entries!$A$2:$A$5000,$A126))</f>
        <v/>
      </c>
      <c r="J126" s="88">
        <f>IF($BE126=0,NA(),H126+SUM($I$2:I126))</f>
        <v/>
      </c>
      <c r="K126" s="88">
        <f>IF($BE126=0,"",SUMIFS(Entries!$D$2:$D$5000,Entries!$C$2:$C$5000,"Income",Entries!$A$2:$A$5000,"&gt;="&amp;EDATE($A126,-11),Entries!$A$2:$A$5000,"&lt;="&amp;$A126)/12)</f>
        <v/>
      </c>
      <c r="L126" s="88">
        <f>IF($BE126=0,"",(SUMIFS(Entries!$D$2:$D$5000,Entries!$C$2:$C$5000,"Actual",Entries!$A$2:$A$5000,"&gt;="&amp;EDATE($A126,-11),Entries!$A$2:$A$5000,"&lt;="&amp;$A126)+SUMIFS(Entries!$D$2:$D$5000,Entries!$C$2:$C$5000,"One-off",Entries!$A$2:$A$5000,"&gt;="&amp;EDATE($A126,-11),Entries!$A$2:$A$5000,"&lt;="&amp;$A126))/12)</f>
        <v/>
      </c>
      <c r="M126" s="70">
        <f>IF($BE126=0,NA(),IFERROR((K126-L126)/K126,0))</f>
        <v/>
      </c>
      <c r="O126" s="88">
        <f>IF(OR(O$1="",$BE126=0),"",SUMIFS(Entries!$D$2:$D$5000,Entries!$C$2:$C$5000,"Actual",Entries!$A$2:$A$5000,$A126,Entries!$B$2:$B$5000,O$1))</f>
        <v/>
      </c>
      <c r="P126" s="88">
        <f>IF(OR(P$1="",$BE126=0),"",SUMIFS(Entries!$D$2:$D$5000,Entries!$C$2:$C$5000,"Actual",Entries!$A$2:$A$5000,$A126,Entries!$B$2:$B$5000,P$1))</f>
        <v/>
      </c>
      <c r="Q126" s="88">
        <f>IF(OR(Q$1="",$BE126=0),"",SUMIFS(Entries!$D$2:$D$5000,Entries!$C$2:$C$5000,"Actual",Entries!$A$2:$A$5000,$A126,Entries!$B$2:$B$5000,Q$1))</f>
        <v/>
      </c>
      <c r="R126" s="88">
        <f>IF(OR(R$1="",$BE126=0),"",SUMIFS(Entries!$D$2:$D$5000,Entries!$C$2:$C$5000,"Actual",Entries!$A$2:$A$5000,$A126,Entries!$B$2:$B$5000,R$1))</f>
        <v/>
      </c>
      <c r="S126" s="88">
        <f>IF(OR(S$1="",$BE126=0),"",SUMIFS(Entries!$D$2:$D$5000,Entries!$C$2:$C$5000,"Actual",Entries!$A$2:$A$5000,$A126,Entries!$B$2:$B$5000,S$1))</f>
        <v/>
      </c>
      <c r="T126" s="88">
        <f>IF(OR(T$1="",$BE126=0),"",SUMIFS(Entries!$D$2:$D$5000,Entries!$C$2:$C$5000,"Actual",Entries!$A$2:$A$5000,$A126,Entries!$B$2:$B$5000,T$1))</f>
        <v/>
      </c>
      <c r="U126" s="88">
        <f>IF(OR(U$1="",$BE126=0),"",SUMIFS(Entries!$D$2:$D$5000,Entries!$C$2:$C$5000,"Actual",Entries!$A$2:$A$5000,$A126,Entries!$B$2:$B$5000,U$1))</f>
        <v/>
      </c>
      <c r="V126" s="88">
        <f>IF(OR(V$1="",$BE126=0),"",SUMIFS(Entries!$D$2:$D$5000,Entries!$C$2:$C$5000,"Actual",Entries!$A$2:$A$5000,$A126,Entries!$B$2:$B$5000,V$1))</f>
        <v/>
      </c>
      <c r="W126" s="88">
        <f>IF(OR(W$1="",$BE126=0),"",SUMIFS(Entries!$D$2:$D$5000,Entries!$C$2:$C$5000,"Actual",Entries!$A$2:$A$5000,$A126,Entries!$B$2:$B$5000,W$1))</f>
        <v/>
      </c>
      <c r="X126" s="88">
        <f>IF(OR(X$1="",$BE126=0),"",SUMIFS(Entries!$D$2:$D$5000,Entries!$C$2:$C$5000,"Actual",Entries!$A$2:$A$5000,$A126,Entries!$B$2:$B$5000,X$1))</f>
        <v/>
      </c>
      <c r="Y126" s="88">
        <f>IF(OR(Y$1="",$BE126=0),"",SUMIFS(Entries!$D$2:$D$5000,Entries!$C$2:$C$5000,"Actual",Entries!$A$2:$A$5000,$A126,Entries!$B$2:$B$5000,Y$1))</f>
        <v/>
      </c>
      <c r="Z126" s="88">
        <f>IF(OR(Z$1="",$BE126=0),"",SUMIFS(Entries!$D$2:$D$5000,Entries!$C$2:$C$5000,"Actual",Entries!$A$2:$A$5000,$A126,Entries!$B$2:$B$5000,Z$1))</f>
        <v/>
      </c>
      <c r="AA126" s="88">
        <f>IF(OR(AA$1="",$BE126=0),"",SUMIFS(Entries!$D$2:$D$5000,Entries!$C$2:$C$5000,"Actual",Entries!$A$2:$A$5000,$A126,Entries!$B$2:$B$5000,AA$1))</f>
        <v/>
      </c>
      <c r="AB126" s="88">
        <f>IF(OR(AB$1="",$BE126=0),"",SUMIFS(Entries!$D$2:$D$5000,Entries!$C$2:$C$5000,"Actual",Entries!$A$2:$A$5000,$A126,Entries!$B$2:$B$5000,AB$1))</f>
        <v/>
      </c>
      <c r="AC126" s="88">
        <f>IF(OR(AC$1="",$BE126=0),"",SUMIFS(Entries!$D$2:$D$5000,Entries!$C$2:$C$5000,"Actual",Entries!$A$2:$A$5000,$A126,Entries!$B$2:$B$5000,AC$1))</f>
        <v/>
      </c>
      <c r="AD126" s="88">
        <f>IF(OR(AD$1="",$BE126=0),"",SUMIFS(Entries!$D$2:$D$5000,Entries!$C$2:$C$5000,"Actual",Entries!$A$2:$A$5000,$A126,Entries!$B$2:$B$5000,AD$1))</f>
        <v/>
      </c>
      <c r="AE126" s="88">
        <f>IF(OR(AE$1="",$BE126=0),"",SUMIFS(Entries!$D$2:$D$5000,Entries!$C$2:$C$5000,"Actual",Entries!$A$2:$A$5000,$A126,Entries!$B$2:$B$5000,AE$1))</f>
        <v/>
      </c>
      <c r="AF126" s="88">
        <f>IF(OR(AF$1="",$BE126=0),"",SUMIFS(Entries!$D$2:$D$5000,Entries!$C$2:$C$5000,"Actual",Entries!$A$2:$A$5000,$A126,Entries!$B$2:$B$5000,AF$1))</f>
        <v/>
      </c>
      <c r="AG126" s="88">
        <f>IF(OR(AG$1="",$BE126=0),"",SUMIFS(Entries!$D$2:$D$5000,Entries!$C$2:$C$5000,"Actual",Entries!$A$2:$A$5000,$A126,Entries!$B$2:$B$5000,AG$1))</f>
        <v/>
      </c>
      <c r="AH126" s="88">
        <f>IF(OR(AH$1="",$BE126=0),"",SUMIFS(Entries!$D$2:$D$5000,Entries!$C$2:$C$5000,"Actual",Entries!$A$2:$A$5000,$A126,Entries!$B$2:$B$5000,AH$1))</f>
        <v/>
      </c>
      <c r="AJ126" s="88">
        <f>IF(OR(AJ$1="",$BE126=0),"",IFERROR(LOOKUP(2,1/((Budgets!$A$2:$A$200=AJ$1)*(Budgets!$B$2:$B$200&lt;=$A126)),Budgets!$C$2:$C$200),0))</f>
        <v/>
      </c>
      <c r="AK126" s="88">
        <f>IF(OR(AK$1="",$BE126=0),"",IFERROR(LOOKUP(2,1/((Budgets!$A$2:$A$200=AK$1)*(Budgets!$B$2:$B$200&lt;=$A126)),Budgets!$C$2:$C$200),0))</f>
        <v/>
      </c>
      <c r="AL126" s="88">
        <f>IF(OR(AL$1="",$BE126=0),"",IFERROR(LOOKUP(2,1/((Budgets!$A$2:$A$200=AL$1)*(Budgets!$B$2:$B$200&lt;=$A126)),Budgets!$C$2:$C$200),0))</f>
        <v/>
      </c>
      <c r="AM126" s="88">
        <f>IF(OR(AM$1="",$BE126=0),"",IFERROR(LOOKUP(2,1/((Budgets!$A$2:$A$200=AM$1)*(Budgets!$B$2:$B$200&lt;=$A126)),Budgets!$C$2:$C$200),0))</f>
        <v/>
      </c>
      <c r="AN126" s="88">
        <f>IF(OR(AN$1="",$BE126=0),"",IFERROR(LOOKUP(2,1/((Budgets!$A$2:$A$200=AN$1)*(Budgets!$B$2:$B$200&lt;=$A126)),Budgets!$C$2:$C$200),0))</f>
        <v/>
      </c>
      <c r="AO126" s="88">
        <f>IF(OR(AO$1="",$BE126=0),"",IFERROR(LOOKUP(2,1/((Budgets!$A$2:$A$200=AO$1)*(Budgets!$B$2:$B$200&lt;=$A126)),Budgets!$C$2:$C$200),0))</f>
        <v/>
      </c>
      <c r="AP126" s="88">
        <f>IF(OR(AP$1="",$BE126=0),"",IFERROR(LOOKUP(2,1/((Budgets!$A$2:$A$200=AP$1)*(Budgets!$B$2:$B$200&lt;=$A126)),Budgets!$C$2:$C$200),0))</f>
        <v/>
      </c>
      <c r="AQ126" s="88">
        <f>IF(OR(AQ$1="",$BE126=0),"",IFERROR(LOOKUP(2,1/((Budgets!$A$2:$A$200=AQ$1)*(Budgets!$B$2:$B$200&lt;=$A126)),Budgets!$C$2:$C$200),0))</f>
        <v/>
      </c>
      <c r="AR126" s="88">
        <f>IF(OR(AR$1="",$BE126=0),"",IFERROR(LOOKUP(2,1/((Budgets!$A$2:$A$200=AR$1)*(Budgets!$B$2:$B$200&lt;=$A126)),Budgets!$C$2:$C$200),0))</f>
        <v/>
      </c>
      <c r="AS126" s="88">
        <f>IF(OR(AS$1="",$BE126=0),"",IFERROR(LOOKUP(2,1/((Budgets!$A$2:$A$200=AS$1)*(Budgets!$B$2:$B$200&lt;=$A126)),Budgets!$C$2:$C$200),0))</f>
        <v/>
      </c>
      <c r="AT126" s="88">
        <f>IF(OR(AT$1="",$BE126=0),"",IFERROR(LOOKUP(2,1/((Budgets!$A$2:$A$200=AT$1)*(Budgets!$B$2:$B$200&lt;=$A126)),Budgets!$C$2:$C$200),0))</f>
        <v/>
      </c>
      <c r="AU126" s="88">
        <f>IF(OR(AU$1="",$BE126=0),"",IFERROR(LOOKUP(2,1/((Budgets!$A$2:$A$200=AU$1)*(Budgets!$B$2:$B$200&lt;=$A126)),Budgets!$C$2:$C$200),0))</f>
        <v/>
      </c>
      <c r="AV126" s="88">
        <f>IF(OR(AV$1="",$BE126=0),"",IFERROR(LOOKUP(2,1/((Budgets!$A$2:$A$200=AV$1)*(Budgets!$B$2:$B$200&lt;=$A126)),Budgets!$C$2:$C$200),0))</f>
        <v/>
      </c>
      <c r="AW126" s="88">
        <f>IF(OR(AW$1="",$BE126=0),"",IFERROR(LOOKUP(2,1/((Budgets!$A$2:$A$200=AW$1)*(Budgets!$B$2:$B$200&lt;=$A126)),Budgets!$C$2:$C$200),0))</f>
        <v/>
      </c>
      <c r="AX126" s="88">
        <f>IF(OR(AX$1="",$BE126=0),"",IFERROR(LOOKUP(2,1/((Budgets!$A$2:$A$200=AX$1)*(Budgets!$B$2:$B$200&lt;=$A126)),Budgets!$C$2:$C$200),0))</f>
        <v/>
      </c>
      <c r="AY126" s="88">
        <f>IF(OR(AY$1="",$BE126=0),"",IFERROR(LOOKUP(2,1/((Budgets!$A$2:$A$200=AY$1)*(Budgets!$B$2:$B$200&lt;=$A126)),Budgets!$C$2:$C$200),0))</f>
        <v/>
      </c>
      <c r="AZ126" s="88">
        <f>IF(OR(AZ$1="",$BE126=0),"",IFERROR(LOOKUP(2,1/((Budgets!$A$2:$A$200=AZ$1)*(Budgets!$B$2:$B$200&lt;=$A126)),Budgets!$C$2:$C$200),0))</f>
        <v/>
      </c>
      <c r="BA126" s="88">
        <f>IF(OR(BA$1="",$BE126=0),"",IFERROR(LOOKUP(2,1/((Budgets!$A$2:$A$200=BA$1)*(Budgets!$B$2:$B$200&lt;=$A126)),Budgets!$C$2:$C$200),0))</f>
        <v/>
      </c>
      <c r="BB126" s="88">
        <f>IF(OR(BB$1="",$BE126=0),"",IFERROR(LOOKUP(2,1/((Budgets!$A$2:$A$200=BB$1)*(Budgets!$B$2:$B$200&lt;=$A126)),Budgets!$C$2:$C$200),0))</f>
        <v/>
      </c>
      <c r="BC126" s="88">
        <f>IF(OR(BC$1="",$BE126=0),"",IFERROR(LOOKUP(2,1/((Budgets!$A$2:$A$200=BC$1)*(Budgets!$B$2:$B$200&lt;=$A126)),Budgets!$C$2:$C$200),0))</f>
        <v/>
      </c>
      <c r="BE126" s="67">
        <f>COUNTIFS(Entries!$A$2:$A$5000,$A126)</f>
        <v/>
      </c>
    </row>
    <row r="127" ht="15" customHeight="1" s="43">
      <c r="A127" s="87" t="n">
        <v>43252</v>
      </c>
      <c r="B127" s="88">
        <f>IF($BE127=0,NA(),SUMIFS(Entries!$D$2:$D$5000,Entries!$C$2:$C$5000,"Income",Entries!$A$2:$A$5000,$A127))</f>
        <v/>
      </c>
      <c r="C127" s="88">
        <f>IF($BE127=0,"",SUMIFS(Entries!$D$2:$D$5000,Entries!$C$2:$C$5000,"Actual",Entries!$A$2:$A$5000,$A127))</f>
        <v/>
      </c>
      <c r="D127" s="88">
        <f>IF($BE127=0,"",SUMIFS(Entries!$D$2:$D$5000,Entries!$C$2:$C$5000,"One-off",Entries!$A$2:$A$5000,$A127))</f>
        <v/>
      </c>
      <c r="E127" s="88">
        <f>IF($BE127=0,NA(),C127+D127)</f>
        <v/>
      </c>
      <c r="F127" s="88">
        <f>IF($BE127=0,"",SUM(AJ127:BC127))</f>
        <v/>
      </c>
      <c r="G127" s="88">
        <f>IF($BE127=0,"",B127-E127)</f>
        <v/>
      </c>
      <c r="H127" s="88">
        <f>IF($BE127=0,"",SUM($G$2:G127))</f>
        <v/>
      </c>
      <c r="I127" s="88">
        <f>IF($BE127=0,"",SUMIFS(Entries!$F$2:$F$5000,Entries!$A$2:$A$5000,$A127))</f>
        <v/>
      </c>
      <c r="J127" s="88">
        <f>IF($BE127=0,NA(),H127+SUM($I$2:I127))</f>
        <v/>
      </c>
      <c r="K127" s="88">
        <f>IF($BE127=0,"",SUMIFS(Entries!$D$2:$D$5000,Entries!$C$2:$C$5000,"Income",Entries!$A$2:$A$5000,"&gt;="&amp;EDATE($A127,-11),Entries!$A$2:$A$5000,"&lt;="&amp;$A127)/12)</f>
        <v/>
      </c>
      <c r="L127" s="88">
        <f>IF($BE127=0,"",(SUMIFS(Entries!$D$2:$D$5000,Entries!$C$2:$C$5000,"Actual",Entries!$A$2:$A$5000,"&gt;="&amp;EDATE($A127,-11),Entries!$A$2:$A$5000,"&lt;="&amp;$A127)+SUMIFS(Entries!$D$2:$D$5000,Entries!$C$2:$C$5000,"One-off",Entries!$A$2:$A$5000,"&gt;="&amp;EDATE($A127,-11),Entries!$A$2:$A$5000,"&lt;="&amp;$A127))/12)</f>
        <v/>
      </c>
      <c r="M127" s="70">
        <f>IF($BE127=0,NA(),IFERROR((K127-L127)/K127,0))</f>
        <v/>
      </c>
      <c r="O127" s="88">
        <f>IF(OR(O$1="",$BE127=0),"",SUMIFS(Entries!$D$2:$D$5000,Entries!$C$2:$C$5000,"Actual",Entries!$A$2:$A$5000,$A127,Entries!$B$2:$B$5000,O$1))</f>
        <v/>
      </c>
      <c r="P127" s="88">
        <f>IF(OR(P$1="",$BE127=0),"",SUMIFS(Entries!$D$2:$D$5000,Entries!$C$2:$C$5000,"Actual",Entries!$A$2:$A$5000,$A127,Entries!$B$2:$B$5000,P$1))</f>
        <v/>
      </c>
      <c r="Q127" s="88">
        <f>IF(OR(Q$1="",$BE127=0),"",SUMIFS(Entries!$D$2:$D$5000,Entries!$C$2:$C$5000,"Actual",Entries!$A$2:$A$5000,$A127,Entries!$B$2:$B$5000,Q$1))</f>
        <v/>
      </c>
      <c r="R127" s="88">
        <f>IF(OR(R$1="",$BE127=0),"",SUMIFS(Entries!$D$2:$D$5000,Entries!$C$2:$C$5000,"Actual",Entries!$A$2:$A$5000,$A127,Entries!$B$2:$B$5000,R$1))</f>
        <v/>
      </c>
      <c r="S127" s="88">
        <f>IF(OR(S$1="",$BE127=0),"",SUMIFS(Entries!$D$2:$D$5000,Entries!$C$2:$C$5000,"Actual",Entries!$A$2:$A$5000,$A127,Entries!$B$2:$B$5000,S$1))</f>
        <v/>
      </c>
      <c r="T127" s="88">
        <f>IF(OR(T$1="",$BE127=0),"",SUMIFS(Entries!$D$2:$D$5000,Entries!$C$2:$C$5000,"Actual",Entries!$A$2:$A$5000,$A127,Entries!$B$2:$B$5000,T$1))</f>
        <v/>
      </c>
      <c r="U127" s="88">
        <f>IF(OR(U$1="",$BE127=0),"",SUMIFS(Entries!$D$2:$D$5000,Entries!$C$2:$C$5000,"Actual",Entries!$A$2:$A$5000,$A127,Entries!$B$2:$B$5000,U$1))</f>
        <v/>
      </c>
      <c r="V127" s="88">
        <f>IF(OR(V$1="",$BE127=0),"",SUMIFS(Entries!$D$2:$D$5000,Entries!$C$2:$C$5000,"Actual",Entries!$A$2:$A$5000,$A127,Entries!$B$2:$B$5000,V$1))</f>
        <v/>
      </c>
      <c r="W127" s="88">
        <f>IF(OR(W$1="",$BE127=0),"",SUMIFS(Entries!$D$2:$D$5000,Entries!$C$2:$C$5000,"Actual",Entries!$A$2:$A$5000,$A127,Entries!$B$2:$B$5000,W$1))</f>
        <v/>
      </c>
      <c r="X127" s="88">
        <f>IF(OR(X$1="",$BE127=0),"",SUMIFS(Entries!$D$2:$D$5000,Entries!$C$2:$C$5000,"Actual",Entries!$A$2:$A$5000,$A127,Entries!$B$2:$B$5000,X$1))</f>
        <v/>
      </c>
      <c r="Y127" s="88">
        <f>IF(OR(Y$1="",$BE127=0),"",SUMIFS(Entries!$D$2:$D$5000,Entries!$C$2:$C$5000,"Actual",Entries!$A$2:$A$5000,$A127,Entries!$B$2:$B$5000,Y$1))</f>
        <v/>
      </c>
      <c r="Z127" s="88">
        <f>IF(OR(Z$1="",$BE127=0),"",SUMIFS(Entries!$D$2:$D$5000,Entries!$C$2:$C$5000,"Actual",Entries!$A$2:$A$5000,$A127,Entries!$B$2:$B$5000,Z$1))</f>
        <v/>
      </c>
      <c r="AA127" s="88">
        <f>IF(OR(AA$1="",$BE127=0),"",SUMIFS(Entries!$D$2:$D$5000,Entries!$C$2:$C$5000,"Actual",Entries!$A$2:$A$5000,$A127,Entries!$B$2:$B$5000,AA$1))</f>
        <v/>
      </c>
      <c r="AB127" s="88">
        <f>IF(OR(AB$1="",$BE127=0),"",SUMIFS(Entries!$D$2:$D$5000,Entries!$C$2:$C$5000,"Actual",Entries!$A$2:$A$5000,$A127,Entries!$B$2:$B$5000,AB$1))</f>
        <v/>
      </c>
      <c r="AC127" s="88">
        <f>IF(OR(AC$1="",$BE127=0),"",SUMIFS(Entries!$D$2:$D$5000,Entries!$C$2:$C$5000,"Actual",Entries!$A$2:$A$5000,$A127,Entries!$B$2:$B$5000,AC$1))</f>
        <v/>
      </c>
      <c r="AD127" s="88">
        <f>IF(OR(AD$1="",$BE127=0),"",SUMIFS(Entries!$D$2:$D$5000,Entries!$C$2:$C$5000,"Actual",Entries!$A$2:$A$5000,$A127,Entries!$B$2:$B$5000,AD$1))</f>
        <v/>
      </c>
      <c r="AE127" s="88">
        <f>IF(OR(AE$1="",$BE127=0),"",SUMIFS(Entries!$D$2:$D$5000,Entries!$C$2:$C$5000,"Actual",Entries!$A$2:$A$5000,$A127,Entries!$B$2:$B$5000,AE$1))</f>
        <v/>
      </c>
      <c r="AF127" s="88">
        <f>IF(OR(AF$1="",$BE127=0),"",SUMIFS(Entries!$D$2:$D$5000,Entries!$C$2:$C$5000,"Actual",Entries!$A$2:$A$5000,$A127,Entries!$B$2:$B$5000,AF$1))</f>
        <v/>
      </c>
      <c r="AG127" s="88">
        <f>IF(OR(AG$1="",$BE127=0),"",SUMIFS(Entries!$D$2:$D$5000,Entries!$C$2:$C$5000,"Actual",Entries!$A$2:$A$5000,$A127,Entries!$B$2:$B$5000,AG$1))</f>
        <v/>
      </c>
      <c r="AH127" s="88">
        <f>IF(OR(AH$1="",$BE127=0),"",SUMIFS(Entries!$D$2:$D$5000,Entries!$C$2:$C$5000,"Actual",Entries!$A$2:$A$5000,$A127,Entries!$B$2:$B$5000,AH$1))</f>
        <v/>
      </c>
      <c r="AJ127" s="88">
        <f>IF(OR(AJ$1="",$BE127=0),"",IFERROR(LOOKUP(2,1/((Budgets!$A$2:$A$200=AJ$1)*(Budgets!$B$2:$B$200&lt;=$A127)),Budgets!$C$2:$C$200),0))</f>
        <v/>
      </c>
      <c r="AK127" s="88">
        <f>IF(OR(AK$1="",$BE127=0),"",IFERROR(LOOKUP(2,1/((Budgets!$A$2:$A$200=AK$1)*(Budgets!$B$2:$B$200&lt;=$A127)),Budgets!$C$2:$C$200),0))</f>
        <v/>
      </c>
      <c r="AL127" s="88">
        <f>IF(OR(AL$1="",$BE127=0),"",IFERROR(LOOKUP(2,1/((Budgets!$A$2:$A$200=AL$1)*(Budgets!$B$2:$B$200&lt;=$A127)),Budgets!$C$2:$C$200),0))</f>
        <v/>
      </c>
      <c r="AM127" s="88">
        <f>IF(OR(AM$1="",$BE127=0),"",IFERROR(LOOKUP(2,1/((Budgets!$A$2:$A$200=AM$1)*(Budgets!$B$2:$B$200&lt;=$A127)),Budgets!$C$2:$C$200),0))</f>
        <v/>
      </c>
      <c r="AN127" s="88">
        <f>IF(OR(AN$1="",$BE127=0),"",IFERROR(LOOKUP(2,1/((Budgets!$A$2:$A$200=AN$1)*(Budgets!$B$2:$B$200&lt;=$A127)),Budgets!$C$2:$C$200),0))</f>
        <v/>
      </c>
      <c r="AO127" s="88">
        <f>IF(OR(AO$1="",$BE127=0),"",IFERROR(LOOKUP(2,1/((Budgets!$A$2:$A$200=AO$1)*(Budgets!$B$2:$B$200&lt;=$A127)),Budgets!$C$2:$C$200),0))</f>
        <v/>
      </c>
      <c r="AP127" s="88">
        <f>IF(OR(AP$1="",$BE127=0),"",IFERROR(LOOKUP(2,1/((Budgets!$A$2:$A$200=AP$1)*(Budgets!$B$2:$B$200&lt;=$A127)),Budgets!$C$2:$C$200),0))</f>
        <v/>
      </c>
      <c r="AQ127" s="88">
        <f>IF(OR(AQ$1="",$BE127=0),"",IFERROR(LOOKUP(2,1/((Budgets!$A$2:$A$200=AQ$1)*(Budgets!$B$2:$B$200&lt;=$A127)),Budgets!$C$2:$C$200),0))</f>
        <v/>
      </c>
      <c r="AR127" s="88">
        <f>IF(OR(AR$1="",$BE127=0),"",IFERROR(LOOKUP(2,1/((Budgets!$A$2:$A$200=AR$1)*(Budgets!$B$2:$B$200&lt;=$A127)),Budgets!$C$2:$C$200),0))</f>
        <v/>
      </c>
      <c r="AS127" s="88">
        <f>IF(OR(AS$1="",$BE127=0),"",IFERROR(LOOKUP(2,1/((Budgets!$A$2:$A$200=AS$1)*(Budgets!$B$2:$B$200&lt;=$A127)),Budgets!$C$2:$C$200),0))</f>
        <v/>
      </c>
      <c r="AT127" s="88">
        <f>IF(OR(AT$1="",$BE127=0),"",IFERROR(LOOKUP(2,1/((Budgets!$A$2:$A$200=AT$1)*(Budgets!$B$2:$B$200&lt;=$A127)),Budgets!$C$2:$C$200),0))</f>
        <v/>
      </c>
      <c r="AU127" s="88">
        <f>IF(OR(AU$1="",$BE127=0),"",IFERROR(LOOKUP(2,1/((Budgets!$A$2:$A$200=AU$1)*(Budgets!$B$2:$B$200&lt;=$A127)),Budgets!$C$2:$C$200),0))</f>
        <v/>
      </c>
      <c r="AV127" s="88">
        <f>IF(OR(AV$1="",$BE127=0),"",IFERROR(LOOKUP(2,1/((Budgets!$A$2:$A$200=AV$1)*(Budgets!$B$2:$B$200&lt;=$A127)),Budgets!$C$2:$C$200),0))</f>
        <v/>
      </c>
      <c r="AW127" s="88">
        <f>IF(OR(AW$1="",$BE127=0),"",IFERROR(LOOKUP(2,1/((Budgets!$A$2:$A$200=AW$1)*(Budgets!$B$2:$B$200&lt;=$A127)),Budgets!$C$2:$C$200),0))</f>
        <v/>
      </c>
      <c r="AX127" s="88">
        <f>IF(OR(AX$1="",$BE127=0),"",IFERROR(LOOKUP(2,1/((Budgets!$A$2:$A$200=AX$1)*(Budgets!$B$2:$B$200&lt;=$A127)),Budgets!$C$2:$C$200),0))</f>
        <v/>
      </c>
      <c r="AY127" s="88">
        <f>IF(OR(AY$1="",$BE127=0),"",IFERROR(LOOKUP(2,1/((Budgets!$A$2:$A$200=AY$1)*(Budgets!$B$2:$B$200&lt;=$A127)),Budgets!$C$2:$C$200),0))</f>
        <v/>
      </c>
      <c r="AZ127" s="88">
        <f>IF(OR(AZ$1="",$BE127=0),"",IFERROR(LOOKUP(2,1/((Budgets!$A$2:$A$200=AZ$1)*(Budgets!$B$2:$B$200&lt;=$A127)),Budgets!$C$2:$C$200),0))</f>
        <v/>
      </c>
      <c r="BA127" s="88">
        <f>IF(OR(BA$1="",$BE127=0),"",IFERROR(LOOKUP(2,1/((Budgets!$A$2:$A$200=BA$1)*(Budgets!$B$2:$B$200&lt;=$A127)),Budgets!$C$2:$C$200),0))</f>
        <v/>
      </c>
      <c r="BB127" s="88">
        <f>IF(OR(BB$1="",$BE127=0),"",IFERROR(LOOKUP(2,1/((Budgets!$A$2:$A$200=BB$1)*(Budgets!$B$2:$B$200&lt;=$A127)),Budgets!$C$2:$C$200),0))</f>
        <v/>
      </c>
      <c r="BC127" s="88">
        <f>IF(OR(BC$1="",$BE127=0),"",IFERROR(LOOKUP(2,1/((Budgets!$A$2:$A$200=BC$1)*(Budgets!$B$2:$B$200&lt;=$A127)),Budgets!$C$2:$C$200),0))</f>
        <v/>
      </c>
      <c r="BE127" s="67">
        <f>COUNTIFS(Entries!$A$2:$A$5000,$A127)</f>
        <v/>
      </c>
    </row>
    <row r="128" ht="15" customHeight="1" s="43">
      <c r="A128" s="87" t="n">
        <v>43282</v>
      </c>
      <c r="B128" s="88">
        <f>IF($BE128=0,NA(),SUMIFS(Entries!$D$2:$D$5000,Entries!$C$2:$C$5000,"Income",Entries!$A$2:$A$5000,$A128))</f>
        <v/>
      </c>
      <c r="C128" s="88">
        <f>IF($BE128=0,"",SUMIFS(Entries!$D$2:$D$5000,Entries!$C$2:$C$5000,"Actual",Entries!$A$2:$A$5000,$A128))</f>
        <v/>
      </c>
      <c r="D128" s="88">
        <f>IF($BE128=0,"",SUMIFS(Entries!$D$2:$D$5000,Entries!$C$2:$C$5000,"One-off",Entries!$A$2:$A$5000,$A128))</f>
        <v/>
      </c>
      <c r="E128" s="88">
        <f>IF($BE128=0,NA(),C128+D128)</f>
        <v/>
      </c>
      <c r="F128" s="88">
        <f>IF($BE128=0,"",SUM(AJ128:BC128))</f>
        <v/>
      </c>
      <c r="G128" s="88">
        <f>IF($BE128=0,"",B128-E128)</f>
        <v/>
      </c>
      <c r="H128" s="88">
        <f>IF($BE128=0,"",SUM($G$2:G128))</f>
        <v/>
      </c>
      <c r="I128" s="88">
        <f>IF($BE128=0,"",SUMIFS(Entries!$F$2:$F$5000,Entries!$A$2:$A$5000,$A128))</f>
        <v/>
      </c>
      <c r="J128" s="88">
        <f>IF($BE128=0,NA(),H128+SUM($I$2:I128))</f>
        <v/>
      </c>
      <c r="K128" s="88">
        <f>IF($BE128=0,"",SUMIFS(Entries!$D$2:$D$5000,Entries!$C$2:$C$5000,"Income",Entries!$A$2:$A$5000,"&gt;="&amp;EDATE($A128,-11),Entries!$A$2:$A$5000,"&lt;="&amp;$A128)/12)</f>
        <v/>
      </c>
      <c r="L128" s="88">
        <f>IF($BE128=0,"",(SUMIFS(Entries!$D$2:$D$5000,Entries!$C$2:$C$5000,"Actual",Entries!$A$2:$A$5000,"&gt;="&amp;EDATE($A128,-11),Entries!$A$2:$A$5000,"&lt;="&amp;$A128)+SUMIFS(Entries!$D$2:$D$5000,Entries!$C$2:$C$5000,"One-off",Entries!$A$2:$A$5000,"&gt;="&amp;EDATE($A128,-11),Entries!$A$2:$A$5000,"&lt;="&amp;$A128))/12)</f>
        <v/>
      </c>
      <c r="M128" s="70">
        <f>IF($BE128=0,NA(),IFERROR((K128-L128)/K128,0))</f>
        <v/>
      </c>
      <c r="O128" s="88">
        <f>IF(OR(O$1="",$BE128=0),"",SUMIFS(Entries!$D$2:$D$5000,Entries!$C$2:$C$5000,"Actual",Entries!$A$2:$A$5000,$A128,Entries!$B$2:$B$5000,O$1))</f>
        <v/>
      </c>
      <c r="P128" s="88">
        <f>IF(OR(P$1="",$BE128=0),"",SUMIFS(Entries!$D$2:$D$5000,Entries!$C$2:$C$5000,"Actual",Entries!$A$2:$A$5000,$A128,Entries!$B$2:$B$5000,P$1))</f>
        <v/>
      </c>
      <c r="Q128" s="88">
        <f>IF(OR(Q$1="",$BE128=0),"",SUMIFS(Entries!$D$2:$D$5000,Entries!$C$2:$C$5000,"Actual",Entries!$A$2:$A$5000,$A128,Entries!$B$2:$B$5000,Q$1))</f>
        <v/>
      </c>
      <c r="R128" s="88">
        <f>IF(OR(R$1="",$BE128=0),"",SUMIFS(Entries!$D$2:$D$5000,Entries!$C$2:$C$5000,"Actual",Entries!$A$2:$A$5000,$A128,Entries!$B$2:$B$5000,R$1))</f>
        <v/>
      </c>
      <c r="S128" s="88">
        <f>IF(OR(S$1="",$BE128=0),"",SUMIFS(Entries!$D$2:$D$5000,Entries!$C$2:$C$5000,"Actual",Entries!$A$2:$A$5000,$A128,Entries!$B$2:$B$5000,S$1))</f>
        <v/>
      </c>
      <c r="T128" s="88">
        <f>IF(OR(T$1="",$BE128=0),"",SUMIFS(Entries!$D$2:$D$5000,Entries!$C$2:$C$5000,"Actual",Entries!$A$2:$A$5000,$A128,Entries!$B$2:$B$5000,T$1))</f>
        <v/>
      </c>
      <c r="U128" s="88">
        <f>IF(OR(U$1="",$BE128=0),"",SUMIFS(Entries!$D$2:$D$5000,Entries!$C$2:$C$5000,"Actual",Entries!$A$2:$A$5000,$A128,Entries!$B$2:$B$5000,U$1))</f>
        <v/>
      </c>
      <c r="V128" s="88">
        <f>IF(OR(V$1="",$BE128=0),"",SUMIFS(Entries!$D$2:$D$5000,Entries!$C$2:$C$5000,"Actual",Entries!$A$2:$A$5000,$A128,Entries!$B$2:$B$5000,V$1))</f>
        <v/>
      </c>
      <c r="W128" s="88">
        <f>IF(OR(W$1="",$BE128=0),"",SUMIFS(Entries!$D$2:$D$5000,Entries!$C$2:$C$5000,"Actual",Entries!$A$2:$A$5000,$A128,Entries!$B$2:$B$5000,W$1))</f>
        <v/>
      </c>
      <c r="X128" s="88">
        <f>IF(OR(X$1="",$BE128=0),"",SUMIFS(Entries!$D$2:$D$5000,Entries!$C$2:$C$5000,"Actual",Entries!$A$2:$A$5000,$A128,Entries!$B$2:$B$5000,X$1))</f>
        <v/>
      </c>
      <c r="Y128" s="88">
        <f>IF(OR(Y$1="",$BE128=0),"",SUMIFS(Entries!$D$2:$D$5000,Entries!$C$2:$C$5000,"Actual",Entries!$A$2:$A$5000,$A128,Entries!$B$2:$B$5000,Y$1))</f>
        <v/>
      </c>
      <c r="Z128" s="88">
        <f>IF(OR(Z$1="",$BE128=0),"",SUMIFS(Entries!$D$2:$D$5000,Entries!$C$2:$C$5000,"Actual",Entries!$A$2:$A$5000,$A128,Entries!$B$2:$B$5000,Z$1))</f>
        <v/>
      </c>
      <c r="AA128" s="88">
        <f>IF(OR(AA$1="",$BE128=0),"",SUMIFS(Entries!$D$2:$D$5000,Entries!$C$2:$C$5000,"Actual",Entries!$A$2:$A$5000,$A128,Entries!$B$2:$B$5000,AA$1))</f>
        <v/>
      </c>
      <c r="AB128" s="88">
        <f>IF(OR(AB$1="",$BE128=0),"",SUMIFS(Entries!$D$2:$D$5000,Entries!$C$2:$C$5000,"Actual",Entries!$A$2:$A$5000,$A128,Entries!$B$2:$B$5000,AB$1))</f>
        <v/>
      </c>
      <c r="AC128" s="88">
        <f>IF(OR(AC$1="",$BE128=0),"",SUMIFS(Entries!$D$2:$D$5000,Entries!$C$2:$C$5000,"Actual",Entries!$A$2:$A$5000,$A128,Entries!$B$2:$B$5000,AC$1))</f>
        <v/>
      </c>
      <c r="AD128" s="88">
        <f>IF(OR(AD$1="",$BE128=0),"",SUMIFS(Entries!$D$2:$D$5000,Entries!$C$2:$C$5000,"Actual",Entries!$A$2:$A$5000,$A128,Entries!$B$2:$B$5000,AD$1))</f>
        <v/>
      </c>
      <c r="AE128" s="88">
        <f>IF(OR(AE$1="",$BE128=0),"",SUMIFS(Entries!$D$2:$D$5000,Entries!$C$2:$C$5000,"Actual",Entries!$A$2:$A$5000,$A128,Entries!$B$2:$B$5000,AE$1))</f>
        <v/>
      </c>
      <c r="AF128" s="88">
        <f>IF(OR(AF$1="",$BE128=0),"",SUMIFS(Entries!$D$2:$D$5000,Entries!$C$2:$C$5000,"Actual",Entries!$A$2:$A$5000,$A128,Entries!$B$2:$B$5000,AF$1))</f>
        <v/>
      </c>
      <c r="AG128" s="88">
        <f>IF(OR(AG$1="",$BE128=0),"",SUMIFS(Entries!$D$2:$D$5000,Entries!$C$2:$C$5000,"Actual",Entries!$A$2:$A$5000,$A128,Entries!$B$2:$B$5000,AG$1))</f>
        <v/>
      </c>
      <c r="AH128" s="88">
        <f>IF(OR(AH$1="",$BE128=0),"",SUMIFS(Entries!$D$2:$D$5000,Entries!$C$2:$C$5000,"Actual",Entries!$A$2:$A$5000,$A128,Entries!$B$2:$B$5000,AH$1))</f>
        <v/>
      </c>
      <c r="AJ128" s="88">
        <f>IF(OR(AJ$1="",$BE128=0),"",IFERROR(LOOKUP(2,1/((Budgets!$A$2:$A$200=AJ$1)*(Budgets!$B$2:$B$200&lt;=$A128)),Budgets!$C$2:$C$200),0))</f>
        <v/>
      </c>
      <c r="AK128" s="88">
        <f>IF(OR(AK$1="",$BE128=0),"",IFERROR(LOOKUP(2,1/((Budgets!$A$2:$A$200=AK$1)*(Budgets!$B$2:$B$200&lt;=$A128)),Budgets!$C$2:$C$200),0))</f>
        <v/>
      </c>
      <c r="AL128" s="88">
        <f>IF(OR(AL$1="",$BE128=0),"",IFERROR(LOOKUP(2,1/((Budgets!$A$2:$A$200=AL$1)*(Budgets!$B$2:$B$200&lt;=$A128)),Budgets!$C$2:$C$200),0))</f>
        <v/>
      </c>
      <c r="AM128" s="88">
        <f>IF(OR(AM$1="",$BE128=0),"",IFERROR(LOOKUP(2,1/((Budgets!$A$2:$A$200=AM$1)*(Budgets!$B$2:$B$200&lt;=$A128)),Budgets!$C$2:$C$200),0))</f>
        <v/>
      </c>
      <c r="AN128" s="88">
        <f>IF(OR(AN$1="",$BE128=0),"",IFERROR(LOOKUP(2,1/((Budgets!$A$2:$A$200=AN$1)*(Budgets!$B$2:$B$200&lt;=$A128)),Budgets!$C$2:$C$200),0))</f>
        <v/>
      </c>
      <c r="AO128" s="88">
        <f>IF(OR(AO$1="",$BE128=0),"",IFERROR(LOOKUP(2,1/((Budgets!$A$2:$A$200=AO$1)*(Budgets!$B$2:$B$200&lt;=$A128)),Budgets!$C$2:$C$200),0))</f>
        <v/>
      </c>
      <c r="AP128" s="88">
        <f>IF(OR(AP$1="",$BE128=0),"",IFERROR(LOOKUP(2,1/((Budgets!$A$2:$A$200=AP$1)*(Budgets!$B$2:$B$200&lt;=$A128)),Budgets!$C$2:$C$200),0))</f>
        <v/>
      </c>
      <c r="AQ128" s="88">
        <f>IF(OR(AQ$1="",$BE128=0),"",IFERROR(LOOKUP(2,1/((Budgets!$A$2:$A$200=AQ$1)*(Budgets!$B$2:$B$200&lt;=$A128)),Budgets!$C$2:$C$200),0))</f>
        <v/>
      </c>
      <c r="AR128" s="88">
        <f>IF(OR(AR$1="",$BE128=0),"",IFERROR(LOOKUP(2,1/((Budgets!$A$2:$A$200=AR$1)*(Budgets!$B$2:$B$200&lt;=$A128)),Budgets!$C$2:$C$200),0))</f>
        <v/>
      </c>
      <c r="AS128" s="88">
        <f>IF(OR(AS$1="",$BE128=0),"",IFERROR(LOOKUP(2,1/((Budgets!$A$2:$A$200=AS$1)*(Budgets!$B$2:$B$200&lt;=$A128)),Budgets!$C$2:$C$200),0))</f>
        <v/>
      </c>
      <c r="AT128" s="88">
        <f>IF(OR(AT$1="",$BE128=0),"",IFERROR(LOOKUP(2,1/((Budgets!$A$2:$A$200=AT$1)*(Budgets!$B$2:$B$200&lt;=$A128)),Budgets!$C$2:$C$200),0))</f>
        <v/>
      </c>
      <c r="AU128" s="88">
        <f>IF(OR(AU$1="",$BE128=0),"",IFERROR(LOOKUP(2,1/((Budgets!$A$2:$A$200=AU$1)*(Budgets!$B$2:$B$200&lt;=$A128)),Budgets!$C$2:$C$200),0))</f>
        <v/>
      </c>
      <c r="AV128" s="88">
        <f>IF(OR(AV$1="",$BE128=0),"",IFERROR(LOOKUP(2,1/((Budgets!$A$2:$A$200=AV$1)*(Budgets!$B$2:$B$200&lt;=$A128)),Budgets!$C$2:$C$200),0))</f>
        <v/>
      </c>
      <c r="AW128" s="88">
        <f>IF(OR(AW$1="",$BE128=0),"",IFERROR(LOOKUP(2,1/((Budgets!$A$2:$A$200=AW$1)*(Budgets!$B$2:$B$200&lt;=$A128)),Budgets!$C$2:$C$200),0))</f>
        <v/>
      </c>
      <c r="AX128" s="88">
        <f>IF(OR(AX$1="",$BE128=0),"",IFERROR(LOOKUP(2,1/((Budgets!$A$2:$A$200=AX$1)*(Budgets!$B$2:$B$200&lt;=$A128)),Budgets!$C$2:$C$200),0))</f>
        <v/>
      </c>
      <c r="AY128" s="88">
        <f>IF(OR(AY$1="",$BE128=0),"",IFERROR(LOOKUP(2,1/((Budgets!$A$2:$A$200=AY$1)*(Budgets!$B$2:$B$200&lt;=$A128)),Budgets!$C$2:$C$200),0))</f>
        <v/>
      </c>
      <c r="AZ128" s="88">
        <f>IF(OR(AZ$1="",$BE128=0),"",IFERROR(LOOKUP(2,1/((Budgets!$A$2:$A$200=AZ$1)*(Budgets!$B$2:$B$200&lt;=$A128)),Budgets!$C$2:$C$200),0))</f>
        <v/>
      </c>
      <c r="BA128" s="88">
        <f>IF(OR(BA$1="",$BE128=0),"",IFERROR(LOOKUP(2,1/((Budgets!$A$2:$A$200=BA$1)*(Budgets!$B$2:$B$200&lt;=$A128)),Budgets!$C$2:$C$200),0))</f>
        <v/>
      </c>
      <c r="BB128" s="88">
        <f>IF(OR(BB$1="",$BE128=0),"",IFERROR(LOOKUP(2,1/((Budgets!$A$2:$A$200=BB$1)*(Budgets!$B$2:$B$200&lt;=$A128)),Budgets!$C$2:$C$200),0))</f>
        <v/>
      </c>
      <c r="BC128" s="88">
        <f>IF(OR(BC$1="",$BE128=0),"",IFERROR(LOOKUP(2,1/((Budgets!$A$2:$A$200=BC$1)*(Budgets!$B$2:$B$200&lt;=$A128)),Budgets!$C$2:$C$200),0))</f>
        <v/>
      </c>
      <c r="BE128" s="67">
        <f>COUNTIFS(Entries!$A$2:$A$5000,$A128)</f>
        <v/>
      </c>
    </row>
    <row r="129" ht="15" customHeight="1" s="43">
      <c r="A129" s="87" t="n">
        <v>43313</v>
      </c>
      <c r="B129" s="88">
        <f>IF($BE129=0,NA(),SUMIFS(Entries!$D$2:$D$5000,Entries!$C$2:$C$5000,"Income",Entries!$A$2:$A$5000,$A129))</f>
        <v/>
      </c>
      <c r="C129" s="88">
        <f>IF($BE129=0,"",SUMIFS(Entries!$D$2:$D$5000,Entries!$C$2:$C$5000,"Actual",Entries!$A$2:$A$5000,$A129))</f>
        <v/>
      </c>
      <c r="D129" s="88">
        <f>IF($BE129=0,"",SUMIFS(Entries!$D$2:$D$5000,Entries!$C$2:$C$5000,"One-off",Entries!$A$2:$A$5000,$A129))</f>
        <v/>
      </c>
      <c r="E129" s="88">
        <f>IF($BE129=0,NA(),C129+D129)</f>
        <v/>
      </c>
      <c r="F129" s="88">
        <f>IF($BE129=0,"",SUM(AJ129:BC129))</f>
        <v/>
      </c>
      <c r="G129" s="88">
        <f>IF($BE129=0,"",B129-E129)</f>
        <v/>
      </c>
      <c r="H129" s="88">
        <f>IF($BE129=0,"",SUM($G$2:G129))</f>
        <v/>
      </c>
      <c r="I129" s="88">
        <f>IF($BE129=0,"",SUMIFS(Entries!$F$2:$F$5000,Entries!$A$2:$A$5000,$A129))</f>
        <v/>
      </c>
      <c r="J129" s="88">
        <f>IF($BE129=0,NA(),H129+SUM($I$2:I129))</f>
        <v/>
      </c>
      <c r="K129" s="88">
        <f>IF($BE129=0,"",SUMIFS(Entries!$D$2:$D$5000,Entries!$C$2:$C$5000,"Income",Entries!$A$2:$A$5000,"&gt;="&amp;EDATE($A129,-11),Entries!$A$2:$A$5000,"&lt;="&amp;$A129)/12)</f>
        <v/>
      </c>
      <c r="L129" s="88">
        <f>IF($BE129=0,"",(SUMIFS(Entries!$D$2:$D$5000,Entries!$C$2:$C$5000,"Actual",Entries!$A$2:$A$5000,"&gt;="&amp;EDATE($A129,-11),Entries!$A$2:$A$5000,"&lt;="&amp;$A129)+SUMIFS(Entries!$D$2:$D$5000,Entries!$C$2:$C$5000,"One-off",Entries!$A$2:$A$5000,"&gt;="&amp;EDATE($A129,-11),Entries!$A$2:$A$5000,"&lt;="&amp;$A129))/12)</f>
        <v/>
      </c>
      <c r="M129" s="70">
        <f>IF($BE129=0,NA(),IFERROR((K129-L129)/K129,0))</f>
        <v/>
      </c>
      <c r="O129" s="88">
        <f>IF(OR(O$1="",$BE129=0),"",SUMIFS(Entries!$D$2:$D$5000,Entries!$C$2:$C$5000,"Actual",Entries!$A$2:$A$5000,$A129,Entries!$B$2:$B$5000,O$1))</f>
        <v/>
      </c>
      <c r="P129" s="88">
        <f>IF(OR(P$1="",$BE129=0),"",SUMIFS(Entries!$D$2:$D$5000,Entries!$C$2:$C$5000,"Actual",Entries!$A$2:$A$5000,$A129,Entries!$B$2:$B$5000,P$1))</f>
        <v/>
      </c>
      <c r="Q129" s="88">
        <f>IF(OR(Q$1="",$BE129=0),"",SUMIFS(Entries!$D$2:$D$5000,Entries!$C$2:$C$5000,"Actual",Entries!$A$2:$A$5000,$A129,Entries!$B$2:$B$5000,Q$1))</f>
        <v/>
      </c>
      <c r="R129" s="88">
        <f>IF(OR(R$1="",$BE129=0),"",SUMIFS(Entries!$D$2:$D$5000,Entries!$C$2:$C$5000,"Actual",Entries!$A$2:$A$5000,$A129,Entries!$B$2:$B$5000,R$1))</f>
        <v/>
      </c>
      <c r="S129" s="88">
        <f>IF(OR(S$1="",$BE129=0),"",SUMIFS(Entries!$D$2:$D$5000,Entries!$C$2:$C$5000,"Actual",Entries!$A$2:$A$5000,$A129,Entries!$B$2:$B$5000,S$1))</f>
        <v/>
      </c>
      <c r="T129" s="88">
        <f>IF(OR(T$1="",$BE129=0),"",SUMIFS(Entries!$D$2:$D$5000,Entries!$C$2:$C$5000,"Actual",Entries!$A$2:$A$5000,$A129,Entries!$B$2:$B$5000,T$1))</f>
        <v/>
      </c>
      <c r="U129" s="88">
        <f>IF(OR(U$1="",$BE129=0),"",SUMIFS(Entries!$D$2:$D$5000,Entries!$C$2:$C$5000,"Actual",Entries!$A$2:$A$5000,$A129,Entries!$B$2:$B$5000,U$1))</f>
        <v/>
      </c>
      <c r="V129" s="88">
        <f>IF(OR(V$1="",$BE129=0),"",SUMIFS(Entries!$D$2:$D$5000,Entries!$C$2:$C$5000,"Actual",Entries!$A$2:$A$5000,$A129,Entries!$B$2:$B$5000,V$1))</f>
        <v/>
      </c>
      <c r="W129" s="88">
        <f>IF(OR(W$1="",$BE129=0),"",SUMIFS(Entries!$D$2:$D$5000,Entries!$C$2:$C$5000,"Actual",Entries!$A$2:$A$5000,$A129,Entries!$B$2:$B$5000,W$1))</f>
        <v/>
      </c>
      <c r="X129" s="88">
        <f>IF(OR(X$1="",$BE129=0),"",SUMIFS(Entries!$D$2:$D$5000,Entries!$C$2:$C$5000,"Actual",Entries!$A$2:$A$5000,$A129,Entries!$B$2:$B$5000,X$1))</f>
        <v/>
      </c>
      <c r="Y129" s="88">
        <f>IF(OR(Y$1="",$BE129=0),"",SUMIFS(Entries!$D$2:$D$5000,Entries!$C$2:$C$5000,"Actual",Entries!$A$2:$A$5000,$A129,Entries!$B$2:$B$5000,Y$1))</f>
        <v/>
      </c>
      <c r="Z129" s="88">
        <f>IF(OR(Z$1="",$BE129=0),"",SUMIFS(Entries!$D$2:$D$5000,Entries!$C$2:$C$5000,"Actual",Entries!$A$2:$A$5000,$A129,Entries!$B$2:$B$5000,Z$1))</f>
        <v/>
      </c>
      <c r="AA129" s="88">
        <f>IF(OR(AA$1="",$BE129=0),"",SUMIFS(Entries!$D$2:$D$5000,Entries!$C$2:$C$5000,"Actual",Entries!$A$2:$A$5000,$A129,Entries!$B$2:$B$5000,AA$1))</f>
        <v/>
      </c>
      <c r="AB129" s="88">
        <f>IF(OR(AB$1="",$BE129=0),"",SUMIFS(Entries!$D$2:$D$5000,Entries!$C$2:$C$5000,"Actual",Entries!$A$2:$A$5000,$A129,Entries!$B$2:$B$5000,AB$1))</f>
        <v/>
      </c>
      <c r="AC129" s="88">
        <f>IF(OR(AC$1="",$BE129=0),"",SUMIFS(Entries!$D$2:$D$5000,Entries!$C$2:$C$5000,"Actual",Entries!$A$2:$A$5000,$A129,Entries!$B$2:$B$5000,AC$1))</f>
        <v/>
      </c>
      <c r="AD129" s="88">
        <f>IF(OR(AD$1="",$BE129=0),"",SUMIFS(Entries!$D$2:$D$5000,Entries!$C$2:$C$5000,"Actual",Entries!$A$2:$A$5000,$A129,Entries!$B$2:$B$5000,AD$1))</f>
        <v/>
      </c>
      <c r="AE129" s="88">
        <f>IF(OR(AE$1="",$BE129=0),"",SUMIFS(Entries!$D$2:$D$5000,Entries!$C$2:$C$5000,"Actual",Entries!$A$2:$A$5000,$A129,Entries!$B$2:$B$5000,AE$1))</f>
        <v/>
      </c>
      <c r="AF129" s="88">
        <f>IF(OR(AF$1="",$BE129=0),"",SUMIFS(Entries!$D$2:$D$5000,Entries!$C$2:$C$5000,"Actual",Entries!$A$2:$A$5000,$A129,Entries!$B$2:$B$5000,AF$1))</f>
        <v/>
      </c>
      <c r="AG129" s="88">
        <f>IF(OR(AG$1="",$BE129=0),"",SUMIFS(Entries!$D$2:$D$5000,Entries!$C$2:$C$5000,"Actual",Entries!$A$2:$A$5000,$A129,Entries!$B$2:$B$5000,AG$1))</f>
        <v/>
      </c>
      <c r="AH129" s="88">
        <f>IF(OR(AH$1="",$BE129=0),"",SUMIFS(Entries!$D$2:$D$5000,Entries!$C$2:$C$5000,"Actual",Entries!$A$2:$A$5000,$A129,Entries!$B$2:$B$5000,AH$1))</f>
        <v/>
      </c>
      <c r="AJ129" s="88">
        <f>IF(OR(AJ$1="",$BE129=0),"",IFERROR(LOOKUP(2,1/((Budgets!$A$2:$A$200=AJ$1)*(Budgets!$B$2:$B$200&lt;=$A129)),Budgets!$C$2:$C$200),0))</f>
        <v/>
      </c>
      <c r="AK129" s="88">
        <f>IF(OR(AK$1="",$BE129=0),"",IFERROR(LOOKUP(2,1/((Budgets!$A$2:$A$200=AK$1)*(Budgets!$B$2:$B$200&lt;=$A129)),Budgets!$C$2:$C$200),0))</f>
        <v/>
      </c>
      <c r="AL129" s="88">
        <f>IF(OR(AL$1="",$BE129=0),"",IFERROR(LOOKUP(2,1/((Budgets!$A$2:$A$200=AL$1)*(Budgets!$B$2:$B$200&lt;=$A129)),Budgets!$C$2:$C$200),0))</f>
        <v/>
      </c>
      <c r="AM129" s="88">
        <f>IF(OR(AM$1="",$BE129=0),"",IFERROR(LOOKUP(2,1/((Budgets!$A$2:$A$200=AM$1)*(Budgets!$B$2:$B$200&lt;=$A129)),Budgets!$C$2:$C$200),0))</f>
        <v/>
      </c>
      <c r="AN129" s="88">
        <f>IF(OR(AN$1="",$BE129=0),"",IFERROR(LOOKUP(2,1/((Budgets!$A$2:$A$200=AN$1)*(Budgets!$B$2:$B$200&lt;=$A129)),Budgets!$C$2:$C$200),0))</f>
        <v/>
      </c>
      <c r="AO129" s="88">
        <f>IF(OR(AO$1="",$BE129=0),"",IFERROR(LOOKUP(2,1/((Budgets!$A$2:$A$200=AO$1)*(Budgets!$B$2:$B$200&lt;=$A129)),Budgets!$C$2:$C$200),0))</f>
        <v/>
      </c>
      <c r="AP129" s="88">
        <f>IF(OR(AP$1="",$BE129=0),"",IFERROR(LOOKUP(2,1/((Budgets!$A$2:$A$200=AP$1)*(Budgets!$B$2:$B$200&lt;=$A129)),Budgets!$C$2:$C$200),0))</f>
        <v/>
      </c>
      <c r="AQ129" s="88">
        <f>IF(OR(AQ$1="",$BE129=0),"",IFERROR(LOOKUP(2,1/((Budgets!$A$2:$A$200=AQ$1)*(Budgets!$B$2:$B$200&lt;=$A129)),Budgets!$C$2:$C$200),0))</f>
        <v/>
      </c>
      <c r="AR129" s="88">
        <f>IF(OR(AR$1="",$BE129=0),"",IFERROR(LOOKUP(2,1/((Budgets!$A$2:$A$200=AR$1)*(Budgets!$B$2:$B$200&lt;=$A129)),Budgets!$C$2:$C$200),0))</f>
        <v/>
      </c>
      <c r="AS129" s="88">
        <f>IF(OR(AS$1="",$BE129=0),"",IFERROR(LOOKUP(2,1/((Budgets!$A$2:$A$200=AS$1)*(Budgets!$B$2:$B$200&lt;=$A129)),Budgets!$C$2:$C$200),0))</f>
        <v/>
      </c>
      <c r="AT129" s="88">
        <f>IF(OR(AT$1="",$BE129=0),"",IFERROR(LOOKUP(2,1/((Budgets!$A$2:$A$200=AT$1)*(Budgets!$B$2:$B$200&lt;=$A129)),Budgets!$C$2:$C$200),0))</f>
        <v/>
      </c>
      <c r="AU129" s="88">
        <f>IF(OR(AU$1="",$BE129=0),"",IFERROR(LOOKUP(2,1/((Budgets!$A$2:$A$200=AU$1)*(Budgets!$B$2:$B$200&lt;=$A129)),Budgets!$C$2:$C$200),0))</f>
        <v/>
      </c>
      <c r="AV129" s="88">
        <f>IF(OR(AV$1="",$BE129=0),"",IFERROR(LOOKUP(2,1/((Budgets!$A$2:$A$200=AV$1)*(Budgets!$B$2:$B$200&lt;=$A129)),Budgets!$C$2:$C$200),0))</f>
        <v/>
      </c>
      <c r="AW129" s="88">
        <f>IF(OR(AW$1="",$BE129=0),"",IFERROR(LOOKUP(2,1/((Budgets!$A$2:$A$200=AW$1)*(Budgets!$B$2:$B$200&lt;=$A129)),Budgets!$C$2:$C$200),0))</f>
        <v/>
      </c>
      <c r="AX129" s="88">
        <f>IF(OR(AX$1="",$BE129=0),"",IFERROR(LOOKUP(2,1/((Budgets!$A$2:$A$200=AX$1)*(Budgets!$B$2:$B$200&lt;=$A129)),Budgets!$C$2:$C$200),0))</f>
        <v/>
      </c>
      <c r="AY129" s="88">
        <f>IF(OR(AY$1="",$BE129=0),"",IFERROR(LOOKUP(2,1/((Budgets!$A$2:$A$200=AY$1)*(Budgets!$B$2:$B$200&lt;=$A129)),Budgets!$C$2:$C$200),0))</f>
        <v/>
      </c>
      <c r="AZ129" s="88">
        <f>IF(OR(AZ$1="",$BE129=0),"",IFERROR(LOOKUP(2,1/((Budgets!$A$2:$A$200=AZ$1)*(Budgets!$B$2:$B$200&lt;=$A129)),Budgets!$C$2:$C$200),0))</f>
        <v/>
      </c>
      <c r="BA129" s="88">
        <f>IF(OR(BA$1="",$BE129=0),"",IFERROR(LOOKUP(2,1/((Budgets!$A$2:$A$200=BA$1)*(Budgets!$B$2:$B$200&lt;=$A129)),Budgets!$C$2:$C$200),0))</f>
        <v/>
      </c>
      <c r="BB129" s="88">
        <f>IF(OR(BB$1="",$BE129=0),"",IFERROR(LOOKUP(2,1/((Budgets!$A$2:$A$200=BB$1)*(Budgets!$B$2:$B$200&lt;=$A129)),Budgets!$C$2:$C$200),0))</f>
        <v/>
      </c>
      <c r="BC129" s="88">
        <f>IF(OR(BC$1="",$BE129=0),"",IFERROR(LOOKUP(2,1/((Budgets!$A$2:$A$200=BC$1)*(Budgets!$B$2:$B$200&lt;=$A129)),Budgets!$C$2:$C$200),0))</f>
        <v/>
      </c>
      <c r="BE129" s="67">
        <f>COUNTIFS(Entries!$A$2:$A$5000,$A129)</f>
        <v/>
      </c>
    </row>
    <row r="130" ht="15" customHeight="1" s="43">
      <c r="A130" s="87" t="n">
        <v>43344</v>
      </c>
      <c r="B130" s="88">
        <f>IF($BE130=0,NA(),SUMIFS(Entries!$D$2:$D$5000,Entries!$C$2:$C$5000,"Income",Entries!$A$2:$A$5000,$A130))</f>
        <v/>
      </c>
      <c r="C130" s="88">
        <f>IF($BE130=0,"",SUMIFS(Entries!$D$2:$D$5000,Entries!$C$2:$C$5000,"Actual",Entries!$A$2:$A$5000,$A130))</f>
        <v/>
      </c>
      <c r="D130" s="88">
        <f>IF($BE130=0,"",SUMIFS(Entries!$D$2:$D$5000,Entries!$C$2:$C$5000,"One-off",Entries!$A$2:$A$5000,$A130))</f>
        <v/>
      </c>
      <c r="E130" s="88">
        <f>IF($BE130=0,NA(),C130+D130)</f>
        <v/>
      </c>
      <c r="F130" s="88">
        <f>IF($BE130=0,"",SUM(AJ130:BC130))</f>
        <v/>
      </c>
      <c r="G130" s="88">
        <f>IF($BE130=0,"",B130-E130)</f>
        <v/>
      </c>
      <c r="H130" s="88">
        <f>IF($BE130=0,"",SUM($G$2:G130))</f>
        <v/>
      </c>
      <c r="I130" s="88">
        <f>IF($BE130=0,"",SUMIFS(Entries!$F$2:$F$5000,Entries!$A$2:$A$5000,$A130))</f>
        <v/>
      </c>
      <c r="J130" s="88">
        <f>IF($BE130=0,NA(),H130+SUM($I$2:I130))</f>
        <v/>
      </c>
      <c r="K130" s="88">
        <f>IF($BE130=0,"",SUMIFS(Entries!$D$2:$D$5000,Entries!$C$2:$C$5000,"Income",Entries!$A$2:$A$5000,"&gt;="&amp;EDATE($A130,-11),Entries!$A$2:$A$5000,"&lt;="&amp;$A130)/12)</f>
        <v/>
      </c>
      <c r="L130" s="88">
        <f>IF($BE130=0,"",(SUMIFS(Entries!$D$2:$D$5000,Entries!$C$2:$C$5000,"Actual",Entries!$A$2:$A$5000,"&gt;="&amp;EDATE($A130,-11),Entries!$A$2:$A$5000,"&lt;="&amp;$A130)+SUMIFS(Entries!$D$2:$D$5000,Entries!$C$2:$C$5000,"One-off",Entries!$A$2:$A$5000,"&gt;="&amp;EDATE($A130,-11),Entries!$A$2:$A$5000,"&lt;="&amp;$A130))/12)</f>
        <v/>
      </c>
      <c r="M130" s="70">
        <f>IF($BE130=0,NA(),IFERROR((K130-L130)/K130,0))</f>
        <v/>
      </c>
      <c r="O130" s="88">
        <f>IF(OR(O$1="",$BE130=0),"",SUMIFS(Entries!$D$2:$D$5000,Entries!$C$2:$C$5000,"Actual",Entries!$A$2:$A$5000,$A130,Entries!$B$2:$B$5000,O$1))</f>
        <v/>
      </c>
      <c r="P130" s="88">
        <f>IF(OR(P$1="",$BE130=0),"",SUMIFS(Entries!$D$2:$D$5000,Entries!$C$2:$C$5000,"Actual",Entries!$A$2:$A$5000,$A130,Entries!$B$2:$B$5000,P$1))</f>
        <v/>
      </c>
      <c r="Q130" s="88">
        <f>IF(OR(Q$1="",$BE130=0),"",SUMIFS(Entries!$D$2:$D$5000,Entries!$C$2:$C$5000,"Actual",Entries!$A$2:$A$5000,$A130,Entries!$B$2:$B$5000,Q$1))</f>
        <v/>
      </c>
      <c r="R130" s="88">
        <f>IF(OR(R$1="",$BE130=0),"",SUMIFS(Entries!$D$2:$D$5000,Entries!$C$2:$C$5000,"Actual",Entries!$A$2:$A$5000,$A130,Entries!$B$2:$B$5000,R$1))</f>
        <v/>
      </c>
      <c r="S130" s="88">
        <f>IF(OR(S$1="",$BE130=0),"",SUMIFS(Entries!$D$2:$D$5000,Entries!$C$2:$C$5000,"Actual",Entries!$A$2:$A$5000,$A130,Entries!$B$2:$B$5000,S$1))</f>
        <v/>
      </c>
      <c r="T130" s="88">
        <f>IF(OR(T$1="",$BE130=0),"",SUMIFS(Entries!$D$2:$D$5000,Entries!$C$2:$C$5000,"Actual",Entries!$A$2:$A$5000,$A130,Entries!$B$2:$B$5000,T$1))</f>
        <v/>
      </c>
      <c r="U130" s="88">
        <f>IF(OR(U$1="",$BE130=0),"",SUMIFS(Entries!$D$2:$D$5000,Entries!$C$2:$C$5000,"Actual",Entries!$A$2:$A$5000,$A130,Entries!$B$2:$B$5000,U$1))</f>
        <v/>
      </c>
      <c r="V130" s="88">
        <f>IF(OR(V$1="",$BE130=0),"",SUMIFS(Entries!$D$2:$D$5000,Entries!$C$2:$C$5000,"Actual",Entries!$A$2:$A$5000,$A130,Entries!$B$2:$B$5000,V$1))</f>
        <v/>
      </c>
      <c r="W130" s="88">
        <f>IF(OR(W$1="",$BE130=0),"",SUMIFS(Entries!$D$2:$D$5000,Entries!$C$2:$C$5000,"Actual",Entries!$A$2:$A$5000,$A130,Entries!$B$2:$B$5000,W$1))</f>
        <v/>
      </c>
      <c r="X130" s="88">
        <f>IF(OR(X$1="",$BE130=0),"",SUMIFS(Entries!$D$2:$D$5000,Entries!$C$2:$C$5000,"Actual",Entries!$A$2:$A$5000,$A130,Entries!$B$2:$B$5000,X$1))</f>
        <v/>
      </c>
      <c r="Y130" s="88">
        <f>IF(OR(Y$1="",$BE130=0),"",SUMIFS(Entries!$D$2:$D$5000,Entries!$C$2:$C$5000,"Actual",Entries!$A$2:$A$5000,$A130,Entries!$B$2:$B$5000,Y$1))</f>
        <v/>
      </c>
      <c r="Z130" s="88">
        <f>IF(OR(Z$1="",$BE130=0),"",SUMIFS(Entries!$D$2:$D$5000,Entries!$C$2:$C$5000,"Actual",Entries!$A$2:$A$5000,$A130,Entries!$B$2:$B$5000,Z$1))</f>
        <v/>
      </c>
      <c r="AA130" s="88">
        <f>IF(OR(AA$1="",$BE130=0),"",SUMIFS(Entries!$D$2:$D$5000,Entries!$C$2:$C$5000,"Actual",Entries!$A$2:$A$5000,$A130,Entries!$B$2:$B$5000,AA$1))</f>
        <v/>
      </c>
      <c r="AB130" s="88">
        <f>IF(OR(AB$1="",$BE130=0),"",SUMIFS(Entries!$D$2:$D$5000,Entries!$C$2:$C$5000,"Actual",Entries!$A$2:$A$5000,$A130,Entries!$B$2:$B$5000,AB$1))</f>
        <v/>
      </c>
      <c r="AC130" s="88">
        <f>IF(OR(AC$1="",$BE130=0),"",SUMIFS(Entries!$D$2:$D$5000,Entries!$C$2:$C$5000,"Actual",Entries!$A$2:$A$5000,$A130,Entries!$B$2:$B$5000,AC$1))</f>
        <v/>
      </c>
      <c r="AD130" s="88">
        <f>IF(OR(AD$1="",$BE130=0),"",SUMIFS(Entries!$D$2:$D$5000,Entries!$C$2:$C$5000,"Actual",Entries!$A$2:$A$5000,$A130,Entries!$B$2:$B$5000,AD$1))</f>
        <v/>
      </c>
      <c r="AE130" s="88">
        <f>IF(OR(AE$1="",$BE130=0),"",SUMIFS(Entries!$D$2:$D$5000,Entries!$C$2:$C$5000,"Actual",Entries!$A$2:$A$5000,$A130,Entries!$B$2:$B$5000,AE$1))</f>
        <v/>
      </c>
      <c r="AF130" s="88">
        <f>IF(OR(AF$1="",$BE130=0),"",SUMIFS(Entries!$D$2:$D$5000,Entries!$C$2:$C$5000,"Actual",Entries!$A$2:$A$5000,$A130,Entries!$B$2:$B$5000,AF$1))</f>
        <v/>
      </c>
      <c r="AG130" s="88">
        <f>IF(OR(AG$1="",$BE130=0),"",SUMIFS(Entries!$D$2:$D$5000,Entries!$C$2:$C$5000,"Actual",Entries!$A$2:$A$5000,$A130,Entries!$B$2:$B$5000,AG$1))</f>
        <v/>
      </c>
      <c r="AH130" s="88">
        <f>IF(OR(AH$1="",$BE130=0),"",SUMIFS(Entries!$D$2:$D$5000,Entries!$C$2:$C$5000,"Actual",Entries!$A$2:$A$5000,$A130,Entries!$B$2:$B$5000,AH$1))</f>
        <v/>
      </c>
      <c r="AJ130" s="88">
        <f>IF(OR(AJ$1="",$BE130=0),"",IFERROR(LOOKUP(2,1/((Budgets!$A$2:$A$200=AJ$1)*(Budgets!$B$2:$B$200&lt;=$A130)),Budgets!$C$2:$C$200),0))</f>
        <v/>
      </c>
      <c r="AK130" s="88">
        <f>IF(OR(AK$1="",$BE130=0),"",IFERROR(LOOKUP(2,1/((Budgets!$A$2:$A$200=AK$1)*(Budgets!$B$2:$B$200&lt;=$A130)),Budgets!$C$2:$C$200),0))</f>
        <v/>
      </c>
      <c r="AL130" s="88">
        <f>IF(OR(AL$1="",$BE130=0),"",IFERROR(LOOKUP(2,1/((Budgets!$A$2:$A$200=AL$1)*(Budgets!$B$2:$B$200&lt;=$A130)),Budgets!$C$2:$C$200),0))</f>
        <v/>
      </c>
      <c r="AM130" s="88">
        <f>IF(OR(AM$1="",$BE130=0),"",IFERROR(LOOKUP(2,1/((Budgets!$A$2:$A$200=AM$1)*(Budgets!$B$2:$B$200&lt;=$A130)),Budgets!$C$2:$C$200),0))</f>
        <v/>
      </c>
      <c r="AN130" s="88">
        <f>IF(OR(AN$1="",$BE130=0),"",IFERROR(LOOKUP(2,1/((Budgets!$A$2:$A$200=AN$1)*(Budgets!$B$2:$B$200&lt;=$A130)),Budgets!$C$2:$C$200),0))</f>
        <v/>
      </c>
      <c r="AO130" s="88">
        <f>IF(OR(AO$1="",$BE130=0),"",IFERROR(LOOKUP(2,1/((Budgets!$A$2:$A$200=AO$1)*(Budgets!$B$2:$B$200&lt;=$A130)),Budgets!$C$2:$C$200),0))</f>
        <v/>
      </c>
      <c r="AP130" s="88">
        <f>IF(OR(AP$1="",$BE130=0),"",IFERROR(LOOKUP(2,1/((Budgets!$A$2:$A$200=AP$1)*(Budgets!$B$2:$B$200&lt;=$A130)),Budgets!$C$2:$C$200),0))</f>
        <v/>
      </c>
      <c r="AQ130" s="88">
        <f>IF(OR(AQ$1="",$BE130=0),"",IFERROR(LOOKUP(2,1/((Budgets!$A$2:$A$200=AQ$1)*(Budgets!$B$2:$B$200&lt;=$A130)),Budgets!$C$2:$C$200),0))</f>
        <v/>
      </c>
      <c r="AR130" s="88">
        <f>IF(OR(AR$1="",$BE130=0),"",IFERROR(LOOKUP(2,1/((Budgets!$A$2:$A$200=AR$1)*(Budgets!$B$2:$B$200&lt;=$A130)),Budgets!$C$2:$C$200),0))</f>
        <v/>
      </c>
      <c r="AS130" s="88">
        <f>IF(OR(AS$1="",$BE130=0),"",IFERROR(LOOKUP(2,1/((Budgets!$A$2:$A$200=AS$1)*(Budgets!$B$2:$B$200&lt;=$A130)),Budgets!$C$2:$C$200),0))</f>
        <v/>
      </c>
      <c r="AT130" s="88">
        <f>IF(OR(AT$1="",$BE130=0),"",IFERROR(LOOKUP(2,1/((Budgets!$A$2:$A$200=AT$1)*(Budgets!$B$2:$B$200&lt;=$A130)),Budgets!$C$2:$C$200),0))</f>
        <v/>
      </c>
      <c r="AU130" s="88">
        <f>IF(OR(AU$1="",$BE130=0),"",IFERROR(LOOKUP(2,1/((Budgets!$A$2:$A$200=AU$1)*(Budgets!$B$2:$B$200&lt;=$A130)),Budgets!$C$2:$C$200),0))</f>
        <v/>
      </c>
      <c r="AV130" s="88">
        <f>IF(OR(AV$1="",$BE130=0),"",IFERROR(LOOKUP(2,1/((Budgets!$A$2:$A$200=AV$1)*(Budgets!$B$2:$B$200&lt;=$A130)),Budgets!$C$2:$C$200),0))</f>
        <v/>
      </c>
      <c r="AW130" s="88">
        <f>IF(OR(AW$1="",$BE130=0),"",IFERROR(LOOKUP(2,1/((Budgets!$A$2:$A$200=AW$1)*(Budgets!$B$2:$B$200&lt;=$A130)),Budgets!$C$2:$C$200),0))</f>
        <v/>
      </c>
      <c r="AX130" s="88">
        <f>IF(OR(AX$1="",$BE130=0),"",IFERROR(LOOKUP(2,1/((Budgets!$A$2:$A$200=AX$1)*(Budgets!$B$2:$B$200&lt;=$A130)),Budgets!$C$2:$C$200),0))</f>
        <v/>
      </c>
      <c r="AY130" s="88">
        <f>IF(OR(AY$1="",$BE130=0),"",IFERROR(LOOKUP(2,1/((Budgets!$A$2:$A$200=AY$1)*(Budgets!$B$2:$B$200&lt;=$A130)),Budgets!$C$2:$C$200),0))</f>
        <v/>
      </c>
      <c r="AZ130" s="88">
        <f>IF(OR(AZ$1="",$BE130=0),"",IFERROR(LOOKUP(2,1/((Budgets!$A$2:$A$200=AZ$1)*(Budgets!$B$2:$B$200&lt;=$A130)),Budgets!$C$2:$C$200),0))</f>
        <v/>
      </c>
      <c r="BA130" s="88">
        <f>IF(OR(BA$1="",$BE130=0),"",IFERROR(LOOKUP(2,1/((Budgets!$A$2:$A$200=BA$1)*(Budgets!$B$2:$B$200&lt;=$A130)),Budgets!$C$2:$C$200),0))</f>
        <v/>
      </c>
      <c r="BB130" s="88">
        <f>IF(OR(BB$1="",$BE130=0),"",IFERROR(LOOKUP(2,1/((Budgets!$A$2:$A$200=BB$1)*(Budgets!$B$2:$B$200&lt;=$A130)),Budgets!$C$2:$C$200),0))</f>
        <v/>
      </c>
      <c r="BC130" s="88">
        <f>IF(OR(BC$1="",$BE130=0),"",IFERROR(LOOKUP(2,1/((Budgets!$A$2:$A$200=BC$1)*(Budgets!$B$2:$B$200&lt;=$A130)),Budgets!$C$2:$C$200),0))</f>
        <v/>
      </c>
      <c r="BE130" s="67">
        <f>COUNTIFS(Entries!$A$2:$A$5000,$A130)</f>
        <v/>
      </c>
    </row>
    <row r="131" ht="15" customHeight="1" s="43">
      <c r="A131" s="87" t="n">
        <v>43374</v>
      </c>
      <c r="B131" s="88">
        <f>IF($BE131=0,NA(),SUMIFS(Entries!$D$2:$D$5000,Entries!$C$2:$C$5000,"Income",Entries!$A$2:$A$5000,$A131))</f>
        <v/>
      </c>
      <c r="C131" s="88">
        <f>IF($BE131=0,"",SUMIFS(Entries!$D$2:$D$5000,Entries!$C$2:$C$5000,"Actual",Entries!$A$2:$A$5000,$A131))</f>
        <v/>
      </c>
      <c r="D131" s="88">
        <f>IF($BE131=0,"",SUMIFS(Entries!$D$2:$D$5000,Entries!$C$2:$C$5000,"One-off",Entries!$A$2:$A$5000,$A131))</f>
        <v/>
      </c>
      <c r="E131" s="88">
        <f>IF($BE131=0,NA(),C131+D131)</f>
        <v/>
      </c>
      <c r="F131" s="88">
        <f>IF($BE131=0,"",SUM(AJ131:BC131))</f>
        <v/>
      </c>
      <c r="G131" s="88">
        <f>IF($BE131=0,"",B131-E131)</f>
        <v/>
      </c>
      <c r="H131" s="88">
        <f>IF($BE131=0,"",SUM($G$2:G131))</f>
        <v/>
      </c>
      <c r="I131" s="88">
        <f>IF($BE131=0,"",SUMIFS(Entries!$F$2:$F$5000,Entries!$A$2:$A$5000,$A131))</f>
        <v/>
      </c>
      <c r="J131" s="88">
        <f>IF($BE131=0,NA(),H131+SUM($I$2:I131))</f>
        <v/>
      </c>
      <c r="K131" s="88">
        <f>IF($BE131=0,"",SUMIFS(Entries!$D$2:$D$5000,Entries!$C$2:$C$5000,"Income",Entries!$A$2:$A$5000,"&gt;="&amp;EDATE($A131,-11),Entries!$A$2:$A$5000,"&lt;="&amp;$A131)/12)</f>
        <v/>
      </c>
      <c r="L131" s="88">
        <f>IF($BE131=0,"",(SUMIFS(Entries!$D$2:$D$5000,Entries!$C$2:$C$5000,"Actual",Entries!$A$2:$A$5000,"&gt;="&amp;EDATE($A131,-11),Entries!$A$2:$A$5000,"&lt;="&amp;$A131)+SUMIFS(Entries!$D$2:$D$5000,Entries!$C$2:$C$5000,"One-off",Entries!$A$2:$A$5000,"&gt;="&amp;EDATE($A131,-11),Entries!$A$2:$A$5000,"&lt;="&amp;$A131))/12)</f>
        <v/>
      </c>
      <c r="M131" s="70">
        <f>IF($BE131=0,NA(),IFERROR((K131-L131)/K131,0))</f>
        <v/>
      </c>
      <c r="O131" s="88">
        <f>IF(OR(O$1="",$BE131=0),"",SUMIFS(Entries!$D$2:$D$5000,Entries!$C$2:$C$5000,"Actual",Entries!$A$2:$A$5000,$A131,Entries!$B$2:$B$5000,O$1))</f>
        <v/>
      </c>
      <c r="P131" s="88">
        <f>IF(OR(P$1="",$BE131=0),"",SUMIFS(Entries!$D$2:$D$5000,Entries!$C$2:$C$5000,"Actual",Entries!$A$2:$A$5000,$A131,Entries!$B$2:$B$5000,P$1))</f>
        <v/>
      </c>
      <c r="Q131" s="88">
        <f>IF(OR(Q$1="",$BE131=0),"",SUMIFS(Entries!$D$2:$D$5000,Entries!$C$2:$C$5000,"Actual",Entries!$A$2:$A$5000,$A131,Entries!$B$2:$B$5000,Q$1))</f>
        <v/>
      </c>
      <c r="R131" s="88">
        <f>IF(OR(R$1="",$BE131=0),"",SUMIFS(Entries!$D$2:$D$5000,Entries!$C$2:$C$5000,"Actual",Entries!$A$2:$A$5000,$A131,Entries!$B$2:$B$5000,R$1))</f>
        <v/>
      </c>
      <c r="S131" s="88">
        <f>IF(OR(S$1="",$BE131=0),"",SUMIFS(Entries!$D$2:$D$5000,Entries!$C$2:$C$5000,"Actual",Entries!$A$2:$A$5000,$A131,Entries!$B$2:$B$5000,S$1))</f>
        <v/>
      </c>
      <c r="T131" s="88">
        <f>IF(OR(T$1="",$BE131=0),"",SUMIFS(Entries!$D$2:$D$5000,Entries!$C$2:$C$5000,"Actual",Entries!$A$2:$A$5000,$A131,Entries!$B$2:$B$5000,T$1))</f>
        <v/>
      </c>
      <c r="U131" s="88">
        <f>IF(OR(U$1="",$BE131=0),"",SUMIFS(Entries!$D$2:$D$5000,Entries!$C$2:$C$5000,"Actual",Entries!$A$2:$A$5000,$A131,Entries!$B$2:$B$5000,U$1))</f>
        <v/>
      </c>
      <c r="V131" s="88">
        <f>IF(OR(V$1="",$BE131=0),"",SUMIFS(Entries!$D$2:$D$5000,Entries!$C$2:$C$5000,"Actual",Entries!$A$2:$A$5000,$A131,Entries!$B$2:$B$5000,V$1))</f>
        <v/>
      </c>
      <c r="W131" s="88">
        <f>IF(OR(W$1="",$BE131=0),"",SUMIFS(Entries!$D$2:$D$5000,Entries!$C$2:$C$5000,"Actual",Entries!$A$2:$A$5000,$A131,Entries!$B$2:$B$5000,W$1))</f>
        <v/>
      </c>
      <c r="X131" s="88">
        <f>IF(OR(X$1="",$BE131=0),"",SUMIFS(Entries!$D$2:$D$5000,Entries!$C$2:$C$5000,"Actual",Entries!$A$2:$A$5000,$A131,Entries!$B$2:$B$5000,X$1))</f>
        <v/>
      </c>
      <c r="Y131" s="88">
        <f>IF(OR(Y$1="",$BE131=0),"",SUMIFS(Entries!$D$2:$D$5000,Entries!$C$2:$C$5000,"Actual",Entries!$A$2:$A$5000,$A131,Entries!$B$2:$B$5000,Y$1))</f>
        <v/>
      </c>
      <c r="Z131" s="88">
        <f>IF(OR(Z$1="",$BE131=0),"",SUMIFS(Entries!$D$2:$D$5000,Entries!$C$2:$C$5000,"Actual",Entries!$A$2:$A$5000,$A131,Entries!$B$2:$B$5000,Z$1))</f>
        <v/>
      </c>
      <c r="AA131" s="88">
        <f>IF(OR(AA$1="",$BE131=0),"",SUMIFS(Entries!$D$2:$D$5000,Entries!$C$2:$C$5000,"Actual",Entries!$A$2:$A$5000,$A131,Entries!$B$2:$B$5000,AA$1))</f>
        <v/>
      </c>
      <c r="AB131" s="88">
        <f>IF(OR(AB$1="",$BE131=0),"",SUMIFS(Entries!$D$2:$D$5000,Entries!$C$2:$C$5000,"Actual",Entries!$A$2:$A$5000,$A131,Entries!$B$2:$B$5000,AB$1))</f>
        <v/>
      </c>
      <c r="AC131" s="88">
        <f>IF(OR(AC$1="",$BE131=0),"",SUMIFS(Entries!$D$2:$D$5000,Entries!$C$2:$C$5000,"Actual",Entries!$A$2:$A$5000,$A131,Entries!$B$2:$B$5000,AC$1))</f>
        <v/>
      </c>
      <c r="AD131" s="88">
        <f>IF(OR(AD$1="",$BE131=0),"",SUMIFS(Entries!$D$2:$D$5000,Entries!$C$2:$C$5000,"Actual",Entries!$A$2:$A$5000,$A131,Entries!$B$2:$B$5000,AD$1))</f>
        <v/>
      </c>
      <c r="AE131" s="88">
        <f>IF(OR(AE$1="",$BE131=0),"",SUMIFS(Entries!$D$2:$D$5000,Entries!$C$2:$C$5000,"Actual",Entries!$A$2:$A$5000,$A131,Entries!$B$2:$B$5000,AE$1))</f>
        <v/>
      </c>
      <c r="AF131" s="88">
        <f>IF(OR(AF$1="",$BE131=0),"",SUMIFS(Entries!$D$2:$D$5000,Entries!$C$2:$C$5000,"Actual",Entries!$A$2:$A$5000,$A131,Entries!$B$2:$B$5000,AF$1))</f>
        <v/>
      </c>
      <c r="AG131" s="88">
        <f>IF(OR(AG$1="",$BE131=0),"",SUMIFS(Entries!$D$2:$D$5000,Entries!$C$2:$C$5000,"Actual",Entries!$A$2:$A$5000,$A131,Entries!$B$2:$B$5000,AG$1))</f>
        <v/>
      </c>
      <c r="AH131" s="88">
        <f>IF(OR(AH$1="",$BE131=0),"",SUMIFS(Entries!$D$2:$D$5000,Entries!$C$2:$C$5000,"Actual",Entries!$A$2:$A$5000,$A131,Entries!$B$2:$B$5000,AH$1))</f>
        <v/>
      </c>
      <c r="AJ131" s="88">
        <f>IF(OR(AJ$1="",$BE131=0),"",IFERROR(LOOKUP(2,1/((Budgets!$A$2:$A$200=AJ$1)*(Budgets!$B$2:$B$200&lt;=$A131)),Budgets!$C$2:$C$200),0))</f>
        <v/>
      </c>
      <c r="AK131" s="88">
        <f>IF(OR(AK$1="",$BE131=0),"",IFERROR(LOOKUP(2,1/((Budgets!$A$2:$A$200=AK$1)*(Budgets!$B$2:$B$200&lt;=$A131)),Budgets!$C$2:$C$200),0))</f>
        <v/>
      </c>
      <c r="AL131" s="88">
        <f>IF(OR(AL$1="",$BE131=0),"",IFERROR(LOOKUP(2,1/((Budgets!$A$2:$A$200=AL$1)*(Budgets!$B$2:$B$200&lt;=$A131)),Budgets!$C$2:$C$200),0))</f>
        <v/>
      </c>
      <c r="AM131" s="88">
        <f>IF(OR(AM$1="",$BE131=0),"",IFERROR(LOOKUP(2,1/((Budgets!$A$2:$A$200=AM$1)*(Budgets!$B$2:$B$200&lt;=$A131)),Budgets!$C$2:$C$200),0))</f>
        <v/>
      </c>
      <c r="AN131" s="88">
        <f>IF(OR(AN$1="",$BE131=0),"",IFERROR(LOOKUP(2,1/((Budgets!$A$2:$A$200=AN$1)*(Budgets!$B$2:$B$200&lt;=$A131)),Budgets!$C$2:$C$200),0))</f>
        <v/>
      </c>
      <c r="AO131" s="88">
        <f>IF(OR(AO$1="",$BE131=0),"",IFERROR(LOOKUP(2,1/((Budgets!$A$2:$A$200=AO$1)*(Budgets!$B$2:$B$200&lt;=$A131)),Budgets!$C$2:$C$200),0))</f>
        <v/>
      </c>
      <c r="AP131" s="88">
        <f>IF(OR(AP$1="",$BE131=0),"",IFERROR(LOOKUP(2,1/((Budgets!$A$2:$A$200=AP$1)*(Budgets!$B$2:$B$200&lt;=$A131)),Budgets!$C$2:$C$200),0))</f>
        <v/>
      </c>
      <c r="AQ131" s="88">
        <f>IF(OR(AQ$1="",$BE131=0),"",IFERROR(LOOKUP(2,1/((Budgets!$A$2:$A$200=AQ$1)*(Budgets!$B$2:$B$200&lt;=$A131)),Budgets!$C$2:$C$200),0))</f>
        <v/>
      </c>
      <c r="AR131" s="88">
        <f>IF(OR(AR$1="",$BE131=0),"",IFERROR(LOOKUP(2,1/((Budgets!$A$2:$A$200=AR$1)*(Budgets!$B$2:$B$200&lt;=$A131)),Budgets!$C$2:$C$200),0))</f>
        <v/>
      </c>
      <c r="AS131" s="88">
        <f>IF(OR(AS$1="",$BE131=0),"",IFERROR(LOOKUP(2,1/((Budgets!$A$2:$A$200=AS$1)*(Budgets!$B$2:$B$200&lt;=$A131)),Budgets!$C$2:$C$200),0))</f>
        <v/>
      </c>
      <c r="AT131" s="88">
        <f>IF(OR(AT$1="",$BE131=0),"",IFERROR(LOOKUP(2,1/((Budgets!$A$2:$A$200=AT$1)*(Budgets!$B$2:$B$200&lt;=$A131)),Budgets!$C$2:$C$200),0))</f>
        <v/>
      </c>
      <c r="AU131" s="88">
        <f>IF(OR(AU$1="",$BE131=0),"",IFERROR(LOOKUP(2,1/((Budgets!$A$2:$A$200=AU$1)*(Budgets!$B$2:$B$200&lt;=$A131)),Budgets!$C$2:$C$200),0))</f>
        <v/>
      </c>
      <c r="AV131" s="88">
        <f>IF(OR(AV$1="",$BE131=0),"",IFERROR(LOOKUP(2,1/((Budgets!$A$2:$A$200=AV$1)*(Budgets!$B$2:$B$200&lt;=$A131)),Budgets!$C$2:$C$200),0))</f>
        <v/>
      </c>
      <c r="AW131" s="88">
        <f>IF(OR(AW$1="",$BE131=0),"",IFERROR(LOOKUP(2,1/((Budgets!$A$2:$A$200=AW$1)*(Budgets!$B$2:$B$200&lt;=$A131)),Budgets!$C$2:$C$200),0))</f>
        <v/>
      </c>
      <c r="AX131" s="88">
        <f>IF(OR(AX$1="",$BE131=0),"",IFERROR(LOOKUP(2,1/((Budgets!$A$2:$A$200=AX$1)*(Budgets!$B$2:$B$200&lt;=$A131)),Budgets!$C$2:$C$200),0))</f>
        <v/>
      </c>
      <c r="AY131" s="88">
        <f>IF(OR(AY$1="",$BE131=0),"",IFERROR(LOOKUP(2,1/((Budgets!$A$2:$A$200=AY$1)*(Budgets!$B$2:$B$200&lt;=$A131)),Budgets!$C$2:$C$200),0))</f>
        <v/>
      </c>
      <c r="AZ131" s="88">
        <f>IF(OR(AZ$1="",$BE131=0),"",IFERROR(LOOKUP(2,1/((Budgets!$A$2:$A$200=AZ$1)*(Budgets!$B$2:$B$200&lt;=$A131)),Budgets!$C$2:$C$200),0))</f>
        <v/>
      </c>
      <c r="BA131" s="88">
        <f>IF(OR(BA$1="",$BE131=0),"",IFERROR(LOOKUP(2,1/((Budgets!$A$2:$A$200=BA$1)*(Budgets!$B$2:$B$200&lt;=$A131)),Budgets!$C$2:$C$200),0))</f>
        <v/>
      </c>
      <c r="BB131" s="88">
        <f>IF(OR(BB$1="",$BE131=0),"",IFERROR(LOOKUP(2,1/((Budgets!$A$2:$A$200=BB$1)*(Budgets!$B$2:$B$200&lt;=$A131)),Budgets!$C$2:$C$200),0))</f>
        <v/>
      </c>
      <c r="BC131" s="88">
        <f>IF(OR(BC$1="",$BE131=0),"",IFERROR(LOOKUP(2,1/((Budgets!$A$2:$A$200=BC$1)*(Budgets!$B$2:$B$200&lt;=$A131)),Budgets!$C$2:$C$200),0))</f>
        <v/>
      </c>
      <c r="BE131" s="67">
        <f>COUNTIFS(Entries!$A$2:$A$5000,$A131)</f>
        <v/>
      </c>
    </row>
    <row r="132" ht="15" customHeight="1" s="43">
      <c r="A132" s="87" t="n">
        <v>43405</v>
      </c>
      <c r="B132" s="88">
        <f>IF($BE132=0,NA(),SUMIFS(Entries!$D$2:$D$5000,Entries!$C$2:$C$5000,"Income",Entries!$A$2:$A$5000,$A132))</f>
        <v/>
      </c>
      <c r="C132" s="88">
        <f>IF($BE132=0,"",SUMIFS(Entries!$D$2:$D$5000,Entries!$C$2:$C$5000,"Actual",Entries!$A$2:$A$5000,$A132))</f>
        <v/>
      </c>
      <c r="D132" s="88">
        <f>IF($BE132=0,"",SUMIFS(Entries!$D$2:$D$5000,Entries!$C$2:$C$5000,"One-off",Entries!$A$2:$A$5000,$A132))</f>
        <v/>
      </c>
      <c r="E132" s="88">
        <f>IF($BE132=0,NA(),C132+D132)</f>
        <v/>
      </c>
      <c r="F132" s="88">
        <f>IF($BE132=0,"",SUM(AJ132:BC132))</f>
        <v/>
      </c>
      <c r="G132" s="88">
        <f>IF($BE132=0,"",B132-E132)</f>
        <v/>
      </c>
      <c r="H132" s="88">
        <f>IF($BE132=0,"",SUM($G$2:G132))</f>
        <v/>
      </c>
      <c r="I132" s="88">
        <f>IF($BE132=0,"",SUMIFS(Entries!$F$2:$F$5000,Entries!$A$2:$A$5000,$A132))</f>
        <v/>
      </c>
      <c r="J132" s="88">
        <f>IF($BE132=0,NA(),H132+SUM($I$2:I132))</f>
        <v/>
      </c>
      <c r="K132" s="88">
        <f>IF($BE132=0,"",SUMIFS(Entries!$D$2:$D$5000,Entries!$C$2:$C$5000,"Income",Entries!$A$2:$A$5000,"&gt;="&amp;EDATE($A132,-11),Entries!$A$2:$A$5000,"&lt;="&amp;$A132)/12)</f>
        <v/>
      </c>
      <c r="L132" s="88">
        <f>IF($BE132=0,"",(SUMIFS(Entries!$D$2:$D$5000,Entries!$C$2:$C$5000,"Actual",Entries!$A$2:$A$5000,"&gt;="&amp;EDATE($A132,-11),Entries!$A$2:$A$5000,"&lt;="&amp;$A132)+SUMIFS(Entries!$D$2:$D$5000,Entries!$C$2:$C$5000,"One-off",Entries!$A$2:$A$5000,"&gt;="&amp;EDATE($A132,-11),Entries!$A$2:$A$5000,"&lt;="&amp;$A132))/12)</f>
        <v/>
      </c>
      <c r="M132" s="70">
        <f>IF($BE132=0,NA(),IFERROR((K132-L132)/K132,0))</f>
        <v/>
      </c>
      <c r="O132" s="88">
        <f>IF(OR(O$1="",$BE132=0),"",SUMIFS(Entries!$D$2:$D$5000,Entries!$C$2:$C$5000,"Actual",Entries!$A$2:$A$5000,$A132,Entries!$B$2:$B$5000,O$1))</f>
        <v/>
      </c>
      <c r="P132" s="88">
        <f>IF(OR(P$1="",$BE132=0),"",SUMIFS(Entries!$D$2:$D$5000,Entries!$C$2:$C$5000,"Actual",Entries!$A$2:$A$5000,$A132,Entries!$B$2:$B$5000,P$1))</f>
        <v/>
      </c>
      <c r="Q132" s="88">
        <f>IF(OR(Q$1="",$BE132=0),"",SUMIFS(Entries!$D$2:$D$5000,Entries!$C$2:$C$5000,"Actual",Entries!$A$2:$A$5000,$A132,Entries!$B$2:$B$5000,Q$1))</f>
        <v/>
      </c>
      <c r="R132" s="88">
        <f>IF(OR(R$1="",$BE132=0),"",SUMIFS(Entries!$D$2:$D$5000,Entries!$C$2:$C$5000,"Actual",Entries!$A$2:$A$5000,$A132,Entries!$B$2:$B$5000,R$1))</f>
        <v/>
      </c>
      <c r="S132" s="88">
        <f>IF(OR(S$1="",$BE132=0),"",SUMIFS(Entries!$D$2:$D$5000,Entries!$C$2:$C$5000,"Actual",Entries!$A$2:$A$5000,$A132,Entries!$B$2:$B$5000,S$1))</f>
        <v/>
      </c>
      <c r="T132" s="88">
        <f>IF(OR(T$1="",$BE132=0),"",SUMIFS(Entries!$D$2:$D$5000,Entries!$C$2:$C$5000,"Actual",Entries!$A$2:$A$5000,$A132,Entries!$B$2:$B$5000,T$1))</f>
        <v/>
      </c>
      <c r="U132" s="88">
        <f>IF(OR(U$1="",$BE132=0),"",SUMIFS(Entries!$D$2:$D$5000,Entries!$C$2:$C$5000,"Actual",Entries!$A$2:$A$5000,$A132,Entries!$B$2:$B$5000,U$1))</f>
        <v/>
      </c>
      <c r="V132" s="88">
        <f>IF(OR(V$1="",$BE132=0),"",SUMIFS(Entries!$D$2:$D$5000,Entries!$C$2:$C$5000,"Actual",Entries!$A$2:$A$5000,$A132,Entries!$B$2:$B$5000,V$1))</f>
        <v/>
      </c>
      <c r="W132" s="88">
        <f>IF(OR(W$1="",$BE132=0),"",SUMIFS(Entries!$D$2:$D$5000,Entries!$C$2:$C$5000,"Actual",Entries!$A$2:$A$5000,$A132,Entries!$B$2:$B$5000,W$1))</f>
        <v/>
      </c>
      <c r="X132" s="88">
        <f>IF(OR(X$1="",$BE132=0),"",SUMIFS(Entries!$D$2:$D$5000,Entries!$C$2:$C$5000,"Actual",Entries!$A$2:$A$5000,$A132,Entries!$B$2:$B$5000,X$1))</f>
        <v/>
      </c>
      <c r="Y132" s="88">
        <f>IF(OR(Y$1="",$BE132=0),"",SUMIFS(Entries!$D$2:$D$5000,Entries!$C$2:$C$5000,"Actual",Entries!$A$2:$A$5000,$A132,Entries!$B$2:$B$5000,Y$1))</f>
        <v/>
      </c>
      <c r="Z132" s="88">
        <f>IF(OR(Z$1="",$BE132=0),"",SUMIFS(Entries!$D$2:$D$5000,Entries!$C$2:$C$5000,"Actual",Entries!$A$2:$A$5000,$A132,Entries!$B$2:$B$5000,Z$1))</f>
        <v/>
      </c>
      <c r="AA132" s="88">
        <f>IF(OR(AA$1="",$BE132=0),"",SUMIFS(Entries!$D$2:$D$5000,Entries!$C$2:$C$5000,"Actual",Entries!$A$2:$A$5000,$A132,Entries!$B$2:$B$5000,AA$1))</f>
        <v/>
      </c>
      <c r="AB132" s="88">
        <f>IF(OR(AB$1="",$BE132=0),"",SUMIFS(Entries!$D$2:$D$5000,Entries!$C$2:$C$5000,"Actual",Entries!$A$2:$A$5000,$A132,Entries!$B$2:$B$5000,AB$1))</f>
        <v/>
      </c>
      <c r="AC132" s="88">
        <f>IF(OR(AC$1="",$BE132=0),"",SUMIFS(Entries!$D$2:$D$5000,Entries!$C$2:$C$5000,"Actual",Entries!$A$2:$A$5000,$A132,Entries!$B$2:$B$5000,AC$1))</f>
        <v/>
      </c>
      <c r="AD132" s="88">
        <f>IF(OR(AD$1="",$BE132=0),"",SUMIFS(Entries!$D$2:$D$5000,Entries!$C$2:$C$5000,"Actual",Entries!$A$2:$A$5000,$A132,Entries!$B$2:$B$5000,AD$1))</f>
        <v/>
      </c>
      <c r="AE132" s="88">
        <f>IF(OR(AE$1="",$BE132=0),"",SUMIFS(Entries!$D$2:$D$5000,Entries!$C$2:$C$5000,"Actual",Entries!$A$2:$A$5000,$A132,Entries!$B$2:$B$5000,AE$1))</f>
        <v/>
      </c>
      <c r="AF132" s="88">
        <f>IF(OR(AF$1="",$BE132=0),"",SUMIFS(Entries!$D$2:$D$5000,Entries!$C$2:$C$5000,"Actual",Entries!$A$2:$A$5000,$A132,Entries!$B$2:$B$5000,AF$1))</f>
        <v/>
      </c>
      <c r="AG132" s="88">
        <f>IF(OR(AG$1="",$BE132=0),"",SUMIFS(Entries!$D$2:$D$5000,Entries!$C$2:$C$5000,"Actual",Entries!$A$2:$A$5000,$A132,Entries!$B$2:$B$5000,AG$1))</f>
        <v/>
      </c>
      <c r="AH132" s="88">
        <f>IF(OR(AH$1="",$BE132=0),"",SUMIFS(Entries!$D$2:$D$5000,Entries!$C$2:$C$5000,"Actual",Entries!$A$2:$A$5000,$A132,Entries!$B$2:$B$5000,AH$1))</f>
        <v/>
      </c>
      <c r="AJ132" s="88">
        <f>IF(OR(AJ$1="",$BE132=0),"",IFERROR(LOOKUP(2,1/((Budgets!$A$2:$A$200=AJ$1)*(Budgets!$B$2:$B$200&lt;=$A132)),Budgets!$C$2:$C$200),0))</f>
        <v/>
      </c>
      <c r="AK132" s="88">
        <f>IF(OR(AK$1="",$BE132=0),"",IFERROR(LOOKUP(2,1/((Budgets!$A$2:$A$200=AK$1)*(Budgets!$B$2:$B$200&lt;=$A132)),Budgets!$C$2:$C$200),0))</f>
        <v/>
      </c>
      <c r="AL132" s="88">
        <f>IF(OR(AL$1="",$BE132=0),"",IFERROR(LOOKUP(2,1/((Budgets!$A$2:$A$200=AL$1)*(Budgets!$B$2:$B$200&lt;=$A132)),Budgets!$C$2:$C$200),0))</f>
        <v/>
      </c>
      <c r="AM132" s="88">
        <f>IF(OR(AM$1="",$BE132=0),"",IFERROR(LOOKUP(2,1/((Budgets!$A$2:$A$200=AM$1)*(Budgets!$B$2:$B$200&lt;=$A132)),Budgets!$C$2:$C$200),0))</f>
        <v/>
      </c>
      <c r="AN132" s="88">
        <f>IF(OR(AN$1="",$BE132=0),"",IFERROR(LOOKUP(2,1/((Budgets!$A$2:$A$200=AN$1)*(Budgets!$B$2:$B$200&lt;=$A132)),Budgets!$C$2:$C$200),0))</f>
        <v/>
      </c>
      <c r="AO132" s="88">
        <f>IF(OR(AO$1="",$BE132=0),"",IFERROR(LOOKUP(2,1/((Budgets!$A$2:$A$200=AO$1)*(Budgets!$B$2:$B$200&lt;=$A132)),Budgets!$C$2:$C$200),0))</f>
        <v/>
      </c>
      <c r="AP132" s="88">
        <f>IF(OR(AP$1="",$BE132=0),"",IFERROR(LOOKUP(2,1/((Budgets!$A$2:$A$200=AP$1)*(Budgets!$B$2:$B$200&lt;=$A132)),Budgets!$C$2:$C$200),0))</f>
        <v/>
      </c>
      <c r="AQ132" s="88">
        <f>IF(OR(AQ$1="",$BE132=0),"",IFERROR(LOOKUP(2,1/((Budgets!$A$2:$A$200=AQ$1)*(Budgets!$B$2:$B$200&lt;=$A132)),Budgets!$C$2:$C$200),0))</f>
        <v/>
      </c>
      <c r="AR132" s="88">
        <f>IF(OR(AR$1="",$BE132=0),"",IFERROR(LOOKUP(2,1/((Budgets!$A$2:$A$200=AR$1)*(Budgets!$B$2:$B$200&lt;=$A132)),Budgets!$C$2:$C$200),0))</f>
        <v/>
      </c>
      <c r="AS132" s="88">
        <f>IF(OR(AS$1="",$BE132=0),"",IFERROR(LOOKUP(2,1/((Budgets!$A$2:$A$200=AS$1)*(Budgets!$B$2:$B$200&lt;=$A132)),Budgets!$C$2:$C$200),0))</f>
        <v/>
      </c>
      <c r="AT132" s="88">
        <f>IF(OR(AT$1="",$BE132=0),"",IFERROR(LOOKUP(2,1/((Budgets!$A$2:$A$200=AT$1)*(Budgets!$B$2:$B$200&lt;=$A132)),Budgets!$C$2:$C$200),0))</f>
        <v/>
      </c>
      <c r="AU132" s="88">
        <f>IF(OR(AU$1="",$BE132=0),"",IFERROR(LOOKUP(2,1/((Budgets!$A$2:$A$200=AU$1)*(Budgets!$B$2:$B$200&lt;=$A132)),Budgets!$C$2:$C$200),0))</f>
        <v/>
      </c>
      <c r="AV132" s="88">
        <f>IF(OR(AV$1="",$BE132=0),"",IFERROR(LOOKUP(2,1/((Budgets!$A$2:$A$200=AV$1)*(Budgets!$B$2:$B$200&lt;=$A132)),Budgets!$C$2:$C$200),0))</f>
        <v/>
      </c>
      <c r="AW132" s="88">
        <f>IF(OR(AW$1="",$BE132=0),"",IFERROR(LOOKUP(2,1/((Budgets!$A$2:$A$200=AW$1)*(Budgets!$B$2:$B$200&lt;=$A132)),Budgets!$C$2:$C$200),0))</f>
        <v/>
      </c>
      <c r="AX132" s="88">
        <f>IF(OR(AX$1="",$BE132=0),"",IFERROR(LOOKUP(2,1/((Budgets!$A$2:$A$200=AX$1)*(Budgets!$B$2:$B$200&lt;=$A132)),Budgets!$C$2:$C$200),0))</f>
        <v/>
      </c>
      <c r="AY132" s="88">
        <f>IF(OR(AY$1="",$BE132=0),"",IFERROR(LOOKUP(2,1/((Budgets!$A$2:$A$200=AY$1)*(Budgets!$B$2:$B$200&lt;=$A132)),Budgets!$C$2:$C$200),0))</f>
        <v/>
      </c>
      <c r="AZ132" s="88">
        <f>IF(OR(AZ$1="",$BE132=0),"",IFERROR(LOOKUP(2,1/((Budgets!$A$2:$A$200=AZ$1)*(Budgets!$B$2:$B$200&lt;=$A132)),Budgets!$C$2:$C$200),0))</f>
        <v/>
      </c>
      <c r="BA132" s="88">
        <f>IF(OR(BA$1="",$BE132=0),"",IFERROR(LOOKUP(2,1/((Budgets!$A$2:$A$200=BA$1)*(Budgets!$B$2:$B$200&lt;=$A132)),Budgets!$C$2:$C$200),0))</f>
        <v/>
      </c>
      <c r="BB132" s="88">
        <f>IF(OR(BB$1="",$BE132=0),"",IFERROR(LOOKUP(2,1/((Budgets!$A$2:$A$200=BB$1)*(Budgets!$B$2:$B$200&lt;=$A132)),Budgets!$C$2:$C$200),0))</f>
        <v/>
      </c>
      <c r="BC132" s="88">
        <f>IF(OR(BC$1="",$BE132=0),"",IFERROR(LOOKUP(2,1/((Budgets!$A$2:$A$200=BC$1)*(Budgets!$B$2:$B$200&lt;=$A132)),Budgets!$C$2:$C$200),0))</f>
        <v/>
      </c>
      <c r="BE132" s="67">
        <f>COUNTIFS(Entries!$A$2:$A$5000,$A132)</f>
        <v/>
      </c>
    </row>
    <row r="133" ht="15" customHeight="1" s="43">
      <c r="A133" s="87" t="n">
        <v>43435</v>
      </c>
      <c r="B133" s="88">
        <f>IF($BE133=0,NA(),SUMIFS(Entries!$D$2:$D$5000,Entries!$C$2:$C$5000,"Income",Entries!$A$2:$A$5000,$A133))</f>
        <v/>
      </c>
      <c r="C133" s="88">
        <f>IF($BE133=0,"",SUMIFS(Entries!$D$2:$D$5000,Entries!$C$2:$C$5000,"Actual",Entries!$A$2:$A$5000,$A133))</f>
        <v/>
      </c>
      <c r="D133" s="88">
        <f>IF($BE133=0,"",SUMIFS(Entries!$D$2:$D$5000,Entries!$C$2:$C$5000,"One-off",Entries!$A$2:$A$5000,$A133))</f>
        <v/>
      </c>
      <c r="E133" s="88">
        <f>IF($BE133=0,NA(),C133+D133)</f>
        <v/>
      </c>
      <c r="F133" s="88">
        <f>IF($BE133=0,"",SUM(AJ133:BC133))</f>
        <v/>
      </c>
      <c r="G133" s="88">
        <f>IF($BE133=0,"",B133-E133)</f>
        <v/>
      </c>
      <c r="H133" s="88">
        <f>IF($BE133=0,"",SUM($G$2:G133))</f>
        <v/>
      </c>
      <c r="I133" s="88">
        <f>IF($BE133=0,"",SUMIFS(Entries!$F$2:$F$5000,Entries!$A$2:$A$5000,$A133))</f>
        <v/>
      </c>
      <c r="J133" s="88">
        <f>IF($BE133=0,NA(),H133+SUM($I$2:I133))</f>
        <v/>
      </c>
      <c r="K133" s="88">
        <f>IF($BE133=0,"",SUMIFS(Entries!$D$2:$D$5000,Entries!$C$2:$C$5000,"Income",Entries!$A$2:$A$5000,"&gt;="&amp;EDATE($A133,-11),Entries!$A$2:$A$5000,"&lt;="&amp;$A133)/12)</f>
        <v/>
      </c>
      <c r="L133" s="88">
        <f>IF($BE133=0,"",(SUMIFS(Entries!$D$2:$D$5000,Entries!$C$2:$C$5000,"Actual",Entries!$A$2:$A$5000,"&gt;="&amp;EDATE($A133,-11),Entries!$A$2:$A$5000,"&lt;="&amp;$A133)+SUMIFS(Entries!$D$2:$D$5000,Entries!$C$2:$C$5000,"One-off",Entries!$A$2:$A$5000,"&gt;="&amp;EDATE($A133,-11),Entries!$A$2:$A$5000,"&lt;="&amp;$A133))/12)</f>
        <v/>
      </c>
      <c r="M133" s="70">
        <f>IF($BE133=0,NA(),IFERROR((K133-L133)/K133,0))</f>
        <v/>
      </c>
      <c r="O133" s="88">
        <f>IF(OR(O$1="",$BE133=0),"",SUMIFS(Entries!$D$2:$D$5000,Entries!$C$2:$C$5000,"Actual",Entries!$A$2:$A$5000,$A133,Entries!$B$2:$B$5000,O$1))</f>
        <v/>
      </c>
      <c r="P133" s="88">
        <f>IF(OR(P$1="",$BE133=0),"",SUMIFS(Entries!$D$2:$D$5000,Entries!$C$2:$C$5000,"Actual",Entries!$A$2:$A$5000,$A133,Entries!$B$2:$B$5000,P$1))</f>
        <v/>
      </c>
      <c r="Q133" s="88">
        <f>IF(OR(Q$1="",$BE133=0),"",SUMIFS(Entries!$D$2:$D$5000,Entries!$C$2:$C$5000,"Actual",Entries!$A$2:$A$5000,$A133,Entries!$B$2:$B$5000,Q$1))</f>
        <v/>
      </c>
      <c r="R133" s="88">
        <f>IF(OR(R$1="",$BE133=0),"",SUMIFS(Entries!$D$2:$D$5000,Entries!$C$2:$C$5000,"Actual",Entries!$A$2:$A$5000,$A133,Entries!$B$2:$B$5000,R$1))</f>
        <v/>
      </c>
      <c r="S133" s="88">
        <f>IF(OR(S$1="",$BE133=0),"",SUMIFS(Entries!$D$2:$D$5000,Entries!$C$2:$C$5000,"Actual",Entries!$A$2:$A$5000,$A133,Entries!$B$2:$B$5000,S$1))</f>
        <v/>
      </c>
      <c r="T133" s="88">
        <f>IF(OR(T$1="",$BE133=0),"",SUMIFS(Entries!$D$2:$D$5000,Entries!$C$2:$C$5000,"Actual",Entries!$A$2:$A$5000,$A133,Entries!$B$2:$B$5000,T$1))</f>
        <v/>
      </c>
      <c r="U133" s="88">
        <f>IF(OR(U$1="",$BE133=0),"",SUMIFS(Entries!$D$2:$D$5000,Entries!$C$2:$C$5000,"Actual",Entries!$A$2:$A$5000,$A133,Entries!$B$2:$B$5000,U$1))</f>
        <v/>
      </c>
      <c r="V133" s="88">
        <f>IF(OR(V$1="",$BE133=0),"",SUMIFS(Entries!$D$2:$D$5000,Entries!$C$2:$C$5000,"Actual",Entries!$A$2:$A$5000,$A133,Entries!$B$2:$B$5000,V$1))</f>
        <v/>
      </c>
      <c r="W133" s="88">
        <f>IF(OR(W$1="",$BE133=0),"",SUMIFS(Entries!$D$2:$D$5000,Entries!$C$2:$C$5000,"Actual",Entries!$A$2:$A$5000,$A133,Entries!$B$2:$B$5000,W$1))</f>
        <v/>
      </c>
      <c r="X133" s="88">
        <f>IF(OR(X$1="",$BE133=0),"",SUMIFS(Entries!$D$2:$D$5000,Entries!$C$2:$C$5000,"Actual",Entries!$A$2:$A$5000,$A133,Entries!$B$2:$B$5000,X$1))</f>
        <v/>
      </c>
      <c r="Y133" s="88">
        <f>IF(OR(Y$1="",$BE133=0),"",SUMIFS(Entries!$D$2:$D$5000,Entries!$C$2:$C$5000,"Actual",Entries!$A$2:$A$5000,$A133,Entries!$B$2:$B$5000,Y$1))</f>
        <v/>
      </c>
      <c r="Z133" s="88">
        <f>IF(OR(Z$1="",$BE133=0),"",SUMIFS(Entries!$D$2:$D$5000,Entries!$C$2:$C$5000,"Actual",Entries!$A$2:$A$5000,$A133,Entries!$B$2:$B$5000,Z$1))</f>
        <v/>
      </c>
      <c r="AA133" s="88">
        <f>IF(OR(AA$1="",$BE133=0),"",SUMIFS(Entries!$D$2:$D$5000,Entries!$C$2:$C$5000,"Actual",Entries!$A$2:$A$5000,$A133,Entries!$B$2:$B$5000,AA$1))</f>
        <v/>
      </c>
      <c r="AB133" s="88">
        <f>IF(OR(AB$1="",$BE133=0),"",SUMIFS(Entries!$D$2:$D$5000,Entries!$C$2:$C$5000,"Actual",Entries!$A$2:$A$5000,$A133,Entries!$B$2:$B$5000,AB$1))</f>
        <v/>
      </c>
      <c r="AC133" s="88">
        <f>IF(OR(AC$1="",$BE133=0),"",SUMIFS(Entries!$D$2:$D$5000,Entries!$C$2:$C$5000,"Actual",Entries!$A$2:$A$5000,$A133,Entries!$B$2:$B$5000,AC$1))</f>
        <v/>
      </c>
      <c r="AD133" s="88">
        <f>IF(OR(AD$1="",$BE133=0),"",SUMIFS(Entries!$D$2:$D$5000,Entries!$C$2:$C$5000,"Actual",Entries!$A$2:$A$5000,$A133,Entries!$B$2:$B$5000,AD$1))</f>
        <v/>
      </c>
      <c r="AE133" s="88">
        <f>IF(OR(AE$1="",$BE133=0),"",SUMIFS(Entries!$D$2:$D$5000,Entries!$C$2:$C$5000,"Actual",Entries!$A$2:$A$5000,$A133,Entries!$B$2:$B$5000,AE$1))</f>
        <v/>
      </c>
      <c r="AF133" s="88">
        <f>IF(OR(AF$1="",$BE133=0),"",SUMIFS(Entries!$D$2:$D$5000,Entries!$C$2:$C$5000,"Actual",Entries!$A$2:$A$5000,$A133,Entries!$B$2:$B$5000,AF$1))</f>
        <v/>
      </c>
      <c r="AG133" s="88">
        <f>IF(OR(AG$1="",$BE133=0),"",SUMIFS(Entries!$D$2:$D$5000,Entries!$C$2:$C$5000,"Actual",Entries!$A$2:$A$5000,$A133,Entries!$B$2:$B$5000,AG$1))</f>
        <v/>
      </c>
      <c r="AH133" s="88">
        <f>IF(OR(AH$1="",$BE133=0),"",SUMIFS(Entries!$D$2:$D$5000,Entries!$C$2:$C$5000,"Actual",Entries!$A$2:$A$5000,$A133,Entries!$B$2:$B$5000,AH$1))</f>
        <v/>
      </c>
      <c r="AJ133" s="88">
        <f>IF(OR(AJ$1="",$BE133=0),"",IFERROR(LOOKUP(2,1/((Budgets!$A$2:$A$200=AJ$1)*(Budgets!$B$2:$B$200&lt;=$A133)),Budgets!$C$2:$C$200),0))</f>
        <v/>
      </c>
      <c r="AK133" s="88">
        <f>IF(OR(AK$1="",$BE133=0),"",IFERROR(LOOKUP(2,1/((Budgets!$A$2:$A$200=AK$1)*(Budgets!$B$2:$B$200&lt;=$A133)),Budgets!$C$2:$C$200),0))</f>
        <v/>
      </c>
      <c r="AL133" s="88">
        <f>IF(OR(AL$1="",$BE133=0),"",IFERROR(LOOKUP(2,1/((Budgets!$A$2:$A$200=AL$1)*(Budgets!$B$2:$B$200&lt;=$A133)),Budgets!$C$2:$C$200),0))</f>
        <v/>
      </c>
      <c r="AM133" s="88">
        <f>IF(OR(AM$1="",$BE133=0),"",IFERROR(LOOKUP(2,1/((Budgets!$A$2:$A$200=AM$1)*(Budgets!$B$2:$B$200&lt;=$A133)),Budgets!$C$2:$C$200),0))</f>
        <v/>
      </c>
      <c r="AN133" s="88">
        <f>IF(OR(AN$1="",$BE133=0),"",IFERROR(LOOKUP(2,1/((Budgets!$A$2:$A$200=AN$1)*(Budgets!$B$2:$B$200&lt;=$A133)),Budgets!$C$2:$C$200),0))</f>
        <v/>
      </c>
      <c r="AO133" s="88">
        <f>IF(OR(AO$1="",$BE133=0),"",IFERROR(LOOKUP(2,1/((Budgets!$A$2:$A$200=AO$1)*(Budgets!$B$2:$B$200&lt;=$A133)),Budgets!$C$2:$C$200),0))</f>
        <v/>
      </c>
      <c r="AP133" s="88">
        <f>IF(OR(AP$1="",$BE133=0),"",IFERROR(LOOKUP(2,1/((Budgets!$A$2:$A$200=AP$1)*(Budgets!$B$2:$B$200&lt;=$A133)),Budgets!$C$2:$C$200),0))</f>
        <v/>
      </c>
      <c r="AQ133" s="88">
        <f>IF(OR(AQ$1="",$BE133=0),"",IFERROR(LOOKUP(2,1/((Budgets!$A$2:$A$200=AQ$1)*(Budgets!$B$2:$B$200&lt;=$A133)),Budgets!$C$2:$C$200),0))</f>
        <v/>
      </c>
      <c r="AR133" s="88">
        <f>IF(OR(AR$1="",$BE133=0),"",IFERROR(LOOKUP(2,1/((Budgets!$A$2:$A$200=AR$1)*(Budgets!$B$2:$B$200&lt;=$A133)),Budgets!$C$2:$C$200),0))</f>
        <v/>
      </c>
      <c r="AS133" s="88">
        <f>IF(OR(AS$1="",$BE133=0),"",IFERROR(LOOKUP(2,1/((Budgets!$A$2:$A$200=AS$1)*(Budgets!$B$2:$B$200&lt;=$A133)),Budgets!$C$2:$C$200),0))</f>
        <v/>
      </c>
      <c r="AT133" s="88">
        <f>IF(OR(AT$1="",$BE133=0),"",IFERROR(LOOKUP(2,1/((Budgets!$A$2:$A$200=AT$1)*(Budgets!$B$2:$B$200&lt;=$A133)),Budgets!$C$2:$C$200),0))</f>
        <v/>
      </c>
      <c r="AU133" s="88">
        <f>IF(OR(AU$1="",$BE133=0),"",IFERROR(LOOKUP(2,1/((Budgets!$A$2:$A$200=AU$1)*(Budgets!$B$2:$B$200&lt;=$A133)),Budgets!$C$2:$C$200),0))</f>
        <v/>
      </c>
      <c r="AV133" s="88">
        <f>IF(OR(AV$1="",$BE133=0),"",IFERROR(LOOKUP(2,1/((Budgets!$A$2:$A$200=AV$1)*(Budgets!$B$2:$B$200&lt;=$A133)),Budgets!$C$2:$C$200),0))</f>
        <v/>
      </c>
      <c r="AW133" s="88">
        <f>IF(OR(AW$1="",$BE133=0),"",IFERROR(LOOKUP(2,1/((Budgets!$A$2:$A$200=AW$1)*(Budgets!$B$2:$B$200&lt;=$A133)),Budgets!$C$2:$C$200),0))</f>
        <v/>
      </c>
      <c r="AX133" s="88">
        <f>IF(OR(AX$1="",$BE133=0),"",IFERROR(LOOKUP(2,1/((Budgets!$A$2:$A$200=AX$1)*(Budgets!$B$2:$B$200&lt;=$A133)),Budgets!$C$2:$C$200),0))</f>
        <v/>
      </c>
      <c r="AY133" s="88">
        <f>IF(OR(AY$1="",$BE133=0),"",IFERROR(LOOKUP(2,1/((Budgets!$A$2:$A$200=AY$1)*(Budgets!$B$2:$B$200&lt;=$A133)),Budgets!$C$2:$C$200),0))</f>
        <v/>
      </c>
      <c r="AZ133" s="88">
        <f>IF(OR(AZ$1="",$BE133=0),"",IFERROR(LOOKUP(2,1/((Budgets!$A$2:$A$200=AZ$1)*(Budgets!$B$2:$B$200&lt;=$A133)),Budgets!$C$2:$C$200),0))</f>
        <v/>
      </c>
      <c r="BA133" s="88">
        <f>IF(OR(BA$1="",$BE133=0),"",IFERROR(LOOKUP(2,1/((Budgets!$A$2:$A$200=BA$1)*(Budgets!$B$2:$B$200&lt;=$A133)),Budgets!$C$2:$C$200),0))</f>
        <v/>
      </c>
      <c r="BB133" s="88">
        <f>IF(OR(BB$1="",$BE133=0),"",IFERROR(LOOKUP(2,1/((Budgets!$A$2:$A$200=BB$1)*(Budgets!$B$2:$B$200&lt;=$A133)),Budgets!$C$2:$C$200),0))</f>
        <v/>
      </c>
      <c r="BC133" s="88">
        <f>IF(OR(BC$1="",$BE133=0),"",IFERROR(LOOKUP(2,1/((Budgets!$A$2:$A$200=BC$1)*(Budgets!$B$2:$B$200&lt;=$A133)),Budgets!$C$2:$C$200),0))</f>
        <v/>
      </c>
      <c r="BE133" s="67">
        <f>COUNTIFS(Entries!$A$2:$A$5000,$A133)</f>
        <v/>
      </c>
    </row>
    <row r="134" ht="15" customHeight="1" s="43">
      <c r="A134" s="87" t="n">
        <v>43466</v>
      </c>
      <c r="B134" s="88">
        <f>IF($BE134=0,NA(),SUMIFS(Entries!$D$2:$D$5000,Entries!$C$2:$C$5000,"Income",Entries!$A$2:$A$5000,$A134))</f>
        <v/>
      </c>
      <c r="C134" s="88">
        <f>IF($BE134=0,"",SUMIFS(Entries!$D$2:$D$5000,Entries!$C$2:$C$5000,"Actual",Entries!$A$2:$A$5000,$A134))</f>
        <v/>
      </c>
      <c r="D134" s="88">
        <f>IF($BE134=0,"",SUMIFS(Entries!$D$2:$D$5000,Entries!$C$2:$C$5000,"One-off",Entries!$A$2:$A$5000,$A134))</f>
        <v/>
      </c>
      <c r="E134" s="88">
        <f>IF($BE134=0,NA(),C134+D134)</f>
        <v/>
      </c>
      <c r="F134" s="88">
        <f>IF($BE134=0,"",SUM(AJ134:BC134))</f>
        <v/>
      </c>
      <c r="G134" s="88">
        <f>IF($BE134=0,"",B134-E134)</f>
        <v/>
      </c>
      <c r="H134" s="88">
        <f>IF($BE134=0,"",SUM($G$2:G134))</f>
        <v/>
      </c>
      <c r="I134" s="88">
        <f>IF($BE134=0,"",SUMIFS(Entries!$F$2:$F$5000,Entries!$A$2:$A$5000,$A134))</f>
        <v/>
      </c>
      <c r="J134" s="88">
        <f>IF($BE134=0,NA(),H134+SUM($I$2:I134))</f>
        <v/>
      </c>
      <c r="K134" s="88">
        <f>IF($BE134=0,"",SUMIFS(Entries!$D$2:$D$5000,Entries!$C$2:$C$5000,"Income",Entries!$A$2:$A$5000,"&gt;="&amp;EDATE($A134,-11),Entries!$A$2:$A$5000,"&lt;="&amp;$A134)/12)</f>
        <v/>
      </c>
      <c r="L134" s="88">
        <f>IF($BE134=0,"",(SUMIFS(Entries!$D$2:$D$5000,Entries!$C$2:$C$5000,"Actual",Entries!$A$2:$A$5000,"&gt;="&amp;EDATE($A134,-11),Entries!$A$2:$A$5000,"&lt;="&amp;$A134)+SUMIFS(Entries!$D$2:$D$5000,Entries!$C$2:$C$5000,"One-off",Entries!$A$2:$A$5000,"&gt;="&amp;EDATE($A134,-11),Entries!$A$2:$A$5000,"&lt;="&amp;$A134))/12)</f>
        <v/>
      </c>
      <c r="M134" s="70">
        <f>IF($BE134=0,NA(),IFERROR((K134-L134)/K134,0))</f>
        <v/>
      </c>
      <c r="O134" s="88">
        <f>IF(OR(O$1="",$BE134=0),"",SUMIFS(Entries!$D$2:$D$5000,Entries!$C$2:$C$5000,"Actual",Entries!$A$2:$A$5000,$A134,Entries!$B$2:$B$5000,O$1))</f>
        <v/>
      </c>
      <c r="P134" s="88">
        <f>IF(OR(P$1="",$BE134=0),"",SUMIFS(Entries!$D$2:$D$5000,Entries!$C$2:$C$5000,"Actual",Entries!$A$2:$A$5000,$A134,Entries!$B$2:$B$5000,P$1))</f>
        <v/>
      </c>
      <c r="Q134" s="88">
        <f>IF(OR(Q$1="",$BE134=0),"",SUMIFS(Entries!$D$2:$D$5000,Entries!$C$2:$C$5000,"Actual",Entries!$A$2:$A$5000,$A134,Entries!$B$2:$B$5000,Q$1))</f>
        <v/>
      </c>
      <c r="R134" s="88">
        <f>IF(OR(R$1="",$BE134=0),"",SUMIFS(Entries!$D$2:$D$5000,Entries!$C$2:$C$5000,"Actual",Entries!$A$2:$A$5000,$A134,Entries!$B$2:$B$5000,R$1))</f>
        <v/>
      </c>
      <c r="S134" s="88">
        <f>IF(OR(S$1="",$BE134=0),"",SUMIFS(Entries!$D$2:$D$5000,Entries!$C$2:$C$5000,"Actual",Entries!$A$2:$A$5000,$A134,Entries!$B$2:$B$5000,S$1))</f>
        <v/>
      </c>
      <c r="T134" s="88">
        <f>IF(OR(T$1="",$BE134=0),"",SUMIFS(Entries!$D$2:$D$5000,Entries!$C$2:$C$5000,"Actual",Entries!$A$2:$A$5000,$A134,Entries!$B$2:$B$5000,T$1))</f>
        <v/>
      </c>
      <c r="U134" s="88">
        <f>IF(OR(U$1="",$BE134=0),"",SUMIFS(Entries!$D$2:$D$5000,Entries!$C$2:$C$5000,"Actual",Entries!$A$2:$A$5000,$A134,Entries!$B$2:$B$5000,U$1))</f>
        <v/>
      </c>
      <c r="V134" s="88">
        <f>IF(OR(V$1="",$BE134=0),"",SUMIFS(Entries!$D$2:$D$5000,Entries!$C$2:$C$5000,"Actual",Entries!$A$2:$A$5000,$A134,Entries!$B$2:$B$5000,V$1))</f>
        <v/>
      </c>
      <c r="W134" s="88">
        <f>IF(OR(W$1="",$BE134=0),"",SUMIFS(Entries!$D$2:$D$5000,Entries!$C$2:$C$5000,"Actual",Entries!$A$2:$A$5000,$A134,Entries!$B$2:$B$5000,W$1))</f>
        <v/>
      </c>
      <c r="X134" s="88">
        <f>IF(OR(X$1="",$BE134=0),"",SUMIFS(Entries!$D$2:$D$5000,Entries!$C$2:$C$5000,"Actual",Entries!$A$2:$A$5000,$A134,Entries!$B$2:$B$5000,X$1))</f>
        <v/>
      </c>
      <c r="Y134" s="88">
        <f>IF(OR(Y$1="",$BE134=0),"",SUMIFS(Entries!$D$2:$D$5000,Entries!$C$2:$C$5000,"Actual",Entries!$A$2:$A$5000,$A134,Entries!$B$2:$B$5000,Y$1))</f>
        <v/>
      </c>
      <c r="Z134" s="88">
        <f>IF(OR(Z$1="",$BE134=0),"",SUMIFS(Entries!$D$2:$D$5000,Entries!$C$2:$C$5000,"Actual",Entries!$A$2:$A$5000,$A134,Entries!$B$2:$B$5000,Z$1))</f>
        <v/>
      </c>
      <c r="AA134" s="88">
        <f>IF(OR(AA$1="",$BE134=0),"",SUMIFS(Entries!$D$2:$D$5000,Entries!$C$2:$C$5000,"Actual",Entries!$A$2:$A$5000,$A134,Entries!$B$2:$B$5000,AA$1))</f>
        <v/>
      </c>
      <c r="AB134" s="88">
        <f>IF(OR(AB$1="",$BE134=0),"",SUMIFS(Entries!$D$2:$D$5000,Entries!$C$2:$C$5000,"Actual",Entries!$A$2:$A$5000,$A134,Entries!$B$2:$B$5000,AB$1))</f>
        <v/>
      </c>
      <c r="AC134" s="88">
        <f>IF(OR(AC$1="",$BE134=0),"",SUMIFS(Entries!$D$2:$D$5000,Entries!$C$2:$C$5000,"Actual",Entries!$A$2:$A$5000,$A134,Entries!$B$2:$B$5000,AC$1))</f>
        <v/>
      </c>
      <c r="AD134" s="88">
        <f>IF(OR(AD$1="",$BE134=0),"",SUMIFS(Entries!$D$2:$D$5000,Entries!$C$2:$C$5000,"Actual",Entries!$A$2:$A$5000,$A134,Entries!$B$2:$B$5000,AD$1))</f>
        <v/>
      </c>
      <c r="AE134" s="88">
        <f>IF(OR(AE$1="",$BE134=0),"",SUMIFS(Entries!$D$2:$D$5000,Entries!$C$2:$C$5000,"Actual",Entries!$A$2:$A$5000,$A134,Entries!$B$2:$B$5000,AE$1))</f>
        <v/>
      </c>
      <c r="AF134" s="88">
        <f>IF(OR(AF$1="",$BE134=0),"",SUMIFS(Entries!$D$2:$D$5000,Entries!$C$2:$C$5000,"Actual",Entries!$A$2:$A$5000,$A134,Entries!$B$2:$B$5000,AF$1))</f>
        <v/>
      </c>
      <c r="AG134" s="88">
        <f>IF(OR(AG$1="",$BE134=0),"",SUMIFS(Entries!$D$2:$D$5000,Entries!$C$2:$C$5000,"Actual",Entries!$A$2:$A$5000,$A134,Entries!$B$2:$B$5000,AG$1))</f>
        <v/>
      </c>
      <c r="AH134" s="88">
        <f>IF(OR(AH$1="",$BE134=0),"",SUMIFS(Entries!$D$2:$D$5000,Entries!$C$2:$C$5000,"Actual",Entries!$A$2:$A$5000,$A134,Entries!$B$2:$B$5000,AH$1))</f>
        <v/>
      </c>
      <c r="AJ134" s="88">
        <f>IF(OR(AJ$1="",$BE134=0),"",IFERROR(LOOKUP(2,1/((Budgets!$A$2:$A$200=AJ$1)*(Budgets!$B$2:$B$200&lt;=$A134)),Budgets!$C$2:$C$200),0))</f>
        <v/>
      </c>
      <c r="AK134" s="88">
        <f>IF(OR(AK$1="",$BE134=0),"",IFERROR(LOOKUP(2,1/((Budgets!$A$2:$A$200=AK$1)*(Budgets!$B$2:$B$200&lt;=$A134)),Budgets!$C$2:$C$200),0))</f>
        <v/>
      </c>
      <c r="AL134" s="88">
        <f>IF(OR(AL$1="",$BE134=0),"",IFERROR(LOOKUP(2,1/((Budgets!$A$2:$A$200=AL$1)*(Budgets!$B$2:$B$200&lt;=$A134)),Budgets!$C$2:$C$200),0))</f>
        <v/>
      </c>
      <c r="AM134" s="88">
        <f>IF(OR(AM$1="",$BE134=0),"",IFERROR(LOOKUP(2,1/((Budgets!$A$2:$A$200=AM$1)*(Budgets!$B$2:$B$200&lt;=$A134)),Budgets!$C$2:$C$200),0))</f>
        <v/>
      </c>
      <c r="AN134" s="88">
        <f>IF(OR(AN$1="",$BE134=0),"",IFERROR(LOOKUP(2,1/((Budgets!$A$2:$A$200=AN$1)*(Budgets!$B$2:$B$200&lt;=$A134)),Budgets!$C$2:$C$200),0))</f>
        <v/>
      </c>
      <c r="AO134" s="88">
        <f>IF(OR(AO$1="",$BE134=0),"",IFERROR(LOOKUP(2,1/((Budgets!$A$2:$A$200=AO$1)*(Budgets!$B$2:$B$200&lt;=$A134)),Budgets!$C$2:$C$200),0))</f>
        <v/>
      </c>
      <c r="AP134" s="88">
        <f>IF(OR(AP$1="",$BE134=0),"",IFERROR(LOOKUP(2,1/((Budgets!$A$2:$A$200=AP$1)*(Budgets!$B$2:$B$200&lt;=$A134)),Budgets!$C$2:$C$200),0))</f>
        <v/>
      </c>
      <c r="AQ134" s="88">
        <f>IF(OR(AQ$1="",$BE134=0),"",IFERROR(LOOKUP(2,1/((Budgets!$A$2:$A$200=AQ$1)*(Budgets!$B$2:$B$200&lt;=$A134)),Budgets!$C$2:$C$200),0))</f>
        <v/>
      </c>
      <c r="AR134" s="88">
        <f>IF(OR(AR$1="",$BE134=0),"",IFERROR(LOOKUP(2,1/((Budgets!$A$2:$A$200=AR$1)*(Budgets!$B$2:$B$200&lt;=$A134)),Budgets!$C$2:$C$200),0))</f>
        <v/>
      </c>
      <c r="AS134" s="88">
        <f>IF(OR(AS$1="",$BE134=0),"",IFERROR(LOOKUP(2,1/((Budgets!$A$2:$A$200=AS$1)*(Budgets!$B$2:$B$200&lt;=$A134)),Budgets!$C$2:$C$200),0))</f>
        <v/>
      </c>
      <c r="AT134" s="88">
        <f>IF(OR(AT$1="",$BE134=0),"",IFERROR(LOOKUP(2,1/((Budgets!$A$2:$A$200=AT$1)*(Budgets!$B$2:$B$200&lt;=$A134)),Budgets!$C$2:$C$200),0))</f>
        <v/>
      </c>
      <c r="AU134" s="88">
        <f>IF(OR(AU$1="",$BE134=0),"",IFERROR(LOOKUP(2,1/((Budgets!$A$2:$A$200=AU$1)*(Budgets!$B$2:$B$200&lt;=$A134)),Budgets!$C$2:$C$200),0))</f>
        <v/>
      </c>
      <c r="AV134" s="88">
        <f>IF(OR(AV$1="",$BE134=0),"",IFERROR(LOOKUP(2,1/((Budgets!$A$2:$A$200=AV$1)*(Budgets!$B$2:$B$200&lt;=$A134)),Budgets!$C$2:$C$200),0))</f>
        <v/>
      </c>
      <c r="AW134" s="88">
        <f>IF(OR(AW$1="",$BE134=0),"",IFERROR(LOOKUP(2,1/((Budgets!$A$2:$A$200=AW$1)*(Budgets!$B$2:$B$200&lt;=$A134)),Budgets!$C$2:$C$200),0))</f>
        <v/>
      </c>
      <c r="AX134" s="88">
        <f>IF(OR(AX$1="",$BE134=0),"",IFERROR(LOOKUP(2,1/((Budgets!$A$2:$A$200=AX$1)*(Budgets!$B$2:$B$200&lt;=$A134)),Budgets!$C$2:$C$200),0))</f>
        <v/>
      </c>
      <c r="AY134" s="88">
        <f>IF(OR(AY$1="",$BE134=0),"",IFERROR(LOOKUP(2,1/((Budgets!$A$2:$A$200=AY$1)*(Budgets!$B$2:$B$200&lt;=$A134)),Budgets!$C$2:$C$200),0))</f>
        <v/>
      </c>
      <c r="AZ134" s="88">
        <f>IF(OR(AZ$1="",$BE134=0),"",IFERROR(LOOKUP(2,1/((Budgets!$A$2:$A$200=AZ$1)*(Budgets!$B$2:$B$200&lt;=$A134)),Budgets!$C$2:$C$200),0))</f>
        <v/>
      </c>
      <c r="BA134" s="88">
        <f>IF(OR(BA$1="",$BE134=0),"",IFERROR(LOOKUP(2,1/((Budgets!$A$2:$A$200=BA$1)*(Budgets!$B$2:$B$200&lt;=$A134)),Budgets!$C$2:$C$200),0))</f>
        <v/>
      </c>
      <c r="BB134" s="88">
        <f>IF(OR(BB$1="",$BE134=0),"",IFERROR(LOOKUP(2,1/((Budgets!$A$2:$A$200=BB$1)*(Budgets!$B$2:$B$200&lt;=$A134)),Budgets!$C$2:$C$200),0))</f>
        <v/>
      </c>
      <c r="BC134" s="88">
        <f>IF(OR(BC$1="",$BE134=0),"",IFERROR(LOOKUP(2,1/((Budgets!$A$2:$A$200=BC$1)*(Budgets!$B$2:$B$200&lt;=$A134)),Budgets!$C$2:$C$200),0))</f>
        <v/>
      </c>
      <c r="BE134" s="67">
        <f>COUNTIFS(Entries!$A$2:$A$5000,$A134)</f>
        <v/>
      </c>
    </row>
    <row r="135" ht="15" customHeight="1" s="43">
      <c r="A135" s="87" t="n">
        <v>43497</v>
      </c>
      <c r="B135" s="88">
        <f>IF($BE135=0,NA(),SUMIFS(Entries!$D$2:$D$5000,Entries!$C$2:$C$5000,"Income",Entries!$A$2:$A$5000,$A135))</f>
        <v/>
      </c>
      <c r="C135" s="88">
        <f>IF($BE135=0,"",SUMIFS(Entries!$D$2:$D$5000,Entries!$C$2:$C$5000,"Actual",Entries!$A$2:$A$5000,$A135))</f>
        <v/>
      </c>
      <c r="D135" s="88">
        <f>IF($BE135=0,"",SUMIFS(Entries!$D$2:$D$5000,Entries!$C$2:$C$5000,"One-off",Entries!$A$2:$A$5000,$A135))</f>
        <v/>
      </c>
      <c r="E135" s="88">
        <f>IF($BE135=0,NA(),C135+D135)</f>
        <v/>
      </c>
      <c r="F135" s="88">
        <f>IF($BE135=0,"",SUM(AJ135:BC135))</f>
        <v/>
      </c>
      <c r="G135" s="88">
        <f>IF($BE135=0,"",B135-E135)</f>
        <v/>
      </c>
      <c r="H135" s="88">
        <f>IF($BE135=0,"",SUM($G$2:G135))</f>
        <v/>
      </c>
      <c r="I135" s="88">
        <f>IF($BE135=0,"",SUMIFS(Entries!$F$2:$F$5000,Entries!$A$2:$A$5000,$A135))</f>
        <v/>
      </c>
      <c r="J135" s="88">
        <f>IF($BE135=0,NA(),H135+SUM($I$2:I135))</f>
        <v/>
      </c>
      <c r="K135" s="88">
        <f>IF($BE135=0,"",SUMIFS(Entries!$D$2:$D$5000,Entries!$C$2:$C$5000,"Income",Entries!$A$2:$A$5000,"&gt;="&amp;EDATE($A135,-11),Entries!$A$2:$A$5000,"&lt;="&amp;$A135)/12)</f>
        <v/>
      </c>
      <c r="L135" s="88">
        <f>IF($BE135=0,"",(SUMIFS(Entries!$D$2:$D$5000,Entries!$C$2:$C$5000,"Actual",Entries!$A$2:$A$5000,"&gt;="&amp;EDATE($A135,-11),Entries!$A$2:$A$5000,"&lt;="&amp;$A135)+SUMIFS(Entries!$D$2:$D$5000,Entries!$C$2:$C$5000,"One-off",Entries!$A$2:$A$5000,"&gt;="&amp;EDATE($A135,-11),Entries!$A$2:$A$5000,"&lt;="&amp;$A135))/12)</f>
        <v/>
      </c>
      <c r="M135" s="70">
        <f>IF($BE135=0,NA(),IFERROR((K135-L135)/K135,0))</f>
        <v/>
      </c>
      <c r="O135" s="88">
        <f>IF(OR(O$1="",$BE135=0),"",SUMIFS(Entries!$D$2:$D$5000,Entries!$C$2:$C$5000,"Actual",Entries!$A$2:$A$5000,$A135,Entries!$B$2:$B$5000,O$1))</f>
        <v/>
      </c>
      <c r="P135" s="88">
        <f>IF(OR(P$1="",$BE135=0),"",SUMIFS(Entries!$D$2:$D$5000,Entries!$C$2:$C$5000,"Actual",Entries!$A$2:$A$5000,$A135,Entries!$B$2:$B$5000,P$1))</f>
        <v/>
      </c>
      <c r="Q135" s="88">
        <f>IF(OR(Q$1="",$BE135=0),"",SUMIFS(Entries!$D$2:$D$5000,Entries!$C$2:$C$5000,"Actual",Entries!$A$2:$A$5000,$A135,Entries!$B$2:$B$5000,Q$1))</f>
        <v/>
      </c>
      <c r="R135" s="88">
        <f>IF(OR(R$1="",$BE135=0),"",SUMIFS(Entries!$D$2:$D$5000,Entries!$C$2:$C$5000,"Actual",Entries!$A$2:$A$5000,$A135,Entries!$B$2:$B$5000,R$1))</f>
        <v/>
      </c>
      <c r="S135" s="88">
        <f>IF(OR(S$1="",$BE135=0),"",SUMIFS(Entries!$D$2:$D$5000,Entries!$C$2:$C$5000,"Actual",Entries!$A$2:$A$5000,$A135,Entries!$B$2:$B$5000,S$1))</f>
        <v/>
      </c>
      <c r="T135" s="88">
        <f>IF(OR(T$1="",$BE135=0),"",SUMIFS(Entries!$D$2:$D$5000,Entries!$C$2:$C$5000,"Actual",Entries!$A$2:$A$5000,$A135,Entries!$B$2:$B$5000,T$1))</f>
        <v/>
      </c>
      <c r="U135" s="88">
        <f>IF(OR(U$1="",$BE135=0),"",SUMIFS(Entries!$D$2:$D$5000,Entries!$C$2:$C$5000,"Actual",Entries!$A$2:$A$5000,$A135,Entries!$B$2:$B$5000,U$1))</f>
        <v/>
      </c>
      <c r="V135" s="88">
        <f>IF(OR(V$1="",$BE135=0),"",SUMIFS(Entries!$D$2:$D$5000,Entries!$C$2:$C$5000,"Actual",Entries!$A$2:$A$5000,$A135,Entries!$B$2:$B$5000,V$1))</f>
        <v/>
      </c>
      <c r="W135" s="88">
        <f>IF(OR(W$1="",$BE135=0),"",SUMIFS(Entries!$D$2:$D$5000,Entries!$C$2:$C$5000,"Actual",Entries!$A$2:$A$5000,$A135,Entries!$B$2:$B$5000,W$1))</f>
        <v/>
      </c>
      <c r="X135" s="88">
        <f>IF(OR(X$1="",$BE135=0),"",SUMIFS(Entries!$D$2:$D$5000,Entries!$C$2:$C$5000,"Actual",Entries!$A$2:$A$5000,$A135,Entries!$B$2:$B$5000,X$1))</f>
        <v/>
      </c>
      <c r="Y135" s="88">
        <f>IF(OR(Y$1="",$BE135=0),"",SUMIFS(Entries!$D$2:$D$5000,Entries!$C$2:$C$5000,"Actual",Entries!$A$2:$A$5000,$A135,Entries!$B$2:$B$5000,Y$1))</f>
        <v/>
      </c>
      <c r="Z135" s="88">
        <f>IF(OR(Z$1="",$BE135=0),"",SUMIFS(Entries!$D$2:$D$5000,Entries!$C$2:$C$5000,"Actual",Entries!$A$2:$A$5000,$A135,Entries!$B$2:$B$5000,Z$1))</f>
        <v/>
      </c>
      <c r="AA135" s="88">
        <f>IF(OR(AA$1="",$BE135=0),"",SUMIFS(Entries!$D$2:$D$5000,Entries!$C$2:$C$5000,"Actual",Entries!$A$2:$A$5000,$A135,Entries!$B$2:$B$5000,AA$1))</f>
        <v/>
      </c>
      <c r="AB135" s="88">
        <f>IF(OR(AB$1="",$BE135=0),"",SUMIFS(Entries!$D$2:$D$5000,Entries!$C$2:$C$5000,"Actual",Entries!$A$2:$A$5000,$A135,Entries!$B$2:$B$5000,AB$1))</f>
        <v/>
      </c>
      <c r="AC135" s="88">
        <f>IF(OR(AC$1="",$BE135=0),"",SUMIFS(Entries!$D$2:$D$5000,Entries!$C$2:$C$5000,"Actual",Entries!$A$2:$A$5000,$A135,Entries!$B$2:$B$5000,AC$1))</f>
        <v/>
      </c>
      <c r="AD135" s="88">
        <f>IF(OR(AD$1="",$BE135=0),"",SUMIFS(Entries!$D$2:$D$5000,Entries!$C$2:$C$5000,"Actual",Entries!$A$2:$A$5000,$A135,Entries!$B$2:$B$5000,AD$1))</f>
        <v/>
      </c>
      <c r="AE135" s="88">
        <f>IF(OR(AE$1="",$BE135=0),"",SUMIFS(Entries!$D$2:$D$5000,Entries!$C$2:$C$5000,"Actual",Entries!$A$2:$A$5000,$A135,Entries!$B$2:$B$5000,AE$1))</f>
        <v/>
      </c>
      <c r="AF135" s="88">
        <f>IF(OR(AF$1="",$BE135=0),"",SUMIFS(Entries!$D$2:$D$5000,Entries!$C$2:$C$5000,"Actual",Entries!$A$2:$A$5000,$A135,Entries!$B$2:$B$5000,AF$1))</f>
        <v/>
      </c>
      <c r="AG135" s="88">
        <f>IF(OR(AG$1="",$BE135=0),"",SUMIFS(Entries!$D$2:$D$5000,Entries!$C$2:$C$5000,"Actual",Entries!$A$2:$A$5000,$A135,Entries!$B$2:$B$5000,AG$1))</f>
        <v/>
      </c>
      <c r="AH135" s="88">
        <f>IF(OR(AH$1="",$BE135=0),"",SUMIFS(Entries!$D$2:$D$5000,Entries!$C$2:$C$5000,"Actual",Entries!$A$2:$A$5000,$A135,Entries!$B$2:$B$5000,AH$1))</f>
        <v/>
      </c>
      <c r="AJ135" s="88">
        <f>IF(OR(AJ$1="",$BE135=0),"",IFERROR(LOOKUP(2,1/((Budgets!$A$2:$A$200=AJ$1)*(Budgets!$B$2:$B$200&lt;=$A135)),Budgets!$C$2:$C$200),0))</f>
        <v/>
      </c>
      <c r="AK135" s="88">
        <f>IF(OR(AK$1="",$BE135=0),"",IFERROR(LOOKUP(2,1/((Budgets!$A$2:$A$200=AK$1)*(Budgets!$B$2:$B$200&lt;=$A135)),Budgets!$C$2:$C$200),0))</f>
        <v/>
      </c>
      <c r="AL135" s="88">
        <f>IF(OR(AL$1="",$BE135=0),"",IFERROR(LOOKUP(2,1/((Budgets!$A$2:$A$200=AL$1)*(Budgets!$B$2:$B$200&lt;=$A135)),Budgets!$C$2:$C$200),0))</f>
        <v/>
      </c>
      <c r="AM135" s="88">
        <f>IF(OR(AM$1="",$BE135=0),"",IFERROR(LOOKUP(2,1/((Budgets!$A$2:$A$200=AM$1)*(Budgets!$B$2:$B$200&lt;=$A135)),Budgets!$C$2:$C$200),0))</f>
        <v/>
      </c>
      <c r="AN135" s="88">
        <f>IF(OR(AN$1="",$BE135=0),"",IFERROR(LOOKUP(2,1/((Budgets!$A$2:$A$200=AN$1)*(Budgets!$B$2:$B$200&lt;=$A135)),Budgets!$C$2:$C$200),0))</f>
        <v/>
      </c>
      <c r="AO135" s="88">
        <f>IF(OR(AO$1="",$BE135=0),"",IFERROR(LOOKUP(2,1/((Budgets!$A$2:$A$200=AO$1)*(Budgets!$B$2:$B$200&lt;=$A135)),Budgets!$C$2:$C$200),0))</f>
        <v/>
      </c>
      <c r="AP135" s="88">
        <f>IF(OR(AP$1="",$BE135=0),"",IFERROR(LOOKUP(2,1/((Budgets!$A$2:$A$200=AP$1)*(Budgets!$B$2:$B$200&lt;=$A135)),Budgets!$C$2:$C$200),0))</f>
        <v/>
      </c>
      <c r="AQ135" s="88">
        <f>IF(OR(AQ$1="",$BE135=0),"",IFERROR(LOOKUP(2,1/((Budgets!$A$2:$A$200=AQ$1)*(Budgets!$B$2:$B$200&lt;=$A135)),Budgets!$C$2:$C$200),0))</f>
        <v/>
      </c>
      <c r="AR135" s="88">
        <f>IF(OR(AR$1="",$BE135=0),"",IFERROR(LOOKUP(2,1/((Budgets!$A$2:$A$200=AR$1)*(Budgets!$B$2:$B$200&lt;=$A135)),Budgets!$C$2:$C$200),0))</f>
        <v/>
      </c>
      <c r="AS135" s="88">
        <f>IF(OR(AS$1="",$BE135=0),"",IFERROR(LOOKUP(2,1/((Budgets!$A$2:$A$200=AS$1)*(Budgets!$B$2:$B$200&lt;=$A135)),Budgets!$C$2:$C$200),0))</f>
        <v/>
      </c>
      <c r="AT135" s="88">
        <f>IF(OR(AT$1="",$BE135=0),"",IFERROR(LOOKUP(2,1/((Budgets!$A$2:$A$200=AT$1)*(Budgets!$B$2:$B$200&lt;=$A135)),Budgets!$C$2:$C$200),0))</f>
        <v/>
      </c>
      <c r="AU135" s="88">
        <f>IF(OR(AU$1="",$BE135=0),"",IFERROR(LOOKUP(2,1/((Budgets!$A$2:$A$200=AU$1)*(Budgets!$B$2:$B$200&lt;=$A135)),Budgets!$C$2:$C$200),0))</f>
        <v/>
      </c>
      <c r="AV135" s="88">
        <f>IF(OR(AV$1="",$BE135=0),"",IFERROR(LOOKUP(2,1/((Budgets!$A$2:$A$200=AV$1)*(Budgets!$B$2:$B$200&lt;=$A135)),Budgets!$C$2:$C$200),0))</f>
        <v/>
      </c>
      <c r="AW135" s="88">
        <f>IF(OR(AW$1="",$BE135=0),"",IFERROR(LOOKUP(2,1/((Budgets!$A$2:$A$200=AW$1)*(Budgets!$B$2:$B$200&lt;=$A135)),Budgets!$C$2:$C$200),0))</f>
        <v/>
      </c>
      <c r="AX135" s="88">
        <f>IF(OR(AX$1="",$BE135=0),"",IFERROR(LOOKUP(2,1/((Budgets!$A$2:$A$200=AX$1)*(Budgets!$B$2:$B$200&lt;=$A135)),Budgets!$C$2:$C$200),0))</f>
        <v/>
      </c>
      <c r="AY135" s="88">
        <f>IF(OR(AY$1="",$BE135=0),"",IFERROR(LOOKUP(2,1/((Budgets!$A$2:$A$200=AY$1)*(Budgets!$B$2:$B$200&lt;=$A135)),Budgets!$C$2:$C$200),0))</f>
        <v/>
      </c>
      <c r="AZ135" s="88">
        <f>IF(OR(AZ$1="",$BE135=0),"",IFERROR(LOOKUP(2,1/((Budgets!$A$2:$A$200=AZ$1)*(Budgets!$B$2:$B$200&lt;=$A135)),Budgets!$C$2:$C$200),0))</f>
        <v/>
      </c>
      <c r="BA135" s="88">
        <f>IF(OR(BA$1="",$BE135=0),"",IFERROR(LOOKUP(2,1/((Budgets!$A$2:$A$200=BA$1)*(Budgets!$B$2:$B$200&lt;=$A135)),Budgets!$C$2:$C$200),0))</f>
        <v/>
      </c>
      <c r="BB135" s="88">
        <f>IF(OR(BB$1="",$BE135=0),"",IFERROR(LOOKUP(2,1/((Budgets!$A$2:$A$200=BB$1)*(Budgets!$B$2:$B$200&lt;=$A135)),Budgets!$C$2:$C$200),0))</f>
        <v/>
      </c>
      <c r="BC135" s="88">
        <f>IF(OR(BC$1="",$BE135=0),"",IFERROR(LOOKUP(2,1/((Budgets!$A$2:$A$200=BC$1)*(Budgets!$B$2:$B$200&lt;=$A135)),Budgets!$C$2:$C$200),0))</f>
        <v/>
      </c>
      <c r="BE135" s="67">
        <f>COUNTIFS(Entries!$A$2:$A$5000,$A135)</f>
        <v/>
      </c>
    </row>
    <row r="136" ht="15" customHeight="1" s="43">
      <c r="A136" s="87" t="n">
        <v>43525</v>
      </c>
      <c r="B136" s="88">
        <f>IF($BE136=0,NA(),SUMIFS(Entries!$D$2:$D$5000,Entries!$C$2:$C$5000,"Income",Entries!$A$2:$A$5000,$A136))</f>
        <v/>
      </c>
      <c r="C136" s="88">
        <f>IF($BE136=0,"",SUMIFS(Entries!$D$2:$D$5000,Entries!$C$2:$C$5000,"Actual",Entries!$A$2:$A$5000,$A136))</f>
        <v/>
      </c>
      <c r="D136" s="88">
        <f>IF($BE136=0,"",SUMIFS(Entries!$D$2:$D$5000,Entries!$C$2:$C$5000,"One-off",Entries!$A$2:$A$5000,$A136))</f>
        <v/>
      </c>
      <c r="E136" s="88">
        <f>IF($BE136=0,NA(),C136+D136)</f>
        <v/>
      </c>
      <c r="F136" s="88">
        <f>IF($BE136=0,"",SUM(AJ136:BC136))</f>
        <v/>
      </c>
      <c r="G136" s="88">
        <f>IF($BE136=0,"",B136-E136)</f>
        <v/>
      </c>
      <c r="H136" s="88">
        <f>IF($BE136=0,"",SUM($G$2:G136))</f>
        <v/>
      </c>
      <c r="I136" s="88">
        <f>IF($BE136=0,"",SUMIFS(Entries!$F$2:$F$5000,Entries!$A$2:$A$5000,$A136))</f>
        <v/>
      </c>
      <c r="J136" s="88">
        <f>IF($BE136=0,NA(),H136+SUM($I$2:I136))</f>
        <v/>
      </c>
      <c r="K136" s="88">
        <f>IF($BE136=0,"",SUMIFS(Entries!$D$2:$D$5000,Entries!$C$2:$C$5000,"Income",Entries!$A$2:$A$5000,"&gt;="&amp;EDATE($A136,-11),Entries!$A$2:$A$5000,"&lt;="&amp;$A136)/12)</f>
        <v/>
      </c>
      <c r="L136" s="88">
        <f>IF($BE136=0,"",(SUMIFS(Entries!$D$2:$D$5000,Entries!$C$2:$C$5000,"Actual",Entries!$A$2:$A$5000,"&gt;="&amp;EDATE($A136,-11),Entries!$A$2:$A$5000,"&lt;="&amp;$A136)+SUMIFS(Entries!$D$2:$D$5000,Entries!$C$2:$C$5000,"One-off",Entries!$A$2:$A$5000,"&gt;="&amp;EDATE($A136,-11),Entries!$A$2:$A$5000,"&lt;="&amp;$A136))/12)</f>
        <v/>
      </c>
      <c r="M136" s="70">
        <f>IF($BE136=0,NA(),IFERROR((K136-L136)/K136,0))</f>
        <v/>
      </c>
      <c r="O136" s="88">
        <f>IF(OR(O$1="",$BE136=0),"",SUMIFS(Entries!$D$2:$D$5000,Entries!$C$2:$C$5000,"Actual",Entries!$A$2:$A$5000,$A136,Entries!$B$2:$B$5000,O$1))</f>
        <v/>
      </c>
      <c r="P136" s="88">
        <f>IF(OR(P$1="",$BE136=0),"",SUMIFS(Entries!$D$2:$D$5000,Entries!$C$2:$C$5000,"Actual",Entries!$A$2:$A$5000,$A136,Entries!$B$2:$B$5000,P$1))</f>
        <v/>
      </c>
      <c r="Q136" s="88">
        <f>IF(OR(Q$1="",$BE136=0),"",SUMIFS(Entries!$D$2:$D$5000,Entries!$C$2:$C$5000,"Actual",Entries!$A$2:$A$5000,$A136,Entries!$B$2:$B$5000,Q$1))</f>
        <v/>
      </c>
      <c r="R136" s="88">
        <f>IF(OR(R$1="",$BE136=0),"",SUMIFS(Entries!$D$2:$D$5000,Entries!$C$2:$C$5000,"Actual",Entries!$A$2:$A$5000,$A136,Entries!$B$2:$B$5000,R$1))</f>
        <v/>
      </c>
      <c r="S136" s="88">
        <f>IF(OR(S$1="",$BE136=0),"",SUMIFS(Entries!$D$2:$D$5000,Entries!$C$2:$C$5000,"Actual",Entries!$A$2:$A$5000,$A136,Entries!$B$2:$B$5000,S$1))</f>
        <v/>
      </c>
      <c r="T136" s="88">
        <f>IF(OR(T$1="",$BE136=0),"",SUMIFS(Entries!$D$2:$D$5000,Entries!$C$2:$C$5000,"Actual",Entries!$A$2:$A$5000,$A136,Entries!$B$2:$B$5000,T$1))</f>
        <v/>
      </c>
      <c r="U136" s="88">
        <f>IF(OR(U$1="",$BE136=0),"",SUMIFS(Entries!$D$2:$D$5000,Entries!$C$2:$C$5000,"Actual",Entries!$A$2:$A$5000,$A136,Entries!$B$2:$B$5000,U$1))</f>
        <v/>
      </c>
      <c r="V136" s="88">
        <f>IF(OR(V$1="",$BE136=0),"",SUMIFS(Entries!$D$2:$D$5000,Entries!$C$2:$C$5000,"Actual",Entries!$A$2:$A$5000,$A136,Entries!$B$2:$B$5000,V$1))</f>
        <v/>
      </c>
      <c r="W136" s="88">
        <f>IF(OR(W$1="",$BE136=0),"",SUMIFS(Entries!$D$2:$D$5000,Entries!$C$2:$C$5000,"Actual",Entries!$A$2:$A$5000,$A136,Entries!$B$2:$B$5000,W$1))</f>
        <v/>
      </c>
      <c r="X136" s="88">
        <f>IF(OR(X$1="",$BE136=0),"",SUMIFS(Entries!$D$2:$D$5000,Entries!$C$2:$C$5000,"Actual",Entries!$A$2:$A$5000,$A136,Entries!$B$2:$B$5000,X$1))</f>
        <v/>
      </c>
      <c r="Y136" s="88">
        <f>IF(OR(Y$1="",$BE136=0),"",SUMIFS(Entries!$D$2:$D$5000,Entries!$C$2:$C$5000,"Actual",Entries!$A$2:$A$5000,$A136,Entries!$B$2:$B$5000,Y$1))</f>
        <v/>
      </c>
      <c r="Z136" s="88">
        <f>IF(OR(Z$1="",$BE136=0),"",SUMIFS(Entries!$D$2:$D$5000,Entries!$C$2:$C$5000,"Actual",Entries!$A$2:$A$5000,$A136,Entries!$B$2:$B$5000,Z$1))</f>
        <v/>
      </c>
      <c r="AA136" s="88">
        <f>IF(OR(AA$1="",$BE136=0),"",SUMIFS(Entries!$D$2:$D$5000,Entries!$C$2:$C$5000,"Actual",Entries!$A$2:$A$5000,$A136,Entries!$B$2:$B$5000,AA$1))</f>
        <v/>
      </c>
      <c r="AB136" s="88">
        <f>IF(OR(AB$1="",$BE136=0),"",SUMIFS(Entries!$D$2:$D$5000,Entries!$C$2:$C$5000,"Actual",Entries!$A$2:$A$5000,$A136,Entries!$B$2:$B$5000,AB$1))</f>
        <v/>
      </c>
      <c r="AC136" s="88">
        <f>IF(OR(AC$1="",$BE136=0),"",SUMIFS(Entries!$D$2:$D$5000,Entries!$C$2:$C$5000,"Actual",Entries!$A$2:$A$5000,$A136,Entries!$B$2:$B$5000,AC$1))</f>
        <v/>
      </c>
      <c r="AD136" s="88">
        <f>IF(OR(AD$1="",$BE136=0),"",SUMIFS(Entries!$D$2:$D$5000,Entries!$C$2:$C$5000,"Actual",Entries!$A$2:$A$5000,$A136,Entries!$B$2:$B$5000,AD$1))</f>
        <v/>
      </c>
      <c r="AE136" s="88">
        <f>IF(OR(AE$1="",$BE136=0),"",SUMIFS(Entries!$D$2:$D$5000,Entries!$C$2:$C$5000,"Actual",Entries!$A$2:$A$5000,$A136,Entries!$B$2:$B$5000,AE$1))</f>
        <v/>
      </c>
      <c r="AF136" s="88">
        <f>IF(OR(AF$1="",$BE136=0),"",SUMIFS(Entries!$D$2:$D$5000,Entries!$C$2:$C$5000,"Actual",Entries!$A$2:$A$5000,$A136,Entries!$B$2:$B$5000,AF$1))</f>
        <v/>
      </c>
      <c r="AG136" s="88">
        <f>IF(OR(AG$1="",$BE136=0),"",SUMIFS(Entries!$D$2:$D$5000,Entries!$C$2:$C$5000,"Actual",Entries!$A$2:$A$5000,$A136,Entries!$B$2:$B$5000,AG$1))</f>
        <v/>
      </c>
      <c r="AH136" s="88">
        <f>IF(OR(AH$1="",$BE136=0),"",SUMIFS(Entries!$D$2:$D$5000,Entries!$C$2:$C$5000,"Actual",Entries!$A$2:$A$5000,$A136,Entries!$B$2:$B$5000,AH$1))</f>
        <v/>
      </c>
      <c r="AJ136" s="88">
        <f>IF(OR(AJ$1="",$BE136=0),"",IFERROR(LOOKUP(2,1/((Budgets!$A$2:$A$200=AJ$1)*(Budgets!$B$2:$B$200&lt;=$A136)),Budgets!$C$2:$C$200),0))</f>
        <v/>
      </c>
      <c r="AK136" s="88">
        <f>IF(OR(AK$1="",$BE136=0),"",IFERROR(LOOKUP(2,1/((Budgets!$A$2:$A$200=AK$1)*(Budgets!$B$2:$B$200&lt;=$A136)),Budgets!$C$2:$C$200),0))</f>
        <v/>
      </c>
      <c r="AL136" s="88">
        <f>IF(OR(AL$1="",$BE136=0),"",IFERROR(LOOKUP(2,1/((Budgets!$A$2:$A$200=AL$1)*(Budgets!$B$2:$B$200&lt;=$A136)),Budgets!$C$2:$C$200),0))</f>
        <v/>
      </c>
      <c r="AM136" s="88">
        <f>IF(OR(AM$1="",$BE136=0),"",IFERROR(LOOKUP(2,1/((Budgets!$A$2:$A$200=AM$1)*(Budgets!$B$2:$B$200&lt;=$A136)),Budgets!$C$2:$C$200),0))</f>
        <v/>
      </c>
      <c r="AN136" s="88">
        <f>IF(OR(AN$1="",$BE136=0),"",IFERROR(LOOKUP(2,1/((Budgets!$A$2:$A$200=AN$1)*(Budgets!$B$2:$B$200&lt;=$A136)),Budgets!$C$2:$C$200),0))</f>
        <v/>
      </c>
      <c r="AO136" s="88">
        <f>IF(OR(AO$1="",$BE136=0),"",IFERROR(LOOKUP(2,1/((Budgets!$A$2:$A$200=AO$1)*(Budgets!$B$2:$B$200&lt;=$A136)),Budgets!$C$2:$C$200),0))</f>
        <v/>
      </c>
      <c r="AP136" s="88">
        <f>IF(OR(AP$1="",$BE136=0),"",IFERROR(LOOKUP(2,1/((Budgets!$A$2:$A$200=AP$1)*(Budgets!$B$2:$B$200&lt;=$A136)),Budgets!$C$2:$C$200),0))</f>
        <v/>
      </c>
      <c r="AQ136" s="88">
        <f>IF(OR(AQ$1="",$BE136=0),"",IFERROR(LOOKUP(2,1/((Budgets!$A$2:$A$200=AQ$1)*(Budgets!$B$2:$B$200&lt;=$A136)),Budgets!$C$2:$C$200),0))</f>
        <v/>
      </c>
      <c r="AR136" s="88">
        <f>IF(OR(AR$1="",$BE136=0),"",IFERROR(LOOKUP(2,1/((Budgets!$A$2:$A$200=AR$1)*(Budgets!$B$2:$B$200&lt;=$A136)),Budgets!$C$2:$C$200),0))</f>
        <v/>
      </c>
      <c r="AS136" s="88">
        <f>IF(OR(AS$1="",$BE136=0),"",IFERROR(LOOKUP(2,1/((Budgets!$A$2:$A$200=AS$1)*(Budgets!$B$2:$B$200&lt;=$A136)),Budgets!$C$2:$C$200),0))</f>
        <v/>
      </c>
      <c r="AT136" s="88">
        <f>IF(OR(AT$1="",$BE136=0),"",IFERROR(LOOKUP(2,1/((Budgets!$A$2:$A$200=AT$1)*(Budgets!$B$2:$B$200&lt;=$A136)),Budgets!$C$2:$C$200),0))</f>
        <v/>
      </c>
      <c r="AU136" s="88">
        <f>IF(OR(AU$1="",$BE136=0),"",IFERROR(LOOKUP(2,1/((Budgets!$A$2:$A$200=AU$1)*(Budgets!$B$2:$B$200&lt;=$A136)),Budgets!$C$2:$C$200),0))</f>
        <v/>
      </c>
      <c r="AV136" s="88">
        <f>IF(OR(AV$1="",$BE136=0),"",IFERROR(LOOKUP(2,1/((Budgets!$A$2:$A$200=AV$1)*(Budgets!$B$2:$B$200&lt;=$A136)),Budgets!$C$2:$C$200),0))</f>
        <v/>
      </c>
      <c r="AW136" s="88">
        <f>IF(OR(AW$1="",$BE136=0),"",IFERROR(LOOKUP(2,1/((Budgets!$A$2:$A$200=AW$1)*(Budgets!$B$2:$B$200&lt;=$A136)),Budgets!$C$2:$C$200),0))</f>
        <v/>
      </c>
      <c r="AX136" s="88">
        <f>IF(OR(AX$1="",$BE136=0),"",IFERROR(LOOKUP(2,1/((Budgets!$A$2:$A$200=AX$1)*(Budgets!$B$2:$B$200&lt;=$A136)),Budgets!$C$2:$C$200),0))</f>
        <v/>
      </c>
      <c r="AY136" s="88">
        <f>IF(OR(AY$1="",$BE136=0),"",IFERROR(LOOKUP(2,1/((Budgets!$A$2:$A$200=AY$1)*(Budgets!$B$2:$B$200&lt;=$A136)),Budgets!$C$2:$C$200),0))</f>
        <v/>
      </c>
      <c r="AZ136" s="88">
        <f>IF(OR(AZ$1="",$BE136=0),"",IFERROR(LOOKUP(2,1/((Budgets!$A$2:$A$200=AZ$1)*(Budgets!$B$2:$B$200&lt;=$A136)),Budgets!$C$2:$C$200),0))</f>
        <v/>
      </c>
      <c r="BA136" s="88">
        <f>IF(OR(BA$1="",$BE136=0),"",IFERROR(LOOKUP(2,1/((Budgets!$A$2:$A$200=BA$1)*(Budgets!$B$2:$B$200&lt;=$A136)),Budgets!$C$2:$C$200),0))</f>
        <v/>
      </c>
      <c r="BB136" s="88">
        <f>IF(OR(BB$1="",$BE136=0),"",IFERROR(LOOKUP(2,1/((Budgets!$A$2:$A$200=BB$1)*(Budgets!$B$2:$B$200&lt;=$A136)),Budgets!$C$2:$C$200),0))</f>
        <v/>
      </c>
      <c r="BC136" s="88">
        <f>IF(OR(BC$1="",$BE136=0),"",IFERROR(LOOKUP(2,1/((Budgets!$A$2:$A$200=BC$1)*(Budgets!$B$2:$B$200&lt;=$A136)),Budgets!$C$2:$C$200),0))</f>
        <v/>
      </c>
      <c r="BE136" s="67">
        <f>COUNTIFS(Entries!$A$2:$A$5000,$A136)</f>
        <v/>
      </c>
    </row>
    <row r="137" ht="15" customHeight="1" s="43">
      <c r="A137" s="87" t="n">
        <v>43556</v>
      </c>
      <c r="B137" s="88">
        <f>IF($BE137=0,NA(),SUMIFS(Entries!$D$2:$D$5000,Entries!$C$2:$C$5000,"Income",Entries!$A$2:$A$5000,$A137))</f>
        <v/>
      </c>
      <c r="C137" s="88">
        <f>IF($BE137=0,"",SUMIFS(Entries!$D$2:$D$5000,Entries!$C$2:$C$5000,"Actual",Entries!$A$2:$A$5000,$A137))</f>
        <v/>
      </c>
      <c r="D137" s="88">
        <f>IF($BE137=0,"",SUMIFS(Entries!$D$2:$D$5000,Entries!$C$2:$C$5000,"One-off",Entries!$A$2:$A$5000,$A137))</f>
        <v/>
      </c>
      <c r="E137" s="88">
        <f>IF($BE137=0,NA(),C137+D137)</f>
        <v/>
      </c>
      <c r="F137" s="88">
        <f>IF($BE137=0,"",SUM(AJ137:BC137))</f>
        <v/>
      </c>
      <c r="G137" s="88">
        <f>IF($BE137=0,"",B137-E137)</f>
        <v/>
      </c>
      <c r="H137" s="88">
        <f>IF($BE137=0,"",SUM($G$2:G137))</f>
        <v/>
      </c>
      <c r="I137" s="88">
        <f>IF($BE137=0,"",SUMIFS(Entries!$F$2:$F$5000,Entries!$A$2:$A$5000,$A137))</f>
        <v/>
      </c>
      <c r="J137" s="88">
        <f>IF($BE137=0,NA(),H137+SUM($I$2:I137))</f>
        <v/>
      </c>
      <c r="K137" s="88">
        <f>IF($BE137=0,"",SUMIFS(Entries!$D$2:$D$5000,Entries!$C$2:$C$5000,"Income",Entries!$A$2:$A$5000,"&gt;="&amp;EDATE($A137,-11),Entries!$A$2:$A$5000,"&lt;="&amp;$A137)/12)</f>
        <v/>
      </c>
      <c r="L137" s="88">
        <f>IF($BE137=0,"",(SUMIFS(Entries!$D$2:$D$5000,Entries!$C$2:$C$5000,"Actual",Entries!$A$2:$A$5000,"&gt;="&amp;EDATE($A137,-11),Entries!$A$2:$A$5000,"&lt;="&amp;$A137)+SUMIFS(Entries!$D$2:$D$5000,Entries!$C$2:$C$5000,"One-off",Entries!$A$2:$A$5000,"&gt;="&amp;EDATE($A137,-11),Entries!$A$2:$A$5000,"&lt;="&amp;$A137))/12)</f>
        <v/>
      </c>
      <c r="M137" s="70">
        <f>IF($BE137=0,NA(),IFERROR((K137-L137)/K137,0))</f>
        <v/>
      </c>
      <c r="O137" s="88">
        <f>IF(OR(O$1="",$BE137=0),"",SUMIFS(Entries!$D$2:$D$5000,Entries!$C$2:$C$5000,"Actual",Entries!$A$2:$A$5000,$A137,Entries!$B$2:$B$5000,O$1))</f>
        <v/>
      </c>
      <c r="P137" s="88">
        <f>IF(OR(P$1="",$BE137=0),"",SUMIFS(Entries!$D$2:$D$5000,Entries!$C$2:$C$5000,"Actual",Entries!$A$2:$A$5000,$A137,Entries!$B$2:$B$5000,P$1))</f>
        <v/>
      </c>
      <c r="Q137" s="88">
        <f>IF(OR(Q$1="",$BE137=0),"",SUMIFS(Entries!$D$2:$D$5000,Entries!$C$2:$C$5000,"Actual",Entries!$A$2:$A$5000,$A137,Entries!$B$2:$B$5000,Q$1))</f>
        <v/>
      </c>
      <c r="R137" s="88">
        <f>IF(OR(R$1="",$BE137=0),"",SUMIFS(Entries!$D$2:$D$5000,Entries!$C$2:$C$5000,"Actual",Entries!$A$2:$A$5000,$A137,Entries!$B$2:$B$5000,R$1))</f>
        <v/>
      </c>
      <c r="S137" s="88">
        <f>IF(OR(S$1="",$BE137=0),"",SUMIFS(Entries!$D$2:$D$5000,Entries!$C$2:$C$5000,"Actual",Entries!$A$2:$A$5000,$A137,Entries!$B$2:$B$5000,S$1))</f>
        <v/>
      </c>
      <c r="T137" s="88">
        <f>IF(OR(T$1="",$BE137=0),"",SUMIFS(Entries!$D$2:$D$5000,Entries!$C$2:$C$5000,"Actual",Entries!$A$2:$A$5000,$A137,Entries!$B$2:$B$5000,T$1))</f>
        <v/>
      </c>
      <c r="U137" s="88">
        <f>IF(OR(U$1="",$BE137=0),"",SUMIFS(Entries!$D$2:$D$5000,Entries!$C$2:$C$5000,"Actual",Entries!$A$2:$A$5000,$A137,Entries!$B$2:$B$5000,U$1))</f>
        <v/>
      </c>
      <c r="V137" s="88">
        <f>IF(OR(V$1="",$BE137=0),"",SUMIFS(Entries!$D$2:$D$5000,Entries!$C$2:$C$5000,"Actual",Entries!$A$2:$A$5000,$A137,Entries!$B$2:$B$5000,V$1))</f>
        <v/>
      </c>
      <c r="W137" s="88">
        <f>IF(OR(W$1="",$BE137=0),"",SUMIFS(Entries!$D$2:$D$5000,Entries!$C$2:$C$5000,"Actual",Entries!$A$2:$A$5000,$A137,Entries!$B$2:$B$5000,W$1))</f>
        <v/>
      </c>
      <c r="X137" s="88">
        <f>IF(OR(X$1="",$BE137=0),"",SUMIFS(Entries!$D$2:$D$5000,Entries!$C$2:$C$5000,"Actual",Entries!$A$2:$A$5000,$A137,Entries!$B$2:$B$5000,X$1))</f>
        <v/>
      </c>
      <c r="Y137" s="88">
        <f>IF(OR(Y$1="",$BE137=0),"",SUMIFS(Entries!$D$2:$D$5000,Entries!$C$2:$C$5000,"Actual",Entries!$A$2:$A$5000,$A137,Entries!$B$2:$B$5000,Y$1))</f>
        <v/>
      </c>
      <c r="Z137" s="88">
        <f>IF(OR(Z$1="",$BE137=0),"",SUMIFS(Entries!$D$2:$D$5000,Entries!$C$2:$C$5000,"Actual",Entries!$A$2:$A$5000,$A137,Entries!$B$2:$B$5000,Z$1))</f>
        <v/>
      </c>
      <c r="AA137" s="88">
        <f>IF(OR(AA$1="",$BE137=0),"",SUMIFS(Entries!$D$2:$D$5000,Entries!$C$2:$C$5000,"Actual",Entries!$A$2:$A$5000,$A137,Entries!$B$2:$B$5000,AA$1))</f>
        <v/>
      </c>
      <c r="AB137" s="88">
        <f>IF(OR(AB$1="",$BE137=0),"",SUMIFS(Entries!$D$2:$D$5000,Entries!$C$2:$C$5000,"Actual",Entries!$A$2:$A$5000,$A137,Entries!$B$2:$B$5000,AB$1))</f>
        <v/>
      </c>
      <c r="AC137" s="88">
        <f>IF(OR(AC$1="",$BE137=0),"",SUMIFS(Entries!$D$2:$D$5000,Entries!$C$2:$C$5000,"Actual",Entries!$A$2:$A$5000,$A137,Entries!$B$2:$B$5000,AC$1))</f>
        <v/>
      </c>
      <c r="AD137" s="88">
        <f>IF(OR(AD$1="",$BE137=0),"",SUMIFS(Entries!$D$2:$D$5000,Entries!$C$2:$C$5000,"Actual",Entries!$A$2:$A$5000,$A137,Entries!$B$2:$B$5000,AD$1))</f>
        <v/>
      </c>
      <c r="AE137" s="88">
        <f>IF(OR(AE$1="",$BE137=0),"",SUMIFS(Entries!$D$2:$D$5000,Entries!$C$2:$C$5000,"Actual",Entries!$A$2:$A$5000,$A137,Entries!$B$2:$B$5000,AE$1))</f>
        <v/>
      </c>
      <c r="AF137" s="88">
        <f>IF(OR(AF$1="",$BE137=0),"",SUMIFS(Entries!$D$2:$D$5000,Entries!$C$2:$C$5000,"Actual",Entries!$A$2:$A$5000,$A137,Entries!$B$2:$B$5000,AF$1))</f>
        <v/>
      </c>
      <c r="AG137" s="88">
        <f>IF(OR(AG$1="",$BE137=0),"",SUMIFS(Entries!$D$2:$D$5000,Entries!$C$2:$C$5000,"Actual",Entries!$A$2:$A$5000,$A137,Entries!$B$2:$B$5000,AG$1))</f>
        <v/>
      </c>
      <c r="AH137" s="88">
        <f>IF(OR(AH$1="",$BE137=0),"",SUMIFS(Entries!$D$2:$D$5000,Entries!$C$2:$C$5000,"Actual",Entries!$A$2:$A$5000,$A137,Entries!$B$2:$B$5000,AH$1))</f>
        <v/>
      </c>
      <c r="AJ137" s="88">
        <f>IF(OR(AJ$1="",$BE137=0),"",IFERROR(LOOKUP(2,1/((Budgets!$A$2:$A$200=AJ$1)*(Budgets!$B$2:$B$200&lt;=$A137)),Budgets!$C$2:$C$200),0))</f>
        <v/>
      </c>
      <c r="AK137" s="88">
        <f>IF(OR(AK$1="",$BE137=0),"",IFERROR(LOOKUP(2,1/((Budgets!$A$2:$A$200=AK$1)*(Budgets!$B$2:$B$200&lt;=$A137)),Budgets!$C$2:$C$200),0))</f>
        <v/>
      </c>
      <c r="AL137" s="88">
        <f>IF(OR(AL$1="",$BE137=0),"",IFERROR(LOOKUP(2,1/((Budgets!$A$2:$A$200=AL$1)*(Budgets!$B$2:$B$200&lt;=$A137)),Budgets!$C$2:$C$200),0))</f>
        <v/>
      </c>
      <c r="AM137" s="88">
        <f>IF(OR(AM$1="",$BE137=0),"",IFERROR(LOOKUP(2,1/((Budgets!$A$2:$A$200=AM$1)*(Budgets!$B$2:$B$200&lt;=$A137)),Budgets!$C$2:$C$200),0))</f>
        <v/>
      </c>
      <c r="AN137" s="88">
        <f>IF(OR(AN$1="",$BE137=0),"",IFERROR(LOOKUP(2,1/((Budgets!$A$2:$A$200=AN$1)*(Budgets!$B$2:$B$200&lt;=$A137)),Budgets!$C$2:$C$200),0))</f>
        <v/>
      </c>
      <c r="AO137" s="88">
        <f>IF(OR(AO$1="",$BE137=0),"",IFERROR(LOOKUP(2,1/((Budgets!$A$2:$A$200=AO$1)*(Budgets!$B$2:$B$200&lt;=$A137)),Budgets!$C$2:$C$200),0))</f>
        <v/>
      </c>
      <c r="AP137" s="88">
        <f>IF(OR(AP$1="",$BE137=0),"",IFERROR(LOOKUP(2,1/((Budgets!$A$2:$A$200=AP$1)*(Budgets!$B$2:$B$200&lt;=$A137)),Budgets!$C$2:$C$200),0))</f>
        <v/>
      </c>
      <c r="AQ137" s="88">
        <f>IF(OR(AQ$1="",$BE137=0),"",IFERROR(LOOKUP(2,1/((Budgets!$A$2:$A$200=AQ$1)*(Budgets!$B$2:$B$200&lt;=$A137)),Budgets!$C$2:$C$200),0))</f>
        <v/>
      </c>
      <c r="AR137" s="88">
        <f>IF(OR(AR$1="",$BE137=0),"",IFERROR(LOOKUP(2,1/((Budgets!$A$2:$A$200=AR$1)*(Budgets!$B$2:$B$200&lt;=$A137)),Budgets!$C$2:$C$200),0))</f>
        <v/>
      </c>
      <c r="AS137" s="88">
        <f>IF(OR(AS$1="",$BE137=0),"",IFERROR(LOOKUP(2,1/((Budgets!$A$2:$A$200=AS$1)*(Budgets!$B$2:$B$200&lt;=$A137)),Budgets!$C$2:$C$200),0))</f>
        <v/>
      </c>
      <c r="AT137" s="88">
        <f>IF(OR(AT$1="",$BE137=0),"",IFERROR(LOOKUP(2,1/((Budgets!$A$2:$A$200=AT$1)*(Budgets!$B$2:$B$200&lt;=$A137)),Budgets!$C$2:$C$200),0))</f>
        <v/>
      </c>
      <c r="AU137" s="88">
        <f>IF(OR(AU$1="",$BE137=0),"",IFERROR(LOOKUP(2,1/((Budgets!$A$2:$A$200=AU$1)*(Budgets!$B$2:$B$200&lt;=$A137)),Budgets!$C$2:$C$200),0))</f>
        <v/>
      </c>
      <c r="AV137" s="88">
        <f>IF(OR(AV$1="",$BE137=0),"",IFERROR(LOOKUP(2,1/((Budgets!$A$2:$A$200=AV$1)*(Budgets!$B$2:$B$200&lt;=$A137)),Budgets!$C$2:$C$200),0))</f>
        <v/>
      </c>
      <c r="AW137" s="88">
        <f>IF(OR(AW$1="",$BE137=0),"",IFERROR(LOOKUP(2,1/((Budgets!$A$2:$A$200=AW$1)*(Budgets!$B$2:$B$200&lt;=$A137)),Budgets!$C$2:$C$200),0))</f>
        <v/>
      </c>
      <c r="AX137" s="88">
        <f>IF(OR(AX$1="",$BE137=0),"",IFERROR(LOOKUP(2,1/((Budgets!$A$2:$A$200=AX$1)*(Budgets!$B$2:$B$200&lt;=$A137)),Budgets!$C$2:$C$200),0))</f>
        <v/>
      </c>
      <c r="AY137" s="88">
        <f>IF(OR(AY$1="",$BE137=0),"",IFERROR(LOOKUP(2,1/((Budgets!$A$2:$A$200=AY$1)*(Budgets!$B$2:$B$200&lt;=$A137)),Budgets!$C$2:$C$200),0))</f>
        <v/>
      </c>
      <c r="AZ137" s="88">
        <f>IF(OR(AZ$1="",$BE137=0),"",IFERROR(LOOKUP(2,1/((Budgets!$A$2:$A$200=AZ$1)*(Budgets!$B$2:$B$200&lt;=$A137)),Budgets!$C$2:$C$200),0))</f>
        <v/>
      </c>
      <c r="BA137" s="88">
        <f>IF(OR(BA$1="",$BE137=0),"",IFERROR(LOOKUP(2,1/((Budgets!$A$2:$A$200=BA$1)*(Budgets!$B$2:$B$200&lt;=$A137)),Budgets!$C$2:$C$200),0))</f>
        <v/>
      </c>
      <c r="BB137" s="88">
        <f>IF(OR(BB$1="",$BE137=0),"",IFERROR(LOOKUP(2,1/((Budgets!$A$2:$A$200=BB$1)*(Budgets!$B$2:$B$200&lt;=$A137)),Budgets!$C$2:$C$200),0))</f>
        <v/>
      </c>
      <c r="BC137" s="88">
        <f>IF(OR(BC$1="",$BE137=0),"",IFERROR(LOOKUP(2,1/((Budgets!$A$2:$A$200=BC$1)*(Budgets!$B$2:$B$200&lt;=$A137)),Budgets!$C$2:$C$200),0))</f>
        <v/>
      </c>
      <c r="BE137" s="67">
        <f>COUNTIFS(Entries!$A$2:$A$5000,$A137)</f>
        <v/>
      </c>
    </row>
    <row r="138" ht="15" customHeight="1" s="43">
      <c r="A138" s="87" t="n">
        <v>43586</v>
      </c>
      <c r="B138" s="88">
        <f>IF($BE138=0,NA(),SUMIFS(Entries!$D$2:$D$5000,Entries!$C$2:$C$5000,"Income",Entries!$A$2:$A$5000,$A138))</f>
        <v/>
      </c>
      <c r="C138" s="88">
        <f>IF($BE138=0,"",SUMIFS(Entries!$D$2:$D$5000,Entries!$C$2:$C$5000,"Actual",Entries!$A$2:$A$5000,$A138))</f>
        <v/>
      </c>
      <c r="D138" s="88">
        <f>IF($BE138=0,"",SUMIFS(Entries!$D$2:$D$5000,Entries!$C$2:$C$5000,"One-off",Entries!$A$2:$A$5000,$A138))</f>
        <v/>
      </c>
      <c r="E138" s="88">
        <f>IF($BE138=0,NA(),C138+D138)</f>
        <v/>
      </c>
      <c r="F138" s="88">
        <f>IF($BE138=0,"",SUM(AJ138:BC138))</f>
        <v/>
      </c>
      <c r="G138" s="88">
        <f>IF($BE138=0,"",B138-E138)</f>
        <v/>
      </c>
      <c r="H138" s="88">
        <f>IF($BE138=0,"",SUM($G$2:G138))</f>
        <v/>
      </c>
      <c r="I138" s="88">
        <f>IF($BE138=0,"",SUMIFS(Entries!$F$2:$F$5000,Entries!$A$2:$A$5000,$A138))</f>
        <v/>
      </c>
      <c r="J138" s="88">
        <f>IF($BE138=0,NA(),H138+SUM($I$2:I138))</f>
        <v/>
      </c>
      <c r="K138" s="88">
        <f>IF($BE138=0,"",SUMIFS(Entries!$D$2:$D$5000,Entries!$C$2:$C$5000,"Income",Entries!$A$2:$A$5000,"&gt;="&amp;EDATE($A138,-11),Entries!$A$2:$A$5000,"&lt;="&amp;$A138)/12)</f>
        <v/>
      </c>
      <c r="L138" s="88">
        <f>IF($BE138=0,"",(SUMIFS(Entries!$D$2:$D$5000,Entries!$C$2:$C$5000,"Actual",Entries!$A$2:$A$5000,"&gt;="&amp;EDATE($A138,-11),Entries!$A$2:$A$5000,"&lt;="&amp;$A138)+SUMIFS(Entries!$D$2:$D$5000,Entries!$C$2:$C$5000,"One-off",Entries!$A$2:$A$5000,"&gt;="&amp;EDATE($A138,-11),Entries!$A$2:$A$5000,"&lt;="&amp;$A138))/12)</f>
        <v/>
      </c>
      <c r="M138" s="70">
        <f>IF($BE138=0,NA(),IFERROR((K138-L138)/K138,0))</f>
        <v/>
      </c>
      <c r="O138" s="88">
        <f>IF(OR(O$1="",$BE138=0),"",SUMIFS(Entries!$D$2:$D$5000,Entries!$C$2:$C$5000,"Actual",Entries!$A$2:$A$5000,$A138,Entries!$B$2:$B$5000,O$1))</f>
        <v/>
      </c>
      <c r="P138" s="88">
        <f>IF(OR(P$1="",$BE138=0),"",SUMIFS(Entries!$D$2:$D$5000,Entries!$C$2:$C$5000,"Actual",Entries!$A$2:$A$5000,$A138,Entries!$B$2:$B$5000,P$1))</f>
        <v/>
      </c>
      <c r="Q138" s="88">
        <f>IF(OR(Q$1="",$BE138=0),"",SUMIFS(Entries!$D$2:$D$5000,Entries!$C$2:$C$5000,"Actual",Entries!$A$2:$A$5000,$A138,Entries!$B$2:$B$5000,Q$1))</f>
        <v/>
      </c>
      <c r="R138" s="88">
        <f>IF(OR(R$1="",$BE138=0),"",SUMIFS(Entries!$D$2:$D$5000,Entries!$C$2:$C$5000,"Actual",Entries!$A$2:$A$5000,$A138,Entries!$B$2:$B$5000,R$1))</f>
        <v/>
      </c>
      <c r="S138" s="88">
        <f>IF(OR(S$1="",$BE138=0),"",SUMIFS(Entries!$D$2:$D$5000,Entries!$C$2:$C$5000,"Actual",Entries!$A$2:$A$5000,$A138,Entries!$B$2:$B$5000,S$1))</f>
        <v/>
      </c>
      <c r="T138" s="88">
        <f>IF(OR(T$1="",$BE138=0),"",SUMIFS(Entries!$D$2:$D$5000,Entries!$C$2:$C$5000,"Actual",Entries!$A$2:$A$5000,$A138,Entries!$B$2:$B$5000,T$1))</f>
        <v/>
      </c>
      <c r="U138" s="88">
        <f>IF(OR(U$1="",$BE138=0),"",SUMIFS(Entries!$D$2:$D$5000,Entries!$C$2:$C$5000,"Actual",Entries!$A$2:$A$5000,$A138,Entries!$B$2:$B$5000,U$1))</f>
        <v/>
      </c>
      <c r="V138" s="88">
        <f>IF(OR(V$1="",$BE138=0),"",SUMIFS(Entries!$D$2:$D$5000,Entries!$C$2:$C$5000,"Actual",Entries!$A$2:$A$5000,$A138,Entries!$B$2:$B$5000,V$1))</f>
        <v/>
      </c>
      <c r="W138" s="88">
        <f>IF(OR(W$1="",$BE138=0),"",SUMIFS(Entries!$D$2:$D$5000,Entries!$C$2:$C$5000,"Actual",Entries!$A$2:$A$5000,$A138,Entries!$B$2:$B$5000,W$1))</f>
        <v/>
      </c>
      <c r="X138" s="88">
        <f>IF(OR(X$1="",$BE138=0),"",SUMIFS(Entries!$D$2:$D$5000,Entries!$C$2:$C$5000,"Actual",Entries!$A$2:$A$5000,$A138,Entries!$B$2:$B$5000,X$1))</f>
        <v/>
      </c>
      <c r="Y138" s="88">
        <f>IF(OR(Y$1="",$BE138=0),"",SUMIFS(Entries!$D$2:$D$5000,Entries!$C$2:$C$5000,"Actual",Entries!$A$2:$A$5000,$A138,Entries!$B$2:$B$5000,Y$1))</f>
        <v/>
      </c>
      <c r="Z138" s="88">
        <f>IF(OR(Z$1="",$BE138=0),"",SUMIFS(Entries!$D$2:$D$5000,Entries!$C$2:$C$5000,"Actual",Entries!$A$2:$A$5000,$A138,Entries!$B$2:$B$5000,Z$1))</f>
        <v/>
      </c>
      <c r="AA138" s="88">
        <f>IF(OR(AA$1="",$BE138=0),"",SUMIFS(Entries!$D$2:$D$5000,Entries!$C$2:$C$5000,"Actual",Entries!$A$2:$A$5000,$A138,Entries!$B$2:$B$5000,AA$1))</f>
        <v/>
      </c>
      <c r="AB138" s="88">
        <f>IF(OR(AB$1="",$BE138=0),"",SUMIFS(Entries!$D$2:$D$5000,Entries!$C$2:$C$5000,"Actual",Entries!$A$2:$A$5000,$A138,Entries!$B$2:$B$5000,AB$1))</f>
        <v/>
      </c>
      <c r="AC138" s="88">
        <f>IF(OR(AC$1="",$BE138=0),"",SUMIFS(Entries!$D$2:$D$5000,Entries!$C$2:$C$5000,"Actual",Entries!$A$2:$A$5000,$A138,Entries!$B$2:$B$5000,AC$1))</f>
        <v/>
      </c>
      <c r="AD138" s="88">
        <f>IF(OR(AD$1="",$BE138=0),"",SUMIFS(Entries!$D$2:$D$5000,Entries!$C$2:$C$5000,"Actual",Entries!$A$2:$A$5000,$A138,Entries!$B$2:$B$5000,AD$1))</f>
        <v/>
      </c>
      <c r="AE138" s="88">
        <f>IF(OR(AE$1="",$BE138=0),"",SUMIFS(Entries!$D$2:$D$5000,Entries!$C$2:$C$5000,"Actual",Entries!$A$2:$A$5000,$A138,Entries!$B$2:$B$5000,AE$1))</f>
        <v/>
      </c>
      <c r="AF138" s="88">
        <f>IF(OR(AF$1="",$BE138=0),"",SUMIFS(Entries!$D$2:$D$5000,Entries!$C$2:$C$5000,"Actual",Entries!$A$2:$A$5000,$A138,Entries!$B$2:$B$5000,AF$1))</f>
        <v/>
      </c>
      <c r="AG138" s="88">
        <f>IF(OR(AG$1="",$BE138=0),"",SUMIFS(Entries!$D$2:$D$5000,Entries!$C$2:$C$5000,"Actual",Entries!$A$2:$A$5000,$A138,Entries!$B$2:$B$5000,AG$1))</f>
        <v/>
      </c>
      <c r="AH138" s="88">
        <f>IF(OR(AH$1="",$BE138=0),"",SUMIFS(Entries!$D$2:$D$5000,Entries!$C$2:$C$5000,"Actual",Entries!$A$2:$A$5000,$A138,Entries!$B$2:$B$5000,AH$1))</f>
        <v/>
      </c>
      <c r="AJ138" s="88">
        <f>IF(OR(AJ$1="",$BE138=0),"",IFERROR(LOOKUP(2,1/((Budgets!$A$2:$A$200=AJ$1)*(Budgets!$B$2:$B$200&lt;=$A138)),Budgets!$C$2:$C$200),0))</f>
        <v/>
      </c>
      <c r="AK138" s="88">
        <f>IF(OR(AK$1="",$BE138=0),"",IFERROR(LOOKUP(2,1/((Budgets!$A$2:$A$200=AK$1)*(Budgets!$B$2:$B$200&lt;=$A138)),Budgets!$C$2:$C$200),0))</f>
        <v/>
      </c>
      <c r="AL138" s="88">
        <f>IF(OR(AL$1="",$BE138=0),"",IFERROR(LOOKUP(2,1/((Budgets!$A$2:$A$200=AL$1)*(Budgets!$B$2:$B$200&lt;=$A138)),Budgets!$C$2:$C$200),0))</f>
        <v/>
      </c>
      <c r="AM138" s="88">
        <f>IF(OR(AM$1="",$BE138=0),"",IFERROR(LOOKUP(2,1/((Budgets!$A$2:$A$200=AM$1)*(Budgets!$B$2:$B$200&lt;=$A138)),Budgets!$C$2:$C$200),0))</f>
        <v/>
      </c>
      <c r="AN138" s="88">
        <f>IF(OR(AN$1="",$BE138=0),"",IFERROR(LOOKUP(2,1/((Budgets!$A$2:$A$200=AN$1)*(Budgets!$B$2:$B$200&lt;=$A138)),Budgets!$C$2:$C$200),0))</f>
        <v/>
      </c>
      <c r="AO138" s="88">
        <f>IF(OR(AO$1="",$BE138=0),"",IFERROR(LOOKUP(2,1/((Budgets!$A$2:$A$200=AO$1)*(Budgets!$B$2:$B$200&lt;=$A138)),Budgets!$C$2:$C$200),0))</f>
        <v/>
      </c>
      <c r="AP138" s="88">
        <f>IF(OR(AP$1="",$BE138=0),"",IFERROR(LOOKUP(2,1/((Budgets!$A$2:$A$200=AP$1)*(Budgets!$B$2:$B$200&lt;=$A138)),Budgets!$C$2:$C$200),0))</f>
        <v/>
      </c>
      <c r="AQ138" s="88">
        <f>IF(OR(AQ$1="",$BE138=0),"",IFERROR(LOOKUP(2,1/((Budgets!$A$2:$A$200=AQ$1)*(Budgets!$B$2:$B$200&lt;=$A138)),Budgets!$C$2:$C$200),0))</f>
        <v/>
      </c>
      <c r="AR138" s="88">
        <f>IF(OR(AR$1="",$BE138=0),"",IFERROR(LOOKUP(2,1/((Budgets!$A$2:$A$200=AR$1)*(Budgets!$B$2:$B$200&lt;=$A138)),Budgets!$C$2:$C$200),0))</f>
        <v/>
      </c>
      <c r="AS138" s="88">
        <f>IF(OR(AS$1="",$BE138=0),"",IFERROR(LOOKUP(2,1/((Budgets!$A$2:$A$200=AS$1)*(Budgets!$B$2:$B$200&lt;=$A138)),Budgets!$C$2:$C$200),0))</f>
        <v/>
      </c>
      <c r="AT138" s="88">
        <f>IF(OR(AT$1="",$BE138=0),"",IFERROR(LOOKUP(2,1/((Budgets!$A$2:$A$200=AT$1)*(Budgets!$B$2:$B$200&lt;=$A138)),Budgets!$C$2:$C$200),0))</f>
        <v/>
      </c>
      <c r="AU138" s="88">
        <f>IF(OR(AU$1="",$BE138=0),"",IFERROR(LOOKUP(2,1/((Budgets!$A$2:$A$200=AU$1)*(Budgets!$B$2:$B$200&lt;=$A138)),Budgets!$C$2:$C$200),0))</f>
        <v/>
      </c>
      <c r="AV138" s="88">
        <f>IF(OR(AV$1="",$BE138=0),"",IFERROR(LOOKUP(2,1/((Budgets!$A$2:$A$200=AV$1)*(Budgets!$B$2:$B$200&lt;=$A138)),Budgets!$C$2:$C$200),0))</f>
        <v/>
      </c>
      <c r="AW138" s="88">
        <f>IF(OR(AW$1="",$BE138=0),"",IFERROR(LOOKUP(2,1/((Budgets!$A$2:$A$200=AW$1)*(Budgets!$B$2:$B$200&lt;=$A138)),Budgets!$C$2:$C$200),0))</f>
        <v/>
      </c>
      <c r="AX138" s="88">
        <f>IF(OR(AX$1="",$BE138=0),"",IFERROR(LOOKUP(2,1/((Budgets!$A$2:$A$200=AX$1)*(Budgets!$B$2:$B$200&lt;=$A138)),Budgets!$C$2:$C$200),0))</f>
        <v/>
      </c>
      <c r="AY138" s="88">
        <f>IF(OR(AY$1="",$BE138=0),"",IFERROR(LOOKUP(2,1/((Budgets!$A$2:$A$200=AY$1)*(Budgets!$B$2:$B$200&lt;=$A138)),Budgets!$C$2:$C$200),0))</f>
        <v/>
      </c>
      <c r="AZ138" s="88">
        <f>IF(OR(AZ$1="",$BE138=0),"",IFERROR(LOOKUP(2,1/((Budgets!$A$2:$A$200=AZ$1)*(Budgets!$B$2:$B$200&lt;=$A138)),Budgets!$C$2:$C$200),0))</f>
        <v/>
      </c>
      <c r="BA138" s="88">
        <f>IF(OR(BA$1="",$BE138=0),"",IFERROR(LOOKUP(2,1/((Budgets!$A$2:$A$200=BA$1)*(Budgets!$B$2:$B$200&lt;=$A138)),Budgets!$C$2:$C$200),0))</f>
        <v/>
      </c>
      <c r="BB138" s="88">
        <f>IF(OR(BB$1="",$BE138=0),"",IFERROR(LOOKUP(2,1/((Budgets!$A$2:$A$200=BB$1)*(Budgets!$B$2:$B$200&lt;=$A138)),Budgets!$C$2:$C$200),0))</f>
        <v/>
      </c>
      <c r="BC138" s="88">
        <f>IF(OR(BC$1="",$BE138=0),"",IFERROR(LOOKUP(2,1/((Budgets!$A$2:$A$200=BC$1)*(Budgets!$B$2:$B$200&lt;=$A138)),Budgets!$C$2:$C$200),0))</f>
        <v/>
      </c>
      <c r="BE138" s="67">
        <f>COUNTIFS(Entries!$A$2:$A$5000,$A138)</f>
        <v/>
      </c>
    </row>
    <row r="139" ht="15" customHeight="1" s="43">
      <c r="A139" s="87" t="n">
        <v>43617</v>
      </c>
      <c r="B139" s="88">
        <f>IF($BE139=0,NA(),SUMIFS(Entries!$D$2:$D$5000,Entries!$C$2:$C$5000,"Income",Entries!$A$2:$A$5000,$A139))</f>
        <v/>
      </c>
      <c r="C139" s="88">
        <f>IF($BE139=0,"",SUMIFS(Entries!$D$2:$D$5000,Entries!$C$2:$C$5000,"Actual",Entries!$A$2:$A$5000,$A139))</f>
        <v/>
      </c>
      <c r="D139" s="88">
        <f>IF($BE139=0,"",SUMIFS(Entries!$D$2:$D$5000,Entries!$C$2:$C$5000,"One-off",Entries!$A$2:$A$5000,$A139))</f>
        <v/>
      </c>
      <c r="E139" s="88">
        <f>IF($BE139=0,NA(),C139+D139)</f>
        <v/>
      </c>
      <c r="F139" s="88">
        <f>IF($BE139=0,"",SUM(AJ139:BC139))</f>
        <v/>
      </c>
      <c r="G139" s="88">
        <f>IF($BE139=0,"",B139-E139)</f>
        <v/>
      </c>
      <c r="H139" s="88">
        <f>IF($BE139=0,"",SUM($G$2:G139))</f>
        <v/>
      </c>
      <c r="I139" s="88">
        <f>IF($BE139=0,"",SUMIFS(Entries!$F$2:$F$5000,Entries!$A$2:$A$5000,$A139))</f>
        <v/>
      </c>
      <c r="J139" s="88">
        <f>IF($BE139=0,NA(),H139+SUM($I$2:I139))</f>
        <v/>
      </c>
      <c r="K139" s="88">
        <f>IF($BE139=0,"",SUMIFS(Entries!$D$2:$D$5000,Entries!$C$2:$C$5000,"Income",Entries!$A$2:$A$5000,"&gt;="&amp;EDATE($A139,-11),Entries!$A$2:$A$5000,"&lt;="&amp;$A139)/12)</f>
        <v/>
      </c>
      <c r="L139" s="88">
        <f>IF($BE139=0,"",(SUMIFS(Entries!$D$2:$D$5000,Entries!$C$2:$C$5000,"Actual",Entries!$A$2:$A$5000,"&gt;="&amp;EDATE($A139,-11),Entries!$A$2:$A$5000,"&lt;="&amp;$A139)+SUMIFS(Entries!$D$2:$D$5000,Entries!$C$2:$C$5000,"One-off",Entries!$A$2:$A$5000,"&gt;="&amp;EDATE($A139,-11),Entries!$A$2:$A$5000,"&lt;="&amp;$A139))/12)</f>
        <v/>
      </c>
      <c r="M139" s="70">
        <f>IF($BE139=0,NA(),IFERROR((K139-L139)/K139,0))</f>
        <v/>
      </c>
      <c r="O139" s="88">
        <f>IF(OR(O$1="",$BE139=0),"",SUMIFS(Entries!$D$2:$D$5000,Entries!$C$2:$C$5000,"Actual",Entries!$A$2:$A$5000,$A139,Entries!$B$2:$B$5000,O$1))</f>
        <v/>
      </c>
      <c r="P139" s="88">
        <f>IF(OR(P$1="",$BE139=0),"",SUMIFS(Entries!$D$2:$D$5000,Entries!$C$2:$C$5000,"Actual",Entries!$A$2:$A$5000,$A139,Entries!$B$2:$B$5000,P$1))</f>
        <v/>
      </c>
      <c r="Q139" s="88">
        <f>IF(OR(Q$1="",$BE139=0),"",SUMIFS(Entries!$D$2:$D$5000,Entries!$C$2:$C$5000,"Actual",Entries!$A$2:$A$5000,$A139,Entries!$B$2:$B$5000,Q$1))</f>
        <v/>
      </c>
      <c r="R139" s="88">
        <f>IF(OR(R$1="",$BE139=0),"",SUMIFS(Entries!$D$2:$D$5000,Entries!$C$2:$C$5000,"Actual",Entries!$A$2:$A$5000,$A139,Entries!$B$2:$B$5000,R$1))</f>
        <v/>
      </c>
      <c r="S139" s="88">
        <f>IF(OR(S$1="",$BE139=0),"",SUMIFS(Entries!$D$2:$D$5000,Entries!$C$2:$C$5000,"Actual",Entries!$A$2:$A$5000,$A139,Entries!$B$2:$B$5000,S$1))</f>
        <v/>
      </c>
      <c r="T139" s="88">
        <f>IF(OR(T$1="",$BE139=0),"",SUMIFS(Entries!$D$2:$D$5000,Entries!$C$2:$C$5000,"Actual",Entries!$A$2:$A$5000,$A139,Entries!$B$2:$B$5000,T$1))</f>
        <v/>
      </c>
      <c r="U139" s="88">
        <f>IF(OR(U$1="",$BE139=0),"",SUMIFS(Entries!$D$2:$D$5000,Entries!$C$2:$C$5000,"Actual",Entries!$A$2:$A$5000,$A139,Entries!$B$2:$B$5000,U$1))</f>
        <v/>
      </c>
      <c r="V139" s="88">
        <f>IF(OR(V$1="",$BE139=0),"",SUMIFS(Entries!$D$2:$D$5000,Entries!$C$2:$C$5000,"Actual",Entries!$A$2:$A$5000,$A139,Entries!$B$2:$B$5000,V$1))</f>
        <v/>
      </c>
      <c r="W139" s="88">
        <f>IF(OR(W$1="",$BE139=0),"",SUMIFS(Entries!$D$2:$D$5000,Entries!$C$2:$C$5000,"Actual",Entries!$A$2:$A$5000,$A139,Entries!$B$2:$B$5000,W$1))</f>
        <v/>
      </c>
      <c r="X139" s="88">
        <f>IF(OR(X$1="",$BE139=0),"",SUMIFS(Entries!$D$2:$D$5000,Entries!$C$2:$C$5000,"Actual",Entries!$A$2:$A$5000,$A139,Entries!$B$2:$B$5000,X$1))</f>
        <v/>
      </c>
      <c r="Y139" s="88">
        <f>IF(OR(Y$1="",$BE139=0),"",SUMIFS(Entries!$D$2:$D$5000,Entries!$C$2:$C$5000,"Actual",Entries!$A$2:$A$5000,$A139,Entries!$B$2:$B$5000,Y$1))</f>
        <v/>
      </c>
      <c r="Z139" s="88">
        <f>IF(OR(Z$1="",$BE139=0),"",SUMIFS(Entries!$D$2:$D$5000,Entries!$C$2:$C$5000,"Actual",Entries!$A$2:$A$5000,$A139,Entries!$B$2:$B$5000,Z$1))</f>
        <v/>
      </c>
      <c r="AA139" s="88">
        <f>IF(OR(AA$1="",$BE139=0),"",SUMIFS(Entries!$D$2:$D$5000,Entries!$C$2:$C$5000,"Actual",Entries!$A$2:$A$5000,$A139,Entries!$B$2:$B$5000,AA$1))</f>
        <v/>
      </c>
      <c r="AB139" s="88">
        <f>IF(OR(AB$1="",$BE139=0),"",SUMIFS(Entries!$D$2:$D$5000,Entries!$C$2:$C$5000,"Actual",Entries!$A$2:$A$5000,$A139,Entries!$B$2:$B$5000,AB$1))</f>
        <v/>
      </c>
      <c r="AC139" s="88">
        <f>IF(OR(AC$1="",$BE139=0),"",SUMIFS(Entries!$D$2:$D$5000,Entries!$C$2:$C$5000,"Actual",Entries!$A$2:$A$5000,$A139,Entries!$B$2:$B$5000,AC$1))</f>
        <v/>
      </c>
      <c r="AD139" s="88">
        <f>IF(OR(AD$1="",$BE139=0),"",SUMIFS(Entries!$D$2:$D$5000,Entries!$C$2:$C$5000,"Actual",Entries!$A$2:$A$5000,$A139,Entries!$B$2:$B$5000,AD$1))</f>
        <v/>
      </c>
      <c r="AE139" s="88">
        <f>IF(OR(AE$1="",$BE139=0),"",SUMIFS(Entries!$D$2:$D$5000,Entries!$C$2:$C$5000,"Actual",Entries!$A$2:$A$5000,$A139,Entries!$B$2:$B$5000,AE$1))</f>
        <v/>
      </c>
      <c r="AF139" s="88">
        <f>IF(OR(AF$1="",$BE139=0),"",SUMIFS(Entries!$D$2:$D$5000,Entries!$C$2:$C$5000,"Actual",Entries!$A$2:$A$5000,$A139,Entries!$B$2:$B$5000,AF$1))</f>
        <v/>
      </c>
      <c r="AG139" s="88">
        <f>IF(OR(AG$1="",$BE139=0),"",SUMIFS(Entries!$D$2:$D$5000,Entries!$C$2:$C$5000,"Actual",Entries!$A$2:$A$5000,$A139,Entries!$B$2:$B$5000,AG$1))</f>
        <v/>
      </c>
      <c r="AH139" s="88">
        <f>IF(OR(AH$1="",$BE139=0),"",SUMIFS(Entries!$D$2:$D$5000,Entries!$C$2:$C$5000,"Actual",Entries!$A$2:$A$5000,$A139,Entries!$B$2:$B$5000,AH$1))</f>
        <v/>
      </c>
      <c r="AJ139" s="88">
        <f>IF(OR(AJ$1="",$BE139=0),"",IFERROR(LOOKUP(2,1/((Budgets!$A$2:$A$200=AJ$1)*(Budgets!$B$2:$B$200&lt;=$A139)),Budgets!$C$2:$C$200),0))</f>
        <v/>
      </c>
      <c r="AK139" s="88">
        <f>IF(OR(AK$1="",$BE139=0),"",IFERROR(LOOKUP(2,1/((Budgets!$A$2:$A$200=AK$1)*(Budgets!$B$2:$B$200&lt;=$A139)),Budgets!$C$2:$C$200),0))</f>
        <v/>
      </c>
      <c r="AL139" s="88">
        <f>IF(OR(AL$1="",$BE139=0),"",IFERROR(LOOKUP(2,1/((Budgets!$A$2:$A$200=AL$1)*(Budgets!$B$2:$B$200&lt;=$A139)),Budgets!$C$2:$C$200),0))</f>
        <v/>
      </c>
      <c r="AM139" s="88">
        <f>IF(OR(AM$1="",$BE139=0),"",IFERROR(LOOKUP(2,1/((Budgets!$A$2:$A$200=AM$1)*(Budgets!$B$2:$B$200&lt;=$A139)),Budgets!$C$2:$C$200),0))</f>
        <v/>
      </c>
      <c r="AN139" s="88">
        <f>IF(OR(AN$1="",$BE139=0),"",IFERROR(LOOKUP(2,1/((Budgets!$A$2:$A$200=AN$1)*(Budgets!$B$2:$B$200&lt;=$A139)),Budgets!$C$2:$C$200),0))</f>
        <v/>
      </c>
      <c r="AO139" s="88">
        <f>IF(OR(AO$1="",$BE139=0),"",IFERROR(LOOKUP(2,1/((Budgets!$A$2:$A$200=AO$1)*(Budgets!$B$2:$B$200&lt;=$A139)),Budgets!$C$2:$C$200),0))</f>
        <v/>
      </c>
      <c r="AP139" s="88">
        <f>IF(OR(AP$1="",$BE139=0),"",IFERROR(LOOKUP(2,1/((Budgets!$A$2:$A$200=AP$1)*(Budgets!$B$2:$B$200&lt;=$A139)),Budgets!$C$2:$C$200),0))</f>
        <v/>
      </c>
      <c r="AQ139" s="88">
        <f>IF(OR(AQ$1="",$BE139=0),"",IFERROR(LOOKUP(2,1/((Budgets!$A$2:$A$200=AQ$1)*(Budgets!$B$2:$B$200&lt;=$A139)),Budgets!$C$2:$C$200),0))</f>
        <v/>
      </c>
      <c r="AR139" s="88">
        <f>IF(OR(AR$1="",$BE139=0),"",IFERROR(LOOKUP(2,1/((Budgets!$A$2:$A$200=AR$1)*(Budgets!$B$2:$B$200&lt;=$A139)),Budgets!$C$2:$C$200),0))</f>
        <v/>
      </c>
      <c r="AS139" s="88">
        <f>IF(OR(AS$1="",$BE139=0),"",IFERROR(LOOKUP(2,1/((Budgets!$A$2:$A$200=AS$1)*(Budgets!$B$2:$B$200&lt;=$A139)),Budgets!$C$2:$C$200),0))</f>
        <v/>
      </c>
      <c r="AT139" s="88">
        <f>IF(OR(AT$1="",$BE139=0),"",IFERROR(LOOKUP(2,1/((Budgets!$A$2:$A$200=AT$1)*(Budgets!$B$2:$B$200&lt;=$A139)),Budgets!$C$2:$C$200),0))</f>
        <v/>
      </c>
      <c r="AU139" s="88">
        <f>IF(OR(AU$1="",$BE139=0),"",IFERROR(LOOKUP(2,1/((Budgets!$A$2:$A$200=AU$1)*(Budgets!$B$2:$B$200&lt;=$A139)),Budgets!$C$2:$C$200),0))</f>
        <v/>
      </c>
      <c r="AV139" s="88">
        <f>IF(OR(AV$1="",$BE139=0),"",IFERROR(LOOKUP(2,1/((Budgets!$A$2:$A$200=AV$1)*(Budgets!$B$2:$B$200&lt;=$A139)),Budgets!$C$2:$C$200),0))</f>
        <v/>
      </c>
      <c r="AW139" s="88">
        <f>IF(OR(AW$1="",$BE139=0),"",IFERROR(LOOKUP(2,1/((Budgets!$A$2:$A$200=AW$1)*(Budgets!$B$2:$B$200&lt;=$A139)),Budgets!$C$2:$C$200),0))</f>
        <v/>
      </c>
      <c r="AX139" s="88">
        <f>IF(OR(AX$1="",$BE139=0),"",IFERROR(LOOKUP(2,1/((Budgets!$A$2:$A$200=AX$1)*(Budgets!$B$2:$B$200&lt;=$A139)),Budgets!$C$2:$C$200),0))</f>
        <v/>
      </c>
      <c r="AY139" s="88">
        <f>IF(OR(AY$1="",$BE139=0),"",IFERROR(LOOKUP(2,1/((Budgets!$A$2:$A$200=AY$1)*(Budgets!$B$2:$B$200&lt;=$A139)),Budgets!$C$2:$C$200),0))</f>
        <v/>
      </c>
      <c r="AZ139" s="88">
        <f>IF(OR(AZ$1="",$BE139=0),"",IFERROR(LOOKUP(2,1/((Budgets!$A$2:$A$200=AZ$1)*(Budgets!$B$2:$B$200&lt;=$A139)),Budgets!$C$2:$C$200),0))</f>
        <v/>
      </c>
      <c r="BA139" s="88">
        <f>IF(OR(BA$1="",$BE139=0),"",IFERROR(LOOKUP(2,1/((Budgets!$A$2:$A$200=BA$1)*(Budgets!$B$2:$B$200&lt;=$A139)),Budgets!$C$2:$C$200),0))</f>
        <v/>
      </c>
      <c r="BB139" s="88">
        <f>IF(OR(BB$1="",$BE139=0),"",IFERROR(LOOKUP(2,1/((Budgets!$A$2:$A$200=BB$1)*(Budgets!$B$2:$B$200&lt;=$A139)),Budgets!$C$2:$C$200),0))</f>
        <v/>
      </c>
      <c r="BC139" s="88">
        <f>IF(OR(BC$1="",$BE139=0),"",IFERROR(LOOKUP(2,1/((Budgets!$A$2:$A$200=BC$1)*(Budgets!$B$2:$B$200&lt;=$A139)),Budgets!$C$2:$C$200),0))</f>
        <v/>
      </c>
      <c r="BE139" s="67">
        <f>COUNTIFS(Entries!$A$2:$A$5000,$A139)</f>
        <v/>
      </c>
    </row>
    <row r="140" ht="15" customHeight="1" s="43">
      <c r="A140" s="87" t="n">
        <v>43647</v>
      </c>
      <c r="B140" s="88">
        <f>IF($BE140=0,NA(),SUMIFS(Entries!$D$2:$D$5000,Entries!$C$2:$C$5000,"Income",Entries!$A$2:$A$5000,$A140))</f>
        <v/>
      </c>
      <c r="C140" s="88">
        <f>IF($BE140=0,"",SUMIFS(Entries!$D$2:$D$5000,Entries!$C$2:$C$5000,"Actual",Entries!$A$2:$A$5000,$A140))</f>
        <v/>
      </c>
      <c r="D140" s="88">
        <f>IF($BE140=0,"",SUMIFS(Entries!$D$2:$D$5000,Entries!$C$2:$C$5000,"One-off",Entries!$A$2:$A$5000,$A140))</f>
        <v/>
      </c>
      <c r="E140" s="88">
        <f>IF($BE140=0,NA(),C140+D140)</f>
        <v/>
      </c>
      <c r="F140" s="88">
        <f>IF($BE140=0,"",SUM(AJ140:BC140))</f>
        <v/>
      </c>
      <c r="G140" s="88">
        <f>IF($BE140=0,"",B140-E140)</f>
        <v/>
      </c>
      <c r="H140" s="88">
        <f>IF($BE140=0,"",SUM($G$2:G140))</f>
        <v/>
      </c>
      <c r="I140" s="88">
        <f>IF($BE140=0,"",SUMIFS(Entries!$F$2:$F$5000,Entries!$A$2:$A$5000,$A140))</f>
        <v/>
      </c>
      <c r="J140" s="88">
        <f>IF($BE140=0,NA(),H140+SUM($I$2:I140))</f>
        <v/>
      </c>
      <c r="K140" s="88">
        <f>IF($BE140=0,"",SUMIFS(Entries!$D$2:$D$5000,Entries!$C$2:$C$5000,"Income",Entries!$A$2:$A$5000,"&gt;="&amp;EDATE($A140,-11),Entries!$A$2:$A$5000,"&lt;="&amp;$A140)/12)</f>
        <v/>
      </c>
      <c r="L140" s="88">
        <f>IF($BE140=0,"",(SUMIFS(Entries!$D$2:$D$5000,Entries!$C$2:$C$5000,"Actual",Entries!$A$2:$A$5000,"&gt;="&amp;EDATE($A140,-11),Entries!$A$2:$A$5000,"&lt;="&amp;$A140)+SUMIFS(Entries!$D$2:$D$5000,Entries!$C$2:$C$5000,"One-off",Entries!$A$2:$A$5000,"&gt;="&amp;EDATE($A140,-11),Entries!$A$2:$A$5000,"&lt;="&amp;$A140))/12)</f>
        <v/>
      </c>
      <c r="M140" s="70">
        <f>IF($BE140=0,NA(),IFERROR((K140-L140)/K140,0))</f>
        <v/>
      </c>
      <c r="O140" s="88">
        <f>IF(OR(O$1="",$BE140=0),"",SUMIFS(Entries!$D$2:$D$5000,Entries!$C$2:$C$5000,"Actual",Entries!$A$2:$A$5000,$A140,Entries!$B$2:$B$5000,O$1))</f>
        <v/>
      </c>
      <c r="P140" s="88">
        <f>IF(OR(P$1="",$BE140=0),"",SUMIFS(Entries!$D$2:$D$5000,Entries!$C$2:$C$5000,"Actual",Entries!$A$2:$A$5000,$A140,Entries!$B$2:$B$5000,P$1))</f>
        <v/>
      </c>
      <c r="Q140" s="88">
        <f>IF(OR(Q$1="",$BE140=0),"",SUMIFS(Entries!$D$2:$D$5000,Entries!$C$2:$C$5000,"Actual",Entries!$A$2:$A$5000,$A140,Entries!$B$2:$B$5000,Q$1))</f>
        <v/>
      </c>
      <c r="R140" s="88">
        <f>IF(OR(R$1="",$BE140=0),"",SUMIFS(Entries!$D$2:$D$5000,Entries!$C$2:$C$5000,"Actual",Entries!$A$2:$A$5000,$A140,Entries!$B$2:$B$5000,R$1))</f>
        <v/>
      </c>
      <c r="S140" s="88">
        <f>IF(OR(S$1="",$BE140=0),"",SUMIFS(Entries!$D$2:$D$5000,Entries!$C$2:$C$5000,"Actual",Entries!$A$2:$A$5000,$A140,Entries!$B$2:$B$5000,S$1))</f>
        <v/>
      </c>
      <c r="T140" s="88">
        <f>IF(OR(T$1="",$BE140=0),"",SUMIFS(Entries!$D$2:$D$5000,Entries!$C$2:$C$5000,"Actual",Entries!$A$2:$A$5000,$A140,Entries!$B$2:$B$5000,T$1))</f>
        <v/>
      </c>
      <c r="U140" s="88">
        <f>IF(OR(U$1="",$BE140=0),"",SUMIFS(Entries!$D$2:$D$5000,Entries!$C$2:$C$5000,"Actual",Entries!$A$2:$A$5000,$A140,Entries!$B$2:$B$5000,U$1))</f>
        <v/>
      </c>
      <c r="V140" s="88">
        <f>IF(OR(V$1="",$BE140=0),"",SUMIFS(Entries!$D$2:$D$5000,Entries!$C$2:$C$5000,"Actual",Entries!$A$2:$A$5000,$A140,Entries!$B$2:$B$5000,V$1))</f>
        <v/>
      </c>
      <c r="W140" s="88">
        <f>IF(OR(W$1="",$BE140=0),"",SUMIFS(Entries!$D$2:$D$5000,Entries!$C$2:$C$5000,"Actual",Entries!$A$2:$A$5000,$A140,Entries!$B$2:$B$5000,W$1))</f>
        <v/>
      </c>
      <c r="X140" s="88">
        <f>IF(OR(X$1="",$BE140=0),"",SUMIFS(Entries!$D$2:$D$5000,Entries!$C$2:$C$5000,"Actual",Entries!$A$2:$A$5000,$A140,Entries!$B$2:$B$5000,X$1))</f>
        <v/>
      </c>
      <c r="Y140" s="88">
        <f>IF(OR(Y$1="",$BE140=0),"",SUMIFS(Entries!$D$2:$D$5000,Entries!$C$2:$C$5000,"Actual",Entries!$A$2:$A$5000,$A140,Entries!$B$2:$B$5000,Y$1))</f>
        <v/>
      </c>
      <c r="Z140" s="88">
        <f>IF(OR(Z$1="",$BE140=0),"",SUMIFS(Entries!$D$2:$D$5000,Entries!$C$2:$C$5000,"Actual",Entries!$A$2:$A$5000,$A140,Entries!$B$2:$B$5000,Z$1))</f>
        <v/>
      </c>
      <c r="AA140" s="88">
        <f>IF(OR(AA$1="",$BE140=0),"",SUMIFS(Entries!$D$2:$D$5000,Entries!$C$2:$C$5000,"Actual",Entries!$A$2:$A$5000,$A140,Entries!$B$2:$B$5000,AA$1))</f>
        <v/>
      </c>
      <c r="AB140" s="88">
        <f>IF(OR(AB$1="",$BE140=0),"",SUMIFS(Entries!$D$2:$D$5000,Entries!$C$2:$C$5000,"Actual",Entries!$A$2:$A$5000,$A140,Entries!$B$2:$B$5000,AB$1))</f>
        <v/>
      </c>
      <c r="AC140" s="88">
        <f>IF(OR(AC$1="",$BE140=0),"",SUMIFS(Entries!$D$2:$D$5000,Entries!$C$2:$C$5000,"Actual",Entries!$A$2:$A$5000,$A140,Entries!$B$2:$B$5000,AC$1))</f>
        <v/>
      </c>
      <c r="AD140" s="88">
        <f>IF(OR(AD$1="",$BE140=0),"",SUMIFS(Entries!$D$2:$D$5000,Entries!$C$2:$C$5000,"Actual",Entries!$A$2:$A$5000,$A140,Entries!$B$2:$B$5000,AD$1))</f>
        <v/>
      </c>
      <c r="AE140" s="88">
        <f>IF(OR(AE$1="",$BE140=0),"",SUMIFS(Entries!$D$2:$D$5000,Entries!$C$2:$C$5000,"Actual",Entries!$A$2:$A$5000,$A140,Entries!$B$2:$B$5000,AE$1))</f>
        <v/>
      </c>
      <c r="AF140" s="88">
        <f>IF(OR(AF$1="",$BE140=0),"",SUMIFS(Entries!$D$2:$D$5000,Entries!$C$2:$C$5000,"Actual",Entries!$A$2:$A$5000,$A140,Entries!$B$2:$B$5000,AF$1))</f>
        <v/>
      </c>
      <c r="AG140" s="88">
        <f>IF(OR(AG$1="",$BE140=0),"",SUMIFS(Entries!$D$2:$D$5000,Entries!$C$2:$C$5000,"Actual",Entries!$A$2:$A$5000,$A140,Entries!$B$2:$B$5000,AG$1))</f>
        <v/>
      </c>
      <c r="AH140" s="88">
        <f>IF(OR(AH$1="",$BE140=0),"",SUMIFS(Entries!$D$2:$D$5000,Entries!$C$2:$C$5000,"Actual",Entries!$A$2:$A$5000,$A140,Entries!$B$2:$B$5000,AH$1))</f>
        <v/>
      </c>
      <c r="AJ140" s="88">
        <f>IF(OR(AJ$1="",$BE140=0),"",IFERROR(LOOKUP(2,1/((Budgets!$A$2:$A$200=AJ$1)*(Budgets!$B$2:$B$200&lt;=$A140)),Budgets!$C$2:$C$200),0))</f>
        <v/>
      </c>
      <c r="AK140" s="88">
        <f>IF(OR(AK$1="",$BE140=0),"",IFERROR(LOOKUP(2,1/((Budgets!$A$2:$A$200=AK$1)*(Budgets!$B$2:$B$200&lt;=$A140)),Budgets!$C$2:$C$200),0))</f>
        <v/>
      </c>
      <c r="AL140" s="88">
        <f>IF(OR(AL$1="",$BE140=0),"",IFERROR(LOOKUP(2,1/((Budgets!$A$2:$A$200=AL$1)*(Budgets!$B$2:$B$200&lt;=$A140)),Budgets!$C$2:$C$200),0))</f>
        <v/>
      </c>
      <c r="AM140" s="88">
        <f>IF(OR(AM$1="",$BE140=0),"",IFERROR(LOOKUP(2,1/((Budgets!$A$2:$A$200=AM$1)*(Budgets!$B$2:$B$200&lt;=$A140)),Budgets!$C$2:$C$200),0))</f>
        <v/>
      </c>
      <c r="AN140" s="88">
        <f>IF(OR(AN$1="",$BE140=0),"",IFERROR(LOOKUP(2,1/((Budgets!$A$2:$A$200=AN$1)*(Budgets!$B$2:$B$200&lt;=$A140)),Budgets!$C$2:$C$200),0))</f>
        <v/>
      </c>
      <c r="AO140" s="88">
        <f>IF(OR(AO$1="",$BE140=0),"",IFERROR(LOOKUP(2,1/((Budgets!$A$2:$A$200=AO$1)*(Budgets!$B$2:$B$200&lt;=$A140)),Budgets!$C$2:$C$200),0))</f>
        <v/>
      </c>
      <c r="AP140" s="88">
        <f>IF(OR(AP$1="",$BE140=0),"",IFERROR(LOOKUP(2,1/((Budgets!$A$2:$A$200=AP$1)*(Budgets!$B$2:$B$200&lt;=$A140)),Budgets!$C$2:$C$200),0))</f>
        <v/>
      </c>
      <c r="AQ140" s="88">
        <f>IF(OR(AQ$1="",$BE140=0),"",IFERROR(LOOKUP(2,1/((Budgets!$A$2:$A$200=AQ$1)*(Budgets!$B$2:$B$200&lt;=$A140)),Budgets!$C$2:$C$200),0))</f>
        <v/>
      </c>
      <c r="AR140" s="88">
        <f>IF(OR(AR$1="",$BE140=0),"",IFERROR(LOOKUP(2,1/((Budgets!$A$2:$A$200=AR$1)*(Budgets!$B$2:$B$200&lt;=$A140)),Budgets!$C$2:$C$200),0))</f>
        <v/>
      </c>
      <c r="AS140" s="88">
        <f>IF(OR(AS$1="",$BE140=0),"",IFERROR(LOOKUP(2,1/((Budgets!$A$2:$A$200=AS$1)*(Budgets!$B$2:$B$200&lt;=$A140)),Budgets!$C$2:$C$200),0))</f>
        <v/>
      </c>
      <c r="AT140" s="88">
        <f>IF(OR(AT$1="",$BE140=0),"",IFERROR(LOOKUP(2,1/((Budgets!$A$2:$A$200=AT$1)*(Budgets!$B$2:$B$200&lt;=$A140)),Budgets!$C$2:$C$200),0))</f>
        <v/>
      </c>
      <c r="AU140" s="88">
        <f>IF(OR(AU$1="",$BE140=0),"",IFERROR(LOOKUP(2,1/((Budgets!$A$2:$A$200=AU$1)*(Budgets!$B$2:$B$200&lt;=$A140)),Budgets!$C$2:$C$200),0))</f>
        <v/>
      </c>
      <c r="AV140" s="88">
        <f>IF(OR(AV$1="",$BE140=0),"",IFERROR(LOOKUP(2,1/((Budgets!$A$2:$A$200=AV$1)*(Budgets!$B$2:$B$200&lt;=$A140)),Budgets!$C$2:$C$200),0))</f>
        <v/>
      </c>
      <c r="AW140" s="88">
        <f>IF(OR(AW$1="",$BE140=0),"",IFERROR(LOOKUP(2,1/((Budgets!$A$2:$A$200=AW$1)*(Budgets!$B$2:$B$200&lt;=$A140)),Budgets!$C$2:$C$200),0))</f>
        <v/>
      </c>
      <c r="AX140" s="88">
        <f>IF(OR(AX$1="",$BE140=0),"",IFERROR(LOOKUP(2,1/((Budgets!$A$2:$A$200=AX$1)*(Budgets!$B$2:$B$200&lt;=$A140)),Budgets!$C$2:$C$200),0))</f>
        <v/>
      </c>
      <c r="AY140" s="88">
        <f>IF(OR(AY$1="",$BE140=0),"",IFERROR(LOOKUP(2,1/((Budgets!$A$2:$A$200=AY$1)*(Budgets!$B$2:$B$200&lt;=$A140)),Budgets!$C$2:$C$200),0))</f>
        <v/>
      </c>
      <c r="AZ140" s="88">
        <f>IF(OR(AZ$1="",$BE140=0),"",IFERROR(LOOKUP(2,1/((Budgets!$A$2:$A$200=AZ$1)*(Budgets!$B$2:$B$200&lt;=$A140)),Budgets!$C$2:$C$200),0))</f>
        <v/>
      </c>
      <c r="BA140" s="88">
        <f>IF(OR(BA$1="",$BE140=0),"",IFERROR(LOOKUP(2,1/((Budgets!$A$2:$A$200=BA$1)*(Budgets!$B$2:$B$200&lt;=$A140)),Budgets!$C$2:$C$200),0))</f>
        <v/>
      </c>
      <c r="BB140" s="88">
        <f>IF(OR(BB$1="",$BE140=0),"",IFERROR(LOOKUP(2,1/((Budgets!$A$2:$A$200=BB$1)*(Budgets!$B$2:$B$200&lt;=$A140)),Budgets!$C$2:$C$200),0))</f>
        <v/>
      </c>
      <c r="BC140" s="88">
        <f>IF(OR(BC$1="",$BE140=0),"",IFERROR(LOOKUP(2,1/((Budgets!$A$2:$A$200=BC$1)*(Budgets!$B$2:$B$200&lt;=$A140)),Budgets!$C$2:$C$200),0))</f>
        <v/>
      </c>
      <c r="BE140" s="67">
        <f>COUNTIFS(Entries!$A$2:$A$5000,$A140)</f>
        <v/>
      </c>
    </row>
    <row r="141" ht="15" customHeight="1" s="43">
      <c r="A141" s="87" t="n">
        <v>43678</v>
      </c>
      <c r="B141" s="88">
        <f>IF($BE141=0,NA(),SUMIFS(Entries!$D$2:$D$5000,Entries!$C$2:$C$5000,"Income",Entries!$A$2:$A$5000,$A141))</f>
        <v/>
      </c>
      <c r="C141" s="88">
        <f>IF($BE141=0,"",SUMIFS(Entries!$D$2:$D$5000,Entries!$C$2:$C$5000,"Actual",Entries!$A$2:$A$5000,$A141))</f>
        <v/>
      </c>
      <c r="D141" s="88">
        <f>IF($BE141=0,"",SUMIFS(Entries!$D$2:$D$5000,Entries!$C$2:$C$5000,"One-off",Entries!$A$2:$A$5000,$A141))</f>
        <v/>
      </c>
      <c r="E141" s="88">
        <f>IF($BE141=0,NA(),C141+D141)</f>
        <v/>
      </c>
      <c r="F141" s="88">
        <f>IF($BE141=0,"",SUM(AJ141:BC141))</f>
        <v/>
      </c>
      <c r="G141" s="88">
        <f>IF($BE141=0,"",B141-E141)</f>
        <v/>
      </c>
      <c r="H141" s="88">
        <f>IF($BE141=0,"",SUM($G$2:G141))</f>
        <v/>
      </c>
      <c r="I141" s="88">
        <f>IF($BE141=0,"",SUMIFS(Entries!$F$2:$F$5000,Entries!$A$2:$A$5000,$A141))</f>
        <v/>
      </c>
      <c r="J141" s="88">
        <f>IF($BE141=0,NA(),H141+SUM($I$2:I141))</f>
        <v/>
      </c>
      <c r="K141" s="88">
        <f>IF($BE141=0,"",SUMIFS(Entries!$D$2:$D$5000,Entries!$C$2:$C$5000,"Income",Entries!$A$2:$A$5000,"&gt;="&amp;EDATE($A141,-11),Entries!$A$2:$A$5000,"&lt;="&amp;$A141)/12)</f>
        <v/>
      </c>
      <c r="L141" s="88">
        <f>IF($BE141=0,"",(SUMIFS(Entries!$D$2:$D$5000,Entries!$C$2:$C$5000,"Actual",Entries!$A$2:$A$5000,"&gt;="&amp;EDATE($A141,-11),Entries!$A$2:$A$5000,"&lt;="&amp;$A141)+SUMIFS(Entries!$D$2:$D$5000,Entries!$C$2:$C$5000,"One-off",Entries!$A$2:$A$5000,"&gt;="&amp;EDATE($A141,-11),Entries!$A$2:$A$5000,"&lt;="&amp;$A141))/12)</f>
        <v/>
      </c>
      <c r="M141" s="70">
        <f>IF($BE141=0,NA(),IFERROR((K141-L141)/K141,0))</f>
        <v/>
      </c>
      <c r="O141" s="88">
        <f>IF(OR(O$1="",$BE141=0),"",SUMIFS(Entries!$D$2:$D$5000,Entries!$C$2:$C$5000,"Actual",Entries!$A$2:$A$5000,$A141,Entries!$B$2:$B$5000,O$1))</f>
        <v/>
      </c>
      <c r="P141" s="88">
        <f>IF(OR(P$1="",$BE141=0),"",SUMIFS(Entries!$D$2:$D$5000,Entries!$C$2:$C$5000,"Actual",Entries!$A$2:$A$5000,$A141,Entries!$B$2:$B$5000,P$1))</f>
        <v/>
      </c>
      <c r="Q141" s="88">
        <f>IF(OR(Q$1="",$BE141=0),"",SUMIFS(Entries!$D$2:$D$5000,Entries!$C$2:$C$5000,"Actual",Entries!$A$2:$A$5000,$A141,Entries!$B$2:$B$5000,Q$1))</f>
        <v/>
      </c>
      <c r="R141" s="88">
        <f>IF(OR(R$1="",$BE141=0),"",SUMIFS(Entries!$D$2:$D$5000,Entries!$C$2:$C$5000,"Actual",Entries!$A$2:$A$5000,$A141,Entries!$B$2:$B$5000,R$1))</f>
        <v/>
      </c>
      <c r="S141" s="88">
        <f>IF(OR(S$1="",$BE141=0),"",SUMIFS(Entries!$D$2:$D$5000,Entries!$C$2:$C$5000,"Actual",Entries!$A$2:$A$5000,$A141,Entries!$B$2:$B$5000,S$1))</f>
        <v/>
      </c>
      <c r="T141" s="88">
        <f>IF(OR(T$1="",$BE141=0),"",SUMIFS(Entries!$D$2:$D$5000,Entries!$C$2:$C$5000,"Actual",Entries!$A$2:$A$5000,$A141,Entries!$B$2:$B$5000,T$1))</f>
        <v/>
      </c>
      <c r="U141" s="88">
        <f>IF(OR(U$1="",$BE141=0),"",SUMIFS(Entries!$D$2:$D$5000,Entries!$C$2:$C$5000,"Actual",Entries!$A$2:$A$5000,$A141,Entries!$B$2:$B$5000,U$1))</f>
        <v/>
      </c>
      <c r="V141" s="88">
        <f>IF(OR(V$1="",$BE141=0),"",SUMIFS(Entries!$D$2:$D$5000,Entries!$C$2:$C$5000,"Actual",Entries!$A$2:$A$5000,$A141,Entries!$B$2:$B$5000,V$1))</f>
        <v/>
      </c>
      <c r="W141" s="88">
        <f>IF(OR(W$1="",$BE141=0),"",SUMIFS(Entries!$D$2:$D$5000,Entries!$C$2:$C$5000,"Actual",Entries!$A$2:$A$5000,$A141,Entries!$B$2:$B$5000,W$1))</f>
        <v/>
      </c>
      <c r="X141" s="88">
        <f>IF(OR(X$1="",$BE141=0),"",SUMIFS(Entries!$D$2:$D$5000,Entries!$C$2:$C$5000,"Actual",Entries!$A$2:$A$5000,$A141,Entries!$B$2:$B$5000,X$1))</f>
        <v/>
      </c>
      <c r="Y141" s="88">
        <f>IF(OR(Y$1="",$BE141=0),"",SUMIFS(Entries!$D$2:$D$5000,Entries!$C$2:$C$5000,"Actual",Entries!$A$2:$A$5000,$A141,Entries!$B$2:$B$5000,Y$1))</f>
        <v/>
      </c>
      <c r="Z141" s="88">
        <f>IF(OR(Z$1="",$BE141=0),"",SUMIFS(Entries!$D$2:$D$5000,Entries!$C$2:$C$5000,"Actual",Entries!$A$2:$A$5000,$A141,Entries!$B$2:$B$5000,Z$1))</f>
        <v/>
      </c>
      <c r="AA141" s="88">
        <f>IF(OR(AA$1="",$BE141=0),"",SUMIFS(Entries!$D$2:$D$5000,Entries!$C$2:$C$5000,"Actual",Entries!$A$2:$A$5000,$A141,Entries!$B$2:$B$5000,AA$1))</f>
        <v/>
      </c>
      <c r="AB141" s="88">
        <f>IF(OR(AB$1="",$BE141=0),"",SUMIFS(Entries!$D$2:$D$5000,Entries!$C$2:$C$5000,"Actual",Entries!$A$2:$A$5000,$A141,Entries!$B$2:$B$5000,AB$1))</f>
        <v/>
      </c>
      <c r="AC141" s="88">
        <f>IF(OR(AC$1="",$BE141=0),"",SUMIFS(Entries!$D$2:$D$5000,Entries!$C$2:$C$5000,"Actual",Entries!$A$2:$A$5000,$A141,Entries!$B$2:$B$5000,AC$1))</f>
        <v/>
      </c>
      <c r="AD141" s="88">
        <f>IF(OR(AD$1="",$BE141=0),"",SUMIFS(Entries!$D$2:$D$5000,Entries!$C$2:$C$5000,"Actual",Entries!$A$2:$A$5000,$A141,Entries!$B$2:$B$5000,AD$1))</f>
        <v/>
      </c>
      <c r="AE141" s="88">
        <f>IF(OR(AE$1="",$BE141=0),"",SUMIFS(Entries!$D$2:$D$5000,Entries!$C$2:$C$5000,"Actual",Entries!$A$2:$A$5000,$A141,Entries!$B$2:$B$5000,AE$1))</f>
        <v/>
      </c>
      <c r="AF141" s="88">
        <f>IF(OR(AF$1="",$BE141=0),"",SUMIFS(Entries!$D$2:$D$5000,Entries!$C$2:$C$5000,"Actual",Entries!$A$2:$A$5000,$A141,Entries!$B$2:$B$5000,AF$1))</f>
        <v/>
      </c>
      <c r="AG141" s="88">
        <f>IF(OR(AG$1="",$BE141=0),"",SUMIFS(Entries!$D$2:$D$5000,Entries!$C$2:$C$5000,"Actual",Entries!$A$2:$A$5000,$A141,Entries!$B$2:$B$5000,AG$1))</f>
        <v/>
      </c>
      <c r="AH141" s="88">
        <f>IF(OR(AH$1="",$BE141=0),"",SUMIFS(Entries!$D$2:$D$5000,Entries!$C$2:$C$5000,"Actual",Entries!$A$2:$A$5000,$A141,Entries!$B$2:$B$5000,AH$1))</f>
        <v/>
      </c>
      <c r="AJ141" s="88">
        <f>IF(OR(AJ$1="",$BE141=0),"",IFERROR(LOOKUP(2,1/((Budgets!$A$2:$A$200=AJ$1)*(Budgets!$B$2:$B$200&lt;=$A141)),Budgets!$C$2:$C$200),0))</f>
        <v/>
      </c>
      <c r="AK141" s="88">
        <f>IF(OR(AK$1="",$BE141=0),"",IFERROR(LOOKUP(2,1/((Budgets!$A$2:$A$200=AK$1)*(Budgets!$B$2:$B$200&lt;=$A141)),Budgets!$C$2:$C$200),0))</f>
        <v/>
      </c>
      <c r="AL141" s="88">
        <f>IF(OR(AL$1="",$BE141=0),"",IFERROR(LOOKUP(2,1/((Budgets!$A$2:$A$200=AL$1)*(Budgets!$B$2:$B$200&lt;=$A141)),Budgets!$C$2:$C$200),0))</f>
        <v/>
      </c>
      <c r="AM141" s="88">
        <f>IF(OR(AM$1="",$BE141=0),"",IFERROR(LOOKUP(2,1/((Budgets!$A$2:$A$200=AM$1)*(Budgets!$B$2:$B$200&lt;=$A141)),Budgets!$C$2:$C$200),0))</f>
        <v/>
      </c>
      <c r="AN141" s="88">
        <f>IF(OR(AN$1="",$BE141=0),"",IFERROR(LOOKUP(2,1/((Budgets!$A$2:$A$200=AN$1)*(Budgets!$B$2:$B$200&lt;=$A141)),Budgets!$C$2:$C$200),0))</f>
        <v/>
      </c>
      <c r="AO141" s="88">
        <f>IF(OR(AO$1="",$BE141=0),"",IFERROR(LOOKUP(2,1/((Budgets!$A$2:$A$200=AO$1)*(Budgets!$B$2:$B$200&lt;=$A141)),Budgets!$C$2:$C$200),0))</f>
        <v/>
      </c>
      <c r="AP141" s="88">
        <f>IF(OR(AP$1="",$BE141=0),"",IFERROR(LOOKUP(2,1/((Budgets!$A$2:$A$200=AP$1)*(Budgets!$B$2:$B$200&lt;=$A141)),Budgets!$C$2:$C$200),0))</f>
        <v/>
      </c>
      <c r="AQ141" s="88">
        <f>IF(OR(AQ$1="",$BE141=0),"",IFERROR(LOOKUP(2,1/((Budgets!$A$2:$A$200=AQ$1)*(Budgets!$B$2:$B$200&lt;=$A141)),Budgets!$C$2:$C$200),0))</f>
        <v/>
      </c>
      <c r="AR141" s="88">
        <f>IF(OR(AR$1="",$BE141=0),"",IFERROR(LOOKUP(2,1/((Budgets!$A$2:$A$200=AR$1)*(Budgets!$B$2:$B$200&lt;=$A141)),Budgets!$C$2:$C$200),0))</f>
        <v/>
      </c>
      <c r="AS141" s="88">
        <f>IF(OR(AS$1="",$BE141=0),"",IFERROR(LOOKUP(2,1/((Budgets!$A$2:$A$200=AS$1)*(Budgets!$B$2:$B$200&lt;=$A141)),Budgets!$C$2:$C$200),0))</f>
        <v/>
      </c>
      <c r="AT141" s="88">
        <f>IF(OR(AT$1="",$BE141=0),"",IFERROR(LOOKUP(2,1/((Budgets!$A$2:$A$200=AT$1)*(Budgets!$B$2:$B$200&lt;=$A141)),Budgets!$C$2:$C$200),0))</f>
        <v/>
      </c>
      <c r="AU141" s="88">
        <f>IF(OR(AU$1="",$BE141=0),"",IFERROR(LOOKUP(2,1/((Budgets!$A$2:$A$200=AU$1)*(Budgets!$B$2:$B$200&lt;=$A141)),Budgets!$C$2:$C$200),0))</f>
        <v/>
      </c>
      <c r="AV141" s="88">
        <f>IF(OR(AV$1="",$BE141=0),"",IFERROR(LOOKUP(2,1/((Budgets!$A$2:$A$200=AV$1)*(Budgets!$B$2:$B$200&lt;=$A141)),Budgets!$C$2:$C$200),0))</f>
        <v/>
      </c>
      <c r="AW141" s="88">
        <f>IF(OR(AW$1="",$BE141=0),"",IFERROR(LOOKUP(2,1/((Budgets!$A$2:$A$200=AW$1)*(Budgets!$B$2:$B$200&lt;=$A141)),Budgets!$C$2:$C$200),0))</f>
        <v/>
      </c>
      <c r="AX141" s="88">
        <f>IF(OR(AX$1="",$BE141=0),"",IFERROR(LOOKUP(2,1/((Budgets!$A$2:$A$200=AX$1)*(Budgets!$B$2:$B$200&lt;=$A141)),Budgets!$C$2:$C$200),0))</f>
        <v/>
      </c>
      <c r="AY141" s="88">
        <f>IF(OR(AY$1="",$BE141=0),"",IFERROR(LOOKUP(2,1/((Budgets!$A$2:$A$200=AY$1)*(Budgets!$B$2:$B$200&lt;=$A141)),Budgets!$C$2:$C$200),0))</f>
        <v/>
      </c>
      <c r="AZ141" s="88">
        <f>IF(OR(AZ$1="",$BE141=0),"",IFERROR(LOOKUP(2,1/((Budgets!$A$2:$A$200=AZ$1)*(Budgets!$B$2:$B$200&lt;=$A141)),Budgets!$C$2:$C$200),0))</f>
        <v/>
      </c>
      <c r="BA141" s="88">
        <f>IF(OR(BA$1="",$BE141=0),"",IFERROR(LOOKUP(2,1/((Budgets!$A$2:$A$200=BA$1)*(Budgets!$B$2:$B$200&lt;=$A141)),Budgets!$C$2:$C$200),0))</f>
        <v/>
      </c>
      <c r="BB141" s="88">
        <f>IF(OR(BB$1="",$BE141=0),"",IFERROR(LOOKUP(2,1/((Budgets!$A$2:$A$200=BB$1)*(Budgets!$B$2:$B$200&lt;=$A141)),Budgets!$C$2:$C$200),0))</f>
        <v/>
      </c>
      <c r="BC141" s="88">
        <f>IF(OR(BC$1="",$BE141=0),"",IFERROR(LOOKUP(2,1/((Budgets!$A$2:$A$200=BC$1)*(Budgets!$B$2:$B$200&lt;=$A141)),Budgets!$C$2:$C$200),0))</f>
        <v/>
      </c>
      <c r="BE141" s="67">
        <f>COUNTIFS(Entries!$A$2:$A$5000,$A141)</f>
        <v/>
      </c>
    </row>
    <row r="142" ht="15" customHeight="1" s="43">
      <c r="A142" s="87" t="n">
        <v>43709</v>
      </c>
      <c r="B142" s="88">
        <f>IF($BE142=0,NA(),SUMIFS(Entries!$D$2:$D$5000,Entries!$C$2:$C$5000,"Income",Entries!$A$2:$A$5000,$A142))</f>
        <v/>
      </c>
      <c r="C142" s="88">
        <f>IF($BE142=0,"",SUMIFS(Entries!$D$2:$D$5000,Entries!$C$2:$C$5000,"Actual",Entries!$A$2:$A$5000,$A142))</f>
        <v/>
      </c>
      <c r="D142" s="88">
        <f>IF($BE142=0,"",SUMIFS(Entries!$D$2:$D$5000,Entries!$C$2:$C$5000,"One-off",Entries!$A$2:$A$5000,$A142))</f>
        <v/>
      </c>
      <c r="E142" s="88">
        <f>IF($BE142=0,NA(),C142+D142)</f>
        <v/>
      </c>
      <c r="F142" s="88">
        <f>IF($BE142=0,"",SUM(AJ142:BC142))</f>
        <v/>
      </c>
      <c r="G142" s="88">
        <f>IF($BE142=0,"",B142-E142)</f>
        <v/>
      </c>
      <c r="H142" s="88">
        <f>IF($BE142=0,"",SUM($G$2:G142))</f>
        <v/>
      </c>
      <c r="I142" s="88">
        <f>IF($BE142=0,"",SUMIFS(Entries!$F$2:$F$5000,Entries!$A$2:$A$5000,$A142))</f>
        <v/>
      </c>
      <c r="J142" s="88">
        <f>IF($BE142=0,NA(),H142+SUM($I$2:I142))</f>
        <v/>
      </c>
      <c r="K142" s="88">
        <f>IF($BE142=0,"",SUMIFS(Entries!$D$2:$D$5000,Entries!$C$2:$C$5000,"Income",Entries!$A$2:$A$5000,"&gt;="&amp;EDATE($A142,-11),Entries!$A$2:$A$5000,"&lt;="&amp;$A142)/12)</f>
        <v/>
      </c>
      <c r="L142" s="88">
        <f>IF($BE142=0,"",(SUMIFS(Entries!$D$2:$D$5000,Entries!$C$2:$C$5000,"Actual",Entries!$A$2:$A$5000,"&gt;="&amp;EDATE($A142,-11),Entries!$A$2:$A$5000,"&lt;="&amp;$A142)+SUMIFS(Entries!$D$2:$D$5000,Entries!$C$2:$C$5000,"One-off",Entries!$A$2:$A$5000,"&gt;="&amp;EDATE($A142,-11),Entries!$A$2:$A$5000,"&lt;="&amp;$A142))/12)</f>
        <v/>
      </c>
      <c r="M142" s="70">
        <f>IF($BE142=0,NA(),IFERROR((K142-L142)/K142,0))</f>
        <v/>
      </c>
      <c r="O142" s="88">
        <f>IF(OR(O$1="",$BE142=0),"",SUMIFS(Entries!$D$2:$D$5000,Entries!$C$2:$C$5000,"Actual",Entries!$A$2:$A$5000,$A142,Entries!$B$2:$B$5000,O$1))</f>
        <v/>
      </c>
      <c r="P142" s="88">
        <f>IF(OR(P$1="",$BE142=0),"",SUMIFS(Entries!$D$2:$D$5000,Entries!$C$2:$C$5000,"Actual",Entries!$A$2:$A$5000,$A142,Entries!$B$2:$B$5000,P$1))</f>
        <v/>
      </c>
      <c r="Q142" s="88">
        <f>IF(OR(Q$1="",$BE142=0),"",SUMIFS(Entries!$D$2:$D$5000,Entries!$C$2:$C$5000,"Actual",Entries!$A$2:$A$5000,$A142,Entries!$B$2:$B$5000,Q$1))</f>
        <v/>
      </c>
      <c r="R142" s="88">
        <f>IF(OR(R$1="",$BE142=0),"",SUMIFS(Entries!$D$2:$D$5000,Entries!$C$2:$C$5000,"Actual",Entries!$A$2:$A$5000,$A142,Entries!$B$2:$B$5000,R$1))</f>
        <v/>
      </c>
      <c r="S142" s="88">
        <f>IF(OR(S$1="",$BE142=0),"",SUMIFS(Entries!$D$2:$D$5000,Entries!$C$2:$C$5000,"Actual",Entries!$A$2:$A$5000,$A142,Entries!$B$2:$B$5000,S$1))</f>
        <v/>
      </c>
      <c r="T142" s="88">
        <f>IF(OR(T$1="",$BE142=0),"",SUMIFS(Entries!$D$2:$D$5000,Entries!$C$2:$C$5000,"Actual",Entries!$A$2:$A$5000,$A142,Entries!$B$2:$B$5000,T$1))</f>
        <v/>
      </c>
      <c r="U142" s="88">
        <f>IF(OR(U$1="",$BE142=0),"",SUMIFS(Entries!$D$2:$D$5000,Entries!$C$2:$C$5000,"Actual",Entries!$A$2:$A$5000,$A142,Entries!$B$2:$B$5000,U$1))</f>
        <v/>
      </c>
      <c r="V142" s="88">
        <f>IF(OR(V$1="",$BE142=0),"",SUMIFS(Entries!$D$2:$D$5000,Entries!$C$2:$C$5000,"Actual",Entries!$A$2:$A$5000,$A142,Entries!$B$2:$B$5000,V$1))</f>
        <v/>
      </c>
      <c r="W142" s="88">
        <f>IF(OR(W$1="",$BE142=0),"",SUMIFS(Entries!$D$2:$D$5000,Entries!$C$2:$C$5000,"Actual",Entries!$A$2:$A$5000,$A142,Entries!$B$2:$B$5000,W$1))</f>
        <v/>
      </c>
      <c r="X142" s="88">
        <f>IF(OR(X$1="",$BE142=0),"",SUMIFS(Entries!$D$2:$D$5000,Entries!$C$2:$C$5000,"Actual",Entries!$A$2:$A$5000,$A142,Entries!$B$2:$B$5000,X$1))</f>
        <v/>
      </c>
      <c r="Y142" s="88">
        <f>IF(OR(Y$1="",$BE142=0),"",SUMIFS(Entries!$D$2:$D$5000,Entries!$C$2:$C$5000,"Actual",Entries!$A$2:$A$5000,$A142,Entries!$B$2:$B$5000,Y$1))</f>
        <v/>
      </c>
      <c r="Z142" s="88">
        <f>IF(OR(Z$1="",$BE142=0),"",SUMIFS(Entries!$D$2:$D$5000,Entries!$C$2:$C$5000,"Actual",Entries!$A$2:$A$5000,$A142,Entries!$B$2:$B$5000,Z$1))</f>
        <v/>
      </c>
      <c r="AA142" s="88">
        <f>IF(OR(AA$1="",$BE142=0),"",SUMIFS(Entries!$D$2:$D$5000,Entries!$C$2:$C$5000,"Actual",Entries!$A$2:$A$5000,$A142,Entries!$B$2:$B$5000,AA$1))</f>
        <v/>
      </c>
      <c r="AB142" s="88">
        <f>IF(OR(AB$1="",$BE142=0),"",SUMIFS(Entries!$D$2:$D$5000,Entries!$C$2:$C$5000,"Actual",Entries!$A$2:$A$5000,$A142,Entries!$B$2:$B$5000,AB$1))</f>
        <v/>
      </c>
      <c r="AC142" s="88">
        <f>IF(OR(AC$1="",$BE142=0),"",SUMIFS(Entries!$D$2:$D$5000,Entries!$C$2:$C$5000,"Actual",Entries!$A$2:$A$5000,$A142,Entries!$B$2:$B$5000,AC$1))</f>
        <v/>
      </c>
      <c r="AD142" s="88">
        <f>IF(OR(AD$1="",$BE142=0),"",SUMIFS(Entries!$D$2:$D$5000,Entries!$C$2:$C$5000,"Actual",Entries!$A$2:$A$5000,$A142,Entries!$B$2:$B$5000,AD$1))</f>
        <v/>
      </c>
      <c r="AE142" s="88">
        <f>IF(OR(AE$1="",$BE142=0),"",SUMIFS(Entries!$D$2:$D$5000,Entries!$C$2:$C$5000,"Actual",Entries!$A$2:$A$5000,$A142,Entries!$B$2:$B$5000,AE$1))</f>
        <v/>
      </c>
      <c r="AF142" s="88">
        <f>IF(OR(AF$1="",$BE142=0),"",SUMIFS(Entries!$D$2:$D$5000,Entries!$C$2:$C$5000,"Actual",Entries!$A$2:$A$5000,$A142,Entries!$B$2:$B$5000,AF$1))</f>
        <v/>
      </c>
      <c r="AG142" s="88">
        <f>IF(OR(AG$1="",$BE142=0),"",SUMIFS(Entries!$D$2:$D$5000,Entries!$C$2:$C$5000,"Actual",Entries!$A$2:$A$5000,$A142,Entries!$B$2:$B$5000,AG$1))</f>
        <v/>
      </c>
      <c r="AH142" s="88">
        <f>IF(OR(AH$1="",$BE142=0),"",SUMIFS(Entries!$D$2:$D$5000,Entries!$C$2:$C$5000,"Actual",Entries!$A$2:$A$5000,$A142,Entries!$B$2:$B$5000,AH$1))</f>
        <v/>
      </c>
      <c r="AJ142" s="88">
        <f>IF(OR(AJ$1="",$BE142=0),"",IFERROR(LOOKUP(2,1/((Budgets!$A$2:$A$200=AJ$1)*(Budgets!$B$2:$B$200&lt;=$A142)),Budgets!$C$2:$C$200),0))</f>
        <v/>
      </c>
      <c r="AK142" s="88">
        <f>IF(OR(AK$1="",$BE142=0),"",IFERROR(LOOKUP(2,1/((Budgets!$A$2:$A$200=AK$1)*(Budgets!$B$2:$B$200&lt;=$A142)),Budgets!$C$2:$C$200),0))</f>
        <v/>
      </c>
      <c r="AL142" s="88">
        <f>IF(OR(AL$1="",$BE142=0),"",IFERROR(LOOKUP(2,1/((Budgets!$A$2:$A$200=AL$1)*(Budgets!$B$2:$B$200&lt;=$A142)),Budgets!$C$2:$C$200),0))</f>
        <v/>
      </c>
      <c r="AM142" s="88">
        <f>IF(OR(AM$1="",$BE142=0),"",IFERROR(LOOKUP(2,1/((Budgets!$A$2:$A$200=AM$1)*(Budgets!$B$2:$B$200&lt;=$A142)),Budgets!$C$2:$C$200),0))</f>
        <v/>
      </c>
      <c r="AN142" s="88">
        <f>IF(OR(AN$1="",$BE142=0),"",IFERROR(LOOKUP(2,1/((Budgets!$A$2:$A$200=AN$1)*(Budgets!$B$2:$B$200&lt;=$A142)),Budgets!$C$2:$C$200),0))</f>
        <v/>
      </c>
      <c r="AO142" s="88">
        <f>IF(OR(AO$1="",$BE142=0),"",IFERROR(LOOKUP(2,1/((Budgets!$A$2:$A$200=AO$1)*(Budgets!$B$2:$B$200&lt;=$A142)),Budgets!$C$2:$C$200),0))</f>
        <v/>
      </c>
      <c r="AP142" s="88">
        <f>IF(OR(AP$1="",$BE142=0),"",IFERROR(LOOKUP(2,1/((Budgets!$A$2:$A$200=AP$1)*(Budgets!$B$2:$B$200&lt;=$A142)),Budgets!$C$2:$C$200),0))</f>
        <v/>
      </c>
      <c r="AQ142" s="88">
        <f>IF(OR(AQ$1="",$BE142=0),"",IFERROR(LOOKUP(2,1/((Budgets!$A$2:$A$200=AQ$1)*(Budgets!$B$2:$B$200&lt;=$A142)),Budgets!$C$2:$C$200),0))</f>
        <v/>
      </c>
      <c r="AR142" s="88">
        <f>IF(OR(AR$1="",$BE142=0),"",IFERROR(LOOKUP(2,1/((Budgets!$A$2:$A$200=AR$1)*(Budgets!$B$2:$B$200&lt;=$A142)),Budgets!$C$2:$C$200),0))</f>
        <v/>
      </c>
      <c r="AS142" s="88">
        <f>IF(OR(AS$1="",$BE142=0),"",IFERROR(LOOKUP(2,1/((Budgets!$A$2:$A$200=AS$1)*(Budgets!$B$2:$B$200&lt;=$A142)),Budgets!$C$2:$C$200),0))</f>
        <v/>
      </c>
      <c r="AT142" s="88">
        <f>IF(OR(AT$1="",$BE142=0),"",IFERROR(LOOKUP(2,1/((Budgets!$A$2:$A$200=AT$1)*(Budgets!$B$2:$B$200&lt;=$A142)),Budgets!$C$2:$C$200),0))</f>
        <v/>
      </c>
      <c r="AU142" s="88">
        <f>IF(OR(AU$1="",$BE142=0),"",IFERROR(LOOKUP(2,1/((Budgets!$A$2:$A$200=AU$1)*(Budgets!$B$2:$B$200&lt;=$A142)),Budgets!$C$2:$C$200),0))</f>
        <v/>
      </c>
      <c r="AV142" s="88">
        <f>IF(OR(AV$1="",$BE142=0),"",IFERROR(LOOKUP(2,1/((Budgets!$A$2:$A$200=AV$1)*(Budgets!$B$2:$B$200&lt;=$A142)),Budgets!$C$2:$C$200),0))</f>
        <v/>
      </c>
      <c r="AW142" s="88">
        <f>IF(OR(AW$1="",$BE142=0),"",IFERROR(LOOKUP(2,1/((Budgets!$A$2:$A$200=AW$1)*(Budgets!$B$2:$B$200&lt;=$A142)),Budgets!$C$2:$C$200),0))</f>
        <v/>
      </c>
      <c r="AX142" s="88">
        <f>IF(OR(AX$1="",$BE142=0),"",IFERROR(LOOKUP(2,1/((Budgets!$A$2:$A$200=AX$1)*(Budgets!$B$2:$B$200&lt;=$A142)),Budgets!$C$2:$C$200),0))</f>
        <v/>
      </c>
      <c r="AY142" s="88">
        <f>IF(OR(AY$1="",$BE142=0),"",IFERROR(LOOKUP(2,1/((Budgets!$A$2:$A$200=AY$1)*(Budgets!$B$2:$B$200&lt;=$A142)),Budgets!$C$2:$C$200),0))</f>
        <v/>
      </c>
      <c r="AZ142" s="88">
        <f>IF(OR(AZ$1="",$BE142=0),"",IFERROR(LOOKUP(2,1/((Budgets!$A$2:$A$200=AZ$1)*(Budgets!$B$2:$B$200&lt;=$A142)),Budgets!$C$2:$C$200),0))</f>
        <v/>
      </c>
      <c r="BA142" s="88">
        <f>IF(OR(BA$1="",$BE142=0),"",IFERROR(LOOKUP(2,1/((Budgets!$A$2:$A$200=BA$1)*(Budgets!$B$2:$B$200&lt;=$A142)),Budgets!$C$2:$C$200),0))</f>
        <v/>
      </c>
      <c r="BB142" s="88">
        <f>IF(OR(BB$1="",$BE142=0),"",IFERROR(LOOKUP(2,1/((Budgets!$A$2:$A$200=BB$1)*(Budgets!$B$2:$B$200&lt;=$A142)),Budgets!$C$2:$C$200),0))</f>
        <v/>
      </c>
      <c r="BC142" s="88">
        <f>IF(OR(BC$1="",$BE142=0),"",IFERROR(LOOKUP(2,1/((Budgets!$A$2:$A$200=BC$1)*(Budgets!$B$2:$B$200&lt;=$A142)),Budgets!$C$2:$C$200),0))</f>
        <v/>
      </c>
      <c r="BE142" s="67">
        <f>COUNTIFS(Entries!$A$2:$A$5000,$A142)</f>
        <v/>
      </c>
    </row>
    <row r="143" ht="15" customHeight="1" s="43">
      <c r="A143" s="87" t="n">
        <v>43739</v>
      </c>
      <c r="B143" s="88">
        <f>IF($BE143=0,NA(),SUMIFS(Entries!$D$2:$D$5000,Entries!$C$2:$C$5000,"Income",Entries!$A$2:$A$5000,$A143))</f>
        <v/>
      </c>
      <c r="C143" s="88">
        <f>IF($BE143=0,"",SUMIFS(Entries!$D$2:$D$5000,Entries!$C$2:$C$5000,"Actual",Entries!$A$2:$A$5000,$A143))</f>
        <v/>
      </c>
      <c r="D143" s="88">
        <f>IF($BE143=0,"",SUMIFS(Entries!$D$2:$D$5000,Entries!$C$2:$C$5000,"One-off",Entries!$A$2:$A$5000,$A143))</f>
        <v/>
      </c>
      <c r="E143" s="88">
        <f>IF($BE143=0,NA(),C143+D143)</f>
        <v/>
      </c>
      <c r="F143" s="88">
        <f>IF($BE143=0,"",SUM(AJ143:BC143))</f>
        <v/>
      </c>
      <c r="G143" s="88">
        <f>IF($BE143=0,"",B143-E143)</f>
        <v/>
      </c>
      <c r="H143" s="88">
        <f>IF($BE143=0,"",SUM($G$2:G143))</f>
        <v/>
      </c>
      <c r="I143" s="88">
        <f>IF($BE143=0,"",SUMIFS(Entries!$F$2:$F$5000,Entries!$A$2:$A$5000,$A143))</f>
        <v/>
      </c>
      <c r="J143" s="88">
        <f>IF($BE143=0,NA(),H143+SUM($I$2:I143))</f>
        <v/>
      </c>
      <c r="K143" s="88">
        <f>IF($BE143=0,"",SUMIFS(Entries!$D$2:$D$5000,Entries!$C$2:$C$5000,"Income",Entries!$A$2:$A$5000,"&gt;="&amp;EDATE($A143,-11),Entries!$A$2:$A$5000,"&lt;="&amp;$A143)/12)</f>
        <v/>
      </c>
      <c r="L143" s="88">
        <f>IF($BE143=0,"",(SUMIFS(Entries!$D$2:$D$5000,Entries!$C$2:$C$5000,"Actual",Entries!$A$2:$A$5000,"&gt;="&amp;EDATE($A143,-11),Entries!$A$2:$A$5000,"&lt;="&amp;$A143)+SUMIFS(Entries!$D$2:$D$5000,Entries!$C$2:$C$5000,"One-off",Entries!$A$2:$A$5000,"&gt;="&amp;EDATE($A143,-11),Entries!$A$2:$A$5000,"&lt;="&amp;$A143))/12)</f>
        <v/>
      </c>
      <c r="M143" s="70">
        <f>IF($BE143=0,NA(),IFERROR((K143-L143)/K143,0))</f>
        <v/>
      </c>
      <c r="O143" s="88">
        <f>IF(OR(O$1="",$BE143=0),"",SUMIFS(Entries!$D$2:$D$5000,Entries!$C$2:$C$5000,"Actual",Entries!$A$2:$A$5000,$A143,Entries!$B$2:$B$5000,O$1))</f>
        <v/>
      </c>
      <c r="P143" s="88">
        <f>IF(OR(P$1="",$BE143=0),"",SUMIFS(Entries!$D$2:$D$5000,Entries!$C$2:$C$5000,"Actual",Entries!$A$2:$A$5000,$A143,Entries!$B$2:$B$5000,P$1))</f>
        <v/>
      </c>
      <c r="Q143" s="88">
        <f>IF(OR(Q$1="",$BE143=0),"",SUMIFS(Entries!$D$2:$D$5000,Entries!$C$2:$C$5000,"Actual",Entries!$A$2:$A$5000,$A143,Entries!$B$2:$B$5000,Q$1))</f>
        <v/>
      </c>
      <c r="R143" s="88">
        <f>IF(OR(R$1="",$BE143=0),"",SUMIFS(Entries!$D$2:$D$5000,Entries!$C$2:$C$5000,"Actual",Entries!$A$2:$A$5000,$A143,Entries!$B$2:$B$5000,R$1))</f>
        <v/>
      </c>
      <c r="S143" s="88">
        <f>IF(OR(S$1="",$BE143=0),"",SUMIFS(Entries!$D$2:$D$5000,Entries!$C$2:$C$5000,"Actual",Entries!$A$2:$A$5000,$A143,Entries!$B$2:$B$5000,S$1))</f>
        <v/>
      </c>
      <c r="T143" s="88">
        <f>IF(OR(T$1="",$BE143=0),"",SUMIFS(Entries!$D$2:$D$5000,Entries!$C$2:$C$5000,"Actual",Entries!$A$2:$A$5000,$A143,Entries!$B$2:$B$5000,T$1))</f>
        <v/>
      </c>
      <c r="U143" s="88">
        <f>IF(OR(U$1="",$BE143=0),"",SUMIFS(Entries!$D$2:$D$5000,Entries!$C$2:$C$5000,"Actual",Entries!$A$2:$A$5000,$A143,Entries!$B$2:$B$5000,U$1))</f>
        <v/>
      </c>
      <c r="V143" s="88">
        <f>IF(OR(V$1="",$BE143=0),"",SUMIFS(Entries!$D$2:$D$5000,Entries!$C$2:$C$5000,"Actual",Entries!$A$2:$A$5000,$A143,Entries!$B$2:$B$5000,V$1))</f>
        <v/>
      </c>
      <c r="W143" s="88">
        <f>IF(OR(W$1="",$BE143=0),"",SUMIFS(Entries!$D$2:$D$5000,Entries!$C$2:$C$5000,"Actual",Entries!$A$2:$A$5000,$A143,Entries!$B$2:$B$5000,W$1))</f>
        <v/>
      </c>
      <c r="X143" s="88">
        <f>IF(OR(X$1="",$BE143=0),"",SUMIFS(Entries!$D$2:$D$5000,Entries!$C$2:$C$5000,"Actual",Entries!$A$2:$A$5000,$A143,Entries!$B$2:$B$5000,X$1))</f>
        <v/>
      </c>
      <c r="Y143" s="88">
        <f>IF(OR(Y$1="",$BE143=0),"",SUMIFS(Entries!$D$2:$D$5000,Entries!$C$2:$C$5000,"Actual",Entries!$A$2:$A$5000,$A143,Entries!$B$2:$B$5000,Y$1))</f>
        <v/>
      </c>
      <c r="Z143" s="88">
        <f>IF(OR(Z$1="",$BE143=0),"",SUMIFS(Entries!$D$2:$D$5000,Entries!$C$2:$C$5000,"Actual",Entries!$A$2:$A$5000,$A143,Entries!$B$2:$B$5000,Z$1))</f>
        <v/>
      </c>
      <c r="AA143" s="88">
        <f>IF(OR(AA$1="",$BE143=0),"",SUMIFS(Entries!$D$2:$D$5000,Entries!$C$2:$C$5000,"Actual",Entries!$A$2:$A$5000,$A143,Entries!$B$2:$B$5000,AA$1))</f>
        <v/>
      </c>
      <c r="AB143" s="88">
        <f>IF(OR(AB$1="",$BE143=0),"",SUMIFS(Entries!$D$2:$D$5000,Entries!$C$2:$C$5000,"Actual",Entries!$A$2:$A$5000,$A143,Entries!$B$2:$B$5000,AB$1))</f>
        <v/>
      </c>
      <c r="AC143" s="88">
        <f>IF(OR(AC$1="",$BE143=0),"",SUMIFS(Entries!$D$2:$D$5000,Entries!$C$2:$C$5000,"Actual",Entries!$A$2:$A$5000,$A143,Entries!$B$2:$B$5000,AC$1))</f>
        <v/>
      </c>
      <c r="AD143" s="88">
        <f>IF(OR(AD$1="",$BE143=0),"",SUMIFS(Entries!$D$2:$D$5000,Entries!$C$2:$C$5000,"Actual",Entries!$A$2:$A$5000,$A143,Entries!$B$2:$B$5000,AD$1))</f>
        <v/>
      </c>
      <c r="AE143" s="88">
        <f>IF(OR(AE$1="",$BE143=0),"",SUMIFS(Entries!$D$2:$D$5000,Entries!$C$2:$C$5000,"Actual",Entries!$A$2:$A$5000,$A143,Entries!$B$2:$B$5000,AE$1))</f>
        <v/>
      </c>
      <c r="AF143" s="88">
        <f>IF(OR(AF$1="",$BE143=0),"",SUMIFS(Entries!$D$2:$D$5000,Entries!$C$2:$C$5000,"Actual",Entries!$A$2:$A$5000,$A143,Entries!$B$2:$B$5000,AF$1))</f>
        <v/>
      </c>
      <c r="AG143" s="88">
        <f>IF(OR(AG$1="",$BE143=0),"",SUMIFS(Entries!$D$2:$D$5000,Entries!$C$2:$C$5000,"Actual",Entries!$A$2:$A$5000,$A143,Entries!$B$2:$B$5000,AG$1))</f>
        <v/>
      </c>
      <c r="AH143" s="88">
        <f>IF(OR(AH$1="",$BE143=0),"",SUMIFS(Entries!$D$2:$D$5000,Entries!$C$2:$C$5000,"Actual",Entries!$A$2:$A$5000,$A143,Entries!$B$2:$B$5000,AH$1))</f>
        <v/>
      </c>
      <c r="AJ143" s="88">
        <f>IF(OR(AJ$1="",$BE143=0),"",IFERROR(LOOKUP(2,1/((Budgets!$A$2:$A$200=AJ$1)*(Budgets!$B$2:$B$200&lt;=$A143)),Budgets!$C$2:$C$200),0))</f>
        <v/>
      </c>
      <c r="AK143" s="88">
        <f>IF(OR(AK$1="",$BE143=0),"",IFERROR(LOOKUP(2,1/((Budgets!$A$2:$A$200=AK$1)*(Budgets!$B$2:$B$200&lt;=$A143)),Budgets!$C$2:$C$200),0))</f>
        <v/>
      </c>
      <c r="AL143" s="88">
        <f>IF(OR(AL$1="",$BE143=0),"",IFERROR(LOOKUP(2,1/((Budgets!$A$2:$A$200=AL$1)*(Budgets!$B$2:$B$200&lt;=$A143)),Budgets!$C$2:$C$200),0))</f>
        <v/>
      </c>
      <c r="AM143" s="88">
        <f>IF(OR(AM$1="",$BE143=0),"",IFERROR(LOOKUP(2,1/((Budgets!$A$2:$A$200=AM$1)*(Budgets!$B$2:$B$200&lt;=$A143)),Budgets!$C$2:$C$200),0))</f>
        <v/>
      </c>
      <c r="AN143" s="88">
        <f>IF(OR(AN$1="",$BE143=0),"",IFERROR(LOOKUP(2,1/((Budgets!$A$2:$A$200=AN$1)*(Budgets!$B$2:$B$200&lt;=$A143)),Budgets!$C$2:$C$200),0))</f>
        <v/>
      </c>
      <c r="AO143" s="88">
        <f>IF(OR(AO$1="",$BE143=0),"",IFERROR(LOOKUP(2,1/((Budgets!$A$2:$A$200=AO$1)*(Budgets!$B$2:$B$200&lt;=$A143)),Budgets!$C$2:$C$200),0))</f>
        <v/>
      </c>
      <c r="AP143" s="88">
        <f>IF(OR(AP$1="",$BE143=0),"",IFERROR(LOOKUP(2,1/((Budgets!$A$2:$A$200=AP$1)*(Budgets!$B$2:$B$200&lt;=$A143)),Budgets!$C$2:$C$200),0))</f>
        <v/>
      </c>
      <c r="AQ143" s="88">
        <f>IF(OR(AQ$1="",$BE143=0),"",IFERROR(LOOKUP(2,1/((Budgets!$A$2:$A$200=AQ$1)*(Budgets!$B$2:$B$200&lt;=$A143)),Budgets!$C$2:$C$200),0))</f>
        <v/>
      </c>
      <c r="AR143" s="88">
        <f>IF(OR(AR$1="",$BE143=0),"",IFERROR(LOOKUP(2,1/((Budgets!$A$2:$A$200=AR$1)*(Budgets!$B$2:$B$200&lt;=$A143)),Budgets!$C$2:$C$200),0))</f>
        <v/>
      </c>
      <c r="AS143" s="88">
        <f>IF(OR(AS$1="",$BE143=0),"",IFERROR(LOOKUP(2,1/((Budgets!$A$2:$A$200=AS$1)*(Budgets!$B$2:$B$200&lt;=$A143)),Budgets!$C$2:$C$200),0))</f>
        <v/>
      </c>
      <c r="AT143" s="88">
        <f>IF(OR(AT$1="",$BE143=0),"",IFERROR(LOOKUP(2,1/((Budgets!$A$2:$A$200=AT$1)*(Budgets!$B$2:$B$200&lt;=$A143)),Budgets!$C$2:$C$200),0))</f>
        <v/>
      </c>
      <c r="AU143" s="88">
        <f>IF(OR(AU$1="",$BE143=0),"",IFERROR(LOOKUP(2,1/((Budgets!$A$2:$A$200=AU$1)*(Budgets!$B$2:$B$200&lt;=$A143)),Budgets!$C$2:$C$200),0))</f>
        <v/>
      </c>
      <c r="AV143" s="88">
        <f>IF(OR(AV$1="",$BE143=0),"",IFERROR(LOOKUP(2,1/((Budgets!$A$2:$A$200=AV$1)*(Budgets!$B$2:$B$200&lt;=$A143)),Budgets!$C$2:$C$200),0))</f>
        <v/>
      </c>
      <c r="AW143" s="88">
        <f>IF(OR(AW$1="",$BE143=0),"",IFERROR(LOOKUP(2,1/((Budgets!$A$2:$A$200=AW$1)*(Budgets!$B$2:$B$200&lt;=$A143)),Budgets!$C$2:$C$200),0))</f>
        <v/>
      </c>
      <c r="AX143" s="88">
        <f>IF(OR(AX$1="",$BE143=0),"",IFERROR(LOOKUP(2,1/((Budgets!$A$2:$A$200=AX$1)*(Budgets!$B$2:$B$200&lt;=$A143)),Budgets!$C$2:$C$200),0))</f>
        <v/>
      </c>
      <c r="AY143" s="88">
        <f>IF(OR(AY$1="",$BE143=0),"",IFERROR(LOOKUP(2,1/((Budgets!$A$2:$A$200=AY$1)*(Budgets!$B$2:$B$200&lt;=$A143)),Budgets!$C$2:$C$200),0))</f>
        <v/>
      </c>
      <c r="AZ143" s="88">
        <f>IF(OR(AZ$1="",$BE143=0),"",IFERROR(LOOKUP(2,1/((Budgets!$A$2:$A$200=AZ$1)*(Budgets!$B$2:$B$200&lt;=$A143)),Budgets!$C$2:$C$200),0))</f>
        <v/>
      </c>
      <c r="BA143" s="88">
        <f>IF(OR(BA$1="",$BE143=0),"",IFERROR(LOOKUP(2,1/((Budgets!$A$2:$A$200=BA$1)*(Budgets!$B$2:$B$200&lt;=$A143)),Budgets!$C$2:$C$200),0))</f>
        <v/>
      </c>
      <c r="BB143" s="88">
        <f>IF(OR(BB$1="",$BE143=0),"",IFERROR(LOOKUP(2,1/((Budgets!$A$2:$A$200=BB$1)*(Budgets!$B$2:$B$200&lt;=$A143)),Budgets!$C$2:$C$200),0))</f>
        <v/>
      </c>
      <c r="BC143" s="88">
        <f>IF(OR(BC$1="",$BE143=0),"",IFERROR(LOOKUP(2,1/((Budgets!$A$2:$A$200=BC$1)*(Budgets!$B$2:$B$200&lt;=$A143)),Budgets!$C$2:$C$200),0))</f>
        <v/>
      </c>
      <c r="BE143" s="67">
        <f>COUNTIFS(Entries!$A$2:$A$5000,$A143)</f>
        <v/>
      </c>
    </row>
    <row r="144" ht="15" customHeight="1" s="43">
      <c r="A144" s="87" t="n">
        <v>43770</v>
      </c>
      <c r="B144" s="88">
        <f>IF($BE144=0,NA(),SUMIFS(Entries!$D$2:$D$5000,Entries!$C$2:$C$5000,"Income",Entries!$A$2:$A$5000,$A144))</f>
        <v/>
      </c>
      <c r="C144" s="88">
        <f>IF($BE144=0,"",SUMIFS(Entries!$D$2:$D$5000,Entries!$C$2:$C$5000,"Actual",Entries!$A$2:$A$5000,$A144))</f>
        <v/>
      </c>
      <c r="D144" s="88">
        <f>IF($BE144=0,"",SUMIFS(Entries!$D$2:$D$5000,Entries!$C$2:$C$5000,"One-off",Entries!$A$2:$A$5000,$A144))</f>
        <v/>
      </c>
      <c r="E144" s="88">
        <f>IF($BE144=0,NA(),C144+D144)</f>
        <v/>
      </c>
      <c r="F144" s="88">
        <f>IF($BE144=0,"",SUM(AJ144:BC144))</f>
        <v/>
      </c>
      <c r="G144" s="88">
        <f>IF($BE144=0,"",B144-E144)</f>
        <v/>
      </c>
      <c r="H144" s="88">
        <f>IF($BE144=0,"",SUM($G$2:G144))</f>
        <v/>
      </c>
      <c r="I144" s="88">
        <f>IF($BE144=0,"",SUMIFS(Entries!$F$2:$F$5000,Entries!$A$2:$A$5000,$A144))</f>
        <v/>
      </c>
      <c r="J144" s="88">
        <f>IF($BE144=0,NA(),H144+SUM($I$2:I144))</f>
        <v/>
      </c>
      <c r="K144" s="88">
        <f>IF($BE144=0,"",SUMIFS(Entries!$D$2:$D$5000,Entries!$C$2:$C$5000,"Income",Entries!$A$2:$A$5000,"&gt;="&amp;EDATE($A144,-11),Entries!$A$2:$A$5000,"&lt;="&amp;$A144)/12)</f>
        <v/>
      </c>
      <c r="L144" s="88">
        <f>IF($BE144=0,"",(SUMIFS(Entries!$D$2:$D$5000,Entries!$C$2:$C$5000,"Actual",Entries!$A$2:$A$5000,"&gt;="&amp;EDATE($A144,-11),Entries!$A$2:$A$5000,"&lt;="&amp;$A144)+SUMIFS(Entries!$D$2:$D$5000,Entries!$C$2:$C$5000,"One-off",Entries!$A$2:$A$5000,"&gt;="&amp;EDATE($A144,-11),Entries!$A$2:$A$5000,"&lt;="&amp;$A144))/12)</f>
        <v/>
      </c>
      <c r="M144" s="70">
        <f>IF($BE144=0,NA(),IFERROR((K144-L144)/K144,0))</f>
        <v/>
      </c>
      <c r="O144" s="88">
        <f>IF(OR(O$1="",$BE144=0),"",SUMIFS(Entries!$D$2:$D$5000,Entries!$C$2:$C$5000,"Actual",Entries!$A$2:$A$5000,$A144,Entries!$B$2:$B$5000,O$1))</f>
        <v/>
      </c>
      <c r="P144" s="88">
        <f>IF(OR(P$1="",$BE144=0),"",SUMIFS(Entries!$D$2:$D$5000,Entries!$C$2:$C$5000,"Actual",Entries!$A$2:$A$5000,$A144,Entries!$B$2:$B$5000,P$1))</f>
        <v/>
      </c>
      <c r="Q144" s="88">
        <f>IF(OR(Q$1="",$BE144=0),"",SUMIFS(Entries!$D$2:$D$5000,Entries!$C$2:$C$5000,"Actual",Entries!$A$2:$A$5000,$A144,Entries!$B$2:$B$5000,Q$1))</f>
        <v/>
      </c>
      <c r="R144" s="88">
        <f>IF(OR(R$1="",$BE144=0),"",SUMIFS(Entries!$D$2:$D$5000,Entries!$C$2:$C$5000,"Actual",Entries!$A$2:$A$5000,$A144,Entries!$B$2:$B$5000,R$1))</f>
        <v/>
      </c>
      <c r="S144" s="88">
        <f>IF(OR(S$1="",$BE144=0),"",SUMIFS(Entries!$D$2:$D$5000,Entries!$C$2:$C$5000,"Actual",Entries!$A$2:$A$5000,$A144,Entries!$B$2:$B$5000,S$1))</f>
        <v/>
      </c>
      <c r="T144" s="88">
        <f>IF(OR(T$1="",$BE144=0),"",SUMIFS(Entries!$D$2:$D$5000,Entries!$C$2:$C$5000,"Actual",Entries!$A$2:$A$5000,$A144,Entries!$B$2:$B$5000,T$1))</f>
        <v/>
      </c>
      <c r="U144" s="88">
        <f>IF(OR(U$1="",$BE144=0),"",SUMIFS(Entries!$D$2:$D$5000,Entries!$C$2:$C$5000,"Actual",Entries!$A$2:$A$5000,$A144,Entries!$B$2:$B$5000,U$1))</f>
        <v/>
      </c>
      <c r="V144" s="88">
        <f>IF(OR(V$1="",$BE144=0),"",SUMIFS(Entries!$D$2:$D$5000,Entries!$C$2:$C$5000,"Actual",Entries!$A$2:$A$5000,$A144,Entries!$B$2:$B$5000,V$1))</f>
        <v/>
      </c>
      <c r="W144" s="88">
        <f>IF(OR(W$1="",$BE144=0),"",SUMIFS(Entries!$D$2:$D$5000,Entries!$C$2:$C$5000,"Actual",Entries!$A$2:$A$5000,$A144,Entries!$B$2:$B$5000,W$1))</f>
        <v/>
      </c>
      <c r="X144" s="88">
        <f>IF(OR(X$1="",$BE144=0),"",SUMIFS(Entries!$D$2:$D$5000,Entries!$C$2:$C$5000,"Actual",Entries!$A$2:$A$5000,$A144,Entries!$B$2:$B$5000,X$1))</f>
        <v/>
      </c>
      <c r="Y144" s="88">
        <f>IF(OR(Y$1="",$BE144=0),"",SUMIFS(Entries!$D$2:$D$5000,Entries!$C$2:$C$5000,"Actual",Entries!$A$2:$A$5000,$A144,Entries!$B$2:$B$5000,Y$1))</f>
        <v/>
      </c>
      <c r="Z144" s="88">
        <f>IF(OR(Z$1="",$BE144=0),"",SUMIFS(Entries!$D$2:$D$5000,Entries!$C$2:$C$5000,"Actual",Entries!$A$2:$A$5000,$A144,Entries!$B$2:$B$5000,Z$1))</f>
        <v/>
      </c>
      <c r="AA144" s="88">
        <f>IF(OR(AA$1="",$BE144=0),"",SUMIFS(Entries!$D$2:$D$5000,Entries!$C$2:$C$5000,"Actual",Entries!$A$2:$A$5000,$A144,Entries!$B$2:$B$5000,AA$1))</f>
        <v/>
      </c>
      <c r="AB144" s="88">
        <f>IF(OR(AB$1="",$BE144=0),"",SUMIFS(Entries!$D$2:$D$5000,Entries!$C$2:$C$5000,"Actual",Entries!$A$2:$A$5000,$A144,Entries!$B$2:$B$5000,AB$1))</f>
        <v/>
      </c>
      <c r="AC144" s="88">
        <f>IF(OR(AC$1="",$BE144=0),"",SUMIFS(Entries!$D$2:$D$5000,Entries!$C$2:$C$5000,"Actual",Entries!$A$2:$A$5000,$A144,Entries!$B$2:$B$5000,AC$1))</f>
        <v/>
      </c>
      <c r="AD144" s="88">
        <f>IF(OR(AD$1="",$BE144=0),"",SUMIFS(Entries!$D$2:$D$5000,Entries!$C$2:$C$5000,"Actual",Entries!$A$2:$A$5000,$A144,Entries!$B$2:$B$5000,AD$1))</f>
        <v/>
      </c>
      <c r="AE144" s="88">
        <f>IF(OR(AE$1="",$BE144=0),"",SUMIFS(Entries!$D$2:$D$5000,Entries!$C$2:$C$5000,"Actual",Entries!$A$2:$A$5000,$A144,Entries!$B$2:$B$5000,AE$1))</f>
        <v/>
      </c>
      <c r="AF144" s="88">
        <f>IF(OR(AF$1="",$BE144=0),"",SUMIFS(Entries!$D$2:$D$5000,Entries!$C$2:$C$5000,"Actual",Entries!$A$2:$A$5000,$A144,Entries!$B$2:$B$5000,AF$1))</f>
        <v/>
      </c>
      <c r="AG144" s="88">
        <f>IF(OR(AG$1="",$BE144=0),"",SUMIFS(Entries!$D$2:$D$5000,Entries!$C$2:$C$5000,"Actual",Entries!$A$2:$A$5000,$A144,Entries!$B$2:$B$5000,AG$1))</f>
        <v/>
      </c>
      <c r="AH144" s="88">
        <f>IF(OR(AH$1="",$BE144=0),"",SUMIFS(Entries!$D$2:$D$5000,Entries!$C$2:$C$5000,"Actual",Entries!$A$2:$A$5000,$A144,Entries!$B$2:$B$5000,AH$1))</f>
        <v/>
      </c>
      <c r="AJ144" s="88">
        <f>IF(OR(AJ$1="",$BE144=0),"",IFERROR(LOOKUP(2,1/((Budgets!$A$2:$A$200=AJ$1)*(Budgets!$B$2:$B$200&lt;=$A144)),Budgets!$C$2:$C$200),0))</f>
        <v/>
      </c>
      <c r="AK144" s="88">
        <f>IF(OR(AK$1="",$BE144=0),"",IFERROR(LOOKUP(2,1/((Budgets!$A$2:$A$200=AK$1)*(Budgets!$B$2:$B$200&lt;=$A144)),Budgets!$C$2:$C$200),0))</f>
        <v/>
      </c>
      <c r="AL144" s="88">
        <f>IF(OR(AL$1="",$BE144=0),"",IFERROR(LOOKUP(2,1/((Budgets!$A$2:$A$200=AL$1)*(Budgets!$B$2:$B$200&lt;=$A144)),Budgets!$C$2:$C$200),0))</f>
        <v/>
      </c>
      <c r="AM144" s="88">
        <f>IF(OR(AM$1="",$BE144=0),"",IFERROR(LOOKUP(2,1/((Budgets!$A$2:$A$200=AM$1)*(Budgets!$B$2:$B$200&lt;=$A144)),Budgets!$C$2:$C$200),0))</f>
        <v/>
      </c>
      <c r="AN144" s="88">
        <f>IF(OR(AN$1="",$BE144=0),"",IFERROR(LOOKUP(2,1/((Budgets!$A$2:$A$200=AN$1)*(Budgets!$B$2:$B$200&lt;=$A144)),Budgets!$C$2:$C$200),0))</f>
        <v/>
      </c>
      <c r="AO144" s="88">
        <f>IF(OR(AO$1="",$BE144=0),"",IFERROR(LOOKUP(2,1/((Budgets!$A$2:$A$200=AO$1)*(Budgets!$B$2:$B$200&lt;=$A144)),Budgets!$C$2:$C$200),0))</f>
        <v/>
      </c>
      <c r="AP144" s="88">
        <f>IF(OR(AP$1="",$BE144=0),"",IFERROR(LOOKUP(2,1/((Budgets!$A$2:$A$200=AP$1)*(Budgets!$B$2:$B$200&lt;=$A144)),Budgets!$C$2:$C$200),0))</f>
        <v/>
      </c>
      <c r="AQ144" s="88">
        <f>IF(OR(AQ$1="",$BE144=0),"",IFERROR(LOOKUP(2,1/((Budgets!$A$2:$A$200=AQ$1)*(Budgets!$B$2:$B$200&lt;=$A144)),Budgets!$C$2:$C$200),0))</f>
        <v/>
      </c>
      <c r="AR144" s="88">
        <f>IF(OR(AR$1="",$BE144=0),"",IFERROR(LOOKUP(2,1/((Budgets!$A$2:$A$200=AR$1)*(Budgets!$B$2:$B$200&lt;=$A144)),Budgets!$C$2:$C$200),0))</f>
        <v/>
      </c>
      <c r="AS144" s="88">
        <f>IF(OR(AS$1="",$BE144=0),"",IFERROR(LOOKUP(2,1/((Budgets!$A$2:$A$200=AS$1)*(Budgets!$B$2:$B$200&lt;=$A144)),Budgets!$C$2:$C$200),0))</f>
        <v/>
      </c>
      <c r="AT144" s="88">
        <f>IF(OR(AT$1="",$BE144=0),"",IFERROR(LOOKUP(2,1/((Budgets!$A$2:$A$200=AT$1)*(Budgets!$B$2:$B$200&lt;=$A144)),Budgets!$C$2:$C$200),0))</f>
        <v/>
      </c>
      <c r="AU144" s="88">
        <f>IF(OR(AU$1="",$BE144=0),"",IFERROR(LOOKUP(2,1/((Budgets!$A$2:$A$200=AU$1)*(Budgets!$B$2:$B$200&lt;=$A144)),Budgets!$C$2:$C$200),0))</f>
        <v/>
      </c>
      <c r="AV144" s="88">
        <f>IF(OR(AV$1="",$BE144=0),"",IFERROR(LOOKUP(2,1/((Budgets!$A$2:$A$200=AV$1)*(Budgets!$B$2:$B$200&lt;=$A144)),Budgets!$C$2:$C$200),0))</f>
        <v/>
      </c>
      <c r="AW144" s="88">
        <f>IF(OR(AW$1="",$BE144=0),"",IFERROR(LOOKUP(2,1/((Budgets!$A$2:$A$200=AW$1)*(Budgets!$B$2:$B$200&lt;=$A144)),Budgets!$C$2:$C$200),0))</f>
        <v/>
      </c>
      <c r="AX144" s="88">
        <f>IF(OR(AX$1="",$BE144=0),"",IFERROR(LOOKUP(2,1/((Budgets!$A$2:$A$200=AX$1)*(Budgets!$B$2:$B$200&lt;=$A144)),Budgets!$C$2:$C$200),0))</f>
        <v/>
      </c>
      <c r="AY144" s="88">
        <f>IF(OR(AY$1="",$BE144=0),"",IFERROR(LOOKUP(2,1/((Budgets!$A$2:$A$200=AY$1)*(Budgets!$B$2:$B$200&lt;=$A144)),Budgets!$C$2:$C$200),0))</f>
        <v/>
      </c>
      <c r="AZ144" s="88">
        <f>IF(OR(AZ$1="",$BE144=0),"",IFERROR(LOOKUP(2,1/((Budgets!$A$2:$A$200=AZ$1)*(Budgets!$B$2:$B$200&lt;=$A144)),Budgets!$C$2:$C$200),0))</f>
        <v/>
      </c>
      <c r="BA144" s="88">
        <f>IF(OR(BA$1="",$BE144=0),"",IFERROR(LOOKUP(2,1/((Budgets!$A$2:$A$200=BA$1)*(Budgets!$B$2:$B$200&lt;=$A144)),Budgets!$C$2:$C$200),0))</f>
        <v/>
      </c>
      <c r="BB144" s="88">
        <f>IF(OR(BB$1="",$BE144=0),"",IFERROR(LOOKUP(2,1/((Budgets!$A$2:$A$200=BB$1)*(Budgets!$B$2:$B$200&lt;=$A144)),Budgets!$C$2:$C$200),0))</f>
        <v/>
      </c>
      <c r="BC144" s="88">
        <f>IF(OR(BC$1="",$BE144=0),"",IFERROR(LOOKUP(2,1/((Budgets!$A$2:$A$200=BC$1)*(Budgets!$B$2:$B$200&lt;=$A144)),Budgets!$C$2:$C$200),0))</f>
        <v/>
      </c>
      <c r="BE144" s="67">
        <f>COUNTIFS(Entries!$A$2:$A$5000,$A144)</f>
        <v/>
      </c>
    </row>
    <row r="145" ht="15" customHeight="1" s="43">
      <c r="A145" s="87" t="n">
        <v>43800</v>
      </c>
      <c r="B145" s="88">
        <f>IF($BE145=0,NA(),SUMIFS(Entries!$D$2:$D$5000,Entries!$C$2:$C$5000,"Income",Entries!$A$2:$A$5000,$A145))</f>
        <v/>
      </c>
      <c r="C145" s="88">
        <f>IF($BE145=0,"",SUMIFS(Entries!$D$2:$D$5000,Entries!$C$2:$C$5000,"Actual",Entries!$A$2:$A$5000,$A145))</f>
        <v/>
      </c>
      <c r="D145" s="88">
        <f>IF($BE145=0,"",SUMIFS(Entries!$D$2:$D$5000,Entries!$C$2:$C$5000,"One-off",Entries!$A$2:$A$5000,$A145))</f>
        <v/>
      </c>
      <c r="E145" s="88">
        <f>IF($BE145=0,NA(),C145+D145)</f>
        <v/>
      </c>
      <c r="F145" s="88">
        <f>IF($BE145=0,"",SUM(AJ145:BC145))</f>
        <v/>
      </c>
      <c r="G145" s="88">
        <f>IF($BE145=0,"",B145-E145)</f>
        <v/>
      </c>
      <c r="H145" s="88">
        <f>IF($BE145=0,"",SUM($G$2:G145))</f>
        <v/>
      </c>
      <c r="I145" s="88">
        <f>IF($BE145=0,"",SUMIFS(Entries!$F$2:$F$5000,Entries!$A$2:$A$5000,$A145))</f>
        <v/>
      </c>
      <c r="J145" s="88">
        <f>IF($BE145=0,NA(),H145+SUM($I$2:I145))</f>
        <v/>
      </c>
      <c r="K145" s="88">
        <f>IF($BE145=0,"",SUMIFS(Entries!$D$2:$D$5000,Entries!$C$2:$C$5000,"Income",Entries!$A$2:$A$5000,"&gt;="&amp;EDATE($A145,-11),Entries!$A$2:$A$5000,"&lt;="&amp;$A145)/12)</f>
        <v/>
      </c>
      <c r="L145" s="88">
        <f>IF($BE145=0,"",(SUMIFS(Entries!$D$2:$D$5000,Entries!$C$2:$C$5000,"Actual",Entries!$A$2:$A$5000,"&gt;="&amp;EDATE($A145,-11),Entries!$A$2:$A$5000,"&lt;="&amp;$A145)+SUMIFS(Entries!$D$2:$D$5000,Entries!$C$2:$C$5000,"One-off",Entries!$A$2:$A$5000,"&gt;="&amp;EDATE($A145,-11),Entries!$A$2:$A$5000,"&lt;="&amp;$A145))/12)</f>
        <v/>
      </c>
      <c r="M145" s="70">
        <f>IF($BE145=0,NA(),IFERROR((K145-L145)/K145,0))</f>
        <v/>
      </c>
      <c r="O145" s="88">
        <f>IF(OR(O$1="",$BE145=0),"",SUMIFS(Entries!$D$2:$D$5000,Entries!$C$2:$C$5000,"Actual",Entries!$A$2:$A$5000,$A145,Entries!$B$2:$B$5000,O$1))</f>
        <v/>
      </c>
      <c r="P145" s="88">
        <f>IF(OR(P$1="",$BE145=0),"",SUMIFS(Entries!$D$2:$D$5000,Entries!$C$2:$C$5000,"Actual",Entries!$A$2:$A$5000,$A145,Entries!$B$2:$B$5000,P$1))</f>
        <v/>
      </c>
      <c r="Q145" s="88">
        <f>IF(OR(Q$1="",$BE145=0),"",SUMIFS(Entries!$D$2:$D$5000,Entries!$C$2:$C$5000,"Actual",Entries!$A$2:$A$5000,$A145,Entries!$B$2:$B$5000,Q$1))</f>
        <v/>
      </c>
      <c r="R145" s="88">
        <f>IF(OR(R$1="",$BE145=0),"",SUMIFS(Entries!$D$2:$D$5000,Entries!$C$2:$C$5000,"Actual",Entries!$A$2:$A$5000,$A145,Entries!$B$2:$B$5000,R$1))</f>
        <v/>
      </c>
      <c r="S145" s="88">
        <f>IF(OR(S$1="",$BE145=0),"",SUMIFS(Entries!$D$2:$D$5000,Entries!$C$2:$C$5000,"Actual",Entries!$A$2:$A$5000,$A145,Entries!$B$2:$B$5000,S$1))</f>
        <v/>
      </c>
      <c r="T145" s="88">
        <f>IF(OR(T$1="",$BE145=0),"",SUMIFS(Entries!$D$2:$D$5000,Entries!$C$2:$C$5000,"Actual",Entries!$A$2:$A$5000,$A145,Entries!$B$2:$B$5000,T$1))</f>
        <v/>
      </c>
      <c r="U145" s="88">
        <f>IF(OR(U$1="",$BE145=0),"",SUMIFS(Entries!$D$2:$D$5000,Entries!$C$2:$C$5000,"Actual",Entries!$A$2:$A$5000,$A145,Entries!$B$2:$B$5000,U$1))</f>
        <v/>
      </c>
      <c r="V145" s="88">
        <f>IF(OR(V$1="",$BE145=0),"",SUMIFS(Entries!$D$2:$D$5000,Entries!$C$2:$C$5000,"Actual",Entries!$A$2:$A$5000,$A145,Entries!$B$2:$B$5000,V$1))</f>
        <v/>
      </c>
      <c r="W145" s="88">
        <f>IF(OR(W$1="",$BE145=0),"",SUMIFS(Entries!$D$2:$D$5000,Entries!$C$2:$C$5000,"Actual",Entries!$A$2:$A$5000,$A145,Entries!$B$2:$B$5000,W$1))</f>
        <v/>
      </c>
      <c r="X145" s="88">
        <f>IF(OR(X$1="",$BE145=0),"",SUMIFS(Entries!$D$2:$D$5000,Entries!$C$2:$C$5000,"Actual",Entries!$A$2:$A$5000,$A145,Entries!$B$2:$B$5000,X$1))</f>
        <v/>
      </c>
      <c r="Y145" s="88">
        <f>IF(OR(Y$1="",$BE145=0),"",SUMIFS(Entries!$D$2:$D$5000,Entries!$C$2:$C$5000,"Actual",Entries!$A$2:$A$5000,$A145,Entries!$B$2:$B$5000,Y$1))</f>
        <v/>
      </c>
      <c r="Z145" s="88">
        <f>IF(OR(Z$1="",$BE145=0),"",SUMIFS(Entries!$D$2:$D$5000,Entries!$C$2:$C$5000,"Actual",Entries!$A$2:$A$5000,$A145,Entries!$B$2:$B$5000,Z$1))</f>
        <v/>
      </c>
      <c r="AA145" s="88">
        <f>IF(OR(AA$1="",$BE145=0),"",SUMIFS(Entries!$D$2:$D$5000,Entries!$C$2:$C$5000,"Actual",Entries!$A$2:$A$5000,$A145,Entries!$B$2:$B$5000,AA$1))</f>
        <v/>
      </c>
      <c r="AB145" s="88">
        <f>IF(OR(AB$1="",$BE145=0),"",SUMIFS(Entries!$D$2:$D$5000,Entries!$C$2:$C$5000,"Actual",Entries!$A$2:$A$5000,$A145,Entries!$B$2:$B$5000,AB$1))</f>
        <v/>
      </c>
      <c r="AC145" s="88">
        <f>IF(OR(AC$1="",$BE145=0),"",SUMIFS(Entries!$D$2:$D$5000,Entries!$C$2:$C$5000,"Actual",Entries!$A$2:$A$5000,$A145,Entries!$B$2:$B$5000,AC$1))</f>
        <v/>
      </c>
      <c r="AD145" s="88">
        <f>IF(OR(AD$1="",$BE145=0),"",SUMIFS(Entries!$D$2:$D$5000,Entries!$C$2:$C$5000,"Actual",Entries!$A$2:$A$5000,$A145,Entries!$B$2:$B$5000,AD$1))</f>
        <v/>
      </c>
      <c r="AE145" s="88">
        <f>IF(OR(AE$1="",$BE145=0),"",SUMIFS(Entries!$D$2:$D$5000,Entries!$C$2:$C$5000,"Actual",Entries!$A$2:$A$5000,$A145,Entries!$B$2:$B$5000,AE$1))</f>
        <v/>
      </c>
      <c r="AF145" s="88">
        <f>IF(OR(AF$1="",$BE145=0),"",SUMIFS(Entries!$D$2:$D$5000,Entries!$C$2:$C$5000,"Actual",Entries!$A$2:$A$5000,$A145,Entries!$B$2:$B$5000,AF$1))</f>
        <v/>
      </c>
      <c r="AG145" s="88">
        <f>IF(OR(AG$1="",$BE145=0),"",SUMIFS(Entries!$D$2:$D$5000,Entries!$C$2:$C$5000,"Actual",Entries!$A$2:$A$5000,$A145,Entries!$B$2:$B$5000,AG$1))</f>
        <v/>
      </c>
      <c r="AH145" s="88">
        <f>IF(OR(AH$1="",$BE145=0),"",SUMIFS(Entries!$D$2:$D$5000,Entries!$C$2:$C$5000,"Actual",Entries!$A$2:$A$5000,$A145,Entries!$B$2:$B$5000,AH$1))</f>
        <v/>
      </c>
      <c r="AJ145" s="88">
        <f>IF(OR(AJ$1="",$BE145=0),"",IFERROR(LOOKUP(2,1/((Budgets!$A$2:$A$200=AJ$1)*(Budgets!$B$2:$B$200&lt;=$A145)),Budgets!$C$2:$C$200),0))</f>
        <v/>
      </c>
      <c r="AK145" s="88">
        <f>IF(OR(AK$1="",$BE145=0),"",IFERROR(LOOKUP(2,1/((Budgets!$A$2:$A$200=AK$1)*(Budgets!$B$2:$B$200&lt;=$A145)),Budgets!$C$2:$C$200),0))</f>
        <v/>
      </c>
      <c r="AL145" s="88">
        <f>IF(OR(AL$1="",$BE145=0),"",IFERROR(LOOKUP(2,1/((Budgets!$A$2:$A$200=AL$1)*(Budgets!$B$2:$B$200&lt;=$A145)),Budgets!$C$2:$C$200),0))</f>
        <v/>
      </c>
      <c r="AM145" s="88">
        <f>IF(OR(AM$1="",$BE145=0),"",IFERROR(LOOKUP(2,1/((Budgets!$A$2:$A$200=AM$1)*(Budgets!$B$2:$B$200&lt;=$A145)),Budgets!$C$2:$C$200),0))</f>
        <v/>
      </c>
      <c r="AN145" s="88">
        <f>IF(OR(AN$1="",$BE145=0),"",IFERROR(LOOKUP(2,1/((Budgets!$A$2:$A$200=AN$1)*(Budgets!$B$2:$B$200&lt;=$A145)),Budgets!$C$2:$C$200),0))</f>
        <v/>
      </c>
      <c r="AO145" s="88">
        <f>IF(OR(AO$1="",$BE145=0),"",IFERROR(LOOKUP(2,1/((Budgets!$A$2:$A$200=AO$1)*(Budgets!$B$2:$B$200&lt;=$A145)),Budgets!$C$2:$C$200),0))</f>
        <v/>
      </c>
      <c r="AP145" s="88">
        <f>IF(OR(AP$1="",$BE145=0),"",IFERROR(LOOKUP(2,1/((Budgets!$A$2:$A$200=AP$1)*(Budgets!$B$2:$B$200&lt;=$A145)),Budgets!$C$2:$C$200),0))</f>
        <v/>
      </c>
      <c r="AQ145" s="88">
        <f>IF(OR(AQ$1="",$BE145=0),"",IFERROR(LOOKUP(2,1/((Budgets!$A$2:$A$200=AQ$1)*(Budgets!$B$2:$B$200&lt;=$A145)),Budgets!$C$2:$C$200),0))</f>
        <v/>
      </c>
      <c r="AR145" s="88">
        <f>IF(OR(AR$1="",$BE145=0),"",IFERROR(LOOKUP(2,1/((Budgets!$A$2:$A$200=AR$1)*(Budgets!$B$2:$B$200&lt;=$A145)),Budgets!$C$2:$C$200),0))</f>
        <v/>
      </c>
      <c r="AS145" s="88">
        <f>IF(OR(AS$1="",$BE145=0),"",IFERROR(LOOKUP(2,1/((Budgets!$A$2:$A$200=AS$1)*(Budgets!$B$2:$B$200&lt;=$A145)),Budgets!$C$2:$C$200),0))</f>
        <v/>
      </c>
      <c r="AT145" s="88">
        <f>IF(OR(AT$1="",$BE145=0),"",IFERROR(LOOKUP(2,1/((Budgets!$A$2:$A$200=AT$1)*(Budgets!$B$2:$B$200&lt;=$A145)),Budgets!$C$2:$C$200),0))</f>
        <v/>
      </c>
      <c r="AU145" s="88">
        <f>IF(OR(AU$1="",$BE145=0),"",IFERROR(LOOKUP(2,1/((Budgets!$A$2:$A$200=AU$1)*(Budgets!$B$2:$B$200&lt;=$A145)),Budgets!$C$2:$C$200),0))</f>
        <v/>
      </c>
      <c r="AV145" s="88">
        <f>IF(OR(AV$1="",$BE145=0),"",IFERROR(LOOKUP(2,1/((Budgets!$A$2:$A$200=AV$1)*(Budgets!$B$2:$B$200&lt;=$A145)),Budgets!$C$2:$C$200),0))</f>
        <v/>
      </c>
      <c r="AW145" s="88">
        <f>IF(OR(AW$1="",$BE145=0),"",IFERROR(LOOKUP(2,1/((Budgets!$A$2:$A$200=AW$1)*(Budgets!$B$2:$B$200&lt;=$A145)),Budgets!$C$2:$C$200),0))</f>
        <v/>
      </c>
      <c r="AX145" s="88">
        <f>IF(OR(AX$1="",$BE145=0),"",IFERROR(LOOKUP(2,1/((Budgets!$A$2:$A$200=AX$1)*(Budgets!$B$2:$B$200&lt;=$A145)),Budgets!$C$2:$C$200),0))</f>
        <v/>
      </c>
      <c r="AY145" s="88">
        <f>IF(OR(AY$1="",$BE145=0),"",IFERROR(LOOKUP(2,1/((Budgets!$A$2:$A$200=AY$1)*(Budgets!$B$2:$B$200&lt;=$A145)),Budgets!$C$2:$C$200),0))</f>
        <v/>
      </c>
      <c r="AZ145" s="88">
        <f>IF(OR(AZ$1="",$BE145=0),"",IFERROR(LOOKUP(2,1/((Budgets!$A$2:$A$200=AZ$1)*(Budgets!$B$2:$B$200&lt;=$A145)),Budgets!$C$2:$C$200),0))</f>
        <v/>
      </c>
      <c r="BA145" s="88">
        <f>IF(OR(BA$1="",$BE145=0),"",IFERROR(LOOKUP(2,1/((Budgets!$A$2:$A$200=BA$1)*(Budgets!$B$2:$B$200&lt;=$A145)),Budgets!$C$2:$C$200),0))</f>
        <v/>
      </c>
      <c r="BB145" s="88">
        <f>IF(OR(BB$1="",$BE145=0),"",IFERROR(LOOKUP(2,1/((Budgets!$A$2:$A$200=BB$1)*(Budgets!$B$2:$B$200&lt;=$A145)),Budgets!$C$2:$C$200),0))</f>
        <v/>
      </c>
      <c r="BC145" s="88">
        <f>IF(OR(BC$1="",$BE145=0),"",IFERROR(LOOKUP(2,1/((Budgets!$A$2:$A$200=BC$1)*(Budgets!$B$2:$B$200&lt;=$A145)),Budgets!$C$2:$C$200),0))</f>
        <v/>
      </c>
      <c r="BE145" s="67">
        <f>COUNTIFS(Entries!$A$2:$A$5000,$A145)</f>
        <v/>
      </c>
    </row>
    <row r="146" ht="15" customHeight="1" s="43">
      <c r="A146" s="87" t="n">
        <v>43831</v>
      </c>
      <c r="B146" s="88">
        <f>IF($BE146=0,NA(),SUMIFS(Entries!$D$2:$D$5000,Entries!$C$2:$C$5000,"Income",Entries!$A$2:$A$5000,$A146))</f>
        <v/>
      </c>
      <c r="C146" s="88">
        <f>IF($BE146=0,"",SUMIFS(Entries!$D$2:$D$5000,Entries!$C$2:$C$5000,"Actual",Entries!$A$2:$A$5000,$A146))</f>
        <v/>
      </c>
      <c r="D146" s="88">
        <f>IF($BE146=0,"",SUMIFS(Entries!$D$2:$D$5000,Entries!$C$2:$C$5000,"One-off",Entries!$A$2:$A$5000,$A146))</f>
        <v/>
      </c>
      <c r="E146" s="88">
        <f>IF($BE146=0,NA(),C146+D146)</f>
        <v/>
      </c>
      <c r="F146" s="88">
        <f>IF($BE146=0,"",SUM(AJ146:BC146))</f>
        <v/>
      </c>
      <c r="G146" s="88">
        <f>IF($BE146=0,"",B146-E146)</f>
        <v/>
      </c>
      <c r="H146" s="88">
        <f>IF($BE146=0,"",SUM($G$2:G146))</f>
        <v/>
      </c>
      <c r="I146" s="88">
        <f>IF($BE146=0,"",SUMIFS(Entries!$F$2:$F$5000,Entries!$A$2:$A$5000,$A146))</f>
        <v/>
      </c>
      <c r="J146" s="88">
        <f>IF($BE146=0,NA(),H146+SUM($I$2:I146))</f>
        <v/>
      </c>
      <c r="K146" s="88">
        <f>IF($BE146=0,"",SUMIFS(Entries!$D$2:$D$5000,Entries!$C$2:$C$5000,"Income",Entries!$A$2:$A$5000,"&gt;="&amp;EDATE($A146,-11),Entries!$A$2:$A$5000,"&lt;="&amp;$A146)/12)</f>
        <v/>
      </c>
      <c r="L146" s="88">
        <f>IF($BE146=0,"",(SUMIFS(Entries!$D$2:$D$5000,Entries!$C$2:$C$5000,"Actual",Entries!$A$2:$A$5000,"&gt;="&amp;EDATE($A146,-11),Entries!$A$2:$A$5000,"&lt;="&amp;$A146)+SUMIFS(Entries!$D$2:$D$5000,Entries!$C$2:$C$5000,"One-off",Entries!$A$2:$A$5000,"&gt;="&amp;EDATE($A146,-11),Entries!$A$2:$A$5000,"&lt;="&amp;$A146))/12)</f>
        <v/>
      </c>
      <c r="M146" s="70">
        <f>IF($BE146=0,NA(),IFERROR((K146-L146)/K146,0))</f>
        <v/>
      </c>
      <c r="O146" s="88">
        <f>IF(OR(O$1="",$BE146=0),"",SUMIFS(Entries!$D$2:$D$5000,Entries!$C$2:$C$5000,"Actual",Entries!$A$2:$A$5000,$A146,Entries!$B$2:$B$5000,O$1))</f>
        <v/>
      </c>
      <c r="P146" s="88">
        <f>IF(OR(P$1="",$BE146=0),"",SUMIFS(Entries!$D$2:$D$5000,Entries!$C$2:$C$5000,"Actual",Entries!$A$2:$A$5000,$A146,Entries!$B$2:$B$5000,P$1))</f>
        <v/>
      </c>
      <c r="Q146" s="88">
        <f>IF(OR(Q$1="",$BE146=0),"",SUMIFS(Entries!$D$2:$D$5000,Entries!$C$2:$C$5000,"Actual",Entries!$A$2:$A$5000,$A146,Entries!$B$2:$B$5000,Q$1))</f>
        <v/>
      </c>
      <c r="R146" s="88">
        <f>IF(OR(R$1="",$BE146=0),"",SUMIFS(Entries!$D$2:$D$5000,Entries!$C$2:$C$5000,"Actual",Entries!$A$2:$A$5000,$A146,Entries!$B$2:$B$5000,R$1))</f>
        <v/>
      </c>
      <c r="S146" s="88">
        <f>IF(OR(S$1="",$BE146=0),"",SUMIFS(Entries!$D$2:$D$5000,Entries!$C$2:$C$5000,"Actual",Entries!$A$2:$A$5000,$A146,Entries!$B$2:$B$5000,S$1))</f>
        <v/>
      </c>
      <c r="T146" s="88">
        <f>IF(OR(T$1="",$BE146=0),"",SUMIFS(Entries!$D$2:$D$5000,Entries!$C$2:$C$5000,"Actual",Entries!$A$2:$A$5000,$A146,Entries!$B$2:$B$5000,T$1))</f>
        <v/>
      </c>
      <c r="U146" s="88">
        <f>IF(OR(U$1="",$BE146=0),"",SUMIFS(Entries!$D$2:$D$5000,Entries!$C$2:$C$5000,"Actual",Entries!$A$2:$A$5000,$A146,Entries!$B$2:$B$5000,U$1))</f>
        <v/>
      </c>
      <c r="V146" s="88">
        <f>IF(OR(V$1="",$BE146=0),"",SUMIFS(Entries!$D$2:$D$5000,Entries!$C$2:$C$5000,"Actual",Entries!$A$2:$A$5000,$A146,Entries!$B$2:$B$5000,V$1))</f>
        <v/>
      </c>
      <c r="W146" s="88">
        <f>IF(OR(W$1="",$BE146=0),"",SUMIFS(Entries!$D$2:$D$5000,Entries!$C$2:$C$5000,"Actual",Entries!$A$2:$A$5000,$A146,Entries!$B$2:$B$5000,W$1))</f>
        <v/>
      </c>
      <c r="X146" s="88">
        <f>IF(OR(X$1="",$BE146=0),"",SUMIFS(Entries!$D$2:$D$5000,Entries!$C$2:$C$5000,"Actual",Entries!$A$2:$A$5000,$A146,Entries!$B$2:$B$5000,X$1))</f>
        <v/>
      </c>
      <c r="Y146" s="88">
        <f>IF(OR(Y$1="",$BE146=0),"",SUMIFS(Entries!$D$2:$D$5000,Entries!$C$2:$C$5000,"Actual",Entries!$A$2:$A$5000,$A146,Entries!$B$2:$B$5000,Y$1))</f>
        <v/>
      </c>
      <c r="Z146" s="88">
        <f>IF(OR(Z$1="",$BE146=0),"",SUMIFS(Entries!$D$2:$D$5000,Entries!$C$2:$C$5000,"Actual",Entries!$A$2:$A$5000,$A146,Entries!$B$2:$B$5000,Z$1))</f>
        <v/>
      </c>
      <c r="AA146" s="88">
        <f>IF(OR(AA$1="",$BE146=0),"",SUMIFS(Entries!$D$2:$D$5000,Entries!$C$2:$C$5000,"Actual",Entries!$A$2:$A$5000,$A146,Entries!$B$2:$B$5000,AA$1))</f>
        <v/>
      </c>
      <c r="AB146" s="88">
        <f>IF(OR(AB$1="",$BE146=0),"",SUMIFS(Entries!$D$2:$D$5000,Entries!$C$2:$C$5000,"Actual",Entries!$A$2:$A$5000,$A146,Entries!$B$2:$B$5000,AB$1))</f>
        <v/>
      </c>
      <c r="AC146" s="88">
        <f>IF(OR(AC$1="",$BE146=0),"",SUMIFS(Entries!$D$2:$D$5000,Entries!$C$2:$C$5000,"Actual",Entries!$A$2:$A$5000,$A146,Entries!$B$2:$B$5000,AC$1))</f>
        <v/>
      </c>
      <c r="AD146" s="88">
        <f>IF(OR(AD$1="",$BE146=0),"",SUMIFS(Entries!$D$2:$D$5000,Entries!$C$2:$C$5000,"Actual",Entries!$A$2:$A$5000,$A146,Entries!$B$2:$B$5000,AD$1))</f>
        <v/>
      </c>
      <c r="AE146" s="88">
        <f>IF(OR(AE$1="",$BE146=0),"",SUMIFS(Entries!$D$2:$D$5000,Entries!$C$2:$C$5000,"Actual",Entries!$A$2:$A$5000,$A146,Entries!$B$2:$B$5000,AE$1))</f>
        <v/>
      </c>
      <c r="AF146" s="88">
        <f>IF(OR(AF$1="",$BE146=0),"",SUMIFS(Entries!$D$2:$D$5000,Entries!$C$2:$C$5000,"Actual",Entries!$A$2:$A$5000,$A146,Entries!$B$2:$B$5000,AF$1))</f>
        <v/>
      </c>
      <c r="AG146" s="88">
        <f>IF(OR(AG$1="",$BE146=0),"",SUMIFS(Entries!$D$2:$D$5000,Entries!$C$2:$C$5000,"Actual",Entries!$A$2:$A$5000,$A146,Entries!$B$2:$B$5000,AG$1))</f>
        <v/>
      </c>
      <c r="AH146" s="88">
        <f>IF(OR(AH$1="",$BE146=0),"",SUMIFS(Entries!$D$2:$D$5000,Entries!$C$2:$C$5000,"Actual",Entries!$A$2:$A$5000,$A146,Entries!$B$2:$B$5000,AH$1))</f>
        <v/>
      </c>
      <c r="AJ146" s="88">
        <f>IF(OR(AJ$1="",$BE146=0),"",IFERROR(LOOKUP(2,1/((Budgets!$A$2:$A$200=AJ$1)*(Budgets!$B$2:$B$200&lt;=$A146)),Budgets!$C$2:$C$200),0))</f>
        <v/>
      </c>
      <c r="AK146" s="88">
        <f>IF(OR(AK$1="",$BE146=0),"",IFERROR(LOOKUP(2,1/((Budgets!$A$2:$A$200=AK$1)*(Budgets!$B$2:$B$200&lt;=$A146)),Budgets!$C$2:$C$200),0))</f>
        <v/>
      </c>
      <c r="AL146" s="88">
        <f>IF(OR(AL$1="",$BE146=0),"",IFERROR(LOOKUP(2,1/((Budgets!$A$2:$A$200=AL$1)*(Budgets!$B$2:$B$200&lt;=$A146)),Budgets!$C$2:$C$200),0))</f>
        <v/>
      </c>
      <c r="AM146" s="88">
        <f>IF(OR(AM$1="",$BE146=0),"",IFERROR(LOOKUP(2,1/((Budgets!$A$2:$A$200=AM$1)*(Budgets!$B$2:$B$200&lt;=$A146)),Budgets!$C$2:$C$200),0))</f>
        <v/>
      </c>
      <c r="AN146" s="88">
        <f>IF(OR(AN$1="",$BE146=0),"",IFERROR(LOOKUP(2,1/((Budgets!$A$2:$A$200=AN$1)*(Budgets!$B$2:$B$200&lt;=$A146)),Budgets!$C$2:$C$200),0))</f>
        <v/>
      </c>
      <c r="AO146" s="88">
        <f>IF(OR(AO$1="",$BE146=0),"",IFERROR(LOOKUP(2,1/((Budgets!$A$2:$A$200=AO$1)*(Budgets!$B$2:$B$200&lt;=$A146)),Budgets!$C$2:$C$200),0))</f>
        <v/>
      </c>
      <c r="AP146" s="88">
        <f>IF(OR(AP$1="",$BE146=0),"",IFERROR(LOOKUP(2,1/((Budgets!$A$2:$A$200=AP$1)*(Budgets!$B$2:$B$200&lt;=$A146)),Budgets!$C$2:$C$200),0))</f>
        <v/>
      </c>
      <c r="AQ146" s="88">
        <f>IF(OR(AQ$1="",$BE146=0),"",IFERROR(LOOKUP(2,1/((Budgets!$A$2:$A$200=AQ$1)*(Budgets!$B$2:$B$200&lt;=$A146)),Budgets!$C$2:$C$200),0))</f>
        <v/>
      </c>
      <c r="AR146" s="88">
        <f>IF(OR(AR$1="",$BE146=0),"",IFERROR(LOOKUP(2,1/((Budgets!$A$2:$A$200=AR$1)*(Budgets!$B$2:$B$200&lt;=$A146)),Budgets!$C$2:$C$200),0))</f>
        <v/>
      </c>
      <c r="AS146" s="88">
        <f>IF(OR(AS$1="",$BE146=0),"",IFERROR(LOOKUP(2,1/((Budgets!$A$2:$A$200=AS$1)*(Budgets!$B$2:$B$200&lt;=$A146)),Budgets!$C$2:$C$200),0))</f>
        <v/>
      </c>
      <c r="AT146" s="88">
        <f>IF(OR(AT$1="",$BE146=0),"",IFERROR(LOOKUP(2,1/((Budgets!$A$2:$A$200=AT$1)*(Budgets!$B$2:$B$200&lt;=$A146)),Budgets!$C$2:$C$200),0))</f>
        <v/>
      </c>
      <c r="AU146" s="88">
        <f>IF(OR(AU$1="",$BE146=0),"",IFERROR(LOOKUP(2,1/((Budgets!$A$2:$A$200=AU$1)*(Budgets!$B$2:$B$200&lt;=$A146)),Budgets!$C$2:$C$200),0))</f>
        <v/>
      </c>
      <c r="AV146" s="88">
        <f>IF(OR(AV$1="",$BE146=0),"",IFERROR(LOOKUP(2,1/((Budgets!$A$2:$A$200=AV$1)*(Budgets!$B$2:$B$200&lt;=$A146)),Budgets!$C$2:$C$200),0))</f>
        <v/>
      </c>
      <c r="AW146" s="88">
        <f>IF(OR(AW$1="",$BE146=0),"",IFERROR(LOOKUP(2,1/((Budgets!$A$2:$A$200=AW$1)*(Budgets!$B$2:$B$200&lt;=$A146)),Budgets!$C$2:$C$200),0))</f>
        <v/>
      </c>
      <c r="AX146" s="88">
        <f>IF(OR(AX$1="",$BE146=0),"",IFERROR(LOOKUP(2,1/((Budgets!$A$2:$A$200=AX$1)*(Budgets!$B$2:$B$200&lt;=$A146)),Budgets!$C$2:$C$200),0))</f>
        <v/>
      </c>
      <c r="AY146" s="88">
        <f>IF(OR(AY$1="",$BE146=0),"",IFERROR(LOOKUP(2,1/((Budgets!$A$2:$A$200=AY$1)*(Budgets!$B$2:$B$200&lt;=$A146)),Budgets!$C$2:$C$200),0))</f>
        <v/>
      </c>
      <c r="AZ146" s="88">
        <f>IF(OR(AZ$1="",$BE146=0),"",IFERROR(LOOKUP(2,1/((Budgets!$A$2:$A$200=AZ$1)*(Budgets!$B$2:$B$200&lt;=$A146)),Budgets!$C$2:$C$200),0))</f>
        <v/>
      </c>
      <c r="BA146" s="88">
        <f>IF(OR(BA$1="",$BE146=0),"",IFERROR(LOOKUP(2,1/((Budgets!$A$2:$A$200=BA$1)*(Budgets!$B$2:$B$200&lt;=$A146)),Budgets!$C$2:$C$200),0))</f>
        <v/>
      </c>
      <c r="BB146" s="88">
        <f>IF(OR(BB$1="",$BE146=0),"",IFERROR(LOOKUP(2,1/((Budgets!$A$2:$A$200=BB$1)*(Budgets!$B$2:$B$200&lt;=$A146)),Budgets!$C$2:$C$200),0))</f>
        <v/>
      </c>
      <c r="BC146" s="88">
        <f>IF(OR(BC$1="",$BE146=0),"",IFERROR(LOOKUP(2,1/((Budgets!$A$2:$A$200=BC$1)*(Budgets!$B$2:$B$200&lt;=$A146)),Budgets!$C$2:$C$200),0))</f>
        <v/>
      </c>
      <c r="BE146" s="67">
        <f>COUNTIFS(Entries!$A$2:$A$5000,$A146)</f>
        <v/>
      </c>
    </row>
    <row r="147" ht="15" customHeight="1" s="43">
      <c r="A147" s="87" t="n">
        <v>43862</v>
      </c>
      <c r="B147" s="88">
        <f>IF($BE147=0,NA(),SUMIFS(Entries!$D$2:$D$5000,Entries!$C$2:$C$5000,"Income",Entries!$A$2:$A$5000,$A147))</f>
        <v/>
      </c>
      <c r="C147" s="88">
        <f>IF($BE147=0,"",SUMIFS(Entries!$D$2:$D$5000,Entries!$C$2:$C$5000,"Actual",Entries!$A$2:$A$5000,$A147))</f>
        <v/>
      </c>
      <c r="D147" s="88">
        <f>IF($BE147=0,"",SUMIFS(Entries!$D$2:$D$5000,Entries!$C$2:$C$5000,"One-off",Entries!$A$2:$A$5000,$A147))</f>
        <v/>
      </c>
      <c r="E147" s="88">
        <f>IF($BE147=0,NA(),C147+D147)</f>
        <v/>
      </c>
      <c r="F147" s="88">
        <f>IF($BE147=0,"",SUM(AJ147:BC147))</f>
        <v/>
      </c>
      <c r="G147" s="88">
        <f>IF($BE147=0,"",B147-E147)</f>
        <v/>
      </c>
      <c r="H147" s="88">
        <f>IF($BE147=0,"",SUM($G$2:G147))</f>
        <v/>
      </c>
      <c r="I147" s="88">
        <f>IF($BE147=0,"",SUMIFS(Entries!$F$2:$F$5000,Entries!$A$2:$A$5000,$A147))</f>
        <v/>
      </c>
      <c r="J147" s="88">
        <f>IF($BE147=0,NA(),H147+SUM($I$2:I147))</f>
        <v/>
      </c>
      <c r="K147" s="88">
        <f>IF($BE147=0,"",SUMIFS(Entries!$D$2:$D$5000,Entries!$C$2:$C$5000,"Income",Entries!$A$2:$A$5000,"&gt;="&amp;EDATE($A147,-11),Entries!$A$2:$A$5000,"&lt;="&amp;$A147)/12)</f>
        <v/>
      </c>
      <c r="L147" s="88">
        <f>IF($BE147=0,"",(SUMIFS(Entries!$D$2:$D$5000,Entries!$C$2:$C$5000,"Actual",Entries!$A$2:$A$5000,"&gt;="&amp;EDATE($A147,-11),Entries!$A$2:$A$5000,"&lt;="&amp;$A147)+SUMIFS(Entries!$D$2:$D$5000,Entries!$C$2:$C$5000,"One-off",Entries!$A$2:$A$5000,"&gt;="&amp;EDATE($A147,-11),Entries!$A$2:$A$5000,"&lt;="&amp;$A147))/12)</f>
        <v/>
      </c>
      <c r="M147" s="70">
        <f>IF($BE147=0,NA(),IFERROR((K147-L147)/K147,0))</f>
        <v/>
      </c>
      <c r="O147" s="88">
        <f>IF(OR(O$1="",$BE147=0),"",SUMIFS(Entries!$D$2:$D$5000,Entries!$C$2:$C$5000,"Actual",Entries!$A$2:$A$5000,$A147,Entries!$B$2:$B$5000,O$1))</f>
        <v/>
      </c>
      <c r="P147" s="88">
        <f>IF(OR(P$1="",$BE147=0),"",SUMIFS(Entries!$D$2:$D$5000,Entries!$C$2:$C$5000,"Actual",Entries!$A$2:$A$5000,$A147,Entries!$B$2:$B$5000,P$1))</f>
        <v/>
      </c>
      <c r="Q147" s="88">
        <f>IF(OR(Q$1="",$BE147=0),"",SUMIFS(Entries!$D$2:$D$5000,Entries!$C$2:$C$5000,"Actual",Entries!$A$2:$A$5000,$A147,Entries!$B$2:$B$5000,Q$1))</f>
        <v/>
      </c>
      <c r="R147" s="88">
        <f>IF(OR(R$1="",$BE147=0),"",SUMIFS(Entries!$D$2:$D$5000,Entries!$C$2:$C$5000,"Actual",Entries!$A$2:$A$5000,$A147,Entries!$B$2:$B$5000,R$1))</f>
        <v/>
      </c>
      <c r="S147" s="88">
        <f>IF(OR(S$1="",$BE147=0),"",SUMIFS(Entries!$D$2:$D$5000,Entries!$C$2:$C$5000,"Actual",Entries!$A$2:$A$5000,$A147,Entries!$B$2:$B$5000,S$1))</f>
        <v/>
      </c>
      <c r="T147" s="88">
        <f>IF(OR(T$1="",$BE147=0),"",SUMIFS(Entries!$D$2:$D$5000,Entries!$C$2:$C$5000,"Actual",Entries!$A$2:$A$5000,$A147,Entries!$B$2:$B$5000,T$1))</f>
        <v/>
      </c>
      <c r="U147" s="88">
        <f>IF(OR(U$1="",$BE147=0),"",SUMIFS(Entries!$D$2:$D$5000,Entries!$C$2:$C$5000,"Actual",Entries!$A$2:$A$5000,$A147,Entries!$B$2:$B$5000,U$1))</f>
        <v/>
      </c>
      <c r="V147" s="88">
        <f>IF(OR(V$1="",$BE147=0),"",SUMIFS(Entries!$D$2:$D$5000,Entries!$C$2:$C$5000,"Actual",Entries!$A$2:$A$5000,$A147,Entries!$B$2:$B$5000,V$1))</f>
        <v/>
      </c>
      <c r="W147" s="88">
        <f>IF(OR(W$1="",$BE147=0),"",SUMIFS(Entries!$D$2:$D$5000,Entries!$C$2:$C$5000,"Actual",Entries!$A$2:$A$5000,$A147,Entries!$B$2:$B$5000,W$1))</f>
        <v/>
      </c>
      <c r="X147" s="88">
        <f>IF(OR(X$1="",$BE147=0),"",SUMIFS(Entries!$D$2:$D$5000,Entries!$C$2:$C$5000,"Actual",Entries!$A$2:$A$5000,$A147,Entries!$B$2:$B$5000,X$1))</f>
        <v/>
      </c>
      <c r="Y147" s="88">
        <f>IF(OR(Y$1="",$BE147=0),"",SUMIFS(Entries!$D$2:$D$5000,Entries!$C$2:$C$5000,"Actual",Entries!$A$2:$A$5000,$A147,Entries!$B$2:$B$5000,Y$1))</f>
        <v/>
      </c>
      <c r="Z147" s="88">
        <f>IF(OR(Z$1="",$BE147=0),"",SUMIFS(Entries!$D$2:$D$5000,Entries!$C$2:$C$5000,"Actual",Entries!$A$2:$A$5000,$A147,Entries!$B$2:$B$5000,Z$1))</f>
        <v/>
      </c>
      <c r="AA147" s="88">
        <f>IF(OR(AA$1="",$BE147=0),"",SUMIFS(Entries!$D$2:$D$5000,Entries!$C$2:$C$5000,"Actual",Entries!$A$2:$A$5000,$A147,Entries!$B$2:$B$5000,AA$1))</f>
        <v/>
      </c>
      <c r="AB147" s="88">
        <f>IF(OR(AB$1="",$BE147=0),"",SUMIFS(Entries!$D$2:$D$5000,Entries!$C$2:$C$5000,"Actual",Entries!$A$2:$A$5000,$A147,Entries!$B$2:$B$5000,AB$1))</f>
        <v/>
      </c>
      <c r="AC147" s="88">
        <f>IF(OR(AC$1="",$BE147=0),"",SUMIFS(Entries!$D$2:$D$5000,Entries!$C$2:$C$5000,"Actual",Entries!$A$2:$A$5000,$A147,Entries!$B$2:$B$5000,AC$1))</f>
        <v/>
      </c>
      <c r="AD147" s="88">
        <f>IF(OR(AD$1="",$BE147=0),"",SUMIFS(Entries!$D$2:$D$5000,Entries!$C$2:$C$5000,"Actual",Entries!$A$2:$A$5000,$A147,Entries!$B$2:$B$5000,AD$1))</f>
        <v/>
      </c>
      <c r="AE147" s="88">
        <f>IF(OR(AE$1="",$BE147=0),"",SUMIFS(Entries!$D$2:$D$5000,Entries!$C$2:$C$5000,"Actual",Entries!$A$2:$A$5000,$A147,Entries!$B$2:$B$5000,AE$1))</f>
        <v/>
      </c>
      <c r="AF147" s="88">
        <f>IF(OR(AF$1="",$BE147=0),"",SUMIFS(Entries!$D$2:$D$5000,Entries!$C$2:$C$5000,"Actual",Entries!$A$2:$A$5000,$A147,Entries!$B$2:$B$5000,AF$1))</f>
        <v/>
      </c>
      <c r="AG147" s="88">
        <f>IF(OR(AG$1="",$BE147=0),"",SUMIFS(Entries!$D$2:$D$5000,Entries!$C$2:$C$5000,"Actual",Entries!$A$2:$A$5000,$A147,Entries!$B$2:$B$5000,AG$1))</f>
        <v/>
      </c>
      <c r="AH147" s="88">
        <f>IF(OR(AH$1="",$BE147=0),"",SUMIFS(Entries!$D$2:$D$5000,Entries!$C$2:$C$5000,"Actual",Entries!$A$2:$A$5000,$A147,Entries!$B$2:$B$5000,AH$1))</f>
        <v/>
      </c>
      <c r="AJ147" s="88">
        <f>IF(OR(AJ$1="",$BE147=0),"",IFERROR(LOOKUP(2,1/((Budgets!$A$2:$A$200=AJ$1)*(Budgets!$B$2:$B$200&lt;=$A147)),Budgets!$C$2:$C$200),0))</f>
        <v/>
      </c>
      <c r="AK147" s="88">
        <f>IF(OR(AK$1="",$BE147=0),"",IFERROR(LOOKUP(2,1/((Budgets!$A$2:$A$200=AK$1)*(Budgets!$B$2:$B$200&lt;=$A147)),Budgets!$C$2:$C$200),0))</f>
        <v/>
      </c>
      <c r="AL147" s="88">
        <f>IF(OR(AL$1="",$BE147=0),"",IFERROR(LOOKUP(2,1/((Budgets!$A$2:$A$200=AL$1)*(Budgets!$B$2:$B$200&lt;=$A147)),Budgets!$C$2:$C$200),0))</f>
        <v/>
      </c>
      <c r="AM147" s="88">
        <f>IF(OR(AM$1="",$BE147=0),"",IFERROR(LOOKUP(2,1/((Budgets!$A$2:$A$200=AM$1)*(Budgets!$B$2:$B$200&lt;=$A147)),Budgets!$C$2:$C$200),0))</f>
        <v/>
      </c>
      <c r="AN147" s="88">
        <f>IF(OR(AN$1="",$BE147=0),"",IFERROR(LOOKUP(2,1/((Budgets!$A$2:$A$200=AN$1)*(Budgets!$B$2:$B$200&lt;=$A147)),Budgets!$C$2:$C$200),0))</f>
        <v/>
      </c>
      <c r="AO147" s="88">
        <f>IF(OR(AO$1="",$BE147=0),"",IFERROR(LOOKUP(2,1/((Budgets!$A$2:$A$200=AO$1)*(Budgets!$B$2:$B$200&lt;=$A147)),Budgets!$C$2:$C$200),0))</f>
        <v/>
      </c>
      <c r="AP147" s="88">
        <f>IF(OR(AP$1="",$BE147=0),"",IFERROR(LOOKUP(2,1/((Budgets!$A$2:$A$200=AP$1)*(Budgets!$B$2:$B$200&lt;=$A147)),Budgets!$C$2:$C$200),0))</f>
        <v/>
      </c>
      <c r="AQ147" s="88">
        <f>IF(OR(AQ$1="",$BE147=0),"",IFERROR(LOOKUP(2,1/((Budgets!$A$2:$A$200=AQ$1)*(Budgets!$B$2:$B$200&lt;=$A147)),Budgets!$C$2:$C$200),0))</f>
        <v/>
      </c>
      <c r="AR147" s="88">
        <f>IF(OR(AR$1="",$BE147=0),"",IFERROR(LOOKUP(2,1/((Budgets!$A$2:$A$200=AR$1)*(Budgets!$B$2:$B$200&lt;=$A147)),Budgets!$C$2:$C$200),0))</f>
        <v/>
      </c>
      <c r="AS147" s="88">
        <f>IF(OR(AS$1="",$BE147=0),"",IFERROR(LOOKUP(2,1/((Budgets!$A$2:$A$200=AS$1)*(Budgets!$B$2:$B$200&lt;=$A147)),Budgets!$C$2:$C$200),0))</f>
        <v/>
      </c>
      <c r="AT147" s="88">
        <f>IF(OR(AT$1="",$BE147=0),"",IFERROR(LOOKUP(2,1/((Budgets!$A$2:$A$200=AT$1)*(Budgets!$B$2:$B$200&lt;=$A147)),Budgets!$C$2:$C$200),0))</f>
        <v/>
      </c>
      <c r="AU147" s="88">
        <f>IF(OR(AU$1="",$BE147=0),"",IFERROR(LOOKUP(2,1/((Budgets!$A$2:$A$200=AU$1)*(Budgets!$B$2:$B$200&lt;=$A147)),Budgets!$C$2:$C$200),0))</f>
        <v/>
      </c>
      <c r="AV147" s="88">
        <f>IF(OR(AV$1="",$BE147=0),"",IFERROR(LOOKUP(2,1/((Budgets!$A$2:$A$200=AV$1)*(Budgets!$B$2:$B$200&lt;=$A147)),Budgets!$C$2:$C$200),0))</f>
        <v/>
      </c>
      <c r="AW147" s="88">
        <f>IF(OR(AW$1="",$BE147=0),"",IFERROR(LOOKUP(2,1/((Budgets!$A$2:$A$200=AW$1)*(Budgets!$B$2:$B$200&lt;=$A147)),Budgets!$C$2:$C$200),0))</f>
        <v/>
      </c>
      <c r="AX147" s="88">
        <f>IF(OR(AX$1="",$BE147=0),"",IFERROR(LOOKUP(2,1/((Budgets!$A$2:$A$200=AX$1)*(Budgets!$B$2:$B$200&lt;=$A147)),Budgets!$C$2:$C$200),0))</f>
        <v/>
      </c>
      <c r="AY147" s="88">
        <f>IF(OR(AY$1="",$BE147=0),"",IFERROR(LOOKUP(2,1/((Budgets!$A$2:$A$200=AY$1)*(Budgets!$B$2:$B$200&lt;=$A147)),Budgets!$C$2:$C$200),0))</f>
        <v/>
      </c>
      <c r="AZ147" s="88">
        <f>IF(OR(AZ$1="",$BE147=0),"",IFERROR(LOOKUP(2,1/((Budgets!$A$2:$A$200=AZ$1)*(Budgets!$B$2:$B$200&lt;=$A147)),Budgets!$C$2:$C$200),0))</f>
        <v/>
      </c>
      <c r="BA147" s="88">
        <f>IF(OR(BA$1="",$BE147=0),"",IFERROR(LOOKUP(2,1/((Budgets!$A$2:$A$200=BA$1)*(Budgets!$B$2:$B$200&lt;=$A147)),Budgets!$C$2:$C$200),0))</f>
        <v/>
      </c>
      <c r="BB147" s="88">
        <f>IF(OR(BB$1="",$BE147=0),"",IFERROR(LOOKUP(2,1/((Budgets!$A$2:$A$200=BB$1)*(Budgets!$B$2:$B$200&lt;=$A147)),Budgets!$C$2:$C$200),0))</f>
        <v/>
      </c>
      <c r="BC147" s="88">
        <f>IF(OR(BC$1="",$BE147=0),"",IFERROR(LOOKUP(2,1/((Budgets!$A$2:$A$200=BC$1)*(Budgets!$B$2:$B$200&lt;=$A147)),Budgets!$C$2:$C$200),0))</f>
        <v/>
      </c>
      <c r="BE147" s="67">
        <f>COUNTIFS(Entries!$A$2:$A$5000,$A147)</f>
        <v/>
      </c>
    </row>
    <row r="148" ht="15" customHeight="1" s="43">
      <c r="A148" s="87" t="n">
        <v>43891</v>
      </c>
      <c r="B148" s="88">
        <f>IF($BE148=0,NA(),SUMIFS(Entries!$D$2:$D$5000,Entries!$C$2:$C$5000,"Income",Entries!$A$2:$A$5000,$A148))</f>
        <v/>
      </c>
      <c r="C148" s="88">
        <f>IF($BE148=0,"",SUMIFS(Entries!$D$2:$D$5000,Entries!$C$2:$C$5000,"Actual",Entries!$A$2:$A$5000,$A148))</f>
        <v/>
      </c>
      <c r="D148" s="88">
        <f>IF($BE148=0,"",SUMIFS(Entries!$D$2:$D$5000,Entries!$C$2:$C$5000,"One-off",Entries!$A$2:$A$5000,$A148))</f>
        <v/>
      </c>
      <c r="E148" s="88">
        <f>IF($BE148=0,NA(),C148+D148)</f>
        <v/>
      </c>
      <c r="F148" s="88">
        <f>IF($BE148=0,"",SUM(AJ148:BC148))</f>
        <v/>
      </c>
      <c r="G148" s="88">
        <f>IF($BE148=0,"",B148-E148)</f>
        <v/>
      </c>
      <c r="H148" s="88">
        <f>IF($BE148=0,"",SUM($G$2:G148))</f>
        <v/>
      </c>
      <c r="I148" s="88">
        <f>IF($BE148=0,"",SUMIFS(Entries!$F$2:$F$5000,Entries!$A$2:$A$5000,$A148))</f>
        <v/>
      </c>
      <c r="J148" s="88">
        <f>IF($BE148=0,NA(),H148+SUM($I$2:I148))</f>
        <v/>
      </c>
      <c r="K148" s="88">
        <f>IF($BE148=0,"",SUMIFS(Entries!$D$2:$D$5000,Entries!$C$2:$C$5000,"Income",Entries!$A$2:$A$5000,"&gt;="&amp;EDATE($A148,-11),Entries!$A$2:$A$5000,"&lt;="&amp;$A148)/12)</f>
        <v/>
      </c>
      <c r="L148" s="88">
        <f>IF($BE148=0,"",(SUMIFS(Entries!$D$2:$D$5000,Entries!$C$2:$C$5000,"Actual",Entries!$A$2:$A$5000,"&gt;="&amp;EDATE($A148,-11),Entries!$A$2:$A$5000,"&lt;="&amp;$A148)+SUMIFS(Entries!$D$2:$D$5000,Entries!$C$2:$C$5000,"One-off",Entries!$A$2:$A$5000,"&gt;="&amp;EDATE($A148,-11),Entries!$A$2:$A$5000,"&lt;="&amp;$A148))/12)</f>
        <v/>
      </c>
      <c r="M148" s="70">
        <f>IF($BE148=0,NA(),IFERROR((K148-L148)/K148,0))</f>
        <v/>
      </c>
      <c r="O148" s="88">
        <f>IF(OR(O$1="",$BE148=0),"",SUMIFS(Entries!$D$2:$D$5000,Entries!$C$2:$C$5000,"Actual",Entries!$A$2:$A$5000,$A148,Entries!$B$2:$B$5000,O$1))</f>
        <v/>
      </c>
      <c r="P148" s="88">
        <f>IF(OR(P$1="",$BE148=0),"",SUMIFS(Entries!$D$2:$D$5000,Entries!$C$2:$C$5000,"Actual",Entries!$A$2:$A$5000,$A148,Entries!$B$2:$B$5000,P$1))</f>
        <v/>
      </c>
      <c r="Q148" s="88">
        <f>IF(OR(Q$1="",$BE148=0),"",SUMIFS(Entries!$D$2:$D$5000,Entries!$C$2:$C$5000,"Actual",Entries!$A$2:$A$5000,$A148,Entries!$B$2:$B$5000,Q$1))</f>
        <v/>
      </c>
      <c r="R148" s="88">
        <f>IF(OR(R$1="",$BE148=0),"",SUMIFS(Entries!$D$2:$D$5000,Entries!$C$2:$C$5000,"Actual",Entries!$A$2:$A$5000,$A148,Entries!$B$2:$B$5000,R$1))</f>
        <v/>
      </c>
      <c r="S148" s="88">
        <f>IF(OR(S$1="",$BE148=0),"",SUMIFS(Entries!$D$2:$D$5000,Entries!$C$2:$C$5000,"Actual",Entries!$A$2:$A$5000,$A148,Entries!$B$2:$B$5000,S$1))</f>
        <v/>
      </c>
      <c r="T148" s="88">
        <f>IF(OR(T$1="",$BE148=0),"",SUMIFS(Entries!$D$2:$D$5000,Entries!$C$2:$C$5000,"Actual",Entries!$A$2:$A$5000,$A148,Entries!$B$2:$B$5000,T$1))</f>
        <v/>
      </c>
      <c r="U148" s="88">
        <f>IF(OR(U$1="",$BE148=0),"",SUMIFS(Entries!$D$2:$D$5000,Entries!$C$2:$C$5000,"Actual",Entries!$A$2:$A$5000,$A148,Entries!$B$2:$B$5000,U$1))</f>
        <v/>
      </c>
      <c r="V148" s="88">
        <f>IF(OR(V$1="",$BE148=0),"",SUMIFS(Entries!$D$2:$D$5000,Entries!$C$2:$C$5000,"Actual",Entries!$A$2:$A$5000,$A148,Entries!$B$2:$B$5000,V$1))</f>
        <v/>
      </c>
      <c r="W148" s="88">
        <f>IF(OR(W$1="",$BE148=0),"",SUMIFS(Entries!$D$2:$D$5000,Entries!$C$2:$C$5000,"Actual",Entries!$A$2:$A$5000,$A148,Entries!$B$2:$B$5000,W$1))</f>
        <v/>
      </c>
      <c r="X148" s="88">
        <f>IF(OR(X$1="",$BE148=0),"",SUMIFS(Entries!$D$2:$D$5000,Entries!$C$2:$C$5000,"Actual",Entries!$A$2:$A$5000,$A148,Entries!$B$2:$B$5000,X$1))</f>
        <v/>
      </c>
      <c r="Y148" s="88">
        <f>IF(OR(Y$1="",$BE148=0),"",SUMIFS(Entries!$D$2:$D$5000,Entries!$C$2:$C$5000,"Actual",Entries!$A$2:$A$5000,$A148,Entries!$B$2:$B$5000,Y$1))</f>
        <v/>
      </c>
      <c r="Z148" s="88">
        <f>IF(OR(Z$1="",$BE148=0),"",SUMIFS(Entries!$D$2:$D$5000,Entries!$C$2:$C$5000,"Actual",Entries!$A$2:$A$5000,$A148,Entries!$B$2:$B$5000,Z$1))</f>
        <v/>
      </c>
      <c r="AA148" s="88">
        <f>IF(OR(AA$1="",$BE148=0),"",SUMIFS(Entries!$D$2:$D$5000,Entries!$C$2:$C$5000,"Actual",Entries!$A$2:$A$5000,$A148,Entries!$B$2:$B$5000,AA$1))</f>
        <v/>
      </c>
      <c r="AB148" s="88">
        <f>IF(OR(AB$1="",$BE148=0),"",SUMIFS(Entries!$D$2:$D$5000,Entries!$C$2:$C$5000,"Actual",Entries!$A$2:$A$5000,$A148,Entries!$B$2:$B$5000,AB$1))</f>
        <v/>
      </c>
      <c r="AC148" s="88">
        <f>IF(OR(AC$1="",$BE148=0),"",SUMIFS(Entries!$D$2:$D$5000,Entries!$C$2:$C$5000,"Actual",Entries!$A$2:$A$5000,$A148,Entries!$B$2:$B$5000,AC$1))</f>
        <v/>
      </c>
      <c r="AD148" s="88">
        <f>IF(OR(AD$1="",$BE148=0),"",SUMIFS(Entries!$D$2:$D$5000,Entries!$C$2:$C$5000,"Actual",Entries!$A$2:$A$5000,$A148,Entries!$B$2:$B$5000,AD$1))</f>
        <v/>
      </c>
      <c r="AE148" s="88">
        <f>IF(OR(AE$1="",$BE148=0),"",SUMIFS(Entries!$D$2:$D$5000,Entries!$C$2:$C$5000,"Actual",Entries!$A$2:$A$5000,$A148,Entries!$B$2:$B$5000,AE$1))</f>
        <v/>
      </c>
      <c r="AF148" s="88">
        <f>IF(OR(AF$1="",$BE148=0),"",SUMIFS(Entries!$D$2:$D$5000,Entries!$C$2:$C$5000,"Actual",Entries!$A$2:$A$5000,$A148,Entries!$B$2:$B$5000,AF$1))</f>
        <v/>
      </c>
      <c r="AG148" s="88">
        <f>IF(OR(AG$1="",$BE148=0),"",SUMIFS(Entries!$D$2:$D$5000,Entries!$C$2:$C$5000,"Actual",Entries!$A$2:$A$5000,$A148,Entries!$B$2:$B$5000,AG$1))</f>
        <v/>
      </c>
      <c r="AH148" s="88">
        <f>IF(OR(AH$1="",$BE148=0),"",SUMIFS(Entries!$D$2:$D$5000,Entries!$C$2:$C$5000,"Actual",Entries!$A$2:$A$5000,$A148,Entries!$B$2:$B$5000,AH$1))</f>
        <v/>
      </c>
      <c r="AJ148" s="88">
        <f>IF(OR(AJ$1="",$BE148=0),"",IFERROR(LOOKUP(2,1/((Budgets!$A$2:$A$200=AJ$1)*(Budgets!$B$2:$B$200&lt;=$A148)),Budgets!$C$2:$C$200),0))</f>
        <v/>
      </c>
      <c r="AK148" s="88">
        <f>IF(OR(AK$1="",$BE148=0),"",IFERROR(LOOKUP(2,1/((Budgets!$A$2:$A$200=AK$1)*(Budgets!$B$2:$B$200&lt;=$A148)),Budgets!$C$2:$C$200),0))</f>
        <v/>
      </c>
      <c r="AL148" s="88">
        <f>IF(OR(AL$1="",$BE148=0),"",IFERROR(LOOKUP(2,1/((Budgets!$A$2:$A$200=AL$1)*(Budgets!$B$2:$B$200&lt;=$A148)),Budgets!$C$2:$C$200),0))</f>
        <v/>
      </c>
      <c r="AM148" s="88">
        <f>IF(OR(AM$1="",$BE148=0),"",IFERROR(LOOKUP(2,1/((Budgets!$A$2:$A$200=AM$1)*(Budgets!$B$2:$B$200&lt;=$A148)),Budgets!$C$2:$C$200),0))</f>
        <v/>
      </c>
      <c r="AN148" s="88">
        <f>IF(OR(AN$1="",$BE148=0),"",IFERROR(LOOKUP(2,1/((Budgets!$A$2:$A$200=AN$1)*(Budgets!$B$2:$B$200&lt;=$A148)),Budgets!$C$2:$C$200),0))</f>
        <v/>
      </c>
      <c r="AO148" s="88">
        <f>IF(OR(AO$1="",$BE148=0),"",IFERROR(LOOKUP(2,1/((Budgets!$A$2:$A$200=AO$1)*(Budgets!$B$2:$B$200&lt;=$A148)),Budgets!$C$2:$C$200),0))</f>
        <v/>
      </c>
      <c r="AP148" s="88">
        <f>IF(OR(AP$1="",$BE148=0),"",IFERROR(LOOKUP(2,1/((Budgets!$A$2:$A$200=AP$1)*(Budgets!$B$2:$B$200&lt;=$A148)),Budgets!$C$2:$C$200),0))</f>
        <v/>
      </c>
      <c r="AQ148" s="88">
        <f>IF(OR(AQ$1="",$BE148=0),"",IFERROR(LOOKUP(2,1/((Budgets!$A$2:$A$200=AQ$1)*(Budgets!$B$2:$B$200&lt;=$A148)),Budgets!$C$2:$C$200),0))</f>
        <v/>
      </c>
      <c r="AR148" s="88">
        <f>IF(OR(AR$1="",$BE148=0),"",IFERROR(LOOKUP(2,1/((Budgets!$A$2:$A$200=AR$1)*(Budgets!$B$2:$B$200&lt;=$A148)),Budgets!$C$2:$C$200),0))</f>
        <v/>
      </c>
      <c r="AS148" s="88">
        <f>IF(OR(AS$1="",$BE148=0),"",IFERROR(LOOKUP(2,1/((Budgets!$A$2:$A$200=AS$1)*(Budgets!$B$2:$B$200&lt;=$A148)),Budgets!$C$2:$C$200),0))</f>
        <v/>
      </c>
      <c r="AT148" s="88">
        <f>IF(OR(AT$1="",$BE148=0),"",IFERROR(LOOKUP(2,1/((Budgets!$A$2:$A$200=AT$1)*(Budgets!$B$2:$B$200&lt;=$A148)),Budgets!$C$2:$C$200),0))</f>
        <v/>
      </c>
      <c r="AU148" s="88">
        <f>IF(OR(AU$1="",$BE148=0),"",IFERROR(LOOKUP(2,1/((Budgets!$A$2:$A$200=AU$1)*(Budgets!$B$2:$B$200&lt;=$A148)),Budgets!$C$2:$C$200),0))</f>
        <v/>
      </c>
      <c r="AV148" s="88">
        <f>IF(OR(AV$1="",$BE148=0),"",IFERROR(LOOKUP(2,1/((Budgets!$A$2:$A$200=AV$1)*(Budgets!$B$2:$B$200&lt;=$A148)),Budgets!$C$2:$C$200),0))</f>
        <v/>
      </c>
      <c r="AW148" s="88">
        <f>IF(OR(AW$1="",$BE148=0),"",IFERROR(LOOKUP(2,1/((Budgets!$A$2:$A$200=AW$1)*(Budgets!$B$2:$B$200&lt;=$A148)),Budgets!$C$2:$C$200),0))</f>
        <v/>
      </c>
      <c r="AX148" s="88">
        <f>IF(OR(AX$1="",$BE148=0),"",IFERROR(LOOKUP(2,1/((Budgets!$A$2:$A$200=AX$1)*(Budgets!$B$2:$B$200&lt;=$A148)),Budgets!$C$2:$C$200),0))</f>
        <v/>
      </c>
      <c r="AY148" s="88">
        <f>IF(OR(AY$1="",$BE148=0),"",IFERROR(LOOKUP(2,1/((Budgets!$A$2:$A$200=AY$1)*(Budgets!$B$2:$B$200&lt;=$A148)),Budgets!$C$2:$C$200),0))</f>
        <v/>
      </c>
      <c r="AZ148" s="88">
        <f>IF(OR(AZ$1="",$BE148=0),"",IFERROR(LOOKUP(2,1/((Budgets!$A$2:$A$200=AZ$1)*(Budgets!$B$2:$B$200&lt;=$A148)),Budgets!$C$2:$C$200),0))</f>
        <v/>
      </c>
      <c r="BA148" s="88">
        <f>IF(OR(BA$1="",$BE148=0),"",IFERROR(LOOKUP(2,1/((Budgets!$A$2:$A$200=BA$1)*(Budgets!$B$2:$B$200&lt;=$A148)),Budgets!$C$2:$C$200),0))</f>
        <v/>
      </c>
      <c r="BB148" s="88">
        <f>IF(OR(BB$1="",$BE148=0),"",IFERROR(LOOKUP(2,1/((Budgets!$A$2:$A$200=BB$1)*(Budgets!$B$2:$B$200&lt;=$A148)),Budgets!$C$2:$C$200),0))</f>
        <v/>
      </c>
      <c r="BC148" s="88">
        <f>IF(OR(BC$1="",$BE148=0),"",IFERROR(LOOKUP(2,1/((Budgets!$A$2:$A$200=BC$1)*(Budgets!$B$2:$B$200&lt;=$A148)),Budgets!$C$2:$C$200),0))</f>
        <v/>
      </c>
      <c r="BE148" s="67">
        <f>COUNTIFS(Entries!$A$2:$A$5000,$A148)</f>
        <v/>
      </c>
    </row>
    <row r="149" ht="15" customHeight="1" s="43">
      <c r="A149" s="87" t="n">
        <v>43922</v>
      </c>
      <c r="B149" s="88">
        <f>IF($BE149=0,NA(),SUMIFS(Entries!$D$2:$D$5000,Entries!$C$2:$C$5000,"Income",Entries!$A$2:$A$5000,$A149))</f>
        <v/>
      </c>
      <c r="C149" s="88">
        <f>IF($BE149=0,"",SUMIFS(Entries!$D$2:$D$5000,Entries!$C$2:$C$5000,"Actual",Entries!$A$2:$A$5000,$A149))</f>
        <v/>
      </c>
      <c r="D149" s="88">
        <f>IF($BE149=0,"",SUMIFS(Entries!$D$2:$D$5000,Entries!$C$2:$C$5000,"One-off",Entries!$A$2:$A$5000,$A149))</f>
        <v/>
      </c>
      <c r="E149" s="88">
        <f>IF($BE149=0,NA(),C149+D149)</f>
        <v/>
      </c>
      <c r="F149" s="88">
        <f>IF($BE149=0,"",SUM(AJ149:BC149))</f>
        <v/>
      </c>
      <c r="G149" s="88">
        <f>IF($BE149=0,"",B149-E149)</f>
        <v/>
      </c>
      <c r="H149" s="88">
        <f>IF($BE149=0,"",SUM($G$2:G149))</f>
        <v/>
      </c>
      <c r="I149" s="88">
        <f>IF($BE149=0,"",SUMIFS(Entries!$F$2:$F$5000,Entries!$A$2:$A$5000,$A149))</f>
        <v/>
      </c>
      <c r="J149" s="88">
        <f>IF($BE149=0,NA(),H149+SUM($I$2:I149))</f>
        <v/>
      </c>
      <c r="K149" s="88">
        <f>IF($BE149=0,"",SUMIFS(Entries!$D$2:$D$5000,Entries!$C$2:$C$5000,"Income",Entries!$A$2:$A$5000,"&gt;="&amp;EDATE($A149,-11),Entries!$A$2:$A$5000,"&lt;="&amp;$A149)/12)</f>
        <v/>
      </c>
      <c r="L149" s="88">
        <f>IF($BE149=0,"",(SUMIFS(Entries!$D$2:$D$5000,Entries!$C$2:$C$5000,"Actual",Entries!$A$2:$A$5000,"&gt;="&amp;EDATE($A149,-11),Entries!$A$2:$A$5000,"&lt;="&amp;$A149)+SUMIFS(Entries!$D$2:$D$5000,Entries!$C$2:$C$5000,"One-off",Entries!$A$2:$A$5000,"&gt;="&amp;EDATE($A149,-11),Entries!$A$2:$A$5000,"&lt;="&amp;$A149))/12)</f>
        <v/>
      </c>
      <c r="M149" s="70">
        <f>IF($BE149=0,NA(),IFERROR((K149-L149)/K149,0))</f>
        <v/>
      </c>
      <c r="O149" s="88">
        <f>IF(OR(O$1="",$BE149=0),"",SUMIFS(Entries!$D$2:$D$5000,Entries!$C$2:$C$5000,"Actual",Entries!$A$2:$A$5000,$A149,Entries!$B$2:$B$5000,O$1))</f>
        <v/>
      </c>
      <c r="P149" s="88">
        <f>IF(OR(P$1="",$BE149=0),"",SUMIFS(Entries!$D$2:$D$5000,Entries!$C$2:$C$5000,"Actual",Entries!$A$2:$A$5000,$A149,Entries!$B$2:$B$5000,P$1))</f>
        <v/>
      </c>
      <c r="Q149" s="88">
        <f>IF(OR(Q$1="",$BE149=0),"",SUMIFS(Entries!$D$2:$D$5000,Entries!$C$2:$C$5000,"Actual",Entries!$A$2:$A$5000,$A149,Entries!$B$2:$B$5000,Q$1))</f>
        <v/>
      </c>
      <c r="R149" s="88">
        <f>IF(OR(R$1="",$BE149=0),"",SUMIFS(Entries!$D$2:$D$5000,Entries!$C$2:$C$5000,"Actual",Entries!$A$2:$A$5000,$A149,Entries!$B$2:$B$5000,R$1))</f>
        <v/>
      </c>
      <c r="S149" s="88">
        <f>IF(OR(S$1="",$BE149=0),"",SUMIFS(Entries!$D$2:$D$5000,Entries!$C$2:$C$5000,"Actual",Entries!$A$2:$A$5000,$A149,Entries!$B$2:$B$5000,S$1))</f>
        <v/>
      </c>
      <c r="T149" s="88">
        <f>IF(OR(T$1="",$BE149=0),"",SUMIFS(Entries!$D$2:$D$5000,Entries!$C$2:$C$5000,"Actual",Entries!$A$2:$A$5000,$A149,Entries!$B$2:$B$5000,T$1))</f>
        <v/>
      </c>
      <c r="U149" s="88">
        <f>IF(OR(U$1="",$BE149=0),"",SUMIFS(Entries!$D$2:$D$5000,Entries!$C$2:$C$5000,"Actual",Entries!$A$2:$A$5000,$A149,Entries!$B$2:$B$5000,U$1))</f>
        <v/>
      </c>
      <c r="V149" s="88">
        <f>IF(OR(V$1="",$BE149=0),"",SUMIFS(Entries!$D$2:$D$5000,Entries!$C$2:$C$5000,"Actual",Entries!$A$2:$A$5000,$A149,Entries!$B$2:$B$5000,V$1))</f>
        <v/>
      </c>
      <c r="W149" s="88">
        <f>IF(OR(W$1="",$BE149=0),"",SUMIFS(Entries!$D$2:$D$5000,Entries!$C$2:$C$5000,"Actual",Entries!$A$2:$A$5000,$A149,Entries!$B$2:$B$5000,W$1))</f>
        <v/>
      </c>
      <c r="X149" s="88">
        <f>IF(OR(X$1="",$BE149=0),"",SUMIFS(Entries!$D$2:$D$5000,Entries!$C$2:$C$5000,"Actual",Entries!$A$2:$A$5000,$A149,Entries!$B$2:$B$5000,X$1))</f>
        <v/>
      </c>
      <c r="Y149" s="88">
        <f>IF(OR(Y$1="",$BE149=0),"",SUMIFS(Entries!$D$2:$D$5000,Entries!$C$2:$C$5000,"Actual",Entries!$A$2:$A$5000,$A149,Entries!$B$2:$B$5000,Y$1))</f>
        <v/>
      </c>
      <c r="Z149" s="88">
        <f>IF(OR(Z$1="",$BE149=0),"",SUMIFS(Entries!$D$2:$D$5000,Entries!$C$2:$C$5000,"Actual",Entries!$A$2:$A$5000,$A149,Entries!$B$2:$B$5000,Z$1))</f>
        <v/>
      </c>
      <c r="AA149" s="88">
        <f>IF(OR(AA$1="",$BE149=0),"",SUMIFS(Entries!$D$2:$D$5000,Entries!$C$2:$C$5000,"Actual",Entries!$A$2:$A$5000,$A149,Entries!$B$2:$B$5000,AA$1))</f>
        <v/>
      </c>
      <c r="AB149" s="88">
        <f>IF(OR(AB$1="",$BE149=0),"",SUMIFS(Entries!$D$2:$D$5000,Entries!$C$2:$C$5000,"Actual",Entries!$A$2:$A$5000,$A149,Entries!$B$2:$B$5000,AB$1))</f>
        <v/>
      </c>
      <c r="AC149" s="88">
        <f>IF(OR(AC$1="",$BE149=0),"",SUMIFS(Entries!$D$2:$D$5000,Entries!$C$2:$C$5000,"Actual",Entries!$A$2:$A$5000,$A149,Entries!$B$2:$B$5000,AC$1))</f>
        <v/>
      </c>
      <c r="AD149" s="88">
        <f>IF(OR(AD$1="",$BE149=0),"",SUMIFS(Entries!$D$2:$D$5000,Entries!$C$2:$C$5000,"Actual",Entries!$A$2:$A$5000,$A149,Entries!$B$2:$B$5000,AD$1))</f>
        <v/>
      </c>
      <c r="AE149" s="88">
        <f>IF(OR(AE$1="",$BE149=0),"",SUMIFS(Entries!$D$2:$D$5000,Entries!$C$2:$C$5000,"Actual",Entries!$A$2:$A$5000,$A149,Entries!$B$2:$B$5000,AE$1))</f>
        <v/>
      </c>
      <c r="AF149" s="88">
        <f>IF(OR(AF$1="",$BE149=0),"",SUMIFS(Entries!$D$2:$D$5000,Entries!$C$2:$C$5000,"Actual",Entries!$A$2:$A$5000,$A149,Entries!$B$2:$B$5000,AF$1))</f>
        <v/>
      </c>
      <c r="AG149" s="88">
        <f>IF(OR(AG$1="",$BE149=0),"",SUMIFS(Entries!$D$2:$D$5000,Entries!$C$2:$C$5000,"Actual",Entries!$A$2:$A$5000,$A149,Entries!$B$2:$B$5000,AG$1))</f>
        <v/>
      </c>
      <c r="AH149" s="88">
        <f>IF(OR(AH$1="",$BE149=0),"",SUMIFS(Entries!$D$2:$D$5000,Entries!$C$2:$C$5000,"Actual",Entries!$A$2:$A$5000,$A149,Entries!$B$2:$B$5000,AH$1))</f>
        <v/>
      </c>
      <c r="AJ149" s="88">
        <f>IF(OR(AJ$1="",$BE149=0),"",IFERROR(LOOKUP(2,1/((Budgets!$A$2:$A$200=AJ$1)*(Budgets!$B$2:$B$200&lt;=$A149)),Budgets!$C$2:$C$200),0))</f>
        <v/>
      </c>
      <c r="AK149" s="88">
        <f>IF(OR(AK$1="",$BE149=0),"",IFERROR(LOOKUP(2,1/((Budgets!$A$2:$A$200=AK$1)*(Budgets!$B$2:$B$200&lt;=$A149)),Budgets!$C$2:$C$200),0))</f>
        <v/>
      </c>
      <c r="AL149" s="88">
        <f>IF(OR(AL$1="",$BE149=0),"",IFERROR(LOOKUP(2,1/((Budgets!$A$2:$A$200=AL$1)*(Budgets!$B$2:$B$200&lt;=$A149)),Budgets!$C$2:$C$200),0))</f>
        <v/>
      </c>
      <c r="AM149" s="88">
        <f>IF(OR(AM$1="",$BE149=0),"",IFERROR(LOOKUP(2,1/((Budgets!$A$2:$A$200=AM$1)*(Budgets!$B$2:$B$200&lt;=$A149)),Budgets!$C$2:$C$200),0))</f>
        <v/>
      </c>
      <c r="AN149" s="88">
        <f>IF(OR(AN$1="",$BE149=0),"",IFERROR(LOOKUP(2,1/((Budgets!$A$2:$A$200=AN$1)*(Budgets!$B$2:$B$200&lt;=$A149)),Budgets!$C$2:$C$200),0))</f>
        <v/>
      </c>
      <c r="AO149" s="88">
        <f>IF(OR(AO$1="",$BE149=0),"",IFERROR(LOOKUP(2,1/((Budgets!$A$2:$A$200=AO$1)*(Budgets!$B$2:$B$200&lt;=$A149)),Budgets!$C$2:$C$200),0))</f>
        <v/>
      </c>
      <c r="AP149" s="88">
        <f>IF(OR(AP$1="",$BE149=0),"",IFERROR(LOOKUP(2,1/((Budgets!$A$2:$A$200=AP$1)*(Budgets!$B$2:$B$200&lt;=$A149)),Budgets!$C$2:$C$200),0))</f>
        <v/>
      </c>
      <c r="AQ149" s="88">
        <f>IF(OR(AQ$1="",$BE149=0),"",IFERROR(LOOKUP(2,1/((Budgets!$A$2:$A$200=AQ$1)*(Budgets!$B$2:$B$200&lt;=$A149)),Budgets!$C$2:$C$200),0))</f>
        <v/>
      </c>
      <c r="AR149" s="88">
        <f>IF(OR(AR$1="",$BE149=0),"",IFERROR(LOOKUP(2,1/((Budgets!$A$2:$A$200=AR$1)*(Budgets!$B$2:$B$200&lt;=$A149)),Budgets!$C$2:$C$200),0))</f>
        <v/>
      </c>
      <c r="AS149" s="88">
        <f>IF(OR(AS$1="",$BE149=0),"",IFERROR(LOOKUP(2,1/((Budgets!$A$2:$A$200=AS$1)*(Budgets!$B$2:$B$200&lt;=$A149)),Budgets!$C$2:$C$200),0))</f>
        <v/>
      </c>
      <c r="AT149" s="88">
        <f>IF(OR(AT$1="",$BE149=0),"",IFERROR(LOOKUP(2,1/((Budgets!$A$2:$A$200=AT$1)*(Budgets!$B$2:$B$200&lt;=$A149)),Budgets!$C$2:$C$200),0))</f>
        <v/>
      </c>
      <c r="AU149" s="88">
        <f>IF(OR(AU$1="",$BE149=0),"",IFERROR(LOOKUP(2,1/((Budgets!$A$2:$A$200=AU$1)*(Budgets!$B$2:$B$200&lt;=$A149)),Budgets!$C$2:$C$200),0))</f>
        <v/>
      </c>
      <c r="AV149" s="88">
        <f>IF(OR(AV$1="",$BE149=0),"",IFERROR(LOOKUP(2,1/((Budgets!$A$2:$A$200=AV$1)*(Budgets!$B$2:$B$200&lt;=$A149)),Budgets!$C$2:$C$200),0))</f>
        <v/>
      </c>
      <c r="AW149" s="88">
        <f>IF(OR(AW$1="",$BE149=0),"",IFERROR(LOOKUP(2,1/((Budgets!$A$2:$A$200=AW$1)*(Budgets!$B$2:$B$200&lt;=$A149)),Budgets!$C$2:$C$200),0))</f>
        <v/>
      </c>
      <c r="AX149" s="88">
        <f>IF(OR(AX$1="",$BE149=0),"",IFERROR(LOOKUP(2,1/((Budgets!$A$2:$A$200=AX$1)*(Budgets!$B$2:$B$200&lt;=$A149)),Budgets!$C$2:$C$200),0))</f>
        <v/>
      </c>
      <c r="AY149" s="88">
        <f>IF(OR(AY$1="",$BE149=0),"",IFERROR(LOOKUP(2,1/((Budgets!$A$2:$A$200=AY$1)*(Budgets!$B$2:$B$200&lt;=$A149)),Budgets!$C$2:$C$200),0))</f>
        <v/>
      </c>
      <c r="AZ149" s="88">
        <f>IF(OR(AZ$1="",$BE149=0),"",IFERROR(LOOKUP(2,1/((Budgets!$A$2:$A$200=AZ$1)*(Budgets!$B$2:$B$200&lt;=$A149)),Budgets!$C$2:$C$200),0))</f>
        <v/>
      </c>
      <c r="BA149" s="88">
        <f>IF(OR(BA$1="",$BE149=0),"",IFERROR(LOOKUP(2,1/((Budgets!$A$2:$A$200=BA$1)*(Budgets!$B$2:$B$200&lt;=$A149)),Budgets!$C$2:$C$200),0))</f>
        <v/>
      </c>
      <c r="BB149" s="88">
        <f>IF(OR(BB$1="",$BE149=0),"",IFERROR(LOOKUP(2,1/((Budgets!$A$2:$A$200=BB$1)*(Budgets!$B$2:$B$200&lt;=$A149)),Budgets!$C$2:$C$200),0))</f>
        <v/>
      </c>
      <c r="BC149" s="88">
        <f>IF(OR(BC$1="",$BE149=0),"",IFERROR(LOOKUP(2,1/((Budgets!$A$2:$A$200=BC$1)*(Budgets!$B$2:$B$200&lt;=$A149)),Budgets!$C$2:$C$200),0))</f>
        <v/>
      </c>
      <c r="BE149" s="67">
        <f>COUNTIFS(Entries!$A$2:$A$5000,$A149)</f>
        <v/>
      </c>
    </row>
    <row r="150" ht="15" customHeight="1" s="43">
      <c r="A150" s="87" t="n">
        <v>43952</v>
      </c>
      <c r="B150" s="88">
        <f>IF($BE150=0,NA(),SUMIFS(Entries!$D$2:$D$5000,Entries!$C$2:$C$5000,"Income",Entries!$A$2:$A$5000,$A150))</f>
        <v/>
      </c>
      <c r="C150" s="88">
        <f>IF($BE150=0,"",SUMIFS(Entries!$D$2:$D$5000,Entries!$C$2:$C$5000,"Actual",Entries!$A$2:$A$5000,$A150))</f>
        <v/>
      </c>
      <c r="D150" s="88">
        <f>IF($BE150=0,"",SUMIFS(Entries!$D$2:$D$5000,Entries!$C$2:$C$5000,"One-off",Entries!$A$2:$A$5000,$A150))</f>
        <v/>
      </c>
      <c r="E150" s="88">
        <f>IF($BE150=0,NA(),C150+D150)</f>
        <v/>
      </c>
      <c r="F150" s="88">
        <f>IF($BE150=0,"",SUM(AJ150:BC150))</f>
        <v/>
      </c>
      <c r="G150" s="88">
        <f>IF($BE150=0,"",B150-E150)</f>
        <v/>
      </c>
      <c r="H150" s="88">
        <f>IF($BE150=0,"",SUM($G$2:G150))</f>
        <v/>
      </c>
      <c r="I150" s="88">
        <f>IF($BE150=0,"",SUMIFS(Entries!$F$2:$F$5000,Entries!$A$2:$A$5000,$A150))</f>
        <v/>
      </c>
      <c r="J150" s="88">
        <f>IF($BE150=0,NA(),H150+SUM($I$2:I150))</f>
        <v/>
      </c>
      <c r="K150" s="88">
        <f>IF($BE150=0,"",SUMIFS(Entries!$D$2:$D$5000,Entries!$C$2:$C$5000,"Income",Entries!$A$2:$A$5000,"&gt;="&amp;EDATE($A150,-11),Entries!$A$2:$A$5000,"&lt;="&amp;$A150)/12)</f>
        <v/>
      </c>
      <c r="L150" s="88">
        <f>IF($BE150=0,"",(SUMIFS(Entries!$D$2:$D$5000,Entries!$C$2:$C$5000,"Actual",Entries!$A$2:$A$5000,"&gt;="&amp;EDATE($A150,-11),Entries!$A$2:$A$5000,"&lt;="&amp;$A150)+SUMIFS(Entries!$D$2:$D$5000,Entries!$C$2:$C$5000,"One-off",Entries!$A$2:$A$5000,"&gt;="&amp;EDATE($A150,-11),Entries!$A$2:$A$5000,"&lt;="&amp;$A150))/12)</f>
        <v/>
      </c>
      <c r="M150" s="70">
        <f>IF($BE150=0,NA(),IFERROR((K150-L150)/K150,0))</f>
        <v/>
      </c>
      <c r="O150" s="88">
        <f>IF(OR(O$1="",$BE150=0),"",SUMIFS(Entries!$D$2:$D$5000,Entries!$C$2:$C$5000,"Actual",Entries!$A$2:$A$5000,$A150,Entries!$B$2:$B$5000,O$1))</f>
        <v/>
      </c>
      <c r="P150" s="88">
        <f>IF(OR(P$1="",$BE150=0),"",SUMIFS(Entries!$D$2:$D$5000,Entries!$C$2:$C$5000,"Actual",Entries!$A$2:$A$5000,$A150,Entries!$B$2:$B$5000,P$1))</f>
        <v/>
      </c>
      <c r="Q150" s="88">
        <f>IF(OR(Q$1="",$BE150=0),"",SUMIFS(Entries!$D$2:$D$5000,Entries!$C$2:$C$5000,"Actual",Entries!$A$2:$A$5000,$A150,Entries!$B$2:$B$5000,Q$1))</f>
        <v/>
      </c>
      <c r="R150" s="88">
        <f>IF(OR(R$1="",$BE150=0),"",SUMIFS(Entries!$D$2:$D$5000,Entries!$C$2:$C$5000,"Actual",Entries!$A$2:$A$5000,$A150,Entries!$B$2:$B$5000,R$1))</f>
        <v/>
      </c>
      <c r="S150" s="88">
        <f>IF(OR(S$1="",$BE150=0),"",SUMIFS(Entries!$D$2:$D$5000,Entries!$C$2:$C$5000,"Actual",Entries!$A$2:$A$5000,$A150,Entries!$B$2:$B$5000,S$1))</f>
        <v/>
      </c>
      <c r="T150" s="88">
        <f>IF(OR(T$1="",$BE150=0),"",SUMIFS(Entries!$D$2:$D$5000,Entries!$C$2:$C$5000,"Actual",Entries!$A$2:$A$5000,$A150,Entries!$B$2:$B$5000,T$1))</f>
        <v/>
      </c>
      <c r="U150" s="88">
        <f>IF(OR(U$1="",$BE150=0),"",SUMIFS(Entries!$D$2:$D$5000,Entries!$C$2:$C$5000,"Actual",Entries!$A$2:$A$5000,$A150,Entries!$B$2:$B$5000,U$1))</f>
        <v/>
      </c>
      <c r="V150" s="88">
        <f>IF(OR(V$1="",$BE150=0),"",SUMIFS(Entries!$D$2:$D$5000,Entries!$C$2:$C$5000,"Actual",Entries!$A$2:$A$5000,$A150,Entries!$B$2:$B$5000,V$1))</f>
        <v/>
      </c>
      <c r="W150" s="88">
        <f>IF(OR(W$1="",$BE150=0),"",SUMIFS(Entries!$D$2:$D$5000,Entries!$C$2:$C$5000,"Actual",Entries!$A$2:$A$5000,$A150,Entries!$B$2:$B$5000,W$1))</f>
        <v/>
      </c>
      <c r="X150" s="88">
        <f>IF(OR(X$1="",$BE150=0),"",SUMIFS(Entries!$D$2:$D$5000,Entries!$C$2:$C$5000,"Actual",Entries!$A$2:$A$5000,$A150,Entries!$B$2:$B$5000,X$1))</f>
        <v/>
      </c>
      <c r="Y150" s="88">
        <f>IF(OR(Y$1="",$BE150=0),"",SUMIFS(Entries!$D$2:$D$5000,Entries!$C$2:$C$5000,"Actual",Entries!$A$2:$A$5000,$A150,Entries!$B$2:$B$5000,Y$1))</f>
        <v/>
      </c>
      <c r="Z150" s="88">
        <f>IF(OR(Z$1="",$BE150=0),"",SUMIFS(Entries!$D$2:$D$5000,Entries!$C$2:$C$5000,"Actual",Entries!$A$2:$A$5000,$A150,Entries!$B$2:$B$5000,Z$1))</f>
        <v/>
      </c>
      <c r="AA150" s="88">
        <f>IF(OR(AA$1="",$BE150=0),"",SUMIFS(Entries!$D$2:$D$5000,Entries!$C$2:$C$5000,"Actual",Entries!$A$2:$A$5000,$A150,Entries!$B$2:$B$5000,AA$1))</f>
        <v/>
      </c>
      <c r="AB150" s="88">
        <f>IF(OR(AB$1="",$BE150=0),"",SUMIFS(Entries!$D$2:$D$5000,Entries!$C$2:$C$5000,"Actual",Entries!$A$2:$A$5000,$A150,Entries!$B$2:$B$5000,AB$1))</f>
        <v/>
      </c>
      <c r="AC150" s="88">
        <f>IF(OR(AC$1="",$BE150=0),"",SUMIFS(Entries!$D$2:$D$5000,Entries!$C$2:$C$5000,"Actual",Entries!$A$2:$A$5000,$A150,Entries!$B$2:$B$5000,AC$1))</f>
        <v/>
      </c>
      <c r="AD150" s="88">
        <f>IF(OR(AD$1="",$BE150=0),"",SUMIFS(Entries!$D$2:$D$5000,Entries!$C$2:$C$5000,"Actual",Entries!$A$2:$A$5000,$A150,Entries!$B$2:$B$5000,AD$1))</f>
        <v/>
      </c>
      <c r="AE150" s="88">
        <f>IF(OR(AE$1="",$BE150=0),"",SUMIFS(Entries!$D$2:$D$5000,Entries!$C$2:$C$5000,"Actual",Entries!$A$2:$A$5000,$A150,Entries!$B$2:$B$5000,AE$1))</f>
        <v/>
      </c>
      <c r="AF150" s="88">
        <f>IF(OR(AF$1="",$BE150=0),"",SUMIFS(Entries!$D$2:$D$5000,Entries!$C$2:$C$5000,"Actual",Entries!$A$2:$A$5000,$A150,Entries!$B$2:$B$5000,AF$1))</f>
        <v/>
      </c>
      <c r="AG150" s="88">
        <f>IF(OR(AG$1="",$BE150=0),"",SUMIFS(Entries!$D$2:$D$5000,Entries!$C$2:$C$5000,"Actual",Entries!$A$2:$A$5000,$A150,Entries!$B$2:$B$5000,AG$1))</f>
        <v/>
      </c>
      <c r="AH150" s="88">
        <f>IF(OR(AH$1="",$BE150=0),"",SUMIFS(Entries!$D$2:$D$5000,Entries!$C$2:$C$5000,"Actual",Entries!$A$2:$A$5000,$A150,Entries!$B$2:$B$5000,AH$1))</f>
        <v/>
      </c>
      <c r="AJ150" s="88">
        <f>IF(OR(AJ$1="",$BE150=0),"",IFERROR(LOOKUP(2,1/((Budgets!$A$2:$A$200=AJ$1)*(Budgets!$B$2:$B$200&lt;=$A150)),Budgets!$C$2:$C$200),0))</f>
        <v/>
      </c>
      <c r="AK150" s="88">
        <f>IF(OR(AK$1="",$BE150=0),"",IFERROR(LOOKUP(2,1/((Budgets!$A$2:$A$200=AK$1)*(Budgets!$B$2:$B$200&lt;=$A150)),Budgets!$C$2:$C$200),0))</f>
        <v/>
      </c>
      <c r="AL150" s="88">
        <f>IF(OR(AL$1="",$BE150=0),"",IFERROR(LOOKUP(2,1/((Budgets!$A$2:$A$200=AL$1)*(Budgets!$B$2:$B$200&lt;=$A150)),Budgets!$C$2:$C$200),0))</f>
        <v/>
      </c>
      <c r="AM150" s="88">
        <f>IF(OR(AM$1="",$BE150=0),"",IFERROR(LOOKUP(2,1/((Budgets!$A$2:$A$200=AM$1)*(Budgets!$B$2:$B$200&lt;=$A150)),Budgets!$C$2:$C$200),0))</f>
        <v/>
      </c>
      <c r="AN150" s="88">
        <f>IF(OR(AN$1="",$BE150=0),"",IFERROR(LOOKUP(2,1/((Budgets!$A$2:$A$200=AN$1)*(Budgets!$B$2:$B$200&lt;=$A150)),Budgets!$C$2:$C$200),0))</f>
        <v/>
      </c>
      <c r="AO150" s="88">
        <f>IF(OR(AO$1="",$BE150=0),"",IFERROR(LOOKUP(2,1/((Budgets!$A$2:$A$200=AO$1)*(Budgets!$B$2:$B$200&lt;=$A150)),Budgets!$C$2:$C$200),0))</f>
        <v/>
      </c>
      <c r="AP150" s="88">
        <f>IF(OR(AP$1="",$BE150=0),"",IFERROR(LOOKUP(2,1/((Budgets!$A$2:$A$200=AP$1)*(Budgets!$B$2:$B$200&lt;=$A150)),Budgets!$C$2:$C$200),0))</f>
        <v/>
      </c>
      <c r="AQ150" s="88">
        <f>IF(OR(AQ$1="",$BE150=0),"",IFERROR(LOOKUP(2,1/((Budgets!$A$2:$A$200=AQ$1)*(Budgets!$B$2:$B$200&lt;=$A150)),Budgets!$C$2:$C$200),0))</f>
        <v/>
      </c>
      <c r="AR150" s="88">
        <f>IF(OR(AR$1="",$BE150=0),"",IFERROR(LOOKUP(2,1/((Budgets!$A$2:$A$200=AR$1)*(Budgets!$B$2:$B$200&lt;=$A150)),Budgets!$C$2:$C$200),0))</f>
        <v/>
      </c>
      <c r="AS150" s="88">
        <f>IF(OR(AS$1="",$BE150=0),"",IFERROR(LOOKUP(2,1/((Budgets!$A$2:$A$200=AS$1)*(Budgets!$B$2:$B$200&lt;=$A150)),Budgets!$C$2:$C$200),0))</f>
        <v/>
      </c>
      <c r="AT150" s="88">
        <f>IF(OR(AT$1="",$BE150=0),"",IFERROR(LOOKUP(2,1/((Budgets!$A$2:$A$200=AT$1)*(Budgets!$B$2:$B$200&lt;=$A150)),Budgets!$C$2:$C$200),0))</f>
        <v/>
      </c>
      <c r="AU150" s="88">
        <f>IF(OR(AU$1="",$BE150=0),"",IFERROR(LOOKUP(2,1/((Budgets!$A$2:$A$200=AU$1)*(Budgets!$B$2:$B$200&lt;=$A150)),Budgets!$C$2:$C$200),0))</f>
        <v/>
      </c>
      <c r="AV150" s="88">
        <f>IF(OR(AV$1="",$BE150=0),"",IFERROR(LOOKUP(2,1/((Budgets!$A$2:$A$200=AV$1)*(Budgets!$B$2:$B$200&lt;=$A150)),Budgets!$C$2:$C$200),0))</f>
        <v/>
      </c>
      <c r="AW150" s="88">
        <f>IF(OR(AW$1="",$BE150=0),"",IFERROR(LOOKUP(2,1/((Budgets!$A$2:$A$200=AW$1)*(Budgets!$B$2:$B$200&lt;=$A150)),Budgets!$C$2:$C$200),0))</f>
        <v/>
      </c>
      <c r="AX150" s="88">
        <f>IF(OR(AX$1="",$BE150=0),"",IFERROR(LOOKUP(2,1/((Budgets!$A$2:$A$200=AX$1)*(Budgets!$B$2:$B$200&lt;=$A150)),Budgets!$C$2:$C$200),0))</f>
        <v/>
      </c>
      <c r="AY150" s="88">
        <f>IF(OR(AY$1="",$BE150=0),"",IFERROR(LOOKUP(2,1/((Budgets!$A$2:$A$200=AY$1)*(Budgets!$B$2:$B$200&lt;=$A150)),Budgets!$C$2:$C$200),0))</f>
        <v/>
      </c>
      <c r="AZ150" s="88">
        <f>IF(OR(AZ$1="",$BE150=0),"",IFERROR(LOOKUP(2,1/((Budgets!$A$2:$A$200=AZ$1)*(Budgets!$B$2:$B$200&lt;=$A150)),Budgets!$C$2:$C$200),0))</f>
        <v/>
      </c>
      <c r="BA150" s="88">
        <f>IF(OR(BA$1="",$BE150=0),"",IFERROR(LOOKUP(2,1/((Budgets!$A$2:$A$200=BA$1)*(Budgets!$B$2:$B$200&lt;=$A150)),Budgets!$C$2:$C$200),0))</f>
        <v/>
      </c>
      <c r="BB150" s="88">
        <f>IF(OR(BB$1="",$BE150=0),"",IFERROR(LOOKUP(2,1/((Budgets!$A$2:$A$200=BB$1)*(Budgets!$B$2:$B$200&lt;=$A150)),Budgets!$C$2:$C$200),0))</f>
        <v/>
      </c>
      <c r="BC150" s="88">
        <f>IF(OR(BC$1="",$BE150=0),"",IFERROR(LOOKUP(2,1/((Budgets!$A$2:$A$200=BC$1)*(Budgets!$B$2:$B$200&lt;=$A150)),Budgets!$C$2:$C$200),0))</f>
        <v/>
      </c>
      <c r="BE150" s="67">
        <f>COUNTIFS(Entries!$A$2:$A$5000,$A150)</f>
        <v/>
      </c>
    </row>
    <row r="151" ht="15" customHeight="1" s="43">
      <c r="A151" s="87" t="n">
        <v>43983</v>
      </c>
      <c r="B151" s="88">
        <f>IF($BE151=0,NA(),SUMIFS(Entries!$D$2:$D$5000,Entries!$C$2:$C$5000,"Income",Entries!$A$2:$A$5000,$A151))</f>
        <v/>
      </c>
      <c r="C151" s="88">
        <f>IF($BE151=0,"",SUMIFS(Entries!$D$2:$D$5000,Entries!$C$2:$C$5000,"Actual",Entries!$A$2:$A$5000,$A151))</f>
        <v/>
      </c>
      <c r="D151" s="88">
        <f>IF($BE151=0,"",SUMIFS(Entries!$D$2:$D$5000,Entries!$C$2:$C$5000,"One-off",Entries!$A$2:$A$5000,$A151))</f>
        <v/>
      </c>
      <c r="E151" s="88">
        <f>IF($BE151=0,NA(),C151+D151)</f>
        <v/>
      </c>
      <c r="F151" s="88">
        <f>IF($BE151=0,"",SUM(AJ151:BC151))</f>
        <v/>
      </c>
      <c r="G151" s="88">
        <f>IF($BE151=0,"",B151-E151)</f>
        <v/>
      </c>
      <c r="H151" s="88">
        <f>IF($BE151=0,"",SUM($G$2:G151))</f>
        <v/>
      </c>
      <c r="I151" s="88">
        <f>IF($BE151=0,"",SUMIFS(Entries!$F$2:$F$5000,Entries!$A$2:$A$5000,$A151))</f>
        <v/>
      </c>
      <c r="J151" s="88">
        <f>IF($BE151=0,NA(),H151+SUM($I$2:I151))</f>
        <v/>
      </c>
      <c r="K151" s="88">
        <f>IF($BE151=0,"",SUMIFS(Entries!$D$2:$D$5000,Entries!$C$2:$C$5000,"Income",Entries!$A$2:$A$5000,"&gt;="&amp;EDATE($A151,-11),Entries!$A$2:$A$5000,"&lt;="&amp;$A151)/12)</f>
        <v/>
      </c>
      <c r="L151" s="88">
        <f>IF($BE151=0,"",(SUMIFS(Entries!$D$2:$D$5000,Entries!$C$2:$C$5000,"Actual",Entries!$A$2:$A$5000,"&gt;="&amp;EDATE($A151,-11),Entries!$A$2:$A$5000,"&lt;="&amp;$A151)+SUMIFS(Entries!$D$2:$D$5000,Entries!$C$2:$C$5000,"One-off",Entries!$A$2:$A$5000,"&gt;="&amp;EDATE($A151,-11),Entries!$A$2:$A$5000,"&lt;="&amp;$A151))/12)</f>
        <v/>
      </c>
      <c r="M151" s="70">
        <f>IF($BE151=0,NA(),IFERROR((K151-L151)/K151,0))</f>
        <v/>
      </c>
      <c r="O151" s="88">
        <f>IF(OR(O$1="",$BE151=0),"",SUMIFS(Entries!$D$2:$D$5000,Entries!$C$2:$C$5000,"Actual",Entries!$A$2:$A$5000,$A151,Entries!$B$2:$B$5000,O$1))</f>
        <v/>
      </c>
      <c r="P151" s="88">
        <f>IF(OR(P$1="",$BE151=0),"",SUMIFS(Entries!$D$2:$D$5000,Entries!$C$2:$C$5000,"Actual",Entries!$A$2:$A$5000,$A151,Entries!$B$2:$B$5000,P$1))</f>
        <v/>
      </c>
      <c r="Q151" s="88">
        <f>IF(OR(Q$1="",$BE151=0),"",SUMIFS(Entries!$D$2:$D$5000,Entries!$C$2:$C$5000,"Actual",Entries!$A$2:$A$5000,$A151,Entries!$B$2:$B$5000,Q$1))</f>
        <v/>
      </c>
      <c r="R151" s="88">
        <f>IF(OR(R$1="",$BE151=0),"",SUMIFS(Entries!$D$2:$D$5000,Entries!$C$2:$C$5000,"Actual",Entries!$A$2:$A$5000,$A151,Entries!$B$2:$B$5000,R$1))</f>
        <v/>
      </c>
      <c r="S151" s="88">
        <f>IF(OR(S$1="",$BE151=0),"",SUMIFS(Entries!$D$2:$D$5000,Entries!$C$2:$C$5000,"Actual",Entries!$A$2:$A$5000,$A151,Entries!$B$2:$B$5000,S$1))</f>
        <v/>
      </c>
      <c r="T151" s="88">
        <f>IF(OR(T$1="",$BE151=0),"",SUMIFS(Entries!$D$2:$D$5000,Entries!$C$2:$C$5000,"Actual",Entries!$A$2:$A$5000,$A151,Entries!$B$2:$B$5000,T$1))</f>
        <v/>
      </c>
      <c r="U151" s="88">
        <f>IF(OR(U$1="",$BE151=0),"",SUMIFS(Entries!$D$2:$D$5000,Entries!$C$2:$C$5000,"Actual",Entries!$A$2:$A$5000,$A151,Entries!$B$2:$B$5000,U$1))</f>
        <v/>
      </c>
      <c r="V151" s="88">
        <f>IF(OR(V$1="",$BE151=0),"",SUMIFS(Entries!$D$2:$D$5000,Entries!$C$2:$C$5000,"Actual",Entries!$A$2:$A$5000,$A151,Entries!$B$2:$B$5000,V$1))</f>
        <v/>
      </c>
      <c r="W151" s="88">
        <f>IF(OR(W$1="",$BE151=0),"",SUMIFS(Entries!$D$2:$D$5000,Entries!$C$2:$C$5000,"Actual",Entries!$A$2:$A$5000,$A151,Entries!$B$2:$B$5000,W$1))</f>
        <v/>
      </c>
      <c r="X151" s="88">
        <f>IF(OR(X$1="",$BE151=0),"",SUMIFS(Entries!$D$2:$D$5000,Entries!$C$2:$C$5000,"Actual",Entries!$A$2:$A$5000,$A151,Entries!$B$2:$B$5000,X$1))</f>
        <v/>
      </c>
      <c r="Y151" s="88">
        <f>IF(OR(Y$1="",$BE151=0),"",SUMIFS(Entries!$D$2:$D$5000,Entries!$C$2:$C$5000,"Actual",Entries!$A$2:$A$5000,$A151,Entries!$B$2:$B$5000,Y$1))</f>
        <v/>
      </c>
      <c r="Z151" s="88">
        <f>IF(OR(Z$1="",$BE151=0),"",SUMIFS(Entries!$D$2:$D$5000,Entries!$C$2:$C$5000,"Actual",Entries!$A$2:$A$5000,$A151,Entries!$B$2:$B$5000,Z$1))</f>
        <v/>
      </c>
      <c r="AA151" s="88">
        <f>IF(OR(AA$1="",$BE151=0),"",SUMIFS(Entries!$D$2:$D$5000,Entries!$C$2:$C$5000,"Actual",Entries!$A$2:$A$5000,$A151,Entries!$B$2:$B$5000,AA$1))</f>
        <v/>
      </c>
      <c r="AB151" s="88">
        <f>IF(OR(AB$1="",$BE151=0),"",SUMIFS(Entries!$D$2:$D$5000,Entries!$C$2:$C$5000,"Actual",Entries!$A$2:$A$5000,$A151,Entries!$B$2:$B$5000,AB$1))</f>
        <v/>
      </c>
      <c r="AC151" s="88">
        <f>IF(OR(AC$1="",$BE151=0),"",SUMIFS(Entries!$D$2:$D$5000,Entries!$C$2:$C$5000,"Actual",Entries!$A$2:$A$5000,$A151,Entries!$B$2:$B$5000,AC$1))</f>
        <v/>
      </c>
      <c r="AD151" s="88">
        <f>IF(OR(AD$1="",$BE151=0),"",SUMIFS(Entries!$D$2:$D$5000,Entries!$C$2:$C$5000,"Actual",Entries!$A$2:$A$5000,$A151,Entries!$B$2:$B$5000,AD$1))</f>
        <v/>
      </c>
      <c r="AE151" s="88">
        <f>IF(OR(AE$1="",$BE151=0),"",SUMIFS(Entries!$D$2:$D$5000,Entries!$C$2:$C$5000,"Actual",Entries!$A$2:$A$5000,$A151,Entries!$B$2:$B$5000,AE$1))</f>
        <v/>
      </c>
      <c r="AF151" s="88">
        <f>IF(OR(AF$1="",$BE151=0),"",SUMIFS(Entries!$D$2:$D$5000,Entries!$C$2:$C$5000,"Actual",Entries!$A$2:$A$5000,$A151,Entries!$B$2:$B$5000,AF$1))</f>
        <v/>
      </c>
      <c r="AG151" s="88">
        <f>IF(OR(AG$1="",$BE151=0),"",SUMIFS(Entries!$D$2:$D$5000,Entries!$C$2:$C$5000,"Actual",Entries!$A$2:$A$5000,$A151,Entries!$B$2:$B$5000,AG$1))</f>
        <v/>
      </c>
      <c r="AH151" s="88">
        <f>IF(OR(AH$1="",$BE151=0),"",SUMIFS(Entries!$D$2:$D$5000,Entries!$C$2:$C$5000,"Actual",Entries!$A$2:$A$5000,$A151,Entries!$B$2:$B$5000,AH$1))</f>
        <v/>
      </c>
      <c r="AJ151" s="88">
        <f>IF(OR(AJ$1="",$BE151=0),"",IFERROR(LOOKUP(2,1/((Budgets!$A$2:$A$200=AJ$1)*(Budgets!$B$2:$B$200&lt;=$A151)),Budgets!$C$2:$C$200),0))</f>
        <v/>
      </c>
      <c r="AK151" s="88">
        <f>IF(OR(AK$1="",$BE151=0),"",IFERROR(LOOKUP(2,1/((Budgets!$A$2:$A$200=AK$1)*(Budgets!$B$2:$B$200&lt;=$A151)),Budgets!$C$2:$C$200),0))</f>
        <v/>
      </c>
      <c r="AL151" s="88">
        <f>IF(OR(AL$1="",$BE151=0),"",IFERROR(LOOKUP(2,1/((Budgets!$A$2:$A$200=AL$1)*(Budgets!$B$2:$B$200&lt;=$A151)),Budgets!$C$2:$C$200),0))</f>
        <v/>
      </c>
      <c r="AM151" s="88">
        <f>IF(OR(AM$1="",$BE151=0),"",IFERROR(LOOKUP(2,1/((Budgets!$A$2:$A$200=AM$1)*(Budgets!$B$2:$B$200&lt;=$A151)),Budgets!$C$2:$C$200),0))</f>
        <v/>
      </c>
      <c r="AN151" s="88">
        <f>IF(OR(AN$1="",$BE151=0),"",IFERROR(LOOKUP(2,1/((Budgets!$A$2:$A$200=AN$1)*(Budgets!$B$2:$B$200&lt;=$A151)),Budgets!$C$2:$C$200),0))</f>
        <v/>
      </c>
      <c r="AO151" s="88">
        <f>IF(OR(AO$1="",$BE151=0),"",IFERROR(LOOKUP(2,1/((Budgets!$A$2:$A$200=AO$1)*(Budgets!$B$2:$B$200&lt;=$A151)),Budgets!$C$2:$C$200),0))</f>
        <v/>
      </c>
      <c r="AP151" s="88">
        <f>IF(OR(AP$1="",$BE151=0),"",IFERROR(LOOKUP(2,1/((Budgets!$A$2:$A$200=AP$1)*(Budgets!$B$2:$B$200&lt;=$A151)),Budgets!$C$2:$C$200),0))</f>
        <v/>
      </c>
      <c r="AQ151" s="88">
        <f>IF(OR(AQ$1="",$BE151=0),"",IFERROR(LOOKUP(2,1/((Budgets!$A$2:$A$200=AQ$1)*(Budgets!$B$2:$B$200&lt;=$A151)),Budgets!$C$2:$C$200),0))</f>
        <v/>
      </c>
      <c r="AR151" s="88">
        <f>IF(OR(AR$1="",$BE151=0),"",IFERROR(LOOKUP(2,1/((Budgets!$A$2:$A$200=AR$1)*(Budgets!$B$2:$B$200&lt;=$A151)),Budgets!$C$2:$C$200),0))</f>
        <v/>
      </c>
      <c r="AS151" s="88">
        <f>IF(OR(AS$1="",$BE151=0),"",IFERROR(LOOKUP(2,1/((Budgets!$A$2:$A$200=AS$1)*(Budgets!$B$2:$B$200&lt;=$A151)),Budgets!$C$2:$C$200),0))</f>
        <v/>
      </c>
      <c r="AT151" s="88">
        <f>IF(OR(AT$1="",$BE151=0),"",IFERROR(LOOKUP(2,1/((Budgets!$A$2:$A$200=AT$1)*(Budgets!$B$2:$B$200&lt;=$A151)),Budgets!$C$2:$C$200),0))</f>
        <v/>
      </c>
      <c r="AU151" s="88">
        <f>IF(OR(AU$1="",$BE151=0),"",IFERROR(LOOKUP(2,1/((Budgets!$A$2:$A$200=AU$1)*(Budgets!$B$2:$B$200&lt;=$A151)),Budgets!$C$2:$C$200),0))</f>
        <v/>
      </c>
      <c r="AV151" s="88">
        <f>IF(OR(AV$1="",$BE151=0),"",IFERROR(LOOKUP(2,1/((Budgets!$A$2:$A$200=AV$1)*(Budgets!$B$2:$B$200&lt;=$A151)),Budgets!$C$2:$C$200),0))</f>
        <v/>
      </c>
      <c r="AW151" s="88">
        <f>IF(OR(AW$1="",$BE151=0),"",IFERROR(LOOKUP(2,1/((Budgets!$A$2:$A$200=AW$1)*(Budgets!$B$2:$B$200&lt;=$A151)),Budgets!$C$2:$C$200),0))</f>
        <v/>
      </c>
      <c r="AX151" s="88">
        <f>IF(OR(AX$1="",$BE151=0),"",IFERROR(LOOKUP(2,1/((Budgets!$A$2:$A$200=AX$1)*(Budgets!$B$2:$B$200&lt;=$A151)),Budgets!$C$2:$C$200),0))</f>
        <v/>
      </c>
      <c r="AY151" s="88">
        <f>IF(OR(AY$1="",$BE151=0),"",IFERROR(LOOKUP(2,1/((Budgets!$A$2:$A$200=AY$1)*(Budgets!$B$2:$B$200&lt;=$A151)),Budgets!$C$2:$C$200),0))</f>
        <v/>
      </c>
      <c r="AZ151" s="88">
        <f>IF(OR(AZ$1="",$BE151=0),"",IFERROR(LOOKUP(2,1/((Budgets!$A$2:$A$200=AZ$1)*(Budgets!$B$2:$B$200&lt;=$A151)),Budgets!$C$2:$C$200),0))</f>
        <v/>
      </c>
      <c r="BA151" s="88">
        <f>IF(OR(BA$1="",$BE151=0),"",IFERROR(LOOKUP(2,1/((Budgets!$A$2:$A$200=BA$1)*(Budgets!$B$2:$B$200&lt;=$A151)),Budgets!$C$2:$C$200),0))</f>
        <v/>
      </c>
      <c r="BB151" s="88">
        <f>IF(OR(BB$1="",$BE151=0),"",IFERROR(LOOKUP(2,1/((Budgets!$A$2:$A$200=BB$1)*(Budgets!$B$2:$B$200&lt;=$A151)),Budgets!$C$2:$C$200),0))</f>
        <v/>
      </c>
      <c r="BC151" s="88">
        <f>IF(OR(BC$1="",$BE151=0),"",IFERROR(LOOKUP(2,1/((Budgets!$A$2:$A$200=BC$1)*(Budgets!$B$2:$B$200&lt;=$A151)),Budgets!$C$2:$C$200),0))</f>
        <v/>
      </c>
      <c r="BE151" s="67">
        <f>COUNTIFS(Entries!$A$2:$A$5000,$A151)</f>
        <v/>
      </c>
    </row>
    <row r="152" ht="15" customHeight="1" s="43">
      <c r="A152" s="87" t="n">
        <v>44013</v>
      </c>
      <c r="B152" s="88">
        <f>IF($BE152=0,NA(),SUMIFS(Entries!$D$2:$D$5000,Entries!$C$2:$C$5000,"Income",Entries!$A$2:$A$5000,$A152))</f>
        <v/>
      </c>
      <c r="C152" s="88">
        <f>IF($BE152=0,"",SUMIFS(Entries!$D$2:$D$5000,Entries!$C$2:$C$5000,"Actual",Entries!$A$2:$A$5000,$A152))</f>
        <v/>
      </c>
      <c r="D152" s="88">
        <f>IF($BE152=0,"",SUMIFS(Entries!$D$2:$D$5000,Entries!$C$2:$C$5000,"One-off",Entries!$A$2:$A$5000,$A152))</f>
        <v/>
      </c>
      <c r="E152" s="88">
        <f>IF($BE152=0,NA(),C152+D152)</f>
        <v/>
      </c>
      <c r="F152" s="88">
        <f>IF($BE152=0,"",SUM(AJ152:BC152))</f>
        <v/>
      </c>
      <c r="G152" s="88">
        <f>IF($BE152=0,"",B152-E152)</f>
        <v/>
      </c>
      <c r="H152" s="88">
        <f>IF($BE152=0,"",SUM($G$2:G152))</f>
        <v/>
      </c>
      <c r="I152" s="88">
        <f>IF($BE152=0,"",SUMIFS(Entries!$F$2:$F$5000,Entries!$A$2:$A$5000,$A152))</f>
        <v/>
      </c>
      <c r="J152" s="88">
        <f>IF($BE152=0,NA(),H152+SUM($I$2:I152))</f>
        <v/>
      </c>
      <c r="K152" s="88">
        <f>IF($BE152=0,"",SUMIFS(Entries!$D$2:$D$5000,Entries!$C$2:$C$5000,"Income",Entries!$A$2:$A$5000,"&gt;="&amp;EDATE($A152,-11),Entries!$A$2:$A$5000,"&lt;="&amp;$A152)/12)</f>
        <v/>
      </c>
      <c r="L152" s="88">
        <f>IF($BE152=0,"",(SUMIFS(Entries!$D$2:$D$5000,Entries!$C$2:$C$5000,"Actual",Entries!$A$2:$A$5000,"&gt;="&amp;EDATE($A152,-11),Entries!$A$2:$A$5000,"&lt;="&amp;$A152)+SUMIFS(Entries!$D$2:$D$5000,Entries!$C$2:$C$5000,"One-off",Entries!$A$2:$A$5000,"&gt;="&amp;EDATE($A152,-11),Entries!$A$2:$A$5000,"&lt;="&amp;$A152))/12)</f>
        <v/>
      </c>
      <c r="M152" s="70">
        <f>IF($BE152=0,NA(),IFERROR((K152-L152)/K152,0))</f>
        <v/>
      </c>
      <c r="O152" s="88">
        <f>IF(OR(O$1="",$BE152=0),"",SUMIFS(Entries!$D$2:$D$5000,Entries!$C$2:$C$5000,"Actual",Entries!$A$2:$A$5000,$A152,Entries!$B$2:$B$5000,O$1))</f>
        <v/>
      </c>
      <c r="P152" s="88">
        <f>IF(OR(P$1="",$BE152=0),"",SUMIFS(Entries!$D$2:$D$5000,Entries!$C$2:$C$5000,"Actual",Entries!$A$2:$A$5000,$A152,Entries!$B$2:$B$5000,P$1))</f>
        <v/>
      </c>
      <c r="Q152" s="88">
        <f>IF(OR(Q$1="",$BE152=0),"",SUMIFS(Entries!$D$2:$D$5000,Entries!$C$2:$C$5000,"Actual",Entries!$A$2:$A$5000,$A152,Entries!$B$2:$B$5000,Q$1))</f>
        <v/>
      </c>
      <c r="R152" s="88">
        <f>IF(OR(R$1="",$BE152=0),"",SUMIFS(Entries!$D$2:$D$5000,Entries!$C$2:$C$5000,"Actual",Entries!$A$2:$A$5000,$A152,Entries!$B$2:$B$5000,R$1))</f>
        <v/>
      </c>
      <c r="S152" s="88">
        <f>IF(OR(S$1="",$BE152=0),"",SUMIFS(Entries!$D$2:$D$5000,Entries!$C$2:$C$5000,"Actual",Entries!$A$2:$A$5000,$A152,Entries!$B$2:$B$5000,S$1))</f>
        <v/>
      </c>
      <c r="T152" s="88">
        <f>IF(OR(T$1="",$BE152=0),"",SUMIFS(Entries!$D$2:$D$5000,Entries!$C$2:$C$5000,"Actual",Entries!$A$2:$A$5000,$A152,Entries!$B$2:$B$5000,T$1))</f>
        <v/>
      </c>
      <c r="U152" s="88">
        <f>IF(OR(U$1="",$BE152=0),"",SUMIFS(Entries!$D$2:$D$5000,Entries!$C$2:$C$5000,"Actual",Entries!$A$2:$A$5000,$A152,Entries!$B$2:$B$5000,U$1))</f>
        <v/>
      </c>
      <c r="V152" s="88">
        <f>IF(OR(V$1="",$BE152=0),"",SUMIFS(Entries!$D$2:$D$5000,Entries!$C$2:$C$5000,"Actual",Entries!$A$2:$A$5000,$A152,Entries!$B$2:$B$5000,V$1))</f>
        <v/>
      </c>
      <c r="W152" s="88">
        <f>IF(OR(W$1="",$BE152=0),"",SUMIFS(Entries!$D$2:$D$5000,Entries!$C$2:$C$5000,"Actual",Entries!$A$2:$A$5000,$A152,Entries!$B$2:$B$5000,W$1))</f>
        <v/>
      </c>
      <c r="X152" s="88">
        <f>IF(OR(X$1="",$BE152=0),"",SUMIFS(Entries!$D$2:$D$5000,Entries!$C$2:$C$5000,"Actual",Entries!$A$2:$A$5000,$A152,Entries!$B$2:$B$5000,X$1))</f>
        <v/>
      </c>
      <c r="Y152" s="88">
        <f>IF(OR(Y$1="",$BE152=0),"",SUMIFS(Entries!$D$2:$D$5000,Entries!$C$2:$C$5000,"Actual",Entries!$A$2:$A$5000,$A152,Entries!$B$2:$B$5000,Y$1))</f>
        <v/>
      </c>
      <c r="Z152" s="88">
        <f>IF(OR(Z$1="",$BE152=0),"",SUMIFS(Entries!$D$2:$D$5000,Entries!$C$2:$C$5000,"Actual",Entries!$A$2:$A$5000,$A152,Entries!$B$2:$B$5000,Z$1))</f>
        <v/>
      </c>
      <c r="AA152" s="88">
        <f>IF(OR(AA$1="",$BE152=0),"",SUMIFS(Entries!$D$2:$D$5000,Entries!$C$2:$C$5000,"Actual",Entries!$A$2:$A$5000,$A152,Entries!$B$2:$B$5000,AA$1))</f>
        <v/>
      </c>
      <c r="AB152" s="88">
        <f>IF(OR(AB$1="",$BE152=0),"",SUMIFS(Entries!$D$2:$D$5000,Entries!$C$2:$C$5000,"Actual",Entries!$A$2:$A$5000,$A152,Entries!$B$2:$B$5000,AB$1))</f>
        <v/>
      </c>
      <c r="AC152" s="88">
        <f>IF(OR(AC$1="",$BE152=0),"",SUMIFS(Entries!$D$2:$D$5000,Entries!$C$2:$C$5000,"Actual",Entries!$A$2:$A$5000,$A152,Entries!$B$2:$B$5000,AC$1))</f>
        <v/>
      </c>
      <c r="AD152" s="88">
        <f>IF(OR(AD$1="",$BE152=0),"",SUMIFS(Entries!$D$2:$D$5000,Entries!$C$2:$C$5000,"Actual",Entries!$A$2:$A$5000,$A152,Entries!$B$2:$B$5000,AD$1))</f>
        <v/>
      </c>
      <c r="AE152" s="88">
        <f>IF(OR(AE$1="",$BE152=0),"",SUMIFS(Entries!$D$2:$D$5000,Entries!$C$2:$C$5000,"Actual",Entries!$A$2:$A$5000,$A152,Entries!$B$2:$B$5000,AE$1))</f>
        <v/>
      </c>
      <c r="AF152" s="88">
        <f>IF(OR(AF$1="",$BE152=0),"",SUMIFS(Entries!$D$2:$D$5000,Entries!$C$2:$C$5000,"Actual",Entries!$A$2:$A$5000,$A152,Entries!$B$2:$B$5000,AF$1))</f>
        <v/>
      </c>
      <c r="AG152" s="88">
        <f>IF(OR(AG$1="",$BE152=0),"",SUMIFS(Entries!$D$2:$D$5000,Entries!$C$2:$C$5000,"Actual",Entries!$A$2:$A$5000,$A152,Entries!$B$2:$B$5000,AG$1))</f>
        <v/>
      </c>
      <c r="AH152" s="88">
        <f>IF(OR(AH$1="",$BE152=0),"",SUMIFS(Entries!$D$2:$D$5000,Entries!$C$2:$C$5000,"Actual",Entries!$A$2:$A$5000,$A152,Entries!$B$2:$B$5000,AH$1))</f>
        <v/>
      </c>
      <c r="AJ152" s="88">
        <f>IF(OR(AJ$1="",$BE152=0),"",IFERROR(LOOKUP(2,1/((Budgets!$A$2:$A$200=AJ$1)*(Budgets!$B$2:$B$200&lt;=$A152)),Budgets!$C$2:$C$200),0))</f>
        <v/>
      </c>
      <c r="AK152" s="88">
        <f>IF(OR(AK$1="",$BE152=0),"",IFERROR(LOOKUP(2,1/((Budgets!$A$2:$A$200=AK$1)*(Budgets!$B$2:$B$200&lt;=$A152)),Budgets!$C$2:$C$200),0))</f>
        <v/>
      </c>
      <c r="AL152" s="88">
        <f>IF(OR(AL$1="",$BE152=0),"",IFERROR(LOOKUP(2,1/((Budgets!$A$2:$A$200=AL$1)*(Budgets!$B$2:$B$200&lt;=$A152)),Budgets!$C$2:$C$200),0))</f>
        <v/>
      </c>
      <c r="AM152" s="88">
        <f>IF(OR(AM$1="",$BE152=0),"",IFERROR(LOOKUP(2,1/((Budgets!$A$2:$A$200=AM$1)*(Budgets!$B$2:$B$200&lt;=$A152)),Budgets!$C$2:$C$200),0))</f>
        <v/>
      </c>
      <c r="AN152" s="88">
        <f>IF(OR(AN$1="",$BE152=0),"",IFERROR(LOOKUP(2,1/((Budgets!$A$2:$A$200=AN$1)*(Budgets!$B$2:$B$200&lt;=$A152)),Budgets!$C$2:$C$200),0))</f>
        <v/>
      </c>
      <c r="AO152" s="88">
        <f>IF(OR(AO$1="",$BE152=0),"",IFERROR(LOOKUP(2,1/((Budgets!$A$2:$A$200=AO$1)*(Budgets!$B$2:$B$200&lt;=$A152)),Budgets!$C$2:$C$200),0))</f>
        <v/>
      </c>
      <c r="AP152" s="88">
        <f>IF(OR(AP$1="",$BE152=0),"",IFERROR(LOOKUP(2,1/((Budgets!$A$2:$A$200=AP$1)*(Budgets!$B$2:$B$200&lt;=$A152)),Budgets!$C$2:$C$200),0))</f>
        <v/>
      </c>
      <c r="AQ152" s="88">
        <f>IF(OR(AQ$1="",$BE152=0),"",IFERROR(LOOKUP(2,1/((Budgets!$A$2:$A$200=AQ$1)*(Budgets!$B$2:$B$200&lt;=$A152)),Budgets!$C$2:$C$200),0))</f>
        <v/>
      </c>
      <c r="AR152" s="88">
        <f>IF(OR(AR$1="",$BE152=0),"",IFERROR(LOOKUP(2,1/((Budgets!$A$2:$A$200=AR$1)*(Budgets!$B$2:$B$200&lt;=$A152)),Budgets!$C$2:$C$200),0))</f>
        <v/>
      </c>
      <c r="AS152" s="88">
        <f>IF(OR(AS$1="",$BE152=0),"",IFERROR(LOOKUP(2,1/((Budgets!$A$2:$A$200=AS$1)*(Budgets!$B$2:$B$200&lt;=$A152)),Budgets!$C$2:$C$200),0))</f>
        <v/>
      </c>
      <c r="AT152" s="88">
        <f>IF(OR(AT$1="",$BE152=0),"",IFERROR(LOOKUP(2,1/((Budgets!$A$2:$A$200=AT$1)*(Budgets!$B$2:$B$200&lt;=$A152)),Budgets!$C$2:$C$200),0))</f>
        <v/>
      </c>
      <c r="AU152" s="88">
        <f>IF(OR(AU$1="",$BE152=0),"",IFERROR(LOOKUP(2,1/((Budgets!$A$2:$A$200=AU$1)*(Budgets!$B$2:$B$200&lt;=$A152)),Budgets!$C$2:$C$200),0))</f>
        <v/>
      </c>
      <c r="AV152" s="88">
        <f>IF(OR(AV$1="",$BE152=0),"",IFERROR(LOOKUP(2,1/((Budgets!$A$2:$A$200=AV$1)*(Budgets!$B$2:$B$200&lt;=$A152)),Budgets!$C$2:$C$200),0))</f>
        <v/>
      </c>
      <c r="AW152" s="88">
        <f>IF(OR(AW$1="",$BE152=0),"",IFERROR(LOOKUP(2,1/((Budgets!$A$2:$A$200=AW$1)*(Budgets!$B$2:$B$200&lt;=$A152)),Budgets!$C$2:$C$200),0))</f>
        <v/>
      </c>
      <c r="AX152" s="88">
        <f>IF(OR(AX$1="",$BE152=0),"",IFERROR(LOOKUP(2,1/((Budgets!$A$2:$A$200=AX$1)*(Budgets!$B$2:$B$200&lt;=$A152)),Budgets!$C$2:$C$200),0))</f>
        <v/>
      </c>
      <c r="AY152" s="88">
        <f>IF(OR(AY$1="",$BE152=0),"",IFERROR(LOOKUP(2,1/((Budgets!$A$2:$A$200=AY$1)*(Budgets!$B$2:$B$200&lt;=$A152)),Budgets!$C$2:$C$200),0))</f>
        <v/>
      </c>
      <c r="AZ152" s="88">
        <f>IF(OR(AZ$1="",$BE152=0),"",IFERROR(LOOKUP(2,1/((Budgets!$A$2:$A$200=AZ$1)*(Budgets!$B$2:$B$200&lt;=$A152)),Budgets!$C$2:$C$200),0))</f>
        <v/>
      </c>
      <c r="BA152" s="88">
        <f>IF(OR(BA$1="",$BE152=0),"",IFERROR(LOOKUP(2,1/((Budgets!$A$2:$A$200=BA$1)*(Budgets!$B$2:$B$200&lt;=$A152)),Budgets!$C$2:$C$200),0))</f>
        <v/>
      </c>
      <c r="BB152" s="88">
        <f>IF(OR(BB$1="",$BE152=0),"",IFERROR(LOOKUP(2,1/((Budgets!$A$2:$A$200=BB$1)*(Budgets!$B$2:$B$200&lt;=$A152)),Budgets!$C$2:$C$200),0))</f>
        <v/>
      </c>
      <c r="BC152" s="88">
        <f>IF(OR(BC$1="",$BE152=0),"",IFERROR(LOOKUP(2,1/((Budgets!$A$2:$A$200=BC$1)*(Budgets!$B$2:$B$200&lt;=$A152)),Budgets!$C$2:$C$200),0))</f>
        <v/>
      </c>
      <c r="BE152" s="67">
        <f>COUNTIFS(Entries!$A$2:$A$5000,$A152)</f>
        <v/>
      </c>
    </row>
    <row r="153" ht="15" customHeight="1" s="43">
      <c r="A153" s="87" t="n">
        <v>44044</v>
      </c>
      <c r="B153" s="88">
        <f>IF($BE153=0,NA(),SUMIFS(Entries!$D$2:$D$5000,Entries!$C$2:$C$5000,"Income",Entries!$A$2:$A$5000,$A153))</f>
        <v/>
      </c>
      <c r="C153" s="88">
        <f>IF($BE153=0,"",SUMIFS(Entries!$D$2:$D$5000,Entries!$C$2:$C$5000,"Actual",Entries!$A$2:$A$5000,$A153))</f>
        <v/>
      </c>
      <c r="D153" s="88">
        <f>IF($BE153=0,"",SUMIFS(Entries!$D$2:$D$5000,Entries!$C$2:$C$5000,"One-off",Entries!$A$2:$A$5000,$A153))</f>
        <v/>
      </c>
      <c r="E153" s="88">
        <f>IF($BE153=0,NA(),C153+D153)</f>
        <v/>
      </c>
      <c r="F153" s="88">
        <f>IF($BE153=0,"",SUM(AJ153:BC153))</f>
        <v/>
      </c>
      <c r="G153" s="88">
        <f>IF($BE153=0,"",B153-E153)</f>
        <v/>
      </c>
      <c r="H153" s="88">
        <f>IF($BE153=0,"",SUM($G$2:G153))</f>
        <v/>
      </c>
      <c r="I153" s="88">
        <f>IF($BE153=0,"",SUMIFS(Entries!$F$2:$F$5000,Entries!$A$2:$A$5000,$A153))</f>
        <v/>
      </c>
      <c r="J153" s="88">
        <f>IF($BE153=0,NA(),H153+SUM($I$2:I153))</f>
        <v/>
      </c>
      <c r="K153" s="88">
        <f>IF($BE153=0,"",SUMIFS(Entries!$D$2:$D$5000,Entries!$C$2:$C$5000,"Income",Entries!$A$2:$A$5000,"&gt;="&amp;EDATE($A153,-11),Entries!$A$2:$A$5000,"&lt;="&amp;$A153)/12)</f>
        <v/>
      </c>
      <c r="L153" s="88">
        <f>IF($BE153=0,"",(SUMIFS(Entries!$D$2:$D$5000,Entries!$C$2:$C$5000,"Actual",Entries!$A$2:$A$5000,"&gt;="&amp;EDATE($A153,-11),Entries!$A$2:$A$5000,"&lt;="&amp;$A153)+SUMIFS(Entries!$D$2:$D$5000,Entries!$C$2:$C$5000,"One-off",Entries!$A$2:$A$5000,"&gt;="&amp;EDATE($A153,-11),Entries!$A$2:$A$5000,"&lt;="&amp;$A153))/12)</f>
        <v/>
      </c>
      <c r="M153" s="70">
        <f>IF($BE153=0,NA(),IFERROR((K153-L153)/K153,0))</f>
        <v/>
      </c>
      <c r="O153" s="88">
        <f>IF(OR(O$1="",$BE153=0),"",SUMIFS(Entries!$D$2:$D$5000,Entries!$C$2:$C$5000,"Actual",Entries!$A$2:$A$5000,$A153,Entries!$B$2:$B$5000,O$1))</f>
        <v/>
      </c>
      <c r="P153" s="88">
        <f>IF(OR(P$1="",$BE153=0),"",SUMIFS(Entries!$D$2:$D$5000,Entries!$C$2:$C$5000,"Actual",Entries!$A$2:$A$5000,$A153,Entries!$B$2:$B$5000,P$1))</f>
        <v/>
      </c>
      <c r="Q153" s="88">
        <f>IF(OR(Q$1="",$BE153=0),"",SUMIFS(Entries!$D$2:$D$5000,Entries!$C$2:$C$5000,"Actual",Entries!$A$2:$A$5000,$A153,Entries!$B$2:$B$5000,Q$1))</f>
        <v/>
      </c>
      <c r="R153" s="88">
        <f>IF(OR(R$1="",$BE153=0),"",SUMIFS(Entries!$D$2:$D$5000,Entries!$C$2:$C$5000,"Actual",Entries!$A$2:$A$5000,$A153,Entries!$B$2:$B$5000,R$1))</f>
        <v/>
      </c>
      <c r="S153" s="88">
        <f>IF(OR(S$1="",$BE153=0),"",SUMIFS(Entries!$D$2:$D$5000,Entries!$C$2:$C$5000,"Actual",Entries!$A$2:$A$5000,$A153,Entries!$B$2:$B$5000,S$1))</f>
        <v/>
      </c>
      <c r="T153" s="88">
        <f>IF(OR(T$1="",$BE153=0),"",SUMIFS(Entries!$D$2:$D$5000,Entries!$C$2:$C$5000,"Actual",Entries!$A$2:$A$5000,$A153,Entries!$B$2:$B$5000,T$1))</f>
        <v/>
      </c>
      <c r="U153" s="88">
        <f>IF(OR(U$1="",$BE153=0),"",SUMIFS(Entries!$D$2:$D$5000,Entries!$C$2:$C$5000,"Actual",Entries!$A$2:$A$5000,$A153,Entries!$B$2:$B$5000,U$1))</f>
        <v/>
      </c>
      <c r="V153" s="88">
        <f>IF(OR(V$1="",$BE153=0),"",SUMIFS(Entries!$D$2:$D$5000,Entries!$C$2:$C$5000,"Actual",Entries!$A$2:$A$5000,$A153,Entries!$B$2:$B$5000,V$1))</f>
        <v/>
      </c>
      <c r="W153" s="88">
        <f>IF(OR(W$1="",$BE153=0),"",SUMIFS(Entries!$D$2:$D$5000,Entries!$C$2:$C$5000,"Actual",Entries!$A$2:$A$5000,$A153,Entries!$B$2:$B$5000,W$1))</f>
        <v/>
      </c>
      <c r="X153" s="88">
        <f>IF(OR(X$1="",$BE153=0),"",SUMIFS(Entries!$D$2:$D$5000,Entries!$C$2:$C$5000,"Actual",Entries!$A$2:$A$5000,$A153,Entries!$B$2:$B$5000,X$1))</f>
        <v/>
      </c>
      <c r="Y153" s="88">
        <f>IF(OR(Y$1="",$BE153=0),"",SUMIFS(Entries!$D$2:$D$5000,Entries!$C$2:$C$5000,"Actual",Entries!$A$2:$A$5000,$A153,Entries!$B$2:$B$5000,Y$1))</f>
        <v/>
      </c>
      <c r="Z153" s="88">
        <f>IF(OR(Z$1="",$BE153=0),"",SUMIFS(Entries!$D$2:$D$5000,Entries!$C$2:$C$5000,"Actual",Entries!$A$2:$A$5000,$A153,Entries!$B$2:$B$5000,Z$1))</f>
        <v/>
      </c>
      <c r="AA153" s="88">
        <f>IF(OR(AA$1="",$BE153=0),"",SUMIFS(Entries!$D$2:$D$5000,Entries!$C$2:$C$5000,"Actual",Entries!$A$2:$A$5000,$A153,Entries!$B$2:$B$5000,AA$1))</f>
        <v/>
      </c>
      <c r="AB153" s="88">
        <f>IF(OR(AB$1="",$BE153=0),"",SUMIFS(Entries!$D$2:$D$5000,Entries!$C$2:$C$5000,"Actual",Entries!$A$2:$A$5000,$A153,Entries!$B$2:$B$5000,AB$1))</f>
        <v/>
      </c>
      <c r="AC153" s="88">
        <f>IF(OR(AC$1="",$BE153=0),"",SUMIFS(Entries!$D$2:$D$5000,Entries!$C$2:$C$5000,"Actual",Entries!$A$2:$A$5000,$A153,Entries!$B$2:$B$5000,AC$1))</f>
        <v/>
      </c>
      <c r="AD153" s="88">
        <f>IF(OR(AD$1="",$BE153=0),"",SUMIFS(Entries!$D$2:$D$5000,Entries!$C$2:$C$5000,"Actual",Entries!$A$2:$A$5000,$A153,Entries!$B$2:$B$5000,AD$1))</f>
        <v/>
      </c>
      <c r="AE153" s="88">
        <f>IF(OR(AE$1="",$BE153=0),"",SUMIFS(Entries!$D$2:$D$5000,Entries!$C$2:$C$5000,"Actual",Entries!$A$2:$A$5000,$A153,Entries!$B$2:$B$5000,AE$1))</f>
        <v/>
      </c>
      <c r="AF153" s="88">
        <f>IF(OR(AF$1="",$BE153=0),"",SUMIFS(Entries!$D$2:$D$5000,Entries!$C$2:$C$5000,"Actual",Entries!$A$2:$A$5000,$A153,Entries!$B$2:$B$5000,AF$1))</f>
        <v/>
      </c>
      <c r="AG153" s="88">
        <f>IF(OR(AG$1="",$BE153=0),"",SUMIFS(Entries!$D$2:$D$5000,Entries!$C$2:$C$5000,"Actual",Entries!$A$2:$A$5000,$A153,Entries!$B$2:$B$5000,AG$1))</f>
        <v/>
      </c>
      <c r="AH153" s="88">
        <f>IF(OR(AH$1="",$BE153=0),"",SUMIFS(Entries!$D$2:$D$5000,Entries!$C$2:$C$5000,"Actual",Entries!$A$2:$A$5000,$A153,Entries!$B$2:$B$5000,AH$1))</f>
        <v/>
      </c>
      <c r="AJ153" s="88">
        <f>IF(OR(AJ$1="",$BE153=0),"",IFERROR(LOOKUP(2,1/((Budgets!$A$2:$A$200=AJ$1)*(Budgets!$B$2:$B$200&lt;=$A153)),Budgets!$C$2:$C$200),0))</f>
        <v/>
      </c>
      <c r="AK153" s="88">
        <f>IF(OR(AK$1="",$BE153=0),"",IFERROR(LOOKUP(2,1/((Budgets!$A$2:$A$200=AK$1)*(Budgets!$B$2:$B$200&lt;=$A153)),Budgets!$C$2:$C$200),0))</f>
        <v/>
      </c>
      <c r="AL153" s="88">
        <f>IF(OR(AL$1="",$BE153=0),"",IFERROR(LOOKUP(2,1/((Budgets!$A$2:$A$200=AL$1)*(Budgets!$B$2:$B$200&lt;=$A153)),Budgets!$C$2:$C$200),0))</f>
        <v/>
      </c>
      <c r="AM153" s="88">
        <f>IF(OR(AM$1="",$BE153=0),"",IFERROR(LOOKUP(2,1/((Budgets!$A$2:$A$200=AM$1)*(Budgets!$B$2:$B$200&lt;=$A153)),Budgets!$C$2:$C$200),0))</f>
        <v/>
      </c>
      <c r="AN153" s="88">
        <f>IF(OR(AN$1="",$BE153=0),"",IFERROR(LOOKUP(2,1/((Budgets!$A$2:$A$200=AN$1)*(Budgets!$B$2:$B$200&lt;=$A153)),Budgets!$C$2:$C$200),0))</f>
        <v/>
      </c>
      <c r="AO153" s="88">
        <f>IF(OR(AO$1="",$BE153=0),"",IFERROR(LOOKUP(2,1/((Budgets!$A$2:$A$200=AO$1)*(Budgets!$B$2:$B$200&lt;=$A153)),Budgets!$C$2:$C$200),0))</f>
        <v/>
      </c>
      <c r="AP153" s="88">
        <f>IF(OR(AP$1="",$BE153=0),"",IFERROR(LOOKUP(2,1/((Budgets!$A$2:$A$200=AP$1)*(Budgets!$B$2:$B$200&lt;=$A153)),Budgets!$C$2:$C$200),0))</f>
        <v/>
      </c>
      <c r="AQ153" s="88">
        <f>IF(OR(AQ$1="",$BE153=0),"",IFERROR(LOOKUP(2,1/((Budgets!$A$2:$A$200=AQ$1)*(Budgets!$B$2:$B$200&lt;=$A153)),Budgets!$C$2:$C$200),0))</f>
        <v/>
      </c>
      <c r="AR153" s="88">
        <f>IF(OR(AR$1="",$BE153=0),"",IFERROR(LOOKUP(2,1/((Budgets!$A$2:$A$200=AR$1)*(Budgets!$B$2:$B$200&lt;=$A153)),Budgets!$C$2:$C$200),0))</f>
        <v/>
      </c>
      <c r="AS153" s="88">
        <f>IF(OR(AS$1="",$BE153=0),"",IFERROR(LOOKUP(2,1/((Budgets!$A$2:$A$200=AS$1)*(Budgets!$B$2:$B$200&lt;=$A153)),Budgets!$C$2:$C$200),0))</f>
        <v/>
      </c>
      <c r="AT153" s="88">
        <f>IF(OR(AT$1="",$BE153=0),"",IFERROR(LOOKUP(2,1/((Budgets!$A$2:$A$200=AT$1)*(Budgets!$B$2:$B$200&lt;=$A153)),Budgets!$C$2:$C$200),0))</f>
        <v/>
      </c>
      <c r="AU153" s="88">
        <f>IF(OR(AU$1="",$BE153=0),"",IFERROR(LOOKUP(2,1/((Budgets!$A$2:$A$200=AU$1)*(Budgets!$B$2:$B$200&lt;=$A153)),Budgets!$C$2:$C$200),0))</f>
        <v/>
      </c>
      <c r="AV153" s="88">
        <f>IF(OR(AV$1="",$BE153=0),"",IFERROR(LOOKUP(2,1/((Budgets!$A$2:$A$200=AV$1)*(Budgets!$B$2:$B$200&lt;=$A153)),Budgets!$C$2:$C$200),0))</f>
        <v/>
      </c>
      <c r="AW153" s="88">
        <f>IF(OR(AW$1="",$BE153=0),"",IFERROR(LOOKUP(2,1/((Budgets!$A$2:$A$200=AW$1)*(Budgets!$B$2:$B$200&lt;=$A153)),Budgets!$C$2:$C$200),0))</f>
        <v/>
      </c>
      <c r="AX153" s="88">
        <f>IF(OR(AX$1="",$BE153=0),"",IFERROR(LOOKUP(2,1/((Budgets!$A$2:$A$200=AX$1)*(Budgets!$B$2:$B$200&lt;=$A153)),Budgets!$C$2:$C$200),0))</f>
        <v/>
      </c>
      <c r="AY153" s="88">
        <f>IF(OR(AY$1="",$BE153=0),"",IFERROR(LOOKUP(2,1/((Budgets!$A$2:$A$200=AY$1)*(Budgets!$B$2:$B$200&lt;=$A153)),Budgets!$C$2:$C$200),0))</f>
        <v/>
      </c>
      <c r="AZ153" s="88">
        <f>IF(OR(AZ$1="",$BE153=0),"",IFERROR(LOOKUP(2,1/((Budgets!$A$2:$A$200=AZ$1)*(Budgets!$B$2:$B$200&lt;=$A153)),Budgets!$C$2:$C$200),0))</f>
        <v/>
      </c>
      <c r="BA153" s="88">
        <f>IF(OR(BA$1="",$BE153=0),"",IFERROR(LOOKUP(2,1/((Budgets!$A$2:$A$200=BA$1)*(Budgets!$B$2:$B$200&lt;=$A153)),Budgets!$C$2:$C$200),0))</f>
        <v/>
      </c>
      <c r="BB153" s="88">
        <f>IF(OR(BB$1="",$BE153=0),"",IFERROR(LOOKUP(2,1/((Budgets!$A$2:$A$200=BB$1)*(Budgets!$B$2:$B$200&lt;=$A153)),Budgets!$C$2:$C$200),0))</f>
        <v/>
      </c>
      <c r="BC153" s="88">
        <f>IF(OR(BC$1="",$BE153=0),"",IFERROR(LOOKUP(2,1/((Budgets!$A$2:$A$200=BC$1)*(Budgets!$B$2:$B$200&lt;=$A153)),Budgets!$C$2:$C$200),0))</f>
        <v/>
      </c>
      <c r="BE153" s="67">
        <f>COUNTIFS(Entries!$A$2:$A$5000,$A153)</f>
        <v/>
      </c>
    </row>
    <row r="154" ht="15" customHeight="1" s="43">
      <c r="A154" s="87" t="n">
        <v>44075</v>
      </c>
      <c r="B154" s="88">
        <f>IF($BE154=0,NA(),SUMIFS(Entries!$D$2:$D$5000,Entries!$C$2:$C$5000,"Income",Entries!$A$2:$A$5000,$A154))</f>
        <v/>
      </c>
      <c r="C154" s="88">
        <f>IF($BE154=0,"",SUMIFS(Entries!$D$2:$D$5000,Entries!$C$2:$C$5000,"Actual",Entries!$A$2:$A$5000,$A154))</f>
        <v/>
      </c>
      <c r="D154" s="88">
        <f>IF($BE154=0,"",SUMIFS(Entries!$D$2:$D$5000,Entries!$C$2:$C$5000,"One-off",Entries!$A$2:$A$5000,$A154))</f>
        <v/>
      </c>
      <c r="E154" s="88">
        <f>IF($BE154=0,NA(),C154+D154)</f>
        <v/>
      </c>
      <c r="F154" s="88">
        <f>IF($BE154=0,"",SUM(AJ154:BC154))</f>
        <v/>
      </c>
      <c r="G154" s="88">
        <f>IF($BE154=0,"",B154-E154)</f>
        <v/>
      </c>
      <c r="H154" s="88">
        <f>IF($BE154=0,"",SUM($G$2:G154))</f>
        <v/>
      </c>
      <c r="I154" s="88">
        <f>IF($BE154=0,"",SUMIFS(Entries!$F$2:$F$5000,Entries!$A$2:$A$5000,$A154))</f>
        <v/>
      </c>
      <c r="J154" s="88">
        <f>IF($BE154=0,NA(),H154+SUM($I$2:I154))</f>
        <v/>
      </c>
      <c r="K154" s="88">
        <f>IF($BE154=0,"",SUMIFS(Entries!$D$2:$D$5000,Entries!$C$2:$C$5000,"Income",Entries!$A$2:$A$5000,"&gt;="&amp;EDATE($A154,-11),Entries!$A$2:$A$5000,"&lt;="&amp;$A154)/12)</f>
        <v/>
      </c>
      <c r="L154" s="88">
        <f>IF($BE154=0,"",(SUMIFS(Entries!$D$2:$D$5000,Entries!$C$2:$C$5000,"Actual",Entries!$A$2:$A$5000,"&gt;="&amp;EDATE($A154,-11),Entries!$A$2:$A$5000,"&lt;="&amp;$A154)+SUMIFS(Entries!$D$2:$D$5000,Entries!$C$2:$C$5000,"One-off",Entries!$A$2:$A$5000,"&gt;="&amp;EDATE($A154,-11),Entries!$A$2:$A$5000,"&lt;="&amp;$A154))/12)</f>
        <v/>
      </c>
      <c r="M154" s="70">
        <f>IF($BE154=0,NA(),IFERROR((K154-L154)/K154,0))</f>
        <v/>
      </c>
      <c r="O154" s="88">
        <f>IF(OR(O$1="",$BE154=0),"",SUMIFS(Entries!$D$2:$D$5000,Entries!$C$2:$C$5000,"Actual",Entries!$A$2:$A$5000,$A154,Entries!$B$2:$B$5000,O$1))</f>
        <v/>
      </c>
      <c r="P154" s="88">
        <f>IF(OR(P$1="",$BE154=0),"",SUMIFS(Entries!$D$2:$D$5000,Entries!$C$2:$C$5000,"Actual",Entries!$A$2:$A$5000,$A154,Entries!$B$2:$B$5000,P$1))</f>
        <v/>
      </c>
      <c r="Q154" s="88">
        <f>IF(OR(Q$1="",$BE154=0),"",SUMIFS(Entries!$D$2:$D$5000,Entries!$C$2:$C$5000,"Actual",Entries!$A$2:$A$5000,$A154,Entries!$B$2:$B$5000,Q$1))</f>
        <v/>
      </c>
      <c r="R154" s="88">
        <f>IF(OR(R$1="",$BE154=0),"",SUMIFS(Entries!$D$2:$D$5000,Entries!$C$2:$C$5000,"Actual",Entries!$A$2:$A$5000,$A154,Entries!$B$2:$B$5000,R$1))</f>
        <v/>
      </c>
      <c r="S154" s="88">
        <f>IF(OR(S$1="",$BE154=0),"",SUMIFS(Entries!$D$2:$D$5000,Entries!$C$2:$C$5000,"Actual",Entries!$A$2:$A$5000,$A154,Entries!$B$2:$B$5000,S$1))</f>
        <v/>
      </c>
      <c r="T154" s="88">
        <f>IF(OR(T$1="",$BE154=0),"",SUMIFS(Entries!$D$2:$D$5000,Entries!$C$2:$C$5000,"Actual",Entries!$A$2:$A$5000,$A154,Entries!$B$2:$B$5000,T$1))</f>
        <v/>
      </c>
      <c r="U154" s="88">
        <f>IF(OR(U$1="",$BE154=0),"",SUMIFS(Entries!$D$2:$D$5000,Entries!$C$2:$C$5000,"Actual",Entries!$A$2:$A$5000,$A154,Entries!$B$2:$B$5000,U$1))</f>
        <v/>
      </c>
      <c r="V154" s="88">
        <f>IF(OR(V$1="",$BE154=0),"",SUMIFS(Entries!$D$2:$D$5000,Entries!$C$2:$C$5000,"Actual",Entries!$A$2:$A$5000,$A154,Entries!$B$2:$B$5000,V$1))</f>
        <v/>
      </c>
      <c r="W154" s="88">
        <f>IF(OR(W$1="",$BE154=0),"",SUMIFS(Entries!$D$2:$D$5000,Entries!$C$2:$C$5000,"Actual",Entries!$A$2:$A$5000,$A154,Entries!$B$2:$B$5000,W$1))</f>
        <v/>
      </c>
      <c r="X154" s="88">
        <f>IF(OR(X$1="",$BE154=0),"",SUMIFS(Entries!$D$2:$D$5000,Entries!$C$2:$C$5000,"Actual",Entries!$A$2:$A$5000,$A154,Entries!$B$2:$B$5000,X$1))</f>
        <v/>
      </c>
      <c r="Y154" s="88">
        <f>IF(OR(Y$1="",$BE154=0),"",SUMIFS(Entries!$D$2:$D$5000,Entries!$C$2:$C$5000,"Actual",Entries!$A$2:$A$5000,$A154,Entries!$B$2:$B$5000,Y$1))</f>
        <v/>
      </c>
      <c r="Z154" s="88">
        <f>IF(OR(Z$1="",$BE154=0),"",SUMIFS(Entries!$D$2:$D$5000,Entries!$C$2:$C$5000,"Actual",Entries!$A$2:$A$5000,$A154,Entries!$B$2:$B$5000,Z$1))</f>
        <v/>
      </c>
      <c r="AA154" s="88">
        <f>IF(OR(AA$1="",$BE154=0),"",SUMIFS(Entries!$D$2:$D$5000,Entries!$C$2:$C$5000,"Actual",Entries!$A$2:$A$5000,$A154,Entries!$B$2:$B$5000,AA$1))</f>
        <v/>
      </c>
      <c r="AB154" s="88">
        <f>IF(OR(AB$1="",$BE154=0),"",SUMIFS(Entries!$D$2:$D$5000,Entries!$C$2:$C$5000,"Actual",Entries!$A$2:$A$5000,$A154,Entries!$B$2:$B$5000,AB$1))</f>
        <v/>
      </c>
      <c r="AC154" s="88">
        <f>IF(OR(AC$1="",$BE154=0),"",SUMIFS(Entries!$D$2:$D$5000,Entries!$C$2:$C$5000,"Actual",Entries!$A$2:$A$5000,$A154,Entries!$B$2:$B$5000,AC$1))</f>
        <v/>
      </c>
      <c r="AD154" s="88">
        <f>IF(OR(AD$1="",$BE154=0),"",SUMIFS(Entries!$D$2:$D$5000,Entries!$C$2:$C$5000,"Actual",Entries!$A$2:$A$5000,$A154,Entries!$B$2:$B$5000,AD$1))</f>
        <v/>
      </c>
      <c r="AE154" s="88">
        <f>IF(OR(AE$1="",$BE154=0),"",SUMIFS(Entries!$D$2:$D$5000,Entries!$C$2:$C$5000,"Actual",Entries!$A$2:$A$5000,$A154,Entries!$B$2:$B$5000,AE$1))</f>
        <v/>
      </c>
      <c r="AF154" s="88">
        <f>IF(OR(AF$1="",$BE154=0),"",SUMIFS(Entries!$D$2:$D$5000,Entries!$C$2:$C$5000,"Actual",Entries!$A$2:$A$5000,$A154,Entries!$B$2:$B$5000,AF$1))</f>
        <v/>
      </c>
      <c r="AG154" s="88">
        <f>IF(OR(AG$1="",$BE154=0),"",SUMIFS(Entries!$D$2:$D$5000,Entries!$C$2:$C$5000,"Actual",Entries!$A$2:$A$5000,$A154,Entries!$B$2:$B$5000,AG$1))</f>
        <v/>
      </c>
      <c r="AH154" s="88">
        <f>IF(OR(AH$1="",$BE154=0),"",SUMIFS(Entries!$D$2:$D$5000,Entries!$C$2:$C$5000,"Actual",Entries!$A$2:$A$5000,$A154,Entries!$B$2:$B$5000,AH$1))</f>
        <v/>
      </c>
      <c r="AJ154" s="88">
        <f>IF(OR(AJ$1="",$BE154=0),"",IFERROR(LOOKUP(2,1/((Budgets!$A$2:$A$200=AJ$1)*(Budgets!$B$2:$B$200&lt;=$A154)),Budgets!$C$2:$C$200),0))</f>
        <v/>
      </c>
      <c r="AK154" s="88">
        <f>IF(OR(AK$1="",$BE154=0),"",IFERROR(LOOKUP(2,1/((Budgets!$A$2:$A$200=AK$1)*(Budgets!$B$2:$B$200&lt;=$A154)),Budgets!$C$2:$C$200),0))</f>
        <v/>
      </c>
      <c r="AL154" s="88">
        <f>IF(OR(AL$1="",$BE154=0),"",IFERROR(LOOKUP(2,1/((Budgets!$A$2:$A$200=AL$1)*(Budgets!$B$2:$B$200&lt;=$A154)),Budgets!$C$2:$C$200),0))</f>
        <v/>
      </c>
      <c r="AM154" s="88">
        <f>IF(OR(AM$1="",$BE154=0),"",IFERROR(LOOKUP(2,1/((Budgets!$A$2:$A$200=AM$1)*(Budgets!$B$2:$B$200&lt;=$A154)),Budgets!$C$2:$C$200),0))</f>
        <v/>
      </c>
      <c r="AN154" s="88">
        <f>IF(OR(AN$1="",$BE154=0),"",IFERROR(LOOKUP(2,1/((Budgets!$A$2:$A$200=AN$1)*(Budgets!$B$2:$B$200&lt;=$A154)),Budgets!$C$2:$C$200),0))</f>
        <v/>
      </c>
      <c r="AO154" s="88">
        <f>IF(OR(AO$1="",$BE154=0),"",IFERROR(LOOKUP(2,1/((Budgets!$A$2:$A$200=AO$1)*(Budgets!$B$2:$B$200&lt;=$A154)),Budgets!$C$2:$C$200),0))</f>
        <v/>
      </c>
      <c r="AP154" s="88">
        <f>IF(OR(AP$1="",$BE154=0),"",IFERROR(LOOKUP(2,1/((Budgets!$A$2:$A$200=AP$1)*(Budgets!$B$2:$B$200&lt;=$A154)),Budgets!$C$2:$C$200),0))</f>
        <v/>
      </c>
      <c r="AQ154" s="88">
        <f>IF(OR(AQ$1="",$BE154=0),"",IFERROR(LOOKUP(2,1/((Budgets!$A$2:$A$200=AQ$1)*(Budgets!$B$2:$B$200&lt;=$A154)),Budgets!$C$2:$C$200),0))</f>
        <v/>
      </c>
      <c r="AR154" s="88">
        <f>IF(OR(AR$1="",$BE154=0),"",IFERROR(LOOKUP(2,1/((Budgets!$A$2:$A$200=AR$1)*(Budgets!$B$2:$B$200&lt;=$A154)),Budgets!$C$2:$C$200),0))</f>
        <v/>
      </c>
      <c r="AS154" s="88">
        <f>IF(OR(AS$1="",$BE154=0),"",IFERROR(LOOKUP(2,1/((Budgets!$A$2:$A$200=AS$1)*(Budgets!$B$2:$B$200&lt;=$A154)),Budgets!$C$2:$C$200),0))</f>
        <v/>
      </c>
      <c r="AT154" s="88">
        <f>IF(OR(AT$1="",$BE154=0),"",IFERROR(LOOKUP(2,1/((Budgets!$A$2:$A$200=AT$1)*(Budgets!$B$2:$B$200&lt;=$A154)),Budgets!$C$2:$C$200),0))</f>
        <v/>
      </c>
      <c r="AU154" s="88">
        <f>IF(OR(AU$1="",$BE154=0),"",IFERROR(LOOKUP(2,1/((Budgets!$A$2:$A$200=AU$1)*(Budgets!$B$2:$B$200&lt;=$A154)),Budgets!$C$2:$C$200),0))</f>
        <v/>
      </c>
      <c r="AV154" s="88">
        <f>IF(OR(AV$1="",$BE154=0),"",IFERROR(LOOKUP(2,1/((Budgets!$A$2:$A$200=AV$1)*(Budgets!$B$2:$B$200&lt;=$A154)),Budgets!$C$2:$C$200),0))</f>
        <v/>
      </c>
      <c r="AW154" s="88">
        <f>IF(OR(AW$1="",$BE154=0),"",IFERROR(LOOKUP(2,1/((Budgets!$A$2:$A$200=AW$1)*(Budgets!$B$2:$B$200&lt;=$A154)),Budgets!$C$2:$C$200),0))</f>
        <v/>
      </c>
      <c r="AX154" s="88">
        <f>IF(OR(AX$1="",$BE154=0),"",IFERROR(LOOKUP(2,1/((Budgets!$A$2:$A$200=AX$1)*(Budgets!$B$2:$B$200&lt;=$A154)),Budgets!$C$2:$C$200),0))</f>
        <v/>
      </c>
      <c r="AY154" s="88">
        <f>IF(OR(AY$1="",$BE154=0),"",IFERROR(LOOKUP(2,1/((Budgets!$A$2:$A$200=AY$1)*(Budgets!$B$2:$B$200&lt;=$A154)),Budgets!$C$2:$C$200),0))</f>
        <v/>
      </c>
      <c r="AZ154" s="88">
        <f>IF(OR(AZ$1="",$BE154=0),"",IFERROR(LOOKUP(2,1/((Budgets!$A$2:$A$200=AZ$1)*(Budgets!$B$2:$B$200&lt;=$A154)),Budgets!$C$2:$C$200),0))</f>
        <v/>
      </c>
      <c r="BA154" s="88">
        <f>IF(OR(BA$1="",$BE154=0),"",IFERROR(LOOKUP(2,1/((Budgets!$A$2:$A$200=BA$1)*(Budgets!$B$2:$B$200&lt;=$A154)),Budgets!$C$2:$C$200),0))</f>
        <v/>
      </c>
      <c r="BB154" s="88">
        <f>IF(OR(BB$1="",$BE154=0),"",IFERROR(LOOKUP(2,1/((Budgets!$A$2:$A$200=BB$1)*(Budgets!$B$2:$B$200&lt;=$A154)),Budgets!$C$2:$C$200),0))</f>
        <v/>
      </c>
      <c r="BC154" s="88">
        <f>IF(OR(BC$1="",$BE154=0),"",IFERROR(LOOKUP(2,1/((Budgets!$A$2:$A$200=BC$1)*(Budgets!$B$2:$B$200&lt;=$A154)),Budgets!$C$2:$C$200),0))</f>
        <v/>
      </c>
      <c r="BE154" s="67">
        <f>COUNTIFS(Entries!$A$2:$A$5000,$A154)</f>
        <v/>
      </c>
    </row>
    <row r="155" ht="15" customHeight="1" s="43">
      <c r="A155" s="87" t="n">
        <v>44105</v>
      </c>
      <c r="B155" s="88">
        <f>IF($BE155=0,NA(),SUMIFS(Entries!$D$2:$D$5000,Entries!$C$2:$C$5000,"Income",Entries!$A$2:$A$5000,$A155))</f>
        <v/>
      </c>
      <c r="C155" s="88">
        <f>IF($BE155=0,"",SUMIFS(Entries!$D$2:$D$5000,Entries!$C$2:$C$5000,"Actual",Entries!$A$2:$A$5000,$A155))</f>
        <v/>
      </c>
      <c r="D155" s="88">
        <f>IF($BE155=0,"",SUMIFS(Entries!$D$2:$D$5000,Entries!$C$2:$C$5000,"One-off",Entries!$A$2:$A$5000,$A155))</f>
        <v/>
      </c>
      <c r="E155" s="88">
        <f>IF($BE155=0,NA(),C155+D155)</f>
        <v/>
      </c>
      <c r="F155" s="88">
        <f>IF($BE155=0,"",SUM(AJ155:BC155))</f>
        <v/>
      </c>
      <c r="G155" s="88">
        <f>IF($BE155=0,"",B155-E155)</f>
        <v/>
      </c>
      <c r="H155" s="88">
        <f>IF($BE155=0,"",SUM($G$2:G155))</f>
        <v/>
      </c>
      <c r="I155" s="88">
        <f>IF($BE155=0,"",SUMIFS(Entries!$F$2:$F$5000,Entries!$A$2:$A$5000,$A155))</f>
        <v/>
      </c>
      <c r="J155" s="88">
        <f>IF($BE155=0,NA(),H155+SUM($I$2:I155))</f>
        <v/>
      </c>
      <c r="K155" s="88">
        <f>IF($BE155=0,"",SUMIFS(Entries!$D$2:$D$5000,Entries!$C$2:$C$5000,"Income",Entries!$A$2:$A$5000,"&gt;="&amp;EDATE($A155,-11),Entries!$A$2:$A$5000,"&lt;="&amp;$A155)/12)</f>
        <v/>
      </c>
      <c r="L155" s="88">
        <f>IF($BE155=0,"",(SUMIFS(Entries!$D$2:$D$5000,Entries!$C$2:$C$5000,"Actual",Entries!$A$2:$A$5000,"&gt;="&amp;EDATE($A155,-11),Entries!$A$2:$A$5000,"&lt;="&amp;$A155)+SUMIFS(Entries!$D$2:$D$5000,Entries!$C$2:$C$5000,"One-off",Entries!$A$2:$A$5000,"&gt;="&amp;EDATE($A155,-11),Entries!$A$2:$A$5000,"&lt;="&amp;$A155))/12)</f>
        <v/>
      </c>
      <c r="M155" s="70">
        <f>IF($BE155=0,NA(),IFERROR((K155-L155)/K155,0))</f>
        <v/>
      </c>
      <c r="O155" s="88">
        <f>IF(OR(O$1="",$BE155=0),"",SUMIFS(Entries!$D$2:$D$5000,Entries!$C$2:$C$5000,"Actual",Entries!$A$2:$A$5000,$A155,Entries!$B$2:$B$5000,O$1))</f>
        <v/>
      </c>
      <c r="P155" s="88">
        <f>IF(OR(P$1="",$BE155=0),"",SUMIFS(Entries!$D$2:$D$5000,Entries!$C$2:$C$5000,"Actual",Entries!$A$2:$A$5000,$A155,Entries!$B$2:$B$5000,P$1))</f>
        <v/>
      </c>
      <c r="Q155" s="88">
        <f>IF(OR(Q$1="",$BE155=0),"",SUMIFS(Entries!$D$2:$D$5000,Entries!$C$2:$C$5000,"Actual",Entries!$A$2:$A$5000,$A155,Entries!$B$2:$B$5000,Q$1))</f>
        <v/>
      </c>
      <c r="R155" s="88">
        <f>IF(OR(R$1="",$BE155=0),"",SUMIFS(Entries!$D$2:$D$5000,Entries!$C$2:$C$5000,"Actual",Entries!$A$2:$A$5000,$A155,Entries!$B$2:$B$5000,R$1))</f>
        <v/>
      </c>
      <c r="S155" s="88">
        <f>IF(OR(S$1="",$BE155=0),"",SUMIFS(Entries!$D$2:$D$5000,Entries!$C$2:$C$5000,"Actual",Entries!$A$2:$A$5000,$A155,Entries!$B$2:$B$5000,S$1))</f>
        <v/>
      </c>
      <c r="T155" s="88">
        <f>IF(OR(T$1="",$BE155=0),"",SUMIFS(Entries!$D$2:$D$5000,Entries!$C$2:$C$5000,"Actual",Entries!$A$2:$A$5000,$A155,Entries!$B$2:$B$5000,T$1))</f>
        <v/>
      </c>
      <c r="U155" s="88">
        <f>IF(OR(U$1="",$BE155=0),"",SUMIFS(Entries!$D$2:$D$5000,Entries!$C$2:$C$5000,"Actual",Entries!$A$2:$A$5000,$A155,Entries!$B$2:$B$5000,U$1))</f>
        <v/>
      </c>
      <c r="V155" s="88">
        <f>IF(OR(V$1="",$BE155=0),"",SUMIFS(Entries!$D$2:$D$5000,Entries!$C$2:$C$5000,"Actual",Entries!$A$2:$A$5000,$A155,Entries!$B$2:$B$5000,V$1))</f>
        <v/>
      </c>
      <c r="W155" s="88">
        <f>IF(OR(W$1="",$BE155=0),"",SUMIFS(Entries!$D$2:$D$5000,Entries!$C$2:$C$5000,"Actual",Entries!$A$2:$A$5000,$A155,Entries!$B$2:$B$5000,W$1))</f>
        <v/>
      </c>
      <c r="X155" s="88">
        <f>IF(OR(X$1="",$BE155=0),"",SUMIFS(Entries!$D$2:$D$5000,Entries!$C$2:$C$5000,"Actual",Entries!$A$2:$A$5000,$A155,Entries!$B$2:$B$5000,X$1))</f>
        <v/>
      </c>
      <c r="Y155" s="88">
        <f>IF(OR(Y$1="",$BE155=0),"",SUMIFS(Entries!$D$2:$D$5000,Entries!$C$2:$C$5000,"Actual",Entries!$A$2:$A$5000,$A155,Entries!$B$2:$B$5000,Y$1))</f>
        <v/>
      </c>
      <c r="Z155" s="88">
        <f>IF(OR(Z$1="",$BE155=0),"",SUMIFS(Entries!$D$2:$D$5000,Entries!$C$2:$C$5000,"Actual",Entries!$A$2:$A$5000,$A155,Entries!$B$2:$B$5000,Z$1))</f>
        <v/>
      </c>
      <c r="AA155" s="88">
        <f>IF(OR(AA$1="",$BE155=0),"",SUMIFS(Entries!$D$2:$D$5000,Entries!$C$2:$C$5000,"Actual",Entries!$A$2:$A$5000,$A155,Entries!$B$2:$B$5000,AA$1))</f>
        <v/>
      </c>
      <c r="AB155" s="88">
        <f>IF(OR(AB$1="",$BE155=0),"",SUMIFS(Entries!$D$2:$D$5000,Entries!$C$2:$C$5000,"Actual",Entries!$A$2:$A$5000,$A155,Entries!$B$2:$B$5000,AB$1))</f>
        <v/>
      </c>
      <c r="AC155" s="88">
        <f>IF(OR(AC$1="",$BE155=0),"",SUMIFS(Entries!$D$2:$D$5000,Entries!$C$2:$C$5000,"Actual",Entries!$A$2:$A$5000,$A155,Entries!$B$2:$B$5000,AC$1))</f>
        <v/>
      </c>
      <c r="AD155" s="88">
        <f>IF(OR(AD$1="",$BE155=0),"",SUMIFS(Entries!$D$2:$D$5000,Entries!$C$2:$C$5000,"Actual",Entries!$A$2:$A$5000,$A155,Entries!$B$2:$B$5000,AD$1))</f>
        <v/>
      </c>
      <c r="AE155" s="88">
        <f>IF(OR(AE$1="",$BE155=0),"",SUMIFS(Entries!$D$2:$D$5000,Entries!$C$2:$C$5000,"Actual",Entries!$A$2:$A$5000,$A155,Entries!$B$2:$B$5000,AE$1))</f>
        <v/>
      </c>
      <c r="AF155" s="88">
        <f>IF(OR(AF$1="",$BE155=0),"",SUMIFS(Entries!$D$2:$D$5000,Entries!$C$2:$C$5000,"Actual",Entries!$A$2:$A$5000,$A155,Entries!$B$2:$B$5000,AF$1))</f>
        <v/>
      </c>
      <c r="AG155" s="88">
        <f>IF(OR(AG$1="",$BE155=0),"",SUMIFS(Entries!$D$2:$D$5000,Entries!$C$2:$C$5000,"Actual",Entries!$A$2:$A$5000,$A155,Entries!$B$2:$B$5000,AG$1))</f>
        <v/>
      </c>
      <c r="AH155" s="88">
        <f>IF(OR(AH$1="",$BE155=0),"",SUMIFS(Entries!$D$2:$D$5000,Entries!$C$2:$C$5000,"Actual",Entries!$A$2:$A$5000,$A155,Entries!$B$2:$B$5000,AH$1))</f>
        <v/>
      </c>
      <c r="AJ155" s="88">
        <f>IF(OR(AJ$1="",$BE155=0),"",IFERROR(LOOKUP(2,1/((Budgets!$A$2:$A$200=AJ$1)*(Budgets!$B$2:$B$200&lt;=$A155)),Budgets!$C$2:$C$200),0))</f>
        <v/>
      </c>
      <c r="AK155" s="88">
        <f>IF(OR(AK$1="",$BE155=0),"",IFERROR(LOOKUP(2,1/((Budgets!$A$2:$A$200=AK$1)*(Budgets!$B$2:$B$200&lt;=$A155)),Budgets!$C$2:$C$200),0))</f>
        <v/>
      </c>
      <c r="AL155" s="88">
        <f>IF(OR(AL$1="",$BE155=0),"",IFERROR(LOOKUP(2,1/((Budgets!$A$2:$A$200=AL$1)*(Budgets!$B$2:$B$200&lt;=$A155)),Budgets!$C$2:$C$200),0))</f>
        <v/>
      </c>
      <c r="AM155" s="88">
        <f>IF(OR(AM$1="",$BE155=0),"",IFERROR(LOOKUP(2,1/((Budgets!$A$2:$A$200=AM$1)*(Budgets!$B$2:$B$200&lt;=$A155)),Budgets!$C$2:$C$200),0))</f>
        <v/>
      </c>
      <c r="AN155" s="88">
        <f>IF(OR(AN$1="",$BE155=0),"",IFERROR(LOOKUP(2,1/((Budgets!$A$2:$A$200=AN$1)*(Budgets!$B$2:$B$200&lt;=$A155)),Budgets!$C$2:$C$200),0))</f>
        <v/>
      </c>
      <c r="AO155" s="88">
        <f>IF(OR(AO$1="",$BE155=0),"",IFERROR(LOOKUP(2,1/((Budgets!$A$2:$A$200=AO$1)*(Budgets!$B$2:$B$200&lt;=$A155)),Budgets!$C$2:$C$200),0))</f>
        <v/>
      </c>
      <c r="AP155" s="88">
        <f>IF(OR(AP$1="",$BE155=0),"",IFERROR(LOOKUP(2,1/((Budgets!$A$2:$A$200=AP$1)*(Budgets!$B$2:$B$200&lt;=$A155)),Budgets!$C$2:$C$200),0))</f>
        <v/>
      </c>
      <c r="AQ155" s="88">
        <f>IF(OR(AQ$1="",$BE155=0),"",IFERROR(LOOKUP(2,1/((Budgets!$A$2:$A$200=AQ$1)*(Budgets!$B$2:$B$200&lt;=$A155)),Budgets!$C$2:$C$200),0))</f>
        <v/>
      </c>
      <c r="AR155" s="88">
        <f>IF(OR(AR$1="",$BE155=0),"",IFERROR(LOOKUP(2,1/((Budgets!$A$2:$A$200=AR$1)*(Budgets!$B$2:$B$200&lt;=$A155)),Budgets!$C$2:$C$200),0))</f>
        <v/>
      </c>
      <c r="AS155" s="88">
        <f>IF(OR(AS$1="",$BE155=0),"",IFERROR(LOOKUP(2,1/((Budgets!$A$2:$A$200=AS$1)*(Budgets!$B$2:$B$200&lt;=$A155)),Budgets!$C$2:$C$200),0))</f>
        <v/>
      </c>
      <c r="AT155" s="88">
        <f>IF(OR(AT$1="",$BE155=0),"",IFERROR(LOOKUP(2,1/((Budgets!$A$2:$A$200=AT$1)*(Budgets!$B$2:$B$200&lt;=$A155)),Budgets!$C$2:$C$200),0))</f>
        <v/>
      </c>
      <c r="AU155" s="88">
        <f>IF(OR(AU$1="",$BE155=0),"",IFERROR(LOOKUP(2,1/((Budgets!$A$2:$A$200=AU$1)*(Budgets!$B$2:$B$200&lt;=$A155)),Budgets!$C$2:$C$200),0))</f>
        <v/>
      </c>
      <c r="AV155" s="88">
        <f>IF(OR(AV$1="",$BE155=0),"",IFERROR(LOOKUP(2,1/((Budgets!$A$2:$A$200=AV$1)*(Budgets!$B$2:$B$200&lt;=$A155)),Budgets!$C$2:$C$200),0))</f>
        <v/>
      </c>
      <c r="AW155" s="88">
        <f>IF(OR(AW$1="",$BE155=0),"",IFERROR(LOOKUP(2,1/((Budgets!$A$2:$A$200=AW$1)*(Budgets!$B$2:$B$200&lt;=$A155)),Budgets!$C$2:$C$200),0))</f>
        <v/>
      </c>
      <c r="AX155" s="88">
        <f>IF(OR(AX$1="",$BE155=0),"",IFERROR(LOOKUP(2,1/((Budgets!$A$2:$A$200=AX$1)*(Budgets!$B$2:$B$200&lt;=$A155)),Budgets!$C$2:$C$200),0))</f>
        <v/>
      </c>
      <c r="AY155" s="88">
        <f>IF(OR(AY$1="",$BE155=0),"",IFERROR(LOOKUP(2,1/((Budgets!$A$2:$A$200=AY$1)*(Budgets!$B$2:$B$200&lt;=$A155)),Budgets!$C$2:$C$200),0))</f>
        <v/>
      </c>
      <c r="AZ155" s="88">
        <f>IF(OR(AZ$1="",$BE155=0),"",IFERROR(LOOKUP(2,1/((Budgets!$A$2:$A$200=AZ$1)*(Budgets!$B$2:$B$200&lt;=$A155)),Budgets!$C$2:$C$200),0))</f>
        <v/>
      </c>
      <c r="BA155" s="88">
        <f>IF(OR(BA$1="",$BE155=0),"",IFERROR(LOOKUP(2,1/((Budgets!$A$2:$A$200=BA$1)*(Budgets!$B$2:$B$200&lt;=$A155)),Budgets!$C$2:$C$200),0))</f>
        <v/>
      </c>
      <c r="BB155" s="88">
        <f>IF(OR(BB$1="",$BE155=0),"",IFERROR(LOOKUP(2,1/((Budgets!$A$2:$A$200=BB$1)*(Budgets!$B$2:$B$200&lt;=$A155)),Budgets!$C$2:$C$200),0))</f>
        <v/>
      </c>
      <c r="BC155" s="88">
        <f>IF(OR(BC$1="",$BE155=0),"",IFERROR(LOOKUP(2,1/((Budgets!$A$2:$A$200=BC$1)*(Budgets!$B$2:$B$200&lt;=$A155)),Budgets!$C$2:$C$200),0))</f>
        <v/>
      </c>
      <c r="BE155" s="67">
        <f>COUNTIFS(Entries!$A$2:$A$5000,$A155)</f>
        <v/>
      </c>
    </row>
    <row r="156" ht="15" customHeight="1" s="43">
      <c r="A156" s="87" t="n">
        <v>44136</v>
      </c>
      <c r="B156" s="88">
        <f>IF($BE156=0,NA(),SUMIFS(Entries!$D$2:$D$5000,Entries!$C$2:$C$5000,"Income",Entries!$A$2:$A$5000,$A156))</f>
        <v/>
      </c>
      <c r="C156" s="88">
        <f>IF($BE156=0,"",SUMIFS(Entries!$D$2:$D$5000,Entries!$C$2:$C$5000,"Actual",Entries!$A$2:$A$5000,$A156))</f>
        <v/>
      </c>
      <c r="D156" s="88">
        <f>IF($BE156=0,"",SUMIFS(Entries!$D$2:$D$5000,Entries!$C$2:$C$5000,"One-off",Entries!$A$2:$A$5000,$A156))</f>
        <v/>
      </c>
      <c r="E156" s="88">
        <f>IF($BE156=0,NA(),C156+D156)</f>
        <v/>
      </c>
      <c r="F156" s="88">
        <f>IF($BE156=0,"",SUM(AJ156:BC156))</f>
        <v/>
      </c>
      <c r="G156" s="88">
        <f>IF($BE156=0,"",B156-E156)</f>
        <v/>
      </c>
      <c r="H156" s="88">
        <f>IF($BE156=0,"",SUM($G$2:G156))</f>
        <v/>
      </c>
      <c r="I156" s="88">
        <f>IF($BE156=0,"",SUMIFS(Entries!$F$2:$F$5000,Entries!$A$2:$A$5000,$A156))</f>
        <v/>
      </c>
      <c r="J156" s="88">
        <f>IF($BE156=0,NA(),H156+SUM($I$2:I156))</f>
        <v/>
      </c>
      <c r="K156" s="88">
        <f>IF($BE156=0,"",SUMIFS(Entries!$D$2:$D$5000,Entries!$C$2:$C$5000,"Income",Entries!$A$2:$A$5000,"&gt;="&amp;EDATE($A156,-11),Entries!$A$2:$A$5000,"&lt;="&amp;$A156)/12)</f>
        <v/>
      </c>
      <c r="L156" s="88">
        <f>IF($BE156=0,"",(SUMIFS(Entries!$D$2:$D$5000,Entries!$C$2:$C$5000,"Actual",Entries!$A$2:$A$5000,"&gt;="&amp;EDATE($A156,-11),Entries!$A$2:$A$5000,"&lt;="&amp;$A156)+SUMIFS(Entries!$D$2:$D$5000,Entries!$C$2:$C$5000,"One-off",Entries!$A$2:$A$5000,"&gt;="&amp;EDATE($A156,-11),Entries!$A$2:$A$5000,"&lt;="&amp;$A156))/12)</f>
        <v/>
      </c>
      <c r="M156" s="70">
        <f>IF($BE156=0,NA(),IFERROR((K156-L156)/K156,0))</f>
        <v/>
      </c>
      <c r="O156" s="88">
        <f>IF(OR(O$1="",$BE156=0),"",SUMIFS(Entries!$D$2:$D$5000,Entries!$C$2:$C$5000,"Actual",Entries!$A$2:$A$5000,$A156,Entries!$B$2:$B$5000,O$1))</f>
        <v/>
      </c>
      <c r="P156" s="88">
        <f>IF(OR(P$1="",$BE156=0),"",SUMIFS(Entries!$D$2:$D$5000,Entries!$C$2:$C$5000,"Actual",Entries!$A$2:$A$5000,$A156,Entries!$B$2:$B$5000,P$1))</f>
        <v/>
      </c>
      <c r="Q156" s="88">
        <f>IF(OR(Q$1="",$BE156=0),"",SUMIFS(Entries!$D$2:$D$5000,Entries!$C$2:$C$5000,"Actual",Entries!$A$2:$A$5000,$A156,Entries!$B$2:$B$5000,Q$1))</f>
        <v/>
      </c>
      <c r="R156" s="88">
        <f>IF(OR(R$1="",$BE156=0),"",SUMIFS(Entries!$D$2:$D$5000,Entries!$C$2:$C$5000,"Actual",Entries!$A$2:$A$5000,$A156,Entries!$B$2:$B$5000,R$1))</f>
        <v/>
      </c>
      <c r="S156" s="88">
        <f>IF(OR(S$1="",$BE156=0),"",SUMIFS(Entries!$D$2:$D$5000,Entries!$C$2:$C$5000,"Actual",Entries!$A$2:$A$5000,$A156,Entries!$B$2:$B$5000,S$1))</f>
        <v/>
      </c>
      <c r="T156" s="88">
        <f>IF(OR(T$1="",$BE156=0),"",SUMIFS(Entries!$D$2:$D$5000,Entries!$C$2:$C$5000,"Actual",Entries!$A$2:$A$5000,$A156,Entries!$B$2:$B$5000,T$1))</f>
        <v/>
      </c>
      <c r="U156" s="88">
        <f>IF(OR(U$1="",$BE156=0),"",SUMIFS(Entries!$D$2:$D$5000,Entries!$C$2:$C$5000,"Actual",Entries!$A$2:$A$5000,$A156,Entries!$B$2:$B$5000,U$1))</f>
        <v/>
      </c>
      <c r="V156" s="88">
        <f>IF(OR(V$1="",$BE156=0),"",SUMIFS(Entries!$D$2:$D$5000,Entries!$C$2:$C$5000,"Actual",Entries!$A$2:$A$5000,$A156,Entries!$B$2:$B$5000,V$1))</f>
        <v/>
      </c>
      <c r="W156" s="88">
        <f>IF(OR(W$1="",$BE156=0),"",SUMIFS(Entries!$D$2:$D$5000,Entries!$C$2:$C$5000,"Actual",Entries!$A$2:$A$5000,$A156,Entries!$B$2:$B$5000,W$1))</f>
        <v/>
      </c>
      <c r="X156" s="88">
        <f>IF(OR(X$1="",$BE156=0),"",SUMIFS(Entries!$D$2:$D$5000,Entries!$C$2:$C$5000,"Actual",Entries!$A$2:$A$5000,$A156,Entries!$B$2:$B$5000,X$1))</f>
        <v/>
      </c>
      <c r="Y156" s="88">
        <f>IF(OR(Y$1="",$BE156=0),"",SUMIFS(Entries!$D$2:$D$5000,Entries!$C$2:$C$5000,"Actual",Entries!$A$2:$A$5000,$A156,Entries!$B$2:$B$5000,Y$1))</f>
        <v/>
      </c>
      <c r="Z156" s="88">
        <f>IF(OR(Z$1="",$BE156=0),"",SUMIFS(Entries!$D$2:$D$5000,Entries!$C$2:$C$5000,"Actual",Entries!$A$2:$A$5000,$A156,Entries!$B$2:$B$5000,Z$1))</f>
        <v/>
      </c>
      <c r="AA156" s="88">
        <f>IF(OR(AA$1="",$BE156=0),"",SUMIFS(Entries!$D$2:$D$5000,Entries!$C$2:$C$5000,"Actual",Entries!$A$2:$A$5000,$A156,Entries!$B$2:$B$5000,AA$1))</f>
        <v/>
      </c>
      <c r="AB156" s="88">
        <f>IF(OR(AB$1="",$BE156=0),"",SUMIFS(Entries!$D$2:$D$5000,Entries!$C$2:$C$5000,"Actual",Entries!$A$2:$A$5000,$A156,Entries!$B$2:$B$5000,AB$1))</f>
        <v/>
      </c>
      <c r="AC156" s="88">
        <f>IF(OR(AC$1="",$BE156=0),"",SUMIFS(Entries!$D$2:$D$5000,Entries!$C$2:$C$5000,"Actual",Entries!$A$2:$A$5000,$A156,Entries!$B$2:$B$5000,AC$1))</f>
        <v/>
      </c>
      <c r="AD156" s="88">
        <f>IF(OR(AD$1="",$BE156=0),"",SUMIFS(Entries!$D$2:$D$5000,Entries!$C$2:$C$5000,"Actual",Entries!$A$2:$A$5000,$A156,Entries!$B$2:$B$5000,AD$1))</f>
        <v/>
      </c>
      <c r="AE156" s="88">
        <f>IF(OR(AE$1="",$BE156=0),"",SUMIFS(Entries!$D$2:$D$5000,Entries!$C$2:$C$5000,"Actual",Entries!$A$2:$A$5000,$A156,Entries!$B$2:$B$5000,AE$1))</f>
        <v/>
      </c>
      <c r="AF156" s="88">
        <f>IF(OR(AF$1="",$BE156=0),"",SUMIFS(Entries!$D$2:$D$5000,Entries!$C$2:$C$5000,"Actual",Entries!$A$2:$A$5000,$A156,Entries!$B$2:$B$5000,AF$1))</f>
        <v/>
      </c>
      <c r="AG156" s="88">
        <f>IF(OR(AG$1="",$BE156=0),"",SUMIFS(Entries!$D$2:$D$5000,Entries!$C$2:$C$5000,"Actual",Entries!$A$2:$A$5000,$A156,Entries!$B$2:$B$5000,AG$1))</f>
        <v/>
      </c>
      <c r="AH156" s="88">
        <f>IF(OR(AH$1="",$BE156=0),"",SUMIFS(Entries!$D$2:$D$5000,Entries!$C$2:$C$5000,"Actual",Entries!$A$2:$A$5000,$A156,Entries!$B$2:$B$5000,AH$1))</f>
        <v/>
      </c>
      <c r="AJ156" s="88">
        <f>IF(OR(AJ$1="",$BE156=0),"",IFERROR(LOOKUP(2,1/((Budgets!$A$2:$A$200=AJ$1)*(Budgets!$B$2:$B$200&lt;=$A156)),Budgets!$C$2:$C$200),0))</f>
        <v/>
      </c>
      <c r="AK156" s="88">
        <f>IF(OR(AK$1="",$BE156=0),"",IFERROR(LOOKUP(2,1/((Budgets!$A$2:$A$200=AK$1)*(Budgets!$B$2:$B$200&lt;=$A156)),Budgets!$C$2:$C$200),0))</f>
        <v/>
      </c>
      <c r="AL156" s="88">
        <f>IF(OR(AL$1="",$BE156=0),"",IFERROR(LOOKUP(2,1/((Budgets!$A$2:$A$200=AL$1)*(Budgets!$B$2:$B$200&lt;=$A156)),Budgets!$C$2:$C$200),0))</f>
        <v/>
      </c>
      <c r="AM156" s="88">
        <f>IF(OR(AM$1="",$BE156=0),"",IFERROR(LOOKUP(2,1/((Budgets!$A$2:$A$200=AM$1)*(Budgets!$B$2:$B$200&lt;=$A156)),Budgets!$C$2:$C$200),0))</f>
        <v/>
      </c>
      <c r="AN156" s="88">
        <f>IF(OR(AN$1="",$BE156=0),"",IFERROR(LOOKUP(2,1/((Budgets!$A$2:$A$200=AN$1)*(Budgets!$B$2:$B$200&lt;=$A156)),Budgets!$C$2:$C$200),0))</f>
        <v/>
      </c>
      <c r="AO156" s="88">
        <f>IF(OR(AO$1="",$BE156=0),"",IFERROR(LOOKUP(2,1/((Budgets!$A$2:$A$200=AO$1)*(Budgets!$B$2:$B$200&lt;=$A156)),Budgets!$C$2:$C$200),0))</f>
        <v/>
      </c>
      <c r="AP156" s="88">
        <f>IF(OR(AP$1="",$BE156=0),"",IFERROR(LOOKUP(2,1/((Budgets!$A$2:$A$200=AP$1)*(Budgets!$B$2:$B$200&lt;=$A156)),Budgets!$C$2:$C$200),0))</f>
        <v/>
      </c>
      <c r="AQ156" s="88">
        <f>IF(OR(AQ$1="",$BE156=0),"",IFERROR(LOOKUP(2,1/((Budgets!$A$2:$A$200=AQ$1)*(Budgets!$B$2:$B$200&lt;=$A156)),Budgets!$C$2:$C$200),0))</f>
        <v/>
      </c>
      <c r="AR156" s="88">
        <f>IF(OR(AR$1="",$BE156=0),"",IFERROR(LOOKUP(2,1/((Budgets!$A$2:$A$200=AR$1)*(Budgets!$B$2:$B$200&lt;=$A156)),Budgets!$C$2:$C$200),0))</f>
        <v/>
      </c>
      <c r="AS156" s="88">
        <f>IF(OR(AS$1="",$BE156=0),"",IFERROR(LOOKUP(2,1/((Budgets!$A$2:$A$200=AS$1)*(Budgets!$B$2:$B$200&lt;=$A156)),Budgets!$C$2:$C$200),0))</f>
        <v/>
      </c>
      <c r="AT156" s="88">
        <f>IF(OR(AT$1="",$BE156=0),"",IFERROR(LOOKUP(2,1/((Budgets!$A$2:$A$200=AT$1)*(Budgets!$B$2:$B$200&lt;=$A156)),Budgets!$C$2:$C$200),0))</f>
        <v/>
      </c>
      <c r="AU156" s="88">
        <f>IF(OR(AU$1="",$BE156=0),"",IFERROR(LOOKUP(2,1/((Budgets!$A$2:$A$200=AU$1)*(Budgets!$B$2:$B$200&lt;=$A156)),Budgets!$C$2:$C$200),0))</f>
        <v/>
      </c>
      <c r="AV156" s="88">
        <f>IF(OR(AV$1="",$BE156=0),"",IFERROR(LOOKUP(2,1/((Budgets!$A$2:$A$200=AV$1)*(Budgets!$B$2:$B$200&lt;=$A156)),Budgets!$C$2:$C$200),0))</f>
        <v/>
      </c>
      <c r="AW156" s="88">
        <f>IF(OR(AW$1="",$BE156=0),"",IFERROR(LOOKUP(2,1/((Budgets!$A$2:$A$200=AW$1)*(Budgets!$B$2:$B$200&lt;=$A156)),Budgets!$C$2:$C$200),0))</f>
        <v/>
      </c>
      <c r="AX156" s="88">
        <f>IF(OR(AX$1="",$BE156=0),"",IFERROR(LOOKUP(2,1/((Budgets!$A$2:$A$200=AX$1)*(Budgets!$B$2:$B$200&lt;=$A156)),Budgets!$C$2:$C$200),0))</f>
        <v/>
      </c>
      <c r="AY156" s="88">
        <f>IF(OR(AY$1="",$BE156=0),"",IFERROR(LOOKUP(2,1/((Budgets!$A$2:$A$200=AY$1)*(Budgets!$B$2:$B$200&lt;=$A156)),Budgets!$C$2:$C$200),0))</f>
        <v/>
      </c>
      <c r="AZ156" s="88">
        <f>IF(OR(AZ$1="",$BE156=0),"",IFERROR(LOOKUP(2,1/((Budgets!$A$2:$A$200=AZ$1)*(Budgets!$B$2:$B$200&lt;=$A156)),Budgets!$C$2:$C$200),0))</f>
        <v/>
      </c>
      <c r="BA156" s="88">
        <f>IF(OR(BA$1="",$BE156=0),"",IFERROR(LOOKUP(2,1/((Budgets!$A$2:$A$200=BA$1)*(Budgets!$B$2:$B$200&lt;=$A156)),Budgets!$C$2:$C$200),0))</f>
        <v/>
      </c>
      <c r="BB156" s="88">
        <f>IF(OR(BB$1="",$BE156=0),"",IFERROR(LOOKUP(2,1/((Budgets!$A$2:$A$200=BB$1)*(Budgets!$B$2:$B$200&lt;=$A156)),Budgets!$C$2:$C$200),0))</f>
        <v/>
      </c>
      <c r="BC156" s="88">
        <f>IF(OR(BC$1="",$BE156=0),"",IFERROR(LOOKUP(2,1/((Budgets!$A$2:$A$200=BC$1)*(Budgets!$B$2:$B$200&lt;=$A156)),Budgets!$C$2:$C$200),0))</f>
        <v/>
      </c>
      <c r="BE156" s="67">
        <f>COUNTIFS(Entries!$A$2:$A$5000,$A156)</f>
        <v/>
      </c>
    </row>
    <row r="157" ht="15" customHeight="1" s="43">
      <c r="A157" s="87" t="n">
        <v>44166</v>
      </c>
      <c r="B157" s="88">
        <f>IF($BE157=0,NA(),SUMIFS(Entries!$D$2:$D$5000,Entries!$C$2:$C$5000,"Income",Entries!$A$2:$A$5000,$A157))</f>
        <v/>
      </c>
      <c r="C157" s="88">
        <f>IF($BE157=0,"",SUMIFS(Entries!$D$2:$D$5000,Entries!$C$2:$C$5000,"Actual",Entries!$A$2:$A$5000,$A157))</f>
        <v/>
      </c>
      <c r="D157" s="88">
        <f>IF($BE157=0,"",SUMIFS(Entries!$D$2:$D$5000,Entries!$C$2:$C$5000,"One-off",Entries!$A$2:$A$5000,$A157))</f>
        <v/>
      </c>
      <c r="E157" s="88">
        <f>IF($BE157=0,NA(),C157+D157)</f>
        <v/>
      </c>
      <c r="F157" s="88">
        <f>IF($BE157=0,"",SUM(AJ157:BC157))</f>
        <v/>
      </c>
      <c r="G157" s="88">
        <f>IF($BE157=0,"",B157-E157)</f>
        <v/>
      </c>
      <c r="H157" s="88">
        <f>IF($BE157=0,"",SUM($G$2:G157))</f>
        <v/>
      </c>
      <c r="I157" s="88">
        <f>IF($BE157=0,"",SUMIFS(Entries!$F$2:$F$5000,Entries!$A$2:$A$5000,$A157))</f>
        <v/>
      </c>
      <c r="J157" s="88">
        <f>IF($BE157=0,NA(),H157+SUM($I$2:I157))</f>
        <v/>
      </c>
      <c r="K157" s="88">
        <f>IF($BE157=0,"",SUMIFS(Entries!$D$2:$D$5000,Entries!$C$2:$C$5000,"Income",Entries!$A$2:$A$5000,"&gt;="&amp;EDATE($A157,-11),Entries!$A$2:$A$5000,"&lt;="&amp;$A157)/12)</f>
        <v/>
      </c>
      <c r="L157" s="88">
        <f>IF($BE157=0,"",(SUMIFS(Entries!$D$2:$D$5000,Entries!$C$2:$C$5000,"Actual",Entries!$A$2:$A$5000,"&gt;="&amp;EDATE($A157,-11),Entries!$A$2:$A$5000,"&lt;="&amp;$A157)+SUMIFS(Entries!$D$2:$D$5000,Entries!$C$2:$C$5000,"One-off",Entries!$A$2:$A$5000,"&gt;="&amp;EDATE($A157,-11),Entries!$A$2:$A$5000,"&lt;="&amp;$A157))/12)</f>
        <v/>
      </c>
      <c r="M157" s="70">
        <f>IF($BE157=0,NA(),IFERROR((K157-L157)/K157,0))</f>
        <v/>
      </c>
      <c r="O157" s="88">
        <f>IF(OR(O$1="",$BE157=0),"",SUMIFS(Entries!$D$2:$D$5000,Entries!$C$2:$C$5000,"Actual",Entries!$A$2:$A$5000,$A157,Entries!$B$2:$B$5000,O$1))</f>
        <v/>
      </c>
      <c r="P157" s="88">
        <f>IF(OR(P$1="",$BE157=0),"",SUMIFS(Entries!$D$2:$D$5000,Entries!$C$2:$C$5000,"Actual",Entries!$A$2:$A$5000,$A157,Entries!$B$2:$B$5000,P$1))</f>
        <v/>
      </c>
      <c r="Q157" s="88">
        <f>IF(OR(Q$1="",$BE157=0),"",SUMIFS(Entries!$D$2:$D$5000,Entries!$C$2:$C$5000,"Actual",Entries!$A$2:$A$5000,$A157,Entries!$B$2:$B$5000,Q$1))</f>
        <v/>
      </c>
      <c r="R157" s="88">
        <f>IF(OR(R$1="",$BE157=0),"",SUMIFS(Entries!$D$2:$D$5000,Entries!$C$2:$C$5000,"Actual",Entries!$A$2:$A$5000,$A157,Entries!$B$2:$B$5000,R$1))</f>
        <v/>
      </c>
      <c r="S157" s="88">
        <f>IF(OR(S$1="",$BE157=0),"",SUMIFS(Entries!$D$2:$D$5000,Entries!$C$2:$C$5000,"Actual",Entries!$A$2:$A$5000,$A157,Entries!$B$2:$B$5000,S$1))</f>
        <v/>
      </c>
      <c r="T157" s="88">
        <f>IF(OR(T$1="",$BE157=0),"",SUMIFS(Entries!$D$2:$D$5000,Entries!$C$2:$C$5000,"Actual",Entries!$A$2:$A$5000,$A157,Entries!$B$2:$B$5000,T$1))</f>
        <v/>
      </c>
      <c r="U157" s="88">
        <f>IF(OR(U$1="",$BE157=0),"",SUMIFS(Entries!$D$2:$D$5000,Entries!$C$2:$C$5000,"Actual",Entries!$A$2:$A$5000,$A157,Entries!$B$2:$B$5000,U$1))</f>
        <v/>
      </c>
      <c r="V157" s="88">
        <f>IF(OR(V$1="",$BE157=0),"",SUMIFS(Entries!$D$2:$D$5000,Entries!$C$2:$C$5000,"Actual",Entries!$A$2:$A$5000,$A157,Entries!$B$2:$B$5000,V$1))</f>
        <v/>
      </c>
      <c r="W157" s="88">
        <f>IF(OR(W$1="",$BE157=0),"",SUMIFS(Entries!$D$2:$D$5000,Entries!$C$2:$C$5000,"Actual",Entries!$A$2:$A$5000,$A157,Entries!$B$2:$B$5000,W$1))</f>
        <v/>
      </c>
      <c r="X157" s="88">
        <f>IF(OR(X$1="",$BE157=0),"",SUMIFS(Entries!$D$2:$D$5000,Entries!$C$2:$C$5000,"Actual",Entries!$A$2:$A$5000,$A157,Entries!$B$2:$B$5000,X$1))</f>
        <v/>
      </c>
      <c r="Y157" s="88">
        <f>IF(OR(Y$1="",$BE157=0),"",SUMIFS(Entries!$D$2:$D$5000,Entries!$C$2:$C$5000,"Actual",Entries!$A$2:$A$5000,$A157,Entries!$B$2:$B$5000,Y$1))</f>
        <v/>
      </c>
      <c r="Z157" s="88">
        <f>IF(OR(Z$1="",$BE157=0),"",SUMIFS(Entries!$D$2:$D$5000,Entries!$C$2:$C$5000,"Actual",Entries!$A$2:$A$5000,$A157,Entries!$B$2:$B$5000,Z$1))</f>
        <v/>
      </c>
      <c r="AA157" s="88">
        <f>IF(OR(AA$1="",$BE157=0),"",SUMIFS(Entries!$D$2:$D$5000,Entries!$C$2:$C$5000,"Actual",Entries!$A$2:$A$5000,$A157,Entries!$B$2:$B$5000,AA$1))</f>
        <v/>
      </c>
      <c r="AB157" s="88">
        <f>IF(OR(AB$1="",$BE157=0),"",SUMIFS(Entries!$D$2:$D$5000,Entries!$C$2:$C$5000,"Actual",Entries!$A$2:$A$5000,$A157,Entries!$B$2:$B$5000,AB$1))</f>
        <v/>
      </c>
      <c r="AC157" s="88">
        <f>IF(OR(AC$1="",$BE157=0),"",SUMIFS(Entries!$D$2:$D$5000,Entries!$C$2:$C$5000,"Actual",Entries!$A$2:$A$5000,$A157,Entries!$B$2:$B$5000,AC$1))</f>
        <v/>
      </c>
      <c r="AD157" s="88">
        <f>IF(OR(AD$1="",$BE157=0),"",SUMIFS(Entries!$D$2:$D$5000,Entries!$C$2:$C$5000,"Actual",Entries!$A$2:$A$5000,$A157,Entries!$B$2:$B$5000,AD$1))</f>
        <v/>
      </c>
      <c r="AE157" s="88">
        <f>IF(OR(AE$1="",$BE157=0),"",SUMIFS(Entries!$D$2:$D$5000,Entries!$C$2:$C$5000,"Actual",Entries!$A$2:$A$5000,$A157,Entries!$B$2:$B$5000,AE$1))</f>
        <v/>
      </c>
      <c r="AF157" s="88">
        <f>IF(OR(AF$1="",$BE157=0),"",SUMIFS(Entries!$D$2:$D$5000,Entries!$C$2:$C$5000,"Actual",Entries!$A$2:$A$5000,$A157,Entries!$B$2:$B$5000,AF$1))</f>
        <v/>
      </c>
      <c r="AG157" s="88">
        <f>IF(OR(AG$1="",$BE157=0),"",SUMIFS(Entries!$D$2:$D$5000,Entries!$C$2:$C$5000,"Actual",Entries!$A$2:$A$5000,$A157,Entries!$B$2:$B$5000,AG$1))</f>
        <v/>
      </c>
      <c r="AH157" s="88">
        <f>IF(OR(AH$1="",$BE157=0),"",SUMIFS(Entries!$D$2:$D$5000,Entries!$C$2:$C$5000,"Actual",Entries!$A$2:$A$5000,$A157,Entries!$B$2:$B$5000,AH$1))</f>
        <v/>
      </c>
      <c r="AJ157" s="88">
        <f>IF(OR(AJ$1="",$BE157=0),"",IFERROR(LOOKUP(2,1/((Budgets!$A$2:$A$200=AJ$1)*(Budgets!$B$2:$B$200&lt;=$A157)),Budgets!$C$2:$C$200),0))</f>
        <v/>
      </c>
      <c r="AK157" s="88">
        <f>IF(OR(AK$1="",$BE157=0),"",IFERROR(LOOKUP(2,1/((Budgets!$A$2:$A$200=AK$1)*(Budgets!$B$2:$B$200&lt;=$A157)),Budgets!$C$2:$C$200),0))</f>
        <v/>
      </c>
      <c r="AL157" s="88">
        <f>IF(OR(AL$1="",$BE157=0),"",IFERROR(LOOKUP(2,1/((Budgets!$A$2:$A$200=AL$1)*(Budgets!$B$2:$B$200&lt;=$A157)),Budgets!$C$2:$C$200),0))</f>
        <v/>
      </c>
      <c r="AM157" s="88">
        <f>IF(OR(AM$1="",$BE157=0),"",IFERROR(LOOKUP(2,1/((Budgets!$A$2:$A$200=AM$1)*(Budgets!$B$2:$B$200&lt;=$A157)),Budgets!$C$2:$C$200),0))</f>
        <v/>
      </c>
      <c r="AN157" s="88">
        <f>IF(OR(AN$1="",$BE157=0),"",IFERROR(LOOKUP(2,1/((Budgets!$A$2:$A$200=AN$1)*(Budgets!$B$2:$B$200&lt;=$A157)),Budgets!$C$2:$C$200),0))</f>
        <v/>
      </c>
      <c r="AO157" s="88">
        <f>IF(OR(AO$1="",$BE157=0),"",IFERROR(LOOKUP(2,1/((Budgets!$A$2:$A$200=AO$1)*(Budgets!$B$2:$B$200&lt;=$A157)),Budgets!$C$2:$C$200),0))</f>
        <v/>
      </c>
      <c r="AP157" s="88">
        <f>IF(OR(AP$1="",$BE157=0),"",IFERROR(LOOKUP(2,1/((Budgets!$A$2:$A$200=AP$1)*(Budgets!$B$2:$B$200&lt;=$A157)),Budgets!$C$2:$C$200),0))</f>
        <v/>
      </c>
      <c r="AQ157" s="88">
        <f>IF(OR(AQ$1="",$BE157=0),"",IFERROR(LOOKUP(2,1/((Budgets!$A$2:$A$200=AQ$1)*(Budgets!$B$2:$B$200&lt;=$A157)),Budgets!$C$2:$C$200),0))</f>
        <v/>
      </c>
      <c r="AR157" s="88">
        <f>IF(OR(AR$1="",$BE157=0),"",IFERROR(LOOKUP(2,1/((Budgets!$A$2:$A$200=AR$1)*(Budgets!$B$2:$B$200&lt;=$A157)),Budgets!$C$2:$C$200),0))</f>
        <v/>
      </c>
      <c r="AS157" s="88">
        <f>IF(OR(AS$1="",$BE157=0),"",IFERROR(LOOKUP(2,1/((Budgets!$A$2:$A$200=AS$1)*(Budgets!$B$2:$B$200&lt;=$A157)),Budgets!$C$2:$C$200),0))</f>
        <v/>
      </c>
      <c r="AT157" s="88">
        <f>IF(OR(AT$1="",$BE157=0),"",IFERROR(LOOKUP(2,1/((Budgets!$A$2:$A$200=AT$1)*(Budgets!$B$2:$B$200&lt;=$A157)),Budgets!$C$2:$C$200),0))</f>
        <v/>
      </c>
      <c r="AU157" s="88">
        <f>IF(OR(AU$1="",$BE157=0),"",IFERROR(LOOKUP(2,1/((Budgets!$A$2:$A$200=AU$1)*(Budgets!$B$2:$B$200&lt;=$A157)),Budgets!$C$2:$C$200),0))</f>
        <v/>
      </c>
      <c r="AV157" s="88">
        <f>IF(OR(AV$1="",$BE157=0),"",IFERROR(LOOKUP(2,1/((Budgets!$A$2:$A$200=AV$1)*(Budgets!$B$2:$B$200&lt;=$A157)),Budgets!$C$2:$C$200),0))</f>
        <v/>
      </c>
      <c r="AW157" s="88">
        <f>IF(OR(AW$1="",$BE157=0),"",IFERROR(LOOKUP(2,1/((Budgets!$A$2:$A$200=AW$1)*(Budgets!$B$2:$B$200&lt;=$A157)),Budgets!$C$2:$C$200),0))</f>
        <v/>
      </c>
      <c r="AX157" s="88">
        <f>IF(OR(AX$1="",$BE157=0),"",IFERROR(LOOKUP(2,1/((Budgets!$A$2:$A$200=AX$1)*(Budgets!$B$2:$B$200&lt;=$A157)),Budgets!$C$2:$C$200),0))</f>
        <v/>
      </c>
      <c r="AY157" s="88">
        <f>IF(OR(AY$1="",$BE157=0),"",IFERROR(LOOKUP(2,1/((Budgets!$A$2:$A$200=AY$1)*(Budgets!$B$2:$B$200&lt;=$A157)),Budgets!$C$2:$C$200),0))</f>
        <v/>
      </c>
      <c r="AZ157" s="88">
        <f>IF(OR(AZ$1="",$BE157=0),"",IFERROR(LOOKUP(2,1/((Budgets!$A$2:$A$200=AZ$1)*(Budgets!$B$2:$B$200&lt;=$A157)),Budgets!$C$2:$C$200),0))</f>
        <v/>
      </c>
      <c r="BA157" s="88">
        <f>IF(OR(BA$1="",$BE157=0),"",IFERROR(LOOKUP(2,1/((Budgets!$A$2:$A$200=BA$1)*(Budgets!$B$2:$B$200&lt;=$A157)),Budgets!$C$2:$C$200),0))</f>
        <v/>
      </c>
      <c r="BB157" s="88">
        <f>IF(OR(BB$1="",$BE157=0),"",IFERROR(LOOKUP(2,1/((Budgets!$A$2:$A$200=BB$1)*(Budgets!$B$2:$B$200&lt;=$A157)),Budgets!$C$2:$C$200),0))</f>
        <v/>
      </c>
      <c r="BC157" s="88">
        <f>IF(OR(BC$1="",$BE157=0),"",IFERROR(LOOKUP(2,1/((Budgets!$A$2:$A$200=BC$1)*(Budgets!$B$2:$B$200&lt;=$A157)),Budgets!$C$2:$C$200),0))</f>
        <v/>
      </c>
      <c r="BE157" s="67">
        <f>COUNTIFS(Entries!$A$2:$A$5000,$A157)</f>
        <v/>
      </c>
    </row>
    <row r="158" ht="15" customHeight="1" s="43">
      <c r="A158" s="87" t="n">
        <v>44197</v>
      </c>
      <c r="B158" s="88">
        <f>IF($BE158=0,NA(),SUMIFS(Entries!$D$2:$D$5000,Entries!$C$2:$C$5000,"Income",Entries!$A$2:$A$5000,$A158))</f>
        <v/>
      </c>
      <c r="C158" s="88">
        <f>IF($BE158=0,"",SUMIFS(Entries!$D$2:$D$5000,Entries!$C$2:$C$5000,"Actual",Entries!$A$2:$A$5000,$A158))</f>
        <v/>
      </c>
      <c r="D158" s="88">
        <f>IF($BE158=0,"",SUMIFS(Entries!$D$2:$D$5000,Entries!$C$2:$C$5000,"One-off",Entries!$A$2:$A$5000,$A158))</f>
        <v/>
      </c>
      <c r="E158" s="88">
        <f>IF($BE158=0,NA(),C158+D158)</f>
        <v/>
      </c>
      <c r="F158" s="88">
        <f>IF($BE158=0,"",SUM(AJ158:BC158))</f>
        <v/>
      </c>
      <c r="G158" s="88">
        <f>IF($BE158=0,"",B158-E158)</f>
        <v/>
      </c>
      <c r="H158" s="88">
        <f>IF($BE158=0,"",SUM($G$2:G158))</f>
        <v/>
      </c>
      <c r="I158" s="88">
        <f>IF($BE158=0,"",SUMIFS(Entries!$F$2:$F$5000,Entries!$A$2:$A$5000,$A158))</f>
        <v/>
      </c>
      <c r="J158" s="88">
        <f>IF($BE158=0,NA(),H158+SUM($I$2:I158))</f>
        <v/>
      </c>
      <c r="K158" s="88">
        <f>IF($BE158=0,"",SUMIFS(Entries!$D$2:$D$5000,Entries!$C$2:$C$5000,"Income",Entries!$A$2:$A$5000,"&gt;="&amp;EDATE($A158,-11),Entries!$A$2:$A$5000,"&lt;="&amp;$A158)/12)</f>
        <v/>
      </c>
      <c r="L158" s="88">
        <f>IF($BE158=0,"",(SUMIFS(Entries!$D$2:$D$5000,Entries!$C$2:$C$5000,"Actual",Entries!$A$2:$A$5000,"&gt;="&amp;EDATE($A158,-11),Entries!$A$2:$A$5000,"&lt;="&amp;$A158)+SUMIFS(Entries!$D$2:$D$5000,Entries!$C$2:$C$5000,"One-off",Entries!$A$2:$A$5000,"&gt;="&amp;EDATE($A158,-11),Entries!$A$2:$A$5000,"&lt;="&amp;$A158))/12)</f>
        <v/>
      </c>
      <c r="M158" s="70">
        <f>IF($BE158=0,NA(),IFERROR((K158-L158)/K158,0))</f>
        <v/>
      </c>
      <c r="O158" s="88">
        <f>IF(OR(O$1="",$BE158=0),"",SUMIFS(Entries!$D$2:$D$5000,Entries!$C$2:$C$5000,"Actual",Entries!$A$2:$A$5000,$A158,Entries!$B$2:$B$5000,O$1))</f>
        <v/>
      </c>
      <c r="P158" s="88">
        <f>IF(OR(P$1="",$BE158=0),"",SUMIFS(Entries!$D$2:$D$5000,Entries!$C$2:$C$5000,"Actual",Entries!$A$2:$A$5000,$A158,Entries!$B$2:$B$5000,P$1))</f>
        <v/>
      </c>
      <c r="Q158" s="88">
        <f>IF(OR(Q$1="",$BE158=0),"",SUMIFS(Entries!$D$2:$D$5000,Entries!$C$2:$C$5000,"Actual",Entries!$A$2:$A$5000,$A158,Entries!$B$2:$B$5000,Q$1))</f>
        <v/>
      </c>
      <c r="R158" s="88">
        <f>IF(OR(R$1="",$BE158=0),"",SUMIFS(Entries!$D$2:$D$5000,Entries!$C$2:$C$5000,"Actual",Entries!$A$2:$A$5000,$A158,Entries!$B$2:$B$5000,R$1))</f>
        <v/>
      </c>
      <c r="S158" s="88">
        <f>IF(OR(S$1="",$BE158=0),"",SUMIFS(Entries!$D$2:$D$5000,Entries!$C$2:$C$5000,"Actual",Entries!$A$2:$A$5000,$A158,Entries!$B$2:$B$5000,S$1))</f>
        <v/>
      </c>
      <c r="T158" s="88">
        <f>IF(OR(T$1="",$BE158=0),"",SUMIFS(Entries!$D$2:$D$5000,Entries!$C$2:$C$5000,"Actual",Entries!$A$2:$A$5000,$A158,Entries!$B$2:$B$5000,T$1))</f>
        <v/>
      </c>
      <c r="U158" s="88">
        <f>IF(OR(U$1="",$BE158=0),"",SUMIFS(Entries!$D$2:$D$5000,Entries!$C$2:$C$5000,"Actual",Entries!$A$2:$A$5000,$A158,Entries!$B$2:$B$5000,U$1))</f>
        <v/>
      </c>
      <c r="V158" s="88">
        <f>IF(OR(V$1="",$BE158=0),"",SUMIFS(Entries!$D$2:$D$5000,Entries!$C$2:$C$5000,"Actual",Entries!$A$2:$A$5000,$A158,Entries!$B$2:$B$5000,V$1))</f>
        <v/>
      </c>
      <c r="W158" s="88">
        <f>IF(OR(W$1="",$BE158=0),"",SUMIFS(Entries!$D$2:$D$5000,Entries!$C$2:$C$5000,"Actual",Entries!$A$2:$A$5000,$A158,Entries!$B$2:$B$5000,W$1))</f>
        <v/>
      </c>
      <c r="X158" s="88">
        <f>IF(OR(X$1="",$BE158=0),"",SUMIFS(Entries!$D$2:$D$5000,Entries!$C$2:$C$5000,"Actual",Entries!$A$2:$A$5000,$A158,Entries!$B$2:$B$5000,X$1))</f>
        <v/>
      </c>
      <c r="Y158" s="88">
        <f>IF(OR(Y$1="",$BE158=0),"",SUMIFS(Entries!$D$2:$D$5000,Entries!$C$2:$C$5000,"Actual",Entries!$A$2:$A$5000,$A158,Entries!$B$2:$B$5000,Y$1))</f>
        <v/>
      </c>
      <c r="Z158" s="88">
        <f>IF(OR(Z$1="",$BE158=0),"",SUMIFS(Entries!$D$2:$D$5000,Entries!$C$2:$C$5000,"Actual",Entries!$A$2:$A$5000,$A158,Entries!$B$2:$B$5000,Z$1))</f>
        <v/>
      </c>
      <c r="AA158" s="88">
        <f>IF(OR(AA$1="",$BE158=0),"",SUMIFS(Entries!$D$2:$D$5000,Entries!$C$2:$C$5000,"Actual",Entries!$A$2:$A$5000,$A158,Entries!$B$2:$B$5000,AA$1))</f>
        <v/>
      </c>
      <c r="AB158" s="88">
        <f>IF(OR(AB$1="",$BE158=0),"",SUMIFS(Entries!$D$2:$D$5000,Entries!$C$2:$C$5000,"Actual",Entries!$A$2:$A$5000,$A158,Entries!$B$2:$B$5000,AB$1))</f>
        <v/>
      </c>
      <c r="AC158" s="88">
        <f>IF(OR(AC$1="",$BE158=0),"",SUMIFS(Entries!$D$2:$D$5000,Entries!$C$2:$C$5000,"Actual",Entries!$A$2:$A$5000,$A158,Entries!$B$2:$B$5000,AC$1))</f>
        <v/>
      </c>
      <c r="AD158" s="88">
        <f>IF(OR(AD$1="",$BE158=0),"",SUMIFS(Entries!$D$2:$D$5000,Entries!$C$2:$C$5000,"Actual",Entries!$A$2:$A$5000,$A158,Entries!$B$2:$B$5000,AD$1))</f>
        <v/>
      </c>
      <c r="AE158" s="88">
        <f>IF(OR(AE$1="",$BE158=0),"",SUMIFS(Entries!$D$2:$D$5000,Entries!$C$2:$C$5000,"Actual",Entries!$A$2:$A$5000,$A158,Entries!$B$2:$B$5000,AE$1))</f>
        <v/>
      </c>
      <c r="AF158" s="88">
        <f>IF(OR(AF$1="",$BE158=0),"",SUMIFS(Entries!$D$2:$D$5000,Entries!$C$2:$C$5000,"Actual",Entries!$A$2:$A$5000,$A158,Entries!$B$2:$B$5000,AF$1))</f>
        <v/>
      </c>
      <c r="AG158" s="88">
        <f>IF(OR(AG$1="",$BE158=0),"",SUMIFS(Entries!$D$2:$D$5000,Entries!$C$2:$C$5000,"Actual",Entries!$A$2:$A$5000,$A158,Entries!$B$2:$B$5000,AG$1))</f>
        <v/>
      </c>
      <c r="AH158" s="88">
        <f>IF(OR(AH$1="",$BE158=0),"",SUMIFS(Entries!$D$2:$D$5000,Entries!$C$2:$C$5000,"Actual",Entries!$A$2:$A$5000,$A158,Entries!$B$2:$B$5000,AH$1))</f>
        <v/>
      </c>
      <c r="AJ158" s="88">
        <f>IF(OR(AJ$1="",$BE158=0),"",IFERROR(LOOKUP(2,1/((Budgets!$A$2:$A$200=AJ$1)*(Budgets!$B$2:$B$200&lt;=$A158)),Budgets!$C$2:$C$200),0))</f>
        <v/>
      </c>
      <c r="AK158" s="88">
        <f>IF(OR(AK$1="",$BE158=0),"",IFERROR(LOOKUP(2,1/((Budgets!$A$2:$A$200=AK$1)*(Budgets!$B$2:$B$200&lt;=$A158)),Budgets!$C$2:$C$200),0))</f>
        <v/>
      </c>
      <c r="AL158" s="88">
        <f>IF(OR(AL$1="",$BE158=0),"",IFERROR(LOOKUP(2,1/((Budgets!$A$2:$A$200=AL$1)*(Budgets!$B$2:$B$200&lt;=$A158)),Budgets!$C$2:$C$200),0))</f>
        <v/>
      </c>
      <c r="AM158" s="88">
        <f>IF(OR(AM$1="",$BE158=0),"",IFERROR(LOOKUP(2,1/((Budgets!$A$2:$A$200=AM$1)*(Budgets!$B$2:$B$200&lt;=$A158)),Budgets!$C$2:$C$200),0))</f>
        <v/>
      </c>
      <c r="AN158" s="88">
        <f>IF(OR(AN$1="",$BE158=0),"",IFERROR(LOOKUP(2,1/((Budgets!$A$2:$A$200=AN$1)*(Budgets!$B$2:$B$200&lt;=$A158)),Budgets!$C$2:$C$200),0))</f>
        <v/>
      </c>
      <c r="AO158" s="88">
        <f>IF(OR(AO$1="",$BE158=0),"",IFERROR(LOOKUP(2,1/((Budgets!$A$2:$A$200=AO$1)*(Budgets!$B$2:$B$200&lt;=$A158)),Budgets!$C$2:$C$200),0))</f>
        <v/>
      </c>
      <c r="AP158" s="88">
        <f>IF(OR(AP$1="",$BE158=0),"",IFERROR(LOOKUP(2,1/((Budgets!$A$2:$A$200=AP$1)*(Budgets!$B$2:$B$200&lt;=$A158)),Budgets!$C$2:$C$200),0))</f>
        <v/>
      </c>
      <c r="AQ158" s="88">
        <f>IF(OR(AQ$1="",$BE158=0),"",IFERROR(LOOKUP(2,1/((Budgets!$A$2:$A$200=AQ$1)*(Budgets!$B$2:$B$200&lt;=$A158)),Budgets!$C$2:$C$200),0))</f>
        <v/>
      </c>
      <c r="AR158" s="88">
        <f>IF(OR(AR$1="",$BE158=0),"",IFERROR(LOOKUP(2,1/((Budgets!$A$2:$A$200=AR$1)*(Budgets!$B$2:$B$200&lt;=$A158)),Budgets!$C$2:$C$200),0))</f>
        <v/>
      </c>
      <c r="AS158" s="88">
        <f>IF(OR(AS$1="",$BE158=0),"",IFERROR(LOOKUP(2,1/((Budgets!$A$2:$A$200=AS$1)*(Budgets!$B$2:$B$200&lt;=$A158)),Budgets!$C$2:$C$200),0))</f>
        <v/>
      </c>
      <c r="AT158" s="88">
        <f>IF(OR(AT$1="",$BE158=0),"",IFERROR(LOOKUP(2,1/((Budgets!$A$2:$A$200=AT$1)*(Budgets!$B$2:$B$200&lt;=$A158)),Budgets!$C$2:$C$200),0))</f>
        <v/>
      </c>
      <c r="AU158" s="88">
        <f>IF(OR(AU$1="",$BE158=0),"",IFERROR(LOOKUP(2,1/((Budgets!$A$2:$A$200=AU$1)*(Budgets!$B$2:$B$200&lt;=$A158)),Budgets!$C$2:$C$200),0))</f>
        <v/>
      </c>
      <c r="AV158" s="88">
        <f>IF(OR(AV$1="",$BE158=0),"",IFERROR(LOOKUP(2,1/((Budgets!$A$2:$A$200=AV$1)*(Budgets!$B$2:$B$200&lt;=$A158)),Budgets!$C$2:$C$200),0))</f>
        <v/>
      </c>
      <c r="AW158" s="88">
        <f>IF(OR(AW$1="",$BE158=0),"",IFERROR(LOOKUP(2,1/((Budgets!$A$2:$A$200=AW$1)*(Budgets!$B$2:$B$200&lt;=$A158)),Budgets!$C$2:$C$200),0))</f>
        <v/>
      </c>
      <c r="AX158" s="88">
        <f>IF(OR(AX$1="",$BE158=0),"",IFERROR(LOOKUP(2,1/((Budgets!$A$2:$A$200=AX$1)*(Budgets!$B$2:$B$200&lt;=$A158)),Budgets!$C$2:$C$200),0))</f>
        <v/>
      </c>
      <c r="AY158" s="88">
        <f>IF(OR(AY$1="",$BE158=0),"",IFERROR(LOOKUP(2,1/((Budgets!$A$2:$A$200=AY$1)*(Budgets!$B$2:$B$200&lt;=$A158)),Budgets!$C$2:$C$200),0))</f>
        <v/>
      </c>
      <c r="AZ158" s="88">
        <f>IF(OR(AZ$1="",$BE158=0),"",IFERROR(LOOKUP(2,1/((Budgets!$A$2:$A$200=AZ$1)*(Budgets!$B$2:$B$200&lt;=$A158)),Budgets!$C$2:$C$200),0))</f>
        <v/>
      </c>
      <c r="BA158" s="88">
        <f>IF(OR(BA$1="",$BE158=0),"",IFERROR(LOOKUP(2,1/((Budgets!$A$2:$A$200=BA$1)*(Budgets!$B$2:$B$200&lt;=$A158)),Budgets!$C$2:$C$200),0))</f>
        <v/>
      </c>
      <c r="BB158" s="88">
        <f>IF(OR(BB$1="",$BE158=0),"",IFERROR(LOOKUP(2,1/((Budgets!$A$2:$A$200=BB$1)*(Budgets!$B$2:$B$200&lt;=$A158)),Budgets!$C$2:$C$200),0))</f>
        <v/>
      </c>
      <c r="BC158" s="88">
        <f>IF(OR(BC$1="",$BE158=0),"",IFERROR(LOOKUP(2,1/((Budgets!$A$2:$A$200=BC$1)*(Budgets!$B$2:$B$200&lt;=$A158)),Budgets!$C$2:$C$200),0))</f>
        <v/>
      </c>
      <c r="BE158" s="67">
        <f>COUNTIFS(Entries!$A$2:$A$5000,$A158)</f>
        <v/>
      </c>
    </row>
    <row r="159" ht="15" customHeight="1" s="43">
      <c r="A159" s="87" t="n">
        <v>44228</v>
      </c>
      <c r="B159" s="88">
        <f>IF($BE159=0,NA(),SUMIFS(Entries!$D$2:$D$5000,Entries!$C$2:$C$5000,"Income",Entries!$A$2:$A$5000,$A159))</f>
        <v/>
      </c>
      <c r="C159" s="88">
        <f>IF($BE159=0,"",SUMIFS(Entries!$D$2:$D$5000,Entries!$C$2:$C$5000,"Actual",Entries!$A$2:$A$5000,$A159))</f>
        <v/>
      </c>
      <c r="D159" s="88">
        <f>IF($BE159=0,"",SUMIFS(Entries!$D$2:$D$5000,Entries!$C$2:$C$5000,"One-off",Entries!$A$2:$A$5000,$A159))</f>
        <v/>
      </c>
      <c r="E159" s="88">
        <f>IF($BE159=0,NA(),C159+D159)</f>
        <v/>
      </c>
      <c r="F159" s="88">
        <f>IF($BE159=0,"",SUM(AJ159:BC159))</f>
        <v/>
      </c>
      <c r="G159" s="88">
        <f>IF($BE159=0,"",B159-E159)</f>
        <v/>
      </c>
      <c r="H159" s="88">
        <f>IF($BE159=0,"",SUM($G$2:G159))</f>
        <v/>
      </c>
      <c r="I159" s="88">
        <f>IF($BE159=0,"",SUMIFS(Entries!$F$2:$F$5000,Entries!$A$2:$A$5000,$A159))</f>
        <v/>
      </c>
      <c r="J159" s="88">
        <f>IF($BE159=0,NA(),H159+SUM($I$2:I159))</f>
        <v/>
      </c>
      <c r="K159" s="88">
        <f>IF($BE159=0,"",SUMIFS(Entries!$D$2:$D$5000,Entries!$C$2:$C$5000,"Income",Entries!$A$2:$A$5000,"&gt;="&amp;EDATE($A159,-11),Entries!$A$2:$A$5000,"&lt;="&amp;$A159)/12)</f>
        <v/>
      </c>
      <c r="L159" s="88">
        <f>IF($BE159=0,"",(SUMIFS(Entries!$D$2:$D$5000,Entries!$C$2:$C$5000,"Actual",Entries!$A$2:$A$5000,"&gt;="&amp;EDATE($A159,-11),Entries!$A$2:$A$5000,"&lt;="&amp;$A159)+SUMIFS(Entries!$D$2:$D$5000,Entries!$C$2:$C$5000,"One-off",Entries!$A$2:$A$5000,"&gt;="&amp;EDATE($A159,-11),Entries!$A$2:$A$5000,"&lt;="&amp;$A159))/12)</f>
        <v/>
      </c>
      <c r="M159" s="70">
        <f>IF($BE159=0,NA(),IFERROR((K159-L159)/K159,0))</f>
        <v/>
      </c>
      <c r="O159" s="88">
        <f>IF(OR(O$1="",$BE159=0),"",SUMIFS(Entries!$D$2:$D$5000,Entries!$C$2:$C$5000,"Actual",Entries!$A$2:$A$5000,$A159,Entries!$B$2:$B$5000,O$1))</f>
        <v/>
      </c>
      <c r="P159" s="88">
        <f>IF(OR(P$1="",$BE159=0),"",SUMIFS(Entries!$D$2:$D$5000,Entries!$C$2:$C$5000,"Actual",Entries!$A$2:$A$5000,$A159,Entries!$B$2:$B$5000,P$1))</f>
        <v/>
      </c>
      <c r="Q159" s="88">
        <f>IF(OR(Q$1="",$BE159=0),"",SUMIFS(Entries!$D$2:$D$5000,Entries!$C$2:$C$5000,"Actual",Entries!$A$2:$A$5000,$A159,Entries!$B$2:$B$5000,Q$1))</f>
        <v/>
      </c>
      <c r="R159" s="88">
        <f>IF(OR(R$1="",$BE159=0),"",SUMIFS(Entries!$D$2:$D$5000,Entries!$C$2:$C$5000,"Actual",Entries!$A$2:$A$5000,$A159,Entries!$B$2:$B$5000,R$1))</f>
        <v/>
      </c>
      <c r="S159" s="88">
        <f>IF(OR(S$1="",$BE159=0),"",SUMIFS(Entries!$D$2:$D$5000,Entries!$C$2:$C$5000,"Actual",Entries!$A$2:$A$5000,$A159,Entries!$B$2:$B$5000,S$1))</f>
        <v/>
      </c>
      <c r="T159" s="88">
        <f>IF(OR(T$1="",$BE159=0),"",SUMIFS(Entries!$D$2:$D$5000,Entries!$C$2:$C$5000,"Actual",Entries!$A$2:$A$5000,$A159,Entries!$B$2:$B$5000,T$1))</f>
        <v/>
      </c>
      <c r="U159" s="88">
        <f>IF(OR(U$1="",$BE159=0),"",SUMIFS(Entries!$D$2:$D$5000,Entries!$C$2:$C$5000,"Actual",Entries!$A$2:$A$5000,$A159,Entries!$B$2:$B$5000,U$1))</f>
        <v/>
      </c>
      <c r="V159" s="88">
        <f>IF(OR(V$1="",$BE159=0),"",SUMIFS(Entries!$D$2:$D$5000,Entries!$C$2:$C$5000,"Actual",Entries!$A$2:$A$5000,$A159,Entries!$B$2:$B$5000,V$1))</f>
        <v/>
      </c>
      <c r="W159" s="88">
        <f>IF(OR(W$1="",$BE159=0),"",SUMIFS(Entries!$D$2:$D$5000,Entries!$C$2:$C$5000,"Actual",Entries!$A$2:$A$5000,$A159,Entries!$B$2:$B$5000,W$1))</f>
        <v/>
      </c>
      <c r="X159" s="88">
        <f>IF(OR(X$1="",$BE159=0),"",SUMIFS(Entries!$D$2:$D$5000,Entries!$C$2:$C$5000,"Actual",Entries!$A$2:$A$5000,$A159,Entries!$B$2:$B$5000,X$1))</f>
        <v/>
      </c>
      <c r="Y159" s="88">
        <f>IF(OR(Y$1="",$BE159=0),"",SUMIFS(Entries!$D$2:$D$5000,Entries!$C$2:$C$5000,"Actual",Entries!$A$2:$A$5000,$A159,Entries!$B$2:$B$5000,Y$1))</f>
        <v/>
      </c>
      <c r="Z159" s="88">
        <f>IF(OR(Z$1="",$BE159=0),"",SUMIFS(Entries!$D$2:$D$5000,Entries!$C$2:$C$5000,"Actual",Entries!$A$2:$A$5000,$A159,Entries!$B$2:$B$5000,Z$1))</f>
        <v/>
      </c>
      <c r="AA159" s="88">
        <f>IF(OR(AA$1="",$BE159=0),"",SUMIFS(Entries!$D$2:$D$5000,Entries!$C$2:$C$5000,"Actual",Entries!$A$2:$A$5000,$A159,Entries!$B$2:$B$5000,AA$1))</f>
        <v/>
      </c>
      <c r="AB159" s="88">
        <f>IF(OR(AB$1="",$BE159=0),"",SUMIFS(Entries!$D$2:$D$5000,Entries!$C$2:$C$5000,"Actual",Entries!$A$2:$A$5000,$A159,Entries!$B$2:$B$5000,AB$1))</f>
        <v/>
      </c>
      <c r="AC159" s="88">
        <f>IF(OR(AC$1="",$BE159=0),"",SUMIFS(Entries!$D$2:$D$5000,Entries!$C$2:$C$5000,"Actual",Entries!$A$2:$A$5000,$A159,Entries!$B$2:$B$5000,AC$1))</f>
        <v/>
      </c>
      <c r="AD159" s="88">
        <f>IF(OR(AD$1="",$BE159=0),"",SUMIFS(Entries!$D$2:$D$5000,Entries!$C$2:$C$5000,"Actual",Entries!$A$2:$A$5000,$A159,Entries!$B$2:$B$5000,AD$1))</f>
        <v/>
      </c>
      <c r="AE159" s="88">
        <f>IF(OR(AE$1="",$BE159=0),"",SUMIFS(Entries!$D$2:$D$5000,Entries!$C$2:$C$5000,"Actual",Entries!$A$2:$A$5000,$A159,Entries!$B$2:$B$5000,AE$1))</f>
        <v/>
      </c>
      <c r="AF159" s="88">
        <f>IF(OR(AF$1="",$BE159=0),"",SUMIFS(Entries!$D$2:$D$5000,Entries!$C$2:$C$5000,"Actual",Entries!$A$2:$A$5000,$A159,Entries!$B$2:$B$5000,AF$1))</f>
        <v/>
      </c>
      <c r="AG159" s="88">
        <f>IF(OR(AG$1="",$BE159=0),"",SUMIFS(Entries!$D$2:$D$5000,Entries!$C$2:$C$5000,"Actual",Entries!$A$2:$A$5000,$A159,Entries!$B$2:$B$5000,AG$1))</f>
        <v/>
      </c>
      <c r="AH159" s="88">
        <f>IF(OR(AH$1="",$BE159=0),"",SUMIFS(Entries!$D$2:$D$5000,Entries!$C$2:$C$5000,"Actual",Entries!$A$2:$A$5000,$A159,Entries!$B$2:$B$5000,AH$1))</f>
        <v/>
      </c>
      <c r="AJ159" s="88">
        <f>IF(OR(AJ$1="",$BE159=0),"",IFERROR(LOOKUP(2,1/((Budgets!$A$2:$A$200=AJ$1)*(Budgets!$B$2:$B$200&lt;=$A159)),Budgets!$C$2:$C$200),0))</f>
        <v/>
      </c>
      <c r="AK159" s="88">
        <f>IF(OR(AK$1="",$BE159=0),"",IFERROR(LOOKUP(2,1/((Budgets!$A$2:$A$200=AK$1)*(Budgets!$B$2:$B$200&lt;=$A159)),Budgets!$C$2:$C$200),0))</f>
        <v/>
      </c>
      <c r="AL159" s="88">
        <f>IF(OR(AL$1="",$BE159=0),"",IFERROR(LOOKUP(2,1/((Budgets!$A$2:$A$200=AL$1)*(Budgets!$B$2:$B$200&lt;=$A159)),Budgets!$C$2:$C$200),0))</f>
        <v/>
      </c>
      <c r="AM159" s="88">
        <f>IF(OR(AM$1="",$BE159=0),"",IFERROR(LOOKUP(2,1/((Budgets!$A$2:$A$200=AM$1)*(Budgets!$B$2:$B$200&lt;=$A159)),Budgets!$C$2:$C$200),0))</f>
        <v/>
      </c>
      <c r="AN159" s="88">
        <f>IF(OR(AN$1="",$BE159=0),"",IFERROR(LOOKUP(2,1/((Budgets!$A$2:$A$200=AN$1)*(Budgets!$B$2:$B$200&lt;=$A159)),Budgets!$C$2:$C$200),0))</f>
        <v/>
      </c>
      <c r="AO159" s="88">
        <f>IF(OR(AO$1="",$BE159=0),"",IFERROR(LOOKUP(2,1/((Budgets!$A$2:$A$200=AO$1)*(Budgets!$B$2:$B$200&lt;=$A159)),Budgets!$C$2:$C$200),0))</f>
        <v/>
      </c>
      <c r="AP159" s="88">
        <f>IF(OR(AP$1="",$BE159=0),"",IFERROR(LOOKUP(2,1/((Budgets!$A$2:$A$200=AP$1)*(Budgets!$B$2:$B$200&lt;=$A159)),Budgets!$C$2:$C$200),0))</f>
        <v/>
      </c>
      <c r="AQ159" s="88">
        <f>IF(OR(AQ$1="",$BE159=0),"",IFERROR(LOOKUP(2,1/((Budgets!$A$2:$A$200=AQ$1)*(Budgets!$B$2:$B$200&lt;=$A159)),Budgets!$C$2:$C$200),0))</f>
        <v/>
      </c>
      <c r="AR159" s="88">
        <f>IF(OR(AR$1="",$BE159=0),"",IFERROR(LOOKUP(2,1/((Budgets!$A$2:$A$200=AR$1)*(Budgets!$B$2:$B$200&lt;=$A159)),Budgets!$C$2:$C$200),0))</f>
        <v/>
      </c>
      <c r="AS159" s="88">
        <f>IF(OR(AS$1="",$BE159=0),"",IFERROR(LOOKUP(2,1/((Budgets!$A$2:$A$200=AS$1)*(Budgets!$B$2:$B$200&lt;=$A159)),Budgets!$C$2:$C$200),0))</f>
        <v/>
      </c>
      <c r="AT159" s="88">
        <f>IF(OR(AT$1="",$BE159=0),"",IFERROR(LOOKUP(2,1/((Budgets!$A$2:$A$200=AT$1)*(Budgets!$B$2:$B$200&lt;=$A159)),Budgets!$C$2:$C$200),0))</f>
        <v/>
      </c>
      <c r="AU159" s="88">
        <f>IF(OR(AU$1="",$BE159=0),"",IFERROR(LOOKUP(2,1/((Budgets!$A$2:$A$200=AU$1)*(Budgets!$B$2:$B$200&lt;=$A159)),Budgets!$C$2:$C$200),0))</f>
        <v/>
      </c>
      <c r="AV159" s="88">
        <f>IF(OR(AV$1="",$BE159=0),"",IFERROR(LOOKUP(2,1/((Budgets!$A$2:$A$200=AV$1)*(Budgets!$B$2:$B$200&lt;=$A159)),Budgets!$C$2:$C$200),0))</f>
        <v/>
      </c>
      <c r="AW159" s="88">
        <f>IF(OR(AW$1="",$BE159=0),"",IFERROR(LOOKUP(2,1/((Budgets!$A$2:$A$200=AW$1)*(Budgets!$B$2:$B$200&lt;=$A159)),Budgets!$C$2:$C$200),0))</f>
        <v/>
      </c>
      <c r="AX159" s="88">
        <f>IF(OR(AX$1="",$BE159=0),"",IFERROR(LOOKUP(2,1/((Budgets!$A$2:$A$200=AX$1)*(Budgets!$B$2:$B$200&lt;=$A159)),Budgets!$C$2:$C$200),0))</f>
        <v/>
      </c>
      <c r="AY159" s="88">
        <f>IF(OR(AY$1="",$BE159=0),"",IFERROR(LOOKUP(2,1/((Budgets!$A$2:$A$200=AY$1)*(Budgets!$B$2:$B$200&lt;=$A159)),Budgets!$C$2:$C$200),0))</f>
        <v/>
      </c>
      <c r="AZ159" s="88">
        <f>IF(OR(AZ$1="",$BE159=0),"",IFERROR(LOOKUP(2,1/((Budgets!$A$2:$A$200=AZ$1)*(Budgets!$B$2:$B$200&lt;=$A159)),Budgets!$C$2:$C$200),0))</f>
        <v/>
      </c>
      <c r="BA159" s="88">
        <f>IF(OR(BA$1="",$BE159=0),"",IFERROR(LOOKUP(2,1/((Budgets!$A$2:$A$200=BA$1)*(Budgets!$B$2:$B$200&lt;=$A159)),Budgets!$C$2:$C$200),0))</f>
        <v/>
      </c>
      <c r="BB159" s="88">
        <f>IF(OR(BB$1="",$BE159=0),"",IFERROR(LOOKUP(2,1/((Budgets!$A$2:$A$200=BB$1)*(Budgets!$B$2:$B$200&lt;=$A159)),Budgets!$C$2:$C$200),0))</f>
        <v/>
      </c>
      <c r="BC159" s="88">
        <f>IF(OR(BC$1="",$BE159=0),"",IFERROR(LOOKUP(2,1/((Budgets!$A$2:$A$200=BC$1)*(Budgets!$B$2:$B$200&lt;=$A159)),Budgets!$C$2:$C$200),0))</f>
        <v/>
      </c>
      <c r="BE159" s="67">
        <f>COUNTIFS(Entries!$A$2:$A$5000,$A159)</f>
        <v/>
      </c>
    </row>
    <row r="160" ht="15" customHeight="1" s="43">
      <c r="A160" s="87" t="n">
        <v>44256</v>
      </c>
      <c r="B160" s="88">
        <f>IF($BE160=0,NA(),SUMIFS(Entries!$D$2:$D$5000,Entries!$C$2:$C$5000,"Income",Entries!$A$2:$A$5000,$A160))</f>
        <v/>
      </c>
      <c r="C160" s="88">
        <f>IF($BE160=0,"",SUMIFS(Entries!$D$2:$D$5000,Entries!$C$2:$C$5000,"Actual",Entries!$A$2:$A$5000,$A160))</f>
        <v/>
      </c>
      <c r="D160" s="88">
        <f>IF($BE160=0,"",SUMIFS(Entries!$D$2:$D$5000,Entries!$C$2:$C$5000,"One-off",Entries!$A$2:$A$5000,$A160))</f>
        <v/>
      </c>
      <c r="E160" s="88">
        <f>IF($BE160=0,NA(),C160+D160)</f>
        <v/>
      </c>
      <c r="F160" s="88">
        <f>IF($BE160=0,"",SUM(AJ160:BC160))</f>
        <v/>
      </c>
      <c r="G160" s="88">
        <f>IF($BE160=0,"",B160-E160)</f>
        <v/>
      </c>
      <c r="H160" s="88">
        <f>IF($BE160=0,"",SUM($G$2:G160))</f>
        <v/>
      </c>
      <c r="I160" s="88">
        <f>IF($BE160=0,"",SUMIFS(Entries!$F$2:$F$5000,Entries!$A$2:$A$5000,$A160))</f>
        <v/>
      </c>
      <c r="J160" s="88">
        <f>IF($BE160=0,NA(),H160+SUM($I$2:I160))</f>
        <v/>
      </c>
      <c r="K160" s="88">
        <f>IF($BE160=0,"",SUMIFS(Entries!$D$2:$D$5000,Entries!$C$2:$C$5000,"Income",Entries!$A$2:$A$5000,"&gt;="&amp;EDATE($A160,-11),Entries!$A$2:$A$5000,"&lt;="&amp;$A160)/12)</f>
        <v/>
      </c>
      <c r="L160" s="88">
        <f>IF($BE160=0,"",(SUMIFS(Entries!$D$2:$D$5000,Entries!$C$2:$C$5000,"Actual",Entries!$A$2:$A$5000,"&gt;="&amp;EDATE($A160,-11),Entries!$A$2:$A$5000,"&lt;="&amp;$A160)+SUMIFS(Entries!$D$2:$D$5000,Entries!$C$2:$C$5000,"One-off",Entries!$A$2:$A$5000,"&gt;="&amp;EDATE($A160,-11),Entries!$A$2:$A$5000,"&lt;="&amp;$A160))/12)</f>
        <v/>
      </c>
      <c r="M160" s="70">
        <f>IF($BE160=0,NA(),IFERROR((K160-L160)/K160,0))</f>
        <v/>
      </c>
      <c r="O160" s="88">
        <f>IF(OR(O$1="",$BE160=0),"",SUMIFS(Entries!$D$2:$D$5000,Entries!$C$2:$C$5000,"Actual",Entries!$A$2:$A$5000,$A160,Entries!$B$2:$B$5000,O$1))</f>
        <v/>
      </c>
      <c r="P160" s="88">
        <f>IF(OR(P$1="",$BE160=0),"",SUMIFS(Entries!$D$2:$D$5000,Entries!$C$2:$C$5000,"Actual",Entries!$A$2:$A$5000,$A160,Entries!$B$2:$B$5000,P$1))</f>
        <v/>
      </c>
      <c r="Q160" s="88">
        <f>IF(OR(Q$1="",$BE160=0),"",SUMIFS(Entries!$D$2:$D$5000,Entries!$C$2:$C$5000,"Actual",Entries!$A$2:$A$5000,$A160,Entries!$B$2:$B$5000,Q$1))</f>
        <v/>
      </c>
      <c r="R160" s="88">
        <f>IF(OR(R$1="",$BE160=0),"",SUMIFS(Entries!$D$2:$D$5000,Entries!$C$2:$C$5000,"Actual",Entries!$A$2:$A$5000,$A160,Entries!$B$2:$B$5000,R$1))</f>
        <v/>
      </c>
      <c r="S160" s="88">
        <f>IF(OR(S$1="",$BE160=0),"",SUMIFS(Entries!$D$2:$D$5000,Entries!$C$2:$C$5000,"Actual",Entries!$A$2:$A$5000,$A160,Entries!$B$2:$B$5000,S$1))</f>
        <v/>
      </c>
      <c r="T160" s="88">
        <f>IF(OR(T$1="",$BE160=0),"",SUMIFS(Entries!$D$2:$D$5000,Entries!$C$2:$C$5000,"Actual",Entries!$A$2:$A$5000,$A160,Entries!$B$2:$B$5000,T$1))</f>
        <v/>
      </c>
      <c r="U160" s="88">
        <f>IF(OR(U$1="",$BE160=0),"",SUMIFS(Entries!$D$2:$D$5000,Entries!$C$2:$C$5000,"Actual",Entries!$A$2:$A$5000,$A160,Entries!$B$2:$B$5000,U$1))</f>
        <v/>
      </c>
      <c r="V160" s="88">
        <f>IF(OR(V$1="",$BE160=0),"",SUMIFS(Entries!$D$2:$D$5000,Entries!$C$2:$C$5000,"Actual",Entries!$A$2:$A$5000,$A160,Entries!$B$2:$B$5000,V$1))</f>
        <v/>
      </c>
      <c r="W160" s="88">
        <f>IF(OR(W$1="",$BE160=0),"",SUMIFS(Entries!$D$2:$D$5000,Entries!$C$2:$C$5000,"Actual",Entries!$A$2:$A$5000,$A160,Entries!$B$2:$B$5000,W$1))</f>
        <v/>
      </c>
      <c r="X160" s="88">
        <f>IF(OR(X$1="",$BE160=0),"",SUMIFS(Entries!$D$2:$D$5000,Entries!$C$2:$C$5000,"Actual",Entries!$A$2:$A$5000,$A160,Entries!$B$2:$B$5000,X$1))</f>
        <v/>
      </c>
      <c r="Y160" s="88">
        <f>IF(OR(Y$1="",$BE160=0),"",SUMIFS(Entries!$D$2:$D$5000,Entries!$C$2:$C$5000,"Actual",Entries!$A$2:$A$5000,$A160,Entries!$B$2:$B$5000,Y$1))</f>
        <v/>
      </c>
      <c r="Z160" s="88">
        <f>IF(OR(Z$1="",$BE160=0),"",SUMIFS(Entries!$D$2:$D$5000,Entries!$C$2:$C$5000,"Actual",Entries!$A$2:$A$5000,$A160,Entries!$B$2:$B$5000,Z$1))</f>
        <v/>
      </c>
      <c r="AA160" s="88">
        <f>IF(OR(AA$1="",$BE160=0),"",SUMIFS(Entries!$D$2:$D$5000,Entries!$C$2:$C$5000,"Actual",Entries!$A$2:$A$5000,$A160,Entries!$B$2:$B$5000,AA$1))</f>
        <v/>
      </c>
      <c r="AB160" s="88">
        <f>IF(OR(AB$1="",$BE160=0),"",SUMIFS(Entries!$D$2:$D$5000,Entries!$C$2:$C$5000,"Actual",Entries!$A$2:$A$5000,$A160,Entries!$B$2:$B$5000,AB$1))</f>
        <v/>
      </c>
      <c r="AC160" s="88">
        <f>IF(OR(AC$1="",$BE160=0),"",SUMIFS(Entries!$D$2:$D$5000,Entries!$C$2:$C$5000,"Actual",Entries!$A$2:$A$5000,$A160,Entries!$B$2:$B$5000,AC$1))</f>
        <v/>
      </c>
      <c r="AD160" s="88">
        <f>IF(OR(AD$1="",$BE160=0),"",SUMIFS(Entries!$D$2:$D$5000,Entries!$C$2:$C$5000,"Actual",Entries!$A$2:$A$5000,$A160,Entries!$B$2:$B$5000,AD$1))</f>
        <v/>
      </c>
      <c r="AE160" s="88">
        <f>IF(OR(AE$1="",$BE160=0),"",SUMIFS(Entries!$D$2:$D$5000,Entries!$C$2:$C$5000,"Actual",Entries!$A$2:$A$5000,$A160,Entries!$B$2:$B$5000,AE$1))</f>
        <v/>
      </c>
      <c r="AF160" s="88">
        <f>IF(OR(AF$1="",$BE160=0),"",SUMIFS(Entries!$D$2:$D$5000,Entries!$C$2:$C$5000,"Actual",Entries!$A$2:$A$5000,$A160,Entries!$B$2:$B$5000,AF$1))</f>
        <v/>
      </c>
      <c r="AG160" s="88">
        <f>IF(OR(AG$1="",$BE160=0),"",SUMIFS(Entries!$D$2:$D$5000,Entries!$C$2:$C$5000,"Actual",Entries!$A$2:$A$5000,$A160,Entries!$B$2:$B$5000,AG$1))</f>
        <v/>
      </c>
      <c r="AH160" s="88">
        <f>IF(OR(AH$1="",$BE160=0),"",SUMIFS(Entries!$D$2:$D$5000,Entries!$C$2:$C$5000,"Actual",Entries!$A$2:$A$5000,$A160,Entries!$B$2:$B$5000,AH$1))</f>
        <v/>
      </c>
      <c r="AJ160" s="88">
        <f>IF(OR(AJ$1="",$BE160=0),"",IFERROR(LOOKUP(2,1/((Budgets!$A$2:$A$200=AJ$1)*(Budgets!$B$2:$B$200&lt;=$A160)),Budgets!$C$2:$C$200),0))</f>
        <v/>
      </c>
      <c r="AK160" s="88">
        <f>IF(OR(AK$1="",$BE160=0),"",IFERROR(LOOKUP(2,1/((Budgets!$A$2:$A$200=AK$1)*(Budgets!$B$2:$B$200&lt;=$A160)),Budgets!$C$2:$C$200),0))</f>
        <v/>
      </c>
      <c r="AL160" s="88">
        <f>IF(OR(AL$1="",$BE160=0),"",IFERROR(LOOKUP(2,1/((Budgets!$A$2:$A$200=AL$1)*(Budgets!$B$2:$B$200&lt;=$A160)),Budgets!$C$2:$C$200),0))</f>
        <v/>
      </c>
      <c r="AM160" s="88">
        <f>IF(OR(AM$1="",$BE160=0),"",IFERROR(LOOKUP(2,1/((Budgets!$A$2:$A$200=AM$1)*(Budgets!$B$2:$B$200&lt;=$A160)),Budgets!$C$2:$C$200),0))</f>
        <v/>
      </c>
      <c r="AN160" s="88">
        <f>IF(OR(AN$1="",$BE160=0),"",IFERROR(LOOKUP(2,1/((Budgets!$A$2:$A$200=AN$1)*(Budgets!$B$2:$B$200&lt;=$A160)),Budgets!$C$2:$C$200),0))</f>
        <v/>
      </c>
      <c r="AO160" s="88">
        <f>IF(OR(AO$1="",$BE160=0),"",IFERROR(LOOKUP(2,1/((Budgets!$A$2:$A$200=AO$1)*(Budgets!$B$2:$B$200&lt;=$A160)),Budgets!$C$2:$C$200),0))</f>
        <v/>
      </c>
      <c r="AP160" s="88">
        <f>IF(OR(AP$1="",$BE160=0),"",IFERROR(LOOKUP(2,1/((Budgets!$A$2:$A$200=AP$1)*(Budgets!$B$2:$B$200&lt;=$A160)),Budgets!$C$2:$C$200),0))</f>
        <v/>
      </c>
      <c r="AQ160" s="88">
        <f>IF(OR(AQ$1="",$BE160=0),"",IFERROR(LOOKUP(2,1/((Budgets!$A$2:$A$200=AQ$1)*(Budgets!$B$2:$B$200&lt;=$A160)),Budgets!$C$2:$C$200),0))</f>
        <v/>
      </c>
      <c r="AR160" s="88">
        <f>IF(OR(AR$1="",$BE160=0),"",IFERROR(LOOKUP(2,1/((Budgets!$A$2:$A$200=AR$1)*(Budgets!$B$2:$B$200&lt;=$A160)),Budgets!$C$2:$C$200),0))</f>
        <v/>
      </c>
      <c r="AS160" s="88">
        <f>IF(OR(AS$1="",$BE160=0),"",IFERROR(LOOKUP(2,1/((Budgets!$A$2:$A$200=AS$1)*(Budgets!$B$2:$B$200&lt;=$A160)),Budgets!$C$2:$C$200),0))</f>
        <v/>
      </c>
      <c r="AT160" s="88">
        <f>IF(OR(AT$1="",$BE160=0),"",IFERROR(LOOKUP(2,1/((Budgets!$A$2:$A$200=AT$1)*(Budgets!$B$2:$B$200&lt;=$A160)),Budgets!$C$2:$C$200),0))</f>
        <v/>
      </c>
      <c r="AU160" s="88">
        <f>IF(OR(AU$1="",$BE160=0),"",IFERROR(LOOKUP(2,1/((Budgets!$A$2:$A$200=AU$1)*(Budgets!$B$2:$B$200&lt;=$A160)),Budgets!$C$2:$C$200),0))</f>
        <v/>
      </c>
      <c r="AV160" s="88">
        <f>IF(OR(AV$1="",$BE160=0),"",IFERROR(LOOKUP(2,1/((Budgets!$A$2:$A$200=AV$1)*(Budgets!$B$2:$B$200&lt;=$A160)),Budgets!$C$2:$C$200),0))</f>
        <v/>
      </c>
      <c r="AW160" s="88">
        <f>IF(OR(AW$1="",$BE160=0),"",IFERROR(LOOKUP(2,1/((Budgets!$A$2:$A$200=AW$1)*(Budgets!$B$2:$B$200&lt;=$A160)),Budgets!$C$2:$C$200),0))</f>
        <v/>
      </c>
      <c r="AX160" s="88">
        <f>IF(OR(AX$1="",$BE160=0),"",IFERROR(LOOKUP(2,1/((Budgets!$A$2:$A$200=AX$1)*(Budgets!$B$2:$B$200&lt;=$A160)),Budgets!$C$2:$C$200),0))</f>
        <v/>
      </c>
      <c r="AY160" s="88">
        <f>IF(OR(AY$1="",$BE160=0),"",IFERROR(LOOKUP(2,1/((Budgets!$A$2:$A$200=AY$1)*(Budgets!$B$2:$B$200&lt;=$A160)),Budgets!$C$2:$C$200),0))</f>
        <v/>
      </c>
      <c r="AZ160" s="88">
        <f>IF(OR(AZ$1="",$BE160=0),"",IFERROR(LOOKUP(2,1/((Budgets!$A$2:$A$200=AZ$1)*(Budgets!$B$2:$B$200&lt;=$A160)),Budgets!$C$2:$C$200),0))</f>
        <v/>
      </c>
      <c r="BA160" s="88">
        <f>IF(OR(BA$1="",$BE160=0),"",IFERROR(LOOKUP(2,1/((Budgets!$A$2:$A$200=BA$1)*(Budgets!$B$2:$B$200&lt;=$A160)),Budgets!$C$2:$C$200),0))</f>
        <v/>
      </c>
      <c r="BB160" s="88">
        <f>IF(OR(BB$1="",$BE160=0),"",IFERROR(LOOKUP(2,1/((Budgets!$A$2:$A$200=BB$1)*(Budgets!$B$2:$B$200&lt;=$A160)),Budgets!$C$2:$C$200),0))</f>
        <v/>
      </c>
      <c r="BC160" s="88">
        <f>IF(OR(BC$1="",$BE160=0),"",IFERROR(LOOKUP(2,1/((Budgets!$A$2:$A$200=BC$1)*(Budgets!$B$2:$B$200&lt;=$A160)),Budgets!$C$2:$C$200),0))</f>
        <v/>
      </c>
      <c r="BE160" s="67">
        <f>COUNTIFS(Entries!$A$2:$A$5000,$A160)</f>
        <v/>
      </c>
    </row>
    <row r="161" ht="15" customHeight="1" s="43">
      <c r="A161" s="87" t="n">
        <v>44287</v>
      </c>
      <c r="B161" s="88">
        <f>IF($BE161=0,NA(),SUMIFS(Entries!$D$2:$D$5000,Entries!$C$2:$C$5000,"Income",Entries!$A$2:$A$5000,$A161))</f>
        <v/>
      </c>
      <c r="C161" s="88">
        <f>IF($BE161=0,"",SUMIFS(Entries!$D$2:$D$5000,Entries!$C$2:$C$5000,"Actual",Entries!$A$2:$A$5000,$A161))</f>
        <v/>
      </c>
      <c r="D161" s="88">
        <f>IF($BE161=0,"",SUMIFS(Entries!$D$2:$D$5000,Entries!$C$2:$C$5000,"One-off",Entries!$A$2:$A$5000,$A161))</f>
        <v/>
      </c>
      <c r="E161" s="88">
        <f>IF($BE161=0,NA(),C161+D161)</f>
        <v/>
      </c>
      <c r="F161" s="88">
        <f>IF($BE161=0,"",SUM(AJ161:BC161))</f>
        <v/>
      </c>
      <c r="G161" s="88">
        <f>IF($BE161=0,"",B161-E161)</f>
        <v/>
      </c>
      <c r="H161" s="88">
        <f>IF($BE161=0,"",SUM($G$2:G161))</f>
        <v/>
      </c>
      <c r="I161" s="88">
        <f>IF($BE161=0,"",SUMIFS(Entries!$F$2:$F$5000,Entries!$A$2:$A$5000,$A161))</f>
        <v/>
      </c>
      <c r="J161" s="88">
        <f>IF($BE161=0,NA(),H161+SUM($I$2:I161))</f>
        <v/>
      </c>
      <c r="K161" s="88">
        <f>IF($BE161=0,"",SUMIFS(Entries!$D$2:$D$5000,Entries!$C$2:$C$5000,"Income",Entries!$A$2:$A$5000,"&gt;="&amp;EDATE($A161,-11),Entries!$A$2:$A$5000,"&lt;="&amp;$A161)/12)</f>
        <v/>
      </c>
      <c r="L161" s="88">
        <f>IF($BE161=0,"",(SUMIFS(Entries!$D$2:$D$5000,Entries!$C$2:$C$5000,"Actual",Entries!$A$2:$A$5000,"&gt;="&amp;EDATE($A161,-11),Entries!$A$2:$A$5000,"&lt;="&amp;$A161)+SUMIFS(Entries!$D$2:$D$5000,Entries!$C$2:$C$5000,"One-off",Entries!$A$2:$A$5000,"&gt;="&amp;EDATE($A161,-11),Entries!$A$2:$A$5000,"&lt;="&amp;$A161))/12)</f>
        <v/>
      </c>
      <c r="M161" s="70">
        <f>IF($BE161=0,NA(),IFERROR((K161-L161)/K161,0))</f>
        <v/>
      </c>
      <c r="O161" s="88">
        <f>IF(OR(O$1="",$BE161=0),"",SUMIFS(Entries!$D$2:$D$5000,Entries!$C$2:$C$5000,"Actual",Entries!$A$2:$A$5000,$A161,Entries!$B$2:$B$5000,O$1))</f>
        <v/>
      </c>
      <c r="P161" s="88">
        <f>IF(OR(P$1="",$BE161=0),"",SUMIFS(Entries!$D$2:$D$5000,Entries!$C$2:$C$5000,"Actual",Entries!$A$2:$A$5000,$A161,Entries!$B$2:$B$5000,P$1))</f>
        <v/>
      </c>
      <c r="Q161" s="88">
        <f>IF(OR(Q$1="",$BE161=0),"",SUMIFS(Entries!$D$2:$D$5000,Entries!$C$2:$C$5000,"Actual",Entries!$A$2:$A$5000,$A161,Entries!$B$2:$B$5000,Q$1))</f>
        <v/>
      </c>
      <c r="R161" s="88">
        <f>IF(OR(R$1="",$BE161=0),"",SUMIFS(Entries!$D$2:$D$5000,Entries!$C$2:$C$5000,"Actual",Entries!$A$2:$A$5000,$A161,Entries!$B$2:$B$5000,R$1))</f>
        <v/>
      </c>
      <c r="S161" s="88">
        <f>IF(OR(S$1="",$BE161=0),"",SUMIFS(Entries!$D$2:$D$5000,Entries!$C$2:$C$5000,"Actual",Entries!$A$2:$A$5000,$A161,Entries!$B$2:$B$5000,S$1))</f>
        <v/>
      </c>
      <c r="T161" s="88">
        <f>IF(OR(T$1="",$BE161=0),"",SUMIFS(Entries!$D$2:$D$5000,Entries!$C$2:$C$5000,"Actual",Entries!$A$2:$A$5000,$A161,Entries!$B$2:$B$5000,T$1))</f>
        <v/>
      </c>
      <c r="U161" s="88">
        <f>IF(OR(U$1="",$BE161=0),"",SUMIFS(Entries!$D$2:$D$5000,Entries!$C$2:$C$5000,"Actual",Entries!$A$2:$A$5000,$A161,Entries!$B$2:$B$5000,U$1))</f>
        <v/>
      </c>
      <c r="V161" s="88">
        <f>IF(OR(V$1="",$BE161=0),"",SUMIFS(Entries!$D$2:$D$5000,Entries!$C$2:$C$5000,"Actual",Entries!$A$2:$A$5000,$A161,Entries!$B$2:$B$5000,V$1))</f>
        <v/>
      </c>
      <c r="W161" s="88">
        <f>IF(OR(W$1="",$BE161=0),"",SUMIFS(Entries!$D$2:$D$5000,Entries!$C$2:$C$5000,"Actual",Entries!$A$2:$A$5000,$A161,Entries!$B$2:$B$5000,W$1))</f>
        <v/>
      </c>
      <c r="X161" s="88">
        <f>IF(OR(X$1="",$BE161=0),"",SUMIFS(Entries!$D$2:$D$5000,Entries!$C$2:$C$5000,"Actual",Entries!$A$2:$A$5000,$A161,Entries!$B$2:$B$5000,X$1))</f>
        <v/>
      </c>
      <c r="Y161" s="88">
        <f>IF(OR(Y$1="",$BE161=0),"",SUMIFS(Entries!$D$2:$D$5000,Entries!$C$2:$C$5000,"Actual",Entries!$A$2:$A$5000,$A161,Entries!$B$2:$B$5000,Y$1))</f>
        <v/>
      </c>
      <c r="Z161" s="88">
        <f>IF(OR(Z$1="",$BE161=0),"",SUMIFS(Entries!$D$2:$D$5000,Entries!$C$2:$C$5000,"Actual",Entries!$A$2:$A$5000,$A161,Entries!$B$2:$B$5000,Z$1))</f>
        <v/>
      </c>
      <c r="AA161" s="88">
        <f>IF(OR(AA$1="",$BE161=0),"",SUMIFS(Entries!$D$2:$D$5000,Entries!$C$2:$C$5000,"Actual",Entries!$A$2:$A$5000,$A161,Entries!$B$2:$B$5000,AA$1))</f>
        <v/>
      </c>
      <c r="AB161" s="88">
        <f>IF(OR(AB$1="",$BE161=0),"",SUMIFS(Entries!$D$2:$D$5000,Entries!$C$2:$C$5000,"Actual",Entries!$A$2:$A$5000,$A161,Entries!$B$2:$B$5000,AB$1))</f>
        <v/>
      </c>
      <c r="AC161" s="88">
        <f>IF(OR(AC$1="",$BE161=0),"",SUMIFS(Entries!$D$2:$D$5000,Entries!$C$2:$C$5000,"Actual",Entries!$A$2:$A$5000,$A161,Entries!$B$2:$B$5000,AC$1))</f>
        <v/>
      </c>
      <c r="AD161" s="88">
        <f>IF(OR(AD$1="",$BE161=0),"",SUMIFS(Entries!$D$2:$D$5000,Entries!$C$2:$C$5000,"Actual",Entries!$A$2:$A$5000,$A161,Entries!$B$2:$B$5000,AD$1))</f>
        <v/>
      </c>
      <c r="AE161" s="88">
        <f>IF(OR(AE$1="",$BE161=0),"",SUMIFS(Entries!$D$2:$D$5000,Entries!$C$2:$C$5000,"Actual",Entries!$A$2:$A$5000,$A161,Entries!$B$2:$B$5000,AE$1))</f>
        <v/>
      </c>
      <c r="AF161" s="88">
        <f>IF(OR(AF$1="",$BE161=0),"",SUMIFS(Entries!$D$2:$D$5000,Entries!$C$2:$C$5000,"Actual",Entries!$A$2:$A$5000,$A161,Entries!$B$2:$B$5000,AF$1))</f>
        <v/>
      </c>
      <c r="AG161" s="88">
        <f>IF(OR(AG$1="",$BE161=0),"",SUMIFS(Entries!$D$2:$D$5000,Entries!$C$2:$C$5000,"Actual",Entries!$A$2:$A$5000,$A161,Entries!$B$2:$B$5000,AG$1))</f>
        <v/>
      </c>
      <c r="AH161" s="88">
        <f>IF(OR(AH$1="",$BE161=0),"",SUMIFS(Entries!$D$2:$D$5000,Entries!$C$2:$C$5000,"Actual",Entries!$A$2:$A$5000,$A161,Entries!$B$2:$B$5000,AH$1))</f>
        <v/>
      </c>
      <c r="AJ161" s="88">
        <f>IF(OR(AJ$1="",$BE161=0),"",IFERROR(LOOKUP(2,1/((Budgets!$A$2:$A$200=AJ$1)*(Budgets!$B$2:$B$200&lt;=$A161)),Budgets!$C$2:$C$200),0))</f>
        <v/>
      </c>
      <c r="AK161" s="88">
        <f>IF(OR(AK$1="",$BE161=0),"",IFERROR(LOOKUP(2,1/((Budgets!$A$2:$A$200=AK$1)*(Budgets!$B$2:$B$200&lt;=$A161)),Budgets!$C$2:$C$200),0))</f>
        <v/>
      </c>
      <c r="AL161" s="88">
        <f>IF(OR(AL$1="",$BE161=0),"",IFERROR(LOOKUP(2,1/((Budgets!$A$2:$A$200=AL$1)*(Budgets!$B$2:$B$200&lt;=$A161)),Budgets!$C$2:$C$200),0))</f>
        <v/>
      </c>
      <c r="AM161" s="88">
        <f>IF(OR(AM$1="",$BE161=0),"",IFERROR(LOOKUP(2,1/((Budgets!$A$2:$A$200=AM$1)*(Budgets!$B$2:$B$200&lt;=$A161)),Budgets!$C$2:$C$200),0))</f>
        <v/>
      </c>
      <c r="AN161" s="88">
        <f>IF(OR(AN$1="",$BE161=0),"",IFERROR(LOOKUP(2,1/((Budgets!$A$2:$A$200=AN$1)*(Budgets!$B$2:$B$200&lt;=$A161)),Budgets!$C$2:$C$200),0))</f>
        <v/>
      </c>
      <c r="AO161" s="88">
        <f>IF(OR(AO$1="",$BE161=0),"",IFERROR(LOOKUP(2,1/((Budgets!$A$2:$A$200=AO$1)*(Budgets!$B$2:$B$200&lt;=$A161)),Budgets!$C$2:$C$200),0))</f>
        <v/>
      </c>
      <c r="AP161" s="88">
        <f>IF(OR(AP$1="",$BE161=0),"",IFERROR(LOOKUP(2,1/((Budgets!$A$2:$A$200=AP$1)*(Budgets!$B$2:$B$200&lt;=$A161)),Budgets!$C$2:$C$200),0))</f>
        <v/>
      </c>
      <c r="AQ161" s="88">
        <f>IF(OR(AQ$1="",$BE161=0),"",IFERROR(LOOKUP(2,1/((Budgets!$A$2:$A$200=AQ$1)*(Budgets!$B$2:$B$200&lt;=$A161)),Budgets!$C$2:$C$200),0))</f>
        <v/>
      </c>
      <c r="AR161" s="88">
        <f>IF(OR(AR$1="",$BE161=0),"",IFERROR(LOOKUP(2,1/((Budgets!$A$2:$A$200=AR$1)*(Budgets!$B$2:$B$200&lt;=$A161)),Budgets!$C$2:$C$200),0))</f>
        <v/>
      </c>
      <c r="AS161" s="88">
        <f>IF(OR(AS$1="",$BE161=0),"",IFERROR(LOOKUP(2,1/((Budgets!$A$2:$A$200=AS$1)*(Budgets!$B$2:$B$200&lt;=$A161)),Budgets!$C$2:$C$200),0))</f>
        <v/>
      </c>
      <c r="AT161" s="88">
        <f>IF(OR(AT$1="",$BE161=0),"",IFERROR(LOOKUP(2,1/((Budgets!$A$2:$A$200=AT$1)*(Budgets!$B$2:$B$200&lt;=$A161)),Budgets!$C$2:$C$200),0))</f>
        <v/>
      </c>
      <c r="AU161" s="88">
        <f>IF(OR(AU$1="",$BE161=0),"",IFERROR(LOOKUP(2,1/((Budgets!$A$2:$A$200=AU$1)*(Budgets!$B$2:$B$200&lt;=$A161)),Budgets!$C$2:$C$200),0))</f>
        <v/>
      </c>
      <c r="AV161" s="88">
        <f>IF(OR(AV$1="",$BE161=0),"",IFERROR(LOOKUP(2,1/((Budgets!$A$2:$A$200=AV$1)*(Budgets!$B$2:$B$200&lt;=$A161)),Budgets!$C$2:$C$200),0))</f>
        <v/>
      </c>
      <c r="AW161" s="88">
        <f>IF(OR(AW$1="",$BE161=0),"",IFERROR(LOOKUP(2,1/((Budgets!$A$2:$A$200=AW$1)*(Budgets!$B$2:$B$200&lt;=$A161)),Budgets!$C$2:$C$200),0))</f>
        <v/>
      </c>
      <c r="AX161" s="88">
        <f>IF(OR(AX$1="",$BE161=0),"",IFERROR(LOOKUP(2,1/((Budgets!$A$2:$A$200=AX$1)*(Budgets!$B$2:$B$200&lt;=$A161)),Budgets!$C$2:$C$200),0))</f>
        <v/>
      </c>
      <c r="AY161" s="88">
        <f>IF(OR(AY$1="",$BE161=0),"",IFERROR(LOOKUP(2,1/((Budgets!$A$2:$A$200=AY$1)*(Budgets!$B$2:$B$200&lt;=$A161)),Budgets!$C$2:$C$200),0))</f>
        <v/>
      </c>
      <c r="AZ161" s="88">
        <f>IF(OR(AZ$1="",$BE161=0),"",IFERROR(LOOKUP(2,1/((Budgets!$A$2:$A$200=AZ$1)*(Budgets!$B$2:$B$200&lt;=$A161)),Budgets!$C$2:$C$200),0))</f>
        <v/>
      </c>
      <c r="BA161" s="88">
        <f>IF(OR(BA$1="",$BE161=0),"",IFERROR(LOOKUP(2,1/((Budgets!$A$2:$A$200=BA$1)*(Budgets!$B$2:$B$200&lt;=$A161)),Budgets!$C$2:$C$200),0))</f>
        <v/>
      </c>
      <c r="BB161" s="88">
        <f>IF(OR(BB$1="",$BE161=0),"",IFERROR(LOOKUP(2,1/((Budgets!$A$2:$A$200=BB$1)*(Budgets!$B$2:$B$200&lt;=$A161)),Budgets!$C$2:$C$200),0))</f>
        <v/>
      </c>
      <c r="BC161" s="88">
        <f>IF(OR(BC$1="",$BE161=0),"",IFERROR(LOOKUP(2,1/((Budgets!$A$2:$A$200=BC$1)*(Budgets!$B$2:$B$200&lt;=$A161)),Budgets!$C$2:$C$200),0))</f>
        <v/>
      </c>
      <c r="BE161" s="67">
        <f>COUNTIFS(Entries!$A$2:$A$5000,$A161)</f>
        <v/>
      </c>
    </row>
    <row r="162" ht="15" customHeight="1" s="43">
      <c r="A162" s="87" t="n">
        <v>44317</v>
      </c>
      <c r="B162" s="88">
        <f>IF($BE162=0,NA(),SUMIFS(Entries!$D$2:$D$5000,Entries!$C$2:$C$5000,"Income",Entries!$A$2:$A$5000,$A162))</f>
        <v/>
      </c>
      <c r="C162" s="88">
        <f>IF($BE162=0,"",SUMIFS(Entries!$D$2:$D$5000,Entries!$C$2:$C$5000,"Actual",Entries!$A$2:$A$5000,$A162))</f>
        <v/>
      </c>
      <c r="D162" s="88">
        <f>IF($BE162=0,"",SUMIFS(Entries!$D$2:$D$5000,Entries!$C$2:$C$5000,"One-off",Entries!$A$2:$A$5000,$A162))</f>
        <v/>
      </c>
      <c r="E162" s="88">
        <f>IF($BE162=0,NA(),C162+D162)</f>
        <v/>
      </c>
      <c r="F162" s="88">
        <f>IF($BE162=0,"",SUM(AJ162:BC162))</f>
        <v/>
      </c>
      <c r="G162" s="88">
        <f>IF($BE162=0,"",B162-E162)</f>
        <v/>
      </c>
      <c r="H162" s="88">
        <f>IF($BE162=0,"",SUM($G$2:G162))</f>
        <v/>
      </c>
      <c r="I162" s="88">
        <f>IF($BE162=0,"",SUMIFS(Entries!$F$2:$F$5000,Entries!$A$2:$A$5000,$A162))</f>
        <v/>
      </c>
      <c r="J162" s="88">
        <f>IF($BE162=0,NA(),H162+SUM($I$2:I162))</f>
        <v/>
      </c>
      <c r="K162" s="88">
        <f>IF($BE162=0,"",SUMIFS(Entries!$D$2:$D$5000,Entries!$C$2:$C$5000,"Income",Entries!$A$2:$A$5000,"&gt;="&amp;EDATE($A162,-11),Entries!$A$2:$A$5000,"&lt;="&amp;$A162)/12)</f>
        <v/>
      </c>
      <c r="L162" s="88">
        <f>IF($BE162=0,"",(SUMIFS(Entries!$D$2:$D$5000,Entries!$C$2:$C$5000,"Actual",Entries!$A$2:$A$5000,"&gt;="&amp;EDATE($A162,-11),Entries!$A$2:$A$5000,"&lt;="&amp;$A162)+SUMIFS(Entries!$D$2:$D$5000,Entries!$C$2:$C$5000,"One-off",Entries!$A$2:$A$5000,"&gt;="&amp;EDATE($A162,-11),Entries!$A$2:$A$5000,"&lt;="&amp;$A162))/12)</f>
        <v/>
      </c>
      <c r="M162" s="70">
        <f>IF($BE162=0,NA(),IFERROR((K162-L162)/K162,0))</f>
        <v/>
      </c>
      <c r="O162" s="88">
        <f>IF(OR(O$1="",$BE162=0),"",SUMIFS(Entries!$D$2:$D$5000,Entries!$C$2:$C$5000,"Actual",Entries!$A$2:$A$5000,$A162,Entries!$B$2:$B$5000,O$1))</f>
        <v/>
      </c>
      <c r="P162" s="88">
        <f>IF(OR(P$1="",$BE162=0),"",SUMIFS(Entries!$D$2:$D$5000,Entries!$C$2:$C$5000,"Actual",Entries!$A$2:$A$5000,$A162,Entries!$B$2:$B$5000,P$1))</f>
        <v/>
      </c>
      <c r="Q162" s="88">
        <f>IF(OR(Q$1="",$BE162=0),"",SUMIFS(Entries!$D$2:$D$5000,Entries!$C$2:$C$5000,"Actual",Entries!$A$2:$A$5000,$A162,Entries!$B$2:$B$5000,Q$1))</f>
        <v/>
      </c>
      <c r="R162" s="88">
        <f>IF(OR(R$1="",$BE162=0),"",SUMIFS(Entries!$D$2:$D$5000,Entries!$C$2:$C$5000,"Actual",Entries!$A$2:$A$5000,$A162,Entries!$B$2:$B$5000,R$1))</f>
        <v/>
      </c>
      <c r="S162" s="88">
        <f>IF(OR(S$1="",$BE162=0),"",SUMIFS(Entries!$D$2:$D$5000,Entries!$C$2:$C$5000,"Actual",Entries!$A$2:$A$5000,$A162,Entries!$B$2:$B$5000,S$1))</f>
        <v/>
      </c>
      <c r="T162" s="88">
        <f>IF(OR(T$1="",$BE162=0),"",SUMIFS(Entries!$D$2:$D$5000,Entries!$C$2:$C$5000,"Actual",Entries!$A$2:$A$5000,$A162,Entries!$B$2:$B$5000,T$1))</f>
        <v/>
      </c>
      <c r="U162" s="88">
        <f>IF(OR(U$1="",$BE162=0),"",SUMIFS(Entries!$D$2:$D$5000,Entries!$C$2:$C$5000,"Actual",Entries!$A$2:$A$5000,$A162,Entries!$B$2:$B$5000,U$1))</f>
        <v/>
      </c>
      <c r="V162" s="88">
        <f>IF(OR(V$1="",$BE162=0),"",SUMIFS(Entries!$D$2:$D$5000,Entries!$C$2:$C$5000,"Actual",Entries!$A$2:$A$5000,$A162,Entries!$B$2:$B$5000,V$1))</f>
        <v/>
      </c>
      <c r="W162" s="88">
        <f>IF(OR(W$1="",$BE162=0),"",SUMIFS(Entries!$D$2:$D$5000,Entries!$C$2:$C$5000,"Actual",Entries!$A$2:$A$5000,$A162,Entries!$B$2:$B$5000,W$1))</f>
        <v/>
      </c>
      <c r="X162" s="88">
        <f>IF(OR(X$1="",$BE162=0),"",SUMIFS(Entries!$D$2:$D$5000,Entries!$C$2:$C$5000,"Actual",Entries!$A$2:$A$5000,$A162,Entries!$B$2:$B$5000,X$1))</f>
        <v/>
      </c>
      <c r="Y162" s="88">
        <f>IF(OR(Y$1="",$BE162=0),"",SUMIFS(Entries!$D$2:$D$5000,Entries!$C$2:$C$5000,"Actual",Entries!$A$2:$A$5000,$A162,Entries!$B$2:$B$5000,Y$1))</f>
        <v/>
      </c>
      <c r="Z162" s="88">
        <f>IF(OR(Z$1="",$BE162=0),"",SUMIFS(Entries!$D$2:$D$5000,Entries!$C$2:$C$5000,"Actual",Entries!$A$2:$A$5000,$A162,Entries!$B$2:$B$5000,Z$1))</f>
        <v/>
      </c>
      <c r="AA162" s="88">
        <f>IF(OR(AA$1="",$BE162=0),"",SUMIFS(Entries!$D$2:$D$5000,Entries!$C$2:$C$5000,"Actual",Entries!$A$2:$A$5000,$A162,Entries!$B$2:$B$5000,AA$1))</f>
        <v/>
      </c>
      <c r="AB162" s="88">
        <f>IF(OR(AB$1="",$BE162=0),"",SUMIFS(Entries!$D$2:$D$5000,Entries!$C$2:$C$5000,"Actual",Entries!$A$2:$A$5000,$A162,Entries!$B$2:$B$5000,AB$1))</f>
        <v/>
      </c>
      <c r="AC162" s="88">
        <f>IF(OR(AC$1="",$BE162=0),"",SUMIFS(Entries!$D$2:$D$5000,Entries!$C$2:$C$5000,"Actual",Entries!$A$2:$A$5000,$A162,Entries!$B$2:$B$5000,AC$1))</f>
        <v/>
      </c>
      <c r="AD162" s="88">
        <f>IF(OR(AD$1="",$BE162=0),"",SUMIFS(Entries!$D$2:$D$5000,Entries!$C$2:$C$5000,"Actual",Entries!$A$2:$A$5000,$A162,Entries!$B$2:$B$5000,AD$1))</f>
        <v/>
      </c>
      <c r="AE162" s="88">
        <f>IF(OR(AE$1="",$BE162=0),"",SUMIFS(Entries!$D$2:$D$5000,Entries!$C$2:$C$5000,"Actual",Entries!$A$2:$A$5000,$A162,Entries!$B$2:$B$5000,AE$1))</f>
        <v/>
      </c>
      <c r="AF162" s="88">
        <f>IF(OR(AF$1="",$BE162=0),"",SUMIFS(Entries!$D$2:$D$5000,Entries!$C$2:$C$5000,"Actual",Entries!$A$2:$A$5000,$A162,Entries!$B$2:$B$5000,AF$1))</f>
        <v/>
      </c>
      <c r="AG162" s="88">
        <f>IF(OR(AG$1="",$BE162=0),"",SUMIFS(Entries!$D$2:$D$5000,Entries!$C$2:$C$5000,"Actual",Entries!$A$2:$A$5000,$A162,Entries!$B$2:$B$5000,AG$1))</f>
        <v/>
      </c>
      <c r="AH162" s="88">
        <f>IF(OR(AH$1="",$BE162=0),"",SUMIFS(Entries!$D$2:$D$5000,Entries!$C$2:$C$5000,"Actual",Entries!$A$2:$A$5000,$A162,Entries!$B$2:$B$5000,AH$1))</f>
        <v/>
      </c>
      <c r="AJ162" s="88">
        <f>IF(OR(AJ$1="",$BE162=0),"",IFERROR(LOOKUP(2,1/((Budgets!$A$2:$A$200=AJ$1)*(Budgets!$B$2:$B$200&lt;=$A162)),Budgets!$C$2:$C$200),0))</f>
        <v/>
      </c>
      <c r="AK162" s="88">
        <f>IF(OR(AK$1="",$BE162=0),"",IFERROR(LOOKUP(2,1/((Budgets!$A$2:$A$200=AK$1)*(Budgets!$B$2:$B$200&lt;=$A162)),Budgets!$C$2:$C$200),0))</f>
        <v/>
      </c>
      <c r="AL162" s="88">
        <f>IF(OR(AL$1="",$BE162=0),"",IFERROR(LOOKUP(2,1/((Budgets!$A$2:$A$200=AL$1)*(Budgets!$B$2:$B$200&lt;=$A162)),Budgets!$C$2:$C$200),0))</f>
        <v/>
      </c>
      <c r="AM162" s="88">
        <f>IF(OR(AM$1="",$BE162=0),"",IFERROR(LOOKUP(2,1/((Budgets!$A$2:$A$200=AM$1)*(Budgets!$B$2:$B$200&lt;=$A162)),Budgets!$C$2:$C$200),0))</f>
        <v/>
      </c>
      <c r="AN162" s="88">
        <f>IF(OR(AN$1="",$BE162=0),"",IFERROR(LOOKUP(2,1/((Budgets!$A$2:$A$200=AN$1)*(Budgets!$B$2:$B$200&lt;=$A162)),Budgets!$C$2:$C$200),0))</f>
        <v/>
      </c>
      <c r="AO162" s="88">
        <f>IF(OR(AO$1="",$BE162=0),"",IFERROR(LOOKUP(2,1/((Budgets!$A$2:$A$200=AO$1)*(Budgets!$B$2:$B$200&lt;=$A162)),Budgets!$C$2:$C$200),0))</f>
        <v/>
      </c>
      <c r="AP162" s="88">
        <f>IF(OR(AP$1="",$BE162=0),"",IFERROR(LOOKUP(2,1/((Budgets!$A$2:$A$200=AP$1)*(Budgets!$B$2:$B$200&lt;=$A162)),Budgets!$C$2:$C$200),0))</f>
        <v/>
      </c>
      <c r="AQ162" s="88">
        <f>IF(OR(AQ$1="",$BE162=0),"",IFERROR(LOOKUP(2,1/((Budgets!$A$2:$A$200=AQ$1)*(Budgets!$B$2:$B$200&lt;=$A162)),Budgets!$C$2:$C$200),0))</f>
        <v/>
      </c>
      <c r="AR162" s="88">
        <f>IF(OR(AR$1="",$BE162=0),"",IFERROR(LOOKUP(2,1/((Budgets!$A$2:$A$200=AR$1)*(Budgets!$B$2:$B$200&lt;=$A162)),Budgets!$C$2:$C$200),0))</f>
        <v/>
      </c>
      <c r="AS162" s="88">
        <f>IF(OR(AS$1="",$BE162=0),"",IFERROR(LOOKUP(2,1/((Budgets!$A$2:$A$200=AS$1)*(Budgets!$B$2:$B$200&lt;=$A162)),Budgets!$C$2:$C$200),0))</f>
        <v/>
      </c>
      <c r="AT162" s="88">
        <f>IF(OR(AT$1="",$BE162=0),"",IFERROR(LOOKUP(2,1/((Budgets!$A$2:$A$200=AT$1)*(Budgets!$B$2:$B$200&lt;=$A162)),Budgets!$C$2:$C$200),0))</f>
        <v/>
      </c>
      <c r="AU162" s="88">
        <f>IF(OR(AU$1="",$BE162=0),"",IFERROR(LOOKUP(2,1/((Budgets!$A$2:$A$200=AU$1)*(Budgets!$B$2:$B$200&lt;=$A162)),Budgets!$C$2:$C$200),0))</f>
        <v/>
      </c>
      <c r="AV162" s="88">
        <f>IF(OR(AV$1="",$BE162=0),"",IFERROR(LOOKUP(2,1/((Budgets!$A$2:$A$200=AV$1)*(Budgets!$B$2:$B$200&lt;=$A162)),Budgets!$C$2:$C$200),0))</f>
        <v/>
      </c>
      <c r="AW162" s="88">
        <f>IF(OR(AW$1="",$BE162=0),"",IFERROR(LOOKUP(2,1/((Budgets!$A$2:$A$200=AW$1)*(Budgets!$B$2:$B$200&lt;=$A162)),Budgets!$C$2:$C$200),0))</f>
        <v/>
      </c>
      <c r="AX162" s="88">
        <f>IF(OR(AX$1="",$BE162=0),"",IFERROR(LOOKUP(2,1/((Budgets!$A$2:$A$200=AX$1)*(Budgets!$B$2:$B$200&lt;=$A162)),Budgets!$C$2:$C$200),0))</f>
        <v/>
      </c>
      <c r="AY162" s="88">
        <f>IF(OR(AY$1="",$BE162=0),"",IFERROR(LOOKUP(2,1/((Budgets!$A$2:$A$200=AY$1)*(Budgets!$B$2:$B$200&lt;=$A162)),Budgets!$C$2:$C$200),0))</f>
        <v/>
      </c>
      <c r="AZ162" s="88">
        <f>IF(OR(AZ$1="",$BE162=0),"",IFERROR(LOOKUP(2,1/((Budgets!$A$2:$A$200=AZ$1)*(Budgets!$B$2:$B$200&lt;=$A162)),Budgets!$C$2:$C$200),0))</f>
        <v/>
      </c>
      <c r="BA162" s="88">
        <f>IF(OR(BA$1="",$BE162=0),"",IFERROR(LOOKUP(2,1/((Budgets!$A$2:$A$200=BA$1)*(Budgets!$B$2:$B$200&lt;=$A162)),Budgets!$C$2:$C$200),0))</f>
        <v/>
      </c>
      <c r="BB162" s="88">
        <f>IF(OR(BB$1="",$BE162=0),"",IFERROR(LOOKUP(2,1/((Budgets!$A$2:$A$200=BB$1)*(Budgets!$B$2:$B$200&lt;=$A162)),Budgets!$C$2:$C$200),0))</f>
        <v/>
      </c>
      <c r="BC162" s="88">
        <f>IF(OR(BC$1="",$BE162=0),"",IFERROR(LOOKUP(2,1/((Budgets!$A$2:$A$200=BC$1)*(Budgets!$B$2:$B$200&lt;=$A162)),Budgets!$C$2:$C$200),0))</f>
        <v/>
      </c>
      <c r="BE162" s="67">
        <f>COUNTIFS(Entries!$A$2:$A$5000,$A162)</f>
        <v/>
      </c>
    </row>
    <row r="163" ht="15" customHeight="1" s="43">
      <c r="A163" s="87" t="n">
        <v>44348</v>
      </c>
      <c r="B163" s="88">
        <f>IF($BE163=0,NA(),SUMIFS(Entries!$D$2:$D$5000,Entries!$C$2:$C$5000,"Income",Entries!$A$2:$A$5000,$A163))</f>
        <v/>
      </c>
      <c r="C163" s="88">
        <f>IF($BE163=0,"",SUMIFS(Entries!$D$2:$D$5000,Entries!$C$2:$C$5000,"Actual",Entries!$A$2:$A$5000,$A163))</f>
        <v/>
      </c>
      <c r="D163" s="88">
        <f>IF($BE163=0,"",SUMIFS(Entries!$D$2:$D$5000,Entries!$C$2:$C$5000,"One-off",Entries!$A$2:$A$5000,$A163))</f>
        <v/>
      </c>
      <c r="E163" s="88">
        <f>IF($BE163=0,NA(),C163+D163)</f>
        <v/>
      </c>
      <c r="F163" s="88">
        <f>IF($BE163=0,"",SUM(AJ163:BC163))</f>
        <v/>
      </c>
      <c r="G163" s="88">
        <f>IF($BE163=0,"",B163-E163)</f>
        <v/>
      </c>
      <c r="H163" s="88">
        <f>IF($BE163=0,"",SUM($G$2:G163))</f>
        <v/>
      </c>
      <c r="I163" s="88">
        <f>IF($BE163=0,"",SUMIFS(Entries!$F$2:$F$5000,Entries!$A$2:$A$5000,$A163))</f>
        <v/>
      </c>
      <c r="J163" s="88">
        <f>IF($BE163=0,NA(),H163+SUM($I$2:I163))</f>
        <v/>
      </c>
      <c r="K163" s="88">
        <f>IF($BE163=0,"",SUMIFS(Entries!$D$2:$D$5000,Entries!$C$2:$C$5000,"Income",Entries!$A$2:$A$5000,"&gt;="&amp;EDATE($A163,-11),Entries!$A$2:$A$5000,"&lt;="&amp;$A163)/12)</f>
        <v/>
      </c>
      <c r="L163" s="88">
        <f>IF($BE163=0,"",(SUMIFS(Entries!$D$2:$D$5000,Entries!$C$2:$C$5000,"Actual",Entries!$A$2:$A$5000,"&gt;="&amp;EDATE($A163,-11),Entries!$A$2:$A$5000,"&lt;="&amp;$A163)+SUMIFS(Entries!$D$2:$D$5000,Entries!$C$2:$C$5000,"One-off",Entries!$A$2:$A$5000,"&gt;="&amp;EDATE($A163,-11),Entries!$A$2:$A$5000,"&lt;="&amp;$A163))/12)</f>
        <v/>
      </c>
      <c r="M163" s="70">
        <f>IF($BE163=0,NA(),IFERROR((K163-L163)/K163,0))</f>
        <v/>
      </c>
      <c r="O163" s="88">
        <f>IF(OR(O$1="",$BE163=0),"",SUMIFS(Entries!$D$2:$D$5000,Entries!$C$2:$C$5000,"Actual",Entries!$A$2:$A$5000,$A163,Entries!$B$2:$B$5000,O$1))</f>
        <v/>
      </c>
      <c r="P163" s="88">
        <f>IF(OR(P$1="",$BE163=0),"",SUMIFS(Entries!$D$2:$D$5000,Entries!$C$2:$C$5000,"Actual",Entries!$A$2:$A$5000,$A163,Entries!$B$2:$B$5000,P$1))</f>
        <v/>
      </c>
      <c r="Q163" s="88">
        <f>IF(OR(Q$1="",$BE163=0),"",SUMIFS(Entries!$D$2:$D$5000,Entries!$C$2:$C$5000,"Actual",Entries!$A$2:$A$5000,$A163,Entries!$B$2:$B$5000,Q$1))</f>
        <v/>
      </c>
      <c r="R163" s="88">
        <f>IF(OR(R$1="",$BE163=0),"",SUMIFS(Entries!$D$2:$D$5000,Entries!$C$2:$C$5000,"Actual",Entries!$A$2:$A$5000,$A163,Entries!$B$2:$B$5000,R$1))</f>
        <v/>
      </c>
      <c r="S163" s="88">
        <f>IF(OR(S$1="",$BE163=0),"",SUMIFS(Entries!$D$2:$D$5000,Entries!$C$2:$C$5000,"Actual",Entries!$A$2:$A$5000,$A163,Entries!$B$2:$B$5000,S$1))</f>
        <v/>
      </c>
      <c r="T163" s="88">
        <f>IF(OR(T$1="",$BE163=0),"",SUMIFS(Entries!$D$2:$D$5000,Entries!$C$2:$C$5000,"Actual",Entries!$A$2:$A$5000,$A163,Entries!$B$2:$B$5000,T$1))</f>
        <v/>
      </c>
      <c r="U163" s="88">
        <f>IF(OR(U$1="",$BE163=0),"",SUMIFS(Entries!$D$2:$D$5000,Entries!$C$2:$C$5000,"Actual",Entries!$A$2:$A$5000,$A163,Entries!$B$2:$B$5000,U$1))</f>
        <v/>
      </c>
      <c r="V163" s="88">
        <f>IF(OR(V$1="",$BE163=0),"",SUMIFS(Entries!$D$2:$D$5000,Entries!$C$2:$C$5000,"Actual",Entries!$A$2:$A$5000,$A163,Entries!$B$2:$B$5000,V$1))</f>
        <v/>
      </c>
      <c r="W163" s="88">
        <f>IF(OR(W$1="",$BE163=0),"",SUMIFS(Entries!$D$2:$D$5000,Entries!$C$2:$C$5000,"Actual",Entries!$A$2:$A$5000,$A163,Entries!$B$2:$B$5000,W$1))</f>
        <v/>
      </c>
      <c r="X163" s="88">
        <f>IF(OR(X$1="",$BE163=0),"",SUMIFS(Entries!$D$2:$D$5000,Entries!$C$2:$C$5000,"Actual",Entries!$A$2:$A$5000,$A163,Entries!$B$2:$B$5000,X$1))</f>
        <v/>
      </c>
      <c r="Y163" s="88">
        <f>IF(OR(Y$1="",$BE163=0),"",SUMIFS(Entries!$D$2:$D$5000,Entries!$C$2:$C$5000,"Actual",Entries!$A$2:$A$5000,$A163,Entries!$B$2:$B$5000,Y$1))</f>
        <v/>
      </c>
      <c r="Z163" s="88">
        <f>IF(OR(Z$1="",$BE163=0),"",SUMIFS(Entries!$D$2:$D$5000,Entries!$C$2:$C$5000,"Actual",Entries!$A$2:$A$5000,$A163,Entries!$B$2:$B$5000,Z$1))</f>
        <v/>
      </c>
      <c r="AA163" s="88">
        <f>IF(OR(AA$1="",$BE163=0),"",SUMIFS(Entries!$D$2:$D$5000,Entries!$C$2:$C$5000,"Actual",Entries!$A$2:$A$5000,$A163,Entries!$B$2:$B$5000,AA$1))</f>
        <v/>
      </c>
      <c r="AB163" s="88">
        <f>IF(OR(AB$1="",$BE163=0),"",SUMIFS(Entries!$D$2:$D$5000,Entries!$C$2:$C$5000,"Actual",Entries!$A$2:$A$5000,$A163,Entries!$B$2:$B$5000,AB$1))</f>
        <v/>
      </c>
      <c r="AC163" s="88">
        <f>IF(OR(AC$1="",$BE163=0),"",SUMIFS(Entries!$D$2:$D$5000,Entries!$C$2:$C$5000,"Actual",Entries!$A$2:$A$5000,$A163,Entries!$B$2:$B$5000,AC$1))</f>
        <v/>
      </c>
      <c r="AD163" s="88">
        <f>IF(OR(AD$1="",$BE163=0),"",SUMIFS(Entries!$D$2:$D$5000,Entries!$C$2:$C$5000,"Actual",Entries!$A$2:$A$5000,$A163,Entries!$B$2:$B$5000,AD$1))</f>
        <v/>
      </c>
      <c r="AE163" s="88">
        <f>IF(OR(AE$1="",$BE163=0),"",SUMIFS(Entries!$D$2:$D$5000,Entries!$C$2:$C$5000,"Actual",Entries!$A$2:$A$5000,$A163,Entries!$B$2:$B$5000,AE$1))</f>
        <v/>
      </c>
      <c r="AF163" s="88">
        <f>IF(OR(AF$1="",$BE163=0),"",SUMIFS(Entries!$D$2:$D$5000,Entries!$C$2:$C$5000,"Actual",Entries!$A$2:$A$5000,$A163,Entries!$B$2:$B$5000,AF$1))</f>
        <v/>
      </c>
      <c r="AG163" s="88">
        <f>IF(OR(AG$1="",$BE163=0),"",SUMIFS(Entries!$D$2:$D$5000,Entries!$C$2:$C$5000,"Actual",Entries!$A$2:$A$5000,$A163,Entries!$B$2:$B$5000,AG$1))</f>
        <v/>
      </c>
      <c r="AH163" s="88">
        <f>IF(OR(AH$1="",$BE163=0),"",SUMIFS(Entries!$D$2:$D$5000,Entries!$C$2:$C$5000,"Actual",Entries!$A$2:$A$5000,$A163,Entries!$B$2:$B$5000,AH$1))</f>
        <v/>
      </c>
      <c r="AJ163" s="88">
        <f>IF(OR(AJ$1="",$BE163=0),"",IFERROR(LOOKUP(2,1/((Budgets!$A$2:$A$200=AJ$1)*(Budgets!$B$2:$B$200&lt;=$A163)),Budgets!$C$2:$C$200),0))</f>
        <v/>
      </c>
      <c r="AK163" s="88">
        <f>IF(OR(AK$1="",$BE163=0),"",IFERROR(LOOKUP(2,1/((Budgets!$A$2:$A$200=AK$1)*(Budgets!$B$2:$B$200&lt;=$A163)),Budgets!$C$2:$C$200),0))</f>
        <v/>
      </c>
      <c r="AL163" s="88">
        <f>IF(OR(AL$1="",$BE163=0),"",IFERROR(LOOKUP(2,1/((Budgets!$A$2:$A$200=AL$1)*(Budgets!$B$2:$B$200&lt;=$A163)),Budgets!$C$2:$C$200),0))</f>
        <v/>
      </c>
      <c r="AM163" s="88">
        <f>IF(OR(AM$1="",$BE163=0),"",IFERROR(LOOKUP(2,1/((Budgets!$A$2:$A$200=AM$1)*(Budgets!$B$2:$B$200&lt;=$A163)),Budgets!$C$2:$C$200),0))</f>
        <v/>
      </c>
      <c r="AN163" s="88">
        <f>IF(OR(AN$1="",$BE163=0),"",IFERROR(LOOKUP(2,1/((Budgets!$A$2:$A$200=AN$1)*(Budgets!$B$2:$B$200&lt;=$A163)),Budgets!$C$2:$C$200),0))</f>
        <v/>
      </c>
      <c r="AO163" s="88">
        <f>IF(OR(AO$1="",$BE163=0),"",IFERROR(LOOKUP(2,1/((Budgets!$A$2:$A$200=AO$1)*(Budgets!$B$2:$B$200&lt;=$A163)),Budgets!$C$2:$C$200),0))</f>
        <v/>
      </c>
      <c r="AP163" s="88">
        <f>IF(OR(AP$1="",$BE163=0),"",IFERROR(LOOKUP(2,1/((Budgets!$A$2:$A$200=AP$1)*(Budgets!$B$2:$B$200&lt;=$A163)),Budgets!$C$2:$C$200),0))</f>
        <v/>
      </c>
      <c r="AQ163" s="88">
        <f>IF(OR(AQ$1="",$BE163=0),"",IFERROR(LOOKUP(2,1/((Budgets!$A$2:$A$200=AQ$1)*(Budgets!$B$2:$B$200&lt;=$A163)),Budgets!$C$2:$C$200),0))</f>
        <v/>
      </c>
      <c r="AR163" s="88">
        <f>IF(OR(AR$1="",$BE163=0),"",IFERROR(LOOKUP(2,1/((Budgets!$A$2:$A$200=AR$1)*(Budgets!$B$2:$B$200&lt;=$A163)),Budgets!$C$2:$C$200),0))</f>
        <v/>
      </c>
      <c r="AS163" s="88">
        <f>IF(OR(AS$1="",$BE163=0),"",IFERROR(LOOKUP(2,1/((Budgets!$A$2:$A$200=AS$1)*(Budgets!$B$2:$B$200&lt;=$A163)),Budgets!$C$2:$C$200),0))</f>
        <v/>
      </c>
      <c r="AT163" s="88">
        <f>IF(OR(AT$1="",$BE163=0),"",IFERROR(LOOKUP(2,1/((Budgets!$A$2:$A$200=AT$1)*(Budgets!$B$2:$B$200&lt;=$A163)),Budgets!$C$2:$C$200),0))</f>
        <v/>
      </c>
      <c r="AU163" s="88">
        <f>IF(OR(AU$1="",$BE163=0),"",IFERROR(LOOKUP(2,1/((Budgets!$A$2:$A$200=AU$1)*(Budgets!$B$2:$B$200&lt;=$A163)),Budgets!$C$2:$C$200),0))</f>
        <v/>
      </c>
      <c r="AV163" s="88">
        <f>IF(OR(AV$1="",$BE163=0),"",IFERROR(LOOKUP(2,1/((Budgets!$A$2:$A$200=AV$1)*(Budgets!$B$2:$B$200&lt;=$A163)),Budgets!$C$2:$C$200),0))</f>
        <v/>
      </c>
      <c r="AW163" s="88">
        <f>IF(OR(AW$1="",$BE163=0),"",IFERROR(LOOKUP(2,1/((Budgets!$A$2:$A$200=AW$1)*(Budgets!$B$2:$B$200&lt;=$A163)),Budgets!$C$2:$C$200),0))</f>
        <v/>
      </c>
      <c r="AX163" s="88">
        <f>IF(OR(AX$1="",$BE163=0),"",IFERROR(LOOKUP(2,1/((Budgets!$A$2:$A$200=AX$1)*(Budgets!$B$2:$B$200&lt;=$A163)),Budgets!$C$2:$C$200),0))</f>
        <v/>
      </c>
      <c r="AY163" s="88">
        <f>IF(OR(AY$1="",$BE163=0),"",IFERROR(LOOKUP(2,1/((Budgets!$A$2:$A$200=AY$1)*(Budgets!$B$2:$B$200&lt;=$A163)),Budgets!$C$2:$C$200),0))</f>
        <v/>
      </c>
      <c r="AZ163" s="88">
        <f>IF(OR(AZ$1="",$BE163=0),"",IFERROR(LOOKUP(2,1/((Budgets!$A$2:$A$200=AZ$1)*(Budgets!$B$2:$B$200&lt;=$A163)),Budgets!$C$2:$C$200),0))</f>
        <v/>
      </c>
      <c r="BA163" s="88">
        <f>IF(OR(BA$1="",$BE163=0),"",IFERROR(LOOKUP(2,1/((Budgets!$A$2:$A$200=BA$1)*(Budgets!$B$2:$B$200&lt;=$A163)),Budgets!$C$2:$C$200),0))</f>
        <v/>
      </c>
      <c r="BB163" s="88">
        <f>IF(OR(BB$1="",$BE163=0),"",IFERROR(LOOKUP(2,1/((Budgets!$A$2:$A$200=BB$1)*(Budgets!$B$2:$B$200&lt;=$A163)),Budgets!$C$2:$C$200),0))</f>
        <v/>
      </c>
      <c r="BC163" s="88">
        <f>IF(OR(BC$1="",$BE163=0),"",IFERROR(LOOKUP(2,1/((Budgets!$A$2:$A$200=BC$1)*(Budgets!$B$2:$B$200&lt;=$A163)),Budgets!$C$2:$C$200),0))</f>
        <v/>
      </c>
      <c r="BE163" s="67">
        <f>COUNTIFS(Entries!$A$2:$A$5000,$A163)</f>
        <v/>
      </c>
    </row>
    <row r="164" ht="15" customHeight="1" s="43">
      <c r="A164" s="87" t="n">
        <v>44378</v>
      </c>
      <c r="B164" s="88">
        <f>IF($BE164=0,NA(),SUMIFS(Entries!$D$2:$D$5000,Entries!$C$2:$C$5000,"Income",Entries!$A$2:$A$5000,$A164))</f>
        <v/>
      </c>
      <c r="C164" s="88">
        <f>IF($BE164=0,"",SUMIFS(Entries!$D$2:$D$5000,Entries!$C$2:$C$5000,"Actual",Entries!$A$2:$A$5000,$A164))</f>
        <v/>
      </c>
      <c r="D164" s="88">
        <f>IF($BE164=0,"",SUMIFS(Entries!$D$2:$D$5000,Entries!$C$2:$C$5000,"One-off",Entries!$A$2:$A$5000,$A164))</f>
        <v/>
      </c>
      <c r="E164" s="88">
        <f>IF($BE164=0,NA(),C164+D164)</f>
        <v/>
      </c>
      <c r="F164" s="88">
        <f>IF($BE164=0,"",SUM(AJ164:BC164))</f>
        <v/>
      </c>
      <c r="G164" s="88">
        <f>IF($BE164=0,"",B164-E164)</f>
        <v/>
      </c>
      <c r="H164" s="88">
        <f>IF($BE164=0,"",SUM($G$2:G164))</f>
        <v/>
      </c>
      <c r="I164" s="88">
        <f>IF($BE164=0,"",SUMIFS(Entries!$F$2:$F$5000,Entries!$A$2:$A$5000,$A164))</f>
        <v/>
      </c>
      <c r="J164" s="88">
        <f>IF($BE164=0,NA(),H164+SUM($I$2:I164))</f>
        <v/>
      </c>
      <c r="K164" s="88">
        <f>IF($BE164=0,"",SUMIFS(Entries!$D$2:$D$5000,Entries!$C$2:$C$5000,"Income",Entries!$A$2:$A$5000,"&gt;="&amp;EDATE($A164,-11),Entries!$A$2:$A$5000,"&lt;="&amp;$A164)/12)</f>
        <v/>
      </c>
      <c r="L164" s="88">
        <f>IF($BE164=0,"",(SUMIFS(Entries!$D$2:$D$5000,Entries!$C$2:$C$5000,"Actual",Entries!$A$2:$A$5000,"&gt;="&amp;EDATE($A164,-11),Entries!$A$2:$A$5000,"&lt;="&amp;$A164)+SUMIFS(Entries!$D$2:$D$5000,Entries!$C$2:$C$5000,"One-off",Entries!$A$2:$A$5000,"&gt;="&amp;EDATE($A164,-11),Entries!$A$2:$A$5000,"&lt;="&amp;$A164))/12)</f>
        <v/>
      </c>
      <c r="M164" s="70">
        <f>IF($BE164=0,NA(),IFERROR((K164-L164)/K164,0))</f>
        <v/>
      </c>
      <c r="O164" s="88">
        <f>IF(OR(O$1="",$BE164=0),"",SUMIFS(Entries!$D$2:$D$5000,Entries!$C$2:$C$5000,"Actual",Entries!$A$2:$A$5000,$A164,Entries!$B$2:$B$5000,O$1))</f>
        <v/>
      </c>
      <c r="P164" s="88">
        <f>IF(OR(P$1="",$BE164=0),"",SUMIFS(Entries!$D$2:$D$5000,Entries!$C$2:$C$5000,"Actual",Entries!$A$2:$A$5000,$A164,Entries!$B$2:$B$5000,P$1))</f>
        <v/>
      </c>
      <c r="Q164" s="88">
        <f>IF(OR(Q$1="",$BE164=0),"",SUMIFS(Entries!$D$2:$D$5000,Entries!$C$2:$C$5000,"Actual",Entries!$A$2:$A$5000,$A164,Entries!$B$2:$B$5000,Q$1))</f>
        <v/>
      </c>
      <c r="R164" s="88">
        <f>IF(OR(R$1="",$BE164=0),"",SUMIFS(Entries!$D$2:$D$5000,Entries!$C$2:$C$5000,"Actual",Entries!$A$2:$A$5000,$A164,Entries!$B$2:$B$5000,R$1))</f>
        <v/>
      </c>
      <c r="S164" s="88">
        <f>IF(OR(S$1="",$BE164=0),"",SUMIFS(Entries!$D$2:$D$5000,Entries!$C$2:$C$5000,"Actual",Entries!$A$2:$A$5000,$A164,Entries!$B$2:$B$5000,S$1))</f>
        <v/>
      </c>
      <c r="T164" s="88">
        <f>IF(OR(T$1="",$BE164=0),"",SUMIFS(Entries!$D$2:$D$5000,Entries!$C$2:$C$5000,"Actual",Entries!$A$2:$A$5000,$A164,Entries!$B$2:$B$5000,T$1))</f>
        <v/>
      </c>
      <c r="U164" s="88">
        <f>IF(OR(U$1="",$BE164=0),"",SUMIFS(Entries!$D$2:$D$5000,Entries!$C$2:$C$5000,"Actual",Entries!$A$2:$A$5000,$A164,Entries!$B$2:$B$5000,U$1))</f>
        <v/>
      </c>
      <c r="V164" s="88">
        <f>IF(OR(V$1="",$BE164=0),"",SUMIFS(Entries!$D$2:$D$5000,Entries!$C$2:$C$5000,"Actual",Entries!$A$2:$A$5000,$A164,Entries!$B$2:$B$5000,V$1))</f>
        <v/>
      </c>
      <c r="W164" s="88">
        <f>IF(OR(W$1="",$BE164=0),"",SUMIFS(Entries!$D$2:$D$5000,Entries!$C$2:$C$5000,"Actual",Entries!$A$2:$A$5000,$A164,Entries!$B$2:$B$5000,W$1))</f>
        <v/>
      </c>
      <c r="X164" s="88">
        <f>IF(OR(X$1="",$BE164=0),"",SUMIFS(Entries!$D$2:$D$5000,Entries!$C$2:$C$5000,"Actual",Entries!$A$2:$A$5000,$A164,Entries!$B$2:$B$5000,X$1))</f>
        <v/>
      </c>
      <c r="Y164" s="88">
        <f>IF(OR(Y$1="",$BE164=0),"",SUMIFS(Entries!$D$2:$D$5000,Entries!$C$2:$C$5000,"Actual",Entries!$A$2:$A$5000,$A164,Entries!$B$2:$B$5000,Y$1))</f>
        <v/>
      </c>
      <c r="Z164" s="88">
        <f>IF(OR(Z$1="",$BE164=0),"",SUMIFS(Entries!$D$2:$D$5000,Entries!$C$2:$C$5000,"Actual",Entries!$A$2:$A$5000,$A164,Entries!$B$2:$B$5000,Z$1))</f>
        <v/>
      </c>
      <c r="AA164" s="88">
        <f>IF(OR(AA$1="",$BE164=0),"",SUMIFS(Entries!$D$2:$D$5000,Entries!$C$2:$C$5000,"Actual",Entries!$A$2:$A$5000,$A164,Entries!$B$2:$B$5000,AA$1))</f>
        <v/>
      </c>
      <c r="AB164" s="88">
        <f>IF(OR(AB$1="",$BE164=0),"",SUMIFS(Entries!$D$2:$D$5000,Entries!$C$2:$C$5000,"Actual",Entries!$A$2:$A$5000,$A164,Entries!$B$2:$B$5000,AB$1))</f>
        <v/>
      </c>
      <c r="AC164" s="88">
        <f>IF(OR(AC$1="",$BE164=0),"",SUMIFS(Entries!$D$2:$D$5000,Entries!$C$2:$C$5000,"Actual",Entries!$A$2:$A$5000,$A164,Entries!$B$2:$B$5000,AC$1))</f>
        <v/>
      </c>
      <c r="AD164" s="88">
        <f>IF(OR(AD$1="",$BE164=0),"",SUMIFS(Entries!$D$2:$D$5000,Entries!$C$2:$C$5000,"Actual",Entries!$A$2:$A$5000,$A164,Entries!$B$2:$B$5000,AD$1))</f>
        <v/>
      </c>
      <c r="AE164" s="88">
        <f>IF(OR(AE$1="",$BE164=0),"",SUMIFS(Entries!$D$2:$D$5000,Entries!$C$2:$C$5000,"Actual",Entries!$A$2:$A$5000,$A164,Entries!$B$2:$B$5000,AE$1))</f>
        <v/>
      </c>
      <c r="AF164" s="88">
        <f>IF(OR(AF$1="",$BE164=0),"",SUMIFS(Entries!$D$2:$D$5000,Entries!$C$2:$C$5000,"Actual",Entries!$A$2:$A$5000,$A164,Entries!$B$2:$B$5000,AF$1))</f>
        <v/>
      </c>
      <c r="AG164" s="88">
        <f>IF(OR(AG$1="",$BE164=0),"",SUMIFS(Entries!$D$2:$D$5000,Entries!$C$2:$C$5000,"Actual",Entries!$A$2:$A$5000,$A164,Entries!$B$2:$B$5000,AG$1))</f>
        <v/>
      </c>
      <c r="AH164" s="88">
        <f>IF(OR(AH$1="",$BE164=0),"",SUMIFS(Entries!$D$2:$D$5000,Entries!$C$2:$C$5000,"Actual",Entries!$A$2:$A$5000,$A164,Entries!$B$2:$B$5000,AH$1))</f>
        <v/>
      </c>
      <c r="AJ164" s="88">
        <f>IF(OR(AJ$1="",$BE164=0),"",IFERROR(LOOKUP(2,1/((Budgets!$A$2:$A$200=AJ$1)*(Budgets!$B$2:$B$200&lt;=$A164)),Budgets!$C$2:$C$200),0))</f>
        <v/>
      </c>
      <c r="AK164" s="88">
        <f>IF(OR(AK$1="",$BE164=0),"",IFERROR(LOOKUP(2,1/((Budgets!$A$2:$A$200=AK$1)*(Budgets!$B$2:$B$200&lt;=$A164)),Budgets!$C$2:$C$200),0))</f>
        <v/>
      </c>
      <c r="AL164" s="88">
        <f>IF(OR(AL$1="",$BE164=0),"",IFERROR(LOOKUP(2,1/((Budgets!$A$2:$A$200=AL$1)*(Budgets!$B$2:$B$200&lt;=$A164)),Budgets!$C$2:$C$200),0))</f>
        <v/>
      </c>
      <c r="AM164" s="88">
        <f>IF(OR(AM$1="",$BE164=0),"",IFERROR(LOOKUP(2,1/((Budgets!$A$2:$A$200=AM$1)*(Budgets!$B$2:$B$200&lt;=$A164)),Budgets!$C$2:$C$200),0))</f>
        <v/>
      </c>
      <c r="AN164" s="88">
        <f>IF(OR(AN$1="",$BE164=0),"",IFERROR(LOOKUP(2,1/((Budgets!$A$2:$A$200=AN$1)*(Budgets!$B$2:$B$200&lt;=$A164)),Budgets!$C$2:$C$200),0))</f>
        <v/>
      </c>
      <c r="AO164" s="88">
        <f>IF(OR(AO$1="",$BE164=0),"",IFERROR(LOOKUP(2,1/((Budgets!$A$2:$A$200=AO$1)*(Budgets!$B$2:$B$200&lt;=$A164)),Budgets!$C$2:$C$200),0))</f>
        <v/>
      </c>
      <c r="AP164" s="88">
        <f>IF(OR(AP$1="",$BE164=0),"",IFERROR(LOOKUP(2,1/((Budgets!$A$2:$A$200=AP$1)*(Budgets!$B$2:$B$200&lt;=$A164)),Budgets!$C$2:$C$200),0))</f>
        <v/>
      </c>
      <c r="AQ164" s="88">
        <f>IF(OR(AQ$1="",$BE164=0),"",IFERROR(LOOKUP(2,1/((Budgets!$A$2:$A$200=AQ$1)*(Budgets!$B$2:$B$200&lt;=$A164)),Budgets!$C$2:$C$200),0))</f>
        <v/>
      </c>
      <c r="AR164" s="88">
        <f>IF(OR(AR$1="",$BE164=0),"",IFERROR(LOOKUP(2,1/((Budgets!$A$2:$A$200=AR$1)*(Budgets!$B$2:$B$200&lt;=$A164)),Budgets!$C$2:$C$200),0))</f>
        <v/>
      </c>
      <c r="AS164" s="88">
        <f>IF(OR(AS$1="",$BE164=0),"",IFERROR(LOOKUP(2,1/((Budgets!$A$2:$A$200=AS$1)*(Budgets!$B$2:$B$200&lt;=$A164)),Budgets!$C$2:$C$200),0))</f>
        <v/>
      </c>
      <c r="AT164" s="88">
        <f>IF(OR(AT$1="",$BE164=0),"",IFERROR(LOOKUP(2,1/((Budgets!$A$2:$A$200=AT$1)*(Budgets!$B$2:$B$200&lt;=$A164)),Budgets!$C$2:$C$200),0))</f>
        <v/>
      </c>
      <c r="AU164" s="88">
        <f>IF(OR(AU$1="",$BE164=0),"",IFERROR(LOOKUP(2,1/((Budgets!$A$2:$A$200=AU$1)*(Budgets!$B$2:$B$200&lt;=$A164)),Budgets!$C$2:$C$200),0))</f>
        <v/>
      </c>
      <c r="AV164" s="88">
        <f>IF(OR(AV$1="",$BE164=0),"",IFERROR(LOOKUP(2,1/((Budgets!$A$2:$A$200=AV$1)*(Budgets!$B$2:$B$200&lt;=$A164)),Budgets!$C$2:$C$200),0))</f>
        <v/>
      </c>
      <c r="AW164" s="88">
        <f>IF(OR(AW$1="",$BE164=0),"",IFERROR(LOOKUP(2,1/((Budgets!$A$2:$A$200=AW$1)*(Budgets!$B$2:$B$200&lt;=$A164)),Budgets!$C$2:$C$200),0))</f>
        <v/>
      </c>
      <c r="AX164" s="88">
        <f>IF(OR(AX$1="",$BE164=0),"",IFERROR(LOOKUP(2,1/((Budgets!$A$2:$A$200=AX$1)*(Budgets!$B$2:$B$200&lt;=$A164)),Budgets!$C$2:$C$200),0))</f>
        <v/>
      </c>
      <c r="AY164" s="88">
        <f>IF(OR(AY$1="",$BE164=0),"",IFERROR(LOOKUP(2,1/((Budgets!$A$2:$A$200=AY$1)*(Budgets!$B$2:$B$200&lt;=$A164)),Budgets!$C$2:$C$200),0))</f>
        <v/>
      </c>
      <c r="AZ164" s="88">
        <f>IF(OR(AZ$1="",$BE164=0),"",IFERROR(LOOKUP(2,1/((Budgets!$A$2:$A$200=AZ$1)*(Budgets!$B$2:$B$200&lt;=$A164)),Budgets!$C$2:$C$200),0))</f>
        <v/>
      </c>
      <c r="BA164" s="88">
        <f>IF(OR(BA$1="",$BE164=0),"",IFERROR(LOOKUP(2,1/((Budgets!$A$2:$A$200=BA$1)*(Budgets!$B$2:$B$200&lt;=$A164)),Budgets!$C$2:$C$200),0))</f>
        <v/>
      </c>
      <c r="BB164" s="88">
        <f>IF(OR(BB$1="",$BE164=0),"",IFERROR(LOOKUP(2,1/((Budgets!$A$2:$A$200=BB$1)*(Budgets!$B$2:$B$200&lt;=$A164)),Budgets!$C$2:$C$200),0))</f>
        <v/>
      </c>
      <c r="BC164" s="88">
        <f>IF(OR(BC$1="",$BE164=0),"",IFERROR(LOOKUP(2,1/((Budgets!$A$2:$A$200=BC$1)*(Budgets!$B$2:$B$200&lt;=$A164)),Budgets!$C$2:$C$200),0))</f>
        <v/>
      </c>
      <c r="BE164" s="67">
        <f>COUNTIFS(Entries!$A$2:$A$5000,$A164)</f>
        <v/>
      </c>
    </row>
    <row r="165" ht="15" customHeight="1" s="43">
      <c r="A165" s="87" t="n">
        <v>44409</v>
      </c>
      <c r="B165" s="88">
        <f>IF($BE165=0,NA(),SUMIFS(Entries!$D$2:$D$5000,Entries!$C$2:$C$5000,"Income",Entries!$A$2:$A$5000,$A165))</f>
        <v/>
      </c>
      <c r="C165" s="88">
        <f>IF($BE165=0,"",SUMIFS(Entries!$D$2:$D$5000,Entries!$C$2:$C$5000,"Actual",Entries!$A$2:$A$5000,$A165))</f>
        <v/>
      </c>
      <c r="D165" s="88">
        <f>IF($BE165=0,"",SUMIFS(Entries!$D$2:$D$5000,Entries!$C$2:$C$5000,"One-off",Entries!$A$2:$A$5000,$A165))</f>
        <v/>
      </c>
      <c r="E165" s="88">
        <f>IF($BE165=0,NA(),C165+D165)</f>
        <v/>
      </c>
      <c r="F165" s="88">
        <f>IF($BE165=0,"",SUM(AJ165:BC165))</f>
        <v/>
      </c>
      <c r="G165" s="88">
        <f>IF($BE165=0,"",B165-E165)</f>
        <v/>
      </c>
      <c r="H165" s="88">
        <f>IF($BE165=0,"",SUM($G$2:G165))</f>
        <v/>
      </c>
      <c r="I165" s="88">
        <f>IF($BE165=0,"",SUMIFS(Entries!$F$2:$F$5000,Entries!$A$2:$A$5000,$A165))</f>
        <v/>
      </c>
      <c r="J165" s="88">
        <f>IF($BE165=0,NA(),H165+SUM($I$2:I165))</f>
        <v/>
      </c>
      <c r="K165" s="88">
        <f>IF($BE165=0,"",SUMIFS(Entries!$D$2:$D$5000,Entries!$C$2:$C$5000,"Income",Entries!$A$2:$A$5000,"&gt;="&amp;EDATE($A165,-11),Entries!$A$2:$A$5000,"&lt;="&amp;$A165)/12)</f>
        <v/>
      </c>
      <c r="L165" s="88">
        <f>IF($BE165=0,"",(SUMIFS(Entries!$D$2:$D$5000,Entries!$C$2:$C$5000,"Actual",Entries!$A$2:$A$5000,"&gt;="&amp;EDATE($A165,-11),Entries!$A$2:$A$5000,"&lt;="&amp;$A165)+SUMIFS(Entries!$D$2:$D$5000,Entries!$C$2:$C$5000,"One-off",Entries!$A$2:$A$5000,"&gt;="&amp;EDATE($A165,-11),Entries!$A$2:$A$5000,"&lt;="&amp;$A165))/12)</f>
        <v/>
      </c>
      <c r="M165" s="70">
        <f>IF($BE165=0,NA(),IFERROR((K165-L165)/K165,0))</f>
        <v/>
      </c>
      <c r="O165" s="88">
        <f>IF(OR(O$1="",$BE165=0),"",SUMIFS(Entries!$D$2:$D$5000,Entries!$C$2:$C$5000,"Actual",Entries!$A$2:$A$5000,$A165,Entries!$B$2:$B$5000,O$1))</f>
        <v/>
      </c>
      <c r="P165" s="88">
        <f>IF(OR(P$1="",$BE165=0),"",SUMIFS(Entries!$D$2:$D$5000,Entries!$C$2:$C$5000,"Actual",Entries!$A$2:$A$5000,$A165,Entries!$B$2:$B$5000,P$1))</f>
        <v/>
      </c>
      <c r="Q165" s="88">
        <f>IF(OR(Q$1="",$BE165=0),"",SUMIFS(Entries!$D$2:$D$5000,Entries!$C$2:$C$5000,"Actual",Entries!$A$2:$A$5000,$A165,Entries!$B$2:$B$5000,Q$1))</f>
        <v/>
      </c>
      <c r="R165" s="88">
        <f>IF(OR(R$1="",$BE165=0),"",SUMIFS(Entries!$D$2:$D$5000,Entries!$C$2:$C$5000,"Actual",Entries!$A$2:$A$5000,$A165,Entries!$B$2:$B$5000,R$1))</f>
        <v/>
      </c>
      <c r="S165" s="88">
        <f>IF(OR(S$1="",$BE165=0),"",SUMIFS(Entries!$D$2:$D$5000,Entries!$C$2:$C$5000,"Actual",Entries!$A$2:$A$5000,$A165,Entries!$B$2:$B$5000,S$1))</f>
        <v/>
      </c>
      <c r="T165" s="88">
        <f>IF(OR(T$1="",$BE165=0),"",SUMIFS(Entries!$D$2:$D$5000,Entries!$C$2:$C$5000,"Actual",Entries!$A$2:$A$5000,$A165,Entries!$B$2:$B$5000,T$1))</f>
        <v/>
      </c>
      <c r="U165" s="88">
        <f>IF(OR(U$1="",$BE165=0),"",SUMIFS(Entries!$D$2:$D$5000,Entries!$C$2:$C$5000,"Actual",Entries!$A$2:$A$5000,$A165,Entries!$B$2:$B$5000,U$1))</f>
        <v/>
      </c>
      <c r="V165" s="88">
        <f>IF(OR(V$1="",$BE165=0),"",SUMIFS(Entries!$D$2:$D$5000,Entries!$C$2:$C$5000,"Actual",Entries!$A$2:$A$5000,$A165,Entries!$B$2:$B$5000,V$1))</f>
        <v/>
      </c>
      <c r="W165" s="88">
        <f>IF(OR(W$1="",$BE165=0),"",SUMIFS(Entries!$D$2:$D$5000,Entries!$C$2:$C$5000,"Actual",Entries!$A$2:$A$5000,$A165,Entries!$B$2:$B$5000,W$1))</f>
        <v/>
      </c>
      <c r="X165" s="88">
        <f>IF(OR(X$1="",$BE165=0),"",SUMIFS(Entries!$D$2:$D$5000,Entries!$C$2:$C$5000,"Actual",Entries!$A$2:$A$5000,$A165,Entries!$B$2:$B$5000,X$1))</f>
        <v/>
      </c>
      <c r="Y165" s="88">
        <f>IF(OR(Y$1="",$BE165=0),"",SUMIFS(Entries!$D$2:$D$5000,Entries!$C$2:$C$5000,"Actual",Entries!$A$2:$A$5000,$A165,Entries!$B$2:$B$5000,Y$1))</f>
        <v/>
      </c>
      <c r="Z165" s="88">
        <f>IF(OR(Z$1="",$BE165=0),"",SUMIFS(Entries!$D$2:$D$5000,Entries!$C$2:$C$5000,"Actual",Entries!$A$2:$A$5000,$A165,Entries!$B$2:$B$5000,Z$1))</f>
        <v/>
      </c>
      <c r="AA165" s="88">
        <f>IF(OR(AA$1="",$BE165=0),"",SUMIFS(Entries!$D$2:$D$5000,Entries!$C$2:$C$5000,"Actual",Entries!$A$2:$A$5000,$A165,Entries!$B$2:$B$5000,AA$1))</f>
        <v/>
      </c>
      <c r="AB165" s="88">
        <f>IF(OR(AB$1="",$BE165=0),"",SUMIFS(Entries!$D$2:$D$5000,Entries!$C$2:$C$5000,"Actual",Entries!$A$2:$A$5000,$A165,Entries!$B$2:$B$5000,AB$1))</f>
        <v/>
      </c>
      <c r="AC165" s="88">
        <f>IF(OR(AC$1="",$BE165=0),"",SUMIFS(Entries!$D$2:$D$5000,Entries!$C$2:$C$5000,"Actual",Entries!$A$2:$A$5000,$A165,Entries!$B$2:$B$5000,AC$1))</f>
        <v/>
      </c>
      <c r="AD165" s="88">
        <f>IF(OR(AD$1="",$BE165=0),"",SUMIFS(Entries!$D$2:$D$5000,Entries!$C$2:$C$5000,"Actual",Entries!$A$2:$A$5000,$A165,Entries!$B$2:$B$5000,AD$1))</f>
        <v/>
      </c>
      <c r="AE165" s="88">
        <f>IF(OR(AE$1="",$BE165=0),"",SUMIFS(Entries!$D$2:$D$5000,Entries!$C$2:$C$5000,"Actual",Entries!$A$2:$A$5000,$A165,Entries!$B$2:$B$5000,AE$1))</f>
        <v/>
      </c>
      <c r="AF165" s="88">
        <f>IF(OR(AF$1="",$BE165=0),"",SUMIFS(Entries!$D$2:$D$5000,Entries!$C$2:$C$5000,"Actual",Entries!$A$2:$A$5000,$A165,Entries!$B$2:$B$5000,AF$1))</f>
        <v/>
      </c>
      <c r="AG165" s="88">
        <f>IF(OR(AG$1="",$BE165=0),"",SUMIFS(Entries!$D$2:$D$5000,Entries!$C$2:$C$5000,"Actual",Entries!$A$2:$A$5000,$A165,Entries!$B$2:$B$5000,AG$1))</f>
        <v/>
      </c>
      <c r="AH165" s="88">
        <f>IF(OR(AH$1="",$BE165=0),"",SUMIFS(Entries!$D$2:$D$5000,Entries!$C$2:$C$5000,"Actual",Entries!$A$2:$A$5000,$A165,Entries!$B$2:$B$5000,AH$1))</f>
        <v/>
      </c>
      <c r="AJ165" s="88">
        <f>IF(OR(AJ$1="",$BE165=0),"",IFERROR(LOOKUP(2,1/((Budgets!$A$2:$A$200=AJ$1)*(Budgets!$B$2:$B$200&lt;=$A165)),Budgets!$C$2:$C$200),0))</f>
        <v/>
      </c>
      <c r="AK165" s="88">
        <f>IF(OR(AK$1="",$BE165=0),"",IFERROR(LOOKUP(2,1/((Budgets!$A$2:$A$200=AK$1)*(Budgets!$B$2:$B$200&lt;=$A165)),Budgets!$C$2:$C$200),0))</f>
        <v/>
      </c>
      <c r="AL165" s="88">
        <f>IF(OR(AL$1="",$BE165=0),"",IFERROR(LOOKUP(2,1/((Budgets!$A$2:$A$200=AL$1)*(Budgets!$B$2:$B$200&lt;=$A165)),Budgets!$C$2:$C$200),0))</f>
        <v/>
      </c>
      <c r="AM165" s="88">
        <f>IF(OR(AM$1="",$BE165=0),"",IFERROR(LOOKUP(2,1/((Budgets!$A$2:$A$200=AM$1)*(Budgets!$B$2:$B$200&lt;=$A165)),Budgets!$C$2:$C$200),0))</f>
        <v/>
      </c>
      <c r="AN165" s="88">
        <f>IF(OR(AN$1="",$BE165=0),"",IFERROR(LOOKUP(2,1/((Budgets!$A$2:$A$200=AN$1)*(Budgets!$B$2:$B$200&lt;=$A165)),Budgets!$C$2:$C$200),0))</f>
        <v/>
      </c>
      <c r="AO165" s="88">
        <f>IF(OR(AO$1="",$BE165=0),"",IFERROR(LOOKUP(2,1/((Budgets!$A$2:$A$200=AO$1)*(Budgets!$B$2:$B$200&lt;=$A165)),Budgets!$C$2:$C$200),0))</f>
        <v/>
      </c>
      <c r="AP165" s="88">
        <f>IF(OR(AP$1="",$BE165=0),"",IFERROR(LOOKUP(2,1/((Budgets!$A$2:$A$200=AP$1)*(Budgets!$B$2:$B$200&lt;=$A165)),Budgets!$C$2:$C$200),0))</f>
        <v/>
      </c>
      <c r="AQ165" s="88">
        <f>IF(OR(AQ$1="",$BE165=0),"",IFERROR(LOOKUP(2,1/((Budgets!$A$2:$A$200=AQ$1)*(Budgets!$B$2:$B$200&lt;=$A165)),Budgets!$C$2:$C$200),0))</f>
        <v/>
      </c>
      <c r="AR165" s="88">
        <f>IF(OR(AR$1="",$BE165=0),"",IFERROR(LOOKUP(2,1/((Budgets!$A$2:$A$200=AR$1)*(Budgets!$B$2:$B$200&lt;=$A165)),Budgets!$C$2:$C$200),0))</f>
        <v/>
      </c>
      <c r="AS165" s="88">
        <f>IF(OR(AS$1="",$BE165=0),"",IFERROR(LOOKUP(2,1/((Budgets!$A$2:$A$200=AS$1)*(Budgets!$B$2:$B$200&lt;=$A165)),Budgets!$C$2:$C$200),0))</f>
        <v/>
      </c>
      <c r="AT165" s="88">
        <f>IF(OR(AT$1="",$BE165=0),"",IFERROR(LOOKUP(2,1/((Budgets!$A$2:$A$200=AT$1)*(Budgets!$B$2:$B$200&lt;=$A165)),Budgets!$C$2:$C$200),0))</f>
        <v/>
      </c>
      <c r="AU165" s="88">
        <f>IF(OR(AU$1="",$BE165=0),"",IFERROR(LOOKUP(2,1/((Budgets!$A$2:$A$200=AU$1)*(Budgets!$B$2:$B$200&lt;=$A165)),Budgets!$C$2:$C$200),0))</f>
        <v/>
      </c>
      <c r="AV165" s="88">
        <f>IF(OR(AV$1="",$BE165=0),"",IFERROR(LOOKUP(2,1/((Budgets!$A$2:$A$200=AV$1)*(Budgets!$B$2:$B$200&lt;=$A165)),Budgets!$C$2:$C$200),0))</f>
        <v/>
      </c>
      <c r="AW165" s="88">
        <f>IF(OR(AW$1="",$BE165=0),"",IFERROR(LOOKUP(2,1/((Budgets!$A$2:$A$200=AW$1)*(Budgets!$B$2:$B$200&lt;=$A165)),Budgets!$C$2:$C$200),0))</f>
        <v/>
      </c>
      <c r="AX165" s="88">
        <f>IF(OR(AX$1="",$BE165=0),"",IFERROR(LOOKUP(2,1/((Budgets!$A$2:$A$200=AX$1)*(Budgets!$B$2:$B$200&lt;=$A165)),Budgets!$C$2:$C$200),0))</f>
        <v/>
      </c>
      <c r="AY165" s="88">
        <f>IF(OR(AY$1="",$BE165=0),"",IFERROR(LOOKUP(2,1/((Budgets!$A$2:$A$200=AY$1)*(Budgets!$B$2:$B$200&lt;=$A165)),Budgets!$C$2:$C$200),0))</f>
        <v/>
      </c>
      <c r="AZ165" s="88">
        <f>IF(OR(AZ$1="",$BE165=0),"",IFERROR(LOOKUP(2,1/((Budgets!$A$2:$A$200=AZ$1)*(Budgets!$B$2:$B$200&lt;=$A165)),Budgets!$C$2:$C$200),0))</f>
        <v/>
      </c>
      <c r="BA165" s="88">
        <f>IF(OR(BA$1="",$BE165=0),"",IFERROR(LOOKUP(2,1/((Budgets!$A$2:$A$200=BA$1)*(Budgets!$B$2:$B$200&lt;=$A165)),Budgets!$C$2:$C$200),0))</f>
        <v/>
      </c>
      <c r="BB165" s="88">
        <f>IF(OR(BB$1="",$BE165=0),"",IFERROR(LOOKUP(2,1/((Budgets!$A$2:$A$200=BB$1)*(Budgets!$B$2:$B$200&lt;=$A165)),Budgets!$C$2:$C$200),0))</f>
        <v/>
      </c>
      <c r="BC165" s="88">
        <f>IF(OR(BC$1="",$BE165=0),"",IFERROR(LOOKUP(2,1/((Budgets!$A$2:$A$200=BC$1)*(Budgets!$B$2:$B$200&lt;=$A165)),Budgets!$C$2:$C$200),0))</f>
        <v/>
      </c>
      <c r="BE165" s="67">
        <f>COUNTIFS(Entries!$A$2:$A$5000,$A165)</f>
        <v/>
      </c>
    </row>
    <row r="166" ht="15" customHeight="1" s="43">
      <c r="A166" s="87" t="n">
        <v>44440</v>
      </c>
      <c r="B166" s="88">
        <f>IF($BE166=0,NA(),SUMIFS(Entries!$D$2:$D$5000,Entries!$C$2:$C$5000,"Income",Entries!$A$2:$A$5000,$A166))</f>
        <v/>
      </c>
      <c r="C166" s="88">
        <f>IF($BE166=0,"",SUMIFS(Entries!$D$2:$D$5000,Entries!$C$2:$C$5000,"Actual",Entries!$A$2:$A$5000,$A166))</f>
        <v/>
      </c>
      <c r="D166" s="88">
        <f>IF($BE166=0,"",SUMIFS(Entries!$D$2:$D$5000,Entries!$C$2:$C$5000,"One-off",Entries!$A$2:$A$5000,$A166))</f>
        <v/>
      </c>
      <c r="E166" s="88">
        <f>IF($BE166=0,NA(),C166+D166)</f>
        <v/>
      </c>
      <c r="F166" s="88">
        <f>IF($BE166=0,"",SUM(AJ166:BC166))</f>
        <v/>
      </c>
      <c r="G166" s="88">
        <f>IF($BE166=0,"",B166-E166)</f>
        <v/>
      </c>
      <c r="H166" s="88">
        <f>IF($BE166=0,"",SUM($G$2:G166))</f>
        <v/>
      </c>
      <c r="I166" s="88">
        <f>IF($BE166=0,"",SUMIFS(Entries!$F$2:$F$5000,Entries!$A$2:$A$5000,$A166))</f>
        <v/>
      </c>
      <c r="J166" s="88">
        <f>IF($BE166=0,NA(),H166+SUM($I$2:I166))</f>
        <v/>
      </c>
      <c r="K166" s="88">
        <f>IF($BE166=0,"",SUMIFS(Entries!$D$2:$D$5000,Entries!$C$2:$C$5000,"Income",Entries!$A$2:$A$5000,"&gt;="&amp;EDATE($A166,-11),Entries!$A$2:$A$5000,"&lt;="&amp;$A166)/12)</f>
        <v/>
      </c>
      <c r="L166" s="88">
        <f>IF($BE166=0,"",(SUMIFS(Entries!$D$2:$D$5000,Entries!$C$2:$C$5000,"Actual",Entries!$A$2:$A$5000,"&gt;="&amp;EDATE($A166,-11),Entries!$A$2:$A$5000,"&lt;="&amp;$A166)+SUMIFS(Entries!$D$2:$D$5000,Entries!$C$2:$C$5000,"One-off",Entries!$A$2:$A$5000,"&gt;="&amp;EDATE($A166,-11),Entries!$A$2:$A$5000,"&lt;="&amp;$A166))/12)</f>
        <v/>
      </c>
      <c r="M166" s="70">
        <f>IF($BE166=0,NA(),IFERROR((K166-L166)/K166,0))</f>
        <v/>
      </c>
      <c r="O166" s="88">
        <f>IF(OR(O$1="",$BE166=0),"",SUMIFS(Entries!$D$2:$D$5000,Entries!$C$2:$C$5000,"Actual",Entries!$A$2:$A$5000,$A166,Entries!$B$2:$B$5000,O$1))</f>
        <v/>
      </c>
      <c r="P166" s="88">
        <f>IF(OR(P$1="",$BE166=0),"",SUMIFS(Entries!$D$2:$D$5000,Entries!$C$2:$C$5000,"Actual",Entries!$A$2:$A$5000,$A166,Entries!$B$2:$B$5000,P$1))</f>
        <v/>
      </c>
      <c r="Q166" s="88">
        <f>IF(OR(Q$1="",$BE166=0),"",SUMIFS(Entries!$D$2:$D$5000,Entries!$C$2:$C$5000,"Actual",Entries!$A$2:$A$5000,$A166,Entries!$B$2:$B$5000,Q$1))</f>
        <v/>
      </c>
      <c r="R166" s="88">
        <f>IF(OR(R$1="",$BE166=0),"",SUMIFS(Entries!$D$2:$D$5000,Entries!$C$2:$C$5000,"Actual",Entries!$A$2:$A$5000,$A166,Entries!$B$2:$B$5000,R$1))</f>
        <v/>
      </c>
      <c r="S166" s="88">
        <f>IF(OR(S$1="",$BE166=0),"",SUMIFS(Entries!$D$2:$D$5000,Entries!$C$2:$C$5000,"Actual",Entries!$A$2:$A$5000,$A166,Entries!$B$2:$B$5000,S$1))</f>
        <v/>
      </c>
      <c r="T166" s="88">
        <f>IF(OR(T$1="",$BE166=0),"",SUMIFS(Entries!$D$2:$D$5000,Entries!$C$2:$C$5000,"Actual",Entries!$A$2:$A$5000,$A166,Entries!$B$2:$B$5000,T$1))</f>
        <v/>
      </c>
      <c r="U166" s="88">
        <f>IF(OR(U$1="",$BE166=0),"",SUMIFS(Entries!$D$2:$D$5000,Entries!$C$2:$C$5000,"Actual",Entries!$A$2:$A$5000,$A166,Entries!$B$2:$B$5000,U$1))</f>
        <v/>
      </c>
      <c r="V166" s="88">
        <f>IF(OR(V$1="",$BE166=0),"",SUMIFS(Entries!$D$2:$D$5000,Entries!$C$2:$C$5000,"Actual",Entries!$A$2:$A$5000,$A166,Entries!$B$2:$B$5000,V$1))</f>
        <v/>
      </c>
      <c r="W166" s="88">
        <f>IF(OR(W$1="",$BE166=0),"",SUMIFS(Entries!$D$2:$D$5000,Entries!$C$2:$C$5000,"Actual",Entries!$A$2:$A$5000,$A166,Entries!$B$2:$B$5000,W$1))</f>
        <v/>
      </c>
      <c r="X166" s="88">
        <f>IF(OR(X$1="",$BE166=0),"",SUMIFS(Entries!$D$2:$D$5000,Entries!$C$2:$C$5000,"Actual",Entries!$A$2:$A$5000,$A166,Entries!$B$2:$B$5000,X$1))</f>
        <v/>
      </c>
      <c r="Y166" s="88">
        <f>IF(OR(Y$1="",$BE166=0),"",SUMIFS(Entries!$D$2:$D$5000,Entries!$C$2:$C$5000,"Actual",Entries!$A$2:$A$5000,$A166,Entries!$B$2:$B$5000,Y$1))</f>
        <v/>
      </c>
      <c r="Z166" s="88">
        <f>IF(OR(Z$1="",$BE166=0),"",SUMIFS(Entries!$D$2:$D$5000,Entries!$C$2:$C$5000,"Actual",Entries!$A$2:$A$5000,$A166,Entries!$B$2:$B$5000,Z$1))</f>
        <v/>
      </c>
      <c r="AA166" s="88">
        <f>IF(OR(AA$1="",$BE166=0),"",SUMIFS(Entries!$D$2:$D$5000,Entries!$C$2:$C$5000,"Actual",Entries!$A$2:$A$5000,$A166,Entries!$B$2:$B$5000,AA$1))</f>
        <v/>
      </c>
      <c r="AB166" s="88">
        <f>IF(OR(AB$1="",$BE166=0),"",SUMIFS(Entries!$D$2:$D$5000,Entries!$C$2:$C$5000,"Actual",Entries!$A$2:$A$5000,$A166,Entries!$B$2:$B$5000,AB$1))</f>
        <v/>
      </c>
      <c r="AC166" s="88">
        <f>IF(OR(AC$1="",$BE166=0),"",SUMIFS(Entries!$D$2:$D$5000,Entries!$C$2:$C$5000,"Actual",Entries!$A$2:$A$5000,$A166,Entries!$B$2:$B$5000,AC$1))</f>
        <v/>
      </c>
      <c r="AD166" s="88">
        <f>IF(OR(AD$1="",$BE166=0),"",SUMIFS(Entries!$D$2:$D$5000,Entries!$C$2:$C$5000,"Actual",Entries!$A$2:$A$5000,$A166,Entries!$B$2:$B$5000,AD$1))</f>
        <v/>
      </c>
      <c r="AE166" s="88">
        <f>IF(OR(AE$1="",$BE166=0),"",SUMIFS(Entries!$D$2:$D$5000,Entries!$C$2:$C$5000,"Actual",Entries!$A$2:$A$5000,$A166,Entries!$B$2:$B$5000,AE$1))</f>
        <v/>
      </c>
      <c r="AF166" s="88">
        <f>IF(OR(AF$1="",$BE166=0),"",SUMIFS(Entries!$D$2:$D$5000,Entries!$C$2:$C$5000,"Actual",Entries!$A$2:$A$5000,$A166,Entries!$B$2:$B$5000,AF$1))</f>
        <v/>
      </c>
      <c r="AG166" s="88">
        <f>IF(OR(AG$1="",$BE166=0),"",SUMIFS(Entries!$D$2:$D$5000,Entries!$C$2:$C$5000,"Actual",Entries!$A$2:$A$5000,$A166,Entries!$B$2:$B$5000,AG$1))</f>
        <v/>
      </c>
      <c r="AH166" s="88">
        <f>IF(OR(AH$1="",$BE166=0),"",SUMIFS(Entries!$D$2:$D$5000,Entries!$C$2:$C$5000,"Actual",Entries!$A$2:$A$5000,$A166,Entries!$B$2:$B$5000,AH$1))</f>
        <v/>
      </c>
      <c r="AJ166" s="88">
        <f>IF(OR(AJ$1="",$BE166=0),"",IFERROR(LOOKUP(2,1/((Budgets!$A$2:$A$200=AJ$1)*(Budgets!$B$2:$B$200&lt;=$A166)),Budgets!$C$2:$C$200),0))</f>
        <v/>
      </c>
      <c r="AK166" s="88">
        <f>IF(OR(AK$1="",$BE166=0),"",IFERROR(LOOKUP(2,1/((Budgets!$A$2:$A$200=AK$1)*(Budgets!$B$2:$B$200&lt;=$A166)),Budgets!$C$2:$C$200),0))</f>
        <v/>
      </c>
      <c r="AL166" s="88">
        <f>IF(OR(AL$1="",$BE166=0),"",IFERROR(LOOKUP(2,1/((Budgets!$A$2:$A$200=AL$1)*(Budgets!$B$2:$B$200&lt;=$A166)),Budgets!$C$2:$C$200),0))</f>
        <v/>
      </c>
      <c r="AM166" s="88">
        <f>IF(OR(AM$1="",$BE166=0),"",IFERROR(LOOKUP(2,1/((Budgets!$A$2:$A$200=AM$1)*(Budgets!$B$2:$B$200&lt;=$A166)),Budgets!$C$2:$C$200),0))</f>
        <v/>
      </c>
      <c r="AN166" s="88">
        <f>IF(OR(AN$1="",$BE166=0),"",IFERROR(LOOKUP(2,1/((Budgets!$A$2:$A$200=AN$1)*(Budgets!$B$2:$B$200&lt;=$A166)),Budgets!$C$2:$C$200),0))</f>
        <v/>
      </c>
      <c r="AO166" s="88">
        <f>IF(OR(AO$1="",$BE166=0),"",IFERROR(LOOKUP(2,1/((Budgets!$A$2:$A$200=AO$1)*(Budgets!$B$2:$B$200&lt;=$A166)),Budgets!$C$2:$C$200),0))</f>
        <v/>
      </c>
      <c r="AP166" s="88">
        <f>IF(OR(AP$1="",$BE166=0),"",IFERROR(LOOKUP(2,1/((Budgets!$A$2:$A$200=AP$1)*(Budgets!$B$2:$B$200&lt;=$A166)),Budgets!$C$2:$C$200),0))</f>
        <v/>
      </c>
      <c r="AQ166" s="88">
        <f>IF(OR(AQ$1="",$BE166=0),"",IFERROR(LOOKUP(2,1/((Budgets!$A$2:$A$200=AQ$1)*(Budgets!$B$2:$B$200&lt;=$A166)),Budgets!$C$2:$C$200),0))</f>
        <v/>
      </c>
      <c r="AR166" s="88">
        <f>IF(OR(AR$1="",$BE166=0),"",IFERROR(LOOKUP(2,1/((Budgets!$A$2:$A$200=AR$1)*(Budgets!$B$2:$B$200&lt;=$A166)),Budgets!$C$2:$C$200),0))</f>
        <v/>
      </c>
      <c r="AS166" s="88">
        <f>IF(OR(AS$1="",$BE166=0),"",IFERROR(LOOKUP(2,1/((Budgets!$A$2:$A$200=AS$1)*(Budgets!$B$2:$B$200&lt;=$A166)),Budgets!$C$2:$C$200),0))</f>
        <v/>
      </c>
      <c r="AT166" s="88">
        <f>IF(OR(AT$1="",$BE166=0),"",IFERROR(LOOKUP(2,1/((Budgets!$A$2:$A$200=AT$1)*(Budgets!$B$2:$B$200&lt;=$A166)),Budgets!$C$2:$C$200),0))</f>
        <v/>
      </c>
      <c r="AU166" s="88">
        <f>IF(OR(AU$1="",$BE166=0),"",IFERROR(LOOKUP(2,1/((Budgets!$A$2:$A$200=AU$1)*(Budgets!$B$2:$B$200&lt;=$A166)),Budgets!$C$2:$C$200),0))</f>
        <v/>
      </c>
      <c r="AV166" s="88">
        <f>IF(OR(AV$1="",$BE166=0),"",IFERROR(LOOKUP(2,1/((Budgets!$A$2:$A$200=AV$1)*(Budgets!$B$2:$B$200&lt;=$A166)),Budgets!$C$2:$C$200),0))</f>
        <v/>
      </c>
      <c r="AW166" s="88">
        <f>IF(OR(AW$1="",$BE166=0),"",IFERROR(LOOKUP(2,1/((Budgets!$A$2:$A$200=AW$1)*(Budgets!$B$2:$B$200&lt;=$A166)),Budgets!$C$2:$C$200),0))</f>
        <v/>
      </c>
      <c r="AX166" s="88">
        <f>IF(OR(AX$1="",$BE166=0),"",IFERROR(LOOKUP(2,1/((Budgets!$A$2:$A$200=AX$1)*(Budgets!$B$2:$B$200&lt;=$A166)),Budgets!$C$2:$C$200),0))</f>
        <v/>
      </c>
      <c r="AY166" s="88">
        <f>IF(OR(AY$1="",$BE166=0),"",IFERROR(LOOKUP(2,1/((Budgets!$A$2:$A$200=AY$1)*(Budgets!$B$2:$B$200&lt;=$A166)),Budgets!$C$2:$C$200),0))</f>
        <v/>
      </c>
      <c r="AZ166" s="88">
        <f>IF(OR(AZ$1="",$BE166=0),"",IFERROR(LOOKUP(2,1/((Budgets!$A$2:$A$200=AZ$1)*(Budgets!$B$2:$B$200&lt;=$A166)),Budgets!$C$2:$C$200),0))</f>
        <v/>
      </c>
      <c r="BA166" s="88">
        <f>IF(OR(BA$1="",$BE166=0),"",IFERROR(LOOKUP(2,1/((Budgets!$A$2:$A$200=BA$1)*(Budgets!$B$2:$B$200&lt;=$A166)),Budgets!$C$2:$C$200),0))</f>
        <v/>
      </c>
      <c r="BB166" s="88">
        <f>IF(OR(BB$1="",$BE166=0),"",IFERROR(LOOKUP(2,1/((Budgets!$A$2:$A$200=BB$1)*(Budgets!$B$2:$B$200&lt;=$A166)),Budgets!$C$2:$C$200),0))</f>
        <v/>
      </c>
      <c r="BC166" s="88">
        <f>IF(OR(BC$1="",$BE166=0),"",IFERROR(LOOKUP(2,1/((Budgets!$A$2:$A$200=BC$1)*(Budgets!$B$2:$B$200&lt;=$A166)),Budgets!$C$2:$C$200),0))</f>
        <v/>
      </c>
      <c r="BE166" s="67">
        <f>COUNTIFS(Entries!$A$2:$A$5000,$A166)</f>
        <v/>
      </c>
    </row>
    <row r="167" ht="15" customHeight="1" s="43">
      <c r="A167" s="87" t="n">
        <v>44470</v>
      </c>
      <c r="B167" s="88">
        <f>IF($BE167=0,NA(),SUMIFS(Entries!$D$2:$D$5000,Entries!$C$2:$C$5000,"Income",Entries!$A$2:$A$5000,$A167))</f>
        <v/>
      </c>
      <c r="C167" s="88">
        <f>IF($BE167=0,"",SUMIFS(Entries!$D$2:$D$5000,Entries!$C$2:$C$5000,"Actual",Entries!$A$2:$A$5000,$A167))</f>
        <v/>
      </c>
      <c r="D167" s="88">
        <f>IF($BE167=0,"",SUMIFS(Entries!$D$2:$D$5000,Entries!$C$2:$C$5000,"One-off",Entries!$A$2:$A$5000,$A167))</f>
        <v/>
      </c>
      <c r="E167" s="88">
        <f>IF($BE167=0,NA(),C167+D167)</f>
        <v/>
      </c>
      <c r="F167" s="88">
        <f>IF($BE167=0,"",SUM(AJ167:BC167))</f>
        <v/>
      </c>
      <c r="G167" s="88">
        <f>IF($BE167=0,"",B167-E167)</f>
        <v/>
      </c>
      <c r="H167" s="88">
        <f>IF($BE167=0,"",SUM($G$2:G167))</f>
        <v/>
      </c>
      <c r="I167" s="88">
        <f>IF($BE167=0,"",SUMIFS(Entries!$F$2:$F$5000,Entries!$A$2:$A$5000,$A167))</f>
        <v/>
      </c>
      <c r="J167" s="88">
        <f>IF($BE167=0,NA(),H167+SUM($I$2:I167))</f>
        <v/>
      </c>
      <c r="K167" s="88">
        <f>IF($BE167=0,"",SUMIFS(Entries!$D$2:$D$5000,Entries!$C$2:$C$5000,"Income",Entries!$A$2:$A$5000,"&gt;="&amp;EDATE($A167,-11),Entries!$A$2:$A$5000,"&lt;="&amp;$A167)/12)</f>
        <v/>
      </c>
      <c r="L167" s="88">
        <f>IF($BE167=0,"",(SUMIFS(Entries!$D$2:$D$5000,Entries!$C$2:$C$5000,"Actual",Entries!$A$2:$A$5000,"&gt;="&amp;EDATE($A167,-11),Entries!$A$2:$A$5000,"&lt;="&amp;$A167)+SUMIFS(Entries!$D$2:$D$5000,Entries!$C$2:$C$5000,"One-off",Entries!$A$2:$A$5000,"&gt;="&amp;EDATE($A167,-11),Entries!$A$2:$A$5000,"&lt;="&amp;$A167))/12)</f>
        <v/>
      </c>
      <c r="M167" s="70">
        <f>IF($BE167=0,NA(),IFERROR((K167-L167)/K167,0))</f>
        <v/>
      </c>
      <c r="O167" s="88">
        <f>IF(OR(O$1="",$BE167=0),"",SUMIFS(Entries!$D$2:$D$5000,Entries!$C$2:$C$5000,"Actual",Entries!$A$2:$A$5000,$A167,Entries!$B$2:$B$5000,O$1))</f>
        <v/>
      </c>
      <c r="P167" s="88">
        <f>IF(OR(P$1="",$BE167=0),"",SUMIFS(Entries!$D$2:$D$5000,Entries!$C$2:$C$5000,"Actual",Entries!$A$2:$A$5000,$A167,Entries!$B$2:$B$5000,P$1))</f>
        <v/>
      </c>
      <c r="Q167" s="88">
        <f>IF(OR(Q$1="",$BE167=0),"",SUMIFS(Entries!$D$2:$D$5000,Entries!$C$2:$C$5000,"Actual",Entries!$A$2:$A$5000,$A167,Entries!$B$2:$B$5000,Q$1))</f>
        <v/>
      </c>
      <c r="R167" s="88">
        <f>IF(OR(R$1="",$BE167=0),"",SUMIFS(Entries!$D$2:$D$5000,Entries!$C$2:$C$5000,"Actual",Entries!$A$2:$A$5000,$A167,Entries!$B$2:$B$5000,R$1))</f>
        <v/>
      </c>
      <c r="S167" s="88">
        <f>IF(OR(S$1="",$BE167=0),"",SUMIFS(Entries!$D$2:$D$5000,Entries!$C$2:$C$5000,"Actual",Entries!$A$2:$A$5000,$A167,Entries!$B$2:$B$5000,S$1))</f>
        <v/>
      </c>
      <c r="T167" s="88">
        <f>IF(OR(T$1="",$BE167=0),"",SUMIFS(Entries!$D$2:$D$5000,Entries!$C$2:$C$5000,"Actual",Entries!$A$2:$A$5000,$A167,Entries!$B$2:$B$5000,T$1))</f>
        <v/>
      </c>
      <c r="U167" s="88">
        <f>IF(OR(U$1="",$BE167=0),"",SUMIFS(Entries!$D$2:$D$5000,Entries!$C$2:$C$5000,"Actual",Entries!$A$2:$A$5000,$A167,Entries!$B$2:$B$5000,U$1))</f>
        <v/>
      </c>
      <c r="V167" s="88">
        <f>IF(OR(V$1="",$BE167=0),"",SUMIFS(Entries!$D$2:$D$5000,Entries!$C$2:$C$5000,"Actual",Entries!$A$2:$A$5000,$A167,Entries!$B$2:$B$5000,V$1))</f>
        <v/>
      </c>
      <c r="W167" s="88">
        <f>IF(OR(W$1="",$BE167=0),"",SUMIFS(Entries!$D$2:$D$5000,Entries!$C$2:$C$5000,"Actual",Entries!$A$2:$A$5000,$A167,Entries!$B$2:$B$5000,W$1))</f>
        <v/>
      </c>
      <c r="X167" s="88">
        <f>IF(OR(X$1="",$BE167=0),"",SUMIFS(Entries!$D$2:$D$5000,Entries!$C$2:$C$5000,"Actual",Entries!$A$2:$A$5000,$A167,Entries!$B$2:$B$5000,X$1))</f>
        <v/>
      </c>
      <c r="Y167" s="88">
        <f>IF(OR(Y$1="",$BE167=0),"",SUMIFS(Entries!$D$2:$D$5000,Entries!$C$2:$C$5000,"Actual",Entries!$A$2:$A$5000,$A167,Entries!$B$2:$B$5000,Y$1))</f>
        <v/>
      </c>
      <c r="Z167" s="88">
        <f>IF(OR(Z$1="",$BE167=0),"",SUMIFS(Entries!$D$2:$D$5000,Entries!$C$2:$C$5000,"Actual",Entries!$A$2:$A$5000,$A167,Entries!$B$2:$B$5000,Z$1))</f>
        <v/>
      </c>
      <c r="AA167" s="88">
        <f>IF(OR(AA$1="",$BE167=0),"",SUMIFS(Entries!$D$2:$D$5000,Entries!$C$2:$C$5000,"Actual",Entries!$A$2:$A$5000,$A167,Entries!$B$2:$B$5000,AA$1))</f>
        <v/>
      </c>
      <c r="AB167" s="88">
        <f>IF(OR(AB$1="",$BE167=0),"",SUMIFS(Entries!$D$2:$D$5000,Entries!$C$2:$C$5000,"Actual",Entries!$A$2:$A$5000,$A167,Entries!$B$2:$B$5000,AB$1))</f>
        <v/>
      </c>
      <c r="AC167" s="88">
        <f>IF(OR(AC$1="",$BE167=0),"",SUMIFS(Entries!$D$2:$D$5000,Entries!$C$2:$C$5000,"Actual",Entries!$A$2:$A$5000,$A167,Entries!$B$2:$B$5000,AC$1))</f>
        <v/>
      </c>
      <c r="AD167" s="88">
        <f>IF(OR(AD$1="",$BE167=0),"",SUMIFS(Entries!$D$2:$D$5000,Entries!$C$2:$C$5000,"Actual",Entries!$A$2:$A$5000,$A167,Entries!$B$2:$B$5000,AD$1))</f>
        <v/>
      </c>
      <c r="AE167" s="88">
        <f>IF(OR(AE$1="",$BE167=0),"",SUMIFS(Entries!$D$2:$D$5000,Entries!$C$2:$C$5000,"Actual",Entries!$A$2:$A$5000,$A167,Entries!$B$2:$B$5000,AE$1))</f>
        <v/>
      </c>
      <c r="AF167" s="88">
        <f>IF(OR(AF$1="",$BE167=0),"",SUMIFS(Entries!$D$2:$D$5000,Entries!$C$2:$C$5000,"Actual",Entries!$A$2:$A$5000,$A167,Entries!$B$2:$B$5000,AF$1))</f>
        <v/>
      </c>
      <c r="AG167" s="88">
        <f>IF(OR(AG$1="",$BE167=0),"",SUMIFS(Entries!$D$2:$D$5000,Entries!$C$2:$C$5000,"Actual",Entries!$A$2:$A$5000,$A167,Entries!$B$2:$B$5000,AG$1))</f>
        <v/>
      </c>
      <c r="AH167" s="88">
        <f>IF(OR(AH$1="",$BE167=0),"",SUMIFS(Entries!$D$2:$D$5000,Entries!$C$2:$C$5000,"Actual",Entries!$A$2:$A$5000,$A167,Entries!$B$2:$B$5000,AH$1))</f>
        <v/>
      </c>
      <c r="AJ167" s="88">
        <f>IF(OR(AJ$1="",$BE167=0),"",IFERROR(LOOKUP(2,1/((Budgets!$A$2:$A$200=AJ$1)*(Budgets!$B$2:$B$200&lt;=$A167)),Budgets!$C$2:$C$200),0))</f>
        <v/>
      </c>
      <c r="AK167" s="88">
        <f>IF(OR(AK$1="",$BE167=0),"",IFERROR(LOOKUP(2,1/((Budgets!$A$2:$A$200=AK$1)*(Budgets!$B$2:$B$200&lt;=$A167)),Budgets!$C$2:$C$200),0))</f>
        <v/>
      </c>
      <c r="AL167" s="88">
        <f>IF(OR(AL$1="",$BE167=0),"",IFERROR(LOOKUP(2,1/((Budgets!$A$2:$A$200=AL$1)*(Budgets!$B$2:$B$200&lt;=$A167)),Budgets!$C$2:$C$200),0))</f>
        <v/>
      </c>
      <c r="AM167" s="88">
        <f>IF(OR(AM$1="",$BE167=0),"",IFERROR(LOOKUP(2,1/((Budgets!$A$2:$A$200=AM$1)*(Budgets!$B$2:$B$200&lt;=$A167)),Budgets!$C$2:$C$200),0))</f>
        <v/>
      </c>
      <c r="AN167" s="88">
        <f>IF(OR(AN$1="",$BE167=0),"",IFERROR(LOOKUP(2,1/((Budgets!$A$2:$A$200=AN$1)*(Budgets!$B$2:$B$200&lt;=$A167)),Budgets!$C$2:$C$200),0))</f>
        <v/>
      </c>
      <c r="AO167" s="88">
        <f>IF(OR(AO$1="",$BE167=0),"",IFERROR(LOOKUP(2,1/((Budgets!$A$2:$A$200=AO$1)*(Budgets!$B$2:$B$200&lt;=$A167)),Budgets!$C$2:$C$200),0))</f>
        <v/>
      </c>
      <c r="AP167" s="88">
        <f>IF(OR(AP$1="",$BE167=0),"",IFERROR(LOOKUP(2,1/((Budgets!$A$2:$A$200=AP$1)*(Budgets!$B$2:$B$200&lt;=$A167)),Budgets!$C$2:$C$200),0))</f>
        <v/>
      </c>
      <c r="AQ167" s="88">
        <f>IF(OR(AQ$1="",$BE167=0),"",IFERROR(LOOKUP(2,1/((Budgets!$A$2:$A$200=AQ$1)*(Budgets!$B$2:$B$200&lt;=$A167)),Budgets!$C$2:$C$200),0))</f>
        <v/>
      </c>
      <c r="AR167" s="88">
        <f>IF(OR(AR$1="",$BE167=0),"",IFERROR(LOOKUP(2,1/((Budgets!$A$2:$A$200=AR$1)*(Budgets!$B$2:$B$200&lt;=$A167)),Budgets!$C$2:$C$200),0))</f>
        <v/>
      </c>
      <c r="AS167" s="88">
        <f>IF(OR(AS$1="",$BE167=0),"",IFERROR(LOOKUP(2,1/((Budgets!$A$2:$A$200=AS$1)*(Budgets!$B$2:$B$200&lt;=$A167)),Budgets!$C$2:$C$200),0))</f>
        <v/>
      </c>
      <c r="AT167" s="88">
        <f>IF(OR(AT$1="",$BE167=0),"",IFERROR(LOOKUP(2,1/((Budgets!$A$2:$A$200=AT$1)*(Budgets!$B$2:$B$200&lt;=$A167)),Budgets!$C$2:$C$200),0))</f>
        <v/>
      </c>
      <c r="AU167" s="88">
        <f>IF(OR(AU$1="",$BE167=0),"",IFERROR(LOOKUP(2,1/((Budgets!$A$2:$A$200=AU$1)*(Budgets!$B$2:$B$200&lt;=$A167)),Budgets!$C$2:$C$200),0))</f>
        <v/>
      </c>
      <c r="AV167" s="88">
        <f>IF(OR(AV$1="",$BE167=0),"",IFERROR(LOOKUP(2,1/((Budgets!$A$2:$A$200=AV$1)*(Budgets!$B$2:$B$200&lt;=$A167)),Budgets!$C$2:$C$200),0))</f>
        <v/>
      </c>
      <c r="AW167" s="88">
        <f>IF(OR(AW$1="",$BE167=0),"",IFERROR(LOOKUP(2,1/((Budgets!$A$2:$A$200=AW$1)*(Budgets!$B$2:$B$200&lt;=$A167)),Budgets!$C$2:$C$200),0))</f>
        <v/>
      </c>
      <c r="AX167" s="88">
        <f>IF(OR(AX$1="",$BE167=0),"",IFERROR(LOOKUP(2,1/((Budgets!$A$2:$A$200=AX$1)*(Budgets!$B$2:$B$200&lt;=$A167)),Budgets!$C$2:$C$200),0))</f>
        <v/>
      </c>
      <c r="AY167" s="88">
        <f>IF(OR(AY$1="",$BE167=0),"",IFERROR(LOOKUP(2,1/((Budgets!$A$2:$A$200=AY$1)*(Budgets!$B$2:$B$200&lt;=$A167)),Budgets!$C$2:$C$200),0))</f>
        <v/>
      </c>
      <c r="AZ167" s="88">
        <f>IF(OR(AZ$1="",$BE167=0),"",IFERROR(LOOKUP(2,1/((Budgets!$A$2:$A$200=AZ$1)*(Budgets!$B$2:$B$200&lt;=$A167)),Budgets!$C$2:$C$200),0))</f>
        <v/>
      </c>
      <c r="BA167" s="88">
        <f>IF(OR(BA$1="",$BE167=0),"",IFERROR(LOOKUP(2,1/((Budgets!$A$2:$A$200=BA$1)*(Budgets!$B$2:$B$200&lt;=$A167)),Budgets!$C$2:$C$200),0))</f>
        <v/>
      </c>
      <c r="BB167" s="88">
        <f>IF(OR(BB$1="",$BE167=0),"",IFERROR(LOOKUP(2,1/((Budgets!$A$2:$A$200=BB$1)*(Budgets!$B$2:$B$200&lt;=$A167)),Budgets!$C$2:$C$200),0))</f>
        <v/>
      </c>
      <c r="BC167" s="88">
        <f>IF(OR(BC$1="",$BE167=0),"",IFERROR(LOOKUP(2,1/((Budgets!$A$2:$A$200=BC$1)*(Budgets!$B$2:$B$200&lt;=$A167)),Budgets!$C$2:$C$200),0))</f>
        <v/>
      </c>
      <c r="BE167" s="67">
        <f>COUNTIFS(Entries!$A$2:$A$5000,$A167)</f>
        <v/>
      </c>
    </row>
    <row r="168" ht="15" customHeight="1" s="43">
      <c r="A168" s="87" t="n">
        <v>44501</v>
      </c>
      <c r="B168" s="88">
        <f>IF($BE168=0,NA(),SUMIFS(Entries!$D$2:$D$5000,Entries!$C$2:$C$5000,"Income",Entries!$A$2:$A$5000,$A168))</f>
        <v/>
      </c>
      <c r="C168" s="88">
        <f>IF($BE168=0,"",SUMIFS(Entries!$D$2:$D$5000,Entries!$C$2:$C$5000,"Actual",Entries!$A$2:$A$5000,$A168))</f>
        <v/>
      </c>
      <c r="D168" s="88">
        <f>IF($BE168=0,"",SUMIFS(Entries!$D$2:$D$5000,Entries!$C$2:$C$5000,"One-off",Entries!$A$2:$A$5000,$A168))</f>
        <v/>
      </c>
      <c r="E168" s="88">
        <f>IF($BE168=0,NA(),C168+D168)</f>
        <v/>
      </c>
      <c r="F168" s="88">
        <f>IF($BE168=0,"",SUM(AJ168:BC168))</f>
        <v/>
      </c>
      <c r="G168" s="88">
        <f>IF($BE168=0,"",B168-E168)</f>
        <v/>
      </c>
      <c r="H168" s="88">
        <f>IF($BE168=0,"",SUM($G$2:G168))</f>
        <v/>
      </c>
      <c r="I168" s="88">
        <f>IF($BE168=0,"",SUMIFS(Entries!$F$2:$F$5000,Entries!$A$2:$A$5000,$A168))</f>
        <v/>
      </c>
      <c r="J168" s="88">
        <f>IF($BE168=0,NA(),H168+SUM($I$2:I168))</f>
        <v/>
      </c>
      <c r="K168" s="88">
        <f>IF($BE168=0,"",SUMIFS(Entries!$D$2:$D$5000,Entries!$C$2:$C$5000,"Income",Entries!$A$2:$A$5000,"&gt;="&amp;EDATE($A168,-11),Entries!$A$2:$A$5000,"&lt;="&amp;$A168)/12)</f>
        <v/>
      </c>
      <c r="L168" s="88">
        <f>IF($BE168=0,"",(SUMIFS(Entries!$D$2:$D$5000,Entries!$C$2:$C$5000,"Actual",Entries!$A$2:$A$5000,"&gt;="&amp;EDATE($A168,-11),Entries!$A$2:$A$5000,"&lt;="&amp;$A168)+SUMIFS(Entries!$D$2:$D$5000,Entries!$C$2:$C$5000,"One-off",Entries!$A$2:$A$5000,"&gt;="&amp;EDATE($A168,-11),Entries!$A$2:$A$5000,"&lt;="&amp;$A168))/12)</f>
        <v/>
      </c>
      <c r="M168" s="70">
        <f>IF($BE168=0,NA(),IFERROR((K168-L168)/K168,0))</f>
        <v/>
      </c>
      <c r="O168" s="88">
        <f>IF(OR(O$1="",$BE168=0),"",SUMIFS(Entries!$D$2:$D$5000,Entries!$C$2:$C$5000,"Actual",Entries!$A$2:$A$5000,$A168,Entries!$B$2:$B$5000,O$1))</f>
        <v/>
      </c>
      <c r="P168" s="88">
        <f>IF(OR(P$1="",$BE168=0),"",SUMIFS(Entries!$D$2:$D$5000,Entries!$C$2:$C$5000,"Actual",Entries!$A$2:$A$5000,$A168,Entries!$B$2:$B$5000,P$1))</f>
        <v/>
      </c>
      <c r="Q168" s="88">
        <f>IF(OR(Q$1="",$BE168=0),"",SUMIFS(Entries!$D$2:$D$5000,Entries!$C$2:$C$5000,"Actual",Entries!$A$2:$A$5000,$A168,Entries!$B$2:$B$5000,Q$1))</f>
        <v/>
      </c>
      <c r="R168" s="88">
        <f>IF(OR(R$1="",$BE168=0),"",SUMIFS(Entries!$D$2:$D$5000,Entries!$C$2:$C$5000,"Actual",Entries!$A$2:$A$5000,$A168,Entries!$B$2:$B$5000,R$1))</f>
        <v/>
      </c>
      <c r="S168" s="88">
        <f>IF(OR(S$1="",$BE168=0),"",SUMIFS(Entries!$D$2:$D$5000,Entries!$C$2:$C$5000,"Actual",Entries!$A$2:$A$5000,$A168,Entries!$B$2:$B$5000,S$1))</f>
        <v/>
      </c>
      <c r="T168" s="88">
        <f>IF(OR(T$1="",$BE168=0),"",SUMIFS(Entries!$D$2:$D$5000,Entries!$C$2:$C$5000,"Actual",Entries!$A$2:$A$5000,$A168,Entries!$B$2:$B$5000,T$1))</f>
        <v/>
      </c>
      <c r="U168" s="88">
        <f>IF(OR(U$1="",$BE168=0),"",SUMIFS(Entries!$D$2:$D$5000,Entries!$C$2:$C$5000,"Actual",Entries!$A$2:$A$5000,$A168,Entries!$B$2:$B$5000,U$1))</f>
        <v/>
      </c>
      <c r="V168" s="88">
        <f>IF(OR(V$1="",$BE168=0),"",SUMIFS(Entries!$D$2:$D$5000,Entries!$C$2:$C$5000,"Actual",Entries!$A$2:$A$5000,$A168,Entries!$B$2:$B$5000,V$1))</f>
        <v/>
      </c>
      <c r="W168" s="88">
        <f>IF(OR(W$1="",$BE168=0),"",SUMIFS(Entries!$D$2:$D$5000,Entries!$C$2:$C$5000,"Actual",Entries!$A$2:$A$5000,$A168,Entries!$B$2:$B$5000,W$1))</f>
        <v/>
      </c>
      <c r="X168" s="88">
        <f>IF(OR(X$1="",$BE168=0),"",SUMIFS(Entries!$D$2:$D$5000,Entries!$C$2:$C$5000,"Actual",Entries!$A$2:$A$5000,$A168,Entries!$B$2:$B$5000,X$1))</f>
        <v/>
      </c>
      <c r="Y168" s="88">
        <f>IF(OR(Y$1="",$BE168=0),"",SUMIFS(Entries!$D$2:$D$5000,Entries!$C$2:$C$5000,"Actual",Entries!$A$2:$A$5000,$A168,Entries!$B$2:$B$5000,Y$1))</f>
        <v/>
      </c>
      <c r="Z168" s="88">
        <f>IF(OR(Z$1="",$BE168=0),"",SUMIFS(Entries!$D$2:$D$5000,Entries!$C$2:$C$5000,"Actual",Entries!$A$2:$A$5000,$A168,Entries!$B$2:$B$5000,Z$1))</f>
        <v/>
      </c>
      <c r="AA168" s="88">
        <f>IF(OR(AA$1="",$BE168=0),"",SUMIFS(Entries!$D$2:$D$5000,Entries!$C$2:$C$5000,"Actual",Entries!$A$2:$A$5000,$A168,Entries!$B$2:$B$5000,AA$1))</f>
        <v/>
      </c>
      <c r="AB168" s="88">
        <f>IF(OR(AB$1="",$BE168=0),"",SUMIFS(Entries!$D$2:$D$5000,Entries!$C$2:$C$5000,"Actual",Entries!$A$2:$A$5000,$A168,Entries!$B$2:$B$5000,AB$1))</f>
        <v/>
      </c>
      <c r="AC168" s="88">
        <f>IF(OR(AC$1="",$BE168=0),"",SUMIFS(Entries!$D$2:$D$5000,Entries!$C$2:$C$5000,"Actual",Entries!$A$2:$A$5000,$A168,Entries!$B$2:$B$5000,AC$1))</f>
        <v/>
      </c>
      <c r="AD168" s="88">
        <f>IF(OR(AD$1="",$BE168=0),"",SUMIFS(Entries!$D$2:$D$5000,Entries!$C$2:$C$5000,"Actual",Entries!$A$2:$A$5000,$A168,Entries!$B$2:$B$5000,AD$1))</f>
        <v/>
      </c>
      <c r="AE168" s="88">
        <f>IF(OR(AE$1="",$BE168=0),"",SUMIFS(Entries!$D$2:$D$5000,Entries!$C$2:$C$5000,"Actual",Entries!$A$2:$A$5000,$A168,Entries!$B$2:$B$5000,AE$1))</f>
        <v/>
      </c>
      <c r="AF168" s="88">
        <f>IF(OR(AF$1="",$BE168=0),"",SUMIFS(Entries!$D$2:$D$5000,Entries!$C$2:$C$5000,"Actual",Entries!$A$2:$A$5000,$A168,Entries!$B$2:$B$5000,AF$1))</f>
        <v/>
      </c>
      <c r="AG168" s="88">
        <f>IF(OR(AG$1="",$BE168=0),"",SUMIFS(Entries!$D$2:$D$5000,Entries!$C$2:$C$5000,"Actual",Entries!$A$2:$A$5000,$A168,Entries!$B$2:$B$5000,AG$1))</f>
        <v/>
      </c>
      <c r="AH168" s="88">
        <f>IF(OR(AH$1="",$BE168=0),"",SUMIFS(Entries!$D$2:$D$5000,Entries!$C$2:$C$5000,"Actual",Entries!$A$2:$A$5000,$A168,Entries!$B$2:$B$5000,AH$1))</f>
        <v/>
      </c>
      <c r="AJ168" s="88">
        <f>IF(OR(AJ$1="",$BE168=0),"",IFERROR(LOOKUP(2,1/((Budgets!$A$2:$A$200=AJ$1)*(Budgets!$B$2:$B$200&lt;=$A168)),Budgets!$C$2:$C$200),0))</f>
        <v/>
      </c>
      <c r="AK168" s="88">
        <f>IF(OR(AK$1="",$BE168=0),"",IFERROR(LOOKUP(2,1/((Budgets!$A$2:$A$200=AK$1)*(Budgets!$B$2:$B$200&lt;=$A168)),Budgets!$C$2:$C$200),0))</f>
        <v/>
      </c>
      <c r="AL168" s="88">
        <f>IF(OR(AL$1="",$BE168=0),"",IFERROR(LOOKUP(2,1/((Budgets!$A$2:$A$200=AL$1)*(Budgets!$B$2:$B$200&lt;=$A168)),Budgets!$C$2:$C$200),0))</f>
        <v/>
      </c>
      <c r="AM168" s="88">
        <f>IF(OR(AM$1="",$BE168=0),"",IFERROR(LOOKUP(2,1/((Budgets!$A$2:$A$200=AM$1)*(Budgets!$B$2:$B$200&lt;=$A168)),Budgets!$C$2:$C$200),0))</f>
        <v/>
      </c>
      <c r="AN168" s="88">
        <f>IF(OR(AN$1="",$BE168=0),"",IFERROR(LOOKUP(2,1/((Budgets!$A$2:$A$200=AN$1)*(Budgets!$B$2:$B$200&lt;=$A168)),Budgets!$C$2:$C$200),0))</f>
        <v/>
      </c>
      <c r="AO168" s="88">
        <f>IF(OR(AO$1="",$BE168=0),"",IFERROR(LOOKUP(2,1/((Budgets!$A$2:$A$200=AO$1)*(Budgets!$B$2:$B$200&lt;=$A168)),Budgets!$C$2:$C$200),0))</f>
        <v/>
      </c>
      <c r="AP168" s="88">
        <f>IF(OR(AP$1="",$BE168=0),"",IFERROR(LOOKUP(2,1/((Budgets!$A$2:$A$200=AP$1)*(Budgets!$B$2:$B$200&lt;=$A168)),Budgets!$C$2:$C$200),0))</f>
        <v/>
      </c>
      <c r="AQ168" s="88">
        <f>IF(OR(AQ$1="",$BE168=0),"",IFERROR(LOOKUP(2,1/((Budgets!$A$2:$A$200=AQ$1)*(Budgets!$B$2:$B$200&lt;=$A168)),Budgets!$C$2:$C$200),0))</f>
        <v/>
      </c>
      <c r="AR168" s="88">
        <f>IF(OR(AR$1="",$BE168=0),"",IFERROR(LOOKUP(2,1/((Budgets!$A$2:$A$200=AR$1)*(Budgets!$B$2:$B$200&lt;=$A168)),Budgets!$C$2:$C$200),0))</f>
        <v/>
      </c>
      <c r="AS168" s="88">
        <f>IF(OR(AS$1="",$BE168=0),"",IFERROR(LOOKUP(2,1/((Budgets!$A$2:$A$200=AS$1)*(Budgets!$B$2:$B$200&lt;=$A168)),Budgets!$C$2:$C$200),0))</f>
        <v/>
      </c>
      <c r="AT168" s="88">
        <f>IF(OR(AT$1="",$BE168=0),"",IFERROR(LOOKUP(2,1/((Budgets!$A$2:$A$200=AT$1)*(Budgets!$B$2:$B$200&lt;=$A168)),Budgets!$C$2:$C$200),0))</f>
        <v/>
      </c>
      <c r="AU168" s="88">
        <f>IF(OR(AU$1="",$BE168=0),"",IFERROR(LOOKUP(2,1/((Budgets!$A$2:$A$200=AU$1)*(Budgets!$B$2:$B$200&lt;=$A168)),Budgets!$C$2:$C$200),0))</f>
        <v/>
      </c>
      <c r="AV168" s="88">
        <f>IF(OR(AV$1="",$BE168=0),"",IFERROR(LOOKUP(2,1/((Budgets!$A$2:$A$200=AV$1)*(Budgets!$B$2:$B$200&lt;=$A168)),Budgets!$C$2:$C$200),0))</f>
        <v/>
      </c>
      <c r="AW168" s="88">
        <f>IF(OR(AW$1="",$BE168=0),"",IFERROR(LOOKUP(2,1/((Budgets!$A$2:$A$200=AW$1)*(Budgets!$B$2:$B$200&lt;=$A168)),Budgets!$C$2:$C$200),0))</f>
        <v/>
      </c>
      <c r="AX168" s="88">
        <f>IF(OR(AX$1="",$BE168=0),"",IFERROR(LOOKUP(2,1/((Budgets!$A$2:$A$200=AX$1)*(Budgets!$B$2:$B$200&lt;=$A168)),Budgets!$C$2:$C$200),0))</f>
        <v/>
      </c>
      <c r="AY168" s="88">
        <f>IF(OR(AY$1="",$BE168=0),"",IFERROR(LOOKUP(2,1/((Budgets!$A$2:$A$200=AY$1)*(Budgets!$B$2:$B$200&lt;=$A168)),Budgets!$C$2:$C$200),0))</f>
        <v/>
      </c>
      <c r="AZ168" s="88">
        <f>IF(OR(AZ$1="",$BE168=0),"",IFERROR(LOOKUP(2,1/((Budgets!$A$2:$A$200=AZ$1)*(Budgets!$B$2:$B$200&lt;=$A168)),Budgets!$C$2:$C$200),0))</f>
        <v/>
      </c>
      <c r="BA168" s="88">
        <f>IF(OR(BA$1="",$BE168=0),"",IFERROR(LOOKUP(2,1/((Budgets!$A$2:$A$200=BA$1)*(Budgets!$B$2:$B$200&lt;=$A168)),Budgets!$C$2:$C$200),0))</f>
        <v/>
      </c>
      <c r="BB168" s="88">
        <f>IF(OR(BB$1="",$BE168=0),"",IFERROR(LOOKUP(2,1/((Budgets!$A$2:$A$200=BB$1)*(Budgets!$B$2:$B$200&lt;=$A168)),Budgets!$C$2:$C$200),0))</f>
        <v/>
      </c>
      <c r="BC168" s="88">
        <f>IF(OR(BC$1="",$BE168=0),"",IFERROR(LOOKUP(2,1/((Budgets!$A$2:$A$200=BC$1)*(Budgets!$B$2:$B$200&lt;=$A168)),Budgets!$C$2:$C$200),0))</f>
        <v/>
      </c>
      <c r="BE168" s="67">
        <f>COUNTIFS(Entries!$A$2:$A$5000,$A168)</f>
        <v/>
      </c>
    </row>
    <row r="169" ht="15" customHeight="1" s="43">
      <c r="A169" s="87" t="n">
        <v>44531</v>
      </c>
      <c r="B169" s="88">
        <f>IF($BE169=0,NA(),SUMIFS(Entries!$D$2:$D$5000,Entries!$C$2:$C$5000,"Income",Entries!$A$2:$A$5000,$A169))</f>
        <v/>
      </c>
      <c r="C169" s="88">
        <f>IF($BE169=0,"",SUMIFS(Entries!$D$2:$D$5000,Entries!$C$2:$C$5000,"Actual",Entries!$A$2:$A$5000,$A169))</f>
        <v/>
      </c>
      <c r="D169" s="88">
        <f>IF($BE169=0,"",SUMIFS(Entries!$D$2:$D$5000,Entries!$C$2:$C$5000,"One-off",Entries!$A$2:$A$5000,$A169))</f>
        <v/>
      </c>
      <c r="E169" s="88">
        <f>IF($BE169=0,NA(),C169+D169)</f>
        <v/>
      </c>
      <c r="F169" s="88">
        <f>IF($BE169=0,"",SUM(AJ169:BC169))</f>
        <v/>
      </c>
      <c r="G169" s="88">
        <f>IF($BE169=0,"",B169-E169)</f>
        <v/>
      </c>
      <c r="H169" s="88">
        <f>IF($BE169=0,"",SUM($G$2:G169))</f>
        <v/>
      </c>
      <c r="I169" s="88">
        <f>IF($BE169=0,"",SUMIFS(Entries!$F$2:$F$5000,Entries!$A$2:$A$5000,$A169))</f>
        <v/>
      </c>
      <c r="J169" s="88">
        <f>IF($BE169=0,NA(),H169+SUM($I$2:I169))</f>
        <v/>
      </c>
      <c r="K169" s="88">
        <f>IF($BE169=0,"",SUMIFS(Entries!$D$2:$D$5000,Entries!$C$2:$C$5000,"Income",Entries!$A$2:$A$5000,"&gt;="&amp;EDATE($A169,-11),Entries!$A$2:$A$5000,"&lt;="&amp;$A169)/12)</f>
        <v/>
      </c>
      <c r="L169" s="88">
        <f>IF($BE169=0,"",(SUMIFS(Entries!$D$2:$D$5000,Entries!$C$2:$C$5000,"Actual",Entries!$A$2:$A$5000,"&gt;="&amp;EDATE($A169,-11),Entries!$A$2:$A$5000,"&lt;="&amp;$A169)+SUMIFS(Entries!$D$2:$D$5000,Entries!$C$2:$C$5000,"One-off",Entries!$A$2:$A$5000,"&gt;="&amp;EDATE($A169,-11),Entries!$A$2:$A$5000,"&lt;="&amp;$A169))/12)</f>
        <v/>
      </c>
      <c r="M169" s="70">
        <f>IF($BE169=0,NA(),IFERROR((K169-L169)/K169,0))</f>
        <v/>
      </c>
      <c r="O169" s="88">
        <f>IF(OR(O$1="",$BE169=0),"",SUMIFS(Entries!$D$2:$D$5000,Entries!$C$2:$C$5000,"Actual",Entries!$A$2:$A$5000,$A169,Entries!$B$2:$B$5000,O$1))</f>
        <v/>
      </c>
      <c r="P169" s="88">
        <f>IF(OR(P$1="",$BE169=0),"",SUMIFS(Entries!$D$2:$D$5000,Entries!$C$2:$C$5000,"Actual",Entries!$A$2:$A$5000,$A169,Entries!$B$2:$B$5000,P$1))</f>
        <v/>
      </c>
      <c r="Q169" s="88">
        <f>IF(OR(Q$1="",$BE169=0),"",SUMIFS(Entries!$D$2:$D$5000,Entries!$C$2:$C$5000,"Actual",Entries!$A$2:$A$5000,$A169,Entries!$B$2:$B$5000,Q$1))</f>
        <v/>
      </c>
      <c r="R169" s="88">
        <f>IF(OR(R$1="",$BE169=0),"",SUMIFS(Entries!$D$2:$D$5000,Entries!$C$2:$C$5000,"Actual",Entries!$A$2:$A$5000,$A169,Entries!$B$2:$B$5000,R$1))</f>
        <v/>
      </c>
      <c r="S169" s="88">
        <f>IF(OR(S$1="",$BE169=0),"",SUMIFS(Entries!$D$2:$D$5000,Entries!$C$2:$C$5000,"Actual",Entries!$A$2:$A$5000,$A169,Entries!$B$2:$B$5000,S$1))</f>
        <v/>
      </c>
      <c r="T169" s="88">
        <f>IF(OR(T$1="",$BE169=0),"",SUMIFS(Entries!$D$2:$D$5000,Entries!$C$2:$C$5000,"Actual",Entries!$A$2:$A$5000,$A169,Entries!$B$2:$B$5000,T$1))</f>
        <v/>
      </c>
      <c r="U169" s="88">
        <f>IF(OR(U$1="",$BE169=0),"",SUMIFS(Entries!$D$2:$D$5000,Entries!$C$2:$C$5000,"Actual",Entries!$A$2:$A$5000,$A169,Entries!$B$2:$B$5000,U$1))</f>
        <v/>
      </c>
      <c r="V169" s="88">
        <f>IF(OR(V$1="",$BE169=0),"",SUMIFS(Entries!$D$2:$D$5000,Entries!$C$2:$C$5000,"Actual",Entries!$A$2:$A$5000,$A169,Entries!$B$2:$B$5000,V$1))</f>
        <v/>
      </c>
      <c r="W169" s="88">
        <f>IF(OR(W$1="",$BE169=0),"",SUMIFS(Entries!$D$2:$D$5000,Entries!$C$2:$C$5000,"Actual",Entries!$A$2:$A$5000,$A169,Entries!$B$2:$B$5000,W$1))</f>
        <v/>
      </c>
      <c r="X169" s="88">
        <f>IF(OR(X$1="",$BE169=0),"",SUMIFS(Entries!$D$2:$D$5000,Entries!$C$2:$C$5000,"Actual",Entries!$A$2:$A$5000,$A169,Entries!$B$2:$B$5000,X$1))</f>
        <v/>
      </c>
      <c r="Y169" s="88">
        <f>IF(OR(Y$1="",$BE169=0),"",SUMIFS(Entries!$D$2:$D$5000,Entries!$C$2:$C$5000,"Actual",Entries!$A$2:$A$5000,$A169,Entries!$B$2:$B$5000,Y$1))</f>
        <v/>
      </c>
      <c r="Z169" s="88">
        <f>IF(OR(Z$1="",$BE169=0),"",SUMIFS(Entries!$D$2:$D$5000,Entries!$C$2:$C$5000,"Actual",Entries!$A$2:$A$5000,$A169,Entries!$B$2:$B$5000,Z$1))</f>
        <v/>
      </c>
      <c r="AA169" s="88">
        <f>IF(OR(AA$1="",$BE169=0),"",SUMIFS(Entries!$D$2:$D$5000,Entries!$C$2:$C$5000,"Actual",Entries!$A$2:$A$5000,$A169,Entries!$B$2:$B$5000,AA$1))</f>
        <v/>
      </c>
      <c r="AB169" s="88">
        <f>IF(OR(AB$1="",$BE169=0),"",SUMIFS(Entries!$D$2:$D$5000,Entries!$C$2:$C$5000,"Actual",Entries!$A$2:$A$5000,$A169,Entries!$B$2:$B$5000,AB$1))</f>
        <v/>
      </c>
      <c r="AC169" s="88">
        <f>IF(OR(AC$1="",$BE169=0),"",SUMIFS(Entries!$D$2:$D$5000,Entries!$C$2:$C$5000,"Actual",Entries!$A$2:$A$5000,$A169,Entries!$B$2:$B$5000,AC$1))</f>
        <v/>
      </c>
      <c r="AD169" s="88">
        <f>IF(OR(AD$1="",$BE169=0),"",SUMIFS(Entries!$D$2:$D$5000,Entries!$C$2:$C$5000,"Actual",Entries!$A$2:$A$5000,$A169,Entries!$B$2:$B$5000,AD$1))</f>
        <v/>
      </c>
      <c r="AE169" s="88">
        <f>IF(OR(AE$1="",$BE169=0),"",SUMIFS(Entries!$D$2:$D$5000,Entries!$C$2:$C$5000,"Actual",Entries!$A$2:$A$5000,$A169,Entries!$B$2:$B$5000,AE$1))</f>
        <v/>
      </c>
      <c r="AF169" s="88">
        <f>IF(OR(AF$1="",$BE169=0),"",SUMIFS(Entries!$D$2:$D$5000,Entries!$C$2:$C$5000,"Actual",Entries!$A$2:$A$5000,$A169,Entries!$B$2:$B$5000,AF$1))</f>
        <v/>
      </c>
      <c r="AG169" s="88">
        <f>IF(OR(AG$1="",$BE169=0),"",SUMIFS(Entries!$D$2:$D$5000,Entries!$C$2:$C$5000,"Actual",Entries!$A$2:$A$5000,$A169,Entries!$B$2:$B$5000,AG$1))</f>
        <v/>
      </c>
      <c r="AH169" s="88">
        <f>IF(OR(AH$1="",$BE169=0),"",SUMIFS(Entries!$D$2:$D$5000,Entries!$C$2:$C$5000,"Actual",Entries!$A$2:$A$5000,$A169,Entries!$B$2:$B$5000,AH$1))</f>
        <v/>
      </c>
      <c r="AJ169" s="88">
        <f>IF(OR(AJ$1="",$BE169=0),"",IFERROR(LOOKUP(2,1/((Budgets!$A$2:$A$200=AJ$1)*(Budgets!$B$2:$B$200&lt;=$A169)),Budgets!$C$2:$C$200),0))</f>
        <v/>
      </c>
      <c r="AK169" s="88">
        <f>IF(OR(AK$1="",$BE169=0),"",IFERROR(LOOKUP(2,1/((Budgets!$A$2:$A$200=AK$1)*(Budgets!$B$2:$B$200&lt;=$A169)),Budgets!$C$2:$C$200),0))</f>
        <v/>
      </c>
      <c r="AL169" s="88">
        <f>IF(OR(AL$1="",$BE169=0),"",IFERROR(LOOKUP(2,1/((Budgets!$A$2:$A$200=AL$1)*(Budgets!$B$2:$B$200&lt;=$A169)),Budgets!$C$2:$C$200),0))</f>
        <v/>
      </c>
      <c r="AM169" s="88">
        <f>IF(OR(AM$1="",$BE169=0),"",IFERROR(LOOKUP(2,1/((Budgets!$A$2:$A$200=AM$1)*(Budgets!$B$2:$B$200&lt;=$A169)),Budgets!$C$2:$C$200),0))</f>
        <v/>
      </c>
      <c r="AN169" s="88">
        <f>IF(OR(AN$1="",$BE169=0),"",IFERROR(LOOKUP(2,1/((Budgets!$A$2:$A$200=AN$1)*(Budgets!$B$2:$B$200&lt;=$A169)),Budgets!$C$2:$C$200),0))</f>
        <v/>
      </c>
      <c r="AO169" s="88">
        <f>IF(OR(AO$1="",$BE169=0),"",IFERROR(LOOKUP(2,1/((Budgets!$A$2:$A$200=AO$1)*(Budgets!$B$2:$B$200&lt;=$A169)),Budgets!$C$2:$C$200),0))</f>
        <v/>
      </c>
      <c r="AP169" s="88">
        <f>IF(OR(AP$1="",$BE169=0),"",IFERROR(LOOKUP(2,1/((Budgets!$A$2:$A$200=AP$1)*(Budgets!$B$2:$B$200&lt;=$A169)),Budgets!$C$2:$C$200),0))</f>
        <v/>
      </c>
      <c r="AQ169" s="88">
        <f>IF(OR(AQ$1="",$BE169=0),"",IFERROR(LOOKUP(2,1/((Budgets!$A$2:$A$200=AQ$1)*(Budgets!$B$2:$B$200&lt;=$A169)),Budgets!$C$2:$C$200),0))</f>
        <v/>
      </c>
      <c r="AR169" s="88">
        <f>IF(OR(AR$1="",$BE169=0),"",IFERROR(LOOKUP(2,1/((Budgets!$A$2:$A$200=AR$1)*(Budgets!$B$2:$B$200&lt;=$A169)),Budgets!$C$2:$C$200),0))</f>
        <v/>
      </c>
      <c r="AS169" s="88">
        <f>IF(OR(AS$1="",$BE169=0),"",IFERROR(LOOKUP(2,1/((Budgets!$A$2:$A$200=AS$1)*(Budgets!$B$2:$B$200&lt;=$A169)),Budgets!$C$2:$C$200),0))</f>
        <v/>
      </c>
      <c r="AT169" s="88">
        <f>IF(OR(AT$1="",$BE169=0),"",IFERROR(LOOKUP(2,1/((Budgets!$A$2:$A$200=AT$1)*(Budgets!$B$2:$B$200&lt;=$A169)),Budgets!$C$2:$C$200),0))</f>
        <v/>
      </c>
      <c r="AU169" s="88">
        <f>IF(OR(AU$1="",$BE169=0),"",IFERROR(LOOKUP(2,1/((Budgets!$A$2:$A$200=AU$1)*(Budgets!$B$2:$B$200&lt;=$A169)),Budgets!$C$2:$C$200),0))</f>
        <v/>
      </c>
      <c r="AV169" s="88">
        <f>IF(OR(AV$1="",$BE169=0),"",IFERROR(LOOKUP(2,1/((Budgets!$A$2:$A$200=AV$1)*(Budgets!$B$2:$B$200&lt;=$A169)),Budgets!$C$2:$C$200),0))</f>
        <v/>
      </c>
      <c r="AW169" s="88">
        <f>IF(OR(AW$1="",$BE169=0),"",IFERROR(LOOKUP(2,1/((Budgets!$A$2:$A$200=AW$1)*(Budgets!$B$2:$B$200&lt;=$A169)),Budgets!$C$2:$C$200),0))</f>
        <v/>
      </c>
      <c r="AX169" s="88">
        <f>IF(OR(AX$1="",$BE169=0),"",IFERROR(LOOKUP(2,1/((Budgets!$A$2:$A$200=AX$1)*(Budgets!$B$2:$B$200&lt;=$A169)),Budgets!$C$2:$C$200),0))</f>
        <v/>
      </c>
      <c r="AY169" s="88">
        <f>IF(OR(AY$1="",$BE169=0),"",IFERROR(LOOKUP(2,1/((Budgets!$A$2:$A$200=AY$1)*(Budgets!$B$2:$B$200&lt;=$A169)),Budgets!$C$2:$C$200),0))</f>
        <v/>
      </c>
      <c r="AZ169" s="88">
        <f>IF(OR(AZ$1="",$BE169=0),"",IFERROR(LOOKUP(2,1/((Budgets!$A$2:$A$200=AZ$1)*(Budgets!$B$2:$B$200&lt;=$A169)),Budgets!$C$2:$C$200),0))</f>
        <v/>
      </c>
      <c r="BA169" s="88">
        <f>IF(OR(BA$1="",$BE169=0),"",IFERROR(LOOKUP(2,1/((Budgets!$A$2:$A$200=BA$1)*(Budgets!$B$2:$B$200&lt;=$A169)),Budgets!$C$2:$C$200),0))</f>
        <v/>
      </c>
      <c r="BB169" s="88">
        <f>IF(OR(BB$1="",$BE169=0),"",IFERROR(LOOKUP(2,1/((Budgets!$A$2:$A$200=BB$1)*(Budgets!$B$2:$B$200&lt;=$A169)),Budgets!$C$2:$C$200),0))</f>
        <v/>
      </c>
      <c r="BC169" s="88">
        <f>IF(OR(BC$1="",$BE169=0),"",IFERROR(LOOKUP(2,1/((Budgets!$A$2:$A$200=BC$1)*(Budgets!$B$2:$B$200&lt;=$A169)),Budgets!$C$2:$C$200),0))</f>
        <v/>
      </c>
      <c r="BE169" s="67">
        <f>COUNTIFS(Entries!$A$2:$A$5000,$A169)</f>
        <v/>
      </c>
    </row>
    <row r="170" ht="15" customHeight="1" s="43">
      <c r="A170" s="87" t="n">
        <v>44562</v>
      </c>
      <c r="B170" s="88">
        <f>IF($BE170=0,NA(),SUMIFS(Entries!$D$2:$D$5000,Entries!$C$2:$C$5000,"Income",Entries!$A$2:$A$5000,$A170))</f>
        <v/>
      </c>
      <c r="C170" s="88">
        <f>IF($BE170=0,"",SUMIFS(Entries!$D$2:$D$5000,Entries!$C$2:$C$5000,"Actual",Entries!$A$2:$A$5000,$A170))</f>
        <v/>
      </c>
      <c r="D170" s="88">
        <f>IF($BE170=0,"",SUMIFS(Entries!$D$2:$D$5000,Entries!$C$2:$C$5000,"One-off",Entries!$A$2:$A$5000,$A170))</f>
        <v/>
      </c>
      <c r="E170" s="88">
        <f>IF($BE170=0,NA(),C170+D170)</f>
        <v/>
      </c>
      <c r="F170" s="88">
        <f>IF($BE170=0,"",SUM(AJ170:BC170))</f>
        <v/>
      </c>
      <c r="G170" s="88">
        <f>IF($BE170=0,"",B170-E170)</f>
        <v/>
      </c>
      <c r="H170" s="88">
        <f>IF($BE170=0,"",SUM($G$2:G170))</f>
        <v/>
      </c>
      <c r="I170" s="88">
        <f>IF($BE170=0,"",SUMIFS(Entries!$F$2:$F$5000,Entries!$A$2:$A$5000,$A170))</f>
        <v/>
      </c>
      <c r="J170" s="88">
        <f>IF($BE170=0,NA(),H170+SUM($I$2:I170))</f>
        <v/>
      </c>
      <c r="K170" s="88">
        <f>IF($BE170=0,"",SUMIFS(Entries!$D$2:$D$5000,Entries!$C$2:$C$5000,"Income",Entries!$A$2:$A$5000,"&gt;="&amp;EDATE($A170,-11),Entries!$A$2:$A$5000,"&lt;="&amp;$A170)/12)</f>
        <v/>
      </c>
      <c r="L170" s="88">
        <f>IF($BE170=0,"",(SUMIFS(Entries!$D$2:$D$5000,Entries!$C$2:$C$5000,"Actual",Entries!$A$2:$A$5000,"&gt;="&amp;EDATE($A170,-11),Entries!$A$2:$A$5000,"&lt;="&amp;$A170)+SUMIFS(Entries!$D$2:$D$5000,Entries!$C$2:$C$5000,"One-off",Entries!$A$2:$A$5000,"&gt;="&amp;EDATE($A170,-11),Entries!$A$2:$A$5000,"&lt;="&amp;$A170))/12)</f>
        <v/>
      </c>
      <c r="M170" s="70">
        <f>IF($BE170=0,NA(),IFERROR((K170-L170)/K170,0))</f>
        <v/>
      </c>
      <c r="O170" s="88">
        <f>IF(OR(O$1="",$BE170=0),"",SUMIFS(Entries!$D$2:$D$5000,Entries!$C$2:$C$5000,"Actual",Entries!$A$2:$A$5000,$A170,Entries!$B$2:$B$5000,O$1))</f>
        <v/>
      </c>
      <c r="P170" s="88">
        <f>IF(OR(P$1="",$BE170=0),"",SUMIFS(Entries!$D$2:$D$5000,Entries!$C$2:$C$5000,"Actual",Entries!$A$2:$A$5000,$A170,Entries!$B$2:$B$5000,P$1))</f>
        <v/>
      </c>
      <c r="Q170" s="88">
        <f>IF(OR(Q$1="",$BE170=0),"",SUMIFS(Entries!$D$2:$D$5000,Entries!$C$2:$C$5000,"Actual",Entries!$A$2:$A$5000,$A170,Entries!$B$2:$B$5000,Q$1))</f>
        <v/>
      </c>
      <c r="R170" s="88">
        <f>IF(OR(R$1="",$BE170=0),"",SUMIFS(Entries!$D$2:$D$5000,Entries!$C$2:$C$5000,"Actual",Entries!$A$2:$A$5000,$A170,Entries!$B$2:$B$5000,R$1))</f>
        <v/>
      </c>
      <c r="S170" s="88">
        <f>IF(OR(S$1="",$BE170=0),"",SUMIFS(Entries!$D$2:$D$5000,Entries!$C$2:$C$5000,"Actual",Entries!$A$2:$A$5000,$A170,Entries!$B$2:$B$5000,S$1))</f>
        <v/>
      </c>
      <c r="T170" s="88">
        <f>IF(OR(T$1="",$BE170=0),"",SUMIFS(Entries!$D$2:$D$5000,Entries!$C$2:$C$5000,"Actual",Entries!$A$2:$A$5000,$A170,Entries!$B$2:$B$5000,T$1))</f>
        <v/>
      </c>
      <c r="U170" s="88">
        <f>IF(OR(U$1="",$BE170=0),"",SUMIFS(Entries!$D$2:$D$5000,Entries!$C$2:$C$5000,"Actual",Entries!$A$2:$A$5000,$A170,Entries!$B$2:$B$5000,U$1))</f>
        <v/>
      </c>
      <c r="V170" s="88">
        <f>IF(OR(V$1="",$BE170=0),"",SUMIFS(Entries!$D$2:$D$5000,Entries!$C$2:$C$5000,"Actual",Entries!$A$2:$A$5000,$A170,Entries!$B$2:$B$5000,V$1))</f>
        <v/>
      </c>
      <c r="W170" s="88">
        <f>IF(OR(W$1="",$BE170=0),"",SUMIFS(Entries!$D$2:$D$5000,Entries!$C$2:$C$5000,"Actual",Entries!$A$2:$A$5000,$A170,Entries!$B$2:$B$5000,W$1))</f>
        <v/>
      </c>
      <c r="X170" s="88">
        <f>IF(OR(X$1="",$BE170=0),"",SUMIFS(Entries!$D$2:$D$5000,Entries!$C$2:$C$5000,"Actual",Entries!$A$2:$A$5000,$A170,Entries!$B$2:$B$5000,X$1))</f>
        <v/>
      </c>
      <c r="Y170" s="88">
        <f>IF(OR(Y$1="",$BE170=0),"",SUMIFS(Entries!$D$2:$D$5000,Entries!$C$2:$C$5000,"Actual",Entries!$A$2:$A$5000,$A170,Entries!$B$2:$B$5000,Y$1))</f>
        <v/>
      </c>
      <c r="Z170" s="88">
        <f>IF(OR(Z$1="",$BE170=0),"",SUMIFS(Entries!$D$2:$D$5000,Entries!$C$2:$C$5000,"Actual",Entries!$A$2:$A$5000,$A170,Entries!$B$2:$B$5000,Z$1))</f>
        <v/>
      </c>
      <c r="AA170" s="88">
        <f>IF(OR(AA$1="",$BE170=0),"",SUMIFS(Entries!$D$2:$D$5000,Entries!$C$2:$C$5000,"Actual",Entries!$A$2:$A$5000,$A170,Entries!$B$2:$B$5000,AA$1))</f>
        <v/>
      </c>
      <c r="AB170" s="88">
        <f>IF(OR(AB$1="",$BE170=0),"",SUMIFS(Entries!$D$2:$D$5000,Entries!$C$2:$C$5000,"Actual",Entries!$A$2:$A$5000,$A170,Entries!$B$2:$B$5000,AB$1))</f>
        <v/>
      </c>
      <c r="AC170" s="88">
        <f>IF(OR(AC$1="",$BE170=0),"",SUMIFS(Entries!$D$2:$D$5000,Entries!$C$2:$C$5000,"Actual",Entries!$A$2:$A$5000,$A170,Entries!$B$2:$B$5000,AC$1))</f>
        <v/>
      </c>
      <c r="AD170" s="88">
        <f>IF(OR(AD$1="",$BE170=0),"",SUMIFS(Entries!$D$2:$D$5000,Entries!$C$2:$C$5000,"Actual",Entries!$A$2:$A$5000,$A170,Entries!$B$2:$B$5000,AD$1))</f>
        <v/>
      </c>
      <c r="AE170" s="88">
        <f>IF(OR(AE$1="",$BE170=0),"",SUMIFS(Entries!$D$2:$D$5000,Entries!$C$2:$C$5000,"Actual",Entries!$A$2:$A$5000,$A170,Entries!$B$2:$B$5000,AE$1))</f>
        <v/>
      </c>
      <c r="AF170" s="88">
        <f>IF(OR(AF$1="",$BE170=0),"",SUMIFS(Entries!$D$2:$D$5000,Entries!$C$2:$C$5000,"Actual",Entries!$A$2:$A$5000,$A170,Entries!$B$2:$B$5000,AF$1))</f>
        <v/>
      </c>
      <c r="AG170" s="88">
        <f>IF(OR(AG$1="",$BE170=0),"",SUMIFS(Entries!$D$2:$D$5000,Entries!$C$2:$C$5000,"Actual",Entries!$A$2:$A$5000,$A170,Entries!$B$2:$B$5000,AG$1))</f>
        <v/>
      </c>
      <c r="AH170" s="88">
        <f>IF(OR(AH$1="",$BE170=0),"",SUMIFS(Entries!$D$2:$D$5000,Entries!$C$2:$C$5000,"Actual",Entries!$A$2:$A$5000,$A170,Entries!$B$2:$B$5000,AH$1))</f>
        <v/>
      </c>
      <c r="AJ170" s="88">
        <f>IF(OR(AJ$1="",$BE170=0),"",IFERROR(LOOKUP(2,1/((Budgets!$A$2:$A$200=AJ$1)*(Budgets!$B$2:$B$200&lt;=$A170)),Budgets!$C$2:$C$200),0))</f>
        <v/>
      </c>
      <c r="AK170" s="88">
        <f>IF(OR(AK$1="",$BE170=0),"",IFERROR(LOOKUP(2,1/((Budgets!$A$2:$A$200=AK$1)*(Budgets!$B$2:$B$200&lt;=$A170)),Budgets!$C$2:$C$200),0))</f>
        <v/>
      </c>
      <c r="AL170" s="88">
        <f>IF(OR(AL$1="",$BE170=0),"",IFERROR(LOOKUP(2,1/((Budgets!$A$2:$A$200=AL$1)*(Budgets!$B$2:$B$200&lt;=$A170)),Budgets!$C$2:$C$200),0))</f>
        <v/>
      </c>
      <c r="AM170" s="88">
        <f>IF(OR(AM$1="",$BE170=0),"",IFERROR(LOOKUP(2,1/((Budgets!$A$2:$A$200=AM$1)*(Budgets!$B$2:$B$200&lt;=$A170)),Budgets!$C$2:$C$200),0))</f>
        <v/>
      </c>
      <c r="AN170" s="88">
        <f>IF(OR(AN$1="",$BE170=0),"",IFERROR(LOOKUP(2,1/((Budgets!$A$2:$A$200=AN$1)*(Budgets!$B$2:$B$200&lt;=$A170)),Budgets!$C$2:$C$200),0))</f>
        <v/>
      </c>
      <c r="AO170" s="88">
        <f>IF(OR(AO$1="",$BE170=0),"",IFERROR(LOOKUP(2,1/((Budgets!$A$2:$A$200=AO$1)*(Budgets!$B$2:$B$200&lt;=$A170)),Budgets!$C$2:$C$200),0))</f>
        <v/>
      </c>
      <c r="AP170" s="88">
        <f>IF(OR(AP$1="",$BE170=0),"",IFERROR(LOOKUP(2,1/((Budgets!$A$2:$A$200=AP$1)*(Budgets!$B$2:$B$200&lt;=$A170)),Budgets!$C$2:$C$200),0))</f>
        <v/>
      </c>
      <c r="AQ170" s="88">
        <f>IF(OR(AQ$1="",$BE170=0),"",IFERROR(LOOKUP(2,1/((Budgets!$A$2:$A$200=AQ$1)*(Budgets!$B$2:$B$200&lt;=$A170)),Budgets!$C$2:$C$200),0))</f>
        <v/>
      </c>
      <c r="AR170" s="88">
        <f>IF(OR(AR$1="",$BE170=0),"",IFERROR(LOOKUP(2,1/((Budgets!$A$2:$A$200=AR$1)*(Budgets!$B$2:$B$200&lt;=$A170)),Budgets!$C$2:$C$200),0))</f>
        <v/>
      </c>
      <c r="AS170" s="88">
        <f>IF(OR(AS$1="",$BE170=0),"",IFERROR(LOOKUP(2,1/((Budgets!$A$2:$A$200=AS$1)*(Budgets!$B$2:$B$200&lt;=$A170)),Budgets!$C$2:$C$200),0))</f>
        <v/>
      </c>
      <c r="AT170" s="88">
        <f>IF(OR(AT$1="",$BE170=0),"",IFERROR(LOOKUP(2,1/((Budgets!$A$2:$A$200=AT$1)*(Budgets!$B$2:$B$200&lt;=$A170)),Budgets!$C$2:$C$200),0))</f>
        <v/>
      </c>
      <c r="AU170" s="88">
        <f>IF(OR(AU$1="",$BE170=0),"",IFERROR(LOOKUP(2,1/((Budgets!$A$2:$A$200=AU$1)*(Budgets!$B$2:$B$200&lt;=$A170)),Budgets!$C$2:$C$200),0))</f>
        <v/>
      </c>
      <c r="AV170" s="88">
        <f>IF(OR(AV$1="",$BE170=0),"",IFERROR(LOOKUP(2,1/((Budgets!$A$2:$A$200=AV$1)*(Budgets!$B$2:$B$200&lt;=$A170)),Budgets!$C$2:$C$200),0))</f>
        <v/>
      </c>
      <c r="AW170" s="88">
        <f>IF(OR(AW$1="",$BE170=0),"",IFERROR(LOOKUP(2,1/((Budgets!$A$2:$A$200=AW$1)*(Budgets!$B$2:$B$200&lt;=$A170)),Budgets!$C$2:$C$200),0))</f>
        <v/>
      </c>
      <c r="AX170" s="88">
        <f>IF(OR(AX$1="",$BE170=0),"",IFERROR(LOOKUP(2,1/((Budgets!$A$2:$A$200=AX$1)*(Budgets!$B$2:$B$200&lt;=$A170)),Budgets!$C$2:$C$200),0))</f>
        <v/>
      </c>
      <c r="AY170" s="88">
        <f>IF(OR(AY$1="",$BE170=0),"",IFERROR(LOOKUP(2,1/((Budgets!$A$2:$A$200=AY$1)*(Budgets!$B$2:$B$200&lt;=$A170)),Budgets!$C$2:$C$200),0))</f>
        <v/>
      </c>
      <c r="AZ170" s="88">
        <f>IF(OR(AZ$1="",$BE170=0),"",IFERROR(LOOKUP(2,1/((Budgets!$A$2:$A$200=AZ$1)*(Budgets!$B$2:$B$200&lt;=$A170)),Budgets!$C$2:$C$200),0))</f>
        <v/>
      </c>
      <c r="BA170" s="88">
        <f>IF(OR(BA$1="",$BE170=0),"",IFERROR(LOOKUP(2,1/((Budgets!$A$2:$A$200=BA$1)*(Budgets!$B$2:$B$200&lt;=$A170)),Budgets!$C$2:$C$200),0))</f>
        <v/>
      </c>
      <c r="BB170" s="88">
        <f>IF(OR(BB$1="",$BE170=0),"",IFERROR(LOOKUP(2,1/((Budgets!$A$2:$A$200=BB$1)*(Budgets!$B$2:$B$200&lt;=$A170)),Budgets!$C$2:$C$200),0))</f>
        <v/>
      </c>
      <c r="BC170" s="88">
        <f>IF(OR(BC$1="",$BE170=0),"",IFERROR(LOOKUP(2,1/((Budgets!$A$2:$A$200=BC$1)*(Budgets!$B$2:$B$200&lt;=$A170)),Budgets!$C$2:$C$200),0))</f>
        <v/>
      </c>
      <c r="BE170" s="67">
        <f>COUNTIFS(Entries!$A$2:$A$5000,$A170)</f>
        <v/>
      </c>
    </row>
    <row r="171" ht="15" customHeight="1" s="43">
      <c r="A171" s="87" t="n">
        <v>44593</v>
      </c>
      <c r="B171" s="88">
        <f>IF($BE171=0,NA(),SUMIFS(Entries!$D$2:$D$5000,Entries!$C$2:$C$5000,"Income",Entries!$A$2:$A$5000,$A171))</f>
        <v/>
      </c>
      <c r="C171" s="88">
        <f>IF($BE171=0,"",SUMIFS(Entries!$D$2:$D$5000,Entries!$C$2:$C$5000,"Actual",Entries!$A$2:$A$5000,$A171))</f>
        <v/>
      </c>
      <c r="D171" s="88">
        <f>IF($BE171=0,"",SUMIFS(Entries!$D$2:$D$5000,Entries!$C$2:$C$5000,"One-off",Entries!$A$2:$A$5000,$A171))</f>
        <v/>
      </c>
      <c r="E171" s="88">
        <f>IF($BE171=0,NA(),C171+D171)</f>
        <v/>
      </c>
      <c r="F171" s="88">
        <f>IF($BE171=0,"",SUM(AJ171:BC171))</f>
        <v/>
      </c>
      <c r="G171" s="88">
        <f>IF($BE171=0,"",B171-E171)</f>
        <v/>
      </c>
      <c r="H171" s="88">
        <f>IF($BE171=0,"",SUM($G$2:G171))</f>
        <v/>
      </c>
      <c r="I171" s="88">
        <f>IF($BE171=0,"",SUMIFS(Entries!$F$2:$F$5000,Entries!$A$2:$A$5000,$A171))</f>
        <v/>
      </c>
      <c r="J171" s="88">
        <f>IF($BE171=0,NA(),H171+SUM($I$2:I171))</f>
        <v/>
      </c>
      <c r="K171" s="88">
        <f>IF($BE171=0,"",SUMIFS(Entries!$D$2:$D$5000,Entries!$C$2:$C$5000,"Income",Entries!$A$2:$A$5000,"&gt;="&amp;EDATE($A171,-11),Entries!$A$2:$A$5000,"&lt;="&amp;$A171)/12)</f>
        <v/>
      </c>
      <c r="L171" s="88">
        <f>IF($BE171=0,"",(SUMIFS(Entries!$D$2:$D$5000,Entries!$C$2:$C$5000,"Actual",Entries!$A$2:$A$5000,"&gt;="&amp;EDATE($A171,-11),Entries!$A$2:$A$5000,"&lt;="&amp;$A171)+SUMIFS(Entries!$D$2:$D$5000,Entries!$C$2:$C$5000,"One-off",Entries!$A$2:$A$5000,"&gt;="&amp;EDATE($A171,-11),Entries!$A$2:$A$5000,"&lt;="&amp;$A171))/12)</f>
        <v/>
      </c>
      <c r="M171" s="70">
        <f>IF($BE171=0,NA(),IFERROR((K171-L171)/K171,0))</f>
        <v/>
      </c>
      <c r="O171" s="88">
        <f>IF(OR(O$1="",$BE171=0),"",SUMIFS(Entries!$D$2:$D$5000,Entries!$C$2:$C$5000,"Actual",Entries!$A$2:$A$5000,$A171,Entries!$B$2:$B$5000,O$1))</f>
        <v/>
      </c>
      <c r="P171" s="88">
        <f>IF(OR(P$1="",$BE171=0),"",SUMIFS(Entries!$D$2:$D$5000,Entries!$C$2:$C$5000,"Actual",Entries!$A$2:$A$5000,$A171,Entries!$B$2:$B$5000,P$1))</f>
        <v/>
      </c>
      <c r="Q171" s="88">
        <f>IF(OR(Q$1="",$BE171=0),"",SUMIFS(Entries!$D$2:$D$5000,Entries!$C$2:$C$5000,"Actual",Entries!$A$2:$A$5000,$A171,Entries!$B$2:$B$5000,Q$1))</f>
        <v/>
      </c>
      <c r="R171" s="88">
        <f>IF(OR(R$1="",$BE171=0),"",SUMIFS(Entries!$D$2:$D$5000,Entries!$C$2:$C$5000,"Actual",Entries!$A$2:$A$5000,$A171,Entries!$B$2:$B$5000,R$1))</f>
        <v/>
      </c>
      <c r="S171" s="88">
        <f>IF(OR(S$1="",$BE171=0),"",SUMIFS(Entries!$D$2:$D$5000,Entries!$C$2:$C$5000,"Actual",Entries!$A$2:$A$5000,$A171,Entries!$B$2:$B$5000,S$1))</f>
        <v/>
      </c>
      <c r="T171" s="88">
        <f>IF(OR(T$1="",$BE171=0),"",SUMIFS(Entries!$D$2:$D$5000,Entries!$C$2:$C$5000,"Actual",Entries!$A$2:$A$5000,$A171,Entries!$B$2:$B$5000,T$1))</f>
        <v/>
      </c>
      <c r="U171" s="88">
        <f>IF(OR(U$1="",$BE171=0),"",SUMIFS(Entries!$D$2:$D$5000,Entries!$C$2:$C$5000,"Actual",Entries!$A$2:$A$5000,$A171,Entries!$B$2:$B$5000,U$1))</f>
        <v/>
      </c>
      <c r="V171" s="88">
        <f>IF(OR(V$1="",$BE171=0),"",SUMIFS(Entries!$D$2:$D$5000,Entries!$C$2:$C$5000,"Actual",Entries!$A$2:$A$5000,$A171,Entries!$B$2:$B$5000,V$1))</f>
        <v/>
      </c>
      <c r="W171" s="88">
        <f>IF(OR(W$1="",$BE171=0),"",SUMIFS(Entries!$D$2:$D$5000,Entries!$C$2:$C$5000,"Actual",Entries!$A$2:$A$5000,$A171,Entries!$B$2:$B$5000,W$1))</f>
        <v/>
      </c>
      <c r="X171" s="88">
        <f>IF(OR(X$1="",$BE171=0),"",SUMIFS(Entries!$D$2:$D$5000,Entries!$C$2:$C$5000,"Actual",Entries!$A$2:$A$5000,$A171,Entries!$B$2:$B$5000,X$1))</f>
        <v/>
      </c>
      <c r="Y171" s="88">
        <f>IF(OR(Y$1="",$BE171=0),"",SUMIFS(Entries!$D$2:$D$5000,Entries!$C$2:$C$5000,"Actual",Entries!$A$2:$A$5000,$A171,Entries!$B$2:$B$5000,Y$1))</f>
        <v/>
      </c>
      <c r="Z171" s="88">
        <f>IF(OR(Z$1="",$BE171=0),"",SUMIFS(Entries!$D$2:$D$5000,Entries!$C$2:$C$5000,"Actual",Entries!$A$2:$A$5000,$A171,Entries!$B$2:$B$5000,Z$1))</f>
        <v/>
      </c>
      <c r="AA171" s="88">
        <f>IF(OR(AA$1="",$BE171=0),"",SUMIFS(Entries!$D$2:$D$5000,Entries!$C$2:$C$5000,"Actual",Entries!$A$2:$A$5000,$A171,Entries!$B$2:$B$5000,AA$1))</f>
        <v/>
      </c>
      <c r="AB171" s="88">
        <f>IF(OR(AB$1="",$BE171=0),"",SUMIFS(Entries!$D$2:$D$5000,Entries!$C$2:$C$5000,"Actual",Entries!$A$2:$A$5000,$A171,Entries!$B$2:$B$5000,AB$1))</f>
        <v/>
      </c>
      <c r="AC171" s="88">
        <f>IF(OR(AC$1="",$BE171=0),"",SUMIFS(Entries!$D$2:$D$5000,Entries!$C$2:$C$5000,"Actual",Entries!$A$2:$A$5000,$A171,Entries!$B$2:$B$5000,AC$1))</f>
        <v/>
      </c>
      <c r="AD171" s="88">
        <f>IF(OR(AD$1="",$BE171=0),"",SUMIFS(Entries!$D$2:$D$5000,Entries!$C$2:$C$5000,"Actual",Entries!$A$2:$A$5000,$A171,Entries!$B$2:$B$5000,AD$1))</f>
        <v/>
      </c>
      <c r="AE171" s="88">
        <f>IF(OR(AE$1="",$BE171=0),"",SUMIFS(Entries!$D$2:$D$5000,Entries!$C$2:$C$5000,"Actual",Entries!$A$2:$A$5000,$A171,Entries!$B$2:$B$5000,AE$1))</f>
        <v/>
      </c>
      <c r="AF171" s="88">
        <f>IF(OR(AF$1="",$BE171=0),"",SUMIFS(Entries!$D$2:$D$5000,Entries!$C$2:$C$5000,"Actual",Entries!$A$2:$A$5000,$A171,Entries!$B$2:$B$5000,AF$1))</f>
        <v/>
      </c>
      <c r="AG171" s="88">
        <f>IF(OR(AG$1="",$BE171=0),"",SUMIFS(Entries!$D$2:$D$5000,Entries!$C$2:$C$5000,"Actual",Entries!$A$2:$A$5000,$A171,Entries!$B$2:$B$5000,AG$1))</f>
        <v/>
      </c>
      <c r="AH171" s="88">
        <f>IF(OR(AH$1="",$BE171=0),"",SUMIFS(Entries!$D$2:$D$5000,Entries!$C$2:$C$5000,"Actual",Entries!$A$2:$A$5000,$A171,Entries!$B$2:$B$5000,AH$1))</f>
        <v/>
      </c>
      <c r="AJ171" s="88">
        <f>IF(OR(AJ$1="",$BE171=0),"",IFERROR(LOOKUP(2,1/((Budgets!$A$2:$A$200=AJ$1)*(Budgets!$B$2:$B$200&lt;=$A171)),Budgets!$C$2:$C$200),0))</f>
        <v/>
      </c>
      <c r="AK171" s="88">
        <f>IF(OR(AK$1="",$BE171=0),"",IFERROR(LOOKUP(2,1/((Budgets!$A$2:$A$200=AK$1)*(Budgets!$B$2:$B$200&lt;=$A171)),Budgets!$C$2:$C$200),0))</f>
        <v/>
      </c>
      <c r="AL171" s="88">
        <f>IF(OR(AL$1="",$BE171=0),"",IFERROR(LOOKUP(2,1/((Budgets!$A$2:$A$200=AL$1)*(Budgets!$B$2:$B$200&lt;=$A171)),Budgets!$C$2:$C$200),0))</f>
        <v/>
      </c>
      <c r="AM171" s="88">
        <f>IF(OR(AM$1="",$BE171=0),"",IFERROR(LOOKUP(2,1/((Budgets!$A$2:$A$200=AM$1)*(Budgets!$B$2:$B$200&lt;=$A171)),Budgets!$C$2:$C$200),0))</f>
        <v/>
      </c>
      <c r="AN171" s="88">
        <f>IF(OR(AN$1="",$BE171=0),"",IFERROR(LOOKUP(2,1/((Budgets!$A$2:$A$200=AN$1)*(Budgets!$B$2:$B$200&lt;=$A171)),Budgets!$C$2:$C$200),0))</f>
        <v/>
      </c>
      <c r="AO171" s="88">
        <f>IF(OR(AO$1="",$BE171=0),"",IFERROR(LOOKUP(2,1/((Budgets!$A$2:$A$200=AO$1)*(Budgets!$B$2:$B$200&lt;=$A171)),Budgets!$C$2:$C$200),0))</f>
        <v/>
      </c>
      <c r="AP171" s="88">
        <f>IF(OR(AP$1="",$BE171=0),"",IFERROR(LOOKUP(2,1/((Budgets!$A$2:$A$200=AP$1)*(Budgets!$B$2:$B$200&lt;=$A171)),Budgets!$C$2:$C$200),0))</f>
        <v/>
      </c>
      <c r="AQ171" s="88">
        <f>IF(OR(AQ$1="",$BE171=0),"",IFERROR(LOOKUP(2,1/((Budgets!$A$2:$A$200=AQ$1)*(Budgets!$B$2:$B$200&lt;=$A171)),Budgets!$C$2:$C$200),0))</f>
        <v/>
      </c>
      <c r="AR171" s="88">
        <f>IF(OR(AR$1="",$BE171=0),"",IFERROR(LOOKUP(2,1/((Budgets!$A$2:$A$200=AR$1)*(Budgets!$B$2:$B$200&lt;=$A171)),Budgets!$C$2:$C$200),0))</f>
        <v/>
      </c>
      <c r="AS171" s="88">
        <f>IF(OR(AS$1="",$BE171=0),"",IFERROR(LOOKUP(2,1/((Budgets!$A$2:$A$200=AS$1)*(Budgets!$B$2:$B$200&lt;=$A171)),Budgets!$C$2:$C$200),0))</f>
        <v/>
      </c>
      <c r="AT171" s="88">
        <f>IF(OR(AT$1="",$BE171=0),"",IFERROR(LOOKUP(2,1/((Budgets!$A$2:$A$200=AT$1)*(Budgets!$B$2:$B$200&lt;=$A171)),Budgets!$C$2:$C$200),0))</f>
        <v/>
      </c>
      <c r="AU171" s="88">
        <f>IF(OR(AU$1="",$BE171=0),"",IFERROR(LOOKUP(2,1/((Budgets!$A$2:$A$200=AU$1)*(Budgets!$B$2:$B$200&lt;=$A171)),Budgets!$C$2:$C$200),0))</f>
        <v/>
      </c>
      <c r="AV171" s="88">
        <f>IF(OR(AV$1="",$BE171=0),"",IFERROR(LOOKUP(2,1/((Budgets!$A$2:$A$200=AV$1)*(Budgets!$B$2:$B$200&lt;=$A171)),Budgets!$C$2:$C$200),0))</f>
        <v/>
      </c>
      <c r="AW171" s="88">
        <f>IF(OR(AW$1="",$BE171=0),"",IFERROR(LOOKUP(2,1/((Budgets!$A$2:$A$200=AW$1)*(Budgets!$B$2:$B$200&lt;=$A171)),Budgets!$C$2:$C$200),0))</f>
        <v/>
      </c>
      <c r="AX171" s="88">
        <f>IF(OR(AX$1="",$BE171=0),"",IFERROR(LOOKUP(2,1/((Budgets!$A$2:$A$200=AX$1)*(Budgets!$B$2:$B$200&lt;=$A171)),Budgets!$C$2:$C$200),0))</f>
        <v/>
      </c>
      <c r="AY171" s="88">
        <f>IF(OR(AY$1="",$BE171=0),"",IFERROR(LOOKUP(2,1/((Budgets!$A$2:$A$200=AY$1)*(Budgets!$B$2:$B$200&lt;=$A171)),Budgets!$C$2:$C$200),0))</f>
        <v/>
      </c>
      <c r="AZ171" s="88">
        <f>IF(OR(AZ$1="",$BE171=0),"",IFERROR(LOOKUP(2,1/((Budgets!$A$2:$A$200=AZ$1)*(Budgets!$B$2:$B$200&lt;=$A171)),Budgets!$C$2:$C$200),0))</f>
        <v/>
      </c>
      <c r="BA171" s="88">
        <f>IF(OR(BA$1="",$BE171=0),"",IFERROR(LOOKUP(2,1/((Budgets!$A$2:$A$200=BA$1)*(Budgets!$B$2:$B$200&lt;=$A171)),Budgets!$C$2:$C$200),0))</f>
        <v/>
      </c>
      <c r="BB171" s="88">
        <f>IF(OR(BB$1="",$BE171=0),"",IFERROR(LOOKUP(2,1/((Budgets!$A$2:$A$200=BB$1)*(Budgets!$B$2:$B$200&lt;=$A171)),Budgets!$C$2:$C$200),0))</f>
        <v/>
      </c>
      <c r="BC171" s="88">
        <f>IF(OR(BC$1="",$BE171=0),"",IFERROR(LOOKUP(2,1/((Budgets!$A$2:$A$200=BC$1)*(Budgets!$B$2:$B$200&lt;=$A171)),Budgets!$C$2:$C$200),0))</f>
        <v/>
      </c>
      <c r="BE171" s="67">
        <f>COUNTIFS(Entries!$A$2:$A$5000,$A171)</f>
        <v/>
      </c>
    </row>
    <row r="172" ht="15" customHeight="1" s="43">
      <c r="A172" s="87" t="n">
        <v>44621</v>
      </c>
      <c r="B172" s="88">
        <f>IF($BE172=0,NA(),SUMIFS(Entries!$D$2:$D$5000,Entries!$C$2:$C$5000,"Income",Entries!$A$2:$A$5000,$A172))</f>
        <v/>
      </c>
      <c r="C172" s="88">
        <f>IF($BE172=0,"",SUMIFS(Entries!$D$2:$D$5000,Entries!$C$2:$C$5000,"Actual",Entries!$A$2:$A$5000,$A172))</f>
        <v/>
      </c>
      <c r="D172" s="88">
        <f>IF($BE172=0,"",SUMIFS(Entries!$D$2:$D$5000,Entries!$C$2:$C$5000,"One-off",Entries!$A$2:$A$5000,$A172))</f>
        <v/>
      </c>
      <c r="E172" s="88">
        <f>IF($BE172=0,NA(),C172+D172)</f>
        <v/>
      </c>
      <c r="F172" s="88">
        <f>IF($BE172=0,"",SUM(AJ172:BC172))</f>
        <v/>
      </c>
      <c r="G172" s="88">
        <f>IF($BE172=0,"",B172-E172)</f>
        <v/>
      </c>
      <c r="H172" s="88">
        <f>IF($BE172=0,"",SUM($G$2:G172))</f>
        <v/>
      </c>
      <c r="I172" s="88">
        <f>IF($BE172=0,"",SUMIFS(Entries!$F$2:$F$5000,Entries!$A$2:$A$5000,$A172))</f>
        <v/>
      </c>
      <c r="J172" s="88">
        <f>IF($BE172=0,NA(),H172+SUM($I$2:I172))</f>
        <v/>
      </c>
      <c r="K172" s="88">
        <f>IF($BE172=0,"",SUMIFS(Entries!$D$2:$D$5000,Entries!$C$2:$C$5000,"Income",Entries!$A$2:$A$5000,"&gt;="&amp;EDATE($A172,-11),Entries!$A$2:$A$5000,"&lt;="&amp;$A172)/12)</f>
        <v/>
      </c>
      <c r="L172" s="88">
        <f>IF($BE172=0,"",(SUMIFS(Entries!$D$2:$D$5000,Entries!$C$2:$C$5000,"Actual",Entries!$A$2:$A$5000,"&gt;="&amp;EDATE($A172,-11),Entries!$A$2:$A$5000,"&lt;="&amp;$A172)+SUMIFS(Entries!$D$2:$D$5000,Entries!$C$2:$C$5000,"One-off",Entries!$A$2:$A$5000,"&gt;="&amp;EDATE($A172,-11),Entries!$A$2:$A$5000,"&lt;="&amp;$A172))/12)</f>
        <v/>
      </c>
      <c r="M172" s="70">
        <f>IF($BE172=0,NA(),IFERROR((K172-L172)/K172,0))</f>
        <v/>
      </c>
      <c r="O172" s="88">
        <f>IF(OR(O$1="",$BE172=0),"",SUMIFS(Entries!$D$2:$D$5000,Entries!$C$2:$C$5000,"Actual",Entries!$A$2:$A$5000,$A172,Entries!$B$2:$B$5000,O$1))</f>
        <v/>
      </c>
      <c r="P172" s="88">
        <f>IF(OR(P$1="",$BE172=0),"",SUMIFS(Entries!$D$2:$D$5000,Entries!$C$2:$C$5000,"Actual",Entries!$A$2:$A$5000,$A172,Entries!$B$2:$B$5000,P$1))</f>
        <v/>
      </c>
      <c r="Q172" s="88">
        <f>IF(OR(Q$1="",$BE172=0),"",SUMIFS(Entries!$D$2:$D$5000,Entries!$C$2:$C$5000,"Actual",Entries!$A$2:$A$5000,$A172,Entries!$B$2:$B$5000,Q$1))</f>
        <v/>
      </c>
      <c r="R172" s="88">
        <f>IF(OR(R$1="",$BE172=0),"",SUMIFS(Entries!$D$2:$D$5000,Entries!$C$2:$C$5000,"Actual",Entries!$A$2:$A$5000,$A172,Entries!$B$2:$B$5000,R$1))</f>
        <v/>
      </c>
      <c r="S172" s="88">
        <f>IF(OR(S$1="",$BE172=0),"",SUMIFS(Entries!$D$2:$D$5000,Entries!$C$2:$C$5000,"Actual",Entries!$A$2:$A$5000,$A172,Entries!$B$2:$B$5000,S$1))</f>
        <v/>
      </c>
      <c r="T172" s="88">
        <f>IF(OR(T$1="",$BE172=0),"",SUMIFS(Entries!$D$2:$D$5000,Entries!$C$2:$C$5000,"Actual",Entries!$A$2:$A$5000,$A172,Entries!$B$2:$B$5000,T$1))</f>
        <v/>
      </c>
      <c r="U172" s="88">
        <f>IF(OR(U$1="",$BE172=0),"",SUMIFS(Entries!$D$2:$D$5000,Entries!$C$2:$C$5000,"Actual",Entries!$A$2:$A$5000,$A172,Entries!$B$2:$B$5000,U$1))</f>
        <v/>
      </c>
      <c r="V172" s="88">
        <f>IF(OR(V$1="",$BE172=0),"",SUMIFS(Entries!$D$2:$D$5000,Entries!$C$2:$C$5000,"Actual",Entries!$A$2:$A$5000,$A172,Entries!$B$2:$B$5000,V$1))</f>
        <v/>
      </c>
      <c r="W172" s="88">
        <f>IF(OR(W$1="",$BE172=0),"",SUMIFS(Entries!$D$2:$D$5000,Entries!$C$2:$C$5000,"Actual",Entries!$A$2:$A$5000,$A172,Entries!$B$2:$B$5000,W$1))</f>
        <v/>
      </c>
      <c r="X172" s="88">
        <f>IF(OR(X$1="",$BE172=0),"",SUMIFS(Entries!$D$2:$D$5000,Entries!$C$2:$C$5000,"Actual",Entries!$A$2:$A$5000,$A172,Entries!$B$2:$B$5000,X$1))</f>
        <v/>
      </c>
      <c r="Y172" s="88">
        <f>IF(OR(Y$1="",$BE172=0),"",SUMIFS(Entries!$D$2:$D$5000,Entries!$C$2:$C$5000,"Actual",Entries!$A$2:$A$5000,$A172,Entries!$B$2:$B$5000,Y$1))</f>
        <v/>
      </c>
      <c r="Z172" s="88">
        <f>IF(OR(Z$1="",$BE172=0),"",SUMIFS(Entries!$D$2:$D$5000,Entries!$C$2:$C$5000,"Actual",Entries!$A$2:$A$5000,$A172,Entries!$B$2:$B$5000,Z$1))</f>
        <v/>
      </c>
      <c r="AA172" s="88">
        <f>IF(OR(AA$1="",$BE172=0),"",SUMIFS(Entries!$D$2:$D$5000,Entries!$C$2:$C$5000,"Actual",Entries!$A$2:$A$5000,$A172,Entries!$B$2:$B$5000,AA$1))</f>
        <v/>
      </c>
      <c r="AB172" s="88">
        <f>IF(OR(AB$1="",$BE172=0),"",SUMIFS(Entries!$D$2:$D$5000,Entries!$C$2:$C$5000,"Actual",Entries!$A$2:$A$5000,$A172,Entries!$B$2:$B$5000,AB$1))</f>
        <v/>
      </c>
      <c r="AC172" s="88">
        <f>IF(OR(AC$1="",$BE172=0),"",SUMIFS(Entries!$D$2:$D$5000,Entries!$C$2:$C$5000,"Actual",Entries!$A$2:$A$5000,$A172,Entries!$B$2:$B$5000,AC$1))</f>
        <v/>
      </c>
      <c r="AD172" s="88">
        <f>IF(OR(AD$1="",$BE172=0),"",SUMIFS(Entries!$D$2:$D$5000,Entries!$C$2:$C$5000,"Actual",Entries!$A$2:$A$5000,$A172,Entries!$B$2:$B$5000,AD$1))</f>
        <v/>
      </c>
      <c r="AE172" s="88">
        <f>IF(OR(AE$1="",$BE172=0),"",SUMIFS(Entries!$D$2:$D$5000,Entries!$C$2:$C$5000,"Actual",Entries!$A$2:$A$5000,$A172,Entries!$B$2:$B$5000,AE$1))</f>
        <v/>
      </c>
      <c r="AF172" s="88">
        <f>IF(OR(AF$1="",$BE172=0),"",SUMIFS(Entries!$D$2:$D$5000,Entries!$C$2:$C$5000,"Actual",Entries!$A$2:$A$5000,$A172,Entries!$B$2:$B$5000,AF$1))</f>
        <v/>
      </c>
      <c r="AG172" s="88">
        <f>IF(OR(AG$1="",$BE172=0),"",SUMIFS(Entries!$D$2:$D$5000,Entries!$C$2:$C$5000,"Actual",Entries!$A$2:$A$5000,$A172,Entries!$B$2:$B$5000,AG$1))</f>
        <v/>
      </c>
      <c r="AH172" s="88">
        <f>IF(OR(AH$1="",$BE172=0),"",SUMIFS(Entries!$D$2:$D$5000,Entries!$C$2:$C$5000,"Actual",Entries!$A$2:$A$5000,$A172,Entries!$B$2:$B$5000,AH$1))</f>
        <v/>
      </c>
      <c r="AJ172" s="88">
        <f>IF(OR(AJ$1="",$BE172=0),"",IFERROR(LOOKUP(2,1/((Budgets!$A$2:$A$200=AJ$1)*(Budgets!$B$2:$B$200&lt;=$A172)),Budgets!$C$2:$C$200),0))</f>
        <v/>
      </c>
      <c r="AK172" s="88">
        <f>IF(OR(AK$1="",$BE172=0),"",IFERROR(LOOKUP(2,1/((Budgets!$A$2:$A$200=AK$1)*(Budgets!$B$2:$B$200&lt;=$A172)),Budgets!$C$2:$C$200),0))</f>
        <v/>
      </c>
      <c r="AL172" s="88">
        <f>IF(OR(AL$1="",$BE172=0),"",IFERROR(LOOKUP(2,1/((Budgets!$A$2:$A$200=AL$1)*(Budgets!$B$2:$B$200&lt;=$A172)),Budgets!$C$2:$C$200),0))</f>
        <v/>
      </c>
      <c r="AM172" s="88">
        <f>IF(OR(AM$1="",$BE172=0),"",IFERROR(LOOKUP(2,1/((Budgets!$A$2:$A$200=AM$1)*(Budgets!$B$2:$B$200&lt;=$A172)),Budgets!$C$2:$C$200),0))</f>
        <v/>
      </c>
      <c r="AN172" s="88">
        <f>IF(OR(AN$1="",$BE172=0),"",IFERROR(LOOKUP(2,1/((Budgets!$A$2:$A$200=AN$1)*(Budgets!$B$2:$B$200&lt;=$A172)),Budgets!$C$2:$C$200),0))</f>
        <v/>
      </c>
      <c r="AO172" s="88">
        <f>IF(OR(AO$1="",$BE172=0),"",IFERROR(LOOKUP(2,1/((Budgets!$A$2:$A$200=AO$1)*(Budgets!$B$2:$B$200&lt;=$A172)),Budgets!$C$2:$C$200),0))</f>
        <v/>
      </c>
      <c r="AP172" s="88">
        <f>IF(OR(AP$1="",$BE172=0),"",IFERROR(LOOKUP(2,1/((Budgets!$A$2:$A$200=AP$1)*(Budgets!$B$2:$B$200&lt;=$A172)),Budgets!$C$2:$C$200),0))</f>
        <v/>
      </c>
      <c r="AQ172" s="88">
        <f>IF(OR(AQ$1="",$BE172=0),"",IFERROR(LOOKUP(2,1/((Budgets!$A$2:$A$200=AQ$1)*(Budgets!$B$2:$B$200&lt;=$A172)),Budgets!$C$2:$C$200),0))</f>
        <v/>
      </c>
      <c r="AR172" s="88">
        <f>IF(OR(AR$1="",$BE172=0),"",IFERROR(LOOKUP(2,1/((Budgets!$A$2:$A$200=AR$1)*(Budgets!$B$2:$B$200&lt;=$A172)),Budgets!$C$2:$C$200),0))</f>
        <v/>
      </c>
      <c r="AS172" s="88">
        <f>IF(OR(AS$1="",$BE172=0),"",IFERROR(LOOKUP(2,1/((Budgets!$A$2:$A$200=AS$1)*(Budgets!$B$2:$B$200&lt;=$A172)),Budgets!$C$2:$C$200),0))</f>
        <v/>
      </c>
      <c r="AT172" s="88">
        <f>IF(OR(AT$1="",$BE172=0),"",IFERROR(LOOKUP(2,1/((Budgets!$A$2:$A$200=AT$1)*(Budgets!$B$2:$B$200&lt;=$A172)),Budgets!$C$2:$C$200),0))</f>
        <v/>
      </c>
      <c r="AU172" s="88">
        <f>IF(OR(AU$1="",$BE172=0),"",IFERROR(LOOKUP(2,1/((Budgets!$A$2:$A$200=AU$1)*(Budgets!$B$2:$B$200&lt;=$A172)),Budgets!$C$2:$C$200),0))</f>
        <v/>
      </c>
      <c r="AV172" s="88">
        <f>IF(OR(AV$1="",$BE172=0),"",IFERROR(LOOKUP(2,1/((Budgets!$A$2:$A$200=AV$1)*(Budgets!$B$2:$B$200&lt;=$A172)),Budgets!$C$2:$C$200),0))</f>
        <v/>
      </c>
      <c r="AW172" s="88">
        <f>IF(OR(AW$1="",$BE172=0),"",IFERROR(LOOKUP(2,1/((Budgets!$A$2:$A$200=AW$1)*(Budgets!$B$2:$B$200&lt;=$A172)),Budgets!$C$2:$C$200),0))</f>
        <v/>
      </c>
      <c r="AX172" s="88">
        <f>IF(OR(AX$1="",$BE172=0),"",IFERROR(LOOKUP(2,1/((Budgets!$A$2:$A$200=AX$1)*(Budgets!$B$2:$B$200&lt;=$A172)),Budgets!$C$2:$C$200),0))</f>
        <v/>
      </c>
      <c r="AY172" s="88">
        <f>IF(OR(AY$1="",$BE172=0),"",IFERROR(LOOKUP(2,1/((Budgets!$A$2:$A$200=AY$1)*(Budgets!$B$2:$B$200&lt;=$A172)),Budgets!$C$2:$C$200),0))</f>
        <v/>
      </c>
      <c r="AZ172" s="88">
        <f>IF(OR(AZ$1="",$BE172=0),"",IFERROR(LOOKUP(2,1/((Budgets!$A$2:$A$200=AZ$1)*(Budgets!$B$2:$B$200&lt;=$A172)),Budgets!$C$2:$C$200),0))</f>
        <v/>
      </c>
      <c r="BA172" s="88">
        <f>IF(OR(BA$1="",$BE172=0),"",IFERROR(LOOKUP(2,1/((Budgets!$A$2:$A$200=BA$1)*(Budgets!$B$2:$B$200&lt;=$A172)),Budgets!$C$2:$C$200),0))</f>
        <v/>
      </c>
      <c r="BB172" s="88">
        <f>IF(OR(BB$1="",$BE172=0),"",IFERROR(LOOKUP(2,1/((Budgets!$A$2:$A$200=BB$1)*(Budgets!$B$2:$B$200&lt;=$A172)),Budgets!$C$2:$C$200),0))</f>
        <v/>
      </c>
      <c r="BC172" s="88">
        <f>IF(OR(BC$1="",$BE172=0),"",IFERROR(LOOKUP(2,1/((Budgets!$A$2:$A$200=BC$1)*(Budgets!$B$2:$B$200&lt;=$A172)),Budgets!$C$2:$C$200),0))</f>
        <v/>
      </c>
      <c r="BE172" s="67">
        <f>COUNTIFS(Entries!$A$2:$A$5000,$A172)</f>
        <v/>
      </c>
    </row>
    <row r="173" ht="15" customHeight="1" s="43">
      <c r="A173" s="87" t="n">
        <v>44652</v>
      </c>
      <c r="B173" s="88">
        <f>IF($BE173=0,NA(),SUMIFS(Entries!$D$2:$D$5000,Entries!$C$2:$C$5000,"Income",Entries!$A$2:$A$5000,$A173))</f>
        <v/>
      </c>
      <c r="C173" s="88">
        <f>IF($BE173=0,"",SUMIFS(Entries!$D$2:$D$5000,Entries!$C$2:$C$5000,"Actual",Entries!$A$2:$A$5000,$A173))</f>
        <v/>
      </c>
      <c r="D173" s="88">
        <f>IF($BE173=0,"",SUMIFS(Entries!$D$2:$D$5000,Entries!$C$2:$C$5000,"One-off",Entries!$A$2:$A$5000,$A173))</f>
        <v/>
      </c>
      <c r="E173" s="88">
        <f>IF($BE173=0,NA(),C173+D173)</f>
        <v/>
      </c>
      <c r="F173" s="88">
        <f>IF($BE173=0,"",SUM(AJ173:BC173))</f>
        <v/>
      </c>
      <c r="G173" s="88">
        <f>IF($BE173=0,"",B173-E173)</f>
        <v/>
      </c>
      <c r="H173" s="88">
        <f>IF($BE173=0,"",SUM($G$2:G173))</f>
        <v/>
      </c>
      <c r="I173" s="88">
        <f>IF($BE173=0,"",SUMIFS(Entries!$F$2:$F$5000,Entries!$A$2:$A$5000,$A173))</f>
        <v/>
      </c>
      <c r="J173" s="88">
        <f>IF($BE173=0,NA(),H173+SUM($I$2:I173))</f>
        <v/>
      </c>
      <c r="K173" s="88">
        <f>IF($BE173=0,"",SUMIFS(Entries!$D$2:$D$5000,Entries!$C$2:$C$5000,"Income",Entries!$A$2:$A$5000,"&gt;="&amp;EDATE($A173,-11),Entries!$A$2:$A$5000,"&lt;="&amp;$A173)/12)</f>
        <v/>
      </c>
      <c r="L173" s="88">
        <f>IF($BE173=0,"",(SUMIFS(Entries!$D$2:$D$5000,Entries!$C$2:$C$5000,"Actual",Entries!$A$2:$A$5000,"&gt;="&amp;EDATE($A173,-11),Entries!$A$2:$A$5000,"&lt;="&amp;$A173)+SUMIFS(Entries!$D$2:$D$5000,Entries!$C$2:$C$5000,"One-off",Entries!$A$2:$A$5000,"&gt;="&amp;EDATE($A173,-11),Entries!$A$2:$A$5000,"&lt;="&amp;$A173))/12)</f>
        <v/>
      </c>
      <c r="M173" s="70">
        <f>IF($BE173=0,NA(),IFERROR((K173-L173)/K173,0))</f>
        <v/>
      </c>
      <c r="O173" s="88">
        <f>IF(OR(O$1="",$BE173=0),"",SUMIFS(Entries!$D$2:$D$5000,Entries!$C$2:$C$5000,"Actual",Entries!$A$2:$A$5000,$A173,Entries!$B$2:$B$5000,O$1))</f>
        <v/>
      </c>
      <c r="P173" s="88">
        <f>IF(OR(P$1="",$BE173=0),"",SUMIFS(Entries!$D$2:$D$5000,Entries!$C$2:$C$5000,"Actual",Entries!$A$2:$A$5000,$A173,Entries!$B$2:$B$5000,P$1))</f>
        <v/>
      </c>
      <c r="Q173" s="88">
        <f>IF(OR(Q$1="",$BE173=0),"",SUMIFS(Entries!$D$2:$D$5000,Entries!$C$2:$C$5000,"Actual",Entries!$A$2:$A$5000,$A173,Entries!$B$2:$B$5000,Q$1))</f>
        <v/>
      </c>
      <c r="R173" s="88">
        <f>IF(OR(R$1="",$BE173=0),"",SUMIFS(Entries!$D$2:$D$5000,Entries!$C$2:$C$5000,"Actual",Entries!$A$2:$A$5000,$A173,Entries!$B$2:$B$5000,R$1))</f>
        <v/>
      </c>
      <c r="S173" s="88">
        <f>IF(OR(S$1="",$BE173=0),"",SUMIFS(Entries!$D$2:$D$5000,Entries!$C$2:$C$5000,"Actual",Entries!$A$2:$A$5000,$A173,Entries!$B$2:$B$5000,S$1))</f>
        <v/>
      </c>
      <c r="T173" s="88">
        <f>IF(OR(T$1="",$BE173=0),"",SUMIFS(Entries!$D$2:$D$5000,Entries!$C$2:$C$5000,"Actual",Entries!$A$2:$A$5000,$A173,Entries!$B$2:$B$5000,T$1))</f>
        <v/>
      </c>
      <c r="U173" s="88">
        <f>IF(OR(U$1="",$BE173=0),"",SUMIFS(Entries!$D$2:$D$5000,Entries!$C$2:$C$5000,"Actual",Entries!$A$2:$A$5000,$A173,Entries!$B$2:$B$5000,U$1))</f>
        <v/>
      </c>
      <c r="V173" s="88">
        <f>IF(OR(V$1="",$BE173=0),"",SUMIFS(Entries!$D$2:$D$5000,Entries!$C$2:$C$5000,"Actual",Entries!$A$2:$A$5000,$A173,Entries!$B$2:$B$5000,V$1))</f>
        <v/>
      </c>
      <c r="W173" s="88">
        <f>IF(OR(W$1="",$BE173=0),"",SUMIFS(Entries!$D$2:$D$5000,Entries!$C$2:$C$5000,"Actual",Entries!$A$2:$A$5000,$A173,Entries!$B$2:$B$5000,W$1))</f>
        <v/>
      </c>
      <c r="X173" s="88">
        <f>IF(OR(X$1="",$BE173=0),"",SUMIFS(Entries!$D$2:$D$5000,Entries!$C$2:$C$5000,"Actual",Entries!$A$2:$A$5000,$A173,Entries!$B$2:$B$5000,X$1))</f>
        <v/>
      </c>
      <c r="Y173" s="88">
        <f>IF(OR(Y$1="",$BE173=0),"",SUMIFS(Entries!$D$2:$D$5000,Entries!$C$2:$C$5000,"Actual",Entries!$A$2:$A$5000,$A173,Entries!$B$2:$B$5000,Y$1))</f>
        <v/>
      </c>
      <c r="Z173" s="88">
        <f>IF(OR(Z$1="",$BE173=0),"",SUMIFS(Entries!$D$2:$D$5000,Entries!$C$2:$C$5000,"Actual",Entries!$A$2:$A$5000,$A173,Entries!$B$2:$B$5000,Z$1))</f>
        <v/>
      </c>
      <c r="AA173" s="88">
        <f>IF(OR(AA$1="",$BE173=0),"",SUMIFS(Entries!$D$2:$D$5000,Entries!$C$2:$C$5000,"Actual",Entries!$A$2:$A$5000,$A173,Entries!$B$2:$B$5000,AA$1))</f>
        <v/>
      </c>
      <c r="AB173" s="88">
        <f>IF(OR(AB$1="",$BE173=0),"",SUMIFS(Entries!$D$2:$D$5000,Entries!$C$2:$C$5000,"Actual",Entries!$A$2:$A$5000,$A173,Entries!$B$2:$B$5000,AB$1))</f>
        <v/>
      </c>
      <c r="AC173" s="88">
        <f>IF(OR(AC$1="",$BE173=0),"",SUMIFS(Entries!$D$2:$D$5000,Entries!$C$2:$C$5000,"Actual",Entries!$A$2:$A$5000,$A173,Entries!$B$2:$B$5000,AC$1))</f>
        <v/>
      </c>
      <c r="AD173" s="88">
        <f>IF(OR(AD$1="",$BE173=0),"",SUMIFS(Entries!$D$2:$D$5000,Entries!$C$2:$C$5000,"Actual",Entries!$A$2:$A$5000,$A173,Entries!$B$2:$B$5000,AD$1))</f>
        <v/>
      </c>
      <c r="AE173" s="88">
        <f>IF(OR(AE$1="",$BE173=0),"",SUMIFS(Entries!$D$2:$D$5000,Entries!$C$2:$C$5000,"Actual",Entries!$A$2:$A$5000,$A173,Entries!$B$2:$B$5000,AE$1))</f>
        <v/>
      </c>
      <c r="AF173" s="88">
        <f>IF(OR(AF$1="",$BE173=0),"",SUMIFS(Entries!$D$2:$D$5000,Entries!$C$2:$C$5000,"Actual",Entries!$A$2:$A$5000,$A173,Entries!$B$2:$B$5000,AF$1))</f>
        <v/>
      </c>
      <c r="AG173" s="88">
        <f>IF(OR(AG$1="",$BE173=0),"",SUMIFS(Entries!$D$2:$D$5000,Entries!$C$2:$C$5000,"Actual",Entries!$A$2:$A$5000,$A173,Entries!$B$2:$B$5000,AG$1))</f>
        <v/>
      </c>
      <c r="AH173" s="88">
        <f>IF(OR(AH$1="",$BE173=0),"",SUMIFS(Entries!$D$2:$D$5000,Entries!$C$2:$C$5000,"Actual",Entries!$A$2:$A$5000,$A173,Entries!$B$2:$B$5000,AH$1))</f>
        <v/>
      </c>
      <c r="AJ173" s="88">
        <f>IF(OR(AJ$1="",$BE173=0),"",IFERROR(LOOKUP(2,1/((Budgets!$A$2:$A$200=AJ$1)*(Budgets!$B$2:$B$200&lt;=$A173)),Budgets!$C$2:$C$200),0))</f>
        <v/>
      </c>
      <c r="AK173" s="88">
        <f>IF(OR(AK$1="",$BE173=0),"",IFERROR(LOOKUP(2,1/((Budgets!$A$2:$A$200=AK$1)*(Budgets!$B$2:$B$200&lt;=$A173)),Budgets!$C$2:$C$200),0))</f>
        <v/>
      </c>
      <c r="AL173" s="88">
        <f>IF(OR(AL$1="",$BE173=0),"",IFERROR(LOOKUP(2,1/((Budgets!$A$2:$A$200=AL$1)*(Budgets!$B$2:$B$200&lt;=$A173)),Budgets!$C$2:$C$200),0))</f>
        <v/>
      </c>
      <c r="AM173" s="88">
        <f>IF(OR(AM$1="",$BE173=0),"",IFERROR(LOOKUP(2,1/((Budgets!$A$2:$A$200=AM$1)*(Budgets!$B$2:$B$200&lt;=$A173)),Budgets!$C$2:$C$200),0))</f>
        <v/>
      </c>
      <c r="AN173" s="88">
        <f>IF(OR(AN$1="",$BE173=0),"",IFERROR(LOOKUP(2,1/((Budgets!$A$2:$A$200=AN$1)*(Budgets!$B$2:$B$200&lt;=$A173)),Budgets!$C$2:$C$200),0))</f>
        <v/>
      </c>
      <c r="AO173" s="88">
        <f>IF(OR(AO$1="",$BE173=0),"",IFERROR(LOOKUP(2,1/((Budgets!$A$2:$A$200=AO$1)*(Budgets!$B$2:$B$200&lt;=$A173)),Budgets!$C$2:$C$200),0))</f>
        <v/>
      </c>
      <c r="AP173" s="88">
        <f>IF(OR(AP$1="",$BE173=0),"",IFERROR(LOOKUP(2,1/((Budgets!$A$2:$A$200=AP$1)*(Budgets!$B$2:$B$200&lt;=$A173)),Budgets!$C$2:$C$200),0))</f>
        <v/>
      </c>
      <c r="AQ173" s="88">
        <f>IF(OR(AQ$1="",$BE173=0),"",IFERROR(LOOKUP(2,1/((Budgets!$A$2:$A$200=AQ$1)*(Budgets!$B$2:$B$200&lt;=$A173)),Budgets!$C$2:$C$200),0))</f>
        <v/>
      </c>
      <c r="AR173" s="88">
        <f>IF(OR(AR$1="",$BE173=0),"",IFERROR(LOOKUP(2,1/((Budgets!$A$2:$A$200=AR$1)*(Budgets!$B$2:$B$200&lt;=$A173)),Budgets!$C$2:$C$200),0))</f>
        <v/>
      </c>
      <c r="AS173" s="88">
        <f>IF(OR(AS$1="",$BE173=0),"",IFERROR(LOOKUP(2,1/((Budgets!$A$2:$A$200=AS$1)*(Budgets!$B$2:$B$200&lt;=$A173)),Budgets!$C$2:$C$200),0))</f>
        <v/>
      </c>
      <c r="AT173" s="88">
        <f>IF(OR(AT$1="",$BE173=0),"",IFERROR(LOOKUP(2,1/((Budgets!$A$2:$A$200=AT$1)*(Budgets!$B$2:$B$200&lt;=$A173)),Budgets!$C$2:$C$200),0))</f>
        <v/>
      </c>
      <c r="AU173" s="88">
        <f>IF(OR(AU$1="",$BE173=0),"",IFERROR(LOOKUP(2,1/((Budgets!$A$2:$A$200=AU$1)*(Budgets!$B$2:$B$200&lt;=$A173)),Budgets!$C$2:$C$200),0))</f>
        <v/>
      </c>
      <c r="AV173" s="88">
        <f>IF(OR(AV$1="",$BE173=0),"",IFERROR(LOOKUP(2,1/((Budgets!$A$2:$A$200=AV$1)*(Budgets!$B$2:$B$200&lt;=$A173)),Budgets!$C$2:$C$200),0))</f>
        <v/>
      </c>
      <c r="AW173" s="88">
        <f>IF(OR(AW$1="",$BE173=0),"",IFERROR(LOOKUP(2,1/((Budgets!$A$2:$A$200=AW$1)*(Budgets!$B$2:$B$200&lt;=$A173)),Budgets!$C$2:$C$200),0))</f>
        <v/>
      </c>
      <c r="AX173" s="88">
        <f>IF(OR(AX$1="",$BE173=0),"",IFERROR(LOOKUP(2,1/((Budgets!$A$2:$A$200=AX$1)*(Budgets!$B$2:$B$200&lt;=$A173)),Budgets!$C$2:$C$200),0))</f>
        <v/>
      </c>
      <c r="AY173" s="88">
        <f>IF(OR(AY$1="",$BE173=0),"",IFERROR(LOOKUP(2,1/((Budgets!$A$2:$A$200=AY$1)*(Budgets!$B$2:$B$200&lt;=$A173)),Budgets!$C$2:$C$200),0))</f>
        <v/>
      </c>
      <c r="AZ173" s="88">
        <f>IF(OR(AZ$1="",$BE173=0),"",IFERROR(LOOKUP(2,1/((Budgets!$A$2:$A$200=AZ$1)*(Budgets!$B$2:$B$200&lt;=$A173)),Budgets!$C$2:$C$200),0))</f>
        <v/>
      </c>
      <c r="BA173" s="88">
        <f>IF(OR(BA$1="",$BE173=0),"",IFERROR(LOOKUP(2,1/((Budgets!$A$2:$A$200=BA$1)*(Budgets!$B$2:$B$200&lt;=$A173)),Budgets!$C$2:$C$200),0))</f>
        <v/>
      </c>
      <c r="BB173" s="88">
        <f>IF(OR(BB$1="",$BE173=0),"",IFERROR(LOOKUP(2,1/((Budgets!$A$2:$A$200=BB$1)*(Budgets!$B$2:$B$200&lt;=$A173)),Budgets!$C$2:$C$200),0))</f>
        <v/>
      </c>
      <c r="BC173" s="88">
        <f>IF(OR(BC$1="",$BE173=0),"",IFERROR(LOOKUP(2,1/((Budgets!$A$2:$A$200=BC$1)*(Budgets!$B$2:$B$200&lt;=$A173)),Budgets!$C$2:$C$200),0))</f>
        <v/>
      </c>
      <c r="BE173" s="67">
        <f>COUNTIFS(Entries!$A$2:$A$5000,$A173)</f>
        <v/>
      </c>
    </row>
    <row r="174" ht="15" customHeight="1" s="43">
      <c r="A174" s="87" t="n">
        <v>44682</v>
      </c>
      <c r="B174" s="88">
        <f>IF($BE174=0,NA(),SUMIFS(Entries!$D$2:$D$5000,Entries!$C$2:$C$5000,"Income",Entries!$A$2:$A$5000,$A174))</f>
        <v/>
      </c>
      <c r="C174" s="88">
        <f>IF($BE174=0,"",SUMIFS(Entries!$D$2:$D$5000,Entries!$C$2:$C$5000,"Actual",Entries!$A$2:$A$5000,$A174))</f>
        <v/>
      </c>
      <c r="D174" s="88">
        <f>IF($BE174=0,"",SUMIFS(Entries!$D$2:$D$5000,Entries!$C$2:$C$5000,"One-off",Entries!$A$2:$A$5000,$A174))</f>
        <v/>
      </c>
      <c r="E174" s="88">
        <f>IF($BE174=0,NA(),C174+D174)</f>
        <v/>
      </c>
      <c r="F174" s="88">
        <f>IF($BE174=0,"",SUM(AJ174:BC174))</f>
        <v/>
      </c>
      <c r="G174" s="88">
        <f>IF($BE174=0,"",B174-E174)</f>
        <v/>
      </c>
      <c r="H174" s="88">
        <f>IF($BE174=0,"",SUM($G$2:G174))</f>
        <v/>
      </c>
      <c r="I174" s="88">
        <f>IF($BE174=0,"",SUMIFS(Entries!$F$2:$F$5000,Entries!$A$2:$A$5000,$A174))</f>
        <v/>
      </c>
      <c r="J174" s="88">
        <f>IF($BE174=0,NA(),H174+SUM($I$2:I174))</f>
        <v/>
      </c>
      <c r="K174" s="88">
        <f>IF($BE174=0,"",SUMIFS(Entries!$D$2:$D$5000,Entries!$C$2:$C$5000,"Income",Entries!$A$2:$A$5000,"&gt;="&amp;EDATE($A174,-11),Entries!$A$2:$A$5000,"&lt;="&amp;$A174)/12)</f>
        <v/>
      </c>
      <c r="L174" s="88">
        <f>IF($BE174=0,"",(SUMIFS(Entries!$D$2:$D$5000,Entries!$C$2:$C$5000,"Actual",Entries!$A$2:$A$5000,"&gt;="&amp;EDATE($A174,-11),Entries!$A$2:$A$5000,"&lt;="&amp;$A174)+SUMIFS(Entries!$D$2:$D$5000,Entries!$C$2:$C$5000,"One-off",Entries!$A$2:$A$5000,"&gt;="&amp;EDATE($A174,-11),Entries!$A$2:$A$5000,"&lt;="&amp;$A174))/12)</f>
        <v/>
      </c>
      <c r="M174" s="70">
        <f>IF($BE174=0,NA(),IFERROR((K174-L174)/K174,0))</f>
        <v/>
      </c>
      <c r="O174" s="88">
        <f>IF(OR(O$1="",$BE174=0),"",SUMIFS(Entries!$D$2:$D$5000,Entries!$C$2:$C$5000,"Actual",Entries!$A$2:$A$5000,$A174,Entries!$B$2:$B$5000,O$1))</f>
        <v/>
      </c>
      <c r="P174" s="88">
        <f>IF(OR(P$1="",$BE174=0),"",SUMIFS(Entries!$D$2:$D$5000,Entries!$C$2:$C$5000,"Actual",Entries!$A$2:$A$5000,$A174,Entries!$B$2:$B$5000,P$1))</f>
        <v/>
      </c>
      <c r="Q174" s="88">
        <f>IF(OR(Q$1="",$BE174=0),"",SUMIFS(Entries!$D$2:$D$5000,Entries!$C$2:$C$5000,"Actual",Entries!$A$2:$A$5000,$A174,Entries!$B$2:$B$5000,Q$1))</f>
        <v/>
      </c>
      <c r="R174" s="88">
        <f>IF(OR(R$1="",$BE174=0),"",SUMIFS(Entries!$D$2:$D$5000,Entries!$C$2:$C$5000,"Actual",Entries!$A$2:$A$5000,$A174,Entries!$B$2:$B$5000,R$1))</f>
        <v/>
      </c>
      <c r="S174" s="88">
        <f>IF(OR(S$1="",$BE174=0),"",SUMIFS(Entries!$D$2:$D$5000,Entries!$C$2:$C$5000,"Actual",Entries!$A$2:$A$5000,$A174,Entries!$B$2:$B$5000,S$1))</f>
        <v/>
      </c>
      <c r="T174" s="88">
        <f>IF(OR(T$1="",$BE174=0),"",SUMIFS(Entries!$D$2:$D$5000,Entries!$C$2:$C$5000,"Actual",Entries!$A$2:$A$5000,$A174,Entries!$B$2:$B$5000,T$1))</f>
        <v/>
      </c>
      <c r="U174" s="88">
        <f>IF(OR(U$1="",$BE174=0),"",SUMIFS(Entries!$D$2:$D$5000,Entries!$C$2:$C$5000,"Actual",Entries!$A$2:$A$5000,$A174,Entries!$B$2:$B$5000,U$1))</f>
        <v/>
      </c>
      <c r="V174" s="88">
        <f>IF(OR(V$1="",$BE174=0),"",SUMIFS(Entries!$D$2:$D$5000,Entries!$C$2:$C$5000,"Actual",Entries!$A$2:$A$5000,$A174,Entries!$B$2:$B$5000,V$1))</f>
        <v/>
      </c>
      <c r="W174" s="88">
        <f>IF(OR(W$1="",$BE174=0),"",SUMIFS(Entries!$D$2:$D$5000,Entries!$C$2:$C$5000,"Actual",Entries!$A$2:$A$5000,$A174,Entries!$B$2:$B$5000,W$1))</f>
        <v/>
      </c>
      <c r="X174" s="88">
        <f>IF(OR(X$1="",$BE174=0),"",SUMIFS(Entries!$D$2:$D$5000,Entries!$C$2:$C$5000,"Actual",Entries!$A$2:$A$5000,$A174,Entries!$B$2:$B$5000,X$1))</f>
        <v/>
      </c>
      <c r="Y174" s="88">
        <f>IF(OR(Y$1="",$BE174=0),"",SUMIFS(Entries!$D$2:$D$5000,Entries!$C$2:$C$5000,"Actual",Entries!$A$2:$A$5000,$A174,Entries!$B$2:$B$5000,Y$1))</f>
        <v/>
      </c>
      <c r="Z174" s="88">
        <f>IF(OR(Z$1="",$BE174=0),"",SUMIFS(Entries!$D$2:$D$5000,Entries!$C$2:$C$5000,"Actual",Entries!$A$2:$A$5000,$A174,Entries!$B$2:$B$5000,Z$1))</f>
        <v/>
      </c>
      <c r="AA174" s="88">
        <f>IF(OR(AA$1="",$BE174=0),"",SUMIFS(Entries!$D$2:$D$5000,Entries!$C$2:$C$5000,"Actual",Entries!$A$2:$A$5000,$A174,Entries!$B$2:$B$5000,AA$1))</f>
        <v/>
      </c>
      <c r="AB174" s="88">
        <f>IF(OR(AB$1="",$BE174=0),"",SUMIFS(Entries!$D$2:$D$5000,Entries!$C$2:$C$5000,"Actual",Entries!$A$2:$A$5000,$A174,Entries!$B$2:$B$5000,AB$1))</f>
        <v/>
      </c>
      <c r="AC174" s="88">
        <f>IF(OR(AC$1="",$BE174=0),"",SUMIFS(Entries!$D$2:$D$5000,Entries!$C$2:$C$5000,"Actual",Entries!$A$2:$A$5000,$A174,Entries!$B$2:$B$5000,AC$1))</f>
        <v/>
      </c>
      <c r="AD174" s="88">
        <f>IF(OR(AD$1="",$BE174=0),"",SUMIFS(Entries!$D$2:$D$5000,Entries!$C$2:$C$5000,"Actual",Entries!$A$2:$A$5000,$A174,Entries!$B$2:$B$5000,AD$1))</f>
        <v/>
      </c>
      <c r="AE174" s="88">
        <f>IF(OR(AE$1="",$BE174=0),"",SUMIFS(Entries!$D$2:$D$5000,Entries!$C$2:$C$5000,"Actual",Entries!$A$2:$A$5000,$A174,Entries!$B$2:$B$5000,AE$1))</f>
        <v/>
      </c>
      <c r="AF174" s="88">
        <f>IF(OR(AF$1="",$BE174=0),"",SUMIFS(Entries!$D$2:$D$5000,Entries!$C$2:$C$5000,"Actual",Entries!$A$2:$A$5000,$A174,Entries!$B$2:$B$5000,AF$1))</f>
        <v/>
      </c>
      <c r="AG174" s="88">
        <f>IF(OR(AG$1="",$BE174=0),"",SUMIFS(Entries!$D$2:$D$5000,Entries!$C$2:$C$5000,"Actual",Entries!$A$2:$A$5000,$A174,Entries!$B$2:$B$5000,AG$1))</f>
        <v/>
      </c>
      <c r="AH174" s="88">
        <f>IF(OR(AH$1="",$BE174=0),"",SUMIFS(Entries!$D$2:$D$5000,Entries!$C$2:$C$5000,"Actual",Entries!$A$2:$A$5000,$A174,Entries!$B$2:$B$5000,AH$1))</f>
        <v/>
      </c>
      <c r="AJ174" s="88">
        <f>IF(OR(AJ$1="",$BE174=0),"",IFERROR(LOOKUP(2,1/((Budgets!$A$2:$A$200=AJ$1)*(Budgets!$B$2:$B$200&lt;=$A174)),Budgets!$C$2:$C$200),0))</f>
        <v/>
      </c>
      <c r="AK174" s="88">
        <f>IF(OR(AK$1="",$BE174=0),"",IFERROR(LOOKUP(2,1/((Budgets!$A$2:$A$200=AK$1)*(Budgets!$B$2:$B$200&lt;=$A174)),Budgets!$C$2:$C$200),0))</f>
        <v/>
      </c>
      <c r="AL174" s="88">
        <f>IF(OR(AL$1="",$BE174=0),"",IFERROR(LOOKUP(2,1/((Budgets!$A$2:$A$200=AL$1)*(Budgets!$B$2:$B$200&lt;=$A174)),Budgets!$C$2:$C$200),0))</f>
        <v/>
      </c>
      <c r="AM174" s="88">
        <f>IF(OR(AM$1="",$BE174=0),"",IFERROR(LOOKUP(2,1/((Budgets!$A$2:$A$200=AM$1)*(Budgets!$B$2:$B$200&lt;=$A174)),Budgets!$C$2:$C$200),0))</f>
        <v/>
      </c>
      <c r="AN174" s="88">
        <f>IF(OR(AN$1="",$BE174=0),"",IFERROR(LOOKUP(2,1/((Budgets!$A$2:$A$200=AN$1)*(Budgets!$B$2:$B$200&lt;=$A174)),Budgets!$C$2:$C$200),0))</f>
        <v/>
      </c>
      <c r="AO174" s="88">
        <f>IF(OR(AO$1="",$BE174=0),"",IFERROR(LOOKUP(2,1/((Budgets!$A$2:$A$200=AO$1)*(Budgets!$B$2:$B$200&lt;=$A174)),Budgets!$C$2:$C$200),0))</f>
        <v/>
      </c>
      <c r="AP174" s="88">
        <f>IF(OR(AP$1="",$BE174=0),"",IFERROR(LOOKUP(2,1/((Budgets!$A$2:$A$200=AP$1)*(Budgets!$B$2:$B$200&lt;=$A174)),Budgets!$C$2:$C$200),0))</f>
        <v/>
      </c>
      <c r="AQ174" s="88">
        <f>IF(OR(AQ$1="",$BE174=0),"",IFERROR(LOOKUP(2,1/((Budgets!$A$2:$A$200=AQ$1)*(Budgets!$B$2:$B$200&lt;=$A174)),Budgets!$C$2:$C$200),0))</f>
        <v/>
      </c>
      <c r="AR174" s="88">
        <f>IF(OR(AR$1="",$BE174=0),"",IFERROR(LOOKUP(2,1/((Budgets!$A$2:$A$200=AR$1)*(Budgets!$B$2:$B$200&lt;=$A174)),Budgets!$C$2:$C$200),0))</f>
        <v/>
      </c>
      <c r="AS174" s="88">
        <f>IF(OR(AS$1="",$BE174=0),"",IFERROR(LOOKUP(2,1/((Budgets!$A$2:$A$200=AS$1)*(Budgets!$B$2:$B$200&lt;=$A174)),Budgets!$C$2:$C$200),0))</f>
        <v/>
      </c>
      <c r="AT174" s="88">
        <f>IF(OR(AT$1="",$BE174=0),"",IFERROR(LOOKUP(2,1/((Budgets!$A$2:$A$200=AT$1)*(Budgets!$B$2:$B$200&lt;=$A174)),Budgets!$C$2:$C$200),0))</f>
        <v/>
      </c>
      <c r="AU174" s="88">
        <f>IF(OR(AU$1="",$BE174=0),"",IFERROR(LOOKUP(2,1/((Budgets!$A$2:$A$200=AU$1)*(Budgets!$B$2:$B$200&lt;=$A174)),Budgets!$C$2:$C$200),0))</f>
        <v/>
      </c>
      <c r="AV174" s="88">
        <f>IF(OR(AV$1="",$BE174=0),"",IFERROR(LOOKUP(2,1/((Budgets!$A$2:$A$200=AV$1)*(Budgets!$B$2:$B$200&lt;=$A174)),Budgets!$C$2:$C$200),0))</f>
        <v/>
      </c>
      <c r="AW174" s="88">
        <f>IF(OR(AW$1="",$BE174=0),"",IFERROR(LOOKUP(2,1/((Budgets!$A$2:$A$200=AW$1)*(Budgets!$B$2:$B$200&lt;=$A174)),Budgets!$C$2:$C$200),0))</f>
        <v/>
      </c>
      <c r="AX174" s="88">
        <f>IF(OR(AX$1="",$BE174=0),"",IFERROR(LOOKUP(2,1/((Budgets!$A$2:$A$200=AX$1)*(Budgets!$B$2:$B$200&lt;=$A174)),Budgets!$C$2:$C$200),0))</f>
        <v/>
      </c>
      <c r="AY174" s="88">
        <f>IF(OR(AY$1="",$BE174=0),"",IFERROR(LOOKUP(2,1/((Budgets!$A$2:$A$200=AY$1)*(Budgets!$B$2:$B$200&lt;=$A174)),Budgets!$C$2:$C$200),0))</f>
        <v/>
      </c>
      <c r="AZ174" s="88">
        <f>IF(OR(AZ$1="",$BE174=0),"",IFERROR(LOOKUP(2,1/((Budgets!$A$2:$A$200=AZ$1)*(Budgets!$B$2:$B$200&lt;=$A174)),Budgets!$C$2:$C$200),0))</f>
        <v/>
      </c>
      <c r="BA174" s="88">
        <f>IF(OR(BA$1="",$BE174=0),"",IFERROR(LOOKUP(2,1/((Budgets!$A$2:$A$200=BA$1)*(Budgets!$B$2:$B$200&lt;=$A174)),Budgets!$C$2:$C$200),0))</f>
        <v/>
      </c>
      <c r="BB174" s="88">
        <f>IF(OR(BB$1="",$BE174=0),"",IFERROR(LOOKUP(2,1/((Budgets!$A$2:$A$200=BB$1)*(Budgets!$B$2:$B$200&lt;=$A174)),Budgets!$C$2:$C$200),0))</f>
        <v/>
      </c>
      <c r="BC174" s="88">
        <f>IF(OR(BC$1="",$BE174=0),"",IFERROR(LOOKUP(2,1/((Budgets!$A$2:$A$200=BC$1)*(Budgets!$B$2:$B$200&lt;=$A174)),Budgets!$C$2:$C$200),0))</f>
        <v/>
      </c>
      <c r="BE174" s="67">
        <f>COUNTIFS(Entries!$A$2:$A$5000,$A174)</f>
        <v/>
      </c>
    </row>
    <row r="175" ht="15" customHeight="1" s="43">
      <c r="A175" s="87" t="n">
        <v>44713</v>
      </c>
      <c r="B175" s="88">
        <f>IF($BE175=0,NA(),SUMIFS(Entries!$D$2:$D$5000,Entries!$C$2:$C$5000,"Income",Entries!$A$2:$A$5000,$A175))</f>
        <v/>
      </c>
      <c r="C175" s="88">
        <f>IF($BE175=0,"",SUMIFS(Entries!$D$2:$D$5000,Entries!$C$2:$C$5000,"Actual",Entries!$A$2:$A$5000,$A175))</f>
        <v/>
      </c>
      <c r="D175" s="88">
        <f>IF($BE175=0,"",SUMIFS(Entries!$D$2:$D$5000,Entries!$C$2:$C$5000,"One-off",Entries!$A$2:$A$5000,$A175))</f>
        <v/>
      </c>
      <c r="E175" s="88">
        <f>IF($BE175=0,NA(),C175+D175)</f>
        <v/>
      </c>
      <c r="F175" s="88">
        <f>IF($BE175=0,"",SUM(AJ175:BC175))</f>
        <v/>
      </c>
      <c r="G175" s="88">
        <f>IF($BE175=0,"",B175-E175)</f>
        <v/>
      </c>
      <c r="H175" s="88">
        <f>IF($BE175=0,"",SUM($G$2:G175))</f>
        <v/>
      </c>
      <c r="I175" s="88">
        <f>IF($BE175=0,"",SUMIFS(Entries!$F$2:$F$5000,Entries!$A$2:$A$5000,$A175))</f>
        <v/>
      </c>
      <c r="J175" s="88">
        <f>IF($BE175=0,NA(),H175+SUM($I$2:I175))</f>
        <v/>
      </c>
      <c r="K175" s="88">
        <f>IF($BE175=0,"",SUMIFS(Entries!$D$2:$D$5000,Entries!$C$2:$C$5000,"Income",Entries!$A$2:$A$5000,"&gt;="&amp;EDATE($A175,-11),Entries!$A$2:$A$5000,"&lt;="&amp;$A175)/12)</f>
        <v/>
      </c>
      <c r="L175" s="88">
        <f>IF($BE175=0,"",(SUMIFS(Entries!$D$2:$D$5000,Entries!$C$2:$C$5000,"Actual",Entries!$A$2:$A$5000,"&gt;="&amp;EDATE($A175,-11),Entries!$A$2:$A$5000,"&lt;="&amp;$A175)+SUMIFS(Entries!$D$2:$D$5000,Entries!$C$2:$C$5000,"One-off",Entries!$A$2:$A$5000,"&gt;="&amp;EDATE($A175,-11),Entries!$A$2:$A$5000,"&lt;="&amp;$A175))/12)</f>
        <v/>
      </c>
      <c r="M175" s="70">
        <f>IF($BE175=0,NA(),IFERROR((K175-L175)/K175,0))</f>
        <v/>
      </c>
      <c r="O175" s="88">
        <f>IF(OR(O$1="",$BE175=0),"",SUMIFS(Entries!$D$2:$D$5000,Entries!$C$2:$C$5000,"Actual",Entries!$A$2:$A$5000,$A175,Entries!$B$2:$B$5000,O$1))</f>
        <v/>
      </c>
      <c r="P175" s="88">
        <f>IF(OR(P$1="",$BE175=0),"",SUMIFS(Entries!$D$2:$D$5000,Entries!$C$2:$C$5000,"Actual",Entries!$A$2:$A$5000,$A175,Entries!$B$2:$B$5000,P$1))</f>
        <v/>
      </c>
      <c r="Q175" s="88">
        <f>IF(OR(Q$1="",$BE175=0),"",SUMIFS(Entries!$D$2:$D$5000,Entries!$C$2:$C$5000,"Actual",Entries!$A$2:$A$5000,$A175,Entries!$B$2:$B$5000,Q$1))</f>
        <v/>
      </c>
      <c r="R175" s="88">
        <f>IF(OR(R$1="",$BE175=0),"",SUMIFS(Entries!$D$2:$D$5000,Entries!$C$2:$C$5000,"Actual",Entries!$A$2:$A$5000,$A175,Entries!$B$2:$B$5000,R$1))</f>
        <v/>
      </c>
      <c r="S175" s="88">
        <f>IF(OR(S$1="",$BE175=0),"",SUMIFS(Entries!$D$2:$D$5000,Entries!$C$2:$C$5000,"Actual",Entries!$A$2:$A$5000,$A175,Entries!$B$2:$B$5000,S$1))</f>
        <v/>
      </c>
      <c r="T175" s="88">
        <f>IF(OR(T$1="",$BE175=0),"",SUMIFS(Entries!$D$2:$D$5000,Entries!$C$2:$C$5000,"Actual",Entries!$A$2:$A$5000,$A175,Entries!$B$2:$B$5000,T$1))</f>
        <v/>
      </c>
      <c r="U175" s="88">
        <f>IF(OR(U$1="",$BE175=0),"",SUMIFS(Entries!$D$2:$D$5000,Entries!$C$2:$C$5000,"Actual",Entries!$A$2:$A$5000,$A175,Entries!$B$2:$B$5000,U$1))</f>
        <v/>
      </c>
      <c r="V175" s="88">
        <f>IF(OR(V$1="",$BE175=0),"",SUMIFS(Entries!$D$2:$D$5000,Entries!$C$2:$C$5000,"Actual",Entries!$A$2:$A$5000,$A175,Entries!$B$2:$B$5000,V$1))</f>
        <v/>
      </c>
      <c r="W175" s="88">
        <f>IF(OR(W$1="",$BE175=0),"",SUMIFS(Entries!$D$2:$D$5000,Entries!$C$2:$C$5000,"Actual",Entries!$A$2:$A$5000,$A175,Entries!$B$2:$B$5000,W$1))</f>
        <v/>
      </c>
      <c r="X175" s="88">
        <f>IF(OR(X$1="",$BE175=0),"",SUMIFS(Entries!$D$2:$D$5000,Entries!$C$2:$C$5000,"Actual",Entries!$A$2:$A$5000,$A175,Entries!$B$2:$B$5000,X$1))</f>
        <v/>
      </c>
      <c r="Y175" s="88">
        <f>IF(OR(Y$1="",$BE175=0),"",SUMIFS(Entries!$D$2:$D$5000,Entries!$C$2:$C$5000,"Actual",Entries!$A$2:$A$5000,$A175,Entries!$B$2:$B$5000,Y$1))</f>
        <v/>
      </c>
      <c r="Z175" s="88">
        <f>IF(OR(Z$1="",$BE175=0),"",SUMIFS(Entries!$D$2:$D$5000,Entries!$C$2:$C$5000,"Actual",Entries!$A$2:$A$5000,$A175,Entries!$B$2:$B$5000,Z$1))</f>
        <v/>
      </c>
      <c r="AA175" s="88">
        <f>IF(OR(AA$1="",$BE175=0),"",SUMIFS(Entries!$D$2:$D$5000,Entries!$C$2:$C$5000,"Actual",Entries!$A$2:$A$5000,$A175,Entries!$B$2:$B$5000,AA$1))</f>
        <v/>
      </c>
      <c r="AB175" s="88">
        <f>IF(OR(AB$1="",$BE175=0),"",SUMIFS(Entries!$D$2:$D$5000,Entries!$C$2:$C$5000,"Actual",Entries!$A$2:$A$5000,$A175,Entries!$B$2:$B$5000,AB$1))</f>
        <v/>
      </c>
      <c r="AC175" s="88">
        <f>IF(OR(AC$1="",$BE175=0),"",SUMIFS(Entries!$D$2:$D$5000,Entries!$C$2:$C$5000,"Actual",Entries!$A$2:$A$5000,$A175,Entries!$B$2:$B$5000,AC$1))</f>
        <v/>
      </c>
      <c r="AD175" s="88">
        <f>IF(OR(AD$1="",$BE175=0),"",SUMIFS(Entries!$D$2:$D$5000,Entries!$C$2:$C$5000,"Actual",Entries!$A$2:$A$5000,$A175,Entries!$B$2:$B$5000,AD$1))</f>
        <v/>
      </c>
      <c r="AE175" s="88">
        <f>IF(OR(AE$1="",$BE175=0),"",SUMIFS(Entries!$D$2:$D$5000,Entries!$C$2:$C$5000,"Actual",Entries!$A$2:$A$5000,$A175,Entries!$B$2:$B$5000,AE$1))</f>
        <v/>
      </c>
      <c r="AF175" s="88">
        <f>IF(OR(AF$1="",$BE175=0),"",SUMIFS(Entries!$D$2:$D$5000,Entries!$C$2:$C$5000,"Actual",Entries!$A$2:$A$5000,$A175,Entries!$B$2:$B$5000,AF$1))</f>
        <v/>
      </c>
      <c r="AG175" s="88">
        <f>IF(OR(AG$1="",$BE175=0),"",SUMIFS(Entries!$D$2:$D$5000,Entries!$C$2:$C$5000,"Actual",Entries!$A$2:$A$5000,$A175,Entries!$B$2:$B$5000,AG$1))</f>
        <v/>
      </c>
      <c r="AH175" s="88">
        <f>IF(OR(AH$1="",$BE175=0),"",SUMIFS(Entries!$D$2:$D$5000,Entries!$C$2:$C$5000,"Actual",Entries!$A$2:$A$5000,$A175,Entries!$B$2:$B$5000,AH$1))</f>
        <v/>
      </c>
      <c r="AJ175" s="88">
        <f>IF(OR(AJ$1="",$BE175=0),"",IFERROR(LOOKUP(2,1/((Budgets!$A$2:$A$200=AJ$1)*(Budgets!$B$2:$B$200&lt;=$A175)),Budgets!$C$2:$C$200),0))</f>
        <v/>
      </c>
      <c r="AK175" s="88">
        <f>IF(OR(AK$1="",$BE175=0),"",IFERROR(LOOKUP(2,1/((Budgets!$A$2:$A$200=AK$1)*(Budgets!$B$2:$B$200&lt;=$A175)),Budgets!$C$2:$C$200),0))</f>
        <v/>
      </c>
      <c r="AL175" s="88">
        <f>IF(OR(AL$1="",$BE175=0),"",IFERROR(LOOKUP(2,1/((Budgets!$A$2:$A$200=AL$1)*(Budgets!$B$2:$B$200&lt;=$A175)),Budgets!$C$2:$C$200),0))</f>
        <v/>
      </c>
      <c r="AM175" s="88">
        <f>IF(OR(AM$1="",$BE175=0),"",IFERROR(LOOKUP(2,1/((Budgets!$A$2:$A$200=AM$1)*(Budgets!$B$2:$B$200&lt;=$A175)),Budgets!$C$2:$C$200),0))</f>
        <v/>
      </c>
      <c r="AN175" s="88">
        <f>IF(OR(AN$1="",$BE175=0),"",IFERROR(LOOKUP(2,1/((Budgets!$A$2:$A$200=AN$1)*(Budgets!$B$2:$B$200&lt;=$A175)),Budgets!$C$2:$C$200),0))</f>
        <v/>
      </c>
      <c r="AO175" s="88">
        <f>IF(OR(AO$1="",$BE175=0),"",IFERROR(LOOKUP(2,1/((Budgets!$A$2:$A$200=AO$1)*(Budgets!$B$2:$B$200&lt;=$A175)),Budgets!$C$2:$C$200),0))</f>
        <v/>
      </c>
      <c r="AP175" s="88">
        <f>IF(OR(AP$1="",$BE175=0),"",IFERROR(LOOKUP(2,1/((Budgets!$A$2:$A$200=AP$1)*(Budgets!$B$2:$B$200&lt;=$A175)),Budgets!$C$2:$C$200),0))</f>
        <v/>
      </c>
      <c r="AQ175" s="88">
        <f>IF(OR(AQ$1="",$BE175=0),"",IFERROR(LOOKUP(2,1/((Budgets!$A$2:$A$200=AQ$1)*(Budgets!$B$2:$B$200&lt;=$A175)),Budgets!$C$2:$C$200),0))</f>
        <v/>
      </c>
      <c r="AR175" s="88">
        <f>IF(OR(AR$1="",$BE175=0),"",IFERROR(LOOKUP(2,1/((Budgets!$A$2:$A$200=AR$1)*(Budgets!$B$2:$B$200&lt;=$A175)),Budgets!$C$2:$C$200),0))</f>
        <v/>
      </c>
      <c r="AS175" s="88">
        <f>IF(OR(AS$1="",$BE175=0),"",IFERROR(LOOKUP(2,1/((Budgets!$A$2:$A$200=AS$1)*(Budgets!$B$2:$B$200&lt;=$A175)),Budgets!$C$2:$C$200),0))</f>
        <v/>
      </c>
      <c r="AT175" s="88">
        <f>IF(OR(AT$1="",$BE175=0),"",IFERROR(LOOKUP(2,1/((Budgets!$A$2:$A$200=AT$1)*(Budgets!$B$2:$B$200&lt;=$A175)),Budgets!$C$2:$C$200),0))</f>
        <v/>
      </c>
      <c r="AU175" s="88">
        <f>IF(OR(AU$1="",$BE175=0),"",IFERROR(LOOKUP(2,1/((Budgets!$A$2:$A$200=AU$1)*(Budgets!$B$2:$B$200&lt;=$A175)),Budgets!$C$2:$C$200),0))</f>
        <v/>
      </c>
      <c r="AV175" s="88">
        <f>IF(OR(AV$1="",$BE175=0),"",IFERROR(LOOKUP(2,1/((Budgets!$A$2:$A$200=AV$1)*(Budgets!$B$2:$B$200&lt;=$A175)),Budgets!$C$2:$C$200),0))</f>
        <v/>
      </c>
      <c r="AW175" s="88">
        <f>IF(OR(AW$1="",$BE175=0),"",IFERROR(LOOKUP(2,1/((Budgets!$A$2:$A$200=AW$1)*(Budgets!$B$2:$B$200&lt;=$A175)),Budgets!$C$2:$C$200),0))</f>
        <v/>
      </c>
      <c r="AX175" s="88">
        <f>IF(OR(AX$1="",$BE175=0),"",IFERROR(LOOKUP(2,1/((Budgets!$A$2:$A$200=AX$1)*(Budgets!$B$2:$B$200&lt;=$A175)),Budgets!$C$2:$C$200),0))</f>
        <v/>
      </c>
      <c r="AY175" s="88">
        <f>IF(OR(AY$1="",$BE175=0),"",IFERROR(LOOKUP(2,1/((Budgets!$A$2:$A$200=AY$1)*(Budgets!$B$2:$B$200&lt;=$A175)),Budgets!$C$2:$C$200),0))</f>
        <v/>
      </c>
      <c r="AZ175" s="88">
        <f>IF(OR(AZ$1="",$BE175=0),"",IFERROR(LOOKUP(2,1/((Budgets!$A$2:$A$200=AZ$1)*(Budgets!$B$2:$B$200&lt;=$A175)),Budgets!$C$2:$C$200),0))</f>
        <v/>
      </c>
      <c r="BA175" s="88">
        <f>IF(OR(BA$1="",$BE175=0),"",IFERROR(LOOKUP(2,1/((Budgets!$A$2:$A$200=BA$1)*(Budgets!$B$2:$B$200&lt;=$A175)),Budgets!$C$2:$C$200),0))</f>
        <v/>
      </c>
      <c r="BB175" s="88">
        <f>IF(OR(BB$1="",$BE175=0),"",IFERROR(LOOKUP(2,1/((Budgets!$A$2:$A$200=BB$1)*(Budgets!$B$2:$B$200&lt;=$A175)),Budgets!$C$2:$C$200),0))</f>
        <v/>
      </c>
      <c r="BC175" s="88">
        <f>IF(OR(BC$1="",$BE175=0),"",IFERROR(LOOKUP(2,1/((Budgets!$A$2:$A$200=BC$1)*(Budgets!$B$2:$B$200&lt;=$A175)),Budgets!$C$2:$C$200),0))</f>
        <v/>
      </c>
      <c r="BE175" s="67">
        <f>COUNTIFS(Entries!$A$2:$A$5000,$A175)</f>
        <v/>
      </c>
    </row>
    <row r="176" ht="15" customHeight="1" s="43">
      <c r="A176" s="87" t="n">
        <v>44743</v>
      </c>
      <c r="B176" s="88">
        <f>IF($BE176=0,NA(),SUMIFS(Entries!$D$2:$D$5000,Entries!$C$2:$C$5000,"Income",Entries!$A$2:$A$5000,$A176))</f>
        <v/>
      </c>
      <c r="C176" s="88">
        <f>IF($BE176=0,"",SUMIFS(Entries!$D$2:$D$5000,Entries!$C$2:$C$5000,"Actual",Entries!$A$2:$A$5000,$A176))</f>
        <v/>
      </c>
      <c r="D176" s="88">
        <f>IF($BE176=0,"",SUMIFS(Entries!$D$2:$D$5000,Entries!$C$2:$C$5000,"One-off",Entries!$A$2:$A$5000,$A176))</f>
        <v/>
      </c>
      <c r="E176" s="88">
        <f>IF($BE176=0,NA(),C176+D176)</f>
        <v/>
      </c>
      <c r="F176" s="88">
        <f>IF($BE176=0,"",SUM(AJ176:BC176))</f>
        <v/>
      </c>
      <c r="G176" s="88">
        <f>IF($BE176=0,"",B176-E176)</f>
        <v/>
      </c>
      <c r="H176" s="88">
        <f>IF($BE176=0,"",SUM($G$2:G176))</f>
        <v/>
      </c>
      <c r="I176" s="88">
        <f>IF($BE176=0,"",SUMIFS(Entries!$F$2:$F$5000,Entries!$A$2:$A$5000,$A176))</f>
        <v/>
      </c>
      <c r="J176" s="88">
        <f>IF($BE176=0,NA(),H176+SUM($I$2:I176))</f>
        <v/>
      </c>
      <c r="K176" s="88">
        <f>IF($BE176=0,"",SUMIFS(Entries!$D$2:$D$5000,Entries!$C$2:$C$5000,"Income",Entries!$A$2:$A$5000,"&gt;="&amp;EDATE($A176,-11),Entries!$A$2:$A$5000,"&lt;="&amp;$A176)/12)</f>
        <v/>
      </c>
      <c r="L176" s="88">
        <f>IF($BE176=0,"",(SUMIFS(Entries!$D$2:$D$5000,Entries!$C$2:$C$5000,"Actual",Entries!$A$2:$A$5000,"&gt;="&amp;EDATE($A176,-11),Entries!$A$2:$A$5000,"&lt;="&amp;$A176)+SUMIFS(Entries!$D$2:$D$5000,Entries!$C$2:$C$5000,"One-off",Entries!$A$2:$A$5000,"&gt;="&amp;EDATE($A176,-11),Entries!$A$2:$A$5000,"&lt;="&amp;$A176))/12)</f>
        <v/>
      </c>
      <c r="M176" s="70">
        <f>IF($BE176=0,NA(),IFERROR((K176-L176)/K176,0))</f>
        <v/>
      </c>
      <c r="O176" s="88">
        <f>IF(OR(O$1="",$BE176=0),"",SUMIFS(Entries!$D$2:$D$5000,Entries!$C$2:$C$5000,"Actual",Entries!$A$2:$A$5000,$A176,Entries!$B$2:$B$5000,O$1))</f>
        <v/>
      </c>
      <c r="P176" s="88">
        <f>IF(OR(P$1="",$BE176=0),"",SUMIFS(Entries!$D$2:$D$5000,Entries!$C$2:$C$5000,"Actual",Entries!$A$2:$A$5000,$A176,Entries!$B$2:$B$5000,P$1))</f>
        <v/>
      </c>
      <c r="Q176" s="88">
        <f>IF(OR(Q$1="",$BE176=0),"",SUMIFS(Entries!$D$2:$D$5000,Entries!$C$2:$C$5000,"Actual",Entries!$A$2:$A$5000,$A176,Entries!$B$2:$B$5000,Q$1))</f>
        <v/>
      </c>
      <c r="R176" s="88">
        <f>IF(OR(R$1="",$BE176=0),"",SUMIFS(Entries!$D$2:$D$5000,Entries!$C$2:$C$5000,"Actual",Entries!$A$2:$A$5000,$A176,Entries!$B$2:$B$5000,R$1))</f>
        <v/>
      </c>
      <c r="S176" s="88">
        <f>IF(OR(S$1="",$BE176=0),"",SUMIFS(Entries!$D$2:$D$5000,Entries!$C$2:$C$5000,"Actual",Entries!$A$2:$A$5000,$A176,Entries!$B$2:$B$5000,S$1))</f>
        <v/>
      </c>
      <c r="T176" s="88">
        <f>IF(OR(T$1="",$BE176=0),"",SUMIFS(Entries!$D$2:$D$5000,Entries!$C$2:$C$5000,"Actual",Entries!$A$2:$A$5000,$A176,Entries!$B$2:$B$5000,T$1))</f>
        <v/>
      </c>
      <c r="U176" s="88">
        <f>IF(OR(U$1="",$BE176=0),"",SUMIFS(Entries!$D$2:$D$5000,Entries!$C$2:$C$5000,"Actual",Entries!$A$2:$A$5000,$A176,Entries!$B$2:$B$5000,U$1))</f>
        <v/>
      </c>
      <c r="V176" s="88">
        <f>IF(OR(V$1="",$BE176=0),"",SUMIFS(Entries!$D$2:$D$5000,Entries!$C$2:$C$5000,"Actual",Entries!$A$2:$A$5000,$A176,Entries!$B$2:$B$5000,V$1))</f>
        <v/>
      </c>
      <c r="W176" s="88">
        <f>IF(OR(W$1="",$BE176=0),"",SUMIFS(Entries!$D$2:$D$5000,Entries!$C$2:$C$5000,"Actual",Entries!$A$2:$A$5000,$A176,Entries!$B$2:$B$5000,W$1))</f>
        <v/>
      </c>
      <c r="X176" s="88">
        <f>IF(OR(X$1="",$BE176=0),"",SUMIFS(Entries!$D$2:$D$5000,Entries!$C$2:$C$5000,"Actual",Entries!$A$2:$A$5000,$A176,Entries!$B$2:$B$5000,X$1))</f>
        <v/>
      </c>
      <c r="Y176" s="88">
        <f>IF(OR(Y$1="",$BE176=0),"",SUMIFS(Entries!$D$2:$D$5000,Entries!$C$2:$C$5000,"Actual",Entries!$A$2:$A$5000,$A176,Entries!$B$2:$B$5000,Y$1))</f>
        <v/>
      </c>
      <c r="Z176" s="88">
        <f>IF(OR(Z$1="",$BE176=0),"",SUMIFS(Entries!$D$2:$D$5000,Entries!$C$2:$C$5000,"Actual",Entries!$A$2:$A$5000,$A176,Entries!$B$2:$B$5000,Z$1))</f>
        <v/>
      </c>
      <c r="AA176" s="88">
        <f>IF(OR(AA$1="",$BE176=0),"",SUMIFS(Entries!$D$2:$D$5000,Entries!$C$2:$C$5000,"Actual",Entries!$A$2:$A$5000,$A176,Entries!$B$2:$B$5000,AA$1))</f>
        <v/>
      </c>
      <c r="AB176" s="88">
        <f>IF(OR(AB$1="",$BE176=0),"",SUMIFS(Entries!$D$2:$D$5000,Entries!$C$2:$C$5000,"Actual",Entries!$A$2:$A$5000,$A176,Entries!$B$2:$B$5000,AB$1))</f>
        <v/>
      </c>
      <c r="AC176" s="88">
        <f>IF(OR(AC$1="",$BE176=0),"",SUMIFS(Entries!$D$2:$D$5000,Entries!$C$2:$C$5000,"Actual",Entries!$A$2:$A$5000,$A176,Entries!$B$2:$B$5000,AC$1))</f>
        <v/>
      </c>
      <c r="AD176" s="88">
        <f>IF(OR(AD$1="",$BE176=0),"",SUMIFS(Entries!$D$2:$D$5000,Entries!$C$2:$C$5000,"Actual",Entries!$A$2:$A$5000,$A176,Entries!$B$2:$B$5000,AD$1))</f>
        <v/>
      </c>
      <c r="AE176" s="88">
        <f>IF(OR(AE$1="",$BE176=0),"",SUMIFS(Entries!$D$2:$D$5000,Entries!$C$2:$C$5000,"Actual",Entries!$A$2:$A$5000,$A176,Entries!$B$2:$B$5000,AE$1))</f>
        <v/>
      </c>
      <c r="AF176" s="88">
        <f>IF(OR(AF$1="",$BE176=0),"",SUMIFS(Entries!$D$2:$D$5000,Entries!$C$2:$C$5000,"Actual",Entries!$A$2:$A$5000,$A176,Entries!$B$2:$B$5000,AF$1))</f>
        <v/>
      </c>
      <c r="AG176" s="88">
        <f>IF(OR(AG$1="",$BE176=0),"",SUMIFS(Entries!$D$2:$D$5000,Entries!$C$2:$C$5000,"Actual",Entries!$A$2:$A$5000,$A176,Entries!$B$2:$B$5000,AG$1))</f>
        <v/>
      </c>
      <c r="AH176" s="88">
        <f>IF(OR(AH$1="",$BE176=0),"",SUMIFS(Entries!$D$2:$D$5000,Entries!$C$2:$C$5000,"Actual",Entries!$A$2:$A$5000,$A176,Entries!$B$2:$B$5000,AH$1))</f>
        <v/>
      </c>
      <c r="AJ176" s="88">
        <f>IF(OR(AJ$1="",$BE176=0),"",IFERROR(LOOKUP(2,1/((Budgets!$A$2:$A$200=AJ$1)*(Budgets!$B$2:$B$200&lt;=$A176)),Budgets!$C$2:$C$200),0))</f>
        <v/>
      </c>
      <c r="AK176" s="88">
        <f>IF(OR(AK$1="",$BE176=0),"",IFERROR(LOOKUP(2,1/((Budgets!$A$2:$A$200=AK$1)*(Budgets!$B$2:$B$200&lt;=$A176)),Budgets!$C$2:$C$200),0))</f>
        <v/>
      </c>
      <c r="AL176" s="88">
        <f>IF(OR(AL$1="",$BE176=0),"",IFERROR(LOOKUP(2,1/((Budgets!$A$2:$A$200=AL$1)*(Budgets!$B$2:$B$200&lt;=$A176)),Budgets!$C$2:$C$200),0))</f>
        <v/>
      </c>
      <c r="AM176" s="88">
        <f>IF(OR(AM$1="",$BE176=0),"",IFERROR(LOOKUP(2,1/((Budgets!$A$2:$A$200=AM$1)*(Budgets!$B$2:$B$200&lt;=$A176)),Budgets!$C$2:$C$200),0))</f>
        <v/>
      </c>
      <c r="AN176" s="88">
        <f>IF(OR(AN$1="",$BE176=0),"",IFERROR(LOOKUP(2,1/((Budgets!$A$2:$A$200=AN$1)*(Budgets!$B$2:$B$200&lt;=$A176)),Budgets!$C$2:$C$200),0))</f>
        <v/>
      </c>
      <c r="AO176" s="88">
        <f>IF(OR(AO$1="",$BE176=0),"",IFERROR(LOOKUP(2,1/((Budgets!$A$2:$A$200=AO$1)*(Budgets!$B$2:$B$200&lt;=$A176)),Budgets!$C$2:$C$200),0))</f>
        <v/>
      </c>
      <c r="AP176" s="88">
        <f>IF(OR(AP$1="",$BE176=0),"",IFERROR(LOOKUP(2,1/((Budgets!$A$2:$A$200=AP$1)*(Budgets!$B$2:$B$200&lt;=$A176)),Budgets!$C$2:$C$200),0))</f>
        <v/>
      </c>
      <c r="AQ176" s="88">
        <f>IF(OR(AQ$1="",$BE176=0),"",IFERROR(LOOKUP(2,1/((Budgets!$A$2:$A$200=AQ$1)*(Budgets!$B$2:$B$200&lt;=$A176)),Budgets!$C$2:$C$200),0))</f>
        <v/>
      </c>
      <c r="AR176" s="88">
        <f>IF(OR(AR$1="",$BE176=0),"",IFERROR(LOOKUP(2,1/((Budgets!$A$2:$A$200=AR$1)*(Budgets!$B$2:$B$200&lt;=$A176)),Budgets!$C$2:$C$200),0))</f>
        <v/>
      </c>
      <c r="AS176" s="88">
        <f>IF(OR(AS$1="",$BE176=0),"",IFERROR(LOOKUP(2,1/((Budgets!$A$2:$A$200=AS$1)*(Budgets!$B$2:$B$200&lt;=$A176)),Budgets!$C$2:$C$200),0))</f>
        <v/>
      </c>
      <c r="AT176" s="88">
        <f>IF(OR(AT$1="",$BE176=0),"",IFERROR(LOOKUP(2,1/((Budgets!$A$2:$A$200=AT$1)*(Budgets!$B$2:$B$200&lt;=$A176)),Budgets!$C$2:$C$200),0))</f>
        <v/>
      </c>
      <c r="AU176" s="88">
        <f>IF(OR(AU$1="",$BE176=0),"",IFERROR(LOOKUP(2,1/((Budgets!$A$2:$A$200=AU$1)*(Budgets!$B$2:$B$200&lt;=$A176)),Budgets!$C$2:$C$200),0))</f>
        <v/>
      </c>
      <c r="AV176" s="88">
        <f>IF(OR(AV$1="",$BE176=0),"",IFERROR(LOOKUP(2,1/((Budgets!$A$2:$A$200=AV$1)*(Budgets!$B$2:$B$200&lt;=$A176)),Budgets!$C$2:$C$200),0))</f>
        <v/>
      </c>
      <c r="AW176" s="88">
        <f>IF(OR(AW$1="",$BE176=0),"",IFERROR(LOOKUP(2,1/((Budgets!$A$2:$A$200=AW$1)*(Budgets!$B$2:$B$200&lt;=$A176)),Budgets!$C$2:$C$200),0))</f>
        <v/>
      </c>
      <c r="AX176" s="88">
        <f>IF(OR(AX$1="",$BE176=0),"",IFERROR(LOOKUP(2,1/((Budgets!$A$2:$A$200=AX$1)*(Budgets!$B$2:$B$200&lt;=$A176)),Budgets!$C$2:$C$200),0))</f>
        <v/>
      </c>
      <c r="AY176" s="88">
        <f>IF(OR(AY$1="",$BE176=0),"",IFERROR(LOOKUP(2,1/((Budgets!$A$2:$A$200=AY$1)*(Budgets!$B$2:$B$200&lt;=$A176)),Budgets!$C$2:$C$200),0))</f>
        <v/>
      </c>
      <c r="AZ176" s="88">
        <f>IF(OR(AZ$1="",$BE176=0),"",IFERROR(LOOKUP(2,1/((Budgets!$A$2:$A$200=AZ$1)*(Budgets!$B$2:$B$200&lt;=$A176)),Budgets!$C$2:$C$200),0))</f>
        <v/>
      </c>
      <c r="BA176" s="88">
        <f>IF(OR(BA$1="",$BE176=0),"",IFERROR(LOOKUP(2,1/((Budgets!$A$2:$A$200=BA$1)*(Budgets!$B$2:$B$200&lt;=$A176)),Budgets!$C$2:$C$200),0))</f>
        <v/>
      </c>
      <c r="BB176" s="88">
        <f>IF(OR(BB$1="",$BE176=0),"",IFERROR(LOOKUP(2,1/((Budgets!$A$2:$A$200=BB$1)*(Budgets!$B$2:$B$200&lt;=$A176)),Budgets!$C$2:$C$200),0))</f>
        <v/>
      </c>
      <c r="BC176" s="88">
        <f>IF(OR(BC$1="",$BE176=0),"",IFERROR(LOOKUP(2,1/((Budgets!$A$2:$A$200=BC$1)*(Budgets!$B$2:$B$200&lt;=$A176)),Budgets!$C$2:$C$200),0))</f>
        <v/>
      </c>
      <c r="BE176" s="67">
        <f>COUNTIFS(Entries!$A$2:$A$5000,$A176)</f>
        <v/>
      </c>
    </row>
    <row r="177" ht="15" customHeight="1" s="43">
      <c r="A177" s="87" t="n">
        <v>44774</v>
      </c>
      <c r="B177" s="88">
        <f>IF($BE177=0,NA(),SUMIFS(Entries!$D$2:$D$5000,Entries!$C$2:$C$5000,"Income",Entries!$A$2:$A$5000,$A177))</f>
        <v/>
      </c>
      <c r="C177" s="88">
        <f>IF($BE177=0,"",SUMIFS(Entries!$D$2:$D$5000,Entries!$C$2:$C$5000,"Actual",Entries!$A$2:$A$5000,$A177))</f>
        <v/>
      </c>
      <c r="D177" s="88">
        <f>IF($BE177=0,"",SUMIFS(Entries!$D$2:$D$5000,Entries!$C$2:$C$5000,"One-off",Entries!$A$2:$A$5000,$A177))</f>
        <v/>
      </c>
      <c r="E177" s="88">
        <f>IF($BE177=0,NA(),C177+D177)</f>
        <v/>
      </c>
      <c r="F177" s="88">
        <f>IF($BE177=0,"",SUM(AJ177:BC177))</f>
        <v/>
      </c>
      <c r="G177" s="88">
        <f>IF($BE177=0,"",B177-E177)</f>
        <v/>
      </c>
      <c r="H177" s="88">
        <f>IF($BE177=0,"",SUM($G$2:G177))</f>
        <v/>
      </c>
      <c r="I177" s="88">
        <f>IF($BE177=0,"",SUMIFS(Entries!$F$2:$F$5000,Entries!$A$2:$A$5000,$A177))</f>
        <v/>
      </c>
      <c r="J177" s="88">
        <f>IF($BE177=0,NA(),H177+SUM($I$2:I177))</f>
        <v/>
      </c>
      <c r="K177" s="88">
        <f>IF($BE177=0,"",SUMIFS(Entries!$D$2:$D$5000,Entries!$C$2:$C$5000,"Income",Entries!$A$2:$A$5000,"&gt;="&amp;EDATE($A177,-11),Entries!$A$2:$A$5000,"&lt;="&amp;$A177)/12)</f>
        <v/>
      </c>
      <c r="L177" s="88">
        <f>IF($BE177=0,"",(SUMIFS(Entries!$D$2:$D$5000,Entries!$C$2:$C$5000,"Actual",Entries!$A$2:$A$5000,"&gt;="&amp;EDATE($A177,-11),Entries!$A$2:$A$5000,"&lt;="&amp;$A177)+SUMIFS(Entries!$D$2:$D$5000,Entries!$C$2:$C$5000,"One-off",Entries!$A$2:$A$5000,"&gt;="&amp;EDATE($A177,-11),Entries!$A$2:$A$5000,"&lt;="&amp;$A177))/12)</f>
        <v/>
      </c>
      <c r="M177" s="70">
        <f>IF($BE177=0,NA(),IFERROR((K177-L177)/K177,0))</f>
        <v/>
      </c>
      <c r="O177" s="88">
        <f>IF(OR(O$1="",$BE177=0),"",SUMIFS(Entries!$D$2:$D$5000,Entries!$C$2:$C$5000,"Actual",Entries!$A$2:$A$5000,$A177,Entries!$B$2:$B$5000,O$1))</f>
        <v/>
      </c>
      <c r="P177" s="88">
        <f>IF(OR(P$1="",$BE177=0),"",SUMIFS(Entries!$D$2:$D$5000,Entries!$C$2:$C$5000,"Actual",Entries!$A$2:$A$5000,$A177,Entries!$B$2:$B$5000,P$1))</f>
        <v/>
      </c>
      <c r="Q177" s="88">
        <f>IF(OR(Q$1="",$BE177=0),"",SUMIFS(Entries!$D$2:$D$5000,Entries!$C$2:$C$5000,"Actual",Entries!$A$2:$A$5000,$A177,Entries!$B$2:$B$5000,Q$1))</f>
        <v/>
      </c>
      <c r="R177" s="88">
        <f>IF(OR(R$1="",$BE177=0),"",SUMIFS(Entries!$D$2:$D$5000,Entries!$C$2:$C$5000,"Actual",Entries!$A$2:$A$5000,$A177,Entries!$B$2:$B$5000,R$1))</f>
        <v/>
      </c>
      <c r="S177" s="88">
        <f>IF(OR(S$1="",$BE177=0),"",SUMIFS(Entries!$D$2:$D$5000,Entries!$C$2:$C$5000,"Actual",Entries!$A$2:$A$5000,$A177,Entries!$B$2:$B$5000,S$1))</f>
        <v/>
      </c>
      <c r="T177" s="88">
        <f>IF(OR(T$1="",$BE177=0),"",SUMIFS(Entries!$D$2:$D$5000,Entries!$C$2:$C$5000,"Actual",Entries!$A$2:$A$5000,$A177,Entries!$B$2:$B$5000,T$1))</f>
        <v/>
      </c>
      <c r="U177" s="88">
        <f>IF(OR(U$1="",$BE177=0),"",SUMIFS(Entries!$D$2:$D$5000,Entries!$C$2:$C$5000,"Actual",Entries!$A$2:$A$5000,$A177,Entries!$B$2:$B$5000,U$1))</f>
        <v/>
      </c>
      <c r="V177" s="88">
        <f>IF(OR(V$1="",$BE177=0),"",SUMIFS(Entries!$D$2:$D$5000,Entries!$C$2:$C$5000,"Actual",Entries!$A$2:$A$5000,$A177,Entries!$B$2:$B$5000,V$1))</f>
        <v/>
      </c>
      <c r="W177" s="88">
        <f>IF(OR(W$1="",$BE177=0),"",SUMIFS(Entries!$D$2:$D$5000,Entries!$C$2:$C$5000,"Actual",Entries!$A$2:$A$5000,$A177,Entries!$B$2:$B$5000,W$1))</f>
        <v/>
      </c>
      <c r="X177" s="88">
        <f>IF(OR(X$1="",$BE177=0),"",SUMIFS(Entries!$D$2:$D$5000,Entries!$C$2:$C$5000,"Actual",Entries!$A$2:$A$5000,$A177,Entries!$B$2:$B$5000,X$1))</f>
        <v/>
      </c>
      <c r="Y177" s="88">
        <f>IF(OR(Y$1="",$BE177=0),"",SUMIFS(Entries!$D$2:$D$5000,Entries!$C$2:$C$5000,"Actual",Entries!$A$2:$A$5000,$A177,Entries!$B$2:$B$5000,Y$1))</f>
        <v/>
      </c>
      <c r="Z177" s="88">
        <f>IF(OR(Z$1="",$BE177=0),"",SUMIFS(Entries!$D$2:$D$5000,Entries!$C$2:$C$5000,"Actual",Entries!$A$2:$A$5000,$A177,Entries!$B$2:$B$5000,Z$1))</f>
        <v/>
      </c>
      <c r="AA177" s="88">
        <f>IF(OR(AA$1="",$BE177=0),"",SUMIFS(Entries!$D$2:$D$5000,Entries!$C$2:$C$5000,"Actual",Entries!$A$2:$A$5000,$A177,Entries!$B$2:$B$5000,AA$1))</f>
        <v/>
      </c>
      <c r="AB177" s="88">
        <f>IF(OR(AB$1="",$BE177=0),"",SUMIFS(Entries!$D$2:$D$5000,Entries!$C$2:$C$5000,"Actual",Entries!$A$2:$A$5000,$A177,Entries!$B$2:$B$5000,AB$1))</f>
        <v/>
      </c>
      <c r="AC177" s="88">
        <f>IF(OR(AC$1="",$BE177=0),"",SUMIFS(Entries!$D$2:$D$5000,Entries!$C$2:$C$5000,"Actual",Entries!$A$2:$A$5000,$A177,Entries!$B$2:$B$5000,AC$1))</f>
        <v/>
      </c>
      <c r="AD177" s="88">
        <f>IF(OR(AD$1="",$BE177=0),"",SUMIFS(Entries!$D$2:$D$5000,Entries!$C$2:$C$5000,"Actual",Entries!$A$2:$A$5000,$A177,Entries!$B$2:$B$5000,AD$1))</f>
        <v/>
      </c>
      <c r="AE177" s="88">
        <f>IF(OR(AE$1="",$BE177=0),"",SUMIFS(Entries!$D$2:$D$5000,Entries!$C$2:$C$5000,"Actual",Entries!$A$2:$A$5000,$A177,Entries!$B$2:$B$5000,AE$1))</f>
        <v/>
      </c>
      <c r="AF177" s="88">
        <f>IF(OR(AF$1="",$BE177=0),"",SUMIFS(Entries!$D$2:$D$5000,Entries!$C$2:$C$5000,"Actual",Entries!$A$2:$A$5000,$A177,Entries!$B$2:$B$5000,AF$1))</f>
        <v/>
      </c>
      <c r="AG177" s="88">
        <f>IF(OR(AG$1="",$BE177=0),"",SUMIFS(Entries!$D$2:$D$5000,Entries!$C$2:$C$5000,"Actual",Entries!$A$2:$A$5000,$A177,Entries!$B$2:$B$5000,AG$1))</f>
        <v/>
      </c>
      <c r="AH177" s="88">
        <f>IF(OR(AH$1="",$BE177=0),"",SUMIFS(Entries!$D$2:$D$5000,Entries!$C$2:$C$5000,"Actual",Entries!$A$2:$A$5000,$A177,Entries!$B$2:$B$5000,AH$1))</f>
        <v/>
      </c>
      <c r="AJ177" s="88">
        <f>IF(OR(AJ$1="",$BE177=0),"",IFERROR(LOOKUP(2,1/((Budgets!$A$2:$A$200=AJ$1)*(Budgets!$B$2:$B$200&lt;=$A177)),Budgets!$C$2:$C$200),0))</f>
        <v/>
      </c>
      <c r="AK177" s="88">
        <f>IF(OR(AK$1="",$BE177=0),"",IFERROR(LOOKUP(2,1/((Budgets!$A$2:$A$200=AK$1)*(Budgets!$B$2:$B$200&lt;=$A177)),Budgets!$C$2:$C$200),0))</f>
        <v/>
      </c>
      <c r="AL177" s="88">
        <f>IF(OR(AL$1="",$BE177=0),"",IFERROR(LOOKUP(2,1/((Budgets!$A$2:$A$200=AL$1)*(Budgets!$B$2:$B$200&lt;=$A177)),Budgets!$C$2:$C$200),0))</f>
        <v/>
      </c>
      <c r="AM177" s="88">
        <f>IF(OR(AM$1="",$BE177=0),"",IFERROR(LOOKUP(2,1/((Budgets!$A$2:$A$200=AM$1)*(Budgets!$B$2:$B$200&lt;=$A177)),Budgets!$C$2:$C$200),0))</f>
        <v/>
      </c>
      <c r="AN177" s="88">
        <f>IF(OR(AN$1="",$BE177=0),"",IFERROR(LOOKUP(2,1/((Budgets!$A$2:$A$200=AN$1)*(Budgets!$B$2:$B$200&lt;=$A177)),Budgets!$C$2:$C$200),0))</f>
        <v/>
      </c>
      <c r="AO177" s="88">
        <f>IF(OR(AO$1="",$BE177=0),"",IFERROR(LOOKUP(2,1/((Budgets!$A$2:$A$200=AO$1)*(Budgets!$B$2:$B$200&lt;=$A177)),Budgets!$C$2:$C$200),0))</f>
        <v/>
      </c>
      <c r="AP177" s="88">
        <f>IF(OR(AP$1="",$BE177=0),"",IFERROR(LOOKUP(2,1/((Budgets!$A$2:$A$200=AP$1)*(Budgets!$B$2:$B$200&lt;=$A177)),Budgets!$C$2:$C$200),0))</f>
        <v/>
      </c>
      <c r="AQ177" s="88">
        <f>IF(OR(AQ$1="",$BE177=0),"",IFERROR(LOOKUP(2,1/((Budgets!$A$2:$A$200=AQ$1)*(Budgets!$B$2:$B$200&lt;=$A177)),Budgets!$C$2:$C$200),0))</f>
        <v/>
      </c>
      <c r="AR177" s="88">
        <f>IF(OR(AR$1="",$BE177=0),"",IFERROR(LOOKUP(2,1/((Budgets!$A$2:$A$200=AR$1)*(Budgets!$B$2:$B$200&lt;=$A177)),Budgets!$C$2:$C$200),0))</f>
        <v/>
      </c>
      <c r="AS177" s="88">
        <f>IF(OR(AS$1="",$BE177=0),"",IFERROR(LOOKUP(2,1/((Budgets!$A$2:$A$200=AS$1)*(Budgets!$B$2:$B$200&lt;=$A177)),Budgets!$C$2:$C$200),0))</f>
        <v/>
      </c>
      <c r="AT177" s="88">
        <f>IF(OR(AT$1="",$BE177=0),"",IFERROR(LOOKUP(2,1/((Budgets!$A$2:$A$200=AT$1)*(Budgets!$B$2:$B$200&lt;=$A177)),Budgets!$C$2:$C$200),0))</f>
        <v/>
      </c>
      <c r="AU177" s="88">
        <f>IF(OR(AU$1="",$BE177=0),"",IFERROR(LOOKUP(2,1/((Budgets!$A$2:$A$200=AU$1)*(Budgets!$B$2:$B$200&lt;=$A177)),Budgets!$C$2:$C$200),0))</f>
        <v/>
      </c>
      <c r="AV177" s="88">
        <f>IF(OR(AV$1="",$BE177=0),"",IFERROR(LOOKUP(2,1/((Budgets!$A$2:$A$200=AV$1)*(Budgets!$B$2:$B$200&lt;=$A177)),Budgets!$C$2:$C$200),0))</f>
        <v/>
      </c>
      <c r="AW177" s="88">
        <f>IF(OR(AW$1="",$BE177=0),"",IFERROR(LOOKUP(2,1/((Budgets!$A$2:$A$200=AW$1)*(Budgets!$B$2:$B$200&lt;=$A177)),Budgets!$C$2:$C$200),0))</f>
        <v/>
      </c>
      <c r="AX177" s="88">
        <f>IF(OR(AX$1="",$BE177=0),"",IFERROR(LOOKUP(2,1/((Budgets!$A$2:$A$200=AX$1)*(Budgets!$B$2:$B$200&lt;=$A177)),Budgets!$C$2:$C$200),0))</f>
        <v/>
      </c>
      <c r="AY177" s="88">
        <f>IF(OR(AY$1="",$BE177=0),"",IFERROR(LOOKUP(2,1/((Budgets!$A$2:$A$200=AY$1)*(Budgets!$B$2:$B$200&lt;=$A177)),Budgets!$C$2:$C$200),0))</f>
        <v/>
      </c>
      <c r="AZ177" s="88">
        <f>IF(OR(AZ$1="",$BE177=0),"",IFERROR(LOOKUP(2,1/((Budgets!$A$2:$A$200=AZ$1)*(Budgets!$B$2:$B$200&lt;=$A177)),Budgets!$C$2:$C$200),0))</f>
        <v/>
      </c>
      <c r="BA177" s="88">
        <f>IF(OR(BA$1="",$BE177=0),"",IFERROR(LOOKUP(2,1/((Budgets!$A$2:$A$200=BA$1)*(Budgets!$B$2:$B$200&lt;=$A177)),Budgets!$C$2:$C$200),0))</f>
        <v/>
      </c>
      <c r="BB177" s="88">
        <f>IF(OR(BB$1="",$BE177=0),"",IFERROR(LOOKUP(2,1/((Budgets!$A$2:$A$200=BB$1)*(Budgets!$B$2:$B$200&lt;=$A177)),Budgets!$C$2:$C$200),0))</f>
        <v/>
      </c>
      <c r="BC177" s="88">
        <f>IF(OR(BC$1="",$BE177=0),"",IFERROR(LOOKUP(2,1/((Budgets!$A$2:$A$200=BC$1)*(Budgets!$B$2:$B$200&lt;=$A177)),Budgets!$C$2:$C$200),0))</f>
        <v/>
      </c>
      <c r="BE177" s="67">
        <f>COUNTIFS(Entries!$A$2:$A$5000,$A177)</f>
        <v/>
      </c>
    </row>
    <row r="178" ht="15" customHeight="1" s="43">
      <c r="A178" s="87" t="n">
        <v>44805</v>
      </c>
      <c r="B178" s="88">
        <f>IF($BE178=0,NA(),SUMIFS(Entries!$D$2:$D$5000,Entries!$C$2:$C$5000,"Income",Entries!$A$2:$A$5000,$A178))</f>
        <v/>
      </c>
      <c r="C178" s="88">
        <f>IF($BE178=0,"",SUMIFS(Entries!$D$2:$D$5000,Entries!$C$2:$C$5000,"Actual",Entries!$A$2:$A$5000,$A178))</f>
        <v/>
      </c>
      <c r="D178" s="88">
        <f>IF($BE178=0,"",SUMIFS(Entries!$D$2:$D$5000,Entries!$C$2:$C$5000,"One-off",Entries!$A$2:$A$5000,$A178))</f>
        <v/>
      </c>
      <c r="E178" s="88">
        <f>IF($BE178=0,NA(),C178+D178)</f>
        <v/>
      </c>
      <c r="F178" s="88">
        <f>IF($BE178=0,"",SUM(AJ178:BC178))</f>
        <v/>
      </c>
      <c r="G178" s="88">
        <f>IF($BE178=0,"",B178-E178)</f>
        <v/>
      </c>
      <c r="H178" s="88">
        <f>IF($BE178=0,"",SUM($G$2:G178))</f>
        <v/>
      </c>
      <c r="I178" s="88">
        <f>IF($BE178=0,"",SUMIFS(Entries!$F$2:$F$5000,Entries!$A$2:$A$5000,$A178))</f>
        <v/>
      </c>
      <c r="J178" s="88">
        <f>IF($BE178=0,NA(),H178+SUM($I$2:I178))</f>
        <v/>
      </c>
      <c r="K178" s="88">
        <f>IF($BE178=0,"",SUMIFS(Entries!$D$2:$D$5000,Entries!$C$2:$C$5000,"Income",Entries!$A$2:$A$5000,"&gt;="&amp;EDATE($A178,-11),Entries!$A$2:$A$5000,"&lt;="&amp;$A178)/12)</f>
        <v/>
      </c>
      <c r="L178" s="88">
        <f>IF($BE178=0,"",(SUMIFS(Entries!$D$2:$D$5000,Entries!$C$2:$C$5000,"Actual",Entries!$A$2:$A$5000,"&gt;="&amp;EDATE($A178,-11),Entries!$A$2:$A$5000,"&lt;="&amp;$A178)+SUMIFS(Entries!$D$2:$D$5000,Entries!$C$2:$C$5000,"One-off",Entries!$A$2:$A$5000,"&gt;="&amp;EDATE($A178,-11),Entries!$A$2:$A$5000,"&lt;="&amp;$A178))/12)</f>
        <v/>
      </c>
      <c r="M178" s="70">
        <f>IF($BE178=0,NA(),IFERROR((K178-L178)/K178,0))</f>
        <v/>
      </c>
      <c r="O178" s="88">
        <f>IF(OR(O$1="",$BE178=0),"",SUMIFS(Entries!$D$2:$D$5000,Entries!$C$2:$C$5000,"Actual",Entries!$A$2:$A$5000,$A178,Entries!$B$2:$B$5000,O$1))</f>
        <v/>
      </c>
      <c r="P178" s="88">
        <f>IF(OR(P$1="",$BE178=0),"",SUMIFS(Entries!$D$2:$D$5000,Entries!$C$2:$C$5000,"Actual",Entries!$A$2:$A$5000,$A178,Entries!$B$2:$B$5000,P$1))</f>
        <v/>
      </c>
      <c r="Q178" s="88">
        <f>IF(OR(Q$1="",$BE178=0),"",SUMIFS(Entries!$D$2:$D$5000,Entries!$C$2:$C$5000,"Actual",Entries!$A$2:$A$5000,$A178,Entries!$B$2:$B$5000,Q$1))</f>
        <v/>
      </c>
      <c r="R178" s="88">
        <f>IF(OR(R$1="",$BE178=0),"",SUMIFS(Entries!$D$2:$D$5000,Entries!$C$2:$C$5000,"Actual",Entries!$A$2:$A$5000,$A178,Entries!$B$2:$B$5000,R$1))</f>
        <v/>
      </c>
      <c r="S178" s="88">
        <f>IF(OR(S$1="",$BE178=0),"",SUMIFS(Entries!$D$2:$D$5000,Entries!$C$2:$C$5000,"Actual",Entries!$A$2:$A$5000,$A178,Entries!$B$2:$B$5000,S$1))</f>
        <v/>
      </c>
      <c r="T178" s="88">
        <f>IF(OR(T$1="",$BE178=0),"",SUMIFS(Entries!$D$2:$D$5000,Entries!$C$2:$C$5000,"Actual",Entries!$A$2:$A$5000,$A178,Entries!$B$2:$B$5000,T$1))</f>
        <v/>
      </c>
      <c r="U178" s="88">
        <f>IF(OR(U$1="",$BE178=0),"",SUMIFS(Entries!$D$2:$D$5000,Entries!$C$2:$C$5000,"Actual",Entries!$A$2:$A$5000,$A178,Entries!$B$2:$B$5000,U$1))</f>
        <v/>
      </c>
      <c r="V178" s="88">
        <f>IF(OR(V$1="",$BE178=0),"",SUMIFS(Entries!$D$2:$D$5000,Entries!$C$2:$C$5000,"Actual",Entries!$A$2:$A$5000,$A178,Entries!$B$2:$B$5000,V$1))</f>
        <v/>
      </c>
      <c r="W178" s="88">
        <f>IF(OR(W$1="",$BE178=0),"",SUMIFS(Entries!$D$2:$D$5000,Entries!$C$2:$C$5000,"Actual",Entries!$A$2:$A$5000,$A178,Entries!$B$2:$B$5000,W$1))</f>
        <v/>
      </c>
      <c r="X178" s="88">
        <f>IF(OR(X$1="",$BE178=0),"",SUMIFS(Entries!$D$2:$D$5000,Entries!$C$2:$C$5000,"Actual",Entries!$A$2:$A$5000,$A178,Entries!$B$2:$B$5000,X$1))</f>
        <v/>
      </c>
      <c r="Y178" s="88">
        <f>IF(OR(Y$1="",$BE178=0),"",SUMIFS(Entries!$D$2:$D$5000,Entries!$C$2:$C$5000,"Actual",Entries!$A$2:$A$5000,$A178,Entries!$B$2:$B$5000,Y$1))</f>
        <v/>
      </c>
      <c r="Z178" s="88">
        <f>IF(OR(Z$1="",$BE178=0),"",SUMIFS(Entries!$D$2:$D$5000,Entries!$C$2:$C$5000,"Actual",Entries!$A$2:$A$5000,$A178,Entries!$B$2:$B$5000,Z$1))</f>
        <v/>
      </c>
      <c r="AA178" s="88">
        <f>IF(OR(AA$1="",$BE178=0),"",SUMIFS(Entries!$D$2:$D$5000,Entries!$C$2:$C$5000,"Actual",Entries!$A$2:$A$5000,$A178,Entries!$B$2:$B$5000,AA$1))</f>
        <v/>
      </c>
      <c r="AB178" s="88">
        <f>IF(OR(AB$1="",$BE178=0),"",SUMIFS(Entries!$D$2:$D$5000,Entries!$C$2:$C$5000,"Actual",Entries!$A$2:$A$5000,$A178,Entries!$B$2:$B$5000,AB$1))</f>
        <v/>
      </c>
      <c r="AC178" s="88">
        <f>IF(OR(AC$1="",$BE178=0),"",SUMIFS(Entries!$D$2:$D$5000,Entries!$C$2:$C$5000,"Actual",Entries!$A$2:$A$5000,$A178,Entries!$B$2:$B$5000,AC$1))</f>
        <v/>
      </c>
      <c r="AD178" s="88">
        <f>IF(OR(AD$1="",$BE178=0),"",SUMIFS(Entries!$D$2:$D$5000,Entries!$C$2:$C$5000,"Actual",Entries!$A$2:$A$5000,$A178,Entries!$B$2:$B$5000,AD$1))</f>
        <v/>
      </c>
      <c r="AE178" s="88">
        <f>IF(OR(AE$1="",$BE178=0),"",SUMIFS(Entries!$D$2:$D$5000,Entries!$C$2:$C$5000,"Actual",Entries!$A$2:$A$5000,$A178,Entries!$B$2:$B$5000,AE$1))</f>
        <v/>
      </c>
      <c r="AF178" s="88">
        <f>IF(OR(AF$1="",$BE178=0),"",SUMIFS(Entries!$D$2:$D$5000,Entries!$C$2:$C$5000,"Actual",Entries!$A$2:$A$5000,$A178,Entries!$B$2:$B$5000,AF$1))</f>
        <v/>
      </c>
      <c r="AG178" s="88">
        <f>IF(OR(AG$1="",$BE178=0),"",SUMIFS(Entries!$D$2:$D$5000,Entries!$C$2:$C$5000,"Actual",Entries!$A$2:$A$5000,$A178,Entries!$B$2:$B$5000,AG$1))</f>
        <v/>
      </c>
      <c r="AH178" s="88">
        <f>IF(OR(AH$1="",$BE178=0),"",SUMIFS(Entries!$D$2:$D$5000,Entries!$C$2:$C$5000,"Actual",Entries!$A$2:$A$5000,$A178,Entries!$B$2:$B$5000,AH$1))</f>
        <v/>
      </c>
      <c r="AJ178" s="88">
        <f>IF(OR(AJ$1="",$BE178=0),"",IFERROR(LOOKUP(2,1/((Budgets!$A$2:$A$200=AJ$1)*(Budgets!$B$2:$B$200&lt;=$A178)),Budgets!$C$2:$C$200),0))</f>
        <v/>
      </c>
      <c r="AK178" s="88">
        <f>IF(OR(AK$1="",$BE178=0),"",IFERROR(LOOKUP(2,1/((Budgets!$A$2:$A$200=AK$1)*(Budgets!$B$2:$B$200&lt;=$A178)),Budgets!$C$2:$C$200),0))</f>
        <v/>
      </c>
      <c r="AL178" s="88">
        <f>IF(OR(AL$1="",$BE178=0),"",IFERROR(LOOKUP(2,1/((Budgets!$A$2:$A$200=AL$1)*(Budgets!$B$2:$B$200&lt;=$A178)),Budgets!$C$2:$C$200),0))</f>
        <v/>
      </c>
      <c r="AM178" s="88">
        <f>IF(OR(AM$1="",$BE178=0),"",IFERROR(LOOKUP(2,1/((Budgets!$A$2:$A$200=AM$1)*(Budgets!$B$2:$B$200&lt;=$A178)),Budgets!$C$2:$C$200),0))</f>
        <v/>
      </c>
      <c r="AN178" s="88">
        <f>IF(OR(AN$1="",$BE178=0),"",IFERROR(LOOKUP(2,1/((Budgets!$A$2:$A$200=AN$1)*(Budgets!$B$2:$B$200&lt;=$A178)),Budgets!$C$2:$C$200),0))</f>
        <v/>
      </c>
      <c r="AO178" s="88">
        <f>IF(OR(AO$1="",$BE178=0),"",IFERROR(LOOKUP(2,1/((Budgets!$A$2:$A$200=AO$1)*(Budgets!$B$2:$B$200&lt;=$A178)),Budgets!$C$2:$C$200),0))</f>
        <v/>
      </c>
      <c r="AP178" s="88">
        <f>IF(OR(AP$1="",$BE178=0),"",IFERROR(LOOKUP(2,1/((Budgets!$A$2:$A$200=AP$1)*(Budgets!$B$2:$B$200&lt;=$A178)),Budgets!$C$2:$C$200),0))</f>
        <v/>
      </c>
      <c r="AQ178" s="88">
        <f>IF(OR(AQ$1="",$BE178=0),"",IFERROR(LOOKUP(2,1/((Budgets!$A$2:$A$200=AQ$1)*(Budgets!$B$2:$B$200&lt;=$A178)),Budgets!$C$2:$C$200),0))</f>
        <v/>
      </c>
      <c r="AR178" s="88">
        <f>IF(OR(AR$1="",$BE178=0),"",IFERROR(LOOKUP(2,1/((Budgets!$A$2:$A$200=AR$1)*(Budgets!$B$2:$B$200&lt;=$A178)),Budgets!$C$2:$C$200),0))</f>
        <v/>
      </c>
      <c r="AS178" s="88">
        <f>IF(OR(AS$1="",$BE178=0),"",IFERROR(LOOKUP(2,1/((Budgets!$A$2:$A$200=AS$1)*(Budgets!$B$2:$B$200&lt;=$A178)),Budgets!$C$2:$C$200),0))</f>
        <v/>
      </c>
      <c r="AT178" s="88">
        <f>IF(OR(AT$1="",$BE178=0),"",IFERROR(LOOKUP(2,1/((Budgets!$A$2:$A$200=AT$1)*(Budgets!$B$2:$B$200&lt;=$A178)),Budgets!$C$2:$C$200),0))</f>
        <v/>
      </c>
      <c r="AU178" s="88">
        <f>IF(OR(AU$1="",$BE178=0),"",IFERROR(LOOKUP(2,1/((Budgets!$A$2:$A$200=AU$1)*(Budgets!$B$2:$B$200&lt;=$A178)),Budgets!$C$2:$C$200),0))</f>
        <v/>
      </c>
      <c r="AV178" s="88">
        <f>IF(OR(AV$1="",$BE178=0),"",IFERROR(LOOKUP(2,1/((Budgets!$A$2:$A$200=AV$1)*(Budgets!$B$2:$B$200&lt;=$A178)),Budgets!$C$2:$C$200),0))</f>
        <v/>
      </c>
      <c r="AW178" s="88">
        <f>IF(OR(AW$1="",$BE178=0),"",IFERROR(LOOKUP(2,1/((Budgets!$A$2:$A$200=AW$1)*(Budgets!$B$2:$B$200&lt;=$A178)),Budgets!$C$2:$C$200),0))</f>
        <v/>
      </c>
      <c r="AX178" s="88">
        <f>IF(OR(AX$1="",$BE178=0),"",IFERROR(LOOKUP(2,1/((Budgets!$A$2:$A$200=AX$1)*(Budgets!$B$2:$B$200&lt;=$A178)),Budgets!$C$2:$C$200),0))</f>
        <v/>
      </c>
      <c r="AY178" s="88">
        <f>IF(OR(AY$1="",$BE178=0),"",IFERROR(LOOKUP(2,1/((Budgets!$A$2:$A$200=AY$1)*(Budgets!$B$2:$B$200&lt;=$A178)),Budgets!$C$2:$C$200),0))</f>
        <v/>
      </c>
      <c r="AZ178" s="88">
        <f>IF(OR(AZ$1="",$BE178=0),"",IFERROR(LOOKUP(2,1/((Budgets!$A$2:$A$200=AZ$1)*(Budgets!$B$2:$B$200&lt;=$A178)),Budgets!$C$2:$C$200),0))</f>
        <v/>
      </c>
      <c r="BA178" s="88">
        <f>IF(OR(BA$1="",$BE178=0),"",IFERROR(LOOKUP(2,1/((Budgets!$A$2:$A$200=BA$1)*(Budgets!$B$2:$B$200&lt;=$A178)),Budgets!$C$2:$C$200),0))</f>
        <v/>
      </c>
      <c r="BB178" s="88">
        <f>IF(OR(BB$1="",$BE178=0),"",IFERROR(LOOKUP(2,1/((Budgets!$A$2:$A$200=BB$1)*(Budgets!$B$2:$B$200&lt;=$A178)),Budgets!$C$2:$C$200),0))</f>
        <v/>
      </c>
      <c r="BC178" s="88">
        <f>IF(OR(BC$1="",$BE178=0),"",IFERROR(LOOKUP(2,1/((Budgets!$A$2:$A$200=BC$1)*(Budgets!$B$2:$B$200&lt;=$A178)),Budgets!$C$2:$C$200),0))</f>
        <v/>
      </c>
      <c r="BE178" s="67">
        <f>COUNTIFS(Entries!$A$2:$A$5000,$A178)</f>
        <v/>
      </c>
    </row>
    <row r="179" ht="15" customHeight="1" s="43">
      <c r="A179" s="87" t="n">
        <v>44835</v>
      </c>
      <c r="B179" s="88">
        <f>IF($BE179=0,NA(),SUMIFS(Entries!$D$2:$D$5000,Entries!$C$2:$C$5000,"Income",Entries!$A$2:$A$5000,$A179))</f>
        <v/>
      </c>
      <c r="C179" s="88">
        <f>IF($BE179=0,"",SUMIFS(Entries!$D$2:$D$5000,Entries!$C$2:$C$5000,"Actual",Entries!$A$2:$A$5000,$A179))</f>
        <v/>
      </c>
      <c r="D179" s="88">
        <f>IF($BE179=0,"",SUMIFS(Entries!$D$2:$D$5000,Entries!$C$2:$C$5000,"One-off",Entries!$A$2:$A$5000,$A179))</f>
        <v/>
      </c>
      <c r="E179" s="88">
        <f>IF($BE179=0,NA(),C179+D179)</f>
        <v/>
      </c>
      <c r="F179" s="88">
        <f>IF($BE179=0,"",SUM(AJ179:BC179))</f>
        <v/>
      </c>
      <c r="G179" s="88">
        <f>IF($BE179=0,"",B179-E179)</f>
        <v/>
      </c>
      <c r="H179" s="88">
        <f>IF($BE179=0,"",SUM($G$2:G179))</f>
        <v/>
      </c>
      <c r="I179" s="88">
        <f>IF($BE179=0,"",SUMIFS(Entries!$F$2:$F$5000,Entries!$A$2:$A$5000,$A179))</f>
        <v/>
      </c>
      <c r="J179" s="88">
        <f>IF($BE179=0,NA(),H179+SUM($I$2:I179))</f>
        <v/>
      </c>
      <c r="K179" s="88">
        <f>IF($BE179=0,"",SUMIFS(Entries!$D$2:$D$5000,Entries!$C$2:$C$5000,"Income",Entries!$A$2:$A$5000,"&gt;="&amp;EDATE($A179,-11),Entries!$A$2:$A$5000,"&lt;="&amp;$A179)/12)</f>
        <v/>
      </c>
      <c r="L179" s="88">
        <f>IF($BE179=0,"",(SUMIFS(Entries!$D$2:$D$5000,Entries!$C$2:$C$5000,"Actual",Entries!$A$2:$A$5000,"&gt;="&amp;EDATE($A179,-11),Entries!$A$2:$A$5000,"&lt;="&amp;$A179)+SUMIFS(Entries!$D$2:$D$5000,Entries!$C$2:$C$5000,"One-off",Entries!$A$2:$A$5000,"&gt;="&amp;EDATE($A179,-11),Entries!$A$2:$A$5000,"&lt;="&amp;$A179))/12)</f>
        <v/>
      </c>
      <c r="M179" s="70">
        <f>IF($BE179=0,NA(),IFERROR((K179-L179)/K179,0))</f>
        <v/>
      </c>
      <c r="O179" s="88">
        <f>IF(OR(O$1="",$BE179=0),"",SUMIFS(Entries!$D$2:$D$5000,Entries!$C$2:$C$5000,"Actual",Entries!$A$2:$A$5000,$A179,Entries!$B$2:$B$5000,O$1))</f>
        <v/>
      </c>
      <c r="P179" s="88">
        <f>IF(OR(P$1="",$BE179=0),"",SUMIFS(Entries!$D$2:$D$5000,Entries!$C$2:$C$5000,"Actual",Entries!$A$2:$A$5000,$A179,Entries!$B$2:$B$5000,P$1))</f>
        <v/>
      </c>
      <c r="Q179" s="88">
        <f>IF(OR(Q$1="",$BE179=0),"",SUMIFS(Entries!$D$2:$D$5000,Entries!$C$2:$C$5000,"Actual",Entries!$A$2:$A$5000,$A179,Entries!$B$2:$B$5000,Q$1))</f>
        <v/>
      </c>
      <c r="R179" s="88">
        <f>IF(OR(R$1="",$BE179=0),"",SUMIFS(Entries!$D$2:$D$5000,Entries!$C$2:$C$5000,"Actual",Entries!$A$2:$A$5000,$A179,Entries!$B$2:$B$5000,R$1))</f>
        <v/>
      </c>
      <c r="S179" s="88">
        <f>IF(OR(S$1="",$BE179=0),"",SUMIFS(Entries!$D$2:$D$5000,Entries!$C$2:$C$5000,"Actual",Entries!$A$2:$A$5000,$A179,Entries!$B$2:$B$5000,S$1))</f>
        <v/>
      </c>
      <c r="T179" s="88">
        <f>IF(OR(T$1="",$BE179=0),"",SUMIFS(Entries!$D$2:$D$5000,Entries!$C$2:$C$5000,"Actual",Entries!$A$2:$A$5000,$A179,Entries!$B$2:$B$5000,T$1))</f>
        <v/>
      </c>
      <c r="U179" s="88">
        <f>IF(OR(U$1="",$BE179=0),"",SUMIFS(Entries!$D$2:$D$5000,Entries!$C$2:$C$5000,"Actual",Entries!$A$2:$A$5000,$A179,Entries!$B$2:$B$5000,U$1))</f>
        <v/>
      </c>
      <c r="V179" s="88">
        <f>IF(OR(V$1="",$BE179=0),"",SUMIFS(Entries!$D$2:$D$5000,Entries!$C$2:$C$5000,"Actual",Entries!$A$2:$A$5000,$A179,Entries!$B$2:$B$5000,V$1))</f>
        <v/>
      </c>
      <c r="W179" s="88">
        <f>IF(OR(W$1="",$BE179=0),"",SUMIFS(Entries!$D$2:$D$5000,Entries!$C$2:$C$5000,"Actual",Entries!$A$2:$A$5000,$A179,Entries!$B$2:$B$5000,W$1))</f>
        <v/>
      </c>
      <c r="X179" s="88">
        <f>IF(OR(X$1="",$BE179=0),"",SUMIFS(Entries!$D$2:$D$5000,Entries!$C$2:$C$5000,"Actual",Entries!$A$2:$A$5000,$A179,Entries!$B$2:$B$5000,X$1))</f>
        <v/>
      </c>
      <c r="Y179" s="88">
        <f>IF(OR(Y$1="",$BE179=0),"",SUMIFS(Entries!$D$2:$D$5000,Entries!$C$2:$C$5000,"Actual",Entries!$A$2:$A$5000,$A179,Entries!$B$2:$B$5000,Y$1))</f>
        <v/>
      </c>
      <c r="Z179" s="88">
        <f>IF(OR(Z$1="",$BE179=0),"",SUMIFS(Entries!$D$2:$D$5000,Entries!$C$2:$C$5000,"Actual",Entries!$A$2:$A$5000,$A179,Entries!$B$2:$B$5000,Z$1))</f>
        <v/>
      </c>
      <c r="AA179" s="88">
        <f>IF(OR(AA$1="",$BE179=0),"",SUMIFS(Entries!$D$2:$D$5000,Entries!$C$2:$C$5000,"Actual",Entries!$A$2:$A$5000,$A179,Entries!$B$2:$B$5000,AA$1))</f>
        <v/>
      </c>
      <c r="AB179" s="88">
        <f>IF(OR(AB$1="",$BE179=0),"",SUMIFS(Entries!$D$2:$D$5000,Entries!$C$2:$C$5000,"Actual",Entries!$A$2:$A$5000,$A179,Entries!$B$2:$B$5000,AB$1))</f>
        <v/>
      </c>
      <c r="AC179" s="88">
        <f>IF(OR(AC$1="",$BE179=0),"",SUMIFS(Entries!$D$2:$D$5000,Entries!$C$2:$C$5000,"Actual",Entries!$A$2:$A$5000,$A179,Entries!$B$2:$B$5000,AC$1))</f>
        <v/>
      </c>
      <c r="AD179" s="88">
        <f>IF(OR(AD$1="",$BE179=0),"",SUMIFS(Entries!$D$2:$D$5000,Entries!$C$2:$C$5000,"Actual",Entries!$A$2:$A$5000,$A179,Entries!$B$2:$B$5000,AD$1))</f>
        <v/>
      </c>
      <c r="AE179" s="88">
        <f>IF(OR(AE$1="",$BE179=0),"",SUMIFS(Entries!$D$2:$D$5000,Entries!$C$2:$C$5000,"Actual",Entries!$A$2:$A$5000,$A179,Entries!$B$2:$B$5000,AE$1))</f>
        <v/>
      </c>
      <c r="AF179" s="88">
        <f>IF(OR(AF$1="",$BE179=0),"",SUMIFS(Entries!$D$2:$D$5000,Entries!$C$2:$C$5000,"Actual",Entries!$A$2:$A$5000,$A179,Entries!$B$2:$B$5000,AF$1))</f>
        <v/>
      </c>
      <c r="AG179" s="88">
        <f>IF(OR(AG$1="",$BE179=0),"",SUMIFS(Entries!$D$2:$D$5000,Entries!$C$2:$C$5000,"Actual",Entries!$A$2:$A$5000,$A179,Entries!$B$2:$B$5000,AG$1))</f>
        <v/>
      </c>
      <c r="AH179" s="88">
        <f>IF(OR(AH$1="",$BE179=0),"",SUMIFS(Entries!$D$2:$D$5000,Entries!$C$2:$C$5000,"Actual",Entries!$A$2:$A$5000,$A179,Entries!$B$2:$B$5000,AH$1))</f>
        <v/>
      </c>
      <c r="AJ179" s="88">
        <f>IF(OR(AJ$1="",$BE179=0),"",IFERROR(LOOKUP(2,1/((Budgets!$A$2:$A$200=AJ$1)*(Budgets!$B$2:$B$200&lt;=$A179)),Budgets!$C$2:$C$200),0))</f>
        <v/>
      </c>
      <c r="AK179" s="88">
        <f>IF(OR(AK$1="",$BE179=0),"",IFERROR(LOOKUP(2,1/((Budgets!$A$2:$A$200=AK$1)*(Budgets!$B$2:$B$200&lt;=$A179)),Budgets!$C$2:$C$200),0))</f>
        <v/>
      </c>
      <c r="AL179" s="88">
        <f>IF(OR(AL$1="",$BE179=0),"",IFERROR(LOOKUP(2,1/((Budgets!$A$2:$A$200=AL$1)*(Budgets!$B$2:$B$200&lt;=$A179)),Budgets!$C$2:$C$200),0))</f>
        <v/>
      </c>
      <c r="AM179" s="88">
        <f>IF(OR(AM$1="",$BE179=0),"",IFERROR(LOOKUP(2,1/((Budgets!$A$2:$A$200=AM$1)*(Budgets!$B$2:$B$200&lt;=$A179)),Budgets!$C$2:$C$200),0))</f>
        <v/>
      </c>
      <c r="AN179" s="88">
        <f>IF(OR(AN$1="",$BE179=0),"",IFERROR(LOOKUP(2,1/((Budgets!$A$2:$A$200=AN$1)*(Budgets!$B$2:$B$200&lt;=$A179)),Budgets!$C$2:$C$200),0))</f>
        <v/>
      </c>
      <c r="AO179" s="88">
        <f>IF(OR(AO$1="",$BE179=0),"",IFERROR(LOOKUP(2,1/((Budgets!$A$2:$A$200=AO$1)*(Budgets!$B$2:$B$200&lt;=$A179)),Budgets!$C$2:$C$200),0))</f>
        <v/>
      </c>
      <c r="AP179" s="88">
        <f>IF(OR(AP$1="",$BE179=0),"",IFERROR(LOOKUP(2,1/((Budgets!$A$2:$A$200=AP$1)*(Budgets!$B$2:$B$200&lt;=$A179)),Budgets!$C$2:$C$200),0))</f>
        <v/>
      </c>
      <c r="AQ179" s="88">
        <f>IF(OR(AQ$1="",$BE179=0),"",IFERROR(LOOKUP(2,1/((Budgets!$A$2:$A$200=AQ$1)*(Budgets!$B$2:$B$200&lt;=$A179)),Budgets!$C$2:$C$200),0))</f>
        <v/>
      </c>
      <c r="AR179" s="88">
        <f>IF(OR(AR$1="",$BE179=0),"",IFERROR(LOOKUP(2,1/((Budgets!$A$2:$A$200=AR$1)*(Budgets!$B$2:$B$200&lt;=$A179)),Budgets!$C$2:$C$200),0))</f>
        <v/>
      </c>
      <c r="AS179" s="88">
        <f>IF(OR(AS$1="",$BE179=0),"",IFERROR(LOOKUP(2,1/((Budgets!$A$2:$A$200=AS$1)*(Budgets!$B$2:$B$200&lt;=$A179)),Budgets!$C$2:$C$200),0))</f>
        <v/>
      </c>
      <c r="AT179" s="88">
        <f>IF(OR(AT$1="",$BE179=0),"",IFERROR(LOOKUP(2,1/((Budgets!$A$2:$A$200=AT$1)*(Budgets!$B$2:$B$200&lt;=$A179)),Budgets!$C$2:$C$200),0))</f>
        <v/>
      </c>
      <c r="AU179" s="88">
        <f>IF(OR(AU$1="",$BE179=0),"",IFERROR(LOOKUP(2,1/((Budgets!$A$2:$A$200=AU$1)*(Budgets!$B$2:$B$200&lt;=$A179)),Budgets!$C$2:$C$200),0))</f>
        <v/>
      </c>
      <c r="AV179" s="88">
        <f>IF(OR(AV$1="",$BE179=0),"",IFERROR(LOOKUP(2,1/((Budgets!$A$2:$A$200=AV$1)*(Budgets!$B$2:$B$200&lt;=$A179)),Budgets!$C$2:$C$200),0))</f>
        <v/>
      </c>
      <c r="AW179" s="88">
        <f>IF(OR(AW$1="",$BE179=0),"",IFERROR(LOOKUP(2,1/((Budgets!$A$2:$A$200=AW$1)*(Budgets!$B$2:$B$200&lt;=$A179)),Budgets!$C$2:$C$200),0))</f>
        <v/>
      </c>
      <c r="AX179" s="88">
        <f>IF(OR(AX$1="",$BE179=0),"",IFERROR(LOOKUP(2,1/((Budgets!$A$2:$A$200=AX$1)*(Budgets!$B$2:$B$200&lt;=$A179)),Budgets!$C$2:$C$200),0))</f>
        <v/>
      </c>
      <c r="AY179" s="88">
        <f>IF(OR(AY$1="",$BE179=0),"",IFERROR(LOOKUP(2,1/((Budgets!$A$2:$A$200=AY$1)*(Budgets!$B$2:$B$200&lt;=$A179)),Budgets!$C$2:$C$200),0))</f>
        <v/>
      </c>
      <c r="AZ179" s="88">
        <f>IF(OR(AZ$1="",$BE179=0),"",IFERROR(LOOKUP(2,1/((Budgets!$A$2:$A$200=AZ$1)*(Budgets!$B$2:$B$200&lt;=$A179)),Budgets!$C$2:$C$200),0))</f>
        <v/>
      </c>
      <c r="BA179" s="88">
        <f>IF(OR(BA$1="",$BE179=0),"",IFERROR(LOOKUP(2,1/((Budgets!$A$2:$A$200=BA$1)*(Budgets!$B$2:$B$200&lt;=$A179)),Budgets!$C$2:$C$200),0))</f>
        <v/>
      </c>
      <c r="BB179" s="88">
        <f>IF(OR(BB$1="",$BE179=0),"",IFERROR(LOOKUP(2,1/((Budgets!$A$2:$A$200=BB$1)*(Budgets!$B$2:$B$200&lt;=$A179)),Budgets!$C$2:$C$200),0))</f>
        <v/>
      </c>
      <c r="BC179" s="88">
        <f>IF(OR(BC$1="",$BE179=0),"",IFERROR(LOOKUP(2,1/((Budgets!$A$2:$A$200=BC$1)*(Budgets!$B$2:$B$200&lt;=$A179)),Budgets!$C$2:$C$200),0))</f>
        <v/>
      </c>
      <c r="BE179" s="67">
        <f>COUNTIFS(Entries!$A$2:$A$5000,$A179)</f>
        <v/>
      </c>
    </row>
    <row r="180" ht="15" customHeight="1" s="43">
      <c r="A180" s="87" t="n">
        <v>44866</v>
      </c>
      <c r="B180" s="88">
        <f>IF($BE180=0,NA(),SUMIFS(Entries!$D$2:$D$5000,Entries!$C$2:$C$5000,"Income",Entries!$A$2:$A$5000,$A180))</f>
        <v/>
      </c>
      <c r="C180" s="88">
        <f>IF($BE180=0,"",SUMIFS(Entries!$D$2:$D$5000,Entries!$C$2:$C$5000,"Actual",Entries!$A$2:$A$5000,$A180))</f>
        <v/>
      </c>
      <c r="D180" s="88">
        <f>IF($BE180=0,"",SUMIFS(Entries!$D$2:$D$5000,Entries!$C$2:$C$5000,"One-off",Entries!$A$2:$A$5000,$A180))</f>
        <v/>
      </c>
      <c r="E180" s="88">
        <f>IF($BE180=0,NA(),C180+D180)</f>
        <v/>
      </c>
      <c r="F180" s="88">
        <f>IF($BE180=0,"",SUM(AJ180:BC180))</f>
        <v/>
      </c>
      <c r="G180" s="88">
        <f>IF($BE180=0,"",B180-E180)</f>
        <v/>
      </c>
      <c r="H180" s="88">
        <f>IF($BE180=0,"",SUM($G$2:G180))</f>
        <v/>
      </c>
      <c r="I180" s="88">
        <f>IF($BE180=0,"",SUMIFS(Entries!$F$2:$F$5000,Entries!$A$2:$A$5000,$A180))</f>
        <v/>
      </c>
      <c r="J180" s="88">
        <f>IF($BE180=0,NA(),H180+SUM($I$2:I180))</f>
        <v/>
      </c>
      <c r="K180" s="88">
        <f>IF($BE180=0,"",SUMIFS(Entries!$D$2:$D$5000,Entries!$C$2:$C$5000,"Income",Entries!$A$2:$A$5000,"&gt;="&amp;EDATE($A180,-11),Entries!$A$2:$A$5000,"&lt;="&amp;$A180)/12)</f>
        <v/>
      </c>
      <c r="L180" s="88">
        <f>IF($BE180=0,"",(SUMIFS(Entries!$D$2:$D$5000,Entries!$C$2:$C$5000,"Actual",Entries!$A$2:$A$5000,"&gt;="&amp;EDATE($A180,-11),Entries!$A$2:$A$5000,"&lt;="&amp;$A180)+SUMIFS(Entries!$D$2:$D$5000,Entries!$C$2:$C$5000,"One-off",Entries!$A$2:$A$5000,"&gt;="&amp;EDATE($A180,-11),Entries!$A$2:$A$5000,"&lt;="&amp;$A180))/12)</f>
        <v/>
      </c>
      <c r="M180" s="70">
        <f>IF($BE180=0,NA(),IFERROR((K180-L180)/K180,0))</f>
        <v/>
      </c>
      <c r="O180" s="88">
        <f>IF(OR(O$1="",$BE180=0),"",SUMIFS(Entries!$D$2:$D$5000,Entries!$C$2:$C$5000,"Actual",Entries!$A$2:$A$5000,$A180,Entries!$B$2:$B$5000,O$1))</f>
        <v/>
      </c>
      <c r="P180" s="88">
        <f>IF(OR(P$1="",$BE180=0),"",SUMIFS(Entries!$D$2:$D$5000,Entries!$C$2:$C$5000,"Actual",Entries!$A$2:$A$5000,$A180,Entries!$B$2:$B$5000,P$1))</f>
        <v/>
      </c>
      <c r="Q180" s="88">
        <f>IF(OR(Q$1="",$BE180=0),"",SUMIFS(Entries!$D$2:$D$5000,Entries!$C$2:$C$5000,"Actual",Entries!$A$2:$A$5000,$A180,Entries!$B$2:$B$5000,Q$1))</f>
        <v/>
      </c>
      <c r="R180" s="88">
        <f>IF(OR(R$1="",$BE180=0),"",SUMIFS(Entries!$D$2:$D$5000,Entries!$C$2:$C$5000,"Actual",Entries!$A$2:$A$5000,$A180,Entries!$B$2:$B$5000,R$1))</f>
        <v/>
      </c>
      <c r="S180" s="88">
        <f>IF(OR(S$1="",$BE180=0),"",SUMIFS(Entries!$D$2:$D$5000,Entries!$C$2:$C$5000,"Actual",Entries!$A$2:$A$5000,$A180,Entries!$B$2:$B$5000,S$1))</f>
        <v/>
      </c>
      <c r="T180" s="88">
        <f>IF(OR(T$1="",$BE180=0),"",SUMIFS(Entries!$D$2:$D$5000,Entries!$C$2:$C$5000,"Actual",Entries!$A$2:$A$5000,$A180,Entries!$B$2:$B$5000,T$1))</f>
        <v/>
      </c>
      <c r="U180" s="88">
        <f>IF(OR(U$1="",$BE180=0),"",SUMIFS(Entries!$D$2:$D$5000,Entries!$C$2:$C$5000,"Actual",Entries!$A$2:$A$5000,$A180,Entries!$B$2:$B$5000,U$1))</f>
        <v/>
      </c>
      <c r="V180" s="88">
        <f>IF(OR(V$1="",$BE180=0),"",SUMIFS(Entries!$D$2:$D$5000,Entries!$C$2:$C$5000,"Actual",Entries!$A$2:$A$5000,$A180,Entries!$B$2:$B$5000,V$1))</f>
        <v/>
      </c>
      <c r="W180" s="88">
        <f>IF(OR(W$1="",$BE180=0),"",SUMIFS(Entries!$D$2:$D$5000,Entries!$C$2:$C$5000,"Actual",Entries!$A$2:$A$5000,$A180,Entries!$B$2:$B$5000,W$1))</f>
        <v/>
      </c>
      <c r="X180" s="88">
        <f>IF(OR(X$1="",$BE180=0),"",SUMIFS(Entries!$D$2:$D$5000,Entries!$C$2:$C$5000,"Actual",Entries!$A$2:$A$5000,$A180,Entries!$B$2:$B$5000,X$1))</f>
        <v/>
      </c>
      <c r="Y180" s="88">
        <f>IF(OR(Y$1="",$BE180=0),"",SUMIFS(Entries!$D$2:$D$5000,Entries!$C$2:$C$5000,"Actual",Entries!$A$2:$A$5000,$A180,Entries!$B$2:$B$5000,Y$1))</f>
        <v/>
      </c>
      <c r="Z180" s="88">
        <f>IF(OR(Z$1="",$BE180=0),"",SUMIFS(Entries!$D$2:$D$5000,Entries!$C$2:$C$5000,"Actual",Entries!$A$2:$A$5000,$A180,Entries!$B$2:$B$5000,Z$1))</f>
        <v/>
      </c>
      <c r="AA180" s="88">
        <f>IF(OR(AA$1="",$BE180=0),"",SUMIFS(Entries!$D$2:$D$5000,Entries!$C$2:$C$5000,"Actual",Entries!$A$2:$A$5000,$A180,Entries!$B$2:$B$5000,AA$1))</f>
        <v/>
      </c>
      <c r="AB180" s="88">
        <f>IF(OR(AB$1="",$BE180=0),"",SUMIFS(Entries!$D$2:$D$5000,Entries!$C$2:$C$5000,"Actual",Entries!$A$2:$A$5000,$A180,Entries!$B$2:$B$5000,AB$1))</f>
        <v/>
      </c>
      <c r="AC180" s="88">
        <f>IF(OR(AC$1="",$BE180=0),"",SUMIFS(Entries!$D$2:$D$5000,Entries!$C$2:$C$5000,"Actual",Entries!$A$2:$A$5000,$A180,Entries!$B$2:$B$5000,AC$1))</f>
        <v/>
      </c>
      <c r="AD180" s="88">
        <f>IF(OR(AD$1="",$BE180=0),"",SUMIFS(Entries!$D$2:$D$5000,Entries!$C$2:$C$5000,"Actual",Entries!$A$2:$A$5000,$A180,Entries!$B$2:$B$5000,AD$1))</f>
        <v/>
      </c>
      <c r="AE180" s="88">
        <f>IF(OR(AE$1="",$BE180=0),"",SUMIFS(Entries!$D$2:$D$5000,Entries!$C$2:$C$5000,"Actual",Entries!$A$2:$A$5000,$A180,Entries!$B$2:$B$5000,AE$1))</f>
        <v/>
      </c>
      <c r="AF180" s="88">
        <f>IF(OR(AF$1="",$BE180=0),"",SUMIFS(Entries!$D$2:$D$5000,Entries!$C$2:$C$5000,"Actual",Entries!$A$2:$A$5000,$A180,Entries!$B$2:$B$5000,AF$1))</f>
        <v/>
      </c>
      <c r="AG180" s="88">
        <f>IF(OR(AG$1="",$BE180=0),"",SUMIFS(Entries!$D$2:$D$5000,Entries!$C$2:$C$5000,"Actual",Entries!$A$2:$A$5000,$A180,Entries!$B$2:$B$5000,AG$1))</f>
        <v/>
      </c>
      <c r="AH180" s="88">
        <f>IF(OR(AH$1="",$BE180=0),"",SUMIFS(Entries!$D$2:$D$5000,Entries!$C$2:$C$5000,"Actual",Entries!$A$2:$A$5000,$A180,Entries!$B$2:$B$5000,AH$1))</f>
        <v/>
      </c>
      <c r="AJ180" s="88">
        <f>IF(OR(AJ$1="",$BE180=0),"",IFERROR(LOOKUP(2,1/((Budgets!$A$2:$A$200=AJ$1)*(Budgets!$B$2:$B$200&lt;=$A180)),Budgets!$C$2:$C$200),0))</f>
        <v/>
      </c>
      <c r="AK180" s="88">
        <f>IF(OR(AK$1="",$BE180=0),"",IFERROR(LOOKUP(2,1/((Budgets!$A$2:$A$200=AK$1)*(Budgets!$B$2:$B$200&lt;=$A180)),Budgets!$C$2:$C$200),0))</f>
        <v/>
      </c>
      <c r="AL180" s="88">
        <f>IF(OR(AL$1="",$BE180=0),"",IFERROR(LOOKUP(2,1/((Budgets!$A$2:$A$200=AL$1)*(Budgets!$B$2:$B$200&lt;=$A180)),Budgets!$C$2:$C$200),0))</f>
        <v/>
      </c>
      <c r="AM180" s="88">
        <f>IF(OR(AM$1="",$BE180=0),"",IFERROR(LOOKUP(2,1/((Budgets!$A$2:$A$200=AM$1)*(Budgets!$B$2:$B$200&lt;=$A180)),Budgets!$C$2:$C$200),0))</f>
        <v/>
      </c>
      <c r="AN180" s="88">
        <f>IF(OR(AN$1="",$BE180=0),"",IFERROR(LOOKUP(2,1/((Budgets!$A$2:$A$200=AN$1)*(Budgets!$B$2:$B$200&lt;=$A180)),Budgets!$C$2:$C$200),0))</f>
        <v/>
      </c>
      <c r="AO180" s="88">
        <f>IF(OR(AO$1="",$BE180=0),"",IFERROR(LOOKUP(2,1/((Budgets!$A$2:$A$200=AO$1)*(Budgets!$B$2:$B$200&lt;=$A180)),Budgets!$C$2:$C$200),0))</f>
        <v/>
      </c>
      <c r="AP180" s="88">
        <f>IF(OR(AP$1="",$BE180=0),"",IFERROR(LOOKUP(2,1/((Budgets!$A$2:$A$200=AP$1)*(Budgets!$B$2:$B$200&lt;=$A180)),Budgets!$C$2:$C$200),0))</f>
        <v/>
      </c>
      <c r="AQ180" s="88">
        <f>IF(OR(AQ$1="",$BE180=0),"",IFERROR(LOOKUP(2,1/((Budgets!$A$2:$A$200=AQ$1)*(Budgets!$B$2:$B$200&lt;=$A180)),Budgets!$C$2:$C$200),0))</f>
        <v/>
      </c>
      <c r="AR180" s="88">
        <f>IF(OR(AR$1="",$BE180=0),"",IFERROR(LOOKUP(2,1/((Budgets!$A$2:$A$200=AR$1)*(Budgets!$B$2:$B$200&lt;=$A180)),Budgets!$C$2:$C$200),0))</f>
        <v/>
      </c>
      <c r="AS180" s="88">
        <f>IF(OR(AS$1="",$BE180=0),"",IFERROR(LOOKUP(2,1/((Budgets!$A$2:$A$200=AS$1)*(Budgets!$B$2:$B$200&lt;=$A180)),Budgets!$C$2:$C$200),0))</f>
        <v/>
      </c>
      <c r="AT180" s="88">
        <f>IF(OR(AT$1="",$BE180=0),"",IFERROR(LOOKUP(2,1/((Budgets!$A$2:$A$200=AT$1)*(Budgets!$B$2:$B$200&lt;=$A180)),Budgets!$C$2:$C$200),0))</f>
        <v/>
      </c>
      <c r="AU180" s="88">
        <f>IF(OR(AU$1="",$BE180=0),"",IFERROR(LOOKUP(2,1/((Budgets!$A$2:$A$200=AU$1)*(Budgets!$B$2:$B$200&lt;=$A180)),Budgets!$C$2:$C$200),0))</f>
        <v/>
      </c>
      <c r="AV180" s="88">
        <f>IF(OR(AV$1="",$BE180=0),"",IFERROR(LOOKUP(2,1/((Budgets!$A$2:$A$200=AV$1)*(Budgets!$B$2:$B$200&lt;=$A180)),Budgets!$C$2:$C$200),0))</f>
        <v/>
      </c>
      <c r="AW180" s="88">
        <f>IF(OR(AW$1="",$BE180=0),"",IFERROR(LOOKUP(2,1/((Budgets!$A$2:$A$200=AW$1)*(Budgets!$B$2:$B$200&lt;=$A180)),Budgets!$C$2:$C$200),0))</f>
        <v/>
      </c>
      <c r="AX180" s="88">
        <f>IF(OR(AX$1="",$BE180=0),"",IFERROR(LOOKUP(2,1/((Budgets!$A$2:$A$200=AX$1)*(Budgets!$B$2:$B$200&lt;=$A180)),Budgets!$C$2:$C$200),0))</f>
        <v/>
      </c>
      <c r="AY180" s="88">
        <f>IF(OR(AY$1="",$BE180=0),"",IFERROR(LOOKUP(2,1/((Budgets!$A$2:$A$200=AY$1)*(Budgets!$B$2:$B$200&lt;=$A180)),Budgets!$C$2:$C$200),0))</f>
        <v/>
      </c>
      <c r="AZ180" s="88">
        <f>IF(OR(AZ$1="",$BE180=0),"",IFERROR(LOOKUP(2,1/((Budgets!$A$2:$A$200=AZ$1)*(Budgets!$B$2:$B$200&lt;=$A180)),Budgets!$C$2:$C$200),0))</f>
        <v/>
      </c>
      <c r="BA180" s="88">
        <f>IF(OR(BA$1="",$BE180=0),"",IFERROR(LOOKUP(2,1/((Budgets!$A$2:$A$200=BA$1)*(Budgets!$B$2:$B$200&lt;=$A180)),Budgets!$C$2:$C$200),0))</f>
        <v/>
      </c>
      <c r="BB180" s="88">
        <f>IF(OR(BB$1="",$BE180=0),"",IFERROR(LOOKUP(2,1/((Budgets!$A$2:$A$200=BB$1)*(Budgets!$B$2:$B$200&lt;=$A180)),Budgets!$C$2:$C$200),0))</f>
        <v/>
      </c>
      <c r="BC180" s="88">
        <f>IF(OR(BC$1="",$BE180=0),"",IFERROR(LOOKUP(2,1/((Budgets!$A$2:$A$200=BC$1)*(Budgets!$B$2:$B$200&lt;=$A180)),Budgets!$C$2:$C$200),0))</f>
        <v/>
      </c>
      <c r="BE180" s="67">
        <f>COUNTIFS(Entries!$A$2:$A$5000,$A180)</f>
        <v/>
      </c>
    </row>
    <row r="181" ht="15" customHeight="1" s="43">
      <c r="A181" s="87" t="n">
        <v>44896</v>
      </c>
      <c r="B181" s="88">
        <f>IF($BE181=0,NA(),SUMIFS(Entries!$D$2:$D$5000,Entries!$C$2:$C$5000,"Income",Entries!$A$2:$A$5000,$A181))</f>
        <v/>
      </c>
      <c r="C181" s="88">
        <f>IF($BE181=0,"",SUMIFS(Entries!$D$2:$D$5000,Entries!$C$2:$C$5000,"Actual",Entries!$A$2:$A$5000,$A181))</f>
        <v/>
      </c>
      <c r="D181" s="88">
        <f>IF($BE181=0,"",SUMIFS(Entries!$D$2:$D$5000,Entries!$C$2:$C$5000,"One-off",Entries!$A$2:$A$5000,$A181))</f>
        <v/>
      </c>
      <c r="E181" s="88">
        <f>IF($BE181=0,NA(),C181+D181)</f>
        <v/>
      </c>
      <c r="F181" s="88">
        <f>IF($BE181=0,"",SUM(AJ181:BC181))</f>
        <v/>
      </c>
      <c r="G181" s="88">
        <f>IF($BE181=0,"",B181-E181)</f>
        <v/>
      </c>
      <c r="H181" s="88">
        <f>IF($BE181=0,"",SUM($G$2:G181))</f>
        <v/>
      </c>
      <c r="I181" s="88">
        <f>IF($BE181=0,"",SUMIFS(Entries!$F$2:$F$5000,Entries!$A$2:$A$5000,$A181))</f>
        <v/>
      </c>
      <c r="J181" s="88">
        <f>IF($BE181=0,NA(),H181+SUM($I$2:I181))</f>
        <v/>
      </c>
      <c r="K181" s="88">
        <f>IF($BE181=0,"",SUMIFS(Entries!$D$2:$D$5000,Entries!$C$2:$C$5000,"Income",Entries!$A$2:$A$5000,"&gt;="&amp;EDATE($A181,-11),Entries!$A$2:$A$5000,"&lt;="&amp;$A181)/12)</f>
        <v/>
      </c>
      <c r="L181" s="88">
        <f>IF($BE181=0,"",(SUMIFS(Entries!$D$2:$D$5000,Entries!$C$2:$C$5000,"Actual",Entries!$A$2:$A$5000,"&gt;="&amp;EDATE($A181,-11),Entries!$A$2:$A$5000,"&lt;="&amp;$A181)+SUMIFS(Entries!$D$2:$D$5000,Entries!$C$2:$C$5000,"One-off",Entries!$A$2:$A$5000,"&gt;="&amp;EDATE($A181,-11),Entries!$A$2:$A$5000,"&lt;="&amp;$A181))/12)</f>
        <v/>
      </c>
      <c r="M181" s="70">
        <f>IF($BE181=0,NA(),IFERROR((K181-L181)/K181,0))</f>
        <v/>
      </c>
      <c r="O181" s="88">
        <f>IF(OR(O$1="",$BE181=0),"",SUMIFS(Entries!$D$2:$D$5000,Entries!$C$2:$C$5000,"Actual",Entries!$A$2:$A$5000,$A181,Entries!$B$2:$B$5000,O$1))</f>
        <v/>
      </c>
      <c r="P181" s="88">
        <f>IF(OR(P$1="",$BE181=0),"",SUMIFS(Entries!$D$2:$D$5000,Entries!$C$2:$C$5000,"Actual",Entries!$A$2:$A$5000,$A181,Entries!$B$2:$B$5000,P$1))</f>
        <v/>
      </c>
      <c r="Q181" s="88">
        <f>IF(OR(Q$1="",$BE181=0),"",SUMIFS(Entries!$D$2:$D$5000,Entries!$C$2:$C$5000,"Actual",Entries!$A$2:$A$5000,$A181,Entries!$B$2:$B$5000,Q$1))</f>
        <v/>
      </c>
      <c r="R181" s="88">
        <f>IF(OR(R$1="",$BE181=0),"",SUMIFS(Entries!$D$2:$D$5000,Entries!$C$2:$C$5000,"Actual",Entries!$A$2:$A$5000,$A181,Entries!$B$2:$B$5000,R$1))</f>
        <v/>
      </c>
      <c r="S181" s="88">
        <f>IF(OR(S$1="",$BE181=0),"",SUMIFS(Entries!$D$2:$D$5000,Entries!$C$2:$C$5000,"Actual",Entries!$A$2:$A$5000,$A181,Entries!$B$2:$B$5000,S$1))</f>
        <v/>
      </c>
      <c r="T181" s="88">
        <f>IF(OR(T$1="",$BE181=0),"",SUMIFS(Entries!$D$2:$D$5000,Entries!$C$2:$C$5000,"Actual",Entries!$A$2:$A$5000,$A181,Entries!$B$2:$B$5000,T$1))</f>
        <v/>
      </c>
      <c r="U181" s="88">
        <f>IF(OR(U$1="",$BE181=0),"",SUMIFS(Entries!$D$2:$D$5000,Entries!$C$2:$C$5000,"Actual",Entries!$A$2:$A$5000,$A181,Entries!$B$2:$B$5000,U$1))</f>
        <v/>
      </c>
      <c r="V181" s="88">
        <f>IF(OR(V$1="",$BE181=0),"",SUMIFS(Entries!$D$2:$D$5000,Entries!$C$2:$C$5000,"Actual",Entries!$A$2:$A$5000,$A181,Entries!$B$2:$B$5000,V$1))</f>
        <v/>
      </c>
      <c r="W181" s="88">
        <f>IF(OR(W$1="",$BE181=0),"",SUMIFS(Entries!$D$2:$D$5000,Entries!$C$2:$C$5000,"Actual",Entries!$A$2:$A$5000,$A181,Entries!$B$2:$B$5000,W$1))</f>
        <v/>
      </c>
      <c r="X181" s="88">
        <f>IF(OR(X$1="",$BE181=0),"",SUMIFS(Entries!$D$2:$D$5000,Entries!$C$2:$C$5000,"Actual",Entries!$A$2:$A$5000,$A181,Entries!$B$2:$B$5000,X$1))</f>
        <v/>
      </c>
      <c r="Y181" s="88">
        <f>IF(OR(Y$1="",$BE181=0),"",SUMIFS(Entries!$D$2:$D$5000,Entries!$C$2:$C$5000,"Actual",Entries!$A$2:$A$5000,$A181,Entries!$B$2:$B$5000,Y$1))</f>
        <v/>
      </c>
      <c r="Z181" s="88">
        <f>IF(OR(Z$1="",$BE181=0),"",SUMIFS(Entries!$D$2:$D$5000,Entries!$C$2:$C$5000,"Actual",Entries!$A$2:$A$5000,$A181,Entries!$B$2:$B$5000,Z$1))</f>
        <v/>
      </c>
      <c r="AA181" s="88">
        <f>IF(OR(AA$1="",$BE181=0),"",SUMIFS(Entries!$D$2:$D$5000,Entries!$C$2:$C$5000,"Actual",Entries!$A$2:$A$5000,$A181,Entries!$B$2:$B$5000,AA$1))</f>
        <v/>
      </c>
      <c r="AB181" s="88">
        <f>IF(OR(AB$1="",$BE181=0),"",SUMIFS(Entries!$D$2:$D$5000,Entries!$C$2:$C$5000,"Actual",Entries!$A$2:$A$5000,$A181,Entries!$B$2:$B$5000,AB$1))</f>
        <v/>
      </c>
      <c r="AC181" s="88">
        <f>IF(OR(AC$1="",$BE181=0),"",SUMIFS(Entries!$D$2:$D$5000,Entries!$C$2:$C$5000,"Actual",Entries!$A$2:$A$5000,$A181,Entries!$B$2:$B$5000,AC$1))</f>
        <v/>
      </c>
      <c r="AD181" s="88">
        <f>IF(OR(AD$1="",$BE181=0),"",SUMIFS(Entries!$D$2:$D$5000,Entries!$C$2:$C$5000,"Actual",Entries!$A$2:$A$5000,$A181,Entries!$B$2:$B$5000,AD$1))</f>
        <v/>
      </c>
      <c r="AE181" s="88">
        <f>IF(OR(AE$1="",$BE181=0),"",SUMIFS(Entries!$D$2:$D$5000,Entries!$C$2:$C$5000,"Actual",Entries!$A$2:$A$5000,$A181,Entries!$B$2:$B$5000,AE$1))</f>
        <v/>
      </c>
      <c r="AF181" s="88">
        <f>IF(OR(AF$1="",$BE181=0),"",SUMIFS(Entries!$D$2:$D$5000,Entries!$C$2:$C$5000,"Actual",Entries!$A$2:$A$5000,$A181,Entries!$B$2:$B$5000,AF$1))</f>
        <v/>
      </c>
      <c r="AG181" s="88">
        <f>IF(OR(AG$1="",$BE181=0),"",SUMIFS(Entries!$D$2:$D$5000,Entries!$C$2:$C$5000,"Actual",Entries!$A$2:$A$5000,$A181,Entries!$B$2:$B$5000,AG$1))</f>
        <v/>
      </c>
      <c r="AH181" s="88">
        <f>IF(OR(AH$1="",$BE181=0),"",SUMIFS(Entries!$D$2:$D$5000,Entries!$C$2:$C$5000,"Actual",Entries!$A$2:$A$5000,$A181,Entries!$B$2:$B$5000,AH$1))</f>
        <v/>
      </c>
      <c r="AJ181" s="88">
        <f>IF(OR(AJ$1="",$BE181=0),"",IFERROR(LOOKUP(2,1/((Budgets!$A$2:$A$200=AJ$1)*(Budgets!$B$2:$B$200&lt;=$A181)),Budgets!$C$2:$C$200),0))</f>
        <v/>
      </c>
      <c r="AK181" s="88">
        <f>IF(OR(AK$1="",$BE181=0),"",IFERROR(LOOKUP(2,1/((Budgets!$A$2:$A$200=AK$1)*(Budgets!$B$2:$B$200&lt;=$A181)),Budgets!$C$2:$C$200),0))</f>
        <v/>
      </c>
      <c r="AL181" s="88">
        <f>IF(OR(AL$1="",$BE181=0),"",IFERROR(LOOKUP(2,1/((Budgets!$A$2:$A$200=AL$1)*(Budgets!$B$2:$B$200&lt;=$A181)),Budgets!$C$2:$C$200),0))</f>
        <v/>
      </c>
      <c r="AM181" s="88">
        <f>IF(OR(AM$1="",$BE181=0),"",IFERROR(LOOKUP(2,1/((Budgets!$A$2:$A$200=AM$1)*(Budgets!$B$2:$B$200&lt;=$A181)),Budgets!$C$2:$C$200),0))</f>
        <v/>
      </c>
      <c r="AN181" s="88">
        <f>IF(OR(AN$1="",$BE181=0),"",IFERROR(LOOKUP(2,1/((Budgets!$A$2:$A$200=AN$1)*(Budgets!$B$2:$B$200&lt;=$A181)),Budgets!$C$2:$C$200),0))</f>
        <v/>
      </c>
      <c r="AO181" s="88">
        <f>IF(OR(AO$1="",$BE181=0),"",IFERROR(LOOKUP(2,1/((Budgets!$A$2:$A$200=AO$1)*(Budgets!$B$2:$B$200&lt;=$A181)),Budgets!$C$2:$C$200),0))</f>
        <v/>
      </c>
      <c r="AP181" s="88">
        <f>IF(OR(AP$1="",$BE181=0),"",IFERROR(LOOKUP(2,1/((Budgets!$A$2:$A$200=AP$1)*(Budgets!$B$2:$B$200&lt;=$A181)),Budgets!$C$2:$C$200),0))</f>
        <v/>
      </c>
      <c r="AQ181" s="88">
        <f>IF(OR(AQ$1="",$BE181=0),"",IFERROR(LOOKUP(2,1/((Budgets!$A$2:$A$200=AQ$1)*(Budgets!$B$2:$B$200&lt;=$A181)),Budgets!$C$2:$C$200),0))</f>
        <v/>
      </c>
      <c r="AR181" s="88">
        <f>IF(OR(AR$1="",$BE181=0),"",IFERROR(LOOKUP(2,1/((Budgets!$A$2:$A$200=AR$1)*(Budgets!$B$2:$B$200&lt;=$A181)),Budgets!$C$2:$C$200),0))</f>
        <v/>
      </c>
      <c r="AS181" s="88">
        <f>IF(OR(AS$1="",$BE181=0),"",IFERROR(LOOKUP(2,1/((Budgets!$A$2:$A$200=AS$1)*(Budgets!$B$2:$B$200&lt;=$A181)),Budgets!$C$2:$C$200),0))</f>
        <v/>
      </c>
      <c r="AT181" s="88">
        <f>IF(OR(AT$1="",$BE181=0),"",IFERROR(LOOKUP(2,1/((Budgets!$A$2:$A$200=AT$1)*(Budgets!$B$2:$B$200&lt;=$A181)),Budgets!$C$2:$C$200),0))</f>
        <v/>
      </c>
      <c r="AU181" s="88">
        <f>IF(OR(AU$1="",$BE181=0),"",IFERROR(LOOKUP(2,1/((Budgets!$A$2:$A$200=AU$1)*(Budgets!$B$2:$B$200&lt;=$A181)),Budgets!$C$2:$C$200),0))</f>
        <v/>
      </c>
      <c r="AV181" s="88">
        <f>IF(OR(AV$1="",$BE181=0),"",IFERROR(LOOKUP(2,1/((Budgets!$A$2:$A$200=AV$1)*(Budgets!$B$2:$B$200&lt;=$A181)),Budgets!$C$2:$C$200),0))</f>
        <v/>
      </c>
      <c r="AW181" s="88">
        <f>IF(OR(AW$1="",$BE181=0),"",IFERROR(LOOKUP(2,1/((Budgets!$A$2:$A$200=AW$1)*(Budgets!$B$2:$B$200&lt;=$A181)),Budgets!$C$2:$C$200),0))</f>
        <v/>
      </c>
      <c r="AX181" s="88">
        <f>IF(OR(AX$1="",$BE181=0),"",IFERROR(LOOKUP(2,1/((Budgets!$A$2:$A$200=AX$1)*(Budgets!$B$2:$B$200&lt;=$A181)),Budgets!$C$2:$C$200),0))</f>
        <v/>
      </c>
      <c r="AY181" s="88">
        <f>IF(OR(AY$1="",$BE181=0),"",IFERROR(LOOKUP(2,1/((Budgets!$A$2:$A$200=AY$1)*(Budgets!$B$2:$B$200&lt;=$A181)),Budgets!$C$2:$C$200),0))</f>
        <v/>
      </c>
      <c r="AZ181" s="88">
        <f>IF(OR(AZ$1="",$BE181=0),"",IFERROR(LOOKUP(2,1/((Budgets!$A$2:$A$200=AZ$1)*(Budgets!$B$2:$B$200&lt;=$A181)),Budgets!$C$2:$C$200),0))</f>
        <v/>
      </c>
      <c r="BA181" s="88">
        <f>IF(OR(BA$1="",$BE181=0),"",IFERROR(LOOKUP(2,1/((Budgets!$A$2:$A$200=BA$1)*(Budgets!$B$2:$B$200&lt;=$A181)),Budgets!$C$2:$C$200),0))</f>
        <v/>
      </c>
      <c r="BB181" s="88">
        <f>IF(OR(BB$1="",$BE181=0),"",IFERROR(LOOKUP(2,1/((Budgets!$A$2:$A$200=BB$1)*(Budgets!$B$2:$B$200&lt;=$A181)),Budgets!$C$2:$C$200),0))</f>
        <v/>
      </c>
      <c r="BC181" s="88">
        <f>IF(OR(BC$1="",$BE181=0),"",IFERROR(LOOKUP(2,1/((Budgets!$A$2:$A$200=BC$1)*(Budgets!$B$2:$B$200&lt;=$A181)),Budgets!$C$2:$C$200),0))</f>
        <v/>
      </c>
      <c r="BE181" s="67">
        <f>COUNTIFS(Entries!$A$2:$A$5000,$A181)</f>
        <v/>
      </c>
    </row>
    <row r="182" ht="15" customHeight="1" s="43">
      <c r="A182" s="87" t="n">
        <v>44927</v>
      </c>
      <c r="B182" s="88">
        <f>IF($BE182=0,NA(),SUMIFS(Entries!$D$2:$D$5000,Entries!$C$2:$C$5000,"Income",Entries!$A$2:$A$5000,$A182))</f>
        <v/>
      </c>
      <c r="C182" s="88">
        <f>IF($BE182=0,"",SUMIFS(Entries!$D$2:$D$5000,Entries!$C$2:$C$5000,"Actual",Entries!$A$2:$A$5000,$A182))</f>
        <v/>
      </c>
      <c r="D182" s="88">
        <f>IF($BE182=0,"",SUMIFS(Entries!$D$2:$D$5000,Entries!$C$2:$C$5000,"One-off",Entries!$A$2:$A$5000,$A182))</f>
        <v/>
      </c>
      <c r="E182" s="88">
        <f>IF($BE182=0,NA(),C182+D182)</f>
        <v/>
      </c>
      <c r="F182" s="88">
        <f>IF($BE182=0,"",SUM(AJ182:BC182))</f>
        <v/>
      </c>
      <c r="G182" s="88">
        <f>IF($BE182=0,"",B182-E182)</f>
        <v/>
      </c>
      <c r="H182" s="88">
        <f>IF($BE182=0,"",SUM($G$2:G182))</f>
        <v/>
      </c>
      <c r="I182" s="88">
        <f>IF($BE182=0,"",SUMIFS(Entries!$F$2:$F$5000,Entries!$A$2:$A$5000,$A182))</f>
        <v/>
      </c>
      <c r="J182" s="88">
        <f>IF($BE182=0,NA(),H182+SUM($I$2:I182))</f>
        <v/>
      </c>
      <c r="K182" s="88">
        <f>IF($BE182=0,"",SUMIFS(Entries!$D$2:$D$5000,Entries!$C$2:$C$5000,"Income",Entries!$A$2:$A$5000,"&gt;="&amp;EDATE($A182,-11),Entries!$A$2:$A$5000,"&lt;="&amp;$A182)/12)</f>
        <v/>
      </c>
      <c r="L182" s="88">
        <f>IF($BE182=0,"",(SUMIFS(Entries!$D$2:$D$5000,Entries!$C$2:$C$5000,"Actual",Entries!$A$2:$A$5000,"&gt;="&amp;EDATE($A182,-11),Entries!$A$2:$A$5000,"&lt;="&amp;$A182)+SUMIFS(Entries!$D$2:$D$5000,Entries!$C$2:$C$5000,"One-off",Entries!$A$2:$A$5000,"&gt;="&amp;EDATE($A182,-11),Entries!$A$2:$A$5000,"&lt;="&amp;$A182))/12)</f>
        <v/>
      </c>
      <c r="M182" s="70">
        <f>IF($BE182=0,NA(),IFERROR((K182-L182)/K182,0))</f>
        <v/>
      </c>
      <c r="O182" s="88">
        <f>IF(OR(O$1="",$BE182=0),"",SUMIFS(Entries!$D$2:$D$5000,Entries!$C$2:$C$5000,"Actual",Entries!$A$2:$A$5000,$A182,Entries!$B$2:$B$5000,O$1))</f>
        <v/>
      </c>
      <c r="P182" s="88">
        <f>IF(OR(P$1="",$BE182=0),"",SUMIFS(Entries!$D$2:$D$5000,Entries!$C$2:$C$5000,"Actual",Entries!$A$2:$A$5000,$A182,Entries!$B$2:$B$5000,P$1))</f>
        <v/>
      </c>
      <c r="Q182" s="88">
        <f>IF(OR(Q$1="",$BE182=0),"",SUMIFS(Entries!$D$2:$D$5000,Entries!$C$2:$C$5000,"Actual",Entries!$A$2:$A$5000,$A182,Entries!$B$2:$B$5000,Q$1))</f>
        <v/>
      </c>
      <c r="R182" s="88">
        <f>IF(OR(R$1="",$BE182=0),"",SUMIFS(Entries!$D$2:$D$5000,Entries!$C$2:$C$5000,"Actual",Entries!$A$2:$A$5000,$A182,Entries!$B$2:$B$5000,R$1))</f>
        <v/>
      </c>
      <c r="S182" s="88">
        <f>IF(OR(S$1="",$BE182=0),"",SUMIFS(Entries!$D$2:$D$5000,Entries!$C$2:$C$5000,"Actual",Entries!$A$2:$A$5000,$A182,Entries!$B$2:$B$5000,S$1))</f>
        <v/>
      </c>
      <c r="T182" s="88">
        <f>IF(OR(T$1="",$BE182=0),"",SUMIFS(Entries!$D$2:$D$5000,Entries!$C$2:$C$5000,"Actual",Entries!$A$2:$A$5000,$A182,Entries!$B$2:$B$5000,T$1))</f>
        <v/>
      </c>
      <c r="U182" s="88">
        <f>IF(OR(U$1="",$BE182=0),"",SUMIFS(Entries!$D$2:$D$5000,Entries!$C$2:$C$5000,"Actual",Entries!$A$2:$A$5000,$A182,Entries!$B$2:$B$5000,U$1))</f>
        <v/>
      </c>
      <c r="V182" s="88">
        <f>IF(OR(V$1="",$BE182=0),"",SUMIFS(Entries!$D$2:$D$5000,Entries!$C$2:$C$5000,"Actual",Entries!$A$2:$A$5000,$A182,Entries!$B$2:$B$5000,V$1))</f>
        <v/>
      </c>
      <c r="W182" s="88">
        <f>IF(OR(W$1="",$BE182=0),"",SUMIFS(Entries!$D$2:$D$5000,Entries!$C$2:$C$5000,"Actual",Entries!$A$2:$A$5000,$A182,Entries!$B$2:$B$5000,W$1))</f>
        <v/>
      </c>
      <c r="X182" s="88">
        <f>IF(OR(X$1="",$BE182=0),"",SUMIFS(Entries!$D$2:$D$5000,Entries!$C$2:$C$5000,"Actual",Entries!$A$2:$A$5000,$A182,Entries!$B$2:$B$5000,X$1))</f>
        <v/>
      </c>
      <c r="Y182" s="88">
        <f>IF(OR(Y$1="",$BE182=0),"",SUMIFS(Entries!$D$2:$D$5000,Entries!$C$2:$C$5000,"Actual",Entries!$A$2:$A$5000,$A182,Entries!$B$2:$B$5000,Y$1))</f>
        <v/>
      </c>
      <c r="Z182" s="88">
        <f>IF(OR(Z$1="",$BE182=0),"",SUMIFS(Entries!$D$2:$D$5000,Entries!$C$2:$C$5000,"Actual",Entries!$A$2:$A$5000,$A182,Entries!$B$2:$B$5000,Z$1))</f>
        <v/>
      </c>
      <c r="AA182" s="88">
        <f>IF(OR(AA$1="",$BE182=0),"",SUMIFS(Entries!$D$2:$D$5000,Entries!$C$2:$C$5000,"Actual",Entries!$A$2:$A$5000,$A182,Entries!$B$2:$B$5000,AA$1))</f>
        <v/>
      </c>
      <c r="AB182" s="88">
        <f>IF(OR(AB$1="",$BE182=0),"",SUMIFS(Entries!$D$2:$D$5000,Entries!$C$2:$C$5000,"Actual",Entries!$A$2:$A$5000,$A182,Entries!$B$2:$B$5000,AB$1))</f>
        <v/>
      </c>
      <c r="AC182" s="88">
        <f>IF(OR(AC$1="",$BE182=0),"",SUMIFS(Entries!$D$2:$D$5000,Entries!$C$2:$C$5000,"Actual",Entries!$A$2:$A$5000,$A182,Entries!$B$2:$B$5000,AC$1))</f>
        <v/>
      </c>
      <c r="AD182" s="88">
        <f>IF(OR(AD$1="",$BE182=0),"",SUMIFS(Entries!$D$2:$D$5000,Entries!$C$2:$C$5000,"Actual",Entries!$A$2:$A$5000,$A182,Entries!$B$2:$B$5000,AD$1))</f>
        <v/>
      </c>
      <c r="AE182" s="88">
        <f>IF(OR(AE$1="",$BE182=0),"",SUMIFS(Entries!$D$2:$D$5000,Entries!$C$2:$C$5000,"Actual",Entries!$A$2:$A$5000,$A182,Entries!$B$2:$B$5000,AE$1))</f>
        <v/>
      </c>
      <c r="AF182" s="88">
        <f>IF(OR(AF$1="",$BE182=0),"",SUMIFS(Entries!$D$2:$D$5000,Entries!$C$2:$C$5000,"Actual",Entries!$A$2:$A$5000,$A182,Entries!$B$2:$B$5000,AF$1))</f>
        <v/>
      </c>
      <c r="AG182" s="88">
        <f>IF(OR(AG$1="",$BE182=0),"",SUMIFS(Entries!$D$2:$D$5000,Entries!$C$2:$C$5000,"Actual",Entries!$A$2:$A$5000,$A182,Entries!$B$2:$B$5000,AG$1))</f>
        <v/>
      </c>
      <c r="AH182" s="88">
        <f>IF(OR(AH$1="",$BE182=0),"",SUMIFS(Entries!$D$2:$D$5000,Entries!$C$2:$C$5000,"Actual",Entries!$A$2:$A$5000,$A182,Entries!$B$2:$B$5000,AH$1))</f>
        <v/>
      </c>
      <c r="AJ182" s="88">
        <f>IF(OR(AJ$1="",$BE182=0),"",IFERROR(LOOKUP(2,1/((Budgets!$A$2:$A$200=AJ$1)*(Budgets!$B$2:$B$200&lt;=$A182)),Budgets!$C$2:$C$200),0))</f>
        <v/>
      </c>
      <c r="AK182" s="88">
        <f>IF(OR(AK$1="",$BE182=0),"",IFERROR(LOOKUP(2,1/((Budgets!$A$2:$A$200=AK$1)*(Budgets!$B$2:$B$200&lt;=$A182)),Budgets!$C$2:$C$200),0))</f>
        <v/>
      </c>
      <c r="AL182" s="88">
        <f>IF(OR(AL$1="",$BE182=0),"",IFERROR(LOOKUP(2,1/((Budgets!$A$2:$A$200=AL$1)*(Budgets!$B$2:$B$200&lt;=$A182)),Budgets!$C$2:$C$200),0))</f>
        <v/>
      </c>
      <c r="AM182" s="88">
        <f>IF(OR(AM$1="",$BE182=0),"",IFERROR(LOOKUP(2,1/((Budgets!$A$2:$A$200=AM$1)*(Budgets!$B$2:$B$200&lt;=$A182)),Budgets!$C$2:$C$200),0))</f>
        <v/>
      </c>
      <c r="AN182" s="88">
        <f>IF(OR(AN$1="",$BE182=0),"",IFERROR(LOOKUP(2,1/((Budgets!$A$2:$A$200=AN$1)*(Budgets!$B$2:$B$200&lt;=$A182)),Budgets!$C$2:$C$200),0))</f>
        <v/>
      </c>
      <c r="AO182" s="88">
        <f>IF(OR(AO$1="",$BE182=0),"",IFERROR(LOOKUP(2,1/((Budgets!$A$2:$A$200=AO$1)*(Budgets!$B$2:$B$200&lt;=$A182)),Budgets!$C$2:$C$200),0))</f>
        <v/>
      </c>
      <c r="AP182" s="88">
        <f>IF(OR(AP$1="",$BE182=0),"",IFERROR(LOOKUP(2,1/((Budgets!$A$2:$A$200=AP$1)*(Budgets!$B$2:$B$200&lt;=$A182)),Budgets!$C$2:$C$200),0))</f>
        <v/>
      </c>
      <c r="AQ182" s="88">
        <f>IF(OR(AQ$1="",$BE182=0),"",IFERROR(LOOKUP(2,1/((Budgets!$A$2:$A$200=AQ$1)*(Budgets!$B$2:$B$200&lt;=$A182)),Budgets!$C$2:$C$200),0))</f>
        <v/>
      </c>
      <c r="AR182" s="88">
        <f>IF(OR(AR$1="",$BE182=0),"",IFERROR(LOOKUP(2,1/((Budgets!$A$2:$A$200=AR$1)*(Budgets!$B$2:$B$200&lt;=$A182)),Budgets!$C$2:$C$200),0))</f>
        <v/>
      </c>
      <c r="AS182" s="88">
        <f>IF(OR(AS$1="",$BE182=0),"",IFERROR(LOOKUP(2,1/((Budgets!$A$2:$A$200=AS$1)*(Budgets!$B$2:$B$200&lt;=$A182)),Budgets!$C$2:$C$200),0))</f>
        <v/>
      </c>
      <c r="AT182" s="88">
        <f>IF(OR(AT$1="",$BE182=0),"",IFERROR(LOOKUP(2,1/((Budgets!$A$2:$A$200=AT$1)*(Budgets!$B$2:$B$200&lt;=$A182)),Budgets!$C$2:$C$200),0))</f>
        <v/>
      </c>
      <c r="AU182" s="88">
        <f>IF(OR(AU$1="",$BE182=0),"",IFERROR(LOOKUP(2,1/((Budgets!$A$2:$A$200=AU$1)*(Budgets!$B$2:$B$200&lt;=$A182)),Budgets!$C$2:$C$200),0))</f>
        <v/>
      </c>
      <c r="AV182" s="88">
        <f>IF(OR(AV$1="",$BE182=0),"",IFERROR(LOOKUP(2,1/((Budgets!$A$2:$A$200=AV$1)*(Budgets!$B$2:$B$200&lt;=$A182)),Budgets!$C$2:$C$200),0))</f>
        <v/>
      </c>
      <c r="AW182" s="88">
        <f>IF(OR(AW$1="",$BE182=0),"",IFERROR(LOOKUP(2,1/((Budgets!$A$2:$A$200=AW$1)*(Budgets!$B$2:$B$200&lt;=$A182)),Budgets!$C$2:$C$200),0))</f>
        <v/>
      </c>
      <c r="AX182" s="88">
        <f>IF(OR(AX$1="",$BE182=0),"",IFERROR(LOOKUP(2,1/((Budgets!$A$2:$A$200=AX$1)*(Budgets!$B$2:$B$200&lt;=$A182)),Budgets!$C$2:$C$200),0))</f>
        <v/>
      </c>
      <c r="AY182" s="88">
        <f>IF(OR(AY$1="",$BE182=0),"",IFERROR(LOOKUP(2,1/((Budgets!$A$2:$A$200=AY$1)*(Budgets!$B$2:$B$200&lt;=$A182)),Budgets!$C$2:$C$200),0))</f>
        <v/>
      </c>
      <c r="AZ182" s="88">
        <f>IF(OR(AZ$1="",$BE182=0),"",IFERROR(LOOKUP(2,1/((Budgets!$A$2:$A$200=AZ$1)*(Budgets!$B$2:$B$200&lt;=$A182)),Budgets!$C$2:$C$200),0))</f>
        <v/>
      </c>
      <c r="BA182" s="88">
        <f>IF(OR(BA$1="",$BE182=0),"",IFERROR(LOOKUP(2,1/((Budgets!$A$2:$A$200=BA$1)*(Budgets!$B$2:$B$200&lt;=$A182)),Budgets!$C$2:$C$200),0))</f>
        <v/>
      </c>
      <c r="BB182" s="88">
        <f>IF(OR(BB$1="",$BE182=0),"",IFERROR(LOOKUP(2,1/((Budgets!$A$2:$A$200=BB$1)*(Budgets!$B$2:$B$200&lt;=$A182)),Budgets!$C$2:$C$200),0))</f>
        <v/>
      </c>
      <c r="BC182" s="88">
        <f>IF(OR(BC$1="",$BE182=0),"",IFERROR(LOOKUP(2,1/((Budgets!$A$2:$A$200=BC$1)*(Budgets!$B$2:$B$200&lt;=$A182)),Budgets!$C$2:$C$200),0))</f>
        <v/>
      </c>
      <c r="BE182" s="67">
        <f>COUNTIFS(Entries!$A$2:$A$5000,$A182)</f>
        <v/>
      </c>
    </row>
    <row r="183" ht="15" customHeight="1" s="43">
      <c r="A183" s="87" t="n">
        <v>44958</v>
      </c>
      <c r="B183" s="88">
        <f>IF($BE183=0,NA(),SUMIFS(Entries!$D$2:$D$5000,Entries!$C$2:$C$5000,"Income",Entries!$A$2:$A$5000,$A183))</f>
        <v/>
      </c>
      <c r="C183" s="88">
        <f>IF($BE183=0,"",SUMIFS(Entries!$D$2:$D$5000,Entries!$C$2:$C$5000,"Actual",Entries!$A$2:$A$5000,$A183))</f>
        <v/>
      </c>
      <c r="D183" s="88">
        <f>IF($BE183=0,"",SUMIFS(Entries!$D$2:$D$5000,Entries!$C$2:$C$5000,"One-off",Entries!$A$2:$A$5000,$A183))</f>
        <v/>
      </c>
      <c r="E183" s="88">
        <f>IF($BE183=0,NA(),C183+D183)</f>
        <v/>
      </c>
      <c r="F183" s="88">
        <f>IF($BE183=0,"",SUM(AJ183:BC183))</f>
        <v/>
      </c>
      <c r="G183" s="88">
        <f>IF($BE183=0,"",B183-E183)</f>
        <v/>
      </c>
      <c r="H183" s="88">
        <f>IF($BE183=0,"",SUM($G$2:G183))</f>
        <v/>
      </c>
      <c r="I183" s="88">
        <f>IF($BE183=0,"",SUMIFS(Entries!$F$2:$F$5000,Entries!$A$2:$A$5000,$A183))</f>
        <v/>
      </c>
      <c r="J183" s="88">
        <f>IF($BE183=0,NA(),H183+SUM($I$2:I183))</f>
        <v/>
      </c>
      <c r="K183" s="88">
        <f>IF($BE183=0,"",SUMIFS(Entries!$D$2:$D$5000,Entries!$C$2:$C$5000,"Income",Entries!$A$2:$A$5000,"&gt;="&amp;EDATE($A183,-11),Entries!$A$2:$A$5000,"&lt;="&amp;$A183)/12)</f>
        <v/>
      </c>
      <c r="L183" s="88">
        <f>IF($BE183=0,"",(SUMIFS(Entries!$D$2:$D$5000,Entries!$C$2:$C$5000,"Actual",Entries!$A$2:$A$5000,"&gt;="&amp;EDATE($A183,-11),Entries!$A$2:$A$5000,"&lt;="&amp;$A183)+SUMIFS(Entries!$D$2:$D$5000,Entries!$C$2:$C$5000,"One-off",Entries!$A$2:$A$5000,"&gt;="&amp;EDATE($A183,-11),Entries!$A$2:$A$5000,"&lt;="&amp;$A183))/12)</f>
        <v/>
      </c>
      <c r="M183" s="70">
        <f>IF($BE183=0,NA(),IFERROR((K183-L183)/K183,0))</f>
        <v/>
      </c>
      <c r="O183" s="88">
        <f>IF(OR(O$1="",$BE183=0),"",SUMIFS(Entries!$D$2:$D$5000,Entries!$C$2:$C$5000,"Actual",Entries!$A$2:$A$5000,$A183,Entries!$B$2:$B$5000,O$1))</f>
        <v/>
      </c>
      <c r="P183" s="88">
        <f>IF(OR(P$1="",$BE183=0),"",SUMIFS(Entries!$D$2:$D$5000,Entries!$C$2:$C$5000,"Actual",Entries!$A$2:$A$5000,$A183,Entries!$B$2:$B$5000,P$1))</f>
        <v/>
      </c>
      <c r="Q183" s="88">
        <f>IF(OR(Q$1="",$BE183=0),"",SUMIFS(Entries!$D$2:$D$5000,Entries!$C$2:$C$5000,"Actual",Entries!$A$2:$A$5000,$A183,Entries!$B$2:$B$5000,Q$1))</f>
        <v/>
      </c>
      <c r="R183" s="88">
        <f>IF(OR(R$1="",$BE183=0),"",SUMIFS(Entries!$D$2:$D$5000,Entries!$C$2:$C$5000,"Actual",Entries!$A$2:$A$5000,$A183,Entries!$B$2:$B$5000,R$1))</f>
        <v/>
      </c>
      <c r="S183" s="88">
        <f>IF(OR(S$1="",$BE183=0),"",SUMIFS(Entries!$D$2:$D$5000,Entries!$C$2:$C$5000,"Actual",Entries!$A$2:$A$5000,$A183,Entries!$B$2:$B$5000,S$1))</f>
        <v/>
      </c>
      <c r="T183" s="88">
        <f>IF(OR(T$1="",$BE183=0),"",SUMIFS(Entries!$D$2:$D$5000,Entries!$C$2:$C$5000,"Actual",Entries!$A$2:$A$5000,$A183,Entries!$B$2:$B$5000,T$1))</f>
        <v/>
      </c>
      <c r="U183" s="88">
        <f>IF(OR(U$1="",$BE183=0),"",SUMIFS(Entries!$D$2:$D$5000,Entries!$C$2:$C$5000,"Actual",Entries!$A$2:$A$5000,$A183,Entries!$B$2:$B$5000,U$1))</f>
        <v/>
      </c>
      <c r="V183" s="88">
        <f>IF(OR(V$1="",$BE183=0),"",SUMIFS(Entries!$D$2:$D$5000,Entries!$C$2:$C$5000,"Actual",Entries!$A$2:$A$5000,$A183,Entries!$B$2:$B$5000,V$1))</f>
        <v/>
      </c>
      <c r="W183" s="88">
        <f>IF(OR(W$1="",$BE183=0),"",SUMIFS(Entries!$D$2:$D$5000,Entries!$C$2:$C$5000,"Actual",Entries!$A$2:$A$5000,$A183,Entries!$B$2:$B$5000,W$1))</f>
        <v/>
      </c>
      <c r="X183" s="88">
        <f>IF(OR(X$1="",$BE183=0),"",SUMIFS(Entries!$D$2:$D$5000,Entries!$C$2:$C$5000,"Actual",Entries!$A$2:$A$5000,$A183,Entries!$B$2:$B$5000,X$1))</f>
        <v/>
      </c>
      <c r="Y183" s="88">
        <f>IF(OR(Y$1="",$BE183=0),"",SUMIFS(Entries!$D$2:$D$5000,Entries!$C$2:$C$5000,"Actual",Entries!$A$2:$A$5000,$A183,Entries!$B$2:$B$5000,Y$1))</f>
        <v/>
      </c>
      <c r="Z183" s="88">
        <f>IF(OR(Z$1="",$BE183=0),"",SUMIFS(Entries!$D$2:$D$5000,Entries!$C$2:$C$5000,"Actual",Entries!$A$2:$A$5000,$A183,Entries!$B$2:$B$5000,Z$1))</f>
        <v/>
      </c>
      <c r="AA183" s="88">
        <f>IF(OR(AA$1="",$BE183=0),"",SUMIFS(Entries!$D$2:$D$5000,Entries!$C$2:$C$5000,"Actual",Entries!$A$2:$A$5000,$A183,Entries!$B$2:$B$5000,AA$1))</f>
        <v/>
      </c>
      <c r="AB183" s="88">
        <f>IF(OR(AB$1="",$BE183=0),"",SUMIFS(Entries!$D$2:$D$5000,Entries!$C$2:$C$5000,"Actual",Entries!$A$2:$A$5000,$A183,Entries!$B$2:$B$5000,AB$1))</f>
        <v/>
      </c>
      <c r="AC183" s="88">
        <f>IF(OR(AC$1="",$BE183=0),"",SUMIFS(Entries!$D$2:$D$5000,Entries!$C$2:$C$5000,"Actual",Entries!$A$2:$A$5000,$A183,Entries!$B$2:$B$5000,AC$1))</f>
        <v/>
      </c>
      <c r="AD183" s="88">
        <f>IF(OR(AD$1="",$BE183=0),"",SUMIFS(Entries!$D$2:$D$5000,Entries!$C$2:$C$5000,"Actual",Entries!$A$2:$A$5000,$A183,Entries!$B$2:$B$5000,AD$1))</f>
        <v/>
      </c>
      <c r="AE183" s="88">
        <f>IF(OR(AE$1="",$BE183=0),"",SUMIFS(Entries!$D$2:$D$5000,Entries!$C$2:$C$5000,"Actual",Entries!$A$2:$A$5000,$A183,Entries!$B$2:$B$5000,AE$1))</f>
        <v/>
      </c>
      <c r="AF183" s="88">
        <f>IF(OR(AF$1="",$BE183=0),"",SUMIFS(Entries!$D$2:$D$5000,Entries!$C$2:$C$5000,"Actual",Entries!$A$2:$A$5000,$A183,Entries!$B$2:$B$5000,AF$1))</f>
        <v/>
      </c>
      <c r="AG183" s="88">
        <f>IF(OR(AG$1="",$BE183=0),"",SUMIFS(Entries!$D$2:$D$5000,Entries!$C$2:$C$5000,"Actual",Entries!$A$2:$A$5000,$A183,Entries!$B$2:$B$5000,AG$1))</f>
        <v/>
      </c>
      <c r="AH183" s="88">
        <f>IF(OR(AH$1="",$BE183=0),"",SUMIFS(Entries!$D$2:$D$5000,Entries!$C$2:$C$5000,"Actual",Entries!$A$2:$A$5000,$A183,Entries!$B$2:$B$5000,AH$1))</f>
        <v/>
      </c>
      <c r="AJ183" s="88">
        <f>IF(OR(AJ$1="",$BE183=0),"",IFERROR(LOOKUP(2,1/((Budgets!$A$2:$A$200=AJ$1)*(Budgets!$B$2:$B$200&lt;=$A183)),Budgets!$C$2:$C$200),0))</f>
        <v/>
      </c>
      <c r="AK183" s="88">
        <f>IF(OR(AK$1="",$BE183=0),"",IFERROR(LOOKUP(2,1/((Budgets!$A$2:$A$200=AK$1)*(Budgets!$B$2:$B$200&lt;=$A183)),Budgets!$C$2:$C$200),0))</f>
        <v/>
      </c>
      <c r="AL183" s="88">
        <f>IF(OR(AL$1="",$BE183=0),"",IFERROR(LOOKUP(2,1/((Budgets!$A$2:$A$200=AL$1)*(Budgets!$B$2:$B$200&lt;=$A183)),Budgets!$C$2:$C$200),0))</f>
        <v/>
      </c>
      <c r="AM183" s="88">
        <f>IF(OR(AM$1="",$BE183=0),"",IFERROR(LOOKUP(2,1/((Budgets!$A$2:$A$200=AM$1)*(Budgets!$B$2:$B$200&lt;=$A183)),Budgets!$C$2:$C$200),0))</f>
        <v/>
      </c>
      <c r="AN183" s="88">
        <f>IF(OR(AN$1="",$BE183=0),"",IFERROR(LOOKUP(2,1/((Budgets!$A$2:$A$200=AN$1)*(Budgets!$B$2:$B$200&lt;=$A183)),Budgets!$C$2:$C$200),0))</f>
        <v/>
      </c>
      <c r="AO183" s="88">
        <f>IF(OR(AO$1="",$BE183=0),"",IFERROR(LOOKUP(2,1/((Budgets!$A$2:$A$200=AO$1)*(Budgets!$B$2:$B$200&lt;=$A183)),Budgets!$C$2:$C$200),0))</f>
        <v/>
      </c>
      <c r="AP183" s="88">
        <f>IF(OR(AP$1="",$BE183=0),"",IFERROR(LOOKUP(2,1/((Budgets!$A$2:$A$200=AP$1)*(Budgets!$B$2:$B$200&lt;=$A183)),Budgets!$C$2:$C$200),0))</f>
        <v/>
      </c>
      <c r="AQ183" s="88">
        <f>IF(OR(AQ$1="",$BE183=0),"",IFERROR(LOOKUP(2,1/((Budgets!$A$2:$A$200=AQ$1)*(Budgets!$B$2:$B$200&lt;=$A183)),Budgets!$C$2:$C$200),0))</f>
        <v/>
      </c>
      <c r="AR183" s="88">
        <f>IF(OR(AR$1="",$BE183=0),"",IFERROR(LOOKUP(2,1/((Budgets!$A$2:$A$200=AR$1)*(Budgets!$B$2:$B$200&lt;=$A183)),Budgets!$C$2:$C$200),0))</f>
        <v/>
      </c>
      <c r="AS183" s="88">
        <f>IF(OR(AS$1="",$BE183=0),"",IFERROR(LOOKUP(2,1/((Budgets!$A$2:$A$200=AS$1)*(Budgets!$B$2:$B$200&lt;=$A183)),Budgets!$C$2:$C$200),0))</f>
        <v/>
      </c>
      <c r="AT183" s="88">
        <f>IF(OR(AT$1="",$BE183=0),"",IFERROR(LOOKUP(2,1/((Budgets!$A$2:$A$200=AT$1)*(Budgets!$B$2:$B$200&lt;=$A183)),Budgets!$C$2:$C$200),0))</f>
        <v/>
      </c>
      <c r="AU183" s="88">
        <f>IF(OR(AU$1="",$BE183=0),"",IFERROR(LOOKUP(2,1/((Budgets!$A$2:$A$200=AU$1)*(Budgets!$B$2:$B$200&lt;=$A183)),Budgets!$C$2:$C$200),0))</f>
        <v/>
      </c>
      <c r="AV183" s="88">
        <f>IF(OR(AV$1="",$BE183=0),"",IFERROR(LOOKUP(2,1/((Budgets!$A$2:$A$200=AV$1)*(Budgets!$B$2:$B$200&lt;=$A183)),Budgets!$C$2:$C$200),0))</f>
        <v/>
      </c>
      <c r="AW183" s="88">
        <f>IF(OR(AW$1="",$BE183=0),"",IFERROR(LOOKUP(2,1/((Budgets!$A$2:$A$200=AW$1)*(Budgets!$B$2:$B$200&lt;=$A183)),Budgets!$C$2:$C$200),0))</f>
        <v/>
      </c>
      <c r="AX183" s="88">
        <f>IF(OR(AX$1="",$BE183=0),"",IFERROR(LOOKUP(2,1/((Budgets!$A$2:$A$200=AX$1)*(Budgets!$B$2:$B$200&lt;=$A183)),Budgets!$C$2:$C$200),0))</f>
        <v/>
      </c>
      <c r="AY183" s="88">
        <f>IF(OR(AY$1="",$BE183=0),"",IFERROR(LOOKUP(2,1/((Budgets!$A$2:$A$200=AY$1)*(Budgets!$B$2:$B$200&lt;=$A183)),Budgets!$C$2:$C$200),0))</f>
        <v/>
      </c>
      <c r="AZ183" s="88">
        <f>IF(OR(AZ$1="",$BE183=0),"",IFERROR(LOOKUP(2,1/((Budgets!$A$2:$A$200=AZ$1)*(Budgets!$B$2:$B$200&lt;=$A183)),Budgets!$C$2:$C$200),0))</f>
        <v/>
      </c>
      <c r="BA183" s="88">
        <f>IF(OR(BA$1="",$BE183=0),"",IFERROR(LOOKUP(2,1/((Budgets!$A$2:$A$200=BA$1)*(Budgets!$B$2:$B$200&lt;=$A183)),Budgets!$C$2:$C$200),0))</f>
        <v/>
      </c>
      <c r="BB183" s="88">
        <f>IF(OR(BB$1="",$BE183=0),"",IFERROR(LOOKUP(2,1/((Budgets!$A$2:$A$200=BB$1)*(Budgets!$B$2:$B$200&lt;=$A183)),Budgets!$C$2:$C$200),0))</f>
        <v/>
      </c>
      <c r="BC183" s="88">
        <f>IF(OR(BC$1="",$BE183=0),"",IFERROR(LOOKUP(2,1/((Budgets!$A$2:$A$200=BC$1)*(Budgets!$B$2:$B$200&lt;=$A183)),Budgets!$C$2:$C$200),0))</f>
        <v/>
      </c>
      <c r="BE183" s="67">
        <f>COUNTIFS(Entries!$A$2:$A$5000,$A183)</f>
        <v/>
      </c>
    </row>
    <row r="184" ht="15" customHeight="1" s="43">
      <c r="A184" s="87" t="n">
        <v>44986</v>
      </c>
      <c r="B184" s="88">
        <f>IF($BE184=0,NA(),SUMIFS(Entries!$D$2:$D$5000,Entries!$C$2:$C$5000,"Income",Entries!$A$2:$A$5000,$A184))</f>
        <v/>
      </c>
      <c r="C184" s="88">
        <f>IF($BE184=0,"",SUMIFS(Entries!$D$2:$D$5000,Entries!$C$2:$C$5000,"Actual",Entries!$A$2:$A$5000,$A184))</f>
        <v/>
      </c>
      <c r="D184" s="88">
        <f>IF($BE184=0,"",SUMIFS(Entries!$D$2:$D$5000,Entries!$C$2:$C$5000,"One-off",Entries!$A$2:$A$5000,$A184))</f>
        <v/>
      </c>
      <c r="E184" s="88">
        <f>IF($BE184=0,NA(),C184+D184)</f>
        <v/>
      </c>
      <c r="F184" s="88">
        <f>IF($BE184=0,"",SUM(AJ184:BC184))</f>
        <v/>
      </c>
      <c r="G184" s="88">
        <f>IF($BE184=0,"",B184-E184)</f>
        <v/>
      </c>
      <c r="H184" s="88">
        <f>IF($BE184=0,"",SUM($G$2:G184))</f>
        <v/>
      </c>
      <c r="I184" s="88">
        <f>IF($BE184=0,"",SUMIFS(Entries!$F$2:$F$5000,Entries!$A$2:$A$5000,$A184))</f>
        <v/>
      </c>
      <c r="J184" s="88">
        <f>IF($BE184=0,NA(),H184+SUM($I$2:I184))</f>
        <v/>
      </c>
      <c r="K184" s="88">
        <f>IF($BE184=0,"",SUMIFS(Entries!$D$2:$D$5000,Entries!$C$2:$C$5000,"Income",Entries!$A$2:$A$5000,"&gt;="&amp;EDATE($A184,-11),Entries!$A$2:$A$5000,"&lt;="&amp;$A184)/12)</f>
        <v/>
      </c>
      <c r="L184" s="88">
        <f>IF($BE184=0,"",(SUMIFS(Entries!$D$2:$D$5000,Entries!$C$2:$C$5000,"Actual",Entries!$A$2:$A$5000,"&gt;="&amp;EDATE($A184,-11),Entries!$A$2:$A$5000,"&lt;="&amp;$A184)+SUMIFS(Entries!$D$2:$D$5000,Entries!$C$2:$C$5000,"One-off",Entries!$A$2:$A$5000,"&gt;="&amp;EDATE($A184,-11),Entries!$A$2:$A$5000,"&lt;="&amp;$A184))/12)</f>
        <v/>
      </c>
      <c r="M184" s="70">
        <f>IF($BE184=0,NA(),IFERROR((K184-L184)/K184,0))</f>
        <v/>
      </c>
      <c r="O184" s="88">
        <f>IF(OR(O$1="",$BE184=0),"",SUMIFS(Entries!$D$2:$D$5000,Entries!$C$2:$C$5000,"Actual",Entries!$A$2:$A$5000,$A184,Entries!$B$2:$B$5000,O$1))</f>
        <v/>
      </c>
      <c r="P184" s="88">
        <f>IF(OR(P$1="",$BE184=0),"",SUMIFS(Entries!$D$2:$D$5000,Entries!$C$2:$C$5000,"Actual",Entries!$A$2:$A$5000,$A184,Entries!$B$2:$B$5000,P$1))</f>
        <v/>
      </c>
      <c r="Q184" s="88">
        <f>IF(OR(Q$1="",$BE184=0),"",SUMIFS(Entries!$D$2:$D$5000,Entries!$C$2:$C$5000,"Actual",Entries!$A$2:$A$5000,$A184,Entries!$B$2:$B$5000,Q$1))</f>
        <v/>
      </c>
      <c r="R184" s="88">
        <f>IF(OR(R$1="",$BE184=0),"",SUMIFS(Entries!$D$2:$D$5000,Entries!$C$2:$C$5000,"Actual",Entries!$A$2:$A$5000,$A184,Entries!$B$2:$B$5000,R$1))</f>
        <v/>
      </c>
      <c r="S184" s="88">
        <f>IF(OR(S$1="",$BE184=0),"",SUMIFS(Entries!$D$2:$D$5000,Entries!$C$2:$C$5000,"Actual",Entries!$A$2:$A$5000,$A184,Entries!$B$2:$B$5000,S$1))</f>
        <v/>
      </c>
      <c r="T184" s="88">
        <f>IF(OR(T$1="",$BE184=0),"",SUMIFS(Entries!$D$2:$D$5000,Entries!$C$2:$C$5000,"Actual",Entries!$A$2:$A$5000,$A184,Entries!$B$2:$B$5000,T$1))</f>
        <v/>
      </c>
      <c r="U184" s="88">
        <f>IF(OR(U$1="",$BE184=0),"",SUMIFS(Entries!$D$2:$D$5000,Entries!$C$2:$C$5000,"Actual",Entries!$A$2:$A$5000,$A184,Entries!$B$2:$B$5000,U$1))</f>
        <v/>
      </c>
      <c r="V184" s="88">
        <f>IF(OR(V$1="",$BE184=0),"",SUMIFS(Entries!$D$2:$D$5000,Entries!$C$2:$C$5000,"Actual",Entries!$A$2:$A$5000,$A184,Entries!$B$2:$B$5000,V$1))</f>
        <v/>
      </c>
      <c r="W184" s="88">
        <f>IF(OR(W$1="",$BE184=0),"",SUMIFS(Entries!$D$2:$D$5000,Entries!$C$2:$C$5000,"Actual",Entries!$A$2:$A$5000,$A184,Entries!$B$2:$B$5000,W$1))</f>
        <v/>
      </c>
      <c r="X184" s="88">
        <f>IF(OR(X$1="",$BE184=0),"",SUMIFS(Entries!$D$2:$D$5000,Entries!$C$2:$C$5000,"Actual",Entries!$A$2:$A$5000,$A184,Entries!$B$2:$B$5000,X$1))</f>
        <v/>
      </c>
      <c r="Y184" s="88">
        <f>IF(OR(Y$1="",$BE184=0),"",SUMIFS(Entries!$D$2:$D$5000,Entries!$C$2:$C$5000,"Actual",Entries!$A$2:$A$5000,$A184,Entries!$B$2:$B$5000,Y$1))</f>
        <v/>
      </c>
      <c r="Z184" s="88">
        <f>IF(OR(Z$1="",$BE184=0),"",SUMIFS(Entries!$D$2:$D$5000,Entries!$C$2:$C$5000,"Actual",Entries!$A$2:$A$5000,$A184,Entries!$B$2:$B$5000,Z$1))</f>
        <v/>
      </c>
      <c r="AA184" s="88">
        <f>IF(OR(AA$1="",$BE184=0),"",SUMIFS(Entries!$D$2:$D$5000,Entries!$C$2:$C$5000,"Actual",Entries!$A$2:$A$5000,$A184,Entries!$B$2:$B$5000,AA$1))</f>
        <v/>
      </c>
      <c r="AB184" s="88">
        <f>IF(OR(AB$1="",$BE184=0),"",SUMIFS(Entries!$D$2:$D$5000,Entries!$C$2:$C$5000,"Actual",Entries!$A$2:$A$5000,$A184,Entries!$B$2:$B$5000,AB$1))</f>
        <v/>
      </c>
      <c r="AC184" s="88">
        <f>IF(OR(AC$1="",$BE184=0),"",SUMIFS(Entries!$D$2:$D$5000,Entries!$C$2:$C$5000,"Actual",Entries!$A$2:$A$5000,$A184,Entries!$B$2:$B$5000,AC$1))</f>
        <v/>
      </c>
      <c r="AD184" s="88">
        <f>IF(OR(AD$1="",$BE184=0),"",SUMIFS(Entries!$D$2:$D$5000,Entries!$C$2:$C$5000,"Actual",Entries!$A$2:$A$5000,$A184,Entries!$B$2:$B$5000,AD$1))</f>
        <v/>
      </c>
      <c r="AE184" s="88">
        <f>IF(OR(AE$1="",$BE184=0),"",SUMIFS(Entries!$D$2:$D$5000,Entries!$C$2:$C$5000,"Actual",Entries!$A$2:$A$5000,$A184,Entries!$B$2:$B$5000,AE$1))</f>
        <v/>
      </c>
      <c r="AF184" s="88">
        <f>IF(OR(AF$1="",$BE184=0),"",SUMIFS(Entries!$D$2:$D$5000,Entries!$C$2:$C$5000,"Actual",Entries!$A$2:$A$5000,$A184,Entries!$B$2:$B$5000,AF$1))</f>
        <v/>
      </c>
      <c r="AG184" s="88">
        <f>IF(OR(AG$1="",$BE184=0),"",SUMIFS(Entries!$D$2:$D$5000,Entries!$C$2:$C$5000,"Actual",Entries!$A$2:$A$5000,$A184,Entries!$B$2:$B$5000,AG$1))</f>
        <v/>
      </c>
      <c r="AH184" s="88">
        <f>IF(OR(AH$1="",$BE184=0),"",SUMIFS(Entries!$D$2:$D$5000,Entries!$C$2:$C$5000,"Actual",Entries!$A$2:$A$5000,$A184,Entries!$B$2:$B$5000,AH$1))</f>
        <v/>
      </c>
      <c r="AJ184" s="88">
        <f>IF(OR(AJ$1="",$BE184=0),"",IFERROR(LOOKUP(2,1/((Budgets!$A$2:$A$200=AJ$1)*(Budgets!$B$2:$B$200&lt;=$A184)),Budgets!$C$2:$C$200),0))</f>
        <v/>
      </c>
      <c r="AK184" s="88">
        <f>IF(OR(AK$1="",$BE184=0),"",IFERROR(LOOKUP(2,1/((Budgets!$A$2:$A$200=AK$1)*(Budgets!$B$2:$B$200&lt;=$A184)),Budgets!$C$2:$C$200),0))</f>
        <v/>
      </c>
      <c r="AL184" s="88">
        <f>IF(OR(AL$1="",$BE184=0),"",IFERROR(LOOKUP(2,1/((Budgets!$A$2:$A$200=AL$1)*(Budgets!$B$2:$B$200&lt;=$A184)),Budgets!$C$2:$C$200),0))</f>
        <v/>
      </c>
      <c r="AM184" s="88">
        <f>IF(OR(AM$1="",$BE184=0),"",IFERROR(LOOKUP(2,1/((Budgets!$A$2:$A$200=AM$1)*(Budgets!$B$2:$B$200&lt;=$A184)),Budgets!$C$2:$C$200),0))</f>
        <v/>
      </c>
      <c r="AN184" s="88">
        <f>IF(OR(AN$1="",$BE184=0),"",IFERROR(LOOKUP(2,1/((Budgets!$A$2:$A$200=AN$1)*(Budgets!$B$2:$B$200&lt;=$A184)),Budgets!$C$2:$C$200),0))</f>
        <v/>
      </c>
      <c r="AO184" s="88">
        <f>IF(OR(AO$1="",$BE184=0),"",IFERROR(LOOKUP(2,1/((Budgets!$A$2:$A$200=AO$1)*(Budgets!$B$2:$B$200&lt;=$A184)),Budgets!$C$2:$C$200),0))</f>
        <v/>
      </c>
      <c r="AP184" s="88">
        <f>IF(OR(AP$1="",$BE184=0),"",IFERROR(LOOKUP(2,1/((Budgets!$A$2:$A$200=AP$1)*(Budgets!$B$2:$B$200&lt;=$A184)),Budgets!$C$2:$C$200),0))</f>
        <v/>
      </c>
      <c r="AQ184" s="88">
        <f>IF(OR(AQ$1="",$BE184=0),"",IFERROR(LOOKUP(2,1/((Budgets!$A$2:$A$200=AQ$1)*(Budgets!$B$2:$B$200&lt;=$A184)),Budgets!$C$2:$C$200),0))</f>
        <v/>
      </c>
      <c r="AR184" s="88">
        <f>IF(OR(AR$1="",$BE184=0),"",IFERROR(LOOKUP(2,1/((Budgets!$A$2:$A$200=AR$1)*(Budgets!$B$2:$B$200&lt;=$A184)),Budgets!$C$2:$C$200),0))</f>
        <v/>
      </c>
      <c r="AS184" s="88">
        <f>IF(OR(AS$1="",$BE184=0),"",IFERROR(LOOKUP(2,1/((Budgets!$A$2:$A$200=AS$1)*(Budgets!$B$2:$B$200&lt;=$A184)),Budgets!$C$2:$C$200),0))</f>
        <v/>
      </c>
      <c r="AT184" s="88">
        <f>IF(OR(AT$1="",$BE184=0),"",IFERROR(LOOKUP(2,1/((Budgets!$A$2:$A$200=AT$1)*(Budgets!$B$2:$B$200&lt;=$A184)),Budgets!$C$2:$C$200),0))</f>
        <v/>
      </c>
      <c r="AU184" s="88">
        <f>IF(OR(AU$1="",$BE184=0),"",IFERROR(LOOKUP(2,1/((Budgets!$A$2:$A$200=AU$1)*(Budgets!$B$2:$B$200&lt;=$A184)),Budgets!$C$2:$C$200),0))</f>
        <v/>
      </c>
      <c r="AV184" s="88">
        <f>IF(OR(AV$1="",$BE184=0),"",IFERROR(LOOKUP(2,1/((Budgets!$A$2:$A$200=AV$1)*(Budgets!$B$2:$B$200&lt;=$A184)),Budgets!$C$2:$C$200),0))</f>
        <v/>
      </c>
      <c r="AW184" s="88">
        <f>IF(OR(AW$1="",$BE184=0),"",IFERROR(LOOKUP(2,1/((Budgets!$A$2:$A$200=AW$1)*(Budgets!$B$2:$B$200&lt;=$A184)),Budgets!$C$2:$C$200),0))</f>
        <v/>
      </c>
      <c r="AX184" s="88">
        <f>IF(OR(AX$1="",$BE184=0),"",IFERROR(LOOKUP(2,1/((Budgets!$A$2:$A$200=AX$1)*(Budgets!$B$2:$B$200&lt;=$A184)),Budgets!$C$2:$C$200),0))</f>
        <v/>
      </c>
      <c r="AY184" s="88">
        <f>IF(OR(AY$1="",$BE184=0),"",IFERROR(LOOKUP(2,1/((Budgets!$A$2:$A$200=AY$1)*(Budgets!$B$2:$B$200&lt;=$A184)),Budgets!$C$2:$C$200),0))</f>
        <v/>
      </c>
      <c r="AZ184" s="88">
        <f>IF(OR(AZ$1="",$BE184=0),"",IFERROR(LOOKUP(2,1/((Budgets!$A$2:$A$200=AZ$1)*(Budgets!$B$2:$B$200&lt;=$A184)),Budgets!$C$2:$C$200),0))</f>
        <v/>
      </c>
      <c r="BA184" s="88">
        <f>IF(OR(BA$1="",$BE184=0),"",IFERROR(LOOKUP(2,1/((Budgets!$A$2:$A$200=BA$1)*(Budgets!$B$2:$B$200&lt;=$A184)),Budgets!$C$2:$C$200),0))</f>
        <v/>
      </c>
      <c r="BB184" s="88">
        <f>IF(OR(BB$1="",$BE184=0),"",IFERROR(LOOKUP(2,1/((Budgets!$A$2:$A$200=BB$1)*(Budgets!$B$2:$B$200&lt;=$A184)),Budgets!$C$2:$C$200),0))</f>
        <v/>
      </c>
      <c r="BC184" s="88">
        <f>IF(OR(BC$1="",$BE184=0),"",IFERROR(LOOKUP(2,1/((Budgets!$A$2:$A$200=BC$1)*(Budgets!$B$2:$B$200&lt;=$A184)),Budgets!$C$2:$C$200),0))</f>
        <v/>
      </c>
      <c r="BE184" s="67">
        <f>COUNTIFS(Entries!$A$2:$A$5000,$A184)</f>
        <v/>
      </c>
    </row>
    <row r="185" ht="15" customHeight="1" s="43">
      <c r="A185" s="87" t="n">
        <v>45017</v>
      </c>
      <c r="B185" s="88">
        <f>IF($BE185=0,NA(),SUMIFS(Entries!$D$2:$D$5000,Entries!$C$2:$C$5000,"Income",Entries!$A$2:$A$5000,$A185))</f>
        <v/>
      </c>
      <c r="C185" s="88">
        <f>IF($BE185=0,"",SUMIFS(Entries!$D$2:$D$5000,Entries!$C$2:$C$5000,"Actual",Entries!$A$2:$A$5000,$A185))</f>
        <v/>
      </c>
      <c r="D185" s="88">
        <f>IF($BE185=0,"",SUMIFS(Entries!$D$2:$D$5000,Entries!$C$2:$C$5000,"One-off",Entries!$A$2:$A$5000,$A185))</f>
        <v/>
      </c>
      <c r="E185" s="88">
        <f>IF($BE185=0,NA(),C185+D185)</f>
        <v/>
      </c>
      <c r="F185" s="88">
        <f>IF($BE185=0,"",SUM(AJ185:BC185))</f>
        <v/>
      </c>
      <c r="G185" s="88">
        <f>IF($BE185=0,"",B185-E185)</f>
        <v/>
      </c>
      <c r="H185" s="88">
        <f>IF($BE185=0,"",SUM($G$2:G185))</f>
        <v/>
      </c>
      <c r="I185" s="88">
        <f>IF($BE185=0,"",SUMIFS(Entries!$F$2:$F$5000,Entries!$A$2:$A$5000,$A185))</f>
        <v/>
      </c>
      <c r="J185" s="88">
        <f>IF($BE185=0,NA(),H185+SUM($I$2:I185))</f>
        <v/>
      </c>
      <c r="K185" s="88">
        <f>IF($BE185=0,"",SUMIFS(Entries!$D$2:$D$5000,Entries!$C$2:$C$5000,"Income",Entries!$A$2:$A$5000,"&gt;="&amp;EDATE($A185,-11),Entries!$A$2:$A$5000,"&lt;="&amp;$A185)/12)</f>
        <v/>
      </c>
      <c r="L185" s="88">
        <f>IF($BE185=0,"",(SUMIFS(Entries!$D$2:$D$5000,Entries!$C$2:$C$5000,"Actual",Entries!$A$2:$A$5000,"&gt;="&amp;EDATE($A185,-11),Entries!$A$2:$A$5000,"&lt;="&amp;$A185)+SUMIFS(Entries!$D$2:$D$5000,Entries!$C$2:$C$5000,"One-off",Entries!$A$2:$A$5000,"&gt;="&amp;EDATE($A185,-11),Entries!$A$2:$A$5000,"&lt;="&amp;$A185))/12)</f>
        <v/>
      </c>
      <c r="M185" s="70">
        <f>IF($BE185=0,NA(),IFERROR((K185-L185)/K185,0))</f>
        <v/>
      </c>
      <c r="O185" s="88">
        <f>IF(OR(O$1="",$BE185=0),"",SUMIFS(Entries!$D$2:$D$5000,Entries!$C$2:$C$5000,"Actual",Entries!$A$2:$A$5000,$A185,Entries!$B$2:$B$5000,O$1))</f>
        <v/>
      </c>
      <c r="P185" s="88">
        <f>IF(OR(P$1="",$BE185=0),"",SUMIFS(Entries!$D$2:$D$5000,Entries!$C$2:$C$5000,"Actual",Entries!$A$2:$A$5000,$A185,Entries!$B$2:$B$5000,P$1))</f>
        <v/>
      </c>
      <c r="Q185" s="88">
        <f>IF(OR(Q$1="",$BE185=0),"",SUMIFS(Entries!$D$2:$D$5000,Entries!$C$2:$C$5000,"Actual",Entries!$A$2:$A$5000,$A185,Entries!$B$2:$B$5000,Q$1))</f>
        <v/>
      </c>
      <c r="R185" s="88">
        <f>IF(OR(R$1="",$BE185=0),"",SUMIFS(Entries!$D$2:$D$5000,Entries!$C$2:$C$5000,"Actual",Entries!$A$2:$A$5000,$A185,Entries!$B$2:$B$5000,R$1))</f>
        <v/>
      </c>
      <c r="S185" s="88">
        <f>IF(OR(S$1="",$BE185=0),"",SUMIFS(Entries!$D$2:$D$5000,Entries!$C$2:$C$5000,"Actual",Entries!$A$2:$A$5000,$A185,Entries!$B$2:$B$5000,S$1))</f>
        <v/>
      </c>
      <c r="T185" s="88">
        <f>IF(OR(T$1="",$BE185=0),"",SUMIFS(Entries!$D$2:$D$5000,Entries!$C$2:$C$5000,"Actual",Entries!$A$2:$A$5000,$A185,Entries!$B$2:$B$5000,T$1))</f>
        <v/>
      </c>
      <c r="U185" s="88">
        <f>IF(OR(U$1="",$BE185=0),"",SUMIFS(Entries!$D$2:$D$5000,Entries!$C$2:$C$5000,"Actual",Entries!$A$2:$A$5000,$A185,Entries!$B$2:$B$5000,U$1))</f>
        <v/>
      </c>
      <c r="V185" s="88">
        <f>IF(OR(V$1="",$BE185=0),"",SUMIFS(Entries!$D$2:$D$5000,Entries!$C$2:$C$5000,"Actual",Entries!$A$2:$A$5000,$A185,Entries!$B$2:$B$5000,V$1))</f>
        <v/>
      </c>
      <c r="W185" s="88">
        <f>IF(OR(W$1="",$BE185=0),"",SUMIFS(Entries!$D$2:$D$5000,Entries!$C$2:$C$5000,"Actual",Entries!$A$2:$A$5000,$A185,Entries!$B$2:$B$5000,W$1))</f>
        <v/>
      </c>
      <c r="X185" s="88">
        <f>IF(OR(X$1="",$BE185=0),"",SUMIFS(Entries!$D$2:$D$5000,Entries!$C$2:$C$5000,"Actual",Entries!$A$2:$A$5000,$A185,Entries!$B$2:$B$5000,X$1))</f>
        <v/>
      </c>
      <c r="Y185" s="88">
        <f>IF(OR(Y$1="",$BE185=0),"",SUMIFS(Entries!$D$2:$D$5000,Entries!$C$2:$C$5000,"Actual",Entries!$A$2:$A$5000,$A185,Entries!$B$2:$B$5000,Y$1))</f>
        <v/>
      </c>
      <c r="Z185" s="88">
        <f>IF(OR(Z$1="",$BE185=0),"",SUMIFS(Entries!$D$2:$D$5000,Entries!$C$2:$C$5000,"Actual",Entries!$A$2:$A$5000,$A185,Entries!$B$2:$B$5000,Z$1))</f>
        <v/>
      </c>
      <c r="AA185" s="88">
        <f>IF(OR(AA$1="",$BE185=0),"",SUMIFS(Entries!$D$2:$D$5000,Entries!$C$2:$C$5000,"Actual",Entries!$A$2:$A$5000,$A185,Entries!$B$2:$B$5000,AA$1))</f>
        <v/>
      </c>
      <c r="AB185" s="88">
        <f>IF(OR(AB$1="",$BE185=0),"",SUMIFS(Entries!$D$2:$D$5000,Entries!$C$2:$C$5000,"Actual",Entries!$A$2:$A$5000,$A185,Entries!$B$2:$B$5000,AB$1))</f>
        <v/>
      </c>
      <c r="AC185" s="88">
        <f>IF(OR(AC$1="",$BE185=0),"",SUMIFS(Entries!$D$2:$D$5000,Entries!$C$2:$C$5000,"Actual",Entries!$A$2:$A$5000,$A185,Entries!$B$2:$B$5000,AC$1))</f>
        <v/>
      </c>
      <c r="AD185" s="88">
        <f>IF(OR(AD$1="",$BE185=0),"",SUMIFS(Entries!$D$2:$D$5000,Entries!$C$2:$C$5000,"Actual",Entries!$A$2:$A$5000,$A185,Entries!$B$2:$B$5000,AD$1))</f>
        <v/>
      </c>
      <c r="AE185" s="88">
        <f>IF(OR(AE$1="",$BE185=0),"",SUMIFS(Entries!$D$2:$D$5000,Entries!$C$2:$C$5000,"Actual",Entries!$A$2:$A$5000,$A185,Entries!$B$2:$B$5000,AE$1))</f>
        <v/>
      </c>
      <c r="AF185" s="88">
        <f>IF(OR(AF$1="",$BE185=0),"",SUMIFS(Entries!$D$2:$D$5000,Entries!$C$2:$C$5000,"Actual",Entries!$A$2:$A$5000,$A185,Entries!$B$2:$B$5000,AF$1))</f>
        <v/>
      </c>
      <c r="AG185" s="88">
        <f>IF(OR(AG$1="",$BE185=0),"",SUMIFS(Entries!$D$2:$D$5000,Entries!$C$2:$C$5000,"Actual",Entries!$A$2:$A$5000,$A185,Entries!$B$2:$B$5000,AG$1))</f>
        <v/>
      </c>
      <c r="AH185" s="88">
        <f>IF(OR(AH$1="",$BE185=0),"",SUMIFS(Entries!$D$2:$D$5000,Entries!$C$2:$C$5000,"Actual",Entries!$A$2:$A$5000,$A185,Entries!$B$2:$B$5000,AH$1))</f>
        <v/>
      </c>
      <c r="AJ185" s="88">
        <f>IF(OR(AJ$1="",$BE185=0),"",IFERROR(LOOKUP(2,1/((Budgets!$A$2:$A$200=AJ$1)*(Budgets!$B$2:$B$200&lt;=$A185)),Budgets!$C$2:$C$200),0))</f>
        <v/>
      </c>
      <c r="AK185" s="88">
        <f>IF(OR(AK$1="",$BE185=0),"",IFERROR(LOOKUP(2,1/((Budgets!$A$2:$A$200=AK$1)*(Budgets!$B$2:$B$200&lt;=$A185)),Budgets!$C$2:$C$200),0))</f>
        <v/>
      </c>
      <c r="AL185" s="88">
        <f>IF(OR(AL$1="",$BE185=0),"",IFERROR(LOOKUP(2,1/((Budgets!$A$2:$A$200=AL$1)*(Budgets!$B$2:$B$200&lt;=$A185)),Budgets!$C$2:$C$200),0))</f>
        <v/>
      </c>
      <c r="AM185" s="88">
        <f>IF(OR(AM$1="",$BE185=0),"",IFERROR(LOOKUP(2,1/((Budgets!$A$2:$A$200=AM$1)*(Budgets!$B$2:$B$200&lt;=$A185)),Budgets!$C$2:$C$200),0))</f>
        <v/>
      </c>
      <c r="AN185" s="88">
        <f>IF(OR(AN$1="",$BE185=0),"",IFERROR(LOOKUP(2,1/((Budgets!$A$2:$A$200=AN$1)*(Budgets!$B$2:$B$200&lt;=$A185)),Budgets!$C$2:$C$200),0))</f>
        <v/>
      </c>
      <c r="AO185" s="88">
        <f>IF(OR(AO$1="",$BE185=0),"",IFERROR(LOOKUP(2,1/((Budgets!$A$2:$A$200=AO$1)*(Budgets!$B$2:$B$200&lt;=$A185)),Budgets!$C$2:$C$200),0))</f>
        <v/>
      </c>
      <c r="AP185" s="88">
        <f>IF(OR(AP$1="",$BE185=0),"",IFERROR(LOOKUP(2,1/((Budgets!$A$2:$A$200=AP$1)*(Budgets!$B$2:$B$200&lt;=$A185)),Budgets!$C$2:$C$200),0))</f>
        <v/>
      </c>
      <c r="AQ185" s="88">
        <f>IF(OR(AQ$1="",$BE185=0),"",IFERROR(LOOKUP(2,1/((Budgets!$A$2:$A$200=AQ$1)*(Budgets!$B$2:$B$200&lt;=$A185)),Budgets!$C$2:$C$200),0))</f>
        <v/>
      </c>
      <c r="AR185" s="88">
        <f>IF(OR(AR$1="",$BE185=0),"",IFERROR(LOOKUP(2,1/((Budgets!$A$2:$A$200=AR$1)*(Budgets!$B$2:$B$200&lt;=$A185)),Budgets!$C$2:$C$200),0))</f>
        <v/>
      </c>
      <c r="AS185" s="88">
        <f>IF(OR(AS$1="",$BE185=0),"",IFERROR(LOOKUP(2,1/((Budgets!$A$2:$A$200=AS$1)*(Budgets!$B$2:$B$200&lt;=$A185)),Budgets!$C$2:$C$200),0))</f>
        <v/>
      </c>
      <c r="AT185" s="88">
        <f>IF(OR(AT$1="",$BE185=0),"",IFERROR(LOOKUP(2,1/((Budgets!$A$2:$A$200=AT$1)*(Budgets!$B$2:$B$200&lt;=$A185)),Budgets!$C$2:$C$200),0))</f>
        <v/>
      </c>
      <c r="AU185" s="88">
        <f>IF(OR(AU$1="",$BE185=0),"",IFERROR(LOOKUP(2,1/((Budgets!$A$2:$A$200=AU$1)*(Budgets!$B$2:$B$200&lt;=$A185)),Budgets!$C$2:$C$200),0))</f>
        <v/>
      </c>
      <c r="AV185" s="88">
        <f>IF(OR(AV$1="",$BE185=0),"",IFERROR(LOOKUP(2,1/((Budgets!$A$2:$A$200=AV$1)*(Budgets!$B$2:$B$200&lt;=$A185)),Budgets!$C$2:$C$200),0))</f>
        <v/>
      </c>
      <c r="AW185" s="88">
        <f>IF(OR(AW$1="",$BE185=0),"",IFERROR(LOOKUP(2,1/((Budgets!$A$2:$A$200=AW$1)*(Budgets!$B$2:$B$200&lt;=$A185)),Budgets!$C$2:$C$200),0))</f>
        <v/>
      </c>
      <c r="AX185" s="88">
        <f>IF(OR(AX$1="",$BE185=0),"",IFERROR(LOOKUP(2,1/((Budgets!$A$2:$A$200=AX$1)*(Budgets!$B$2:$B$200&lt;=$A185)),Budgets!$C$2:$C$200),0))</f>
        <v/>
      </c>
      <c r="AY185" s="88">
        <f>IF(OR(AY$1="",$BE185=0),"",IFERROR(LOOKUP(2,1/((Budgets!$A$2:$A$200=AY$1)*(Budgets!$B$2:$B$200&lt;=$A185)),Budgets!$C$2:$C$200),0))</f>
        <v/>
      </c>
      <c r="AZ185" s="88">
        <f>IF(OR(AZ$1="",$BE185=0),"",IFERROR(LOOKUP(2,1/((Budgets!$A$2:$A$200=AZ$1)*(Budgets!$B$2:$B$200&lt;=$A185)),Budgets!$C$2:$C$200),0))</f>
        <v/>
      </c>
      <c r="BA185" s="88">
        <f>IF(OR(BA$1="",$BE185=0),"",IFERROR(LOOKUP(2,1/((Budgets!$A$2:$A$200=BA$1)*(Budgets!$B$2:$B$200&lt;=$A185)),Budgets!$C$2:$C$200),0))</f>
        <v/>
      </c>
      <c r="BB185" s="88">
        <f>IF(OR(BB$1="",$BE185=0),"",IFERROR(LOOKUP(2,1/((Budgets!$A$2:$A$200=BB$1)*(Budgets!$B$2:$B$200&lt;=$A185)),Budgets!$C$2:$C$200),0))</f>
        <v/>
      </c>
      <c r="BC185" s="88">
        <f>IF(OR(BC$1="",$BE185=0),"",IFERROR(LOOKUP(2,1/((Budgets!$A$2:$A$200=BC$1)*(Budgets!$B$2:$B$200&lt;=$A185)),Budgets!$C$2:$C$200),0))</f>
        <v/>
      </c>
      <c r="BE185" s="67">
        <f>COUNTIFS(Entries!$A$2:$A$5000,$A185)</f>
        <v/>
      </c>
    </row>
    <row r="186" ht="15" customHeight="1" s="43">
      <c r="A186" s="87" t="n">
        <v>45047</v>
      </c>
      <c r="B186" s="88">
        <f>IF($BE186=0,NA(),SUMIFS(Entries!$D$2:$D$5000,Entries!$C$2:$C$5000,"Income",Entries!$A$2:$A$5000,$A186))</f>
        <v/>
      </c>
      <c r="C186" s="88">
        <f>IF($BE186=0,"",SUMIFS(Entries!$D$2:$D$5000,Entries!$C$2:$C$5000,"Actual",Entries!$A$2:$A$5000,$A186))</f>
        <v/>
      </c>
      <c r="D186" s="88">
        <f>IF($BE186=0,"",SUMIFS(Entries!$D$2:$D$5000,Entries!$C$2:$C$5000,"One-off",Entries!$A$2:$A$5000,$A186))</f>
        <v/>
      </c>
      <c r="E186" s="88">
        <f>IF($BE186=0,NA(),C186+D186)</f>
        <v/>
      </c>
      <c r="F186" s="88">
        <f>IF($BE186=0,"",SUM(AJ186:BC186))</f>
        <v/>
      </c>
      <c r="G186" s="88">
        <f>IF($BE186=0,"",B186-E186)</f>
        <v/>
      </c>
      <c r="H186" s="88">
        <f>IF($BE186=0,"",SUM($G$2:G186))</f>
        <v/>
      </c>
      <c r="I186" s="88">
        <f>IF($BE186=0,"",SUMIFS(Entries!$F$2:$F$5000,Entries!$A$2:$A$5000,$A186))</f>
        <v/>
      </c>
      <c r="J186" s="88">
        <f>IF($BE186=0,NA(),H186+SUM($I$2:I186))</f>
        <v/>
      </c>
      <c r="K186" s="88">
        <f>IF($BE186=0,"",SUMIFS(Entries!$D$2:$D$5000,Entries!$C$2:$C$5000,"Income",Entries!$A$2:$A$5000,"&gt;="&amp;EDATE($A186,-11),Entries!$A$2:$A$5000,"&lt;="&amp;$A186)/12)</f>
        <v/>
      </c>
      <c r="L186" s="88">
        <f>IF($BE186=0,"",(SUMIFS(Entries!$D$2:$D$5000,Entries!$C$2:$C$5000,"Actual",Entries!$A$2:$A$5000,"&gt;="&amp;EDATE($A186,-11),Entries!$A$2:$A$5000,"&lt;="&amp;$A186)+SUMIFS(Entries!$D$2:$D$5000,Entries!$C$2:$C$5000,"One-off",Entries!$A$2:$A$5000,"&gt;="&amp;EDATE($A186,-11),Entries!$A$2:$A$5000,"&lt;="&amp;$A186))/12)</f>
        <v/>
      </c>
      <c r="M186" s="70">
        <f>IF($BE186=0,NA(),IFERROR((K186-L186)/K186,0))</f>
        <v/>
      </c>
      <c r="O186" s="88">
        <f>IF(OR(O$1="",$BE186=0),"",SUMIFS(Entries!$D$2:$D$5000,Entries!$C$2:$C$5000,"Actual",Entries!$A$2:$A$5000,$A186,Entries!$B$2:$B$5000,O$1))</f>
        <v/>
      </c>
      <c r="P186" s="88">
        <f>IF(OR(P$1="",$BE186=0),"",SUMIFS(Entries!$D$2:$D$5000,Entries!$C$2:$C$5000,"Actual",Entries!$A$2:$A$5000,$A186,Entries!$B$2:$B$5000,P$1))</f>
        <v/>
      </c>
      <c r="Q186" s="88">
        <f>IF(OR(Q$1="",$BE186=0),"",SUMIFS(Entries!$D$2:$D$5000,Entries!$C$2:$C$5000,"Actual",Entries!$A$2:$A$5000,$A186,Entries!$B$2:$B$5000,Q$1))</f>
        <v/>
      </c>
      <c r="R186" s="88">
        <f>IF(OR(R$1="",$BE186=0),"",SUMIFS(Entries!$D$2:$D$5000,Entries!$C$2:$C$5000,"Actual",Entries!$A$2:$A$5000,$A186,Entries!$B$2:$B$5000,R$1))</f>
        <v/>
      </c>
      <c r="S186" s="88">
        <f>IF(OR(S$1="",$BE186=0),"",SUMIFS(Entries!$D$2:$D$5000,Entries!$C$2:$C$5000,"Actual",Entries!$A$2:$A$5000,$A186,Entries!$B$2:$B$5000,S$1))</f>
        <v/>
      </c>
      <c r="T186" s="88">
        <f>IF(OR(T$1="",$BE186=0),"",SUMIFS(Entries!$D$2:$D$5000,Entries!$C$2:$C$5000,"Actual",Entries!$A$2:$A$5000,$A186,Entries!$B$2:$B$5000,T$1))</f>
        <v/>
      </c>
      <c r="U186" s="88">
        <f>IF(OR(U$1="",$BE186=0),"",SUMIFS(Entries!$D$2:$D$5000,Entries!$C$2:$C$5000,"Actual",Entries!$A$2:$A$5000,$A186,Entries!$B$2:$B$5000,U$1))</f>
        <v/>
      </c>
      <c r="V186" s="88">
        <f>IF(OR(V$1="",$BE186=0),"",SUMIFS(Entries!$D$2:$D$5000,Entries!$C$2:$C$5000,"Actual",Entries!$A$2:$A$5000,$A186,Entries!$B$2:$B$5000,V$1))</f>
        <v/>
      </c>
      <c r="W186" s="88">
        <f>IF(OR(W$1="",$BE186=0),"",SUMIFS(Entries!$D$2:$D$5000,Entries!$C$2:$C$5000,"Actual",Entries!$A$2:$A$5000,$A186,Entries!$B$2:$B$5000,W$1))</f>
        <v/>
      </c>
      <c r="X186" s="88">
        <f>IF(OR(X$1="",$BE186=0),"",SUMIFS(Entries!$D$2:$D$5000,Entries!$C$2:$C$5000,"Actual",Entries!$A$2:$A$5000,$A186,Entries!$B$2:$B$5000,X$1))</f>
        <v/>
      </c>
      <c r="Y186" s="88">
        <f>IF(OR(Y$1="",$BE186=0),"",SUMIFS(Entries!$D$2:$D$5000,Entries!$C$2:$C$5000,"Actual",Entries!$A$2:$A$5000,$A186,Entries!$B$2:$B$5000,Y$1))</f>
        <v/>
      </c>
      <c r="Z186" s="88">
        <f>IF(OR(Z$1="",$BE186=0),"",SUMIFS(Entries!$D$2:$D$5000,Entries!$C$2:$C$5000,"Actual",Entries!$A$2:$A$5000,$A186,Entries!$B$2:$B$5000,Z$1))</f>
        <v/>
      </c>
      <c r="AA186" s="88">
        <f>IF(OR(AA$1="",$BE186=0),"",SUMIFS(Entries!$D$2:$D$5000,Entries!$C$2:$C$5000,"Actual",Entries!$A$2:$A$5000,$A186,Entries!$B$2:$B$5000,AA$1))</f>
        <v/>
      </c>
      <c r="AB186" s="88">
        <f>IF(OR(AB$1="",$BE186=0),"",SUMIFS(Entries!$D$2:$D$5000,Entries!$C$2:$C$5000,"Actual",Entries!$A$2:$A$5000,$A186,Entries!$B$2:$B$5000,AB$1))</f>
        <v/>
      </c>
      <c r="AC186" s="88">
        <f>IF(OR(AC$1="",$BE186=0),"",SUMIFS(Entries!$D$2:$D$5000,Entries!$C$2:$C$5000,"Actual",Entries!$A$2:$A$5000,$A186,Entries!$B$2:$B$5000,AC$1))</f>
        <v/>
      </c>
      <c r="AD186" s="88">
        <f>IF(OR(AD$1="",$BE186=0),"",SUMIFS(Entries!$D$2:$D$5000,Entries!$C$2:$C$5000,"Actual",Entries!$A$2:$A$5000,$A186,Entries!$B$2:$B$5000,AD$1))</f>
        <v/>
      </c>
      <c r="AE186" s="88">
        <f>IF(OR(AE$1="",$BE186=0),"",SUMIFS(Entries!$D$2:$D$5000,Entries!$C$2:$C$5000,"Actual",Entries!$A$2:$A$5000,$A186,Entries!$B$2:$B$5000,AE$1))</f>
        <v/>
      </c>
      <c r="AF186" s="88">
        <f>IF(OR(AF$1="",$BE186=0),"",SUMIFS(Entries!$D$2:$D$5000,Entries!$C$2:$C$5000,"Actual",Entries!$A$2:$A$5000,$A186,Entries!$B$2:$B$5000,AF$1))</f>
        <v/>
      </c>
      <c r="AG186" s="88">
        <f>IF(OR(AG$1="",$BE186=0),"",SUMIFS(Entries!$D$2:$D$5000,Entries!$C$2:$C$5000,"Actual",Entries!$A$2:$A$5000,$A186,Entries!$B$2:$B$5000,AG$1))</f>
        <v/>
      </c>
      <c r="AH186" s="88">
        <f>IF(OR(AH$1="",$BE186=0),"",SUMIFS(Entries!$D$2:$D$5000,Entries!$C$2:$C$5000,"Actual",Entries!$A$2:$A$5000,$A186,Entries!$B$2:$B$5000,AH$1))</f>
        <v/>
      </c>
      <c r="AJ186" s="88">
        <f>IF(OR(AJ$1="",$BE186=0),"",IFERROR(LOOKUP(2,1/((Budgets!$A$2:$A$200=AJ$1)*(Budgets!$B$2:$B$200&lt;=$A186)),Budgets!$C$2:$C$200),0))</f>
        <v/>
      </c>
      <c r="AK186" s="88">
        <f>IF(OR(AK$1="",$BE186=0),"",IFERROR(LOOKUP(2,1/((Budgets!$A$2:$A$200=AK$1)*(Budgets!$B$2:$B$200&lt;=$A186)),Budgets!$C$2:$C$200),0))</f>
        <v/>
      </c>
      <c r="AL186" s="88">
        <f>IF(OR(AL$1="",$BE186=0),"",IFERROR(LOOKUP(2,1/((Budgets!$A$2:$A$200=AL$1)*(Budgets!$B$2:$B$200&lt;=$A186)),Budgets!$C$2:$C$200),0))</f>
        <v/>
      </c>
      <c r="AM186" s="88">
        <f>IF(OR(AM$1="",$BE186=0),"",IFERROR(LOOKUP(2,1/((Budgets!$A$2:$A$200=AM$1)*(Budgets!$B$2:$B$200&lt;=$A186)),Budgets!$C$2:$C$200),0))</f>
        <v/>
      </c>
      <c r="AN186" s="88">
        <f>IF(OR(AN$1="",$BE186=0),"",IFERROR(LOOKUP(2,1/((Budgets!$A$2:$A$200=AN$1)*(Budgets!$B$2:$B$200&lt;=$A186)),Budgets!$C$2:$C$200),0))</f>
        <v/>
      </c>
      <c r="AO186" s="88">
        <f>IF(OR(AO$1="",$BE186=0),"",IFERROR(LOOKUP(2,1/((Budgets!$A$2:$A$200=AO$1)*(Budgets!$B$2:$B$200&lt;=$A186)),Budgets!$C$2:$C$200),0))</f>
        <v/>
      </c>
      <c r="AP186" s="88">
        <f>IF(OR(AP$1="",$BE186=0),"",IFERROR(LOOKUP(2,1/((Budgets!$A$2:$A$200=AP$1)*(Budgets!$B$2:$B$200&lt;=$A186)),Budgets!$C$2:$C$200),0))</f>
        <v/>
      </c>
      <c r="AQ186" s="88">
        <f>IF(OR(AQ$1="",$BE186=0),"",IFERROR(LOOKUP(2,1/((Budgets!$A$2:$A$200=AQ$1)*(Budgets!$B$2:$B$200&lt;=$A186)),Budgets!$C$2:$C$200),0))</f>
        <v/>
      </c>
      <c r="AR186" s="88">
        <f>IF(OR(AR$1="",$BE186=0),"",IFERROR(LOOKUP(2,1/((Budgets!$A$2:$A$200=AR$1)*(Budgets!$B$2:$B$200&lt;=$A186)),Budgets!$C$2:$C$200),0))</f>
        <v/>
      </c>
      <c r="AS186" s="88">
        <f>IF(OR(AS$1="",$BE186=0),"",IFERROR(LOOKUP(2,1/((Budgets!$A$2:$A$200=AS$1)*(Budgets!$B$2:$B$200&lt;=$A186)),Budgets!$C$2:$C$200),0))</f>
        <v/>
      </c>
      <c r="AT186" s="88">
        <f>IF(OR(AT$1="",$BE186=0),"",IFERROR(LOOKUP(2,1/((Budgets!$A$2:$A$200=AT$1)*(Budgets!$B$2:$B$200&lt;=$A186)),Budgets!$C$2:$C$200),0))</f>
        <v/>
      </c>
      <c r="AU186" s="88">
        <f>IF(OR(AU$1="",$BE186=0),"",IFERROR(LOOKUP(2,1/((Budgets!$A$2:$A$200=AU$1)*(Budgets!$B$2:$B$200&lt;=$A186)),Budgets!$C$2:$C$200),0))</f>
        <v/>
      </c>
      <c r="AV186" s="88">
        <f>IF(OR(AV$1="",$BE186=0),"",IFERROR(LOOKUP(2,1/((Budgets!$A$2:$A$200=AV$1)*(Budgets!$B$2:$B$200&lt;=$A186)),Budgets!$C$2:$C$200),0))</f>
        <v/>
      </c>
      <c r="AW186" s="88">
        <f>IF(OR(AW$1="",$BE186=0),"",IFERROR(LOOKUP(2,1/((Budgets!$A$2:$A$200=AW$1)*(Budgets!$B$2:$B$200&lt;=$A186)),Budgets!$C$2:$C$200),0))</f>
        <v/>
      </c>
      <c r="AX186" s="88">
        <f>IF(OR(AX$1="",$BE186=0),"",IFERROR(LOOKUP(2,1/((Budgets!$A$2:$A$200=AX$1)*(Budgets!$B$2:$B$200&lt;=$A186)),Budgets!$C$2:$C$200),0))</f>
        <v/>
      </c>
      <c r="AY186" s="88">
        <f>IF(OR(AY$1="",$BE186=0),"",IFERROR(LOOKUP(2,1/((Budgets!$A$2:$A$200=AY$1)*(Budgets!$B$2:$B$200&lt;=$A186)),Budgets!$C$2:$C$200),0))</f>
        <v/>
      </c>
      <c r="AZ186" s="88">
        <f>IF(OR(AZ$1="",$BE186=0),"",IFERROR(LOOKUP(2,1/((Budgets!$A$2:$A$200=AZ$1)*(Budgets!$B$2:$B$200&lt;=$A186)),Budgets!$C$2:$C$200),0))</f>
        <v/>
      </c>
      <c r="BA186" s="88">
        <f>IF(OR(BA$1="",$BE186=0),"",IFERROR(LOOKUP(2,1/((Budgets!$A$2:$A$200=BA$1)*(Budgets!$B$2:$B$200&lt;=$A186)),Budgets!$C$2:$C$200),0))</f>
        <v/>
      </c>
      <c r="BB186" s="88">
        <f>IF(OR(BB$1="",$BE186=0),"",IFERROR(LOOKUP(2,1/((Budgets!$A$2:$A$200=BB$1)*(Budgets!$B$2:$B$200&lt;=$A186)),Budgets!$C$2:$C$200),0))</f>
        <v/>
      </c>
      <c r="BC186" s="88">
        <f>IF(OR(BC$1="",$BE186=0),"",IFERROR(LOOKUP(2,1/((Budgets!$A$2:$A$200=BC$1)*(Budgets!$B$2:$B$200&lt;=$A186)),Budgets!$C$2:$C$200),0))</f>
        <v/>
      </c>
      <c r="BE186" s="67">
        <f>COUNTIFS(Entries!$A$2:$A$5000,$A186)</f>
        <v/>
      </c>
    </row>
    <row r="187" ht="15" customHeight="1" s="43">
      <c r="A187" s="87" t="n">
        <v>45078</v>
      </c>
      <c r="B187" s="88">
        <f>IF($BE187=0,NA(),SUMIFS(Entries!$D$2:$D$5000,Entries!$C$2:$C$5000,"Income",Entries!$A$2:$A$5000,$A187))</f>
        <v/>
      </c>
      <c r="C187" s="88">
        <f>IF($BE187=0,"",SUMIFS(Entries!$D$2:$D$5000,Entries!$C$2:$C$5000,"Actual",Entries!$A$2:$A$5000,$A187))</f>
        <v/>
      </c>
      <c r="D187" s="88">
        <f>IF($BE187=0,"",SUMIFS(Entries!$D$2:$D$5000,Entries!$C$2:$C$5000,"One-off",Entries!$A$2:$A$5000,$A187))</f>
        <v/>
      </c>
      <c r="E187" s="88">
        <f>IF($BE187=0,NA(),C187+D187)</f>
        <v/>
      </c>
      <c r="F187" s="88">
        <f>IF($BE187=0,"",SUM(AJ187:BC187))</f>
        <v/>
      </c>
      <c r="G187" s="88">
        <f>IF($BE187=0,"",B187-E187)</f>
        <v/>
      </c>
      <c r="H187" s="88">
        <f>IF($BE187=0,"",SUM($G$2:G187))</f>
        <v/>
      </c>
      <c r="I187" s="88">
        <f>IF($BE187=0,"",SUMIFS(Entries!$F$2:$F$5000,Entries!$A$2:$A$5000,$A187))</f>
        <v/>
      </c>
      <c r="J187" s="88">
        <f>IF($BE187=0,NA(),H187+SUM($I$2:I187))</f>
        <v/>
      </c>
      <c r="K187" s="88">
        <f>IF($BE187=0,"",SUMIFS(Entries!$D$2:$D$5000,Entries!$C$2:$C$5000,"Income",Entries!$A$2:$A$5000,"&gt;="&amp;EDATE($A187,-11),Entries!$A$2:$A$5000,"&lt;="&amp;$A187)/12)</f>
        <v/>
      </c>
      <c r="L187" s="88">
        <f>IF($BE187=0,"",(SUMIFS(Entries!$D$2:$D$5000,Entries!$C$2:$C$5000,"Actual",Entries!$A$2:$A$5000,"&gt;="&amp;EDATE($A187,-11),Entries!$A$2:$A$5000,"&lt;="&amp;$A187)+SUMIFS(Entries!$D$2:$D$5000,Entries!$C$2:$C$5000,"One-off",Entries!$A$2:$A$5000,"&gt;="&amp;EDATE($A187,-11),Entries!$A$2:$A$5000,"&lt;="&amp;$A187))/12)</f>
        <v/>
      </c>
      <c r="M187" s="70">
        <f>IF($BE187=0,NA(),IFERROR((K187-L187)/K187,0))</f>
        <v/>
      </c>
      <c r="O187" s="88">
        <f>IF(OR(O$1="",$BE187=0),"",SUMIFS(Entries!$D$2:$D$5000,Entries!$C$2:$C$5000,"Actual",Entries!$A$2:$A$5000,$A187,Entries!$B$2:$B$5000,O$1))</f>
        <v/>
      </c>
      <c r="P187" s="88">
        <f>IF(OR(P$1="",$BE187=0),"",SUMIFS(Entries!$D$2:$D$5000,Entries!$C$2:$C$5000,"Actual",Entries!$A$2:$A$5000,$A187,Entries!$B$2:$B$5000,P$1))</f>
        <v/>
      </c>
      <c r="Q187" s="88">
        <f>IF(OR(Q$1="",$BE187=0),"",SUMIFS(Entries!$D$2:$D$5000,Entries!$C$2:$C$5000,"Actual",Entries!$A$2:$A$5000,$A187,Entries!$B$2:$B$5000,Q$1))</f>
        <v/>
      </c>
      <c r="R187" s="88">
        <f>IF(OR(R$1="",$BE187=0),"",SUMIFS(Entries!$D$2:$D$5000,Entries!$C$2:$C$5000,"Actual",Entries!$A$2:$A$5000,$A187,Entries!$B$2:$B$5000,R$1))</f>
        <v/>
      </c>
      <c r="S187" s="88">
        <f>IF(OR(S$1="",$BE187=0),"",SUMIFS(Entries!$D$2:$D$5000,Entries!$C$2:$C$5000,"Actual",Entries!$A$2:$A$5000,$A187,Entries!$B$2:$B$5000,S$1))</f>
        <v/>
      </c>
      <c r="T187" s="88">
        <f>IF(OR(T$1="",$BE187=0),"",SUMIFS(Entries!$D$2:$D$5000,Entries!$C$2:$C$5000,"Actual",Entries!$A$2:$A$5000,$A187,Entries!$B$2:$B$5000,T$1))</f>
        <v/>
      </c>
      <c r="U187" s="88">
        <f>IF(OR(U$1="",$BE187=0),"",SUMIFS(Entries!$D$2:$D$5000,Entries!$C$2:$C$5000,"Actual",Entries!$A$2:$A$5000,$A187,Entries!$B$2:$B$5000,U$1))</f>
        <v/>
      </c>
      <c r="V187" s="88">
        <f>IF(OR(V$1="",$BE187=0),"",SUMIFS(Entries!$D$2:$D$5000,Entries!$C$2:$C$5000,"Actual",Entries!$A$2:$A$5000,$A187,Entries!$B$2:$B$5000,V$1))</f>
        <v/>
      </c>
      <c r="W187" s="88">
        <f>IF(OR(W$1="",$BE187=0),"",SUMIFS(Entries!$D$2:$D$5000,Entries!$C$2:$C$5000,"Actual",Entries!$A$2:$A$5000,$A187,Entries!$B$2:$B$5000,W$1))</f>
        <v/>
      </c>
      <c r="X187" s="88">
        <f>IF(OR(X$1="",$BE187=0),"",SUMIFS(Entries!$D$2:$D$5000,Entries!$C$2:$C$5000,"Actual",Entries!$A$2:$A$5000,$A187,Entries!$B$2:$B$5000,X$1))</f>
        <v/>
      </c>
      <c r="Y187" s="88">
        <f>IF(OR(Y$1="",$BE187=0),"",SUMIFS(Entries!$D$2:$D$5000,Entries!$C$2:$C$5000,"Actual",Entries!$A$2:$A$5000,$A187,Entries!$B$2:$B$5000,Y$1))</f>
        <v/>
      </c>
      <c r="Z187" s="88">
        <f>IF(OR(Z$1="",$BE187=0),"",SUMIFS(Entries!$D$2:$D$5000,Entries!$C$2:$C$5000,"Actual",Entries!$A$2:$A$5000,$A187,Entries!$B$2:$B$5000,Z$1))</f>
        <v/>
      </c>
      <c r="AA187" s="88">
        <f>IF(OR(AA$1="",$BE187=0),"",SUMIFS(Entries!$D$2:$D$5000,Entries!$C$2:$C$5000,"Actual",Entries!$A$2:$A$5000,$A187,Entries!$B$2:$B$5000,AA$1))</f>
        <v/>
      </c>
      <c r="AB187" s="88">
        <f>IF(OR(AB$1="",$BE187=0),"",SUMIFS(Entries!$D$2:$D$5000,Entries!$C$2:$C$5000,"Actual",Entries!$A$2:$A$5000,$A187,Entries!$B$2:$B$5000,AB$1))</f>
        <v/>
      </c>
      <c r="AC187" s="88">
        <f>IF(OR(AC$1="",$BE187=0),"",SUMIFS(Entries!$D$2:$D$5000,Entries!$C$2:$C$5000,"Actual",Entries!$A$2:$A$5000,$A187,Entries!$B$2:$B$5000,AC$1))</f>
        <v/>
      </c>
      <c r="AD187" s="88">
        <f>IF(OR(AD$1="",$BE187=0),"",SUMIFS(Entries!$D$2:$D$5000,Entries!$C$2:$C$5000,"Actual",Entries!$A$2:$A$5000,$A187,Entries!$B$2:$B$5000,AD$1))</f>
        <v/>
      </c>
      <c r="AE187" s="88">
        <f>IF(OR(AE$1="",$BE187=0),"",SUMIFS(Entries!$D$2:$D$5000,Entries!$C$2:$C$5000,"Actual",Entries!$A$2:$A$5000,$A187,Entries!$B$2:$B$5000,AE$1))</f>
        <v/>
      </c>
      <c r="AF187" s="88">
        <f>IF(OR(AF$1="",$BE187=0),"",SUMIFS(Entries!$D$2:$D$5000,Entries!$C$2:$C$5000,"Actual",Entries!$A$2:$A$5000,$A187,Entries!$B$2:$B$5000,AF$1))</f>
        <v/>
      </c>
      <c r="AG187" s="88">
        <f>IF(OR(AG$1="",$BE187=0),"",SUMIFS(Entries!$D$2:$D$5000,Entries!$C$2:$C$5000,"Actual",Entries!$A$2:$A$5000,$A187,Entries!$B$2:$B$5000,AG$1))</f>
        <v/>
      </c>
      <c r="AH187" s="88">
        <f>IF(OR(AH$1="",$BE187=0),"",SUMIFS(Entries!$D$2:$D$5000,Entries!$C$2:$C$5000,"Actual",Entries!$A$2:$A$5000,$A187,Entries!$B$2:$B$5000,AH$1))</f>
        <v/>
      </c>
      <c r="AJ187" s="88">
        <f>IF(OR(AJ$1="",$BE187=0),"",IFERROR(LOOKUP(2,1/((Budgets!$A$2:$A$200=AJ$1)*(Budgets!$B$2:$B$200&lt;=$A187)),Budgets!$C$2:$C$200),0))</f>
        <v/>
      </c>
      <c r="AK187" s="88">
        <f>IF(OR(AK$1="",$BE187=0),"",IFERROR(LOOKUP(2,1/((Budgets!$A$2:$A$200=AK$1)*(Budgets!$B$2:$B$200&lt;=$A187)),Budgets!$C$2:$C$200),0))</f>
        <v/>
      </c>
      <c r="AL187" s="88">
        <f>IF(OR(AL$1="",$BE187=0),"",IFERROR(LOOKUP(2,1/((Budgets!$A$2:$A$200=AL$1)*(Budgets!$B$2:$B$200&lt;=$A187)),Budgets!$C$2:$C$200),0))</f>
        <v/>
      </c>
      <c r="AM187" s="88">
        <f>IF(OR(AM$1="",$BE187=0),"",IFERROR(LOOKUP(2,1/((Budgets!$A$2:$A$200=AM$1)*(Budgets!$B$2:$B$200&lt;=$A187)),Budgets!$C$2:$C$200),0))</f>
        <v/>
      </c>
      <c r="AN187" s="88">
        <f>IF(OR(AN$1="",$BE187=0),"",IFERROR(LOOKUP(2,1/((Budgets!$A$2:$A$200=AN$1)*(Budgets!$B$2:$B$200&lt;=$A187)),Budgets!$C$2:$C$200),0))</f>
        <v/>
      </c>
      <c r="AO187" s="88">
        <f>IF(OR(AO$1="",$BE187=0),"",IFERROR(LOOKUP(2,1/((Budgets!$A$2:$A$200=AO$1)*(Budgets!$B$2:$B$200&lt;=$A187)),Budgets!$C$2:$C$200),0))</f>
        <v/>
      </c>
      <c r="AP187" s="88">
        <f>IF(OR(AP$1="",$BE187=0),"",IFERROR(LOOKUP(2,1/((Budgets!$A$2:$A$200=AP$1)*(Budgets!$B$2:$B$200&lt;=$A187)),Budgets!$C$2:$C$200),0))</f>
        <v/>
      </c>
      <c r="AQ187" s="88">
        <f>IF(OR(AQ$1="",$BE187=0),"",IFERROR(LOOKUP(2,1/((Budgets!$A$2:$A$200=AQ$1)*(Budgets!$B$2:$B$200&lt;=$A187)),Budgets!$C$2:$C$200),0))</f>
        <v/>
      </c>
      <c r="AR187" s="88">
        <f>IF(OR(AR$1="",$BE187=0),"",IFERROR(LOOKUP(2,1/((Budgets!$A$2:$A$200=AR$1)*(Budgets!$B$2:$B$200&lt;=$A187)),Budgets!$C$2:$C$200),0))</f>
        <v/>
      </c>
      <c r="AS187" s="88">
        <f>IF(OR(AS$1="",$BE187=0),"",IFERROR(LOOKUP(2,1/((Budgets!$A$2:$A$200=AS$1)*(Budgets!$B$2:$B$200&lt;=$A187)),Budgets!$C$2:$C$200),0))</f>
        <v/>
      </c>
      <c r="AT187" s="88">
        <f>IF(OR(AT$1="",$BE187=0),"",IFERROR(LOOKUP(2,1/((Budgets!$A$2:$A$200=AT$1)*(Budgets!$B$2:$B$200&lt;=$A187)),Budgets!$C$2:$C$200),0))</f>
        <v/>
      </c>
      <c r="AU187" s="88">
        <f>IF(OR(AU$1="",$BE187=0),"",IFERROR(LOOKUP(2,1/((Budgets!$A$2:$A$200=AU$1)*(Budgets!$B$2:$B$200&lt;=$A187)),Budgets!$C$2:$C$200),0))</f>
        <v/>
      </c>
      <c r="AV187" s="88">
        <f>IF(OR(AV$1="",$BE187=0),"",IFERROR(LOOKUP(2,1/((Budgets!$A$2:$A$200=AV$1)*(Budgets!$B$2:$B$200&lt;=$A187)),Budgets!$C$2:$C$200),0))</f>
        <v/>
      </c>
      <c r="AW187" s="88">
        <f>IF(OR(AW$1="",$BE187=0),"",IFERROR(LOOKUP(2,1/((Budgets!$A$2:$A$200=AW$1)*(Budgets!$B$2:$B$200&lt;=$A187)),Budgets!$C$2:$C$200),0))</f>
        <v/>
      </c>
      <c r="AX187" s="88">
        <f>IF(OR(AX$1="",$BE187=0),"",IFERROR(LOOKUP(2,1/((Budgets!$A$2:$A$200=AX$1)*(Budgets!$B$2:$B$200&lt;=$A187)),Budgets!$C$2:$C$200),0))</f>
        <v/>
      </c>
      <c r="AY187" s="88">
        <f>IF(OR(AY$1="",$BE187=0),"",IFERROR(LOOKUP(2,1/((Budgets!$A$2:$A$200=AY$1)*(Budgets!$B$2:$B$200&lt;=$A187)),Budgets!$C$2:$C$200),0))</f>
        <v/>
      </c>
      <c r="AZ187" s="88">
        <f>IF(OR(AZ$1="",$BE187=0),"",IFERROR(LOOKUP(2,1/((Budgets!$A$2:$A$200=AZ$1)*(Budgets!$B$2:$B$200&lt;=$A187)),Budgets!$C$2:$C$200),0))</f>
        <v/>
      </c>
      <c r="BA187" s="88">
        <f>IF(OR(BA$1="",$BE187=0),"",IFERROR(LOOKUP(2,1/((Budgets!$A$2:$A$200=BA$1)*(Budgets!$B$2:$B$200&lt;=$A187)),Budgets!$C$2:$C$200),0))</f>
        <v/>
      </c>
      <c r="BB187" s="88">
        <f>IF(OR(BB$1="",$BE187=0),"",IFERROR(LOOKUP(2,1/((Budgets!$A$2:$A$200=BB$1)*(Budgets!$B$2:$B$200&lt;=$A187)),Budgets!$C$2:$C$200),0))</f>
        <v/>
      </c>
      <c r="BC187" s="88">
        <f>IF(OR(BC$1="",$BE187=0),"",IFERROR(LOOKUP(2,1/((Budgets!$A$2:$A$200=BC$1)*(Budgets!$B$2:$B$200&lt;=$A187)),Budgets!$C$2:$C$200),0))</f>
        <v/>
      </c>
      <c r="BE187" s="67">
        <f>COUNTIFS(Entries!$A$2:$A$5000,$A187)</f>
        <v/>
      </c>
    </row>
    <row r="188" ht="15" customHeight="1" s="43">
      <c r="A188" s="87" t="n">
        <v>45108</v>
      </c>
      <c r="B188" s="88">
        <f>IF($BE188=0,NA(),SUMIFS(Entries!$D$2:$D$5000,Entries!$C$2:$C$5000,"Income",Entries!$A$2:$A$5000,$A188))</f>
        <v/>
      </c>
      <c r="C188" s="88">
        <f>IF($BE188=0,"",SUMIFS(Entries!$D$2:$D$5000,Entries!$C$2:$C$5000,"Actual",Entries!$A$2:$A$5000,$A188))</f>
        <v/>
      </c>
      <c r="D188" s="88">
        <f>IF($BE188=0,"",SUMIFS(Entries!$D$2:$D$5000,Entries!$C$2:$C$5000,"One-off",Entries!$A$2:$A$5000,$A188))</f>
        <v/>
      </c>
      <c r="E188" s="88">
        <f>IF($BE188=0,NA(),C188+D188)</f>
        <v/>
      </c>
      <c r="F188" s="88">
        <f>IF($BE188=0,"",SUM(AJ188:BC188))</f>
        <v/>
      </c>
      <c r="G188" s="88">
        <f>IF($BE188=0,"",B188-E188)</f>
        <v/>
      </c>
      <c r="H188" s="88">
        <f>IF($BE188=0,"",SUM($G$2:G188))</f>
        <v/>
      </c>
      <c r="I188" s="88">
        <f>IF($BE188=0,"",SUMIFS(Entries!$F$2:$F$5000,Entries!$A$2:$A$5000,$A188))</f>
        <v/>
      </c>
      <c r="J188" s="88">
        <f>IF($BE188=0,NA(),H188+SUM($I$2:I188))</f>
        <v/>
      </c>
      <c r="K188" s="88">
        <f>IF($BE188=0,"",SUMIFS(Entries!$D$2:$D$5000,Entries!$C$2:$C$5000,"Income",Entries!$A$2:$A$5000,"&gt;="&amp;EDATE($A188,-11),Entries!$A$2:$A$5000,"&lt;="&amp;$A188)/12)</f>
        <v/>
      </c>
      <c r="L188" s="88">
        <f>IF($BE188=0,"",(SUMIFS(Entries!$D$2:$D$5000,Entries!$C$2:$C$5000,"Actual",Entries!$A$2:$A$5000,"&gt;="&amp;EDATE($A188,-11),Entries!$A$2:$A$5000,"&lt;="&amp;$A188)+SUMIFS(Entries!$D$2:$D$5000,Entries!$C$2:$C$5000,"One-off",Entries!$A$2:$A$5000,"&gt;="&amp;EDATE($A188,-11),Entries!$A$2:$A$5000,"&lt;="&amp;$A188))/12)</f>
        <v/>
      </c>
      <c r="M188" s="70">
        <f>IF($BE188=0,NA(),IFERROR((K188-L188)/K188,0))</f>
        <v/>
      </c>
      <c r="O188" s="88">
        <f>IF(OR(O$1="",$BE188=0),"",SUMIFS(Entries!$D$2:$D$5000,Entries!$C$2:$C$5000,"Actual",Entries!$A$2:$A$5000,$A188,Entries!$B$2:$B$5000,O$1))</f>
        <v/>
      </c>
      <c r="P188" s="88">
        <f>IF(OR(P$1="",$BE188=0),"",SUMIFS(Entries!$D$2:$D$5000,Entries!$C$2:$C$5000,"Actual",Entries!$A$2:$A$5000,$A188,Entries!$B$2:$B$5000,P$1))</f>
        <v/>
      </c>
      <c r="Q188" s="88">
        <f>IF(OR(Q$1="",$BE188=0),"",SUMIFS(Entries!$D$2:$D$5000,Entries!$C$2:$C$5000,"Actual",Entries!$A$2:$A$5000,$A188,Entries!$B$2:$B$5000,Q$1))</f>
        <v/>
      </c>
      <c r="R188" s="88">
        <f>IF(OR(R$1="",$BE188=0),"",SUMIFS(Entries!$D$2:$D$5000,Entries!$C$2:$C$5000,"Actual",Entries!$A$2:$A$5000,$A188,Entries!$B$2:$B$5000,R$1))</f>
        <v/>
      </c>
      <c r="S188" s="88">
        <f>IF(OR(S$1="",$BE188=0),"",SUMIFS(Entries!$D$2:$D$5000,Entries!$C$2:$C$5000,"Actual",Entries!$A$2:$A$5000,$A188,Entries!$B$2:$B$5000,S$1))</f>
        <v/>
      </c>
      <c r="T188" s="88">
        <f>IF(OR(T$1="",$BE188=0),"",SUMIFS(Entries!$D$2:$D$5000,Entries!$C$2:$C$5000,"Actual",Entries!$A$2:$A$5000,$A188,Entries!$B$2:$B$5000,T$1))</f>
        <v/>
      </c>
      <c r="U188" s="88">
        <f>IF(OR(U$1="",$BE188=0),"",SUMIFS(Entries!$D$2:$D$5000,Entries!$C$2:$C$5000,"Actual",Entries!$A$2:$A$5000,$A188,Entries!$B$2:$B$5000,U$1))</f>
        <v/>
      </c>
      <c r="V188" s="88">
        <f>IF(OR(V$1="",$BE188=0),"",SUMIFS(Entries!$D$2:$D$5000,Entries!$C$2:$C$5000,"Actual",Entries!$A$2:$A$5000,$A188,Entries!$B$2:$B$5000,V$1))</f>
        <v/>
      </c>
      <c r="W188" s="88">
        <f>IF(OR(W$1="",$BE188=0),"",SUMIFS(Entries!$D$2:$D$5000,Entries!$C$2:$C$5000,"Actual",Entries!$A$2:$A$5000,$A188,Entries!$B$2:$B$5000,W$1))</f>
        <v/>
      </c>
      <c r="X188" s="88">
        <f>IF(OR(X$1="",$BE188=0),"",SUMIFS(Entries!$D$2:$D$5000,Entries!$C$2:$C$5000,"Actual",Entries!$A$2:$A$5000,$A188,Entries!$B$2:$B$5000,X$1))</f>
        <v/>
      </c>
      <c r="Y188" s="88">
        <f>IF(OR(Y$1="",$BE188=0),"",SUMIFS(Entries!$D$2:$D$5000,Entries!$C$2:$C$5000,"Actual",Entries!$A$2:$A$5000,$A188,Entries!$B$2:$B$5000,Y$1))</f>
        <v/>
      </c>
      <c r="Z188" s="88">
        <f>IF(OR(Z$1="",$BE188=0),"",SUMIFS(Entries!$D$2:$D$5000,Entries!$C$2:$C$5000,"Actual",Entries!$A$2:$A$5000,$A188,Entries!$B$2:$B$5000,Z$1))</f>
        <v/>
      </c>
      <c r="AA188" s="88">
        <f>IF(OR(AA$1="",$BE188=0),"",SUMIFS(Entries!$D$2:$D$5000,Entries!$C$2:$C$5000,"Actual",Entries!$A$2:$A$5000,$A188,Entries!$B$2:$B$5000,AA$1))</f>
        <v/>
      </c>
      <c r="AB188" s="88">
        <f>IF(OR(AB$1="",$BE188=0),"",SUMIFS(Entries!$D$2:$D$5000,Entries!$C$2:$C$5000,"Actual",Entries!$A$2:$A$5000,$A188,Entries!$B$2:$B$5000,AB$1))</f>
        <v/>
      </c>
      <c r="AC188" s="88">
        <f>IF(OR(AC$1="",$BE188=0),"",SUMIFS(Entries!$D$2:$D$5000,Entries!$C$2:$C$5000,"Actual",Entries!$A$2:$A$5000,$A188,Entries!$B$2:$B$5000,AC$1))</f>
        <v/>
      </c>
      <c r="AD188" s="88">
        <f>IF(OR(AD$1="",$BE188=0),"",SUMIFS(Entries!$D$2:$D$5000,Entries!$C$2:$C$5000,"Actual",Entries!$A$2:$A$5000,$A188,Entries!$B$2:$B$5000,AD$1))</f>
        <v/>
      </c>
      <c r="AE188" s="88">
        <f>IF(OR(AE$1="",$BE188=0),"",SUMIFS(Entries!$D$2:$D$5000,Entries!$C$2:$C$5000,"Actual",Entries!$A$2:$A$5000,$A188,Entries!$B$2:$B$5000,AE$1))</f>
        <v/>
      </c>
      <c r="AF188" s="88">
        <f>IF(OR(AF$1="",$BE188=0),"",SUMIFS(Entries!$D$2:$D$5000,Entries!$C$2:$C$5000,"Actual",Entries!$A$2:$A$5000,$A188,Entries!$B$2:$B$5000,AF$1))</f>
        <v/>
      </c>
      <c r="AG188" s="88">
        <f>IF(OR(AG$1="",$BE188=0),"",SUMIFS(Entries!$D$2:$D$5000,Entries!$C$2:$C$5000,"Actual",Entries!$A$2:$A$5000,$A188,Entries!$B$2:$B$5000,AG$1))</f>
        <v/>
      </c>
      <c r="AH188" s="88">
        <f>IF(OR(AH$1="",$BE188=0),"",SUMIFS(Entries!$D$2:$D$5000,Entries!$C$2:$C$5000,"Actual",Entries!$A$2:$A$5000,$A188,Entries!$B$2:$B$5000,AH$1))</f>
        <v/>
      </c>
      <c r="AJ188" s="88">
        <f>IF(OR(AJ$1="",$BE188=0),"",IFERROR(LOOKUP(2,1/((Budgets!$A$2:$A$200=AJ$1)*(Budgets!$B$2:$B$200&lt;=$A188)),Budgets!$C$2:$C$200),0))</f>
        <v/>
      </c>
      <c r="AK188" s="88">
        <f>IF(OR(AK$1="",$BE188=0),"",IFERROR(LOOKUP(2,1/((Budgets!$A$2:$A$200=AK$1)*(Budgets!$B$2:$B$200&lt;=$A188)),Budgets!$C$2:$C$200),0))</f>
        <v/>
      </c>
      <c r="AL188" s="88">
        <f>IF(OR(AL$1="",$BE188=0),"",IFERROR(LOOKUP(2,1/((Budgets!$A$2:$A$200=AL$1)*(Budgets!$B$2:$B$200&lt;=$A188)),Budgets!$C$2:$C$200),0))</f>
        <v/>
      </c>
      <c r="AM188" s="88">
        <f>IF(OR(AM$1="",$BE188=0),"",IFERROR(LOOKUP(2,1/((Budgets!$A$2:$A$200=AM$1)*(Budgets!$B$2:$B$200&lt;=$A188)),Budgets!$C$2:$C$200),0))</f>
        <v/>
      </c>
      <c r="AN188" s="88">
        <f>IF(OR(AN$1="",$BE188=0),"",IFERROR(LOOKUP(2,1/((Budgets!$A$2:$A$200=AN$1)*(Budgets!$B$2:$B$200&lt;=$A188)),Budgets!$C$2:$C$200),0))</f>
        <v/>
      </c>
      <c r="AO188" s="88">
        <f>IF(OR(AO$1="",$BE188=0),"",IFERROR(LOOKUP(2,1/((Budgets!$A$2:$A$200=AO$1)*(Budgets!$B$2:$B$200&lt;=$A188)),Budgets!$C$2:$C$200),0))</f>
        <v/>
      </c>
      <c r="AP188" s="88">
        <f>IF(OR(AP$1="",$BE188=0),"",IFERROR(LOOKUP(2,1/((Budgets!$A$2:$A$200=AP$1)*(Budgets!$B$2:$B$200&lt;=$A188)),Budgets!$C$2:$C$200),0))</f>
        <v/>
      </c>
      <c r="AQ188" s="88">
        <f>IF(OR(AQ$1="",$BE188=0),"",IFERROR(LOOKUP(2,1/((Budgets!$A$2:$A$200=AQ$1)*(Budgets!$B$2:$B$200&lt;=$A188)),Budgets!$C$2:$C$200),0))</f>
        <v/>
      </c>
      <c r="AR188" s="88">
        <f>IF(OR(AR$1="",$BE188=0),"",IFERROR(LOOKUP(2,1/((Budgets!$A$2:$A$200=AR$1)*(Budgets!$B$2:$B$200&lt;=$A188)),Budgets!$C$2:$C$200),0))</f>
        <v/>
      </c>
      <c r="AS188" s="88">
        <f>IF(OR(AS$1="",$BE188=0),"",IFERROR(LOOKUP(2,1/((Budgets!$A$2:$A$200=AS$1)*(Budgets!$B$2:$B$200&lt;=$A188)),Budgets!$C$2:$C$200),0))</f>
        <v/>
      </c>
      <c r="AT188" s="88">
        <f>IF(OR(AT$1="",$BE188=0),"",IFERROR(LOOKUP(2,1/((Budgets!$A$2:$A$200=AT$1)*(Budgets!$B$2:$B$200&lt;=$A188)),Budgets!$C$2:$C$200),0))</f>
        <v/>
      </c>
      <c r="AU188" s="88">
        <f>IF(OR(AU$1="",$BE188=0),"",IFERROR(LOOKUP(2,1/((Budgets!$A$2:$A$200=AU$1)*(Budgets!$B$2:$B$200&lt;=$A188)),Budgets!$C$2:$C$200),0))</f>
        <v/>
      </c>
      <c r="AV188" s="88">
        <f>IF(OR(AV$1="",$BE188=0),"",IFERROR(LOOKUP(2,1/((Budgets!$A$2:$A$200=AV$1)*(Budgets!$B$2:$B$200&lt;=$A188)),Budgets!$C$2:$C$200),0))</f>
        <v/>
      </c>
      <c r="AW188" s="88">
        <f>IF(OR(AW$1="",$BE188=0),"",IFERROR(LOOKUP(2,1/((Budgets!$A$2:$A$200=AW$1)*(Budgets!$B$2:$B$200&lt;=$A188)),Budgets!$C$2:$C$200),0))</f>
        <v/>
      </c>
      <c r="AX188" s="88">
        <f>IF(OR(AX$1="",$BE188=0),"",IFERROR(LOOKUP(2,1/((Budgets!$A$2:$A$200=AX$1)*(Budgets!$B$2:$B$200&lt;=$A188)),Budgets!$C$2:$C$200),0))</f>
        <v/>
      </c>
      <c r="AY188" s="88">
        <f>IF(OR(AY$1="",$BE188=0),"",IFERROR(LOOKUP(2,1/((Budgets!$A$2:$A$200=AY$1)*(Budgets!$B$2:$B$200&lt;=$A188)),Budgets!$C$2:$C$200),0))</f>
        <v/>
      </c>
      <c r="AZ188" s="88">
        <f>IF(OR(AZ$1="",$BE188=0),"",IFERROR(LOOKUP(2,1/((Budgets!$A$2:$A$200=AZ$1)*(Budgets!$B$2:$B$200&lt;=$A188)),Budgets!$C$2:$C$200),0))</f>
        <v/>
      </c>
      <c r="BA188" s="88">
        <f>IF(OR(BA$1="",$BE188=0),"",IFERROR(LOOKUP(2,1/((Budgets!$A$2:$A$200=BA$1)*(Budgets!$B$2:$B$200&lt;=$A188)),Budgets!$C$2:$C$200),0))</f>
        <v/>
      </c>
      <c r="BB188" s="88">
        <f>IF(OR(BB$1="",$BE188=0),"",IFERROR(LOOKUP(2,1/((Budgets!$A$2:$A$200=BB$1)*(Budgets!$B$2:$B$200&lt;=$A188)),Budgets!$C$2:$C$200),0))</f>
        <v/>
      </c>
      <c r="BC188" s="88">
        <f>IF(OR(BC$1="",$BE188=0),"",IFERROR(LOOKUP(2,1/((Budgets!$A$2:$A$200=BC$1)*(Budgets!$B$2:$B$200&lt;=$A188)),Budgets!$C$2:$C$200),0))</f>
        <v/>
      </c>
      <c r="BE188" s="67">
        <f>COUNTIFS(Entries!$A$2:$A$5000,$A188)</f>
        <v/>
      </c>
    </row>
    <row r="189" ht="15" customHeight="1" s="43">
      <c r="A189" s="87" t="n">
        <v>45139</v>
      </c>
      <c r="B189" s="88">
        <f>IF($BE189=0,NA(),SUMIFS(Entries!$D$2:$D$5000,Entries!$C$2:$C$5000,"Income",Entries!$A$2:$A$5000,$A189))</f>
        <v/>
      </c>
      <c r="C189" s="88">
        <f>IF($BE189=0,"",SUMIFS(Entries!$D$2:$D$5000,Entries!$C$2:$C$5000,"Actual",Entries!$A$2:$A$5000,$A189))</f>
        <v/>
      </c>
      <c r="D189" s="88">
        <f>IF($BE189=0,"",SUMIFS(Entries!$D$2:$D$5000,Entries!$C$2:$C$5000,"One-off",Entries!$A$2:$A$5000,$A189))</f>
        <v/>
      </c>
      <c r="E189" s="88">
        <f>IF($BE189=0,NA(),C189+D189)</f>
        <v/>
      </c>
      <c r="F189" s="88">
        <f>IF($BE189=0,"",SUM(AJ189:BC189))</f>
        <v/>
      </c>
      <c r="G189" s="88">
        <f>IF($BE189=0,"",B189-E189)</f>
        <v/>
      </c>
      <c r="H189" s="88">
        <f>IF($BE189=0,"",SUM($G$2:G189))</f>
        <v/>
      </c>
      <c r="I189" s="88">
        <f>IF($BE189=0,"",SUMIFS(Entries!$F$2:$F$5000,Entries!$A$2:$A$5000,$A189))</f>
        <v/>
      </c>
      <c r="J189" s="88">
        <f>IF($BE189=0,NA(),H189+SUM($I$2:I189))</f>
        <v/>
      </c>
      <c r="K189" s="88">
        <f>IF($BE189=0,"",SUMIFS(Entries!$D$2:$D$5000,Entries!$C$2:$C$5000,"Income",Entries!$A$2:$A$5000,"&gt;="&amp;EDATE($A189,-11),Entries!$A$2:$A$5000,"&lt;="&amp;$A189)/12)</f>
        <v/>
      </c>
      <c r="L189" s="88">
        <f>IF($BE189=0,"",(SUMIFS(Entries!$D$2:$D$5000,Entries!$C$2:$C$5000,"Actual",Entries!$A$2:$A$5000,"&gt;="&amp;EDATE($A189,-11),Entries!$A$2:$A$5000,"&lt;="&amp;$A189)+SUMIFS(Entries!$D$2:$D$5000,Entries!$C$2:$C$5000,"One-off",Entries!$A$2:$A$5000,"&gt;="&amp;EDATE($A189,-11),Entries!$A$2:$A$5000,"&lt;="&amp;$A189))/12)</f>
        <v/>
      </c>
      <c r="M189" s="70">
        <f>IF($BE189=0,NA(),IFERROR((K189-L189)/K189,0))</f>
        <v/>
      </c>
      <c r="O189" s="88">
        <f>IF(OR(O$1="",$BE189=0),"",SUMIFS(Entries!$D$2:$D$5000,Entries!$C$2:$C$5000,"Actual",Entries!$A$2:$A$5000,$A189,Entries!$B$2:$B$5000,O$1))</f>
        <v/>
      </c>
      <c r="P189" s="88">
        <f>IF(OR(P$1="",$BE189=0),"",SUMIFS(Entries!$D$2:$D$5000,Entries!$C$2:$C$5000,"Actual",Entries!$A$2:$A$5000,$A189,Entries!$B$2:$B$5000,P$1))</f>
        <v/>
      </c>
      <c r="Q189" s="88">
        <f>IF(OR(Q$1="",$BE189=0),"",SUMIFS(Entries!$D$2:$D$5000,Entries!$C$2:$C$5000,"Actual",Entries!$A$2:$A$5000,$A189,Entries!$B$2:$B$5000,Q$1))</f>
        <v/>
      </c>
      <c r="R189" s="88">
        <f>IF(OR(R$1="",$BE189=0),"",SUMIFS(Entries!$D$2:$D$5000,Entries!$C$2:$C$5000,"Actual",Entries!$A$2:$A$5000,$A189,Entries!$B$2:$B$5000,R$1))</f>
        <v/>
      </c>
      <c r="S189" s="88">
        <f>IF(OR(S$1="",$BE189=0),"",SUMIFS(Entries!$D$2:$D$5000,Entries!$C$2:$C$5000,"Actual",Entries!$A$2:$A$5000,$A189,Entries!$B$2:$B$5000,S$1))</f>
        <v/>
      </c>
      <c r="T189" s="88">
        <f>IF(OR(T$1="",$BE189=0),"",SUMIFS(Entries!$D$2:$D$5000,Entries!$C$2:$C$5000,"Actual",Entries!$A$2:$A$5000,$A189,Entries!$B$2:$B$5000,T$1))</f>
        <v/>
      </c>
      <c r="U189" s="88">
        <f>IF(OR(U$1="",$BE189=0),"",SUMIFS(Entries!$D$2:$D$5000,Entries!$C$2:$C$5000,"Actual",Entries!$A$2:$A$5000,$A189,Entries!$B$2:$B$5000,U$1))</f>
        <v/>
      </c>
      <c r="V189" s="88">
        <f>IF(OR(V$1="",$BE189=0),"",SUMIFS(Entries!$D$2:$D$5000,Entries!$C$2:$C$5000,"Actual",Entries!$A$2:$A$5000,$A189,Entries!$B$2:$B$5000,V$1))</f>
        <v/>
      </c>
      <c r="W189" s="88">
        <f>IF(OR(W$1="",$BE189=0),"",SUMIFS(Entries!$D$2:$D$5000,Entries!$C$2:$C$5000,"Actual",Entries!$A$2:$A$5000,$A189,Entries!$B$2:$B$5000,W$1))</f>
        <v/>
      </c>
      <c r="X189" s="88">
        <f>IF(OR(X$1="",$BE189=0),"",SUMIFS(Entries!$D$2:$D$5000,Entries!$C$2:$C$5000,"Actual",Entries!$A$2:$A$5000,$A189,Entries!$B$2:$B$5000,X$1))</f>
        <v/>
      </c>
      <c r="Y189" s="88">
        <f>IF(OR(Y$1="",$BE189=0),"",SUMIFS(Entries!$D$2:$D$5000,Entries!$C$2:$C$5000,"Actual",Entries!$A$2:$A$5000,$A189,Entries!$B$2:$B$5000,Y$1))</f>
        <v/>
      </c>
      <c r="Z189" s="88">
        <f>IF(OR(Z$1="",$BE189=0),"",SUMIFS(Entries!$D$2:$D$5000,Entries!$C$2:$C$5000,"Actual",Entries!$A$2:$A$5000,$A189,Entries!$B$2:$B$5000,Z$1))</f>
        <v/>
      </c>
      <c r="AA189" s="88">
        <f>IF(OR(AA$1="",$BE189=0),"",SUMIFS(Entries!$D$2:$D$5000,Entries!$C$2:$C$5000,"Actual",Entries!$A$2:$A$5000,$A189,Entries!$B$2:$B$5000,AA$1))</f>
        <v/>
      </c>
      <c r="AB189" s="88">
        <f>IF(OR(AB$1="",$BE189=0),"",SUMIFS(Entries!$D$2:$D$5000,Entries!$C$2:$C$5000,"Actual",Entries!$A$2:$A$5000,$A189,Entries!$B$2:$B$5000,AB$1))</f>
        <v/>
      </c>
      <c r="AC189" s="88">
        <f>IF(OR(AC$1="",$BE189=0),"",SUMIFS(Entries!$D$2:$D$5000,Entries!$C$2:$C$5000,"Actual",Entries!$A$2:$A$5000,$A189,Entries!$B$2:$B$5000,AC$1))</f>
        <v/>
      </c>
      <c r="AD189" s="88">
        <f>IF(OR(AD$1="",$BE189=0),"",SUMIFS(Entries!$D$2:$D$5000,Entries!$C$2:$C$5000,"Actual",Entries!$A$2:$A$5000,$A189,Entries!$B$2:$B$5000,AD$1))</f>
        <v/>
      </c>
      <c r="AE189" s="88">
        <f>IF(OR(AE$1="",$BE189=0),"",SUMIFS(Entries!$D$2:$D$5000,Entries!$C$2:$C$5000,"Actual",Entries!$A$2:$A$5000,$A189,Entries!$B$2:$B$5000,AE$1))</f>
        <v/>
      </c>
      <c r="AF189" s="88">
        <f>IF(OR(AF$1="",$BE189=0),"",SUMIFS(Entries!$D$2:$D$5000,Entries!$C$2:$C$5000,"Actual",Entries!$A$2:$A$5000,$A189,Entries!$B$2:$B$5000,AF$1))</f>
        <v/>
      </c>
      <c r="AG189" s="88">
        <f>IF(OR(AG$1="",$BE189=0),"",SUMIFS(Entries!$D$2:$D$5000,Entries!$C$2:$C$5000,"Actual",Entries!$A$2:$A$5000,$A189,Entries!$B$2:$B$5000,AG$1))</f>
        <v/>
      </c>
      <c r="AH189" s="88">
        <f>IF(OR(AH$1="",$BE189=0),"",SUMIFS(Entries!$D$2:$D$5000,Entries!$C$2:$C$5000,"Actual",Entries!$A$2:$A$5000,$A189,Entries!$B$2:$B$5000,AH$1))</f>
        <v/>
      </c>
      <c r="AJ189" s="88">
        <f>IF(OR(AJ$1="",$BE189=0),"",IFERROR(LOOKUP(2,1/((Budgets!$A$2:$A$200=AJ$1)*(Budgets!$B$2:$B$200&lt;=$A189)),Budgets!$C$2:$C$200),0))</f>
        <v/>
      </c>
      <c r="AK189" s="88">
        <f>IF(OR(AK$1="",$BE189=0),"",IFERROR(LOOKUP(2,1/((Budgets!$A$2:$A$200=AK$1)*(Budgets!$B$2:$B$200&lt;=$A189)),Budgets!$C$2:$C$200),0))</f>
        <v/>
      </c>
      <c r="AL189" s="88">
        <f>IF(OR(AL$1="",$BE189=0),"",IFERROR(LOOKUP(2,1/((Budgets!$A$2:$A$200=AL$1)*(Budgets!$B$2:$B$200&lt;=$A189)),Budgets!$C$2:$C$200),0))</f>
        <v/>
      </c>
      <c r="AM189" s="88">
        <f>IF(OR(AM$1="",$BE189=0),"",IFERROR(LOOKUP(2,1/((Budgets!$A$2:$A$200=AM$1)*(Budgets!$B$2:$B$200&lt;=$A189)),Budgets!$C$2:$C$200),0))</f>
        <v/>
      </c>
      <c r="AN189" s="88">
        <f>IF(OR(AN$1="",$BE189=0),"",IFERROR(LOOKUP(2,1/((Budgets!$A$2:$A$200=AN$1)*(Budgets!$B$2:$B$200&lt;=$A189)),Budgets!$C$2:$C$200),0))</f>
        <v/>
      </c>
      <c r="AO189" s="88">
        <f>IF(OR(AO$1="",$BE189=0),"",IFERROR(LOOKUP(2,1/((Budgets!$A$2:$A$200=AO$1)*(Budgets!$B$2:$B$200&lt;=$A189)),Budgets!$C$2:$C$200),0))</f>
        <v/>
      </c>
      <c r="AP189" s="88">
        <f>IF(OR(AP$1="",$BE189=0),"",IFERROR(LOOKUP(2,1/((Budgets!$A$2:$A$200=AP$1)*(Budgets!$B$2:$B$200&lt;=$A189)),Budgets!$C$2:$C$200),0))</f>
        <v/>
      </c>
      <c r="AQ189" s="88">
        <f>IF(OR(AQ$1="",$BE189=0),"",IFERROR(LOOKUP(2,1/((Budgets!$A$2:$A$200=AQ$1)*(Budgets!$B$2:$B$200&lt;=$A189)),Budgets!$C$2:$C$200),0))</f>
        <v/>
      </c>
      <c r="AR189" s="88">
        <f>IF(OR(AR$1="",$BE189=0),"",IFERROR(LOOKUP(2,1/((Budgets!$A$2:$A$200=AR$1)*(Budgets!$B$2:$B$200&lt;=$A189)),Budgets!$C$2:$C$200),0))</f>
        <v/>
      </c>
      <c r="AS189" s="88">
        <f>IF(OR(AS$1="",$BE189=0),"",IFERROR(LOOKUP(2,1/((Budgets!$A$2:$A$200=AS$1)*(Budgets!$B$2:$B$200&lt;=$A189)),Budgets!$C$2:$C$200),0))</f>
        <v/>
      </c>
      <c r="AT189" s="88">
        <f>IF(OR(AT$1="",$BE189=0),"",IFERROR(LOOKUP(2,1/((Budgets!$A$2:$A$200=AT$1)*(Budgets!$B$2:$B$200&lt;=$A189)),Budgets!$C$2:$C$200),0))</f>
        <v/>
      </c>
      <c r="AU189" s="88">
        <f>IF(OR(AU$1="",$BE189=0),"",IFERROR(LOOKUP(2,1/((Budgets!$A$2:$A$200=AU$1)*(Budgets!$B$2:$B$200&lt;=$A189)),Budgets!$C$2:$C$200),0))</f>
        <v/>
      </c>
      <c r="AV189" s="88">
        <f>IF(OR(AV$1="",$BE189=0),"",IFERROR(LOOKUP(2,1/((Budgets!$A$2:$A$200=AV$1)*(Budgets!$B$2:$B$200&lt;=$A189)),Budgets!$C$2:$C$200),0))</f>
        <v/>
      </c>
      <c r="AW189" s="88">
        <f>IF(OR(AW$1="",$BE189=0),"",IFERROR(LOOKUP(2,1/((Budgets!$A$2:$A$200=AW$1)*(Budgets!$B$2:$B$200&lt;=$A189)),Budgets!$C$2:$C$200),0))</f>
        <v/>
      </c>
      <c r="AX189" s="88">
        <f>IF(OR(AX$1="",$BE189=0),"",IFERROR(LOOKUP(2,1/((Budgets!$A$2:$A$200=AX$1)*(Budgets!$B$2:$B$200&lt;=$A189)),Budgets!$C$2:$C$200),0))</f>
        <v/>
      </c>
      <c r="AY189" s="88">
        <f>IF(OR(AY$1="",$BE189=0),"",IFERROR(LOOKUP(2,1/((Budgets!$A$2:$A$200=AY$1)*(Budgets!$B$2:$B$200&lt;=$A189)),Budgets!$C$2:$C$200),0))</f>
        <v/>
      </c>
      <c r="AZ189" s="88">
        <f>IF(OR(AZ$1="",$BE189=0),"",IFERROR(LOOKUP(2,1/((Budgets!$A$2:$A$200=AZ$1)*(Budgets!$B$2:$B$200&lt;=$A189)),Budgets!$C$2:$C$200),0))</f>
        <v/>
      </c>
      <c r="BA189" s="88">
        <f>IF(OR(BA$1="",$BE189=0),"",IFERROR(LOOKUP(2,1/((Budgets!$A$2:$A$200=BA$1)*(Budgets!$B$2:$B$200&lt;=$A189)),Budgets!$C$2:$C$200),0))</f>
        <v/>
      </c>
      <c r="BB189" s="88">
        <f>IF(OR(BB$1="",$BE189=0),"",IFERROR(LOOKUP(2,1/((Budgets!$A$2:$A$200=BB$1)*(Budgets!$B$2:$B$200&lt;=$A189)),Budgets!$C$2:$C$200),0))</f>
        <v/>
      </c>
      <c r="BC189" s="88">
        <f>IF(OR(BC$1="",$BE189=0),"",IFERROR(LOOKUP(2,1/((Budgets!$A$2:$A$200=BC$1)*(Budgets!$B$2:$B$200&lt;=$A189)),Budgets!$C$2:$C$200),0))</f>
        <v/>
      </c>
      <c r="BE189" s="67">
        <f>COUNTIFS(Entries!$A$2:$A$5000,$A189)</f>
        <v/>
      </c>
    </row>
    <row r="190" ht="15" customHeight="1" s="43">
      <c r="A190" s="87" t="n">
        <v>45170</v>
      </c>
      <c r="B190" s="88">
        <f>IF($BE190=0,NA(),SUMIFS(Entries!$D$2:$D$5000,Entries!$C$2:$C$5000,"Income",Entries!$A$2:$A$5000,$A190))</f>
        <v/>
      </c>
      <c r="C190" s="88">
        <f>IF($BE190=0,"",SUMIFS(Entries!$D$2:$D$5000,Entries!$C$2:$C$5000,"Actual",Entries!$A$2:$A$5000,$A190))</f>
        <v/>
      </c>
      <c r="D190" s="88">
        <f>IF($BE190=0,"",SUMIFS(Entries!$D$2:$D$5000,Entries!$C$2:$C$5000,"One-off",Entries!$A$2:$A$5000,$A190))</f>
        <v/>
      </c>
      <c r="E190" s="88">
        <f>IF($BE190=0,NA(),C190+D190)</f>
        <v/>
      </c>
      <c r="F190" s="88">
        <f>IF($BE190=0,"",SUM(AJ190:BC190))</f>
        <v/>
      </c>
      <c r="G190" s="88">
        <f>IF($BE190=0,"",B190-E190)</f>
        <v/>
      </c>
      <c r="H190" s="88">
        <f>IF($BE190=0,"",SUM($G$2:G190))</f>
        <v/>
      </c>
      <c r="I190" s="88">
        <f>IF($BE190=0,"",SUMIFS(Entries!$F$2:$F$5000,Entries!$A$2:$A$5000,$A190))</f>
        <v/>
      </c>
      <c r="J190" s="88">
        <f>IF($BE190=0,NA(),H190+SUM($I$2:I190))</f>
        <v/>
      </c>
      <c r="K190" s="88">
        <f>IF($BE190=0,"",SUMIFS(Entries!$D$2:$D$5000,Entries!$C$2:$C$5000,"Income",Entries!$A$2:$A$5000,"&gt;="&amp;EDATE($A190,-11),Entries!$A$2:$A$5000,"&lt;="&amp;$A190)/12)</f>
        <v/>
      </c>
      <c r="L190" s="88">
        <f>IF($BE190=0,"",(SUMIFS(Entries!$D$2:$D$5000,Entries!$C$2:$C$5000,"Actual",Entries!$A$2:$A$5000,"&gt;="&amp;EDATE($A190,-11),Entries!$A$2:$A$5000,"&lt;="&amp;$A190)+SUMIFS(Entries!$D$2:$D$5000,Entries!$C$2:$C$5000,"One-off",Entries!$A$2:$A$5000,"&gt;="&amp;EDATE($A190,-11),Entries!$A$2:$A$5000,"&lt;="&amp;$A190))/12)</f>
        <v/>
      </c>
      <c r="M190" s="70">
        <f>IF($BE190=0,NA(),IFERROR((K190-L190)/K190,0))</f>
        <v/>
      </c>
      <c r="O190" s="88">
        <f>IF(OR(O$1="",$BE190=0),"",SUMIFS(Entries!$D$2:$D$5000,Entries!$C$2:$C$5000,"Actual",Entries!$A$2:$A$5000,$A190,Entries!$B$2:$B$5000,O$1))</f>
        <v/>
      </c>
      <c r="P190" s="88">
        <f>IF(OR(P$1="",$BE190=0),"",SUMIFS(Entries!$D$2:$D$5000,Entries!$C$2:$C$5000,"Actual",Entries!$A$2:$A$5000,$A190,Entries!$B$2:$B$5000,P$1))</f>
        <v/>
      </c>
      <c r="Q190" s="88">
        <f>IF(OR(Q$1="",$BE190=0),"",SUMIFS(Entries!$D$2:$D$5000,Entries!$C$2:$C$5000,"Actual",Entries!$A$2:$A$5000,$A190,Entries!$B$2:$B$5000,Q$1))</f>
        <v/>
      </c>
      <c r="R190" s="88">
        <f>IF(OR(R$1="",$BE190=0),"",SUMIFS(Entries!$D$2:$D$5000,Entries!$C$2:$C$5000,"Actual",Entries!$A$2:$A$5000,$A190,Entries!$B$2:$B$5000,R$1))</f>
        <v/>
      </c>
      <c r="S190" s="88">
        <f>IF(OR(S$1="",$BE190=0),"",SUMIFS(Entries!$D$2:$D$5000,Entries!$C$2:$C$5000,"Actual",Entries!$A$2:$A$5000,$A190,Entries!$B$2:$B$5000,S$1))</f>
        <v/>
      </c>
      <c r="T190" s="88">
        <f>IF(OR(T$1="",$BE190=0),"",SUMIFS(Entries!$D$2:$D$5000,Entries!$C$2:$C$5000,"Actual",Entries!$A$2:$A$5000,$A190,Entries!$B$2:$B$5000,T$1))</f>
        <v/>
      </c>
      <c r="U190" s="88">
        <f>IF(OR(U$1="",$BE190=0),"",SUMIFS(Entries!$D$2:$D$5000,Entries!$C$2:$C$5000,"Actual",Entries!$A$2:$A$5000,$A190,Entries!$B$2:$B$5000,U$1))</f>
        <v/>
      </c>
      <c r="V190" s="88">
        <f>IF(OR(V$1="",$BE190=0),"",SUMIFS(Entries!$D$2:$D$5000,Entries!$C$2:$C$5000,"Actual",Entries!$A$2:$A$5000,$A190,Entries!$B$2:$B$5000,V$1))</f>
        <v/>
      </c>
      <c r="W190" s="88">
        <f>IF(OR(W$1="",$BE190=0),"",SUMIFS(Entries!$D$2:$D$5000,Entries!$C$2:$C$5000,"Actual",Entries!$A$2:$A$5000,$A190,Entries!$B$2:$B$5000,W$1))</f>
        <v/>
      </c>
      <c r="X190" s="88">
        <f>IF(OR(X$1="",$BE190=0),"",SUMIFS(Entries!$D$2:$D$5000,Entries!$C$2:$C$5000,"Actual",Entries!$A$2:$A$5000,$A190,Entries!$B$2:$B$5000,X$1))</f>
        <v/>
      </c>
      <c r="Y190" s="88">
        <f>IF(OR(Y$1="",$BE190=0),"",SUMIFS(Entries!$D$2:$D$5000,Entries!$C$2:$C$5000,"Actual",Entries!$A$2:$A$5000,$A190,Entries!$B$2:$B$5000,Y$1))</f>
        <v/>
      </c>
      <c r="Z190" s="88">
        <f>IF(OR(Z$1="",$BE190=0),"",SUMIFS(Entries!$D$2:$D$5000,Entries!$C$2:$C$5000,"Actual",Entries!$A$2:$A$5000,$A190,Entries!$B$2:$B$5000,Z$1))</f>
        <v/>
      </c>
      <c r="AA190" s="88">
        <f>IF(OR(AA$1="",$BE190=0),"",SUMIFS(Entries!$D$2:$D$5000,Entries!$C$2:$C$5000,"Actual",Entries!$A$2:$A$5000,$A190,Entries!$B$2:$B$5000,AA$1))</f>
        <v/>
      </c>
      <c r="AB190" s="88">
        <f>IF(OR(AB$1="",$BE190=0),"",SUMIFS(Entries!$D$2:$D$5000,Entries!$C$2:$C$5000,"Actual",Entries!$A$2:$A$5000,$A190,Entries!$B$2:$B$5000,AB$1))</f>
        <v/>
      </c>
      <c r="AC190" s="88">
        <f>IF(OR(AC$1="",$BE190=0),"",SUMIFS(Entries!$D$2:$D$5000,Entries!$C$2:$C$5000,"Actual",Entries!$A$2:$A$5000,$A190,Entries!$B$2:$B$5000,AC$1))</f>
        <v/>
      </c>
      <c r="AD190" s="88">
        <f>IF(OR(AD$1="",$BE190=0),"",SUMIFS(Entries!$D$2:$D$5000,Entries!$C$2:$C$5000,"Actual",Entries!$A$2:$A$5000,$A190,Entries!$B$2:$B$5000,AD$1))</f>
        <v/>
      </c>
      <c r="AE190" s="88">
        <f>IF(OR(AE$1="",$BE190=0),"",SUMIFS(Entries!$D$2:$D$5000,Entries!$C$2:$C$5000,"Actual",Entries!$A$2:$A$5000,$A190,Entries!$B$2:$B$5000,AE$1))</f>
        <v/>
      </c>
      <c r="AF190" s="88">
        <f>IF(OR(AF$1="",$BE190=0),"",SUMIFS(Entries!$D$2:$D$5000,Entries!$C$2:$C$5000,"Actual",Entries!$A$2:$A$5000,$A190,Entries!$B$2:$B$5000,AF$1))</f>
        <v/>
      </c>
      <c r="AG190" s="88">
        <f>IF(OR(AG$1="",$BE190=0),"",SUMIFS(Entries!$D$2:$D$5000,Entries!$C$2:$C$5000,"Actual",Entries!$A$2:$A$5000,$A190,Entries!$B$2:$B$5000,AG$1))</f>
        <v/>
      </c>
      <c r="AH190" s="88">
        <f>IF(OR(AH$1="",$BE190=0),"",SUMIFS(Entries!$D$2:$D$5000,Entries!$C$2:$C$5000,"Actual",Entries!$A$2:$A$5000,$A190,Entries!$B$2:$B$5000,AH$1))</f>
        <v/>
      </c>
      <c r="AJ190" s="88">
        <f>IF(OR(AJ$1="",$BE190=0),"",IFERROR(LOOKUP(2,1/((Budgets!$A$2:$A$200=AJ$1)*(Budgets!$B$2:$B$200&lt;=$A190)),Budgets!$C$2:$C$200),0))</f>
        <v/>
      </c>
      <c r="AK190" s="88">
        <f>IF(OR(AK$1="",$BE190=0),"",IFERROR(LOOKUP(2,1/((Budgets!$A$2:$A$200=AK$1)*(Budgets!$B$2:$B$200&lt;=$A190)),Budgets!$C$2:$C$200),0))</f>
        <v/>
      </c>
      <c r="AL190" s="88">
        <f>IF(OR(AL$1="",$BE190=0),"",IFERROR(LOOKUP(2,1/((Budgets!$A$2:$A$200=AL$1)*(Budgets!$B$2:$B$200&lt;=$A190)),Budgets!$C$2:$C$200),0))</f>
        <v/>
      </c>
      <c r="AM190" s="88">
        <f>IF(OR(AM$1="",$BE190=0),"",IFERROR(LOOKUP(2,1/((Budgets!$A$2:$A$200=AM$1)*(Budgets!$B$2:$B$200&lt;=$A190)),Budgets!$C$2:$C$200),0))</f>
        <v/>
      </c>
      <c r="AN190" s="88">
        <f>IF(OR(AN$1="",$BE190=0),"",IFERROR(LOOKUP(2,1/((Budgets!$A$2:$A$200=AN$1)*(Budgets!$B$2:$B$200&lt;=$A190)),Budgets!$C$2:$C$200),0))</f>
        <v/>
      </c>
      <c r="AO190" s="88">
        <f>IF(OR(AO$1="",$BE190=0),"",IFERROR(LOOKUP(2,1/((Budgets!$A$2:$A$200=AO$1)*(Budgets!$B$2:$B$200&lt;=$A190)),Budgets!$C$2:$C$200),0))</f>
        <v/>
      </c>
      <c r="AP190" s="88">
        <f>IF(OR(AP$1="",$BE190=0),"",IFERROR(LOOKUP(2,1/((Budgets!$A$2:$A$200=AP$1)*(Budgets!$B$2:$B$200&lt;=$A190)),Budgets!$C$2:$C$200),0))</f>
        <v/>
      </c>
      <c r="AQ190" s="88">
        <f>IF(OR(AQ$1="",$BE190=0),"",IFERROR(LOOKUP(2,1/((Budgets!$A$2:$A$200=AQ$1)*(Budgets!$B$2:$B$200&lt;=$A190)),Budgets!$C$2:$C$200),0))</f>
        <v/>
      </c>
      <c r="AR190" s="88">
        <f>IF(OR(AR$1="",$BE190=0),"",IFERROR(LOOKUP(2,1/((Budgets!$A$2:$A$200=AR$1)*(Budgets!$B$2:$B$200&lt;=$A190)),Budgets!$C$2:$C$200),0))</f>
        <v/>
      </c>
      <c r="AS190" s="88">
        <f>IF(OR(AS$1="",$BE190=0),"",IFERROR(LOOKUP(2,1/((Budgets!$A$2:$A$200=AS$1)*(Budgets!$B$2:$B$200&lt;=$A190)),Budgets!$C$2:$C$200),0))</f>
        <v/>
      </c>
      <c r="AT190" s="88">
        <f>IF(OR(AT$1="",$BE190=0),"",IFERROR(LOOKUP(2,1/((Budgets!$A$2:$A$200=AT$1)*(Budgets!$B$2:$B$200&lt;=$A190)),Budgets!$C$2:$C$200),0))</f>
        <v/>
      </c>
      <c r="AU190" s="88">
        <f>IF(OR(AU$1="",$BE190=0),"",IFERROR(LOOKUP(2,1/((Budgets!$A$2:$A$200=AU$1)*(Budgets!$B$2:$B$200&lt;=$A190)),Budgets!$C$2:$C$200),0))</f>
        <v/>
      </c>
      <c r="AV190" s="88">
        <f>IF(OR(AV$1="",$BE190=0),"",IFERROR(LOOKUP(2,1/((Budgets!$A$2:$A$200=AV$1)*(Budgets!$B$2:$B$200&lt;=$A190)),Budgets!$C$2:$C$200),0))</f>
        <v/>
      </c>
      <c r="AW190" s="88">
        <f>IF(OR(AW$1="",$BE190=0),"",IFERROR(LOOKUP(2,1/((Budgets!$A$2:$A$200=AW$1)*(Budgets!$B$2:$B$200&lt;=$A190)),Budgets!$C$2:$C$200),0))</f>
        <v/>
      </c>
      <c r="AX190" s="88">
        <f>IF(OR(AX$1="",$BE190=0),"",IFERROR(LOOKUP(2,1/((Budgets!$A$2:$A$200=AX$1)*(Budgets!$B$2:$B$200&lt;=$A190)),Budgets!$C$2:$C$200),0))</f>
        <v/>
      </c>
      <c r="AY190" s="88">
        <f>IF(OR(AY$1="",$BE190=0),"",IFERROR(LOOKUP(2,1/((Budgets!$A$2:$A$200=AY$1)*(Budgets!$B$2:$B$200&lt;=$A190)),Budgets!$C$2:$C$200),0))</f>
        <v/>
      </c>
      <c r="AZ190" s="88">
        <f>IF(OR(AZ$1="",$BE190=0),"",IFERROR(LOOKUP(2,1/((Budgets!$A$2:$A$200=AZ$1)*(Budgets!$B$2:$B$200&lt;=$A190)),Budgets!$C$2:$C$200),0))</f>
        <v/>
      </c>
      <c r="BA190" s="88">
        <f>IF(OR(BA$1="",$BE190=0),"",IFERROR(LOOKUP(2,1/((Budgets!$A$2:$A$200=BA$1)*(Budgets!$B$2:$B$200&lt;=$A190)),Budgets!$C$2:$C$200),0))</f>
        <v/>
      </c>
      <c r="BB190" s="88">
        <f>IF(OR(BB$1="",$BE190=0),"",IFERROR(LOOKUP(2,1/((Budgets!$A$2:$A$200=BB$1)*(Budgets!$B$2:$B$200&lt;=$A190)),Budgets!$C$2:$C$200),0))</f>
        <v/>
      </c>
      <c r="BC190" s="88">
        <f>IF(OR(BC$1="",$BE190=0),"",IFERROR(LOOKUP(2,1/((Budgets!$A$2:$A$200=BC$1)*(Budgets!$B$2:$B$200&lt;=$A190)),Budgets!$C$2:$C$200),0))</f>
        <v/>
      </c>
      <c r="BE190" s="67">
        <f>COUNTIFS(Entries!$A$2:$A$5000,$A190)</f>
        <v/>
      </c>
    </row>
    <row r="191" ht="15" customHeight="1" s="43">
      <c r="A191" s="87" t="n">
        <v>45200</v>
      </c>
      <c r="B191" s="88">
        <f>IF($BE191=0,NA(),SUMIFS(Entries!$D$2:$D$5000,Entries!$C$2:$C$5000,"Income",Entries!$A$2:$A$5000,$A191))</f>
        <v/>
      </c>
      <c r="C191" s="88">
        <f>IF($BE191=0,"",SUMIFS(Entries!$D$2:$D$5000,Entries!$C$2:$C$5000,"Actual",Entries!$A$2:$A$5000,$A191))</f>
        <v/>
      </c>
      <c r="D191" s="88">
        <f>IF($BE191=0,"",SUMIFS(Entries!$D$2:$D$5000,Entries!$C$2:$C$5000,"One-off",Entries!$A$2:$A$5000,$A191))</f>
        <v/>
      </c>
      <c r="E191" s="88">
        <f>IF($BE191=0,NA(),C191+D191)</f>
        <v/>
      </c>
      <c r="F191" s="88">
        <f>IF($BE191=0,"",SUM(AJ191:BC191))</f>
        <v/>
      </c>
      <c r="G191" s="88">
        <f>IF($BE191=0,"",B191-E191)</f>
        <v/>
      </c>
      <c r="H191" s="88">
        <f>IF($BE191=0,"",SUM($G$2:G191))</f>
        <v/>
      </c>
      <c r="I191" s="88">
        <f>IF($BE191=0,"",SUMIFS(Entries!$F$2:$F$5000,Entries!$A$2:$A$5000,$A191))</f>
        <v/>
      </c>
      <c r="J191" s="88">
        <f>IF($BE191=0,NA(),H191+SUM($I$2:I191))</f>
        <v/>
      </c>
      <c r="K191" s="88">
        <f>IF($BE191=0,"",SUMIFS(Entries!$D$2:$D$5000,Entries!$C$2:$C$5000,"Income",Entries!$A$2:$A$5000,"&gt;="&amp;EDATE($A191,-11),Entries!$A$2:$A$5000,"&lt;="&amp;$A191)/12)</f>
        <v/>
      </c>
      <c r="L191" s="88">
        <f>IF($BE191=0,"",(SUMIFS(Entries!$D$2:$D$5000,Entries!$C$2:$C$5000,"Actual",Entries!$A$2:$A$5000,"&gt;="&amp;EDATE($A191,-11),Entries!$A$2:$A$5000,"&lt;="&amp;$A191)+SUMIFS(Entries!$D$2:$D$5000,Entries!$C$2:$C$5000,"One-off",Entries!$A$2:$A$5000,"&gt;="&amp;EDATE($A191,-11),Entries!$A$2:$A$5000,"&lt;="&amp;$A191))/12)</f>
        <v/>
      </c>
      <c r="M191" s="70">
        <f>IF($BE191=0,NA(),IFERROR((K191-L191)/K191,0))</f>
        <v/>
      </c>
      <c r="O191" s="88">
        <f>IF(OR(O$1="",$BE191=0),"",SUMIFS(Entries!$D$2:$D$5000,Entries!$C$2:$C$5000,"Actual",Entries!$A$2:$A$5000,$A191,Entries!$B$2:$B$5000,O$1))</f>
        <v/>
      </c>
      <c r="P191" s="88">
        <f>IF(OR(P$1="",$BE191=0),"",SUMIFS(Entries!$D$2:$D$5000,Entries!$C$2:$C$5000,"Actual",Entries!$A$2:$A$5000,$A191,Entries!$B$2:$B$5000,P$1))</f>
        <v/>
      </c>
      <c r="Q191" s="88">
        <f>IF(OR(Q$1="",$BE191=0),"",SUMIFS(Entries!$D$2:$D$5000,Entries!$C$2:$C$5000,"Actual",Entries!$A$2:$A$5000,$A191,Entries!$B$2:$B$5000,Q$1))</f>
        <v/>
      </c>
      <c r="R191" s="88">
        <f>IF(OR(R$1="",$BE191=0),"",SUMIFS(Entries!$D$2:$D$5000,Entries!$C$2:$C$5000,"Actual",Entries!$A$2:$A$5000,$A191,Entries!$B$2:$B$5000,R$1))</f>
        <v/>
      </c>
      <c r="S191" s="88">
        <f>IF(OR(S$1="",$BE191=0),"",SUMIFS(Entries!$D$2:$D$5000,Entries!$C$2:$C$5000,"Actual",Entries!$A$2:$A$5000,$A191,Entries!$B$2:$B$5000,S$1))</f>
        <v/>
      </c>
      <c r="T191" s="88">
        <f>IF(OR(T$1="",$BE191=0),"",SUMIFS(Entries!$D$2:$D$5000,Entries!$C$2:$C$5000,"Actual",Entries!$A$2:$A$5000,$A191,Entries!$B$2:$B$5000,T$1))</f>
        <v/>
      </c>
      <c r="U191" s="88">
        <f>IF(OR(U$1="",$BE191=0),"",SUMIFS(Entries!$D$2:$D$5000,Entries!$C$2:$C$5000,"Actual",Entries!$A$2:$A$5000,$A191,Entries!$B$2:$B$5000,U$1))</f>
        <v/>
      </c>
      <c r="V191" s="88">
        <f>IF(OR(V$1="",$BE191=0),"",SUMIFS(Entries!$D$2:$D$5000,Entries!$C$2:$C$5000,"Actual",Entries!$A$2:$A$5000,$A191,Entries!$B$2:$B$5000,V$1))</f>
        <v/>
      </c>
      <c r="W191" s="88">
        <f>IF(OR(W$1="",$BE191=0),"",SUMIFS(Entries!$D$2:$D$5000,Entries!$C$2:$C$5000,"Actual",Entries!$A$2:$A$5000,$A191,Entries!$B$2:$B$5000,W$1))</f>
        <v/>
      </c>
      <c r="X191" s="88">
        <f>IF(OR(X$1="",$BE191=0),"",SUMIFS(Entries!$D$2:$D$5000,Entries!$C$2:$C$5000,"Actual",Entries!$A$2:$A$5000,$A191,Entries!$B$2:$B$5000,X$1))</f>
        <v/>
      </c>
      <c r="Y191" s="88">
        <f>IF(OR(Y$1="",$BE191=0),"",SUMIFS(Entries!$D$2:$D$5000,Entries!$C$2:$C$5000,"Actual",Entries!$A$2:$A$5000,$A191,Entries!$B$2:$B$5000,Y$1))</f>
        <v/>
      </c>
      <c r="Z191" s="88">
        <f>IF(OR(Z$1="",$BE191=0),"",SUMIFS(Entries!$D$2:$D$5000,Entries!$C$2:$C$5000,"Actual",Entries!$A$2:$A$5000,$A191,Entries!$B$2:$B$5000,Z$1))</f>
        <v/>
      </c>
      <c r="AA191" s="88">
        <f>IF(OR(AA$1="",$BE191=0),"",SUMIFS(Entries!$D$2:$D$5000,Entries!$C$2:$C$5000,"Actual",Entries!$A$2:$A$5000,$A191,Entries!$B$2:$B$5000,AA$1))</f>
        <v/>
      </c>
      <c r="AB191" s="88">
        <f>IF(OR(AB$1="",$BE191=0),"",SUMIFS(Entries!$D$2:$D$5000,Entries!$C$2:$C$5000,"Actual",Entries!$A$2:$A$5000,$A191,Entries!$B$2:$B$5000,AB$1))</f>
        <v/>
      </c>
      <c r="AC191" s="88">
        <f>IF(OR(AC$1="",$BE191=0),"",SUMIFS(Entries!$D$2:$D$5000,Entries!$C$2:$C$5000,"Actual",Entries!$A$2:$A$5000,$A191,Entries!$B$2:$B$5000,AC$1))</f>
        <v/>
      </c>
      <c r="AD191" s="88">
        <f>IF(OR(AD$1="",$BE191=0),"",SUMIFS(Entries!$D$2:$D$5000,Entries!$C$2:$C$5000,"Actual",Entries!$A$2:$A$5000,$A191,Entries!$B$2:$B$5000,AD$1))</f>
        <v/>
      </c>
      <c r="AE191" s="88">
        <f>IF(OR(AE$1="",$BE191=0),"",SUMIFS(Entries!$D$2:$D$5000,Entries!$C$2:$C$5000,"Actual",Entries!$A$2:$A$5000,$A191,Entries!$B$2:$B$5000,AE$1))</f>
        <v/>
      </c>
      <c r="AF191" s="88">
        <f>IF(OR(AF$1="",$BE191=0),"",SUMIFS(Entries!$D$2:$D$5000,Entries!$C$2:$C$5000,"Actual",Entries!$A$2:$A$5000,$A191,Entries!$B$2:$B$5000,AF$1))</f>
        <v/>
      </c>
      <c r="AG191" s="88">
        <f>IF(OR(AG$1="",$BE191=0),"",SUMIFS(Entries!$D$2:$D$5000,Entries!$C$2:$C$5000,"Actual",Entries!$A$2:$A$5000,$A191,Entries!$B$2:$B$5000,AG$1))</f>
        <v/>
      </c>
      <c r="AH191" s="88">
        <f>IF(OR(AH$1="",$BE191=0),"",SUMIFS(Entries!$D$2:$D$5000,Entries!$C$2:$C$5000,"Actual",Entries!$A$2:$A$5000,$A191,Entries!$B$2:$B$5000,AH$1))</f>
        <v/>
      </c>
      <c r="AJ191" s="88">
        <f>IF(OR(AJ$1="",$BE191=0),"",IFERROR(LOOKUP(2,1/((Budgets!$A$2:$A$200=AJ$1)*(Budgets!$B$2:$B$200&lt;=$A191)),Budgets!$C$2:$C$200),0))</f>
        <v/>
      </c>
      <c r="AK191" s="88">
        <f>IF(OR(AK$1="",$BE191=0),"",IFERROR(LOOKUP(2,1/((Budgets!$A$2:$A$200=AK$1)*(Budgets!$B$2:$B$200&lt;=$A191)),Budgets!$C$2:$C$200),0))</f>
        <v/>
      </c>
      <c r="AL191" s="88">
        <f>IF(OR(AL$1="",$BE191=0),"",IFERROR(LOOKUP(2,1/((Budgets!$A$2:$A$200=AL$1)*(Budgets!$B$2:$B$200&lt;=$A191)),Budgets!$C$2:$C$200),0))</f>
        <v/>
      </c>
      <c r="AM191" s="88">
        <f>IF(OR(AM$1="",$BE191=0),"",IFERROR(LOOKUP(2,1/((Budgets!$A$2:$A$200=AM$1)*(Budgets!$B$2:$B$200&lt;=$A191)),Budgets!$C$2:$C$200),0))</f>
        <v/>
      </c>
      <c r="AN191" s="88">
        <f>IF(OR(AN$1="",$BE191=0),"",IFERROR(LOOKUP(2,1/((Budgets!$A$2:$A$200=AN$1)*(Budgets!$B$2:$B$200&lt;=$A191)),Budgets!$C$2:$C$200),0))</f>
        <v/>
      </c>
      <c r="AO191" s="88">
        <f>IF(OR(AO$1="",$BE191=0),"",IFERROR(LOOKUP(2,1/((Budgets!$A$2:$A$200=AO$1)*(Budgets!$B$2:$B$200&lt;=$A191)),Budgets!$C$2:$C$200),0))</f>
        <v/>
      </c>
      <c r="AP191" s="88">
        <f>IF(OR(AP$1="",$BE191=0),"",IFERROR(LOOKUP(2,1/((Budgets!$A$2:$A$200=AP$1)*(Budgets!$B$2:$B$200&lt;=$A191)),Budgets!$C$2:$C$200),0))</f>
        <v/>
      </c>
      <c r="AQ191" s="88">
        <f>IF(OR(AQ$1="",$BE191=0),"",IFERROR(LOOKUP(2,1/((Budgets!$A$2:$A$200=AQ$1)*(Budgets!$B$2:$B$200&lt;=$A191)),Budgets!$C$2:$C$200),0))</f>
        <v/>
      </c>
      <c r="AR191" s="88">
        <f>IF(OR(AR$1="",$BE191=0),"",IFERROR(LOOKUP(2,1/((Budgets!$A$2:$A$200=AR$1)*(Budgets!$B$2:$B$200&lt;=$A191)),Budgets!$C$2:$C$200),0))</f>
        <v/>
      </c>
      <c r="AS191" s="88">
        <f>IF(OR(AS$1="",$BE191=0),"",IFERROR(LOOKUP(2,1/((Budgets!$A$2:$A$200=AS$1)*(Budgets!$B$2:$B$200&lt;=$A191)),Budgets!$C$2:$C$200),0))</f>
        <v/>
      </c>
      <c r="AT191" s="88">
        <f>IF(OR(AT$1="",$BE191=0),"",IFERROR(LOOKUP(2,1/((Budgets!$A$2:$A$200=AT$1)*(Budgets!$B$2:$B$200&lt;=$A191)),Budgets!$C$2:$C$200),0))</f>
        <v/>
      </c>
      <c r="AU191" s="88">
        <f>IF(OR(AU$1="",$BE191=0),"",IFERROR(LOOKUP(2,1/((Budgets!$A$2:$A$200=AU$1)*(Budgets!$B$2:$B$200&lt;=$A191)),Budgets!$C$2:$C$200),0))</f>
        <v/>
      </c>
      <c r="AV191" s="88">
        <f>IF(OR(AV$1="",$BE191=0),"",IFERROR(LOOKUP(2,1/((Budgets!$A$2:$A$200=AV$1)*(Budgets!$B$2:$B$200&lt;=$A191)),Budgets!$C$2:$C$200),0))</f>
        <v/>
      </c>
      <c r="AW191" s="88">
        <f>IF(OR(AW$1="",$BE191=0),"",IFERROR(LOOKUP(2,1/((Budgets!$A$2:$A$200=AW$1)*(Budgets!$B$2:$B$200&lt;=$A191)),Budgets!$C$2:$C$200),0))</f>
        <v/>
      </c>
      <c r="AX191" s="88">
        <f>IF(OR(AX$1="",$BE191=0),"",IFERROR(LOOKUP(2,1/((Budgets!$A$2:$A$200=AX$1)*(Budgets!$B$2:$B$200&lt;=$A191)),Budgets!$C$2:$C$200),0))</f>
        <v/>
      </c>
      <c r="AY191" s="88">
        <f>IF(OR(AY$1="",$BE191=0),"",IFERROR(LOOKUP(2,1/((Budgets!$A$2:$A$200=AY$1)*(Budgets!$B$2:$B$200&lt;=$A191)),Budgets!$C$2:$C$200),0))</f>
        <v/>
      </c>
      <c r="AZ191" s="88">
        <f>IF(OR(AZ$1="",$BE191=0),"",IFERROR(LOOKUP(2,1/((Budgets!$A$2:$A$200=AZ$1)*(Budgets!$B$2:$B$200&lt;=$A191)),Budgets!$C$2:$C$200),0))</f>
        <v/>
      </c>
      <c r="BA191" s="88">
        <f>IF(OR(BA$1="",$BE191=0),"",IFERROR(LOOKUP(2,1/((Budgets!$A$2:$A$200=BA$1)*(Budgets!$B$2:$B$200&lt;=$A191)),Budgets!$C$2:$C$200),0))</f>
        <v/>
      </c>
      <c r="BB191" s="88">
        <f>IF(OR(BB$1="",$BE191=0),"",IFERROR(LOOKUP(2,1/((Budgets!$A$2:$A$200=BB$1)*(Budgets!$B$2:$B$200&lt;=$A191)),Budgets!$C$2:$C$200),0))</f>
        <v/>
      </c>
      <c r="BC191" s="88">
        <f>IF(OR(BC$1="",$BE191=0),"",IFERROR(LOOKUP(2,1/((Budgets!$A$2:$A$200=BC$1)*(Budgets!$B$2:$B$200&lt;=$A191)),Budgets!$C$2:$C$200),0))</f>
        <v/>
      </c>
      <c r="BE191" s="67">
        <f>COUNTIFS(Entries!$A$2:$A$5000,$A191)</f>
        <v/>
      </c>
    </row>
    <row r="192" ht="15" customHeight="1" s="43">
      <c r="A192" s="87" t="n">
        <v>45231</v>
      </c>
      <c r="B192" s="88">
        <f>IF($BE192=0,NA(),SUMIFS(Entries!$D$2:$D$5000,Entries!$C$2:$C$5000,"Income",Entries!$A$2:$A$5000,$A192))</f>
        <v/>
      </c>
      <c r="C192" s="88">
        <f>IF($BE192=0,"",SUMIFS(Entries!$D$2:$D$5000,Entries!$C$2:$C$5000,"Actual",Entries!$A$2:$A$5000,$A192))</f>
        <v/>
      </c>
      <c r="D192" s="88">
        <f>IF($BE192=0,"",SUMIFS(Entries!$D$2:$D$5000,Entries!$C$2:$C$5000,"One-off",Entries!$A$2:$A$5000,$A192))</f>
        <v/>
      </c>
      <c r="E192" s="88">
        <f>IF($BE192=0,NA(),C192+D192)</f>
        <v/>
      </c>
      <c r="F192" s="88">
        <f>IF($BE192=0,"",SUM(AJ192:BC192))</f>
        <v/>
      </c>
      <c r="G192" s="88">
        <f>IF($BE192=0,"",B192-E192)</f>
        <v/>
      </c>
      <c r="H192" s="88">
        <f>IF($BE192=0,"",SUM($G$2:G192))</f>
        <v/>
      </c>
      <c r="I192" s="88">
        <f>IF($BE192=0,"",SUMIFS(Entries!$F$2:$F$5000,Entries!$A$2:$A$5000,$A192))</f>
        <v/>
      </c>
      <c r="J192" s="88">
        <f>IF($BE192=0,NA(),H192+SUM($I$2:I192))</f>
        <v/>
      </c>
      <c r="K192" s="88">
        <f>IF($BE192=0,"",SUMIFS(Entries!$D$2:$D$5000,Entries!$C$2:$C$5000,"Income",Entries!$A$2:$A$5000,"&gt;="&amp;EDATE($A192,-11),Entries!$A$2:$A$5000,"&lt;="&amp;$A192)/12)</f>
        <v/>
      </c>
      <c r="L192" s="88">
        <f>IF($BE192=0,"",(SUMIFS(Entries!$D$2:$D$5000,Entries!$C$2:$C$5000,"Actual",Entries!$A$2:$A$5000,"&gt;="&amp;EDATE($A192,-11),Entries!$A$2:$A$5000,"&lt;="&amp;$A192)+SUMIFS(Entries!$D$2:$D$5000,Entries!$C$2:$C$5000,"One-off",Entries!$A$2:$A$5000,"&gt;="&amp;EDATE($A192,-11),Entries!$A$2:$A$5000,"&lt;="&amp;$A192))/12)</f>
        <v/>
      </c>
      <c r="M192" s="70">
        <f>IF($BE192=0,NA(),IFERROR((K192-L192)/K192,0))</f>
        <v/>
      </c>
      <c r="O192" s="88">
        <f>IF(OR(O$1="",$BE192=0),"",SUMIFS(Entries!$D$2:$D$5000,Entries!$C$2:$C$5000,"Actual",Entries!$A$2:$A$5000,$A192,Entries!$B$2:$B$5000,O$1))</f>
        <v/>
      </c>
      <c r="P192" s="88">
        <f>IF(OR(P$1="",$BE192=0),"",SUMIFS(Entries!$D$2:$D$5000,Entries!$C$2:$C$5000,"Actual",Entries!$A$2:$A$5000,$A192,Entries!$B$2:$B$5000,P$1))</f>
        <v/>
      </c>
      <c r="Q192" s="88">
        <f>IF(OR(Q$1="",$BE192=0),"",SUMIFS(Entries!$D$2:$D$5000,Entries!$C$2:$C$5000,"Actual",Entries!$A$2:$A$5000,$A192,Entries!$B$2:$B$5000,Q$1))</f>
        <v/>
      </c>
      <c r="R192" s="88">
        <f>IF(OR(R$1="",$BE192=0),"",SUMIFS(Entries!$D$2:$D$5000,Entries!$C$2:$C$5000,"Actual",Entries!$A$2:$A$5000,$A192,Entries!$B$2:$B$5000,R$1))</f>
        <v/>
      </c>
      <c r="S192" s="88">
        <f>IF(OR(S$1="",$BE192=0),"",SUMIFS(Entries!$D$2:$D$5000,Entries!$C$2:$C$5000,"Actual",Entries!$A$2:$A$5000,$A192,Entries!$B$2:$B$5000,S$1))</f>
        <v/>
      </c>
      <c r="T192" s="88">
        <f>IF(OR(T$1="",$BE192=0),"",SUMIFS(Entries!$D$2:$D$5000,Entries!$C$2:$C$5000,"Actual",Entries!$A$2:$A$5000,$A192,Entries!$B$2:$B$5000,T$1))</f>
        <v/>
      </c>
      <c r="U192" s="88">
        <f>IF(OR(U$1="",$BE192=0),"",SUMIFS(Entries!$D$2:$D$5000,Entries!$C$2:$C$5000,"Actual",Entries!$A$2:$A$5000,$A192,Entries!$B$2:$B$5000,U$1))</f>
        <v/>
      </c>
      <c r="V192" s="88">
        <f>IF(OR(V$1="",$BE192=0),"",SUMIFS(Entries!$D$2:$D$5000,Entries!$C$2:$C$5000,"Actual",Entries!$A$2:$A$5000,$A192,Entries!$B$2:$B$5000,V$1))</f>
        <v/>
      </c>
      <c r="W192" s="88">
        <f>IF(OR(W$1="",$BE192=0),"",SUMIFS(Entries!$D$2:$D$5000,Entries!$C$2:$C$5000,"Actual",Entries!$A$2:$A$5000,$A192,Entries!$B$2:$B$5000,W$1))</f>
        <v/>
      </c>
      <c r="X192" s="88">
        <f>IF(OR(X$1="",$BE192=0),"",SUMIFS(Entries!$D$2:$D$5000,Entries!$C$2:$C$5000,"Actual",Entries!$A$2:$A$5000,$A192,Entries!$B$2:$B$5000,X$1))</f>
        <v/>
      </c>
      <c r="Y192" s="88">
        <f>IF(OR(Y$1="",$BE192=0),"",SUMIFS(Entries!$D$2:$D$5000,Entries!$C$2:$C$5000,"Actual",Entries!$A$2:$A$5000,$A192,Entries!$B$2:$B$5000,Y$1))</f>
        <v/>
      </c>
      <c r="Z192" s="88">
        <f>IF(OR(Z$1="",$BE192=0),"",SUMIFS(Entries!$D$2:$D$5000,Entries!$C$2:$C$5000,"Actual",Entries!$A$2:$A$5000,$A192,Entries!$B$2:$B$5000,Z$1))</f>
        <v/>
      </c>
      <c r="AA192" s="88">
        <f>IF(OR(AA$1="",$BE192=0),"",SUMIFS(Entries!$D$2:$D$5000,Entries!$C$2:$C$5000,"Actual",Entries!$A$2:$A$5000,$A192,Entries!$B$2:$B$5000,AA$1))</f>
        <v/>
      </c>
      <c r="AB192" s="88">
        <f>IF(OR(AB$1="",$BE192=0),"",SUMIFS(Entries!$D$2:$D$5000,Entries!$C$2:$C$5000,"Actual",Entries!$A$2:$A$5000,$A192,Entries!$B$2:$B$5000,AB$1))</f>
        <v/>
      </c>
      <c r="AC192" s="88">
        <f>IF(OR(AC$1="",$BE192=0),"",SUMIFS(Entries!$D$2:$D$5000,Entries!$C$2:$C$5000,"Actual",Entries!$A$2:$A$5000,$A192,Entries!$B$2:$B$5000,AC$1))</f>
        <v/>
      </c>
      <c r="AD192" s="88">
        <f>IF(OR(AD$1="",$BE192=0),"",SUMIFS(Entries!$D$2:$D$5000,Entries!$C$2:$C$5000,"Actual",Entries!$A$2:$A$5000,$A192,Entries!$B$2:$B$5000,AD$1))</f>
        <v/>
      </c>
      <c r="AE192" s="88">
        <f>IF(OR(AE$1="",$BE192=0),"",SUMIFS(Entries!$D$2:$D$5000,Entries!$C$2:$C$5000,"Actual",Entries!$A$2:$A$5000,$A192,Entries!$B$2:$B$5000,AE$1))</f>
        <v/>
      </c>
      <c r="AF192" s="88">
        <f>IF(OR(AF$1="",$BE192=0),"",SUMIFS(Entries!$D$2:$D$5000,Entries!$C$2:$C$5000,"Actual",Entries!$A$2:$A$5000,$A192,Entries!$B$2:$B$5000,AF$1))</f>
        <v/>
      </c>
      <c r="AG192" s="88">
        <f>IF(OR(AG$1="",$BE192=0),"",SUMIFS(Entries!$D$2:$D$5000,Entries!$C$2:$C$5000,"Actual",Entries!$A$2:$A$5000,$A192,Entries!$B$2:$B$5000,AG$1))</f>
        <v/>
      </c>
      <c r="AH192" s="88">
        <f>IF(OR(AH$1="",$BE192=0),"",SUMIFS(Entries!$D$2:$D$5000,Entries!$C$2:$C$5000,"Actual",Entries!$A$2:$A$5000,$A192,Entries!$B$2:$B$5000,AH$1))</f>
        <v/>
      </c>
      <c r="AJ192" s="88">
        <f>IF(OR(AJ$1="",$BE192=0),"",IFERROR(LOOKUP(2,1/((Budgets!$A$2:$A$200=AJ$1)*(Budgets!$B$2:$B$200&lt;=$A192)),Budgets!$C$2:$C$200),0))</f>
        <v/>
      </c>
      <c r="AK192" s="88">
        <f>IF(OR(AK$1="",$BE192=0),"",IFERROR(LOOKUP(2,1/((Budgets!$A$2:$A$200=AK$1)*(Budgets!$B$2:$B$200&lt;=$A192)),Budgets!$C$2:$C$200),0))</f>
        <v/>
      </c>
      <c r="AL192" s="88">
        <f>IF(OR(AL$1="",$BE192=0),"",IFERROR(LOOKUP(2,1/((Budgets!$A$2:$A$200=AL$1)*(Budgets!$B$2:$B$200&lt;=$A192)),Budgets!$C$2:$C$200),0))</f>
        <v/>
      </c>
      <c r="AM192" s="88">
        <f>IF(OR(AM$1="",$BE192=0),"",IFERROR(LOOKUP(2,1/((Budgets!$A$2:$A$200=AM$1)*(Budgets!$B$2:$B$200&lt;=$A192)),Budgets!$C$2:$C$200),0))</f>
        <v/>
      </c>
      <c r="AN192" s="88">
        <f>IF(OR(AN$1="",$BE192=0),"",IFERROR(LOOKUP(2,1/((Budgets!$A$2:$A$200=AN$1)*(Budgets!$B$2:$B$200&lt;=$A192)),Budgets!$C$2:$C$200),0))</f>
        <v/>
      </c>
      <c r="AO192" s="88">
        <f>IF(OR(AO$1="",$BE192=0),"",IFERROR(LOOKUP(2,1/((Budgets!$A$2:$A$200=AO$1)*(Budgets!$B$2:$B$200&lt;=$A192)),Budgets!$C$2:$C$200),0))</f>
        <v/>
      </c>
      <c r="AP192" s="88">
        <f>IF(OR(AP$1="",$BE192=0),"",IFERROR(LOOKUP(2,1/((Budgets!$A$2:$A$200=AP$1)*(Budgets!$B$2:$B$200&lt;=$A192)),Budgets!$C$2:$C$200),0))</f>
        <v/>
      </c>
      <c r="AQ192" s="88">
        <f>IF(OR(AQ$1="",$BE192=0),"",IFERROR(LOOKUP(2,1/((Budgets!$A$2:$A$200=AQ$1)*(Budgets!$B$2:$B$200&lt;=$A192)),Budgets!$C$2:$C$200),0))</f>
        <v/>
      </c>
      <c r="AR192" s="88">
        <f>IF(OR(AR$1="",$BE192=0),"",IFERROR(LOOKUP(2,1/((Budgets!$A$2:$A$200=AR$1)*(Budgets!$B$2:$B$200&lt;=$A192)),Budgets!$C$2:$C$200),0))</f>
        <v/>
      </c>
      <c r="AS192" s="88">
        <f>IF(OR(AS$1="",$BE192=0),"",IFERROR(LOOKUP(2,1/((Budgets!$A$2:$A$200=AS$1)*(Budgets!$B$2:$B$200&lt;=$A192)),Budgets!$C$2:$C$200),0))</f>
        <v/>
      </c>
      <c r="AT192" s="88">
        <f>IF(OR(AT$1="",$BE192=0),"",IFERROR(LOOKUP(2,1/((Budgets!$A$2:$A$200=AT$1)*(Budgets!$B$2:$B$200&lt;=$A192)),Budgets!$C$2:$C$200),0))</f>
        <v/>
      </c>
      <c r="AU192" s="88">
        <f>IF(OR(AU$1="",$BE192=0),"",IFERROR(LOOKUP(2,1/((Budgets!$A$2:$A$200=AU$1)*(Budgets!$B$2:$B$200&lt;=$A192)),Budgets!$C$2:$C$200),0))</f>
        <v/>
      </c>
      <c r="AV192" s="88">
        <f>IF(OR(AV$1="",$BE192=0),"",IFERROR(LOOKUP(2,1/((Budgets!$A$2:$A$200=AV$1)*(Budgets!$B$2:$B$200&lt;=$A192)),Budgets!$C$2:$C$200),0))</f>
        <v/>
      </c>
      <c r="AW192" s="88">
        <f>IF(OR(AW$1="",$BE192=0),"",IFERROR(LOOKUP(2,1/((Budgets!$A$2:$A$200=AW$1)*(Budgets!$B$2:$B$200&lt;=$A192)),Budgets!$C$2:$C$200),0))</f>
        <v/>
      </c>
      <c r="AX192" s="88">
        <f>IF(OR(AX$1="",$BE192=0),"",IFERROR(LOOKUP(2,1/((Budgets!$A$2:$A$200=AX$1)*(Budgets!$B$2:$B$200&lt;=$A192)),Budgets!$C$2:$C$200),0))</f>
        <v/>
      </c>
      <c r="AY192" s="88">
        <f>IF(OR(AY$1="",$BE192=0),"",IFERROR(LOOKUP(2,1/((Budgets!$A$2:$A$200=AY$1)*(Budgets!$B$2:$B$200&lt;=$A192)),Budgets!$C$2:$C$200),0))</f>
        <v/>
      </c>
      <c r="AZ192" s="88">
        <f>IF(OR(AZ$1="",$BE192=0),"",IFERROR(LOOKUP(2,1/((Budgets!$A$2:$A$200=AZ$1)*(Budgets!$B$2:$B$200&lt;=$A192)),Budgets!$C$2:$C$200),0))</f>
        <v/>
      </c>
      <c r="BA192" s="88">
        <f>IF(OR(BA$1="",$BE192=0),"",IFERROR(LOOKUP(2,1/((Budgets!$A$2:$A$200=BA$1)*(Budgets!$B$2:$B$200&lt;=$A192)),Budgets!$C$2:$C$200),0))</f>
        <v/>
      </c>
      <c r="BB192" s="88">
        <f>IF(OR(BB$1="",$BE192=0),"",IFERROR(LOOKUP(2,1/((Budgets!$A$2:$A$200=BB$1)*(Budgets!$B$2:$B$200&lt;=$A192)),Budgets!$C$2:$C$200),0))</f>
        <v/>
      </c>
      <c r="BC192" s="88">
        <f>IF(OR(BC$1="",$BE192=0),"",IFERROR(LOOKUP(2,1/((Budgets!$A$2:$A$200=BC$1)*(Budgets!$B$2:$B$200&lt;=$A192)),Budgets!$C$2:$C$200),0))</f>
        <v/>
      </c>
      <c r="BE192" s="67">
        <f>COUNTIFS(Entries!$A$2:$A$5000,$A192)</f>
        <v/>
      </c>
    </row>
    <row r="193" ht="15" customHeight="1" s="43">
      <c r="A193" s="87" t="n">
        <v>45261</v>
      </c>
      <c r="B193" s="88">
        <f>IF($BE193=0,NA(),SUMIFS(Entries!$D$2:$D$5000,Entries!$C$2:$C$5000,"Income",Entries!$A$2:$A$5000,$A193))</f>
        <v/>
      </c>
      <c r="C193" s="88">
        <f>IF($BE193=0,"",SUMIFS(Entries!$D$2:$D$5000,Entries!$C$2:$C$5000,"Actual",Entries!$A$2:$A$5000,$A193))</f>
        <v/>
      </c>
      <c r="D193" s="88">
        <f>IF($BE193=0,"",SUMIFS(Entries!$D$2:$D$5000,Entries!$C$2:$C$5000,"One-off",Entries!$A$2:$A$5000,$A193))</f>
        <v/>
      </c>
      <c r="E193" s="88">
        <f>IF($BE193=0,NA(),C193+D193)</f>
        <v/>
      </c>
      <c r="F193" s="88">
        <f>IF($BE193=0,"",SUM(AJ193:BC193))</f>
        <v/>
      </c>
      <c r="G193" s="88">
        <f>IF($BE193=0,"",B193-E193)</f>
        <v/>
      </c>
      <c r="H193" s="88">
        <f>IF($BE193=0,"",SUM($G$2:G193))</f>
        <v/>
      </c>
      <c r="I193" s="88">
        <f>IF($BE193=0,"",SUMIFS(Entries!$F$2:$F$5000,Entries!$A$2:$A$5000,$A193))</f>
        <v/>
      </c>
      <c r="J193" s="88">
        <f>IF($BE193=0,NA(),H193+SUM($I$2:I193))</f>
        <v/>
      </c>
      <c r="K193" s="88">
        <f>IF($BE193=0,"",SUMIFS(Entries!$D$2:$D$5000,Entries!$C$2:$C$5000,"Income",Entries!$A$2:$A$5000,"&gt;="&amp;EDATE($A193,-11),Entries!$A$2:$A$5000,"&lt;="&amp;$A193)/12)</f>
        <v/>
      </c>
      <c r="L193" s="88">
        <f>IF($BE193=0,"",(SUMIFS(Entries!$D$2:$D$5000,Entries!$C$2:$C$5000,"Actual",Entries!$A$2:$A$5000,"&gt;="&amp;EDATE($A193,-11),Entries!$A$2:$A$5000,"&lt;="&amp;$A193)+SUMIFS(Entries!$D$2:$D$5000,Entries!$C$2:$C$5000,"One-off",Entries!$A$2:$A$5000,"&gt;="&amp;EDATE($A193,-11),Entries!$A$2:$A$5000,"&lt;="&amp;$A193))/12)</f>
        <v/>
      </c>
      <c r="M193" s="70">
        <f>IF($BE193=0,NA(),IFERROR((K193-L193)/K193,0))</f>
        <v/>
      </c>
      <c r="O193" s="88">
        <f>IF(OR(O$1="",$BE193=0),"",SUMIFS(Entries!$D$2:$D$5000,Entries!$C$2:$C$5000,"Actual",Entries!$A$2:$A$5000,$A193,Entries!$B$2:$B$5000,O$1))</f>
        <v/>
      </c>
      <c r="P193" s="88">
        <f>IF(OR(P$1="",$BE193=0),"",SUMIFS(Entries!$D$2:$D$5000,Entries!$C$2:$C$5000,"Actual",Entries!$A$2:$A$5000,$A193,Entries!$B$2:$B$5000,P$1))</f>
        <v/>
      </c>
      <c r="Q193" s="88">
        <f>IF(OR(Q$1="",$BE193=0),"",SUMIFS(Entries!$D$2:$D$5000,Entries!$C$2:$C$5000,"Actual",Entries!$A$2:$A$5000,$A193,Entries!$B$2:$B$5000,Q$1))</f>
        <v/>
      </c>
      <c r="R193" s="88">
        <f>IF(OR(R$1="",$BE193=0),"",SUMIFS(Entries!$D$2:$D$5000,Entries!$C$2:$C$5000,"Actual",Entries!$A$2:$A$5000,$A193,Entries!$B$2:$B$5000,R$1))</f>
        <v/>
      </c>
      <c r="S193" s="88">
        <f>IF(OR(S$1="",$BE193=0),"",SUMIFS(Entries!$D$2:$D$5000,Entries!$C$2:$C$5000,"Actual",Entries!$A$2:$A$5000,$A193,Entries!$B$2:$B$5000,S$1))</f>
        <v/>
      </c>
      <c r="T193" s="88">
        <f>IF(OR(T$1="",$BE193=0),"",SUMIFS(Entries!$D$2:$D$5000,Entries!$C$2:$C$5000,"Actual",Entries!$A$2:$A$5000,$A193,Entries!$B$2:$B$5000,T$1))</f>
        <v/>
      </c>
      <c r="U193" s="88">
        <f>IF(OR(U$1="",$BE193=0),"",SUMIFS(Entries!$D$2:$D$5000,Entries!$C$2:$C$5000,"Actual",Entries!$A$2:$A$5000,$A193,Entries!$B$2:$B$5000,U$1))</f>
        <v/>
      </c>
      <c r="V193" s="88">
        <f>IF(OR(V$1="",$BE193=0),"",SUMIFS(Entries!$D$2:$D$5000,Entries!$C$2:$C$5000,"Actual",Entries!$A$2:$A$5000,$A193,Entries!$B$2:$B$5000,V$1))</f>
        <v/>
      </c>
      <c r="W193" s="88">
        <f>IF(OR(W$1="",$BE193=0),"",SUMIFS(Entries!$D$2:$D$5000,Entries!$C$2:$C$5000,"Actual",Entries!$A$2:$A$5000,$A193,Entries!$B$2:$B$5000,W$1))</f>
        <v/>
      </c>
      <c r="X193" s="88">
        <f>IF(OR(X$1="",$BE193=0),"",SUMIFS(Entries!$D$2:$D$5000,Entries!$C$2:$C$5000,"Actual",Entries!$A$2:$A$5000,$A193,Entries!$B$2:$B$5000,X$1))</f>
        <v/>
      </c>
      <c r="Y193" s="88">
        <f>IF(OR(Y$1="",$BE193=0),"",SUMIFS(Entries!$D$2:$D$5000,Entries!$C$2:$C$5000,"Actual",Entries!$A$2:$A$5000,$A193,Entries!$B$2:$B$5000,Y$1))</f>
        <v/>
      </c>
      <c r="Z193" s="88">
        <f>IF(OR(Z$1="",$BE193=0),"",SUMIFS(Entries!$D$2:$D$5000,Entries!$C$2:$C$5000,"Actual",Entries!$A$2:$A$5000,$A193,Entries!$B$2:$B$5000,Z$1))</f>
        <v/>
      </c>
      <c r="AA193" s="88">
        <f>IF(OR(AA$1="",$BE193=0),"",SUMIFS(Entries!$D$2:$D$5000,Entries!$C$2:$C$5000,"Actual",Entries!$A$2:$A$5000,$A193,Entries!$B$2:$B$5000,AA$1))</f>
        <v/>
      </c>
      <c r="AB193" s="88">
        <f>IF(OR(AB$1="",$BE193=0),"",SUMIFS(Entries!$D$2:$D$5000,Entries!$C$2:$C$5000,"Actual",Entries!$A$2:$A$5000,$A193,Entries!$B$2:$B$5000,AB$1))</f>
        <v/>
      </c>
      <c r="AC193" s="88">
        <f>IF(OR(AC$1="",$BE193=0),"",SUMIFS(Entries!$D$2:$D$5000,Entries!$C$2:$C$5000,"Actual",Entries!$A$2:$A$5000,$A193,Entries!$B$2:$B$5000,AC$1))</f>
        <v/>
      </c>
      <c r="AD193" s="88">
        <f>IF(OR(AD$1="",$BE193=0),"",SUMIFS(Entries!$D$2:$D$5000,Entries!$C$2:$C$5000,"Actual",Entries!$A$2:$A$5000,$A193,Entries!$B$2:$B$5000,AD$1))</f>
        <v/>
      </c>
      <c r="AE193" s="88">
        <f>IF(OR(AE$1="",$BE193=0),"",SUMIFS(Entries!$D$2:$D$5000,Entries!$C$2:$C$5000,"Actual",Entries!$A$2:$A$5000,$A193,Entries!$B$2:$B$5000,AE$1))</f>
        <v/>
      </c>
      <c r="AF193" s="88">
        <f>IF(OR(AF$1="",$BE193=0),"",SUMIFS(Entries!$D$2:$D$5000,Entries!$C$2:$C$5000,"Actual",Entries!$A$2:$A$5000,$A193,Entries!$B$2:$B$5000,AF$1))</f>
        <v/>
      </c>
      <c r="AG193" s="88">
        <f>IF(OR(AG$1="",$BE193=0),"",SUMIFS(Entries!$D$2:$D$5000,Entries!$C$2:$C$5000,"Actual",Entries!$A$2:$A$5000,$A193,Entries!$B$2:$B$5000,AG$1))</f>
        <v/>
      </c>
      <c r="AH193" s="88">
        <f>IF(OR(AH$1="",$BE193=0),"",SUMIFS(Entries!$D$2:$D$5000,Entries!$C$2:$C$5000,"Actual",Entries!$A$2:$A$5000,$A193,Entries!$B$2:$B$5000,AH$1))</f>
        <v/>
      </c>
      <c r="AJ193" s="88">
        <f>IF(OR(AJ$1="",$BE193=0),"",IFERROR(LOOKUP(2,1/((Budgets!$A$2:$A$200=AJ$1)*(Budgets!$B$2:$B$200&lt;=$A193)),Budgets!$C$2:$C$200),0))</f>
        <v/>
      </c>
      <c r="AK193" s="88">
        <f>IF(OR(AK$1="",$BE193=0),"",IFERROR(LOOKUP(2,1/((Budgets!$A$2:$A$200=AK$1)*(Budgets!$B$2:$B$200&lt;=$A193)),Budgets!$C$2:$C$200),0))</f>
        <v/>
      </c>
      <c r="AL193" s="88">
        <f>IF(OR(AL$1="",$BE193=0),"",IFERROR(LOOKUP(2,1/((Budgets!$A$2:$A$200=AL$1)*(Budgets!$B$2:$B$200&lt;=$A193)),Budgets!$C$2:$C$200),0))</f>
        <v/>
      </c>
      <c r="AM193" s="88">
        <f>IF(OR(AM$1="",$BE193=0),"",IFERROR(LOOKUP(2,1/((Budgets!$A$2:$A$200=AM$1)*(Budgets!$B$2:$B$200&lt;=$A193)),Budgets!$C$2:$C$200),0))</f>
        <v/>
      </c>
      <c r="AN193" s="88">
        <f>IF(OR(AN$1="",$BE193=0),"",IFERROR(LOOKUP(2,1/((Budgets!$A$2:$A$200=AN$1)*(Budgets!$B$2:$B$200&lt;=$A193)),Budgets!$C$2:$C$200),0))</f>
        <v/>
      </c>
      <c r="AO193" s="88">
        <f>IF(OR(AO$1="",$BE193=0),"",IFERROR(LOOKUP(2,1/((Budgets!$A$2:$A$200=AO$1)*(Budgets!$B$2:$B$200&lt;=$A193)),Budgets!$C$2:$C$200),0))</f>
        <v/>
      </c>
      <c r="AP193" s="88">
        <f>IF(OR(AP$1="",$BE193=0),"",IFERROR(LOOKUP(2,1/((Budgets!$A$2:$A$200=AP$1)*(Budgets!$B$2:$B$200&lt;=$A193)),Budgets!$C$2:$C$200),0))</f>
        <v/>
      </c>
      <c r="AQ193" s="88">
        <f>IF(OR(AQ$1="",$BE193=0),"",IFERROR(LOOKUP(2,1/((Budgets!$A$2:$A$200=AQ$1)*(Budgets!$B$2:$B$200&lt;=$A193)),Budgets!$C$2:$C$200),0))</f>
        <v/>
      </c>
      <c r="AR193" s="88">
        <f>IF(OR(AR$1="",$BE193=0),"",IFERROR(LOOKUP(2,1/((Budgets!$A$2:$A$200=AR$1)*(Budgets!$B$2:$B$200&lt;=$A193)),Budgets!$C$2:$C$200),0))</f>
        <v/>
      </c>
      <c r="AS193" s="88">
        <f>IF(OR(AS$1="",$BE193=0),"",IFERROR(LOOKUP(2,1/((Budgets!$A$2:$A$200=AS$1)*(Budgets!$B$2:$B$200&lt;=$A193)),Budgets!$C$2:$C$200),0))</f>
        <v/>
      </c>
      <c r="AT193" s="88">
        <f>IF(OR(AT$1="",$BE193=0),"",IFERROR(LOOKUP(2,1/((Budgets!$A$2:$A$200=AT$1)*(Budgets!$B$2:$B$200&lt;=$A193)),Budgets!$C$2:$C$200),0))</f>
        <v/>
      </c>
      <c r="AU193" s="88">
        <f>IF(OR(AU$1="",$BE193=0),"",IFERROR(LOOKUP(2,1/((Budgets!$A$2:$A$200=AU$1)*(Budgets!$B$2:$B$200&lt;=$A193)),Budgets!$C$2:$C$200),0))</f>
        <v/>
      </c>
      <c r="AV193" s="88">
        <f>IF(OR(AV$1="",$BE193=0),"",IFERROR(LOOKUP(2,1/((Budgets!$A$2:$A$200=AV$1)*(Budgets!$B$2:$B$200&lt;=$A193)),Budgets!$C$2:$C$200),0))</f>
        <v/>
      </c>
      <c r="AW193" s="88">
        <f>IF(OR(AW$1="",$BE193=0),"",IFERROR(LOOKUP(2,1/((Budgets!$A$2:$A$200=AW$1)*(Budgets!$B$2:$B$200&lt;=$A193)),Budgets!$C$2:$C$200),0))</f>
        <v/>
      </c>
      <c r="AX193" s="88">
        <f>IF(OR(AX$1="",$BE193=0),"",IFERROR(LOOKUP(2,1/((Budgets!$A$2:$A$200=AX$1)*(Budgets!$B$2:$B$200&lt;=$A193)),Budgets!$C$2:$C$200),0))</f>
        <v/>
      </c>
      <c r="AY193" s="88">
        <f>IF(OR(AY$1="",$BE193=0),"",IFERROR(LOOKUP(2,1/((Budgets!$A$2:$A$200=AY$1)*(Budgets!$B$2:$B$200&lt;=$A193)),Budgets!$C$2:$C$200),0))</f>
        <v/>
      </c>
      <c r="AZ193" s="88">
        <f>IF(OR(AZ$1="",$BE193=0),"",IFERROR(LOOKUP(2,1/((Budgets!$A$2:$A$200=AZ$1)*(Budgets!$B$2:$B$200&lt;=$A193)),Budgets!$C$2:$C$200),0))</f>
        <v/>
      </c>
      <c r="BA193" s="88">
        <f>IF(OR(BA$1="",$BE193=0),"",IFERROR(LOOKUP(2,1/((Budgets!$A$2:$A$200=BA$1)*(Budgets!$B$2:$B$200&lt;=$A193)),Budgets!$C$2:$C$200),0))</f>
        <v/>
      </c>
      <c r="BB193" s="88">
        <f>IF(OR(BB$1="",$BE193=0),"",IFERROR(LOOKUP(2,1/((Budgets!$A$2:$A$200=BB$1)*(Budgets!$B$2:$B$200&lt;=$A193)),Budgets!$C$2:$C$200),0))</f>
        <v/>
      </c>
      <c r="BC193" s="88">
        <f>IF(OR(BC$1="",$BE193=0),"",IFERROR(LOOKUP(2,1/((Budgets!$A$2:$A$200=BC$1)*(Budgets!$B$2:$B$200&lt;=$A193)),Budgets!$C$2:$C$200),0))</f>
        <v/>
      </c>
      <c r="BE193" s="67">
        <f>COUNTIFS(Entries!$A$2:$A$5000,$A193)</f>
        <v/>
      </c>
    </row>
    <row r="194" ht="15" customHeight="1" s="43">
      <c r="A194" s="87" t="n">
        <v>45292</v>
      </c>
      <c r="B194" s="88">
        <f>IF($BE194=0,NA(),SUMIFS(Entries!$D$2:$D$5000,Entries!$C$2:$C$5000,"Income",Entries!$A$2:$A$5000,$A194))</f>
        <v/>
      </c>
      <c r="C194" s="88">
        <f>IF($BE194=0,"",SUMIFS(Entries!$D$2:$D$5000,Entries!$C$2:$C$5000,"Actual",Entries!$A$2:$A$5000,$A194))</f>
        <v/>
      </c>
      <c r="D194" s="88">
        <f>IF($BE194=0,"",SUMIFS(Entries!$D$2:$D$5000,Entries!$C$2:$C$5000,"One-off",Entries!$A$2:$A$5000,$A194))</f>
        <v/>
      </c>
      <c r="E194" s="88">
        <f>IF($BE194=0,NA(),C194+D194)</f>
        <v/>
      </c>
      <c r="F194" s="88">
        <f>IF($BE194=0,"",SUM(AJ194:BC194))</f>
        <v/>
      </c>
      <c r="G194" s="88">
        <f>IF($BE194=0,"",B194-E194)</f>
        <v/>
      </c>
      <c r="H194" s="88">
        <f>IF($BE194=0,"",SUM($G$2:G194))</f>
        <v/>
      </c>
      <c r="I194" s="88">
        <f>IF($BE194=0,"",SUMIFS(Entries!$F$2:$F$5000,Entries!$A$2:$A$5000,$A194))</f>
        <v/>
      </c>
      <c r="J194" s="88">
        <f>IF($BE194=0,NA(),H194+SUM($I$2:I194))</f>
        <v/>
      </c>
      <c r="K194" s="88">
        <f>IF($BE194=0,"",SUMIFS(Entries!$D$2:$D$5000,Entries!$C$2:$C$5000,"Income",Entries!$A$2:$A$5000,"&gt;="&amp;EDATE($A194,-11),Entries!$A$2:$A$5000,"&lt;="&amp;$A194)/12)</f>
        <v/>
      </c>
      <c r="L194" s="88">
        <f>IF($BE194=0,"",(SUMIFS(Entries!$D$2:$D$5000,Entries!$C$2:$C$5000,"Actual",Entries!$A$2:$A$5000,"&gt;="&amp;EDATE($A194,-11),Entries!$A$2:$A$5000,"&lt;="&amp;$A194)+SUMIFS(Entries!$D$2:$D$5000,Entries!$C$2:$C$5000,"One-off",Entries!$A$2:$A$5000,"&gt;="&amp;EDATE($A194,-11),Entries!$A$2:$A$5000,"&lt;="&amp;$A194))/12)</f>
        <v/>
      </c>
      <c r="M194" s="70">
        <f>IF($BE194=0,NA(),IFERROR((K194-L194)/K194,0))</f>
        <v/>
      </c>
      <c r="O194" s="88">
        <f>IF(OR(O$1="",$BE194=0),"",SUMIFS(Entries!$D$2:$D$5000,Entries!$C$2:$C$5000,"Actual",Entries!$A$2:$A$5000,$A194,Entries!$B$2:$B$5000,O$1))</f>
        <v/>
      </c>
      <c r="P194" s="88">
        <f>IF(OR(P$1="",$BE194=0),"",SUMIFS(Entries!$D$2:$D$5000,Entries!$C$2:$C$5000,"Actual",Entries!$A$2:$A$5000,$A194,Entries!$B$2:$B$5000,P$1))</f>
        <v/>
      </c>
      <c r="Q194" s="88">
        <f>IF(OR(Q$1="",$BE194=0),"",SUMIFS(Entries!$D$2:$D$5000,Entries!$C$2:$C$5000,"Actual",Entries!$A$2:$A$5000,$A194,Entries!$B$2:$B$5000,Q$1))</f>
        <v/>
      </c>
      <c r="R194" s="88">
        <f>IF(OR(R$1="",$BE194=0),"",SUMIFS(Entries!$D$2:$D$5000,Entries!$C$2:$C$5000,"Actual",Entries!$A$2:$A$5000,$A194,Entries!$B$2:$B$5000,R$1))</f>
        <v/>
      </c>
      <c r="S194" s="88">
        <f>IF(OR(S$1="",$BE194=0),"",SUMIFS(Entries!$D$2:$D$5000,Entries!$C$2:$C$5000,"Actual",Entries!$A$2:$A$5000,$A194,Entries!$B$2:$B$5000,S$1))</f>
        <v/>
      </c>
      <c r="T194" s="88">
        <f>IF(OR(T$1="",$BE194=0),"",SUMIFS(Entries!$D$2:$D$5000,Entries!$C$2:$C$5000,"Actual",Entries!$A$2:$A$5000,$A194,Entries!$B$2:$B$5000,T$1))</f>
        <v/>
      </c>
      <c r="U194" s="88">
        <f>IF(OR(U$1="",$BE194=0),"",SUMIFS(Entries!$D$2:$D$5000,Entries!$C$2:$C$5000,"Actual",Entries!$A$2:$A$5000,$A194,Entries!$B$2:$B$5000,U$1))</f>
        <v/>
      </c>
      <c r="V194" s="88">
        <f>IF(OR(V$1="",$BE194=0),"",SUMIFS(Entries!$D$2:$D$5000,Entries!$C$2:$C$5000,"Actual",Entries!$A$2:$A$5000,$A194,Entries!$B$2:$B$5000,V$1))</f>
        <v/>
      </c>
      <c r="W194" s="88">
        <f>IF(OR(W$1="",$BE194=0),"",SUMIFS(Entries!$D$2:$D$5000,Entries!$C$2:$C$5000,"Actual",Entries!$A$2:$A$5000,$A194,Entries!$B$2:$B$5000,W$1))</f>
        <v/>
      </c>
      <c r="X194" s="88">
        <f>IF(OR(X$1="",$BE194=0),"",SUMIFS(Entries!$D$2:$D$5000,Entries!$C$2:$C$5000,"Actual",Entries!$A$2:$A$5000,$A194,Entries!$B$2:$B$5000,X$1))</f>
        <v/>
      </c>
      <c r="Y194" s="88">
        <f>IF(OR(Y$1="",$BE194=0),"",SUMIFS(Entries!$D$2:$D$5000,Entries!$C$2:$C$5000,"Actual",Entries!$A$2:$A$5000,$A194,Entries!$B$2:$B$5000,Y$1))</f>
        <v/>
      </c>
      <c r="Z194" s="88">
        <f>IF(OR(Z$1="",$BE194=0),"",SUMIFS(Entries!$D$2:$D$5000,Entries!$C$2:$C$5000,"Actual",Entries!$A$2:$A$5000,$A194,Entries!$B$2:$B$5000,Z$1))</f>
        <v/>
      </c>
      <c r="AA194" s="88">
        <f>IF(OR(AA$1="",$BE194=0),"",SUMIFS(Entries!$D$2:$D$5000,Entries!$C$2:$C$5000,"Actual",Entries!$A$2:$A$5000,$A194,Entries!$B$2:$B$5000,AA$1))</f>
        <v/>
      </c>
      <c r="AB194" s="88">
        <f>IF(OR(AB$1="",$BE194=0),"",SUMIFS(Entries!$D$2:$D$5000,Entries!$C$2:$C$5000,"Actual",Entries!$A$2:$A$5000,$A194,Entries!$B$2:$B$5000,AB$1))</f>
        <v/>
      </c>
      <c r="AC194" s="88">
        <f>IF(OR(AC$1="",$BE194=0),"",SUMIFS(Entries!$D$2:$D$5000,Entries!$C$2:$C$5000,"Actual",Entries!$A$2:$A$5000,$A194,Entries!$B$2:$B$5000,AC$1))</f>
        <v/>
      </c>
      <c r="AD194" s="88">
        <f>IF(OR(AD$1="",$BE194=0),"",SUMIFS(Entries!$D$2:$D$5000,Entries!$C$2:$C$5000,"Actual",Entries!$A$2:$A$5000,$A194,Entries!$B$2:$B$5000,AD$1))</f>
        <v/>
      </c>
      <c r="AE194" s="88">
        <f>IF(OR(AE$1="",$BE194=0),"",SUMIFS(Entries!$D$2:$D$5000,Entries!$C$2:$C$5000,"Actual",Entries!$A$2:$A$5000,$A194,Entries!$B$2:$B$5000,AE$1))</f>
        <v/>
      </c>
      <c r="AF194" s="88">
        <f>IF(OR(AF$1="",$BE194=0),"",SUMIFS(Entries!$D$2:$D$5000,Entries!$C$2:$C$5000,"Actual",Entries!$A$2:$A$5000,$A194,Entries!$B$2:$B$5000,AF$1))</f>
        <v/>
      </c>
      <c r="AG194" s="88">
        <f>IF(OR(AG$1="",$BE194=0),"",SUMIFS(Entries!$D$2:$D$5000,Entries!$C$2:$C$5000,"Actual",Entries!$A$2:$A$5000,$A194,Entries!$B$2:$B$5000,AG$1))</f>
        <v/>
      </c>
      <c r="AH194" s="88">
        <f>IF(OR(AH$1="",$BE194=0),"",SUMIFS(Entries!$D$2:$D$5000,Entries!$C$2:$C$5000,"Actual",Entries!$A$2:$A$5000,$A194,Entries!$B$2:$B$5000,AH$1))</f>
        <v/>
      </c>
      <c r="AJ194" s="88">
        <f>IF(OR(AJ$1="",$BE194=0),"",IFERROR(LOOKUP(2,1/((Budgets!$A$2:$A$200=AJ$1)*(Budgets!$B$2:$B$200&lt;=$A194)),Budgets!$C$2:$C$200),0))</f>
        <v/>
      </c>
      <c r="AK194" s="88">
        <f>IF(OR(AK$1="",$BE194=0),"",IFERROR(LOOKUP(2,1/((Budgets!$A$2:$A$200=AK$1)*(Budgets!$B$2:$B$200&lt;=$A194)),Budgets!$C$2:$C$200),0))</f>
        <v/>
      </c>
      <c r="AL194" s="88">
        <f>IF(OR(AL$1="",$BE194=0),"",IFERROR(LOOKUP(2,1/((Budgets!$A$2:$A$200=AL$1)*(Budgets!$B$2:$B$200&lt;=$A194)),Budgets!$C$2:$C$200),0))</f>
        <v/>
      </c>
      <c r="AM194" s="88">
        <f>IF(OR(AM$1="",$BE194=0),"",IFERROR(LOOKUP(2,1/((Budgets!$A$2:$A$200=AM$1)*(Budgets!$B$2:$B$200&lt;=$A194)),Budgets!$C$2:$C$200),0))</f>
        <v/>
      </c>
      <c r="AN194" s="88">
        <f>IF(OR(AN$1="",$BE194=0),"",IFERROR(LOOKUP(2,1/((Budgets!$A$2:$A$200=AN$1)*(Budgets!$B$2:$B$200&lt;=$A194)),Budgets!$C$2:$C$200),0))</f>
        <v/>
      </c>
      <c r="AO194" s="88">
        <f>IF(OR(AO$1="",$BE194=0),"",IFERROR(LOOKUP(2,1/((Budgets!$A$2:$A$200=AO$1)*(Budgets!$B$2:$B$200&lt;=$A194)),Budgets!$C$2:$C$200),0))</f>
        <v/>
      </c>
      <c r="AP194" s="88">
        <f>IF(OR(AP$1="",$BE194=0),"",IFERROR(LOOKUP(2,1/((Budgets!$A$2:$A$200=AP$1)*(Budgets!$B$2:$B$200&lt;=$A194)),Budgets!$C$2:$C$200),0))</f>
        <v/>
      </c>
      <c r="AQ194" s="88">
        <f>IF(OR(AQ$1="",$BE194=0),"",IFERROR(LOOKUP(2,1/((Budgets!$A$2:$A$200=AQ$1)*(Budgets!$B$2:$B$200&lt;=$A194)),Budgets!$C$2:$C$200),0))</f>
        <v/>
      </c>
      <c r="AR194" s="88">
        <f>IF(OR(AR$1="",$BE194=0),"",IFERROR(LOOKUP(2,1/((Budgets!$A$2:$A$200=AR$1)*(Budgets!$B$2:$B$200&lt;=$A194)),Budgets!$C$2:$C$200),0))</f>
        <v/>
      </c>
      <c r="AS194" s="88">
        <f>IF(OR(AS$1="",$BE194=0),"",IFERROR(LOOKUP(2,1/((Budgets!$A$2:$A$200=AS$1)*(Budgets!$B$2:$B$200&lt;=$A194)),Budgets!$C$2:$C$200),0))</f>
        <v/>
      </c>
      <c r="AT194" s="88">
        <f>IF(OR(AT$1="",$BE194=0),"",IFERROR(LOOKUP(2,1/((Budgets!$A$2:$A$200=AT$1)*(Budgets!$B$2:$B$200&lt;=$A194)),Budgets!$C$2:$C$200),0))</f>
        <v/>
      </c>
      <c r="AU194" s="88">
        <f>IF(OR(AU$1="",$BE194=0),"",IFERROR(LOOKUP(2,1/((Budgets!$A$2:$A$200=AU$1)*(Budgets!$B$2:$B$200&lt;=$A194)),Budgets!$C$2:$C$200),0))</f>
        <v/>
      </c>
      <c r="AV194" s="88">
        <f>IF(OR(AV$1="",$BE194=0),"",IFERROR(LOOKUP(2,1/((Budgets!$A$2:$A$200=AV$1)*(Budgets!$B$2:$B$200&lt;=$A194)),Budgets!$C$2:$C$200),0))</f>
        <v/>
      </c>
      <c r="AW194" s="88">
        <f>IF(OR(AW$1="",$BE194=0),"",IFERROR(LOOKUP(2,1/((Budgets!$A$2:$A$200=AW$1)*(Budgets!$B$2:$B$200&lt;=$A194)),Budgets!$C$2:$C$200),0))</f>
        <v/>
      </c>
      <c r="AX194" s="88">
        <f>IF(OR(AX$1="",$BE194=0),"",IFERROR(LOOKUP(2,1/((Budgets!$A$2:$A$200=AX$1)*(Budgets!$B$2:$B$200&lt;=$A194)),Budgets!$C$2:$C$200),0))</f>
        <v/>
      </c>
      <c r="AY194" s="88">
        <f>IF(OR(AY$1="",$BE194=0),"",IFERROR(LOOKUP(2,1/((Budgets!$A$2:$A$200=AY$1)*(Budgets!$B$2:$B$200&lt;=$A194)),Budgets!$C$2:$C$200),0))</f>
        <v/>
      </c>
      <c r="AZ194" s="88">
        <f>IF(OR(AZ$1="",$BE194=0),"",IFERROR(LOOKUP(2,1/((Budgets!$A$2:$A$200=AZ$1)*(Budgets!$B$2:$B$200&lt;=$A194)),Budgets!$C$2:$C$200),0))</f>
        <v/>
      </c>
      <c r="BA194" s="88">
        <f>IF(OR(BA$1="",$BE194=0),"",IFERROR(LOOKUP(2,1/((Budgets!$A$2:$A$200=BA$1)*(Budgets!$B$2:$B$200&lt;=$A194)),Budgets!$C$2:$C$200),0))</f>
        <v/>
      </c>
      <c r="BB194" s="88">
        <f>IF(OR(BB$1="",$BE194=0),"",IFERROR(LOOKUP(2,1/((Budgets!$A$2:$A$200=BB$1)*(Budgets!$B$2:$B$200&lt;=$A194)),Budgets!$C$2:$C$200),0))</f>
        <v/>
      </c>
      <c r="BC194" s="88">
        <f>IF(OR(BC$1="",$BE194=0),"",IFERROR(LOOKUP(2,1/((Budgets!$A$2:$A$200=BC$1)*(Budgets!$B$2:$B$200&lt;=$A194)),Budgets!$C$2:$C$200),0))</f>
        <v/>
      </c>
      <c r="BE194" s="67">
        <f>COUNTIFS(Entries!$A$2:$A$5000,$A194)</f>
        <v/>
      </c>
    </row>
    <row r="195" ht="15" customHeight="1" s="43">
      <c r="A195" s="87" t="n">
        <v>45323</v>
      </c>
      <c r="B195" s="88">
        <f>IF($BE195=0,NA(),SUMIFS(Entries!$D$2:$D$5000,Entries!$C$2:$C$5000,"Income",Entries!$A$2:$A$5000,$A195))</f>
        <v/>
      </c>
      <c r="C195" s="88">
        <f>IF($BE195=0,"",SUMIFS(Entries!$D$2:$D$5000,Entries!$C$2:$C$5000,"Actual",Entries!$A$2:$A$5000,$A195))</f>
        <v/>
      </c>
      <c r="D195" s="88">
        <f>IF($BE195=0,"",SUMIFS(Entries!$D$2:$D$5000,Entries!$C$2:$C$5000,"One-off",Entries!$A$2:$A$5000,$A195))</f>
        <v/>
      </c>
      <c r="E195" s="88">
        <f>IF($BE195=0,NA(),C195+D195)</f>
        <v/>
      </c>
      <c r="F195" s="88">
        <f>IF($BE195=0,"",SUM(AJ195:BC195))</f>
        <v/>
      </c>
      <c r="G195" s="88">
        <f>IF($BE195=0,"",B195-E195)</f>
        <v/>
      </c>
      <c r="H195" s="88">
        <f>IF($BE195=0,"",SUM($G$2:G195))</f>
        <v/>
      </c>
      <c r="I195" s="88">
        <f>IF($BE195=0,"",SUMIFS(Entries!$F$2:$F$5000,Entries!$A$2:$A$5000,$A195))</f>
        <v/>
      </c>
      <c r="J195" s="88">
        <f>IF($BE195=0,NA(),H195+SUM($I$2:I195))</f>
        <v/>
      </c>
      <c r="K195" s="88">
        <f>IF($BE195=0,"",SUMIFS(Entries!$D$2:$D$5000,Entries!$C$2:$C$5000,"Income",Entries!$A$2:$A$5000,"&gt;="&amp;EDATE($A195,-11),Entries!$A$2:$A$5000,"&lt;="&amp;$A195)/12)</f>
        <v/>
      </c>
      <c r="L195" s="88">
        <f>IF($BE195=0,"",(SUMIFS(Entries!$D$2:$D$5000,Entries!$C$2:$C$5000,"Actual",Entries!$A$2:$A$5000,"&gt;="&amp;EDATE($A195,-11),Entries!$A$2:$A$5000,"&lt;="&amp;$A195)+SUMIFS(Entries!$D$2:$D$5000,Entries!$C$2:$C$5000,"One-off",Entries!$A$2:$A$5000,"&gt;="&amp;EDATE($A195,-11),Entries!$A$2:$A$5000,"&lt;="&amp;$A195))/12)</f>
        <v/>
      </c>
      <c r="M195" s="70">
        <f>IF($BE195=0,NA(),IFERROR((K195-L195)/K195,0))</f>
        <v/>
      </c>
      <c r="O195" s="88">
        <f>IF(OR(O$1="",$BE195=0),"",SUMIFS(Entries!$D$2:$D$5000,Entries!$C$2:$C$5000,"Actual",Entries!$A$2:$A$5000,$A195,Entries!$B$2:$B$5000,O$1))</f>
        <v/>
      </c>
      <c r="P195" s="88">
        <f>IF(OR(P$1="",$BE195=0),"",SUMIFS(Entries!$D$2:$D$5000,Entries!$C$2:$C$5000,"Actual",Entries!$A$2:$A$5000,$A195,Entries!$B$2:$B$5000,P$1))</f>
        <v/>
      </c>
      <c r="Q195" s="88">
        <f>IF(OR(Q$1="",$BE195=0),"",SUMIFS(Entries!$D$2:$D$5000,Entries!$C$2:$C$5000,"Actual",Entries!$A$2:$A$5000,$A195,Entries!$B$2:$B$5000,Q$1))</f>
        <v/>
      </c>
      <c r="R195" s="88">
        <f>IF(OR(R$1="",$BE195=0),"",SUMIFS(Entries!$D$2:$D$5000,Entries!$C$2:$C$5000,"Actual",Entries!$A$2:$A$5000,$A195,Entries!$B$2:$B$5000,R$1))</f>
        <v/>
      </c>
      <c r="S195" s="88">
        <f>IF(OR(S$1="",$BE195=0),"",SUMIFS(Entries!$D$2:$D$5000,Entries!$C$2:$C$5000,"Actual",Entries!$A$2:$A$5000,$A195,Entries!$B$2:$B$5000,S$1))</f>
        <v/>
      </c>
      <c r="T195" s="88">
        <f>IF(OR(T$1="",$BE195=0),"",SUMIFS(Entries!$D$2:$D$5000,Entries!$C$2:$C$5000,"Actual",Entries!$A$2:$A$5000,$A195,Entries!$B$2:$B$5000,T$1))</f>
        <v/>
      </c>
      <c r="U195" s="88">
        <f>IF(OR(U$1="",$BE195=0),"",SUMIFS(Entries!$D$2:$D$5000,Entries!$C$2:$C$5000,"Actual",Entries!$A$2:$A$5000,$A195,Entries!$B$2:$B$5000,U$1))</f>
        <v/>
      </c>
      <c r="V195" s="88">
        <f>IF(OR(V$1="",$BE195=0),"",SUMIFS(Entries!$D$2:$D$5000,Entries!$C$2:$C$5000,"Actual",Entries!$A$2:$A$5000,$A195,Entries!$B$2:$B$5000,V$1))</f>
        <v/>
      </c>
      <c r="W195" s="88">
        <f>IF(OR(W$1="",$BE195=0),"",SUMIFS(Entries!$D$2:$D$5000,Entries!$C$2:$C$5000,"Actual",Entries!$A$2:$A$5000,$A195,Entries!$B$2:$B$5000,W$1))</f>
        <v/>
      </c>
      <c r="X195" s="88">
        <f>IF(OR(X$1="",$BE195=0),"",SUMIFS(Entries!$D$2:$D$5000,Entries!$C$2:$C$5000,"Actual",Entries!$A$2:$A$5000,$A195,Entries!$B$2:$B$5000,X$1))</f>
        <v/>
      </c>
      <c r="Y195" s="88">
        <f>IF(OR(Y$1="",$BE195=0),"",SUMIFS(Entries!$D$2:$D$5000,Entries!$C$2:$C$5000,"Actual",Entries!$A$2:$A$5000,$A195,Entries!$B$2:$B$5000,Y$1))</f>
        <v/>
      </c>
      <c r="Z195" s="88">
        <f>IF(OR(Z$1="",$BE195=0),"",SUMIFS(Entries!$D$2:$D$5000,Entries!$C$2:$C$5000,"Actual",Entries!$A$2:$A$5000,$A195,Entries!$B$2:$B$5000,Z$1))</f>
        <v/>
      </c>
      <c r="AA195" s="88">
        <f>IF(OR(AA$1="",$BE195=0),"",SUMIFS(Entries!$D$2:$D$5000,Entries!$C$2:$C$5000,"Actual",Entries!$A$2:$A$5000,$A195,Entries!$B$2:$B$5000,AA$1))</f>
        <v/>
      </c>
      <c r="AB195" s="88">
        <f>IF(OR(AB$1="",$BE195=0),"",SUMIFS(Entries!$D$2:$D$5000,Entries!$C$2:$C$5000,"Actual",Entries!$A$2:$A$5000,$A195,Entries!$B$2:$B$5000,AB$1))</f>
        <v/>
      </c>
      <c r="AC195" s="88">
        <f>IF(OR(AC$1="",$BE195=0),"",SUMIFS(Entries!$D$2:$D$5000,Entries!$C$2:$C$5000,"Actual",Entries!$A$2:$A$5000,$A195,Entries!$B$2:$B$5000,AC$1))</f>
        <v/>
      </c>
      <c r="AD195" s="88">
        <f>IF(OR(AD$1="",$BE195=0),"",SUMIFS(Entries!$D$2:$D$5000,Entries!$C$2:$C$5000,"Actual",Entries!$A$2:$A$5000,$A195,Entries!$B$2:$B$5000,AD$1))</f>
        <v/>
      </c>
      <c r="AE195" s="88">
        <f>IF(OR(AE$1="",$BE195=0),"",SUMIFS(Entries!$D$2:$D$5000,Entries!$C$2:$C$5000,"Actual",Entries!$A$2:$A$5000,$A195,Entries!$B$2:$B$5000,AE$1))</f>
        <v/>
      </c>
      <c r="AF195" s="88">
        <f>IF(OR(AF$1="",$BE195=0),"",SUMIFS(Entries!$D$2:$D$5000,Entries!$C$2:$C$5000,"Actual",Entries!$A$2:$A$5000,$A195,Entries!$B$2:$B$5000,AF$1))</f>
        <v/>
      </c>
      <c r="AG195" s="88">
        <f>IF(OR(AG$1="",$BE195=0),"",SUMIFS(Entries!$D$2:$D$5000,Entries!$C$2:$C$5000,"Actual",Entries!$A$2:$A$5000,$A195,Entries!$B$2:$B$5000,AG$1))</f>
        <v/>
      </c>
      <c r="AH195" s="88">
        <f>IF(OR(AH$1="",$BE195=0),"",SUMIFS(Entries!$D$2:$D$5000,Entries!$C$2:$C$5000,"Actual",Entries!$A$2:$A$5000,$A195,Entries!$B$2:$B$5000,AH$1))</f>
        <v/>
      </c>
      <c r="AJ195" s="88">
        <f>IF(OR(AJ$1="",$BE195=0),"",IFERROR(LOOKUP(2,1/((Budgets!$A$2:$A$200=AJ$1)*(Budgets!$B$2:$B$200&lt;=$A195)),Budgets!$C$2:$C$200),0))</f>
        <v/>
      </c>
      <c r="AK195" s="88">
        <f>IF(OR(AK$1="",$BE195=0),"",IFERROR(LOOKUP(2,1/((Budgets!$A$2:$A$200=AK$1)*(Budgets!$B$2:$B$200&lt;=$A195)),Budgets!$C$2:$C$200),0))</f>
        <v/>
      </c>
      <c r="AL195" s="88">
        <f>IF(OR(AL$1="",$BE195=0),"",IFERROR(LOOKUP(2,1/((Budgets!$A$2:$A$200=AL$1)*(Budgets!$B$2:$B$200&lt;=$A195)),Budgets!$C$2:$C$200),0))</f>
        <v/>
      </c>
      <c r="AM195" s="88">
        <f>IF(OR(AM$1="",$BE195=0),"",IFERROR(LOOKUP(2,1/((Budgets!$A$2:$A$200=AM$1)*(Budgets!$B$2:$B$200&lt;=$A195)),Budgets!$C$2:$C$200),0))</f>
        <v/>
      </c>
      <c r="AN195" s="88">
        <f>IF(OR(AN$1="",$BE195=0),"",IFERROR(LOOKUP(2,1/((Budgets!$A$2:$A$200=AN$1)*(Budgets!$B$2:$B$200&lt;=$A195)),Budgets!$C$2:$C$200),0))</f>
        <v/>
      </c>
      <c r="AO195" s="88">
        <f>IF(OR(AO$1="",$BE195=0),"",IFERROR(LOOKUP(2,1/((Budgets!$A$2:$A$200=AO$1)*(Budgets!$B$2:$B$200&lt;=$A195)),Budgets!$C$2:$C$200),0))</f>
        <v/>
      </c>
      <c r="AP195" s="88">
        <f>IF(OR(AP$1="",$BE195=0),"",IFERROR(LOOKUP(2,1/((Budgets!$A$2:$A$200=AP$1)*(Budgets!$B$2:$B$200&lt;=$A195)),Budgets!$C$2:$C$200),0))</f>
        <v/>
      </c>
      <c r="AQ195" s="88">
        <f>IF(OR(AQ$1="",$BE195=0),"",IFERROR(LOOKUP(2,1/((Budgets!$A$2:$A$200=AQ$1)*(Budgets!$B$2:$B$200&lt;=$A195)),Budgets!$C$2:$C$200),0))</f>
        <v/>
      </c>
      <c r="AR195" s="88">
        <f>IF(OR(AR$1="",$BE195=0),"",IFERROR(LOOKUP(2,1/((Budgets!$A$2:$A$200=AR$1)*(Budgets!$B$2:$B$200&lt;=$A195)),Budgets!$C$2:$C$200),0))</f>
        <v/>
      </c>
      <c r="AS195" s="88">
        <f>IF(OR(AS$1="",$BE195=0),"",IFERROR(LOOKUP(2,1/((Budgets!$A$2:$A$200=AS$1)*(Budgets!$B$2:$B$200&lt;=$A195)),Budgets!$C$2:$C$200),0))</f>
        <v/>
      </c>
      <c r="AT195" s="88">
        <f>IF(OR(AT$1="",$BE195=0),"",IFERROR(LOOKUP(2,1/((Budgets!$A$2:$A$200=AT$1)*(Budgets!$B$2:$B$200&lt;=$A195)),Budgets!$C$2:$C$200),0))</f>
        <v/>
      </c>
      <c r="AU195" s="88">
        <f>IF(OR(AU$1="",$BE195=0),"",IFERROR(LOOKUP(2,1/((Budgets!$A$2:$A$200=AU$1)*(Budgets!$B$2:$B$200&lt;=$A195)),Budgets!$C$2:$C$200),0))</f>
        <v/>
      </c>
      <c r="AV195" s="88">
        <f>IF(OR(AV$1="",$BE195=0),"",IFERROR(LOOKUP(2,1/((Budgets!$A$2:$A$200=AV$1)*(Budgets!$B$2:$B$200&lt;=$A195)),Budgets!$C$2:$C$200),0))</f>
        <v/>
      </c>
      <c r="AW195" s="88">
        <f>IF(OR(AW$1="",$BE195=0),"",IFERROR(LOOKUP(2,1/((Budgets!$A$2:$A$200=AW$1)*(Budgets!$B$2:$B$200&lt;=$A195)),Budgets!$C$2:$C$200),0))</f>
        <v/>
      </c>
      <c r="AX195" s="88">
        <f>IF(OR(AX$1="",$BE195=0),"",IFERROR(LOOKUP(2,1/((Budgets!$A$2:$A$200=AX$1)*(Budgets!$B$2:$B$200&lt;=$A195)),Budgets!$C$2:$C$200),0))</f>
        <v/>
      </c>
      <c r="AY195" s="88">
        <f>IF(OR(AY$1="",$BE195=0),"",IFERROR(LOOKUP(2,1/((Budgets!$A$2:$A$200=AY$1)*(Budgets!$B$2:$B$200&lt;=$A195)),Budgets!$C$2:$C$200),0))</f>
        <v/>
      </c>
      <c r="AZ195" s="88">
        <f>IF(OR(AZ$1="",$BE195=0),"",IFERROR(LOOKUP(2,1/((Budgets!$A$2:$A$200=AZ$1)*(Budgets!$B$2:$B$200&lt;=$A195)),Budgets!$C$2:$C$200),0))</f>
        <v/>
      </c>
      <c r="BA195" s="88">
        <f>IF(OR(BA$1="",$BE195=0),"",IFERROR(LOOKUP(2,1/((Budgets!$A$2:$A$200=BA$1)*(Budgets!$B$2:$B$200&lt;=$A195)),Budgets!$C$2:$C$200),0))</f>
        <v/>
      </c>
      <c r="BB195" s="88">
        <f>IF(OR(BB$1="",$BE195=0),"",IFERROR(LOOKUP(2,1/((Budgets!$A$2:$A$200=BB$1)*(Budgets!$B$2:$B$200&lt;=$A195)),Budgets!$C$2:$C$200),0))</f>
        <v/>
      </c>
      <c r="BC195" s="88">
        <f>IF(OR(BC$1="",$BE195=0),"",IFERROR(LOOKUP(2,1/((Budgets!$A$2:$A$200=BC$1)*(Budgets!$B$2:$B$200&lt;=$A195)),Budgets!$C$2:$C$200),0))</f>
        <v/>
      </c>
      <c r="BE195" s="67">
        <f>COUNTIFS(Entries!$A$2:$A$5000,$A195)</f>
        <v/>
      </c>
    </row>
    <row r="196" ht="15" customHeight="1" s="43">
      <c r="A196" s="87" t="n">
        <v>45352</v>
      </c>
      <c r="B196" s="88">
        <f>IF($BE196=0,NA(),SUMIFS(Entries!$D$2:$D$5000,Entries!$C$2:$C$5000,"Income",Entries!$A$2:$A$5000,$A196))</f>
        <v/>
      </c>
      <c r="C196" s="88">
        <f>IF($BE196=0,"",SUMIFS(Entries!$D$2:$D$5000,Entries!$C$2:$C$5000,"Actual",Entries!$A$2:$A$5000,$A196))</f>
        <v/>
      </c>
      <c r="D196" s="88">
        <f>IF($BE196=0,"",SUMIFS(Entries!$D$2:$D$5000,Entries!$C$2:$C$5000,"One-off",Entries!$A$2:$A$5000,$A196))</f>
        <v/>
      </c>
      <c r="E196" s="88">
        <f>IF($BE196=0,NA(),C196+D196)</f>
        <v/>
      </c>
      <c r="F196" s="88">
        <f>IF($BE196=0,"",SUM(AJ196:BC196))</f>
        <v/>
      </c>
      <c r="G196" s="88">
        <f>IF($BE196=0,"",B196-E196)</f>
        <v/>
      </c>
      <c r="H196" s="88">
        <f>IF($BE196=0,"",SUM($G$2:G196))</f>
        <v/>
      </c>
      <c r="I196" s="88">
        <f>IF($BE196=0,"",SUMIFS(Entries!$F$2:$F$5000,Entries!$A$2:$A$5000,$A196))</f>
        <v/>
      </c>
      <c r="J196" s="88">
        <f>IF($BE196=0,NA(),H196+SUM($I$2:I196))</f>
        <v/>
      </c>
      <c r="K196" s="88">
        <f>IF($BE196=0,"",SUMIFS(Entries!$D$2:$D$5000,Entries!$C$2:$C$5000,"Income",Entries!$A$2:$A$5000,"&gt;="&amp;EDATE($A196,-11),Entries!$A$2:$A$5000,"&lt;="&amp;$A196)/12)</f>
        <v/>
      </c>
      <c r="L196" s="88">
        <f>IF($BE196=0,"",(SUMIFS(Entries!$D$2:$D$5000,Entries!$C$2:$C$5000,"Actual",Entries!$A$2:$A$5000,"&gt;="&amp;EDATE($A196,-11),Entries!$A$2:$A$5000,"&lt;="&amp;$A196)+SUMIFS(Entries!$D$2:$D$5000,Entries!$C$2:$C$5000,"One-off",Entries!$A$2:$A$5000,"&gt;="&amp;EDATE($A196,-11),Entries!$A$2:$A$5000,"&lt;="&amp;$A196))/12)</f>
        <v/>
      </c>
      <c r="M196" s="70">
        <f>IF($BE196=0,NA(),IFERROR((K196-L196)/K196,0))</f>
        <v/>
      </c>
      <c r="O196" s="88">
        <f>IF(OR(O$1="",$BE196=0),"",SUMIFS(Entries!$D$2:$D$5000,Entries!$C$2:$C$5000,"Actual",Entries!$A$2:$A$5000,$A196,Entries!$B$2:$B$5000,O$1))</f>
        <v/>
      </c>
      <c r="P196" s="88">
        <f>IF(OR(P$1="",$BE196=0),"",SUMIFS(Entries!$D$2:$D$5000,Entries!$C$2:$C$5000,"Actual",Entries!$A$2:$A$5000,$A196,Entries!$B$2:$B$5000,P$1))</f>
        <v/>
      </c>
      <c r="Q196" s="88">
        <f>IF(OR(Q$1="",$BE196=0),"",SUMIFS(Entries!$D$2:$D$5000,Entries!$C$2:$C$5000,"Actual",Entries!$A$2:$A$5000,$A196,Entries!$B$2:$B$5000,Q$1))</f>
        <v/>
      </c>
      <c r="R196" s="88">
        <f>IF(OR(R$1="",$BE196=0),"",SUMIFS(Entries!$D$2:$D$5000,Entries!$C$2:$C$5000,"Actual",Entries!$A$2:$A$5000,$A196,Entries!$B$2:$B$5000,R$1))</f>
        <v/>
      </c>
      <c r="S196" s="88">
        <f>IF(OR(S$1="",$BE196=0),"",SUMIFS(Entries!$D$2:$D$5000,Entries!$C$2:$C$5000,"Actual",Entries!$A$2:$A$5000,$A196,Entries!$B$2:$B$5000,S$1))</f>
        <v/>
      </c>
      <c r="T196" s="88">
        <f>IF(OR(T$1="",$BE196=0),"",SUMIFS(Entries!$D$2:$D$5000,Entries!$C$2:$C$5000,"Actual",Entries!$A$2:$A$5000,$A196,Entries!$B$2:$B$5000,T$1))</f>
        <v/>
      </c>
      <c r="U196" s="88">
        <f>IF(OR(U$1="",$BE196=0),"",SUMIFS(Entries!$D$2:$D$5000,Entries!$C$2:$C$5000,"Actual",Entries!$A$2:$A$5000,$A196,Entries!$B$2:$B$5000,U$1))</f>
        <v/>
      </c>
      <c r="V196" s="88">
        <f>IF(OR(V$1="",$BE196=0),"",SUMIFS(Entries!$D$2:$D$5000,Entries!$C$2:$C$5000,"Actual",Entries!$A$2:$A$5000,$A196,Entries!$B$2:$B$5000,V$1))</f>
        <v/>
      </c>
      <c r="W196" s="88">
        <f>IF(OR(W$1="",$BE196=0),"",SUMIFS(Entries!$D$2:$D$5000,Entries!$C$2:$C$5000,"Actual",Entries!$A$2:$A$5000,$A196,Entries!$B$2:$B$5000,W$1))</f>
        <v/>
      </c>
      <c r="X196" s="88">
        <f>IF(OR(X$1="",$BE196=0),"",SUMIFS(Entries!$D$2:$D$5000,Entries!$C$2:$C$5000,"Actual",Entries!$A$2:$A$5000,$A196,Entries!$B$2:$B$5000,X$1))</f>
        <v/>
      </c>
      <c r="Y196" s="88">
        <f>IF(OR(Y$1="",$BE196=0),"",SUMIFS(Entries!$D$2:$D$5000,Entries!$C$2:$C$5000,"Actual",Entries!$A$2:$A$5000,$A196,Entries!$B$2:$B$5000,Y$1))</f>
        <v/>
      </c>
      <c r="Z196" s="88">
        <f>IF(OR(Z$1="",$BE196=0),"",SUMIFS(Entries!$D$2:$D$5000,Entries!$C$2:$C$5000,"Actual",Entries!$A$2:$A$5000,$A196,Entries!$B$2:$B$5000,Z$1))</f>
        <v/>
      </c>
      <c r="AA196" s="88">
        <f>IF(OR(AA$1="",$BE196=0),"",SUMIFS(Entries!$D$2:$D$5000,Entries!$C$2:$C$5000,"Actual",Entries!$A$2:$A$5000,$A196,Entries!$B$2:$B$5000,AA$1))</f>
        <v/>
      </c>
      <c r="AB196" s="88">
        <f>IF(OR(AB$1="",$BE196=0),"",SUMIFS(Entries!$D$2:$D$5000,Entries!$C$2:$C$5000,"Actual",Entries!$A$2:$A$5000,$A196,Entries!$B$2:$B$5000,AB$1))</f>
        <v/>
      </c>
      <c r="AC196" s="88">
        <f>IF(OR(AC$1="",$BE196=0),"",SUMIFS(Entries!$D$2:$D$5000,Entries!$C$2:$C$5000,"Actual",Entries!$A$2:$A$5000,$A196,Entries!$B$2:$B$5000,AC$1))</f>
        <v/>
      </c>
      <c r="AD196" s="88">
        <f>IF(OR(AD$1="",$BE196=0),"",SUMIFS(Entries!$D$2:$D$5000,Entries!$C$2:$C$5000,"Actual",Entries!$A$2:$A$5000,$A196,Entries!$B$2:$B$5000,AD$1))</f>
        <v/>
      </c>
      <c r="AE196" s="88">
        <f>IF(OR(AE$1="",$BE196=0),"",SUMIFS(Entries!$D$2:$D$5000,Entries!$C$2:$C$5000,"Actual",Entries!$A$2:$A$5000,$A196,Entries!$B$2:$B$5000,AE$1))</f>
        <v/>
      </c>
      <c r="AF196" s="88">
        <f>IF(OR(AF$1="",$BE196=0),"",SUMIFS(Entries!$D$2:$D$5000,Entries!$C$2:$C$5000,"Actual",Entries!$A$2:$A$5000,$A196,Entries!$B$2:$B$5000,AF$1))</f>
        <v/>
      </c>
      <c r="AG196" s="88">
        <f>IF(OR(AG$1="",$BE196=0),"",SUMIFS(Entries!$D$2:$D$5000,Entries!$C$2:$C$5000,"Actual",Entries!$A$2:$A$5000,$A196,Entries!$B$2:$B$5000,AG$1))</f>
        <v/>
      </c>
      <c r="AH196" s="88">
        <f>IF(OR(AH$1="",$BE196=0),"",SUMIFS(Entries!$D$2:$D$5000,Entries!$C$2:$C$5000,"Actual",Entries!$A$2:$A$5000,$A196,Entries!$B$2:$B$5000,AH$1))</f>
        <v/>
      </c>
      <c r="AJ196" s="88">
        <f>IF(OR(AJ$1="",$BE196=0),"",IFERROR(LOOKUP(2,1/((Budgets!$A$2:$A$200=AJ$1)*(Budgets!$B$2:$B$200&lt;=$A196)),Budgets!$C$2:$C$200),0))</f>
        <v/>
      </c>
      <c r="AK196" s="88">
        <f>IF(OR(AK$1="",$BE196=0),"",IFERROR(LOOKUP(2,1/((Budgets!$A$2:$A$200=AK$1)*(Budgets!$B$2:$B$200&lt;=$A196)),Budgets!$C$2:$C$200),0))</f>
        <v/>
      </c>
      <c r="AL196" s="88">
        <f>IF(OR(AL$1="",$BE196=0),"",IFERROR(LOOKUP(2,1/((Budgets!$A$2:$A$200=AL$1)*(Budgets!$B$2:$B$200&lt;=$A196)),Budgets!$C$2:$C$200),0))</f>
        <v/>
      </c>
      <c r="AM196" s="88">
        <f>IF(OR(AM$1="",$BE196=0),"",IFERROR(LOOKUP(2,1/((Budgets!$A$2:$A$200=AM$1)*(Budgets!$B$2:$B$200&lt;=$A196)),Budgets!$C$2:$C$200),0))</f>
        <v/>
      </c>
      <c r="AN196" s="88">
        <f>IF(OR(AN$1="",$BE196=0),"",IFERROR(LOOKUP(2,1/((Budgets!$A$2:$A$200=AN$1)*(Budgets!$B$2:$B$200&lt;=$A196)),Budgets!$C$2:$C$200),0))</f>
        <v/>
      </c>
      <c r="AO196" s="88">
        <f>IF(OR(AO$1="",$BE196=0),"",IFERROR(LOOKUP(2,1/((Budgets!$A$2:$A$200=AO$1)*(Budgets!$B$2:$B$200&lt;=$A196)),Budgets!$C$2:$C$200),0))</f>
        <v/>
      </c>
      <c r="AP196" s="88">
        <f>IF(OR(AP$1="",$BE196=0),"",IFERROR(LOOKUP(2,1/((Budgets!$A$2:$A$200=AP$1)*(Budgets!$B$2:$B$200&lt;=$A196)),Budgets!$C$2:$C$200),0))</f>
        <v/>
      </c>
      <c r="AQ196" s="88">
        <f>IF(OR(AQ$1="",$BE196=0),"",IFERROR(LOOKUP(2,1/((Budgets!$A$2:$A$200=AQ$1)*(Budgets!$B$2:$B$200&lt;=$A196)),Budgets!$C$2:$C$200),0))</f>
        <v/>
      </c>
      <c r="AR196" s="88">
        <f>IF(OR(AR$1="",$BE196=0),"",IFERROR(LOOKUP(2,1/((Budgets!$A$2:$A$200=AR$1)*(Budgets!$B$2:$B$200&lt;=$A196)),Budgets!$C$2:$C$200),0))</f>
        <v/>
      </c>
      <c r="AS196" s="88">
        <f>IF(OR(AS$1="",$BE196=0),"",IFERROR(LOOKUP(2,1/((Budgets!$A$2:$A$200=AS$1)*(Budgets!$B$2:$B$200&lt;=$A196)),Budgets!$C$2:$C$200),0))</f>
        <v/>
      </c>
      <c r="AT196" s="88">
        <f>IF(OR(AT$1="",$BE196=0),"",IFERROR(LOOKUP(2,1/((Budgets!$A$2:$A$200=AT$1)*(Budgets!$B$2:$B$200&lt;=$A196)),Budgets!$C$2:$C$200),0))</f>
        <v/>
      </c>
      <c r="AU196" s="88">
        <f>IF(OR(AU$1="",$BE196=0),"",IFERROR(LOOKUP(2,1/((Budgets!$A$2:$A$200=AU$1)*(Budgets!$B$2:$B$200&lt;=$A196)),Budgets!$C$2:$C$200),0))</f>
        <v/>
      </c>
      <c r="AV196" s="88">
        <f>IF(OR(AV$1="",$BE196=0),"",IFERROR(LOOKUP(2,1/((Budgets!$A$2:$A$200=AV$1)*(Budgets!$B$2:$B$200&lt;=$A196)),Budgets!$C$2:$C$200),0))</f>
        <v/>
      </c>
      <c r="AW196" s="88">
        <f>IF(OR(AW$1="",$BE196=0),"",IFERROR(LOOKUP(2,1/((Budgets!$A$2:$A$200=AW$1)*(Budgets!$B$2:$B$200&lt;=$A196)),Budgets!$C$2:$C$200),0))</f>
        <v/>
      </c>
      <c r="AX196" s="88">
        <f>IF(OR(AX$1="",$BE196=0),"",IFERROR(LOOKUP(2,1/((Budgets!$A$2:$A$200=AX$1)*(Budgets!$B$2:$B$200&lt;=$A196)),Budgets!$C$2:$C$200),0))</f>
        <v/>
      </c>
      <c r="AY196" s="88">
        <f>IF(OR(AY$1="",$BE196=0),"",IFERROR(LOOKUP(2,1/((Budgets!$A$2:$A$200=AY$1)*(Budgets!$B$2:$B$200&lt;=$A196)),Budgets!$C$2:$C$200),0))</f>
        <v/>
      </c>
      <c r="AZ196" s="88">
        <f>IF(OR(AZ$1="",$BE196=0),"",IFERROR(LOOKUP(2,1/((Budgets!$A$2:$A$200=AZ$1)*(Budgets!$B$2:$B$200&lt;=$A196)),Budgets!$C$2:$C$200),0))</f>
        <v/>
      </c>
      <c r="BA196" s="88">
        <f>IF(OR(BA$1="",$BE196=0),"",IFERROR(LOOKUP(2,1/((Budgets!$A$2:$A$200=BA$1)*(Budgets!$B$2:$B$200&lt;=$A196)),Budgets!$C$2:$C$200),0))</f>
        <v/>
      </c>
      <c r="BB196" s="88">
        <f>IF(OR(BB$1="",$BE196=0),"",IFERROR(LOOKUP(2,1/((Budgets!$A$2:$A$200=BB$1)*(Budgets!$B$2:$B$200&lt;=$A196)),Budgets!$C$2:$C$200),0))</f>
        <v/>
      </c>
      <c r="BC196" s="88">
        <f>IF(OR(BC$1="",$BE196=0),"",IFERROR(LOOKUP(2,1/((Budgets!$A$2:$A$200=BC$1)*(Budgets!$B$2:$B$200&lt;=$A196)),Budgets!$C$2:$C$200),0))</f>
        <v/>
      </c>
      <c r="BE196" s="67">
        <f>COUNTIFS(Entries!$A$2:$A$5000,$A196)</f>
        <v/>
      </c>
    </row>
    <row r="197" ht="15" customHeight="1" s="43">
      <c r="A197" s="87" t="n">
        <v>45383</v>
      </c>
      <c r="B197" s="88">
        <f>IF($BE197=0,NA(),SUMIFS(Entries!$D$2:$D$5000,Entries!$C$2:$C$5000,"Income",Entries!$A$2:$A$5000,$A197))</f>
        <v/>
      </c>
      <c r="C197" s="88">
        <f>IF($BE197=0,"",SUMIFS(Entries!$D$2:$D$5000,Entries!$C$2:$C$5000,"Actual",Entries!$A$2:$A$5000,$A197))</f>
        <v/>
      </c>
      <c r="D197" s="88">
        <f>IF($BE197=0,"",SUMIFS(Entries!$D$2:$D$5000,Entries!$C$2:$C$5000,"One-off",Entries!$A$2:$A$5000,$A197))</f>
        <v/>
      </c>
      <c r="E197" s="88">
        <f>IF($BE197=0,NA(),C197+D197)</f>
        <v/>
      </c>
      <c r="F197" s="88">
        <f>IF($BE197=0,"",SUM(AJ197:BC197))</f>
        <v/>
      </c>
      <c r="G197" s="88">
        <f>IF($BE197=0,"",B197-E197)</f>
        <v/>
      </c>
      <c r="H197" s="88">
        <f>IF($BE197=0,"",SUM($G$2:G197))</f>
        <v/>
      </c>
      <c r="I197" s="88">
        <f>IF($BE197=0,"",SUMIFS(Entries!$F$2:$F$5000,Entries!$A$2:$A$5000,$A197))</f>
        <v/>
      </c>
      <c r="J197" s="88">
        <f>IF($BE197=0,NA(),H197+SUM($I$2:I197))</f>
        <v/>
      </c>
      <c r="K197" s="88">
        <f>IF($BE197=0,"",SUMIFS(Entries!$D$2:$D$5000,Entries!$C$2:$C$5000,"Income",Entries!$A$2:$A$5000,"&gt;="&amp;EDATE($A197,-11),Entries!$A$2:$A$5000,"&lt;="&amp;$A197)/12)</f>
        <v/>
      </c>
      <c r="L197" s="88">
        <f>IF($BE197=0,"",(SUMIFS(Entries!$D$2:$D$5000,Entries!$C$2:$C$5000,"Actual",Entries!$A$2:$A$5000,"&gt;="&amp;EDATE($A197,-11),Entries!$A$2:$A$5000,"&lt;="&amp;$A197)+SUMIFS(Entries!$D$2:$D$5000,Entries!$C$2:$C$5000,"One-off",Entries!$A$2:$A$5000,"&gt;="&amp;EDATE($A197,-11),Entries!$A$2:$A$5000,"&lt;="&amp;$A197))/12)</f>
        <v/>
      </c>
      <c r="M197" s="70">
        <f>IF($BE197=0,NA(),IFERROR((K197-L197)/K197,0))</f>
        <v/>
      </c>
      <c r="O197" s="88">
        <f>IF(OR(O$1="",$BE197=0),"",SUMIFS(Entries!$D$2:$D$5000,Entries!$C$2:$C$5000,"Actual",Entries!$A$2:$A$5000,$A197,Entries!$B$2:$B$5000,O$1))</f>
        <v/>
      </c>
      <c r="P197" s="88">
        <f>IF(OR(P$1="",$BE197=0),"",SUMIFS(Entries!$D$2:$D$5000,Entries!$C$2:$C$5000,"Actual",Entries!$A$2:$A$5000,$A197,Entries!$B$2:$B$5000,P$1))</f>
        <v/>
      </c>
      <c r="Q197" s="88">
        <f>IF(OR(Q$1="",$BE197=0),"",SUMIFS(Entries!$D$2:$D$5000,Entries!$C$2:$C$5000,"Actual",Entries!$A$2:$A$5000,$A197,Entries!$B$2:$B$5000,Q$1))</f>
        <v/>
      </c>
      <c r="R197" s="88">
        <f>IF(OR(R$1="",$BE197=0),"",SUMIFS(Entries!$D$2:$D$5000,Entries!$C$2:$C$5000,"Actual",Entries!$A$2:$A$5000,$A197,Entries!$B$2:$B$5000,R$1))</f>
        <v/>
      </c>
      <c r="S197" s="88">
        <f>IF(OR(S$1="",$BE197=0),"",SUMIFS(Entries!$D$2:$D$5000,Entries!$C$2:$C$5000,"Actual",Entries!$A$2:$A$5000,$A197,Entries!$B$2:$B$5000,S$1))</f>
        <v/>
      </c>
      <c r="T197" s="88">
        <f>IF(OR(T$1="",$BE197=0),"",SUMIFS(Entries!$D$2:$D$5000,Entries!$C$2:$C$5000,"Actual",Entries!$A$2:$A$5000,$A197,Entries!$B$2:$B$5000,T$1))</f>
        <v/>
      </c>
      <c r="U197" s="88">
        <f>IF(OR(U$1="",$BE197=0),"",SUMIFS(Entries!$D$2:$D$5000,Entries!$C$2:$C$5000,"Actual",Entries!$A$2:$A$5000,$A197,Entries!$B$2:$B$5000,U$1))</f>
        <v/>
      </c>
      <c r="V197" s="88">
        <f>IF(OR(V$1="",$BE197=0),"",SUMIFS(Entries!$D$2:$D$5000,Entries!$C$2:$C$5000,"Actual",Entries!$A$2:$A$5000,$A197,Entries!$B$2:$B$5000,V$1))</f>
        <v/>
      </c>
      <c r="W197" s="88">
        <f>IF(OR(W$1="",$BE197=0),"",SUMIFS(Entries!$D$2:$D$5000,Entries!$C$2:$C$5000,"Actual",Entries!$A$2:$A$5000,$A197,Entries!$B$2:$B$5000,W$1))</f>
        <v/>
      </c>
      <c r="X197" s="88">
        <f>IF(OR(X$1="",$BE197=0),"",SUMIFS(Entries!$D$2:$D$5000,Entries!$C$2:$C$5000,"Actual",Entries!$A$2:$A$5000,$A197,Entries!$B$2:$B$5000,X$1))</f>
        <v/>
      </c>
      <c r="Y197" s="88">
        <f>IF(OR(Y$1="",$BE197=0),"",SUMIFS(Entries!$D$2:$D$5000,Entries!$C$2:$C$5000,"Actual",Entries!$A$2:$A$5000,$A197,Entries!$B$2:$B$5000,Y$1))</f>
        <v/>
      </c>
      <c r="Z197" s="88">
        <f>IF(OR(Z$1="",$BE197=0),"",SUMIFS(Entries!$D$2:$D$5000,Entries!$C$2:$C$5000,"Actual",Entries!$A$2:$A$5000,$A197,Entries!$B$2:$B$5000,Z$1))</f>
        <v/>
      </c>
      <c r="AA197" s="88">
        <f>IF(OR(AA$1="",$BE197=0),"",SUMIFS(Entries!$D$2:$D$5000,Entries!$C$2:$C$5000,"Actual",Entries!$A$2:$A$5000,$A197,Entries!$B$2:$B$5000,AA$1))</f>
        <v/>
      </c>
      <c r="AB197" s="88">
        <f>IF(OR(AB$1="",$BE197=0),"",SUMIFS(Entries!$D$2:$D$5000,Entries!$C$2:$C$5000,"Actual",Entries!$A$2:$A$5000,$A197,Entries!$B$2:$B$5000,AB$1))</f>
        <v/>
      </c>
      <c r="AC197" s="88">
        <f>IF(OR(AC$1="",$BE197=0),"",SUMIFS(Entries!$D$2:$D$5000,Entries!$C$2:$C$5000,"Actual",Entries!$A$2:$A$5000,$A197,Entries!$B$2:$B$5000,AC$1))</f>
        <v/>
      </c>
      <c r="AD197" s="88">
        <f>IF(OR(AD$1="",$BE197=0),"",SUMIFS(Entries!$D$2:$D$5000,Entries!$C$2:$C$5000,"Actual",Entries!$A$2:$A$5000,$A197,Entries!$B$2:$B$5000,AD$1))</f>
        <v/>
      </c>
      <c r="AE197" s="88">
        <f>IF(OR(AE$1="",$BE197=0),"",SUMIFS(Entries!$D$2:$D$5000,Entries!$C$2:$C$5000,"Actual",Entries!$A$2:$A$5000,$A197,Entries!$B$2:$B$5000,AE$1))</f>
        <v/>
      </c>
      <c r="AF197" s="88">
        <f>IF(OR(AF$1="",$BE197=0),"",SUMIFS(Entries!$D$2:$D$5000,Entries!$C$2:$C$5000,"Actual",Entries!$A$2:$A$5000,$A197,Entries!$B$2:$B$5000,AF$1))</f>
        <v/>
      </c>
      <c r="AG197" s="88">
        <f>IF(OR(AG$1="",$BE197=0),"",SUMIFS(Entries!$D$2:$D$5000,Entries!$C$2:$C$5000,"Actual",Entries!$A$2:$A$5000,$A197,Entries!$B$2:$B$5000,AG$1))</f>
        <v/>
      </c>
      <c r="AH197" s="88">
        <f>IF(OR(AH$1="",$BE197=0),"",SUMIFS(Entries!$D$2:$D$5000,Entries!$C$2:$C$5000,"Actual",Entries!$A$2:$A$5000,$A197,Entries!$B$2:$B$5000,AH$1))</f>
        <v/>
      </c>
      <c r="AJ197" s="88">
        <f>IF(OR(AJ$1="",$BE197=0),"",IFERROR(LOOKUP(2,1/((Budgets!$A$2:$A$200=AJ$1)*(Budgets!$B$2:$B$200&lt;=$A197)),Budgets!$C$2:$C$200),0))</f>
        <v/>
      </c>
      <c r="AK197" s="88">
        <f>IF(OR(AK$1="",$BE197=0),"",IFERROR(LOOKUP(2,1/((Budgets!$A$2:$A$200=AK$1)*(Budgets!$B$2:$B$200&lt;=$A197)),Budgets!$C$2:$C$200),0))</f>
        <v/>
      </c>
      <c r="AL197" s="88">
        <f>IF(OR(AL$1="",$BE197=0),"",IFERROR(LOOKUP(2,1/((Budgets!$A$2:$A$200=AL$1)*(Budgets!$B$2:$B$200&lt;=$A197)),Budgets!$C$2:$C$200),0))</f>
        <v/>
      </c>
      <c r="AM197" s="88">
        <f>IF(OR(AM$1="",$BE197=0),"",IFERROR(LOOKUP(2,1/((Budgets!$A$2:$A$200=AM$1)*(Budgets!$B$2:$B$200&lt;=$A197)),Budgets!$C$2:$C$200),0))</f>
        <v/>
      </c>
      <c r="AN197" s="88">
        <f>IF(OR(AN$1="",$BE197=0),"",IFERROR(LOOKUP(2,1/((Budgets!$A$2:$A$200=AN$1)*(Budgets!$B$2:$B$200&lt;=$A197)),Budgets!$C$2:$C$200),0))</f>
        <v/>
      </c>
      <c r="AO197" s="88">
        <f>IF(OR(AO$1="",$BE197=0),"",IFERROR(LOOKUP(2,1/((Budgets!$A$2:$A$200=AO$1)*(Budgets!$B$2:$B$200&lt;=$A197)),Budgets!$C$2:$C$200),0))</f>
        <v/>
      </c>
      <c r="AP197" s="88">
        <f>IF(OR(AP$1="",$BE197=0),"",IFERROR(LOOKUP(2,1/((Budgets!$A$2:$A$200=AP$1)*(Budgets!$B$2:$B$200&lt;=$A197)),Budgets!$C$2:$C$200),0))</f>
        <v/>
      </c>
      <c r="AQ197" s="88">
        <f>IF(OR(AQ$1="",$BE197=0),"",IFERROR(LOOKUP(2,1/((Budgets!$A$2:$A$200=AQ$1)*(Budgets!$B$2:$B$200&lt;=$A197)),Budgets!$C$2:$C$200),0))</f>
        <v/>
      </c>
      <c r="AR197" s="88">
        <f>IF(OR(AR$1="",$BE197=0),"",IFERROR(LOOKUP(2,1/((Budgets!$A$2:$A$200=AR$1)*(Budgets!$B$2:$B$200&lt;=$A197)),Budgets!$C$2:$C$200),0))</f>
        <v/>
      </c>
      <c r="AS197" s="88">
        <f>IF(OR(AS$1="",$BE197=0),"",IFERROR(LOOKUP(2,1/((Budgets!$A$2:$A$200=AS$1)*(Budgets!$B$2:$B$200&lt;=$A197)),Budgets!$C$2:$C$200),0))</f>
        <v/>
      </c>
      <c r="AT197" s="88">
        <f>IF(OR(AT$1="",$BE197=0),"",IFERROR(LOOKUP(2,1/((Budgets!$A$2:$A$200=AT$1)*(Budgets!$B$2:$B$200&lt;=$A197)),Budgets!$C$2:$C$200),0))</f>
        <v/>
      </c>
      <c r="AU197" s="88">
        <f>IF(OR(AU$1="",$BE197=0),"",IFERROR(LOOKUP(2,1/((Budgets!$A$2:$A$200=AU$1)*(Budgets!$B$2:$B$200&lt;=$A197)),Budgets!$C$2:$C$200),0))</f>
        <v/>
      </c>
      <c r="AV197" s="88">
        <f>IF(OR(AV$1="",$BE197=0),"",IFERROR(LOOKUP(2,1/((Budgets!$A$2:$A$200=AV$1)*(Budgets!$B$2:$B$200&lt;=$A197)),Budgets!$C$2:$C$200),0))</f>
        <v/>
      </c>
      <c r="AW197" s="88">
        <f>IF(OR(AW$1="",$BE197=0),"",IFERROR(LOOKUP(2,1/((Budgets!$A$2:$A$200=AW$1)*(Budgets!$B$2:$B$200&lt;=$A197)),Budgets!$C$2:$C$200),0))</f>
        <v/>
      </c>
      <c r="AX197" s="88">
        <f>IF(OR(AX$1="",$BE197=0),"",IFERROR(LOOKUP(2,1/((Budgets!$A$2:$A$200=AX$1)*(Budgets!$B$2:$B$200&lt;=$A197)),Budgets!$C$2:$C$200),0))</f>
        <v/>
      </c>
      <c r="AY197" s="88">
        <f>IF(OR(AY$1="",$BE197=0),"",IFERROR(LOOKUP(2,1/((Budgets!$A$2:$A$200=AY$1)*(Budgets!$B$2:$B$200&lt;=$A197)),Budgets!$C$2:$C$200),0))</f>
        <v/>
      </c>
      <c r="AZ197" s="88">
        <f>IF(OR(AZ$1="",$BE197=0),"",IFERROR(LOOKUP(2,1/((Budgets!$A$2:$A$200=AZ$1)*(Budgets!$B$2:$B$200&lt;=$A197)),Budgets!$C$2:$C$200),0))</f>
        <v/>
      </c>
      <c r="BA197" s="88">
        <f>IF(OR(BA$1="",$BE197=0),"",IFERROR(LOOKUP(2,1/((Budgets!$A$2:$A$200=BA$1)*(Budgets!$B$2:$B$200&lt;=$A197)),Budgets!$C$2:$C$200),0))</f>
        <v/>
      </c>
      <c r="BB197" s="88">
        <f>IF(OR(BB$1="",$BE197=0),"",IFERROR(LOOKUP(2,1/((Budgets!$A$2:$A$200=BB$1)*(Budgets!$B$2:$B$200&lt;=$A197)),Budgets!$C$2:$C$200),0))</f>
        <v/>
      </c>
      <c r="BC197" s="88">
        <f>IF(OR(BC$1="",$BE197=0),"",IFERROR(LOOKUP(2,1/((Budgets!$A$2:$A$200=BC$1)*(Budgets!$B$2:$B$200&lt;=$A197)),Budgets!$C$2:$C$200),0))</f>
        <v/>
      </c>
      <c r="BE197" s="67">
        <f>COUNTIFS(Entries!$A$2:$A$5000,$A197)</f>
        <v/>
      </c>
    </row>
    <row r="198" ht="15" customHeight="1" s="43">
      <c r="A198" s="87" t="n">
        <v>45413</v>
      </c>
      <c r="B198" s="88">
        <f>IF($BE198=0,NA(),SUMIFS(Entries!$D$2:$D$5000,Entries!$C$2:$C$5000,"Income",Entries!$A$2:$A$5000,$A198))</f>
        <v/>
      </c>
      <c r="C198" s="88">
        <f>IF($BE198=0,"",SUMIFS(Entries!$D$2:$D$5000,Entries!$C$2:$C$5000,"Actual",Entries!$A$2:$A$5000,$A198))</f>
        <v/>
      </c>
      <c r="D198" s="88">
        <f>IF($BE198=0,"",SUMIFS(Entries!$D$2:$D$5000,Entries!$C$2:$C$5000,"One-off",Entries!$A$2:$A$5000,$A198))</f>
        <v/>
      </c>
      <c r="E198" s="88">
        <f>IF($BE198=0,NA(),C198+D198)</f>
        <v/>
      </c>
      <c r="F198" s="88">
        <f>IF($BE198=0,"",SUM(AJ198:BC198))</f>
        <v/>
      </c>
      <c r="G198" s="88">
        <f>IF($BE198=0,"",B198-E198)</f>
        <v/>
      </c>
      <c r="H198" s="88">
        <f>IF($BE198=0,"",SUM($G$2:G198))</f>
        <v/>
      </c>
      <c r="I198" s="88">
        <f>IF($BE198=0,"",SUMIFS(Entries!$F$2:$F$5000,Entries!$A$2:$A$5000,$A198))</f>
        <v/>
      </c>
      <c r="J198" s="88">
        <f>IF($BE198=0,NA(),H198+SUM($I$2:I198))</f>
        <v/>
      </c>
      <c r="K198" s="88">
        <f>IF($BE198=0,"",SUMIFS(Entries!$D$2:$D$5000,Entries!$C$2:$C$5000,"Income",Entries!$A$2:$A$5000,"&gt;="&amp;EDATE($A198,-11),Entries!$A$2:$A$5000,"&lt;="&amp;$A198)/12)</f>
        <v/>
      </c>
      <c r="L198" s="88">
        <f>IF($BE198=0,"",(SUMIFS(Entries!$D$2:$D$5000,Entries!$C$2:$C$5000,"Actual",Entries!$A$2:$A$5000,"&gt;="&amp;EDATE($A198,-11),Entries!$A$2:$A$5000,"&lt;="&amp;$A198)+SUMIFS(Entries!$D$2:$D$5000,Entries!$C$2:$C$5000,"One-off",Entries!$A$2:$A$5000,"&gt;="&amp;EDATE($A198,-11),Entries!$A$2:$A$5000,"&lt;="&amp;$A198))/12)</f>
        <v/>
      </c>
      <c r="M198" s="70">
        <f>IF($BE198=0,NA(),IFERROR((K198-L198)/K198,0))</f>
        <v/>
      </c>
      <c r="O198" s="88">
        <f>IF(OR(O$1="",$BE198=0),"",SUMIFS(Entries!$D$2:$D$5000,Entries!$C$2:$C$5000,"Actual",Entries!$A$2:$A$5000,$A198,Entries!$B$2:$B$5000,O$1))</f>
        <v/>
      </c>
      <c r="P198" s="88">
        <f>IF(OR(P$1="",$BE198=0),"",SUMIFS(Entries!$D$2:$D$5000,Entries!$C$2:$C$5000,"Actual",Entries!$A$2:$A$5000,$A198,Entries!$B$2:$B$5000,P$1))</f>
        <v/>
      </c>
      <c r="Q198" s="88">
        <f>IF(OR(Q$1="",$BE198=0),"",SUMIFS(Entries!$D$2:$D$5000,Entries!$C$2:$C$5000,"Actual",Entries!$A$2:$A$5000,$A198,Entries!$B$2:$B$5000,Q$1))</f>
        <v/>
      </c>
      <c r="R198" s="88">
        <f>IF(OR(R$1="",$BE198=0),"",SUMIFS(Entries!$D$2:$D$5000,Entries!$C$2:$C$5000,"Actual",Entries!$A$2:$A$5000,$A198,Entries!$B$2:$B$5000,R$1))</f>
        <v/>
      </c>
      <c r="S198" s="88">
        <f>IF(OR(S$1="",$BE198=0),"",SUMIFS(Entries!$D$2:$D$5000,Entries!$C$2:$C$5000,"Actual",Entries!$A$2:$A$5000,$A198,Entries!$B$2:$B$5000,S$1))</f>
        <v/>
      </c>
      <c r="T198" s="88">
        <f>IF(OR(T$1="",$BE198=0),"",SUMIFS(Entries!$D$2:$D$5000,Entries!$C$2:$C$5000,"Actual",Entries!$A$2:$A$5000,$A198,Entries!$B$2:$B$5000,T$1))</f>
        <v/>
      </c>
      <c r="U198" s="88">
        <f>IF(OR(U$1="",$BE198=0),"",SUMIFS(Entries!$D$2:$D$5000,Entries!$C$2:$C$5000,"Actual",Entries!$A$2:$A$5000,$A198,Entries!$B$2:$B$5000,U$1))</f>
        <v/>
      </c>
      <c r="V198" s="88">
        <f>IF(OR(V$1="",$BE198=0),"",SUMIFS(Entries!$D$2:$D$5000,Entries!$C$2:$C$5000,"Actual",Entries!$A$2:$A$5000,$A198,Entries!$B$2:$B$5000,V$1))</f>
        <v/>
      </c>
      <c r="W198" s="88">
        <f>IF(OR(W$1="",$BE198=0),"",SUMIFS(Entries!$D$2:$D$5000,Entries!$C$2:$C$5000,"Actual",Entries!$A$2:$A$5000,$A198,Entries!$B$2:$B$5000,W$1))</f>
        <v/>
      </c>
      <c r="X198" s="88">
        <f>IF(OR(X$1="",$BE198=0),"",SUMIFS(Entries!$D$2:$D$5000,Entries!$C$2:$C$5000,"Actual",Entries!$A$2:$A$5000,$A198,Entries!$B$2:$B$5000,X$1))</f>
        <v/>
      </c>
      <c r="Y198" s="88">
        <f>IF(OR(Y$1="",$BE198=0),"",SUMIFS(Entries!$D$2:$D$5000,Entries!$C$2:$C$5000,"Actual",Entries!$A$2:$A$5000,$A198,Entries!$B$2:$B$5000,Y$1))</f>
        <v/>
      </c>
      <c r="Z198" s="88">
        <f>IF(OR(Z$1="",$BE198=0),"",SUMIFS(Entries!$D$2:$D$5000,Entries!$C$2:$C$5000,"Actual",Entries!$A$2:$A$5000,$A198,Entries!$B$2:$B$5000,Z$1))</f>
        <v/>
      </c>
      <c r="AA198" s="88">
        <f>IF(OR(AA$1="",$BE198=0),"",SUMIFS(Entries!$D$2:$D$5000,Entries!$C$2:$C$5000,"Actual",Entries!$A$2:$A$5000,$A198,Entries!$B$2:$B$5000,AA$1))</f>
        <v/>
      </c>
      <c r="AB198" s="88">
        <f>IF(OR(AB$1="",$BE198=0),"",SUMIFS(Entries!$D$2:$D$5000,Entries!$C$2:$C$5000,"Actual",Entries!$A$2:$A$5000,$A198,Entries!$B$2:$B$5000,AB$1))</f>
        <v/>
      </c>
      <c r="AC198" s="88">
        <f>IF(OR(AC$1="",$BE198=0),"",SUMIFS(Entries!$D$2:$D$5000,Entries!$C$2:$C$5000,"Actual",Entries!$A$2:$A$5000,$A198,Entries!$B$2:$B$5000,AC$1))</f>
        <v/>
      </c>
      <c r="AD198" s="88">
        <f>IF(OR(AD$1="",$BE198=0),"",SUMIFS(Entries!$D$2:$D$5000,Entries!$C$2:$C$5000,"Actual",Entries!$A$2:$A$5000,$A198,Entries!$B$2:$B$5000,AD$1))</f>
        <v/>
      </c>
      <c r="AE198" s="88">
        <f>IF(OR(AE$1="",$BE198=0),"",SUMIFS(Entries!$D$2:$D$5000,Entries!$C$2:$C$5000,"Actual",Entries!$A$2:$A$5000,$A198,Entries!$B$2:$B$5000,AE$1))</f>
        <v/>
      </c>
      <c r="AF198" s="88">
        <f>IF(OR(AF$1="",$BE198=0),"",SUMIFS(Entries!$D$2:$D$5000,Entries!$C$2:$C$5000,"Actual",Entries!$A$2:$A$5000,$A198,Entries!$B$2:$B$5000,AF$1))</f>
        <v/>
      </c>
      <c r="AG198" s="88">
        <f>IF(OR(AG$1="",$BE198=0),"",SUMIFS(Entries!$D$2:$D$5000,Entries!$C$2:$C$5000,"Actual",Entries!$A$2:$A$5000,$A198,Entries!$B$2:$B$5000,AG$1))</f>
        <v/>
      </c>
      <c r="AH198" s="88">
        <f>IF(OR(AH$1="",$BE198=0),"",SUMIFS(Entries!$D$2:$D$5000,Entries!$C$2:$C$5000,"Actual",Entries!$A$2:$A$5000,$A198,Entries!$B$2:$B$5000,AH$1))</f>
        <v/>
      </c>
      <c r="AJ198" s="88">
        <f>IF(OR(AJ$1="",$BE198=0),"",IFERROR(LOOKUP(2,1/((Budgets!$A$2:$A$200=AJ$1)*(Budgets!$B$2:$B$200&lt;=$A198)),Budgets!$C$2:$C$200),0))</f>
        <v/>
      </c>
      <c r="AK198" s="88">
        <f>IF(OR(AK$1="",$BE198=0),"",IFERROR(LOOKUP(2,1/((Budgets!$A$2:$A$200=AK$1)*(Budgets!$B$2:$B$200&lt;=$A198)),Budgets!$C$2:$C$200),0))</f>
        <v/>
      </c>
      <c r="AL198" s="88">
        <f>IF(OR(AL$1="",$BE198=0),"",IFERROR(LOOKUP(2,1/((Budgets!$A$2:$A$200=AL$1)*(Budgets!$B$2:$B$200&lt;=$A198)),Budgets!$C$2:$C$200),0))</f>
        <v/>
      </c>
      <c r="AM198" s="88">
        <f>IF(OR(AM$1="",$BE198=0),"",IFERROR(LOOKUP(2,1/((Budgets!$A$2:$A$200=AM$1)*(Budgets!$B$2:$B$200&lt;=$A198)),Budgets!$C$2:$C$200),0))</f>
        <v/>
      </c>
      <c r="AN198" s="88">
        <f>IF(OR(AN$1="",$BE198=0),"",IFERROR(LOOKUP(2,1/((Budgets!$A$2:$A$200=AN$1)*(Budgets!$B$2:$B$200&lt;=$A198)),Budgets!$C$2:$C$200),0))</f>
        <v/>
      </c>
      <c r="AO198" s="88">
        <f>IF(OR(AO$1="",$BE198=0),"",IFERROR(LOOKUP(2,1/((Budgets!$A$2:$A$200=AO$1)*(Budgets!$B$2:$B$200&lt;=$A198)),Budgets!$C$2:$C$200),0))</f>
        <v/>
      </c>
      <c r="AP198" s="88">
        <f>IF(OR(AP$1="",$BE198=0),"",IFERROR(LOOKUP(2,1/((Budgets!$A$2:$A$200=AP$1)*(Budgets!$B$2:$B$200&lt;=$A198)),Budgets!$C$2:$C$200),0))</f>
        <v/>
      </c>
      <c r="AQ198" s="88">
        <f>IF(OR(AQ$1="",$BE198=0),"",IFERROR(LOOKUP(2,1/((Budgets!$A$2:$A$200=AQ$1)*(Budgets!$B$2:$B$200&lt;=$A198)),Budgets!$C$2:$C$200),0))</f>
        <v/>
      </c>
      <c r="AR198" s="88">
        <f>IF(OR(AR$1="",$BE198=0),"",IFERROR(LOOKUP(2,1/((Budgets!$A$2:$A$200=AR$1)*(Budgets!$B$2:$B$200&lt;=$A198)),Budgets!$C$2:$C$200),0))</f>
        <v/>
      </c>
      <c r="AS198" s="88">
        <f>IF(OR(AS$1="",$BE198=0),"",IFERROR(LOOKUP(2,1/((Budgets!$A$2:$A$200=AS$1)*(Budgets!$B$2:$B$200&lt;=$A198)),Budgets!$C$2:$C$200),0))</f>
        <v/>
      </c>
      <c r="AT198" s="88">
        <f>IF(OR(AT$1="",$BE198=0),"",IFERROR(LOOKUP(2,1/((Budgets!$A$2:$A$200=AT$1)*(Budgets!$B$2:$B$200&lt;=$A198)),Budgets!$C$2:$C$200),0))</f>
        <v/>
      </c>
      <c r="AU198" s="88">
        <f>IF(OR(AU$1="",$BE198=0),"",IFERROR(LOOKUP(2,1/((Budgets!$A$2:$A$200=AU$1)*(Budgets!$B$2:$B$200&lt;=$A198)),Budgets!$C$2:$C$200),0))</f>
        <v/>
      </c>
      <c r="AV198" s="88">
        <f>IF(OR(AV$1="",$BE198=0),"",IFERROR(LOOKUP(2,1/((Budgets!$A$2:$A$200=AV$1)*(Budgets!$B$2:$B$200&lt;=$A198)),Budgets!$C$2:$C$200),0))</f>
        <v/>
      </c>
      <c r="AW198" s="88">
        <f>IF(OR(AW$1="",$BE198=0),"",IFERROR(LOOKUP(2,1/((Budgets!$A$2:$A$200=AW$1)*(Budgets!$B$2:$B$200&lt;=$A198)),Budgets!$C$2:$C$200),0))</f>
        <v/>
      </c>
      <c r="AX198" s="88">
        <f>IF(OR(AX$1="",$BE198=0),"",IFERROR(LOOKUP(2,1/((Budgets!$A$2:$A$200=AX$1)*(Budgets!$B$2:$B$200&lt;=$A198)),Budgets!$C$2:$C$200),0))</f>
        <v/>
      </c>
      <c r="AY198" s="88">
        <f>IF(OR(AY$1="",$BE198=0),"",IFERROR(LOOKUP(2,1/((Budgets!$A$2:$A$200=AY$1)*(Budgets!$B$2:$B$200&lt;=$A198)),Budgets!$C$2:$C$200),0))</f>
        <v/>
      </c>
      <c r="AZ198" s="88">
        <f>IF(OR(AZ$1="",$BE198=0),"",IFERROR(LOOKUP(2,1/((Budgets!$A$2:$A$200=AZ$1)*(Budgets!$B$2:$B$200&lt;=$A198)),Budgets!$C$2:$C$200),0))</f>
        <v/>
      </c>
      <c r="BA198" s="88">
        <f>IF(OR(BA$1="",$BE198=0),"",IFERROR(LOOKUP(2,1/((Budgets!$A$2:$A$200=BA$1)*(Budgets!$B$2:$B$200&lt;=$A198)),Budgets!$C$2:$C$200),0))</f>
        <v/>
      </c>
      <c r="BB198" s="88">
        <f>IF(OR(BB$1="",$BE198=0),"",IFERROR(LOOKUP(2,1/((Budgets!$A$2:$A$200=BB$1)*(Budgets!$B$2:$B$200&lt;=$A198)),Budgets!$C$2:$C$200),0))</f>
        <v/>
      </c>
      <c r="BC198" s="88">
        <f>IF(OR(BC$1="",$BE198=0),"",IFERROR(LOOKUP(2,1/((Budgets!$A$2:$A$200=BC$1)*(Budgets!$B$2:$B$200&lt;=$A198)),Budgets!$C$2:$C$200),0))</f>
        <v/>
      </c>
      <c r="BE198" s="67">
        <f>COUNTIFS(Entries!$A$2:$A$5000,$A198)</f>
        <v/>
      </c>
    </row>
    <row r="199" ht="15" customHeight="1" s="43">
      <c r="A199" s="87" t="n">
        <v>45444</v>
      </c>
      <c r="B199" s="88">
        <f>IF($BE199=0,NA(),SUMIFS(Entries!$D$2:$D$5000,Entries!$C$2:$C$5000,"Income",Entries!$A$2:$A$5000,$A199))</f>
        <v/>
      </c>
      <c r="C199" s="88">
        <f>IF($BE199=0,"",SUMIFS(Entries!$D$2:$D$5000,Entries!$C$2:$C$5000,"Actual",Entries!$A$2:$A$5000,$A199))</f>
        <v/>
      </c>
      <c r="D199" s="88">
        <f>IF($BE199=0,"",SUMIFS(Entries!$D$2:$D$5000,Entries!$C$2:$C$5000,"One-off",Entries!$A$2:$A$5000,$A199))</f>
        <v/>
      </c>
      <c r="E199" s="88">
        <f>IF($BE199=0,NA(),C199+D199)</f>
        <v/>
      </c>
      <c r="F199" s="88">
        <f>IF($BE199=0,"",SUM(AJ199:BC199))</f>
        <v/>
      </c>
      <c r="G199" s="88">
        <f>IF($BE199=0,"",B199-E199)</f>
        <v/>
      </c>
      <c r="H199" s="88">
        <f>IF($BE199=0,"",SUM($G$2:G199))</f>
        <v/>
      </c>
      <c r="I199" s="88">
        <f>IF($BE199=0,"",SUMIFS(Entries!$F$2:$F$5000,Entries!$A$2:$A$5000,$A199))</f>
        <v/>
      </c>
      <c r="J199" s="88">
        <f>IF($BE199=0,NA(),H199+SUM($I$2:I199))</f>
        <v/>
      </c>
      <c r="K199" s="88">
        <f>IF($BE199=0,"",SUMIFS(Entries!$D$2:$D$5000,Entries!$C$2:$C$5000,"Income",Entries!$A$2:$A$5000,"&gt;="&amp;EDATE($A199,-11),Entries!$A$2:$A$5000,"&lt;="&amp;$A199)/12)</f>
        <v/>
      </c>
      <c r="L199" s="88">
        <f>IF($BE199=0,"",(SUMIFS(Entries!$D$2:$D$5000,Entries!$C$2:$C$5000,"Actual",Entries!$A$2:$A$5000,"&gt;="&amp;EDATE($A199,-11),Entries!$A$2:$A$5000,"&lt;="&amp;$A199)+SUMIFS(Entries!$D$2:$D$5000,Entries!$C$2:$C$5000,"One-off",Entries!$A$2:$A$5000,"&gt;="&amp;EDATE($A199,-11),Entries!$A$2:$A$5000,"&lt;="&amp;$A199))/12)</f>
        <v/>
      </c>
      <c r="M199" s="70">
        <f>IF($BE199=0,NA(),IFERROR((K199-L199)/K199,0))</f>
        <v/>
      </c>
      <c r="O199" s="88">
        <f>IF(OR(O$1="",$BE199=0),"",SUMIFS(Entries!$D$2:$D$5000,Entries!$C$2:$C$5000,"Actual",Entries!$A$2:$A$5000,$A199,Entries!$B$2:$B$5000,O$1))</f>
        <v/>
      </c>
      <c r="P199" s="88">
        <f>IF(OR(P$1="",$BE199=0),"",SUMIFS(Entries!$D$2:$D$5000,Entries!$C$2:$C$5000,"Actual",Entries!$A$2:$A$5000,$A199,Entries!$B$2:$B$5000,P$1))</f>
        <v/>
      </c>
      <c r="Q199" s="88">
        <f>IF(OR(Q$1="",$BE199=0),"",SUMIFS(Entries!$D$2:$D$5000,Entries!$C$2:$C$5000,"Actual",Entries!$A$2:$A$5000,$A199,Entries!$B$2:$B$5000,Q$1))</f>
        <v/>
      </c>
      <c r="R199" s="88">
        <f>IF(OR(R$1="",$BE199=0),"",SUMIFS(Entries!$D$2:$D$5000,Entries!$C$2:$C$5000,"Actual",Entries!$A$2:$A$5000,$A199,Entries!$B$2:$B$5000,R$1))</f>
        <v/>
      </c>
      <c r="S199" s="88">
        <f>IF(OR(S$1="",$BE199=0),"",SUMIFS(Entries!$D$2:$D$5000,Entries!$C$2:$C$5000,"Actual",Entries!$A$2:$A$5000,$A199,Entries!$B$2:$B$5000,S$1))</f>
        <v/>
      </c>
      <c r="T199" s="88">
        <f>IF(OR(T$1="",$BE199=0),"",SUMIFS(Entries!$D$2:$D$5000,Entries!$C$2:$C$5000,"Actual",Entries!$A$2:$A$5000,$A199,Entries!$B$2:$B$5000,T$1))</f>
        <v/>
      </c>
      <c r="U199" s="88">
        <f>IF(OR(U$1="",$BE199=0),"",SUMIFS(Entries!$D$2:$D$5000,Entries!$C$2:$C$5000,"Actual",Entries!$A$2:$A$5000,$A199,Entries!$B$2:$B$5000,U$1))</f>
        <v/>
      </c>
      <c r="V199" s="88">
        <f>IF(OR(V$1="",$BE199=0),"",SUMIFS(Entries!$D$2:$D$5000,Entries!$C$2:$C$5000,"Actual",Entries!$A$2:$A$5000,$A199,Entries!$B$2:$B$5000,V$1))</f>
        <v/>
      </c>
      <c r="W199" s="88">
        <f>IF(OR(W$1="",$BE199=0),"",SUMIFS(Entries!$D$2:$D$5000,Entries!$C$2:$C$5000,"Actual",Entries!$A$2:$A$5000,$A199,Entries!$B$2:$B$5000,W$1))</f>
        <v/>
      </c>
      <c r="X199" s="88">
        <f>IF(OR(X$1="",$BE199=0),"",SUMIFS(Entries!$D$2:$D$5000,Entries!$C$2:$C$5000,"Actual",Entries!$A$2:$A$5000,$A199,Entries!$B$2:$B$5000,X$1))</f>
        <v/>
      </c>
      <c r="Y199" s="88">
        <f>IF(OR(Y$1="",$BE199=0),"",SUMIFS(Entries!$D$2:$D$5000,Entries!$C$2:$C$5000,"Actual",Entries!$A$2:$A$5000,$A199,Entries!$B$2:$B$5000,Y$1))</f>
        <v/>
      </c>
      <c r="Z199" s="88">
        <f>IF(OR(Z$1="",$BE199=0),"",SUMIFS(Entries!$D$2:$D$5000,Entries!$C$2:$C$5000,"Actual",Entries!$A$2:$A$5000,$A199,Entries!$B$2:$B$5000,Z$1))</f>
        <v/>
      </c>
      <c r="AA199" s="88">
        <f>IF(OR(AA$1="",$BE199=0),"",SUMIFS(Entries!$D$2:$D$5000,Entries!$C$2:$C$5000,"Actual",Entries!$A$2:$A$5000,$A199,Entries!$B$2:$B$5000,AA$1))</f>
        <v/>
      </c>
      <c r="AB199" s="88">
        <f>IF(OR(AB$1="",$BE199=0),"",SUMIFS(Entries!$D$2:$D$5000,Entries!$C$2:$C$5000,"Actual",Entries!$A$2:$A$5000,$A199,Entries!$B$2:$B$5000,AB$1))</f>
        <v/>
      </c>
      <c r="AC199" s="88">
        <f>IF(OR(AC$1="",$BE199=0),"",SUMIFS(Entries!$D$2:$D$5000,Entries!$C$2:$C$5000,"Actual",Entries!$A$2:$A$5000,$A199,Entries!$B$2:$B$5000,AC$1))</f>
        <v/>
      </c>
      <c r="AD199" s="88">
        <f>IF(OR(AD$1="",$BE199=0),"",SUMIFS(Entries!$D$2:$D$5000,Entries!$C$2:$C$5000,"Actual",Entries!$A$2:$A$5000,$A199,Entries!$B$2:$B$5000,AD$1))</f>
        <v/>
      </c>
      <c r="AE199" s="88">
        <f>IF(OR(AE$1="",$BE199=0),"",SUMIFS(Entries!$D$2:$D$5000,Entries!$C$2:$C$5000,"Actual",Entries!$A$2:$A$5000,$A199,Entries!$B$2:$B$5000,AE$1))</f>
        <v/>
      </c>
      <c r="AF199" s="88">
        <f>IF(OR(AF$1="",$BE199=0),"",SUMIFS(Entries!$D$2:$D$5000,Entries!$C$2:$C$5000,"Actual",Entries!$A$2:$A$5000,$A199,Entries!$B$2:$B$5000,AF$1))</f>
        <v/>
      </c>
      <c r="AG199" s="88">
        <f>IF(OR(AG$1="",$BE199=0),"",SUMIFS(Entries!$D$2:$D$5000,Entries!$C$2:$C$5000,"Actual",Entries!$A$2:$A$5000,$A199,Entries!$B$2:$B$5000,AG$1))</f>
        <v/>
      </c>
      <c r="AH199" s="88">
        <f>IF(OR(AH$1="",$BE199=0),"",SUMIFS(Entries!$D$2:$D$5000,Entries!$C$2:$C$5000,"Actual",Entries!$A$2:$A$5000,$A199,Entries!$B$2:$B$5000,AH$1))</f>
        <v/>
      </c>
      <c r="AJ199" s="88">
        <f>IF(OR(AJ$1="",$BE199=0),"",IFERROR(LOOKUP(2,1/((Budgets!$A$2:$A$200=AJ$1)*(Budgets!$B$2:$B$200&lt;=$A199)),Budgets!$C$2:$C$200),0))</f>
        <v/>
      </c>
      <c r="AK199" s="88">
        <f>IF(OR(AK$1="",$BE199=0),"",IFERROR(LOOKUP(2,1/((Budgets!$A$2:$A$200=AK$1)*(Budgets!$B$2:$B$200&lt;=$A199)),Budgets!$C$2:$C$200),0))</f>
        <v/>
      </c>
      <c r="AL199" s="88">
        <f>IF(OR(AL$1="",$BE199=0),"",IFERROR(LOOKUP(2,1/((Budgets!$A$2:$A$200=AL$1)*(Budgets!$B$2:$B$200&lt;=$A199)),Budgets!$C$2:$C$200),0))</f>
        <v/>
      </c>
      <c r="AM199" s="88">
        <f>IF(OR(AM$1="",$BE199=0),"",IFERROR(LOOKUP(2,1/((Budgets!$A$2:$A$200=AM$1)*(Budgets!$B$2:$B$200&lt;=$A199)),Budgets!$C$2:$C$200),0))</f>
        <v/>
      </c>
      <c r="AN199" s="88">
        <f>IF(OR(AN$1="",$BE199=0),"",IFERROR(LOOKUP(2,1/((Budgets!$A$2:$A$200=AN$1)*(Budgets!$B$2:$B$200&lt;=$A199)),Budgets!$C$2:$C$200),0))</f>
        <v/>
      </c>
      <c r="AO199" s="88">
        <f>IF(OR(AO$1="",$BE199=0),"",IFERROR(LOOKUP(2,1/((Budgets!$A$2:$A$200=AO$1)*(Budgets!$B$2:$B$200&lt;=$A199)),Budgets!$C$2:$C$200),0))</f>
        <v/>
      </c>
      <c r="AP199" s="88">
        <f>IF(OR(AP$1="",$BE199=0),"",IFERROR(LOOKUP(2,1/((Budgets!$A$2:$A$200=AP$1)*(Budgets!$B$2:$B$200&lt;=$A199)),Budgets!$C$2:$C$200),0))</f>
        <v/>
      </c>
      <c r="AQ199" s="88">
        <f>IF(OR(AQ$1="",$BE199=0),"",IFERROR(LOOKUP(2,1/((Budgets!$A$2:$A$200=AQ$1)*(Budgets!$B$2:$B$200&lt;=$A199)),Budgets!$C$2:$C$200),0))</f>
        <v/>
      </c>
      <c r="AR199" s="88">
        <f>IF(OR(AR$1="",$BE199=0),"",IFERROR(LOOKUP(2,1/((Budgets!$A$2:$A$200=AR$1)*(Budgets!$B$2:$B$200&lt;=$A199)),Budgets!$C$2:$C$200),0))</f>
        <v/>
      </c>
      <c r="AS199" s="88">
        <f>IF(OR(AS$1="",$BE199=0),"",IFERROR(LOOKUP(2,1/((Budgets!$A$2:$A$200=AS$1)*(Budgets!$B$2:$B$200&lt;=$A199)),Budgets!$C$2:$C$200),0))</f>
        <v/>
      </c>
      <c r="AT199" s="88">
        <f>IF(OR(AT$1="",$BE199=0),"",IFERROR(LOOKUP(2,1/((Budgets!$A$2:$A$200=AT$1)*(Budgets!$B$2:$B$200&lt;=$A199)),Budgets!$C$2:$C$200),0))</f>
        <v/>
      </c>
      <c r="AU199" s="88">
        <f>IF(OR(AU$1="",$BE199=0),"",IFERROR(LOOKUP(2,1/((Budgets!$A$2:$A$200=AU$1)*(Budgets!$B$2:$B$200&lt;=$A199)),Budgets!$C$2:$C$200),0))</f>
        <v/>
      </c>
      <c r="AV199" s="88">
        <f>IF(OR(AV$1="",$BE199=0),"",IFERROR(LOOKUP(2,1/((Budgets!$A$2:$A$200=AV$1)*(Budgets!$B$2:$B$200&lt;=$A199)),Budgets!$C$2:$C$200),0))</f>
        <v/>
      </c>
      <c r="AW199" s="88">
        <f>IF(OR(AW$1="",$BE199=0),"",IFERROR(LOOKUP(2,1/((Budgets!$A$2:$A$200=AW$1)*(Budgets!$B$2:$B$200&lt;=$A199)),Budgets!$C$2:$C$200),0))</f>
        <v/>
      </c>
      <c r="AX199" s="88">
        <f>IF(OR(AX$1="",$BE199=0),"",IFERROR(LOOKUP(2,1/((Budgets!$A$2:$A$200=AX$1)*(Budgets!$B$2:$B$200&lt;=$A199)),Budgets!$C$2:$C$200),0))</f>
        <v/>
      </c>
      <c r="AY199" s="88">
        <f>IF(OR(AY$1="",$BE199=0),"",IFERROR(LOOKUP(2,1/((Budgets!$A$2:$A$200=AY$1)*(Budgets!$B$2:$B$200&lt;=$A199)),Budgets!$C$2:$C$200),0))</f>
        <v/>
      </c>
      <c r="AZ199" s="88">
        <f>IF(OR(AZ$1="",$BE199=0),"",IFERROR(LOOKUP(2,1/((Budgets!$A$2:$A$200=AZ$1)*(Budgets!$B$2:$B$200&lt;=$A199)),Budgets!$C$2:$C$200),0))</f>
        <v/>
      </c>
      <c r="BA199" s="88">
        <f>IF(OR(BA$1="",$BE199=0),"",IFERROR(LOOKUP(2,1/((Budgets!$A$2:$A$200=BA$1)*(Budgets!$B$2:$B$200&lt;=$A199)),Budgets!$C$2:$C$200),0))</f>
        <v/>
      </c>
      <c r="BB199" s="88">
        <f>IF(OR(BB$1="",$BE199=0),"",IFERROR(LOOKUP(2,1/((Budgets!$A$2:$A$200=BB$1)*(Budgets!$B$2:$B$200&lt;=$A199)),Budgets!$C$2:$C$200),0))</f>
        <v/>
      </c>
      <c r="BC199" s="88">
        <f>IF(OR(BC$1="",$BE199=0),"",IFERROR(LOOKUP(2,1/((Budgets!$A$2:$A$200=BC$1)*(Budgets!$B$2:$B$200&lt;=$A199)),Budgets!$C$2:$C$200),0))</f>
        <v/>
      </c>
      <c r="BE199" s="67">
        <f>COUNTIFS(Entries!$A$2:$A$5000,$A199)</f>
        <v/>
      </c>
    </row>
    <row r="200" ht="15" customHeight="1" s="43">
      <c r="A200" s="87" t="n">
        <v>45474</v>
      </c>
      <c r="B200" s="88">
        <f>IF($BE200=0,NA(),SUMIFS(Entries!$D$2:$D$5000,Entries!$C$2:$C$5000,"Income",Entries!$A$2:$A$5000,$A200))</f>
        <v/>
      </c>
      <c r="C200" s="88">
        <f>IF($BE200=0,"",SUMIFS(Entries!$D$2:$D$5000,Entries!$C$2:$C$5000,"Actual",Entries!$A$2:$A$5000,$A200))</f>
        <v/>
      </c>
      <c r="D200" s="88">
        <f>IF($BE200=0,"",SUMIFS(Entries!$D$2:$D$5000,Entries!$C$2:$C$5000,"One-off",Entries!$A$2:$A$5000,$A200))</f>
        <v/>
      </c>
      <c r="E200" s="88">
        <f>IF($BE200=0,NA(),C200+D200)</f>
        <v/>
      </c>
      <c r="F200" s="88">
        <f>IF($BE200=0,"",SUM(AJ200:BC200))</f>
        <v/>
      </c>
      <c r="G200" s="88">
        <f>IF($BE200=0,"",B200-E200)</f>
        <v/>
      </c>
      <c r="H200" s="88">
        <f>IF($BE200=0,"",SUM($G$2:G200))</f>
        <v/>
      </c>
      <c r="I200" s="88">
        <f>IF($BE200=0,"",SUMIFS(Entries!$F$2:$F$5000,Entries!$A$2:$A$5000,$A200))</f>
        <v/>
      </c>
      <c r="J200" s="88">
        <f>IF($BE200=0,NA(),H200+SUM($I$2:I200))</f>
        <v/>
      </c>
      <c r="K200" s="88">
        <f>IF($BE200=0,"",SUMIFS(Entries!$D$2:$D$5000,Entries!$C$2:$C$5000,"Income",Entries!$A$2:$A$5000,"&gt;="&amp;EDATE($A200,-11),Entries!$A$2:$A$5000,"&lt;="&amp;$A200)/12)</f>
        <v/>
      </c>
      <c r="L200" s="88">
        <f>IF($BE200=0,"",(SUMIFS(Entries!$D$2:$D$5000,Entries!$C$2:$C$5000,"Actual",Entries!$A$2:$A$5000,"&gt;="&amp;EDATE($A200,-11),Entries!$A$2:$A$5000,"&lt;="&amp;$A200)+SUMIFS(Entries!$D$2:$D$5000,Entries!$C$2:$C$5000,"One-off",Entries!$A$2:$A$5000,"&gt;="&amp;EDATE($A200,-11),Entries!$A$2:$A$5000,"&lt;="&amp;$A200))/12)</f>
        <v/>
      </c>
      <c r="M200" s="70">
        <f>IF($BE200=0,NA(),IFERROR((K200-L200)/K200,0))</f>
        <v/>
      </c>
      <c r="O200" s="88">
        <f>IF(OR(O$1="",$BE200=0),"",SUMIFS(Entries!$D$2:$D$5000,Entries!$C$2:$C$5000,"Actual",Entries!$A$2:$A$5000,$A200,Entries!$B$2:$B$5000,O$1))</f>
        <v/>
      </c>
      <c r="P200" s="88">
        <f>IF(OR(P$1="",$BE200=0),"",SUMIFS(Entries!$D$2:$D$5000,Entries!$C$2:$C$5000,"Actual",Entries!$A$2:$A$5000,$A200,Entries!$B$2:$B$5000,P$1))</f>
        <v/>
      </c>
      <c r="Q200" s="88">
        <f>IF(OR(Q$1="",$BE200=0),"",SUMIFS(Entries!$D$2:$D$5000,Entries!$C$2:$C$5000,"Actual",Entries!$A$2:$A$5000,$A200,Entries!$B$2:$B$5000,Q$1))</f>
        <v/>
      </c>
      <c r="R200" s="88">
        <f>IF(OR(R$1="",$BE200=0),"",SUMIFS(Entries!$D$2:$D$5000,Entries!$C$2:$C$5000,"Actual",Entries!$A$2:$A$5000,$A200,Entries!$B$2:$B$5000,R$1))</f>
        <v/>
      </c>
      <c r="S200" s="88">
        <f>IF(OR(S$1="",$BE200=0),"",SUMIFS(Entries!$D$2:$D$5000,Entries!$C$2:$C$5000,"Actual",Entries!$A$2:$A$5000,$A200,Entries!$B$2:$B$5000,S$1))</f>
        <v/>
      </c>
      <c r="T200" s="88">
        <f>IF(OR(T$1="",$BE200=0),"",SUMIFS(Entries!$D$2:$D$5000,Entries!$C$2:$C$5000,"Actual",Entries!$A$2:$A$5000,$A200,Entries!$B$2:$B$5000,T$1))</f>
        <v/>
      </c>
      <c r="U200" s="88">
        <f>IF(OR(U$1="",$BE200=0),"",SUMIFS(Entries!$D$2:$D$5000,Entries!$C$2:$C$5000,"Actual",Entries!$A$2:$A$5000,$A200,Entries!$B$2:$B$5000,U$1))</f>
        <v/>
      </c>
      <c r="V200" s="88">
        <f>IF(OR(V$1="",$BE200=0),"",SUMIFS(Entries!$D$2:$D$5000,Entries!$C$2:$C$5000,"Actual",Entries!$A$2:$A$5000,$A200,Entries!$B$2:$B$5000,V$1))</f>
        <v/>
      </c>
      <c r="W200" s="88">
        <f>IF(OR(W$1="",$BE200=0),"",SUMIFS(Entries!$D$2:$D$5000,Entries!$C$2:$C$5000,"Actual",Entries!$A$2:$A$5000,$A200,Entries!$B$2:$B$5000,W$1))</f>
        <v/>
      </c>
      <c r="X200" s="88">
        <f>IF(OR(X$1="",$BE200=0),"",SUMIFS(Entries!$D$2:$D$5000,Entries!$C$2:$C$5000,"Actual",Entries!$A$2:$A$5000,$A200,Entries!$B$2:$B$5000,X$1))</f>
        <v/>
      </c>
      <c r="Y200" s="88">
        <f>IF(OR(Y$1="",$BE200=0),"",SUMIFS(Entries!$D$2:$D$5000,Entries!$C$2:$C$5000,"Actual",Entries!$A$2:$A$5000,$A200,Entries!$B$2:$B$5000,Y$1))</f>
        <v/>
      </c>
      <c r="Z200" s="88">
        <f>IF(OR(Z$1="",$BE200=0),"",SUMIFS(Entries!$D$2:$D$5000,Entries!$C$2:$C$5000,"Actual",Entries!$A$2:$A$5000,$A200,Entries!$B$2:$B$5000,Z$1))</f>
        <v/>
      </c>
      <c r="AA200" s="88">
        <f>IF(OR(AA$1="",$BE200=0),"",SUMIFS(Entries!$D$2:$D$5000,Entries!$C$2:$C$5000,"Actual",Entries!$A$2:$A$5000,$A200,Entries!$B$2:$B$5000,AA$1))</f>
        <v/>
      </c>
      <c r="AB200" s="88">
        <f>IF(OR(AB$1="",$BE200=0),"",SUMIFS(Entries!$D$2:$D$5000,Entries!$C$2:$C$5000,"Actual",Entries!$A$2:$A$5000,$A200,Entries!$B$2:$B$5000,AB$1))</f>
        <v/>
      </c>
      <c r="AC200" s="88">
        <f>IF(OR(AC$1="",$BE200=0),"",SUMIFS(Entries!$D$2:$D$5000,Entries!$C$2:$C$5000,"Actual",Entries!$A$2:$A$5000,$A200,Entries!$B$2:$B$5000,AC$1))</f>
        <v/>
      </c>
      <c r="AD200" s="88">
        <f>IF(OR(AD$1="",$BE200=0),"",SUMIFS(Entries!$D$2:$D$5000,Entries!$C$2:$C$5000,"Actual",Entries!$A$2:$A$5000,$A200,Entries!$B$2:$B$5000,AD$1))</f>
        <v/>
      </c>
      <c r="AE200" s="88">
        <f>IF(OR(AE$1="",$BE200=0),"",SUMIFS(Entries!$D$2:$D$5000,Entries!$C$2:$C$5000,"Actual",Entries!$A$2:$A$5000,$A200,Entries!$B$2:$B$5000,AE$1))</f>
        <v/>
      </c>
      <c r="AF200" s="88">
        <f>IF(OR(AF$1="",$BE200=0),"",SUMIFS(Entries!$D$2:$D$5000,Entries!$C$2:$C$5000,"Actual",Entries!$A$2:$A$5000,$A200,Entries!$B$2:$B$5000,AF$1))</f>
        <v/>
      </c>
      <c r="AG200" s="88">
        <f>IF(OR(AG$1="",$BE200=0),"",SUMIFS(Entries!$D$2:$D$5000,Entries!$C$2:$C$5000,"Actual",Entries!$A$2:$A$5000,$A200,Entries!$B$2:$B$5000,AG$1))</f>
        <v/>
      </c>
      <c r="AH200" s="88">
        <f>IF(OR(AH$1="",$BE200=0),"",SUMIFS(Entries!$D$2:$D$5000,Entries!$C$2:$C$5000,"Actual",Entries!$A$2:$A$5000,$A200,Entries!$B$2:$B$5000,AH$1))</f>
        <v/>
      </c>
      <c r="AJ200" s="88">
        <f>IF(OR(AJ$1="",$BE200=0),"",IFERROR(LOOKUP(2,1/((Budgets!$A$2:$A$200=AJ$1)*(Budgets!$B$2:$B$200&lt;=$A200)),Budgets!$C$2:$C$200),0))</f>
        <v/>
      </c>
      <c r="AK200" s="88">
        <f>IF(OR(AK$1="",$BE200=0),"",IFERROR(LOOKUP(2,1/((Budgets!$A$2:$A$200=AK$1)*(Budgets!$B$2:$B$200&lt;=$A200)),Budgets!$C$2:$C$200),0))</f>
        <v/>
      </c>
      <c r="AL200" s="88">
        <f>IF(OR(AL$1="",$BE200=0),"",IFERROR(LOOKUP(2,1/((Budgets!$A$2:$A$200=AL$1)*(Budgets!$B$2:$B$200&lt;=$A200)),Budgets!$C$2:$C$200),0))</f>
        <v/>
      </c>
      <c r="AM200" s="88">
        <f>IF(OR(AM$1="",$BE200=0),"",IFERROR(LOOKUP(2,1/((Budgets!$A$2:$A$200=AM$1)*(Budgets!$B$2:$B$200&lt;=$A200)),Budgets!$C$2:$C$200),0))</f>
        <v/>
      </c>
      <c r="AN200" s="88">
        <f>IF(OR(AN$1="",$BE200=0),"",IFERROR(LOOKUP(2,1/((Budgets!$A$2:$A$200=AN$1)*(Budgets!$B$2:$B$200&lt;=$A200)),Budgets!$C$2:$C$200),0))</f>
        <v/>
      </c>
      <c r="AO200" s="88">
        <f>IF(OR(AO$1="",$BE200=0),"",IFERROR(LOOKUP(2,1/((Budgets!$A$2:$A$200=AO$1)*(Budgets!$B$2:$B$200&lt;=$A200)),Budgets!$C$2:$C$200),0))</f>
        <v/>
      </c>
      <c r="AP200" s="88">
        <f>IF(OR(AP$1="",$BE200=0),"",IFERROR(LOOKUP(2,1/((Budgets!$A$2:$A$200=AP$1)*(Budgets!$B$2:$B$200&lt;=$A200)),Budgets!$C$2:$C$200),0))</f>
        <v/>
      </c>
      <c r="AQ200" s="88">
        <f>IF(OR(AQ$1="",$BE200=0),"",IFERROR(LOOKUP(2,1/((Budgets!$A$2:$A$200=AQ$1)*(Budgets!$B$2:$B$200&lt;=$A200)),Budgets!$C$2:$C$200),0))</f>
        <v/>
      </c>
      <c r="AR200" s="88">
        <f>IF(OR(AR$1="",$BE200=0),"",IFERROR(LOOKUP(2,1/((Budgets!$A$2:$A$200=AR$1)*(Budgets!$B$2:$B$200&lt;=$A200)),Budgets!$C$2:$C$200),0))</f>
        <v/>
      </c>
      <c r="AS200" s="88">
        <f>IF(OR(AS$1="",$BE200=0),"",IFERROR(LOOKUP(2,1/((Budgets!$A$2:$A$200=AS$1)*(Budgets!$B$2:$B$200&lt;=$A200)),Budgets!$C$2:$C$200),0))</f>
        <v/>
      </c>
      <c r="AT200" s="88">
        <f>IF(OR(AT$1="",$BE200=0),"",IFERROR(LOOKUP(2,1/((Budgets!$A$2:$A$200=AT$1)*(Budgets!$B$2:$B$200&lt;=$A200)),Budgets!$C$2:$C$200),0))</f>
        <v/>
      </c>
      <c r="AU200" s="88">
        <f>IF(OR(AU$1="",$BE200=0),"",IFERROR(LOOKUP(2,1/((Budgets!$A$2:$A$200=AU$1)*(Budgets!$B$2:$B$200&lt;=$A200)),Budgets!$C$2:$C$200),0))</f>
        <v/>
      </c>
      <c r="AV200" s="88">
        <f>IF(OR(AV$1="",$BE200=0),"",IFERROR(LOOKUP(2,1/((Budgets!$A$2:$A$200=AV$1)*(Budgets!$B$2:$B$200&lt;=$A200)),Budgets!$C$2:$C$200),0))</f>
        <v/>
      </c>
      <c r="AW200" s="88">
        <f>IF(OR(AW$1="",$BE200=0),"",IFERROR(LOOKUP(2,1/((Budgets!$A$2:$A$200=AW$1)*(Budgets!$B$2:$B$200&lt;=$A200)),Budgets!$C$2:$C$200),0))</f>
        <v/>
      </c>
      <c r="AX200" s="88">
        <f>IF(OR(AX$1="",$BE200=0),"",IFERROR(LOOKUP(2,1/((Budgets!$A$2:$A$200=AX$1)*(Budgets!$B$2:$B$200&lt;=$A200)),Budgets!$C$2:$C$200),0))</f>
        <v/>
      </c>
      <c r="AY200" s="88">
        <f>IF(OR(AY$1="",$BE200=0),"",IFERROR(LOOKUP(2,1/((Budgets!$A$2:$A$200=AY$1)*(Budgets!$B$2:$B$200&lt;=$A200)),Budgets!$C$2:$C$200),0))</f>
        <v/>
      </c>
      <c r="AZ200" s="88">
        <f>IF(OR(AZ$1="",$BE200=0),"",IFERROR(LOOKUP(2,1/((Budgets!$A$2:$A$200=AZ$1)*(Budgets!$B$2:$B$200&lt;=$A200)),Budgets!$C$2:$C$200),0))</f>
        <v/>
      </c>
      <c r="BA200" s="88">
        <f>IF(OR(BA$1="",$BE200=0),"",IFERROR(LOOKUP(2,1/((Budgets!$A$2:$A$200=BA$1)*(Budgets!$B$2:$B$200&lt;=$A200)),Budgets!$C$2:$C$200),0))</f>
        <v/>
      </c>
      <c r="BB200" s="88">
        <f>IF(OR(BB$1="",$BE200=0),"",IFERROR(LOOKUP(2,1/((Budgets!$A$2:$A$200=BB$1)*(Budgets!$B$2:$B$200&lt;=$A200)),Budgets!$C$2:$C$200),0))</f>
        <v/>
      </c>
      <c r="BC200" s="88">
        <f>IF(OR(BC$1="",$BE200=0),"",IFERROR(LOOKUP(2,1/((Budgets!$A$2:$A$200=BC$1)*(Budgets!$B$2:$B$200&lt;=$A200)),Budgets!$C$2:$C$200),0))</f>
        <v/>
      </c>
      <c r="BE200" s="67">
        <f>COUNTIFS(Entries!$A$2:$A$5000,$A200)</f>
        <v/>
      </c>
    </row>
    <row r="201" ht="15" customHeight="1" s="43">
      <c r="A201" s="87" t="n">
        <v>45505</v>
      </c>
      <c r="B201" s="88">
        <f>IF($BE201=0,NA(),SUMIFS(Entries!$D$2:$D$5000,Entries!$C$2:$C$5000,"Income",Entries!$A$2:$A$5000,$A201))</f>
        <v/>
      </c>
      <c r="C201" s="88">
        <f>IF($BE201=0,"",SUMIFS(Entries!$D$2:$D$5000,Entries!$C$2:$C$5000,"Actual",Entries!$A$2:$A$5000,$A201))</f>
        <v/>
      </c>
      <c r="D201" s="88">
        <f>IF($BE201=0,"",SUMIFS(Entries!$D$2:$D$5000,Entries!$C$2:$C$5000,"One-off",Entries!$A$2:$A$5000,$A201))</f>
        <v/>
      </c>
      <c r="E201" s="88">
        <f>IF($BE201=0,NA(),C201+D201)</f>
        <v/>
      </c>
      <c r="F201" s="88">
        <f>IF($BE201=0,"",SUM(AJ201:BC201))</f>
        <v/>
      </c>
      <c r="G201" s="88">
        <f>IF($BE201=0,"",B201-E201)</f>
        <v/>
      </c>
      <c r="H201" s="88">
        <f>IF($BE201=0,"",SUM($G$2:G201))</f>
        <v/>
      </c>
      <c r="I201" s="88">
        <f>IF($BE201=0,"",SUMIFS(Entries!$F$2:$F$5000,Entries!$A$2:$A$5000,$A201))</f>
        <v/>
      </c>
      <c r="J201" s="88">
        <f>IF($BE201=0,NA(),H201+SUM($I$2:I201))</f>
        <v/>
      </c>
      <c r="K201" s="88">
        <f>IF($BE201=0,"",SUMIFS(Entries!$D$2:$D$5000,Entries!$C$2:$C$5000,"Income",Entries!$A$2:$A$5000,"&gt;="&amp;EDATE($A201,-11),Entries!$A$2:$A$5000,"&lt;="&amp;$A201)/12)</f>
        <v/>
      </c>
      <c r="L201" s="88">
        <f>IF($BE201=0,"",(SUMIFS(Entries!$D$2:$D$5000,Entries!$C$2:$C$5000,"Actual",Entries!$A$2:$A$5000,"&gt;="&amp;EDATE($A201,-11),Entries!$A$2:$A$5000,"&lt;="&amp;$A201)+SUMIFS(Entries!$D$2:$D$5000,Entries!$C$2:$C$5000,"One-off",Entries!$A$2:$A$5000,"&gt;="&amp;EDATE($A201,-11),Entries!$A$2:$A$5000,"&lt;="&amp;$A201))/12)</f>
        <v/>
      </c>
      <c r="M201" s="70">
        <f>IF($BE201=0,NA(),IFERROR((K201-L201)/K201,0))</f>
        <v/>
      </c>
      <c r="O201" s="88">
        <f>IF(OR(O$1="",$BE201=0),"",SUMIFS(Entries!$D$2:$D$5000,Entries!$C$2:$C$5000,"Actual",Entries!$A$2:$A$5000,$A201,Entries!$B$2:$B$5000,O$1))</f>
        <v/>
      </c>
      <c r="P201" s="88">
        <f>IF(OR(P$1="",$BE201=0),"",SUMIFS(Entries!$D$2:$D$5000,Entries!$C$2:$C$5000,"Actual",Entries!$A$2:$A$5000,$A201,Entries!$B$2:$B$5000,P$1))</f>
        <v/>
      </c>
      <c r="Q201" s="88">
        <f>IF(OR(Q$1="",$BE201=0),"",SUMIFS(Entries!$D$2:$D$5000,Entries!$C$2:$C$5000,"Actual",Entries!$A$2:$A$5000,$A201,Entries!$B$2:$B$5000,Q$1))</f>
        <v/>
      </c>
      <c r="R201" s="88">
        <f>IF(OR(R$1="",$BE201=0),"",SUMIFS(Entries!$D$2:$D$5000,Entries!$C$2:$C$5000,"Actual",Entries!$A$2:$A$5000,$A201,Entries!$B$2:$B$5000,R$1))</f>
        <v/>
      </c>
      <c r="S201" s="88">
        <f>IF(OR(S$1="",$BE201=0),"",SUMIFS(Entries!$D$2:$D$5000,Entries!$C$2:$C$5000,"Actual",Entries!$A$2:$A$5000,$A201,Entries!$B$2:$B$5000,S$1))</f>
        <v/>
      </c>
      <c r="T201" s="88">
        <f>IF(OR(T$1="",$BE201=0),"",SUMIFS(Entries!$D$2:$D$5000,Entries!$C$2:$C$5000,"Actual",Entries!$A$2:$A$5000,$A201,Entries!$B$2:$B$5000,T$1))</f>
        <v/>
      </c>
      <c r="U201" s="88">
        <f>IF(OR(U$1="",$BE201=0),"",SUMIFS(Entries!$D$2:$D$5000,Entries!$C$2:$C$5000,"Actual",Entries!$A$2:$A$5000,$A201,Entries!$B$2:$B$5000,U$1))</f>
        <v/>
      </c>
      <c r="V201" s="88">
        <f>IF(OR(V$1="",$BE201=0),"",SUMIFS(Entries!$D$2:$D$5000,Entries!$C$2:$C$5000,"Actual",Entries!$A$2:$A$5000,$A201,Entries!$B$2:$B$5000,V$1))</f>
        <v/>
      </c>
      <c r="W201" s="88">
        <f>IF(OR(W$1="",$BE201=0),"",SUMIFS(Entries!$D$2:$D$5000,Entries!$C$2:$C$5000,"Actual",Entries!$A$2:$A$5000,$A201,Entries!$B$2:$B$5000,W$1))</f>
        <v/>
      </c>
      <c r="X201" s="88">
        <f>IF(OR(X$1="",$BE201=0),"",SUMIFS(Entries!$D$2:$D$5000,Entries!$C$2:$C$5000,"Actual",Entries!$A$2:$A$5000,$A201,Entries!$B$2:$B$5000,X$1))</f>
        <v/>
      </c>
      <c r="Y201" s="88">
        <f>IF(OR(Y$1="",$BE201=0),"",SUMIFS(Entries!$D$2:$D$5000,Entries!$C$2:$C$5000,"Actual",Entries!$A$2:$A$5000,$A201,Entries!$B$2:$B$5000,Y$1))</f>
        <v/>
      </c>
      <c r="Z201" s="88">
        <f>IF(OR(Z$1="",$BE201=0),"",SUMIFS(Entries!$D$2:$D$5000,Entries!$C$2:$C$5000,"Actual",Entries!$A$2:$A$5000,$A201,Entries!$B$2:$B$5000,Z$1))</f>
        <v/>
      </c>
      <c r="AA201" s="88">
        <f>IF(OR(AA$1="",$BE201=0),"",SUMIFS(Entries!$D$2:$D$5000,Entries!$C$2:$C$5000,"Actual",Entries!$A$2:$A$5000,$A201,Entries!$B$2:$B$5000,AA$1))</f>
        <v/>
      </c>
      <c r="AB201" s="88">
        <f>IF(OR(AB$1="",$BE201=0),"",SUMIFS(Entries!$D$2:$D$5000,Entries!$C$2:$C$5000,"Actual",Entries!$A$2:$A$5000,$A201,Entries!$B$2:$B$5000,AB$1))</f>
        <v/>
      </c>
      <c r="AC201" s="88">
        <f>IF(OR(AC$1="",$BE201=0),"",SUMIFS(Entries!$D$2:$D$5000,Entries!$C$2:$C$5000,"Actual",Entries!$A$2:$A$5000,$A201,Entries!$B$2:$B$5000,AC$1))</f>
        <v/>
      </c>
      <c r="AD201" s="88">
        <f>IF(OR(AD$1="",$BE201=0),"",SUMIFS(Entries!$D$2:$D$5000,Entries!$C$2:$C$5000,"Actual",Entries!$A$2:$A$5000,$A201,Entries!$B$2:$B$5000,AD$1))</f>
        <v/>
      </c>
      <c r="AE201" s="88">
        <f>IF(OR(AE$1="",$BE201=0),"",SUMIFS(Entries!$D$2:$D$5000,Entries!$C$2:$C$5000,"Actual",Entries!$A$2:$A$5000,$A201,Entries!$B$2:$B$5000,AE$1))</f>
        <v/>
      </c>
      <c r="AF201" s="88">
        <f>IF(OR(AF$1="",$BE201=0),"",SUMIFS(Entries!$D$2:$D$5000,Entries!$C$2:$C$5000,"Actual",Entries!$A$2:$A$5000,$A201,Entries!$B$2:$B$5000,AF$1))</f>
        <v/>
      </c>
      <c r="AG201" s="88">
        <f>IF(OR(AG$1="",$BE201=0),"",SUMIFS(Entries!$D$2:$D$5000,Entries!$C$2:$C$5000,"Actual",Entries!$A$2:$A$5000,$A201,Entries!$B$2:$B$5000,AG$1))</f>
        <v/>
      </c>
      <c r="AH201" s="88">
        <f>IF(OR(AH$1="",$BE201=0),"",SUMIFS(Entries!$D$2:$D$5000,Entries!$C$2:$C$5000,"Actual",Entries!$A$2:$A$5000,$A201,Entries!$B$2:$B$5000,AH$1))</f>
        <v/>
      </c>
      <c r="AJ201" s="88">
        <f>IF(OR(AJ$1="",$BE201=0),"",IFERROR(LOOKUP(2,1/((Budgets!$A$2:$A$200=AJ$1)*(Budgets!$B$2:$B$200&lt;=$A201)),Budgets!$C$2:$C$200),0))</f>
        <v/>
      </c>
      <c r="AK201" s="88">
        <f>IF(OR(AK$1="",$BE201=0),"",IFERROR(LOOKUP(2,1/((Budgets!$A$2:$A$200=AK$1)*(Budgets!$B$2:$B$200&lt;=$A201)),Budgets!$C$2:$C$200),0))</f>
        <v/>
      </c>
      <c r="AL201" s="88">
        <f>IF(OR(AL$1="",$BE201=0),"",IFERROR(LOOKUP(2,1/((Budgets!$A$2:$A$200=AL$1)*(Budgets!$B$2:$B$200&lt;=$A201)),Budgets!$C$2:$C$200),0))</f>
        <v/>
      </c>
      <c r="AM201" s="88">
        <f>IF(OR(AM$1="",$BE201=0),"",IFERROR(LOOKUP(2,1/((Budgets!$A$2:$A$200=AM$1)*(Budgets!$B$2:$B$200&lt;=$A201)),Budgets!$C$2:$C$200),0))</f>
        <v/>
      </c>
      <c r="AN201" s="88">
        <f>IF(OR(AN$1="",$BE201=0),"",IFERROR(LOOKUP(2,1/((Budgets!$A$2:$A$200=AN$1)*(Budgets!$B$2:$B$200&lt;=$A201)),Budgets!$C$2:$C$200),0))</f>
        <v/>
      </c>
      <c r="AO201" s="88">
        <f>IF(OR(AO$1="",$BE201=0),"",IFERROR(LOOKUP(2,1/((Budgets!$A$2:$A$200=AO$1)*(Budgets!$B$2:$B$200&lt;=$A201)),Budgets!$C$2:$C$200),0))</f>
        <v/>
      </c>
      <c r="AP201" s="88">
        <f>IF(OR(AP$1="",$BE201=0),"",IFERROR(LOOKUP(2,1/((Budgets!$A$2:$A$200=AP$1)*(Budgets!$B$2:$B$200&lt;=$A201)),Budgets!$C$2:$C$200),0))</f>
        <v/>
      </c>
      <c r="AQ201" s="88">
        <f>IF(OR(AQ$1="",$BE201=0),"",IFERROR(LOOKUP(2,1/((Budgets!$A$2:$A$200=AQ$1)*(Budgets!$B$2:$B$200&lt;=$A201)),Budgets!$C$2:$C$200),0))</f>
        <v/>
      </c>
      <c r="AR201" s="88">
        <f>IF(OR(AR$1="",$BE201=0),"",IFERROR(LOOKUP(2,1/((Budgets!$A$2:$A$200=AR$1)*(Budgets!$B$2:$B$200&lt;=$A201)),Budgets!$C$2:$C$200),0))</f>
        <v/>
      </c>
      <c r="AS201" s="88">
        <f>IF(OR(AS$1="",$BE201=0),"",IFERROR(LOOKUP(2,1/((Budgets!$A$2:$A$200=AS$1)*(Budgets!$B$2:$B$200&lt;=$A201)),Budgets!$C$2:$C$200),0))</f>
        <v/>
      </c>
      <c r="AT201" s="88">
        <f>IF(OR(AT$1="",$BE201=0),"",IFERROR(LOOKUP(2,1/((Budgets!$A$2:$A$200=AT$1)*(Budgets!$B$2:$B$200&lt;=$A201)),Budgets!$C$2:$C$200),0))</f>
        <v/>
      </c>
      <c r="AU201" s="88">
        <f>IF(OR(AU$1="",$BE201=0),"",IFERROR(LOOKUP(2,1/((Budgets!$A$2:$A$200=AU$1)*(Budgets!$B$2:$B$200&lt;=$A201)),Budgets!$C$2:$C$200),0))</f>
        <v/>
      </c>
      <c r="AV201" s="88">
        <f>IF(OR(AV$1="",$BE201=0),"",IFERROR(LOOKUP(2,1/((Budgets!$A$2:$A$200=AV$1)*(Budgets!$B$2:$B$200&lt;=$A201)),Budgets!$C$2:$C$200),0))</f>
        <v/>
      </c>
      <c r="AW201" s="88">
        <f>IF(OR(AW$1="",$BE201=0),"",IFERROR(LOOKUP(2,1/((Budgets!$A$2:$A$200=AW$1)*(Budgets!$B$2:$B$200&lt;=$A201)),Budgets!$C$2:$C$200),0))</f>
        <v/>
      </c>
      <c r="AX201" s="88">
        <f>IF(OR(AX$1="",$BE201=0),"",IFERROR(LOOKUP(2,1/((Budgets!$A$2:$A$200=AX$1)*(Budgets!$B$2:$B$200&lt;=$A201)),Budgets!$C$2:$C$200),0))</f>
        <v/>
      </c>
      <c r="AY201" s="88">
        <f>IF(OR(AY$1="",$BE201=0),"",IFERROR(LOOKUP(2,1/((Budgets!$A$2:$A$200=AY$1)*(Budgets!$B$2:$B$200&lt;=$A201)),Budgets!$C$2:$C$200),0))</f>
        <v/>
      </c>
      <c r="AZ201" s="88">
        <f>IF(OR(AZ$1="",$BE201=0),"",IFERROR(LOOKUP(2,1/((Budgets!$A$2:$A$200=AZ$1)*(Budgets!$B$2:$B$200&lt;=$A201)),Budgets!$C$2:$C$200),0))</f>
        <v/>
      </c>
      <c r="BA201" s="88">
        <f>IF(OR(BA$1="",$BE201=0),"",IFERROR(LOOKUP(2,1/((Budgets!$A$2:$A$200=BA$1)*(Budgets!$B$2:$B$200&lt;=$A201)),Budgets!$C$2:$C$200),0))</f>
        <v/>
      </c>
      <c r="BB201" s="88">
        <f>IF(OR(BB$1="",$BE201=0),"",IFERROR(LOOKUP(2,1/((Budgets!$A$2:$A$200=BB$1)*(Budgets!$B$2:$B$200&lt;=$A201)),Budgets!$C$2:$C$200),0))</f>
        <v/>
      </c>
      <c r="BC201" s="88">
        <f>IF(OR(BC$1="",$BE201=0),"",IFERROR(LOOKUP(2,1/((Budgets!$A$2:$A$200=BC$1)*(Budgets!$B$2:$B$200&lt;=$A201)),Budgets!$C$2:$C$200),0))</f>
        <v/>
      </c>
      <c r="BE201" s="67">
        <f>COUNTIFS(Entries!$A$2:$A$5000,$A201)</f>
        <v/>
      </c>
    </row>
    <row r="202" ht="15" customHeight="1" s="43">
      <c r="A202" s="87" t="n">
        <v>45536</v>
      </c>
      <c r="B202" s="88">
        <f>IF($BE202=0,NA(),SUMIFS(Entries!$D$2:$D$5000,Entries!$C$2:$C$5000,"Income",Entries!$A$2:$A$5000,$A202))</f>
        <v/>
      </c>
      <c r="C202" s="88">
        <f>IF($BE202=0,"",SUMIFS(Entries!$D$2:$D$5000,Entries!$C$2:$C$5000,"Actual",Entries!$A$2:$A$5000,$A202))</f>
        <v/>
      </c>
      <c r="D202" s="88">
        <f>IF($BE202=0,"",SUMIFS(Entries!$D$2:$D$5000,Entries!$C$2:$C$5000,"One-off",Entries!$A$2:$A$5000,$A202))</f>
        <v/>
      </c>
      <c r="E202" s="88">
        <f>IF($BE202=0,NA(),C202+D202)</f>
        <v/>
      </c>
      <c r="F202" s="88">
        <f>IF($BE202=0,"",SUM(AJ202:BC202))</f>
        <v/>
      </c>
      <c r="G202" s="88">
        <f>IF($BE202=0,"",B202-E202)</f>
        <v/>
      </c>
      <c r="H202" s="88">
        <f>IF($BE202=0,"",SUM($G$2:G202))</f>
        <v/>
      </c>
      <c r="I202" s="88">
        <f>IF($BE202=0,"",SUMIFS(Entries!$F$2:$F$5000,Entries!$A$2:$A$5000,$A202))</f>
        <v/>
      </c>
      <c r="J202" s="88">
        <f>IF($BE202=0,NA(),H202+SUM($I$2:I202))</f>
        <v/>
      </c>
      <c r="K202" s="88">
        <f>IF($BE202=0,"",SUMIFS(Entries!$D$2:$D$5000,Entries!$C$2:$C$5000,"Income",Entries!$A$2:$A$5000,"&gt;="&amp;EDATE($A202,-11),Entries!$A$2:$A$5000,"&lt;="&amp;$A202)/12)</f>
        <v/>
      </c>
      <c r="L202" s="88">
        <f>IF($BE202=0,"",(SUMIFS(Entries!$D$2:$D$5000,Entries!$C$2:$C$5000,"Actual",Entries!$A$2:$A$5000,"&gt;="&amp;EDATE($A202,-11),Entries!$A$2:$A$5000,"&lt;="&amp;$A202)+SUMIFS(Entries!$D$2:$D$5000,Entries!$C$2:$C$5000,"One-off",Entries!$A$2:$A$5000,"&gt;="&amp;EDATE($A202,-11),Entries!$A$2:$A$5000,"&lt;="&amp;$A202))/12)</f>
        <v/>
      </c>
      <c r="M202" s="70">
        <f>IF($BE202=0,NA(),IFERROR((K202-L202)/K202,0))</f>
        <v/>
      </c>
      <c r="O202" s="88">
        <f>IF(OR(O$1="",$BE202=0),"",SUMIFS(Entries!$D$2:$D$5000,Entries!$C$2:$C$5000,"Actual",Entries!$A$2:$A$5000,$A202,Entries!$B$2:$B$5000,O$1))</f>
        <v/>
      </c>
      <c r="P202" s="88">
        <f>IF(OR(P$1="",$BE202=0),"",SUMIFS(Entries!$D$2:$D$5000,Entries!$C$2:$C$5000,"Actual",Entries!$A$2:$A$5000,$A202,Entries!$B$2:$B$5000,P$1))</f>
        <v/>
      </c>
      <c r="Q202" s="88">
        <f>IF(OR(Q$1="",$BE202=0),"",SUMIFS(Entries!$D$2:$D$5000,Entries!$C$2:$C$5000,"Actual",Entries!$A$2:$A$5000,$A202,Entries!$B$2:$B$5000,Q$1))</f>
        <v/>
      </c>
      <c r="R202" s="88">
        <f>IF(OR(R$1="",$BE202=0),"",SUMIFS(Entries!$D$2:$D$5000,Entries!$C$2:$C$5000,"Actual",Entries!$A$2:$A$5000,$A202,Entries!$B$2:$B$5000,R$1))</f>
        <v/>
      </c>
      <c r="S202" s="88">
        <f>IF(OR(S$1="",$BE202=0),"",SUMIFS(Entries!$D$2:$D$5000,Entries!$C$2:$C$5000,"Actual",Entries!$A$2:$A$5000,$A202,Entries!$B$2:$B$5000,S$1))</f>
        <v/>
      </c>
      <c r="T202" s="88">
        <f>IF(OR(T$1="",$BE202=0),"",SUMIFS(Entries!$D$2:$D$5000,Entries!$C$2:$C$5000,"Actual",Entries!$A$2:$A$5000,$A202,Entries!$B$2:$B$5000,T$1))</f>
        <v/>
      </c>
      <c r="U202" s="88">
        <f>IF(OR(U$1="",$BE202=0),"",SUMIFS(Entries!$D$2:$D$5000,Entries!$C$2:$C$5000,"Actual",Entries!$A$2:$A$5000,$A202,Entries!$B$2:$B$5000,U$1))</f>
        <v/>
      </c>
      <c r="V202" s="88">
        <f>IF(OR(V$1="",$BE202=0),"",SUMIFS(Entries!$D$2:$D$5000,Entries!$C$2:$C$5000,"Actual",Entries!$A$2:$A$5000,$A202,Entries!$B$2:$B$5000,V$1))</f>
        <v/>
      </c>
      <c r="W202" s="88">
        <f>IF(OR(W$1="",$BE202=0),"",SUMIFS(Entries!$D$2:$D$5000,Entries!$C$2:$C$5000,"Actual",Entries!$A$2:$A$5000,$A202,Entries!$B$2:$B$5000,W$1))</f>
        <v/>
      </c>
      <c r="X202" s="88">
        <f>IF(OR(X$1="",$BE202=0),"",SUMIFS(Entries!$D$2:$D$5000,Entries!$C$2:$C$5000,"Actual",Entries!$A$2:$A$5000,$A202,Entries!$B$2:$B$5000,X$1))</f>
        <v/>
      </c>
      <c r="Y202" s="88">
        <f>IF(OR(Y$1="",$BE202=0),"",SUMIFS(Entries!$D$2:$D$5000,Entries!$C$2:$C$5000,"Actual",Entries!$A$2:$A$5000,$A202,Entries!$B$2:$B$5000,Y$1))</f>
        <v/>
      </c>
      <c r="Z202" s="88">
        <f>IF(OR(Z$1="",$BE202=0),"",SUMIFS(Entries!$D$2:$D$5000,Entries!$C$2:$C$5000,"Actual",Entries!$A$2:$A$5000,$A202,Entries!$B$2:$B$5000,Z$1))</f>
        <v/>
      </c>
      <c r="AA202" s="88">
        <f>IF(OR(AA$1="",$BE202=0),"",SUMIFS(Entries!$D$2:$D$5000,Entries!$C$2:$C$5000,"Actual",Entries!$A$2:$A$5000,$A202,Entries!$B$2:$B$5000,AA$1))</f>
        <v/>
      </c>
      <c r="AB202" s="88">
        <f>IF(OR(AB$1="",$BE202=0),"",SUMIFS(Entries!$D$2:$D$5000,Entries!$C$2:$C$5000,"Actual",Entries!$A$2:$A$5000,$A202,Entries!$B$2:$B$5000,AB$1))</f>
        <v/>
      </c>
      <c r="AC202" s="88">
        <f>IF(OR(AC$1="",$BE202=0),"",SUMIFS(Entries!$D$2:$D$5000,Entries!$C$2:$C$5000,"Actual",Entries!$A$2:$A$5000,$A202,Entries!$B$2:$B$5000,AC$1))</f>
        <v/>
      </c>
      <c r="AD202" s="88">
        <f>IF(OR(AD$1="",$BE202=0),"",SUMIFS(Entries!$D$2:$D$5000,Entries!$C$2:$C$5000,"Actual",Entries!$A$2:$A$5000,$A202,Entries!$B$2:$B$5000,AD$1))</f>
        <v/>
      </c>
      <c r="AE202" s="88">
        <f>IF(OR(AE$1="",$BE202=0),"",SUMIFS(Entries!$D$2:$D$5000,Entries!$C$2:$C$5000,"Actual",Entries!$A$2:$A$5000,$A202,Entries!$B$2:$B$5000,AE$1))</f>
        <v/>
      </c>
      <c r="AF202" s="88">
        <f>IF(OR(AF$1="",$BE202=0),"",SUMIFS(Entries!$D$2:$D$5000,Entries!$C$2:$C$5000,"Actual",Entries!$A$2:$A$5000,$A202,Entries!$B$2:$B$5000,AF$1))</f>
        <v/>
      </c>
      <c r="AG202" s="88">
        <f>IF(OR(AG$1="",$BE202=0),"",SUMIFS(Entries!$D$2:$D$5000,Entries!$C$2:$C$5000,"Actual",Entries!$A$2:$A$5000,$A202,Entries!$B$2:$B$5000,AG$1))</f>
        <v/>
      </c>
      <c r="AH202" s="88">
        <f>IF(OR(AH$1="",$BE202=0),"",SUMIFS(Entries!$D$2:$D$5000,Entries!$C$2:$C$5000,"Actual",Entries!$A$2:$A$5000,$A202,Entries!$B$2:$B$5000,AH$1))</f>
        <v/>
      </c>
      <c r="AJ202" s="88">
        <f>IF(OR(AJ$1="",$BE202=0),"",IFERROR(LOOKUP(2,1/((Budgets!$A$2:$A$200=AJ$1)*(Budgets!$B$2:$B$200&lt;=$A202)),Budgets!$C$2:$C$200),0))</f>
        <v/>
      </c>
      <c r="AK202" s="88">
        <f>IF(OR(AK$1="",$BE202=0),"",IFERROR(LOOKUP(2,1/((Budgets!$A$2:$A$200=AK$1)*(Budgets!$B$2:$B$200&lt;=$A202)),Budgets!$C$2:$C$200),0))</f>
        <v/>
      </c>
      <c r="AL202" s="88">
        <f>IF(OR(AL$1="",$BE202=0),"",IFERROR(LOOKUP(2,1/((Budgets!$A$2:$A$200=AL$1)*(Budgets!$B$2:$B$200&lt;=$A202)),Budgets!$C$2:$C$200),0))</f>
        <v/>
      </c>
      <c r="AM202" s="88">
        <f>IF(OR(AM$1="",$BE202=0),"",IFERROR(LOOKUP(2,1/((Budgets!$A$2:$A$200=AM$1)*(Budgets!$B$2:$B$200&lt;=$A202)),Budgets!$C$2:$C$200),0))</f>
        <v/>
      </c>
      <c r="AN202" s="88">
        <f>IF(OR(AN$1="",$BE202=0),"",IFERROR(LOOKUP(2,1/((Budgets!$A$2:$A$200=AN$1)*(Budgets!$B$2:$B$200&lt;=$A202)),Budgets!$C$2:$C$200),0))</f>
        <v/>
      </c>
      <c r="AO202" s="88">
        <f>IF(OR(AO$1="",$BE202=0),"",IFERROR(LOOKUP(2,1/((Budgets!$A$2:$A$200=AO$1)*(Budgets!$B$2:$B$200&lt;=$A202)),Budgets!$C$2:$C$200),0))</f>
        <v/>
      </c>
      <c r="AP202" s="88">
        <f>IF(OR(AP$1="",$BE202=0),"",IFERROR(LOOKUP(2,1/((Budgets!$A$2:$A$200=AP$1)*(Budgets!$B$2:$B$200&lt;=$A202)),Budgets!$C$2:$C$200),0))</f>
        <v/>
      </c>
      <c r="AQ202" s="88">
        <f>IF(OR(AQ$1="",$BE202=0),"",IFERROR(LOOKUP(2,1/((Budgets!$A$2:$A$200=AQ$1)*(Budgets!$B$2:$B$200&lt;=$A202)),Budgets!$C$2:$C$200),0))</f>
        <v/>
      </c>
      <c r="AR202" s="88">
        <f>IF(OR(AR$1="",$BE202=0),"",IFERROR(LOOKUP(2,1/((Budgets!$A$2:$A$200=AR$1)*(Budgets!$B$2:$B$200&lt;=$A202)),Budgets!$C$2:$C$200),0))</f>
        <v/>
      </c>
      <c r="AS202" s="88">
        <f>IF(OR(AS$1="",$BE202=0),"",IFERROR(LOOKUP(2,1/((Budgets!$A$2:$A$200=AS$1)*(Budgets!$B$2:$B$200&lt;=$A202)),Budgets!$C$2:$C$200),0))</f>
        <v/>
      </c>
      <c r="AT202" s="88">
        <f>IF(OR(AT$1="",$BE202=0),"",IFERROR(LOOKUP(2,1/((Budgets!$A$2:$A$200=AT$1)*(Budgets!$B$2:$B$200&lt;=$A202)),Budgets!$C$2:$C$200),0))</f>
        <v/>
      </c>
      <c r="AU202" s="88">
        <f>IF(OR(AU$1="",$BE202=0),"",IFERROR(LOOKUP(2,1/((Budgets!$A$2:$A$200=AU$1)*(Budgets!$B$2:$B$200&lt;=$A202)),Budgets!$C$2:$C$200),0))</f>
        <v/>
      </c>
      <c r="AV202" s="88">
        <f>IF(OR(AV$1="",$BE202=0),"",IFERROR(LOOKUP(2,1/((Budgets!$A$2:$A$200=AV$1)*(Budgets!$B$2:$B$200&lt;=$A202)),Budgets!$C$2:$C$200),0))</f>
        <v/>
      </c>
      <c r="AW202" s="88">
        <f>IF(OR(AW$1="",$BE202=0),"",IFERROR(LOOKUP(2,1/((Budgets!$A$2:$A$200=AW$1)*(Budgets!$B$2:$B$200&lt;=$A202)),Budgets!$C$2:$C$200),0))</f>
        <v/>
      </c>
      <c r="AX202" s="88">
        <f>IF(OR(AX$1="",$BE202=0),"",IFERROR(LOOKUP(2,1/((Budgets!$A$2:$A$200=AX$1)*(Budgets!$B$2:$B$200&lt;=$A202)),Budgets!$C$2:$C$200),0))</f>
        <v/>
      </c>
      <c r="AY202" s="88">
        <f>IF(OR(AY$1="",$BE202=0),"",IFERROR(LOOKUP(2,1/((Budgets!$A$2:$A$200=AY$1)*(Budgets!$B$2:$B$200&lt;=$A202)),Budgets!$C$2:$C$200),0))</f>
        <v/>
      </c>
      <c r="AZ202" s="88">
        <f>IF(OR(AZ$1="",$BE202=0),"",IFERROR(LOOKUP(2,1/((Budgets!$A$2:$A$200=AZ$1)*(Budgets!$B$2:$B$200&lt;=$A202)),Budgets!$C$2:$C$200),0))</f>
        <v/>
      </c>
      <c r="BA202" s="88">
        <f>IF(OR(BA$1="",$BE202=0),"",IFERROR(LOOKUP(2,1/((Budgets!$A$2:$A$200=BA$1)*(Budgets!$B$2:$B$200&lt;=$A202)),Budgets!$C$2:$C$200),0))</f>
        <v/>
      </c>
      <c r="BB202" s="88">
        <f>IF(OR(BB$1="",$BE202=0),"",IFERROR(LOOKUP(2,1/((Budgets!$A$2:$A$200=BB$1)*(Budgets!$B$2:$B$200&lt;=$A202)),Budgets!$C$2:$C$200),0))</f>
        <v/>
      </c>
      <c r="BC202" s="88">
        <f>IF(OR(BC$1="",$BE202=0),"",IFERROR(LOOKUP(2,1/((Budgets!$A$2:$A$200=BC$1)*(Budgets!$B$2:$B$200&lt;=$A202)),Budgets!$C$2:$C$200),0))</f>
        <v/>
      </c>
      <c r="BE202" s="67">
        <f>COUNTIFS(Entries!$A$2:$A$5000,$A202)</f>
        <v/>
      </c>
    </row>
    <row r="203" ht="15" customHeight="1" s="43">
      <c r="A203" s="87" t="n">
        <v>45566</v>
      </c>
      <c r="B203" s="88">
        <f>IF($BE203=0,NA(),SUMIFS(Entries!$D$2:$D$5000,Entries!$C$2:$C$5000,"Income",Entries!$A$2:$A$5000,$A203))</f>
        <v/>
      </c>
      <c r="C203" s="88">
        <f>IF($BE203=0,"",SUMIFS(Entries!$D$2:$D$5000,Entries!$C$2:$C$5000,"Actual",Entries!$A$2:$A$5000,$A203))</f>
        <v/>
      </c>
      <c r="D203" s="88">
        <f>IF($BE203=0,"",SUMIFS(Entries!$D$2:$D$5000,Entries!$C$2:$C$5000,"One-off",Entries!$A$2:$A$5000,$A203))</f>
        <v/>
      </c>
      <c r="E203" s="88">
        <f>IF($BE203=0,NA(),C203+D203)</f>
        <v/>
      </c>
      <c r="F203" s="88">
        <f>IF($BE203=0,"",SUM(AJ203:BC203))</f>
        <v/>
      </c>
      <c r="G203" s="88">
        <f>IF($BE203=0,"",B203-E203)</f>
        <v/>
      </c>
      <c r="H203" s="88">
        <f>IF($BE203=0,"",SUM($G$2:G203))</f>
        <v/>
      </c>
      <c r="I203" s="88">
        <f>IF($BE203=0,"",SUMIFS(Entries!$F$2:$F$5000,Entries!$A$2:$A$5000,$A203))</f>
        <v/>
      </c>
      <c r="J203" s="88">
        <f>IF($BE203=0,NA(),H203+SUM($I$2:I203))</f>
        <v/>
      </c>
      <c r="K203" s="88">
        <f>IF($BE203=0,"",SUMIFS(Entries!$D$2:$D$5000,Entries!$C$2:$C$5000,"Income",Entries!$A$2:$A$5000,"&gt;="&amp;EDATE($A203,-11),Entries!$A$2:$A$5000,"&lt;="&amp;$A203)/12)</f>
        <v/>
      </c>
      <c r="L203" s="88">
        <f>IF($BE203=0,"",(SUMIFS(Entries!$D$2:$D$5000,Entries!$C$2:$C$5000,"Actual",Entries!$A$2:$A$5000,"&gt;="&amp;EDATE($A203,-11),Entries!$A$2:$A$5000,"&lt;="&amp;$A203)+SUMIFS(Entries!$D$2:$D$5000,Entries!$C$2:$C$5000,"One-off",Entries!$A$2:$A$5000,"&gt;="&amp;EDATE($A203,-11),Entries!$A$2:$A$5000,"&lt;="&amp;$A203))/12)</f>
        <v/>
      </c>
      <c r="M203" s="70">
        <f>IF($BE203=0,NA(),IFERROR((K203-L203)/K203,0))</f>
        <v/>
      </c>
      <c r="O203" s="88">
        <f>IF(OR(O$1="",$BE203=0),"",SUMIFS(Entries!$D$2:$D$5000,Entries!$C$2:$C$5000,"Actual",Entries!$A$2:$A$5000,$A203,Entries!$B$2:$B$5000,O$1))</f>
        <v/>
      </c>
      <c r="P203" s="88">
        <f>IF(OR(P$1="",$BE203=0),"",SUMIFS(Entries!$D$2:$D$5000,Entries!$C$2:$C$5000,"Actual",Entries!$A$2:$A$5000,$A203,Entries!$B$2:$B$5000,P$1))</f>
        <v/>
      </c>
      <c r="Q203" s="88">
        <f>IF(OR(Q$1="",$BE203=0),"",SUMIFS(Entries!$D$2:$D$5000,Entries!$C$2:$C$5000,"Actual",Entries!$A$2:$A$5000,$A203,Entries!$B$2:$B$5000,Q$1))</f>
        <v/>
      </c>
      <c r="R203" s="88">
        <f>IF(OR(R$1="",$BE203=0),"",SUMIFS(Entries!$D$2:$D$5000,Entries!$C$2:$C$5000,"Actual",Entries!$A$2:$A$5000,$A203,Entries!$B$2:$B$5000,R$1))</f>
        <v/>
      </c>
      <c r="S203" s="88">
        <f>IF(OR(S$1="",$BE203=0),"",SUMIFS(Entries!$D$2:$D$5000,Entries!$C$2:$C$5000,"Actual",Entries!$A$2:$A$5000,$A203,Entries!$B$2:$B$5000,S$1))</f>
        <v/>
      </c>
      <c r="T203" s="88">
        <f>IF(OR(T$1="",$BE203=0),"",SUMIFS(Entries!$D$2:$D$5000,Entries!$C$2:$C$5000,"Actual",Entries!$A$2:$A$5000,$A203,Entries!$B$2:$B$5000,T$1))</f>
        <v/>
      </c>
      <c r="U203" s="88">
        <f>IF(OR(U$1="",$BE203=0),"",SUMIFS(Entries!$D$2:$D$5000,Entries!$C$2:$C$5000,"Actual",Entries!$A$2:$A$5000,$A203,Entries!$B$2:$B$5000,U$1))</f>
        <v/>
      </c>
      <c r="V203" s="88">
        <f>IF(OR(V$1="",$BE203=0),"",SUMIFS(Entries!$D$2:$D$5000,Entries!$C$2:$C$5000,"Actual",Entries!$A$2:$A$5000,$A203,Entries!$B$2:$B$5000,V$1))</f>
        <v/>
      </c>
      <c r="W203" s="88">
        <f>IF(OR(W$1="",$BE203=0),"",SUMIFS(Entries!$D$2:$D$5000,Entries!$C$2:$C$5000,"Actual",Entries!$A$2:$A$5000,$A203,Entries!$B$2:$B$5000,W$1))</f>
        <v/>
      </c>
      <c r="X203" s="88">
        <f>IF(OR(X$1="",$BE203=0),"",SUMIFS(Entries!$D$2:$D$5000,Entries!$C$2:$C$5000,"Actual",Entries!$A$2:$A$5000,$A203,Entries!$B$2:$B$5000,X$1))</f>
        <v/>
      </c>
      <c r="Y203" s="88">
        <f>IF(OR(Y$1="",$BE203=0),"",SUMIFS(Entries!$D$2:$D$5000,Entries!$C$2:$C$5000,"Actual",Entries!$A$2:$A$5000,$A203,Entries!$B$2:$B$5000,Y$1))</f>
        <v/>
      </c>
      <c r="Z203" s="88">
        <f>IF(OR(Z$1="",$BE203=0),"",SUMIFS(Entries!$D$2:$D$5000,Entries!$C$2:$C$5000,"Actual",Entries!$A$2:$A$5000,$A203,Entries!$B$2:$B$5000,Z$1))</f>
        <v/>
      </c>
      <c r="AA203" s="88">
        <f>IF(OR(AA$1="",$BE203=0),"",SUMIFS(Entries!$D$2:$D$5000,Entries!$C$2:$C$5000,"Actual",Entries!$A$2:$A$5000,$A203,Entries!$B$2:$B$5000,AA$1))</f>
        <v/>
      </c>
      <c r="AB203" s="88">
        <f>IF(OR(AB$1="",$BE203=0),"",SUMIFS(Entries!$D$2:$D$5000,Entries!$C$2:$C$5000,"Actual",Entries!$A$2:$A$5000,$A203,Entries!$B$2:$B$5000,AB$1))</f>
        <v/>
      </c>
      <c r="AC203" s="88">
        <f>IF(OR(AC$1="",$BE203=0),"",SUMIFS(Entries!$D$2:$D$5000,Entries!$C$2:$C$5000,"Actual",Entries!$A$2:$A$5000,$A203,Entries!$B$2:$B$5000,AC$1))</f>
        <v/>
      </c>
      <c r="AD203" s="88">
        <f>IF(OR(AD$1="",$BE203=0),"",SUMIFS(Entries!$D$2:$D$5000,Entries!$C$2:$C$5000,"Actual",Entries!$A$2:$A$5000,$A203,Entries!$B$2:$B$5000,AD$1))</f>
        <v/>
      </c>
      <c r="AE203" s="88">
        <f>IF(OR(AE$1="",$BE203=0),"",SUMIFS(Entries!$D$2:$D$5000,Entries!$C$2:$C$5000,"Actual",Entries!$A$2:$A$5000,$A203,Entries!$B$2:$B$5000,AE$1))</f>
        <v/>
      </c>
      <c r="AF203" s="88">
        <f>IF(OR(AF$1="",$BE203=0),"",SUMIFS(Entries!$D$2:$D$5000,Entries!$C$2:$C$5000,"Actual",Entries!$A$2:$A$5000,$A203,Entries!$B$2:$B$5000,AF$1))</f>
        <v/>
      </c>
      <c r="AG203" s="88">
        <f>IF(OR(AG$1="",$BE203=0),"",SUMIFS(Entries!$D$2:$D$5000,Entries!$C$2:$C$5000,"Actual",Entries!$A$2:$A$5000,$A203,Entries!$B$2:$B$5000,AG$1))</f>
        <v/>
      </c>
      <c r="AH203" s="88">
        <f>IF(OR(AH$1="",$BE203=0),"",SUMIFS(Entries!$D$2:$D$5000,Entries!$C$2:$C$5000,"Actual",Entries!$A$2:$A$5000,$A203,Entries!$B$2:$B$5000,AH$1))</f>
        <v/>
      </c>
      <c r="AJ203" s="88">
        <f>IF(OR(AJ$1="",$BE203=0),"",IFERROR(LOOKUP(2,1/((Budgets!$A$2:$A$200=AJ$1)*(Budgets!$B$2:$B$200&lt;=$A203)),Budgets!$C$2:$C$200),0))</f>
        <v/>
      </c>
      <c r="AK203" s="88">
        <f>IF(OR(AK$1="",$BE203=0),"",IFERROR(LOOKUP(2,1/((Budgets!$A$2:$A$200=AK$1)*(Budgets!$B$2:$B$200&lt;=$A203)),Budgets!$C$2:$C$200),0))</f>
        <v/>
      </c>
      <c r="AL203" s="88">
        <f>IF(OR(AL$1="",$BE203=0),"",IFERROR(LOOKUP(2,1/((Budgets!$A$2:$A$200=AL$1)*(Budgets!$B$2:$B$200&lt;=$A203)),Budgets!$C$2:$C$200),0))</f>
        <v/>
      </c>
      <c r="AM203" s="88">
        <f>IF(OR(AM$1="",$BE203=0),"",IFERROR(LOOKUP(2,1/((Budgets!$A$2:$A$200=AM$1)*(Budgets!$B$2:$B$200&lt;=$A203)),Budgets!$C$2:$C$200),0))</f>
        <v/>
      </c>
      <c r="AN203" s="88">
        <f>IF(OR(AN$1="",$BE203=0),"",IFERROR(LOOKUP(2,1/((Budgets!$A$2:$A$200=AN$1)*(Budgets!$B$2:$B$200&lt;=$A203)),Budgets!$C$2:$C$200),0))</f>
        <v/>
      </c>
      <c r="AO203" s="88">
        <f>IF(OR(AO$1="",$BE203=0),"",IFERROR(LOOKUP(2,1/((Budgets!$A$2:$A$200=AO$1)*(Budgets!$B$2:$B$200&lt;=$A203)),Budgets!$C$2:$C$200),0))</f>
        <v/>
      </c>
      <c r="AP203" s="88">
        <f>IF(OR(AP$1="",$BE203=0),"",IFERROR(LOOKUP(2,1/((Budgets!$A$2:$A$200=AP$1)*(Budgets!$B$2:$B$200&lt;=$A203)),Budgets!$C$2:$C$200),0))</f>
        <v/>
      </c>
      <c r="AQ203" s="88">
        <f>IF(OR(AQ$1="",$BE203=0),"",IFERROR(LOOKUP(2,1/((Budgets!$A$2:$A$200=AQ$1)*(Budgets!$B$2:$B$200&lt;=$A203)),Budgets!$C$2:$C$200),0))</f>
        <v/>
      </c>
      <c r="AR203" s="88">
        <f>IF(OR(AR$1="",$BE203=0),"",IFERROR(LOOKUP(2,1/((Budgets!$A$2:$A$200=AR$1)*(Budgets!$B$2:$B$200&lt;=$A203)),Budgets!$C$2:$C$200),0))</f>
        <v/>
      </c>
      <c r="AS203" s="88">
        <f>IF(OR(AS$1="",$BE203=0),"",IFERROR(LOOKUP(2,1/((Budgets!$A$2:$A$200=AS$1)*(Budgets!$B$2:$B$200&lt;=$A203)),Budgets!$C$2:$C$200),0))</f>
        <v/>
      </c>
      <c r="AT203" s="88">
        <f>IF(OR(AT$1="",$BE203=0),"",IFERROR(LOOKUP(2,1/((Budgets!$A$2:$A$200=AT$1)*(Budgets!$B$2:$B$200&lt;=$A203)),Budgets!$C$2:$C$200),0))</f>
        <v/>
      </c>
      <c r="AU203" s="88">
        <f>IF(OR(AU$1="",$BE203=0),"",IFERROR(LOOKUP(2,1/((Budgets!$A$2:$A$200=AU$1)*(Budgets!$B$2:$B$200&lt;=$A203)),Budgets!$C$2:$C$200),0))</f>
        <v/>
      </c>
      <c r="AV203" s="88">
        <f>IF(OR(AV$1="",$BE203=0),"",IFERROR(LOOKUP(2,1/((Budgets!$A$2:$A$200=AV$1)*(Budgets!$B$2:$B$200&lt;=$A203)),Budgets!$C$2:$C$200),0))</f>
        <v/>
      </c>
      <c r="AW203" s="88">
        <f>IF(OR(AW$1="",$BE203=0),"",IFERROR(LOOKUP(2,1/((Budgets!$A$2:$A$200=AW$1)*(Budgets!$B$2:$B$200&lt;=$A203)),Budgets!$C$2:$C$200),0))</f>
        <v/>
      </c>
      <c r="AX203" s="88">
        <f>IF(OR(AX$1="",$BE203=0),"",IFERROR(LOOKUP(2,1/((Budgets!$A$2:$A$200=AX$1)*(Budgets!$B$2:$B$200&lt;=$A203)),Budgets!$C$2:$C$200),0))</f>
        <v/>
      </c>
      <c r="AY203" s="88">
        <f>IF(OR(AY$1="",$BE203=0),"",IFERROR(LOOKUP(2,1/((Budgets!$A$2:$A$200=AY$1)*(Budgets!$B$2:$B$200&lt;=$A203)),Budgets!$C$2:$C$200),0))</f>
        <v/>
      </c>
      <c r="AZ203" s="88">
        <f>IF(OR(AZ$1="",$BE203=0),"",IFERROR(LOOKUP(2,1/((Budgets!$A$2:$A$200=AZ$1)*(Budgets!$B$2:$B$200&lt;=$A203)),Budgets!$C$2:$C$200),0))</f>
        <v/>
      </c>
      <c r="BA203" s="88">
        <f>IF(OR(BA$1="",$BE203=0),"",IFERROR(LOOKUP(2,1/((Budgets!$A$2:$A$200=BA$1)*(Budgets!$B$2:$B$200&lt;=$A203)),Budgets!$C$2:$C$200),0))</f>
        <v/>
      </c>
      <c r="BB203" s="88">
        <f>IF(OR(BB$1="",$BE203=0),"",IFERROR(LOOKUP(2,1/((Budgets!$A$2:$A$200=BB$1)*(Budgets!$B$2:$B$200&lt;=$A203)),Budgets!$C$2:$C$200),0))</f>
        <v/>
      </c>
      <c r="BC203" s="88">
        <f>IF(OR(BC$1="",$BE203=0),"",IFERROR(LOOKUP(2,1/((Budgets!$A$2:$A$200=BC$1)*(Budgets!$B$2:$B$200&lt;=$A203)),Budgets!$C$2:$C$200),0))</f>
        <v/>
      </c>
      <c r="BE203" s="67">
        <f>COUNTIFS(Entries!$A$2:$A$5000,$A203)</f>
        <v/>
      </c>
    </row>
    <row r="204" ht="15" customHeight="1" s="43">
      <c r="A204" s="87" t="n">
        <v>45597</v>
      </c>
      <c r="B204" s="88">
        <f>IF($BE204=0,NA(),SUMIFS(Entries!$D$2:$D$5000,Entries!$C$2:$C$5000,"Income",Entries!$A$2:$A$5000,$A204))</f>
        <v/>
      </c>
      <c r="C204" s="88">
        <f>IF($BE204=0,"",SUMIFS(Entries!$D$2:$D$5000,Entries!$C$2:$C$5000,"Actual",Entries!$A$2:$A$5000,$A204))</f>
        <v/>
      </c>
      <c r="D204" s="88">
        <f>IF($BE204=0,"",SUMIFS(Entries!$D$2:$D$5000,Entries!$C$2:$C$5000,"One-off",Entries!$A$2:$A$5000,$A204))</f>
        <v/>
      </c>
      <c r="E204" s="88">
        <f>IF($BE204=0,NA(),C204+D204)</f>
        <v/>
      </c>
      <c r="F204" s="88">
        <f>IF($BE204=0,"",SUM(AJ204:BC204))</f>
        <v/>
      </c>
      <c r="G204" s="88">
        <f>IF($BE204=0,"",B204-E204)</f>
        <v/>
      </c>
      <c r="H204" s="88">
        <f>IF($BE204=0,"",SUM($G$2:G204))</f>
        <v/>
      </c>
      <c r="I204" s="88">
        <f>IF($BE204=0,"",SUMIFS(Entries!$F$2:$F$5000,Entries!$A$2:$A$5000,$A204))</f>
        <v/>
      </c>
      <c r="J204" s="88">
        <f>IF($BE204=0,NA(),H204+SUM($I$2:I204))</f>
        <v/>
      </c>
      <c r="K204" s="88">
        <f>IF($BE204=0,"",SUMIFS(Entries!$D$2:$D$5000,Entries!$C$2:$C$5000,"Income",Entries!$A$2:$A$5000,"&gt;="&amp;EDATE($A204,-11),Entries!$A$2:$A$5000,"&lt;="&amp;$A204)/12)</f>
        <v/>
      </c>
      <c r="L204" s="88">
        <f>IF($BE204=0,"",(SUMIFS(Entries!$D$2:$D$5000,Entries!$C$2:$C$5000,"Actual",Entries!$A$2:$A$5000,"&gt;="&amp;EDATE($A204,-11),Entries!$A$2:$A$5000,"&lt;="&amp;$A204)+SUMIFS(Entries!$D$2:$D$5000,Entries!$C$2:$C$5000,"One-off",Entries!$A$2:$A$5000,"&gt;="&amp;EDATE($A204,-11),Entries!$A$2:$A$5000,"&lt;="&amp;$A204))/12)</f>
        <v/>
      </c>
      <c r="M204" s="70">
        <f>IF($BE204=0,NA(),IFERROR((K204-L204)/K204,0))</f>
        <v/>
      </c>
      <c r="O204" s="88">
        <f>IF(OR(O$1="",$BE204=0),"",SUMIFS(Entries!$D$2:$D$5000,Entries!$C$2:$C$5000,"Actual",Entries!$A$2:$A$5000,$A204,Entries!$B$2:$B$5000,O$1))</f>
        <v/>
      </c>
      <c r="P204" s="88">
        <f>IF(OR(P$1="",$BE204=0),"",SUMIFS(Entries!$D$2:$D$5000,Entries!$C$2:$C$5000,"Actual",Entries!$A$2:$A$5000,$A204,Entries!$B$2:$B$5000,P$1))</f>
        <v/>
      </c>
      <c r="Q204" s="88">
        <f>IF(OR(Q$1="",$BE204=0),"",SUMIFS(Entries!$D$2:$D$5000,Entries!$C$2:$C$5000,"Actual",Entries!$A$2:$A$5000,$A204,Entries!$B$2:$B$5000,Q$1))</f>
        <v/>
      </c>
      <c r="R204" s="88">
        <f>IF(OR(R$1="",$BE204=0),"",SUMIFS(Entries!$D$2:$D$5000,Entries!$C$2:$C$5000,"Actual",Entries!$A$2:$A$5000,$A204,Entries!$B$2:$B$5000,R$1))</f>
        <v/>
      </c>
      <c r="S204" s="88">
        <f>IF(OR(S$1="",$BE204=0),"",SUMIFS(Entries!$D$2:$D$5000,Entries!$C$2:$C$5000,"Actual",Entries!$A$2:$A$5000,$A204,Entries!$B$2:$B$5000,S$1))</f>
        <v/>
      </c>
      <c r="T204" s="88">
        <f>IF(OR(T$1="",$BE204=0),"",SUMIFS(Entries!$D$2:$D$5000,Entries!$C$2:$C$5000,"Actual",Entries!$A$2:$A$5000,$A204,Entries!$B$2:$B$5000,T$1))</f>
        <v/>
      </c>
      <c r="U204" s="88">
        <f>IF(OR(U$1="",$BE204=0),"",SUMIFS(Entries!$D$2:$D$5000,Entries!$C$2:$C$5000,"Actual",Entries!$A$2:$A$5000,$A204,Entries!$B$2:$B$5000,U$1))</f>
        <v/>
      </c>
      <c r="V204" s="88">
        <f>IF(OR(V$1="",$BE204=0),"",SUMIFS(Entries!$D$2:$D$5000,Entries!$C$2:$C$5000,"Actual",Entries!$A$2:$A$5000,$A204,Entries!$B$2:$B$5000,V$1))</f>
        <v/>
      </c>
      <c r="W204" s="88">
        <f>IF(OR(W$1="",$BE204=0),"",SUMIFS(Entries!$D$2:$D$5000,Entries!$C$2:$C$5000,"Actual",Entries!$A$2:$A$5000,$A204,Entries!$B$2:$B$5000,W$1))</f>
        <v/>
      </c>
      <c r="X204" s="88">
        <f>IF(OR(X$1="",$BE204=0),"",SUMIFS(Entries!$D$2:$D$5000,Entries!$C$2:$C$5000,"Actual",Entries!$A$2:$A$5000,$A204,Entries!$B$2:$B$5000,X$1))</f>
        <v/>
      </c>
      <c r="Y204" s="88">
        <f>IF(OR(Y$1="",$BE204=0),"",SUMIFS(Entries!$D$2:$D$5000,Entries!$C$2:$C$5000,"Actual",Entries!$A$2:$A$5000,$A204,Entries!$B$2:$B$5000,Y$1))</f>
        <v/>
      </c>
      <c r="Z204" s="88">
        <f>IF(OR(Z$1="",$BE204=0),"",SUMIFS(Entries!$D$2:$D$5000,Entries!$C$2:$C$5000,"Actual",Entries!$A$2:$A$5000,$A204,Entries!$B$2:$B$5000,Z$1))</f>
        <v/>
      </c>
      <c r="AA204" s="88">
        <f>IF(OR(AA$1="",$BE204=0),"",SUMIFS(Entries!$D$2:$D$5000,Entries!$C$2:$C$5000,"Actual",Entries!$A$2:$A$5000,$A204,Entries!$B$2:$B$5000,AA$1))</f>
        <v/>
      </c>
      <c r="AB204" s="88">
        <f>IF(OR(AB$1="",$BE204=0),"",SUMIFS(Entries!$D$2:$D$5000,Entries!$C$2:$C$5000,"Actual",Entries!$A$2:$A$5000,$A204,Entries!$B$2:$B$5000,AB$1))</f>
        <v/>
      </c>
      <c r="AC204" s="88">
        <f>IF(OR(AC$1="",$BE204=0),"",SUMIFS(Entries!$D$2:$D$5000,Entries!$C$2:$C$5000,"Actual",Entries!$A$2:$A$5000,$A204,Entries!$B$2:$B$5000,AC$1))</f>
        <v/>
      </c>
      <c r="AD204" s="88">
        <f>IF(OR(AD$1="",$BE204=0),"",SUMIFS(Entries!$D$2:$D$5000,Entries!$C$2:$C$5000,"Actual",Entries!$A$2:$A$5000,$A204,Entries!$B$2:$B$5000,AD$1))</f>
        <v/>
      </c>
      <c r="AE204" s="88">
        <f>IF(OR(AE$1="",$BE204=0),"",SUMIFS(Entries!$D$2:$D$5000,Entries!$C$2:$C$5000,"Actual",Entries!$A$2:$A$5000,$A204,Entries!$B$2:$B$5000,AE$1))</f>
        <v/>
      </c>
      <c r="AF204" s="88">
        <f>IF(OR(AF$1="",$BE204=0),"",SUMIFS(Entries!$D$2:$D$5000,Entries!$C$2:$C$5000,"Actual",Entries!$A$2:$A$5000,$A204,Entries!$B$2:$B$5000,AF$1))</f>
        <v/>
      </c>
      <c r="AG204" s="88">
        <f>IF(OR(AG$1="",$BE204=0),"",SUMIFS(Entries!$D$2:$D$5000,Entries!$C$2:$C$5000,"Actual",Entries!$A$2:$A$5000,$A204,Entries!$B$2:$B$5000,AG$1))</f>
        <v/>
      </c>
      <c r="AH204" s="88">
        <f>IF(OR(AH$1="",$BE204=0),"",SUMIFS(Entries!$D$2:$D$5000,Entries!$C$2:$C$5000,"Actual",Entries!$A$2:$A$5000,$A204,Entries!$B$2:$B$5000,AH$1))</f>
        <v/>
      </c>
      <c r="AJ204" s="88">
        <f>IF(OR(AJ$1="",$BE204=0),"",IFERROR(LOOKUP(2,1/((Budgets!$A$2:$A$200=AJ$1)*(Budgets!$B$2:$B$200&lt;=$A204)),Budgets!$C$2:$C$200),0))</f>
        <v/>
      </c>
      <c r="AK204" s="88">
        <f>IF(OR(AK$1="",$BE204=0),"",IFERROR(LOOKUP(2,1/((Budgets!$A$2:$A$200=AK$1)*(Budgets!$B$2:$B$200&lt;=$A204)),Budgets!$C$2:$C$200),0))</f>
        <v/>
      </c>
      <c r="AL204" s="88">
        <f>IF(OR(AL$1="",$BE204=0),"",IFERROR(LOOKUP(2,1/((Budgets!$A$2:$A$200=AL$1)*(Budgets!$B$2:$B$200&lt;=$A204)),Budgets!$C$2:$C$200),0))</f>
        <v/>
      </c>
      <c r="AM204" s="88">
        <f>IF(OR(AM$1="",$BE204=0),"",IFERROR(LOOKUP(2,1/((Budgets!$A$2:$A$200=AM$1)*(Budgets!$B$2:$B$200&lt;=$A204)),Budgets!$C$2:$C$200),0))</f>
        <v/>
      </c>
      <c r="AN204" s="88">
        <f>IF(OR(AN$1="",$BE204=0),"",IFERROR(LOOKUP(2,1/((Budgets!$A$2:$A$200=AN$1)*(Budgets!$B$2:$B$200&lt;=$A204)),Budgets!$C$2:$C$200),0))</f>
        <v/>
      </c>
      <c r="AO204" s="88">
        <f>IF(OR(AO$1="",$BE204=0),"",IFERROR(LOOKUP(2,1/((Budgets!$A$2:$A$200=AO$1)*(Budgets!$B$2:$B$200&lt;=$A204)),Budgets!$C$2:$C$200),0))</f>
        <v/>
      </c>
      <c r="AP204" s="88">
        <f>IF(OR(AP$1="",$BE204=0),"",IFERROR(LOOKUP(2,1/((Budgets!$A$2:$A$200=AP$1)*(Budgets!$B$2:$B$200&lt;=$A204)),Budgets!$C$2:$C$200),0))</f>
        <v/>
      </c>
      <c r="AQ204" s="88">
        <f>IF(OR(AQ$1="",$BE204=0),"",IFERROR(LOOKUP(2,1/((Budgets!$A$2:$A$200=AQ$1)*(Budgets!$B$2:$B$200&lt;=$A204)),Budgets!$C$2:$C$200),0))</f>
        <v/>
      </c>
      <c r="AR204" s="88">
        <f>IF(OR(AR$1="",$BE204=0),"",IFERROR(LOOKUP(2,1/((Budgets!$A$2:$A$200=AR$1)*(Budgets!$B$2:$B$200&lt;=$A204)),Budgets!$C$2:$C$200),0))</f>
        <v/>
      </c>
      <c r="AS204" s="88">
        <f>IF(OR(AS$1="",$BE204=0),"",IFERROR(LOOKUP(2,1/((Budgets!$A$2:$A$200=AS$1)*(Budgets!$B$2:$B$200&lt;=$A204)),Budgets!$C$2:$C$200),0))</f>
        <v/>
      </c>
      <c r="AT204" s="88">
        <f>IF(OR(AT$1="",$BE204=0),"",IFERROR(LOOKUP(2,1/((Budgets!$A$2:$A$200=AT$1)*(Budgets!$B$2:$B$200&lt;=$A204)),Budgets!$C$2:$C$200),0))</f>
        <v/>
      </c>
      <c r="AU204" s="88">
        <f>IF(OR(AU$1="",$BE204=0),"",IFERROR(LOOKUP(2,1/((Budgets!$A$2:$A$200=AU$1)*(Budgets!$B$2:$B$200&lt;=$A204)),Budgets!$C$2:$C$200),0))</f>
        <v/>
      </c>
      <c r="AV204" s="88">
        <f>IF(OR(AV$1="",$BE204=0),"",IFERROR(LOOKUP(2,1/((Budgets!$A$2:$A$200=AV$1)*(Budgets!$B$2:$B$200&lt;=$A204)),Budgets!$C$2:$C$200),0))</f>
        <v/>
      </c>
      <c r="AW204" s="88">
        <f>IF(OR(AW$1="",$BE204=0),"",IFERROR(LOOKUP(2,1/((Budgets!$A$2:$A$200=AW$1)*(Budgets!$B$2:$B$200&lt;=$A204)),Budgets!$C$2:$C$200),0))</f>
        <v/>
      </c>
      <c r="AX204" s="88">
        <f>IF(OR(AX$1="",$BE204=0),"",IFERROR(LOOKUP(2,1/((Budgets!$A$2:$A$200=AX$1)*(Budgets!$B$2:$B$200&lt;=$A204)),Budgets!$C$2:$C$200),0))</f>
        <v/>
      </c>
      <c r="AY204" s="88">
        <f>IF(OR(AY$1="",$BE204=0),"",IFERROR(LOOKUP(2,1/((Budgets!$A$2:$A$200=AY$1)*(Budgets!$B$2:$B$200&lt;=$A204)),Budgets!$C$2:$C$200),0))</f>
        <v/>
      </c>
      <c r="AZ204" s="88">
        <f>IF(OR(AZ$1="",$BE204=0),"",IFERROR(LOOKUP(2,1/((Budgets!$A$2:$A$200=AZ$1)*(Budgets!$B$2:$B$200&lt;=$A204)),Budgets!$C$2:$C$200),0))</f>
        <v/>
      </c>
      <c r="BA204" s="88">
        <f>IF(OR(BA$1="",$BE204=0),"",IFERROR(LOOKUP(2,1/((Budgets!$A$2:$A$200=BA$1)*(Budgets!$B$2:$B$200&lt;=$A204)),Budgets!$C$2:$C$200),0))</f>
        <v/>
      </c>
      <c r="BB204" s="88">
        <f>IF(OR(BB$1="",$BE204=0),"",IFERROR(LOOKUP(2,1/((Budgets!$A$2:$A$200=BB$1)*(Budgets!$B$2:$B$200&lt;=$A204)),Budgets!$C$2:$C$200),0))</f>
        <v/>
      </c>
      <c r="BC204" s="88">
        <f>IF(OR(BC$1="",$BE204=0),"",IFERROR(LOOKUP(2,1/((Budgets!$A$2:$A$200=BC$1)*(Budgets!$B$2:$B$200&lt;=$A204)),Budgets!$C$2:$C$200),0))</f>
        <v/>
      </c>
      <c r="BE204" s="67">
        <f>COUNTIFS(Entries!$A$2:$A$5000,$A204)</f>
        <v/>
      </c>
    </row>
    <row r="205" ht="15" customHeight="1" s="43">
      <c r="A205" s="87" t="n">
        <v>45627</v>
      </c>
      <c r="B205" s="88">
        <f>IF($BE205=0,NA(),SUMIFS(Entries!$D$2:$D$5000,Entries!$C$2:$C$5000,"Income",Entries!$A$2:$A$5000,$A205))</f>
        <v/>
      </c>
      <c r="C205" s="88">
        <f>IF($BE205=0,"",SUMIFS(Entries!$D$2:$D$5000,Entries!$C$2:$C$5000,"Actual",Entries!$A$2:$A$5000,$A205))</f>
        <v/>
      </c>
      <c r="D205" s="88">
        <f>IF($BE205=0,"",SUMIFS(Entries!$D$2:$D$5000,Entries!$C$2:$C$5000,"One-off",Entries!$A$2:$A$5000,$A205))</f>
        <v/>
      </c>
      <c r="E205" s="88">
        <f>IF($BE205=0,NA(),C205+D205)</f>
        <v/>
      </c>
      <c r="F205" s="88">
        <f>IF($BE205=0,"",SUM(AJ205:BC205))</f>
        <v/>
      </c>
      <c r="G205" s="88">
        <f>IF($BE205=0,"",B205-E205)</f>
        <v/>
      </c>
      <c r="H205" s="88">
        <f>IF($BE205=0,"",SUM($G$2:G205))</f>
        <v/>
      </c>
      <c r="I205" s="88">
        <f>IF($BE205=0,"",SUMIFS(Entries!$F$2:$F$5000,Entries!$A$2:$A$5000,$A205))</f>
        <v/>
      </c>
      <c r="J205" s="88">
        <f>IF($BE205=0,NA(),H205+SUM($I$2:I205))</f>
        <v/>
      </c>
      <c r="K205" s="88">
        <f>IF($BE205=0,"",SUMIFS(Entries!$D$2:$D$5000,Entries!$C$2:$C$5000,"Income",Entries!$A$2:$A$5000,"&gt;="&amp;EDATE($A205,-11),Entries!$A$2:$A$5000,"&lt;="&amp;$A205)/12)</f>
        <v/>
      </c>
      <c r="L205" s="88">
        <f>IF($BE205=0,"",(SUMIFS(Entries!$D$2:$D$5000,Entries!$C$2:$C$5000,"Actual",Entries!$A$2:$A$5000,"&gt;="&amp;EDATE($A205,-11),Entries!$A$2:$A$5000,"&lt;="&amp;$A205)+SUMIFS(Entries!$D$2:$D$5000,Entries!$C$2:$C$5000,"One-off",Entries!$A$2:$A$5000,"&gt;="&amp;EDATE($A205,-11),Entries!$A$2:$A$5000,"&lt;="&amp;$A205))/12)</f>
        <v/>
      </c>
      <c r="M205" s="70">
        <f>IF($BE205=0,NA(),IFERROR((K205-L205)/K205,0))</f>
        <v/>
      </c>
      <c r="O205" s="88">
        <f>IF(OR(O$1="",$BE205=0),"",SUMIFS(Entries!$D$2:$D$5000,Entries!$C$2:$C$5000,"Actual",Entries!$A$2:$A$5000,$A205,Entries!$B$2:$B$5000,O$1))</f>
        <v/>
      </c>
      <c r="P205" s="88">
        <f>IF(OR(P$1="",$BE205=0),"",SUMIFS(Entries!$D$2:$D$5000,Entries!$C$2:$C$5000,"Actual",Entries!$A$2:$A$5000,$A205,Entries!$B$2:$B$5000,P$1))</f>
        <v/>
      </c>
      <c r="Q205" s="88">
        <f>IF(OR(Q$1="",$BE205=0),"",SUMIFS(Entries!$D$2:$D$5000,Entries!$C$2:$C$5000,"Actual",Entries!$A$2:$A$5000,$A205,Entries!$B$2:$B$5000,Q$1))</f>
        <v/>
      </c>
      <c r="R205" s="88">
        <f>IF(OR(R$1="",$BE205=0),"",SUMIFS(Entries!$D$2:$D$5000,Entries!$C$2:$C$5000,"Actual",Entries!$A$2:$A$5000,$A205,Entries!$B$2:$B$5000,R$1))</f>
        <v/>
      </c>
      <c r="S205" s="88">
        <f>IF(OR(S$1="",$BE205=0),"",SUMIFS(Entries!$D$2:$D$5000,Entries!$C$2:$C$5000,"Actual",Entries!$A$2:$A$5000,$A205,Entries!$B$2:$B$5000,S$1))</f>
        <v/>
      </c>
      <c r="T205" s="88">
        <f>IF(OR(T$1="",$BE205=0),"",SUMIFS(Entries!$D$2:$D$5000,Entries!$C$2:$C$5000,"Actual",Entries!$A$2:$A$5000,$A205,Entries!$B$2:$B$5000,T$1))</f>
        <v/>
      </c>
      <c r="U205" s="88">
        <f>IF(OR(U$1="",$BE205=0),"",SUMIFS(Entries!$D$2:$D$5000,Entries!$C$2:$C$5000,"Actual",Entries!$A$2:$A$5000,$A205,Entries!$B$2:$B$5000,U$1))</f>
        <v/>
      </c>
      <c r="V205" s="88">
        <f>IF(OR(V$1="",$BE205=0),"",SUMIFS(Entries!$D$2:$D$5000,Entries!$C$2:$C$5000,"Actual",Entries!$A$2:$A$5000,$A205,Entries!$B$2:$B$5000,V$1))</f>
        <v/>
      </c>
      <c r="W205" s="88">
        <f>IF(OR(W$1="",$BE205=0),"",SUMIFS(Entries!$D$2:$D$5000,Entries!$C$2:$C$5000,"Actual",Entries!$A$2:$A$5000,$A205,Entries!$B$2:$B$5000,W$1))</f>
        <v/>
      </c>
      <c r="X205" s="88">
        <f>IF(OR(X$1="",$BE205=0),"",SUMIFS(Entries!$D$2:$D$5000,Entries!$C$2:$C$5000,"Actual",Entries!$A$2:$A$5000,$A205,Entries!$B$2:$B$5000,X$1))</f>
        <v/>
      </c>
      <c r="Y205" s="88">
        <f>IF(OR(Y$1="",$BE205=0),"",SUMIFS(Entries!$D$2:$D$5000,Entries!$C$2:$C$5000,"Actual",Entries!$A$2:$A$5000,$A205,Entries!$B$2:$B$5000,Y$1))</f>
        <v/>
      </c>
      <c r="Z205" s="88">
        <f>IF(OR(Z$1="",$BE205=0),"",SUMIFS(Entries!$D$2:$D$5000,Entries!$C$2:$C$5000,"Actual",Entries!$A$2:$A$5000,$A205,Entries!$B$2:$B$5000,Z$1))</f>
        <v/>
      </c>
      <c r="AA205" s="88">
        <f>IF(OR(AA$1="",$BE205=0),"",SUMIFS(Entries!$D$2:$D$5000,Entries!$C$2:$C$5000,"Actual",Entries!$A$2:$A$5000,$A205,Entries!$B$2:$B$5000,AA$1))</f>
        <v/>
      </c>
      <c r="AB205" s="88">
        <f>IF(OR(AB$1="",$BE205=0),"",SUMIFS(Entries!$D$2:$D$5000,Entries!$C$2:$C$5000,"Actual",Entries!$A$2:$A$5000,$A205,Entries!$B$2:$B$5000,AB$1))</f>
        <v/>
      </c>
      <c r="AC205" s="88">
        <f>IF(OR(AC$1="",$BE205=0),"",SUMIFS(Entries!$D$2:$D$5000,Entries!$C$2:$C$5000,"Actual",Entries!$A$2:$A$5000,$A205,Entries!$B$2:$B$5000,AC$1))</f>
        <v/>
      </c>
      <c r="AD205" s="88">
        <f>IF(OR(AD$1="",$BE205=0),"",SUMIFS(Entries!$D$2:$D$5000,Entries!$C$2:$C$5000,"Actual",Entries!$A$2:$A$5000,$A205,Entries!$B$2:$B$5000,AD$1))</f>
        <v/>
      </c>
      <c r="AE205" s="88">
        <f>IF(OR(AE$1="",$BE205=0),"",SUMIFS(Entries!$D$2:$D$5000,Entries!$C$2:$C$5000,"Actual",Entries!$A$2:$A$5000,$A205,Entries!$B$2:$B$5000,AE$1))</f>
        <v/>
      </c>
      <c r="AF205" s="88">
        <f>IF(OR(AF$1="",$BE205=0),"",SUMIFS(Entries!$D$2:$D$5000,Entries!$C$2:$C$5000,"Actual",Entries!$A$2:$A$5000,$A205,Entries!$B$2:$B$5000,AF$1))</f>
        <v/>
      </c>
      <c r="AG205" s="88">
        <f>IF(OR(AG$1="",$BE205=0),"",SUMIFS(Entries!$D$2:$D$5000,Entries!$C$2:$C$5000,"Actual",Entries!$A$2:$A$5000,$A205,Entries!$B$2:$B$5000,AG$1))</f>
        <v/>
      </c>
      <c r="AH205" s="88">
        <f>IF(OR(AH$1="",$BE205=0),"",SUMIFS(Entries!$D$2:$D$5000,Entries!$C$2:$C$5000,"Actual",Entries!$A$2:$A$5000,$A205,Entries!$B$2:$B$5000,AH$1))</f>
        <v/>
      </c>
      <c r="AJ205" s="88">
        <f>IF(OR(AJ$1="",$BE205=0),"",IFERROR(LOOKUP(2,1/((Budgets!$A$2:$A$200=AJ$1)*(Budgets!$B$2:$B$200&lt;=$A205)),Budgets!$C$2:$C$200),0))</f>
        <v/>
      </c>
      <c r="AK205" s="88">
        <f>IF(OR(AK$1="",$BE205=0),"",IFERROR(LOOKUP(2,1/((Budgets!$A$2:$A$200=AK$1)*(Budgets!$B$2:$B$200&lt;=$A205)),Budgets!$C$2:$C$200),0))</f>
        <v/>
      </c>
      <c r="AL205" s="88">
        <f>IF(OR(AL$1="",$BE205=0),"",IFERROR(LOOKUP(2,1/((Budgets!$A$2:$A$200=AL$1)*(Budgets!$B$2:$B$200&lt;=$A205)),Budgets!$C$2:$C$200),0))</f>
        <v/>
      </c>
      <c r="AM205" s="88">
        <f>IF(OR(AM$1="",$BE205=0),"",IFERROR(LOOKUP(2,1/((Budgets!$A$2:$A$200=AM$1)*(Budgets!$B$2:$B$200&lt;=$A205)),Budgets!$C$2:$C$200),0))</f>
        <v/>
      </c>
      <c r="AN205" s="88">
        <f>IF(OR(AN$1="",$BE205=0),"",IFERROR(LOOKUP(2,1/((Budgets!$A$2:$A$200=AN$1)*(Budgets!$B$2:$B$200&lt;=$A205)),Budgets!$C$2:$C$200),0))</f>
        <v/>
      </c>
      <c r="AO205" s="88">
        <f>IF(OR(AO$1="",$BE205=0),"",IFERROR(LOOKUP(2,1/((Budgets!$A$2:$A$200=AO$1)*(Budgets!$B$2:$B$200&lt;=$A205)),Budgets!$C$2:$C$200),0))</f>
        <v/>
      </c>
      <c r="AP205" s="88">
        <f>IF(OR(AP$1="",$BE205=0),"",IFERROR(LOOKUP(2,1/((Budgets!$A$2:$A$200=AP$1)*(Budgets!$B$2:$B$200&lt;=$A205)),Budgets!$C$2:$C$200),0))</f>
        <v/>
      </c>
      <c r="AQ205" s="88">
        <f>IF(OR(AQ$1="",$BE205=0),"",IFERROR(LOOKUP(2,1/((Budgets!$A$2:$A$200=AQ$1)*(Budgets!$B$2:$B$200&lt;=$A205)),Budgets!$C$2:$C$200),0))</f>
        <v/>
      </c>
      <c r="AR205" s="88">
        <f>IF(OR(AR$1="",$BE205=0),"",IFERROR(LOOKUP(2,1/((Budgets!$A$2:$A$200=AR$1)*(Budgets!$B$2:$B$200&lt;=$A205)),Budgets!$C$2:$C$200),0))</f>
        <v/>
      </c>
      <c r="AS205" s="88">
        <f>IF(OR(AS$1="",$BE205=0),"",IFERROR(LOOKUP(2,1/((Budgets!$A$2:$A$200=AS$1)*(Budgets!$B$2:$B$200&lt;=$A205)),Budgets!$C$2:$C$200),0))</f>
        <v/>
      </c>
      <c r="AT205" s="88">
        <f>IF(OR(AT$1="",$BE205=0),"",IFERROR(LOOKUP(2,1/((Budgets!$A$2:$A$200=AT$1)*(Budgets!$B$2:$B$200&lt;=$A205)),Budgets!$C$2:$C$200),0))</f>
        <v/>
      </c>
      <c r="AU205" s="88">
        <f>IF(OR(AU$1="",$BE205=0),"",IFERROR(LOOKUP(2,1/((Budgets!$A$2:$A$200=AU$1)*(Budgets!$B$2:$B$200&lt;=$A205)),Budgets!$C$2:$C$200),0))</f>
        <v/>
      </c>
      <c r="AV205" s="88">
        <f>IF(OR(AV$1="",$BE205=0),"",IFERROR(LOOKUP(2,1/((Budgets!$A$2:$A$200=AV$1)*(Budgets!$B$2:$B$200&lt;=$A205)),Budgets!$C$2:$C$200),0))</f>
        <v/>
      </c>
      <c r="AW205" s="88">
        <f>IF(OR(AW$1="",$BE205=0),"",IFERROR(LOOKUP(2,1/((Budgets!$A$2:$A$200=AW$1)*(Budgets!$B$2:$B$200&lt;=$A205)),Budgets!$C$2:$C$200),0))</f>
        <v/>
      </c>
      <c r="AX205" s="88">
        <f>IF(OR(AX$1="",$BE205=0),"",IFERROR(LOOKUP(2,1/((Budgets!$A$2:$A$200=AX$1)*(Budgets!$B$2:$B$200&lt;=$A205)),Budgets!$C$2:$C$200),0))</f>
        <v/>
      </c>
      <c r="AY205" s="88">
        <f>IF(OR(AY$1="",$BE205=0),"",IFERROR(LOOKUP(2,1/((Budgets!$A$2:$A$200=AY$1)*(Budgets!$B$2:$B$200&lt;=$A205)),Budgets!$C$2:$C$200),0))</f>
        <v/>
      </c>
      <c r="AZ205" s="88">
        <f>IF(OR(AZ$1="",$BE205=0),"",IFERROR(LOOKUP(2,1/((Budgets!$A$2:$A$200=AZ$1)*(Budgets!$B$2:$B$200&lt;=$A205)),Budgets!$C$2:$C$200),0))</f>
        <v/>
      </c>
      <c r="BA205" s="88">
        <f>IF(OR(BA$1="",$BE205=0),"",IFERROR(LOOKUP(2,1/((Budgets!$A$2:$A$200=BA$1)*(Budgets!$B$2:$B$200&lt;=$A205)),Budgets!$C$2:$C$200),0))</f>
        <v/>
      </c>
      <c r="BB205" s="88">
        <f>IF(OR(BB$1="",$BE205=0),"",IFERROR(LOOKUP(2,1/((Budgets!$A$2:$A$200=BB$1)*(Budgets!$B$2:$B$200&lt;=$A205)),Budgets!$C$2:$C$200),0))</f>
        <v/>
      </c>
      <c r="BC205" s="88">
        <f>IF(OR(BC$1="",$BE205=0),"",IFERROR(LOOKUP(2,1/((Budgets!$A$2:$A$200=BC$1)*(Budgets!$B$2:$B$200&lt;=$A205)),Budgets!$C$2:$C$200),0))</f>
        <v/>
      </c>
      <c r="BE205" s="67">
        <f>COUNTIFS(Entries!$A$2:$A$5000,$A205)</f>
        <v/>
      </c>
    </row>
    <row r="206" ht="15" customHeight="1" s="43">
      <c r="A206" s="87" t="n">
        <v>45658</v>
      </c>
      <c r="B206" s="88">
        <f>IF($BE206=0,NA(),SUMIFS(Entries!$D$2:$D$5000,Entries!$C$2:$C$5000,"Income",Entries!$A$2:$A$5000,$A206))</f>
        <v/>
      </c>
      <c r="C206" s="88">
        <f>IF($BE206=0,"",SUMIFS(Entries!$D$2:$D$5000,Entries!$C$2:$C$5000,"Actual",Entries!$A$2:$A$5000,$A206))</f>
        <v/>
      </c>
      <c r="D206" s="88">
        <f>IF($BE206=0,"",SUMIFS(Entries!$D$2:$D$5000,Entries!$C$2:$C$5000,"One-off",Entries!$A$2:$A$5000,$A206))</f>
        <v/>
      </c>
      <c r="E206" s="88">
        <f>IF($BE206=0,NA(),C206+D206)</f>
        <v/>
      </c>
      <c r="F206" s="88">
        <f>IF($BE206=0,"",SUM(AJ206:BC206))</f>
        <v/>
      </c>
      <c r="G206" s="88">
        <f>IF($BE206=0,"",B206-E206)</f>
        <v/>
      </c>
      <c r="H206" s="88">
        <f>IF($BE206=0,"",SUM($G$2:G206))</f>
        <v/>
      </c>
      <c r="I206" s="88">
        <f>IF($BE206=0,"",SUMIFS(Entries!$F$2:$F$5000,Entries!$A$2:$A$5000,$A206))</f>
        <v/>
      </c>
      <c r="J206" s="88">
        <f>IF($BE206=0,NA(),H206+SUM($I$2:I206))</f>
        <v/>
      </c>
      <c r="K206" s="88">
        <f>IF($BE206=0,"",SUMIFS(Entries!$D$2:$D$5000,Entries!$C$2:$C$5000,"Income",Entries!$A$2:$A$5000,"&gt;="&amp;EDATE($A206,-11),Entries!$A$2:$A$5000,"&lt;="&amp;$A206)/12)</f>
        <v/>
      </c>
      <c r="L206" s="88">
        <f>IF($BE206=0,"",(SUMIFS(Entries!$D$2:$D$5000,Entries!$C$2:$C$5000,"Actual",Entries!$A$2:$A$5000,"&gt;="&amp;EDATE($A206,-11),Entries!$A$2:$A$5000,"&lt;="&amp;$A206)+SUMIFS(Entries!$D$2:$D$5000,Entries!$C$2:$C$5000,"One-off",Entries!$A$2:$A$5000,"&gt;="&amp;EDATE($A206,-11),Entries!$A$2:$A$5000,"&lt;="&amp;$A206))/12)</f>
        <v/>
      </c>
      <c r="M206" s="70">
        <f>IF($BE206=0,NA(),IFERROR((K206-L206)/K206,0))</f>
        <v/>
      </c>
      <c r="O206" s="88">
        <f>IF(OR(O$1="",$BE206=0),"",SUMIFS(Entries!$D$2:$D$5000,Entries!$C$2:$C$5000,"Actual",Entries!$A$2:$A$5000,$A206,Entries!$B$2:$B$5000,O$1))</f>
        <v/>
      </c>
      <c r="P206" s="88">
        <f>IF(OR(P$1="",$BE206=0),"",SUMIFS(Entries!$D$2:$D$5000,Entries!$C$2:$C$5000,"Actual",Entries!$A$2:$A$5000,$A206,Entries!$B$2:$B$5000,P$1))</f>
        <v/>
      </c>
      <c r="Q206" s="88">
        <f>IF(OR(Q$1="",$BE206=0),"",SUMIFS(Entries!$D$2:$D$5000,Entries!$C$2:$C$5000,"Actual",Entries!$A$2:$A$5000,$A206,Entries!$B$2:$B$5000,Q$1))</f>
        <v/>
      </c>
      <c r="R206" s="88">
        <f>IF(OR(R$1="",$BE206=0),"",SUMIFS(Entries!$D$2:$D$5000,Entries!$C$2:$C$5000,"Actual",Entries!$A$2:$A$5000,$A206,Entries!$B$2:$B$5000,R$1))</f>
        <v/>
      </c>
      <c r="S206" s="88">
        <f>IF(OR(S$1="",$BE206=0),"",SUMIFS(Entries!$D$2:$D$5000,Entries!$C$2:$C$5000,"Actual",Entries!$A$2:$A$5000,$A206,Entries!$B$2:$B$5000,S$1))</f>
        <v/>
      </c>
      <c r="T206" s="88">
        <f>IF(OR(T$1="",$BE206=0),"",SUMIFS(Entries!$D$2:$D$5000,Entries!$C$2:$C$5000,"Actual",Entries!$A$2:$A$5000,$A206,Entries!$B$2:$B$5000,T$1))</f>
        <v/>
      </c>
      <c r="U206" s="88">
        <f>IF(OR(U$1="",$BE206=0),"",SUMIFS(Entries!$D$2:$D$5000,Entries!$C$2:$C$5000,"Actual",Entries!$A$2:$A$5000,$A206,Entries!$B$2:$B$5000,U$1))</f>
        <v/>
      </c>
      <c r="V206" s="88">
        <f>IF(OR(V$1="",$BE206=0),"",SUMIFS(Entries!$D$2:$D$5000,Entries!$C$2:$C$5000,"Actual",Entries!$A$2:$A$5000,$A206,Entries!$B$2:$B$5000,V$1))</f>
        <v/>
      </c>
      <c r="W206" s="88">
        <f>IF(OR(W$1="",$BE206=0),"",SUMIFS(Entries!$D$2:$D$5000,Entries!$C$2:$C$5000,"Actual",Entries!$A$2:$A$5000,$A206,Entries!$B$2:$B$5000,W$1))</f>
        <v/>
      </c>
      <c r="X206" s="88">
        <f>IF(OR(X$1="",$BE206=0),"",SUMIFS(Entries!$D$2:$D$5000,Entries!$C$2:$C$5000,"Actual",Entries!$A$2:$A$5000,$A206,Entries!$B$2:$B$5000,X$1))</f>
        <v/>
      </c>
      <c r="Y206" s="88">
        <f>IF(OR(Y$1="",$BE206=0),"",SUMIFS(Entries!$D$2:$D$5000,Entries!$C$2:$C$5000,"Actual",Entries!$A$2:$A$5000,$A206,Entries!$B$2:$B$5000,Y$1))</f>
        <v/>
      </c>
      <c r="Z206" s="88">
        <f>IF(OR(Z$1="",$BE206=0),"",SUMIFS(Entries!$D$2:$D$5000,Entries!$C$2:$C$5000,"Actual",Entries!$A$2:$A$5000,$A206,Entries!$B$2:$B$5000,Z$1))</f>
        <v/>
      </c>
      <c r="AA206" s="88">
        <f>IF(OR(AA$1="",$BE206=0),"",SUMIFS(Entries!$D$2:$D$5000,Entries!$C$2:$C$5000,"Actual",Entries!$A$2:$A$5000,$A206,Entries!$B$2:$B$5000,AA$1))</f>
        <v/>
      </c>
      <c r="AB206" s="88">
        <f>IF(OR(AB$1="",$BE206=0),"",SUMIFS(Entries!$D$2:$D$5000,Entries!$C$2:$C$5000,"Actual",Entries!$A$2:$A$5000,$A206,Entries!$B$2:$B$5000,AB$1))</f>
        <v/>
      </c>
      <c r="AC206" s="88">
        <f>IF(OR(AC$1="",$BE206=0),"",SUMIFS(Entries!$D$2:$D$5000,Entries!$C$2:$C$5000,"Actual",Entries!$A$2:$A$5000,$A206,Entries!$B$2:$B$5000,AC$1))</f>
        <v/>
      </c>
      <c r="AD206" s="88">
        <f>IF(OR(AD$1="",$BE206=0),"",SUMIFS(Entries!$D$2:$D$5000,Entries!$C$2:$C$5000,"Actual",Entries!$A$2:$A$5000,$A206,Entries!$B$2:$B$5000,AD$1))</f>
        <v/>
      </c>
      <c r="AE206" s="88">
        <f>IF(OR(AE$1="",$BE206=0),"",SUMIFS(Entries!$D$2:$D$5000,Entries!$C$2:$C$5000,"Actual",Entries!$A$2:$A$5000,$A206,Entries!$B$2:$B$5000,AE$1))</f>
        <v/>
      </c>
      <c r="AF206" s="88">
        <f>IF(OR(AF$1="",$BE206=0),"",SUMIFS(Entries!$D$2:$D$5000,Entries!$C$2:$C$5000,"Actual",Entries!$A$2:$A$5000,$A206,Entries!$B$2:$B$5000,AF$1))</f>
        <v/>
      </c>
      <c r="AG206" s="88">
        <f>IF(OR(AG$1="",$BE206=0),"",SUMIFS(Entries!$D$2:$D$5000,Entries!$C$2:$C$5000,"Actual",Entries!$A$2:$A$5000,$A206,Entries!$B$2:$B$5000,AG$1))</f>
        <v/>
      </c>
      <c r="AH206" s="88">
        <f>IF(OR(AH$1="",$BE206=0),"",SUMIFS(Entries!$D$2:$D$5000,Entries!$C$2:$C$5000,"Actual",Entries!$A$2:$A$5000,$A206,Entries!$B$2:$B$5000,AH$1))</f>
        <v/>
      </c>
      <c r="AJ206" s="88">
        <f>IF(OR(AJ$1="",$BE206=0),"",IFERROR(LOOKUP(2,1/((Budgets!$A$2:$A$200=AJ$1)*(Budgets!$B$2:$B$200&lt;=$A206)),Budgets!$C$2:$C$200),0))</f>
        <v/>
      </c>
      <c r="AK206" s="88">
        <f>IF(OR(AK$1="",$BE206=0),"",IFERROR(LOOKUP(2,1/((Budgets!$A$2:$A$200=AK$1)*(Budgets!$B$2:$B$200&lt;=$A206)),Budgets!$C$2:$C$200),0))</f>
        <v/>
      </c>
      <c r="AL206" s="88">
        <f>IF(OR(AL$1="",$BE206=0),"",IFERROR(LOOKUP(2,1/((Budgets!$A$2:$A$200=AL$1)*(Budgets!$B$2:$B$200&lt;=$A206)),Budgets!$C$2:$C$200),0))</f>
        <v/>
      </c>
      <c r="AM206" s="88">
        <f>IF(OR(AM$1="",$BE206=0),"",IFERROR(LOOKUP(2,1/((Budgets!$A$2:$A$200=AM$1)*(Budgets!$B$2:$B$200&lt;=$A206)),Budgets!$C$2:$C$200),0))</f>
        <v/>
      </c>
      <c r="AN206" s="88">
        <f>IF(OR(AN$1="",$BE206=0),"",IFERROR(LOOKUP(2,1/((Budgets!$A$2:$A$200=AN$1)*(Budgets!$B$2:$B$200&lt;=$A206)),Budgets!$C$2:$C$200),0))</f>
        <v/>
      </c>
      <c r="AO206" s="88">
        <f>IF(OR(AO$1="",$BE206=0),"",IFERROR(LOOKUP(2,1/((Budgets!$A$2:$A$200=AO$1)*(Budgets!$B$2:$B$200&lt;=$A206)),Budgets!$C$2:$C$200),0))</f>
        <v/>
      </c>
      <c r="AP206" s="88">
        <f>IF(OR(AP$1="",$BE206=0),"",IFERROR(LOOKUP(2,1/((Budgets!$A$2:$A$200=AP$1)*(Budgets!$B$2:$B$200&lt;=$A206)),Budgets!$C$2:$C$200),0))</f>
        <v/>
      </c>
      <c r="AQ206" s="88">
        <f>IF(OR(AQ$1="",$BE206=0),"",IFERROR(LOOKUP(2,1/((Budgets!$A$2:$A$200=AQ$1)*(Budgets!$B$2:$B$200&lt;=$A206)),Budgets!$C$2:$C$200),0))</f>
        <v/>
      </c>
      <c r="AR206" s="88">
        <f>IF(OR(AR$1="",$BE206=0),"",IFERROR(LOOKUP(2,1/((Budgets!$A$2:$A$200=AR$1)*(Budgets!$B$2:$B$200&lt;=$A206)),Budgets!$C$2:$C$200),0))</f>
        <v/>
      </c>
      <c r="AS206" s="88">
        <f>IF(OR(AS$1="",$BE206=0),"",IFERROR(LOOKUP(2,1/((Budgets!$A$2:$A$200=AS$1)*(Budgets!$B$2:$B$200&lt;=$A206)),Budgets!$C$2:$C$200),0))</f>
        <v/>
      </c>
      <c r="AT206" s="88">
        <f>IF(OR(AT$1="",$BE206=0),"",IFERROR(LOOKUP(2,1/((Budgets!$A$2:$A$200=AT$1)*(Budgets!$B$2:$B$200&lt;=$A206)),Budgets!$C$2:$C$200),0))</f>
        <v/>
      </c>
      <c r="AU206" s="88">
        <f>IF(OR(AU$1="",$BE206=0),"",IFERROR(LOOKUP(2,1/((Budgets!$A$2:$A$200=AU$1)*(Budgets!$B$2:$B$200&lt;=$A206)),Budgets!$C$2:$C$200),0))</f>
        <v/>
      </c>
      <c r="AV206" s="88">
        <f>IF(OR(AV$1="",$BE206=0),"",IFERROR(LOOKUP(2,1/((Budgets!$A$2:$A$200=AV$1)*(Budgets!$B$2:$B$200&lt;=$A206)),Budgets!$C$2:$C$200),0))</f>
        <v/>
      </c>
      <c r="AW206" s="88">
        <f>IF(OR(AW$1="",$BE206=0),"",IFERROR(LOOKUP(2,1/((Budgets!$A$2:$A$200=AW$1)*(Budgets!$B$2:$B$200&lt;=$A206)),Budgets!$C$2:$C$200),0))</f>
        <v/>
      </c>
      <c r="AX206" s="88">
        <f>IF(OR(AX$1="",$BE206=0),"",IFERROR(LOOKUP(2,1/((Budgets!$A$2:$A$200=AX$1)*(Budgets!$B$2:$B$200&lt;=$A206)),Budgets!$C$2:$C$200),0))</f>
        <v/>
      </c>
      <c r="AY206" s="88">
        <f>IF(OR(AY$1="",$BE206=0),"",IFERROR(LOOKUP(2,1/((Budgets!$A$2:$A$200=AY$1)*(Budgets!$B$2:$B$200&lt;=$A206)),Budgets!$C$2:$C$200),0))</f>
        <v/>
      </c>
      <c r="AZ206" s="88">
        <f>IF(OR(AZ$1="",$BE206=0),"",IFERROR(LOOKUP(2,1/((Budgets!$A$2:$A$200=AZ$1)*(Budgets!$B$2:$B$200&lt;=$A206)),Budgets!$C$2:$C$200),0))</f>
        <v/>
      </c>
      <c r="BA206" s="88">
        <f>IF(OR(BA$1="",$BE206=0),"",IFERROR(LOOKUP(2,1/((Budgets!$A$2:$A$200=BA$1)*(Budgets!$B$2:$B$200&lt;=$A206)),Budgets!$C$2:$C$200),0))</f>
        <v/>
      </c>
      <c r="BB206" s="88">
        <f>IF(OR(BB$1="",$BE206=0),"",IFERROR(LOOKUP(2,1/((Budgets!$A$2:$A$200=BB$1)*(Budgets!$B$2:$B$200&lt;=$A206)),Budgets!$C$2:$C$200),0))</f>
        <v/>
      </c>
      <c r="BC206" s="88">
        <f>IF(OR(BC$1="",$BE206=0),"",IFERROR(LOOKUP(2,1/((Budgets!$A$2:$A$200=BC$1)*(Budgets!$B$2:$B$200&lt;=$A206)),Budgets!$C$2:$C$200),0))</f>
        <v/>
      </c>
      <c r="BE206" s="67">
        <f>COUNTIFS(Entries!$A$2:$A$5000,$A206)</f>
        <v/>
      </c>
    </row>
    <row r="207" ht="15" customHeight="1" s="43">
      <c r="A207" s="87" t="n">
        <v>45689</v>
      </c>
      <c r="B207" s="88">
        <f>IF($BE207=0,NA(),SUMIFS(Entries!$D$2:$D$5000,Entries!$C$2:$C$5000,"Income",Entries!$A$2:$A$5000,$A207))</f>
        <v/>
      </c>
      <c r="C207" s="88">
        <f>IF($BE207=0,"",SUMIFS(Entries!$D$2:$D$5000,Entries!$C$2:$C$5000,"Actual",Entries!$A$2:$A$5000,$A207))</f>
        <v/>
      </c>
      <c r="D207" s="88">
        <f>IF($BE207=0,"",SUMIFS(Entries!$D$2:$D$5000,Entries!$C$2:$C$5000,"One-off",Entries!$A$2:$A$5000,$A207))</f>
        <v/>
      </c>
      <c r="E207" s="88">
        <f>IF($BE207=0,NA(),C207+D207)</f>
        <v/>
      </c>
      <c r="F207" s="88">
        <f>IF($BE207=0,"",SUM(AJ207:BC207))</f>
        <v/>
      </c>
      <c r="G207" s="88">
        <f>IF($BE207=0,"",B207-E207)</f>
        <v/>
      </c>
      <c r="H207" s="88">
        <f>IF($BE207=0,"",SUM($G$2:G207))</f>
        <v/>
      </c>
      <c r="I207" s="88">
        <f>IF($BE207=0,"",SUMIFS(Entries!$F$2:$F$5000,Entries!$A$2:$A$5000,$A207))</f>
        <v/>
      </c>
      <c r="J207" s="88">
        <f>IF($BE207=0,NA(),H207+SUM($I$2:I207))</f>
        <v/>
      </c>
      <c r="K207" s="88">
        <f>IF($BE207=0,"",SUMIFS(Entries!$D$2:$D$5000,Entries!$C$2:$C$5000,"Income",Entries!$A$2:$A$5000,"&gt;="&amp;EDATE($A207,-11),Entries!$A$2:$A$5000,"&lt;="&amp;$A207)/12)</f>
        <v/>
      </c>
      <c r="L207" s="88">
        <f>IF($BE207=0,"",(SUMIFS(Entries!$D$2:$D$5000,Entries!$C$2:$C$5000,"Actual",Entries!$A$2:$A$5000,"&gt;="&amp;EDATE($A207,-11),Entries!$A$2:$A$5000,"&lt;="&amp;$A207)+SUMIFS(Entries!$D$2:$D$5000,Entries!$C$2:$C$5000,"One-off",Entries!$A$2:$A$5000,"&gt;="&amp;EDATE($A207,-11),Entries!$A$2:$A$5000,"&lt;="&amp;$A207))/12)</f>
        <v/>
      </c>
      <c r="M207" s="70">
        <f>IF($BE207=0,NA(),IFERROR((K207-L207)/K207,0))</f>
        <v/>
      </c>
      <c r="O207" s="88">
        <f>IF(OR(O$1="",$BE207=0),"",SUMIFS(Entries!$D$2:$D$5000,Entries!$C$2:$C$5000,"Actual",Entries!$A$2:$A$5000,$A207,Entries!$B$2:$B$5000,O$1))</f>
        <v/>
      </c>
      <c r="P207" s="88">
        <f>IF(OR(P$1="",$BE207=0),"",SUMIFS(Entries!$D$2:$D$5000,Entries!$C$2:$C$5000,"Actual",Entries!$A$2:$A$5000,$A207,Entries!$B$2:$B$5000,P$1))</f>
        <v/>
      </c>
      <c r="Q207" s="88">
        <f>IF(OR(Q$1="",$BE207=0),"",SUMIFS(Entries!$D$2:$D$5000,Entries!$C$2:$C$5000,"Actual",Entries!$A$2:$A$5000,$A207,Entries!$B$2:$B$5000,Q$1))</f>
        <v/>
      </c>
      <c r="R207" s="88">
        <f>IF(OR(R$1="",$BE207=0),"",SUMIFS(Entries!$D$2:$D$5000,Entries!$C$2:$C$5000,"Actual",Entries!$A$2:$A$5000,$A207,Entries!$B$2:$B$5000,R$1))</f>
        <v/>
      </c>
      <c r="S207" s="88">
        <f>IF(OR(S$1="",$BE207=0),"",SUMIFS(Entries!$D$2:$D$5000,Entries!$C$2:$C$5000,"Actual",Entries!$A$2:$A$5000,$A207,Entries!$B$2:$B$5000,S$1))</f>
        <v/>
      </c>
      <c r="T207" s="88">
        <f>IF(OR(T$1="",$BE207=0),"",SUMIFS(Entries!$D$2:$D$5000,Entries!$C$2:$C$5000,"Actual",Entries!$A$2:$A$5000,$A207,Entries!$B$2:$B$5000,T$1))</f>
        <v/>
      </c>
      <c r="U207" s="88">
        <f>IF(OR(U$1="",$BE207=0),"",SUMIFS(Entries!$D$2:$D$5000,Entries!$C$2:$C$5000,"Actual",Entries!$A$2:$A$5000,$A207,Entries!$B$2:$B$5000,U$1))</f>
        <v/>
      </c>
      <c r="V207" s="88">
        <f>IF(OR(V$1="",$BE207=0),"",SUMIFS(Entries!$D$2:$D$5000,Entries!$C$2:$C$5000,"Actual",Entries!$A$2:$A$5000,$A207,Entries!$B$2:$B$5000,V$1))</f>
        <v/>
      </c>
      <c r="W207" s="88">
        <f>IF(OR(W$1="",$BE207=0),"",SUMIFS(Entries!$D$2:$D$5000,Entries!$C$2:$C$5000,"Actual",Entries!$A$2:$A$5000,$A207,Entries!$B$2:$B$5000,W$1))</f>
        <v/>
      </c>
      <c r="X207" s="88">
        <f>IF(OR(X$1="",$BE207=0),"",SUMIFS(Entries!$D$2:$D$5000,Entries!$C$2:$C$5000,"Actual",Entries!$A$2:$A$5000,$A207,Entries!$B$2:$B$5000,X$1))</f>
        <v/>
      </c>
      <c r="Y207" s="88">
        <f>IF(OR(Y$1="",$BE207=0),"",SUMIFS(Entries!$D$2:$D$5000,Entries!$C$2:$C$5000,"Actual",Entries!$A$2:$A$5000,$A207,Entries!$B$2:$B$5000,Y$1))</f>
        <v/>
      </c>
      <c r="Z207" s="88">
        <f>IF(OR(Z$1="",$BE207=0),"",SUMIFS(Entries!$D$2:$D$5000,Entries!$C$2:$C$5000,"Actual",Entries!$A$2:$A$5000,$A207,Entries!$B$2:$B$5000,Z$1))</f>
        <v/>
      </c>
      <c r="AA207" s="88">
        <f>IF(OR(AA$1="",$BE207=0),"",SUMIFS(Entries!$D$2:$D$5000,Entries!$C$2:$C$5000,"Actual",Entries!$A$2:$A$5000,$A207,Entries!$B$2:$B$5000,AA$1))</f>
        <v/>
      </c>
      <c r="AB207" s="88">
        <f>IF(OR(AB$1="",$BE207=0),"",SUMIFS(Entries!$D$2:$D$5000,Entries!$C$2:$C$5000,"Actual",Entries!$A$2:$A$5000,$A207,Entries!$B$2:$B$5000,AB$1))</f>
        <v/>
      </c>
      <c r="AC207" s="88">
        <f>IF(OR(AC$1="",$BE207=0),"",SUMIFS(Entries!$D$2:$D$5000,Entries!$C$2:$C$5000,"Actual",Entries!$A$2:$A$5000,$A207,Entries!$B$2:$B$5000,AC$1))</f>
        <v/>
      </c>
      <c r="AD207" s="88">
        <f>IF(OR(AD$1="",$BE207=0),"",SUMIFS(Entries!$D$2:$D$5000,Entries!$C$2:$C$5000,"Actual",Entries!$A$2:$A$5000,$A207,Entries!$B$2:$B$5000,AD$1))</f>
        <v/>
      </c>
      <c r="AE207" s="88">
        <f>IF(OR(AE$1="",$BE207=0),"",SUMIFS(Entries!$D$2:$D$5000,Entries!$C$2:$C$5000,"Actual",Entries!$A$2:$A$5000,$A207,Entries!$B$2:$B$5000,AE$1))</f>
        <v/>
      </c>
      <c r="AF207" s="88">
        <f>IF(OR(AF$1="",$BE207=0),"",SUMIFS(Entries!$D$2:$D$5000,Entries!$C$2:$C$5000,"Actual",Entries!$A$2:$A$5000,$A207,Entries!$B$2:$B$5000,AF$1))</f>
        <v/>
      </c>
      <c r="AG207" s="88">
        <f>IF(OR(AG$1="",$BE207=0),"",SUMIFS(Entries!$D$2:$D$5000,Entries!$C$2:$C$5000,"Actual",Entries!$A$2:$A$5000,$A207,Entries!$B$2:$B$5000,AG$1))</f>
        <v/>
      </c>
      <c r="AH207" s="88">
        <f>IF(OR(AH$1="",$BE207=0),"",SUMIFS(Entries!$D$2:$D$5000,Entries!$C$2:$C$5000,"Actual",Entries!$A$2:$A$5000,$A207,Entries!$B$2:$B$5000,AH$1))</f>
        <v/>
      </c>
      <c r="AJ207" s="88">
        <f>IF(OR(AJ$1="",$BE207=0),"",IFERROR(LOOKUP(2,1/((Budgets!$A$2:$A$200=AJ$1)*(Budgets!$B$2:$B$200&lt;=$A207)),Budgets!$C$2:$C$200),0))</f>
        <v/>
      </c>
      <c r="AK207" s="88">
        <f>IF(OR(AK$1="",$BE207=0),"",IFERROR(LOOKUP(2,1/((Budgets!$A$2:$A$200=AK$1)*(Budgets!$B$2:$B$200&lt;=$A207)),Budgets!$C$2:$C$200),0))</f>
        <v/>
      </c>
      <c r="AL207" s="88">
        <f>IF(OR(AL$1="",$BE207=0),"",IFERROR(LOOKUP(2,1/((Budgets!$A$2:$A$200=AL$1)*(Budgets!$B$2:$B$200&lt;=$A207)),Budgets!$C$2:$C$200),0))</f>
        <v/>
      </c>
      <c r="AM207" s="88">
        <f>IF(OR(AM$1="",$BE207=0),"",IFERROR(LOOKUP(2,1/((Budgets!$A$2:$A$200=AM$1)*(Budgets!$B$2:$B$200&lt;=$A207)),Budgets!$C$2:$C$200),0))</f>
        <v/>
      </c>
      <c r="AN207" s="88">
        <f>IF(OR(AN$1="",$BE207=0),"",IFERROR(LOOKUP(2,1/((Budgets!$A$2:$A$200=AN$1)*(Budgets!$B$2:$B$200&lt;=$A207)),Budgets!$C$2:$C$200),0))</f>
        <v/>
      </c>
      <c r="AO207" s="88">
        <f>IF(OR(AO$1="",$BE207=0),"",IFERROR(LOOKUP(2,1/((Budgets!$A$2:$A$200=AO$1)*(Budgets!$B$2:$B$200&lt;=$A207)),Budgets!$C$2:$C$200),0))</f>
        <v/>
      </c>
      <c r="AP207" s="88">
        <f>IF(OR(AP$1="",$BE207=0),"",IFERROR(LOOKUP(2,1/((Budgets!$A$2:$A$200=AP$1)*(Budgets!$B$2:$B$200&lt;=$A207)),Budgets!$C$2:$C$200),0))</f>
        <v/>
      </c>
      <c r="AQ207" s="88">
        <f>IF(OR(AQ$1="",$BE207=0),"",IFERROR(LOOKUP(2,1/((Budgets!$A$2:$A$200=AQ$1)*(Budgets!$B$2:$B$200&lt;=$A207)),Budgets!$C$2:$C$200),0))</f>
        <v/>
      </c>
      <c r="AR207" s="88">
        <f>IF(OR(AR$1="",$BE207=0),"",IFERROR(LOOKUP(2,1/((Budgets!$A$2:$A$200=AR$1)*(Budgets!$B$2:$B$200&lt;=$A207)),Budgets!$C$2:$C$200),0))</f>
        <v/>
      </c>
      <c r="AS207" s="88">
        <f>IF(OR(AS$1="",$BE207=0),"",IFERROR(LOOKUP(2,1/((Budgets!$A$2:$A$200=AS$1)*(Budgets!$B$2:$B$200&lt;=$A207)),Budgets!$C$2:$C$200),0))</f>
        <v/>
      </c>
      <c r="AT207" s="88">
        <f>IF(OR(AT$1="",$BE207=0),"",IFERROR(LOOKUP(2,1/((Budgets!$A$2:$A$200=AT$1)*(Budgets!$B$2:$B$200&lt;=$A207)),Budgets!$C$2:$C$200),0))</f>
        <v/>
      </c>
      <c r="AU207" s="88">
        <f>IF(OR(AU$1="",$BE207=0),"",IFERROR(LOOKUP(2,1/((Budgets!$A$2:$A$200=AU$1)*(Budgets!$B$2:$B$200&lt;=$A207)),Budgets!$C$2:$C$200),0))</f>
        <v/>
      </c>
      <c r="AV207" s="88">
        <f>IF(OR(AV$1="",$BE207=0),"",IFERROR(LOOKUP(2,1/((Budgets!$A$2:$A$200=AV$1)*(Budgets!$B$2:$B$200&lt;=$A207)),Budgets!$C$2:$C$200),0))</f>
        <v/>
      </c>
      <c r="AW207" s="88">
        <f>IF(OR(AW$1="",$BE207=0),"",IFERROR(LOOKUP(2,1/((Budgets!$A$2:$A$200=AW$1)*(Budgets!$B$2:$B$200&lt;=$A207)),Budgets!$C$2:$C$200),0))</f>
        <v/>
      </c>
      <c r="AX207" s="88">
        <f>IF(OR(AX$1="",$BE207=0),"",IFERROR(LOOKUP(2,1/((Budgets!$A$2:$A$200=AX$1)*(Budgets!$B$2:$B$200&lt;=$A207)),Budgets!$C$2:$C$200),0))</f>
        <v/>
      </c>
      <c r="AY207" s="88">
        <f>IF(OR(AY$1="",$BE207=0),"",IFERROR(LOOKUP(2,1/((Budgets!$A$2:$A$200=AY$1)*(Budgets!$B$2:$B$200&lt;=$A207)),Budgets!$C$2:$C$200),0))</f>
        <v/>
      </c>
      <c r="AZ207" s="88">
        <f>IF(OR(AZ$1="",$BE207=0),"",IFERROR(LOOKUP(2,1/((Budgets!$A$2:$A$200=AZ$1)*(Budgets!$B$2:$B$200&lt;=$A207)),Budgets!$C$2:$C$200),0))</f>
        <v/>
      </c>
      <c r="BA207" s="88">
        <f>IF(OR(BA$1="",$BE207=0),"",IFERROR(LOOKUP(2,1/((Budgets!$A$2:$A$200=BA$1)*(Budgets!$B$2:$B$200&lt;=$A207)),Budgets!$C$2:$C$200),0))</f>
        <v/>
      </c>
      <c r="BB207" s="88">
        <f>IF(OR(BB$1="",$BE207=0),"",IFERROR(LOOKUP(2,1/((Budgets!$A$2:$A$200=BB$1)*(Budgets!$B$2:$B$200&lt;=$A207)),Budgets!$C$2:$C$200),0))</f>
        <v/>
      </c>
      <c r="BC207" s="88">
        <f>IF(OR(BC$1="",$BE207=0),"",IFERROR(LOOKUP(2,1/((Budgets!$A$2:$A$200=BC$1)*(Budgets!$B$2:$B$200&lt;=$A207)),Budgets!$C$2:$C$200),0))</f>
        <v/>
      </c>
      <c r="BE207" s="67">
        <f>COUNTIFS(Entries!$A$2:$A$5000,$A207)</f>
        <v/>
      </c>
    </row>
    <row r="208" ht="15" customHeight="1" s="43">
      <c r="A208" s="87" t="n">
        <v>45717</v>
      </c>
      <c r="B208" s="88">
        <f>IF($BE208=0,NA(),SUMIFS(Entries!$D$2:$D$5000,Entries!$C$2:$C$5000,"Income",Entries!$A$2:$A$5000,$A208))</f>
        <v/>
      </c>
      <c r="C208" s="88">
        <f>IF($BE208=0,"",SUMIFS(Entries!$D$2:$D$5000,Entries!$C$2:$C$5000,"Actual",Entries!$A$2:$A$5000,$A208))</f>
        <v/>
      </c>
      <c r="D208" s="88">
        <f>IF($BE208=0,"",SUMIFS(Entries!$D$2:$D$5000,Entries!$C$2:$C$5000,"One-off",Entries!$A$2:$A$5000,$A208))</f>
        <v/>
      </c>
      <c r="E208" s="88">
        <f>IF($BE208=0,NA(),C208+D208)</f>
        <v/>
      </c>
      <c r="F208" s="88">
        <f>IF($BE208=0,"",SUM(AJ208:BC208))</f>
        <v/>
      </c>
      <c r="G208" s="88">
        <f>IF($BE208=0,"",B208-E208)</f>
        <v/>
      </c>
      <c r="H208" s="88">
        <f>IF($BE208=0,"",SUM($G$2:G208))</f>
        <v/>
      </c>
      <c r="I208" s="88">
        <f>IF($BE208=0,"",SUMIFS(Entries!$F$2:$F$5000,Entries!$A$2:$A$5000,$A208))</f>
        <v/>
      </c>
      <c r="J208" s="88">
        <f>IF($BE208=0,NA(),H208+SUM($I$2:I208))</f>
        <v/>
      </c>
      <c r="K208" s="88">
        <f>IF($BE208=0,"",SUMIFS(Entries!$D$2:$D$5000,Entries!$C$2:$C$5000,"Income",Entries!$A$2:$A$5000,"&gt;="&amp;EDATE($A208,-11),Entries!$A$2:$A$5000,"&lt;="&amp;$A208)/12)</f>
        <v/>
      </c>
      <c r="L208" s="88">
        <f>IF($BE208=0,"",(SUMIFS(Entries!$D$2:$D$5000,Entries!$C$2:$C$5000,"Actual",Entries!$A$2:$A$5000,"&gt;="&amp;EDATE($A208,-11),Entries!$A$2:$A$5000,"&lt;="&amp;$A208)+SUMIFS(Entries!$D$2:$D$5000,Entries!$C$2:$C$5000,"One-off",Entries!$A$2:$A$5000,"&gt;="&amp;EDATE($A208,-11),Entries!$A$2:$A$5000,"&lt;="&amp;$A208))/12)</f>
        <v/>
      </c>
      <c r="M208" s="70">
        <f>IF($BE208=0,NA(),IFERROR((K208-L208)/K208,0))</f>
        <v/>
      </c>
      <c r="O208" s="88">
        <f>IF(OR(O$1="",$BE208=0),"",SUMIFS(Entries!$D$2:$D$5000,Entries!$C$2:$C$5000,"Actual",Entries!$A$2:$A$5000,$A208,Entries!$B$2:$B$5000,O$1))</f>
        <v/>
      </c>
      <c r="P208" s="88">
        <f>IF(OR(P$1="",$BE208=0),"",SUMIFS(Entries!$D$2:$D$5000,Entries!$C$2:$C$5000,"Actual",Entries!$A$2:$A$5000,$A208,Entries!$B$2:$B$5000,P$1))</f>
        <v/>
      </c>
      <c r="Q208" s="88">
        <f>IF(OR(Q$1="",$BE208=0),"",SUMIFS(Entries!$D$2:$D$5000,Entries!$C$2:$C$5000,"Actual",Entries!$A$2:$A$5000,$A208,Entries!$B$2:$B$5000,Q$1))</f>
        <v/>
      </c>
      <c r="R208" s="88">
        <f>IF(OR(R$1="",$BE208=0),"",SUMIFS(Entries!$D$2:$D$5000,Entries!$C$2:$C$5000,"Actual",Entries!$A$2:$A$5000,$A208,Entries!$B$2:$B$5000,R$1))</f>
        <v/>
      </c>
      <c r="S208" s="88">
        <f>IF(OR(S$1="",$BE208=0),"",SUMIFS(Entries!$D$2:$D$5000,Entries!$C$2:$C$5000,"Actual",Entries!$A$2:$A$5000,$A208,Entries!$B$2:$B$5000,S$1))</f>
        <v/>
      </c>
      <c r="T208" s="88">
        <f>IF(OR(T$1="",$BE208=0),"",SUMIFS(Entries!$D$2:$D$5000,Entries!$C$2:$C$5000,"Actual",Entries!$A$2:$A$5000,$A208,Entries!$B$2:$B$5000,T$1))</f>
        <v/>
      </c>
      <c r="U208" s="88">
        <f>IF(OR(U$1="",$BE208=0),"",SUMIFS(Entries!$D$2:$D$5000,Entries!$C$2:$C$5000,"Actual",Entries!$A$2:$A$5000,$A208,Entries!$B$2:$B$5000,U$1))</f>
        <v/>
      </c>
      <c r="V208" s="88">
        <f>IF(OR(V$1="",$BE208=0),"",SUMIFS(Entries!$D$2:$D$5000,Entries!$C$2:$C$5000,"Actual",Entries!$A$2:$A$5000,$A208,Entries!$B$2:$B$5000,V$1))</f>
        <v/>
      </c>
      <c r="W208" s="88">
        <f>IF(OR(W$1="",$BE208=0),"",SUMIFS(Entries!$D$2:$D$5000,Entries!$C$2:$C$5000,"Actual",Entries!$A$2:$A$5000,$A208,Entries!$B$2:$B$5000,W$1))</f>
        <v/>
      </c>
      <c r="X208" s="88">
        <f>IF(OR(X$1="",$BE208=0),"",SUMIFS(Entries!$D$2:$D$5000,Entries!$C$2:$C$5000,"Actual",Entries!$A$2:$A$5000,$A208,Entries!$B$2:$B$5000,X$1))</f>
        <v/>
      </c>
      <c r="Y208" s="88">
        <f>IF(OR(Y$1="",$BE208=0),"",SUMIFS(Entries!$D$2:$D$5000,Entries!$C$2:$C$5000,"Actual",Entries!$A$2:$A$5000,$A208,Entries!$B$2:$B$5000,Y$1))</f>
        <v/>
      </c>
      <c r="Z208" s="88">
        <f>IF(OR(Z$1="",$BE208=0),"",SUMIFS(Entries!$D$2:$D$5000,Entries!$C$2:$C$5000,"Actual",Entries!$A$2:$A$5000,$A208,Entries!$B$2:$B$5000,Z$1))</f>
        <v/>
      </c>
      <c r="AA208" s="88">
        <f>IF(OR(AA$1="",$BE208=0),"",SUMIFS(Entries!$D$2:$D$5000,Entries!$C$2:$C$5000,"Actual",Entries!$A$2:$A$5000,$A208,Entries!$B$2:$B$5000,AA$1))</f>
        <v/>
      </c>
      <c r="AB208" s="88">
        <f>IF(OR(AB$1="",$BE208=0),"",SUMIFS(Entries!$D$2:$D$5000,Entries!$C$2:$C$5000,"Actual",Entries!$A$2:$A$5000,$A208,Entries!$B$2:$B$5000,AB$1))</f>
        <v/>
      </c>
      <c r="AC208" s="88">
        <f>IF(OR(AC$1="",$BE208=0),"",SUMIFS(Entries!$D$2:$D$5000,Entries!$C$2:$C$5000,"Actual",Entries!$A$2:$A$5000,$A208,Entries!$B$2:$B$5000,AC$1))</f>
        <v/>
      </c>
      <c r="AD208" s="88">
        <f>IF(OR(AD$1="",$BE208=0),"",SUMIFS(Entries!$D$2:$D$5000,Entries!$C$2:$C$5000,"Actual",Entries!$A$2:$A$5000,$A208,Entries!$B$2:$B$5000,AD$1))</f>
        <v/>
      </c>
      <c r="AE208" s="88">
        <f>IF(OR(AE$1="",$BE208=0),"",SUMIFS(Entries!$D$2:$D$5000,Entries!$C$2:$C$5000,"Actual",Entries!$A$2:$A$5000,$A208,Entries!$B$2:$B$5000,AE$1))</f>
        <v/>
      </c>
      <c r="AF208" s="88">
        <f>IF(OR(AF$1="",$BE208=0),"",SUMIFS(Entries!$D$2:$D$5000,Entries!$C$2:$C$5000,"Actual",Entries!$A$2:$A$5000,$A208,Entries!$B$2:$B$5000,AF$1))</f>
        <v/>
      </c>
      <c r="AG208" s="88">
        <f>IF(OR(AG$1="",$BE208=0),"",SUMIFS(Entries!$D$2:$D$5000,Entries!$C$2:$C$5000,"Actual",Entries!$A$2:$A$5000,$A208,Entries!$B$2:$B$5000,AG$1))</f>
        <v/>
      </c>
      <c r="AH208" s="88">
        <f>IF(OR(AH$1="",$BE208=0),"",SUMIFS(Entries!$D$2:$D$5000,Entries!$C$2:$C$5000,"Actual",Entries!$A$2:$A$5000,$A208,Entries!$B$2:$B$5000,AH$1))</f>
        <v/>
      </c>
      <c r="AJ208" s="88">
        <f>IF(OR(AJ$1="",$BE208=0),"",IFERROR(LOOKUP(2,1/((Budgets!$A$2:$A$200=AJ$1)*(Budgets!$B$2:$B$200&lt;=$A208)),Budgets!$C$2:$C$200),0))</f>
        <v/>
      </c>
      <c r="AK208" s="88">
        <f>IF(OR(AK$1="",$BE208=0),"",IFERROR(LOOKUP(2,1/((Budgets!$A$2:$A$200=AK$1)*(Budgets!$B$2:$B$200&lt;=$A208)),Budgets!$C$2:$C$200),0))</f>
        <v/>
      </c>
      <c r="AL208" s="88">
        <f>IF(OR(AL$1="",$BE208=0),"",IFERROR(LOOKUP(2,1/((Budgets!$A$2:$A$200=AL$1)*(Budgets!$B$2:$B$200&lt;=$A208)),Budgets!$C$2:$C$200),0))</f>
        <v/>
      </c>
      <c r="AM208" s="88">
        <f>IF(OR(AM$1="",$BE208=0),"",IFERROR(LOOKUP(2,1/((Budgets!$A$2:$A$200=AM$1)*(Budgets!$B$2:$B$200&lt;=$A208)),Budgets!$C$2:$C$200),0))</f>
        <v/>
      </c>
      <c r="AN208" s="88">
        <f>IF(OR(AN$1="",$BE208=0),"",IFERROR(LOOKUP(2,1/((Budgets!$A$2:$A$200=AN$1)*(Budgets!$B$2:$B$200&lt;=$A208)),Budgets!$C$2:$C$200),0))</f>
        <v/>
      </c>
      <c r="AO208" s="88">
        <f>IF(OR(AO$1="",$BE208=0),"",IFERROR(LOOKUP(2,1/((Budgets!$A$2:$A$200=AO$1)*(Budgets!$B$2:$B$200&lt;=$A208)),Budgets!$C$2:$C$200),0))</f>
        <v/>
      </c>
      <c r="AP208" s="88">
        <f>IF(OR(AP$1="",$BE208=0),"",IFERROR(LOOKUP(2,1/((Budgets!$A$2:$A$200=AP$1)*(Budgets!$B$2:$B$200&lt;=$A208)),Budgets!$C$2:$C$200),0))</f>
        <v/>
      </c>
      <c r="AQ208" s="88">
        <f>IF(OR(AQ$1="",$BE208=0),"",IFERROR(LOOKUP(2,1/((Budgets!$A$2:$A$200=AQ$1)*(Budgets!$B$2:$B$200&lt;=$A208)),Budgets!$C$2:$C$200),0))</f>
        <v/>
      </c>
      <c r="AR208" s="88">
        <f>IF(OR(AR$1="",$BE208=0),"",IFERROR(LOOKUP(2,1/((Budgets!$A$2:$A$200=AR$1)*(Budgets!$B$2:$B$200&lt;=$A208)),Budgets!$C$2:$C$200),0))</f>
        <v/>
      </c>
      <c r="AS208" s="88">
        <f>IF(OR(AS$1="",$BE208=0),"",IFERROR(LOOKUP(2,1/((Budgets!$A$2:$A$200=AS$1)*(Budgets!$B$2:$B$200&lt;=$A208)),Budgets!$C$2:$C$200),0))</f>
        <v/>
      </c>
      <c r="AT208" s="88">
        <f>IF(OR(AT$1="",$BE208=0),"",IFERROR(LOOKUP(2,1/((Budgets!$A$2:$A$200=AT$1)*(Budgets!$B$2:$B$200&lt;=$A208)),Budgets!$C$2:$C$200),0))</f>
        <v/>
      </c>
      <c r="AU208" s="88">
        <f>IF(OR(AU$1="",$BE208=0),"",IFERROR(LOOKUP(2,1/((Budgets!$A$2:$A$200=AU$1)*(Budgets!$B$2:$B$200&lt;=$A208)),Budgets!$C$2:$C$200),0))</f>
        <v/>
      </c>
      <c r="AV208" s="88">
        <f>IF(OR(AV$1="",$BE208=0),"",IFERROR(LOOKUP(2,1/((Budgets!$A$2:$A$200=AV$1)*(Budgets!$B$2:$B$200&lt;=$A208)),Budgets!$C$2:$C$200),0))</f>
        <v/>
      </c>
      <c r="AW208" s="88">
        <f>IF(OR(AW$1="",$BE208=0),"",IFERROR(LOOKUP(2,1/((Budgets!$A$2:$A$200=AW$1)*(Budgets!$B$2:$B$200&lt;=$A208)),Budgets!$C$2:$C$200),0))</f>
        <v/>
      </c>
      <c r="AX208" s="88">
        <f>IF(OR(AX$1="",$BE208=0),"",IFERROR(LOOKUP(2,1/((Budgets!$A$2:$A$200=AX$1)*(Budgets!$B$2:$B$200&lt;=$A208)),Budgets!$C$2:$C$200),0))</f>
        <v/>
      </c>
      <c r="AY208" s="88">
        <f>IF(OR(AY$1="",$BE208=0),"",IFERROR(LOOKUP(2,1/((Budgets!$A$2:$A$200=AY$1)*(Budgets!$B$2:$B$200&lt;=$A208)),Budgets!$C$2:$C$200),0))</f>
        <v/>
      </c>
      <c r="AZ208" s="88">
        <f>IF(OR(AZ$1="",$BE208=0),"",IFERROR(LOOKUP(2,1/((Budgets!$A$2:$A$200=AZ$1)*(Budgets!$B$2:$B$200&lt;=$A208)),Budgets!$C$2:$C$200),0))</f>
        <v/>
      </c>
      <c r="BA208" s="88">
        <f>IF(OR(BA$1="",$BE208=0),"",IFERROR(LOOKUP(2,1/((Budgets!$A$2:$A$200=BA$1)*(Budgets!$B$2:$B$200&lt;=$A208)),Budgets!$C$2:$C$200),0))</f>
        <v/>
      </c>
      <c r="BB208" s="88">
        <f>IF(OR(BB$1="",$BE208=0),"",IFERROR(LOOKUP(2,1/((Budgets!$A$2:$A$200=BB$1)*(Budgets!$B$2:$B$200&lt;=$A208)),Budgets!$C$2:$C$200),0))</f>
        <v/>
      </c>
      <c r="BC208" s="88">
        <f>IF(OR(BC$1="",$BE208=0),"",IFERROR(LOOKUP(2,1/((Budgets!$A$2:$A$200=BC$1)*(Budgets!$B$2:$B$200&lt;=$A208)),Budgets!$C$2:$C$200),0))</f>
        <v/>
      </c>
      <c r="BE208" s="67">
        <f>COUNTIFS(Entries!$A$2:$A$5000,$A208)</f>
        <v/>
      </c>
    </row>
    <row r="209" ht="15" customHeight="1" s="43">
      <c r="A209" s="87" t="n">
        <v>45748</v>
      </c>
      <c r="B209" s="88">
        <f>IF($BE209=0,NA(),SUMIFS(Entries!$D$2:$D$5000,Entries!$C$2:$C$5000,"Income",Entries!$A$2:$A$5000,$A209))</f>
        <v/>
      </c>
      <c r="C209" s="88">
        <f>IF($BE209=0,"",SUMIFS(Entries!$D$2:$D$5000,Entries!$C$2:$C$5000,"Actual",Entries!$A$2:$A$5000,$A209))</f>
        <v/>
      </c>
      <c r="D209" s="88">
        <f>IF($BE209=0,"",SUMIFS(Entries!$D$2:$D$5000,Entries!$C$2:$C$5000,"One-off",Entries!$A$2:$A$5000,$A209))</f>
        <v/>
      </c>
      <c r="E209" s="88">
        <f>IF($BE209=0,NA(),C209+D209)</f>
        <v/>
      </c>
      <c r="F209" s="88">
        <f>IF($BE209=0,"",SUM(AJ209:BC209))</f>
        <v/>
      </c>
      <c r="G209" s="88">
        <f>IF($BE209=0,"",B209-E209)</f>
        <v/>
      </c>
      <c r="H209" s="88">
        <f>IF($BE209=0,"",SUM($G$2:G209))</f>
        <v/>
      </c>
      <c r="I209" s="88">
        <f>IF($BE209=0,"",SUMIFS(Entries!$F$2:$F$5000,Entries!$A$2:$A$5000,$A209))</f>
        <v/>
      </c>
      <c r="J209" s="88">
        <f>IF($BE209=0,NA(),H209+SUM($I$2:I209))</f>
        <v/>
      </c>
      <c r="K209" s="88">
        <f>IF($BE209=0,"",SUMIFS(Entries!$D$2:$D$5000,Entries!$C$2:$C$5000,"Income",Entries!$A$2:$A$5000,"&gt;="&amp;EDATE($A209,-11),Entries!$A$2:$A$5000,"&lt;="&amp;$A209)/12)</f>
        <v/>
      </c>
      <c r="L209" s="88">
        <f>IF($BE209=0,"",(SUMIFS(Entries!$D$2:$D$5000,Entries!$C$2:$C$5000,"Actual",Entries!$A$2:$A$5000,"&gt;="&amp;EDATE($A209,-11),Entries!$A$2:$A$5000,"&lt;="&amp;$A209)+SUMIFS(Entries!$D$2:$D$5000,Entries!$C$2:$C$5000,"One-off",Entries!$A$2:$A$5000,"&gt;="&amp;EDATE($A209,-11),Entries!$A$2:$A$5000,"&lt;="&amp;$A209))/12)</f>
        <v/>
      </c>
      <c r="M209" s="70">
        <f>IF($BE209=0,NA(),IFERROR((K209-L209)/K209,0))</f>
        <v/>
      </c>
      <c r="O209" s="88">
        <f>IF(OR(O$1="",$BE209=0),"",SUMIFS(Entries!$D$2:$D$5000,Entries!$C$2:$C$5000,"Actual",Entries!$A$2:$A$5000,$A209,Entries!$B$2:$B$5000,O$1))</f>
        <v/>
      </c>
      <c r="P209" s="88">
        <f>IF(OR(P$1="",$BE209=0),"",SUMIFS(Entries!$D$2:$D$5000,Entries!$C$2:$C$5000,"Actual",Entries!$A$2:$A$5000,$A209,Entries!$B$2:$B$5000,P$1))</f>
        <v/>
      </c>
      <c r="Q209" s="88">
        <f>IF(OR(Q$1="",$BE209=0),"",SUMIFS(Entries!$D$2:$D$5000,Entries!$C$2:$C$5000,"Actual",Entries!$A$2:$A$5000,$A209,Entries!$B$2:$B$5000,Q$1))</f>
        <v/>
      </c>
      <c r="R209" s="88">
        <f>IF(OR(R$1="",$BE209=0),"",SUMIFS(Entries!$D$2:$D$5000,Entries!$C$2:$C$5000,"Actual",Entries!$A$2:$A$5000,$A209,Entries!$B$2:$B$5000,R$1))</f>
        <v/>
      </c>
      <c r="S209" s="88">
        <f>IF(OR(S$1="",$BE209=0),"",SUMIFS(Entries!$D$2:$D$5000,Entries!$C$2:$C$5000,"Actual",Entries!$A$2:$A$5000,$A209,Entries!$B$2:$B$5000,S$1))</f>
        <v/>
      </c>
      <c r="T209" s="88">
        <f>IF(OR(T$1="",$BE209=0),"",SUMIFS(Entries!$D$2:$D$5000,Entries!$C$2:$C$5000,"Actual",Entries!$A$2:$A$5000,$A209,Entries!$B$2:$B$5000,T$1))</f>
        <v/>
      </c>
      <c r="U209" s="88">
        <f>IF(OR(U$1="",$BE209=0),"",SUMIFS(Entries!$D$2:$D$5000,Entries!$C$2:$C$5000,"Actual",Entries!$A$2:$A$5000,$A209,Entries!$B$2:$B$5000,U$1))</f>
        <v/>
      </c>
      <c r="V209" s="88">
        <f>IF(OR(V$1="",$BE209=0),"",SUMIFS(Entries!$D$2:$D$5000,Entries!$C$2:$C$5000,"Actual",Entries!$A$2:$A$5000,$A209,Entries!$B$2:$B$5000,V$1))</f>
        <v/>
      </c>
      <c r="W209" s="88">
        <f>IF(OR(W$1="",$BE209=0),"",SUMIFS(Entries!$D$2:$D$5000,Entries!$C$2:$C$5000,"Actual",Entries!$A$2:$A$5000,$A209,Entries!$B$2:$B$5000,W$1))</f>
        <v/>
      </c>
      <c r="X209" s="88">
        <f>IF(OR(X$1="",$BE209=0),"",SUMIFS(Entries!$D$2:$D$5000,Entries!$C$2:$C$5000,"Actual",Entries!$A$2:$A$5000,$A209,Entries!$B$2:$B$5000,X$1))</f>
        <v/>
      </c>
      <c r="Y209" s="88">
        <f>IF(OR(Y$1="",$BE209=0),"",SUMIFS(Entries!$D$2:$D$5000,Entries!$C$2:$C$5000,"Actual",Entries!$A$2:$A$5000,$A209,Entries!$B$2:$B$5000,Y$1))</f>
        <v/>
      </c>
      <c r="Z209" s="88">
        <f>IF(OR(Z$1="",$BE209=0),"",SUMIFS(Entries!$D$2:$D$5000,Entries!$C$2:$C$5000,"Actual",Entries!$A$2:$A$5000,$A209,Entries!$B$2:$B$5000,Z$1))</f>
        <v/>
      </c>
      <c r="AA209" s="88">
        <f>IF(OR(AA$1="",$BE209=0),"",SUMIFS(Entries!$D$2:$D$5000,Entries!$C$2:$C$5000,"Actual",Entries!$A$2:$A$5000,$A209,Entries!$B$2:$B$5000,AA$1))</f>
        <v/>
      </c>
      <c r="AB209" s="88">
        <f>IF(OR(AB$1="",$BE209=0),"",SUMIFS(Entries!$D$2:$D$5000,Entries!$C$2:$C$5000,"Actual",Entries!$A$2:$A$5000,$A209,Entries!$B$2:$B$5000,AB$1))</f>
        <v/>
      </c>
      <c r="AC209" s="88">
        <f>IF(OR(AC$1="",$BE209=0),"",SUMIFS(Entries!$D$2:$D$5000,Entries!$C$2:$C$5000,"Actual",Entries!$A$2:$A$5000,$A209,Entries!$B$2:$B$5000,AC$1))</f>
        <v/>
      </c>
      <c r="AD209" s="88">
        <f>IF(OR(AD$1="",$BE209=0),"",SUMIFS(Entries!$D$2:$D$5000,Entries!$C$2:$C$5000,"Actual",Entries!$A$2:$A$5000,$A209,Entries!$B$2:$B$5000,AD$1))</f>
        <v/>
      </c>
      <c r="AE209" s="88">
        <f>IF(OR(AE$1="",$BE209=0),"",SUMIFS(Entries!$D$2:$D$5000,Entries!$C$2:$C$5000,"Actual",Entries!$A$2:$A$5000,$A209,Entries!$B$2:$B$5000,AE$1))</f>
        <v/>
      </c>
      <c r="AF209" s="88">
        <f>IF(OR(AF$1="",$BE209=0),"",SUMIFS(Entries!$D$2:$D$5000,Entries!$C$2:$C$5000,"Actual",Entries!$A$2:$A$5000,$A209,Entries!$B$2:$B$5000,AF$1))</f>
        <v/>
      </c>
      <c r="AG209" s="88">
        <f>IF(OR(AG$1="",$BE209=0),"",SUMIFS(Entries!$D$2:$D$5000,Entries!$C$2:$C$5000,"Actual",Entries!$A$2:$A$5000,$A209,Entries!$B$2:$B$5000,AG$1))</f>
        <v/>
      </c>
      <c r="AH209" s="88">
        <f>IF(OR(AH$1="",$BE209=0),"",SUMIFS(Entries!$D$2:$D$5000,Entries!$C$2:$C$5000,"Actual",Entries!$A$2:$A$5000,$A209,Entries!$B$2:$B$5000,AH$1))</f>
        <v/>
      </c>
      <c r="AJ209" s="88">
        <f>IF(OR(AJ$1="",$BE209=0),"",IFERROR(LOOKUP(2,1/((Budgets!$A$2:$A$200=AJ$1)*(Budgets!$B$2:$B$200&lt;=$A209)),Budgets!$C$2:$C$200),0))</f>
        <v/>
      </c>
      <c r="AK209" s="88">
        <f>IF(OR(AK$1="",$BE209=0),"",IFERROR(LOOKUP(2,1/((Budgets!$A$2:$A$200=AK$1)*(Budgets!$B$2:$B$200&lt;=$A209)),Budgets!$C$2:$C$200),0))</f>
        <v/>
      </c>
      <c r="AL209" s="88">
        <f>IF(OR(AL$1="",$BE209=0),"",IFERROR(LOOKUP(2,1/((Budgets!$A$2:$A$200=AL$1)*(Budgets!$B$2:$B$200&lt;=$A209)),Budgets!$C$2:$C$200),0))</f>
        <v/>
      </c>
      <c r="AM209" s="88">
        <f>IF(OR(AM$1="",$BE209=0),"",IFERROR(LOOKUP(2,1/((Budgets!$A$2:$A$200=AM$1)*(Budgets!$B$2:$B$200&lt;=$A209)),Budgets!$C$2:$C$200),0))</f>
        <v/>
      </c>
      <c r="AN209" s="88">
        <f>IF(OR(AN$1="",$BE209=0),"",IFERROR(LOOKUP(2,1/((Budgets!$A$2:$A$200=AN$1)*(Budgets!$B$2:$B$200&lt;=$A209)),Budgets!$C$2:$C$200),0))</f>
        <v/>
      </c>
      <c r="AO209" s="88">
        <f>IF(OR(AO$1="",$BE209=0),"",IFERROR(LOOKUP(2,1/((Budgets!$A$2:$A$200=AO$1)*(Budgets!$B$2:$B$200&lt;=$A209)),Budgets!$C$2:$C$200),0))</f>
        <v/>
      </c>
      <c r="AP209" s="88">
        <f>IF(OR(AP$1="",$BE209=0),"",IFERROR(LOOKUP(2,1/((Budgets!$A$2:$A$200=AP$1)*(Budgets!$B$2:$B$200&lt;=$A209)),Budgets!$C$2:$C$200),0))</f>
        <v/>
      </c>
      <c r="AQ209" s="88">
        <f>IF(OR(AQ$1="",$BE209=0),"",IFERROR(LOOKUP(2,1/((Budgets!$A$2:$A$200=AQ$1)*(Budgets!$B$2:$B$200&lt;=$A209)),Budgets!$C$2:$C$200),0))</f>
        <v/>
      </c>
      <c r="AR209" s="88">
        <f>IF(OR(AR$1="",$BE209=0),"",IFERROR(LOOKUP(2,1/((Budgets!$A$2:$A$200=AR$1)*(Budgets!$B$2:$B$200&lt;=$A209)),Budgets!$C$2:$C$200),0))</f>
        <v/>
      </c>
      <c r="AS209" s="88">
        <f>IF(OR(AS$1="",$BE209=0),"",IFERROR(LOOKUP(2,1/((Budgets!$A$2:$A$200=AS$1)*(Budgets!$B$2:$B$200&lt;=$A209)),Budgets!$C$2:$C$200),0))</f>
        <v/>
      </c>
      <c r="AT209" s="88">
        <f>IF(OR(AT$1="",$BE209=0),"",IFERROR(LOOKUP(2,1/((Budgets!$A$2:$A$200=AT$1)*(Budgets!$B$2:$B$200&lt;=$A209)),Budgets!$C$2:$C$200),0))</f>
        <v/>
      </c>
      <c r="AU209" s="88">
        <f>IF(OR(AU$1="",$BE209=0),"",IFERROR(LOOKUP(2,1/((Budgets!$A$2:$A$200=AU$1)*(Budgets!$B$2:$B$200&lt;=$A209)),Budgets!$C$2:$C$200),0))</f>
        <v/>
      </c>
      <c r="AV209" s="88">
        <f>IF(OR(AV$1="",$BE209=0),"",IFERROR(LOOKUP(2,1/((Budgets!$A$2:$A$200=AV$1)*(Budgets!$B$2:$B$200&lt;=$A209)),Budgets!$C$2:$C$200),0))</f>
        <v/>
      </c>
      <c r="AW209" s="88">
        <f>IF(OR(AW$1="",$BE209=0),"",IFERROR(LOOKUP(2,1/((Budgets!$A$2:$A$200=AW$1)*(Budgets!$B$2:$B$200&lt;=$A209)),Budgets!$C$2:$C$200),0))</f>
        <v/>
      </c>
      <c r="AX209" s="88">
        <f>IF(OR(AX$1="",$BE209=0),"",IFERROR(LOOKUP(2,1/((Budgets!$A$2:$A$200=AX$1)*(Budgets!$B$2:$B$200&lt;=$A209)),Budgets!$C$2:$C$200),0))</f>
        <v/>
      </c>
      <c r="AY209" s="88">
        <f>IF(OR(AY$1="",$BE209=0),"",IFERROR(LOOKUP(2,1/((Budgets!$A$2:$A$200=AY$1)*(Budgets!$B$2:$B$200&lt;=$A209)),Budgets!$C$2:$C$200),0))</f>
        <v/>
      </c>
      <c r="AZ209" s="88">
        <f>IF(OR(AZ$1="",$BE209=0),"",IFERROR(LOOKUP(2,1/((Budgets!$A$2:$A$200=AZ$1)*(Budgets!$B$2:$B$200&lt;=$A209)),Budgets!$C$2:$C$200),0))</f>
        <v/>
      </c>
      <c r="BA209" s="88">
        <f>IF(OR(BA$1="",$BE209=0),"",IFERROR(LOOKUP(2,1/((Budgets!$A$2:$A$200=BA$1)*(Budgets!$B$2:$B$200&lt;=$A209)),Budgets!$C$2:$C$200),0))</f>
        <v/>
      </c>
      <c r="BB209" s="88">
        <f>IF(OR(BB$1="",$BE209=0),"",IFERROR(LOOKUP(2,1/((Budgets!$A$2:$A$200=BB$1)*(Budgets!$B$2:$B$200&lt;=$A209)),Budgets!$C$2:$C$200),0))</f>
        <v/>
      </c>
      <c r="BC209" s="88">
        <f>IF(OR(BC$1="",$BE209=0),"",IFERROR(LOOKUP(2,1/((Budgets!$A$2:$A$200=BC$1)*(Budgets!$B$2:$B$200&lt;=$A209)),Budgets!$C$2:$C$200),0))</f>
        <v/>
      </c>
      <c r="BE209" s="67">
        <f>COUNTIFS(Entries!$A$2:$A$5000,$A209)</f>
        <v/>
      </c>
    </row>
    <row r="210" ht="15" customHeight="1" s="43">
      <c r="A210" s="87" t="n">
        <v>45778</v>
      </c>
      <c r="B210" s="88">
        <f>IF($BE210=0,NA(),SUMIFS(Entries!$D$2:$D$5000,Entries!$C$2:$C$5000,"Income",Entries!$A$2:$A$5000,$A210))</f>
        <v/>
      </c>
      <c r="C210" s="88">
        <f>IF($BE210=0,"",SUMIFS(Entries!$D$2:$D$5000,Entries!$C$2:$C$5000,"Actual",Entries!$A$2:$A$5000,$A210))</f>
        <v/>
      </c>
      <c r="D210" s="88">
        <f>IF($BE210=0,"",SUMIFS(Entries!$D$2:$D$5000,Entries!$C$2:$C$5000,"One-off",Entries!$A$2:$A$5000,$A210))</f>
        <v/>
      </c>
      <c r="E210" s="88">
        <f>IF($BE210=0,NA(),C210+D210)</f>
        <v/>
      </c>
      <c r="F210" s="88">
        <f>IF($BE210=0,"",SUM(AJ210:BC210))</f>
        <v/>
      </c>
      <c r="G210" s="88">
        <f>IF($BE210=0,"",B210-E210)</f>
        <v/>
      </c>
      <c r="H210" s="88">
        <f>IF($BE210=0,"",SUM($G$2:G210))</f>
        <v/>
      </c>
      <c r="I210" s="88">
        <f>IF($BE210=0,"",SUMIFS(Entries!$F$2:$F$5000,Entries!$A$2:$A$5000,$A210))</f>
        <v/>
      </c>
      <c r="J210" s="88">
        <f>IF($BE210=0,NA(),H210+SUM($I$2:I210))</f>
        <v/>
      </c>
      <c r="K210" s="88">
        <f>IF($BE210=0,"",SUMIFS(Entries!$D$2:$D$5000,Entries!$C$2:$C$5000,"Income",Entries!$A$2:$A$5000,"&gt;="&amp;EDATE($A210,-11),Entries!$A$2:$A$5000,"&lt;="&amp;$A210)/12)</f>
        <v/>
      </c>
      <c r="L210" s="88">
        <f>IF($BE210=0,"",(SUMIFS(Entries!$D$2:$D$5000,Entries!$C$2:$C$5000,"Actual",Entries!$A$2:$A$5000,"&gt;="&amp;EDATE($A210,-11),Entries!$A$2:$A$5000,"&lt;="&amp;$A210)+SUMIFS(Entries!$D$2:$D$5000,Entries!$C$2:$C$5000,"One-off",Entries!$A$2:$A$5000,"&gt;="&amp;EDATE($A210,-11),Entries!$A$2:$A$5000,"&lt;="&amp;$A210))/12)</f>
        <v/>
      </c>
      <c r="M210" s="70">
        <f>IF($BE210=0,NA(),IFERROR((K210-L210)/K210,0))</f>
        <v/>
      </c>
      <c r="O210" s="88">
        <f>IF(OR(O$1="",$BE210=0),"",SUMIFS(Entries!$D$2:$D$5000,Entries!$C$2:$C$5000,"Actual",Entries!$A$2:$A$5000,$A210,Entries!$B$2:$B$5000,O$1))</f>
        <v/>
      </c>
      <c r="P210" s="88">
        <f>IF(OR(P$1="",$BE210=0),"",SUMIFS(Entries!$D$2:$D$5000,Entries!$C$2:$C$5000,"Actual",Entries!$A$2:$A$5000,$A210,Entries!$B$2:$B$5000,P$1))</f>
        <v/>
      </c>
      <c r="Q210" s="88">
        <f>IF(OR(Q$1="",$BE210=0),"",SUMIFS(Entries!$D$2:$D$5000,Entries!$C$2:$C$5000,"Actual",Entries!$A$2:$A$5000,$A210,Entries!$B$2:$B$5000,Q$1))</f>
        <v/>
      </c>
      <c r="R210" s="88">
        <f>IF(OR(R$1="",$BE210=0),"",SUMIFS(Entries!$D$2:$D$5000,Entries!$C$2:$C$5000,"Actual",Entries!$A$2:$A$5000,$A210,Entries!$B$2:$B$5000,R$1))</f>
        <v/>
      </c>
      <c r="S210" s="88">
        <f>IF(OR(S$1="",$BE210=0),"",SUMIFS(Entries!$D$2:$D$5000,Entries!$C$2:$C$5000,"Actual",Entries!$A$2:$A$5000,$A210,Entries!$B$2:$B$5000,S$1))</f>
        <v/>
      </c>
      <c r="T210" s="88">
        <f>IF(OR(T$1="",$BE210=0),"",SUMIFS(Entries!$D$2:$D$5000,Entries!$C$2:$C$5000,"Actual",Entries!$A$2:$A$5000,$A210,Entries!$B$2:$B$5000,T$1))</f>
        <v/>
      </c>
      <c r="U210" s="88">
        <f>IF(OR(U$1="",$BE210=0),"",SUMIFS(Entries!$D$2:$D$5000,Entries!$C$2:$C$5000,"Actual",Entries!$A$2:$A$5000,$A210,Entries!$B$2:$B$5000,U$1))</f>
        <v/>
      </c>
      <c r="V210" s="88">
        <f>IF(OR(V$1="",$BE210=0),"",SUMIFS(Entries!$D$2:$D$5000,Entries!$C$2:$C$5000,"Actual",Entries!$A$2:$A$5000,$A210,Entries!$B$2:$B$5000,V$1))</f>
        <v/>
      </c>
      <c r="W210" s="88">
        <f>IF(OR(W$1="",$BE210=0),"",SUMIFS(Entries!$D$2:$D$5000,Entries!$C$2:$C$5000,"Actual",Entries!$A$2:$A$5000,$A210,Entries!$B$2:$B$5000,W$1))</f>
        <v/>
      </c>
      <c r="X210" s="88">
        <f>IF(OR(X$1="",$BE210=0),"",SUMIFS(Entries!$D$2:$D$5000,Entries!$C$2:$C$5000,"Actual",Entries!$A$2:$A$5000,$A210,Entries!$B$2:$B$5000,X$1))</f>
        <v/>
      </c>
      <c r="Y210" s="88">
        <f>IF(OR(Y$1="",$BE210=0),"",SUMIFS(Entries!$D$2:$D$5000,Entries!$C$2:$C$5000,"Actual",Entries!$A$2:$A$5000,$A210,Entries!$B$2:$B$5000,Y$1))</f>
        <v/>
      </c>
      <c r="Z210" s="88">
        <f>IF(OR(Z$1="",$BE210=0),"",SUMIFS(Entries!$D$2:$D$5000,Entries!$C$2:$C$5000,"Actual",Entries!$A$2:$A$5000,$A210,Entries!$B$2:$B$5000,Z$1))</f>
        <v/>
      </c>
      <c r="AA210" s="88">
        <f>IF(OR(AA$1="",$BE210=0),"",SUMIFS(Entries!$D$2:$D$5000,Entries!$C$2:$C$5000,"Actual",Entries!$A$2:$A$5000,$A210,Entries!$B$2:$B$5000,AA$1))</f>
        <v/>
      </c>
      <c r="AB210" s="88">
        <f>IF(OR(AB$1="",$BE210=0),"",SUMIFS(Entries!$D$2:$D$5000,Entries!$C$2:$C$5000,"Actual",Entries!$A$2:$A$5000,$A210,Entries!$B$2:$B$5000,AB$1))</f>
        <v/>
      </c>
      <c r="AC210" s="88">
        <f>IF(OR(AC$1="",$BE210=0),"",SUMIFS(Entries!$D$2:$D$5000,Entries!$C$2:$C$5000,"Actual",Entries!$A$2:$A$5000,$A210,Entries!$B$2:$B$5000,AC$1))</f>
        <v/>
      </c>
      <c r="AD210" s="88">
        <f>IF(OR(AD$1="",$BE210=0),"",SUMIFS(Entries!$D$2:$D$5000,Entries!$C$2:$C$5000,"Actual",Entries!$A$2:$A$5000,$A210,Entries!$B$2:$B$5000,AD$1))</f>
        <v/>
      </c>
      <c r="AE210" s="88">
        <f>IF(OR(AE$1="",$BE210=0),"",SUMIFS(Entries!$D$2:$D$5000,Entries!$C$2:$C$5000,"Actual",Entries!$A$2:$A$5000,$A210,Entries!$B$2:$B$5000,AE$1))</f>
        <v/>
      </c>
      <c r="AF210" s="88">
        <f>IF(OR(AF$1="",$BE210=0),"",SUMIFS(Entries!$D$2:$D$5000,Entries!$C$2:$C$5000,"Actual",Entries!$A$2:$A$5000,$A210,Entries!$B$2:$B$5000,AF$1))</f>
        <v/>
      </c>
      <c r="AG210" s="88">
        <f>IF(OR(AG$1="",$BE210=0),"",SUMIFS(Entries!$D$2:$D$5000,Entries!$C$2:$C$5000,"Actual",Entries!$A$2:$A$5000,$A210,Entries!$B$2:$B$5000,AG$1))</f>
        <v/>
      </c>
      <c r="AH210" s="88">
        <f>IF(OR(AH$1="",$BE210=0),"",SUMIFS(Entries!$D$2:$D$5000,Entries!$C$2:$C$5000,"Actual",Entries!$A$2:$A$5000,$A210,Entries!$B$2:$B$5000,AH$1))</f>
        <v/>
      </c>
      <c r="AJ210" s="88">
        <f>IF(OR(AJ$1="",$BE210=0),"",IFERROR(LOOKUP(2,1/((Budgets!$A$2:$A$200=AJ$1)*(Budgets!$B$2:$B$200&lt;=$A210)),Budgets!$C$2:$C$200),0))</f>
        <v/>
      </c>
      <c r="AK210" s="88">
        <f>IF(OR(AK$1="",$BE210=0),"",IFERROR(LOOKUP(2,1/((Budgets!$A$2:$A$200=AK$1)*(Budgets!$B$2:$B$200&lt;=$A210)),Budgets!$C$2:$C$200),0))</f>
        <v/>
      </c>
      <c r="AL210" s="88">
        <f>IF(OR(AL$1="",$BE210=0),"",IFERROR(LOOKUP(2,1/((Budgets!$A$2:$A$200=AL$1)*(Budgets!$B$2:$B$200&lt;=$A210)),Budgets!$C$2:$C$200),0))</f>
        <v/>
      </c>
      <c r="AM210" s="88">
        <f>IF(OR(AM$1="",$BE210=0),"",IFERROR(LOOKUP(2,1/((Budgets!$A$2:$A$200=AM$1)*(Budgets!$B$2:$B$200&lt;=$A210)),Budgets!$C$2:$C$200),0))</f>
        <v/>
      </c>
      <c r="AN210" s="88">
        <f>IF(OR(AN$1="",$BE210=0),"",IFERROR(LOOKUP(2,1/((Budgets!$A$2:$A$200=AN$1)*(Budgets!$B$2:$B$200&lt;=$A210)),Budgets!$C$2:$C$200),0))</f>
        <v/>
      </c>
      <c r="AO210" s="88">
        <f>IF(OR(AO$1="",$BE210=0),"",IFERROR(LOOKUP(2,1/((Budgets!$A$2:$A$200=AO$1)*(Budgets!$B$2:$B$200&lt;=$A210)),Budgets!$C$2:$C$200),0))</f>
        <v/>
      </c>
      <c r="AP210" s="88">
        <f>IF(OR(AP$1="",$BE210=0),"",IFERROR(LOOKUP(2,1/((Budgets!$A$2:$A$200=AP$1)*(Budgets!$B$2:$B$200&lt;=$A210)),Budgets!$C$2:$C$200),0))</f>
        <v/>
      </c>
      <c r="AQ210" s="88">
        <f>IF(OR(AQ$1="",$BE210=0),"",IFERROR(LOOKUP(2,1/((Budgets!$A$2:$A$200=AQ$1)*(Budgets!$B$2:$B$200&lt;=$A210)),Budgets!$C$2:$C$200),0))</f>
        <v/>
      </c>
      <c r="AR210" s="88">
        <f>IF(OR(AR$1="",$BE210=0),"",IFERROR(LOOKUP(2,1/((Budgets!$A$2:$A$200=AR$1)*(Budgets!$B$2:$B$200&lt;=$A210)),Budgets!$C$2:$C$200),0))</f>
        <v/>
      </c>
      <c r="AS210" s="88">
        <f>IF(OR(AS$1="",$BE210=0),"",IFERROR(LOOKUP(2,1/((Budgets!$A$2:$A$200=AS$1)*(Budgets!$B$2:$B$200&lt;=$A210)),Budgets!$C$2:$C$200),0))</f>
        <v/>
      </c>
      <c r="AT210" s="88">
        <f>IF(OR(AT$1="",$BE210=0),"",IFERROR(LOOKUP(2,1/((Budgets!$A$2:$A$200=AT$1)*(Budgets!$B$2:$B$200&lt;=$A210)),Budgets!$C$2:$C$200),0))</f>
        <v/>
      </c>
      <c r="AU210" s="88">
        <f>IF(OR(AU$1="",$BE210=0),"",IFERROR(LOOKUP(2,1/((Budgets!$A$2:$A$200=AU$1)*(Budgets!$B$2:$B$200&lt;=$A210)),Budgets!$C$2:$C$200),0))</f>
        <v/>
      </c>
      <c r="AV210" s="88">
        <f>IF(OR(AV$1="",$BE210=0),"",IFERROR(LOOKUP(2,1/((Budgets!$A$2:$A$200=AV$1)*(Budgets!$B$2:$B$200&lt;=$A210)),Budgets!$C$2:$C$200),0))</f>
        <v/>
      </c>
      <c r="AW210" s="88">
        <f>IF(OR(AW$1="",$BE210=0),"",IFERROR(LOOKUP(2,1/((Budgets!$A$2:$A$200=AW$1)*(Budgets!$B$2:$B$200&lt;=$A210)),Budgets!$C$2:$C$200),0))</f>
        <v/>
      </c>
      <c r="AX210" s="88">
        <f>IF(OR(AX$1="",$BE210=0),"",IFERROR(LOOKUP(2,1/((Budgets!$A$2:$A$200=AX$1)*(Budgets!$B$2:$B$200&lt;=$A210)),Budgets!$C$2:$C$200),0))</f>
        <v/>
      </c>
      <c r="AY210" s="88">
        <f>IF(OR(AY$1="",$BE210=0),"",IFERROR(LOOKUP(2,1/((Budgets!$A$2:$A$200=AY$1)*(Budgets!$B$2:$B$200&lt;=$A210)),Budgets!$C$2:$C$200),0))</f>
        <v/>
      </c>
      <c r="AZ210" s="88">
        <f>IF(OR(AZ$1="",$BE210=0),"",IFERROR(LOOKUP(2,1/((Budgets!$A$2:$A$200=AZ$1)*(Budgets!$B$2:$B$200&lt;=$A210)),Budgets!$C$2:$C$200),0))</f>
        <v/>
      </c>
      <c r="BA210" s="88">
        <f>IF(OR(BA$1="",$BE210=0),"",IFERROR(LOOKUP(2,1/((Budgets!$A$2:$A$200=BA$1)*(Budgets!$B$2:$B$200&lt;=$A210)),Budgets!$C$2:$C$200),0))</f>
        <v/>
      </c>
      <c r="BB210" s="88">
        <f>IF(OR(BB$1="",$BE210=0),"",IFERROR(LOOKUP(2,1/((Budgets!$A$2:$A$200=BB$1)*(Budgets!$B$2:$B$200&lt;=$A210)),Budgets!$C$2:$C$200),0))</f>
        <v/>
      </c>
      <c r="BC210" s="88">
        <f>IF(OR(BC$1="",$BE210=0),"",IFERROR(LOOKUP(2,1/((Budgets!$A$2:$A$200=BC$1)*(Budgets!$B$2:$B$200&lt;=$A210)),Budgets!$C$2:$C$200),0))</f>
        <v/>
      </c>
      <c r="BE210" s="67">
        <f>COUNTIFS(Entries!$A$2:$A$5000,$A210)</f>
        <v/>
      </c>
    </row>
    <row r="211" ht="15" customHeight="1" s="43">
      <c r="A211" s="87" t="n">
        <v>45809</v>
      </c>
      <c r="B211" s="88">
        <f>IF($BE211=0,NA(),SUMIFS(Entries!$D$2:$D$5000,Entries!$C$2:$C$5000,"Income",Entries!$A$2:$A$5000,$A211))</f>
        <v/>
      </c>
      <c r="C211" s="88">
        <f>IF($BE211=0,"",SUMIFS(Entries!$D$2:$D$5000,Entries!$C$2:$C$5000,"Actual",Entries!$A$2:$A$5000,$A211))</f>
        <v/>
      </c>
      <c r="D211" s="88">
        <f>IF($BE211=0,"",SUMIFS(Entries!$D$2:$D$5000,Entries!$C$2:$C$5000,"One-off",Entries!$A$2:$A$5000,$A211))</f>
        <v/>
      </c>
      <c r="E211" s="88">
        <f>IF($BE211=0,NA(),C211+D211)</f>
        <v/>
      </c>
      <c r="F211" s="88">
        <f>IF($BE211=0,"",SUM(AJ211:BC211))</f>
        <v/>
      </c>
      <c r="G211" s="88">
        <f>IF($BE211=0,"",B211-E211)</f>
        <v/>
      </c>
      <c r="H211" s="88">
        <f>IF($BE211=0,"",SUM($G$2:G211))</f>
        <v/>
      </c>
      <c r="I211" s="88">
        <f>IF($BE211=0,"",SUMIFS(Entries!$F$2:$F$5000,Entries!$A$2:$A$5000,$A211))</f>
        <v/>
      </c>
      <c r="J211" s="88">
        <f>IF($BE211=0,NA(),H211+SUM($I$2:I211))</f>
        <v/>
      </c>
      <c r="K211" s="88">
        <f>IF($BE211=0,"",SUMIFS(Entries!$D$2:$D$5000,Entries!$C$2:$C$5000,"Income",Entries!$A$2:$A$5000,"&gt;="&amp;EDATE($A211,-11),Entries!$A$2:$A$5000,"&lt;="&amp;$A211)/12)</f>
        <v/>
      </c>
      <c r="L211" s="88">
        <f>IF($BE211=0,"",(SUMIFS(Entries!$D$2:$D$5000,Entries!$C$2:$C$5000,"Actual",Entries!$A$2:$A$5000,"&gt;="&amp;EDATE($A211,-11),Entries!$A$2:$A$5000,"&lt;="&amp;$A211)+SUMIFS(Entries!$D$2:$D$5000,Entries!$C$2:$C$5000,"One-off",Entries!$A$2:$A$5000,"&gt;="&amp;EDATE($A211,-11),Entries!$A$2:$A$5000,"&lt;="&amp;$A211))/12)</f>
        <v/>
      </c>
      <c r="M211" s="70">
        <f>IF($BE211=0,NA(),IFERROR((K211-L211)/K211,0))</f>
        <v/>
      </c>
      <c r="O211" s="88">
        <f>IF(OR(O$1="",$BE211=0),"",SUMIFS(Entries!$D$2:$D$5000,Entries!$C$2:$C$5000,"Actual",Entries!$A$2:$A$5000,$A211,Entries!$B$2:$B$5000,O$1))</f>
        <v/>
      </c>
      <c r="P211" s="88">
        <f>IF(OR(P$1="",$BE211=0),"",SUMIFS(Entries!$D$2:$D$5000,Entries!$C$2:$C$5000,"Actual",Entries!$A$2:$A$5000,$A211,Entries!$B$2:$B$5000,P$1))</f>
        <v/>
      </c>
      <c r="Q211" s="88">
        <f>IF(OR(Q$1="",$BE211=0),"",SUMIFS(Entries!$D$2:$D$5000,Entries!$C$2:$C$5000,"Actual",Entries!$A$2:$A$5000,$A211,Entries!$B$2:$B$5000,Q$1))</f>
        <v/>
      </c>
      <c r="R211" s="88">
        <f>IF(OR(R$1="",$BE211=0),"",SUMIFS(Entries!$D$2:$D$5000,Entries!$C$2:$C$5000,"Actual",Entries!$A$2:$A$5000,$A211,Entries!$B$2:$B$5000,R$1))</f>
        <v/>
      </c>
      <c r="S211" s="88">
        <f>IF(OR(S$1="",$BE211=0),"",SUMIFS(Entries!$D$2:$D$5000,Entries!$C$2:$C$5000,"Actual",Entries!$A$2:$A$5000,$A211,Entries!$B$2:$B$5000,S$1))</f>
        <v/>
      </c>
      <c r="T211" s="88">
        <f>IF(OR(T$1="",$BE211=0),"",SUMIFS(Entries!$D$2:$D$5000,Entries!$C$2:$C$5000,"Actual",Entries!$A$2:$A$5000,$A211,Entries!$B$2:$B$5000,T$1))</f>
        <v/>
      </c>
      <c r="U211" s="88">
        <f>IF(OR(U$1="",$BE211=0),"",SUMIFS(Entries!$D$2:$D$5000,Entries!$C$2:$C$5000,"Actual",Entries!$A$2:$A$5000,$A211,Entries!$B$2:$B$5000,U$1))</f>
        <v/>
      </c>
      <c r="V211" s="88">
        <f>IF(OR(V$1="",$BE211=0),"",SUMIFS(Entries!$D$2:$D$5000,Entries!$C$2:$C$5000,"Actual",Entries!$A$2:$A$5000,$A211,Entries!$B$2:$B$5000,V$1))</f>
        <v/>
      </c>
      <c r="W211" s="88">
        <f>IF(OR(W$1="",$BE211=0),"",SUMIFS(Entries!$D$2:$D$5000,Entries!$C$2:$C$5000,"Actual",Entries!$A$2:$A$5000,$A211,Entries!$B$2:$B$5000,W$1))</f>
        <v/>
      </c>
      <c r="X211" s="88">
        <f>IF(OR(X$1="",$BE211=0),"",SUMIFS(Entries!$D$2:$D$5000,Entries!$C$2:$C$5000,"Actual",Entries!$A$2:$A$5000,$A211,Entries!$B$2:$B$5000,X$1))</f>
        <v/>
      </c>
      <c r="Y211" s="88">
        <f>IF(OR(Y$1="",$BE211=0),"",SUMIFS(Entries!$D$2:$D$5000,Entries!$C$2:$C$5000,"Actual",Entries!$A$2:$A$5000,$A211,Entries!$B$2:$B$5000,Y$1))</f>
        <v/>
      </c>
      <c r="Z211" s="88">
        <f>IF(OR(Z$1="",$BE211=0),"",SUMIFS(Entries!$D$2:$D$5000,Entries!$C$2:$C$5000,"Actual",Entries!$A$2:$A$5000,$A211,Entries!$B$2:$B$5000,Z$1))</f>
        <v/>
      </c>
      <c r="AA211" s="88">
        <f>IF(OR(AA$1="",$BE211=0),"",SUMIFS(Entries!$D$2:$D$5000,Entries!$C$2:$C$5000,"Actual",Entries!$A$2:$A$5000,$A211,Entries!$B$2:$B$5000,AA$1))</f>
        <v/>
      </c>
      <c r="AB211" s="88">
        <f>IF(OR(AB$1="",$BE211=0),"",SUMIFS(Entries!$D$2:$D$5000,Entries!$C$2:$C$5000,"Actual",Entries!$A$2:$A$5000,$A211,Entries!$B$2:$B$5000,AB$1))</f>
        <v/>
      </c>
      <c r="AC211" s="88">
        <f>IF(OR(AC$1="",$BE211=0),"",SUMIFS(Entries!$D$2:$D$5000,Entries!$C$2:$C$5000,"Actual",Entries!$A$2:$A$5000,$A211,Entries!$B$2:$B$5000,AC$1))</f>
        <v/>
      </c>
      <c r="AD211" s="88">
        <f>IF(OR(AD$1="",$BE211=0),"",SUMIFS(Entries!$D$2:$D$5000,Entries!$C$2:$C$5000,"Actual",Entries!$A$2:$A$5000,$A211,Entries!$B$2:$B$5000,AD$1))</f>
        <v/>
      </c>
      <c r="AE211" s="88">
        <f>IF(OR(AE$1="",$BE211=0),"",SUMIFS(Entries!$D$2:$D$5000,Entries!$C$2:$C$5000,"Actual",Entries!$A$2:$A$5000,$A211,Entries!$B$2:$B$5000,AE$1))</f>
        <v/>
      </c>
      <c r="AF211" s="88">
        <f>IF(OR(AF$1="",$BE211=0),"",SUMIFS(Entries!$D$2:$D$5000,Entries!$C$2:$C$5000,"Actual",Entries!$A$2:$A$5000,$A211,Entries!$B$2:$B$5000,AF$1))</f>
        <v/>
      </c>
      <c r="AG211" s="88">
        <f>IF(OR(AG$1="",$BE211=0),"",SUMIFS(Entries!$D$2:$D$5000,Entries!$C$2:$C$5000,"Actual",Entries!$A$2:$A$5000,$A211,Entries!$B$2:$B$5000,AG$1))</f>
        <v/>
      </c>
      <c r="AH211" s="88">
        <f>IF(OR(AH$1="",$BE211=0),"",SUMIFS(Entries!$D$2:$D$5000,Entries!$C$2:$C$5000,"Actual",Entries!$A$2:$A$5000,$A211,Entries!$B$2:$B$5000,AH$1))</f>
        <v/>
      </c>
      <c r="AJ211" s="88">
        <f>IF(OR(AJ$1="",$BE211=0),"",IFERROR(LOOKUP(2,1/((Budgets!$A$2:$A$200=AJ$1)*(Budgets!$B$2:$B$200&lt;=$A211)),Budgets!$C$2:$C$200),0))</f>
        <v/>
      </c>
      <c r="AK211" s="88">
        <f>IF(OR(AK$1="",$BE211=0),"",IFERROR(LOOKUP(2,1/((Budgets!$A$2:$A$200=AK$1)*(Budgets!$B$2:$B$200&lt;=$A211)),Budgets!$C$2:$C$200),0))</f>
        <v/>
      </c>
      <c r="AL211" s="88">
        <f>IF(OR(AL$1="",$BE211=0),"",IFERROR(LOOKUP(2,1/((Budgets!$A$2:$A$200=AL$1)*(Budgets!$B$2:$B$200&lt;=$A211)),Budgets!$C$2:$C$200),0))</f>
        <v/>
      </c>
      <c r="AM211" s="88">
        <f>IF(OR(AM$1="",$BE211=0),"",IFERROR(LOOKUP(2,1/((Budgets!$A$2:$A$200=AM$1)*(Budgets!$B$2:$B$200&lt;=$A211)),Budgets!$C$2:$C$200),0))</f>
        <v/>
      </c>
      <c r="AN211" s="88">
        <f>IF(OR(AN$1="",$BE211=0),"",IFERROR(LOOKUP(2,1/((Budgets!$A$2:$A$200=AN$1)*(Budgets!$B$2:$B$200&lt;=$A211)),Budgets!$C$2:$C$200),0))</f>
        <v/>
      </c>
      <c r="AO211" s="88">
        <f>IF(OR(AO$1="",$BE211=0),"",IFERROR(LOOKUP(2,1/((Budgets!$A$2:$A$200=AO$1)*(Budgets!$B$2:$B$200&lt;=$A211)),Budgets!$C$2:$C$200),0))</f>
        <v/>
      </c>
      <c r="AP211" s="88">
        <f>IF(OR(AP$1="",$BE211=0),"",IFERROR(LOOKUP(2,1/((Budgets!$A$2:$A$200=AP$1)*(Budgets!$B$2:$B$200&lt;=$A211)),Budgets!$C$2:$C$200),0))</f>
        <v/>
      </c>
      <c r="AQ211" s="88">
        <f>IF(OR(AQ$1="",$BE211=0),"",IFERROR(LOOKUP(2,1/((Budgets!$A$2:$A$200=AQ$1)*(Budgets!$B$2:$B$200&lt;=$A211)),Budgets!$C$2:$C$200),0))</f>
        <v/>
      </c>
      <c r="AR211" s="88">
        <f>IF(OR(AR$1="",$BE211=0),"",IFERROR(LOOKUP(2,1/((Budgets!$A$2:$A$200=AR$1)*(Budgets!$B$2:$B$200&lt;=$A211)),Budgets!$C$2:$C$200),0))</f>
        <v/>
      </c>
      <c r="AS211" s="88">
        <f>IF(OR(AS$1="",$BE211=0),"",IFERROR(LOOKUP(2,1/((Budgets!$A$2:$A$200=AS$1)*(Budgets!$B$2:$B$200&lt;=$A211)),Budgets!$C$2:$C$200),0))</f>
        <v/>
      </c>
      <c r="AT211" s="88">
        <f>IF(OR(AT$1="",$BE211=0),"",IFERROR(LOOKUP(2,1/((Budgets!$A$2:$A$200=AT$1)*(Budgets!$B$2:$B$200&lt;=$A211)),Budgets!$C$2:$C$200),0))</f>
        <v/>
      </c>
      <c r="AU211" s="88">
        <f>IF(OR(AU$1="",$BE211=0),"",IFERROR(LOOKUP(2,1/((Budgets!$A$2:$A$200=AU$1)*(Budgets!$B$2:$B$200&lt;=$A211)),Budgets!$C$2:$C$200),0))</f>
        <v/>
      </c>
      <c r="AV211" s="88">
        <f>IF(OR(AV$1="",$BE211=0),"",IFERROR(LOOKUP(2,1/((Budgets!$A$2:$A$200=AV$1)*(Budgets!$B$2:$B$200&lt;=$A211)),Budgets!$C$2:$C$200),0))</f>
        <v/>
      </c>
      <c r="AW211" s="88">
        <f>IF(OR(AW$1="",$BE211=0),"",IFERROR(LOOKUP(2,1/((Budgets!$A$2:$A$200=AW$1)*(Budgets!$B$2:$B$200&lt;=$A211)),Budgets!$C$2:$C$200),0))</f>
        <v/>
      </c>
      <c r="AX211" s="88">
        <f>IF(OR(AX$1="",$BE211=0),"",IFERROR(LOOKUP(2,1/((Budgets!$A$2:$A$200=AX$1)*(Budgets!$B$2:$B$200&lt;=$A211)),Budgets!$C$2:$C$200),0))</f>
        <v/>
      </c>
      <c r="AY211" s="88">
        <f>IF(OR(AY$1="",$BE211=0),"",IFERROR(LOOKUP(2,1/((Budgets!$A$2:$A$200=AY$1)*(Budgets!$B$2:$B$200&lt;=$A211)),Budgets!$C$2:$C$200),0))</f>
        <v/>
      </c>
      <c r="AZ211" s="88">
        <f>IF(OR(AZ$1="",$BE211=0),"",IFERROR(LOOKUP(2,1/((Budgets!$A$2:$A$200=AZ$1)*(Budgets!$B$2:$B$200&lt;=$A211)),Budgets!$C$2:$C$200),0))</f>
        <v/>
      </c>
      <c r="BA211" s="88">
        <f>IF(OR(BA$1="",$BE211=0),"",IFERROR(LOOKUP(2,1/((Budgets!$A$2:$A$200=BA$1)*(Budgets!$B$2:$B$200&lt;=$A211)),Budgets!$C$2:$C$200),0))</f>
        <v/>
      </c>
      <c r="BB211" s="88">
        <f>IF(OR(BB$1="",$BE211=0),"",IFERROR(LOOKUP(2,1/((Budgets!$A$2:$A$200=BB$1)*(Budgets!$B$2:$B$200&lt;=$A211)),Budgets!$C$2:$C$200),0))</f>
        <v/>
      </c>
      <c r="BC211" s="88">
        <f>IF(OR(BC$1="",$BE211=0),"",IFERROR(LOOKUP(2,1/((Budgets!$A$2:$A$200=BC$1)*(Budgets!$B$2:$B$200&lt;=$A211)),Budgets!$C$2:$C$200),0))</f>
        <v/>
      </c>
      <c r="BE211" s="67">
        <f>COUNTIFS(Entries!$A$2:$A$5000,$A211)</f>
        <v/>
      </c>
    </row>
    <row r="212" ht="15" customHeight="1" s="43">
      <c r="A212" s="87" t="n">
        <v>45839</v>
      </c>
      <c r="B212" s="88">
        <f>IF($BE212=0,NA(),SUMIFS(Entries!$D$2:$D$5000,Entries!$C$2:$C$5000,"Income",Entries!$A$2:$A$5000,$A212))</f>
        <v/>
      </c>
      <c r="C212" s="88">
        <f>IF($BE212=0,"",SUMIFS(Entries!$D$2:$D$5000,Entries!$C$2:$C$5000,"Actual",Entries!$A$2:$A$5000,$A212))</f>
        <v/>
      </c>
      <c r="D212" s="88">
        <f>IF($BE212=0,"",SUMIFS(Entries!$D$2:$D$5000,Entries!$C$2:$C$5000,"One-off",Entries!$A$2:$A$5000,$A212))</f>
        <v/>
      </c>
      <c r="E212" s="88">
        <f>IF($BE212=0,NA(),C212+D212)</f>
        <v/>
      </c>
      <c r="F212" s="88">
        <f>IF($BE212=0,"",SUM(AJ212:BC212))</f>
        <v/>
      </c>
      <c r="G212" s="88">
        <f>IF($BE212=0,"",B212-E212)</f>
        <v/>
      </c>
      <c r="H212" s="88">
        <f>IF($BE212=0,"",SUM($G$2:G212))</f>
        <v/>
      </c>
      <c r="I212" s="88">
        <f>IF($BE212=0,"",SUMIFS(Entries!$F$2:$F$5000,Entries!$A$2:$A$5000,$A212))</f>
        <v/>
      </c>
      <c r="J212" s="88">
        <f>IF($BE212=0,NA(),H212+SUM($I$2:I212))</f>
        <v/>
      </c>
      <c r="K212" s="88">
        <f>IF($BE212=0,"",SUMIFS(Entries!$D$2:$D$5000,Entries!$C$2:$C$5000,"Income",Entries!$A$2:$A$5000,"&gt;="&amp;EDATE($A212,-11),Entries!$A$2:$A$5000,"&lt;="&amp;$A212)/12)</f>
        <v/>
      </c>
      <c r="L212" s="88">
        <f>IF($BE212=0,"",(SUMIFS(Entries!$D$2:$D$5000,Entries!$C$2:$C$5000,"Actual",Entries!$A$2:$A$5000,"&gt;="&amp;EDATE($A212,-11),Entries!$A$2:$A$5000,"&lt;="&amp;$A212)+SUMIFS(Entries!$D$2:$D$5000,Entries!$C$2:$C$5000,"One-off",Entries!$A$2:$A$5000,"&gt;="&amp;EDATE($A212,-11),Entries!$A$2:$A$5000,"&lt;="&amp;$A212))/12)</f>
        <v/>
      </c>
      <c r="M212" s="70">
        <f>IF($BE212=0,NA(),IFERROR((K212-L212)/K212,0))</f>
        <v/>
      </c>
      <c r="O212" s="88">
        <f>IF(OR(O$1="",$BE212=0),"",SUMIFS(Entries!$D$2:$D$5000,Entries!$C$2:$C$5000,"Actual",Entries!$A$2:$A$5000,$A212,Entries!$B$2:$B$5000,O$1))</f>
        <v/>
      </c>
      <c r="P212" s="88">
        <f>IF(OR(P$1="",$BE212=0),"",SUMIFS(Entries!$D$2:$D$5000,Entries!$C$2:$C$5000,"Actual",Entries!$A$2:$A$5000,$A212,Entries!$B$2:$B$5000,P$1))</f>
        <v/>
      </c>
      <c r="Q212" s="88">
        <f>IF(OR(Q$1="",$BE212=0),"",SUMIFS(Entries!$D$2:$D$5000,Entries!$C$2:$C$5000,"Actual",Entries!$A$2:$A$5000,$A212,Entries!$B$2:$B$5000,Q$1))</f>
        <v/>
      </c>
      <c r="R212" s="88">
        <f>IF(OR(R$1="",$BE212=0),"",SUMIFS(Entries!$D$2:$D$5000,Entries!$C$2:$C$5000,"Actual",Entries!$A$2:$A$5000,$A212,Entries!$B$2:$B$5000,R$1))</f>
        <v/>
      </c>
      <c r="S212" s="88">
        <f>IF(OR(S$1="",$BE212=0),"",SUMIFS(Entries!$D$2:$D$5000,Entries!$C$2:$C$5000,"Actual",Entries!$A$2:$A$5000,$A212,Entries!$B$2:$B$5000,S$1))</f>
        <v/>
      </c>
      <c r="T212" s="88">
        <f>IF(OR(T$1="",$BE212=0),"",SUMIFS(Entries!$D$2:$D$5000,Entries!$C$2:$C$5000,"Actual",Entries!$A$2:$A$5000,$A212,Entries!$B$2:$B$5000,T$1))</f>
        <v/>
      </c>
      <c r="U212" s="88">
        <f>IF(OR(U$1="",$BE212=0),"",SUMIFS(Entries!$D$2:$D$5000,Entries!$C$2:$C$5000,"Actual",Entries!$A$2:$A$5000,$A212,Entries!$B$2:$B$5000,U$1))</f>
        <v/>
      </c>
      <c r="V212" s="88">
        <f>IF(OR(V$1="",$BE212=0),"",SUMIFS(Entries!$D$2:$D$5000,Entries!$C$2:$C$5000,"Actual",Entries!$A$2:$A$5000,$A212,Entries!$B$2:$B$5000,V$1))</f>
        <v/>
      </c>
      <c r="W212" s="88">
        <f>IF(OR(W$1="",$BE212=0),"",SUMIFS(Entries!$D$2:$D$5000,Entries!$C$2:$C$5000,"Actual",Entries!$A$2:$A$5000,$A212,Entries!$B$2:$B$5000,W$1))</f>
        <v/>
      </c>
      <c r="X212" s="88">
        <f>IF(OR(X$1="",$BE212=0),"",SUMIFS(Entries!$D$2:$D$5000,Entries!$C$2:$C$5000,"Actual",Entries!$A$2:$A$5000,$A212,Entries!$B$2:$B$5000,X$1))</f>
        <v/>
      </c>
      <c r="Y212" s="88">
        <f>IF(OR(Y$1="",$BE212=0),"",SUMIFS(Entries!$D$2:$D$5000,Entries!$C$2:$C$5000,"Actual",Entries!$A$2:$A$5000,$A212,Entries!$B$2:$B$5000,Y$1))</f>
        <v/>
      </c>
      <c r="Z212" s="88">
        <f>IF(OR(Z$1="",$BE212=0),"",SUMIFS(Entries!$D$2:$D$5000,Entries!$C$2:$C$5000,"Actual",Entries!$A$2:$A$5000,$A212,Entries!$B$2:$B$5000,Z$1))</f>
        <v/>
      </c>
      <c r="AA212" s="88">
        <f>IF(OR(AA$1="",$BE212=0),"",SUMIFS(Entries!$D$2:$D$5000,Entries!$C$2:$C$5000,"Actual",Entries!$A$2:$A$5000,$A212,Entries!$B$2:$B$5000,AA$1))</f>
        <v/>
      </c>
      <c r="AB212" s="88">
        <f>IF(OR(AB$1="",$BE212=0),"",SUMIFS(Entries!$D$2:$D$5000,Entries!$C$2:$C$5000,"Actual",Entries!$A$2:$A$5000,$A212,Entries!$B$2:$B$5000,AB$1))</f>
        <v/>
      </c>
      <c r="AC212" s="88">
        <f>IF(OR(AC$1="",$BE212=0),"",SUMIFS(Entries!$D$2:$D$5000,Entries!$C$2:$C$5000,"Actual",Entries!$A$2:$A$5000,$A212,Entries!$B$2:$B$5000,AC$1))</f>
        <v/>
      </c>
      <c r="AD212" s="88">
        <f>IF(OR(AD$1="",$BE212=0),"",SUMIFS(Entries!$D$2:$D$5000,Entries!$C$2:$C$5000,"Actual",Entries!$A$2:$A$5000,$A212,Entries!$B$2:$B$5000,AD$1))</f>
        <v/>
      </c>
      <c r="AE212" s="88">
        <f>IF(OR(AE$1="",$BE212=0),"",SUMIFS(Entries!$D$2:$D$5000,Entries!$C$2:$C$5000,"Actual",Entries!$A$2:$A$5000,$A212,Entries!$B$2:$B$5000,AE$1))</f>
        <v/>
      </c>
      <c r="AF212" s="88">
        <f>IF(OR(AF$1="",$BE212=0),"",SUMIFS(Entries!$D$2:$D$5000,Entries!$C$2:$C$5000,"Actual",Entries!$A$2:$A$5000,$A212,Entries!$B$2:$B$5000,AF$1))</f>
        <v/>
      </c>
      <c r="AG212" s="88">
        <f>IF(OR(AG$1="",$BE212=0),"",SUMIFS(Entries!$D$2:$D$5000,Entries!$C$2:$C$5000,"Actual",Entries!$A$2:$A$5000,$A212,Entries!$B$2:$B$5000,AG$1))</f>
        <v/>
      </c>
      <c r="AH212" s="88">
        <f>IF(OR(AH$1="",$BE212=0),"",SUMIFS(Entries!$D$2:$D$5000,Entries!$C$2:$C$5000,"Actual",Entries!$A$2:$A$5000,$A212,Entries!$B$2:$B$5000,AH$1))</f>
        <v/>
      </c>
      <c r="AJ212" s="88">
        <f>IF(OR(AJ$1="",$BE212=0),"",IFERROR(LOOKUP(2,1/((Budgets!$A$2:$A$200=AJ$1)*(Budgets!$B$2:$B$200&lt;=$A212)),Budgets!$C$2:$C$200),0))</f>
        <v/>
      </c>
      <c r="AK212" s="88">
        <f>IF(OR(AK$1="",$BE212=0),"",IFERROR(LOOKUP(2,1/((Budgets!$A$2:$A$200=AK$1)*(Budgets!$B$2:$B$200&lt;=$A212)),Budgets!$C$2:$C$200),0))</f>
        <v/>
      </c>
      <c r="AL212" s="88">
        <f>IF(OR(AL$1="",$BE212=0),"",IFERROR(LOOKUP(2,1/((Budgets!$A$2:$A$200=AL$1)*(Budgets!$B$2:$B$200&lt;=$A212)),Budgets!$C$2:$C$200),0))</f>
        <v/>
      </c>
      <c r="AM212" s="88">
        <f>IF(OR(AM$1="",$BE212=0),"",IFERROR(LOOKUP(2,1/((Budgets!$A$2:$A$200=AM$1)*(Budgets!$B$2:$B$200&lt;=$A212)),Budgets!$C$2:$C$200),0))</f>
        <v/>
      </c>
      <c r="AN212" s="88">
        <f>IF(OR(AN$1="",$BE212=0),"",IFERROR(LOOKUP(2,1/((Budgets!$A$2:$A$200=AN$1)*(Budgets!$B$2:$B$200&lt;=$A212)),Budgets!$C$2:$C$200),0))</f>
        <v/>
      </c>
      <c r="AO212" s="88">
        <f>IF(OR(AO$1="",$BE212=0),"",IFERROR(LOOKUP(2,1/((Budgets!$A$2:$A$200=AO$1)*(Budgets!$B$2:$B$200&lt;=$A212)),Budgets!$C$2:$C$200),0))</f>
        <v/>
      </c>
      <c r="AP212" s="88">
        <f>IF(OR(AP$1="",$BE212=0),"",IFERROR(LOOKUP(2,1/((Budgets!$A$2:$A$200=AP$1)*(Budgets!$B$2:$B$200&lt;=$A212)),Budgets!$C$2:$C$200),0))</f>
        <v/>
      </c>
      <c r="AQ212" s="88">
        <f>IF(OR(AQ$1="",$BE212=0),"",IFERROR(LOOKUP(2,1/((Budgets!$A$2:$A$200=AQ$1)*(Budgets!$B$2:$B$200&lt;=$A212)),Budgets!$C$2:$C$200),0))</f>
        <v/>
      </c>
      <c r="AR212" s="88">
        <f>IF(OR(AR$1="",$BE212=0),"",IFERROR(LOOKUP(2,1/((Budgets!$A$2:$A$200=AR$1)*(Budgets!$B$2:$B$200&lt;=$A212)),Budgets!$C$2:$C$200),0))</f>
        <v/>
      </c>
      <c r="AS212" s="88">
        <f>IF(OR(AS$1="",$BE212=0),"",IFERROR(LOOKUP(2,1/((Budgets!$A$2:$A$200=AS$1)*(Budgets!$B$2:$B$200&lt;=$A212)),Budgets!$C$2:$C$200),0))</f>
        <v/>
      </c>
      <c r="AT212" s="88">
        <f>IF(OR(AT$1="",$BE212=0),"",IFERROR(LOOKUP(2,1/((Budgets!$A$2:$A$200=AT$1)*(Budgets!$B$2:$B$200&lt;=$A212)),Budgets!$C$2:$C$200),0))</f>
        <v/>
      </c>
      <c r="AU212" s="88">
        <f>IF(OR(AU$1="",$BE212=0),"",IFERROR(LOOKUP(2,1/((Budgets!$A$2:$A$200=AU$1)*(Budgets!$B$2:$B$200&lt;=$A212)),Budgets!$C$2:$C$200),0))</f>
        <v/>
      </c>
      <c r="AV212" s="88">
        <f>IF(OR(AV$1="",$BE212=0),"",IFERROR(LOOKUP(2,1/((Budgets!$A$2:$A$200=AV$1)*(Budgets!$B$2:$B$200&lt;=$A212)),Budgets!$C$2:$C$200),0))</f>
        <v/>
      </c>
      <c r="AW212" s="88">
        <f>IF(OR(AW$1="",$BE212=0),"",IFERROR(LOOKUP(2,1/((Budgets!$A$2:$A$200=AW$1)*(Budgets!$B$2:$B$200&lt;=$A212)),Budgets!$C$2:$C$200),0))</f>
        <v/>
      </c>
      <c r="AX212" s="88">
        <f>IF(OR(AX$1="",$BE212=0),"",IFERROR(LOOKUP(2,1/((Budgets!$A$2:$A$200=AX$1)*(Budgets!$B$2:$B$200&lt;=$A212)),Budgets!$C$2:$C$200),0))</f>
        <v/>
      </c>
      <c r="AY212" s="88">
        <f>IF(OR(AY$1="",$BE212=0),"",IFERROR(LOOKUP(2,1/((Budgets!$A$2:$A$200=AY$1)*(Budgets!$B$2:$B$200&lt;=$A212)),Budgets!$C$2:$C$200),0))</f>
        <v/>
      </c>
      <c r="AZ212" s="88">
        <f>IF(OR(AZ$1="",$BE212=0),"",IFERROR(LOOKUP(2,1/((Budgets!$A$2:$A$200=AZ$1)*(Budgets!$B$2:$B$200&lt;=$A212)),Budgets!$C$2:$C$200),0))</f>
        <v/>
      </c>
      <c r="BA212" s="88">
        <f>IF(OR(BA$1="",$BE212=0),"",IFERROR(LOOKUP(2,1/((Budgets!$A$2:$A$200=BA$1)*(Budgets!$B$2:$B$200&lt;=$A212)),Budgets!$C$2:$C$200),0))</f>
        <v/>
      </c>
      <c r="BB212" s="88">
        <f>IF(OR(BB$1="",$BE212=0),"",IFERROR(LOOKUP(2,1/((Budgets!$A$2:$A$200=BB$1)*(Budgets!$B$2:$B$200&lt;=$A212)),Budgets!$C$2:$C$200),0))</f>
        <v/>
      </c>
      <c r="BC212" s="88">
        <f>IF(OR(BC$1="",$BE212=0),"",IFERROR(LOOKUP(2,1/((Budgets!$A$2:$A$200=BC$1)*(Budgets!$B$2:$B$200&lt;=$A212)),Budgets!$C$2:$C$200),0))</f>
        <v/>
      </c>
      <c r="BE212" s="67">
        <f>COUNTIFS(Entries!$A$2:$A$5000,$A212)</f>
        <v/>
      </c>
    </row>
    <row r="213" ht="15" customHeight="1" s="43">
      <c r="A213" s="87" t="n">
        <v>45870</v>
      </c>
      <c r="B213" s="88">
        <f>IF($BE213=0,NA(),SUMIFS(Entries!$D$2:$D$5000,Entries!$C$2:$C$5000,"Income",Entries!$A$2:$A$5000,$A213))</f>
        <v/>
      </c>
      <c r="C213" s="88">
        <f>IF($BE213=0,"",SUMIFS(Entries!$D$2:$D$5000,Entries!$C$2:$C$5000,"Actual",Entries!$A$2:$A$5000,$A213))</f>
        <v/>
      </c>
      <c r="D213" s="88">
        <f>IF($BE213=0,"",SUMIFS(Entries!$D$2:$D$5000,Entries!$C$2:$C$5000,"One-off",Entries!$A$2:$A$5000,$A213))</f>
        <v/>
      </c>
      <c r="E213" s="88">
        <f>IF($BE213=0,NA(),C213+D213)</f>
        <v/>
      </c>
      <c r="F213" s="88">
        <f>IF($BE213=0,"",SUM(AJ213:BC213))</f>
        <v/>
      </c>
      <c r="G213" s="88">
        <f>IF($BE213=0,"",B213-E213)</f>
        <v/>
      </c>
      <c r="H213" s="88">
        <f>IF($BE213=0,"",SUM($G$2:G213))</f>
        <v/>
      </c>
      <c r="I213" s="88">
        <f>IF($BE213=0,"",SUMIFS(Entries!$F$2:$F$5000,Entries!$A$2:$A$5000,$A213))</f>
        <v/>
      </c>
      <c r="J213" s="88">
        <f>IF($BE213=0,NA(),H213+SUM($I$2:I213))</f>
        <v/>
      </c>
      <c r="K213" s="88">
        <f>IF($BE213=0,"",SUMIFS(Entries!$D$2:$D$5000,Entries!$C$2:$C$5000,"Income",Entries!$A$2:$A$5000,"&gt;="&amp;EDATE($A213,-11),Entries!$A$2:$A$5000,"&lt;="&amp;$A213)/12)</f>
        <v/>
      </c>
      <c r="L213" s="88">
        <f>IF($BE213=0,"",(SUMIFS(Entries!$D$2:$D$5000,Entries!$C$2:$C$5000,"Actual",Entries!$A$2:$A$5000,"&gt;="&amp;EDATE($A213,-11),Entries!$A$2:$A$5000,"&lt;="&amp;$A213)+SUMIFS(Entries!$D$2:$D$5000,Entries!$C$2:$C$5000,"One-off",Entries!$A$2:$A$5000,"&gt;="&amp;EDATE($A213,-11),Entries!$A$2:$A$5000,"&lt;="&amp;$A213))/12)</f>
        <v/>
      </c>
      <c r="M213" s="70">
        <f>IF($BE213=0,NA(),IFERROR((K213-L213)/K213,0))</f>
        <v/>
      </c>
      <c r="O213" s="88">
        <f>IF(OR(O$1="",$BE213=0),"",SUMIFS(Entries!$D$2:$D$5000,Entries!$C$2:$C$5000,"Actual",Entries!$A$2:$A$5000,$A213,Entries!$B$2:$B$5000,O$1))</f>
        <v/>
      </c>
      <c r="P213" s="88">
        <f>IF(OR(P$1="",$BE213=0),"",SUMIFS(Entries!$D$2:$D$5000,Entries!$C$2:$C$5000,"Actual",Entries!$A$2:$A$5000,$A213,Entries!$B$2:$B$5000,P$1))</f>
        <v/>
      </c>
      <c r="Q213" s="88">
        <f>IF(OR(Q$1="",$BE213=0),"",SUMIFS(Entries!$D$2:$D$5000,Entries!$C$2:$C$5000,"Actual",Entries!$A$2:$A$5000,$A213,Entries!$B$2:$B$5000,Q$1))</f>
        <v/>
      </c>
      <c r="R213" s="88">
        <f>IF(OR(R$1="",$BE213=0),"",SUMIFS(Entries!$D$2:$D$5000,Entries!$C$2:$C$5000,"Actual",Entries!$A$2:$A$5000,$A213,Entries!$B$2:$B$5000,R$1))</f>
        <v/>
      </c>
      <c r="S213" s="88">
        <f>IF(OR(S$1="",$BE213=0),"",SUMIFS(Entries!$D$2:$D$5000,Entries!$C$2:$C$5000,"Actual",Entries!$A$2:$A$5000,$A213,Entries!$B$2:$B$5000,S$1))</f>
        <v/>
      </c>
      <c r="T213" s="88">
        <f>IF(OR(T$1="",$BE213=0),"",SUMIFS(Entries!$D$2:$D$5000,Entries!$C$2:$C$5000,"Actual",Entries!$A$2:$A$5000,$A213,Entries!$B$2:$B$5000,T$1))</f>
        <v/>
      </c>
      <c r="U213" s="88">
        <f>IF(OR(U$1="",$BE213=0),"",SUMIFS(Entries!$D$2:$D$5000,Entries!$C$2:$C$5000,"Actual",Entries!$A$2:$A$5000,$A213,Entries!$B$2:$B$5000,U$1))</f>
        <v/>
      </c>
      <c r="V213" s="88">
        <f>IF(OR(V$1="",$BE213=0),"",SUMIFS(Entries!$D$2:$D$5000,Entries!$C$2:$C$5000,"Actual",Entries!$A$2:$A$5000,$A213,Entries!$B$2:$B$5000,V$1))</f>
        <v/>
      </c>
      <c r="W213" s="88">
        <f>IF(OR(W$1="",$BE213=0),"",SUMIFS(Entries!$D$2:$D$5000,Entries!$C$2:$C$5000,"Actual",Entries!$A$2:$A$5000,$A213,Entries!$B$2:$B$5000,W$1))</f>
        <v/>
      </c>
      <c r="X213" s="88">
        <f>IF(OR(X$1="",$BE213=0),"",SUMIFS(Entries!$D$2:$D$5000,Entries!$C$2:$C$5000,"Actual",Entries!$A$2:$A$5000,$A213,Entries!$B$2:$B$5000,X$1))</f>
        <v/>
      </c>
      <c r="Y213" s="88">
        <f>IF(OR(Y$1="",$BE213=0),"",SUMIFS(Entries!$D$2:$D$5000,Entries!$C$2:$C$5000,"Actual",Entries!$A$2:$A$5000,$A213,Entries!$B$2:$B$5000,Y$1))</f>
        <v/>
      </c>
      <c r="Z213" s="88">
        <f>IF(OR(Z$1="",$BE213=0),"",SUMIFS(Entries!$D$2:$D$5000,Entries!$C$2:$C$5000,"Actual",Entries!$A$2:$A$5000,$A213,Entries!$B$2:$B$5000,Z$1))</f>
        <v/>
      </c>
      <c r="AA213" s="88">
        <f>IF(OR(AA$1="",$BE213=0),"",SUMIFS(Entries!$D$2:$D$5000,Entries!$C$2:$C$5000,"Actual",Entries!$A$2:$A$5000,$A213,Entries!$B$2:$B$5000,AA$1))</f>
        <v/>
      </c>
      <c r="AB213" s="88">
        <f>IF(OR(AB$1="",$BE213=0),"",SUMIFS(Entries!$D$2:$D$5000,Entries!$C$2:$C$5000,"Actual",Entries!$A$2:$A$5000,$A213,Entries!$B$2:$B$5000,AB$1))</f>
        <v/>
      </c>
      <c r="AC213" s="88">
        <f>IF(OR(AC$1="",$BE213=0),"",SUMIFS(Entries!$D$2:$D$5000,Entries!$C$2:$C$5000,"Actual",Entries!$A$2:$A$5000,$A213,Entries!$B$2:$B$5000,AC$1))</f>
        <v/>
      </c>
      <c r="AD213" s="88">
        <f>IF(OR(AD$1="",$BE213=0),"",SUMIFS(Entries!$D$2:$D$5000,Entries!$C$2:$C$5000,"Actual",Entries!$A$2:$A$5000,$A213,Entries!$B$2:$B$5000,AD$1))</f>
        <v/>
      </c>
      <c r="AE213" s="88">
        <f>IF(OR(AE$1="",$BE213=0),"",SUMIFS(Entries!$D$2:$D$5000,Entries!$C$2:$C$5000,"Actual",Entries!$A$2:$A$5000,$A213,Entries!$B$2:$B$5000,AE$1))</f>
        <v/>
      </c>
      <c r="AF213" s="88">
        <f>IF(OR(AF$1="",$BE213=0),"",SUMIFS(Entries!$D$2:$D$5000,Entries!$C$2:$C$5000,"Actual",Entries!$A$2:$A$5000,$A213,Entries!$B$2:$B$5000,AF$1))</f>
        <v/>
      </c>
      <c r="AG213" s="88">
        <f>IF(OR(AG$1="",$BE213=0),"",SUMIFS(Entries!$D$2:$D$5000,Entries!$C$2:$C$5000,"Actual",Entries!$A$2:$A$5000,$A213,Entries!$B$2:$B$5000,AG$1))</f>
        <v/>
      </c>
      <c r="AH213" s="88">
        <f>IF(OR(AH$1="",$BE213=0),"",SUMIFS(Entries!$D$2:$D$5000,Entries!$C$2:$C$5000,"Actual",Entries!$A$2:$A$5000,$A213,Entries!$B$2:$B$5000,AH$1))</f>
        <v/>
      </c>
      <c r="AJ213" s="88">
        <f>IF(OR(AJ$1="",$BE213=0),"",IFERROR(LOOKUP(2,1/((Budgets!$A$2:$A$200=AJ$1)*(Budgets!$B$2:$B$200&lt;=$A213)),Budgets!$C$2:$C$200),0))</f>
        <v/>
      </c>
      <c r="AK213" s="88">
        <f>IF(OR(AK$1="",$BE213=0),"",IFERROR(LOOKUP(2,1/((Budgets!$A$2:$A$200=AK$1)*(Budgets!$B$2:$B$200&lt;=$A213)),Budgets!$C$2:$C$200),0))</f>
        <v/>
      </c>
      <c r="AL213" s="88">
        <f>IF(OR(AL$1="",$BE213=0),"",IFERROR(LOOKUP(2,1/((Budgets!$A$2:$A$200=AL$1)*(Budgets!$B$2:$B$200&lt;=$A213)),Budgets!$C$2:$C$200),0))</f>
        <v/>
      </c>
      <c r="AM213" s="88">
        <f>IF(OR(AM$1="",$BE213=0),"",IFERROR(LOOKUP(2,1/((Budgets!$A$2:$A$200=AM$1)*(Budgets!$B$2:$B$200&lt;=$A213)),Budgets!$C$2:$C$200),0))</f>
        <v/>
      </c>
      <c r="AN213" s="88">
        <f>IF(OR(AN$1="",$BE213=0),"",IFERROR(LOOKUP(2,1/((Budgets!$A$2:$A$200=AN$1)*(Budgets!$B$2:$B$200&lt;=$A213)),Budgets!$C$2:$C$200),0))</f>
        <v/>
      </c>
      <c r="AO213" s="88">
        <f>IF(OR(AO$1="",$BE213=0),"",IFERROR(LOOKUP(2,1/((Budgets!$A$2:$A$200=AO$1)*(Budgets!$B$2:$B$200&lt;=$A213)),Budgets!$C$2:$C$200),0))</f>
        <v/>
      </c>
      <c r="AP213" s="88">
        <f>IF(OR(AP$1="",$BE213=0),"",IFERROR(LOOKUP(2,1/((Budgets!$A$2:$A$200=AP$1)*(Budgets!$B$2:$B$200&lt;=$A213)),Budgets!$C$2:$C$200),0))</f>
        <v/>
      </c>
      <c r="AQ213" s="88">
        <f>IF(OR(AQ$1="",$BE213=0),"",IFERROR(LOOKUP(2,1/((Budgets!$A$2:$A$200=AQ$1)*(Budgets!$B$2:$B$200&lt;=$A213)),Budgets!$C$2:$C$200),0))</f>
        <v/>
      </c>
      <c r="AR213" s="88">
        <f>IF(OR(AR$1="",$BE213=0),"",IFERROR(LOOKUP(2,1/((Budgets!$A$2:$A$200=AR$1)*(Budgets!$B$2:$B$200&lt;=$A213)),Budgets!$C$2:$C$200),0))</f>
        <v/>
      </c>
      <c r="AS213" s="88">
        <f>IF(OR(AS$1="",$BE213=0),"",IFERROR(LOOKUP(2,1/((Budgets!$A$2:$A$200=AS$1)*(Budgets!$B$2:$B$200&lt;=$A213)),Budgets!$C$2:$C$200),0))</f>
        <v/>
      </c>
      <c r="AT213" s="88">
        <f>IF(OR(AT$1="",$BE213=0),"",IFERROR(LOOKUP(2,1/((Budgets!$A$2:$A$200=AT$1)*(Budgets!$B$2:$B$200&lt;=$A213)),Budgets!$C$2:$C$200),0))</f>
        <v/>
      </c>
      <c r="AU213" s="88">
        <f>IF(OR(AU$1="",$BE213=0),"",IFERROR(LOOKUP(2,1/((Budgets!$A$2:$A$200=AU$1)*(Budgets!$B$2:$B$200&lt;=$A213)),Budgets!$C$2:$C$200),0))</f>
        <v/>
      </c>
      <c r="AV213" s="88">
        <f>IF(OR(AV$1="",$BE213=0),"",IFERROR(LOOKUP(2,1/((Budgets!$A$2:$A$200=AV$1)*(Budgets!$B$2:$B$200&lt;=$A213)),Budgets!$C$2:$C$200),0))</f>
        <v/>
      </c>
      <c r="AW213" s="88">
        <f>IF(OR(AW$1="",$BE213=0),"",IFERROR(LOOKUP(2,1/((Budgets!$A$2:$A$200=AW$1)*(Budgets!$B$2:$B$200&lt;=$A213)),Budgets!$C$2:$C$200),0))</f>
        <v/>
      </c>
      <c r="AX213" s="88">
        <f>IF(OR(AX$1="",$BE213=0),"",IFERROR(LOOKUP(2,1/((Budgets!$A$2:$A$200=AX$1)*(Budgets!$B$2:$B$200&lt;=$A213)),Budgets!$C$2:$C$200),0))</f>
        <v/>
      </c>
      <c r="AY213" s="88">
        <f>IF(OR(AY$1="",$BE213=0),"",IFERROR(LOOKUP(2,1/((Budgets!$A$2:$A$200=AY$1)*(Budgets!$B$2:$B$200&lt;=$A213)),Budgets!$C$2:$C$200),0))</f>
        <v/>
      </c>
      <c r="AZ213" s="88">
        <f>IF(OR(AZ$1="",$BE213=0),"",IFERROR(LOOKUP(2,1/((Budgets!$A$2:$A$200=AZ$1)*(Budgets!$B$2:$B$200&lt;=$A213)),Budgets!$C$2:$C$200),0))</f>
        <v/>
      </c>
      <c r="BA213" s="88">
        <f>IF(OR(BA$1="",$BE213=0),"",IFERROR(LOOKUP(2,1/((Budgets!$A$2:$A$200=BA$1)*(Budgets!$B$2:$B$200&lt;=$A213)),Budgets!$C$2:$C$200),0))</f>
        <v/>
      </c>
      <c r="BB213" s="88">
        <f>IF(OR(BB$1="",$BE213=0),"",IFERROR(LOOKUP(2,1/((Budgets!$A$2:$A$200=BB$1)*(Budgets!$B$2:$B$200&lt;=$A213)),Budgets!$C$2:$C$200),0))</f>
        <v/>
      </c>
      <c r="BC213" s="88">
        <f>IF(OR(BC$1="",$BE213=0),"",IFERROR(LOOKUP(2,1/((Budgets!$A$2:$A$200=BC$1)*(Budgets!$B$2:$B$200&lt;=$A213)),Budgets!$C$2:$C$200),0))</f>
        <v/>
      </c>
      <c r="BE213" s="67">
        <f>COUNTIFS(Entries!$A$2:$A$5000,$A213)</f>
        <v/>
      </c>
    </row>
    <row r="214" ht="15" customHeight="1" s="43">
      <c r="A214" s="87" t="n">
        <v>45901</v>
      </c>
      <c r="B214" s="88">
        <f>IF($BE214=0,NA(),SUMIFS(Entries!$D$2:$D$5000,Entries!$C$2:$C$5000,"Income",Entries!$A$2:$A$5000,$A214))</f>
        <v/>
      </c>
      <c r="C214" s="88">
        <f>IF($BE214=0,"",SUMIFS(Entries!$D$2:$D$5000,Entries!$C$2:$C$5000,"Actual",Entries!$A$2:$A$5000,$A214))</f>
        <v/>
      </c>
      <c r="D214" s="88">
        <f>IF($BE214=0,"",SUMIFS(Entries!$D$2:$D$5000,Entries!$C$2:$C$5000,"One-off",Entries!$A$2:$A$5000,$A214))</f>
        <v/>
      </c>
      <c r="E214" s="88">
        <f>IF($BE214=0,NA(),C214+D214)</f>
        <v/>
      </c>
      <c r="F214" s="88">
        <f>IF($BE214=0,"",SUM(AJ214:BC214))</f>
        <v/>
      </c>
      <c r="G214" s="88">
        <f>IF($BE214=0,"",B214-E214)</f>
        <v/>
      </c>
      <c r="H214" s="88">
        <f>IF($BE214=0,"",SUM($G$2:G214))</f>
        <v/>
      </c>
      <c r="I214" s="88">
        <f>IF($BE214=0,"",SUMIFS(Entries!$F$2:$F$5000,Entries!$A$2:$A$5000,$A214))</f>
        <v/>
      </c>
      <c r="J214" s="88">
        <f>IF($BE214=0,NA(),H214+SUM($I$2:I214))</f>
        <v/>
      </c>
      <c r="K214" s="88">
        <f>IF($BE214=0,"",SUMIFS(Entries!$D$2:$D$5000,Entries!$C$2:$C$5000,"Income",Entries!$A$2:$A$5000,"&gt;="&amp;EDATE($A214,-11),Entries!$A$2:$A$5000,"&lt;="&amp;$A214)/12)</f>
        <v/>
      </c>
      <c r="L214" s="88">
        <f>IF($BE214=0,"",(SUMIFS(Entries!$D$2:$D$5000,Entries!$C$2:$C$5000,"Actual",Entries!$A$2:$A$5000,"&gt;="&amp;EDATE($A214,-11),Entries!$A$2:$A$5000,"&lt;="&amp;$A214)+SUMIFS(Entries!$D$2:$D$5000,Entries!$C$2:$C$5000,"One-off",Entries!$A$2:$A$5000,"&gt;="&amp;EDATE($A214,-11),Entries!$A$2:$A$5000,"&lt;="&amp;$A214))/12)</f>
        <v/>
      </c>
      <c r="M214" s="70">
        <f>IF($BE214=0,NA(),IFERROR((K214-L214)/K214,0))</f>
        <v/>
      </c>
      <c r="O214" s="88">
        <f>IF(OR(O$1="",$BE214=0),"",SUMIFS(Entries!$D$2:$D$5000,Entries!$C$2:$C$5000,"Actual",Entries!$A$2:$A$5000,$A214,Entries!$B$2:$B$5000,O$1))</f>
        <v/>
      </c>
      <c r="P214" s="88">
        <f>IF(OR(P$1="",$BE214=0),"",SUMIFS(Entries!$D$2:$D$5000,Entries!$C$2:$C$5000,"Actual",Entries!$A$2:$A$5000,$A214,Entries!$B$2:$B$5000,P$1))</f>
        <v/>
      </c>
      <c r="Q214" s="88">
        <f>IF(OR(Q$1="",$BE214=0),"",SUMIFS(Entries!$D$2:$D$5000,Entries!$C$2:$C$5000,"Actual",Entries!$A$2:$A$5000,$A214,Entries!$B$2:$B$5000,Q$1))</f>
        <v/>
      </c>
      <c r="R214" s="88">
        <f>IF(OR(R$1="",$BE214=0),"",SUMIFS(Entries!$D$2:$D$5000,Entries!$C$2:$C$5000,"Actual",Entries!$A$2:$A$5000,$A214,Entries!$B$2:$B$5000,R$1))</f>
        <v/>
      </c>
      <c r="S214" s="88">
        <f>IF(OR(S$1="",$BE214=0),"",SUMIFS(Entries!$D$2:$D$5000,Entries!$C$2:$C$5000,"Actual",Entries!$A$2:$A$5000,$A214,Entries!$B$2:$B$5000,S$1))</f>
        <v/>
      </c>
      <c r="T214" s="88">
        <f>IF(OR(T$1="",$BE214=0),"",SUMIFS(Entries!$D$2:$D$5000,Entries!$C$2:$C$5000,"Actual",Entries!$A$2:$A$5000,$A214,Entries!$B$2:$B$5000,T$1))</f>
        <v/>
      </c>
      <c r="U214" s="88">
        <f>IF(OR(U$1="",$BE214=0),"",SUMIFS(Entries!$D$2:$D$5000,Entries!$C$2:$C$5000,"Actual",Entries!$A$2:$A$5000,$A214,Entries!$B$2:$B$5000,U$1))</f>
        <v/>
      </c>
      <c r="V214" s="88">
        <f>IF(OR(V$1="",$BE214=0),"",SUMIFS(Entries!$D$2:$D$5000,Entries!$C$2:$C$5000,"Actual",Entries!$A$2:$A$5000,$A214,Entries!$B$2:$B$5000,V$1))</f>
        <v/>
      </c>
      <c r="W214" s="88">
        <f>IF(OR(W$1="",$BE214=0),"",SUMIFS(Entries!$D$2:$D$5000,Entries!$C$2:$C$5000,"Actual",Entries!$A$2:$A$5000,$A214,Entries!$B$2:$B$5000,W$1))</f>
        <v/>
      </c>
      <c r="X214" s="88">
        <f>IF(OR(X$1="",$BE214=0),"",SUMIFS(Entries!$D$2:$D$5000,Entries!$C$2:$C$5000,"Actual",Entries!$A$2:$A$5000,$A214,Entries!$B$2:$B$5000,X$1))</f>
        <v/>
      </c>
      <c r="Y214" s="88">
        <f>IF(OR(Y$1="",$BE214=0),"",SUMIFS(Entries!$D$2:$D$5000,Entries!$C$2:$C$5000,"Actual",Entries!$A$2:$A$5000,$A214,Entries!$B$2:$B$5000,Y$1))</f>
        <v/>
      </c>
      <c r="Z214" s="88">
        <f>IF(OR(Z$1="",$BE214=0),"",SUMIFS(Entries!$D$2:$D$5000,Entries!$C$2:$C$5000,"Actual",Entries!$A$2:$A$5000,$A214,Entries!$B$2:$B$5000,Z$1))</f>
        <v/>
      </c>
      <c r="AA214" s="88">
        <f>IF(OR(AA$1="",$BE214=0),"",SUMIFS(Entries!$D$2:$D$5000,Entries!$C$2:$C$5000,"Actual",Entries!$A$2:$A$5000,$A214,Entries!$B$2:$B$5000,AA$1))</f>
        <v/>
      </c>
      <c r="AB214" s="88">
        <f>IF(OR(AB$1="",$BE214=0),"",SUMIFS(Entries!$D$2:$D$5000,Entries!$C$2:$C$5000,"Actual",Entries!$A$2:$A$5000,$A214,Entries!$B$2:$B$5000,AB$1))</f>
        <v/>
      </c>
      <c r="AC214" s="88">
        <f>IF(OR(AC$1="",$BE214=0),"",SUMIFS(Entries!$D$2:$D$5000,Entries!$C$2:$C$5000,"Actual",Entries!$A$2:$A$5000,$A214,Entries!$B$2:$B$5000,AC$1))</f>
        <v/>
      </c>
      <c r="AD214" s="88">
        <f>IF(OR(AD$1="",$BE214=0),"",SUMIFS(Entries!$D$2:$D$5000,Entries!$C$2:$C$5000,"Actual",Entries!$A$2:$A$5000,$A214,Entries!$B$2:$B$5000,AD$1))</f>
        <v/>
      </c>
      <c r="AE214" s="88">
        <f>IF(OR(AE$1="",$BE214=0),"",SUMIFS(Entries!$D$2:$D$5000,Entries!$C$2:$C$5000,"Actual",Entries!$A$2:$A$5000,$A214,Entries!$B$2:$B$5000,AE$1))</f>
        <v/>
      </c>
      <c r="AF214" s="88">
        <f>IF(OR(AF$1="",$BE214=0),"",SUMIFS(Entries!$D$2:$D$5000,Entries!$C$2:$C$5000,"Actual",Entries!$A$2:$A$5000,$A214,Entries!$B$2:$B$5000,AF$1))</f>
        <v/>
      </c>
      <c r="AG214" s="88">
        <f>IF(OR(AG$1="",$BE214=0),"",SUMIFS(Entries!$D$2:$D$5000,Entries!$C$2:$C$5000,"Actual",Entries!$A$2:$A$5000,$A214,Entries!$B$2:$B$5000,AG$1))</f>
        <v/>
      </c>
      <c r="AH214" s="88">
        <f>IF(OR(AH$1="",$BE214=0),"",SUMIFS(Entries!$D$2:$D$5000,Entries!$C$2:$C$5000,"Actual",Entries!$A$2:$A$5000,$A214,Entries!$B$2:$B$5000,AH$1))</f>
        <v/>
      </c>
      <c r="AJ214" s="88">
        <f>IF(OR(AJ$1="",$BE214=0),"",IFERROR(LOOKUP(2,1/((Budgets!$A$2:$A$200=AJ$1)*(Budgets!$B$2:$B$200&lt;=$A214)),Budgets!$C$2:$C$200),0))</f>
        <v/>
      </c>
      <c r="AK214" s="88">
        <f>IF(OR(AK$1="",$BE214=0),"",IFERROR(LOOKUP(2,1/((Budgets!$A$2:$A$200=AK$1)*(Budgets!$B$2:$B$200&lt;=$A214)),Budgets!$C$2:$C$200),0))</f>
        <v/>
      </c>
      <c r="AL214" s="88">
        <f>IF(OR(AL$1="",$BE214=0),"",IFERROR(LOOKUP(2,1/((Budgets!$A$2:$A$200=AL$1)*(Budgets!$B$2:$B$200&lt;=$A214)),Budgets!$C$2:$C$200),0))</f>
        <v/>
      </c>
      <c r="AM214" s="88">
        <f>IF(OR(AM$1="",$BE214=0),"",IFERROR(LOOKUP(2,1/((Budgets!$A$2:$A$200=AM$1)*(Budgets!$B$2:$B$200&lt;=$A214)),Budgets!$C$2:$C$200),0))</f>
        <v/>
      </c>
      <c r="AN214" s="88">
        <f>IF(OR(AN$1="",$BE214=0),"",IFERROR(LOOKUP(2,1/((Budgets!$A$2:$A$200=AN$1)*(Budgets!$B$2:$B$200&lt;=$A214)),Budgets!$C$2:$C$200),0))</f>
        <v/>
      </c>
      <c r="AO214" s="88">
        <f>IF(OR(AO$1="",$BE214=0),"",IFERROR(LOOKUP(2,1/((Budgets!$A$2:$A$200=AO$1)*(Budgets!$B$2:$B$200&lt;=$A214)),Budgets!$C$2:$C$200),0))</f>
        <v/>
      </c>
      <c r="AP214" s="88">
        <f>IF(OR(AP$1="",$BE214=0),"",IFERROR(LOOKUP(2,1/((Budgets!$A$2:$A$200=AP$1)*(Budgets!$B$2:$B$200&lt;=$A214)),Budgets!$C$2:$C$200),0))</f>
        <v/>
      </c>
      <c r="AQ214" s="88">
        <f>IF(OR(AQ$1="",$BE214=0),"",IFERROR(LOOKUP(2,1/((Budgets!$A$2:$A$200=AQ$1)*(Budgets!$B$2:$B$200&lt;=$A214)),Budgets!$C$2:$C$200),0))</f>
        <v/>
      </c>
      <c r="AR214" s="88">
        <f>IF(OR(AR$1="",$BE214=0),"",IFERROR(LOOKUP(2,1/((Budgets!$A$2:$A$200=AR$1)*(Budgets!$B$2:$B$200&lt;=$A214)),Budgets!$C$2:$C$200),0))</f>
        <v/>
      </c>
      <c r="AS214" s="88">
        <f>IF(OR(AS$1="",$BE214=0),"",IFERROR(LOOKUP(2,1/((Budgets!$A$2:$A$200=AS$1)*(Budgets!$B$2:$B$200&lt;=$A214)),Budgets!$C$2:$C$200),0))</f>
        <v/>
      </c>
      <c r="AT214" s="88">
        <f>IF(OR(AT$1="",$BE214=0),"",IFERROR(LOOKUP(2,1/((Budgets!$A$2:$A$200=AT$1)*(Budgets!$B$2:$B$200&lt;=$A214)),Budgets!$C$2:$C$200),0))</f>
        <v/>
      </c>
      <c r="AU214" s="88">
        <f>IF(OR(AU$1="",$BE214=0),"",IFERROR(LOOKUP(2,1/((Budgets!$A$2:$A$200=AU$1)*(Budgets!$B$2:$B$200&lt;=$A214)),Budgets!$C$2:$C$200),0))</f>
        <v/>
      </c>
      <c r="AV214" s="88">
        <f>IF(OR(AV$1="",$BE214=0),"",IFERROR(LOOKUP(2,1/((Budgets!$A$2:$A$200=AV$1)*(Budgets!$B$2:$B$200&lt;=$A214)),Budgets!$C$2:$C$200),0))</f>
        <v/>
      </c>
      <c r="AW214" s="88">
        <f>IF(OR(AW$1="",$BE214=0),"",IFERROR(LOOKUP(2,1/((Budgets!$A$2:$A$200=AW$1)*(Budgets!$B$2:$B$200&lt;=$A214)),Budgets!$C$2:$C$200),0))</f>
        <v/>
      </c>
      <c r="AX214" s="88">
        <f>IF(OR(AX$1="",$BE214=0),"",IFERROR(LOOKUP(2,1/((Budgets!$A$2:$A$200=AX$1)*(Budgets!$B$2:$B$200&lt;=$A214)),Budgets!$C$2:$C$200),0))</f>
        <v/>
      </c>
      <c r="AY214" s="88">
        <f>IF(OR(AY$1="",$BE214=0),"",IFERROR(LOOKUP(2,1/((Budgets!$A$2:$A$200=AY$1)*(Budgets!$B$2:$B$200&lt;=$A214)),Budgets!$C$2:$C$200),0))</f>
        <v/>
      </c>
      <c r="AZ214" s="88">
        <f>IF(OR(AZ$1="",$BE214=0),"",IFERROR(LOOKUP(2,1/((Budgets!$A$2:$A$200=AZ$1)*(Budgets!$B$2:$B$200&lt;=$A214)),Budgets!$C$2:$C$200),0))</f>
        <v/>
      </c>
      <c r="BA214" s="88">
        <f>IF(OR(BA$1="",$BE214=0),"",IFERROR(LOOKUP(2,1/((Budgets!$A$2:$A$200=BA$1)*(Budgets!$B$2:$B$200&lt;=$A214)),Budgets!$C$2:$C$200),0))</f>
        <v/>
      </c>
      <c r="BB214" s="88">
        <f>IF(OR(BB$1="",$BE214=0),"",IFERROR(LOOKUP(2,1/((Budgets!$A$2:$A$200=BB$1)*(Budgets!$B$2:$B$200&lt;=$A214)),Budgets!$C$2:$C$200),0))</f>
        <v/>
      </c>
      <c r="BC214" s="88">
        <f>IF(OR(BC$1="",$BE214=0),"",IFERROR(LOOKUP(2,1/((Budgets!$A$2:$A$200=BC$1)*(Budgets!$B$2:$B$200&lt;=$A214)),Budgets!$C$2:$C$200),0))</f>
        <v/>
      </c>
      <c r="BE214" s="67">
        <f>COUNTIFS(Entries!$A$2:$A$5000,$A214)</f>
        <v/>
      </c>
    </row>
    <row r="215" ht="15" customHeight="1" s="43">
      <c r="A215" s="87" t="n">
        <v>45931</v>
      </c>
      <c r="B215" s="88">
        <f>IF($BE215=0,NA(),SUMIFS(Entries!$D$2:$D$5000,Entries!$C$2:$C$5000,"Income",Entries!$A$2:$A$5000,$A215))</f>
        <v/>
      </c>
      <c r="C215" s="88">
        <f>IF($BE215=0,"",SUMIFS(Entries!$D$2:$D$5000,Entries!$C$2:$C$5000,"Actual",Entries!$A$2:$A$5000,$A215))</f>
        <v/>
      </c>
      <c r="D215" s="88">
        <f>IF($BE215=0,"",SUMIFS(Entries!$D$2:$D$5000,Entries!$C$2:$C$5000,"One-off",Entries!$A$2:$A$5000,$A215))</f>
        <v/>
      </c>
      <c r="E215" s="88">
        <f>IF($BE215=0,NA(),C215+D215)</f>
        <v/>
      </c>
      <c r="F215" s="88">
        <f>IF($BE215=0,"",SUM(AJ215:BC215))</f>
        <v/>
      </c>
      <c r="G215" s="88">
        <f>IF($BE215=0,"",B215-E215)</f>
        <v/>
      </c>
      <c r="H215" s="88">
        <f>IF($BE215=0,"",SUM($G$2:G215))</f>
        <v/>
      </c>
      <c r="I215" s="88">
        <f>IF($BE215=0,"",SUMIFS(Entries!$F$2:$F$5000,Entries!$A$2:$A$5000,$A215))</f>
        <v/>
      </c>
      <c r="J215" s="88">
        <f>IF($BE215=0,NA(),H215+SUM($I$2:I215))</f>
        <v/>
      </c>
      <c r="K215" s="88">
        <f>IF($BE215=0,"",SUMIFS(Entries!$D$2:$D$5000,Entries!$C$2:$C$5000,"Income",Entries!$A$2:$A$5000,"&gt;="&amp;EDATE($A215,-11),Entries!$A$2:$A$5000,"&lt;="&amp;$A215)/12)</f>
        <v/>
      </c>
      <c r="L215" s="88">
        <f>IF($BE215=0,"",(SUMIFS(Entries!$D$2:$D$5000,Entries!$C$2:$C$5000,"Actual",Entries!$A$2:$A$5000,"&gt;="&amp;EDATE($A215,-11),Entries!$A$2:$A$5000,"&lt;="&amp;$A215)+SUMIFS(Entries!$D$2:$D$5000,Entries!$C$2:$C$5000,"One-off",Entries!$A$2:$A$5000,"&gt;="&amp;EDATE($A215,-11),Entries!$A$2:$A$5000,"&lt;="&amp;$A215))/12)</f>
        <v/>
      </c>
      <c r="M215" s="70">
        <f>IF($BE215=0,NA(),IFERROR((K215-L215)/K215,0))</f>
        <v/>
      </c>
      <c r="O215" s="88">
        <f>IF(OR(O$1="",$BE215=0),"",SUMIFS(Entries!$D$2:$D$5000,Entries!$C$2:$C$5000,"Actual",Entries!$A$2:$A$5000,$A215,Entries!$B$2:$B$5000,O$1))</f>
        <v/>
      </c>
      <c r="P215" s="88">
        <f>IF(OR(P$1="",$BE215=0),"",SUMIFS(Entries!$D$2:$D$5000,Entries!$C$2:$C$5000,"Actual",Entries!$A$2:$A$5000,$A215,Entries!$B$2:$B$5000,P$1))</f>
        <v/>
      </c>
      <c r="Q215" s="88">
        <f>IF(OR(Q$1="",$BE215=0),"",SUMIFS(Entries!$D$2:$D$5000,Entries!$C$2:$C$5000,"Actual",Entries!$A$2:$A$5000,$A215,Entries!$B$2:$B$5000,Q$1))</f>
        <v/>
      </c>
      <c r="R215" s="88">
        <f>IF(OR(R$1="",$BE215=0),"",SUMIFS(Entries!$D$2:$D$5000,Entries!$C$2:$C$5000,"Actual",Entries!$A$2:$A$5000,$A215,Entries!$B$2:$B$5000,R$1))</f>
        <v/>
      </c>
      <c r="S215" s="88">
        <f>IF(OR(S$1="",$BE215=0),"",SUMIFS(Entries!$D$2:$D$5000,Entries!$C$2:$C$5000,"Actual",Entries!$A$2:$A$5000,$A215,Entries!$B$2:$B$5000,S$1))</f>
        <v/>
      </c>
      <c r="T215" s="88">
        <f>IF(OR(T$1="",$BE215=0),"",SUMIFS(Entries!$D$2:$D$5000,Entries!$C$2:$C$5000,"Actual",Entries!$A$2:$A$5000,$A215,Entries!$B$2:$B$5000,T$1))</f>
        <v/>
      </c>
      <c r="U215" s="88">
        <f>IF(OR(U$1="",$BE215=0),"",SUMIFS(Entries!$D$2:$D$5000,Entries!$C$2:$C$5000,"Actual",Entries!$A$2:$A$5000,$A215,Entries!$B$2:$B$5000,U$1))</f>
        <v/>
      </c>
      <c r="V215" s="88">
        <f>IF(OR(V$1="",$BE215=0),"",SUMIFS(Entries!$D$2:$D$5000,Entries!$C$2:$C$5000,"Actual",Entries!$A$2:$A$5000,$A215,Entries!$B$2:$B$5000,V$1))</f>
        <v/>
      </c>
      <c r="W215" s="88">
        <f>IF(OR(W$1="",$BE215=0),"",SUMIFS(Entries!$D$2:$D$5000,Entries!$C$2:$C$5000,"Actual",Entries!$A$2:$A$5000,$A215,Entries!$B$2:$B$5000,W$1))</f>
        <v/>
      </c>
      <c r="X215" s="88">
        <f>IF(OR(X$1="",$BE215=0),"",SUMIFS(Entries!$D$2:$D$5000,Entries!$C$2:$C$5000,"Actual",Entries!$A$2:$A$5000,$A215,Entries!$B$2:$B$5000,X$1))</f>
        <v/>
      </c>
      <c r="Y215" s="88">
        <f>IF(OR(Y$1="",$BE215=0),"",SUMIFS(Entries!$D$2:$D$5000,Entries!$C$2:$C$5000,"Actual",Entries!$A$2:$A$5000,$A215,Entries!$B$2:$B$5000,Y$1))</f>
        <v/>
      </c>
      <c r="Z215" s="88">
        <f>IF(OR(Z$1="",$BE215=0),"",SUMIFS(Entries!$D$2:$D$5000,Entries!$C$2:$C$5000,"Actual",Entries!$A$2:$A$5000,$A215,Entries!$B$2:$B$5000,Z$1))</f>
        <v/>
      </c>
      <c r="AA215" s="88">
        <f>IF(OR(AA$1="",$BE215=0),"",SUMIFS(Entries!$D$2:$D$5000,Entries!$C$2:$C$5000,"Actual",Entries!$A$2:$A$5000,$A215,Entries!$B$2:$B$5000,AA$1))</f>
        <v/>
      </c>
      <c r="AB215" s="88">
        <f>IF(OR(AB$1="",$BE215=0),"",SUMIFS(Entries!$D$2:$D$5000,Entries!$C$2:$C$5000,"Actual",Entries!$A$2:$A$5000,$A215,Entries!$B$2:$B$5000,AB$1))</f>
        <v/>
      </c>
      <c r="AC215" s="88">
        <f>IF(OR(AC$1="",$BE215=0),"",SUMIFS(Entries!$D$2:$D$5000,Entries!$C$2:$C$5000,"Actual",Entries!$A$2:$A$5000,$A215,Entries!$B$2:$B$5000,AC$1))</f>
        <v/>
      </c>
      <c r="AD215" s="88">
        <f>IF(OR(AD$1="",$BE215=0),"",SUMIFS(Entries!$D$2:$D$5000,Entries!$C$2:$C$5000,"Actual",Entries!$A$2:$A$5000,$A215,Entries!$B$2:$B$5000,AD$1))</f>
        <v/>
      </c>
      <c r="AE215" s="88">
        <f>IF(OR(AE$1="",$BE215=0),"",SUMIFS(Entries!$D$2:$D$5000,Entries!$C$2:$C$5000,"Actual",Entries!$A$2:$A$5000,$A215,Entries!$B$2:$B$5000,AE$1))</f>
        <v/>
      </c>
      <c r="AF215" s="88">
        <f>IF(OR(AF$1="",$BE215=0),"",SUMIFS(Entries!$D$2:$D$5000,Entries!$C$2:$C$5000,"Actual",Entries!$A$2:$A$5000,$A215,Entries!$B$2:$B$5000,AF$1))</f>
        <v/>
      </c>
      <c r="AG215" s="88">
        <f>IF(OR(AG$1="",$BE215=0),"",SUMIFS(Entries!$D$2:$D$5000,Entries!$C$2:$C$5000,"Actual",Entries!$A$2:$A$5000,$A215,Entries!$B$2:$B$5000,AG$1))</f>
        <v/>
      </c>
      <c r="AH215" s="88">
        <f>IF(OR(AH$1="",$BE215=0),"",SUMIFS(Entries!$D$2:$D$5000,Entries!$C$2:$C$5000,"Actual",Entries!$A$2:$A$5000,$A215,Entries!$B$2:$B$5000,AH$1))</f>
        <v/>
      </c>
      <c r="AJ215" s="88">
        <f>IF(OR(AJ$1="",$BE215=0),"",IFERROR(LOOKUP(2,1/((Budgets!$A$2:$A$200=AJ$1)*(Budgets!$B$2:$B$200&lt;=$A215)),Budgets!$C$2:$C$200),0))</f>
        <v/>
      </c>
      <c r="AK215" s="88">
        <f>IF(OR(AK$1="",$BE215=0),"",IFERROR(LOOKUP(2,1/((Budgets!$A$2:$A$200=AK$1)*(Budgets!$B$2:$B$200&lt;=$A215)),Budgets!$C$2:$C$200),0))</f>
        <v/>
      </c>
      <c r="AL215" s="88">
        <f>IF(OR(AL$1="",$BE215=0),"",IFERROR(LOOKUP(2,1/((Budgets!$A$2:$A$200=AL$1)*(Budgets!$B$2:$B$200&lt;=$A215)),Budgets!$C$2:$C$200),0))</f>
        <v/>
      </c>
      <c r="AM215" s="88">
        <f>IF(OR(AM$1="",$BE215=0),"",IFERROR(LOOKUP(2,1/((Budgets!$A$2:$A$200=AM$1)*(Budgets!$B$2:$B$200&lt;=$A215)),Budgets!$C$2:$C$200),0))</f>
        <v/>
      </c>
      <c r="AN215" s="88">
        <f>IF(OR(AN$1="",$BE215=0),"",IFERROR(LOOKUP(2,1/((Budgets!$A$2:$A$200=AN$1)*(Budgets!$B$2:$B$200&lt;=$A215)),Budgets!$C$2:$C$200),0))</f>
        <v/>
      </c>
      <c r="AO215" s="88">
        <f>IF(OR(AO$1="",$BE215=0),"",IFERROR(LOOKUP(2,1/((Budgets!$A$2:$A$200=AO$1)*(Budgets!$B$2:$B$200&lt;=$A215)),Budgets!$C$2:$C$200),0))</f>
        <v/>
      </c>
      <c r="AP215" s="88">
        <f>IF(OR(AP$1="",$BE215=0),"",IFERROR(LOOKUP(2,1/((Budgets!$A$2:$A$200=AP$1)*(Budgets!$B$2:$B$200&lt;=$A215)),Budgets!$C$2:$C$200),0))</f>
        <v/>
      </c>
      <c r="AQ215" s="88">
        <f>IF(OR(AQ$1="",$BE215=0),"",IFERROR(LOOKUP(2,1/((Budgets!$A$2:$A$200=AQ$1)*(Budgets!$B$2:$B$200&lt;=$A215)),Budgets!$C$2:$C$200),0))</f>
        <v/>
      </c>
      <c r="AR215" s="88">
        <f>IF(OR(AR$1="",$BE215=0),"",IFERROR(LOOKUP(2,1/((Budgets!$A$2:$A$200=AR$1)*(Budgets!$B$2:$B$200&lt;=$A215)),Budgets!$C$2:$C$200),0))</f>
        <v/>
      </c>
      <c r="AS215" s="88">
        <f>IF(OR(AS$1="",$BE215=0),"",IFERROR(LOOKUP(2,1/((Budgets!$A$2:$A$200=AS$1)*(Budgets!$B$2:$B$200&lt;=$A215)),Budgets!$C$2:$C$200),0))</f>
        <v/>
      </c>
      <c r="AT215" s="88">
        <f>IF(OR(AT$1="",$BE215=0),"",IFERROR(LOOKUP(2,1/((Budgets!$A$2:$A$200=AT$1)*(Budgets!$B$2:$B$200&lt;=$A215)),Budgets!$C$2:$C$200),0))</f>
        <v/>
      </c>
      <c r="AU215" s="88">
        <f>IF(OR(AU$1="",$BE215=0),"",IFERROR(LOOKUP(2,1/((Budgets!$A$2:$A$200=AU$1)*(Budgets!$B$2:$B$200&lt;=$A215)),Budgets!$C$2:$C$200),0))</f>
        <v/>
      </c>
      <c r="AV215" s="88">
        <f>IF(OR(AV$1="",$BE215=0),"",IFERROR(LOOKUP(2,1/((Budgets!$A$2:$A$200=AV$1)*(Budgets!$B$2:$B$200&lt;=$A215)),Budgets!$C$2:$C$200),0))</f>
        <v/>
      </c>
      <c r="AW215" s="88">
        <f>IF(OR(AW$1="",$BE215=0),"",IFERROR(LOOKUP(2,1/((Budgets!$A$2:$A$200=AW$1)*(Budgets!$B$2:$B$200&lt;=$A215)),Budgets!$C$2:$C$200),0))</f>
        <v/>
      </c>
      <c r="AX215" s="88">
        <f>IF(OR(AX$1="",$BE215=0),"",IFERROR(LOOKUP(2,1/((Budgets!$A$2:$A$200=AX$1)*(Budgets!$B$2:$B$200&lt;=$A215)),Budgets!$C$2:$C$200),0))</f>
        <v/>
      </c>
      <c r="AY215" s="88">
        <f>IF(OR(AY$1="",$BE215=0),"",IFERROR(LOOKUP(2,1/((Budgets!$A$2:$A$200=AY$1)*(Budgets!$B$2:$B$200&lt;=$A215)),Budgets!$C$2:$C$200),0))</f>
        <v/>
      </c>
      <c r="AZ215" s="88">
        <f>IF(OR(AZ$1="",$BE215=0),"",IFERROR(LOOKUP(2,1/((Budgets!$A$2:$A$200=AZ$1)*(Budgets!$B$2:$B$200&lt;=$A215)),Budgets!$C$2:$C$200),0))</f>
        <v/>
      </c>
      <c r="BA215" s="88">
        <f>IF(OR(BA$1="",$BE215=0),"",IFERROR(LOOKUP(2,1/((Budgets!$A$2:$A$200=BA$1)*(Budgets!$B$2:$B$200&lt;=$A215)),Budgets!$C$2:$C$200),0))</f>
        <v/>
      </c>
      <c r="BB215" s="88">
        <f>IF(OR(BB$1="",$BE215=0),"",IFERROR(LOOKUP(2,1/((Budgets!$A$2:$A$200=BB$1)*(Budgets!$B$2:$B$200&lt;=$A215)),Budgets!$C$2:$C$200),0))</f>
        <v/>
      </c>
      <c r="BC215" s="88">
        <f>IF(OR(BC$1="",$BE215=0),"",IFERROR(LOOKUP(2,1/((Budgets!$A$2:$A$200=BC$1)*(Budgets!$B$2:$B$200&lt;=$A215)),Budgets!$C$2:$C$200),0))</f>
        <v/>
      </c>
      <c r="BE215" s="67">
        <f>COUNTIFS(Entries!$A$2:$A$5000,$A215)</f>
        <v/>
      </c>
    </row>
    <row r="216" ht="15" customHeight="1" s="43">
      <c r="A216" s="87" t="n">
        <v>45962</v>
      </c>
      <c r="B216" s="88">
        <f>IF($BE216=0,NA(),SUMIFS(Entries!$D$2:$D$5000,Entries!$C$2:$C$5000,"Income",Entries!$A$2:$A$5000,$A216))</f>
        <v/>
      </c>
      <c r="C216" s="88">
        <f>IF($BE216=0,"",SUMIFS(Entries!$D$2:$D$5000,Entries!$C$2:$C$5000,"Actual",Entries!$A$2:$A$5000,$A216))</f>
        <v/>
      </c>
      <c r="D216" s="88">
        <f>IF($BE216=0,"",SUMIFS(Entries!$D$2:$D$5000,Entries!$C$2:$C$5000,"One-off",Entries!$A$2:$A$5000,$A216))</f>
        <v/>
      </c>
      <c r="E216" s="88">
        <f>IF($BE216=0,NA(),C216+D216)</f>
        <v/>
      </c>
      <c r="F216" s="88">
        <f>IF($BE216=0,"",SUM(AJ216:BC216))</f>
        <v/>
      </c>
      <c r="G216" s="88">
        <f>IF($BE216=0,"",B216-E216)</f>
        <v/>
      </c>
      <c r="H216" s="88">
        <f>IF($BE216=0,"",SUM($G$2:G216))</f>
        <v/>
      </c>
      <c r="I216" s="88">
        <f>IF($BE216=0,"",SUMIFS(Entries!$F$2:$F$5000,Entries!$A$2:$A$5000,$A216))</f>
        <v/>
      </c>
      <c r="J216" s="88">
        <f>IF($BE216=0,NA(),H216+SUM($I$2:I216))</f>
        <v/>
      </c>
      <c r="K216" s="88">
        <f>IF($BE216=0,"",SUMIFS(Entries!$D$2:$D$5000,Entries!$C$2:$C$5000,"Income",Entries!$A$2:$A$5000,"&gt;="&amp;EDATE($A216,-11),Entries!$A$2:$A$5000,"&lt;="&amp;$A216)/12)</f>
        <v/>
      </c>
      <c r="L216" s="88">
        <f>IF($BE216=0,"",(SUMIFS(Entries!$D$2:$D$5000,Entries!$C$2:$C$5000,"Actual",Entries!$A$2:$A$5000,"&gt;="&amp;EDATE($A216,-11),Entries!$A$2:$A$5000,"&lt;="&amp;$A216)+SUMIFS(Entries!$D$2:$D$5000,Entries!$C$2:$C$5000,"One-off",Entries!$A$2:$A$5000,"&gt;="&amp;EDATE($A216,-11),Entries!$A$2:$A$5000,"&lt;="&amp;$A216))/12)</f>
        <v/>
      </c>
      <c r="M216" s="70">
        <f>IF($BE216=0,NA(),IFERROR((K216-L216)/K216,0))</f>
        <v/>
      </c>
      <c r="O216" s="88">
        <f>IF(OR(O$1="",$BE216=0),"",SUMIFS(Entries!$D$2:$D$5000,Entries!$C$2:$C$5000,"Actual",Entries!$A$2:$A$5000,$A216,Entries!$B$2:$B$5000,O$1))</f>
        <v/>
      </c>
      <c r="P216" s="88">
        <f>IF(OR(P$1="",$BE216=0),"",SUMIFS(Entries!$D$2:$D$5000,Entries!$C$2:$C$5000,"Actual",Entries!$A$2:$A$5000,$A216,Entries!$B$2:$B$5000,P$1))</f>
        <v/>
      </c>
      <c r="Q216" s="88">
        <f>IF(OR(Q$1="",$BE216=0),"",SUMIFS(Entries!$D$2:$D$5000,Entries!$C$2:$C$5000,"Actual",Entries!$A$2:$A$5000,$A216,Entries!$B$2:$B$5000,Q$1))</f>
        <v/>
      </c>
      <c r="R216" s="88">
        <f>IF(OR(R$1="",$BE216=0),"",SUMIFS(Entries!$D$2:$D$5000,Entries!$C$2:$C$5000,"Actual",Entries!$A$2:$A$5000,$A216,Entries!$B$2:$B$5000,R$1))</f>
        <v/>
      </c>
      <c r="S216" s="88">
        <f>IF(OR(S$1="",$BE216=0),"",SUMIFS(Entries!$D$2:$D$5000,Entries!$C$2:$C$5000,"Actual",Entries!$A$2:$A$5000,$A216,Entries!$B$2:$B$5000,S$1))</f>
        <v/>
      </c>
      <c r="T216" s="88">
        <f>IF(OR(T$1="",$BE216=0),"",SUMIFS(Entries!$D$2:$D$5000,Entries!$C$2:$C$5000,"Actual",Entries!$A$2:$A$5000,$A216,Entries!$B$2:$B$5000,T$1))</f>
        <v/>
      </c>
      <c r="U216" s="88">
        <f>IF(OR(U$1="",$BE216=0),"",SUMIFS(Entries!$D$2:$D$5000,Entries!$C$2:$C$5000,"Actual",Entries!$A$2:$A$5000,$A216,Entries!$B$2:$B$5000,U$1))</f>
        <v/>
      </c>
      <c r="V216" s="88">
        <f>IF(OR(V$1="",$BE216=0),"",SUMIFS(Entries!$D$2:$D$5000,Entries!$C$2:$C$5000,"Actual",Entries!$A$2:$A$5000,$A216,Entries!$B$2:$B$5000,V$1))</f>
        <v/>
      </c>
      <c r="W216" s="88">
        <f>IF(OR(W$1="",$BE216=0),"",SUMIFS(Entries!$D$2:$D$5000,Entries!$C$2:$C$5000,"Actual",Entries!$A$2:$A$5000,$A216,Entries!$B$2:$B$5000,W$1))</f>
        <v/>
      </c>
      <c r="X216" s="88">
        <f>IF(OR(X$1="",$BE216=0),"",SUMIFS(Entries!$D$2:$D$5000,Entries!$C$2:$C$5000,"Actual",Entries!$A$2:$A$5000,$A216,Entries!$B$2:$B$5000,X$1))</f>
        <v/>
      </c>
      <c r="Y216" s="88">
        <f>IF(OR(Y$1="",$BE216=0),"",SUMIFS(Entries!$D$2:$D$5000,Entries!$C$2:$C$5000,"Actual",Entries!$A$2:$A$5000,$A216,Entries!$B$2:$B$5000,Y$1))</f>
        <v/>
      </c>
      <c r="Z216" s="88">
        <f>IF(OR(Z$1="",$BE216=0),"",SUMIFS(Entries!$D$2:$D$5000,Entries!$C$2:$C$5000,"Actual",Entries!$A$2:$A$5000,$A216,Entries!$B$2:$B$5000,Z$1))</f>
        <v/>
      </c>
      <c r="AA216" s="88">
        <f>IF(OR(AA$1="",$BE216=0),"",SUMIFS(Entries!$D$2:$D$5000,Entries!$C$2:$C$5000,"Actual",Entries!$A$2:$A$5000,$A216,Entries!$B$2:$B$5000,AA$1))</f>
        <v/>
      </c>
      <c r="AB216" s="88">
        <f>IF(OR(AB$1="",$BE216=0),"",SUMIFS(Entries!$D$2:$D$5000,Entries!$C$2:$C$5000,"Actual",Entries!$A$2:$A$5000,$A216,Entries!$B$2:$B$5000,AB$1))</f>
        <v/>
      </c>
      <c r="AC216" s="88">
        <f>IF(OR(AC$1="",$BE216=0),"",SUMIFS(Entries!$D$2:$D$5000,Entries!$C$2:$C$5000,"Actual",Entries!$A$2:$A$5000,$A216,Entries!$B$2:$B$5000,AC$1))</f>
        <v/>
      </c>
      <c r="AD216" s="88">
        <f>IF(OR(AD$1="",$BE216=0),"",SUMIFS(Entries!$D$2:$D$5000,Entries!$C$2:$C$5000,"Actual",Entries!$A$2:$A$5000,$A216,Entries!$B$2:$B$5000,AD$1))</f>
        <v/>
      </c>
      <c r="AE216" s="88">
        <f>IF(OR(AE$1="",$BE216=0),"",SUMIFS(Entries!$D$2:$D$5000,Entries!$C$2:$C$5000,"Actual",Entries!$A$2:$A$5000,$A216,Entries!$B$2:$B$5000,AE$1))</f>
        <v/>
      </c>
      <c r="AF216" s="88">
        <f>IF(OR(AF$1="",$BE216=0),"",SUMIFS(Entries!$D$2:$D$5000,Entries!$C$2:$C$5000,"Actual",Entries!$A$2:$A$5000,$A216,Entries!$B$2:$B$5000,AF$1))</f>
        <v/>
      </c>
      <c r="AG216" s="88">
        <f>IF(OR(AG$1="",$BE216=0),"",SUMIFS(Entries!$D$2:$D$5000,Entries!$C$2:$C$5000,"Actual",Entries!$A$2:$A$5000,$A216,Entries!$B$2:$B$5000,AG$1))</f>
        <v/>
      </c>
      <c r="AH216" s="88">
        <f>IF(OR(AH$1="",$BE216=0),"",SUMIFS(Entries!$D$2:$D$5000,Entries!$C$2:$C$5000,"Actual",Entries!$A$2:$A$5000,$A216,Entries!$B$2:$B$5000,AH$1))</f>
        <v/>
      </c>
      <c r="AJ216" s="88">
        <f>IF(OR(AJ$1="",$BE216=0),"",IFERROR(LOOKUP(2,1/((Budgets!$A$2:$A$200=AJ$1)*(Budgets!$B$2:$B$200&lt;=$A216)),Budgets!$C$2:$C$200),0))</f>
        <v/>
      </c>
      <c r="AK216" s="88">
        <f>IF(OR(AK$1="",$BE216=0),"",IFERROR(LOOKUP(2,1/((Budgets!$A$2:$A$200=AK$1)*(Budgets!$B$2:$B$200&lt;=$A216)),Budgets!$C$2:$C$200),0))</f>
        <v/>
      </c>
      <c r="AL216" s="88">
        <f>IF(OR(AL$1="",$BE216=0),"",IFERROR(LOOKUP(2,1/((Budgets!$A$2:$A$200=AL$1)*(Budgets!$B$2:$B$200&lt;=$A216)),Budgets!$C$2:$C$200),0))</f>
        <v/>
      </c>
      <c r="AM216" s="88">
        <f>IF(OR(AM$1="",$BE216=0),"",IFERROR(LOOKUP(2,1/((Budgets!$A$2:$A$200=AM$1)*(Budgets!$B$2:$B$200&lt;=$A216)),Budgets!$C$2:$C$200),0))</f>
        <v/>
      </c>
      <c r="AN216" s="88">
        <f>IF(OR(AN$1="",$BE216=0),"",IFERROR(LOOKUP(2,1/((Budgets!$A$2:$A$200=AN$1)*(Budgets!$B$2:$B$200&lt;=$A216)),Budgets!$C$2:$C$200),0))</f>
        <v/>
      </c>
      <c r="AO216" s="88">
        <f>IF(OR(AO$1="",$BE216=0),"",IFERROR(LOOKUP(2,1/((Budgets!$A$2:$A$200=AO$1)*(Budgets!$B$2:$B$200&lt;=$A216)),Budgets!$C$2:$C$200),0))</f>
        <v/>
      </c>
      <c r="AP216" s="88">
        <f>IF(OR(AP$1="",$BE216=0),"",IFERROR(LOOKUP(2,1/((Budgets!$A$2:$A$200=AP$1)*(Budgets!$B$2:$B$200&lt;=$A216)),Budgets!$C$2:$C$200),0))</f>
        <v/>
      </c>
      <c r="AQ216" s="88">
        <f>IF(OR(AQ$1="",$BE216=0),"",IFERROR(LOOKUP(2,1/((Budgets!$A$2:$A$200=AQ$1)*(Budgets!$B$2:$B$200&lt;=$A216)),Budgets!$C$2:$C$200),0))</f>
        <v/>
      </c>
      <c r="AR216" s="88">
        <f>IF(OR(AR$1="",$BE216=0),"",IFERROR(LOOKUP(2,1/((Budgets!$A$2:$A$200=AR$1)*(Budgets!$B$2:$B$200&lt;=$A216)),Budgets!$C$2:$C$200),0))</f>
        <v/>
      </c>
      <c r="AS216" s="88">
        <f>IF(OR(AS$1="",$BE216=0),"",IFERROR(LOOKUP(2,1/((Budgets!$A$2:$A$200=AS$1)*(Budgets!$B$2:$B$200&lt;=$A216)),Budgets!$C$2:$C$200),0))</f>
        <v/>
      </c>
      <c r="AT216" s="88">
        <f>IF(OR(AT$1="",$BE216=0),"",IFERROR(LOOKUP(2,1/((Budgets!$A$2:$A$200=AT$1)*(Budgets!$B$2:$B$200&lt;=$A216)),Budgets!$C$2:$C$200),0))</f>
        <v/>
      </c>
      <c r="AU216" s="88">
        <f>IF(OR(AU$1="",$BE216=0),"",IFERROR(LOOKUP(2,1/((Budgets!$A$2:$A$200=AU$1)*(Budgets!$B$2:$B$200&lt;=$A216)),Budgets!$C$2:$C$200),0))</f>
        <v/>
      </c>
      <c r="AV216" s="88">
        <f>IF(OR(AV$1="",$BE216=0),"",IFERROR(LOOKUP(2,1/((Budgets!$A$2:$A$200=AV$1)*(Budgets!$B$2:$B$200&lt;=$A216)),Budgets!$C$2:$C$200),0))</f>
        <v/>
      </c>
      <c r="AW216" s="88">
        <f>IF(OR(AW$1="",$BE216=0),"",IFERROR(LOOKUP(2,1/((Budgets!$A$2:$A$200=AW$1)*(Budgets!$B$2:$B$200&lt;=$A216)),Budgets!$C$2:$C$200),0))</f>
        <v/>
      </c>
      <c r="AX216" s="88">
        <f>IF(OR(AX$1="",$BE216=0),"",IFERROR(LOOKUP(2,1/((Budgets!$A$2:$A$200=AX$1)*(Budgets!$B$2:$B$200&lt;=$A216)),Budgets!$C$2:$C$200),0))</f>
        <v/>
      </c>
      <c r="AY216" s="88">
        <f>IF(OR(AY$1="",$BE216=0),"",IFERROR(LOOKUP(2,1/((Budgets!$A$2:$A$200=AY$1)*(Budgets!$B$2:$B$200&lt;=$A216)),Budgets!$C$2:$C$200),0))</f>
        <v/>
      </c>
      <c r="AZ216" s="88">
        <f>IF(OR(AZ$1="",$BE216=0),"",IFERROR(LOOKUP(2,1/((Budgets!$A$2:$A$200=AZ$1)*(Budgets!$B$2:$B$200&lt;=$A216)),Budgets!$C$2:$C$200),0))</f>
        <v/>
      </c>
      <c r="BA216" s="88">
        <f>IF(OR(BA$1="",$BE216=0),"",IFERROR(LOOKUP(2,1/((Budgets!$A$2:$A$200=BA$1)*(Budgets!$B$2:$B$200&lt;=$A216)),Budgets!$C$2:$C$200),0))</f>
        <v/>
      </c>
      <c r="BB216" s="88">
        <f>IF(OR(BB$1="",$BE216=0),"",IFERROR(LOOKUP(2,1/((Budgets!$A$2:$A$200=BB$1)*(Budgets!$B$2:$B$200&lt;=$A216)),Budgets!$C$2:$C$200),0))</f>
        <v/>
      </c>
      <c r="BC216" s="88">
        <f>IF(OR(BC$1="",$BE216=0),"",IFERROR(LOOKUP(2,1/((Budgets!$A$2:$A$200=BC$1)*(Budgets!$B$2:$B$200&lt;=$A216)),Budgets!$C$2:$C$200),0))</f>
        <v/>
      </c>
      <c r="BE216" s="67">
        <f>COUNTIFS(Entries!$A$2:$A$5000,$A216)</f>
        <v/>
      </c>
    </row>
    <row r="217" ht="15" customHeight="1" s="43">
      <c r="A217" s="87" t="n">
        <v>45992</v>
      </c>
      <c r="B217" s="88">
        <f>IF($BE217=0,NA(),SUMIFS(Entries!$D$2:$D$5000,Entries!$C$2:$C$5000,"Income",Entries!$A$2:$A$5000,$A217))</f>
        <v/>
      </c>
      <c r="C217" s="88">
        <f>IF($BE217=0,"",SUMIFS(Entries!$D$2:$D$5000,Entries!$C$2:$C$5000,"Actual",Entries!$A$2:$A$5000,$A217))</f>
        <v/>
      </c>
      <c r="D217" s="88">
        <f>IF($BE217=0,"",SUMIFS(Entries!$D$2:$D$5000,Entries!$C$2:$C$5000,"One-off",Entries!$A$2:$A$5000,$A217))</f>
        <v/>
      </c>
      <c r="E217" s="88">
        <f>IF($BE217=0,NA(),C217+D217)</f>
        <v/>
      </c>
      <c r="F217" s="88">
        <f>IF($BE217=0,"",SUM(AJ217:BC217))</f>
        <v/>
      </c>
      <c r="G217" s="88">
        <f>IF($BE217=0,"",B217-E217)</f>
        <v/>
      </c>
      <c r="H217" s="88">
        <f>IF($BE217=0,"",SUM($G$2:G217))</f>
        <v/>
      </c>
      <c r="I217" s="88">
        <f>IF($BE217=0,"",SUMIFS(Entries!$F$2:$F$5000,Entries!$A$2:$A$5000,$A217))</f>
        <v/>
      </c>
      <c r="J217" s="88">
        <f>IF($BE217=0,NA(),H217+SUM($I$2:I217))</f>
        <v/>
      </c>
      <c r="K217" s="88">
        <f>IF($BE217=0,"",SUMIFS(Entries!$D$2:$D$5000,Entries!$C$2:$C$5000,"Income",Entries!$A$2:$A$5000,"&gt;="&amp;EDATE($A217,-11),Entries!$A$2:$A$5000,"&lt;="&amp;$A217)/12)</f>
        <v/>
      </c>
      <c r="L217" s="88">
        <f>IF($BE217=0,"",(SUMIFS(Entries!$D$2:$D$5000,Entries!$C$2:$C$5000,"Actual",Entries!$A$2:$A$5000,"&gt;="&amp;EDATE($A217,-11),Entries!$A$2:$A$5000,"&lt;="&amp;$A217)+SUMIFS(Entries!$D$2:$D$5000,Entries!$C$2:$C$5000,"One-off",Entries!$A$2:$A$5000,"&gt;="&amp;EDATE($A217,-11),Entries!$A$2:$A$5000,"&lt;="&amp;$A217))/12)</f>
        <v/>
      </c>
      <c r="M217" s="70">
        <f>IF($BE217=0,NA(),IFERROR((K217-L217)/K217,0))</f>
        <v/>
      </c>
      <c r="O217" s="88">
        <f>IF(OR(O$1="",$BE217=0),"",SUMIFS(Entries!$D$2:$D$5000,Entries!$C$2:$C$5000,"Actual",Entries!$A$2:$A$5000,$A217,Entries!$B$2:$B$5000,O$1))</f>
        <v/>
      </c>
      <c r="P217" s="88">
        <f>IF(OR(P$1="",$BE217=0),"",SUMIFS(Entries!$D$2:$D$5000,Entries!$C$2:$C$5000,"Actual",Entries!$A$2:$A$5000,$A217,Entries!$B$2:$B$5000,P$1))</f>
        <v/>
      </c>
      <c r="Q217" s="88">
        <f>IF(OR(Q$1="",$BE217=0),"",SUMIFS(Entries!$D$2:$D$5000,Entries!$C$2:$C$5000,"Actual",Entries!$A$2:$A$5000,$A217,Entries!$B$2:$B$5000,Q$1))</f>
        <v/>
      </c>
      <c r="R217" s="88">
        <f>IF(OR(R$1="",$BE217=0),"",SUMIFS(Entries!$D$2:$D$5000,Entries!$C$2:$C$5000,"Actual",Entries!$A$2:$A$5000,$A217,Entries!$B$2:$B$5000,R$1))</f>
        <v/>
      </c>
      <c r="S217" s="88">
        <f>IF(OR(S$1="",$BE217=0),"",SUMIFS(Entries!$D$2:$D$5000,Entries!$C$2:$C$5000,"Actual",Entries!$A$2:$A$5000,$A217,Entries!$B$2:$B$5000,S$1))</f>
        <v/>
      </c>
      <c r="T217" s="88">
        <f>IF(OR(T$1="",$BE217=0),"",SUMIFS(Entries!$D$2:$D$5000,Entries!$C$2:$C$5000,"Actual",Entries!$A$2:$A$5000,$A217,Entries!$B$2:$B$5000,T$1))</f>
        <v/>
      </c>
      <c r="U217" s="88">
        <f>IF(OR(U$1="",$BE217=0),"",SUMIFS(Entries!$D$2:$D$5000,Entries!$C$2:$C$5000,"Actual",Entries!$A$2:$A$5000,$A217,Entries!$B$2:$B$5000,U$1))</f>
        <v/>
      </c>
      <c r="V217" s="88">
        <f>IF(OR(V$1="",$BE217=0),"",SUMIFS(Entries!$D$2:$D$5000,Entries!$C$2:$C$5000,"Actual",Entries!$A$2:$A$5000,$A217,Entries!$B$2:$B$5000,V$1))</f>
        <v/>
      </c>
      <c r="W217" s="88">
        <f>IF(OR(W$1="",$BE217=0),"",SUMIFS(Entries!$D$2:$D$5000,Entries!$C$2:$C$5000,"Actual",Entries!$A$2:$A$5000,$A217,Entries!$B$2:$B$5000,W$1))</f>
        <v/>
      </c>
      <c r="X217" s="88">
        <f>IF(OR(X$1="",$BE217=0),"",SUMIFS(Entries!$D$2:$D$5000,Entries!$C$2:$C$5000,"Actual",Entries!$A$2:$A$5000,$A217,Entries!$B$2:$B$5000,X$1))</f>
        <v/>
      </c>
      <c r="Y217" s="88">
        <f>IF(OR(Y$1="",$BE217=0),"",SUMIFS(Entries!$D$2:$D$5000,Entries!$C$2:$C$5000,"Actual",Entries!$A$2:$A$5000,$A217,Entries!$B$2:$B$5000,Y$1))</f>
        <v/>
      </c>
      <c r="Z217" s="88">
        <f>IF(OR(Z$1="",$BE217=0),"",SUMIFS(Entries!$D$2:$D$5000,Entries!$C$2:$C$5000,"Actual",Entries!$A$2:$A$5000,$A217,Entries!$B$2:$B$5000,Z$1))</f>
        <v/>
      </c>
      <c r="AA217" s="88">
        <f>IF(OR(AA$1="",$BE217=0),"",SUMIFS(Entries!$D$2:$D$5000,Entries!$C$2:$C$5000,"Actual",Entries!$A$2:$A$5000,$A217,Entries!$B$2:$B$5000,AA$1))</f>
        <v/>
      </c>
      <c r="AB217" s="88">
        <f>IF(OR(AB$1="",$BE217=0),"",SUMIFS(Entries!$D$2:$D$5000,Entries!$C$2:$C$5000,"Actual",Entries!$A$2:$A$5000,$A217,Entries!$B$2:$B$5000,AB$1))</f>
        <v/>
      </c>
      <c r="AC217" s="88">
        <f>IF(OR(AC$1="",$BE217=0),"",SUMIFS(Entries!$D$2:$D$5000,Entries!$C$2:$C$5000,"Actual",Entries!$A$2:$A$5000,$A217,Entries!$B$2:$B$5000,AC$1))</f>
        <v/>
      </c>
      <c r="AD217" s="88">
        <f>IF(OR(AD$1="",$BE217=0),"",SUMIFS(Entries!$D$2:$D$5000,Entries!$C$2:$C$5000,"Actual",Entries!$A$2:$A$5000,$A217,Entries!$B$2:$B$5000,AD$1))</f>
        <v/>
      </c>
      <c r="AE217" s="88">
        <f>IF(OR(AE$1="",$BE217=0),"",SUMIFS(Entries!$D$2:$D$5000,Entries!$C$2:$C$5000,"Actual",Entries!$A$2:$A$5000,$A217,Entries!$B$2:$B$5000,AE$1))</f>
        <v/>
      </c>
      <c r="AF217" s="88">
        <f>IF(OR(AF$1="",$BE217=0),"",SUMIFS(Entries!$D$2:$D$5000,Entries!$C$2:$C$5000,"Actual",Entries!$A$2:$A$5000,$A217,Entries!$B$2:$B$5000,AF$1))</f>
        <v/>
      </c>
      <c r="AG217" s="88">
        <f>IF(OR(AG$1="",$BE217=0),"",SUMIFS(Entries!$D$2:$D$5000,Entries!$C$2:$C$5000,"Actual",Entries!$A$2:$A$5000,$A217,Entries!$B$2:$B$5000,AG$1))</f>
        <v/>
      </c>
      <c r="AH217" s="88">
        <f>IF(OR(AH$1="",$BE217=0),"",SUMIFS(Entries!$D$2:$D$5000,Entries!$C$2:$C$5000,"Actual",Entries!$A$2:$A$5000,$A217,Entries!$B$2:$B$5000,AH$1))</f>
        <v/>
      </c>
      <c r="AJ217" s="88">
        <f>IF(OR(AJ$1="",$BE217=0),"",IFERROR(LOOKUP(2,1/((Budgets!$A$2:$A$200=AJ$1)*(Budgets!$B$2:$B$200&lt;=$A217)),Budgets!$C$2:$C$200),0))</f>
        <v/>
      </c>
      <c r="AK217" s="88">
        <f>IF(OR(AK$1="",$BE217=0),"",IFERROR(LOOKUP(2,1/((Budgets!$A$2:$A$200=AK$1)*(Budgets!$B$2:$B$200&lt;=$A217)),Budgets!$C$2:$C$200),0))</f>
        <v/>
      </c>
      <c r="AL217" s="88">
        <f>IF(OR(AL$1="",$BE217=0),"",IFERROR(LOOKUP(2,1/((Budgets!$A$2:$A$200=AL$1)*(Budgets!$B$2:$B$200&lt;=$A217)),Budgets!$C$2:$C$200),0))</f>
        <v/>
      </c>
      <c r="AM217" s="88">
        <f>IF(OR(AM$1="",$BE217=0),"",IFERROR(LOOKUP(2,1/((Budgets!$A$2:$A$200=AM$1)*(Budgets!$B$2:$B$200&lt;=$A217)),Budgets!$C$2:$C$200),0))</f>
        <v/>
      </c>
      <c r="AN217" s="88">
        <f>IF(OR(AN$1="",$BE217=0),"",IFERROR(LOOKUP(2,1/((Budgets!$A$2:$A$200=AN$1)*(Budgets!$B$2:$B$200&lt;=$A217)),Budgets!$C$2:$C$200),0))</f>
        <v/>
      </c>
      <c r="AO217" s="88">
        <f>IF(OR(AO$1="",$BE217=0),"",IFERROR(LOOKUP(2,1/((Budgets!$A$2:$A$200=AO$1)*(Budgets!$B$2:$B$200&lt;=$A217)),Budgets!$C$2:$C$200),0))</f>
        <v/>
      </c>
      <c r="AP217" s="88">
        <f>IF(OR(AP$1="",$BE217=0),"",IFERROR(LOOKUP(2,1/((Budgets!$A$2:$A$200=AP$1)*(Budgets!$B$2:$B$200&lt;=$A217)),Budgets!$C$2:$C$200),0))</f>
        <v/>
      </c>
      <c r="AQ217" s="88">
        <f>IF(OR(AQ$1="",$BE217=0),"",IFERROR(LOOKUP(2,1/((Budgets!$A$2:$A$200=AQ$1)*(Budgets!$B$2:$B$200&lt;=$A217)),Budgets!$C$2:$C$200),0))</f>
        <v/>
      </c>
      <c r="AR217" s="88">
        <f>IF(OR(AR$1="",$BE217=0),"",IFERROR(LOOKUP(2,1/((Budgets!$A$2:$A$200=AR$1)*(Budgets!$B$2:$B$200&lt;=$A217)),Budgets!$C$2:$C$200),0))</f>
        <v/>
      </c>
      <c r="AS217" s="88">
        <f>IF(OR(AS$1="",$BE217=0),"",IFERROR(LOOKUP(2,1/((Budgets!$A$2:$A$200=AS$1)*(Budgets!$B$2:$B$200&lt;=$A217)),Budgets!$C$2:$C$200),0))</f>
        <v/>
      </c>
      <c r="AT217" s="88">
        <f>IF(OR(AT$1="",$BE217=0),"",IFERROR(LOOKUP(2,1/((Budgets!$A$2:$A$200=AT$1)*(Budgets!$B$2:$B$200&lt;=$A217)),Budgets!$C$2:$C$200),0))</f>
        <v/>
      </c>
      <c r="AU217" s="88">
        <f>IF(OR(AU$1="",$BE217=0),"",IFERROR(LOOKUP(2,1/((Budgets!$A$2:$A$200=AU$1)*(Budgets!$B$2:$B$200&lt;=$A217)),Budgets!$C$2:$C$200),0))</f>
        <v/>
      </c>
      <c r="AV217" s="88">
        <f>IF(OR(AV$1="",$BE217=0),"",IFERROR(LOOKUP(2,1/((Budgets!$A$2:$A$200=AV$1)*(Budgets!$B$2:$B$200&lt;=$A217)),Budgets!$C$2:$C$200),0))</f>
        <v/>
      </c>
      <c r="AW217" s="88">
        <f>IF(OR(AW$1="",$BE217=0),"",IFERROR(LOOKUP(2,1/((Budgets!$A$2:$A$200=AW$1)*(Budgets!$B$2:$B$200&lt;=$A217)),Budgets!$C$2:$C$200),0))</f>
        <v/>
      </c>
      <c r="AX217" s="88">
        <f>IF(OR(AX$1="",$BE217=0),"",IFERROR(LOOKUP(2,1/((Budgets!$A$2:$A$200=AX$1)*(Budgets!$B$2:$B$200&lt;=$A217)),Budgets!$C$2:$C$200),0))</f>
        <v/>
      </c>
      <c r="AY217" s="88">
        <f>IF(OR(AY$1="",$BE217=0),"",IFERROR(LOOKUP(2,1/((Budgets!$A$2:$A$200=AY$1)*(Budgets!$B$2:$B$200&lt;=$A217)),Budgets!$C$2:$C$200),0))</f>
        <v/>
      </c>
      <c r="AZ217" s="88">
        <f>IF(OR(AZ$1="",$BE217=0),"",IFERROR(LOOKUP(2,1/((Budgets!$A$2:$A$200=AZ$1)*(Budgets!$B$2:$B$200&lt;=$A217)),Budgets!$C$2:$C$200),0))</f>
        <v/>
      </c>
      <c r="BA217" s="88">
        <f>IF(OR(BA$1="",$BE217=0),"",IFERROR(LOOKUP(2,1/((Budgets!$A$2:$A$200=BA$1)*(Budgets!$B$2:$B$200&lt;=$A217)),Budgets!$C$2:$C$200),0))</f>
        <v/>
      </c>
      <c r="BB217" s="88">
        <f>IF(OR(BB$1="",$BE217=0),"",IFERROR(LOOKUP(2,1/((Budgets!$A$2:$A$200=BB$1)*(Budgets!$B$2:$B$200&lt;=$A217)),Budgets!$C$2:$C$200),0))</f>
        <v/>
      </c>
      <c r="BC217" s="88">
        <f>IF(OR(BC$1="",$BE217=0),"",IFERROR(LOOKUP(2,1/((Budgets!$A$2:$A$200=BC$1)*(Budgets!$B$2:$B$200&lt;=$A217)),Budgets!$C$2:$C$200),0))</f>
        <v/>
      </c>
      <c r="BE217" s="67">
        <f>COUNTIFS(Entries!$A$2:$A$5000,$A217)</f>
        <v/>
      </c>
    </row>
    <row r="218" ht="15" customHeight="1" s="43">
      <c r="A218" s="87" t="n">
        <v>46023</v>
      </c>
      <c r="B218" s="88">
        <f>IF($BE218=0,NA(),SUMIFS(Entries!$D$2:$D$5000,Entries!$C$2:$C$5000,"Income",Entries!$A$2:$A$5000,$A218))</f>
        <v/>
      </c>
      <c r="C218" s="88">
        <f>IF($BE218=0,"",SUMIFS(Entries!$D$2:$D$5000,Entries!$C$2:$C$5000,"Actual",Entries!$A$2:$A$5000,$A218))</f>
        <v/>
      </c>
      <c r="D218" s="88">
        <f>IF($BE218=0,"",SUMIFS(Entries!$D$2:$D$5000,Entries!$C$2:$C$5000,"One-off",Entries!$A$2:$A$5000,$A218))</f>
        <v/>
      </c>
      <c r="E218" s="88">
        <f>IF($BE218=0,NA(),C218+D218)</f>
        <v/>
      </c>
      <c r="F218" s="88">
        <f>IF($BE218=0,"",SUM(AJ218:BC218))</f>
        <v/>
      </c>
      <c r="G218" s="88">
        <f>IF($BE218=0,"",B218-E218)</f>
        <v/>
      </c>
      <c r="H218" s="88">
        <f>IF($BE218=0,"",SUM($G$2:G218))</f>
        <v/>
      </c>
      <c r="I218" s="88">
        <f>IF($BE218=0,"",SUMIFS(Entries!$F$2:$F$5000,Entries!$A$2:$A$5000,$A218))</f>
        <v/>
      </c>
      <c r="J218" s="88">
        <f>IF($BE218=0,NA(),H218+SUM($I$2:I218))</f>
        <v/>
      </c>
      <c r="K218" s="88">
        <f>IF($BE218=0,"",SUMIFS(Entries!$D$2:$D$5000,Entries!$C$2:$C$5000,"Income",Entries!$A$2:$A$5000,"&gt;="&amp;EDATE($A218,-11),Entries!$A$2:$A$5000,"&lt;="&amp;$A218)/12)</f>
        <v/>
      </c>
      <c r="L218" s="88">
        <f>IF($BE218=0,"",(SUMIFS(Entries!$D$2:$D$5000,Entries!$C$2:$C$5000,"Actual",Entries!$A$2:$A$5000,"&gt;="&amp;EDATE($A218,-11),Entries!$A$2:$A$5000,"&lt;="&amp;$A218)+SUMIFS(Entries!$D$2:$D$5000,Entries!$C$2:$C$5000,"One-off",Entries!$A$2:$A$5000,"&gt;="&amp;EDATE($A218,-11),Entries!$A$2:$A$5000,"&lt;="&amp;$A218))/12)</f>
        <v/>
      </c>
      <c r="M218" s="70">
        <f>IF($BE218=0,NA(),IFERROR((K218-L218)/K218,0))</f>
        <v/>
      </c>
      <c r="O218" s="88">
        <f>IF(OR(O$1="",$BE218=0),"",SUMIFS(Entries!$D$2:$D$5000,Entries!$C$2:$C$5000,"Actual",Entries!$A$2:$A$5000,$A218,Entries!$B$2:$B$5000,O$1))</f>
        <v/>
      </c>
      <c r="P218" s="88">
        <f>IF(OR(P$1="",$BE218=0),"",SUMIFS(Entries!$D$2:$D$5000,Entries!$C$2:$C$5000,"Actual",Entries!$A$2:$A$5000,$A218,Entries!$B$2:$B$5000,P$1))</f>
        <v/>
      </c>
      <c r="Q218" s="88">
        <f>IF(OR(Q$1="",$BE218=0),"",SUMIFS(Entries!$D$2:$D$5000,Entries!$C$2:$C$5000,"Actual",Entries!$A$2:$A$5000,$A218,Entries!$B$2:$B$5000,Q$1))</f>
        <v/>
      </c>
      <c r="R218" s="88">
        <f>IF(OR(R$1="",$BE218=0),"",SUMIFS(Entries!$D$2:$D$5000,Entries!$C$2:$C$5000,"Actual",Entries!$A$2:$A$5000,$A218,Entries!$B$2:$B$5000,R$1))</f>
        <v/>
      </c>
      <c r="S218" s="88">
        <f>IF(OR(S$1="",$BE218=0),"",SUMIFS(Entries!$D$2:$D$5000,Entries!$C$2:$C$5000,"Actual",Entries!$A$2:$A$5000,$A218,Entries!$B$2:$B$5000,S$1))</f>
        <v/>
      </c>
      <c r="T218" s="88">
        <f>IF(OR(T$1="",$BE218=0),"",SUMIFS(Entries!$D$2:$D$5000,Entries!$C$2:$C$5000,"Actual",Entries!$A$2:$A$5000,$A218,Entries!$B$2:$B$5000,T$1))</f>
        <v/>
      </c>
      <c r="U218" s="88">
        <f>IF(OR(U$1="",$BE218=0),"",SUMIFS(Entries!$D$2:$D$5000,Entries!$C$2:$C$5000,"Actual",Entries!$A$2:$A$5000,$A218,Entries!$B$2:$B$5000,U$1))</f>
        <v/>
      </c>
      <c r="V218" s="88">
        <f>IF(OR(V$1="",$BE218=0),"",SUMIFS(Entries!$D$2:$D$5000,Entries!$C$2:$C$5000,"Actual",Entries!$A$2:$A$5000,$A218,Entries!$B$2:$B$5000,V$1))</f>
        <v/>
      </c>
      <c r="W218" s="88">
        <f>IF(OR(W$1="",$BE218=0),"",SUMIFS(Entries!$D$2:$D$5000,Entries!$C$2:$C$5000,"Actual",Entries!$A$2:$A$5000,$A218,Entries!$B$2:$B$5000,W$1))</f>
        <v/>
      </c>
      <c r="X218" s="88">
        <f>IF(OR(X$1="",$BE218=0),"",SUMIFS(Entries!$D$2:$D$5000,Entries!$C$2:$C$5000,"Actual",Entries!$A$2:$A$5000,$A218,Entries!$B$2:$B$5000,X$1))</f>
        <v/>
      </c>
      <c r="Y218" s="88">
        <f>IF(OR(Y$1="",$BE218=0),"",SUMIFS(Entries!$D$2:$D$5000,Entries!$C$2:$C$5000,"Actual",Entries!$A$2:$A$5000,$A218,Entries!$B$2:$B$5000,Y$1))</f>
        <v/>
      </c>
      <c r="Z218" s="88">
        <f>IF(OR(Z$1="",$BE218=0),"",SUMIFS(Entries!$D$2:$D$5000,Entries!$C$2:$C$5000,"Actual",Entries!$A$2:$A$5000,$A218,Entries!$B$2:$B$5000,Z$1))</f>
        <v/>
      </c>
      <c r="AA218" s="88">
        <f>IF(OR(AA$1="",$BE218=0),"",SUMIFS(Entries!$D$2:$D$5000,Entries!$C$2:$C$5000,"Actual",Entries!$A$2:$A$5000,$A218,Entries!$B$2:$B$5000,AA$1))</f>
        <v/>
      </c>
      <c r="AB218" s="88">
        <f>IF(OR(AB$1="",$BE218=0),"",SUMIFS(Entries!$D$2:$D$5000,Entries!$C$2:$C$5000,"Actual",Entries!$A$2:$A$5000,$A218,Entries!$B$2:$B$5000,AB$1))</f>
        <v/>
      </c>
      <c r="AC218" s="88">
        <f>IF(OR(AC$1="",$BE218=0),"",SUMIFS(Entries!$D$2:$D$5000,Entries!$C$2:$C$5000,"Actual",Entries!$A$2:$A$5000,$A218,Entries!$B$2:$B$5000,AC$1))</f>
        <v/>
      </c>
      <c r="AD218" s="88">
        <f>IF(OR(AD$1="",$BE218=0),"",SUMIFS(Entries!$D$2:$D$5000,Entries!$C$2:$C$5000,"Actual",Entries!$A$2:$A$5000,$A218,Entries!$B$2:$B$5000,AD$1))</f>
        <v/>
      </c>
      <c r="AE218" s="88">
        <f>IF(OR(AE$1="",$BE218=0),"",SUMIFS(Entries!$D$2:$D$5000,Entries!$C$2:$C$5000,"Actual",Entries!$A$2:$A$5000,$A218,Entries!$B$2:$B$5000,AE$1))</f>
        <v/>
      </c>
      <c r="AF218" s="88">
        <f>IF(OR(AF$1="",$BE218=0),"",SUMIFS(Entries!$D$2:$D$5000,Entries!$C$2:$C$5000,"Actual",Entries!$A$2:$A$5000,$A218,Entries!$B$2:$B$5000,AF$1))</f>
        <v/>
      </c>
      <c r="AG218" s="88">
        <f>IF(OR(AG$1="",$BE218=0),"",SUMIFS(Entries!$D$2:$D$5000,Entries!$C$2:$C$5000,"Actual",Entries!$A$2:$A$5000,$A218,Entries!$B$2:$B$5000,AG$1))</f>
        <v/>
      </c>
      <c r="AH218" s="88">
        <f>IF(OR(AH$1="",$BE218=0),"",SUMIFS(Entries!$D$2:$D$5000,Entries!$C$2:$C$5000,"Actual",Entries!$A$2:$A$5000,$A218,Entries!$B$2:$B$5000,AH$1))</f>
        <v/>
      </c>
      <c r="AJ218" s="88">
        <f>IF(OR(AJ$1="",$BE218=0),"",IFERROR(LOOKUP(2,1/((Budgets!$A$2:$A$200=AJ$1)*(Budgets!$B$2:$B$200&lt;=$A218)),Budgets!$C$2:$C$200),0))</f>
        <v/>
      </c>
      <c r="AK218" s="88">
        <f>IF(OR(AK$1="",$BE218=0),"",IFERROR(LOOKUP(2,1/((Budgets!$A$2:$A$200=AK$1)*(Budgets!$B$2:$B$200&lt;=$A218)),Budgets!$C$2:$C$200),0))</f>
        <v/>
      </c>
      <c r="AL218" s="88">
        <f>IF(OR(AL$1="",$BE218=0),"",IFERROR(LOOKUP(2,1/((Budgets!$A$2:$A$200=AL$1)*(Budgets!$B$2:$B$200&lt;=$A218)),Budgets!$C$2:$C$200),0))</f>
        <v/>
      </c>
      <c r="AM218" s="88">
        <f>IF(OR(AM$1="",$BE218=0),"",IFERROR(LOOKUP(2,1/((Budgets!$A$2:$A$200=AM$1)*(Budgets!$B$2:$B$200&lt;=$A218)),Budgets!$C$2:$C$200),0))</f>
        <v/>
      </c>
      <c r="AN218" s="88">
        <f>IF(OR(AN$1="",$BE218=0),"",IFERROR(LOOKUP(2,1/((Budgets!$A$2:$A$200=AN$1)*(Budgets!$B$2:$B$200&lt;=$A218)),Budgets!$C$2:$C$200),0))</f>
        <v/>
      </c>
      <c r="AO218" s="88">
        <f>IF(OR(AO$1="",$BE218=0),"",IFERROR(LOOKUP(2,1/((Budgets!$A$2:$A$200=AO$1)*(Budgets!$B$2:$B$200&lt;=$A218)),Budgets!$C$2:$C$200),0))</f>
        <v/>
      </c>
      <c r="AP218" s="88">
        <f>IF(OR(AP$1="",$BE218=0),"",IFERROR(LOOKUP(2,1/((Budgets!$A$2:$A$200=AP$1)*(Budgets!$B$2:$B$200&lt;=$A218)),Budgets!$C$2:$C$200),0))</f>
        <v/>
      </c>
      <c r="AQ218" s="88">
        <f>IF(OR(AQ$1="",$BE218=0),"",IFERROR(LOOKUP(2,1/((Budgets!$A$2:$A$200=AQ$1)*(Budgets!$B$2:$B$200&lt;=$A218)),Budgets!$C$2:$C$200),0))</f>
        <v/>
      </c>
      <c r="AR218" s="88">
        <f>IF(OR(AR$1="",$BE218=0),"",IFERROR(LOOKUP(2,1/((Budgets!$A$2:$A$200=AR$1)*(Budgets!$B$2:$B$200&lt;=$A218)),Budgets!$C$2:$C$200),0))</f>
        <v/>
      </c>
      <c r="AS218" s="88">
        <f>IF(OR(AS$1="",$BE218=0),"",IFERROR(LOOKUP(2,1/((Budgets!$A$2:$A$200=AS$1)*(Budgets!$B$2:$B$200&lt;=$A218)),Budgets!$C$2:$C$200),0))</f>
        <v/>
      </c>
      <c r="AT218" s="88">
        <f>IF(OR(AT$1="",$BE218=0),"",IFERROR(LOOKUP(2,1/((Budgets!$A$2:$A$200=AT$1)*(Budgets!$B$2:$B$200&lt;=$A218)),Budgets!$C$2:$C$200),0))</f>
        <v/>
      </c>
      <c r="AU218" s="88">
        <f>IF(OR(AU$1="",$BE218=0),"",IFERROR(LOOKUP(2,1/((Budgets!$A$2:$A$200=AU$1)*(Budgets!$B$2:$B$200&lt;=$A218)),Budgets!$C$2:$C$200),0))</f>
        <v/>
      </c>
      <c r="AV218" s="88">
        <f>IF(OR(AV$1="",$BE218=0),"",IFERROR(LOOKUP(2,1/((Budgets!$A$2:$A$200=AV$1)*(Budgets!$B$2:$B$200&lt;=$A218)),Budgets!$C$2:$C$200),0))</f>
        <v/>
      </c>
      <c r="AW218" s="88">
        <f>IF(OR(AW$1="",$BE218=0),"",IFERROR(LOOKUP(2,1/((Budgets!$A$2:$A$200=AW$1)*(Budgets!$B$2:$B$200&lt;=$A218)),Budgets!$C$2:$C$200),0))</f>
        <v/>
      </c>
      <c r="AX218" s="88">
        <f>IF(OR(AX$1="",$BE218=0),"",IFERROR(LOOKUP(2,1/((Budgets!$A$2:$A$200=AX$1)*(Budgets!$B$2:$B$200&lt;=$A218)),Budgets!$C$2:$C$200),0))</f>
        <v/>
      </c>
      <c r="AY218" s="88">
        <f>IF(OR(AY$1="",$BE218=0),"",IFERROR(LOOKUP(2,1/((Budgets!$A$2:$A$200=AY$1)*(Budgets!$B$2:$B$200&lt;=$A218)),Budgets!$C$2:$C$200),0))</f>
        <v/>
      </c>
      <c r="AZ218" s="88">
        <f>IF(OR(AZ$1="",$BE218=0),"",IFERROR(LOOKUP(2,1/((Budgets!$A$2:$A$200=AZ$1)*(Budgets!$B$2:$B$200&lt;=$A218)),Budgets!$C$2:$C$200),0))</f>
        <v/>
      </c>
      <c r="BA218" s="88">
        <f>IF(OR(BA$1="",$BE218=0),"",IFERROR(LOOKUP(2,1/((Budgets!$A$2:$A$200=BA$1)*(Budgets!$B$2:$B$200&lt;=$A218)),Budgets!$C$2:$C$200),0))</f>
        <v/>
      </c>
      <c r="BB218" s="88">
        <f>IF(OR(BB$1="",$BE218=0),"",IFERROR(LOOKUP(2,1/((Budgets!$A$2:$A$200=BB$1)*(Budgets!$B$2:$B$200&lt;=$A218)),Budgets!$C$2:$C$200),0))</f>
        <v/>
      </c>
      <c r="BC218" s="88">
        <f>IF(OR(BC$1="",$BE218=0),"",IFERROR(LOOKUP(2,1/((Budgets!$A$2:$A$200=BC$1)*(Budgets!$B$2:$B$200&lt;=$A218)),Budgets!$C$2:$C$200),0))</f>
        <v/>
      </c>
      <c r="BE218" s="67">
        <f>COUNTIFS(Entries!$A$2:$A$5000,$A218)</f>
        <v/>
      </c>
    </row>
    <row r="219" ht="15" customHeight="1" s="43">
      <c r="A219" s="87" t="n">
        <v>46054</v>
      </c>
      <c r="B219" s="88">
        <f>IF($BE219=0,NA(),SUMIFS(Entries!$D$2:$D$5000,Entries!$C$2:$C$5000,"Income",Entries!$A$2:$A$5000,$A219))</f>
        <v/>
      </c>
      <c r="C219" s="88">
        <f>IF($BE219=0,"",SUMIFS(Entries!$D$2:$D$5000,Entries!$C$2:$C$5000,"Actual",Entries!$A$2:$A$5000,$A219))</f>
        <v/>
      </c>
      <c r="D219" s="88">
        <f>IF($BE219=0,"",SUMIFS(Entries!$D$2:$D$5000,Entries!$C$2:$C$5000,"One-off",Entries!$A$2:$A$5000,$A219))</f>
        <v/>
      </c>
      <c r="E219" s="88">
        <f>IF($BE219=0,NA(),C219+D219)</f>
        <v/>
      </c>
      <c r="F219" s="88">
        <f>IF($BE219=0,"",SUM(AJ219:BC219))</f>
        <v/>
      </c>
      <c r="G219" s="88">
        <f>IF($BE219=0,"",B219-E219)</f>
        <v/>
      </c>
      <c r="H219" s="88">
        <f>IF($BE219=0,"",SUM($G$2:G219))</f>
        <v/>
      </c>
      <c r="I219" s="88">
        <f>IF($BE219=0,"",SUMIFS(Entries!$F$2:$F$5000,Entries!$A$2:$A$5000,$A219))</f>
        <v/>
      </c>
      <c r="J219" s="88">
        <f>IF($BE219=0,NA(),H219+SUM($I$2:I219))</f>
        <v/>
      </c>
      <c r="K219" s="88">
        <f>IF($BE219=0,"",SUMIFS(Entries!$D$2:$D$5000,Entries!$C$2:$C$5000,"Income",Entries!$A$2:$A$5000,"&gt;="&amp;EDATE($A219,-11),Entries!$A$2:$A$5000,"&lt;="&amp;$A219)/12)</f>
        <v/>
      </c>
      <c r="L219" s="88">
        <f>IF($BE219=0,"",(SUMIFS(Entries!$D$2:$D$5000,Entries!$C$2:$C$5000,"Actual",Entries!$A$2:$A$5000,"&gt;="&amp;EDATE($A219,-11),Entries!$A$2:$A$5000,"&lt;="&amp;$A219)+SUMIFS(Entries!$D$2:$D$5000,Entries!$C$2:$C$5000,"One-off",Entries!$A$2:$A$5000,"&gt;="&amp;EDATE($A219,-11),Entries!$A$2:$A$5000,"&lt;="&amp;$A219))/12)</f>
        <v/>
      </c>
      <c r="M219" s="70">
        <f>IF($BE219=0,NA(),IFERROR((K219-L219)/K219,0))</f>
        <v/>
      </c>
      <c r="O219" s="88">
        <f>IF(OR(O$1="",$BE219=0),"",SUMIFS(Entries!$D$2:$D$5000,Entries!$C$2:$C$5000,"Actual",Entries!$A$2:$A$5000,$A219,Entries!$B$2:$B$5000,O$1))</f>
        <v/>
      </c>
      <c r="P219" s="88">
        <f>IF(OR(P$1="",$BE219=0),"",SUMIFS(Entries!$D$2:$D$5000,Entries!$C$2:$C$5000,"Actual",Entries!$A$2:$A$5000,$A219,Entries!$B$2:$B$5000,P$1))</f>
        <v/>
      </c>
      <c r="Q219" s="88">
        <f>IF(OR(Q$1="",$BE219=0),"",SUMIFS(Entries!$D$2:$D$5000,Entries!$C$2:$C$5000,"Actual",Entries!$A$2:$A$5000,$A219,Entries!$B$2:$B$5000,Q$1))</f>
        <v/>
      </c>
      <c r="R219" s="88">
        <f>IF(OR(R$1="",$BE219=0),"",SUMIFS(Entries!$D$2:$D$5000,Entries!$C$2:$C$5000,"Actual",Entries!$A$2:$A$5000,$A219,Entries!$B$2:$B$5000,R$1))</f>
        <v/>
      </c>
      <c r="S219" s="88">
        <f>IF(OR(S$1="",$BE219=0),"",SUMIFS(Entries!$D$2:$D$5000,Entries!$C$2:$C$5000,"Actual",Entries!$A$2:$A$5000,$A219,Entries!$B$2:$B$5000,S$1))</f>
        <v/>
      </c>
      <c r="T219" s="88">
        <f>IF(OR(T$1="",$BE219=0),"",SUMIFS(Entries!$D$2:$D$5000,Entries!$C$2:$C$5000,"Actual",Entries!$A$2:$A$5000,$A219,Entries!$B$2:$B$5000,T$1))</f>
        <v/>
      </c>
      <c r="U219" s="88">
        <f>IF(OR(U$1="",$BE219=0),"",SUMIFS(Entries!$D$2:$D$5000,Entries!$C$2:$C$5000,"Actual",Entries!$A$2:$A$5000,$A219,Entries!$B$2:$B$5000,U$1))</f>
        <v/>
      </c>
      <c r="V219" s="88">
        <f>IF(OR(V$1="",$BE219=0),"",SUMIFS(Entries!$D$2:$D$5000,Entries!$C$2:$C$5000,"Actual",Entries!$A$2:$A$5000,$A219,Entries!$B$2:$B$5000,V$1))</f>
        <v/>
      </c>
      <c r="W219" s="88">
        <f>IF(OR(W$1="",$BE219=0),"",SUMIFS(Entries!$D$2:$D$5000,Entries!$C$2:$C$5000,"Actual",Entries!$A$2:$A$5000,$A219,Entries!$B$2:$B$5000,W$1))</f>
        <v/>
      </c>
      <c r="X219" s="88">
        <f>IF(OR(X$1="",$BE219=0),"",SUMIFS(Entries!$D$2:$D$5000,Entries!$C$2:$C$5000,"Actual",Entries!$A$2:$A$5000,$A219,Entries!$B$2:$B$5000,X$1))</f>
        <v/>
      </c>
      <c r="Y219" s="88">
        <f>IF(OR(Y$1="",$BE219=0),"",SUMIFS(Entries!$D$2:$D$5000,Entries!$C$2:$C$5000,"Actual",Entries!$A$2:$A$5000,$A219,Entries!$B$2:$B$5000,Y$1))</f>
        <v/>
      </c>
      <c r="Z219" s="88">
        <f>IF(OR(Z$1="",$BE219=0),"",SUMIFS(Entries!$D$2:$D$5000,Entries!$C$2:$C$5000,"Actual",Entries!$A$2:$A$5000,$A219,Entries!$B$2:$B$5000,Z$1))</f>
        <v/>
      </c>
      <c r="AA219" s="88">
        <f>IF(OR(AA$1="",$BE219=0),"",SUMIFS(Entries!$D$2:$D$5000,Entries!$C$2:$C$5000,"Actual",Entries!$A$2:$A$5000,$A219,Entries!$B$2:$B$5000,AA$1))</f>
        <v/>
      </c>
      <c r="AB219" s="88">
        <f>IF(OR(AB$1="",$BE219=0),"",SUMIFS(Entries!$D$2:$D$5000,Entries!$C$2:$C$5000,"Actual",Entries!$A$2:$A$5000,$A219,Entries!$B$2:$B$5000,AB$1))</f>
        <v/>
      </c>
      <c r="AC219" s="88">
        <f>IF(OR(AC$1="",$BE219=0),"",SUMIFS(Entries!$D$2:$D$5000,Entries!$C$2:$C$5000,"Actual",Entries!$A$2:$A$5000,$A219,Entries!$B$2:$B$5000,AC$1))</f>
        <v/>
      </c>
      <c r="AD219" s="88">
        <f>IF(OR(AD$1="",$BE219=0),"",SUMIFS(Entries!$D$2:$D$5000,Entries!$C$2:$C$5000,"Actual",Entries!$A$2:$A$5000,$A219,Entries!$B$2:$B$5000,AD$1))</f>
        <v/>
      </c>
      <c r="AE219" s="88">
        <f>IF(OR(AE$1="",$BE219=0),"",SUMIFS(Entries!$D$2:$D$5000,Entries!$C$2:$C$5000,"Actual",Entries!$A$2:$A$5000,$A219,Entries!$B$2:$B$5000,AE$1))</f>
        <v/>
      </c>
      <c r="AF219" s="88">
        <f>IF(OR(AF$1="",$BE219=0),"",SUMIFS(Entries!$D$2:$D$5000,Entries!$C$2:$C$5000,"Actual",Entries!$A$2:$A$5000,$A219,Entries!$B$2:$B$5000,AF$1))</f>
        <v/>
      </c>
      <c r="AG219" s="88">
        <f>IF(OR(AG$1="",$BE219=0),"",SUMIFS(Entries!$D$2:$D$5000,Entries!$C$2:$C$5000,"Actual",Entries!$A$2:$A$5000,$A219,Entries!$B$2:$B$5000,AG$1))</f>
        <v/>
      </c>
      <c r="AH219" s="88">
        <f>IF(OR(AH$1="",$BE219=0),"",SUMIFS(Entries!$D$2:$D$5000,Entries!$C$2:$C$5000,"Actual",Entries!$A$2:$A$5000,$A219,Entries!$B$2:$B$5000,AH$1))</f>
        <v/>
      </c>
      <c r="AJ219" s="88">
        <f>IF(OR(AJ$1="",$BE219=0),"",IFERROR(LOOKUP(2,1/((Budgets!$A$2:$A$200=AJ$1)*(Budgets!$B$2:$B$200&lt;=$A219)),Budgets!$C$2:$C$200),0))</f>
        <v/>
      </c>
      <c r="AK219" s="88">
        <f>IF(OR(AK$1="",$BE219=0),"",IFERROR(LOOKUP(2,1/((Budgets!$A$2:$A$200=AK$1)*(Budgets!$B$2:$B$200&lt;=$A219)),Budgets!$C$2:$C$200),0))</f>
        <v/>
      </c>
      <c r="AL219" s="88">
        <f>IF(OR(AL$1="",$BE219=0),"",IFERROR(LOOKUP(2,1/((Budgets!$A$2:$A$200=AL$1)*(Budgets!$B$2:$B$200&lt;=$A219)),Budgets!$C$2:$C$200),0))</f>
        <v/>
      </c>
      <c r="AM219" s="88">
        <f>IF(OR(AM$1="",$BE219=0),"",IFERROR(LOOKUP(2,1/((Budgets!$A$2:$A$200=AM$1)*(Budgets!$B$2:$B$200&lt;=$A219)),Budgets!$C$2:$C$200),0))</f>
        <v/>
      </c>
      <c r="AN219" s="88">
        <f>IF(OR(AN$1="",$BE219=0),"",IFERROR(LOOKUP(2,1/((Budgets!$A$2:$A$200=AN$1)*(Budgets!$B$2:$B$200&lt;=$A219)),Budgets!$C$2:$C$200),0))</f>
        <v/>
      </c>
      <c r="AO219" s="88">
        <f>IF(OR(AO$1="",$BE219=0),"",IFERROR(LOOKUP(2,1/((Budgets!$A$2:$A$200=AO$1)*(Budgets!$B$2:$B$200&lt;=$A219)),Budgets!$C$2:$C$200),0))</f>
        <v/>
      </c>
      <c r="AP219" s="88">
        <f>IF(OR(AP$1="",$BE219=0),"",IFERROR(LOOKUP(2,1/((Budgets!$A$2:$A$200=AP$1)*(Budgets!$B$2:$B$200&lt;=$A219)),Budgets!$C$2:$C$200),0))</f>
        <v/>
      </c>
      <c r="AQ219" s="88">
        <f>IF(OR(AQ$1="",$BE219=0),"",IFERROR(LOOKUP(2,1/((Budgets!$A$2:$A$200=AQ$1)*(Budgets!$B$2:$B$200&lt;=$A219)),Budgets!$C$2:$C$200),0))</f>
        <v/>
      </c>
      <c r="AR219" s="88">
        <f>IF(OR(AR$1="",$BE219=0),"",IFERROR(LOOKUP(2,1/((Budgets!$A$2:$A$200=AR$1)*(Budgets!$B$2:$B$200&lt;=$A219)),Budgets!$C$2:$C$200),0))</f>
        <v/>
      </c>
      <c r="AS219" s="88">
        <f>IF(OR(AS$1="",$BE219=0),"",IFERROR(LOOKUP(2,1/((Budgets!$A$2:$A$200=AS$1)*(Budgets!$B$2:$B$200&lt;=$A219)),Budgets!$C$2:$C$200),0))</f>
        <v/>
      </c>
      <c r="AT219" s="88">
        <f>IF(OR(AT$1="",$BE219=0),"",IFERROR(LOOKUP(2,1/((Budgets!$A$2:$A$200=AT$1)*(Budgets!$B$2:$B$200&lt;=$A219)),Budgets!$C$2:$C$200),0))</f>
        <v/>
      </c>
      <c r="AU219" s="88">
        <f>IF(OR(AU$1="",$BE219=0),"",IFERROR(LOOKUP(2,1/((Budgets!$A$2:$A$200=AU$1)*(Budgets!$B$2:$B$200&lt;=$A219)),Budgets!$C$2:$C$200),0))</f>
        <v/>
      </c>
      <c r="AV219" s="88">
        <f>IF(OR(AV$1="",$BE219=0),"",IFERROR(LOOKUP(2,1/((Budgets!$A$2:$A$200=AV$1)*(Budgets!$B$2:$B$200&lt;=$A219)),Budgets!$C$2:$C$200),0))</f>
        <v/>
      </c>
      <c r="AW219" s="88">
        <f>IF(OR(AW$1="",$BE219=0),"",IFERROR(LOOKUP(2,1/((Budgets!$A$2:$A$200=AW$1)*(Budgets!$B$2:$B$200&lt;=$A219)),Budgets!$C$2:$C$200),0))</f>
        <v/>
      </c>
      <c r="AX219" s="88">
        <f>IF(OR(AX$1="",$BE219=0),"",IFERROR(LOOKUP(2,1/((Budgets!$A$2:$A$200=AX$1)*(Budgets!$B$2:$B$200&lt;=$A219)),Budgets!$C$2:$C$200),0))</f>
        <v/>
      </c>
      <c r="AY219" s="88">
        <f>IF(OR(AY$1="",$BE219=0),"",IFERROR(LOOKUP(2,1/((Budgets!$A$2:$A$200=AY$1)*(Budgets!$B$2:$B$200&lt;=$A219)),Budgets!$C$2:$C$200),0))</f>
        <v/>
      </c>
      <c r="AZ219" s="88">
        <f>IF(OR(AZ$1="",$BE219=0),"",IFERROR(LOOKUP(2,1/((Budgets!$A$2:$A$200=AZ$1)*(Budgets!$B$2:$B$200&lt;=$A219)),Budgets!$C$2:$C$200),0))</f>
        <v/>
      </c>
      <c r="BA219" s="88">
        <f>IF(OR(BA$1="",$BE219=0),"",IFERROR(LOOKUP(2,1/((Budgets!$A$2:$A$200=BA$1)*(Budgets!$B$2:$B$200&lt;=$A219)),Budgets!$C$2:$C$200),0))</f>
        <v/>
      </c>
      <c r="BB219" s="88">
        <f>IF(OR(BB$1="",$BE219=0),"",IFERROR(LOOKUP(2,1/((Budgets!$A$2:$A$200=BB$1)*(Budgets!$B$2:$B$200&lt;=$A219)),Budgets!$C$2:$C$200),0))</f>
        <v/>
      </c>
      <c r="BC219" s="88">
        <f>IF(OR(BC$1="",$BE219=0),"",IFERROR(LOOKUP(2,1/((Budgets!$A$2:$A$200=BC$1)*(Budgets!$B$2:$B$200&lt;=$A219)),Budgets!$C$2:$C$200),0))</f>
        <v/>
      </c>
      <c r="BE219" s="67">
        <f>COUNTIFS(Entries!$A$2:$A$5000,$A219)</f>
        <v/>
      </c>
    </row>
    <row r="220" ht="15" customHeight="1" s="43">
      <c r="A220" s="87" t="n">
        <v>46082</v>
      </c>
      <c r="B220" s="88">
        <f>IF($BE220=0,NA(),SUMIFS(Entries!$D$2:$D$5000,Entries!$C$2:$C$5000,"Income",Entries!$A$2:$A$5000,$A220))</f>
        <v/>
      </c>
      <c r="C220" s="88">
        <f>IF($BE220=0,"",SUMIFS(Entries!$D$2:$D$5000,Entries!$C$2:$C$5000,"Actual",Entries!$A$2:$A$5000,$A220))</f>
        <v/>
      </c>
      <c r="D220" s="88">
        <f>IF($BE220=0,"",SUMIFS(Entries!$D$2:$D$5000,Entries!$C$2:$C$5000,"One-off",Entries!$A$2:$A$5000,$A220))</f>
        <v/>
      </c>
      <c r="E220" s="88">
        <f>IF($BE220=0,NA(),C220+D220)</f>
        <v/>
      </c>
      <c r="F220" s="88">
        <f>IF($BE220=0,"",SUM(AJ220:BC220))</f>
        <v/>
      </c>
      <c r="G220" s="88">
        <f>IF($BE220=0,"",B220-E220)</f>
        <v/>
      </c>
      <c r="H220" s="88">
        <f>IF($BE220=0,"",SUM($G$2:G220))</f>
        <v/>
      </c>
      <c r="I220" s="88">
        <f>IF($BE220=0,"",SUMIFS(Entries!$F$2:$F$5000,Entries!$A$2:$A$5000,$A220))</f>
        <v/>
      </c>
      <c r="J220" s="88">
        <f>IF($BE220=0,NA(),H220+SUM($I$2:I220))</f>
        <v/>
      </c>
      <c r="K220" s="88">
        <f>IF($BE220=0,"",SUMIFS(Entries!$D$2:$D$5000,Entries!$C$2:$C$5000,"Income",Entries!$A$2:$A$5000,"&gt;="&amp;EDATE($A220,-11),Entries!$A$2:$A$5000,"&lt;="&amp;$A220)/12)</f>
        <v/>
      </c>
      <c r="L220" s="88">
        <f>IF($BE220=0,"",(SUMIFS(Entries!$D$2:$D$5000,Entries!$C$2:$C$5000,"Actual",Entries!$A$2:$A$5000,"&gt;="&amp;EDATE($A220,-11),Entries!$A$2:$A$5000,"&lt;="&amp;$A220)+SUMIFS(Entries!$D$2:$D$5000,Entries!$C$2:$C$5000,"One-off",Entries!$A$2:$A$5000,"&gt;="&amp;EDATE($A220,-11),Entries!$A$2:$A$5000,"&lt;="&amp;$A220))/12)</f>
        <v/>
      </c>
      <c r="M220" s="70">
        <f>IF($BE220=0,NA(),IFERROR((K220-L220)/K220,0))</f>
        <v/>
      </c>
      <c r="O220" s="88">
        <f>IF(OR(O$1="",$BE220=0),"",SUMIFS(Entries!$D$2:$D$5000,Entries!$C$2:$C$5000,"Actual",Entries!$A$2:$A$5000,$A220,Entries!$B$2:$B$5000,O$1))</f>
        <v/>
      </c>
      <c r="P220" s="88">
        <f>IF(OR(P$1="",$BE220=0),"",SUMIFS(Entries!$D$2:$D$5000,Entries!$C$2:$C$5000,"Actual",Entries!$A$2:$A$5000,$A220,Entries!$B$2:$B$5000,P$1))</f>
        <v/>
      </c>
      <c r="Q220" s="88">
        <f>IF(OR(Q$1="",$BE220=0),"",SUMIFS(Entries!$D$2:$D$5000,Entries!$C$2:$C$5000,"Actual",Entries!$A$2:$A$5000,$A220,Entries!$B$2:$B$5000,Q$1))</f>
        <v/>
      </c>
      <c r="R220" s="88">
        <f>IF(OR(R$1="",$BE220=0),"",SUMIFS(Entries!$D$2:$D$5000,Entries!$C$2:$C$5000,"Actual",Entries!$A$2:$A$5000,$A220,Entries!$B$2:$B$5000,R$1))</f>
        <v/>
      </c>
      <c r="S220" s="88">
        <f>IF(OR(S$1="",$BE220=0),"",SUMIFS(Entries!$D$2:$D$5000,Entries!$C$2:$C$5000,"Actual",Entries!$A$2:$A$5000,$A220,Entries!$B$2:$B$5000,S$1))</f>
        <v/>
      </c>
      <c r="T220" s="88">
        <f>IF(OR(T$1="",$BE220=0),"",SUMIFS(Entries!$D$2:$D$5000,Entries!$C$2:$C$5000,"Actual",Entries!$A$2:$A$5000,$A220,Entries!$B$2:$B$5000,T$1))</f>
        <v/>
      </c>
      <c r="U220" s="88">
        <f>IF(OR(U$1="",$BE220=0),"",SUMIFS(Entries!$D$2:$D$5000,Entries!$C$2:$C$5000,"Actual",Entries!$A$2:$A$5000,$A220,Entries!$B$2:$B$5000,U$1))</f>
        <v/>
      </c>
      <c r="V220" s="88">
        <f>IF(OR(V$1="",$BE220=0),"",SUMIFS(Entries!$D$2:$D$5000,Entries!$C$2:$C$5000,"Actual",Entries!$A$2:$A$5000,$A220,Entries!$B$2:$B$5000,V$1))</f>
        <v/>
      </c>
      <c r="W220" s="88">
        <f>IF(OR(W$1="",$BE220=0),"",SUMIFS(Entries!$D$2:$D$5000,Entries!$C$2:$C$5000,"Actual",Entries!$A$2:$A$5000,$A220,Entries!$B$2:$B$5000,W$1))</f>
        <v/>
      </c>
      <c r="X220" s="88">
        <f>IF(OR(X$1="",$BE220=0),"",SUMIFS(Entries!$D$2:$D$5000,Entries!$C$2:$C$5000,"Actual",Entries!$A$2:$A$5000,$A220,Entries!$B$2:$B$5000,X$1))</f>
        <v/>
      </c>
      <c r="Y220" s="88">
        <f>IF(OR(Y$1="",$BE220=0),"",SUMIFS(Entries!$D$2:$D$5000,Entries!$C$2:$C$5000,"Actual",Entries!$A$2:$A$5000,$A220,Entries!$B$2:$B$5000,Y$1))</f>
        <v/>
      </c>
      <c r="Z220" s="88">
        <f>IF(OR(Z$1="",$BE220=0),"",SUMIFS(Entries!$D$2:$D$5000,Entries!$C$2:$C$5000,"Actual",Entries!$A$2:$A$5000,$A220,Entries!$B$2:$B$5000,Z$1))</f>
        <v/>
      </c>
      <c r="AA220" s="88">
        <f>IF(OR(AA$1="",$BE220=0),"",SUMIFS(Entries!$D$2:$D$5000,Entries!$C$2:$C$5000,"Actual",Entries!$A$2:$A$5000,$A220,Entries!$B$2:$B$5000,AA$1))</f>
        <v/>
      </c>
      <c r="AB220" s="88">
        <f>IF(OR(AB$1="",$BE220=0),"",SUMIFS(Entries!$D$2:$D$5000,Entries!$C$2:$C$5000,"Actual",Entries!$A$2:$A$5000,$A220,Entries!$B$2:$B$5000,AB$1))</f>
        <v/>
      </c>
      <c r="AC220" s="88">
        <f>IF(OR(AC$1="",$BE220=0),"",SUMIFS(Entries!$D$2:$D$5000,Entries!$C$2:$C$5000,"Actual",Entries!$A$2:$A$5000,$A220,Entries!$B$2:$B$5000,AC$1))</f>
        <v/>
      </c>
      <c r="AD220" s="88">
        <f>IF(OR(AD$1="",$BE220=0),"",SUMIFS(Entries!$D$2:$D$5000,Entries!$C$2:$C$5000,"Actual",Entries!$A$2:$A$5000,$A220,Entries!$B$2:$B$5000,AD$1))</f>
        <v/>
      </c>
      <c r="AE220" s="88">
        <f>IF(OR(AE$1="",$BE220=0),"",SUMIFS(Entries!$D$2:$D$5000,Entries!$C$2:$C$5000,"Actual",Entries!$A$2:$A$5000,$A220,Entries!$B$2:$B$5000,AE$1))</f>
        <v/>
      </c>
      <c r="AF220" s="88">
        <f>IF(OR(AF$1="",$BE220=0),"",SUMIFS(Entries!$D$2:$D$5000,Entries!$C$2:$C$5000,"Actual",Entries!$A$2:$A$5000,$A220,Entries!$B$2:$B$5000,AF$1))</f>
        <v/>
      </c>
      <c r="AG220" s="88">
        <f>IF(OR(AG$1="",$BE220=0),"",SUMIFS(Entries!$D$2:$D$5000,Entries!$C$2:$C$5000,"Actual",Entries!$A$2:$A$5000,$A220,Entries!$B$2:$B$5000,AG$1))</f>
        <v/>
      </c>
      <c r="AH220" s="88">
        <f>IF(OR(AH$1="",$BE220=0),"",SUMIFS(Entries!$D$2:$D$5000,Entries!$C$2:$C$5000,"Actual",Entries!$A$2:$A$5000,$A220,Entries!$B$2:$B$5000,AH$1))</f>
        <v/>
      </c>
      <c r="AJ220" s="88">
        <f>IF(OR(AJ$1="",$BE220=0),"",IFERROR(LOOKUP(2,1/((Budgets!$A$2:$A$200=AJ$1)*(Budgets!$B$2:$B$200&lt;=$A220)),Budgets!$C$2:$C$200),0))</f>
        <v/>
      </c>
      <c r="AK220" s="88">
        <f>IF(OR(AK$1="",$BE220=0),"",IFERROR(LOOKUP(2,1/((Budgets!$A$2:$A$200=AK$1)*(Budgets!$B$2:$B$200&lt;=$A220)),Budgets!$C$2:$C$200),0))</f>
        <v/>
      </c>
      <c r="AL220" s="88">
        <f>IF(OR(AL$1="",$BE220=0),"",IFERROR(LOOKUP(2,1/((Budgets!$A$2:$A$200=AL$1)*(Budgets!$B$2:$B$200&lt;=$A220)),Budgets!$C$2:$C$200),0))</f>
        <v/>
      </c>
      <c r="AM220" s="88">
        <f>IF(OR(AM$1="",$BE220=0),"",IFERROR(LOOKUP(2,1/((Budgets!$A$2:$A$200=AM$1)*(Budgets!$B$2:$B$200&lt;=$A220)),Budgets!$C$2:$C$200),0))</f>
        <v/>
      </c>
      <c r="AN220" s="88">
        <f>IF(OR(AN$1="",$BE220=0),"",IFERROR(LOOKUP(2,1/((Budgets!$A$2:$A$200=AN$1)*(Budgets!$B$2:$B$200&lt;=$A220)),Budgets!$C$2:$C$200),0))</f>
        <v/>
      </c>
      <c r="AO220" s="88">
        <f>IF(OR(AO$1="",$BE220=0),"",IFERROR(LOOKUP(2,1/((Budgets!$A$2:$A$200=AO$1)*(Budgets!$B$2:$B$200&lt;=$A220)),Budgets!$C$2:$C$200),0))</f>
        <v/>
      </c>
      <c r="AP220" s="88">
        <f>IF(OR(AP$1="",$BE220=0),"",IFERROR(LOOKUP(2,1/((Budgets!$A$2:$A$200=AP$1)*(Budgets!$B$2:$B$200&lt;=$A220)),Budgets!$C$2:$C$200),0))</f>
        <v/>
      </c>
      <c r="AQ220" s="88">
        <f>IF(OR(AQ$1="",$BE220=0),"",IFERROR(LOOKUP(2,1/((Budgets!$A$2:$A$200=AQ$1)*(Budgets!$B$2:$B$200&lt;=$A220)),Budgets!$C$2:$C$200),0))</f>
        <v/>
      </c>
      <c r="AR220" s="88">
        <f>IF(OR(AR$1="",$BE220=0),"",IFERROR(LOOKUP(2,1/((Budgets!$A$2:$A$200=AR$1)*(Budgets!$B$2:$B$200&lt;=$A220)),Budgets!$C$2:$C$200),0))</f>
        <v/>
      </c>
      <c r="AS220" s="88">
        <f>IF(OR(AS$1="",$BE220=0),"",IFERROR(LOOKUP(2,1/((Budgets!$A$2:$A$200=AS$1)*(Budgets!$B$2:$B$200&lt;=$A220)),Budgets!$C$2:$C$200),0))</f>
        <v/>
      </c>
      <c r="AT220" s="88">
        <f>IF(OR(AT$1="",$BE220=0),"",IFERROR(LOOKUP(2,1/((Budgets!$A$2:$A$200=AT$1)*(Budgets!$B$2:$B$200&lt;=$A220)),Budgets!$C$2:$C$200),0))</f>
        <v/>
      </c>
      <c r="AU220" s="88">
        <f>IF(OR(AU$1="",$BE220=0),"",IFERROR(LOOKUP(2,1/((Budgets!$A$2:$A$200=AU$1)*(Budgets!$B$2:$B$200&lt;=$A220)),Budgets!$C$2:$C$200),0))</f>
        <v/>
      </c>
      <c r="AV220" s="88">
        <f>IF(OR(AV$1="",$BE220=0),"",IFERROR(LOOKUP(2,1/((Budgets!$A$2:$A$200=AV$1)*(Budgets!$B$2:$B$200&lt;=$A220)),Budgets!$C$2:$C$200),0))</f>
        <v/>
      </c>
      <c r="AW220" s="88">
        <f>IF(OR(AW$1="",$BE220=0),"",IFERROR(LOOKUP(2,1/((Budgets!$A$2:$A$200=AW$1)*(Budgets!$B$2:$B$200&lt;=$A220)),Budgets!$C$2:$C$200),0))</f>
        <v/>
      </c>
      <c r="AX220" s="88">
        <f>IF(OR(AX$1="",$BE220=0),"",IFERROR(LOOKUP(2,1/((Budgets!$A$2:$A$200=AX$1)*(Budgets!$B$2:$B$200&lt;=$A220)),Budgets!$C$2:$C$200),0))</f>
        <v/>
      </c>
      <c r="AY220" s="88">
        <f>IF(OR(AY$1="",$BE220=0),"",IFERROR(LOOKUP(2,1/((Budgets!$A$2:$A$200=AY$1)*(Budgets!$B$2:$B$200&lt;=$A220)),Budgets!$C$2:$C$200),0))</f>
        <v/>
      </c>
      <c r="AZ220" s="88">
        <f>IF(OR(AZ$1="",$BE220=0),"",IFERROR(LOOKUP(2,1/((Budgets!$A$2:$A$200=AZ$1)*(Budgets!$B$2:$B$200&lt;=$A220)),Budgets!$C$2:$C$200),0))</f>
        <v/>
      </c>
      <c r="BA220" s="88">
        <f>IF(OR(BA$1="",$BE220=0),"",IFERROR(LOOKUP(2,1/((Budgets!$A$2:$A$200=BA$1)*(Budgets!$B$2:$B$200&lt;=$A220)),Budgets!$C$2:$C$200),0))</f>
        <v/>
      </c>
      <c r="BB220" s="88">
        <f>IF(OR(BB$1="",$BE220=0),"",IFERROR(LOOKUP(2,1/((Budgets!$A$2:$A$200=BB$1)*(Budgets!$B$2:$B$200&lt;=$A220)),Budgets!$C$2:$C$200),0))</f>
        <v/>
      </c>
      <c r="BC220" s="88">
        <f>IF(OR(BC$1="",$BE220=0),"",IFERROR(LOOKUP(2,1/((Budgets!$A$2:$A$200=BC$1)*(Budgets!$B$2:$B$200&lt;=$A220)),Budgets!$C$2:$C$200),0))</f>
        <v/>
      </c>
      <c r="BE220" s="67">
        <f>COUNTIFS(Entries!$A$2:$A$5000,$A220)</f>
        <v/>
      </c>
    </row>
    <row r="221" ht="15" customHeight="1" s="43">
      <c r="A221" s="87" t="n">
        <v>46113</v>
      </c>
      <c r="B221" s="88">
        <f>IF($BE221=0,NA(),SUMIFS(Entries!$D$2:$D$5000,Entries!$C$2:$C$5000,"Income",Entries!$A$2:$A$5000,$A221))</f>
        <v/>
      </c>
      <c r="C221" s="88">
        <f>IF($BE221=0,"",SUMIFS(Entries!$D$2:$D$5000,Entries!$C$2:$C$5000,"Actual",Entries!$A$2:$A$5000,$A221))</f>
        <v/>
      </c>
      <c r="D221" s="88">
        <f>IF($BE221=0,"",SUMIFS(Entries!$D$2:$D$5000,Entries!$C$2:$C$5000,"One-off",Entries!$A$2:$A$5000,$A221))</f>
        <v/>
      </c>
      <c r="E221" s="88">
        <f>IF($BE221=0,NA(),C221+D221)</f>
        <v/>
      </c>
      <c r="F221" s="88">
        <f>IF($BE221=0,"",SUM(AJ221:BC221))</f>
        <v/>
      </c>
      <c r="G221" s="88">
        <f>IF($BE221=0,"",B221-E221)</f>
        <v/>
      </c>
      <c r="H221" s="88">
        <f>IF($BE221=0,"",SUM($G$2:G221))</f>
        <v/>
      </c>
      <c r="I221" s="88">
        <f>IF($BE221=0,"",SUMIFS(Entries!$F$2:$F$5000,Entries!$A$2:$A$5000,$A221))</f>
        <v/>
      </c>
      <c r="J221" s="88">
        <f>IF($BE221=0,NA(),H221+SUM($I$2:I221))</f>
        <v/>
      </c>
      <c r="K221" s="88">
        <f>IF($BE221=0,"",SUMIFS(Entries!$D$2:$D$5000,Entries!$C$2:$C$5000,"Income",Entries!$A$2:$A$5000,"&gt;="&amp;EDATE($A221,-11),Entries!$A$2:$A$5000,"&lt;="&amp;$A221)/12)</f>
        <v/>
      </c>
      <c r="L221" s="88">
        <f>IF($BE221=0,"",(SUMIFS(Entries!$D$2:$D$5000,Entries!$C$2:$C$5000,"Actual",Entries!$A$2:$A$5000,"&gt;="&amp;EDATE($A221,-11),Entries!$A$2:$A$5000,"&lt;="&amp;$A221)+SUMIFS(Entries!$D$2:$D$5000,Entries!$C$2:$C$5000,"One-off",Entries!$A$2:$A$5000,"&gt;="&amp;EDATE($A221,-11),Entries!$A$2:$A$5000,"&lt;="&amp;$A221))/12)</f>
        <v/>
      </c>
      <c r="M221" s="70">
        <f>IF($BE221=0,NA(),IFERROR((K221-L221)/K221,0))</f>
        <v/>
      </c>
      <c r="O221" s="88">
        <f>IF(OR(O$1="",$BE221=0),"",SUMIFS(Entries!$D$2:$D$5000,Entries!$C$2:$C$5000,"Actual",Entries!$A$2:$A$5000,$A221,Entries!$B$2:$B$5000,O$1))</f>
        <v/>
      </c>
      <c r="P221" s="88">
        <f>IF(OR(P$1="",$BE221=0),"",SUMIFS(Entries!$D$2:$D$5000,Entries!$C$2:$C$5000,"Actual",Entries!$A$2:$A$5000,$A221,Entries!$B$2:$B$5000,P$1))</f>
        <v/>
      </c>
      <c r="Q221" s="88">
        <f>IF(OR(Q$1="",$BE221=0),"",SUMIFS(Entries!$D$2:$D$5000,Entries!$C$2:$C$5000,"Actual",Entries!$A$2:$A$5000,$A221,Entries!$B$2:$B$5000,Q$1))</f>
        <v/>
      </c>
      <c r="R221" s="88">
        <f>IF(OR(R$1="",$BE221=0),"",SUMIFS(Entries!$D$2:$D$5000,Entries!$C$2:$C$5000,"Actual",Entries!$A$2:$A$5000,$A221,Entries!$B$2:$B$5000,R$1))</f>
        <v/>
      </c>
      <c r="S221" s="88">
        <f>IF(OR(S$1="",$BE221=0),"",SUMIFS(Entries!$D$2:$D$5000,Entries!$C$2:$C$5000,"Actual",Entries!$A$2:$A$5000,$A221,Entries!$B$2:$B$5000,S$1))</f>
        <v/>
      </c>
      <c r="T221" s="88">
        <f>IF(OR(T$1="",$BE221=0),"",SUMIFS(Entries!$D$2:$D$5000,Entries!$C$2:$C$5000,"Actual",Entries!$A$2:$A$5000,$A221,Entries!$B$2:$B$5000,T$1))</f>
        <v/>
      </c>
      <c r="U221" s="88">
        <f>IF(OR(U$1="",$BE221=0),"",SUMIFS(Entries!$D$2:$D$5000,Entries!$C$2:$C$5000,"Actual",Entries!$A$2:$A$5000,$A221,Entries!$B$2:$B$5000,U$1))</f>
        <v/>
      </c>
      <c r="V221" s="88">
        <f>IF(OR(V$1="",$BE221=0),"",SUMIFS(Entries!$D$2:$D$5000,Entries!$C$2:$C$5000,"Actual",Entries!$A$2:$A$5000,$A221,Entries!$B$2:$B$5000,V$1))</f>
        <v/>
      </c>
      <c r="W221" s="88">
        <f>IF(OR(W$1="",$BE221=0),"",SUMIFS(Entries!$D$2:$D$5000,Entries!$C$2:$C$5000,"Actual",Entries!$A$2:$A$5000,$A221,Entries!$B$2:$B$5000,W$1))</f>
        <v/>
      </c>
      <c r="X221" s="88">
        <f>IF(OR(X$1="",$BE221=0),"",SUMIFS(Entries!$D$2:$D$5000,Entries!$C$2:$C$5000,"Actual",Entries!$A$2:$A$5000,$A221,Entries!$B$2:$B$5000,X$1))</f>
        <v/>
      </c>
      <c r="Y221" s="88">
        <f>IF(OR(Y$1="",$BE221=0),"",SUMIFS(Entries!$D$2:$D$5000,Entries!$C$2:$C$5000,"Actual",Entries!$A$2:$A$5000,$A221,Entries!$B$2:$B$5000,Y$1))</f>
        <v/>
      </c>
      <c r="Z221" s="88">
        <f>IF(OR(Z$1="",$BE221=0),"",SUMIFS(Entries!$D$2:$D$5000,Entries!$C$2:$C$5000,"Actual",Entries!$A$2:$A$5000,$A221,Entries!$B$2:$B$5000,Z$1))</f>
        <v/>
      </c>
      <c r="AA221" s="88">
        <f>IF(OR(AA$1="",$BE221=0),"",SUMIFS(Entries!$D$2:$D$5000,Entries!$C$2:$C$5000,"Actual",Entries!$A$2:$A$5000,$A221,Entries!$B$2:$B$5000,AA$1))</f>
        <v/>
      </c>
      <c r="AB221" s="88">
        <f>IF(OR(AB$1="",$BE221=0),"",SUMIFS(Entries!$D$2:$D$5000,Entries!$C$2:$C$5000,"Actual",Entries!$A$2:$A$5000,$A221,Entries!$B$2:$B$5000,AB$1))</f>
        <v/>
      </c>
      <c r="AC221" s="88">
        <f>IF(OR(AC$1="",$BE221=0),"",SUMIFS(Entries!$D$2:$D$5000,Entries!$C$2:$C$5000,"Actual",Entries!$A$2:$A$5000,$A221,Entries!$B$2:$B$5000,AC$1))</f>
        <v/>
      </c>
      <c r="AD221" s="88">
        <f>IF(OR(AD$1="",$BE221=0),"",SUMIFS(Entries!$D$2:$D$5000,Entries!$C$2:$C$5000,"Actual",Entries!$A$2:$A$5000,$A221,Entries!$B$2:$B$5000,AD$1))</f>
        <v/>
      </c>
      <c r="AE221" s="88">
        <f>IF(OR(AE$1="",$BE221=0),"",SUMIFS(Entries!$D$2:$D$5000,Entries!$C$2:$C$5000,"Actual",Entries!$A$2:$A$5000,$A221,Entries!$B$2:$B$5000,AE$1))</f>
        <v/>
      </c>
      <c r="AF221" s="88">
        <f>IF(OR(AF$1="",$BE221=0),"",SUMIFS(Entries!$D$2:$D$5000,Entries!$C$2:$C$5000,"Actual",Entries!$A$2:$A$5000,$A221,Entries!$B$2:$B$5000,AF$1))</f>
        <v/>
      </c>
      <c r="AG221" s="88">
        <f>IF(OR(AG$1="",$BE221=0),"",SUMIFS(Entries!$D$2:$D$5000,Entries!$C$2:$C$5000,"Actual",Entries!$A$2:$A$5000,$A221,Entries!$B$2:$B$5000,AG$1))</f>
        <v/>
      </c>
      <c r="AH221" s="88">
        <f>IF(OR(AH$1="",$BE221=0),"",SUMIFS(Entries!$D$2:$D$5000,Entries!$C$2:$C$5000,"Actual",Entries!$A$2:$A$5000,$A221,Entries!$B$2:$B$5000,AH$1))</f>
        <v/>
      </c>
      <c r="AJ221" s="88">
        <f>IF(OR(AJ$1="",$BE221=0),"",IFERROR(LOOKUP(2,1/((Budgets!$A$2:$A$200=AJ$1)*(Budgets!$B$2:$B$200&lt;=$A221)),Budgets!$C$2:$C$200),0))</f>
        <v/>
      </c>
      <c r="AK221" s="88">
        <f>IF(OR(AK$1="",$BE221=0),"",IFERROR(LOOKUP(2,1/((Budgets!$A$2:$A$200=AK$1)*(Budgets!$B$2:$B$200&lt;=$A221)),Budgets!$C$2:$C$200),0))</f>
        <v/>
      </c>
      <c r="AL221" s="88">
        <f>IF(OR(AL$1="",$BE221=0),"",IFERROR(LOOKUP(2,1/((Budgets!$A$2:$A$200=AL$1)*(Budgets!$B$2:$B$200&lt;=$A221)),Budgets!$C$2:$C$200),0))</f>
        <v/>
      </c>
      <c r="AM221" s="88">
        <f>IF(OR(AM$1="",$BE221=0),"",IFERROR(LOOKUP(2,1/((Budgets!$A$2:$A$200=AM$1)*(Budgets!$B$2:$B$200&lt;=$A221)),Budgets!$C$2:$C$200),0))</f>
        <v/>
      </c>
      <c r="AN221" s="88">
        <f>IF(OR(AN$1="",$BE221=0),"",IFERROR(LOOKUP(2,1/((Budgets!$A$2:$A$200=AN$1)*(Budgets!$B$2:$B$200&lt;=$A221)),Budgets!$C$2:$C$200),0))</f>
        <v/>
      </c>
      <c r="AO221" s="88">
        <f>IF(OR(AO$1="",$BE221=0),"",IFERROR(LOOKUP(2,1/((Budgets!$A$2:$A$200=AO$1)*(Budgets!$B$2:$B$200&lt;=$A221)),Budgets!$C$2:$C$200),0))</f>
        <v/>
      </c>
      <c r="AP221" s="88">
        <f>IF(OR(AP$1="",$BE221=0),"",IFERROR(LOOKUP(2,1/((Budgets!$A$2:$A$200=AP$1)*(Budgets!$B$2:$B$200&lt;=$A221)),Budgets!$C$2:$C$200),0))</f>
        <v/>
      </c>
      <c r="AQ221" s="88">
        <f>IF(OR(AQ$1="",$BE221=0),"",IFERROR(LOOKUP(2,1/((Budgets!$A$2:$A$200=AQ$1)*(Budgets!$B$2:$B$200&lt;=$A221)),Budgets!$C$2:$C$200),0))</f>
        <v/>
      </c>
      <c r="AR221" s="88">
        <f>IF(OR(AR$1="",$BE221=0),"",IFERROR(LOOKUP(2,1/((Budgets!$A$2:$A$200=AR$1)*(Budgets!$B$2:$B$200&lt;=$A221)),Budgets!$C$2:$C$200),0))</f>
        <v/>
      </c>
      <c r="AS221" s="88">
        <f>IF(OR(AS$1="",$BE221=0),"",IFERROR(LOOKUP(2,1/((Budgets!$A$2:$A$200=AS$1)*(Budgets!$B$2:$B$200&lt;=$A221)),Budgets!$C$2:$C$200),0))</f>
        <v/>
      </c>
      <c r="AT221" s="88">
        <f>IF(OR(AT$1="",$BE221=0),"",IFERROR(LOOKUP(2,1/((Budgets!$A$2:$A$200=AT$1)*(Budgets!$B$2:$B$200&lt;=$A221)),Budgets!$C$2:$C$200),0))</f>
        <v/>
      </c>
      <c r="AU221" s="88">
        <f>IF(OR(AU$1="",$BE221=0),"",IFERROR(LOOKUP(2,1/((Budgets!$A$2:$A$200=AU$1)*(Budgets!$B$2:$B$200&lt;=$A221)),Budgets!$C$2:$C$200),0))</f>
        <v/>
      </c>
      <c r="AV221" s="88">
        <f>IF(OR(AV$1="",$BE221=0),"",IFERROR(LOOKUP(2,1/((Budgets!$A$2:$A$200=AV$1)*(Budgets!$B$2:$B$200&lt;=$A221)),Budgets!$C$2:$C$200),0))</f>
        <v/>
      </c>
      <c r="AW221" s="88">
        <f>IF(OR(AW$1="",$BE221=0),"",IFERROR(LOOKUP(2,1/((Budgets!$A$2:$A$200=AW$1)*(Budgets!$B$2:$B$200&lt;=$A221)),Budgets!$C$2:$C$200),0))</f>
        <v/>
      </c>
      <c r="AX221" s="88">
        <f>IF(OR(AX$1="",$BE221=0),"",IFERROR(LOOKUP(2,1/((Budgets!$A$2:$A$200=AX$1)*(Budgets!$B$2:$B$200&lt;=$A221)),Budgets!$C$2:$C$200),0))</f>
        <v/>
      </c>
      <c r="AY221" s="88">
        <f>IF(OR(AY$1="",$BE221=0),"",IFERROR(LOOKUP(2,1/((Budgets!$A$2:$A$200=AY$1)*(Budgets!$B$2:$B$200&lt;=$A221)),Budgets!$C$2:$C$200),0))</f>
        <v/>
      </c>
      <c r="AZ221" s="88">
        <f>IF(OR(AZ$1="",$BE221=0),"",IFERROR(LOOKUP(2,1/((Budgets!$A$2:$A$200=AZ$1)*(Budgets!$B$2:$B$200&lt;=$A221)),Budgets!$C$2:$C$200),0))</f>
        <v/>
      </c>
      <c r="BA221" s="88">
        <f>IF(OR(BA$1="",$BE221=0),"",IFERROR(LOOKUP(2,1/((Budgets!$A$2:$A$200=BA$1)*(Budgets!$B$2:$B$200&lt;=$A221)),Budgets!$C$2:$C$200),0))</f>
        <v/>
      </c>
      <c r="BB221" s="88">
        <f>IF(OR(BB$1="",$BE221=0),"",IFERROR(LOOKUP(2,1/((Budgets!$A$2:$A$200=BB$1)*(Budgets!$B$2:$B$200&lt;=$A221)),Budgets!$C$2:$C$200),0))</f>
        <v/>
      </c>
      <c r="BC221" s="88">
        <f>IF(OR(BC$1="",$BE221=0),"",IFERROR(LOOKUP(2,1/((Budgets!$A$2:$A$200=BC$1)*(Budgets!$B$2:$B$200&lt;=$A221)),Budgets!$C$2:$C$200),0))</f>
        <v/>
      </c>
      <c r="BE221" s="67">
        <f>COUNTIFS(Entries!$A$2:$A$5000,$A221)</f>
        <v/>
      </c>
    </row>
    <row r="222" ht="15" customHeight="1" s="43">
      <c r="A222" s="87" t="n">
        <v>46143</v>
      </c>
      <c r="B222" s="88">
        <f>IF($BE222=0,NA(),SUMIFS(Entries!$D$2:$D$5000,Entries!$C$2:$C$5000,"Income",Entries!$A$2:$A$5000,$A222))</f>
        <v/>
      </c>
      <c r="C222" s="88">
        <f>IF($BE222=0,"",SUMIFS(Entries!$D$2:$D$5000,Entries!$C$2:$C$5000,"Actual",Entries!$A$2:$A$5000,$A222))</f>
        <v/>
      </c>
      <c r="D222" s="88">
        <f>IF($BE222=0,"",SUMIFS(Entries!$D$2:$D$5000,Entries!$C$2:$C$5000,"One-off",Entries!$A$2:$A$5000,$A222))</f>
        <v/>
      </c>
      <c r="E222" s="88">
        <f>IF($BE222=0,NA(),C222+D222)</f>
        <v/>
      </c>
      <c r="F222" s="88">
        <f>IF($BE222=0,"",SUM(AJ222:BC222))</f>
        <v/>
      </c>
      <c r="G222" s="88">
        <f>IF($BE222=0,"",B222-E222)</f>
        <v/>
      </c>
      <c r="H222" s="88">
        <f>IF($BE222=0,"",SUM($G$2:G222))</f>
        <v/>
      </c>
      <c r="I222" s="88">
        <f>IF($BE222=0,"",SUMIFS(Entries!$F$2:$F$5000,Entries!$A$2:$A$5000,$A222))</f>
        <v/>
      </c>
      <c r="J222" s="88">
        <f>IF($BE222=0,NA(),H222+SUM($I$2:I222))</f>
        <v/>
      </c>
      <c r="K222" s="88">
        <f>IF($BE222=0,"",SUMIFS(Entries!$D$2:$D$5000,Entries!$C$2:$C$5000,"Income",Entries!$A$2:$A$5000,"&gt;="&amp;EDATE($A222,-11),Entries!$A$2:$A$5000,"&lt;="&amp;$A222)/12)</f>
        <v/>
      </c>
      <c r="L222" s="88">
        <f>IF($BE222=0,"",(SUMIFS(Entries!$D$2:$D$5000,Entries!$C$2:$C$5000,"Actual",Entries!$A$2:$A$5000,"&gt;="&amp;EDATE($A222,-11),Entries!$A$2:$A$5000,"&lt;="&amp;$A222)+SUMIFS(Entries!$D$2:$D$5000,Entries!$C$2:$C$5000,"One-off",Entries!$A$2:$A$5000,"&gt;="&amp;EDATE($A222,-11),Entries!$A$2:$A$5000,"&lt;="&amp;$A222))/12)</f>
        <v/>
      </c>
      <c r="M222" s="70">
        <f>IF($BE222=0,NA(),IFERROR((K222-L222)/K222,0))</f>
        <v/>
      </c>
      <c r="O222" s="88">
        <f>IF(OR(O$1="",$BE222=0),"",SUMIFS(Entries!$D$2:$D$5000,Entries!$C$2:$C$5000,"Actual",Entries!$A$2:$A$5000,$A222,Entries!$B$2:$B$5000,O$1))</f>
        <v/>
      </c>
      <c r="P222" s="88">
        <f>IF(OR(P$1="",$BE222=0),"",SUMIFS(Entries!$D$2:$D$5000,Entries!$C$2:$C$5000,"Actual",Entries!$A$2:$A$5000,$A222,Entries!$B$2:$B$5000,P$1))</f>
        <v/>
      </c>
      <c r="Q222" s="88">
        <f>IF(OR(Q$1="",$BE222=0),"",SUMIFS(Entries!$D$2:$D$5000,Entries!$C$2:$C$5000,"Actual",Entries!$A$2:$A$5000,$A222,Entries!$B$2:$B$5000,Q$1))</f>
        <v/>
      </c>
      <c r="R222" s="88">
        <f>IF(OR(R$1="",$BE222=0),"",SUMIFS(Entries!$D$2:$D$5000,Entries!$C$2:$C$5000,"Actual",Entries!$A$2:$A$5000,$A222,Entries!$B$2:$B$5000,R$1))</f>
        <v/>
      </c>
      <c r="S222" s="88">
        <f>IF(OR(S$1="",$BE222=0),"",SUMIFS(Entries!$D$2:$D$5000,Entries!$C$2:$C$5000,"Actual",Entries!$A$2:$A$5000,$A222,Entries!$B$2:$B$5000,S$1))</f>
        <v/>
      </c>
      <c r="T222" s="88">
        <f>IF(OR(T$1="",$BE222=0),"",SUMIFS(Entries!$D$2:$D$5000,Entries!$C$2:$C$5000,"Actual",Entries!$A$2:$A$5000,$A222,Entries!$B$2:$B$5000,T$1))</f>
        <v/>
      </c>
      <c r="U222" s="88">
        <f>IF(OR(U$1="",$BE222=0),"",SUMIFS(Entries!$D$2:$D$5000,Entries!$C$2:$C$5000,"Actual",Entries!$A$2:$A$5000,$A222,Entries!$B$2:$B$5000,U$1))</f>
        <v/>
      </c>
      <c r="V222" s="88">
        <f>IF(OR(V$1="",$BE222=0),"",SUMIFS(Entries!$D$2:$D$5000,Entries!$C$2:$C$5000,"Actual",Entries!$A$2:$A$5000,$A222,Entries!$B$2:$B$5000,V$1))</f>
        <v/>
      </c>
      <c r="W222" s="88">
        <f>IF(OR(W$1="",$BE222=0),"",SUMIFS(Entries!$D$2:$D$5000,Entries!$C$2:$C$5000,"Actual",Entries!$A$2:$A$5000,$A222,Entries!$B$2:$B$5000,W$1))</f>
        <v/>
      </c>
      <c r="X222" s="88">
        <f>IF(OR(X$1="",$BE222=0),"",SUMIFS(Entries!$D$2:$D$5000,Entries!$C$2:$C$5000,"Actual",Entries!$A$2:$A$5000,$A222,Entries!$B$2:$B$5000,X$1))</f>
        <v/>
      </c>
      <c r="Y222" s="88">
        <f>IF(OR(Y$1="",$BE222=0),"",SUMIFS(Entries!$D$2:$D$5000,Entries!$C$2:$C$5000,"Actual",Entries!$A$2:$A$5000,$A222,Entries!$B$2:$B$5000,Y$1))</f>
        <v/>
      </c>
      <c r="Z222" s="88">
        <f>IF(OR(Z$1="",$BE222=0),"",SUMIFS(Entries!$D$2:$D$5000,Entries!$C$2:$C$5000,"Actual",Entries!$A$2:$A$5000,$A222,Entries!$B$2:$B$5000,Z$1))</f>
        <v/>
      </c>
      <c r="AA222" s="88">
        <f>IF(OR(AA$1="",$BE222=0),"",SUMIFS(Entries!$D$2:$D$5000,Entries!$C$2:$C$5000,"Actual",Entries!$A$2:$A$5000,$A222,Entries!$B$2:$B$5000,AA$1))</f>
        <v/>
      </c>
      <c r="AB222" s="88">
        <f>IF(OR(AB$1="",$BE222=0),"",SUMIFS(Entries!$D$2:$D$5000,Entries!$C$2:$C$5000,"Actual",Entries!$A$2:$A$5000,$A222,Entries!$B$2:$B$5000,AB$1))</f>
        <v/>
      </c>
      <c r="AC222" s="88">
        <f>IF(OR(AC$1="",$BE222=0),"",SUMIFS(Entries!$D$2:$D$5000,Entries!$C$2:$C$5000,"Actual",Entries!$A$2:$A$5000,$A222,Entries!$B$2:$B$5000,AC$1))</f>
        <v/>
      </c>
      <c r="AD222" s="88">
        <f>IF(OR(AD$1="",$BE222=0),"",SUMIFS(Entries!$D$2:$D$5000,Entries!$C$2:$C$5000,"Actual",Entries!$A$2:$A$5000,$A222,Entries!$B$2:$B$5000,AD$1))</f>
        <v/>
      </c>
      <c r="AE222" s="88">
        <f>IF(OR(AE$1="",$BE222=0),"",SUMIFS(Entries!$D$2:$D$5000,Entries!$C$2:$C$5000,"Actual",Entries!$A$2:$A$5000,$A222,Entries!$B$2:$B$5000,AE$1))</f>
        <v/>
      </c>
      <c r="AF222" s="88">
        <f>IF(OR(AF$1="",$BE222=0),"",SUMIFS(Entries!$D$2:$D$5000,Entries!$C$2:$C$5000,"Actual",Entries!$A$2:$A$5000,$A222,Entries!$B$2:$B$5000,AF$1))</f>
        <v/>
      </c>
      <c r="AG222" s="88">
        <f>IF(OR(AG$1="",$BE222=0),"",SUMIFS(Entries!$D$2:$D$5000,Entries!$C$2:$C$5000,"Actual",Entries!$A$2:$A$5000,$A222,Entries!$B$2:$B$5000,AG$1))</f>
        <v/>
      </c>
      <c r="AH222" s="88">
        <f>IF(OR(AH$1="",$BE222=0),"",SUMIFS(Entries!$D$2:$D$5000,Entries!$C$2:$C$5000,"Actual",Entries!$A$2:$A$5000,$A222,Entries!$B$2:$B$5000,AH$1))</f>
        <v/>
      </c>
      <c r="AJ222" s="88">
        <f>IF(OR(AJ$1="",$BE222=0),"",IFERROR(LOOKUP(2,1/((Budgets!$A$2:$A$200=AJ$1)*(Budgets!$B$2:$B$200&lt;=$A222)),Budgets!$C$2:$C$200),0))</f>
        <v/>
      </c>
      <c r="AK222" s="88">
        <f>IF(OR(AK$1="",$BE222=0),"",IFERROR(LOOKUP(2,1/((Budgets!$A$2:$A$200=AK$1)*(Budgets!$B$2:$B$200&lt;=$A222)),Budgets!$C$2:$C$200),0))</f>
        <v/>
      </c>
      <c r="AL222" s="88">
        <f>IF(OR(AL$1="",$BE222=0),"",IFERROR(LOOKUP(2,1/((Budgets!$A$2:$A$200=AL$1)*(Budgets!$B$2:$B$200&lt;=$A222)),Budgets!$C$2:$C$200),0))</f>
        <v/>
      </c>
      <c r="AM222" s="88">
        <f>IF(OR(AM$1="",$BE222=0),"",IFERROR(LOOKUP(2,1/((Budgets!$A$2:$A$200=AM$1)*(Budgets!$B$2:$B$200&lt;=$A222)),Budgets!$C$2:$C$200),0))</f>
        <v/>
      </c>
      <c r="AN222" s="88">
        <f>IF(OR(AN$1="",$BE222=0),"",IFERROR(LOOKUP(2,1/((Budgets!$A$2:$A$200=AN$1)*(Budgets!$B$2:$B$200&lt;=$A222)),Budgets!$C$2:$C$200),0))</f>
        <v/>
      </c>
      <c r="AO222" s="88">
        <f>IF(OR(AO$1="",$BE222=0),"",IFERROR(LOOKUP(2,1/((Budgets!$A$2:$A$200=AO$1)*(Budgets!$B$2:$B$200&lt;=$A222)),Budgets!$C$2:$C$200),0))</f>
        <v/>
      </c>
      <c r="AP222" s="88">
        <f>IF(OR(AP$1="",$BE222=0),"",IFERROR(LOOKUP(2,1/((Budgets!$A$2:$A$200=AP$1)*(Budgets!$B$2:$B$200&lt;=$A222)),Budgets!$C$2:$C$200),0))</f>
        <v/>
      </c>
      <c r="AQ222" s="88">
        <f>IF(OR(AQ$1="",$BE222=0),"",IFERROR(LOOKUP(2,1/((Budgets!$A$2:$A$200=AQ$1)*(Budgets!$B$2:$B$200&lt;=$A222)),Budgets!$C$2:$C$200),0))</f>
        <v/>
      </c>
      <c r="AR222" s="88">
        <f>IF(OR(AR$1="",$BE222=0),"",IFERROR(LOOKUP(2,1/((Budgets!$A$2:$A$200=AR$1)*(Budgets!$B$2:$B$200&lt;=$A222)),Budgets!$C$2:$C$200),0))</f>
        <v/>
      </c>
      <c r="AS222" s="88">
        <f>IF(OR(AS$1="",$BE222=0),"",IFERROR(LOOKUP(2,1/((Budgets!$A$2:$A$200=AS$1)*(Budgets!$B$2:$B$200&lt;=$A222)),Budgets!$C$2:$C$200),0))</f>
        <v/>
      </c>
      <c r="AT222" s="88">
        <f>IF(OR(AT$1="",$BE222=0),"",IFERROR(LOOKUP(2,1/((Budgets!$A$2:$A$200=AT$1)*(Budgets!$B$2:$B$200&lt;=$A222)),Budgets!$C$2:$C$200),0))</f>
        <v/>
      </c>
      <c r="AU222" s="88">
        <f>IF(OR(AU$1="",$BE222=0),"",IFERROR(LOOKUP(2,1/((Budgets!$A$2:$A$200=AU$1)*(Budgets!$B$2:$B$200&lt;=$A222)),Budgets!$C$2:$C$200),0))</f>
        <v/>
      </c>
      <c r="AV222" s="88">
        <f>IF(OR(AV$1="",$BE222=0),"",IFERROR(LOOKUP(2,1/((Budgets!$A$2:$A$200=AV$1)*(Budgets!$B$2:$B$200&lt;=$A222)),Budgets!$C$2:$C$200),0))</f>
        <v/>
      </c>
      <c r="AW222" s="88">
        <f>IF(OR(AW$1="",$BE222=0),"",IFERROR(LOOKUP(2,1/((Budgets!$A$2:$A$200=AW$1)*(Budgets!$B$2:$B$200&lt;=$A222)),Budgets!$C$2:$C$200),0))</f>
        <v/>
      </c>
      <c r="AX222" s="88">
        <f>IF(OR(AX$1="",$BE222=0),"",IFERROR(LOOKUP(2,1/((Budgets!$A$2:$A$200=AX$1)*(Budgets!$B$2:$B$200&lt;=$A222)),Budgets!$C$2:$C$200),0))</f>
        <v/>
      </c>
      <c r="AY222" s="88">
        <f>IF(OR(AY$1="",$BE222=0),"",IFERROR(LOOKUP(2,1/((Budgets!$A$2:$A$200=AY$1)*(Budgets!$B$2:$B$200&lt;=$A222)),Budgets!$C$2:$C$200),0))</f>
        <v/>
      </c>
      <c r="AZ222" s="88">
        <f>IF(OR(AZ$1="",$BE222=0),"",IFERROR(LOOKUP(2,1/((Budgets!$A$2:$A$200=AZ$1)*(Budgets!$B$2:$B$200&lt;=$A222)),Budgets!$C$2:$C$200),0))</f>
        <v/>
      </c>
      <c r="BA222" s="88">
        <f>IF(OR(BA$1="",$BE222=0),"",IFERROR(LOOKUP(2,1/((Budgets!$A$2:$A$200=BA$1)*(Budgets!$B$2:$B$200&lt;=$A222)),Budgets!$C$2:$C$200),0))</f>
        <v/>
      </c>
      <c r="BB222" s="88">
        <f>IF(OR(BB$1="",$BE222=0),"",IFERROR(LOOKUP(2,1/((Budgets!$A$2:$A$200=BB$1)*(Budgets!$B$2:$B$200&lt;=$A222)),Budgets!$C$2:$C$200),0))</f>
        <v/>
      </c>
      <c r="BC222" s="88">
        <f>IF(OR(BC$1="",$BE222=0),"",IFERROR(LOOKUP(2,1/((Budgets!$A$2:$A$200=BC$1)*(Budgets!$B$2:$B$200&lt;=$A222)),Budgets!$C$2:$C$200),0))</f>
        <v/>
      </c>
      <c r="BE222" s="67">
        <f>COUNTIFS(Entries!$A$2:$A$5000,$A222)</f>
        <v/>
      </c>
    </row>
    <row r="223" ht="15" customHeight="1" s="43">
      <c r="A223" s="87" t="n">
        <v>46174</v>
      </c>
      <c r="B223" s="88">
        <f>IF($BE223=0,NA(),SUMIFS(Entries!$D$2:$D$5000,Entries!$C$2:$C$5000,"Income",Entries!$A$2:$A$5000,$A223))</f>
        <v/>
      </c>
      <c r="C223" s="88">
        <f>IF($BE223=0,"",SUMIFS(Entries!$D$2:$D$5000,Entries!$C$2:$C$5000,"Actual",Entries!$A$2:$A$5000,$A223))</f>
        <v/>
      </c>
      <c r="D223" s="88">
        <f>IF($BE223=0,"",SUMIFS(Entries!$D$2:$D$5000,Entries!$C$2:$C$5000,"One-off",Entries!$A$2:$A$5000,$A223))</f>
        <v/>
      </c>
      <c r="E223" s="88">
        <f>IF($BE223=0,NA(),C223+D223)</f>
        <v/>
      </c>
      <c r="F223" s="88">
        <f>IF($BE223=0,"",SUM(AJ223:BC223))</f>
        <v/>
      </c>
      <c r="G223" s="88">
        <f>IF($BE223=0,"",B223-E223)</f>
        <v/>
      </c>
      <c r="H223" s="88">
        <f>IF($BE223=0,"",SUM($G$2:G223))</f>
        <v/>
      </c>
      <c r="I223" s="88">
        <f>IF($BE223=0,"",SUMIFS(Entries!$F$2:$F$5000,Entries!$A$2:$A$5000,$A223))</f>
        <v/>
      </c>
      <c r="J223" s="88">
        <f>IF($BE223=0,NA(),H223+SUM($I$2:I223))</f>
        <v/>
      </c>
      <c r="K223" s="88">
        <f>IF($BE223=0,"",SUMIFS(Entries!$D$2:$D$5000,Entries!$C$2:$C$5000,"Income",Entries!$A$2:$A$5000,"&gt;="&amp;EDATE($A223,-11),Entries!$A$2:$A$5000,"&lt;="&amp;$A223)/12)</f>
        <v/>
      </c>
      <c r="L223" s="88">
        <f>IF($BE223=0,"",(SUMIFS(Entries!$D$2:$D$5000,Entries!$C$2:$C$5000,"Actual",Entries!$A$2:$A$5000,"&gt;="&amp;EDATE($A223,-11),Entries!$A$2:$A$5000,"&lt;="&amp;$A223)+SUMIFS(Entries!$D$2:$D$5000,Entries!$C$2:$C$5000,"One-off",Entries!$A$2:$A$5000,"&gt;="&amp;EDATE($A223,-11),Entries!$A$2:$A$5000,"&lt;="&amp;$A223))/12)</f>
        <v/>
      </c>
      <c r="M223" s="70">
        <f>IF($BE223=0,NA(),IFERROR((K223-L223)/K223,0))</f>
        <v/>
      </c>
      <c r="O223" s="88">
        <f>IF(OR(O$1="",$BE223=0),"",SUMIFS(Entries!$D$2:$D$5000,Entries!$C$2:$C$5000,"Actual",Entries!$A$2:$A$5000,$A223,Entries!$B$2:$B$5000,O$1))</f>
        <v/>
      </c>
      <c r="P223" s="88">
        <f>IF(OR(P$1="",$BE223=0),"",SUMIFS(Entries!$D$2:$D$5000,Entries!$C$2:$C$5000,"Actual",Entries!$A$2:$A$5000,$A223,Entries!$B$2:$B$5000,P$1))</f>
        <v/>
      </c>
      <c r="Q223" s="88">
        <f>IF(OR(Q$1="",$BE223=0),"",SUMIFS(Entries!$D$2:$D$5000,Entries!$C$2:$C$5000,"Actual",Entries!$A$2:$A$5000,$A223,Entries!$B$2:$B$5000,Q$1))</f>
        <v/>
      </c>
      <c r="R223" s="88">
        <f>IF(OR(R$1="",$BE223=0),"",SUMIFS(Entries!$D$2:$D$5000,Entries!$C$2:$C$5000,"Actual",Entries!$A$2:$A$5000,$A223,Entries!$B$2:$B$5000,R$1))</f>
        <v/>
      </c>
      <c r="S223" s="88">
        <f>IF(OR(S$1="",$BE223=0),"",SUMIFS(Entries!$D$2:$D$5000,Entries!$C$2:$C$5000,"Actual",Entries!$A$2:$A$5000,$A223,Entries!$B$2:$B$5000,S$1))</f>
        <v/>
      </c>
      <c r="T223" s="88">
        <f>IF(OR(T$1="",$BE223=0),"",SUMIFS(Entries!$D$2:$D$5000,Entries!$C$2:$C$5000,"Actual",Entries!$A$2:$A$5000,$A223,Entries!$B$2:$B$5000,T$1))</f>
        <v/>
      </c>
      <c r="U223" s="88">
        <f>IF(OR(U$1="",$BE223=0),"",SUMIFS(Entries!$D$2:$D$5000,Entries!$C$2:$C$5000,"Actual",Entries!$A$2:$A$5000,$A223,Entries!$B$2:$B$5000,U$1))</f>
        <v/>
      </c>
      <c r="V223" s="88">
        <f>IF(OR(V$1="",$BE223=0),"",SUMIFS(Entries!$D$2:$D$5000,Entries!$C$2:$C$5000,"Actual",Entries!$A$2:$A$5000,$A223,Entries!$B$2:$B$5000,V$1))</f>
        <v/>
      </c>
      <c r="W223" s="88">
        <f>IF(OR(W$1="",$BE223=0),"",SUMIFS(Entries!$D$2:$D$5000,Entries!$C$2:$C$5000,"Actual",Entries!$A$2:$A$5000,$A223,Entries!$B$2:$B$5000,W$1))</f>
        <v/>
      </c>
      <c r="X223" s="88">
        <f>IF(OR(X$1="",$BE223=0),"",SUMIFS(Entries!$D$2:$D$5000,Entries!$C$2:$C$5000,"Actual",Entries!$A$2:$A$5000,$A223,Entries!$B$2:$B$5000,X$1))</f>
        <v/>
      </c>
      <c r="Y223" s="88">
        <f>IF(OR(Y$1="",$BE223=0),"",SUMIFS(Entries!$D$2:$D$5000,Entries!$C$2:$C$5000,"Actual",Entries!$A$2:$A$5000,$A223,Entries!$B$2:$B$5000,Y$1))</f>
        <v/>
      </c>
      <c r="Z223" s="88">
        <f>IF(OR(Z$1="",$BE223=0),"",SUMIFS(Entries!$D$2:$D$5000,Entries!$C$2:$C$5000,"Actual",Entries!$A$2:$A$5000,$A223,Entries!$B$2:$B$5000,Z$1))</f>
        <v/>
      </c>
      <c r="AA223" s="88">
        <f>IF(OR(AA$1="",$BE223=0),"",SUMIFS(Entries!$D$2:$D$5000,Entries!$C$2:$C$5000,"Actual",Entries!$A$2:$A$5000,$A223,Entries!$B$2:$B$5000,AA$1))</f>
        <v/>
      </c>
      <c r="AB223" s="88">
        <f>IF(OR(AB$1="",$BE223=0),"",SUMIFS(Entries!$D$2:$D$5000,Entries!$C$2:$C$5000,"Actual",Entries!$A$2:$A$5000,$A223,Entries!$B$2:$B$5000,AB$1))</f>
        <v/>
      </c>
      <c r="AC223" s="88">
        <f>IF(OR(AC$1="",$BE223=0),"",SUMIFS(Entries!$D$2:$D$5000,Entries!$C$2:$C$5000,"Actual",Entries!$A$2:$A$5000,$A223,Entries!$B$2:$B$5000,AC$1))</f>
        <v/>
      </c>
      <c r="AD223" s="88">
        <f>IF(OR(AD$1="",$BE223=0),"",SUMIFS(Entries!$D$2:$D$5000,Entries!$C$2:$C$5000,"Actual",Entries!$A$2:$A$5000,$A223,Entries!$B$2:$B$5000,AD$1))</f>
        <v/>
      </c>
      <c r="AE223" s="88">
        <f>IF(OR(AE$1="",$BE223=0),"",SUMIFS(Entries!$D$2:$D$5000,Entries!$C$2:$C$5000,"Actual",Entries!$A$2:$A$5000,$A223,Entries!$B$2:$B$5000,AE$1))</f>
        <v/>
      </c>
      <c r="AF223" s="88">
        <f>IF(OR(AF$1="",$BE223=0),"",SUMIFS(Entries!$D$2:$D$5000,Entries!$C$2:$C$5000,"Actual",Entries!$A$2:$A$5000,$A223,Entries!$B$2:$B$5000,AF$1))</f>
        <v/>
      </c>
      <c r="AG223" s="88">
        <f>IF(OR(AG$1="",$BE223=0),"",SUMIFS(Entries!$D$2:$D$5000,Entries!$C$2:$C$5000,"Actual",Entries!$A$2:$A$5000,$A223,Entries!$B$2:$B$5000,AG$1))</f>
        <v/>
      </c>
      <c r="AH223" s="88">
        <f>IF(OR(AH$1="",$BE223=0),"",SUMIFS(Entries!$D$2:$D$5000,Entries!$C$2:$C$5000,"Actual",Entries!$A$2:$A$5000,$A223,Entries!$B$2:$B$5000,AH$1))</f>
        <v/>
      </c>
      <c r="AJ223" s="88">
        <f>IF(OR(AJ$1="",$BE223=0),"",IFERROR(LOOKUP(2,1/((Budgets!$A$2:$A$200=AJ$1)*(Budgets!$B$2:$B$200&lt;=$A223)),Budgets!$C$2:$C$200),0))</f>
        <v/>
      </c>
      <c r="AK223" s="88">
        <f>IF(OR(AK$1="",$BE223=0),"",IFERROR(LOOKUP(2,1/((Budgets!$A$2:$A$200=AK$1)*(Budgets!$B$2:$B$200&lt;=$A223)),Budgets!$C$2:$C$200),0))</f>
        <v/>
      </c>
      <c r="AL223" s="88">
        <f>IF(OR(AL$1="",$BE223=0),"",IFERROR(LOOKUP(2,1/((Budgets!$A$2:$A$200=AL$1)*(Budgets!$B$2:$B$200&lt;=$A223)),Budgets!$C$2:$C$200),0))</f>
        <v/>
      </c>
      <c r="AM223" s="88">
        <f>IF(OR(AM$1="",$BE223=0),"",IFERROR(LOOKUP(2,1/((Budgets!$A$2:$A$200=AM$1)*(Budgets!$B$2:$B$200&lt;=$A223)),Budgets!$C$2:$C$200),0))</f>
        <v/>
      </c>
      <c r="AN223" s="88">
        <f>IF(OR(AN$1="",$BE223=0),"",IFERROR(LOOKUP(2,1/((Budgets!$A$2:$A$200=AN$1)*(Budgets!$B$2:$B$200&lt;=$A223)),Budgets!$C$2:$C$200),0))</f>
        <v/>
      </c>
      <c r="AO223" s="88">
        <f>IF(OR(AO$1="",$BE223=0),"",IFERROR(LOOKUP(2,1/((Budgets!$A$2:$A$200=AO$1)*(Budgets!$B$2:$B$200&lt;=$A223)),Budgets!$C$2:$C$200),0))</f>
        <v/>
      </c>
      <c r="AP223" s="88">
        <f>IF(OR(AP$1="",$BE223=0),"",IFERROR(LOOKUP(2,1/((Budgets!$A$2:$A$200=AP$1)*(Budgets!$B$2:$B$200&lt;=$A223)),Budgets!$C$2:$C$200),0))</f>
        <v/>
      </c>
      <c r="AQ223" s="88">
        <f>IF(OR(AQ$1="",$BE223=0),"",IFERROR(LOOKUP(2,1/((Budgets!$A$2:$A$200=AQ$1)*(Budgets!$B$2:$B$200&lt;=$A223)),Budgets!$C$2:$C$200),0))</f>
        <v/>
      </c>
      <c r="AR223" s="88">
        <f>IF(OR(AR$1="",$BE223=0),"",IFERROR(LOOKUP(2,1/((Budgets!$A$2:$A$200=AR$1)*(Budgets!$B$2:$B$200&lt;=$A223)),Budgets!$C$2:$C$200),0))</f>
        <v/>
      </c>
      <c r="AS223" s="88">
        <f>IF(OR(AS$1="",$BE223=0),"",IFERROR(LOOKUP(2,1/((Budgets!$A$2:$A$200=AS$1)*(Budgets!$B$2:$B$200&lt;=$A223)),Budgets!$C$2:$C$200),0))</f>
        <v/>
      </c>
      <c r="AT223" s="88">
        <f>IF(OR(AT$1="",$BE223=0),"",IFERROR(LOOKUP(2,1/((Budgets!$A$2:$A$200=AT$1)*(Budgets!$B$2:$B$200&lt;=$A223)),Budgets!$C$2:$C$200),0))</f>
        <v/>
      </c>
      <c r="AU223" s="88">
        <f>IF(OR(AU$1="",$BE223=0),"",IFERROR(LOOKUP(2,1/((Budgets!$A$2:$A$200=AU$1)*(Budgets!$B$2:$B$200&lt;=$A223)),Budgets!$C$2:$C$200),0))</f>
        <v/>
      </c>
      <c r="AV223" s="88">
        <f>IF(OR(AV$1="",$BE223=0),"",IFERROR(LOOKUP(2,1/((Budgets!$A$2:$A$200=AV$1)*(Budgets!$B$2:$B$200&lt;=$A223)),Budgets!$C$2:$C$200),0))</f>
        <v/>
      </c>
      <c r="AW223" s="88">
        <f>IF(OR(AW$1="",$BE223=0),"",IFERROR(LOOKUP(2,1/((Budgets!$A$2:$A$200=AW$1)*(Budgets!$B$2:$B$200&lt;=$A223)),Budgets!$C$2:$C$200),0))</f>
        <v/>
      </c>
      <c r="AX223" s="88">
        <f>IF(OR(AX$1="",$BE223=0),"",IFERROR(LOOKUP(2,1/((Budgets!$A$2:$A$200=AX$1)*(Budgets!$B$2:$B$200&lt;=$A223)),Budgets!$C$2:$C$200),0))</f>
        <v/>
      </c>
      <c r="AY223" s="88">
        <f>IF(OR(AY$1="",$BE223=0),"",IFERROR(LOOKUP(2,1/((Budgets!$A$2:$A$200=AY$1)*(Budgets!$B$2:$B$200&lt;=$A223)),Budgets!$C$2:$C$200),0))</f>
        <v/>
      </c>
      <c r="AZ223" s="88">
        <f>IF(OR(AZ$1="",$BE223=0),"",IFERROR(LOOKUP(2,1/((Budgets!$A$2:$A$200=AZ$1)*(Budgets!$B$2:$B$200&lt;=$A223)),Budgets!$C$2:$C$200),0))</f>
        <v/>
      </c>
      <c r="BA223" s="88">
        <f>IF(OR(BA$1="",$BE223=0),"",IFERROR(LOOKUP(2,1/((Budgets!$A$2:$A$200=BA$1)*(Budgets!$B$2:$B$200&lt;=$A223)),Budgets!$C$2:$C$200),0))</f>
        <v/>
      </c>
      <c r="BB223" s="88">
        <f>IF(OR(BB$1="",$BE223=0),"",IFERROR(LOOKUP(2,1/((Budgets!$A$2:$A$200=BB$1)*(Budgets!$B$2:$B$200&lt;=$A223)),Budgets!$C$2:$C$200),0))</f>
        <v/>
      </c>
      <c r="BC223" s="88">
        <f>IF(OR(BC$1="",$BE223=0),"",IFERROR(LOOKUP(2,1/((Budgets!$A$2:$A$200=BC$1)*(Budgets!$B$2:$B$200&lt;=$A223)),Budgets!$C$2:$C$200),0))</f>
        <v/>
      </c>
      <c r="BE223" s="67">
        <f>COUNTIFS(Entries!$A$2:$A$5000,$A223)</f>
        <v/>
      </c>
    </row>
    <row r="224" ht="15" customHeight="1" s="43">
      <c r="A224" s="87" t="n">
        <v>46204</v>
      </c>
      <c r="B224" s="88">
        <f>IF($BE224=0,NA(),SUMIFS(Entries!$D$2:$D$5000,Entries!$C$2:$C$5000,"Income",Entries!$A$2:$A$5000,$A224))</f>
        <v/>
      </c>
      <c r="C224" s="88">
        <f>IF($BE224=0,"",SUMIFS(Entries!$D$2:$D$5000,Entries!$C$2:$C$5000,"Actual",Entries!$A$2:$A$5000,$A224))</f>
        <v/>
      </c>
      <c r="D224" s="88">
        <f>IF($BE224=0,"",SUMIFS(Entries!$D$2:$D$5000,Entries!$C$2:$C$5000,"One-off",Entries!$A$2:$A$5000,$A224))</f>
        <v/>
      </c>
      <c r="E224" s="88">
        <f>IF($BE224=0,NA(),C224+D224)</f>
        <v/>
      </c>
      <c r="F224" s="88">
        <f>IF($BE224=0,"",SUM(AJ224:BC224))</f>
        <v/>
      </c>
      <c r="G224" s="88">
        <f>IF($BE224=0,"",B224-E224)</f>
        <v/>
      </c>
      <c r="H224" s="88">
        <f>IF($BE224=0,"",SUM($G$2:G224))</f>
        <v/>
      </c>
      <c r="I224" s="88">
        <f>IF($BE224=0,"",SUMIFS(Entries!$F$2:$F$5000,Entries!$A$2:$A$5000,$A224))</f>
        <v/>
      </c>
      <c r="J224" s="88">
        <f>IF($BE224=0,NA(),H224+SUM($I$2:I224))</f>
        <v/>
      </c>
      <c r="K224" s="88">
        <f>IF($BE224=0,"",SUMIFS(Entries!$D$2:$D$5000,Entries!$C$2:$C$5000,"Income",Entries!$A$2:$A$5000,"&gt;="&amp;EDATE($A224,-11),Entries!$A$2:$A$5000,"&lt;="&amp;$A224)/12)</f>
        <v/>
      </c>
      <c r="L224" s="88">
        <f>IF($BE224=0,"",(SUMIFS(Entries!$D$2:$D$5000,Entries!$C$2:$C$5000,"Actual",Entries!$A$2:$A$5000,"&gt;="&amp;EDATE($A224,-11),Entries!$A$2:$A$5000,"&lt;="&amp;$A224)+SUMIFS(Entries!$D$2:$D$5000,Entries!$C$2:$C$5000,"One-off",Entries!$A$2:$A$5000,"&gt;="&amp;EDATE($A224,-11),Entries!$A$2:$A$5000,"&lt;="&amp;$A224))/12)</f>
        <v/>
      </c>
      <c r="M224" s="71">
        <f>IF($BE224=0,NA(),IFERROR((K224-L224)/K224,0))</f>
        <v/>
      </c>
      <c r="O224" s="88">
        <f>IF(OR(O$1="",$BE224=0),"",SUMIFS(Entries!$D$2:$D$5000,Entries!$C$2:$C$5000,"Actual",Entries!$A$2:$A$5000,$A224,Entries!$B$2:$B$5000,O$1))</f>
        <v/>
      </c>
      <c r="P224" s="88">
        <f>IF(OR(P$1="",$BE224=0),"",SUMIFS(Entries!$D$2:$D$5000,Entries!$C$2:$C$5000,"Actual",Entries!$A$2:$A$5000,$A224,Entries!$B$2:$B$5000,P$1))</f>
        <v/>
      </c>
      <c r="Q224" s="88">
        <f>IF(OR(Q$1="",$BE224=0),"",SUMIFS(Entries!$D$2:$D$5000,Entries!$C$2:$C$5000,"Actual",Entries!$A$2:$A$5000,$A224,Entries!$B$2:$B$5000,Q$1))</f>
        <v/>
      </c>
      <c r="R224" s="88">
        <f>IF(OR(R$1="",$BE224=0),"",SUMIFS(Entries!$D$2:$D$5000,Entries!$C$2:$C$5000,"Actual",Entries!$A$2:$A$5000,$A224,Entries!$B$2:$B$5000,R$1))</f>
        <v/>
      </c>
      <c r="S224" s="88">
        <f>IF(OR(S$1="",$BE224=0),"",SUMIFS(Entries!$D$2:$D$5000,Entries!$C$2:$C$5000,"Actual",Entries!$A$2:$A$5000,$A224,Entries!$B$2:$B$5000,S$1))</f>
        <v/>
      </c>
      <c r="T224" s="88">
        <f>IF(OR(T$1="",$BE224=0),"",SUMIFS(Entries!$D$2:$D$5000,Entries!$C$2:$C$5000,"Actual",Entries!$A$2:$A$5000,$A224,Entries!$B$2:$B$5000,T$1))</f>
        <v/>
      </c>
      <c r="U224" s="88">
        <f>IF(OR(U$1="",$BE224=0),"",SUMIFS(Entries!$D$2:$D$5000,Entries!$C$2:$C$5000,"Actual",Entries!$A$2:$A$5000,$A224,Entries!$B$2:$B$5000,U$1))</f>
        <v/>
      </c>
      <c r="V224" s="88">
        <f>IF(OR(V$1="",$BE224=0),"",SUMIFS(Entries!$D$2:$D$5000,Entries!$C$2:$C$5000,"Actual",Entries!$A$2:$A$5000,$A224,Entries!$B$2:$B$5000,V$1))</f>
        <v/>
      </c>
      <c r="W224" s="88">
        <f>IF(OR(W$1="",$BE224=0),"",SUMIFS(Entries!$D$2:$D$5000,Entries!$C$2:$C$5000,"Actual",Entries!$A$2:$A$5000,$A224,Entries!$B$2:$B$5000,W$1))</f>
        <v/>
      </c>
      <c r="X224" s="88">
        <f>IF(OR(X$1="",$BE224=0),"",SUMIFS(Entries!$D$2:$D$5000,Entries!$C$2:$C$5000,"Actual",Entries!$A$2:$A$5000,$A224,Entries!$B$2:$B$5000,X$1))</f>
        <v/>
      </c>
      <c r="Y224" s="88">
        <f>IF(OR(Y$1="",$BE224=0),"",SUMIFS(Entries!$D$2:$D$5000,Entries!$C$2:$C$5000,"Actual",Entries!$A$2:$A$5000,$A224,Entries!$B$2:$B$5000,Y$1))</f>
        <v/>
      </c>
      <c r="Z224" s="88">
        <f>IF(OR(Z$1="",$BE224=0),"",SUMIFS(Entries!$D$2:$D$5000,Entries!$C$2:$C$5000,"Actual",Entries!$A$2:$A$5000,$A224,Entries!$B$2:$B$5000,Z$1))</f>
        <v/>
      </c>
      <c r="AA224" s="88">
        <f>IF(OR(AA$1="",$BE224=0),"",SUMIFS(Entries!$D$2:$D$5000,Entries!$C$2:$C$5000,"Actual",Entries!$A$2:$A$5000,$A224,Entries!$B$2:$B$5000,AA$1))</f>
        <v/>
      </c>
      <c r="AB224" s="88">
        <f>IF(OR(AB$1="",$BE224=0),"",SUMIFS(Entries!$D$2:$D$5000,Entries!$C$2:$C$5000,"Actual",Entries!$A$2:$A$5000,$A224,Entries!$B$2:$B$5000,AB$1))</f>
        <v/>
      </c>
      <c r="AC224" s="88">
        <f>IF(OR(AC$1="",$BE224=0),"",SUMIFS(Entries!$D$2:$D$5000,Entries!$C$2:$C$5000,"Actual",Entries!$A$2:$A$5000,$A224,Entries!$B$2:$B$5000,AC$1))</f>
        <v/>
      </c>
      <c r="AD224" s="88">
        <f>IF(OR(AD$1="",$BE224=0),"",SUMIFS(Entries!$D$2:$D$5000,Entries!$C$2:$C$5000,"Actual",Entries!$A$2:$A$5000,$A224,Entries!$B$2:$B$5000,AD$1))</f>
        <v/>
      </c>
      <c r="AE224" s="88">
        <f>IF(OR(AE$1="",$BE224=0),"",SUMIFS(Entries!$D$2:$D$5000,Entries!$C$2:$C$5000,"Actual",Entries!$A$2:$A$5000,$A224,Entries!$B$2:$B$5000,AE$1))</f>
        <v/>
      </c>
      <c r="AF224" s="88">
        <f>IF(OR(AF$1="",$BE224=0),"",SUMIFS(Entries!$D$2:$D$5000,Entries!$C$2:$C$5000,"Actual",Entries!$A$2:$A$5000,$A224,Entries!$B$2:$B$5000,AF$1))</f>
        <v/>
      </c>
      <c r="AG224" s="88">
        <f>IF(OR(AG$1="",$BE224=0),"",SUMIFS(Entries!$D$2:$D$5000,Entries!$C$2:$C$5000,"Actual",Entries!$A$2:$A$5000,$A224,Entries!$B$2:$B$5000,AG$1))</f>
        <v/>
      </c>
      <c r="AH224" s="88">
        <f>IF(OR(AH$1="",$BE224=0),"",SUMIFS(Entries!$D$2:$D$5000,Entries!$C$2:$C$5000,"Actual",Entries!$A$2:$A$5000,$A224,Entries!$B$2:$B$5000,AH$1))</f>
        <v/>
      </c>
      <c r="AJ224" s="88">
        <f>IF(OR(AJ$1="",$BE224=0),"",IFERROR(LOOKUP(2,1/((Budgets!$A$2:$A$200=AJ$1)*(Budgets!$B$2:$B$200&lt;=$A224)),Budgets!$C$2:$C$200),0))</f>
        <v/>
      </c>
      <c r="AK224" s="88">
        <f>IF(OR(AK$1="",$BE224=0),"",IFERROR(LOOKUP(2,1/((Budgets!$A$2:$A$200=AK$1)*(Budgets!$B$2:$B$200&lt;=$A224)),Budgets!$C$2:$C$200),0))</f>
        <v/>
      </c>
      <c r="AL224" s="88">
        <f>IF(OR(AL$1="",$BE224=0),"",IFERROR(LOOKUP(2,1/((Budgets!$A$2:$A$200=AL$1)*(Budgets!$B$2:$B$200&lt;=$A224)),Budgets!$C$2:$C$200),0))</f>
        <v/>
      </c>
      <c r="AM224" s="88">
        <f>IF(OR(AM$1="",$BE224=0),"",IFERROR(LOOKUP(2,1/((Budgets!$A$2:$A$200=AM$1)*(Budgets!$B$2:$B$200&lt;=$A224)),Budgets!$C$2:$C$200),0))</f>
        <v/>
      </c>
      <c r="AN224" s="88">
        <f>IF(OR(AN$1="",$BE224=0),"",IFERROR(LOOKUP(2,1/((Budgets!$A$2:$A$200=AN$1)*(Budgets!$B$2:$B$200&lt;=$A224)),Budgets!$C$2:$C$200),0))</f>
        <v/>
      </c>
      <c r="AO224" s="88">
        <f>IF(OR(AO$1="",$BE224=0),"",IFERROR(LOOKUP(2,1/((Budgets!$A$2:$A$200=AO$1)*(Budgets!$B$2:$B$200&lt;=$A224)),Budgets!$C$2:$C$200),0))</f>
        <v/>
      </c>
      <c r="AP224" s="88">
        <f>IF(OR(AP$1="",$BE224=0),"",IFERROR(LOOKUP(2,1/((Budgets!$A$2:$A$200=AP$1)*(Budgets!$B$2:$B$200&lt;=$A224)),Budgets!$C$2:$C$200),0))</f>
        <v/>
      </c>
      <c r="AQ224" s="88">
        <f>IF(OR(AQ$1="",$BE224=0),"",IFERROR(LOOKUP(2,1/((Budgets!$A$2:$A$200=AQ$1)*(Budgets!$B$2:$B$200&lt;=$A224)),Budgets!$C$2:$C$200),0))</f>
        <v/>
      </c>
      <c r="AR224" s="88">
        <f>IF(OR(AR$1="",$BE224=0),"",IFERROR(LOOKUP(2,1/((Budgets!$A$2:$A$200=AR$1)*(Budgets!$B$2:$B$200&lt;=$A224)),Budgets!$C$2:$C$200),0))</f>
        <v/>
      </c>
      <c r="AS224" s="88">
        <f>IF(OR(AS$1="",$BE224=0),"",IFERROR(LOOKUP(2,1/((Budgets!$A$2:$A$200=AS$1)*(Budgets!$B$2:$B$200&lt;=$A224)),Budgets!$C$2:$C$200),0))</f>
        <v/>
      </c>
      <c r="AT224" s="88">
        <f>IF(OR(AT$1="",$BE224=0),"",IFERROR(LOOKUP(2,1/((Budgets!$A$2:$A$200=AT$1)*(Budgets!$B$2:$B$200&lt;=$A224)),Budgets!$C$2:$C$200),0))</f>
        <v/>
      </c>
      <c r="AU224" s="88">
        <f>IF(OR(AU$1="",$BE224=0),"",IFERROR(LOOKUP(2,1/((Budgets!$A$2:$A$200=AU$1)*(Budgets!$B$2:$B$200&lt;=$A224)),Budgets!$C$2:$C$200),0))</f>
        <v/>
      </c>
      <c r="AV224" s="88">
        <f>IF(OR(AV$1="",$BE224=0),"",IFERROR(LOOKUP(2,1/((Budgets!$A$2:$A$200=AV$1)*(Budgets!$B$2:$B$200&lt;=$A224)),Budgets!$C$2:$C$200),0))</f>
        <v/>
      </c>
      <c r="AW224" s="88">
        <f>IF(OR(AW$1="",$BE224=0),"",IFERROR(LOOKUP(2,1/((Budgets!$A$2:$A$200=AW$1)*(Budgets!$B$2:$B$200&lt;=$A224)),Budgets!$C$2:$C$200),0))</f>
        <v/>
      </c>
      <c r="AX224" s="88">
        <f>IF(OR(AX$1="",$BE224=0),"",IFERROR(LOOKUP(2,1/((Budgets!$A$2:$A$200=AX$1)*(Budgets!$B$2:$B$200&lt;=$A224)),Budgets!$C$2:$C$200),0))</f>
        <v/>
      </c>
      <c r="AY224" s="88">
        <f>IF(OR(AY$1="",$BE224=0),"",IFERROR(LOOKUP(2,1/((Budgets!$A$2:$A$200=AY$1)*(Budgets!$B$2:$B$200&lt;=$A224)),Budgets!$C$2:$C$200),0))</f>
        <v/>
      </c>
      <c r="AZ224" s="88">
        <f>IF(OR(AZ$1="",$BE224=0),"",IFERROR(LOOKUP(2,1/((Budgets!$A$2:$A$200=AZ$1)*(Budgets!$B$2:$B$200&lt;=$A224)),Budgets!$C$2:$C$200),0))</f>
        <v/>
      </c>
      <c r="BA224" s="88">
        <f>IF(OR(BA$1="",$BE224=0),"",IFERROR(LOOKUP(2,1/((Budgets!$A$2:$A$200=BA$1)*(Budgets!$B$2:$B$200&lt;=$A224)),Budgets!$C$2:$C$200),0))</f>
        <v/>
      </c>
      <c r="BB224" s="88">
        <f>IF(OR(BB$1="",$BE224=0),"",IFERROR(LOOKUP(2,1/((Budgets!$A$2:$A$200=BB$1)*(Budgets!$B$2:$B$200&lt;=$A224)),Budgets!$C$2:$C$200),0))</f>
        <v/>
      </c>
      <c r="BC224" s="88">
        <f>IF(OR(BC$1="",$BE224=0),"",IFERROR(LOOKUP(2,1/((Budgets!$A$2:$A$200=BC$1)*(Budgets!$B$2:$B$200&lt;=$A224)),Budgets!$C$2:$C$200),0))</f>
        <v/>
      </c>
      <c r="BE224" s="67">
        <f>COUNTIFS(Entries!$A$2:$A$5000,$A224)</f>
        <v/>
      </c>
    </row>
    <row r="225" ht="15" customHeight="1" s="43">
      <c r="A225" s="87" t="n">
        <v>46235</v>
      </c>
      <c r="B225" s="88">
        <f>IF($BE225=0,NA(),SUMIFS(Entries!$D$2:$D$5000,Entries!$C$2:$C$5000,"Income",Entries!$A$2:$A$5000,$A225))</f>
        <v/>
      </c>
      <c r="C225" s="88">
        <f>IF($BE225=0,"",SUMIFS(Entries!$D$2:$D$5000,Entries!$C$2:$C$5000,"Actual",Entries!$A$2:$A$5000,$A225))</f>
        <v/>
      </c>
      <c r="D225" s="88">
        <f>IF($BE225=0,"",SUMIFS(Entries!$D$2:$D$5000,Entries!$C$2:$C$5000,"One-off",Entries!$A$2:$A$5000,$A225))</f>
        <v/>
      </c>
      <c r="E225" s="88">
        <f>IF($BE225=0,NA(),C225+D225)</f>
        <v/>
      </c>
      <c r="F225" s="88">
        <f>IF($BE225=0,"",SUM(AJ225:BC225))</f>
        <v/>
      </c>
      <c r="G225" s="88">
        <f>IF($BE225=0,"",B225-E225)</f>
        <v/>
      </c>
      <c r="H225" s="88">
        <f>IF($BE225=0,"",SUM($G$2:G225))</f>
        <v/>
      </c>
      <c r="I225" s="88">
        <f>IF($BE225=0,"",SUMIFS(Entries!$F$2:$F$5000,Entries!$A$2:$A$5000,$A225))</f>
        <v/>
      </c>
      <c r="J225" s="88">
        <f>IF($BE225=0,NA(),H225+SUM($I$2:I225))</f>
        <v/>
      </c>
      <c r="K225" s="88">
        <f>IF($BE225=0,"",SUMIFS(Entries!$D$2:$D$5000,Entries!$C$2:$C$5000,"Income",Entries!$A$2:$A$5000,"&gt;="&amp;EDATE($A225,-11),Entries!$A$2:$A$5000,"&lt;="&amp;$A225)/12)</f>
        <v/>
      </c>
      <c r="L225" s="88">
        <f>IF($BE225=0,"",(SUMIFS(Entries!$D$2:$D$5000,Entries!$C$2:$C$5000,"Actual",Entries!$A$2:$A$5000,"&gt;="&amp;EDATE($A225,-11),Entries!$A$2:$A$5000,"&lt;="&amp;$A225)+SUMIFS(Entries!$D$2:$D$5000,Entries!$C$2:$C$5000,"One-off",Entries!$A$2:$A$5000,"&gt;="&amp;EDATE($A225,-11),Entries!$A$2:$A$5000,"&lt;="&amp;$A225))/12)</f>
        <v/>
      </c>
      <c r="M225" s="71">
        <f>IF($BE225=0,NA(),IFERROR((K225-L225)/K225,0))</f>
        <v/>
      </c>
      <c r="O225" s="88">
        <f>IF(OR(O$1="",$BE225=0),"",SUMIFS(Entries!$D$2:$D$5000,Entries!$C$2:$C$5000,"Actual",Entries!$A$2:$A$5000,$A225,Entries!$B$2:$B$5000,O$1))</f>
        <v/>
      </c>
      <c r="P225" s="88">
        <f>IF(OR(P$1="",$BE225=0),"",SUMIFS(Entries!$D$2:$D$5000,Entries!$C$2:$C$5000,"Actual",Entries!$A$2:$A$5000,$A225,Entries!$B$2:$B$5000,P$1))</f>
        <v/>
      </c>
      <c r="Q225" s="88">
        <f>IF(OR(Q$1="",$BE225=0),"",SUMIFS(Entries!$D$2:$D$5000,Entries!$C$2:$C$5000,"Actual",Entries!$A$2:$A$5000,$A225,Entries!$B$2:$B$5000,Q$1))</f>
        <v/>
      </c>
      <c r="R225" s="88">
        <f>IF(OR(R$1="",$BE225=0),"",SUMIFS(Entries!$D$2:$D$5000,Entries!$C$2:$C$5000,"Actual",Entries!$A$2:$A$5000,$A225,Entries!$B$2:$B$5000,R$1))</f>
        <v/>
      </c>
      <c r="S225" s="88">
        <f>IF(OR(S$1="",$BE225=0),"",SUMIFS(Entries!$D$2:$D$5000,Entries!$C$2:$C$5000,"Actual",Entries!$A$2:$A$5000,$A225,Entries!$B$2:$B$5000,S$1))</f>
        <v/>
      </c>
      <c r="T225" s="88">
        <f>IF(OR(T$1="",$BE225=0),"",SUMIFS(Entries!$D$2:$D$5000,Entries!$C$2:$C$5000,"Actual",Entries!$A$2:$A$5000,$A225,Entries!$B$2:$B$5000,T$1))</f>
        <v/>
      </c>
      <c r="U225" s="88">
        <f>IF(OR(U$1="",$BE225=0),"",SUMIFS(Entries!$D$2:$D$5000,Entries!$C$2:$C$5000,"Actual",Entries!$A$2:$A$5000,$A225,Entries!$B$2:$B$5000,U$1))</f>
        <v/>
      </c>
      <c r="V225" s="88">
        <f>IF(OR(V$1="",$BE225=0),"",SUMIFS(Entries!$D$2:$D$5000,Entries!$C$2:$C$5000,"Actual",Entries!$A$2:$A$5000,$A225,Entries!$B$2:$B$5000,V$1))</f>
        <v/>
      </c>
      <c r="W225" s="88">
        <f>IF(OR(W$1="",$BE225=0),"",SUMIFS(Entries!$D$2:$D$5000,Entries!$C$2:$C$5000,"Actual",Entries!$A$2:$A$5000,$A225,Entries!$B$2:$B$5000,W$1))</f>
        <v/>
      </c>
      <c r="X225" s="88">
        <f>IF(OR(X$1="",$BE225=0),"",SUMIFS(Entries!$D$2:$D$5000,Entries!$C$2:$C$5000,"Actual",Entries!$A$2:$A$5000,$A225,Entries!$B$2:$B$5000,X$1))</f>
        <v/>
      </c>
      <c r="Y225" s="88">
        <f>IF(OR(Y$1="",$BE225=0),"",SUMIFS(Entries!$D$2:$D$5000,Entries!$C$2:$C$5000,"Actual",Entries!$A$2:$A$5000,$A225,Entries!$B$2:$B$5000,Y$1))</f>
        <v/>
      </c>
      <c r="Z225" s="88">
        <f>IF(OR(Z$1="",$BE225=0),"",SUMIFS(Entries!$D$2:$D$5000,Entries!$C$2:$C$5000,"Actual",Entries!$A$2:$A$5000,$A225,Entries!$B$2:$B$5000,Z$1))</f>
        <v/>
      </c>
      <c r="AA225" s="88">
        <f>IF(OR(AA$1="",$BE225=0),"",SUMIFS(Entries!$D$2:$D$5000,Entries!$C$2:$C$5000,"Actual",Entries!$A$2:$A$5000,$A225,Entries!$B$2:$B$5000,AA$1))</f>
        <v/>
      </c>
      <c r="AB225" s="88">
        <f>IF(OR(AB$1="",$BE225=0),"",SUMIFS(Entries!$D$2:$D$5000,Entries!$C$2:$C$5000,"Actual",Entries!$A$2:$A$5000,$A225,Entries!$B$2:$B$5000,AB$1))</f>
        <v/>
      </c>
      <c r="AC225" s="88">
        <f>IF(OR(AC$1="",$BE225=0),"",SUMIFS(Entries!$D$2:$D$5000,Entries!$C$2:$C$5000,"Actual",Entries!$A$2:$A$5000,$A225,Entries!$B$2:$B$5000,AC$1))</f>
        <v/>
      </c>
      <c r="AD225" s="88">
        <f>IF(OR(AD$1="",$BE225=0),"",SUMIFS(Entries!$D$2:$D$5000,Entries!$C$2:$C$5000,"Actual",Entries!$A$2:$A$5000,$A225,Entries!$B$2:$B$5000,AD$1))</f>
        <v/>
      </c>
      <c r="AE225" s="88">
        <f>IF(OR(AE$1="",$BE225=0),"",SUMIFS(Entries!$D$2:$D$5000,Entries!$C$2:$C$5000,"Actual",Entries!$A$2:$A$5000,$A225,Entries!$B$2:$B$5000,AE$1))</f>
        <v/>
      </c>
      <c r="AF225" s="88">
        <f>IF(OR(AF$1="",$BE225=0),"",SUMIFS(Entries!$D$2:$D$5000,Entries!$C$2:$C$5000,"Actual",Entries!$A$2:$A$5000,$A225,Entries!$B$2:$B$5000,AF$1))</f>
        <v/>
      </c>
      <c r="AG225" s="88">
        <f>IF(OR(AG$1="",$BE225=0),"",SUMIFS(Entries!$D$2:$D$5000,Entries!$C$2:$C$5000,"Actual",Entries!$A$2:$A$5000,$A225,Entries!$B$2:$B$5000,AG$1))</f>
        <v/>
      </c>
      <c r="AH225" s="88">
        <f>IF(OR(AH$1="",$BE225=0),"",SUMIFS(Entries!$D$2:$D$5000,Entries!$C$2:$C$5000,"Actual",Entries!$A$2:$A$5000,$A225,Entries!$B$2:$B$5000,AH$1))</f>
        <v/>
      </c>
      <c r="AJ225" s="88">
        <f>IF(OR(AJ$1="",$BE225=0),"",IFERROR(LOOKUP(2,1/((Budgets!$A$2:$A$200=AJ$1)*(Budgets!$B$2:$B$200&lt;=$A225)),Budgets!$C$2:$C$200),0))</f>
        <v/>
      </c>
      <c r="AK225" s="88">
        <f>IF(OR(AK$1="",$BE225=0),"",IFERROR(LOOKUP(2,1/((Budgets!$A$2:$A$200=AK$1)*(Budgets!$B$2:$B$200&lt;=$A225)),Budgets!$C$2:$C$200),0))</f>
        <v/>
      </c>
      <c r="AL225" s="88">
        <f>IF(OR(AL$1="",$BE225=0),"",IFERROR(LOOKUP(2,1/((Budgets!$A$2:$A$200=AL$1)*(Budgets!$B$2:$B$200&lt;=$A225)),Budgets!$C$2:$C$200),0))</f>
        <v/>
      </c>
      <c r="AM225" s="88">
        <f>IF(OR(AM$1="",$BE225=0),"",IFERROR(LOOKUP(2,1/((Budgets!$A$2:$A$200=AM$1)*(Budgets!$B$2:$B$200&lt;=$A225)),Budgets!$C$2:$C$200),0))</f>
        <v/>
      </c>
      <c r="AN225" s="88">
        <f>IF(OR(AN$1="",$BE225=0),"",IFERROR(LOOKUP(2,1/((Budgets!$A$2:$A$200=AN$1)*(Budgets!$B$2:$B$200&lt;=$A225)),Budgets!$C$2:$C$200),0))</f>
        <v/>
      </c>
      <c r="AO225" s="88">
        <f>IF(OR(AO$1="",$BE225=0),"",IFERROR(LOOKUP(2,1/((Budgets!$A$2:$A$200=AO$1)*(Budgets!$B$2:$B$200&lt;=$A225)),Budgets!$C$2:$C$200),0))</f>
        <v/>
      </c>
      <c r="AP225" s="88">
        <f>IF(OR(AP$1="",$BE225=0),"",IFERROR(LOOKUP(2,1/((Budgets!$A$2:$A$200=AP$1)*(Budgets!$B$2:$B$200&lt;=$A225)),Budgets!$C$2:$C$200),0))</f>
        <v/>
      </c>
      <c r="AQ225" s="88">
        <f>IF(OR(AQ$1="",$BE225=0),"",IFERROR(LOOKUP(2,1/((Budgets!$A$2:$A$200=AQ$1)*(Budgets!$B$2:$B$200&lt;=$A225)),Budgets!$C$2:$C$200),0))</f>
        <v/>
      </c>
      <c r="AR225" s="88">
        <f>IF(OR(AR$1="",$BE225=0),"",IFERROR(LOOKUP(2,1/((Budgets!$A$2:$A$200=AR$1)*(Budgets!$B$2:$B$200&lt;=$A225)),Budgets!$C$2:$C$200),0))</f>
        <v/>
      </c>
      <c r="AS225" s="88">
        <f>IF(OR(AS$1="",$BE225=0),"",IFERROR(LOOKUP(2,1/((Budgets!$A$2:$A$200=AS$1)*(Budgets!$B$2:$B$200&lt;=$A225)),Budgets!$C$2:$C$200),0))</f>
        <v/>
      </c>
      <c r="AT225" s="88">
        <f>IF(OR(AT$1="",$BE225=0),"",IFERROR(LOOKUP(2,1/((Budgets!$A$2:$A$200=AT$1)*(Budgets!$B$2:$B$200&lt;=$A225)),Budgets!$C$2:$C$200),0))</f>
        <v/>
      </c>
      <c r="AU225" s="88">
        <f>IF(OR(AU$1="",$BE225=0),"",IFERROR(LOOKUP(2,1/((Budgets!$A$2:$A$200=AU$1)*(Budgets!$B$2:$B$200&lt;=$A225)),Budgets!$C$2:$C$200),0))</f>
        <v/>
      </c>
      <c r="AV225" s="88">
        <f>IF(OR(AV$1="",$BE225=0),"",IFERROR(LOOKUP(2,1/((Budgets!$A$2:$A$200=AV$1)*(Budgets!$B$2:$B$200&lt;=$A225)),Budgets!$C$2:$C$200),0))</f>
        <v/>
      </c>
      <c r="AW225" s="88">
        <f>IF(OR(AW$1="",$BE225=0),"",IFERROR(LOOKUP(2,1/((Budgets!$A$2:$A$200=AW$1)*(Budgets!$B$2:$B$200&lt;=$A225)),Budgets!$C$2:$C$200),0))</f>
        <v/>
      </c>
      <c r="AX225" s="88">
        <f>IF(OR(AX$1="",$BE225=0),"",IFERROR(LOOKUP(2,1/((Budgets!$A$2:$A$200=AX$1)*(Budgets!$B$2:$B$200&lt;=$A225)),Budgets!$C$2:$C$200),0))</f>
        <v/>
      </c>
      <c r="AY225" s="88">
        <f>IF(OR(AY$1="",$BE225=0),"",IFERROR(LOOKUP(2,1/((Budgets!$A$2:$A$200=AY$1)*(Budgets!$B$2:$B$200&lt;=$A225)),Budgets!$C$2:$C$200),0))</f>
        <v/>
      </c>
      <c r="AZ225" s="88">
        <f>IF(OR(AZ$1="",$BE225=0),"",IFERROR(LOOKUP(2,1/((Budgets!$A$2:$A$200=AZ$1)*(Budgets!$B$2:$B$200&lt;=$A225)),Budgets!$C$2:$C$200),0))</f>
        <v/>
      </c>
      <c r="BA225" s="88">
        <f>IF(OR(BA$1="",$BE225=0),"",IFERROR(LOOKUP(2,1/((Budgets!$A$2:$A$200=BA$1)*(Budgets!$B$2:$B$200&lt;=$A225)),Budgets!$C$2:$C$200),0))</f>
        <v/>
      </c>
      <c r="BB225" s="88">
        <f>IF(OR(BB$1="",$BE225=0),"",IFERROR(LOOKUP(2,1/((Budgets!$A$2:$A$200=BB$1)*(Budgets!$B$2:$B$200&lt;=$A225)),Budgets!$C$2:$C$200),0))</f>
        <v/>
      </c>
      <c r="BC225" s="88">
        <f>IF(OR(BC$1="",$BE225=0),"",IFERROR(LOOKUP(2,1/((Budgets!$A$2:$A$200=BC$1)*(Budgets!$B$2:$B$200&lt;=$A225)),Budgets!$C$2:$C$200),0))</f>
        <v/>
      </c>
      <c r="BE225" s="67">
        <f>COUNTIFS(Entries!$A$2:$A$5000,$A225)</f>
        <v/>
      </c>
    </row>
    <row r="226" ht="15" customHeight="1" s="43">
      <c r="A226" s="87" t="n">
        <v>46266</v>
      </c>
      <c r="B226" s="88">
        <f>IF($BE226=0,NA(),SUMIFS(Entries!$D$2:$D$5000,Entries!$C$2:$C$5000,"Income",Entries!$A$2:$A$5000,$A226))</f>
        <v/>
      </c>
      <c r="C226" s="88">
        <f>IF($BE226=0,"",SUMIFS(Entries!$D$2:$D$5000,Entries!$C$2:$C$5000,"Actual",Entries!$A$2:$A$5000,$A226))</f>
        <v/>
      </c>
      <c r="D226" s="88">
        <f>IF($BE226=0,"",SUMIFS(Entries!$D$2:$D$5000,Entries!$C$2:$C$5000,"One-off",Entries!$A$2:$A$5000,$A226))</f>
        <v/>
      </c>
      <c r="E226" s="88">
        <f>IF($BE226=0,NA(),C226+D226)</f>
        <v/>
      </c>
      <c r="F226" s="88">
        <f>IF($BE226=0,"",SUM(AJ226:BC226))</f>
        <v/>
      </c>
      <c r="G226" s="88">
        <f>IF($BE226=0,"",B226-E226)</f>
        <v/>
      </c>
      <c r="H226" s="88">
        <f>IF($BE226=0,"",SUM($G$2:G226))</f>
        <v/>
      </c>
      <c r="I226" s="88">
        <f>IF($BE226=0,"",SUMIFS(Entries!$F$2:$F$5000,Entries!$A$2:$A$5000,$A226))</f>
        <v/>
      </c>
      <c r="J226" s="88">
        <f>IF($BE226=0,NA(),H226+SUM($I$2:I226))</f>
        <v/>
      </c>
      <c r="K226" s="88">
        <f>IF($BE226=0,"",SUMIFS(Entries!$D$2:$D$5000,Entries!$C$2:$C$5000,"Income",Entries!$A$2:$A$5000,"&gt;="&amp;EDATE($A226,-11),Entries!$A$2:$A$5000,"&lt;="&amp;$A226)/12)</f>
        <v/>
      </c>
      <c r="L226" s="88">
        <f>IF($BE226=0,"",(SUMIFS(Entries!$D$2:$D$5000,Entries!$C$2:$C$5000,"Actual",Entries!$A$2:$A$5000,"&gt;="&amp;EDATE($A226,-11),Entries!$A$2:$A$5000,"&lt;="&amp;$A226)+SUMIFS(Entries!$D$2:$D$5000,Entries!$C$2:$C$5000,"One-off",Entries!$A$2:$A$5000,"&gt;="&amp;EDATE($A226,-11),Entries!$A$2:$A$5000,"&lt;="&amp;$A226))/12)</f>
        <v/>
      </c>
      <c r="M226" s="71">
        <f>IF($BE226=0,NA(),IFERROR((K226-L226)/K226,0))</f>
        <v/>
      </c>
      <c r="O226" s="88">
        <f>IF(OR(O$1="",$BE226=0),"",SUMIFS(Entries!$D$2:$D$5000,Entries!$C$2:$C$5000,"Actual",Entries!$A$2:$A$5000,$A226,Entries!$B$2:$B$5000,O$1))</f>
        <v/>
      </c>
      <c r="P226" s="88">
        <f>IF(OR(P$1="",$BE226=0),"",SUMIFS(Entries!$D$2:$D$5000,Entries!$C$2:$C$5000,"Actual",Entries!$A$2:$A$5000,$A226,Entries!$B$2:$B$5000,P$1))</f>
        <v/>
      </c>
      <c r="Q226" s="88">
        <f>IF(OR(Q$1="",$BE226=0),"",SUMIFS(Entries!$D$2:$D$5000,Entries!$C$2:$C$5000,"Actual",Entries!$A$2:$A$5000,$A226,Entries!$B$2:$B$5000,Q$1))</f>
        <v/>
      </c>
      <c r="R226" s="88">
        <f>IF(OR(R$1="",$BE226=0),"",SUMIFS(Entries!$D$2:$D$5000,Entries!$C$2:$C$5000,"Actual",Entries!$A$2:$A$5000,$A226,Entries!$B$2:$B$5000,R$1))</f>
        <v/>
      </c>
      <c r="S226" s="88">
        <f>IF(OR(S$1="",$BE226=0),"",SUMIFS(Entries!$D$2:$D$5000,Entries!$C$2:$C$5000,"Actual",Entries!$A$2:$A$5000,$A226,Entries!$B$2:$B$5000,S$1))</f>
        <v/>
      </c>
      <c r="T226" s="88">
        <f>IF(OR(T$1="",$BE226=0),"",SUMIFS(Entries!$D$2:$D$5000,Entries!$C$2:$C$5000,"Actual",Entries!$A$2:$A$5000,$A226,Entries!$B$2:$B$5000,T$1))</f>
        <v/>
      </c>
      <c r="U226" s="88">
        <f>IF(OR(U$1="",$BE226=0),"",SUMIFS(Entries!$D$2:$D$5000,Entries!$C$2:$C$5000,"Actual",Entries!$A$2:$A$5000,$A226,Entries!$B$2:$B$5000,U$1))</f>
        <v/>
      </c>
      <c r="V226" s="88">
        <f>IF(OR(V$1="",$BE226=0),"",SUMIFS(Entries!$D$2:$D$5000,Entries!$C$2:$C$5000,"Actual",Entries!$A$2:$A$5000,$A226,Entries!$B$2:$B$5000,V$1))</f>
        <v/>
      </c>
      <c r="W226" s="88">
        <f>IF(OR(W$1="",$BE226=0),"",SUMIFS(Entries!$D$2:$D$5000,Entries!$C$2:$C$5000,"Actual",Entries!$A$2:$A$5000,$A226,Entries!$B$2:$B$5000,W$1))</f>
        <v/>
      </c>
      <c r="X226" s="88">
        <f>IF(OR(X$1="",$BE226=0),"",SUMIFS(Entries!$D$2:$D$5000,Entries!$C$2:$C$5000,"Actual",Entries!$A$2:$A$5000,$A226,Entries!$B$2:$B$5000,X$1))</f>
        <v/>
      </c>
      <c r="Y226" s="88">
        <f>IF(OR(Y$1="",$BE226=0),"",SUMIFS(Entries!$D$2:$D$5000,Entries!$C$2:$C$5000,"Actual",Entries!$A$2:$A$5000,$A226,Entries!$B$2:$B$5000,Y$1))</f>
        <v/>
      </c>
      <c r="Z226" s="88">
        <f>IF(OR(Z$1="",$BE226=0),"",SUMIFS(Entries!$D$2:$D$5000,Entries!$C$2:$C$5000,"Actual",Entries!$A$2:$A$5000,$A226,Entries!$B$2:$B$5000,Z$1))</f>
        <v/>
      </c>
      <c r="AA226" s="88">
        <f>IF(OR(AA$1="",$BE226=0),"",SUMIFS(Entries!$D$2:$D$5000,Entries!$C$2:$C$5000,"Actual",Entries!$A$2:$A$5000,$A226,Entries!$B$2:$B$5000,AA$1))</f>
        <v/>
      </c>
      <c r="AB226" s="88">
        <f>IF(OR(AB$1="",$BE226=0),"",SUMIFS(Entries!$D$2:$D$5000,Entries!$C$2:$C$5000,"Actual",Entries!$A$2:$A$5000,$A226,Entries!$B$2:$B$5000,AB$1))</f>
        <v/>
      </c>
      <c r="AC226" s="88">
        <f>IF(OR(AC$1="",$BE226=0),"",SUMIFS(Entries!$D$2:$D$5000,Entries!$C$2:$C$5000,"Actual",Entries!$A$2:$A$5000,$A226,Entries!$B$2:$B$5000,AC$1))</f>
        <v/>
      </c>
      <c r="AD226" s="88">
        <f>IF(OR(AD$1="",$BE226=0),"",SUMIFS(Entries!$D$2:$D$5000,Entries!$C$2:$C$5000,"Actual",Entries!$A$2:$A$5000,$A226,Entries!$B$2:$B$5000,AD$1))</f>
        <v/>
      </c>
      <c r="AE226" s="88">
        <f>IF(OR(AE$1="",$BE226=0),"",SUMIFS(Entries!$D$2:$D$5000,Entries!$C$2:$C$5000,"Actual",Entries!$A$2:$A$5000,$A226,Entries!$B$2:$B$5000,AE$1))</f>
        <v/>
      </c>
      <c r="AF226" s="88">
        <f>IF(OR(AF$1="",$BE226=0),"",SUMIFS(Entries!$D$2:$D$5000,Entries!$C$2:$C$5000,"Actual",Entries!$A$2:$A$5000,$A226,Entries!$B$2:$B$5000,AF$1))</f>
        <v/>
      </c>
      <c r="AG226" s="88">
        <f>IF(OR(AG$1="",$BE226=0),"",SUMIFS(Entries!$D$2:$D$5000,Entries!$C$2:$C$5000,"Actual",Entries!$A$2:$A$5000,$A226,Entries!$B$2:$B$5000,AG$1))</f>
        <v/>
      </c>
      <c r="AH226" s="88">
        <f>IF(OR(AH$1="",$BE226=0),"",SUMIFS(Entries!$D$2:$D$5000,Entries!$C$2:$C$5000,"Actual",Entries!$A$2:$A$5000,$A226,Entries!$B$2:$B$5000,AH$1))</f>
        <v/>
      </c>
      <c r="AJ226" s="88">
        <f>IF(OR(AJ$1="",$BE226=0),"",IFERROR(LOOKUP(2,1/((Budgets!$A$2:$A$200=AJ$1)*(Budgets!$B$2:$B$200&lt;=$A226)),Budgets!$C$2:$C$200),0))</f>
        <v/>
      </c>
      <c r="AK226" s="88">
        <f>IF(OR(AK$1="",$BE226=0),"",IFERROR(LOOKUP(2,1/((Budgets!$A$2:$A$200=AK$1)*(Budgets!$B$2:$B$200&lt;=$A226)),Budgets!$C$2:$C$200),0))</f>
        <v/>
      </c>
      <c r="AL226" s="88">
        <f>IF(OR(AL$1="",$BE226=0),"",IFERROR(LOOKUP(2,1/((Budgets!$A$2:$A$200=AL$1)*(Budgets!$B$2:$B$200&lt;=$A226)),Budgets!$C$2:$C$200),0))</f>
        <v/>
      </c>
      <c r="AM226" s="88">
        <f>IF(OR(AM$1="",$BE226=0),"",IFERROR(LOOKUP(2,1/((Budgets!$A$2:$A$200=AM$1)*(Budgets!$B$2:$B$200&lt;=$A226)),Budgets!$C$2:$C$200),0))</f>
        <v/>
      </c>
      <c r="AN226" s="88">
        <f>IF(OR(AN$1="",$BE226=0),"",IFERROR(LOOKUP(2,1/((Budgets!$A$2:$A$200=AN$1)*(Budgets!$B$2:$B$200&lt;=$A226)),Budgets!$C$2:$C$200),0))</f>
        <v/>
      </c>
      <c r="AO226" s="88">
        <f>IF(OR(AO$1="",$BE226=0),"",IFERROR(LOOKUP(2,1/((Budgets!$A$2:$A$200=AO$1)*(Budgets!$B$2:$B$200&lt;=$A226)),Budgets!$C$2:$C$200),0))</f>
        <v/>
      </c>
      <c r="AP226" s="88">
        <f>IF(OR(AP$1="",$BE226=0),"",IFERROR(LOOKUP(2,1/((Budgets!$A$2:$A$200=AP$1)*(Budgets!$B$2:$B$200&lt;=$A226)),Budgets!$C$2:$C$200),0))</f>
        <v/>
      </c>
      <c r="AQ226" s="88">
        <f>IF(OR(AQ$1="",$BE226=0),"",IFERROR(LOOKUP(2,1/((Budgets!$A$2:$A$200=AQ$1)*(Budgets!$B$2:$B$200&lt;=$A226)),Budgets!$C$2:$C$200),0))</f>
        <v/>
      </c>
      <c r="AR226" s="88">
        <f>IF(OR(AR$1="",$BE226=0),"",IFERROR(LOOKUP(2,1/((Budgets!$A$2:$A$200=AR$1)*(Budgets!$B$2:$B$200&lt;=$A226)),Budgets!$C$2:$C$200),0))</f>
        <v/>
      </c>
      <c r="AS226" s="88">
        <f>IF(OR(AS$1="",$BE226=0),"",IFERROR(LOOKUP(2,1/((Budgets!$A$2:$A$200=AS$1)*(Budgets!$B$2:$B$200&lt;=$A226)),Budgets!$C$2:$C$200),0))</f>
        <v/>
      </c>
      <c r="AT226" s="88">
        <f>IF(OR(AT$1="",$BE226=0),"",IFERROR(LOOKUP(2,1/((Budgets!$A$2:$A$200=AT$1)*(Budgets!$B$2:$B$200&lt;=$A226)),Budgets!$C$2:$C$200),0))</f>
        <v/>
      </c>
      <c r="AU226" s="88">
        <f>IF(OR(AU$1="",$BE226=0),"",IFERROR(LOOKUP(2,1/((Budgets!$A$2:$A$200=AU$1)*(Budgets!$B$2:$B$200&lt;=$A226)),Budgets!$C$2:$C$200),0))</f>
        <v/>
      </c>
      <c r="AV226" s="88">
        <f>IF(OR(AV$1="",$BE226=0),"",IFERROR(LOOKUP(2,1/((Budgets!$A$2:$A$200=AV$1)*(Budgets!$B$2:$B$200&lt;=$A226)),Budgets!$C$2:$C$200),0))</f>
        <v/>
      </c>
      <c r="AW226" s="88">
        <f>IF(OR(AW$1="",$BE226=0),"",IFERROR(LOOKUP(2,1/((Budgets!$A$2:$A$200=AW$1)*(Budgets!$B$2:$B$200&lt;=$A226)),Budgets!$C$2:$C$200),0))</f>
        <v/>
      </c>
      <c r="AX226" s="88">
        <f>IF(OR(AX$1="",$BE226=0),"",IFERROR(LOOKUP(2,1/((Budgets!$A$2:$A$200=AX$1)*(Budgets!$B$2:$B$200&lt;=$A226)),Budgets!$C$2:$C$200),0))</f>
        <v/>
      </c>
      <c r="AY226" s="88">
        <f>IF(OR(AY$1="",$BE226=0),"",IFERROR(LOOKUP(2,1/((Budgets!$A$2:$A$200=AY$1)*(Budgets!$B$2:$B$200&lt;=$A226)),Budgets!$C$2:$C$200),0))</f>
        <v/>
      </c>
      <c r="AZ226" s="88">
        <f>IF(OR(AZ$1="",$BE226=0),"",IFERROR(LOOKUP(2,1/((Budgets!$A$2:$A$200=AZ$1)*(Budgets!$B$2:$B$200&lt;=$A226)),Budgets!$C$2:$C$200),0))</f>
        <v/>
      </c>
      <c r="BA226" s="88">
        <f>IF(OR(BA$1="",$BE226=0),"",IFERROR(LOOKUP(2,1/((Budgets!$A$2:$A$200=BA$1)*(Budgets!$B$2:$B$200&lt;=$A226)),Budgets!$C$2:$C$200),0))</f>
        <v/>
      </c>
      <c r="BB226" s="88">
        <f>IF(OR(BB$1="",$BE226=0),"",IFERROR(LOOKUP(2,1/((Budgets!$A$2:$A$200=BB$1)*(Budgets!$B$2:$B$200&lt;=$A226)),Budgets!$C$2:$C$200),0))</f>
        <v/>
      </c>
      <c r="BC226" s="88">
        <f>IF(OR(BC$1="",$BE226=0),"",IFERROR(LOOKUP(2,1/((Budgets!$A$2:$A$200=BC$1)*(Budgets!$B$2:$B$200&lt;=$A226)),Budgets!$C$2:$C$200),0))</f>
        <v/>
      </c>
      <c r="BE226" s="67">
        <f>COUNTIFS(Entries!$A$2:$A$5000,$A226)</f>
        <v/>
      </c>
    </row>
    <row r="227" ht="15" customHeight="1" s="43">
      <c r="A227" s="87" t="n">
        <v>46296</v>
      </c>
      <c r="B227" s="88">
        <f>IF($BE227=0,NA(),SUMIFS(Entries!$D$2:$D$5000,Entries!$C$2:$C$5000,"Income",Entries!$A$2:$A$5000,$A227))</f>
        <v/>
      </c>
      <c r="C227" s="88">
        <f>IF($BE227=0,"",SUMIFS(Entries!$D$2:$D$5000,Entries!$C$2:$C$5000,"Actual",Entries!$A$2:$A$5000,$A227))</f>
        <v/>
      </c>
      <c r="D227" s="88">
        <f>IF($BE227=0,"",SUMIFS(Entries!$D$2:$D$5000,Entries!$C$2:$C$5000,"One-off",Entries!$A$2:$A$5000,$A227))</f>
        <v/>
      </c>
      <c r="E227" s="88">
        <f>IF($BE227=0,NA(),C227+D227)</f>
        <v/>
      </c>
      <c r="F227" s="88">
        <f>IF($BE227=0,"",SUM(AJ227:BC227))</f>
        <v/>
      </c>
      <c r="G227" s="88">
        <f>IF($BE227=0,"",B227-E227)</f>
        <v/>
      </c>
      <c r="H227" s="88">
        <f>IF($BE227=0,"",SUM($G$2:G227))</f>
        <v/>
      </c>
      <c r="I227" s="88">
        <f>IF($BE227=0,"",SUMIFS(Entries!$F$2:$F$5000,Entries!$A$2:$A$5000,$A227))</f>
        <v/>
      </c>
      <c r="J227" s="88">
        <f>IF($BE227=0,NA(),H227+SUM($I$2:I227))</f>
        <v/>
      </c>
      <c r="K227" s="88">
        <f>IF($BE227=0,"",SUMIFS(Entries!$D$2:$D$5000,Entries!$C$2:$C$5000,"Income",Entries!$A$2:$A$5000,"&gt;="&amp;EDATE($A227,-11),Entries!$A$2:$A$5000,"&lt;="&amp;$A227)/12)</f>
        <v/>
      </c>
      <c r="L227" s="88">
        <f>IF($BE227=0,"",(SUMIFS(Entries!$D$2:$D$5000,Entries!$C$2:$C$5000,"Actual",Entries!$A$2:$A$5000,"&gt;="&amp;EDATE($A227,-11),Entries!$A$2:$A$5000,"&lt;="&amp;$A227)+SUMIFS(Entries!$D$2:$D$5000,Entries!$C$2:$C$5000,"One-off",Entries!$A$2:$A$5000,"&gt;="&amp;EDATE($A227,-11),Entries!$A$2:$A$5000,"&lt;="&amp;$A227))/12)</f>
        <v/>
      </c>
      <c r="M227" s="71">
        <f>IF($BE227=0,NA(),IFERROR((K227-L227)/K227,0))</f>
        <v/>
      </c>
      <c r="O227" s="88">
        <f>IF(OR(O$1="",$BE227=0),"",SUMIFS(Entries!$D$2:$D$5000,Entries!$C$2:$C$5000,"Actual",Entries!$A$2:$A$5000,$A227,Entries!$B$2:$B$5000,O$1))</f>
        <v/>
      </c>
      <c r="P227" s="88">
        <f>IF(OR(P$1="",$BE227=0),"",SUMIFS(Entries!$D$2:$D$5000,Entries!$C$2:$C$5000,"Actual",Entries!$A$2:$A$5000,$A227,Entries!$B$2:$B$5000,P$1))</f>
        <v/>
      </c>
      <c r="Q227" s="88">
        <f>IF(OR(Q$1="",$BE227=0),"",SUMIFS(Entries!$D$2:$D$5000,Entries!$C$2:$C$5000,"Actual",Entries!$A$2:$A$5000,$A227,Entries!$B$2:$B$5000,Q$1))</f>
        <v/>
      </c>
      <c r="R227" s="88">
        <f>IF(OR(R$1="",$BE227=0),"",SUMIFS(Entries!$D$2:$D$5000,Entries!$C$2:$C$5000,"Actual",Entries!$A$2:$A$5000,$A227,Entries!$B$2:$B$5000,R$1))</f>
        <v/>
      </c>
      <c r="S227" s="88">
        <f>IF(OR(S$1="",$BE227=0),"",SUMIFS(Entries!$D$2:$D$5000,Entries!$C$2:$C$5000,"Actual",Entries!$A$2:$A$5000,$A227,Entries!$B$2:$B$5000,S$1))</f>
        <v/>
      </c>
      <c r="T227" s="88">
        <f>IF(OR(T$1="",$BE227=0),"",SUMIFS(Entries!$D$2:$D$5000,Entries!$C$2:$C$5000,"Actual",Entries!$A$2:$A$5000,$A227,Entries!$B$2:$B$5000,T$1))</f>
        <v/>
      </c>
      <c r="U227" s="88">
        <f>IF(OR(U$1="",$BE227=0),"",SUMIFS(Entries!$D$2:$D$5000,Entries!$C$2:$C$5000,"Actual",Entries!$A$2:$A$5000,$A227,Entries!$B$2:$B$5000,U$1))</f>
        <v/>
      </c>
      <c r="V227" s="88">
        <f>IF(OR(V$1="",$BE227=0),"",SUMIFS(Entries!$D$2:$D$5000,Entries!$C$2:$C$5000,"Actual",Entries!$A$2:$A$5000,$A227,Entries!$B$2:$B$5000,V$1))</f>
        <v/>
      </c>
      <c r="W227" s="88">
        <f>IF(OR(W$1="",$BE227=0),"",SUMIFS(Entries!$D$2:$D$5000,Entries!$C$2:$C$5000,"Actual",Entries!$A$2:$A$5000,$A227,Entries!$B$2:$B$5000,W$1))</f>
        <v/>
      </c>
      <c r="X227" s="88">
        <f>IF(OR(X$1="",$BE227=0),"",SUMIFS(Entries!$D$2:$D$5000,Entries!$C$2:$C$5000,"Actual",Entries!$A$2:$A$5000,$A227,Entries!$B$2:$B$5000,X$1))</f>
        <v/>
      </c>
      <c r="Y227" s="88">
        <f>IF(OR(Y$1="",$BE227=0),"",SUMIFS(Entries!$D$2:$D$5000,Entries!$C$2:$C$5000,"Actual",Entries!$A$2:$A$5000,$A227,Entries!$B$2:$B$5000,Y$1))</f>
        <v/>
      </c>
      <c r="Z227" s="88">
        <f>IF(OR(Z$1="",$BE227=0),"",SUMIFS(Entries!$D$2:$D$5000,Entries!$C$2:$C$5000,"Actual",Entries!$A$2:$A$5000,$A227,Entries!$B$2:$B$5000,Z$1))</f>
        <v/>
      </c>
      <c r="AA227" s="88">
        <f>IF(OR(AA$1="",$BE227=0),"",SUMIFS(Entries!$D$2:$D$5000,Entries!$C$2:$C$5000,"Actual",Entries!$A$2:$A$5000,$A227,Entries!$B$2:$B$5000,AA$1))</f>
        <v/>
      </c>
      <c r="AB227" s="88">
        <f>IF(OR(AB$1="",$BE227=0),"",SUMIFS(Entries!$D$2:$D$5000,Entries!$C$2:$C$5000,"Actual",Entries!$A$2:$A$5000,$A227,Entries!$B$2:$B$5000,AB$1))</f>
        <v/>
      </c>
      <c r="AC227" s="88">
        <f>IF(OR(AC$1="",$BE227=0),"",SUMIFS(Entries!$D$2:$D$5000,Entries!$C$2:$C$5000,"Actual",Entries!$A$2:$A$5000,$A227,Entries!$B$2:$B$5000,AC$1))</f>
        <v/>
      </c>
      <c r="AD227" s="88">
        <f>IF(OR(AD$1="",$BE227=0),"",SUMIFS(Entries!$D$2:$D$5000,Entries!$C$2:$C$5000,"Actual",Entries!$A$2:$A$5000,$A227,Entries!$B$2:$B$5000,AD$1))</f>
        <v/>
      </c>
      <c r="AE227" s="88">
        <f>IF(OR(AE$1="",$BE227=0),"",SUMIFS(Entries!$D$2:$D$5000,Entries!$C$2:$C$5000,"Actual",Entries!$A$2:$A$5000,$A227,Entries!$B$2:$B$5000,AE$1))</f>
        <v/>
      </c>
      <c r="AF227" s="88">
        <f>IF(OR(AF$1="",$BE227=0),"",SUMIFS(Entries!$D$2:$D$5000,Entries!$C$2:$C$5000,"Actual",Entries!$A$2:$A$5000,$A227,Entries!$B$2:$B$5000,AF$1))</f>
        <v/>
      </c>
      <c r="AG227" s="88">
        <f>IF(OR(AG$1="",$BE227=0),"",SUMIFS(Entries!$D$2:$D$5000,Entries!$C$2:$C$5000,"Actual",Entries!$A$2:$A$5000,$A227,Entries!$B$2:$B$5000,AG$1))</f>
        <v/>
      </c>
      <c r="AH227" s="88">
        <f>IF(OR(AH$1="",$BE227=0),"",SUMIFS(Entries!$D$2:$D$5000,Entries!$C$2:$C$5000,"Actual",Entries!$A$2:$A$5000,$A227,Entries!$B$2:$B$5000,AH$1))</f>
        <v/>
      </c>
      <c r="AJ227" s="88">
        <f>IF(OR(AJ$1="",$BE227=0),"",IFERROR(LOOKUP(2,1/((Budgets!$A$2:$A$200=AJ$1)*(Budgets!$B$2:$B$200&lt;=$A227)),Budgets!$C$2:$C$200),0))</f>
        <v/>
      </c>
      <c r="AK227" s="88">
        <f>IF(OR(AK$1="",$BE227=0),"",IFERROR(LOOKUP(2,1/((Budgets!$A$2:$A$200=AK$1)*(Budgets!$B$2:$B$200&lt;=$A227)),Budgets!$C$2:$C$200),0))</f>
        <v/>
      </c>
      <c r="AL227" s="88">
        <f>IF(OR(AL$1="",$BE227=0),"",IFERROR(LOOKUP(2,1/((Budgets!$A$2:$A$200=AL$1)*(Budgets!$B$2:$B$200&lt;=$A227)),Budgets!$C$2:$C$200),0))</f>
        <v/>
      </c>
      <c r="AM227" s="88">
        <f>IF(OR(AM$1="",$BE227=0),"",IFERROR(LOOKUP(2,1/((Budgets!$A$2:$A$200=AM$1)*(Budgets!$B$2:$B$200&lt;=$A227)),Budgets!$C$2:$C$200),0))</f>
        <v/>
      </c>
      <c r="AN227" s="88">
        <f>IF(OR(AN$1="",$BE227=0),"",IFERROR(LOOKUP(2,1/((Budgets!$A$2:$A$200=AN$1)*(Budgets!$B$2:$B$200&lt;=$A227)),Budgets!$C$2:$C$200),0))</f>
        <v/>
      </c>
      <c r="AO227" s="88">
        <f>IF(OR(AO$1="",$BE227=0),"",IFERROR(LOOKUP(2,1/((Budgets!$A$2:$A$200=AO$1)*(Budgets!$B$2:$B$200&lt;=$A227)),Budgets!$C$2:$C$200),0))</f>
        <v/>
      </c>
      <c r="AP227" s="88">
        <f>IF(OR(AP$1="",$BE227=0),"",IFERROR(LOOKUP(2,1/((Budgets!$A$2:$A$200=AP$1)*(Budgets!$B$2:$B$200&lt;=$A227)),Budgets!$C$2:$C$200),0))</f>
        <v/>
      </c>
      <c r="AQ227" s="88">
        <f>IF(OR(AQ$1="",$BE227=0),"",IFERROR(LOOKUP(2,1/((Budgets!$A$2:$A$200=AQ$1)*(Budgets!$B$2:$B$200&lt;=$A227)),Budgets!$C$2:$C$200),0))</f>
        <v/>
      </c>
      <c r="AR227" s="88">
        <f>IF(OR(AR$1="",$BE227=0),"",IFERROR(LOOKUP(2,1/((Budgets!$A$2:$A$200=AR$1)*(Budgets!$B$2:$B$200&lt;=$A227)),Budgets!$C$2:$C$200),0))</f>
        <v/>
      </c>
      <c r="AS227" s="88">
        <f>IF(OR(AS$1="",$BE227=0),"",IFERROR(LOOKUP(2,1/((Budgets!$A$2:$A$200=AS$1)*(Budgets!$B$2:$B$200&lt;=$A227)),Budgets!$C$2:$C$200),0))</f>
        <v/>
      </c>
      <c r="AT227" s="88">
        <f>IF(OR(AT$1="",$BE227=0),"",IFERROR(LOOKUP(2,1/((Budgets!$A$2:$A$200=AT$1)*(Budgets!$B$2:$B$200&lt;=$A227)),Budgets!$C$2:$C$200),0))</f>
        <v/>
      </c>
      <c r="AU227" s="88">
        <f>IF(OR(AU$1="",$BE227=0),"",IFERROR(LOOKUP(2,1/((Budgets!$A$2:$A$200=AU$1)*(Budgets!$B$2:$B$200&lt;=$A227)),Budgets!$C$2:$C$200),0))</f>
        <v/>
      </c>
      <c r="AV227" s="88">
        <f>IF(OR(AV$1="",$BE227=0),"",IFERROR(LOOKUP(2,1/((Budgets!$A$2:$A$200=AV$1)*(Budgets!$B$2:$B$200&lt;=$A227)),Budgets!$C$2:$C$200),0))</f>
        <v/>
      </c>
      <c r="AW227" s="88">
        <f>IF(OR(AW$1="",$BE227=0),"",IFERROR(LOOKUP(2,1/((Budgets!$A$2:$A$200=AW$1)*(Budgets!$B$2:$B$200&lt;=$A227)),Budgets!$C$2:$C$200),0))</f>
        <v/>
      </c>
      <c r="AX227" s="88">
        <f>IF(OR(AX$1="",$BE227=0),"",IFERROR(LOOKUP(2,1/((Budgets!$A$2:$A$200=AX$1)*(Budgets!$B$2:$B$200&lt;=$A227)),Budgets!$C$2:$C$200),0))</f>
        <v/>
      </c>
      <c r="AY227" s="88">
        <f>IF(OR(AY$1="",$BE227=0),"",IFERROR(LOOKUP(2,1/((Budgets!$A$2:$A$200=AY$1)*(Budgets!$B$2:$B$200&lt;=$A227)),Budgets!$C$2:$C$200),0))</f>
        <v/>
      </c>
      <c r="AZ227" s="88">
        <f>IF(OR(AZ$1="",$BE227=0),"",IFERROR(LOOKUP(2,1/((Budgets!$A$2:$A$200=AZ$1)*(Budgets!$B$2:$B$200&lt;=$A227)),Budgets!$C$2:$C$200),0))</f>
        <v/>
      </c>
      <c r="BA227" s="88">
        <f>IF(OR(BA$1="",$BE227=0),"",IFERROR(LOOKUP(2,1/((Budgets!$A$2:$A$200=BA$1)*(Budgets!$B$2:$B$200&lt;=$A227)),Budgets!$C$2:$C$200),0))</f>
        <v/>
      </c>
      <c r="BB227" s="88">
        <f>IF(OR(BB$1="",$BE227=0),"",IFERROR(LOOKUP(2,1/((Budgets!$A$2:$A$200=BB$1)*(Budgets!$B$2:$B$200&lt;=$A227)),Budgets!$C$2:$C$200),0))</f>
        <v/>
      </c>
      <c r="BC227" s="88">
        <f>IF(OR(BC$1="",$BE227=0),"",IFERROR(LOOKUP(2,1/((Budgets!$A$2:$A$200=BC$1)*(Budgets!$B$2:$B$200&lt;=$A227)),Budgets!$C$2:$C$200),0))</f>
        <v/>
      </c>
      <c r="BE227" s="67">
        <f>COUNTIFS(Entries!$A$2:$A$5000,$A227)</f>
        <v/>
      </c>
    </row>
    <row r="228" ht="15" customHeight="1" s="43">
      <c r="A228" s="87" t="n">
        <v>46327</v>
      </c>
      <c r="B228" s="88">
        <f>IF($BE228=0,NA(),SUMIFS(Entries!$D$2:$D$5000,Entries!$C$2:$C$5000,"Income",Entries!$A$2:$A$5000,$A228))</f>
        <v/>
      </c>
      <c r="C228" s="88">
        <f>IF($BE228=0,"",SUMIFS(Entries!$D$2:$D$5000,Entries!$C$2:$C$5000,"Actual",Entries!$A$2:$A$5000,$A228))</f>
        <v/>
      </c>
      <c r="D228" s="88">
        <f>IF($BE228=0,"",SUMIFS(Entries!$D$2:$D$5000,Entries!$C$2:$C$5000,"One-off",Entries!$A$2:$A$5000,$A228))</f>
        <v/>
      </c>
      <c r="E228" s="88">
        <f>IF($BE228=0,NA(),C228+D228)</f>
        <v/>
      </c>
      <c r="F228" s="88">
        <f>IF($BE228=0,"",SUM(AJ228:BC228))</f>
        <v/>
      </c>
      <c r="G228" s="88">
        <f>IF($BE228=0,"",B228-E228)</f>
        <v/>
      </c>
      <c r="H228" s="88">
        <f>IF($BE228=0,"",SUM($G$2:G228))</f>
        <v/>
      </c>
      <c r="I228" s="88">
        <f>IF($BE228=0,"",SUMIFS(Entries!$F$2:$F$5000,Entries!$A$2:$A$5000,$A228))</f>
        <v/>
      </c>
      <c r="J228" s="88">
        <f>IF($BE228=0,NA(),H228+SUM($I$2:I228))</f>
        <v/>
      </c>
      <c r="K228" s="88">
        <f>IF($BE228=0,"",SUMIFS(Entries!$D$2:$D$5000,Entries!$C$2:$C$5000,"Income",Entries!$A$2:$A$5000,"&gt;="&amp;EDATE($A228,-11),Entries!$A$2:$A$5000,"&lt;="&amp;$A228)/12)</f>
        <v/>
      </c>
      <c r="L228" s="88">
        <f>IF($BE228=0,"",(SUMIFS(Entries!$D$2:$D$5000,Entries!$C$2:$C$5000,"Actual",Entries!$A$2:$A$5000,"&gt;="&amp;EDATE($A228,-11),Entries!$A$2:$A$5000,"&lt;="&amp;$A228)+SUMIFS(Entries!$D$2:$D$5000,Entries!$C$2:$C$5000,"One-off",Entries!$A$2:$A$5000,"&gt;="&amp;EDATE($A228,-11),Entries!$A$2:$A$5000,"&lt;="&amp;$A228))/12)</f>
        <v/>
      </c>
      <c r="M228" s="71">
        <f>IF($BE228=0,NA(),IFERROR((K228-L228)/K228,0))</f>
        <v/>
      </c>
      <c r="O228" s="88">
        <f>IF(OR(O$1="",$BE228=0),"",SUMIFS(Entries!$D$2:$D$5000,Entries!$C$2:$C$5000,"Actual",Entries!$A$2:$A$5000,$A228,Entries!$B$2:$B$5000,O$1))</f>
        <v/>
      </c>
      <c r="P228" s="88">
        <f>IF(OR(P$1="",$BE228=0),"",SUMIFS(Entries!$D$2:$D$5000,Entries!$C$2:$C$5000,"Actual",Entries!$A$2:$A$5000,$A228,Entries!$B$2:$B$5000,P$1))</f>
        <v/>
      </c>
      <c r="Q228" s="88">
        <f>IF(OR(Q$1="",$BE228=0),"",SUMIFS(Entries!$D$2:$D$5000,Entries!$C$2:$C$5000,"Actual",Entries!$A$2:$A$5000,$A228,Entries!$B$2:$B$5000,Q$1))</f>
        <v/>
      </c>
      <c r="R228" s="88">
        <f>IF(OR(R$1="",$BE228=0),"",SUMIFS(Entries!$D$2:$D$5000,Entries!$C$2:$C$5000,"Actual",Entries!$A$2:$A$5000,$A228,Entries!$B$2:$B$5000,R$1))</f>
        <v/>
      </c>
      <c r="S228" s="88">
        <f>IF(OR(S$1="",$BE228=0),"",SUMIFS(Entries!$D$2:$D$5000,Entries!$C$2:$C$5000,"Actual",Entries!$A$2:$A$5000,$A228,Entries!$B$2:$B$5000,S$1))</f>
        <v/>
      </c>
      <c r="T228" s="88">
        <f>IF(OR(T$1="",$BE228=0),"",SUMIFS(Entries!$D$2:$D$5000,Entries!$C$2:$C$5000,"Actual",Entries!$A$2:$A$5000,$A228,Entries!$B$2:$B$5000,T$1))</f>
        <v/>
      </c>
      <c r="U228" s="88">
        <f>IF(OR(U$1="",$BE228=0),"",SUMIFS(Entries!$D$2:$D$5000,Entries!$C$2:$C$5000,"Actual",Entries!$A$2:$A$5000,$A228,Entries!$B$2:$B$5000,U$1))</f>
        <v/>
      </c>
      <c r="V228" s="88">
        <f>IF(OR(V$1="",$BE228=0),"",SUMIFS(Entries!$D$2:$D$5000,Entries!$C$2:$C$5000,"Actual",Entries!$A$2:$A$5000,$A228,Entries!$B$2:$B$5000,V$1))</f>
        <v/>
      </c>
      <c r="W228" s="88">
        <f>IF(OR(W$1="",$BE228=0),"",SUMIFS(Entries!$D$2:$D$5000,Entries!$C$2:$C$5000,"Actual",Entries!$A$2:$A$5000,$A228,Entries!$B$2:$B$5000,W$1))</f>
        <v/>
      </c>
      <c r="X228" s="88">
        <f>IF(OR(X$1="",$BE228=0),"",SUMIFS(Entries!$D$2:$D$5000,Entries!$C$2:$C$5000,"Actual",Entries!$A$2:$A$5000,$A228,Entries!$B$2:$B$5000,X$1))</f>
        <v/>
      </c>
      <c r="Y228" s="88">
        <f>IF(OR(Y$1="",$BE228=0),"",SUMIFS(Entries!$D$2:$D$5000,Entries!$C$2:$C$5000,"Actual",Entries!$A$2:$A$5000,$A228,Entries!$B$2:$B$5000,Y$1))</f>
        <v/>
      </c>
      <c r="Z228" s="88">
        <f>IF(OR(Z$1="",$BE228=0),"",SUMIFS(Entries!$D$2:$D$5000,Entries!$C$2:$C$5000,"Actual",Entries!$A$2:$A$5000,$A228,Entries!$B$2:$B$5000,Z$1))</f>
        <v/>
      </c>
      <c r="AA228" s="88">
        <f>IF(OR(AA$1="",$BE228=0),"",SUMIFS(Entries!$D$2:$D$5000,Entries!$C$2:$C$5000,"Actual",Entries!$A$2:$A$5000,$A228,Entries!$B$2:$B$5000,AA$1))</f>
        <v/>
      </c>
      <c r="AB228" s="88">
        <f>IF(OR(AB$1="",$BE228=0),"",SUMIFS(Entries!$D$2:$D$5000,Entries!$C$2:$C$5000,"Actual",Entries!$A$2:$A$5000,$A228,Entries!$B$2:$B$5000,AB$1))</f>
        <v/>
      </c>
      <c r="AC228" s="88">
        <f>IF(OR(AC$1="",$BE228=0),"",SUMIFS(Entries!$D$2:$D$5000,Entries!$C$2:$C$5000,"Actual",Entries!$A$2:$A$5000,$A228,Entries!$B$2:$B$5000,AC$1))</f>
        <v/>
      </c>
      <c r="AD228" s="88">
        <f>IF(OR(AD$1="",$BE228=0),"",SUMIFS(Entries!$D$2:$D$5000,Entries!$C$2:$C$5000,"Actual",Entries!$A$2:$A$5000,$A228,Entries!$B$2:$B$5000,AD$1))</f>
        <v/>
      </c>
      <c r="AE228" s="88">
        <f>IF(OR(AE$1="",$BE228=0),"",SUMIFS(Entries!$D$2:$D$5000,Entries!$C$2:$C$5000,"Actual",Entries!$A$2:$A$5000,$A228,Entries!$B$2:$B$5000,AE$1))</f>
        <v/>
      </c>
      <c r="AF228" s="88">
        <f>IF(OR(AF$1="",$BE228=0),"",SUMIFS(Entries!$D$2:$D$5000,Entries!$C$2:$C$5000,"Actual",Entries!$A$2:$A$5000,$A228,Entries!$B$2:$B$5000,AF$1))</f>
        <v/>
      </c>
      <c r="AG228" s="88">
        <f>IF(OR(AG$1="",$BE228=0),"",SUMIFS(Entries!$D$2:$D$5000,Entries!$C$2:$C$5000,"Actual",Entries!$A$2:$A$5000,$A228,Entries!$B$2:$B$5000,AG$1))</f>
        <v/>
      </c>
      <c r="AH228" s="88">
        <f>IF(OR(AH$1="",$BE228=0),"",SUMIFS(Entries!$D$2:$D$5000,Entries!$C$2:$C$5000,"Actual",Entries!$A$2:$A$5000,$A228,Entries!$B$2:$B$5000,AH$1))</f>
        <v/>
      </c>
      <c r="AJ228" s="88">
        <f>IF(OR(AJ$1="",$BE228=0),"",IFERROR(LOOKUP(2,1/((Budgets!$A$2:$A$200=AJ$1)*(Budgets!$B$2:$B$200&lt;=$A228)),Budgets!$C$2:$C$200),0))</f>
        <v/>
      </c>
      <c r="AK228" s="88">
        <f>IF(OR(AK$1="",$BE228=0),"",IFERROR(LOOKUP(2,1/((Budgets!$A$2:$A$200=AK$1)*(Budgets!$B$2:$B$200&lt;=$A228)),Budgets!$C$2:$C$200),0))</f>
        <v/>
      </c>
      <c r="AL228" s="88">
        <f>IF(OR(AL$1="",$BE228=0),"",IFERROR(LOOKUP(2,1/((Budgets!$A$2:$A$200=AL$1)*(Budgets!$B$2:$B$200&lt;=$A228)),Budgets!$C$2:$C$200),0))</f>
        <v/>
      </c>
      <c r="AM228" s="88">
        <f>IF(OR(AM$1="",$BE228=0),"",IFERROR(LOOKUP(2,1/((Budgets!$A$2:$A$200=AM$1)*(Budgets!$B$2:$B$200&lt;=$A228)),Budgets!$C$2:$C$200),0))</f>
        <v/>
      </c>
      <c r="AN228" s="88">
        <f>IF(OR(AN$1="",$BE228=0),"",IFERROR(LOOKUP(2,1/((Budgets!$A$2:$A$200=AN$1)*(Budgets!$B$2:$B$200&lt;=$A228)),Budgets!$C$2:$C$200),0))</f>
        <v/>
      </c>
      <c r="AO228" s="88">
        <f>IF(OR(AO$1="",$BE228=0),"",IFERROR(LOOKUP(2,1/((Budgets!$A$2:$A$200=AO$1)*(Budgets!$B$2:$B$200&lt;=$A228)),Budgets!$C$2:$C$200),0))</f>
        <v/>
      </c>
      <c r="AP228" s="88">
        <f>IF(OR(AP$1="",$BE228=0),"",IFERROR(LOOKUP(2,1/((Budgets!$A$2:$A$200=AP$1)*(Budgets!$B$2:$B$200&lt;=$A228)),Budgets!$C$2:$C$200),0))</f>
        <v/>
      </c>
      <c r="AQ228" s="88">
        <f>IF(OR(AQ$1="",$BE228=0),"",IFERROR(LOOKUP(2,1/((Budgets!$A$2:$A$200=AQ$1)*(Budgets!$B$2:$B$200&lt;=$A228)),Budgets!$C$2:$C$200),0))</f>
        <v/>
      </c>
      <c r="AR228" s="88">
        <f>IF(OR(AR$1="",$BE228=0),"",IFERROR(LOOKUP(2,1/((Budgets!$A$2:$A$200=AR$1)*(Budgets!$B$2:$B$200&lt;=$A228)),Budgets!$C$2:$C$200),0))</f>
        <v/>
      </c>
      <c r="AS228" s="88">
        <f>IF(OR(AS$1="",$BE228=0),"",IFERROR(LOOKUP(2,1/((Budgets!$A$2:$A$200=AS$1)*(Budgets!$B$2:$B$200&lt;=$A228)),Budgets!$C$2:$C$200),0))</f>
        <v/>
      </c>
      <c r="AT228" s="88">
        <f>IF(OR(AT$1="",$BE228=0),"",IFERROR(LOOKUP(2,1/((Budgets!$A$2:$A$200=AT$1)*(Budgets!$B$2:$B$200&lt;=$A228)),Budgets!$C$2:$C$200),0))</f>
        <v/>
      </c>
      <c r="AU228" s="88">
        <f>IF(OR(AU$1="",$BE228=0),"",IFERROR(LOOKUP(2,1/((Budgets!$A$2:$A$200=AU$1)*(Budgets!$B$2:$B$200&lt;=$A228)),Budgets!$C$2:$C$200),0))</f>
        <v/>
      </c>
      <c r="AV228" s="88">
        <f>IF(OR(AV$1="",$BE228=0),"",IFERROR(LOOKUP(2,1/((Budgets!$A$2:$A$200=AV$1)*(Budgets!$B$2:$B$200&lt;=$A228)),Budgets!$C$2:$C$200),0))</f>
        <v/>
      </c>
      <c r="AW228" s="88">
        <f>IF(OR(AW$1="",$BE228=0),"",IFERROR(LOOKUP(2,1/((Budgets!$A$2:$A$200=AW$1)*(Budgets!$B$2:$B$200&lt;=$A228)),Budgets!$C$2:$C$200),0))</f>
        <v/>
      </c>
      <c r="AX228" s="88">
        <f>IF(OR(AX$1="",$BE228=0),"",IFERROR(LOOKUP(2,1/((Budgets!$A$2:$A$200=AX$1)*(Budgets!$B$2:$B$200&lt;=$A228)),Budgets!$C$2:$C$200),0))</f>
        <v/>
      </c>
      <c r="AY228" s="88">
        <f>IF(OR(AY$1="",$BE228=0),"",IFERROR(LOOKUP(2,1/((Budgets!$A$2:$A$200=AY$1)*(Budgets!$B$2:$B$200&lt;=$A228)),Budgets!$C$2:$C$200),0))</f>
        <v/>
      </c>
      <c r="AZ228" s="88">
        <f>IF(OR(AZ$1="",$BE228=0),"",IFERROR(LOOKUP(2,1/((Budgets!$A$2:$A$200=AZ$1)*(Budgets!$B$2:$B$200&lt;=$A228)),Budgets!$C$2:$C$200),0))</f>
        <v/>
      </c>
      <c r="BA228" s="88">
        <f>IF(OR(BA$1="",$BE228=0),"",IFERROR(LOOKUP(2,1/((Budgets!$A$2:$A$200=BA$1)*(Budgets!$B$2:$B$200&lt;=$A228)),Budgets!$C$2:$C$200),0))</f>
        <v/>
      </c>
      <c r="BB228" s="88">
        <f>IF(OR(BB$1="",$BE228=0),"",IFERROR(LOOKUP(2,1/((Budgets!$A$2:$A$200=BB$1)*(Budgets!$B$2:$B$200&lt;=$A228)),Budgets!$C$2:$C$200),0))</f>
        <v/>
      </c>
      <c r="BC228" s="88">
        <f>IF(OR(BC$1="",$BE228=0),"",IFERROR(LOOKUP(2,1/((Budgets!$A$2:$A$200=BC$1)*(Budgets!$B$2:$B$200&lt;=$A228)),Budgets!$C$2:$C$200),0))</f>
        <v/>
      </c>
      <c r="BE228" s="67">
        <f>COUNTIFS(Entries!$A$2:$A$5000,$A228)</f>
        <v/>
      </c>
    </row>
    <row r="229" ht="15" customHeight="1" s="43">
      <c r="A229" s="87" t="n">
        <v>46357</v>
      </c>
      <c r="B229" s="88">
        <f>IF($BE229=0,NA(),SUMIFS(Entries!$D$2:$D$5000,Entries!$C$2:$C$5000,"Income",Entries!$A$2:$A$5000,$A229))</f>
        <v/>
      </c>
      <c r="C229" s="88">
        <f>IF($BE229=0,"",SUMIFS(Entries!$D$2:$D$5000,Entries!$C$2:$C$5000,"Actual",Entries!$A$2:$A$5000,$A229))</f>
        <v/>
      </c>
      <c r="D229" s="88">
        <f>IF($BE229=0,"",SUMIFS(Entries!$D$2:$D$5000,Entries!$C$2:$C$5000,"One-off",Entries!$A$2:$A$5000,$A229))</f>
        <v/>
      </c>
      <c r="E229" s="88">
        <f>IF($BE229=0,NA(),C229+D229)</f>
        <v/>
      </c>
      <c r="F229" s="88">
        <f>IF($BE229=0,"",SUM(AJ229:BC229))</f>
        <v/>
      </c>
      <c r="G229" s="88">
        <f>IF($BE229=0,"",B229-E229)</f>
        <v/>
      </c>
      <c r="H229" s="88">
        <f>IF($BE229=0,"",SUM($G$2:G229))</f>
        <v/>
      </c>
      <c r="I229" s="88">
        <f>IF($BE229=0,"",SUMIFS(Entries!$F$2:$F$5000,Entries!$A$2:$A$5000,$A229))</f>
        <v/>
      </c>
      <c r="J229" s="88">
        <f>IF($BE229=0,NA(),H229+SUM($I$2:I229))</f>
        <v/>
      </c>
      <c r="K229" s="88">
        <f>IF($BE229=0,"",SUMIFS(Entries!$D$2:$D$5000,Entries!$C$2:$C$5000,"Income",Entries!$A$2:$A$5000,"&gt;="&amp;EDATE($A229,-11),Entries!$A$2:$A$5000,"&lt;="&amp;$A229)/12)</f>
        <v/>
      </c>
      <c r="L229" s="88">
        <f>IF($BE229=0,"",(SUMIFS(Entries!$D$2:$D$5000,Entries!$C$2:$C$5000,"Actual",Entries!$A$2:$A$5000,"&gt;="&amp;EDATE($A229,-11),Entries!$A$2:$A$5000,"&lt;="&amp;$A229)+SUMIFS(Entries!$D$2:$D$5000,Entries!$C$2:$C$5000,"One-off",Entries!$A$2:$A$5000,"&gt;="&amp;EDATE($A229,-11),Entries!$A$2:$A$5000,"&lt;="&amp;$A229))/12)</f>
        <v/>
      </c>
      <c r="M229" s="71">
        <f>IF($BE229=0,NA(),IFERROR((K229-L229)/K229,0))</f>
        <v/>
      </c>
      <c r="O229" s="88">
        <f>IF(OR(O$1="",$BE229=0),"",SUMIFS(Entries!$D$2:$D$5000,Entries!$C$2:$C$5000,"Actual",Entries!$A$2:$A$5000,$A229,Entries!$B$2:$B$5000,O$1))</f>
        <v/>
      </c>
      <c r="P229" s="88">
        <f>IF(OR(P$1="",$BE229=0),"",SUMIFS(Entries!$D$2:$D$5000,Entries!$C$2:$C$5000,"Actual",Entries!$A$2:$A$5000,$A229,Entries!$B$2:$B$5000,P$1))</f>
        <v/>
      </c>
      <c r="Q229" s="88">
        <f>IF(OR(Q$1="",$BE229=0),"",SUMIFS(Entries!$D$2:$D$5000,Entries!$C$2:$C$5000,"Actual",Entries!$A$2:$A$5000,$A229,Entries!$B$2:$B$5000,Q$1))</f>
        <v/>
      </c>
      <c r="R229" s="88">
        <f>IF(OR(R$1="",$BE229=0),"",SUMIFS(Entries!$D$2:$D$5000,Entries!$C$2:$C$5000,"Actual",Entries!$A$2:$A$5000,$A229,Entries!$B$2:$B$5000,R$1))</f>
        <v/>
      </c>
      <c r="S229" s="88">
        <f>IF(OR(S$1="",$BE229=0),"",SUMIFS(Entries!$D$2:$D$5000,Entries!$C$2:$C$5000,"Actual",Entries!$A$2:$A$5000,$A229,Entries!$B$2:$B$5000,S$1))</f>
        <v/>
      </c>
      <c r="T229" s="88">
        <f>IF(OR(T$1="",$BE229=0),"",SUMIFS(Entries!$D$2:$D$5000,Entries!$C$2:$C$5000,"Actual",Entries!$A$2:$A$5000,$A229,Entries!$B$2:$B$5000,T$1))</f>
        <v/>
      </c>
      <c r="U229" s="88">
        <f>IF(OR(U$1="",$BE229=0),"",SUMIFS(Entries!$D$2:$D$5000,Entries!$C$2:$C$5000,"Actual",Entries!$A$2:$A$5000,$A229,Entries!$B$2:$B$5000,U$1))</f>
        <v/>
      </c>
      <c r="V229" s="88">
        <f>IF(OR(V$1="",$BE229=0),"",SUMIFS(Entries!$D$2:$D$5000,Entries!$C$2:$C$5000,"Actual",Entries!$A$2:$A$5000,$A229,Entries!$B$2:$B$5000,V$1))</f>
        <v/>
      </c>
      <c r="W229" s="88">
        <f>IF(OR(W$1="",$BE229=0),"",SUMIFS(Entries!$D$2:$D$5000,Entries!$C$2:$C$5000,"Actual",Entries!$A$2:$A$5000,$A229,Entries!$B$2:$B$5000,W$1))</f>
        <v/>
      </c>
      <c r="X229" s="88">
        <f>IF(OR(X$1="",$BE229=0),"",SUMIFS(Entries!$D$2:$D$5000,Entries!$C$2:$C$5000,"Actual",Entries!$A$2:$A$5000,$A229,Entries!$B$2:$B$5000,X$1))</f>
        <v/>
      </c>
      <c r="Y229" s="88">
        <f>IF(OR(Y$1="",$BE229=0),"",SUMIFS(Entries!$D$2:$D$5000,Entries!$C$2:$C$5000,"Actual",Entries!$A$2:$A$5000,$A229,Entries!$B$2:$B$5000,Y$1))</f>
        <v/>
      </c>
      <c r="Z229" s="88">
        <f>IF(OR(Z$1="",$BE229=0),"",SUMIFS(Entries!$D$2:$D$5000,Entries!$C$2:$C$5000,"Actual",Entries!$A$2:$A$5000,$A229,Entries!$B$2:$B$5000,Z$1))</f>
        <v/>
      </c>
      <c r="AA229" s="88">
        <f>IF(OR(AA$1="",$BE229=0),"",SUMIFS(Entries!$D$2:$D$5000,Entries!$C$2:$C$5000,"Actual",Entries!$A$2:$A$5000,$A229,Entries!$B$2:$B$5000,AA$1))</f>
        <v/>
      </c>
      <c r="AB229" s="88">
        <f>IF(OR(AB$1="",$BE229=0),"",SUMIFS(Entries!$D$2:$D$5000,Entries!$C$2:$C$5000,"Actual",Entries!$A$2:$A$5000,$A229,Entries!$B$2:$B$5000,AB$1))</f>
        <v/>
      </c>
      <c r="AC229" s="88">
        <f>IF(OR(AC$1="",$BE229=0),"",SUMIFS(Entries!$D$2:$D$5000,Entries!$C$2:$C$5000,"Actual",Entries!$A$2:$A$5000,$A229,Entries!$B$2:$B$5000,AC$1))</f>
        <v/>
      </c>
      <c r="AD229" s="88">
        <f>IF(OR(AD$1="",$BE229=0),"",SUMIFS(Entries!$D$2:$D$5000,Entries!$C$2:$C$5000,"Actual",Entries!$A$2:$A$5000,$A229,Entries!$B$2:$B$5000,AD$1))</f>
        <v/>
      </c>
      <c r="AE229" s="88">
        <f>IF(OR(AE$1="",$BE229=0),"",SUMIFS(Entries!$D$2:$D$5000,Entries!$C$2:$C$5000,"Actual",Entries!$A$2:$A$5000,$A229,Entries!$B$2:$B$5000,AE$1))</f>
        <v/>
      </c>
      <c r="AF229" s="88">
        <f>IF(OR(AF$1="",$BE229=0),"",SUMIFS(Entries!$D$2:$D$5000,Entries!$C$2:$C$5000,"Actual",Entries!$A$2:$A$5000,$A229,Entries!$B$2:$B$5000,AF$1))</f>
        <v/>
      </c>
      <c r="AG229" s="88">
        <f>IF(OR(AG$1="",$BE229=0),"",SUMIFS(Entries!$D$2:$D$5000,Entries!$C$2:$C$5000,"Actual",Entries!$A$2:$A$5000,$A229,Entries!$B$2:$B$5000,AG$1))</f>
        <v/>
      </c>
      <c r="AH229" s="88">
        <f>IF(OR(AH$1="",$BE229=0),"",SUMIFS(Entries!$D$2:$D$5000,Entries!$C$2:$C$5000,"Actual",Entries!$A$2:$A$5000,$A229,Entries!$B$2:$B$5000,AH$1))</f>
        <v/>
      </c>
      <c r="AJ229" s="88">
        <f>IF(OR(AJ$1="",$BE229=0),"",IFERROR(LOOKUP(2,1/((Budgets!$A$2:$A$200=AJ$1)*(Budgets!$B$2:$B$200&lt;=$A229)),Budgets!$C$2:$C$200),0))</f>
        <v/>
      </c>
      <c r="AK229" s="88">
        <f>IF(OR(AK$1="",$BE229=0),"",IFERROR(LOOKUP(2,1/((Budgets!$A$2:$A$200=AK$1)*(Budgets!$B$2:$B$200&lt;=$A229)),Budgets!$C$2:$C$200),0))</f>
        <v/>
      </c>
      <c r="AL229" s="88">
        <f>IF(OR(AL$1="",$BE229=0),"",IFERROR(LOOKUP(2,1/((Budgets!$A$2:$A$200=AL$1)*(Budgets!$B$2:$B$200&lt;=$A229)),Budgets!$C$2:$C$200),0))</f>
        <v/>
      </c>
      <c r="AM229" s="88">
        <f>IF(OR(AM$1="",$BE229=0),"",IFERROR(LOOKUP(2,1/((Budgets!$A$2:$A$200=AM$1)*(Budgets!$B$2:$B$200&lt;=$A229)),Budgets!$C$2:$C$200),0))</f>
        <v/>
      </c>
      <c r="AN229" s="88">
        <f>IF(OR(AN$1="",$BE229=0),"",IFERROR(LOOKUP(2,1/((Budgets!$A$2:$A$200=AN$1)*(Budgets!$B$2:$B$200&lt;=$A229)),Budgets!$C$2:$C$200),0))</f>
        <v/>
      </c>
      <c r="AO229" s="88">
        <f>IF(OR(AO$1="",$BE229=0),"",IFERROR(LOOKUP(2,1/((Budgets!$A$2:$A$200=AO$1)*(Budgets!$B$2:$B$200&lt;=$A229)),Budgets!$C$2:$C$200),0))</f>
        <v/>
      </c>
      <c r="AP229" s="88">
        <f>IF(OR(AP$1="",$BE229=0),"",IFERROR(LOOKUP(2,1/((Budgets!$A$2:$A$200=AP$1)*(Budgets!$B$2:$B$200&lt;=$A229)),Budgets!$C$2:$C$200),0))</f>
        <v/>
      </c>
      <c r="AQ229" s="88">
        <f>IF(OR(AQ$1="",$BE229=0),"",IFERROR(LOOKUP(2,1/((Budgets!$A$2:$A$200=AQ$1)*(Budgets!$B$2:$B$200&lt;=$A229)),Budgets!$C$2:$C$200),0))</f>
        <v/>
      </c>
      <c r="AR229" s="88">
        <f>IF(OR(AR$1="",$BE229=0),"",IFERROR(LOOKUP(2,1/((Budgets!$A$2:$A$200=AR$1)*(Budgets!$B$2:$B$200&lt;=$A229)),Budgets!$C$2:$C$200),0))</f>
        <v/>
      </c>
      <c r="AS229" s="88">
        <f>IF(OR(AS$1="",$BE229=0),"",IFERROR(LOOKUP(2,1/((Budgets!$A$2:$A$200=AS$1)*(Budgets!$B$2:$B$200&lt;=$A229)),Budgets!$C$2:$C$200),0))</f>
        <v/>
      </c>
      <c r="AT229" s="88">
        <f>IF(OR(AT$1="",$BE229=0),"",IFERROR(LOOKUP(2,1/((Budgets!$A$2:$A$200=AT$1)*(Budgets!$B$2:$B$200&lt;=$A229)),Budgets!$C$2:$C$200),0))</f>
        <v/>
      </c>
      <c r="AU229" s="88">
        <f>IF(OR(AU$1="",$BE229=0),"",IFERROR(LOOKUP(2,1/((Budgets!$A$2:$A$200=AU$1)*(Budgets!$B$2:$B$200&lt;=$A229)),Budgets!$C$2:$C$200),0))</f>
        <v/>
      </c>
      <c r="AV229" s="88">
        <f>IF(OR(AV$1="",$BE229=0),"",IFERROR(LOOKUP(2,1/((Budgets!$A$2:$A$200=AV$1)*(Budgets!$B$2:$B$200&lt;=$A229)),Budgets!$C$2:$C$200),0))</f>
        <v/>
      </c>
      <c r="AW229" s="88">
        <f>IF(OR(AW$1="",$BE229=0),"",IFERROR(LOOKUP(2,1/((Budgets!$A$2:$A$200=AW$1)*(Budgets!$B$2:$B$200&lt;=$A229)),Budgets!$C$2:$C$200),0))</f>
        <v/>
      </c>
      <c r="AX229" s="88">
        <f>IF(OR(AX$1="",$BE229=0),"",IFERROR(LOOKUP(2,1/((Budgets!$A$2:$A$200=AX$1)*(Budgets!$B$2:$B$200&lt;=$A229)),Budgets!$C$2:$C$200),0))</f>
        <v/>
      </c>
      <c r="AY229" s="88">
        <f>IF(OR(AY$1="",$BE229=0),"",IFERROR(LOOKUP(2,1/((Budgets!$A$2:$A$200=AY$1)*(Budgets!$B$2:$B$200&lt;=$A229)),Budgets!$C$2:$C$200),0))</f>
        <v/>
      </c>
      <c r="AZ229" s="88">
        <f>IF(OR(AZ$1="",$BE229=0),"",IFERROR(LOOKUP(2,1/((Budgets!$A$2:$A$200=AZ$1)*(Budgets!$B$2:$B$200&lt;=$A229)),Budgets!$C$2:$C$200),0))</f>
        <v/>
      </c>
      <c r="BA229" s="88">
        <f>IF(OR(BA$1="",$BE229=0),"",IFERROR(LOOKUP(2,1/((Budgets!$A$2:$A$200=BA$1)*(Budgets!$B$2:$B$200&lt;=$A229)),Budgets!$C$2:$C$200),0))</f>
        <v/>
      </c>
      <c r="BB229" s="88">
        <f>IF(OR(BB$1="",$BE229=0),"",IFERROR(LOOKUP(2,1/((Budgets!$A$2:$A$200=BB$1)*(Budgets!$B$2:$B$200&lt;=$A229)),Budgets!$C$2:$C$200),0))</f>
        <v/>
      </c>
      <c r="BC229" s="88">
        <f>IF(OR(BC$1="",$BE229=0),"",IFERROR(LOOKUP(2,1/((Budgets!$A$2:$A$200=BC$1)*(Budgets!$B$2:$B$200&lt;=$A229)),Budgets!$C$2:$C$200),0))</f>
        <v/>
      </c>
      <c r="BE229" s="67">
        <f>COUNTIFS(Entries!$A$2:$A$5000,$A229)</f>
        <v/>
      </c>
    </row>
    <row r="230" ht="15" customHeight="1" s="43">
      <c r="A230" s="87" t="n">
        <v>46388</v>
      </c>
      <c r="B230" s="88">
        <f>IF($BE230=0,NA(),SUMIFS(Entries!$D$2:$D$5000,Entries!$C$2:$C$5000,"Income",Entries!$A$2:$A$5000,$A230))</f>
        <v/>
      </c>
      <c r="C230" s="88">
        <f>IF($BE230=0,"",SUMIFS(Entries!$D$2:$D$5000,Entries!$C$2:$C$5000,"Actual",Entries!$A$2:$A$5000,$A230))</f>
        <v/>
      </c>
      <c r="D230" s="88">
        <f>IF($BE230=0,"",SUMIFS(Entries!$D$2:$D$5000,Entries!$C$2:$C$5000,"One-off",Entries!$A$2:$A$5000,$A230))</f>
        <v/>
      </c>
      <c r="E230" s="88">
        <f>IF($BE230=0,NA(),C230+D230)</f>
        <v/>
      </c>
      <c r="F230" s="88">
        <f>IF($BE230=0,"",SUM(AJ230:BC230))</f>
        <v/>
      </c>
      <c r="G230" s="88">
        <f>IF($BE230=0,"",B230-E230)</f>
        <v/>
      </c>
      <c r="H230" s="88">
        <f>IF($BE230=0,"",SUM($G$2:G230))</f>
        <v/>
      </c>
      <c r="I230" s="88">
        <f>IF($BE230=0,"",SUMIFS(Entries!$F$2:$F$5000,Entries!$A$2:$A$5000,$A230))</f>
        <v/>
      </c>
      <c r="J230" s="88">
        <f>IF($BE230=0,NA(),H230+SUM($I$2:I230))</f>
        <v/>
      </c>
      <c r="K230" s="88">
        <f>IF($BE230=0,"",SUMIFS(Entries!$D$2:$D$5000,Entries!$C$2:$C$5000,"Income",Entries!$A$2:$A$5000,"&gt;="&amp;EDATE($A230,-11),Entries!$A$2:$A$5000,"&lt;="&amp;$A230)/12)</f>
        <v/>
      </c>
      <c r="L230" s="88">
        <f>IF($BE230=0,"",(SUMIFS(Entries!$D$2:$D$5000,Entries!$C$2:$C$5000,"Actual",Entries!$A$2:$A$5000,"&gt;="&amp;EDATE($A230,-11),Entries!$A$2:$A$5000,"&lt;="&amp;$A230)+SUMIFS(Entries!$D$2:$D$5000,Entries!$C$2:$C$5000,"One-off",Entries!$A$2:$A$5000,"&gt;="&amp;EDATE($A230,-11),Entries!$A$2:$A$5000,"&lt;="&amp;$A230))/12)</f>
        <v/>
      </c>
      <c r="M230" s="71">
        <f>IF($BE230=0,NA(),IFERROR((K230-L230)/K230,0))</f>
        <v/>
      </c>
      <c r="O230" s="88">
        <f>IF(OR(O$1="",$BE230=0),"",SUMIFS(Entries!$D$2:$D$5000,Entries!$C$2:$C$5000,"Actual",Entries!$A$2:$A$5000,$A230,Entries!$B$2:$B$5000,O$1))</f>
        <v/>
      </c>
      <c r="P230" s="88">
        <f>IF(OR(P$1="",$BE230=0),"",SUMIFS(Entries!$D$2:$D$5000,Entries!$C$2:$C$5000,"Actual",Entries!$A$2:$A$5000,$A230,Entries!$B$2:$B$5000,P$1))</f>
        <v/>
      </c>
      <c r="Q230" s="88">
        <f>IF(OR(Q$1="",$BE230=0),"",SUMIFS(Entries!$D$2:$D$5000,Entries!$C$2:$C$5000,"Actual",Entries!$A$2:$A$5000,$A230,Entries!$B$2:$B$5000,Q$1))</f>
        <v/>
      </c>
      <c r="R230" s="88">
        <f>IF(OR(R$1="",$BE230=0),"",SUMIFS(Entries!$D$2:$D$5000,Entries!$C$2:$C$5000,"Actual",Entries!$A$2:$A$5000,$A230,Entries!$B$2:$B$5000,R$1))</f>
        <v/>
      </c>
      <c r="S230" s="88">
        <f>IF(OR(S$1="",$BE230=0),"",SUMIFS(Entries!$D$2:$D$5000,Entries!$C$2:$C$5000,"Actual",Entries!$A$2:$A$5000,$A230,Entries!$B$2:$B$5000,S$1))</f>
        <v/>
      </c>
      <c r="T230" s="88">
        <f>IF(OR(T$1="",$BE230=0),"",SUMIFS(Entries!$D$2:$D$5000,Entries!$C$2:$C$5000,"Actual",Entries!$A$2:$A$5000,$A230,Entries!$B$2:$B$5000,T$1))</f>
        <v/>
      </c>
      <c r="U230" s="88">
        <f>IF(OR(U$1="",$BE230=0),"",SUMIFS(Entries!$D$2:$D$5000,Entries!$C$2:$C$5000,"Actual",Entries!$A$2:$A$5000,$A230,Entries!$B$2:$B$5000,U$1))</f>
        <v/>
      </c>
      <c r="V230" s="88">
        <f>IF(OR(V$1="",$BE230=0),"",SUMIFS(Entries!$D$2:$D$5000,Entries!$C$2:$C$5000,"Actual",Entries!$A$2:$A$5000,$A230,Entries!$B$2:$B$5000,V$1))</f>
        <v/>
      </c>
      <c r="W230" s="88">
        <f>IF(OR(W$1="",$BE230=0),"",SUMIFS(Entries!$D$2:$D$5000,Entries!$C$2:$C$5000,"Actual",Entries!$A$2:$A$5000,$A230,Entries!$B$2:$B$5000,W$1))</f>
        <v/>
      </c>
      <c r="X230" s="88">
        <f>IF(OR(X$1="",$BE230=0),"",SUMIFS(Entries!$D$2:$D$5000,Entries!$C$2:$C$5000,"Actual",Entries!$A$2:$A$5000,$A230,Entries!$B$2:$B$5000,X$1))</f>
        <v/>
      </c>
      <c r="Y230" s="88">
        <f>IF(OR(Y$1="",$BE230=0),"",SUMIFS(Entries!$D$2:$D$5000,Entries!$C$2:$C$5000,"Actual",Entries!$A$2:$A$5000,$A230,Entries!$B$2:$B$5000,Y$1))</f>
        <v/>
      </c>
      <c r="Z230" s="88">
        <f>IF(OR(Z$1="",$BE230=0),"",SUMIFS(Entries!$D$2:$D$5000,Entries!$C$2:$C$5000,"Actual",Entries!$A$2:$A$5000,$A230,Entries!$B$2:$B$5000,Z$1))</f>
        <v/>
      </c>
      <c r="AA230" s="88">
        <f>IF(OR(AA$1="",$BE230=0),"",SUMIFS(Entries!$D$2:$D$5000,Entries!$C$2:$C$5000,"Actual",Entries!$A$2:$A$5000,$A230,Entries!$B$2:$B$5000,AA$1))</f>
        <v/>
      </c>
      <c r="AB230" s="88">
        <f>IF(OR(AB$1="",$BE230=0),"",SUMIFS(Entries!$D$2:$D$5000,Entries!$C$2:$C$5000,"Actual",Entries!$A$2:$A$5000,$A230,Entries!$B$2:$B$5000,AB$1))</f>
        <v/>
      </c>
      <c r="AC230" s="88">
        <f>IF(OR(AC$1="",$BE230=0),"",SUMIFS(Entries!$D$2:$D$5000,Entries!$C$2:$C$5000,"Actual",Entries!$A$2:$A$5000,$A230,Entries!$B$2:$B$5000,AC$1))</f>
        <v/>
      </c>
      <c r="AD230" s="88">
        <f>IF(OR(AD$1="",$BE230=0),"",SUMIFS(Entries!$D$2:$D$5000,Entries!$C$2:$C$5000,"Actual",Entries!$A$2:$A$5000,$A230,Entries!$B$2:$B$5000,AD$1))</f>
        <v/>
      </c>
      <c r="AE230" s="88">
        <f>IF(OR(AE$1="",$BE230=0),"",SUMIFS(Entries!$D$2:$D$5000,Entries!$C$2:$C$5000,"Actual",Entries!$A$2:$A$5000,$A230,Entries!$B$2:$B$5000,AE$1))</f>
        <v/>
      </c>
      <c r="AF230" s="88">
        <f>IF(OR(AF$1="",$BE230=0),"",SUMIFS(Entries!$D$2:$D$5000,Entries!$C$2:$C$5000,"Actual",Entries!$A$2:$A$5000,$A230,Entries!$B$2:$B$5000,AF$1))</f>
        <v/>
      </c>
      <c r="AG230" s="88">
        <f>IF(OR(AG$1="",$BE230=0),"",SUMIFS(Entries!$D$2:$D$5000,Entries!$C$2:$C$5000,"Actual",Entries!$A$2:$A$5000,$A230,Entries!$B$2:$B$5000,AG$1))</f>
        <v/>
      </c>
      <c r="AH230" s="88">
        <f>IF(OR(AH$1="",$BE230=0),"",SUMIFS(Entries!$D$2:$D$5000,Entries!$C$2:$C$5000,"Actual",Entries!$A$2:$A$5000,$A230,Entries!$B$2:$B$5000,AH$1))</f>
        <v/>
      </c>
      <c r="AJ230" s="88">
        <f>IF(OR(AJ$1="",$BE230=0),"",IFERROR(LOOKUP(2,1/((Budgets!$A$2:$A$200=AJ$1)*(Budgets!$B$2:$B$200&lt;=$A230)),Budgets!$C$2:$C$200),0))</f>
        <v/>
      </c>
      <c r="AK230" s="88">
        <f>IF(OR(AK$1="",$BE230=0),"",IFERROR(LOOKUP(2,1/((Budgets!$A$2:$A$200=AK$1)*(Budgets!$B$2:$B$200&lt;=$A230)),Budgets!$C$2:$C$200),0))</f>
        <v/>
      </c>
      <c r="AL230" s="88">
        <f>IF(OR(AL$1="",$BE230=0),"",IFERROR(LOOKUP(2,1/((Budgets!$A$2:$A$200=AL$1)*(Budgets!$B$2:$B$200&lt;=$A230)),Budgets!$C$2:$C$200),0))</f>
        <v/>
      </c>
      <c r="AM230" s="88">
        <f>IF(OR(AM$1="",$BE230=0),"",IFERROR(LOOKUP(2,1/((Budgets!$A$2:$A$200=AM$1)*(Budgets!$B$2:$B$200&lt;=$A230)),Budgets!$C$2:$C$200),0))</f>
        <v/>
      </c>
      <c r="AN230" s="88">
        <f>IF(OR(AN$1="",$BE230=0),"",IFERROR(LOOKUP(2,1/((Budgets!$A$2:$A$200=AN$1)*(Budgets!$B$2:$B$200&lt;=$A230)),Budgets!$C$2:$C$200),0))</f>
        <v/>
      </c>
      <c r="AO230" s="88">
        <f>IF(OR(AO$1="",$BE230=0),"",IFERROR(LOOKUP(2,1/((Budgets!$A$2:$A$200=AO$1)*(Budgets!$B$2:$B$200&lt;=$A230)),Budgets!$C$2:$C$200),0))</f>
        <v/>
      </c>
      <c r="AP230" s="88">
        <f>IF(OR(AP$1="",$BE230=0),"",IFERROR(LOOKUP(2,1/((Budgets!$A$2:$A$200=AP$1)*(Budgets!$B$2:$B$200&lt;=$A230)),Budgets!$C$2:$C$200),0))</f>
        <v/>
      </c>
      <c r="AQ230" s="88">
        <f>IF(OR(AQ$1="",$BE230=0),"",IFERROR(LOOKUP(2,1/((Budgets!$A$2:$A$200=AQ$1)*(Budgets!$B$2:$B$200&lt;=$A230)),Budgets!$C$2:$C$200),0))</f>
        <v/>
      </c>
      <c r="AR230" s="88">
        <f>IF(OR(AR$1="",$BE230=0),"",IFERROR(LOOKUP(2,1/((Budgets!$A$2:$A$200=AR$1)*(Budgets!$B$2:$B$200&lt;=$A230)),Budgets!$C$2:$C$200),0))</f>
        <v/>
      </c>
      <c r="AS230" s="88">
        <f>IF(OR(AS$1="",$BE230=0),"",IFERROR(LOOKUP(2,1/((Budgets!$A$2:$A$200=AS$1)*(Budgets!$B$2:$B$200&lt;=$A230)),Budgets!$C$2:$C$200),0))</f>
        <v/>
      </c>
      <c r="AT230" s="88">
        <f>IF(OR(AT$1="",$BE230=0),"",IFERROR(LOOKUP(2,1/((Budgets!$A$2:$A$200=AT$1)*(Budgets!$B$2:$B$200&lt;=$A230)),Budgets!$C$2:$C$200),0))</f>
        <v/>
      </c>
      <c r="AU230" s="88">
        <f>IF(OR(AU$1="",$BE230=0),"",IFERROR(LOOKUP(2,1/((Budgets!$A$2:$A$200=AU$1)*(Budgets!$B$2:$B$200&lt;=$A230)),Budgets!$C$2:$C$200),0))</f>
        <v/>
      </c>
      <c r="AV230" s="88">
        <f>IF(OR(AV$1="",$BE230=0),"",IFERROR(LOOKUP(2,1/((Budgets!$A$2:$A$200=AV$1)*(Budgets!$B$2:$B$200&lt;=$A230)),Budgets!$C$2:$C$200),0))</f>
        <v/>
      </c>
      <c r="AW230" s="88">
        <f>IF(OR(AW$1="",$BE230=0),"",IFERROR(LOOKUP(2,1/((Budgets!$A$2:$A$200=AW$1)*(Budgets!$B$2:$B$200&lt;=$A230)),Budgets!$C$2:$C$200),0))</f>
        <v/>
      </c>
      <c r="AX230" s="88">
        <f>IF(OR(AX$1="",$BE230=0),"",IFERROR(LOOKUP(2,1/((Budgets!$A$2:$A$200=AX$1)*(Budgets!$B$2:$B$200&lt;=$A230)),Budgets!$C$2:$C$200),0))</f>
        <v/>
      </c>
      <c r="AY230" s="88">
        <f>IF(OR(AY$1="",$BE230=0),"",IFERROR(LOOKUP(2,1/((Budgets!$A$2:$A$200=AY$1)*(Budgets!$B$2:$B$200&lt;=$A230)),Budgets!$C$2:$C$200),0))</f>
        <v/>
      </c>
      <c r="AZ230" s="88">
        <f>IF(OR(AZ$1="",$BE230=0),"",IFERROR(LOOKUP(2,1/((Budgets!$A$2:$A$200=AZ$1)*(Budgets!$B$2:$B$200&lt;=$A230)),Budgets!$C$2:$C$200),0))</f>
        <v/>
      </c>
      <c r="BA230" s="88">
        <f>IF(OR(BA$1="",$BE230=0),"",IFERROR(LOOKUP(2,1/((Budgets!$A$2:$A$200=BA$1)*(Budgets!$B$2:$B$200&lt;=$A230)),Budgets!$C$2:$C$200),0))</f>
        <v/>
      </c>
      <c r="BB230" s="88">
        <f>IF(OR(BB$1="",$BE230=0),"",IFERROR(LOOKUP(2,1/((Budgets!$A$2:$A$200=BB$1)*(Budgets!$B$2:$B$200&lt;=$A230)),Budgets!$C$2:$C$200),0))</f>
        <v/>
      </c>
      <c r="BC230" s="88">
        <f>IF(OR(BC$1="",$BE230=0),"",IFERROR(LOOKUP(2,1/((Budgets!$A$2:$A$200=BC$1)*(Budgets!$B$2:$B$200&lt;=$A230)),Budgets!$C$2:$C$200),0))</f>
        <v/>
      </c>
      <c r="BE230" s="67">
        <f>COUNTIFS(Entries!$A$2:$A$5000,$A230)</f>
        <v/>
      </c>
    </row>
    <row r="231" ht="15" customHeight="1" s="43">
      <c r="A231" s="87" t="n">
        <v>46419</v>
      </c>
      <c r="B231" s="88">
        <f>IF($BE231=0,NA(),SUMIFS(Entries!$D$2:$D$5000,Entries!$C$2:$C$5000,"Income",Entries!$A$2:$A$5000,$A231))</f>
        <v/>
      </c>
      <c r="C231" s="88">
        <f>IF($BE231=0,"",SUMIFS(Entries!$D$2:$D$5000,Entries!$C$2:$C$5000,"Actual",Entries!$A$2:$A$5000,$A231))</f>
        <v/>
      </c>
      <c r="D231" s="88">
        <f>IF($BE231=0,"",SUMIFS(Entries!$D$2:$D$5000,Entries!$C$2:$C$5000,"One-off",Entries!$A$2:$A$5000,$A231))</f>
        <v/>
      </c>
      <c r="E231" s="88">
        <f>IF($BE231=0,NA(),C231+D231)</f>
        <v/>
      </c>
      <c r="F231" s="88">
        <f>IF($BE231=0,"",SUM(AJ231:BC231))</f>
        <v/>
      </c>
      <c r="G231" s="88">
        <f>IF($BE231=0,"",B231-E231)</f>
        <v/>
      </c>
      <c r="H231" s="88">
        <f>IF($BE231=0,"",SUM($G$2:G231))</f>
        <v/>
      </c>
      <c r="I231" s="88">
        <f>IF($BE231=0,"",SUMIFS(Entries!$F$2:$F$5000,Entries!$A$2:$A$5000,$A231))</f>
        <v/>
      </c>
      <c r="J231" s="88">
        <f>IF($BE231=0,NA(),H231+SUM($I$2:I231))</f>
        <v/>
      </c>
      <c r="K231" s="88">
        <f>IF($BE231=0,"",SUMIFS(Entries!$D$2:$D$5000,Entries!$C$2:$C$5000,"Income",Entries!$A$2:$A$5000,"&gt;="&amp;EDATE($A231,-11),Entries!$A$2:$A$5000,"&lt;="&amp;$A231)/12)</f>
        <v/>
      </c>
      <c r="L231" s="88">
        <f>IF($BE231=0,"",(SUMIFS(Entries!$D$2:$D$5000,Entries!$C$2:$C$5000,"Actual",Entries!$A$2:$A$5000,"&gt;="&amp;EDATE($A231,-11),Entries!$A$2:$A$5000,"&lt;="&amp;$A231)+SUMIFS(Entries!$D$2:$D$5000,Entries!$C$2:$C$5000,"One-off",Entries!$A$2:$A$5000,"&gt;="&amp;EDATE($A231,-11),Entries!$A$2:$A$5000,"&lt;="&amp;$A231))/12)</f>
        <v/>
      </c>
      <c r="M231" s="71">
        <f>IF($BE231=0,NA(),IFERROR((K231-L231)/K231,0))</f>
        <v/>
      </c>
      <c r="O231" s="88">
        <f>IF(OR(O$1="",$BE231=0),"",SUMIFS(Entries!$D$2:$D$5000,Entries!$C$2:$C$5000,"Actual",Entries!$A$2:$A$5000,$A231,Entries!$B$2:$B$5000,O$1))</f>
        <v/>
      </c>
      <c r="P231" s="88">
        <f>IF(OR(P$1="",$BE231=0),"",SUMIFS(Entries!$D$2:$D$5000,Entries!$C$2:$C$5000,"Actual",Entries!$A$2:$A$5000,$A231,Entries!$B$2:$B$5000,P$1))</f>
        <v/>
      </c>
      <c r="Q231" s="88">
        <f>IF(OR(Q$1="",$BE231=0),"",SUMIFS(Entries!$D$2:$D$5000,Entries!$C$2:$C$5000,"Actual",Entries!$A$2:$A$5000,$A231,Entries!$B$2:$B$5000,Q$1))</f>
        <v/>
      </c>
      <c r="R231" s="88">
        <f>IF(OR(R$1="",$BE231=0),"",SUMIFS(Entries!$D$2:$D$5000,Entries!$C$2:$C$5000,"Actual",Entries!$A$2:$A$5000,$A231,Entries!$B$2:$B$5000,R$1))</f>
        <v/>
      </c>
      <c r="S231" s="88">
        <f>IF(OR(S$1="",$BE231=0),"",SUMIFS(Entries!$D$2:$D$5000,Entries!$C$2:$C$5000,"Actual",Entries!$A$2:$A$5000,$A231,Entries!$B$2:$B$5000,S$1))</f>
        <v/>
      </c>
      <c r="T231" s="88">
        <f>IF(OR(T$1="",$BE231=0),"",SUMIFS(Entries!$D$2:$D$5000,Entries!$C$2:$C$5000,"Actual",Entries!$A$2:$A$5000,$A231,Entries!$B$2:$B$5000,T$1))</f>
        <v/>
      </c>
      <c r="U231" s="88">
        <f>IF(OR(U$1="",$BE231=0),"",SUMIFS(Entries!$D$2:$D$5000,Entries!$C$2:$C$5000,"Actual",Entries!$A$2:$A$5000,$A231,Entries!$B$2:$B$5000,U$1))</f>
        <v/>
      </c>
      <c r="V231" s="88">
        <f>IF(OR(V$1="",$BE231=0),"",SUMIFS(Entries!$D$2:$D$5000,Entries!$C$2:$C$5000,"Actual",Entries!$A$2:$A$5000,$A231,Entries!$B$2:$B$5000,V$1))</f>
        <v/>
      </c>
      <c r="W231" s="88">
        <f>IF(OR(W$1="",$BE231=0),"",SUMIFS(Entries!$D$2:$D$5000,Entries!$C$2:$C$5000,"Actual",Entries!$A$2:$A$5000,$A231,Entries!$B$2:$B$5000,W$1))</f>
        <v/>
      </c>
      <c r="X231" s="88">
        <f>IF(OR(X$1="",$BE231=0),"",SUMIFS(Entries!$D$2:$D$5000,Entries!$C$2:$C$5000,"Actual",Entries!$A$2:$A$5000,$A231,Entries!$B$2:$B$5000,X$1))</f>
        <v/>
      </c>
      <c r="Y231" s="88">
        <f>IF(OR(Y$1="",$BE231=0),"",SUMIFS(Entries!$D$2:$D$5000,Entries!$C$2:$C$5000,"Actual",Entries!$A$2:$A$5000,$A231,Entries!$B$2:$B$5000,Y$1))</f>
        <v/>
      </c>
      <c r="Z231" s="88">
        <f>IF(OR(Z$1="",$BE231=0),"",SUMIFS(Entries!$D$2:$D$5000,Entries!$C$2:$C$5000,"Actual",Entries!$A$2:$A$5000,$A231,Entries!$B$2:$B$5000,Z$1))</f>
        <v/>
      </c>
      <c r="AA231" s="88">
        <f>IF(OR(AA$1="",$BE231=0),"",SUMIFS(Entries!$D$2:$D$5000,Entries!$C$2:$C$5000,"Actual",Entries!$A$2:$A$5000,$A231,Entries!$B$2:$B$5000,AA$1))</f>
        <v/>
      </c>
      <c r="AB231" s="88">
        <f>IF(OR(AB$1="",$BE231=0),"",SUMIFS(Entries!$D$2:$D$5000,Entries!$C$2:$C$5000,"Actual",Entries!$A$2:$A$5000,$A231,Entries!$B$2:$B$5000,AB$1))</f>
        <v/>
      </c>
      <c r="AC231" s="88">
        <f>IF(OR(AC$1="",$BE231=0),"",SUMIFS(Entries!$D$2:$D$5000,Entries!$C$2:$C$5000,"Actual",Entries!$A$2:$A$5000,$A231,Entries!$B$2:$B$5000,AC$1))</f>
        <v/>
      </c>
      <c r="AD231" s="88">
        <f>IF(OR(AD$1="",$BE231=0),"",SUMIFS(Entries!$D$2:$D$5000,Entries!$C$2:$C$5000,"Actual",Entries!$A$2:$A$5000,$A231,Entries!$B$2:$B$5000,AD$1))</f>
        <v/>
      </c>
      <c r="AE231" s="88">
        <f>IF(OR(AE$1="",$BE231=0),"",SUMIFS(Entries!$D$2:$D$5000,Entries!$C$2:$C$5000,"Actual",Entries!$A$2:$A$5000,$A231,Entries!$B$2:$B$5000,AE$1))</f>
        <v/>
      </c>
      <c r="AF231" s="88">
        <f>IF(OR(AF$1="",$BE231=0),"",SUMIFS(Entries!$D$2:$D$5000,Entries!$C$2:$C$5000,"Actual",Entries!$A$2:$A$5000,$A231,Entries!$B$2:$B$5000,AF$1))</f>
        <v/>
      </c>
      <c r="AG231" s="88">
        <f>IF(OR(AG$1="",$BE231=0),"",SUMIFS(Entries!$D$2:$D$5000,Entries!$C$2:$C$5000,"Actual",Entries!$A$2:$A$5000,$A231,Entries!$B$2:$B$5000,AG$1))</f>
        <v/>
      </c>
      <c r="AH231" s="88">
        <f>IF(OR(AH$1="",$BE231=0),"",SUMIFS(Entries!$D$2:$D$5000,Entries!$C$2:$C$5000,"Actual",Entries!$A$2:$A$5000,$A231,Entries!$B$2:$B$5000,AH$1))</f>
        <v/>
      </c>
      <c r="AJ231" s="88">
        <f>IF(OR(AJ$1="",$BE231=0),"",IFERROR(LOOKUP(2,1/((Budgets!$A$2:$A$200=AJ$1)*(Budgets!$B$2:$B$200&lt;=$A231)),Budgets!$C$2:$C$200),0))</f>
        <v/>
      </c>
      <c r="AK231" s="88">
        <f>IF(OR(AK$1="",$BE231=0),"",IFERROR(LOOKUP(2,1/((Budgets!$A$2:$A$200=AK$1)*(Budgets!$B$2:$B$200&lt;=$A231)),Budgets!$C$2:$C$200),0))</f>
        <v/>
      </c>
      <c r="AL231" s="88">
        <f>IF(OR(AL$1="",$BE231=0),"",IFERROR(LOOKUP(2,1/((Budgets!$A$2:$A$200=AL$1)*(Budgets!$B$2:$B$200&lt;=$A231)),Budgets!$C$2:$C$200),0))</f>
        <v/>
      </c>
      <c r="AM231" s="88">
        <f>IF(OR(AM$1="",$BE231=0),"",IFERROR(LOOKUP(2,1/((Budgets!$A$2:$A$200=AM$1)*(Budgets!$B$2:$B$200&lt;=$A231)),Budgets!$C$2:$C$200),0))</f>
        <v/>
      </c>
      <c r="AN231" s="88">
        <f>IF(OR(AN$1="",$BE231=0),"",IFERROR(LOOKUP(2,1/((Budgets!$A$2:$A$200=AN$1)*(Budgets!$B$2:$B$200&lt;=$A231)),Budgets!$C$2:$C$200),0))</f>
        <v/>
      </c>
      <c r="AO231" s="88">
        <f>IF(OR(AO$1="",$BE231=0),"",IFERROR(LOOKUP(2,1/((Budgets!$A$2:$A$200=AO$1)*(Budgets!$B$2:$B$200&lt;=$A231)),Budgets!$C$2:$C$200),0))</f>
        <v/>
      </c>
      <c r="AP231" s="88">
        <f>IF(OR(AP$1="",$BE231=0),"",IFERROR(LOOKUP(2,1/((Budgets!$A$2:$A$200=AP$1)*(Budgets!$B$2:$B$200&lt;=$A231)),Budgets!$C$2:$C$200),0))</f>
        <v/>
      </c>
      <c r="AQ231" s="88">
        <f>IF(OR(AQ$1="",$BE231=0),"",IFERROR(LOOKUP(2,1/((Budgets!$A$2:$A$200=AQ$1)*(Budgets!$B$2:$B$200&lt;=$A231)),Budgets!$C$2:$C$200),0))</f>
        <v/>
      </c>
      <c r="AR231" s="88">
        <f>IF(OR(AR$1="",$BE231=0),"",IFERROR(LOOKUP(2,1/((Budgets!$A$2:$A$200=AR$1)*(Budgets!$B$2:$B$200&lt;=$A231)),Budgets!$C$2:$C$200),0))</f>
        <v/>
      </c>
      <c r="AS231" s="88">
        <f>IF(OR(AS$1="",$BE231=0),"",IFERROR(LOOKUP(2,1/((Budgets!$A$2:$A$200=AS$1)*(Budgets!$B$2:$B$200&lt;=$A231)),Budgets!$C$2:$C$200),0))</f>
        <v/>
      </c>
      <c r="AT231" s="88">
        <f>IF(OR(AT$1="",$BE231=0),"",IFERROR(LOOKUP(2,1/((Budgets!$A$2:$A$200=AT$1)*(Budgets!$B$2:$B$200&lt;=$A231)),Budgets!$C$2:$C$200),0))</f>
        <v/>
      </c>
      <c r="AU231" s="88">
        <f>IF(OR(AU$1="",$BE231=0),"",IFERROR(LOOKUP(2,1/((Budgets!$A$2:$A$200=AU$1)*(Budgets!$B$2:$B$200&lt;=$A231)),Budgets!$C$2:$C$200),0))</f>
        <v/>
      </c>
      <c r="AV231" s="88">
        <f>IF(OR(AV$1="",$BE231=0),"",IFERROR(LOOKUP(2,1/((Budgets!$A$2:$A$200=AV$1)*(Budgets!$B$2:$B$200&lt;=$A231)),Budgets!$C$2:$C$200),0))</f>
        <v/>
      </c>
      <c r="AW231" s="88">
        <f>IF(OR(AW$1="",$BE231=0),"",IFERROR(LOOKUP(2,1/((Budgets!$A$2:$A$200=AW$1)*(Budgets!$B$2:$B$200&lt;=$A231)),Budgets!$C$2:$C$200),0))</f>
        <v/>
      </c>
      <c r="AX231" s="88">
        <f>IF(OR(AX$1="",$BE231=0),"",IFERROR(LOOKUP(2,1/((Budgets!$A$2:$A$200=AX$1)*(Budgets!$B$2:$B$200&lt;=$A231)),Budgets!$C$2:$C$200),0))</f>
        <v/>
      </c>
      <c r="AY231" s="88">
        <f>IF(OR(AY$1="",$BE231=0),"",IFERROR(LOOKUP(2,1/((Budgets!$A$2:$A$200=AY$1)*(Budgets!$B$2:$B$200&lt;=$A231)),Budgets!$C$2:$C$200),0))</f>
        <v/>
      </c>
      <c r="AZ231" s="88">
        <f>IF(OR(AZ$1="",$BE231=0),"",IFERROR(LOOKUP(2,1/((Budgets!$A$2:$A$200=AZ$1)*(Budgets!$B$2:$B$200&lt;=$A231)),Budgets!$C$2:$C$200),0))</f>
        <v/>
      </c>
      <c r="BA231" s="88">
        <f>IF(OR(BA$1="",$BE231=0),"",IFERROR(LOOKUP(2,1/((Budgets!$A$2:$A$200=BA$1)*(Budgets!$B$2:$B$200&lt;=$A231)),Budgets!$C$2:$C$200),0))</f>
        <v/>
      </c>
      <c r="BB231" s="88">
        <f>IF(OR(BB$1="",$BE231=0),"",IFERROR(LOOKUP(2,1/((Budgets!$A$2:$A$200=BB$1)*(Budgets!$B$2:$B$200&lt;=$A231)),Budgets!$C$2:$C$200),0))</f>
        <v/>
      </c>
      <c r="BC231" s="88">
        <f>IF(OR(BC$1="",$BE231=0),"",IFERROR(LOOKUP(2,1/((Budgets!$A$2:$A$200=BC$1)*(Budgets!$B$2:$B$200&lt;=$A231)),Budgets!$C$2:$C$200),0))</f>
        <v/>
      </c>
      <c r="BE231" s="67">
        <f>COUNTIFS(Entries!$A$2:$A$5000,$A231)</f>
        <v/>
      </c>
    </row>
    <row r="232" ht="15" customHeight="1" s="43">
      <c r="A232" s="87" t="n">
        <v>46447</v>
      </c>
      <c r="B232" s="88">
        <f>IF($BE232=0,NA(),SUMIFS(Entries!$D$2:$D$5000,Entries!$C$2:$C$5000,"Income",Entries!$A$2:$A$5000,$A232))</f>
        <v/>
      </c>
      <c r="C232" s="88">
        <f>IF($BE232=0,"",SUMIFS(Entries!$D$2:$D$5000,Entries!$C$2:$C$5000,"Actual",Entries!$A$2:$A$5000,$A232))</f>
        <v/>
      </c>
      <c r="D232" s="88">
        <f>IF($BE232=0,"",SUMIFS(Entries!$D$2:$D$5000,Entries!$C$2:$C$5000,"One-off",Entries!$A$2:$A$5000,$A232))</f>
        <v/>
      </c>
      <c r="E232" s="88">
        <f>IF($BE232=0,NA(),C232+D232)</f>
        <v/>
      </c>
      <c r="F232" s="88">
        <f>IF($BE232=0,"",SUM(AJ232:BC232))</f>
        <v/>
      </c>
      <c r="G232" s="88">
        <f>IF($BE232=0,"",B232-E232)</f>
        <v/>
      </c>
      <c r="H232" s="88">
        <f>IF($BE232=0,"",SUM($G$2:G232))</f>
        <v/>
      </c>
      <c r="I232" s="88">
        <f>IF($BE232=0,"",SUMIFS(Entries!$F$2:$F$5000,Entries!$A$2:$A$5000,$A232))</f>
        <v/>
      </c>
      <c r="J232" s="88">
        <f>IF($BE232=0,NA(),H232+SUM($I$2:I232))</f>
        <v/>
      </c>
      <c r="K232" s="88">
        <f>IF($BE232=0,"",SUMIFS(Entries!$D$2:$D$5000,Entries!$C$2:$C$5000,"Income",Entries!$A$2:$A$5000,"&gt;="&amp;EDATE($A232,-11),Entries!$A$2:$A$5000,"&lt;="&amp;$A232)/12)</f>
        <v/>
      </c>
      <c r="L232" s="88">
        <f>IF($BE232=0,"",(SUMIFS(Entries!$D$2:$D$5000,Entries!$C$2:$C$5000,"Actual",Entries!$A$2:$A$5000,"&gt;="&amp;EDATE($A232,-11),Entries!$A$2:$A$5000,"&lt;="&amp;$A232)+SUMIFS(Entries!$D$2:$D$5000,Entries!$C$2:$C$5000,"One-off",Entries!$A$2:$A$5000,"&gt;="&amp;EDATE($A232,-11),Entries!$A$2:$A$5000,"&lt;="&amp;$A232))/12)</f>
        <v/>
      </c>
      <c r="M232" s="71">
        <f>IF($BE232=0,NA(),IFERROR((K232-L232)/K232,0))</f>
        <v/>
      </c>
      <c r="O232" s="88">
        <f>IF(OR(O$1="",$BE232=0),"",SUMIFS(Entries!$D$2:$D$5000,Entries!$C$2:$C$5000,"Actual",Entries!$A$2:$A$5000,$A232,Entries!$B$2:$B$5000,O$1))</f>
        <v/>
      </c>
      <c r="P232" s="88">
        <f>IF(OR(P$1="",$BE232=0),"",SUMIFS(Entries!$D$2:$D$5000,Entries!$C$2:$C$5000,"Actual",Entries!$A$2:$A$5000,$A232,Entries!$B$2:$B$5000,P$1))</f>
        <v/>
      </c>
      <c r="Q232" s="88">
        <f>IF(OR(Q$1="",$BE232=0),"",SUMIFS(Entries!$D$2:$D$5000,Entries!$C$2:$C$5000,"Actual",Entries!$A$2:$A$5000,$A232,Entries!$B$2:$B$5000,Q$1))</f>
        <v/>
      </c>
      <c r="R232" s="88">
        <f>IF(OR(R$1="",$BE232=0),"",SUMIFS(Entries!$D$2:$D$5000,Entries!$C$2:$C$5000,"Actual",Entries!$A$2:$A$5000,$A232,Entries!$B$2:$B$5000,R$1))</f>
        <v/>
      </c>
      <c r="S232" s="88">
        <f>IF(OR(S$1="",$BE232=0),"",SUMIFS(Entries!$D$2:$D$5000,Entries!$C$2:$C$5000,"Actual",Entries!$A$2:$A$5000,$A232,Entries!$B$2:$B$5000,S$1))</f>
        <v/>
      </c>
      <c r="T232" s="88">
        <f>IF(OR(T$1="",$BE232=0),"",SUMIFS(Entries!$D$2:$D$5000,Entries!$C$2:$C$5000,"Actual",Entries!$A$2:$A$5000,$A232,Entries!$B$2:$B$5000,T$1))</f>
        <v/>
      </c>
      <c r="U232" s="88">
        <f>IF(OR(U$1="",$BE232=0),"",SUMIFS(Entries!$D$2:$D$5000,Entries!$C$2:$C$5000,"Actual",Entries!$A$2:$A$5000,$A232,Entries!$B$2:$B$5000,U$1))</f>
        <v/>
      </c>
      <c r="V232" s="88">
        <f>IF(OR(V$1="",$BE232=0),"",SUMIFS(Entries!$D$2:$D$5000,Entries!$C$2:$C$5000,"Actual",Entries!$A$2:$A$5000,$A232,Entries!$B$2:$B$5000,V$1))</f>
        <v/>
      </c>
      <c r="W232" s="88">
        <f>IF(OR(W$1="",$BE232=0),"",SUMIFS(Entries!$D$2:$D$5000,Entries!$C$2:$C$5000,"Actual",Entries!$A$2:$A$5000,$A232,Entries!$B$2:$B$5000,W$1))</f>
        <v/>
      </c>
      <c r="X232" s="88">
        <f>IF(OR(X$1="",$BE232=0),"",SUMIFS(Entries!$D$2:$D$5000,Entries!$C$2:$C$5000,"Actual",Entries!$A$2:$A$5000,$A232,Entries!$B$2:$B$5000,X$1))</f>
        <v/>
      </c>
      <c r="Y232" s="88">
        <f>IF(OR(Y$1="",$BE232=0),"",SUMIFS(Entries!$D$2:$D$5000,Entries!$C$2:$C$5000,"Actual",Entries!$A$2:$A$5000,$A232,Entries!$B$2:$B$5000,Y$1))</f>
        <v/>
      </c>
      <c r="Z232" s="88">
        <f>IF(OR(Z$1="",$BE232=0),"",SUMIFS(Entries!$D$2:$D$5000,Entries!$C$2:$C$5000,"Actual",Entries!$A$2:$A$5000,$A232,Entries!$B$2:$B$5000,Z$1))</f>
        <v/>
      </c>
      <c r="AA232" s="88">
        <f>IF(OR(AA$1="",$BE232=0),"",SUMIFS(Entries!$D$2:$D$5000,Entries!$C$2:$C$5000,"Actual",Entries!$A$2:$A$5000,$A232,Entries!$B$2:$B$5000,AA$1))</f>
        <v/>
      </c>
      <c r="AB232" s="88">
        <f>IF(OR(AB$1="",$BE232=0),"",SUMIFS(Entries!$D$2:$D$5000,Entries!$C$2:$C$5000,"Actual",Entries!$A$2:$A$5000,$A232,Entries!$B$2:$B$5000,AB$1))</f>
        <v/>
      </c>
      <c r="AC232" s="88">
        <f>IF(OR(AC$1="",$BE232=0),"",SUMIFS(Entries!$D$2:$D$5000,Entries!$C$2:$C$5000,"Actual",Entries!$A$2:$A$5000,$A232,Entries!$B$2:$B$5000,AC$1))</f>
        <v/>
      </c>
      <c r="AD232" s="88">
        <f>IF(OR(AD$1="",$BE232=0),"",SUMIFS(Entries!$D$2:$D$5000,Entries!$C$2:$C$5000,"Actual",Entries!$A$2:$A$5000,$A232,Entries!$B$2:$B$5000,AD$1))</f>
        <v/>
      </c>
      <c r="AE232" s="88">
        <f>IF(OR(AE$1="",$BE232=0),"",SUMIFS(Entries!$D$2:$D$5000,Entries!$C$2:$C$5000,"Actual",Entries!$A$2:$A$5000,$A232,Entries!$B$2:$B$5000,AE$1))</f>
        <v/>
      </c>
      <c r="AF232" s="88">
        <f>IF(OR(AF$1="",$BE232=0),"",SUMIFS(Entries!$D$2:$D$5000,Entries!$C$2:$C$5000,"Actual",Entries!$A$2:$A$5000,$A232,Entries!$B$2:$B$5000,AF$1))</f>
        <v/>
      </c>
      <c r="AG232" s="88">
        <f>IF(OR(AG$1="",$BE232=0),"",SUMIFS(Entries!$D$2:$D$5000,Entries!$C$2:$C$5000,"Actual",Entries!$A$2:$A$5000,$A232,Entries!$B$2:$B$5000,AG$1))</f>
        <v/>
      </c>
      <c r="AH232" s="88">
        <f>IF(OR(AH$1="",$BE232=0),"",SUMIFS(Entries!$D$2:$D$5000,Entries!$C$2:$C$5000,"Actual",Entries!$A$2:$A$5000,$A232,Entries!$B$2:$B$5000,AH$1))</f>
        <v/>
      </c>
      <c r="AJ232" s="88">
        <f>IF(OR(AJ$1="",$BE232=0),"",IFERROR(LOOKUP(2,1/((Budgets!$A$2:$A$200=AJ$1)*(Budgets!$B$2:$B$200&lt;=$A232)),Budgets!$C$2:$C$200),0))</f>
        <v/>
      </c>
      <c r="AK232" s="88">
        <f>IF(OR(AK$1="",$BE232=0),"",IFERROR(LOOKUP(2,1/((Budgets!$A$2:$A$200=AK$1)*(Budgets!$B$2:$B$200&lt;=$A232)),Budgets!$C$2:$C$200),0))</f>
        <v/>
      </c>
      <c r="AL232" s="88">
        <f>IF(OR(AL$1="",$BE232=0),"",IFERROR(LOOKUP(2,1/((Budgets!$A$2:$A$200=AL$1)*(Budgets!$B$2:$B$200&lt;=$A232)),Budgets!$C$2:$C$200),0))</f>
        <v/>
      </c>
      <c r="AM232" s="88">
        <f>IF(OR(AM$1="",$BE232=0),"",IFERROR(LOOKUP(2,1/((Budgets!$A$2:$A$200=AM$1)*(Budgets!$B$2:$B$200&lt;=$A232)),Budgets!$C$2:$C$200),0))</f>
        <v/>
      </c>
      <c r="AN232" s="88">
        <f>IF(OR(AN$1="",$BE232=0),"",IFERROR(LOOKUP(2,1/((Budgets!$A$2:$A$200=AN$1)*(Budgets!$B$2:$B$200&lt;=$A232)),Budgets!$C$2:$C$200),0))</f>
        <v/>
      </c>
      <c r="AO232" s="88">
        <f>IF(OR(AO$1="",$BE232=0),"",IFERROR(LOOKUP(2,1/((Budgets!$A$2:$A$200=AO$1)*(Budgets!$B$2:$B$200&lt;=$A232)),Budgets!$C$2:$C$200),0))</f>
        <v/>
      </c>
      <c r="AP232" s="88">
        <f>IF(OR(AP$1="",$BE232=0),"",IFERROR(LOOKUP(2,1/((Budgets!$A$2:$A$200=AP$1)*(Budgets!$B$2:$B$200&lt;=$A232)),Budgets!$C$2:$C$200),0))</f>
        <v/>
      </c>
      <c r="AQ232" s="88">
        <f>IF(OR(AQ$1="",$BE232=0),"",IFERROR(LOOKUP(2,1/((Budgets!$A$2:$A$200=AQ$1)*(Budgets!$B$2:$B$200&lt;=$A232)),Budgets!$C$2:$C$200),0))</f>
        <v/>
      </c>
      <c r="AR232" s="88">
        <f>IF(OR(AR$1="",$BE232=0),"",IFERROR(LOOKUP(2,1/((Budgets!$A$2:$A$200=AR$1)*(Budgets!$B$2:$B$200&lt;=$A232)),Budgets!$C$2:$C$200),0))</f>
        <v/>
      </c>
      <c r="AS232" s="88">
        <f>IF(OR(AS$1="",$BE232=0),"",IFERROR(LOOKUP(2,1/((Budgets!$A$2:$A$200=AS$1)*(Budgets!$B$2:$B$200&lt;=$A232)),Budgets!$C$2:$C$200),0))</f>
        <v/>
      </c>
      <c r="AT232" s="88">
        <f>IF(OR(AT$1="",$BE232=0),"",IFERROR(LOOKUP(2,1/((Budgets!$A$2:$A$200=AT$1)*(Budgets!$B$2:$B$200&lt;=$A232)),Budgets!$C$2:$C$200),0))</f>
        <v/>
      </c>
      <c r="AU232" s="88">
        <f>IF(OR(AU$1="",$BE232=0),"",IFERROR(LOOKUP(2,1/((Budgets!$A$2:$A$200=AU$1)*(Budgets!$B$2:$B$200&lt;=$A232)),Budgets!$C$2:$C$200),0))</f>
        <v/>
      </c>
      <c r="AV232" s="88">
        <f>IF(OR(AV$1="",$BE232=0),"",IFERROR(LOOKUP(2,1/((Budgets!$A$2:$A$200=AV$1)*(Budgets!$B$2:$B$200&lt;=$A232)),Budgets!$C$2:$C$200),0))</f>
        <v/>
      </c>
      <c r="AW232" s="88">
        <f>IF(OR(AW$1="",$BE232=0),"",IFERROR(LOOKUP(2,1/((Budgets!$A$2:$A$200=AW$1)*(Budgets!$B$2:$B$200&lt;=$A232)),Budgets!$C$2:$C$200),0))</f>
        <v/>
      </c>
      <c r="AX232" s="88">
        <f>IF(OR(AX$1="",$BE232=0),"",IFERROR(LOOKUP(2,1/((Budgets!$A$2:$A$200=AX$1)*(Budgets!$B$2:$B$200&lt;=$A232)),Budgets!$C$2:$C$200),0))</f>
        <v/>
      </c>
      <c r="AY232" s="88">
        <f>IF(OR(AY$1="",$BE232=0),"",IFERROR(LOOKUP(2,1/((Budgets!$A$2:$A$200=AY$1)*(Budgets!$B$2:$B$200&lt;=$A232)),Budgets!$C$2:$C$200),0))</f>
        <v/>
      </c>
      <c r="AZ232" s="88">
        <f>IF(OR(AZ$1="",$BE232=0),"",IFERROR(LOOKUP(2,1/((Budgets!$A$2:$A$200=AZ$1)*(Budgets!$B$2:$B$200&lt;=$A232)),Budgets!$C$2:$C$200),0))</f>
        <v/>
      </c>
      <c r="BA232" s="88">
        <f>IF(OR(BA$1="",$BE232=0),"",IFERROR(LOOKUP(2,1/((Budgets!$A$2:$A$200=BA$1)*(Budgets!$B$2:$B$200&lt;=$A232)),Budgets!$C$2:$C$200),0))</f>
        <v/>
      </c>
      <c r="BB232" s="88">
        <f>IF(OR(BB$1="",$BE232=0),"",IFERROR(LOOKUP(2,1/((Budgets!$A$2:$A$200=BB$1)*(Budgets!$B$2:$B$200&lt;=$A232)),Budgets!$C$2:$C$200),0))</f>
        <v/>
      </c>
      <c r="BC232" s="88">
        <f>IF(OR(BC$1="",$BE232=0),"",IFERROR(LOOKUP(2,1/((Budgets!$A$2:$A$200=BC$1)*(Budgets!$B$2:$B$200&lt;=$A232)),Budgets!$C$2:$C$200),0))</f>
        <v/>
      </c>
      <c r="BE232" s="67">
        <f>COUNTIFS(Entries!$A$2:$A$5000,$A232)</f>
        <v/>
      </c>
    </row>
    <row r="233" ht="15" customHeight="1" s="43">
      <c r="A233" s="87" t="n">
        <v>46478</v>
      </c>
      <c r="B233" s="88">
        <f>IF($BE233=0,NA(),SUMIFS(Entries!$D$2:$D$5000,Entries!$C$2:$C$5000,"Income",Entries!$A$2:$A$5000,$A233))</f>
        <v/>
      </c>
      <c r="C233" s="88">
        <f>IF($BE233=0,"",SUMIFS(Entries!$D$2:$D$5000,Entries!$C$2:$C$5000,"Actual",Entries!$A$2:$A$5000,$A233))</f>
        <v/>
      </c>
      <c r="D233" s="88">
        <f>IF($BE233=0,"",SUMIFS(Entries!$D$2:$D$5000,Entries!$C$2:$C$5000,"One-off",Entries!$A$2:$A$5000,$A233))</f>
        <v/>
      </c>
      <c r="E233" s="88">
        <f>IF($BE233=0,NA(),C233+D233)</f>
        <v/>
      </c>
      <c r="F233" s="88">
        <f>IF($BE233=0,"",SUM(AJ233:BC233))</f>
        <v/>
      </c>
      <c r="G233" s="88">
        <f>IF($BE233=0,"",B233-E233)</f>
        <v/>
      </c>
      <c r="H233" s="88">
        <f>IF($BE233=0,"",SUM($G$2:G233))</f>
        <v/>
      </c>
      <c r="I233" s="88">
        <f>IF($BE233=0,"",SUMIFS(Entries!$F$2:$F$5000,Entries!$A$2:$A$5000,$A233))</f>
        <v/>
      </c>
      <c r="J233" s="88">
        <f>IF($BE233=0,NA(),H233+SUM($I$2:I233))</f>
        <v/>
      </c>
      <c r="K233" s="88">
        <f>IF($BE233=0,"",SUMIFS(Entries!$D$2:$D$5000,Entries!$C$2:$C$5000,"Income",Entries!$A$2:$A$5000,"&gt;="&amp;EDATE($A233,-11),Entries!$A$2:$A$5000,"&lt;="&amp;$A233)/12)</f>
        <v/>
      </c>
      <c r="L233" s="88">
        <f>IF($BE233=0,"",(SUMIFS(Entries!$D$2:$D$5000,Entries!$C$2:$C$5000,"Actual",Entries!$A$2:$A$5000,"&gt;="&amp;EDATE($A233,-11),Entries!$A$2:$A$5000,"&lt;="&amp;$A233)+SUMIFS(Entries!$D$2:$D$5000,Entries!$C$2:$C$5000,"One-off",Entries!$A$2:$A$5000,"&gt;="&amp;EDATE($A233,-11),Entries!$A$2:$A$5000,"&lt;="&amp;$A233))/12)</f>
        <v/>
      </c>
      <c r="M233" s="71">
        <f>IF($BE233=0,NA(),IFERROR((K233-L233)/K233,0))</f>
        <v/>
      </c>
      <c r="O233" s="88">
        <f>IF(OR(O$1="",$BE233=0),"",SUMIFS(Entries!$D$2:$D$5000,Entries!$C$2:$C$5000,"Actual",Entries!$A$2:$A$5000,$A233,Entries!$B$2:$B$5000,O$1))</f>
        <v/>
      </c>
      <c r="P233" s="88">
        <f>IF(OR(P$1="",$BE233=0),"",SUMIFS(Entries!$D$2:$D$5000,Entries!$C$2:$C$5000,"Actual",Entries!$A$2:$A$5000,$A233,Entries!$B$2:$B$5000,P$1))</f>
        <v/>
      </c>
      <c r="Q233" s="88">
        <f>IF(OR(Q$1="",$BE233=0),"",SUMIFS(Entries!$D$2:$D$5000,Entries!$C$2:$C$5000,"Actual",Entries!$A$2:$A$5000,$A233,Entries!$B$2:$B$5000,Q$1))</f>
        <v/>
      </c>
      <c r="R233" s="88">
        <f>IF(OR(R$1="",$BE233=0),"",SUMIFS(Entries!$D$2:$D$5000,Entries!$C$2:$C$5000,"Actual",Entries!$A$2:$A$5000,$A233,Entries!$B$2:$B$5000,R$1))</f>
        <v/>
      </c>
      <c r="S233" s="88">
        <f>IF(OR(S$1="",$BE233=0),"",SUMIFS(Entries!$D$2:$D$5000,Entries!$C$2:$C$5000,"Actual",Entries!$A$2:$A$5000,$A233,Entries!$B$2:$B$5000,S$1))</f>
        <v/>
      </c>
      <c r="T233" s="88">
        <f>IF(OR(T$1="",$BE233=0),"",SUMIFS(Entries!$D$2:$D$5000,Entries!$C$2:$C$5000,"Actual",Entries!$A$2:$A$5000,$A233,Entries!$B$2:$B$5000,T$1))</f>
        <v/>
      </c>
      <c r="U233" s="88">
        <f>IF(OR(U$1="",$BE233=0),"",SUMIFS(Entries!$D$2:$D$5000,Entries!$C$2:$C$5000,"Actual",Entries!$A$2:$A$5000,$A233,Entries!$B$2:$B$5000,U$1))</f>
        <v/>
      </c>
      <c r="V233" s="88">
        <f>IF(OR(V$1="",$BE233=0),"",SUMIFS(Entries!$D$2:$D$5000,Entries!$C$2:$C$5000,"Actual",Entries!$A$2:$A$5000,$A233,Entries!$B$2:$B$5000,V$1))</f>
        <v/>
      </c>
      <c r="W233" s="88">
        <f>IF(OR(W$1="",$BE233=0),"",SUMIFS(Entries!$D$2:$D$5000,Entries!$C$2:$C$5000,"Actual",Entries!$A$2:$A$5000,$A233,Entries!$B$2:$B$5000,W$1))</f>
        <v/>
      </c>
      <c r="X233" s="88">
        <f>IF(OR(X$1="",$BE233=0),"",SUMIFS(Entries!$D$2:$D$5000,Entries!$C$2:$C$5000,"Actual",Entries!$A$2:$A$5000,$A233,Entries!$B$2:$B$5000,X$1))</f>
        <v/>
      </c>
      <c r="Y233" s="88">
        <f>IF(OR(Y$1="",$BE233=0),"",SUMIFS(Entries!$D$2:$D$5000,Entries!$C$2:$C$5000,"Actual",Entries!$A$2:$A$5000,$A233,Entries!$B$2:$B$5000,Y$1))</f>
        <v/>
      </c>
      <c r="Z233" s="88">
        <f>IF(OR(Z$1="",$BE233=0),"",SUMIFS(Entries!$D$2:$D$5000,Entries!$C$2:$C$5000,"Actual",Entries!$A$2:$A$5000,$A233,Entries!$B$2:$B$5000,Z$1))</f>
        <v/>
      </c>
      <c r="AA233" s="88">
        <f>IF(OR(AA$1="",$BE233=0),"",SUMIFS(Entries!$D$2:$D$5000,Entries!$C$2:$C$5000,"Actual",Entries!$A$2:$A$5000,$A233,Entries!$B$2:$B$5000,AA$1))</f>
        <v/>
      </c>
      <c r="AB233" s="88">
        <f>IF(OR(AB$1="",$BE233=0),"",SUMIFS(Entries!$D$2:$D$5000,Entries!$C$2:$C$5000,"Actual",Entries!$A$2:$A$5000,$A233,Entries!$B$2:$B$5000,AB$1))</f>
        <v/>
      </c>
      <c r="AC233" s="88">
        <f>IF(OR(AC$1="",$BE233=0),"",SUMIFS(Entries!$D$2:$D$5000,Entries!$C$2:$C$5000,"Actual",Entries!$A$2:$A$5000,$A233,Entries!$B$2:$B$5000,AC$1))</f>
        <v/>
      </c>
      <c r="AD233" s="88">
        <f>IF(OR(AD$1="",$BE233=0),"",SUMIFS(Entries!$D$2:$D$5000,Entries!$C$2:$C$5000,"Actual",Entries!$A$2:$A$5000,$A233,Entries!$B$2:$B$5000,AD$1))</f>
        <v/>
      </c>
      <c r="AE233" s="88">
        <f>IF(OR(AE$1="",$BE233=0),"",SUMIFS(Entries!$D$2:$D$5000,Entries!$C$2:$C$5000,"Actual",Entries!$A$2:$A$5000,$A233,Entries!$B$2:$B$5000,AE$1))</f>
        <v/>
      </c>
      <c r="AF233" s="88">
        <f>IF(OR(AF$1="",$BE233=0),"",SUMIFS(Entries!$D$2:$D$5000,Entries!$C$2:$C$5000,"Actual",Entries!$A$2:$A$5000,$A233,Entries!$B$2:$B$5000,AF$1))</f>
        <v/>
      </c>
      <c r="AG233" s="88">
        <f>IF(OR(AG$1="",$BE233=0),"",SUMIFS(Entries!$D$2:$D$5000,Entries!$C$2:$C$5000,"Actual",Entries!$A$2:$A$5000,$A233,Entries!$B$2:$B$5000,AG$1))</f>
        <v/>
      </c>
      <c r="AH233" s="88">
        <f>IF(OR(AH$1="",$BE233=0),"",SUMIFS(Entries!$D$2:$D$5000,Entries!$C$2:$C$5000,"Actual",Entries!$A$2:$A$5000,$A233,Entries!$B$2:$B$5000,AH$1))</f>
        <v/>
      </c>
      <c r="AJ233" s="88">
        <f>IF(OR(AJ$1="",$BE233=0),"",IFERROR(LOOKUP(2,1/((Budgets!$A$2:$A$200=AJ$1)*(Budgets!$B$2:$B$200&lt;=$A233)),Budgets!$C$2:$C$200),0))</f>
        <v/>
      </c>
      <c r="AK233" s="88">
        <f>IF(OR(AK$1="",$BE233=0),"",IFERROR(LOOKUP(2,1/((Budgets!$A$2:$A$200=AK$1)*(Budgets!$B$2:$B$200&lt;=$A233)),Budgets!$C$2:$C$200),0))</f>
        <v/>
      </c>
      <c r="AL233" s="88">
        <f>IF(OR(AL$1="",$BE233=0),"",IFERROR(LOOKUP(2,1/((Budgets!$A$2:$A$200=AL$1)*(Budgets!$B$2:$B$200&lt;=$A233)),Budgets!$C$2:$C$200),0))</f>
        <v/>
      </c>
      <c r="AM233" s="88">
        <f>IF(OR(AM$1="",$BE233=0),"",IFERROR(LOOKUP(2,1/((Budgets!$A$2:$A$200=AM$1)*(Budgets!$B$2:$B$200&lt;=$A233)),Budgets!$C$2:$C$200),0))</f>
        <v/>
      </c>
      <c r="AN233" s="88">
        <f>IF(OR(AN$1="",$BE233=0),"",IFERROR(LOOKUP(2,1/((Budgets!$A$2:$A$200=AN$1)*(Budgets!$B$2:$B$200&lt;=$A233)),Budgets!$C$2:$C$200),0))</f>
        <v/>
      </c>
      <c r="AO233" s="88">
        <f>IF(OR(AO$1="",$BE233=0),"",IFERROR(LOOKUP(2,1/((Budgets!$A$2:$A$200=AO$1)*(Budgets!$B$2:$B$200&lt;=$A233)),Budgets!$C$2:$C$200),0))</f>
        <v/>
      </c>
      <c r="AP233" s="88">
        <f>IF(OR(AP$1="",$BE233=0),"",IFERROR(LOOKUP(2,1/((Budgets!$A$2:$A$200=AP$1)*(Budgets!$B$2:$B$200&lt;=$A233)),Budgets!$C$2:$C$200),0))</f>
        <v/>
      </c>
      <c r="AQ233" s="88">
        <f>IF(OR(AQ$1="",$BE233=0),"",IFERROR(LOOKUP(2,1/((Budgets!$A$2:$A$200=AQ$1)*(Budgets!$B$2:$B$200&lt;=$A233)),Budgets!$C$2:$C$200),0))</f>
        <v/>
      </c>
      <c r="AR233" s="88">
        <f>IF(OR(AR$1="",$BE233=0),"",IFERROR(LOOKUP(2,1/((Budgets!$A$2:$A$200=AR$1)*(Budgets!$B$2:$B$200&lt;=$A233)),Budgets!$C$2:$C$200),0))</f>
        <v/>
      </c>
      <c r="AS233" s="88">
        <f>IF(OR(AS$1="",$BE233=0),"",IFERROR(LOOKUP(2,1/((Budgets!$A$2:$A$200=AS$1)*(Budgets!$B$2:$B$200&lt;=$A233)),Budgets!$C$2:$C$200),0))</f>
        <v/>
      </c>
      <c r="AT233" s="88">
        <f>IF(OR(AT$1="",$BE233=0),"",IFERROR(LOOKUP(2,1/((Budgets!$A$2:$A$200=AT$1)*(Budgets!$B$2:$B$200&lt;=$A233)),Budgets!$C$2:$C$200),0))</f>
        <v/>
      </c>
      <c r="AU233" s="88">
        <f>IF(OR(AU$1="",$BE233=0),"",IFERROR(LOOKUP(2,1/((Budgets!$A$2:$A$200=AU$1)*(Budgets!$B$2:$B$200&lt;=$A233)),Budgets!$C$2:$C$200),0))</f>
        <v/>
      </c>
      <c r="AV233" s="88">
        <f>IF(OR(AV$1="",$BE233=0),"",IFERROR(LOOKUP(2,1/((Budgets!$A$2:$A$200=AV$1)*(Budgets!$B$2:$B$200&lt;=$A233)),Budgets!$C$2:$C$200),0))</f>
        <v/>
      </c>
      <c r="AW233" s="88">
        <f>IF(OR(AW$1="",$BE233=0),"",IFERROR(LOOKUP(2,1/((Budgets!$A$2:$A$200=AW$1)*(Budgets!$B$2:$B$200&lt;=$A233)),Budgets!$C$2:$C$200),0))</f>
        <v/>
      </c>
      <c r="AX233" s="88">
        <f>IF(OR(AX$1="",$BE233=0),"",IFERROR(LOOKUP(2,1/((Budgets!$A$2:$A$200=AX$1)*(Budgets!$B$2:$B$200&lt;=$A233)),Budgets!$C$2:$C$200),0))</f>
        <v/>
      </c>
      <c r="AY233" s="88">
        <f>IF(OR(AY$1="",$BE233=0),"",IFERROR(LOOKUP(2,1/((Budgets!$A$2:$A$200=AY$1)*(Budgets!$B$2:$B$200&lt;=$A233)),Budgets!$C$2:$C$200),0))</f>
        <v/>
      </c>
      <c r="AZ233" s="88">
        <f>IF(OR(AZ$1="",$BE233=0),"",IFERROR(LOOKUP(2,1/((Budgets!$A$2:$A$200=AZ$1)*(Budgets!$B$2:$B$200&lt;=$A233)),Budgets!$C$2:$C$200),0))</f>
        <v/>
      </c>
      <c r="BA233" s="88">
        <f>IF(OR(BA$1="",$BE233=0),"",IFERROR(LOOKUP(2,1/((Budgets!$A$2:$A$200=BA$1)*(Budgets!$B$2:$B$200&lt;=$A233)),Budgets!$C$2:$C$200),0))</f>
        <v/>
      </c>
      <c r="BB233" s="88">
        <f>IF(OR(BB$1="",$BE233=0),"",IFERROR(LOOKUP(2,1/((Budgets!$A$2:$A$200=BB$1)*(Budgets!$B$2:$B$200&lt;=$A233)),Budgets!$C$2:$C$200),0))</f>
        <v/>
      </c>
      <c r="BC233" s="88">
        <f>IF(OR(BC$1="",$BE233=0),"",IFERROR(LOOKUP(2,1/((Budgets!$A$2:$A$200=BC$1)*(Budgets!$B$2:$B$200&lt;=$A233)),Budgets!$C$2:$C$200),0))</f>
        <v/>
      </c>
      <c r="BE233" s="67">
        <f>COUNTIFS(Entries!$A$2:$A$5000,$A233)</f>
        <v/>
      </c>
    </row>
    <row r="234" ht="15" customHeight="1" s="43">
      <c r="A234" s="87" t="n">
        <v>46508</v>
      </c>
      <c r="B234" s="88">
        <f>IF($BE234=0,NA(),SUMIFS(Entries!$D$2:$D$5000,Entries!$C$2:$C$5000,"Income",Entries!$A$2:$A$5000,$A234))</f>
        <v/>
      </c>
      <c r="C234" s="88">
        <f>IF($BE234=0,"",SUMIFS(Entries!$D$2:$D$5000,Entries!$C$2:$C$5000,"Actual",Entries!$A$2:$A$5000,$A234))</f>
        <v/>
      </c>
      <c r="D234" s="88">
        <f>IF($BE234=0,"",SUMIFS(Entries!$D$2:$D$5000,Entries!$C$2:$C$5000,"One-off",Entries!$A$2:$A$5000,$A234))</f>
        <v/>
      </c>
      <c r="E234" s="88">
        <f>IF($BE234=0,NA(),C234+D234)</f>
        <v/>
      </c>
      <c r="F234" s="88">
        <f>IF($BE234=0,"",SUM(AJ234:BC234))</f>
        <v/>
      </c>
      <c r="G234" s="88">
        <f>IF($BE234=0,"",B234-E234)</f>
        <v/>
      </c>
      <c r="H234" s="88">
        <f>IF($BE234=0,"",SUM($G$2:G234))</f>
        <v/>
      </c>
      <c r="I234" s="88">
        <f>IF($BE234=0,"",SUMIFS(Entries!$F$2:$F$5000,Entries!$A$2:$A$5000,$A234))</f>
        <v/>
      </c>
      <c r="J234" s="88">
        <f>IF($BE234=0,NA(),H234+SUM($I$2:I234))</f>
        <v/>
      </c>
      <c r="K234" s="88">
        <f>IF($BE234=0,"",SUMIFS(Entries!$D$2:$D$5000,Entries!$C$2:$C$5000,"Income",Entries!$A$2:$A$5000,"&gt;="&amp;EDATE($A234,-11),Entries!$A$2:$A$5000,"&lt;="&amp;$A234)/12)</f>
        <v/>
      </c>
      <c r="L234" s="88">
        <f>IF($BE234=0,"",(SUMIFS(Entries!$D$2:$D$5000,Entries!$C$2:$C$5000,"Actual",Entries!$A$2:$A$5000,"&gt;="&amp;EDATE($A234,-11),Entries!$A$2:$A$5000,"&lt;="&amp;$A234)+SUMIFS(Entries!$D$2:$D$5000,Entries!$C$2:$C$5000,"One-off",Entries!$A$2:$A$5000,"&gt;="&amp;EDATE($A234,-11),Entries!$A$2:$A$5000,"&lt;="&amp;$A234))/12)</f>
        <v/>
      </c>
      <c r="M234" s="71">
        <f>IF($BE234=0,NA(),IFERROR((K234-L234)/K234,0))</f>
        <v/>
      </c>
      <c r="O234" s="88">
        <f>IF(OR(O$1="",$BE234=0),"",SUMIFS(Entries!$D$2:$D$5000,Entries!$C$2:$C$5000,"Actual",Entries!$A$2:$A$5000,$A234,Entries!$B$2:$B$5000,O$1))</f>
        <v/>
      </c>
      <c r="P234" s="88">
        <f>IF(OR(P$1="",$BE234=0),"",SUMIFS(Entries!$D$2:$D$5000,Entries!$C$2:$C$5000,"Actual",Entries!$A$2:$A$5000,$A234,Entries!$B$2:$B$5000,P$1))</f>
        <v/>
      </c>
      <c r="Q234" s="88">
        <f>IF(OR(Q$1="",$BE234=0),"",SUMIFS(Entries!$D$2:$D$5000,Entries!$C$2:$C$5000,"Actual",Entries!$A$2:$A$5000,$A234,Entries!$B$2:$B$5000,Q$1))</f>
        <v/>
      </c>
      <c r="R234" s="88">
        <f>IF(OR(R$1="",$BE234=0),"",SUMIFS(Entries!$D$2:$D$5000,Entries!$C$2:$C$5000,"Actual",Entries!$A$2:$A$5000,$A234,Entries!$B$2:$B$5000,R$1))</f>
        <v/>
      </c>
      <c r="S234" s="88">
        <f>IF(OR(S$1="",$BE234=0),"",SUMIFS(Entries!$D$2:$D$5000,Entries!$C$2:$C$5000,"Actual",Entries!$A$2:$A$5000,$A234,Entries!$B$2:$B$5000,S$1))</f>
        <v/>
      </c>
      <c r="T234" s="88">
        <f>IF(OR(T$1="",$BE234=0),"",SUMIFS(Entries!$D$2:$D$5000,Entries!$C$2:$C$5000,"Actual",Entries!$A$2:$A$5000,$A234,Entries!$B$2:$B$5000,T$1))</f>
        <v/>
      </c>
      <c r="U234" s="88">
        <f>IF(OR(U$1="",$BE234=0),"",SUMIFS(Entries!$D$2:$D$5000,Entries!$C$2:$C$5000,"Actual",Entries!$A$2:$A$5000,$A234,Entries!$B$2:$B$5000,U$1))</f>
        <v/>
      </c>
      <c r="V234" s="88">
        <f>IF(OR(V$1="",$BE234=0),"",SUMIFS(Entries!$D$2:$D$5000,Entries!$C$2:$C$5000,"Actual",Entries!$A$2:$A$5000,$A234,Entries!$B$2:$B$5000,V$1))</f>
        <v/>
      </c>
      <c r="W234" s="88">
        <f>IF(OR(W$1="",$BE234=0),"",SUMIFS(Entries!$D$2:$D$5000,Entries!$C$2:$C$5000,"Actual",Entries!$A$2:$A$5000,$A234,Entries!$B$2:$B$5000,W$1))</f>
        <v/>
      </c>
      <c r="X234" s="88">
        <f>IF(OR(X$1="",$BE234=0),"",SUMIFS(Entries!$D$2:$D$5000,Entries!$C$2:$C$5000,"Actual",Entries!$A$2:$A$5000,$A234,Entries!$B$2:$B$5000,X$1))</f>
        <v/>
      </c>
      <c r="Y234" s="88">
        <f>IF(OR(Y$1="",$BE234=0),"",SUMIFS(Entries!$D$2:$D$5000,Entries!$C$2:$C$5000,"Actual",Entries!$A$2:$A$5000,$A234,Entries!$B$2:$B$5000,Y$1))</f>
        <v/>
      </c>
      <c r="Z234" s="88">
        <f>IF(OR(Z$1="",$BE234=0),"",SUMIFS(Entries!$D$2:$D$5000,Entries!$C$2:$C$5000,"Actual",Entries!$A$2:$A$5000,$A234,Entries!$B$2:$B$5000,Z$1))</f>
        <v/>
      </c>
      <c r="AA234" s="88">
        <f>IF(OR(AA$1="",$BE234=0),"",SUMIFS(Entries!$D$2:$D$5000,Entries!$C$2:$C$5000,"Actual",Entries!$A$2:$A$5000,$A234,Entries!$B$2:$B$5000,AA$1))</f>
        <v/>
      </c>
      <c r="AB234" s="88">
        <f>IF(OR(AB$1="",$BE234=0),"",SUMIFS(Entries!$D$2:$D$5000,Entries!$C$2:$C$5000,"Actual",Entries!$A$2:$A$5000,$A234,Entries!$B$2:$B$5000,AB$1))</f>
        <v/>
      </c>
      <c r="AC234" s="88">
        <f>IF(OR(AC$1="",$BE234=0),"",SUMIFS(Entries!$D$2:$D$5000,Entries!$C$2:$C$5000,"Actual",Entries!$A$2:$A$5000,$A234,Entries!$B$2:$B$5000,AC$1))</f>
        <v/>
      </c>
      <c r="AD234" s="88">
        <f>IF(OR(AD$1="",$BE234=0),"",SUMIFS(Entries!$D$2:$D$5000,Entries!$C$2:$C$5000,"Actual",Entries!$A$2:$A$5000,$A234,Entries!$B$2:$B$5000,AD$1))</f>
        <v/>
      </c>
      <c r="AE234" s="88">
        <f>IF(OR(AE$1="",$BE234=0),"",SUMIFS(Entries!$D$2:$D$5000,Entries!$C$2:$C$5000,"Actual",Entries!$A$2:$A$5000,$A234,Entries!$B$2:$B$5000,AE$1))</f>
        <v/>
      </c>
      <c r="AF234" s="88">
        <f>IF(OR(AF$1="",$BE234=0),"",SUMIFS(Entries!$D$2:$D$5000,Entries!$C$2:$C$5000,"Actual",Entries!$A$2:$A$5000,$A234,Entries!$B$2:$B$5000,AF$1))</f>
        <v/>
      </c>
      <c r="AG234" s="88">
        <f>IF(OR(AG$1="",$BE234=0),"",SUMIFS(Entries!$D$2:$D$5000,Entries!$C$2:$C$5000,"Actual",Entries!$A$2:$A$5000,$A234,Entries!$B$2:$B$5000,AG$1))</f>
        <v/>
      </c>
      <c r="AH234" s="88">
        <f>IF(OR(AH$1="",$BE234=0),"",SUMIFS(Entries!$D$2:$D$5000,Entries!$C$2:$C$5000,"Actual",Entries!$A$2:$A$5000,$A234,Entries!$B$2:$B$5000,AH$1))</f>
        <v/>
      </c>
      <c r="AJ234" s="88">
        <f>IF(OR(AJ$1="",$BE234=0),"",IFERROR(LOOKUP(2,1/((Budgets!$A$2:$A$200=AJ$1)*(Budgets!$B$2:$B$200&lt;=$A234)),Budgets!$C$2:$C$200),0))</f>
        <v/>
      </c>
      <c r="AK234" s="88">
        <f>IF(OR(AK$1="",$BE234=0),"",IFERROR(LOOKUP(2,1/((Budgets!$A$2:$A$200=AK$1)*(Budgets!$B$2:$B$200&lt;=$A234)),Budgets!$C$2:$C$200),0))</f>
        <v/>
      </c>
      <c r="AL234" s="88">
        <f>IF(OR(AL$1="",$BE234=0),"",IFERROR(LOOKUP(2,1/((Budgets!$A$2:$A$200=AL$1)*(Budgets!$B$2:$B$200&lt;=$A234)),Budgets!$C$2:$C$200),0))</f>
        <v/>
      </c>
      <c r="AM234" s="88">
        <f>IF(OR(AM$1="",$BE234=0),"",IFERROR(LOOKUP(2,1/((Budgets!$A$2:$A$200=AM$1)*(Budgets!$B$2:$B$200&lt;=$A234)),Budgets!$C$2:$C$200),0))</f>
        <v/>
      </c>
      <c r="AN234" s="88">
        <f>IF(OR(AN$1="",$BE234=0),"",IFERROR(LOOKUP(2,1/((Budgets!$A$2:$A$200=AN$1)*(Budgets!$B$2:$B$200&lt;=$A234)),Budgets!$C$2:$C$200),0))</f>
        <v/>
      </c>
      <c r="AO234" s="88">
        <f>IF(OR(AO$1="",$BE234=0),"",IFERROR(LOOKUP(2,1/((Budgets!$A$2:$A$200=AO$1)*(Budgets!$B$2:$B$200&lt;=$A234)),Budgets!$C$2:$C$200),0))</f>
        <v/>
      </c>
      <c r="AP234" s="88">
        <f>IF(OR(AP$1="",$BE234=0),"",IFERROR(LOOKUP(2,1/((Budgets!$A$2:$A$200=AP$1)*(Budgets!$B$2:$B$200&lt;=$A234)),Budgets!$C$2:$C$200),0))</f>
        <v/>
      </c>
      <c r="AQ234" s="88">
        <f>IF(OR(AQ$1="",$BE234=0),"",IFERROR(LOOKUP(2,1/((Budgets!$A$2:$A$200=AQ$1)*(Budgets!$B$2:$B$200&lt;=$A234)),Budgets!$C$2:$C$200),0))</f>
        <v/>
      </c>
      <c r="AR234" s="88">
        <f>IF(OR(AR$1="",$BE234=0),"",IFERROR(LOOKUP(2,1/((Budgets!$A$2:$A$200=AR$1)*(Budgets!$B$2:$B$200&lt;=$A234)),Budgets!$C$2:$C$200),0))</f>
        <v/>
      </c>
      <c r="AS234" s="88">
        <f>IF(OR(AS$1="",$BE234=0),"",IFERROR(LOOKUP(2,1/((Budgets!$A$2:$A$200=AS$1)*(Budgets!$B$2:$B$200&lt;=$A234)),Budgets!$C$2:$C$200),0))</f>
        <v/>
      </c>
      <c r="AT234" s="88">
        <f>IF(OR(AT$1="",$BE234=0),"",IFERROR(LOOKUP(2,1/((Budgets!$A$2:$A$200=AT$1)*(Budgets!$B$2:$B$200&lt;=$A234)),Budgets!$C$2:$C$200),0))</f>
        <v/>
      </c>
      <c r="AU234" s="88">
        <f>IF(OR(AU$1="",$BE234=0),"",IFERROR(LOOKUP(2,1/((Budgets!$A$2:$A$200=AU$1)*(Budgets!$B$2:$B$200&lt;=$A234)),Budgets!$C$2:$C$200),0))</f>
        <v/>
      </c>
      <c r="AV234" s="88">
        <f>IF(OR(AV$1="",$BE234=0),"",IFERROR(LOOKUP(2,1/((Budgets!$A$2:$A$200=AV$1)*(Budgets!$B$2:$B$200&lt;=$A234)),Budgets!$C$2:$C$200),0))</f>
        <v/>
      </c>
      <c r="AW234" s="88">
        <f>IF(OR(AW$1="",$BE234=0),"",IFERROR(LOOKUP(2,1/((Budgets!$A$2:$A$200=AW$1)*(Budgets!$B$2:$B$200&lt;=$A234)),Budgets!$C$2:$C$200),0))</f>
        <v/>
      </c>
      <c r="AX234" s="88">
        <f>IF(OR(AX$1="",$BE234=0),"",IFERROR(LOOKUP(2,1/((Budgets!$A$2:$A$200=AX$1)*(Budgets!$B$2:$B$200&lt;=$A234)),Budgets!$C$2:$C$200),0))</f>
        <v/>
      </c>
      <c r="AY234" s="88">
        <f>IF(OR(AY$1="",$BE234=0),"",IFERROR(LOOKUP(2,1/((Budgets!$A$2:$A$200=AY$1)*(Budgets!$B$2:$B$200&lt;=$A234)),Budgets!$C$2:$C$200),0))</f>
        <v/>
      </c>
      <c r="AZ234" s="88">
        <f>IF(OR(AZ$1="",$BE234=0),"",IFERROR(LOOKUP(2,1/((Budgets!$A$2:$A$200=AZ$1)*(Budgets!$B$2:$B$200&lt;=$A234)),Budgets!$C$2:$C$200),0))</f>
        <v/>
      </c>
      <c r="BA234" s="88">
        <f>IF(OR(BA$1="",$BE234=0),"",IFERROR(LOOKUP(2,1/((Budgets!$A$2:$A$200=BA$1)*(Budgets!$B$2:$B$200&lt;=$A234)),Budgets!$C$2:$C$200),0))</f>
        <v/>
      </c>
      <c r="BB234" s="88">
        <f>IF(OR(BB$1="",$BE234=0),"",IFERROR(LOOKUP(2,1/((Budgets!$A$2:$A$200=BB$1)*(Budgets!$B$2:$B$200&lt;=$A234)),Budgets!$C$2:$C$200),0))</f>
        <v/>
      </c>
      <c r="BC234" s="88">
        <f>IF(OR(BC$1="",$BE234=0),"",IFERROR(LOOKUP(2,1/((Budgets!$A$2:$A$200=BC$1)*(Budgets!$B$2:$B$200&lt;=$A234)),Budgets!$C$2:$C$200),0))</f>
        <v/>
      </c>
      <c r="BE234" s="67">
        <f>COUNTIFS(Entries!$A$2:$A$5000,$A234)</f>
        <v/>
      </c>
    </row>
    <row r="235" ht="15" customHeight="1" s="43">
      <c r="A235" s="87" t="n">
        <v>46539</v>
      </c>
      <c r="B235" s="88">
        <f>IF($BE235=0,NA(),SUMIFS(Entries!$D$2:$D$5000,Entries!$C$2:$C$5000,"Income",Entries!$A$2:$A$5000,$A235))</f>
        <v/>
      </c>
      <c r="C235" s="88">
        <f>IF($BE235=0,"",SUMIFS(Entries!$D$2:$D$5000,Entries!$C$2:$C$5000,"Actual",Entries!$A$2:$A$5000,$A235))</f>
        <v/>
      </c>
      <c r="D235" s="88">
        <f>IF($BE235=0,"",SUMIFS(Entries!$D$2:$D$5000,Entries!$C$2:$C$5000,"One-off",Entries!$A$2:$A$5000,$A235))</f>
        <v/>
      </c>
      <c r="E235" s="88">
        <f>IF($BE235=0,NA(),C235+D235)</f>
        <v/>
      </c>
      <c r="F235" s="88">
        <f>IF($BE235=0,"",SUM(AJ235:BC235))</f>
        <v/>
      </c>
      <c r="G235" s="88">
        <f>IF($BE235=0,"",B235-E235)</f>
        <v/>
      </c>
      <c r="H235" s="88">
        <f>IF($BE235=0,"",SUM($G$2:G235))</f>
        <v/>
      </c>
      <c r="I235" s="88">
        <f>IF($BE235=0,"",SUMIFS(Entries!$F$2:$F$5000,Entries!$A$2:$A$5000,$A235))</f>
        <v/>
      </c>
      <c r="J235" s="88">
        <f>IF($BE235=0,NA(),H235+SUM($I$2:I235))</f>
        <v/>
      </c>
      <c r="K235" s="88">
        <f>IF($BE235=0,"",SUMIFS(Entries!$D$2:$D$5000,Entries!$C$2:$C$5000,"Income",Entries!$A$2:$A$5000,"&gt;="&amp;EDATE($A235,-11),Entries!$A$2:$A$5000,"&lt;="&amp;$A235)/12)</f>
        <v/>
      </c>
      <c r="L235" s="88">
        <f>IF($BE235=0,"",(SUMIFS(Entries!$D$2:$D$5000,Entries!$C$2:$C$5000,"Actual",Entries!$A$2:$A$5000,"&gt;="&amp;EDATE($A235,-11),Entries!$A$2:$A$5000,"&lt;="&amp;$A235)+SUMIFS(Entries!$D$2:$D$5000,Entries!$C$2:$C$5000,"One-off",Entries!$A$2:$A$5000,"&gt;="&amp;EDATE($A235,-11),Entries!$A$2:$A$5000,"&lt;="&amp;$A235))/12)</f>
        <v/>
      </c>
      <c r="M235" s="71">
        <f>IF($BE235=0,NA(),IFERROR((K235-L235)/K235,0))</f>
        <v/>
      </c>
      <c r="O235" s="88">
        <f>IF(OR(O$1="",$BE235=0),"",SUMIFS(Entries!$D$2:$D$5000,Entries!$C$2:$C$5000,"Actual",Entries!$A$2:$A$5000,$A235,Entries!$B$2:$B$5000,O$1))</f>
        <v/>
      </c>
      <c r="P235" s="88">
        <f>IF(OR(P$1="",$BE235=0),"",SUMIFS(Entries!$D$2:$D$5000,Entries!$C$2:$C$5000,"Actual",Entries!$A$2:$A$5000,$A235,Entries!$B$2:$B$5000,P$1))</f>
        <v/>
      </c>
      <c r="Q235" s="88">
        <f>IF(OR(Q$1="",$BE235=0),"",SUMIFS(Entries!$D$2:$D$5000,Entries!$C$2:$C$5000,"Actual",Entries!$A$2:$A$5000,$A235,Entries!$B$2:$B$5000,Q$1))</f>
        <v/>
      </c>
      <c r="R235" s="88">
        <f>IF(OR(R$1="",$BE235=0),"",SUMIFS(Entries!$D$2:$D$5000,Entries!$C$2:$C$5000,"Actual",Entries!$A$2:$A$5000,$A235,Entries!$B$2:$B$5000,R$1))</f>
        <v/>
      </c>
      <c r="S235" s="88">
        <f>IF(OR(S$1="",$BE235=0),"",SUMIFS(Entries!$D$2:$D$5000,Entries!$C$2:$C$5000,"Actual",Entries!$A$2:$A$5000,$A235,Entries!$B$2:$B$5000,S$1))</f>
        <v/>
      </c>
      <c r="T235" s="88">
        <f>IF(OR(T$1="",$BE235=0),"",SUMIFS(Entries!$D$2:$D$5000,Entries!$C$2:$C$5000,"Actual",Entries!$A$2:$A$5000,$A235,Entries!$B$2:$B$5000,T$1))</f>
        <v/>
      </c>
      <c r="U235" s="88">
        <f>IF(OR(U$1="",$BE235=0),"",SUMIFS(Entries!$D$2:$D$5000,Entries!$C$2:$C$5000,"Actual",Entries!$A$2:$A$5000,$A235,Entries!$B$2:$B$5000,U$1))</f>
        <v/>
      </c>
      <c r="V235" s="88">
        <f>IF(OR(V$1="",$BE235=0),"",SUMIFS(Entries!$D$2:$D$5000,Entries!$C$2:$C$5000,"Actual",Entries!$A$2:$A$5000,$A235,Entries!$B$2:$B$5000,V$1))</f>
        <v/>
      </c>
      <c r="W235" s="88">
        <f>IF(OR(W$1="",$BE235=0),"",SUMIFS(Entries!$D$2:$D$5000,Entries!$C$2:$C$5000,"Actual",Entries!$A$2:$A$5000,$A235,Entries!$B$2:$B$5000,W$1))</f>
        <v/>
      </c>
      <c r="X235" s="88">
        <f>IF(OR(X$1="",$BE235=0),"",SUMIFS(Entries!$D$2:$D$5000,Entries!$C$2:$C$5000,"Actual",Entries!$A$2:$A$5000,$A235,Entries!$B$2:$B$5000,X$1))</f>
        <v/>
      </c>
      <c r="Y235" s="88">
        <f>IF(OR(Y$1="",$BE235=0),"",SUMIFS(Entries!$D$2:$D$5000,Entries!$C$2:$C$5000,"Actual",Entries!$A$2:$A$5000,$A235,Entries!$B$2:$B$5000,Y$1))</f>
        <v/>
      </c>
      <c r="Z235" s="88">
        <f>IF(OR(Z$1="",$BE235=0),"",SUMIFS(Entries!$D$2:$D$5000,Entries!$C$2:$C$5000,"Actual",Entries!$A$2:$A$5000,$A235,Entries!$B$2:$B$5000,Z$1))</f>
        <v/>
      </c>
      <c r="AA235" s="88">
        <f>IF(OR(AA$1="",$BE235=0),"",SUMIFS(Entries!$D$2:$D$5000,Entries!$C$2:$C$5000,"Actual",Entries!$A$2:$A$5000,$A235,Entries!$B$2:$B$5000,AA$1))</f>
        <v/>
      </c>
      <c r="AB235" s="88">
        <f>IF(OR(AB$1="",$BE235=0),"",SUMIFS(Entries!$D$2:$D$5000,Entries!$C$2:$C$5000,"Actual",Entries!$A$2:$A$5000,$A235,Entries!$B$2:$B$5000,AB$1))</f>
        <v/>
      </c>
      <c r="AC235" s="88">
        <f>IF(OR(AC$1="",$BE235=0),"",SUMIFS(Entries!$D$2:$D$5000,Entries!$C$2:$C$5000,"Actual",Entries!$A$2:$A$5000,$A235,Entries!$B$2:$B$5000,AC$1))</f>
        <v/>
      </c>
      <c r="AD235" s="88">
        <f>IF(OR(AD$1="",$BE235=0),"",SUMIFS(Entries!$D$2:$D$5000,Entries!$C$2:$C$5000,"Actual",Entries!$A$2:$A$5000,$A235,Entries!$B$2:$B$5000,AD$1))</f>
        <v/>
      </c>
      <c r="AE235" s="88">
        <f>IF(OR(AE$1="",$BE235=0),"",SUMIFS(Entries!$D$2:$D$5000,Entries!$C$2:$C$5000,"Actual",Entries!$A$2:$A$5000,$A235,Entries!$B$2:$B$5000,AE$1))</f>
        <v/>
      </c>
      <c r="AF235" s="88">
        <f>IF(OR(AF$1="",$BE235=0),"",SUMIFS(Entries!$D$2:$D$5000,Entries!$C$2:$C$5000,"Actual",Entries!$A$2:$A$5000,$A235,Entries!$B$2:$B$5000,AF$1))</f>
        <v/>
      </c>
      <c r="AG235" s="88">
        <f>IF(OR(AG$1="",$BE235=0),"",SUMIFS(Entries!$D$2:$D$5000,Entries!$C$2:$C$5000,"Actual",Entries!$A$2:$A$5000,$A235,Entries!$B$2:$B$5000,AG$1))</f>
        <v/>
      </c>
      <c r="AH235" s="88">
        <f>IF(OR(AH$1="",$BE235=0),"",SUMIFS(Entries!$D$2:$D$5000,Entries!$C$2:$C$5000,"Actual",Entries!$A$2:$A$5000,$A235,Entries!$B$2:$B$5000,AH$1))</f>
        <v/>
      </c>
      <c r="AJ235" s="88">
        <f>IF(OR(AJ$1="",$BE235=0),"",IFERROR(LOOKUP(2,1/((Budgets!$A$2:$A$200=AJ$1)*(Budgets!$B$2:$B$200&lt;=$A235)),Budgets!$C$2:$C$200),0))</f>
        <v/>
      </c>
      <c r="AK235" s="88">
        <f>IF(OR(AK$1="",$BE235=0),"",IFERROR(LOOKUP(2,1/((Budgets!$A$2:$A$200=AK$1)*(Budgets!$B$2:$B$200&lt;=$A235)),Budgets!$C$2:$C$200),0))</f>
        <v/>
      </c>
      <c r="AL235" s="88">
        <f>IF(OR(AL$1="",$BE235=0),"",IFERROR(LOOKUP(2,1/((Budgets!$A$2:$A$200=AL$1)*(Budgets!$B$2:$B$200&lt;=$A235)),Budgets!$C$2:$C$200),0))</f>
        <v/>
      </c>
      <c r="AM235" s="88">
        <f>IF(OR(AM$1="",$BE235=0),"",IFERROR(LOOKUP(2,1/((Budgets!$A$2:$A$200=AM$1)*(Budgets!$B$2:$B$200&lt;=$A235)),Budgets!$C$2:$C$200),0))</f>
        <v/>
      </c>
      <c r="AN235" s="88">
        <f>IF(OR(AN$1="",$BE235=0),"",IFERROR(LOOKUP(2,1/((Budgets!$A$2:$A$200=AN$1)*(Budgets!$B$2:$B$200&lt;=$A235)),Budgets!$C$2:$C$200),0))</f>
        <v/>
      </c>
      <c r="AO235" s="88">
        <f>IF(OR(AO$1="",$BE235=0),"",IFERROR(LOOKUP(2,1/((Budgets!$A$2:$A$200=AO$1)*(Budgets!$B$2:$B$200&lt;=$A235)),Budgets!$C$2:$C$200),0))</f>
        <v/>
      </c>
      <c r="AP235" s="88">
        <f>IF(OR(AP$1="",$BE235=0),"",IFERROR(LOOKUP(2,1/((Budgets!$A$2:$A$200=AP$1)*(Budgets!$B$2:$B$200&lt;=$A235)),Budgets!$C$2:$C$200),0))</f>
        <v/>
      </c>
      <c r="AQ235" s="88">
        <f>IF(OR(AQ$1="",$BE235=0),"",IFERROR(LOOKUP(2,1/((Budgets!$A$2:$A$200=AQ$1)*(Budgets!$B$2:$B$200&lt;=$A235)),Budgets!$C$2:$C$200),0))</f>
        <v/>
      </c>
      <c r="AR235" s="88">
        <f>IF(OR(AR$1="",$BE235=0),"",IFERROR(LOOKUP(2,1/((Budgets!$A$2:$A$200=AR$1)*(Budgets!$B$2:$B$200&lt;=$A235)),Budgets!$C$2:$C$200),0))</f>
        <v/>
      </c>
      <c r="AS235" s="88">
        <f>IF(OR(AS$1="",$BE235=0),"",IFERROR(LOOKUP(2,1/((Budgets!$A$2:$A$200=AS$1)*(Budgets!$B$2:$B$200&lt;=$A235)),Budgets!$C$2:$C$200),0))</f>
        <v/>
      </c>
      <c r="AT235" s="88">
        <f>IF(OR(AT$1="",$BE235=0),"",IFERROR(LOOKUP(2,1/((Budgets!$A$2:$A$200=AT$1)*(Budgets!$B$2:$B$200&lt;=$A235)),Budgets!$C$2:$C$200),0))</f>
        <v/>
      </c>
      <c r="AU235" s="88">
        <f>IF(OR(AU$1="",$BE235=0),"",IFERROR(LOOKUP(2,1/((Budgets!$A$2:$A$200=AU$1)*(Budgets!$B$2:$B$200&lt;=$A235)),Budgets!$C$2:$C$200),0))</f>
        <v/>
      </c>
      <c r="AV235" s="88">
        <f>IF(OR(AV$1="",$BE235=0),"",IFERROR(LOOKUP(2,1/((Budgets!$A$2:$A$200=AV$1)*(Budgets!$B$2:$B$200&lt;=$A235)),Budgets!$C$2:$C$200),0))</f>
        <v/>
      </c>
      <c r="AW235" s="88">
        <f>IF(OR(AW$1="",$BE235=0),"",IFERROR(LOOKUP(2,1/((Budgets!$A$2:$A$200=AW$1)*(Budgets!$B$2:$B$200&lt;=$A235)),Budgets!$C$2:$C$200),0))</f>
        <v/>
      </c>
      <c r="AX235" s="88">
        <f>IF(OR(AX$1="",$BE235=0),"",IFERROR(LOOKUP(2,1/((Budgets!$A$2:$A$200=AX$1)*(Budgets!$B$2:$B$200&lt;=$A235)),Budgets!$C$2:$C$200),0))</f>
        <v/>
      </c>
      <c r="AY235" s="88">
        <f>IF(OR(AY$1="",$BE235=0),"",IFERROR(LOOKUP(2,1/((Budgets!$A$2:$A$200=AY$1)*(Budgets!$B$2:$B$200&lt;=$A235)),Budgets!$C$2:$C$200),0))</f>
        <v/>
      </c>
      <c r="AZ235" s="88">
        <f>IF(OR(AZ$1="",$BE235=0),"",IFERROR(LOOKUP(2,1/((Budgets!$A$2:$A$200=AZ$1)*(Budgets!$B$2:$B$200&lt;=$A235)),Budgets!$C$2:$C$200),0))</f>
        <v/>
      </c>
      <c r="BA235" s="88">
        <f>IF(OR(BA$1="",$BE235=0),"",IFERROR(LOOKUP(2,1/((Budgets!$A$2:$A$200=BA$1)*(Budgets!$B$2:$B$200&lt;=$A235)),Budgets!$C$2:$C$200),0))</f>
        <v/>
      </c>
      <c r="BB235" s="88">
        <f>IF(OR(BB$1="",$BE235=0),"",IFERROR(LOOKUP(2,1/((Budgets!$A$2:$A$200=BB$1)*(Budgets!$B$2:$B$200&lt;=$A235)),Budgets!$C$2:$C$200),0))</f>
        <v/>
      </c>
      <c r="BC235" s="88">
        <f>IF(OR(BC$1="",$BE235=0),"",IFERROR(LOOKUP(2,1/((Budgets!$A$2:$A$200=BC$1)*(Budgets!$B$2:$B$200&lt;=$A235)),Budgets!$C$2:$C$200),0))</f>
        <v/>
      </c>
      <c r="BE235" s="67">
        <f>COUNTIFS(Entries!$A$2:$A$5000,$A235)</f>
        <v/>
      </c>
    </row>
    <row r="236" ht="15" customHeight="1" s="43">
      <c r="A236" s="87" t="n">
        <v>46569</v>
      </c>
      <c r="B236" s="88">
        <f>IF($BE236=0,NA(),SUMIFS(Entries!$D$2:$D$5000,Entries!$C$2:$C$5000,"Income",Entries!$A$2:$A$5000,$A236))</f>
        <v/>
      </c>
      <c r="C236" s="88">
        <f>IF($BE236=0,"",SUMIFS(Entries!$D$2:$D$5000,Entries!$C$2:$C$5000,"Actual",Entries!$A$2:$A$5000,$A236))</f>
        <v/>
      </c>
      <c r="D236" s="88">
        <f>IF($BE236=0,"",SUMIFS(Entries!$D$2:$D$5000,Entries!$C$2:$C$5000,"One-off",Entries!$A$2:$A$5000,$A236))</f>
        <v/>
      </c>
      <c r="E236" s="88">
        <f>IF($BE236=0,NA(),C236+D236)</f>
        <v/>
      </c>
      <c r="F236" s="88">
        <f>IF($BE236=0,"",SUM(AJ236:BC236))</f>
        <v/>
      </c>
      <c r="G236" s="88">
        <f>IF($BE236=0,"",B236-E236)</f>
        <v/>
      </c>
      <c r="H236" s="88">
        <f>IF($BE236=0,"",SUM($G$2:G236))</f>
        <v/>
      </c>
      <c r="I236" s="88">
        <f>IF($BE236=0,"",SUMIFS(Entries!$F$2:$F$5000,Entries!$A$2:$A$5000,$A236))</f>
        <v/>
      </c>
      <c r="J236" s="88">
        <f>IF($BE236=0,NA(),H236+SUM($I$2:I236))</f>
        <v/>
      </c>
      <c r="K236" s="88">
        <f>IF($BE236=0,"",SUMIFS(Entries!$D$2:$D$5000,Entries!$C$2:$C$5000,"Income",Entries!$A$2:$A$5000,"&gt;="&amp;EDATE($A236,-11),Entries!$A$2:$A$5000,"&lt;="&amp;$A236)/12)</f>
        <v/>
      </c>
      <c r="L236" s="88">
        <f>IF($BE236=0,"",(SUMIFS(Entries!$D$2:$D$5000,Entries!$C$2:$C$5000,"Actual",Entries!$A$2:$A$5000,"&gt;="&amp;EDATE($A236,-11),Entries!$A$2:$A$5000,"&lt;="&amp;$A236)+SUMIFS(Entries!$D$2:$D$5000,Entries!$C$2:$C$5000,"One-off",Entries!$A$2:$A$5000,"&gt;="&amp;EDATE($A236,-11),Entries!$A$2:$A$5000,"&lt;="&amp;$A236))/12)</f>
        <v/>
      </c>
      <c r="M236" s="71">
        <f>IF($BE236=0,NA(),IFERROR((K236-L236)/K236,0))</f>
        <v/>
      </c>
      <c r="O236" s="88">
        <f>IF(OR(O$1="",$BE236=0),"",SUMIFS(Entries!$D$2:$D$5000,Entries!$C$2:$C$5000,"Actual",Entries!$A$2:$A$5000,$A236,Entries!$B$2:$B$5000,O$1))</f>
        <v/>
      </c>
      <c r="P236" s="88">
        <f>IF(OR(P$1="",$BE236=0),"",SUMIFS(Entries!$D$2:$D$5000,Entries!$C$2:$C$5000,"Actual",Entries!$A$2:$A$5000,$A236,Entries!$B$2:$B$5000,P$1))</f>
        <v/>
      </c>
      <c r="Q236" s="88">
        <f>IF(OR(Q$1="",$BE236=0),"",SUMIFS(Entries!$D$2:$D$5000,Entries!$C$2:$C$5000,"Actual",Entries!$A$2:$A$5000,$A236,Entries!$B$2:$B$5000,Q$1))</f>
        <v/>
      </c>
      <c r="R236" s="88">
        <f>IF(OR(R$1="",$BE236=0),"",SUMIFS(Entries!$D$2:$D$5000,Entries!$C$2:$C$5000,"Actual",Entries!$A$2:$A$5000,$A236,Entries!$B$2:$B$5000,R$1))</f>
        <v/>
      </c>
      <c r="S236" s="88">
        <f>IF(OR(S$1="",$BE236=0),"",SUMIFS(Entries!$D$2:$D$5000,Entries!$C$2:$C$5000,"Actual",Entries!$A$2:$A$5000,$A236,Entries!$B$2:$B$5000,S$1))</f>
        <v/>
      </c>
      <c r="T236" s="88">
        <f>IF(OR(T$1="",$BE236=0),"",SUMIFS(Entries!$D$2:$D$5000,Entries!$C$2:$C$5000,"Actual",Entries!$A$2:$A$5000,$A236,Entries!$B$2:$B$5000,T$1))</f>
        <v/>
      </c>
      <c r="U236" s="88">
        <f>IF(OR(U$1="",$BE236=0),"",SUMIFS(Entries!$D$2:$D$5000,Entries!$C$2:$C$5000,"Actual",Entries!$A$2:$A$5000,$A236,Entries!$B$2:$B$5000,U$1))</f>
        <v/>
      </c>
      <c r="V236" s="88">
        <f>IF(OR(V$1="",$BE236=0),"",SUMIFS(Entries!$D$2:$D$5000,Entries!$C$2:$C$5000,"Actual",Entries!$A$2:$A$5000,$A236,Entries!$B$2:$B$5000,V$1))</f>
        <v/>
      </c>
      <c r="W236" s="88">
        <f>IF(OR(W$1="",$BE236=0),"",SUMIFS(Entries!$D$2:$D$5000,Entries!$C$2:$C$5000,"Actual",Entries!$A$2:$A$5000,$A236,Entries!$B$2:$B$5000,W$1))</f>
        <v/>
      </c>
      <c r="X236" s="88">
        <f>IF(OR(X$1="",$BE236=0),"",SUMIFS(Entries!$D$2:$D$5000,Entries!$C$2:$C$5000,"Actual",Entries!$A$2:$A$5000,$A236,Entries!$B$2:$B$5000,X$1))</f>
        <v/>
      </c>
      <c r="Y236" s="88">
        <f>IF(OR(Y$1="",$BE236=0),"",SUMIFS(Entries!$D$2:$D$5000,Entries!$C$2:$C$5000,"Actual",Entries!$A$2:$A$5000,$A236,Entries!$B$2:$B$5000,Y$1))</f>
        <v/>
      </c>
      <c r="Z236" s="88">
        <f>IF(OR(Z$1="",$BE236=0),"",SUMIFS(Entries!$D$2:$D$5000,Entries!$C$2:$C$5000,"Actual",Entries!$A$2:$A$5000,$A236,Entries!$B$2:$B$5000,Z$1))</f>
        <v/>
      </c>
      <c r="AA236" s="88">
        <f>IF(OR(AA$1="",$BE236=0),"",SUMIFS(Entries!$D$2:$D$5000,Entries!$C$2:$C$5000,"Actual",Entries!$A$2:$A$5000,$A236,Entries!$B$2:$B$5000,AA$1))</f>
        <v/>
      </c>
      <c r="AB236" s="88">
        <f>IF(OR(AB$1="",$BE236=0),"",SUMIFS(Entries!$D$2:$D$5000,Entries!$C$2:$C$5000,"Actual",Entries!$A$2:$A$5000,$A236,Entries!$B$2:$B$5000,AB$1))</f>
        <v/>
      </c>
      <c r="AC236" s="88">
        <f>IF(OR(AC$1="",$BE236=0),"",SUMIFS(Entries!$D$2:$D$5000,Entries!$C$2:$C$5000,"Actual",Entries!$A$2:$A$5000,$A236,Entries!$B$2:$B$5000,AC$1))</f>
        <v/>
      </c>
      <c r="AD236" s="88">
        <f>IF(OR(AD$1="",$BE236=0),"",SUMIFS(Entries!$D$2:$D$5000,Entries!$C$2:$C$5000,"Actual",Entries!$A$2:$A$5000,$A236,Entries!$B$2:$B$5000,AD$1))</f>
        <v/>
      </c>
      <c r="AE236" s="88">
        <f>IF(OR(AE$1="",$BE236=0),"",SUMIFS(Entries!$D$2:$D$5000,Entries!$C$2:$C$5000,"Actual",Entries!$A$2:$A$5000,$A236,Entries!$B$2:$B$5000,AE$1))</f>
        <v/>
      </c>
      <c r="AF236" s="88">
        <f>IF(OR(AF$1="",$BE236=0),"",SUMIFS(Entries!$D$2:$D$5000,Entries!$C$2:$C$5000,"Actual",Entries!$A$2:$A$5000,$A236,Entries!$B$2:$B$5000,AF$1))</f>
        <v/>
      </c>
      <c r="AG236" s="88">
        <f>IF(OR(AG$1="",$BE236=0),"",SUMIFS(Entries!$D$2:$D$5000,Entries!$C$2:$C$5000,"Actual",Entries!$A$2:$A$5000,$A236,Entries!$B$2:$B$5000,AG$1))</f>
        <v/>
      </c>
      <c r="AH236" s="88">
        <f>IF(OR(AH$1="",$BE236=0),"",SUMIFS(Entries!$D$2:$D$5000,Entries!$C$2:$C$5000,"Actual",Entries!$A$2:$A$5000,$A236,Entries!$B$2:$B$5000,AH$1))</f>
        <v/>
      </c>
      <c r="AJ236" s="88">
        <f>IF(OR(AJ$1="",$BE236=0),"",IFERROR(LOOKUP(2,1/((Budgets!$A$2:$A$200=AJ$1)*(Budgets!$B$2:$B$200&lt;=$A236)),Budgets!$C$2:$C$200),0))</f>
        <v/>
      </c>
      <c r="AK236" s="88">
        <f>IF(OR(AK$1="",$BE236=0),"",IFERROR(LOOKUP(2,1/((Budgets!$A$2:$A$200=AK$1)*(Budgets!$B$2:$B$200&lt;=$A236)),Budgets!$C$2:$C$200),0))</f>
        <v/>
      </c>
      <c r="AL236" s="88">
        <f>IF(OR(AL$1="",$BE236=0),"",IFERROR(LOOKUP(2,1/((Budgets!$A$2:$A$200=AL$1)*(Budgets!$B$2:$B$200&lt;=$A236)),Budgets!$C$2:$C$200),0))</f>
        <v/>
      </c>
      <c r="AM236" s="88">
        <f>IF(OR(AM$1="",$BE236=0),"",IFERROR(LOOKUP(2,1/((Budgets!$A$2:$A$200=AM$1)*(Budgets!$B$2:$B$200&lt;=$A236)),Budgets!$C$2:$C$200),0))</f>
        <v/>
      </c>
      <c r="AN236" s="88">
        <f>IF(OR(AN$1="",$BE236=0),"",IFERROR(LOOKUP(2,1/((Budgets!$A$2:$A$200=AN$1)*(Budgets!$B$2:$B$200&lt;=$A236)),Budgets!$C$2:$C$200),0))</f>
        <v/>
      </c>
      <c r="AO236" s="88">
        <f>IF(OR(AO$1="",$BE236=0),"",IFERROR(LOOKUP(2,1/((Budgets!$A$2:$A$200=AO$1)*(Budgets!$B$2:$B$200&lt;=$A236)),Budgets!$C$2:$C$200),0))</f>
        <v/>
      </c>
      <c r="AP236" s="88">
        <f>IF(OR(AP$1="",$BE236=0),"",IFERROR(LOOKUP(2,1/((Budgets!$A$2:$A$200=AP$1)*(Budgets!$B$2:$B$200&lt;=$A236)),Budgets!$C$2:$C$200),0))</f>
        <v/>
      </c>
      <c r="AQ236" s="88">
        <f>IF(OR(AQ$1="",$BE236=0),"",IFERROR(LOOKUP(2,1/((Budgets!$A$2:$A$200=AQ$1)*(Budgets!$B$2:$B$200&lt;=$A236)),Budgets!$C$2:$C$200),0))</f>
        <v/>
      </c>
      <c r="AR236" s="88">
        <f>IF(OR(AR$1="",$BE236=0),"",IFERROR(LOOKUP(2,1/((Budgets!$A$2:$A$200=AR$1)*(Budgets!$B$2:$B$200&lt;=$A236)),Budgets!$C$2:$C$200),0))</f>
        <v/>
      </c>
      <c r="AS236" s="88">
        <f>IF(OR(AS$1="",$BE236=0),"",IFERROR(LOOKUP(2,1/((Budgets!$A$2:$A$200=AS$1)*(Budgets!$B$2:$B$200&lt;=$A236)),Budgets!$C$2:$C$200),0))</f>
        <v/>
      </c>
      <c r="AT236" s="88">
        <f>IF(OR(AT$1="",$BE236=0),"",IFERROR(LOOKUP(2,1/((Budgets!$A$2:$A$200=AT$1)*(Budgets!$B$2:$B$200&lt;=$A236)),Budgets!$C$2:$C$200),0))</f>
        <v/>
      </c>
      <c r="AU236" s="88">
        <f>IF(OR(AU$1="",$BE236=0),"",IFERROR(LOOKUP(2,1/((Budgets!$A$2:$A$200=AU$1)*(Budgets!$B$2:$B$200&lt;=$A236)),Budgets!$C$2:$C$200),0))</f>
        <v/>
      </c>
      <c r="AV236" s="88">
        <f>IF(OR(AV$1="",$BE236=0),"",IFERROR(LOOKUP(2,1/((Budgets!$A$2:$A$200=AV$1)*(Budgets!$B$2:$B$200&lt;=$A236)),Budgets!$C$2:$C$200),0))</f>
        <v/>
      </c>
      <c r="AW236" s="88">
        <f>IF(OR(AW$1="",$BE236=0),"",IFERROR(LOOKUP(2,1/((Budgets!$A$2:$A$200=AW$1)*(Budgets!$B$2:$B$200&lt;=$A236)),Budgets!$C$2:$C$200),0))</f>
        <v/>
      </c>
      <c r="AX236" s="88">
        <f>IF(OR(AX$1="",$BE236=0),"",IFERROR(LOOKUP(2,1/((Budgets!$A$2:$A$200=AX$1)*(Budgets!$B$2:$B$200&lt;=$A236)),Budgets!$C$2:$C$200),0))</f>
        <v/>
      </c>
      <c r="AY236" s="88">
        <f>IF(OR(AY$1="",$BE236=0),"",IFERROR(LOOKUP(2,1/((Budgets!$A$2:$A$200=AY$1)*(Budgets!$B$2:$B$200&lt;=$A236)),Budgets!$C$2:$C$200),0))</f>
        <v/>
      </c>
      <c r="AZ236" s="88">
        <f>IF(OR(AZ$1="",$BE236=0),"",IFERROR(LOOKUP(2,1/((Budgets!$A$2:$A$200=AZ$1)*(Budgets!$B$2:$B$200&lt;=$A236)),Budgets!$C$2:$C$200),0))</f>
        <v/>
      </c>
      <c r="BA236" s="88">
        <f>IF(OR(BA$1="",$BE236=0),"",IFERROR(LOOKUP(2,1/((Budgets!$A$2:$A$200=BA$1)*(Budgets!$B$2:$B$200&lt;=$A236)),Budgets!$C$2:$C$200),0))</f>
        <v/>
      </c>
      <c r="BB236" s="88">
        <f>IF(OR(BB$1="",$BE236=0),"",IFERROR(LOOKUP(2,1/((Budgets!$A$2:$A$200=BB$1)*(Budgets!$B$2:$B$200&lt;=$A236)),Budgets!$C$2:$C$200),0))</f>
        <v/>
      </c>
      <c r="BC236" s="88">
        <f>IF(OR(BC$1="",$BE236=0),"",IFERROR(LOOKUP(2,1/((Budgets!$A$2:$A$200=BC$1)*(Budgets!$B$2:$B$200&lt;=$A236)),Budgets!$C$2:$C$200),0))</f>
        <v/>
      </c>
      <c r="BE236" s="67">
        <f>COUNTIFS(Entries!$A$2:$A$5000,$A236)</f>
        <v/>
      </c>
    </row>
    <row r="237" ht="15" customHeight="1" s="43">
      <c r="A237" s="87" t="n">
        <v>46600</v>
      </c>
      <c r="B237" s="88">
        <f>IF($BE237=0,NA(),SUMIFS(Entries!$D$2:$D$5000,Entries!$C$2:$C$5000,"Income",Entries!$A$2:$A$5000,$A237))</f>
        <v/>
      </c>
      <c r="C237" s="88">
        <f>IF($BE237=0,"",SUMIFS(Entries!$D$2:$D$5000,Entries!$C$2:$C$5000,"Actual",Entries!$A$2:$A$5000,$A237))</f>
        <v/>
      </c>
      <c r="D237" s="88">
        <f>IF($BE237=0,"",SUMIFS(Entries!$D$2:$D$5000,Entries!$C$2:$C$5000,"One-off",Entries!$A$2:$A$5000,$A237))</f>
        <v/>
      </c>
      <c r="E237" s="88">
        <f>IF($BE237=0,NA(),C237+D237)</f>
        <v/>
      </c>
      <c r="F237" s="88">
        <f>IF($BE237=0,"",SUM(AJ237:BC237))</f>
        <v/>
      </c>
      <c r="G237" s="88">
        <f>IF($BE237=0,"",B237-E237)</f>
        <v/>
      </c>
      <c r="H237" s="88">
        <f>IF($BE237=0,"",SUM($G$2:G237))</f>
        <v/>
      </c>
      <c r="I237" s="88">
        <f>IF($BE237=0,"",SUMIFS(Entries!$F$2:$F$5000,Entries!$A$2:$A$5000,$A237))</f>
        <v/>
      </c>
      <c r="J237" s="88">
        <f>IF($BE237=0,NA(),H237+SUM($I$2:I237))</f>
        <v/>
      </c>
      <c r="K237" s="88">
        <f>IF($BE237=0,"",SUMIFS(Entries!$D$2:$D$5000,Entries!$C$2:$C$5000,"Income",Entries!$A$2:$A$5000,"&gt;="&amp;EDATE($A237,-11),Entries!$A$2:$A$5000,"&lt;="&amp;$A237)/12)</f>
        <v/>
      </c>
      <c r="L237" s="88">
        <f>IF($BE237=0,"",(SUMIFS(Entries!$D$2:$D$5000,Entries!$C$2:$C$5000,"Actual",Entries!$A$2:$A$5000,"&gt;="&amp;EDATE($A237,-11),Entries!$A$2:$A$5000,"&lt;="&amp;$A237)+SUMIFS(Entries!$D$2:$D$5000,Entries!$C$2:$C$5000,"One-off",Entries!$A$2:$A$5000,"&gt;="&amp;EDATE($A237,-11),Entries!$A$2:$A$5000,"&lt;="&amp;$A237))/12)</f>
        <v/>
      </c>
      <c r="M237" s="71">
        <f>IF($BE237=0,NA(),IFERROR((K237-L237)/K237,0))</f>
        <v/>
      </c>
      <c r="O237" s="88">
        <f>IF(OR(O$1="",$BE237=0),"",SUMIFS(Entries!$D$2:$D$5000,Entries!$C$2:$C$5000,"Actual",Entries!$A$2:$A$5000,$A237,Entries!$B$2:$B$5000,O$1))</f>
        <v/>
      </c>
      <c r="P237" s="88">
        <f>IF(OR(P$1="",$BE237=0),"",SUMIFS(Entries!$D$2:$D$5000,Entries!$C$2:$C$5000,"Actual",Entries!$A$2:$A$5000,$A237,Entries!$B$2:$B$5000,P$1))</f>
        <v/>
      </c>
      <c r="Q237" s="88">
        <f>IF(OR(Q$1="",$BE237=0),"",SUMIFS(Entries!$D$2:$D$5000,Entries!$C$2:$C$5000,"Actual",Entries!$A$2:$A$5000,$A237,Entries!$B$2:$B$5000,Q$1))</f>
        <v/>
      </c>
      <c r="R237" s="88">
        <f>IF(OR(R$1="",$BE237=0),"",SUMIFS(Entries!$D$2:$D$5000,Entries!$C$2:$C$5000,"Actual",Entries!$A$2:$A$5000,$A237,Entries!$B$2:$B$5000,R$1))</f>
        <v/>
      </c>
      <c r="S237" s="88">
        <f>IF(OR(S$1="",$BE237=0),"",SUMIFS(Entries!$D$2:$D$5000,Entries!$C$2:$C$5000,"Actual",Entries!$A$2:$A$5000,$A237,Entries!$B$2:$B$5000,S$1))</f>
        <v/>
      </c>
      <c r="T237" s="88">
        <f>IF(OR(T$1="",$BE237=0),"",SUMIFS(Entries!$D$2:$D$5000,Entries!$C$2:$C$5000,"Actual",Entries!$A$2:$A$5000,$A237,Entries!$B$2:$B$5000,T$1))</f>
        <v/>
      </c>
      <c r="U237" s="88">
        <f>IF(OR(U$1="",$BE237=0),"",SUMIFS(Entries!$D$2:$D$5000,Entries!$C$2:$C$5000,"Actual",Entries!$A$2:$A$5000,$A237,Entries!$B$2:$B$5000,U$1))</f>
        <v/>
      </c>
      <c r="V237" s="88">
        <f>IF(OR(V$1="",$BE237=0),"",SUMIFS(Entries!$D$2:$D$5000,Entries!$C$2:$C$5000,"Actual",Entries!$A$2:$A$5000,$A237,Entries!$B$2:$B$5000,V$1))</f>
        <v/>
      </c>
      <c r="W237" s="88">
        <f>IF(OR(W$1="",$BE237=0),"",SUMIFS(Entries!$D$2:$D$5000,Entries!$C$2:$C$5000,"Actual",Entries!$A$2:$A$5000,$A237,Entries!$B$2:$B$5000,W$1))</f>
        <v/>
      </c>
      <c r="X237" s="88">
        <f>IF(OR(X$1="",$BE237=0),"",SUMIFS(Entries!$D$2:$D$5000,Entries!$C$2:$C$5000,"Actual",Entries!$A$2:$A$5000,$A237,Entries!$B$2:$B$5000,X$1))</f>
        <v/>
      </c>
      <c r="Y237" s="88">
        <f>IF(OR(Y$1="",$BE237=0),"",SUMIFS(Entries!$D$2:$D$5000,Entries!$C$2:$C$5000,"Actual",Entries!$A$2:$A$5000,$A237,Entries!$B$2:$B$5000,Y$1))</f>
        <v/>
      </c>
      <c r="Z237" s="88">
        <f>IF(OR(Z$1="",$BE237=0),"",SUMIFS(Entries!$D$2:$D$5000,Entries!$C$2:$C$5000,"Actual",Entries!$A$2:$A$5000,$A237,Entries!$B$2:$B$5000,Z$1))</f>
        <v/>
      </c>
      <c r="AA237" s="88">
        <f>IF(OR(AA$1="",$BE237=0),"",SUMIFS(Entries!$D$2:$D$5000,Entries!$C$2:$C$5000,"Actual",Entries!$A$2:$A$5000,$A237,Entries!$B$2:$B$5000,AA$1))</f>
        <v/>
      </c>
      <c r="AB237" s="88">
        <f>IF(OR(AB$1="",$BE237=0),"",SUMIFS(Entries!$D$2:$D$5000,Entries!$C$2:$C$5000,"Actual",Entries!$A$2:$A$5000,$A237,Entries!$B$2:$B$5000,AB$1))</f>
        <v/>
      </c>
      <c r="AC237" s="88">
        <f>IF(OR(AC$1="",$BE237=0),"",SUMIFS(Entries!$D$2:$D$5000,Entries!$C$2:$C$5000,"Actual",Entries!$A$2:$A$5000,$A237,Entries!$B$2:$B$5000,AC$1))</f>
        <v/>
      </c>
      <c r="AD237" s="88">
        <f>IF(OR(AD$1="",$BE237=0),"",SUMIFS(Entries!$D$2:$D$5000,Entries!$C$2:$C$5000,"Actual",Entries!$A$2:$A$5000,$A237,Entries!$B$2:$B$5000,AD$1))</f>
        <v/>
      </c>
      <c r="AE237" s="88">
        <f>IF(OR(AE$1="",$BE237=0),"",SUMIFS(Entries!$D$2:$D$5000,Entries!$C$2:$C$5000,"Actual",Entries!$A$2:$A$5000,$A237,Entries!$B$2:$B$5000,AE$1))</f>
        <v/>
      </c>
      <c r="AF237" s="88">
        <f>IF(OR(AF$1="",$BE237=0),"",SUMIFS(Entries!$D$2:$D$5000,Entries!$C$2:$C$5000,"Actual",Entries!$A$2:$A$5000,$A237,Entries!$B$2:$B$5000,AF$1))</f>
        <v/>
      </c>
      <c r="AG237" s="88">
        <f>IF(OR(AG$1="",$BE237=0),"",SUMIFS(Entries!$D$2:$D$5000,Entries!$C$2:$C$5000,"Actual",Entries!$A$2:$A$5000,$A237,Entries!$B$2:$B$5000,AG$1))</f>
        <v/>
      </c>
      <c r="AH237" s="88">
        <f>IF(OR(AH$1="",$BE237=0),"",SUMIFS(Entries!$D$2:$D$5000,Entries!$C$2:$C$5000,"Actual",Entries!$A$2:$A$5000,$A237,Entries!$B$2:$B$5000,AH$1))</f>
        <v/>
      </c>
      <c r="AJ237" s="88">
        <f>IF(OR(AJ$1="",$BE237=0),"",IFERROR(LOOKUP(2,1/((Budgets!$A$2:$A$200=AJ$1)*(Budgets!$B$2:$B$200&lt;=$A237)),Budgets!$C$2:$C$200),0))</f>
        <v/>
      </c>
      <c r="AK237" s="88">
        <f>IF(OR(AK$1="",$BE237=0),"",IFERROR(LOOKUP(2,1/((Budgets!$A$2:$A$200=AK$1)*(Budgets!$B$2:$B$200&lt;=$A237)),Budgets!$C$2:$C$200),0))</f>
        <v/>
      </c>
      <c r="AL237" s="88">
        <f>IF(OR(AL$1="",$BE237=0),"",IFERROR(LOOKUP(2,1/((Budgets!$A$2:$A$200=AL$1)*(Budgets!$B$2:$B$200&lt;=$A237)),Budgets!$C$2:$C$200),0))</f>
        <v/>
      </c>
      <c r="AM237" s="88">
        <f>IF(OR(AM$1="",$BE237=0),"",IFERROR(LOOKUP(2,1/((Budgets!$A$2:$A$200=AM$1)*(Budgets!$B$2:$B$200&lt;=$A237)),Budgets!$C$2:$C$200),0))</f>
        <v/>
      </c>
      <c r="AN237" s="88">
        <f>IF(OR(AN$1="",$BE237=0),"",IFERROR(LOOKUP(2,1/((Budgets!$A$2:$A$200=AN$1)*(Budgets!$B$2:$B$200&lt;=$A237)),Budgets!$C$2:$C$200),0))</f>
        <v/>
      </c>
      <c r="AO237" s="88">
        <f>IF(OR(AO$1="",$BE237=0),"",IFERROR(LOOKUP(2,1/((Budgets!$A$2:$A$200=AO$1)*(Budgets!$B$2:$B$200&lt;=$A237)),Budgets!$C$2:$C$200),0))</f>
        <v/>
      </c>
      <c r="AP237" s="88">
        <f>IF(OR(AP$1="",$BE237=0),"",IFERROR(LOOKUP(2,1/((Budgets!$A$2:$A$200=AP$1)*(Budgets!$B$2:$B$200&lt;=$A237)),Budgets!$C$2:$C$200),0))</f>
        <v/>
      </c>
      <c r="AQ237" s="88">
        <f>IF(OR(AQ$1="",$BE237=0),"",IFERROR(LOOKUP(2,1/((Budgets!$A$2:$A$200=AQ$1)*(Budgets!$B$2:$B$200&lt;=$A237)),Budgets!$C$2:$C$200),0))</f>
        <v/>
      </c>
      <c r="AR237" s="88">
        <f>IF(OR(AR$1="",$BE237=0),"",IFERROR(LOOKUP(2,1/((Budgets!$A$2:$A$200=AR$1)*(Budgets!$B$2:$B$200&lt;=$A237)),Budgets!$C$2:$C$200),0))</f>
        <v/>
      </c>
      <c r="AS237" s="88">
        <f>IF(OR(AS$1="",$BE237=0),"",IFERROR(LOOKUP(2,1/((Budgets!$A$2:$A$200=AS$1)*(Budgets!$B$2:$B$200&lt;=$A237)),Budgets!$C$2:$C$200),0))</f>
        <v/>
      </c>
      <c r="AT237" s="88">
        <f>IF(OR(AT$1="",$BE237=0),"",IFERROR(LOOKUP(2,1/((Budgets!$A$2:$A$200=AT$1)*(Budgets!$B$2:$B$200&lt;=$A237)),Budgets!$C$2:$C$200),0))</f>
        <v/>
      </c>
      <c r="AU237" s="88">
        <f>IF(OR(AU$1="",$BE237=0),"",IFERROR(LOOKUP(2,1/((Budgets!$A$2:$A$200=AU$1)*(Budgets!$B$2:$B$200&lt;=$A237)),Budgets!$C$2:$C$200),0))</f>
        <v/>
      </c>
      <c r="AV237" s="88">
        <f>IF(OR(AV$1="",$BE237=0),"",IFERROR(LOOKUP(2,1/((Budgets!$A$2:$A$200=AV$1)*(Budgets!$B$2:$B$200&lt;=$A237)),Budgets!$C$2:$C$200),0))</f>
        <v/>
      </c>
      <c r="AW237" s="88">
        <f>IF(OR(AW$1="",$BE237=0),"",IFERROR(LOOKUP(2,1/((Budgets!$A$2:$A$200=AW$1)*(Budgets!$B$2:$B$200&lt;=$A237)),Budgets!$C$2:$C$200),0))</f>
        <v/>
      </c>
      <c r="AX237" s="88">
        <f>IF(OR(AX$1="",$BE237=0),"",IFERROR(LOOKUP(2,1/((Budgets!$A$2:$A$200=AX$1)*(Budgets!$B$2:$B$200&lt;=$A237)),Budgets!$C$2:$C$200),0))</f>
        <v/>
      </c>
      <c r="AY237" s="88">
        <f>IF(OR(AY$1="",$BE237=0),"",IFERROR(LOOKUP(2,1/((Budgets!$A$2:$A$200=AY$1)*(Budgets!$B$2:$B$200&lt;=$A237)),Budgets!$C$2:$C$200),0))</f>
        <v/>
      </c>
      <c r="AZ237" s="88">
        <f>IF(OR(AZ$1="",$BE237=0),"",IFERROR(LOOKUP(2,1/((Budgets!$A$2:$A$200=AZ$1)*(Budgets!$B$2:$B$200&lt;=$A237)),Budgets!$C$2:$C$200),0))</f>
        <v/>
      </c>
      <c r="BA237" s="88">
        <f>IF(OR(BA$1="",$BE237=0),"",IFERROR(LOOKUP(2,1/((Budgets!$A$2:$A$200=BA$1)*(Budgets!$B$2:$B$200&lt;=$A237)),Budgets!$C$2:$C$200),0))</f>
        <v/>
      </c>
      <c r="BB237" s="88">
        <f>IF(OR(BB$1="",$BE237=0),"",IFERROR(LOOKUP(2,1/((Budgets!$A$2:$A$200=BB$1)*(Budgets!$B$2:$B$200&lt;=$A237)),Budgets!$C$2:$C$200),0))</f>
        <v/>
      </c>
      <c r="BC237" s="88">
        <f>IF(OR(BC$1="",$BE237=0),"",IFERROR(LOOKUP(2,1/((Budgets!$A$2:$A$200=BC$1)*(Budgets!$B$2:$B$200&lt;=$A237)),Budgets!$C$2:$C$200),0))</f>
        <v/>
      </c>
      <c r="BE237" s="67">
        <f>COUNTIFS(Entries!$A$2:$A$5000,$A237)</f>
        <v/>
      </c>
    </row>
    <row r="238" ht="15" customHeight="1" s="43">
      <c r="A238" s="87" t="n">
        <v>46631</v>
      </c>
      <c r="B238" s="88">
        <f>IF($BE238=0,NA(),SUMIFS(Entries!$D$2:$D$5000,Entries!$C$2:$C$5000,"Income",Entries!$A$2:$A$5000,$A238))</f>
        <v/>
      </c>
      <c r="C238" s="88">
        <f>IF($BE238=0,"",SUMIFS(Entries!$D$2:$D$5000,Entries!$C$2:$C$5000,"Actual",Entries!$A$2:$A$5000,$A238))</f>
        <v/>
      </c>
      <c r="D238" s="88">
        <f>IF($BE238=0,"",SUMIFS(Entries!$D$2:$D$5000,Entries!$C$2:$C$5000,"One-off",Entries!$A$2:$A$5000,$A238))</f>
        <v/>
      </c>
      <c r="E238" s="88">
        <f>IF($BE238=0,NA(),C238+D238)</f>
        <v/>
      </c>
      <c r="F238" s="88">
        <f>IF($BE238=0,"",SUM(AJ238:BC238))</f>
        <v/>
      </c>
      <c r="G238" s="88">
        <f>IF($BE238=0,"",B238-E238)</f>
        <v/>
      </c>
      <c r="H238" s="88">
        <f>IF($BE238=0,"",SUM($G$2:G238))</f>
        <v/>
      </c>
      <c r="I238" s="88">
        <f>IF($BE238=0,"",SUMIFS(Entries!$F$2:$F$5000,Entries!$A$2:$A$5000,$A238))</f>
        <v/>
      </c>
      <c r="J238" s="88">
        <f>IF($BE238=0,NA(),H238+SUM($I$2:I238))</f>
        <v/>
      </c>
      <c r="K238" s="88">
        <f>IF($BE238=0,"",SUMIFS(Entries!$D$2:$D$5000,Entries!$C$2:$C$5000,"Income",Entries!$A$2:$A$5000,"&gt;="&amp;EDATE($A238,-11),Entries!$A$2:$A$5000,"&lt;="&amp;$A238)/12)</f>
        <v/>
      </c>
      <c r="L238" s="88">
        <f>IF($BE238=0,"",(SUMIFS(Entries!$D$2:$D$5000,Entries!$C$2:$C$5000,"Actual",Entries!$A$2:$A$5000,"&gt;="&amp;EDATE($A238,-11),Entries!$A$2:$A$5000,"&lt;="&amp;$A238)+SUMIFS(Entries!$D$2:$D$5000,Entries!$C$2:$C$5000,"One-off",Entries!$A$2:$A$5000,"&gt;="&amp;EDATE($A238,-11),Entries!$A$2:$A$5000,"&lt;="&amp;$A238))/12)</f>
        <v/>
      </c>
      <c r="M238" s="71">
        <f>IF($BE238=0,NA(),IFERROR((K238-L238)/K238,0))</f>
        <v/>
      </c>
      <c r="O238" s="88">
        <f>IF(OR(O$1="",$BE238=0),"",SUMIFS(Entries!$D$2:$D$5000,Entries!$C$2:$C$5000,"Actual",Entries!$A$2:$A$5000,$A238,Entries!$B$2:$B$5000,O$1))</f>
        <v/>
      </c>
      <c r="P238" s="88">
        <f>IF(OR(P$1="",$BE238=0),"",SUMIFS(Entries!$D$2:$D$5000,Entries!$C$2:$C$5000,"Actual",Entries!$A$2:$A$5000,$A238,Entries!$B$2:$B$5000,P$1))</f>
        <v/>
      </c>
      <c r="Q238" s="88">
        <f>IF(OR(Q$1="",$BE238=0),"",SUMIFS(Entries!$D$2:$D$5000,Entries!$C$2:$C$5000,"Actual",Entries!$A$2:$A$5000,$A238,Entries!$B$2:$B$5000,Q$1))</f>
        <v/>
      </c>
      <c r="R238" s="88">
        <f>IF(OR(R$1="",$BE238=0),"",SUMIFS(Entries!$D$2:$D$5000,Entries!$C$2:$C$5000,"Actual",Entries!$A$2:$A$5000,$A238,Entries!$B$2:$B$5000,R$1))</f>
        <v/>
      </c>
      <c r="S238" s="88">
        <f>IF(OR(S$1="",$BE238=0),"",SUMIFS(Entries!$D$2:$D$5000,Entries!$C$2:$C$5000,"Actual",Entries!$A$2:$A$5000,$A238,Entries!$B$2:$B$5000,S$1))</f>
        <v/>
      </c>
      <c r="T238" s="88">
        <f>IF(OR(T$1="",$BE238=0),"",SUMIFS(Entries!$D$2:$D$5000,Entries!$C$2:$C$5000,"Actual",Entries!$A$2:$A$5000,$A238,Entries!$B$2:$B$5000,T$1))</f>
        <v/>
      </c>
      <c r="U238" s="88">
        <f>IF(OR(U$1="",$BE238=0),"",SUMIFS(Entries!$D$2:$D$5000,Entries!$C$2:$C$5000,"Actual",Entries!$A$2:$A$5000,$A238,Entries!$B$2:$B$5000,U$1))</f>
        <v/>
      </c>
      <c r="V238" s="88">
        <f>IF(OR(V$1="",$BE238=0),"",SUMIFS(Entries!$D$2:$D$5000,Entries!$C$2:$C$5000,"Actual",Entries!$A$2:$A$5000,$A238,Entries!$B$2:$B$5000,V$1))</f>
        <v/>
      </c>
      <c r="W238" s="88">
        <f>IF(OR(W$1="",$BE238=0),"",SUMIFS(Entries!$D$2:$D$5000,Entries!$C$2:$C$5000,"Actual",Entries!$A$2:$A$5000,$A238,Entries!$B$2:$B$5000,W$1))</f>
        <v/>
      </c>
      <c r="X238" s="88">
        <f>IF(OR(X$1="",$BE238=0),"",SUMIFS(Entries!$D$2:$D$5000,Entries!$C$2:$C$5000,"Actual",Entries!$A$2:$A$5000,$A238,Entries!$B$2:$B$5000,X$1))</f>
        <v/>
      </c>
      <c r="Y238" s="88">
        <f>IF(OR(Y$1="",$BE238=0),"",SUMIFS(Entries!$D$2:$D$5000,Entries!$C$2:$C$5000,"Actual",Entries!$A$2:$A$5000,$A238,Entries!$B$2:$B$5000,Y$1))</f>
        <v/>
      </c>
      <c r="Z238" s="88">
        <f>IF(OR(Z$1="",$BE238=0),"",SUMIFS(Entries!$D$2:$D$5000,Entries!$C$2:$C$5000,"Actual",Entries!$A$2:$A$5000,$A238,Entries!$B$2:$B$5000,Z$1))</f>
        <v/>
      </c>
      <c r="AA238" s="88">
        <f>IF(OR(AA$1="",$BE238=0),"",SUMIFS(Entries!$D$2:$D$5000,Entries!$C$2:$C$5000,"Actual",Entries!$A$2:$A$5000,$A238,Entries!$B$2:$B$5000,AA$1))</f>
        <v/>
      </c>
      <c r="AB238" s="88">
        <f>IF(OR(AB$1="",$BE238=0),"",SUMIFS(Entries!$D$2:$D$5000,Entries!$C$2:$C$5000,"Actual",Entries!$A$2:$A$5000,$A238,Entries!$B$2:$B$5000,AB$1))</f>
        <v/>
      </c>
      <c r="AC238" s="88">
        <f>IF(OR(AC$1="",$BE238=0),"",SUMIFS(Entries!$D$2:$D$5000,Entries!$C$2:$C$5000,"Actual",Entries!$A$2:$A$5000,$A238,Entries!$B$2:$B$5000,AC$1))</f>
        <v/>
      </c>
      <c r="AD238" s="88">
        <f>IF(OR(AD$1="",$BE238=0),"",SUMIFS(Entries!$D$2:$D$5000,Entries!$C$2:$C$5000,"Actual",Entries!$A$2:$A$5000,$A238,Entries!$B$2:$B$5000,AD$1))</f>
        <v/>
      </c>
      <c r="AE238" s="88">
        <f>IF(OR(AE$1="",$BE238=0),"",SUMIFS(Entries!$D$2:$D$5000,Entries!$C$2:$C$5000,"Actual",Entries!$A$2:$A$5000,$A238,Entries!$B$2:$B$5000,AE$1))</f>
        <v/>
      </c>
      <c r="AF238" s="88">
        <f>IF(OR(AF$1="",$BE238=0),"",SUMIFS(Entries!$D$2:$D$5000,Entries!$C$2:$C$5000,"Actual",Entries!$A$2:$A$5000,$A238,Entries!$B$2:$B$5000,AF$1))</f>
        <v/>
      </c>
      <c r="AG238" s="88">
        <f>IF(OR(AG$1="",$BE238=0),"",SUMIFS(Entries!$D$2:$D$5000,Entries!$C$2:$C$5000,"Actual",Entries!$A$2:$A$5000,$A238,Entries!$B$2:$B$5000,AG$1))</f>
        <v/>
      </c>
      <c r="AH238" s="88">
        <f>IF(OR(AH$1="",$BE238=0),"",SUMIFS(Entries!$D$2:$D$5000,Entries!$C$2:$C$5000,"Actual",Entries!$A$2:$A$5000,$A238,Entries!$B$2:$B$5000,AH$1))</f>
        <v/>
      </c>
      <c r="AJ238" s="88">
        <f>IF(OR(AJ$1="",$BE238=0),"",IFERROR(LOOKUP(2,1/((Budgets!$A$2:$A$200=AJ$1)*(Budgets!$B$2:$B$200&lt;=$A238)),Budgets!$C$2:$C$200),0))</f>
        <v/>
      </c>
      <c r="AK238" s="88">
        <f>IF(OR(AK$1="",$BE238=0),"",IFERROR(LOOKUP(2,1/((Budgets!$A$2:$A$200=AK$1)*(Budgets!$B$2:$B$200&lt;=$A238)),Budgets!$C$2:$C$200),0))</f>
        <v/>
      </c>
      <c r="AL238" s="88">
        <f>IF(OR(AL$1="",$BE238=0),"",IFERROR(LOOKUP(2,1/((Budgets!$A$2:$A$200=AL$1)*(Budgets!$B$2:$B$200&lt;=$A238)),Budgets!$C$2:$C$200),0))</f>
        <v/>
      </c>
      <c r="AM238" s="88">
        <f>IF(OR(AM$1="",$BE238=0),"",IFERROR(LOOKUP(2,1/((Budgets!$A$2:$A$200=AM$1)*(Budgets!$B$2:$B$200&lt;=$A238)),Budgets!$C$2:$C$200),0))</f>
        <v/>
      </c>
      <c r="AN238" s="88">
        <f>IF(OR(AN$1="",$BE238=0),"",IFERROR(LOOKUP(2,1/((Budgets!$A$2:$A$200=AN$1)*(Budgets!$B$2:$B$200&lt;=$A238)),Budgets!$C$2:$C$200),0))</f>
        <v/>
      </c>
      <c r="AO238" s="88">
        <f>IF(OR(AO$1="",$BE238=0),"",IFERROR(LOOKUP(2,1/((Budgets!$A$2:$A$200=AO$1)*(Budgets!$B$2:$B$200&lt;=$A238)),Budgets!$C$2:$C$200),0))</f>
        <v/>
      </c>
      <c r="AP238" s="88">
        <f>IF(OR(AP$1="",$BE238=0),"",IFERROR(LOOKUP(2,1/((Budgets!$A$2:$A$200=AP$1)*(Budgets!$B$2:$B$200&lt;=$A238)),Budgets!$C$2:$C$200),0))</f>
        <v/>
      </c>
      <c r="AQ238" s="88">
        <f>IF(OR(AQ$1="",$BE238=0),"",IFERROR(LOOKUP(2,1/((Budgets!$A$2:$A$200=AQ$1)*(Budgets!$B$2:$B$200&lt;=$A238)),Budgets!$C$2:$C$200),0))</f>
        <v/>
      </c>
      <c r="AR238" s="88">
        <f>IF(OR(AR$1="",$BE238=0),"",IFERROR(LOOKUP(2,1/((Budgets!$A$2:$A$200=AR$1)*(Budgets!$B$2:$B$200&lt;=$A238)),Budgets!$C$2:$C$200),0))</f>
        <v/>
      </c>
      <c r="AS238" s="88">
        <f>IF(OR(AS$1="",$BE238=0),"",IFERROR(LOOKUP(2,1/((Budgets!$A$2:$A$200=AS$1)*(Budgets!$B$2:$B$200&lt;=$A238)),Budgets!$C$2:$C$200),0))</f>
        <v/>
      </c>
      <c r="AT238" s="88">
        <f>IF(OR(AT$1="",$BE238=0),"",IFERROR(LOOKUP(2,1/((Budgets!$A$2:$A$200=AT$1)*(Budgets!$B$2:$B$200&lt;=$A238)),Budgets!$C$2:$C$200),0))</f>
        <v/>
      </c>
      <c r="AU238" s="88">
        <f>IF(OR(AU$1="",$BE238=0),"",IFERROR(LOOKUP(2,1/((Budgets!$A$2:$A$200=AU$1)*(Budgets!$B$2:$B$200&lt;=$A238)),Budgets!$C$2:$C$200),0))</f>
        <v/>
      </c>
      <c r="AV238" s="88">
        <f>IF(OR(AV$1="",$BE238=0),"",IFERROR(LOOKUP(2,1/((Budgets!$A$2:$A$200=AV$1)*(Budgets!$B$2:$B$200&lt;=$A238)),Budgets!$C$2:$C$200),0))</f>
        <v/>
      </c>
      <c r="AW238" s="88">
        <f>IF(OR(AW$1="",$BE238=0),"",IFERROR(LOOKUP(2,1/((Budgets!$A$2:$A$200=AW$1)*(Budgets!$B$2:$B$200&lt;=$A238)),Budgets!$C$2:$C$200),0))</f>
        <v/>
      </c>
      <c r="AX238" s="88">
        <f>IF(OR(AX$1="",$BE238=0),"",IFERROR(LOOKUP(2,1/((Budgets!$A$2:$A$200=AX$1)*(Budgets!$B$2:$B$200&lt;=$A238)),Budgets!$C$2:$C$200),0))</f>
        <v/>
      </c>
      <c r="AY238" s="88">
        <f>IF(OR(AY$1="",$BE238=0),"",IFERROR(LOOKUP(2,1/((Budgets!$A$2:$A$200=AY$1)*(Budgets!$B$2:$B$200&lt;=$A238)),Budgets!$C$2:$C$200),0))</f>
        <v/>
      </c>
      <c r="AZ238" s="88">
        <f>IF(OR(AZ$1="",$BE238=0),"",IFERROR(LOOKUP(2,1/((Budgets!$A$2:$A$200=AZ$1)*(Budgets!$B$2:$B$200&lt;=$A238)),Budgets!$C$2:$C$200),0))</f>
        <v/>
      </c>
      <c r="BA238" s="88">
        <f>IF(OR(BA$1="",$BE238=0),"",IFERROR(LOOKUP(2,1/((Budgets!$A$2:$A$200=BA$1)*(Budgets!$B$2:$B$200&lt;=$A238)),Budgets!$C$2:$C$200),0))</f>
        <v/>
      </c>
      <c r="BB238" s="88">
        <f>IF(OR(BB$1="",$BE238=0),"",IFERROR(LOOKUP(2,1/((Budgets!$A$2:$A$200=BB$1)*(Budgets!$B$2:$B$200&lt;=$A238)),Budgets!$C$2:$C$200),0))</f>
        <v/>
      </c>
      <c r="BC238" s="88">
        <f>IF(OR(BC$1="",$BE238=0),"",IFERROR(LOOKUP(2,1/((Budgets!$A$2:$A$200=BC$1)*(Budgets!$B$2:$B$200&lt;=$A238)),Budgets!$C$2:$C$200),0))</f>
        <v/>
      </c>
      <c r="BE238" s="67">
        <f>COUNTIFS(Entries!$A$2:$A$5000,$A238)</f>
        <v/>
      </c>
    </row>
    <row r="239" ht="15" customHeight="1" s="43">
      <c r="A239" s="87" t="n">
        <v>46661</v>
      </c>
      <c r="B239" s="88">
        <f>IF($BE239=0,NA(),SUMIFS(Entries!$D$2:$D$5000,Entries!$C$2:$C$5000,"Income",Entries!$A$2:$A$5000,$A239))</f>
        <v/>
      </c>
      <c r="C239" s="88">
        <f>IF($BE239=0,"",SUMIFS(Entries!$D$2:$D$5000,Entries!$C$2:$C$5000,"Actual",Entries!$A$2:$A$5000,$A239))</f>
        <v/>
      </c>
      <c r="D239" s="88">
        <f>IF($BE239=0,"",SUMIFS(Entries!$D$2:$D$5000,Entries!$C$2:$C$5000,"One-off",Entries!$A$2:$A$5000,$A239))</f>
        <v/>
      </c>
      <c r="E239" s="88">
        <f>IF($BE239=0,NA(),C239+D239)</f>
        <v/>
      </c>
      <c r="F239" s="88">
        <f>IF($BE239=0,"",SUM(AJ239:BC239))</f>
        <v/>
      </c>
      <c r="G239" s="88">
        <f>IF($BE239=0,"",B239-E239)</f>
        <v/>
      </c>
      <c r="H239" s="88">
        <f>IF($BE239=0,"",SUM($G$2:G239))</f>
        <v/>
      </c>
      <c r="I239" s="88">
        <f>IF($BE239=0,"",SUMIFS(Entries!$F$2:$F$5000,Entries!$A$2:$A$5000,$A239))</f>
        <v/>
      </c>
      <c r="J239" s="88">
        <f>IF($BE239=0,NA(),H239+SUM($I$2:I239))</f>
        <v/>
      </c>
      <c r="K239" s="88">
        <f>IF($BE239=0,"",SUMIFS(Entries!$D$2:$D$5000,Entries!$C$2:$C$5000,"Income",Entries!$A$2:$A$5000,"&gt;="&amp;EDATE($A239,-11),Entries!$A$2:$A$5000,"&lt;="&amp;$A239)/12)</f>
        <v/>
      </c>
      <c r="L239" s="88">
        <f>IF($BE239=0,"",(SUMIFS(Entries!$D$2:$D$5000,Entries!$C$2:$C$5000,"Actual",Entries!$A$2:$A$5000,"&gt;="&amp;EDATE($A239,-11),Entries!$A$2:$A$5000,"&lt;="&amp;$A239)+SUMIFS(Entries!$D$2:$D$5000,Entries!$C$2:$C$5000,"One-off",Entries!$A$2:$A$5000,"&gt;="&amp;EDATE($A239,-11),Entries!$A$2:$A$5000,"&lt;="&amp;$A239))/12)</f>
        <v/>
      </c>
      <c r="M239" s="71">
        <f>IF($BE239=0,NA(),IFERROR((K239-L239)/K239,0))</f>
        <v/>
      </c>
      <c r="O239" s="88">
        <f>IF(OR(O$1="",$BE239=0),"",SUMIFS(Entries!$D$2:$D$5000,Entries!$C$2:$C$5000,"Actual",Entries!$A$2:$A$5000,$A239,Entries!$B$2:$B$5000,O$1))</f>
        <v/>
      </c>
      <c r="P239" s="88">
        <f>IF(OR(P$1="",$BE239=0),"",SUMIFS(Entries!$D$2:$D$5000,Entries!$C$2:$C$5000,"Actual",Entries!$A$2:$A$5000,$A239,Entries!$B$2:$B$5000,P$1))</f>
        <v/>
      </c>
      <c r="Q239" s="88">
        <f>IF(OR(Q$1="",$BE239=0),"",SUMIFS(Entries!$D$2:$D$5000,Entries!$C$2:$C$5000,"Actual",Entries!$A$2:$A$5000,$A239,Entries!$B$2:$B$5000,Q$1))</f>
        <v/>
      </c>
      <c r="R239" s="88">
        <f>IF(OR(R$1="",$BE239=0),"",SUMIFS(Entries!$D$2:$D$5000,Entries!$C$2:$C$5000,"Actual",Entries!$A$2:$A$5000,$A239,Entries!$B$2:$B$5000,R$1))</f>
        <v/>
      </c>
      <c r="S239" s="88">
        <f>IF(OR(S$1="",$BE239=0),"",SUMIFS(Entries!$D$2:$D$5000,Entries!$C$2:$C$5000,"Actual",Entries!$A$2:$A$5000,$A239,Entries!$B$2:$B$5000,S$1))</f>
        <v/>
      </c>
      <c r="T239" s="88">
        <f>IF(OR(T$1="",$BE239=0),"",SUMIFS(Entries!$D$2:$D$5000,Entries!$C$2:$C$5000,"Actual",Entries!$A$2:$A$5000,$A239,Entries!$B$2:$B$5000,T$1))</f>
        <v/>
      </c>
      <c r="U239" s="88">
        <f>IF(OR(U$1="",$BE239=0),"",SUMIFS(Entries!$D$2:$D$5000,Entries!$C$2:$C$5000,"Actual",Entries!$A$2:$A$5000,$A239,Entries!$B$2:$B$5000,U$1))</f>
        <v/>
      </c>
      <c r="V239" s="88">
        <f>IF(OR(V$1="",$BE239=0),"",SUMIFS(Entries!$D$2:$D$5000,Entries!$C$2:$C$5000,"Actual",Entries!$A$2:$A$5000,$A239,Entries!$B$2:$B$5000,V$1))</f>
        <v/>
      </c>
      <c r="W239" s="88">
        <f>IF(OR(W$1="",$BE239=0),"",SUMIFS(Entries!$D$2:$D$5000,Entries!$C$2:$C$5000,"Actual",Entries!$A$2:$A$5000,$A239,Entries!$B$2:$B$5000,W$1))</f>
        <v/>
      </c>
      <c r="X239" s="88">
        <f>IF(OR(X$1="",$BE239=0),"",SUMIFS(Entries!$D$2:$D$5000,Entries!$C$2:$C$5000,"Actual",Entries!$A$2:$A$5000,$A239,Entries!$B$2:$B$5000,X$1))</f>
        <v/>
      </c>
      <c r="Y239" s="88">
        <f>IF(OR(Y$1="",$BE239=0),"",SUMIFS(Entries!$D$2:$D$5000,Entries!$C$2:$C$5000,"Actual",Entries!$A$2:$A$5000,$A239,Entries!$B$2:$B$5000,Y$1))</f>
        <v/>
      </c>
      <c r="Z239" s="88">
        <f>IF(OR(Z$1="",$BE239=0),"",SUMIFS(Entries!$D$2:$D$5000,Entries!$C$2:$C$5000,"Actual",Entries!$A$2:$A$5000,$A239,Entries!$B$2:$B$5000,Z$1))</f>
        <v/>
      </c>
      <c r="AA239" s="88">
        <f>IF(OR(AA$1="",$BE239=0),"",SUMIFS(Entries!$D$2:$D$5000,Entries!$C$2:$C$5000,"Actual",Entries!$A$2:$A$5000,$A239,Entries!$B$2:$B$5000,AA$1))</f>
        <v/>
      </c>
      <c r="AB239" s="88">
        <f>IF(OR(AB$1="",$BE239=0),"",SUMIFS(Entries!$D$2:$D$5000,Entries!$C$2:$C$5000,"Actual",Entries!$A$2:$A$5000,$A239,Entries!$B$2:$B$5000,AB$1))</f>
        <v/>
      </c>
      <c r="AC239" s="88">
        <f>IF(OR(AC$1="",$BE239=0),"",SUMIFS(Entries!$D$2:$D$5000,Entries!$C$2:$C$5000,"Actual",Entries!$A$2:$A$5000,$A239,Entries!$B$2:$B$5000,AC$1))</f>
        <v/>
      </c>
      <c r="AD239" s="88">
        <f>IF(OR(AD$1="",$BE239=0),"",SUMIFS(Entries!$D$2:$D$5000,Entries!$C$2:$C$5000,"Actual",Entries!$A$2:$A$5000,$A239,Entries!$B$2:$B$5000,AD$1))</f>
        <v/>
      </c>
      <c r="AE239" s="88">
        <f>IF(OR(AE$1="",$BE239=0),"",SUMIFS(Entries!$D$2:$D$5000,Entries!$C$2:$C$5000,"Actual",Entries!$A$2:$A$5000,$A239,Entries!$B$2:$B$5000,AE$1))</f>
        <v/>
      </c>
      <c r="AF239" s="88">
        <f>IF(OR(AF$1="",$BE239=0),"",SUMIFS(Entries!$D$2:$D$5000,Entries!$C$2:$C$5000,"Actual",Entries!$A$2:$A$5000,$A239,Entries!$B$2:$B$5000,AF$1))</f>
        <v/>
      </c>
      <c r="AG239" s="88">
        <f>IF(OR(AG$1="",$BE239=0),"",SUMIFS(Entries!$D$2:$D$5000,Entries!$C$2:$C$5000,"Actual",Entries!$A$2:$A$5000,$A239,Entries!$B$2:$B$5000,AG$1))</f>
        <v/>
      </c>
      <c r="AH239" s="88">
        <f>IF(OR(AH$1="",$BE239=0),"",SUMIFS(Entries!$D$2:$D$5000,Entries!$C$2:$C$5000,"Actual",Entries!$A$2:$A$5000,$A239,Entries!$B$2:$B$5000,AH$1))</f>
        <v/>
      </c>
      <c r="AJ239" s="88">
        <f>IF(OR(AJ$1="",$BE239=0),"",IFERROR(LOOKUP(2,1/((Budgets!$A$2:$A$200=AJ$1)*(Budgets!$B$2:$B$200&lt;=$A239)),Budgets!$C$2:$C$200),0))</f>
        <v/>
      </c>
      <c r="AK239" s="88">
        <f>IF(OR(AK$1="",$BE239=0),"",IFERROR(LOOKUP(2,1/((Budgets!$A$2:$A$200=AK$1)*(Budgets!$B$2:$B$200&lt;=$A239)),Budgets!$C$2:$C$200),0))</f>
        <v/>
      </c>
      <c r="AL239" s="88">
        <f>IF(OR(AL$1="",$BE239=0),"",IFERROR(LOOKUP(2,1/((Budgets!$A$2:$A$200=AL$1)*(Budgets!$B$2:$B$200&lt;=$A239)),Budgets!$C$2:$C$200),0))</f>
        <v/>
      </c>
      <c r="AM239" s="88">
        <f>IF(OR(AM$1="",$BE239=0),"",IFERROR(LOOKUP(2,1/((Budgets!$A$2:$A$200=AM$1)*(Budgets!$B$2:$B$200&lt;=$A239)),Budgets!$C$2:$C$200),0))</f>
        <v/>
      </c>
      <c r="AN239" s="88">
        <f>IF(OR(AN$1="",$BE239=0),"",IFERROR(LOOKUP(2,1/((Budgets!$A$2:$A$200=AN$1)*(Budgets!$B$2:$B$200&lt;=$A239)),Budgets!$C$2:$C$200),0))</f>
        <v/>
      </c>
      <c r="AO239" s="88">
        <f>IF(OR(AO$1="",$BE239=0),"",IFERROR(LOOKUP(2,1/((Budgets!$A$2:$A$200=AO$1)*(Budgets!$B$2:$B$200&lt;=$A239)),Budgets!$C$2:$C$200),0))</f>
        <v/>
      </c>
      <c r="AP239" s="88">
        <f>IF(OR(AP$1="",$BE239=0),"",IFERROR(LOOKUP(2,1/((Budgets!$A$2:$A$200=AP$1)*(Budgets!$B$2:$B$200&lt;=$A239)),Budgets!$C$2:$C$200),0))</f>
        <v/>
      </c>
      <c r="AQ239" s="88">
        <f>IF(OR(AQ$1="",$BE239=0),"",IFERROR(LOOKUP(2,1/((Budgets!$A$2:$A$200=AQ$1)*(Budgets!$B$2:$B$200&lt;=$A239)),Budgets!$C$2:$C$200),0))</f>
        <v/>
      </c>
      <c r="AR239" s="88">
        <f>IF(OR(AR$1="",$BE239=0),"",IFERROR(LOOKUP(2,1/((Budgets!$A$2:$A$200=AR$1)*(Budgets!$B$2:$B$200&lt;=$A239)),Budgets!$C$2:$C$200),0))</f>
        <v/>
      </c>
      <c r="AS239" s="88">
        <f>IF(OR(AS$1="",$BE239=0),"",IFERROR(LOOKUP(2,1/((Budgets!$A$2:$A$200=AS$1)*(Budgets!$B$2:$B$200&lt;=$A239)),Budgets!$C$2:$C$200),0))</f>
        <v/>
      </c>
      <c r="AT239" s="88">
        <f>IF(OR(AT$1="",$BE239=0),"",IFERROR(LOOKUP(2,1/((Budgets!$A$2:$A$200=AT$1)*(Budgets!$B$2:$B$200&lt;=$A239)),Budgets!$C$2:$C$200),0))</f>
        <v/>
      </c>
      <c r="AU239" s="88">
        <f>IF(OR(AU$1="",$BE239=0),"",IFERROR(LOOKUP(2,1/((Budgets!$A$2:$A$200=AU$1)*(Budgets!$B$2:$B$200&lt;=$A239)),Budgets!$C$2:$C$200),0))</f>
        <v/>
      </c>
      <c r="AV239" s="88">
        <f>IF(OR(AV$1="",$BE239=0),"",IFERROR(LOOKUP(2,1/((Budgets!$A$2:$A$200=AV$1)*(Budgets!$B$2:$B$200&lt;=$A239)),Budgets!$C$2:$C$200),0))</f>
        <v/>
      </c>
      <c r="AW239" s="88">
        <f>IF(OR(AW$1="",$BE239=0),"",IFERROR(LOOKUP(2,1/((Budgets!$A$2:$A$200=AW$1)*(Budgets!$B$2:$B$200&lt;=$A239)),Budgets!$C$2:$C$200),0))</f>
        <v/>
      </c>
      <c r="AX239" s="88">
        <f>IF(OR(AX$1="",$BE239=0),"",IFERROR(LOOKUP(2,1/((Budgets!$A$2:$A$200=AX$1)*(Budgets!$B$2:$B$200&lt;=$A239)),Budgets!$C$2:$C$200),0))</f>
        <v/>
      </c>
      <c r="AY239" s="88">
        <f>IF(OR(AY$1="",$BE239=0),"",IFERROR(LOOKUP(2,1/((Budgets!$A$2:$A$200=AY$1)*(Budgets!$B$2:$B$200&lt;=$A239)),Budgets!$C$2:$C$200),0))</f>
        <v/>
      </c>
      <c r="AZ239" s="88">
        <f>IF(OR(AZ$1="",$BE239=0),"",IFERROR(LOOKUP(2,1/((Budgets!$A$2:$A$200=AZ$1)*(Budgets!$B$2:$B$200&lt;=$A239)),Budgets!$C$2:$C$200),0))</f>
        <v/>
      </c>
      <c r="BA239" s="88">
        <f>IF(OR(BA$1="",$BE239=0),"",IFERROR(LOOKUP(2,1/((Budgets!$A$2:$A$200=BA$1)*(Budgets!$B$2:$B$200&lt;=$A239)),Budgets!$C$2:$C$200),0))</f>
        <v/>
      </c>
      <c r="BB239" s="88">
        <f>IF(OR(BB$1="",$BE239=0),"",IFERROR(LOOKUP(2,1/((Budgets!$A$2:$A$200=BB$1)*(Budgets!$B$2:$B$200&lt;=$A239)),Budgets!$C$2:$C$200),0))</f>
        <v/>
      </c>
      <c r="BC239" s="88">
        <f>IF(OR(BC$1="",$BE239=0),"",IFERROR(LOOKUP(2,1/((Budgets!$A$2:$A$200=BC$1)*(Budgets!$B$2:$B$200&lt;=$A239)),Budgets!$C$2:$C$200),0))</f>
        <v/>
      </c>
      <c r="BE239" s="67">
        <f>COUNTIFS(Entries!$A$2:$A$5000,$A239)</f>
        <v/>
      </c>
    </row>
    <row r="240" ht="15" customHeight="1" s="43">
      <c r="A240" s="87" t="n">
        <v>46692</v>
      </c>
      <c r="B240" s="88">
        <f>IF($BE240=0,NA(),SUMIFS(Entries!$D$2:$D$5000,Entries!$C$2:$C$5000,"Income",Entries!$A$2:$A$5000,$A240))</f>
        <v/>
      </c>
      <c r="C240" s="88">
        <f>IF($BE240=0,"",SUMIFS(Entries!$D$2:$D$5000,Entries!$C$2:$C$5000,"Actual",Entries!$A$2:$A$5000,$A240))</f>
        <v/>
      </c>
      <c r="D240" s="88">
        <f>IF($BE240=0,"",SUMIFS(Entries!$D$2:$D$5000,Entries!$C$2:$C$5000,"One-off",Entries!$A$2:$A$5000,$A240))</f>
        <v/>
      </c>
      <c r="E240" s="88">
        <f>IF($BE240=0,NA(),C240+D240)</f>
        <v/>
      </c>
      <c r="F240" s="88">
        <f>IF($BE240=0,"",SUM(AJ240:BC240))</f>
        <v/>
      </c>
      <c r="G240" s="88">
        <f>IF($BE240=0,"",B240-E240)</f>
        <v/>
      </c>
      <c r="H240" s="88">
        <f>IF($BE240=0,"",SUM($G$2:G240))</f>
        <v/>
      </c>
      <c r="I240" s="88">
        <f>IF($BE240=0,"",SUMIFS(Entries!$F$2:$F$5000,Entries!$A$2:$A$5000,$A240))</f>
        <v/>
      </c>
      <c r="J240" s="88">
        <f>IF($BE240=0,NA(),H240+SUM($I$2:I240))</f>
        <v/>
      </c>
      <c r="K240" s="88">
        <f>IF($BE240=0,"",SUMIFS(Entries!$D$2:$D$5000,Entries!$C$2:$C$5000,"Income",Entries!$A$2:$A$5000,"&gt;="&amp;EDATE($A240,-11),Entries!$A$2:$A$5000,"&lt;="&amp;$A240)/12)</f>
        <v/>
      </c>
      <c r="L240" s="88">
        <f>IF($BE240=0,"",(SUMIFS(Entries!$D$2:$D$5000,Entries!$C$2:$C$5000,"Actual",Entries!$A$2:$A$5000,"&gt;="&amp;EDATE($A240,-11),Entries!$A$2:$A$5000,"&lt;="&amp;$A240)+SUMIFS(Entries!$D$2:$D$5000,Entries!$C$2:$C$5000,"One-off",Entries!$A$2:$A$5000,"&gt;="&amp;EDATE($A240,-11),Entries!$A$2:$A$5000,"&lt;="&amp;$A240))/12)</f>
        <v/>
      </c>
      <c r="M240" s="71">
        <f>IF($BE240=0,NA(),IFERROR((K240-L240)/K240,0))</f>
        <v/>
      </c>
      <c r="O240" s="88">
        <f>IF(OR(O$1="",$BE240=0),"",SUMIFS(Entries!$D$2:$D$5000,Entries!$C$2:$C$5000,"Actual",Entries!$A$2:$A$5000,$A240,Entries!$B$2:$B$5000,O$1))</f>
        <v/>
      </c>
      <c r="P240" s="88">
        <f>IF(OR(P$1="",$BE240=0),"",SUMIFS(Entries!$D$2:$D$5000,Entries!$C$2:$C$5000,"Actual",Entries!$A$2:$A$5000,$A240,Entries!$B$2:$B$5000,P$1))</f>
        <v/>
      </c>
      <c r="Q240" s="88">
        <f>IF(OR(Q$1="",$BE240=0),"",SUMIFS(Entries!$D$2:$D$5000,Entries!$C$2:$C$5000,"Actual",Entries!$A$2:$A$5000,$A240,Entries!$B$2:$B$5000,Q$1))</f>
        <v/>
      </c>
      <c r="R240" s="88">
        <f>IF(OR(R$1="",$BE240=0),"",SUMIFS(Entries!$D$2:$D$5000,Entries!$C$2:$C$5000,"Actual",Entries!$A$2:$A$5000,$A240,Entries!$B$2:$B$5000,R$1))</f>
        <v/>
      </c>
      <c r="S240" s="88">
        <f>IF(OR(S$1="",$BE240=0),"",SUMIFS(Entries!$D$2:$D$5000,Entries!$C$2:$C$5000,"Actual",Entries!$A$2:$A$5000,$A240,Entries!$B$2:$B$5000,S$1))</f>
        <v/>
      </c>
      <c r="T240" s="88">
        <f>IF(OR(T$1="",$BE240=0),"",SUMIFS(Entries!$D$2:$D$5000,Entries!$C$2:$C$5000,"Actual",Entries!$A$2:$A$5000,$A240,Entries!$B$2:$B$5000,T$1))</f>
        <v/>
      </c>
      <c r="U240" s="88">
        <f>IF(OR(U$1="",$BE240=0),"",SUMIFS(Entries!$D$2:$D$5000,Entries!$C$2:$C$5000,"Actual",Entries!$A$2:$A$5000,$A240,Entries!$B$2:$B$5000,U$1))</f>
        <v/>
      </c>
      <c r="V240" s="88">
        <f>IF(OR(V$1="",$BE240=0),"",SUMIFS(Entries!$D$2:$D$5000,Entries!$C$2:$C$5000,"Actual",Entries!$A$2:$A$5000,$A240,Entries!$B$2:$B$5000,V$1))</f>
        <v/>
      </c>
      <c r="W240" s="88">
        <f>IF(OR(W$1="",$BE240=0),"",SUMIFS(Entries!$D$2:$D$5000,Entries!$C$2:$C$5000,"Actual",Entries!$A$2:$A$5000,$A240,Entries!$B$2:$B$5000,W$1))</f>
        <v/>
      </c>
      <c r="X240" s="88">
        <f>IF(OR(X$1="",$BE240=0),"",SUMIFS(Entries!$D$2:$D$5000,Entries!$C$2:$C$5000,"Actual",Entries!$A$2:$A$5000,$A240,Entries!$B$2:$B$5000,X$1))</f>
        <v/>
      </c>
      <c r="Y240" s="88">
        <f>IF(OR(Y$1="",$BE240=0),"",SUMIFS(Entries!$D$2:$D$5000,Entries!$C$2:$C$5000,"Actual",Entries!$A$2:$A$5000,$A240,Entries!$B$2:$B$5000,Y$1))</f>
        <v/>
      </c>
      <c r="Z240" s="88">
        <f>IF(OR(Z$1="",$BE240=0),"",SUMIFS(Entries!$D$2:$D$5000,Entries!$C$2:$C$5000,"Actual",Entries!$A$2:$A$5000,$A240,Entries!$B$2:$B$5000,Z$1))</f>
        <v/>
      </c>
      <c r="AA240" s="88">
        <f>IF(OR(AA$1="",$BE240=0),"",SUMIFS(Entries!$D$2:$D$5000,Entries!$C$2:$C$5000,"Actual",Entries!$A$2:$A$5000,$A240,Entries!$B$2:$B$5000,AA$1))</f>
        <v/>
      </c>
      <c r="AB240" s="88">
        <f>IF(OR(AB$1="",$BE240=0),"",SUMIFS(Entries!$D$2:$D$5000,Entries!$C$2:$C$5000,"Actual",Entries!$A$2:$A$5000,$A240,Entries!$B$2:$B$5000,AB$1))</f>
        <v/>
      </c>
      <c r="AC240" s="88">
        <f>IF(OR(AC$1="",$BE240=0),"",SUMIFS(Entries!$D$2:$D$5000,Entries!$C$2:$C$5000,"Actual",Entries!$A$2:$A$5000,$A240,Entries!$B$2:$B$5000,AC$1))</f>
        <v/>
      </c>
      <c r="AD240" s="88">
        <f>IF(OR(AD$1="",$BE240=0),"",SUMIFS(Entries!$D$2:$D$5000,Entries!$C$2:$C$5000,"Actual",Entries!$A$2:$A$5000,$A240,Entries!$B$2:$B$5000,AD$1))</f>
        <v/>
      </c>
      <c r="AE240" s="88">
        <f>IF(OR(AE$1="",$BE240=0),"",SUMIFS(Entries!$D$2:$D$5000,Entries!$C$2:$C$5000,"Actual",Entries!$A$2:$A$5000,$A240,Entries!$B$2:$B$5000,AE$1))</f>
        <v/>
      </c>
      <c r="AF240" s="88">
        <f>IF(OR(AF$1="",$BE240=0),"",SUMIFS(Entries!$D$2:$D$5000,Entries!$C$2:$C$5000,"Actual",Entries!$A$2:$A$5000,$A240,Entries!$B$2:$B$5000,AF$1))</f>
        <v/>
      </c>
      <c r="AG240" s="88">
        <f>IF(OR(AG$1="",$BE240=0),"",SUMIFS(Entries!$D$2:$D$5000,Entries!$C$2:$C$5000,"Actual",Entries!$A$2:$A$5000,$A240,Entries!$B$2:$B$5000,AG$1))</f>
        <v/>
      </c>
      <c r="AH240" s="88">
        <f>IF(OR(AH$1="",$BE240=0),"",SUMIFS(Entries!$D$2:$D$5000,Entries!$C$2:$C$5000,"Actual",Entries!$A$2:$A$5000,$A240,Entries!$B$2:$B$5000,AH$1))</f>
        <v/>
      </c>
      <c r="AJ240" s="88">
        <f>IF(OR(AJ$1="",$BE240=0),"",IFERROR(LOOKUP(2,1/((Budgets!$A$2:$A$200=AJ$1)*(Budgets!$B$2:$B$200&lt;=$A240)),Budgets!$C$2:$C$200),0))</f>
        <v/>
      </c>
      <c r="AK240" s="88">
        <f>IF(OR(AK$1="",$BE240=0),"",IFERROR(LOOKUP(2,1/((Budgets!$A$2:$A$200=AK$1)*(Budgets!$B$2:$B$200&lt;=$A240)),Budgets!$C$2:$C$200),0))</f>
        <v/>
      </c>
      <c r="AL240" s="88">
        <f>IF(OR(AL$1="",$BE240=0),"",IFERROR(LOOKUP(2,1/((Budgets!$A$2:$A$200=AL$1)*(Budgets!$B$2:$B$200&lt;=$A240)),Budgets!$C$2:$C$200),0))</f>
        <v/>
      </c>
      <c r="AM240" s="88">
        <f>IF(OR(AM$1="",$BE240=0),"",IFERROR(LOOKUP(2,1/((Budgets!$A$2:$A$200=AM$1)*(Budgets!$B$2:$B$200&lt;=$A240)),Budgets!$C$2:$C$200),0))</f>
        <v/>
      </c>
      <c r="AN240" s="88">
        <f>IF(OR(AN$1="",$BE240=0),"",IFERROR(LOOKUP(2,1/((Budgets!$A$2:$A$200=AN$1)*(Budgets!$B$2:$B$200&lt;=$A240)),Budgets!$C$2:$C$200),0))</f>
        <v/>
      </c>
      <c r="AO240" s="88">
        <f>IF(OR(AO$1="",$BE240=0),"",IFERROR(LOOKUP(2,1/((Budgets!$A$2:$A$200=AO$1)*(Budgets!$B$2:$B$200&lt;=$A240)),Budgets!$C$2:$C$200),0))</f>
        <v/>
      </c>
      <c r="AP240" s="88">
        <f>IF(OR(AP$1="",$BE240=0),"",IFERROR(LOOKUP(2,1/((Budgets!$A$2:$A$200=AP$1)*(Budgets!$B$2:$B$200&lt;=$A240)),Budgets!$C$2:$C$200),0))</f>
        <v/>
      </c>
      <c r="AQ240" s="88">
        <f>IF(OR(AQ$1="",$BE240=0),"",IFERROR(LOOKUP(2,1/((Budgets!$A$2:$A$200=AQ$1)*(Budgets!$B$2:$B$200&lt;=$A240)),Budgets!$C$2:$C$200),0))</f>
        <v/>
      </c>
      <c r="AR240" s="88">
        <f>IF(OR(AR$1="",$BE240=0),"",IFERROR(LOOKUP(2,1/((Budgets!$A$2:$A$200=AR$1)*(Budgets!$B$2:$B$200&lt;=$A240)),Budgets!$C$2:$C$200),0))</f>
        <v/>
      </c>
      <c r="AS240" s="88">
        <f>IF(OR(AS$1="",$BE240=0),"",IFERROR(LOOKUP(2,1/((Budgets!$A$2:$A$200=AS$1)*(Budgets!$B$2:$B$200&lt;=$A240)),Budgets!$C$2:$C$200),0))</f>
        <v/>
      </c>
      <c r="AT240" s="88">
        <f>IF(OR(AT$1="",$BE240=0),"",IFERROR(LOOKUP(2,1/((Budgets!$A$2:$A$200=AT$1)*(Budgets!$B$2:$B$200&lt;=$A240)),Budgets!$C$2:$C$200),0))</f>
        <v/>
      </c>
      <c r="AU240" s="88">
        <f>IF(OR(AU$1="",$BE240=0),"",IFERROR(LOOKUP(2,1/((Budgets!$A$2:$A$200=AU$1)*(Budgets!$B$2:$B$200&lt;=$A240)),Budgets!$C$2:$C$200),0))</f>
        <v/>
      </c>
      <c r="AV240" s="88">
        <f>IF(OR(AV$1="",$BE240=0),"",IFERROR(LOOKUP(2,1/((Budgets!$A$2:$A$200=AV$1)*(Budgets!$B$2:$B$200&lt;=$A240)),Budgets!$C$2:$C$200),0))</f>
        <v/>
      </c>
      <c r="AW240" s="88">
        <f>IF(OR(AW$1="",$BE240=0),"",IFERROR(LOOKUP(2,1/((Budgets!$A$2:$A$200=AW$1)*(Budgets!$B$2:$B$200&lt;=$A240)),Budgets!$C$2:$C$200),0))</f>
        <v/>
      </c>
      <c r="AX240" s="88">
        <f>IF(OR(AX$1="",$BE240=0),"",IFERROR(LOOKUP(2,1/((Budgets!$A$2:$A$200=AX$1)*(Budgets!$B$2:$B$200&lt;=$A240)),Budgets!$C$2:$C$200),0))</f>
        <v/>
      </c>
      <c r="AY240" s="88">
        <f>IF(OR(AY$1="",$BE240=0),"",IFERROR(LOOKUP(2,1/((Budgets!$A$2:$A$200=AY$1)*(Budgets!$B$2:$B$200&lt;=$A240)),Budgets!$C$2:$C$200),0))</f>
        <v/>
      </c>
      <c r="AZ240" s="88">
        <f>IF(OR(AZ$1="",$BE240=0),"",IFERROR(LOOKUP(2,1/((Budgets!$A$2:$A$200=AZ$1)*(Budgets!$B$2:$B$200&lt;=$A240)),Budgets!$C$2:$C$200),0))</f>
        <v/>
      </c>
      <c r="BA240" s="88">
        <f>IF(OR(BA$1="",$BE240=0),"",IFERROR(LOOKUP(2,1/((Budgets!$A$2:$A$200=BA$1)*(Budgets!$B$2:$B$200&lt;=$A240)),Budgets!$C$2:$C$200),0))</f>
        <v/>
      </c>
      <c r="BB240" s="88">
        <f>IF(OR(BB$1="",$BE240=0),"",IFERROR(LOOKUP(2,1/((Budgets!$A$2:$A$200=BB$1)*(Budgets!$B$2:$B$200&lt;=$A240)),Budgets!$C$2:$C$200),0))</f>
        <v/>
      </c>
      <c r="BC240" s="88">
        <f>IF(OR(BC$1="",$BE240=0),"",IFERROR(LOOKUP(2,1/((Budgets!$A$2:$A$200=BC$1)*(Budgets!$B$2:$B$200&lt;=$A240)),Budgets!$C$2:$C$200),0))</f>
        <v/>
      </c>
      <c r="BE240" s="67">
        <f>COUNTIFS(Entries!$A$2:$A$5000,$A240)</f>
        <v/>
      </c>
    </row>
    <row r="241" ht="15" customHeight="1" s="43">
      <c r="A241" s="87" t="n">
        <v>46722</v>
      </c>
      <c r="B241" s="88">
        <f>IF($BE241=0,NA(),SUMIFS(Entries!$D$2:$D$5000,Entries!$C$2:$C$5000,"Income",Entries!$A$2:$A$5000,$A241))</f>
        <v/>
      </c>
      <c r="C241" s="88">
        <f>IF($BE241=0,"",SUMIFS(Entries!$D$2:$D$5000,Entries!$C$2:$C$5000,"Actual",Entries!$A$2:$A$5000,$A241))</f>
        <v/>
      </c>
      <c r="D241" s="88">
        <f>IF($BE241=0,"",SUMIFS(Entries!$D$2:$D$5000,Entries!$C$2:$C$5000,"One-off",Entries!$A$2:$A$5000,$A241))</f>
        <v/>
      </c>
      <c r="E241" s="88">
        <f>IF($BE241=0,NA(),C241+D241)</f>
        <v/>
      </c>
      <c r="F241" s="88">
        <f>IF($BE241=0,"",SUM(AJ241:BC241))</f>
        <v/>
      </c>
      <c r="G241" s="88">
        <f>IF($BE241=0,"",B241-E241)</f>
        <v/>
      </c>
      <c r="H241" s="88">
        <f>IF($BE241=0,"",SUM($G$2:G241))</f>
        <v/>
      </c>
      <c r="I241" s="88">
        <f>IF($BE241=0,"",SUMIFS(Entries!$F$2:$F$5000,Entries!$A$2:$A$5000,$A241))</f>
        <v/>
      </c>
      <c r="J241" s="88">
        <f>IF($BE241=0,NA(),H241+SUM($I$2:I241))</f>
        <v/>
      </c>
      <c r="K241" s="88">
        <f>IF($BE241=0,"",SUMIFS(Entries!$D$2:$D$5000,Entries!$C$2:$C$5000,"Income",Entries!$A$2:$A$5000,"&gt;="&amp;EDATE($A241,-11),Entries!$A$2:$A$5000,"&lt;="&amp;$A241)/12)</f>
        <v/>
      </c>
      <c r="L241" s="88">
        <f>IF($BE241=0,"",(SUMIFS(Entries!$D$2:$D$5000,Entries!$C$2:$C$5000,"Actual",Entries!$A$2:$A$5000,"&gt;="&amp;EDATE($A241,-11),Entries!$A$2:$A$5000,"&lt;="&amp;$A241)+SUMIFS(Entries!$D$2:$D$5000,Entries!$C$2:$C$5000,"One-off",Entries!$A$2:$A$5000,"&gt;="&amp;EDATE($A241,-11),Entries!$A$2:$A$5000,"&lt;="&amp;$A241))/12)</f>
        <v/>
      </c>
      <c r="M241" s="71">
        <f>IF($BE241=0,NA(),IFERROR((K241-L241)/K241,0))</f>
        <v/>
      </c>
      <c r="O241" s="88">
        <f>IF(OR(O$1="",$BE241=0),"",SUMIFS(Entries!$D$2:$D$5000,Entries!$C$2:$C$5000,"Actual",Entries!$A$2:$A$5000,$A241,Entries!$B$2:$B$5000,O$1))</f>
        <v/>
      </c>
      <c r="P241" s="88">
        <f>IF(OR(P$1="",$BE241=0),"",SUMIFS(Entries!$D$2:$D$5000,Entries!$C$2:$C$5000,"Actual",Entries!$A$2:$A$5000,$A241,Entries!$B$2:$B$5000,P$1))</f>
        <v/>
      </c>
      <c r="Q241" s="88">
        <f>IF(OR(Q$1="",$BE241=0),"",SUMIFS(Entries!$D$2:$D$5000,Entries!$C$2:$C$5000,"Actual",Entries!$A$2:$A$5000,$A241,Entries!$B$2:$B$5000,Q$1))</f>
        <v/>
      </c>
      <c r="R241" s="88">
        <f>IF(OR(R$1="",$BE241=0),"",SUMIFS(Entries!$D$2:$D$5000,Entries!$C$2:$C$5000,"Actual",Entries!$A$2:$A$5000,$A241,Entries!$B$2:$B$5000,R$1))</f>
        <v/>
      </c>
      <c r="S241" s="88">
        <f>IF(OR(S$1="",$BE241=0),"",SUMIFS(Entries!$D$2:$D$5000,Entries!$C$2:$C$5000,"Actual",Entries!$A$2:$A$5000,$A241,Entries!$B$2:$B$5000,S$1))</f>
        <v/>
      </c>
      <c r="T241" s="88">
        <f>IF(OR(T$1="",$BE241=0),"",SUMIFS(Entries!$D$2:$D$5000,Entries!$C$2:$C$5000,"Actual",Entries!$A$2:$A$5000,$A241,Entries!$B$2:$B$5000,T$1))</f>
        <v/>
      </c>
      <c r="U241" s="88">
        <f>IF(OR(U$1="",$BE241=0),"",SUMIFS(Entries!$D$2:$D$5000,Entries!$C$2:$C$5000,"Actual",Entries!$A$2:$A$5000,$A241,Entries!$B$2:$B$5000,U$1))</f>
        <v/>
      </c>
      <c r="V241" s="88">
        <f>IF(OR(V$1="",$BE241=0),"",SUMIFS(Entries!$D$2:$D$5000,Entries!$C$2:$C$5000,"Actual",Entries!$A$2:$A$5000,$A241,Entries!$B$2:$B$5000,V$1))</f>
        <v/>
      </c>
      <c r="W241" s="88">
        <f>IF(OR(W$1="",$BE241=0),"",SUMIFS(Entries!$D$2:$D$5000,Entries!$C$2:$C$5000,"Actual",Entries!$A$2:$A$5000,$A241,Entries!$B$2:$B$5000,W$1))</f>
        <v/>
      </c>
      <c r="X241" s="88">
        <f>IF(OR(X$1="",$BE241=0),"",SUMIFS(Entries!$D$2:$D$5000,Entries!$C$2:$C$5000,"Actual",Entries!$A$2:$A$5000,$A241,Entries!$B$2:$B$5000,X$1))</f>
        <v/>
      </c>
      <c r="Y241" s="88">
        <f>IF(OR(Y$1="",$BE241=0),"",SUMIFS(Entries!$D$2:$D$5000,Entries!$C$2:$C$5000,"Actual",Entries!$A$2:$A$5000,$A241,Entries!$B$2:$B$5000,Y$1))</f>
        <v/>
      </c>
      <c r="Z241" s="88">
        <f>IF(OR(Z$1="",$BE241=0),"",SUMIFS(Entries!$D$2:$D$5000,Entries!$C$2:$C$5000,"Actual",Entries!$A$2:$A$5000,$A241,Entries!$B$2:$B$5000,Z$1))</f>
        <v/>
      </c>
      <c r="AA241" s="88">
        <f>IF(OR(AA$1="",$BE241=0),"",SUMIFS(Entries!$D$2:$D$5000,Entries!$C$2:$C$5000,"Actual",Entries!$A$2:$A$5000,$A241,Entries!$B$2:$B$5000,AA$1))</f>
        <v/>
      </c>
      <c r="AB241" s="88">
        <f>IF(OR(AB$1="",$BE241=0),"",SUMIFS(Entries!$D$2:$D$5000,Entries!$C$2:$C$5000,"Actual",Entries!$A$2:$A$5000,$A241,Entries!$B$2:$B$5000,AB$1))</f>
        <v/>
      </c>
      <c r="AC241" s="88">
        <f>IF(OR(AC$1="",$BE241=0),"",SUMIFS(Entries!$D$2:$D$5000,Entries!$C$2:$C$5000,"Actual",Entries!$A$2:$A$5000,$A241,Entries!$B$2:$B$5000,AC$1))</f>
        <v/>
      </c>
      <c r="AD241" s="88">
        <f>IF(OR(AD$1="",$BE241=0),"",SUMIFS(Entries!$D$2:$D$5000,Entries!$C$2:$C$5000,"Actual",Entries!$A$2:$A$5000,$A241,Entries!$B$2:$B$5000,AD$1))</f>
        <v/>
      </c>
      <c r="AE241" s="88">
        <f>IF(OR(AE$1="",$BE241=0),"",SUMIFS(Entries!$D$2:$D$5000,Entries!$C$2:$C$5000,"Actual",Entries!$A$2:$A$5000,$A241,Entries!$B$2:$B$5000,AE$1))</f>
        <v/>
      </c>
      <c r="AF241" s="88">
        <f>IF(OR(AF$1="",$BE241=0),"",SUMIFS(Entries!$D$2:$D$5000,Entries!$C$2:$C$5000,"Actual",Entries!$A$2:$A$5000,$A241,Entries!$B$2:$B$5000,AF$1))</f>
        <v/>
      </c>
      <c r="AG241" s="88">
        <f>IF(OR(AG$1="",$BE241=0),"",SUMIFS(Entries!$D$2:$D$5000,Entries!$C$2:$C$5000,"Actual",Entries!$A$2:$A$5000,$A241,Entries!$B$2:$B$5000,AG$1))</f>
        <v/>
      </c>
      <c r="AH241" s="88">
        <f>IF(OR(AH$1="",$BE241=0),"",SUMIFS(Entries!$D$2:$D$5000,Entries!$C$2:$C$5000,"Actual",Entries!$A$2:$A$5000,$A241,Entries!$B$2:$B$5000,AH$1))</f>
        <v/>
      </c>
      <c r="AJ241" s="88">
        <f>IF(OR(AJ$1="",$BE241=0),"",IFERROR(LOOKUP(2,1/((Budgets!$A$2:$A$200=AJ$1)*(Budgets!$B$2:$B$200&lt;=$A241)),Budgets!$C$2:$C$200),0))</f>
        <v/>
      </c>
      <c r="AK241" s="88">
        <f>IF(OR(AK$1="",$BE241=0),"",IFERROR(LOOKUP(2,1/((Budgets!$A$2:$A$200=AK$1)*(Budgets!$B$2:$B$200&lt;=$A241)),Budgets!$C$2:$C$200),0))</f>
        <v/>
      </c>
      <c r="AL241" s="88">
        <f>IF(OR(AL$1="",$BE241=0),"",IFERROR(LOOKUP(2,1/((Budgets!$A$2:$A$200=AL$1)*(Budgets!$B$2:$B$200&lt;=$A241)),Budgets!$C$2:$C$200),0))</f>
        <v/>
      </c>
      <c r="AM241" s="88">
        <f>IF(OR(AM$1="",$BE241=0),"",IFERROR(LOOKUP(2,1/((Budgets!$A$2:$A$200=AM$1)*(Budgets!$B$2:$B$200&lt;=$A241)),Budgets!$C$2:$C$200),0))</f>
        <v/>
      </c>
      <c r="AN241" s="88">
        <f>IF(OR(AN$1="",$BE241=0),"",IFERROR(LOOKUP(2,1/((Budgets!$A$2:$A$200=AN$1)*(Budgets!$B$2:$B$200&lt;=$A241)),Budgets!$C$2:$C$200),0))</f>
        <v/>
      </c>
      <c r="AO241" s="88">
        <f>IF(OR(AO$1="",$BE241=0),"",IFERROR(LOOKUP(2,1/((Budgets!$A$2:$A$200=AO$1)*(Budgets!$B$2:$B$200&lt;=$A241)),Budgets!$C$2:$C$200),0))</f>
        <v/>
      </c>
      <c r="AP241" s="88">
        <f>IF(OR(AP$1="",$BE241=0),"",IFERROR(LOOKUP(2,1/((Budgets!$A$2:$A$200=AP$1)*(Budgets!$B$2:$B$200&lt;=$A241)),Budgets!$C$2:$C$200),0))</f>
        <v/>
      </c>
      <c r="AQ241" s="88">
        <f>IF(OR(AQ$1="",$BE241=0),"",IFERROR(LOOKUP(2,1/((Budgets!$A$2:$A$200=AQ$1)*(Budgets!$B$2:$B$200&lt;=$A241)),Budgets!$C$2:$C$200),0))</f>
        <v/>
      </c>
      <c r="AR241" s="88">
        <f>IF(OR(AR$1="",$BE241=0),"",IFERROR(LOOKUP(2,1/((Budgets!$A$2:$A$200=AR$1)*(Budgets!$B$2:$B$200&lt;=$A241)),Budgets!$C$2:$C$200),0))</f>
        <v/>
      </c>
      <c r="AS241" s="88">
        <f>IF(OR(AS$1="",$BE241=0),"",IFERROR(LOOKUP(2,1/((Budgets!$A$2:$A$200=AS$1)*(Budgets!$B$2:$B$200&lt;=$A241)),Budgets!$C$2:$C$200),0))</f>
        <v/>
      </c>
      <c r="AT241" s="88">
        <f>IF(OR(AT$1="",$BE241=0),"",IFERROR(LOOKUP(2,1/((Budgets!$A$2:$A$200=AT$1)*(Budgets!$B$2:$B$200&lt;=$A241)),Budgets!$C$2:$C$200),0))</f>
        <v/>
      </c>
      <c r="AU241" s="88">
        <f>IF(OR(AU$1="",$BE241=0),"",IFERROR(LOOKUP(2,1/((Budgets!$A$2:$A$200=AU$1)*(Budgets!$B$2:$B$200&lt;=$A241)),Budgets!$C$2:$C$200),0))</f>
        <v/>
      </c>
      <c r="AV241" s="88">
        <f>IF(OR(AV$1="",$BE241=0),"",IFERROR(LOOKUP(2,1/((Budgets!$A$2:$A$200=AV$1)*(Budgets!$B$2:$B$200&lt;=$A241)),Budgets!$C$2:$C$200),0))</f>
        <v/>
      </c>
      <c r="AW241" s="88">
        <f>IF(OR(AW$1="",$BE241=0),"",IFERROR(LOOKUP(2,1/((Budgets!$A$2:$A$200=AW$1)*(Budgets!$B$2:$B$200&lt;=$A241)),Budgets!$C$2:$C$200),0))</f>
        <v/>
      </c>
      <c r="AX241" s="88">
        <f>IF(OR(AX$1="",$BE241=0),"",IFERROR(LOOKUP(2,1/((Budgets!$A$2:$A$200=AX$1)*(Budgets!$B$2:$B$200&lt;=$A241)),Budgets!$C$2:$C$200),0))</f>
        <v/>
      </c>
      <c r="AY241" s="88">
        <f>IF(OR(AY$1="",$BE241=0),"",IFERROR(LOOKUP(2,1/((Budgets!$A$2:$A$200=AY$1)*(Budgets!$B$2:$B$200&lt;=$A241)),Budgets!$C$2:$C$200),0))</f>
        <v/>
      </c>
      <c r="AZ241" s="88">
        <f>IF(OR(AZ$1="",$BE241=0),"",IFERROR(LOOKUP(2,1/((Budgets!$A$2:$A$200=AZ$1)*(Budgets!$B$2:$B$200&lt;=$A241)),Budgets!$C$2:$C$200),0))</f>
        <v/>
      </c>
      <c r="BA241" s="88">
        <f>IF(OR(BA$1="",$BE241=0),"",IFERROR(LOOKUP(2,1/((Budgets!$A$2:$A$200=BA$1)*(Budgets!$B$2:$B$200&lt;=$A241)),Budgets!$C$2:$C$200),0))</f>
        <v/>
      </c>
      <c r="BB241" s="88">
        <f>IF(OR(BB$1="",$BE241=0),"",IFERROR(LOOKUP(2,1/((Budgets!$A$2:$A$200=BB$1)*(Budgets!$B$2:$B$200&lt;=$A241)),Budgets!$C$2:$C$200),0))</f>
        <v/>
      </c>
      <c r="BC241" s="88">
        <f>IF(OR(BC$1="",$BE241=0),"",IFERROR(LOOKUP(2,1/((Budgets!$A$2:$A$200=BC$1)*(Budgets!$B$2:$B$200&lt;=$A241)),Budgets!$C$2:$C$200),0))</f>
        <v/>
      </c>
      <c r="BE241" s="67">
        <f>COUNTIFS(Entries!$A$2:$A$5000,$A241)</f>
        <v/>
      </c>
    </row>
    <row r="242" ht="15" customHeight="1" s="43">
      <c r="A242" s="87" t="n">
        <v>46753</v>
      </c>
      <c r="B242" s="88">
        <f>IF($BE242=0,NA(),SUMIFS(Entries!$D$2:$D$5000,Entries!$C$2:$C$5000,"Income",Entries!$A$2:$A$5000,$A242))</f>
        <v/>
      </c>
      <c r="C242" s="88">
        <f>IF($BE242=0,"",SUMIFS(Entries!$D$2:$D$5000,Entries!$C$2:$C$5000,"Actual",Entries!$A$2:$A$5000,$A242))</f>
        <v/>
      </c>
      <c r="D242" s="88">
        <f>IF($BE242=0,"",SUMIFS(Entries!$D$2:$D$5000,Entries!$C$2:$C$5000,"One-off",Entries!$A$2:$A$5000,$A242))</f>
        <v/>
      </c>
      <c r="E242" s="88">
        <f>IF($BE242=0,NA(),C242+D242)</f>
        <v/>
      </c>
      <c r="F242" s="88">
        <f>IF($BE242=0,"",SUM(AJ242:BC242))</f>
        <v/>
      </c>
      <c r="G242" s="88">
        <f>IF($BE242=0,"",B242-E242)</f>
        <v/>
      </c>
      <c r="H242" s="88">
        <f>IF($BE242=0,"",SUM($G$2:G242))</f>
        <v/>
      </c>
      <c r="I242" s="88">
        <f>IF($BE242=0,"",SUMIFS(Entries!$F$2:$F$5000,Entries!$A$2:$A$5000,$A242))</f>
        <v/>
      </c>
      <c r="J242" s="88">
        <f>IF($BE242=0,NA(),H242+SUM($I$2:I242))</f>
        <v/>
      </c>
      <c r="K242" s="88">
        <f>IF($BE242=0,"",SUMIFS(Entries!$D$2:$D$5000,Entries!$C$2:$C$5000,"Income",Entries!$A$2:$A$5000,"&gt;="&amp;EDATE($A242,-11),Entries!$A$2:$A$5000,"&lt;="&amp;$A242)/12)</f>
        <v/>
      </c>
      <c r="L242" s="88">
        <f>IF($BE242=0,"",(SUMIFS(Entries!$D$2:$D$5000,Entries!$C$2:$C$5000,"Actual",Entries!$A$2:$A$5000,"&gt;="&amp;EDATE($A242,-11),Entries!$A$2:$A$5000,"&lt;="&amp;$A242)+SUMIFS(Entries!$D$2:$D$5000,Entries!$C$2:$C$5000,"One-off",Entries!$A$2:$A$5000,"&gt;="&amp;EDATE($A242,-11),Entries!$A$2:$A$5000,"&lt;="&amp;$A242))/12)</f>
        <v/>
      </c>
      <c r="M242" s="71">
        <f>IF($BE242=0,NA(),IFERROR((K242-L242)/K242,0))</f>
        <v/>
      </c>
      <c r="O242" s="88">
        <f>IF(OR(O$1="",$BE242=0),"",SUMIFS(Entries!$D$2:$D$5000,Entries!$C$2:$C$5000,"Actual",Entries!$A$2:$A$5000,$A242,Entries!$B$2:$B$5000,O$1))</f>
        <v/>
      </c>
      <c r="P242" s="88">
        <f>IF(OR(P$1="",$BE242=0),"",SUMIFS(Entries!$D$2:$D$5000,Entries!$C$2:$C$5000,"Actual",Entries!$A$2:$A$5000,$A242,Entries!$B$2:$B$5000,P$1))</f>
        <v/>
      </c>
      <c r="Q242" s="88">
        <f>IF(OR(Q$1="",$BE242=0),"",SUMIFS(Entries!$D$2:$D$5000,Entries!$C$2:$C$5000,"Actual",Entries!$A$2:$A$5000,$A242,Entries!$B$2:$B$5000,Q$1))</f>
        <v/>
      </c>
      <c r="R242" s="88">
        <f>IF(OR(R$1="",$BE242=0),"",SUMIFS(Entries!$D$2:$D$5000,Entries!$C$2:$C$5000,"Actual",Entries!$A$2:$A$5000,$A242,Entries!$B$2:$B$5000,R$1))</f>
        <v/>
      </c>
      <c r="S242" s="88">
        <f>IF(OR(S$1="",$BE242=0),"",SUMIFS(Entries!$D$2:$D$5000,Entries!$C$2:$C$5000,"Actual",Entries!$A$2:$A$5000,$A242,Entries!$B$2:$B$5000,S$1))</f>
        <v/>
      </c>
      <c r="T242" s="88">
        <f>IF(OR(T$1="",$BE242=0),"",SUMIFS(Entries!$D$2:$D$5000,Entries!$C$2:$C$5000,"Actual",Entries!$A$2:$A$5000,$A242,Entries!$B$2:$B$5000,T$1))</f>
        <v/>
      </c>
      <c r="U242" s="88">
        <f>IF(OR(U$1="",$BE242=0),"",SUMIFS(Entries!$D$2:$D$5000,Entries!$C$2:$C$5000,"Actual",Entries!$A$2:$A$5000,$A242,Entries!$B$2:$B$5000,U$1))</f>
        <v/>
      </c>
      <c r="V242" s="88">
        <f>IF(OR(V$1="",$BE242=0),"",SUMIFS(Entries!$D$2:$D$5000,Entries!$C$2:$C$5000,"Actual",Entries!$A$2:$A$5000,$A242,Entries!$B$2:$B$5000,V$1))</f>
        <v/>
      </c>
      <c r="W242" s="88">
        <f>IF(OR(W$1="",$BE242=0),"",SUMIFS(Entries!$D$2:$D$5000,Entries!$C$2:$C$5000,"Actual",Entries!$A$2:$A$5000,$A242,Entries!$B$2:$B$5000,W$1))</f>
        <v/>
      </c>
      <c r="X242" s="88">
        <f>IF(OR(X$1="",$BE242=0),"",SUMIFS(Entries!$D$2:$D$5000,Entries!$C$2:$C$5000,"Actual",Entries!$A$2:$A$5000,$A242,Entries!$B$2:$B$5000,X$1))</f>
        <v/>
      </c>
      <c r="Y242" s="88">
        <f>IF(OR(Y$1="",$BE242=0),"",SUMIFS(Entries!$D$2:$D$5000,Entries!$C$2:$C$5000,"Actual",Entries!$A$2:$A$5000,$A242,Entries!$B$2:$B$5000,Y$1))</f>
        <v/>
      </c>
      <c r="Z242" s="88">
        <f>IF(OR(Z$1="",$BE242=0),"",SUMIFS(Entries!$D$2:$D$5000,Entries!$C$2:$C$5000,"Actual",Entries!$A$2:$A$5000,$A242,Entries!$B$2:$B$5000,Z$1))</f>
        <v/>
      </c>
      <c r="AA242" s="88">
        <f>IF(OR(AA$1="",$BE242=0),"",SUMIFS(Entries!$D$2:$D$5000,Entries!$C$2:$C$5000,"Actual",Entries!$A$2:$A$5000,$A242,Entries!$B$2:$B$5000,AA$1))</f>
        <v/>
      </c>
      <c r="AB242" s="88">
        <f>IF(OR(AB$1="",$BE242=0),"",SUMIFS(Entries!$D$2:$D$5000,Entries!$C$2:$C$5000,"Actual",Entries!$A$2:$A$5000,$A242,Entries!$B$2:$B$5000,AB$1))</f>
        <v/>
      </c>
      <c r="AC242" s="88">
        <f>IF(OR(AC$1="",$BE242=0),"",SUMIFS(Entries!$D$2:$D$5000,Entries!$C$2:$C$5000,"Actual",Entries!$A$2:$A$5000,$A242,Entries!$B$2:$B$5000,AC$1))</f>
        <v/>
      </c>
      <c r="AD242" s="88">
        <f>IF(OR(AD$1="",$BE242=0),"",SUMIFS(Entries!$D$2:$D$5000,Entries!$C$2:$C$5000,"Actual",Entries!$A$2:$A$5000,$A242,Entries!$B$2:$B$5000,AD$1))</f>
        <v/>
      </c>
      <c r="AE242" s="88">
        <f>IF(OR(AE$1="",$BE242=0),"",SUMIFS(Entries!$D$2:$D$5000,Entries!$C$2:$C$5000,"Actual",Entries!$A$2:$A$5000,$A242,Entries!$B$2:$B$5000,AE$1))</f>
        <v/>
      </c>
      <c r="AF242" s="88">
        <f>IF(OR(AF$1="",$BE242=0),"",SUMIFS(Entries!$D$2:$D$5000,Entries!$C$2:$C$5000,"Actual",Entries!$A$2:$A$5000,$A242,Entries!$B$2:$B$5000,AF$1))</f>
        <v/>
      </c>
      <c r="AG242" s="88">
        <f>IF(OR(AG$1="",$BE242=0),"",SUMIFS(Entries!$D$2:$D$5000,Entries!$C$2:$C$5000,"Actual",Entries!$A$2:$A$5000,$A242,Entries!$B$2:$B$5000,AG$1))</f>
        <v/>
      </c>
      <c r="AH242" s="88">
        <f>IF(OR(AH$1="",$BE242=0),"",SUMIFS(Entries!$D$2:$D$5000,Entries!$C$2:$C$5000,"Actual",Entries!$A$2:$A$5000,$A242,Entries!$B$2:$B$5000,AH$1))</f>
        <v/>
      </c>
      <c r="AJ242" s="88">
        <f>IF(OR(AJ$1="",$BE242=0),"",IFERROR(LOOKUP(2,1/((Budgets!$A$2:$A$200=AJ$1)*(Budgets!$B$2:$B$200&lt;=$A242)),Budgets!$C$2:$C$200),0))</f>
        <v/>
      </c>
      <c r="AK242" s="88">
        <f>IF(OR(AK$1="",$BE242=0),"",IFERROR(LOOKUP(2,1/((Budgets!$A$2:$A$200=AK$1)*(Budgets!$B$2:$B$200&lt;=$A242)),Budgets!$C$2:$C$200),0))</f>
        <v/>
      </c>
      <c r="AL242" s="88">
        <f>IF(OR(AL$1="",$BE242=0),"",IFERROR(LOOKUP(2,1/((Budgets!$A$2:$A$200=AL$1)*(Budgets!$B$2:$B$200&lt;=$A242)),Budgets!$C$2:$C$200),0))</f>
        <v/>
      </c>
      <c r="AM242" s="88">
        <f>IF(OR(AM$1="",$BE242=0),"",IFERROR(LOOKUP(2,1/((Budgets!$A$2:$A$200=AM$1)*(Budgets!$B$2:$B$200&lt;=$A242)),Budgets!$C$2:$C$200),0))</f>
        <v/>
      </c>
      <c r="AN242" s="88">
        <f>IF(OR(AN$1="",$BE242=0),"",IFERROR(LOOKUP(2,1/((Budgets!$A$2:$A$200=AN$1)*(Budgets!$B$2:$B$200&lt;=$A242)),Budgets!$C$2:$C$200),0))</f>
        <v/>
      </c>
      <c r="AO242" s="88">
        <f>IF(OR(AO$1="",$BE242=0),"",IFERROR(LOOKUP(2,1/((Budgets!$A$2:$A$200=AO$1)*(Budgets!$B$2:$B$200&lt;=$A242)),Budgets!$C$2:$C$200),0))</f>
        <v/>
      </c>
      <c r="AP242" s="88">
        <f>IF(OR(AP$1="",$BE242=0),"",IFERROR(LOOKUP(2,1/((Budgets!$A$2:$A$200=AP$1)*(Budgets!$B$2:$B$200&lt;=$A242)),Budgets!$C$2:$C$200),0))</f>
        <v/>
      </c>
      <c r="AQ242" s="88">
        <f>IF(OR(AQ$1="",$BE242=0),"",IFERROR(LOOKUP(2,1/((Budgets!$A$2:$A$200=AQ$1)*(Budgets!$B$2:$B$200&lt;=$A242)),Budgets!$C$2:$C$200),0))</f>
        <v/>
      </c>
      <c r="AR242" s="88">
        <f>IF(OR(AR$1="",$BE242=0),"",IFERROR(LOOKUP(2,1/((Budgets!$A$2:$A$200=AR$1)*(Budgets!$B$2:$B$200&lt;=$A242)),Budgets!$C$2:$C$200),0))</f>
        <v/>
      </c>
      <c r="AS242" s="88">
        <f>IF(OR(AS$1="",$BE242=0),"",IFERROR(LOOKUP(2,1/((Budgets!$A$2:$A$200=AS$1)*(Budgets!$B$2:$B$200&lt;=$A242)),Budgets!$C$2:$C$200),0))</f>
        <v/>
      </c>
      <c r="AT242" s="88">
        <f>IF(OR(AT$1="",$BE242=0),"",IFERROR(LOOKUP(2,1/((Budgets!$A$2:$A$200=AT$1)*(Budgets!$B$2:$B$200&lt;=$A242)),Budgets!$C$2:$C$200),0))</f>
        <v/>
      </c>
      <c r="AU242" s="88">
        <f>IF(OR(AU$1="",$BE242=0),"",IFERROR(LOOKUP(2,1/((Budgets!$A$2:$A$200=AU$1)*(Budgets!$B$2:$B$200&lt;=$A242)),Budgets!$C$2:$C$200),0))</f>
        <v/>
      </c>
      <c r="AV242" s="88">
        <f>IF(OR(AV$1="",$BE242=0),"",IFERROR(LOOKUP(2,1/((Budgets!$A$2:$A$200=AV$1)*(Budgets!$B$2:$B$200&lt;=$A242)),Budgets!$C$2:$C$200),0))</f>
        <v/>
      </c>
      <c r="AW242" s="88">
        <f>IF(OR(AW$1="",$BE242=0),"",IFERROR(LOOKUP(2,1/((Budgets!$A$2:$A$200=AW$1)*(Budgets!$B$2:$B$200&lt;=$A242)),Budgets!$C$2:$C$200),0))</f>
        <v/>
      </c>
      <c r="AX242" s="88">
        <f>IF(OR(AX$1="",$BE242=0),"",IFERROR(LOOKUP(2,1/((Budgets!$A$2:$A$200=AX$1)*(Budgets!$B$2:$B$200&lt;=$A242)),Budgets!$C$2:$C$200),0))</f>
        <v/>
      </c>
      <c r="AY242" s="88">
        <f>IF(OR(AY$1="",$BE242=0),"",IFERROR(LOOKUP(2,1/((Budgets!$A$2:$A$200=AY$1)*(Budgets!$B$2:$B$200&lt;=$A242)),Budgets!$C$2:$C$200),0))</f>
        <v/>
      </c>
      <c r="AZ242" s="88">
        <f>IF(OR(AZ$1="",$BE242=0),"",IFERROR(LOOKUP(2,1/((Budgets!$A$2:$A$200=AZ$1)*(Budgets!$B$2:$B$200&lt;=$A242)),Budgets!$C$2:$C$200),0))</f>
        <v/>
      </c>
      <c r="BA242" s="88">
        <f>IF(OR(BA$1="",$BE242=0),"",IFERROR(LOOKUP(2,1/((Budgets!$A$2:$A$200=BA$1)*(Budgets!$B$2:$B$200&lt;=$A242)),Budgets!$C$2:$C$200),0))</f>
        <v/>
      </c>
      <c r="BB242" s="88">
        <f>IF(OR(BB$1="",$BE242=0),"",IFERROR(LOOKUP(2,1/((Budgets!$A$2:$A$200=BB$1)*(Budgets!$B$2:$B$200&lt;=$A242)),Budgets!$C$2:$C$200),0))</f>
        <v/>
      </c>
      <c r="BC242" s="88">
        <f>IF(OR(BC$1="",$BE242=0),"",IFERROR(LOOKUP(2,1/((Budgets!$A$2:$A$200=BC$1)*(Budgets!$B$2:$B$200&lt;=$A242)),Budgets!$C$2:$C$200),0))</f>
        <v/>
      </c>
      <c r="BE242" s="67">
        <f>COUNTIFS(Entries!$A$2:$A$5000,$A242)</f>
        <v/>
      </c>
    </row>
    <row r="243" ht="15" customHeight="1" s="43">
      <c r="A243" s="87" t="n">
        <v>46784</v>
      </c>
      <c r="B243" s="88">
        <f>IF($BE243=0,NA(),SUMIFS(Entries!$D$2:$D$5000,Entries!$C$2:$C$5000,"Income",Entries!$A$2:$A$5000,$A243))</f>
        <v/>
      </c>
      <c r="C243" s="88">
        <f>IF($BE243=0,"",SUMIFS(Entries!$D$2:$D$5000,Entries!$C$2:$C$5000,"Actual",Entries!$A$2:$A$5000,$A243))</f>
        <v/>
      </c>
      <c r="D243" s="88">
        <f>IF($BE243=0,"",SUMIFS(Entries!$D$2:$D$5000,Entries!$C$2:$C$5000,"One-off",Entries!$A$2:$A$5000,$A243))</f>
        <v/>
      </c>
      <c r="E243" s="88">
        <f>IF($BE243=0,NA(),C243+D243)</f>
        <v/>
      </c>
      <c r="F243" s="88">
        <f>IF($BE243=0,"",SUM(AJ243:BC243))</f>
        <v/>
      </c>
      <c r="G243" s="88">
        <f>IF($BE243=0,"",B243-E243)</f>
        <v/>
      </c>
      <c r="H243" s="88">
        <f>IF($BE243=0,"",SUM($G$2:G243))</f>
        <v/>
      </c>
      <c r="I243" s="88">
        <f>IF($BE243=0,"",SUMIFS(Entries!$F$2:$F$5000,Entries!$A$2:$A$5000,$A243))</f>
        <v/>
      </c>
      <c r="J243" s="88">
        <f>IF($BE243=0,NA(),H243+SUM($I$2:I243))</f>
        <v/>
      </c>
      <c r="K243" s="88">
        <f>IF($BE243=0,"",SUMIFS(Entries!$D$2:$D$5000,Entries!$C$2:$C$5000,"Income",Entries!$A$2:$A$5000,"&gt;="&amp;EDATE($A243,-11),Entries!$A$2:$A$5000,"&lt;="&amp;$A243)/12)</f>
        <v/>
      </c>
      <c r="L243" s="88">
        <f>IF($BE243=0,"",(SUMIFS(Entries!$D$2:$D$5000,Entries!$C$2:$C$5000,"Actual",Entries!$A$2:$A$5000,"&gt;="&amp;EDATE($A243,-11),Entries!$A$2:$A$5000,"&lt;="&amp;$A243)+SUMIFS(Entries!$D$2:$D$5000,Entries!$C$2:$C$5000,"One-off",Entries!$A$2:$A$5000,"&gt;="&amp;EDATE($A243,-11),Entries!$A$2:$A$5000,"&lt;="&amp;$A243))/12)</f>
        <v/>
      </c>
      <c r="M243" s="71">
        <f>IF($BE243=0,NA(),IFERROR((K243-L243)/K243,0))</f>
        <v/>
      </c>
      <c r="O243" s="88">
        <f>IF(OR(O$1="",$BE243=0),"",SUMIFS(Entries!$D$2:$D$5000,Entries!$C$2:$C$5000,"Actual",Entries!$A$2:$A$5000,$A243,Entries!$B$2:$B$5000,O$1))</f>
        <v/>
      </c>
      <c r="P243" s="88">
        <f>IF(OR(P$1="",$BE243=0),"",SUMIFS(Entries!$D$2:$D$5000,Entries!$C$2:$C$5000,"Actual",Entries!$A$2:$A$5000,$A243,Entries!$B$2:$B$5000,P$1))</f>
        <v/>
      </c>
      <c r="Q243" s="88">
        <f>IF(OR(Q$1="",$BE243=0),"",SUMIFS(Entries!$D$2:$D$5000,Entries!$C$2:$C$5000,"Actual",Entries!$A$2:$A$5000,$A243,Entries!$B$2:$B$5000,Q$1))</f>
        <v/>
      </c>
      <c r="R243" s="88">
        <f>IF(OR(R$1="",$BE243=0),"",SUMIFS(Entries!$D$2:$D$5000,Entries!$C$2:$C$5000,"Actual",Entries!$A$2:$A$5000,$A243,Entries!$B$2:$B$5000,R$1))</f>
        <v/>
      </c>
      <c r="S243" s="88">
        <f>IF(OR(S$1="",$BE243=0),"",SUMIFS(Entries!$D$2:$D$5000,Entries!$C$2:$C$5000,"Actual",Entries!$A$2:$A$5000,$A243,Entries!$B$2:$B$5000,S$1))</f>
        <v/>
      </c>
      <c r="T243" s="88">
        <f>IF(OR(T$1="",$BE243=0),"",SUMIFS(Entries!$D$2:$D$5000,Entries!$C$2:$C$5000,"Actual",Entries!$A$2:$A$5000,$A243,Entries!$B$2:$B$5000,T$1))</f>
        <v/>
      </c>
      <c r="U243" s="88">
        <f>IF(OR(U$1="",$BE243=0),"",SUMIFS(Entries!$D$2:$D$5000,Entries!$C$2:$C$5000,"Actual",Entries!$A$2:$A$5000,$A243,Entries!$B$2:$B$5000,U$1))</f>
        <v/>
      </c>
      <c r="V243" s="88">
        <f>IF(OR(V$1="",$BE243=0),"",SUMIFS(Entries!$D$2:$D$5000,Entries!$C$2:$C$5000,"Actual",Entries!$A$2:$A$5000,$A243,Entries!$B$2:$B$5000,V$1))</f>
        <v/>
      </c>
      <c r="W243" s="88">
        <f>IF(OR(W$1="",$BE243=0),"",SUMIFS(Entries!$D$2:$D$5000,Entries!$C$2:$C$5000,"Actual",Entries!$A$2:$A$5000,$A243,Entries!$B$2:$B$5000,W$1))</f>
        <v/>
      </c>
      <c r="X243" s="88">
        <f>IF(OR(X$1="",$BE243=0),"",SUMIFS(Entries!$D$2:$D$5000,Entries!$C$2:$C$5000,"Actual",Entries!$A$2:$A$5000,$A243,Entries!$B$2:$B$5000,X$1))</f>
        <v/>
      </c>
      <c r="Y243" s="88">
        <f>IF(OR(Y$1="",$BE243=0),"",SUMIFS(Entries!$D$2:$D$5000,Entries!$C$2:$C$5000,"Actual",Entries!$A$2:$A$5000,$A243,Entries!$B$2:$B$5000,Y$1))</f>
        <v/>
      </c>
      <c r="Z243" s="88">
        <f>IF(OR(Z$1="",$BE243=0),"",SUMIFS(Entries!$D$2:$D$5000,Entries!$C$2:$C$5000,"Actual",Entries!$A$2:$A$5000,$A243,Entries!$B$2:$B$5000,Z$1))</f>
        <v/>
      </c>
      <c r="AA243" s="88">
        <f>IF(OR(AA$1="",$BE243=0),"",SUMIFS(Entries!$D$2:$D$5000,Entries!$C$2:$C$5000,"Actual",Entries!$A$2:$A$5000,$A243,Entries!$B$2:$B$5000,AA$1))</f>
        <v/>
      </c>
      <c r="AB243" s="88">
        <f>IF(OR(AB$1="",$BE243=0),"",SUMIFS(Entries!$D$2:$D$5000,Entries!$C$2:$C$5000,"Actual",Entries!$A$2:$A$5000,$A243,Entries!$B$2:$B$5000,AB$1))</f>
        <v/>
      </c>
      <c r="AC243" s="88">
        <f>IF(OR(AC$1="",$BE243=0),"",SUMIFS(Entries!$D$2:$D$5000,Entries!$C$2:$C$5000,"Actual",Entries!$A$2:$A$5000,$A243,Entries!$B$2:$B$5000,AC$1))</f>
        <v/>
      </c>
      <c r="AD243" s="88">
        <f>IF(OR(AD$1="",$BE243=0),"",SUMIFS(Entries!$D$2:$D$5000,Entries!$C$2:$C$5000,"Actual",Entries!$A$2:$A$5000,$A243,Entries!$B$2:$B$5000,AD$1))</f>
        <v/>
      </c>
      <c r="AE243" s="88">
        <f>IF(OR(AE$1="",$BE243=0),"",SUMIFS(Entries!$D$2:$D$5000,Entries!$C$2:$C$5000,"Actual",Entries!$A$2:$A$5000,$A243,Entries!$B$2:$B$5000,AE$1))</f>
        <v/>
      </c>
      <c r="AF243" s="88">
        <f>IF(OR(AF$1="",$BE243=0),"",SUMIFS(Entries!$D$2:$D$5000,Entries!$C$2:$C$5000,"Actual",Entries!$A$2:$A$5000,$A243,Entries!$B$2:$B$5000,AF$1))</f>
        <v/>
      </c>
      <c r="AG243" s="88">
        <f>IF(OR(AG$1="",$BE243=0),"",SUMIFS(Entries!$D$2:$D$5000,Entries!$C$2:$C$5000,"Actual",Entries!$A$2:$A$5000,$A243,Entries!$B$2:$B$5000,AG$1))</f>
        <v/>
      </c>
      <c r="AH243" s="88">
        <f>IF(OR(AH$1="",$BE243=0),"",SUMIFS(Entries!$D$2:$D$5000,Entries!$C$2:$C$5000,"Actual",Entries!$A$2:$A$5000,$A243,Entries!$B$2:$B$5000,AH$1))</f>
        <v/>
      </c>
      <c r="AJ243" s="88">
        <f>IF(OR(AJ$1="",$BE243=0),"",IFERROR(LOOKUP(2,1/((Budgets!$A$2:$A$200=AJ$1)*(Budgets!$B$2:$B$200&lt;=$A243)),Budgets!$C$2:$C$200),0))</f>
        <v/>
      </c>
      <c r="AK243" s="88">
        <f>IF(OR(AK$1="",$BE243=0),"",IFERROR(LOOKUP(2,1/((Budgets!$A$2:$A$200=AK$1)*(Budgets!$B$2:$B$200&lt;=$A243)),Budgets!$C$2:$C$200),0))</f>
        <v/>
      </c>
      <c r="AL243" s="88">
        <f>IF(OR(AL$1="",$BE243=0),"",IFERROR(LOOKUP(2,1/((Budgets!$A$2:$A$200=AL$1)*(Budgets!$B$2:$B$200&lt;=$A243)),Budgets!$C$2:$C$200),0))</f>
        <v/>
      </c>
      <c r="AM243" s="88">
        <f>IF(OR(AM$1="",$BE243=0),"",IFERROR(LOOKUP(2,1/((Budgets!$A$2:$A$200=AM$1)*(Budgets!$B$2:$B$200&lt;=$A243)),Budgets!$C$2:$C$200),0))</f>
        <v/>
      </c>
      <c r="AN243" s="88">
        <f>IF(OR(AN$1="",$BE243=0),"",IFERROR(LOOKUP(2,1/((Budgets!$A$2:$A$200=AN$1)*(Budgets!$B$2:$B$200&lt;=$A243)),Budgets!$C$2:$C$200),0))</f>
        <v/>
      </c>
      <c r="AO243" s="88">
        <f>IF(OR(AO$1="",$BE243=0),"",IFERROR(LOOKUP(2,1/((Budgets!$A$2:$A$200=AO$1)*(Budgets!$B$2:$B$200&lt;=$A243)),Budgets!$C$2:$C$200),0))</f>
        <v/>
      </c>
      <c r="AP243" s="88">
        <f>IF(OR(AP$1="",$BE243=0),"",IFERROR(LOOKUP(2,1/((Budgets!$A$2:$A$200=AP$1)*(Budgets!$B$2:$B$200&lt;=$A243)),Budgets!$C$2:$C$200),0))</f>
        <v/>
      </c>
      <c r="AQ243" s="88">
        <f>IF(OR(AQ$1="",$BE243=0),"",IFERROR(LOOKUP(2,1/((Budgets!$A$2:$A$200=AQ$1)*(Budgets!$B$2:$B$200&lt;=$A243)),Budgets!$C$2:$C$200),0))</f>
        <v/>
      </c>
      <c r="AR243" s="88">
        <f>IF(OR(AR$1="",$BE243=0),"",IFERROR(LOOKUP(2,1/((Budgets!$A$2:$A$200=AR$1)*(Budgets!$B$2:$B$200&lt;=$A243)),Budgets!$C$2:$C$200),0))</f>
        <v/>
      </c>
      <c r="AS243" s="88">
        <f>IF(OR(AS$1="",$BE243=0),"",IFERROR(LOOKUP(2,1/((Budgets!$A$2:$A$200=AS$1)*(Budgets!$B$2:$B$200&lt;=$A243)),Budgets!$C$2:$C$200),0))</f>
        <v/>
      </c>
      <c r="AT243" s="88">
        <f>IF(OR(AT$1="",$BE243=0),"",IFERROR(LOOKUP(2,1/((Budgets!$A$2:$A$200=AT$1)*(Budgets!$B$2:$B$200&lt;=$A243)),Budgets!$C$2:$C$200),0))</f>
        <v/>
      </c>
      <c r="AU243" s="88">
        <f>IF(OR(AU$1="",$BE243=0),"",IFERROR(LOOKUP(2,1/((Budgets!$A$2:$A$200=AU$1)*(Budgets!$B$2:$B$200&lt;=$A243)),Budgets!$C$2:$C$200),0))</f>
        <v/>
      </c>
      <c r="AV243" s="88">
        <f>IF(OR(AV$1="",$BE243=0),"",IFERROR(LOOKUP(2,1/((Budgets!$A$2:$A$200=AV$1)*(Budgets!$B$2:$B$200&lt;=$A243)),Budgets!$C$2:$C$200),0))</f>
        <v/>
      </c>
      <c r="AW243" s="88">
        <f>IF(OR(AW$1="",$BE243=0),"",IFERROR(LOOKUP(2,1/((Budgets!$A$2:$A$200=AW$1)*(Budgets!$B$2:$B$200&lt;=$A243)),Budgets!$C$2:$C$200),0))</f>
        <v/>
      </c>
      <c r="AX243" s="88">
        <f>IF(OR(AX$1="",$BE243=0),"",IFERROR(LOOKUP(2,1/((Budgets!$A$2:$A$200=AX$1)*(Budgets!$B$2:$B$200&lt;=$A243)),Budgets!$C$2:$C$200),0))</f>
        <v/>
      </c>
      <c r="AY243" s="88">
        <f>IF(OR(AY$1="",$BE243=0),"",IFERROR(LOOKUP(2,1/((Budgets!$A$2:$A$200=AY$1)*(Budgets!$B$2:$B$200&lt;=$A243)),Budgets!$C$2:$C$200),0))</f>
        <v/>
      </c>
      <c r="AZ243" s="88">
        <f>IF(OR(AZ$1="",$BE243=0),"",IFERROR(LOOKUP(2,1/((Budgets!$A$2:$A$200=AZ$1)*(Budgets!$B$2:$B$200&lt;=$A243)),Budgets!$C$2:$C$200),0))</f>
        <v/>
      </c>
      <c r="BA243" s="88">
        <f>IF(OR(BA$1="",$BE243=0),"",IFERROR(LOOKUP(2,1/((Budgets!$A$2:$A$200=BA$1)*(Budgets!$B$2:$B$200&lt;=$A243)),Budgets!$C$2:$C$200),0))</f>
        <v/>
      </c>
      <c r="BB243" s="88">
        <f>IF(OR(BB$1="",$BE243=0),"",IFERROR(LOOKUP(2,1/((Budgets!$A$2:$A$200=BB$1)*(Budgets!$B$2:$B$200&lt;=$A243)),Budgets!$C$2:$C$200),0))</f>
        <v/>
      </c>
      <c r="BC243" s="88">
        <f>IF(OR(BC$1="",$BE243=0),"",IFERROR(LOOKUP(2,1/((Budgets!$A$2:$A$200=BC$1)*(Budgets!$B$2:$B$200&lt;=$A243)),Budgets!$C$2:$C$200),0))</f>
        <v/>
      </c>
      <c r="BE243" s="67">
        <f>COUNTIFS(Entries!$A$2:$A$5000,$A243)</f>
        <v/>
      </c>
    </row>
    <row r="244" ht="15" customHeight="1" s="43">
      <c r="A244" s="87" t="n">
        <v>46813</v>
      </c>
      <c r="B244" s="88">
        <f>IF($BE244=0,NA(),SUMIFS(Entries!$D$2:$D$5000,Entries!$C$2:$C$5000,"Income",Entries!$A$2:$A$5000,$A244))</f>
        <v/>
      </c>
      <c r="C244" s="88">
        <f>IF($BE244=0,"",SUMIFS(Entries!$D$2:$D$5000,Entries!$C$2:$C$5000,"Actual",Entries!$A$2:$A$5000,$A244))</f>
        <v/>
      </c>
      <c r="D244" s="88">
        <f>IF($BE244=0,"",SUMIFS(Entries!$D$2:$D$5000,Entries!$C$2:$C$5000,"One-off",Entries!$A$2:$A$5000,$A244))</f>
        <v/>
      </c>
      <c r="E244" s="88">
        <f>IF($BE244=0,NA(),C244+D244)</f>
        <v/>
      </c>
      <c r="F244" s="88">
        <f>IF($BE244=0,"",SUM(AJ244:BC244))</f>
        <v/>
      </c>
      <c r="G244" s="88">
        <f>IF($BE244=0,"",B244-E244)</f>
        <v/>
      </c>
      <c r="H244" s="88">
        <f>IF($BE244=0,"",SUM($G$2:G244))</f>
        <v/>
      </c>
      <c r="I244" s="88">
        <f>IF($BE244=0,"",SUMIFS(Entries!$F$2:$F$5000,Entries!$A$2:$A$5000,$A244))</f>
        <v/>
      </c>
      <c r="J244" s="88">
        <f>IF($BE244=0,NA(),H244+SUM($I$2:I244))</f>
        <v/>
      </c>
      <c r="K244" s="88">
        <f>IF($BE244=0,"",SUMIFS(Entries!$D$2:$D$5000,Entries!$C$2:$C$5000,"Income",Entries!$A$2:$A$5000,"&gt;="&amp;EDATE($A244,-11),Entries!$A$2:$A$5000,"&lt;="&amp;$A244)/12)</f>
        <v/>
      </c>
      <c r="L244" s="88">
        <f>IF($BE244=0,"",(SUMIFS(Entries!$D$2:$D$5000,Entries!$C$2:$C$5000,"Actual",Entries!$A$2:$A$5000,"&gt;="&amp;EDATE($A244,-11),Entries!$A$2:$A$5000,"&lt;="&amp;$A244)+SUMIFS(Entries!$D$2:$D$5000,Entries!$C$2:$C$5000,"One-off",Entries!$A$2:$A$5000,"&gt;="&amp;EDATE($A244,-11),Entries!$A$2:$A$5000,"&lt;="&amp;$A244))/12)</f>
        <v/>
      </c>
      <c r="M244" s="71">
        <f>IF($BE244=0,NA(),IFERROR((K244-L244)/K244,0))</f>
        <v/>
      </c>
      <c r="O244" s="88">
        <f>IF(OR(O$1="",$BE244=0),"",SUMIFS(Entries!$D$2:$D$5000,Entries!$C$2:$C$5000,"Actual",Entries!$A$2:$A$5000,$A244,Entries!$B$2:$B$5000,O$1))</f>
        <v/>
      </c>
      <c r="P244" s="88">
        <f>IF(OR(P$1="",$BE244=0),"",SUMIFS(Entries!$D$2:$D$5000,Entries!$C$2:$C$5000,"Actual",Entries!$A$2:$A$5000,$A244,Entries!$B$2:$B$5000,P$1))</f>
        <v/>
      </c>
      <c r="Q244" s="88">
        <f>IF(OR(Q$1="",$BE244=0),"",SUMIFS(Entries!$D$2:$D$5000,Entries!$C$2:$C$5000,"Actual",Entries!$A$2:$A$5000,$A244,Entries!$B$2:$B$5000,Q$1))</f>
        <v/>
      </c>
      <c r="R244" s="88">
        <f>IF(OR(R$1="",$BE244=0),"",SUMIFS(Entries!$D$2:$D$5000,Entries!$C$2:$C$5000,"Actual",Entries!$A$2:$A$5000,$A244,Entries!$B$2:$B$5000,R$1))</f>
        <v/>
      </c>
      <c r="S244" s="88">
        <f>IF(OR(S$1="",$BE244=0),"",SUMIFS(Entries!$D$2:$D$5000,Entries!$C$2:$C$5000,"Actual",Entries!$A$2:$A$5000,$A244,Entries!$B$2:$B$5000,S$1))</f>
        <v/>
      </c>
      <c r="T244" s="88">
        <f>IF(OR(T$1="",$BE244=0),"",SUMIFS(Entries!$D$2:$D$5000,Entries!$C$2:$C$5000,"Actual",Entries!$A$2:$A$5000,$A244,Entries!$B$2:$B$5000,T$1))</f>
        <v/>
      </c>
      <c r="U244" s="88">
        <f>IF(OR(U$1="",$BE244=0),"",SUMIFS(Entries!$D$2:$D$5000,Entries!$C$2:$C$5000,"Actual",Entries!$A$2:$A$5000,$A244,Entries!$B$2:$B$5000,U$1))</f>
        <v/>
      </c>
      <c r="V244" s="88">
        <f>IF(OR(V$1="",$BE244=0),"",SUMIFS(Entries!$D$2:$D$5000,Entries!$C$2:$C$5000,"Actual",Entries!$A$2:$A$5000,$A244,Entries!$B$2:$B$5000,V$1))</f>
        <v/>
      </c>
      <c r="W244" s="88">
        <f>IF(OR(W$1="",$BE244=0),"",SUMIFS(Entries!$D$2:$D$5000,Entries!$C$2:$C$5000,"Actual",Entries!$A$2:$A$5000,$A244,Entries!$B$2:$B$5000,W$1))</f>
        <v/>
      </c>
      <c r="X244" s="88">
        <f>IF(OR(X$1="",$BE244=0),"",SUMIFS(Entries!$D$2:$D$5000,Entries!$C$2:$C$5000,"Actual",Entries!$A$2:$A$5000,$A244,Entries!$B$2:$B$5000,X$1))</f>
        <v/>
      </c>
      <c r="Y244" s="88">
        <f>IF(OR(Y$1="",$BE244=0),"",SUMIFS(Entries!$D$2:$D$5000,Entries!$C$2:$C$5000,"Actual",Entries!$A$2:$A$5000,$A244,Entries!$B$2:$B$5000,Y$1))</f>
        <v/>
      </c>
      <c r="Z244" s="88">
        <f>IF(OR(Z$1="",$BE244=0),"",SUMIFS(Entries!$D$2:$D$5000,Entries!$C$2:$C$5000,"Actual",Entries!$A$2:$A$5000,$A244,Entries!$B$2:$B$5000,Z$1))</f>
        <v/>
      </c>
      <c r="AA244" s="88">
        <f>IF(OR(AA$1="",$BE244=0),"",SUMIFS(Entries!$D$2:$D$5000,Entries!$C$2:$C$5000,"Actual",Entries!$A$2:$A$5000,$A244,Entries!$B$2:$B$5000,AA$1))</f>
        <v/>
      </c>
      <c r="AB244" s="88">
        <f>IF(OR(AB$1="",$BE244=0),"",SUMIFS(Entries!$D$2:$D$5000,Entries!$C$2:$C$5000,"Actual",Entries!$A$2:$A$5000,$A244,Entries!$B$2:$B$5000,AB$1))</f>
        <v/>
      </c>
      <c r="AC244" s="88">
        <f>IF(OR(AC$1="",$BE244=0),"",SUMIFS(Entries!$D$2:$D$5000,Entries!$C$2:$C$5000,"Actual",Entries!$A$2:$A$5000,$A244,Entries!$B$2:$B$5000,AC$1))</f>
        <v/>
      </c>
      <c r="AD244" s="88">
        <f>IF(OR(AD$1="",$BE244=0),"",SUMIFS(Entries!$D$2:$D$5000,Entries!$C$2:$C$5000,"Actual",Entries!$A$2:$A$5000,$A244,Entries!$B$2:$B$5000,AD$1))</f>
        <v/>
      </c>
      <c r="AE244" s="88">
        <f>IF(OR(AE$1="",$BE244=0),"",SUMIFS(Entries!$D$2:$D$5000,Entries!$C$2:$C$5000,"Actual",Entries!$A$2:$A$5000,$A244,Entries!$B$2:$B$5000,AE$1))</f>
        <v/>
      </c>
      <c r="AF244" s="88">
        <f>IF(OR(AF$1="",$BE244=0),"",SUMIFS(Entries!$D$2:$D$5000,Entries!$C$2:$C$5000,"Actual",Entries!$A$2:$A$5000,$A244,Entries!$B$2:$B$5000,AF$1))</f>
        <v/>
      </c>
      <c r="AG244" s="88">
        <f>IF(OR(AG$1="",$BE244=0),"",SUMIFS(Entries!$D$2:$D$5000,Entries!$C$2:$C$5000,"Actual",Entries!$A$2:$A$5000,$A244,Entries!$B$2:$B$5000,AG$1))</f>
        <v/>
      </c>
      <c r="AH244" s="88">
        <f>IF(OR(AH$1="",$BE244=0),"",SUMIFS(Entries!$D$2:$D$5000,Entries!$C$2:$C$5000,"Actual",Entries!$A$2:$A$5000,$A244,Entries!$B$2:$B$5000,AH$1))</f>
        <v/>
      </c>
      <c r="AJ244" s="88">
        <f>IF(OR(AJ$1="",$BE244=0),"",IFERROR(LOOKUP(2,1/((Budgets!$A$2:$A$200=AJ$1)*(Budgets!$B$2:$B$200&lt;=$A244)),Budgets!$C$2:$C$200),0))</f>
        <v/>
      </c>
      <c r="AK244" s="88">
        <f>IF(OR(AK$1="",$BE244=0),"",IFERROR(LOOKUP(2,1/((Budgets!$A$2:$A$200=AK$1)*(Budgets!$B$2:$B$200&lt;=$A244)),Budgets!$C$2:$C$200),0))</f>
        <v/>
      </c>
      <c r="AL244" s="88">
        <f>IF(OR(AL$1="",$BE244=0),"",IFERROR(LOOKUP(2,1/((Budgets!$A$2:$A$200=AL$1)*(Budgets!$B$2:$B$200&lt;=$A244)),Budgets!$C$2:$C$200),0))</f>
        <v/>
      </c>
      <c r="AM244" s="88">
        <f>IF(OR(AM$1="",$BE244=0),"",IFERROR(LOOKUP(2,1/((Budgets!$A$2:$A$200=AM$1)*(Budgets!$B$2:$B$200&lt;=$A244)),Budgets!$C$2:$C$200),0))</f>
        <v/>
      </c>
      <c r="AN244" s="88">
        <f>IF(OR(AN$1="",$BE244=0),"",IFERROR(LOOKUP(2,1/((Budgets!$A$2:$A$200=AN$1)*(Budgets!$B$2:$B$200&lt;=$A244)),Budgets!$C$2:$C$200),0))</f>
        <v/>
      </c>
      <c r="AO244" s="88">
        <f>IF(OR(AO$1="",$BE244=0),"",IFERROR(LOOKUP(2,1/((Budgets!$A$2:$A$200=AO$1)*(Budgets!$B$2:$B$200&lt;=$A244)),Budgets!$C$2:$C$200),0))</f>
        <v/>
      </c>
      <c r="AP244" s="88">
        <f>IF(OR(AP$1="",$BE244=0),"",IFERROR(LOOKUP(2,1/((Budgets!$A$2:$A$200=AP$1)*(Budgets!$B$2:$B$200&lt;=$A244)),Budgets!$C$2:$C$200),0))</f>
        <v/>
      </c>
      <c r="AQ244" s="88">
        <f>IF(OR(AQ$1="",$BE244=0),"",IFERROR(LOOKUP(2,1/((Budgets!$A$2:$A$200=AQ$1)*(Budgets!$B$2:$B$200&lt;=$A244)),Budgets!$C$2:$C$200),0))</f>
        <v/>
      </c>
      <c r="AR244" s="88">
        <f>IF(OR(AR$1="",$BE244=0),"",IFERROR(LOOKUP(2,1/((Budgets!$A$2:$A$200=AR$1)*(Budgets!$B$2:$B$200&lt;=$A244)),Budgets!$C$2:$C$200),0))</f>
        <v/>
      </c>
      <c r="AS244" s="88">
        <f>IF(OR(AS$1="",$BE244=0),"",IFERROR(LOOKUP(2,1/((Budgets!$A$2:$A$200=AS$1)*(Budgets!$B$2:$B$200&lt;=$A244)),Budgets!$C$2:$C$200),0))</f>
        <v/>
      </c>
      <c r="AT244" s="88">
        <f>IF(OR(AT$1="",$BE244=0),"",IFERROR(LOOKUP(2,1/((Budgets!$A$2:$A$200=AT$1)*(Budgets!$B$2:$B$200&lt;=$A244)),Budgets!$C$2:$C$200),0))</f>
        <v/>
      </c>
      <c r="AU244" s="88">
        <f>IF(OR(AU$1="",$BE244=0),"",IFERROR(LOOKUP(2,1/((Budgets!$A$2:$A$200=AU$1)*(Budgets!$B$2:$B$200&lt;=$A244)),Budgets!$C$2:$C$200),0))</f>
        <v/>
      </c>
      <c r="AV244" s="88">
        <f>IF(OR(AV$1="",$BE244=0),"",IFERROR(LOOKUP(2,1/((Budgets!$A$2:$A$200=AV$1)*(Budgets!$B$2:$B$200&lt;=$A244)),Budgets!$C$2:$C$200),0))</f>
        <v/>
      </c>
      <c r="AW244" s="88">
        <f>IF(OR(AW$1="",$BE244=0),"",IFERROR(LOOKUP(2,1/((Budgets!$A$2:$A$200=AW$1)*(Budgets!$B$2:$B$200&lt;=$A244)),Budgets!$C$2:$C$200),0))</f>
        <v/>
      </c>
      <c r="AX244" s="88">
        <f>IF(OR(AX$1="",$BE244=0),"",IFERROR(LOOKUP(2,1/((Budgets!$A$2:$A$200=AX$1)*(Budgets!$B$2:$B$200&lt;=$A244)),Budgets!$C$2:$C$200),0))</f>
        <v/>
      </c>
      <c r="AY244" s="88">
        <f>IF(OR(AY$1="",$BE244=0),"",IFERROR(LOOKUP(2,1/((Budgets!$A$2:$A$200=AY$1)*(Budgets!$B$2:$B$200&lt;=$A244)),Budgets!$C$2:$C$200),0))</f>
        <v/>
      </c>
      <c r="AZ244" s="88">
        <f>IF(OR(AZ$1="",$BE244=0),"",IFERROR(LOOKUP(2,1/((Budgets!$A$2:$A$200=AZ$1)*(Budgets!$B$2:$B$200&lt;=$A244)),Budgets!$C$2:$C$200),0))</f>
        <v/>
      </c>
      <c r="BA244" s="88">
        <f>IF(OR(BA$1="",$BE244=0),"",IFERROR(LOOKUP(2,1/((Budgets!$A$2:$A$200=BA$1)*(Budgets!$B$2:$B$200&lt;=$A244)),Budgets!$C$2:$C$200),0))</f>
        <v/>
      </c>
      <c r="BB244" s="88">
        <f>IF(OR(BB$1="",$BE244=0),"",IFERROR(LOOKUP(2,1/((Budgets!$A$2:$A$200=BB$1)*(Budgets!$B$2:$B$200&lt;=$A244)),Budgets!$C$2:$C$200),0))</f>
        <v/>
      </c>
      <c r="BC244" s="88">
        <f>IF(OR(BC$1="",$BE244=0),"",IFERROR(LOOKUP(2,1/((Budgets!$A$2:$A$200=BC$1)*(Budgets!$B$2:$B$200&lt;=$A244)),Budgets!$C$2:$C$200),0))</f>
        <v/>
      </c>
      <c r="BE244" s="67">
        <f>COUNTIFS(Entries!$A$2:$A$5000,$A244)</f>
        <v/>
      </c>
    </row>
    <row r="245" ht="15" customHeight="1" s="43">
      <c r="A245" s="87" t="n">
        <v>46844</v>
      </c>
      <c r="B245" s="88">
        <f>IF($BE245=0,NA(),SUMIFS(Entries!$D$2:$D$5000,Entries!$C$2:$C$5000,"Income",Entries!$A$2:$A$5000,$A245))</f>
        <v/>
      </c>
      <c r="C245" s="88">
        <f>IF($BE245=0,"",SUMIFS(Entries!$D$2:$D$5000,Entries!$C$2:$C$5000,"Actual",Entries!$A$2:$A$5000,$A245))</f>
        <v/>
      </c>
      <c r="D245" s="88">
        <f>IF($BE245=0,"",SUMIFS(Entries!$D$2:$D$5000,Entries!$C$2:$C$5000,"One-off",Entries!$A$2:$A$5000,$A245))</f>
        <v/>
      </c>
      <c r="E245" s="88">
        <f>IF($BE245=0,NA(),C245+D245)</f>
        <v/>
      </c>
      <c r="F245" s="88">
        <f>IF($BE245=0,"",SUM(AJ245:BC245))</f>
        <v/>
      </c>
      <c r="G245" s="88">
        <f>IF($BE245=0,"",B245-E245)</f>
        <v/>
      </c>
      <c r="H245" s="88">
        <f>IF($BE245=0,"",SUM($G$2:G245))</f>
        <v/>
      </c>
      <c r="I245" s="88">
        <f>IF($BE245=0,"",SUMIFS(Entries!$F$2:$F$5000,Entries!$A$2:$A$5000,$A245))</f>
        <v/>
      </c>
      <c r="J245" s="88">
        <f>IF($BE245=0,NA(),H245+SUM($I$2:I245))</f>
        <v/>
      </c>
      <c r="K245" s="88">
        <f>IF($BE245=0,"",SUMIFS(Entries!$D$2:$D$5000,Entries!$C$2:$C$5000,"Income",Entries!$A$2:$A$5000,"&gt;="&amp;EDATE($A245,-11),Entries!$A$2:$A$5000,"&lt;="&amp;$A245)/12)</f>
        <v/>
      </c>
      <c r="L245" s="88">
        <f>IF($BE245=0,"",(SUMIFS(Entries!$D$2:$D$5000,Entries!$C$2:$C$5000,"Actual",Entries!$A$2:$A$5000,"&gt;="&amp;EDATE($A245,-11),Entries!$A$2:$A$5000,"&lt;="&amp;$A245)+SUMIFS(Entries!$D$2:$D$5000,Entries!$C$2:$C$5000,"One-off",Entries!$A$2:$A$5000,"&gt;="&amp;EDATE($A245,-11),Entries!$A$2:$A$5000,"&lt;="&amp;$A245))/12)</f>
        <v/>
      </c>
      <c r="M245" s="71">
        <f>IF($BE245=0,NA(),IFERROR((K245-L245)/K245,0))</f>
        <v/>
      </c>
      <c r="O245" s="88">
        <f>IF(OR(O$1="",$BE245=0),"",SUMIFS(Entries!$D$2:$D$5000,Entries!$C$2:$C$5000,"Actual",Entries!$A$2:$A$5000,$A245,Entries!$B$2:$B$5000,O$1))</f>
        <v/>
      </c>
      <c r="P245" s="88">
        <f>IF(OR(P$1="",$BE245=0),"",SUMIFS(Entries!$D$2:$D$5000,Entries!$C$2:$C$5000,"Actual",Entries!$A$2:$A$5000,$A245,Entries!$B$2:$B$5000,P$1))</f>
        <v/>
      </c>
      <c r="Q245" s="88">
        <f>IF(OR(Q$1="",$BE245=0),"",SUMIFS(Entries!$D$2:$D$5000,Entries!$C$2:$C$5000,"Actual",Entries!$A$2:$A$5000,$A245,Entries!$B$2:$B$5000,Q$1))</f>
        <v/>
      </c>
      <c r="R245" s="88">
        <f>IF(OR(R$1="",$BE245=0),"",SUMIFS(Entries!$D$2:$D$5000,Entries!$C$2:$C$5000,"Actual",Entries!$A$2:$A$5000,$A245,Entries!$B$2:$B$5000,R$1))</f>
        <v/>
      </c>
      <c r="S245" s="88">
        <f>IF(OR(S$1="",$BE245=0),"",SUMIFS(Entries!$D$2:$D$5000,Entries!$C$2:$C$5000,"Actual",Entries!$A$2:$A$5000,$A245,Entries!$B$2:$B$5000,S$1))</f>
        <v/>
      </c>
      <c r="T245" s="88">
        <f>IF(OR(T$1="",$BE245=0),"",SUMIFS(Entries!$D$2:$D$5000,Entries!$C$2:$C$5000,"Actual",Entries!$A$2:$A$5000,$A245,Entries!$B$2:$B$5000,T$1))</f>
        <v/>
      </c>
      <c r="U245" s="88">
        <f>IF(OR(U$1="",$BE245=0),"",SUMIFS(Entries!$D$2:$D$5000,Entries!$C$2:$C$5000,"Actual",Entries!$A$2:$A$5000,$A245,Entries!$B$2:$B$5000,U$1))</f>
        <v/>
      </c>
      <c r="V245" s="88">
        <f>IF(OR(V$1="",$BE245=0),"",SUMIFS(Entries!$D$2:$D$5000,Entries!$C$2:$C$5000,"Actual",Entries!$A$2:$A$5000,$A245,Entries!$B$2:$B$5000,V$1))</f>
        <v/>
      </c>
      <c r="W245" s="88">
        <f>IF(OR(W$1="",$BE245=0),"",SUMIFS(Entries!$D$2:$D$5000,Entries!$C$2:$C$5000,"Actual",Entries!$A$2:$A$5000,$A245,Entries!$B$2:$B$5000,W$1))</f>
        <v/>
      </c>
      <c r="X245" s="88">
        <f>IF(OR(X$1="",$BE245=0),"",SUMIFS(Entries!$D$2:$D$5000,Entries!$C$2:$C$5000,"Actual",Entries!$A$2:$A$5000,$A245,Entries!$B$2:$B$5000,X$1))</f>
        <v/>
      </c>
      <c r="Y245" s="88">
        <f>IF(OR(Y$1="",$BE245=0),"",SUMIFS(Entries!$D$2:$D$5000,Entries!$C$2:$C$5000,"Actual",Entries!$A$2:$A$5000,$A245,Entries!$B$2:$B$5000,Y$1))</f>
        <v/>
      </c>
      <c r="Z245" s="88">
        <f>IF(OR(Z$1="",$BE245=0),"",SUMIFS(Entries!$D$2:$D$5000,Entries!$C$2:$C$5000,"Actual",Entries!$A$2:$A$5000,$A245,Entries!$B$2:$B$5000,Z$1))</f>
        <v/>
      </c>
      <c r="AA245" s="88">
        <f>IF(OR(AA$1="",$BE245=0),"",SUMIFS(Entries!$D$2:$D$5000,Entries!$C$2:$C$5000,"Actual",Entries!$A$2:$A$5000,$A245,Entries!$B$2:$B$5000,AA$1))</f>
        <v/>
      </c>
      <c r="AB245" s="88">
        <f>IF(OR(AB$1="",$BE245=0),"",SUMIFS(Entries!$D$2:$D$5000,Entries!$C$2:$C$5000,"Actual",Entries!$A$2:$A$5000,$A245,Entries!$B$2:$B$5000,AB$1))</f>
        <v/>
      </c>
      <c r="AC245" s="88">
        <f>IF(OR(AC$1="",$BE245=0),"",SUMIFS(Entries!$D$2:$D$5000,Entries!$C$2:$C$5000,"Actual",Entries!$A$2:$A$5000,$A245,Entries!$B$2:$B$5000,AC$1))</f>
        <v/>
      </c>
      <c r="AD245" s="88">
        <f>IF(OR(AD$1="",$BE245=0),"",SUMIFS(Entries!$D$2:$D$5000,Entries!$C$2:$C$5000,"Actual",Entries!$A$2:$A$5000,$A245,Entries!$B$2:$B$5000,AD$1))</f>
        <v/>
      </c>
      <c r="AE245" s="88">
        <f>IF(OR(AE$1="",$BE245=0),"",SUMIFS(Entries!$D$2:$D$5000,Entries!$C$2:$C$5000,"Actual",Entries!$A$2:$A$5000,$A245,Entries!$B$2:$B$5000,AE$1))</f>
        <v/>
      </c>
      <c r="AF245" s="88">
        <f>IF(OR(AF$1="",$BE245=0),"",SUMIFS(Entries!$D$2:$D$5000,Entries!$C$2:$C$5000,"Actual",Entries!$A$2:$A$5000,$A245,Entries!$B$2:$B$5000,AF$1))</f>
        <v/>
      </c>
      <c r="AG245" s="88">
        <f>IF(OR(AG$1="",$BE245=0),"",SUMIFS(Entries!$D$2:$D$5000,Entries!$C$2:$C$5000,"Actual",Entries!$A$2:$A$5000,$A245,Entries!$B$2:$B$5000,AG$1))</f>
        <v/>
      </c>
      <c r="AH245" s="88">
        <f>IF(OR(AH$1="",$BE245=0),"",SUMIFS(Entries!$D$2:$D$5000,Entries!$C$2:$C$5000,"Actual",Entries!$A$2:$A$5000,$A245,Entries!$B$2:$B$5000,AH$1))</f>
        <v/>
      </c>
      <c r="AJ245" s="88">
        <f>IF(OR(AJ$1="",$BE245=0),"",IFERROR(LOOKUP(2,1/((Budgets!$A$2:$A$200=AJ$1)*(Budgets!$B$2:$B$200&lt;=$A245)),Budgets!$C$2:$C$200),0))</f>
        <v/>
      </c>
      <c r="AK245" s="88">
        <f>IF(OR(AK$1="",$BE245=0),"",IFERROR(LOOKUP(2,1/((Budgets!$A$2:$A$200=AK$1)*(Budgets!$B$2:$B$200&lt;=$A245)),Budgets!$C$2:$C$200),0))</f>
        <v/>
      </c>
      <c r="AL245" s="88">
        <f>IF(OR(AL$1="",$BE245=0),"",IFERROR(LOOKUP(2,1/((Budgets!$A$2:$A$200=AL$1)*(Budgets!$B$2:$B$200&lt;=$A245)),Budgets!$C$2:$C$200),0))</f>
        <v/>
      </c>
      <c r="AM245" s="88">
        <f>IF(OR(AM$1="",$BE245=0),"",IFERROR(LOOKUP(2,1/((Budgets!$A$2:$A$200=AM$1)*(Budgets!$B$2:$B$200&lt;=$A245)),Budgets!$C$2:$C$200),0))</f>
        <v/>
      </c>
      <c r="AN245" s="88">
        <f>IF(OR(AN$1="",$BE245=0),"",IFERROR(LOOKUP(2,1/((Budgets!$A$2:$A$200=AN$1)*(Budgets!$B$2:$B$200&lt;=$A245)),Budgets!$C$2:$C$200),0))</f>
        <v/>
      </c>
      <c r="AO245" s="88">
        <f>IF(OR(AO$1="",$BE245=0),"",IFERROR(LOOKUP(2,1/((Budgets!$A$2:$A$200=AO$1)*(Budgets!$B$2:$B$200&lt;=$A245)),Budgets!$C$2:$C$200),0))</f>
        <v/>
      </c>
      <c r="AP245" s="88">
        <f>IF(OR(AP$1="",$BE245=0),"",IFERROR(LOOKUP(2,1/((Budgets!$A$2:$A$200=AP$1)*(Budgets!$B$2:$B$200&lt;=$A245)),Budgets!$C$2:$C$200),0))</f>
        <v/>
      </c>
      <c r="AQ245" s="88">
        <f>IF(OR(AQ$1="",$BE245=0),"",IFERROR(LOOKUP(2,1/((Budgets!$A$2:$A$200=AQ$1)*(Budgets!$B$2:$B$200&lt;=$A245)),Budgets!$C$2:$C$200),0))</f>
        <v/>
      </c>
      <c r="AR245" s="88">
        <f>IF(OR(AR$1="",$BE245=0),"",IFERROR(LOOKUP(2,1/((Budgets!$A$2:$A$200=AR$1)*(Budgets!$B$2:$B$200&lt;=$A245)),Budgets!$C$2:$C$200),0))</f>
        <v/>
      </c>
      <c r="AS245" s="88">
        <f>IF(OR(AS$1="",$BE245=0),"",IFERROR(LOOKUP(2,1/((Budgets!$A$2:$A$200=AS$1)*(Budgets!$B$2:$B$200&lt;=$A245)),Budgets!$C$2:$C$200),0))</f>
        <v/>
      </c>
      <c r="AT245" s="88">
        <f>IF(OR(AT$1="",$BE245=0),"",IFERROR(LOOKUP(2,1/((Budgets!$A$2:$A$200=AT$1)*(Budgets!$B$2:$B$200&lt;=$A245)),Budgets!$C$2:$C$200),0))</f>
        <v/>
      </c>
      <c r="AU245" s="88">
        <f>IF(OR(AU$1="",$BE245=0),"",IFERROR(LOOKUP(2,1/((Budgets!$A$2:$A$200=AU$1)*(Budgets!$B$2:$B$200&lt;=$A245)),Budgets!$C$2:$C$200),0))</f>
        <v/>
      </c>
      <c r="AV245" s="88">
        <f>IF(OR(AV$1="",$BE245=0),"",IFERROR(LOOKUP(2,1/((Budgets!$A$2:$A$200=AV$1)*(Budgets!$B$2:$B$200&lt;=$A245)),Budgets!$C$2:$C$200),0))</f>
        <v/>
      </c>
      <c r="AW245" s="88">
        <f>IF(OR(AW$1="",$BE245=0),"",IFERROR(LOOKUP(2,1/((Budgets!$A$2:$A$200=AW$1)*(Budgets!$B$2:$B$200&lt;=$A245)),Budgets!$C$2:$C$200),0))</f>
        <v/>
      </c>
      <c r="AX245" s="88">
        <f>IF(OR(AX$1="",$BE245=0),"",IFERROR(LOOKUP(2,1/((Budgets!$A$2:$A$200=AX$1)*(Budgets!$B$2:$B$200&lt;=$A245)),Budgets!$C$2:$C$200),0))</f>
        <v/>
      </c>
      <c r="AY245" s="88">
        <f>IF(OR(AY$1="",$BE245=0),"",IFERROR(LOOKUP(2,1/((Budgets!$A$2:$A$200=AY$1)*(Budgets!$B$2:$B$200&lt;=$A245)),Budgets!$C$2:$C$200),0))</f>
        <v/>
      </c>
      <c r="AZ245" s="88">
        <f>IF(OR(AZ$1="",$BE245=0),"",IFERROR(LOOKUP(2,1/((Budgets!$A$2:$A$200=AZ$1)*(Budgets!$B$2:$B$200&lt;=$A245)),Budgets!$C$2:$C$200),0))</f>
        <v/>
      </c>
      <c r="BA245" s="88">
        <f>IF(OR(BA$1="",$BE245=0),"",IFERROR(LOOKUP(2,1/((Budgets!$A$2:$A$200=BA$1)*(Budgets!$B$2:$B$200&lt;=$A245)),Budgets!$C$2:$C$200),0))</f>
        <v/>
      </c>
      <c r="BB245" s="88">
        <f>IF(OR(BB$1="",$BE245=0),"",IFERROR(LOOKUP(2,1/((Budgets!$A$2:$A$200=BB$1)*(Budgets!$B$2:$B$200&lt;=$A245)),Budgets!$C$2:$C$200),0))</f>
        <v/>
      </c>
      <c r="BC245" s="88">
        <f>IF(OR(BC$1="",$BE245=0),"",IFERROR(LOOKUP(2,1/((Budgets!$A$2:$A$200=BC$1)*(Budgets!$B$2:$B$200&lt;=$A245)),Budgets!$C$2:$C$200),0))</f>
        <v/>
      </c>
      <c r="BE245" s="67">
        <f>COUNTIFS(Entries!$A$2:$A$5000,$A245)</f>
        <v/>
      </c>
    </row>
    <row r="246" ht="15" customHeight="1" s="43">
      <c r="A246" s="87" t="n">
        <v>46874</v>
      </c>
      <c r="B246" s="88">
        <f>IF($BE246=0,NA(),SUMIFS(Entries!$D$2:$D$5000,Entries!$C$2:$C$5000,"Income",Entries!$A$2:$A$5000,$A246))</f>
        <v/>
      </c>
      <c r="C246" s="88">
        <f>IF($BE246=0,"",SUMIFS(Entries!$D$2:$D$5000,Entries!$C$2:$C$5000,"Actual",Entries!$A$2:$A$5000,$A246))</f>
        <v/>
      </c>
      <c r="D246" s="88">
        <f>IF($BE246=0,"",SUMIFS(Entries!$D$2:$D$5000,Entries!$C$2:$C$5000,"One-off",Entries!$A$2:$A$5000,$A246))</f>
        <v/>
      </c>
      <c r="E246" s="88">
        <f>IF($BE246=0,NA(),C246+D246)</f>
        <v/>
      </c>
      <c r="F246" s="88">
        <f>IF($BE246=0,"",SUM(AJ246:BC246))</f>
        <v/>
      </c>
      <c r="G246" s="88">
        <f>IF($BE246=0,"",B246-E246)</f>
        <v/>
      </c>
      <c r="H246" s="88">
        <f>IF($BE246=0,"",SUM($G$2:G246))</f>
        <v/>
      </c>
      <c r="I246" s="88">
        <f>IF($BE246=0,"",SUMIFS(Entries!$F$2:$F$5000,Entries!$A$2:$A$5000,$A246))</f>
        <v/>
      </c>
      <c r="J246" s="88">
        <f>IF($BE246=0,NA(),H246+SUM($I$2:I246))</f>
        <v/>
      </c>
      <c r="K246" s="88">
        <f>IF($BE246=0,"",SUMIFS(Entries!$D$2:$D$5000,Entries!$C$2:$C$5000,"Income",Entries!$A$2:$A$5000,"&gt;="&amp;EDATE($A246,-11),Entries!$A$2:$A$5000,"&lt;="&amp;$A246)/12)</f>
        <v/>
      </c>
      <c r="L246" s="88">
        <f>IF($BE246=0,"",(SUMIFS(Entries!$D$2:$D$5000,Entries!$C$2:$C$5000,"Actual",Entries!$A$2:$A$5000,"&gt;="&amp;EDATE($A246,-11),Entries!$A$2:$A$5000,"&lt;="&amp;$A246)+SUMIFS(Entries!$D$2:$D$5000,Entries!$C$2:$C$5000,"One-off",Entries!$A$2:$A$5000,"&gt;="&amp;EDATE($A246,-11),Entries!$A$2:$A$5000,"&lt;="&amp;$A246))/12)</f>
        <v/>
      </c>
      <c r="M246" s="71">
        <f>IF($BE246=0,NA(),IFERROR((K246-L246)/K246,0))</f>
        <v/>
      </c>
      <c r="O246" s="88">
        <f>IF(OR(O$1="",$BE246=0),"",SUMIFS(Entries!$D$2:$D$5000,Entries!$C$2:$C$5000,"Actual",Entries!$A$2:$A$5000,$A246,Entries!$B$2:$B$5000,O$1))</f>
        <v/>
      </c>
      <c r="P246" s="88">
        <f>IF(OR(P$1="",$BE246=0),"",SUMIFS(Entries!$D$2:$D$5000,Entries!$C$2:$C$5000,"Actual",Entries!$A$2:$A$5000,$A246,Entries!$B$2:$B$5000,P$1))</f>
        <v/>
      </c>
      <c r="Q246" s="88">
        <f>IF(OR(Q$1="",$BE246=0),"",SUMIFS(Entries!$D$2:$D$5000,Entries!$C$2:$C$5000,"Actual",Entries!$A$2:$A$5000,$A246,Entries!$B$2:$B$5000,Q$1))</f>
        <v/>
      </c>
      <c r="R246" s="88">
        <f>IF(OR(R$1="",$BE246=0),"",SUMIFS(Entries!$D$2:$D$5000,Entries!$C$2:$C$5000,"Actual",Entries!$A$2:$A$5000,$A246,Entries!$B$2:$B$5000,R$1))</f>
        <v/>
      </c>
      <c r="S246" s="88">
        <f>IF(OR(S$1="",$BE246=0),"",SUMIFS(Entries!$D$2:$D$5000,Entries!$C$2:$C$5000,"Actual",Entries!$A$2:$A$5000,$A246,Entries!$B$2:$B$5000,S$1))</f>
        <v/>
      </c>
      <c r="T246" s="88">
        <f>IF(OR(T$1="",$BE246=0),"",SUMIFS(Entries!$D$2:$D$5000,Entries!$C$2:$C$5000,"Actual",Entries!$A$2:$A$5000,$A246,Entries!$B$2:$B$5000,T$1))</f>
        <v/>
      </c>
      <c r="U246" s="88">
        <f>IF(OR(U$1="",$BE246=0),"",SUMIFS(Entries!$D$2:$D$5000,Entries!$C$2:$C$5000,"Actual",Entries!$A$2:$A$5000,$A246,Entries!$B$2:$B$5000,U$1))</f>
        <v/>
      </c>
      <c r="V246" s="88">
        <f>IF(OR(V$1="",$BE246=0),"",SUMIFS(Entries!$D$2:$D$5000,Entries!$C$2:$C$5000,"Actual",Entries!$A$2:$A$5000,$A246,Entries!$B$2:$B$5000,V$1))</f>
        <v/>
      </c>
      <c r="W246" s="88">
        <f>IF(OR(W$1="",$BE246=0),"",SUMIFS(Entries!$D$2:$D$5000,Entries!$C$2:$C$5000,"Actual",Entries!$A$2:$A$5000,$A246,Entries!$B$2:$B$5000,W$1))</f>
        <v/>
      </c>
      <c r="X246" s="88">
        <f>IF(OR(X$1="",$BE246=0),"",SUMIFS(Entries!$D$2:$D$5000,Entries!$C$2:$C$5000,"Actual",Entries!$A$2:$A$5000,$A246,Entries!$B$2:$B$5000,X$1))</f>
        <v/>
      </c>
      <c r="Y246" s="88">
        <f>IF(OR(Y$1="",$BE246=0),"",SUMIFS(Entries!$D$2:$D$5000,Entries!$C$2:$C$5000,"Actual",Entries!$A$2:$A$5000,$A246,Entries!$B$2:$B$5000,Y$1))</f>
        <v/>
      </c>
      <c r="Z246" s="88">
        <f>IF(OR(Z$1="",$BE246=0),"",SUMIFS(Entries!$D$2:$D$5000,Entries!$C$2:$C$5000,"Actual",Entries!$A$2:$A$5000,$A246,Entries!$B$2:$B$5000,Z$1))</f>
        <v/>
      </c>
      <c r="AA246" s="88">
        <f>IF(OR(AA$1="",$BE246=0),"",SUMIFS(Entries!$D$2:$D$5000,Entries!$C$2:$C$5000,"Actual",Entries!$A$2:$A$5000,$A246,Entries!$B$2:$B$5000,AA$1))</f>
        <v/>
      </c>
      <c r="AB246" s="88">
        <f>IF(OR(AB$1="",$BE246=0),"",SUMIFS(Entries!$D$2:$D$5000,Entries!$C$2:$C$5000,"Actual",Entries!$A$2:$A$5000,$A246,Entries!$B$2:$B$5000,AB$1))</f>
        <v/>
      </c>
      <c r="AC246" s="88">
        <f>IF(OR(AC$1="",$BE246=0),"",SUMIFS(Entries!$D$2:$D$5000,Entries!$C$2:$C$5000,"Actual",Entries!$A$2:$A$5000,$A246,Entries!$B$2:$B$5000,AC$1))</f>
        <v/>
      </c>
      <c r="AD246" s="88">
        <f>IF(OR(AD$1="",$BE246=0),"",SUMIFS(Entries!$D$2:$D$5000,Entries!$C$2:$C$5000,"Actual",Entries!$A$2:$A$5000,$A246,Entries!$B$2:$B$5000,AD$1))</f>
        <v/>
      </c>
      <c r="AE246" s="88">
        <f>IF(OR(AE$1="",$BE246=0),"",SUMIFS(Entries!$D$2:$D$5000,Entries!$C$2:$C$5000,"Actual",Entries!$A$2:$A$5000,$A246,Entries!$B$2:$B$5000,AE$1))</f>
        <v/>
      </c>
      <c r="AF246" s="88">
        <f>IF(OR(AF$1="",$BE246=0),"",SUMIFS(Entries!$D$2:$D$5000,Entries!$C$2:$C$5000,"Actual",Entries!$A$2:$A$5000,$A246,Entries!$B$2:$B$5000,AF$1))</f>
        <v/>
      </c>
      <c r="AG246" s="88">
        <f>IF(OR(AG$1="",$BE246=0),"",SUMIFS(Entries!$D$2:$D$5000,Entries!$C$2:$C$5000,"Actual",Entries!$A$2:$A$5000,$A246,Entries!$B$2:$B$5000,AG$1))</f>
        <v/>
      </c>
      <c r="AH246" s="88">
        <f>IF(OR(AH$1="",$BE246=0),"",SUMIFS(Entries!$D$2:$D$5000,Entries!$C$2:$C$5000,"Actual",Entries!$A$2:$A$5000,$A246,Entries!$B$2:$B$5000,AH$1))</f>
        <v/>
      </c>
      <c r="AJ246" s="88">
        <f>IF(OR(AJ$1="",$BE246=0),"",IFERROR(LOOKUP(2,1/((Budgets!$A$2:$A$200=AJ$1)*(Budgets!$B$2:$B$200&lt;=$A246)),Budgets!$C$2:$C$200),0))</f>
        <v/>
      </c>
      <c r="AK246" s="88">
        <f>IF(OR(AK$1="",$BE246=0),"",IFERROR(LOOKUP(2,1/((Budgets!$A$2:$A$200=AK$1)*(Budgets!$B$2:$B$200&lt;=$A246)),Budgets!$C$2:$C$200),0))</f>
        <v/>
      </c>
      <c r="AL246" s="88">
        <f>IF(OR(AL$1="",$BE246=0),"",IFERROR(LOOKUP(2,1/((Budgets!$A$2:$A$200=AL$1)*(Budgets!$B$2:$B$200&lt;=$A246)),Budgets!$C$2:$C$200),0))</f>
        <v/>
      </c>
      <c r="AM246" s="88">
        <f>IF(OR(AM$1="",$BE246=0),"",IFERROR(LOOKUP(2,1/((Budgets!$A$2:$A$200=AM$1)*(Budgets!$B$2:$B$200&lt;=$A246)),Budgets!$C$2:$C$200),0))</f>
        <v/>
      </c>
      <c r="AN246" s="88">
        <f>IF(OR(AN$1="",$BE246=0),"",IFERROR(LOOKUP(2,1/((Budgets!$A$2:$A$200=AN$1)*(Budgets!$B$2:$B$200&lt;=$A246)),Budgets!$C$2:$C$200),0))</f>
        <v/>
      </c>
      <c r="AO246" s="88">
        <f>IF(OR(AO$1="",$BE246=0),"",IFERROR(LOOKUP(2,1/((Budgets!$A$2:$A$200=AO$1)*(Budgets!$B$2:$B$200&lt;=$A246)),Budgets!$C$2:$C$200),0))</f>
        <v/>
      </c>
      <c r="AP246" s="88">
        <f>IF(OR(AP$1="",$BE246=0),"",IFERROR(LOOKUP(2,1/((Budgets!$A$2:$A$200=AP$1)*(Budgets!$B$2:$B$200&lt;=$A246)),Budgets!$C$2:$C$200),0))</f>
        <v/>
      </c>
      <c r="AQ246" s="88">
        <f>IF(OR(AQ$1="",$BE246=0),"",IFERROR(LOOKUP(2,1/((Budgets!$A$2:$A$200=AQ$1)*(Budgets!$B$2:$B$200&lt;=$A246)),Budgets!$C$2:$C$200),0))</f>
        <v/>
      </c>
      <c r="AR246" s="88">
        <f>IF(OR(AR$1="",$BE246=0),"",IFERROR(LOOKUP(2,1/((Budgets!$A$2:$A$200=AR$1)*(Budgets!$B$2:$B$200&lt;=$A246)),Budgets!$C$2:$C$200),0))</f>
        <v/>
      </c>
      <c r="AS246" s="88">
        <f>IF(OR(AS$1="",$BE246=0),"",IFERROR(LOOKUP(2,1/((Budgets!$A$2:$A$200=AS$1)*(Budgets!$B$2:$B$200&lt;=$A246)),Budgets!$C$2:$C$200),0))</f>
        <v/>
      </c>
      <c r="AT246" s="88">
        <f>IF(OR(AT$1="",$BE246=0),"",IFERROR(LOOKUP(2,1/((Budgets!$A$2:$A$200=AT$1)*(Budgets!$B$2:$B$200&lt;=$A246)),Budgets!$C$2:$C$200),0))</f>
        <v/>
      </c>
      <c r="AU246" s="88">
        <f>IF(OR(AU$1="",$BE246=0),"",IFERROR(LOOKUP(2,1/((Budgets!$A$2:$A$200=AU$1)*(Budgets!$B$2:$B$200&lt;=$A246)),Budgets!$C$2:$C$200),0))</f>
        <v/>
      </c>
      <c r="AV246" s="88">
        <f>IF(OR(AV$1="",$BE246=0),"",IFERROR(LOOKUP(2,1/((Budgets!$A$2:$A$200=AV$1)*(Budgets!$B$2:$B$200&lt;=$A246)),Budgets!$C$2:$C$200),0))</f>
        <v/>
      </c>
      <c r="AW246" s="88">
        <f>IF(OR(AW$1="",$BE246=0),"",IFERROR(LOOKUP(2,1/((Budgets!$A$2:$A$200=AW$1)*(Budgets!$B$2:$B$200&lt;=$A246)),Budgets!$C$2:$C$200),0))</f>
        <v/>
      </c>
      <c r="AX246" s="88">
        <f>IF(OR(AX$1="",$BE246=0),"",IFERROR(LOOKUP(2,1/((Budgets!$A$2:$A$200=AX$1)*(Budgets!$B$2:$B$200&lt;=$A246)),Budgets!$C$2:$C$200),0))</f>
        <v/>
      </c>
      <c r="AY246" s="88">
        <f>IF(OR(AY$1="",$BE246=0),"",IFERROR(LOOKUP(2,1/((Budgets!$A$2:$A$200=AY$1)*(Budgets!$B$2:$B$200&lt;=$A246)),Budgets!$C$2:$C$200),0))</f>
        <v/>
      </c>
      <c r="AZ246" s="88">
        <f>IF(OR(AZ$1="",$BE246=0),"",IFERROR(LOOKUP(2,1/((Budgets!$A$2:$A$200=AZ$1)*(Budgets!$B$2:$B$200&lt;=$A246)),Budgets!$C$2:$C$200),0))</f>
        <v/>
      </c>
      <c r="BA246" s="88">
        <f>IF(OR(BA$1="",$BE246=0),"",IFERROR(LOOKUP(2,1/((Budgets!$A$2:$A$200=BA$1)*(Budgets!$B$2:$B$200&lt;=$A246)),Budgets!$C$2:$C$200),0))</f>
        <v/>
      </c>
      <c r="BB246" s="88">
        <f>IF(OR(BB$1="",$BE246=0),"",IFERROR(LOOKUP(2,1/((Budgets!$A$2:$A$200=BB$1)*(Budgets!$B$2:$B$200&lt;=$A246)),Budgets!$C$2:$C$200),0))</f>
        <v/>
      </c>
      <c r="BC246" s="88">
        <f>IF(OR(BC$1="",$BE246=0),"",IFERROR(LOOKUP(2,1/((Budgets!$A$2:$A$200=BC$1)*(Budgets!$B$2:$B$200&lt;=$A246)),Budgets!$C$2:$C$200),0))</f>
        <v/>
      </c>
      <c r="BE246" s="67">
        <f>COUNTIFS(Entries!$A$2:$A$5000,$A246)</f>
        <v/>
      </c>
    </row>
    <row r="247" ht="15" customHeight="1" s="43">
      <c r="A247" s="87" t="n">
        <v>46905</v>
      </c>
      <c r="B247" s="88">
        <f>IF($BE247=0,NA(),SUMIFS(Entries!$D$2:$D$5000,Entries!$C$2:$C$5000,"Income",Entries!$A$2:$A$5000,$A247))</f>
        <v/>
      </c>
      <c r="C247" s="88">
        <f>IF($BE247=0,"",SUMIFS(Entries!$D$2:$D$5000,Entries!$C$2:$C$5000,"Actual",Entries!$A$2:$A$5000,$A247))</f>
        <v/>
      </c>
      <c r="D247" s="88">
        <f>IF($BE247=0,"",SUMIFS(Entries!$D$2:$D$5000,Entries!$C$2:$C$5000,"One-off",Entries!$A$2:$A$5000,$A247))</f>
        <v/>
      </c>
      <c r="E247" s="88">
        <f>IF($BE247=0,NA(),C247+D247)</f>
        <v/>
      </c>
      <c r="F247" s="88">
        <f>IF($BE247=0,"",SUM(AJ247:BC247))</f>
        <v/>
      </c>
      <c r="G247" s="88">
        <f>IF($BE247=0,"",B247-E247)</f>
        <v/>
      </c>
      <c r="H247" s="88">
        <f>IF($BE247=0,"",SUM($G$2:G247))</f>
        <v/>
      </c>
      <c r="I247" s="88">
        <f>IF($BE247=0,"",SUMIFS(Entries!$F$2:$F$5000,Entries!$A$2:$A$5000,$A247))</f>
        <v/>
      </c>
      <c r="J247" s="88">
        <f>IF($BE247=0,NA(),H247+SUM($I$2:I247))</f>
        <v/>
      </c>
      <c r="K247" s="88">
        <f>IF($BE247=0,"",SUMIFS(Entries!$D$2:$D$5000,Entries!$C$2:$C$5000,"Income",Entries!$A$2:$A$5000,"&gt;="&amp;EDATE($A247,-11),Entries!$A$2:$A$5000,"&lt;="&amp;$A247)/12)</f>
        <v/>
      </c>
      <c r="L247" s="88">
        <f>IF($BE247=0,"",(SUMIFS(Entries!$D$2:$D$5000,Entries!$C$2:$C$5000,"Actual",Entries!$A$2:$A$5000,"&gt;="&amp;EDATE($A247,-11),Entries!$A$2:$A$5000,"&lt;="&amp;$A247)+SUMIFS(Entries!$D$2:$D$5000,Entries!$C$2:$C$5000,"One-off",Entries!$A$2:$A$5000,"&gt;="&amp;EDATE($A247,-11),Entries!$A$2:$A$5000,"&lt;="&amp;$A247))/12)</f>
        <v/>
      </c>
      <c r="M247" s="71">
        <f>IF($BE247=0,NA(),IFERROR((K247-L247)/K247,0))</f>
        <v/>
      </c>
      <c r="O247" s="88">
        <f>IF(OR(O$1="",$BE247=0),"",SUMIFS(Entries!$D$2:$D$5000,Entries!$C$2:$C$5000,"Actual",Entries!$A$2:$A$5000,$A247,Entries!$B$2:$B$5000,O$1))</f>
        <v/>
      </c>
      <c r="P247" s="88">
        <f>IF(OR(P$1="",$BE247=0),"",SUMIFS(Entries!$D$2:$D$5000,Entries!$C$2:$C$5000,"Actual",Entries!$A$2:$A$5000,$A247,Entries!$B$2:$B$5000,P$1))</f>
        <v/>
      </c>
      <c r="Q247" s="88">
        <f>IF(OR(Q$1="",$BE247=0),"",SUMIFS(Entries!$D$2:$D$5000,Entries!$C$2:$C$5000,"Actual",Entries!$A$2:$A$5000,$A247,Entries!$B$2:$B$5000,Q$1))</f>
        <v/>
      </c>
      <c r="R247" s="88">
        <f>IF(OR(R$1="",$BE247=0),"",SUMIFS(Entries!$D$2:$D$5000,Entries!$C$2:$C$5000,"Actual",Entries!$A$2:$A$5000,$A247,Entries!$B$2:$B$5000,R$1))</f>
        <v/>
      </c>
      <c r="S247" s="88">
        <f>IF(OR(S$1="",$BE247=0),"",SUMIFS(Entries!$D$2:$D$5000,Entries!$C$2:$C$5000,"Actual",Entries!$A$2:$A$5000,$A247,Entries!$B$2:$B$5000,S$1))</f>
        <v/>
      </c>
      <c r="T247" s="88">
        <f>IF(OR(T$1="",$BE247=0),"",SUMIFS(Entries!$D$2:$D$5000,Entries!$C$2:$C$5000,"Actual",Entries!$A$2:$A$5000,$A247,Entries!$B$2:$B$5000,T$1))</f>
        <v/>
      </c>
      <c r="U247" s="88">
        <f>IF(OR(U$1="",$BE247=0),"",SUMIFS(Entries!$D$2:$D$5000,Entries!$C$2:$C$5000,"Actual",Entries!$A$2:$A$5000,$A247,Entries!$B$2:$B$5000,U$1))</f>
        <v/>
      </c>
      <c r="V247" s="88">
        <f>IF(OR(V$1="",$BE247=0),"",SUMIFS(Entries!$D$2:$D$5000,Entries!$C$2:$C$5000,"Actual",Entries!$A$2:$A$5000,$A247,Entries!$B$2:$B$5000,V$1))</f>
        <v/>
      </c>
      <c r="W247" s="88">
        <f>IF(OR(W$1="",$BE247=0),"",SUMIFS(Entries!$D$2:$D$5000,Entries!$C$2:$C$5000,"Actual",Entries!$A$2:$A$5000,$A247,Entries!$B$2:$B$5000,W$1))</f>
        <v/>
      </c>
      <c r="X247" s="88">
        <f>IF(OR(X$1="",$BE247=0),"",SUMIFS(Entries!$D$2:$D$5000,Entries!$C$2:$C$5000,"Actual",Entries!$A$2:$A$5000,$A247,Entries!$B$2:$B$5000,X$1))</f>
        <v/>
      </c>
      <c r="Y247" s="88">
        <f>IF(OR(Y$1="",$BE247=0),"",SUMIFS(Entries!$D$2:$D$5000,Entries!$C$2:$C$5000,"Actual",Entries!$A$2:$A$5000,$A247,Entries!$B$2:$B$5000,Y$1))</f>
        <v/>
      </c>
      <c r="Z247" s="88">
        <f>IF(OR(Z$1="",$BE247=0),"",SUMIFS(Entries!$D$2:$D$5000,Entries!$C$2:$C$5000,"Actual",Entries!$A$2:$A$5000,$A247,Entries!$B$2:$B$5000,Z$1))</f>
        <v/>
      </c>
      <c r="AA247" s="88">
        <f>IF(OR(AA$1="",$BE247=0),"",SUMIFS(Entries!$D$2:$D$5000,Entries!$C$2:$C$5000,"Actual",Entries!$A$2:$A$5000,$A247,Entries!$B$2:$B$5000,AA$1))</f>
        <v/>
      </c>
      <c r="AB247" s="88">
        <f>IF(OR(AB$1="",$BE247=0),"",SUMIFS(Entries!$D$2:$D$5000,Entries!$C$2:$C$5000,"Actual",Entries!$A$2:$A$5000,$A247,Entries!$B$2:$B$5000,AB$1))</f>
        <v/>
      </c>
      <c r="AC247" s="88">
        <f>IF(OR(AC$1="",$BE247=0),"",SUMIFS(Entries!$D$2:$D$5000,Entries!$C$2:$C$5000,"Actual",Entries!$A$2:$A$5000,$A247,Entries!$B$2:$B$5000,AC$1))</f>
        <v/>
      </c>
      <c r="AD247" s="88">
        <f>IF(OR(AD$1="",$BE247=0),"",SUMIFS(Entries!$D$2:$D$5000,Entries!$C$2:$C$5000,"Actual",Entries!$A$2:$A$5000,$A247,Entries!$B$2:$B$5000,AD$1))</f>
        <v/>
      </c>
      <c r="AE247" s="88">
        <f>IF(OR(AE$1="",$BE247=0),"",SUMIFS(Entries!$D$2:$D$5000,Entries!$C$2:$C$5000,"Actual",Entries!$A$2:$A$5000,$A247,Entries!$B$2:$B$5000,AE$1))</f>
        <v/>
      </c>
      <c r="AF247" s="88">
        <f>IF(OR(AF$1="",$BE247=0),"",SUMIFS(Entries!$D$2:$D$5000,Entries!$C$2:$C$5000,"Actual",Entries!$A$2:$A$5000,$A247,Entries!$B$2:$B$5000,AF$1))</f>
        <v/>
      </c>
      <c r="AG247" s="88">
        <f>IF(OR(AG$1="",$BE247=0),"",SUMIFS(Entries!$D$2:$D$5000,Entries!$C$2:$C$5000,"Actual",Entries!$A$2:$A$5000,$A247,Entries!$B$2:$B$5000,AG$1))</f>
        <v/>
      </c>
      <c r="AH247" s="88">
        <f>IF(OR(AH$1="",$BE247=0),"",SUMIFS(Entries!$D$2:$D$5000,Entries!$C$2:$C$5000,"Actual",Entries!$A$2:$A$5000,$A247,Entries!$B$2:$B$5000,AH$1))</f>
        <v/>
      </c>
      <c r="AJ247" s="88">
        <f>IF(OR(AJ$1="",$BE247=0),"",IFERROR(LOOKUP(2,1/((Budgets!$A$2:$A$200=AJ$1)*(Budgets!$B$2:$B$200&lt;=$A247)),Budgets!$C$2:$C$200),0))</f>
        <v/>
      </c>
      <c r="AK247" s="88">
        <f>IF(OR(AK$1="",$BE247=0),"",IFERROR(LOOKUP(2,1/((Budgets!$A$2:$A$200=AK$1)*(Budgets!$B$2:$B$200&lt;=$A247)),Budgets!$C$2:$C$200),0))</f>
        <v/>
      </c>
      <c r="AL247" s="88">
        <f>IF(OR(AL$1="",$BE247=0),"",IFERROR(LOOKUP(2,1/((Budgets!$A$2:$A$200=AL$1)*(Budgets!$B$2:$B$200&lt;=$A247)),Budgets!$C$2:$C$200),0))</f>
        <v/>
      </c>
      <c r="AM247" s="88">
        <f>IF(OR(AM$1="",$BE247=0),"",IFERROR(LOOKUP(2,1/((Budgets!$A$2:$A$200=AM$1)*(Budgets!$B$2:$B$200&lt;=$A247)),Budgets!$C$2:$C$200),0))</f>
        <v/>
      </c>
      <c r="AN247" s="88">
        <f>IF(OR(AN$1="",$BE247=0),"",IFERROR(LOOKUP(2,1/((Budgets!$A$2:$A$200=AN$1)*(Budgets!$B$2:$B$200&lt;=$A247)),Budgets!$C$2:$C$200),0))</f>
        <v/>
      </c>
      <c r="AO247" s="88">
        <f>IF(OR(AO$1="",$BE247=0),"",IFERROR(LOOKUP(2,1/((Budgets!$A$2:$A$200=AO$1)*(Budgets!$B$2:$B$200&lt;=$A247)),Budgets!$C$2:$C$200),0))</f>
        <v/>
      </c>
      <c r="AP247" s="88">
        <f>IF(OR(AP$1="",$BE247=0),"",IFERROR(LOOKUP(2,1/((Budgets!$A$2:$A$200=AP$1)*(Budgets!$B$2:$B$200&lt;=$A247)),Budgets!$C$2:$C$200),0))</f>
        <v/>
      </c>
      <c r="AQ247" s="88">
        <f>IF(OR(AQ$1="",$BE247=0),"",IFERROR(LOOKUP(2,1/((Budgets!$A$2:$A$200=AQ$1)*(Budgets!$B$2:$B$200&lt;=$A247)),Budgets!$C$2:$C$200),0))</f>
        <v/>
      </c>
      <c r="AR247" s="88">
        <f>IF(OR(AR$1="",$BE247=0),"",IFERROR(LOOKUP(2,1/((Budgets!$A$2:$A$200=AR$1)*(Budgets!$B$2:$B$200&lt;=$A247)),Budgets!$C$2:$C$200),0))</f>
        <v/>
      </c>
      <c r="AS247" s="88">
        <f>IF(OR(AS$1="",$BE247=0),"",IFERROR(LOOKUP(2,1/((Budgets!$A$2:$A$200=AS$1)*(Budgets!$B$2:$B$200&lt;=$A247)),Budgets!$C$2:$C$200),0))</f>
        <v/>
      </c>
      <c r="AT247" s="88">
        <f>IF(OR(AT$1="",$BE247=0),"",IFERROR(LOOKUP(2,1/((Budgets!$A$2:$A$200=AT$1)*(Budgets!$B$2:$B$200&lt;=$A247)),Budgets!$C$2:$C$200),0))</f>
        <v/>
      </c>
      <c r="AU247" s="88">
        <f>IF(OR(AU$1="",$BE247=0),"",IFERROR(LOOKUP(2,1/((Budgets!$A$2:$A$200=AU$1)*(Budgets!$B$2:$B$200&lt;=$A247)),Budgets!$C$2:$C$200),0))</f>
        <v/>
      </c>
      <c r="AV247" s="88">
        <f>IF(OR(AV$1="",$BE247=0),"",IFERROR(LOOKUP(2,1/((Budgets!$A$2:$A$200=AV$1)*(Budgets!$B$2:$B$200&lt;=$A247)),Budgets!$C$2:$C$200),0))</f>
        <v/>
      </c>
      <c r="AW247" s="88">
        <f>IF(OR(AW$1="",$BE247=0),"",IFERROR(LOOKUP(2,1/((Budgets!$A$2:$A$200=AW$1)*(Budgets!$B$2:$B$200&lt;=$A247)),Budgets!$C$2:$C$200),0))</f>
        <v/>
      </c>
      <c r="AX247" s="88">
        <f>IF(OR(AX$1="",$BE247=0),"",IFERROR(LOOKUP(2,1/((Budgets!$A$2:$A$200=AX$1)*(Budgets!$B$2:$B$200&lt;=$A247)),Budgets!$C$2:$C$200),0))</f>
        <v/>
      </c>
      <c r="AY247" s="88">
        <f>IF(OR(AY$1="",$BE247=0),"",IFERROR(LOOKUP(2,1/((Budgets!$A$2:$A$200=AY$1)*(Budgets!$B$2:$B$200&lt;=$A247)),Budgets!$C$2:$C$200),0))</f>
        <v/>
      </c>
      <c r="AZ247" s="88">
        <f>IF(OR(AZ$1="",$BE247=0),"",IFERROR(LOOKUP(2,1/((Budgets!$A$2:$A$200=AZ$1)*(Budgets!$B$2:$B$200&lt;=$A247)),Budgets!$C$2:$C$200),0))</f>
        <v/>
      </c>
      <c r="BA247" s="88">
        <f>IF(OR(BA$1="",$BE247=0),"",IFERROR(LOOKUP(2,1/((Budgets!$A$2:$A$200=BA$1)*(Budgets!$B$2:$B$200&lt;=$A247)),Budgets!$C$2:$C$200),0))</f>
        <v/>
      </c>
      <c r="BB247" s="88">
        <f>IF(OR(BB$1="",$BE247=0),"",IFERROR(LOOKUP(2,1/((Budgets!$A$2:$A$200=BB$1)*(Budgets!$B$2:$B$200&lt;=$A247)),Budgets!$C$2:$C$200),0))</f>
        <v/>
      </c>
      <c r="BC247" s="88">
        <f>IF(OR(BC$1="",$BE247=0),"",IFERROR(LOOKUP(2,1/((Budgets!$A$2:$A$200=BC$1)*(Budgets!$B$2:$B$200&lt;=$A247)),Budgets!$C$2:$C$200),0))</f>
        <v/>
      </c>
      <c r="BE247" s="67">
        <f>COUNTIFS(Entries!$A$2:$A$5000,$A247)</f>
        <v/>
      </c>
    </row>
    <row r="248" ht="15" customHeight="1" s="43">
      <c r="A248" s="87" t="n">
        <v>46935</v>
      </c>
      <c r="B248" s="88">
        <f>IF($BE248=0,NA(),SUMIFS(Entries!$D$2:$D$5000,Entries!$C$2:$C$5000,"Income",Entries!$A$2:$A$5000,$A248))</f>
        <v/>
      </c>
      <c r="C248" s="88">
        <f>IF($BE248=0,"",SUMIFS(Entries!$D$2:$D$5000,Entries!$C$2:$C$5000,"Actual",Entries!$A$2:$A$5000,$A248))</f>
        <v/>
      </c>
      <c r="D248" s="88">
        <f>IF($BE248=0,"",SUMIFS(Entries!$D$2:$D$5000,Entries!$C$2:$C$5000,"One-off",Entries!$A$2:$A$5000,$A248))</f>
        <v/>
      </c>
      <c r="E248" s="88">
        <f>IF($BE248=0,NA(),C248+D248)</f>
        <v/>
      </c>
      <c r="F248" s="88">
        <f>IF($BE248=0,"",SUM(AJ248:BC248))</f>
        <v/>
      </c>
      <c r="G248" s="88">
        <f>IF($BE248=0,"",B248-E248)</f>
        <v/>
      </c>
      <c r="H248" s="88">
        <f>IF($BE248=0,"",SUM($G$2:G248))</f>
        <v/>
      </c>
      <c r="I248" s="88">
        <f>IF($BE248=0,"",SUMIFS(Entries!$F$2:$F$5000,Entries!$A$2:$A$5000,$A248))</f>
        <v/>
      </c>
      <c r="J248" s="88">
        <f>IF($BE248=0,NA(),H248+SUM($I$2:I248))</f>
        <v/>
      </c>
      <c r="K248" s="88">
        <f>IF($BE248=0,"",SUMIFS(Entries!$D$2:$D$5000,Entries!$C$2:$C$5000,"Income",Entries!$A$2:$A$5000,"&gt;="&amp;EDATE($A248,-11),Entries!$A$2:$A$5000,"&lt;="&amp;$A248)/12)</f>
        <v/>
      </c>
      <c r="L248" s="88">
        <f>IF($BE248=0,"",(SUMIFS(Entries!$D$2:$D$5000,Entries!$C$2:$C$5000,"Actual",Entries!$A$2:$A$5000,"&gt;="&amp;EDATE($A248,-11),Entries!$A$2:$A$5000,"&lt;="&amp;$A248)+SUMIFS(Entries!$D$2:$D$5000,Entries!$C$2:$C$5000,"One-off",Entries!$A$2:$A$5000,"&gt;="&amp;EDATE($A248,-11),Entries!$A$2:$A$5000,"&lt;="&amp;$A248))/12)</f>
        <v/>
      </c>
      <c r="M248" s="71">
        <f>IF($BE248=0,NA(),IFERROR((K248-L248)/K248,0))</f>
        <v/>
      </c>
      <c r="O248" s="88">
        <f>IF(OR(O$1="",$BE248=0),"",SUMIFS(Entries!$D$2:$D$5000,Entries!$C$2:$C$5000,"Actual",Entries!$A$2:$A$5000,$A248,Entries!$B$2:$B$5000,O$1))</f>
        <v/>
      </c>
      <c r="P248" s="88">
        <f>IF(OR(P$1="",$BE248=0),"",SUMIFS(Entries!$D$2:$D$5000,Entries!$C$2:$C$5000,"Actual",Entries!$A$2:$A$5000,$A248,Entries!$B$2:$B$5000,P$1))</f>
        <v/>
      </c>
      <c r="Q248" s="88">
        <f>IF(OR(Q$1="",$BE248=0),"",SUMIFS(Entries!$D$2:$D$5000,Entries!$C$2:$C$5000,"Actual",Entries!$A$2:$A$5000,$A248,Entries!$B$2:$B$5000,Q$1))</f>
        <v/>
      </c>
      <c r="R248" s="88">
        <f>IF(OR(R$1="",$BE248=0),"",SUMIFS(Entries!$D$2:$D$5000,Entries!$C$2:$C$5000,"Actual",Entries!$A$2:$A$5000,$A248,Entries!$B$2:$B$5000,R$1))</f>
        <v/>
      </c>
      <c r="S248" s="88">
        <f>IF(OR(S$1="",$BE248=0),"",SUMIFS(Entries!$D$2:$D$5000,Entries!$C$2:$C$5000,"Actual",Entries!$A$2:$A$5000,$A248,Entries!$B$2:$B$5000,S$1))</f>
        <v/>
      </c>
      <c r="T248" s="88">
        <f>IF(OR(T$1="",$BE248=0),"",SUMIFS(Entries!$D$2:$D$5000,Entries!$C$2:$C$5000,"Actual",Entries!$A$2:$A$5000,$A248,Entries!$B$2:$B$5000,T$1))</f>
        <v/>
      </c>
      <c r="U248" s="88">
        <f>IF(OR(U$1="",$BE248=0),"",SUMIFS(Entries!$D$2:$D$5000,Entries!$C$2:$C$5000,"Actual",Entries!$A$2:$A$5000,$A248,Entries!$B$2:$B$5000,U$1))</f>
        <v/>
      </c>
      <c r="V248" s="88">
        <f>IF(OR(V$1="",$BE248=0),"",SUMIFS(Entries!$D$2:$D$5000,Entries!$C$2:$C$5000,"Actual",Entries!$A$2:$A$5000,$A248,Entries!$B$2:$B$5000,V$1))</f>
        <v/>
      </c>
      <c r="W248" s="88">
        <f>IF(OR(W$1="",$BE248=0),"",SUMIFS(Entries!$D$2:$D$5000,Entries!$C$2:$C$5000,"Actual",Entries!$A$2:$A$5000,$A248,Entries!$B$2:$B$5000,W$1))</f>
        <v/>
      </c>
      <c r="X248" s="88">
        <f>IF(OR(X$1="",$BE248=0),"",SUMIFS(Entries!$D$2:$D$5000,Entries!$C$2:$C$5000,"Actual",Entries!$A$2:$A$5000,$A248,Entries!$B$2:$B$5000,X$1))</f>
        <v/>
      </c>
      <c r="Y248" s="88">
        <f>IF(OR(Y$1="",$BE248=0),"",SUMIFS(Entries!$D$2:$D$5000,Entries!$C$2:$C$5000,"Actual",Entries!$A$2:$A$5000,$A248,Entries!$B$2:$B$5000,Y$1))</f>
        <v/>
      </c>
      <c r="Z248" s="88">
        <f>IF(OR(Z$1="",$BE248=0),"",SUMIFS(Entries!$D$2:$D$5000,Entries!$C$2:$C$5000,"Actual",Entries!$A$2:$A$5000,$A248,Entries!$B$2:$B$5000,Z$1))</f>
        <v/>
      </c>
      <c r="AA248" s="88">
        <f>IF(OR(AA$1="",$BE248=0),"",SUMIFS(Entries!$D$2:$D$5000,Entries!$C$2:$C$5000,"Actual",Entries!$A$2:$A$5000,$A248,Entries!$B$2:$B$5000,AA$1))</f>
        <v/>
      </c>
      <c r="AB248" s="88">
        <f>IF(OR(AB$1="",$BE248=0),"",SUMIFS(Entries!$D$2:$D$5000,Entries!$C$2:$C$5000,"Actual",Entries!$A$2:$A$5000,$A248,Entries!$B$2:$B$5000,AB$1))</f>
        <v/>
      </c>
      <c r="AC248" s="88">
        <f>IF(OR(AC$1="",$BE248=0),"",SUMIFS(Entries!$D$2:$D$5000,Entries!$C$2:$C$5000,"Actual",Entries!$A$2:$A$5000,$A248,Entries!$B$2:$B$5000,AC$1))</f>
        <v/>
      </c>
      <c r="AD248" s="88">
        <f>IF(OR(AD$1="",$BE248=0),"",SUMIFS(Entries!$D$2:$D$5000,Entries!$C$2:$C$5000,"Actual",Entries!$A$2:$A$5000,$A248,Entries!$B$2:$B$5000,AD$1))</f>
        <v/>
      </c>
      <c r="AE248" s="88">
        <f>IF(OR(AE$1="",$BE248=0),"",SUMIFS(Entries!$D$2:$D$5000,Entries!$C$2:$C$5000,"Actual",Entries!$A$2:$A$5000,$A248,Entries!$B$2:$B$5000,AE$1))</f>
        <v/>
      </c>
      <c r="AF248" s="88">
        <f>IF(OR(AF$1="",$BE248=0),"",SUMIFS(Entries!$D$2:$D$5000,Entries!$C$2:$C$5000,"Actual",Entries!$A$2:$A$5000,$A248,Entries!$B$2:$B$5000,AF$1))</f>
        <v/>
      </c>
      <c r="AG248" s="88">
        <f>IF(OR(AG$1="",$BE248=0),"",SUMIFS(Entries!$D$2:$D$5000,Entries!$C$2:$C$5000,"Actual",Entries!$A$2:$A$5000,$A248,Entries!$B$2:$B$5000,AG$1))</f>
        <v/>
      </c>
      <c r="AH248" s="88">
        <f>IF(OR(AH$1="",$BE248=0),"",SUMIFS(Entries!$D$2:$D$5000,Entries!$C$2:$C$5000,"Actual",Entries!$A$2:$A$5000,$A248,Entries!$B$2:$B$5000,AH$1))</f>
        <v/>
      </c>
      <c r="AJ248" s="88">
        <f>IF(OR(AJ$1="",$BE248=0),"",IFERROR(LOOKUP(2,1/((Budgets!$A$2:$A$200=AJ$1)*(Budgets!$B$2:$B$200&lt;=$A248)),Budgets!$C$2:$C$200),0))</f>
        <v/>
      </c>
      <c r="AK248" s="88">
        <f>IF(OR(AK$1="",$BE248=0),"",IFERROR(LOOKUP(2,1/((Budgets!$A$2:$A$200=AK$1)*(Budgets!$B$2:$B$200&lt;=$A248)),Budgets!$C$2:$C$200),0))</f>
        <v/>
      </c>
      <c r="AL248" s="88">
        <f>IF(OR(AL$1="",$BE248=0),"",IFERROR(LOOKUP(2,1/((Budgets!$A$2:$A$200=AL$1)*(Budgets!$B$2:$B$200&lt;=$A248)),Budgets!$C$2:$C$200),0))</f>
        <v/>
      </c>
      <c r="AM248" s="88">
        <f>IF(OR(AM$1="",$BE248=0),"",IFERROR(LOOKUP(2,1/((Budgets!$A$2:$A$200=AM$1)*(Budgets!$B$2:$B$200&lt;=$A248)),Budgets!$C$2:$C$200),0))</f>
        <v/>
      </c>
      <c r="AN248" s="88">
        <f>IF(OR(AN$1="",$BE248=0),"",IFERROR(LOOKUP(2,1/((Budgets!$A$2:$A$200=AN$1)*(Budgets!$B$2:$B$200&lt;=$A248)),Budgets!$C$2:$C$200),0))</f>
        <v/>
      </c>
      <c r="AO248" s="88">
        <f>IF(OR(AO$1="",$BE248=0),"",IFERROR(LOOKUP(2,1/((Budgets!$A$2:$A$200=AO$1)*(Budgets!$B$2:$B$200&lt;=$A248)),Budgets!$C$2:$C$200),0))</f>
        <v/>
      </c>
      <c r="AP248" s="88">
        <f>IF(OR(AP$1="",$BE248=0),"",IFERROR(LOOKUP(2,1/((Budgets!$A$2:$A$200=AP$1)*(Budgets!$B$2:$B$200&lt;=$A248)),Budgets!$C$2:$C$200),0))</f>
        <v/>
      </c>
      <c r="AQ248" s="88">
        <f>IF(OR(AQ$1="",$BE248=0),"",IFERROR(LOOKUP(2,1/((Budgets!$A$2:$A$200=AQ$1)*(Budgets!$B$2:$B$200&lt;=$A248)),Budgets!$C$2:$C$200),0))</f>
        <v/>
      </c>
      <c r="AR248" s="88">
        <f>IF(OR(AR$1="",$BE248=0),"",IFERROR(LOOKUP(2,1/((Budgets!$A$2:$A$200=AR$1)*(Budgets!$B$2:$B$200&lt;=$A248)),Budgets!$C$2:$C$200),0))</f>
        <v/>
      </c>
      <c r="AS248" s="88">
        <f>IF(OR(AS$1="",$BE248=0),"",IFERROR(LOOKUP(2,1/((Budgets!$A$2:$A$200=AS$1)*(Budgets!$B$2:$B$200&lt;=$A248)),Budgets!$C$2:$C$200),0))</f>
        <v/>
      </c>
      <c r="AT248" s="88">
        <f>IF(OR(AT$1="",$BE248=0),"",IFERROR(LOOKUP(2,1/((Budgets!$A$2:$A$200=AT$1)*(Budgets!$B$2:$B$200&lt;=$A248)),Budgets!$C$2:$C$200),0))</f>
        <v/>
      </c>
      <c r="AU248" s="88">
        <f>IF(OR(AU$1="",$BE248=0),"",IFERROR(LOOKUP(2,1/((Budgets!$A$2:$A$200=AU$1)*(Budgets!$B$2:$B$200&lt;=$A248)),Budgets!$C$2:$C$200),0))</f>
        <v/>
      </c>
      <c r="AV248" s="88">
        <f>IF(OR(AV$1="",$BE248=0),"",IFERROR(LOOKUP(2,1/((Budgets!$A$2:$A$200=AV$1)*(Budgets!$B$2:$B$200&lt;=$A248)),Budgets!$C$2:$C$200),0))</f>
        <v/>
      </c>
      <c r="AW248" s="88">
        <f>IF(OR(AW$1="",$BE248=0),"",IFERROR(LOOKUP(2,1/((Budgets!$A$2:$A$200=AW$1)*(Budgets!$B$2:$B$200&lt;=$A248)),Budgets!$C$2:$C$200),0))</f>
        <v/>
      </c>
      <c r="AX248" s="88">
        <f>IF(OR(AX$1="",$BE248=0),"",IFERROR(LOOKUP(2,1/((Budgets!$A$2:$A$200=AX$1)*(Budgets!$B$2:$B$200&lt;=$A248)),Budgets!$C$2:$C$200),0))</f>
        <v/>
      </c>
      <c r="AY248" s="88">
        <f>IF(OR(AY$1="",$BE248=0),"",IFERROR(LOOKUP(2,1/((Budgets!$A$2:$A$200=AY$1)*(Budgets!$B$2:$B$200&lt;=$A248)),Budgets!$C$2:$C$200),0))</f>
        <v/>
      </c>
      <c r="AZ248" s="88">
        <f>IF(OR(AZ$1="",$BE248=0),"",IFERROR(LOOKUP(2,1/((Budgets!$A$2:$A$200=AZ$1)*(Budgets!$B$2:$B$200&lt;=$A248)),Budgets!$C$2:$C$200),0))</f>
        <v/>
      </c>
      <c r="BA248" s="88">
        <f>IF(OR(BA$1="",$BE248=0),"",IFERROR(LOOKUP(2,1/((Budgets!$A$2:$A$200=BA$1)*(Budgets!$B$2:$B$200&lt;=$A248)),Budgets!$C$2:$C$200),0))</f>
        <v/>
      </c>
      <c r="BB248" s="88">
        <f>IF(OR(BB$1="",$BE248=0),"",IFERROR(LOOKUP(2,1/((Budgets!$A$2:$A$200=BB$1)*(Budgets!$B$2:$B$200&lt;=$A248)),Budgets!$C$2:$C$200),0))</f>
        <v/>
      </c>
      <c r="BC248" s="88">
        <f>IF(OR(BC$1="",$BE248=0),"",IFERROR(LOOKUP(2,1/((Budgets!$A$2:$A$200=BC$1)*(Budgets!$B$2:$B$200&lt;=$A248)),Budgets!$C$2:$C$200),0))</f>
        <v/>
      </c>
      <c r="BE248" s="67">
        <f>COUNTIFS(Entries!$A$2:$A$5000,$A248)</f>
        <v/>
      </c>
    </row>
    <row r="249" ht="15" customHeight="1" s="43">
      <c r="A249" s="87" t="n">
        <v>46966</v>
      </c>
      <c r="B249" s="88">
        <f>IF($BE249=0,NA(),SUMIFS(Entries!$D$2:$D$5000,Entries!$C$2:$C$5000,"Income",Entries!$A$2:$A$5000,$A249))</f>
        <v/>
      </c>
      <c r="C249" s="88">
        <f>IF($BE249=0,"",SUMIFS(Entries!$D$2:$D$5000,Entries!$C$2:$C$5000,"Actual",Entries!$A$2:$A$5000,$A249))</f>
        <v/>
      </c>
      <c r="D249" s="88">
        <f>IF($BE249=0,"",SUMIFS(Entries!$D$2:$D$5000,Entries!$C$2:$C$5000,"One-off",Entries!$A$2:$A$5000,$A249))</f>
        <v/>
      </c>
      <c r="E249" s="88">
        <f>IF($BE249=0,NA(),C249+D249)</f>
        <v/>
      </c>
      <c r="F249" s="88">
        <f>IF($BE249=0,"",SUM(AJ249:BC249))</f>
        <v/>
      </c>
      <c r="G249" s="88">
        <f>IF($BE249=0,"",B249-E249)</f>
        <v/>
      </c>
      <c r="H249" s="88">
        <f>IF($BE249=0,"",SUM($G$2:G249))</f>
        <v/>
      </c>
      <c r="I249" s="88">
        <f>IF($BE249=0,"",SUMIFS(Entries!$F$2:$F$5000,Entries!$A$2:$A$5000,$A249))</f>
        <v/>
      </c>
      <c r="J249" s="88">
        <f>IF($BE249=0,NA(),H249+SUM($I$2:I249))</f>
        <v/>
      </c>
      <c r="K249" s="88">
        <f>IF($BE249=0,"",SUMIFS(Entries!$D$2:$D$5000,Entries!$C$2:$C$5000,"Income",Entries!$A$2:$A$5000,"&gt;="&amp;EDATE($A249,-11),Entries!$A$2:$A$5000,"&lt;="&amp;$A249)/12)</f>
        <v/>
      </c>
      <c r="L249" s="88">
        <f>IF($BE249=0,"",(SUMIFS(Entries!$D$2:$D$5000,Entries!$C$2:$C$5000,"Actual",Entries!$A$2:$A$5000,"&gt;="&amp;EDATE($A249,-11),Entries!$A$2:$A$5000,"&lt;="&amp;$A249)+SUMIFS(Entries!$D$2:$D$5000,Entries!$C$2:$C$5000,"One-off",Entries!$A$2:$A$5000,"&gt;="&amp;EDATE($A249,-11),Entries!$A$2:$A$5000,"&lt;="&amp;$A249))/12)</f>
        <v/>
      </c>
      <c r="M249" s="71">
        <f>IF($BE249=0,NA(),IFERROR((K249-L249)/K249,0))</f>
        <v/>
      </c>
      <c r="O249" s="88">
        <f>IF(OR(O$1="",$BE249=0),"",SUMIFS(Entries!$D$2:$D$5000,Entries!$C$2:$C$5000,"Actual",Entries!$A$2:$A$5000,$A249,Entries!$B$2:$B$5000,O$1))</f>
        <v/>
      </c>
      <c r="P249" s="88">
        <f>IF(OR(P$1="",$BE249=0),"",SUMIFS(Entries!$D$2:$D$5000,Entries!$C$2:$C$5000,"Actual",Entries!$A$2:$A$5000,$A249,Entries!$B$2:$B$5000,P$1))</f>
        <v/>
      </c>
      <c r="Q249" s="88">
        <f>IF(OR(Q$1="",$BE249=0),"",SUMIFS(Entries!$D$2:$D$5000,Entries!$C$2:$C$5000,"Actual",Entries!$A$2:$A$5000,$A249,Entries!$B$2:$B$5000,Q$1))</f>
        <v/>
      </c>
      <c r="R249" s="88">
        <f>IF(OR(R$1="",$BE249=0),"",SUMIFS(Entries!$D$2:$D$5000,Entries!$C$2:$C$5000,"Actual",Entries!$A$2:$A$5000,$A249,Entries!$B$2:$B$5000,R$1))</f>
        <v/>
      </c>
      <c r="S249" s="88">
        <f>IF(OR(S$1="",$BE249=0),"",SUMIFS(Entries!$D$2:$D$5000,Entries!$C$2:$C$5000,"Actual",Entries!$A$2:$A$5000,$A249,Entries!$B$2:$B$5000,S$1))</f>
        <v/>
      </c>
      <c r="T249" s="88">
        <f>IF(OR(T$1="",$BE249=0),"",SUMIFS(Entries!$D$2:$D$5000,Entries!$C$2:$C$5000,"Actual",Entries!$A$2:$A$5000,$A249,Entries!$B$2:$B$5000,T$1))</f>
        <v/>
      </c>
      <c r="U249" s="88">
        <f>IF(OR(U$1="",$BE249=0),"",SUMIFS(Entries!$D$2:$D$5000,Entries!$C$2:$C$5000,"Actual",Entries!$A$2:$A$5000,$A249,Entries!$B$2:$B$5000,U$1))</f>
        <v/>
      </c>
      <c r="V249" s="88">
        <f>IF(OR(V$1="",$BE249=0),"",SUMIFS(Entries!$D$2:$D$5000,Entries!$C$2:$C$5000,"Actual",Entries!$A$2:$A$5000,$A249,Entries!$B$2:$B$5000,V$1))</f>
        <v/>
      </c>
      <c r="W249" s="88">
        <f>IF(OR(W$1="",$BE249=0),"",SUMIFS(Entries!$D$2:$D$5000,Entries!$C$2:$C$5000,"Actual",Entries!$A$2:$A$5000,$A249,Entries!$B$2:$B$5000,W$1))</f>
        <v/>
      </c>
      <c r="X249" s="88">
        <f>IF(OR(X$1="",$BE249=0),"",SUMIFS(Entries!$D$2:$D$5000,Entries!$C$2:$C$5000,"Actual",Entries!$A$2:$A$5000,$A249,Entries!$B$2:$B$5000,X$1))</f>
        <v/>
      </c>
      <c r="Y249" s="88">
        <f>IF(OR(Y$1="",$BE249=0),"",SUMIFS(Entries!$D$2:$D$5000,Entries!$C$2:$C$5000,"Actual",Entries!$A$2:$A$5000,$A249,Entries!$B$2:$B$5000,Y$1))</f>
        <v/>
      </c>
      <c r="Z249" s="88">
        <f>IF(OR(Z$1="",$BE249=0),"",SUMIFS(Entries!$D$2:$D$5000,Entries!$C$2:$C$5000,"Actual",Entries!$A$2:$A$5000,$A249,Entries!$B$2:$B$5000,Z$1))</f>
        <v/>
      </c>
      <c r="AA249" s="88">
        <f>IF(OR(AA$1="",$BE249=0),"",SUMIFS(Entries!$D$2:$D$5000,Entries!$C$2:$C$5000,"Actual",Entries!$A$2:$A$5000,$A249,Entries!$B$2:$B$5000,AA$1))</f>
        <v/>
      </c>
      <c r="AB249" s="88">
        <f>IF(OR(AB$1="",$BE249=0),"",SUMIFS(Entries!$D$2:$D$5000,Entries!$C$2:$C$5000,"Actual",Entries!$A$2:$A$5000,$A249,Entries!$B$2:$B$5000,AB$1))</f>
        <v/>
      </c>
      <c r="AC249" s="88">
        <f>IF(OR(AC$1="",$BE249=0),"",SUMIFS(Entries!$D$2:$D$5000,Entries!$C$2:$C$5000,"Actual",Entries!$A$2:$A$5000,$A249,Entries!$B$2:$B$5000,AC$1))</f>
        <v/>
      </c>
      <c r="AD249" s="88">
        <f>IF(OR(AD$1="",$BE249=0),"",SUMIFS(Entries!$D$2:$D$5000,Entries!$C$2:$C$5000,"Actual",Entries!$A$2:$A$5000,$A249,Entries!$B$2:$B$5000,AD$1))</f>
        <v/>
      </c>
      <c r="AE249" s="88">
        <f>IF(OR(AE$1="",$BE249=0),"",SUMIFS(Entries!$D$2:$D$5000,Entries!$C$2:$C$5000,"Actual",Entries!$A$2:$A$5000,$A249,Entries!$B$2:$B$5000,AE$1))</f>
        <v/>
      </c>
      <c r="AF249" s="88">
        <f>IF(OR(AF$1="",$BE249=0),"",SUMIFS(Entries!$D$2:$D$5000,Entries!$C$2:$C$5000,"Actual",Entries!$A$2:$A$5000,$A249,Entries!$B$2:$B$5000,AF$1))</f>
        <v/>
      </c>
      <c r="AG249" s="88">
        <f>IF(OR(AG$1="",$BE249=0),"",SUMIFS(Entries!$D$2:$D$5000,Entries!$C$2:$C$5000,"Actual",Entries!$A$2:$A$5000,$A249,Entries!$B$2:$B$5000,AG$1))</f>
        <v/>
      </c>
      <c r="AH249" s="88">
        <f>IF(OR(AH$1="",$BE249=0),"",SUMIFS(Entries!$D$2:$D$5000,Entries!$C$2:$C$5000,"Actual",Entries!$A$2:$A$5000,$A249,Entries!$B$2:$B$5000,AH$1))</f>
        <v/>
      </c>
      <c r="AJ249" s="88">
        <f>IF(OR(AJ$1="",$BE249=0),"",IFERROR(LOOKUP(2,1/((Budgets!$A$2:$A$200=AJ$1)*(Budgets!$B$2:$B$200&lt;=$A249)),Budgets!$C$2:$C$200),0))</f>
        <v/>
      </c>
      <c r="AK249" s="88">
        <f>IF(OR(AK$1="",$BE249=0),"",IFERROR(LOOKUP(2,1/((Budgets!$A$2:$A$200=AK$1)*(Budgets!$B$2:$B$200&lt;=$A249)),Budgets!$C$2:$C$200),0))</f>
        <v/>
      </c>
      <c r="AL249" s="88">
        <f>IF(OR(AL$1="",$BE249=0),"",IFERROR(LOOKUP(2,1/((Budgets!$A$2:$A$200=AL$1)*(Budgets!$B$2:$B$200&lt;=$A249)),Budgets!$C$2:$C$200),0))</f>
        <v/>
      </c>
      <c r="AM249" s="88">
        <f>IF(OR(AM$1="",$BE249=0),"",IFERROR(LOOKUP(2,1/((Budgets!$A$2:$A$200=AM$1)*(Budgets!$B$2:$B$200&lt;=$A249)),Budgets!$C$2:$C$200),0))</f>
        <v/>
      </c>
      <c r="AN249" s="88">
        <f>IF(OR(AN$1="",$BE249=0),"",IFERROR(LOOKUP(2,1/((Budgets!$A$2:$A$200=AN$1)*(Budgets!$B$2:$B$200&lt;=$A249)),Budgets!$C$2:$C$200),0))</f>
        <v/>
      </c>
      <c r="AO249" s="88">
        <f>IF(OR(AO$1="",$BE249=0),"",IFERROR(LOOKUP(2,1/((Budgets!$A$2:$A$200=AO$1)*(Budgets!$B$2:$B$200&lt;=$A249)),Budgets!$C$2:$C$200),0))</f>
        <v/>
      </c>
      <c r="AP249" s="88">
        <f>IF(OR(AP$1="",$BE249=0),"",IFERROR(LOOKUP(2,1/((Budgets!$A$2:$A$200=AP$1)*(Budgets!$B$2:$B$200&lt;=$A249)),Budgets!$C$2:$C$200),0))</f>
        <v/>
      </c>
      <c r="AQ249" s="88">
        <f>IF(OR(AQ$1="",$BE249=0),"",IFERROR(LOOKUP(2,1/((Budgets!$A$2:$A$200=AQ$1)*(Budgets!$B$2:$B$200&lt;=$A249)),Budgets!$C$2:$C$200),0))</f>
        <v/>
      </c>
      <c r="AR249" s="88">
        <f>IF(OR(AR$1="",$BE249=0),"",IFERROR(LOOKUP(2,1/((Budgets!$A$2:$A$200=AR$1)*(Budgets!$B$2:$B$200&lt;=$A249)),Budgets!$C$2:$C$200),0))</f>
        <v/>
      </c>
      <c r="AS249" s="88">
        <f>IF(OR(AS$1="",$BE249=0),"",IFERROR(LOOKUP(2,1/((Budgets!$A$2:$A$200=AS$1)*(Budgets!$B$2:$B$200&lt;=$A249)),Budgets!$C$2:$C$200),0))</f>
        <v/>
      </c>
      <c r="AT249" s="88">
        <f>IF(OR(AT$1="",$BE249=0),"",IFERROR(LOOKUP(2,1/((Budgets!$A$2:$A$200=AT$1)*(Budgets!$B$2:$B$200&lt;=$A249)),Budgets!$C$2:$C$200),0))</f>
        <v/>
      </c>
      <c r="AU249" s="88">
        <f>IF(OR(AU$1="",$BE249=0),"",IFERROR(LOOKUP(2,1/((Budgets!$A$2:$A$200=AU$1)*(Budgets!$B$2:$B$200&lt;=$A249)),Budgets!$C$2:$C$200),0))</f>
        <v/>
      </c>
      <c r="AV249" s="88">
        <f>IF(OR(AV$1="",$BE249=0),"",IFERROR(LOOKUP(2,1/((Budgets!$A$2:$A$200=AV$1)*(Budgets!$B$2:$B$200&lt;=$A249)),Budgets!$C$2:$C$200),0))</f>
        <v/>
      </c>
      <c r="AW249" s="88">
        <f>IF(OR(AW$1="",$BE249=0),"",IFERROR(LOOKUP(2,1/((Budgets!$A$2:$A$200=AW$1)*(Budgets!$B$2:$B$200&lt;=$A249)),Budgets!$C$2:$C$200),0))</f>
        <v/>
      </c>
      <c r="AX249" s="88">
        <f>IF(OR(AX$1="",$BE249=0),"",IFERROR(LOOKUP(2,1/((Budgets!$A$2:$A$200=AX$1)*(Budgets!$B$2:$B$200&lt;=$A249)),Budgets!$C$2:$C$200),0))</f>
        <v/>
      </c>
      <c r="AY249" s="88">
        <f>IF(OR(AY$1="",$BE249=0),"",IFERROR(LOOKUP(2,1/((Budgets!$A$2:$A$200=AY$1)*(Budgets!$B$2:$B$200&lt;=$A249)),Budgets!$C$2:$C$200),0))</f>
        <v/>
      </c>
      <c r="AZ249" s="88">
        <f>IF(OR(AZ$1="",$BE249=0),"",IFERROR(LOOKUP(2,1/((Budgets!$A$2:$A$200=AZ$1)*(Budgets!$B$2:$B$200&lt;=$A249)),Budgets!$C$2:$C$200),0))</f>
        <v/>
      </c>
      <c r="BA249" s="88">
        <f>IF(OR(BA$1="",$BE249=0),"",IFERROR(LOOKUP(2,1/((Budgets!$A$2:$A$200=BA$1)*(Budgets!$B$2:$B$200&lt;=$A249)),Budgets!$C$2:$C$200),0))</f>
        <v/>
      </c>
      <c r="BB249" s="88">
        <f>IF(OR(BB$1="",$BE249=0),"",IFERROR(LOOKUP(2,1/((Budgets!$A$2:$A$200=BB$1)*(Budgets!$B$2:$B$200&lt;=$A249)),Budgets!$C$2:$C$200),0))</f>
        <v/>
      </c>
      <c r="BC249" s="88">
        <f>IF(OR(BC$1="",$BE249=0),"",IFERROR(LOOKUP(2,1/((Budgets!$A$2:$A$200=BC$1)*(Budgets!$B$2:$B$200&lt;=$A249)),Budgets!$C$2:$C$200),0))</f>
        <v/>
      </c>
      <c r="BE249" s="67">
        <f>COUNTIFS(Entries!$A$2:$A$5000,$A249)</f>
        <v/>
      </c>
    </row>
    <row r="250" ht="15" customHeight="1" s="43">
      <c r="A250" s="87" t="n">
        <v>46997</v>
      </c>
      <c r="B250" s="88">
        <f>IF($BE250=0,NA(),SUMIFS(Entries!$D$2:$D$5000,Entries!$C$2:$C$5000,"Income",Entries!$A$2:$A$5000,$A250))</f>
        <v/>
      </c>
      <c r="C250" s="88">
        <f>IF($BE250=0,"",SUMIFS(Entries!$D$2:$D$5000,Entries!$C$2:$C$5000,"Actual",Entries!$A$2:$A$5000,$A250))</f>
        <v/>
      </c>
      <c r="D250" s="88">
        <f>IF($BE250=0,"",SUMIFS(Entries!$D$2:$D$5000,Entries!$C$2:$C$5000,"One-off",Entries!$A$2:$A$5000,$A250))</f>
        <v/>
      </c>
      <c r="E250" s="88">
        <f>IF($BE250=0,NA(),C250+D250)</f>
        <v/>
      </c>
      <c r="F250" s="88">
        <f>IF($BE250=0,"",SUM(AJ250:BC250))</f>
        <v/>
      </c>
      <c r="G250" s="88">
        <f>IF($BE250=0,"",B250-E250)</f>
        <v/>
      </c>
      <c r="H250" s="88">
        <f>IF($BE250=0,"",SUM($G$2:G250))</f>
        <v/>
      </c>
      <c r="I250" s="88">
        <f>IF($BE250=0,"",SUMIFS(Entries!$F$2:$F$5000,Entries!$A$2:$A$5000,$A250))</f>
        <v/>
      </c>
      <c r="J250" s="88">
        <f>IF($BE250=0,NA(),H250+SUM($I$2:I250))</f>
        <v/>
      </c>
      <c r="K250" s="88">
        <f>IF($BE250=0,"",SUMIFS(Entries!$D$2:$D$5000,Entries!$C$2:$C$5000,"Income",Entries!$A$2:$A$5000,"&gt;="&amp;EDATE($A250,-11),Entries!$A$2:$A$5000,"&lt;="&amp;$A250)/12)</f>
        <v/>
      </c>
      <c r="L250" s="88">
        <f>IF($BE250=0,"",(SUMIFS(Entries!$D$2:$D$5000,Entries!$C$2:$C$5000,"Actual",Entries!$A$2:$A$5000,"&gt;="&amp;EDATE($A250,-11),Entries!$A$2:$A$5000,"&lt;="&amp;$A250)+SUMIFS(Entries!$D$2:$D$5000,Entries!$C$2:$C$5000,"One-off",Entries!$A$2:$A$5000,"&gt;="&amp;EDATE($A250,-11),Entries!$A$2:$A$5000,"&lt;="&amp;$A250))/12)</f>
        <v/>
      </c>
      <c r="M250" s="71">
        <f>IF($BE250=0,NA(),IFERROR((K250-L250)/K250,0))</f>
        <v/>
      </c>
      <c r="O250" s="88">
        <f>IF(OR(O$1="",$BE250=0),"",SUMIFS(Entries!$D$2:$D$5000,Entries!$C$2:$C$5000,"Actual",Entries!$A$2:$A$5000,$A250,Entries!$B$2:$B$5000,O$1))</f>
        <v/>
      </c>
      <c r="P250" s="88">
        <f>IF(OR(P$1="",$BE250=0),"",SUMIFS(Entries!$D$2:$D$5000,Entries!$C$2:$C$5000,"Actual",Entries!$A$2:$A$5000,$A250,Entries!$B$2:$B$5000,P$1))</f>
        <v/>
      </c>
      <c r="Q250" s="88">
        <f>IF(OR(Q$1="",$BE250=0),"",SUMIFS(Entries!$D$2:$D$5000,Entries!$C$2:$C$5000,"Actual",Entries!$A$2:$A$5000,$A250,Entries!$B$2:$B$5000,Q$1))</f>
        <v/>
      </c>
      <c r="R250" s="88">
        <f>IF(OR(R$1="",$BE250=0),"",SUMIFS(Entries!$D$2:$D$5000,Entries!$C$2:$C$5000,"Actual",Entries!$A$2:$A$5000,$A250,Entries!$B$2:$B$5000,R$1))</f>
        <v/>
      </c>
      <c r="S250" s="88">
        <f>IF(OR(S$1="",$BE250=0),"",SUMIFS(Entries!$D$2:$D$5000,Entries!$C$2:$C$5000,"Actual",Entries!$A$2:$A$5000,$A250,Entries!$B$2:$B$5000,S$1))</f>
        <v/>
      </c>
      <c r="T250" s="88">
        <f>IF(OR(T$1="",$BE250=0),"",SUMIFS(Entries!$D$2:$D$5000,Entries!$C$2:$C$5000,"Actual",Entries!$A$2:$A$5000,$A250,Entries!$B$2:$B$5000,T$1))</f>
        <v/>
      </c>
      <c r="U250" s="88">
        <f>IF(OR(U$1="",$BE250=0),"",SUMIFS(Entries!$D$2:$D$5000,Entries!$C$2:$C$5000,"Actual",Entries!$A$2:$A$5000,$A250,Entries!$B$2:$B$5000,U$1))</f>
        <v/>
      </c>
      <c r="V250" s="88">
        <f>IF(OR(V$1="",$BE250=0),"",SUMIFS(Entries!$D$2:$D$5000,Entries!$C$2:$C$5000,"Actual",Entries!$A$2:$A$5000,$A250,Entries!$B$2:$B$5000,V$1))</f>
        <v/>
      </c>
      <c r="W250" s="88">
        <f>IF(OR(W$1="",$BE250=0),"",SUMIFS(Entries!$D$2:$D$5000,Entries!$C$2:$C$5000,"Actual",Entries!$A$2:$A$5000,$A250,Entries!$B$2:$B$5000,W$1))</f>
        <v/>
      </c>
      <c r="X250" s="88">
        <f>IF(OR(X$1="",$BE250=0),"",SUMIFS(Entries!$D$2:$D$5000,Entries!$C$2:$C$5000,"Actual",Entries!$A$2:$A$5000,$A250,Entries!$B$2:$B$5000,X$1))</f>
        <v/>
      </c>
      <c r="Y250" s="88">
        <f>IF(OR(Y$1="",$BE250=0),"",SUMIFS(Entries!$D$2:$D$5000,Entries!$C$2:$C$5000,"Actual",Entries!$A$2:$A$5000,$A250,Entries!$B$2:$B$5000,Y$1))</f>
        <v/>
      </c>
      <c r="Z250" s="88">
        <f>IF(OR(Z$1="",$BE250=0),"",SUMIFS(Entries!$D$2:$D$5000,Entries!$C$2:$C$5000,"Actual",Entries!$A$2:$A$5000,$A250,Entries!$B$2:$B$5000,Z$1))</f>
        <v/>
      </c>
      <c r="AA250" s="88">
        <f>IF(OR(AA$1="",$BE250=0),"",SUMIFS(Entries!$D$2:$D$5000,Entries!$C$2:$C$5000,"Actual",Entries!$A$2:$A$5000,$A250,Entries!$B$2:$B$5000,AA$1))</f>
        <v/>
      </c>
      <c r="AB250" s="88">
        <f>IF(OR(AB$1="",$BE250=0),"",SUMIFS(Entries!$D$2:$D$5000,Entries!$C$2:$C$5000,"Actual",Entries!$A$2:$A$5000,$A250,Entries!$B$2:$B$5000,AB$1))</f>
        <v/>
      </c>
      <c r="AC250" s="88">
        <f>IF(OR(AC$1="",$BE250=0),"",SUMIFS(Entries!$D$2:$D$5000,Entries!$C$2:$C$5000,"Actual",Entries!$A$2:$A$5000,$A250,Entries!$B$2:$B$5000,AC$1))</f>
        <v/>
      </c>
      <c r="AD250" s="88">
        <f>IF(OR(AD$1="",$BE250=0),"",SUMIFS(Entries!$D$2:$D$5000,Entries!$C$2:$C$5000,"Actual",Entries!$A$2:$A$5000,$A250,Entries!$B$2:$B$5000,AD$1))</f>
        <v/>
      </c>
      <c r="AE250" s="88">
        <f>IF(OR(AE$1="",$BE250=0),"",SUMIFS(Entries!$D$2:$D$5000,Entries!$C$2:$C$5000,"Actual",Entries!$A$2:$A$5000,$A250,Entries!$B$2:$B$5000,AE$1))</f>
        <v/>
      </c>
      <c r="AF250" s="88">
        <f>IF(OR(AF$1="",$BE250=0),"",SUMIFS(Entries!$D$2:$D$5000,Entries!$C$2:$C$5000,"Actual",Entries!$A$2:$A$5000,$A250,Entries!$B$2:$B$5000,AF$1))</f>
        <v/>
      </c>
      <c r="AG250" s="88">
        <f>IF(OR(AG$1="",$BE250=0),"",SUMIFS(Entries!$D$2:$D$5000,Entries!$C$2:$C$5000,"Actual",Entries!$A$2:$A$5000,$A250,Entries!$B$2:$B$5000,AG$1))</f>
        <v/>
      </c>
      <c r="AH250" s="88">
        <f>IF(OR(AH$1="",$BE250=0),"",SUMIFS(Entries!$D$2:$D$5000,Entries!$C$2:$C$5000,"Actual",Entries!$A$2:$A$5000,$A250,Entries!$B$2:$B$5000,AH$1))</f>
        <v/>
      </c>
      <c r="AJ250" s="88">
        <f>IF(OR(AJ$1="",$BE250=0),"",IFERROR(LOOKUP(2,1/((Budgets!$A$2:$A$200=AJ$1)*(Budgets!$B$2:$B$200&lt;=$A250)),Budgets!$C$2:$C$200),0))</f>
        <v/>
      </c>
      <c r="AK250" s="88">
        <f>IF(OR(AK$1="",$BE250=0),"",IFERROR(LOOKUP(2,1/((Budgets!$A$2:$A$200=AK$1)*(Budgets!$B$2:$B$200&lt;=$A250)),Budgets!$C$2:$C$200),0))</f>
        <v/>
      </c>
      <c r="AL250" s="88">
        <f>IF(OR(AL$1="",$BE250=0),"",IFERROR(LOOKUP(2,1/((Budgets!$A$2:$A$200=AL$1)*(Budgets!$B$2:$B$200&lt;=$A250)),Budgets!$C$2:$C$200),0))</f>
        <v/>
      </c>
      <c r="AM250" s="88">
        <f>IF(OR(AM$1="",$BE250=0),"",IFERROR(LOOKUP(2,1/((Budgets!$A$2:$A$200=AM$1)*(Budgets!$B$2:$B$200&lt;=$A250)),Budgets!$C$2:$C$200),0))</f>
        <v/>
      </c>
      <c r="AN250" s="88">
        <f>IF(OR(AN$1="",$BE250=0),"",IFERROR(LOOKUP(2,1/((Budgets!$A$2:$A$200=AN$1)*(Budgets!$B$2:$B$200&lt;=$A250)),Budgets!$C$2:$C$200),0))</f>
        <v/>
      </c>
      <c r="AO250" s="88">
        <f>IF(OR(AO$1="",$BE250=0),"",IFERROR(LOOKUP(2,1/((Budgets!$A$2:$A$200=AO$1)*(Budgets!$B$2:$B$200&lt;=$A250)),Budgets!$C$2:$C$200),0))</f>
        <v/>
      </c>
      <c r="AP250" s="88">
        <f>IF(OR(AP$1="",$BE250=0),"",IFERROR(LOOKUP(2,1/((Budgets!$A$2:$A$200=AP$1)*(Budgets!$B$2:$B$200&lt;=$A250)),Budgets!$C$2:$C$200),0))</f>
        <v/>
      </c>
      <c r="AQ250" s="88">
        <f>IF(OR(AQ$1="",$BE250=0),"",IFERROR(LOOKUP(2,1/((Budgets!$A$2:$A$200=AQ$1)*(Budgets!$B$2:$B$200&lt;=$A250)),Budgets!$C$2:$C$200),0))</f>
        <v/>
      </c>
      <c r="AR250" s="88">
        <f>IF(OR(AR$1="",$BE250=0),"",IFERROR(LOOKUP(2,1/((Budgets!$A$2:$A$200=AR$1)*(Budgets!$B$2:$B$200&lt;=$A250)),Budgets!$C$2:$C$200),0))</f>
        <v/>
      </c>
      <c r="AS250" s="88">
        <f>IF(OR(AS$1="",$BE250=0),"",IFERROR(LOOKUP(2,1/((Budgets!$A$2:$A$200=AS$1)*(Budgets!$B$2:$B$200&lt;=$A250)),Budgets!$C$2:$C$200),0))</f>
        <v/>
      </c>
      <c r="AT250" s="88">
        <f>IF(OR(AT$1="",$BE250=0),"",IFERROR(LOOKUP(2,1/((Budgets!$A$2:$A$200=AT$1)*(Budgets!$B$2:$B$200&lt;=$A250)),Budgets!$C$2:$C$200),0))</f>
        <v/>
      </c>
      <c r="AU250" s="88">
        <f>IF(OR(AU$1="",$BE250=0),"",IFERROR(LOOKUP(2,1/((Budgets!$A$2:$A$200=AU$1)*(Budgets!$B$2:$B$200&lt;=$A250)),Budgets!$C$2:$C$200),0))</f>
        <v/>
      </c>
      <c r="AV250" s="88">
        <f>IF(OR(AV$1="",$BE250=0),"",IFERROR(LOOKUP(2,1/((Budgets!$A$2:$A$200=AV$1)*(Budgets!$B$2:$B$200&lt;=$A250)),Budgets!$C$2:$C$200),0))</f>
        <v/>
      </c>
      <c r="AW250" s="88">
        <f>IF(OR(AW$1="",$BE250=0),"",IFERROR(LOOKUP(2,1/((Budgets!$A$2:$A$200=AW$1)*(Budgets!$B$2:$B$200&lt;=$A250)),Budgets!$C$2:$C$200),0))</f>
        <v/>
      </c>
      <c r="AX250" s="88">
        <f>IF(OR(AX$1="",$BE250=0),"",IFERROR(LOOKUP(2,1/((Budgets!$A$2:$A$200=AX$1)*(Budgets!$B$2:$B$200&lt;=$A250)),Budgets!$C$2:$C$200),0))</f>
        <v/>
      </c>
      <c r="AY250" s="88">
        <f>IF(OR(AY$1="",$BE250=0),"",IFERROR(LOOKUP(2,1/((Budgets!$A$2:$A$200=AY$1)*(Budgets!$B$2:$B$200&lt;=$A250)),Budgets!$C$2:$C$200),0))</f>
        <v/>
      </c>
      <c r="AZ250" s="88">
        <f>IF(OR(AZ$1="",$BE250=0),"",IFERROR(LOOKUP(2,1/((Budgets!$A$2:$A$200=AZ$1)*(Budgets!$B$2:$B$200&lt;=$A250)),Budgets!$C$2:$C$200),0))</f>
        <v/>
      </c>
      <c r="BA250" s="88">
        <f>IF(OR(BA$1="",$BE250=0),"",IFERROR(LOOKUP(2,1/((Budgets!$A$2:$A$200=BA$1)*(Budgets!$B$2:$B$200&lt;=$A250)),Budgets!$C$2:$C$200),0))</f>
        <v/>
      </c>
      <c r="BB250" s="88">
        <f>IF(OR(BB$1="",$BE250=0),"",IFERROR(LOOKUP(2,1/((Budgets!$A$2:$A$200=BB$1)*(Budgets!$B$2:$B$200&lt;=$A250)),Budgets!$C$2:$C$200),0))</f>
        <v/>
      </c>
      <c r="BC250" s="88">
        <f>IF(OR(BC$1="",$BE250=0),"",IFERROR(LOOKUP(2,1/((Budgets!$A$2:$A$200=BC$1)*(Budgets!$B$2:$B$200&lt;=$A250)),Budgets!$C$2:$C$200),0))</f>
        <v/>
      </c>
      <c r="BE250" s="67">
        <f>COUNTIFS(Entries!$A$2:$A$5000,$A250)</f>
        <v/>
      </c>
    </row>
    <row r="251" ht="15" customHeight="1" s="43">
      <c r="A251" s="87" t="n">
        <v>47027</v>
      </c>
      <c r="B251" s="88">
        <f>IF($BE251=0,NA(),SUMIFS(Entries!$D$2:$D$5000,Entries!$C$2:$C$5000,"Income",Entries!$A$2:$A$5000,$A251))</f>
        <v/>
      </c>
      <c r="C251" s="88">
        <f>IF($BE251=0,"",SUMIFS(Entries!$D$2:$D$5000,Entries!$C$2:$C$5000,"Actual",Entries!$A$2:$A$5000,$A251))</f>
        <v/>
      </c>
      <c r="D251" s="88">
        <f>IF($BE251=0,"",SUMIFS(Entries!$D$2:$D$5000,Entries!$C$2:$C$5000,"One-off",Entries!$A$2:$A$5000,$A251))</f>
        <v/>
      </c>
      <c r="E251" s="88">
        <f>IF($BE251=0,NA(),C251+D251)</f>
        <v/>
      </c>
      <c r="F251" s="88">
        <f>IF($BE251=0,"",SUM(AJ251:BC251))</f>
        <v/>
      </c>
      <c r="G251" s="88">
        <f>IF($BE251=0,"",B251-E251)</f>
        <v/>
      </c>
      <c r="H251" s="88">
        <f>IF($BE251=0,"",SUM($G$2:G251))</f>
        <v/>
      </c>
      <c r="I251" s="88">
        <f>IF($BE251=0,"",SUMIFS(Entries!$F$2:$F$5000,Entries!$A$2:$A$5000,$A251))</f>
        <v/>
      </c>
      <c r="J251" s="88">
        <f>IF($BE251=0,NA(),H251+SUM($I$2:I251))</f>
        <v/>
      </c>
      <c r="K251" s="88">
        <f>IF($BE251=0,"",SUMIFS(Entries!$D$2:$D$5000,Entries!$C$2:$C$5000,"Income",Entries!$A$2:$A$5000,"&gt;="&amp;EDATE($A251,-11),Entries!$A$2:$A$5000,"&lt;="&amp;$A251)/12)</f>
        <v/>
      </c>
      <c r="L251" s="88">
        <f>IF($BE251=0,"",(SUMIFS(Entries!$D$2:$D$5000,Entries!$C$2:$C$5000,"Actual",Entries!$A$2:$A$5000,"&gt;="&amp;EDATE($A251,-11),Entries!$A$2:$A$5000,"&lt;="&amp;$A251)+SUMIFS(Entries!$D$2:$D$5000,Entries!$C$2:$C$5000,"One-off",Entries!$A$2:$A$5000,"&gt;="&amp;EDATE($A251,-11),Entries!$A$2:$A$5000,"&lt;="&amp;$A251))/12)</f>
        <v/>
      </c>
      <c r="M251" s="71">
        <f>IF($BE251=0,NA(),IFERROR((K251-L251)/K251,0))</f>
        <v/>
      </c>
      <c r="O251" s="88">
        <f>IF(OR(O$1="",$BE251=0),"",SUMIFS(Entries!$D$2:$D$5000,Entries!$C$2:$C$5000,"Actual",Entries!$A$2:$A$5000,$A251,Entries!$B$2:$B$5000,O$1))</f>
        <v/>
      </c>
      <c r="P251" s="88">
        <f>IF(OR(P$1="",$BE251=0),"",SUMIFS(Entries!$D$2:$D$5000,Entries!$C$2:$C$5000,"Actual",Entries!$A$2:$A$5000,$A251,Entries!$B$2:$B$5000,P$1))</f>
        <v/>
      </c>
      <c r="Q251" s="88">
        <f>IF(OR(Q$1="",$BE251=0),"",SUMIFS(Entries!$D$2:$D$5000,Entries!$C$2:$C$5000,"Actual",Entries!$A$2:$A$5000,$A251,Entries!$B$2:$B$5000,Q$1))</f>
        <v/>
      </c>
      <c r="R251" s="88">
        <f>IF(OR(R$1="",$BE251=0),"",SUMIFS(Entries!$D$2:$D$5000,Entries!$C$2:$C$5000,"Actual",Entries!$A$2:$A$5000,$A251,Entries!$B$2:$B$5000,R$1))</f>
        <v/>
      </c>
      <c r="S251" s="88">
        <f>IF(OR(S$1="",$BE251=0),"",SUMIFS(Entries!$D$2:$D$5000,Entries!$C$2:$C$5000,"Actual",Entries!$A$2:$A$5000,$A251,Entries!$B$2:$B$5000,S$1))</f>
        <v/>
      </c>
      <c r="T251" s="88">
        <f>IF(OR(T$1="",$BE251=0),"",SUMIFS(Entries!$D$2:$D$5000,Entries!$C$2:$C$5000,"Actual",Entries!$A$2:$A$5000,$A251,Entries!$B$2:$B$5000,T$1))</f>
        <v/>
      </c>
      <c r="U251" s="88">
        <f>IF(OR(U$1="",$BE251=0),"",SUMIFS(Entries!$D$2:$D$5000,Entries!$C$2:$C$5000,"Actual",Entries!$A$2:$A$5000,$A251,Entries!$B$2:$B$5000,U$1))</f>
        <v/>
      </c>
      <c r="V251" s="88">
        <f>IF(OR(V$1="",$BE251=0),"",SUMIFS(Entries!$D$2:$D$5000,Entries!$C$2:$C$5000,"Actual",Entries!$A$2:$A$5000,$A251,Entries!$B$2:$B$5000,V$1))</f>
        <v/>
      </c>
      <c r="W251" s="88">
        <f>IF(OR(W$1="",$BE251=0),"",SUMIFS(Entries!$D$2:$D$5000,Entries!$C$2:$C$5000,"Actual",Entries!$A$2:$A$5000,$A251,Entries!$B$2:$B$5000,W$1))</f>
        <v/>
      </c>
      <c r="X251" s="88">
        <f>IF(OR(X$1="",$BE251=0),"",SUMIFS(Entries!$D$2:$D$5000,Entries!$C$2:$C$5000,"Actual",Entries!$A$2:$A$5000,$A251,Entries!$B$2:$B$5000,X$1))</f>
        <v/>
      </c>
      <c r="Y251" s="88">
        <f>IF(OR(Y$1="",$BE251=0),"",SUMIFS(Entries!$D$2:$D$5000,Entries!$C$2:$C$5000,"Actual",Entries!$A$2:$A$5000,$A251,Entries!$B$2:$B$5000,Y$1))</f>
        <v/>
      </c>
      <c r="Z251" s="88">
        <f>IF(OR(Z$1="",$BE251=0),"",SUMIFS(Entries!$D$2:$D$5000,Entries!$C$2:$C$5000,"Actual",Entries!$A$2:$A$5000,$A251,Entries!$B$2:$B$5000,Z$1))</f>
        <v/>
      </c>
      <c r="AA251" s="88">
        <f>IF(OR(AA$1="",$BE251=0),"",SUMIFS(Entries!$D$2:$D$5000,Entries!$C$2:$C$5000,"Actual",Entries!$A$2:$A$5000,$A251,Entries!$B$2:$B$5000,AA$1))</f>
        <v/>
      </c>
      <c r="AB251" s="88">
        <f>IF(OR(AB$1="",$BE251=0),"",SUMIFS(Entries!$D$2:$D$5000,Entries!$C$2:$C$5000,"Actual",Entries!$A$2:$A$5000,$A251,Entries!$B$2:$B$5000,AB$1))</f>
        <v/>
      </c>
      <c r="AC251" s="88">
        <f>IF(OR(AC$1="",$BE251=0),"",SUMIFS(Entries!$D$2:$D$5000,Entries!$C$2:$C$5000,"Actual",Entries!$A$2:$A$5000,$A251,Entries!$B$2:$B$5000,AC$1))</f>
        <v/>
      </c>
      <c r="AD251" s="88">
        <f>IF(OR(AD$1="",$BE251=0),"",SUMIFS(Entries!$D$2:$D$5000,Entries!$C$2:$C$5000,"Actual",Entries!$A$2:$A$5000,$A251,Entries!$B$2:$B$5000,AD$1))</f>
        <v/>
      </c>
      <c r="AE251" s="88">
        <f>IF(OR(AE$1="",$BE251=0),"",SUMIFS(Entries!$D$2:$D$5000,Entries!$C$2:$C$5000,"Actual",Entries!$A$2:$A$5000,$A251,Entries!$B$2:$B$5000,AE$1))</f>
        <v/>
      </c>
      <c r="AF251" s="88">
        <f>IF(OR(AF$1="",$BE251=0),"",SUMIFS(Entries!$D$2:$D$5000,Entries!$C$2:$C$5000,"Actual",Entries!$A$2:$A$5000,$A251,Entries!$B$2:$B$5000,AF$1))</f>
        <v/>
      </c>
      <c r="AG251" s="88">
        <f>IF(OR(AG$1="",$BE251=0),"",SUMIFS(Entries!$D$2:$D$5000,Entries!$C$2:$C$5000,"Actual",Entries!$A$2:$A$5000,$A251,Entries!$B$2:$B$5000,AG$1))</f>
        <v/>
      </c>
      <c r="AH251" s="88">
        <f>IF(OR(AH$1="",$BE251=0),"",SUMIFS(Entries!$D$2:$D$5000,Entries!$C$2:$C$5000,"Actual",Entries!$A$2:$A$5000,$A251,Entries!$B$2:$B$5000,AH$1))</f>
        <v/>
      </c>
      <c r="AJ251" s="88">
        <f>IF(OR(AJ$1="",$BE251=0),"",IFERROR(LOOKUP(2,1/((Budgets!$A$2:$A$200=AJ$1)*(Budgets!$B$2:$B$200&lt;=$A251)),Budgets!$C$2:$C$200),0))</f>
        <v/>
      </c>
      <c r="AK251" s="88">
        <f>IF(OR(AK$1="",$BE251=0),"",IFERROR(LOOKUP(2,1/((Budgets!$A$2:$A$200=AK$1)*(Budgets!$B$2:$B$200&lt;=$A251)),Budgets!$C$2:$C$200),0))</f>
        <v/>
      </c>
      <c r="AL251" s="88">
        <f>IF(OR(AL$1="",$BE251=0),"",IFERROR(LOOKUP(2,1/((Budgets!$A$2:$A$200=AL$1)*(Budgets!$B$2:$B$200&lt;=$A251)),Budgets!$C$2:$C$200),0))</f>
        <v/>
      </c>
      <c r="AM251" s="88">
        <f>IF(OR(AM$1="",$BE251=0),"",IFERROR(LOOKUP(2,1/((Budgets!$A$2:$A$200=AM$1)*(Budgets!$B$2:$B$200&lt;=$A251)),Budgets!$C$2:$C$200),0))</f>
        <v/>
      </c>
      <c r="AN251" s="88">
        <f>IF(OR(AN$1="",$BE251=0),"",IFERROR(LOOKUP(2,1/((Budgets!$A$2:$A$200=AN$1)*(Budgets!$B$2:$B$200&lt;=$A251)),Budgets!$C$2:$C$200),0))</f>
        <v/>
      </c>
      <c r="AO251" s="88">
        <f>IF(OR(AO$1="",$BE251=0),"",IFERROR(LOOKUP(2,1/((Budgets!$A$2:$A$200=AO$1)*(Budgets!$B$2:$B$200&lt;=$A251)),Budgets!$C$2:$C$200),0))</f>
        <v/>
      </c>
      <c r="AP251" s="88">
        <f>IF(OR(AP$1="",$BE251=0),"",IFERROR(LOOKUP(2,1/((Budgets!$A$2:$A$200=AP$1)*(Budgets!$B$2:$B$200&lt;=$A251)),Budgets!$C$2:$C$200),0))</f>
        <v/>
      </c>
      <c r="AQ251" s="88">
        <f>IF(OR(AQ$1="",$BE251=0),"",IFERROR(LOOKUP(2,1/((Budgets!$A$2:$A$200=AQ$1)*(Budgets!$B$2:$B$200&lt;=$A251)),Budgets!$C$2:$C$200),0))</f>
        <v/>
      </c>
      <c r="AR251" s="88">
        <f>IF(OR(AR$1="",$BE251=0),"",IFERROR(LOOKUP(2,1/((Budgets!$A$2:$A$200=AR$1)*(Budgets!$B$2:$B$200&lt;=$A251)),Budgets!$C$2:$C$200),0))</f>
        <v/>
      </c>
      <c r="AS251" s="88">
        <f>IF(OR(AS$1="",$BE251=0),"",IFERROR(LOOKUP(2,1/((Budgets!$A$2:$A$200=AS$1)*(Budgets!$B$2:$B$200&lt;=$A251)),Budgets!$C$2:$C$200),0))</f>
        <v/>
      </c>
      <c r="AT251" s="88">
        <f>IF(OR(AT$1="",$BE251=0),"",IFERROR(LOOKUP(2,1/((Budgets!$A$2:$A$200=AT$1)*(Budgets!$B$2:$B$200&lt;=$A251)),Budgets!$C$2:$C$200),0))</f>
        <v/>
      </c>
      <c r="AU251" s="88">
        <f>IF(OR(AU$1="",$BE251=0),"",IFERROR(LOOKUP(2,1/((Budgets!$A$2:$A$200=AU$1)*(Budgets!$B$2:$B$200&lt;=$A251)),Budgets!$C$2:$C$200),0))</f>
        <v/>
      </c>
      <c r="AV251" s="88">
        <f>IF(OR(AV$1="",$BE251=0),"",IFERROR(LOOKUP(2,1/((Budgets!$A$2:$A$200=AV$1)*(Budgets!$B$2:$B$200&lt;=$A251)),Budgets!$C$2:$C$200),0))</f>
        <v/>
      </c>
      <c r="AW251" s="88">
        <f>IF(OR(AW$1="",$BE251=0),"",IFERROR(LOOKUP(2,1/((Budgets!$A$2:$A$200=AW$1)*(Budgets!$B$2:$B$200&lt;=$A251)),Budgets!$C$2:$C$200),0))</f>
        <v/>
      </c>
      <c r="AX251" s="88">
        <f>IF(OR(AX$1="",$BE251=0),"",IFERROR(LOOKUP(2,1/((Budgets!$A$2:$A$200=AX$1)*(Budgets!$B$2:$B$200&lt;=$A251)),Budgets!$C$2:$C$200),0))</f>
        <v/>
      </c>
      <c r="AY251" s="88">
        <f>IF(OR(AY$1="",$BE251=0),"",IFERROR(LOOKUP(2,1/((Budgets!$A$2:$A$200=AY$1)*(Budgets!$B$2:$B$200&lt;=$A251)),Budgets!$C$2:$C$200),0))</f>
        <v/>
      </c>
      <c r="AZ251" s="88">
        <f>IF(OR(AZ$1="",$BE251=0),"",IFERROR(LOOKUP(2,1/((Budgets!$A$2:$A$200=AZ$1)*(Budgets!$B$2:$B$200&lt;=$A251)),Budgets!$C$2:$C$200),0))</f>
        <v/>
      </c>
      <c r="BA251" s="88">
        <f>IF(OR(BA$1="",$BE251=0),"",IFERROR(LOOKUP(2,1/((Budgets!$A$2:$A$200=BA$1)*(Budgets!$B$2:$B$200&lt;=$A251)),Budgets!$C$2:$C$200),0))</f>
        <v/>
      </c>
      <c r="BB251" s="88">
        <f>IF(OR(BB$1="",$BE251=0),"",IFERROR(LOOKUP(2,1/((Budgets!$A$2:$A$200=BB$1)*(Budgets!$B$2:$B$200&lt;=$A251)),Budgets!$C$2:$C$200),0))</f>
        <v/>
      </c>
      <c r="BC251" s="88">
        <f>IF(OR(BC$1="",$BE251=0),"",IFERROR(LOOKUP(2,1/((Budgets!$A$2:$A$200=BC$1)*(Budgets!$B$2:$B$200&lt;=$A251)),Budgets!$C$2:$C$200),0))</f>
        <v/>
      </c>
      <c r="BE251" s="67">
        <f>COUNTIFS(Entries!$A$2:$A$5000,$A251)</f>
        <v/>
      </c>
    </row>
    <row r="252" ht="15" customHeight="1" s="43">
      <c r="A252" s="87" t="n">
        <v>47058</v>
      </c>
      <c r="B252" s="88">
        <f>IF($BE252=0,NA(),SUMIFS(Entries!$D$2:$D$5000,Entries!$C$2:$C$5000,"Income",Entries!$A$2:$A$5000,$A252))</f>
        <v/>
      </c>
      <c r="C252" s="88">
        <f>IF($BE252=0,"",SUMIFS(Entries!$D$2:$D$5000,Entries!$C$2:$C$5000,"Actual",Entries!$A$2:$A$5000,$A252))</f>
        <v/>
      </c>
      <c r="D252" s="88">
        <f>IF($BE252=0,"",SUMIFS(Entries!$D$2:$D$5000,Entries!$C$2:$C$5000,"One-off",Entries!$A$2:$A$5000,$A252))</f>
        <v/>
      </c>
      <c r="E252" s="88">
        <f>IF($BE252=0,NA(),C252+D252)</f>
        <v/>
      </c>
      <c r="F252" s="88">
        <f>IF($BE252=0,"",SUM(AJ252:BC252))</f>
        <v/>
      </c>
      <c r="G252" s="88">
        <f>IF($BE252=0,"",B252-E252)</f>
        <v/>
      </c>
      <c r="H252" s="88">
        <f>IF($BE252=0,"",SUM($G$2:G252))</f>
        <v/>
      </c>
      <c r="I252" s="88">
        <f>IF($BE252=0,"",SUMIFS(Entries!$F$2:$F$5000,Entries!$A$2:$A$5000,$A252))</f>
        <v/>
      </c>
      <c r="J252" s="88">
        <f>IF($BE252=0,NA(),H252+SUM($I$2:I252))</f>
        <v/>
      </c>
      <c r="K252" s="88">
        <f>IF($BE252=0,"",SUMIFS(Entries!$D$2:$D$5000,Entries!$C$2:$C$5000,"Income",Entries!$A$2:$A$5000,"&gt;="&amp;EDATE($A252,-11),Entries!$A$2:$A$5000,"&lt;="&amp;$A252)/12)</f>
        <v/>
      </c>
      <c r="L252" s="88">
        <f>IF($BE252=0,"",(SUMIFS(Entries!$D$2:$D$5000,Entries!$C$2:$C$5000,"Actual",Entries!$A$2:$A$5000,"&gt;="&amp;EDATE($A252,-11),Entries!$A$2:$A$5000,"&lt;="&amp;$A252)+SUMIFS(Entries!$D$2:$D$5000,Entries!$C$2:$C$5000,"One-off",Entries!$A$2:$A$5000,"&gt;="&amp;EDATE($A252,-11),Entries!$A$2:$A$5000,"&lt;="&amp;$A252))/12)</f>
        <v/>
      </c>
      <c r="M252" s="71">
        <f>IF($BE252=0,NA(),IFERROR((K252-L252)/K252,0))</f>
        <v/>
      </c>
      <c r="O252" s="88">
        <f>IF(OR(O$1="",$BE252=0),"",SUMIFS(Entries!$D$2:$D$5000,Entries!$C$2:$C$5000,"Actual",Entries!$A$2:$A$5000,$A252,Entries!$B$2:$B$5000,O$1))</f>
        <v/>
      </c>
      <c r="P252" s="88">
        <f>IF(OR(P$1="",$BE252=0),"",SUMIFS(Entries!$D$2:$D$5000,Entries!$C$2:$C$5000,"Actual",Entries!$A$2:$A$5000,$A252,Entries!$B$2:$B$5000,P$1))</f>
        <v/>
      </c>
      <c r="Q252" s="88">
        <f>IF(OR(Q$1="",$BE252=0),"",SUMIFS(Entries!$D$2:$D$5000,Entries!$C$2:$C$5000,"Actual",Entries!$A$2:$A$5000,$A252,Entries!$B$2:$B$5000,Q$1))</f>
        <v/>
      </c>
      <c r="R252" s="88">
        <f>IF(OR(R$1="",$BE252=0),"",SUMIFS(Entries!$D$2:$D$5000,Entries!$C$2:$C$5000,"Actual",Entries!$A$2:$A$5000,$A252,Entries!$B$2:$B$5000,R$1))</f>
        <v/>
      </c>
      <c r="S252" s="88">
        <f>IF(OR(S$1="",$BE252=0),"",SUMIFS(Entries!$D$2:$D$5000,Entries!$C$2:$C$5000,"Actual",Entries!$A$2:$A$5000,$A252,Entries!$B$2:$B$5000,S$1))</f>
        <v/>
      </c>
      <c r="T252" s="88">
        <f>IF(OR(T$1="",$BE252=0),"",SUMIFS(Entries!$D$2:$D$5000,Entries!$C$2:$C$5000,"Actual",Entries!$A$2:$A$5000,$A252,Entries!$B$2:$B$5000,T$1))</f>
        <v/>
      </c>
      <c r="U252" s="88">
        <f>IF(OR(U$1="",$BE252=0),"",SUMIFS(Entries!$D$2:$D$5000,Entries!$C$2:$C$5000,"Actual",Entries!$A$2:$A$5000,$A252,Entries!$B$2:$B$5000,U$1))</f>
        <v/>
      </c>
      <c r="V252" s="88">
        <f>IF(OR(V$1="",$BE252=0),"",SUMIFS(Entries!$D$2:$D$5000,Entries!$C$2:$C$5000,"Actual",Entries!$A$2:$A$5000,$A252,Entries!$B$2:$B$5000,V$1))</f>
        <v/>
      </c>
      <c r="W252" s="88">
        <f>IF(OR(W$1="",$BE252=0),"",SUMIFS(Entries!$D$2:$D$5000,Entries!$C$2:$C$5000,"Actual",Entries!$A$2:$A$5000,$A252,Entries!$B$2:$B$5000,W$1))</f>
        <v/>
      </c>
      <c r="X252" s="88">
        <f>IF(OR(X$1="",$BE252=0),"",SUMIFS(Entries!$D$2:$D$5000,Entries!$C$2:$C$5000,"Actual",Entries!$A$2:$A$5000,$A252,Entries!$B$2:$B$5000,X$1))</f>
        <v/>
      </c>
      <c r="Y252" s="88">
        <f>IF(OR(Y$1="",$BE252=0),"",SUMIFS(Entries!$D$2:$D$5000,Entries!$C$2:$C$5000,"Actual",Entries!$A$2:$A$5000,$A252,Entries!$B$2:$B$5000,Y$1))</f>
        <v/>
      </c>
      <c r="Z252" s="88">
        <f>IF(OR(Z$1="",$BE252=0),"",SUMIFS(Entries!$D$2:$D$5000,Entries!$C$2:$C$5000,"Actual",Entries!$A$2:$A$5000,$A252,Entries!$B$2:$B$5000,Z$1))</f>
        <v/>
      </c>
      <c r="AA252" s="88">
        <f>IF(OR(AA$1="",$BE252=0),"",SUMIFS(Entries!$D$2:$D$5000,Entries!$C$2:$C$5000,"Actual",Entries!$A$2:$A$5000,$A252,Entries!$B$2:$B$5000,AA$1))</f>
        <v/>
      </c>
      <c r="AB252" s="88">
        <f>IF(OR(AB$1="",$BE252=0),"",SUMIFS(Entries!$D$2:$D$5000,Entries!$C$2:$C$5000,"Actual",Entries!$A$2:$A$5000,$A252,Entries!$B$2:$B$5000,AB$1))</f>
        <v/>
      </c>
      <c r="AC252" s="88">
        <f>IF(OR(AC$1="",$BE252=0),"",SUMIFS(Entries!$D$2:$D$5000,Entries!$C$2:$C$5000,"Actual",Entries!$A$2:$A$5000,$A252,Entries!$B$2:$B$5000,AC$1))</f>
        <v/>
      </c>
      <c r="AD252" s="88">
        <f>IF(OR(AD$1="",$BE252=0),"",SUMIFS(Entries!$D$2:$D$5000,Entries!$C$2:$C$5000,"Actual",Entries!$A$2:$A$5000,$A252,Entries!$B$2:$B$5000,AD$1))</f>
        <v/>
      </c>
      <c r="AE252" s="88">
        <f>IF(OR(AE$1="",$BE252=0),"",SUMIFS(Entries!$D$2:$D$5000,Entries!$C$2:$C$5000,"Actual",Entries!$A$2:$A$5000,$A252,Entries!$B$2:$B$5000,AE$1))</f>
        <v/>
      </c>
      <c r="AF252" s="88">
        <f>IF(OR(AF$1="",$BE252=0),"",SUMIFS(Entries!$D$2:$D$5000,Entries!$C$2:$C$5000,"Actual",Entries!$A$2:$A$5000,$A252,Entries!$B$2:$B$5000,AF$1))</f>
        <v/>
      </c>
      <c r="AG252" s="88">
        <f>IF(OR(AG$1="",$BE252=0),"",SUMIFS(Entries!$D$2:$D$5000,Entries!$C$2:$C$5000,"Actual",Entries!$A$2:$A$5000,$A252,Entries!$B$2:$B$5000,AG$1))</f>
        <v/>
      </c>
      <c r="AH252" s="88">
        <f>IF(OR(AH$1="",$BE252=0),"",SUMIFS(Entries!$D$2:$D$5000,Entries!$C$2:$C$5000,"Actual",Entries!$A$2:$A$5000,$A252,Entries!$B$2:$B$5000,AH$1))</f>
        <v/>
      </c>
      <c r="AJ252" s="88">
        <f>IF(OR(AJ$1="",$BE252=0),"",IFERROR(LOOKUP(2,1/((Budgets!$A$2:$A$200=AJ$1)*(Budgets!$B$2:$B$200&lt;=$A252)),Budgets!$C$2:$C$200),0))</f>
        <v/>
      </c>
      <c r="AK252" s="88">
        <f>IF(OR(AK$1="",$BE252=0),"",IFERROR(LOOKUP(2,1/((Budgets!$A$2:$A$200=AK$1)*(Budgets!$B$2:$B$200&lt;=$A252)),Budgets!$C$2:$C$200),0))</f>
        <v/>
      </c>
      <c r="AL252" s="88">
        <f>IF(OR(AL$1="",$BE252=0),"",IFERROR(LOOKUP(2,1/((Budgets!$A$2:$A$200=AL$1)*(Budgets!$B$2:$B$200&lt;=$A252)),Budgets!$C$2:$C$200),0))</f>
        <v/>
      </c>
      <c r="AM252" s="88">
        <f>IF(OR(AM$1="",$BE252=0),"",IFERROR(LOOKUP(2,1/((Budgets!$A$2:$A$200=AM$1)*(Budgets!$B$2:$B$200&lt;=$A252)),Budgets!$C$2:$C$200),0))</f>
        <v/>
      </c>
      <c r="AN252" s="88">
        <f>IF(OR(AN$1="",$BE252=0),"",IFERROR(LOOKUP(2,1/((Budgets!$A$2:$A$200=AN$1)*(Budgets!$B$2:$B$200&lt;=$A252)),Budgets!$C$2:$C$200),0))</f>
        <v/>
      </c>
      <c r="AO252" s="88">
        <f>IF(OR(AO$1="",$BE252=0),"",IFERROR(LOOKUP(2,1/((Budgets!$A$2:$A$200=AO$1)*(Budgets!$B$2:$B$200&lt;=$A252)),Budgets!$C$2:$C$200),0))</f>
        <v/>
      </c>
      <c r="AP252" s="88">
        <f>IF(OR(AP$1="",$BE252=0),"",IFERROR(LOOKUP(2,1/((Budgets!$A$2:$A$200=AP$1)*(Budgets!$B$2:$B$200&lt;=$A252)),Budgets!$C$2:$C$200),0))</f>
        <v/>
      </c>
      <c r="AQ252" s="88">
        <f>IF(OR(AQ$1="",$BE252=0),"",IFERROR(LOOKUP(2,1/((Budgets!$A$2:$A$200=AQ$1)*(Budgets!$B$2:$B$200&lt;=$A252)),Budgets!$C$2:$C$200),0))</f>
        <v/>
      </c>
      <c r="AR252" s="88">
        <f>IF(OR(AR$1="",$BE252=0),"",IFERROR(LOOKUP(2,1/((Budgets!$A$2:$A$200=AR$1)*(Budgets!$B$2:$B$200&lt;=$A252)),Budgets!$C$2:$C$200),0))</f>
        <v/>
      </c>
      <c r="AS252" s="88">
        <f>IF(OR(AS$1="",$BE252=0),"",IFERROR(LOOKUP(2,1/((Budgets!$A$2:$A$200=AS$1)*(Budgets!$B$2:$B$200&lt;=$A252)),Budgets!$C$2:$C$200),0))</f>
        <v/>
      </c>
      <c r="AT252" s="88">
        <f>IF(OR(AT$1="",$BE252=0),"",IFERROR(LOOKUP(2,1/((Budgets!$A$2:$A$200=AT$1)*(Budgets!$B$2:$B$200&lt;=$A252)),Budgets!$C$2:$C$200),0))</f>
        <v/>
      </c>
      <c r="AU252" s="88">
        <f>IF(OR(AU$1="",$BE252=0),"",IFERROR(LOOKUP(2,1/((Budgets!$A$2:$A$200=AU$1)*(Budgets!$B$2:$B$200&lt;=$A252)),Budgets!$C$2:$C$200),0))</f>
        <v/>
      </c>
      <c r="AV252" s="88">
        <f>IF(OR(AV$1="",$BE252=0),"",IFERROR(LOOKUP(2,1/((Budgets!$A$2:$A$200=AV$1)*(Budgets!$B$2:$B$200&lt;=$A252)),Budgets!$C$2:$C$200),0))</f>
        <v/>
      </c>
      <c r="AW252" s="88">
        <f>IF(OR(AW$1="",$BE252=0),"",IFERROR(LOOKUP(2,1/((Budgets!$A$2:$A$200=AW$1)*(Budgets!$B$2:$B$200&lt;=$A252)),Budgets!$C$2:$C$200),0))</f>
        <v/>
      </c>
      <c r="AX252" s="88">
        <f>IF(OR(AX$1="",$BE252=0),"",IFERROR(LOOKUP(2,1/((Budgets!$A$2:$A$200=AX$1)*(Budgets!$B$2:$B$200&lt;=$A252)),Budgets!$C$2:$C$200),0))</f>
        <v/>
      </c>
      <c r="AY252" s="88">
        <f>IF(OR(AY$1="",$BE252=0),"",IFERROR(LOOKUP(2,1/((Budgets!$A$2:$A$200=AY$1)*(Budgets!$B$2:$B$200&lt;=$A252)),Budgets!$C$2:$C$200),0))</f>
        <v/>
      </c>
      <c r="AZ252" s="88">
        <f>IF(OR(AZ$1="",$BE252=0),"",IFERROR(LOOKUP(2,1/((Budgets!$A$2:$A$200=AZ$1)*(Budgets!$B$2:$B$200&lt;=$A252)),Budgets!$C$2:$C$200),0))</f>
        <v/>
      </c>
      <c r="BA252" s="88">
        <f>IF(OR(BA$1="",$BE252=0),"",IFERROR(LOOKUP(2,1/((Budgets!$A$2:$A$200=BA$1)*(Budgets!$B$2:$B$200&lt;=$A252)),Budgets!$C$2:$C$200),0))</f>
        <v/>
      </c>
      <c r="BB252" s="88">
        <f>IF(OR(BB$1="",$BE252=0),"",IFERROR(LOOKUP(2,1/((Budgets!$A$2:$A$200=BB$1)*(Budgets!$B$2:$B$200&lt;=$A252)),Budgets!$C$2:$C$200),0))</f>
        <v/>
      </c>
      <c r="BC252" s="88">
        <f>IF(OR(BC$1="",$BE252=0),"",IFERROR(LOOKUP(2,1/((Budgets!$A$2:$A$200=BC$1)*(Budgets!$B$2:$B$200&lt;=$A252)),Budgets!$C$2:$C$200),0))</f>
        <v/>
      </c>
      <c r="BE252" s="67">
        <f>COUNTIFS(Entries!$A$2:$A$5000,$A252)</f>
        <v/>
      </c>
    </row>
    <row r="253" ht="15" customHeight="1" s="43">
      <c r="A253" s="87" t="n">
        <v>47088</v>
      </c>
      <c r="B253" s="88">
        <f>IF($BE253=0,NA(),SUMIFS(Entries!$D$2:$D$5000,Entries!$C$2:$C$5000,"Income",Entries!$A$2:$A$5000,$A253))</f>
        <v/>
      </c>
      <c r="C253" s="88">
        <f>IF($BE253=0,"",SUMIFS(Entries!$D$2:$D$5000,Entries!$C$2:$C$5000,"Actual",Entries!$A$2:$A$5000,$A253))</f>
        <v/>
      </c>
      <c r="D253" s="88">
        <f>IF($BE253=0,"",SUMIFS(Entries!$D$2:$D$5000,Entries!$C$2:$C$5000,"One-off",Entries!$A$2:$A$5000,$A253))</f>
        <v/>
      </c>
      <c r="E253" s="88">
        <f>IF($BE253=0,NA(),C253+D253)</f>
        <v/>
      </c>
      <c r="F253" s="88">
        <f>IF($BE253=0,"",SUM(AJ253:BC253))</f>
        <v/>
      </c>
      <c r="G253" s="88">
        <f>IF($BE253=0,"",B253-E253)</f>
        <v/>
      </c>
      <c r="H253" s="88">
        <f>IF($BE253=0,"",SUM($G$2:G253))</f>
        <v/>
      </c>
      <c r="I253" s="88">
        <f>IF($BE253=0,"",SUMIFS(Entries!$F$2:$F$5000,Entries!$A$2:$A$5000,$A253))</f>
        <v/>
      </c>
      <c r="J253" s="88">
        <f>IF($BE253=0,NA(),H253+SUM($I$2:I253))</f>
        <v/>
      </c>
      <c r="K253" s="88">
        <f>IF($BE253=0,"",SUMIFS(Entries!$D$2:$D$5000,Entries!$C$2:$C$5000,"Income",Entries!$A$2:$A$5000,"&gt;="&amp;EDATE($A253,-11),Entries!$A$2:$A$5000,"&lt;="&amp;$A253)/12)</f>
        <v/>
      </c>
      <c r="L253" s="88">
        <f>IF($BE253=0,"",(SUMIFS(Entries!$D$2:$D$5000,Entries!$C$2:$C$5000,"Actual",Entries!$A$2:$A$5000,"&gt;="&amp;EDATE($A253,-11),Entries!$A$2:$A$5000,"&lt;="&amp;$A253)+SUMIFS(Entries!$D$2:$D$5000,Entries!$C$2:$C$5000,"One-off",Entries!$A$2:$A$5000,"&gt;="&amp;EDATE($A253,-11),Entries!$A$2:$A$5000,"&lt;="&amp;$A253))/12)</f>
        <v/>
      </c>
      <c r="M253" s="71">
        <f>IF($BE253=0,NA(),IFERROR((K253-L253)/K253,0))</f>
        <v/>
      </c>
      <c r="O253" s="88">
        <f>IF(OR(O$1="",$BE253=0),"",SUMIFS(Entries!$D$2:$D$5000,Entries!$C$2:$C$5000,"Actual",Entries!$A$2:$A$5000,$A253,Entries!$B$2:$B$5000,O$1))</f>
        <v/>
      </c>
      <c r="P253" s="88">
        <f>IF(OR(P$1="",$BE253=0),"",SUMIFS(Entries!$D$2:$D$5000,Entries!$C$2:$C$5000,"Actual",Entries!$A$2:$A$5000,$A253,Entries!$B$2:$B$5000,P$1))</f>
        <v/>
      </c>
      <c r="Q253" s="88">
        <f>IF(OR(Q$1="",$BE253=0),"",SUMIFS(Entries!$D$2:$D$5000,Entries!$C$2:$C$5000,"Actual",Entries!$A$2:$A$5000,$A253,Entries!$B$2:$B$5000,Q$1))</f>
        <v/>
      </c>
      <c r="R253" s="88">
        <f>IF(OR(R$1="",$BE253=0),"",SUMIFS(Entries!$D$2:$D$5000,Entries!$C$2:$C$5000,"Actual",Entries!$A$2:$A$5000,$A253,Entries!$B$2:$B$5000,R$1))</f>
        <v/>
      </c>
      <c r="S253" s="88">
        <f>IF(OR(S$1="",$BE253=0),"",SUMIFS(Entries!$D$2:$D$5000,Entries!$C$2:$C$5000,"Actual",Entries!$A$2:$A$5000,$A253,Entries!$B$2:$B$5000,S$1))</f>
        <v/>
      </c>
      <c r="T253" s="88">
        <f>IF(OR(T$1="",$BE253=0),"",SUMIFS(Entries!$D$2:$D$5000,Entries!$C$2:$C$5000,"Actual",Entries!$A$2:$A$5000,$A253,Entries!$B$2:$B$5000,T$1))</f>
        <v/>
      </c>
      <c r="U253" s="88">
        <f>IF(OR(U$1="",$BE253=0),"",SUMIFS(Entries!$D$2:$D$5000,Entries!$C$2:$C$5000,"Actual",Entries!$A$2:$A$5000,$A253,Entries!$B$2:$B$5000,U$1))</f>
        <v/>
      </c>
      <c r="V253" s="88">
        <f>IF(OR(V$1="",$BE253=0),"",SUMIFS(Entries!$D$2:$D$5000,Entries!$C$2:$C$5000,"Actual",Entries!$A$2:$A$5000,$A253,Entries!$B$2:$B$5000,V$1))</f>
        <v/>
      </c>
      <c r="W253" s="88">
        <f>IF(OR(W$1="",$BE253=0),"",SUMIFS(Entries!$D$2:$D$5000,Entries!$C$2:$C$5000,"Actual",Entries!$A$2:$A$5000,$A253,Entries!$B$2:$B$5000,W$1))</f>
        <v/>
      </c>
      <c r="X253" s="88">
        <f>IF(OR(X$1="",$BE253=0),"",SUMIFS(Entries!$D$2:$D$5000,Entries!$C$2:$C$5000,"Actual",Entries!$A$2:$A$5000,$A253,Entries!$B$2:$B$5000,X$1))</f>
        <v/>
      </c>
      <c r="Y253" s="88">
        <f>IF(OR(Y$1="",$BE253=0),"",SUMIFS(Entries!$D$2:$D$5000,Entries!$C$2:$C$5000,"Actual",Entries!$A$2:$A$5000,$A253,Entries!$B$2:$B$5000,Y$1))</f>
        <v/>
      </c>
      <c r="Z253" s="88">
        <f>IF(OR(Z$1="",$BE253=0),"",SUMIFS(Entries!$D$2:$D$5000,Entries!$C$2:$C$5000,"Actual",Entries!$A$2:$A$5000,$A253,Entries!$B$2:$B$5000,Z$1))</f>
        <v/>
      </c>
      <c r="AA253" s="88">
        <f>IF(OR(AA$1="",$BE253=0),"",SUMIFS(Entries!$D$2:$D$5000,Entries!$C$2:$C$5000,"Actual",Entries!$A$2:$A$5000,$A253,Entries!$B$2:$B$5000,AA$1))</f>
        <v/>
      </c>
      <c r="AB253" s="88">
        <f>IF(OR(AB$1="",$BE253=0),"",SUMIFS(Entries!$D$2:$D$5000,Entries!$C$2:$C$5000,"Actual",Entries!$A$2:$A$5000,$A253,Entries!$B$2:$B$5000,AB$1))</f>
        <v/>
      </c>
      <c r="AC253" s="88">
        <f>IF(OR(AC$1="",$BE253=0),"",SUMIFS(Entries!$D$2:$D$5000,Entries!$C$2:$C$5000,"Actual",Entries!$A$2:$A$5000,$A253,Entries!$B$2:$B$5000,AC$1))</f>
        <v/>
      </c>
      <c r="AD253" s="88">
        <f>IF(OR(AD$1="",$BE253=0),"",SUMIFS(Entries!$D$2:$D$5000,Entries!$C$2:$C$5000,"Actual",Entries!$A$2:$A$5000,$A253,Entries!$B$2:$B$5000,AD$1))</f>
        <v/>
      </c>
      <c r="AE253" s="88">
        <f>IF(OR(AE$1="",$BE253=0),"",SUMIFS(Entries!$D$2:$D$5000,Entries!$C$2:$C$5000,"Actual",Entries!$A$2:$A$5000,$A253,Entries!$B$2:$B$5000,AE$1))</f>
        <v/>
      </c>
      <c r="AF253" s="88">
        <f>IF(OR(AF$1="",$BE253=0),"",SUMIFS(Entries!$D$2:$D$5000,Entries!$C$2:$C$5000,"Actual",Entries!$A$2:$A$5000,$A253,Entries!$B$2:$B$5000,AF$1))</f>
        <v/>
      </c>
      <c r="AG253" s="88">
        <f>IF(OR(AG$1="",$BE253=0),"",SUMIFS(Entries!$D$2:$D$5000,Entries!$C$2:$C$5000,"Actual",Entries!$A$2:$A$5000,$A253,Entries!$B$2:$B$5000,AG$1))</f>
        <v/>
      </c>
      <c r="AH253" s="88">
        <f>IF(OR(AH$1="",$BE253=0),"",SUMIFS(Entries!$D$2:$D$5000,Entries!$C$2:$C$5000,"Actual",Entries!$A$2:$A$5000,$A253,Entries!$B$2:$B$5000,AH$1))</f>
        <v/>
      </c>
      <c r="AJ253" s="88">
        <f>IF(OR(AJ$1="",$BE253=0),"",IFERROR(LOOKUP(2,1/((Budgets!$A$2:$A$200=AJ$1)*(Budgets!$B$2:$B$200&lt;=$A253)),Budgets!$C$2:$C$200),0))</f>
        <v/>
      </c>
      <c r="AK253" s="88">
        <f>IF(OR(AK$1="",$BE253=0),"",IFERROR(LOOKUP(2,1/((Budgets!$A$2:$A$200=AK$1)*(Budgets!$B$2:$B$200&lt;=$A253)),Budgets!$C$2:$C$200),0))</f>
        <v/>
      </c>
      <c r="AL253" s="88">
        <f>IF(OR(AL$1="",$BE253=0),"",IFERROR(LOOKUP(2,1/((Budgets!$A$2:$A$200=AL$1)*(Budgets!$B$2:$B$200&lt;=$A253)),Budgets!$C$2:$C$200),0))</f>
        <v/>
      </c>
      <c r="AM253" s="88">
        <f>IF(OR(AM$1="",$BE253=0),"",IFERROR(LOOKUP(2,1/((Budgets!$A$2:$A$200=AM$1)*(Budgets!$B$2:$B$200&lt;=$A253)),Budgets!$C$2:$C$200),0))</f>
        <v/>
      </c>
      <c r="AN253" s="88">
        <f>IF(OR(AN$1="",$BE253=0),"",IFERROR(LOOKUP(2,1/((Budgets!$A$2:$A$200=AN$1)*(Budgets!$B$2:$B$200&lt;=$A253)),Budgets!$C$2:$C$200),0))</f>
        <v/>
      </c>
      <c r="AO253" s="88">
        <f>IF(OR(AO$1="",$BE253=0),"",IFERROR(LOOKUP(2,1/((Budgets!$A$2:$A$200=AO$1)*(Budgets!$B$2:$B$200&lt;=$A253)),Budgets!$C$2:$C$200),0))</f>
        <v/>
      </c>
      <c r="AP253" s="88">
        <f>IF(OR(AP$1="",$BE253=0),"",IFERROR(LOOKUP(2,1/((Budgets!$A$2:$A$200=AP$1)*(Budgets!$B$2:$B$200&lt;=$A253)),Budgets!$C$2:$C$200),0))</f>
        <v/>
      </c>
      <c r="AQ253" s="88">
        <f>IF(OR(AQ$1="",$BE253=0),"",IFERROR(LOOKUP(2,1/((Budgets!$A$2:$A$200=AQ$1)*(Budgets!$B$2:$B$200&lt;=$A253)),Budgets!$C$2:$C$200),0))</f>
        <v/>
      </c>
      <c r="AR253" s="88">
        <f>IF(OR(AR$1="",$BE253=0),"",IFERROR(LOOKUP(2,1/((Budgets!$A$2:$A$200=AR$1)*(Budgets!$B$2:$B$200&lt;=$A253)),Budgets!$C$2:$C$200),0))</f>
        <v/>
      </c>
      <c r="AS253" s="88">
        <f>IF(OR(AS$1="",$BE253=0),"",IFERROR(LOOKUP(2,1/((Budgets!$A$2:$A$200=AS$1)*(Budgets!$B$2:$B$200&lt;=$A253)),Budgets!$C$2:$C$200),0))</f>
        <v/>
      </c>
      <c r="AT253" s="88">
        <f>IF(OR(AT$1="",$BE253=0),"",IFERROR(LOOKUP(2,1/((Budgets!$A$2:$A$200=AT$1)*(Budgets!$B$2:$B$200&lt;=$A253)),Budgets!$C$2:$C$200),0))</f>
        <v/>
      </c>
      <c r="AU253" s="88">
        <f>IF(OR(AU$1="",$BE253=0),"",IFERROR(LOOKUP(2,1/((Budgets!$A$2:$A$200=AU$1)*(Budgets!$B$2:$B$200&lt;=$A253)),Budgets!$C$2:$C$200),0))</f>
        <v/>
      </c>
      <c r="AV253" s="88">
        <f>IF(OR(AV$1="",$BE253=0),"",IFERROR(LOOKUP(2,1/((Budgets!$A$2:$A$200=AV$1)*(Budgets!$B$2:$B$200&lt;=$A253)),Budgets!$C$2:$C$200),0))</f>
        <v/>
      </c>
      <c r="AW253" s="88">
        <f>IF(OR(AW$1="",$BE253=0),"",IFERROR(LOOKUP(2,1/((Budgets!$A$2:$A$200=AW$1)*(Budgets!$B$2:$B$200&lt;=$A253)),Budgets!$C$2:$C$200),0))</f>
        <v/>
      </c>
      <c r="AX253" s="88">
        <f>IF(OR(AX$1="",$BE253=0),"",IFERROR(LOOKUP(2,1/((Budgets!$A$2:$A$200=AX$1)*(Budgets!$B$2:$B$200&lt;=$A253)),Budgets!$C$2:$C$200),0))</f>
        <v/>
      </c>
      <c r="AY253" s="88">
        <f>IF(OR(AY$1="",$BE253=0),"",IFERROR(LOOKUP(2,1/((Budgets!$A$2:$A$200=AY$1)*(Budgets!$B$2:$B$200&lt;=$A253)),Budgets!$C$2:$C$200),0))</f>
        <v/>
      </c>
      <c r="AZ253" s="88">
        <f>IF(OR(AZ$1="",$BE253=0),"",IFERROR(LOOKUP(2,1/((Budgets!$A$2:$A$200=AZ$1)*(Budgets!$B$2:$B$200&lt;=$A253)),Budgets!$C$2:$C$200),0))</f>
        <v/>
      </c>
      <c r="BA253" s="88">
        <f>IF(OR(BA$1="",$BE253=0),"",IFERROR(LOOKUP(2,1/((Budgets!$A$2:$A$200=BA$1)*(Budgets!$B$2:$B$200&lt;=$A253)),Budgets!$C$2:$C$200),0))</f>
        <v/>
      </c>
      <c r="BB253" s="88">
        <f>IF(OR(BB$1="",$BE253=0),"",IFERROR(LOOKUP(2,1/((Budgets!$A$2:$A$200=BB$1)*(Budgets!$B$2:$B$200&lt;=$A253)),Budgets!$C$2:$C$200),0))</f>
        <v/>
      </c>
      <c r="BC253" s="88">
        <f>IF(OR(BC$1="",$BE253=0),"",IFERROR(LOOKUP(2,1/((Budgets!$A$2:$A$200=BC$1)*(Budgets!$B$2:$B$200&lt;=$A253)),Budgets!$C$2:$C$200),0))</f>
        <v/>
      </c>
      <c r="BE253" s="67">
        <f>COUNTIFS(Entries!$A$2:$A$5000,$A253)</f>
        <v/>
      </c>
    </row>
    <row r="254" ht="15" customHeight="1" s="43">
      <c r="A254" s="87" t="n">
        <v>47119</v>
      </c>
      <c r="B254" s="88">
        <f>IF($BE254=0,NA(),SUMIFS(Entries!$D$2:$D$5000,Entries!$C$2:$C$5000,"Income",Entries!$A$2:$A$5000,$A254))</f>
        <v/>
      </c>
      <c r="C254" s="88">
        <f>IF($BE254=0,"",SUMIFS(Entries!$D$2:$D$5000,Entries!$C$2:$C$5000,"Actual",Entries!$A$2:$A$5000,$A254))</f>
        <v/>
      </c>
      <c r="D254" s="88">
        <f>IF($BE254=0,"",SUMIFS(Entries!$D$2:$D$5000,Entries!$C$2:$C$5000,"One-off",Entries!$A$2:$A$5000,$A254))</f>
        <v/>
      </c>
      <c r="E254" s="88">
        <f>IF($BE254=0,NA(),C254+D254)</f>
        <v/>
      </c>
      <c r="F254" s="88">
        <f>IF($BE254=0,"",SUM(AJ254:BC254))</f>
        <v/>
      </c>
      <c r="G254" s="88">
        <f>IF($BE254=0,"",B254-E254)</f>
        <v/>
      </c>
      <c r="H254" s="88">
        <f>IF($BE254=0,"",SUM($G$2:G254))</f>
        <v/>
      </c>
      <c r="I254" s="88">
        <f>IF($BE254=0,"",SUMIFS(Entries!$F$2:$F$5000,Entries!$A$2:$A$5000,$A254))</f>
        <v/>
      </c>
      <c r="J254" s="88">
        <f>IF($BE254=0,NA(),H254+SUM($I$2:I254))</f>
        <v/>
      </c>
      <c r="K254" s="88">
        <f>IF($BE254=0,"",SUMIFS(Entries!$D$2:$D$5000,Entries!$C$2:$C$5000,"Income",Entries!$A$2:$A$5000,"&gt;="&amp;EDATE($A254,-11),Entries!$A$2:$A$5000,"&lt;="&amp;$A254)/12)</f>
        <v/>
      </c>
      <c r="L254" s="88">
        <f>IF($BE254=0,"",(SUMIFS(Entries!$D$2:$D$5000,Entries!$C$2:$C$5000,"Actual",Entries!$A$2:$A$5000,"&gt;="&amp;EDATE($A254,-11),Entries!$A$2:$A$5000,"&lt;="&amp;$A254)+SUMIFS(Entries!$D$2:$D$5000,Entries!$C$2:$C$5000,"One-off",Entries!$A$2:$A$5000,"&gt;="&amp;EDATE($A254,-11),Entries!$A$2:$A$5000,"&lt;="&amp;$A254))/12)</f>
        <v/>
      </c>
      <c r="M254" s="71">
        <f>IF($BE254=0,NA(),IFERROR((K254-L254)/K254,0))</f>
        <v/>
      </c>
      <c r="O254" s="88">
        <f>IF(OR(O$1="",$BE254=0),"",SUMIFS(Entries!$D$2:$D$5000,Entries!$C$2:$C$5000,"Actual",Entries!$A$2:$A$5000,$A254,Entries!$B$2:$B$5000,O$1))</f>
        <v/>
      </c>
      <c r="P254" s="88">
        <f>IF(OR(P$1="",$BE254=0),"",SUMIFS(Entries!$D$2:$D$5000,Entries!$C$2:$C$5000,"Actual",Entries!$A$2:$A$5000,$A254,Entries!$B$2:$B$5000,P$1))</f>
        <v/>
      </c>
      <c r="Q254" s="88">
        <f>IF(OR(Q$1="",$BE254=0),"",SUMIFS(Entries!$D$2:$D$5000,Entries!$C$2:$C$5000,"Actual",Entries!$A$2:$A$5000,$A254,Entries!$B$2:$B$5000,Q$1))</f>
        <v/>
      </c>
      <c r="R254" s="88">
        <f>IF(OR(R$1="",$BE254=0),"",SUMIFS(Entries!$D$2:$D$5000,Entries!$C$2:$C$5000,"Actual",Entries!$A$2:$A$5000,$A254,Entries!$B$2:$B$5000,R$1))</f>
        <v/>
      </c>
      <c r="S254" s="88">
        <f>IF(OR(S$1="",$BE254=0),"",SUMIFS(Entries!$D$2:$D$5000,Entries!$C$2:$C$5000,"Actual",Entries!$A$2:$A$5000,$A254,Entries!$B$2:$B$5000,S$1))</f>
        <v/>
      </c>
      <c r="T254" s="88">
        <f>IF(OR(T$1="",$BE254=0),"",SUMIFS(Entries!$D$2:$D$5000,Entries!$C$2:$C$5000,"Actual",Entries!$A$2:$A$5000,$A254,Entries!$B$2:$B$5000,T$1))</f>
        <v/>
      </c>
      <c r="U254" s="88">
        <f>IF(OR(U$1="",$BE254=0),"",SUMIFS(Entries!$D$2:$D$5000,Entries!$C$2:$C$5000,"Actual",Entries!$A$2:$A$5000,$A254,Entries!$B$2:$B$5000,U$1))</f>
        <v/>
      </c>
      <c r="V254" s="88">
        <f>IF(OR(V$1="",$BE254=0),"",SUMIFS(Entries!$D$2:$D$5000,Entries!$C$2:$C$5000,"Actual",Entries!$A$2:$A$5000,$A254,Entries!$B$2:$B$5000,V$1))</f>
        <v/>
      </c>
      <c r="W254" s="88">
        <f>IF(OR(W$1="",$BE254=0),"",SUMIFS(Entries!$D$2:$D$5000,Entries!$C$2:$C$5000,"Actual",Entries!$A$2:$A$5000,$A254,Entries!$B$2:$B$5000,W$1))</f>
        <v/>
      </c>
      <c r="X254" s="88">
        <f>IF(OR(X$1="",$BE254=0),"",SUMIFS(Entries!$D$2:$D$5000,Entries!$C$2:$C$5000,"Actual",Entries!$A$2:$A$5000,$A254,Entries!$B$2:$B$5000,X$1))</f>
        <v/>
      </c>
      <c r="Y254" s="88">
        <f>IF(OR(Y$1="",$BE254=0),"",SUMIFS(Entries!$D$2:$D$5000,Entries!$C$2:$C$5000,"Actual",Entries!$A$2:$A$5000,$A254,Entries!$B$2:$B$5000,Y$1))</f>
        <v/>
      </c>
      <c r="Z254" s="88">
        <f>IF(OR(Z$1="",$BE254=0),"",SUMIFS(Entries!$D$2:$D$5000,Entries!$C$2:$C$5000,"Actual",Entries!$A$2:$A$5000,$A254,Entries!$B$2:$B$5000,Z$1))</f>
        <v/>
      </c>
      <c r="AA254" s="88">
        <f>IF(OR(AA$1="",$BE254=0),"",SUMIFS(Entries!$D$2:$D$5000,Entries!$C$2:$C$5000,"Actual",Entries!$A$2:$A$5000,$A254,Entries!$B$2:$B$5000,AA$1))</f>
        <v/>
      </c>
      <c r="AB254" s="88">
        <f>IF(OR(AB$1="",$BE254=0),"",SUMIFS(Entries!$D$2:$D$5000,Entries!$C$2:$C$5000,"Actual",Entries!$A$2:$A$5000,$A254,Entries!$B$2:$B$5000,AB$1))</f>
        <v/>
      </c>
      <c r="AC254" s="88">
        <f>IF(OR(AC$1="",$BE254=0),"",SUMIFS(Entries!$D$2:$D$5000,Entries!$C$2:$C$5000,"Actual",Entries!$A$2:$A$5000,$A254,Entries!$B$2:$B$5000,AC$1))</f>
        <v/>
      </c>
      <c r="AD254" s="88">
        <f>IF(OR(AD$1="",$BE254=0),"",SUMIFS(Entries!$D$2:$D$5000,Entries!$C$2:$C$5000,"Actual",Entries!$A$2:$A$5000,$A254,Entries!$B$2:$B$5000,AD$1))</f>
        <v/>
      </c>
      <c r="AE254" s="88">
        <f>IF(OR(AE$1="",$BE254=0),"",SUMIFS(Entries!$D$2:$D$5000,Entries!$C$2:$C$5000,"Actual",Entries!$A$2:$A$5000,$A254,Entries!$B$2:$B$5000,AE$1))</f>
        <v/>
      </c>
      <c r="AF254" s="88">
        <f>IF(OR(AF$1="",$BE254=0),"",SUMIFS(Entries!$D$2:$D$5000,Entries!$C$2:$C$5000,"Actual",Entries!$A$2:$A$5000,$A254,Entries!$B$2:$B$5000,AF$1))</f>
        <v/>
      </c>
      <c r="AG254" s="88">
        <f>IF(OR(AG$1="",$BE254=0),"",SUMIFS(Entries!$D$2:$D$5000,Entries!$C$2:$C$5000,"Actual",Entries!$A$2:$A$5000,$A254,Entries!$B$2:$B$5000,AG$1))</f>
        <v/>
      </c>
      <c r="AH254" s="88">
        <f>IF(OR(AH$1="",$BE254=0),"",SUMIFS(Entries!$D$2:$D$5000,Entries!$C$2:$C$5000,"Actual",Entries!$A$2:$A$5000,$A254,Entries!$B$2:$B$5000,AH$1))</f>
        <v/>
      </c>
      <c r="AJ254" s="88">
        <f>IF(OR(AJ$1="",$BE254=0),"",IFERROR(LOOKUP(2,1/((Budgets!$A$2:$A$200=AJ$1)*(Budgets!$B$2:$B$200&lt;=$A254)),Budgets!$C$2:$C$200),0))</f>
        <v/>
      </c>
      <c r="AK254" s="88">
        <f>IF(OR(AK$1="",$BE254=0),"",IFERROR(LOOKUP(2,1/((Budgets!$A$2:$A$200=AK$1)*(Budgets!$B$2:$B$200&lt;=$A254)),Budgets!$C$2:$C$200),0))</f>
        <v/>
      </c>
      <c r="AL254" s="88">
        <f>IF(OR(AL$1="",$BE254=0),"",IFERROR(LOOKUP(2,1/((Budgets!$A$2:$A$200=AL$1)*(Budgets!$B$2:$B$200&lt;=$A254)),Budgets!$C$2:$C$200),0))</f>
        <v/>
      </c>
      <c r="AM254" s="88">
        <f>IF(OR(AM$1="",$BE254=0),"",IFERROR(LOOKUP(2,1/((Budgets!$A$2:$A$200=AM$1)*(Budgets!$B$2:$B$200&lt;=$A254)),Budgets!$C$2:$C$200),0))</f>
        <v/>
      </c>
      <c r="AN254" s="88">
        <f>IF(OR(AN$1="",$BE254=0),"",IFERROR(LOOKUP(2,1/((Budgets!$A$2:$A$200=AN$1)*(Budgets!$B$2:$B$200&lt;=$A254)),Budgets!$C$2:$C$200),0))</f>
        <v/>
      </c>
      <c r="AO254" s="88">
        <f>IF(OR(AO$1="",$BE254=0),"",IFERROR(LOOKUP(2,1/((Budgets!$A$2:$A$200=AO$1)*(Budgets!$B$2:$B$200&lt;=$A254)),Budgets!$C$2:$C$200),0))</f>
        <v/>
      </c>
      <c r="AP254" s="88">
        <f>IF(OR(AP$1="",$BE254=0),"",IFERROR(LOOKUP(2,1/((Budgets!$A$2:$A$200=AP$1)*(Budgets!$B$2:$B$200&lt;=$A254)),Budgets!$C$2:$C$200),0))</f>
        <v/>
      </c>
      <c r="AQ254" s="88">
        <f>IF(OR(AQ$1="",$BE254=0),"",IFERROR(LOOKUP(2,1/((Budgets!$A$2:$A$200=AQ$1)*(Budgets!$B$2:$B$200&lt;=$A254)),Budgets!$C$2:$C$200),0))</f>
        <v/>
      </c>
      <c r="AR254" s="88">
        <f>IF(OR(AR$1="",$BE254=0),"",IFERROR(LOOKUP(2,1/((Budgets!$A$2:$A$200=AR$1)*(Budgets!$B$2:$B$200&lt;=$A254)),Budgets!$C$2:$C$200),0))</f>
        <v/>
      </c>
      <c r="AS254" s="88">
        <f>IF(OR(AS$1="",$BE254=0),"",IFERROR(LOOKUP(2,1/((Budgets!$A$2:$A$200=AS$1)*(Budgets!$B$2:$B$200&lt;=$A254)),Budgets!$C$2:$C$200),0))</f>
        <v/>
      </c>
      <c r="AT254" s="88">
        <f>IF(OR(AT$1="",$BE254=0),"",IFERROR(LOOKUP(2,1/((Budgets!$A$2:$A$200=AT$1)*(Budgets!$B$2:$B$200&lt;=$A254)),Budgets!$C$2:$C$200),0))</f>
        <v/>
      </c>
      <c r="AU254" s="88">
        <f>IF(OR(AU$1="",$BE254=0),"",IFERROR(LOOKUP(2,1/((Budgets!$A$2:$A$200=AU$1)*(Budgets!$B$2:$B$200&lt;=$A254)),Budgets!$C$2:$C$200),0))</f>
        <v/>
      </c>
      <c r="AV254" s="88">
        <f>IF(OR(AV$1="",$BE254=0),"",IFERROR(LOOKUP(2,1/((Budgets!$A$2:$A$200=AV$1)*(Budgets!$B$2:$B$200&lt;=$A254)),Budgets!$C$2:$C$200),0))</f>
        <v/>
      </c>
      <c r="AW254" s="88">
        <f>IF(OR(AW$1="",$BE254=0),"",IFERROR(LOOKUP(2,1/((Budgets!$A$2:$A$200=AW$1)*(Budgets!$B$2:$B$200&lt;=$A254)),Budgets!$C$2:$C$200),0))</f>
        <v/>
      </c>
      <c r="AX254" s="88">
        <f>IF(OR(AX$1="",$BE254=0),"",IFERROR(LOOKUP(2,1/((Budgets!$A$2:$A$200=AX$1)*(Budgets!$B$2:$B$200&lt;=$A254)),Budgets!$C$2:$C$200),0))</f>
        <v/>
      </c>
      <c r="AY254" s="88">
        <f>IF(OR(AY$1="",$BE254=0),"",IFERROR(LOOKUP(2,1/((Budgets!$A$2:$A$200=AY$1)*(Budgets!$B$2:$B$200&lt;=$A254)),Budgets!$C$2:$C$200),0))</f>
        <v/>
      </c>
      <c r="AZ254" s="88">
        <f>IF(OR(AZ$1="",$BE254=0),"",IFERROR(LOOKUP(2,1/((Budgets!$A$2:$A$200=AZ$1)*(Budgets!$B$2:$B$200&lt;=$A254)),Budgets!$C$2:$C$200),0))</f>
        <v/>
      </c>
      <c r="BA254" s="88">
        <f>IF(OR(BA$1="",$BE254=0),"",IFERROR(LOOKUP(2,1/((Budgets!$A$2:$A$200=BA$1)*(Budgets!$B$2:$B$200&lt;=$A254)),Budgets!$C$2:$C$200),0))</f>
        <v/>
      </c>
      <c r="BB254" s="88">
        <f>IF(OR(BB$1="",$BE254=0),"",IFERROR(LOOKUP(2,1/((Budgets!$A$2:$A$200=BB$1)*(Budgets!$B$2:$B$200&lt;=$A254)),Budgets!$C$2:$C$200),0))</f>
        <v/>
      </c>
      <c r="BC254" s="88">
        <f>IF(OR(BC$1="",$BE254=0),"",IFERROR(LOOKUP(2,1/((Budgets!$A$2:$A$200=BC$1)*(Budgets!$B$2:$B$200&lt;=$A254)),Budgets!$C$2:$C$200),0))</f>
        <v/>
      </c>
      <c r="BE254" s="67">
        <f>COUNTIFS(Entries!$A$2:$A$5000,$A254)</f>
        <v/>
      </c>
    </row>
    <row r="255" ht="15" customHeight="1" s="43">
      <c r="A255" s="87" t="n">
        <v>47150</v>
      </c>
      <c r="B255" s="88">
        <f>IF($BE255=0,NA(),SUMIFS(Entries!$D$2:$D$5000,Entries!$C$2:$C$5000,"Income",Entries!$A$2:$A$5000,$A255))</f>
        <v/>
      </c>
      <c r="C255" s="88">
        <f>IF($BE255=0,"",SUMIFS(Entries!$D$2:$D$5000,Entries!$C$2:$C$5000,"Actual",Entries!$A$2:$A$5000,$A255))</f>
        <v/>
      </c>
      <c r="D255" s="88">
        <f>IF($BE255=0,"",SUMIFS(Entries!$D$2:$D$5000,Entries!$C$2:$C$5000,"One-off",Entries!$A$2:$A$5000,$A255))</f>
        <v/>
      </c>
      <c r="E255" s="88">
        <f>IF($BE255=0,NA(),C255+D255)</f>
        <v/>
      </c>
      <c r="F255" s="88">
        <f>IF($BE255=0,"",SUM(AJ255:BC255))</f>
        <v/>
      </c>
      <c r="G255" s="88">
        <f>IF($BE255=0,"",B255-E255)</f>
        <v/>
      </c>
      <c r="H255" s="88">
        <f>IF($BE255=0,"",SUM($G$2:G255))</f>
        <v/>
      </c>
      <c r="I255" s="88">
        <f>IF($BE255=0,"",SUMIFS(Entries!$F$2:$F$5000,Entries!$A$2:$A$5000,$A255))</f>
        <v/>
      </c>
      <c r="J255" s="88">
        <f>IF($BE255=0,NA(),H255+SUM($I$2:I255))</f>
        <v/>
      </c>
      <c r="K255" s="88">
        <f>IF($BE255=0,"",SUMIFS(Entries!$D$2:$D$5000,Entries!$C$2:$C$5000,"Income",Entries!$A$2:$A$5000,"&gt;="&amp;EDATE($A255,-11),Entries!$A$2:$A$5000,"&lt;="&amp;$A255)/12)</f>
        <v/>
      </c>
      <c r="L255" s="88">
        <f>IF($BE255=0,"",(SUMIFS(Entries!$D$2:$D$5000,Entries!$C$2:$C$5000,"Actual",Entries!$A$2:$A$5000,"&gt;="&amp;EDATE($A255,-11),Entries!$A$2:$A$5000,"&lt;="&amp;$A255)+SUMIFS(Entries!$D$2:$D$5000,Entries!$C$2:$C$5000,"One-off",Entries!$A$2:$A$5000,"&gt;="&amp;EDATE($A255,-11),Entries!$A$2:$A$5000,"&lt;="&amp;$A255))/12)</f>
        <v/>
      </c>
      <c r="M255" s="71">
        <f>IF($BE255=0,NA(),IFERROR((K255-L255)/K255,0))</f>
        <v/>
      </c>
      <c r="O255" s="88">
        <f>IF(OR(O$1="",$BE255=0),"",SUMIFS(Entries!$D$2:$D$5000,Entries!$C$2:$C$5000,"Actual",Entries!$A$2:$A$5000,$A255,Entries!$B$2:$B$5000,O$1))</f>
        <v/>
      </c>
      <c r="P255" s="88">
        <f>IF(OR(P$1="",$BE255=0),"",SUMIFS(Entries!$D$2:$D$5000,Entries!$C$2:$C$5000,"Actual",Entries!$A$2:$A$5000,$A255,Entries!$B$2:$B$5000,P$1))</f>
        <v/>
      </c>
      <c r="Q255" s="88">
        <f>IF(OR(Q$1="",$BE255=0),"",SUMIFS(Entries!$D$2:$D$5000,Entries!$C$2:$C$5000,"Actual",Entries!$A$2:$A$5000,$A255,Entries!$B$2:$B$5000,Q$1))</f>
        <v/>
      </c>
      <c r="R255" s="88">
        <f>IF(OR(R$1="",$BE255=0),"",SUMIFS(Entries!$D$2:$D$5000,Entries!$C$2:$C$5000,"Actual",Entries!$A$2:$A$5000,$A255,Entries!$B$2:$B$5000,R$1))</f>
        <v/>
      </c>
      <c r="S255" s="88">
        <f>IF(OR(S$1="",$BE255=0),"",SUMIFS(Entries!$D$2:$D$5000,Entries!$C$2:$C$5000,"Actual",Entries!$A$2:$A$5000,$A255,Entries!$B$2:$B$5000,S$1))</f>
        <v/>
      </c>
      <c r="T255" s="88">
        <f>IF(OR(T$1="",$BE255=0),"",SUMIFS(Entries!$D$2:$D$5000,Entries!$C$2:$C$5000,"Actual",Entries!$A$2:$A$5000,$A255,Entries!$B$2:$B$5000,T$1))</f>
        <v/>
      </c>
      <c r="U255" s="88">
        <f>IF(OR(U$1="",$BE255=0),"",SUMIFS(Entries!$D$2:$D$5000,Entries!$C$2:$C$5000,"Actual",Entries!$A$2:$A$5000,$A255,Entries!$B$2:$B$5000,U$1))</f>
        <v/>
      </c>
      <c r="V255" s="88">
        <f>IF(OR(V$1="",$BE255=0),"",SUMIFS(Entries!$D$2:$D$5000,Entries!$C$2:$C$5000,"Actual",Entries!$A$2:$A$5000,$A255,Entries!$B$2:$B$5000,V$1))</f>
        <v/>
      </c>
      <c r="W255" s="88">
        <f>IF(OR(W$1="",$BE255=0),"",SUMIFS(Entries!$D$2:$D$5000,Entries!$C$2:$C$5000,"Actual",Entries!$A$2:$A$5000,$A255,Entries!$B$2:$B$5000,W$1))</f>
        <v/>
      </c>
      <c r="X255" s="88">
        <f>IF(OR(X$1="",$BE255=0),"",SUMIFS(Entries!$D$2:$D$5000,Entries!$C$2:$C$5000,"Actual",Entries!$A$2:$A$5000,$A255,Entries!$B$2:$B$5000,X$1))</f>
        <v/>
      </c>
      <c r="Y255" s="88">
        <f>IF(OR(Y$1="",$BE255=0),"",SUMIFS(Entries!$D$2:$D$5000,Entries!$C$2:$C$5000,"Actual",Entries!$A$2:$A$5000,$A255,Entries!$B$2:$B$5000,Y$1))</f>
        <v/>
      </c>
      <c r="Z255" s="88">
        <f>IF(OR(Z$1="",$BE255=0),"",SUMIFS(Entries!$D$2:$D$5000,Entries!$C$2:$C$5000,"Actual",Entries!$A$2:$A$5000,$A255,Entries!$B$2:$B$5000,Z$1))</f>
        <v/>
      </c>
      <c r="AA255" s="88">
        <f>IF(OR(AA$1="",$BE255=0),"",SUMIFS(Entries!$D$2:$D$5000,Entries!$C$2:$C$5000,"Actual",Entries!$A$2:$A$5000,$A255,Entries!$B$2:$B$5000,AA$1))</f>
        <v/>
      </c>
      <c r="AB255" s="88">
        <f>IF(OR(AB$1="",$BE255=0),"",SUMIFS(Entries!$D$2:$D$5000,Entries!$C$2:$C$5000,"Actual",Entries!$A$2:$A$5000,$A255,Entries!$B$2:$B$5000,AB$1))</f>
        <v/>
      </c>
      <c r="AC255" s="88">
        <f>IF(OR(AC$1="",$BE255=0),"",SUMIFS(Entries!$D$2:$D$5000,Entries!$C$2:$C$5000,"Actual",Entries!$A$2:$A$5000,$A255,Entries!$B$2:$B$5000,AC$1))</f>
        <v/>
      </c>
      <c r="AD255" s="88">
        <f>IF(OR(AD$1="",$BE255=0),"",SUMIFS(Entries!$D$2:$D$5000,Entries!$C$2:$C$5000,"Actual",Entries!$A$2:$A$5000,$A255,Entries!$B$2:$B$5000,AD$1))</f>
        <v/>
      </c>
      <c r="AE255" s="88">
        <f>IF(OR(AE$1="",$BE255=0),"",SUMIFS(Entries!$D$2:$D$5000,Entries!$C$2:$C$5000,"Actual",Entries!$A$2:$A$5000,$A255,Entries!$B$2:$B$5000,AE$1))</f>
        <v/>
      </c>
      <c r="AF255" s="88">
        <f>IF(OR(AF$1="",$BE255=0),"",SUMIFS(Entries!$D$2:$D$5000,Entries!$C$2:$C$5000,"Actual",Entries!$A$2:$A$5000,$A255,Entries!$B$2:$B$5000,AF$1))</f>
        <v/>
      </c>
      <c r="AG255" s="88">
        <f>IF(OR(AG$1="",$BE255=0),"",SUMIFS(Entries!$D$2:$D$5000,Entries!$C$2:$C$5000,"Actual",Entries!$A$2:$A$5000,$A255,Entries!$B$2:$B$5000,AG$1))</f>
        <v/>
      </c>
      <c r="AH255" s="88">
        <f>IF(OR(AH$1="",$BE255=0),"",SUMIFS(Entries!$D$2:$D$5000,Entries!$C$2:$C$5000,"Actual",Entries!$A$2:$A$5000,$A255,Entries!$B$2:$B$5000,AH$1))</f>
        <v/>
      </c>
      <c r="AJ255" s="88">
        <f>IF(OR(AJ$1="",$BE255=0),"",IFERROR(LOOKUP(2,1/((Budgets!$A$2:$A$200=AJ$1)*(Budgets!$B$2:$B$200&lt;=$A255)),Budgets!$C$2:$C$200),0))</f>
        <v/>
      </c>
      <c r="AK255" s="88">
        <f>IF(OR(AK$1="",$BE255=0),"",IFERROR(LOOKUP(2,1/((Budgets!$A$2:$A$200=AK$1)*(Budgets!$B$2:$B$200&lt;=$A255)),Budgets!$C$2:$C$200),0))</f>
        <v/>
      </c>
      <c r="AL255" s="88">
        <f>IF(OR(AL$1="",$BE255=0),"",IFERROR(LOOKUP(2,1/((Budgets!$A$2:$A$200=AL$1)*(Budgets!$B$2:$B$200&lt;=$A255)),Budgets!$C$2:$C$200),0))</f>
        <v/>
      </c>
      <c r="AM255" s="88">
        <f>IF(OR(AM$1="",$BE255=0),"",IFERROR(LOOKUP(2,1/((Budgets!$A$2:$A$200=AM$1)*(Budgets!$B$2:$B$200&lt;=$A255)),Budgets!$C$2:$C$200),0))</f>
        <v/>
      </c>
      <c r="AN255" s="88">
        <f>IF(OR(AN$1="",$BE255=0),"",IFERROR(LOOKUP(2,1/((Budgets!$A$2:$A$200=AN$1)*(Budgets!$B$2:$B$200&lt;=$A255)),Budgets!$C$2:$C$200),0))</f>
        <v/>
      </c>
      <c r="AO255" s="88">
        <f>IF(OR(AO$1="",$BE255=0),"",IFERROR(LOOKUP(2,1/((Budgets!$A$2:$A$200=AO$1)*(Budgets!$B$2:$B$200&lt;=$A255)),Budgets!$C$2:$C$200),0))</f>
        <v/>
      </c>
      <c r="AP255" s="88">
        <f>IF(OR(AP$1="",$BE255=0),"",IFERROR(LOOKUP(2,1/((Budgets!$A$2:$A$200=AP$1)*(Budgets!$B$2:$B$200&lt;=$A255)),Budgets!$C$2:$C$200),0))</f>
        <v/>
      </c>
      <c r="AQ255" s="88">
        <f>IF(OR(AQ$1="",$BE255=0),"",IFERROR(LOOKUP(2,1/((Budgets!$A$2:$A$200=AQ$1)*(Budgets!$B$2:$B$200&lt;=$A255)),Budgets!$C$2:$C$200),0))</f>
        <v/>
      </c>
      <c r="AR255" s="88">
        <f>IF(OR(AR$1="",$BE255=0),"",IFERROR(LOOKUP(2,1/((Budgets!$A$2:$A$200=AR$1)*(Budgets!$B$2:$B$200&lt;=$A255)),Budgets!$C$2:$C$200),0))</f>
        <v/>
      </c>
      <c r="AS255" s="88">
        <f>IF(OR(AS$1="",$BE255=0),"",IFERROR(LOOKUP(2,1/((Budgets!$A$2:$A$200=AS$1)*(Budgets!$B$2:$B$200&lt;=$A255)),Budgets!$C$2:$C$200),0))</f>
        <v/>
      </c>
      <c r="AT255" s="88">
        <f>IF(OR(AT$1="",$BE255=0),"",IFERROR(LOOKUP(2,1/((Budgets!$A$2:$A$200=AT$1)*(Budgets!$B$2:$B$200&lt;=$A255)),Budgets!$C$2:$C$200),0))</f>
        <v/>
      </c>
      <c r="AU255" s="88">
        <f>IF(OR(AU$1="",$BE255=0),"",IFERROR(LOOKUP(2,1/((Budgets!$A$2:$A$200=AU$1)*(Budgets!$B$2:$B$200&lt;=$A255)),Budgets!$C$2:$C$200),0))</f>
        <v/>
      </c>
      <c r="AV255" s="88">
        <f>IF(OR(AV$1="",$BE255=0),"",IFERROR(LOOKUP(2,1/((Budgets!$A$2:$A$200=AV$1)*(Budgets!$B$2:$B$200&lt;=$A255)),Budgets!$C$2:$C$200),0))</f>
        <v/>
      </c>
      <c r="AW255" s="88">
        <f>IF(OR(AW$1="",$BE255=0),"",IFERROR(LOOKUP(2,1/((Budgets!$A$2:$A$200=AW$1)*(Budgets!$B$2:$B$200&lt;=$A255)),Budgets!$C$2:$C$200),0))</f>
        <v/>
      </c>
      <c r="AX255" s="88">
        <f>IF(OR(AX$1="",$BE255=0),"",IFERROR(LOOKUP(2,1/((Budgets!$A$2:$A$200=AX$1)*(Budgets!$B$2:$B$200&lt;=$A255)),Budgets!$C$2:$C$200),0))</f>
        <v/>
      </c>
      <c r="AY255" s="88">
        <f>IF(OR(AY$1="",$BE255=0),"",IFERROR(LOOKUP(2,1/((Budgets!$A$2:$A$200=AY$1)*(Budgets!$B$2:$B$200&lt;=$A255)),Budgets!$C$2:$C$200),0))</f>
        <v/>
      </c>
      <c r="AZ255" s="88">
        <f>IF(OR(AZ$1="",$BE255=0),"",IFERROR(LOOKUP(2,1/((Budgets!$A$2:$A$200=AZ$1)*(Budgets!$B$2:$B$200&lt;=$A255)),Budgets!$C$2:$C$200),0))</f>
        <v/>
      </c>
      <c r="BA255" s="88">
        <f>IF(OR(BA$1="",$BE255=0),"",IFERROR(LOOKUP(2,1/((Budgets!$A$2:$A$200=BA$1)*(Budgets!$B$2:$B$200&lt;=$A255)),Budgets!$C$2:$C$200),0))</f>
        <v/>
      </c>
      <c r="BB255" s="88">
        <f>IF(OR(BB$1="",$BE255=0),"",IFERROR(LOOKUP(2,1/((Budgets!$A$2:$A$200=BB$1)*(Budgets!$B$2:$B$200&lt;=$A255)),Budgets!$C$2:$C$200),0))</f>
        <v/>
      </c>
      <c r="BC255" s="88">
        <f>IF(OR(BC$1="",$BE255=0),"",IFERROR(LOOKUP(2,1/((Budgets!$A$2:$A$200=BC$1)*(Budgets!$B$2:$B$200&lt;=$A255)),Budgets!$C$2:$C$200),0))</f>
        <v/>
      </c>
      <c r="BE255" s="67">
        <f>COUNTIFS(Entries!$A$2:$A$5000,$A255)</f>
        <v/>
      </c>
    </row>
    <row r="256" ht="15" customHeight="1" s="43">
      <c r="A256" s="87" t="n">
        <v>47178</v>
      </c>
      <c r="B256" s="88">
        <f>IF($BE256=0,NA(),SUMIFS(Entries!$D$2:$D$5000,Entries!$C$2:$C$5000,"Income",Entries!$A$2:$A$5000,$A256))</f>
        <v/>
      </c>
      <c r="C256" s="88">
        <f>IF($BE256=0,"",SUMIFS(Entries!$D$2:$D$5000,Entries!$C$2:$C$5000,"Actual",Entries!$A$2:$A$5000,$A256))</f>
        <v/>
      </c>
      <c r="D256" s="88">
        <f>IF($BE256=0,"",SUMIFS(Entries!$D$2:$D$5000,Entries!$C$2:$C$5000,"One-off",Entries!$A$2:$A$5000,$A256))</f>
        <v/>
      </c>
      <c r="E256" s="88">
        <f>IF($BE256=0,NA(),C256+D256)</f>
        <v/>
      </c>
      <c r="F256" s="88">
        <f>IF($BE256=0,"",SUM(AJ256:BC256))</f>
        <v/>
      </c>
      <c r="G256" s="88">
        <f>IF($BE256=0,"",B256-E256)</f>
        <v/>
      </c>
      <c r="H256" s="88">
        <f>IF($BE256=0,"",SUM($G$2:G256))</f>
        <v/>
      </c>
      <c r="I256" s="88">
        <f>IF($BE256=0,"",SUMIFS(Entries!$F$2:$F$5000,Entries!$A$2:$A$5000,$A256))</f>
        <v/>
      </c>
      <c r="J256" s="88">
        <f>IF($BE256=0,NA(),H256+SUM($I$2:I256))</f>
        <v/>
      </c>
      <c r="K256" s="88">
        <f>IF($BE256=0,"",SUMIFS(Entries!$D$2:$D$5000,Entries!$C$2:$C$5000,"Income",Entries!$A$2:$A$5000,"&gt;="&amp;EDATE($A256,-11),Entries!$A$2:$A$5000,"&lt;="&amp;$A256)/12)</f>
        <v/>
      </c>
      <c r="L256" s="88">
        <f>IF($BE256=0,"",(SUMIFS(Entries!$D$2:$D$5000,Entries!$C$2:$C$5000,"Actual",Entries!$A$2:$A$5000,"&gt;="&amp;EDATE($A256,-11),Entries!$A$2:$A$5000,"&lt;="&amp;$A256)+SUMIFS(Entries!$D$2:$D$5000,Entries!$C$2:$C$5000,"One-off",Entries!$A$2:$A$5000,"&gt;="&amp;EDATE($A256,-11),Entries!$A$2:$A$5000,"&lt;="&amp;$A256))/12)</f>
        <v/>
      </c>
      <c r="M256" s="71">
        <f>IF($BE256=0,NA(),IFERROR((K256-L256)/K256,0))</f>
        <v/>
      </c>
      <c r="O256" s="88">
        <f>IF(OR(O$1="",$BE256=0),"",SUMIFS(Entries!$D$2:$D$5000,Entries!$C$2:$C$5000,"Actual",Entries!$A$2:$A$5000,$A256,Entries!$B$2:$B$5000,O$1))</f>
        <v/>
      </c>
      <c r="P256" s="88">
        <f>IF(OR(P$1="",$BE256=0),"",SUMIFS(Entries!$D$2:$D$5000,Entries!$C$2:$C$5000,"Actual",Entries!$A$2:$A$5000,$A256,Entries!$B$2:$B$5000,P$1))</f>
        <v/>
      </c>
      <c r="Q256" s="88">
        <f>IF(OR(Q$1="",$BE256=0),"",SUMIFS(Entries!$D$2:$D$5000,Entries!$C$2:$C$5000,"Actual",Entries!$A$2:$A$5000,$A256,Entries!$B$2:$B$5000,Q$1))</f>
        <v/>
      </c>
      <c r="R256" s="88">
        <f>IF(OR(R$1="",$BE256=0),"",SUMIFS(Entries!$D$2:$D$5000,Entries!$C$2:$C$5000,"Actual",Entries!$A$2:$A$5000,$A256,Entries!$B$2:$B$5000,R$1))</f>
        <v/>
      </c>
      <c r="S256" s="88">
        <f>IF(OR(S$1="",$BE256=0),"",SUMIFS(Entries!$D$2:$D$5000,Entries!$C$2:$C$5000,"Actual",Entries!$A$2:$A$5000,$A256,Entries!$B$2:$B$5000,S$1))</f>
        <v/>
      </c>
      <c r="T256" s="88">
        <f>IF(OR(T$1="",$BE256=0),"",SUMIFS(Entries!$D$2:$D$5000,Entries!$C$2:$C$5000,"Actual",Entries!$A$2:$A$5000,$A256,Entries!$B$2:$B$5000,T$1))</f>
        <v/>
      </c>
      <c r="U256" s="88">
        <f>IF(OR(U$1="",$BE256=0),"",SUMIFS(Entries!$D$2:$D$5000,Entries!$C$2:$C$5000,"Actual",Entries!$A$2:$A$5000,$A256,Entries!$B$2:$B$5000,U$1))</f>
        <v/>
      </c>
      <c r="V256" s="88">
        <f>IF(OR(V$1="",$BE256=0),"",SUMIFS(Entries!$D$2:$D$5000,Entries!$C$2:$C$5000,"Actual",Entries!$A$2:$A$5000,$A256,Entries!$B$2:$B$5000,V$1))</f>
        <v/>
      </c>
      <c r="W256" s="88">
        <f>IF(OR(W$1="",$BE256=0),"",SUMIFS(Entries!$D$2:$D$5000,Entries!$C$2:$C$5000,"Actual",Entries!$A$2:$A$5000,$A256,Entries!$B$2:$B$5000,W$1))</f>
        <v/>
      </c>
      <c r="X256" s="88">
        <f>IF(OR(X$1="",$BE256=0),"",SUMIFS(Entries!$D$2:$D$5000,Entries!$C$2:$C$5000,"Actual",Entries!$A$2:$A$5000,$A256,Entries!$B$2:$B$5000,X$1))</f>
        <v/>
      </c>
      <c r="Y256" s="88">
        <f>IF(OR(Y$1="",$BE256=0),"",SUMIFS(Entries!$D$2:$D$5000,Entries!$C$2:$C$5000,"Actual",Entries!$A$2:$A$5000,$A256,Entries!$B$2:$B$5000,Y$1))</f>
        <v/>
      </c>
      <c r="Z256" s="88">
        <f>IF(OR(Z$1="",$BE256=0),"",SUMIFS(Entries!$D$2:$D$5000,Entries!$C$2:$C$5000,"Actual",Entries!$A$2:$A$5000,$A256,Entries!$B$2:$B$5000,Z$1))</f>
        <v/>
      </c>
      <c r="AA256" s="88">
        <f>IF(OR(AA$1="",$BE256=0),"",SUMIFS(Entries!$D$2:$D$5000,Entries!$C$2:$C$5000,"Actual",Entries!$A$2:$A$5000,$A256,Entries!$B$2:$B$5000,AA$1))</f>
        <v/>
      </c>
      <c r="AB256" s="88">
        <f>IF(OR(AB$1="",$BE256=0),"",SUMIFS(Entries!$D$2:$D$5000,Entries!$C$2:$C$5000,"Actual",Entries!$A$2:$A$5000,$A256,Entries!$B$2:$B$5000,AB$1))</f>
        <v/>
      </c>
      <c r="AC256" s="88">
        <f>IF(OR(AC$1="",$BE256=0),"",SUMIFS(Entries!$D$2:$D$5000,Entries!$C$2:$C$5000,"Actual",Entries!$A$2:$A$5000,$A256,Entries!$B$2:$B$5000,AC$1))</f>
        <v/>
      </c>
      <c r="AD256" s="88">
        <f>IF(OR(AD$1="",$BE256=0),"",SUMIFS(Entries!$D$2:$D$5000,Entries!$C$2:$C$5000,"Actual",Entries!$A$2:$A$5000,$A256,Entries!$B$2:$B$5000,AD$1))</f>
        <v/>
      </c>
      <c r="AE256" s="88">
        <f>IF(OR(AE$1="",$BE256=0),"",SUMIFS(Entries!$D$2:$D$5000,Entries!$C$2:$C$5000,"Actual",Entries!$A$2:$A$5000,$A256,Entries!$B$2:$B$5000,AE$1))</f>
        <v/>
      </c>
      <c r="AF256" s="88">
        <f>IF(OR(AF$1="",$BE256=0),"",SUMIFS(Entries!$D$2:$D$5000,Entries!$C$2:$C$5000,"Actual",Entries!$A$2:$A$5000,$A256,Entries!$B$2:$B$5000,AF$1))</f>
        <v/>
      </c>
      <c r="AG256" s="88">
        <f>IF(OR(AG$1="",$BE256=0),"",SUMIFS(Entries!$D$2:$D$5000,Entries!$C$2:$C$5000,"Actual",Entries!$A$2:$A$5000,$A256,Entries!$B$2:$B$5000,AG$1))</f>
        <v/>
      </c>
      <c r="AH256" s="88">
        <f>IF(OR(AH$1="",$BE256=0),"",SUMIFS(Entries!$D$2:$D$5000,Entries!$C$2:$C$5000,"Actual",Entries!$A$2:$A$5000,$A256,Entries!$B$2:$B$5000,AH$1))</f>
        <v/>
      </c>
      <c r="AJ256" s="88">
        <f>IF(OR(AJ$1="",$BE256=0),"",IFERROR(LOOKUP(2,1/((Budgets!$A$2:$A$200=AJ$1)*(Budgets!$B$2:$B$200&lt;=$A256)),Budgets!$C$2:$C$200),0))</f>
        <v/>
      </c>
      <c r="AK256" s="88">
        <f>IF(OR(AK$1="",$BE256=0),"",IFERROR(LOOKUP(2,1/((Budgets!$A$2:$A$200=AK$1)*(Budgets!$B$2:$B$200&lt;=$A256)),Budgets!$C$2:$C$200),0))</f>
        <v/>
      </c>
      <c r="AL256" s="88">
        <f>IF(OR(AL$1="",$BE256=0),"",IFERROR(LOOKUP(2,1/((Budgets!$A$2:$A$200=AL$1)*(Budgets!$B$2:$B$200&lt;=$A256)),Budgets!$C$2:$C$200),0))</f>
        <v/>
      </c>
      <c r="AM256" s="88">
        <f>IF(OR(AM$1="",$BE256=0),"",IFERROR(LOOKUP(2,1/((Budgets!$A$2:$A$200=AM$1)*(Budgets!$B$2:$B$200&lt;=$A256)),Budgets!$C$2:$C$200),0))</f>
        <v/>
      </c>
      <c r="AN256" s="88">
        <f>IF(OR(AN$1="",$BE256=0),"",IFERROR(LOOKUP(2,1/((Budgets!$A$2:$A$200=AN$1)*(Budgets!$B$2:$B$200&lt;=$A256)),Budgets!$C$2:$C$200),0))</f>
        <v/>
      </c>
      <c r="AO256" s="88">
        <f>IF(OR(AO$1="",$BE256=0),"",IFERROR(LOOKUP(2,1/((Budgets!$A$2:$A$200=AO$1)*(Budgets!$B$2:$B$200&lt;=$A256)),Budgets!$C$2:$C$200),0))</f>
        <v/>
      </c>
      <c r="AP256" s="88">
        <f>IF(OR(AP$1="",$BE256=0),"",IFERROR(LOOKUP(2,1/((Budgets!$A$2:$A$200=AP$1)*(Budgets!$B$2:$B$200&lt;=$A256)),Budgets!$C$2:$C$200),0))</f>
        <v/>
      </c>
      <c r="AQ256" s="88">
        <f>IF(OR(AQ$1="",$BE256=0),"",IFERROR(LOOKUP(2,1/((Budgets!$A$2:$A$200=AQ$1)*(Budgets!$B$2:$B$200&lt;=$A256)),Budgets!$C$2:$C$200),0))</f>
        <v/>
      </c>
      <c r="AR256" s="88">
        <f>IF(OR(AR$1="",$BE256=0),"",IFERROR(LOOKUP(2,1/((Budgets!$A$2:$A$200=AR$1)*(Budgets!$B$2:$B$200&lt;=$A256)),Budgets!$C$2:$C$200),0))</f>
        <v/>
      </c>
      <c r="AS256" s="88">
        <f>IF(OR(AS$1="",$BE256=0),"",IFERROR(LOOKUP(2,1/((Budgets!$A$2:$A$200=AS$1)*(Budgets!$B$2:$B$200&lt;=$A256)),Budgets!$C$2:$C$200),0))</f>
        <v/>
      </c>
      <c r="AT256" s="88">
        <f>IF(OR(AT$1="",$BE256=0),"",IFERROR(LOOKUP(2,1/((Budgets!$A$2:$A$200=AT$1)*(Budgets!$B$2:$B$200&lt;=$A256)),Budgets!$C$2:$C$200),0))</f>
        <v/>
      </c>
      <c r="AU256" s="88">
        <f>IF(OR(AU$1="",$BE256=0),"",IFERROR(LOOKUP(2,1/((Budgets!$A$2:$A$200=AU$1)*(Budgets!$B$2:$B$200&lt;=$A256)),Budgets!$C$2:$C$200),0))</f>
        <v/>
      </c>
      <c r="AV256" s="88">
        <f>IF(OR(AV$1="",$BE256=0),"",IFERROR(LOOKUP(2,1/((Budgets!$A$2:$A$200=AV$1)*(Budgets!$B$2:$B$200&lt;=$A256)),Budgets!$C$2:$C$200),0))</f>
        <v/>
      </c>
      <c r="AW256" s="88">
        <f>IF(OR(AW$1="",$BE256=0),"",IFERROR(LOOKUP(2,1/((Budgets!$A$2:$A$200=AW$1)*(Budgets!$B$2:$B$200&lt;=$A256)),Budgets!$C$2:$C$200),0))</f>
        <v/>
      </c>
      <c r="AX256" s="88">
        <f>IF(OR(AX$1="",$BE256=0),"",IFERROR(LOOKUP(2,1/((Budgets!$A$2:$A$200=AX$1)*(Budgets!$B$2:$B$200&lt;=$A256)),Budgets!$C$2:$C$200),0))</f>
        <v/>
      </c>
      <c r="AY256" s="88">
        <f>IF(OR(AY$1="",$BE256=0),"",IFERROR(LOOKUP(2,1/((Budgets!$A$2:$A$200=AY$1)*(Budgets!$B$2:$B$200&lt;=$A256)),Budgets!$C$2:$C$200),0))</f>
        <v/>
      </c>
      <c r="AZ256" s="88">
        <f>IF(OR(AZ$1="",$BE256=0),"",IFERROR(LOOKUP(2,1/((Budgets!$A$2:$A$200=AZ$1)*(Budgets!$B$2:$B$200&lt;=$A256)),Budgets!$C$2:$C$200),0))</f>
        <v/>
      </c>
      <c r="BA256" s="88">
        <f>IF(OR(BA$1="",$BE256=0),"",IFERROR(LOOKUP(2,1/((Budgets!$A$2:$A$200=BA$1)*(Budgets!$B$2:$B$200&lt;=$A256)),Budgets!$C$2:$C$200),0))</f>
        <v/>
      </c>
      <c r="BB256" s="88">
        <f>IF(OR(BB$1="",$BE256=0),"",IFERROR(LOOKUP(2,1/((Budgets!$A$2:$A$200=BB$1)*(Budgets!$B$2:$B$200&lt;=$A256)),Budgets!$C$2:$C$200),0))</f>
        <v/>
      </c>
      <c r="BC256" s="88">
        <f>IF(OR(BC$1="",$BE256=0),"",IFERROR(LOOKUP(2,1/((Budgets!$A$2:$A$200=BC$1)*(Budgets!$B$2:$B$200&lt;=$A256)),Budgets!$C$2:$C$200),0))</f>
        <v/>
      </c>
      <c r="BE256" s="67">
        <f>COUNTIFS(Entries!$A$2:$A$5000,$A256)</f>
        <v/>
      </c>
    </row>
    <row r="257" ht="15" customHeight="1" s="43">
      <c r="A257" s="87" t="n">
        <v>47209</v>
      </c>
      <c r="B257" s="88">
        <f>IF($BE257=0,NA(),SUMIFS(Entries!$D$2:$D$5000,Entries!$C$2:$C$5000,"Income",Entries!$A$2:$A$5000,$A257))</f>
        <v/>
      </c>
      <c r="C257" s="88">
        <f>IF($BE257=0,"",SUMIFS(Entries!$D$2:$D$5000,Entries!$C$2:$C$5000,"Actual",Entries!$A$2:$A$5000,$A257))</f>
        <v/>
      </c>
      <c r="D257" s="88">
        <f>IF($BE257=0,"",SUMIFS(Entries!$D$2:$D$5000,Entries!$C$2:$C$5000,"One-off",Entries!$A$2:$A$5000,$A257))</f>
        <v/>
      </c>
      <c r="E257" s="88">
        <f>IF($BE257=0,NA(),C257+D257)</f>
        <v/>
      </c>
      <c r="F257" s="88">
        <f>IF($BE257=0,"",SUM(AJ257:BC257))</f>
        <v/>
      </c>
      <c r="G257" s="88">
        <f>IF($BE257=0,"",B257-E257)</f>
        <v/>
      </c>
      <c r="H257" s="88">
        <f>IF($BE257=0,"",SUM($G$2:G257))</f>
        <v/>
      </c>
      <c r="I257" s="88">
        <f>IF($BE257=0,"",SUMIFS(Entries!$F$2:$F$5000,Entries!$A$2:$A$5000,$A257))</f>
        <v/>
      </c>
      <c r="J257" s="88">
        <f>IF($BE257=0,NA(),H257+SUM($I$2:I257))</f>
        <v/>
      </c>
      <c r="K257" s="88">
        <f>IF($BE257=0,"",SUMIFS(Entries!$D$2:$D$5000,Entries!$C$2:$C$5000,"Income",Entries!$A$2:$A$5000,"&gt;="&amp;EDATE($A257,-11),Entries!$A$2:$A$5000,"&lt;="&amp;$A257)/12)</f>
        <v/>
      </c>
      <c r="L257" s="88">
        <f>IF($BE257=0,"",(SUMIFS(Entries!$D$2:$D$5000,Entries!$C$2:$C$5000,"Actual",Entries!$A$2:$A$5000,"&gt;="&amp;EDATE($A257,-11),Entries!$A$2:$A$5000,"&lt;="&amp;$A257)+SUMIFS(Entries!$D$2:$D$5000,Entries!$C$2:$C$5000,"One-off",Entries!$A$2:$A$5000,"&gt;="&amp;EDATE($A257,-11),Entries!$A$2:$A$5000,"&lt;="&amp;$A257))/12)</f>
        <v/>
      </c>
      <c r="M257" s="71">
        <f>IF($BE257=0,NA(),IFERROR((K257-L257)/K257,0))</f>
        <v/>
      </c>
      <c r="O257" s="88">
        <f>IF(OR(O$1="",$BE257=0),"",SUMIFS(Entries!$D$2:$D$5000,Entries!$C$2:$C$5000,"Actual",Entries!$A$2:$A$5000,$A257,Entries!$B$2:$B$5000,O$1))</f>
        <v/>
      </c>
      <c r="P257" s="88">
        <f>IF(OR(P$1="",$BE257=0),"",SUMIFS(Entries!$D$2:$D$5000,Entries!$C$2:$C$5000,"Actual",Entries!$A$2:$A$5000,$A257,Entries!$B$2:$B$5000,P$1))</f>
        <v/>
      </c>
      <c r="Q257" s="88">
        <f>IF(OR(Q$1="",$BE257=0),"",SUMIFS(Entries!$D$2:$D$5000,Entries!$C$2:$C$5000,"Actual",Entries!$A$2:$A$5000,$A257,Entries!$B$2:$B$5000,Q$1))</f>
        <v/>
      </c>
      <c r="R257" s="88">
        <f>IF(OR(R$1="",$BE257=0),"",SUMIFS(Entries!$D$2:$D$5000,Entries!$C$2:$C$5000,"Actual",Entries!$A$2:$A$5000,$A257,Entries!$B$2:$B$5000,R$1))</f>
        <v/>
      </c>
      <c r="S257" s="88">
        <f>IF(OR(S$1="",$BE257=0),"",SUMIFS(Entries!$D$2:$D$5000,Entries!$C$2:$C$5000,"Actual",Entries!$A$2:$A$5000,$A257,Entries!$B$2:$B$5000,S$1))</f>
        <v/>
      </c>
      <c r="T257" s="88">
        <f>IF(OR(T$1="",$BE257=0),"",SUMIFS(Entries!$D$2:$D$5000,Entries!$C$2:$C$5000,"Actual",Entries!$A$2:$A$5000,$A257,Entries!$B$2:$B$5000,T$1))</f>
        <v/>
      </c>
      <c r="U257" s="88">
        <f>IF(OR(U$1="",$BE257=0),"",SUMIFS(Entries!$D$2:$D$5000,Entries!$C$2:$C$5000,"Actual",Entries!$A$2:$A$5000,$A257,Entries!$B$2:$B$5000,U$1))</f>
        <v/>
      </c>
      <c r="V257" s="88">
        <f>IF(OR(V$1="",$BE257=0),"",SUMIFS(Entries!$D$2:$D$5000,Entries!$C$2:$C$5000,"Actual",Entries!$A$2:$A$5000,$A257,Entries!$B$2:$B$5000,V$1))</f>
        <v/>
      </c>
      <c r="W257" s="88">
        <f>IF(OR(W$1="",$BE257=0),"",SUMIFS(Entries!$D$2:$D$5000,Entries!$C$2:$C$5000,"Actual",Entries!$A$2:$A$5000,$A257,Entries!$B$2:$B$5000,W$1))</f>
        <v/>
      </c>
      <c r="X257" s="88">
        <f>IF(OR(X$1="",$BE257=0),"",SUMIFS(Entries!$D$2:$D$5000,Entries!$C$2:$C$5000,"Actual",Entries!$A$2:$A$5000,$A257,Entries!$B$2:$B$5000,X$1))</f>
        <v/>
      </c>
      <c r="Y257" s="88">
        <f>IF(OR(Y$1="",$BE257=0),"",SUMIFS(Entries!$D$2:$D$5000,Entries!$C$2:$C$5000,"Actual",Entries!$A$2:$A$5000,$A257,Entries!$B$2:$B$5000,Y$1))</f>
        <v/>
      </c>
      <c r="Z257" s="88">
        <f>IF(OR(Z$1="",$BE257=0),"",SUMIFS(Entries!$D$2:$D$5000,Entries!$C$2:$C$5000,"Actual",Entries!$A$2:$A$5000,$A257,Entries!$B$2:$B$5000,Z$1))</f>
        <v/>
      </c>
      <c r="AA257" s="88">
        <f>IF(OR(AA$1="",$BE257=0),"",SUMIFS(Entries!$D$2:$D$5000,Entries!$C$2:$C$5000,"Actual",Entries!$A$2:$A$5000,$A257,Entries!$B$2:$B$5000,AA$1))</f>
        <v/>
      </c>
      <c r="AB257" s="88">
        <f>IF(OR(AB$1="",$BE257=0),"",SUMIFS(Entries!$D$2:$D$5000,Entries!$C$2:$C$5000,"Actual",Entries!$A$2:$A$5000,$A257,Entries!$B$2:$B$5000,AB$1))</f>
        <v/>
      </c>
      <c r="AC257" s="88">
        <f>IF(OR(AC$1="",$BE257=0),"",SUMIFS(Entries!$D$2:$D$5000,Entries!$C$2:$C$5000,"Actual",Entries!$A$2:$A$5000,$A257,Entries!$B$2:$B$5000,AC$1))</f>
        <v/>
      </c>
      <c r="AD257" s="88">
        <f>IF(OR(AD$1="",$BE257=0),"",SUMIFS(Entries!$D$2:$D$5000,Entries!$C$2:$C$5000,"Actual",Entries!$A$2:$A$5000,$A257,Entries!$B$2:$B$5000,AD$1))</f>
        <v/>
      </c>
      <c r="AE257" s="88">
        <f>IF(OR(AE$1="",$BE257=0),"",SUMIFS(Entries!$D$2:$D$5000,Entries!$C$2:$C$5000,"Actual",Entries!$A$2:$A$5000,$A257,Entries!$B$2:$B$5000,AE$1))</f>
        <v/>
      </c>
      <c r="AF257" s="88">
        <f>IF(OR(AF$1="",$BE257=0),"",SUMIFS(Entries!$D$2:$D$5000,Entries!$C$2:$C$5000,"Actual",Entries!$A$2:$A$5000,$A257,Entries!$B$2:$B$5000,AF$1))</f>
        <v/>
      </c>
      <c r="AG257" s="88">
        <f>IF(OR(AG$1="",$BE257=0),"",SUMIFS(Entries!$D$2:$D$5000,Entries!$C$2:$C$5000,"Actual",Entries!$A$2:$A$5000,$A257,Entries!$B$2:$B$5000,AG$1))</f>
        <v/>
      </c>
      <c r="AH257" s="88">
        <f>IF(OR(AH$1="",$BE257=0),"",SUMIFS(Entries!$D$2:$D$5000,Entries!$C$2:$C$5000,"Actual",Entries!$A$2:$A$5000,$A257,Entries!$B$2:$B$5000,AH$1))</f>
        <v/>
      </c>
      <c r="AJ257" s="88">
        <f>IF(OR(AJ$1="",$BE257=0),"",IFERROR(LOOKUP(2,1/((Budgets!$A$2:$A$200=AJ$1)*(Budgets!$B$2:$B$200&lt;=$A257)),Budgets!$C$2:$C$200),0))</f>
        <v/>
      </c>
      <c r="AK257" s="88">
        <f>IF(OR(AK$1="",$BE257=0),"",IFERROR(LOOKUP(2,1/((Budgets!$A$2:$A$200=AK$1)*(Budgets!$B$2:$B$200&lt;=$A257)),Budgets!$C$2:$C$200),0))</f>
        <v/>
      </c>
      <c r="AL257" s="88">
        <f>IF(OR(AL$1="",$BE257=0),"",IFERROR(LOOKUP(2,1/((Budgets!$A$2:$A$200=AL$1)*(Budgets!$B$2:$B$200&lt;=$A257)),Budgets!$C$2:$C$200),0))</f>
        <v/>
      </c>
      <c r="AM257" s="88">
        <f>IF(OR(AM$1="",$BE257=0),"",IFERROR(LOOKUP(2,1/((Budgets!$A$2:$A$200=AM$1)*(Budgets!$B$2:$B$200&lt;=$A257)),Budgets!$C$2:$C$200),0))</f>
        <v/>
      </c>
      <c r="AN257" s="88">
        <f>IF(OR(AN$1="",$BE257=0),"",IFERROR(LOOKUP(2,1/((Budgets!$A$2:$A$200=AN$1)*(Budgets!$B$2:$B$200&lt;=$A257)),Budgets!$C$2:$C$200),0))</f>
        <v/>
      </c>
      <c r="AO257" s="88">
        <f>IF(OR(AO$1="",$BE257=0),"",IFERROR(LOOKUP(2,1/((Budgets!$A$2:$A$200=AO$1)*(Budgets!$B$2:$B$200&lt;=$A257)),Budgets!$C$2:$C$200),0))</f>
        <v/>
      </c>
      <c r="AP257" s="88">
        <f>IF(OR(AP$1="",$BE257=0),"",IFERROR(LOOKUP(2,1/((Budgets!$A$2:$A$200=AP$1)*(Budgets!$B$2:$B$200&lt;=$A257)),Budgets!$C$2:$C$200),0))</f>
        <v/>
      </c>
      <c r="AQ257" s="88">
        <f>IF(OR(AQ$1="",$BE257=0),"",IFERROR(LOOKUP(2,1/((Budgets!$A$2:$A$200=AQ$1)*(Budgets!$B$2:$B$200&lt;=$A257)),Budgets!$C$2:$C$200),0))</f>
        <v/>
      </c>
      <c r="AR257" s="88">
        <f>IF(OR(AR$1="",$BE257=0),"",IFERROR(LOOKUP(2,1/((Budgets!$A$2:$A$200=AR$1)*(Budgets!$B$2:$B$200&lt;=$A257)),Budgets!$C$2:$C$200),0))</f>
        <v/>
      </c>
      <c r="AS257" s="88">
        <f>IF(OR(AS$1="",$BE257=0),"",IFERROR(LOOKUP(2,1/((Budgets!$A$2:$A$200=AS$1)*(Budgets!$B$2:$B$200&lt;=$A257)),Budgets!$C$2:$C$200),0))</f>
        <v/>
      </c>
      <c r="AT257" s="88">
        <f>IF(OR(AT$1="",$BE257=0),"",IFERROR(LOOKUP(2,1/((Budgets!$A$2:$A$200=AT$1)*(Budgets!$B$2:$B$200&lt;=$A257)),Budgets!$C$2:$C$200),0))</f>
        <v/>
      </c>
      <c r="AU257" s="88">
        <f>IF(OR(AU$1="",$BE257=0),"",IFERROR(LOOKUP(2,1/((Budgets!$A$2:$A$200=AU$1)*(Budgets!$B$2:$B$200&lt;=$A257)),Budgets!$C$2:$C$200),0))</f>
        <v/>
      </c>
      <c r="AV257" s="88">
        <f>IF(OR(AV$1="",$BE257=0),"",IFERROR(LOOKUP(2,1/((Budgets!$A$2:$A$200=AV$1)*(Budgets!$B$2:$B$200&lt;=$A257)),Budgets!$C$2:$C$200),0))</f>
        <v/>
      </c>
      <c r="AW257" s="88">
        <f>IF(OR(AW$1="",$BE257=0),"",IFERROR(LOOKUP(2,1/((Budgets!$A$2:$A$200=AW$1)*(Budgets!$B$2:$B$200&lt;=$A257)),Budgets!$C$2:$C$200),0))</f>
        <v/>
      </c>
      <c r="AX257" s="88">
        <f>IF(OR(AX$1="",$BE257=0),"",IFERROR(LOOKUP(2,1/((Budgets!$A$2:$A$200=AX$1)*(Budgets!$B$2:$B$200&lt;=$A257)),Budgets!$C$2:$C$200),0))</f>
        <v/>
      </c>
      <c r="AY257" s="88">
        <f>IF(OR(AY$1="",$BE257=0),"",IFERROR(LOOKUP(2,1/((Budgets!$A$2:$A$200=AY$1)*(Budgets!$B$2:$B$200&lt;=$A257)),Budgets!$C$2:$C$200),0))</f>
        <v/>
      </c>
      <c r="AZ257" s="88">
        <f>IF(OR(AZ$1="",$BE257=0),"",IFERROR(LOOKUP(2,1/((Budgets!$A$2:$A$200=AZ$1)*(Budgets!$B$2:$B$200&lt;=$A257)),Budgets!$C$2:$C$200),0))</f>
        <v/>
      </c>
      <c r="BA257" s="88">
        <f>IF(OR(BA$1="",$BE257=0),"",IFERROR(LOOKUP(2,1/((Budgets!$A$2:$A$200=BA$1)*(Budgets!$B$2:$B$200&lt;=$A257)),Budgets!$C$2:$C$200),0))</f>
        <v/>
      </c>
      <c r="BB257" s="88">
        <f>IF(OR(BB$1="",$BE257=0),"",IFERROR(LOOKUP(2,1/((Budgets!$A$2:$A$200=BB$1)*(Budgets!$B$2:$B$200&lt;=$A257)),Budgets!$C$2:$C$200),0))</f>
        <v/>
      </c>
      <c r="BC257" s="88">
        <f>IF(OR(BC$1="",$BE257=0),"",IFERROR(LOOKUP(2,1/((Budgets!$A$2:$A$200=BC$1)*(Budgets!$B$2:$B$200&lt;=$A257)),Budgets!$C$2:$C$200),0))</f>
        <v/>
      </c>
      <c r="BE257" s="67">
        <f>COUNTIFS(Entries!$A$2:$A$5000,$A257)</f>
        <v/>
      </c>
    </row>
    <row r="258" ht="15" customHeight="1" s="43">
      <c r="A258" s="87" t="n">
        <v>47239</v>
      </c>
      <c r="B258" s="88">
        <f>IF($BE258=0,NA(),SUMIFS(Entries!$D$2:$D$5000,Entries!$C$2:$C$5000,"Income",Entries!$A$2:$A$5000,$A258))</f>
        <v/>
      </c>
      <c r="C258" s="88">
        <f>IF($BE258=0,"",SUMIFS(Entries!$D$2:$D$5000,Entries!$C$2:$C$5000,"Actual",Entries!$A$2:$A$5000,$A258))</f>
        <v/>
      </c>
      <c r="D258" s="88">
        <f>IF($BE258=0,"",SUMIFS(Entries!$D$2:$D$5000,Entries!$C$2:$C$5000,"One-off",Entries!$A$2:$A$5000,$A258))</f>
        <v/>
      </c>
      <c r="E258" s="88">
        <f>IF($BE258=0,NA(),C258+D258)</f>
        <v/>
      </c>
      <c r="F258" s="88">
        <f>IF($BE258=0,"",SUM(AJ258:BC258))</f>
        <v/>
      </c>
      <c r="G258" s="88">
        <f>IF($BE258=0,"",B258-E258)</f>
        <v/>
      </c>
      <c r="H258" s="88">
        <f>IF($BE258=0,"",SUM($G$2:G258))</f>
        <v/>
      </c>
      <c r="I258" s="88">
        <f>IF($BE258=0,"",SUMIFS(Entries!$F$2:$F$5000,Entries!$A$2:$A$5000,$A258))</f>
        <v/>
      </c>
      <c r="J258" s="88">
        <f>IF($BE258=0,NA(),H258+SUM($I$2:I258))</f>
        <v/>
      </c>
      <c r="K258" s="88">
        <f>IF($BE258=0,"",SUMIFS(Entries!$D$2:$D$5000,Entries!$C$2:$C$5000,"Income",Entries!$A$2:$A$5000,"&gt;="&amp;EDATE($A258,-11),Entries!$A$2:$A$5000,"&lt;="&amp;$A258)/12)</f>
        <v/>
      </c>
      <c r="L258" s="88">
        <f>IF($BE258=0,"",(SUMIFS(Entries!$D$2:$D$5000,Entries!$C$2:$C$5000,"Actual",Entries!$A$2:$A$5000,"&gt;="&amp;EDATE($A258,-11),Entries!$A$2:$A$5000,"&lt;="&amp;$A258)+SUMIFS(Entries!$D$2:$D$5000,Entries!$C$2:$C$5000,"One-off",Entries!$A$2:$A$5000,"&gt;="&amp;EDATE($A258,-11),Entries!$A$2:$A$5000,"&lt;="&amp;$A258))/12)</f>
        <v/>
      </c>
      <c r="M258" s="71">
        <f>IF($BE258=0,NA(),IFERROR((K258-L258)/K258,0))</f>
        <v/>
      </c>
      <c r="O258" s="88">
        <f>IF(OR(O$1="",$BE258=0),"",SUMIFS(Entries!$D$2:$D$5000,Entries!$C$2:$C$5000,"Actual",Entries!$A$2:$A$5000,$A258,Entries!$B$2:$B$5000,O$1))</f>
        <v/>
      </c>
      <c r="P258" s="88">
        <f>IF(OR(P$1="",$BE258=0),"",SUMIFS(Entries!$D$2:$D$5000,Entries!$C$2:$C$5000,"Actual",Entries!$A$2:$A$5000,$A258,Entries!$B$2:$B$5000,P$1))</f>
        <v/>
      </c>
      <c r="Q258" s="88">
        <f>IF(OR(Q$1="",$BE258=0),"",SUMIFS(Entries!$D$2:$D$5000,Entries!$C$2:$C$5000,"Actual",Entries!$A$2:$A$5000,$A258,Entries!$B$2:$B$5000,Q$1))</f>
        <v/>
      </c>
      <c r="R258" s="88">
        <f>IF(OR(R$1="",$BE258=0),"",SUMIFS(Entries!$D$2:$D$5000,Entries!$C$2:$C$5000,"Actual",Entries!$A$2:$A$5000,$A258,Entries!$B$2:$B$5000,R$1))</f>
        <v/>
      </c>
      <c r="S258" s="88">
        <f>IF(OR(S$1="",$BE258=0),"",SUMIFS(Entries!$D$2:$D$5000,Entries!$C$2:$C$5000,"Actual",Entries!$A$2:$A$5000,$A258,Entries!$B$2:$B$5000,S$1))</f>
        <v/>
      </c>
      <c r="T258" s="88">
        <f>IF(OR(T$1="",$BE258=0),"",SUMIFS(Entries!$D$2:$D$5000,Entries!$C$2:$C$5000,"Actual",Entries!$A$2:$A$5000,$A258,Entries!$B$2:$B$5000,T$1))</f>
        <v/>
      </c>
      <c r="U258" s="88">
        <f>IF(OR(U$1="",$BE258=0),"",SUMIFS(Entries!$D$2:$D$5000,Entries!$C$2:$C$5000,"Actual",Entries!$A$2:$A$5000,$A258,Entries!$B$2:$B$5000,U$1))</f>
        <v/>
      </c>
      <c r="V258" s="88">
        <f>IF(OR(V$1="",$BE258=0),"",SUMIFS(Entries!$D$2:$D$5000,Entries!$C$2:$C$5000,"Actual",Entries!$A$2:$A$5000,$A258,Entries!$B$2:$B$5000,V$1))</f>
        <v/>
      </c>
      <c r="W258" s="88">
        <f>IF(OR(W$1="",$BE258=0),"",SUMIFS(Entries!$D$2:$D$5000,Entries!$C$2:$C$5000,"Actual",Entries!$A$2:$A$5000,$A258,Entries!$B$2:$B$5000,W$1))</f>
        <v/>
      </c>
      <c r="X258" s="88">
        <f>IF(OR(X$1="",$BE258=0),"",SUMIFS(Entries!$D$2:$D$5000,Entries!$C$2:$C$5000,"Actual",Entries!$A$2:$A$5000,$A258,Entries!$B$2:$B$5000,X$1))</f>
        <v/>
      </c>
      <c r="Y258" s="88">
        <f>IF(OR(Y$1="",$BE258=0),"",SUMIFS(Entries!$D$2:$D$5000,Entries!$C$2:$C$5000,"Actual",Entries!$A$2:$A$5000,$A258,Entries!$B$2:$B$5000,Y$1))</f>
        <v/>
      </c>
      <c r="Z258" s="88">
        <f>IF(OR(Z$1="",$BE258=0),"",SUMIFS(Entries!$D$2:$D$5000,Entries!$C$2:$C$5000,"Actual",Entries!$A$2:$A$5000,$A258,Entries!$B$2:$B$5000,Z$1))</f>
        <v/>
      </c>
      <c r="AA258" s="88">
        <f>IF(OR(AA$1="",$BE258=0),"",SUMIFS(Entries!$D$2:$D$5000,Entries!$C$2:$C$5000,"Actual",Entries!$A$2:$A$5000,$A258,Entries!$B$2:$B$5000,AA$1))</f>
        <v/>
      </c>
      <c r="AB258" s="88">
        <f>IF(OR(AB$1="",$BE258=0),"",SUMIFS(Entries!$D$2:$D$5000,Entries!$C$2:$C$5000,"Actual",Entries!$A$2:$A$5000,$A258,Entries!$B$2:$B$5000,AB$1))</f>
        <v/>
      </c>
      <c r="AC258" s="88">
        <f>IF(OR(AC$1="",$BE258=0),"",SUMIFS(Entries!$D$2:$D$5000,Entries!$C$2:$C$5000,"Actual",Entries!$A$2:$A$5000,$A258,Entries!$B$2:$B$5000,AC$1))</f>
        <v/>
      </c>
      <c r="AD258" s="88">
        <f>IF(OR(AD$1="",$BE258=0),"",SUMIFS(Entries!$D$2:$D$5000,Entries!$C$2:$C$5000,"Actual",Entries!$A$2:$A$5000,$A258,Entries!$B$2:$B$5000,AD$1))</f>
        <v/>
      </c>
      <c r="AE258" s="88">
        <f>IF(OR(AE$1="",$BE258=0),"",SUMIFS(Entries!$D$2:$D$5000,Entries!$C$2:$C$5000,"Actual",Entries!$A$2:$A$5000,$A258,Entries!$B$2:$B$5000,AE$1))</f>
        <v/>
      </c>
      <c r="AF258" s="88">
        <f>IF(OR(AF$1="",$BE258=0),"",SUMIFS(Entries!$D$2:$D$5000,Entries!$C$2:$C$5000,"Actual",Entries!$A$2:$A$5000,$A258,Entries!$B$2:$B$5000,AF$1))</f>
        <v/>
      </c>
      <c r="AG258" s="88">
        <f>IF(OR(AG$1="",$BE258=0),"",SUMIFS(Entries!$D$2:$D$5000,Entries!$C$2:$C$5000,"Actual",Entries!$A$2:$A$5000,$A258,Entries!$B$2:$B$5000,AG$1))</f>
        <v/>
      </c>
      <c r="AH258" s="88">
        <f>IF(OR(AH$1="",$BE258=0),"",SUMIFS(Entries!$D$2:$D$5000,Entries!$C$2:$C$5000,"Actual",Entries!$A$2:$A$5000,$A258,Entries!$B$2:$B$5000,AH$1))</f>
        <v/>
      </c>
      <c r="AJ258" s="88">
        <f>IF(OR(AJ$1="",$BE258=0),"",IFERROR(LOOKUP(2,1/((Budgets!$A$2:$A$200=AJ$1)*(Budgets!$B$2:$B$200&lt;=$A258)),Budgets!$C$2:$C$200),0))</f>
        <v/>
      </c>
      <c r="AK258" s="88">
        <f>IF(OR(AK$1="",$BE258=0),"",IFERROR(LOOKUP(2,1/((Budgets!$A$2:$A$200=AK$1)*(Budgets!$B$2:$B$200&lt;=$A258)),Budgets!$C$2:$C$200),0))</f>
        <v/>
      </c>
      <c r="AL258" s="88">
        <f>IF(OR(AL$1="",$BE258=0),"",IFERROR(LOOKUP(2,1/((Budgets!$A$2:$A$200=AL$1)*(Budgets!$B$2:$B$200&lt;=$A258)),Budgets!$C$2:$C$200),0))</f>
        <v/>
      </c>
      <c r="AM258" s="88">
        <f>IF(OR(AM$1="",$BE258=0),"",IFERROR(LOOKUP(2,1/((Budgets!$A$2:$A$200=AM$1)*(Budgets!$B$2:$B$200&lt;=$A258)),Budgets!$C$2:$C$200),0))</f>
        <v/>
      </c>
      <c r="AN258" s="88">
        <f>IF(OR(AN$1="",$BE258=0),"",IFERROR(LOOKUP(2,1/((Budgets!$A$2:$A$200=AN$1)*(Budgets!$B$2:$B$200&lt;=$A258)),Budgets!$C$2:$C$200),0))</f>
        <v/>
      </c>
      <c r="AO258" s="88">
        <f>IF(OR(AO$1="",$BE258=0),"",IFERROR(LOOKUP(2,1/((Budgets!$A$2:$A$200=AO$1)*(Budgets!$B$2:$B$200&lt;=$A258)),Budgets!$C$2:$C$200),0))</f>
        <v/>
      </c>
      <c r="AP258" s="88">
        <f>IF(OR(AP$1="",$BE258=0),"",IFERROR(LOOKUP(2,1/((Budgets!$A$2:$A$200=AP$1)*(Budgets!$B$2:$B$200&lt;=$A258)),Budgets!$C$2:$C$200),0))</f>
        <v/>
      </c>
      <c r="AQ258" s="88">
        <f>IF(OR(AQ$1="",$BE258=0),"",IFERROR(LOOKUP(2,1/((Budgets!$A$2:$A$200=AQ$1)*(Budgets!$B$2:$B$200&lt;=$A258)),Budgets!$C$2:$C$200),0))</f>
        <v/>
      </c>
      <c r="AR258" s="88">
        <f>IF(OR(AR$1="",$BE258=0),"",IFERROR(LOOKUP(2,1/((Budgets!$A$2:$A$200=AR$1)*(Budgets!$B$2:$B$200&lt;=$A258)),Budgets!$C$2:$C$200),0))</f>
        <v/>
      </c>
      <c r="AS258" s="88">
        <f>IF(OR(AS$1="",$BE258=0),"",IFERROR(LOOKUP(2,1/((Budgets!$A$2:$A$200=AS$1)*(Budgets!$B$2:$B$200&lt;=$A258)),Budgets!$C$2:$C$200),0))</f>
        <v/>
      </c>
      <c r="AT258" s="88">
        <f>IF(OR(AT$1="",$BE258=0),"",IFERROR(LOOKUP(2,1/((Budgets!$A$2:$A$200=AT$1)*(Budgets!$B$2:$B$200&lt;=$A258)),Budgets!$C$2:$C$200),0))</f>
        <v/>
      </c>
      <c r="AU258" s="88">
        <f>IF(OR(AU$1="",$BE258=0),"",IFERROR(LOOKUP(2,1/((Budgets!$A$2:$A$200=AU$1)*(Budgets!$B$2:$B$200&lt;=$A258)),Budgets!$C$2:$C$200),0))</f>
        <v/>
      </c>
      <c r="AV258" s="88">
        <f>IF(OR(AV$1="",$BE258=0),"",IFERROR(LOOKUP(2,1/((Budgets!$A$2:$A$200=AV$1)*(Budgets!$B$2:$B$200&lt;=$A258)),Budgets!$C$2:$C$200),0))</f>
        <v/>
      </c>
      <c r="AW258" s="88">
        <f>IF(OR(AW$1="",$BE258=0),"",IFERROR(LOOKUP(2,1/((Budgets!$A$2:$A$200=AW$1)*(Budgets!$B$2:$B$200&lt;=$A258)),Budgets!$C$2:$C$200),0))</f>
        <v/>
      </c>
      <c r="AX258" s="88">
        <f>IF(OR(AX$1="",$BE258=0),"",IFERROR(LOOKUP(2,1/((Budgets!$A$2:$A$200=AX$1)*(Budgets!$B$2:$B$200&lt;=$A258)),Budgets!$C$2:$C$200),0))</f>
        <v/>
      </c>
      <c r="AY258" s="88">
        <f>IF(OR(AY$1="",$BE258=0),"",IFERROR(LOOKUP(2,1/((Budgets!$A$2:$A$200=AY$1)*(Budgets!$B$2:$B$200&lt;=$A258)),Budgets!$C$2:$C$200),0))</f>
        <v/>
      </c>
      <c r="AZ258" s="88">
        <f>IF(OR(AZ$1="",$BE258=0),"",IFERROR(LOOKUP(2,1/((Budgets!$A$2:$A$200=AZ$1)*(Budgets!$B$2:$B$200&lt;=$A258)),Budgets!$C$2:$C$200),0))</f>
        <v/>
      </c>
      <c r="BA258" s="88">
        <f>IF(OR(BA$1="",$BE258=0),"",IFERROR(LOOKUP(2,1/((Budgets!$A$2:$A$200=BA$1)*(Budgets!$B$2:$B$200&lt;=$A258)),Budgets!$C$2:$C$200),0))</f>
        <v/>
      </c>
      <c r="BB258" s="88">
        <f>IF(OR(BB$1="",$BE258=0),"",IFERROR(LOOKUP(2,1/((Budgets!$A$2:$A$200=BB$1)*(Budgets!$B$2:$B$200&lt;=$A258)),Budgets!$C$2:$C$200),0))</f>
        <v/>
      </c>
      <c r="BC258" s="88">
        <f>IF(OR(BC$1="",$BE258=0),"",IFERROR(LOOKUP(2,1/((Budgets!$A$2:$A$200=BC$1)*(Budgets!$B$2:$B$200&lt;=$A258)),Budgets!$C$2:$C$200),0))</f>
        <v/>
      </c>
      <c r="BE258" s="67">
        <f>COUNTIFS(Entries!$A$2:$A$5000,$A258)</f>
        <v/>
      </c>
    </row>
    <row r="259" ht="15" customHeight="1" s="43">
      <c r="A259" s="87" t="n">
        <v>47270</v>
      </c>
      <c r="B259" s="88">
        <f>IF($BE259=0,NA(),SUMIFS(Entries!$D$2:$D$5000,Entries!$C$2:$C$5000,"Income",Entries!$A$2:$A$5000,$A259))</f>
        <v/>
      </c>
      <c r="C259" s="88">
        <f>IF($BE259=0,"",SUMIFS(Entries!$D$2:$D$5000,Entries!$C$2:$C$5000,"Actual",Entries!$A$2:$A$5000,$A259))</f>
        <v/>
      </c>
      <c r="D259" s="88">
        <f>IF($BE259=0,"",SUMIFS(Entries!$D$2:$D$5000,Entries!$C$2:$C$5000,"One-off",Entries!$A$2:$A$5000,$A259))</f>
        <v/>
      </c>
      <c r="E259" s="88">
        <f>IF($BE259=0,NA(),C259+D259)</f>
        <v/>
      </c>
      <c r="F259" s="88">
        <f>IF($BE259=0,"",SUM(AJ259:BC259))</f>
        <v/>
      </c>
      <c r="G259" s="88">
        <f>IF($BE259=0,"",B259-E259)</f>
        <v/>
      </c>
      <c r="H259" s="88">
        <f>IF($BE259=0,"",SUM($G$2:G259))</f>
        <v/>
      </c>
      <c r="I259" s="88">
        <f>IF($BE259=0,"",SUMIFS(Entries!$F$2:$F$5000,Entries!$A$2:$A$5000,$A259))</f>
        <v/>
      </c>
      <c r="J259" s="88">
        <f>IF($BE259=0,NA(),H259+SUM($I$2:I259))</f>
        <v/>
      </c>
      <c r="K259" s="88">
        <f>IF($BE259=0,"",SUMIFS(Entries!$D$2:$D$5000,Entries!$C$2:$C$5000,"Income",Entries!$A$2:$A$5000,"&gt;="&amp;EDATE($A259,-11),Entries!$A$2:$A$5000,"&lt;="&amp;$A259)/12)</f>
        <v/>
      </c>
      <c r="L259" s="88">
        <f>IF($BE259=0,"",(SUMIFS(Entries!$D$2:$D$5000,Entries!$C$2:$C$5000,"Actual",Entries!$A$2:$A$5000,"&gt;="&amp;EDATE($A259,-11),Entries!$A$2:$A$5000,"&lt;="&amp;$A259)+SUMIFS(Entries!$D$2:$D$5000,Entries!$C$2:$C$5000,"One-off",Entries!$A$2:$A$5000,"&gt;="&amp;EDATE($A259,-11),Entries!$A$2:$A$5000,"&lt;="&amp;$A259))/12)</f>
        <v/>
      </c>
      <c r="M259" s="71">
        <f>IF($BE259=0,NA(),IFERROR((K259-L259)/K259,0))</f>
        <v/>
      </c>
      <c r="O259" s="88">
        <f>IF(OR(O$1="",$BE259=0),"",SUMIFS(Entries!$D$2:$D$5000,Entries!$C$2:$C$5000,"Actual",Entries!$A$2:$A$5000,$A259,Entries!$B$2:$B$5000,O$1))</f>
        <v/>
      </c>
      <c r="P259" s="88">
        <f>IF(OR(P$1="",$BE259=0),"",SUMIFS(Entries!$D$2:$D$5000,Entries!$C$2:$C$5000,"Actual",Entries!$A$2:$A$5000,$A259,Entries!$B$2:$B$5000,P$1))</f>
        <v/>
      </c>
      <c r="Q259" s="88">
        <f>IF(OR(Q$1="",$BE259=0),"",SUMIFS(Entries!$D$2:$D$5000,Entries!$C$2:$C$5000,"Actual",Entries!$A$2:$A$5000,$A259,Entries!$B$2:$B$5000,Q$1))</f>
        <v/>
      </c>
      <c r="R259" s="88">
        <f>IF(OR(R$1="",$BE259=0),"",SUMIFS(Entries!$D$2:$D$5000,Entries!$C$2:$C$5000,"Actual",Entries!$A$2:$A$5000,$A259,Entries!$B$2:$B$5000,R$1))</f>
        <v/>
      </c>
      <c r="S259" s="88">
        <f>IF(OR(S$1="",$BE259=0),"",SUMIFS(Entries!$D$2:$D$5000,Entries!$C$2:$C$5000,"Actual",Entries!$A$2:$A$5000,$A259,Entries!$B$2:$B$5000,S$1))</f>
        <v/>
      </c>
      <c r="T259" s="88">
        <f>IF(OR(T$1="",$BE259=0),"",SUMIFS(Entries!$D$2:$D$5000,Entries!$C$2:$C$5000,"Actual",Entries!$A$2:$A$5000,$A259,Entries!$B$2:$B$5000,T$1))</f>
        <v/>
      </c>
      <c r="U259" s="88">
        <f>IF(OR(U$1="",$BE259=0),"",SUMIFS(Entries!$D$2:$D$5000,Entries!$C$2:$C$5000,"Actual",Entries!$A$2:$A$5000,$A259,Entries!$B$2:$B$5000,U$1))</f>
        <v/>
      </c>
      <c r="V259" s="88">
        <f>IF(OR(V$1="",$BE259=0),"",SUMIFS(Entries!$D$2:$D$5000,Entries!$C$2:$C$5000,"Actual",Entries!$A$2:$A$5000,$A259,Entries!$B$2:$B$5000,V$1))</f>
        <v/>
      </c>
      <c r="W259" s="88">
        <f>IF(OR(W$1="",$BE259=0),"",SUMIFS(Entries!$D$2:$D$5000,Entries!$C$2:$C$5000,"Actual",Entries!$A$2:$A$5000,$A259,Entries!$B$2:$B$5000,W$1))</f>
        <v/>
      </c>
      <c r="X259" s="88">
        <f>IF(OR(X$1="",$BE259=0),"",SUMIFS(Entries!$D$2:$D$5000,Entries!$C$2:$C$5000,"Actual",Entries!$A$2:$A$5000,$A259,Entries!$B$2:$B$5000,X$1))</f>
        <v/>
      </c>
      <c r="Y259" s="88">
        <f>IF(OR(Y$1="",$BE259=0),"",SUMIFS(Entries!$D$2:$D$5000,Entries!$C$2:$C$5000,"Actual",Entries!$A$2:$A$5000,$A259,Entries!$B$2:$B$5000,Y$1))</f>
        <v/>
      </c>
      <c r="Z259" s="88">
        <f>IF(OR(Z$1="",$BE259=0),"",SUMIFS(Entries!$D$2:$D$5000,Entries!$C$2:$C$5000,"Actual",Entries!$A$2:$A$5000,$A259,Entries!$B$2:$B$5000,Z$1))</f>
        <v/>
      </c>
      <c r="AA259" s="88">
        <f>IF(OR(AA$1="",$BE259=0),"",SUMIFS(Entries!$D$2:$D$5000,Entries!$C$2:$C$5000,"Actual",Entries!$A$2:$A$5000,$A259,Entries!$B$2:$B$5000,AA$1))</f>
        <v/>
      </c>
      <c r="AB259" s="88">
        <f>IF(OR(AB$1="",$BE259=0),"",SUMIFS(Entries!$D$2:$D$5000,Entries!$C$2:$C$5000,"Actual",Entries!$A$2:$A$5000,$A259,Entries!$B$2:$B$5000,AB$1))</f>
        <v/>
      </c>
      <c r="AC259" s="88">
        <f>IF(OR(AC$1="",$BE259=0),"",SUMIFS(Entries!$D$2:$D$5000,Entries!$C$2:$C$5000,"Actual",Entries!$A$2:$A$5000,$A259,Entries!$B$2:$B$5000,AC$1))</f>
        <v/>
      </c>
      <c r="AD259" s="88">
        <f>IF(OR(AD$1="",$BE259=0),"",SUMIFS(Entries!$D$2:$D$5000,Entries!$C$2:$C$5000,"Actual",Entries!$A$2:$A$5000,$A259,Entries!$B$2:$B$5000,AD$1))</f>
        <v/>
      </c>
      <c r="AE259" s="88">
        <f>IF(OR(AE$1="",$BE259=0),"",SUMIFS(Entries!$D$2:$D$5000,Entries!$C$2:$C$5000,"Actual",Entries!$A$2:$A$5000,$A259,Entries!$B$2:$B$5000,AE$1))</f>
        <v/>
      </c>
      <c r="AF259" s="88">
        <f>IF(OR(AF$1="",$BE259=0),"",SUMIFS(Entries!$D$2:$D$5000,Entries!$C$2:$C$5000,"Actual",Entries!$A$2:$A$5000,$A259,Entries!$B$2:$B$5000,AF$1))</f>
        <v/>
      </c>
      <c r="AG259" s="88">
        <f>IF(OR(AG$1="",$BE259=0),"",SUMIFS(Entries!$D$2:$D$5000,Entries!$C$2:$C$5000,"Actual",Entries!$A$2:$A$5000,$A259,Entries!$B$2:$B$5000,AG$1))</f>
        <v/>
      </c>
      <c r="AH259" s="88">
        <f>IF(OR(AH$1="",$BE259=0),"",SUMIFS(Entries!$D$2:$D$5000,Entries!$C$2:$C$5000,"Actual",Entries!$A$2:$A$5000,$A259,Entries!$B$2:$B$5000,AH$1))</f>
        <v/>
      </c>
      <c r="AJ259" s="88">
        <f>IF(OR(AJ$1="",$BE259=0),"",IFERROR(LOOKUP(2,1/((Budgets!$A$2:$A$200=AJ$1)*(Budgets!$B$2:$B$200&lt;=$A259)),Budgets!$C$2:$C$200),0))</f>
        <v/>
      </c>
      <c r="AK259" s="88">
        <f>IF(OR(AK$1="",$BE259=0),"",IFERROR(LOOKUP(2,1/((Budgets!$A$2:$A$200=AK$1)*(Budgets!$B$2:$B$200&lt;=$A259)),Budgets!$C$2:$C$200),0))</f>
        <v/>
      </c>
      <c r="AL259" s="88">
        <f>IF(OR(AL$1="",$BE259=0),"",IFERROR(LOOKUP(2,1/((Budgets!$A$2:$A$200=AL$1)*(Budgets!$B$2:$B$200&lt;=$A259)),Budgets!$C$2:$C$200),0))</f>
        <v/>
      </c>
      <c r="AM259" s="88">
        <f>IF(OR(AM$1="",$BE259=0),"",IFERROR(LOOKUP(2,1/((Budgets!$A$2:$A$200=AM$1)*(Budgets!$B$2:$B$200&lt;=$A259)),Budgets!$C$2:$C$200),0))</f>
        <v/>
      </c>
      <c r="AN259" s="88">
        <f>IF(OR(AN$1="",$BE259=0),"",IFERROR(LOOKUP(2,1/((Budgets!$A$2:$A$200=AN$1)*(Budgets!$B$2:$B$200&lt;=$A259)),Budgets!$C$2:$C$200),0))</f>
        <v/>
      </c>
      <c r="AO259" s="88">
        <f>IF(OR(AO$1="",$BE259=0),"",IFERROR(LOOKUP(2,1/((Budgets!$A$2:$A$200=AO$1)*(Budgets!$B$2:$B$200&lt;=$A259)),Budgets!$C$2:$C$200),0))</f>
        <v/>
      </c>
      <c r="AP259" s="88">
        <f>IF(OR(AP$1="",$BE259=0),"",IFERROR(LOOKUP(2,1/((Budgets!$A$2:$A$200=AP$1)*(Budgets!$B$2:$B$200&lt;=$A259)),Budgets!$C$2:$C$200),0))</f>
        <v/>
      </c>
      <c r="AQ259" s="88">
        <f>IF(OR(AQ$1="",$BE259=0),"",IFERROR(LOOKUP(2,1/((Budgets!$A$2:$A$200=AQ$1)*(Budgets!$B$2:$B$200&lt;=$A259)),Budgets!$C$2:$C$200),0))</f>
        <v/>
      </c>
      <c r="AR259" s="88">
        <f>IF(OR(AR$1="",$BE259=0),"",IFERROR(LOOKUP(2,1/((Budgets!$A$2:$A$200=AR$1)*(Budgets!$B$2:$B$200&lt;=$A259)),Budgets!$C$2:$C$200),0))</f>
        <v/>
      </c>
      <c r="AS259" s="88">
        <f>IF(OR(AS$1="",$BE259=0),"",IFERROR(LOOKUP(2,1/((Budgets!$A$2:$A$200=AS$1)*(Budgets!$B$2:$B$200&lt;=$A259)),Budgets!$C$2:$C$200),0))</f>
        <v/>
      </c>
      <c r="AT259" s="88">
        <f>IF(OR(AT$1="",$BE259=0),"",IFERROR(LOOKUP(2,1/((Budgets!$A$2:$A$200=AT$1)*(Budgets!$B$2:$B$200&lt;=$A259)),Budgets!$C$2:$C$200),0))</f>
        <v/>
      </c>
      <c r="AU259" s="88">
        <f>IF(OR(AU$1="",$BE259=0),"",IFERROR(LOOKUP(2,1/((Budgets!$A$2:$A$200=AU$1)*(Budgets!$B$2:$B$200&lt;=$A259)),Budgets!$C$2:$C$200),0))</f>
        <v/>
      </c>
      <c r="AV259" s="88">
        <f>IF(OR(AV$1="",$BE259=0),"",IFERROR(LOOKUP(2,1/((Budgets!$A$2:$A$200=AV$1)*(Budgets!$B$2:$B$200&lt;=$A259)),Budgets!$C$2:$C$200),0))</f>
        <v/>
      </c>
      <c r="AW259" s="88">
        <f>IF(OR(AW$1="",$BE259=0),"",IFERROR(LOOKUP(2,1/((Budgets!$A$2:$A$200=AW$1)*(Budgets!$B$2:$B$200&lt;=$A259)),Budgets!$C$2:$C$200),0))</f>
        <v/>
      </c>
      <c r="AX259" s="88">
        <f>IF(OR(AX$1="",$BE259=0),"",IFERROR(LOOKUP(2,1/((Budgets!$A$2:$A$200=AX$1)*(Budgets!$B$2:$B$200&lt;=$A259)),Budgets!$C$2:$C$200),0))</f>
        <v/>
      </c>
      <c r="AY259" s="88">
        <f>IF(OR(AY$1="",$BE259=0),"",IFERROR(LOOKUP(2,1/((Budgets!$A$2:$A$200=AY$1)*(Budgets!$B$2:$B$200&lt;=$A259)),Budgets!$C$2:$C$200),0))</f>
        <v/>
      </c>
      <c r="AZ259" s="88">
        <f>IF(OR(AZ$1="",$BE259=0),"",IFERROR(LOOKUP(2,1/((Budgets!$A$2:$A$200=AZ$1)*(Budgets!$B$2:$B$200&lt;=$A259)),Budgets!$C$2:$C$200),0))</f>
        <v/>
      </c>
      <c r="BA259" s="88">
        <f>IF(OR(BA$1="",$BE259=0),"",IFERROR(LOOKUP(2,1/((Budgets!$A$2:$A$200=BA$1)*(Budgets!$B$2:$B$200&lt;=$A259)),Budgets!$C$2:$C$200),0))</f>
        <v/>
      </c>
      <c r="BB259" s="88">
        <f>IF(OR(BB$1="",$BE259=0),"",IFERROR(LOOKUP(2,1/((Budgets!$A$2:$A$200=BB$1)*(Budgets!$B$2:$B$200&lt;=$A259)),Budgets!$C$2:$C$200),0))</f>
        <v/>
      </c>
      <c r="BC259" s="88">
        <f>IF(OR(BC$1="",$BE259=0),"",IFERROR(LOOKUP(2,1/((Budgets!$A$2:$A$200=BC$1)*(Budgets!$B$2:$B$200&lt;=$A259)),Budgets!$C$2:$C$200),0))</f>
        <v/>
      </c>
      <c r="BE259" s="67">
        <f>COUNTIFS(Entries!$A$2:$A$5000,$A259)</f>
        <v/>
      </c>
    </row>
    <row r="260" ht="15" customHeight="1" s="43">
      <c r="A260" s="87" t="n">
        <v>47300</v>
      </c>
      <c r="B260" s="88">
        <f>IF($BE260=0,NA(),SUMIFS(Entries!$D$2:$D$5000,Entries!$C$2:$C$5000,"Income",Entries!$A$2:$A$5000,$A260))</f>
        <v/>
      </c>
      <c r="C260" s="88">
        <f>IF($BE260=0,"",SUMIFS(Entries!$D$2:$D$5000,Entries!$C$2:$C$5000,"Actual",Entries!$A$2:$A$5000,$A260))</f>
        <v/>
      </c>
      <c r="D260" s="88">
        <f>IF($BE260=0,"",SUMIFS(Entries!$D$2:$D$5000,Entries!$C$2:$C$5000,"One-off",Entries!$A$2:$A$5000,$A260))</f>
        <v/>
      </c>
      <c r="E260" s="88">
        <f>IF($BE260=0,NA(),C260+D260)</f>
        <v/>
      </c>
      <c r="F260" s="88">
        <f>IF($BE260=0,"",SUM(AJ260:BC260))</f>
        <v/>
      </c>
      <c r="G260" s="88">
        <f>IF($BE260=0,"",B260-E260)</f>
        <v/>
      </c>
      <c r="H260" s="88">
        <f>IF($BE260=0,"",SUM($G$2:G260))</f>
        <v/>
      </c>
      <c r="I260" s="88">
        <f>IF($BE260=0,"",SUMIFS(Entries!$F$2:$F$5000,Entries!$A$2:$A$5000,$A260))</f>
        <v/>
      </c>
      <c r="J260" s="88">
        <f>IF($BE260=0,NA(),H260+SUM($I$2:I260))</f>
        <v/>
      </c>
      <c r="K260" s="88">
        <f>IF($BE260=0,"",SUMIFS(Entries!$D$2:$D$5000,Entries!$C$2:$C$5000,"Income",Entries!$A$2:$A$5000,"&gt;="&amp;EDATE($A260,-11),Entries!$A$2:$A$5000,"&lt;="&amp;$A260)/12)</f>
        <v/>
      </c>
      <c r="L260" s="88">
        <f>IF($BE260=0,"",(SUMIFS(Entries!$D$2:$D$5000,Entries!$C$2:$C$5000,"Actual",Entries!$A$2:$A$5000,"&gt;="&amp;EDATE($A260,-11),Entries!$A$2:$A$5000,"&lt;="&amp;$A260)+SUMIFS(Entries!$D$2:$D$5000,Entries!$C$2:$C$5000,"One-off",Entries!$A$2:$A$5000,"&gt;="&amp;EDATE($A260,-11),Entries!$A$2:$A$5000,"&lt;="&amp;$A260))/12)</f>
        <v/>
      </c>
      <c r="M260" s="71">
        <f>IF($BE260=0,NA(),IFERROR((K260-L260)/K260,0))</f>
        <v/>
      </c>
      <c r="O260" s="88">
        <f>IF(OR(O$1="",$BE260=0),"",SUMIFS(Entries!$D$2:$D$5000,Entries!$C$2:$C$5000,"Actual",Entries!$A$2:$A$5000,$A260,Entries!$B$2:$B$5000,O$1))</f>
        <v/>
      </c>
      <c r="P260" s="88">
        <f>IF(OR(P$1="",$BE260=0),"",SUMIFS(Entries!$D$2:$D$5000,Entries!$C$2:$C$5000,"Actual",Entries!$A$2:$A$5000,$A260,Entries!$B$2:$B$5000,P$1))</f>
        <v/>
      </c>
      <c r="Q260" s="88">
        <f>IF(OR(Q$1="",$BE260=0),"",SUMIFS(Entries!$D$2:$D$5000,Entries!$C$2:$C$5000,"Actual",Entries!$A$2:$A$5000,$A260,Entries!$B$2:$B$5000,Q$1))</f>
        <v/>
      </c>
      <c r="R260" s="88">
        <f>IF(OR(R$1="",$BE260=0),"",SUMIFS(Entries!$D$2:$D$5000,Entries!$C$2:$C$5000,"Actual",Entries!$A$2:$A$5000,$A260,Entries!$B$2:$B$5000,R$1))</f>
        <v/>
      </c>
      <c r="S260" s="88">
        <f>IF(OR(S$1="",$BE260=0),"",SUMIFS(Entries!$D$2:$D$5000,Entries!$C$2:$C$5000,"Actual",Entries!$A$2:$A$5000,$A260,Entries!$B$2:$B$5000,S$1))</f>
        <v/>
      </c>
      <c r="T260" s="88">
        <f>IF(OR(T$1="",$BE260=0),"",SUMIFS(Entries!$D$2:$D$5000,Entries!$C$2:$C$5000,"Actual",Entries!$A$2:$A$5000,$A260,Entries!$B$2:$B$5000,T$1))</f>
        <v/>
      </c>
      <c r="U260" s="88">
        <f>IF(OR(U$1="",$BE260=0),"",SUMIFS(Entries!$D$2:$D$5000,Entries!$C$2:$C$5000,"Actual",Entries!$A$2:$A$5000,$A260,Entries!$B$2:$B$5000,U$1))</f>
        <v/>
      </c>
      <c r="V260" s="88">
        <f>IF(OR(V$1="",$BE260=0),"",SUMIFS(Entries!$D$2:$D$5000,Entries!$C$2:$C$5000,"Actual",Entries!$A$2:$A$5000,$A260,Entries!$B$2:$B$5000,V$1))</f>
        <v/>
      </c>
      <c r="W260" s="88">
        <f>IF(OR(W$1="",$BE260=0),"",SUMIFS(Entries!$D$2:$D$5000,Entries!$C$2:$C$5000,"Actual",Entries!$A$2:$A$5000,$A260,Entries!$B$2:$B$5000,W$1))</f>
        <v/>
      </c>
      <c r="X260" s="88">
        <f>IF(OR(X$1="",$BE260=0),"",SUMIFS(Entries!$D$2:$D$5000,Entries!$C$2:$C$5000,"Actual",Entries!$A$2:$A$5000,$A260,Entries!$B$2:$B$5000,X$1))</f>
        <v/>
      </c>
      <c r="Y260" s="88">
        <f>IF(OR(Y$1="",$BE260=0),"",SUMIFS(Entries!$D$2:$D$5000,Entries!$C$2:$C$5000,"Actual",Entries!$A$2:$A$5000,$A260,Entries!$B$2:$B$5000,Y$1))</f>
        <v/>
      </c>
      <c r="Z260" s="88">
        <f>IF(OR(Z$1="",$BE260=0),"",SUMIFS(Entries!$D$2:$D$5000,Entries!$C$2:$C$5000,"Actual",Entries!$A$2:$A$5000,$A260,Entries!$B$2:$B$5000,Z$1))</f>
        <v/>
      </c>
      <c r="AA260" s="88">
        <f>IF(OR(AA$1="",$BE260=0),"",SUMIFS(Entries!$D$2:$D$5000,Entries!$C$2:$C$5000,"Actual",Entries!$A$2:$A$5000,$A260,Entries!$B$2:$B$5000,AA$1))</f>
        <v/>
      </c>
      <c r="AB260" s="88">
        <f>IF(OR(AB$1="",$BE260=0),"",SUMIFS(Entries!$D$2:$D$5000,Entries!$C$2:$C$5000,"Actual",Entries!$A$2:$A$5000,$A260,Entries!$B$2:$B$5000,AB$1))</f>
        <v/>
      </c>
      <c r="AC260" s="88">
        <f>IF(OR(AC$1="",$BE260=0),"",SUMIFS(Entries!$D$2:$D$5000,Entries!$C$2:$C$5000,"Actual",Entries!$A$2:$A$5000,$A260,Entries!$B$2:$B$5000,AC$1))</f>
        <v/>
      </c>
      <c r="AD260" s="88">
        <f>IF(OR(AD$1="",$BE260=0),"",SUMIFS(Entries!$D$2:$D$5000,Entries!$C$2:$C$5000,"Actual",Entries!$A$2:$A$5000,$A260,Entries!$B$2:$B$5000,AD$1))</f>
        <v/>
      </c>
      <c r="AE260" s="88">
        <f>IF(OR(AE$1="",$BE260=0),"",SUMIFS(Entries!$D$2:$D$5000,Entries!$C$2:$C$5000,"Actual",Entries!$A$2:$A$5000,$A260,Entries!$B$2:$B$5000,AE$1))</f>
        <v/>
      </c>
      <c r="AF260" s="88">
        <f>IF(OR(AF$1="",$BE260=0),"",SUMIFS(Entries!$D$2:$D$5000,Entries!$C$2:$C$5000,"Actual",Entries!$A$2:$A$5000,$A260,Entries!$B$2:$B$5000,AF$1))</f>
        <v/>
      </c>
      <c r="AG260" s="88">
        <f>IF(OR(AG$1="",$BE260=0),"",SUMIFS(Entries!$D$2:$D$5000,Entries!$C$2:$C$5000,"Actual",Entries!$A$2:$A$5000,$A260,Entries!$B$2:$B$5000,AG$1))</f>
        <v/>
      </c>
      <c r="AH260" s="88">
        <f>IF(OR(AH$1="",$BE260=0),"",SUMIFS(Entries!$D$2:$D$5000,Entries!$C$2:$C$5000,"Actual",Entries!$A$2:$A$5000,$A260,Entries!$B$2:$B$5000,AH$1))</f>
        <v/>
      </c>
      <c r="AJ260" s="88">
        <f>IF(OR(AJ$1="",$BE260=0),"",IFERROR(LOOKUP(2,1/((Budgets!$A$2:$A$200=AJ$1)*(Budgets!$B$2:$B$200&lt;=$A260)),Budgets!$C$2:$C$200),0))</f>
        <v/>
      </c>
      <c r="AK260" s="88">
        <f>IF(OR(AK$1="",$BE260=0),"",IFERROR(LOOKUP(2,1/((Budgets!$A$2:$A$200=AK$1)*(Budgets!$B$2:$B$200&lt;=$A260)),Budgets!$C$2:$C$200),0))</f>
        <v/>
      </c>
      <c r="AL260" s="88">
        <f>IF(OR(AL$1="",$BE260=0),"",IFERROR(LOOKUP(2,1/((Budgets!$A$2:$A$200=AL$1)*(Budgets!$B$2:$B$200&lt;=$A260)),Budgets!$C$2:$C$200),0))</f>
        <v/>
      </c>
      <c r="AM260" s="88">
        <f>IF(OR(AM$1="",$BE260=0),"",IFERROR(LOOKUP(2,1/((Budgets!$A$2:$A$200=AM$1)*(Budgets!$B$2:$B$200&lt;=$A260)),Budgets!$C$2:$C$200),0))</f>
        <v/>
      </c>
      <c r="AN260" s="88">
        <f>IF(OR(AN$1="",$BE260=0),"",IFERROR(LOOKUP(2,1/((Budgets!$A$2:$A$200=AN$1)*(Budgets!$B$2:$B$200&lt;=$A260)),Budgets!$C$2:$C$200),0))</f>
        <v/>
      </c>
      <c r="AO260" s="88">
        <f>IF(OR(AO$1="",$BE260=0),"",IFERROR(LOOKUP(2,1/((Budgets!$A$2:$A$200=AO$1)*(Budgets!$B$2:$B$200&lt;=$A260)),Budgets!$C$2:$C$200),0))</f>
        <v/>
      </c>
      <c r="AP260" s="88">
        <f>IF(OR(AP$1="",$BE260=0),"",IFERROR(LOOKUP(2,1/((Budgets!$A$2:$A$200=AP$1)*(Budgets!$B$2:$B$200&lt;=$A260)),Budgets!$C$2:$C$200),0))</f>
        <v/>
      </c>
      <c r="AQ260" s="88">
        <f>IF(OR(AQ$1="",$BE260=0),"",IFERROR(LOOKUP(2,1/((Budgets!$A$2:$A$200=AQ$1)*(Budgets!$B$2:$B$200&lt;=$A260)),Budgets!$C$2:$C$200),0))</f>
        <v/>
      </c>
      <c r="AR260" s="88">
        <f>IF(OR(AR$1="",$BE260=0),"",IFERROR(LOOKUP(2,1/((Budgets!$A$2:$A$200=AR$1)*(Budgets!$B$2:$B$200&lt;=$A260)),Budgets!$C$2:$C$200),0))</f>
        <v/>
      </c>
      <c r="AS260" s="88">
        <f>IF(OR(AS$1="",$BE260=0),"",IFERROR(LOOKUP(2,1/((Budgets!$A$2:$A$200=AS$1)*(Budgets!$B$2:$B$200&lt;=$A260)),Budgets!$C$2:$C$200),0))</f>
        <v/>
      </c>
      <c r="AT260" s="88">
        <f>IF(OR(AT$1="",$BE260=0),"",IFERROR(LOOKUP(2,1/((Budgets!$A$2:$A$200=AT$1)*(Budgets!$B$2:$B$200&lt;=$A260)),Budgets!$C$2:$C$200),0))</f>
        <v/>
      </c>
      <c r="AU260" s="88">
        <f>IF(OR(AU$1="",$BE260=0),"",IFERROR(LOOKUP(2,1/((Budgets!$A$2:$A$200=AU$1)*(Budgets!$B$2:$B$200&lt;=$A260)),Budgets!$C$2:$C$200),0))</f>
        <v/>
      </c>
      <c r="AV260" s="88">
        <f>IF(OR(AV$1="",$BE260=0),"",IFERROR(LOOKUP(2,1/((Budgets!$A$2:$A$200=AV$1)*(Budgets!$B$2:$B$200&lt;=$A260)),Budgets!$C$2:$C$200),0))</f>
        <v/>
      </c>
      <c r="AW260" s="88">
        <f>IF(OR(AW$1="",$BE260=0),"",IFERROR(LOOKUP(2,1/((Budgets!$A$2:$A$200=AW$1)*(Budgets!$B$2:$B$200&lt;=$A260)),Budgets!$C$2:$C$200),0))</f>
        <v/>
      </c>
      <c r="AX260" s="88">
        <f>IF(OR(AX$1="",$BE260=0),"",IFERROR(LOOKUP(2,1/((Budgets!$A$2:$A$200=AX$1)*(Budgets!$B$2:$B$200&lt;=$A260)),Budgets!$C$2:$C$200),0))</f>
        <v/>
      </c>
      <c r="AY260" s="88">
        <f>IF(OR(AY$1="",$BE260=0),"",IFERROR(LOOKUP(2,1/((Budgets!$A$2:$A$200=AY$1)*(Budgets!$B$2:$B$200&lt;=$A260)),Budgets!$C$2:$C$200),0))</f>
        <v/>
      </c>
      <c r="AZ260" s="88">
        <f>IF(OR(AZ$1="",$BE260=0),"",IFERROR(LOOKUP(2,1/((Budgets!$A$2:$A$200=AZ$1)*(Budgets!$B$2:$B$200&lt;=$A260)),Budgets!$C$2:$C$200),0))</f>
        <v/>
      </c>
      <c r="BA260" s="88">
        <f>IF(OR(BA$1="",$BE260=0),"",IFERROR(LOOKUP(2,1/((Budgets!$A$2:$A$200=BA$1)*(Budgets!$B$2:$B$200&lt;=$A260)),Budgets!$C$2:$C$200),0))</f>
        <v/>
      </c>
      <c r="BB260" s="88">
        <f>IF(OR(BB$1="",$BE260=0),"",IFERROR(LOOKUP(2,1/((Budgets!$A$2:$A$200=BB$1)*(Budgets!$B$2:$B$200&lt;=$A260)),Budgets!$C$2:$C$200),0))</f>
        <v/>
      </c>
      <c r="BC260" s="88">
        <f>IF(OR(BC$1="",$BE260=0),"",IFERROR(LOOKUP(2,1/((Budgets!$A$2:$A$200=BC$1)*(Budgets!$B$2:$B$200&lt;=$A260)),Budgets!$C$2:$C$200),0))</f>
        <v/>
      </c>
      <c r="BE260" s="67">
        <f>COUNTIFS(Entries!$A$2:$A$5000,$A260)</f>
        <v/>
      </c>
    </row>
    <row r="261" ht="15" customHeight="1" s="43">
      <c r="A261" s="87" t="n">
        <v>47331</v>
      </c>
      <c r="B261" s="88">
        <f>IF($BE261=0,NA(),SUMIFS(Entries!$D$2:$D$5000,Entries!$C$2:$C$5000,"Income",Entries!$A$2:$A$5000,$A261))</f>
        <v/>
      </c>
      <c r="C261" s="88">
        <f>IF($BE261=0,"",SUMIFS(Entries!$D$2:$D$5000,Entries!$C$2:$C$5000,"Actual",Entries!$A$2:$A$5000,$A261))</f>
        <v/>
      </c>
      <c r="D261" s="88">
        <f>IF($BE261=0,"",SUMIFS(Entries!$D$2:$D$5000,Entries!$C$2:$C$5000,"One-off",Entries!$A$2:$A$5000,$A261))</f>
        <v/>
      </c>
      <c r="E261" s="88">
        <f>IF($BE261=0,NA(),C261+D261)</f>
        <v/>
      </c>
      <c r="F261" s="88">
        <f>IF($BE261=0,"",SUM(AJ261:BC261))</f>
        <v/>
      </c>
      <c r="G261" s="88">
        <f>IF($BE261=0,"",B261-E261)</f>
        <v/>
      </c>
      <c r="H261" s="88">
        <f>IF($BE261=0,"",SUM($G$2:G261))</f>
        <v/>
      </c>
      <c r="I261" s="88">
        <f>IF($BE261=0,"",SUMIFS(Entries!$F$2:$F$5000,Entries!$A$2:$A$5000,$A261))</f>
        <v/>
      </c>
      <c r="J261" s="88">
        <f>IF($BE261=0,NA(),H261+SUM($I$2:I261))</f>
        <v/>
      </c>
      <c r="K261" s="88">
        <f>IF($BE261=0,"",SUMIFS(Entries!$D$2:$D$5000,Entries!$C$2:$C$5000,"Income",Entries!$A$2:$A$5000,"&gt;="&amp;EDATE($A261,-11),Entries!$A$2:$A$5000,"&lt;="&amp;$A261)/12)</f>
        <v/>
      </c>
      <c r="L261" s="88">
        <f>IF($BE261=0,"",(SUMIFS(Entries!$D$2:$D$5000,Entries!$C$2:$C$5000,"Actual",Entries!$A$2:$A$5000,"&gt;="&amp;EDATE($A261,-11),Entries!$A$2:$A$5000,"&lt;="&amp;$A261)+SUMIFS(Entries!$D$2:$D$5000,Entries!$C$2:$C$5000,"One-off",Entries!$A$2:$A$5000,"&gt;="&amp;EDATE($A261,-11),Entries!$A$2:$A$5000,"&lt;="&amp;$A261))/12)</f>
        <v/>
      </c>
      <c r="M261" s="71">
        <f>IF($BE261=0,NA(),IFERROR((K261-L261)/K261,0))</f>
        <v/>
      </c>
      <c r="O261" s="88">
        <f>IF(OR(O$1="",$BE261=0),"",SUMIFS(Entries!$D$2:$D$5000,Entries!$C$2:$C$5000,"Actual",Entries!$A$2:$A$5000,$A261,Entries!$B$2:$B$5000,O$1))</f>
        <v/>
      </c>
      <c r="P261" s="88">
        <f>IF(OR(P$1="",$BE261=0),"",SUMIFS(Entries!$D$2:$D$5000,Entries!$C$2:$C$5000,"Actual",Entries!$A$2:$A$5000,$A261,Entries!$B$2:$B$5000,P$1))</f>
        <v/>
      </c>
      <c r="Q261" s="88">
        <f>IF(OR(Q$1="",$BE261=0),"",SUMIFS(Entries!$D$2:$D$5000,Entries!$C$2:$C$5000,"Actual",Entries!$A$2:$A$5000,$A261,Entries!$B$2:$B$5000,Q$1))</f>
        <v/>
      </c>
      <c r="R261" s="88">
        <f>IF(OR(R$1="",$BE261=0),"",SUMIFS(Entries!$D$2:$D$5000,Entries!$C$2:$C$5000,"Actual",Entries!$A$2:$A$5000,$A261,Entries!$B$2:$B$5000,R$1))</f>
        <v/>
      </c>
      <c r="S261" s="88">
        <f>IF(OR(S$1="",$BE261=0),"",SUMIFS(Entries!$D$2:$D$5000,Entries!$C$2:$C$5000,"Actual",Entries!$A$2:$A$5000,$A261,Entries!$B$2:$B$5000,S$1))</f>
        <v/>
      </c>
      <c r="T261" s="88">
        <f>IF(OR(T$1="",$BE261=0),"",SUMIFS(Entries!$D$2:$D$5000,Entries!$C$2:$C$5000,"Actual",Entries!$A$2:$A$5000,$A261,Entries!$B$2:$B$5000,T$1))</f>
        <v/>
      </c>
      <c r="U261" s="88">
        <f>IF(OR(U$1="",$BE261=0),"",SUMIFS(Entries!$D$2:$D$5000,Entries!$C$2:$C$5000,"Actual",Entries!$A$2:$A$5000,$A261,Entries!$B$2:$B$5000,U$1))</f>
        <v/>
      </c>
      <c r="V261" s="88">
        <f>IF(OR(V$1="",$BE261=0),"",SUMIFS(Entries!$D$2:$D$5000,Entries!$C$2:$C$5000,"Actual",Entries!$A$2:$A$5000,$A261,Entries!$B$2:$B$5000,V$1))</f>
        <v/>
      </c>
      <c r="W261" s="88">
        <f>IF(OR(W$1="",$BE261=0),"",SUMIFS(Entries!$D$2:$D$5000,Entries!$C$2:$C$5000,"Actual",Entries!$A$2:$A$5000,$A261,Entries!$B$2:$B$5000,W$1))</f>
        <v/>
      </c>
      <c r="X261" s="88">
        <f>IF(OR(X$1="",$BE261=0),"",SUMIFS(Entries!$D$2:$D$5000,Entries!$C$2:$C$5000,"Actual",Entries!$A$2:$A$5000,$A261,Entries!$B$2:$B$5000,X$1))</f>
        <v/>
      </c>
      <c r="Y261" s="88">
        <f>IF(OR(Y$1="",$BE261=0),"",SUMIFS(Entries!$D$2:$D$5000,Entries!$C$2:$C$5000,"Actual",Entries!$A$2:$A$5000,$A261,Entries!$B$2:$B$5000,Y$1))</f>
        <v/>
      </c>
      <c r="Z261" s="88">
        <f>IF(OR(Z$1="",$BE261=0),"",SUMIFS(Entries!$D$2:$D$5000,Entries!$C$2:$C$5000,"Actual",Entries!$A$2:$A$5000,$A261,Entries!$B$2:$B$5000,Z$1))</f>
        <v/>
      </c>
      <c r="AA261" s="88">
        <f>IF(OR(AA$1="",$BE261=0),"",SUMIFS(Entries!$D$2:$D$5000,Entries!$C$2:$C$5000,"Actual",Entries!$A$2:$A$5000,$A261,Entries!$B$2:$B$5000,AA$1))</f>
        <v/>
      </c>
      <c r="AB261" s="88">
        <f>IF(OR(AB$1="",$BE261=0),"",SUMIFS(Entries!$D$2:$D$5000,Entries!$C$2:$C$5000,"Actual",Entries!$A$2:$A$5000,$A261,Entries!$B$2:$B$5000,AB$1))</f>
        <v/>
      </c>
      <c r="AC261" s="88">
        <f>IF(OR(AC$1="",$BE261=0),"",SUMIFS(Entries!$D$2:$D$5000,Entries!$C$2:$C$5000,"Actual",Entries!$A$2:$A$5000,$A261,Entries!$B$2:$B$5000,AC$1))</f>
        <v/>
      </c>
      <c r="AD261" s="88">
        <f>IF(OR(AD$1="",$BE261=0),"",SUMIFS(Entries!$D$2:$D$5000,Entries!$C$2:$C$5000,"Actual",Entries!$A$2:$A$5000,$A261,Entries!$B$2:$B$5000,AD$1))</f>
        <v/>
      </c>
      <c r="AE261" s="88">
        <f>IF(OR(AE$1="",$BE261=0),"",SUMIFS(Entries!$D$2:$D$5000,Entries!$C$2:$C$5000,"Actual",Entries!$A$2:$A$5000,$A261,Entries!$B$2:$B$5000,AE$1))</f>
        <v/>
      </c>
      <c r="AF261" s="88">
        <f>IF(OR(AF$1="",$BE261=0),"",SUMIFS(Entries!$D$2:$D$5000,Entries!$C$2:$C$5000,"Actual",Entries!$A$2:$A$5000,$A261,Entries!$B$2:$B$5000,AF$1))</f>
        <v/>
      </c>
      <c r="AG261" s="88">
        <f>IF(OR(AG$1="",$BE261=0),"",SUMIFS(Entries!$D$2:$D$5000,Entries!$C$2:$C$5000,"Actual",Entries!$A$2:$A$5000,$A261,Entries!$B$2:$B$5000,AG$1))</f>
        <v/>
      </c>
      <c r="AH261" s="88">
        <f>IF(OR(AH$1="",$BE261=0),"",SUMIFS(Entries!$D$2:$D$5000,Entries!$C$2:$C$5000,"Actual",Entries!$A$2:$A$5000,$A261,Entries!$B$2:$B$5000,AH$1))</f>
        <v/>
      </c>
      <c r="AJ261" s="88">
        <f>IF(OR(AJ$1="",$BE261=0),"",IFERROR(LOOKUP(2,1/((Budgets!$A$2:$A$200=AJ$1)*(Budgets!$B$2:$B$200&lt;=$A261)),Budgets!$C$2:$C$200),0))</f>
        <v/>
      </c>
      <c r="AK261" s="88">
        <f>IF(OR(AK$1="",$BE261=0),"",IFERROR(LOOKUP(2,1/((Budgets!$A$2:$A$200=AK$1)*(Budgets!$B$2:$B$200&lt;=$A261)),Budgets!$C$2:$C$200),0))</f>
        <v/>
      </c>
      <c r="AL261" s="88">
        <f>IF(OR(AL$1="",$BE261=0),"",IFERROR(LOOKUP(2,1/((Budgets!$A$2:$A$200=AL$1)*(Budgets!$B$2:$B$200&lt;=$A261)),Budgets!$C$2:$C$200),0))</f>
        <v/>
      </c>
      <c r="AM261" s="88">
        <f>IF(OR(AM$1="",$BE261=0),"",IFERROR(LOOKUP(2,1/((Budgets!$A$2:$A$200=AM$1)*(Budgets!$B$2:$B$200&lt;=$A261)),Budgets!$C$2:$C$200),0))</f>
        <v/>
      </c>
      <c r="AN261" s="88">
        <f>IF(OR(AN$1="",$BE261=0),"",IFERROR(LOOKUP(2,1/((Budgets!$A$2:$A$200=AN$1)*(Budgets!$B$2:$B$200&lt;=$A261)),Budgets!$C$2:$C$200),0))</f>
        <v/>
      </c>
      <c r="AO261" s="88">
        <f>IF(OR(AO$1="",$BE261=0),"",IFERROR(LOOKUP(2,1/((Budgets!$A$2:$A$200=AO$1)*(Budgets!$B$2:$B$200&lt;=$A261)),Budgets!$C$2:$C$200),0))</f>
        <v/>
      </c>
      <c r="AP261" s="88">
        <f>IF(OR(AP$1="",$BE261=0),"",IFERROR(LOOKUP(2,1/((Budgets!$A$2:$A$200=AP$1)*(Budgets!$B$2:$B$200&lt;=$A261)),Budgets!$C$2:$C$200),0))</f>
        <v/>
      </c>
      <c r="AQ261" s="88">
        <f>IF(OR(AQ$1="",$BE261=0),"",IFERROR(LOOKUP(2,1/((Budgets!$A$2:$A$200=AQ$1)*(Budgets!$B$2:$B$200&lt;=$A261)),Budgets!$C$2:$C$200),0))</f>
        <v/>
      </c>
      <c r="AR261" s="88">
        <f>IF(OR(AR$1="",$BE261=0),"",IFERROR(LOOKUP(2,1/((Budgets!$A$2:$A$200=AR$1)*(Budgets!$B$2:$B$200&lt;=$A261)),Budgets!$C$2:$C$200),0))</f>
        <v/>
      </c>
      <c r="AS261" s="88">
        <f>IF(OR(AS$1="",$BE261=0),"",IFERROR(LOOKUP(2,1/((Budgets!$A$2:$A$200=AS$1)*(Budgets!$B$2:$B$200&lt;=$A261)),Budgets!$C$2:$C$200),0))</f>
        <v/>
      </c>
      <c r="AT261" s="88">
        <f>IF(OR(AT$1="",$BE261=0),"",IFERROR(LOOKUP(2,1/((Budgets!$A$2:$A$200=AT$1)*(Budgets!$B$2:$B$200&lt;=$A261)),Budgets!$C$2:$C$200),0))</f>
        <v/>
      </c>
      <c r="AU261" s="88">
        <f>IF(OR(AU$1="",$BE261=0),"",IFERROR(LOOKUP(2,1/((Budgets!$A$2:$A$200=AU$1)*(Budgets!$B$2:$B$200&lt;=$A261)),Budgets!$C$2:$C$200),0))</f>
        <v/>
      </c>
      <c r="AV261" s="88">
        <f>IF(OR(AV$1="",$BE261=0),"",IFERROR(LOOKUP(2,1/((Budgets!$A$2:$A$200=AV$1)*(Budgets!$B$2:$B$200&lt;=$A261)),Budgets!$C$2:$C$200),0))</f>
        <v/>
      </c>
      <c r="AW261" s="88">
        <f>IF(OR(AW$1="",$BE261=0),"",IFERROR(LOOKUP(2,1/((Budgets!$A$2:$A$200=AW$1)*(Budgets!$B$2:$B$200&lt;=$A261)),Budgets!$C$2:$C$200),0))</f>
        <v/>
      </c>
      <c r="AX261" s="88">
        <f>IF(OR(AX$1="",$BE261=0),"",IFERROR(LOOKUP(2,1/((Budgets!$A$2:$A$200=AX$1)*(Budgets!$B$2:$B$200&lt;=$A261)),Budgets!$C$2:$C$200),0))</f>
        <v/>
      </c>
      <c r="AY261" s="88">
        <f>IF(OR(AY$1="",$BE261=0),"",IFERROR(LOOKUP(2,1/((Budgets!$A$2:$A$200=AY$1)*(Budgets!$B$2:$B$200&lt;=$A261)),Budgets!$C$2:$C$200),0))</f>
        <v/>
      </c>
      <c r="AZ261" s="88">
        <f>IF(OR(AZ$1="",$BE261=0),"",IFERROR(LOOKUP(2,1/((Budgets!$A$2:$A$200=AZ$1)*(Budgets!$B$2:$B$200&lt;=$A261)),Budgets!$C$2:$C$200),0))</f>
        <v/>
      </c>
      <c r="BA261" s="88">
        <f>IF(OR(BA$1="",$BE261=0),"",IFERROR(LOOKUP(2,1/((Budgets!$A$2:$A$200=BA$1)*(Budgets!$B$2:$B$200&lt;=$A261)),Budgets!$C$2:$C$200),0))</f>
        <v/>
      </c>
      <c r="BB261" s="88">
        <f>IF(OR(BB$1="",$BE261=0),"",IFERROR(LOOKUP(2,1/((Budgets!$A$2:$A$200=BB$1)*(Budgets!$B$2:$B$200&lt;=$A261)),Budgets!$C$2:$C$200),0))</f>
        <v/>
      </c>
      <c r="BC261" s="88">
        <f>IF(OR(BC$1="",$BE261=0),"",IFERROR(LOOKUP(2,1/((Budgets!$A$2:$A$200=BC$1)*(Budgets!$B$2:$B$200&lt;=$A261)),Budgets!$C$2:$C$200),0))</f>
        <v/>
      </c>
      <c r="BE261" s="67">
        <f>COUNTIFS(Entries!$A$2:$A$5000,$A261)</f>
        <v/>
      </c>
    </row>
    <row r="262" ht="15" customHeight="1" s="43">
      <c r="A262" s="87" t="n">
        <v>47362</v>
      </c>
      <c r="B262" s="88">
        <f>IF($BE262=0,NA(),SUMIFS(Entries!$D$2:$D$5000,Entries!$C$2:$C$5000,"Income",Entries!$A$2:$A$5000,$A262))</f>
        <v/>
      </c>
      <c r="C262" s="88">
        <f>IF($BE262=0,"",SUMIFS(Entries!$D$2:$D$5000,Entries!$C$2:$C$5000,"Actual",Entries!$A$2:$A$5000,$A262))</f>
        <v/>
      </c>
      <c r="D262" s="88">
        <f>IF($BE262=0,"",SUMIFS(Entries!$D$2:$D$5000,Entries!$C$2:$C$5000,"One-off",Entries!$A$2:$A$5000,$A262))</f>
        <v/>
      </c>
      <c r="E262" s="88">
        <f>IF($BE262=0,NA(),C262+D262)</f>
        <v/>
      </c>
      <c r="F262" s="88">
        <f>IF($BE262=0,"",SUM(AJ262:BC262))</f>
        <v/>
      </c>
      <c r="G262" s="88">
        <f>IF($BE262=0,"",B262-E262)</f>
        <v/>
      </c>
      <c r="H262" s="88">
        <f>IF($BE262=0,"",SUM($G$2:G262))</f>
        <v/>
      </c>
      <c r="I262" s="88">
        <f>IF($BE262=0,"",SUMIFS(Entries!$F$2:$F$5000,Entries!$A$2:$A$5000,$A262))</f>
        <v/>
      </c>
      <c r="J262" s="88">
        <f>IF($BE262=0,NA(),H262+SUM($I$2:I262))</f>
        <v/>
      </c>
      <c r="K262" s="88">
        <f>IF($BE262=0,"",SUMIFS(Entries!$D$2:$D$5000,Entries!$C$2:$C$5000,"Income",Entries!$A$2:$A$5000,"&gt;="&amp;EDATE($A262,-11),Entries!$A$2:$A$5000,"&lt;="&amp;$A262)/12)</f>
        <v/>
      </c>
      <c r="L262" s="88">
        <f>IF($BE262=0,"",(SUMIFS(Entries!$D$2:$D$5000,Entries!$C$2:$C$5000,"Actual",Entries!$A$2:$A$5000,"&gt;="&amp;EDATE($A262,-11),Entries!$A$2:$A$5000,"&lt;="&amp;$A262)+SUMIFS(Entries!$D$2:$D$5000,Entries!$C$2:$C$5000,"One-off",Entries!$A$2:$A$5000,"&gt;="&amp;EDATE($A262,-11),Entries!$A$2:$A$5000,"&lt;="&amp;$A262))/12)</f>
        <v/>
      </c>
      <c r="M262" s="71">
        <f>IF($BE262=0,NA(),IFERROR((K262-L262)/K262,0))</f>
        <v/>
      </c>
      <c r="O262" s="88">
        <f>IF(OR(O$1="",$BE262=0),"",SUMIFS(Entries!$D$2:$D$5000,Entries!$C$2:$C$5000,"Actual",Entries!$A$2:$A$5000,$A262,Entries!$B$2:$B$5000,O$1))</f>
        <v/>
      </c>
      <c r="P262" s="88">
        <f>IF(OR(P$1="",$BE262=0),"",SUMIFS(Entries!$D$2:$D$5000,Entries!$C$2:$C$5000,"Actual",Entries!$A$2:$A$5000,$A262,Entries!$B$2:$B$5000,P$1))</f>
        <v/>
      </c>
      <c r="Q262" s="88">
        <f>IF(OR(Q$1="",$BE262=0),"",SUMIFS(Entries!$D$2:$D$5000,Entries!$C$2:$C$5000,"Actual",Entries!$A$2:$A$5000,$A262,Entries!$B$2:$B$5000,Q$1))</f>
        <v/>
      </c>
      <c r="R262" s="88">
        <f>IF(OR(R$1="",$BE262=0),"",SUMIFS(Entries!$D$2:$D$5000,Entries!$C$2:$C$5000,"Actual",Entries!$A$2:$A$5000,$A262,Entries!$B$2:$B$5000,R$1))</f>
        <v/>
      </c>
      <c r="S262" s="88">
        <f>IF(OR(S$1="",$BE262=0),"",SUMIFS(Entries!$D$2:$D$5000,Entries!$C$2:$C$5000,"Actual",Entries!$A$2:$A$5000,$A262,Entries!$B$2:$B$5000,S$1))</f>
        <v/>
      </c>
      <c r="T262" s="88">
        <f>IF(OR(T$1="",$BE262=0),"",SUMIFS(Entries!$D$2:$D$5000,Entries!$C$2:$C$5000,"Actual",Entries!$A$2:$A$5000,$A262,Entries!$B$2:$B$5000,T$1))</f>
        <v/>
      </c>
      <c r="U262" s="88">
        <f>IF(OR(U$1="",$BE262=0),"",SUMIFS(Entries!$D$2:$D$5000,Entries!$C$2:$C$5000,"Actual",Entries!$A$2:$A$5000,$A262,Entries!$B$2:$B$5000,U$1))</f>
        <v/>
      </c>
      <c r="V262" s="88">
        <f>IF(OR(V$1="",$BE262=0),"",SUMIFS(Entries!$D$2:$D$5000,Entries!$C$2:$C$5000,"Actual",Entries!$A$2:$A$5000,$A262,Entries!$B$2:$B$5000,V$1))</f>
        <v/>
      </c>
      <c r="W262" s="88">
        <f>IF(OR(W$1="",$BE262=0),"",SUMIFS(Entries!$D$2:$D$5000,Entries!$C$2:$C$5000,"Actual",Entries!$A$2:$A$5000,$A262,Entries!$B$2:$B$5000,W$1))</f>
        <v/>
      </c>
      <c r="X262" s="88">
        <f>IF(OR(X$1="",$BE262=0),"",SUMIFS(Entries!$D$2:$D$5000,Entries!$C$2:$C$5000,"Actual",Entries!$A$2:$A$5000,$A262,Entries!$B$2:$B$5000,X$1))</f>
        <v/>
      </c>
      <c r="Y262" s="88">
        <f>IF(OR(Y$1="",$BE262=0),"",SUMIFS(Entries!$D$2:$D$5000,Entries!$C$2:$C$5000,"Actual",Entries!$A$2:$A$5000,$A262,Entries!$B$2:$B$5000,Y$1))</f>
        <v/>
      </c>
      <c r="Z262" s="88">
        <f>IF(OR(Z$1="",$BE262=0),"",SUMIFS(Entries!$D$2:$D$5000,Entries!$C$2:$C$5000,"Actual",Entries!$A$2:$A$5000,$A262,Entries!$B$2:$B$5000,Z$1))</f>
        <v/>
      </c>
      <c r="AA262" s="88">
        <f>IF(OR(AA$1="",$BE262=0),"",SUMIFS(Entries!$D$2:$D$5000,Entries!$C$2:$C$5000,"Actual",Entries!$A$2:$A$5000,$A262,Entries!$B$2:$B$5000,AA$1))</f>
        <v/>
      </c>
      <c r="AB262" s="88">
        <f>IF(OR(AB$1="",$BE262=0),"",SUMIFS(Entries!$D$2:$D$5000,Entries!$C$2:$C$5000,"Actual",Entries!$A$2:$A$5000,$A262,Entries!$B$2:$B$5000,AB$1))</f>
        <v/>
      </c>
      <c r="AC262" s="88">
        <f>IF(OR(AC$1="",$BE262=0),"",SUMIFS(Entries!$D$2:$D$5000,Entries!$C$2:$C$5000,"Actual",Entries!$A$2:$A$5000,$A262,Entries!$B$2:$B$5000,AC$1))</f>
        <v/>
      </c>
      <c r="AD262" s="88">
        <f>IF(OR(AD$1="",$BE262=0),"",SUMIFS(Entries!$D$2:$D$5000,Entries!$C$2:$C$5000,"Actual",Entries!$A$2:$A$5000,$A262,Entries!$B$2:$B$5000,AD$1))</f>
        <v/>
      </c>
      <c r="AE262" s="88">
        <f>IF(OR(AE$1="",$BE262=0),"",SUMIFS(Entries!$D$2:$D$5000,Entries!$C$2:$C$5000,"Actual",Entries!$A$2:$A$5000,$A262,Entries!$B$2:$B$5000,AE$1))</f>
        <v/>
      </c>
      <c r="AF262" s="88">
        <f>IF(OR(AF$1="",$BE262=0),"",SUMIFS(Entries!$D$2:$D$5000,Entries!$C$2:$C$5000,"Actual",Entries!$A$2:$A$5000,$A262,Entries!$B$2:$B$5000,AF$1))</f>
        <v/>
      </c>
      <c r="AG262" s="88">
        <f>IF(OR(AG$1="",$BE262=0),"",SUMIFS(Entries!$D$2:$D$5000,Entries!$C$2:$C$5000,"Actual",Entries!$A$2:$A$5000,$A262,Entries!$B$2:$B$5000,AG$1))</f>
        <v/>
      </c>
      <c r="AH262" s="88">
        <f>IF(OR(AH$1="",$BE262=0),"",SUMIFS(Entries!$D$2:$D$5000,Entries!$C$2:$C$5000,"Actual",Entries!$A$2:$A$5000,$A262,Entries!$B$2:$B$5000,AH$1))</f>
        <v/>
      </c>
      <c r="AJ262" s="88">
        <f>IF(OR(AJ$1="",$BE262=0),"",IFERROR(LOOKUP(2,1/((Budgets!$A$2:$A$200=AJ$1)*(Budgets!$B$2:$B$200&lt;=$A262)),Budgets!$C$2:$C$200),0))</f>
        <v/>
      </c>
      <c r="AK262" s="88">
        <f>IF(OR(AK$1="",$BE262=0),"",IFERROR(LOOKUP(2,1/((Budgets!$A$2:$A$200=AK$1)*(Budgets!$B$2:$B$200&lt;=$A262)),Budgets!$C$2:$C$200),0))</f>
        <v/>
      </c>
      <c r="AL262" s="88">
        <f>IF(OR(AL$1="",$BE262=0),"",IFERROR(LOOKUP(2,1/((Budgets!$A$2:$A$200=AL$1)*(Budgets!$B$2:$B$200&lt;=$A262)),Budgets!$C$2:$C$200),0))</f>
        <v/>
      </c>
      <c r="AM262" s="88">
        <f>IF(OR(AM$1="",$BE262=0),"",IFERROR(LOOKUP(2,1/((Budgets!$A$2:$A$200=AM$1)*(Budgets!$B$2:$B$200&lt;=$A262)),Budgets!$C$2:$C$200),0))</f>
        <v/>
      </c>
      <c r="AN262" s="88">
        <f>IF(OR(AN$1="",$BE262=0),"",IFERROR(LOOKUP(2,1/((Budgets!$A$2:$A$200=AN$1)*(Budgets!$B$2:$B$200&lt;=$A262)),Budgets!$C$2:$C$200),0))</f>
        <v/>
      </c>
      <c r="AO262" s="88">
        <f>IF(OR(AO$1="",$BE262=0),"",IFERROR(LOOKUP(2,1/((Budgets!$A$2:$A$200=AO$1)*(Budgets!$B$2:$B$200&lt;=$A262)),Budgets!$C$2:$C$200),0))</f>
        <v/>
      </c>
      <c r="AP262" s="88">
        <f>IF(OR(AP$1="",$BE262=0),"",IFERROR(LOOKUP(2,1/((Budgets!$A$2:$A$200=AP$1)*(Budgets!$B$2:$B$200&lt;=$A262)),Budgets!$C$2:$C$200),0))</f>
        <v/>
      </c>
      <c r="AQ262" s="88">
        <f>IF(OR(AQ$1="",$BE262=0),"",IFERROR(LOOKUP(2,1/((Budgets!$A$2:$A$200=AQ$1)*(Budgets!$B$2:$B$200&lt;=$A262)),Budgets!$C$2:$C$200),0))</f>
        <v/>
      </c>
      <c r="AR262" s="88">
        <f>IF(OR(AR$1="",$BE262=0),"",IFERROR(LOOKUP(2,1/((Budgets!$A$2:$A$200=AR$1)*(Budgets!$B$2:$B$200&lt;=$A262)),Budgets!$C$2:$C$200),0))</f>
        <v/>
      </c>
      <c r="AS262" s="88">
        <f>IF(OR(AS$1="",$BE262=0),"",IFERROR(LOOKUP(2,1/((Budgets!$A$2:$A$200=AS$1)*(Budgets!$B$2:$B$200&lt;=$A262)),Budgets!$C$2:$C$200),0))</f>
        <v/>
      </c>
      <c r="AT262" s="88">
        <f>IF(OR(AT$1="",$BE262=0),"",IFERROR(LOOKUP(2,1/((Budgets!$A$2:$A$200=AT$1)*(Budgets!$B$2:$B$200&lt;=$A262)),Budgets!$C$2:$C$200),0))</f>
        <v/>
      </c>
      <c r="AU262" s="88">
        <f>IF(OR(AU$1="",$BE262=0),"",IFERROR(LOOKUP(2,1/((Budgets!$A$2:$A$200=AU$1)*(Budgets!$B$2:$B$200&lt;=$A262)),Budgets!$C$2:$C$200),0))</f>
        <v/>
      </c>
      <c r="AV262" s="88">
        <f>IF(OR(AV$1="",$BE262=0),"",IFERROR(LOOKUP(2,1/((Budgets!$A$2:$A$200=AV$1)*(Budgets!$B$2:$B$200&lt;=$A262)),Budgets!$C$2:$C$200),0))</f>
        <v/>
      </c>
      <c r="AW262" s="88">
        <f>IF(OR(AW$1="",$BE262=0),"",IFERROR(LOOKUP(2,1/((Budgets!$A$2:$A$200=AW$1)*(Budgets!$B$2:$B$200&lt;=$A262)),Budgets!$C$2:$C$200),0))</f>
        <v/>
      </c>
      <c r="AX262" s="88">
        <f>IF(OR(AX$1="",$BE262=0),"",IFERROR(LOOKUP(2,1/((Budgets!$A$2:$A$200=AX$1)*(Budgets!$B$2:$B$200&lt;=$A262)),Budgets!$C$2:$C$200),0))</f>
        <v/>
      </c>
      <c r="AY262" s="88">
        <f>IF(OR(AY$1="",$BE262=0),"",IFERROR(LOOKUP(2,1/((Budgets!$A$2:$A$200=AY$1)*(Budgets!$B$2:$B$200&lt;=$A262)),Budgets!$C$2:$C$200),0))</f>
        <v/>
      </c>
      <c r="AZ262" s="88">
        <f>IF(OR(AZ$1="",$BE262=0),"",IFERROR(LOOKUP(2,1/((Budgets!$A$2:$A$200=AZ$1)*(Budgets!$B$2:$B$200&lt;=$A262)),Budgets!$C$2:$C$200),0))</f>
        <v/>
      </c>
      <c r="BA262" s="88">
        <f>IF(OR(BA$1="",$BE262=0),"",IFERROR(LOOKUP(2,1/((Budgets!$A$2:$A$200=BA$1)*(Budgets!$B$2:$B$200&lt;=$A262)),Budgets!$C$2:$C$200),0))</f>
        <v/>
      </c>
      <c r="BB262" s="88">
        <f>IF(OR(BB$1="",$BE262=0),"",IFERROR(LOOKUP(2,1/((Budgets!$A$2:$A$200=BB$1)*(Budgets!$B$2:$B$200&lt;=$A262)),Budgets!$C$2:$C$200),0))</f>
        <v/>
      </c>
      <c r="BC262" s="88">
        <f>IF(OR(BC$1="",$BE262=0),"",IFERROR(LOOKUP(2,1/((Budgets!$A$2:$A$200=BC$1)*(Budgets!$B$2:$B$200&lt;=$A262)),Budgets!$C$2:$C$200),0))</f>
        <v/>
      </c>
      <c r="BE262" s="67">
        <f>COUNTIFS(Entries!$A$2:$A$5000,$A262)</f>
        <v/>
      </c>
    </row>
    <row r="263" ht="15" customHeight="1" s="43">
      <c r="A263" s="87" t="n">
        <v>47392</v>
      </c>
      <c r="B263" s="88">
        <f>IF($BE263=0,NA(),SUMIFS(Entries!$D$2:$D$5000,Entries!$C$2:$C$5000,"Income",Entries!$A$2:$A$5000,$A263))</f>
        <v/>
      </c>
      <c r="C263" s="88">
        <f>IF($BE263=0,"",SUMIFS(Entries!$D$2:$D$5000,Entries!$C$2:$C$5000,"Actual",Entries!$A$2:$A$5000,$A263))</f>
        <v/>
      </c>
      <c r="D263" s="88">
        <f>IF($BE263=0,"",SUMIFS(Entries!$D$2:$D$5000,Entries!$C$2:$C$5000,"One-off",Entries!$A$2:$A$5000,$A263))</f>
        <v/>
      </c>
      <c r="E263" s="88">
        <f>IF($BE263=0,NA(),C263+D263)</f>
        <v/>
      </c>
      <c r="F263" s="88">
        <f>IF($BE263=0,"",SUM(AJ263:BC263))</f>
        <v/>
      </c>
      <c r="G263" s="88">
        <f>IF($BE263=0,"",B263-E263)</f>
        <v/>
      </c>
      <c r="H263" s="88">
        <f>IF($BE263=0,"",SUM($G$2:G263))</f>
        <v/>
      </c>
      <c r="I263" s="88">
        <f>IF($BE263=0,"",SUMIFS(Entries!$F$2:$F$5000,Entries!$A$2:$A$5000,$A263))</f>
        <v/>
      </c>
      <c r="J263" s="88">
        <f>IF($BE263=0,NA(),H263+SUM($I$2:I263))</f>
        <v/>
      </c>
      <c r="K263" s="88">
        <f>IF($BE263=0,"",SUMIFS(Entries!$D$2:$D$5000,Entries!$C$2:$C$5000,"Income",Entries!$A$2:$A$5000,"&gt;="&amp;EDATE($A263,-11),Entries!$A$2:$A$5000,"&lt;="&amp;$A263)/12)</f>
        <v/>
      </c>
      <c r="L263" s="88">
        <f>IF($BE263=0,"",(SUMIFS(Entries!$D$2:$D$5000,Entries!$C$2:$C$5000,"Actual",Entries!$A$2:$A$5000,"&gt;="&amp;EDATE($A263,-11),Entries!$A$2:$A$5000,"&lt;="&amp;$A263)+SUMIFS(Entries!$D$2:$D$5000,Entries!$C$2:$C$5000,"One-off",Entries!$A$2:$A$5000,"&gt;="&amp;EDATE($A263,-11),Entries!$A$2:$A$5000,"&lt;="&amp;$A263))/12)</f>
        <v/>
      </c>
      <c r="M263" s="71">
        <f>IF($BE263=0,NA(),IFERROR((K263-L263)/K263,0))</f>
        <v/>
      </c>
      <c r="O263" s="88">
        <f>IF(OR(O$1="",$BE263=0),"",SUMIFS(Entries!$D$2:$D$5000,Entries!$C$2:$C$5000,"Actual",Entries!$A$2:$A$5000,$A263,Entries!$B$2:$B$5000,O$1))</f>
        <v/>
      </c>
      <c r="P263" s="88">
        <f>IF(OR(P$1="",$BE263=0),"",SUMIFS(Entries!$D$2:$D$5000,Entries!$C$2:$C$5000,"Actual",Entries!$A$2:$A$5000,$A263,Entries!$B$2:$B$5000,P$1))</f>
        <v/>
      </c>
      <c r="Q263" s="88">
        <f>IF(OR(Q$1="",$BE263=0),"",SUMIFS(Entries!$D$2:$D$5000,Entries!$C$2:$C$5000,"Actual",Entries!$A$2:$A$5000,$A263,Entries!$B$2:$B$5000,Q$1))</f>
        <v/>
      </c>
      <c r="R263" s="88">
        <f>IF(OR(R$1="",$BE263=0),"",SUMIFS(Entries!$D$2:$D$5000,Entries!$C$2:$C$5000,"Actual",Entries!$A$2:$A$5000,$A263,Entries!$B$2:$B$5000,R$1))</f>
        <v/>
      </c>
      <c r="S263" s="88">
        <f>IF(OR(S$1="",$BE263=0),"",SUMIFS(Entries!$D$2:$D$5000,Entries!$C$2:$C$5000,"Actual",Entries!$A$2:$A$5000,$A263,Entries!$B$2:$B$5000,S$1))</f>
        <v/>
      </c>
      <c r="T263" s="88">
        <f>IF(OR(T$1="",$BE263=0),"",SUMIFS(Entries!$D$2:$D$5000,Entries!$C$2:$C$5000,"Actual",Entries!$A$2:$A$5000,$A263,Entries!$B$2:$B$5000,T$1))</f>
        <v/>
      </c>
      <c r="U263" s="88">
        <f>IF(OR(U$1="",$BE263=0),"",SUMIFS(Entries!$D$2:$D$5000,Entries!$C$2:$C$5000,"Actual",Entries!$A$2:$A$5000,$A263,Entries!$B$2:$B$5000,U$1))</f>
        <v/>
      </c>
      <c r="V263" s="88">
        <f>IF(OR(V$1="",$BE263=0),"",SUMIFS(Entries!$D$2:$D$5000,Entries!$C$2:$C$5000,"Actual",Entries!$A$2:$A$5000,$A263,Entries!$B$2:$B$5000,V$1))</f>
        <v/>
      </c>
      <c r="W263" s="88">
        <f>IF(OR(W$1="",$BE263=0),"",SUMIFS(Entries!$D$2:$D$5000,Entries!$C$2:$C$5000,"Actual",Entries!$A$2:$A$5000,$A263,Entries!$B$2:$B$5000,W$1))</f>
        <v/>
      </c>
      <c r="X263" s="88">
        <f>IF(OR(X$1="",$BE263=0),"",SUMIFS(Entries!$D$2:$D$5000,Entries!$C$2:$C$5000,"Actual",Entries!$A$2:$A$5000,$A263,Entries!$B$2:$B$5000,X$1))</f>
        <v/>
      </c>
      <c r="Y263" s="88">
        <f>IF(OR(Y$1="",$BE263=0),"",SUMIFS(Entries!$D$2:$D$5000,Entries!$C$2:$C$5000,"Actual",Entries!$A$2:$A$5000,$A263,Entries!$B$2:$B$5000,Y$1))</f>
        <v/>
      </c>
      <c r="Z263" s="88">
        <f>IF(OR(Z$1="",$BE263=0),"",SUMIFS(Entries!$D$2:$D$5000,Entries!$C$2:$C$5000,"Actual",Entries!$A$2:$A$5000,$A263,Entries!$B$2:$B$5000,Z$1))</f>
        <v/>
      </c>
      <c r="AA263" s="88">
        <f>IF(OR(AA$1="",$BE263=0),"",SUMIFS(Entries!$D$2:$D$5000,Entries!$C$2:$C$5000,"Actual",Entries!$A$2:$A$5000,$A263,Entries!$B$2:$B$5000,AA$1))</f>
        <v/>
      </c>
      <c r="AB263" s="88">
        <f>IF(OR(AB$1="",$BE263=0),"",SUMIFS(Entries!$D$2:$D$5000,Entries!$C$2:$C$5000,"Actual",Entries!$A$2:$A$5000,$A263,Entries!$B$2:$B$5000,AB$1))</f>
        <v/>
      </c>
      <c r="AC263" s="88">
        <f>IF(OR(AC$1="",$BE263=0),"",SUMIFS(Entries!$D$2:$D$5000,Entries!$C$2:$C$5000,"Actual",Entries!$A$2:$A$5000,$A263,Entries!$B$2:$B$5000,AC$1))</f>
        <v/>
      </c>
      <c r="AD263" s="88">
        <f>IF(OR(AD$1="",$BE263=0),"",SUMIFS(Entries!$D$2:$D$5000,Entries!$C$2:$C$5000,"Actual",Entries!$A$2:$A$5000,$A263,Entries!$B$2:$B$5000,AD$1))</f>
        <v/>
      </c>
      <c r="AE263" s="88">
        <f>IF(OR(AE$1="",$BE263=0),"",SUMIFS(Entries!$D$2:$D$5000,Entries!$C$2:$C$5000,"Actual",Entries!$A$2:$A$5000,$A263,Entries!$B$2:$B$5000,AE$1))</f>
        <v/>
      </c>
      <c r="AF263" s="88">
        <f>IF(OR(AF$1="",$BE263=0),"",SUMIFS(Entries!$D$2:$D$5000,Entries!$C$2:$C$5000,"Actual",Entries!$A$2:$A$5000,$A263,Entries!$B$2:$B$5000,AF$1))</f>
        <v/>
      </c>
      <c r="AG263" s="88">
        <f>IF(OR(AG$1="",$BE263=0),"",SUMIFS(Entries!$D$2:$D$5000,Entries!$C$2:$C$5000,"Actual",Entries!$A$2:$A$5000,$A263,Entries!$B$2:$B$5000,AG$1))</f>
        <v/>
      </c>
      <c r="AH263" s="88">
        <f>IF(OR(AH$1="",$BE263=0),"",SUMIFS(Entries!$D$2:$D$5000,Entries!$C$2:$C$5000,"Actual",Entries!$A$2:$A$5000,$A263,Entries!$B$2:$B$5000,AH$1))</f>
        <v/>
      </c>
      <c r="AJ263" s="88">
        <f>IF(OR(AJ$1="",$BE263=0),"",IFERROR(LOOKUP(2,1/((Budgets!$A$2:$A$200=AJ$1)*(Budgets!$B$2:$B$200&lt;=$A263)),Budgets!$C$2:$C$200),0))</f>
        <v/>
      </c>
      <c r="AK263" s="88">
        <f>IF(OR(AK$1="",$BE263=0),"",IFERROR(LOOKUP(2,1/((Budgets!$A$2:$A$200=AK$1)*(Budgets!$B$2:$B$200&lt;=$A263)),Budgets!$C$2:$C$200),0))</f>
        <v/>
      </c>
      <c r="AL263" s="88">
        <f>IF(OR(AL$1="",$BE263=0),"",IFERROR(LOOKUP(2,1/((Budgets!$A$2:$A$200=AL$1)*(Budgets!$B$2:$B$200&lt;=$A263)),Budgets!$C$2:$C$200),0))</f>
        <v/>
      </c>
      <c r="AM263" s="88">
        <f>IF(OR(AM$1="",$BE263=0),"",IFERROR(LOOKUP(2,1/((Budgets!$A$2:$A$200=AM$1)*(Budgets!$B$2:$B$200&lt;=$A263)),Budgets!$C$2:$C$200),0))</f>
        <v/>
      </c>
      <c r="AN263" s="88">
        <f>IF(OR(AN$1="",$BE263=0),"",IFERROR(LOOKUP(2,1/((Budgets!$A$2:$A$200=AN$1)*(Budgets!$B$2:$B$200&lt;=$A263)),Budgets!$C$2:$C$200),0))</f>
        <v/>
      </c>
      <c r="AO263" s="88">
        <f>IF(OR(AO$1="",$BE263=0),"",IFERROR(LOOKUP(2,1/((Budgets!$A$2:$A$200=AO$1)*(Budgets!$B$2:$B$200&lt;=$A263)),Budgets!$C$2:$C$200),0))</f>
        <v/>
      </c>
      <c r="AP263" s="88">
        <f>IF(OR(AP$1="",$BE263=0),"",IFERROR(LOOKUP(2,1/((Budgets!$A$2:$A$200=AP$1)*(Budgets!$B$2:$B$200&lt;=$A263)),Budgets!$C$2:$C$200),0))</f>
        <v/>
      </c>
      <c r="AQ263" s="88">
        <f>IF(OR(AQ$1="",$BE263=0),"",IFERROR(LOOKUP(2,1/((Budgets!$A$2:$A$200=AQ$1)*(Budgets!$B$2:$B$200&lt;=$A263)),Budgets!$C$2:$C$200),0))</f>
        <v/>
      </c>
      <c r="AR263" s="88">
        <f>IF(OR(AR$1="",$BE263=0),"",IFERROR(LOOKUP(2,1/((Budgets!$A$2:$A$200=AR$1)*(Budgets!$B$2:$B$200&lt;=$A263)),Budgets!$C$2:$C$200),0))</f>
        <v/>
      </c>
      <c r="AS263" s="88">
        <f>IF(OR(AS$1="",$BE263=0),"",IFERROR(LOOKUP(2,1/((Budgets!$A$2:$A$200=AS$1)*(Budgets!$B$2:$B$200&lt;=$A263)),Budgets!$C$2:$C$200),0))</f>
        <v/>
      </c>
      <c r="AT263" s="88">
        <f>IF(OR(AT$1="",$BE263=0),"",IFERROR(LOOKUP(2,1/((Budgets!$A$2:$A$200=AT$1)*(Budgets!$B$2:$B$200&lt;=$A263)),Budgets!$C$2:$C$200),0))</f>
        <v/>
      </c>
      <c r="AU263" s="88">
        <f>IF(OR(AU$1="",$BE263=0),"",IFERROR(LOOKUP(2,1/((Budgets!$A$2:$A$200=AU$1)*(Budgets!$B$2:$B$200&lt;=$A263)),Budgets!$C$2:$C$200),0))</f>
        <v/>
      </c>
      <c r="AV263" s="88">
        <f>IF(OR(AV$1="",$BE263=0),"",IFERROR(LOOKUP(2,1/((Budgets!$A$2:$A$200=AV$1)*(Budgets!$B$2:$B$200&lt;=$A263)),Budgets!$C$2:$C$200),0))</f>
        <v/>
      </c>
      <c r="AW263" s="88">
        <f>IF(OR(AW$1="",$BE263=0),"",IFERROR(LOOKUP(2,1/((Budgets!$A$2:$A$200=AW$1)*(Budgets!$B$2:$B$200&lt;=$A263)),Budgets!$C$2:$C$200),0))</f>
        <v/>
      </c>
      <c r="AX263" s="88">
        <f>IF(OR(AX$1="",$BE263=0),"",IFERROR(LOOKUP(2,1/((Budgets!$A$2:$A$200=AX$1)*(Budgets!$B$2:$B$200&lt;=$A263)),Budgets!$C$2:$C$200),0))</f>
        <v/>
      </c>
      <c r="AY263" s="88">
        <f>IF(OR(AY$1="",$BE263=0),"",IFERROR(LOOKUP(2,1/((Budgets!$A$2:$A$200=AY$1)*(Budgets!$B$2:$B$200&lt;=$A263)),Budgets!$C$2:$C$200),0))</f>
        <v/>
      </c>
      <c r="AZ263" s="88">
        <f>IF(OR(AZ$1="",$BE263=0),"",IFERROR(LOOKUP(2,1/((Budgets!$A$2:$A$200=AZ$1)*(Budgets!$B$2:$B$200&lt;=$A263)),Budgets!$C$2:$C$200),0))</f>
        <v/>
      </c>
      <c r="BA263" s="88">
        <f>IF(OR(BA$1="",$BE263=0),"",IFERROR(LOOKUP(2,1/((Budgets!$A$2:$A$200=BA$1)*(Budgets!$B$2:$B$200&lt;=$A263)),Budgets!$C$2:$C$200),0))</f>
        <v/>
      </c>
      <c r="BB263" s="88">
        <f>IF(OR(BB$1="",$BE263=0),"",IFERROR(LOOKUP(2,1/((Budgets!$A$2:$A$200=BB$1)*(Budgets!$B$2:$B$200&lt;=$A263)),Budgets!$C$2:$C$200),0))</f>
        <v/>
      </c>
      <c r="BC263" s="88">
        <f>IF(OR(BC$1="",$BE263=0),"",IFERROR(LOOKUP(2,1/((Budgets!$A$2:$A$200=BC$1)*(Budgets!$B$2:$B$200&lt;=$A263)),Budgets!$C$2:$C$200),0))</f>
        <v/>
      </c>
      <c r="BE263" s="67">
        <f>COUNTIFS(Entries!$A$2:$A$5000,$A263)</f>
        <v/>
      </c>
    </row>
    <row r="264" ht="15" customHeight="1" s="43">
      <c r="A264" s="87" t="n">
        <v>47423</v>
      </c>
      <c r="B264" s="88">
        <f>IF($BE264=0,NA(),SUMIFS(Entries!$D$2:$D$5000,Entries!$C$2:$C$5000,"Income",Entries!$A$2:$A$5000,$A264))</f>
        <v/>
      </c>
      <c r="C264" s="88">
        <f>IF($BE264=0,"",SUMIFS(Entries!$D$2:$D$5000,Entries!$C$2:$C$5000,"Actual",Entries!$A$2:$A$5000,$A264))</f>
        <v/>
      </c>
      <c r="D264" s="88">
        <f>IF($BE264=0,"",SUMIFS(Entries!$D$2:$D$5000,Entries!$C$2:$C$5000,"One-off",Entries!$A$2:$A$5000,$A264))</f>
        <v/>
      </c>
      <c r="E264" s="88">
        <f>IF($BE264=0,NA(),C264+D264)</f>
        <v/>
      </c>
      <c r="F264" s="88">
        <f>IF($BE264=0,"",SUM(AJ264:BC264))</f>
        <v/>
      </c>
      <c r="G264" s="88">
        <f>IF($BE264=0,"",B264-E264)</f>
        <v/>
      </c>
      <c r="H264" s="88">
        <f>IF($BE264=0,"",SUM($G$2:G264))</f>
        <v/>
      </c>
      <c r="I264" s="88">
        <f>IF($BE264=0,"",SUMIFS(Entries!$F$2:$F$5000,Entries!$A$2:$A$5000,$A264))</f>
        <v/>
      </c>
      <c r="J264" s="88">
        <f>IF($BE264=0,NA(),H264+SUM($I$2:I264))</f>
        <v/>
      </c>
      <c r="K264" s="88">
        <f>IF($BE264=0,"",SUMIFS(Entries!$D$2:$D$5000,Entries!$C$2:$C$5000,"Income",Entries!$A$2:$A$5000,"&gt;="&amp;EDATE($A264,-11),Entries!$A$2:$A$5000,"&lt;="&amp;$A264)/12)</f>
        <v/>
      </c>
      <c r="L264" s="88">
        <f>IF($BE264=0,"",(SUMIFS(Entries!$D$2:$D$5000,Entries!$C$2:$C$5000,"Actual",Entries!$A$2:$A$5000,"&gt;="&amp;EDATE($A264,-11),Entries!$A$2:$A$5000,"&lt;="&amp;$A264)+SUMIFS(Entries!$D$2:$D$5000,Entries!$C$2:$C$5000,"One-off",Entries!$A$2:$A$5000,"&gt;="&amp;EDATE($A264,-11),Entries!$A$2:$A$5000,"&lt;="&amp;$A264))/12)</f>
        <v/>
      </c>
      <c r="M264" s="71">
        <f>IF($BE264=0,NA(),IFERROR((K264-L264)/K264,0))</f>
        <v/>
      </c>
      <c r="O264" s="88">
        <f>IF(OR(O$1="",$BE264=0),"",SUMIFS(Entries!$D$2:$D$5000,Entries!$C$2:$C$5000,"Actual",Entries!$A$2:$A$5000,$A264,Entries!$B$2:$B$5000,O$1))</f>
        <v/>
      </c>
      <c r="P264" s="88">
        <f>IF(OR(P$1="",$BE264=0),"",SUMIFS(Entries!$D$2:$D$5000,Entries!$C$2:$C$5000,"Actual",Entries!$A$2:$A$5000,$A264,Entries!$B$2:$B$5000,P$1))</f>
        <v/>
      </c>
      <c r="Q264" s="88">
        <f>IF(OR(Q$1="",$BE264=0),"",SUMIFS(Entries!$D$2:$D$5000,Entries!$C$2:$C$5000,"Actual",Entries!$A$2:$A$5000,$A264,Entries!$B$2:$B$5000,Q$1))</f>
        <v/>
      </c>
      <c r="R264" s="88">
        <f>IF(OR(R$1="",$BE264=0),"",SUMIFS(Entries!$D$2:$D$5000,Entries!$C$2:$C$5000,"Actual",Entries!$A$2:$A$5000,$A264,Entries!$B$2:$B$5000,R$1))</f>
        <v/>
      </c>
      <c r="S264" s="88">
        <f>IF(OR(S$1="",$BE264=0),"",SUMIFS(Entries!$D$2:$D$5000,Entries!$C$2:$C$5000,"Actual",Entries!$A$2:$A$5000,$A264,Entries!$B$2:$B$5000,S$1))</f>
        <v/>
      </c>
      <c r="T264" s="88">
        <f>IF(OR(T$1="",$BE264=0),"",SUMIFS(Entries!$D$2:$D$5000,Entries!$C$2:$C$5000,"Actual",Entries!$A$2:$A$5000,$A264,Entries!$B$2:$B$5000,T$1))</f>
        <v/>
      </c>
      <c r="U264" s="88">
        <f>IF(OR(U$1="",$BE264=0),"",SUMIFS(Entries!$D$2:$D$5000,Entries!$C$2:$C$5000,"Actual",Entries!$A$2:$A$5000,$A264,Entries!$B$2:$B$5000,U$1))</f>
        <v/>
      </c>
      <c r="V264" s="88">
        <f>IF(OR(V$1="",$BE264=0),"",SUMIFS(Entries!$D$2:$D$5000,Entries!$C$2:$C$5000,"Actual",Entries!$A$2:$A$5000,$A264,Entries!$B$2:$B$5000,V$1))</f>
        <v/>
      </c>
      <c r="W264" s="88">
        <f>IF(OR(W$1="",$BE264=0),"",SUMIFS(Entries!$D$2:$D$5000,Entries!$C$2:$C$5000,"Actual",Entries!$A$2:$A$5000,$A264,Entries!$B$2:$B$5000,W$1))</f>
        <v/>
      </c>
      <c r="X264" s="88">
        <f>IF(OR(X$1="",$BE264=0),"",SUMIFS(Entries!$D$2:$D$5000,Entries!$C$2:$C$5000,"Actual",Entries!$A$2:$A$5000,$A264,Entries!$B$2:$B$5000,X$1))</f>
        <v/>
      </c>
      <c r="Y264" s="88">
        <f>IF(OR(Y$1="",$BE264=0),"",SUMIFS(Entries!$D$2:$D$5000,Entries!$C$2:$C$5000,"Actual",Entries!$A$2:$A$5000,$A264,Entries!$B$2:$B$5000,Y$1))</f>
        <v/>
      </c>
      <c r="Z264" s="88">
        <f>IF(OR(Z$1="",$BE264=0),"",SUMIFS(Entries!$D$2:$D$5000,Entries!$C$2:$C$5000,"Actual",Entries!$A$2:$A$5000,$A264,Entries!$B$2:$B$5000,Z$1))</f>
        <v/>
      </c>
      <c r="AA264" s="88">
        <f>IF(OR(AA$1="",$BE264=0),"",SUMIFS(Entries!$D$2:$D$5000,Entries!$C$2:$C$5000,"Actual",Entries!$A$2:$A$5000,$A264,Entries!$B$2:$B$5000,AA$1))</f>
        <v/>
      </c>
      <c r="AB264" s="88">
        <f>IF(OR(AB$1="",$BE264=0),"",SUMIFS(Entries!$D$2:$D$5000,Entries!$C$2:$C$5000,"Actual",Entries!$A$2:$A$5000,$A264,Entries!$B$2:$B$5000,AB$1))</f>
        <v/>
      </c>
      <c r="AC264" s="88">
        <f>IF(OR(AC$1="",$BE264=0),"",SUMIFS(Entries!$D$2:$D$5000,Entries!$C$2:$C$5000,"Actual",Entries!$A$2:$A$5000,$A264,Entries!$B$2:$B$5000,AC$1))</f>
        <v/>
      </c>
      <c r="AD264" s="88">
        <f>IF(OR(AD$1="",$BE264=0),"",SUMIFS(Entries!$D$2:$D$5000,Entries!$C$2:$C$5000,"Actual",Entries!$A$2:$A$5000,$A264,Entries!$B$2:$B$5000,AD$1))</f>
        <v/>
      </c>
      <c r="AE264" s="88">
        <f>IF(OR(AE$1="",$BE264=0),"",SUMIFS(Entries!$D$2:$D$5000,Entries!$C$2:$C$5000,"Actual",Entries!$A$2:$A$5000,$A264,Entries!$B$2:$B$5000,AE$1))</f>
        <v/>
      </c>
      <c r="AF264" s="88">
        <f>IF(OR(AF$1="",$BE264=0),"",SUMIFS(Entries!$D$2:$D$5000,Entries!$C$2:$C$5000,"Actual",Entries!$A$2:$A$5000,$A264,Entries!$B$2:$B$5000,AF$1))</f>
        <v/>
      </c>
      <c r="AG264" s="88">
        <f>IF(OR(AG$1="",$BE264=0),"",SUMIFS(Entries!$D$2:$D$5000,Entries!$C$2:$C$5000,"Actual",Entries!$A$2:$A$5000,$A264,Entries!$B$2:$B$5000,AG$1))</f>
        <v/>
      </c>
      <c r="AH264" s="88">
        <f>IF(OR(AH$1="",$BE264=0),"",SUMIFS(Entries!$D$2:$D$5000,Entries!$C$2:$C$5000,"Actual",Entries!$A$2:$A$5000,$A264,Entries!$B$2:$B$5000,AH$1))</f>
        <v/>
      </c>
      <c r="AJ264" s="88">
        <f>IF(OR(AJ$1="",$BE264=0),"",IFERROR(LOOKUP(2,1/((Budgets!$A$2:$A$200=AJ$1)*(Budgets!$B$2:$B$200&lt;=$A264)),Budgets!$C$2:$C$200),0))</f>
        <v/>
      </c>
      <c r="AK264" s="88">
        <f>IF(OR(AK$1="",$BE264=0),"",IFERROR(LOOKUP(2,1/((Budgets!$A$2:$A$200=AK$1)*(Budgets!$B$2:$B$200&lt;=$A264)),Budgets!$C$2:$C$200),0))</f>
        <v/>
      </c>
      <c r="AL264" s="88">
        <f>IF(OR(AL$1="",$BE264=0),"",IFERROR(LOOKUP(2,1/((Budgets!$A$2:$A$200=AL$1)*(Budgets!$B$2:$B$200&lt;=$A264)),Budgets!$C$2:$C$200),0))</f>
        <v/>
      </c>
      <c r="AM264" s="88">
        <f>IF(OR(AM$1="",$BE264=0),"",IFERROR(LOOKUP(2,1/((Budgets!$A$2:$A$200=AM$1)*(Budgets!$B$2:$B$200&lt;=$A264)),Budgets!$C$2:$C$200),0))</f>
        <v/>
      </c>
      <c r="AN264" s="88">
        <f>IF(OR(AN$1="",$BE264=0),"",IFERROR(LOOKUP(2,1/((Budgets!$A$2:$A$200=AN$1)*(Budgets!$B$2:$B$200&lt;=$A264)),Budgets!$C$2:$C$200),0))</f>
        <v/>
      </c>
      <c r="AO264" s="88">
        <f>IF(OR(AO$1="",$BE264=0),"",IFERROR(LOOKUP(2,1/((Budgets!$A$2:$A$200=AO$1)*(Budgets!$B$2:$B$200&lt;=$A264)),Budgets!$C$2:$C$200),0))</f>
        <v/>
      </c>
      <c r="AP264" s="88">
        <f>IF(OR(AP$1="",$BE264=0),"",IFERROR(LOOKUP(2,1/((Budgets!$A$2:$A$200=AP$1)*(Budgets!$B$2:$B$200&lt;=$A264)),Budgets!$C$2:$C$200),0))</f>
        <v/>
      </c>
      <c r="AQ264" s="88">
        <f>IF(OR(AQ$1="",$BE264=0),"",IFERROR(LOOKUP(2,1/((Budgets!$A$2:$A$200=AQ$1)*(Budgets!$B$2:$B$200&lt;=$A264)),Budgets!$C$2:$C$200),0))</f>
        <v/>
      </c>
      <c r="AR264" s="88">
        <f>IF(OR(AR$1="",$BE264=0),"",IFERROR(LOOKUP(2,1/((Budgets!$A$2:$A$200=AR$1)*(Budgets!$B$2:$B$200&lt;=$A264)),Budgets!$C$2:$C$200),0))</f>
        <v/>
      </c>
      <c r="AS264" s="88">
        <f>IF(OR(AS$1="",$BE264=0),"",IFERROR(LOOKUP(2,1/((Budgets!$A$2:$A$200=AS$1)*(Budgets!$B$2:$B$200&lt;=$A264)),Budgets!$C$2:$C$200),0))</f>
        <v/>
      </c>
      <c r="AT264" s="88">
        <f>IF(OR(AT$1="",$BE264=0),"",IFERROR(LOOKUP(2,1/((Budgets!$A$2:$A$200=AT$1)*(Budgets!$B$2:$B$200&lt;=$A264)),Budgets!$C$2:$C$200),0))</f>
        <v/>
      </c>
      <c r="AU264" s="88">
        <f>IF(OR(AU$1="",$BE264=0),"",IFERROR(LOOKUP(2,1/((Budgets!$A$2:$A$200=AU$1)*(Budgets!$B$2:$B$200&lt;=$A264)),Budgets!$C$2:$C$200),0))</f>
        <v/>
      </c>
      <c r="AV264" s="88">
        <f>IF(OR(AV$1="",$BE264=0),"",IFERROR(LOOKUP(2,1/((Budgets!$A$2:$A$200=AV$1)*(Budgets!$B$2:$B$200&lt;=$A264)),Budgets!$C$2:$C$200),0))</f>
        <v/>
      </c>
      <c r="AW264" s="88">
        <f>IF(OR(AW$1="",$BE264=0),"",IFERROR(LOOKUP(2,1/((Budgets!$A$2:$A$200=AW$1)*(Budgets!$B$2:$B$200&lt;=$A264)),Budgets!$C$2:$C$200),0))</f>
        <v/>
      </c>
      <c r="AX264" s="88">
        <f>IF(OR(AX$1="",$BE264=0),"",IFERROR(LOOKUP(2,1/((Budgets!$A$2:$A$200=AX$1)*(Budgets!$B$2:$B$200&lt;=$A264)),Budgets!$C$2:$C$200),0))</f>
        <v/>
      </c>
      <c r="AY264" s="88">
        <f>IF(OR(AY$1="",$BE264=0),"",IFERROR(LOOKUP(2,1/((Budgets!$A$2:$A$200=AY$1)*(Budgets!$B$2:$B$200&lt;=$A264)),Budgets!$C$2:$C$200),0))</f>
        <v/>
      </c>
      <c r="AZ264" s="88">
        <f>IF(OR(AZ$1="",$BE264=0),"",IFERROR(LOOKUP(2,1/((Budgets!$A$2:$A$200=AZ$1)*(Budgets!$B$2:$B$200&lt;=$A264)),Budgets!$C$2:$C$200),0))</f>
        <v/>
      </c>
      <c r="BA264" s="88">
        <f>IF(OR(BA$1="",$BE264=0),"",IFERROR(LOOKUP(2,1/((Budgets!$A$2:$A$200=BA$1)*(Budgets!$B$2:$B$200&lt;=$A264)),Budgets!$C$2:$C$200),0))</f>
        <v/>
      </c>
      <c r="BB264" s="88">
        <f>IF(OR(BB$1="",$BE264=0),"",IFERROR(LOOKUP(2,1/((Budgets!$A$2:$A$200=BB$1)*(Budgets!$B$2:$B$200&lt;=$A264)),Budgets!$C$2:$C$200),0))</f>
        <v/>
      </c>
      <c r="BC264" s="88">
        <f>IF(OR(BC$1="",$BE264=0),"",IFERROR(LOOKUP(2,1/((Budgets!$A$2:$A$200=BC$1)*(Budgets!$B$2:$B$200&lt;=$A264)),Budgets!$C$2:$C$200),0))</f>
        <v/>
      </c>
      <c r="BE264" s="67">
        <f>COUNTIFS(Entries!$A$2:$A$5000,$A264)</f>
        <v/>
      </c>
    </row>
    <row r="265" ht="15" customHeight="1" s="43">
      <c r="A265" s="87" t="n">
        <v>47453</v>
      </c>
      <c r="B265" s="88">
        <f>IF($BE265=0,NA(),SUMIFS(Entries!$D$2:$D$5000,Entries!$C$2:$C$5000,"Income",Entries!$A$2:$A$5000,$A265))</f>
        <v/>
      </c>
      <c r="C265" s="88">
        <f>IF($BE265=0,"",SUMIFS(Entries!$D$2:$D$5000,Entries!$C$2:$C$5000,"Actual",Entries!$A$2:$A$5000,$A265))</f>
        <v/>
      </c>
      <c r="D265" s="88">
        <f>IF($BE265=0,"",SUMIFS(Entries!$D$2:$D$5000,Entries!$C$2:$C$5000,"One-off",Entries!$A$2:$A$5000,$A265))</f>
        <v/>
      </c>
      <c r="E265" s="88">
        <f>IF($BE265=0,NA(),C265+D265)</f>
        <v/>
      </c>
      <c r="F265" s="88">
        <f>IF($BE265=0,"",SUM(AJ265:BC265))</f>
        <v/>
      </c>
      <c r="G265" s="88">
        <f>IF($BE265=0,"",B265-E265)</f>
        <v/>
      </c>
      <c r="H265" s="88">
        <f>IF($BE265=0,"",SUM($G$2:G265))</f>
        <v/>
      </c>
      <c r="I265" s="88">
        <f>IF($BE265=0,"",SUMIFS(Entries!$F$2:$F$5000,Entries!$A$2:$A$5000,$A265))</f>
        <v/>
      </c>
      <c r="J265" s="88">
        <f>IF($BE265=0,NA(),H265+SUM($I$2:I265))</f>
        <v/>
      </c>
      <c r="K265" s="88">
        <f>IF($BE265=0,"",SUMIFS(Entries!$D$2:$D$5000,Entries!$C$2:$C$5000,"Income",Entries!$A$2:$A$5000,"&gt;="&amp;EDATE($A265,-11),Entries!$A$2:$A$5000,"&lt;="&amp;$A265)/12)</f>
        <v/>
      </c>
      <c r="L265" s="88">
        <f>IF($BE265=0,"",(SUMIFS(Entries!$D$2:$D$5000,Entries!$C$2:$C$5000,"Actual",Entries!$A$2:$A$5000,"&gt;="&amp;EDATE($A265,-11),Entries!$A$2:$A$5000,"&lt;="&amp;$A265)+SUMIFS(Entries!$D$2:$D$5000,Entries!$C$2:$C$5000,"One-off",Entries!$A$2:$A$5000,"&gt;="&amp;EDATE($A265,-11),Entries!$A$2:$A$5000,"&lt;="&amp;$A265))/12)</f>
        <v/>
      </c>
      <c r="M265" s="71">
        <f>IF($BE265=0,NA(),IFERROR((K265-L265)/K265,0))</f>
        <v/>
      </c>
      <c r="O265" s="88">
        <f>IF(OR(O$1="",$BE265=0),"",SUMIFS(Entries!$D$2:$D$5000,Entries!$C$2:$C$5000,"Actual",Entries!$A$2:$A$5000,$A265,Entries!$B$2:$B$5000,O$1))</f>
        <v/>
      </c>
      <c r="P265" s="88">
        <f>IF(OR(P$1="",$BE265=0),"",SUMIFS(Entries!$D$2:$D$5000,Entries!$C$2:$C$5000,"Actual",Entries!$A$2:$A$5000,$A265,Entries!$B$2:$B$5000,P$1))</f>
        <v/>
      </c>
      <c r="Q265" s="88">
        <f>IF(OR(Q$1="",$BE265=0),"",SUMIFS(Entries!$D$2:$D$5000,Entries!$C$2:$C$5000,"Actual",Entries!$A$2:$A$5000,$A265,Entries!$B$2:$B$5000,Q$1))</f>
        <v/>
      </c>
      <c r="R265" s="88">
        <f>IF(OR(R$1="",$BE265=0),"",SUMIFS(Entries!$D$2:$D$5000,Entries!$C$2:$C$5000,"Actual",Entries!$A$2:$A$5000,$A265,Entries!$B$2:$B$5000,R$1))</f>
        <v/>
      </c>
      <c r="S265" s="88">
        <f>IF(OR(S$1="",$BE265=0),"",SUMIFS(Entries!$D$2:$D$5000,Entries!$C$2:$C$5000,"Actual",Entries!$A$2:$A$5000,$A265,Entries!$B$2:$B$5000,S$1))</f>
        <v/>
      </c>
      <c r="T265" s="88">
        <f>IF(OR(T$1="",$BE265=0),"",SUMIFS(Entries!$D$2:$D$5000,Entries!$C$2:$C$5000,"Actual",Entries!$A$2:$A$5000,$A265,Entries!$B$2:$B$5000,T$1))</f>
        <v/>
      </c>
      <c r="U265" s="88">
        <f>IF(OR(U$1="",$BE265=0),"",SUMIFS(Entries!$D$2:$D$5000,Entries!$C$2:$C$5000,"Actual",Entries!$A$2:$A$5000,$A265,Entries!$B$2:$B$5000,U$1))</f>
        <v/>
      </c>
      <c r="V265" s="88">
        <f>IF(OR(V$1="",$BE265=0),"",SUMIFS(Entries!$D$2:$D$5000,Entries!$C$2:$C$5000,"Actual",Entries!$A$2:$A$5000,$A265,Entries!$B$2:$B$5000,V$1))</f>
        <v/>
      </c>
      <c r="W265" s="88">
        <f>IF(OR(W$1="",$BE265=0),"",SUMIFS(Entries!$D$2:$D$5000,Entries!$C$2:$C$5000,"Actual",Entries!$A$2:$A$5000,$A265,Entries!$B$2:$B$5000,W$1))</f>
        <v/>
      </c>
      <c r="X265" s="88">
        <f>IF(OR(X$1="",$BE265=0),"",SUMIFS(Entries!$D$2:$D$5000,Entries!$C$2:$C$5000,"Actual",Entries!$A$2:$A$5000,$A265,Entries!$B$2:$B$5000,X$1))</f>
        <v/>
      </c>
      <c r="Y265" s="88">
        <f>IF(OR(Y$1="",$BE265=0),"",SUMIFS(Entries!$D$2:$D$5000,Entries!$C$2:$C$5000,"Actual",Entries!$A$2:$A$5000,$A265,Entries!$B$2:$B$5000,Y$1))</f>
        <v/>
      </c>
      <c r="Z265" s="88">
        <f>IF(OR(Z$1="",$BE265=0),"",SUMIFS(Entries!$D$2:$D$5000,Entries!$C$2:$C$5000,"Actual",Entries!$A$2:$A$5000,$A265,Entries!$B$2:$B$5000,Z$1))</f>
        <v/>
      </c>
      <c r="AA265" s="88">
        <f>IF(OR(AA$1="",$BE265=0),"",SUMIFS(Entries!$D$2:$D$5000,Entries!$C$2:$C$5000,"Actual",Entries!$A$2:$A$5000,$A265,Entries!$B$2:$B$5000,AA$1))</f>
        <v/>
      </c>
      <c r="AB265" s="88">
        <f>IF(OR(AB$1="",$BE265=0),"",SUMIFS(Entries!$D$2:$D$5000,Entries!$C$2:$C$5000,"Actual",Entries!$A$2:$A$5000,$A265,Entries!$B$2:$B$5000,AB$1))</f>
        <v/>
      </c>
      <c r="AC265" s="88">
        <f>IF(OR(AC$1="",$BE265=0),"",SUMIFS(Entries!$D$2:$D$5000,Entries!$C$2:$C$5000,"Actual",Entries!$A$2:$A$5000,$A265,Entries!$B$2:$B$5000,AC$1))</f>
        <v/>
      </c>
      <c r="AD265" s="88">
        <f>IF(OR(AD$1="",$BE265=0),"",SUMIFS(Entries!$D$2:$D$5000,Entries!$C$2:$C$5000,"Actual",Entries!$A$2:$A$5000,$A265,Entries!$B$2:$B$5000,AD$1))</f>
        <v/>
      </c>
      <c r="AE265" s="88">
        <f>IF(OR(AE$1="",$BE265=0),"",SUMIFS(Entries!$D$2:$D$5000,Entries!$C$2:$C$5000,"Actual",Entries!$A$2:$A$5000,$A265,Entries!$B$2:$B$5000,AE$1))</f>
        <v/>
      </c>
      <c r="AF265" s="88">
        <f>IF(OR(AF$1="",$BE265=0),"",SUMIFS(Entries!$D$2:$D$5000,Entries!$C$2:$C$5000,"Actual",Entries!$A$2:$A$5000,$A265,Entries!$B$2:$B$5000,AF$1))</f>
        <v/>
      </c>
      <c r="AG265" s="88">
        <f>IF(OR(AG$1="",$BE265=0),"",SUMIFS(Entries!$D$2:$D$5000,Entries!$C$2:$C$5000,"Actual",Entries!$A$2:$A$5000,$A265,Entries!$B$2:$B$5000,AG$1))</f>
        <v/>
      </c>
      <c r="AH265" s="88">
        <f>IF(OR(AH$1="",$BE265=0),"",SUMIFS(Entries!$D$2:$D$5000,Entries!$C$2:$C$5000,"Actual",Entries!$A$2:$A$5000,$A265,Entries!$B$2:$B$5000,AH$1))</f>
        <v/>
      </c>
      <c r="AJ265" s="88">
        <f>IF(OR(AJ$1="",$BE265=0),"",IFERROR(LOOKUP(2,1/((Budgets!$A$2:$A$200=AJ$1)*(Budgets!$B$2:$B$200&lt;=$A265)),Budgets!$C$2:$C$200),0))</f>
        <v/>
      </c>
      <c r="AK265" s="88">
        <f>IF(OR(AK$1="",$BE265=0),"",IFERROR(LOOKUP(2,1/((Budgets!$A$2:$A$200=AK$1)*(Budgets!$B$2:$B$200&lt;=$A265)),Budgets!$C$2:$C$200),0))</f>
        <v/>
      </c>
      <c r="AL265" s="88">
        <f>IF(OR(AL$1="",$BE265=0),"",IFERROR(LOOKUP(2,1/((Budgets!$A$2:$A$200=AL$1)*(Budgets!$B$2:$B$200&lt;=$A265)),Budgets!$C$2:$C$200),0))</f>
        <v/>
      </c>
      <c r="AM265" s="88">
        <f>IF(OR(AM$1="",$BE265=0),"",IFERROR(LOOKUP(2,1/((Budgets!$A$2:$A$200=AM$1)*(Budgets!$B$2:$B$200&lt;=$A265)),Budgets!$C$2:$C$200),0))</f>
        <v/>
      </c>
      <c r="AN265" s="88">
        <f>IF(OR(AN$1="",$BE265=0),"",IFERROR(LOOKUP(2,1/((Budgets!$A$2:$A$200=AN$1)*(Budgets!$B$2:$B$200&lt;=$A265)),Budgets!$C$2:$C$200),0))</f>
        <v/>
      </c>
      <c r="AO265" s="88">
        <f>IF(OR(AO$1="",$BE265=0),"",IFERROR(LOOKUP(2,1/((Budgets!$A$2:$A$200=AO$1)*(Budgets!$B$2:$B$200&lt;=$A265)),Budgets!$C$2:$C$200),0))</f>
        <v/>
      </c>
      <c r="AP265" s="88">
        <f>IF(OR(AP$1="",$BE265=0),"",IFERROR(LOOKUP(2,1/((Budgets!$A$2:$A$200=AP$1)*(Budgets!$B$2:$B$200&lt;=$A265)),Budgets!$C$2:$C$200),0))</f>
        <v/>
      </c>
      <c r="AQ265" s="88">
        <f>IF(OR(AQ$1="",$BE265=0),"",IFERROR(LOOKUP(2,1/((Budgets!$A$2:$A$200=AQ$1)*(Budgets!$B$2:$B$200&lt;=$A265)),Budgets!$C$2:$C$200),0))</f>
        <v/>
      </c>
      <c r="AR265" s="88">
        <f>IF(OR(AR$1="",$BE265=0),"",IFERROR(LOOKUP(2,1/((Budgets!$A$2:$A$200=AR$1)*(Budgets!$B$2:$B$200&lt;=$A265)),Budgets!$C$2:$C$200),0))</f>
        <v/>
      </c>
      <c r="AS265" s="88">
        <f>IF(OR(AS$1="",$BE265=0),"",IFERROR(LOOKUP(2,1/((Budgets!$A$2:$A$200=AS$1)*(Budgets!$B$2:$B$200&lt;=$A265)),Budgets!$C$2:$C$200),0))</f>
        <v/>
      </c>
      <c r="AT265" s="88">
        <f>IF(OR(AT$1="",$BE265=0),"",IFERROR(LOOKUP(2,1/((Budgets!$A$2:$A$200=AT$1)*(Budgets!$B$2:$B$200&lt;=$A265)),Budgets!$C$2:$C$200),0))</f>
        <v/>
      </c>
      <c r="AU265" s="88">
        <f>IF(OR(AU$1="",$BE265=0),"",IFERROR(LOOKUP(2,1/((Budgets!$A$2:$A$200=AU$1)*(Budgets!$B$2:$B$200&lt;=$A265)),Budgets!$C$2:$C$200),0))</f>
        <v/>
      </c>
      <c r="AV265" s="88">
        <f>IF(OR(AV$1="",$BE265=0),"",IFERROR(LOOKUP(2,1/((Budgets!$A$2:$A$200=AV$1)*(Budgets!$B$2:$B$200&lt;=$A265)),Budgets!$C$2:$C$200),0))</f>
        <v/>
      </c>
      <c r="AW265" s="88">
        <f>IF(OR(AW$1="",$BE265=0),"",IFERROR(LOOKUP(2,1/((Budgets!$A$2:$A$200=AW$1)*(Budgets!$B$2:$B$200&lt;=$A265)),Budgets!$C$2:$C$200),0))</f>
        <v/>
      </c>
      <c r="AX265" s="88">
        <f>IF(OR(AX$1="",$BE265=0),"",IFERROR(LOOKUP(2,1/((Budgets!$A$2:$A$200=AX$1)*(Budgets!$B$2:$B$200&lt;=$A265)),Budgets!$C$2:$C$200),0))</f>
        <v/>
      </c>
      <c r="AY265" s="88">
        <f>IF(OR(AY$1="",$BE265=0),"",IFERROR(LOOKUP(2,1/((Budgets!$A$2:$A$200=AY$1)*(Budgets!$B$2:$B$200&lt;=$A265)),Budgets!$C$2:$C$200),0))</f>
        <v/>
      </c>
      <c r="AZ265" s="88">
        <f>IF(OR(AZ$1="",$BE265=0),"",IFERROR(LOOKUP(2,1/((Budgets!$A$2:$A$200=AZ$1)*(Budgets!$B$2:$B$200&lt;=$A265)),Budgets!$C$2:$C$200),0))</f>
        <v/>
      </c>
      <c r="BA265" s="88">
        <f>IF(OR(BA$1="",$BE265=0),"",IFERROR(LOOKUP(2,1/((Budgets!$A$2:$A$200=BA$1)*(Budgets!$B$2:$B$200&lt;=$A265)),Budgets!$C$2:$C$200),0))</f>
        <v/>
      </c>
      <c r="BB265" s="88">
        <f>IF(OR(BB$1="",$BE265=0),"",IFERROR(LOOKUP(2,1/((Budgets!$A$2:$A$200=BB$1)*(Budgets!$B$2:$B$200&lt;=$A265)),Budgets!$C$2:$C$200),0))</f>
        <v/>
      </c>
      <c r="BC265" s="88">
        <f>IF(OR(BC$1="",$BE265=0),"",IFERROR(LOOKUP(2,1/((Budgets!$A$2:$A$200=BC$1)*(Budgets!$B$2:$B$200&lt;=$A265)),Budgets!$C$2:$C$200),0))</f>
        <v/>
      </c>
      <c r="BE265" s="67">
        <f>COUNTIFS(Entries!$A$2:$A$5000,$A265)</f>
        <v/>
      </c>
    </row>
    <row r="266" ht="15" customHeight="1" s="43">
      <c r="A266" s="87" t="n">
        <v>47484</v>
      </c>
      <c r="B266" s="88">
        <f>IF($BE266=0,NA(),SUMIFS(Entries!$D$2:$D$5000,Entries!$C$2:$C$5000,"Income",Entries!$A$2:$A$5000,$A266))</f>
        <v/>
      </c>
      <c r="C266" s="88">
        <f>IF($BE266=0,"",SUMIFS(Entries!$D$2:$D$5000,Entries!$C$2:$C$5000,"Actual",Entries!$A$2:$A$5000,$A266))</f>
        <v/>
      </c>
      <c r="D266" s="88">
        <f>IF($BE266=0,"",SUMIFS(Entries!$D$2:$D$5000,Entries!$C$2:$C$5000,"One-off",Entries!$A$2:$A$5000,$A266))</f>
        <v/>
      </c>
      <c r="E266" s="88">
        <f>IF($BE266=0,NA(),C266+D266)</f>
        <v/>
      </c>
      <c r="F266" s="88">
        <f>IF($BE266=0,"",SUM(AJ266:BC266))</f>
        <v/>
      </c>
      <c r="G266" s="88">
        <f>IF($BE266=0,"",B266-E266)</f>
        <v/>
      </c>
      <c r="H266" s="88">
        <f>IF($BE266=0,"",SUM($G$2:G266))</f>
        <v/>
      </c>
      <c r="I266" s="88">
        <f>IF($BE266=0,"",SUMIFS(Entries!$F$2:$F$5000,Entries!$A$2:$A$5000,$A266))</f>
        <v/>
      </c>
      <c r="J266" s="88">
        <f>IF($BE266=0,NA(),H266+SUM($I$2:I266))</f>
        <v/>
      </c>
      <c r="K266" s="88">
        <f>IF($BE266=0,"",SUMIFS(Entries!$D$2:$D$5000,Entries!$C$2:$C$5000,"Income",Entries!$A$2:$A$5000,"&gt;="&amp;EDATE($A266,-11),Entries!$A$2:$A$5000,"&lt;="&amp;$A266)/12)</f>
        <v/>
      </c>
      <c r="L266" s="88">
        <f>IF($BE266=0,"",(SUMIFS(Entries!$D$2:$D$5000,Entries!$C$2:$C$5000,"Actual",Entries!$A$2:$A$5000,"&gt;="&amp;EDATE($A266,-11),Entries!$A$2:$A$5000,"&lt;="&amp;$A266)+SUMIFS(Entries!$D$2:$D$5000,Entries!$C$2:$C$5000,"One-off",Entries!$A$2:$A$5000,"&gt;="&amp;EDATE($A266,-11),Entries!$A$2:$A$5000,"&lt;="&amp;$A266))/12)</f>
        <v/>
      </c>
      <c r="M266" s="71">
        <f>IF($BE266=0,NA(),IFERROR((K266-L266)/K266,0))</f>
        <v/>
      </c>
      <c r="O266" s="88">
        <f>IF(OR(O$1="",$BE266=0),"",SUMIFS(Entries!$D$2:$D$5000,Entries!$C$2:$C$5000,"Actual",Entries!$A$2:$A$5000,$A266,Entries!$B$2:$B$5000,O$1))</f>
        <v/>
      </c>
      <c r="P266" s="88">
        <f>IF(OR(P$1="",$BE266=0),"",SUMIFS(Entries!$D$2:$D$5000,Entries!$C$2:$C$5000,"Actual",Entries!$A$2:$A$5000,$A266,Entries!$B$2:$B$5000,P$1))</f>
        <v/>
      </c>
      <c r="Q266" s="88">
        <f>IF(OR(Q$1="",$BE266=0),"",SUMIFS(Entries!$D$2:$D$5000,Entries!$C$2:$C$5000,"Actual",Entries!$A$2:$A$5000,$A266,Entries!$B$2:$B$5000,Q$1))</f>
        <v/>
      </c>
      <c r="R266" s="88">
        <f>IF(OR(R$1="",$BE266=0),"",SUMIFS(Entries!$D$2:$D$5000,Entries!$C$2:$C$5000,"Actual",Entries!$A$2:$A$5000,$A266,Entries!$B$2:$B$5000,R$1))</f>
        <v/>
      </c>
      <c r="S266" s="88">
        <f>IF(OR(S$1="",$BE266=0),"",SUMIFS(Entries!$D$2:$D$5000,Entries!$C$2:$C$5000,"Actual",Entries!$A$2:$A$5000,$A266,Entries!$B$2:$B$5000,S$1))</f>
        <v/>
      </c>
      <c r="T266" s="88">
        <f>IF(OR(T$1="",$BE266=0),"",SUMIFS(Entries!$D$2:$D$5000,Entries!$C$2:$C$5000,"Actual",Entries!$A$2:$A$5000,$A266,Entries!$B$2:$B$5000,T$1))</f>
        <v/>
      </c>
      <c r="U266" s="88">
        <f>IF(OR(U$1="",$BE266=0),"",SUMIFS(Entries!$D$2:$D$5000,Entries!$C$2:$C$5000,"Actual",Entries!$A$2:$A$5000,$A266,Entries!$B$2:$B$5000,U$1))</f>
        <v/>
      </c>
      <c r="V266" s="88">
        <f>IF(OR(V$1="",$BE266=0),"",SUMIFS(Entries!$D$2:$D$5000,Entries!$C$2:$C$5000,"Actual",Entries!$A$2:$A$5000,$A266,Entries!$B$2:$B$5000,V$1))</f>
        <v/>
      </c>
      <c r="W266" s="88">
        <f>IF(OR(W$1="",$BE266=0),"",SUMIFS(Entries!$D$2:$D$5000,Entries!$C$2:$C$5000,"Actual",Entries!$A$2:$A$5000,$A266,Entries!$B$2:$B$5000,W$1))</f>
        <v/>
      </c>
      <c r="X266" s="88">
        <f>IF(OR(X$1="",$BE266=0),"",SUMIFS(Entries!$D$2:$D$5000,Entries!$C$2:$C$5000,"Actual",Entries!$A$2:$A$5000,$A266,Entries!$B$2:$B$5000,X$1))</f>
        <v/>
      </c>
      <c r="Y266" s="88">
        <f>IF(OR(Y$1="",$BE266=0),"",SUMIFS(Entries!$D$2:$D$5000,Entries!$C$2:$C$5000,"Actual",Entries!$A$2:$A$5000,$A266,Entries!$B$2:$B$5000,Y$1))</f>
        <v/>
      </c>
      <c r="Z266" s="88">
        <f>IF(OR(Z$1="",$BE266=0),"",SUMIFS(Entries!$D$2:$D$5000,Entries!$C$2:$C$5000,"Actual",Entries!$A$2:$A$5000,$A266,Entries!$B$2:$B$5000,Z$1))</f>
        <v/>
      </c>
      <c r="AA266" s="88">
        <f>IF(OR(AA$1="",$BE266=0),"",SUMIFS(Entries!$D$2:$D$5000,Entries!$C$2:$C$5000,"Actual",Entries!$A$2:$A$5000,$A266,Entries!$B$2:$B$5000,AA$1))</f>
        <v/>
      </c>
      <c r="AB266" s="88">
        <f>IF(OR(AB$1="",$BE266=0),"",SUMIFS(Entries!$D$2:$D$5000,Entries!$C$2:$C$5000,"Actual",Entries!$A$2:$A$5000,$A266,Entries!$B$2:$B$5000,AB$1))</f>
        <v/>
      </c>
      <c r="AC266" s="88">
        <f>IF(OR(AC$1="",$BE266=0),"",SUMIFS(Entries!$D$2:$D$5000,Entries!$C$2:$C$5000,"Actual",Entries!$A$2:$A$5000,$A266,Entries!$B$2:$B$5000,AC$1))</f>
        <v/>
      </c>
      <c r="AD266" s="88">
        <f>IF(OR(AD$1="",$BE266=0),"",SUMIFS(Entries!$D$2:$D$5000,Entries!$C$2:$C$5000,"Actual",Entries!$A$2:$A$5000,$A266,Entries!$B$2:$B$5000,AD$1))</f>
        <v/>
      </c>
      <c r="AE266" s="88">
        <f>IF(OR(AE$1="",$BE266=0),"",SUMIFS(Entries!$D$2:$D$5000,Entries!$C$2:$C$5000,"Actual",Entries!$A$2:$A$5000,$A266,Entries!$B$2:$B$5000,AE$1))</f>
        <v/>
      </c>
      <c r="AF266" s="88">
        <f>IF(OR(AF$1="",$BE266=0),"",SUMIFS(Entries!$D$2:$D$5000,Entries!$C$2:$C$5000,"Actual",Entries!$A$2:$A$5000,$A266,Entries!$B$2:$B$5000,AF$1))</f>
        <v/>
      </c>
      <c r="AG266" s="88">
        <f>IF(OR(AG$1="",$BE266=0),"",SUMIFS(Entries!$D$2:$D$5000,Entries!$C$2:$C$5000,"Actual",Entries!$A$2:$A$5000,$A266,Entries!$B$2:$B$5000,AG$1))</f>
        <v/>
      </c>
      <c r="AH266" s="88">
        <f>IF(OR(AH$1="",$BE266=0),"",SUMIFS(Entries!$D$2:$D$5000,Entries!$C$2:$C$5000,"Actual",Entries!$A$2:$A$5000,$A266,Entries!$B$2:$B$5000,AH$1))</f>
        <v/>
      </c>
      <c r="AJ266" s="88">
        <f>IF(OR(AJ$1="",$BE266=0),"",IFERROR(LOOKUP(2,1/((Budgets!$A$2:$A$200=AJ$1)*(Budgets!$B$2:$B$200&lt;=$A266)),Budgets!$C$2:$C$200),0))</f>
        <v/>
      </c>
      <c r="AK266" s="88">
        <f>IF(OR(AK$1="",$BE266=0),"",IFERROR(LOOKUP(2,1/((Budgets!$A$2:$A$200=AK$1)*(Budgets!$B$2:$B$200&lt;=$A266)),Budgets!$C$2:$C$200),0))</f>
        <v/>
      </c>
      <c r="AL266" s="88">
        <f>IF(OR(AL$1="",$BE266=0),"",IFERROR(LOOKUP(2,1/((Budgets!$A$2:$A$200=AL$1)*(Budgets!$B$2:$B$200&lt;=$A266)),Budgets!$C$2:$C$200),0))</f>
        <v/>
      </c>
      <c r="AM266" s="88">
        <f>IF(OR(AM$1="",$BE266=0),"",IFERROR(LOOKUP(2,1/((Budgets!$A$2:$A$200=AM$1)*(Budgets!$B$2:$B$200&lt;=$A266)),Budgets!$C$2:$C$200),0))</f>
        <v/>
      </c>
      <c r="AN266" s="88">
        <f>IF(OR(AN$1="",$BE266=0),"",IFERROR(LOOKUP(2,1/((Budgets!$A$2:$A$200=AN$1)*(Budgets!$B$2:$B$200&lt;=$A266)),Budgets!$C$2:$C$200),0))</f>
        <v/>
      </c>
      <c r="AO266" s="88">
        <f>IF(OR(AO$1="",$BE266=0),"",IFERROR(LOOKUP(2,1/((Budgets!$A$2:$A$200=AO$1)*(Budgets!$B$2:$B$200&lt;=$A266)),Budgets!$C$2:$C$200),0))</f>
        <v/>
      </c>
      <c r="AP266" s="88">
        <f>IF(OR(AP$1="",$BE266=0),"",IFERROR(LOOKUP(2,1/((Budgets!$A$2:$A$200=AP$1)*(Budgets!$B$2:$B$200&lt;=$A266)),Budgets!$C$2:$C$200),0))</f>
        <v/>
      </c>
      <c r="AQ266" s="88">
        <f>IF(OR(AQ$1="",$BE266=0),"",IFERROR(LOOKUP(2,1/((Budgets!$A$2:$A$200=AQ$1)*(Budgets!$B$2:$B$200&lt;=$A266)),Budgets!$C$2:$C$200),0))</f>
        <v/>
      </c>
      <c r="AR266" s="88">
        <f>IF(OR(AR$1="",$BE266=0),"",IFERROR(LOOKUP(2,1/((Budgets!$A$2:$A$200=AR$1)*(Budgets!$B$2:$B$200&lt;=$A266)),Budgets!$C$2:$C$200),0))</f>
        <v/>
      </c>
      <c r="AS266" s="88">
        <f>IF(OR(AS$1="",$BE266=0),"",IFERROR(LOOKUP(2,1/((Budgets!$A$2:$A$200=AS$1)*(Budgets!$B$2:$B$200&lt;=$A266)),Budgets!$C$2:$C$200),0))</f>
        <v/>
      </c>
      <c r="AT266" s="88">
        <f>IF(OR(AT$1="",$BE266=0),"",IFERROR(LOOKUP(2,1/((Budgets!$A$2:$A$200=AT$1)*(Budgets!$B$2:$B$200&lt;=$A266)),Budgets!$C$2:$C$200),0))</f>
        <v/>
      </c>
      <c r="AU266" s="88">
        <f>IF(OR(AU$1="",$BE266=0),"",IFERROR(LOOKUP(2,1/((Budgets!$A$2:$A$200=AU$1)*(Budgets!$B$2:$B$200&lt;=$A266)),Budgets!$C$2:$C$200),0))</f>
        <v/>
      </c>
      <c r="AV266" s="88">
        <f>IF(OR(AV$1="",$BE266=0),"",IFERROR(LOOKUP(2,1/((Budgets!$A$2:$A$200=AV$1)*(Budgets!$B$2:$B$200&lt;=$A266)),Budgets!$C$2:$C$200),0))</f>
        <v/>
      </c>
      <c r="AW266" s="88">
        <f>IF(OR(AW$1="",$BE266=0),"",IFERROR(LOOKUP(2,1/((Budgets!$A$2:$A$200=AW$1)*(Budgets!$B$2:$B$200&lt;=$A266)),Budgets!$C$2:$C$200),0))</f>
        <v/>
      </c>
      <c r="AX266" s="88">
        <f>IF(OR(AX$1="",$BE266=0),"",IFERROR(LOOKUP(2,1/((Budgets!$A$2:$A$200=AX$1)*(Budgets!$B$2:$B$200&lt;=$A266)),Budgets!$C$2:$C$200),0))</f>
        <v/>
      </c>
      <c r="AY266" s="88">
        <f>IF(OR(AY$1="",$BE266=0),"",IFERROR(LOOKUP(2,1/((Budgets!$A$2:$A$200=AY$1)*(Budgets!$B$2:$B$200&lt;=$A266)),Budgets!$C$2:$C$200),0))</f>
        <v/>
      </c>
      <c r="AZ266" s="88">
        <f>IF(OR(AZ$1="",$BE266=0),"",IFERROR(LOOKUP(2,1/((Budgets!$A$2:$A$200=AZ$1)*(Budgets!$B$2:$B$200&lt;=$A266)),Budgets!$C$2:$C$200),0))</f>
        <v/>
      </c>
      <c r="BA266" s="88">
        <f>IF(OR(BA$1="",$BE266=0),"",IFERROR(LOOKUP(2,1/((Budgets!$A$2:$A$200=BA$1)*(Budgets!$B$2:$B$200&lt;=$A266)),Budgets!$C$2:$C$200),0))</f>
        <v/>
      </c>
      <c r="BB266" s="88">
        <f>IF(OR(BB$1="",$BE266=0),"",IFERROR(LOOKUP(2,1/((Budgets!$A$2:$A$200=BB$1)*(Budgets!$B$2:$B$200&lt;=$A266)),Budgets!$C$2:$C$200),0))</f>
        <v/>
      </c>
      <c r="BC266" s="88">
        <f>IF(OR(BC$1="",$BE266=0),"",IFERROR(LOOKUP(2,1/((Budgets!$A$2:$A$200=BC$1)*(Budgets!$B$2:$B$200&lt;=$A266)),Budgets!$C$2:$C$200),0))</f>
        <v/>
      </c>
      <c r="BE266" s="67">
        <f>COUNTIFS(Entries!$A$2:$A$5000,$A266)</f>
        <v/>
      </c>
    </row>
    <row r="267" ht="15" customHeight="1" s="43">
      <c r="A267" s="87" t="n">
        <v>47515</v>
      </c>
      <c r="B267" s="88">
        <f>IF($BE267=0,NA(),SUMIFS(Entries!$D$2:$D$5000,Entries!$C$2:$C$5000,"Income",Entries!$A$2:$A$5000,$A267))</f>
        <v/>
      </c>
      <c r="C267" s="88">
        <f>IF($BE267=0,"",SUMIFS(Entries!$D$2:$D$5000,Entries!$C$2:$C$5000,"Actual",Entries!$A$2:$A$5000,$A267))</f>
        <v/>
      </c>
      <c r="D267" s="88">
        <f>IF($BE267=0,"",SUMIFS(Entries!$D$2:$D$5000,Entries!$C$2:$C$5000,"One-off",Entries!$A$2:$A$5000,$A267))</f>
        <v/>
      </c>
      <c r="E267" s="88">
        <f>IF($BE267=0,NA(),C267+D267)</f>
        <v/>
      </c>
      <c r="F267" s="88">
        <f>IF($BE267=0,"",SUM(AJ267:BC267))</f>
        <v/>
      </c>
      <c r="G267" s="88">
        <f>IF($BE267=0,"",B267-E267)</f>
        <v/>
      </c>
      <c r="H267" s="88">
        <f>IF($BE267=0,"",SUM($G$2:G267))</f>
        <v/>
      </c>
      <c r="I267" s="88">
        <f>IF($BE267=0,"",SUMIFS(Entries!$F$2:$F$5000,Entries!$A$2:$A$5000,$A267))</f>
        <v/>
      </c>
      <c r="J267" s="88">
        <f>IF($BE267=0,NA(),H267+SUM($I$2:I267))</f>
        <v/>
      </c>
      <c r="K267" s="88">
        <f>IF($BE267=0,"",SUMIFS(Entries!$D$2:$D$5000,Entries!$C$2:$C$5000,"Income",Entries!$A$2:$A$5000,"&gt;="&amp;EDATE($A267,-11),Entries!$A$2:$A$5000,"&lt;="&amp;$A267)/12)</f>
        <v/>
      </c>
      <c r="L267" s="88">
        <f>IF($BE267=0,"",(SUMIFS(Entries!$D$2:$D$5000,Entries!$C$2:$C$5000,"Actual",Entries!$A$2:$A$5000,"&gt;="&amp;EDATE($A267,-11),Entries!$A$2:$A$5000,"&lt;="&amp;$A267)+SUMIFS(Entries!$D$2:$D$5000,Entries!$C$2:$C$5000,"One-off",Entries!$A$2:$A$5000,"&gt;="&amp;EDATE($A267,-11),Entries!$A$2:$A$5000,"&lt;="&amp;$A267))/12)</f>
        <v/>
      </c>
      <c r="M267" s="71">
        <f>IF($BE267=0,NA(),IFERROR((K267-L267)/K267,0))</f>
        <v/>
      </c>
      <c r="O267" s="88">
        <f>IF(OR(O$1="",$BE267=0),"",SUMIFS(Entries!$D$2:$D$5000,Entries!$C$2:$C$5000,"Actual",Entries!$A$2:$A$5000,$A267,Entries!$B$2:$B$5000,O$1))</f>
        <v/>
      </c>
      <c r="P267" s="88">
        <f>IF(OR(P$1="",$BE267=0),"",SUMIFS(Entries!$D$2:$D$5000,Entries!$C$2:$C$5000,"Actual",Entries!$A$2:$A$5000,$A267,Entries!$B$2:$B$5000,P$1))</f>
        <v/>
      </c>
      <c r="Q267" s="88">
        <f>IF(OR(Q$1="",$BE267=0),"",SUMIFS(Entries!$D$2:$D$5000,Entries!$C$2:$C$5000,"Actual",Entries!$A$2:$A$5000,$A267,Entries!$B$2:$B$5000,Q$1))</f>
        <v/>
      </c>
      <c r="R267" s="88">
        <f>IF(OR(R$1="",$BE267=0),"",SUMIFS(Entries!$D$2:$D$5000,Entries!$C$2:$C$5000,"Actual",Entries!$A$2:$A$5000,$A267,Entries!$B$2:$B$5000,R$1))</f>
        <v/>
      </c>
      <c r="S267" s="88">
        <f>IF(OR(S$1="",$BE267=0),"",SUMIFS(Entries!$D$2:$D$5000,Entries!$C$2:$C$5000,"Actual",Entries!$A$2:$A$5000,$A267,Entries!$B$2:$B$5000,S$1))</f>
        <v/>
      </c>
      <c r="T267" s="88">
        <f>IF(OR(T$1="",$BE267=0),"",SUMIFS(Entries!$D$2:$D$5000,Entries!$C$2:$C$5000,"Actual",Entries!$A$2:$A$5000,$A267,Entries!$B$2:$B$5000,T$1))</f>
        <v/>
      </c>
      <c r="U267" s="88">
        <f>IF(OR(U$1="",$BE267=0),"",SUMIFS(Entries!$D$2:$D$5000,Entries!$C$2:$C$5000,"Actual",Entries!$A$2:$A$5000,$A267,Entries!$B$2:$B$5000,U$1))</f>
        <v/>
      </c>
      <c r="V267" s="88">
        <f>IF(OR(V$1="",$BE267=0),"",SUMIFS(Entries!$D$2:$D$5000,Entries!$C$2:$C$5000,"Actual",Entries!$A$2:$A$5000,$A267,Entries!$B$2:$B$5000,V$1))</f>
        <v/>
      </c>
      <c r="W267" s="88">
        <f>IF(OR(W$1="",$BE267=0),"",SUMIFS(Entries!$D$2:$D$5000,Entries!$C$2:$C$5000,"Actual",Entries!$A$2:$A$5000,$A267,Entries!$B$2:$B$5000,W$1))</f>
        <v/>
      </c>
      <c r="X267" s="88">
        <f>IF(OR(X$1="",$BE267=0),"",SUMIFS(Entries!$D$2:$D$5000,Entries!$C$2:$C$5000,"Actual",Entries!$A$2:$A$5000,$A267,Entries!$B$2:$B$5000,X$1))</f>
        <v/>
      </c>
      <c r="Y267" s="88">
        <f>IF(OR(Y$1="",$BE267=0),"",SUMIFS(Entries!$D$2:$D$5000,Entries!$C$2:$C$5000,"Actual",Entries!$A$2:$A$5000,$A267,Entries!$B$2:$B$5000,Y$1))</f>
        <v/>
      </c>
      <c r="Z267" s="88">
        <f>IF(OR(Z$1="",$BE267=0),"",SUMIFS(Entries!$D$2:$D$5000,Entries!$C$2:$C$5000,"Actual",Entries!$A$2:$A$5000,$A267,Entries!$B$2:$B$5000,Z$1))</f>
        <v/>
      </c>
      <c r="AA267" s="88">
        <f>IF(OR(AA$1="",$BE267=0),"",SUMIFS(Entries!$D$2:$D$5000,Entries!$C$2:$C$5000,"Actual",Entries!$A$2:$A$5000,$A267,Entries!$B$2:$B$5000,AA$1))</f>
        <v/>
      </c>
      <c r="AB267" s="88">
        <f>IF(OR(AB$1="",$BE267=0),"",SUMIFS(Entries!$D$2:$D$5000,Entries!$C$2:$C$5000,"Actual",Entries!$A$2:$A$5000,$A267,Entries!$B$2:$B$5000,AB$1))</f>
        <v/>
      </c>
      <c r="AC267" s="88">
        <f>IF(OR(AC$1="",$BE267=0),"",SUMIFS(Entries!$D$2:$D$5000,Entries!$C$2:$C$5000,"Actual",Entries!$A$2:$A$5000,$A267,Entries!$B$2:$B$5000,AC$1))</f>
        <v/>
      </c>
      <c r="AD267" s="88">
        <f>IF(OR(AD$1="",$BE267=0),"",SUMIFS(Entries!$D$2:$D$5000,Entries!$C$2:$C$5000,"Actual",Entries!$A$2:$A$5000,$A267,Entries!$B$2:$B$5000,AD$1))</f>
        <v/>
      </c>
      <c r="AE267" s="88">
        <f>IF(OR(AE$1="",$BE267=0),"",SUMIFS(Entries!$D$2:$D$5000,Entries!$C$2:$C$5000,"Actual",Entries!$A$2:$A$5000,$A267,Entries!$B$2:$B$5000,AE$1))</f>
        <v/>
      </c>
      <c r="AF267" s="88">
        <f>IF(OR(AF$1="",$BE267=0),"",SUMIFS(Entries!$D$2:$D$5000,Entries!$C$2:$C$5000,"Actual",Entries!$A$2:$A$5000,$A267,Entries!$B$2:$B$5000,AF$1))</f>
        <v/>
      </c>
      <c r="AG267" s="88">
        <f>IF(OR(AG$1="",$BE267=0),"",SUMIFS(Entries!$D$2:$D$5000,Entries!$C$2:$C$5000,"Actual",Entries!$A$2:$A$5000,$A267,Entries!$B$2:$B$5000,AG$1))</f>
        <v/>
      </c>
      <c r="AH267" s="88">
        <f>IF(OR(AH$1="",$BE267=0),"",SUMIFS(Entries!$D$2:$D$5000,Entries!$C$2:$C$5000,"Actual",Entries!$A$2:$A$5000,$A267,Entries!$B$2:$B$5000,AH$1))</f>
        <v/>
      </c>
      <c r="AJ267" s="88">
        <f>IF(OR(AJ$1="",$BE267=0),"",IFERROR(LOOKUP(2,1/((Budgets!$A$2:$A$200=AJ$1)*(Budgets!$B$2:$B$200&lt;=$A267)),Budgets!$C$2:$C$200),0))</f>
        <v/>
      </c>
      <c r="AK267" s="88">
        <f>IF(OR(AK$1="",$BE267=0),"",IFERROR(LOOKUP(2,1/((Budgets!$A$2:$A$200=AK$1)*(Budgets!$B$2:$B$200&lt;=$A267)),Budgets!$C$2:$C$200),0))</f>
        <v/>
      </c>
      <c r="AL267" s="88">
        <f>IF(OR(AL$1="",$BE267=0),"",IFERROR(LOOKUP(2,1/((Budgets!$A$2:$A$200=AL$1)*(Budgets!$B$2:$B$200&lt;=$A267)),Budgets!$C$2:$C$200),0))</f>
        <v/>
      </c>
      <c r="AM267" s="88">
        <f>IF(OR(AM$1="",$BE267=0),"",IFERROR(LOOKUP(2,1/((Budgets!$A$2:$A$200=AM$1)*(Budgets!$B$2:$B$200&lt;=$A267)),Budgets!$C$2:$C$200),0))</f>
        <v/>
      </c>
      <c r="AN267" s="88">
        <f>IF(OR(AN$1="",$BE267=0),"",IFERROR(LOOKUP(2,1/((Budgets!$A$2:$A$200=AN$1)*(Budgets!$B$2:$B$200&lt;=$A267)),Budgets!$C$2:$C$200),0))</f>
        <v/>
      </c>
      <c r="AO267" s="88">
        <f>IF(OR(AO$1="",$BE267=0),"",IFERROR(LOOKUP(2,1/((Budgets!$A$2:$A$200=AO$1)*(Budgets!$B$2:$B$200&lt;=$A267)),Budgets!$C$2:$C$200),0))</f>
        <v/>
      </c>
      <c r="AP267" s="88">
        <f>IF(OR(AP$1="",$BE267=0),"",IFERROR(LOOKUP(2,1/((Budgets!$A$2:$A$200=AP$1)*(Budgets!$B$2:$B$200&lt;=$A267)),Budgets!$C$2:$C$200),0))</f>
        <v/>
      </c>
      <c r="AQ267" s="88">
        <f>IF(OR(AQ$1="",$BE267=0),"",IFERROR(LOOKUP(2,1/((Budgets!$A$2:$A$200=AQ$1)*(Budgets!$B$2:$B$200&lt;=$A267)),Budgets!$C$2:$C$200),0))</f>
        <v/>
      </c>
      <c r="AR267" s="88">
        <f>IF(OR(AR$1="",$BE267=0),"",IFERROR(LOOKUP(2,1/((Budgets!$A$2:$A$200=AR$1)*(Budgets!$B$2:$B$200&lt;=$A267)),Budgets!$C$2:$C$200),0))</f>
        <v/>
      </c>
      <c r="AS267" s="88">
        <f>IF(OR(AS$1="",$BE267=0),"",IFERROR(LOOKUP(2,1/((Budgets!$A$2:$A$200=AS$1)*(Budgets!$B$2:$B$200&lt;=$A267)),Budgets!$C$2:$C$200),0))</f>
        <v/>
      </c>
      <c r="AT267" s="88">
        <f>IF(OR(AT$1="",$BE267=0),"",IFERROR(LOOKUP(2,1/((Budgets!$A$2:$A$200=AT$1)*(Budgets!$B$2:$B$200&lt;=$A267)),Budgets!$C$2:$C$200),0))</f>
        <v/>
      </c>
      <c r="AU267" s="88">
        <f>IF(OR(AU$1="",$BE267=0),"",IFERROR(LOOKUP(2,1/((Budgets!$A$2:$A$200=AU$1)*(Budgets!$B$2:$B$200&lt;=$A267)),Budgets!$C$2:$C$200),0))</f>
        <v/>
      </c>
      <c r="AV267" s="88">
        <f>IF(OR(AV$1="",$BE267=0),"",IFERROR(LOOKUP(2,1/((Budgets!$A$2:$A$200=AV$1)*(Budgets!$B$2:$B$200&lt;=$A267)),Budgets!$C$2:$C$200),0))</f>
        <v/>
      </c>
      <c r="AW267" s="88">
        <f>IF(OR(AW$1="",$BE267=0),"",IFERROR(LOOKUP(2,1/((Budgets!$A$2:$A$200=AW$1)*(Budgets!$B$2:$B$200&lt;=$A267)),Budgets!$C$2:$C$200),0))</f>
        <v/>
      </c>
      <c r="AX267" s="88">
        <f>IF(OR(AX$1="",$BE267=0),"",IFERROR(LOOKUP(2,1/((Budgets!$A$2:$A$200=AX$1)*(Budgets!$B$2:$B$200&lt;=$A267)),Budgets!$C$2:$C$200),0))</f>
        <v/>
      </c>
      <c r="AY267" s="88">
        <f>IF(OR(AY$1="",$BE267=0),"",IFERROR(LOOKUP(2,1/((Budgets!$A$2:$A$200=AY$1)*(Budgets!$B$2:$B$200&lt;=$A267)),Budgets!$C$2:$C$200),0))</f>
        <v/>
      </c>
      <c r="AZ267" s="88">
        <f>IF(OR(AZ$1="",$BE267=0),"",IFERROR(LOOKUP(2,1/((Budgets!$A$2:$A$200=AZ$1)*(Budgets!$B$2:$B$200&lt;=$A267)),Budgets!$C$2:$C$200),0))</f>
        <v/>
      </c>
      <c r="BA267" s="88">
        <f>IF(OR(BA$1="",$BE267=0),"",IFERROR(LOOKUP(2,1/((Budgets!$A$2:$A$200=BA$1)*(Budgets!$B$2:$B$200&lt;=$A267)),Budgets!$C$2:$C$200),0))</f>
        <v/>
      </c>
      <c r="BB267" s="88">
        <f>IF(OR(BB$1="",$BE267=0),"",IFERROR(LOOKUP(2,1/((Budgets!$A$2:$A$200=BB$1)*(Budgets!$B$2:$B$200&lt;=$A267)),Budgets!$C$2:$C$200),0))</f>
        <v/>
      </c>
      <c r="BC267" s="88">
        <f>IF(OR(BC$1="",$BE267=0),"",IFERROR(LOOKUP(2,1/((Budgets!$A$2:$A$200=BC$1)*(Budgets!$B$2:$B$200&lt;=$A267)),Budgets!$C$2:$C$200),0))</f>
        <v/>
      </c>
      <c r="BE267" s="67">
        <f>COUNTIFS(Entries!$A$2:$A$5000,$A267)</f>
        <v/>
      </c>
    </row>
    <row r="268" ht="15" customHeight="1" s="43">
      <c r="A268" s="87" t="n">
        <v>47543</v>
      </c>
      <c r="B268" s="88">
        <f>IF($BE268=0,NA(),SUMIFS(Entries!$D$2:$D$5000,Entries!$C$2:$C$5000,"Income",Entries!$A$2:$A$5000,$A268))</f>
        <v/>
      </c>
      <c r="C268" s="88">
        <f>IF($BE268=0,"",SUMIFS(Entries!$D$2:$D$5000,Entries!$C$2:$C$5000,"Actual",Entries!$A$2:$A$5000,$A268))</f>
        <v/>
      </c>
      <c r="D268" s="88">
        <f>IF($BE268=0,"",SUMIFS(Entries!$D$2:$D$5000,Entries!$C$2:$C$5000,"One-off",Entries!$A$2:$A$5000,$A268))</f>
        <v/>
      </c>
      <c r="E268" s="88">
        <f>IF($BE268=0,NA(),C268+D268)</f>
        <v/>
      </c>
      <c r="F268" s="88">
        <f>IF($BE268=0,"",SUM(AJ268:BC268))</f>
        <v/>
      </c>
      <c r="G268" s="88">
        <f>IF($BE268=0,"",B268-E268)</f>
        <v/>
      </c>
      <c r="H268" s="88">
        <f>IF($BE268=0,"",SUM($G$2:G268))</f>
        <v/>
      </c>
      <c r="I268" s="88">
        <f>IF($BE268=0,"",SUMIFS(Entries!$F$2:$F$5000,Entries!$A$2:$A$5000,$A268))</f>
        <v/>
      </c>
      <c r="J268" s="88">
        <f>IF($BE268=0,NA(),H268+SUM($I$2:I268))</f>
        <v/>
      </c>
      <c r="K268" s="88">
        <f>IF($BE268=0,"",SUMIFS(Entries!$D$2:$D$5000,Entries!$C$2:$C$5000,"Income",Entries!$A$2:$A$5000,"&gt;="&amp;EDATE($A268,-11),Entries!$A$2:$A$5000,"&lt;="&amp;$A268)/12)</f>
        <v/>
      </c>
      <c r="L268" s="88">
        <f>IF($BE268=0,"",(SUMIFS(Entries!$D$2:$D$5000,Entries!$C$2:$C$5000,"Actual",Entries!$A$2:$A$5000,"&gt;="&amp;EDATE($A268,-11),Entries!$A$2:$A$5000,"&lt;="&amp;$A268)+SUMIFS(Entries!$D$2:$D$5000,Entries!$C$2:$C$5000,"One-off",Entries!$A$2:$A$5000,"&gt;="&amp;EDATE($A268,-11),Entries!$A$2:$A$5000,"&lt;="&amp;$A268))/12)</f>
        <v/>
      </c>
      <c r="M268" s="71">
        <f>IF($BE268=0,NA(),IFERROR((K268-L268)/K268,0))</f>
        <v/>
      </c>
      <c r="O268" s="88">
        <f>IF(OR(O$1="",$BE268=0),"",SUMIFS(Entries!$D$2:$D$5000,Entries!$C$2:$C$5000,"Actual",Entries!$A$2:$A$5000,$A268,Entries!$B$2:$B$5000,O$1))</f>
        <v/>
      </c>
      <c r="P268" s="88">
        <f>IF(OR(P$1="",$BE268=0),"",SUMIFS(Entries!$D$2:$D$5000,Entries!$C$2:$C$5000,"Actual",Entries!$A$2:$A$5000,$A268,Entries!$B$2:$B$5000,P$1))</f>
        <v/>
      </c>
      <c r="Q268" s="88">
        <f>IF(OR(Q$1="",$BE268=0),"",SUMIFS(Entries!$D$2:$D$5000,Entries!$C$2:$C$5000,"Actual",Entries!$A$2:$A$5000,$A268,Entries!$B$2:$B$5000,Q$1))</f>
        <v/>
      </c>
      <c r="R268" s="88">
        <f>IF(OR(R$1="",$BE268=0),"",SUMIFS(Entries!$D$2:$D$5000,Entries!$C$2:$C$5000,"Actual",Entries!$A$2:$A$5000,$A268,Entries!$B$2:$B$5000,R$1))</f>
        <v/>
      </c>
      <c r="S268" s="88">
        <f>IF(OR(S$1="",$BE268=0),"",SUMIFS(Entries!$D$2:$D$5000,Entries!$C$2:$C$5000,"Actual",Entries!$A$2:$A$5000,$A268,Entries!$B$2:$B$5000,S$1))</f>
        <v/>
      </c>
      <c r="T268" s="88">
        <f>IF(OR(T$1="",$BE268=0),"",SUMIFS(Entries!$D$2:$D$5000,Entries!$C$2:$C$5000,"Actual",Entries!$A$2:$A$5000,$A268,Entries!$B$2:$B$5000,T$1))</f>
        <v/>
      </c>
      <c r="U268" s="88">
        <f>IF(OR(U$1="",$BE268=0),"",SUMIFS(Entries!$D$2:$D$5000,Entries!$C$2:$C$5000,"Actual",Entries!$A$2:$A$5000,$A268,Entries!$B$2:$B$5000,U$1))</f>
        <v/>
      </c>
      <c r="V268" s="88">
        <f>IF(OR(V$1="",$BE268=0),"",SUMIFS(Entries!$D$2:$D$5000,Entries!$C$2:$C$5000,"Actual",Entries!$A$2:$A$5000,$A268,Entries!$B$2:$B$5000,V$1))</f>
        <v/>
      </c>
      <c r="W268" s="88">
        <f>IF(OR(W$1="",$BE268=0),"",SUMIFS(Entries!$D$2:$D$5000,Entries!$C$2:$C$5000,"Actual",Entries!$A$2:$A$5000,$A268,Entries!$B$2:$B$5000,W$1))</f>
        <v/>
      </c>
      <c r="X268" s="88">
        <f>IF(OR(X$1="",$BE268=0),"",SUMIFS(Entries!$D$2:$D$5000,Entries!$C$2:$C$5000,"Actual",Entries!$A$2:$A$5000,$A268,Entries!$B$2:$B$5000,X$1))</f>
        <v/>
      </c>
      <c r="Y268" s="88">
        <f>IF(OR(Y$1="",$BE268=0),"",SUMIFS(Entries!$D$2:$D$5000,Entries!$C$2:$C$5000,"Actual",Entries!$A$2:$A$5000,$A268,Entries!$B$2:$B$5000,Y$1))</f>
        <v/>
      </c>
      <c r="Z268" s="88">
        <f>IF(OR(Z$1="",$BE268=0),"",SUMIFS(Entries!$D$2:$D$5000,Entries!$C$2:$C$5000,"Actual",Entries!$A$2:$A$5000,$A268,Entries!$B$2:$B$5000,Z$1))</f>
        <v/>
      </c>
      <c r="AA268" s="88">
        <f>IF(OR(AA$1="",$BE268=0),"",SUMIFS(Entries!$D$2:$D$5000,Entries!$C$2:$C$5000,"Actual",Entries!$A$2:$A$5000,$A268,Entries!$B$2:$B$5000,AA$1))</f>
        <v/>
      </c>
      <c r="AB268" s="88">
        <f>IF(OR(AB$1="",$BE268=0),"",SUMIFS(Entries!$D$2:$D$5000,Entries!$C$2:$C$5000,"Actual",Entries!$A$2:$A$5000,$A268,Entries!$B$2:$B$5000,AB$1))</f>
        <v/>
      </c>
      <c r="AC268" s="88">
        <f>IF(OR(AC$1="",$BE268=0),"",SUMIFS(Entries!$D$2:$D$5000,Entries!$C$2:$C$5000,"Actual",Entries!$A$2:$A$5000,$A268,Entries!$B$2:$B$5000,AC$1))</f>
        <v/>
      </c>
      <c r="AD268" s="88">
        <f>IF(OR(AD$1="",$BE268=0),"",SUMIFS(Entries!$D$2:$D$5000,Entries!$C$2:$C$5000,"Actual",Entries!$A$2:$A$5000,$A268,Entries!$B$2:$B$5000,AD$1))</f>
        <v/>
      </c>
      <c r="AE268" s="88">
        <f>IF(OR(AE$1="",$BE268=0),"",SUMIFS(Entries!$D$2:$D$5000,Entries!$C$2:$C$5000,"Actual",Entries!$A$2:$A$5000,$A268,Entries!$B$2:$B$5000,AE$1))</f>
        <v/>
      </c>
      <c r="AF268" s="88">
        <f>IF(OR(AF$1="",$BE268=0),"",SUMIFS(Entries!$D$2:$D$5000,Entries!$C$2:$C$5000,"Actual",Entries!$A$2:$A$5000,$A268,Entries!$B$2:$B$5000,AF$1))</f>
        <v/>
      </c>
      <c r="AG268" s="88">
        <f>IF(OR(AG$1="",$BE268=0),"",SUMIFS(Entries!$D$2:$D$5000,Entries!$C$2:$C$5000,"Actual",Entries!$A$2:$A$5000,$A268,Entries!$B$2:$B$5000,AG$1))</f>
        <v/>
      </c>
      <c r="AH268" s="88">
        <f>IF(OR(AH$1="",$BE268=0),"",SUMIFS(Entries!$D$2:$D$5000,Entries!$C$2:$C$5000,"Actual",Entries!$A$2:$A$5000,$A268,Entries!$B$2:$B$5000,AH$1))</f>
        <v/>
      </c>
      <c r="AJ268" s="88">
        <f>IF(OR(AJ$1="",$BE268=0),"",IFERROR(LOOKUP(2,1/((Budgets!$A$2:$A$200=AJ$1)*(Budgets!$B$2:$B$200&lt;=$A268)),Budgets!$C$2:$C$200),0))</f>
        <v/>
      </c>
      <c r="AK268" s="88">
        <f>IF(OR(AK$1="",$BE268=0),"",IFERROR(LOOKUP(2,1/((Budgets!$A$2:$A$200=AK$1)*(Budgets!$B$2:$B$200&lt;=$A268)),Budgets!$C$2:$C$200),0))</f>
        <v/>
      </c>
      <c r="AL268" s="88">
        <f>IF(OR(AL$1="",$BE268=0),"",IFERROR(LOOKUP(2,1/((Budgets!$A$2:$A$200=AL$1)*(Budgets!$B$2:$B$200&lt;=$A268)),Budgets!$C$2:$C$200),0))</f>
        <v/>
      </c>
      <c r="AM268" s="88">
        <f>IF(OR(AM$1="",$BE268=0),"",IFERROR(LOOKUP(2,1/((Budgets!$A$2:$A$200=AM$1)*(Budgets!$B$2:$B$200&lt;=$A268)),Budgets!$C$2:$C$200),0))</f>
        <v/>
      </c>
      <c r="AN268" s="88">
        <f>IF(OR(AN$1="",$BE268=0),"",IFERROR(LOOKUP(2,1/((Budgets!$A$2:$A$200=AN$1)*(Budgets!$B$2:$B$200&lt;=$A268)),Budgets!$C$2:$C$200),0))</f>
        <v/>
      </c>
      <c r="AO268" s="88">
        <f>IF(OR(AO$1="",$BE268=0),"",IFERROR(LOOKUP(2,1/((Budgets!$A$2:$A$200=AO$1)*(Budgets!$B$2:$B$200&lt;=$A268)),Budgets!$C$2:$C$200),0))</f>
        <v/>
      </c>
      <c r="AP268" s="88">
        <f>IF(OR(AP$1="",$BE268=0),"",IFERROR(LOOKUP(2,1/((Budgets!$A$2:$A$200=AP$1)*(Budgets!$B$2:$B$200&lt;=$A268)),Budgets!$C$2:$C$200),0))</f>
        <v/>
      </c>
      <c r="AQ268" s="88">
        <f>IF(OR(AQ$1="",$BE268=0),"",IFERROR(LOOKUP(2,1/((Budgets!$A$2:$A$200=AQ$1)*(Budgets!$B$2:$B$200&lt;=$A268)),Budgets!$C$2:$C$200),0))</f>
        <v/>
      </c>
      <c r="AR268" s="88">
        <f>IF(OR(AR$1="",$BE268=0),"",IFERROR(LOOKUP(2,1/((Budgets!$A$2:$A$200=AR$1)*(Budgets!$B$2:$B$200&lt;=$A268)),Budgets!$C$2:$C$200),0))</f>
        <v/>
      </c>
      <c r="AS268" s="88">
        <f>IF(OR(AS$1="",$BE268=0),"",IFERROR(LOOKUP(2,1/((Budgets!$A$2:$A$200=AS$1)*(Budgets!$B$2:$B$200&lt;=$A268)),Budgets!$C$2:$C$200),0))</f>
        <v/>
      </c>
      <c r="AT268" s="88">
        <f>IF(OR(AT$1="",$BE268=0),"",IFERROR(LOOKUP(2,1/((Budgets!$A$2:$A$200=AT$1)*(Budgets!$B$2:$B$200&lt;=$A268)),Budgets!$C$2:$C$200),0))</f>
        <v/>
      </c>
      <c r="AU268" s="88">
        <f>IF(OR(AU$1="",$BE268=0),"",IFERROR(LOOKUP(2,1/((Budgets!$A$2:$A$200=AU$1)*(Budgets!$B$2:$B$200&lt;=$A268)),Budgets!$C$2:$C$200),0))</f>
        <v/>
      </c>
      <c r="AV268" s="88">
        <f>IF(OR(AV$1="",$BE268=0),"",IFERROR(LOOKUP(2,1/((Budgets!$A$2:$A$200=AV$1)*(Budgets!$B$2:$B$200&lt;=$A268)),Budgets!$C$2:$C$200),0))</f>
        <v/>
      </c>
      <c r="AW268" s="88">
        <f>IF(OR(AW$1="",$BE268=0),"",IFERROR(LOOKUP(2,1/((Budgets!$A$2:$A$200=AW$1)*(Budgets!$B$2:$B$200&lt;=$A268)),Budgets!$C$2:$C$200),0))</f>
        <v/>
      </c>
      <c r="AX268" s="88">
        <f>IF(OR(AX$1="",$BE268=0),"",IFERROR(LOOKUP(2,1/((Budgets!$A$2:$A$200=AX$1)*(Budgets!$B$2:$B$200&lt;=$A268)),Budgets!$C$2:$C$200),0))</f>
        <v/>
      </c>
      <c r="AY268" s="88">
        <f>IF(OR(AY$1="",$BE268=0),"",IFERROR(LOOKUP(2,1/((Budgets!$A$2:$A$200=AY$1)*(Budgets!$B$2:$B$200&lt;=$A268)),Budgets!$C$2:$C$200),0))</f>
        <v/>
      </c>
      <c r="AZ268" s="88">
        <f>IF(OR(AZ$1="",$BE268=0),"",IFERROR(LOOKUP(2,1/((Budgets!$A$2:$A$200=AZ$1)*(Budgets!$B$2:$B$200&lt;=$A268)),Budgets!$C$2:$C$200),0))</f>
        <v/>
      </c>
      <c r="BA268" s="88">
        <f>IF(OR(BA$1="",$BE268=0),"",IFERROR(LOOKUP(2,1/((Budgets!$A$2:$A$200=BA$1)*(Budgets!$B$2:$B$200&lt;=$A268)),Budgets!$C$2:$C$200),0))</f>
        <v/>
      </c>
      <c r="BB268" s="88">
        <f>IF(OR(BB$1="",$BE268=0),"",IFERROR(LOOKUP(2,1/((Budgets!$A$2:$A$200=BB$1)*(Budgets!$B$2:$B$200&lt;=$A268)),Budgets!$C$2:$C$200),0))</f>
        <v/>
      </c>
      <c r="BC268" s="88">
        <f>IF(OR(BC$1="",$BE268=0),"",IFERROR(LOOKUP(2,1/((Budgets!$A$2:$A$200=BC$1)*(Budgets!$B$2:$B$200&lt;=$A268)),Budgets!$C$2:$C$200),0))</f>
        <v/>
      </c>
      <c r="BE268" s="67">
        <f>COUNTIFS(Entries!$A$2:$A$5000,$A268)</f>
        <v/>
      </c>
    </row>
    <row r="269" ht="15" customHeight="1" s="43">
      <c r="A269" s="87" t="n">
        <v>47574</v>
      </c>
      <c r="B269" s="88">
        <f>IF($BE269=0,NA(),SUMIFS(Entries!$D$2:$D$5000,Entries!$C$2:$C$5000,"Income",Entries!$A$2:$A$5000,$A269))</f>
        <v/>
      </c>
      <c r="C269" s="88">
        <f>IF($BE269=0,"",SUMIFS(Entries!$D$2:$D$5000,Entries!$C$2:$C$5000,"Actual",Entries!$A$2:$A$5000,$A269))</f>
        <v/>
      </c>
      <c r="D269" s="88">
        <f>IF($BE269=0,"",SUMIFS(Entries!$D$2:$D$5000,Entries!$C$2:$C$5000,"One-off",Entries!$A$2:$A$5000,$A269))</f>
        <v/>
      </c>
      <c r="E269" s="88">
        <f>IF($BE269=0,NA(),C269+D269)</f>
        <v/>
      </c>
      <c r="F269" s="88">
        <f>IF($BE269=0,"",SUM(AJ269:BC269))</f>
        <v/>
      </c>
      <c r="G269" s="88">
        <f>IF($BE269=0,"",B269-E269)</f>
        <v/>
      </c>
      <c r="H269" s="88">
        <f>IF($BE269=0,"",SUM($G$2:G269))</f>
        <v/>
      </c>
      <c r="I269" s="88">
        <f>IF($BE269=0,"",SUMIFS(Entries!$F$2:$F$5000,Entries!$A$2:$A$5000,$A269))</f>
        <v/>
      </c>
      <c r="J269" s="88">
        <f>IF($BE269=0,NA(),H269+SUM($I$2:I269))</f>
        <v/>
      </c>
      <c r="K269" s="88">
        <f>IF($BE269=0,"",SUMIFS(Entries!$D$2:$D$5000,Entries!$C$2:$C$5000,"Income",Entries!$A$2:$A$5000,"&gt;="&amp;EDATE($A269,-11),Entries!$A$2:$A$5000,"&lt;="&amp;$A269)/12)</f>
        <v/>
      </c>
      <c r="L269" s="88">
        <f>IF($BE269=0,"",(SUMIFS(Entries!$D$2:$D$5000,Entries!$C$2:$C$5000,"Actual",Entries!$A$2:$A$5000,"&gt;="&amp;EDATE($A269,-11),Entries!$A$2:$A$5000,"&lt;="&amp;$A269)+SUMIFS(Entries!$D$2:$D$5000,Entries!$C$2:$C$5000,"One-off",Entries!$A$2:$A$5000,"&gt;="&amp;EDATE($A269,-11),Entries!$A$2:$A$5000,"&lt;="&amp;$A269))/12)</f>
        <v/>
      </c>
      <c r="M269" s="71">
        <f>IF($BE269=0,NA(),IFERROR((K269-L269)/K269,0))</f>
        <v/>
      </c>
      <c r="O269" s="88">
        <f>IF(OR(O$1="",$BE269=0),"",SUMIFS(Entries!$D$2:$D$5000,Entries!$C$2:$C$5000,"Actual",Entries!$A$2:$A$5000,$A269,Entries!$B$2:$B$5000,O$1))</f>
        <v/>
      </c>
      <c r="P269" s="88">
        <f>IF(OR(P$1="",$BE269=0),"",SUMIFS(Entries!$D$2:$D$5000,Entries!$C$2:$C$5000,"Actual",Entries!$A$2:$A$5000,$A269,Entries!$B$2:$B$5000,P$1))</f>
        <v/>
      </c>
      <c r="Q269" s="88">
        <f>IF(OR(Q$1="",$BE269=0),"",SUMIFS(Entries!$D$2:$D$5000,Entries!$C$2:$C$5000,"Actual",Entries!$A$2:$A$5000,$A269,Entries!$B$2:$B$5000,Q$1))</f>
        <v/>
      </c>
      <c r="R269" s="88">
        <f>IF(OR(R$1="",$BE269=0),"",SUMIFS(Entries!$D$2:$D$5000,Entries!$C$2:$C$5000,"Actual",Entries!$A$2:$A$5000,$A269,Entries!$B$2:$B$5000,R$1))</f>
        <v/>
      </c>
      <c r="S269" s="88">
        <f>IF(OR(S$1="",$BE269=0),"",SUMIFS(Entries!$D$2:$D$5000,Entries!$C$2:$C$5000,"Actual",Entries!$A$2:$A$5000,$A269,Entries!$B$2:$B$5000,S$1))</f>
        <v/>
      </c>
      <c r="T269" s="88">
        <f>IF(OR(T$1="",$BE269=0),"",SUMIFS(Entries!$D$2:$D$5000,Entries!$C$2:$C$5000,"Actual",Entries!$A$2:$A$5000,$A269,Entries!$B$2:$B$5000,T$1))</f>
        <v/>
      </c>
      <c r="U269" s="88">
        <f>IF(OR(U$1="",$BE269=0),"",SUMIFS(Entries!$D$2:$D$5000,Entries!$C$2:$C$5000,"Actual",Entries!$A$2:$A$5000,$A269,Entries!$B$2:$B$5000,U$1))</f>
        <v/>
      </c>
      <c r="V269" s="88">
        <f>IF(OR(V$1="",$BE269=0),"",SUMIFS(Entries!$D$2:$D$5000,Entries!$C$2:$C$5000,"Actual",Entries!$A$2:$A$5000,$A269,Entries!$B$2:$B$5000,V$1))</f>
        <v/>
      </c>
      <c r="W269" s="88">
        <f>IF(OR(W$1="",$BE269=0),"",SUMIFS(Entries!$D$2:$D$5000,Entries!$C$2:$C$5000,"Actual",Entries!$A$2:$A$5000,$A269,Entries!$B$2:$B$5000,W$1))</f>
        <v/>
      </c>
      <c r="X269" s="88">
        <f>IF(OR(X$1="",$BE269=0),"",SUMIFS(Entries!$D$2:$D$5000,Entries!$C$2:$C$5000,"Actual",Entries!$A$2:$A$5000,$A269,Entries!$B$2:$B$5000,X$1))</f>
        <v/>
      </c>
      <c r="Y269" s="88">
        <f>IF(OR(Y$1="",$BE269=0),"",SUMIFS(Entries!$D$2:$D$5000,Entries!$C$2:$C$5000,"Actual",Entries!$A$2:$A$5000,$A269,Entries!$B$2:$B$5000,Y$1))</f>
        <v/>
      </c>
      <c r="Z269" s="88">
        <f>IF(OR(Z$1="",$BE269=0),"",SUMIFS(Entries!$D$2:$D$5000,Entries!$C$2:$C$5000,"Actual",Entries!$A$2:$A$5000,$A269,Entries!$B$2:$B$5000,Z$1))</f>
        <v/>
      </c>
      <c r="AA269" s="88">
        <f>IF(OR(AA$1="",$BE269=0),"",SUMIFS(Entries!$D$2:$D$5000,Entries!$C$2:$C$5000,"Actual",Entries!$A$2:$A$5000,$A269,Entries!$B$2:$B$5000,AA$1))</f>
        <v/>
      </c>
      <c r="AB269" s="88">
        <f>IF(OR(AB$1="",$BE269=0),"",SUMIFS(Entries!$D$2:$D$5000,Entries!$C$2:$C$5000,"Actual",Entries!$A$2:$A$5000,$A269,Entries!$B$2:$B$5000,AB$1))</f>
        <v/>
      </c>
      <c r="AC269" s="88">
        <f>IF(OR(AC$1="",$BE269=0),"",SUMIFS(Entries!$D$2:$D$5000,Entries!$C$2:$C$5000,"Actual",Entries!$A$2:$A$5000,$A269,Entries!$B$2:$B$5000,AC$1))</f>
        <v/>
      </c>
      <c r="AD269" s="88">
        <f>IF(OR(AD$1="",$BE269=0),"",SUMIFS(Entries!$D$2:$D$5000,Entries!$C$2:$C$5000,"Actual",Entries!$A$2:$A$5000,$A269,Entries!$B$2:$B$5000,AD$1))</f>
        <v/>
      </c>
      <c r="AE269" s="88">
        <f>IF(OR(AE$1="",$BE269=0),"",SUMIFS(Entries!$D$2:$D$5000,Entries!$C$2:$C$5000,"Actual",Entries!$A$2:$A$5000,$A269,Entries!$B$2:$B$5000,AE$1))</f>
        <v/>
      </c>
      <c r="AF269" s="88">
        <f>IF(OR(AF$1="",$BE269=0),"",SUMIFS(Entries!$D$2:$D$5000,Entries!$C$2:$C$5000,"Actual",Entries!$A$2:$A$5000,$A269,Entries!$B$2:$B$5000,AF$1))</f>
        <v/>
      </c>
      <c r="AG269" s="88">
        <f>IF(OR(AG$1="",$BE269=0),"",SUMIFS(Entries!$D$2:$D$5000,Entries!$C$2:$C$5000,"Actual",Entries!$A$2:$A$5000,$A269,Entries!$B$2:$B$5000,AG$1))</f>
        <v/>
      </c>
      <c r="AH269" s="88">
        <f>IF(OR(AH$1="",$BE269=0),"",SUMIFS(Entries!$D$2:$D$5000,Entries!$C$2:$C$5000,"Actual",Entries!$A$2:$A$5000,$A269,Entries!$B$2:$B$5000,AH$1))</f>
        <v/>
      </c>
      <c r="AJ269" s="88">
        <f>IF(OR(AJ$1="",$BE269=0),"",IFERROR(LOOKUP(2,1/((Budgets!$A$2:$A$200=AJ$1)*(Budgets!$B$2:$B$200&lt;=$A269)),Budgets!$C$2:$C$200),0))</f>
        <v/>
      </c>
      <c r="AK269" s="88">
        <f>IF(OR(AK$1="",$BE269=0),"",IFERROR(LOOKUP(2,1/((Budgets!$A$2:$A$200=AK$1)*(Budgets!$B$2:$B$200&lt;=$A269)),Budgets!$C$2:$C$200),0))</f>
        <v/>
      </c>
      <c r="AL269" s="88">
        <f>IF(OR(AL$1="",$BE269=0),"",IFERROR(LOOKUP(2,1/((Budgets!$A$2:$A$200=AL$1)*(Budgets!$B$2:$B$200&lt;=$A269)),Budgets!$C$2:$C$200),0))</f>
        <v/>
      </c>
      <c r="AM269" s="88">
        <f>IF(OR(AM$1="",$BE269=0),"",IFERROR(LOOKUP(2,1/((Budgets!$A$2:$A$200=AM$1)*(Budgets!$B$2:$B$200&lt;=$A269)),Budgets!$C$2:$C$200),0))</f>
        <v/>
      </c>
      <c r="AN269" s="88">
        <f>IF(OR(AN$1="",$BE269=0),"",IFERROR(LOOKUP(2,1/((Budgets!$A$2:$A$200=AN$1)*(Budgets!$B$2:$B$200&lt;=$A269)),Budgets!$C$2:$C$200),0))</f>
        <v/>
      </c>
      <c r="AO269" s="88">
        <f>IF(OR(AO$1="",$BE269=0),"",IFERROR(LOOKUP(2,1/((Budgets!$A$2:$A$200=AO$1)*(Budgets!$B$2:$B$200&lt;=$A269)),Budgets!$C$2:$C$200),0))</f>
        <v/>
      </c>
      <c r="AP269" s="88">
        <f>IF(OR(AP$1="",$BE269=0),"",IFERROR(LOOKUP(2,1/((Budgets!$A$2:$A$200=AP$1)*(Budgets!$B$2:$B$200&lt;=$A269)),Budgets!$C$2:$C$200),0))</f>
        <v/>
      </c>
      <c r="AQ269" s="88">
        <f>IF(OR(AQ$1="",$BE269=0),"",IFERROR(LOOKUP(2,1/((Budgets!$A$2:$A$200=AQ$1)*(Budgets!$B$2:$B$200&lt;=$A269)),Budgets!$C$2:$C$200),0))</f>
        <v/>
      </c>
      <c r="AR269" s="88">
        <f>IF(OR(AR$1="",$BE269=0),"",IFERROR(LOOKUP(2,1/((Budgets!$A$2:$A$200=AR$1)*(Budgets!$B$2:$B$200&lt;=$A269)),Budgets!$C$2:$C$200),0))</f>
        <v/>
      </c>
      <c r="AS269" s="88">
        <f>IF(OR(AS$1="",$BE269=0),"",IFERROR(LOOKUP(2,1/((Budgets!$A$2:$A$200=AS$1)*(Budgets!$B$2:$B$200&lt;=$A269)),Budgets!$C$2:$C$200),0))</f>
        <v/>
      </c>
      <c r="AT269" s="88">
        <f>IF(OR(AT$1="",$BE269=0),"",IFERROR(LOOKUP(2,1/((Budgets!$A$2:$A$200=AT$1)*(Budgets!$B$2:$B$200&lt;=$A269)),Budgets!$C$2:$C$200),0))</f>
        <v/>
      </c>
      <c r="AU269" s="88">
        <f>IF(OR(AU$1="",$BE269=0),"",IFERROR(LOOKUP(2,1/((Budgets!$A$2:$A$200=AU$1)*(Budgets!$B$2:$B$200&lt;=$A269)),Budgets!$C$2:$C$200),0))</f>
        <v/>
      </c>
      <c r="AV269" s="88">
        <f>IF(OR(AV$1="",$BE269=0),"",IFERROR(LOOKUP(2,1/((Budgets!$A$2:$A$200=AV$1)*(Budgets!$B$2:$B$200&lt;=$A269)),Budgets!$C$2:$C$200),0))</f>
        <v/>
      </c>
      <c r="AW269" s="88">
        <f>IF(OR(AW$1="",$BE269=0),"",IFERROR(LOOKUP(2,1/((Budgets!$A$2:$A$200=AW$1)*(Budgets!$B$2:$B$200&lt;=$A269)),Budgets!$C$2:$C$200),0))</f>
        <v/>
      </c>
      <c r="AX269" s="88">
        <f>IF(OR(AX$1="",$BE269=0),"",IFERROR(LOOKUP(2,1/((Budgets!$A$2:$A$200=AX$1)*(Budgets!$B$2:$B$200&lt;=$A269)),Budgets!$C$2:$C$200),0))</f>
        <v/>
      </c>
      <c r="AY269" s="88">
        <f>IF(OR(AY$1="",$BE269=0),"",IFERROR(LOOKUP(2,1/((Budgets!$A$2:$A$200=AY$1)*(Budgets!$B$2:$B$200&lt;=$A269)),Budgets!$C$2:$C$200),0))</f>
        <v/>
      </c>
      <c r="AZ269" s="88">
        <f>IF(OR(AZ$1="",$BE269=0),"",IFERROR(LOOKUP(2,1/((Budgets!$A$2:$A$200=AZ$1)*(Budgets!$B$2:$B$200&lt;=$A269)),Budgets!$C$2:$C$200),0))</f>
        <v/>
      </c>
      <c r="BA269" s="88">
        <f>IF(OR(BA$1="",$BE269=0),"",IFERROR(LOOKUP(2,1/((Budgets!$A$2:$A$200=BA$1)*(Budgets!$B$2:$B$200&lt;=$A269)),Budgets!$C$2:$C$200),0))</f>
        <v/>
      </c>
      <c r="BB269" s="88">
        <f>IF(OR(BB$1="",$BE269=0),"",IFERROR(LOOKUP(2,1/((Budgets!$A$2:$A$200=BB$1)*(Budgets!$B$2:$B$200&lt;=$A269)),Budgets!$C$2:$C$200),0))</f>
        <v/>
      </c>
      <c r="BC269" s="88">
        <f>IF(OR(BC$1="",$BE269=0),"",IFERROR(LOOKUP(2,1/((Budgets!$A$2:$A$200=BC$1)*(Budgets!$B$2:$B$200&lt;=$A269)),Budgets!$C$2:$C$200),0))</f>
        <v/>
      </c>
      <c r="BE269" s="67">
        <f>COUNTIFS(Entries!$A$2:$A$5000,$A269)</f>
        <v/>
      </c>
    </row>
    <row r="270" ht="15" customHeight="1" s="43">
      <c r="A270" s="87" t="n">
        <v>47604</v>
      </c>
      <c r="B270" s="88">
        <f>IF($BE270=0,NA(),SUMIFS(Entries!$D$2:$D$5000,Entries!$C$2:$C$5000,"Income",Entries!$A$2:$A$5000,$A270))</f>
        <v/>
      </c>
      <c r="C270" s="88">
        <f>IF($BE270=0,"",SUMIFS(Entries!$D$2:$D$5000,Entries!$C$2:$C$5000,"Actual",Entries!$A$2:$A$5000,$A270))</f>
        <v/>
      </c>
      <c r="D270" s="88">
        <f>IF($BE270=0,"",SUMIFS(Entries!$D$2:$D$5000,Entries!$C$2:$C$5000,"One-off",Entries!$A$2:$A$5000,$A270))</f>
        <v/>
      </c>
      <c r="E270" s="88">
        <f>IF($BE270=0,NA(),C270+D270)</f>
        <v/>
      </c>
      <c r="F270" s="88">
        <f>IF($BE270=0,"",SUM(AJ270:BC270))</f>
        <v/>
      </c>
      <c r="G270" s="88">
        <f>IF($BE270=0,"",B270-E270)</f>
        <v/>
      </c>
      <c r="H270" s="88">
        <f>IF($BE270=0,"",SUM($G$2:G270))</f>
        <v/>
      </c>
      <c r="I270" s="88">
        <f>IF($BE270=0,"",SUMIFS(Entries!$F$2:$F$5000,Entries!$A$2:$A$5000,$A270))</f>
        <v/>
      </c>
      <c r="J270" s="88">
        <f>IF($BE270=0,NA(),H270+SUM($I$2:I270))</f>
        <v/>
      </c>
      <c r="K270" s="88">
        <f>IF($BE270=0,"",SUMIFS(Entries!$D$2:$D$5000,Entries!$C$2:$C$5000,"Income",Entries!$A$2:$A$5000,"&gt;="&amp;EDATE($A270,-11),Entries!$A$2:$A$5000,"&lt;="&amp;$A270)/12)</f>
        <v/>
      </c>
      <c r="L270" s="88">
        <f>IF($BE270=0,"",(SUMIFS(Entries!$D$2:$D$5000,Entries!$C$2:$C$5000,"Actual",Entries!$A$2:$A$5000,"&gt;="&amp;EDATE($A270,-11),Entries!$A$2:$A$5000,"&lt;="&amp;$A270)+SUMIFS(Entries!$D$2:$D$5000,Entries!$C$2:$C$5000,"One-off",Entries!$A$2:$A$5000,"&gt;="&amp;EDATE($A270,-11),Entries!$A$2:$A$5000,"&lt;="&amp;$A270))/12)</f>
        <v/>
      </c>
      <c r="M270" s="71">
        <f>IF($BE270=0,NA(),IFERROR((K270-L270)/K270,0))</f>
        <v/>
      </c>
      <c r="O270" s="88">
        <f>IF(OR(O$1="",$BE270=0),"",SUMIFS(Entries!$D$2:$D$5000,Entries!$C$2:$C$5000,"Actual",Entries!$A$2:$A$5000,$A270,Entries!$B$2:$B$5000,O$1))</f>
        <v/>
      </c>
      <c r="P270" s="88">
        <f>IF(OR(P$1="",$BE270=0),"",SUMIFS(Entries!$D$2:$D$5000,Entries!$C$2:$C$5000,"Actual",Entries!$A$2:$A$5000,$A270,Entries!$B$2:$B$5000,P$1))</f>
        <v/>
      </c>
      <c r="Q270" s="88">
        <f>IF(OR(Q$1="",$BE270=0),"",SUMIFS(Entries!$D$2:$D$5000,Entries!$C$2:$C$5000,"Actual",Entries!$A$2:$A$5000,$A270,Entries!$B$2:$B$5000,Q$1))</f>
        <v/>
      </c>
      <c r="R270" s="88">
        <f>IF(OR(R$1="",$BE270=0),"",SUMIFS(Entries!$D$2:$D$5000,Entries!$C$2:$C$5000,"Actual",Entries!$A$2:$A$5000,$A270,Entries!$B$2:$B$5000,R$1))</f>
        <v/>
      </c>
      <c r="S270" s="88">
        <f>IF(OR(S$1="",$BE270=0),"",SUMIFS(Entries!$D$2:$D$5000,Entries!$C$2:$C$5000,"Actual",Entries!$A$2:$A$5000,$A270,Entries!$B$2:$B$5000,S$1))</f>
        <v/>
      </c>
      <c r="T270" s="88">
        <f>IF(OR(T$1="",$BE270=0),"",SUMIFS(Entries!$D$2:$D$5000,Entries!$C$2:$C$5000,"Actual",Entries!$A$2:$A$5000,$A270,Entries!$B$2:$B$5000,T$1))</f>
        <v/>
      </c>
      <c r="U270" s="88">
        <f>IF(OR(U$1="",$BE270=0),"",SUMIFS(Entries!$D$2:$D$5000,Entries!$C$2:$C$5000,"Actual",Entries!$A$2:$A$5000,$A270,Entries!$B$2:$B$5000,U$1))</f>
        <v/>
      </c>
      <c r="V270" s="88">
        <f>IF(OR(V$1="",$BE270=0),"",SUMIFS(Entries!$D$2:$D$5000,Entries!$C$2:$C$5000,"Actual",Entries!$A$2:$A$5000,$A270,Entries!$B$2:$B$5000,V$1))</f>
        <v/>
      </c>
      <c r="W270" s="88">
        <f>IF(OR(W$1="",$BE270=0),"",SUMIFS(Entries!$D$2:$D$5000,Entries!$C$2:$C$5000,"Actual",Entries!$A$2:$A$5000,$A270,Entries!$B$2:$B$5000,W$1))</f>
        <v/>
      </c>
      <c r="X270" s="88">
        <f>IF(OR(X$1="",$BE270=0),"",SUMIFS(Entries!$D$2:$D$5000,Entries!$C$2:$C$5000,"Actual",Entries!$A$2:$A$5000,$A270,Entries!$B$2:$B$5000,X$1))</f>
        <v/>
      </c>
      <c r="Y270" s="88">
        <f>IF(OR(Y$1="",$BE270=0),"",SUMIFS(Entries!$D$2:$D$5000,Entries!$C$2:$C$5000,"Actual",Entries!$A$2:$A$5000,$A270,Entries!$B$2:$B$5000,Y$1))</f>
        <v/>
      </c>
      <c r="Z270" s="88">
        <f>IF(OR(Z$1="",$BE270=0),"",SUMIFS(Entries!$D$2:$D$5000,Entries!$C$2:$C$5000,"Actual",Entries!$A$2:$A$5000,$A270,Entries!$B$2:$B$5000,Z$1))</f>
        <v/>
      </c>
      <c r="AA270" s="88">
        <f>IF(OR(AA$1="",$BE270=0),"",SUMIFS(Entries!$D$2:$D$5000,Entries!$C$2:$C$5000,"Actual",Entries!$A$2:$A$5000,$A270,Entries!$B$2:$B$5000,AA$1))</f>
        <v/>
      </c>
      <c r="AB270" s="88">
        <f>IF(OR(AB$1="",$BE270=0),"",SUMIFS(Entries!$D$2:$D$5000,Entries!$C$2:$C$5000,"Actual",Entries!$A$2:$A$5000,$A270,Entries!$B$2:$B$5000,AB$1))</f>
        <v/>
      </c>
      <c r="AC270" s="88">
        <f>IF(OR(AC$1="",$BE270=0),"",SUMIFS(Entries!$D$2:$D$5000,Entries!$C$2:$C$5000,"Actual",Entries!$A$2:$A$5000,$A270,Entries!$B$2:$B$5000,AC$1))</f>
        <v/>
      </c>
      <c r="AD270" s="88">
        <f>IF(OR(AD$1="",$BE270=0),"",SUMIFS(Entries!$D$2:$D$5000,Entries!$C$2:$C$5000,"Actual",Entries!$A$2:$A$5000,$A270,Entries!$B$2:$B$5000,AD$1))</f>
        <v/>
      </c>
      <c r="AE270" s="88">
        <f>IF(OR(AE$1="",$BE270=0),"",SUMIFS(Entries!$D$2:$D$5000,Entries!$C$2:$C$5000,"Actual",Entries!$A$2:$A$5000,$A270,Entries!$B$2:$B$5000,AE$1))</f>
        <v/>
      </c>
      <c r="AF270" s="88">
        <f>IF(OR(AF$1="",$BE270=0),"",SUMIFS(Entries!$D$2:$D$5000,Entries!$C$2:$C$5000,"Actual",Entries!$A$2:$A$5000,$A270,Entries!$B$2:$B$5000,AF$1))</f>
        <v/>
      </c>
      <c r="AG270" s="88">
        <f>IF(OR(AG$1="",$BE270=0),"",SUMIFS(Entries!$D$2:$D$5000,Entries!$C$2:$C$5000,"Actual",Entries!$A$2:$A$5000,$A270,Entries!$B$2:$B$5000,AG$1))</f>
        <v/>
      </c>
      <c r="AH270" s="88">
        <f>IF(OR(AH$1="",$BE270=0),"",SUMIFS(Entries!$D$2:$D$5000,Entries!$C$2:$C$5000,"Actual",Entries!$A$2:$A$5000,$A270,Entries!$B$2:$B$5000,AH$1))</f>
        <v/>
      </c>
      <c r="AJ270" s="88">
        <f>IF(OR(AJ$1="",$BE270=0),"",IFERROR(LOOKUP(2,1/((Budgets!$A$2:$A$200=AJ$1)*(Budgets!$B$2:$B$200&lt;=$A270)),Budgets!$C$2:$C$200),0))</f>
        <v/>
      </c>
      <c r="AK270" s="88">
        <f>IF(OR(AK$1="",$BE270=0),"",IFERROR(LOOKUP(2,1/((Budgets!$A$2:$A$200=AK$1)*(Budgets!$B$2:$B$200&lt;=$A270)),Budgets!$C$2:$C$200),0))</f>
        <v/>
      </c>
      <c r="AL270" s="88">
        <f>IF(OR(AL$1="",$BE270=0),"",IFERROR(LOOKUP(2,1/((Budgets!$A$2:$A$200=AL$1)*(Budgets!$B$2:$B$200&lt;=$A270)),Budgets!$C$2:$C$200),0))</f>
        <v/>
      </c>
      <c r="AM270" s="88">
        <f>IF(OR(AM$1="",$BE270=0),"",IFERROR(LOOKUP(2,1/((Budgets!$A$2:$A$200=AM$1)*(Budgets!$B$2:$B$200&lt;=$A270)),Budgets!$C$2:$C$200),0))</f>
        <v/>
      </c>
      <c r="AN270" s="88">
        <f>IF(OR(AN$1="",$BE270=0),"",IFERROR(LOOKUP(2,1/((Budgets!$A$2:$A$200=AN$1)*(Budgets!$B$2:$B$200&lt;=$A270)),Budgets!$C$2:$C$200),0))</f>
        <v/>
      </c>
      <c r="AO270" s="88">
        <f>IF(OR(AO$1="",$BE270=0),"",IFERROR(LOOKUP(2,1/((Budgets!$A$2:$A$200=AO$1)*(Budgets!$B$2:$B$200&lt;=$A270)),Budgets!$C$2:$C$200),0))</f>
        <v/>
      </c>
      <c r="AP270" s="88">
        <f>IF(OR(AP$1="",$BE270=0),"",IFERROR(LOOKUP(2,1/((Budgets!$A$2:$A$200=AP$1)*(Budgets!$B$2:$B$200&lt;=$A270)),Budgets!$C$2:$C$200),0))</f>
        <v/>
      </c>
      <c r="AQ270" s="88">
        <f>IF(OR(AQ$1="",$BE270=0),"",IFERROR(LOOKUP(2,1/((Budgets!$A$2:$A$200=AQ$1)*(Budgets!$B$2:$B$200&lt;=$A270)),Budgets!$C$2:$C$200),0))</f>
        <v/>
      </c>
      <c r="AR270" s="88">
        <f>IF(OR(AR$1="",$BE270=0),"",IFERROR(LOOKUP(2,1/((Budgets!$A$2:$A$200=AR$1)*(Budgets!$B$2:$B$200&lt;=$A270)),Budgets!$C$2:$C$200),0))</f>
        <v/>
      </c>
      <c r="AS270" s="88">
        <f>IF(OR(AS$1="",$BE270=0),"",IFERROR(LOOKUP(2,1/((Budgets!$A$2:$A$200=AS$1)*(Budgets!$B$2:$B$200&lt;=$A270)),Budgets!$C$2:$C$200),0))</f>
        <v/>
      </c>
      <c r="AT270" s="88">
        <f>IF(OR(AT$1="",$BE270=0),"",IFERROR(LOOKUP(2,1/((Budgets!$A$2:$A$200=AT$1)*(Budgets!$B$2:$B$200&lt;=$A270)),Budgets!$C$2:$C$200),0))</f>
        <v/>
      </c>
      <c r="AU270" s="88">
        <f>IF(OR(AU$1="",$BE270=0),"",IFERROR(LOOKUP(2,1/((Budgets!$A$2:$A$200=AU$1)*(Budgets!$B$2:$B$200&lt;=$A270)),Budgets!$C$2:$C$200),0))</f>
        <v/>
      </c>
      <c r="AV270" s="88">
        <f>IF(OR(AV$1="",$BE270=0),"",IFERROR(LOOKUP(2,1/((Budgets!$A$2:$A$200=AV$1)*(Budgets!$B$2:$B$200&lt;=$A270)),Budgets!$C$2:$C$200),0))</f>
        <v/>
      </c>
      <c r="AW270" s="88">
        <f>IF(OR(AW$1="",$BE270=0),"",IFERROR(LOOKUP(2,1/((Budgets!$A$2:$A$200=AW$1)*(Budgets!$B$2:$B$200&lt;=$A270)),Budgets!$C$2:$C$200),0))</f>
        <v/>
      </c>
      <c r="AX270" s="88">
        <f>IF(OR(AX$1="",$BE270=0),"",IFERROR(LOOKUP(2,1/((Budgets!$A$2:$A$200=AX$1)*(Budgets!$B$2:$B$200&lt;=$A270)),Budgets!$C$2:$C$200),0))</f>
        <v/>
      </c>
      <c r="AY270" s="88">
        <f>IF(OR(AY$1="",$BE270=0),"",IFERROR(LOOKUP(2,1/((Budgets!$A$2:$A$200=AY$1)*(Budgets!$B$2:$B$200&lt;=$A270)),Budgets!$C$2:$C$200),0))</f>
        <v/>
      </c>
      <c r="AZ270" s="88">
        <f>IF(OR(AZ$1="",$BE270=0),"",IFERROR(LOOKUP(2,1/((Budgets!$A$2:$A$200=AZ$1)*(Budgets!$B$2:$B$200&lt;=$A270)),Budgets!$C$2:$C$200),0))</f>
        <v/>
      </c>
      <c r="BA270" s="88">
        <f>IF(OR(BA$1="",$BE270=0),"",IFERROR(LOOKUP(2,1/((Budgets!$A$2:$A$200=BA$1)*(Budgets!$B$2:$B$200&lt;=$A270)),Budgets!$C$2:$C$200),0))</f>
        <v/>
      </c>
      <c r="BB270" s="88">
        <f>IF(OR(BB$1="",$BE270=0),"",IFERROR(LOOKUP(2,1/((Budgets!$A$2:$A$200=BB$1)*(Budgets!$B$2:$B$200&lt;=$A270)),Budgets!$C$2:$C$200),0))</f>
        <v/>
      </c>
      <c r="BC270" s="88">
        <f>IF(OR(BC$1="",$BE270=0),"",IFERROR(LOOKUP(2,1/((Budgets!$A$2:$A$200=BC$1)*(Budgets!$B$2:$B$200&lt;=$A270)),Budgets!$C$2:$C$200),0))</f>
        <v/>
      </c>
      <c r="BE270" s="67">
        <f>COUNTIFS(Entries!$A$2:$A$5000,$A270)</f>
        <v/>
      </c>
    </row>
    <row r="271" ht="15" customHeight="1" s="43">
      <c r="A271" s="87" t="n">
        <v>47635</v>
      </c>
      <c r="B271" s="88">
        <f>IF($BE271=0,NA(),SUMIFS(Entries!$D$2:$D$5000,Entries!$C$2:$C$5000,"Income",Entries!$A$2:$A$5000,$A271))</f>
        <v/>
      </c>
      <c r="C271" s="88">
        <f>IF($BE271=0,"",SUMIFS(Entries!$D$2:$D$5000,Entries!$C$2:$C$5000,"Actual",Entries!$A$2:$A$5000,$A271))</f>
        <v/>
      </c>
      <c r="D271" s="88">
        <f>IF($BE271=0,"",SUMIFS(Entries!$D$2:$D$5000,Entries!$C$2:$C$5000,"One-off",Entries!$A$2:$A$5000,$A271))</f>
        <v/>
      </c>
      <c r="E271" s="88">
        <f>IF($BE271=0,NA(),C271+D271)</f>
        <v/>
      </c>
      <c r="F271" s="88">
        <f>IF($BE271=0,"",SUM(AJ271:BC271))</f>
        <v/>
      </c>
      <c r="G271" s="88">
        <f>IF($BE271=0,"",B271-E271)</f>
        <v/>
      </c>
      <c r="H271" s="88">
        <f>IF($BE271=0,"",SUM($G$2:G271))</f>
        <v/>
      </c>
      <c r="I271" s="88">
        <f>IF($BE271=0,"",SUMIFS(Entries!$F$2:$F$5000,Entries!$A$2:$A$5000,$A271))</f>
        <v/>
      </c>
      <c r="J271" s="88">
        <f>IF($BE271=0,NA(),H271+SUM($I$2:I271))</f>
        <v/>
      </c>
      <c r="K271" s="88">
        <f>IF($BE271=0,"",SUMIFS(Entries!$D$2:$D$5000,Entries!$C$2:$C$5000,"Income",Entries!$A$2:$A$5000,"&gt;="&amp;EDATE($A271,-11),Entries!$A$2:$A$5000,"&lt;="&amp;$A271)/12)</f>
        <v/>
      </c>
      <c r="L271" s="88">
        <f>IF($BE271=0,"",(SUMIFS(Entries!$D$2:$D$5000,Entries!$C$2:$C$5000,"Actual",Entries!$A$2:$A$5000,"&gt;="&amp;EDATE($A271,-11),Entries!$A$2:$A$5000,"&lt;="&amp;$A271)+SUMIFS(Entries!$D$2:$D$5000,Entries!$C$2:$C$5000,"One-off",Entries!$A$2:$A$5000,"&gt;="&amp;EDATE($A271,-11),Entries!$A$2:$A$5000,"&lt;="&amp;$A271))/12)</f>
        <v/>
      </c>
      <c r="M271" s="71">
        <f>IF($BE271=0,NA(),IFERROR((K271-L271)/K271,0))</f>
        <v/>
      </c>
      <c r="O271" s="88">
        <f>IF(OR(O$1="",$BE271=0),"",SUMIFS(Entries!$D$2:$D$5000,Entries!$C$2:$C$5000,"Actual",Entries!$A$2:$A$5000,$A271,Entries!$B$2:$B$5000,O$1))</f>
        <v/>
      </c>
      <c r="P271" s="88">
        <f>IF(OR(P$1="",$BE271=0),"",SUMIFS(Entries!$D$2:$D$5000,Entries!$C$2:$C$5000,"Actual",Entries!$A$2:$A$5000,$A271,Entries!$B$2:$B$5000,P$1))</f>
        <v/>
      </c>
      <c r="Q271" s="88">
        <f>IF(OR(Q$1="",$BE271=0),"",SUMIFS(Entries!$D$2:$D$5000,Entries!$C$2:$C$5000,"Actual",Entries!$A$2:$A$5000,$A271,Entries!$B$2:$B$5000,Q$1))</f>
        <v/>
      </c>
      <c r="R271" s="88">
        <f>IF(OR(R$1="",$BE271=0),"",SUMIFS(Entries!$D$2:$D$5000,Entries!$C$2:$C$5000,"Actual",Entries!$A$2:$A$5000,$A271,Entries!$B$2:$B$5000,R$1))</f>
        <v/>
      </c>
      <c r="S271" s="88">
        <f>IF(OR(S$1="",$BE271=0),"",SUMIFS(Entries!$D$2:$D$5000,Entries!$C$2:$C$5000,"Actual",Entries!$A$2:$A$5000,$A271,Entries!$B$2:$B$5000,S$1))</f>
        <v/>
      </c>
      <c r="T271" s="88">
        <f>IF(OR(T$1="",$BE271=0),"",SUMIFS(Entries!$D$2:$D$5000,Entries!$C$2:$C$5000,"Actual",Entries!$A$2:$A$5000,$A271,Entries!$B$2:$B$5000,T$1))</f>
        <v/>
      </c>
      <c r="U271" s="88">
        <f>IF(OR(U$1="",$BE271=0),"",SUMIFS(Entries!$D$2:$D$5000,Entries!$C$2:$C$5000,"Actual",Entries!$A$2:$A$5000,$A271,Entries!$B$2:$B$5000,U$1))</f>
        <v/>
      </c>
      <c r="V271" s="88">
        <f>IF(OR(V$1="",$BE271=0),"",SUMIFS(Entries!$D$2:$D$5000,Entries!$C$2:$C$5000,"Actual",Entries!$A$2:$A$5000,$A271,Entries!$B$2:$B$5000,V$1))</f>
        <v/>
      </c>
      <c r="W271" s="88">
        <f>IF(OR(W$1="",$BE271=0),"",SUMIFS(Entries!$D$2:$D$5000,Entries!$C$2:$C$5000,"Actual",Entries!$A$2:$A$5000,$A271,Entries!$B$2:$B$5000,W$1))</f>
        <v/>
      </c>
      <c r="X271" s="88">
        <f>IF(OR(X$1="",$BE271=0),"",SUMIFS(Entries!$D$2:$D$5000,Entries!$C$2:$C$5000,"Actual",Entries!$A$2:$A$5000,$A271,Entries!$B$2:$B$5000,X$1))</f>
        <v/>
      </c>
      <c r="Y271" s="88">
        <f>IF(OR(Y$1="",$BE271=0),"",SUMIFS(Entries!$D$2:$D$5000,Entries!$C$2:$C$5000,"Actual",Entries!$A$2:$A$5000,$A271,Entries!$B$2:$B$5000,Y$1))</f>
        <v/>
      </c>
      <c r="Z271" s="88">
        <f>IF(OR(Z$1="",$BE271=0),"",SUMIFS(Entries!$D$2:$D$5000,Entries!$C$2:$C$5000,"Actual",Entries!$A$2:$A$5000,$A271,Entries!$B$2:$B$5000,Z$1))</f>
        <v/>
      </c>
      <c r="AA271" s="88">
        <f>IF(OR(AA$1="",$BE271=0),"",SUMIFS(Entries!$D$2:$D$5000,Entries!$C$2:$C$5000,"Actual",Entries!$A$2:$A$5000,$A271,Entries!$B$2:$B$5000,AA$1))</f>
        <v/>
      </c>
      <c r="AB271" s="88">
        <f>IF(OR(AB$1="",$BE271=0),"",SUMIFS(Entries!$D$2:$D$5000,Entries!$C$2:$C$5000,"Actual",Entries!$A$2:$A$5000,$A271,Entries!$B$2:$B$5000,AB$1))</f>
        <v/>
      </c>
      <c r="AC271" s="88">
        <f>IF(OR(AC$1="",$BE271=0),"",SUMIFS(Entries!$D$2:$D$5000,Entries!$C$2:$C$5000,"Actual",Entries!$A$2:$A$5000,$A271,Entries!$B$2:$B$5000,AC$1))</f>
        <v/>
      </c>
      <c r="AD271" s="88">
        <f>IF(OR(AD$1="",$BE271=0),"",SUMIFS(Entries!$D$2:$D$5000,Entries!$C$2:$C$5000,"Actual",Entries!$A$2:$A$5000,$A271,Entries!$B$2:$B$5000,AD$1))</f>
        <v/>
      </c>
      <c r="AE271" s="88">
        <f>IF(OR(AE$1="",$BE271=0),"",SUMIFS(Entries!$D$2:$D$5000,Entries!$C$2:$C$5000,"Actual",Entries!$A$2:$A$5000,$A271,Entries!$B$2:$B$5000,AE$1))</f>
        <v/>
      </c>
      <c r="AF271" s="88">
        <f>IF(OR(AF$1="",$BE271=0),"",SUMIFS(Entries!$D$2:$D$5000,Entries!$C$2:$C$5000,"Actual",Entries!$A$2:$A$5000,$A271,Entries!$B$2:$B$5000,AF$1))</f>
        <v/>
      </c>
      <c r="AG271" s="88">
        <f>IF(OR(AG$1="",$BE271=0),"",SUMIFS(Entries!$D$2:$D$5000,Entries!$C$2:$C$5000,"Actual",Entries!$A$2:$A$5000,$A271,Entries!$B$2:$B$5000,AG$1))</f>
        <v/>
      </c>
      <c r="AH271" s="88">
        <f>IF(OR(AH$1="",$BE271=0),"",SUMIFS(Entries!$D$2:$D$5000,Entries!$C$2:$C$5000,"Actual",Entries!$A$2:$A$5000,$A271,Entries!$B$2:$B$5000,AH$1))</f>
        <v/>
      </c>
      <c r="AJ271" s="88">
        <f>IF(OR(AJ$1="",$BE271=0),"",IFERROR(LOOKUP(2,1/((Budgets!$A$2:$A$200=AJ$1)*(Budgets!$B$2:$B$200&lt;=$A271)),Budgets!$C$2:$C$200),0))</f>
        <v/>
      </c>
      <c r="AK271" s="88">
        <f>IF(OR(AK$1="",$BE271=0),"",IFERROR(LOOKUP(2,1/((Budgets!$A$2:$A$200=AK$1)*(Budgets!$B$2:$B$200&lt;=$A271)),Budgets!$C$2:$C$200),0))</f>
        <v/>
      </c>
      <c r="AL271" s="88">
        <f>IF(OR(AL$1="",$BE271=0),"",IFERROR(LOOKUP(2,1/((Budgets!$A$2:$A$200=AL$1)*(Budgets!$B$2:$B$200&lt;=$A271)),Budgets!$C$2:$C$200),0))</f>
        <v/>
      </c>
      <c r="AM271" s="88">
        <f>IF(OR(AM$1="",$BE271=0),"",IFERROR(LOOKUP(2,1/((Budgets!$A$2:$A$200=AM$1)*(Budgets!$B$2:$B$200&lt;=$A271)),Budgets!$C$2:$C$200),0))</f>
        <v/>
      </c>
      <c r="AN271" s="88">
        <f>IF(OR(AN$1="",$BE271=0),"",IFERROR(LOOKUP(2,1/((Budgets!$A$2:$A$200=AN$1)*(Budgets!$B$2:$B$200&lt;=$A271)),Budgets!$C$2:$C$200),0))</f>
        <v/>
      </c>
      <c r="AO271" s="88">
        <f>IF(OR(AO$1="",$BE271=0),"",IFERROR(LOOKUP(2,1/((Budgets!$A$2:$A$200=AO$1)*(Budgets!$B$2:$B$200&lt;=$A271)),Budgets!$C$2:$C$200),0))</f>
        <v/>
      </c>
      <c r="AP271" s="88">
        <f>IF(OR(AP$1="",$BE271=0),"",IFERROR(LOOKUP(2,1/((Budgets!$A$2:$A$200=AP$1)*(Budgets!$B$2:$B$200&lt;=$A271)),Budgets!$C$2:$C$200),0))</f>
        <v/>
      </c>
      <c r="AQ271" s="88">
        <f>IF(OR(AQ$1="",$BE271=0),"",IFERROR(LOOKUP(2,1/((Budgets!$A$2:$A$200=AQ$1)*(Budgets!$B$2:$B$200&lt;=$A271)),Budgets!$C$2:$C$200),0))</f>
        <v/>
      </c>
      <c r="AR271" s="88">
        <f>IF(OR(AR$1="",$BE271=0),"",IFERROR(LOOKUP(2,1/((Budgets!$A$2:$A$200=AR$1)*(Budgets!$B$2:$B$200&lt;=$A271)),Budgets!$C$2:$C$200),0))</f>
        <v/>
      </c>
      <c r="AS271" s="88">
        <f>IF(OR(AS$1="",$BE271=0),"",IFERROR(LOOKUP(2,1/((Budgets!$A$2:$A$200=AS$1)*(Budgets!$B$2:$B$200&lt;=$A271)),Budgets!$C$2:$C$200),0))</f>
        <v/>
      </c>
      <c r="AT271" s="88">
        <f>IF(OR(AT$1="",$BE271=0),"",IFERROR(LOOKUP(2,1/((Budgets!$A$2:$A$200=AT$1)*(Budgets!$B$2:$B$200&lt;=$A271)),Budgets!$C$2:$C$200),0))</f>
        <v/>
      </c>
      <c r="AU271" s="88">
        <f>IF(OR(AU$1="",$BE271=0),"",IFERROR(LOOKUP(2,1/((Budgets!$A$2:$A$200=AU$1)*(Budgets!$B$2:$B$200&lt;=$A271)),Budgets!$C$2:$C$200),0))</f>
        <v/>
      </c>
      <c r="AV271" s="88">
        <f>IF(OR(AV$1="",$BE271=0),"",IFERROR(LOOKUP(2,1/((Budgets!$A$2:$A$200=AV$1)*(Budgets!$B$2:$B$200&lt;=$A271)),Budgets!$C$2:$C$200),0))</f>
        <v/>
      </c>
      <c r="AW271" s="88">
        <f>IF(OR(AW$1="",$BE271=0),"",IFERROR(LOOKUP(2,1/((Budgets!$A$2:$A$200=AW$1)*(Budgets!$B$2:$B$200&lt;=$A271)),Budgets!$C$2:$C$200),0))</f>
        <v/>
      </c>
      <c r="AX271" s="88">
        <f>IF(OR(AX$1="",$BE271=0),"",IFERROR(LOOKUP(2,1/((Budgets!$A$2:$A$200=AX$1)*(Budgets!$B$2:$B$200&lt;=$A271)),Budgets!$C$2:$C$200),0))</f>
        <v/>
      </c>
      <c r="AY271" s="88">
        <f>IF(OR(AY$1="",$BE271=0),"",IFERROR(LOOKUP(2,1/((Budgets!$A$2:$A$200=AY$1)*(Budgets!$B$2:$B$200&lt;=$A271)),Budgets!$C$2:$C$200),0))</f>
        <v/>
      </c>
      <c r="AZ271" s="88">
        <f>IF(OR(AZ$1="",$BE271=0),"",IFERROR(LOOKUP(2,1/((Budgets!$A$2:$A$200=AZ$1)*(Budgets!$B$2:$B$200&lt;=$A271)),Budgets!$C$2:$C$200),0))</f>
        <v/>
      </c>
      <c r="BA271" s="88">
        <f>IF(OR(BA$1="",$BE271=0),"",IFERROR(LOOKUP(2,1/((Budgets!$A$2:$A$200=BA$1)*(Budgets!$B$2:$B$200&lt;=$A271)),Budgets!$C$2:$C$200),0))</f>
        <v/>
      </c>
      <c r="BB271" s="88">
        <f>IF(OR(BB$1="",$BE271=0),"",IFERROR(LOOKUP(2,1/((Budgets!$A$2:$A$200=BB$1)*(Budgets!$B$2:$B$200&lt;=$A271)),Budgets!$C$2:$C$200),0))</f>
        <v/>
      </c>
      <c r="BC271" s="88">
        <f>IF(OR(BC$1="",$BE271=0),"",IFERROR(LOOKUP(2,1/((Budgets!$A$2:$A$200=BC$1)*(Budgets!$B$2:$B$200&lt;=$A271)),Budgets!$C$2:$C$200),0))</f>
        <v/>
      </c>
      <c r="BE271" s="67">
        <f>COUNTIFS(Entries!$A$2:$A$5000,$A271)</f>
        <v/>
      </c>
    </row>
    <row r="272" ht="15" customHeight="1" s="43">
      <c r="A272" s="87" t="n">
        <v>47665</v>
      </c>
      <c r="B272" s="88">
        <f>IF($BE272=0,NA(),SUMIFS(Entries!$D$2:$D$5000,Entries!$C$2:$C$5000,"Income",Entries!$A$2:$A$5000,$A272))</f>
        <v/>
      </c>
      <c r="C272" s="88">
        <f>IF($BE272=0,"",SUMIFS(Entries!$D$2:$D$5000,Entries!$C$2:$C$5000,"Actual",Entries!$A$2:$A$5000,$A272))</f>
        <v/>
      </c>
      <c r="D272" s="88">
        <f>IF($BE272=0,"",SUMIFS(Entries!$D$2:$D$5000,Entries!$C$2:$C$5000,"One-off",Entries!$A$2:$A$5000,$A272))</f>
        <v/>
      </c>
      <c r="E272" s="88">
        <f>IF($BE272=0,NA(),C272+D272)</f>
        <v/>
      </c>
      <c r="F272" s="88">
        <f>IF($BE272=0,"",SUM(AJ272:BC272))</f>
        <v/>
      </c>
      <c r="G272" s="88">
        <f>IF($BE272=0,"",B272-E272)</f>
        <v/>
      </c>
      <c r="H272" s="88">
        <f>IF($BE272=0,"",SUM($G$2:G272))</f>
        <v/>
      </c>
      <c r="I272" s="88">
        <f>IF($BE272=0,"",SUMIFS(Entries!$F$2:$F$5000,Entries!$A$2:$A$5000,$A272))</f>
        <v/>
      </c>
      <c r="J272" s="88">
        <f>IF($BE272=0,NA(),H272+SUM($I$2:I272))</f>
        <v/>
      </c>
      <c r="K272" s="88">
        <f>IF($BE272=0,"",SUMIFS(Entries!$D$2:$D$5000,Entries!$C$2:$C$5000,"Income",Entries!$A$2:$A$5000,"&gt;="&amp;EDATE($A272,-11),Entries!$A$2:$A$5000,"&lt;="&amp;$A272)/12)</f>
        <v/>
      </c>
      <c r="L272" s="88">
        <f>IF($BE272=0,"",(SUMIFS(Entries!$D$2:$D$5000,Entries!$C$2:$C$5000,"Actual",Entries!$A$2:$A$5000,"&gt;="&amp;EDATE($A272,-11),Entries!$A$2:$A$5000,"&lt;="&amp;$A272)+SUMIFS(Entries!$D$2:$D$5000,Entries!$C$2:$C$5000,"One-off",Entries!$A$2:$A$5000,"&gt;="&amp;EDATE($A272,-11),Entries!$A$2:$A$5000,"&lt;="&amp;$A272))/12)</f>
        <v/>
      </c>
      <c r="M272" s="71">
        <f>IF($BE272=0,NA(),IFERROR((K272-L272)/K272,0))</f>
        <v/>
      </c>
      <c r="O272" s="88">
        <f>IF(OR(O$1="",$BE272=0),"",SUMIFS(Entries!$D$2:$D$5000,Entries!$C$2:$C$5000,"Actual",Entries!$A$2:$A$5000,$A272,Entries!$B$2:$B$5000,O$1))</f>
        <v/>
      </c>
      <c r="P272" s="88">
        <f>IF(OR(P$1="",$BE272=0),"",SUMIFS(Entries!$D$2:$D$5000,Entries!$C$2:$C$5000,"Actual",Entries!$A$2:$A$5000,$A272,Entries!$B$2:$B$5000,P$1))</f>
        <v/>
      </c>
      <c r="Q272" s="88">
        <f>IF(OR(Q$1="",$BE272=0),"",SUMIFS(Entries!$D$2:$D$5000,Entries!$C$2:$C$5000,"Actual",Entries!$A$2:$A$5000,$A272,Entries!$B$2:$B$5000,Q$1))</f>
        <v/>
      </c>
      <c r="R272" s="88">
        <f>IF(OR(R$1="",$BE272=0),"",SUMIFS(Entries!$D$2:$D$5000,Entries!$C$2:$C$5000,"Actual",Entries!$A$2:$A$5000,$A272,Entries!$B$2:$B$5000,R$1))</f>
        <v/>
      </c>
      <c r="S272" s="88">
        <f>IF(OR(S$1="",$BE272=0),"",SUMIFS(Entries!$D$2:$D$5000,Entries!$C$2:$C$5000,"Actual",Entries!$A$2:$A$5000,$A272,Entries!$B$2:$B$5000,S$1))</f>
        <v/>
      </c>
      <c r="T272" s="88">
        <f>IF(OR(T$1="",$BE272=0),"",SUMIFS(Entries!$D$2:$D$5000,Entries!$C$2:$C$5000,"Actual",Entries!$A$2:$A$5000,$A272,Entries!$B$2:$B$5000,T$1))</f>
        <v/>
      </c>
      <c r="U272" s="88">
        <f>IF(OR(U$1="",$BE272=0),"",SUMIFS(Entries!$D$2:$D$5000,Entries!$C$2:$C$5000,"Actual",Entries!$A$2:$A$5000,$A272,Entries!$B$2:$B$5000,U$1))</f>
        <v/>
      </c>
      <c r="V272" s="88">
        <f>IF(OR(V$1="",$BE272=0),"",SUMIFS(Entries!$D$2:$D$5000,Entries!$C$2:$C$5000,"Actual",Entries!$A$2:$A$5000,$A272,Entries!$B$2:$B$5000,V$1))</f>
        <v/>
      </c>
      <c r="W272" s="88">
        <f>IF(OR(W$1="",$BE272=0),"",SUMIFS(Entries!$D$2:$D$5000,Entries!$C$2:$C$5000,"Actual",Entries!$A$2:$A$5000,$A272,Entries!$B$2:$B$5000,W$1))</f>
        <v/>
      </c>
      <c r="X272" s="88">
        <f>IF(OR(X$1="",$BE272=0),"",SUMIFS(Entries!$D$2:$D$5000,Entries!$C$2:$C$5000,"Actual",Entries!$A$2:$A$5000,$A272,Entries!$B$2:$B$5000,X$1))</f>
        <v/>
      </c>
      <c r="Y272" s="88">
        <f>IF(OR(Y$1="",$BE272=0),"",SUMIFS(Entries!$D$2:$D$5000,Entries!$C$2:$C$5000,"Actual",Entries!$A$2:$A$5000,$A272,Entries!$B$2:$B$5000,Y$1))</f>
        <v/>
      </c>
      <c r="Z272" s="88">
        <f>IF(OR(Z$1="",$BE272=0),"",SUMIFS(Entries!$D$2:$D$5000,Entries!$C$2:$C$5000,"Actual",Entries!$A$2:$A$5000,$A272,Entries!$B$2:$B$5000,Z$1))</f>
        <v/>
      </c>
      <c r="AA272" s="88">
        <f>IF(OR(AA$1="",$BE272=0),"",SUMIFS(Entries!$D$2:$D$5000,Entries!$C$2:$C$5000,"Actual",Entries!$A$2:$A$5000,$A272,Entries!$B$2:$B$5000,AA$1))</f>
        <v/>
      </c>
      <c r="AB272" s="88">
        <f>IF(OR(AB$1="",$BE272=0),"",SUMIFS(Entries!$D$2:$D$5000,Entries!$C$2:$C$5000,"Actual",Entries!$A$2:$A$5000,$A272,Entries!$B$2:$B$5000,AB$1))</f>
        <v/>
      </c>
      <c r="AC272" s="88">
        <f>IF(OR(AC$1="",$BE272=0),"",SUMIFS(Entries!$D$2:$D$5000,Entries!$C$2:$C$5000,"Actual",Entries!$A$2:$A$5000,$A272,Entries!$B$2:$B$5000,AC$1))</f>
        <v/>
      </c>
      <c r="AD272" s="88">
        <f>IF(OR(AD$1="",$BE272=0),"",SUMIFS(Entries!$D$2:$D$5000,Entries!$C$2:$C$5000,"Actual",Entries!$A$2:$A$5000,$A272,Entries!$B$2:$B$5000,AD$1))</f>
        <v/>
      </c>
      <c r="AE272" s="88">
        <f>IF(OR(AE$1="",$BE272=0),"",SUMIFS(Entries!$D$2:$D$5000,Entries!$C$2:$C$5000,"Actual",Entries!$A$2:$A$5000,$A272,Entries!$B$2:$B$5000,AE$1))</f>
        <v/>
      </c>
      <c r="AF272" s="88">
        <f>IF(OR(AF$1="",$BE272=0),"",SUMIFS(Entries!$D$2:$D$5000,Entries!$C$2:$C$5000,"Actual",Entries!$A$2:$A$5000,$A272,Entries!$B$2:$B$5000,AF$1))</f>
        <v/>
      </c>
      <c r="AG272" s="88">
        <f>IF(OR(AG$1="",$BE272=0),"",SUMIFS(Entries!$D$2:$D$5000,Entries!$C$2:$C$5000,"Actual",Entries!$A$2:$A$5000,$A272,Entries!$B$2:$B$5000,AG$1))</f>
        <v/>
      </c>
      <c r="AH272" s="88">
        <f>IF(OR(AH$1="",$BE272=0),"",SUMIFS(Entries!$D$2:$D$5000,Entries!$C$2:$C$5000,"Actual",Entries!$A$2:$A$5000,$A272,Entries!$B$2:$B$5000,AH$1))</f>
        <v/>
      </c>
      <c r="AJ272" s="88">
        <f>IF(OR(AJ$1="",$BE272=0),"",IFERROR(LOOKUP(2,1/((Budgets!$A$2:$A$200=AJ$1)*(Budgets!$B$2:$B$200&lt;=$A272)),Budgets!$C$2:$C$200),0))</f>
        <v/>
      </c>
      <c r="AK272" s="88">
        <f>IF(OR(AK$1="",$BE272=0),"",IFERROR(LOOKUP(2,1/((Budgets!$A$2:$A$200=AK$1)*(Budgets!$B$2:$B$200&lt;=$A272)),Budgets!$C$2:$C$200),0))</f>
        <v/>
      </c>
      <c r="AL272" s="88">
        <f>IF(OR(AL$1="",$BE272=0),"",IFERROR(LOOKUP(2,1/((Budgets!$A$2:$A$200=AL$1)*(Budgets!$B$2:$B$200&lt;=$A272)),Budgets!$C$2:$C$200),0))</f>
        <v/>
      </c>
      <c r="AM272" s="88">
        <f>IF(OR(AM$1="",$BE272=0),"",IFERROR(LOOKUP(2,1/((Budgets!$A$2:$A$200=AM$1)*(Budgets!$B$2:$B$200&lt;=$A272)),Budgets!$C$2:$C$200),0))</f>
        <v/>
      </c>
      <c r="AN272" s="88">
        <f>IF(OR(AN$1="",$BE272=0),"",IFERROR(LOOKUP(2,1/((Budgets!$A$2:$A$200=AN$1)*(Budgets!$B$2:$B$200&lt;=$A272)),Budgets!$C$2:$C$200),0))</f>
        <v/>
      </c>
      <c r="AO272" s="88">
        <f>IF(OR(AO$1="",$BE272=0),"",IFERROR(LOOKUP(2,1/((Budgets!$A$2:$A$200=AO$1)*(Budgets!$B$2:$B$200&lt;=$A272)),Budgets!$C$2:$C$200),0))</f>
        <v/>
      </c>
      <c r="AP272" s="88">
        <f>IF(OR(AP$1="",$BE272=0),"",IFERROR(LOOKUP(2,1/((Budgets!$A$2:$A$200=AP$1)*(Budgets!$B$2:$B$200&lt;=$A272)),Budgets!$C$2:$C$200),0))</f>
        <v/>
      </c>
      <c r="AQ272" s="88">
        <f>IF(OR(AQ$1="",$BE272=0),"",IFERROR(LOOKUP(2,1/((Budgets!$A$2:$A$200=AQ$1)*(Budgets!$B$2:$B$200&lt;=$A272)),Budgets!$C$2:$C$200),0))</f>
        <v/>
      </c>
      <c r="AR272" s="88">
        <f>IF(OR(AR$1="",$BE272=0),"",IFERROR(LOOKUP(2,1/((Budgets!$A$2:$A$200=AR$1)*(Budgets!$B$2:$B$200&lt;=$A272)),Budgets!$C$2:$C$200),0))</f>
        <v/>
      </c>
      <c r="AS272" s="88">
        <f>IF(OR(AS$1="",$BE272=0),"",IFERROR(LOOKUP(2,1/((Budgets!$A$2:$A$200=AS$1)*(Budgets!$B$2:$B$200&lt;=$A272)),Budgets!$C$2:$C$200),0))</f>
        <v/>
      </c>
      <c r="AT272" s="88">
        <f>IF(OR(AT$1="",$BE272=0),"",IFERROR(LOOKUP(2,1/((Budgets!$A$2:$A$200=AT$1)*(Budgets!$B$2:$B$200&lt;=$A272)),Budgets!$C$2:$C$200),0))</f>
        <v/>
      </c>
      <c r="AU272" s="88">
        <f>IF(OR(AU$1="",$BE272=0),"",IFERROR(LOOKUP(2,1/((Budgets!$A$2:$A$200=AU$1)*(Budgets!$B$2:$B$200&lt;=$A272)),Budgets!$C$2:$C$200),0))</f>
        <v/>
      </c>
      <c r="AV272" s="88">
        <f>IF(OR(AV$1="",$BE272=0),"",IFERROR(LOOKUP(2,1/((Budgets!$A$2:$A$200=AV$1)*(Budgets!$B$2:$B$200&lt;=$A272)),Budgets!$C$2:$C$200),0))</f>
        <v/>
      </c>
      <c r="AW272" s="88">
        <f>IF(OR(AW$1="",$BE272=0),"",IFERROR(LOOKUP(2,1/((Budgets!$A$2:$A$200=AW$1)*(Budgets!$B$2:$B$200&lt;=$A272)),Budgets!$C$2:$C$200),0))</f>
        <v/>
      </c>
      <c r="AX272" s="88">
        <f>IF(OR(AX$1="",$BE272=0),"",IFERROR(LOOKUP(2,1/((Budgets!$A$2:$A$200=AX$1)*(Budgets!$B$2:$B$200&lt;=$A272)),Budgets!$C$2:$C$200),0))</f>
        <v/>
      </c>
      <c r="AY272" s="88">
        <f>IF(OR(AY$1="",$BE272=0),"",IFERROR(LOOKUP(2,1/((Budgets!$A$2:$A$200=AY$1)*(Budgets!$B$2:$B$200&lt;=$A272)),Budgets!$C$2:$C$200),0))</f>
        <v/>
      </c>
      <c r="AZ272" s="88">
        <f>IF(OR(AZ$1="",$BE272=0),"",IFERROR(LOOKUP(2,1/((Budgets!$A$2:$A$200=AZ$1)*(Budgets!$B$2:$B$200&lt;=$A272)),Budgets!$C$2:$C$200),0))</f>
        <v/>
      </c>
      <c r="BA272" s="88">
        <f>IF(OR(BA$1="",$BE272=0),"",IFERROR(LOOKUP(2,1/((Budgets!$A$2:$A$200=BA$1)*(Budgets!$B$2:$B$200&lt;=$A272)),Budgets!$C$2:$C$200),0))</f>
        <v/>
      </c>
      <c r="BB272" s="88">
        <f>IF(OR(BB$1="",$BE272=0),"",IFERROR(LOOKUP(2,1/((Budgets!$A$2:$A$200=BB$1)*(Budgets!$B$2:$B$200&lt;=$A272)),Budgets!$C$2:$C$200),0))</f>
        <v/>
      </c>
      <c r="BC272" s="88">
        <f>IF(OR(BC$1="",$BE272=0),"",IFERROR(LOOKUP(2,1/((Budgets!$A$2:$A$200=BC$1)*(Budgets!$B$2:$B$200&lt;=$A272)),Budgets!$C$2:$C$200),0))</f>
        <v/>
      </c>
      <c r="BE272" s="67">
        <f>COUNTIFS(Entries!$A$2:$A$5000,$A272)</f>
        <v/>
      </c>
    </row>
    <row r="273" ht="15" customHeight="1" s="43">
      <c r="A273" s="87" t="n">
        <v>47696</v>
      </c>
      <c r="B273" s="88">
        <f>IF($BE273=0,NA(),SUMIFS(Entries!$D$2:$D$5000,Entries!$C$2:$C$5000,"Income",Entries!$A$2:$A$5000,$A273))</f>
        <v/>
      </c>
      <c r="C273" s="88">
        <f>IF($BE273=0,"",SUMIFS(Entries!$D$2:$D$5000,Entries!$C$2:$C$5000,"Actual",Entries!$A$2:$A$5000,$A273))</f>
        <v/>
      </c>
      <c r="D273" s="88">
        <f>IF($BE273=0,"",SUMIFS(Entries!$D$2:$D$5000,Entries!$C$2:$C$5000,"One-off",Entries!$A$2:$A$5000,$A273))</f>
        <v/>
      </c>
      <c r="E273" s="88">
        <f>IF($BE273=0,NA(),C273+D273)</f>
        <v/>
      </c>
      <c r="F273" s="88">
        <f>IF($BE273=0,"",SUM(AJ273:BC273))</f>
        <v/>
      </c>
      <c r="G273" s="88">
        <f>IF($BE273=0,"",B273-E273)</f>
        <v/>
      </c>
      <c r="H273" s="88">
        <f>IF($BE273=0,"",SUM($G$2:G273))</f>
        <v/>
      </c>
      <c r="I273" s="88">
        <f>IF($BE273=0,"",SUMIFS(Entries!$F$2:$F$5000,Entries!$A$2:$A$5000,$A273))</f>
        <v/>
      </c>
      <c r="J273" s="88">
        <f>IF($BE273=0,NA(),H273+SUM($I$2:I273))</f>
        <v/>
      </c>
      <c r="K273" s="88">
        <f>IF($BE273=0,"",SUMIFS(Entries!$D$2:$D$5000,Entries!$C$2:$C$5000,"Income",Entries!$A$2:$A$5000,"&gt;="&amp;EDATE($A273,-11),Entries!$A$2:$A$5000,"&lt;="&amp;$A273)/12)</f>
        <v/>
      </c>
      <c r="L273" s="88">
        <f>IF($BE273=0,"",(SUMIFS(Entries!$D$2:$D$5000,Entries!$C$2:$C$5000,"Actual",Entries!$A$2:$A$5000,"&gt;="&amp;EDATE($A273,-11),Entries!$A$2:$A$5000,"&lt;="&amp;$A273)+SUMIFS(Entries!$D$2:$D$5000,Entries!$C$2:$C$5000,"One-off",Entries!$A$2:$A$5000,"&gt;="&amp;EDATE($A273,-11),Entries!$A$2:$A$5000,"&lt;="&amp;$A273))/12)</f>
        <v/>
      </c>
      <c r="M273" s="71">
        <f>IF($BE273=0,NA(),IFERROR((K273-L273)/K273,0))</f>
        <v/>
      </c>
      <c r="O273" s="88">
        <f>IF(OR(O$1="",$BE273=0),"",SUMIFS(Entries!$D$2:$D$5000,Entries!$C$2:$C$5000,"Actual",Entries!$A$2:$A$5000,$A273,Entries!$B$2:$B$5000,O$1))</f>
        <v/>
      </c>
      <c r="P273" s="88">
        <f>IF(OR(P$1="",$BE273=0),"",SUMIFS(Entries!$D$2:$D$5000,Entries!$C$2:$C$5000,"Actual",Entries!$A$2:$A$5000,$A273,Entries!$B$2:$B$5000,P$1))</f>
        <v/>
      </c>
      <c r="Q273" s="88">
        <f>IF(OR(Q$1="",$BE273=0),"",SUMIFS(Entries!$D$2:$D$5000,Entries!$C$2:$C$5000,"Actual",Entries!$A$2:$A$5000,$A273,Entries!$B$2:$B$5000,Q$1))</f>
        <v/>
      </c>
      <c r="R273" s="88">
        <f>IF(OR(R$1="",$BE273=0),"",SUMIFS(Entries!$D$2:$D$5000,Entries!$C$2:$C$5000,"Actual",Entries!$A$2:$A$5000,$A273,Entries!$B$2:$B$5000,R$1))</f>
        <v/>
      </c>
      <c r="S273" s="88">
        <f>IF(OR(S$1="",$BE273=0),"",SUMIFS(Entries!$D$2:$D$5000,Entries!$C$2:$C$5000,"Actual",Entries!$A$2:$A$5000,$A273,Entries!$B$2:$B$5000,S$1))</f>
        <v/>
      </c>
      <c r="T273" s="88">
        <f>IF(OR(T$1="",$BE273=0),"",SUMIFS(Entries!$D$2:$D$5000,Entries!$C$2:$C$5000,"Actual",Entries!$A$2:$A$5000,$A273,Entries!$B$2:$B$5000,T$1))</f>
        <v/>
      </c>
      <c r="U273" s="88">
        <f>IF(OR(U$1="",$BE273=0),"",SUMIFS(Entries!$D$2:$D$5000,Entries!$C$2:$C$5000,"Actual",Entries!$A$2:$A$5000,$A273,Entries!$B$2:$B$5000,U$1))</f>
        <v/>
      </c>
      <c r="V273" s="88">
        <f>IF(OR(V$1="",$BE273=0),"",SUMIFS(Entries!$D$2:$D$5000,Entries!$C$2:$C$5000,"Actual",Entries!$A$2:$A$5000,$A273,Entries!$B$2:$B$5000,V$1))</f>
        <v/>
      </c>
      <c r="W273" s="88">
        <f>IF(OR(W$1="",$BE273=0),"",SUMIFS(Entries!$D$2:$D$5000,Entries!$C$2:$C$5000,"Actual",Entries!$A$2:$A$5000,$A273,Entries!$B$2:$B$5000,W$1))</f>
        <v/>
      </c>
      <c r="X273" s="88">
        <f>IF(OR(X$1="",$BE273=0),"",SUMIFS(Entries!$D$2:$D$5000,Entries!$C$2:$C$5000,"Actual",Entries!$A$2:$A$5000,$A273,Entries!$B$2:$B$5000,X$1))</f>
        <v/>
      </c>
      <c r="Y273" s="88">
        <f>IF(OR(Y$1="",$BE273=0),"",SUMIFS(Entries!$D$2:$D$5000,Entries!$C$2:$C$5000,"Actual",Entries!$A$2:$A$5000,$A273,Entries!$B$2:$B$5000,Y$1))</f>
        <v/>
      </c>
      <c r="Z273" s="88">
        <f>IF(OR(Z$1="",$BE273=0),"",SUMIFS(Entries!$D$2:$D$5000,Entries!$C$2:$C$5000,"Actual",Entries!$A$2:$A$5000,$A273,Entries!$B$2:$B$5000,Z$1))</f>
        <v/>
      </c>
      <c r="AA273" s="88">
        <f>IF(OR(AA$1="",$BE273=0),"",SUMIFS(Entries!$D$2:$D$5000,Entries!$C$2:$C$5000,"Actual",Entries!$A$2:$A$5000,$A273,Entries!$B$2:$B$5000,AA$1))</f>
        <v/>
      </c>
      <c r="AB273" s="88">
        <f>IF(OR(AB$1="",$BE273=0),"",SUMIFS(Entries!$D$2:$D$5000,Entries!$C$2:$C$5000,"Actual",Entries!$A$2:$A$5000,$A273,Entries!$B$2:$B$5000,AB$1))</f>
        <v/>
      </c>
      <c r="AC273" s="88">
        <f>IF(OR(AC$1="",$BE273=0),"",SUMIFS(Entries!$D$2:$D$5000,Entries!$C$2:$C$5000,"Actual",Entries!$A$2:$A$5000,$A273,Entries!$B$2:$B$5000,AC$1))</f>
        <v/>
      </c>
      <c r="AD273" s="88">
        <f>IF(OR(AD$1="",$BE273=0),"",SUMIFS(Entries!$D$2:$D$5000,Entries!$C$2:$C$5000,"Actual",Entries!$A$2:$A$5000,$A273,Entries!$B$2:$B$5000,AD$1))</f>
        <v/>
      </c>
      <c r="AE273" s="88">
        <f>IF(OR(AE$1="",$BE273=0),"",SUMIFS(Entries!$D$2:$D$5000,Entries!$C$2:$C$5000,"Actual",Entries!$A$2:$A$5000,$A273,Entries!$B$2:$B$5000,AE$1))</f>
        <v/>
      </c>
      <c r="AF273" s="88">
        <f>IF(OR(AF$1="",$BE273=0),"",SUMIFS(Entries!$D$2:$D$5000,Entries!$C$2:$C$5000,"Actual",Entries!$A$2:$A$5000,$A273,Entries!$B$2:$B$5000,AF$1))</f>
        <v/>
      </c>
      <c r="AG273" s="88">
        <f>IF(OR(AG$1="",$BE273=0),"",SUMIFS(Entries!$D$2:$D$5000,Entries!$C$2:$C$5000,"Actual",Entries!$A$2:$A$5000,$A273,Entries!$B$2:$B$5000,AG$1))</f>
        <v/>
      </c>
      <c r="AH273" s="88">
        <f>IF(OR(AH$1="",$BE273=0),"",SUMIFS(Entries!$D$2:$D$5000,Entries!$C$2:$C$5000,"Actual",Entries!$A$2:$A$5000,$A273,Entries!$B$2:$B$5000,AH$1))</f>
        <v/>
      </c>
      <c r="AJ273" s="88">
        <f>IF(OR(AJ$1="",$BE273=0),"",IFERROR(LOOKUP(2,1/((Budgets!$A$2:$A$200=AJ$1)*(Budgets!$B$2:$B$200&lt;=$A273)),Budgets!$C$2:$C$200),0))</f>
        <v/>
      </c>
      <c r="AK273" s="88">
        <f>IF(OR(AK$1="",$BE273=0),"",IFERROR(LOOKUP(2,1/((Budgets!$A$2:$A$200=AK$1)*(Budgets!$B$2:$B$200&lt;=$A273)),Budgets!$C$2:$C$200),0))</f>
        <v/>
      </c>
      <c r="AL273" s="88">
        <f>IF(OR(AL$1="",$BE273=0),"",IFERROR(LOOKUP(2,1/((Budgets!$A$2:$A$200=AL$1)*(Budgets!$B$2:$B$200&lt;=$A273)),Budgets!$C$2:$C$200),0))</f>
        <v/>
      </c>
      <c r="AM273" s="88">
        <f>IF(OR(AM$1="",$BE273=0),"",IFERROR(LOOKUP(2,1/((Budgets!$A$2:$A$200=AM$1)*(Budgets!$B$2:$B$200&lt;=$A273)),Budgets!$C$2:$C$200),0))</f>
        <v/>
      </c>
      <c r="AN273" s="88">
        <f>IF(OR(AN$1="",$BE273=0),"",IFERROR(LOOKUP(2,1/((Budgets!$A$2:$A$200=AN$1)*(Budgets!$B$2:$B$200&lt;=$A273)),Budgets!$C$2:$C$200),0))</f>
        <v/>
      </c>
      <c r="AO273" s="88">
        <f>IF(OR(AO$1="",$BE273=0),"",IFERROR(LOOKUP(2,1/((Budgets!$A$2:$A$200=AO$1)*(Budgets!$B$2:$B$200&lt;=$A273)),Budgets!$C$2:$C$200),0))</f>
        <v/>
      </c>
      <c r="AP273" s="88">
        <f>IF(OR(AP$1="",$BE273=0),"",IFERROR(LOOKUP(2,1/((Budgets!$A$2:$A$200=AP$1)*(Budgets!$B$2:$B$200&lt;=$A273)),Budgets!$C$2:$C$200),0))</f>
        <v/>
      </c>
      <c r="AQ273" s="88">
        <f>IF(OR(AQ$1="",$BE273=0),"",IFERROR(LOOKUP(2,1/((Budgets!$A$2:$A$200=AQ$1)*(Budgets!$B$2:$B$200&lt;=$A273)),Budgets!$C$2:$C$200),0))</f>
        <v/>
      </c>
      <c r="AR273" s="88">
        <f>IF(OR(AR$1="",$BE273=0),"",IFERROR(LOOKUP(2,1/((Budgets!$A$2:$A$200=AR$1)*(Budgets!$B$2:$B$200&lt;=$A273)),Budgets!$C$2:$C$200),0))</f>
        <v/>
      </c>
      <c r="AS273" s="88">
        <f>IF(OR(AS$1="",$BE273=0),"",IFERROR(LOOKUP(2,1/((Budgets!$A$2:$A$200=AS$1)*(Budgets!$B$2:$B$200&lt;=$A273)),Budgets!$C$2:$C$200),0))</f>
        <v/>
      </c>
      <c r="AT273" s="88">
        <f>IF(OR(AT$1="",$BE273=0),"",IFERROR(LOOKUP(2,1/((Budgets!$A$2:$A$200=AT$1)*(Budgets!$B$2:$B$200&lt;=$A273)),Budgets!$C$2:$C$200),0))</f>
        <v/>
      </c>
      <c r="AU273" s="88">
        <f>IF(OR(AU$1="",$BE273=0),"",IFERROR(LOOKUP(2,1/((Budgets!$A$2:$A$200=AU$1)*(Budgets!$B$2:$B$200&lt;=$A273)),Budgets!$C$2:$C$200),0))</f>
        <v/>
      </c>
      <c r="AV273" s="88">
        <f>IF(OR(AV$1="",$BE273=0),"",IFERROR(LOOKUP(2,1/((Budgets!$A$2:$A$200=AV$1)*(Budgets!$B$2:$B$200&lt;=$A273)),Budgets!$C$2:$C$200),0))</f>
        <v/>
      </c>
      <c r="AW273" s="88">
        <f>IF(OR(AW$1="",$BE273=0),"",IFERROR(LOOKUP(2,1/((Budgets!$A$2:$A$200=AW$1)*(Budgets!$B$2:$B$200&lt;=$A273)),Budgets!$C$2:$C$200),0))</f>
        <v/>
      </c>
      <c r="AX273" s="88">
        <f>IF(OR(AX$1="",$BE273=0),"",IFERROR(LOOKUP(2,1/((Budgets!$A$2:$A$200=AX$1)*(Budgets!$B$2:$B$200&lt;=$A273)),Budgets!$C$2:$C$200),0))</f>
        <v/>
      </c>
      <c r="AY273" s="88">
        <f>IF(OR(AY$1="",$BE273=0),"",IFERROR(LOOKUP(2,1/((Budgets!$A$2:$A$200=AY$1)*(Budgets!$B$2:$B$200&lt;=$A273)),Budgets!$C$2:$C$200),0))</f>
        <v/>
      </c>
      <c r="AZ273" s="88">
        <f>IF(OR(AZ$1="",$BE273=0),"",IFERROR(LOOKUP(2,1/((Budgets!$A$2:$A$200=AZ$1)*(Budgets!$B$2:$B$200&lt;=$A273)),Budgets!$C$2:$C$200),0))</f>
        <v/>
      </c>
      <c r="BA273" s="88">
        <f>IF(OR(BA$1="",$BE273=0),"",IFERROR(LOOKUP(2,1/((Budgets!$A$2:$A$200=BA$1)*(Budgets!$B$2:$B$200&lt;=$A273)),Budgets!$C$2:$C$200),0))</f>
        <v/>
      </c>
      <c r="BB273" s="88">
        <f>IF(OR(BB$1="",$BE273=0),"",IFERROR(LOOKUP(2,1/((Budgets!$A$2:$A$200=BB$1)*(Budgets!$B$2:$B$200&lt;=$A273)),Budgets!$C$2:$C$200),0))</f>
        <v/>
      </c>
      <c r="BC273" s="88">
        <f>IF(OR(BC$1="",$BE273=0),"",IFERROR(LOOKUP(2,1/((Budgets!$A$2:$A$200=BC$1)*(Budgets!$B$2:$B$200&lt;=$A273)),Budgets!$C$2:$C$200),0))</f>
        <v/>
      </c>
      <c r="BE273" s="67">
        <f>COUNTIFS(Entries!$A$2:$A$5000,$A273)</f>
        <v/>
      </c>
    </row>
    <row r="274" ht="15" customHeight="1" s="43">
      <c r="A274" s="87" t="n">
        <v>47727</v>
      </c>
      <c r="B274" s="88">
        <f>IF($BE274=0,NA(),SUMIFS(Entries!$D$2:$D$5000,Entries!$C$2:$C$5000,"Income",Entries!$A$2:$A$5000,$A274))</f>
        <v/>
      </c>
      <c r="C274" s="88">
        <f>IF($BE274=0,"",SUMIFS(Entries!$D$2:$D$5000,Entries!$C$2:$C$5000,"Actual",Entries!$A$2:$A$5000,$A274))</f>
        <v/>
      </c>
      <c r="D274" s="88">
        <f>IF($BE274=0,"",SUMIFS(Entries!$D$2:$D$5000,Entries!$C$2:$C$5000,"One-off",Entries!$A$2:$A$5000,$A274))</f>
        <v/>
      </c>
      <c r="E274" s="88">
        <f>IF($BE274=0,NA(),C274+D274)</f>
        <v/>
      </c>
      <c r="F274" s="88">
        <f>IF($BE274=0,"",SUM(AJ274:BC274))</f>
        <v/>
      </c>
      <c r="G274" s="88">
        <f>IF($BE274=0,"",B274-E274)</f>
        <v/>
      </c>
      <c r="H274" s="88">
        <f>IF($BE274=0,"",SUM($G$2:G274))</f>
        <v/>
      </c>
      <c r="I274" s="88">
        <f>IF($BE274=0,"",SUMIFS(Entries!$F$2:$F$5000,Entries!$A$2:$A$5000,$A274))</f>
        <v/>
      </c>
      <c r="J274" s="88">
        <f>IF($BE274=0,NA(),H274+SUM($I$2:I274))</f>
        <v/>
      </c>
      <c r="K274" s="88">
        <f>IF($BE274=0,"",SUMIFS(Entries!$D$2:$D$5000,Entries!$C$2:$C$5000,"Income",Entries!$A$2:$A$5000,"&gt;="&amp;EDATE($A274,-11),Entries!$A$2:$A$5000,"&lt;="&amp;$A274)/12)</f>
        <v/>
      </c>
      <c r="L274" s="88">
        <f>IF($BE274=0,"",(SUMIFS(Entries!$D$2:$D$5000,Entries!$C$2:$C$5000,"Actual",Entries!$A$2:$A$5000,"&gt;="&amp;EDATE($A274,-11),Entries!$A$2:$A$5000,"&lt;="&amp;$A274)+SUMIFS(Entries!$D$2:$D$5000,Entries!$C$2:$C$5000,"One-off",Entries!$A$2:$A$5000,"&gt;="&amp;EDATE($A274,-11),Entries!$A$2:$A$5000,"&lt;="&amp;$A274))/12)</f>
        <v/>
      </c>
      <c r="M274" s="71">
        <f>IF($BE274=0,NA(),IFERROR((K274-L274)/K274,0))</f>
        <v/>
      </c>
      <c r="O274" s="88">
        <f>IF(OR(O$1="",$BE274=0),"",SUMIFS(Entries!$D$2:$D$5000,Entries!$C$2:$C$5000,"Actual",Entries!$A$2:$A$5000,$A274,Entries!$B$2:$B$5000,O$1))</f>
        <v/>
      </c>
      <c r="P274" s="88">
        <f>IF(OR(P$1="",$BE274=0),"",SUMIFS(Entries!$D$2:$D$5000,Entries!$C$2:$C$5000,"Actual",Entries!$A$2:$A$5000,$A274,Entries!$B$2:$B$5000,P$1))</f>
        <v/>
      </c>
      <c r="Q274" s="88">
        <f>IF(OR(Q$1="",$BE274=0),"",SUMIFS(Entries!$D$2:$D$5000,Entries!$C$2:$C$5000,"Actual",Entries!$A$2:$A$5000,$A274,Entries!$B$2:$B$5000,Q$1))</f>
        <v/>
      </c>
      <c r="R274" s="88">
        <f>IF(OR(R$1="",$BE274=0),"",SUMIFS(Entries!$D$2:$D$5000,Entries!$C$2:$C$5000,"Actual",Entries!$A$2:$A$5000,$A274,Entries!$B$2:$B$5000,R$1))</f>
        <v/>
      </c>
      <c r="S274" s="88">
        <f>IF(OR(S$1="",$BE274=0),"",SUMIFS(Entries!$D$2:$D$5000,Entries!$C$2:$C$5000,"Actual",Entries!$A$2:$A$5000,$A274,Entries!$B$2:$B$5000,S$1))</f>
        <v/>
      </c>
      <c r="T274" s="88">
        <f>IF(OR(T$1="",$BE274=0),"",SUMIFS(Entries!$D$2:$D$5000,Entries!$C$2:$C$5000,"Actual",Entries!$A$2:$A$5000,$A274,Entries!$B$2:$B$5000,T$1))</f>
        <v/>
      </c>
      <c r="U274" s="88">
        <f>IF(OR(U$1="",$BE274=0),"",SUMIFS(Entries!$D$2:$D$5000,Entries!$C$2:$C$5000,"Actual",Entries!$A$2:$A$5000,$A274,Entries!$B$2:$B$5000,U$1))</f>
        <v/>
      </c>
      <c r="V274" s="88">
        <f>IF(OR(V$1="",$BE274=0),"",SUMIFS(Entries!$D$2:$D$5000,Entries!$C$2:$C$5000,"Actual",Entries!$A$2:$A$5000,$A274,Entries!$B$2:$B$5000,V$1))</f>
        <v/>
      </c>
      <c r="W274" s="88">
        <f>IF(OR(W$1="",$BE274=0),"",SUMIFS(Entries!$D$2:$D$5000,Entries!$C$2:$C$5000,"Actual",Entries!$A$2:$A$5000,$A274,Entries!$B$2:$B$5000,W$1))</f>
        <v/>
      </c>
      <c r="X274" s="88">
        <f>IF(OR(X$1="",$BE274=0),"",SUMIFS(Entries!$D$2:$D$5000,Entries!$C$2:$C$5000,"Actual",Entries!$A$2:$A$5000,$A274,Entries!$B$2:$B$5000,X$1))</f>
        <v/>
      </c>
      <c r="Y274" s="88">
        <f>IF(OR(Y$1="",$BE274=0),"",SUMIFS(Entries!$D$2:$D$5000,Entries!$C$2:$C$5000,"Actual",Entries!$A$2:$A$5000,$A274,Entries!$B$2:$B$5000,Y$1))</f>
        <v/>
      </c>
      <c r="Z274" s="88">
        <f>IF(OR(Z$1="",$BE274=0),"",SUMIFS(Entries!$D$2:$D$5000,Entries!$C$2:$C$5000,"Actual",Entries!$A$2:$A$5000,$A274,Entries!$B$2:$B$5000,Z$1))</f>
        <v/>
      </c>
      <c r="AA274" s="88">
        <f>IF(OR(AA$1="",$BE274=0),"",SUMIFS(Entries!$D$2:$D$5000,Entries!$C$2:$C$5000,"Actual",Entries!$A$2:$A$5000,$A274,Entries!$B$2:$B$5000,AA$1))</f>
        <v/>
      </c>
      <c r="AB274" s="88">
        <f>IF(OR(AB$1="",$BE274=0),"",SUMIFS(Entries!$D$2:$D$5000,Entries!$C$2:$C$5000,"Actual",Entries!$A$2:$A$5000,$A274,Entries!$B$2:$B$5000,AB$1))</f>
        <v/>
      </c>
      <c r="AC274" s="88">
        <f>IF(OR(AC$1="",$BE274=0),"",SUMIFS(Entries!$D$2:$D$5000,Entries!$C$2:$C$5000,"Actual",Entries!$A$2:$A$5000,$A274,Entries!$B$2:$B$5000,AC$1))</f>
        <v/>
      </c>
      <c r="AD274" s="88">
        <f>IF(OR(AD$1="",$BE274=0),"",SUMIFS(Entries!$D$2:$D$5000,Entries!$C$2:$C$5000,"Actual",Entries!$A$2:$A$5000,$A274,Entries!$B$2:$B$5000,AD$1))</f>
        <v/>
      </c>
      <c r="AE274" s="88">
        <f>IF(OR(AE$1="",$BE274=0),"",SUMIFS(Entries!$D$2:$D$5000,Entries!$C$2:$C$5000,"Actual",Entries!$A$2:$A$5000,$A274,Entries!$B$2:$B$5000,AE$1))</f>
        <v/>
      </c>
      <c r="AF274" s="88">
        <f>IF(OR(AF$1="",$BE274=0),"",SUMIFS(Entries!$D$2:$D$5000,Entries!$C$2:$C$5000,"Actual",Entries!$A$2:$A$5000,$A274,Entries!$B$2:$B$5000,AF$1))</f>
        <v/>
      </c>
      <c r="AG274" s="88">
        <f>IF(OR(AG$1="",$BE274=0),"",SUMIFS(Entries!$D$2:$D$5000,Entries!$C$2:$C$5000,"Actual",Entries!$A$2:$A$5000,$A274,Entries!$B$2:$B$5000,AG$1))</f>
        <v/>
      </c>
      <c r="AH274" s="88">
        <f>IF(OR(AH$1="",$BE274=0),"",SUMIFS(Entries!$D$2:$D$5000,Entries!$C$2:$C$5000,"Actual",Entries!$A$2:$A$5000,$A274,Entries!$B$2:$B$5000,AH$1))</f>
        <v/>
      </c>
      <c r="AJ274" s="88">
        <f>IF(OR(AJ$1="",$BE274=0),"",IFERROR(LOOKUP(2,1/((Budgets!$A$2:$A$200=AJ$1)*(Budgets!$B$2:$B$200&lt;=$A274)),Budgets!$C$2:$C$200),0))</f>
        <v/>
      </c>
      <c r="AK274" s="88">
        <f>IF(OR(AK$1="",$BE274=0),"",IFERROR(LOOKUP(2,1/((Budgets!$A$2:$A$200=AK$1)*(Budgets!$B$2:$B$200&lt;=$A274)),Budgets!$C$2:$C$200),0))</f>
        <v/>
      </c>
      <c r="AL274" s="88">
        <f>IF(OR(AL$1="",$BE274=0),"",IFERROR(LOOKUP(2,1/((Budgets!$A$2:$A$200=AL$1)*(Budgets!$B$2:$B$200&lt;=$A274)),Budgets!$C$2:$C$200),0))</f>
        <v/>
      </c>
      <c r="AM274" s="88">
        <f>IF(OR(AM$1="",$BE274=0),"",IFERROR(LOOKUP(2,1/((Budgets!$A$2:$A$200=AM$1)*(Budgets!$B$2:$B$200&lt;=$A274)),Budgets!$C$2:$C$200),0))</f>
        <v/>
      </c>
      <c r="AN274" s="88">
        <f>IF(OR(AN$1="",$BE274=0),"",IFERROR(LOOKUP(2,1/((Budgets!$A$2:$A$200=AN$1)*(Budgets!$B$2:$B$200&lt;=$A274)),Budgets!$C$2:$C$200),0))</f>
        <v/>
      </c>
      <c r="AO274" s="88">
        <f>IF(OR(AO$1="",$BE274=0),"",IFERROR(LOOKUP(2,1/((Budgets!$A$2:$A$200=AO$1)*(Budgets!$B$2:$B$200&lt;=$A274)),Budgets!$C$2:$C$200),0))</f>
        <v/>
      </c>
      <c r="AP274" s="88">
        <f>IF(OR(AP$1="",$BE274=0),"",IFERROR(LOOKUP(2,1/((Budgets!$A$2:$A$200=AP$1)*(Budgets!$B$2:$B$200&lt;=$A274)),Budgets!$C$2:$C$200),0))</f>
        <v/>
      </c>
      <c r="AQ274" s="88">
        <f>IF(OR(AQ$1="",$BE274=0),"",IFERROR(LOOKUP(2,1/((Budgets!$A$2:$A$200=AQ$1)*(Budgets!$B$2:$B$200&lt;=$A274)),Budgets!$C$2:$C$200),0))</f>
        <v/>
      </c>
      <c r="AR274" s="88">
        <f>IF(OR(AR$1="",$BE274=0),"",IFERROR(LOOKUP(2,1/((Budgets!$A$2:$A$200=AR$1)*(Budgets!$B$2:$B$200&lt;=$A274)),Budgets!$C$2:$C$200),0))</f>
        <v/>
      </c>
      <c r="AS274" s="88">
        <f>IF(OR(AS$1="",$BE274=0),"",IFERROR(LOOKUP(2,1/((Budgets!$A$2:$A$200=AS$1)*(Budgets!$B$2:$B$200&lt;=$A274)),Budgets!$C$2:$C$200),0))</f>
        <v/>
      </c>
      <c r="AT274" s="88">
        <f>IF(OR(AT$1="",$BE274=0),"",IFERROR(LOOKUP(2,1/((Budgets!$A$2:$A$200=AT$1)*(Budgets!$B$2:$B$200&lt;=$A274)),Budgets!$C$2:$C$200),0))</f>
        <v/>
      </c>
      <c r="AU274" s="88">
        <f>IF(OR(AU$1="",$BE274=0),"",IFERROR(LOOKUP(2,1/((Budgets!$A$2:$A$200=AU$1)*(Budgets!$B$2:$B$200&lt;=$A274)),Budgets!$C$2:$C$200),0))</f>
        <v/>
      </c>
      <c r="AV274" s="88">
        <f>IF(OR(AV$1="",$BE274=0),"",IFERROR(LOOKUP(2,1/((Budgets!$A$2:$A$200=AV$1)*(Budgets!$B$2:$B$200&lt;=$A274)),Budgets!$C$2:$C$200),0))</f>
        <v/>
      </c>
      <c r="AW274" s="88">
        <f>IF(OR(AW$1="",$BE274=0),"",IFERROR(LOOKUP(2,1/((Budgets!$A$2:$A$200=AW$1)*(Budgets!$B$2:$B$200&lt;=$A274)),Budgets!$C$2:$C$200),0))</f>
        <v/>
      </c>
      <c r="AX274" s="88">
        <f>IF(OR(AX$1="",$BE274=0),"",IFERROR(LOOKUP(2,1/((Budgets!$A$2:$A$200=AX$1)*(Budgets!$B$2:$B$200&lt;=$A274)),Budgets!$C$2:$C$200),0))</f>
        <v/>
      </c>
      <c r="AY274" s="88">
        <f>IF(OR(AY$1="",$BE274=0),"",IFERROR(LOOKUP(2,1/((Budgets!$A$2:$A$200=AY$1)*(Budgets!$B$2:$B$200&lt;=$A274)),Budgets!$C$2:$C$200),0))</f>
        <v/>
      </c>
      <c r="AZ274" s="88">
        <f>IF(OR(AZ$1="",$BE274=0),"",IFERROR(LOOKUP(2,1/((Budgets!$A$2:$A$200=AZ$1)*(Budgets!$B$2:$B$200&lt;=$A274)),Budgets!$C$2:$C$200),0))</f>
        <v/>
      </c>
      <c r="BA274" s="88">
        <f>IF(OR(BA$1="",$BE274=0),"",IFERROR(LOOKUP(2,1/((Budgets!$A$2:$A$200=BA$1)*(Budgets!$B$2:$B$200&lt;=$A274)),Budgets!$C$2:$C$200),0))</f>
        <v/>
      </c>
      <c r="BB274" s="88">
        <f>IF(OR(BB$1="",$BE274=0),"",IFERROR(LOOKUP(2,1/((Budgets!$A$2:$A$200=BB$1)*(Budgets!$B$2:$B$200&lt;=$A274)),Budgets!$C$2:$C$200),0))</f>
        <v/>
      </c>
      <c r="BC274" s="88">
        <f>IF(OR(BC$1="",$BE274=0),"",IFERROR(LOOKUP(2,1/((Budgets!$A$2:$A$200=BC$1)*(Budgets!$B$2:$B$200&lt;=$A274)),Budgets!$C$2:$C$200),0))</f>
        <v/>
      </c>
      <c r="BE274" s="67">
        <f>COUNTIFS(Entries!$A$2:$A$5000,$A274)</f>
        <v/>
      </c>
    </row>
    <row r="275" ht="15" customHeight="1" s="43">
      <c r="A275" s="87" t="n">
        <v>47757</v>
      </c>
      <c r="B275" s="88">
        <f>IF($BE275=0,NA(),SUMIFS(Entries!$D$2:$D$5000,Entries!$C$2:$C$5000,"Income",Entries!$A$2:$A$5000,$A275))</f>
        <v/>
      </c>
      <c r="C275" s="88">
        <f>IF($BE275=0,"",SUMIFS(Entries!$D$2:$D$5000,Entries!$C$2:$C$5000,"Actual",Entries!$A$2:$A$5000,$A275))</f>
        <v/>
      </c>
      <c r="D275" s="88">
        <f>IF($BE275=0,"",SUMIFS(Entries!$D$2:$D$5000,Entries!$C$2:$C$5000,"One-off",Entries!$A$2:$A$5000,$A275))</f>
        <v/>
      </c>
      <c r="E275" s="88">
        <f>IF($BE275=0,NA(),C275+D275)</f>
        <v/>
      </c>
      <c r="F275" s="88">
        <f>IF($BE275=0,"",SUM(AJ275:BC275))</f>
        <v/>
      </c>
      <c r="G275" s="88">
        <f>IF($BE275=0,"",B275-E275)</f>
        <v/>
      </c>
      <c r="H275" s="88">
        <f>IF($BE275=0,"",SUM($G$2:G275))</f>
        <v/>
      </c>
      <c r="I275" s="88">
        <f>IF($BE275=0,"",SUMIFS(Entries!$F$2:$F$5000,Entries!$A$2:$A$5000,$A275))</f>
        <v/>
      </c>
      <c r="J275" s="88">
        <f>IF($BE275=0,NA(),H275+SUM($I$2:I275))</f>
        <v/>
      </c>
      <c r="K275" s="88">
        <f>IF($BE275=0,"",SUMIFS(Entries!$D$2:$D$5000,Entries!$C$2:$C$5000,"Income",Entries!$A$2:$A$5000,"&gt;="&amp;EDATE($A275,-11),Entries!$A$2:$A$5000,"&lt;="&amp;$A275)/12)</f>
        <v/>
      </c>
      <c r="L275" s="88">
        <f>IF($BE275=0,"",(SUMIFS(Entries!$D$2:$D$5000,Entries!$C$2:$C$5000,"Actual",Entries!$A$2:$A$5000,"&gt;="&amp;EDATE($A275,-11),Entries!$A$2:$A$5000,"&lt;="&amp;$A275)+SUMIFS(Entries!$D$2:$D$5000,Entries!$C$2:$C$5000,"One-off",Entries!$A$2:$A$5000,"&gt;="&amp;EDATE($A275,-11),Entries!$A$2:$A$5000,"&lt;="&amp;$A275))/12)</f>
        <v/>
      </c>
      <c r="M275" s="71">
        <f>IF($BE275=0,NA(),IFERROR((K275-L275)/K275,0))</f>
        <v/>
      </c>
      <c r="O275" s="88">
        <f>IF(OR(O$1="",$BE275=0),"",SUMIFS(Entries!$D$2:$D$5000,Entries!$C$2:$C$5000,"Actual",Entries!$A$2:$A$5000,$A275,Entries!$B$2:$B$5000,O$1))</f>
        <v/>
      </c>
      <c r="P275" s="88">
        <f>IF(OR(P$1="",$BE275=0),"",SUMIFS(Entries!$D$2:$D$5000,Entries!$C$2:$C$5000,"Actual",Entries!$A$2:$A$5000,$A275,Entries!$B$2:$B$5000,P$1))</f>
        <v/>
      </c>
      <c r="Q275" s="88">
        <f>IF(OR(Q$1="",$BE275=0),"",SUMIFS(Entries!$D$2:$D$5000,Entries!$C$2:$C$5000,"Actual",Entries!$A$2:$A$5000,$A275,Entries!$B$2:$B$5000,Q$1))</f>
        <v/>
      </c>
      <c r="R275" s="88">
        <f>IF(OR(R$1="",$BE275=0),"",SUMIFS(Entries!$D$2:$D$5000,Entries!$C$2:$C$5000,"Actual",Entries!$A$2:$A$5000,$A275,Entries!$B$2:$B$5000,R$1))</f>
        <v/>
      </c>
      <c r="S275" s="88">
        <f>IF(OR(S$1="",$BE275=0),"",SUMIFS(Entries!$D$2:$D$5000,Entries!$C$2:$C$5000,"Actual",Entries!$A$2:$A$5000,$A275,Entries!$B$2:$B$5000,S$1))</f>
        <v/>
      </c>
      <c r="T275" s="88">
        <f>IF(OR(T$1="",$BE275=0),"",SUMIFS(Entries!$D$2:$D$5000,Entries!$C$2:$C$5000,"Actual",Entries!$A$2:$A$5000,$A275,Entries!$B$2:$B$5000,T$1))</f>
        <v/>
      </c>
      <c r="U275" s="88">
        <f>IF(OR(U$1="",$BE275=0),"",SUMIFS(Entries!$D$2:$D$5000,Entries!$C$2:$C$5000,"Actual",Entries!$A$2:$A$5000,$A275,Entries!$B$2:$B$5000,U$1))</f>
        <v/>
      </c>
      <c r="V275" s="88">
        <f>IF(OR(V$1="",$BE275=0),"",SUMIFS(Entries!$D$2:$D$5000,Entries!$C$2:$C$5000,"Actual",Entries!$A$2:$A$5000,$A275,Entries!$B$2:$B$5000,V$1))</f>
        <v/>
      </c>
      <c r="W275" s="88">
        <f>IF(OR(W$1="",$BE275=0),"",SUMIFS(Entries!$D$2:$D$5000,Entries!$C$2:$C$5000,"Actual",Entries!$A$2:$A$5000,$A275,Entries!$B$2:$B$5000,W$1))</f>
        <v/>
      </c>
      <c r="X275" s="88">
        <f>IF(OR(X$1="",$BE275=0),"",SUMIFS(Entries!$D$2:$D$5000,Entries!$C$2:$C$5000,"Actual",Entries!$A$2:$A$5000,$A275,Entries!$B$2:$B$5000,X$1))</f>
        <v/>
      </c>
      <c r="Y275" s="88">
        <f>IF(OR(Y$1="",$BE275=0),"",SUMIFS(Entries!$D$2:$D$5000,Entries!$C$2:$C$5000,"Actual",Entries!$A$2:$A$5000,$A275,Entries!$B$2:$B$5000,Y$1))</f>
        <v/>
      </c>
      <c r="Z275" s="88">
        <f>IF(OR(Z$1="",$BE275=0),"",SUMIFS(Entries!$D$2:$D$5000,Entries!$C$2:$C$5000,"Actual",Entries!$A$2:$A$5000,$A275,Entries!$B$2:$B$5000,Z$1))</f>
        <v/>
      </c>
      <c r="AA275" s="88">
        <f>IF(OR(AA$1="",$BE275=0),"",SUMIFS(Entries!$D$2:$D$5000,Entries!$C$2:$C$5000,"Actual",Entries!$A$2:$A$5000,$A275,Entries!$B$2:$B$5000,AA$1))</f>
        <v/>
      </c>
      <c r="AB275" s="88">
        <f>IF(OR(AB$1="",$BE275=0),"",SUMIFS(Entries!$D$2:$D$5000,Entries!$C$2:$C$5000,"Actual",Entries!$A$2:$A$5000,$A275,Entries!$B$2:$B$5000,AB$1))</f>
        <v/>
      </c>
      <c r="AC275" s="88">
        <f>IF(OR(AC$1="",$BE275=0),"",SUMIFS(Entries!$D$2:$D$5000,Entries!$C$2:$C$5000,"Actual",Entries!$A$2:$A$5000,$A275,Entries!$B$2:$B$5000,AC$1))</f>
        <v/>
      </c>
      <c r="AD275" s="88">
        <f>IF(OR(AD$1="",$BE275=0),"",SUMIFS(Entries!$D$2:$D$5000,Entries!$C$2:$C$5000,"Actual",Entries!$A$2:$A$5000,$A275,Entries!$B$2:$B$5000,AD$1))</f>
        <v/>
      </c>
      <c r="AE275" s="88">
        <f>IF(OR(AE$1="",$BE275=0),"",SUMIFS(Entries!$D$2:$D$5000,Entries!$C$2:$C$5000,"Actual",Entries!$A$2:$A$5000,$A275,Entries!$B$2:$B$5000,AE$1))</f>
        <v/>
      </c>
      <c r="AF275" s="88">
        <f>IF(OR(AF$1="",$BE275=0),"",SUMIFS(Entries!$D$2:$D$5000,Entries!$C$2:$C$5000,"Actual",Entries!$A$2:$A$5000,$A275,Entries!$B$2:$B$5000,AF$1))</f>
        <v/>
      </c>
      <c r="AG275" s="88">
        <f>IF(OR(AG$1="",$BE275=0),"",SUMIFS(Entries!$D$2:$D$5000,Entries!$C$2:$C$5000,"Actual",Entries!$A$2:$A$5000,$A275,Entries!$B$2:$B$5000,AG$1))</f>
        <v/>
      </c>
      <c r="AH275" s="88">
        <f>IF(OR(AH$1="",$BE275=0),"",SUMIFS(Entries!$D$2:$D$5000,Entries!$C$2:$C$5000,"Actual",Entries!$A$2:$A$5000,$A275,Entries!$B$2:$B$5000,AH$1))</f>
        <v/>
      </c>
      <c r="AJ275" s="88">
        <f>IF(OR(AJ$1="",$BE275=0),"",IFERROR(LOOKUP(2,1/((Budgets!$A$2:$A$200=AJ$1)*(Budgets!$B$2:$B$200&lt;=$A275)),Budgets!$C$2:$C$200),0))</f>
        <v/>
      </c>
      <c r="AK275" s="88">
        <f>IF(OR(AK$1="",$BE275=0),"",IFERROR(LOOKUP(2,1/((Budgets!$A$2:$A$200=AK$1)*(Budgets!$B$2:$B$200&lt;=$A275)),Budgets!$C$2:$C$200),0))</f>
        <v/>
      </c>
      <c r="AL275" s="88">
        <f>IF(OR(AL$1="",$BE275=0),"",IFERROR(LOOKUP(2,1/((Budgets!$A$2:$A$200=AL$1)*(Budgets!$B$2:$B$200&lt;=$A275)),Budgets!$C$2:$C$200),0))</f>
        <v/>
      </c>
      <c r="AM275" s="88">
        <f>IF(OR(AM$1="",$BE275=0),"",IFERROR(LOOKUP(2,1/((Budgets!$A$2:$A$200=AM$1)*(Budgets!$B$2:$B$200&lt;=$A275)),Budgets!$C$2:$C$200),0))</f>
        <v/>
      </c>
      <c r="AN275" s="88">
        <f>IF(OR(AN$1="",$BE275=0),"",IFERROR(LOOKUP(2,1/((Budgets!$A$2:$A$200=AN$1)*(Budgets!$B$2:$B$200&lt;=$A275)),Budgets!$C$2:$C$200),0))</f>
        <v/>
      </c>
      <c r="AO275" s="88">
        <f>IF(OR(AO$1="",$BE275=0),"",IFERROR(LOOKUP(2,1/((Budgets!$A$2:$A$200=AO$1)*(Budgets!$B$2:$B$200&lt;=$A275)),Budgets!$C$2:$C$200),0))</f>
        <v/>
      </c>
      <c r="AP275" s="88">
        <f>IF(OR(AP$1="",$BE275=0),"",IFERROR(LOOKUP(2,1/((Budgets!$A$2:$A$200=AP$1)*(Budgets!$B$2:$B$200&lt;=$A275)),Budgets!$C$2:$C$200),0))</f>
        <v/>
      </c>
      <c r="AQ275" s="88">
        <f>IF(OR(AQ$1="",$BE275=0),"",IFERROR(LOOKUP(2,1/((Budgets!$A$2:$A$200=AQ$1)*(Budgets!$B$2:$B$200&lt;=$A275)),Budgets!$C$2:$C$200),0))</f>
        <v/>
      </c>
      <c r="AR275" s="88">
        <f>IF(OR(AR$1="",$BE275=0),"",IFERROR(LOOKUP(2,1/((Budgets!$A$2:$A$200=AR$1)*(Budgets!$B$2:$B$200&lt;=$A275)),Budgets!$C$2:$C$200),0))</f>
        <v/>
      </c>
      <c r="AS275" s="88">
        <f>IF(OR(AS$1="",$BE275=0),"",IFERROR(LOOKUP(2,1/((Budgets!$A$2:$A$200=AS$1)*(Budgets!$B$2:$B$200&lt;=$A275)),Budgets!$C$2:$C$200),0))</f>
        <v/>
      </c>
      <c r="AT275" s="88">
        <f>IF(OR(AT$1="",$BE275=0),"",IFERROR(LOOKUP(2,1/((Budgets!$A$2:$A$200=AT$1)*(Budgets!$B$2:$B$200&lt;=$A275)),Budgets!$C$2:$C$200),0))</f>
        <v/>
      </c>
      <c r="AU275" s="88">
        <f>IF(OR(AU$1="",$BE275=0),"",IFERROR(LOOKUP(2,1/((Budgets!$A$2:$A$200=AU$1)*(Budgets!$B$2:$B$200&lt;=$A275)),Budgets!$C$2:$C$200),0))</f>
        <v/>
      </c>
      <c r="AV275" s="88">
        <f>IF(OR(AV$1="",$BE275=0),"",IFERROR(LOOKUP(2,1/((Budgets!$A$2:$A$200=AV$1)*(Budgets!$B$2:$B$200&lt;=$A275)),Budgets!$C$2:$C$200),0))</f>
        <v/>
      </c>
      <c r="AW275" s="88">
        <f>IF(OR(AW$1="",$BE275=0),"",IFERROR(LOOKUP(2,1/((Budgets!$A$2:$A$200=AW$1)*(Budgets!$B$2:$B$200&lt;=$A275)),Budgets!$C$2:$C$200),0))</f>
        <v/>
      </c>
      <c r="AX275" s="88">
        <f>IF(OR(AX$1="",$BE275=0),"",IFERROR(LOOKUP(2,1/((Budgets!$A$2:$A$200=AX$1)*(Budgets!$B$2:$B$200&lt;=$A275)),Budgets!$C$2:$C$200),0))</f>
        <v/>
      </c>
      <c r="AY275" s="88">
        <f>IF(OR(AY$1="",$BE275=0),"",IFERROR(LOOKUP(2,1/((Budgets!$A$2:$A$200=AY$1)*(Budgets!$B$2:$B$200&lt;=$A275)),Budgets!$C$2:$C$200),0))</f>
        <v/>
      </c>
      <c r="AZ275" s="88">
        <f>IF(OR(AZ$1="",$BE275=0),"",IFERROR(LOOKUP(2,1/((Budgets!$A$2:$A$200=AZ$1)*(Budgets!$B$2:$B$200&lt;=$A275)),Budgets!$C$2:$C$200),0))</f>
        <v/>
      </c>
      <c r="BA275" s="88">
        <f>IF(OR(BA$1="",$BE275=0),"",IFERROR(LOOKUP(2,1/((Budgets!$A$2:$A$200=BA$1)*(Budgets!$B$2:$B$200&lt;=$A275)),Budgets!$C$2:$C$200),0))</f>
        <v/>
      </c>
      <c r="BB275" s="88">
        <f>IF(OR(BB$1="",$BE275=0),"",IFERROR(LOOKUP(2,1/((Budgets!$A$2:$A$200=BB$1)*(Budgets!$B$2:$B$200&lt;=$A275)),Budgets!$C$2:$C$200),0))</f>
        <v/>
      </c>
      <c r="BC275" s="88">
        <f>IF(OR(BC$1="",$BE275=0),"",IFERROR(LOOKUP(2,1/((Budgets!$A$2:$A$200=BC$1)*(Budgets!$B$2:$B$200&lt;=$A275)),Budgets!$C$2:$C$200),0))</f>
        <v/>
      </c>
      <c r="BE275" s="67">
        <f>COUNTIFS(Entries!$A$2:$A$5000,$A275)</f>
        <v/>
      </c>
    </row>
    <row r="276" ht="15" customHeight="1" s="43">
      <c r="A276" s="87" t="n">
        <v>47788</v>
      </c>
      <c r="B276" s="88">
        <f>IF($BE276=0,NA(),SUMIFS(Entries!$D$2:$D$5000,Entries!$C$2:$C$5000,"Income",Entries!$A$2:$A$5000,$A276))</f>
        <v/>
      </c>
      <c r="C276" s="88">
        <f>IF($BE276=0,"",SUMIFS(Entries!$D$2:$D$5000,Entries!$C$2:$C$5000,"Actual",Entries!$A$2:$A$5000,$A276))</f>
        <v/>
      </c>
      <c r="D276" s="88">
        <f>IF($BE276=0,"",SUMIFS(Entries!$D$2:$D$5000,Entries!$C$2:$C$5000,"One-off",Entries!$A$2:$A$5000,$A276))</f>
        <v/>
      </c>
      <c r="E276" s="88">
        <f>IF($BE276=0,NA(),C276+D276)</f>
        <v/>
      </c>
      <c r="F276" s="88">
        <f>IF($BE276=0,"",SUM(AJ276:BC276))</f>
        <v/>
      </c>
      <c r="G276" s="88">
        <f>IF($BE276=0,"",B276-E276)</f>
        <v/>
      </c>
      <c r="H276" s="88">
        <f>IF($BE276=0,"",SUM($G$2:G276))</f>
        <v/>
      </c>
      <c r="I276" s="88">
        <f>IF($BE276=0,"",SUMIFS(Entries!$F$2:$F$5000,Entries!$A$2:$A$5000,$A276))</f>
        <v/>
      </c>
      <c r="J276" s="88">
        <f>IF($BE276=0,NA(),H276+SUM($I$2:I276))</f>
        <v/>
      </c>
      <c r="K276" s="88">
        <f>IF($BE276=0,"",SUMIFS(Entries!$D$2:$D$5000,Entries!$C$2:$C$5000,"Income",Entries!$A$2:$A$5000,"&gt;="&amp;EDATE($A276,-11),Entries!$A$2:$A$5000,"&lt;="&amp;$A276)/12)</f>
        <v/>
      </c>
      <c r="L276" s="88">
        <f>IF($BE276=0,"",(SUMIFS(Entries!$D$2:$D$5000,Entries!$C$2:$C$5000,"Actual",Entries!$A$2:$A$5000,"&gt;="&amp;EDATE($A276,-11),Entries!$A$2:$A$5000,"&lt;="&amp;$A276)+SUMIFS(Entries!$D$2:$D$5000,Entries!$C$2:$C$5000,"One-off",Entries!$A$2:$A$5000,"&gt;="&amp;EDATE($A276,-11),Entries!$A$2:$A$5000,"&lt;="&amp;$A276))/12)</f>
        <v/>
      </c>
      <c r="M276" s="71">
        <f>IF($BE276=0,NA(),IFERROR((K276-L276)/K276,0))</f>
        <v/>
      </c>
      <c r="O276" s="88">
        <f>IF(OR(O$1="",$BE276=0),"",SUMIFS(Entries!$D$2:$D$5000,Entries!$C$2:$C$5000,"Actual",Entries!$A$2:$A$5000,$A276,Entries!$B$2:$B$5000,O$1))</f>
        <v/>
      </c>
      <c r="P276" s="88">
        <f>IF(OR(P$1="",$BE276=0),"",SUMIFS(Entries!$D$2:$D$5000,Entries!$C$2:$C$5000,"Actual",Entries!$A$2:$A$5000,$A276,Entries!$B$2:$B$5000,P$1))</f>
        <v/>
      </c>
      <c r="Q276" s="88">
        <f>IF(OR(Q$1="",$BE276=0),"",SUMIFS(Entries!$D$2:$D$5000,Entries!$C$2:$C$5000,"Actual",Entries!$A$2:$A$5000,$A276,Entries!$B$2:$B$5000,Q$1))</f>
        <v/>
      </c>
      <c r="R276" s="88">
        <f>IF(OR(R$1="",$BE276=0),"",SUMIFS(Entries!$D$2:$D$5000,Entries!$C$2:$C$5000,"Actual",Entries!$A$2:$A$5000,$A276,Entries!$B$2:$B$5000,R$1))</f>
        <v/>
      </c>
      <c r="S276" s="88">
        <f>IF(OR(S$1="",$BE276=0),"",SUMIFS(Entries!$D$2:$D$5000,Entries!$C$2:$C$5000,"Actual",Entries!$A$2:$A$5000,$A276,Entries!$B$2:$B$5000,S$1))</f>
        <v/>
      </c>
      <c r="T276" s="88">
        <f>IF(OR(T$1="",$BE276=0),"",SUMIFS(Entries!$D$2:$D$5000,Entries!$C$2:$C$5000,"Actual",Entries!$A$2:$A$5000,$A276,Entries!$B$2:$B$5000,T$1))</f>
        <v/>
      </c>
      <c r="U276" s="88">
        <f>IF(OR(U$1="",$BE276=0),"",SUMIFS(Entries!$D$2:$D$5000,Entries!$C$2:$C$5000,"Actual",Entries!$A$2:$A$5000,$A276,Entries!$B$2:$B$5000,U$1))</f>
        <v/>
      </c>
      <c r="V276" s="88">
        <f>IF(OR(V$1="",$BE276=0),"",SUMIFS(Entries!$D$2:$D$5000,Entries!$C$2:$C$5000,"Actual",Entries!$A$2:$A$5000,$A276,Entries!$B$2:$B$5000,V$1))</f>
        <v/>
      </c>
      <c r="W276" s="88">
        <f>IF(OR(W$1="",$BE276=0),"",SUMIFS(Entries!$D$2:$D$5000,Entries!$C$2:$C$5000,"Actual",Entries!$A$2:$A$5000,$A276,Entries!$B$2:$B$5000,W$1))</f>
        <v/>
      </c>
      <c r="X276" s="88">
        <f>IF(OR(X$1="",$BE276=0),"",SUMIFS(Entries!$D$2:$D$5000,Entries!$C$2:$C$5000,"Actual",Entries!$A$2:$A$5000,$A276,Entries!$B$2:$B$5000,X$1))</f>
        <v/>
      </c>
      <c r="Y276" s="88">
        <f>IF(OR(Y$1="",$BE276=0),"",SUMIFS(Entries!$D$2:$D$5000,Entries!$C$2:$C$5000,"Actual",Entries!$A$2:$A$5000,$A276,Entries!$B$2:$B$5000,Y$1))</f>
        <v/>
      </c>
      <c r="Z276" s="88">
        <f>IF(OR(Z$1="",$BE276=0),"",SUMIFS(Entries!$D$2:$D$5000,Entries!$C$2:$C$5000,"Actual",Entries!$A$2:$A$5000,$A276,Entries!$B$2:$B$5000,Z$1))</f>
        <v/>
      </c>
      <c r="AA276" s="88">
        <f>IF(OR(AA$1="",$BE276=0),"",SUMIFS(Entries!$D$2:$D$5000,Entries!$C$2:$C$5000,"Actual",Entries!$A$2:$A$5000,$A276,Entries!$B$2:$B$5000,AA$1))</f>
        <v/>
      </c>
      <c r="AB276" s="88">
        <f>IF(OR(AB$1="",$BE276=0),"",SUMIFS(Entries!$D$2:$D$5000,Entries!$C$2:$C$5000,"Actual",Entries!$A$2:$A$5000,$A276,Entries!$B$2:$B$5000,AB$1))</f>
        <v/>
      </c>
      <c r="AC276" s="88">
        <f>IF(OR(AC$1="",$BE276=0),"",SUMIFS(Entries!$D$2:$D$5000,Entries!$C$2:$C$5000,"Actual",Entries!$A$2:$A$5000,$A276,Entries!$B$2:$B$5000,AC$1))</f>
        <v/>
      </c>
      <c r="AD276" s="88">
        <f>IF(OR(AD$1="",$BE276=0),"",SUMIFS(Entries!$D$2:$D$5000,Entries!$C$2:$C$5000,"Actual",Entries!$A$2:$A$5000,$A276,Entries!$B$2:$B$5000,AD$1))</f>
        <v/>
      </c>
      <c r="AE276" s="88">
        <f>IF(OR(AE$1="",$BE276=0),"",SUMIFS(Entries!$D$2:$D$5000,Entries!$C$2:$C$5000,"Actual",Entries!$A$2:$A$5000,$A276,Entries!$B$2:$B$5000,AE$1))</f>
        <v/>
      </c>
      <c r="AF276" s="88">
        <f>IF(OR(AF$1="",$BE276=0),"",SUMIFS(Entries!$D$2:$D$5000,Entries!$C$2:$C$5000,"Actual",Entries!$A$2:$A$5000,$A276,Entries!$B$2:$B$5000,AF$1))</f>
        <v/>
      </c>
      <c r="AG276" s="88">
        <f>IF(OR(AG$1="",$BE276=0),"",SUMIFS(Entries!$D$2:$D$5000,Entries!$C$2:$C$5000,"Actual",Entries!$A$2:$A$5000,$A276,Entries!$B$2:$B$5000,AG$1))</f>
        <v/>
      </c>
      <c r="AH276" s="88">
        <f>IF(OR(AH$1="",$BE276=0),"",SUMIFS(Entries!$D$2:$D$5000,Entries!$C$2:$C$5000,"Actual",Entries!$A$2:$A$5000,$A276,Entries!$B$2:$B$5000,AH$1))</f>
        <v/>
      </c>
      <c r="AJ276" s="88">
        <f>IF(OR(AJ$1="",$BE276=0),"",IFERROR(LOOKUP(2,1/((Budgets!$A$2:$A$200=AJ$1)*(Budgets!$B$2:$B$200&lt;=$A276)),Budgets!$C$2:$C$200),0))</f>
        <v/>
      </c>
      <c r="AK276" s="88">
        <f>IF(OR(AK$1="",$BE276=0),"",IFERROR(LOOKUP(2,1/((Budgets!$A$2:$A$200=AK$1)*(Budgets!$B$2:$B$200&lt;=$A276)),Budgets!$C$2:$C$200),0))</f>
        <v/>
      </c>
      <c r="AL276" s="88">
        <f>IF(OR(AL$1="",$BE276=0),"",IFERROR(LOOKUP(2,1/((Budgets!$A$2:$A$200=AL$1)*(Budgets!$B$2:$B$200&lt;=$A276)),Budgets!$C$2:$C$200),0))</f>
        <v/>
      </c>
      <c r="AM276" s="88">
        <f>IF(OR(AM$1="",$BE276=0),"",IFERROR(LOOKUP(2,1/((Budgets!$A$2:$A$200=AM$1)*(Budgets!$B$2:$B$200&lt;=$A276)),Budgets!$C$2:$C$200),0))</f>
        <v/>
      </c>
      <c r="AN276" s="88">
        <f>IF(OR(AN$1="",$BE276=0),"",IFERROR(LOOKUP(2,1/((Budgets!$A$2:$A$200=AN$1)*(Budgets!$B$2:$B$200&lt;=$A276)),Budgets!$C$2:$C$200),0))</f>
        <v/>
      </c>
      <c r="AO276" s="88">
        <f>IF(OR(AO$1="",$BE276=0),"",IFERROR(LOOKUP(2,1/((Budgets!$A$2:$A$200=AO$1)*(Budgets!$B$2:$B$200&lt;=$A276)),Budgets!$C$2:$C$200),0))</f>
        <v/>
      </c>
      <c r="AP276" s="88">
        <f>IF(OR(AP$1="",$BE276=0),"",IFERROR(LOOKUP(2,1/((Budgets!$A$2:$A$200=AP$1)*(Budgets!$B$2:$B$200&lt;=$A276)),Budgets!$C$2:$C$200),0))</f>
        <v/>
      </c>
      <c r="AQ276" s="88">
        <f>IF(OR(AQ$1="",$BE276=0),"",IFERROR(LOOKUP(2,1/((Budgets!$A$2:$A$200=AQ$1)*(Budgets!$B$2:$B$200&lt;=$A276)),Budgets!$C$2:$C$200),0))</f>
        <v/>
      </c>
      <c r="AR276" s="88">
        <f>IF(OR(AR$1="",$BE276=0),"",IFERROR(LOOKUP(2,1/((Budgets!$A$2:$A$200=AR$1)*(Budgets!$B$2:$B$200&lt;=$A276)),Budgets!$C$2:$C$200),0))</f>
        <v/>
      </c>
      <c r="AS276" s="88">
        <f>IF(OR(AS$1="",$BE276=0),"",IFERROR(LOOKUP(2,1/((Budgets!$A$2:$A$200=AS$1)*(Budgets!$B$2:$B$200&lt;=$A276)),Budgets!$C$2:$C$200),0))</f>
        <v/>
      </c>
      <c r="AT276" s="88">
        <f>IF(OR(AT$1="",$BE276=0),"",IFERROR(LOOKUP(2,1/((Budgets!$A$2:$A$200=AT$1)*(Budgets!$B$2:$B$200&lt;=$A276)),Budgets!$C$2:$C$200),0))</f>
        <v/>
      </c>
      <c r="AU276" s="88">
        <f>IF(OR(AU$1="",$BE276=0),"",IFERROR(LOOKUP(2,1/((Budgets!$A$2:$A$200=AU$1)*(Budgets!$B$2:$B$200&lt;=$A276)),Budgets!$C$2:$C$200),0))</f>
        <v/>
      </c>
      <c r="AV276" s="88">
        <f>IF(OR(AV$1="",$BE276=0),"",IFERROR(LOOKUP(2,1/((Budgets!$A$2:$A$200=AV$1)*(Budgets!$B$2:$B$200&lt;=$A276)),Budgets!$C$2:$C$200),0))</f>
        <v/>
      </c>
      <c r="AW276" s="88">
        <f>IF(OR(AW$1="",$BE276=0),"",IFERROR(LOOKUP(2,1/((Budgets!$A$2:$A$200=AW$1)*(Budgets!$B$2:$B$200&lt;=$A276)),Budgets!$C$2:$C$200),0))</f>
        <v/>
      </c>
      <c r="AX276" s="88">
        <f>IF(OR(AX$1="",$BE276=0),"",IFERROR(LOOKUP(2,1/((Budgets!$A$2:$A$200=AX$1)*(Budgets!$B$2:$B$200&lt;=$A276)),Budgets!$C$2:$C$200),0))</f>
        <v/>
      </c>
      <c r="AY276" s="88">
        <f>IF(OR(AY$1="",$BE276=0),"",IFERROR(LOOKUP(2,1/((Budgets!$A$2:$A$200=AY$1)*(Budgets!$B$2:$B$200&lt;=$A276)),Budgets!$C$2:$C$200),0))</f>
        <v/>
      </c>
      <c r="AZ276" s="88">
        <f>IF(OR(AZ$1="",$BE276=0),"",IFERROR(LOOKUP(2,1/((Budgets!$A$2:$A$200=AZ$1)*(Budgets!$B$2:$B$200&lt;=$A276)),Budgets!$C$2:$C$200),0))</f>
        <v/>
      </c>
      <c r="BA276" s="88">
        <f>IF(OR(BA$1="",$BE276=0),"",IFERROR(LOOKUP(2,1/((Budgets!$A$2:$A$200=BA$1)*(Budgets!$B$2:$B$200&lt;=$A276)),Budgets!$C$2:$C$200),0))</f>
        <v/>
      </c>
      <c r="BB276" s="88">
        <f>IF(OR(BB$1="",$BE276=0),"",IFERROR(LOOKUP(2,1/((Budgets!$A$2:$A$200=BB$1)*(Budgets!$B$2:$B$200&lt;=$A276)),Budgets!$C$2:$C$200),0))</f>
        <v/>
      </c>
      <c r="BC276" s="88">
        <f>IF(OR(BC$1="",$BE276=0),"",IFERROR(LOOKUP(2,1/((Budgets!$A$2:$A$200=BC$1)*(Budgets!$B$2:$B$200&lt;=$A276)),Budgets!$C$2:$C$200),0))</f>
        <v/>
      </c>
      <c r="BE276" s="67">
        <f>COUNTIFS(Entries!$A$2:$A$5000,$A276)</f>
        <v/>
      </c>
    </row>
    <row r="277" ht="15" customHeight="1" s="43">
      <c r="A277" s="87" t="n">
        <v>47818</v>
      </c>
      <c r="B277" s="88">
        <f>IF($BE277=0,NA(),SUMIFS(Entries!$D$2:$D$5000,Entries!$C$2:$C$5000,"Income",Entries!$A$2:$A$5000,$A277))</f>
        <v/>
      </c>
      <c r="C277" s="88">
        <f>IF($BE277=0,"",SUMIFS(Entries!$D$2:$D$5000,Entries!$C$2:$C$5000,"Actual",Entries!$A$2:$A$5000,$A277))</f>
        <v/>
      </c>
      <c r="D277" s="88">
        <f>IF($BE277=0,"",SUMIFS(Entries!$D$2:$D$5000,Entries!$C$2:$C$5000,"One-off",Entries!$A$2:$A$5000,$A277))</f>
        <v/>
      </c>
      <c r="E277" s="88">
        <f>IF($BE277=0,NA(),C277+D277)</f>
        <v/>
      </c>
      <c r="F277" s="88">
        <f>IF($BE277=0,"",SUM(AJ277:BC277))</f>
        <v/>
      </c>
      <c r="G277" s="88">
        <f>IF($BE277=0,"",B277-E277)</f>
        <v/>
      </c>
      <c r="H277" s="88">
        <f>IF($BE277=0,"",SUM($G$2:G277))</f>
        <v/>
      </c>
      <c r="I277" s="88">
        <f>IF($BE277=0,"",SUMIFS(Entries!$F$2:$F$5000,Entries!$A$2:$A$5000,$A277))</f>
        <v/>
      </c>
      <c r="J277" s="88">
        <f>IF($BE277=0,NA(),H277+SUM($I$2:I277))</f>
        <v/>
      </c>
      <c r="K277" s="88">
        <f>IF($BE277=0,"",SUMIFS(Entries!$D$2:$D$5000,Entries!$C$2:$C$5000,"Income",Entries!$A$2:$A$5000,"&gt;="&amp;EDATE($A277,-11),Entries!$A$2:$A$5000,"&lt;="&amp;$A277)/12)</f>
        <v/>
      </c>
      <c r="L277" s="88">
        <f>IF($BE277=0,"",(SUMIFS(Entries!$D$2:$D$5000,Entries!$C$2:$C$5000,"Actual",Entries!$A$2:$A$5000,"&gt;="&amp;EDATE($A277,-11),Entries!$A$2:$A$5000,"&lt;="&amp;$A277)+SUMIFS(Entries!$D$2:$D$5000,Entries!$C$2:$C$5000,"One-off",Entries!$A$2:$A$5000,"&gt;="&amp;EDATE($A277,-11),Entries!$A$2:$A$5000,"&lt;="&amp;$A277))/12)</f>
        <v/>
      </c>
      <c r="M277" s="71">
        <f>IF($BE277=0,NA(),IFERROR((K277-L277)/K277,0))</f>
        <v/>
      </c>
      <c r="O277" s="88">
        <f>IF(OR(O$1="",$BE277=0),"",SUMIFS(Entries!$D$2:$D$5000,Entries!$C$2:$C$5000,"Actual",Entries!$A$2:$A$5000,$A277,Entries!$B$2:$B$5000,O$1))</f>
        <v/>
      </c>
      <c r="P277" s="88">
        <f>IF(OR(P$1="",$BE277=0),"",SUMIFS(Entries!$D$2:$D$5000,Entries!$C$2:$C$5000,"Actual",Entries!$A$2:$A$5000,$A277,Entries!$B$2:$B$5000,P$1))</f>
        <v/>
      </c>
      <c r="Q277" s="88">
        <f>IF(OR(Q$1="",$BE277=0),"",SUMIFS(Entries!$D$2:$D$5000,Entries!$C$2:$C$5000,"Actual",Entries!$A$2:$A$5000,$A277,Entries!$B$2:$B$5000,Q$1))</f>
        <v/>
      </c>
      <c r="R277" s="88">
        <f>IF(OR(R$1="",$BE277=0),"",SUMIFS(Entries!$D$2:$D$5000,Entries!$C$2:$C$5000,"Actual",Entries!$A$2:$A$5000,$A277,Entries!$B$2:$B$5000,R$1))</f>
        <v/>
      </c>
      <c r="S277" s="88">
        <f>IF(OR(S$1="",$BE277=0),"",SUMIFS(Entries!$D$2:$D$5000,Entries!$C$2:$C$5000,"Actual",Entries!$A$2:$A$5000,$A277,Entries!$B$2:$B$5000,S$1))</f>
        <v/>
      </c>
      <c r="T277" s="88">
        <f>IF(OR(T$1="",$BE277=0),"",SUMIFS(Entries!$D$2:$D$5000,Entries!$C$2:$C$5000,"Actual",Entries!$A$2:$A$5000,$A277,Entries!$B$2:$B$5000,T$1))</f>
        <v/>
      </c>
      <c r="U277" s="88">
        <f>IF(OR(U$1="",$BE277=0),"",SUMIFS(Entries!$D$2:$D$5000,Entries!$C$2:$C$5000,"Actual",Entries!$A$2:$A$5000,$A277,Entries!$B$2:$B$5000,U$1))</f>
        <v/>
      </c>
      <c r="V277" s="88">
        <f>IF(OR(V$1="",$BE277=0),"",SUMIFS(Entries!$D$2:$D$5000,Entries!$C$2:$C$5000,"Actual",Entries!$A$2:$A$5000,$A277,Entries!$B$2:$B$5000,V$1))</f>
        <v/>
      </c>
      <c r="W277" s="88">
        <f>IF(OR(W$1="",$BE277=0),"",SUMIFS(Entries!$D$2:$D$5000,Entries!$C$2:$C$5000,"Actual",Entries!$A$2:$A$5000,$A277,Entries!$B$2:$B$5000,W$1))</f>
        <v/>
      </c>
      <c r="X277" s="88">
        <f>IF(OR(X$1="",$BE277=0),"",SUMIFS(Entries!$D$2:$D$5000,Entries!$C$2:$C$5000,"Actual",Entries!$A$2:$A$5000,$A277,Entries!$B$2:$B$5000,X$1))</f>
        <v/>
      </c>
      <c r="Y277" s="88">
        <f>IF(OR(Y$1="",$BE277=0),"",SUMIFS(Entries!$D$2:$D$5000,Entries!$C$2:$C$5000,"Actual",Entries!$A$2:$A$5000,$A277,Entries!$B$2:$B$5000,Y$1))</f>
        <v/>
      </c>
      <c r="Z277" s="88">
        <f>IF(OR(Z$1="",$BE277=0),"",SUMIFS(Entries!$D$2:$D$5000,Entries!$C$2:$C$5000,"Actual",Entries!$A$2:$A$5000,$A277,Entries!$B$2:$B$5000,Z$1))</f>
        <v/>
      </c>
      <c r="AA277" s="88">
        <f>IF(OR(AA$1="",$BE277=0),"",SUMIFS(Entries!$D$2:$D$5000,Entries!$C$2:$C$5000,"Actual",Entries!$A$2:$A$5000,$A277,Entries!$B$2:$B$5000,AA$1))</f>
        <v/>
      </c>
      <c r="AB277" s="88">
        <f>IF(OR(AB$1="",$BE277=0),"",SUMIFS(Entries!$D$2:$D$5000,Entries!$C$2:$C$5000,"Actual",Entries!$A$2:$A$5000,$A277,Entries!$B$2:$B$5000,AB$1))</f>
        <v/>
      </c>
      <c r="AC277" s="88">
        <f>IF(OR(AC$1="",$BE277=0),"",SUMIFS(Entries!$D$2:$D$5000,Entries!$C$2:$C$5000,"Actual",Entries!$A$2:$A$5000,$A277,Entries!$B$2:$B$5000,AC$1))</f>
        <v/>
      </c>
      <c r="AD277" s="88">
        <f>IF(OR(AD$1="",$BE277=0),"",SUMIFS(Entries!$D$2:$D$5000,Entries!$C$2:$C$5000,"Actual",Entries!$A$2:$A$5000,$A277,Entries!$B$2:$B$5000,AD$1))</f>
        <v/>
      </c>
      <c r="AE277" s="88">
        <f>IF(OR(AE$1="",$BE277=0),"",SUMIFS(Entries!$D$2:$D$5000,Entries!$C$2:$C$5000,"Actual",Entries!$A$2:$A$5000,$A277,Entries!$B$2:$B$5000,AE$1))</f>
        <v/>
      </c>
      <c r="AF277" s="88">
        <f>IF(OR(AF$1="",$BE277=0),"",SUMIFS(Entries!$D$2:$D$5000,Entries!$C$2:$C$5000,"Actual",Entries!$A$2:$A$5000,$A277,Entries!$B$2:$B$5000,AF$1))</f>
        <v/>
      </c>
      <c r="AG277" s="88">
        <f>IF(OR(AG$1="",$BE277=0),"",SUMIFS(Entries!$D$2:$D$5000,Entries!$C$2:$C$5000,"Actual",Entries!$A$2:$A$5000,$A277,Entries!$B$2:$B$5000,AG$1))</f>
        <v/>
      </c>
      <c r="AH277" s="88">
        <f>IF(OR(AH$1="",$BE277=0),"",SUMIFS(Entries!$D$2:$D$5000,Entries!$C$2:$C$5000,"Actual",Entries!$A$2:$A$5000,$A277,Entries!$B$2:$B$5000,AH$1))</f>
        <v/>
      </c>
      <c r="AJ277" s="88">
        <f>IF(OR(AJ$1="",$BE277=0),"",IFERROR(LOOKUP(2,1/((Budgets!$A$2:$A$200=AJ$1)*(Budgets!$B$2:$B$200&lt;=$A277)),Budgets!$C$2:$C$200),0))</f>
        <v/>
      </c>
      <c r="AK277" s="88">
        <f>IF(OR(AK$1="",$BE277=0),"",IFERROR(LOOKUP(2,1/((Budgets!$A$2:$A$200=AK$1)*(Budgets!$B$2:$B$200&lt;=$A277)),Budgets!$C$2:$C$200),0))</f>
        <v/>
      </c>
      <c r="AL277" s="88">
        <f>IF(OR(AL$1="",$BE277=0),"",IFERROR(LOOKUP(2,1/((Budgets!$A$2:$A$200=AL$1)*(Budgets!$B$2:$B$200&lt;=$A277)),Budgets!$C$2:$C$200),0))</f>
        <v/>
      </c>
      <c r="AM277" s="88">
        <f>IF(OR(AM$1="",$BE277=0),"",IFERROR(LOOKUP(2,1/((Budgets!$A$2:$A$200=AM$1)*(Budgets!$B$2:$B$200&lt;=$A277)),Budgets!$C$2:$C$200),0))</f>
        <v/>
      </c>
      <c r="AN277" s="88">
        <f>IF(OR(AN$1="",$BE277=0),"",IFERROR(LOOKUP(2,1/((Budgets!$A$2:$A$200=AN$1)*(Budgets!$B$2:$B$200&lt;=$A277)),Budgets!$C$2:$C$200),0))</f>
        <v/>
      </c>
      <c r="AO277" s="88">
        <f>IF(OR(AO$1="",$BE277=0),"",IFERROR(LOOKUP(2,1/((Budgets!$A$2:$A$200=AO$1)*(Budgets!$B$2:$B$200&lt;=$A277)),Budgets!$C$2:$C$200),0))</f>
        <v/>
      </c>
      <c r="AP277" s="88">
        <f>IF(OR(AP$1="",$BE277=0),"",IFERROR(LOOKUP(2,1/((Budgets!$A$2:$A$200=AP$1)*(Budgets!$B$2:$B$200&lt;=$A277)),Budgets!$C$2:$C$200),0))</f>
        <v/>
      </c>
      <c r="AQ277" s="88">
        <f>IF(OR(AQ$1="",$BE277=0),"",IFERROR(LOOKUP(2,1/((Budgets!$A$2:$A$200=AQ$1)*(Budgets!$B$2:$B$200&lt;=$A277)),Budgets!$C$2:$C$200),0))</f>
        <v/>
      </c>
      <c r="AR277" s="88">
        <f>IF(OR(AR$1="",$BE277=0),"",IFERROR(LOOKUP(2,1/((Budgets!$A$2:$A$200=AR$1)*(Budgets!$B$2:$B$200&lt;=$A277)),Budgets!$C$2:$C$200),0))</f>
        <v/>
      </c>
      <c r="AS277" s="88">
        <f>IF(OR(AS$1="",$BE277=0),"",IFERROR(LOOKUP(2,1/((Budgets!$A$2:$A$200=AS$1)*(Budgets!$B$2:$B$200&lt;=$A277)),Budgets!$C$2:$C$200),0))</f>
        <v/>
      </c>
      <c r="AT277" s="88">
        <f>IF(OR(AT$1="",$BE277=0),"",IFERROR(LOOKUP(2,1/((Budgets!$A$2:$A$200=AT$1)*(Budgets!$B$2:$B$200&lt;=$A277)),Budgets!$C$2:$C$200),0))</f>
        <v/>
      </c>
      <c r="AU277" s="88">
        <f>IF(OR(AU$1="",$BE277=0),"",IFERROR(LOOKUP(2,1/((Budgets!$A$2:$A$200=AU$1)*(Budgets!$B$2:$B$200&lt;=$A277)),Budgets!$C$2:$C$200),0))</f>
        <v/>
      </c>
      <c r="AV277" s="88">
        <f>IF(OR(AV$1="",$BE277=0),"",IFERROR(LOOKUP(2,1/((Budgets!$A$2:$A$200=AV$1)*(Budgets!$B$2:$B$200&lt;=$A277)),Budgets!$C$2:$C$200),0))</f>
        <v/>
      </c>
      <c r="AW277" s="88">
        <f>IF(OR(AW$1="",$BE277=0),"",IFERROR(LOOKUP(2,1/((Budgets!$A$2:$A$200=AW$1)*(Budgets!$B$2:$B$200&lt;=$A277)),Budgets!$C$2:$C$200),0))</f>
        <v/>
      </c>
      <c r="AX277" s="88">
        <f>IF(OR(AX$1="",$BE277=0),"",IFERROR(LOOKUP(2,1/((Budgets!$A$2:$A$200=AX$1)*(Budgets!$B$2:$B$200&lt;=$A277)),Budgets!$C$2:$C$200),0))</f>
        <v/>
      </c>
      <c r="AY277" s="88">
        <f>IF(OR(AY$1="",$BE277=0),"",IFERROR(LOOKUP(2,1/((Budgets!$A$2:$A$200=AY$1)*(Budgets!$B$2:$B$200&lt;=$A277)),Budgets!$C$2:$C$200),0))</f>
        <v/>
      </c>
      <c r="AZ277" s="88">
        <f>IF(OR(AZ$1="",$BE277=0),"",IFERROR(LOOKUP(2,1/((Budgets!$A$2:$A$200=AZ$1)*(Budgets!$B$2:$B$200&lt;=$A277)),Budgets!$C$2:$C$200),0))</f>
        <v/>
      </c>
      <c r="BA277" s="88">
        <f>IF(OR(BA$1="",$BE277=0),"",IFERROR(LOOKUP(2,1/((Budgets!$A$2:$A$200=BA$1)*(Budgets!$B$2:$B$200&lt;=$A277)),Budgets!$C$2:$C$200),0))</f>
        <v/>
      </c>
      <c r="BB277" s="88">
        <f>IF(OR(BB$1="",$BE277=0),"",IFERROR(LOOKUP(2,1/((Budgets!$A$2:$A$200=BB$1)*(Budgets!$B$2:$B$200&lt;=$A277)),Budgets!$C$2:$C$200),0))</f>
        <v/>
      </c>
      <c r="BC277" s="88">
        <f>IF(OR(BC$1="",$BE277=0),"",IFERROR(LOOKUP(2,1/((Budgets!$A$2:$A$200=BC$1)*(Budgets!$B$2:$B$200&lt;=$A277)),Budgets!$C$2:$C$200),0))</f>
        <v/>
      </c>
      <c r="BE277" s="67">
        <f>COUNTIFS(Entries!$A$2:$A$5000,$A277)</f>
        <v/>
      </c>
    </row>
    <row r="278" ht="15" customHeight="1" s="43">
      <c r="A278" s="87" t="n">
        <v>47849</v>
      </c>
      <c r="B278" s="88">
        <f>IF($BE278=0,NA(),SUMIFS(Entries!$D$2:$D$5000,Entries!$C$2:$C$5000,"Income",Entries!$A$2:$A$5000,$A278))</f>
        <v/>
      </c>
      <c r="C278" s="88">
        <f>IF($BE278=0,"",SUMIFS(Entries!$D$2:$D$5000,Entries!$C$2:$C$5000,"Actual",Entries!$A$2:$A$5000,$A278))</f>
        <v/>
      </c>
      <c r="D278" s="88">
        <f>IF($BE278=0,"",SUMIFS(Entries!$D$2:$D$5000,Entries!$C$2:$C$5000,"One-off",Entries!$A$2:$A$5000,$A278))</f>
        <v/>
      </c>
      <c r="E278" s="88">
        <f>IF($BE278=0,NA(),C278+D278)</f>
        <v/>
      </c>
      <c r="F278" s="88">
        <f>IF($BE278=0,"",SUM(AJ278:BC278))</f>
        <v/>
      </c>
      <c r="G278" s="88">
        <f>IF($BE278=0,"",B278-E278)</f>
        <v/>
      </c>
      <c r="H278" s="88">
        <f>IF($BE278=0,"",SUM($G$2:G278))</f>
        <v/>
      </c>
      <c r="I278" s="88">
        <f>IF($BE278=0,"",SUMIFS(Entries!$F$2:$F$5000,Entries!$A$2:$A$5000,$A278))</f>
        <v/>
      </c>
      <c r="J278" s="88">
        <f>IF($BE278=0,NA(),H278+SUM($I$2:I278))</f>
        <v/>
      </c>
      <c r="K278" s="88">
        <f>IF($BE278=0,"",SUMIFS(Entries!$D$2:$D$5000,Entries!$C$2:$C$5000,"Income",Entries!$A$2:$A$5000,"&gt;="&amp;EDATE($A278,-11),Entries!$A$2:$A$5000,"&lt;="&amp;$A278)/12)</f>
        <v/>
      </c>
      <c r="L278" s="88">
        <f>IF($BE278=0,"",(SUMIFS(Entries!$D$2:$D$5000,Entries!$C$2:$C$5000,"Actual",Entries!$A$2:$A$5000,"&gt;="&amp;EDATE($A278,-11),Entries!$A$2:$A$5000,"&lt;="&amp;$A278)+SUMIFS(Entries!$D$2:$D$5000,Entries!$C$2:$C$5000,"One-off",Entries!$A$2:$A$5000,"&gt;="&amp;EDATE($A278,-11),Entries!$A$2:$A$5000,"&lt;="&amp;$A278))/12)</f>
        <v/>
      </c>
      <c r="M278" s="71">
        <f>IF($BE278=0,NA(),IFERROR((K278-L278)/K278,0))</f>
        <v/>
      </c>
      <c r="O278" s="88">
        <f>IF(OR(O$1="",$BE278=0),"",SUMIFS(Entries!$D$2:$D$5000,Entries!$C$2:$C$5000,"Actual",Entries!$A$2:$A$5000,$A278,Entries!$B$2:$B$5000,O$1))</f>
        <v/>
      </c>
      <c r="P278" s="88">
        <f>IF(OR(P$1="",$BE278=0),"",SUMIFS(Entries!$D$2:$D$5000,Entries!$C$2:$C$5000,"Actual",Entries!$A$2:$A$5000,$A278,Entries!$B$2:$B$5000,P$1))</f>
        <v/>
      </c>
      <c r="Q278" s="88">
        <f>IF(OR(Q$1="",$BE278=0),"",SUMIFS(Entries!$D$2:$D$5000,Entries!$C$2:$C$5000,"Actual",Entries!$A$2:$A$5000,$A278,Entries!$B$2:$B$5000,Q$1))</f>
        <v/>
      </c>
      <c r="R278" s="88">
        <f>IF(OR(R$1="",$BE278=0),"",SUMIFS(Entries!$D$2:$D$5000,Entries!$C$2:$C$5000,"Actual",Entries!$A$2:$A$5000,$A278,Entries!$B$2:$B$5000,R$1))</f>
        <v/>
      </c>
      <c r="S278" s="88">
        <f>IF(OR(S$1="",$BE278=0),"",SUMIFS(Entries!$D$2:$D$5000,Entries!$C$2:$C$5000,"Actual",Entries!$A$2:$A$5000,$A278,Entries!$B$2:$B$5000,S$1))</f>
        <v/>
      </c>
      <c r="T278" s="88">
        <f>IF(OR(T$1="",$BE278=0),"",SUMIFS(Entries!$D$2:$D$5000,Entries!$C$2:$C$5000,"Actual",Entries!$A$2:$A$5000,$A278,Entries!$B$2:$B$5000,T$1))</f>
        <v/>
      </c>
      <c r="U278" s="88">
        <f>IF(OR(U$1="",$BE278=0),"",SUMIFS(Entries!$D$2:$D$5000,Entries!$C$2:$C$5000,"Actual",Entries!$A$2:$A$5000,$A278,Entries!$B$2:$B$5000,U$1))</f>
        <v/>
      </c>
      <c r="V278" s="88">
        <f>IF(OR(V$1="",$BE278=0),"",SUMIFS(Entries!$D$2:$D$5000,Entries!$C$2:$C$5000,"Actual",Entries!$A$2:$A$5000,$A278,Entries!$B$2:$B$5000,V$1))</f>
        <v/>
      </c>
      <c r="W278" s="88">
        <f>IF(OR(W$1="",$BE278=0),"",SUMIFS(Entries!$D$2:$D$5000,Entries!$C$2:$C$5000,"Actual",Entries!$A$2:$A$5000,$A278,Entries!$B$2:$B$5000,W$1))</f>
        <v/>
      </c>
      <c r="X278" s="88">
        <f>IF(OR(X$1="",$BE278=0),"",SUMIFS(Entries!$D$2:$D$5000,Entries!$C$2:$C$5000,"Actual",Entries!$A$2:$A$5000,$A278,Entries!$B$2:$B$5000,X$1))</f>
        <v/>
      </c>
      <c r="Y278" s="88">
        <f>IF(OR(Y$1="",$BE278=0),"",SUMIFS(Entries!$D$2:$D$5000,Entries!$C$2:$C$5000,"Actual",Entries!$A$2:$A$5000,$A278,Entries!$B$2:$B$5000,Y$1))</f>
        <v/>
      </c>
      <c r="Z278" s="88">
        <f>IF(OR(Z$1="",$BE278=0),"",SUMIFS(Entries!$D$2:$D$5000,Entries!$C$2:$C$5000,"Actual",Entries!$A$2:$A$5000,$A278,Entries!$B$2:$B$5000,Z$1))</f>
        <v/>
      </c>
      <c r="AA278" s="88">
        <f>IF(OR(AA$1="",$BE278=0),"",SUMIFS(Entries!$D$2:$D$5000,Entries!$C$2:$C$5000,"Actual",Entries!$A$2:$A$5000,$A278,Entries!$B$2:$B$5000,AA$1))</f>
        <v/>
      </c>
      <c r="AB278" s="88">
        <f>IF(OR(AB$1="",$BE278=0),"",SUMIFS(Entries!$D$2:$D$5000,Entries!$C$2:$C$5000,"Actual",Entries!$A$2:$A$5000,$A278,Entries!$B$2:$B$5000,AB$1))</f>
        <v/>
      </c>
      <c r="AC278" s="88">
        <f>IF(OR(AC$1="",$BE278=0),"",SUMIFS(Entries!$D$2:$D$5000,Entries!$C$2:$C$5000,"Actual",Entries!$A$2:$A$5000,$A278,Entries!$B$2:$B$5000,AC$1))</f>
        <v/>
      </c>
      <c r="AD278" s="88">
        <f>IF(OR(AD$1="",$BE278=0),"",SUMIFS(Entries!$D$2:$D$5000,Entries!$C$2:$C$5000,"Actual",Entries!$A$2:$A$5000,$A278,Entries!$B$2:$B$5000,AD$1))</f>
        <v/>
      </c>
      <c r="AE278" s="88">
        <f>IF(OR(AE$1="",$BE278=0),"",SUMIFS(Entries!$D$2:$D$5000,Entries!$C$2:$C$5000,"Actual",Entries!$A$2:$A$5000,$A278,Entries!$B$2:$B$5000,AE$1))</f>
        <v/>
      </c>
      <c r="AF278" s="88">
        <f>IF(OR(AF$1="",$BE278=0),"",SUMIFS(Entries!$D$2:$D$5000,Entries!$C$2:$C$5000,"Actual",Entries!$A$2:$A$5000,$A278,Entries!$B$2:$B$5000,AF$1))</f>
        <v/>
      </c>
      <c r="AG278" s="88">
        <f>IF(OR(AG$1="",$BE278=0),"",SUMIFS(Entries!$D$2:$D$5000,Entries!$C$2:$C$5000,"Actual",Entries!$A$2:$A$5000,$A278,Entries!$B$2:$B$5000,AG$1))</f>
        <v/>
      </c>
      <c r="AH278" s="88">
        <f>IF(OR(AH$1="",$BE278=0),"",SUMIFS(Entries!$D$2:$D$5000,Entries!$C$2:$C$5000,"Actual",Entries!$A$2:$A$5000,$A278,Entries!$B$2:$B$5000,AH$1))</f>
        <v/>
      </c>
      <c r="AJ278" s="88">
        <f>IF(OR(AJ$1="",$BE278=0),"",IFERROR(LOOKUP(2,1/((Budgets!$A$2:$A$200=AJ$1)*(Budgets!$B$2:$B$200&lt;=$A278)),Budgets!$C$2:$C$200),0))</f>
        <v/>
      </c>
      <c r="AK278" s="88">
        <f>IF(OR(AK$1="",$BE278=0),"",IFERROR(LOOKUP(2,1/((Budgets!$A$2:$A$200=AK$1)*(Budgets!$B$2:$B$200&lt;=$A278)),Budgets!$C$2:$C$200),0))</f>
        <v/>
      </c>
      <c r="AL278" s="88">
        <f>IF(OR(AL$1="",$BE278=0),"",IFERROR(LOOKUP(2,1/((Budgets!$A$2:$A$200=AL$1)*(Budgets!$B$2:$B$200&lt;=$A278)),Budgets!$C$2:$C$200),0))</f>
        <v/>
      </c>
      <c r="AM278" s="88">
        <f>IF(OR(AM$1="",$BE278=0),"",IFERROR(LOOKUP(2,1/((Budgets!$A$2:$A$200=AM$1)*(Budgets!$B$2:$B$200&lt;=$A278)),Budgets!$C$2:$C$200),0))</f>
        <v/>
      </c>
      <c r="AN278" s="88">
        <f>IF(OR(AN$1="",$BE278=0),"",IFERROR(LOOKUP(2,1/((Budgets!$A$2:$A$200=AN$1)*(Budgets!$B$2:$B$200&lt;=$A278)),Budgets!$C$2:$C$200),0))</f>
        <v/>
      </c>
      <c r="AO278" s="88">
        <f>IF(OR(AO$1="",$BE278=0),"",IFERROR(LOOKUP(2,1/((Budgets!$A$2:$A$200=AO$1)*(Budgets!$B$2:$B$200&lt;=$A278)),Budgets!$C$2:$C$200),0))</f>
        <v/>
      </c>
      <c r="AP278" s="88">
        <f>IF(OR(AP$1="",$BE278=0),"",IFERROR(LOOKUP(2,1/((Budgets!$A$2:$A$200=AP$1)*(Budgets!$B$2:$B$200&lt;=$A278)),Budgets!$C$2:$C$200),0))</f>
        <v/>
      </c>
      <c r="AQ278" s="88">
        <f>IF(OR(AQ$1="",$BE278=0),"",IFERROR(LOOKUP(2,1/((Budgets!$A$2:$A$200=AQ$1)*(Budgets!$B$2:$B$200&lt;=$A278)),Budgets!$C$2:$C$200),0))</f>
        <v/>
      </c>
      <c r="AR278" s="88">
        <f>IF(OR(AR$1="",$BE278=0),"",IFERROR(LOOKUP(2,1/((Budgets!$A$2:$A$200=AR$1)*(Budgets!$B$2:$B$200&lt;=$A278)),Budgets!$C$2:$C$200),0))</f>
        <v/>
      </c>
      <c r="AS278" s="88">
        <f>IF(OR(AS$1="",$BE278=0),"",IFERROR(LOOKUP(2,1/((Budgets!$A$2:$A$200=AS$1)*(Budgets!$B$2:$B$200&lt;=$A278)),Budgets!$C$2:$C$200),0))</f>
        <v/>
      </c>
      <c r="AT278" s="88">
        <f>IF(OR(AT$1="",$BE278=0),"",IFERROR(LOOKUP(2,1/((Budgets!$A$2:$A$200=AT$1)*(Budgets!$B$2:$B$200&lt;=$A278)),Budgets!$C$2:$C$200),0))</f>
        <v/>
      </c>
      <c r="AU278" s="88">
        <f>IF(OR(AU$1="",$BE278=0),"",IFERROR(LOOKUP(2,1/((Budgets!$A$2:$A$200=AU$1)*(Budgets!$B$2:$B$200&lt;=$A278)),Budgets!$C$2:$C$200),0))</f>
        <v/>
      </c>
      <c r="AV278" s="88">
        <f>IF(OR(AV$1="",$BE278=0),"",IFERROR(LOOKUP(2,1/((Budgets!$A$2:$A$200=AV$1)*(Budgets!$B$2:$B$200&lt;=$A278)),Budgets!$C$2:$C$200),0))</f>
        <v/>
      </c>
      <c r="AW278" s="88">
        <f>IF(OR(AW$1="",$BE278=0),"",IFERROR(LOOKUP(2,1/((Budgets!$A$2:$A$200=AW$1)*(Budgets!$B$2:$B$200&lt;=$A278)),Budgets!$C$2:$C$200),0))</f>
        <v/>
      </c>
      <c r="AX278" s="88">
        <f>IF(OR(AX$1="",$BE278=0),"",IFERROR(LOOKUP(2,1/((Budgets!$A$2:$A$200=AX$1)*(Budgets!$B$2:$B$200&lt;=$A278)),Budgets!$C$2:$C$200),0))</f>
        <v/>
      </c>
      <c r="AY278" s="88">
        <f>IF(OR(AY$1="",$BE278=0),"",IFERROR(LOOKUP(2,1/((Budgets!$A$2:$A$200=AY$1)*(Budgets!$B$2:$B$200&lt;=$A278)),Budgets!$C$2:$C$200),0))</f>
        <v/>
      </c>
      <c r="AZ278" s="88">
        <f>IF(OR(AZ$1="",$BE278=0),"",IFERROR(LOOKUP(2,1/((Budgets!$A$2:$A$200=AZ$1)*(Budgets!$B$2:$B$200&lt;=$A278)),Budgets!$C$2:$C$200),0))</f>
        <v/>
      </c>
      <c r="BA278" s="88">
        <f>IF(OR(BA$1="",$BE278=0),"",IFERROR(LOOKUP(2,1/((Budgets!$A$2:$A$200=BA$1)*(Budgets!$B$2:$B$200&lt;=$A278)),Budgets!$C$2:$C$200),0))</f>
        <v/>
      </c>
      <c r="BB278" s="88">
        <f>IF(OR(BB$1="",$BE278=0),"",IFERROR(LOOKUP(2,1/((Budgets!$A$2:$A$200=BB$1)*(Budgets!$B$2:$B$200&lt;=$A278)),Budgets!$C$2:$C$200),0))</f>
        <v/>
      </c>
      <c r="BC278" s="88">
        <f>IF(OR(BC$1="",$BE278=0),"",IFERROR(LOOKUP(2,1/((Budgets!$A$2:$A$200=BC$1)*(Budgets!$B$2:$B$200&lt;=$A278)),Budgets!$C$2:$C$200),0))</f>
        <v/>
      </c>
      <c r="BE278" s="67">
        <f>COUNTIFS(Entries!$A$2:$A$5000,$A278)</f>
        <v/>
      </c>
    </row>
    <row r="279" ht="15" customHeight="1" s="43">
      <c r="A279" s="87" t="n">
        <v>47880</v>
      </c>
      <c r="B279" s="88">
        <f>IF($BE279=0,NA(),SUMIFS(Entries!$D$2:$D$5000,Entries!$C$2:$C$5000,"Income",Entries!$A$2:$A$5000,$A279))</f>
        <v/>
      </c>
      <c r="C279" s="88">
        <f>IF($BE279=0,"",SUMIFS(Entries!$D$2:$D$5000,Entries!$C$2:$C$5000,"Actual",Entries!$A$2:$A$5000,$A279))</f>
        <v/>
      </c>
      <c r="D279" s="88">
        <f>IF($BE279=0,"",SUMIFS(Entries!$D$2:$D$5000,Entries!$C$2:$C$5000,"One-off",Entries!$A$2:$A$5000,$A279))</f>
        <v/>
      </c>
      <c r="E279" s="88">
        <f>IF($BE279=0,NA(),C279+D279)</f>
        <v/>
      </c>
      <c r="F279" s="88">
        <f>IF($BE279=0,"",SUM(AJ279:BC279))</f>
        <v/>
      </c>
      <c r="G279" s="88">
        <f>IF($BE279=0,"",B279-E279)</f>
        <v/>
      </c>
      <c r="H279" s="88">
        <f>IF($BE279=0,"",SUM($G$2:G279))</f>
        <v/>
      </c>
      <c r="I279" s="88">
        <f>IF($BE279=0,"",SUMIFS(Entries!$F$2:$F$5000,Entries!$A$2:$A$5000,$A279))</f>
        <v/>
      </c>
      <c r="J279" s="88">
        <f>IF($BE279=0,NA(),H279+SUM($I$2:I279))</f>
        <v/>
      </c>
      <c r="K279" s="88">
        <f>IF($BE279=0,"",SUMIFS(Entries!$D$2:$D$5000,Entries!$C$2:$C$5000,"Income",Entries!$A$2:$A$5000,"&gt;="&amp;EDATE($A279,-11),Entries!$A$2:$A$5000,"&lt;="&amp;$A279)/12)</f>
        <v/>
      </c>
      <c r="L279" s="88">
        <f>IF($BE279=0,"",(SUMIFS(Entries!$D$2:$D$5000,Entries!$C$2:$C$5000,"Actual",Entries!$A$2:$A$5000,"&gt;="&amp;EDATE($A279,-11),Entries!$A$2:$A$5000,"&lt;="&amp;$A279)+SUMIFS(Entries!$D$2:$D$5000,Entries!$C$2:$C$5000,"One-off",Entries!$A$2:$A$5000,"&gt;="&amp;EDATE($A279,-11),Entries!$A$2:$A$5000,"&lt;="&amp;$A279))/12)</f>
        <v/>
      </c>
      <c r="M279" s="71">
        <f>IF($BE279=0,NA(),IFERROR((K279-L279)/K279,0))</f>
        <v/>
      </c>
      <c r="O279" s="88">
        <f>IF(OR(O$1="",$BE279=0),"",SUMIFS(Entries!$D$2:$D$5000,Entries!$C$2:$C$5000,"Actual",Entries!$A$2:$A$5000,$A279,Entries!$B$2:$B$5000,O$1))</f>
        <v/>
      </c>
      <c r="P279" s="88">
        <f>IF(OR(P$1="",$BE279=0),"",SUMIFS(Entries!$D$2:$D$5000,Entries!$C$2:$C$5000,"Actual",Entries!$A$2:$A$5000,$A279,Entries!$B$2:$B$5000,P$1))</f>
        <v/>
      </c>
      <c r="Q279" s="88">
        <f>IF(OR(Q$1="",$BE279=0),"",SUMIFS(Entries!$D$2:$D$5000,Entries!$C$2:$C$5000,"Actual",Entries!$A$2:$A$5000,$A279,Entries!$B$2:$B$5000,Q$1))</f>
        <v/>
      </c>
      <c r="R279" s="88">
        <f>IF(OR(R$1="",$BE279=0),"",SUMIFS(Entries!$D$2:$D$5000,Entries!$C$2:$C$5000,"Actual",Entries!$A$2:$A$5000,$A279,Entries!$B$2:$B$5000,R$1))</f>
        <v/>
      </c>
      <c r="S279" s="88">
        <f>IF(OR(S$1="",$BE279=0),"",SUMIFS(Entries!$D$2:$D$5000,Entries!$C$2:$C$5000,"Actual",Entries!$A$2:$A$5000,$A279,Entries!$B$2:$B$5000,S$1))</f>
        <v/>
      </c>
      <c r="T279" s="88">
        <f>IF(OR(T$1="",$BE279=0),"",SUMIFS(Entries!$D$2:$D$5000,Entries!$C$2:$C$5000,"Actual",Entries!$A$2:$A$5000,$A279,Entries!$B$2:$B$5000,T$1))</f>
        <v/>
      </c>
      <c r="U279" s="88">
        <f>IF(OR(U$1="",$BE279=0),"",SUMIFS(Entries!$D$2:$D$5000,Entries!$C$2:$C$5000,"Actual",Entries!$A$2:$A$5000,$A279,Entries!$B$2:$B$5000,U$1))</f>
        <v/>
      </c>
      <c r="V279" s="88">
        <f>IF(OR(V$1="",$BE279=0),"",SUMIFS(Entries!$D$2:$D$5000,Entries!$C$2:$C$5000,"Actual",Entries!$A$2:$A$5000,$A279,Entries!$B$2:$B$5000,V$1))</f>
        <v/>
      </c>
      <c r="W279" s="88">
        <f>IF(OR(W$1="",$BE279=0),"",SUMIFS(Entries!$D$2:$D$5000,Entries!$C$2:$C$5000,"Actual",Entries!$A$2:$A$5000,$A279,Entries!$B$2:$B$5000,W$1))</f>
        <v/>
      </c>
      <c r="X279" s="88">
        <f>IF(OR(X$1="",$BE279=0),"",SUMIFS(Entries!$D$2:$D$5000,Entries!$C$2:$C$5000,"Actual",Entries!$A$2:$A$5000,$A279,Entries!$B$2:$B$5000,X$1))</f>
        <v/>
      </c>
      <c r="Y279" s="88">
        <f>IF(OR(Y$1="",$BE279=0),"",SUMIFS(Entries!$D$2:$D$5000,Entries!$C$2:$C$5000,"Actual",Entries!$A$2:$A$5000,$A279,Entries!$B$2:$B$5000,Y$1))</f>
        <v/>
      </c>
      <c r="Z279" s="88">
        <f>IF(OR(Z$1="",$BE279=0),"",SUMIFS(Entries!$D$2:$D$5000,Entries!$C$2:$C$5000,"Actual",Entries!$A$2:$A$5000,$A279,Entries!$B$2:$B$5000,Z$1))</f>
        <v/>
      </c>
      <c r="AA279" s="88">
        <f>IF(OR(AA$1="",$BE279=0),"",SUMIFS(Entries!$D$2:$D$5000,Entries!$C$2:$C$5000,"Actual",Entries!$A$2:$A$5000,$A279,Entries!$B$2:$B$5000,AA$1))</f>
        <v/>
      </c>
      <c r="AB279" s="88">
        <f>IF(OR(AB$1="",$BE279=0),"",SUMIFS(Entries!$D$2:$D$5000,Entries!$C$2:$C$5000,"Actual",Entries!$A$2:$A$5000,$A279,Entries!$B$2:$B$5000,AB$1))</f>
        <v/>
      </c>
      <c r="AC279" s="88">
        <f>IF(OR(AC$1="",$BE279=0),"",SUMIFS(Entries!$D$2:$D$5000,Entries!$C$2:$C$5000,"Actual",Entries!$A$2:$A$5000,$A279,Entries!$B$2:$B$5000,AC$1))</f>
        <v/>
      </c>
      <c r="AD279" s="88">
        <f>IF(OR(AD$1="",$BE279=0),"",SUMIFS(Entries!$D$2:$D$5000,Entries!$C$2:$C$5000,"Actual",Entries!$A$2:$A$5000,$A279,Entries!$B$2:$B$5000,AD$1))</f>
        <v/>
      </c>
      <c r="AE279" s="88">
        <f>IF(OR(AE$1="",$BE279=0),"",SUMIFS(Entries!$D$2:$D$5000,Entries!$C$2:$C$5000,"Actual",Entries!$A$2:$A$5000,$A279,Entries!$B$2:$B$5000,AE$1))</f>
        <v/>
      </c>
      <c r="AF279" s="88">
        <f>IF(OR(AF$1="",$BE279=0),"",SUMIFS(Entries!$D$2:$D$5000,Entries!$C$2:$C$5000,"Actual",Entries!$A$2:$A$5000,$A279,Entries!$B$2:$B$5000,AF$1))</f>
        <v/>
      </c>
      <c r="AG279" s="88">
        <f>IF(OR(AG$1="",$BE279=0),"",SUMIFS(Entries!$D$2:$D$5000,Entries!$C$2:$C$5000,"Actual",Entries!$A$2:$A$5000,$A279,Entries!$B$2:$B$5000,AG$1))</f>
        <v/>
      </c>
      <c r="AH279" s="88">
        <f>IF(OR(AH$1="",$BE279=0),"",SUMIFS(Entries!$D$2:$D$5000,Entries!$C$2:$C$5000,"Actual",Entries!$A$2:$A$5000,$A279,Entries!$B$2:$B$5000,AH$1))</f>
        <v/>
      </c>
      <c r="AJ279" s="88">
        <f>IF(OR(AJ$1="",$BE279=0),"",IFERROR(LOOKUP(2,1/((Budgets!$A$2:$A$200=AJ$1)*(Budgets!$B$2:$B$200&lt;=$A279)),Budgets!$C$2:$C$200),0))</f>
        <v/>
      </c>
      <c r="AK279" s="88">
        <f>IF(OR(AK$1="",$BE279=0),"",IFERROR(LOOKUP(2,1/((Budgets!$A$2:$A$200=AK$1)*(Budgets!$B$2:$B$200&lt;=$A279)),Budgets!$C$2:$C$200),0))</f>
        <v/>
      </c>
      <c r="AL279" s="88">
        <f>IF(OR(AL$1="",$BE279=0),"",IFERROR(LOOKUP(2,1/((Budgets!$A$2:$A$200=AL$1)*(Budgets!$B$2:$B$200&lt;=$A279)),Budgets!$C$2:$C$200),0))</f>
        <v/>
      </c>
      <c r="AM279" s="88">
        <f>IF(OR(AM$1="",$BE279=0),"",IFERROR(LOOKUP(2,1/((Budgets!$A$2:$A$200=AM$1)*(Budgets!$B$2:$B$200&lt;=$A279)),Budgets!$C$2:$C$200),0))</f>
        <v/>
      </c>
      <c r="AN279" s="88">
        <f>IF(OR(AN$1="",$BE279=0),"",IFERROR(LOOKUP(2,1/((Budgets!$A$2:$A$200=AN$1)*(Budgets!$B$2:$B$200&lt;=$A279)),Budgets!$C$2:$C$200),0))</f>
        <v/>
      </c>
      <c r="AO279" s="88">
        <f>IF(OR(AO$1="",$BE279=0),"",IFERROR(LOOKUP(2,1/((Budgets!$A$2:$A$200=AO$1)*(Budgets!$B$2:$B$200&lt;=$A279)),Budgets!$C$2:$C$200),0))</f>
        <v/>
      </c>
      <c r="AP279" s="88">
        <f>IF(OR(AP$1="",$BE279=0),"",IFERROR(LOOKUP(2,1/((Budgets!$A$2:$A$200=AP$1)*(Budgets!$B$2:$B$200&lt;=$A279)),Budgets!$C$2:$C$200),0))</f>
        <v/>
      </c>
      <c r="AQ279" s="88">
        <f>IF(OR(AQ$1="",$BE279=0),"",IFERROR(LOOKUP(2,1/((Budgets!$A$2:$A$200=AQ$1)*(Budgets!$B$2:$B$200&lt;=$A279)),Budgets!$C$2:$C$200),0))</f>
        <v/>
      </c>
      <c r="AR279" s="88">
        <f>IF(OR(AR$1="",$BE279=0),"",IFERROR(LOOKUP(2,1/((Budgets!$A$2:$A$200=AR$1)*(Budgets!$B$2:$B$200&lt;=$A279)),Budgets!$C$2:$C$200),0))</f>
        <v/>
      </c>
      <c r="AS279" s="88">
        <f>IF(OR(AS$1="",$BE279=0),"",IFERROR(LOOKUP(2,1/((Budgets!$A$2:$A$200=AS$1)*(Budgets!$B$2:$B$200&lt;=$A279)),Budgets!$C$2:$C$200),0))</f>
        <v/>
      </c>
      <c r="AT279" s="88">
        <f>IF(OR(AT$1="",$BE279=0),"",IFERROR(LOOKUP(2,1/((Budgets!$A$2:$A$200=AT$1)*(Budgets!$B$2:$B$200&lt;=$A279)),Budgets!$C$2:$C$200),0))</f>
        <v/>
      </c>
      <c r="AU279" s="88">
        <f>IF(OR(AU$1="",$BE279=0),"",IFERROR(LOOKUP(2,1/((Budgets!$A$2:$A$200=AU$1)*(Budgets!$B$2:$B$200&lt;=$A279)),Budgets!$C$2:$C$200),0))</f>
        <v/>
      </c>
      <c r="AV279" s="88">
        <f>IF(OR(AV$1="",$BE279=0),"",IFERROR(LOOKUP(2,1/((Budgets!$A$2:$A$200=AV$1)*(Budgets!$B$2:$B$200&lt;=$A279)),Budgets!$C$2:$C$200),0))</f>
        <v/>
      </c>
      <c r="AW279" s="88">
        <f>IF(OR(AW$1="",$BE279=0),"",IFERROR(LOOKUP(2,1/((Budgets!$A$2:$A$200=AW$1)*(Budgets!$B$2:$B$200&lt;=$A279)),Budgets!$C$2:$C$200),0))</f>
        <v/>
      </c>
      <c r="AX279" s="88">
        <f>IF(OR(AX$1="",$BE279=0),"",IFERROR(LOOKUP(2,1/((Budgets!$A$2:$A$200=AX$1)*(Budgets!$B$2:$B$200&lt;=$A279)),Budgets!$C$2:$C$200),0))</f>
        <v/>
      </c>
      <c r="AY279" s="88">
        <f>IF(OR(AY$1="",$BE279=0),"",IFERROR(LOOKUP(2,1/((Budgets!$A$2:$A$200=AY$1)*(Budgets!$B$2:$B$200&lt;=$A279)),Budgets!$C$2:$C$200),0))</f>
        <v/>
      </c>
      <c r="AZ279" s="88">
        <f>IF(OR(AZ$1="",$BE279=0),"",IFERROR(LOOKUP(2,1/((Budgets!$A$2:$A$200=AZ$1)*(Budgets!$B$2:$B$200&lt;=$A279)),Budgets!$C$2:$C$200),0))</f>
        <v/>
      </c>
      <c r="BA279" s="88">
        <f>IF(OR(BA$1="",$BE279=0),"",IFERROR(LOOKUP(2,1/((Budgets!$A$2:$A$200=BA$1)*(Budgets!$B$2:$B$200&lt;=$A279)),Budgets!$C$2:$C$200),0))</f>
        <v/>
      </c>
      <c r="BB279" s="88">
        <f>IF(OR(BB$1="",$BE279=0),"",IFERROR(LOOKUP(2,1/((Budgets!$A$2:$A$200=BB$1)*(Budgets!$B$2:$B$200&lt;=$A279)),Budgets!$C$2:$C$200),0))</f>
        <v/>
      </c>
      <c r="BC279" s="88">
        <f>IF(OR(BC$1="",$BE279=0),"",IFERROR(LOOKUP(2,1/((Budgets!$A$2:$A$200=BC$1)*(Budgets!$B$2:$B$200&lt;=$A279)),Budgets!$C$2:$C$200),0))</f>
        <v/>
      </c>
      <c r="BE279" s="67">
        <f>COUNTIFS(Entries!$A$2:$A$5000,$A279)</f>
        <v/>
      </c>
    </row>
    <row r="280" ht="15" customHeight="1" s="43">
      <c r="A280" s="87" t="n">
        <v>47908</v>
      </c>
      <c r="B280" s="88">
        <f>IF($BE280=0,NA(),SUMIFS(Entries!$D$2:$D$5000,Entries!$C$2:$C$5000,"Income",Entries!$A$2:$A$5000,$A280))</f>
        <v/>
      </c>
      <c r="C280" s="88">
        <f>IF($BE280=0,"",SUMIFS(Entries!$D$2:$D$5000,Entries!$C$2:$C$5000,"Actual",Entries!$A$2:$A$5000,$A280))</f>
        <v/>
      </c>
      <c r="D280" s="88">
        <f>IF($BE280=0,"",SUMIFS(Entries!$D$2:$D$5000,Entries!$C$2:$C$5000,"One-off",Entries!$A$2:$A$5000,$A280))</f>
        <v/>
      </c>
      <c r="E280" s="88">
        <f>IF($BE280=0,NA(),C280+D280)</f>
        <v/>
      </c>
      <c r="F280" s="88">
        <f>IF($BE280=0,"",SUM(AJ280:BC280))</f>
        <v/>
      </c>
      <c r="G280" s="88">
        <f>IF($BE280=0,"",B280-E280)</f>
        <v/>
      </c>
      <c r="H280" s="88">
        <f>IF($BE280=0,"",SUM($G$2:G280))</f>
        <v/>
      </c>
      <c r="I280" s="88">
        <f>IF($BE280=0,"",SUMIFS(Entries!$F$2:$F$5000,Entries!$A$2:$A$5000,$A280))</f>
        <v/>
      </c>
      <c r="J280" s="88">
        <f>IF($BE280=0,NA(),H280+SUM($I$2:I280))</f>
        <v/>
      </c>
      <c r="K280" s="88">
        <f>IF($BE280=0,"",SUMIFS(Entries!$D$2:$D$5000,Entries!$C$2:$C$5000,"Income",Entries!$A$2:$A$5000,"&gt;="&amp;EDATE($A280,-11),Entries!$A$2:$A$5000,"&lt;="&amp;$A280)/12)</f>
        <v/>
      </c>
      <c r="L280" s="88">
        <f>IF($BE280=0,"",(SUMIFS(Entries!$D$2:$D$5000,Entries!$C$2:$C$5000,"Actual",Entries!$A$2:$A$5000,"&gt;="&amp;EDATE($A280,-11),Entries!$A$2:$A$5000,"&lt;="&amp;$A280)+SUMIFS(Entries!$D$2:$D$5000,Entries!$C$2:$C$5000,"One-off",Entries!$A$2:$A$5000,"&gt;="&amp;EDATE($A280,-11),Entries!$A$2:$A$5000,"&lt;="&amp;$A280))/12)</f>
        <v/>
      </c>
      <c r="M280" s="71">
        <f>IF($BE280=0,NA(),IFERROR((K280-L280)/K280,0))</f>
        <v/>
      </c>
      <c r="O280" s="88">
        <f>IF(OR(O$1="",$BE280=0),"",SUMIFS(Entries!$D$2:$D$5000,Entries!$C$2:$C$5000,"Actual",Entries!$A$2:$A$5000,$A280,Entries!$B$2:$B$5000,O$1))</f>
        <v/>
      </c>
      <c r="P280" s="88">
        <f>IF(OR(P$1="",$BE280=0),"",SUMIFS(Entries!$D$2:$D$5000,Entries!$C$2:$C$5000,"Actual",Entries!$A$2:$A$5000,$A280,Entries!$B$2:$B$5000,P$1))</f>
        <v/>
      </c>
      <c r="Q280" s="88">
        <f>IF(OR(Q$1="",$BE280=0),"",SUMIFS(Entries!$D$2:$D$5000,Entries!$C$2:$C$5000,"Actual",Entries!$A$2:$A$5000,$A280,Entries!$B$2:$B$5000,Q$1))</f>
        <v/>
      </c>
      <c r="R280" s="88">
        <f>IF(OR(R$1="",$BE280=0),"",SUMIFS(Entries!$D$2:$D$5000,Entries!$C$2:$C$5000,"Actual",Entries!$A$2:$A$5000,$A280,Entries!$B$2:$B$5000,R$1))</f>
        <v/>
      </c>
      <c r="S280" s="88">
        <f>IF(OR(S$1="",$BE280=0),"",SUMIFS(Entries!$D$2:$D$5000,Entries!$C$2:$C$5000,"Actual",Entries!$A$2:$A$5000,$A280,Entries!$B$2:$B$5000,S$1))</f>
        <v/>
      </c>
      <c r="T280" s="88">
        <f>IF(OR(T$1="",$BE280=0),"",SUMIFS(Entries!$D$2:$D$5000,Entries!$C$2:$C$5000,"Actual",Entries!$A$2:$A$5000,$A280,Entries!$B$2:$B$5000,T$1))</f>
        <v/>
      </c>
      <c r="U280" s="88">
        <f>IF(OR(U$1="",$BE280=0),"",SUMIFS(Entries!$D$2:$D$5000,Entries!$C$2:$C$5000,"Actual",Entries!$A$2:$A$5000,$A280,Entries!$B$2:$B$5000,U$1))</f>
        <v/>
      </c>
      <c r="V280" s="88">
        <f>IF(OR(V$1="",$BE280=0),"",SUMIFS(Entries!$D$2:$D$5000,Entries!$C$2:$C$5000,"Actual",Entries!$A$2:$A$5000,$A280,Entries!$B$2:$B$5000,V$1))</f>
        <v/>
      </c>
      <c r="W280" s="88">
        <f>IF(OR(W$1="",$BE280=0),"",SUMIFS(Entries!$D$2:$D$5000,Entries!$C$2:$C$5000,"Actual",Entries!$A$2:$A$5000,$A280,Entries!$B$2:$B$5000,W$1))</f>
        <v/>
      </c>
      <c r="X280" s="88">
        <f>IF(OR(X$1="",$BE280=0),"",SUMIFS(Entries!$D$2:$D$5000,Entries!$C$2:$C$5000,"Actual",Entries!$A$2:$A$5000,$A280,Entries!$B$2:$B$5000,X$1))</f>
        <v/>
      </c>
      <c r="Y280" s="88">
        <f>IF(OR(Y$1="",$BE280=0),"",SUMIFS(Entries!$D$2:$D$5000,Entries!$C$2:$C$5000,"Actual",Entries!$A$2:$A$5000,$A280,Entries!$B$2:$B$5000,Y$1))</f>
        <v/>
      </c>
      <c r="Z280" s="88">
        <f>IF(OR(Z$1="",$BE280=0),"",SUMIFS(Entries!$D$2:$D$5000,Entries!$C$2:$C$5000,"Actual",Entries!$A$2:$A$5000,$A280,Entries!$B$2:$B$5000,Z$1))</f>
        <v/>
      </c>
      <c r="AA280" s="88">
        <f>IF(OR(AA$1="",$BE280=0),"",SUMIFS(Entries!$D$2:$D$5000,Entries!$C$2:$C$5000,"Actual",Entries!$A$2:$A$5000,$A280,Entries!$B$2:$B$5000,AA$1))</f>
        <v/>
      </c>
      <c r="AB280" s="88">
        <f>IF(OR(AB$1="",$BE280=0),"",SUMIFS(Entries!$D$2:$D$5000,Entries!$C$2:$C$5000,"Actual",Entries!$A$2:$A$5000,$A280,Entries!$B$2:$B$5000,AB$1))</f>
        <v/>
      </c>
      <c r="AC280" s="88">
        <f>IF(OR(AC$1="",$BE280=0),"",SUMIFS(Entries!$D$2:$D$5000,Entries!$C$2:$C$5000,"Actual",Entries!$A$2:$A$5000,$A280,Entries!$B$2:$B$5000,AC$1))</f>
        <v/>
      </c>
      <c r="AD280" s="88">
        <f>IF(OR(AD$1="",$BE280=0),"",SUMIFS(Entries!$D$2:$D$5000,Entries!$C$2:$C$5000,"Actual",Entries!$A$2:$A$5000,$A280,Entries!$B$2:$B$5000,AD$1))</f>
        <v/>
      </c>
      <c r="AE280" s="88">
        <f>IF(OR(AE$1="",$BE280=0),"",SUMIFS(Entries!$D$2:$D$5000,Entries!$C$2:$C$5000,"Actual",Entries!$A$2:$A$5000,$A280,Entries!$B$2:$B$5000,AE$1))</f>
        <v/>
      </c>
      <c r="AF280" s="88">
        <f>IF(OR(AF$1="",$BE280=0),"",SUMIFS(Entries!$D$2:$D$5000,Entries!$C$2:$C$5000,"Actual",Entries!$A$2:$A$5000,$A280,Entries!$B$2:$B$5000,AF$1))</f>
        <v/>
      </c>
      <c r="AG280" s="88">
        <f>IF(OR(AG$1="",$BE280=0),"",SUMIFS(Entries!$D$2:$D$5000,Entries!$C$2:$C$5000,"Actual",Entries!$A$2:$A$5000,$A280,Entries!$B$2:$B$5000,AG$1))</f>
        <v/>
      </c>
      <c r="AH280" s="88">
        <f>IF(OR(AH$1="",$BE280=0),"",SUMIFS(Entries!$D$2:$D$5000,Entries!$C$2:$C$5000,"Actual",Entries!$A$2:$A$5000,$A280,Entries!$B$2:$B$5000,AH$1))</f>
        <v/>
      </c>
      <c r="AJ280" s="88">
        <f>IF(OR(AJ$1="",$BE280=0),"",IFERROR(LOOKUP(2,1/((Budgets!$A$2:$A$200=AJ$1)*(Budgets!$B$2:$B$200&lt;=$A280)),Budgets!$C$2:$C$200),0))</f>
        <v/>
      </c>
      <c r="AK280" s="88">
        <f>IF(OR(AK$1="",$BE280=0),"",IFERROR(LOOKUP(2,1/((Budgets!$A$2:$A$200=AK$1)*(Budgets!$B$2:$B$200&lt;=$A280)),Budgets!$C$2:$C$200),0))</f>
        <v/>
      </c>
      <c r="AL280" s="88">
        <f>IF(OR(AL$1="",$BE280=0),"",IFERROR(LOOKUP(2,1/((Budgets!$A$2:$A$200=AL$1)*(Budgets!$B$2:$B$200&lt;=$A280)),Budgets!$C$2:$C$200),0))</f>
        <v/>
      </c>
      <c r="AM280" s="88">
        <f>IF(OR(AM$1="",$BE280=0),"",IFERROR(LOOKUP(2,1/((Budgets!$A$2:$A$200=AM$1)*(Budgets!$B$2:$B$200&lt;=$A280)),Budgets!$C$2:$C$200),0))</f>
        <v/>
      </c>
      <c r="AN280" s="88">
        <f>IF(OR(AN$1="",$BE280=0),"",IFERROR(LOOKUP(2,1/((Budgets!$A$2:$A$200=AN$1)*(Budgets!$B$2:$B$200&lt;=$A280)),Budgets!$C$2:$C$200),0))</f>
        <v/>
      </c>
      <c r="AO280" s="88">
        <f>IF(OR(AO$1="",$BE280=0),"",IFERROR(LOOKUP(2,1/((Budgets!$A$2:$A$200=AO$1)*(Budgets!$B$2:$B$200&lt;=$A280)),Budgets!$C$2:$C$200),0))</f>
        <v/>
      </c>
      <c r="AP280" s="88">
        <f>IF(OR(AP$1="",$BE280=0),"",IFERROR(LOOKUP(2,1/((Budgets!$A$2:$A$200=AP$1)*(Budgets!$B$2:$B$200&lt;=$A280)),Budgets!$C$2:$C$200),0))</f>
        <v/>
      </c>
      <c r="AQ280" s="88">
        <f>IF(OR(AQ$1="",$BE280=0),"",IFERROR(LOOKUP(2,1/((Budgets!$A$2:$A$200=AQ$1)*(Budgets!$B$2:$B$200&lt;=$A280)),Budgets!$C$2:$C$200),0))</f>
        <v/>
      </c>
      <c r="AR280" s="88">
        <f>IF(OR(AR$1="",$BE280=0),"",IFERROR(LOOKUP(2,1/((Budgets!$A$2:$A$200=AR$1)*(Budgets!$B$2:$B$200&lt;=$A280)),Budgets!$C$2:$C$200),0))</f>
        <v/>
      </c>
      <c r="AS280" s="88">
        <f>IF(OR(AS$1="",$BE280=0),"",IFERROR(LOOKUP(2,1/((Budgets!$A$2:$A$200=AS$1)*(Budgets!$B$2:$B$200&lt;=$A280)),Budgets!$C$2:$C$200),0))</f>
        <v/>
      </c>
      <c r="AT280" s="88">
        <f>IF(OR(AT$1="",$BE280=0),"",IFERROR(LOOKUP(2,1/((Budgets!$A$2:$A$200=AT$1)*(Budgets!$B$2:$B$200&lt;=$A280)),Budgets!$C$2:$C$200),0))</f>
        <v/>
      </c>
      <c r="AU280" s="88">
        <f>IF(OR(AU$1="",$BE280=0),"",IFERROR(LOOKUP(2,1/((Budgets!$A$2:$A$200=AU$1)*(Budgets!$B$2:$B$200&lt;=$A280)),Budgets!$C$2:$C$200),0))</f>
        <v/>
      </c>
      <c r="AV280" s="88">
        <f>IF(OR(AV$1="",$BE280=0),"",IFERROR(LOOKUP(2,1/((Budgets!$A$2:$A$200=AV$1)*(Budgets!$B$2:$B$200&lt;=$A280)),Budgets!$C$2:$C$200),0))</f>
        <v/>
      </c>
      <c r="AW280" s="88">
        <f>IF(OR(AW$1="",$BE280=0),"",IFERROR(LOOKUP(2,1/((Budgets!$A$2:$A$200=AW$1)*(Budgets!$B$2:$B$200&lt;=$A280)),Budgets!$C$2:$C$200),0))</f>
        <v/>
      </c>
      <c r="AX280" s="88">
        <f>IF(OR(AX$1="",$BE280=0),"",IFERROR(LOOKUP(2,1/((Budgets!$A$2:$A$200=AX$1)*(Budgets!$B$2:$B$200&lt;=$A280)),Budgets!$C$2:$C$200),0))</f>
        <v/>
      </c>
      <c r="AY280" s="88">
        <f>IF(OR(AY$1="",$BE280=0),"",IFERROR(LOOKUP(2,1/((Budgets!$A$2:$A$200=AY$1)*(Budgets!$B$2:$B$200&lt;=$A280)),Budgets!$C$2:$C$200),0))</f>
        <v/>
      </c>
      <c r="AZ280" s="88">
        <f>IF(OR(AZ$1="",$BE280=0),"",IFERROR(LOOKUP(2,1/((Budgets!$A$2:$A$200=AZ$1)*(Budgets!$B$2:$B$200&lt;=$A280)),Budgets!$C$2:$C$200),0))</f>
        <v/>
      </c>
      <c r="BA280" s="88">
        <f>IF(OR(BA$1="",$BE280=0),"",IFERROR(LOOKUP(2,1/((Budgets!$A$2:$A$200=BA$1)*(Budgets!$B$2:$B$200&lt;=$A280)),Budgets!$C$2:$C$200),0))</f>
        <v/>
      </c>
      <c r="BB280" s="88">
        <f>IF(OR(BB$1="",$BE280=0),"",IFERROR(LOOKUP(2,1/((Budgets!$A$2:$A$200=BB$1)*(Budgets!$B$2:$B$200&lt;=$A280)),Budgets!$C$2:$C$200),0))</f>
        <v/>
      </c>
      <c r="BC280" s="88">
        <f>IF(OR(BC$1="",$BE280=0),"",IFERROR(LOOKUP(2,1/((Budgets!$A$2:$A$200=BC$1)*(Budgets!$B$2:$B$200&lt;=$A280)),Budgets!$C$2:$C$200),0))</f>
        <v/>
      </c>
      <c r="BE280" s="67">
        <f>COUNTIFS(Entries!$A$2:$A$5000,$A280)</f>
        <v/>
      </c>
    </row>
    <row r="281" ht="15" customHeight="1" s="43">
      <c r="A281" s="87" t="n">
        <v>47939</v>
      </c>
      <c r="B281" s="88">
        <f>IF($BE281=0,NA(),SUMIFS(Entries!$D$2:$D$5000,Entries!$C$2:$C$5000,"Income",Entries!$A$2:$A$5000,$A281))</f>
        <v/>
      </c>
      <c r="C281" s="88">
        <f>IF($BE281=0,"",SUMIFS(Entries!$D$2:$D$5000,Entries!$C$2:$C$5000,"Actual",Entries!$A$2:$A$5000,$A281))</f>
        <v/>
      </c>
      <c r="D281" s="88">
        <f>IF($BE281=0,"",SUMIFS(Entries!$D$2:$D$5000,Entries!$C$2:$C$5000,"One-off",Entries!$A$2:$A$5000,$A281))</f>
        <v/>
      </c>
      <c r="E281" s="88">
        <f>IF($BE281=0,NA(),C281+D281)</f>
        <v/>
      </c>
      <c r="F281" s="88">
        <f>IF($BE281=0,"",SUM(AJ281:BC281))</f>
        <v/>
      </c>
      <c r="G281" s="88">
        <f>IF($BE281=0,"",B281-E281)</f>
        <v/>
      </c>
      <c r="H281" s="88">
        <f>IF($BE281=0,"",SUM($G$2:G281))</f>
        <v/>
      </c>
      <c r="I281" s="88">
        <f>IF($BE281=0,"",SUMIFS(Entries!$F$2:$F$5000,Entries!$A$2:$A$5000,$A281))</f>
        <v/>
      </c>
      <c r="J281" s="88">
        <f>IF($BE281=0,NA(),H281+SUM($I$2:I281))</f>
        <v/>
      </c>
      <c r="K281" s="88">
        <f>IF($BE281=0,"",SUMIFS(Entries!$D$2:$D$5000,Entries!$C$2:$C$5000,"Income",Entries!$A$2:$A$5000,"&gt;="&amp;EDATE($A281,-11),Entries!$A$2:$A$5000,"&lt;="&amp;$A281)/12)</f>
        <v/>
      </c>
      <c r="L281" s="88">
        <f>IF($BE281=0,"",(SUMIFS(Entries!$D$2:$D$5000,Entries!$C$2:$C$5000,"Actual",Entries!$A$2:$A$5000,"&gt;="&amp;EDATE($A281,-11),Entries!$A$2:$A$5000,"&lt;="&amp;$A281)+SUMIFS(Entries!$D$2:$D$5000,Entries!$C$2:$C$5000,"One-off",Entries!$A$2:$A$5000,"&gt;="&amp;EDATE($A281,-11),Entries!$A$2:$A$5000,"&lt;="&amp;$A281))/12)</f>
        <v/>
      </c>
      <c r="M281" s="71">
        <f>IF($BE281=0,NA(),IFERROR((K281-L281)/K281,0))</f>
        <v/>
      </c>
      <c r="O281" s="88">
        <f>IF(OR(O$1="",$BE281=0),"",SUMIFS(Entries!$D$2:$D$5000,Entries!$C$2:$C$5000,"Actual",Entries!$A$2:$A$5000,$A281,Entries!$B$2:$B$5000,O$1))</f>
        <v/>
      </c>
      <c r="P281" s="88">
        <f>IF(OR(P$1="",$BE281=0),"",SUMIFS(Entries!$D$2:$D$5000,Entries!$C$2:$C$5000,"Actual",Entries!$A$2:$A$5000,$A281,Entries!$B$2:$B$5000,P$1))</f>
        <v/>
      </c>
      <c r="Q281" s="88">
        <f>IF(OR(Q$1="",$BE281=0),"",SUMIFS(Entries!$D$2:$D$5000,Entries!$C$2:$C$5000,"Actual",Entries!$A$2:$A$5000,$A281,Entries!$B$2:$B$5000,Q$1))</f>
        <v/>
      </c>
      <c r="R281" s="88">
        <f>IF(OR(R$1="",$BE281=0),"",SUMIFS(Entries!$D$2:$D$5000,Entries!$C$2:$C$5000,"Actual",Entries!$A$2:$A$5000,$A281,Entries!$B$2:$B$5000,R$1))</f>
        <v/>
      </c>
      <c r="S281" s="88">
        <f>IF(OR(S$1="",$BE281=0),"",SUMIFS(Entries!$D$2:$D$5000,Entries!$C$2:$C$5000,"Actual",Entries!$A$2:$A$5000,$A281,Entries!$B$2:$B$5000,S$1))</f>
        <v/>
      </c>
      <c r="T281" s="88">
        <f>IF(OR(T$1="",$BE281=0),"",SUMIFS(Entries!$D$2:$D$5000,Entries!$C$2:$C$5000,"Actual",Entries!$A$2:$A$5000,$A281,Entries!$B$2:$B$5000,T$1))</f>
        <v/>
      </c>
      <c r="U281" s="88">
        <f>IF(OR(U$1="",$BE281=0),"",SUMIFS(Entries!$D$2:$D$5000,Entries!$C$2:$C$5000,"Actual",Entries!$A$2:$A$5000,$A281,Entries!$B$2:$B$5000,U$1))</f>
        <v/>
      </c>
      <c r="V281" s="88">
        <f>IF(OR(V$1="",$BE281=0),"",SUMIFS(Entries!$D$2:$D$5000,Entries!$C$2:$C$5000,"Actual",Entries!$A$2:$A$5000,$A281,Entries!$B$2:$B$5000,V$1))</f>
        <v/>
      </c>
      <c r="W281" s="88">
        <f>IF(OR(W$1="",$BE281=0),"",SUMIFS(Entries!$D$2:$D$5000,Entries!$C$2:$C$5000,"Actual",Entries!$A$2:$A$5000,$A281,Entries!$B$2:$B$5000,W$1))</f>
        <v/>
      </c>
      <c r="X281" s="88">
        <f>IF(OR(X$1="",$BE281=0),"",SUMIFS(Entries!$D$2:$D$5000,Entries!$C$2:$C$5000,"Actual",Entries!$A$2:$A$5000,$A281,Entries!$B$2:$B$5000,X$1))</f>
        <v/>
      </c>
      <c r="Y281" s="88">
        <f>IF(OR(Y$1="",$BE281=0),"",SUMIFS(Entries!$D$2:$D$5000,Entries!$C$2:$C$5000,"Actual",Entries!$A$2:$A$5000,$A281,Entries!$B$2:$B$5000,Y$1))</f>
        <v/>
      </c>
      <c r="Z281" s="88">
        <f>IF(OR(Z$1="",$BE281=0),"",SUMIFS(Entries!$D$2:$D$5000,Entries!$C$2:$C$5000,"Actual",Entries!$A$2:$A$5000,$A281,Entries!$B$2:$B$5000,Z$1))</f>
        <v/>
      </c>
      <c r="AA281" s="88">
        <f>IF(OR(AA$1="",$BE281=0),"",SUMIFS(Entries!$D$2:$D$5000,Entries!$C$2:$C$5000,"Actual",Entries!$A$2:$A$5000,$A281,Entries!$B$2:$B$5000,AA$1))</f>
        <v/>
      </c>
      <c r="AB281" s="88">
        <f>IF(OR(AB$1="",$BE281=0),"",SUMIFS(Entries!$D$2:$D$5000,Entries!$C$2:$C$5000,"Actual",Entries!$A$2:$A$5000,$A281,Entries!$B$2:$B$5000,AB$1))</f>
        <v/>
      </c>
      <c r="AC281" s="88">
        <f>IF(OR(AC$1="",$BE281=0),"",SUMIFS(Entries!$D$2:$D$5000,Entries!$C$2:$C$5000,"Actual",Entries!$A$2:$A$5000,$A281,Entries!$B$2:$B$5000,AC$1))</f>
        <v/>
      </c>
      <c r="AD281" s="88">
        <f>IF(OR(AD$1="",$BE281=0),"",SUMIFS(Entries!$D$2:$D$5000,Entries!$C$2:$C$5000,"Actual",Entries!$A$2:$A$5000,$A281,Entries!$B$2:$B$5000,AD$1))</f>
        <v/>
      </c>
      <c r="AE281" s="88">
        <f>IF(OR(AE$1="",$BE281=0),"",SUMIFS(Entries!$D$2:$D$5000,Entries!$C$2:$C$5000,"Actual",Entries!$A$2:$A$5000,$A281,Entries!$B$2:$B$5000,AE$1))</f>
        <v/>
      </c>
      <c r="AF281" s="88">
        <f>IF(OR(AF$1="",$BE281=0),"",SUMIFS(Entries!$D$2:$D$5000,Entries!$C$2:$C$5000,"Actual",Entries!$A$2:$A$5000,$A281,Entries!$B$2:$B$5000,AF$1))</f>
        <v/>
      </c>
      <c r="AG281" s="88">
        <f>IF(OR(AG$1="",$BE281=0),"",SUMIFS(Entries!$D$2:$D$5000,Entries!$C$2:$C$5000,"Actual",Entries!$A$2:$A$5000,$A281,Entries!$B$2:$B$5000,AG$1))</f>
        <v/>
      </c>
      <c r="AH281" s="88">
        <f>IF(OR(AH$1="",$BE281=0),"",SUMIFS(Entries!$D$2:$D$5000,Entries!$C$2:$C$5000,"Actual",Entries!$A$2:$A$5000,$A281,Entries!$B$2:$B$5000,AH$1))</f>
        <v/>
      </c>
      <c r="AJ281" s="88">
        <f>IF(OR(AJ$1="",$BE281=0),"",IFERROR(LOOKUP(2,1/((Budgets!$A$2:$A$200=AJ$1)*(Budgets!$B$2:$B$200&lt;=$A281)),Budgets!$C$2:$C$200),0))</f>
        <v/>
      </c>
      <c r="AK281" s="88">
        <f>IF(OR(AK$1="",$BE281=0),"",IFERROR(LOOKUP(2,1/((Budgets!$A$2:$A$200=AK$1)*(Budgets!$B$2:$B$200&lt;=$A281)),Budgets!$C$2:$C$200),0))</f>
        <v/>
      </c>
      <c r="AL281" s="88">
        <f>IF(OR(AL$1="",$BE281=0),"",IFERROR(LOOKUP(2,1/((Budgets!$A$2:$A$200=AL$1)*(Budgets!$B$2:$B$200&lt;=$A281)),Budgets!$C$2:$C$200),0))</f>
        <v/>
      </c>
      <c r="AM281" s="88">
        <f>IF(OR(AM$1="",$BE281=0),"",IFERROR(LOOKUP(2,1/((Budgets!$A$2:$A$200=AM$1)*(Budgets!$B$2:$B$200&lt;=$A281)),Budgets!$C$2:$C$200),0))</f>
        <v/>
      </c>
      <c r="AN281" s="88">
        <f>IF(OR(AN$1="",$BE281=0),"",IFERROR(LOOKUP(2,1/((Budgets!$A$2:$A$200=AN$1)*(Budgets!$B$2:$B$200&lt;=$A281)),Budgets!$C$2:$C$200),0))</f>
        <v/>
      </c>
      <c r="AO281" s="88">
        <f>IF(OR(AO$1="",$BE281=0),"",IFERROR(LOOKUP(2,1/((Budgets!$A$2:$A$200=AO$1)*(Budgets!$B$2:$B$200&lt;=$A281)),Budgets!$C$2:$C$200),0))</f>
        <v/>
      </c>
      <c r="AP281" s="88">
        <f>IF(OR(AP$1="",$BE281=0),"",IFERROR(LOOKUP(2,1/((Budgets!$A$2:$A$200=AP$1)*(Budgets!$B$2:$B$200&lt;=$A281)),Budgets!$C$2:$C$200),0))</f>
        <v/>
      </c>
      <c r="AQ281" s="88">
        <f>IF(OR(AQ$1="",$BE281=0),"",IFERROR(LOOKUP(2,1/((Budgets!$A$2:$A$200=AQ$1)*(Budgets!$B$2:$B$200&lt;=$A281)),Budgets!$C$2:$C$200),0))</f>
        <v/>
      </c>
      <c r="AR281" s="88">
        <f>IF(OR(AR$1="",$BE281=0),"",IFERROR(LOOKUP(2,1/((Budgets!$A$2:$A$200=AR$1)*(Budgets!$B$2:$B$200&lt;=$A281)),Budgets!$C$2:$C$200),0))</f>
        <v/>
      </c>
      <c r="AS281" s="88">
        <f>IF(OR(AS$1="",$BE281=0),"",IFERROR(LOOKUP(2,1/((Budgets!$A$2:$A$200=AS$1)*(Budgets!$B$2:$B$200&lt;=$A281)),Budgets!$C$2:$C$200),0))</f>
        <v/>
      </c>
      <c r="AT281" s="88">
        <f>IF(OR(AT$1="",$BE281=0),"",IFERROR(LOOKUP(2,1/((Budgets!$A$2:$A$200=AT$1)*(Budgets!$B$2:$B$200&lt;=$A281)),Budgets!$C$2:$C$200),0))</f>
        <v/>
      </c>
      <c r="AU281" s="88">
        <f>IF(OR(AU$1="",$BE281=0),"",IFERROR(LOOKUP(2,1/((Budgets!$A$2:$A$200=AU$1)*(Budgets!$B$2:$B$200&lt;=$A281)),Budgets!$C$2:$C$200),0))</f>
        <v/>
      </c>
      <c r="AV281" s="88">
        <f>IF(OR(AV$1="",$BE281=0),"",IFERROR(LOOKUP(2,1/((Budgets!$A$2:$A$200=AV$1)*(Budgets!$B$2:$B$200&lt;=$A281)),Budgets!$C$2:$C$200),0))</f>
        <v/>
      </c>
      <c r="AW281" s="88">
        <f>IF(OR(AW$1="",$BE281=0),"",IFERROR(LOOKUP(2,1/((Budgets!$A$2:$A$200=AW$1)*(Budgets!$B$2:$B$200&lt;=$A281)),Budgets!$C$2:$C$200),0))</f>
        <v/>
      </c>
      <c r="AX281" s="88">
        <f>IF(OR(AX$1="",$BE281=0),"",IFERROR(LOOKUP(2,1/((Budgets!$A$2:$A$200=AX$1)*(Budgets!$B$2:$B$200&lt;=$A281)),Budgets!$C$2:$C$200),0))</f>
        <v/>
      </c>
      <c r="AY281" s="88">
        <f>IF(OR(AY$1="",$BE281=0),"",IFERROR(LOOKUP(2,1/((Budgets!$A$2:$A$200=AY$1)*(Budgets!$B$2:$B$200&lt;=$A281)),Budgets!$C$2:$C$200),0))</f>
        <v/>
      </c>
      <c r="AZ281" s="88">
        <f>IF(OR(AZ$1="",$BE281=0),"",IFERROR(LOOKUP(2,1/((Budgets!$A$2:$A$200=AZ$1)*(Budgets!$B$2:$B$200&lt;=$A281)),Budgets!$C$2:$C$200),0))</f>
        <v/>
      </c>
      <c r="BA281" s="88">
        <f>IF(OR(BA$1="",$BE281=0),"",IFERROR(LOOKUP(2,1/((Budgets!$A$2:$A$200=BA$1)*(Budgets!$B$2:$B$200&lt;=$A281)),Budgets!$C$2:$C$200),0))</f>
        <v/>
      </c>
      <c r="BB281" s="88">
        <f>IF(OR(BB$1="",$BE281=0),"",IFERROR(LOOKUP(2,1/((Budgets!$A$2:$A$200=BB$1)*(Budgets!$B$2:$B$200&lt;=$A281)),Budgets!$C$2:$C$200),0))</f>
        <v/>
      </c>
      <c r="BC281" s="88">
        <f>IF(OR(BC$1="",$BE281=0),"",IFERROR(LOOKUP(2,1/((Budgets!$A$2:$A$200=BC$1)*(Budgets!$B$2:$B$200&lt;=$A281)),Budgets!$C$2:$C$200),0))</f>
        <v/>
      </c>
      <c r="BE281" s="67">
        <f>COUNTIFS(Entries!$A$2:$A$5000,$A281)</f>
        <v/>
      </c>
    </row>
    <row r="282" ht="15" customHeight="1" s="43">
      <c r="A282" s="87" t="n">
        <v>47969</v>
      </c>
      <c r="B282" s="88">
        <f>IF($BE282=0,NA(),SUMIFS(Entries!$D$2:$D$5000,Entries!$C$2:$C$5000,"Income",Entries!$A$2:$A$5000,$A282))</f>
        <v/>
      </c>
      <c r="C282" s="88">
        <f>IF($BE282=0,"",SUMIFS(Entries!$D$2:$D$5000,Entries!$C$2:$C$5000,"Actual",Entries!$A$2:$A$5000,$A282))</f>
        <v/>
      </c>
      <c r="D282" s="88">
        <f>IF($BE282=0,"",SUMIFS(Entries!$D$2:$D$5000,Entries!$C$2:$C$5000,"One-off",Entries!$A$2:$A$5000,$A282))</f>
        <v/>
      </c>
      <c r="E282" s="88">
        <f>IF($BE282=0,NA(),C282+D282)</f>
        <v/>
      </c>
      <c r="F282" s="88">
        <f>IF($BE282=0,"",SUM(AJ282:BC282))</f>
        <v/>
      </c>
      <c r="G282" s="88">
        <f>IF($BE282=0,"",B282-E282)</f>
        <v/>
      </c>
      <c r="H282" s="88">
        <f>IF($BE282=0,"",SUM($G$2:G282))</f>
        <v/>
      </c>
      <c r="I282" s="88">
        <f>IF($BE282=0,"",SUMIFS(Entries!$F$2:$F$5000,Entries!$A$2:$A$5000,$A282))</f>
        <v/>
      </c>
      <c r="J282" s="88">
        <f>IF($BE282=0,NA(),H282+SUM($I$2:I282))</f>
        <v/>
      </c>
      <c r="K282" s="88">
        <f>IF($BE282=0,"",SUMIFS(Entries!$D$2:$D$5000,Entries!$C$2:$C$5000,"Income",Entries!$A$2:$A$5000,"&gt;="&amp;EDATE($A282,-11),Entries!$A$2:$A$5000,"&lt;="&amp;$A282)/12)</f>
        <v/>
      </c>
      <c r="L282" s="88">
        <f>IF($BE282=0,"",(SUMIFS(Entries!$D$2:$D$5000,Entries!$C$2:$C$5000,"Actual",Entries!$A$2:$A$5000,"&gt;="&amp;EDATE($A282,-11),Entries!$A$2:$A$5000,"&lt;="&amp;$A282)+SUMIFS(Entries!$D$2:$D$5000,Entries!$C$2:$C$5000,"One-off",Entries!$A$2:$A$5000,"&gt;="&amp;EDATE($A282,-11),Entries!$A$2:$A$5000,"&lt;="&amp;$A282))/12)</f>
        <v/>
      </c>
      <c r="M282" s="71">
        <f>IF($BE282=0,NA(),IFERROR((K282-L282)/K282,0))</f>
        <v/>
      </c>
      <c r="O282" s="88">
        <f>IF(OR(O$1="",$BE282=0),"",SUMIFS(Entries!$D$2:$D$5000,Entries!$C$2:$C$5000,"Actual",Entries!$A$2:$A$5000,$A282,Entries!$B$2:$B$5000,O$1))</f>
        <v/>
      </c>
      <c r="P282" s="88">
        <f>IF(OR(P$1="",$BE282=0),"",SUMIFS(Entries!$D$2:$D$5000,Entries!$C$2:$C$5000,"Actual",Entries!$A$2:$A$5000,$A282,Entries!$B$2:$B$5000,P$1))</f>
        <v/>
      </c>
      <c r="Q282" s="88">
        <f>IF(OR(Q$1="",$BE282=0),"",SUMIFS(Entries!$D$2:$D$5000,Entries!$C$2:$C$5000,"Actual",Entries!$A$2:$A$5000,$A282,Entries!$B$2:$B$5000,Q$1))</f>
        <v/>
      </c>
      <c r="R282" s="88">
        <f>IF(OR(R$1="",$BE282=0),"",SUMIFS(Entries!$D$2:$D$5000,Entries!$C$2:$C$5000,"Actual",Entries!$A$2:$A$5000,$A282,Entries!$B$2:$B$5000,R$1))</f>
        <v/>
      </c>
      <c r="S282" s="88">
        <f>IF(OR(S$1="",$BE282=0),"",SUMIFS(Entries!$D$2:$D$5000,Entries!$C$2:$C$5000,"Actual",Entries!$A$2:$A$5000,$A282,Entries!$B$2:$B$5000,S$1))</f>
        <v/>
      </c>
      <c r="T282" s="88">
        <f>IF(OR(T$1="",$BE282=0),"",SUMIFS(Entries!$D$2:$D$5000,Entries!$C$2:$C$5000,"Actual",Entries!$A$2:$A$5000,$A282,Entries!$B$2:$B$5000,T$1))</f>
        <v/>
      </c>
      <c r="U282" s="88">
        <f>IF(OR(U$1="",$BE282=0),"",SUMIFS(Entries!$D$2:$D$5000,Entries!$C$2:$C$5000,"Actual",Entries!$A$2:$A$5000,$A282,Entries!$B$2:$B$5000,U$1))</f>
        <v/>
      </c>
      <c r="V282" s="88">
        <f>IF(OR(V$1="",$BE282=0),"",SUMIFS(Entries!$D$2:$D$5000,Entries!$C$2:$C$5000,"Actual",Entries!$A$2:$A$5000,$A282,Entries!$B$2:$B$5000,V$1))</f>
        <v/>
      </c>
      <c r="W282" s="88">
        <f>IF(OR(W$1="",$BE282=0),"",SUMIFS(Entries!$D$2:$D$5000,Entries!$C$2:$C$5000,"Actual",Entries!$A$2:$A$5000,$A282,Entries!$B$2:$B$5000,W$1))</f>
        <v/>
      </c>
      <c r="X282" s="88">
        <f>IF(OR(X$1="",$BE282=0),"",SUMIFS(Entries!$D$2:$D$5000,Entries!$C$2:$C$5000,"Actual",Entries!$A$2:$A$5000,$A282,Entries!$B$2:$B$5000,X$1))</f>
        <v/>
      </c>
      <c r="Y282" s="88">
        <f>IF(OR(Y$1="",$BE282=0),"",SUMIFS(Entries!$D$2:$D$5000,Entries!$C$2:$C$5000,"Actual",Entries!$A$2:$A$5000,$A282,Entries!$B$2:$B$5000,Y$1))</f>
        <v/>
      </c>
      <c r="Z282" s="88">
        <f>IF(OR(Z$1="",$BE282=0),"",SUMIFS(Entries!$D$2:$D$5000,Entries!$C$2:$C$5000,"Actual",Entries!$A$2:$A$5000,$A282,Entries!$B$2:$B$5000,Z$1))</f>
        <v/>
      </c>
      <c r="AA282" s="88">
        <f>IF(OR(AA$1="",$BE282=0),"",SUMIFS(Entries!$D$2:$D$5000,Entries!$C$2:$C$5000,"Actual",Entries!$A$2:$A$5000,$A282,Entries!$B$2:$B$5000,AA$1))</f>
        <v/>
      </c>
      <c r="AB282" s="88">
        <f>IF(OR(AB$1="",$BE282=0),"",SUMIFS(Entries!$D$2:$D$5000,Entries!$C$2:$C$5000,"Actual",Entries!$A$2:$A$5000,$A282,Entries!$B$2:$B$5000,AB$1))</f>
        <v/>
      </c>
      <c r="AC282" s="88">
        <f>IF(OR(AC$1="",$BE282=0),"",SUMIFS(Entries!$D$2:$D$5000,Entries!$C$2:$C$5000,"Actual",Entries!$A$2:$A$5000,$A282,Entries!$B$2:$B$5000,AC$1))</f>
        <v/>
      </c>
      <c r="AD282" s="88">
        <f>IF(OR(AD$1="",$BE282=0),"",SUMIFS(Entries!$D$2:$D$5000,Entries!$C$2:$C$5000,"Actual",Entries!$A$2:$A$5000,$A282,Entries!$B$2:$B$5000,AD$1))</f>
        <v/>
      </c>
      <c r="AE282" s="88">
        <f>IF(OR(AE$1="",$BE282=0),"",SUMIFS(Entries!$D$2:$D$5000,Entries!$C$2:$C$5000,"Actual",Entries!$A$2:$A$5000,$A282,Entries!$B$2:$B$5000,AE$1))</f>
        <v/>
      </c>
      <c r="AF282" s="88">
        <f>IF(OR(AF$1="",$BE282=0),"",SUMIFS(Entries!$D$2:$D$5000,Entries!$C$2:$C$5000,"Actual",Entries!$A$2:$A$5000,$A282,Entries!$B$2:$B$5000,AF$1))</f>
        <v/>
      </c>
      <c r="AG282" s="88">
        <f>IF(OR(AG$1="",$BE282=0),"",SUMIFS(Entries!$D$2:$D$5000,Entries!$C$2:$C$5000,"Actual",Entries!$A$2:$A$5000,$A282,Entries!$B$2:$B$5000,AG$1))</f>
        <v/>
      </c>
      <c r="AH282" s="88">
        <f>IF(OR(AH$1="",$BE282=0),"",SUMIFS(Entries!$D$2:$D$5000,Entries!$C$2:$C$5000,"Actual",Entries!$A$2:$A$5000,$A282,Entries!$B$2:$B$5000,AH$1))</f>
        <v/>
      </c>
      <c r="AJ282" s="88">
        <f>IF(OR(AJ$1="",$BE282=0),"",IFERROR(LOOKUP(2,1/((Budgets!$A$2:$A$200=AJ$1)*(Budgets!$B$2:$B$200&lt;=$A282)),Budgets!$C$2:$C$200),0))</f>
        <v/>
      </c>
      <c r="AK282" s="88">
        <f>IF(OR(AK$1="",$BE282=0),"",IFERROR(LOOKUP(2,1/((Budgets!$A$2:$A$200=AK$1)*(Budgets!$B$2:$B$200&lt;=$A282)),Budgets!$C$2:$C$200),0))</f>
        <v/>
      </c>
      <c r="AL282" s="88">
        <f>IF(OR(AL$1="",$BE282=0),"",IFERROR(LOOKUP(2,1/((Budgets!$A$2:$A$200=AL$1)*(Budgets!$B$2:$B$200&lt;=$A282)),Budgets!$C$2:$C$200),0))</f>
        <v/>
      </c>
      <c r="AM282" s="88">
        <f>IF(OR(AM$1="",$BE282=0),"",IFERROR(LOOKUP(2,1/((Budgets!$A$2:$A$200=AM$1)*(Budgets!$B$2:$B$200&lt;=$A282)),Budgets!$C$2:$C$200),0))</f>
        <v/>
      </c>
      <c r="AN282" s="88">
        <f>IF(OR(AN$1="",$BE282=0),"",IFERROR(LOOKUP(2,1/((Budgets!$A$2:$A$200=AN$1)*(Budgets!$B$2:$B$200&lt;=$A282)),Budgets!$C$2:$C$200),0))</f>
        <v/>
      </c>
      <c r="AO282" s="88">
        <f>IF(OR(AO$1="",$BE282=0),"",IFERROR(LOOKUP(2,1/((Budgets!$A$2:$A$200=AO$1)*(Budgets!$B$2:$B$200&lt;=$A282)),Budgets!$C$2:$C$200),0))</f>
        <v/>
      </c>
      <c r="AP282" s="88">
        <f>IF(OR(AP$1="",$BE282=0),"",IFERROR(LOOKUP(2,1/((Budgets!$A$2:$A$200=AP$1)*(Budgets!$B$2:$B$200&lt;=$A282)),Budgets!$C$2:$C$200),0))</f>
        <v/>
      </c>
      <c r="AQ282" s="88">
        <f>IF(OR(AQ$1="",$BE282=0),"",IFERROR(LOOKUP(2,1/((Budgets!$A$2:$A$200=AQ$1)*(Budgets!$B$2:$B$200&lt;=$A282)),Budgets!$C$2:$C$200),0))</f>
        <v/>
      </c>
      <c r="AR282" s="88">
        <f>IF(OR(AR$1="",$BE282=0),"",IFERROR(LOOKUP(2,1/((Budgets!$A$2:$A$200=AR$1)*(Budgets!$B$2:$B$200&lt;=$A282)),Budgets!$C$2:$C$200),0))</f>
        <v/>
      </c>
      <c r="AS282" s="88">
        <f>IF(OR(AS$1="",$BE282=0),"",IFERROR(LOOKUP(2,1/((Budgets!$A$2:$A$200=AS$1)*(Budgets!$B$2:$B$200&lt;=$A282)),Budgets!$C$2:$C$200),0))</f>
        <v/>
      </c>
      <c r="AT282" s="88">
        <f>IF(OR(AT$1="",$BE282=0),"",IFERROR(LOOKUP(2,1/((Budgets!$A$2:$A$200=AT$1)*(Budgets!$B$2:$B$200&lt;=$A282)),Budgets!$C$2:$C$200),0))</f>
        <v/>
      </c>
      <c r="AU282" s="88">
        <f>IF(OR(AU$1="",$BE282=0),"",IFERROR(LOOKUP(2,1/((Budgets!$A$2:$A$200=AU$1)*(Budgets!$B$2:$B$200&lt;=$A282)),Budgets!$C$2:$C$200),0))</f>
        <v/>
      </c>
      <c r="AV282" s="88">
        <f>IF(OR(AV$1="",$BE282=0),"",IFERROR(LOOKUP(2,1/((Budgets!$A$2:$A$200=AV$1)*(Budgets!$B$2:$B$200&lt;=$A282)),Budgets!$C$2:$C$200),0))</f>
        <v/>
      </c>
      <c r="AW282" s="88">
        <f>IF(OR(AW$1="",$BE282=0),"",IFERROR(LOOKUP(2,1/((Budgets!$A$2:$A$200=AW$1)*(Budgets!$B$2:$B$200&lt;=$A282)),Budgets!$C$2:$C$200),0))</f>
        <v/>
      </c>
      <c r="AX282" s="88">
        <f>IF(OR(AX$1="",$BE282=0),"",IFERROR(LOOKUP(2,1/((Budgets!$A$2:$A$200=AX$1)*(Budgets!$B$2:$B$200&lt;=$A282)),Budgets!$C$2:$C$200),0))</f>
        <v/>
      </c>
      <c r="AY282" s="88">
        <f>IF(OR(AY$1="",$BE282=0),"",IFERROR(LOOKUP(2,1/((Budgets!$A$2:$A$200=AY$1)*(Budgets!$B$2:$B$200&lt;=$A282)),Budgets!$C$2:$C$200),0))</f>
        <v/>
      </c>
      <c r="AZ282" s="88">
        <f>IF(OR(AZ$1="",$BE282=0),"",IFERROR(LOOKUP(2,1/((Budgets!$A$2:$A$200=AZ$1)*(Budgets!$B$2:$B$200&lt;=$A282)),Budgets!$C$2:$C$200),0))</f>
        <v/>
      </c>
      <c r="BA282" s="88">
        <f>IF(OR(BA$1="",$BE282=0),"",IFERROR(LOOKUP(2,1/((Budgets!$A$2:$A$200=BA$1)*(Budgets!$B$2:$B$200&lt;=$A282)),Budgets!$C$2:$C$200),0))</f>
        <v/>
      </c>
      <c r="BB282" s="88">
        <f>IF(OR(BB$1="",$BE282=0),"",IFERROR(LOOKUP(2,1/((Budgets!$A$2:$A$200=BB$1)*(Budgets!$B$2:$B$200&lt;=$A282)),Budgets!$C$2:$C$200),0))</f>
        <v/>
      </c>
      <c r="BC282" s="88">
        <f>IF(OR(BC$1="",$BE282=0),"",IFERROR(LOOKUP(2,1/((Budgets!$A$2:$A$200=BC$1)*(Budgets!$B$2:$B$200&lt;=$A282)),Budgets!$C$2:$C$200),0))</f>
        <v/>
      </c>
      <c r="BE282" s="67">
        <f>COUNTIFS(Entries!$A$2:$A$5000,$A282)</f>
        <v/>
      </c>
    </row>
    <row r="283" ht="15" customHeight="1" s="43">
      <c r="A283" s="87" t="n">
        <v>48000</v>
      </c>
      <c r="B283" s="88">
        <f>IF($BE283=0,NA(),SUMIFS(Entries!$D$2:$D$5000,Entries!$C$2:$C$5000,"Income",Entries!$A$2:$A$5000,$A283))</f>
        <v/>
      </c>
      <c r="C283" s="88">
        <f>IF($BE283=0,"",SUMIFS(Entries!$D$2:$D$5000,Entries!$C$2:$C$5000,"Actual",Entries!$A$2:$A$5000,$A283))</f>
        <v/>
      </c>
      <c r="D283" s="88">
        <f>IF($BE283=0,"",SUMIFS(Entries!$D$2:$D$5000,Entries!$C$2:$C$5000,"One-off",Entries!$A$2:$A$5000,$A283))</f>
        <v/>
      </c>
      <c r="E283" s="88">
        <f>IF($BE283=0,NA(),C283+D283)</f>
        <v/>
      </c>
      <c r="F283" s="88">
        <f>IF($BE283=0,"",SUM(AJ283:BC283))</f>
        <v/>
      </c>
      <c r="G283" s="88">
        <f>IF($BE283=0,"",B283-E283)</f>
        <v/>
      </c>
      <c r="H283" s="88">
        <f>IF($BE283=0,"",SUM($G$2:G283))</f>
        <v/>
      </c>
      <c r="I283" s="88">
        <f>IF($BE283=0,"",SUMIFS(Entries!$F$2:$F$5000,Entries!$A$2:$A$5000,$A283))</f>
        <v/>
      </c>
      <c r="J283" s="88">
        <f>IF($BE283=0,NA(),H283+SUM($I$2:I283))</f>
        <v/>
      </c>
      <c r="K283" s="88">
        <f>IF($BE283=0,"",SUMIFS(Entries!$D$2:$D$5000,Entries!$C$2:$C$5000,"Income",Entries!$A$2:$A$5000,"&gt;="&amp;EDATE($A283,-11),Entries!$A$2:$A$5000,"&lt;="&amp;$A283)/12)</f>
        <v/>
      </c>
      <c r="L283" s="88">
        <f>IF($BE283=0,"",(SUMIFS(Entries!$D$2:$D$5000,Entries!$C$2:$C$5000,"Actual",Entries!$A$2:$A$5000,"&gt;="&amp;EDATE($A283,-11),Entries!$A$2:$A$5000,"&lt;="&amp;$A283)+SUMIFS(Entries!$D$2:$D$5000,Entries!$C$2:$C$5000,"One-off",Entries!$A$2:$A$5000,"&gt;="&amp;EDATE($A283,-11),Entries!$A$2:$A$5000,"&lt;="&amp;$A283))/12)</f>
        <v/>
      </c>
      <c r="M283" s="71">
        <f>IF($BE283=0,NA(),IFERROR((K283-L283)/K283,0))</f>
        <v/>
      </c>
      <c r="O283" s="88">
        <f>IF(OR(O$1="",$BE283=0),"",SUMIFS(Entries!$D$2:$D$5000,Entries!$C$2:$C$5000,"Actual",Entries!$A$2:$A$5000,$A283,Entries!$B$2:$B$5000,O$1))</f>
        <v/>
      </c>
      <c r="P283" s="88">
        <f>IF(OR(P$1="",$BE283=0),"",SUMIFS(Entries!$D$2:$D$5000,Entries!$C$2:$C$5000,"Actual",Entries!$A$2:$A$5000,$A283,Entries!$B$2:$B$5000,P$1))</f>
        <v/>
      </c>
      <c r="Q283" s="88">
        <f>IF(OR(Q$1="",$BE283=0),"",SUMIFS(Entries!$D$2:$D$5000,Entries!$C$2:$C$5000,"Actual",Entries!$A$2:$A$5000,$A283,Entries!$B$2:$B$5000,Q$1))</f>
        <v/>
      </c>
      <c r="R283" s="88">
        <f>IF(OR(R$1="",$BE283=0),"",SUMIFS(Entries!$D$2:$D$5000,Entries!$C$2:$C$5000,"Actual",Entries!$A$2:$A$5000,$A283,Entries!$B$2:$B$5000,R$1))</f>
        <v/>
      </c>
      <c r="S283" s="88">
        <f>IF(OR(S$1="",$BE283=0),"",SUMIFS(Entries!$D$2:$D$5000,Entries!$C$2:$C$5000,"Actual",Entries!$A$2:$A$5000,$A283,Entries!$B$2:$B$5000,S$1))</f>
        <v/>
      </c>
      <c r="T283" s="88">
        <f>IF(OR(T$1="",$BE283=0),"",SUMIFS(Entries!$D$2:$D$5000,Entries!$C$2:$C$5000,"Actual",Entries!$A$2:$A$5000,$A283,Entries!$B$2:$B$5000,T$1))</f>
        <v/>
      </c>
      <c r="U283" s="88">
        <f>IF(OR(U$1="",$BE283=0),"",SUMIFS(Entries!$D$2:$D$5000,Entries!$C$2:$C$5000,"Actual",Entries!$A$2:$A$5000,$A283,Entries!$B$2:$B$5000,U$1))</f>
        <v/>
      </c>
      <c r="V283" s="88">
        <f>IF(OR(V$1="",$BE283=0),"",SUMIFS(Entries!$D$2:$D$5000,Entries!$C$2:$C$5000,"Actual",Entries!$A$2:$A$5000,$A283,Entries!$B$2:$B$5000,V$1))</f>
        <v/>
      </c>
      <c r="W283" s="88">
        <f>IF(OR(W$1="",$BE283=0),"",SUMIFS(Entries!$D$2:$D$5000,Entries!$C$2:$C$5000,"Actual",Entries!$A$2:$A$5000,$A283,Entries!$B$2:$B$5000,W$1))</f>
        <v/>
      </c>
      <c r="X283" s="88">
        <f>IF(OR(X$1="",$BE283=0),"",SUMIFS(Entries!$D$2:$D$5000,Entries!$C$2:$C$5000,"Actual",Entries!$A$2:$A$5000,$A283,Entries!$B$2:$B$5000,X$1))</f>
        <v/>
      </c>
      <c r="Y283" s="88">
        <f>IF(OR(Y$1="",$BE283=0),"",SUMIFS(Entries!$D$2:$D$5000,Entries!$C$2:$C$5000,"Actual",Entries!$A$2:$A$5000,$A283,Entries!$B$2:$B$5000,Y$1))</f>
        <v/>
      </c>
      <c r="Z283" s="88">
        <f>IF(OR(Z$1="",$BE283=0),"",SUMIFS(Entries!$D$2:$D$5000,Entries!$C$2:$C$5000,"Actual",Entries!$A$2:$A$5000,$A283,Entries!$B$2:$B$5000,Z$1))</f>
        <v/>
      </c>
      <c r="AA283" s="88">
        <f>IF(OR(AA$1="",$BE283=0),"",SUMIFS(Entries!$D$2:$D$5000,Entries!$C$2:$C$5000,"Actual",Entries!$A$2:$A$5000,$A283,Entries!$B$2:$B$5000,AA$1))</f>
        <v/>
      </c>
      <c r="AB283" s="88">
        <f>IF(OR(AB$1="",$BE283=0),"",SUMIFS(Entries!$D$2:$D$5000,Entries!$C$2:$C$5000,"Actual",Entries!$A$2:$A$5000,$A283,Entries!$B$2:$B$5000,AB$1))</f>
        <v/>
      </c>
      <c r="AC283" s="88">
        <f>IF(OR(AC$1="",$BE283=0),"",SUMIFS(Entries!$D$2:$D$5000,Entries!$C$2:$C$5000,"Actual",Entries!$A$2:$A$5000,$A283,Entries!$B$2:$B$5000,AC$1))</f>
        <v/>
      </c>
      <c r="AD283" s="88">
        <f>IF(OR(AD$1="",$BE283=0),"",SUMIFS(Entries!$D$2:$D$5000,Entries!$C$2:$C$5000,"Actual",Entries!$A$2:$A$5000,$A283,Entries!$B$2:$B$5000,AD$1))</f>
        <v/>
      </c>
      <c r="AE283" s="88">
        <f>IF(OR(AE$1="",$BE283=0),"",SUMIFS(Entries!$D$2:$D$5000,Entries!$C$2:$C$5000,"Actual",Entries!$A$2:$A$5000,$A283,Entries!$B$2:$B$5000,AE$1))</f>
        <v/>
      </c>
      <c r="AF283" s="88">
        <f>IF(OR(AF$1="",$BE283=0),"",SUMIFS(Entries!$D$2:$D$5000,Entries!$C$2:$C$5000,"Actual",Entries!$A$2:$A$5000,$A283,Entries!$B$2:$B$5000,AF$1))</f>
        <v/>
      </c>
      <c r="AG283" s="88">
        <f>IF(OR(AG$1="",$BE283=0),"",SUMIFS(Entries!$D$2:$D$5000,Entries!$C$2:$C$5000,"Actual",Entries!$A$2:$A$5000,$A283,Entries!$B$2:$B$5000,AG$1))</f>
        <v/>
      </c>
      <c r="AH283" s="88">
        <f>IF(OR(AH$1="",$BE283=0),"",SUMIFS(Entries!$D$2:$D$5000,Entries!$C$2:$C$5000,"Actual",Entries!$A$2:$A$5000,$A283,Entries!$B$2:$B$5000,AH$1))</f>
        <v/>
      </c>
      <c r="AJ283" s="88">
        <f>IF(OR(AJ$1="",$BE283=0),"",IFERROR(LOOKUP(2,1/((Budgets!$A$2:$A$200=AJ$1)*(Budgets!$B$2:$B$200&lt;=$A283)),Budgets!$C$2:$C$200),0))</f>
        <v/>
      </c>
      <c r="AK283" s="88">
        <f>IF(OR(AK$1="",$BE283=0),"",IFERROR(LOOKUP(2,1/((Budgets!$A$2:$A$200=AK$1)*(Budgets!$B$2:$B$200&lt;=$A283)),Budgets!$C$2:$C$200),0))</f>
        <v/>
      </c>
      <c r="AL283" s="88">
        <f>IF(OR(AL$1="",$BE283=0),"",IFERROR(LOOKUP(2,1/((Budgets!$A$2:$A$200=AL$1)*(Budgets!$B$2:$B$200&lt;=$A283)),Budgets!$C$2:$C$200),0))</f>
        <v/>
      </c>
      <c r="AM283" s="88">
        <f>IF(OR(AM$1="",$BE283=0),"",IFERROR(LOOKUP(2,1/((Budgets!$A$2:$A$200=AM$1)*(Budgets!$B$2:$B$200&lt;=$A283)),Budgets!$C$2:$C$200),0))</f>
        <v/>
      </c>
      <c r="AN283" s="88">
        <f>IF(OR(AN$1="",$BE283=0),"",IFERROR(LOOKUP(2,1/((Budgets!$A$2:$A$200=AN$1)*(Budgets!$B$2:$B$200&lt;=$A283)),Budgets!$C$2:$C$200),0))</f>
        <v/>
      </c>
      <c r="AO283" s="88">
        <f>IF(OR(AO$1="",$BE283=0),"",IFERROR(LOOKUP(2,1/((Budgets!$A$2:$A$200=AO$1)*(Budgets!$B$2:$B$200&lt;=$A283)),Budgets!$C$2:$C$200),0))</f>
        <v/>
      </c>
      <c r="AP283" s="88">
        <f>IF(OR(AP$1="",$BE283=0),"",IFERROR(LOOKUP(2,1/((Budgets!$A$2:$A$200=AP$1)*(Budgets!$B$2:$B$200&lt;=$A283)),Budgets!$C$2:$C$200),0))</f>
        <v/>
      </c>
      <c r="AQ283" s="88">
        <f>IF(OR(AQ$1="",$BE283=0),"",IFERROR(LOOKUP(2,1/((Budgets!$A$2:$A$200=AQ$1)*(Budgets!$B$2:$B$200&lt;=$A283)),Budgets!$C$2:$C$200),0))</f>
        <v/>
      </c>
      <c r="AR283" s="88">
        <f>IF(OR(AR$1="",$BE283=0),"",IFERROR(LOOKUP(2,1/((Budgets!$A$2:$A$200=AR$1)*(Budgets!$B$2:$B$200&lt;=$A283)),Budgets!$C$2:$C$200),0))</f>
        <v/>
      </c>
      <c r="AS283" s="88">
        <f>IF(OR(AS$1="",$BE283=0),"",IFERROR(LOOKUP(2,1/((Budgets!$A$2:$A$200=AS$1)*(Budgets!$B$2:$B$200&lt;=$A283)),Budgets!$C$2:$C$200),0))</f>
        <v/>
      </c>
      <c r="AT283" s="88">
        <f>IF(OR(AT$1="",$BE283=0),"",IFERROR(LOOKUP(2,1/((Budgets!$A$2:$A$200=AT$1)*(Budgets!$B$2:$B$200&lt;=$A283)),Budgets!$C$2:$C$200),0))</f>
        <v/>
      </c>
      <c r="AU283" s="88">
        <f>IF(OR(AU$1="",$BE283=0),"",IFERROR(LOOKUP(2,1/((Budgets!$A$2:$A$200=AU$1)*(Budgets!$B$2:$B$200&lt;=$A283)),Budgets!$C$2:$C$200),0))</f>
        <v/>
      </c>
      <c r="AV283" s="88">
        <f>IF(OR(AV$1="",$BE283=0),"",IFERROR(LOOKUP(2,1/((Budgets!$A$2:$A$200=AV$1)*(Budgets!$B$2:$B$200&lt;=$A283)),Budgets!$C$2:$C$200),0))</f>
        <v/>
      </c>
      <c r="AW283" s="88">
        <f>IF(OR(AW$1="",$BE283=0),"",IFERROR(LOOKUP(2,1/((Budgets!$A$2:$A$200=AW$1)*(Budgets!$B$2:$B$200&lt;=$A283)),Budgets!$C$2:$C$200),0))</f>
        <v/>
      </c>
      <c r="AX283" s="88">
        <f>IF(OR(AX$1="",$BE283=0),"",IFERROR(LOOKUP(2,1/((Budgets!$A$2:$A$200=AX$1)*(Budgets!$B$2:$B$200&lt;=$A283)),Budgets!$C$2:$C$200),0))</f>
        <v/>
      </c>
      <c r="AY283" s="88">
        <f>IF(OR(AY$1="",$BE283=0),"",IFERROR(LOOKUP(2,1/((Budgets!$A$2:$A$200=AY$1)*(Budgets!$B$2:$B$200&lt;=$A283)),Budgets!$C$2:$C$200),0))</f>
        <v/>
      </c>
      <c r="AZ283" s="88">
        <f>IF(OR(AZ$1="",$BE283=0),"",IFERROR(LOOKUP(2,1/((Budgets!$A$2:$A$200=AZ$1)*(Budgets!$B$2:$B$200&lt;=$A283)),Budgets!$C$2:$C$200),0))</f>
        <v/>
      </c>
      <c r="BA283" s="88">
        <f>IF(OR(BA$1="",$BE283=0),"",IFERROR(LOOKUP(2,1/((Budgets!$A$2:$A$200=BA$1)*(Budgets!$B$2:$B$200&lt;=$A283)),Budgets!$C$2:$C$200),0))</f>
        <v/>
      </c>
      <c r="BB283" s="88">
        <f>IF(OR(BB$1="",$BE283=0),"",IFERROR(LOOKUP(2,1/((Budgets!$A$2:$A$200=BB$1)*(Budgets!$B$2:$B$200&lt;=$A283)),Budgets!$C$2:$C$200),0))</f>
        <v/>
      </c>
      <c r="BC283" s="88">
        <f>IF(OR(BC$1="",$BE283=0),"",IFERROR(LOOKUP(2,1/((Budgets!$A$2:$A$200=BC$1)*(Budgets!$B$2:$B$200&lt;=$A283)),Budgets!$C$2:$C$200),0))</f>
        <v/>
      </c>
      <c r="BE283" s="67">
        <f>COUNTIFS(Entries!$A$2:$A$5000,$A283)</f>
        <v/>
      </c>
    </row>
    <row r="284" ht="15" customHeight="1" s="43">
      <c r="A284" s="87" t="n">
        <v>48030</v>
      </c>
      <c r="B284" s="88">
        <f>IF($BE284=0,NA(),SUMIFS(Entries!$D$2:$D$5000,Entries!$C$2:$C$5000,"Income",Entries!$A$2:$A$5000,$A284))</f>
        <v/>
      </c>
      <c r="C284" s="88">
        <f>IF($BE284=0,"",SUMIFS(Entries!$D$2:$D$5000,Entries!$C$2:$C$5000,"Actual",Entries!$A$2:$A$5000,$A284))</f>
        <v/>
      </c>
      <c r="D284" s="88">
        <f>IF($BE284=0,"",SUMIFS(Entries!$D$2:$D$5000,Entries!$C$2:$C$5000,"One-off",Entries!$A$2:$A$5000,$A284))</f>
        <v/>
      </c>
      <c r="E284" s="88">
        <f>IF($BE284=0,NA(),C284+D284)</f>
        <v/>
      </c>
      <c r="F284" s="88">
        <f>IF($BE284=0,"",SUM(AJ284:BC284))</f>
        <v/>
      </c>
      <c r="G284" s="88">
        <f>IF($BE284=0,"",B284-E284)</f>
        <v/>
      </c>
      <c r="H284" s="88">
        <f>IF($BE284=0,"",SUM($G$2:G284))</f>
        <v/>
      </c>
      <c r="I284" s="88">
        <f>IF($BE284=0,"",SUMIFS(Entries!$F$2:$F$5000,Entries!$A$2:$A$5000,$A284))</f>
        <v/>
      </c>
      <c r="J284" s="88">
        <f>IF($BE284=0,NA(),H284+SUM($I$2:I284))</f>
        <v/>
      </c>
      <c r="K284" s="88">
        <f>IF($BE284=0,"",SUMIFS(Entries!$D$2:$D$5000,Entries!$C$2:$C$5000,"Income",Entries!$A$2:$A$5000,"&gt;="&amp;EDATE($A284,-11),Entries!$A$2:$A$5000,"&lt;="&amp;$A284)/12)</f>
        <v/>
      </c>
      <c r="L284" s="88">
        <f>IF($BE284=0,"",(SUMIFS(Entries!$D$2:$D$5000,Entries!$C$2:$C$5000,"Actual",Entries!$A$2:$A$5000,"&gt;="&amp;EDATE($A284,-11),Entries!$A$2:$A$5000,"&lt;="&amp;$A284)+SUMIFS(Entries!$D$2:$D$5000,Entries!$C$2:$C$5000,"One-off",Entries!$A$2:$A$5000,"&gt;="&amp;EDATE($A284,-11),Entries!$A$2:$A$5000,"&lt;="&amp;$A284))/12)</f>
        <v/>
      </c>
      <c r="M284" s="71">
        <f>IF($BE284=0,NA(),IFERROR((K284-L284)/K284,0))</f>
        <v/>
      </c>
      <c r="O284" s="88">
        <f>IF(OR(O$1="",$BE284=0),"",SUMIFS(Entries!$D$2:$D$5000,Entries!$C$2:$C$5000,"Actual",Entries!$A$2:$A$5000,$A284,Entries!$B$2:$B$5000,O$1))</f>
        <v/>
      </c>
      <c r="P284" s="88">
        <f>IF(OR(P$1="",$BE284=0),"",SUMIFS(Entries!$D$2:$D$5000,Entries!$C$2:$C$5000,"Actual",Entries!$A$2:$A$5000,$A284,Entries!$B$2:$B$5000,P$1))</f>
        <v/>
      </c>
      <c r="Q284" s="88">
        <f>IF(OR(Q$1="",$BE284=0),"",SUMIFS(Entries!$D$2:$D$5000,Entries!$C$2:$C$5000,"Actual",Entries!$A$2:$A$5000,$A284,Entries!$B$2:$B$5000,Q$1))</f>
        <v/>
      </c>
      <c r="R284" s="88">
        <f>IF(OR(R$1="",$BE284=0),"",SUMIFS(Entries!$D$2:$D$5000,Entries!$C$2:$C$5000,"Actual",Entries!$A$2:$A$5000,$A284,Entries!$B$2:$B$5000,R$1))</f>
        <v/>
      </c>
      <c r="S284" s="88">
        <f>IF(OR(S$1="",$BE284=0),"",SUMIFS(Entries!$D$2:$D$5000,Entries!$C$2:$C$5000,"Actual",Entries!$A$2:$A$5000,$A284,Entries!$B$2:$B$5000,S$1))</f>
        <v/>
      </c>
      <c r="T284" s="88">
        <f>IF(OR(T$1="",$BE284=0),"",SUMIFS(Entries!$D$2:$D$5000,Entries!$C$2:$C$5000,"Actual",Entries!$A$2:$A$5000,$A284,Entries!$B$2:$B$5000,T$1))</f>
        <v/>
      </c>
      <c r="U284" s="88">
        <f>IF(OR(U$1="",$BE284=0),"",SUMIFS(Entries!$D$2:$D$5000,Entries!$C$2:$C$5000,"Actual",Entries!$A$2:$A$5000,$A284,Entries!$B$2:$B$5000,U$1))</f>
        <v/>
      </c>
      <c r="V284" s="88">
        <f>IF(OR(V$1="",$BE284=0),"",SUMIFS(Entries!$D$2:$D$5000,Entries!$C$2:$C$5000,"Actual",Entries!$A$2:$A$5000,$A284,Entries!$B$2:$B$5000,V$1))</f>
        <v/>
      </c>
      <c r="W284" s="88">
        <f>IF(OR(W$1="",$BE284=0),"",SUMIFS(Entries!$D$2:$D$5000,Entries!$C$2:$C$5000,"Actual",Entries!$A$2:$A$5000,$A284,Entries!$B$2:$B$5000,W$1))</f>
        <v/>
      </c>
      <c r="X284" s="88">
        <f>IF(OR(X$1="",$BE284=0),"",SUMIFS(Entries!$D$2:$D$5000,Entries!$C$2:$C$5000,"Actual",Entries!$A$2:$A$5000,$A284,Entries!$B$2:$B$5000,X$1))</f>
        <v/>
      </c>
      <c r="Y284" s="88">
        <f>IF(OR(Y$1="",$BE284=0),"",SUMIFS(Entries!$D$2:$D$5000,Entries!$C$2:$C$5000,"Actual",Entries!$A$2:$A$5000,$A284,Entries!$B$2:$B$5000,Y$1))</f>
        <v/>
      </c>
      <c r="Z284" s="88">
        <f>IF(OR(Z$1="",$BE284=0),"",SUMIFS(Entries!$D$2:$D$5000,Entries!$C$2:$C$5000,"Actual",Entries!$A$2:$A$5000,$A284,Entries!$B$2:$B$5000,Z$1))</f>
        <v/>
      </c>
      <c r="AA284" s="88">
        <f>IF(OR(AA$1="",$BE284=0),"",SUMIFS(Entries!$D$2:$D$5000,Entries!$C$2:$C$5000,"Actual",Entries!$A$2:$A$5000,$A284,Entries!$B$2:$B$5000,AA$1))</f>
        <v/>
      </c>
      <c r="AB284" s="88">
        <f>IF(OR(AB$1="",$BE284=0),"",SUMIFS(Entries!$D$2:$D$5000,Entries!$C$2:$C$5000,"Actual",Entries!$A$2:$A$5000,$A284,Entries!$B$2:$B$5000,AB$1))</f>
        <v/>
      </c>
      <c r="AC284" s="88">
        <f>IF(OR(AC$1="",$BE284=0),"",SUMIFS(Entries!$D$2:$D$5000,Entries!$C$2:$C$5000,"Actual",Entries!$A$2:$A$5000,$A284,Entries!$B$2:$B$5000,AC$1))</f>
        <v/>
      </c>
      <c r="AD284" s="88">
        <f>IF(OR(AD$1="",$BE284=0),"",SUMIFS(Entries!$D$2:$D$5000,Entries!$C$2:$C$5000,"Actual",Entries!$A$2:$A$5000,$A284,Entries!$B$2:$B$5000,AD$1))</f>
        <v/>
      </c>
      <c r="AE284" s="88">
        <f>IF(OR(AE$1="",$BE284=0),"",SUMIFS(Entries!$D$2:$D$5000,Entries!$C$2:$C$5000,"Actual",Entries!$A$2:$A$5000,$A284,Entries!$B$2:$B$5000,AE$1))</f>
        <v/>
      </c>
      <c r="AF284" s="88">
        <f>IF(OR(AF$1="",$BE284=0),"",SUMIFS(Entries!$D$2:$D$5000,Entries!$C$2:$C$5000,"Actual",Entries!$A$2:$A$5000,$A284,Entries!$B$2:$B$5000,AF$1))</f>
        <v/>
      </c>
      <c r="AG284" s="88">
        <f>IF(OR(AG$1="",$BE284=0),"",SUMIFS(Entries!$D$2:$D$5000,Entries!$C$2:$C$5000,"Actual",Entries!$A$2:$A$5000,$A284,Entries!$B$2:$B$5000,AG$1))</f>
        <v/>
      </c>
      <c r="AH284" s="88">
        <f>IF(OR(AH$1="",$BE284=0),"",SUMIFS(Entries!$D$2:$D$5000,Entries!$C$2:$C$5000,"Actual",Entries!$A$2:$A$5000,$A284,Entries!$B$2:$B$5000,AH$1))</f>
        <v/>
      </c>
      <c r="AJ284" s="88">
        <f>IF(OR(AJ$1="",$BE284=0),"",IFERROR(LOOKUP(2,1/((Budgets!$A$2:$A$200=AJ$1)*(Budgets!$B$2:$B$200&lt;=$A284)),Budgets!$C$2:$C$200),0))</f>
        <v/>
      </c>
      <c r="AK284" s="88">
        <f>IF(OR(AK$1="",$BE284=0),"",IFERROR(LOOKUP(2,1/((Budgets!$A$2:$A$200=AK$1)*(Budgets!$B$2:$B$200&lt;=$A284)),Budgets!$C$2:$C$200),0))</f>
        <v/>
      </c>
      <c r="AL284" s="88">
        <f>IF(OR(AL$1="",$BE284=0),"",IFERROR(LOOKUP(2,1/((Budgets!$A$2:$A$200=AL$1)*(Budgets!$B$2:$B$200&lt;=$A284)),Budgets!$C$2:$C$200),0))</f>
        <v/>
      </c>
      <c r="AM284" s="88">
        <f>IF(OR(AM$1="",$BE284=0),"",IFERROR(LOOKUP(2,1/((Budgets!$A$2:$A$200=AM$1)*(Budgets!$B$2:$B$200&lt;=$A284)),Budgets!$C$2:$C$200),0))</f>
        <v/>
      </c>
      <c r="AN284" s="88">
        <f>IF(OR(AN$1="",$BE284=0),"",IFERROR(LOOKUP(2,1/((Budgets!$A$2:$A$200=AN$1)*(Budgets!$B$2:$B$200&lt;=$A284)),Budgets!$C$2:$C$200),0))</f>
        <v/>
      </c>
      <c r="AO284" s="88">
        <f>IF(OR(AO$1="",$BE284=0),"",IFERROR(LOOKUP(2,1/((Budgets!$A$2:$A$200=AO$1)*(Budgets!$B$2:$B$200&lt;=$A284)),Budgets!$C$2:$C$200),0))</f>
        <v/>
      </c>
      <c r="AP284" s="88">
        <f>IF(OR(AP$1="",$BE284=0),"",IFERROR(LOOKUP(2,1/((Budgets!$A$2:$A$200=AP$1)*(Budgets!$B$2:$B$200&lt;=$A284)),Budgets!$C$2:$C$200),0))</f>
        <v/>
      </c>
      <c r="AQ284" s="88">
        <f>IF(OR(AQ$1="",$BE284=0),"",IFERROR(LOOKUP(2,1/((Budgets!$A$2:$A$200=AQ$1)*(Budgets!$B$2:$B$200&lt;=$A284)),Budgets!$C$2:$C$200),0))</f>
        <v/>
      </c>
      <c r="AR284" s="88">
        <f>IF(OR(AR$1="",$BE284=0),"",IFERROR(LOOKUP(2,1/((Budgets!$A$2:$A$200=AR$1)*(Budgets!$B$2:$B$200&lt;=$A284)),Budgets!$C$2:$C$200),0))</f>
        <v/>
      </c>
      <c r="AS284" s="88">
        <f>IF(OR(AS$1="",$BE284=0),"",IFERROR(LOOKUP(2,1/((Budgets!$A$2:$A$200=AS$1)*(Budgets!$B$2:$B$200&lt;=$A284)),Budgets!$C$2:$C$200),0))</f>
        <v/>
      </c>
      <c r="AT284" s="88">
        <f>IF(OR(AT$1="",$BE284=0),"",IFERROR(LOOKUP(2,1/((Budgets!$A$2:$A$200=AT$1)*(Budgets!$B$2:$B$200&lt;=$A284)),Budgets!$C$2:$C$200),0))</f>
        <v/>
      </c>
      <c r="AU284" s="88">
        <f>IF(OR(AU$1="",$BE284=0),"",IFERROR(LOOKUP(2,1/((Budgets!$A$2:$A$200=AU$1)*(Budgets!$B$2:$B$200&lt;=$A284)),Budgets!$C$2:$C$200),0))</f>
        <v/>
      </c>
      <c r="AV284" s="88">
        <f>IF(OR(AV$1="",$BE284=0),"",IFERROR(LOOKUP(2,1/((Budgets!$A$2:$A$200=AV$1)*(Budgets!$B$2:$B$200&lt;=$A284)),Budgets!$C$2:$C$200),0))</f>
        <v/>
      </c>
      <c r="AW284" s="88">
        <f>IF(OR(AW$1="",$BE284=0),"",IFERROR(LOOKUP(2,1/((Budgets!$A$2:$A$200=AW$1)*(Budgets!$B$2:$B$200&lt;=$A284)),Budgets!$C$2:$C$200),0))</f>
        <v/>
      </c>
      <c r="AX284" s="88">
        <f>IF(OR(AX$1="",$BE284=0),"",IFERROR(LOOKUP(2,1/((Budgets!$A$2:$A$200=AX$1)*(Budgets!$B$2:$B$200&lt;=$A284)),Budgets!$C$2:$C$200),0))</f>
        <v/>
      </c>
      <c r="AY284" s="88">
        <f>IF(OR(AY$1="",$BE284=0),"",IFERROR(LOOKUP(2,1/((Budgets!$A$2:$A$200=AY$1)*(Budgets!$B$2:$B$200&lt;=$A284)),Budgets!$C$2:$C$200),0))</f>
        <v/>
      </c>
      <c r="AZ284" s="88">
        <f>IF(OR(AZ$1="",$BE284=0),"",IFERROR(LOOKUP(2,1/((Budgets!$A$2:$A$200=AZ$1)*(Budgets!$B$2:$B$200&lt;=$A284)),Budgets!$C$2:$C$200),0))</f>
        <v/>
      </c>
      <c r="BA284" s="88">
        <f>IF(OR(BA$1="",$BE284=0),"",IFERROR(LOOKUP(2,1/((Budgets!$A$2:$A$200=BA$1)*(Budgets!$B$2:$B$200&lt;=$A284)),Budgets!$C$2:$C$200),0))</f>
        <v/>
      </c>
      <c r="BB284" s="88">
        <f>IF(OR(BB$1="",$BE284=0),"",IFERROR(LOOKUP(2,1/((Budgets!$A$2:$A$200=BB$1)*(Budgets!$B$2:$B$200&lt;=$A284)),Budgets!$C$2:$C$200),0))</f>
        <v/>
      </c>
      <c r="BC284" s="88">
        <f>IF(OR(BC$1="",$BE284=0),"",IFERROR(LOOKUP(2,1/((Budgets!$A$2:$A$200=BC$1)*(Budgets!$B$2:$B$200&lt;=$A284)),Budgets!$C$2:$C$200),0))</f>
        <v/>
      </c>
      <c r="BE284" s="67">
        <f>COUNTIFS(Entries!$A$2:$A$5000,$A284)</f>
        <v/>
      </c>
    </row>
    <row r="285" ht="15" customHeight="1" s="43">
      <c r="A285" s="87" t="n">
        <v>48061</v>
      </c>
      <c r="B285" s="88">
        <f>IF($BE285=0,NA(),SUMIFS(Entries!$D$2:$D$5000,Entries!$C$2:$C$5000,"Income",Entries!$A$2:$A$5000,$A285))</f>
        <v/>
      </c>
      <c r="C285" s="88">
        <f>IF($BE285=0,"",SUMIFS(Entries!$D$2:$D$5000,Entries!$C$2:$C$5000,"Actual",Entries!$A$2:$A$5000,$A285))</f>
        <v/>
      </c>
      <c r="D285" s="88">
        <f>IF($BE285=0,"",SUMIFS(Entries!$D$2:$D$5000,Entries!$C$2:$C$5000,"One-off",Entries!$A$2:$A$5000,$A285))</f>
        <v/>
      </c>
      <c r="E285" s="88">
        <f>IF($BE285=0,NA(),C285+D285)</f>
        <v/>
      </c>
      <c r="F285" s="88">
        <f>IF($BE285=0,"",SUM(AJ285:BC285))</f>
        <v/>
      </c>
      <c r="G285" s="88">
        <f>IF($BE285=0,"",B285-E285)</f>
        <v/>
      </c>
      <c r="H285" s="88">
        <f>IF($BE285=0,"",SUM($G$2:G285))</f>
        <v/>
      </c>
      <c r="I285" s="88">
        <f>IF($BE285=0,"",SUMIFS(Entries!$F$2:$F$5000,Entries!$A$2:$A$5000,$A285))</f>
        <v/>
      </c>
      <c r="J285" s="88">
        <f>IF($BE285=0,NA(),H285+SUM($I$2:I285))</f>
        <v/>
      </c>
      <c r="K285" s="88">
        <f>IF($BE285=0,"",SUMIFS(Entries!$D$2:$D$5000,Entries!$C$2:$C$5000,"Income",Entries!$A$2:$A$5000,"&gt;="&amp;EDATE($A285,-11),Entries!$A$2:$A$5000,"&lt;="&amp;$A285)/12)</f>
        <v/>
      </c>
      <c r="L285" s="88">
        <f>IF($BE285=0,"",(SUMIFS(Entries!$D$2:$D$5000,Entries!$C$2:$C$5000,"Actual",Entries!$A$2:$A$5000,"&gt;="&amp;EDATE($A285,-11),Entries!$A$2:$A$5000,"&lt;="&amp;$A285)+SUMIFS(Entries!$D$2:$D$5000,Entries!$C$2:$C$5000,"One-off",Entries!$A$2:$A$5000,"&gt;="&amp;EDATE($A285,-11),Entries!$A$2:$A$5000,"&lt;="&amp;$A285))/12)</f>
        <v/>
      </c>
      <c r="M285" s="71">
        <f>IF($BE285=0,NA(),IFERROR((K285-L285)/K285,0))</f>
        <v/>
      </c>
      <c r="O285" s="88">
        <f>IF(OR(O$1="",$BE285=0),"",SUMIFS(Entries!$D$2:$D$5000,Entries!$C$2:$C$5000,"Actual",Entries!$A$2:$A$5000,$A285,Entries!$B$2:$B$5000,O$1))</f>
        <v/>
      </c>
      <c r="P285" s="88">
        <f>IF(OR(P$1="",$BE285=0),"",SUMIFS(Entries!$D$2:$D$5000,Entries!$C$2:$C$5000,"Actual",Entries!$A$2:$A$5000,$A285,Entries!$B$2:$B$5000,P$1))</f>
        <v/>
      </c>
      <c r="Q285" s="88">
        <f>IF(OR(Q$1="",$BE285=0),"",SUMIFS(Entries!$D$2:$D$5000,Entries!$C$2:$C$5000,"Actual",Entries!$A$2:$A$5000,$A285,Entries!$B$2:$B$5000,Q$1))</f>
        <v/>
      </c>
      <c r="R285" s="88">
        <f>IF(OR(R$1="",$BE285=0),"",SUMIFS(Entries!$D$2:$D$5000,Entries!$C$2:$C$5000,"Actual",Entries!$A$2:$A$5000,$A285,Entries!$B$2:$B$5000,R$1))</f>
        <v/>
      </c>
      <c r="S285" s="88">
        <f>IF(OR(S$1="",$BE285=0),"",SUMIFS(Entries!$D$2:$D$5000,Entries!$C$2:$C$5000,"Actual",Entries!$A$2:$A$5000,$A285,Entries!$B$2:$B$5000,S$1))</f>
        <v/>
      </c>
      <c r="T285" s="88">
        <f>IF(OR(T$1="",$BE285=0),"",SUMIFS(Entries!$D$2:$D$5000,Entries!$C$2:$C$5000,"Actual",Entries!$A$2:$A$5000,$A285,Entries!$B$2:$B$5000,T$1))</f>
        <v/>
      </c>
      <c r="U285" s="88">
        <f>IF(OR(U$1="",$BE285=0),"",SUMIFS(Entries!$D$2:$D$5000,Entries!$C$2:$C$5000,"Actual",Entries!$A$2:$A$5000,$A285,Entries!$B$2:$B$5000,U$1))</f>
        <v/>
      </c>
      <c r="V285" s="88">
        <f>IF(OR(V$1="",$BE285=0),"",SUMIFS(Entries!$D$2:$D$5000,Entries!$C$2:$C$5000,"Actual",Entries!$A$2:$A$5000,$A285,Entries!$B$2:$B$5000,V$1))</f>
        <v/>
      </c>
      <c r="W285" s="88">
        <f>IF(OR(W$1="",$BE285=0),"",SUMIFS(Entries!$D$2:$D$5000,Entries!$C$2:$C$5000,"Actual",Entries!$A$2:$A$5000,$A285,Entries!$B$2:$B$5000,W$1))</f>
        <v/>
      </c>
      <c r="X285" s="88">
        <f>IF(OR(X$1="",$BE285=0),"",SUMIFS(Entries!$D$2:$D$5000,Entries!$C$2:$C$5000,"Actual",Entries!$A$2:$A$5000,$A285,Entries!$B$2:$B$5000,X$1))</f>
        <v/>
      </c>
      <c r="Y285" s="88">
        <f>IF(OR(Y$1="",$BE285=0),"",SUMIFS(Entries!$D$2:$D$5000,Entries!$C$2:$C$5000,"Actual",Entries!$A$2:$A$5000,$A285,Entries!$B$2:$B$5000,Y$1))</f>
        <v/>
      </c>
      <c r="Z285" s="88">
        <f>IF(OR(Z$1="",$BE285=0),"",SUMIFS(Entries!$D$2:$D$5000,Entries!$C$2:$C$5000,"Actual",Entries!$A$2:$A$5000,$A285,Entries!$B$2:$B$5000,Z$1))</f>
        <v/>
      </c>
      <c r="AA285" s="88">
        <f>IF(OR(AA$1="",$BE285=0),"",SUMIFS(Entries!$D$2:$D$5000,Entries!$C$2:$C$5000,"Actual",Entries!$A$2:$A$5000,$A285,Entries!$B$2:$B$5000,AA$1))</f>
        <v/>
      </c>
      <c r="AB285" s="88">
        <f>IF(OR(AB$1="",$BE285=0),"",SUMIFS(Entries!$D$2:$D$5000,Entries!$C$2:$C$5000,"Actual",Entries!$A$2:$A$5000,$A285,Entries!$B$2:$B$5000,AB$1))</f>
        <v/>
      </c>
      <c r="AC285" s="88">
        <f>IF(OR(AC$1="",$BE285=0),"",SUMIFS(Entries!$D$2:$D$5000,Entries!$C$2:$C$5000,"Actual",Entries!$A$2:$A$5000,$A285,Entries!$B$2:$B$5000,AC$1))</f>
        <v/>
      </c>
      <c r="AD285" s="88">
        <f>IF(OR(AD$1="",$BE285=0),"",SUMIFS(Entries!$D$2:$D$5000,Entries!$C$2:$C$5000,"Actual",Entries!$A$2:$A$5000,$A285,Entries!$B$2:$B$5000,AD$1))</f>
        <v/>
      </c>
      <c r="AE285" s="88">
        <f>IF(OR(AE$1="",$BE285=0),"",SUMIFS(Entries!$D$2:$D$5000,Entries!$C$2:$C$5000,"Actual",Entries!$A$2:$A$5000,$A285,Entries!$B$2:$B$5000,AE$1))</f>
        <v/>
      </c>
      <c r="AF285" s="88">
        <f>IF(OR(AF$1="",$BE285=0),"",SUMIFS(Entries!$D$2:$D$5000,Entries!$C$2:$C$5000,"Actual",Entries!$A$2:$A$5000,$A285,Entries!$B$2:$B$5000,AF$1))</f>
        <v/>
      </c>
      <c r="AG285" s="88">
        <f>IF(OR(AG$1="",$BE285=0),"",SUMIFS(Entries!$D$2:$D$5000,Entries!$C$2:$C$5000,"Actual",Entries!$A$2:$A$5000,$A285,Entries!$B$2:$B$5000,AG$1))</f>
        <v/>
      </c>
      <c r="AH285" s="88">
        <f>IF(OR(AH$1="",$BE285=0),"",SUMIFS(Entries!$D$2:$D$5000,Entries!$C$2:$C$5000,"Actual",Entries!$A$2:$A$5000,$A285,Entries!$B$2:$B$5000,AH$1))</f>
        <v/>
      </c>
      <c r="AJ285" s="88">
        <f>IF(OR(AJ$1="",$BE285=0),"",IFERROR(LOOKUP(2,1/((Budgets!$A$2:$A$200=AJ$1)*(Budgets!$B$2:$B$200&lt;=$A285)),Budgets!$C$2:$C$200),0))</f>
        <v/>
      </c>
      <c r="AK285" s="88">
        <f>IF(OR(AK$1="",$BE285=0),"",IFERROR(LOOKUP(2,1/((Budgets!$A$2:$A$200=AK$1)*(Budgets!$B$2:$B$200&lt;=$A285)),Budgets!$C$2:$C$200),0))</f>
        <v/>
      </c>
      <c r="AL285" s="88">
        <f>IF(OR(AL$1="",$BE285=0),"",IFERROR(LOOKUP(2,1/((Budgets!$A$2:$A$200=AL$1)*(Budgets!$B$2:$B$200&lt;=$A285)),Budgets!$C$2:$C$200),0))</f>
        <v/>
      </c>
      <c r="AM285" s="88">
        <f>IF(OR(AM$1="",$BE285=0),"",IFERROR(LOOKUP(2,1/((Budgets!$A$2:$A$200=AM$1)*(Budgets!$B$2:$B$200&lt;=$A285)),Budgets!$C$2:$C$200),0))</f>
        <v/>
      </c>
      <c r="AN285" s="88">
        <f>IF(OR(AN$1="",$BE285=0),"",IFERROR(LOOKUP(2,1/((Budgets!$A$2:$A$200=AN$1)*(Budgets!$B$2:$B$200&lt;=$A285)),Budgets!$C$2:$C$200),0))</f>
        <v/>
      </c>
      <c r="AO285" s="88">
        <f>IF(OR(AO$1="",$BE285=0),"",IFERROR(LOOKUP(2,1/((Budgets!$A$2:$A$200=AO$1)*(Budgets!$B$2:$B$200&lt;=$A285)),Budgets!$C$2:$C$200),0))</f>
        <v/>
      </c>
      <c r="AP285" s="88">
        <f>IF(OR(AP$1="",$BE285=0),"",IFERROR(LOOKUP(2,1/((Budgets!$A$2:$A$200=AP$1)*(Budgets!$B$2:$B$200&lt;=$A285)),Budgets!$C$2:$C$200),0))</f>
        <v/>
      </c>
      <c r="AQ285" s="88">
        <f>IF(OR(AQ$1="",$BE285=0),"",IFERROR(LOOKUP(2,1/((Budgets!$A$2:$A$200=AQ$1)*(Budgets!$B$2:$B$200&lt;=$A285)),Budgets!$C$2:$C$200),0))</f>
        <v/>
      </c>
      <c r="AR285" s="88">
        <f>IF(OR(AR$1="",$BE285=0),"",IFERROR(LOOKUP(2,1/((Budgets!$A$2:$A$200=AR$1)*(Budgets!$B$2:$B$200&lt;=$A285)),Budgets!$C$2:$C$200),0))</f>
        <v/>
      </c>
      <c r="AS285" s="88">
        <f>IF(OR(AS$1="",$BE285=0),"",IFERROR(LOOKUP(2,1/((Budgets!$A$2:$A$200=AS$1)*(Budgets!$B$2:$B$200&lt;=$A285)),Budgets!$C$2:$C$200),0))</f>
        <v/>
      </c>
      <c r="AT285" s="88">
        <f>IF(OR(AT$1="",$BE285=0),"",IFERROR(LOOKUP(2,1/((Budgets!$A$2:$A$200=AT$1)*(Budgets!$B$2:$B$200&lt;=$A285)),Budgets!$C$2:$C$200),0))</f>
        <v/>
      </c>
      <c r="AU285" s="88">
        <f>IF(OR(AU$1="",$BE285=0),"",IFERROR(LOOKUP(2,1/((Budgets!$A$2:$A$200=AU$1)*(Budgets!$B$2:$B$200&lt;=$A285)),Budgets!$C$2:$C$200),0))</f>
        <v/>
      </c>
      <c r="AV285" s="88">
        <f>IF(OR(AV$1="",$BE285=0),"",IFERROR(LOOKUP(2,1/((Budgets!$A$2:$A$200=AV$1)*(Budgets!$B$2:$B$200&lt;=$A285)),Budgets!$C$2:$C$200),0))</f>
        <v/>
      </c>
      <c r="AW285" s="88">
        <f>IF(OR(AW$1="",$BE285=0),"",IFERROR(LOOKUP(2,1/((Budgets!$A$2:$A$200=AW$1)*(Budgets!$B$2:$B$200&lt;=$A285)),Budgets!$C$2:$C$200),0))</f>
        <v/>
      </c>
      <c r="AX285" s="88">
        <f>IF(OR(AX$1="",$BE285=0),"",IFERROR(LOOKUP(2,1/((Budgets!$A$2:$A$200=AX$1)*(Budgets!$B$2:$B$200&lt;=$A285)),Budgets!$C$2:$C$200),0))</f>
        <v/>
      </c>
      <c r="AY285" s="88">
        <f>IF(OR(AY$1="",$BE285=0),"",IFERROR(LOOKUP(2,1/((Budgets!$A$2:$A$200=AY$1)*(Budgets!$B$2:$B$200&lt;=$A285)),Budgets!$C$2:$C$200),0))</f>
        <v/>
      </c>
      <c r="AZ285" s="88">
        <f>IF(OR(AZ$1="",$BE285=0),"",IFERROR(LOOKUP(2,1/((Budgets!$A$2:$A$200=AZ$1)*(Budgets!$B$2:$B$200&lt;=$A285)),Budgets!$C$2:$C$200),0))</f>
        <v/>
      </c>
      <c r="BA285" s="88">
        <f>IF(OR(BA$1="",$BE285=0),"",IFERROR(LOOKUP(2,1/((Budgets!$A$2:$A$200=BA$1)*(Budgets!$B$2:$B$200&lt;=$A285)),Budgets!$C$2:$C$200),0))</f>
        <v/>
      </c>
      <c r="BB285" s="88">
        <f>IF(OR(BB$1="",$BE285=0),"",IFERROR(LOOKUP(2,1/((Budgets!$A$2:$A$200=BB$1)*(Budgets!$B$2:$B$200&lt;=$A285)),Budgets!$C$2:$C$200),0))</f>
        <v/>
      </c>
      <c r="BC285" s="88">
        <f>IF(OR(BC$1="",$BE285=0),"",IFERROR(LOOKUP(2,1/((Budgets!$A$2:$A$200=BC$1)*(Budgets!$B$2:$B$200&lt;=$A285)),Budgets!$C$2:$C$200),0))</f>
        <v/>
      </c>
      <c r="BE285" s="67">
        <f>COUNTIFS(Entries!$A$2:$A$5000,$A285)</f>
        <v/>
      </c>
    </row>
    <row r="286" ht="15" customHeight="1" s="43">
      <c r="A286" s="87" t="n">
        <v>48092</v>
      </c>
      <c r="B286" s="88">
        <f>IF($BE286=0,NA(),SUMIFS(Entries!$D$2:$D$5000,Entries!$C$2:$C$5000,"Income",Entries!$A$2:$A$5000,$A286))</f>
        <v/>
      </c>
      <c r="C286" s="88">
        <f>IF($BE286=0,"",SUMIFS(Entries!$D$2:$D$5000,Entries!$C$2:$C$5000,"Actual",Entries!$A$2:$A$5000,$A286))</f>
        <v/>
      </c>
      <c r="D286" s="88">
        <f>IF($BE286=0,"",SUMIFS(Entries!$D$2:$D$5000,Entries!$C$2:$C$5000,"One-off",Entries!$A$2:$A$5000,$A286))</f>
        <v/>
      </c>
      <c r="E286" s="88">
        <f>IF($BE286=0,NA(),C286+D286)</f>
        <v/>
      </c>
      <c r="F286" s="88">
        <f>IF($BE286=0,"",SUM(AJ286:BC286))</f>
        <v/>
      </c>
      <c r="G286" s="88">
        <f>IF($BE286=0,"",B286-E286)</f>
        <v/>
      </c>
      <c r="H286" s="88">
        <f>IF($BE286=0,"",SUM($G$2:G286))</f>
        <v/>
      </c>
      <c r="I286" s="88">
        <f>IF($BE286=0,"",SUMIFS(Entries!$F$2:$F$5000,Entries!$A$2:$A$5000,$A286))</f>
        <v/>
      </c>
      <c r="J286" s="88">
        <f>IF($BE286=0,NA(),H286+SUM($I$2:I286))</f>
        <v/>
      </c>
      <c r="K286" s="88">
        <f>IF($BE286=0,"",SUMIFS(Entries!$D$2:$D$5000,Entries!$C$2:$C$5000,"Income",Entries!$A$2:$A$5000,"&gt;="&amp;EDATE($A286,-11),Entries!$A$2:$A$5000,"&lt;="&amp;$A286)/12)</f>
        <v/>
      </c>
      <c r="L286" s="88">
        <f>IF($BE286=0,"",(SUMIFS(Entries!$D$2:$D$5000,Entries!$C$2:$C$5000,"Actual",Entries!$A$2:$A$5000,"&gt;="&amp;EDATE($A286,-11),Entries!$A$2:$A$5000,"&lt;="&amp;$A286)+SUMIFS(Entries!$D$2:$D$5000,Entries!$C$2:$C$5000,"One-off",Entries!$A$2:$A$5000,"&gt;="&amp;EDATE($A286,-11),Entries!$A$2:$A$5000,"&lt;="&amp;$A286))/12)</f>
        <v/>
      </c>
      <c r="M286" s="71">
        <f>IF($BE286=0,NA(),IFERROR((K286-L286)/K286,0))</f>
        <v/>
      </c>
      <c r="O286" s="88">
        <f>IF(OR(O$1="",$BE286=0),"",SUMIFS(Entries!$D$2:$D$5000,Entries!$C$2:$C$5000,"Actual",Entries!$A$2:$A$5000,$A286,Entries!$B$2:$B$5000,O$1))</f>
        <v/>
      </c>
      <c r="P286" s="88">
        <f>IF(OR(P$1="",$BE286=0),"",SUMIFS(Entries!$D$2:$D$5000,Entries!$C$2:$C$5000,"Actual",Entries!$A$2:$A$5000,$A286,Entries!$B$2:$B$5000,P$1))</f>
        <v/>
      </c>
      <c r="Q286" s="88">
        <f>IF(OR(Q$1="",$BE286=0),"",SUMIFS(Entries!$D$2:$D$5000,Entries!$C$2:$C$5000,"Actual",Entries!$A$2:$A$5000,$A286,Entries!$B$2:$B$5000,Q$1))</f>
        <v/>
      </c>
      <c r="R286" s="88">
        <f>IF(OR(R$1="",$BE286=0),"",SUMIFS(Entries!$D$2:$D$5000,Entries!$C$2:$C$5000,"Actual",Entries!$A$2:$A$5000,$A286,Entries!$B$2:$B$5000,R$1))</f>
        <v/>
      </c>
      <c r="S286" s="88">
        <f>IF(OR(S$1="",$BE286=0),"",SUMIFS(Entries!$D$2:$D$5000,Entries!$C$2:$C$5000,"Actual",Entries!$A$2:$A$5000,$A286,Entries!$B$2:$B$5000,S$1))</f>
        <v/>
      </c>
      <c r="T286" s="88">
        <f>IF(OR(T$1="",$BE286=0),"",SUMIFS(Entries!$D$2:$D$5000,Entries!$C$2:$C$5000,"Actual",Entries!$A$2:$A$5000,$A286,Entries!$B$2:$B$5000,T$1))</f>
        <v/>
      </c>
      <c r="U286" s="88">
        <f>IF(OR(U$1="",$BE286=0),"",SUMIFS(Entries!$D$2:$D$5000,Entries!$C$2:$C$5000,"Actual",Entries!$A$2:$A$5000,$A286,Entries!$B$2:$B$5000,U$1))</f>
        <v/>
      </c>
      <c r="V286" s="88">
        <f>IF(OR(V$1="",$BE286=0),"",SUMIFS(Entries!$D$2:$D$5000,Entries!$C$2:$C$5000,"Actual",Entries!$A$2:$A$5000,$A286,Entries!$B$2:$B$5000,V$1))</f>
        <v/>
      </c>
      <c r="W286" s="88">
        <f>IF(OR(W$1="",$BE286=0),"",SUMIFS(Entries!$D$2:$D$5000,Entries!$C$2:$C$5000,"Actual",Entries!$A$2:$A$5000,$A286,Entries!$B$2:$B$5000,W$1))</f>
        <v/>
      </c>
      <c r="X286" s="88">
        <f>IF(OR(X$1="",$BE286=0),"",SUMIFS(Entries!$D$2:$D$5000,Entries!$C$2:$C$5000,"Actual",Entries!$A$2:$A$5000,$A286,Entries!$B$2:$B$5000,X$1))</f>
        <v/>
      </c>
      <c r="Y286" s="88">
        <f>IF(OR(Y$1="",$BE286=0),"",SUMIFS(Entries!$D$2:$D$5000,Entries!$C$2:$C$5000,"Actual",Entries!$A$2:$A$5000,$A286,Entries!$B$2:$B$5000,Y$1))</f>
        <v/>
      </c>
      <c r="Z286" s="88">
        <f>IF(OR(Z$1="",$BE286=0),"",SUMIFS(Entries!$D$2:$D$5000,Entries!$C$2:$C$5000,"Actual",Entries!$A$2:$A$5000,$A286,Entries!$B$2:$B$5000,Z$1))</f>
        <v/>
      </c>
      <c r="AA286" s="88">
        <f>IF(OR(AA$1="",$BE286=0),"",SUMIFS(Entries!$D$2:$D$5000,Entries!$C$2:$C$5000,"Actual",Entries!$A$2:$A$5000,$A286,Entries!$B$2:$B$5000,AA$1))</f>
        <v/>
      </c>
      <c r="AB286" s="88">
        <f>IF(OR(AB$1="",$BE286=0),"",SUMIFS(Entries!$D$2:$D$5000,Entries!$C$2:$C$5000,"Actual",Entries!$A$2:$A$5000,$A286,Entries!$B$2:$B$5000,AB$1))</f>
        <v/>
      </c>
      <c r="AC286" s="88">
        <f>IF(OR(AC$1="",$BE286=0),"",SUMIFS(Entries!$D$2:$D$5000,Entries!$C$2:$C$5000,"Actual",Entries!$A$2:$A$5000,$A286,Entries!$B$2:$B$5000,AC$1))</f>
        <v/>
      </c>
      <c r="AD286" s="88">
        <f>IF(OR(AD$1="",$BE286=0),"",SUMIFS(Entries!$D$2:$D$5000,Entries!$C$2:$C$5000,"Actual",Entries!$A$2:$A$5000,$A286,Entries!$B$2:$B$5000,AD$1))</f>
        <v/>
      </c>
      <c r="AE286" s="88">
        <f>IF(OR(AE$1="",$BE286=0),"",SUMIFS(Entries!$D$2:$D$5000,Entries!$C$2:$C$5000,"Actual",Entries!$A$2:$A$5000,$A286,Entries!$B$2:$B$5000,AE$1))</f>
        <v/>
      </c>
      <c r="AF286" s="88">
        <f>IF(OR(AF$1="",$BE286=0),"",SUMIFS(Entries!$D$2:$D$5000,Entries!$C$2:$C$5000,"Actual",Entries!$A$2:$A$5000,$A286,Entries!$B$2:$B$5000,AF$1))</f>
        <v/>
      </c>
      <c r="AG286" s="88">
        <f>IF(OR(AG$1="",$BE286=0),"",SUMIFS(Entries!$D$2:$D$5000,Entries!$C$2:$C$5000,"Actual",Entries!$A$2:$A$5000,$A286,Entries!$B$2:$B$5000,AG$1))</f>
        <v/>
      </c>
      <c r="AH286" s="88">
        <f>IF(OR(AH$1="",$BE286=0),"",SUMIFS(Entries!$D$2:$D$5000,Entries!$C$2:$C$5000,"Actual",Entries!$A$2:$A$5000,$A286,Entries!$B$2:$B$5000,AH$1))</f>
        <v/>
      </c>
      <c r="AJ286" s="88">
        <f>IF(OR(AJ$1="",$BE286=0),"",IFERROR(LOOKUP(2,1/((Budgets!$A$2:$A$200=AJ$1)*(Budgets!$B$2:$B$200&lt;=$A286)),Budgets!$C$2:$C$200),0))</f>
        <v/>
      </c>
      <c r="AK286" s="88">
        <f>IF(OR(AK$1="",$BE286=0),"",IFERROR(LOOKUP(2,1/((Budgets!$A$2:$A$200=AK$1)*(Budgets!$B$2:$B$200&lt;=$A286)),Budgets!$C$2:$C$200),0))</f>
        <v/>
      </c>
      <c r="AL286" s="88">
        <f>IF(OR(AL$1="",$BE286=0),"",IFERROR(LOOKUP(2,1/((Budgets!$A$2:$A$200=AL$1)*(Budgets!$B$2:$B$200&lt;=$A286)),Budgets!$C$2:$C$200),0))</f>
        <v/>
      </c>
      <c r="AM286" s="88">
        <f>IF(OR(AM$1="",$BE286=0),"",IFERROR(LOOKUP(2,1/((Budgets!$A$2:$A$200=AM$1)*(Budgets!$B$2:$B$200&lt;=$A286)),Budgets!$C$2:$C$200),0))</f>
        <v/>
      </c>
      <c r="AN286" s="88">
        <f>IF(OR(AN$1="",$BE286=0),"",IFERROR(LOOKUP(2,1/((Budgets!$A$2:$A$200=AN$1)*(Budgets!$B$2:$B$200&lt;=$A286)),Budgets!$C$2:$C$200),0))</f>
        <v/>
      </c>
      <c r="AO286" s="88">
        <f>IF(OR(AO$1="",$BE286=0),"",IFERROR(LOOKUP(2,1/((Budgets!$A$2:$A$200=AO$1)*(Budgets!$B$2:$B$200&lt;=$A286)),Budgets!$C$2:$C$200),0))</f>
        <v/>
      </c>
      <c r="AP286" s="88">
        <f>IF(OR(AP$1="",$BE286=0),"",IFERROR(LOOKUP(2,1/((Budgets!$A$2:$A$200=AP$1)*(Budgets!$B$2:$B$200&lt;=$A286)),Budgets!$C$2:$C$200),0))</f>
        <v/>
      </c>
      <c r="AQ286" s="88">
        <f>IF(OR(AQ$1="",$BE286=0),"",IFERROR(LOOKUP(2,1/((Budgets!$A$2:$A$200=AQ$1)*(Budgets!$B$2:$B$200&lt;=$A286)),Budgets!$C$2:$C$200),0))</f>
        <v/>
      </c>
      <c r="AR286" s="88">
        <f>IF(OR(AR$1="",$BE286=0),"",IFERROR(LOOKUP(2,1/((Budgets!$A$2:$A$200=AR$1)*(Budgets!$B$2:$B$200&lt;=$A286)),Budgets!$C$2:$C$200),0))</f>
        <v/>
      </c>
      <c r="AS286" s="88">
        <f>IF(OR(AS$1="",$BE286=0),"",IFERROR(LOOKUP(2,1/((Budgets!$A$2:$A$200=AS$1)*(Budgets!$B$2:$B$200&lt;=$A286)),Budgets!$C$2:$C$200),0))</f>
        <v/>
      </c>
      <c r="AT286" s="88">
        <f>IF(OR(AT$1="",$BE286=0),"",IFERROR(LOOKUP(2,1/((Budgets!$A$2:$A$200=AT$1)*(Budgets!$B$2:$B$200&lt;=$A286)),Budgets!$C$2:$C$200),0))</f>
        <v/>
      </c>
      <c r="AU286" s="88">
        <f>IF(OR(AU$1="",$BE286=0),"",IFERROR(LOOKUP(2,1/((Budgets!$A$2:$A$200=AU$1)*(Budgets!$B$2:$B$200&lt;=$A286)),Budgets!$C$2:$C$200),0))</f>
        <v/>
      </c>
      <c r="AV286" s="88">
        <f>IF(OR(AV$1="",$BE286=0),"",IFERROR(LOOKUP(2,1/((Budgets!$A$2:$A$200=AV$1)*(Budgets!$B$2:$B$200&lt;=$A286)),Budgets!$C$2:$C$200),0))</f>
        <v/>
      </c>
      <c r="AW286" s="88">
        <f>IF(OR(AW$1="",$BE286=0),"",IFERROR(LOOKUP(2,1/((Budgets!$A$2:$A$200=AW$1)*(Budgets!$B$2:$B$200&lt;=$A286)),Budgets!$C$2:$C$200),0))</f>
        <v/>
      </c>
      <c r="AX286" s="88">
        <f>IF(OR(AX$1="",$BE286=0),"",IFERROR(LOOKUP(2,1/((Budgets!$A$2:$A$200=AX$1)*(Budgets!$B$2:$B$200&lt;=$A286)),Budgets!$C$2:$C$200),0))</f>
        <v/>
      </c>
      <c r="AY286" s="88">
        <f>IF(OR(AY$1="",$BE286=0),"",IFERROR(LOOKUP(2,1/((Budgets!$A$2:$A$200=AY$1)*(Budgets!$B$2:$B$200&lt;=$A286)),Budgets!$C$2:$C$200),0))</f>
        <v/>
      </c>
      <c r="AZ286" s="88">
        <f>IF(OR(AZ$1="",$BE286=0),"",IFERROR(LOOKUP(2,1/((Budgets!$A$2:$A$200=AZ$1)*(Budgets!$B$2:$B$200&lt;=$A286)),Budgets!$C$2:$C$200),0))</f>
        <v/>
      </c>
      <c r="BA286" s="88">
        <f>IF(OR(BA$1="",$BE286=0),"",IFERROR(LOOKUP(2,1/((Budgets!$A$2:$A$200=BA$1)*(Budgets!$B$2:$B$200&lt;=$A286)),Budgets!$C$2:$C$200),0))</f>
        <v/>
      </c>
      <c r="BB286" s="88">
        <f>IF(OR(BB$1="",$BE286=0),"",IFERROR(LOOKUP(2,1/((Budgets!$A$2:$A$200=BB$1)*(Budgets!$B$2:$B$200&lt;=$A286)),Budgets!$C$2:$C$200),0))</f>
        <v/>
      </c>
      <c r="BC286" s="88">
        <f>IF(OR(BC$1="",$BE286=0),"",IFERROR(LOOKUP(2,1/((Budgets!$A$2:$A$200=BC$1)*(Budgets!$B$2:$B$200&lt;=$A286)),Budgets!$C$2:$C$200),0))</f>
        <v/>
      </c>
      <c r="BE286" s="67">
        <f>COUNTIFS(Entries!$A$2:$A$5000,$A286)</f>
        <v/>
      </c>
    </row>
    <row r="287" ht="15" customHeight="1" s="43">
      <c r="A287" s="87" t="n">
        <v>48122</v>
      </c>
      <c r="B287" s="88">
        <f>IF($BE287=0,NA(),SUMIFS(Entries!$D$2:$D$5000,Entries!$C$2:$C$5000,"Income",Entries!$A$2:$A$5000,$A287))</f>
        <v/>
      </c>
      <c r="C287" s="88">
        <f>IF($BE287=0,"",SUMIFS(Entries!$D$2:$D$5000,Entries!$C$2:$C$5000,"Actual",Entries!$A$2:$A$5000,$A287))</f>
        <v/>
      </c>
      <c r="D287" s="88">
        <f>IF($BE287=0,"",SUMIFS(Entries!$D$2:$D$5000,Entries!$C$2:$C$5000,"One-off",Entries!$A$2:$A$5000,$A287))</f>
        <v/>
      </c>
      <c r="E287" s="88">
        <f>IF($BE287=0,NA(),C287+D287)</f>
        <v/>
      </c>
      <c r="F287" s="88">
        <f>IF($BE287=0,"",SUM(AJ287:BC287))</f>
        <v/>
      </c>
      <c r="G287" s="88">
        <f>IF($BE287=0,"",B287-E287)</f>
        <v/>
      </c>
      <c r="H287" s="88">
        <f>IF($BE287=0,"",SUM($G$2:G287))</f>
        <v/>
      </c>
      <c r="I287" s="88">
        <f>IF($BE287=0,"",SUMIFS(Entries!$F$2:$F$5000,Entries!$A$2:$A$5000,$A287))</f>
        <v/>
      </c>
      <c r="J287" s="88">
        <f>IF($BE287=0,NA(),H287+SUM($I$2:I287))</f>
        <v/>
      </c>
      <c r="K287" s="88">
        <f>IF($BE287=0,"",SUMIFS(Entries!$D$2:$D$5000,Entries!$C$2:$C$5000,"Income",Entries!$A$2:$A$5000,"&gt;="&amp;EDATE($A287,-11),Entries!$A$2:$A$5000,"&lt;="&amp;$A287)/12)</f>
        <v/>
      </c>
      <c r="L287" s="88">
        <f>IF($BE287=0,"",(SUMIFS(Entries!$D$2:$D$5000,Entries!$C$2:$C$5000,"Actual",Entries!$A$2:$A$5000,"&gt;="&amp;EDATE($A287,-11),Entries!$A$2:$A$5000,"&lt;="&amp;$A287)+SUMIFS(Entries!$D$2:$D$5000,Entries!$C$2:$C$5000,"One-off",Entries!$A$2:$A$5000,"&gt;="&amp;EDATE($A287,-11),Entries!$A$2:$A$5000,"&lt;="&amp;$A287))/12)</f>
        <v/>
      </c>
      <c r="M287" s="71">
        <f>IF($BE287=0,NA(),IFERROR((K287-L287)/K287,0))</f>
        <v/>
      </c>
      <c r="O287" s="88">
        <f>IF(OR(O$1="",$BE287=0),"",SUMIFS(Entries!$D$2:$D$5000,Entries!$C$2:$C$5000,"Actual",Entries!$A$2:$A$5000,$A287,Entries!$B$2:$B$5000,O$1))</f>
        <v/>
      </c>
      <c r="P287" s="88">
        <f>IF(OR(P$1="",$BE287=0),"",SUMIFS(Entries!$D$2:$D$5000,Entries!$C$2:$C$5000,"Actual",Entries!$A$2:$A$5000,$A287,Entries!$B$2:$B$5000,P$1))</f>
        <v/>
      </c>
      <c r="Q287" s="88">
        <f>IF(OR(Q$1="",$BE287=0),"",SUMIFS(Entries!$D$2:$D$5000,Entries!$C$2:$C$5000,"Actual",Entries!$A$2:$A$5000,$A287,Entries!$B$2:$B$5000,Q$1))</f>
        <v/>
      </c>
      <c r="R287" s="88">
        <f>IF(OR(R$1="",$BE287=0),"",SUMIFS(Entries!$D$2:$D$5000,Entries!$C$2:$C$5000,"Actual",Entries!$A$2:$A$5000,$A287,Entries!$B$2:$B$5000,R$1))</f>
        <v/>
      </c>
      <c r="S287" s="88">
        <f>IF(OR(S$1="",$BE287=0),"",SUMIFS(Entries!$D$2:$D$5000,Entries!$C$2:$C$5000,"Actual",Entries!$A$2:$A$5000,$A287,Entries!$B$2:$B$5000,S$1))</f>
        <v/>
      </c>
      <c r="T287" s="88">
        <f>IF(OR(T$1="",$BE287=0),"",SUMIFS(Entries!$D$2:$D$5000,Entries!$C$2:$C$5000,"Actual",Entries!$A$2:$A$5000,$A287,Entries!$B$2:$B$5000,T$1))</f>
        <v/>
      </c>
      <c r="U287" s="88">
        <f>IF(OR(U$1="",$BE287=0),"",SUMIFS(Entries!$D$2:$D$5000,Entries!$C$2:$C$5000,"Actual",Entries!$A$2:$A$5000,$A287,Entries!$B$2:$B$5000,U$1))</f>
        <v/>
      </c>
      <c r="V287" s="88">
        <f>IF(OR(V$1="",$BE287=0),"",SUMIFS(Entries!$D$2:$D$5000,Entries!$C$2:$C$5000,"Actual",Entries!$A$2:$A$5000,$A287,Entries!$B$2:$B$5000,V$1))</f>
        <v/>
      </c>
      <c r="W287" s="88">
        <f>IF(OR(W$1="",$BE287=0),"",SUMIFS(Entries!$D$2:$D$5000,Entries!$C$2:$C$5000,"Actual",Entries!$A$2:$A$5000,$A287,Entries!$B$2:$B$5000,W$1))</f>
        <v/>
      </c>
      <c r="X287" s="88">
        <f>IF(OR(X$1="",$BE287=0),"",SUMIFS(Entries!$D$2:$D$5000,Entries!$C$2:$C$5000,"Actual",Entries!$A$2:$A$5000,$A287,Entries!$B$2:$B$5000,X$1))</f>
        <v/>
      </c>
      <c r="Y287" s="88">
        <f>IF(OR(Y$1="",$BE287=0),"",SUMIFS(Entries!$D$2:$D$5000,Entries!$C$2:$C$5000,"Actual",Entries!$A$2:$A$5000,$A287,Entries!$B$2:$B$5000,Y$1))</f>
        <v/>
      </c>
      <c r="Z287" s="88">
        <f>IF(OR(Z$1="",$BE287=0),"",SUMIFS(Entries!$D$2:$D$5000,Entries!$C$2:$C$5000,"Actual",Entries!$A$2:$A$5000,$A287,Entries!$B$2:$B$5000,Z$1))</f>
        <v/>
      </c>
      <c r="AA287" s="88">
        <f>IF(OR(AA$1="",$BE287=0),"",SUMIFS(Entries!$D$2:$D$5000,Entries!$C$2:$C$5000,"Actual",Entries!$A$2:$A$5000,$A287,Entries!$B$2:$B$5000,AA$1))</f>
        <v/>
      </c>
      <c r="AB287" s="88">
        <f>IF(OR(AB$1="",$BE287=0),"",SUMIFS(Entries!$D$2:$D$5000,Entries!$C$2:$C$5000,"Actual",Entries!$A$2:$A$5000,$A287,Entries!$B$2:$B$5000,AB$1))</f>
        <v/>
      </c>
      <c r="AC287" s="88">
        <f>IF(OR(AC$1="",$BE287=0),"",SUMIFS(Entries!$D$2:$D$5000,Entries!$C$2:$C$5000,"Actual",Entries!$A$2:$A$5000,$A287,Entries!$B$2:$B$5000,AC$1))</f>
        <v/>
      </c>
      <c r="AD287" s="88">
        <f>IF(OR(AD$1="",$BE287=0),"",SUMIFS(Entries!$D$2:$D$5000,Entries!$C$2:$C$5000,"Actual",Entries!$A$2:$A$5000,$A287,Entries!$B$2:$B$5000,AD$1))</f>
        <v/>
      </c>
      <c r="AE287" s="88">
        <f>IF(OR(AE$1="",$BE287=0),"",SUMIFS(Entries!$D$2:$D$5000,Entries!$C$2:$C$5000,"Actual",Entries!$A$2:$A$5000,$A287,Entries!$B$2:$B$5000,AE$1))</f>
        <v/>
      </c>
      <c r="AF287" s="88">
        <f>IF(OR(AF$1="",$BE287=0),"",SUMIFS(Entries!$D$2:$D$5000,Entries!$C$2:$C$5000,"Actual",Entries!$A$2:$A$5000,$A287,Entries!$B$2:$B$5000,AF$1))</f>
        <v/>
      </c>
      <c r="AG287" s="88">
        <f>IF(OR(AG$1="",$BE287=0),"",SUMIFS(Entries!$D$2:$D$5000,Entries!$C$2:$C$5000,"Actual",Entries!$A$2:$A$5000,$A287,Entries!$B$2:$B$5000,AG$1))</f>
        <v/>
      </c>
      <c r="AH287" s="88">
        <f>IF(OR(AH$1="",$BE287=0),"",SUMIFS(Entries!$D$2:$D$5000,Entries!$C$2:$C$5000,"Actual",Entries!$A$2:$A$5000,$A287,Entries!$B$2:$B$5000,AH$1))</f>
        <v/>
      </c>
      <c r="AJ287" s="88">
        <f>IF(OR(AJ$1="",$BE287=0),"",IFERROR(LOOKUP(2,1/((Budgets!$A$2:$A$200=AJ$1)*(Budgets!$B$2:$B$200&lt;=$A287)),Budgets!$C$2:$C$200),0))</f>
        <v/>
      </c>
      <c r="AK287" s="88">
        <f>IF(OR(AK$1="",$BE287=0),"",IFERROR(LOOKUP(2,1/((Budgets!$A$2:$A$200=AK$1)*(Budgets!$B$2:$B$200&lt;=$A287)),Budgets!$C$2:$C$200),0))</f>
        <v/>
      </c>
      <c r="AL287" s="88">
        <f>IF(OR(AL$1="",$BE287=0),"",IFERROR(LOOKUP(2,1/((Budgets!$A$2:$A$200=AL$1)*(Budgets!$B$2:$B$200&lt;=$A287)),Budgets!$C$2:$C$200),0))</f>
        <v/>
      </c>
      <c r="AM287" s="88">
        <f>IF(OR(AM$1="",$BE287=0),"",IFERROR(LOOKUP(2,1/((Budgets!$A$2:$A$200=AM$1)*(Budgets!$B$2:$B$200&lt;=$A287)),Budgets!$C$2:$C$200),0))</f>
        <v/>
      </c>
      <c r="AN287" s="88">
        <f>IF(OR(AN$1="",$BE287=0),"",IFERROR(LOOKUP(2,1/((Budgets!$A$2:$A$200=AN$1)*(Budgets!$B$2:$B$200&lt;=$A287)),Budgets!$C$2:$C$200),0))</f>
        <v/>
      </c>
      <c r="AO287" s="88">
        <f>IF(OR(AO$1="",$BE287=0),"",IFERROR(LOOKUP(2,1/((Budgets!$A$2:$A$200=AO$1)*(Budgets!$B$2:$B$200&lt;=$A287)),Budgets!$C$2:$C$200),0))</f>
        <v/>
      </c>
      <c r="AP287" s="88">
        <f>IF(OR(AP$1="",$BE287=0),"",IFERROR(LOOKUP(2,1/((Budgets!$A$2:$A$200=AP$1)*(Budgets!$B$2:$B$200&lt;=$A287)),Budgets!$C$2:$C$200),0))</f>
        <v/>
      </c>
      <c r="AQ287" s="88">
        <f>IF(OR(AQ$1="",$BE287=0),"",IFERROR(LOOKUP(2,1/((Budgets!$A$2:$A$200=AQ$1)*(Budgets!$B$2:$B$200&lt;=$A287)),Budgets!$C$2:$C$200),0))</f>
        <v/>
      </c>
      <c r="AR287" s="88">
        <f>IF(OR(AR$1="",$BE287=0),"",IFERROR(LOOKUP(2,1/((Budgets!$A$2:$A$200=AR$1)*(Budgets!$B$2:$B$200&lt;=$A287)),Budgets!$C$2:$C$200),0))</f>
        <v/>
      </c>
      <c r="AS287" s="88">
        <f>IF(OR(AS$1="",$BE287=0),"",IFERROR(LOOKUP(2,1/((Budgets!$A$2:$A$200=AS$1)*(Budgets!$B$2:$B$200&lt;=$A287)),Budgets!$C$2:$C$200),0))</f>
        <v/>
      </c>
      <c r="AT287" s="88">
        <f>IF(OR(AT$1="",$BE287=0),"",IFERROR(LOOKUP(2,1/((Budgets!$A$2:$A$200=AT$1)*(Budgets!$B$2:$B$200&lt;=$A287)),Budgets!$C$2:$C$200),0))</f>
        <v/>
      </c>
      <c r="AU287" s="88">
        <f>IF(OR(AU$1="",$BE287=0),"",IFERROR(LOOKUP(2,1/((Budgets!$A$2:$A$200=AU$1)*(Budgets!$B$2:$B$200&lt;=$A287)),Budgets!$C$2:$C$200),0))</f>
        <v/>
      </c>
      <c r="AV287" s="88">
        <f>IF(OR(AV$1="",$BE287=0),"",IFERROR(LOOKUP(2,1/((Budgets!$A$2:$A$200=AV$1)*(Budgets!$B$2:$B$200&lt;=$A287)),Budgets!$C$2:$C$200),0))</f>
        <v/>
      </c>
      <c r="AW287" s="88">
        <f>IF(OR(AW$1="",$BE287=0),"",IFERROR(LOOKUP(2,1/((Budgets!$A$2:$A$200=AW$1)*(Budgets!$B$2:$B$200&lt;=$A287)),Budgets!$C$2:$C$200),0))</f>
        <v/>
      </c>
      <c r="AX287" s="88">
        <f>IF(OR(AX$1="",$BE287=0),"",IFERROR(LOOKUP(2,1/((Budgets!$A$2:$A$200=AX$1)*(Budgets!$B$2:$B$200&lt;=$A287)),Budgets!$C$2:$C$200),0))</f>
        <v/>
      </c>
      <c r="AY287" s="88">
        <f>IF(OR(AY$1="",$BE287=0),"",IFERROR(LOOKUP(2,1/((Budgets!$A$2:$A$200=AY$1)*(Budgets!$B$2:$B$200&lt;=$A287)),Budgets!$C$2:$C$200),0))</f>
        <v/>
      </c>
      <c r="AZ287" s="88">
        <f>IF(OR(AZ$1="",$BE287=0),"",IFERROR(LOOKUP(2,1/((Budgets!$A$2:$A$200=AZ$1)*(Budgets!$B$2:$B$200&lt;=$A287)),Budgets!$C$2:$C$200),0))</f>
        <v/>
      </c>
      <c r="BA287" s="88">
        <f>IF(OR(BA$1="",$BE287=0),"",IFERROR(LOOKUP(2,1/((Budgets!$A$2:$A$200=BA$1)*(Budgets!$B$2:$B$200&lt;=$A287)),Budgets!$C$2:$C$200),0))</f>
        <v/>
      </c>
      <c r="BB287" s="88">
        <f>IF(OR(BB$1="",$BE287=0),"",IFERROR(LOOKUP(2,1/((Budgets!$A$2:$A$200=BB$1)*(Budgets!$B$2:$B$200&lt;=$A287)),Budgets!$C$2:$C$200),0))</f>
        <v/>
      </c>
      <c r="BC287" s="88">
        <f>IF(OR(BC$1="",$BE287=0),"",IFERROR(LOOKUP(2,1/((Budgets!$A$2:$A$200=BC$1)*(Budgets!$B$2:$B$200&lt;=$A287)),Budgets!$C$2:$C$200),0))</f>
        <v/>
      </c>
      <c r="BE287" s="67">
        <f>COUNTIFS(Entries!$A$2:$A$5000,$A287)</f>
        <v/>
      </c>
    </row>
    <row r="288" ht="15" customHeight="1" s="43">
      <c r="A288" s="87" t="n">
        <v>48153</v>
      </c>
      <c r="B288" s="88">
        <f>IF($BE288=0,NA(),SUMIFS(Entries!$D$2:$D$5000,Entries!$C$2:$C$5000,"Income",Entries!$A$2:$A$5000,$A288))</f>
        <v/>
      </c>
      <c r="C288" s="88">
        <f>IF($BE288=0,"",SUMIFS(Entries!$D$2:$D$5000,Entries!$C$2:$C$5000,"Actual",Entries!$A$2:$A$5000,$A288))</f>
        <v/>
      </c>
      <c r="D288" s="88">
        <f>IF($BE288=0,"",SUMIFS(Entries!$D$2:$D$5000,Entries!$C$2:$C$5000,"One-off",Entries!$A$2:$A$5000,$A288))</f>
        <v/>
      </c>
      <c r="E288" s="88">
        <f>IF($BE288=0,NA(),C288+D288)</f>
        <v/>
      </c>
      <c r="F288" s="88">
        <f>IF($BE288=0,"",SUM(AJ288:BC288))</f>
        <v/>
      </c>
      <c r="G288" s="88">
        <f>IF($BE288=0,"",B288-E288)</f>
        <v/>
      </c>
      <c r="H288" s="88">
        <f>IF($BE288=0,"",SUM($G$2:G288))</f>
        <v/>
      </c>
      <c r="I288" s="88">
        <f>IF($BE288=0,"",SUMIFS(Entries!$F$2:$F$5000,Entries!$A$2:$A$5000,$A288))</f>
        <v/>
      </c>
      <c r="J288" s="88">
        <f>IF($BE288=0,NA(),H288+SUM($I$2:I288))</f>
        <v/>
      </c>
      <c r="K288" s="88">
        <f>IF($BE288=0,"",SUMIFS(Entries!$D$2:$D$5000,Entries!$C$2:$C$5000,"Income",Entries!$A$2:$A$5000,"&gt;="&amp;EDATE($A288,-11),Entries!$A$2:$A$5000,"&lt;="&amp;$A288)/12)</f>
        <v/>
      </c>
      <c r="L288" s="88">
        <f>IF($BE288=0,"",(SUMIFS(Entries!$D$2:$D$5000,Entries!$C$2:$C$5000,"Actual",Entries!$A$2:$A$5000,"&gt;="&amp;EDATE($A288,-11),Entries!$A$2:$A$5000,"&lt;="&amp;$A288)+SUMIFS(Entries!$D$2:$D$5000,Entries!$C$2:$C$5000,"One-off",Entries!$A$2:$A$5000,"&gt;="&amp;EDATE($A288,-11),Entries!$A$2:$A$5000,"&lt;="&amp;$A288))/12)</f>
        <v/>
      </c>
      <c r="M288" s="71">
        <f>IF($BE288=0,NA(),IFERROR((K288-L288)/K288,0))</f>
        <v/>
      </c>
      <c r="O288" s="88">
        <f>IF(OR(O$1="",$BE288=0),"",SUMIFS(Entries!$D$2:$D$5000,Entries!$C$2:$C$5000,"Actual",Entries!$A$2:$A$5000,$A288,Entries!$B$2:$B$5000,O$1))</f>
        <v/>
      </c>
      <c r="P288" s="88">
        <f>IF(OR(P$1="",$BE288=0),"",SUMIFS(Entries!$D$2:$D$5000,Entries!$C$2:$C$5000,"Actual",Entries!$A$2:$A$5000,$A288,Entries!$B$2:$B$5000,P$1))</f>
        <v/>
      </c>
      <c r="Q288" s="88">
        <f>IF(OR(Q$1="",$BE288=0),"",SUMIFS(Entries!$D$2:$D$5000,Entries!$C$2:$C$5000,"Actual",Entries!$A$2:$A$5000,$A288,Entries!$B$2:$B$5000,Q$1))</f>
        <v/>
      </c>
      <c r="R288" s="88">
        <f>IF(OR(R$1="",$BE288=0),"",SUMIFS(Entries!$D$2:$D$5000,Entries!$C$2:$C$5000,"Actual",Entries!$A$2:$A$5000,$A288,Entries!$B$2:$B$5000,R$1))</f>
        <v/>
      </c>
      <c r="S288" s="88">
        <f>IF(OR(S$1="",$BE288=0),"",SUMIFS(Entries!$D$2:$D$5000,Entries!$C$2:$C$5000,"Actual",Entries!$A$2:$A$5000,$A288,Entries!$B$2:$B$5000,S$1))</f>
        <v/>
      </c>
      <c r="T288" s="88">
        <f>IF(OR(T$1="",$BE288=0),"",SUMIFS(Entries!$D$2:$D$5000,Entries!$C$2:$C$5000,"Actual",Entries!$A$2:$A$5000,$A288,Entries!$B$2:$B$5000,T$1))</f>
        <v/>
      </c>
      <c r="U288" s="88">
        <f>IF(OR(U$1="",$BE288=0),"",SUMIFS(Entries!$D$2:$D$5000,Entries!$C$2:$C$5000,"Actual",Entries!$A$2:$A$5000,$A288,Entries!$B$2:$B$5000,U$1))</f>
        <v/>
      </c>
      <c r="V288" s="88">
        <f>IF(OR(V$1="",$BE288=0),"",SUMIFS(Entries!$D$2:$D$5000,Entries!$C$2:$C$5000,"Actual",Entries!$A$2:$A$5000,$A288,Entries!$B$2:$B$5000,V$1))</f>
        <v/>
      </c>
      <c r="W288" s="88">
        <f>IF(OR(W$1="",$BE288=0),"",SUMIFS(Entries!$D$2:$D$5000,Entries!$C$2:$C$5000,"Actual",Entries!$A$2:$A$5000,$A288,Entries!$B$2:$B$5000,W$1))</f>
        <v/>
      </c>
      <c r="X288" s="88">
        <f>IF(OR(X$1="",$BE288=0),"",SUMIFS(Entries!$D$2:$D$5000,Entries!$C$2:$C$5000,"Actual",Entries!$A$2:$A$5000,$A288,Entries!$B$2:$B$5000,X$1))</f>
        <v/>
      </c>
      <c r="Y288" s="88">
        <f>IF(OR(Y$1="",$BE288=0),"",SUMIFS(Entries!$D$2:$D$5000,Entries!$C$2:$C$5000,"Actual",Entries!$A$2:$A$5000,$A288,Entries!$B$2:$B$5000,Y$1))</f>
        <v/>
      </c>
      <c r="Z288" s="88">
        <f>IF(OR(Z$1="",$BE288=0),"",SUMIFS(Entries!$D$2:$D$5000,Entries!$C$2:$C$5000,"Actual",Entries!$A$2:$A$5000,$A288,Entries!$B$2:$B$5000,Z$1))</f>
        <v/>
      </c>
      <c r="AA288" s="88">
        <f>IF(OR(AA$1="",$BE288=0),"",SUMIFS(Entries!$D$2:$D$5000,Entries!$C$2:$C$5000,"Actual",Entries!$A$2:$A$5000,$A288,Entries!$B$2:$B$5000,AA$1))</f>
        <v/>
      </c>
      <c r="AB288" s="88">
        <f>IF(OR(AB$1="",$BE288=0),"",SUMIFS(Entries!$D$2:$D$5000,Entries!$C$2:$C$5000,"Actual",Entries!$A$2:$A$5000,$A288,Entries!$B$2:$B$5000,AB$1))</f>
        <v/>
      </c>
      <c r="AC288" s="88">
        <f>IF(OR(AC$1="",$BE288=0),"",SUMIFS(Entries!$D$2:$D$5000,Entries!$C$2:$C$5000,"Actual",Entries!$A$2:$A$5000,$A288,Entries!$B$2:$B$5000,AC$1))</f>
        <v/>
      </c>
      <c r="AD288" s="88">
        <f>IF(OR(AD$1="",$BE288=0),"",SUMIFS(Entries!$D$2:$D$5000,Entries!$C$2:$C$5000,"Actual",Entries!$A$2:$A$5000,$A288,Entries!$B$2:$B$5000,AD$1))</f>
        <v/>
      </c>
      <c r="AE288" s="88">
        <f>IF(OR(AE$1="",$BE288=0),"",SUMIFS(Entries!$D$2:$D$5000,Entries!$C$2:$C$5000,"Actual",Entries!$A$2:$A$5000,$A288,Entries!$B$2:$B$5000,AE$1))</f>
        <v/>
      </c>
      <c r="AF288" s="88">
        <f>IF(OR(AF$1="",$BE288=0),"",SUMIFS(Entries!$D$2:$D$5000,Entries!$C$2:$C$5000,"Actual",Entries!$A$2:$A$5000,$A288,Entries!$B$2:$B$5000,AF$1))</f>
        <v/>
      </c>
      <c r="AG288" s="88">
        <f>IF(OR(AG$1="",$BE288=0),"",SUMIFS(Entries!$D$2:$D$5000,Entries!$C$2:$C$5000,"Actual",Entries!$A$2:$A$5000,$A288,Entries!$B$2:$B$5000,AG$1))</f>
        <v/>
      </c>
      <c r="AH288" s="88">
        <f>IF(OR(AH$1="",$BE288=0),"",SUMIFS(Entries!$D$2:$D$5000,Entries!$C$2:$C$5000,"Actual",Entries!$A$2:$A$5000,$A288,Entries!$B$2:$B$5000,AH$1))</f>
        <v/>
      </c>
      <c r="AJ288" s="88">
        <f>IF(OR(AJ$1="",$BE288=0),"",IFERROR(LOOKUP(2,1/((Budgets!$A$2:$A$200=AJ$1)*(Budgets!$B$2:$B$200&lt;=$A288)),Budgets!$C$2:$C$200),0))</f>
        <v/>
      </c>
      <c r="AK288" s="88">
        <f>IF(OR(AK$1="",$BE288=0),"",IFERROR(LOOKUP(2,1/((Budgets!$A$2:$A$200=AK$1)*(Budgets!$B$2:$B$200&lt;=$A288)),Budgets!$C$2:$C$200),0))</f>
        <v/>
      </c>
      <c r="AL288" s="88">
        <f>IF(OR(AL$1="",$BE288=0),"",IFERROR(LOOKUP(2,1/((Budgets!$A$2:$A$200=AL$1)*(Budgets!$B$2:$B$200&lt;=$A288)),Budgets!$C$2:$C$200),0))</f>
        <v/>
      </c>
      <c r="AM288" s="88">
        <f>IF(OR(AM$1="",$BE288=0),"",IFERROR(LOOKUP(2,1/((Budgets!$A$2:$A$200=AM$1)*(Budgets!$B$2:$B$200&lt;=$A288)),Budgets!$C$2:$C$200),0))</f>
        <v/>
      </c>
      <c r="AN288" s="88">
        <f>IF(OR(AN$1="",$BE288=0),"",IFERROR(LOOKUP(2,1/((Budgets!$A$2:$A$200=AN$1)*(Budgets!$B$2:$B$200&lt;=$A288)),Budgets!$C$2:$C$200),0))</f>
        <v/>
      </c>
      <c r="AO288" s="88">
        <f>IF(OR(AO$1="",$BE288=0),"",IFERROR(LOOKUP(2,1/((Budgets!$A$2:$A$200=AO$1)*(Budgets!$B$2:$B$200&lt;=$A288)),Budgets!$C$2:$C$200),0))</f>
        <v/>
      </c>
      <c r="AP288" s="88">
        <f>IF(OR(AP$1="",$BE288=0),"",IFERROR(LOOKUP(2,1/((Budgets!$A$2:$A$200=AP$1)*(Budgets!$B$2:$B$200&lt;=$A288)),Budgets!$C$2:$C$200),0))</f>
        <v/>
      </c>
      <c r="AQ288" s="88">
        <f>IF(OR(AQ$1="",$BE288=0),"",IFERROR(LOOKUP(2,1/((Budgets!$A$2:$A$200=AQ$1)*(Budgets!$B$2:$B$200&lt;=$A288)),Budgets!$C$2:$C$200),0))</f>
        <v/>
      </c>
      <c r="AR288" s="88">
        <f>IF(OR(AR$1="",$BE288=0),"",IFERROR(LOOKUP(2,1/((Budgets!$A$2:$A$200=AR$1)*(Budgets!$B$2:$B$200&lt;=$A288)),Budgets!$C$2:$C$200),0))</f>
        <v/>
      </c>
      <c r="AS288" s="88">
        <f>IF(OR(AS$1="",$BE288=0),"",IFERROR(LOOKUP(2,1/((Budgets!$A$2:$A$200=AS$1)*(Budgets!$B$2:$B$200&lt;=$A288)),Budgets!$C$2:$C$200),0))</f>
        <v/>
      </c>
      <c r="AT288" s="88">
        <f>IF(OR(AT$1="",$BE288=0),"",IFERROR(LOOKUP(2,1/((Budgets!$A$2:$A$200=AT$1)*(Budgets!$B$2:$B$200&lt;=$A288)),Budgets!$C$2:$C$200),0))</f>
        <v/>
      </c>
      <c r="AU288" s="88">
        <f>IF(OR(AU$1="",$BE288=0),"",IFERROR(LOOKUP(2,1/((Budgets!$A$2:$A$200=AU$1)*(Budgets!$B$2:$B$200&lt;=$A288)),Budgets!$C$2:$C$200),0))</f>
        <v/>
      </c>
      <c r="AV288" s="88">
        <f>IF(OR(AV$1="",$BE288=0),"",IFERROR(LOOKUP(2,1/((Budgets!$A$2:$A$200=AV$1)*(Budgets!$B$2:$B$200&lt;=$A288)),Budgets!$C$2:$C$200),0))</f>
        <v/>
      </c>
      <c r="AW288" s="88">
        <f>IF(OR(AW$1="",$BE288=0),"",IFERROR(LOOKUP(2,1/((Budgets!$A$2:$A$200=AW$1)*(Budgets!$B$2:$B$200&lt;=$A288)),Budgets!$C$2:$C$200),0))</f>
        <v/>
      </c>
      <c r="AX288" s="88">
        <f>IF(OR(AX$1="",$BE288=0),"",IFERROR(LOOKUP(2,1/((Budgets!$A$2:$A$200=AX$1)*(Budgets!$B$2:$B$200&lt;=$A288)),Budgets!$C$2:$C$200),0))</f>
        <v/>
      </c>
      <c r="AY288" s="88">
        <f>IF(OR(AY$1="",$BE288=0),"",IFERROR(LOOKUP(2,1/((Budgets!$A$2:$A$200=AY$1)*(Budgets!$B$2:$B$200&lt;=$A288)),Budgets!$C$2:$C$200),0))</f>
        <v/>
      </c>
      <c r="AZ288" s="88">
        <f>IF(OR(AZ$1="",$BE288=0),"",IFERROR(LOOKUP(2,1/((Budgets!$A$2:$A$200=AZ$1)*(Budgets!$B$2:$B$200&lt;=$A288)),Budgets!$C$2:$C$200),0))</f>
        <v/>
      </c>
      <c r="BA288" s="88">
        <f>IF(OR(BA$1="",$BE288=0),"",IFERROR(LOOKUP(2,1/((Budgets!$A$2:$A$200=BA$1)*(Budgets!$B$2:$B$200&lt;=$A288)),Budgets!$C$2:$C$200),0))</f>
        <v/>
      </c>
      <c r="BB288" s="88">
        <f>IF(OR(BB$1="",$BE288=0),"",IFERROR(LOOKUP(2,1/((Budgets!$A$2:$A$200=BB$1)*(Budgets!$B$2:$B$200&lt;=$A288)),Budgets!$C$2:$C$200),0))</f>
        <v/>
      </c>
      <c r="BC288" s="88">
        <f>IF(OR(BC$1="",$BE288=0),"",IFERROR(LOOKUP(2,1/((Budgets!$A$2:$A$200=BC$1)*(Budgets!$B$2:$B$200&lt;=$A288)),Budgets!$C$2:$C$200),0))</f>
        <v/>
      </c>
      <c r="BE288" s="67">
        <f>COUNTIFS(Entries!$A$2:$A$5000,$A288)</f>
        <v/>
      </c>
    </row>
    <row r="289" ht="15" customHeight="1" s="43">
      <c r="A289" s="87" t="n">
        <v>48183</v>
      </c>
      <c r="B289" s="88">
        <f>IF($BE289=0,NA(),SUMIFS(Entries!$D$2:$D$5000,Entries!$C$2:$C$5000,"Income",Entries!$A$2:$A$5000,$A289))</f>
        <v/>
      </c>
      <c r="C289" s="88">
        <f>IF($BE289=0,"",SUMIFS(Entries!$D$2:$D$5000,Entries!$C$2:$C$5000,"Actual",Entries!$A$2:$A$5000,$A289))</f>
        <v/>
      </c>
      <c r="D289" s="88">
        <f>IF($BE289=0,"",SUMIFS(Entries!$D$2:$D$5000,Entries!$C$2:$C$5000,"One-off",Entries!$A$2:$A$5000,$A289))</f>
        <v/>
      </c>
      <c r="E289" s="88">
        <f>IF($BE289=0,NA(),C289+D289)</f>
        <v/>
      </c>
      <c r="F289" s="88">
        <f>IF($BE289=0,"",SUM(AJ289:BC289))</f>
        <v/>
      </c>
      <c r="G289" s="88">
        <f>IF($BE289=0,"",B289-E289)</f>
        <v/>
      </c>
      <c r="H289" s="88">
        <f>IF($BE289=0,"",SUM($G$2:G289))</f>
        <v/>
      </c>
      <c r="I289" s="88">
        <f>IF($BE289=0,"",SUMIFS(Entries!$F$2:$F$5000,Entries!$A$2:$A$5000,$A289))</f>
        <v/>
      </c>
      <c r="J289" s="88">
        <f>IF($BE289=0,NA(),H289+SUM($I$2:I289))</f>
        <v/>
      </c>
      <c r="K289" s="88">
        <f>IF($BE289=0,"",SUMIFS(Entries!$D$2:$D$5000,Entries!$C$2:$C$5000,"Income",Entries!$A$2:$A$5000,"&gt;="&amp;EDATE($A289,-11),Entries!$A$2:$A$5000,"&lt;="&amp;$A289)/12)</f>
        <v/>
      </c>
      <c r="L289" s="88">
        <f>IF($BE289=0,"",(SUMIFS(Entries!$D$2:$D$5000,Entries!$C$2:$C$5000,"Actual",Entries!$A$2:$A$5000,"&gt;="&amp;EDATE($A289,-11),Entries!$A$2:$A$5000,"&lt;="&amp;$A289)+SUMIFS(Entries!$D$2:$D$5000,Entries!$C$2:$C$5000,"One-off",Entries!$A$2:$A$5000,"&gt;="&amp;EDATE($A289,-11),Entries!$A$2:$A$5000,"&lt;="&amp;$A289))/12)</f>
        <v/>
      </c>
      <c r="M289" s="71">
        <f>IF($BE289=0,NA(),IFERROR((K289-L289)/K289,0))</f>
        <v/>
      </c>
      <c r="O289" s="88">
        <f>IF(OR(O$1="",$BE289=0),"",SUMIFS(Entries!$D$2:$D$5000,Entries!$C$2:$C$5000,"Actual",Entries!$A$2:$A$5000,$A289,Entries!$B$2:$B$5000,O$1))</f>
        <v/>
      </c>
      <c r="P289" s="88">
        <f>IF(OR(P$1="",$BE289=0),"",SUMIFS(Entries!$D$2:$D$5000,Entries!$C$2:$C$5000,"Actual",Entries!$A$2:$A$5000,$A289,Entries!$B$2:$B$5000,P$1))</f>
        <v/>
      </c>
      <c r="Q289" s="88">
        <f>IF(OR(Q$1="",$BE289=0),"",SUMIFS(Entries!$D$2:$D$5000,Entries!$C$2:$C$5000,"Actual",Entries!$A$2:$A$5000,$A289,Entries!$B$2:$B$5000,Q$1))</f>
        <v/>
      </c>
      <c r="R289" s="88">
        <f>IF(OR(R$1="",$BE289=0),"",SUMIFS(Entries!$D$2:$D$5000,Entries!$C$2:$C$5000,"Actual",Entries!$A$2:$A$5000,$A289,Entries!$B$2:$B$5000,R$1))</f>
        <v/>
      </c>
      <c r="S289" s="88">
        <f>IF(OR(S$1="",$BE289=0),"",SUMIFS(Entries!$D$2:$D$5000,Entries!$C$2:$C$5000,"Actual",Entries!$A$2:$A$5000,$A289,Entries!$B$2:$B$5000,S$1))</f>
        <v/>
      </c>
      <c r="T289" s="88">
        <f>IF(OR(T$1="",$BE289=0),"",SUMIFS(Entries!$D$2:$D$5000,Entries!$C$2:$C$5000,"Actual",Entries!$A$2:$A$5000,$A289,Entries!$B$2:$B$5000,T$1))</f>
        <v/>
      </c>
      <c r="U289" s="88">
        <f>IF(OR(U$1="",$BE289=0),"",SUMIFS(Entries!$D$2:$D$5000,Entries!$C$2:$C$5000,"Actual",Entries!$A$2:$A$5000,$A289,Entries!$B$2:$B$5000,U$1))</f>
        <v/>
      </c>
      <c r="V289" s="88">
        <f>IF(OR(V$1="",$BE289=0),"",SUMIFS(Entries!$D$2:$D$5000,Entries!$C$2:$C$5000,"Actual",Entries!$A$2:$A$5000,$A289,Entries!$B$2:$B$5000,V$1))</f>
        <v/>
      </c>
      <c r="W289" s="88">
        <f>IF(OR(W$1="",$BE289=0),"",SUMIFS(Entries!$D$2:$D$5000,Entries!$C$2:$C$5000,"Actual",Entries!$A$2:$A$5000,$A289,Entries!$B$2:$B$5000,W$1))</f>
        <v/>
      </c>
      <c r="X289" s="88">
        <f>IF(OR(X$1="",$BE289=0),"",SUMIFS(Entries!$D$2:$D$5000,Entries!$C$2:$C$5000,"Actual",Entries!$A$2:$A$5000,$A289,Entries!$B$2:$B$5000,X$1))</f>
        <v/>
      </c>
      <c r="Y289" s="88">
        <f>IF(OR(Y$1="",$BE289=0),"",SUMIFS(Entries!$D$2:$D$5000,Entries!$C$2:$C$5000,"Actual",Entries!$A$2:$A$5000,$A289,Entries!$B$2:$B$5000,Y$1))</f>
        <v/>
      </c>
      <c r="Z289" s="88">
        <f>IF(OR(Z$1="",$BE289=0),"",SUMIFS(Entries!$D$2:$D$5000,Entries!$C$2:$C$5000,"Actual",Entries!$A$2:$A$5000,$A289,Entries!$B$2:$B$5000,Z$1))</f>
        <v/>
      </c>
      <c r="AA289" s="88">
        <f>IF(OR(AA$1="",$BE289=0),"",SUMIFS(Entries!$D$2:$D$5000,Entries!$C$2:$C$5000,"Actual",Entries!$A$2:$A$5000,$A289,Entries!$B$2:$B$5000,AA$1))</f>
        <v/>
      </c>
      <c r="AB289" s="88">
        <f>IF(OR(AB$1="",$BE289=0),"",SUMIFS(Entries!$D$2:$D$5000,Entries!$C$2:$C$5000,"Actual",Entries!$A$2:$A$5000,$A289,Entries!$B$2:$B$5000,AB$1))</f>
        <v/>
      </c>
      <c r="AC289" s="88">
        <f>IF(OR(AC$1="",$BE289=0),"",SUMIFS(Entries!$D$2:$D$5000,Entries!$C$2:$C$5000,"Actual",Entries!$A$2:$A$5000,$A289,Entries!$B$2:$B$5000,AC$1))</f>
        <v/>
      </c>
      <c r="AD289" s="88">
        <f>IF(OR(AD$1="",$BE289=0),"",SUMIFS(Entries!$D$2:$D$5000,Entries!$C$2:$C$5000,"Actual",Entries!$A$2:$A$5000,$A289,Entries!$B$2:$B$5000,AD$1))</f>
        <v/>
      </c>
      <c r="AE289" s="88">
        <f>IF(OR(AE$1="",$BE289=0),"",SUMIFS(Entries!$D$2:$D$5000,Entries!$C$2:$C$5000,"Actual",Entries!$A$2:$A$5000,$A289,Entries!$B$2:$B$5000,AE$1))</f>
        <v/>
      </c>
      <c r="AF289" s="88">
        <f>IF(OR(AF$1="",$BE289=0),"",SUMIFS(Entries!$D$2:$D$5000,Entries!$C$2:$C$5000,"Actual",Entries!$A$2:$A$5000,$A289,Entries!$B$2:$B$5000,AF$1))</f>
        <v/>
      </c>
      <c r="AG289" s="88">
        <f>IF(OR(AG$1="",$BE289=0),"",SUMIFS(Entries!$D$2:$D$5000,Entries!$C$2:$C$5000,"Actual",Entries!$A$2:$A$5000,$A289,Entries!$B$2:$B$5000,AG$1))</f>
        <v/>
      </c>
      <c r="AH289" s="88">
        <f>IF(OR(AH$1="",$BE289=0),"",SUMIFS(Entries!$D$2:$D$5000,Entries!$C$2:$C$5000,"Actual",Entries!$A$2:$A$5000,$A289,Entries!$B$2:$B$5000,AH$1))</f>
        <v/>
      </c>
      <c r="AJ289" s="88">
        <f>IF(OR(AJ$1="",$BE289=0),"",IFERROR(LOOKUP(2,1/((Budgets!$A$2:$A$200=AJ$1)*(Budgets!$B$2:$B$200&lt;=$A289)),Budgets!$C$2:$C$200),0))</f>
        <v/>
      </c>
      <c r="AK289" s="88">
        <f>IF(OR(AK$1="",$BE289=0),"",IFERROR(LOOKUP(2,1/((Budgets!$A$2:$A$200=AK$1)*(Budgets!$B$2:$B$200&lt;=$A289)),Budgets!$C$2:$C$200),0))</f>
        <v/>
      </c>
      <c r="AL289" s="88">
        <f>IF(OR(AL$1="",$BE289=0),"",IFERROR(LOOKUP(2,1/((Budgets!$A$2:$A$200=AL$1)*(Budgets!$B$2:$B$200&lt;=$A289)),Budgets!$C$2:$C$200),0))</f>
        <v/>
      </c>
      <c r="AM289" s="88">
        <f>IF(OR(AM$1="",$BE289=0),"",IFERROR(LOOKUP(2,1/((Budgets!$A$2:$A$200=AM$1)*(Budgets!$B$2:$B$200&lt;=$A289)),Budgets!$C$2:$C$200),0))</f>
        <v/>
      </c>
      <c r="AN289" s="88">
        <f>IF(OR(AN$1="",$BE289=0),"",IFERROR(LOOKUP(2,1/((Budgets!$A$2:$A$200=AN$1)*(Budgets!$B$2:$B$200&lt;=$A289)),Budgets!$C$2:$C$200),0))</f>
        <v/>
      </c>
      <c r="AO289" s="88">
        <f>IF(OR(AO$1="",$BE289=0),"",IFERROR(LOOKUP(2,1/((Budgets!$A$2:$A$200=AO$1)*(Budgets!$B$2:$B$200&lt;=$A289)),Budgets!$C$2:$C$200),0))</f>
        <v/>
      </c>
      <c r="AP289" s="88">
        <f>IF(OR(AP$1="",$BE289=0),"",IFERROR(LOOKUP(2,1/((Budgets!$A$2:$A$200=AP$1)*(Budgets!$B$2:$B$200&lt;=$A289)),Budgets!$C$2:$C$200),0))</f>
        <v/>
      </c>
      <c r="AQ289" s="88">
        <f>IF(OR(AQ$1="",$BE289=0),"",IFERROR(LOOKUP(2,1/((Budgets!$A$2:$A$200=AQ$1)*(Budgets!$B$2:$B$200&lt;=$A289)),Budgets!$C$2:$C$200),0))</f>
        <v/>
      </c>
      <c r="AR289" s="88">
        <f>IF(OR(AR$1="",$BE289=0),"",IFERROR(LOOKUP(2,1/((Budgets!$A$2:$A$200=AR$1)*(Budgets!$B$2:$B$200&lt;=$A289)),Budgets!$C$2:$C$200),0))</f>
        <v/>
      </c>
      <c r="AS289" s="88">
        <f>IF(OR(AS$1="",$BE289=0),"",IFERROR(LOOKUP(2,1/((Budgets!$A$2:$A$200=AS$1)*(Budgets!$B$2:$B$200&lt;=$A289)),Budgets!$C$2:$C$200),0))</f>
        <v/>
      </c>
      <c r="AT289" s="88">
        <f>IF(OR(AT$1="",$BE289=0),"",IFERROR(LOOKUP(2,1/((Budgets!$A$2:$A$200=AT$1)*(Budgets!$B$2:$B$200&lt;=$A289)),Budgets!$C$2:$C$200),0))</f>
        <v/>
      </c>
      <c r="AU289" s="88">
        <f>IF(OR(AU$1="",$BE289=0),"",IFERROR(LOOKUP(2,1/((Budgets!$A$2:$A$200=AU$1)*(Budgets!$B$2:$B$200&lt;=$A289)),Budgets!$C$2:$C$200),0))</f>
        <v/>
      </c>
      <c r="AV289" s="88">
        <f>IF(OR(AV$1="",$BE289=0),"",IFERROR(LOOKUP(2,1/((Budgets!$A$2:$A$200=AV$1)*(Budgets!$B$2:$B$200&lt;=$A289)),Budgets!$C$2:$C$200),0))</f>
        <v/>
      </c>
      <c r="AW289" s="88">
        <f>IF(OR(AW$1="",$BE289=0),"",IFERROR(LOOKUP(2,1/((Budgets!$A$2:$A$200=AW$1)*(Budgets!$B$2:$B$200&lt;=$A289)),Budgets!$C$2:$C$200),0))</f>
        <v/>
      </c>
      <c r="AX289" s="88">
        <f>IF(OR(AX$1="",$BE289=0),"",IFERROR(LOOKUP(2,1/((Budgets!$A$2:$A$200=AX$1)*(Budgets!$B$2:$B$200&lt;=$A289)),Budgets!$C$2:$C$200),0))</f>
        <v/>
      </c>
      <c r="AY289" s="88">
        <f>IF(OR(AY$1="",$BE289=0),"",IFERROR(LOOKUP(2,1/((Budgets!$A$2:$A$200=AY$1)*(Budgets!$B$2:$B$200&lt;=$A289)),Budgets!$C$2:$C$200),0))</f>
        <v/>
      </c>
      <c r="AZ289" s="88">
        <f>IF(OR(AZ$1="",$BE289=0),"",IFERROR(LOOKUP(2,1/((Budgets!$A$2:$A$200=AZ$1)*(Budgets!$B$2:$B$200&lt;=$A289)),Budgets!$C$2:$C$200),0))</f>
        <v/>
      </c>
      <c r="BA289" s="88">
        <f>IF(OR(BA$1="",$BE289=0),"",IFERROR(LOOKUP(2,1/((Budgets!$A$2:$A$200=BA$1)*(Budgets!$B$2:$B$200&lt;=$A289)),Budgets!$C$2:$C$200),0))</f>
        <v/>
      </c>
      <c r="BB289" s="88">
        <f>IF(OR(BB$1="",$BE289=0),"",IFERROR(LOOKUP(2,1/((Budgets!$A$2:$A$200=BB$1)*(Budgets!$B$2:$B$200&lt;=$A289)),Budgets!$C$2:$C$200),0))</f>
        <v/>
      </c>
      <c r="BC289" s="88">
        <f>IF(OR(BC$1="",$BE289=0),"",IFERROR(LOOKUP(2,1/((Budgets!$A$2:$A$200=BC$1)*(Budgets!$B$2:$B$200&lt;=$A289)),Budgets!$C$2:$C$200),0))</f>
        <v/>
      </c>
      <c r="BE289" s="67">
        <f>COUNTIFS(Entries!$A$2:$A$5000,$A289)</f>
        <v/>
      </c>
    </row>
    <row r="290" ht="15" customHeight="1" s="43">
      <c r="A290" s="87" t="n">
        <v>48214</v>
      </c>
      <c r="B290" s="88">
        <f>IF($BE290=0,NA(),SUMIFS(Entries!$D$2:$D$5000,Entries!$C$2:$C$5000,"Income",Entries!$A$2:$A$5000,$A290))</f>
        <v/>
      </c>
      <c r="C290" s="88">
        <f>IF($BE290=0,"",SUMIFS(Entries!$D$2:$D$5000,Entries!$C$2:$C$5000,"Actual",Entries!$A$2:$A$5000,$A290))</f>
        <v/>
      </c>
      <c r="D290" s="88">
        <f>IF($BE290=0,"",SUMIFS(Entries!$D$2:$D$5000,Entries!$C$2:$C$5000,"One-off",Entries!$A$2:$A$5000,$A290))</f>
        <v/>
      </c>
      <c r="E290" s="88">
        <f>IF($BE290=0,NA(),C290+D290)</f>
        <v/>
      </c>
      <c r="F290" s="88">
        <f>IF($BE290=0,"",SUM(AJ290:BC290))</f>
        <v/>
      </c>
      <c r="G290" s="88">
        <f>IF($BE290=0,"",B290-E290)</f>
        <v/>
      </c>
      <c r="H290" s="88">
        <f>IF($BE290=0,"",SUM($G$2:G290))</f>
        <v/>
      </c>
      <c r="I290" s="88">
        <f>IF($BE290=0,"",SUMIFS(Entries!$F$2:$F$5000,Entries!$A$2:$A$5000,$A290))</f>
        <v/>
      </c>
      <c r="J290" s="88">
        <f>IF($BE290=0,NA(),H290+SUM($I$2:I290))</f>
        <v/>
      </c>
      <c r="K290" s="88">
        <f>IF($BE290=0,"",SUMIFS(Entries!$D$2:$D$5000,Entries!$C$2:$C$5000,"Income",Entries!$A$2:$A$5000,"&gt;="&amp;EDATE($A290,-11),Entries!$A$2:$A$5000,"&lt;="&amp;$A290)/12)</f>
        <v/>
      </c>
      <c r="L290" s="88">
        <f>IF($BE290=0,"",(SUMIFS(Entries!$D$2:$D$5000,Entries!$C$2:$C$5000,"Actual",Entries!$A$2:$A$5000,"&gt;="&amp;EDATE($A290,-11),Entries!$A$2:$A$5000,"&lt;="&amp;$A290)+SUMIFS(Entries!$D$2:$D$5000,Entries!$C$2:$C$5000,"One-off",Entries!$A$2:$A$5000,"&gt;="&amp;EDATE($A290,-11),Entries!$A$2:$A$5000,"&lt;="&amp;$A290))/12)</f>
        <v/>
      </c>
      <c r="M290" s="71">
        <f>IF($BE290=0,NA(),IFERROR((K290-L290)/K290,0))</f>
        <v/>
      </c>
      <c r="O290" s="88">
        <f>IF(OR(O$1="",$BE290=0),"",SUMIFS(Entries!$D$2:$D$5000,Entries!$C$2:$C$5000,"Actual",Entries!$A$2:$A$5000,$A290,Entries!$B$2:$B$5000,O$1))</f>
        <v/>
      </c>
      <c r="P290" s="88">
        <f>IF(OR(P$1="",$BE290=0),"",SUMIFS(Entries!$D$2:$D$5000,Entries!$C$2:$C$5000,"Actual",Entries!$A$2:$A$5000,$A290,Entries!$B$2:$B$5000,P$1))</f>
        <v/>
      </c>
      <c r="Q290" s="88">
        <f>IF(OR(Q$1="",$BE290=0),"",SUMIFS(Entries!$D$2:$D$5000,Entries!$C$2:$C$5000,"Actual",Entries!$A$2:$A$5000,$A290,Entries!$B$2:$B$5000,Q$1))</f>
        <v/>
      </c>
      <c r="R290" s="88">
        <f>IF(OR(R$1="",$BE290=0),"",SUMIFS(Entries!$D$2:$D$5000,Entries!$C$2:$C$5000,"Actual",Entries!$A$2:$A$5000,$A290,Entries!$B$2:$B$5000,R$1))</f>
        <v/>
      </c>
      <c r="S290" s="88">
        <f>IF(OR(S$1="",$BE290=0),"",SUMIFS(Entries!$D$2:$D$5000,Entries!$C$2:$C$5000,"Actual",Entries!$A$2:$A$5000,$A290,Entries!$B$2:$B$5000,S$1))</f>
        <v/>
      </c>
      <c r="T290" s="88">
        <f>IF(OR(T$1="",$BE290=0),"",SUMIFS(Entries!$D$2:$D$5000,Entries!$C$2:$C$5000,"Actual",Entries!$A$2:$A$5000,$A290,Entries!$B$2:$B$5000,T$1))</f>
        <v/>
      </c>
      <c r="U290" s="88">
        <f>IF(OR(U$1="",$BE290=0),"",SUMIFS(Entries!$D$2:$D$5000,Entries!$C$2:$C$5000,"Actual",Entries!$A$2:$A$5000,$A290,Entries!$B$2:$B$5000,U$1))</f>
        <v/>
      </c>
      <c r="V290" s="88">
        <f>IF(OR(V$1="",$BE290=0),"",SUMIFS(Entries!$D$2:$D$5000,Entries!$C$2:$C$5000,"Actual",Entries!$A$2:$A$5000,$A290,Entries!$B$2:$B$5000,V$1))</f>
        <v/>
      </c>
      <c r="W290" s="88">
        <f>IF(OR(W$1="",$BE290=0),"",SUMIFS(Entries!$D$2:$D$5000,Entries!$C$2:$C$5000,"Actual",Entries!$A$2:$A$5000,$A290,Entries!$B$2:$B$5000,W$1))</f>
        <v/>
      </c>
      <c r="X290" s="88">
        <f>IF(OR(X$1="",$BE290=0),"",SUMIFS(Entries!$D$2:$D$5000,Entries!$C$2:$C$5000,"Actual",Entries!$A$2:$A$5000,$A290,Entries!$B$2:$B$5000,X$1))</f>
        <v/>
      </c>
      <c r="Y290" s="88">
        <f>IF(OR(Y$1="",$BE290=0),"",SUMIFS(Entries!$D$2:$D$5000,Entries!$C$2:$C$5000,"Actual",Entries!$A$2:$A$5000,$A290,Entries!$B$2:$B$5000,Y$1))</f>
        <v/>
      </c>
      <c r="Z290" s="88">
        <f>IF(OR(Z$1="",$BE290=0),"",SUMIFS(Entries!$D$2:$D$5000,Entries!$C$2:$C$5000,"Actual",Entries!$A$2:$A$5000,$A290,Entries!$B$2:$B$5000,Z$1))</f>
        <v/>
      </c>
      <c r="AA290" s="88">
        <f>IF(OR(AA$1="",$BE290=0),"",SUMIFS(Entries!$D$2:$D$5000,Entries!$C$2:$C$5000,"Actual",Entries!$A$2:$A$5000,$A290,Entries!$B$2:$B$5000,AA$1))</f>
        <v/>
      </c>
      <c r="AB290" s="88">
        <f>IF(OR(AB$1="",$BE290=0),"",SUMIFS(Entries!$D$2:$D$5000,Entries!$C$2:$C$5000,"Actual",Entries!$A$2:$A$5000,$A290,Entries!$B$2:$B$5000,AB$1))</f>
        <v/>
      </c>
      <c r="AC290" s="88">
        <f>IF(OR(AC$1="",$BE290=0),"",SUMIFS(Entries!$D$2:$D$5000,Entries!$C$2:$C$5000,"Actual",Entries!$A$2:$A$5000,$A290,Entries!$B$2:$B$5000,AC$1))</f>
        <v/>
      </c>
      <c r="AD290" s="88">
        <f>IF(OR(AD$1="",$BE290=0),"",SUMIFS(Entries!$D$2:$D$5000,Entries!$C$2:$C$5000,"Actual",Entries!$A$2:$A$5000,$A290,Entries!$B$2:$B$5000,AD$1))</f>
        <v/>
      </c>
      <c r="AE290" s="88">
        <f>IF(OR(AE$1="",$BE290=0),"",SUMIFS(Entries!$D$2:$D$5000,Entries!$C$2:$C$5000,"Actual",Entries!$A$2:$A$5000,$A290,Entries!$B$2:$B$5000,AE$1))</f>
        <v/>
      </c>
      <c r="AF290" s="88">
        <f>IF(OR(AF$1="",$BE290=0),"",SUMIFS(Entries!$D$2:$D$5000,Entries!$C$2:$C$5000,"Actual",Entries!$A$2:$A$5000,$A290,Entries!$B$2:$B$5000,AF$1))</f>
        <v/>
      </c>
      <c r="AG290" s="88">
        <f>IF(OR(AG$1="",$BE290=0),"",SUMIFS(Entries!$D$2:$D$5000,Entries!$C$2:$C$5000,"Actual",Entries!$A$2:$A$5000,$A290,Entries!$B$2:$B$5000,AG$1))</f>
        <v/>
      </c>
      <c r="AH290" s="88">
        <f>IF(OR(AH$1="",$BE290=0),"",SUMIFS(Entries!$D$2:$D$5000,Entries!$C$2:$C$5000,"Actual",Entries!$A$2:$A$5000,$A290,Entries!$B$2:$B$5000,AH$1))</f>
        <v/>
      </c>
      <c r="AJ290" s="88">
        <f>IF(OR(AJ$1="",$BE290=0),"",IFERROR(LOOKUP(2,1/((Budgets!$A$2:$A$200=AJ$1)*(Budgets!$B$2:$B$200&lt;=$A290)),Budgets!$C$2:$C$200),0))</f>
        <v/>
      </c>
      <c r="AK290" s="88">
        <f>IF(OR(AK$1="",$BE290=0),"",IFERROR(LOOKUP(2,1/((Budgets!$A$2:$A$200=AK$1)*(Budgets!$B$2:$B$200&lt;=$A290)),Budgets!$C$2:$C$200),0))</f>
        <v/>
      </c>
      <c r="AL290" s="88">
        <f>IF(OR(AL$1="",$BE290=0),"",IFERROR(LOOKUP(2,1/((Budgets!$A$2:$A$200=AL$1)*(Budgets!$B$2:$B$200&lt;=$A290)),Budgets!$C$2:$C$200),0))</f>
        <v/>
      </c>
      <c r="AM290" s="88">
        <f>IF(OR(AM$1="",$BE290=0),"",IFERROR(LOOKUP(2,1/((Budgets!$A$2:$A$200=AM$1)*(Budgets!$B$2:$B$200&lt;=$A290)),Budgets!$C$2:$C$200),0))</f>
        <v/>
      </c>
      <c r="AN290" s="88">
        <f>IF(OR(AN$1="",$BE290=0),"",IFERROR(LOOKUP(2,1/((Budgets!$A$2:$A$200=AN$1)*(Budgets!$B$2:$B$200&lt;=$A290)),Budgets!$C$2:$C$200),0))</f>
        <v/>
      </c>
      <c r="AO290" s="88">
        <f>IF(OR(AO$1="",$BE290=0),"",IFERROR(LOOKUP(2,1/((Budgets!$A$2:$A$200=AO$1)*(Budgets!$B$2:$B$200&lt;=$A290)),Budgets!$C$2:$C$200),0))</f>
        <v/>
      </c>
      <c r="AP290" s="88">
        <f>IF(OR(AP$1="",$BE290=0),"",IFERROR(LOOKUP(2,1/((Budgets!$A$2:$A$200=AP$1)*(Budgets!$B$2:$B$200&lt;=$A290)),Budgets!$C$2:$C$200),0))</f>
        <v/>
      </c>
      <c r="AQ290" s="88">
        <f>IF(OR(AQ$1="",$BE290=0),"",IFERROR(LOOKUP(2,1/((Budgets!$A$2:$A$200=AQ$1)*(Budgets!$B$2:$B$200&lt;=$A290)),Budgets!$C$2:$C$200),0))</f>
        <v/>
      </c>
      <c r="AR290" s="88">
        <f>IF(OR(AR$1="",$BE290=0),"",IFERROR(LOOKUP(2,1/((Budgets!$A$2:$A$200=AR$1)*(Budgets!$B$2:$B$200&lt;=$A290)),Budgets!$C$2:$C$200),0))</f>
        <v/>
      </c>
      <c r="AS290" s="88">
        <f>IF(OR(AS$1="",$BE290=0),"",IFERROR(LOOKUP(2,1/((Budgets!$A$2:$A$200=AS$1)*(Budgets!$B$2:$B$200&lt;=$A290)),Budgets!$C$2:$C$200),0))</f>
        <v/>
      </c>
      <c r="AT290" s="88">
        <f>IF(OR(AT$1="",$BE290=0),"",IFERROR(LOOKUP(2,1/((Budgets!$A$2:$A$200=AT$1)*(Budgets!$B$2:$B$200&lt;=$A290)),Budgets!$C$2:$C$200),0))</f>
        <v/>
      </c>
      <c r="AU290" s="88">
        <f>IF(OR(AU$1="",$BE290=0),"",IFERROR(LOOKUP(2,1/((Budgets!$A$2:$A$200=AU$1)*(Budgets!$B$2:$B$200&lt;=$A290)),Budgets!$C$2:$C$200),0))</f>
        <v/>
      </c>
      <c r="AV290" s="88">
        <f>IF(OR(AV$1="",$BE290=0),"",IFERROR(LOOKUP(2,1/((Budgets!$A$2:$A$200=AV$1)*(Budgets!$B$2:$B$200&lt;=$A290)),Budgets!$C$2:$C$200),0))</f>
        <v/>
      </c>
      <c r="AW290" s="88">
        <f>IF(OR(AW$1="",$BE290=0),"",IFERROR(LOOKUP(2,1/((Budgets!$A$2:$A$200=AW$1)*(Budgets!$B$2:$B$200&lt;=$A290)),Budgets!$C$2:$C$200),0))</f>
        <v/>
      </c>
      <c r="AX290" s="88">
        <f>IF(OR(AX$1="",$BE290=0),"",IFERROR(LOOKUP(2,1/((Budgets!$A$2:$A$200=AX$1)*(Budgets!$B$2:$B$200&lt;=$A290)),Budgets!$C$2:$C$200),0))</f>
        <v/>
      </c>
      <c r="AY290" s="88">
        <f>IF(OR(AY$1="",$BE290=0),"",IFERROR(LOOKUP(2,1/((Budgets!$A$2:$A$200=AY$1)*(Budgets!$B$2:$B$200&lt;=$A290)),Budgets!$C$2:$C$200),0))</f>
        <v/>
      </c>
      <c r="AZ290" s="88">
        <f>IF(OR(AZ$1="",$BE290=0),"",IFERROR(LOOKUP(2,1/((Budgets!$A$2:$A$200=AZ$1)*(Budgets!$B$2:$B$200&lt;=$A290)),Budgets!$C$2:$C$200),0))</f>
        <v/>
      </c>
      <c r="BA290" s="88">
        <f>IF(OR(BA$1="",$BE290=0),"",IFERROR(LOOKUP(2,1/((Budgets!$A$2:$A$200=BA$1)*(Budgets!$B$2:$B$200&lt;=$A290)),Budgets!$C$2:$C$200),0))</f>
        <v/>
      </c>
      <c r="BB290" s="88">
        <f>IF(OR(BB$1="",$BE290=0),"",IFERROR(LOOKUP(2,1/((Budgets!$A$2:$A$200=BB$1)*(Budgets!$B$2:$B$200&lt;=$A290)),Budgets!$C$2:$C$200),0))</f>
        <v/>
      </c>
      <c r="BC290" s="88">
        <f>IF(OR(BC$1="",$BE290=0),"",IFERROR(LOOKUP(2,1/((Budgets!$A$2:$A$200=BC$1)*(Budgets!$B$2:$B$200&lt;=$A290)),Budgets!$C$2:$C$200),0))</f>
        <v/>
      </c>
      <c r="BE290" s="67">
        <f>COUNTIFS(Entries!$A$2:$A$5000,$A290)</f>
        <v/>
      </c>
    </row>
    <row r="291" ht="15" customHeight="1" s="43">
      <c r="A291" s="87" t="n">
        <v>48245</v>
      </c>
      <c r="B291" s="88">
        <f>IF($BE291=0,NA(),SUMIFS(Entries!$D$2:$D$5000,Entries!$C$2:$C$5000,"Income",Entries!$A$2:$A$5000,$A291))</f>
        <v/>
      </c>
      <c r="C291" s="88">
        <f>IF($BE291=0,"",SUMIFS(Entries!$D$2:$D$5000,Entries!$C$2:$C$5000,"Actual",Entries!$A$2:$A$5000,$A291))</f>
        <v/>
      </c>
      <c r="D291" s="88">
        <f>IF($BE291=0,"",SUMIFS(Entries!$D$2:$D$5000,Entries!$C$2:$C$5000,"One-off",Entries!$A$2:$A$5000,$A291))</f>
        <v/>
      </c>
      <c r="E291" s="88">
        <f>IF($BE291=0,NA(),C291+D291)</f>
        <v/>
      </c>
      <c r="F291" s="88">
        <f>IF($BE291=0,"",SUM(AJ291:BC291))</f>
        <v/>
      </c>
      <c r="G291" s="88">
        <f>IF($BE291=0,"",B291-E291)</f>
        <v/>
      </c>
      <c r="H291" s="88">
        <f>IF($BE291=0,"",SUM($G$2:G291))</f>
        <v/>
      </c>
      <c r="I291" s="88">
        <f>IF($BE291=0,"",SUMIFS(Entries!$F$2:$F$5000,Entries!$A$2:$A$5000,$A291))</f>
        <v/>
      </c>
      <c r="J291" s="88">
        <f>IF($BE291=0,NA(),H291+SUM($I$2:I291))</f>
        <v/>
      </c>
      <c r="K291" s="88">
        <f>IF($BE291=0,"",SUMIFS(Entries!$D$2:$D$5000,Entries!$C$2:$C$5000,"Income",Entries!$A$2:$A$5000,"&gt;="&amp;EDATE($A291,-11),Entries!$A$2:$A$5000,"&lt;="&amp;$A291)/12)</f>
        <v/>
      </c>
      <c r="L291" s="88">
        <f>IF($BE291=0,"",(SUMIFS(Entries!$D$2:$D$5000,Entries!$C$2:$C$5000,"Actual",Entries!$A$2:$A$5000,"&gt;="&amp;EDATE($A291,-11),Entries!$A$2:$A$5000,"&lt;="&amp;$A291)+SUMIFS(Entries!$D$2:$D$5000,Entries!$C$2:$C$5000,"One-off",Entries!$A$2:$A$5000,"&gt;="&amp;EDATE($A291,-11),Entries!$A$2:$A$5000,"&lt;="&amp;$A291))/12)</f>
        <v/>
      </c>
      <c r="M291" s="71">
        <f>IF($BE291=0,NA(),IFERROR((K291-L291)/K291,0))</f>
        <v/>
      </c>
      <c r="O291" s="88">
        <f>IF(OR(O$1="",$BE291=0),"",SUMIFS(Entries!$D$2:$D$5000,Entries!$C$2:$C$5000,"Actual",Entries!$A$2:$A$5000,$A291,Entries!$B$2:$B$5000,O$1))</f>
        <v/>
      </c>
      <c r="P291" s="88">
        <f>IF(OR(P$1="",$BE291=0),"",SUMIFS(Entries!$D$2:$D$5000,Entries!$C$2:$C$5000,"Actual",Entries!$A$2:$A$5000,$A291,Entries!$B$2:$B$5000,P$1))</f>
        <v/>
      </c>
      <c r="Q291" s="88">
        <f>IF(OR(Q$1="",$BE291=0),"",SUMIFS(Entries!$D$2:$D$5000,Entries!$C$2:$C$5000,"Actual",Entries!$A$2:$A$5000,$A291,Entries!$B$2:$B$5000,Q$1))</f>
        <v/>
      </c>
      <c r="R291" s="88">
        <f>IF(OR(R$1="",$BE291=0),"",SUMIFS(Entries!$D$2:$D$5000,Entries!$C$2:$C$5000,"Actual",Entries!$A$2:$A$5000,$A291,Entries!$B$2:$B$5000,R$1))</f>
        <v/>
      </c>
      <c r="S291" s="88">
        <f>IF(OR(S$1="",$BE291=0),"",SUMIFS(Entries!$D$2:$D$5000,Entries!$C$2:$C$5000,"Actual",Entries!$A$2:$A$5000,$A291,Entries!$B$2:$B$5000,S$1))</f>
        <v/>
      </c>
      <c r="T291" s="88">
        <f>IF(OR(T$1="",$BE291=0),"",SUMIFS(Entries!$D$2:$D$5000,Entries!$C$2:$C$5000,"Actual",Entries!$A$2:$A$5000,$A291,Entries!$B$2:$B$5000,T$1))</f>
        <v/>
      </c>
      <c r="U291" s="88">
        <f>IF(OR(U$1="",$BE291=0),"",SUMIFS(Entries!$D$2:$D$5000,Entries!$C$2:$C$5000,"Actual",Entries!$A$2:$A$5000,$A291,Entries!$B$2:$B$5000,U$1))</f>
        <v/>
      </c>
      <c r="V291" s="88">
        <f>IF(OR(V$1="",$BE291=0),"",SUMIFS(Entries!$D$2:$D$5000,Entries!$C$2:$C$5000,"Actual",Entries!$A$2:$A$5000,$A291,Entries!$B$2:$B$5000,V$1))</f>
        <v/>
      </c>
      <c r="W291" s="88">
        <f>IF(OR(W$1="",$BE291=0),"",SUMIFS(Entries!$D$2:$D$5000,Entries!$C$2:$C$5000,"Actual",Entries!$A$2:$A$5000,$A291,Entries!$B$2:$B$5000,W$1))</f>
        <v/>
      </c>
      <c r="X291" s="88">
        <f>IF(OR(X$1="",$BE291=0),"",SUMIFS(Entries!$D$2:$D$5000,Entries!$C$2:$C$5000,"Actual",Entries!$A$2:$A$5000,$A291,Entries!$B$2:$B$5000,X$1))</f>
        <v/>
      </c>
      <c r="Y291" s="88">
        <f>IF(OR(Y$1="",$BE291=0),"",SUMIFS(Entries!$D$2:$D$5000,Entries!$C$2:$C$5000,"Actual",Entries!$A$2:$A$5000,$A291,Entries!$B$2:$B$5000,Y$1))</f>
        <v/>
      </c>
      <c r="Z291" s="88">
        <f>IF(OR(Z$1="",$BE291=0),"",SUMIFS(Entries!$D$2:$D$5000,Entries!$C$2:$C$5000,"Actual",Entries!$A$2:$A$5000,$A291,Entries!$B$2:$B$5000,Z$1))</f>
        <v/>
      </c>
      <c r="AA291" s="88">
        <f>IF(OR(AA$1="",$BE291=0),"",SUMIFS(Entries!$D$2:$D$5000,Entries!$C$2:$C$5000,"Actual",Entries!$A$2:$A$5000,$A291,Entries!$B$2:$B$5000,AA$1))</f>
        <v/>
      </c>
      <c r="AB291" s="88">
        <f>IF(OR(AB$1="",$BE291=0),"",SUMIFS(Entries!$D$2:$D$5000,Entries!$C$2:$C$5000,"Actual",Entries!$A$2:$A$5000,$A291,Entries!$B$2:$B$5000,AB$1))</f>
        <v/>
      </c>
      <c r="AC291" s="88">
        <f>IF(OR(AC$1="",$BE291=0),"",SUMIFS(Entries!$D$2:$D$5000,Entries!$C$2:$C$5000,"Actual",Entries!$A$2:$A$5000,$A291,Entries!$B$2:$B$5000,AC$1))</f>
        <v/>
      </c>
      <c r="AD291" s="88">
        <f>IF(OR(AD$1="",$BE291=0),"",SUMIFS(Entries!$D$2:$D$5000,Entries!$C$2:$C$5000,"Actual",Entries!$A$2:$A$5000,$A291,Entries!$B$2:$B$5000,AD$1))</f>
        <v/>
      </c>
      <c r="AE291" s="88">
        <f>IF(OR(AE$1="",$BE291=0),"",SUMIFS(Entries!$D$2:$D$5000,Entries!$C$2:$C$5000,"Actual",Entries!$A$2:$A$5000,$A291,Entries!$B$2:$B$5000,AE$1))</f>
        <v/>
      </c>
      <c r="AF291" s="88">
        <f>IF(OR(AF$1="",$BE291=0),"",SUMIFS(Entries!$D$2:$D$5000,Entries!$C$2:$C$5000,"Actual",Entries!$A$2:$A$5000,$A291,Entries!$B$2:$B$5000,AF$1))</f>
        <v/>
      </c>
      <c r="AG291" s="88">
        <f>IF(OR(AG$1="",$BE291=0),"",SUMIFS(Entries!$D$2:$D$5000,Entries!$C$2:$C$5000,"Actual",Entries!$A$2:$A$5000,$A291,Entries!$B$2:$B$5000,AG$1))</f>
        <v/>
      </c>
      <c r="AH291" s="88">
        <f>IF(OR(AH$1="",$BE291=0),"",SUMIFS(Entries!$D$2:$D$5000,Entries!$C$2:$C$5000,"Actual",Entries!$A$2:$A$5000,$A291,Entries!$B$2:$B$5000,AH$1))</f>
        <v/>
      </c>
      <c r="AJ291" s="88">
        <f>IF(OR(AJ$1="",$BE291=0),"",IFERROR(LOOKUP(2,1/((Budgets!$A$2:$A$200=AJ$1)*(Budgets!$B$2:$B$200&lt;=$A291)),Budgets!$C$2:$C$200),0))</f>
        <v/>
      </c>
      <c r="AK291" s="88">
        <f>IF(OR(AK$1="",$BE291=0),"",IFERROR(LOOKUP(2,1/((Budgets!$A$2:$A$200=AK$1)*(Budgets!$B$2:$B$200&lt;=$A291)),Budgets!$C$2:$C$200),0))</f>
        <v/>
      </c>
      <c r="AL291" s="88">
        <f>IF(OR(AL$1="",$BE291=0),"",IFERROR(LOOKUP(2,1/((Budgets!$A$2:$A$200=AL$1)*(Budgets!$B$2:$B$200&lt;=$A291)),Budgets!$C$2:$C$200),0))</f>
        <v/>
      </c>
      <c r="AM291" s="88">
        <f>IF(OR(AM$1="",$BE291=0),"",IFERROR(LOOKUP(2,1/((Budgets!$A$2:$A$200=AM$1)*(Budgets!$B$2:$B$200&lt;=$A291)),Budgets!$C$2:$C$200),0))</f>
        <v/>
      </c>
      <c r="AN291" s="88">
        <f>IF(OR(AN$1="",$BE291=0),"",IFERROR(LOOKUP(2,1/((Budgets!$A$2:$A$200=AN$1)*(Budgets!$B$2:$B$200&lt;=$A291)),Budgets!$C$2:$C$200),0))</f>
        <v/>
      </c>
      <c r="AO291" s="88">
        <f>IF(OR(AO$1="",$BE291=0),"",IFERROR(LOOKUP(2,1/((Budgets!$A$2:$A$200=AO$1)*(Budgets!$B$2:$B$200&lt;=$A291)),Budgets!$C$2:$C$200),0))</f>
        <v/>
      </c>
      <c r="AP291" s="88">
        <f>IF(OR(AP$1="",$BE291=0),"",IFERROR(LOOKUP(2,1/((Budgets!$A$2:$A$200=AP$1)*(Budgets!$B$2:$B$200&lt;=$A291)),Budgets!$C$2:$C$200),0))</f>
        <v/>
      </c>
      <c r="AQ291" s="88">
        <f>IF(OR(AQ$1="",$BE291=0),"",IFERROR(LOOKUP(2,1/((Budgets!$A$2:$A$200=AQ$1)*(Budgets!$B$2:$B$200&lt;=$A291)),Budgets!$C$2:$C$200),0))</f>
        <v/>
      </c>
      <c r="AR291" s="88">
        <f>IF(OR(AR$1="",$BE291=0),"",IFERROR(LOOKUP(2,1/((Budgets!$A$2:$A$200=AR$1)*(Budgets!$B$2:$B$200&lt;=$A291)),Budgets!$C$2:$C$200),0))</f>
        <v/>
      </c>
      <c r="AS291" s="88">
        <f>IF(OR(AS$1="",$BE291=0),"",IFERROR(LOOKUP(2,1/((Budgets!$A$2:$A$200=AS$1)*(Budgets!$B$2:$B$200&lt;=$A291)),Budgets!$C$2:$C$200),0))</f>
        <v/>
      </c>
      <c r="AT291" s="88">
        <f>IF(OR(AT$1="",$BE291=0),"",IFERROR(LOOKUP(2,1/((Budgets!$A$2:$A$200=AT$1)*(Budgets!$B$2:$B$200&lt;=$A291)),Budgets!$C$2:$C$200),0))</f>
        <v/>
      </c>
      <c r="AU291" s="88">
        <f>IF(OR(AU$1="",$BE291=0),"",IFERROR(LOOKUP(2,1/((Budgets!$A$2:$A$200=AU$1)*(Budgets!$B$2:$B$200&lt;=$A291)),Budgets!$C$2:$C$200),0))</f>
        <v/>
      </c>
      <c r="AV291" s="88">
        <f>IF(OR(AV$1="",$BE291=0),"",IFERROR(LOOKUP(2,1/((Budgets!$A$2:$A$200=AV$1)*(Budgets!$B$2:$B$200&lt;=$A291)),Budgets!$C$2:$C$200),0))</f>
        <v/>
      </c>
      <c r="AW291" s="88">
        <f>IF(OR(AW$1="",$BE291=0),"",IFERROR(LOOKUP(2,1/((Budgets!$A$2:$A$200=AW$1)*(Budgets!$B$2:$B$200&lt;=$A291)),Budgets!$C$2:$C$200),0))</f>
        <v/>
      </c>
      <c r="AX291" s="88">
        <f>IF(OR(AX$1="",$BE291=0),"",IFERROR(LOOKUP(2,1/((Budgets!$A$2:$A$200=AX$1)*(Budgets!$B$2:$B$200&lt;=$A291)),Budgets!$C$2:$C$200),0))</f>
        <v/>
      </c>
      <c r="AY291" s="88">
        <f>IF(OR(AY$1="",$BE291=0),"",IFERROR(LOOKUP(2,1/((Budgets!$A$2:$A$200=AY$1)*(Budgets!$B$2:$B$200&lt;=$A291)),Budgets!$C$2:$C$200),0))</f>
        <v/>
      </c>
      <c r="AZ291" s="88">
        <f>IF(OR(AZ$1="",$BE291=0),"",IFERROR(LOOKUP(2,1/((Budgets!$A$2:$A$200=AZ$1)*(Budgets!$B$2:$B$200&lt;=$A291)),Budgets!$C$2:$C$200),0))</f>
        <v/>
      </c>
      <c r="BA291" s="88">
        <f>IF(OR(BA$1="",$BE291=0),"",IFERROR(LOOKUP(2,1/((Budgets!$A$2:$A$200=BA$1)*(Budgets!$B$2:$B$200&lt;=$A291)),Budgets!$C$2:$C$200),0))</f>
        <v/>
      </c>
      <c r="BB291" s="88">
        <f>IF(OR(BB$1="",$BE291=0),"",IFERROR(LOOKUP(2,1/((Budgets!$A$2:$A$200=BB$1)*(Budgets!$B$2:$B$200&lt;=$A291)),Budgets!$C$2:$C$200),0))</f>
        <v/>
      </c>
      <c r="BC291" s="88">
        <f>IF(OR(BC$1="",$BE291=0),"",IFERROR(LOOKUP(2,1/((Budgets!$A$2:$A$200=BC$1)*(Budgets!$B$2:$B$200&lt;=$A291)),Budgets!$C$2:$C$200),0))</f>
        <v/>
      </c>
      <c r="BE291" s="67">
        <f>COUNTIFS(Entries!$A$2:$A$5000,$A291)</f>
        <v/>
      </c>
    </row>
    <row r="292" ht="15" customHeight="1" s="43">
      <c r="A292" s="87" t="n">
        <v>48274</v>
      </c>
      <c r="B292" s="88">
        <f>IF($BE292=0,NA(),SUMIFS(Entries!$D$2:$D$5000,Entries!$C$2:$C$5000,"Income",Entries!$A$2:$A$5000,$A292))</f>
        <v/>
      </c>
      <c r="C292" s="88">
        <f>IF($BE292=0,"",SUMIFS(Entries!$D$2:$D$5000,Entries!$C$2:$C$5000,"Actual",Entries!$A$2:$A$5000,$A292))</f>
        <v/>
      </c>
      <c r="D292" s="88">
        <f>IF($BE292=0,"",SUMIFS(Entries!$D$2:$D$5000,Entries!$C$2:$C$5000,"One-off",Entries!$A$2:$A$5000,$A292))</f>
        <v/>
      </c>
      <c r="E292" s="88">
        <f>IF($BE292=0,NA(),C292+D292)</f>
        <v/>
      </c>
      <c r="F292" s="88">
        <f>IF($BE292=0,"",SUM(AJ292:BC292))</f>
        <v/>
      </c>
      <c r="G292" s="88">
        <f>IF($BE292=0,"",B292-E292)</f>
        <v/>
      </c>
      <c r="H292" s="88">
        <f>IF($BE292=0,"",SUM($G$2:G292))</f>
        <v/>
      </c>
      <c r="I292" s="88">
        <f>IF($BE292=0,"",SUMIFS(Entries!$F$2:$F$5000,Entries!$A$2:$A$5000,$A292))</f>
        <v/>
      </c>
      <c r="J292" s="88">
        <f>IF($BE292=0,NA(),H292+SUM($I$2:I292))</f>
        <v/>
      </c>
      <c r="K292" s="88">
        <f>IF($BE292=0,"",SUMIFS(Entries!$D$2:$D$5000,Entries!$C$2:$C$5000,"Income",Entries!$A$2:$A$5000,"&gt;="&amp;EDATE($A292,-11),Entries!$A$2:$A$5000,"&lt;="&amp;$A292)/12)</f>
        <v/>
      </c>
      <c r="L292" s="88">
        <f>IF($BE292=0,"",(SUMIFS(Entries!$D$2:$D$5000,Entries!$C$2:$C$5000,"Actual",Entries!$A$2:$A$5000,"&gt;="&amp;EDATE($A292,-11),Entries!$A$2:$A$5000,"&lt;="&amp;$A292)+SUMIFS(Entries!$D$2:$D$5000,Entries!$C$2:$C$5000,"One-off",Entries!$A$2:$A$5000,"&gt;="&amp;EDATE($A292,-11),Entries!$A$2:$A$5000,"&lt;="&amp;$A292))/12)</f>
        <v/>
      </c>
      <c r="M292" s="71">
        <f>IF($BE292=0,NA(),IFERROR((K292-L292)/K292,0))</f>
        <v/>
      </c>
      <c r="O292" s="88">
        <f>IF(OR(O$1="",$BE292=0),"",SUMIFS(Entries!$D$2:$D$5000,Entries!$C$2:$C$5000,"Actual",Entries!$A$2:$A$5000,$A292,Entries!$B$2:$B$5000,O$1))</f>
        <v/>
      </c>
      <c r="P292" s="88">
        <f>IF(OR(P$1="",$BE292=0),"",SUMIFS(Entries!$D$2:$D$5000,Entries!$C$2:$C$5000,"Actual",Entries!$A$2:$A$5000,$A292,Entries!$B$2:$B$5000,P$1))</f>
        <v/>
      </c>
      <c r="Q292" s="88">
        <f>IF(OR(Q$1="",$BE292=0),"",SUMIFS(Entries!$D$2:$D$5000,Entries!$C$2:$C$5000,"Actual",Entries!$A$2:$A$5000,$A292,Entries!$B$2:$B$5000,Q$1))</f>
        <v/>
      </c>
      <c r="R292" s="88">
        <f>IF(OR(R$1="",$BE292=0),"",SUMIFS(Entries!$D$2:$D$5000,Entries!$C$2:$C$5000,"Actual",Entries!$A$2:$A$5000,$A292,Entries!$B$2:$B$5000,R$1))</f>
        <v/>
      </c>
      <c r="S292" s="88">
        <f>IF(OR(S$1="",$BE292=0),"",SUMIFS(Entries!$D$2:$D$5000,Entries!$C$2:$C$5000,"Actual",Entries!$A$2:$A$5000,$A292,Entries!$B$2:$B$5000,S$1))</f>
        <v/>
      </c>
      <c r="T292" s="88">
        <f>IF(OR(T$1="",$BE292=0),"",SUMIFS(Entries!$D$2:$D$5000,Entries!$C$2:$C$5000,"Actual",Entries!$A$2:$A$5000,$A292,Entries!$B$2:$B$5000,T$1))</f>
        <v/>
      </c>
      <c r="U292" s="88">
        <f>IF(OR(U$1="",$BE292=0),"",SUMIFS(Entries!$D$2:$D$5000,Entries!$C$2:$C$5000,"Actual",Entries!$A$2:$A$5000,$A292,Entries!$B$2:$B$5000,U$1))</f>
        <v/>
      </c>
      <c r="V292" s="88">
        <f>IF(OR(V$1="",$BE292=0),"",SUMIFS(Entries!$D$2:$D$5000,Entries!$C$2:$C$5000,"Actual",Entries!$A$2:$A$5000,$A292,Entries!$B$2:$B$5000,V$1))</f>
        <v/>
      </c>
      <c r="W292" s="88">
        <f>IF(OR(W$1="",$BE292=0),"",SUMIFS(Entries!$D$2:$D$5000,Entries!$C$2:$C$5000,"Actual",Entries!$A$2:$A$5000,$A292,Entries!$B$2:$B$5000,W$1))</f>
        <v/>
      </c>
      <c r="X292" s="88">
        <f>IF(OR(X$1="",$BE292=0),"",SUMIFS(Entries!$D$2:$D$5000,Entries!$C$2:$C$5000,"Actual",Entries!$A$2:$A$5000,$A292,Entries!$B$2:$B$5000,X$1))</f>
        <v/>
      </c>
      <c r="Y292" s="88">
        <f>IF(OR(Y$1="",$BE292=0),"",SUMIFS(Entries!$D$2:$D$5000,Entries!$C$2:$C$5000,"Actual",Entries!$A$2:$A$5000,$A292,Entries!$B$2:$B$5000,Y$1))</f>
        <v/>
      </c>
      <c r="Z292" s="88">
        <f>IF(OR(Z$1="",$BE292=0),"",SUMIFS(Entries!$D$2:$D$5000,Entries!$C$2:$C$5000,"Actual",Entries!$A$2:$A$5000,$A292,Entries!$B$2:$B$5000,Z$1))</f>
        <v/>
      </c>
      <c r="AA292" s="88">
        <f>IF(OR(AA$1="",$BE292=0),"",SUMIFS(Entries!$D$2:$D$5000,Entries!$C$2:$C$5000,"Actual",Entries!$A$2:$A$5000,$A292,Entries!$B$2:$B$5000,AA$1))</f>
        <v/>
      </c>
      <c r="AB292" s="88">
        <f>IF(OR(AB$1="",$BE292=0),"",SUMIFS(Entries!$D$2:$D$5000,Entries!$C$2:$C$5000,"Actual",Entries!$A$2:$A$5000,$A292,Entries!$B$2:$B$5000,AB$1))</f>
        <v/>
      </c>
      <c r="AC292" s="88">
        <f>IF(OR(AC$1="",$BE292=0),"",SUMIFS(Entries!$D$2:$D$5000,Entries!$C$2:$C$5000,"Actual",Entries!$A$2:$A$5000,$A292,Entries!$B$2:$B$5000,AC$1))</f>
        <v/>
      </c>
      <c r="AD292" s="88">
        <f>IF(OR(AD$1="",$BE292=0),"",SUMIFS(Entries!$D$2:$D$5000,Entries!$C$2:$C$5000,"Actual",Entries!$A$2:$A$5000,$A292,Entries!$B$2:$B$5000,AD$1))</f>
        <v/>
      </c>
      <c r="AE292" s="88">
        <f>IF(OR(AE$1="",$BE292=0),"",SUMIFS(Entries!$D$2:$D$5000,Entries!$C$2:$C$5000,"Actual",Entries!$A$2:$A$5000,$A292,Entries!$B$2:$B$5000,AE$1))</f>
        <v/>
      </c>
      <c r="AF292" s="88">
        <f>IF(OR(AF$1="",$BE292=0),"",SUMIFS(Entries!$D$2:$D$5000,Entries!$C$2:$C$5000,"Actual",Entries!$A$2:$A$5000,$A292,Entries!$B$2:$B$5000,AF$1))</f>
        <v/>
      </c>
      <c r="AG292" s="88">
        <f>IF(OR(AG$1="",$BE292=0),"",SUMIFS(Entries!$D$2:$D$5000,Entries!$C$2:$C$5000,"Actual",Entries!$A$2:$A$5000,$A292,Entries!$B$2:$B$5000,AG$1))</f>
        <v/>
      </c>
      <c r="AH292" s="88">
        <f>IF(OR(AH$1="",$BE292=0),"",SUMIFS(Entries!$D$2:$D$5000,Entries!$C$2:$C$5000,"Actual",Entries!$A$2:$A$5000,$A292,Entries!$B$2:$B$5000,AH$1))</f>
        <v/>
      </c>
      <c r="AJ292" s="88">
        <f>IF(OR(AJ$1="",$BE292=0),"",IFERROR(LOOKUP(2,1/((Budgets!$A$2:$A$200=AJ$1)*(Budgets!$B$2:$B$200&lt;=$A292)),Budgets!$C$2:$C$200),0))</f>
        <v/>
      </c>
      <c r="AK292" s="88">
        <f>IF(OR(AK$1="",$BE292=0),"",IFERROR(LOOKUP(2,1/((Budgets!$A$2:$A$200=AK$1)*(Budgets!$B$2:$B$200&lt;=$A292)),Budgets!$C$2:$C$200),0))</f>
        <v/>
      </c>
      <c r="AL292" s="88">
        <f>IF(OR(AL$1="",$BE292=0),"",IFERROR(LOOKUP(2,1/((Budgets!$A$2:$A$200=AL$1)*(Budgets!$B$2:$B$200&lt;=$A292)),Budgets!$C$2:$C$200),0))</f>
        <v/>
      </c>
      <c r="AM292" s="88">
        <f>IF(OR(AM$1="",$BE292=0),"",IFERROR(LOOKUP(2,1/((Budgets!$A$2:$A$200=AM$1)*(Budgets!$B$2:$B$200&lt;=$A292)),Budgets!$C$2:$C$200),0))</f>
        <v/>
      </c>
      <c r="AN292" s="88">
        <f>IF(OR(AN$1="",$BE292=0),"",IFERROR(LOOKUP(2,1/((Budgets!$A$2:$A$200=AN$1)*(Budgets!$B$2:$B$200&lt;=$A292)),Budgets!$C$2:$C$200),0))</f>
        <v/>
      </c>
      <c r="AO292" s="88">
        <f>IF(OR(AO$1="",$BE292=0),"",IFERROR(LOOKUP(2,1/((Budgets!$A$2:$A$200=AO$1)*(Budgets!$B$2:$B$200&lt;=$A292)),Budgets!$C$2:$C$200),0))</f>
        <v/>
      </c>
      <c r="AP292" s="88">
        <f>IF(OR(AP$1="",$BE292=0),"",IFERROR(LOOKUP(2,1/((Budgets!$A$2:$A$200=AP$1)*(Budgets!$B$2:$B$200&lt;=$A292)),Budgets!$C$2:$C$200),0))</f>
        <v/>
      </c>
      <c r="AQ292" s="88">
        <f>IF(OR(AQ$1="",$BE292=0),"",IFERROR(LOOKUP(2,1/((Budgets!$A$2:$A$200=AQ$1)*(Budgets!$B$2:$B$200&lt;=$A292)),Budgets!$C$2:$C$200),0))</f>
        <v/>
      </c>
      <c r="AR292" s="88">
        <f>IF(OR(AR$1="",$BE292=0),"",IFERROR(LOOKUP(2,1/((Budgets!$A$2:$A$200=AR$1)*(Budgets!$B$2:$B$200&lt;=$A292)),Budgets!$C$2:$C$200),0))</f>
        <v/>
      </c>
      <c r="AS292" s="88">
        <f>IF(OR(AS$1="",$BE292=0),"",IFERROR(LOOKUP(2,1/((Budgets!$A$2:$A$200=AS$1)*(Budgets!$B$2:$B$200&lt;=$A292)),Budgets!$C$2:$C$200),0))</f>
        <v/>
      </c>
      <c r="AT292" s="88">
        <f>IF(OR(AT$1="",$BE292=0),"",IFERROR(LOOKUP(2,1/((Budgets!$A$2:$A$200=AT$1)*(Budgets!$B$2:$B$200&lt;=$A292)),Budgets!$C$2:$C$200),0))</f>
        <v/>
      </c>
      <c r="AU292" s="88">
        <f>IF(OR(AU$1="",$BE292=0),"",IFERROR(LOOKUP(2,1/((Budgets!$A$2:$A$200=AU$1)*(Budgets!$B$2:$B$200&lt;=$A292)),Budgets!$C$2:$C$200),0))</f>
        <v/>
      </c>
      <c r="AV292" s="88">
        <f>IF(OR(AV$1="",$BE292=0),"",IFERROR(LOOKUP(2,1/((Budgets!$A$2:$A$200=AV$1)*(Budgets!$B$2:$B$200&lt;=$A292)),Budgets!$C$2:$C$200),0))</f>
        <v/>
      </c>
      <c r="AW292" s="88">
        <f>IF(OR(AW$1="",$BE292=0),"",IFERROR(LOOKUP(2,1/((Budgets!$A$2:$A$200=AW$1)*(Budgets!$B$2:$B$200&lt;=$A292)),Budgets!$C$2:$C$200),0))</f>
        <v/>
      </c>
      <c r="AX292" s="88">
        <f>IF(OR(AX$1="",$BE292=0),"",IFERROR(LOOKUP(2,1/((Budgets!$A$2:$A$200=AX$1)*(Budgets!$B$2:$B$200&lt;=$A292)),Budgets!$C$2:$C$200),0))</f>
        <v/>
      </c>
      <c r="AY292" s="88">
        <f>IF(OR(AY$1="",$BE292=0),"",IFERROR(LOOKUP(2,1/((Budgets!$A$2:$A$200=AY$1)*(Budgets!$B$2:$B$200&lt;=$A292)),Budgets!$C$2:$C$200),0))</f>
        <v/>
      </c>
      <c r="AZ292" s="88">
        <f>IF(OR(AZ$1="",$BE292=0),"",IFERROR(LOOKUP(2,1/((Budgets!$A$2:$A$200=AZ$1)*(Budgets!$B$2:$B$200&lt;=$A292)),Budgets!$C$2:$C$200),0))</f>
        <v/>
      </c>
      <c r="BA292" s="88">
        <f>IF(OR(BA$1="",$BE292=0),"",IFERROR(LOOKUP(2,1/((Budgets!$A$2:$A$200=BA$1)*(Budgets!$B$2:$B$200&lt;=$A292)),Budgets!$C$2:$C$200),0))</f>
        <v/>
      </c>
      <c r="BB292" s="88">
        <f>IF(OR(BB$1="",$BE292=0),"",IFERROR(LOOKUP(2,1/((Budgets!$A$2:$A$200=BB$1)*(Budgets!$B$2:$B$200&lt;=$A292)),Budgets!$C$2:$C$200),0))</f>
        <v/>
      </c>
      <c r="BC292" s="88">
        <f>IF(OR(BC$1="",$BE292=0),"",IFERROR(LOOKUP(2,1/((Budgets!$A$2:$A$200=BC$1)*(Budgets!$B$2:$B$200&lt;=$A292)),Budgets!$C$2:$C$200),0))</f>
        <v/>
      </c>
      <c r="BE292" s="67">
        <f>COUNTIFS(Entries!$A$2:$A$5000,$A292)</f>
        <v/>
      </c>
    </row>
    <row r="293" ht="15" customHeight="1" s="43">
      <c r="A293" s="87" t="n">
        <v>48305</v>
      </c>
      <c r="B293" s="88">
        <f>IF($BE293=0,NA(),SUMIFS(Entries!$D$2:$D$5000,Entries!$C$2:$C$5000,"Income",Entries!$A$2:$A$5000,$A293))</f>
        <v/>
      </c>
      <c r="C293" s="88">
        <f>IF($BE293=0,"",SUMIFS(Entries!$D$2:$D$5000,Entries!$C$2:$C$5000,"Actual",Entries!$A$2:$A$5000,$A293))</f>
        <v/>
      </c>
      <c r="D293" s="88">
        <f>IF($BE293=0,"",SUMIFS(Entries!$D$2:$D$5000,Entries!$C$2:$C$5000,"One-off",Entries!$A$2:$A$5000,$A293))</f>
        <v/>
      </c>
      <c r="E293" s="88">
        <f>IF($BE293=0,NA(),C293+D293)</f>
        <v/>
      </c>
      <c r="F293" s="88">
        <f>IF($BE293=0,"",SUM(AJ293:BC293))</f>
        <v/>
      </c>
      <c r="G293" s="88">
        <f>IF($BE293=0,"",B293-E293)</f>
        <v/>
      </c>
      <c r="H293" s="88">
        <f>IF($BE293=0,"",SUM($G$2:G293))</f>
        <v/>
      </c>
      <c r="I293" s="88">
        <f>IF($BE293=0,"",SUMIFS(Entries!$F$2:$F$5000,Entries!$A$2:$A$5000,$A293))</f>
        <v/>
      </c>
      <c r="J293" s="88">
        <f>IF($BE293=0,NA(),H293+SUM($I$2:I293))</f>
        <v/>
      </c>
      <c r="K293" s="88">
        <f>IF($BE293=0,"",SUMIFS(Entries!$D$2:$D$5000,Entries!$C$2:$C$5000,"Income",Entries!$A$2:$A$5000,"&gt;="&amp;EDATE($A293,-11),Entries!$A$2:$A$5000,"&lt;="&amp;$A293)/12)</f>
        <v/>
      </c>
      <c r="L293" s="88">
        <f>IF($BE293=0,"",(SUMIFS(Entries!$D$2:$D$5000,Entries!$C$2:$C$5000,"Actual",Entries!$A$2:$A$5000,"&gt;="&amp;EDATE($A293,-11),Entries!$A$2:$A$5000,"&lt;="&amp;$A293)+SUMIFS(Entries!$D$2:$D$5000,Entries!$C$2:$C$5000,"One-off",Entries!$A$2:$A$5000,"&gt;="&amp;EDATE($A293,-11),Entries!$A$2:$A$5000,"&lt;="&amp;$A293))/12)</f>
        <v/>
      </c>
      <c r="M293" s="71">
        <f>IF($BE293=0,NA(),IFERROR((K293-L293)/K293,0))</f>
        <v/>
      </c>
      <c r="O293" s="88">
        <f>IF(OR(O$1="",$BE293=0),"",SUMIFS(Entries!$D$2:$D$5000,Entries!$C$2:$C$5000,"Actual",Entries!$A$2:$A$5000,$A293,Entries!$B$2:$B$5000,O$1))</f>
        <v/>
      </c>
      <c r="P293" s="88">
        <f>IF(OR(P$1="",$BE293=0),"",SUMIFS(Entries!$D$2:$D$5000,Entries!$C$2:$C$5000,"Actual",Entries!$A$2:$A$5000,$A293,Entries!$B$2:$B$5000,P$1))</f>
        <v/>
      </c>
      <c r="Q293" s="88">
        <f>IF(OR(Q$1="",$BE293=0),"",SUMIFS(Entries!$D$2:$D$5000,Entries!$C$2:$C$5000,"Actual",Entries!$A$2:$A$5000,$A293,Entries!$B$2:$B$5000,Q$1))</f>
        <v/>
      </c>
      <c r="R293" s="88">
        <f>IF(OR(R$1="",$BE293=0),"",SUMIFS(Entries!$D$2:$D$5000,Entries!$C$2:$C$5000,"Actual",Entries!$A$2:$A$5000,$A293,Entries!$B$2:$B$5000,R$1))</f>
        <v/>
      </c>
      <c r="S293" s="88">
        <f>IF(OR(S$1="",$BE293=0),"",SUMIFS(Entries!$D$2:$D$5000,Entries!$C$2:$C$5000,"Actual",Entries!$A$2:$A$5000,$A293,Entries!$B$2:$B$5000,S$1))</f>
        <v/>
      </c>
      <c r="T293" s="88">
        <f>IF(OR(T$1="",$BE293=0),"",SUMIFS(Entries!$D$2:$D$5000,Entries!$C$2:$C$5000,"Actual",Entries!$A$2:$A$5000,$A293,Entries!$B$2:$B$5000,T$1))</f>
        <v/>
      </c>
      <c r="U293" s="88">
        <f>IF(OR(U$1="",$BE293=0),"",SUMIFS(Entries!$D$2:$D$5000,Entries!$C$2:$C$5000,"Actual",Entries!$A$2:$A$5000,$A293,Entries!$B$2:$B$5000,U$1))</f>
        <v/>
      </c>
      <c r="V293" s="88">
        <f>IF(OR(V$1="",$BE293=0),"",SUMIFS(Entries!$D$2:$D$5000,Entries!$C$2:$C$5000,"Actual",Entries!$A$2:$A$5000,$A293,Entries!$B$2:$B$5000,V$1))</f>
        <v/>
      </c>
      <c r="W293" s="88">
        <f>IF(OR(W$1="",$BE293=0),"",SUMIFS(Entries!$D$2:$D$5000,Entries!$C$2:$C$5000,"Actual",Entries!$A$2:$A$5000,$A293,Entries!$B$2:$B$5000,W$1))</f>
        <v/>
      </c>
      <c r="X293" s="88">
        <f>IF(OR(X$1="",$BE293=0),"",SUMIFS(Entries!$D$2:$D$5000,Entries!$C$2:$C$5000,"Actual",Entries!$A$2:$A$5000,$A293,Entries!$B$2:$B$5000,X$1))</f>
        <v/>
      </c>
      <c r="Y293" s="88">
        <f>IF(OR(Y$1="",$BE293=0),"",SUMIFS(Entries!$D$2:$D$5000,Entries!$C$2:$C$5000,"Actual",Entries!$A$2:$A$5000,$A293,Entries!$B$2:$B$5000,Y$1))</f>
        <v/>
      </c>
      <c r="Z293" s="88">
        <f>IF(OR(Z$1="",$BE293=0),"",SUMIFS(Entries!$D$2:$D$5000,Entries!$C$2:$C$5000,"Actual",Entries!$A$2:$A$5000,$A293,Entries!$B$2:$B$5000,Z$1))</f>
        <v/>
      </c>
      <c r="AA293" s="88">
        <f>IF(OR(AA$1="",$BE293=0),"",SUMIFS(Entries!$D$2:$D$5000,Entries!$C$2:$C$5000,"Actual",Entries!$A$2:$A$5000,$A293,Entries!$B$2:$B$5000,AA$1))</f>
        <v/>
      </c>
      <c r="AB293" s="88">
        <f>IF(OR(AB$1="",$BE293=0),"",SUMIFS(Entries!$D$2:$D$5000,Entries!$C$2:$C$5000,"Actual",Entries!$A$2:$A$5000,$A293,Entries!$B$2:$B$5000,AB$1))</f>
        <v/>
      </c>
      <c r="AC293" s="88">
        <f>IF(OR(AC$1="",$BE293=0),"",SUMIFS(Entries!$D$2:$D$5000,Entries!$C$2:$C$5000,"Actual",Entries!$A$2:$A$5000,$A293,Entries!$B$2:$B$5000,AC$1))</f>
        <v/>
      </c>
      <c r="AD293" s="88">
        <f>IF(OR(AD$1="",$BE293=0),"",SUMIFS(Entries!$D$2:$D$5000,Entries!$C$2:$C$5000,"Actual",Entries!$A$2:$A$5000,$A293,Entries!$B$2:$B$5000,AD$1))</f>
        <v/>
      </c>
      <c r="AE293" s="88">
        <f>IF(OR(AE$1="",$BE293=0),"",SUMIFS(Entries!$D$2:$D$5000,Entries!$C$2:$C$5000,"Actual",Entries!$A$2:$A$5000,$A293,Entries!$B$2:$B$5000,AE$1))</f>
        <v/>
      </c>
      <c r="AF293" s="88">
        <f>IF(OR(AF$1="",$BE293=0),"",SUMIFS(Entries!$D$2:$D$5000,Entries!$C$2:$C$5000,"Actual",Entries!$A$2:$A$5000,$A293,Entries!$B$2:$B$5000,AF$1))</f>
        <v/>
      </c>
      <c r="AG293" s="88">
        <f>IF(OR(AG$1="",$BE293=0),"",SUMIFS(Entries!$D$2:$D$5000,Entries!$C$2:$C$5000,"Actual",Entries!$A$2:$A$5000,$A293,Entries!$B$2:$B$5000,AG$1))</f>
        <v/>
      </c>
      <c r="AH293" s="88">
        <f>IF(OR(AH$1="",$BE293=0),"",SUMIFS(Entries!$D$2:$D$5000,Entries!$C$2:$C$5000,"Actual",Entries!$A$2:$A$5000,$A293,Entries!$B$2:$B$5000,AH$1))</f>
        <v/>
      </c>
      <c r="AJ293" s="88">
        <f>IF(OR(AJ$1="",$BE293=0),"",IFERROR(LOOKUP(2,1/((Budgets!$A$2:$A$200=AJ$1)*(Budgets!$B$2:$B$200&lt;=$A293)),Budgets!$C$2:$C$200),0))</f>
        <v/>
      </c>
      <c r="AK293" s="88">
        <f>IF(OR(AK$1="",$BE293=0),"",IFERROR(LOOKUP(2,1/((Budgets!$A$2:$A$200=AK$1)*(Budgets!$B$2:$B$200&lt;=$A293)),Budgets!$C$2:$C$200),0))</f>
        <v/>
      </c>
      <c r="AL293" s="88">
        <f>IF(OR(AL$1="",$BE293=0),"",IFERROR(LOOKUP(2,1/((Budgets!$A$2:$A$200=AL$1)*(Budgets!$B$2:$B$200&lt;=$A293)),Budgets!$C$2:$C$200),0))</f>
        <v/>
      </c>
      <c r="AM293" s="88">
        <f>IF(OR(AM$1="",$BE293=0),"",IFERROR(LOOKUP(2,1/((Budgets!$A$2:$A$200=AM$1)*(Budgets!$B$2:$B$200&lt;=$A293)),Budgets!$C$2:$C$200),0))</f>
        <v/>
      </c>
      <c r="AN293" s="88">
        <f>IF(OR(AN$1="",$BE293=0),"",IFERROR(LOOKUP(2,1/((Budgets!$A$2:$A$200=AN$1)*(Budgets!$B$2:$B$200&lt;=$A293)),Budgets!$C$2:$C$200),0))</f>
        <v/>
      </c>
      <c r="AO293" s="88">
        <f>IF(OR(AO$1="",$BE293=0),"",IFERROR(LOOKUP(2,1/((Budgets!$A$2:$A$200=AO$1)*(Budgets!$B$2:$B$200&lt;=$A293)),Budgets!$C$2:$C$200),0))</f>
        <v/>
      </c>
      <c r="AP293" s="88">
        <f>IF(OR(AP$1="",$BE293=0),"",IFERROR(LOOKUP(2,1/((Budgets!$A$2:$A$200=AP$1)*(Budgets!$B$2:$B$200&lt;=$A293)),Budgets!$C$2:$C$200),0))</f>
        <v/>
      </c>
      <c r="AQ293" s="88">
        <f>IF(OR(AQ$1="",$BE293=0),"",IFERROR(LOOKUP(2,1/((Budgets!$A$2:$A$200=AQ$1)*(Budgets!$B$2:$B$200&lt;=$A293)),Budgets!$C$2:$C$200),0))</f>
        <v/>
      </c>
      <c r="AR293" s="88">
        <f>IF(OR(AR$1="",$BE293=0),"",IFERROR(LOOKUP(2,1/((Budgets!$A$2:$A$200=AR$1)*(Budgets!$B$2:$B$200&lt;=$A293)),Budgets!$C$2:$C$200),0))</f>
        <v/>
      </c>
      <c r="AS293" s="88">
        <f>IF(OR(AS$1="",$BE293=0),"",IFERROR(LOOKUP(2,1/((Budgets!$A$2:$A$200=AS$1)*(Budgets!$B$2:$B$200&lt;=$A293)),Budgets!$C$2:$C$200),0))</f>
        <v/>
      </c>
      <c r="AT293" s="88">
        <f>IF(OR(AT$1="",$BE293=0),"",IFERROR(LOOKUP(2,1/((Budgets!$A$2:$A$200=AT$1)*(Budgets!$B$2:$B$200&lt;=$A293)),Budgets!$C$2:$C$200),0))</f>
        <v/>
      </c>
      <c r="AU293" s="88">
        <f>IF(OR(AU$1="",$BE293=0),"",IFERROR(LOOKUP(2,1/((Budgets!$A$2:$A$200=AU$1)*(Budgets!$B$2:$B$200&lt;=$A293)),Budgets!$C$2:$C$200),0))</f>
        <v/>
      </c>
      <c r="AV293" s="88">
        <f>IF(OR(AV$1="",$BE293=0),"",IFERROR(LOOKUP(2,1/((Budgets!$A$2:$A$200=AV$1)*(Budgets!$B$2:$B$200&lt;=$A293)),Budgets!$C$2:$C$200),0))</f>
        <v/>
      </c>
      <c r="AW293" s="88">
        <f>IF(OR(AW$1="",$BE293=0),"",IFERROR(LOOKUP(2,1/((Budgets!$A$2:$A$200=AW$1)*(Budgets!$B$2:$B$200&lt;=$A293)),Budgets!$C$2:$C$200),0))</f>
        <v/>
      </c>
      <c r="AX293" s="88">
        <f>IF(OR(AX$1="",$BE293=0),"",IFERROR(LOOKUP(2,1/((Budgets!$A$2:$A$200=AX$1)*(Budgets!$B$2:$B$200&lt;=$A293)),Budgets!$C$2:$C$200),0))</f>
        <v/>
      </c>
      <c r="AY293" s="88">
        <f>IF(OR(AY$1="",$BE293=0),"",IFERROR(LOOKUP(2,1/((Budgets!$A$2:$A$200=AY$1)*(Budgets!$B$2:$B$200&lt;=$A293)),Budgets!$C$2:$C$200),0))</f>
        <v/>
      </c>
      <c r="AZ293" s="88">
        <f>IF(OR(AZ$1="",$BE293=0),"",IFERROR(LOOKUP(2,1/((Budgets!$A$2:$A$200=AZ$1)*(Budgets!$B$2:$B$200&lt;=$A293)),Budgets!$C$2:$C$200),0))</f>
        <v/>
      </c>
      <c r="BA293" s="88">
        <f>IF(OR(BA$1="",$BE293=0),"",IFERROR(LOOKUP(2,1/((Budgets!$A$2:$A$200=BA$1)*(Budgets!$B$2:$B$200&lt;=$A293)),Budgets!$C$2:$C$200),0))</f>
        <v/>
      </c>
      <c r="BB293" s="88">
        <f>IF(OR(BB$1="",$BE293=0),"",IFERROR(LOOKUP(2,1/((Budgets!$A$2:$A$200=BB$1)*(Budgets!$B$2:$B$200&lt;=$A293)),Budgets!$C$2:$C$200),0))</f>
        <v/>
      </c>
      <c r="BC293" s="88">
        <f>IF(OR(BC$1="",$BE293=0),"",IFERROR(LOOKUP(2,1/((Budgets!$A$2:$A$200=BC$1)*(Budgets!$B$2:$B$200&lt;=$A293)),Budgets!$C$2:$C$200),0))</f>
        <v/>
      </c>
      <c r="BE293" s="67">
        <f>COUNTIFS(Entries!$A$2:$A$5000,$A293)</f>
        <v/>
      </c>
    </row>
    <row r="294" ht="15" customHeight="1" s="43">
      <c r="A294" s="87" t="n">
        <v>48335</v>
      </c>
      <c r="B294" s="88">
        <f>IF($BE294=0,NA(),SUMIFS(Entries!$D$2:$D$5000,Entries!$C$2:$C$5000,"Income",Entries!$A$2:$A$5000,$A294))</f>
        <v/>
      </c>
      <c r="C294" s="88">
        <f>IF($BE294=0,"",SUMIFS(Entries!$D$2:$D$5000,Entries!$C$2:$C$5000,"Actual",Entries!$A$2:$A$5000,$A294))</f>
        <v/>
      </c>
      <c r="D294" s="88">
        <f>IF($BE294=0,"",SUMIFS(Entries!$D$2:$D$5000,Entries!$C$2:$C$5000,"One-off",Entries!$A$2:$A$5000,$A294))</f>
        <v/>
      </c>
      <c r="E294" s="88">
        <f>IF($BE294=0,NA(),C294+D294)</f>
        <v/>
      </c>
      <c r="F294" s="88">
        <f>IF($BE294=0,"",SUM(AJ294:BC294))</f>
        <v/>
      </c>
      <c r="G294" s="88">
        <f>IF($BE294=0,"",B294-E294)</f>
        <v/>
      </c>
      <c r="H294" s="88">
        <f>IF($BE294=0,"",SUM($G$2:G294))</f>
        <v/>
      </c>
      <c r="I294" s="88">
        <f>IF($BE294=0,"",SUMIFS(Entries!$F$2:$F$5000,Entries!$A$2:$A$5000,$A294))</f>
        <v/>
      </c>
      <c r="J294" s="88">
        <f>IF($BE294=0,NA(),H294+SUM($I$2:I294))</f>
        <v/>
      </c>
      <c r="K294" s="88">
        <f>IF($BE294=0,"",SUMIFS(Entries!$D$2:$D$5000,Entries!$C$2:$C$5000,"Income",Entries!$A$2:$A$5000,"&gt;="&amp;EDATE($A294,-11),Entries!$A$2:$A$5000,"&lt;="&amp;$A294)/12)</f>
        <v/>
      </c>
      <c r="L294" s="88">
        <f>IF($BE294=0,"",(SUMIFS(Entries!$D$2:$D$5000,Entries!$C$2:$C$5000,"Actual",Entries!$A$2:$A$5000,"&gt;="&amp;EDATE($A294,-11),Entries!$A$2:$A$5000,"&lt;="&amp;$A294)+SUMIFS(Entries!$D$2:$D$5000,Entries!$C$2:$C$5000,"One-off",Entries!$A$2:$A$5000,"&gt;="&amp;EDATE($A294,-11),Entries!$A$2:$A$5000,"&lt;="&amp;$A294))/12)</f>
        <v/>
      </c>
      <c r="M294" s="71">
        <f>IF($BE294=0,NA(),IFERROR((K294-L294)/K294,0))</f>
        <v/>
      </c>
      <c r="O294" s="88">
        <f>IF(OR(O$1="",$BE294=0),"",SUMIFS(Entries!$D$2:$D$5000,Entries!$C$2:$C$5000,"Actual",Entries!$A$2:$A$5000,$A294,Entries!$B$2:$B$5000,O$1))</f>
        <v/>
      </c>
      <c r="P294" s="88">
        <f>IF(OR(P$1="",$BE294=0),"",SUMIFS(Entries!$D$2:$D$5000,Entries!$C$2:$C$5000,"Actual",Entries!$A$2:$A$5000,$A294,Entries!$B$2:$B$5000,P$1))</f>
        <v/>
      </c>
      <c r="Q294" s="88">
        <f>IF(OR(Q$1="",$BE294=0),"",SUMIFS(Entries!$D$2:$D$5000,Entries!$C$2:$C$5000,"Actual",Entries!$A$2:$A$5000,$A294,Entries!$B$2:$B$5000,Q$1))</f>
        <v/>
      </c>
      <c r="R294" s="88">
        <f>IF(OR(R$1="",$BE294=0),"",SUMIFS(Entries!$D$2:$D$5000,Entries!$C$2:$C$5000,"Actual",Entries!$A$2:$A$5000,$A294,Entries!$B$2:$B$5000,R$1))</f>
        <v/>
      </c>
      <c r="S294" s="88">
        <f>IF(OR(S$1="",$BE294=0),"",SUMIFS(Entries!$D$2:$D$5000,Entries!$C$2:$C$5000,"Actual",Entries!$A$2:$A$5000,$A294,Entries!$B$2:$B$5000,S$1))</f>
        <v/>
      </c>
      <c r="T294" s="88">
        <f>IF(OR(T$1="",$BE294=0),"",SUMIFS(Entries!$D$2:$D$5000,Entries!$C$2:$C$5000,"Actual",Entries!$A$2:$A$5000,$A294,Entries!$B$2:$B$5000,T$1))</f>
        <v/>
      </c>
      <c r="U294" s="88">
        <f>IF(OR(U$1="",$BE294=0),"",SUMIFS(Entries!$D$2:$D$5000,Entries!$C$2:$C$5000,"Actual",Entries!$A$2:$A$5000,$A294,Entries!$B$2:$B$5000,U$1))</f>
        <v/>
      </c>
      <c r="V294" s="88">
        <f>IF(OR(V$1="",$BE294=0),"",SUMIFS(Entries!$D$2:$D$5000,Entries!$C$2:$C$5000,"Actual",Entries!$A$2:$A$5000,$A294,Entries!$B$2:$B$5000,V$1))</f>
        <v/>
      </c>
      <c r="W294" s="88">
        <f>IF(OR(W$1="",$BE294=0),"",SUMIFS(Entries!$D$2:$D$5000,Entries!$C$2:$C$5000,"Actual",Entries!$A$2:$A$5000,$A294,Entries!$B$2:$B$5000,W$1))</f>
        <v/>
      </c>
      <c r="X294" s="88">
        <f>IF(OR(X$1="",$BE294=0),"",SUMIFS(Entries!$D$2:$D$5000,Entries!$C$2:$C$5000,"Actual",Entries!$A$2:$A$5000,$A294,Entries!$B$2:$B$5000,X$1))</f>
        <v/>
      </c>
      <c r="Y294" s="88">
        <f>IF(OR(Y$1="",$BE294=0),"",SUMIFS(Entries!$D$2:$D$5000,Entries!$C$2:$C$5000,"Actual",Entries!$A$2:$A$5000,$A294,Entries!$B$2:$B$5000,Y$1))</f>
        <v/>
      </c>
      <c r="Z294" s="88">
        <f>IF(OR(Z$1="",$BE294=0),"",SUMIFS(Entries!$D$2:$D$5000,Entries!$C$2:$C$5000,"Actual",Entries!$A$2:$A$5000,$A294,Entries!$B$2:$B$5000,Z$1))</f>
        <v/>
      </c>
      <c r="AA294" s="88">
        <f>IF(OR(AA$1="",$BE294=0),"",SUMIFS(Entries!$D$2:$D$5000,Entries!$C$2:$C$5000,"Actual",Entries!$A$2:$A$5000,$A294,Entries!$B$2:$B$5000,AA$1))</f>
        <v/>
      </c>
      <c r="AB294" s="88">
        <f>IF(OR(AB$1="",$BE294=0),"",SUMIFS(Entries!$D$2:$D$5000,Entries!$C$2:$C$5000,"Actual",Entries!$A$2:$A$5000,$A294,Entries!$B$2:$B$5000,AB$1))</f>
        <v/>
      </c>
      <c r="AC294" s="88">
        <f>IF(OR(AC$1="",$BE294=0),"",SUMIFS(Entries!$D$2:$D$5000,Entries!$C$2:$C$5000,"Actual",Entries!$A$2:$A$5000,$A294,Entries!$B$2:$B$5000,AC$1))</f>
        <v/>
      </c>
      <c r="AD294" s="88">
        <f>IF(OR(AD$1="",$BE294=0),"",SUMIFS(Entries!$D$2:$D$5000,Entries!$C$2:$C$5000,"Actual",Entries!$A$2:$A$5000,$A294,Entries!$B$2:$B$5000,AD$1))</f>
        <v/>
      </c>
      <c r="AE294" s="88">
        <f>IF(OR(AE$1="",$BE294=0),"",SUMIFS(Entries!$D$2:$D$5000,Entries!$C$2:$C$5000,"Actual",Entries!$A$2:$A$5000,$A294,Entries!$B$2:$B$5000,AE$1))</f>
        <v/>
      </c>
      <c r="AF294" s="88">
        <f>IF(OR(AF$1="",$BE294=0),"",SUMIFS(Entries!$D$2:$D$5000,Entries!$C$2:$C$5000,"Actual",Entries!$A$2:$A$5000,$A294,Entries!$B$2:$B$5000,AF$1))</f>
        <v/>
      </c>
      <c r="AG294" s="88">
        <f>IF(OR(AG$1="",$BE294=0),"",SUMIFS(Entries!$D$2:$D$5000,Entries!$C$2:$C$5000,"Actual",Entries!$A$2:$A$5000,$A294,Entries!$B$2:$B$5000,AG$1))</f>
        <v/>
      </c>
      <c r="AH294" s="88">
        <f>IF(OR(AH$1="",$BE294=0),"",SUMIFS(Entries!$D$2:$D$5000,Entries!$C$2:$C$5000,"Actual",Entries!$A$2:$A$5000,$A294,Entries!$B$2:$B$5000,AH$1))</f>
        <v/>
      </c>
      <c r="AJ294" s="88">
        <f>IF(OR(AJ$1="",$BE294=0),"",IFERROR(LOOKUP(2,1/((Budgets!$A$2:$A$200=AJ$1)*(Budgets!$B$2:$B$200&lt;=$A294)),Budgets!$C$2:$C$200),0))</f>
        <v/>
      </c>
      <c r="AK294" s="88">
        <f>IF(OR(AK$1="",$BE294=0),"",IFERROR(LOOKUP(2,1/((Budgets!$A$2:$A$200=AK$1)*(Budgets!$B$2:$B$200&lt;=$A294)),Budgets!$C$2:$C$200),0))</f>
        <v/>
      </c>
      <c r="AL294" s="88">
        <f>IF(OR(AL$1="",$BE294=0),"",IFERROR(LOOKUP(2,1/((Budgets!$A$2:$A$200=AL$1)*(Budgets!$B$2:$B$200&lt;=$A294)),Budgets!$C$2:$C$200),0))</f>
        <v/>
      </c>
      <c r="AM294" s="88">
        <f>IF(OR(AM$1="",$BE294=0),"",IFERROR(LOOKUP(2,1/((Budgets!$A$2:$A$200=AM$1)*(Budgets!$B$2:$B$200&lt;=$A294)),Budgets!$C$2:$C$200),0))</f>
        <v/>
      </c>
      <c r="AN294" s="88">
        <f>IF(OR(AN$1="",$BE294=0),"",IFERROR(LOOKUP(2,1/((Budgets!$A$2:$A$200=AN$1)*(Budgets!$B$2:$B$200&lt;=$A294)),Budgets!$C$2:$C$200),0))</f>
        <v/>
      </c>
      <c r="AO294" s="88">
        <f>IF(OR(AO$1="",$BE294=0),"",IFERROR(LOOKUP(2,1/((Budgets!$A$2:$A$200=AO$1)*(Budgets!$B$2:$B$200&lt;=$A294)),Budgets!$C$2:$C$200),0))</f>
        <v/>
      </c>
      <c r="AP294" s="88">
        <f>IF(OR(AP$1="",$BE294=0),"",IFERROR(LOOKUP(2,1/((Budgets!$A$2:$A$200=AP$1)*(Budgets!$B$2:$B$200&lt;=$A294)),Budgets!$C$2:$C$200),0))</f>
        <v/>
      </c>
      <c r="AQ294" s="88">
        <f>IF(OR(AQ$1="",$BE294=0),"",IFERROR(LOOKUP(2,1/((Budgets!$A$2:$A$200=AQ$1)*(Budgets!$B$2:$B$200&lt;=$A294)),Budgets!$C$2:$C$200),0))</f>
        <v/>
      </c>
      <c r="AR294" s="88">
        <f>IF(OR(AR$1="",$BE294=0),"",IFERROR(LOOKUP(2,1/((Budgets!$A$2:$A$200=AR$1)*(Budgets!$B$2:$B$200&lt;=$A294)),Budgets!$C$2:$C$200),0))</f>
        <v/>
      </c>
      <c r="AS294" s="88">
        <f>IF(OR(AS$1="",$BE294=0),"",IFERROR(LOOKUP(2,1/((Budgets!$A$2:$A$200=AS$1)*(Budgets!$B$2:$B$200&lt;=$A294)),Budgets!$C$2:$C$200),0))</f>
        <v/>
      </c>
      <c r="AT294" s="88">
        <f>IF(OR(AT$1="",$BE294=0),"",IFERROR(LOOKUP(2,1/((Budgets!$A$2:$A$200=AT$1)*(Budgets!$B$2:$B$200&lt;=$A294)),Budgets!$C$2:$C$200),0))</f>
        <v/>
      </c>
      <c r="AU294" s="88">
        <f>IF(OR(AU$1="",$BE294=0),"",IFERROR(LOOKUP(2,1/((Budgets!$A$2:$A$200=AU$1)*(Budgets!$B$2:$B$200&lt;=$A294)),Budgets!$C$2:$C$200),0))</f>
        <v/>
      </c>
      <c r="AV294" s="88">
        <f>IF(OR(AV$1="",$BE294=0),"",IFERROR(LOOKUP(2,1/((Budgets!$A$2:$A$200=AV$1)*(Budgets!$B$2:$B$200&lt;=$A294)),Budgets!$C$2:$C$200),0))</f>
        <v/>
      </c>
      <c r="AW294" s="88">
        <f>IF(OR(AW$1="",$BE294=0),"",IFERROR(LOOKUP(2,1/((Budgets!$A$2:$A$200=AW$1)*(Budgets!$B$2:$B$200&lt;=$A294)),Budgets!$C$2:$C$200),0))</f>
        <v/>
      </c>
      <c r="AX294" s="88">
        <f>IF(OR(AX$1="",$BE294=0),"",IFERROR(LOOKUP(2,1/((Budgets!$A$2:$A$200=AX$1)*(Budgets!$B$2:$B$200&lt;=$A294)),Budgets!$C$2:$C$200),0))</f>
        <v/>
      </c>
      <c r="AY294" s="88">
        <f>IF(OR(AY$1="",$BE294=0),"",IFERROR(LOOKUP(2,1/((Budgets!$A$2:$A$200=AY$1)*(Budgets!$B$2:$B$200&lt;=$A294)),Budgets!$C$2:$C$200),0))</f>
        <v/>
      </c>
      <c r="AZ294" s="88">
        <f>IF(OR(AZ$1="",$BE294=0),"",IFERROR(LOOKUP(2,1/((Budgets!$A$2:$A$200=AZ$1)*(Budgets!$B$2:$B$200&lt;=$A294)),Budgets!$C$2:$C$200),0))</f>
        <v/>
      </c>
      <c r="BA294" s="88">
        <f>IF(OR(BA$1="",$BE294=0),"",IFERROR(LOOKUP(2,1/((Budgets!$A$2:$A$200=BA$1)*(Budgets!$B$2:$B$200&lt;=$A294)),Budgets!$C$2:$C$200),0))</f>
        <v/>
      </c>
      <c r="BB294" s="88">
        <f>IF(OR(BB$1="",$BE294=0),"",IFERROR(LOOKUP(2,1/((Budgets!$A$2:$A$200=BB$1)*(Budgets!$B$2:$B$200&lt;=$A294)),Budgets!$C$2:$C$200),0))</f>
        <v/>
      </c>
      <c r="BC294" s="88">
        <f>IF(OR(BC$1="",$BE294=0),"",IFERROR(LOOKUP(2,1/((Budgets!$A$2:$A$200=BC$1)*(Budgets!$B$2:$B$200&lt;=$A294)),Budgets!$C$2:$C$200),0))</f>
        <v/>
      </c>
      <c r="BE294" s="67">
        <f>COUNTIFS(Entries!$A$2:$A$5000,$A294)</f>
        <v/>
      </c>
    </row>
    <row r="295" ht="15" customHeight="1" s="43">
      <c r="A295" s="87" t="n">
        <v>48366</v>
      </c>
      <c r="B295" s="88">
        <f>IF($BE295=0,NA(),SUMIFS(Entries!$D$2:$D$5000,Entries!$C$2:$C$5000,"Income",Entries!$A$2:$A$5000,$A295))</f>
        <v/>
      </c>
      <c r="C295" s="88">
        <f>IF($BE295=0,"",SUMIFS(Entries!$D$2:$D$5000,Entries!$C$2:$C$5000,"Actual",Entries!$A$2:$A$5000,$A295))</f>
        <v/>
      </c>
      <c r="D295" s="88">
        <f>IF($BE295=0,"",SUMIFS(Entries!$D$2:$D$5000,Entries!$C$2:$C$5000,"One-off",Entries!$A$2:$A$5000,$A295))</f>
        <v/>
      </c>
      <c r="E295" s="88">
        <f>IF($BE295=0,NA(),C295+D295)</f>
        <v/>
      </c>
      <c r="F295" s="88">
        <f>IF($BE295=0,"",SUM(AJ295:BC295))</f>
        <v/>
      </c>
      <c r="G295" s="88">
        <f>IF($BE295=0,"",B295-E295)</f>
        <v/>
      </c>
      <c r="H295" s="88">
        <f>IF($BE295=0,"",SUM($G$2:G295))</f>
        <v/>
      </c>
      <c r="I295" s="88">
        <f>IF($BE295=0,"",SUMIFS(Entries!$F$2:$F$5000,Entries!$A$2:$A$5000,$A295))</f>
        <v/>
      </c>
      <c r="J295" s="88">
        <f>IF($BE295=0,NA(),H295+SUM($I$2:I295))</f>
        <v/>
      </c>
      <c r="K295" s="88">
        <f>IF($BE295=0,"",SUMIFS(Entries!$D$2:$D$5000,Entries!$C$2:$C$5000,"Income",Entries!$A$2:$A$5000,"&gt;="&amp;EDATE($A295,-11),Entries!$A$2:$A$5000,"&lt;="&amp;$A295)/12)</f>
        <v/>
      </c>
      <c r="L295" s="88">
        <f>IF($BE295=0,"",(SUMIFS(Entries!$D$2:$D$5000,Entries!$C$2:$C$5000,"Actual",Entries!$A$2:$A$5000,"&gt;="&amp;EDATE($A295,-11),Entries!$A$2:$A$5000,"&lt;="&amp;$A295)+SUMIFS(Entries!$D$2:$D$5000,Entries!$C$2:$C$5000,"One-off",Entries!$A$2:$A$5000,"&gt;="&amp;EDATE($A295,-11),Entries!$A$2:$A$5000,"&lt;="&amp;$A295))/12)</f>
        <v/>
      </c>
      <c r="M295" s="71">
        <f>IF($BE295=0,NA(),IFERROR((K295-L295)/K295,0))</f>
        <v/>
      </c>
      <c r="O295" s="88">
        <f>IF(OR(O$1="",$BE295=0),"",SUMIFS(Entries!$D$2:$D$5000,Entries!$C$2:$C$5000,"Actual",Entries!$A$2:$A$5000,$A295,Entries!$B$2:$B$5000,O$1))</f>
        <v/>
      </c>
      <c r="P295" s="88">
        <f>IF(OR(P$1="",$BE295=0),"",SUMIFS(Entries!$D$2:$D$5000,Entries!$C$2:$C$5000,"Actual",Entries!$A$2:$A$5000,$A295,Entries!$B$2:$B$5000,P$1))</f>
        <v/>
      </c>
      <c r="Q295" s="88">
        <f>IF(OR(Q$1="",$BE295=0),"",SUMIFS(Entries!$D$2:$D$5000,Entries!$C$2:$C$5000,"Actual",Entries!$A$2:$A$5000,$A295,Entries!$B$2:$B$5000,Q$1))</f>
        <v/>
      </c>
      <c r="R295" s="88">
        <f>IF(OR(R$1="",$BE295=0),"",SUMIFS(Entries!$D$2:$D$5000,Entries!$C$2:$C$5000,"Actual",Entries!$A$2:$A$5000,$A295,Entries!$B$2:$B$5000,R$1))</f>
        <v/>
      </c>
      <c r="S295" s="88">
        <f>IF(OR(S$1="",$BE295=0),"",SUMIFS(Entries!$D$2:$D$5000,Entries!$C$2:$C$5000,"Actual",Entries!$A$2:$A$5000,$A295,Entries!$B$2:$B$5000,S$1))</f>
        <v/>
      </c>
      <c r="T295" s="88">
        <f>IF(OR(T$1="",$BE295=0),"",SUMIFS(Entries!$D$2:$D$5000,Entries!$C$2:$C$5000,"Actual",Entries!$A$2:$A$5000,$A295,Entries!$B$2:$B$5000,T$1))</f>
        <v/>
      </c>
      <c r="U295" s="88">
        <f>IF(OR(U$1="",$BE295=0),"",SUMIFS(Entries!$D$2:$D$5000,Entries!$C$2:$C$5000,"Actual",Entries!$A$2:$A$5000,$A295,Entries!$B$2:$B$5000,U$1))</f>
        <v/>
      </c>
      <c r="V295" s="88">
        <f>IF(OR(V$1="",$BE295=0),"",SUMIFS(Entries!$D$2:$D$5000,Entries!$C$2:$C$5000,"Actual",Entries!$A$2:$A$5000,$A295,Entries!$B$2:$B$5000,V$1))</f>
        <v/>
      </c>
      <c r="W295" s="88">
        <f>IF(OR(W$1="",$BE295=0),"",SUMIFS(Entries!$D$2:$D$5000,Entries!$C$2:$C$5000,"Actual",Entries!$A$2:$A$5000,$A295,Entries!$B$2:$B$5000,W$1))</f>
        <v/>
      </c>
      <c r="X295" s="88">
        <f>IF(OR(X$1="",$BE295=0),"",SUMIFS(Entries!$D$2:$D$5000,Entries!$C$2:$C$5000,"Actual",Entries!$A$2:$A$5000,$A295,Entries!$B$2:$B$5000,X$1))</f>
        <v/>
      </c>
      <c r="Y295" s="88">
        <f>IF(OR(Y$1="",$BE295=0),"",SUMIFS(Entries!$D$2:$D$5000,Entries!$C$2:$C$5000,"Actual",Entries!$A$2:$A$5000,$A295,Entries!$B$2:$B$5000,Y$1))</f>
        <v/>
      </c>
      <c r="Z295" s="88">
        <f>IF(OR(Z$1="",$BE295=0),"",SUMIFS(Entries!$D$2:$D$5000,Entries!$C$2:$C$5000,"Actual",Entries!$A$2:$A$5000,$A295,Entries!$B$2:$B$5000,Z$1))</f>
        <v/>
      </c>
      <c r="AA295" s="88">
        <f>IF(OR(AA$1="",$BE295=0),"",SUMIFS(Entries!$D$2:$D$5000,Entries!$C$2:$C$5000,"Actual",Entries!$A$2:$A$5000,$A295,Entries!$B$2:$B$5000,AA$1))</f>
        <v/>
      </c>
      <c r="AB295" s="88">
        <f>IF(OR(AB$1="",$BE295=0),"",SUMIFS(Entries!$D$2:$D$5000,Entries!$C$2:$C$5000,"Actual",Entries!$A$2:$A$5000,$A295,Entries!$B$2:$B$5000,AB$1))</f>
        <v/>
      </c>
      <c r="AC295" s="88">
        <f>IF(OR(AC$1="",$BE295=0),"",SUMIFS(Entries!$D$2:$D$5000,Entries!$C$2:$C$5000,"Actual",Entries!$A$2:$A$5000,$A295,Entries!$B$2:$B$5000,AC$1))</f>
        <v/>
      </c>
      <c r="AD295" s="88">
        <f>IF(OR(AD$1="",$BE295=0),"",SUMIFS(Entries!$D$2:$D$5000,Entries!$C$2:$C$5000,"Actual",Entries!$A$2:$A$5000,$A295,Entries!$B$2:$B$5000,AD$1))</f>
        <v/>
      </c>
      <c r="AE295" s="88">
        <f>IF(OR(AE$1="",$BE295=0),"",SUMIFS(Entries!$D$2:$D$5000,Entries!$C$2:$C$5000,"Actual",Entries!$A$2:$A$5000,$A295,Entries!$B$2:$B$5000,AE$1))</f>
        <v/>
      </c>
      <c r="AF295" s="88">
        <f>IF(OR(AF$1="",$BE295=0),"",SUMIFS(Entries!$D$2:$D$5000,Entries!$C$2:$C$5000,"Actual",Entries!$A$2:$A$5000,$A295,Entries!$B$2:$B$5000,AF$1))</f>
        <v/>
      </c>
      <c r="AG295" s="88">
        <f>IF(OR(AG$1="",$BE295=0),"",SUMIFS(Entries!$D$2:$D$5000,Entries!$C$2:$C$5000,"Actual",Entries!$A$2:$A$5000,$A295,Entries!$B$2:$B$5000,AG$1))</f>
        <v/>
      </c>
      <c r="AH295" s="88">
        <f>IF(OR(AH$1="",$BE295=0),"",SUMIFS(Entries!$D$2:$D$5000,Entries!$C$2:$C$5000,"Actual",Entries!$A$2:$A$5000,$A295,Entries!$B$2:$B$5000,AH$1))</f>
        <v/>
      </c>
      <c r="AJ295" s="88">
        <f>IF(OR(AJ$1="",$BE295=0),"",IFERROR(LOOKUP(2,1/((Budgets!$A$2:$A$200=AJ$1)*(Budgets!$B$2:$B$200&lt;=$A295)),Budgets!$C$2:$C$200),0))</f>
        <v/>
      </c>
      <c r="AK295" s="88">
        <f>IF(OR(AK$1="",$BE295=0),"",IFERROR(LOOKUP(2,1/((Budgets!$A$2:$A$200=AK$1)*(Budgets!$B$2:$B$200&lt;=$A295)),Budgets!$C$2:$C$200),0))</f>
        <v/>
      </c>
      <c r="AL295" s="88">
        <f>IF(OR(AL$1="",$BE295=0),"",IFERROR(LOOKUP(2,1/((Budgets!$A$2:$A$200=AL$1)*(Budgets!$B$2:$B$200&lt;=$A295)),Budgets!$C$2:$C$200),0))</f>
        <v/>
      </c>
      <c r="AM295" s="88">
        <f>IF(OR(AM$1="",$BE295=0),"",IFERROR(LOOKUP(2,1/((Budgets!$A$2:$A$200=AM$1)*(Budgets!$B$2:$B$200&lt;=$A295)),Budgets!$C$2:$C$200),0))</f>
        <v/>
      </c>
      <c r="AN295" s="88">
        <f>IF(OR(AN$1="",$BE295=0),"",IFERROR(LOOKUP(2,1/((Budgets!$A$2:$A$200=AN$1)*(Budgets!$B$2:$B$200&lt;=$A295)),Budgets!$C$2:$C$200),0))</f>
        <v/>
      </c>
      <c r="AO295" s="88">
        <f>IF(OR(AO$1="",$BE295=0),"",IFERROR(LOOKUP(2,1/((Budgets!$A$2:$A$200=AO$1)*(Budgets!$B$2:$B$200&lt;=$A295)),Budgets!$C$2:$C$200),0))</f>
        <v/>
      </c>
      <c r="AP295" s="88">
        <f>IF(OR(AP$1="",$BE295=0),"",IFERROR(LOOKUP(2,1/((Budgets!$A$2:$A$200=AP$1)*(Budgets!$B$2:$B$200&lt;=$A295)),Budgets!$C$2:$C$200),0))</f>
        <v/>
      </c>
      <c r="AQ295" s="88">
        <f>IF(OR(AQ$1="",$BE295=0),"",IFERROR(LOOKUP(2,1/((Budgets!$A$2:$A$200=AQ$1)*(Budgets!$B$2:$B$200&lt;=$A295)),Budgets!$C$2:$C$200),0))</f>
        <v/>
      </c>
      <c r="AR295" s="88">
        <f>IF(OR(AR$1="",$BE295=0),"",IFERROR(LOOKUP(2,1/((Budgets!$A$2:$A$200=AR$1)*(Budgets!$B$2:$B$200&lt;=$A295)),Budgets!$C$2:$C$200),0))</f>
        <v/>
      </c>
      <c r="AS295" s="88">
        <f>IF(OR(AS$1="",$BE295=0),"",IFERROR(LOOKUP(2,1/((Budgets!$A$2:$A$200=AS$1)*(Budgets!$B$2:$B$200&lt;=$A295)),Budgets!$C$2:$C$200),0))</f>
        <v/>
      </c>
      <c r="AT295" s="88">
        <f>IF(OR(AT$1="",$BE295=0),"",IFERROR(LOOKUP(2,1/((Budgets!$A$2:$A$200=AT$1)*(Budgets!$B$2:$B$200&lt;=$A295)),Budgets!$C$2:$C$200),0))</f>
        <v/>
      </c>
      <c r="AU295" s="88">
        <f>IF(OR(AU$1="",$BE295=0),"",IFERROR(LOOKUP(2,1/((Budgets!$A$2:$A$200=AU$1)*(Budgets!$B$2:$B$200&lt;=$A295)),Budgets!$C$2:$C$200),0))</f>
        <v/>
      </c>
      <c r="AV295" s="88">
        <f>IF(OR(AV$1="",$BE295=0),"",IFERROR(LOOKUP(2,1/((Budgets!$A$2:$A$200=AV$1)*(Budgets!$B$2:$B$200&lt;=$A295)),Budgets!$C$2:$C$200),0))</f>
        <v/>
      </c>
      <c r="AW295" s="88">
        <f>IF(OR(AW$1="",$BE295=0),"",IFERROR(LOOKUP(2,1/((Budgets!$A$2:$A$200=AW$1)*(Budgets!$B$2:$B$200&lt;=$A295)),Budgets!$C$2:$C$200),0))</f>
        <v/>
      </c>
      <c r="AX295" s="88">
        <f>IF(OR(AX$1="",$BE295=0),"",IFERROR(LOOKUP(2,1/((Budgets!$A$2:$A$200=AX$1)*(Budgets!$B$2:$B$200&lt;=$A295)),Budgets!$C$2:$C$200),0))</f>
        <v/>
      </c>
      <c r="AY295" s="88">
        <f>IF(OR(AY$1="",$BE295=0),"",IFERROR(LOOKUP(2,1/((Budgets!$A$2:$A$200=AY$1)*(Budgets!$B$2:$B$200&lt;=$A295)),Budgets!$C$2:$C$200),0))</f>
        <v/>
      </c>
      <c r="AZ295" s="88">
        <f>IF(OR(AZ$1="",$BE295=0),"",IFERROR(LOOKUP(2,1/((Budgets!$A$2:$A$200=AZ$1)*(Budgets!$B$2:$B$200&lt;=$A295)),Budgets!$C$2:$C$200),0))</f>
        <v/>
      </c>
      <c r="BA295" s="88">
        <f>IF(OR(BA$1="",$BE295=0),"",IFERROR(LOOKUP(2,1/((Budgets!$A$2:$A$200=BA$1)*(Budgets!$B$2:$B$200&lt;=$A295)),Budgets!$C$2:$C$200),0))</f>
        <v/>
      </c>
      <c r="BB295" s="88">
        <f>IF(OR(BB$1="",$BE295=0),"",IFERROR(LOOKUP(2,1/((Budgets!$A$2:$A$200=BB$1)*(Budgets!$B$2:$B$200&lt;=$A295)),Budgets!$C$2:$C$200),0))</f>
        <v/>
      </c>
      <c r="BC295" s="88">
        <f>IF(OR(BC$1="",$BE295=0),"",IFERROR(LOOKUP(2,1/((Budgets!$A$2:$A$200=BC$1)*(Budgets!$B$2:$B$200&lt;=$A295)),Budgets!$C$2:$C$200),0))</f>
        <v/>
      </c>
      <c r="BE295" s="67">
        <f>COUNTIFS(Entries!$A$2:$A$5000,$A295)</f>
        <v/>
      </c>
    </row>
    <row r="296" ht="15" customHeight="1" s="43">
      <c r="A296" s="87" t="n">
        <v>48396</v>
      </c>
      <c r="B296" s="88">
        <f>IF($BE296=0,NA(),SUMIFS(Entries!$D$2:$D$5000,Entries!$C$2:$C$5000,"Income",Entries!$A$2:$A$5000,$A296))</f>
        <v/>
      </c>
      <c r="C296" s="88">
        <f>IF($BE296=0,"",SUMIFS(Entries!$D$2:$D$5000,Entries!$C$2:$C$5000,"Actual",Entries!$A$2:$A$5000,$A296))</f>
        <v/>
      </c>
      <c r="D296" s="88">
        <f>IF($BE296=0,"",SUMIFS(Entries!$D$2:$D$5000,Entries!$C$2:$C$5000,"One-off",Entries!$A$2:$A$5000,$A296))</f>
        <v/>
      </c>
      <c r="E296" s="88">
        <f>IF($BE296=0,NA(),C296+D296)</f>
        <v/>
      </c>
      <c r="F296" s="88">
        <f>IF($BE296=0,"",SUM(AJ296:BC296))</f>
        <v/>
      </c>
      <c r="G296" s="88">
        <f>IF($BE296=0,"",B296-E296)</f>
        <v/>
      </c>
      <c r="H296" s="88">
        <f>IF($BE296=0,"",SUM($G$2:G296))</f>
        <v/>
      </c>
      <c r="I296" s="88">
        <f>IF($BE296=0,"",SUMIFS(Entries!$F$2:$F$5000,Entries!$A$2:$A$5000,$A296))</f>
        <v/>
      </c>
      <c r="J296" s="88">
        <f>IF($BE296=0,NA(),H296+SUM($I$2:I296))</f>
        <v/>
      </c>
      <c r="K296" s="88">
        <f>IF($BE296=0,"",SUMIFS(Entries!$D$2:$D$5000,Entries!$C$2:$C$5000,"Income",Entries!$A$2:$A$5000,"&gt;="&amp;EDATE($A296,-11),Entries!$A$2:$A$5000,"&lt;="&amp;$A296)/12)</f>
        <v/>
      </c>
      <c r="L296" s="88">
        <f>IF($BE296=0,"",(SUMIFS(Entries!$D$2:$D$5000,Entries!$C$2:$C$5000,"Actual",Entries!$A$2:$A$5000,"&gt;="&amp;EDATE($A296,-11),Entries!$A$2:$A$5000,"&lt;="&amp;$A296)+SUMIFS(Entries!$D$2:$D$5000,Entries!$C$2:$C$5000,"One-off",Entries!$A$2:$A$5000,"&gt;="&amp;EDATE($A296,-11),Entries!$A$2:$A$5000,"&lt;="&amp;$A296))/12)</f>
        <v/>
      </c>
      <c r="M296" s="71">
        <f>IF($BE296=0,NA(),IFERROR((K296-L296)/K296,0))</f>
        <v/>
      </c>
      <c r="O296" s="88">
        <f>IF(OR(O$1="",$BE296=0),"",SUMIFS(Entries!$D$2:$D$5000,Entries!$C$2:$C$5000,"Actual",Entries!$A$2:$A$5000,$A296,Entries!$B$2:$B$5000,O$1))</f>
        <v/>
      </c>
      <c r="P296" s="88">
        <f>IF(OR(P$1="",$BE296=0),"",SUMIFS(Entries!$D$2:$D$5000,Entries!$C$2:$C$5000,"Actual",Entries!$A$2:$A$5000,$A296,Entries!$B$2:$B$5000,P$1))</f>
        <v/>
      </c>
      <c r="Q296" s="88">
        <f>IF(OR(Q$1="",$BE296=0),"",SUMIFS(Entries!$D$2:$D$5000,Entries!$C$2:$C$5000,"Actual",Entries!$A$2:$A$5000,$A296,Entries!$B$2:$B$5000,Q$1))</f>
        <v/>
      </c>
      <c r="R296" s="88">
        <f>IF(OR(R$1="",$BE296=0),"",SUMIFS(Entries!$D$2:$D$5000,Entries!$C$2:$C$5000,"Actual",Entries!$A$2:$A$5000,$A296,Entries!$B$2:$B$5000,R$1))</f>
        <v/>
      </c>
      <c r="S296" s="88">
        <f>IF(OR(S$1="",$BE296=0),"",SUMIFS(Entries!$D$2:$D$5000,Entries!$C$2:$C$5000,"Actual",Entries!$A$2:$A$5000,$A296,Entries!$B$2:$B$5000,S$1))</f>
        <v/>
      </c>
      <c r="T296" s="88">
        <f>IF(OR(T$1="",$BE296=0),"",SUMIFS(Entries!$D$2:$D$5000,Entries!$C$2:$C$5000,"Actual",Entries!$A$2:$A$5000,$A296,Entries!$B$2:$B$5000,T$1))</f>
        <v/>
      </c>
      <c r="U296" s="88">
        <f>IF(OR(U$1="",$BE296=0),"",SUMIFS(Entries!$D$2:$D$5000,Entries!$C$2:$C$5000,"Actual",Entries!$A$2:$A$5000,$A296,Entries!$B$2:$B$5000,U$1))</f>
        <v/>
      </c>
      <c r="V296" s="88">
        <f>IF(OR(V$1="",$BE296=0),"",SUMIFS(Entries!$D$2:$D$5000,Entries!$C$2:$C$5000,"Actual",Entries!$A$2:$A$5000,$A296,Entries!$B$2:$B$5000,V$1))</f>
        <v/>
      </c>
      <c r="W296" s="88">
        <f>IF(OR(W$1="",$BE296=0),"",SUMIFS(Entries!$D$2:$D$5000,Entries!$C$2:$C$5000,"Actual",Entries!$A$2:$A$5000,$A296,Entries!$B$2:$B$5000,W$1))</f>
        <v/>
      </c>
      <c r="X296" s="88">
        <f>IF(OR(X$1="",$BE296=0),"",SUMIFS(Entries!$D$2:$D$5000,Entries!$C$2:$C$5000,"Actual",Entries!$A$2:$A$5000,$A296,Entries!$B$2:$B$5000,X$1))</f>
        <v/>
      </c>
      <c r="Y296" s="88">
        <f>IF(OR(Y$1="",$BE296=0),"",SUMIFS(Entries!$D$2:$D$5000,Entries!$C$2:$C$5000,"Actual",Entries!$A$2:$A$5000,$A296,Entries!$B$2:$B$5000,Y$1))</f>
        <v/>
      </c>
      <c r="Z296" s="88">
        <f>IF(OR(Z$1="",$BE296=0),"",SUMIFS(Entries!$D$2:$D$5000,Entries!$C$2:$C$5000,"Actual",Entries!$A$2:$A$5000,$A296,Entries!$B$2:$B$5000,Z$1))</f>
        <v/>
      </c>
      <c r="AA296" s="88">
        <f>IF(OR(AA$1="",$BE296=0),"",SUMIFS(Entries!$D$2:$D$5000,Entries!$C$2:$C$5000,"Actual",Entries!$A$2:$A$5000,$A296,Entries!$B$2:$B$5000,AA$1))</f>
        <v/>
      </c>
      <c r="AB296" s="88">
        <f>IF(OR(AB$1="",$BE296=0),"",SUMIFS(Entries!$D$2:$D$5000,Entries!$C$2:$C$5000,"Actual",Entries!$A$2:$A$5000,$A296,Entries!$B$2:$B$5000,AB$1))</f>
        <v/>
      </c>
      <c r="AC296" s="88">
        <f>IF(OR(AC$1="",$BE296=0),"",SUMIFS(Entries!$D$2:$D$5000,Entries!$C$2:$C$5000,"Actual",Entries!$A$2:$A$5000,$A296,Entries!$B$2:$B$5000,AC$1))</f>
        <v/>
      </c>
      <c r="AD296" s="88">
        <f>IF(OR(AD$1="",$BE296=0),"",SUMIFS(Entries!$D$2:$D$5000,Entries!$C$2:$C$5000,"Actual",Entries!$A$2:$A$5000,$A296,Entries!$B$2:$B$5000,AD$1))</f>
        <v/>
      </c>
      <c r="AE296" s="88">
        <f>IF(OR(AE$1="",$BE296=0),"",SUMIFS(Entries!$D$2:$D$5000,Entries!$C$2:$C$5000,"Actual",Entries!$A$2:$A$5000,$A296,Entries!$B$2:$B$5000,AE$1))</f>
        <v/>
      </c>
      <c r="AF296" s="88">
        <f>IF(OR(AF$1="",$BE296=0),"",SUMIFS(Entries!$D$2:$D$5000,Entries!$C$2:$C$5000,"Actual",Entries!$A$2:$A$5000,$A296,Entries!$B$2:$B$5000,AF$1))</f>
        <v/>
      </c>
      <c r="AG296" s="88">
        <f>IF(OR(AG$1="",$BE296=0),"",SUMIFS(Entries!$D$2:$D$5000,Entries!$C$2:$C$5000,"Actual",Entries!$A$2:$A$5000,$A296,Entries!$B$2:$B$5000,AG$1))</f>
        <v/>
      </c>
      <c r="AH296" s="88">
        <f>IF(OR(AH$1="",$BE296=0),"",SUMIFS(Entries!$D$2:$D$5000,Entries!$C$2:$C$5000,"Actual",Entries!$A$2:$A$5000,$A296,Entries!$B$2:$B$5000,AH$1))</f>
        <v/>
      </c>
      <c r="AJ296" s="88">
        <f>IF(OR(AJ$1="",$BE296=0),"",IFERROR(LOOKUP(2,1/((Budgets!$A$2:$A$200=AJ$1)*(Budgets!$B$2:$B$200&lt;=$A296)),Budgets!$C$2:$C$200),0))</f>
        <v/>
      </c>
      <c r="AK296" s="88">
        <f>IF(OR(AK$1="",$BE296=0),"",IFERROR(LOOKUP(2,1/((Budgets!$A$2:$A$200=AK$1)*(Budgets!$B$2:$B$200&lt;=$A296)),Budgets!$C$2:$C$200),0))</f>
        <v/>
      </c>
      <c r="AL296" s="88">
        <f>IF(OR(AL$1="",$BE296=0),"",IFERROR(LOOKUP(2,1/((Budgets!$A$2:$A$200=AL$1)*(Budgets!$B$2:$B$200&lt;=$A296)),Budgets!$C$2:$C$200),0))</f>
        <v/>
      </c>
      <c r="AM296" s="88">
        <f>IF(OR(AM$1="",$BE296=0),"",IFERROR(LOOKUP(2,1/((Budgets!$A$2:$A$200=AM$1)*(Budgets!$B$2:$B$200&lt;=$A296)),Budgets!$C$2:$C$200),0))</f>
        <v/>
      </c>
      <c r="AN296" s="88">
        <f>IF(OR(AN$1="",$BE296=0),"",IFERROR(LOOKUP(2,1/((Budgets!$A$2:$A$200=AN$1)*(Budgets!$B$2:$B$200&lt;=$A296)),Budgets!$C$2:$C$200),0))</f>
        <v/>
      </c>
      <c r="AO296" s="88">
        <f>IF(OR(AO$1="",$BE296=0),"",IFERROR(LOOKUP(2,1/((Budgets!$A$2:$A$200=AO$1)*(Budgets!$B$2:$B$200&lt;=$A296)),Budgets!$C$2:$C$200),0))</f>
        <v/>
      </c>
      <c r="AP296" s="88">
        <f>IF(OR(AP$1="",$BE296=0),"",IFERROR(LOOKUP(2,1/((Budgets!$A$2:$A$200=AP$1)*(Budgets!$B$2:$B$200&lt;=$A296)),Budgets!$C$2:$C$200),0))</f>
        <v/>
      </c>
      <c r="AQ296" s="88">
        <f>IF(OR(AQ$1="",$BE296=0),"",IFERROR(LOOKUP(2,1/((Budgets!$A$2:$A$200=AQ$1)*(Budgets!$B$2:$B$200&lt;=$A296)),Budgets!$C$2:$C$200),0))</f>
        <v/>
      </c>
      <c r="AR296" s="88">
        <f>IF(OR(AR$1="",$BE296=0),"",IFERROR(LOOKUP(2,1/((Budgets!$A$2:$A$200=AR$1)*(Budgets!$B$2:$B$200&lt;=$A296)),Budgets!$C$2:$C$200),0))</f>
        <v/>
      </c>
      <c r="AS296" s="88">
        <f>IF(OR(AS$1="",$BE296=0),"",IFERROR(LOOKUP(2,1/((Budgets!$A$2:$A$200=AS$1)*(Budgets!$B$2:$B$200&lt;=$A296)),Budgets!$C$2:$C$200),0))</f>
        <v/>
      </c>
      <c r="AT296" s="88">
        <f>IF(OR(AT$1="",$BE296=0),"",IFERROR(LOOKUP(2,1/((Budgets!$A$2:$A$200=AT$1)*(Budgets!$B$2:$B$200&lt;=$A296)),Budgets!$C$2:$C$200),0))</f>
        <v/>
      </c>
      <c r="AU296" s="88">
        <f>IF(OR(AU$1="",$BE296=0),"",IFERROR(LOOKUP(2,1/((Budgets!$A$2:$A$200=AU$1)*(Budgets!$B$2:$B$200&lt;=$A296)),Budgets!$C$2:$C$200),0))</f>
        <v/>
      </c>
      <c r="AV296" s="88">
        <f>IF(OR(AV$1="",$BE296=0),"",IFERROR(LOOKUP(2,1/((Budgets!$A$2:$A$200=AV$1)*(Budgets!$B$2:$B$200&lt;=$A296)),Budgets!$C$2:$C$200),0))</f>
        <v/>
      </c>
      <c r="AW296" s="88">
        <f>IF(OR(AW$1="",$BE296=0),"",IFERROR(LOOKUP(2,1/((Budgets!$A$2:$A$200=AW$1)*(Budgets!$B$2:$B$200&lt;=$A296)),Budgets!$C$2:$C$200),0))</f>
        <v/>
      </c>
      <c r="AX296" s="88">
        <f>IF(OR(AX$1="",$BE296=0),"",IFERROR(LOOKUP(2,1/((Budgets!$A$2:$A$200=AX$1)*(Budgets!$B$2:$B$200&lt;=$A296)),Budgets!$C$2:$C$200),0))</f>
        <v/>
      </c>
      <c r="AY296" s="88">
        <f>IF(OR(AY$1="",$BE296=0),"",IFERROR(LOOKUP(2,1/((Budgets!$A$2:$A$200=AY$1)*(Budgets!$B$2:$B$200&lt;=$A296)),Budgets!$C$2:$C$200),0))</f>
        <v/>
      </c>
      <c r="AZ296" s="88">
        <f>IF(OR(AZ$1="",$BE296=0),"",IFERROR(LOOKUP(2,1/((Budgets!$A$2:$A$200=AZ$1)*(Budgets!$B$2:$B$200&lt;=$A296)),Budgets!$C$2:$C$200),0))</f>
        <v/>
      </c>
      <c r="BA296" s="88">
        <f>IF(OR(BA$1="",$BE296=0),"",IFERROR(LOOKUP(2,1/((Budgets!$A$2:$A$200=BA$1)*(Budgets!$B$2:$B$200&lt;=$A296)),Budgets!$C$2:$C$200),0))</f>
        <v/>
      </c>
      <c r="BB296" s="88">
        <f>IF(OR(BB$1="",$BE296=0),"",IFERROR(LOOKUP(2,1/((Budgets!$A$2:$A$200=BB$1)*(Budgets!$B$2:$B$200&lt;=$A296)),Budgets!$C$2:$C$200),0))</f>
        <v/>
      </c>
      <c r="BC296" s="88">
        <f>IF(OR(BC$1="",$BE296=0),"",IFERROR(LOOKUP(2,1/((Budgets!$A$2:$A$200=BC$1)*(Budgets!$B$2:$B$200&lt;=$A296)),Budgets!$C$2:$C$200),0))</f>
        <v/>
      </c>
      <c r="BE296" s="67">
        <f>COUNTIFS(Entries!$A$2:$A$5000,$A296)</f>
        <v/>
      </c>
    </row>
    <row r="297" ht="15" customHeight="1" s="43">
      <c r="A297" s="87" t="n">
        <v>48427</v>
      </c>
      <c r="B297" s="88">
        <f>IF($BE297=0,NA(),SUMIFS(Entries!$D$2:$D$5000,Entries!$C$2:$C$5000,"Income",Entries!$A$2:$A$5000,$A297))</f>
        <v/>
      </c>
      <c r="C297" s="88">
        <f>IF($BE297=0,"",SUMIFS(Entries!$D$2:$D$5000,Entries!$C$2:$C$5000,"Actual",Entries!$A$2:$A$5000,$A297))</f>
        <v/>
      </c>
      <c r="D297" s="88">
        <f>IF($BE297=0,"",SUMIFS(Entries!$D$2:$D$5000,Entries!$C$2:$C$5000,"One-off",Entries!$A$2:$A$5000,$A297))</f>
        <v/>
      </c>
      <c r="E297" s="88">
        <f>IF($BE297=0,NA(),C297+D297)</f>
        <v/>
      </c>
      <c r="F297" s="88">
        <f>IF($BE297=0,"",SUM(AJ297:BC297))</f>
        <v/>
      </c>
      <c r="G297" s="88">
        <f>IF($BE297=0,"",B297-E297)</f>
        <v/>
      </c>
      <c r="H297" s="88">
        <f>IF($BE297=0,"",SUM($G$2:G297))</f>
        <v/>
      </c>
      <c r="I297" s="88">
        <f>IF($BE297=0,"",SUMIFS(Entries!$F$2:$F$5000,Entries!$A$2:$A$5000,$A297))</f>
        <v/>
      </c>
      <c r="J297" s="88">
        <f>IF($BE297=0,NA(),H297+SUM($I$2:I297))</f>
        <v/>
      </c>
      <c r="K297" s="88">
        <f>IF($BE297=0,"",SUMIFS(Entries!$D$2:$D$5000,Entries!$C$2:$C$5000,"Income",Entries!$A$2:$A$5000,"&gt;="&amp;EDATE($A297,-11),Entries!$A$2:$A$5000,"&lt;="&amp;$A297)/12)</f>
        <v/>
      </c>
      <c r="L297" s="88">
        <f>IF($BE297=0,"",(SUMIFS(Entries!$D$2:$D$5000,Entries!$C$2:$C$5000,"Actual",Entries!$A$2:$A$5000,"&gt;="&amp;EDATE($A297,-11),Entries!$A$2:$A$5000,"&lt;="&amp;$A297)+SUMIFS(Entries!$D$2:$D$5000,Entries!$C$2:$C$5000,"One-off",Entries!$A$2:$A$5000,"&gt;="&amp;EDATE($A297,-11),Entries!$A$2:$A$5000,"&lt;="&amp;$A297))/12)</f>
        <v/>
      </c>
      <c r="M297" s="71">
        <f>IF($BE297=0,NA(),IFERROR((K297-L297)/K297,0))</f>
        <v/>
      </c>
      <c r="O297" s="88">
        <f>IF(OR(O$1="",$BE297=0),"",SUMIFS(Entries!$D$2:$D$5000,Entries!$C$2:$C$5000,"Actual",Entries!$A$2:$A$5000,$A297,Entries!$B$2:$B$5000,O$1))</f>
        <v/>
      </c>
      <c r="P297" s="88">
        <f>IF(OR(P$1="",$BE297=0),"",SUMIFS(Entries!$D$2:$D$5000,Entries!$C$2:$C$5000,"Actual",Entries!$A$2:$A$5000,$A297,Entries!$B$2:$B$5000,P$1))</f>
        <v/>
      </c>
      <c r="Q297" s="88">
        <f>IF(OR(Q$1="",$BE297=0),"",SUMIFS(Entries!$D$2:$D$5000,Entries!$C$2:$C$5000,"Actual",Entries!$A$2:$A$5000,$A297,Entries!$B$2:$B$5000,Q$1))</f>
        <v/>
      </c>
      <c r="R297" s="88">
        <f>IF(OR(R$1="",$BE297=0),"",SUMIFS(Entries!$D$2:$D$5000,Entries!$C$2:$C$5000,"Actual",Entries!$A$2:$A$5000,$A297,Entries!$B$2:$B$5000,R$1))</f>
        <v/>
      </c>
      <c r="S297" s="88">
        <f>IF(OR(S$1="",$BE297=0),"",SUMIFS(Entries!$D$2:$D$5000,Entries!$C$2:$C$5000,"Actual",Entries!$A$2:$A$5000,$A297,Entries!$B$2:$B$5000,S$1))</f>
        <v/>
      </c>
      <c r="T297" s="88">
        <f>IF(OR(T$1="",$BE297=0),"",SUMIFS(Entries!$D$2:$D$5000,Entries!$C$2:$C$5000,"Actual",Entries!$A$2:$A$5000,$A297,Entries!$B$2:$B$5000,T$1))</f>
        <v/>
      </c>
      <c r="U297" s="88">
        <f>IF(OR(U$1="",$BE297=0),"",SUMIFS(Entries!$D$2:$D$5000,Entries!$C$2:$C$5000,"Actual",Entries!$A$2:$A$5000,$A297,Entries!$B$2:$B$5000,U$1))</f>
        <v/>
      </c>
      <c r="V297" s="88">
        <f>IF(OR(V$1="",$BE297=0),"",SUMIFS(Entries!$D$2:$D$5000,Entries!$C$2:$C$5000,"Actual",Entries!$A$2:$A$5000,$A297,Entries!$B$2:$B$5000,V$1))</f>
        <v/>
      </c>
      <c r="W297" s="88">
        <f>IF(OR(W$1="",$BE297=0),"",SUMIFS(Entries!$D$2:$D$5000,Entries!$C$2:$C$5000,"Actual",Entries!$A$2:$A$5000,$A297,Entries!$B$2:$B$5000,W$1))</f>
        <v/>
      </c>
      <c r="X297" s="88">
        <f>IF(OR(X$1="",$BE297=0),"",SUMIFS(Entries!$D$2:$D$5000,Entries!$C$2:$C$5000,"Actual",Entries!$A$2:$A$5000,$A297,Entries!$B$2:$B$5000,X$1))</f>
        <v/>
      </c>
      <c r="Y297" s="88">
        <f>IF(OR(Y$1="",$BE297=0),"",SUMIFS(Entries!$D$2:$D$5000,Entries!$C$2:$C$5000,"Actual",Entries!$A$2:$A$5000,$A297,Entries!$B$2:$B$5000,Y$1))</f>
        <v/>
      </c>
      <c r="Z297" s="88">
        <f>IF(OR(Z$1="",$BE297=0),"",SUMIFS(Entries!$D$2:$D$5000,Entries!$C$2:$C$5000,"Actual",Entries!$A$2:$A$5000,$A297,Entries!$B$2:$B$5000,Z$1))</f>
        <v/>
      </c>
      <c r="AA297" s="88">
        <f>IF(OR(AA$1="",$BE297=0),"",SUMIFS(Entries!$D$2:$D$5000,Entries!$C$2:$C$5000,"Actual",Entries!$A$2:$A$5000,$A297,Entries!$B$2:$B$5000,AA$1))</f>
        <v/>
      </c>
      <c r="AB297" s="88">
        <f>IF(OR(AB$1="",$BE297=0),"",SUMIFS(Entries!$D$2:$D$5000,Entries!$C$2:$C$5000,"Actual",Entries!$A$2:$A$5000,$A297,Entries!$B$2:$B$5000,AB$1))</f>
        <v/>
      </c>
      <c r="AC297" s="88">
        <f>IF(OR(AC$1="",$BE297=0),"",SUMIFS(Entries!$D$2:$D$5000,Entries!$C$2:$C$5000,"Actual",Entries!$A$2:$A$5000,$A297,Entries!$B$2:$B$5000,AC$1))</f>
        <v/>
      </c>
      <c r="AD297" s="88">
        <f>IF(OR(AD$1="",$BE297=0),"",SUMIFS(Entries!$D$2:$D$5000,Entries!$C$2:$C$5000,"Actual",Entries!$A$2:$A$5000,$A297,Entries!$B$2:$B$5000,AD$1))</f>
        <v/>
      </c>
      <c r="AE297" s="88">
        <f>IF(OR(AE$1="",$BE297=0),"",SUMIFS(Entries!$D$2:$D$5000,Entries!$C$2:$C$5000,"Actual",Entries!$A$2:$A$5000,$A297,Entries!$B$2:$B$5000,AE$1))</f>
        <v/>
      </c>
      <c r="AF297" s="88">
        <f>IF(OR(AF$1="",$BE297=0),"",SUMIFS(Entries!$D$2:$D$5000,Entries!$C$2:$C$5000,"Actual",Entries!$A$2:$A$5000,$A297,Entries!$B$2:$B$5000,AF$1))</f>
        <v/>
      </c>
      <c r="AG297" s="88">
        <f>IF(OR(AG$1="",$BE297=0),"",SUMIFS(Entries!$D$2:$D$5000,Entries!$C$2:$C$5000,"Actual",Entries!$A$2:$A$5000,$A297,Entries!$B$2:$B$5000,AG$1))</f>
        <v/>
      </c>
      <c r="AH297" s="88">
        <f>IF(OR(AH$1="",$BE297=0),"",SUMIFS(Entries!$D$2:$D$5000,Entries!$C$2:$C$5000,"Actual",Entries!$A$2:$A$5000,$A297,Entries!$B$2:$B$5000,AH$1))</f>
        <v/>
      </c>
      <c r="AJ297" s="88">
        <f>IF(OR(AJ$1="",$BE297=0),"",IFERROR(LOOKUP(2,1/((Budgets!$A$2:$A$200=AJ$1)*(Budgets!$B$2:$B$200&lt;=$A297)),Budgets!$C$2:$C$200),0))</f>
        <v/>
      </c>
      <c r="AK297" s="88">
        <f>IF(OR(AK$1="",$BE297=0),"",IFERROR(LOOKUP(2,1/((Budgets!$A$2:$A$200=AK$1)*(Budgets!$B$2:$B$200&lt;=$A297)),Budgets!$C$2:$C$200),0))</f>
        <v/>
      </c>
      <c r="AL297" s="88">
        <f>IF(OR(AL$1="",$BE297=0),"",IFERROR(LOOKUP(2,1/((Budgets!$A$2:$A$200=AL$1)*(Budgets!$B$2:$B$200&lt;=$A297)),Budgets!$C$2:$C$200),0))</f>
        <v/>
      </c>
      <c r="AM297" s="88">
        <f>IF(OR(AM$1="",$BE297=0),"",IFERROR(LOOKUP(2,1/((Budgets!$A$2:$A$200=AM$1)*(Budgets!$B$2:$B$200&lt;=$A297)),Budgets!$C$2:$C$200),0))</f>
        <v/>
      </c>
      <c r="AN297" s="88">
        <f>IF(OR(AN$1="",$BE297=0),"",IFERROR(LOOKUP(2,1/((Budgets!$A$2:$A$200=AN$1)*(Budgets!$B$2:$B$200&lt;=$A297)),Budgets!$C$2:$C$200),0))</f>
        <v/>
      </c>
      <c r="AO297" s="88">
        <f>IF(OR(AO$1="",$BE297=0),"",IFERROR(LOOKUP(2,1/((Budgets!$A$2:$A$200=AO$1)*(Budgets!$B$2:$B$200&lt;=$A297)),Budgets!$C$2:$C$200),0))</f>
        <v/>
      </c>
      <c r="AP297" s="88">
        <f>IF(OR(AP$1="",$BE297=0),"",IFERROR(LOOKUP(2,1/((Budgets!$A$2:$A$200=AP$1)*(Budgets!$B$2:$B$200&lt;=$A297)),Budgets!$C$2:$C$200),0))</f>
        <v/>
      </c>
      <c r="AQ297" s="88">
        <f>IF(OR(AQ$1="",$BE297=0),"",IFERROR(LOOKUP(2,1/((Budgets!$A$2:$A$200=AQ$1)*(Budgets!$B$2:$B$200&lt;=$A297)),Budgets!$C$2:$C$200),0))</f>
        <v/>
      </c>
      <c r="AR297" s="88">
        <f>IF(OR(AR$1="",$BE297=0),"",IFERROR(LOOKUP(2,1/((Budgets!$A$2:$A$200=AR$1)*(Budgets!$B$2:$B$200&lt;=$A297)),Budgets!$C$2:$C$200),0))</f>
        <v/>
      </c>
      <c r="AS297" s="88">
        <f>IF(OR(AS$1="",$BE297=0),"",IFERROR(LOOKUP(2,1/((Budgets!$A$2:$A$200=AS$1)*(Budgets!$B$2:$B$200&lt;=$A297)),Budgets!$C$2:$C$200),0))</f>
        <v/>
      </c>
      <c r="AT297" s="88">
        <f>IF(OR(AT$1="",$BE297=0),"",IFERROR(LOOKUP(2,1/((Budgets!$A$2:$A$200=AT$1)*(Budgets!$B$2:$B$200&lt;=$A297)),Budgets!$C$2:$C$200),0))</f>
        <v/>
      </c>
      <c r="AU297" s="88">
        <f>IF(OR(AU$1="",$BE297=0),"",IFERROR(LOOKUP(2,1/((Budgets!$A$2:$A$200=AU$1)*(Budgets!$B$2:$B$200&lt;=$A297)),Budgets!$C$2:$C$200),0))</f>
        <v/>
      </c>
      <c r="AV297" s="88">
        <f>IF(OR(AV$1="",$BE297=0),"",IFERROR(LOOKUP(2,1/((Budgets!$A$2:$A$200=AV$1)*(Budgets!$B$2:$B$200&lt;=$A297)),Budgets!$C$2:$C$200),0))</f>
        <v/>
      </c>
      <c r="AW297" s="88">
        <f>IF(OR(AW$1="",$BE297=0),"",IFERROR(LOOKUP(2,1/((Budgets!$A$2:$A$200=AW$1)*(Budgets!$B$2:$B$200&lt;=$A297)),Budgets!$C$2:$C$200),0))</f>
        <v/>
      </c>
      <c r="AX297" s="88">
        <f>IF(OR(AX$1="",$BE297=0),"",IFERROR(LOOKUP(2,1/((Budgets!$A$2:$A$200=AX$1)*(Budgets!$B$2:$B$200&lt;=$A297)),Budgets!$C$2:$C$200),0))</f>
        <v/>
      </c>
      <c r="AY297" s="88">
        <f>IF(OR(AY$1="",$BE297=0),"",IFERROR(LOOKUP(2,1/((Budgets!$A$2:$A$200=AY$1)*(Budgets!$B$2:$B$200&lt;=$A297)),Budgets!$C$2:$C$200),0))</f>
        <v/>
      </c>
      <c r="AZ297" s="88">
        <f>IF(OR(AZ$1="",$BE297=0),"",IFERROR(LOOKUP(2,1/((Budgets!$A$2:$A$200=AZ$1)*(Budgets!$B$2:$B$200&lt;=$A297)),Budgets!$C$2:$C$200),0))</f>
        <v/>
      </c>
      <c r="BA297" s="88">
        <f>IF(OR(BA$1="",$BE297=0),"",IFERROR(LOOKUP(2,1/((Budgets!$A$2:$A$200=BA$1)*(Budgets!$B$2:$B$200&lt;=$A297)),Budgets!$C$2:$C$200),0))</f>
        <v/>
      </c>
      <c r="BB297" s="88">
        <f>IF(OR(BB$1="",$BE297=0),"",IFERROR(LOOKUP(2,1/((Budgets!$A$2:$A$200=BB$1)*(Budgets!$B$2:$B$200&lt;=$A297)),Budgets!$C$2:$C$200),0))</f>
        <v/>
      </c>
      <c r="BC297" s="88">
        <f>IF(OR(BC$1="",$BE297=0),"",IFERROR(LOOKUP(2,1/((Budgets!$A$2:$A$200=BC$1)*(Budgets!$B$2:$B$200&lt;=$A297)),Budgets!$C$2:$C$200),0))</f>
        <v/>
      </c>
      <c r="BE297" s="67">
        <f>COUNTIFS(Entries!$A$2:$A$5000,$A297)</f>
        <v/>
      </c>
    </row>
    <row r="298" ht="15" customHeight="1" s="43">
      <c r="A298" s="87" t="n">
        <v>48458</v>
      </c>
      <c r="B298" s="88">
        <f>IF($BE298=0,NA(),SUMIFS(Entries!$D$2:$D$5000,Entries!$C$2:$C$5000,"Income",Entries!$A$2:$A$5000,$A298))</f>
        <v/>
      </c>
      <c r="C298" s="88">
        <f>IF($BE298=0,"",SUMIFS(Entries!$D$2:$D$5000,Entries!$C$2:$C$5000,"Actual",Entries!$A$2:$A$5000,$A298))</f>
        <v/>
      </c>
      <c r="D298" s="88">
        <f>IF($BE298=0,"",SUMIFS(Entries!$D$2:$D$5000,Entries!$C$2:$C$5000,"One-off",Entries!$A$2:$A$5000,$A298))</f>
        <v/>
      </c>
      <c r="E298" s="88">
        <f>IF($BE298=0,NA(),C298+D298)</f>
        <v/>
      </c>
      <c r="F298" s="88">
        <f>IF($BE298=0,"",SUM(AJ298:BC298))</f>
        <v/>
      </c>
      <c r="G298" s="88">
        <f>IF($BE298=0,"",B298-E298)</f>
        <v/>
      </c>
      <c r="H298" s="88">
        <f>IF($BE298=0,"",SUM($G$2:G298))</f>
        <v/>
      </c>
      <c r="I298" s="88">
        <f>IF($BE298=0,"",SUMIFS(Entries!$F$2:$F$5000,Entries!$A$2:$A$5000,$A298))</f>
        <v/>
      </c>
      <c r="J298" s="88">
        <f>IF($BE298=0,NA(),H298+SUM($I$2:I298))</f>
        <v/>
      </c>
      <c r="K298" s="88">
        <f>IF($BE298=0,"",SUMIFS(Entries!$D$2:$D$5000,Entries!$C$2:$C$5000,"Income",Entries!$A$2:$A$5000,"&gt;="&amp;EDATE($A298,-11),Entries!$A$2:$A$5000,"&lt;="&amp;$A298)/12)</f>
        <v/>
      </c>
      <c r="L298" s="88">
        <f>IF($BE298=0,"",(SUMIFS(Entries!$D$2:$D$5000,Entries!$C$2:$C$5000,"Actual",Entries!$A$2:$A$5000,"&gt;="&amp;EDATE($A298,-11),Entries!$A$2:$A$5000,"&lt;="&amp;$A298)+SUMIFS(Entries!$D$2:$D$5000,Entries!$C$2:$C$5000,"One-off",Entries!$A$2:$A$5000,"&gt;="&amp;EDATE($A298,-11),Entries!$A$2:$A$5000,"&lt;="&amp;$A298))/12)</f>
        <v/>
      </c>
      <c r="M298" s="71">
        <f>IF($BE298=0,NA(),IFERROR((K298-L298)/K298,0))</f>
        <v/>
      </c>
      <c r="O298" s="88">
        <f>IF(OR(O$1="",$BE298=0),"",SUMIFS(Entries!$D$2:$D$5000,Entries!$C$2:$C$5000,"Actual",Entries!$A$2:$A$5000,$A298,Entries!$B$2:$B$5000,O$1))</f>
        <v/>
      </c>
      <c r="P298" s="88">
        <f>IF(OR(P$1="",$BE298=0),"",SUMIFS(Entries!$D$2:$D$5000,Entries!$C$2:$C$5000,"Actual",Entries!$A$2:$A$5000,$A298,Entries!$B$2:$B$5000,P$1))</f>
        <v/>
      </c>
      <c r="Q298" s="88">
        <f>IF(OR(Q$1="",$BE298=0),"",SUMIFS(Entries!$D$2:$D$5000,Entries!$C$2:$C$5000,"Actual",Entries!$A$2:$A$5000,$A298,Entries!$B$2:$B$5000,Q$1))</f>
        <v/>
      </c>
      <c r="R298" s="88">
        <f>IF(OR(R$1="",$BE298=0),"",SUMIFS(Entries!$D$2:$D$5000,Entries!$C$2:$C$5000,"Actual",Entries!$A$2:$A$5000,$A298,Entries!$B$2:$B$5000,R$1))</f>
        <v/>
      </c>
      <c r="S298" s="88">
        <f>IF(OR(S$1="",$BE298=0),"",SUMIFS(Entries!$D$2:$D$5000,Entries!$C$2:$C$5000,"Actual",Entries!$A$2:$A$5000,$A298,Entries!$B$2:$B$5000,S$1))</f>
        <v/>
      </c>
      <c r="T298" s="88">
        <f>IF(OR(T$1="",$BE298=0),"",SUMIFS(Entries!$D$2:$D$5000,Entries!$C$2:$C$5000,"Actual",Entries!$A$2:$A$5000,$A298,Entries!$B$2:$B$5000,T$1))</f>
        <v/>
      </c>
      <c r="U298" s="88">
        <f>IF(OR(U$1="",$BE298=0),"",SUMIFS(Entries!$D$2:$D$5000,Entries!$C$2:$C$5000,"Actual",Entries!$A$2:$A$5000,$A298,Entries!$B$2:$B$5000,U$1))</f>
        <v/>
      </c>
      <c r="V298" s="88">
        <f>IF(OR(V$1="",$BE298=0),"",SUMIFS(Entries!$D$2:$D$5000,Entries!$C$2:$C$5000,"Actual",Entries!$A$2:$A$5000,$A298,Entries!$B$2:$B$5000,V$1))</f>
        <v/>
      </c>
      <c r="W298" s="88">
        <f>IF(OR(W$1="",$BE298=0),"",SUMIFS(Entries!$D$2:$D$5000,Entries!$C$2:$C$5000,"Actual",Entries!$A$2:$A$5000,$A298,Entries!$B$2:$B$5000,W$1))</f>
        <v/>
      </c>
      <c r="X298" s="88">
        <f>IF(OR(X$1="",$BE298=0),"",SUMIFS(Entries!$D$2:$D$5000,Entries!$C$2:$C$5000,"Actual",Entries!$A$2:$A$5000,$A298,Entries!$B$2:$B$5000,X$1))</f>
        <v/>
      </c>
      <c r="Y298" s="88">
        <f>IF(OR(Y$1="",$BE298=0),"",SUMIFS(Entries!$D$2:$D$5000,Entries!$C$2:$C$5000,"Actual",Entries!$A$2:$A$5000,$A298,Entries!$B$2:$B$5000,Y$1))</f>
        <v/>
      </c>
      <c r="Z298" s="88">
        <f>IF(OR(Z$1="",$BE298=0),"",SUMIFS(Entries!$D$2:$D$5000,Entries!$C$2:$C$5000,"Actual",Entries!$A$2:$A$5000,$A298,Entries!$B$2:$B$5000,Z$1))</f>
        <v/>
      </c>
      <c r="AA298" s="88">
        <f>IF(OR(AA$1="",$BE298=0),"",SUMIFS(Entries!$D$2:$D$5000,Entries!$C$2:$C$5000,"Actual",Entries!$A$2:$A$5000,$A298,Entries!$B$2:$B$5000,AA$1))</f>
        <v/>
      </c>
      <c r="AB298" s="88">
        <f>IF(OR(AB$1="",$BE298=0),"",SUMIFS(Entries!$D$2:$D$5000,Entries!$C$2:$C$5000,"Actual",Entries!$A$2:$A$5000,$A298,Entries!$B$2:$B$5000,AB$1))</f>
        <v/>
      </c>
      <c r="AC298" s="88">
        <f>IF(OR(AC$1="",$BE298=0),"",SUMIFS(Entries!$D$2:$D$5000,Entries!$C$2:$C$5000,"Actual",Entries!$A$2:$A$5000,$A298,Entries!$B$2:$B$5000,AC$1))</f>
        <v/>
      </c>
      <c r="AD298" s="88">
        <f>IF(OR(AD$1="",$BE298=0),"",SUMIFS(Entries!$D$2:$D$5000,Entries!$C$2:$C$5000,"Actual",Entries!$A$2:$A$5000,$A298,Entries!$B$2:$B$5000,AD$1))</f>
        <v/>
      </c>
      <c r="AE298" s="88">
        <f>IF(OR(AE$1="",$BE298=0),"",SUMIFS(Entries!$D$2:$D$5000,Entries!$C$2:$C$5000,"Actual",Entries!$A$2:$A$5000,$A298,Entries!$B$2:$B$5000,AE$1))</f>
        <v/>
      </c>
      <c r="AF298" s="88">
        <f>IF(OR(AF$1="",$BE298=0),"",SUMIFS(Entries!$D$2:$D$5000,Entries!$C$2:$C$5000,"Actual",Entries!$A$2:$A$5000,$A298,Entries!$B$2:$B$5000,AF$1))</f>
        <v/>
      </c>
      <c r="AG298" s="88">
        <f>IF(OR(AG$1="",$BE298=0),"",SUMIFS(Entries!$D$2:$D$5000,Entries!$C$2:$C$5000,"Actual",Entries!$A$2:$A$5000,$A298,Entries!$B$2:$B$5000,AG$1))</f>
        <v/>
      </c>
      <c r="AH298" s="88">
        <f>IF(OR(AH$1="",$BE298=0),"",SUMIFS(Entries!$D$2:$D$5000,Entries!$C$2:$C$5000,"Actual",Entries!$A$2:$A$5000,$A298,Entries!$B$2:$B$5000,AH$1))</f>
        <v/>
      </c>
      <c r="AJ298" s="88">
        <f>IF(OR(AJ$1="",$BE298=0),"",IFERROR(LOOKUP(2,1/((Budgets!$A$2:$A$200=AJ$1)*(Budgets!$B$2:$B$200&lt;=$A298)),Budgets!$C$2:$C$200),0))</f>
        <v/>
      </c>
      <c r="AK298" s="88">
        <f>IF(OR(AK$1="",$BE298=0),"",IFERROR(LOOKUP(2,1/((Budgets!$A$2:$A$200=AK$1)*(Budgets!$B$2:$B$200&lt;=$A298)),Budgets!$C$2:$C$200),0))</f>
        <v/>
      </c>
      <c r="AL298" s="88">
        <f>IF(OR(AL$1="",$BE298=0),"",IFERROR(LOOKUP(2,1/((Budgets!$A$2:$A$200=AL$1)*(Budgets!$B$2:$B$200&lt;=$A298)),Budgets!$C$2:$C$200),0))</f>
        <v/>
      </c>
      <c r="AM298" s="88">
        <f>IF(OR(AM$1="",$BE298=0),"",IFERROR(LOOKUP(2,1/((Budgets!$A$2:$A$200=AM$1)*(Budgets!$B$2:$B$200&lt;=$A298)),Budgets!$C$2:$C$200),0))</f>
        <v/>
      </c>
      <c r="AN298" s="88">
        <f>IF(OR(AN$1="",$BE298=0),"",IFERROR(LOOKUP(2,1/((Budgets!$A$2:$A$200=AN$1)*(Budgets!$B$2:$B$200&lt;=$A298)),Budgets!$C$2:$C$200),0))</f>
        <v/>
      </c>
      <c r="AO298" s="88">
        <f>IF(OR(AO$1="",$BE298=0),"",IFERROR(LOOKUP(2,1/((Budgets!$A$2:$A$200=AO$1)*(Budgets!$B$2:$B$200&lt;=$A298)),Budgets!$C$2:$C$200),0))</f>
        <v/>
      </c>
      <c r="AP298" s="88">
        <f>IF(OR(AP$1="",$BE298=0),"",IFERROR(LOOKUP(2,1/((Budgets!$A$2:$A$200=AP$1)*(Budgets!$B$2:$B$200&lt;=$A298)),Budgets!$C$2:$C$200),0))</f>
        <v/>
      </c>
      <c r="AQ298" s="88">
        <f>IF(OR(AQ$1="",$BE298=0),"",IFERROR(LOOKUP(2,1/((Budgets!$A$2:$A$200=AQ$1)*(Budgets!$B$2:$B$200&lt;=$A298)),Budgets!$C$2:$C$200),0))</f>
        <v/>
      </c>
      <c r="AR298" s="88">
        <f>IF(OR(AR$1="",$BE298=0),"",IFERROR(LOOKUP(2,1/((Budgets!$A$2:$A$200=AR$1)*(Budgets!$B$2:$B$200&lt;=$A298)),Budgets!$C$2:$C$200),0))</f>
        <v/>
      </c>
      <c r="AS298" s="88">
        <f>IF(OR(AS$1="",$BE298=0),"",IFERROR(LOOKUP(2,1/((Budgets!$A$2:$A$200=AS$1)*(Budgets!$B$2:$B$200&lt;=$A298)),Budgets!$C$2:$C$200),0))</f>
        <v/>
      </c>
      <c r="AT298" s="88">
        <f>IF(OR(AT$1="",$BE298=0),"",IFERROR(LOOKUP(2,1/((Budgets!$A$2:$A$200=AT$1)*(Budgets!$B$2:$B$200&lt;=$A298)),Budgets!$C$2:$C$200),0))</f>
        <v/>
      </c>
      <c r="AU298" s="88">
        <f>IF(OR(AU$1="",$BE298=0),"",IFERROR(LOOKUP(2,1/((Budgets!$A$2:$A$200=AU$1)*(Budgets!$B$2:$B$200&lt;=$A298)),Budgets!$C$2:$C$200),0))</f>
        <v/>
      </c>
      <c r="AV298" s="88">
        <f>IF(OR(AV$1="",$BE298=0),"",IFERROR(LOOKUP(2,1/((Budgets!$A$2:$A$200=AV$1)*(Budgets!$B$2:$B$200&lt;=$A298)),Budgets!$C$2:$C$200),0))</f>
        <v/>
      </c>
      <c r="AW298" s="88">
        <f>IF(OR(AW$1="",$BE298=0),"",IFERROR(LOOKUP(2,1/((Budgets!$A$2:$A$200=AW$1)*(Budgets!$B$2:$B$200&lt;=$A298)),Budgets!$C$2:$C$200),0))</f>
        <v/>
      </c>
      <c r="AX298" s="88">
        <f>IF(OR(AX$1="",$BE298=0),"",IFERROR(LOOKUP(2,1/((Budgets!$A$2:$A$200=AX$1)*(Budgets!$B$2:$B$200&lt;=$A298)),Budgets!$C$2:$C$200),0))</f>
        <v/>
      </c>
      <c r="AY298" s="88">
        <f>IF(OR(AY$1="",$BE298=0),"",IFERROR(LOOKUP(2,1/((Budgets!$A$2:$A$200=AY$1)*(Budgets!$B$2:$B$200&lt;=$A298)),Budgets!$C$2:$C$200),0))</f>
        <v/>
      </c>
      <c r="AZ298" s="88">
        <f>IF(OR(AZ$1="",$BE298=0),"",IFERROR(LOOKUP(2,1/((Budgets!$A$2:$A$200=AZ$1)*(Budgets!$B$2:$B$200&lt;=$A298)),Budgets!$C$2:$C$200),0))</f>
        <v/>
      </c>
      <c r="BA298" s="88">
        <f>IF(OR(BA$1="",$BE298=0),"",IFERROR(LOOKUP(2,1/((Budgets!$A$2:$A$200=BA$1)*(Budgets!$B$2:$B$200&lt;=$A298)),Budgets!$C$2:$C$200),0))</f>
        <v/>
      </c>
      <c r="BB298" s="88">
        <f>IF(OR(BB$1="",$BE298=0),"",IFERROR(LOOKUP(2,1/((Budgets!$A$2:$A$200=BB$1)*(Budgets!$B$2:$B$200&lt;=$A298)),Budgets!$C$2:$C$200),0))</f>
        <v/>
      </c>
      <c r="BC298" s="88">
        <f>IF(OR(BC$1="",$BE298=0),"",IFERROR(LOOKUP(2,1/((Budgets!$A$2:$A$200=BC$1)*(Budgets!$B$2:$B$200&lt;=$A298)),Budgets!$C$2:$C$200),0))</f>
        <v/>
      </c>
      <c r="BE298" s="67">
        <f>COUNTIFS(Entries!$A$2:$A$5000,$A298)</f>
        <v/>
      </c>
    </row>
    <row r="299" ht="15" customHeight="1" s="43">
      <c r="A299" s="87" t="n">
        <v>48488</v>
      </c>
      <c r="B299" s="88">
        <f>IF($BE299=0,NA(),SUMIFS(Entries!$D$2:$D$5000,Entries!$C$2:$C$5000,"Income",Entries!$A$2:$A$5000,$A299))</f>
        <v/>
      </c>
      <c r="C299" s="88">
        <f>IF($BE299=0,"",SUMIFS(Entries!$D$2:$D$5000,Entries!$C$2:$C$5000,"Actual",Entries!$A$2:$A$5000,$A299))</f>
        <v/>
      </c>
      <c r="D299" s="88">
        <f>IF($BE299=0,"",SUMIFS(Entries!$D$2:$D$5000,Entries!$C$2:$C$5000,"One-off",Entries!$A$2:$A$5000,$A299))</f>
        <v/>
      </c>
      <c r="E299" s="88">
        <f>IF($BE299=0,NA(),C299+D299)</f>
        <v/>
      </c>
      <c r="F299" s="88">
        <f>IF($BE299=0,"",SUM(AJ299:BC299))</f>
        <v/>
      </c>
      <c r="G299" s="88">
        <f>IF($BE299=0,"",B299-E299)</f>
        <v/>
      </c>
      <c r="H299" s="88">
        <f>IF($BE299=0,"",SUM($G$2:G299))</f>
        <v/>
      </c>
      <c r="I299" s="88">
        <f>IF($BE299=0,"",SUMIFS(Entries!$F$2:$F$5000,Entries!$A$2:$A$5000,$A299))</f>
        <v/>
      </c>
      <c r="J299" s="88">
        <f>IF($BE299=0,NA(),H299+SUM($I$2:I299))</f>
        <v/>
      </c>
      <c r="K299" s="88">
        <f>IF($BE299=0,"",SUMIFS(Entries!$D$2:$D$5000,Entries!$C$2:$C$5000,"Income",Entries!$A$2:$A$5000,"&gt;="&amp;EDATE($A299,-11),Entries!$A$2:$A$5000,"&lt;="&amp;$A299)/12)</f>
        <v/>
      </c>
      <c r="L299" s="88">
        <f>IF($BE299=0,"",(SUMIFS(Entries!$D$2:$D$5000,Entries!$C$2:$C$5000,"Actual",Entries!$A$2:$A$5000,"&gt;="&amp;EDATE($A299,-11),Entries!$A$2:$A$5000,"&lt;="&amp;$A299)+SUMIFS(Entries!$D$2:$D$5000,Entries!$C$2:$C$5000,"One-off",Entries!$A$2:$A$5000,"&gt;="&amp;EDATE($A299,-11),Entries!$A$2:$A$5000,"&lt;="&amp;$A299))/12)</f>
        <v/>
      </c>
      <c r="M299" s="71">
        <f>IF($BE299=0,NA(),IFERROR((K299-L299)/K299,0))</f>
        <v/>
      </c>
      <c r="O299" s="88">
        <f>IF(OR(O$1="",$BE299=0),"",SUMIFS(Entries!$D$2:$D$5000,Entries!$C$2:$C$5000,"Actual",Entries!$A$2:$A$5000,$A299,Entries!$B$2:$B$5000,O$1))</f>
        <v/>
      </c>
      <c r="P299" s="88">
        <f>IF(OR(P$1="",$BE299=0),"",SUMIFS(Entries!$D$2:$D$5000,Entries!$C$2:$C$5000,"Actual",Entries!$A$2:$A$5000,$A299,Entries!$B$2:$B$5000,P$1))</f>
        <v/>
      </c>
      <c r="Q299" s="88">
        <f>IF(OR(Q$1="",$BE299=0),"",SUMIFS(Entries!$D$2:$D$5000,Entries!$C$2:$C$5000,"Actual",Entries!$A$2:$A$5000,$A299,Entries!$B$2:$B$5000,Q$1))</f>
        <v/>
      </c>
      <c r="R299" s="88">
        <f>IF(OR(R$1="",$BE299=0),"",SUMIFS(Entries!$D$2:$D$5000,Entries!$C$2:$C$5000,"Actual",Entries!$A$2:$A$5000,$A299,Entries!$B$2:$B$5000,R$1))</f>
        <v/>
      </c>
      <c r="S299" s="88">
        <f>IF(OR(S$1="",$BE299=0),"",SUMIFS(Entries!$D$2:$D$5000,Entries!$C$2:$C$5000,"Actual",Entries!$A$2:$A$5000,$A299,Entries!$B$2:$B$5000,S$1))</f>
        <v/>
      </c>
      <c r="T299" s="88">
        <f>IF(OR(T$1="",$BE299=0),"",SUMIFS(Entries!$D$2:$D$5000,Entries!$C$2:$C$5000,"Actual",Entries!$A$2:$A$5000,$A299,Entries!$B$2:$B$5000,T$1))</f>
        <v/>
      </c>
      <c r="U299" s="88">
        <f>IF(OR(U$1="",$BE299=0),"",SUMIFS(Entries!$D$2:$D$5000,Entries!$C$2:$C$5000,"Actual",Entries!$A$2:$A$5000,$A299,Entries!$B$2:$B$5000,U$1))</f>
        <v/>
      </c>
      <c r="V299" s="88">
        <f>IF(OR(V$1="",$BE299=0),"",SUMIFS(Entries!$D$2:$D$5000,Entries!$C$2:$C$5000,"Actual",Entries!$A$2:$A$5000,$A299,Entries!$B$2:$B$5000,V$1))</f>
        <v/>
      </c>
      <c r="W299" s="88">
        <f>IF(OR(W$1="",$BE299=0),"",SUMIFS(Entries!$D$2:$D$5000,Entries!$C$2:$C$5000,"Actual",Entries!$A$2:$A$5000,$A299,Entries!$B$2:$B$5000,W$1))</f>
        <v/>
      </c>
      <c r="X299" s="88">
        <f>IF(OR(X$1="",$BE299=0),"",SUMIFS(Entries!$D$2:$D$5000,Entries!$C$2:$C$5000,"Actual",Entries!$A$2:$A$5000,$A299,Entries!$B$2:$B$5000,X$1))</f>
        <v/>
      </c>
      <c r="Y299" s="88">
        <f>IF(OR(Y$1="",$BE299=0),"",SUMIFS(Entries!$D$2:$D$5000,Entries!$C$2:$C$5000,"Actual",Entries!$A$2:$A$5000,$A299,Entries!$B$2:$B$5000,Y$1))</f>
        <v/>
      </c>
      <c r="Z299" s="88">
        <f>IF(OR(Z$1="",$BE299=0),"",SUMIFS(Entries!$D$2:$D$5000,Entries!$C$2:$C$5000,"Actual",Entries!$A$2:$A$5000,$A299,Entries!$B$2:$B$5000,Z$1))</f>
        <v/>
      </c>
      <c r="AA299" s="88">
        <f>IF(OR(AA$1="",$BE299=0),"",SUMIFS(Entries!$D$2:$D$5000,Entries!$C$2:$C$5000,"Actual",Entries!$A$2:$A$5000,$A299,Entries!$B$2:$B$5000,AA$1))</f>
        <v/>
      </c>
      <c r="AB299" s="88">
        <f>IF(OR(AB$1="",$BE299=0),"",SUMIFS(Entries!$D$2:$D$5000,Entries!$C$2:$C$5000,"Actual",Entries!$A$2:$A$5000,$A299,Entries!$B$2:$B$5000,AB$1))</f>
        <v/>
      </c>
      <c r="AC299" s="88">
        <f>IF(OR(AC$1="",$BE299=0),"",SUMIFS(Entries!$D$2:$D$5000,Entries!$C$2:$C$5000,"Actual",Entries!$A$2:$A$5000,$A299,Entries!$B$2:$B$5000,AC$1))</f>
        <v/>
      </c>
      <c r="AD299" s="88">
        <f>IF(OR(AD$1="",$BE299=0),"",SUMIFS(Entries!$D$2:$D$5000,Entries!$C$2:$C$5000,"Actual",Entries!$A$2:$A$5000,$A299,Entries!$B$2:$B$5000,AD$1))</f>
        <v/>
      </c>
      <c r="AE299" s="88">
        <f>IF(OR(AE$1="",$BE299=0),"",SUMIFS(Entries!$D$2:$D$5000,Entries!$C$2:$C$5000,"Actual",Entries!$A$2:$A$5000,$A299,Entries!$B$2:$B$5000,AE$1))</f>
        <v/>
      </c>
      <c r="AF299" s="88">
        <f>IF(OR(AF$1="",$BE299=0),"",SUMIFS(Entries!$D$2:$D$5000,Entries!$C$2:$C$5000,"Actual",Entries!$A$2:$A$5000,$A299,Entries!$B$2:$B$5000,AF$1))</f>
        <v/>
      </c>
      <c r="AG299" s="88">
        <f>IF(OR(AG$1="",$BE299=0),"",SUMIFS(Entries!$D$2:$D$5000,Entries!$C$2:$C$5000,"Actual",Entries!$A$2:$A$5000,$A299,Entries!$B$2:$B$5000,AG$1))</f>
        <v/>
      </c>
      <c r="AH299" s="88">
        <f>IF(OR(AH$1="",$BE299=0),"",SUMIFS(Entries!$D$2:$D$5000,Entries!$C$2:$C$5000,"Actual",Entries!$A$2:$A$5000,$A299,Entries!$B$2:$B$5000,AH$1))</f>
        <v/>
      </c>
      <c r="AJ299" s="88">
        <f>IF(OR(AJ$1="",$BE299=0),"",IFERROR(LOOKUP(2,1/((Budgets!$A$2:$A$200=AJ$1)*(Budgets!$B$2:$B$200&lt;=$A299)),Budgets!$C$2:$C$200),0))</f>
        <v/>
      </c>
      <c r="AK299" s="88">
        <f>IF(OR(AK$1="",$BE299=0),"",IFERROR(LOOKUP(2,1/((Budgets!$A$2:$A$200=AK$1)*(Budgets!$B$2:$B$200&lt;=$A299)),Budgets!$C$2:$C$200),0))</f>
        <v/>
      </c>
      <c r="AL299" s="88">
        <f>IF(OR(AL$1="",$BE299=0),"",IFERROR(LOOKUP(2,1/((Budgets!$A$2:$A$200=AL$1)*(Budgets!$B$2:$B$200&lt;=$A299)),Budgets!$C$2:$C$200),0))</f>
        <v/>
      </c>
      <c r="AM299" s="88">
        <f>IF(OR(AM$1="",$BE299=0),"",IFERROR(LOOKUP(2,1/((Budgets!$A$2:$A$200=AM$1)*(Budgets!$B$2:$B$200&lt;=$A299)),Budgets!$C$2:$C$200),0))</f>
        <v/>
      </c>
      <c r="AN299" s="88">
        <f>IF(OR(AN$1="",$BE299=0),"",IFERROR(LOOKUP(2,1/((Budgets!$A$2:$A$200=AN$1)*(Budgets!$B$2:$B$200&lt;=$A299)),Budgets!$C$2:$C$200),0))</f>
        <v/>
      </c>
      <c r="AO299" s="88">
        <f>IF(OR(AO$1="",$BE299=0),"",IFERROR(LOOKUP(2,1/((Budgets!$A$2:$A$200=AO$1)*(Budgets!$B$2:$B$200&lt;=$A299)),Budgets!$C$2:$C$200),0))</f>
        <v/>
      </c>
      <c r="AP299" s="88">
        <f>IF(OR(AP$1="",$BE299=0),"",IFERROR(LOOKUP(2,1/((Budgets!$A$2:$A$200=AP$1)*(Budgets!$B$2:$B$200&lt;=$A299)),Budgets!$C$2:$C$200),0))</f>
        <v/>
      </c>
      <c r="AQ299" s="88">
        <f>IF(OR(AQ$1="",$BE299=0),"",IFERROR(LOOKUP(2,1/((Budgets!$A$2:$A$200=AQ$1)*(Budgets!$B$2:$B$200&lt;=$A299)),Budgets!$C$2:$C$200),0))</f>
        <v/>
      </c>
      <c r="AR299" s="88">
        <f>IF(OR(AR$1="",$BE299=0),"",IFERROR(LOOKUP(2,1/((Budgets!$A$2:$A$200=AR$1)*(Budgets!$B$2:$B$200&lt;=$A299)),Budgets!$C$2:$C$200),0))</f>
        <v/>
      </c>
      <c r="AS299" s="88">
        <f>IF(OR(AS$1="",$BE299=0),"",IFERROR(LOOKUP(2,1/((Budgets!$A$2:$A$200=AS$1)*(Budgets!$B$2:$B$200&lt;=$A299)),Budgets!$C$2:$C$200),0))</f>
        <v/>
      </c>
      <c r="AT299" s="88">
        <f>IF(OR(AT$1="",$BE299=0),"",IFERROR(LOOKUP(2,1/((Budgets!$A$2:$A$200=AT$1)*(Budgets!$B$2:$B$200&lt;=$A299)),Budgets!$C$2:$C$200),0))</f>
        <v/>
      </c>
      <c r="AU299" s="88">
        <f>IF(OR(AU$1="",$BE299=0),"",IFERROR(LOOKUP(2,1/((Budgets!$A$2:$A$200=AU$1)*(Budgets!$B$2:$B$200&lt;=$A299)),Budgets!$C$2:$C$200),0))</f>
        <v/>
      </c>
      <c r="AV299" s="88">
        <f>IF(OR(AV$1="",$BE299=0),"",IFERROR(LOOKUP(2,1/((Budgets!$A$2:$A$200=AV$1)*(Budgets!$B$2:$B$200&lt;=$A299)),Budgets!$C$2:$C$200),0))</f>
        <v/>
      </c>
      <c r="AW299" s="88">
        <f>IF(OR(AW$1="",$BE299=0),"",IFERROR(LOOKUP(2,1/((Budgets!$A$2:$A$200=AW$1)*(Budgets!$B$2:$B$200&lt;=$A299)),Budgets!$C$2:$C$200),0))</f>
        <v/>
      </c>
      <c r="AX299" s="88">
        <f>IF(OR(AX$1="",$BE299=0),"",IFERROR(LOOKUP(2,1/((Budgets!$A$2:$A$200=AX$1)*(Budgets!$B$2:$B$200&lt;=$A299)),Budgets!$C$2:$C$200),0))</f>
        <v/>
      </c>
      <c r="AY299" s="88">
        <f>IF(OR(AY$1="",$BE299=0),"",IFERROR(LOOKUP(2,1/((Budgets!$A$2:$A$200=AY$1)*(Budgets!$B$2:$B$200&lt;=$A299)),Budgets!$C$2:$C$200),0))</f>
        <v/>
      </c>
      <c r="AZ299" s="88">
        <f>IF(OR(AZ$1="",$BE299=0),"",IFERROR(LOOKUP(2,1/((Budgets!$A$2:$A$200=AZ$1)*(Budgets!$B$2:$B$200&lt;=$A299)),Budgets!$C$2:$C$200),0))</f>
        <v/>
      </c>
      <c r="BA299" s="88">
        <f>IF(OR(BA$1="",$BE299=0),"",IFERROR(LOOKUP(2,1/((Budgets!$A$2:$A$200=BA$1)*(Budgets!$B$2:$B$200&lt;=$A299)),Budgets!$C$2:$C$200),0))</f>
        <v/>
      </c>
      <c r="BB299" s="88">
        <f>IF(OR(BB$1="",$BE299=0),"",IFERROR(LOOKUP(2,1/((Budgets!$A$2:$A$200=BB$1)*(Budgets!$B$2:$B$200&lt;=$A299)),Budgets!$C$2:$C$200),0))</f>
        <v/>
      </c>
      <c r="BC299" s="88">
        <f>IF(OR(BC$1="",$BE299=0),"",IFERROR(LOOKUP(2,1/((Budgets!$A$2:$A$200=BC$1)*(Budgets!$B$2:$B$200&lt;=$A299)),Budgets!$C$2:$C$200),0))</f>
        <v/>
      </c>
      <c r="BE299" s="67">
        <f>COUNTIFS(Entries!$A$2:$A$5000,$A299)</f>
        <v/>
      </c>
    </row>
    <row r="300" ht="15" customHeight="1" s="43">
      <c r="A300" s="87" t="n">
        <v>48519</v>
      </c>
      <c r="B300" s="88">
        <f>IF($BE300=0,NA(),SUMIFS(Entries!$D$2:$D$5000,Entries!$C$2:$C$5000,"Income",Entries!$A$2:$A$5000,$A300))</f>
        <v/>
      </c>
      <c r="C300" s="88">
        <f>IF($BE300=0,"",SUMIFS(Entries!$D$2:$D$5000,Entries!$C$2:$C$5000,"Actual",Entries!$A$2:$A$5000,$A300))</f>
        <v/>
      </c>
      <c r="D300" s="88">
        <f>IF($BE300=0,"",SUMIFS(Entries!$D$2:$D$5000,Entries!$C$2:$C$5000,"One-off",Entries!$A$2:$A$5000,$A300))</f>
        <v/>
      </c>
      <c r="E300" s="88">
        <f>IF($BE300=0,NA(),C300+D300)</f>
        <v/>
      </c>
      <c r="F300" s="88">
        <f>IF($BE300=0,"",SUM(AJ300:BC300))</f>
        <v/>
      </c>
      <c r="G300" s="88">
        <f>IF($BE300=0,"",B300-E300)</f>
        <v/>
      </c>
      <c r="H300" s="88">
        <f>IF($BE300=0,"",SUM($G$2:G300))</f>
        <v/>
      </c>
      <c r="I300" s="88">
        <f>IF($BE300=0,"",SUMIFS(Entries!$F$2:$F$5000,Entries!$A$2:$A$5000,$A300))</f>
        <v/>
      </c>
      <c r="J300" s="88">
        <f>IF($BE300=0,NA(),H300+SUM($I$2:I300))</f>
        <v/>
      </c>
      <c r="K300" s="88">
        <f>IF($BE300=0,"",SUMIFS(Entries!$D$2:$D$5000,Entries!$C$2:$C$5000,"Income",Entries!$A$2:$A$5000,"&gt;="&amp;EDATE($A300,-11),Entries!$A$2:$A$5000,"&lt;="&amp;$A300)/12)</f>
        <v/>
      </c>
      <c r="L300" s="88">
        <f>IF($BE300=0,"",(SUMIFS(Entries!$D$2:$D$5000,Entries!$C$2:$C$5000,"Actual",Entries!$A$2:$A$5000,"&gt;="&amp;EDATE($A300,-11),Entries!$A$2:$A$5000,"&lt;="&amp;$A300)+SUMIFS(Entries!$D$2:$D$5000,Entries!$C$2:$C$5000,"One-off",Entries!$A$2:$A$5000,"&gt;="&amp;EDATE($A300,-11),Entries!$A$2:$A$5000,"&lt;="&amp;$A300))/12)</f>
        <v/>
      </c>
      <c r="M300" s="71">
        <f>IF($BE300=0,NA(),IFERROR((K300-L300)/K300,0))</f>
        <v/>
      </c>
      <c r="O300" s="88">
        <f>IF(OR(O$1="",$BE300=0),"",SUMIFS(Entries!$D$2:$D$5000,Entries!$C$2:$C$5000,"Actual",Entries!$A$2:$A$5000,$A300,Entries!$B$2:$B$5000,O$1))</f>
        <v/>
      </c>
      <c r="P300" s="88">
        <f>IF(OR(P$1="",$BE300=0),"",SUMIFS(Entries!$D$2:$D$5000,Entries!$C$2:$C$5000,"Actual",Entries!$A$2:$A$5000,$A300,Entries!$B$2:$B$5000,P$1))</f>
        <v/>
      </c>
      <c r="Q300" s="88">
        <f>IF(OR(Q$1="",$BE300=0),"",SUMIFS(Entries!$D$2:$D$5000,Entries!$C$2:$C$5000,"Actual",Entries!$A$2:$A$5000,$A300,Entries!$B$2:$B$5000,Q$1))</f>
        <v/>
      </c>
      <c r="R300" s="88">
        <f>IF(OR(R$1="",$BE300=0),"",SUMIFS(Entries!$D$2:$D$5000,Entries!$C$2:$C$5000,"Actual",Entries!$A$2:$A$5000,$A300,Entries!$B$2:$B$5000,R$1))</f>
        <v/>
      </c>
      <c r="S300" s="88">
        <f>IF(OR(S$1="",$BE300=0),"",SUMIFS(Entries!$D$2:$D$5000,Entries!$C$2:$C$5000,"Actual",Entries!$A$2:$A$5000,$A300,Entries!$B$2:$B$5000,S$1))</f>
        <v/>
      </c>
      <c r="T300" s="88">
        <f>IF(OR(T$1="",$BE300=0),"",SUMIFS(Entries!$D$2:$D$5000,Entries!$C$2:$C$5000,"Actual",Entries!$A$2:$A$5000,$A300,Entries!$B$2:$B$5000,T$1))</f>
        <v/>
      </c>
      <c r="U300" s="88">
        <f>IF(OR(U$1="",$BE300=0),"",SUMIFS(Entries!$D$2:$D$5000,Entries!$C$2:$C$5000,"Actual",Entries!$A$2:$A$5000,$A300,Entries!$B$2:$B$5000,U$1))</f>
        <v/>
      </c>
      <c r="V300" s="88">
        <f>IF(OR(V$1="",$BE300=0),"",SUMIFS(Entries!$D$2:$D$5000,Entries!$C$2:$C$5000,"Actual",Entries!$A$2:$A$5000,$A300,Entries!$B$2:$B$5000,V$1))</f>
        <v/>
      </c>
      <c r="W300" s="88">
        <f>IF(OR(W$1="",$BE300=0),"",SUMIFS(Entries!$D$2:$D$5000,Entries!$C$2:$C$5000,"Actual",Entries!$A$2:$A$5000,$A300,Entries!$B$2:$B$5000,W$1))</f>
        <v/>
      </c>
      <c r="X300" s="88">
        <f>IF(OR(X$1="",$BE300=0),"",SUMIFS(Entries!$D$2:$D$5000,Entries!$C$2:$C$5000,"Actual",Entries!$A$2:$A$5000,$A300,Entries!$B$2:$B$5000,X$1))</f>
        <v/>
      </c>
      <c r="Y300" s="88">
        <f>IF(OR(Y$1="",$BE300=0),"",SUMIFS(Entries!$D$2:$D$5000,Entries!$C$2:$C$5000,"Actual",Entries!$A$2:$A$5000,$A300,Entries!$B$2:$B$5000,Y$1))</f>
        <v/>
      </c>
      <c r="Z300" s="88">
        <f>IF(OR(Z$1="",$BE300=0),"",SUMIFS(Entries!$D$2:$D$5000,Entries!$C$2:$C$5000,"Actual",Entries!$A$2:$A$5000,$A300,Entries!$B$2:$B$5000,Z$1))</f>
        <v/>
      </c>
      <c r="AA300" s="88">
        <f>IF(OR(AA$1="",$BE300=0),"",SUMIFS(Entries!$D$2:$D$5000,Entries!$C$2:$C$5000,"Actual",Entries!$A$2:$A$5000,$A300,Entries!$B$2:$B$5000,AA$1))</f>
        <v/>
      </c>
      <c r="AB300" s="88">
        <f>IF(OR(AB$1="",$BE300=0),"",SUMIFS(Entries!$D$2:$D$5000,Entries!$C$2:$C$5000,"Actual",Entries!$A$2:$A$5000,$A300,Entries!$B$2:$B$5000,AB$1))</f>
        <v/>
      </c>
      <c r="AC300" s="88">
        <f>IF(OR(AC$1="",$BE300=0),"",SUMIFS(Entries!$D$2:$D$5000,Entries!$C$2:$C$5000,"Actual",Entries!$A$2:$A$5000,$A300,Entries!$B$2:$B$5000,AC$1))</f>
        <v/>
      </c>
      <c r="AD300" s="88">
        <f>IF(OR(AD$1="",$BE300=0),"",SUMIFS(Entries!$D$2:$D$5000,Entries!$C$2:$C$5000,"Actual",Entries!$A$2:$A$5000,$A300,Entries!$B$2:$B$5000,AD$1))</f>
        <v/>
      </c>
      <c r="AE300" s="88">
        <f>IF(OR(AE$1="",$BE300=0),"",SUMIFS(Entries!$D$2:$D$5000,Entries!$C$2:$C$5000,"Actual",Entries!$A$2:$A$5000,$A300,Entries!$B$2:$B$5000,AE$1))</f>
        <v/>
      </c>
      <c r="AF300" s="88">
        <f>IF(OR(AF$1="",$BE300=0),"",SUMIFS(Entries!$D$2:$D$5000,Entries!$C$2:$C$5000,"Actual",Entries!$A$2:$A$5000,$A300,Entries!$B$2:$B$5000,AF$1))</f>
        <v/>
      </c>
      <c r="AG300" s="88">
        <f>IF(OR(AG$1="",$BE300=0),"",SUMIFS(Entries!$D$2:$D$5000,Entries!$C$2:$C$5000,"Actual",Entries!$A$2:$A$5000,$A300,Entries!$B$2:$B$5000,AG$1))</f>
        <v/>
      </c>
      <c r="AH300" s="88">
        <f>IF(OR(AH$1="",$BE300=0),"",SUMIFS(Entries!$D$2:$D$5000,Entries!$C$2:$C$5000,"Actual",Entries!$A$2:$A$5000,$A300,Entries!$B$2:$B$5000,AH$1))</f>
        <v/>
      </c>
      <c r="AJ300" s="88">
        <f>IF(OR(AJ$1="",$BE300=0),"",IFERROR(LOOKUP(2,1/((Budgets!$A$2:$A$200=AJ$1)*(Budgets!$B$2:$B$200&lt;=$A300)),Budgets!$C$2:$C$200),0))</f>
        <v/>
      </c>
      <c r="AK300" s="88">
        <f>IF(OR(AK$1="",$BE300=0),"",IFERROR(LOOKUP(2,1/((Budgets!$A$2:$A$200=AK$1)*(Budgets!$B$2:$B$200&lt;=$A300)),Budgets!$C$2:$C$200),0))</f>
        <v/>
      </c>
      <c r="AL300" s="88">
        <f>IF(OR(AL$1="",$BE300=0),"",IFERROR(LOOKUP(2,1/((Budgets!$A$2:$A$200=AL$1)*(Budgets!$B$2:$B$200&lt;=$A300)),Budgets!$C$2:$C$200),0))</f>
        <v/>
      </c>
      <c r="AM300" s="88">
        <f>IF(OR(AM$1="",$BE300=0),"",IFERROR(LOOKUP(2,1/((Budgets!$A$2:$A$200=AM$1)*(Budgets!$B$2:$B$200&lt;=$A300)),Budgets!$C$2:$C$200),0))</f>
        <v/>
      </c>
      <c r="AN300" s="88">
        <f>IF(OR(AN$1="",$BE300=0),"",IFERROR(LOOKUP(2,1/((Budgets!$A$2:$A$200=AN$1)*(Budgets!$B$2:$B$200&lt;=$A300)),Budgets!$C$2:$C$200),0))</f>
        <v/>
      </c>
      <c r="AO300" s="88">
        <f>IF(OR(AO$1="",$BE300=0),"",IFERROR(LOOKUP(2,1/((Budgets!$A$2:$A$200=AO$1)*(Budgets!$B$2:$B$200&lt;=$A300)),Budgets!$C$2:$C$200),0))</f>
        <v/>
      </c>
      <c r="AP300" s="88">
        <f>IF(OR(AP$1="",$BE300=0),"",IFERROR(LOOKUP(2,1/((Budgets!$A$2:$A$200=AP$1)*(Budgets!$B$2:$B$200&lt;=$A300)),Budgets!$C$2:$C$200),0))</f>
        <v/>
      </c>
      <c r="AQ300" s="88">
        <f>IF(OR(AQ$1="",$BE300=0),"",IFERROR(LOOKUP(2,1/((Budgets!$A$2:$A$200=AQ$1)*(Budgets!$B$2:$B$200&lt;=$A300)),Budgets!$C$2:$C$200),0))</f>
        <v/>
      </c>
      <c r="AR300" s="88">
        <f>IF(OR(AR$1="",$BE300=0),"",IFERROR(LOOKUP(2,1/((Budgets!$A$2:$A$200=AR$1)*(Budgets!$B$2:$B$200&lt;=$A300)),Budgets!$C$2:$C$200),0))</f>
        <v/>
      </c>
      <c r="AS300" s="88">
        <f>IF(OR(AS$1="",$BE300=0),"",IFERROR(LOOKUP(2,1/((Budgets!$A$2:$A$200=AS$1)*(Budgets!$B$2:$B$200&lt;=$A300)),Budgets!$C$2:$C$200),0))</f>
        <v/>
      </c>
      <c r="AT300" s="88">
        <f>IF(OR(AT$1="",$BE300=0),"",IFERROR(LOOKUP(2,1/((Budgets!$A$2:$A$200=AT$1)*(Budgets!$B$2:$B$200&lt;=$A300)),Budgets!$C$2:$C$200),0))</f>
        <v/>
      </c>
      <c r="AU300" s="88">
        <f>IF(OR(AU$1="",$BE300=0),"",IFERROR(LOOKUP(2,1/((Budgets!$A$2:$A$200=AU$1)*(Budgets!$B$2:$B$200&lt;=$A300)),Budgets!$C$2:$C$200),0))</f>
        <v/>
      </c>
      <c r="AV300" s="88">
        <f>IF(OR(AV$1="",$BE300=0),"",IFERROR(LOOKUP(2,1/((Budgets!$A$2:$A$200=AV$1)*(Budgets!$B$2:$B$200&lt;=$A300)),Budgets!$C$2:$C$200),0))</f>
        <v/>
      </c>
      <c r="AW300" s="88">
        <f>IF(OR(AW$1="",$BE300=0),"",IFERROR(LOOKUP(2,1/((Budgets!$A$2:$A$200=AW$1)*(Budgets!$B$2:$B$200&lt;=$A300)),Budgets!$C$2:$C$200),0))</f>
        <v/>
      </c>
      <c r="AX300" s="88">
        <f>IF(OR(AX$1="",$BE300=0),"",IFERROR(LOOKUP(2,1/((Budgets!$A$2:$A$200=AX$1)*(Budgets!$B$2:$B$200&lt;=$A300)),Budgets!$C$2:$C$200),0))</f>
        <v/>
      </c>
      <c r="AY300" s="88">
        <f>IF(OR(AY$1="",$BE300=0),"",IFERROR(LOOKUP(2,1/((Budgets!$A$2:$A$200=AY$1)*(Budgets!$B$2:$B$200&lt;=$A300)),Budgets!$C$2:$C$200),0))</f>
        <v/>
      </c>
      <c r="AZ300" s="88">
        <f>IF(OR(AZ$1="",$BE300=0),"",IFERROR(LOOKUP(2,1/((Budgets!$A$2:$A$200=AZ$1)*(Budgets!$B$2:$B$200&lt;=$A300)),Budgets!$C$2:$C$200),0))</f>
        <v/>
      </c>
      <c r="BA300" s="88">
        <f>IF(OR(BA$1="",$BE300=0),"",IFERROR(LOOKUP(2,1/((Budgets!$A$2:$A$200=BA$1)*(Budgets!$B$2:$B$200&lt;=$A300)),Budgets!$C$2:$C$200),0))</f>
        <v/>
      </c>
      <c r="BB300" s="88">
        <f>IF(OR(BB$1="",$BE300=0),"",IFERROR(LOOKUP(2,1/((Budgets!$A$2:$A$200=BB$1)*(Budgets!$B$2:$B$200&lt;=$A300)),Budgets!$C$2:$C$200),0))</f>
        <v/>
      </c>
      <c r="BC300" s="88">
        <f>IF(OR(BC$1="",$BE300=0),"",IFERROR(LOOKUP(2,1/((Budgets!$A$2:$A$200=BC$1)*(Budgets!$B$2:$B$200&lt;=$A300)),Budgets!$C$2:$C$200),0))</f>
        <v/>
      </c>
      <c r="BE300" s="67">
        <f>COUNTIFS(Entries!$A$2:$A$5000,$A300)</f>
        <v/>
      </c>
    </row>
    <row r="301" ht="15" customHeight="1" s="43">
      <c r="A301" s="87" t="n">
        <v>48549</v>
      </c>
      <c r="B301" s="88">
        <f>IF($BE301=0,NA(),SUMIFS(Entries!$D$2:$D$5000,Entries!$C$2:$C$5000,"Income",Entries!$A$2:$A$5000,$A301))</f>
        <v/>
      </c>
      <c r="C301" s="88">
        <f>IF($BE301=0,"",SUMIFS(Entries!$D$2:$D$5000,Entries!$C$2:$C$5000,"Actual",Entries!$A$2:$A$5000,$A301))</f>
        <v/>
      </c>
      <c r="D301" s="88">
        <f>IF($BE301=0,"",SUMIFS(Entries!$D$2:$D$5000,Entries!$C$2:$C$5000,"One-off",Entries!$A$2:$A$5000,$A301))</f>
        <v/>
      </c>
      <c r="E301" s="88">
        <f>IF($BE301=0,NA(),C301+D301)</f>
        <v/>
      </c>
      <c r="F301" s="88">
        <f>IF($BE301=0,"",SUM(AJ301:BC301))</f>
        <v/>
      </c>
      <c r="G301" s="88">
        <f>IF($BE301=0,"",B301-E301)</f>
        <v/>
      </c>
      <c r="H301" s="88">
        <f>IF($BE301=0,"",SUM($G$2:G301))</f>
        <v/>
      </c>
      <c r="I301" s="88">
        <f>IF($BE301=0,"",SUMIFS(Entries!$F$2:$F$5000,Entries!$A$2:$A$5000,$A301))</f>
        <v/>
      </c>
      <c r="J301" s="88">
        <f>IF($BE301=0,NA(),H301+SUM($I$2:I301))</f>
        <v/>
      </c>
      <c r="K301" s="88">
        <f>IF($BE301=0,"",SUMIFS(Entries!$D$2:$D$5000,Entries!$C$2:$C$5000,"Income",Entries!$A$2:$A$5000,"&gt;="&amp;EDATE($A301,-11),Entries!$A$2:$A$5000,"&lt;="&amp;$A301)/12)</f>
        <v/>
      </c>
      <c r="L301" s="88">
        <f>IF($BE301=0,"",(SUMIFS(Entries!$D$2:$D$5000,Entries!$C$2:$C$5000,"Actual",Entries!$A$2:$A$5000,"&gt;="&amp;EDATE($A301,-11),Entries!$A$2:$A$5000,"&lt;="&amp;$A301)+SUMIFS(Entries!$D$2:$D$5000,Entries!$C$2:$C$5000,"One-off",Entries!$A$2:$A$5000,"&gt;="&amp;EDATE($A301,-11),Entries!$A$2:$A$5000,"&lt;="&amp;$A301))/12)</f>
        <v/>
      </c>
      <c r="M301" s="71">
        <f>IF($BE301=0,NA(),IFERROR((K301-L301)/K301,0))</f>
        <v/>
      </c>
      <c r="O301" s="88">
        <f>IF(OR(O$1="",$BE301=0),"",SUMIFS(Entries!$D$2:$D$5000,Entries!$C$2:$C$5000,"Actual",Entries!$A$2:$A$5000,$A301,Entries!$B$2:$B$5000,O$1))</f>
        <v/>
      </c>
      <c r="P301" s="88">
        <f>IF(OR(P$1="",$BE301=0),"",SUMIFS(Entries!$D$2:$D$5000,Entries!$C$2:$C$5000,"Actual",Entries!$A$2:$A$5000,$A301,Entries!$B$2:$B$5000,P$1))</f>
        <v/>
      </c>
      <c r="Q301" s="88">
        <f>IF(OR(Q$1="",$BE301=0),"",SUMIFS(Entries!$D$2:$D$5000,Entries!$C$2:$C$5000,"Actual",Entries!$A$2:$A$5000,$A301,Entries!$B$2:$B$5000,Q$1))</f>
        <v/>
      </c>
      <c r="R301" s="88">
        <f>IF(OR(R$1="",$BE301=0),"",SUMIFS(Entries!$D$2:$D$5000,Entries!$C$2:$C$5000,"Actual",Entries!$A$2:$A$5000,$A301,Entries!$B$2:$B$5000,R$1))</f>
        <v/>
      </c>
      <c r="S301" s="88">
        <f>IF(OR(S$1="",$BE301=0),"",SUMIFS(Entries!$D$2:$D$5000,Entries!$C$2:$C$5000,"Actual",Entries!$A$2:$A$5000,$A301,Entries!$B$2:$B$5000,S$1))</f>
        <v/>
      </c>
      <c r="T301" s="88">
        <f>IF(OR(T$1="",$BE301=0),"",SUMIFS(Entries!$D$2:$D$5000,Entries!$C$2:$C$5000,"Actual",Entries!$A$2:$A$5000,$A301,Entries!$B$2:$B$5000,T$1))</f>
        <v/>
      </c>
      <c r="U301" s="88">
        <f>IF(OR(U$1="",$BE301=0),"",SUMIFS(Entries!$D$2:$D$5000,Entries!$C$2:$C$5000,"Actual",Entries!$A$2:$A$5000,$A301,Entries!$B$2:$B$5000,U$1))</f>
        <v/>
      </c>
      <c r="V301" s="88">
        <f>IF(OR(V$1="",$BE301=0),"",SUMIFS(Entries!$D$2:$D$5000,Entries!$C$2:$C$5000,"Actual",Entries!$A$2:$A$5000,$A301,Entries!$B$2:$B$5000,V$1))</f>
        <v/>
      </c>
      <c r="W301" s="88">
        <f>IF(OR(W$1="",$BE301=0),"",SUMIFS(Entries!$D$2:$D$5000,Entries!$C$2:$C$5000,"Actual",Entries!$A$2:$A$5000,$A301,Entries!$B$2:$B$5000,W$1))</f>
        <v/>
      </c>
      <c r="X301" s="88">
        <f>IF(OR(X$1="",$BE301=0),"",SUMIFS(Entries!$D$2:$D$5000,Entries!$C$2:$C$5000,"Actual",Entries!$A$2:$A$5000,$A301,Entries!$B$2:$B$5000,X$1))</f>
        <v/>
      </c>
      <c r="Y301" s="88">
        <f>IF(OR(Y$1="",$BE301=0),"",SUMIFS(Entries!$D$2:$D$5000,Entries!$C$2:$C$5000,"Actual",Entries!$A$2:$A$5000,$A301,Entries!$B$2:$B$5000,Y$1))</f>
        <v/>
      </c>
      <c r="Z301" s="88">
        <f>IF(OR(Z$1="",$BE301=0),"",SUMIFS(Entries!$D$2:$D$5000,Entries!$C$2:$C$5000,"Actual",Entries!$A$2:$A$5000,$A301,Entries!$B$2:$B$5000,Z$1))</f>
        <v/>
      </c>
      <c r="AA301" s="88">
        <f>IF(OR(AA$1="",$BE301=0),"",SUMIFS(Entries!$D$2:$D$5000,Entries!$C$2:$C$5000,"Actual",Entries!$A$2:$A$5000,$A301,Entries!$B$2:$B$5000,AA$1))</f>
        <v/>
      </c>
      <c r="AB301" s="88">
        <f>IF(OR(AB$1="",$BE301=0),"",SUMIFS(Entries!$D$2:$D$5000,Entries!$C$2:$C$5000,"Actual",Entries!$A$2:$A$5000,$A301,Entries!$B$2:$B$5000,AB$1))</f>
        <v/>
      </c>
      <c r="AC301" s="88">
        <f>IF(OR(AC$1="",$BE301=0),"",SUMIFS(Entries!$D$2:$D$5000,Entries!$C$2:$C$5000,"Actual",Entries!$A$2:$A$5000,$A301,Entries!$B$2:$B$5000,AC$1))</f>
        <v/>
      </c>
      <c r="AD301" s="88">
        <f>IF(OR(AD$1="",$BE301=0),"",SUMIFS(Entries!$D$2:$D$5000,Entries!$C$2:$C$5000,"Actual",Entries!$A$2:$A$5000,$A301,Entries!$B$2:$B$5000,AD$1))</f>
        <v/>
      </c>
      <c r="AE301" s="88">
        <f>IF(OR(AE$1="",$BE301=0),"",SUMIFS(Entries!$D$2:$D$5000,Entries!$C$2:$C$5000,"Actual",Entries!$A$2:$A$5000,$A301,Entries!$B$2:$B$5000,AE$1))</f>
        <v/>
      </c>
      <c r="AF301" s="88">
        <f>IF(OR(AF$1="",$BE301=0),"",SUMIFS(Entries!$D$2:$D$5000,Entries!$C$2:$C$5000,"Actual",Entries!$A$2:$A$5000,$A301,Entries!$B$2:$B$5000,AF$1))</f>
        <v/>
      </c>
      <c r="AG301" s="88">
        <f>IF(OR(AG$1="",$BE301=0),"",SUMIFS(Entries!$D$2:$D$5000,Entries!$C$2:$C$5000,"Actual",Entries!$A$2:$A$5000,$A301,Entries!$B$2:$B$5000,AG$1))</f>
        <v/>
      </c>
      <c r="AH301" s="88">
        <f>IF(OR(AH$1="",$BE301=0),"",SUMIFS(Entries!$D$2:$D$5000,Entries!$C$2:$C$5000,"Actual",Entries!$A$2:$A$5000,$A301,Entries!$B$2:$B$5000,AH$1))</f>
        <v/>
      </c>
      <c r="AJ301" s="88">
        <f>IF(OR(AJ$1="",$BE301=0),"",IFERROR(LOOKUP(2,1/((Budgets!$A$2:$A$200=AJ$1)*(Budgets!$B$2:$B$200&lt;=$A301)),Budgets!$C$2:$C$200),0))</f>
        <v/>
      </c>
      <c r="AK301" s="88">
        <f>IF(OR(AK$1="",$BE301=0),"",IFERROR(LOOKUP(2,1/((Budgets!$A$2:$A$200=AK$1)*(Budgets!$B$2:$B$200&lt;=$A301)),Budgets!$C$2:$C$200),0))</f>
        <v/>
      </c>
      <c r="AL301" s="88">
        <f>IF(OR(AL$1="",$BE301=0),"",IFERROR(LOOKUP(2,1/((Budgets!$A$2:$A$200=AL$1)*(Budgets!$B$2:$B$200&lt;=$A301)),Budgets!$C$2:$C$200),0))</f>
        <v/>
      </c>
      <c r="AM301" s="88">
        <f>IF(OR(AM$1="",$BE301=0),"",IFERROR(LOOKUP(2,1/((Budgets!$A$2:$A$200=AM$1)*(Budgets!$B$2:$B$200&lt;=$A301)),Budgets!$C$2:$C$200),0))</f>
        <v/>
      </c>
      <c r="AN301" s="88">
        <f>IF(OR(AN$1="",$BE301=0),"",IFERROR(LOOKUP(2,1/((Budgets!$A$2:$A$200=AN$1)*(Budgets!$B$2:$B$200&lt;=$A301)),Budgets!$C$2:$C$200),0))</f>
        <v/>
      </c>
      <c r="AO301" s="88">
        <f>IF(OR(AO$1="",$BE301=0),"",IFERROR(LOOKUP(2,1/((Budgets!$A$2:$A$200=AO$1)*(Budgets!$B$2:$B$200&lt;=$A301)),Budgets!$C$2:$C$200),0))</f>
        <v/>
      </c>
      <c r="AP301" s="88">
        <f>IF(OR(AP$1="",$BE301=0),"",IFERROR(LOOKUP(2,1/((Budgets!$A$2:$A$200=AP$1)*(Budgets!$B$2:$B$200&lt;=$A301)),Budgets!$C$2:$C$200),0))</f>
        <v/>
      </c>
      <c r="AQ301" s="88">
        <f>IF(OR(AQ$1="",$BE301=0),"",IFERROR(LOOKUP(2,1/((Budgets!$A$2:$A$200=AQ$1)*(Budgets!$B$2:$B$200&lt;=$A301)),Budgets!$C$2:$C$200),0))</f>
        <v/>
      </c>
      <c r="AR301" s="88">
        <f>IF(OR(AR$1="",$BE301=0),"",IFERROR(LOOKUP(2,1/((Budgets!$A$2:$A$200=AR$1)*(Budgets!$B$2:$B$200&lt;=$A301)),Budgets!$C$2:$C$200),0))</f>
        <v/>
      </c>
      <c r="AS301" s="88">
        <f>IF(OR(AS$1="",$BE301=0),"",IFERROR(LOOKUP(2,1/((Budgets!$A$2:$A$200=AS$1)*(Budgets!$B$2:$B$200&lt;=$A301)),Budgets!$C$2:$C$200),0))</f>
        <v/>
      </c>
      <c r="AT301" s="88">
        <f>IF(OR(AT$1="",$BE301=0),"",IFERROR(LOOKUP(2,1/((Budgets!$A$2:$A$200=AT$1)*(Budgets!$B$2:$B$200&lt;=$A301)),Budgets!$C$2:$C$200),0))</f>
        <v/>
      </c>
      <c r="AU301" s="88">
        <f>IF(OR(AU$1="",$BE301=0),"",IFERROR(LOOKUP(2,1/((Budgets!$A$2:$A$200=AU$1)*(Budgets!$B$2:$B$200&lt;=$A301)),Budgets!$C$2:$C$200),0))</f>
        <v/>
      </c>
      <c r="AV301" s="88">
        <f>IF(OR(AV$1="",$BE301=0),"",IFERROR(LOOKUP(2,1/((Budgets!$A$2:$A$200=AV$1)*(Budgets!$B$2:$B$200&lt;=$A301)),Budgets!$C$2:$C$200),0))</f>
        <v/>
      </c>
      <c r="AW301" s="88">
        <f>IF(OR(AW$1="",$BE301=0),"",IFERROR(LOOKUP(2,1/((Budgets!$A$2:$A$200=AW$1)*(Budgets!$B$2:$B$200&lt;=$A301)),Budgets!$C$2:$C$200),0))</f>
        <v/>
      </c>
      <c r="AX301" s="88">
        <f>IF(OR(AX$1="",$BE301=0),"",IFERROR(LOOKUP(2,1/((Budgets!$A$2:$A$200=AX$1)*(Budgets!$B$2:$B$200&lt;=$A301)),Budgets!$C$2:$C$200),0))</f>
        <v/>
      </c>
      <c r="AY301" s="88">
        <f>IF(OR(AY$1="",$BE301=0),"",IFERROR(LOOKUP(2,1/((Budgets!$A$2:$A$200=AY$1)*(Budgets!$B$2:$B$200&lt;=$A301)),Budgets!$C$2:$C$200),0))</f>
        <v/>
      </c>
      <c r="AZ301" s="88">
        <f>IF(OR(AZ$1="",$BE301=0),"",IFERROR(LOOKUP(2,1/((Budgets!$A$2:$A$200=AZ$1)*(Budgets!$B$2:$B$200&lt;=$A301)),Budgets!$C$2:$C$200),0))</f>
        <v/>
      </c>
      <c r="BA301" s="88">
        <f>IF(OR(BA$1="",$BE301=0),"",IFERROR(LOOKUP(2,1/((Budgets!$A$2:$A$200=BA$1)*(Budgets!$B$2:$B$200&lt;=$A301)),Budgets!$C$2:$C$200),0))</f>
        <v/>
      </c>
      <c r="BB301" s="88">
        <f>IF(OR(BB$1="",$BE301=0),"",IFERROR(LOOKUP(2,1/((Budgets!$A$2:$A$200=BB$1)*(Budgets!$B$2:$B$200&lt;=$A301)),Budgets!$C$2:$C$200),0))</f>
        <v/>
      </c>
      <c r="BC301" s="88">
        <f>IF(OR(BC$1="",$BE301=0),"",IFERROR(LOOKUP(2,1/((Budgets!$A$2:$A$200=BC$1)*(Budgets!$B$2:$B$200&lt;=$A301)),Budgets!$C$2:$C$200),0))</f>
        <v/>
      </c>
      <c r="BE301" s="67">
        <f>COUNTIFS(Entries!$A$2:$A$5000,$A301)</f>
        <v/>
      </c>
    </row>
  </sheetData>
  <sheetProtection selectLockedCells="0" selectUnlockedCells="0" sheet="1" objects="0" insertRows="1" insertHyperlinks="1" autoFilter="1" scenarios="0" formatColumns="1" deleteColumns="1" insertColumns="1" pivotTables="1" deleteRows="1" formatCells="0" formatRows="1" sort="1"/>
  <conditionalFormatting sqref="B2:B301">
    <cfRule type="expression" rank="0" priority="2" equalAverage="0" aboveAverage="0" dxfId="0" text="" percent="0" bottom="0">
      <formula>ISNA(B2)</formula>
    </cfRule>
    <cfRule type="expression" rank="0" priority="3" equalAverage="0" aboveAverage="0" dxfId="0" text="" percent="0" bottom="0">
      <formula>ISNA(B2)</formula>
    </cfRule>
    <cfRule type="expression" priority="9" dxfId="8">
      <formula>ISNA(B2)</formula>
    </cfRule>
    <cfRule type="expression" priority="13" dxfId="8">
      <formula>ISNA(B2)</formula>
    </cfRule>
    <cfRule type="expression" priority="17" dxfId="8">
      <formula>ISNA(B2)</formula>
    </cfRule>
  </conditionalFormatting>
  <conditionalFormatting sqref="E2:E301">
    <cfRule type="expression" rank="0" priority="4" equalAverage="0" aboveAverage="0" dxfId="0" text="" percent="0" bottom="0">
      <formula>ISNA(E2)</formula>
    </cfRule>
    <cfRule type="expression" rank="0" priority="5" equalAverage="0" aboveAverage="0" dxfId="0" text="" percent="0" bottom="0">
      <formula>ISNA(E2)</formula>
    </cfRule>
    <cfRule type="expression" priority="10" dxfId="8">
      <formula>ISNA(E2)</formula>
    </cfRule>
    <cfRule type="expression" priority="14" dxfId="8">
      <formula>ISNA(E2)</formula>
    </cfRule>
    <cfRule type="expression" priority="18" dxfId="8">
      <formula>ISNA(E2)</formula>
    </cfRule>
  </conditionalFormatting>
  <conditionalFormatting sqref="J2:J301">
    <cfRule type="expression" rank="0" priority="6" equalAverage="0" aboveAverage="0" dxfId="0" text="" percent="0" bottom="0">
      <formula>ISNA(J2)</formula>
    </cfRule>
    <cfRule type="expression" rank="0" priority="7" equalAverage="0" aboveAverage="0" dxfId="0" text="" percent="0" bottom="0">
      <formula>ISNA(J2)</formula>
    </cfRule>
    <cfRule type="expression" priority="11" dxfId="8">
      <formula>ISNA(J2)</formula>
    </cfRule>
    <cfRule type="expression" priority="15" dxfId="8">
      <formula>ISNA(J2)</formula>
    </cfRule>
    <cfRule type="expression" priority="19" dxfId="8">
      <formula>ISNA(J2)</formula>
    </cfRule>
  </conditionalFormatting>
  <conditionalFormatting sqref="M2:M301">
    <cfRule type="expression" rank="0" priority="8" equalAverage="0" aboveAverage="0" dxfId="0" text="" percent="0" bottom="0">
      <formula>ISNA(M2)</formula>
    </cfRule>
    <cfRule type="expression" rank="0" priority="9" equalAverage="0" aboveAverage="0" dxfId="0" text="" percent="0" bottom="0">
      <formula>ISNA(M2)</formula>
    </cfRule>
    <cfRule type="expression" priority="12" dxfId="8">
      <formula>ISNA(M2)</formula>
    </cfRule>
    <cfRule type="expression" priority="16" dxfId="8">
      <formula>ISNA(M2)</formula>
    </cfRule>
    <cfRule type="expression" priority="20" dxfId="8">
      <formula>ISNA(M2)</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00548235"/>
    <outlinePr summaryBelow="1" summaryRight="1"/>
    <pageSetUpPr fitToPage="0"/>
  </sheetPr>
  <dimension ref="A1:F108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42" min="1" max="1"/>
    <col width="20" customWidth="1" style="42" min="2" max="2"/>
    <col width="10" customWidth="1" style="42" min="3" max="3"/>
    <col width="13" customWidth="1" style="42" min="4" max="4"/>
    <col width="42" customWidth="1" style="42" min="5" max="5"/>
    <col width="13" customWidth="1" style="42" min="6" max="6"/>
  </cols>
  <sheetData>
    <row r="1" ht="15" customHeight="1" s="43">
      <c r="A1" s="72" t="inlineStr">
        <is>
          <t>Date</t>
        </is>
      </c>
      <c r="B1" s="72" t="inlineStr">
        <is>
          <t>Category</t>
        </is>
      </c>
      <c r="C1" s="72" t="inlineStr">
        <is>
          <t>Type</t>
        </is>
      </c>
      <c r="D1" s="72" t="inlineStr">
        <is>
          <t>Amount</t>
        </is>
      </c>
      <c r="E1" s="72" t="inlineStr">
        <is>
          <t>Note</t>
        </is>
      </c>
      <c r="F1" s="72" t="inlineStr">
        <is>
          <t>Capital (auto)</t>
        </is>
      </c>
    </row>
    <row r="2" ht="15" customHeight="1" s="43">
      <c r="A2" s="89" t="n">
        <v>39448</v>
      </c>
      <c r="B2" s="90" t="inlineStr">
        <is>
          <t>Interest</t>
        </is>
      </c>
      <c r="C2" s="90" t="inlineStr">
        <is>
          <t>Income</t>
        </is>
      </c>
      <c r="D2" s="91" t="n">
        <v>20</v>
      </c>
      <c r="F2" s="92">
        <f>IF(AND(C2="One-off",IFERROR(INDEX(Categories!$C$2:$C$200,MATCH(B2,Categories!$A$2:$A$200,0)),"N")="Y"),D2,0)</f>
        <v/>
      </c>
    </row>
    <row r="3" ht="15" customHeight="1" s="43">
      <c r="A3" s="89" t="n">
        <v>39448</v>
      </c>
      <c r="B3" s="90" t="inlineStr">
        <is>
          <t>Salary</t>
        </is>
      </c>
      <c r="C3" s="90" t="inlineStr">
        <is>
          <t>Income</t>
        </is>
      </c>
      <c r="D3" s="91" t="n">
        <v>3000</v>
      </c>
      <c r="F3" s="92">
        <f>IF(AND(C3="One-off",IFERROR(INDEX(Categories!$C$2:$C$200,MATCH(B3,Categories!$A$2:$A$200,0)),"N")="Y"),D3,0)</f>
        <v/>
      </c>
    </row>
    <row r="4" ht="15" customHeight="1" s="43">
      <c r="A4" s="89" t="n">
        <v>39448</v>
      </c>
      <c r="B4" s="90" t="inlineStr">
        <is>
          <t>Uncategorised</t>
        </is>
      </c>
      <c r="C4" s="90" t="inlineStr">
        <is>
          <t>Actual</t>
        </is>
      </c>
      <c r="D4" s="91" t="n">
        <v>2000</v>
      </c>
      <c r="E4" s="93" t="inlineStr">
        <is>
          <t>Historical monthly total (pre per-category tracking)</t>
        </is>
      </c>
      <c r="F4" s="92">
        <f>IF(AND(C4="One-off",IFERROR(INDEX(Categories!$C$2:$C$200,MATCH(B4,Categories!$A$2:$A$200,0)),"N")="Y"),D4,0)</f>
        <v/>
      </c>
    </row>
    <row r="5" ht="15" customHeight="1" s="43">
      <c r="A5" s="89" t="n">
        <v>39479</v>
      </c>
      <c r="B5" s="90" t="inlineStr">
        <is>
          <t>Interest</t>
        </is>
      </c>
      <c r="C5" s="90" t="inlineStr">
        <is>
          <t>Income</t>
        </is>
      </c>
      <c r="D5" s="91" t="n">
        <v>20</v>
      </c>
      <c r="F5" s="92">
        <f>IF(AND(C5="One-off",IFERROR(INDEX(Categories!$C$2:$C$200,MATCH(B5,Categories!$A$2:$A$200,0)),"N")="Y"),D5,0)</f>
        <v/>
      </c>
    </row>
    <row r="6" ht="15" customHeight="1" s="43">
      <c r="A6" s="89" t="n">
        <v>39479</v>
      </c>
      <c r="B6" s="90" t="inlineStr">
        <is>
          <t>Salary</t>
        </is>
      </c>
      <c r="C6" s="90" t="inlineStr">
        <is>
          <t>Income</t>
        </is>
      </c>
      <c r="D6" s="91" t="n">
        <v>3050</v>
      </c>
      <c r="F6" s="92">
        <f>IF(AND(C6="One-off",IFERROR(INDEX(Categories!$C$2:$C$200,MATCH(B6,Categories!$A$2:$A$200,0)),"N")="Y"),D6,0)</f>
        <v/>
      </c>
    </row>
    <row r="7" ht="15" customHeight="1" s="43">
      <c r="A7" s="89" t="n">
        <v>39479</v>
      </c>
      <c r="B7" s="90" t="inlineStr">
        <is>
          <t>Uncategorised</t>
        </is>
      </c>
      <c r="C7" s="90" t="inlineStr">
        <is>
          <t>Actual</t>
        </is>
      </c>
      <c r="D7" s="91" t="n">
        <v>2120</v>
      </c>
      <c r="E7" s="94" t="inlineStr">
        <is>
          <t>Historical monthly total (pre per-category tracking)</t>
        </is>
      </c>
      <c r="F7" s="92">
        <f>IF(AND(C7="One-off",IFERROR(INDEX(Categories!$C$2:$C$200,MATCH(B7,Categories!$A$2:$A$200,0)),"N")="Y"),D7,0)</f>
        <v/>
      </c>
    </row>
    <row r="8" ht="15" customHeight="1" s="43">
      <c r="A8" s="89" t="n">
        <v>39508</v>
      </c>
      <c r="B8" s="90" t="inlineStr">
        <is>
          <t>Dividends</t>
        </is>
      </c>
      <c r="C8" s="90" t="inlineStr">
        <is>
          <t>Income</t>
        </is>
      </c>
      <c r="D8" s="91" t="n">
        <v>150</v>
      </c>
      <c r="E8" s="77" t="n"/>
      <c r="F8" s="92">
        <f>IF(AND(C8="One-off",IFERROR(INDEX(Categories!$C$2:$C$200,MATCH(B8,Categories!$A$2:$A$200,0)),"N")="Y"),D8,0)</f>
        <v/>
      </c>
    </row>
    <row r="9" ht="15" customHeight="1" s="43">
      <c r="A9" s="89" t="n">
        <v>39508</v>
      </c>
      <c r="B9" s="90" t="inlineStr">
        <is>
          <t>Interest</t>
        </is>
      </c>
      <c r="C9" s="90" t="inlineStr">
        <is>
          <t>Income</t>
        </is>
      </c>
      <c r="D9" s="91" t="n">
        <v>20</v>
      </c>
      <c r="F9" s="92">
        <f>IF(AND(C9="One-off",IFERROR(INDEX(Categories!$C$2:$C$200,MATCH(B9,Categories!$A$2:$A$200,0)),"N")="Y"),D9,0)</f>
        <v/>
      </c>
    </row>
    <row r="10" ht="15" customHeight="1" s="43">
      <c r="A10" s="89" t="n">
        <v>39508</v>
      </c>
      <c r="B10" s="90" t="inlineStr">
        <is>
          <t>Salary</t>
        </is>
      </c>
      <c r="C10" s="90" t="inlineStr">
        <is>
          <t>Income</t>
        </is>
      </c>
      <c r="D10" s="91" t="n">
        <v>3100</v>
      </c>
      <c r="F10" s="92">
        <f>IF(AND(C10="One-off",IFERROR(INDEX(Categories!$C$2:$C$200,MATCH(B10,Categories!$A$2:$A$200,0)),"N")="Y"),D10,0)</f>
        <v/>
      </c>
    </row>
    <row r="11" ht="15" customHeight="1" s="43">
      <c r="A11" s="89" t="n">
        <v>39508</v>
      </c>
      <c r="B11" s="90" t="inlineStr">
        <is>
          <t>Uncategorised</t>
        </is>
      </c>
      <c r="C11" s="90" t="inlineStr">
        <is>
          <t>Actual</t>
        </is>
      </c>
      <c r="D11" s="91" t="n">
        <v>2240</v>
      </c>
      <c r="E11" s="94" t="inlineStr">
        <is>
          <t>Historical monthly total (pre per-category tracking)</t>
        </is>
      </c>
      <c r="F11" s="92">
        <f>IF(AND(C11="One-off",IFERROR(INDEX(Categories!$C$2:$C$200,MATCH(B11,Categories!$A$2:$A$200,0)),"N")="Y"),D11,0)</f>
        <v/>
      </c>
    </row>
    <row r="12" ht="15" customHeight="1" s="43">
      <c r="A12" s="89" t="n">
        <v>39539</v>
      </c>
      <c r="B12" s="90" t="inlineStr">
        <is>
          <t>Interest</t>
        </is>
      </c>
      <c r="C12" s="90" t="inlineStr">
        <is>
          <t>Income</t>
        </is>
      </c>
      <c r="D12" s="91" t="n">
        <v>20</v>
      </c>
      <c r="F12" s="92">
        <f>IF(AND(C12="One-off",IFERROR(INDEX(Categories!$C$2:$C$200,MATCH(B12,Categories!$A$2:$A$200,0)),"N")="Y"),D12,0)</f>
        <v/>
      </c>
    </row>
    <row r="13" ht="15" customHeight="1" s="43">
      <c r="A13" s="89" t="n">
        <v>39539</v>
      </c>
      <c r="B13" s="90" t="inlineStr">
        <is>
          <t>Salary</t>
        </is>
      </c>
      <c r="C13" s="90" t="inlineStr">
        <is>
          <t>Income</t>
        </is>
      </c>
      <c r="D13" s="91" t="n">
        <v>3150</v>
      </c>
      <c r="E13" s="77" t="n"/>
      <c r="F13" s="92">
        <f>IF(AND(C13="One-off",IFERROR(INDEX(Categories!$C$2:$C$200,MATCH(B13,Categories!$A$2:$A$200,0)),"N")="Y"),D13,0)</f>
        <v/>
      </c>
    </row>
    <row r="14" ht="15" customHeight="1" s="43">
      <c r="A14" s="89" t="n">
        <v>39539</v>
      </c>
      <c r="B14" s="90" t="inlineStr">
        <is>
          <t>Uncategorised</t>
        </is>
      </c>
      <c r="C14" s="90" t="inlineStr">
        <is>
          <t>Actual</t>
        </is>
      </c>
      <c r="D14" s="91" t="n">
        <v>2360</v>
      </c>
      <c r="E14" s="94" t="inlineStr">
        <is>
          <t>Historical monthly total (pre per-category tracking)</t>
        </is>
      </c>
      <c r="F14" s="92">
        <f>IF(AND(C14="One-off",IFERROR(INDEX(Categories!$C$2:$C$200,MATCH(B14,Categories!$A$2:$A$200,0)),"N")="Y"),D14,0)</f>
        <v/>
      </c>
    </row>
    <row r="15" ht="15" customHeight="1" s="43">
      <c r="A15" s="89" t="n">
        <v>39569</v>
      </c>
      <c r="B15" s="90" t="inlineStr">
        <is>
          <t>Interest</t>
        </is>
      </c>
      <c r="C15" s="90" t="inlineStr">
        <is>
          <t>Income</t>
        </is>
      </c>
      <c r="D15" s="91" t="n">
        <v>20</v>
      </c>
      <c r="F15" s="92">
        <f>IF(AND(C15="One-off",IFERROR(INDEX(Categories!$C$2:$C$200,MATCH(B15,Categories!$A$2:$A$200,0)),"N")="Y"),D15,0)</f>
        <v/>
      </c>
    </row>
    <row r="16" ht="15" customHeight="1" s="43">
      <c r="A16" s="89" t="n">
        <v>39569</v>
      </c>
      <c r="B16" s="90" t="inlineStr">
        <is>
          <t>Salary</t>
        </is>
      </c>
      <c r="C16" s="90" t="inlineStr">
        <is>
          <t>Income</t>
        </is>
      </c>
      <c r="D16" s="91" t="n">
        <v>3200</v>
      </c>
      <c r="F16" s="92">
        <f>IF(AND(C16="One-off",IFERROR(INDEX(Categories!$C$2:$C$200,MATCH(B16,Categories!$A$2:$A$200,0)),"N")="Y"),D16,0)</f>
        <v/>
      </c>
    </row>
    <row r="17" ht="15" customHeight="1" s="43">
      <c r="A17" s="89" t="n">
        <v>39569</v>
      </c>
      <c r="B17" s="90" t="inlineStr">
        <is>
          <t>Uncategorised</t>
        </is>
      </c>
      <c r="C17" s="90" t="inlineStr">
        <is>
          <t>Actual</t>
        </is>
      </c>
      <c r="D17" s="91" t="n">
        <v>2480</v>
      </c>
      <c r="E17" s="94" t="inlineStr">
        <is>
          <t>Historical monthly total (pre per-category tracking)</t>
        </is>
      </c>
      <c r="F17" s="92">
        <f>IF(AND(C17="One-off",IFERROR(INDEX(Categories!$C$2:$C$200,MATCH(B17,Categories!$A$2:$A$200,0)),"N")="Y"),D17,0)</f>
        <v/>
      </c>
    </row>
    <row r="18" ht="15" customHeight="1" s="43">
      <c r="A18" s="89" t="n">
        <v>39600</v>
      </c>
      <c r="B18" s="90" t="inlineStr">
        <is>
          <t>Dividends</t>
        </is>
      </c>
      <c r="C18" s="90" t="inlineStr">
        <is>
          <t>Income</t>
        </is>
      </c>
      <c r="D18" s="91" t="n">
        <v>150</v>
      </c>
      <c r="F18" s="92">
        <f>IF(AND(C18="One-off",IFERROR(INDEX(Categories!$C$2:$C$200,MATCH(B18,Categories!$A$2:$A$200,0)),"N")="Y"),D18,0)</f>
        <v/>
      </c>
    </row>
    <row r="19" ht="15" customHeight="1" s="43">
      <c r="A19" s="89" t="n">
        <v>39600</v>
      </c>
      <c r="B19" s="90" t="inlineStr">
        <is>
          <t>Interest</t>
        </is>
      </c>
      <c r="C19" s="90" t="inlineStr">
        <is>
          <t>Income</t>
        </is>
      </c>
      <c r="D19" s="91" t="n">
        <v>20</v>
      </c>
      <c r="E19" s="77" t="n"/>
      <c r="F19" s="92">
        <f>IF(AND(C19="One-off",IFERROR(INDEX(Categories!$C$2:$C$200,MATCH(B19,Categories!$A$2:$A$200,0)),"N")="Y"),D19,0)</f>
        <v/>
      </c>
    </row>
    <row r="20" ht="15" customHeight="1" s="43">
      <c r="A20" s="89" t="n">
        <v>39600</v>
      </c>
      <c r="B20" s="90" t="inlineStr">
        <is>
          <t>Salary</t>
        </is>
      </c>
      <c r="C20" s="90" t="inlineStr">
        <is>
          <t>Income</t>
        </is>
      </c>
      <c r="D20" s="91" t="n">
        <v>3250</v>
      </c>
      <c r="F20" s="92">
        <f>IF(AND(C20="One-off",IFERROR(INDEX(Categories!$C$2:$C$200,MATCH(B20,Categories!$A$2:$A$200,0)),"N")="Y"),D20,0)</f>
        <v/>
      </c>
    </row>
    <row r="21" ht="15" customHeight="1" s="43">
      <c r="A21" s="89" t="n">
        <v>39600</v>
      </c>
      <c r="B21" s="90" t="inlineStr">
        <is>
          <t>Uncategorised</t>
        </is>
      </c>
      <c r="C21" s="90" t="inlineStr">
        <is>
          <t>Actual</t>
        </is>
      </c>
      <c r="D21" s="91" t="n">
        <v>2000</v>
      </c>
      <c r="E21" s="94" t="inlineStr">
        <is>
          <t>Historical monthly total (pre per-category tracking)</t>
        </is>
      </c>
      <c r="F21" s="92">
        <f>IF(AND(C21="One-off",IFERROR(INDEX(Categories!$C$2:$C$200,MATCH(B21,Categories!$A$2:$A$200,0)),"N")="Y"),D21,0)</f>
        <v/>
      </c>
    </row>
    <row r="22" ht="15" customHeight="1" s="43">
      <c r="A22" s="89" t="n">
        <v>39630</v>
      </c>
      <c r="B22" s="90" t="inlineStr">
        <is>
          <t>Interest</t>
        </is>
      </c>
      <c r="C22" s="90" t="inlineStr">
        <is>
          <t>Income</t>
        </is>
      </c>
      <c r="D22" s="91" t="n">
        <v>20</v>
      </c>
      <c r="E22" s="94" t="n"/>
      <c r="F22" s="92">
        <f>IF(AND(C22="One-off",IFERROR(INDEX(Categories!$C$2:$C$200,MATCH(B22,Categories!$A$2:$A$200,0)),"N")="Y"),D22,0)</f>
        <v/>
      </c>
    </row>
    <row r="23" ht="15" customHeight="1" s="43">
      <c r="A23" s="89" t="n">
        <v>39630</v>
      </c>
      <c r="B23" s="90" t="inlineStr">
        <is>
          <t>Salary</t>
        </is>
      </c>
      <c r="C23" s="90" t="inlineStr">
        <is>
          <t>Income</t>
        </is>
      </c>
      <c r="D23" s="91" t="n">
        <v>3000</v>
      </c>
      <c r="F23" s="92">
        <f>IF(AND(C23="One-off",IFERROR(INDEX(Categories!$C$2:$C$200,MATCH(B23,Categories!$A$2:$A$200,0)),"N")="Y"),D23,0)</f>
        <v/>
      </c>
    </row>
    <row r="24" ht="15" customHeight="1" s="43">
      <c r="A24" s="89" t="n">
        <v>39630</v>
      </c>
      <c r="B24" s="90" t="inlineStr">
        <is>
          <t>Uncategorised</t>
        </is>
      </c>
      <c r="C24" s="90" t="inlineStr">
        <is>
          <t>Actual</t>
        </is>
      </c>
      <c r="D24" s="91" t="n">
        <v>2120</v>
      </c>
      <c r="E24" s="93" t="inlineStr">
        <is>
          <t>Historical monthly total (pre per-category tracking)</t>
        </is>
      </c>
      <c r="F24" s="92">
        <f>IF(AND(C24="One-off",IFERROR(INDEX(Categories!$C$2:$C$200,MATCH(B24,Categories!$A$2:$A$200,0)),"N")="Y"),D24,0)</f>
        <v/>
      </c>
    </row>
    <row r="25" ht="15" customHeight="1" s="43">
      <c r="A25" s="89" t="n">
        <v>39661</v>
      </c>
      <c r="B25" s="90" t="inlineStr">
        <is>
          <t>Interest</t>
        </is>
      </c>
      <c r="C25" s="90" t="inlineStr">
        <is>
          <t>Income</t>
        </is>
      </c>
      <c r="D25" s="91" t="n">
        <v>20</v>
      </c>
      <c r="E25" s="94" t="n"/>
      <c r="F25" s="92">
        <f>IF(AND(C25="One-off",IFERROR(INDEX(Categories!$C$2:$C$200,MATCH(B25,Categories!$A$2:$A$200,0)),"N")="Y"),D25,0)</f>
        <v/>
      </c>
    </row>
    <row r="26" ht="15" customHeight="1" s="43">
      <c r="A26" s="89" t="n">
        <v>39661</v>
      </c>
      <c r="B26" s="90" t="inlineStr">
        <is>
          <t>Salary</t>
        </is>
      </c>
      <c r="C26" s="90" t="inlineStr">
        <is>
          <t>Income</t>
        </is>
      </c>
      <c r="D26" s="91" t="n">
        <v>3050</v>
      </c>
      <c r="F26" s="92">
        <f>IF(AND(C26="One-off",IFERROR(INDEX(Categories!$C$2:$C$200,MATCH(B26,Categories!$A$2:$A$200,0)),"N")="Y"),D26,0)</f>
        <v/>
      </c>
    </row>
    <row r="27" ht="15" customHeight="1" s="43">
      <c r="A27" s="89" t="n">
        <v>39661</v>
      </c>
      <c r="B27" s="90" t="inlineStr">
        <is>
          <t>Uncategorised</t>
        </is>
      </c>
      <c r="C27" s="90" t="inlineStr">
        <is>
          <t>Actual</t>
        </is>
      </c>
      <c r="D27" s="91" t="n">
        <v>2240</v>
      </c>
      <c r="E27" s="94" t="inlineStr">
        <is>
          <t>Historical monthly total (pre per-category tracking)</t>
        </is>
      </c>
      <c r="F27" s="92">
        <f>IF(AND(C27="One-off",IFERROR(INDEX(Categories!$C$2:$C$200,MATCH(B27,Categories!$A$2:$A$200,0)),"N")="Y"),D27,0)</f>
        <v/>
      </c>
    </row>
    <row r="28" ht="15" customHeight="1" s="43">
      <c r="A28" s="89" t="n">
        <v>39692</v>
      </c>
      <c r="B28" s="90" t="inlineStr">
        <is>
          <t>Dividends</t>
        </is>
      </c>
      <c r="C28" s="90" t="inlineStr">
        <is>
          <t>Income</t>
        </is>
      </c>
      <c r="D28" s="91" t="n">
        <v>150</v>
      </c>
      <c r="E28" s="94" t="n"/>
      <c r="F28" s="92">
        <f>IF(AND(C28="One-off",IFERROR(INDEX(Categories!$C$2:$C$200,MATCH(B28,Categories!$A$2:$A$200,0)),"N")="Y"),D28,0)</f>
        <v/>
      </c>
    </row>
    <row r="29" ht="15" customHeight="1" s="43">
      <c r="A29" s="89" t="n">
        <v>39692</v>
      </c>
      <c r="B29" s="90" t="inlineStr">
        <is>
          <t>Interest</t>
        </is>
      </c>
      <c r="C29" s="90" t="inlineStr">
        <is>
          <t>Income</t>
        </is>
      </c>
      <c r="D29" s="91" t="n">
        <v>20</v>
      </c>
      <c r="F29" s="92">
        <f>IF(AND(C29="One-off",IFERROR(INDEX(Categories!$C$2:$C$200,MATCH(B29,Categories!$A$2:$A$200,0)),"N")="Y"),D29,0)</f>
        <v/>
      </c>
    </row>
    <row r="30" ht="15" customHeight="1" s="43">
      <c r="A30" s="89" t="n">
        <v>39692</v>
      </c>
      <c r="B30" s="90" t="inlineStr">
        <is>
          <t>Salary</t>
        </is>
      </c>
      <c r="C30" s="90" t="inlineStr">
        <is>
          <t>Income</t>
        </is>
      </c>
      <c r="D30" s="91" t="n">
        <v>3100</v>
      </c>
      <c r="E30" s="77" t="n"/>
      <c r="F30" s="92">
        <f>IF(AND(C30="One-off",IFERROR(INDEX(Categories!$C$2:$C$200,MATCH(B30,Categories!$A$2:$A$200,0)),"N")="Y"),D30,0)</f>
        <v/>
      </c>
    </row>
    <row r="31" ht="15" customHeight="1" s="43">
      <c r="A31" s="89" t="n">
        <v>39692</v>
      </c>
      <c r="B31" s="90" t="inlineStr">
        <is>
          <t>Uncategorised</t>
        </is>
      </c>
      <c r="C31" s="90" t="inlineStr">
        <is>
          <t>Actual</t>
        </is>
      </c>
      <c r="D31" s="91" t="n">
        <v>2360</v>
      </c>
      <c r="E31" s="94" t="inlineStr">
        <is>
          <t>Historical monthly total (pre per-category tracking)</t>
        </is>
      </c>
      <c r="F31" s="92">
        <f>IF(AND(C31="One-off",IFERROR(INDEX(Categories!$C$2:$C$200,MATCH(B31,Categories!$A$2:$A$200,0)),"N")="Y"),D31,0)</f>
        <v/>
      </c>
    </row>
    <row r="32" ht="15" customHeight="1" s="43">
      <c r="A32" s="89" t="n">
        <v>39722</v>
      </c>
      <c r="B32" s="90" t="inlineStr">
        <is>
          <t>Interest</t>
        </is>
      </c>
      <c r="C32" s="90" t="inlineStr">
        <is>
          <t>Income</t>
        </is>
      </c>
      <c r="D32" s="91" t="n">
        <v>20</v>
      </c>
      <c r="E32" s="94" t="n"/>
      <c r="F32" s="95">
        <f>IF(AND(C32="One-off",IFERROR(INDEX(Categories!$C$2:$C$200,MATCH(B32,Categories!$A$2:$A$200,0)),"N")="Y"),D32,0)</f>
        <v/>
      </c>
    </row>
    <row r="33" ht="15" customHeight="1" s="43">
      <c r="A33" s="89" t="n">
        <v>39722</v>
      </c>
      <c r="B33" s="90" t="inlineStr">
        <is>
          <t>Salary</t>
        </is>
      </c>
      <c r="C33" s="90" t="inlineStr">
        <is>
          <t>Income</t>
        </is>
      </c>
      <c r="D33" s="91" t="n">
        <v>3150</v>
      </c>
      <c r="F33" s="92">
        <f>IF(AND(C33="One-off",IFERROR(INDEX(Categories!$C$2:$C$200,MATCH(B33,Categories!$A$2:$A$200,0)),"N")="Y"),D33,0)</f>
        <v/>
      </c>
    </row>
    <row r="34" ht="15" customHeight="1" s="43">
      <c r="A34" s="89" t="n">
        <v>39722</v>
      </c>
      <c r="B34" s="90" t="inlineStr">
        <is>
          <t>Uncategorised</t>
        </is>
      </c>
      <c r="C34" s="90" t="inlineStr">
        <is>
          <t>Actual</t>
        </is>
      </c>
      <c r="D34" s="91" t="n">
        <v>2480</v>
      </c>
      <c r="E34" s="94" t="inlineStr">
        <is>
          <t>Historical monthly total (pre per-category tracking)</t>
        </is>
      </c>
      <c r="F34" s="92">
        <f>IF(AND(C34="One-off",IFERROR(INDEX(Categories!$C$2:$C$200,MATCH(B34,Categories!$A$2:$A$200,0)),"N")="Y"),D34,0)</f>
        <v/>
      </c>
    </row>
    <row r="35" ht="15" customHeight="1" s="43">
      <c r="A35" s="89" t="n">
        <v>39753</v>
      </c>
      <c r="B35" s="90" t="inlineStr">
        <is>
          <t>Interest</t>
        </is>
      </c>
      <c r="C35" s="90" t="inlineStr">
        <is>
          <t>Income</t>
        </is>
      </c>
      <c r="D35" s="91" t="n">
        <v>20</v>
      </c>
      <c r="E35" s="94" t="n"/>
      <c r="F35" s="92">
        <f>IF(AND(C35="One-off",IFERROR(INDEX(Categories!$C$2:$C$200,MATCH(B35,Categories!$A$2:$A$200,0)),"N")="Y"),D35,0)</f>
        <v/>
      </c>
    </row>
    <row r="36" ht="15" customHeight="1" s="43">
      <c r="A36" s="89" t="n">
        <v>39753</v>
      </c>
      <c r="B36" s="90" t="inlineStr">
        <is>
          <t>Salary</t>
        </is>
      </c>
      <c r="C36" s="90" t="inlineStr">
        <is>
          <t>Income</t>
        </is>
      </c>
      <c r="D36" s="91" t="n">
        <v>3200</v>
      </c>
      <c r="E36" s="77" t="n"/>
      <c r="F36" s="92">
        <f>IF(AND(C36="One-off",IFERROR(INDEX(Categories!$C$2:$C$200,MATCH(B36,Categories!$A$2:$A$200,0)),"N")="Y"),D36,0)</f>
        <v/>
      </c>
    </row>
    <row r="37" ht="15" customHeight="1" s="43">
      <c r="A37" s="89" t="n">
        <v>39753</v>
      </c>
      <c r="B37" s="90" t="inlineStr">
        <is>
          <t>Uncategorised</t>
        </is>
      </c>
      <c r="C37" s="90" t="inlineStr">
        <is>
          <t>Actual</t>
        </is>
      </c>
      <c r="D37" s="91" t="n">
        <v>2000</v>
      </c>
      <c r="E37" s="94" t="inlineStr">
        <is>
          <t>Historical monthly total (pre per-category tracking)</t>
        </is>
      </c>
      <c r="F37" s="92">
        <f>IF(AND(C37="One-off",IFERROR(INDEX(Categories!$C$2:$C$200,MATCH(B37,Categories!$A$2:$A$200,0)),"N")="Y"),D37,0)</f>
        <v/>
      </c>
    </row>
    <row r="38" ht="15" customHeight="1" s="43">
      <c r="A38" s="89" t="n">
        <v>39783</v>
      </c>
      <c r="B38" s="90" t="inlineStr">
        <is>
          <t>Bonus/Claims</t>
        </is>
      </c>
      <c r="C38" s="90" t="inlineStr">
        <is>
          <t>Income</t>
        </is>
      </c>
      <c r="D38" s="91" t="n">
        <v>3250</v>
      </c>
      <c r="E38" s="94" t="n"/>
      <c r="F38" s="92">
        <f>IF(AND(C38="One-off",IFERROR(INDEX(Categories!$C$2:$C$200,MATCH(B38,Categories!$A$2:$A$200,0)),"N")="Y"),D38,0)</f>
        <v/>
      </c>
    </row>
    <row r="39" ht="15" customHeight="1" s="43">
      <c r="A39" s="89" t="n">
        <v>39783</v>
      </c>
      <c r="B39" s="90" t="inlineStr">
        <is>
          <t>Dividends</t>
        </is>
      </c>
      <c r="C39" s="90" t="inlineStr">
        <is>
          <t>Income</t>
        </is>
      </c>
      <c r="D39" s="91" t="n">
        <v>150</v>
      </c>
      <c r="F39" s="92">
        <f>IF(AND(C39="One-off",IFERROR(INDEX(Categories!$C$2:$C$200,MATCH(B39,Categories!$A$2:$A$200,0)),"N")="Y"),D39,0)</f>
        <v/>
      </c>
    </row>
    <row r="40" ht="15" customHeight="1" s="43">
      <c r="A40" s="89" t="n">
        <v>39783</v>
      </c>
      <c r="B40" s="90" t="inlineStr">
        <is>
          <t>Interest</t>
        </is>
      </c>
      <c r="C40" s="90" t="inlineStr">
        <is>
          <t>Income</t>
        </is>
      </c>
      <c r="D40" s="91" t="n">
        <v>20</v>
      </c>
      <c r="F40" s="92">
        <f>IF(AND(C40="One-off",IFERROR(INDEX(Categories!$C$2:$C$200,MATCH(B40,Categories!$A$2:$A$200,0)),"N")="Y"),D40,0)</f>
        <v/>
      </c>
    </row>
    <row r="41" ht="15" customHeight="1" s="43">
      <c r="A41" s="89" t="n">
        <v>39783</v>
      </c>
      <c r="B41" s="90" t="inlineStr">
        <is>
          <t>Salary</t>
        </is>
      </c>
      <c r="C41" s="90" t="inlineStr">
        <is>
          <t>Income</t>
        </is>
      </c>
      <c r="D41" s="91" t="n">
        <v>3250</v>
      </c>
      <c r="F41" s="92">
        <f>IF(AND(C41="One-off",IFERROR(INDEX(Categories!$C$2:$C$200,MATCH(B41,Categories!$A$2:$A$200,0)),"N")="Y"),D41,0)</f>
        <v/>
      </c>
    </row>
    <row r="42" ht="15" customHeight="1" s="43">
      <c r="A42" s="89" t="n">
        <v>39783</v>
      </c>
      <c r="B42" s="90" t="inlineStr">
        <is>
          <t>Uncategorised</t>
        </is>
      </c>
      <c r="C42" s="90" t="inlineStr">
        <is>
          <t>Actual</t>
        </is>
      </c>
      <c r="D42" s="91" t="n">
        <v>2120</v>
      </c>
      <c r="E42" s="94" t="inlineStr">
        <is>
          <t>Historical monthly total (pre per-category tracking)</t>
        </is>
      </c>
      <c r="F42" s="92">
        <f>IF(AND(C42="One-off",IFERROR(INDEX(Categories!$C$2:$C$200,MATCH(B42,Categories!$A$2:$A$200,0)),"N")="Y"),D42,0)</f>
        <v/>
      </c>
    </row>
    <row r="43" ht="15" customHeight="1" s="43">
      <c r="A43" s="89" t="n">
        <v>39814</v>
      </c>
      <c r="B43" s="90" t="inlineStr">
        <is>
          <t>Interest</t>
        </is>
      </c>
      <c r="C43" s="90" t="inlineStr">
        <is>
          <t>Income</t>
        </is>
      </c>
      <c r="D43" s="91" t="n">
        <v>20</v>
      </c>
      <c r="E43" s="93" t="n"/>
      <c r="F43" s="92">
        <f>IF(AND(C43="One-off",IFERROR(INDEX(Categories!$C$2:$C$200,MATCH(B43,Categories!$A$2:$A$200,0)),"N")="Y"),D43,0)</f>
        <v/>
      </c>
    </row>
    <row r="44" ht="15" customHeight="1" s="43">
      <c r="A44" s="89" t="n">
        <v>39814</v>
      </c>
      <c r="B44" s="90" t="inlineStr">
        <is>
          <t>Salary</t>
        </is>
      </c>
      <c r="C44" s="90" t="inlineStr">
        <is>
          <t>Income</t>
        </is>
      </c>
      <c r="D44" s="91" t="n">
        <v>3180</v>
      </c>
      <c r="F44" s="92">
        <f>IF(AND(C44="One-off",IFERROR(INDEX(Categories!$C$2:$C$200,MATCH(B44,Categories!$A$2:$A$200,0)),"N")="Y"),D44,0)</f>
        <v/>
      </c>
    </row>
    <row r="45" ht="15" customHeight="1" s="43">
      <c r="A45" s="89" t="n">
        <v>39814</v>
      </c>
      <c r="B45" s="90" t="inlineStr">
        <is>
          <t>Uncategorised</t>
        </is>
      </c>
      <c r="C45" s="90" t="inlineStr">
        <is>
          <t>Actual</t>
        </is>
      </c>
      <c r="D45" s="91" t="n">
        <v>2320</v>
      </c>
      <c r="E45" s="94" t="inlineStr">
        <is>
          <t>Historical monthly total (pre per-category tracking)</t>
        </is>
      </c>
      <c r="F45" s="92">
        <f>IF(AND(C45="One-off",IFERROR(INDEX(Categories!$C$2:$C$200,MATCH(B45,Categories!$A$2:$A$200,0)),"N")="Y"),D45,0)</f>
        <v/>
      </c>
    </row>
    <row r="46" ht="15" customHeight="1" s="43">
      <c r="A46" s="89" t="n">
        <v>39845</v>
      </c>
      <c r="B46" s="90" t="inlineStr">
        <is>
          <t>Interest</t>
        </is>
      </c>
      <c r="C46" s="90" t="inlineStr">
        <is>
          <t>Income</t>
        </is>
      </c>
      <c r="D46" s="91" t="n">
        <v>20</v>
      </c>
      <c r="E46" s="94" t="n"/>
      <c r="F46" s="92">
        <f>IF(AND(C46="One-off",IFERROR(INDEX(Categories!$C$2:$C$200,MATCH(B46,Categories!$A$2:$A$200,0)),"N")="Y"),D46,0)</f>
        <v/>
      </c>
    </row>
    <row r="47" ht="15" customHeight="1" s="43">
      <c r="A47" s="89" t="n">
        <v>39845</v>
      </c>
      <c r="B47" s="90" t="inlineStr">
        <is>
          <t>Salary</t>
        </is>
      </c>
      <c r="C47" s="90" t="inlineStr">
        <is>
          <t>Income</t>
        </is>
      </c>
      <c r="D47" s="91" t="n">
        <v>3230</v>
      </c>
      <c r="E47" s="77" t="n"/>
      <c r="F47" s="92">
        <f>IF(AND(C47="One-off",IFERROR(INDEX(Categories!$C$2:$C$200,MATCH(B47,Categories!$A$2:$A$200,0)),"N")="Y"),D47,0)</f>
        <v/>
      </c>
    </row>
    <row r="48" ht="15" customHeight="1" s="43">
      <c r="A48" s="89" t="n">
        <v>39845</v>
      </c>
      <c r="B48" s="90" t="inlineStr">
        <is>
          <t>Uncategorised</t>
        </is>
      </c>
      <c r="C48" s="90" t="inlineStr">
        <is>
          <t>Actual</t>
        </is>
      </c>
      <c r="D48" s="91" t="n">
        <v>2440</v>
      </c>
      <c r="E48" s="94" t="inlineStr">
        <is>
          <t>Historical monthly total (pre per-category tracking)</t>
        </is>
      </c>
      <c r="F48" s="92">
        <f>IF(AND(C48="One-off",IFERROR(INDEX(Categories!$C$2:$C$200,MATCH(B48,Categories!$A$2:$A$200,0)),"N")="Y"),D48,0)</f>
        <v/>
      </c>
    </row>
    <row r="49" ht="15" customHeight="1" s="43">
      <c r="A49" s="89" t="n">
        <v>39873</v>
      </c>
      <c r="B49" s="90" t="inlineStr">
        <is>
          <t>Dividends</t>
        </is>
      </c>
      <c r="C49" s="90" t="inlineStr">
        <is>
          <t>Income</t>
        </is>
      </c>
      <c r="D49" s="91" t="n">
        <v>150</v>
      </c>
      <c r="E49" s="94" t="n"/>
      <c r="F49" s="92">
        <f>IF(AND(C49="One-off",IFERROR(INDEX(Categories!$C$2:$C$200,MATCH(B49,Categories!$A$2:$A$200,0)),"N")="Y"),D49,0)</f>
        <v/>
      </c>
    </row>
    <row r="50" ht="15" customHeight="1" s="43">
      <c r="A50" s="89" t="n">
        <v>39873</v>
      </c>
      <c r="B50" s="90" t="inlineStr">
        <is>
          <t>Interest</t>
        </is>
      </c>
      <c r="C50" s="90" t="inlineStr">
        <is>
          <t>Income</t>
        </is>
      </c>
      <c r="D50" s="91" t="n">
        <v>20</v>
      </c>
      <c r="F50" s="92">
        <f>IF(AND(C50="One-off",IFERROR(INDEX(Categories!$C$2:$C$200,MATCH(B50,Categories!$A$2:$A$200,0)),"N")="Y"),D50,0)</f>
        <v/>
      </c>
    </row>
    <row r="51" ht="15" customHeight="1" s="43">
      <c r="A51" s="89" t="n">
        <v>39873</v>
      </c>
      <c r="B51" s="90" t="inlineStr">
        <is>
          <t>Salary</t>
        </is>
      </c>
      <c r="C51" s="90" t="inlineStr">
        <is>
          <t>Income</t>
        </is>
      </c>
      <c r="D51" s="91" t="n">
        <v>3280</v>
      </c>
      <c r="F51" s="92">
        <f>IF(AND(C51="One-off",IFERROR(INDEX(Categories!$C$2:$C$200,MATCH(B51,Categories!$A$2:$A$200,0)),"N")="Y"),D51,0)</f>
        <v/>
      </c>
    </row>
    <row r="52" ht="15" customHeight="1" s="43">
      <c r="A52" s="89" t="n">
        <v>39873</v>
      </c>
      <c r="B52" s="90" t="inlineStr">
        <is>
          <t>Uncategorised</t>
        </is>
      </c>
      <c r="C52" s="90" t="inlineStr">
        <is>
          <t>Actual</t>
        </is>
      </c>
      <c r="D52" s="91" t="n">
        <v>2560</v>
      </c>
      <c r="E52" s="94" t="inlineStr">
        <is>
          <t>Historical monthly total (pre per-category tracking)</t>
        </is>
      </c>
      <c r="F52" s="92">
        <f>IF(AND(C52="One-off",IFERROR(INDEX(Categories!$C$2:$C$200,MATCH(B52,Categories!$A$2:$A$200,0)),"N")="Y"),D52,0)</f>
        <v/>
      </c>
    </row>
    <row r="53" ht="15" customHeight="1" s="43">
      <c r="A53" s="89" t="n">
        <v>39904</v>
      </c>
      <c r="B53" s="90" t="inlineStr">
        <is>
          <t>Interest</t>
        </is>
      </c>
      <c r="C53" s="90" t="inlineStr">
        <is>
          <t>Income</t>
        </is>
      </c>
      <c r="D53" s="91" t="n">
        <v>20</v>
      </c>
      <c r="E53" s="93" t="n"/>
      <c r="F53" s="92">
        <f>IF(AND(C53="One-off",IFERROR(INDEX(Categories!$C$2:$C$200,MATCH(B53,Categories!$A$2:$A$200,0)),"N")="Y"),D53,0)</f>
        <v/>
      </c>
    </row>
    <row r="54" ht="15" customHeight="1" s="43">
      <c r="A54" s="89" t="n">
        <v>39904</v>
      </c>
      <c r="B54" s="90" t="inlineStr">
        <is>
          <t>Salary</t>
        </is>
      </c>
      <c r="C54" s="90" t="inlineStr">
        <is>
          <t>Income</t>
        </is>
      </c>
      <c r="D54" s="91" t="n">
        <v>3330</v>
      </c>
      <c r="E54" s="94" t="n"/>
      <c r="F54" s="92">
        <f>IF(AND(C54="One-off",IFERROR(INDEX(Categories!$C$2:$C$200,MATCH(B54,Categories!$A$2:$A$200,0)),"N")="Y"),D54,0)</f>
        <v/>
      </c>
    </row>
    <row r="55" ht="15" customHeight="1" s="43">
      <c r="A55" s="89" t="n">
        <v>39904</v>
      </c>
      <c r="B55" s="90" t="inlineStr">
        <is>
          <t>Uncategorised</t>
        </is>
      </c>
      <c r="C55" s="90" t="inlineStr">
        <is>
          <t>Actual</t>
        </is>
      </c>
      <c r="D55" s="91" t="n">
        <v>2080</v>
      </c>
      <c r="E55" s="94" t="inlineStr">
        <is>
          <t>Historical monthly total (pre per-category tracking)</t>
        </is>
      </c>
      <c r="F55" s="92">
        <f>IF(AND(C55="One-off",IFERROR(INDEX(Categories!$C$2:$C$200,MATCH(B55,Categories!$A$2:$A$200,0)),"N")="Y"),D55,0)</f>
        <v/>
      </c>
    </row>
    <row r="56" ht="15" customHeight="1" s="43">
      <c r="A56" s="89" t="n">
        <v>39934</v>
      </c>
      <c r="B56" s="90" t="inlineStr">
        <is>
          <t>Interest</t>
        </is>
      </c>
      <c r="C56" s="90" t="inlineStr">
        <is>
          <t>Income</t>
        </is>
      </c>
      <c r="D56" s="91" t="n">
        <v>20</v>
      </c>
      <c r="F56" s="92">
        <f>IF(AND(C56="One-off",IFERROR(INDEX(Categories!$C$2:$C$200,MATCH(B56,Categories!$A$2:$A$200,0)),"N")="Y"),D56,0)</f>
        <v/>
      </c>
    </row>
    <row r="57" ht="15" customHeight="1" s="43">
      <c r="A57" s="89" t="n">
        <v>39934</v>
      </c>
      <c r="B57" s="90" t="inlineStr">
        <is>
          <t>Salary</t>
        </is>
      </c>
      <c r="C57" s="90" t="inlineStr">
        <is>
          <t>Income</t>
        </is>
      </c>
      <c r="D57" s="91" t="n">
        <v>3380</v>
      </c>
      <c r="E57" s="94" t="n"/>
      <c r="F57" s="92">
        <f>IF(AND(C57="One-off",IFERROR(INDEX(Categories!$C$2:$C$200,MATCH(B57,Categories!$A$2:$A$200,0)),"N")="Y"),D57,0)</f>
        <v/>
      </c>
    </row>
    <row r="58" ht="15" customHeight="1" s="43">
      <c r="A58" s="89" t="n">
        <v>39934</v>
      </c>
      <c r="B58" s="90" t="inlineStr">
        <is>
          <t>Uncategorised</t>
        </is>
      </c>
      <c r="C58" s="90" t="inlineStr">
        <is>
          <t>Actual</t>
        </is>
      </c>
      <c r="D58" s="91" t="n">
        <v>2200</v>
      </c>
      <c r="E58" s="93" t="inlineStr">
        <is>
          <t>Historical monthly total (pre per-category tracking)</t>
        </is>
      </c>
      <c r="F58" s="92">
        <f>IF(AND(C58="One-off",IFERROR(INDEX(Categories!$C$2:$C$200,MATCH(B58,Categories!$A$2:$A$200,0)),"N")="Y"),D58,0)</f>
        <v/>
      </c>
    </row>
    <row r="59" ht="15" customHeight="1" s="43">
      <c r="A59" s="89" t="n">
        <v>39965</v>
      </c>
      <c r="B59" s="90" t="inlineStr">
        <is>
          <t>Dividends</t>
        </is>
      </c>
      <c r="C59" s="90" t="inlineStr">
        <is>
          <t>Income</t>
        </is>
      </c>
      <c r="D59" s="91" t="n">
        <v>150</v>
      </c>
      <c r="F59" s="92">
        <f>IF(AND(C59="One-off",IFERROR(INDEX(Categories!$C$2:$C$200,MATCH(B59,Categories!$A$2:$A$200,0)),"N")="Y"),D59,0)</f>
        <v/>
      </c>
    </row>
    <row r="60" ht="15" customHeight="1" s="43">
      <c r="A60" s="89" t="n">
        <v>39965</v>
      </c>
      <c r="B60" s="90" t="inlineStr">
        <is>
          <t>Interest</t>
        </is>
      </c>
      <c r="C60" s="90" t="inlineStr">
        <is>
          <t>Income</t>
        </is>
      </c>
      <c r="D60" s="91" t="n">
        <v>20</v>
      </c>
      <c r="E60" s="94" t="n"/>
      <c r="F60" s="92">
        <f>IF(AND(C60="One-off",IFERROR(INDEX(Categories!$C$2:$C$200,MATCH(B60,Categories!$A$2:$A$200,0)),"N")="Y"),D60,0)</f>
        <v/>
      </c>
    </row>
    <row r="61" ht="15" customHeight="1" s="43">
      <c r="A61" s="89" t="n">
        <v>39965</v>
      </c>
      <c r="B61" s="90" t="inlineStr">
        <is>
          <t>Salary</t>
        </is>
      </c>
      <c r="C61" s="90" t="inlineStr">
        <is>
          <t>Income</t>
        </is>
      </c>
      <c r="D61" s="91" t="n">
        <v>3430</v>
      </c>
      <c r="E61" s="77" t="n"/>
      <c r="F61" s="92">
        <f>IF(AND(C61="One-off",IFERROR(INDEX(Categories!$C$2:$C$200,MATCH(B61,Categories!$A$2:$A$200,0)),"N")="Y"),D61,0)</f>
        <v/>
      </c>
    </row>
    <row r="62" ht="15" customHeight="1" s="43">
      <c r="A62" s="89" t="n">
        <v>39965</v>
      </c>
      <c r="B62" s="90" t="inlineStr">
        <is>
          <t>Uncategorised</t>
        </is>
      </c>
      <c r="C62" s="90" t="inlineStr">
        <is>
          <t>Actual</t>
        </is>
      </c>
      <c r="D62" s="91" t="n">
        <v>2320</v>
      </c>
      <c r="E62" s="94" t="inlineStr">
        <is>
          <t>Historical monthly total (pre per-category tracking)</t>
        </is>
      </c>
      <c r="F62" s="92">
        <f>IF(AND(C62="One-off",IFERROR(INDEX(Categories!$C$2:$C$200,MATCH(B62,Categories!$A$2:$A$200,0)),"N")="Y"),D62,0)</f>
        <v/>
      </c>
    </row>
    <row r="63" ht="15" customHeight="1" s="43">
      <c r="A63" s="89" t="n">
        <v>39995</v>
      </c>
      <c r="B63" s="90" t="inlineStr">
        <is>
          <t>Interest</t>
        </is>
      </c>
      <c r="C63" s="90" t="inlineStr">
        <is>
          <t>Income</t>
        </is>
      </c>
      <c r="D63" s="91" t="n">
        <v>20</v>
      </c>
      <c r="F63" s="92">
        <f>IF(AND(C63="One-off",IFERROR(INDEX(Categories!$C$2:$C$200,MATCH(B63,Categories!$A$2:$A$200,0)),"N")="Y"),D63,0)</f>
        <v/>
      </c>
    </row>
    <row r="64" ht="15" customHeight="1" s="43">
      <c r="A64" s="89" t="n">
        <v>39995</v>
      </c>
      <c r="B64" s="90" t="inlineStr">
        <is>
          <t>Salary</t>
        </is>
      </c>
      <c r="C64" s="90" t="inlineStr">
        <is>
          <t>Income</t>
        </is>
      </c>
      <c r="D64" s="91" t="n">
        <v>3180</v>
      </c>
      <c r="E64" s="94" t="n"/>
      <c r="F64" s="92">
        <f>IF(AND(C64="One-off",IFERROR(INDEX(Categories!$C$2:$C$200,MATCH(B64,Categories!$A$2:$A$200,0)),"N")="Y"),D64,0)</f>
        <v/>
      </c>
    </row>
    <row r="65" ht="15" customHeight="1" s="43">
      <c r="A65" s="89" t="n">
        <v>39995</v>
      </c>
      <c r="B65" s="90" t="inlineStr">
        <is>
          <t>Uncategorised</t>
        </is>
      </c>
      <c r="C65" s="90" t="inlineStr">
        <is>
          <t>Actual</t>
        </is>
      </c>
      <c r="D65" s="91" t="n">
        <v>2440</v>
      </c>
      <c r="E65" s="94" t="inlineStr">
        <is>
          <t>Historical monthly total (pre per-category tracking)</t>
        </is>
      </c>
      <c r="F65" s="92">
        <f>IF(AND(C65="One-off",IFERROR(INDEX(Categories!$C$2:$C$200,MATCH(B65,Categories!$A$2:$A$200,0)),"N")="Y"),D65,0)</f>
        <v/>
      </c>
    </row>
    <row r="66" ht="15" customHeight="1" s="43">
      <c r="A66" s="89" t="n">
        <v>40026</v>
      </c>
      <c r="B66" s="90" t="inlineStr">
        <is>
          <t>Interest</t>
        </is>
      </c>
      <c r="C66" s="90" t="inlineStr">
        <is>
          <t>Income</t>
        </is>
      </c>
      <c r="D66" s="91" t="n">
        <v>20</v>
      </c>
      <c r="E66" s="77" t="n"/>
      <c r="F66" s="92">
        <f>IF(AND(C66="One-off",IFERROR(INDEX(Categories!$C$2:$C$200,MATCH(B66,Categories!$A$2:$A$200,0)),"N")="Y"),D66,0)</f>
        <v/>
      </c>
    </row>
    <row r="67" ht="15" customHeight="1" s="43">
      <c r="A67" s="89" t="n">
        <v>40026</v>
      </c>
      <c r="B67" s="90" t="inlineStr">
        <is>
          <t>Salary</t>
        </is>
      </c>
      <c r="C67" s="90" t="inlineStr">
        <is>
          <t>Income</t>
        </is>
      </c>
      <c r="D67" s="91" t="n">
        <v>3230</v>
      </c>
      <c r="E67" s="94" t="n"/>
      <c r="F67" s="92">
        <f>IF(AND(C67="One-off",IFERROR(INDEX(Categories!$C$2:$C$200,MATCH(B67,Categories!$A$2:$A$200,0)),"N")="Y"),D67,0)</f>
        <v/>
      </c>
    </row>
    <row r="68" ht="15" customHeight="1" s="43">
      <c r="A68" s="89" t="n">
        <v>40026</v>
      </c>
      <c r="B68" s="90" t="inlineStr">
        <is>
          <t>Uncategorised</t>
        </is>
      </c>
      <c r="C68" s="90" t="inlineStr">
        <is>
          <t>Actual</t>
        </is>
      </c>
      <c r="D68" s="91" t="n">
        <v>2560</v>
      </c>
      <c r="E68" s="94" t="inlineStr">
        <is>
          <t>Historical monthly total (pre per-category tracking)</t>
        </is>
      </c>
      <c r="F68" s="92">
        <f>IF(AND(C68="One-off",IFERROR(INDEX(Categories!$C$2:$C$200,MATCH(B68,Categories!$A$2:$A$200,0)),"N")="Y"),D68,0)</f>
        <v/>
      </c>
    </row>
    <row r="69" ht="15" customHeight="1" s="43">
      <c r="A69" s="89" t="n">
        <v>40057</v>
      </c>
      <c r="B69" s="90" t="inlineStr">
        <is>
          <t>Dividends</t>
        </is>
      </c>
      <c r="C69" s="90" t="inlineStr">
        <is>
          <t>Income</t>
        </is>
      </c>
      <c r="D69" s="91" t="n">
        <v>150</v>
      </c>
      <c r="F69" s="92">
        <f>IF(AND(C69="One-off",IFERROR(INDEX(Categories!$C$2:$C$200,MATCH(B69,Categories!$A$2:$A$200,0)),"N")="Y"),D69,0)</f>
        <v/>
      </c>
    </row>
    <row r="70" ht="15" customHeight="1" s="43">
      <c r="A70" s="89" t="n">
        <v>40057</v>
      </c>
      <c r="B70" s="90" t="inlineStr">
        <is>
          <t>Interest</t>
        </is>
      </c>
      <c r="C70" s="90" t="inlineStr">
        <is>
          <t>Income</t>
        </is>
      </c>
      <c r="D70" s="91" t="n">
        <v>20</v>
      </c>
      <c r="E70" s="94" t="n"/>
      <c r="F70" s="92">
        <f>IF(AND(C70="One-off",IFERROR(INDEX(Categories!$C$2:$C$200,MATCH(B70,Categories!$A$2:$A$200,0)),"N")="Y"),D70,0)</f>
        <v/>
      </c>
    </row>
    <row r="71" ht="15" customHeight="1" s="43">
      <c r="A71" s="89" t="n">
        <v>40057</v>
      </c>
      <c r="B71" s="90" t="inlineStr">
        <is>
          <t>Salary</t>
        </is>
      </c>
      <c r="C71" s="90" t="inlineStr">
        <is>
          <t>Income</t>
        </is>
      </c>
      <c r="D71" s="91" t="n">
        <v>3280</v>
      </c>
      <c r="F71" s="92">
        <f>IF(AND(C71="One-off",IFERROR(INDEX(Categories!$C$2:$C$200,MATCH(B71,Categories!$A$2:$A$200,0)),"N")="Y"),D71,0)</f>
        <v/>
      </c>
    </row>
    <row r="72" ht="15" customHeight="1" s="43">
      <c r="A72" s="89" t="n">
        <v>40057</v>
      </c>
      <c r="B72" s="90" t="inlineStr">
        <is>
          <t>Uncategorised</t>
        </is>
      </c>
      <c r="C72" s="90" t="inlineStr">
        <is>
          <t>Actual</t>
        </is>
      </c>
      <c r="D72" s="91" t="n">
        <v>2080</v>
      </c>
      <c r="E72" s="93" t="inlineStr">
        <is>
          <t>Historical monthly total (pre per-category tracking)</t>
        </is>
      </c>
      <c r="F72" s="92">
        <f>IF(AND(C72="One-off",IFERROR(INDEX(Categories!$C$2:$C$200,MATCH(B72,Categories!$A$2:$A$200,0)),"N")="Y"),D72,0)</f>
        <v/>
      </c>
    </row>
    <row r="73" ht="15" customHeight="1" s="43">
      <c r="A73" s="89" t="n">
        <v>40087</v>
      </c>
      <c r="B73" s="90" t="inlineStr">
        <is>
          <t>Interest</t>
        </is>
      </c>
      <c r="C73" s="90" t="inlineStr">
        <is>
          <t>Income</t>
        </is>
      </c>
      <c r="D73" s="91" t="n">
        <v>20</v>
      </c>
      <c r="F73" s="92">
        <f>IF(AND(C73="One-off",IFERROR(INDEX(Categories!$C$2:$C$200,MATCH(B73,Categories!$A$2:$A$200,0)),"N")="Y"),D73,0)</f>
        <v/>
      </c>
    </row>
    <row r="74" ht="15" customHeight="1" s="43">
      <c r="A74" s="89" t="n">
        <v>40087</v>
      </c>
      <c r="B74" s="90" t="inlineStr">
        <is>
          <t>Salary</t>
        </is>
      </c>
      <c r="C74" s="90" t="inlineStr">
        <is>
          <t>Income</t>
        </is>
      </c>
      <c r="D74" s="91" t="n">
        <v>3330</v>
      </c>
      <c r="E74" s="94" t="n"/>
      <c r="F74" s="92">
        <f>IF(AND(C74="One-off",IFERROR(INDEX(Categories!$C$2:$C$200,MATCH(B74,Categories!$A$2:$A$200,0)),"N")="Y"),D74,0)</f>
        <v/>
      </c>
    </row>
    <row r="75" ht="15" customHeight="1" s="43">
      <c r="A75" s="89" t="n">
        <v>40087</v>
      </c>
      <c r="B75" s="90" t="inlineStr">
        <is>
          <t>Uncategorised</t>
        </is>
      </c>
      <c r="C75" s="90" t="inlineStr">
        <is>
          <t>Actual</t>
        </is>
      </c>
      <c r="D75" s="91" t="n">
        <v>2200</v>
      </c>
      <c r="E75" s="94" t="inlineStr">
        <is>
          <t>Historical monthly total (pre per-category tracking)</t>
        </is>
      </c>
      <c r="F75" s="92">
        <f>IF(AND(C75="One-off",IFERROR(INDEX(Categories!$C$2:$C$200,MATCH(B75,Categories!$A$2:$A$200,0)),"N")="Y"),D75,0)</f>
        <v/>
      </c>
    </row>
    <row r="76" ht="15" customHeight="1" s="43">
      <c r="A76" s="89" t="n">
        <v>40118</v>
      </c>
      <c r="B76" s="90" t="inlineStr">
        <is>
          <t>Interest</t>
        </is>
      </c>
      <c r="C76" s="90" t="inlineStr">
        <is>
          <t>Income</t>
        </is>
      </c>
      <c r="D76" s="91" t="n">
        <v>20</v>
      </c>
      <c r="F76" s="92">
        <f>IF(AND(C76="One-off",IFERROR(INDEX(Categories!$C$2:$C$200,MATCH(B76,Categories!$A$2:$A$200,0)),"N")="Y"),D76,0)</f>
        <v/>
      </c>
    </row>
    <row r="77" ht="15" customHeight="1" s="43">
      <c r="A77" s="89" t="n">
        <v>40118</v>
      </c>
      <c r="B77" s="90" t="inlineStr">
        <is>
          <t>Salary</t>
        </is>
      </c>
      <c r="C77" s="90" t="inlineStr">
        <is>
          <t>Income</t>
        </is>
      </c>
      <c r="D77" s="91" t="n">
        <v>3380</v>
      </c>
      <c r="E77" s="93" t="n"/>
      <c r="F77" s="92">
        <f>IF(AND(C77="One-off",IFERROR(INDEX(Categories!$C$2:$C$200,MATCH(B77,Categories!$A$2:$A$200,0)),"N")="Y"),D77,0)</f>
        <v/>
      </c>
    </row>
    <row r="78" ht="15" customHeight="1" s="43">
      <c r="A78" s="89" t="n">
        <v>40118</v>
      </c>
      <c r="B78" s="90" t="inlineStr">
        <is>
          <t>Uncategorised</t>
        </is>
      </c>
      <c r="C78" s="90" t="inlineStr">
        <is>
          <t>Actual</t>
        </is>
      </c>
      <c r="D78" s="91" t="n">
        <v>2320</v>
      </c>
      <c r="E78" s="94" t="inlineStr">
        <is>
          <t>Historical monthly total (pre per-category tracking)</t>
        </is>
      </c>
      <c r="F78" s="92">
        <f>IF(AND(C78="One-off",IFERROR(INDEX(Categories!$C$2:$C$200,MATCH(B78,Categories!$A$2:$A$200,0)),"N")="Y"),D78,0)</f>
        <v/>
      </c>
    </row>
    <row r="79" ht="15" customHeight="1" s="43">
      <c r="A79" s="89" t="n">
        <v>40148</v>
      </c>
      <c r="B79" s="90" t="inlineStr">
        <is>
          <t>Bonus/Claims</t>
        </is>
      </c>
      <c r="C79" s="90" t="inlineStr">
        <is>
          <t>Income</t>
        </is>
      </c>
      <c r="D79" s="91" t="n">
        <v>3430</v>
      </c>
      <c r="F79" s="92">
        <f>IF(AND(C79="One-off",IFERROR(INDEX(Categories!$C$2:$C$200,MATCH(B79,Categories!$A$2:$A$200,0)),"N")="Y"),D79,0)</f>
        <v/>
      </c>
    </row>
    <row r="80" ht="15" customHeight="1" s="43">
      <c r="A80" s="89" t="n">
        <v>40148</v>
      </c>
      <c r="B80" s="90" t="inlineStr">
        <is>
          <t>Dividends</t>
        </is>
      </c>
      <c r="C80" s="90" t="inlineStr">
        <is>
          <t>Income</t>
        </is>
      </c>
      <c r="D80" s="91" t="n">
        <v>150</v>
      </c>
      <c r="E80" s="94" t="n"/>
      <c r="F80" s="92">
        <f>IF(AND(C80="One-off",IFERROR(INDEX(Categories!$C$2:$C$200,MATCH(B80,Categories!$A$2:$A$200,0)),"N")="Y"),D80,0)</f>
        <v/>
      </c>
    </row>
    <row r="81" ht="15" customHeight="1" s="43">
      <c r="A81" s="89" t="n">
        <v>40148</v>
      </c>
      <c r="B81" s="90" t="inlineStr">
        <is>
          <t>Interest</t>
        </is>
      </c>
      <c r="C81" s="90" t="inlineStr">
        <is>
          <t>Income</t>
        </is>
      </c>
      <c r="D81" s="91" t="n">
        <v>20</v>
      </c>
      <c r="E81" s="94" t="n"/>
      <c r="F81" s="92">
        <f>IF(AND(C81="One-off",IFERROR(INDEX(Categories!$C$2:$C$200,MATCH(B81,Categories!$A$2:$A$200,0)),"N")="Y"),D81,0)</f>
        <v/>
      </c>
    </row>
    <row r="82" ht="15" customHeight="1" s="43">
      <c r="A82" s="89" t="n">
        <v>40148</v>
      </c>
      <c r="B82" s="90" t="inlineStr">
        <is>
          <t>Salary</t>
        </is>
      </c>
      <c r="C82" s="90" t="inlineStr">
        <is>
          <t>Income</t>
        </is>
      </c>
      <c r="D82" s="91" t="n">
        <v>3430</v>
      </c>
      <c r="F82" s="92">
        <f>IF(AND(C82="One-off",IFERROR(INDEX(Categories!$C$2:$C$200,MATCH(B82,Categories!$A$2:$A$200,0)),"N")="Y"),D82,0)</f>
        <v/>
      </c>
    </row>
    <row r="83" ht="15" customHeight="1" s="43">
      <c r="A83" s="89" t="n">
        <v>40148</v>
      </c>
      <c r="B83" s="90" t="inlineStr">
        <is>
          <t>Uncategorised</t>
        </is>
      </c>
      <c r="C83" s="90" t="inlineStr">
        <is>
          <t>Actual</t>
        </is>
      </c>
      <c r="D83" s="91" t="n">
        <v>2440</v>
      </c>
      <c r="E83" s="93" t="inlineStr">
        <is>
          <t>Historical monthly total (pre per-category tracking)</t>
        </is>
      </c>
      <c r="F83" s="92">
        <f>IF(AND(C83="One-off",IFERROR(INDEX(Categories!$C$2:$C$200,MATCH(B83,Categories!$A$2:$A$200,0)),"N")="Y"),D83,0)</f>
        <v/>
      </c>
    </row>
    <row r="84" ht="15" customHeight="1" s="43">
      <c r="A84" s="89" t="n">
        <v>40179</v>
      </c>
      <c r="B84" s="90" t="inlineStr">
        <is>
          <t>Interest</t>
        </is>
      </c>
      <c r="C84" s="90" t="inlineStr">
        <is>
          <t>Income</t>
        </is>
      </c>
      <c r="D84" s="91" t="n">
        <v>20</v>
      </c>
      <c r="F84" s="92">
        <f>IF(AND(C84="One-off",IFERROR(INDEX(Categories!$C$2:$C$200,MATCH(B84,Categories!$A$2:$A$200,0)),"N")="Y"),D84,0)</f>
        <v/>
      </c>
    </row>
    <row r="85" ht="15" customHeight="1" s="43">
      <c r="A85" s="89" t="n">
        <v>40179</v>
      </c>
      <c r="B85" s="90" t="inlineStr">
        <is>
          <t>Salary</t>
        </is>
      </c>
      <c r="C85" s="90" t="inlineStr">
        <is>
          <t>Income</t>
        </is>
      </c>
      <c r="D85" s="91" t="n">
        <v>3360</v>
      </c>
      <c r="F85" s="92">
        <f>IF(AND(C85="One-off",IFERROR(INDEX(Categories!$C$2:$C$200,MATCH(B85,Categories!$A$2:$A$200,0)),"N")="Y"),D85,0)</f>
        <v/>
      </c>
    </row>
    <row r="86" ht="15" customHeight="1" s="43">
      <c r="A86" s="89" t="n">
        <v>40179</v>
      </c>
      <c r="B86" s="90" t="inlineStr">
        <is>
          <t>Uncategorised</t>
        </is>
      </c>
      <c r="C86" s="90" t="inlineStr">
        <is>
          <t>Actual</t>
        </is>
      </c>
      <c r="D86" s="91" t="n">
        <v>2640</v>
      </c>
      <c r="E86" s="94" t="inlineStr">
        <is>
          <t>Historical monthly total (pre per-category tracking)</t>
        </is>
      </c>
      <c r="F86" s="92">
        <f>IF(AND(C86="One-off",IFERROR(INDEX(Categories!$C$2:$C$200,MATCH(B86,Categories!$A$2:$A$200,0)),"N")="Y"),D86,0)</f>
        <v/>
      </c>
    </row>
    <row r="87" ht="15" customHeight="1" s="43">
      <c r="A87" s="89" t="n">
        <v>40210</v>
      </c>
      <c r="B87" s="90" t="inlineStr">
        <is>
          <t>Interest</t>
        </is>
      </c>
      <c r="C87" s="90" t="inlineStr">
        <is>
          <t>Income</t>
        </is>
      </c>
      <c r="D87" s="91" t="n">
        <v>20</v>
      </c>
      <c r="F87" s="92">
        <f>IF(AND(C87="One-off",IFERROR(INDEX(Categories!$C$2:$C$200,MATCH(B87,Categories!$A$2:$A$200,0)),"N")="Y"),D87,0)</f>
        <v/>
      </c>
    </row>
    <row r="88" ht="15" customHeight="1" s="43">
      <c r="A88" s="89" t="n">
        <v>40210</v>
      </c>
      <c r="B88" s="90" t="inlineStr">
        <is>
          <t>Salary</t>
        </is>
      </c>
      <c r="C88" s="90" t="inlineStr">
        <is>
          <t>Income</t>
        </is>
      </c>
      <c r="D88" s="91" t="n">
        <v>3410</v>
      </c>
      <c r="E88" s="77" t="n"/>
      <c r="F88" s="92">
        <f>IF(AND(C88="One-off",IFERROR(INDEX(Categories!$C$2:$C$200,MATCH(B88,Categories!$A$2:$A$200,0)),"N")="Y"),D88,0)</f>
        <v/>
      </c>
    </row>
    <row r="89" ht="15" customHeight="1" s="43">
      <c r="A89" s="89" t="n">
        <v>40210</v>
      </c>
      <c r="B89" s="90" t="inlineStr">
        <is>
          <t>Uncategorised</t>
        </is>
      </c>
      <c r="C89" s="90" t="inlineStr">
        <is>
          <t>Actual</t>
        </is>
      </c>
      <c r="D89" s="91" t="n">
        <v>2160</v>
      </c>
      <c r="E89" s="94" t="inlineStr">
        <is>
          <t>Historical monthly total (pre per-category tracking)</t>
        </is>
      </c>
      <c r="F89" s="92">
        <f>IF(AND(C89="One-off",IFERROR(INDEX(Categories!$C$2:$C$200,MATCH(B89,Categories!$A$2:$A$200,0)),"N")="Y"),D89,0)</f>
        <v/>
      </c>
    </row>
    <row r="90" ht="15" customHeight="1" s="43">
      <c r="A90" s="89" t="n">
        <v>40238</v>
      </c>
      <c r="B90" s="90" t="inlineStr">
        <is>
          <t>Dividends</t>
        </is>
      </c>
      <c r="C90" s="90" t="inlineStr">
        <is>
          <t>Income</t>
        </is>
      </c>
      <c r="D90" s="91" t="n">
        <v>150</v>
      </c>
      <c r="F90" s="92">
        <f>IF(AND(C90="One-off",IFERROR(INDEX(Categories!$C$2:$C$200,MATCH(B90,Categories!$A$2:$A$200,0)),"N")="Y"),D90,0)</f>
        <v/>
      </c>
    </row>
    <row r="91" ht="15" customHeight="1" s="43">
      <c r="A91" s="89" t="n">
        <v>40238</v>
      </c>
      <c r="B91" s="90" t="inlineStr">
        <is>
          <t>Interest</t>
        </is>
      </c>
      <c r="C91" s="90" t="inlineStr">
        <is>
          <t>Income</t>
        </is>
      </c>
      <c r="D91" s="91" t="n">
        <v>20</v>
      </c>
      <c r="F91" s="92">
        <f>IF(AND(C91="One-off",IFERROR(INDEX(Categories!$C$2:$C$200,MATCH(B91,Categories!$A$2:$A$200,0)),"N")="Y"),D91,0)</f>
        <v/>
      </c>
    </row>
    <row r="92" ht="15" customHeight="1" s="43">
      <c r="A92" s="89" t="n">
        <v>40238</v>
      </c>
      <c r="B92" s="90" t="inlineStr">
        <is>
          <t>Salary</t>
        </is>
      </c>
      <c r="C92" s="90" t="inlineStr">
        <is>
          <t>Income</t>
        </is>
      </c>
      <c r="D92" s="91" t="n">
        <v>3460</v>
      </c>
      <c r="E92" s="77" t="n"/>
      <c r="F92" s="92">
        <f>IF(AND(C92="One-off",IFERROR(INDEX(Categories!$C$2:$C$200,MATCH(B92,Categories!$A$2:$A$200,0)),"N")="Y"),D92,0)</f>
        <v/>
      </c>
    </row>
    <row r="93" ht="15" customHeight="1" s="43">
      <c r="A93" s="89" t="n">
        <v>40238</v>
      </c>
      <c r="B93" s="90" t="inlineStr">
        <is>
          <t>Uncategorised</t>
        </is>
      </c>
      <c r="C93" s="90" t="inlineStr">
        <is>
          <t>Actual</t>
        </is>
      </c>
      <c r="D93" s="91" t="n">
        <v>2280</v>
      </c>
      <c r="E93" s="94" t="inlineStr">
        <is>
          <t>Historical monthly total (pre per-category tracking)</t>
        </is>
      </c>
      <c r="F93" s="92">
        <f>IF(AND(C93="One-off",IFERROR(INDEX(Categories!$C$2:$C$200,MATCH(B93,Categories!$A$2:$A$200,0)),"N")="Y"),D93,0)</f>
        <v/>
      </c>
    </row>
    <row r="94" ht="15" customHeight="1" s="43">
      <c r="A94" s="89" t="n">
        <v>40269</v>
      </c>
      <c r="B94" s="90" t="inlineStr">
        <is>
          <t>Interest</t>
        </is>
      </c>
      <c r="C94" s="90" t="inlineStr">
        <is>
          <t>Income</t>
        </is>
      </c>
      <c r="D94" s="91" t="n">
        <v>20</v>
      </c>
      <c r="F94" s="92">
        <f>IF(AND(C94="One-off",IFERROR(INDEX(Categories!$C$2:$C$200,MATCH(B94,Categories!$A$2:$A$200,0)),"N")="Y"),D94,0)</f>
        <v/>
      </c>
    </row>
    <row r="95" ht="15" customHeight="1" s="43">
      <c r="A95" s="89" t="n">
        <v>40269</v>
      </c>
      <c r="B95" s="90" t="inlineStr">
        <is>
          <t>Salary</t>
        </is>
      </c>
      <c r="C95" s="90" t="inlineStr">
        <is>
          <t>Income</t>
        </is>
      </c>
      <c r="D95" s="91" t="n">
        <v>3510</v>
      </c>
      <c r="F95" s="92">
        <f>IF(AND(C95="One-off",IFERROR(INDEX(Categories!$C$2:$C$200,MATCH(B95,Categories!$A$2:$A$200,0)),"N")="Y"),D95,0)</f>
        <v/>
      </c>
    </row>
    <row r="96" ht="15" customHeight="1" s="43">
      <c r="A96" s="89" t="n">
        <v>40269</v>
      </c>
      <c r="B96" s="90" t="inlineStr">
        <is>
          <t>Uncategorised</t>
        </is>
      </c>
      <c r="C96" s="90" t="inlineStr">
        <is>
          <t>Actual</t>
        </is>
      </c>
      <c r="D96" s="91" t="n">
        <v>2400</v>
      </c>
      <c r="E96" s="93" t="inlineStr">
        <is>
          <t>Historical monthly total (pre per-category tracking)</t>
        </is>
      </c>
      <c r="F96" s="92">
        <f>IF(AND(C96="One-off",IFERROR(INDEX(Categories!$C$2:$C$200,MATCH(B96,Categories!$A$2:$A$200,0)),"N")="Y"),D96,0)</f>
        <v/>
      </c>
    </row>
    <row r="97" ht="15" customHeight="1" s="43">
      <c r="A97" s="89" t="n">
        <v>40299</v>
      </c>
      <c r="B97" s="90" t="inlineStr">
        <is>
          <t>Interest</t>
        </is>
      </c>
      <c r="C97" s="90" t="inlineStr">
        <is>
          <t>Income</t>
        </is>
      </c>
      <c r="D97" s="91" t="n">
        <v>20</v>
      </c>
      <c r="F97" s="92">
        <f>IF(AND(C97="One-off",IFERROR(INDEX(Categories!$C$2:$C$200,MATCH(B97,Categories!$A$2:$A$200,0)),"N")="Y"),D97,0)</f>
        <v/>
      </c>
    </row>
    <row r="98" ht="15" customHeight="1" s="43">
      <c r="A98" s="89" t="n">
        <v>40299</v>
      </c>
      <c r="B98" s="90" t="inlineStr">
        <is>
          <t>Salary</t>
        </is>
      </c>
      <c r="C98" s="90" t="inlineStr">
        <is>
          <t>Income</t>
        </is>
      </c>
      <c r="D98" s="91" t="n">
        <v>3560</v>
      </c>
      <c r="F98" s="92">
        <f>IF(AND(C98="One-off",IFERROR(INDEX(Categories!$C$2:$C$200,MATCH(B98,Categories!$A$2:$A$200,0)),"N")="Y"),D98,0)</f>
        <v/>
      </c>
    </row>
    <row r="99" ht="15" customHeight="1" s="43">
      <c r="A99" s="89" t="n">
        <v>40299</v>
      </c>
      <c r="B99" s="90" t="inlineStr">
        <is>
          <t>Uncategorised</t>
        </is>
      </c>
      <c r="C99" s="90" t="inlineStr">
        <is>
          <t>Actual</t>
        </is>
      </c>
      <c r="D99" s="91" t="n">
        <v>2520</v>
      </c>
      <c r="E99" s="94" t="inlineStr">
        <is>
          <t>Historical monthly total (pre per-category tracking)</t>
        </is>
      </c>
      <c r="F99" s="92">
        <f>IF(AND(C99="One-off",IFERROR(INDEX(Categories!$C$2:$C$200,MATCH(B99,Categories!$A$2:$A$200,0)),"N")="Y"),D99,0)</f>
        <v/>
      </c>
    </row>
    <row r="100" ht="15" customHeight="1" s="43">
      <c r="A100" s="89" t="n">
        <v>40330</v>
      </c>
      <c r="B100" s="90" t="inlineStr">
        <is>
          <t>Dividends</t>
        </is>
      </c>
      <c r="C100" s="90" t="inlineStr">
        <is>
          <t>Income</t>
        </is>
      </c>
      <c r="D100" s="91" t="n">
        <v>150</v>
      </c>
      <c r="F100" s="92">
        <f>IF(AND(C100="One-off",IFERROR(INDEX(Categories!$C$2:$C$200,MATCH(B100,Categories!$A$2:$A$200,0)),"N")="Y"),D100,0)</f>
        <v/>
      </c>
    </row>
    <row r="101" ht="15" customHeight="1" s="43">
      <c r="A101" s="89" t="n">
        <v>40330</v>
      </c>
      <c r="B101" s="90" t="inlineStr">
        <is>
          <t>Interest</t>
        </is>
      </c>
      <c r="C101" s="90" t="inlineStr">
        <is>
          <t>Income</t>
        </is>
      </c>
      <c r="D101" s="91" t="n">
        <v>20</v>
      </c>
      <c r="F101" s="92">
        <f>IF(AND(C101="One-off",IFERROR(INDEX(Categories!$C$2:$C$200,MATCH(B101,Categories!$A$2:$A$200,0)),"N")="Y"),D101,0)</f>
        <v/>
      </c>
    </row>
    <row r="102" ht="15" customHeight="1" s="43">
      <c r="A102" s="89" t="n">
        <v>40330</v>
      </c>
      <c r="B102" s="90" t="inlineStr">
        <is>
          <t>Salary</t>
        </is>
      </c>
      <c r="C102" s="90" t="inlineStr">
        <is>
          <t>Income</t>
        </is>
      </c>
      <c r="D102" s="91" t="n">
        <v>3610</v>
      </c>
      <c r="E102" s="77" t="n"/>
      <c r="F102" s="92">
        <f>IF(AND(C102="One-off",IFERROR(INDEX(Categories!$C$2:$C$200,MATCH(B102,Categories!$A$2:$A$200,0)),"N")="Y"),D102,0)</f>
        <v/>
      </c>
    </row>
    <row r="103" ht="15" customHeight="1" s="43">
      <c r="A103" s="89" t="n">
        <v>40330</v>
      </c>
      <c r="B103" s="90" t="inlineStr">
        <is>
          <t>Uncategorised</t>
        </is>
      </c>
      <c r="C103" s="90" t="inlineStr">
        <is>
          <t>Actual</t>
        </is>
      </c>
      <c r="D103" s="91" t="n">
        <v>2640</v>
      </c>
      <c r="E103" s="94" t="inlineStr">
        <is>
          <t>Historical monthly total (pre per-category tracking)</t>
        </is>
      </c>
      <c r="F103" s="92">
        <f>IF(AND(C103="One-off",IFERROR(INDEX(Categories!$C$2:$C$200,MATCH(B103,Categories!$A$2:$A$200,0)),"N")="Y"),D103,0)</f>
        <v/>
      </c>
    </row>
    <row r="104" ht="15" customHeight="1" s="43">
      <c r="A104" s="89" t="n">
        <v>40360</v>
      </c>
      <c r="B104" s="90" t="inlineStr">
        <is>
          <t>Interest</t>
        </is>
      </c>
      <c r="C104" s="90" t="inlineStr">
        <is>
          <t>Income</t>
        </is>
      </c>
      <c r="D104" s="91" t="n">
        <v>20</v>
      </c>
      <c r="F104" s="92">
        <f>IF(AND(C104="One-off",IFERROR(INDEX(Categories!$C$2:$C$200,MATCH(B104,Categories!$A$2:$A$200,0)),"N")="Y"),D104,0)</f>
        <v/>
      </c>
    </row>
    <row r="105" ht="15" customHeight="1" s="43">
      <c r="A105" s="89" t="n">
        <v>40360</v>
      </c>
      <c r="B105" s="90" t="inlineStr">
        <is>
          <t>Salary</t>
        </is>
      </c>
      <c r="C105" s="90" t="inlineStr">
        <is>
          <t>Income</t>
        </is>
      </c>
      <c r="D105" s="91" t="n">
        <v>3360</v>
      </c>
      <c r="F105" s="92">
        <f>IF(AND(C105="One-off",IFERROR(INDEX(Categories!$C$2:$C$200,MATCH(B105,Categories!$A$2:$A$200,0)),"N")="Y"),D105,0)</f>
        <v/>
      </c>
    </row>
    <row r="106" ht="15" customHeight="1" s="43">
      <c r="A106" s="89" t="n">
        <v>40360</v>
      </c>
      <c r="B106" s="90" t="inlineStr">
        <is>
          <t>Uncategorised</t>
        </is>
      </c>
      <c r="C106" s="90" t="inlineStr">
        <is>
          <t>Actual</t>
        </is>
      </c>
      <c r="D106" s="91" t="n">
        <v>2160</v>
      </c>
      <c r="E106" s="94" t="inlineStr">
        <is>
          <t>Historical monthly total (pre per-category tracking)</t>
        </is>
      </c>
      <c r="F106" s="92">
        <f>IF(AND(C106="One-off",IFERROR(INDEX(Categories!$C$2:$C$200,MATCH(B106,Categories!$A$2:$A$200,0)),"N")="Y"),D106,0)</f>
        <v/>
      </c>
    </row>
    <row r="107" ht="15" customHeight="1" s="43">
      <c r="A107" s="89" t="n">
        <v>40360</v>
      </c>
      <c r="B107" s="90" t="inlineStr">
        <is>
          <t>Misc</t>
        </is>
      </c>
      <c r="C107" s="90" t="inlineStr">
        <is>
          <t>One-off</t>
        </is>
      </c>
      <c r="D107" s="91" t="n">
        <v>2500</v>
      </c>
      <c r="E107" s="93" t="inlineStr">
        <is>
          <t>Sample: overseas holiday</t>
        </is>
      </c>
      <c r="F107" s="92">
        <f>IF(AND(C107="One-off",IFERROR(INDEX(Categories!$C$2:$C$200,MATCH(B107,Categories!$A$2:$A$200,0)),"N")="Y"),D107,0)</f>
        <v/>
      </c>
    </row>
    <row r="108" ht="15" customHeight="1" s="43">
      <c r="A108" s="89" t="n">
        <v>40391</v>
      </c>
      <c r="B108" s="90" t="inlineStr">
        <is>
          <t>Interest</t>
        </is>
      </c>
      <c r="C108" s="90" t="inlineStr">
        <is>
          <t>Income</t>
        </is>
      </c>
      <c r="D108" s="91" t="n">
        <v>20</v>
      </c>
      <c r="F108" s="92">
        <f>IF(AND(C108="One-off",IFERROR(INDEX(Categories!$C$2:$C$200,MATCH(B108,Categories!$A$2:$A$200,0)),"N")="Y"),D108,0)</f>
        <v/>
      </c>
    </row>
    <row r="109" ht="15" customHeight="1" s="43">
      <c r="A109" s="89" t="n">
        <v>40391</v>
      </c>
      <c r="B109" s="90" t="inlineStr">
        <is>
          <t>Salary</t>
        </is>
      </c>
      <c r="C109" s="90" t="inlineStr">
        <is>
          <t>Income</t>
        </is>
      </c>
      <c r="D109" s="91" t="n">
        <v>3410</v>
      </c>
      <c r="F109" s="92">
        <f>IF(AND(C109="One-off",IFERROR(INDEX(Categories!$C$2:$C$200,MATCH(B109,Categories!$A$2:$A$200,0)),"N")="Y"),D109,0)</f>
        <v/>
      </c>
    </row>
    <row r="110" ht="15" customHeight="1" s="43">
      <c r="A110" s="89" t="n">
        <v>40391</v>
      </c>
      <c r="B110" s="90" t="inlineStr">
        <is>
          <t>Uncategorised</t>
        </is>
      </c>
      <c r="C110" s="90" t="inlineStr">
        <is>
          <t>Actual</t>
        </is>
      </c>
      <c r="D110" s="91" t="n">
        <v>2280</v>
      </c>
      <c r="E110" s="94" t="inlineStr">
        <is>
          <t>Historical monthly total (pre per-category tracking)</t>
        </is>
      </c>
      <c r="F110" s="92">
        <f>IF(AND(C110="One-off",IFERROR(INDEX(Categories!$C$2:$C$200,MATCH(B110,Categories!$A$2:$A$200,0)),"N")="Y"),D110,0)</f>
        <v/>
      </c>
    </row>
    <row r="111" ht="15" customHeight="1" s="43">
      <c r="A111" s="89" t="n">
        <v>40422</v>
      </c>
      <c r="B111" s="90" t="inlineStr">
        <is>
          <t>Dividends</t>
        </is>
      </c>
      <c r="C111" s="90" t="inlineStr">
        <is>
          <t>Income</t>
        </is>
      </c>
      <c r="D111" s="91" t="n">
        <v>150</v>
      </c>
      <c r="F111" s="92">
        <f>IF(AND(C111="One-off",IFERROR(INDEX(Categories!$C$2:$C$200,MATCH(B111,Categories!$A$2:$A$200,0)),"N")="Y"),D111,0)</f>
        <v/>
      </c>
    </row>
    <row r="112" ht="15" customHeight="1" s="43">
      <c r="A112" s="89" t="n">
        <v>40422</v>
      </c>
      <c r="B112" s="90" t="inlineStr">
        <is>
          <t>Interest</t>
        </is>
      </c>
      <c r="C112" s="90" t="inlineStr">
        <is>
          <t>Income</t>
        </is>
      </c>
      <c r="D112" s="91" t="n">
        <v>20</v>
      </c>
      <c r="E112" s="77" t="n"/>
      <c r="F112" s="92">
        <f>IF(AND(C112="One-off",IFERROR(INDEX(Categories!$C$2:$C$200,MATCH(B112,Categories!$A$2:$A$200,0)),"N")="Y"),D112,0)</f>
        <v/>
      </c>
    </row>
    <row r="113" ht="15" customHeight="1" s="43">
      <c r="A113" s="89" t="n">
        <v>40422</v>
      </c>
      <c r="B113" s="90" t="inlineStr">
        <is>
          <t>Salary</t>
        </is>
      </c>
      <c r="C113" s="90" t="inlineStr">
        <is>
          <t>Income</t>
        </is>
      </c>
      <c r="D113" s="91" t="n">
        <v>3460</v>
      </c>
      <c r="F113" s="92">
        <f>IF(AND(C113="One-off",IFERROR(INDEX(Categories!$C$2:$C$200,MATCH(B113,Categories!$A$2:$A$200,0)),"N")="Y"),D113,0)</f>
        <v/>
      </c>
    </row>
    <row r="114" ht="15" customHeight="1" s="43">
      <c r="A114" s="89" t="n">
        <v>40422</v>
      </c>
      <c r="B114" s="90" t="inlineStr">
        <is>
          <t>Uncategorised</t>
        </is>
      </c>
      <c r="C114" s="90" t="inlineStr">
        <is>
          <t>Actual</t>
        </is>
      </c>
      <c r="D114" s="91" t="n">
        <v>2400</v>
      </c>
      <c r="E114" s="94" t="inlineStr">
        <is>
          <t>Historical monthly total (pre per-category tracking)</t>
        </is>
      </c>
      <c r="F114" s="92">
        <f>IF(AND(C114="One-off",IFERROR(INDEX(Categories!$C$2:$C$200,MATCH(B114,Categories!$A$2:$A$200,0)),"N")="Y"),D114,0)</f>
        <v/>
      </c>
    </row>
    <row r="115" ht="15" customHeight="1" s="43">
      <c r="A115" s="89" t="n">
        <v>40452</v>
      </c>
      <c r="B115" s="90" t="inlineStr">
        <is>
          <t>Interest</t>
        </is>
      </c>
      <c r="C115" s="90" t="inlineStr">
        <is>
          <t>Income</t>
        </is>
      </c>
      <c r="D115" s="91" t="n">
        <v>20</v>
      </c>
      <c r="F115" s="92">
        <f>IF(AND(C115="One-off",IFERROR(INDEX(Categories!$C$2:$C$200,MATCH(B115,Categories!$A$2:$A$200,0)),"N")="Y"),D115,0)</f>
        <v/>
      </c>
    </row>
    <row r="116" ht="15" customHeight="1" s="43">
      <c r="A116" s="89" t="n">
        <v>40452</v>
      </c>
      <c r="B116" s="90" t="inlineStr">
        <is>
          <t>Salary</t>
        </is>
      </c>
      <c r="C116" s="90" t="inlineStr">
        <is>
          <t>Income</t>
        </is>
      </c>
      <c r="D116" s="91" t="n">
        <v>3510</v>
      </c>
      <c r="F116" s="92">
        <f>IF(AND(C116="One-off",IFERROR(INDEX(Categories!$C$2:$C$200,MATCH(B116,Categories!$A$2:$A$200,0)),"N")="Y"),D116,0)</f>
        <v/>
      </c>
    </row>
    <row r="117" ht="15" customHeight="1" s="43">
      <c r="A117" s="89" t="n">
        <v>40452</v>
      </c>
      <c r="B117" s="90" t="inlineStr">
        <is>
          <t>Uncategorised</t>
        </is>
      </c>
      <c r="C117" s="90" t="inlineStr">
        <is>
          <t>Actual</t>
        </is>
      </c>
      <c r="D117" s="91" t="n">
        <v>2520</v>
      </c>
      <c r="E117" s="94" t="inlineStr">
        <is>
          <t>Historical monthly total (pre per-category tracking)</t>
        </is>
      </c>
      <c r="F117" s="92">
        <f>IF(AND(C117="One-off",IFERROR(INDEX(Categories!$C$2:$C$200,MATCH(B117,Categories!$A$2:$A$200,0)),"N")="Y"),D117,0)</f>
        <v/>
      </c>
    </row>
    <row r="118" ht="15" customHeight="1" s="43">
      <c r="A118" s="89" t="n">
        <v>40483</v>
      </c>
      <c r="B118" s="90" t="inlineStr">
        <is>
          <t>Interest</t>
        </is>
      </c>
      <c r="C118" s="90" t="inlineStr">
        <is>
          <t>Income</t>
        </is>
      </c>
      <c r="D118" s="91" t="n">
        <v>20</v>
      </c>
      <c r="F118" s="92">
        <f>IF(AND(C118="One-off",IFERROR(INDEX(Categories!$C$2:$C$200,MATCH(B118,Categories!$A$2:$A$200,0)),"N")="Y"),D118,0)</f>
        <v/>
      </c>
    </row>
    <row r="119" ht="15" customHeight="1" s="43">
      <c r="A119" s="89" t="n">
        <v>40483</v>
      </c>
      <c r="B119" s="90" t="inlineStr">
        <is>
          <t>Salary</t>
        </is>
      </c>
      <c r="C119" s="90" t="inlineStr">
        <is>
          <t>Income</t>
        </is>
      </c>
      <c r="D119" s="91" t="n">
        <v>3560</v>
      </c>
      <c r="F119" s="92">
        <f>IF(AND(C119="One-off",IFERROR(INDEX(Categories!$C$2:$C$200,MATCH(B119,Categories!$A$2:$A$200,0)),"N")="Y"),D119,0)</f>
        <v/>
      </c>
    </row>
    <row r="120" ht="15" customHeight="1" s="43">
      <c r="A120" s="89" t="n">
        <v>40483</v>
      </c>
      <c r="B120" s="90" t="inlineStr">
        <is>
          <t>Uncategorised</t>
        </is>
      </c>
      <c r="C120" s="90" t="inlineStr">
        <is>
          <t>Actual</t>
        </is>
      </c>
      <c r="D120" s="91" t="n">
        <v>2640</v>
      </c>
      <c r="E120" s="93" t="inlineStr">
        <is>
          <t>Historical monthly total (pre per-category tracking)</t>
        </is>
      </c>
      <c r="F120" s="92">
        <f>IF(AND(C120="One-off",IFERROR(INDEX(Categories!$C$2:$C$200,MATCH(B120,Categories!$A$2:$A$200,0)),"N")="Y"),D120,0)</f>
        <v/>
      </c>
    </row>
    <row r="121" ht="15" customHeight="1" s="43">
      <c r="A121" s="89" t="n">
        <v>40513</v>
      </c>
      <c r="B121" s="90" t="inlineStr">
        <is>
          <t>Bonus/Claims</t>
        </is>
      </c>
      <c r="C121" s="90" t="inlineStr">
        <is>
          <t>Income</t>
        </is>
      </c>
      <c r="D121" s="91" t="n">
        <v>3610</v>
      </c>
      <c r="F121" s="92">
        <f>IF(AND(C121="One-off",IFERROR(INDEX(Categories!$C$2:$C$200,MATCH(B121,Categories!$A$2:$A$200,0)),"N")="Y"),D121,0)</f>
        <v/>
      </c>
    </row>
    <row r="122" ht="15" customHeight="1" s="43">
      <c r="A122" s="89" t="n">
        <v>40513</v>
      </c>
      <c r="B122" s="90" t="inlineStr">
        <is>
          <t>Dividends</t>
        </is>
      </c>
      <c r="C122" s="90" t="inlineStr">
        <is>
          <t>Income</t>
        </is>
      </c>
      <c r="D122" s="91" t="n">
        <v>150</v>
      </c>
      <c r="F122" s="92">
        <f>IF(AND(C122="One-off",IFERROR(INDEX(Categories!$C$2:$C$200,MATCH(B122,Categories!$A$2:$A$200,0)),"N")="Y"),D122,0)</f>
        <v/>
      </c>
    </row>
    <row r="123" ht="15" customHeight="1" s="43">
      <c r="A123" s="89" t="n">
        <v>40513</v>
      </c>
      <c r="B123" s="90" t="inlineStr">
        <is>
          <t>Interest</t>
        </is>
      </c>
      <c r="C123" s="90" t="inlineStr">
        <is>
          <t>Income</t>
        </is>
      </c>
      <c r="D123" s="91" t="n">
        <v>20</v>
      </c>
      <c r="F123" s="92">
        <f>IF(AND(C123="One-off",IFERROR(INDEX(Categories!$C$2:$C$200,MATCH(B123,Categories!$A$2:$A$200,0)),"N")="Y"),D123,0)</f>
        <v/>
      </c>
    </row>
    <row r="124" ht="15" customHeight="1" s="43">
      <c r="A124" s="89" t="n">
        <v>40513</v>
      </c>
      <c r="B124" s="90" t="inlineStr">
        <is>
          <t>Salary</t>
        </is>
      </c>
      <c r="C124" s="90" t="inlineStr">
        <is>
          <t>Income</t>
        </is>
      </c>
      <c r="D124" s="91" t="n">
        <v>3610</v>
      </c>
      <c r="F124" s="92">
        <f>IF(AND(C124="One-off",IFERROR(INDEX(Categories!$C$2:$C$200,MATCH(B124,Categories!$A$2:$A$200,0)),"N")="Y"),D124,0)</f>
        <v/>
      </c>
    </row>
    <row r="125" ht="15" customHeight="1" s="43">
      <c r="A125" s="89" t="n">
        <v>40513</v>
      </c>
      <c r="B125" s="90" t="inlineStr">
        <is>
          <t>Uncategorised</t>
        </is>
      </c>
      <c r="C125" s="90" t="inlineStr">
        <is>
          <t>Actual</t>
        </is>
      </c>
      <c r="D125" s="91" t="n">
        <v>2160</v>
      </c>
      <c r="E125" s="93" t="inlineStr">
        <is>
          <t>Historical monthly total (pre per-category tracking)</t>
        </is>
      </c>
      <c r="F125" s="92">
        <f>IF(AND(C125="One-off",IFERROR(INDEX(Categories!$C$2:$C$200,MATCH(B125,Categories!$A$2:$A$200,0)),"N")="Y"),D125,0)</f>
        <v/>
      </c>
    </row>
    <row r="126" ht="15" customHeight="1" s="43">
      <c r="A126" s="89" t="n">
        <v>40544</v>
      </c>
      <c r="B126" s="90" t="inlineStr">
        <is>
          <t>Interest</t>
        </is>
      </c>
      <c r="C126" s="90" t="inlineStr">
        <is>
          <t>Income</t>
        </is>
      </c>
      <c r="D126" s="91" t="n">
        <v>20</v>
      </c>
      <c r="F126" s="92">
        <f>IF(AND(C126="One-off",IFERROR(INDEX(Categories!$C$2:$C$200,MATCH(B126,Categories!$A$2:$A$200,0)),"N")="Y"),D126,0)</f>
        <v/>
      </c>
    </row>
    <row r="127" ht="15" customHeight="1" s="43">
      <c r="A127" s="89" t="n">
        <v>40544</v>
      </c>
      <c r="B127" s="90" t="inlineStr">
        <is>
          <t>Salary</t>
        </is>
      </c>
      <c r="C127" s="90" t="inlineStr">
        <is>
          <t>Income</t>
        </is>
      </c>
      <c r="D127" s="91" t="n">
        <v>3540</v>
      </c>
      <c r="F127" s="92">
        <f>IF(AND(C127="One-off",IFERROR(INDEX(Categories!$C$2:$C$200,MATCH(B127,Categories!$A$2:$A$200,0)),"N")="Y"),D127,0)</f>
        <v/>
      </c>
    </row>
    <row r="128" ht="15" customHeight="1" s="43">
      <c r="A128" s="89" t="n">
        <v>40544</v>
      </c>
      <c r="B128" s="90" t="inlineStr">
        <is>
          <t>Uncategorised</t>
        </is>
      </c>
      <c r="C128" s="90" t="inlineStr">
        <is>
          <t>Actual</t>
        </is>
      </c>
      <c r="D128" s="91" t="n">
        <v>2360</v>
      </c>
      <c r="E128" s="94" t="inlineStr">
        <is>
          <t>Historical monthly total (pre per-category tracking)</t>
        </is>
      </c>
      <c r="F128" s="92">
        <f>IF(AND(C128="One-off",IFERROR(INDEX(Categories!$C$2:$C$200,MATCH(B128,Categories!$A$2:$A$200,0)),"N")="Y"),D128,0)</f>
        <v/>
      </c>
    </row>
    <row r="129" ht="15" customHeight="1" s="43">
      <c r="A129" s="89" t="n">
        <v>40575</v>
      </c>
      <c r="B129" s="90" t="inlineStr">
        <is>
          <t>Interest</t>
        </is>
      </c>
      <c r="C129" s="90" t="inlineStr">
        <is>
          <t>Income</t>
        </is>
      </c>
      <c r="D129" s="91" t="n">
        <v>20</v>
      </c>
      <c r="F129" s="92">
        <f>IF(AND(C129="One-off",IFERROR(INDEX(Categories!$C$2:$C$200,MATCH(B129,Categories!$A$2:$A$200,0)),"N")="Y"),D129,0)</f>
        <v/>
      </c>
    </row>
    <row r="130" ht="15" customHeight="1" s="43">
      <c r="A130" s="89" t="n">
        <v>40575</v>
      </c>
      <c r="B130" s="90" t="inlineStr">
        <is>
          <t>Salary</t>
        </is>
      </c>
      <c r="C130" s="90" t="inlineStr">
        <is>
          <t>Income</t>
        </is>
      </c>
      <c r="D130" s="91" t="n">
        <v>3590</v>
      </c>
      <c r="F130" s="92">
        <f>IF(AND(C130="One-off",IFERROR(INDEX(Categories!$C$2:$C$200,MATCH(B130,Categories!$A$2:$A$200,0)),"N")="Y"),D130,0)</f>
        <v/>
      </c>
    </row>
    <row r="131" ht="15" customHeight="1" s="43">
      <c r="A131" s="89" t="n">
        <v>40575</v>
      </c>
      <c r="B131" s="90" t="inlineStr">
        <is>
          <t>Uncategorised</t>
        </is>
      </c>
      <c r="C131" s="90" t="inlineStr">
        <is>
          <t>Actual</t>
        </is>
      </c>
      <c r="D131" s="91" t="n">
        <v>2480</v>
      </c>
      <c r="E131" s="94" t="inlineStr">
        <is>
          <t>Historical monthly total (pre per-category tracking)</t>
        </is>
      </c>
      <c r="F131" s="92">
        <f>IF(AND(C131="One-off",IFERROR(INDEX(Categories!$C$2:$C$200,MATCH(B131,Categories!$A$2:$A$200,0)),"N")="Y"),D131,0)</f>
        <v/>
      </c>
    </row>
    <row r="132" ht="15" customHeight="1" s="43">
      <c r="A132" s="89" t="n">
        <v>40603</v>
      </c>
      <c r="B132" s="90" t="inlineStr">
        <is>
          <t>Dividends</t>
        </is>
      </c>
      <c r="C132" s="90" t="inlineStr">
        <is>
          <t>Income</t>
        </is>
      </c>
      <c r="D132" s="91" t="n">
        <v>150</v>
      </c>
      <c r="E132" s="77" t="n"/>
      <c r="F132" s="92">
        <f>IF(AND(C132="One-off",IFERROR(INDEX(Categories!$C$2:$C$200,MATCH(B132,Categories!$A$2:$A$200,0)),"N")="Y"),D132,0)</f>
        <v/>
      </c>
    </row>
    <row r="133" ht="15" customHeight="1" s="43">
      <c r="A133" s="89" t="n">
        <v>40603</v>
      </c>
      <c r="B133" s="90" t="inlineStr">
        <is>
          <t>Interest</t>
        </is>
      </c>
      <c r="C133" s="90" t="inlineStr">
        <is>
          <t>Income</t>
        </is>
      </c>
      <c r="D133" s="91" t="n">
        <v>20</v>
      </c>
      <c r="F133" s="92">
        <f>IF(AND(C133="One-off",IFERROR(INDEX(Categories!$C$2:$C$200,MATCH(B133,Categories!$A$2:$A$200,0)),"N")="Y"),D133,0)</f>
        <v/>
      </c>
    </row>
    <row r="134" ht="15" customHeight="1" s="43">
      <c r="A134" s="89" t="n">
        <v>40603</v>
      </c>
      <c r="B134" s="90" t="inlineStr">
        <is>
          <t>Salary</t>
        </is>
      </c>
      <c r="C134" s="90" t="inlineStr">
        <is>
          <t>Income</t>
        </is>
      </c>
      <c r="D134" s="91" t="n">
        <v>3640</v>
      </c>
      <c r="F134" s="92">
        <f>IF(AND(C134="One-off",IFERROR(INDEX(Categories!$C$2:$C$200,MATCH(B134,Categories!$A$2:$A$200,0)),"N")="Y"),D134,0)</f>
        <v/>
      </c>
    </row>
    <row r="135" ht="15" customHeight="1" s="43">
      <c r="A135" s="89" t="n">
        <v>40603</v>
      </c>
      <c r="B135" s="90" t="inlineStr">
        <is>
          <t>Uncategorised</t>
        </is>
      </c>
      <c r="C135" s="90" t="inlineStr">
        <is>
          <t>Actual</t>
        </is>
      </c>
      <c r="D135" s="91" t="n">
        <v>2600</v>
      </c>
      <c r="E135" s="94" t="inlineStr">
        <is>
          <t>Historical monthly total (pre per-category tracking)</t>
        </is>
      </c>
      <c r="F135" s="92">
        <f>IF(AND(C135="One-off",IFERROR(INDEX(Categories!$C$2:$C$200,MATCH(B135,Categories!$A$2:$A$200,0)),"N")="Y"),D135,0)</f>
        <v/>
      </c>
    </row>
    <row r="136" ht="15" customHeight="1" s="43">
      <c r="A136" s="89" t="n">
        <v>40634</v>
      </c>
      <c r="B136" s="90" t="inlineStr">
        <is>
          <t>Interest</t>
        </is>
      </c>
      <c r="C136" s="90" t="inlineStr">
        <is>
          <t>Income</t>
        </is>
      </c>
      <c r="D136" s="91" t="n">
        <v>20</v>
      </c>
      <c r="F136" s="92">
        <f>IF(AND(C136="One-off",IFERROR(INDEX(Categories!$C$2:$C$200,MATCH(B136,Categories!$A$2:$A$200,0)),"N")="Y"),D136,0)</f>
        <v/>
      </c>
    </row>
    <row r="137" ht="15" customHeight="1" s="43">
      <c r="A137" s="89" t="n">
        <v>40634</v>
      </c>
      <c r="B137" s="90" t="inlineStr">
        <is>
          <t>Salary</t>
        </is>
      </c>
      <c r="C137" s="90" t="inlineStr">
        <is>
          <t>Income</t>
        </is>
      </c>
      <c r="D137" s="91" t="n">
        <v>3690</v>
      </c>
      <c r="F137" s="92">
        <f>IF(AND(C137="One-off",IFERROR(INDEX(Categories!$C$2:$C$200,MATCH(B137,Categories!$A$2:$A$200,0)),"N")="Y"),D137,0)</f>
        <v/>
      </c>
    </row>
    <row r="138" ht="15" customHeight="1" s="43">
      <c r="A138" s="89" t="n">
        <v>40634</v>
      </c>
      <c r="B138" s="90" t="inlineStr">
        <is>
          <t>Uncategorised</t>
        </is>
      </c>
      <c r="C138" s="90" t="inlineStr">
        <is>
          <t>Actual</t>
        </is>
      </c>
      <c r="D138" s="91" t="n">
        <v>2720</v>
      </c>
      <c r="E138" s="94" t="inlineStr">
        <is>
          <t>Historical monthly total (pre per-category tracking)</t>
        </is>
      </c>
      <c r="F138" s="92">
        <f>IF(AND(C138="One-off",IFERROR(INDEX(Categories!$C$2:$C$200,MATCH(B138,Categories!$A$2:$A$200,0)),"N")="Y"),D138,0)</f>
        <v/>
      </c>
    </row>
    <row r="139" ht="15" customHeight="1" s="43">
      <c r="A139" s="89" t="n">
        <v>40664</v>
      </c>
      <c r="B139" s="90" t="inlineStr">
        <is>
          <t>Interest</t>
        </is>
      </c>
      <c r="C139" s="90" t="inlineStr">
        <is>
          <t>Income</t>
        </is>
      </c>
      <c r="D139" s="91" t="n">
        <v>20</v>
      </c>
      <c r="E139" s="77" t="n"/>
      <c r="F139" s="92">
        <f>IF(AND(C139="One-off",IFERROR(INDEX(Categories!$C$2:$C$200,MATCH(B139,Categories!$A$2:$A$200,0)),"N")="Y"),D139,0)</f>
        <v/>
      </c>
    </row>
    <row r="140" ht="15" customHeight="1" s="43">
      <c r="A140" s="89" t="n">
        <v>40664</v>
      </c>
      <c r="B140" s="90" t="inlineStr">
        <is>
          <t>Salary</t>
        </is>
      </c>
      <c r="C140" s="90" t="inlineStr">
        <is>
          <t>Income</t>
        </is>
      </c>
      <c r="D140" s="91" t="n">
        <v>3740</v>
      </c>
      <c r="F140" s="95">
        <f>IF(AND(C140="One-off",IFERROR(INDEX(Categories!$C$2:$C$200,MATCH(B140,Categories!$A$2:$A$200,0)),"N")="Y"),D140,0)</f>
        <v/>
      </c>
    </row>
    <row r="141" ht="15" customHeight="1" s="43">
      <c r="A141" s="89" t="n">
        <v>40664</v>
      </c>
      <c r="B141" s="90" t="inlineStr">
        <is>
          <t>Uncategorised</t>
        </is>
      </c>
      <c r="C141" s="90" t="inlineStr">
        <is>
          <t>Actual</t>
        </is>
      </c>
      <c r="D141" s="91" t="n">
        <v>2240</v>
      </c>
      <c r="E141" s="94" t="inlineStr">
        <is>
          <t>Historical monthly total (pre per-category tracking)</t>
        </is>
      </c>
      <c r="F141" s="92">
        <f>IF(AND(C141="One-off",IFERROR(INDEX(Categories!$C$2:$C$200,MATCH(B141,Categories!$A$2:$A$200,0)),"N")="Y"),D141,0)</f>
        <v/>
      </c>
    </row>
    <row r="142" ht="15" customHeight="1" s="43">
      <c r="A142" s="89" t="n">
        <v>40695</v>
      </c>
      <c r="B142" s="90" t="inlineStr">
        <is>
          <t>Dividends</t>
        </is>
      </c>
      <c r="C142" s="90" t="inlineStr">
        <is>
          <t>Income</t>
        </is>
      </c>
      <c r="D142" s="91" t="n">
        <v>150</v>
      </c>
      <c r="F142" s="92">
        <f>IF(AND(C142="One-off",IFERROR(INDEX(Categories!$C$2:$C$200,MATCH(B142,Categories!$A$2:$A$200,0)),"N")="Y"),D142,0)</f>
        <v/>
      </c>
    </row>
    <row r="143" ht="15" customHeight="1" s="43">
      <c r="A143" s="89" t="n">
        <v>40695</v>
      </c>
      <c r="B143" s="90" t="inlineStr">
        <is>
          <t>Interest</t>
        </is>
      </c>
      <c r="C143" s="90" t="inlineStr">
        <is>
          <t>Income</t>
        </is>
      </c>
      <c r="D143" s="91" t="n">
        <v>20</v>
      </c>
      <c r="E143" s="93" t="n"/>
      <c r="F143" s="92">
        <f>IF(AND(C143="One-off",IFERROR(INDEX(Categories!$C$2:$C$200,MATCH(B143,Categories!$A$2:$A$200,0)),"N")="Y"),D143,0)</f>
        <v/>
      </c>
    </row>
    <row r="144" ht="15" customHeight="1" s="43">
      <c r="A144" s="89" t="n">
        <v>40695</v>
      </c>
      <c r="B144" s="90" t="inlineStr">
        <is>
          <t>Salary</t>
        </is>
      </c>
      <c r="C144" s="90" t="inlineStr">
        <is>
          <t>Income</t>
        </is>
      </c>
      <c r="D144" s="91" t="n">
        <v>3790</v>
      </c>
      <c r="F144" s="92">
        <f>IF(AND(C144="One-off",IFERROR(INDEX(Categories!$C$2:$C$200,MATCH(B144,Categories!$A$2:$A$200,0)),"N")="Y"),D144,0)</f>
        <v/>
      </c>
    </row>
    <row r="145" ht="15" customHeight="1" s="43">
      <c r="A145" s="89" t="n">
        <v>40695</v>
      </c>
      <c r="B145" s="90" t="inlineStr">
        <is>
          <t>Uncategorised</t>
        </is>
      </c>
      <c r="C145" s="90" t="inlineStr">
        <is>
          <t>Actual</t>
        </is>
      </c>
      <c r="D145" s="91" t="n">
        <v>2360</v>
      </c>
      <c r="E145" s="94" t="inlineStr">
        <is>
          <t>Historical monthly total (pre per-category tracking)</t>
        </is>
      </c>
      <c r="F145" s="92">
        <f>IF(AND(C145="One-off",IFERROR(INDEX(Categories!$C$2:$C$200,MATCH(B145,Categories!$A$2:$A$200,0)),"N")="Y"),D145,0)</f>
        <v/>
      </c>
    </row>
    <row r="146" ht="15" customHeight="1" s="43">
      <c r="A146" s="89" t="n">
        <v>40725</v>
      </c>
      <c r="B146" s="90" t="inlineStr">
        <is>
          <t>Interest</t>
        </is>
      </c>
      <c r="C146" s="90" t="inlineStr">
        <is>
          <t>Income</t>
        </is>
      </c>
      <c r="D146" s="91" t="n">
        <v>20</v>
      </c>
      <c r="E146" s="77" t="n"/>
      <c r="F146" s="92">
        <f>IF(AND(C146="One-off",IFERROR(INDEX(Categories!$C$2:$C$200,MATCH(B146,Categories!$A$2:$A$200,0)),"N")="Y"),D146,0)</f>
        <v/>
      </c>
    </row>
    <row r="147" ht="15" customHeight="1" s="43">
      <c r="A147" s="89" t="n">
        <v>40725</v>
      </c>
      <c r="B147" s="90" t="inlineStr">
        <is>
          <t>Salary</t>
        </is>
      </c>
      <c r="C147" s="90" t="inlineStr">
        <is>
          <t>Income</t>
        </is>
      </c>
      <c r="D147" s="91" t="n">
        <v>3540</v>
      </c>
      <c r="F147" s="92">
        <f>IF(AND(C147="One-off",IFERROR(INDEX(Categories!$C$2:$C$200,MATCH(B147,Categories!$A$2:$A$200,0)),"N")="Y"),D147,0)</f>
        <v/>
      </c>
    </row>
    <row r="148" ht="15" customHeight="1" s="43">
      <c r="A148" s="89" t="n">
        <v>40725</v>
      </c>
      <c r="B148" s="90" t="inlineStr">
        <is>
          <t>Uncategorised</t>
        </is>
      </c>
      <c r="C148" s="90" t="inlineStr">
        <is>
          <t>Actual</t>
        </is>
      </c>
      <c r="D148" s="91" t="n">
        <v>2480</v>
      </c>
      <c r="E148" s="94" t="inlineStr">
        <is>
          <t>Historical monthly total (pre per-category tracking)</t>
        </is>
      </c>
      <c r="F148" s="92">
        <f>IF(AND(C148="One-off",IFERROR(INDEX(Categories!$C$2:$C$200,MATCH(B148,Categories!$A$2:$A$200,0)),"N")="Y"),D148,0)</f>
        <v/>
      </c>
    </row>
    <row r="149" ht="15" customHeight="1" s="43">
      <c r="A149" s="89" t="n">
        <v>40756</v>
      </c>
      <c r="B149" s="90" t="inlineStr">
        <is>
          <t>Interest</t>
        </is>
      </c>
      <c r="C149" s="90" t="inlineStr">
        <is>
          <t>Income</t>
        </is>
      </c>
      <c r="D149" s="91" t="n">
        <v>20</v>
      </c>
      <c r="F149" s="92">
        <f>IF(AND(C149="One-off",IFERROR(INDEX(Categories!$C$2:$C$200,MATCH(B149,Categories!$A$2:$A$200,0)),"N")="Y"),D149,0)</f>
        <v/>
      </c>
    </row>
    <row r="150" ht="15" customHeight="1" s="43">
      <c r="A150" s="89" t="n">
        <v>40756</v>
      </c>
      <c r="B150" s="90" t="inlineStr">
        <is>
          <t>Salary</t>
        </is>
      </c>
      <c r="C150" s="90" t="inlineStr">
        <is>
          <t>Income</t>
        </is>
      </c>
      <c r="D150" s="91" t="n">
        <v>3590</v>
      </c>
      <c r="E150" s="77" t="n"/>
      <c r="F150" s="92">
        <f>IF(AND(C150="One-off",IFERROR(INDEX(Categories!$C$2:$C$200,MATCH(B150,Categories!$A$2:$A$200,0)),"N")="Y"),D150,0)</f>
        <v/>
      </c>
    </row>
    <row r="151" ht="15" customHeight="1" s="43">
      <c r="A151" s="89" t="n">
        <v>40756</v>
      </c>
      <c r="B151" s="90" t="inlineStr">
        <is>
          <t>Uncategorised</t>
        </is>
      </c>
      <c r="C151" s="90" t="inlineStr">
        <is>
          <t>Actual</t>
        </is>
      </c>
      <c r="D151" s="91" t="n">
        <v>2600</v>
      </c>
      <c r="E151" s="94" t="inlineStr">
        <is>
          <t>Historical monthly total (pre per-category tracking)</t>
        </is>
      </c>
      <c r="F151" s="92">
        <f>IF(AND(C151="One-off",IFERROR(INDEX(Categories!$C$2:$C$200,MATCH(B151,Categories!$A$2:$A$200,0)),"N")="Y"),D151,0)</f>
        <v/>
      </c>
    </row>
    <row r="152" ht="15" customHeight="1" s="43">
      <c r="A152" s="89" t="n">
        <v>40787</v>
      </c>
      <c r="B152" s="90" t="inlineStr">
        <is>
          <t>Dividends</t>
        </is>
      </c>
      <c r="C152" s="90" t="inlineStr">
        <is>
          <t>Income</t>
        </is>
      </c>
      <c r="D152" s="91" t="n">
        <v>150</v>
      </c>
      <c r="F152" s="92">
        <f>IF(AND(C152="One-off",IFERROR(INDEX(Categories!$C$2:$C$200,MATCH(B152,Categories!$A$2:$A$200,0)),"N")="Y"),D152,0)</f>
        <v/>
      </c>
    </row>
    <row r="153" ht="15" customHeight="1" s="43">
      <c r="A153" s="89" t="n">
        <v>40787</v>
      </c>
      <c r="B153" s="90" t="inlineStr">
        <is>
          <t>Interest</t>
        </is>
      </c>
      <c r="C153" s="90" t="inlineStr">
        <is>
          <t>Income</t>
        </is>
      </c>
      <c r="D153" s="91" t="n">
        <v>20</v>
      </c>
      <c r="F153" s="92">
        <f>IF(AND(C153="One-off",IFERROR(INDEX(Categories!$C$2:$C$200,MATCH(B153,Categories!$A$2:$A$200,0)),"N")="Y"),D153,0)</f>
        <v/>
      </c>
    </row>
    <row r="154" ht="15" customHeight="1" s="43">
      <c r="A154" s="89" t="n">
        <v>40787</v>
      </c>
      <c r="B154" s="90" t="inlineStr">
        <is>
          <t>Salary</t>
        </is>
      </c>
      <c r="C154" s="90" t="inlineStr">
        <is>
          <t>Income</t>
        </is>
      </c>
      <c r="D154" s="91" t="n">
        <v>3640</v>
      </c>
      <c r="F154" s="92">
        <f>IF(AND(C154="One-off",IFERROR(INDEX(Categories!$C$2:$C$200,MATCH(B154,Categories!$A$2:$A$200,0)),"N")="Y"),D154,0)</f>
        <v/>
      </c>
    </row>
    <row r="155" ht="15" customHeight="1" s="43">
      <c r="A155" s="89" t="n">
        <v>40787</v>
      </c>
      <c r="B155" s="90" t="inlineStr">
        <is>
          <t>Uncategorised</t>
        </is>
      </c>
      <c r="C155" s="90" t="inlineStr">
        <is>
          <t>Actual</t>
        </is>
      </c>
      <c r="D155" s="91" t="n">
        <v>2720</v>
      </c>
      <c r="E155" s="94" t="inlineStr">
        <is>
          <t>Historical monthly total (pre per-category tracking)</t>
        </is>
      </c>
      <c r="F155" s="92">
        <f>IF(AND(C155="One-off",IFERROR(INDEX(Categories!$C$2:$C$200,MATCH(B155,Categories!$A$2:$A$200,0)),"N")="Y"),D155,0)</f>
        <v/>
      </c>
    </row>
    <row r="156" ht="15" customHeight="1" s="43">
      <c r="A156" s="89" t="n">
        <v>40817</v>
      </c>
      <c r="B156" s="90" t="inlineStr">
        <is>
          <t>Interest</t>
        </is>
      </c>
      <c r="C156" s="90" t="inlineStr">
        <is>
          <t>Income</t>
        </is>
      </c>
      <c r="D156" s="91" t="n">
        <v>20</v>
      </c>
      <c r="E156" s="77" t="n"/>
      <c r="F156" s="92">
        <f>IF(AND(C156="One-off",IFERROR(INDEX(Categories!$C$2:$C$200,MATCH(B156,Categories!$A$2:$A$200,0)),"N")="Y"),D156,0)</f>
        <v/>
      </c>
    </row>
    <row r="157" ht="15" customHeight="1" s="43">
      <c r="A157" s="89" t="n">
        <v>40817</v>
      </c>
      <c r="B157" s="90" t="inlineStr">
        <is>
          <t>Salary</t>
        </is>
      </c>
      <c r="C157" s="90" t="inlineStr">
        <is>
          <t>Income</t>
        </is>
      </c>
      <c r="D157" s="91" t="n">
        <v>3690</v>
      </c>
      <c r="F157" s="92">
        <f>IF(AND(C157="One-off",IFERROR(INDEX(Categories!$C$2:$C$200,MATCH(B157,Categories!$A$2:$A$200,0)),"N")="Y"),D157,0)</f>
        <v/>
      </c>
    </row>
    <row r="158" ht="15" customHeight="1" s="43">
      <c r="A158" s="89" t="n">
        <v>40817</v>
      </c>
      <c r="B158" s="90" t="inlineStr">
        <is>
          <t>Uncategorised</t>
        </is>
      </c>
      <c r="C158" s="90" t="inlineStr">
        <is>
          <t>Actual</t>
        </is>
      </c>
      <c r="D158" s="91" t="n">
        <v>2240</v>
      </c>
      <c r="E158" s="94" t="inlineStr">
        <is>
          <t>Historical monthly total (pre per-category tracking)</t>
        </is>
      </c>
      <c r="F158" s="92">
        <f>IF(AND(C158="One-off",IFERROR(INDEX(Categories!$C$2:$C$200,MATCH(B158,Categories!$A$2:$A$200,0)),"N")="Y"),D158,0)</f>
        <v/>
      </c>
    </row>
    <row r="159" ht="15" customHeight="1" s="43">
      <c r="A159" s="89" t="n">
        <v>40848</v>
      </c>
      <c r="B159" s="90" t="inlineStr">
        <is>
          <t>Interest</t>
        </is>
      </c>
      <c r="C159" s="90" t="inlineStr">
        <is>
          <t>Income</t>
        </is>
      </c>
      <c r="D159" s="91" t="n">
        <v>20</v>
      </c>
      <c r="F159" s="92">
        <f>IF(AND(C159="One-off",IFERROR(INDEX(Categories!$C$2:$C$200,MATCH(B159,Categories!$A$2:$A$200,0)),"N")="Y"),D159,0)</f>
        <v/>
      </c>
    </row>
    <row r="160" ht="15" customHeight="1" s="43">
      <c r="A160" s="89" t="n">
        <v>40848</v>
      </c>
      <c r="B160" s="90" t="inlineStr">
        <is>
          <t>Salary</t>
        </is>
      </c>
      <c r="C160" s="90" t="inlineStr">
        <is>
          <t>Income</t>
        </is>
      </c>
      <c r="D160" s="91" t="n">
        <v>3740</v>
      </c>
      <c r="F160" s="92">
        <f>IF(AND(C160="One-off",IFERROR(INDEX(Categories!$C$2:$C$200,MATCH(B160,Categories!$A$2:$A$200,0)),"N")="Y"),D160,0)</f>
        <v/>
      </c>
    </row>
    <row r="161" ht="15" customHeight="1" s="43">
      <c r="A161" s="89" t="n">
        <v>40848</v>
      </c>
      <c r="B161" s="90" t="inlineStr">
        <is>
          <t>Uncategorised</t>
        </is>
      </c>
      <c r="C161" s="90" t="inlineStr">
        <is>
          <t>Actual</t>
        </is>
      </c>
      <c r="D161" s="91" t="n">
        <v>2360</v>
      </c>
      <c r="E161" s="94" t="inlineStr">
        <is>
          <t>Historical monthly total (pre per-category tracking)</t>
        </is>
      </c>
      <c r="F161" s="92">
        <f>IF(AND(C161="One-off",IFERROR(INDEX(Categories!$C$2:$C$200,MATCH(B161,Categories!$A$2:$A$200,0)),"N")="Y"),D161,0)</f>
        <v/>
      </c>
    </row>
    <row r="162" ht="15" customHeight="1" s="43">
      <c r="A162" s="89" t="n">
        <v>40878</v>
      </c>
      <c r="B162" s="90" t="inlineStr">
        <is>
          <t>Bonus/Claims</t>
        </is>
      </c>
      <c r="C162" s="90" t="inlineStr">
        <is>
          <t>Income</t>
        </is>
      </c>
      <c r="D162" s="91" t="n">
        <v>3790</v>
      </c>
      <c r="E162" s="77" t="n"/>
      <c r="F162" s="92">
        <f>IF(AND(C162="One-off",IFERROR(INDEX(Categories!$C$2:$C$200,MATCH(B162,Categories!$A$2:$A$200,0)),"N")="Y"),D162,0)</f>
        <v/>
      </c>
    </row>
    <row r="163" ht="15" customHeight="1" s="43">
      <c r="A163" s="89" t="n">
        <v>40878</v>
      </c>
      <c r="B163" s="90" t="inlineStr">
        <is>
          <t>Dividends</t>
        </is>
      </c>
      <c r="C163" s="90" t="inlineStr">
        <is>
          <t>Income</t>
        </is>
      </c>
      <c r="D163" s="91" t="n">
        <v>150</v>
      </c>
      <c r="F163" s="92">
        <f>IF(AND(C163="One-off",IFERROR(INDEX(Categories!$C$2:$C$200,MATCH(B163,Categories!$A$2:$A$200,0)),"N")="Y"),D163,0)</f>
        <v/>
      </c>
    </row>
    <row r="164" ht="15" customHeight="1" s="43">
      <c r="A164" s="89" t="n">
        <v>40878</v>
      </c>
      <c r="B164" s="90" t="inlineStr">
        <is>
          <t>Interest</t>
        </is>
      </c>
      <c r="C164" s="90" t="inlineStr">
        <is>
          <t>Income</t>
        </is>
      </c>
      <c r="D164" s="91" t="n">
        <v>20</v>
      </c>
      <c r="F164" s="92">
        <f>IF(AND(C164="One-off",IFERROR(INDEX(Categories!$C$2:$C$200,MATCH(B164,Categories!$A$2:$A$200,0)),"N")="Y"),D164,0)</f>
        <v/>
      </c>
    </row>
    <row r="165" ht="15" customHeight="1" s="43">
      <c r="A165" s="89" t="n">
        <v>40878</v>
      </c>
      <c r="B165" s="90" t="inlineStr">
        <is>
          <t>Salary</t>
        </is>
      </c>
      <c r="C165" s="90" t="inlineStr">
        <is>
          <t>Income</t>
        </is>
      </c>
      <c r="D165" s="91" t="n">
        <v>3790</v>
      </c>
      <c r="F165" s="92">
        <f>IF(AND(C165="One-off",IFERROR(INDEX(Categories!$C$2:$C$200,MATCH(B165,Categories!$A$2:$A$200,0)),"N")="Y"),D165,0)</f>
        <v/>
      </c>
    </row>
    <row r="166" ht="15" customHeight="1" s="43">
      <c r="A166" s="89" t="n">
        <v>40878</v>
      </c>
      <c r="B166" s="90" t="inlineStr">
        <is>
          <t>Uncategorised</t>
        </is>
      </c>
      <c r="C166" s="90" t="inlineStr">
        <is>
          <t>Actual</t>
        </is>
      </c>
      <c r="D166" s="91" t="n">
        <v>2480</v>
      </c>
      <c r="E166" s="94" t="inlineStr">
        <is>
          <t>Historical monthly total (pre per-category tracking)</t>
        </is>
      </c>
      <c r="F166" s="92">
        <f>IF(AND(C166="One-off",IFERROR(INDEX(Categories!$C$2:$C$200,MATCH(B166,Categories!$A$2:$A$200,0)),"N")="Y"),D166,0)</f>
        <v/>
      </c>
    </row>
    <row r="167" ht="15" customHeight="1" s="43">
      <c r="A167" s="89" t="n">
        <v>40909</v>
      </c>
      <c r="B167" s="90" t="inlineStr">
        <is>
          <t>Interest</t>
        </is>
      </c>
      <c r="C167" s="90" t="inlineStr">
        <is>
          <t>Income</t>
        </is>
      </c>
      <c r="D167" s="91" t="n">
        <v>20</v>
      </c>
      <c r="E167" s="77" t="n"/>
      <c r="F167" s="92">
        <f>IF(AND(C167="One-off",IFERROR(INDEX(Categories!$C$2:$C$200,MATCH(B167,Categories!$A$2:$A$200,0)),"N")="Y"),D167,0)</f>
        <v/>
      </c>
    </row>
    <row r="168" ht="15" customHeight="1" s="43">
      <c r="A168" s="89" t="n">
        <v>40909</v>
      </c>
      <c r="B168" s="90" t="inlineStr">
        <is>
          <t>Salary</t>
        </is>
      </c>
      <c r="C168" s="90" t="inlineStr">
        <is>
          <t>Income</t>
        </is>
      </c>
      <c r="D168" s="91" t="n">
        <v>3720</v>
      </c>
      <c r="F168" s="92">
        <f>IF(AND(C168="One-off",IFERROR(INDEX(Categories!$C$2:$C$200,MATCH(B168,Categories!$A$2:$A$200,0)),"N")="Y"),D168,0)</f>
        <v/>
      </c>
    </row>
    <row r="169" ht="15" customHeight="1" s="43">
      <c r="A169" s="89" t="n">
        <v>40909</v>
      </c>
      <c r="B169" s="90" t="inlineStr">
        <is>
          <t>Uncategorised</t>
        </is>
      </c>
      <c r="C169" s="90" t="inlineStr">
        <is>
          <t>Actual</t>
        </is>
      </c>
      <c r="D169" s="91" t="n">
        <v>2680</v>
      </c>
      <c r="E169" s="94" t="inlineStr">
        <is>
          <t>Historical monthly total (pre per-category tracking)</t>
        </is>
      </c>
      <c r="F169" s="92">
        <f>IF(AND(C169="One-off",IFERROR(INDEX(Categories!$C$2:$C$200,MATCH(B169,Categories!$A$2:$A$200,0)),"N")="Y"),D169,0)</f>
        <v/>
      </c>
    </row>
    <row r="170" ht="15" customHeight="1" s="43">
      <c r="A170" s="89" t="n">
        <v>40940</v>
      </c>
      <c r="B170" s="90" t="inlineStr">
        <is>
          <t>Interest</t>
        </is>
      </c>
      <c r="C170" s="90" t="inlineStr">
        <is>
          <t>Income</t>
        </is>
      </c>
      <c r="D170" s="91" t="n">
        <v>20</v>
      </c>
      <c r="E170" s="77" t="n"/>
      <c r="F170" s="92">
        <f>IF(AND(C170="One-off",IFERROR(INDEX(Categories!$C$2:$C$200,MATCH(B170,Categories!$A$2:$A$200,0)),"N")="Y"),D170,0)</f>
        <v/>
      </c>
    </row>
    <row r="171" ht="15" customHeight="1" s="43">
      <c r="A171" s="89" t="n">
        <v>40940</v>
      </c>
      <c r="B171" s="90" t="inlineStr">
        <is>
          <t>Salary</t>
        </is>
      </c>
      <c r="C171" s="90" t="inlineStr">
        <is>
          <t>Income</t>
        </is>
      </c>
      <c r="D171" s="91" t="n">
        <v>3770</v>
      </c>
      <c r="F171" s="92">
        <f>IF(AND(C171="One-off",IFERROR(INDEX(Categories!$C$2:$C$200,MATCH(B171,Categories!$A$2:$A$200,0)),"N")="Y"),D171,0)</f>
        <v/>
      </c>
    </row>
    <row r="172" ht="15" customHeight="1" s="43">
      <c r="A172" s="89" t="n">
        <v>40940</v>
      </c>
      <c r="B172" s="90" t="inlineStr">
        <is>
          <t>Uncategorised</t>
        </is>
      </c>
      <c r="C172" s="90" t="inlineStr">
        <is>
          <t>Actual</t>
        </is>
      </c>
      <c r="D172" s="91" t="n">
        <v>2800</v>
      </c>
      <c r="E172" s="94" t="inlineStr">
        <is>
          <t>Historical monthly total (pre per-category tracking)</t>
        </is>
      </c>
      <c r="F172" s="92">
        <f>IF(AND(C172="One-off",IFERROR(INDEX(Categories!$C$2:$C$200,MATCH(B172,Categories!$A$2:$A$200,0)),"N")="Y"),D172,0)</f>
        <v/>
      </c>
    </row>
    <row r="173" ht="15" customHeight="1" s="43">
      <c r="A173" s="89" t="n">
        <v>40969</v>
      </c>
      <c r="B173" s="90" t="inlineStr">
        <is>
          <t>Dividends</t>
        </is>
      </c>
      <c r="C173" s="90" t="inlineStr">
        <is>
          <t>Income</t>
        </is>
      </c>
      <c r="D173" s="91" t="n">
        <v>150</v>
      </c>
      <c r="F173" s="92">
        <f>IF(AND(C173="One-off",IFERROR(INDEX(Categories!$C$2:$C$200,MATCH(B173,Categories!$A$2:$A$200,0)),"N")="Y"),D173,0)</f>
        <v/>
      </c>
    </row>
    <row r="174" ht="15" customHeight="1" s="43">
      <c r="A174" s="89" t="n">
        <v>40969</v>
      </c>
      <c r="B174" s="90" t="inlineStr">
        <is>
          <t>Interest</t>
        </is>
      </c>
      <c r="C174" s="90" t="inlineStr">
        <is>
          <t>Income</t>
        </is>
      </c>
      <c r="D174" s="91" t="n">
        <v>20</v>
      </c>
      <c r="F174" s="92">
        <f>IF(AND(C174="One-off",IFERROR(INDEX(Categories!$C$2:$C$200,MATCH(B174,Categories!$A$2:$A$200,0)),"N")="Y"),D174,0)</f>
        <v/>
      </c>
    </row>
    <row r="175" ht="15" customHeight="1" s="43">
      <c r="A175" s="89" t="n">
        <v>40969</v>
      </c>
      <c r="B175" s="90" t="inlineStr">
        <is>
          <t>Salary</t>
        </is>
      </c>
      <c r="C175" s="90" t="inlineStr">
        <is>
          <t>Income</t>
        </is>
      </c>
      <c r="D175" s="91" t="n">
        <v>3820</v>
      </c>
      <c r="E175" s="77" t="n"/>
      <c r="F175" s="92">
        <f>IF(AND(C175="One-off",IFERROR(INDEX(Categories!$C$2:$C$200,MATCH(B175,Categories!$A$2:$A$200,0)),"N")="Y"),D175,0)</f>
        <v/>
      </c>
    </row>
    <row r="176" ht="15" customHeight="1" s="43">
      <c r="A176" s="89" t="n">
        <v>40969</v>
      </c>
      <c r="B176" s="90" t="inlineStr">
        <is>
          <t>Uncategorised</t>
        </is>
      </c>
      <c r="C176" s="90" t="inlineStr">
        <is>
          <t>Actual</t>
        </is>
      </c>
      <c r="D176" s="91" t="n">
        <v>2320</v>
      </c>
      <c r="E176" s="94" t="inlineStr">
        <is>
          <t>Historical monthly total (pre per-category tracking)</t>
        </is>
      </c>
      <c r="F176" s="92">
        <f>IF(AND(C176="One-off",IFERROR(INDEX(Categories!$C$2:$C$200,MATCH(B176,Categories!$A$2:$A$200,0)),"N")="Y"),D176,0)</f>
        <v/>
      </c>
    </row>
    <row r="177" ht="15" customHeight="1" s="43">
      <c r="A177" s="89" t="n">
        <v>41000</v>
      </c>
      <c r="B177" s="90" t="inlineStr">
        <is>
          <t>Interest</t>
        </is>
      </c>
      <c r="C177" s="90" t="inlineStr">
        <is>
          <t>Income</t>
        </is>
      </c>
      <c r="D177" s="91" t="n">
        <v>20</v>
      </c>
      <c r="F177" s="92">
        <f>IF(AND(C177="One-off",IFERROR(INDEX(Categories!$C$2:$C$200,MATCH(B177,Categories!$A$2:$A$200,0)),"N")="Y"),D177,0)</f>
        <v/>
      </c>
    </row>
    <row r="178" ht="15" customHeight="1" s="43">
      <c r="A178" s="89" t="n">
        <v>41000</v>
      </c>
      <c r="B178" s="90" t="inlineStr">
        <is>
          <t>Salary</t>
        </is>
      </c>
      <c r="C178" s="90" t="inlineStr">
        <is>
          <t>Income</t>
        </is>
      </c>
      <c r="D178" s="91" t="n">
        <v>3870</v>
      </c>
      <c r="F178" s="92">
        <f>IF(AND(C178="One-off",IFERROR(INDEX(Categories!$C$2:$C$200,MATCH(B178,Categories!$A$2:$A$200,0)),"N")="Y"),D178,0)</f>
        <v/>
      </c>
    </row>
    <row r="179" ht="15" customHeight="1" s="43">
      <c r="A179" s="89" t="n">
        <v>41000</v>
      </c>
      <c r="B179" s="90" t="inlineStr">
        <is>
          <t>Uncategorised</t>
        </is>
      </c>
      <c r="C179" s="90" t="inlineStr">
        <is>
          <t>Actual</t>
        </is>
      </c>
      <c r="D179" s="91" t="n">
        <v>2440</v>
      </c>
      <c r="E179" s="94" t="inlineStr">
        <is>
          <t>Historical monthly total (pre per-category tracking)</t>
        </is>
      </c>
      <c r="F179" s="92">
        <f>IF(AND(C179="One-off",IFERROR(INDEX(Categories!$C$2:$C$200,MATCH(B179,Categories!$A$2:$A$200,0)),"N")="Y"),D179,0)</f>
        <v/>
      </c>
    </row>
    <row r="180" ht="15" customHeight="1" s="43">
      <c r="A180" s="89" t="n">
        <v>41030</v>
      </c>
      <c r="B180" s="90" t="inlineStr">
        <is>
          <t>Interest</t>
        </is>
      </c>
      <c r="C180" s="90" t="inlineStr">
        <is>
          <t>Income</t>
        </is>
      </c>
      <c r="D180" s="91" t="n">
        <v>20</v>
      </c>
      <c r="F180" s="92">
        <f>IF(AND(C180="One-off",IFERROR(INDEX(Categories!$C$2:$C$200,MATCH(B180,Categories!$A$2:$A$200,0)),"N")="Y"),D180,0)</f>
        <v/>
      </c>
    </row>
    <row r="181" ht="15" customHeight="1" s="43">
      <c r="A181" s="89" t="n">
        <v>41030</v>
      </c>
      <c r="B181" s="90" t="inlineStr">
        <is>
          <t>Salary</t>
        </is>
      </c>
      <c r="C181" s="90" t="inlineStr">
        <is>
          <t>Income</t>
        </is>
      </c>
      <c r="D181" s="91" t="n">
        <v>3920</v>
      </c>
      <c r="E181" s="77" t="n"/>
      <c r="F181" s="92">
        <f>IF(AND(C181="One-off",IFERROR(INDEX(Categories!$C$2:$C$200,MATCH(B181,Categories!$A$2:$A$200,0)),"N")="Y"),D181,0)</f>
        <v/>
      </c>
    </row>
    <row r="182" ht="15" customHeight="1" s="43">
      <c r="A182" s="89" t="n">
        <v>41030</v>
      </c>
      <c r="B182" s="90" t="inlineStr">
        <is>
          <t>Uncategorised</t>
        </is>
      </c>
      <c r="C182" s="90" t="inlineStr">
        <is>
          <t>Actual</t>
        </is>
      </c>
      <c r="D182" s="91" t="n">
        <v>2560</v>
      </c>
      <c r="E182" s="94" t="inlineStr">
        <is>
          <t>Historical monthly total (pre per-category tracking)</t>
        </is>
      </c>
      <c r="F182" s="92">
        <f>IF(AND(C182="One-off",IFERROR(INDEX(Categories!$C$2:$C$200,MATCH(B182,Categories!$A$2:$A$200,0)),"N")="Y"),D182,0)</f>
        <v/>
      </c>
    </row>
    <row r="183" ht="15" customHeight="1" s="43">
      <c r="A183" s="89" t="n">
        <v>41061</v>
      </c>
      <c r="B183" s="90" t="inlineStr">
        <is>
          <t>Dividends</t>
        </is>
      </c>
      <c r="C183" s="90" t="inlineStr">
        <is>
          <t>Income</t>
        </is>
      </c>
      <c r="D183" s="91" t="n">
        <v>150</v>
      </c>
      <c r="F183" s="92">
        <f>IF(AND(C183="One-off",IFERROR(INDEX(Categories!$C$2:$C$200,MATCH(B183,Categories!$A$2:$A$200,0)),"N")="Y"),D183,0)</f>
        <v/>
      </c>
    </row>
    <row r="184" ht="15" customHeight="1" s="43">
      <c r="A184" s="89" t="n">
        <v>41061</v>
      </c>
      <c r="B184" s="90" t="inlineStr">
        <is>
          <t>Interest</t>
        </is>
      </c>
      <c r="C184" s="90" t="inlineStr">
        <is>
          <t>Income</t>
        </is>
      </c>
      <c r="D184" s="91" t="n">
        <v>20</v>
      </c>
      <c r="F184" s="92">
        <f>IF(AND(C184="One-off",IFERROR(INDEX(Categories!$C$2:$C$200,MATCH(B184,Categories!$A$2:$A$200,0)),"N")="Y"),D184,0)</f>
        <v/>
      </c>
    </row>
    <row r="185" ht="15" customHeight="1" s="43">
      <c r="A185" s="89" t="n">
        <v>41061</v>
      </c>
      <c r="B185" s="90" t="inlineStr">
        <is>
          <t>Salary</t>
        </is>
      </c>
      <c r="C185" s="90" t="inlineStr">
        <is>
          <t>Income</t>
        </is>
      </c>
      <c r="D185" s="91" t="n">
        <v>3970</v>
      </c>
      <c r="E185" s="77" t="n"/>
      <c r="F185" s="92">
        <f>IF(AND(C185="One-off",IFERROR(INDEX(Categories!$C$2:$C$200,MATCH(B185,Categories!$A$2:$A$200,0)),"N")="Y"),D185,0)</f>
        <v/>
      </c>
    </row>
    <row r="186" ht="15" customHeight="1" s="43">
      <c r="A186" s="89" t="n">
        <v>41061</v>
      </c>
      <c r="B186" s="90" t="inlineStr">
        <is>
          <t>Uncategorised</t>
        </is>
      </c>
      <c r="C186" s="90" t="inlineStr">
        <is>
          <t>Actual</t>
        </is>
      </c>
      <c r="D186" s="91" t="n">
        <v>2680</v>
      </c>
      <c r="E186" s="94" t="inlineStr">
        <is>
          <t>Historical monthly total (pre per-category tracking)</t>
        </is>
      </c>
      <c r="F186" s="95">
        <f>IF(AND(C186="One-off",IFERROR(INDEX(Categories!$C$2:$C$200,MATCH(B186,Categories!$A$2:$A$200,0)),"N")="Y"),D186,0)</f>
        <v/>
      </c>
    </row>
    <row r="187" ht="15" customHeight="1" s="43">
      <c r="A187" s="89" t="n">
        <v>41091</v>
      </c>
      <c r="B187" s="90" t="inlineStr">
        <is>
          <t>Interest</t>
        </is>
      </c>
      <c r="C187" s="90" t="inlineStr">
        <is>
          <t>Income</t>
        </is>
      </c>
      <c r="D187" s="91" t="n">
        <v>20</v>
      </c>
      <c r="F187" s="92">
        <f>IF(AND(C187="One-off",IFERROR(INDEX(Categories!$C$2:$C$200,MATCH(B187,Categories!$A$2:$A$200,0)),"N")="Y"),D187,0)</f>
        <v/>
      </c>
    </row>
    <row r="188" ht="15" customHeight="1" s="43">
      <c r="A188" s="89" t="n">
        <v>41091</v>
      </c>
      <c r="B188" s="90" t="inlineStr">
        <is>
          <t>Salary</t>
        </is>
      </c>
      <c r="C188" s="90" t="inlineStr">
        <is>
          <t>Income</t>
        </is>
      </c>
      <c r="D188" s="91" t="n">
        <v>3720</v>
      </c>
      <c r="F188" s="92">
        <f>IF(AND(C188="One-off",IFERROR(INDEX(Categories!$C$2:$C$200,MATCH(B188,Categories!$A$2:$A$200,0)),"N")="Y"),D188,0)</f>
        <v/>
      </c>
    </row>
    <row r="189" ht="15" customHeight="1" s="43">
      <c r="A189" s="89" t="n">
        <v>41091</v>
      </c>
      <c r="B189" s="90" t="inlineStr">
        <is>
          <t>Uncategorised</t>
        </is>
      </c>
      <c r="C189" s="90" t="inlineStr">
        <is>
          <t>Actual</t>
        </is>
      </c>
      <c r="D189" s="91" t="n">
        <v>2800</v>
      </c>
      <c r="E189" s="94" t="inlineStr">
        <is>
          <t>Historical monthly total (pre per-category tracking)</t>
        </is>
      </c>
      <c r="F189" s="92">
        <f>IF(AND(C189="One-off",IFERROR(INDEX(Categories!$C$2:$C$200,MATCH(B189,Categories!$A$2:$A$200,0)),"N")="Y"),D189,0)</f>
        <v/>
      </c>
    </row>
    <row r="190" ht="15" customHeight="1" s="43">
      <c r="A190" s="89" t="n">
        <v>41122</v>
      </c>
      <c r="B190" s="90" t="inlineStr">
        <is>
          <t>Interest</t>
        </is>
      </c>
      <c r="C190" s="90" t="inlineStr">
        <is>
          <t>Income</t>
        </is>
      </c>
      <c r="D190" s="91" t="n">
        <v>20</v>
      </c>
      <c r="E190" s="77" t="n"/>
      <c r="F190" s="92">
        <f>IF(AND(C190="One-off",IFERROR(INDEX(Categories!$C$2:$C$200,MATCH(B190,Categories!$A$2:$A$200,0)),"N")="Y"),D190,0)</f>
        <v/>
      </c>
    </row>
    <row r="191" ht="15" customHeight="1" s="43">
      <c r="A191" s="89" t="n">
        <v>41122</v>
      </c>
      <c r="B191" s="90" t="inlineStr">
        <is>
          <t>Salary</t>
        </is>
      </c>
      <c r="C191" s="90" t="inlineStr">
        <is>
          <t>Income</t>
        </is>
      </c>
      <c r="D191" s="91" t="n">
        <v>3770</v>
      </c>
      <c r="F191" s="92">
        <f>IF(AND(C191="One-off",IFERROR(INDEX(Categories!$C$2:$C$200,MATCH(B191,Categories!$A$2:$A$200,0)),"N")="Y"),D191,0)</f>
        <v/>
      </c>
    </row>
    <row r="192" ht="15" customHeight="1" s="43">
      <c r="A192" s="89" t="n">
        <v>41122</v>
      </c>
      <c r="B192" s="90" t="inlineStr">
        <is>
          <t>Uncategorised</t>
        </is>
      </c>
      <c r="C192" s="90" t="inlineStr">
        <is>
          <t>Actual</t>
        </is>
      </c>
      <c r="D192" s="91" t="n">
        <v>2320</v>
      </c>
      <c r="E192" s="94" t="inlineStr">
        <is>
          <t>Historical monthly total (pre per-category tracking)</t>
        </is>
      </c>
      <c r="F192" s="92">
        <f>IF(AND(C192="One-off",IFERROR(INDEX(Categories!$C$2:$C$200,MATCH(B192,Categories!$A$2:$A$200,0)),"N")="Y"),D192,0)</f>
        <v/>
      </c>
    </row>
    <row r="193" ht="15" customHeight="1" s="43">
      <c r="A193" s="89" t="n">
        <v>41153</v>
      </c>
      <c r="B193" s="90" t="inlineStr">
        <is>
          <t>Dividends</t>
        </is>
      </c>
      <c r="C193" s="90" t="inlineStr">
        <is>
          <t>Income</t>
        </is>
      </c>
      <c r="D193" s="91" t="n">
        <v>150</v>
      </c>
      <c r="F193" s="92">
        <f>IF(AND(C193="One-off",IFERROR(INDEX(Categories!$C$2:$C$200,MATCH(B193,Categories!$A$2:$A$200,0)),"N")="Y"),D193,0)</f>
        <v/>
      </c>
    </row>
    <row r="194" ht="15" customHeight="1" s="43">
      <c r="A194" s="89" t="n">
        <v>41153</v>
      </c>
      <c r="B194" s="90" t="inlineStr">
        <is>
          <t>Interest</t>
        </is>
      </c>
      <c r="C194" s="90" t="inlineStr">
        <is>
          <t>Income</t>
        </is>
      </c>
      <c r="D194" s="91" t="n">
        <v>20</v>
      </c>
      <c r="F194" s="92">
        <f>IF(AND(C194="One-off",IFERROR(INDEX(Categories!$C$2:$C$200,MATCH(B194,Categories!$A$2:$A$200,0)),"N")="Y"),D194,0)</f>
        <v/>
      </c>
    </row>
    <row r="195" ht="15" customHeight="1" s="43">
      <c r="A195" s="89" t="n">
        <v>41153</v>
      </c>
      <c r="B195" s="90" t="inlineStr">
        <is>
          <t>Salary</t>
        </is>
      </c>
      <c r="C195" s="90" t="inlineStr">
        <is>
          <t>Income</t>
        </is>
      </c>
      <c r="D195" s="91" t="n">
        <v>3820</v>
      </c>
      <c r="E195" s="77" t="n"/>
      <c r="F195" s="92">
        <f>IF(AND(C195="One-off",IFERROR(INDEX(Categories!$C$2:$C$200,MATCH(B195,Categories!$A$2:$A$200,0)),"N")="Y"),D195,0)</f>
        <v/>
      </c>
    </row>
    <row r="196" ht="15" customHeight="1" s="43">
      <c r="A196" s="89" t="n">
        <v>41153</v>
      </c>
      <c r="B196" s="90" t="inlineStr">
        <is>
          <t>Uncategorised</t>
        </is>
      </c>
      <c r="C196" s="90" t="inlineStr">
        <is>
          <t>Actual</t>
        </is>
      </c>
      <c r="D196" s="91" t="n">
        <v>2440</v>
      </c>
      <c r="E196" s="94" t="inlineStr">
        <is>
          <t>Historical monthly total (pre per-category tracking)</t>
        </is>
      </c>
      <c r="F196" s="92">
        <f>IF(AND(C196="One-off",IFERROR(INDEX(Categories!$C$2:$C$200,MATCH(B196,Categories!$A$2:$A$200,0)),"N")="Y"),D196,0)</f>
        <v/>
      </c>
    </row>
    <row r="197" ht="15" customHeight="1" s="43">
      <c r="A197" s="89" t="n">
        <v>41183</v>
      </c>
      <c r="B197" s="90" t="inlineStr">
        <is>
          <t>Interest</t>
        </is>
      </c>
      <c r="C197" s="90" t="inlineStr">
        <is>
          <t>Income</t>
        </is>
      </c>
      <c r="D197" s="91" t="n">
        <v>20</v>
      </c>
      <c r="F197" s="92">
        <f>IF(AND(C197="One-off",IFERROR(INDEX(Categories!$C$2:$C$200,MATCH(B197,Categories!$A$2:$A$200,0)),"N")="Y"),D197,0)</f>
        <v/>
      </c>
    </row>
    <row r="198" ht="15" customHeight="1" s="43">
      <c r="A198" s="89" t="n">
        <v>41183</v>
      </c>
      <c r="B198" s="90" t="inlineStr">
        <is>
          <t>Salary</t>
        </is>
      </c>
      <c r="C198" s="90" t="inlineStr">
        <is>
          <t>Income</t>
        </is>
      </c>
      <c r="D198" s="91" t="n">
        <v>3870</v>
      </c>
      <c r="E198" s="77" t="n"/>
      <c r="F198" s="92">
        <f>IF(AND(C198="One-off",IFERROR(INDEX(Categories!$C$2:$C$200,MATCH(B198,Categories!$A$2:$A$200,0)),"N")="Y"),D198,0)</f>
        <v/>
      </c>
    </row>
    <row r="199" ht="15" customHeight="1" s="43">
      <c r="A199" s="89" t="n">
        <v>41183</v>
      </c>
      <c r="B199" s="90" t="inlineStr">
        <is>
          <t>Uncategorised</t>
        </is>
      </c>
      <c r="C199" s="90" t="inlineStr">
        <is>
          <t>Actual</t>
        </is>
      </c>
      <c r="D199" s="91" t="n">
        <v>2560</v>
      </c>
      <c r="E199" s="94" t="inlineStr">
        <is>
          <t>Historical monthly total (pre per-category tracking)</t>
        </is>
      </c>
      <c r="F199" s="92">
        <f>IF(AND(C199="One-off",IFERROR(INDEX(Categories!$C$2:$C$200,MATCH(B199,Categories!$A$2:$A$200,0)),"N")="Y"),D199,0)</f>
        <v/>
      </c>
    </row>
    <row r="200" ht="15" customHeight="1" s="43">
      <c r="A200" s="89" t="n">
        <v>41214</v>
      </c>
      <c r="B200" s="90" t="inlineStr">
        <is>
          <t>Interest</t>
        </is>
      </c>
      <c r="C200" s="90" t="inlineStr">
        <is>
          <t>Income</t>
        </is>
      </c>
      <c r="D200" s="91" t="n">
        <v>20</v>
      </c>
      <c r="F200" s="92">
        <f>IF(AND(C200="One-off",IFERROR(INDEX(Categories!$C$2:$C$200,MATCH(B200,Categories!$A$2:$A$200,0)),"N")="Y"),D200,0)</f>
        <v/>
      </c>
    </row>
    <row r="201" ht="15" customHeight="1" s="43">
      <c r="A201" s="89" t="n">
        <v>41214</v>
      </c>
      <c r="B201" s="90" t="inlineStr">
        <is>
          <t>Salary</t>
        </is>
      </c>
      <c r="C201" s="90" t="inlineStr">
        <is>
          <t>Income</t>
        </is>
      </c>
      <c r="D201" s="91" t="n">
        <v>3920</v>
      </c>
      <c r="F201" s="92">
        <f>IF(AND(C201="One-off",IFERROR(INDEX(Categories!$C$2:$C$200,MATCH(B201,Categories!$A$2:$A$200,0)),"N")="Y"),D201,0)</f>
        <v/>
      </c>
    </row>
    <row r="202" ht="15" customHeight="1" s="43">
      <c r="A202" s="89" t="n">
        <v>41214</v>
      </c>
      <c r="B202" s="90" t="inlineStr">
        <is>
          <t>Uncategorised</t>
        </is>
      </c>
      <c r="C202" s="90" t="inlineStr">
        <is>
          <t>Actual</t>
        </is>
      </c>
      <c r="D202" s="91" t="n">
        <v>2680</v>
      </c>
      <c r="E202" s="93" t="inlineStr">
        <is>
          <t>Historical monthly total (pre per-category tracking)</t>
        </is>
      </c>
      <c r="F202" s="92">
        <f>IF(AND(C202="One-off",IFERROR(INDEX(Categories!$C$2:$C$200,MATCH(B202,Categories!$A$2:$A$200,0)),"N")="Y"),D202,0)</f>
        <v/>
      </c>
    </row>
    <row r="203" ht="15" customHeight="1" s="43">
      <c r="A203" s="89" t="n">
        <v>41244</v>
      </c>
      <c r="B203" s="90" t="inlineStr">
        <is>
          <t>Bonus/Claims</t>
        </is>
      </c>
      <c r="C203" s="90" t="inlineStr">
        <is>
          <t>Income</t>
        </is>
      </c>
      <c r="D203" s="91" t="n">
        <v>3970</v>
      </c>
      <c r="F203" s="92">
        <f>IF(AND(C203="One-off",IFERROR(INDEX(Categories!$C$2:$C$200,MATCH(B203,Categories!$A$2:$A$200,0)),"N")="Y"),D203,0)</f>
        <v/>
      </c>
    </row>
    <row r="204" ht="15" customHeight="1" s="43">
      <c r="A204" s="89" t="n">
        <v>41244</v>
      </c>
      <c r="B204" s="90" t="inlineStr">
        <is>
          <t>Dividends</t>
        </is>
      </c>
      <c r="C204" s="90" t="inlineStr">
        <is>
          <t>Income</t>
        </is>
      </c>
      <c r="D204" s="91" t="n">
        <v>150</v>
      </c>
      <c r="F204" s="92">
        <f>IF(AND(C204="One-off",IFERROR(INDEX(Categories!$C$2:$C$200,MATCH(B204,Categories!$A$2:$A$200,0)),"N")="Y"),D204,0)</f>
        <v/>
      </c>
    </row>
    <row r="205" ht="15" customHeight="1" s="43">
      <c r="A205" s="89" t="n">
        <v>41244</v>
      </c>
      <c r="B205" s="90" t="inlineStr">
        <is>
          <t>Interest</t>
        </is>
      </c>
      <c r="C205" s="90" t="inlineStr">
        <is>
          <t>Income</t>
        </is>
      </c>
      <c r="D205" s="91" t="n">
        <v>20</v>
      </c>
      <c r="E205" s="77" t="n"/>
      <c r="F205" s="92">
        <f>IF(AND(C205="One-off",IFERROR(INDEX(Categories!$C$2:$C$200,MATCH(B205,Categories!$A$2:$A$200,0)),"N")="Y"),D205,0)</f>
        <v/>
      </c>
    </row>
    <row r="206" ht="15" customHeight="1" s="43">
      <c r="A206" s="89" t="n">
        <v>41244</v>
      </c>
      <c r="B206" s="90" t="inlineStr">
        <is>
          <t>Salary</t>
        </is>
      </c>
      <c r="C206" s="90" t="inlineStr">
        <is>
          <t>Income</t>
        </is>
      </c>
      <c r="D206" s="91" t="n">
        <v>3970</v>
      </c>
      <c r="F206" s="92">
        <f>IF(AND(C206="One-off",IFERROR(INDEX(Categories!$C$2:$C$200,MATCH(B206,Categories!$A$2:$A$200,0)),"N")="Y"),D206,0)</f>
        <v/>
      </c>
    </row>
    <row r="207" ht="15" customHeight="1" s="43">
      <c r="A207" s="89" t="n">
        <v>41244</v>
      </c>
      <c r="B207" s="90" t="inlineStr">
        <is>
          <t>Uncategorised</t>
        </is>
      </c>
      <c r="C207" s="90" t="inlineStr">
        <is>
          <t>Actual</t>
        </is>
      </c>
      <c r="D207" s="91" t="n">
        <v>2800</v>
      </c>
      <c r="E207" s="94" t="inlineStr">
        <is>
          <t>Historical monthly total (pre per-category tracking)</t>
        </is>
      </c>
      <c r="F207" s="92">
        <f>IF(AND(C207="One-off",IFERROR(INDEX(Categories!$C$2:$C$200,MATCH(B207,Categories!$A$2:$A$200,0)),"N")="Y"),D207,0)</f>
        <v/>
      </c>
    </row>
    <row r="208" ht="15" customHeight="1" s="43">
      <c r="A208" s="89" t="n">
        <v>41275</v>
      </c>
      <c r="B208" s="90" t="inlineStr">
        <is>
          <t>Interest</t>
        </is>
      </c>
      <c r="C208" s="90" t="inlineStr">
        <is>
          <t>Income</t>
        </is>
      </c>
      <c r="D208" s="91" t="n">
        <v>20</v>
      </c>
      <c r="F208" s="92">
        <f>IF(AND(C208="One-off",IFERROR(INDEX(Categories!$C$2:$C$200,MATCH(B208,Categories!$A$2:$A$200,0)),"N")="Y"),D208,0)</f>
        <v/>
      </c>
    </row>
    <row r="209" ht="15" customHeight="1" s="43">
      <c r="A209" s="89" t="n">
        <v>41275</v>
      </c>
      <c r="B209" s="90" t="inlineStr">
        <is>
          <t>Salary</t>
        </is>
      </c>
      <c r="C209" s="90" t="inlineStr">
        <is>
          <t>Income</t>
        </is>
      </c>
      <c r="D209" s="91" t="n">
        <v>3900</v>
      </c>
      <c r="F209" s="92">
        <f>IF(AND(C209="One-off",IFERROR(INDEX(Categories!$C$2:$C$200,MATCH(B209,Categories!$A$2:$A$200,0)),"N")="Y"),D209,0)</f>
        <v/>
      </c>
    </row>
    <row r="210" ht="15" customHeight="1" s="43">
      <c r="A210" s="89" t="n">
        <v>41275</v>
      </c>
      <c r="B210" s="90" t="inlineStr">
        <is>
          <t>Uncategorised</t>
        </is>
      </c>
      <c r="C210" s="90" t="inlineStr">
        <is>
          <t>Actual</t>
        </is>
      </c>
      <c r="D210" s="91" t="n">
        <v>2400</v>
      </c>
      <c r="E210" s="94" t="inlineStr">
        <is>
          <t>Historical monthly total (pre per-category tracking)</t>
        </is>
      </c>
      <c r="F210" s="92">
        <f>IF(AND(C210="One-off",IFERROR(INDEX(Categories!$C$2:$C$200,MATCH(B210,Categories!$A$2:$A$200,0)),"N")="Y"),D210,0)</f>
        <v/>
      </c>
    </row>
    <row r="211" ht="15" customHeight="1" s="43">
      <c r="A211" s="89" t="n">
        <v>41306</v>
      </c>
      <c r="B211" s="90" t="inlineStr">
        <is>
          <t>Interest</t>
        </is>
      </c>
      <c r="C211" s="90" t="inlineStr">
        <is>
          <t>Income</t>
        </is>
      </c>
      <c r="D211" s="91" t="n">
        <v>20</v>
      </c>
      <c r="E211" s="77" t="n"/>
      <c r="F211" s="92">
        <f>IF(AND(C211="One-off",IFERROR(INDEX(Categories!$C$2:$C$200,MATCH(B211,Categories!$A$2:$A$200,0)),"N")="Y"),D211,0)</f>
        <v/>
      </c>
    </row>
    <row r="212" ht="15" customHeight="1" s="43">
      <c r="A212" s="89" t="n">
        <v>41306</v>
      </c>
      <c r="B212" s="90" t="inlineStr">
        <is>
          <t>Salary</t>
        </is>
      </c>
      <c r="C212" s="90" t="inlineStr">
        <is>
          <t>Income</t>
        </is>
      </c>
      <c r="D212" s="91" t="n">
        <v>3950</v>
      </c>
      <c r="F212" s="92">
        <f>IF(AND(C212="One-off",IFERROR(INDEX(Categories!$C$2:$C$200,MATCH(B212,Categories!$A$2:$A$200,0)),"N")="Y"),D212,0)</f>
        <v/>
      </c>
    </row>
    <row r="213" ht="15" customHeight="1" s="43">
      <c r="A213" s="89" t="n">
        <v>41306</v>
      </c>
      <c r="B213" s="90" t="inlineStr">
        <is>
          <t>Uncategorised</t>
        </is>
      </c>
      <c r="C213" s="90" t="inlineStr">
        <is>
          <t>Actual</t>
        </is>
      </c>
      <c r="D213" s="91" t="n">
        <v>2520</v>
      </c>
      <c r="E213" s="94" t="inlineStr">
        <is>
          <t>Historical monthly total (pre per-category tracking)</t>
        </is>
      </c>
      <c r="F213" s="92">
        <f>IF(AND(C213="One-off",IFERROR(INDEX(Categories!$C$2:$C$200,MATCH(B213,Categories!$A$2:$A$200,0)),"N")="Y"),D213,0)</f>
        <v/>
      </c>
    </row>
    <row r="214" ht="15" customHeight="1" s="43">
      <c r="A214" s="89" t="n">
        <v>41334</v>
      </c>
      <c r="B214" s="90" t="inlineStr">
        <is>
          <t>Dividends</t>
        </is>
      </c>
      <c r="C214" s="90" t="inlineStr">
        <is>
          <t>Income</t>
        </is>
      </c>
      <c r="D214" s="91" t="n">
        <v>150</v>
      </c>
      <c r="F214" s="92">
        <f>IF(AND(C214="One-off",IFERROR(INDEX(Categories!$C$2:$C$200,MATCH(B214,Categories!$A$2:$A$200,0)),"N")="Y"),D214,0)</f>
        <v/>
      </c>
    </row>
    <row r="215" ht="15" customHeight="1" s="43">
      <c r="A215" s="89" t="n">
        <v>41334</v>
      </c>
      <c r="B215" s="90" t="inlineStr">
        <is>
          <t>Interest</t>
        </is>
      </c>
      <c r="C215" s="90" t="inlineStr">
        <is>
          <t>Income</t>
        </is>
      </c>
      <c r="D215" s="91" t="n">
        <v>20</v>
      </c>
      <c r="F215" s="92">
        <f>IF(AND(C215="One-off",IFERROR(INDEX(Categories!$C$2:$C$200,MATCH(B215,Categories!$A$2:$A$200,0)),"N")="Y"),D215,0)</f>
        <v/>
      </c>
    </row>
    <row r="216" ht="15" customHeight="1" s="43">
      <c r="A216" s="89" t="n">
        <v>41334</v>
      </c>
      <c r="B216" s="90" t="inlineStr">
        <is>
          <t>Salary</t>
        </is>
      </c>
      <c r="C216" s="90" t="inlineStr">
        <is>
          <t>Income</t>
        </is>
      </c>
      <c r="D216" s="91" t="n">
        <v>4000</v>
      </c>
      <c r="F216" s="92">
        <f>IF(AND(C216="One-off",IFERROR(INDEX(Categories!$C$2:$C$200,MATCH(B216,Categories!$A$2:$A$200,0)),"N")="Y"),D216,0)</f>
        <v/>
      </c>
    </row>
    <row r="217" ht="15" customHeight="1" s="43">
      <c r="A217" s="89" t="n">
        <v>41334</v>
      </c>
      <c r="B217" s="90" t="inlineStr">
        <is>
          <t>Uncategorised</t>
        </is>
      </c>
      <c r="C217" s="90" t="inlineStr">
        <is>
          <t>Actual</t>
        </is>
      </c>
      <c r="D217" s="91" t="n">
        <v>2640</v>
      </c>
      <c r="E217" s="94" t="inlineStr">
        <is>
          <t>Historical monthly total (pre per-category tracking)</t>
        </is>
      </c>
      <c r="F217" s="92">
        <f>IF(AND(C217="One-off",IFERROR(INDEX(Categories!$C$2:$C$200,MATCH(B217,Categories!$A$2:$A$200,0)),"N")="Y"),D217,0)</f>
        <v/>
      </c>
    </row>
    <row r="218" ht="15" customHeight="1" s="43">
      <c r="A218" s="89" t="n">
        <v>41365</v>
      </c>
      <c r="B218" s="90" t="inlineStr">
        <is>
          <t>Interest</t>
        </is>
      </c>
      <c r="C218" s="90" t="inlineStr">
        <is>
          <t>Income</t>
        </is>
      </c>
      <c r="D218" s="91" t="n">
        <v>20</v>
      </c>
      <c r="F218" s="92">
        <f>IF(AND(C218="One-off",IFERROR(INDEX(Categories!$C$2:$C$200,MATCH(B218,Categories!$A$2:$A$200,0)),"N")="Y"),D218,0)</f>
        <v/>
      </c>
    </row>
    <row r="219" ht="15" customHeight="1" s="43">
      <c r="A219" s="89" t="n">
        <v>41365</v>
      </c>
      <c r="B219" s="90" t="inlineStr">
        <is>
          <t>Salary</t>
        </is>
      </c>
      <c r="C219" s="90" t="inlineStr">
        <is>
          <t>Income</t>
        </is>
      </c>
      <c r="D219" s="91" t="n">
        <v>4050</v>
      </c>
      <c r="E219" s="77" t="n"/>
      <c r="F219" s="92">
        <f>IF(AND(C219="One-off",IFERROR(INDEX(Categories!$C$2:$C$200,MATCH(B219,Categories!$A$2:$A$200,0)),"N")="Y"),D219,0)</f>
        <v/>
      </c>
    </row>
    <row r="220" ht="15" customHeight="1" s="43">
      <c r="A220" s="89" t="n">
        <v>41365</v>
      </c>
      <c r="B220" s="90" t="inlineStr">
        <is>
          <t>Uncategorised</t>
        </is>
      </c>
      <c r="C220" s="90" t="inlineStr">
        <is>
          <t>Actual</t>
        </is>
      </c>
      <c r="D220" s="91" t="n">
        <v>2760</v>
      </c>
      <c r="E220" s="94" t="inlineStr">
        <is>
          <t>Historical monthly total (pre per-category tracking)</t>
        </is>
      </c>
      <c r="F220" s="92">
        <f>IF(AND(C220="One-off",IFERROR(INDEX(Categories!$C$2:$C$200,MATCH(B220,Categories!$A$2:$A$200,0)),"N")="Y"),D220,0)</f>
        <v/>
      </c>
    </row>
    <row r="221" ht="15" customHeight="1" s="43">
      <c r="A221" s="89" t="n">
        <v>41365</v>
      </c>
      <c r="B221" s="90" t="inlineStr">
        <is>
          <t>Investment</t>
        </is>
      </c>
      <c r="C221" s="90" t="inlineStr">
        <is>
          <t>One-off</t>
        </is>
      </c>
      <c r="D221" s="91" t="n">
        <v>6000</v>
      </c>
      <c r="E221" s="94" t="inlineStr">
        <is>
          <t>Sample: index-fund top-up</t>
        </is>
      </c>
      <c r="F221" s="92">
        <f>IF(AND(C221="One-off",IFERROR(INDEX(Categories!$C$2:$C$200,MATCH(B221,Categories!$A$2:$A$200,0)),"N")="Y"),D221,0)</f>
        <v/>
      </c>
    </row>
    <row r="222" ht="15" customHeight="1" s="43">
      <c r="A222" s="89" t="n">
        <v>41395</v>
      </c>
      <c r="B222" s="90" t="inlineStr">
        <is>
          <t>Interest</t>
        </is>
      </c>
      <c r="C222" s="90" t="inlineStr">
        <is>
          <t>Income</t>
        </is>
      </c>
      <c r="D222" s="91" t="n">
        <v>20</v>
      </c>
      <c r="F222" s="92">
        <f>IF(AND(C222="One-off",IFERROR(INDEX(Categories!$C$2:$C$200,MATCH(B222,Categories!$A$2:$A$200,0)),"N")="Y"),D222,0)</f>
        <v/>
      </c>
    </row>
    <row r="223" ht="15" customHeight="1" s="43">
      <c r="A223" s="89" t="n">
        <v>41395</v>
      </c>
      <c r="B223" s="90" t="inlineStr">
        <is>
          <t>Salary</t>
        </is>
      </c>
      <c r="C223" s="90" t="inlineStr">
        <is>
          <t>Income</t>
        </is>
      </c>
      <c r="D223" s="91" t="n">
        <v>4100</v>
      </c>
      <c r="F223" s="92">
        <f>IF(AND(C223="One-off",IFERROR(INDEX(Categories!$C$2:$C$200,MATCH(B223,Categories!$A$2:$A$200,0)),"N")="Y"),D223,0)</f>
        <v/>
      </c>
    </row>
    <row r="224" ht="15" customHeight="1" s="43">
      <c r="A224" s="89" t="n">
        <v>41395</v>
      </c>
      <c r="B224" s="90" t="inlineStr">
        <is>
          <t>Uncategorised</t>
        </is>
      </c>
      <c r="C224" s="90" t="inlineStr">
        <is>
          <t>Actual</t>
        </is>
      </c>
      <c r="D224" s="91" t="n">
        <v>2880</v>
      </c>
      <c r="E224" s="94" t="inlineStr">
        <is>
          <t>Historical monthly total (pre per-category tracking)</t>
        </is>
      </c>
      <c r="F224" s="92">
        <f>IF(AND(C224="One-off",IFERROR(INDEX(Categories!$C$2:$C$200,MATCH(B224,Categories!$A$2:$A$200,0)),"N")="Y"),D224,0)</f>
        <v/>
      </c>
    </row>
    <row r="225" ht="15" customHeight="1" s="43">
      <c r="A225" s="89" t="n">
        <v>41426</v>
      </c>
      <c r="B225" s="90" t="inlineStr">
        <is>
          <t>Dividends</t>
        </is>
      </c>
      <c r="C225" s="90" t="inlineStr">
        <is>
          <t>Income</t>
        </is>
      </c>
      <c r="D225" s="91" t="n">
        <v>150</v>
      </c>
      <c r="F225" s="92">
        <f>IF(AND(C225="One-off",IFERROR(INDEX(Categories!$C$2:$C$200,MATCH(B225,Categories!$A$2:$A$200,0)),"N")="Y"),D225,0)</f>
        <v/>
      </c>
    </row>
    <row r="226" ht="15" customHeight="1" s="43">
      <c r="A226" s="89" t="n">
        <v>41426</v>
      </c>
      <c r="B226" s="90" t="inlineStr">
        <is>
          <t>Interest</t>
        </is>
      </c>
      <c r="C226" s="90" t="inlineStr">
        <is>
          <t>Income</t>
        </is>
      </c>
      <c r="D226" s="91" t="n">
        <v>20</v>
      </c>
      <c r="E226" s="77" t="n"/>
      <c r="F226" s="92">
        <f>IF(AND(C226="One-off",IFERROR(INDEX(Categories!$C$2:$C$200,MATCH(B226,Categories!$A$2:$A$200,0)),"N")="Y"),D226,0)</f>
        <v/>
      </c>
    </row>
    <row r="227" ht="15" customHeight="1" s="43">
      <c r="A227" s="89" t="n">
        <v>41426</v>
      </c>
      <c r="B227" s="90" t="inlineStr">
        <is>
          <t>Salary</t>
        </is>
      </c>
      <c r="C227" s="90" t="inlineStr">
        <is>
          <t>Income</t>
        </is>
      </c>
      <c r="D227" s="91" t="n">
        <v>4150</v>
      </c>
      <c r="F227" s="92">
        <f>IF(AND(C227="One-off",IFERROR(INDEX(Categories!$C$2:$C$200,MATCH(B227,Categories!$A$2:$A$200,0)),"N")="Y"),D227,0)</f>
        <v/>
      </c>
    </row>
    <row r="228" ht="15" customHeight="1" s="43">
      <c r="A228" s="89" t="n">
        <v>41426</v>
      </c>
      <c r="B228" s="90" t="inlineStr">
        <is>
          <t>Uncategorised</t>
        </is>
      </c>
      <c r="C228" s="90" t="inlineStr">
        <is>
          <t>Actual</t>
        </is>
      </c>
      <c r="D228" s="91" t="n">
        <v>2400</v>
      </c>
      <c r="E228" s="94" t="inlineStr">
        <is>
          <t>Historical monthly total (pre per-category tracking)</t>
        </is>
      </c>
      <c r="F228" s="92">
        <f>IF(AND(C228="One-off",IFERROR(INDEX(Categories!$C$2:$C$200,MATCH(B228,Categories!$A$2:$A$200,0)),"N")="Y"),D228,0)</f>
        <v/>
      </c>
    </row>
    <row r="229" ht="15" customHeight="1" s="43">
      <c r="A229" s="89" t="n">
        <v>41456</v>
      </c>
      <c r="B229" s="90" t="inlineStr">
        <is>
          <t>Interest</t>
        </is>
      </c>
      <c r="C229" s="90" t="inlineStr">
        <is>
          <t>Income</t>
        </is>
      </c>
      <c r="D229" s="91" t="n">
        <v>20</v>
      </c>
      <c r="F229" s="92">
        <f>IF(AND(C229="One-off",IFERROR(INDEX(Categories!$C$2:$C$200,MATCH(B229,Categories!$A$2:$A$200,0)),"N")="Y"),D229,0)</f>
        <v/>
      </c>
    </row>
    <row r="230" ht="15" customHeight="1" s="43">
      <c r="A230" s="89" t="n">
        <v>41456</v>
      </c>
      <c r="B230" s="90" t="inlineStr">
        <is>
          <t>Salary</t>
        </is>
      </c>
      <c r="C230" s="90" t="inlineStr">
        <is>
          <t>Income</t>
        </is>
      </c>
      <c r="D230" s="91" t="n">
        <v>3900</v>
      </c>
      <c r="F230" s="92">
        <f>IF(AND(C230="One-off",IFERROR(INDEX(Categories!$C$2:$C$200,MATCH(B230,Categories!$A$2:$A$200,0)),"N")="Y"),D230,0)</f>
        <v/>
      </c>
    </row>
    <row r="231" ht="15" customHeight="1" s="43">
      <c r="A231" s="89" t="n">
        <v>41456</v>
      </c>
      <c r="B231" s="90" t="inlineStr">
        <is>
          <t>Uncategorised</t>
        </is>
      </c>
      <c r="C231" s="90" t="inlineStr">
        <is>
          <t>Actual</t>
        </is>
      </c>
      <c r="D231" s="91" t="n">
        <v>2520</v>
      </c>
      <c r="E231" s="93" t="inlineStr">
        <is>
          <t>Historical monthly total (pre per-category tracking)</t>
        </is>
      </c>
      <c r="F231" s="92">
        <f>IF(AND(C231="One-off",IFERROR(INDEX(Categories!$C$2:$C$200,MATCH(B231,Categories!$A$2:$A$200,0)),"N")="Y"),D231,0)</f>
        <v/>
      </c>
    </row>
    <row r="232" ht="15" customHeight="1" s="43">
      <c r="A232" s="89" t="n">
        <v>41487</v>
      </c>
      <c r="B232" s="90" t="inlineStr">
        <is>
          <t>Interest</t>
        </is>
      </c>
      <c r="C232" s="90" t="inlineStr">
        <is>
          <t>Income</t>
        </is>
      </c>
      <c r="D232" s="91" t="n">
        <v>20</v>
      </c>
      <c r="F232" s="92">
        <f>IF(AND(C232="One-off",IFERROR(INDEX(Categories!$C$2:$C$200,MATCH(B232,Categories!$A$2:$A$200,0)),"N")="Y"),D232,0)</f>
        <v/>
      </c>
    </row>
    <row r="233" ht="15" customHeight="1" s="43">
      <c r="A233" s="89" t="n">
        <v>41487</v>
      </c>
      <c r="B233" s="90" t="inlineStr">
        <is>
          <t>Salary</t>
        </is>
      </c>
      <c r="C233" s="90" t="inlineStr">
        <is>
          <t>Income</t>
        </is>
      </c>
      <c r="D233" s="91" t="n">
        <v>3950</v>
      </c>
      <c r="F233" s="92">
        <f>IF(AND(C233="One-off",IFERROR(INDEX(Categories!$C$2:$C$200,MATCH(B233,Categories!$A$2:$A$200,0)),"N")="Y"),D233,0)</f>
        <v/>
      </c>
    </row>
    <row r="234" ht="15" customHeight="1" s="43">
      <c r="A234" s="89" t="n">
        <v>41487</v>
      </c>
      <c r="B234" s="90" t="inlineStr">
        <is>
          <t>Uncategorised</t>
        </is>
      </c>
      <c r="C234" s="90" t="inlineStr">
        <is>
          <t>Actual</t>
        </is>
      </c>
      <c r="D234" s="91" t="n">
        <v>2640</v>
      </c>
      <c r="E234" s="94" t="inlineStr">
        <is>
          <t>Historical monthly total (pre per-category tracking)</t>
        </is>
      </c>
      <c r="F234" s="92">
        <f>IF(AND(C234="One-off",IFERROR(INDEX(Categories!$C$2:$C$200,MATCH(B234,Categories!$A$2:$A$200,0)),"N")="Y"),D234,0)</f>
        <v/>
      </c>
    </row>
    <row r="235" ht="15" customHeight="1" s="43">
      <c r="A235" s="89" t="n">
        <v>41518</v>
      </c>
      <c r="B235" s="90" t="inlineStr">
        <is>
          <t>Dividends</t>
        </is>
      </c>
      <c r="C235" s="90" t="inlineStr">
        <is>
          <t>Income</t>
        </is>
      </c>
      <c r="D235" s="91" t="n">
        <v>150</v>
      </c>
      <c r="F235" s="92">
        <f>IF(AND(C235="One-off",IFERROR(INDEX(Categories!$C$2:$C$200,MATCH(B235,Categories!$A$2:$A$200,0)),"N")="Y"),D235,0)</f>
        <v/>
      </c>
    </row>
    <row r="236" ht="15" customHeight="1" s="43">
      <c r="A236" s="89" t="n">
        <v>41518</v>
      </c>
      <c r="B236" s="90" t="inlineStr">
        <is>
          <t>Interest</t>
        </is>
      </c>
      <c r="C236" s="90" t="inlineStr">
        <is>
          <t>Income</t>
        </is>
      </c>
      <c r="D236" s="91" t="n">
        <v>20</v>
      </c>
      <c r="E236" s="77" t="n"/>
      <c r="F236" s="92">
        <f>IF(AND(C236="One-off",IFERROR(INDEX(Categories!$C$2:$C$200,MATCH(B236,Categories!$A$2:$A$200,0)),"N")="Y"),D236,0)</f>
        <v/>
      </c>
    </row>
    <row r="237" ht="15" customHeight="1" s="43">
      <c r="A237" s="89" t="n">
        <v>41518</v>
      </c>
      <c r="B237" s="90" t="inlineStr">
        <is>
          <t>Salary</t>
        </is>
      </c>
      <c r="C237" s="90" t="inlineStr">
        <is>
          <t>Income</t>
        </is>
      </c>
      <c r="D237" s="91" t="n">
        <v>4000</v>
      </c>
      <c r="F237" s="95">
        <f>IF(AND(C237="One-off",IFERROR(INDEX(Categories!$C$2:$C$200,MATCH(B237,Categories!$A$2:$A$200,0)),"N")="Y"),D237,0)</f>
        <v/>
      </c>
    </row>
    <row r="238" ht="15" customHeight="1" s="43">
      <c r="A238" s="89" t="n">
        <v>41518</v>
      </c>
      <c r="B238" s="90" t="inlineStr">
        <is>
          <t>Uncategorised</t>
        </is>
      </c>
      <c r="C238" s="90" t="inlineStr">
        <is>
          <t>Actual</t>
        </is>
      </c>
      <c r="D238" s="91" t="n">
        <v>2760</v>
      </c>
      <c r="E238" s="94" t="inlineStr">
        <is>
          <t>Historical monthly total (pre per-category tracking)</t>
        </is>
      </c>
      <c r="F238" s="92">
        <f>IF(AND(C238="One-off",IFERROR(INDEX(Categories!$C$2:$C$200,MATCH(B238,Categories!$A$2:$A$200,0)),"N")="Y"),D238,0)</f>
        <v/>
      </c>
    </row>
    <row r="239" ht="15" customHeight="1" s="43">
      <c r="A239" s="89" t="n">
        <v>41548</v>
      </c>
      <c r="B239" s="90" t="inlineStr">
        <is>
          <t>Interest</t>
        </is>
      </c>
      <c r="C239" s="90" t="inlineStr">
        <is>
          <t>Income</t>
        </is>
      </c>
      <c r="D239" s="91" t="n">
        <v>20</v>
      </c>
      <c r="F239" s="92">
        <f>IF(AND(C239="One-off",IFERROR(INDEX(Categories!$C$2:$C$200,MATCH(B239,Categories!$A$2:$A$200,0)),"N")="Y"),D239,0)</f>
        <v/>
      </c>
    </row>
    <row r="240" ht="15" customHeight="1" s="43">
      <c r="A240" s="89" t="n">
        <v>41548</v>
      </c>
      <c r="B240" s="90" t="inlineStr">
        <is>
          <t>Salary</t>
        </is>
      </c>
      <c r="C240" s="90" t="inlineStr">
        <is>
          <t>Income</t>
        </is>
      </c>
      <c r="D240" s="91" t="n">
        <v>4050</v>
      </c>
      <c r="F240" s="92">
        <f>IF(AND(C240="One-off",IFERROR(INDEX(Categories!$C$2:$C$200,MATCH(B240,Categories!$A$2:$A$200,0)),"N")="Y"),D240,0)</f>
        <v/>
      </c>
    </row>
    <row r="241" ht="15" customHeight="1" s="43">
      <c r="A241" s="89" t="n">
        <v>41548</v>
      </c>
      <c r="B241" s="90" t="inlineStr">
        <is>
          <t>Uncategorised</t>
        </is>
      </c>
      <c r="C241" s="90" t="inlineStr">
        <is>
          <t>Actual</t>
        </is>
      </c>
      <c r="D241" s="91" t="n">
        <v>2880</v>
      </c>
      <c r="E241" s="93" t="inlineStr">
        <is>
          <t>Historical monthly total (pre per-category tracking)</t>
        </is>
      </c>
      <c r="F241" s="92">
        <f>IF(AND(C241="One-off",IFERROR(INDEX(Categories!$C$2:$C$200,MATCH(B241,Categories!$A$2:$A$200,0)),"N")="Y"),D241,0)</f>
        <v/>
      </c>
    </row>
    <row r="242" ht="15" customHeight="1" s="43">
      <c r="A242" s="89" t="n">
        <v>41579</v>
      </c>
      <c r="B242" s="90" t="inlineStr">
        <is>
          <t>Interest</t>
        </is>
      </c>
      <c r="C242" s="90" t="inlineStr">
        <is>
          <t>Income</t>
        </is>
      </c>
      <c r="D242" s="91" t="n">
        <v>20</v>
      </c>
      <c r="F242" s="92">
        <f>IF(AND(C242="One-off",IFERROR(INDEX(Categories!$C$2:$C$200,MATCH(B242,Categories!$A$2:$A$200,0)),"N")="Y"),D242,0)</f>
        <v/>
      </c>
    </row>
    <row r="243" ht="15" customHeight="1" s="43">
      <c r="A243" s="89" t="n">
        <v>41579</v>
      </c>
      <c r="B243" s="90" t="inlineStr">
        <is>
          <t>Salary</t>
        </is>
      </c>
      <c r="C243" s="90" t="inlineStr">
        <is>
          <t>Income</t>
        </is>
      </c>
      <c r="D243" s="91" t="n">
        <v>4100</v>
      </c>
      <c r="F243" s="92">
        <f>IF(AND(C243="One-off",IFERROR(INDEX(Categories!$C$2:$C$200,MATCH(B243,Categories!$A$2:$A$200,0)),"N")="Y"),D243,0)</f>
        <v/>
      </c>
    </row>
    <row r="244" ht="15" customHeight="1" s="43">
      <c r="A244" s="89" t="n">
        <v>41579</v>
      </c>
      <c r="B244" s="90" t="inlineStr">
        <is>
          <t>Uncategorised</t>
        </is>
      </c>
      <c r="C244" s="90" t="inlineStr">
        <is>
          <t>Actual</t>
        </is>
      </c>
      <c r="D244" s="91" t="n">
        <v>2400</v>
      </c>
      <c r="E244" s="94" t="inlineStr">
        <is>
          <t>Historical monthly total (pre per-category tracking)</t>
        </is>
      </c>
      <c r="F244" s="92">
        <f>IF(AND(C244="One-off",IFERROR(INDEX(Categories!$C$2:$C$200,MATCH(B244,Categories!$A$2:$A$200,0)),"N")="Y"),D244,0)</f>
        <v/>
      </c>
    </row>
    <row r="245" ht="15" customHeight="1" s="43">
      <c r="A245" s="89" t="n">
        <v>41609</v>
      </c>
      <c r="B245" s="90" t="inlineStr">
        <is>
          <t>Bonus/Claims</t>
        </is>
      </c>
      <c r="C245" s="90" t="inlineStr">
        <is>
          <t>Income</t>
        </is>
      </c>
      <c r="D245" s="91" t="n">
        <v>4150</v>
      </c>
      <c r="E245" s="77" t="n"/>
      <c r="F245" s="92">
        <f>IF(AND(C245="One-off",IFERROR(INDEX(Categories!$C$2:$C$200,MATCH(B245,Categories!$A$2:$A$200,0)),"N")="Y"),D245,0)</f>
        <v/>
      </c>
    </row>
    <row r="246" ht="15" customHeight="1" s="43">
      <c r="A246" s="89" t="n">
        <v>41609</v>
      </c>
      <c r="B246" s="90" t="inlineStr">
        <is>
          <t>Dividends</t>
        </is>
      </c>
      <c r="C246" s="90" t="inlineStr">
        <is>
          <t>Income</t>
        </is>
      </c>
      <c r="D246" s="91" t="n">
        <v>150</v>
      </c>
      <c r="F246" s="92">
        <f>IF(AND(C246="One-off",IFERROR(INDEX(Categories!$C$2:$C$200,MATCH(B246,Categories!$A$2:$A$200,0)),"N")="Y"),D246,0)</f>
        <v/>
      </c>
    </row>
    <row r="247" ht="15" customHeight="1" s="43">
      <c r="A247" s="89" t="n">
        <v>41609</v>
      </c>
      <c r="B247" s="90" t="inlineStr">
        <is>
          <t>Interest</t>
        </is>
      </c>
      <c r="C247" s="90" t="inlineStr">
        <is>
          <t>Income</t>
        </is>
      </c>
      <c r="D247" s="91" t="n">
        <v>20</v>
      </c>
      <c r="F247" s="92">
        <f>IF(AND(C247="One-off",IFERROR(INDEX(Categories!$C$2:$C$200,MATCH(B247,Categories!$A$2:$A$200,0)),"N")="Y"),D247,0)</f>
        <v/>
      </c>
    </row>
    <row r="248" ht="15" customHeight="1" s="43">
      <c r="A248" s="89" t="n">
        <v>41609</v>
      </c>
      <c r="B248" s="90" t="inlineStr">
        <is>
          <t>Salary</t>
        </is>
      </c>
      <c r="C248" s="90" t="inlineStr">
        <is>
          <t>Income</t>
        </is>
      </c>
      <c r="D248" s="91" t="n">
        <v>4150</v>
      </c>
      <c r="E248" s="77" t="n"/>
      <c r="F248" s="92">
        <f>IF(AND(C248="One-off",IFERROR(INDEX(Categories!$C$2:$C$200,MATCH(B248,Categories!$A$2:$A$200,0)),"N")="Y"),D248,0)</f>
        <v/>
      </c>
    </row>
    <row r="249" ht="15" customHeight="1" s="43">
      <c r="A249" s="89" t="n">
        <v>41609</v>
      </c>
      <c r="B249" s="90" t="inlineStr">
        <is>
          <t>Uncategorised</t>
        </is>
      </c>
      <c r="C249" s="90" t="inlineStr">
        <is>
          <t>Actual</t>
        </is>
      </c>
      <c r="D249" s="91" t="n">
        <v>2520</v>
      </c>
      <c r="E249" s="94" t="inlineStr">
        <is>
          <t>Historical monthly total (pre per-category tracking)</t>
        </is>
      </c>
      <c r="F249" s="92">
        <f>IF(AND(C249="One-off",IFERROR(INDEX(Categories!$C$2:$C$200,MATCH(B249,Categories!$A$2:$A$200,0)),"N")="Y"),D249,0)</f>
        <v/>
      </c>
    </row>
    <row r="250" ht="15" customHeight="1" s="43">
      <c r="A250" s="89" t="n">
        <v>41640</v>
      </c>
      <c r="B250" s="90" t="inlineStr">
        <is>
          <t>Interest</t>
        </is>
      </c>
      <c r="C250" s="90" t="inlineStr">
        <is>
          <t>Income</t>
        </is>
      </c>
      <c r="D250" s="91" t="n">
        <v>20</v>
      </c>
      <c r="F250" s="92">
        <f>IF(AND(C250="One-off",IFERROR(INDEX(Categories!$C$2:$C$200,MATCH(B250,Categories!$A$2:$A$200,0)),"N")="Y"),D250,0)</f>
        <v/>
      </c>
    </row>
    <row r="251" ht="15" customHeight="1" s="43">
      <c r="A251" s="89" t="n">
        <v>41640</v>
      </c>
      <c r="B251" s="90" t="inlineStr">
        <is>
          <t>Salary</t>
        </is>
      </c>
      <c r="C251" s="90" t="inlineStr">
        <is>
          <t>Income</t>
        </is>
      </c>
      <c r="D251" s="91" t="n">
        <v>4080</v>
      </c>
      <c r="F251" s="92">
        <f>IF(AND(C251="One-off",IFERROR(INDEX(Categories!$C$2:$C$200,MATCH(B251,Categories!$A$2:$A$200,0)),"N")="Y"),D251,0)</f>
        <v/>
      </c>
    </row>
    <row r="252" ht="15" customHeight="1" s="43">
      <c r="A252" s="89" t="n">
        <v>41640</v>
      </c>
      <c r="B252" s="90" t="inlineStr">
        <is>
          <t>Uncategorised</t>
        </is>
      </c>
      <c r="C252" s="90" t="inlineStr">
        <is>
          <t>Actual</t>
        </is>
      </c>
      <c r="D252" s="91" t="n">
        <v>2720</v>
      </c>
      <c r="E252" s="94" t="inlineStr">
        <is>
          <t>Historical monthly total (pre per-category tracking)</t>
        </is>
      </c>
      <c r="F252" s="92">
        <f>IF(AND(C252="One-off",IFERROR(INDEX(Categories!$C$2:$C$200,MATCH(B252,Categories!$A$2:$A$200,0)),"N")="Y"),D252,0)</f>
        <v/>
      </c>
    </row>
    <row r="253" ht="15" customHeight="1" s="43">
      <c r="A253" s="89" t="n">
        <v>41671</v>
      </c>
      <c r="B253" s="90" t="inlineStr">
        <is>
          <t>Interest</t>
        </is>
      </c>
      <c r="C253" s="90" t="inlineStr">
        <is>
          <t>Income</t>
        </is>
      </c>
      <c r="D253" s="91" t="n">
        <v>20</v>
      </c>
      <c r="F253" s="92">
        <f>IF(AND(C253="One-off",IFERROR(INDEX(Categories!$C$2:$C$200,MATCH(B253,Categories!$A$2:$A$200,0)),"N")="Y"),D253,0)</f>
        <v/>
      </c>
    </row>
    <row r="254" ht="15" customHeight="1" s="43">
      <c r="A254" s="89" t="n">
        <v>41671</v>
      </c>
      <c r="B254" s="90" t="inlineStr">
        <is>
          <t>Salary</t>
        </is>
      </c>
      <c r="C254" s="90" t="inlineStr">
        <is>
          <t>Income</t>
        </is>
      </c>
      <c r="D254" s="91" t="n">
        <v>4130</v>
      </c>
      <c r="E254" s="77" t="n"/>
      <c r="F254" s="92">
        <f>IF(AND(C254="One-off",IFERROR(INDEX(Categories!$C$2:$C$200,MATCH(B254,Categories!$A$2:$A$200,0)),"N")="Y"),D254,0)</f>
        <v/>
      </c>
    </row>
    <row r="255" ht="15" customHeight="1" s="43">
      <c r="A255" s="89" t="n">
        <v>41671</v>
      </c>
      <c r="B255" s="90" t="inlineStr">
        <is>
          <t>Uncategorised</t>
        </is>
      </c>
      <c r="C255" s="90" t="inlineStr">
        <is>
          <t>Actual</t>
        </is>
      </c>
      <c r="D255" s="91" t="n">
        <v>2840</v>
      </c>
      <c r="E255" s="94" t="inlineStr">
        <is>
          <t>Historical monthly total (pre per-category tracking)</t>
        </is>
      </c>
      <c r="F255" s="92">
        <f>IF(AND(C255="One-off",IFERROR(INDEX(Categories!$C$2:$C$200,MATCH(B255,Categories!$A$2:$A$200,0)),"N")="Y"),D255,0)</f>
        <v/>
      </c>
    </row>
    <row r="256" ht="15" customHeight="1" s="43">
      <c r="A256" s="89" t="n">
        <v>41699</v>
      </c>
      <c r="B256" s="90" t="inlineStr">
        <is>
          <t>Dividends</t>
        </is>
      </c>
      <c r="C256" s="90" t="inlineStr">
        <is>
          <t>Income</t>
        </is>
      </c>
      <c r="D256" s="91" t="n">
        <v>150</v>
      </c>
      <c r="F256" s="92">
        <f>IF(AND(C256="One-off",IFERROR(INDEX(Categories!$C$2:$C$200,MATCH(B256,Categories!$A$2:$A$200,0)),"N")="Y"),D256,0)</f>
        <v/>
      </c>
    </row>
    <row r="257" ht="15" customHeight="1" s="43">
      <c r="A257" s="89" t="n">
        <v>41699</v>
      </c>
      <c r="B257" s="90" t="inlineStr">
        <is>
          <t>Interest</t>
        </is>
      </c>
      <c r="C257" s="90" t="inlineStr">
        <is>
          <t>Income</t>
        </is>
      </c>
      <c r="D257" s="91" t="n">
        <v>20</v>
      </c>
      <c r="F257" s="92">
        <f>IF(AND(C257="One-off",IFERROR(INDEX(Categories!$C$2:$C$200,MATCH(B257,Categories!$A$2:$A$200,0)),"N")="Y"),D257,0)</f>
        <v/>
      </c>
    </row>
    <row r="258" ht="15" customHeight="1" s="43">
      <c r="A258" s="89" t="n">
        <v>41699</v>
      </c>
      <c r="B258" s="90" t="inlineStr">
        <is>
          <t>Salary</t>
        </is>
      </c>
      <c r="C258" s="90" t="inlineStr">
        <is>
          <t>Income</t>
        </is>
      </c>
      <c r="D258" s="91" t="n">
        <v>4180</v>
      </c>
      <c r="F258" s="92">
        <f>IF(AND(C258="One-off",IFERROR(INDEX(Categories!$C$2:$C$200,MATCH(B258,Categories!$A$2:$A$200,0)),"N")="Y"),D258,0)</f>
        <v/>
      </c>
    </row>
    <row r="259" ht="15" customHeight="1" s="43">
      <c r="A259" s="89" t="n">
        <v>41699</v>
      </c>
      <c r="B259" s="90" t="inlineStr">
        <is>
          <t>Uncategorised</t>
        </is>
      </c>
      <c r="C259" s="90" t="inlineStr">
        <is>
          <t>Actual</t>
        </is>
      </c>
      <c r="D259" s="91" t="n">
        <v>2960</v>
      </c>
      <c r="E259" s="94" t="inlineStr">
        <is>
          <t>Historical monthly total (pre per-category tracking)</t>
        </is>
      </c>
      <c r="F259" s="92">
        <f>IF(AND(C259="One-off",IFERROR(INDEX(Categories!$C$2:$C$200,MATCH(B259,Categories!$A$2:$A$200,0)),"N")="Y"),D259,0)</f>
        <v/>
      </c>
    </row>
    <row r="260" ht="15" customHeight="1" s="43">
      <c r="A260" s="89" t="n">
        <v>41730</v>
      </c>
      <c r="B260" s="90" t="inlineStr">
        <is>
          <t>Interest</t>
        </is>
      </c>
      <c r="C260" s="90" t="inlineStr">
        <is>
          <t>Income</t>
        </is>
      </c>
      <c r="D260" s="91" t="n">
        <v>20</v>
      </c>
      <c r="F260" s="92">
        <f>IF(AND(C260="One-off",IFERROR(INDEX(Categories!$C$2:$C$200,MATCH(B260,Categories!$A$2:$A$200,0)),"N")="Y"),D260,0)</f>
        <v/>
      </c>
    </row>
    <row r="261" ht="15" customHeight="1" s="43">
      <c r="A261" s="89" t="n">
        <v>41730</v>
      </c>
      <c r="B261" s="90" t="inlineStr">
        <is>
          <t>Salary</t>
        </is>
      </c>
      <c r="C261" s="90" t="inlineStr">
        <is>
          <t>Income</t>
        </is>
      </c>
      <c r="D261" s="91" t="n">
        <v>4230</v>
      </c>
      <c r="E261" s="77" t="n"/>
      <c r="F261" s="92">
        <f>IF(AND(C261="One-off",IFERROR(INDEX(Categories!$C$2:$C$200,MATCH(B261,Categories!$A$2:$A$200,0)),"N")="Y"),D261,0)</f>
        <v/>
      </c>
    </row>
    <row r="262" ht="15" customHeight="1" s="43">
      <c r="A262" s="89" t="n">
        <v>41730</v>
      </c>
      <c r="B262" s="90" t="inlineStr">
        <is>
          <t>Uncategorised</t>
        </is>
      </c>
      <c r="C262" s="90" t="inlineStr">
        <is>
          <t>Actual</t>
        </is>
      </c>
      <c r="D262" s="91" t="n">
        <v>2480</v>
      </c>
      <c r="E262" s="94" t="inlineStr">
        <is>
          <t>Historical monthly total (pre per-category tracking)</t>
        </is>
      </c>
      <c r="F262" s="92">
        <f>IF(AND(C262="One-off",IFERROR(INDEX(Categories!$C$2:$C$200,MATCH(B262,Categories!$A$2:$A$200,0)),"N")="Y"),D262,0)</f>
        <v/>
      </c>
    </row>
    <row r="263" ht="15" customHeight="1" s="43">
      <c r="A263" s="89" t="n">
        <v>41760</v>
      </c>
      <c r="B263" s="90" t="inlineStr">
        <is>
          <t>Interest</t>
        </is>
      </c>
      <c r="C263" s="90" t="inlineStr">
        <is>
          <t>Income</t>
        </is>
      </c>
      <c r="D263" s="91" t="n">
        <v>20</v>
      </c>
      <c r="E263" s="77" t="n"/>
      <c r="F263" s="92">
        <f>IF(AND(C263="One-off",IFERROR(INDEX(Categories!$C$2:$C$200,MATCH(B263,Categories!$A$2:$A$200,0)),"N")="Y"),D263,0)</f>
        <v/>
      </c>
    </row>
    <row r="264" ht="15" customHeight="1" s="43">
      <c r="A264" s="89" t="n">
        <v>41760</v>
      </c>
      <c r="B264" s="90" t="inlineStr">
        <is>
          <t>Salary</t>
        </is>
      </c>
      <c r="C264" s="90" t="inlineStr">
        <is>
          <t>Income</t>
        </is>
      </c>
      <c r="D264" s="91" t="n">
        <v>4280</v>
      </c>
      <c r="F264" s="92">
        <f>IF(AND(C264="One-off",IFERROR(INDEX(Categories!$C$2:$C$200,MATCH(B264,Categories!$A$2:$A$200,0)),"N")="Y"),D264,0)</f>
        <v/>
      </c>
    </row>
    <row r="265" ht="15" customHeight="1" s="43">
      <c r="A265" s="89" t="n">
        <v>41760</v>
      </c>
      <c r="B265" s="90" t="inlineStr">
        <is>
          <t>Uncategorised</t>
        </is>
      </c>
      <c r="C265" s="90" t="inlineStr">
        <is>
          <t>Actual</t>
        </is>
      </c>
      <c r="D265" s="91" t="n">
        <v>2600</v>
      </c>
      <c r="E265" s="94" t="inlineStr">
        <is>
          <t>Historical monthly total (pre per-category tracking)</t>
        </is>
      </c>
      <c r="F265" s="92">
        <f>IF(AND(C265="One-off",IFERROR(INDEX(Categories!$C$2:$C$200,MATCH(B265,Categories!$A$2:$A$200,0)),"N")="Y"),D265,0)</f>
        <v/>
      </c>
    </row>
    <row r="266" ht="15" customHeight="1" s="43">
      <c r="A266" s="89" t="n">
        <v>41791</v>
      </c>
      <c r="B266" s="90" t="inlineStr">
        <is>
          <t>Dividends</t>
        </is>
      </c>
      <c r="C266" s="90" t="inlineStr">
        <is>
          <t>Income</t>
        </is>
      </c>
      <c r="D266" s="91" t="n">
        <v>150</v>
      </c>
      <c r="F266" s="92">
        <f>IF(AND(C266="One-off",IFERROR(INDEX(Categories!$C$2:$C$200,MATCH(B266,Categories!$A$2:$A$200,0)),"N")="Y"),D266,0)</f>
        <v/>
      </c>
    </row>
    <row r="267" ht="15" customHeight="1" s="43">
      <c r="A267" s="89" t="n">
        <v>41791</v>
      </c>
      <c r="B267" s="90" t="inlineStr">
        <is>
          <t>Interest</t>
        </is>
      </c>
      <c r="C267" s="90" t="inlineStr">
        <is>
          <t>Income</t>
        </is>
      </c>
      <c r="D267" s="91" t="n">
        <v>20</v>
      </c>
      <c r="E267" s="77" t="n"/>
      <c r="F267" s="92">
        <f>IF(AND(C267="One-off",IFERROR(INDEX(Categories!$C$2:$C$200,MATCH(B267,Categories!$A$2:$A$200,0)),"N")="Y"),D267,0)</f>
        <v/>
      </c>
    </row>
    <row r="268" ht="15" customHeight="1" s="43">
      <c r="A268" s="89" t="n">
        <v>41791</v>
      </c>
      <c r="B268" s="90" t="inlineStr">
        <is>
          <t>Salary</t>
        </is>
      </c>
      <c r="C268" s="90" t="inlineStr">
        <is>
          <t>Income</t>
        </is>
      </c>
      <c r="D268" s="91" t="n">
        <v>4330</v>
      </c>
      <c r="F268" s="92">
        <f>IF(AND(C268="One-off",IFERROR(INDEX(Categories!$C$2:$C$200,MATCH(B268,Categories!$A$2:$A$200,0)),"N")="Y"),D268,0)</f>
        <v/>
      </c>
    </row>
    <row r="269" ht="15" customHeight="1" s="43">
      <c r="A269" s="89" t="n">
        <v>41791</v>
      </c>
      <c r="B269" s="90" t="inlineStr">
        <is>
          <t>Uncategorised</t>
        </is>
      </c>
      <c r="C269" s="90" t="inlineStr">
        <is>
          <t>Actual</t>
        </is>
      </c>
      <c r="D269" s="91" t="n">
        <v>2720</v>
      </c>
      <c r="E269" s="94" t="inlineStr">
        <is>
          <t>Historical monthly total (pre per-category tracking)</t>
        </is>
      </c>
      <c r="F269" s="92">
        <f>IF(AND(C269="One-off",IFERROR(INDEX(Categories!$C$2:$C$200,MATCH(B269,Categories!$A$2:$A$200,0)),"N")="Y"),D269,0)</f>
        <v/>
      </c>
    </row>
    <row r="270" ht="15" customHeight="1" s="43">
      <c r="A270" s="89" t="n">
        <v>41821</v>
      </c>
      <c r="B270" s="90" t="inlineStr">
        <is>
          <t>Interest</t>
        </is>
      </c>
      <c r="C270" s="90" t="inlineStr">
        <is>
          <t>Income</t>
        </is>
      </c>
      <c r="D270" s="91" t="n">
        <v>20</v>
      </c>
      <c r="F270" s="92">
        <f>IF(AND(C270="One-off",IFERROR(INDEX(Categories!$C$2:$C$200,MATCH(B270,Categories!$A$2:$A$200,0)),"N")="Y"),D270,0)</f>
        <v/>
      </c>
    </row>
    <row r="271" ht="15" customHeight="1" s="43">
      <c r="A271" s="89" t="n">
        <v>41821</v>
      </c>
      <c r="B271" s="90" t="inlineStr">
        <is>
          <t>Salary</t>
        </is>
      </c>
      <c r="C271" s="90" t="inlineStr">
        <is>
          <t>Income</t>
        </is>
      </c>
      <c r="D271" s="91" t="n">
        <v>4080</v>
      </c>
      <c r="F271" s="92">
        <f>IF(AND(C271="One-off",IFERROR(INDEX(Categories!$C$2:$C$200,MATCH(B271,Categories!$A$2:$A$200,0)),"N")="Y"),D271,0)</f>
        <v/>
      </c>
    </row>
    <row r="272" ht="15" customHeight="1" s="43">
      <c r="A272" s="89" t="n">
        <v>41821</v>
      </c>
      <c r="B272" s="90" t="inlineStr">
        <is>
          <t>Uncategorised</t>
        </is>
      </c>
      <c r="C272" s="90" t="inlineStr">
        <is>
          <t>Actual</t>
        </is>
      </c>
      <c r="D272" s="91" t="n">
        <v>2840</v>
      </c>
      <c r="E272" s="93" t="inlineStr">
        <is>
          <t>Historical monthly total (pre per-category tracking)</t>
        </is>
      </c>
      <c r="F272" s="92">
        <f>IF(AND(C272="One-off",IFERROR(INDEX(Categories!$C$2:$C$200,MATCH(B272,Categories!$A$2:$A$200,0)),"N")="Y"),D272,0)</f>
        <v/>
      </c>
    </row>
    <row r="273" ht="15" customHeight="1" s="43">
      <c r="A273" s="89" t="n">
        <v>41852</v>
      </c>
      <c r="B273" s="90" t="inlineStr">
        <is>
          <t>Interest</t>
        </is>
      </c>
      <c r="C273" s="90" t="inlineStr">
        <is>
          <t>Income</t>
        </is>
      </c>
      <c r="D273" s="91" t="n">
        <v>20</v>
      </c>
      <c r="F273" s="92">
        <f>IF(AND(C273="One-off",IFERROR(INDEX(Categories!$C$2:$C$200,MATCH(B273,Categories!$A$2:$A$200,0)),"N")="Y"),D273,0)</f>
        <v/>
      </c>
    </row>
    <row r="274" ht="15" customHeight="1" s="43">
      <c r="A274" s="89" t="n">
        <v>41852</v>
      </c>
      <c r="B274" s="90" t="inlineStr">
        <is>
          <t>Salary</t>
        </is>
      </c>
      <c r="C274" s="90" t="inlineStr">
        <is>
          <t>Income</t>
        </is>
      </c>
      <c r="D274" s="91" t="n">
        <v>4130</v>
      </c>
      <c r="F274" s="92">
        <f>IF(AND(C274="One-off",IFERROR(INDEX(Categories!$C$2:$C$200,MATCH(B274,Categories!$A$2:$A$200,0)),"N")="Y"),D274,0)</f>
        <v/>
      </c>
    </row>
    <row r="275" ht="15" customHeight="1" s="43">
      <c r="A275" s="89" t="n">
        <v>41852</v>
      </c>
      <c r="B275" s="90" t="inlineStr">
        <is>
          <t>Uncategorised</t>
        </is>
      </c>
      <c r="C275" s="90" t="inlineStr">
        <is>
          <t>Actual</t>
        </is>
      </c>
      <c r="D275" s="91" t="n">
        <v>2960</v>
      </c>
      <c r="E275" s="93" t="inlineStr">
        <is>
          <t>Historical monthly total (pre per-category tracking)</t>
        </is>
      </c>
      <c r="F275" s="92">
        <f>IF(AND(C275="One-off",IFERROR(INDEX(Categories!$C$2:$C$200,MATCH(B275,Categories!$A$2:$A$200,0)),"N")="Y"),D275,0)</f>
        <v/>
      </c>
    </row>
    <row r="276" ht="15" customHeight="1" s="43">
      <c r="A276" s="89" t="n">
        <v>41883</v>
      </c>
      <c r="B276" s="90" t="inlineStr">
        <is>
          <t>Dividends</t>
        </is>
      </c>
      <c r="C276" s="90" t="inlineStr">
        <is>
          <t>Income</t>
        </is>
      </c>
      <c r="D276" s="91" t="n">
        <v>150</v>
      </c>
      <c r="F276" s="92">
        <f>IF(AND(C276="One-off",IFERROR(INDEX(Categories!$C$2:$C$200,MATCH(B276,Categories!$A$2:$A$200,0)),"N")="Y"),D276,0)</f>
        <v/>
      </c>
    </row>
    <row r="277" ht="15" customHeight="1" s="43">
      <c r="A277" s="89" t="n">
        <v>41883</v>
      </c>
      <c r="B277" s="90" t="inlineStr">
        <is>
          <t>Interest</t>
        </is>
      </c>
      <c r="C277" s="90" t="inlineStr">
        <is>
          <t>Income</t>
        </is>
      </c>
      <c r="D277" s="91" t="n">
        <v>20</v>
      </c>
      <c r="F277" s="92">
        <f>IF(AND(C277="One-off",IFERROR(INDEX(Categories!$C$2:$C$200,MATCH(B277,Categories!$A$2:$A$200,0)),"N")="Y"),D277,0)</f>
        <v/>
      </c>
    </row>
    <row r="278" ht="15" customHeight="1" s="43">
      <c r="A278" s="89" t="n">
        <v>41883</v>
      </c>
      <c r="B278" s="90" t="inlineStr">
        <is>
          <t>Salary</t>
        </is>
      </c>
      <c r="C278" s="90" t="inlineStr">
        <is>
          <t>Income</t>
        </is>
      </c>
      <c r="D278" s="91" t="n">
        <v>4180</v>
      </c>
      <c r="F278" s="92">
        <f>IF(AND(C278="One-off",IFERROR(INDEX(Categories!$C$2:$C$200,MATCH(B278,Categories!$A$2:$A$200,0)),"N")="Y"),D278,0)</f>
        <v/>
      </c>
    </row>
    <row r="279" ht="15" customHeight="1" s="43">
      <c r="A279" s="89" t="n">
        <v>41883</v>
      </c>
      <c r="B279" s="90" t="inlineStr">
        <is>
          <t>Uncategorised</t>
        </is>
      </c>
      <c r="C279" s="90" t="inlineStr">
        <is>
          <t>Actual</t>
        </is>
      </c>
      <c r="D279" s="91" t="n">
        <v>2480</v>
      </c>
      <c r="E279" s="94" t="inlineStr">
        <is>
          <t>Historical monthly total (pre per-category tracking)</t>
        </is>
      </c>
      <c r="F279" s="92">
        <f>IF(AND(C279="One-off",IFERROR(INDEX(Categories!$C$2:$C$200,MATCH(B279,Categories!$A$2:$A$200,0)),"N")="Y"),D279,0)</f>
        <v/>
      </c>
    </row>
    <row r="280" ht="15" customHeight="1" s="43">
      <c r="A280" s="89" t="n">
        <v>41913</v>
      </c>
      <c r="B280" s="90" t="inlineStr">
        <is>
          <t>Interest</t>
        </is>
      </c>
      <c r="C280" s="90" t="inlineStr">
        <is>
          <t>Income</t>
        </is>
      </c>
      <c r="D280" s="91" t="n">
        <v>20</v>
      </c>
      <c r="E280" s="77" t="n"/>
      <c r="F280" s="92">
        <f>IF(AND(C280="One-off",IFERROR(INDEX(Categories!$C$2:$C$200,MATCH(B280,Categories!$A$2:$A$200,0)),"N")="Y"),D280,0)</f>
        <v/>
      </c>
    </row>
    <row r="281" ht="15" customHeight="1" s="43">
      <c r="A281" s="89" t="n">
        <v>41913</v>
      </c>
      <c r="B281" s="90" t="inlineStr">
        <is>
          <t>Salary</t>
        </is>
      </c>
      <c r="C281" s="90" t="inlineStr">
        <is>
          <t>Income</t>
        </is>
      </c>
      <c r="D281" s="91" t="n">
        <v>4230</v>
      </c>
      <c r="F281" s="95">
        <f>IF(AND(C281="One-off",IFERROR(INDEX(Categories!$C$2:$C$200,MATCH(B281,Categories!$A$2:$A$200,0)),"N")="Y"),D281,0)</f>
        <v/>
      </c>
    </row>
    <row r="282" ht="15" customHeight="1" s="43">
      <c r="A282" s="89" t="n">
        <v>41913</v>
      </c>
      <c r="B282" s="90" t="inlineStr">
        <is>
          <t>Uncategorised</t>
        </is>
      </c>
      <c r="C282" s="90" t="inlineStr">
        <is>
          <t>Actual</t>
        </is>
      </c>
      <c r="D282" s="91" t="n">
        <v>2600</v>
      </c>
      <c r="E282" s="94" t="inlineStr">
        <is>
          <t>Historical monthly total (pre per-category tracking)</t>
        </is>
      </c>
      <c r="F282" s="92">
        <f>IF(AND(C282="One-off",IFERROR(INDEX(Categories!$C$2:$C$200,MATCH(B282,Categories!$A$2:$A$200,0)),"N")="Y"),D282,0)</f>
        <v/>
      </c>
    </row>
    <row r="283" ht="15" customHeight="1" s="43">
      <c r="A283" s="89" t="n">
        <v>41944</v>
      </c>
      <c r="B283" s="90" t="inlineStr">
        <is>
          <t>Interest</t>
        </is>
      </c>
      <c r="C283" s="90" t="inlineStr">
        <is>
          <t>Income</t>
        </is>
      </c>
      <c r="D283" s="91" t="n">
        <v>20</v>
      </c>
      <c r="F283" s="92">
        <f>IF(AND(C283="One-off",IFERROR(INDEX(Categories!$C$2:$C$200,MATCH(B283,Categories!$A$2:$A$200,0)),"N")="Y"),D283,0)</f>
        <v/>
      </c>
    </row>
    <row r="284" ht="15" customHeight="1" s="43">
      <c r="A284" s="89" t="n">
        <v>41944</v>
      </c>
      <c r="B284" s="90" t="inlineStr">
        <is>
          <t>Salary</t>
        </is>
      </c>
      <c r="C284" s="90" t="inlineStr">
        <is>
          <t>Income</t>
        </is>
      </c>
      <c r="D284" s="91" t="n">
        <v>4280</v>
      </c>
      <c r="F284" s="92">
        <f>IF(AND(C284="One-off",IFERROR(INDEX(Categories!$C$2:$C$200,MATCH(B284,Categories!$A$2:$A$200,0)),"N")="Y"),D284,0)</f>
        <v/>
      </c>
    </row>
    <row r="285" ht="15" customHeight="1" s="43">
      <c r="A285" s="89" t="n">
        <v>41944</v>
      </c>
      <c r="B285" s="90" t="inlineStr">
        <is>
          <t>Uncategorised</t>
        </is>
      </c>
      <c r="C285" s="90" t="inlineStr">
        <is>
          <t>Actual</t>
        </is>
      </c>
      <c r="D285" s="91" t="n">
        <v>2720</v>
      </c>
      <c r="E285" s="94" t="inlineStr">
        <is>
          <t>Historical monthly total (pre per-category tracking)</t>
        </is>
      </c>
      <c r="F285" s="92">
        <f>IF(AND(C285="One-off",IFERROR(INDEX(Categories!$C$2:$C$200,MATCH(B285,Categories!$A$2:$A$200,0)),"N")="Y"),D285,0)</f>
        <v/>
      </c>
    </row>
    <row r="286" ht="15" customHeight="1" s="43">
      <c r="A286" s="89" t="n">
        <v>41974</v>
      </c>
      <c r="B286" s="90" t="inlineStr">
        <is>
          <t>Bonus/Claims</t>
        </is>
      </c>
      <c r="C286" s="90" t="inlineStr">
        <is>
          <t>Income</t>
        </is>
      </c>
      <c r="D286" s="91" t="n">
        <v>4330</v>
      </c>
      <c r="E286" s="77" t="n"/>
      <c r="F286" s="92">
        <f>IF(AND(C286="One-off",IFERROR(INDEX(Categories!$C$2:$C$200,MATCH(B286,Categories!$A$2:$A$200,0)),"N")="Y"),D286,0)</f>
        <v/>
      </c>
    </row>
    <row r="287" ht="15" customHeight="1" s="43">
      <c r="A287" s="89" t="n">
        <v>41974</v>
      </c>
      <c r="B287" s="90" t="inlineStr">
        <is>
          <t>Dividends</t>
        </is>
      </c>
      <c r="C287" s="90" t="inlineStr">
        <is>
          <t>Income</t>
        </is>
      </c>
      <c r="D287" s="91" t="n">
        <v>150</v>
      </c>
      <c r="F287" s="92">
        <f>IF(AND(C287="One-off",IFERROR(INDEX(Categories!$C$2:$C$200,MATCH(B287,Categories!$A$2:$A$200,0)),"N")="Y"),D287,0)</f>
        <v/>
      </c>
    </row>
    <row r="288" ht="15" customHeight="1" s="43">
      <c r="A288" s="89" t="n">
        <v>41974</v>
      </c>
      <c r="B288" s="90" t="inlineStr">
        <is>
          <t>Interest</t>
        </is>
      </c>
      <c r="C288" s="90" t="inlineStr">
        <is>
          <t>Income</t>
        </is>
      </c>
      <c r="D288" s="91" t="n">
        <v>20</v>
      </c>
      <c r="F288" s="92">
        <f>IF(AND(C288="One-off",IFERROR(INDEX(Categories!$C$2:$C$200,MATCH(B288,Categories!$A$2:$A$200,0)),"N")="Y"),D288,0)</f>
        <v/>
      </c>
    </row>
    <row r="289" ht="15" customHeight="1" s="43">
      <c r="A289" s="89" t="n">
        <v>41974</v>
      </c>
      <c r="B289" s="90" t="inlineStr">
        <is>
          <t>Salary</t>
        </is>
      </c>
      <c r="C289" s="90" t="inlineStr">
        <is>
          <t>Income</t>
        </is>
      </c>
      <c r="D289" s="91" t="n">
        <v>4330</v>
      </c>
      <c r="F289" s="92">
        <f>IF(AND(C289="One-off",IFERROR(INDEX(Categories!$C$2:$C$200,MATCH(B289,Categories!$A$2:$A$200,0)),"N")="Y"),D289,0)</f>
        <v/>
      </c>
    </row>
    <row r="290" ht="15" customHeight="1" s="43">
      <c r="A290" s="89" t="n">
        <v>41974</v>
      </c>
      <c r="B290" s="90" t="inlineStr">
        <is>
          <t>Uncategorised</t>
        </is>
      </c>
      <c r="C290" s="90" t="inlineStr">
        <is>
          <t>Actual</t>
        </is>
      </c>
      <c r="D290" s="91" t="n">
        <v>2840</v>
      </c>
      <c r="E290" s="93" t="inlineStr">
        <is>
          <t>Historical monthly total (pre per-category tracking)</t>
        </is>
      </c>
      <c r="F290" s="92">
        <f>IF(AND(C290="One-off",IFERROR(INDEX(Categories!$C$2:$C$200,MATCH(B290,Categories!$A$2:$A$200,0)),"N")="Y"),D290,0)</f>
        <v/>
      </c>
    </row>
    <row r="291" ht="15" customHeight="1" s="43">
      <c r="A291" s="89" t="n">
        <v>42005</v>
      </c>
      <c r="B291" s="90" t="inlineStr">
        <is>
          <t>Interest</t>
        </is>
      </c>
      <c r="C291" s="90" t="inlineStr">
        <is>
          <t>Income</t>
        </is>
      </c>
      <c r="D291" s="91" t="n">
        <v>20</v>
      </c>
      <c r="F291" s="92">
        <f>IF(AND(C291="One-off",IFERROR(INDEX(Categories!$C$2:$C$200,MATCH(B291,Categories!$A$2:$A$200,0)),"N")="Y"),D291,0)</f>
        <v/>
      </c>
    </row>
    <row r="292" ht="15" customHeight="1" s="43">
      <c r="A292" s="89" t="n">
        <v>42005</v>
      </c>
      <c r="B292" s="90" t="inlineStr">
        <is>
          <t>Salary</t>
        </is>
      </c>
      <c r="C292" s="90" t="inlineStr">
        <is>
          <t>Income</t>
        </is>
      </c>
      <c r="D292" s="91" t="n">
        <v>4260</v>
      </c>
      <c r="F292" s="95">
        <f>IF(AND(C292="One-off",IFERROR(INDEX(Categories!$C$2:$C$200,MATCH(B292,Categories!$A$2:$A$200,0)),"N")="Y"),D292,0)</f>
        <v/>
      </c>
    </row>
    <row r="293" ht="15" customHeight="1" s="43">
      <c r="A293" s="89" t="n">
        <v>42005</v>
      </c>
      <c r="B293" s="90" t="inlineStr">
        <is>
          <t>Uncategorised</t>
        </is>
      </c>
      <c r="C293" s="90" t="inlineStr">
        <is>
          <t>Actual</t>
        </is>
      </c>
      <c r="D293" s="91" t="n">
        <v>3040</v>
      </c>
      <c r="E293" s="94" t="inlineStr">
        <is>
          <t>Historical monthly total (pre per-category tracking)</t>
        </is>
      </c>
      <c r="F293" s="92">
        <f>IF(AND(C293="One-off",IFERROR(INDEX(Categories!$C$2:$C$200,MATCH(B293,Categories!$A$2:$A$200,0)),"N")="Y"),D293,0)</f>
        <v/>
      </c>
    </row>
    <row r="294" ht="15" customHeight="1" s="43">
      <c r="A294" s="89" t="n">
        <v>42036</v>
      </c>
      <c r="B294" s="90" t="inlineStr">
        <is>
          <t>Interest</t>
        </is>
      </c>
      <c r="C294" s="90" t="inlineStr">
        <is>
          <t>Income</t>
        </is>
      </c>
      <c r="D294" s="91" t="n">
        <v>20</v>
      </c>
      <c r="E294" s="77" t="n"/>
      <c r="F294" s="92">
        <f>IF(AND(C294="One-off",IFERROR(INDEX(Categories!$C$2:$C$200,MATCH(B294,Categories!$A$2:$A$200,0)),"N")="Y"),D294,0)</f>
        <v/>
      </c>
    </row>
    <row r="295" ht="15" customHeight="1" s="43">
      <c r="A295" s="89" t="n">
        <v>42036</v>
      </c>
      <c r="B295" s="90" t="inlineStr">
        <is>
          <t>Salary</t>
        </is>
      </c>
      <c r="C295" s="90" t="inlineStr">
        <is>
          <t>Income</t>
        </is>
      </c>
      <c r="D295" s="91" t="n">
        <v>4310</v>
      </c>
      <c r="F295" s="92">
        <f>IF(AND(C295="One-off",IFERROR(INDEX(Categories!$C$2:$C$200,MATCH(B295,Categories!$A$2:$A$200,0)),"N")="Y"),D295,0)</f>
        <v/>
      </c>
    </row>
    <row r="296" ht="15" customHeight="1" s="43">
      <c r="A296" s="89" t="n">
        <v>42036</v>
      </c>
      <c r="B296" s="90" t="inlineStr">
        <is>
          <t>Uncategorised</t>
        </is>
      </c>
      <c r="C296" s="90" t="inlineStr">
        <is>
          <t>Actual</t>
        </is>
      </c>
      <c r="D296" s="91" t="n">
        <v>2560</v>
      </c>
      <c r="E296" s="94" t="inlineStr">
        <is>
          <t>Historical monthly total (pre per-category tracking)</t>
        </is>
      </c>
      <c r="F296" s="92">
        <f>IF(AND(C296="One-off",IFERROR(INDEX(Categories!$C$2:$C$200,MATCH(B296,Categories!$A$2:$A$200,0)),"N")="Y"),D296,0)</f>
        <v/>
      </c>
    </row>
    <row r="297" ht="15" customHeight="1" s="43">
      <c r="A297" s="89" t="n">
        <v>42064</v>
      </c>
      <c r="B297" s="90" t="inlineStr">
        <is>
          <t>Dividends</t>
        </is>
      </c>
      <c r="C297" s="90" t="inlineStr">
        <is>
          <t>Income</t>
        </is>
      </c>
      <c r="D297" s="91" t="n">
        <v>150</v>
      </c>
      <c r="F297" s="92">
        <f>IF(AND(C297="One-off",IFERROR(INDEX(Categories!$C$2:$C$200,MATCH(B297,Categories!$A$2:$A$200,0)),"N")="Y"),D297,0)</f>
        <v/>
      </c>
    </row>
    <row r="298" ht="15" customHeight="1" s="43">
      <c r="A298" s="89" t="n">
        <v>42064</v>
      </c>
      <c r="B298" s="90" t="inlineStr">
        <is>
          <t>Interest</t>
        </is>
      </c>
      <c r="C298" s="90" t="inlineStr">
        <is>
          <t>Income</t>
        </is>
      </c>
      <c r="D298" s="91" t="n">
        <v>20</v>
      </c>
      <c r="E298" s="77" t="n"/>
      <c r="F298" s="92">
        <f>IF(AND(C298="One-off",IFERROR(INDEX(Categories!$C$2:$C$200,MATCH(B298,Categories!$A$2:$A$200,0)),"N")="Y"),D298,0)</f>
        <v/>
      </c>
    </row>
    <row r="299" ht="15" customHeight="1" s="43">
      <c r="A299" s="89" t="n">
        <v>42064</v>
      </c>
      <c r="B299" s="90" t="inlineStr">
        <is>
          <t>Salary</t>
        </is>
      </c>
      <c r="C299" s="90" t="inlineStr">
        <is>
          <t>Income</t>
        </is>
      </c>
      <c r="D299" s="91" t="n">
        <v>4360</v>
      </c>
      <c r="F299" s="92">
        <f>IF(AND(C299="One-off",IFERROR(INDEX(Categories!$C$2:$C$200,MATCH(B299,Categories!$A$2:$A$200,0)),"N")="Y"),D299,0)</f>
        <v/>
      </c>
    </row>
    <row r="300" ht="15" customHeight="1" s="43">
      <c r="A300" s="89" t="n">
        <v>42064</v>
      </c>
      <c r="B300" s="90" t="inlineStr">
        <is>
          <t>Uncategorised</t>
        </is>
      </c>
      <c r="C300" s="90" t="inlineStr">
        <is>
          <t>Actual</t>
        </is>
      </c>
      <c r="D300" s="91" t="n">
        <v>2680</v>
      </c>
      <c r="E300" s="94" t="inlineStr">
        <is>
          <t>Historical monthly total (pre per-category tracking)</t>
        </is>
      </c>
      <c r="F300" s="92">
        <f>IF(AND(C300="One-off",IFERROR(INDEX(Categories!$C$2:$C$200,MATCH(B300,Categories!$A$2:$A$200,0)),"N")="Y"),D300,0)</f>
        <v/>
      </c>
    </row>
    <row r="301" ht="15" customHeight="1" s="43">
      <c r="A301" s="89" t="n">
        <v>42095</v>
      </c>
      <c r="B301" s="90" t="inlineStr">
        <is>
          <t>Interest</t>
        </is>
      </c>
      <c r="C301" s="90" t="inlineStr">
        <is>
          <t>Income</t>
        </is>
      </c>
      <c r="D301" s="91" t="n">
        <v>20</v>
      </c>
      <c r="F301" s="92">
        <f>IF(AND(C301="One-off",IFERROR(INDEX(Categories!$C$2:$C$200,MATCH(B301,Categories!$A$2:$A$200,0)),"N")="Y"),D301,0)</f>
        <v/>
      </c>
    </row>
    <row r="302" ht="15" customHeight="1" s="43">
      <c r="A302" s="89" t="n">
        <v>42095</v>
      </c>
      <c r="B302" s="90" t="inlineStr">
        <is>
          <t>Salary</t>
        </is>
      </c>
      <c r="C302" s="90" t="inlineStr">
        <is>
          <t>Income</t>
        </is>
      </c>
      <c r="D302" s="91" t="n">
        <v>4410</v>
      </c>
      <c r="F302" s="92">
        <f>IF(AND(C302="One-off",IFERROR(INDEX(Categories!$C$2:$C$200,MATCH(B302,Categories!$A$2:$A$200,0)),"N")="Y"),D302,0)</f>
        <v/>
      </c>
    </row>
    <row r="303" ht="15" customHeight="1" s="43">
      <c r="A303" s="89" t="n">
        <v>42095</v>
      </c>
      <c r="B303" s="90" t="inlineStr">
        <is>
          <t>Uncategorised</t>
        </is>
      </c>
      <c r="C303" s="90" t="inlineStr">
        <is>
          <t>Actual</t>
        </is>
      </c>
      <c r="D303" s="91" t="n">
        <v>2800</v>
      </c>
      <c r="E303" s="93" t="inlineStr">
        <is>
          <t>Historical monthly total (pre per-category tracking)</t>
        </is>
      </c>
      <c r="F303" s="92">
        <f>IF(AND(C303="One-off",IFERROR(INDEX(Categories!$C$2:$C$200,MATCH(B303,Categories!$A$2:$A$200,0)),"N")="Y"),D303,0)</f>
        <v/>
      </c>
    </row>
    <row r="304" ht="15" customHeight="1" s="43">
      <c r="A304" s="89" t="n">
        <v>42125</v>
      </c>
      <c r="B304" s="90" t="inlineStr">
        <is>
          <t>Interest</t>
        </is>
      </c>
      <c r="C304" s="90" t="inlineStr">
        <is>
          <t>Income</t>
        </is>
      </c>
      <c r="D304" s="91" t="n">
        <v>20</v>
      </c>
      <c r="F304" s="92">
        <f>IF(AND(C304="One-off",IFERROR(INDEX(Categories!$C$2:$C$200,MATCH(B304,Categories!$A$2:$A$200,0)),"N")="Y"),D304,0)</f>
        <v/>
      </c>
    </row>
    <row r="305" ht="15" customHeight="1" s="43">
      <c r="A305" s="89" t="n">
        <v>42125</v>
      </c>
      <c r="B305" s="90" t="inlineStr">
        <is>
          <t>Salary</t>
        </is>
      </c>
      <c r="C305" s="90" t="inlineStr">
        <is>
          <t>Income</t>
        </is>
      </c>
      <c r="D305" s="91" t="n">
        <v>4460</v>
      </c>
      <c r="F305" s="92">
        <f>IF(AND(C305="One-off",IFERROR(INDEX(Categories!$C$2:$C$200,MATCH(B305,Categories!$A$2:$A$200,0)),"N")="Y"),D305,0)</f>
        <v/>
      </c>
    </row>
    <row r="306" ht="15" customHeight="1" s="43">
      <c r="A306" s="89" t="n">
        <v>42125</v>
      </c>
      <c r="B306" s="90" t="inlineStr">
        <is>
          <t>Uncategorised</t>
        </is>
      </c>
      <c r="C306" s="90" t="inlineStr">
        <is>
          <t>Actual</t>
        </is>
      </c>
      <c r="D306" s="91" t="n">
        <v>2920</v>
      </c>
      <c r="E306" s="94" t="inlineStr">
        <is>
          <t>Historical monthly total (pre per-category tracking)</t>
        </is>
      </c>
      <c r="F306" s="92">
        <f>IF(AND(C306="One-off",IFERROR(INDEX(Categories!$C$2:$C$200,MATCH(B306,Categories!$A$2:$A$200,0)),"N")="Y"),D306,0)</f>
        <v/>
      </c>
    </row>
    <row r="307" ht="15" customHeight="1" s="43">
      <c r="A307" s="89" t="n">
        <v>42156</v>
      </c>
      <c r="B307" s="90" t="inlineStr">
        <is>
          <t>Dividends</t>
        </is>
      </c>
      <c r="C307" s="90" t="inlineStr">
        <is>
          <t>Income</t>
        </is>
      </c>
      <c r="D307" s="91" t="n">
        <v>150</v>
      </c>
      <c r="F307" s="92">
        <f>IF(AND(C307="One-off",IFERROR(INDEX(Categories!$C$2:$C$200,MATCH(B307,Categories!$A$2:$A$200,0)),"N")="Y"),D307,0)</f>
        <v/>
      </c>
    </row>
    <row r="308" ht="15" customHeight="1" s="43">
      <c r="A308" s="89" t="n">
        <v>42156</v>
      </c>
      <c r="B308" s="90" t="inlineStr">
        <is>
          <t>Interest</t>
        </is>
      </c>
      <c r="C308" s="90" t="inlineStr">
        <is>
          <t>Income</t>
        </is>
      </c>
      <c r="D308" s="91" t="n">
        <v>20</v>
      </c>
      <c r="F308" s="92">
        <f>IF(AND(C308="One-off",IFERROR(INDEX(Categories!$C$2:$C$200,MATCH(B308,Categories!$A$2:$A$200,0)),"N")="Y"),D308,0)</f>
        <v/>
      </c>
    </row>
    <row r="309" ht="15" customHeight="1" s="43">
      <c r="A309" s="89" t="n">
        <v>42156</v>
      </c>
      <c r="B309" s="90" t="inlineStr">
        <is>
          <t>Salary</t>
        </is>
      </c>
      <c r="C309" s="90" t="inlineStr">
        <is>
          <t>Income</t>
        </is>
      </c>
      <c r="D309" s="91" t="n">
        <v>4510</v>
      </c>
      <c r="E309" s="77" t="n"/>
      <c r="F309" s="92">
        <f>IF(AND(C309="One-off",IFERROR(INDEX(Categories!$C$2:$C$200,MATCH(B309,Categories!$A$2:$A$200,0)),"N")="Y"),D309,0)</f>
        <v/>
      </c>
    </row>
    <row r="310" ht="15" customHeight="1" s="43">
      <c r="A310" s="89" t="n">
        <v>42156</v>
      </c>
      <c r="B310" s="90" t="inlineStr">
        <is>
          <t>Uncategorised</t>
        </is>
      </c>
      <c r="C310" s="90" t="inlineStr">
        <is>
          <t>Actual</t>
        </is>
      </c>
      <c r="D310" s="91" t="n">
        <v>3040</v>
      </c>
      <c r="E310" s="94" t="inlineStr">
        <is>
          <t>Historical monthly total (pre per-category tracking)</t>
        </is>
      </c>
      <c r="F310" s="92">
        <f>IF(AND(C310="One-off",IFERROR(INDEX(Categories!$C$2:$C$200,MATCH(B310,Categories!$A$2:$A$200,0)),"N")="Y"),D310,0)</f>
        <v/>
      </c>
    </row>
    <row r="311" ht="15" customHeight="1" s="43">
      <c r="A311" s="89" t="n">
        <v>42186</v>
      </c>
      <c r="B311" s="90" t="inlineStr">
        <is>
          <t>Interest</t>
        </is>
      </c>
      <c r="C311" s="90" t="inlineStr">
        <is>
          <t>Income</t>
        </is>
      </c>
      <c r="D311" s="91" t="n">
        <v>20</v>
      </c>
      <c r="F311" s="92">
        <f>IF(AND(C311="One-off",IFERROR(INDEX(Categories!$C$2:$C$200,MATCH(B311,Categories!$A$2:$A$200,0)),"N")="Y"),D311,0)</f>
        <v/>
      </c>
    </row>
    <row r="312" ht="15" customHeight="1" s="43">
      <c r="A312" s="89" t="n">
        <v>42186</v>
      </c>
      <c r="B312" s="90" t="inlineStr">
        <is>
          <t>Salary</t>
        </is>
      </c>
      <c r="C312" s="90" t="inlineStr">
        <is>
          <t>Income</t>
        </is>
      </c>
      <c r="D312" s="91" t="n">
        <v>4260</v>
      </c>
      <c r="F312" s="92">
        <f>IF(AND(C312="One-off",IFERROR(INDEX(Categories!$C$2:$C$200,MATCH(B312,Categories!$A$2:$A$200,0)),"N")="Y"),D312,0)</f>
        <v/>
      </c>
    </row>
    <row r="313" ht="15" customHeight="1" s="43">
      <c r="A313" s="89" t="n">
        <v>42186</v>
      </c>
      <c r="B313" s="90" t="inlineStr">
        <is>
          <t>Uncategorised</t>
        </is>
      </c>
      <c r="C313" s="90" t="inlineStr">
        <is>
          <t>Actual</t>
        </is>
      </c>
      <c r="D313" s="91" t="n">
        <v>2560</v>
      </c>
      <c r="E313" s="93" t="inlineStr">
        <is>
          <t>Historical monthly total (pre per-category tracking)</t>
        </is>
      </c>
      <c r="F313" s="92">
        <f>IF(AND(C313="One-off",IFERROR(INDEX(Categories!$C$2:$C$200,MATCH(B313,Categories!$A$2:$A$200,0)),"N")="Y"),D313,0)</f>
        <v/>
      </c>
    </row>
    <row r="314" ht="15" customHeight="1" s="43">
      <c r="A314" s="89" t="n">
        <v>42217</v>
      </c>
      <c r="B314" s="90" t="inlineStr">
        <is>
          <t>Interest</t>
        </is>
      </c>
      <c r="C314" s="90" t="inlineStr">
        <is>
          <t>Income</t>
        </is>
      </c>
      <c r="D314" s="91" t="n">
        <v>20</v>
      </c>
      <c r="F314" s="92">
        <f>IF(AND(C314="One-off",IFERROR(INDEX(Categories!$C$2:$C$200,MATCH(B314,Categories!$A$2:$A$200,0)),"N")="Y"),D314,0)</f>
        <v/>
      </c>
    </row>
    <row r="315" ht="15" customHeight="1" s="43">
      <c r="A315" s="89" t="n">
        <v>42217</v>
      </c>
      <c r="B315" s="90" t="inlineStr">
        <is>
          <t>Salary</t>
        </is>
      </c>
      <c r="C315" s="90" t="inlineStr">
        <is>
          <t>Income</t>
        </is>
      </c>
      <c r="D315" s="91" t="n">
        <v>4310</v>
      </c>
      <c r="F315" s="92">
        <f>IF(AND(C315="One-off",IFERROR(INDEX(Categories!$C$2:$C$200,MATCH(B315,Categories!$A$2:$A$200,0)),"N")="Y"),D315,0)</f>
        <v/>
      </c>
    </row>
    <row r="316" ht="15" customHeight="1" s="43">
      <c r="A316" s="89" t="n">
        <v>42217</v>
      </c>
      <c r="B316" s="90" t="inlineStr">
        <is>
          <t>Uncategorised</t>
        </is>
      </c>
      <c r="C316" s="90" t="inlineStr">
        <is>
          <t>Actual</t>
        </is>
      </c>
      <c r="D316" s="91" t="n">
        <v>2680</v>
      </c>
      <c r="E316" s="94" t="inlineStr">
        <is>
          <t>Historical monthly total (pre per-category tracking)</t>
        </is>
      </c>
      <c r="F316" s="92">
        <f>IF(AND(C316="One-off",IFERROR(INDEX(Categories!$C$2:$C$200,MATCH(B316,Categories!$A$2:$A$200,0)),"N")="Y"),D316,0)</f>
        <v/>
      </c>
    </row>
    <row r="317" ht="15" customHeight="1" s="43">
      <c r="A317" s="89" t="n">
        <v>42248</v>
      </c>
      <c r="B317" s="90" t="inlineStr">
        <is>
          <t>Dividends</t>
        </is>
      </c>
      <c r="C317" s="90" t="inlineStr">
        <is>
          <t>Income</t>
        </is>
      </c>
      <c r="D317" s="91" t="n">
        <v>150</v>
      </c>
      <c r="F317" s="92">
        <f>IF(AND(C317="One-off",IFERROR(INDEX(Categories!$C$2:$C$200,MATCH(B317,Categories!$A$2:$A$200,0)),"N")="Y"),D317,0)</f>
        <v/>
      </c>
    </row>
    <row r="318" ht="15" customHeight="1" s="43">
      <c r="A318" s="89" t="n">
        <v>42248</v>
      </c>
      <c r="B318" s="90" t="inlineStr">
        <is>
          <t>Interest</t>
        </is>
      </c>
      <c r="C318" s="90" t="inlineStr">
        <is>
          <t>Income</t>
        </is>
      </c>
      <c r="D318" s="91" t="n">
        <v>20</v>
      </c>
      <c r="E318" s="77" t="n"/>
      <c r="F318" s="92">
        <f>IF(AND(C318="One-off",IFERROR(INDEX(Categories!$C$2:$C$200,MATCH(B318,Categories!$A$2:$A$200,0)),"N")="Y"),D318,0)</f>
        <v/>
      </c>
    </row>
    <row r="319" ht="15" customHeight="1" s="43">
      <c r="A319" s="89" t="n">
        <v>42248</v>
      </c>
      <c r="B319" s="90" t="inlineStr">
        <is>
          <t>Salary</t>
        </is>
      </c>
      <c r="C319" s="90" t="inlineStr">
        <is>
          <t>Income</t>
        </is>
      </c>
      <c r="D319" s="91" t="n">
        <v>4360</v>
      </c>
      <c r="F319" s="92">
        <f>IF(AND(C319="One-off",IFERROR(INDEX(Categories!$C$2:$C$200,MATCH(B319,Categories!$A$2:$A$200,0)),"N")="Y"),D319,0)</f>
        <v/>
      </c>
    </row>
    <row r="320" ht="15" customHeight="1" s="43">
      <c r="A320" s="89" t="n">
        <v>42248</v>
      </c>
      <c r="B320" s="90" t="inlineStr">
        <is>
          <t>Uncategorised</t>
        </is>
      </c>
      <c r="C320" s="90" t="inlineStr">
        <is>
          <t>Actual</t>
        </is>
      </c>
      <c r="D320" s="91" t="n">
        <v>2800</v>
      </c>
      <c r="E320" s="94" t="inlineStr">
        <is>
          <t>Historical monthly total (pre per-category tracking)</t>
        </is>
      </c>
      <c r="F320" s="92">
        <f>IF(AND(C320="One-off",IFERROR(INDEX(Categories!$C$2:$C$200,MATCH(B320,Categories!$A$2:$A$200,0)),"N")="Y"),D320,0)</f>
        <v/>
      </c>
    </row>
    <row r="321" ht="15" customHeight="1" s="43">
      <c r="A321" s="89" t="n">
        <v>42278</v>
      </c>
      <c r="B321" s="90" t="inlineStr">
        <is>
          <t>Interest</t>
        </is>
      </c>
      <c r="C321" s="90" t="inlineStr">
        <is>
          <t>Income</t>
        </is>
      </c>
      <c r="D321" s="91" t="n">
        <v>20</v>
      </c>
      <c r="F321" s="92">
        <f>IF(AND(C321="One-off",IFERROR(INDEX(Categories!$C$2:$C$200,MATCH(B321,Categories!$A$2:$A$200,0)),"N")="Y"),D321,0)</f>
        <v/>
      </c>
    </row>
    <row r="322" ht="15" customHeight="1" s="43">
      <c r="A322" s="89" t="n">
        <v>42278</v>
      </c>
      <c r="B322" s="90" t="inlineStr">
        <is>
          <t>Salary</t>
        </is>
      </c>
      <c r="C322" s="90" t="inlineStr">
        <is>
          <t>Income</t>
        </is>
      </c>
      <c r="D322" s="91" t="n">
        <v>4410</v>
      </c>
      <c r="E322" s="77" t="n"/>
      <c r="F322" s="92">
        <f>IF(AND(C322="One-off",IFERROR(INDEX(Categories!$C$2:$C$200,MATCH(B322,Categories!$A$2:$A$200,0)),"N")="Y"),D322,0)</f>
        <v/>
      </c>
    </row>
    <row r="323" ht="15" customHeight="1" s="43">
      <c r="A323" s="89" t="n">
        <v>42278</v>
      </c>
      <c r="B323" s="90" t="inlineStr">
        <is>
          <t>Uncategorised</t>
        </is>
      </c>
      <c r="C323" s="90" t="inlineStr">
        <is>
          <t>Actual</t>
        </is>
      </c>
      <c r="D323" s="91" t="n">
        <v>2920</v>
      </c>
      <c r="E323" s="94" t="inlineStr">
        <is>
          <t>Historical monthly total (pre per-category tracking)</t>
        </is>
      </c>
      <c r="F323" s="92">
        <f>IF(AND(C323="One-off",IFERROR(INDEX(Categories!$C$2:$C$200,MATCH(B323,Categories!$A$2:$A$200,0)),"N")="Y"),D323,0)</f>
        <v/>
      </c>
    </row>
    <row r="324" ht="15" customHeight="1" s="43">
      <c r="A324" s="89" t="n">
        <v>42309</v>
      </c>
      <c r="B324" s="90" t="inlineStr">
        <is>
          <t>Interest</t>
        </is>
      </c>
      <c r="C324" s="90" t="inlineStr">
        <is>
          <t>Income</t>
        </is>
      </c>
      <c r="D324" s="91" t="n">
        <v>20</v>
      </c>
      <c r="F324" s="92">
        <f>IF(AND(C324="One-off",IFERROR(INDEX(Categories!$C$2:$C$200,MATCH(B324,Categories!$A$2:$A$200,0)),"N")="Y"),D324,0)</f>
        <v/>
      </c>
    </row>
    <row r="325" ht="15" customHeight="1" s="43">
      <c r="A325" s="89" t="n">
        <v>42309</v>
      </c>
      <c r="B325" s="90" t="inlineStr">
        <is>
          <t>Salary</t>
        </is>
      </c>
      <c r="C325" s="90" t="inlineStr">
        <is>
          <t>Income</t>
        </is>
      </c>
      <c r="D325" s="91" t="n">
        <v>4460</v>
      </c>
      <c r="E325" s="77" t="n"/>
      <c r="F325" s="92">
        <f>IF(AND(C325="One-off",IFERROR(INDEX(Categories!$C$2:$C$200,MATCH(B325,Categories!$A$2:$A$200,0)),"N")="Y"),D325,0)</f>
        <v/>
      </c>
    </row>
    <row r="326" ht="15" customHeight="1" s="43">
      <c r="A326" s="89" t="n">
        <v>42309</v>
      </c>
      <c r="B326" s="90" t="inlineStr">
        <is>
          <t>Uncategorised</t>
        </is>
      </c>
      <c r="C326" s="90" t="inlineStr">
        <is>
          <t>Actual</t>
        </is>
      </c>
      <c r="D326" s="91" t="n">
        <v>3040</v>
      </c>
      <c r="E326" s="94" t="inlineStr">
        <is>
          <t>Historical monthly total (pre per-category tracking)</t>
        </is>
      </c>
      <c r="F326" s="92">
        <f>IF(AND(C326="One-off",IFERROR(INDEX(Categories!$C$2:$C$200,MATCH(B326,Categories!$A$2:$A$200,0)),"N")="Y"),D326,0)</f>
        <v/>
      </c>
    </row>
    <row r="327" ht="15" customHeight="1" s="43">
      <c r="A327" s="89" t="n">
        <v>42339</v>
      </c>
      <c r="B327" s="90" t="inlineStr">
        <is>
          <t>Bonus/Claims</t>
        </is>
      </c>
      <c r="C327" s="90" t="inlineStr">
        <is>
          <t>Income</t>
        </is>
      </c>
      <c r="D327" s="91" t="n">
        <v>4510</v>
      </c>
      <c r="F327" s="92">
        <f>IF(AND(C327="One-off",IFERROR(INDEX(Categories!$C$2:$C$200,MATCH(B327,Categories!$A$2:$A$200,0)),"N")="Y"),D327,0)</f>
        <v/>
      </c>
    </row>
    <row r="328" ht="15" customHeight="1" s="43">
      <c r="A328" s="89" t="n">
        <v>42339</v>
      </c>
      <c r="B328" s="90" t="inlineStr">
        <is>
          <t>Dividends</t>
        </is>
      </c>
      <c r="C328" s="90" t="inlineStr">
        <is>
          <t>Income</t>
        </is>
      </c>
      <c r="D328" s="91" t="n">
        <v>150</v>
      </c>
      <c r="F328" s="92">
        <f>IF(AND(C328="One-off",IFERROR(INDEX(Categories!$C$2:$C$200,MATCH(B328,Categories!$A$2:$A$200,0)),"N")="Y"),D328,0)</f>
        <v/>
      </c>
    </row>
    <row r="329" ht="15" customHeight="1" s="43">
      <c r="A329" s="89" t="n">
        <v>42339</v>
      </c>
      <c r="B329" s="90" t="inlineStr">
        <is>
          <t>Interest</t>
        </is>
      </c>
      <c r="C329" s="90" t="inlineStr">
        <is>
          <t>Income</t>
        </is>
      </c>
      <c r="D329" s="91" t="n">
        <v>20</v>
      </c>
      <c r="F329" s="92">
        <f>IF(AND(C329="One-off",IFERROR(INDEX(Categories!$C$2:$C$200,MATCH(B329,Categories!$A$2:$A$200,0)),"N")="Y"),D329,0)</f>
        <v/>
      </c>
    </row>
    <row r="330" ht="15" customHeight="1" s="43">
      <c r="A330" s="89" t="n">
        <v>42339</v>
      </c>
      <c r="B330" s="90" t="inlineStr">
        <is>
          <t>Salary</t>
        </is>
      </c>
      <c r="C330" s="90" t="inlineStr">
        <is>
          <t>Income</t>
        </is>
      </c>
      <c r="D330" s="91" t="n">
        <v>4510</v>
      </c>
      <c r="F330" s="92">
        <f>IF(AND(C330="One-off",IFERROR(INDEX(Categories!$C$2:$C$200,MATCH(B330,Categories!$A$2:$A$200,0)),"N")="Y"),D330,0)</f>
        <v/>
      </c>
    </row>
    <row r="331" ht="15" customHeight="1" s="43">
      <c r="A331" s="89" t="n">
        <v>42339</v>
      </c>
      <c r="B331" s="90" t="inlineStr">
        <is>
          <t>Uncategorised</t>
        </is>
      </c>
      <c r="C331" s="90" t="inlineStr">
        <is>
          <t>Actual</t>
        </is>
      </c>
      <c r="D331" s="91" t="n">
        <v>2560</v>
      </c>
      <c r="E331" s="93" t="inlineStr">
        <is>
          <t>Historical monthly total (pre per-category tracking)</t>
        </is>
      </c>
      <c r="F331" s="92">
        <f>IF(AND(C331="One-off",IFERROR(INDEX(Categories!$C$2:$C$200,MATCH(B331,Categories!$A$2:$A$200,0)),"N")="Y"),D331,0)</f>
        <v/>
      </c>
    </row>
    <row r="332" ht="15" customHeight="1" s="43">
      <c r="A332" s="89" t="n">
        <v>42370</v>
      </c>
      <c r="B332" s="90" t="inlineStr">
        <is>
          <t>Interest</t>
        </is>
      </c>
      <c r="C332" s="90" t="inlineStr">
        <is>
          <t>Income</t>
        </is>
      </c>
      <c r="D332" s="91" t="n">
        <v>20</v>
      </c>
      <c r="F332" s="92">
        <f>IF(AND(C332="One-off",IFERROR(INDEX(Categories!$C$2:$C$200,MATCH(B332,Categories!$A$2:$A$200,0)),"N")="Y"),D332,0)</f>
        <v/>
      </c>
    </row>
    <row r="333" ht="15" customHeight="1" s="43">
      <c r="A333" s="89" t="n">
        <v>42370</v>
      </c>
      <c r="B333" s="90" t="inlineStr">
        <is>
          <t>Salary</t>
        </is>
      </c>
      <c r="C333" s="90" t="inlineStr">
        <is>
          <t>Income</t>
        </is>
      </c>
      <c r="D333" s="91" t="n">
        <v>4440</v>
      </c>
      <c r="F333" s="92">
        <f>IF(AND(C333="One-off",IFERROR(INDEX(Categories!$C$2:$C$200,MATCH(B333,Categories!$A$2:$A$200,0)),"N")="Y"),D333,0)</f>
        <v/>
      </c>
    </row>
    <row r="334" ht="15" customHeight="1" s="43">
      <c r="A334" s="89" t="n">
        <v>42370</v>
      </c>
      <c r="B334" s="90" t="inlineStr">
        <is>
          <t>Uncategorised</t>
        </is>
      </c>
      <c r="C334" s="90" t="inlineStr">
        <is>
          <t>Actual</t>
        </is>
      </c>
      <c r="D334" s="91" t="n">
        <v>2760</v>
      </c>
      <c r="E334" s="94" t="inlineStr">
        <is>
          <t>Historical monthly total (pre per-category tracking)</t>
        </is>
      </c>
      <c r="F334" s="92">
        <f>IF(AND(C334="One-off",IFERROR(INDEX(Categories!$C$2:$C$200,MATCH(B334,Categories!$A$2:$A$200,0)),"N")="Y"),D334,0)</f>
        <v/>
      </c>
    </row>
    <row r="335" ht="15" customHeight="1" s="43">
      <c r="A335" s="89" t="n">
        <v>42401</v>
      </c>
      <c r="B335" s="90" t="inlineStr">
        <is>
          <t>Interest</t>
        </is>
      </c>
      <c r="C335" s="90" t="inlineStr">
        <is>
          <t>Income</t>
        </is>
      </c>
      <c r="D335" s="91" t="n">
        <v>20</v>
      </c>
      <c r="E335" s="77" t="n"/>
      <c r="F335" s="92">
        <f>IF(AND(C335="One-off",IFERROR(INDEX(Categories!$C$2:$C$200,MATCH(B335,Categories!$A$2:$A$200,0)),"N")="Y"),D335,0)</f>
        <v/>
      </c>
    </row>
    <row r="336" ht="15" customHeight="1" s="43">
      <c r="A336" s="89" t="n">
        <v>42401</v>
      </c>
      <c r="B336" s="90" t="inlineStr">
        <is>
          <t>Salary</t>
        </is>
      </c>
      <c r="C336" s="90" t="inlineStr">
        <is>
          <t>Income</t>
        </is>
      </c>
      <c r="D336" s="91" t="n">
        <v>4490</v>
      </c>
      <c r="F336" s="92">
        <f>IF(AND(C336="One-off",IFERROR(INDEX(Categories!$C$2:$C$200,MATCH(B336,Categories!$A$2:$A$200,0)),"N")="Y"),D336,0)</f>
        <v/>
      </c>
    </row>
    <row r="337" ht="15" customHeight="1" s="43">
      <c r="A337" s="89" t="n">
        <v>42401</v>
      </c>
      <c r="B337" s="90" t="inlineStr">
        <is>
          <t>Uncategorised</t>
        </is>
      </c>
      <c r="C337" s="90" t="inlineStr">
        <is>
          <t>Actual</t>
        </is>
      </c>
      <c r="D337" s="91" t="n">
        <v>2880</v>
      </c>
      <c r="E337" s="94" t="inlineStr">
        <is>
          <t>Historical monthly total (pre per-category tracking)</t>
        </is>
      </c>
      <c r="F337" s="92">
        <f>IF(AND(C337="One-off",IFERROR(INDEX(Categories!$C$2:$C$200,MATCH(B337,Categories!$A$2:$A$200,0)),"N")="Y"),D337,0)</f>
        <v/>
      </c>
    </row>
    <row r="338" ht="15" customHeight="1" s="43">
      <c r="A338" s="89" t="n">
        <v>42430</v>
      </c>
      <c r="B338" s="90" t="inlineStr">
        <is>
          <t>Dividends</t>
        </is>
      </c>
      <c r="C338" s="90" t="inlineStr">
        <is>
          <t>Income</t>
        </is>
      </c>
      <c r="D338" s="91" t="n">
        <v>150</v>
      </c>
      <c r="F338" s="92">
        <f>IF(AND(C338="One-off",IFERROR(INDEX(Categories!$C$2:$C$200,MATCH(B338,Categories!$A$2:$A$200,0)),"N")="Y"),D338,0)</f>
        <v/>
      </c>
    </row>
    <row r="339" ht="15" customHeight="1" s="43">
      <c r="A339" s="89" t="n">
        <v>42430</v>
      </c>
      <c r="B339" s="90" t="inlineStr">
        <is>
          <t>Interest</t>
        </is>
      </c>
      <c r="C339" s="90" t="inlineStr">
        <is>
          <t>Income</t>
        </is>
      </c>
      <c r="D339" s="91" t="n">
        <v>20</v>
      </c>
      <c r="F339" s="92">
        <f>IF(AND(C339="One-off",IFERROR(INDEX(Categories!$C$2:$C$200,MATCH(B339,Categories!$A$2:$A$200,0)),"N")="Y"),D339,0)</f>
        <v/>
      </c>
    </row>
    <row r="340" ht="15" customHeight="1" s="43">
      <c r="A340" s="89" t="n">
        <v>42430</v>
      </c>
      <c r="B340" s="90" t="inlineStr">
        <is>
          <t>Salary</t>
        </is>
      </c>
      <c r="C340" s="90" t="inlineStr">
        <is>
          <t>Income</t>
        </is>
      </c>
      <c r="D340" s="91" t="n">
        <v>4540</v>
      </c>
      <c r="F340" s="92">
        <f>IF(AND(C340="One-off",IFERROR(INDEX(Categories!$C$2:$C$200,MATCH(B340,Categories!$A$2:$A$200,0)),"N")="Y"),D340,0)</f>
        <v/>
      </c>
    </row>
    <row r="341" ht="15" customHeight="1" s="43">
      <c r="A341" s="89" t="n">
        <v>42430</v>
      </c>
      <c r="B341" s="90" t="inlineStr">
        <is>
          <t>Uncategorised</t>
        </is>
      </c>
      <c r="C341" s="90" t="inlineStr">
        <is>
          <t>Actual</t>
        </is>
      </c>
      <c r="D341" s="91" t="n">
        <v>3000</v>
      </c>
      <c r="E341" s="93" t="inlineStr">
        <is>
          <t>Historical monthly total (pre per-category tracking)</t>
        </is>
      </c>
      <c r="F341" s="92">
        <f>IF(AND(C341="One-off",IFERROR(INDEX(Categories!$C$2:$C$200,MATCH(B341,Categories!$A$2:$A$200,0)),"N")="Y"),D341,0)</f>
        <v/>
      </c>
    </row>
    <row r="342" ht="15" customHeight="1" s="43">
      <c r="A342" s="89" t="n">
        <v>42461</v>
      </c>
      <c r="B342" s="90" t="inlineStr">
        <is>
          <t>Interest</t>
        </is>
      </c>
      <c r="C342" s="90" t="inlineStr">
        <is>
          <t>Income</t>
        </is>
      </c>
      <c r="D342" s="91" t="n">
        <v>20</v>
      </c>
      <c r="F342" s="92">
        <f>IF(AND(C342="One-off",IFERROR(INDEX(Categories!$C$2:$C$200,MATCH(B342,Categories!$A$2:$A$200,0)),"N")="Y"),D342,0)</f>
        <v/>
      </c>
    </row>
    <row r="343" ht="15" customHeight="1" s="43">
      <c r="A343" s="89" t="n">
        <v>42461</v>
      </c>
      <c r="B343" s="90" t="inlineStr">
        <is>
          <t>Salary</t>
        </is>
      </c>
      <c r="C343" s="90" t="inlineStr">
        <is>
          <t>Income</t>
        </is>
      </c>
      <c r="D343" s="91" t="n">
        <v>4590</v>
      </c>
      <c r="F343" s="92">
        <f>IF(AND(C343="One-off",IFERROR(INDEX(Categories!$C$2:$C$200,MATCH(B343,Categories!$A$2:$A$200,0)),"N")="Y"),D343,0)</f>
        <v/>
      </c>
    </row>
    <row r="344" ht="15" customHeight="1" s="43">
      <c r="A344" s="89" t="n">
        <v>42461</v>
      </c>
      <c r="B344" s="90" t="inlineStr">
        <is>
          <t>Uncategorised</t>
        </is>
      </c>
      <c r="C344" s="90" t="inlineStr">
        <is>
          <t>Actual</t>
        </is>
      </c>
      <c r="D344" s="91" t="n">
        <v>3120</v>
      </c>
      <c r="E344" s="94" t="inlineStr">
        <is>
          <t>Historical monthly total (pre per-category tracking)</t>
        </is>
      </c>
      <c r="F344" s="92">
        <f>IF(AND(C344="One-off",IFERROR(INDEX(Categories!$C$2:$C$200,MATCH(B344,Categories!$A$2:$A$200,0)),"N")="Y"),D344,0)</f>
        <v/>
      </c>
    </row>
    <row r="345" ht="15" customHeight="1" s="43">
      <c r="A345" s="89" t="n">
        <v>42491</v>
      </c>
      <c r="B345" s="90" t="inlineStr">
        <is>
          <t>Interest</t>
        </is>
      </c>
      <c r="C345" s="90" t="inlineStr">
        <is>
          <t>Income</t>
        </is>
      </c>
      <c r="D345" s="91" t="n">
        <v>20</v>
      </c>
      <c r="F345" s="92">
        <f>IF(AND(C345="One-off",IFERROR(INDEX(Categories!$C$2:$C$200,MATCH(B345,Categories!$A$2:$A$200,0)),"N")="Y"),D345,0)</f>
        <v/>
      </c>
    </row>
    <row r="346" ht="15" customHeight="1" s="43">
      <c r="A346" s="89" t="n">
        <v>42491</v>
      </c>
      <c r="B346" s="90" t="inlineStr">
        <is>
          <t>Salary</t>
        </is>
      </c>
      <c r="C346" s="90" t="inlineStr">
        <is>
          <t>Income</t>
        </is>
      </c>
      <c r="D346" s="91" t="n">
        <v>4640</v>
      </c>
      <c r="F346" s="92">
        <f>IF(AND(C346="One-off",IFERROR(INDEX(Categories!$C$2:$C$200,MATCH(B346,Categories!$A$2:$A$200,0)),"N")="Y"),D346,0)</f>
        <v/>
      </c>
    </row>
    <row r="347" ht="15" customHeight="1" s="43">
      <c r="A347" s="89" t="n">
        <v>42491</v>
      </c>
      <c r="B347" s="90" t="inlineStr">
        <is>
          <t>Uncategorised</t>
        </is>
      </c>
      <c r="C347" s="90" t="inlineStr">
        <is>
          <t>Actual</t>
        </is>
      </c>
      <c r="D347" s="91" t="n">
        <v>2640</v>
      </c>
      <c r="E347" s="94" t="inlineStr">
        <is>
          <t>Historical monthly total (pre per-category tracking)</t>
        </is>
      </c>
      <c r="F347" s="92">
        <f>IF(AND(C347="One-off",IFERROR(INDEX(Categories!$C$2:$C$200,MATCH(B347,Categories!$A$2:$A$200,0)),"N")="Y"),D347,0)</f>
        <v/>
      </c>
    </row>
    <row r="348" ht="15" customHeight="1" s="43">
      <c r="A348" s="89" t="n">
        <v>42522</v>
      </c>
      <c r="B348" s="90" t="inlineStr">
        <is>
          <t>Dividends</t>
        </is>
      </c>
      <c r="C348" s="90" t="inlineStr">
        <is>
          <t>Income</t>
        </is>
      </c>
      <c r="D348" s="91" t="n">
        <v>150</v>
      </c>
      <c r="E348" s="77" t="n"/>
      <c r="F348" s="92">
        <f>IF(AND(C348="One-off",IFERROR(INDEX(Categories!$C$2:$C$200,MATCH(B348,Categories!$A$2:$A$200,0)),"N")="Y"),D348,0)</f>
        <v/>
      </c>
    </row>
    <row r="349" ht="15" customHeight="1" s="43">
      <c r="A349" s="89" t="n">
        <v>42522</v>
      </c>
      <c r="B349" s="90" t="inlineStr">
        <is>
          <t>Interest</t>
        </is>
      </c>
      <c r="C349" s="90" t="inlineStr">
        <is>
          <t>Income</t>
        </is>
      </c>
      <c r="D349" s="91" t="n">
        <v>20</v>
      </c>
      <c r="F349" s="92">
        <f>IF(AND(C349="One-off",IFERROR(INDEX(Categories!$C$2:$C$200,MATCH(B349,Categories!$A$2:$A$200,0)),"N")="Y"),D349,0)</f>
        <v/>
      </c>
    </row>
    <row r="350" ht="15" customHeight="1" s="43">
      <c r="A350" s="89" t="n">
        <v>42522</v>
      </c>
      <c r="B350" s="90" t="inlineStr">
        <is>
          <t>Salary</t>
        </is>
      </c>
      <c r="C350" s="90" t="inlineStr">
        <is>
          <t>Income</t>
        </is>
      </c>
      <c r="D350" s="91" t="n">
        <v>4690</v>
      </c>
      <c r="F350" s="92">
        <f>IF(AND(C350="One-off",IFERROR(INDEX(Categories!$C$2:$C$200,MATCH(B350,Categories!$A$2:$A$200,0)),"N")="Y"),D350,0)</f>
        <v/>
      </c>
    </row>
    <row r="351" ht="15" customHeight="1" s="43">
      <c r="A351" s="89" t="n">
        <v>42522</v>
      </c>
      <c r="B351" s="90" t="inlineStr">
        <is>
          <t>Uncategorised</t>
        </is>
      </c>
      <c r="C351" s="90" t="inlineStr">
        <is>
          <t>Actual</t>
        </is>
      </c>
      <c r="D351" s="91" t="n">
        <v>2760</v>
      </c>
      <c r="E351" s="93" t="inlineStr">
        <is>
          <t>Historical monthly total (pre per-category tracking)</t>
        </is>
      </c>
      <c r="F351" s="92">
        <f>IF(AND(C351="One-off",IFERROR(INDEX(Categories!$C$2:$C$200,MATCH(B351,Categories!$A$2:$A$200,0)),"N")="Y"),D351,0)</f>
        <v/>
      </c>
    </row>
    <row r="352" ht="15" customHeight="1" s="43">
      <c r="A352" s="89" t="n">
        <v>42552</v>
      </c>
      <c r="B352" s="90" t="inlineStr">
        <is>
          <t>Interest</t>
        </is>
      </c>
      <c r="C352" s="90" t="inlineStr">
        <is>
          <t>Income</t>
        </is>
      </c>
      <c r="D352" s="91" t="n">
        <v>20</v>
      </c>
      <c r="F352" s="92">
        <f>IF(AND(C352="One-off",IFERROR(INDEX(Categories!$C$2:$C$200,MATCH(B352,Categories!$A$2:$A$200,0)),"N")="Y"),D352,0)</f>
        <v/>
      </c>
    </row>
    <row r="353" ht="15" customHeight="1" s="43">
      <c r="A353" s="89" t="n">
        <v>42552</v>
      </c>
      <c r="B353" s="90" t="inlineStr">
        <is>
          <t>Salary</t>
        </is>
      </c>
      <c r="C353" s="90" t="inlineStr">
        <is>
          <t>Income</t>
        </is>
      </c>
      <c r="D353" s="91" t="n">
        <v>4440</v>
      </c>
      <c r="F353" s="92">
        <f>IF(AND(C353="One-off",IFERROR(INDEX(Categories!$C$2:$C$200,MATCH(B353,Categories!$A$2:$A$200,0)),"N")="Y"),D353,0)</f>
        <v/>
      </c>
    </row>
    <row r="354" ht="15" customHeight="1" s="43">
      <c r="A354" s="89" t="n">
        <v>42552</v>
      </c>
      <c r="B354" s="90" t="inlineStr">
        <is>
          <t>Uncategorised</t>
        </is>
      </c>
      <c r="C354" s="90" t="inlineStr">
        <is>
          <t>Actual</t>
        </is>
      </c>
      <c r="D354" s="91" t="n">
        <v>2880</v>
      </c>
      <c r="E354" s="94" t="inlineStr">
        <is>
          <t>Historical monthly total (pre per-category tracking)</t>
        </is>
      </c>
      <c r="F354" s="92">
        <f>IF(AND(C354="One-off",IFERROR(INDEX(Categories!$C$2:$C$200,MATCH(B354,Categories!$A$2:$A$200,0)),"N")="Y"),D354,0)</f>
        <v/>
      </c>
    </row>
    <row r="355" ht="15" customHeight="1" s="43">
      <c r="A355" s="89" t="n">
        <v>42583</v>
      </c>
      <c r="B355" s="90" t="inlineStr">
        <is>
          <t>Interest</t>
        </is>
      </c>
      <c r="C355" s="90" t="inlineStr">
        <is>
          <t>Income</t>
        </is>
      </c>
      <c r="D355" s="91" t="n">
        <v>20</v>
      </c>
      <c r="F355" s="92">
        <f>IF(AND(C355="One-off",IFERROR(INDEX(Categories!$C$2:$C$200,MATCH(B355,Categories!$A$2:$A$200,0)),"N")="Y"),D355,0)</f>
        <v/>
      </c>
    </row>
    <row r="356" ht="15" customHeight="1" s="43">
      <c r="A356" s="89" t="n">
        <v>42583</v>
      </c>
      <c r="B356" s="90" t="inlineStr">
        <is>
          <t>Salary</t>
        </is>
      </c>
      <c r="C356" s="90" t="inlineStr">
        <is>
          <t>Income</t>
        </is>
      </c>
      <c r="D356" s="91" t="n">
        <v>4490</v>
      </c>
      <c r="F356" s="92">
        <f>IF(AND(C356="One-off",IFERROR(INDEX(Categories!$C$2:$C$200,MATCH(B356,Categories!$A$2:$A$200,0)),"N")="Y"),D356,0)</f>
        <v/>
      </c>
    </row>
    <row r="357" ht="15" customHeight="1" s="43">
      <c r="A357" s="89" t="n">
        <v>42583</v>
      </c>
      <c r="B357" s="90" t="inlineStr">
        <is>
          <t>Uncategorised</t>
        </is>
      </c>
      <c r="C357" s="90" t="inlineStr">
        <is>
          <t>Actual</t>
        </is>
      </c>
      <c r="D357" s="91" t="n">
        <v>3000</v>
      </c>
      <c r="E357" s="93" t="inlineStr">
        <is>
          <t>Historical monthly total (pre per-category tracking)</t>
        </is>
      </c>
      <c r="F357" s="92">
        <f>IF(AND(C357="One-off",IFERROR(INDEX(Categories!$C$2:$C$200,MATCH(B357,Categories!$A$2:$A$200,0)),"N")="Y"),D357,0)</f>
        <v/>
      </c>
    </row>
    <row r="358" ht="15" customHeight="1" s="43">
      <c r="A358" s="89" t="n">
        <v>42614</v>
      </c>
      <c r="B358" s="90" t="inlineStr">
        <is>
          <t>Dividends</t>
        </is>
      </c>
      <c r="C358" s="90" t="inlineStr">
        <is>
          <t>Income</t>
        </is>
      </c>
      <c r="D358" s="91" t="n">
        <v>150</v>
      </c>
      <c r="F358" s="92">
        <f>IF(AND(C358="One-off",IFERROR(INDEX(Categories!$C$2:$C$200,MATCH(B358,Categories!$A$2:$A$200,0)),"N")="Y"),D358,0)</f>
        <v/>
      </c>
    </row>
    <row r="359" ht="15" customHeight="1" s="43">
      <c r="A359" s="89" t="n">
        <v>42614</v>
      </c>
      <c r="B359" s="90" t="inlineStr">
        <is>
          <t>Interest</t>
        </is>
      </c>
      <c r="C359" s="90" t="inlineStr">
        <is>
          <t>Income</t>
        </is>
      </c>
      <c r="D359" s="91" t="n">
        <v>20</v>
      </c>
      <c r="F359" s="92">
        <f>IF(AND(C359="One-off",IFERROR(INDEX(Categories!$C$2:$C$200,MATCH(B359,Categories!$A$2:$A$200,0)),"N")="Y"),D359,0)</f>
        <v/>
      </c>
    </row>
    <row r="360" ht="15" customHeight="1" s="43">
      <c r="A360" s="89" t="n">
        <v>42614</v>
      </c>
      <c r="B360" s="90" t="inlineStr">
        <is>
          <t>Salary</t>
        </is>
      </c>
      <c r="C360" s="90" t="inlineStr">
        <is>
          <t>Income</t>
        </is>
      </c>
      <c r="D360" s="91" t="n">
        <v>4540</v>
      </c>
      <c r="F360" s="92">
        <f>IF(AND(C360="One-off",IFERROR(INDEX(Categories!$C$2:$C$200,MATCH(B360,Categories!$A$2:$A$200,0)),"N")="Y"),D360,0)</f>
        <v/>
      </c>
    </row>
    <row r="361" ht="15" customHeight="1" s="43">
      <c r="A361" s="89" t="n">
        <v>42614</v>
      </c>
      <c r="B361" s="90" t="inlineStr">
        <is>
          <t>Uncategorised</t>
        </is>
      </c>
      <c r="C361" s="90" t="inlineStr">
        <is>
          <t>Actual</t>
        </is>
      </c>
      <c r="D361" s="91" t="n">
        <v>3120</v>
      </c>
      <c r="E361" s="93" t="inlineStr">
        <is>
          <t>Historical monthly total (pre per-category tracking)</t>
        </is>
      </c>
      <c r="F361" s="92">
        <f>IF(AND(C361="One-off",IFERROR(INDEX(Categories!$C$2:$C$200,MATCH(B361,Categories!$A$2:$A$200,0)),"N")="Y"),D361,0)</f>
        <v/>
      </c>
    </row>
    <row r="362" ht="15" customHeight="1" s="43">
      <c r="A362" s="89" t="n">
        <v>42614</v>
      </c>
      <c r="B362" s="90" t="inlineStr">
        <is>
          <t>Misc</t>
        </is>
      </c>
      <c r="C362" s="90" t="inlineStr">
        <is>
          <t>One-off</t>
        </is>
      </c>
      <c r="D362" s="91" t="n">
        <v>4000</v>
      </c>
      <c r="E362" s="94" t="inlineStr">
        <is>
          <t>Sample: replacement car (downpayment)</t>
        </is>
      </c>
      <c r="F362" s="92">
        <f>IF(AND(C362="One-off",IFERROR(INDEX(Categories!$C$2:$C$200,MATCH(B362,Categories!$A$2:$A$200,0)),"N")="Y"),D362,0)</f>
        <v/>
      </c>
    </row>
    <row r="363" ht="15" customHeight="1" s="43">
      <c r="A363" s="89" t="n">
        <v>42644</v>
      </c>
      <c r="B363" s="90" t="inlineStr">
        <is>
          <t>Interest</t>
        </is>
      </c>
      <c r="C363" s="90" t="inlineStr">
        <is>
          <t>Income</t>
        </is>
      </c>
      <c r="D363" s="91" t="n">
        <v>20</v>
      </c>
      <c r="F363" s="92">
        <f>IF(AND(C363="One-off",IFERROR(INDEX(Categories!$C$2:$C$200,MATCH(B363,Categories!$A$2:$A$200,0)),"N")="Y"),D363,0)</f>
        <v/>
      </c>
    </row>
    <row r="364" ht="15" customHeight="1" s="43">
      <c r="A364" s="89" t="n">
        <v>42644</v>
      </c>
      <c r="B364" s="90" t="inlineStr">
        <is>
          <t>Salary</t>
        </is>
      </c>
      <c r="C364" s="90" t="inlineStr">
        <is>
          <t>Income</t>
        </is>
      </c>
      <c r="D364" s="91" t="n">
        <v>4590</v>
      </c>
      <c r="F364" s="92">
        <f>IF(AND(C364="One-off",IFERROR(INDEX(Categories!$C$2:$C$200,MATCH(B364,Categories!$A$2:$A$200,0)),"N")="Y"),D364,0)</f>
        <v/>
      </c>
    </row>
    <row r="365" ht="15" customHeight="1" s="43">
      <c r="A365" s="89" t="n">
        <v>42644</v>
      </c>
      <c r="B365" s="90" t="inlineStr">
        <is>
          <t>Uncategorised</t>
        </is>
      </c>
      <c r="C365" s="90" t="inlineStr">
        <is>
          <t>Actual</t>
        </is>
      </c>
      <c r="D365" s="91" t="n">
        <v>2640</v>
      </c>
      <c r="E365" s="94" t="inlineStr">
        <is>
          <t>Historical monthly total (pre per-category tracking)</t>
        </is>
      </c>
      <c r="F365" s="92">
        <f>IF(AND(C365="One-off",IFERROR(INDEX(Categories!$C$2:$C$200,MATCH(B365,Categories!$A$2:$A$200,0)),"N")="Y"),D365,0)</f>
        <v/>
      </c>
    </row>
    <row r="366" ht="15" customHeight="1" s="43">
      <c r="A366" s="89" t="n">
        <v>42675</v>
      </c>
      <c r="B366" s="90" t="inlineStr">
        <is>
          <t>Interest</t>
        </is>
      </c>
      <c r="C366" s="90" t="inlineStr">
        <is>
          <t>Income</t>
        </is>
      </c>
      <c r="D366" s="91" t="n">
        <v>20</v>
      </c>
      <c r="F366" s="92">
        <f>IF(AND(C366="One-off",IFERROR(INDEX(Categories!$C$2:$C$200,MATCH(B366,Categories!$A$2:$A$200,0)),"N")="Y"),D366,0)</f>
        <v/>
      </c>
    </row>
    <row r="367" ht="15" customHeight="1" s="43">
      <c r="A367" s="89" t="n">
        <v>42675</v>
      </c>
      <c r="B367" s="90" t="inlineStr">
        <is>
          <t>Salary</t>
        </is>
      </c>
      <c r="C367" s="90" t="inlineStr">
        <is>
          <t>Income</t>
        </is>
      </c>
      <c r="D367" s="91" t="n">
        <v>4640</v>
      </c>
      <c r="F367" s="92">
        <f>IF(AND(C367="One-off",IFERROR(INDEX(Categories!$C$2:$C$200,MATCH(B367,Categories!$A$2:$A$200,0)),"N")="Y"),D367,0)</f>
        <v/>
      </c>
    </row>
    <row r="368" ht="15" customHeight="1" s="43">
      <c r="A368" s="89" t="n">
        <v>42675</v>
      </c>
      <c r="B368" s="90" t="inlineStr">
        <is>
          <t>Uncategorised</t>
        </is>
      </c>
      <c r="C368" s="90" t="inlineStr">
        <is>
          <t>Actual</t>
        </is>
      </c>
      <c r="D368" s="91" t="n">
        <v>2760</v>
      </c>
      <c r="E368" s="93" t="inlineStr">
        <is>
          <t>Historical monthly total (pre per-category tracking)</t>
        </is>
      </c>
      <c r="F368" s="92">
        <f>IF(AND(C368="One-off",IFERROR(INDEX(Categories!$C$2:$C$200,MATCH(B368,Categories!$A$2:$A$200,0)),"N")="Y"),D368,0)</f>
        <v/>
      </c>
    </row>
    <row r="369" ht="15" customHeight="1" s="43">
      <c r="A369" s="89" t="n">
        <v>42705</v>
      </c>
      <c r="B369" s="90" t="inlineStr">
        <is>
          <t>Bonus/Claims</t>
        </is>
      </c>
      <c r="C369" s="90" t="inlineStr">
        <is>
          <t>Income</t>
        </is>
      </c>
      <c r="D369" s="91" t="n">
        <v>4690</v>
      </c>
      <c r="F369" s="92">
        <f>IF(AND(C369="One-off",IFERROR(INDEX(Categories!$C$2:$C$200,MATCH(B369,Categories!$A$2:$A$200,0)),"N")="Y"),D369,0)</f>
        <v/>
      </c>
    </row>
    <row r="370" ht="15" customHeight="1" s="43">
      <c r="A370" s="89" t="n">
        <v>42705</v>
      </c>
      <c r="B370" s="90" t="inlineStr">
        <is>
          <t>Dividends</t>
        </is>
      </c>
      <c r="C370" s="90" t="inlineStr">
        <is>
          <t>Income</t>
        </is>
      </c>
      <c r="D370" s="91" t="n">
        <v>150</v>
      </c>
      <c r="E370" s="77" t="n"/>
      <c r="F370" s="92">
        <f>IF(AND(C370="One-off",IFERROR(INDEX(Categories!$C$2:$C$200,MATCH(B370,Categories!$A$2:$A$200,0)),"N")="Y"),D370,0)</f>
        <v/>
      </c>
    </row>
    <row r="371" ht="15" customHeight="1" s="43">
      <c r="A371" s="89" t="n">
        <v>42705</v>
      </c>
      <c r="B371" s="90" t="inlineStr">
        <is>
          <t>Interest</t>
        </is>
      </c>
      <c r="C371" s="90" t="inlineStr">
        <is>
          <t>Income</t>
        </is>
      </c>
      <c r="D371" s="91" t="n">
        <v>20</v>
      </c>
      <c r="F371" s="92">
        <f>IF(AND(C371="One-off",IFERROR(INDEX(Categories!$C$2:$C$200,MATCH(B371,Categories!$A$2:$A$200,0)),"N")="Y"),D371,0)</f>
        <v/>
      </c>
    </row>
    <row r="372" ht="15" customHeight="1" s="43">
      <c r="A372" s="89" t="n">
        <v>42705</v>
      </c>
      <c r="B372" s="90" t="inlineStr">
        <is>
          <t>Salary</t>
        </is>
      </c>
      <c r="C372" s="90" t="inlineStr">
        <is>
          <t>Income</t>
        </is>
      </c>
      <c r="D372" s="91" t="n">
        <v>4690</v>
      </c>
      <c r="F372" s="92">
        <f>IF(AND(C372="One-off",IFERROR(INDEX(Categories!$C$2:$C$200,MATCH(B372,Categories!$A$2:$A$200,0)),"N")="Y"),D372,0)</f>
        <v/>
      </c>
    </row>
    <row r="373" ht="15" customHeight="1" s="43">
      <c r="A373" s="89" t="n">
        <v>42705</v>
      </c>
      <c r="B373" s="90" t="inlineStr">
        <is>
          <t>Uncategorised</t>
        </is>
      </c>
      <c r="C373" s="90" t="inlineStr">
        <is>
          <t>Actual</t>
        </is>
      </c>
      <c r="D373" s="91" t="n">
        <v>2880</v>
      </c>
      <c r="E373" s="94" t="inlineStr">
        <is>
          <t>Historical monthly total (pre per-category tracking)</t>
        </is>
      </c>
      <c r="F373" s="92">
        <f>IF(AND(C373="One-off",IFERROR(INDEX(Categories!$C$2:$C$200,MATCH(B373,Categories!$A$2:$A$200,0)),"N")="Y"),D373,0)</f>
        <v/>
      </c>
    </row>
    <row r="374" ht="15" customHeight="1" s="43">
      <c r="A374" s="89" t="n">
        <v>42736</v>
      </c>
      <c r="B374" s="90" t="inlineStr">
        <is>
          <t>Interest</t>
        </is>
      </c>
      <c r="C374" s="90" t="inlineStr">
        <is>
          <t>Income</t>
        </is>
      </c>
      <c r="D374" s="91" t="n">
        <v>20</v>
      </c>
      <c r="F374" s="92">
        <f>IF(AND(C374="One-off",IFERROR(INDEX(Categories!$C$2:$C$200,MATCH(B374,Categories!$A$2:$A$200,0)),"N")="Y"),D374,0)</f>
        <v/>
      </c>
    </row>
    <row r="375" ht="15" customHeight="1" s="43">
      <c r="A375" s="89" t="n">
        <v>42736</v>
      </c>
      <c r="B375" s="90" t="inlineStr">
        <is>
          <t>Salary</t>
        </is>
      </c>
      <c r="C375" s="90" t="inlineStr">
        <is>
          <t>Income</t>
        </is>
      </c>
      <c r="D375" s="91" t="n">
        <v>4620</v>
      </c>
      <c r="E375" s="77" t="n"/>
      <c r="F375" s="92">
        <f>IF(AND(C375="One-off",IFERROR(INDEX(Categories!$C$2:$C$200,MATCH(B375,Categories!$A$2:$A$200,0)),"N")="Y"),D375,0)</f>
        <v/>
      </c>
    </row>
    <row r="376" ht="15" customHeight="1" s="43">
      <c r="A376" s="89" t="n">
        <v>42736</v>
      </c>
      <c r="B376" s="90" t="inlineStr">
        <is>
          <t>Uncategorised</t>
        </is>
      </c>
      <c r="C376" s="90" t="inlineStr">
        <is>
          <t>Actual</t>
        </is>
      </c>
      <c r="D376" s="91" t="n">
        <v>3080</v>
      </c>
      <c r="E376" s="94" t="inlineStr">
        <is>
          <t>Historical monthly total (pre per-category tracking)</t>
        </is>
      </c>
      <c r="F376" s="92">
        <f>IF(AND(C376="One-off",IFERROR(INDEX(Categories!$C$2:$C$200,MATCH(B376,Categories!$A$2:$A$200,0)),"N")="Y"),D376,0)</f>
        <v/>
      </c>
    </row>
    <row r="377" ht="15" customHeight="1" s="43">
      <c r="A377" s="89" t="n">
        <v>42767</v>
      </c>
      <c r="B377" s="90" t="inlineStr">
        <is>
          <t>Interest</t>
        </is>
      </c>
      <c r="C377" s="90" t="inlineStr">
        <is>
          <t>Income</t>
        </is>
      </c>
      <c r="D377" s="91" t="n">
        <v>20</v>
      </c>
      <c r="F377" s="92">
        <f>IF(AND(C377="One-off",IFERROR(INDEX(Categories!$C$2:$C$200,MATCH(B377,Categories!$A$2:$A$200,0)),"N")="Y"),D377,0)</f>
        <v/>
      </c>
    </row>
    <row r="378" ht="15" customHeight="1" s="43">
      <c r="A378" s="89" t="n">
        <v>42767</v>
      </c>
      <c r="B378" s="90" t="inlineStr">
        <is>
          <t>Salary</t>
        </is>
      </c>
      <c r="C378" s="90" t="inlineStr">
        <is>
          <t>Income</t>
        </is>
      </c>
      <c r="D378" s="91" t="n">
        <v>4670</v>
      </c>
      <c r="F378" s="92">
        <f>IF(AND(C378="One-off",IFERROR(INDEX(Categories!$C$2:$C$200,MATCH(B378,Categories!$A$2:$A$200,0)),"N")="Y"),D378,0)</f>
        <v/>
      </c>
    </row>
    <row r="379" ht="15" customHeight="1" s="43">
      <c r="A379" s="89" t="n">
        <v>42767</v>
      </c>
      <c r="B379" s="90" t="inlineStr">
        <is>
          <t>Uncategorised</t>
        </is>
      </c>
      <c r="C379" s="90" t="inlineStr">
        <is>
          <t>Actual</t>
        </is>
      </c>
      <c r="D379" s="91" t="n">
        <v>3200</v>
      </c>
      <c r="E379" s="94" t="inlineStr">
        <is>
          <t>Historical monthly total (pre per-category tracking)</t>
        </is>
      </c>
      <c r="F379" s="92">
        <f>IF(AND(C379="One-off",IFERROR(INDEX(Categories!$C$2:$C$200,MATCH(B379,Categories!$A$2:$A$200,0)),"N")="Y"),D379,0)</f>
        <v/>
      </c>
    </row>
    <row r="380" ht="15" customHeight="1" s="43">
      <c r="A380" s="89" t="n">
        <v>42795</v>
      </c>
      <c r="B380" s="90" t="inlineStr">
        <is>
          <t>Dividends</t>
        </is>
      </c>
      <c r="C380" s="90" t="inlineStr">
        <is>
          <t>Income</t>
        </is>
      </c>
      <c r="D380" s="91" t="n">
        <v>150</v>
      </c>
      <c r="E380" s="77" t="n"/>
      <c r="F380" s="92">
        <f>IF(AND(C380="One-off",IFERROR(INDEX(Categories!$C$2:$C$200,MATCH(B380,Categories!$A$2:$A$200,0)),"N")="Y"),D380,0)</f>
        <v/>
      </c>
    </row>
    <row r="381" ht="15" customHeight="1" s="43">
      <c r="A381" s="89" t="n">
        <v>42795</v>
      </c>
      <c r="B381" s="90" t="inlineStr">
        <is>
          <t>Interest</t>
        </is>
      </c>
      <c r="C381" s="90" t="inlineStr">
        <is>
          <t>Income</t>
        </is>
      </c>
      <c r="D381" s="91" t="n">
        <v>20</v>
      </c>
      <c r="F381" s="92">
        <f>IF(AND(C381="One-off",IFERROR(INDEX(Categories!$C$2:$C$200,MATCH(B381,Categories!$A$2:$A$200,0)),"N")="Y"),D381,0)</f>
        <v/>
      </c>
    </row>
    <row r="382" ht="15" customHeight="1" s="43">
      <c r="A382" s="89" t="n">
        <v>42795</v>
      </c>
      <c r="B382" s="90" t="inlineStr">
        <is>
          <t>Salary</t>
        </is>
      </c>
      <c r="C382" s="90" t="inlineStr">
        <is>
          <t>Income</t>
        </is>
      </c>
      <c r="D382" s="91" t="n">
        <v>4720</v>
      </c>
      <c r="F382" s="92">
        <f>IF(AND(C382="One-off",IFERROR(INDEX(Categories!$C$2:$C$200,MATCH(B382,Categories!$A$2:$A$200,0)),"N")="Y"),D382,0)</f>
        <v/>
      </c>
    </row>
    <row r="383" ht="15" customHeight="1" s="43">
      <c r="A383" s="89" t="n">
        <v>42795</v>
      </c>
      <c r="B383" s="90" t="inlineStr">
        <is>
          <t>Uncategorised</t>
        </is>
      </c>
      <c r="C383" s="90" t="inlineStr">
        <is>
          <t>Actual</t>
        </is>
      </c>
      <c r="D383" s="91" t="n">
        <v>2720</v>
      </c>
      <c r="E383" s="94" t="inlineStr">
        <is>
          <t>Historical monthly total (pre per-category tracking)</t>
        </is>
      </c>
      <c r="F383" s="92">
        <f>IF(AND(C383="One-off",IFERROR(INDEX(Categories!$C$2:$C$200,MATCH(B383,Categories!$A$2:$A$200,0)),"N")="Y"),D383,0)</f>
        <v/>
      </c>
    </row>
    <row r="384" ht="15" customHeight="1" s="43">
      <c r="A384" s="89" t="n">
        <v>42826</v>
      </c>
      <c r="B384" s="90" t="inlineStr">
        <is>
          <t>Interest</t>
        </is>
      </c>
      <c r="C384" s="90" t="inlineStr">
        <is>
          <t>Income</t>
        </is>
      </c>
      <c r="D384" s="91" t="n">
        <v>20</v>
      </c>
      <c r="E384" s="77" t="n"/>
      <c r="F384" s="92">
        <f>IF(AND(C384="One-off",IFERROR(INDEX(Categories!$C$2:$C$200,MATCH(B384,Categories!$A$2:$A$200,0)),"N")="Y"),D384,0)</f>
        <v/>
      </c>
    </row>
    <row r="385" ht="15" customHeight="1" s="43">
      <c r="A385" s="89" t="n">
        <v>42826</v>
      </c>
      <c r="B385" s="90" t="inlineStr">
        <is>
          <t>Salary</t>
        </is>
      </c>
      <c r="C385" s="90" t="inlineStr">
        <is>
          <t>Income</t>
        </is>
      </c>
      <c r="D385" s="91" t="n">
        <v>4770</v>
      </c>
      <c r="F385" s="92">
        <f>IF(AND(C385="One-off",IFERROR(INDEX(Categories!$C$2:$C$200,MATCH(B385,Categories!$A$2:$A$200,0)),"N")="Y"),D385,0)</f>
        <v/>
      </c>
    </row>
    <row r="386" ht="15" customHeight="1" s="43">
      <c r="A386" s="89" t="n">
        <v>42826</v>
      </c>
      <c r="B386" s="90" t="inlineStr">
        <is>
          <t>Uncategorised</t>
        </is>
      </c>
      <c r="C386" s="90" t="inlineStr">
        <is>
          <t>Actual</t>
        </is>
      </c>
      <c r="D386" s="91" t="n">
        <v>2840</v>
      </c>
      <c r="E386" s="94" t="inlineStr">
        <is>
          <t>Historical monthly total (pre per-category tracking)</t>
        </is>
      </c>
      <c r="F386" s="92">
        <f>IF(AND(C386="One-off",IFERROR(INDEX(Categories!$C$2:$C$200,MATCH(B386,Categories!$A$2:$A$200,0)),"N")="Y"),D386,0)</f>
        <v/>
      </c>
    </row>
    <row r="387" ht="15" customHeight="1" s="43">
      <c r="A387" s="89" t="n">
        <v>42856</v>
      </c>
      <c r="B387" s="90" t="inlineStr">
        <is>
          <t>Interest</t>
        </is>
      </c>
      <c r="C387" s="90" t="inlineStr">
        <is>
          <t>Income</t>
        </is>
      </c>
      <c r="D387" s="91" t="n">
        <v>20</v>
      </c>
      <c r="F387" s="92">
        <f>IF(AND(C387="One-off",IFERROR(INDEX(Categories!$C$2:$C$200,MATCH(B387,Categories!$A$2:$A$200,0)),"N")="Y"),D387,0)</f>
        <v/>
      </c>
    </row>
    <row r="388" ht="15" customHeight="1" s="43">
      <c r="A388" s="89" t="n">
        <v>42856</v>
      </c>
      <c r="B388" s="90" t="inlineStr">
        <is>
          <t>Salary</t>
        </is>
      </c>
      <c r="C388" s="90" t="inlineStr">
        <is>
          <t>Income</t>
        </is>
      </c>
      <c r="D388" s="91" t="n">
        <v>4820</v>
      </c>
      <c r="E388" s="77" t="n"/>
      <c r="F388" s="92">
        <f>IF(AND(C388="One-off",IFERROR(INDEX(Categories!$C$2:$C$200,MATCH(B388,Categories!$A$2:$A$200,0)),"N")="Y"),D388,0)</f>
        <v/>
      </c>
    </row>
    <row r="389" ht="15" customHeight="1" s="43">
      <c r="A389" s="89" t="n">
        <v>42856</v>
      </c>
      <c r="B389" s="90" t="inlineStr">
        <is>
          <t>Uncategorised</t>
        </is>
      </c>
      <c r="C389" s="90" t="inlineStr">
        <is>
          <t>Actual</t>
        </is>
      </c>
      <c r="D389" s="91" t="n">
        <v>2960</v>
      </c>
      <c r="E389" s="94" t="inlineStr">
        <is>
          <t>Historical monthly total (pre per-category tracking)</t>
        </is>
      </c>
      <c r="F389" s="92">
        <f>IF(AND(C389="One-off",IFERROR(INDEX(Categories!$C$2:$C$200,MATCH(B389,Categories!$A$2:$A$200,0)),"N")="Y"),D389,0)</f>
        <v/>
      </c>
    </row>
    <row r="390" ht="15" customHeight="1" s="43">
      <c r="A390" s="89" t="n">
        <v>42887</v>
      </c>
      <c r="B390" s="90" t="inlineStr">
        <is>
          <t>Dividends</t>
        </is>
      </c>
      <c r="C390" s="90" t="inlineStr">
        <is>
          <t>Income</t>
        </is>
      </c>
      <c r="D390" s="91" t="n">
        <v>150</v>
      </c>
      <c r="F390" s="95">
        <f>IF(AND(C390="One-off",IFERROR(INDEX(Categories!$C$2:$C$200,MATCH(B390,Categories!$A$2:$A$200,0)),"N")="Y"),D390,0)</f>
        <v/>
      </c>
    </row>
    <row r="391" ht="15" customHeight="1" s="43">
      <c r="A391" s="89" t="n">
        <v>42887</v>
      </c>
      <c r="B391" s="90" t="inlineStr">
        <is>
          <t>Interest</t>
        </is>
      </c>
      <c r="C391" s="90" t="inlineStr">
        <is>
          <t>Income</t>
        </is>
      </c>
      <c r="D391" s="91" t="n">
        <v>20</v>
      </c>
      <c r="F391" s="92">
        <f>IF(AND(C391="One-off",IFERROR(INDEX(Categories!$C$2:$C$200,MATCH(B391,Categories!$A$2:$A$200,0)),"N")="Y"),D391,0)</f>
        <v/>
      </c>
    </row>
    <row r="392" ht="15" customHeight="1" s="43">
      <c r="A392" s="89" t="n">
        <v>42887</v>
      </c>
      <c r="B392" s="90" t="inlineStr">
        <is>
          <t>Salary</t>
        </is>
      </c>
      <c r="C392" s="90" t="inlineStr">
        <is>
          <t>Income</t>
        </is>
      </c>
      <c r="D392" s="91" t="n">
        <v>4870</v>
      </c>
      <c r="F392" s="92">
        <f>IF(AND(C392="One-off",IFERROR(INDEX(Categories!$C$2:$C$200,MATCH(B392,Categories!$A$2:$A$200,0)),"N")="Y"),D392,0)</f>
        <v/>
      </c>
    </row>
    <row r="393" ht="15" customHeight="1" s="43">
      <c r="A393" s="89" t="n">
        <v>42887</v>
      </c>
      <c r="B393" s="90" t="inlineStr">
        <is>
          <t>Uncategorised</t>
        </is>
      </c>
      <c r="C393" s="90" t="inlineStr">
        <is>
          <t>Actual</t>
        </is>
      </c>
      <c r="D393" s="91" t="n">
        <v>3080</v>
      </c>
      <c r="E393" s="93" t="inlineStr">
        <is>
          <t>Historical monthly total (pre per-category tracking)</t>
        </is>
      </c>
      <c r="F393" s="92">
        <f>IF(AND(C393="One-off",IFERROR(INDEX(Categories!$C$2:$C$200,MATCH(B393,Categories!$A$2:$A$200,0)),"N")="Y"),D393,0)</f>
        <v/>
      </c>
    </row>
    <row r="394" ht="15" customHeight="1" s="43">
      <c r="A394" s="89" t="n">
        <v>42917</v>
      </c>
      <c r="B394" s="90" t="inlineStr">
        <is>
          <t>Interest</t>
        </is>
      </c>
      <c r="C394" s="90" t="inlineStr">
        <is>
          <t>Income</t>
        </is>
      </c>
      <c r="D394" s="91" t="n">
        <v>20</v>
      </c>
      <c r="F394" s="92">
        <f>IF(AND(C394="One-off",IFERROR(INDEX(Categories!$C$2:$C$200,MATCH(B394,Categories!$A$2:$A$200,0)),"N")="Y"),D394,0)</f>
        <v/>
      </c>
    </row>
    <row r="395" ht="15" customHeight="1" s="43">
      <c r="A395" s="89" t="n">
        <v>42917</v>
      </c>
      <c r="B395" s="90" t="inlineStr">
        <is>
          <t>Salary</t>
        </is>
      </c>
      <c r="C395" s="90" t="inlineStr">
        <is>
          <t>Income</t>
        </is>
      </c>
      <c r="D395" s="91" t="n">
        <v>4620</v>
      </c>
      <c r="F395" s="92">
        <f>IF(AND(C395="One-off",IFERROR(INDEX(Categories!$C$2:$C$200,MATCH(B395,Categories!$A$2:$A$200,0)),"N")="Y"),D395,0)</f>
        <v/>
      </c>
    </row>
    <row r="396" ht="15" customHeight="1" s="43">
      <c r="A396" s="89" t="n">
        <v>42917</v>
      </c>
      <c r="B396" s="90" t="inlineStr">
        <is>
          <t>Uncategorised</t>
        </is>
      </c>
      <c r="C396" s="90" t="inlineStr">
        <is>
          <t>Actual</t>
        </is>
      </c>
      <c r="D396" s="91" t="n">
        <v>3200</v>
      </c>
      <c r="E396" s="94" t="inlineStr">
        <is>
          <t>Historical monthly total (pre per-category tracking)</t>
        </is>
      </c>
      <c r="F396" s="92">
        <f>IF(AND(C396="One-off",IFERROR(INDEX(Categories!$C$2:$C$200,MATCH(B396,Categories!$A$2:$A$200,0)),"N")="Y"),D396,0)</f>
        <v/>
      </c>
    </row>
    <row r="397" ht="15" customHeight="1" s="43">
      <c r="A397" s="89" t="n">
        <v>42948</v>
      </c>
      <c r="B397" s="90" t="inlineStr">
        <is>
          <t>Interest</t>
        </is>
      </c>
      <c r="C397" s="90" t="inlineStr">
        <is>
          <t>Income</t>
        </is>
      </c>
      <c r="D397" s="91" t="n">
        <v>20</v>
      </c>
      <c r="E397" s="77" t="n"/>
      <c r="F397" s="92">
        <f>IF(AND(C397="One-off",IFERROR(INDEX(Categories!$C$2:$C$200,MATCH(B397,Categories!$A$2:$A$200,0)),"N")="Y"),D397,0)</f>
        <v/>
      </c>
    </row>
    <row r="398" ht="15" customHeight="1" s="43">
      <c r="A398" s="89" t="n">
        <v>42948</v>
      </c>
      <c r="B398" s="90" t="inlineStr">
        <is>
          <t>Salary</t>
        </is>
      </c>
      <c r="C398" s="90" t="inlineStr">
        <is>
          <t>Income</t>
        </is>
      </c>
      <c r="D398" s="91" t="n">
        <v>4670</v>
      </c>
      <c r="F398" s="92">
        <f>IF(AND(C398="One-off",IFERROR(INDEX(Categories!$C$2:$C$200,MATCH(B398,Categories!$A$2:$A$200,0)),"N")="Y"),D398,0)</f>
        <v/>
      </c>
    </row>
    <row r="399" ht="15" customHeight="1" s="43">
      <c r="A399" s="89" t="n">
        <v>42948</v>
      </c>
      <c r="B399" s="90" t="inlineStr">
        <is>
          <t>Uncategorised</t>
        </is>
      </c>
      <c r="C399" s="90" t="inlineStr">
        <is>
          <t>Actual</t>
        </is>
      </c>
      <c r="D399" s="91" t="n">
        <v>2720</v>
      </c>
      <c r="E399" s="94" t="inlineStr">
        <is>
          <t>Historical monthly total (pre per-category tracking)</t>
        </is>
      </c>
      <c r="F399" s="92">
        <f>IF(AND(C399="One-off",IFERROR(INDEX(Categories!$C$2:$C$200,MATCH(B399,Categories!$A$2:$A$200,0)),"N")="Y"),D399,0)</f>
        <v/>
      </c>
    </row>
    <row r="400" ht="15" customHeight="1" s="43">
      <c r="A400" s="89" t="n">
        <v>42979</v>
      </c>
      <c r="B400" s="90" t="inlineStr">
        <is>
          <t>Dividends</t>
        </is>
      </c>
      <c r="C400" s="90" t="inlineStr">
        <is>
          <t>Income</t>
        </is>
      </c>
      <c r="D400" s="91" t="n">
        <v>150</v>
      </c>
      <c r="E400" s="77" t="n"/>
      <c r="F400" s="92">
        <f>IF(AND(C400="One-off",IFERROR(INDEX(Categories!$C$2:$C$200,MATCH(B400,Categories!$A$2:$A$200,0)),"N")="Y"),D400,0)</f>
        <v/>
      </c>
    </row>
    <row r="401" ht="15" customHeight="1" s="43">
      <c r="A401" s="89" t="n">
        <v>42979</v>
      </c>
      <c r="B401" s="90" t="inlineStr">
        <is>
          <t>Interest</t>
        </is>
      </c>
      <c r="C401" s="90" t="inlineStr">
        <is>
          <t>Income</t>
        </is>
      </c>
      <c r="D401" s="91" t="n">
        <v>20</v>
      </c>
      <c r="F401" s="92">
        <f>IF(AND(C401="One-off",IFERROR(INDEX(Categories!$C$2:$C$200,MATCH(B401,Categories!$A$2:$A$200,0)),"N")="Y"),D401,0)</f>
        <v/>
      </c>
    </row>
    <row r="402" ht="15" customHeight="1" s="43">
      <c r="A402" s="89" t="n">
        <v>42979</v>
      </c>
      <c r="B402" s="90" t="inlineStr">
        <is>
          <t>Salary</t>
        </is>
      </c>
      <c r="C402" s="90" t="inlineStr">
        <is>
          <t>Income</t>
        </is>
      </c>
      <c r="D402" s="91" t="n">
        <v>4720</v>
      </c>
      <c r="F402" s="92">
        <f>IF(AND(C402="One-off",IFERROR(INDEX(Categories!$C$2:$C$200,MATCH(B402,Categories!$A$2:$A$200,0)),"N")="Y"),D402,0)</f>
        <v/>
      </c>
    </row>
    <row r="403" ht="15" customHeight="1" s="43">
      <c r="A403" s="89" t="n">
        <v>42979</v>
      </c>
      <c r="B403" s="90" t="inlineStr">
        <is>
          <t>Uncategorised</t>
        </is>
      </c>
      <c r="C403" s="90" t="inlineStr">
        <is>
          <t>Actual</t>
        </is>
      </c>
      <c r="D403" s="91" t="n">
        <v>2840</v>
      </c>
      <c r="E403" s="94" t="inlineStr">
        <is>
          <t>Historical monthly total (pre per-category tracking)</t>
        </is>
      </c>
      <c r="F403" s="92">
        <f>IF(AND(C403="One-off",IFERROR(INDEX(Categories!$C$2:$C$200,MATCH(B403,Categories!$A$2:$A$200,0)),"N")="Y"),D403,0)</f>
        <v/>
      </c>
    </row>
    <row r="404" ht="15" customHeight="1" s="43">
      <c r="A404" s="89" t="n">
        <v>43009</v>
      </c>
      <c r="B404" s="90" t="inlineStr">
        <is>
          <t>Interest</t>
        </is>
      </c>
      <c r="C404" s="90" t="inlineStr">
        <is>
          <t>Income</t>
        </is>
      </c>
      <c r="D404" s="91" t="n">
        <v>20</v>
      </c>
      <c r="F404" s="92">
        <f>IF(AND(C404="One-off",IFERROR(INDEX(Categories!$C$2:$C$200,MATCH(B404,Categories!$A$2:$A$200,0)),"N")="Y"),D404,0)</f>
        <v/>
      </c>
    </row>
    <row r="405" ht="15" customHeight="1" s="43">
      <c r="A405" s="89" t="n">
        <v>43009</v>
      </c>
      <c r="B405" s="90" t="inlineStr">
        <is>
          <t>Salary</t>
        </is>
      </c>
      <c r="C405" s="90" t="inlineStr">
        <is>
          <t>Income</t>
        </is>
      </c>
      <c r="D405" s="91" t="n">
        <v>4770</v>
      </c>
      <c r="F405" s="92">
        <f>IF(AND(C405="One-off",IFERROR(INDEX(Categories!$C$2:$C$200,MATCH(B405,Categories!$A$2:$A$200,0)),"N")="Y"),D405,0)</f>
        <v/>
      </c>
    </row>
    <row r="406" ht="15" customHeight="1" s="43">
      <c r="A406" s="89" t="n">
        <v>43009</v>
      </c>
      <c r="B406" s="90" t="inlineStr">
        <is>
          <t>Uncategorised</t>
        </is>
      </c>
      <c r="C406" s="90" t="inlineStr">
        <is>
          <t>Actual</t>
        </is>
      </c>
      <c r="D406" s="91" t="n">
        <v>2960</v>
      </c>
      <c r="E406" s="94" t="inlineStr">
        <is>
          <t>Historical monthly total (pre per-category tracking)</t>
        </is>
      </c>
      <c r="F406" s="92">
        <f>IF(AND(C406="One-off",IFERROR(INDEX(Categories!$C$2:$C$200,MATCH(B406,Categories!$A$2:$A$200,0)),"N")="Y"),D406,0)</f>
        <v/>
      </c>
    </row>
    <row r="407" ht="15" customHeight="1" s="43">
      <c r="A407" s="89" t="n">
        <v>43040</v>
      </c>
      <c r="B407" s="90" t="inlineStr">
        <is>
          <t>Interest</t>
        </is>
      </c>
      <c r="C407" s="90" t="inlineStr">
        <is>
          <t>Income</t>
        </is>
      </c>
      <c r="D407" s="91" t="n">
        <v>20</v>
      </c>
      <c r="E407" s="77" t="n"/>
      <c r="F407" s="92">
        <f>IF(AND(C407="One-off",IFERROR(INDEX(Categories!$C$2:$C$200,MATCH(B407,Categories!$A$2:$A$200,0)),"N")="Y"),D407,0)</f>
        <v/>
      </c>
    </row>
    <row r="408" ht="15" customHeight="1" s="43">
      <c r="A408" s="89" t="n">
        <v>43040</v>
      </c>
      <c r="B408" s="90" t="inlineStr">
        <is>
          <t>Salary</t>
        </is>
      </c>
      <c r="C408" s="90" t="inlineStr">
        <is>
          <t>Income</t>
        </is>
      </c>
      <c r="D408" s="91" t="n">
        <v>4820</v>
      </c>
      <c r="F408" s="92">
        <f>IF(AND(C408="One-off",IFERROR(INDEX(Categories!$C$2:$C$200,MATCH(B408,Categories!$A$2:$A$200,0)),"N")="Y"),D408,0)</f>
        <v/>
      </c>
    </row>
    <row r="409" ht="15" customHeight="1" s="43">
      <c r="A409" s="89" t="n">
        <v>43040</v>
      </c>
      <c r="B409" s="90" t="inlineStr">
        <is>
          <t>Uncategorised</t>
        </is>
      </c>
      <c r="C409" s="90" t="inlineStr">
        <is>
          <t>Actual</t>
        </is>
      </c>
      <c r="D409" s="91" t="n">
        <v>3080</v>
      </c>
      <c r="E409" s="94" t="inlineStr">
        <is>
          <t>Historical monthly total (pre per-category tracking)</t>
        </is>
      </c>
      <c r="F409" s="92">
        <f>IF(AND(C409="One-off",IFERROR(INDEX(Categories!$C$2:$C$200,MATCH(B409,Categories!$A$2:$A$200,0)),"N")="Y"),D409,0)</f>
        <v/>
      </c>
    </row>
    <row r="410" ht="15" customHeight="1" s="43">
      <c r="A410" s="89" t="n">
        <v>43070</v>
      </c>
      <c r="B410" s="90" t="inlineStr">
        <is>
          <t>Bonus/Claims</t>
        </is>
      </c>
      <c r="C410" s="90" t="inlineStr">
        <is>
          <t>Income</t>
        </is>
      </c>
      <c r="D410" s="91" t="n">
        <v>4870</v>
      </c>
      <c r="F410" s="92">
        <f>IF(AND(C410="One-off",IFERROR(INDEX(Categories!$C$2:$C$200,MATCH(B410,Categories!$A$2:$A$200,0)),"N")="Y"),D410,0)</f>
        <v/>
      </c>
    </row>
    <row r="411" ht="15" customHeight="1" s="43">
      <c r="A411" s="89" t="n">
        <v>43070</v>
      </c>
      <c r="B411" s="90" t="inlineStr">
        <is>
          <t>Dividends</t>
        </is>
      </c>
      <c r="C411" s="90" t="inlineStr">
        <is>
          <t>Income</t>
        </is>
      </c>
      <c r="D411" s="91" t="n">
        <v>150</v>
      </c>
      <c r="E411" s="77" t="n"/>
      <c r="F411" s="92">
        <f>IF(AND(C411="One-off",IFERROR(INDEX(Categories!$C$2:$C$200,MATCH(B411,Categories!$A$2:$A$200,0)),"N")="Y"),D411,0)</f>
        <v/>
      </c>
    </row>
    <row r="412" ht="15" customHeight="1" s="43">
      <c r="A412" s="89" t="n">
        <v>43070</v>
      </c>
      <c r="B412" s="90" t="inlineStr">
        <is>
          <t>Interest</t>
        </is>
      </c>
      <c r="C412" s="90" t="inlineStr">
        <is>
          <t>Income</t>
        </is>
      </c>
      <c r="D412" s="91" t="n">
        <v>20</v>
      </c>
      <c r="F412" s="92">
        <f>IF(AND(C412="One-off",IFERROR(INDEX(Categories!$C$2:$C$200,MATCH(B412,Categories!$A$2:$A$200,0)),"N")="Y"),D412,0)</f>
        <v/>
      </c>
    </row>
    <row r="413" ht="15" customHeight="1" s="43">
      <c r="A413" s="89" t="n">
        <v>43070</v>
      </c>
      <c r="B413" s="90" t="inlineStr">
        <is>
          <t>Salary</t>
        </is>
      </c>
      <c r="C413" s="90" t="inlineStr">
        <is>
          <t>Income</t>
        </is>
      </c>
      <c r="D413" s="91" t="n">
        <v>4870</v>
      </c>
      <c r="F413" s="92">
        <f>IF(AND(C413="One-off",IFERROR(INDEX(Categories!$C$2:$C$200,MATCH(B413,Categories!$A$2:$A$200,0)),"N")="Y"),D413,0)</f>
        <v/>
      </c>
    </row>
    <row r="414" ht="15" customHeight="1" s="43">
      <c r="A414" s="89" t="n">
        <v>43070</v>
      </c>
      <c r="B414" s="90" t="inlineStr">
        <is>
          <t>Uncategorised</t>
        </is>
      </c>
      <c r="C414" s="90" t="inlineStr">
        <is>
          <t>Actual</t>
        </is>
      </c>
      <c r="D414" s="91" t="n">
        <v>3200</v>
      </c>
      <c r="E414" s="94" t="inlineStr">
        <is>
          <t>Historical monthly total (pre per-category tracking)</t>
        </is>
      </c>
      <c r="F414" s="92">
        <f>IF(AND(C414="One-off",IFERROR(INDEX(Categories!$C$2:$C$200,MATCH(B414,Categories!$A$2:$A$200,0)),"N")="Y"),D414,0)</f>
        <v/>
      </c>
    </row>
    <row r="415" ht="15" customHeight="1" s="43">
      <c r="A415" s="89" t="n">
        <v>43101</v>
      </c>
      <c r="B415" s="90" t="inlineStr">
        <is>
          <t>Interest</t>
        </is>
      </c>
      <c r="C415" s="90" t="inlineStr">
        <is>
          <t>Income</t>
        </is>
      </c>
      <c r="D415" s="91" t="n">
        <v>20</v>
      </c>
      <c r="F415" s="92">
        <f>IF(AND(C415="One-off",IFERROR(INDEX(Categories!$C$2:$C$200,MATCH(B415,Categories!$A$2:$A$200,0)),"N")="Y"),D415,0)</f>
        <v/>
      </c>
    </row>
    <row r="416" ht="15" customHeight="1" s="43">
      <c r="A416" s="89" t="n">
        <v>43101</v>
      </c>
      <c r="B416" s="90" t="inlineStr">
        <is>
          <t>Salary</t>
        </is>
      </c>
      <c r="C416" s="90" t="inlineStr">
        <is>
          <t>Income</t>
        </is>
      </c>
      <c r="D416" s="91" t="n">
        <v>4800</v>
      </c>
      <c r="E416" s="77" t="n"/>
      <c r="F416" s="92">
        <f>IF(AND(C416="One-off",IFERROR(INDEX(Categories!$C$2:$C$200,MATCH(B416,Categories!$A$2:$A$200,0)),"N")="Y"),D416,0)</f>
        <v/>
      </c>
    </row>
    <row r="417" ht="15" customHeight="1" s="43">
      <c r="A417" s="89" t="n">
        <v>43101</v>
      </c>
      <c r="B417" s="90" t="inlineStr">
        <is>
          <t>Uncategorised</t>
        </is>
      </c>
      <c r="C417" s="90" t="inlineStr">
        <is>
          <t>Actual</t>
        </is>
      </c>
      <c r="D417" s="91" t="n">
        <v>2800</v>
      </c>
      <c r="E417" s="94" t="inlineStr">
        <is>
          <t>Historical monthly total (pre per-category tracking)</t>
        </is>
      </c>
      <c r="F417" s="92">
        <f>IF(AND(C417="One-off",IFERROR(INDEX(Categories!$C$2:$C$200,MATCH(B417,Categories!$A$2:$A$200,0)),"N")="Y"),D417,0)</f>
        <v/>
      </c>
    </row>
    <row r="418" ht="15" customHeight="1" s="43">
      <c r="A418" s="89" t="n">
        <v>43132</v>
      </c>
      <c r="B418" s="90" t="inlineStr">
        <is>
          <t>Interest</t>
        </is>
      </c>
      <c r="C418" s="90" t="inlineStr">
        <is>
          <t>Income</t>
        </is>
      </c>
      <c r="D418" s="91" t="n">
        <v>20</v>
      </c>
      <c r="F418" s="92">
        <f>IF(AND(C418="One-off",IFERROR(INDEX(Categories!$C$2:$C$200,MATCH(B418,Categories!$A$2:$A$200,0)),"N")="Y"),D418,0)</f>
        <v/>
      </c>
    </row>
    <row r="419" ht="15" customHeight="1" s="43">
      <c r="A419" s="89" t="n">
        <v>43132</v>
      </c>
      <c r="B419" s="90" t="inlineStr">
        <is>
          <t>Salary</t>
        </is>
      </c>
      <c r="C419" s="90" t="inlineStr">
        <is>
          <t>Income</t>
        </is>
      </c>
      <c r="D419" s="91" t="n">
        <v>4850</v>
      </c>
      <c r="F419" s="92">
        <f>IF(AND(C419="One-off",IFERROR(INDEX(Categories!$C$2:$C$200,MATCH(B419,Categories!$A$2:$A$200,0)),"N")="Y"),D419,0)</f>
        <v/>
      </c>
    </row>
    <row r="420" ht="15" customHeight="1" s="43">
      <c r="A420" s="89" t="n">
        <v>43132</v>
      </c>
      <c r="B420" s="90" t="inlineStr">
        <is>
          <t>Uncategorised</t>
        </is>
      </c>
      <c r="C420" s="90" t="inlineStr">
        <is>
          <t>Actual</t>
        </is>
      </c>
      <c r="D420" s="91" t="n">
        <v>2920</v>
      </c>
      <c r="E420" s="94" t="inlineStr">
        <is>
          <t>Historical monthly total (pre per-category tracking)</t>
        </is>
      </c>
      <c r="F420" s="92">
        <f>IF(AND(C420="One-off",IFERROR(INDEX(Categories!$C$2:$C$200,MATCH(B420,Categories!$A$2:$A$200,0)),"N")="Y"),D420,0)</f>
        <v/>
      </c>
    </row>
    <row r="421" ht="15" customHeight="1" s="43">
      <c r="A421" s="89" t="n">
        <v>43160</v>
      </c>
      <c r="B421" s="90" t="inlineStr">
        <is>
          <t>Dividends</t>
        </is>
      </c>
      <c r="C421" s="90" t="inlineStr">
        <is>
          <t>Income</t>
        </is>
      </c>
      <c r="D421" s="91" t="n">
        <v>150</v>
      </c>
      <c r="E421" s="77" t="n"/>
      <c r="F421" s="92">
        <f>IF(AND(C421="One-off",IFERROR(INDEX(Categories!$C$2:$C$200,MATCH(B421,Categories!$A$2:$A$200,0)),"N")="Y"),D421,0)</f>
        <v/>
      </c>
    </row>
    <row r="422" ht="15" customHeight="1" s="43">
      <c r="A422" s="89" t="n">
        <v>43160</v>
      </c>
      <c r="B422" s="90" t="inlineStr">
        <is>
          <t>Interest</t>
        </is>
      </c>
      <c r="C422" s="90" t="inlineStr">
        <is>
          <t>Income</t>
        </is>
      </c>
      <c r="D422" s="91" t="n">
        <v>20</v>
      </c>
      <c r="F422" s="92">
        <f>IF(AND(C422="One-off",IFERROR(INDEX(Categories!$C$2:$C$200,MATCH(B422,Categories!$A$2:$A$200,0)),"N")="Y"),D422,0)</f>
        <v/>
      </c>
    </row>
    <row r="423" ht="15" customHeight="1" s="43">
      <c r="A423" s="89" t="n">
        <v>43160</v>
      </c>
      <c r="B423" s="90" t="inlineStr">
        <is>
          <t>Salary</t>
        </is>
      </c>
      <c r="C423" s="90" t="inlineStr">
        <is>
          <t>Income</t>
        </is>
      </c>
      <c r="D423" s="91" t="n">
        <v>4900</v>
      </c>
      <c r="F423" s="92">
        <f>IF(AND(C423="One-off",IFERROR(INDEX(Categories!$C$2:$C$200,MATCH(B423,Categories!$A$2:$A$200,0)),"N")="Y"),D423,0)</f>
        <v/>
      </c>
    </row>
    <row r="424" ht="15" customHeight="1" s="43">
      <c r="A424" s="89" t="n">
        <v>43160</v>
      </c>
      <c r="B424" s="90" t="inlineStr">
        <is>
          <t>Uncategorised</t>
        </is>
      </c>
      <c r="C424" s="90" t="inlineStr">
        <is>
          <t>Actual</t>
        </is>
      </c>
      <c r="D424" s="91" t="n">
        <v>3040</v>
      </c>
      <c r="E424" s="94" t="inlineStr">
        <is>
          <t>Historical monthly total (pre per-category tracking)</t>
        </is>
      </c>
      <c r="F424" s="92">
        <f>IF(AND(C424="One-off",IFERROR(INDEX(Categories!$C$2:$C$200,MATCH(B424,Categories!$A$2:$A$200,0)),"N")="Y"),D424,0)</f>
        <v/>
      </c>
    </row>
    <row r="425" ht="15" customHeight="1" s="43">
      <c r="A425" s="89" t="n">
        <v>43191</v>
      </c>
      <c r="B425" s="90" t="inlineStr">
        <is>
          <t>Interest</t>
        </is>
      </c>
      <c r="C425" s="90" t="inlineStr">
        <is>
          <t>Income</t>
        </is>
      </c>
      <c r="D425" s="91" t="n">
        <v>20</v>
      </c>
      <c r="F425" s="92">
        <f>IF(AND(C425="One-off",IFERROR(INDEX(Categories!$C$2:$C$200,MATCH(B425,Categories!$A$2:$A$200,0)),"N")="Y"),D425,0)</f>
        <v/>
      </c>
    </row>
    <row r="426" ht="15" customHeight="1" s="43">
      <c r="A426" s="89" t="n">
        <v>43191</v>
      </c>
      <c r="B426" s="90" t="inlineStr">
        <is>
          <t>Salary</t>
        </is>
      </c>
      <c r="C426" s="90" t="inlineStr">
        <is>
          <t>Income</t>
        </is>
      </c>
      <c r="D426" s="91" t="n">
        <v>4950</v>
      </c>
      <c r="E426" s="77" t="n"/>
      <c r="F426" s="92">
        <f>IF(AND(C426="One-off",IFERROR(INDEX(Categories!$C$2:$C$200,MATCH(B426,Categories!$A$2:$A$200,0)),"N")="Y"),D426,0)</f>
        <v/>
      </c>
    </row>
    <row r="427" ht="15" customHeight="1" s="43">
      <c r="A427" s="89" t="n">
        <v>43191</v>
      </c>
      <c r="B427" s="90" t="inlineStr">
        <is>
          <t>Uncategorised</t>
        </is>
      </c>
      <c r="C427" s="90" t="inlineStr">
        <is>
          <t>Actual</t>
        </is>
      </c>
      <c r="D427" s="91" t="n">
        <v>3160</v>
      </c>
      <c r="E427" s="94" t="inlineStr">
        <is>
          <t>Historical monthly total (pre per-category tracking)</t>
        </is>
      </c>
      <c r="F427" s="92">
        <f>IF(AND(C427="One-off",IFERROR(INDEX(Categories!$C$2:$C$200,MATCH(B427,Categories!$A$2:$A$200,0)),"N")="Y"),D427,0)</f>
        <v/>
      </c>
    </row>
    <row r="428" ht="15" customHeight="1" s="43">
      <c r="A428" s="89" t="n">
        <v>43221</v>
      </c>
      <c r="B428" s="90" t="inlineStr">
        <is>
          <t>Interest</t>
        </is>
      </c>
      <c r="C428" s="90" t="inlineStr">
        <is>
          <t>Income</t>
        </is>
      </c>
      <c r="D428" s="91" t="n">
        <v>20</v>
      </c>
      <c r="F428" s="92">
        <f>IF(AND(C428="One-off",IFERROR(INDEX(Categories!$C$2:$C$200,MATCH(B428,Categories!$A$2:$A$200,0)),"N")="Y"),D428,0)</f>
        <v/>
      </c>
    </row>
    <row r="429" ht="15" customHeight="1" s="43">
      <c r="A429" s="89" t="n">
        <v>43221</v>
      </c>
      <c r="B429" s="90" t="inlineStr">
        <is>
          <t>Salary</t>
        </is>
      </c>
      <c r="C429" s="90" t="inlineStr">
        <is>
          <t>Income</t>
        </is>
      </c>
      <c r="D429" s="91" t="n">
        <v>5000</v>
      </c>
      <c r="F429" s="92">
        <f>IF(AND(C429="One-off",IFERROR(INDEX(Categories!$C$2:$C$200,MATCH(B429,Categories!$A$2:$A$200,0)),"N")="Y"),D429,0)</f>
        <v/>
      </c>
    </row>
    <row r="430" ht="15" customHeight="1" s="43">
      <c r="A430" s="89" t="n">
        <v>43221</v>
      </c>
      <c r="B430" s="90" t="inlineStr">
        <is>
          <t>Uncategorised</t>
        </is>
      </c>
      <c r="C430" s="90" t="inlineStr">
        <is>
          <t>Actual</t>
        </is>
      </c>
      <c r="D430" s="91" t="n">
        <v>3280</v>
      </c>
      <c r="E430" s="94" t="inlineStr">
        <is>
          <t>Historical monthly total (pre per-category tracking)</t>
        </is>
      </c>
      <c r="F430" s="92">
        <f>IF(AND(C430="One-off",IFERROR(INDEX(Categories!$C$2:$C$200,MATCH(B430,Categories!$A$2:$A$200,0)),"N")="Y"),D430,0)</f>
        <v/>
      </c>
    </row>
    <row r="431" ht="15" customHeight="1" s="43">
      <c r="A431" s="89" t="n">
        <v>43252</v>
      </c>
      <c r="B431" s="90" t="inlineStr">
        <is>
          <t>Dividends</t>
        </is>
      </c>
      <c r="C431" s="90" t="inlineStr">
        <is>
          <t>Income</t>
        </is>
      </c>
      <c r="D431" s="91" t="n">
        <v>150</v>
      </c>
      <c r="F431" s="92">
        <f>IF(AND(C431="One-off",IFERROR(INDEX(Categories!$C$2:$C$200,MATCH(B431,Categories!$A$2:$A$200,0)),"N")="Y"),D431,0)</f>
        <v/>
      </c>
    </row>
    <row r="432" ht="15" customHeight="1" s="43">
      <c r="A432" s="89" t="n">
        <v>43252</v>
      </c>
      <c r="B432" s="90" t="inlineStr">
        <is>
          <t>Interest</t>
        </is>
      </c>
      <c r="C432" s="90" t="inlineStr">
        <is>
          <t>Income</t>
        </is>
      </c>
      <c r="D432" s="91" t="n">
        <v>20</v>
      </c>
      <c r="E432" s="77" t="n"/>
      <c r="F432" s="92">
        <f>IF(AND(C432="One-off",IFERROR(INDEX(Categories!$C$2:$C$200,MATCH(B432,Categories!$A$2:$A$200,0)),"N")="Y"),D432,0)</f>
        <v/>
      </c>
    </row>
    <row r="433" ht="15" customHeight="1" s="43">
      <c r="A433" s="89" t="n">
        <v>43252</v>
      </c>
      <c r="B433" s="90" t="inlineStr">
        <is>
          <t>Salary</t>
        </is>
      </c>
      <c r="C433" s="90" t="inlineStr">
        <is>
          <t>Income</t>
        </is>
      </c>
      <c r="D433" s="91" t="n">
        <v>5050</v>
      </c>
      <c r="F433" s="92">
        <f>IF(AND(C433="One-off",IFERROR(INDEX(Categories!$C$2:$C$200,MATCH(B433,Categories!$A$2:$A$200,0)),"N")="Y"),D433,0)</f>
        <v/>
      </c>
    </row>
    <row r="434" ht="15" customHeight="1" s="43">
      <c r="A434" s="89" t="n">
        <v>43252</v>
      </c>
      <c r="B434" s="90" t="inlineStr">
        <is>
          <t>Uncategorised</t>
        </is>
      </c>
      <c r="C434" s="90" t="inlineStr">
        <is>
          <t>Actual</t>
        </is>
      </c>
      <c r="D434" s="91" t="n">
        <v>2800</v>
      </c>
      <c r="E434" s="94" t="inlineStr">
        <is>
          <t>Historical monthly total (pre per-category tracking)</t>
        </is>
      </c>
      <c r="F434" s="92">
        <f>IF(AND(C434="One-off",IFERROR(INDEX(Categories!$C$2:$C$200,MATCH(B434,Categories!$A$2:$A$200,0)),"N")="Y"),D434,0)</f>
        <v/>
      </c>
    </row>
    <row r="435" ht="15" customHeight="1" s="43">
      <c r="A435" s="89" t="n">
        <v>43282</v>
      </c>
      <c r="B435" s="90" t="inlineStr">
        <is>
          <t>Interest</t>
        </is>
      </c>
      <c r="C435" s="90" t="inlineStr">
        <is>
          <t>Income</t>
        </is>
      </c>
      <c r="D435" s="91" t="n">
        <v>20</v>
      </c>
      <c r="F435" s="92">
        <f>IF(AND(C435="One-off",IFERROR(INDEX(Categories!$C$2:$C$200,MATCH(B435,Categories!$A$2:$A$200,0)),"N")="Y"),D435,0)</f>
        <v/>
      </c>
    </row>
    <row r="436" ht="15" customHeight="1" s="43">
      <c r="A436" s="89" t="n">
        <v>43282</v>
      </c>
      <c r="B436" s="90" t="inlineStr">
        <is>
          <t>Salary</t>
        </is>
      </c>
      <c r="C436" s="90" t="inlineStr">
        <is>
          <t>Income</t>
        </is>
      </c>
      <c r="D436" s="91" t="n">
        <v>4800</v>
      </c>
      <c r="E436" s="77" t="n"/>
      <c r="F436" s="92">
        <f>IF(AND(C436="One-off",IFERROR(INDEX(Categories!$C$2:$C$200,MATCH(B436,Categories!$A$2:$A$200,0)),"N")="Y"),D436,0)</f>
        <v/>
      </c>
    </row>
    <row r="437" ht="15" customHeight="1" s="43">
      <c r="A437" s="89" t="n">
        <v>43282</v>
      </c>
      <c r="B437" s="90" t="inlineStr">
        <is>
          <t>Uncategorised</t>
        </is>
      </c>
      <c r="C437" s="90" t="inlineStr">
        <is>
          <t>Actual</t>
        </is>
      </c>
      <c r="D437" s="91" t="n">
        <v>2920</v>
      </c>
      <c r="E437" s="94" t="inlineStr">
        <is>
          <t>Historical monthly total (pre per-category tracking)</t>
        </is>
      </c>
      <c r="F437" s="92">
        <f>IF(AND(C437="One-off",IFERROR(INDEX(Categories!$C$2:$C$200,MATCH(B437,Categories!$A$2:$A$200,0)),"N")="Y"),D437,0)</f>
        <v/>
      </c>
    </row>
    <row r="438" ht="15" customHeight="1" s="43">
      <c r="A438" s="89" t="n">
        <v>43313</v>
      </c>
      <c r="B438" s="90" t="inlineStr">
        <is>
          <t>Interest</t>
        </is>
      </c>
      <c r="C438" s="90" t="inlineStr">
        <is>
          <t>Income</t>
        </is>
      </c>
      <c r="D438" s="91" t="n">
        <v>20</v>
      </c>
      <c r="F438" s="92">
        <f>IF(AND(C438="One-off",IFERROR(INDEX(Categories!$C$2:$C$200,MATCH(B438,Categories!$A$2:$A$200,0)),"N")="Y"),D438,0)</f>
        <v/>
      </c>
    </row>
    <row r="439" ht="15" customHeight="1" s="43">
      <c r="A439" s="89" t="n">
        <v>43313</v>
      </c>
      <c r="B439" s="90" t="inlineStr">
        <is>
          <t>Salary</t>
        </is>
      </c>
      <c r="C439" s="90" t="inlineStr">
        <is>
          <t>Income</t>
        </is>
      </c>
      <c r="D439" s="91" t="n">
        <v>4850</v>
      </c>
      <c r="F439" s="92">
        <f>IF(AND(C439="One-off",IFERROR(INDEX(Categories!$C$2:$C$200,MATCH(B439,Categories!$A$2:$A$200,0)),"N")="Y"),D439,0)</f>
        <v/>
      </c>
    </row>
    <row r="440" ht="15" customHeight="1" s="43">
      <c r="A440" s="89" t="n">
        <v>43313</v>
      </c>
      <c r="B440" s="90" t="inlineStr">
        <is>
          <t>Uncategorised</t>
        </is>
      </c>
      <c r="C440" s="90" t="inlineStr">
        <is>
          <t>Actual</t>
        </is>
      </c>
      <c r="D440" s="91" t="n">
        <v>3040</v>
      </c>
      <c r="E440" s="93" t="inlineStr">
        <is>
          <t>Historical monthly total (pre per-category tracking)</t>
        </is>
      </c>
      <c r="F440" s="92">
        <f>IF(AND(C440="One-off",IFERROR(INDEX(Categories!$C$2:$C$200,MATCH(B440,Categories!$A$2:$A$200,0)),"N")="Y"),D440,0)</f>
        <v/>
      </c>
    </row>
    <row r="441" ht="15" customHeight="1" s="43">
      <c r="A441" s="89" t="n">
        <v>43344</v>
      </c>
      <c r="B441" s="90" t="inlineStr">
        <is>
          <t>Dividends</t>
        </is>
      </c>
      <c r="C441" s="90" t="inlineStr">
        <is>
          <t>Income</t>
        </is>
      </c>
      <c r="D441" s="91" t="n">
        <v>150</v>
      </c>
      <c r="F441" s="92">
        <f>IF(AND(C441="One-off",IFERROR(INDEX(Categories!$C$2:$C$200,MATCH(B441,Categories!$A$2:$A$200,0)),"N")="Y"),D441,0)</f>
        <v/>
      </c>
    </row>
    <row r="442" ht="15" customHeight="1" s="43">
      <c r="A442" s="89" t="n">
        <v>43344</v>
      </c>
      <c r="B442" s="90" t="inlineStr">
        <is>
          <t>Interest</t>
        </is>
      </c>
      <c r="C442" s="90" t="inlineStr">
        <is>
          <t>Income</t>
        </is>
      </c>
      <c r="D442" s="91" t="n">
        <v>20</v>
      </c>
      <c r="F442" s="92">
        <f>IF(AND(C442="One-off",IFERROR(INDEX(Categories!$C$2:$C$200,MATCH(B442,Categories!$A$2:$A$200,0)),"N")="Y"),D442,0)</f>
        <v/>
      </c>
    </row>
    <row r="443" ht="15" customHeight="1" s="43">
      <c r="A443" s="89" t="n">
        <v>43344</v>
      </c>
      <c r="B443" s="90" t="inlineStr">
        <is>
          <t>Salary</t>
        </is>
      </c>
      <c r="C443" s="90" t="inlineStr">
        <is>
          <t>Income</t>
        </is>
      </c>
      <c r="D443" s="91" t="n">
        <v>4900</v>
      </c>
      <c r="F443" s="92">
        <f>IF(AND(C443="One-off",IFERROR(INDEX(Categories!$C$2:$C$200,MATCH(B443,Categories!$A$2:$A$200,0)),"N")="Y"),D443,0)</f>
        <v/>
      </c>
    </row>
    <row r="444" ht="15" customHeight="1" s="43">
      <c r="A444" s="89" t="n">
        <v>43344</v>
      </c>
      <c r="B444" s="90" t="inlineStr">
        <is>
          <t>Uncategorised</t>
        </is>
      </c>
      <c r="C444" s="90" t="inlineStr">
        <is>
          <t>Actual</t>
        </is>
      </c>
      <c r="D444" s="91" t="n">
        <v>3160</v>
      </c>
      <c r="E444" s="93" t="inlineStr">
        <is>
          <t>Historical monthly total (pre per-category tracking)</t>
        </is>
      </c>
      <c r="F444" s="92">
        <f>IF(AND(C444="One-off",IFERROR(INDEX(Categories!$C$2:$C$200,MATCH(B444,Categories!$A$2:$A$200,0)),"N")="Y"),D444,0)</f>
        <v/>
      </c>
    </row>
    <row r="445" ht="15" customHeight="1" s="43">
      <c r="A445" s="89" t="n">
        <v>43374</v>
      </c>
      <c r="B445" s="90" t="inlineStr">
        <is>
          <t>Interest</t>
        </is>
      </c>
      <c r="C445" s="90" t="inlineStr">
        <is>
          <t>Income</t>
        </is>
      </c>
      <c r="D445" s="91" t="n">
        <v>20</v>
      </c>
      <c r="F445" s="92">
        <f>IF(AND(C445="One-off",IFERROR(INDEX(Categories!$C$2:$C$200,MATCH(B445,Categories!$A$2:$A$200,0)),"N")="Y"),D445,0)</f>
        <v/>
      </c>
    </row>
    <row r="446" ht="15" customHeight="1" s="43">
      <c r="A446" s="89" t="n">
        <v>43374</v>
      </c>
      <c r="B446" s="90" t="inlineStr">
        <is>
          <t>Salary</t>
        </is>
      </c>
      <c r="C446" s="90" t="inlineStr">
        <is>
          <t>Income</t>
        </is>
      </c>
      <c r="D446" s="91" t="n">
        <v>4950</v>
      </c>
      <c r="F446" s="92">
        <f>IF(AND(C446="One-off",IFERROR(INDEX(Categories!$C$2:$C$200,MATCH(B446,Categories!$A$2:$A$200,0)),"N")="Y"),D446,0)</f>
        <v/>
      </c>
    </row>
    <row r="447" ht="15" customHeight="1" s="43">
      <c r="A447" s="89" t="n">
        <v>43374</v>
      </c>
      <c r="B447" s="90" t="inlineStr">
        <is>
          <t>Uncategorised</t>
        </is>
      </c>
      <c r="C447" s="90" t="inlineStr">
        <is>
          <t>Actual</t>
        </is>
      </c>
      <c r="D447" s="91" t="n">
        <v>3280</v>
      </c>
      <c r="E447" s="94" t="inlineStr">
        <is>
          <t>Historical monthly total (pre per-category tracking)</t>
        </is>
      </c>
      <c r="F447" s="95">
        <f>IF(AND(C447="One-off",IFERROR(INDEX(Categories!$C$2:$C$200,MATCH(B447,Categories!$A$2:$A$200,0)),"N")="Y"),D447,0)</f>
        <v/>
      </c>
    </row>
    <row r="448" ht="15" customHeight="1" s="43">
      <c r="A448" s="89" t="n">
        <v>43405</v>
      </c>
      <c r="B448" s="90" t="inlineStr">
        <is>
          <t>Interest</t>
        </is>
      </c>
      <c r="C448" s="90" t="inlineStr">
        <is>
          <t>Income</t>
        </is>
      </c>
      <c r="D448" s="91" t="n">
        <v>20</v>
      </c>
      <c r="F448" s="92">
        <f>IF(AND(C448="One-off",IFERROR(INDEX(Categories!$C$2:$C$200,MATCH(B448,Categories!$A$2:$A$200,0)),"N")="Y"),D448,0)</f>
        <v/>
      </c>
    </row>
    <row r="449" ht="15" customHeight="1" s="43">
      <c r="A449" s="89" t="n">
        <v>43405</v>
      </c>
      <c r="B449" s="90" t="inlineStr">
        <is>
          <t>Salary</t>
        </is>
      </c>
      <c r="C449" s="90" t="inlineStr">
        <is>
          <t>Income</t>
        </is>
      </c>
      <c r="D449" s="91" t="n">
        <v>5000</v>
      </c>
      <c r="F449" s="92">
        <f>IF(AND(C449="One-off",IFERROR(INDEX(Categories!$C$2:$C$200,MATCH(B449,Categories!$A$2:$A$200,0)),"N")="Y"),D449,0)</f>
        <v/>
      </c>
    </row>
    <row r="450" ht="15" customHeight="1" s="43">
      <c r="A450" s="89" t="n">
        <v>43405</v>
      </c>
      <c r="B450" s="90" t="inlineStr">
        <is>
          <t>Uncategorised</t>
        </is>
      </c>
      <c r="C450" s="90" t="inlineStr">
        <is>
          <t>Actual</t>
        </is>
      </c>
      <c r="D450" s="91" t="n">
        <v>2800</v>
      </c>
      <c r="E450" s="94" t="inlineStr">
        <is>
          <t>Historical monthly total (pre per-category tracking)</t>
        </is>
      </c>
      <c r="F450" s="92">
        <f>IF(AND(C450="One-off",IFERROR(INDEX(Categories!$C$2:$C$200,MATCH(B450,Categories!$A$2:$A$200,0)),"N")="Y"),D450,0)</f>
        <v/>
      </c>
    </row>
    <row r="451" ht="15" customHeight="1" s="43">
      <c r="A451" s="89" t="n">
        <v>43435</v>
      </c>
      <c r="B451" s="90" t="inlineStr">
        <is>
          <t>Bonus/Claims</t>
        </is>
      </c>
      <c r="C451" s="90" t="inlineStr">
        <is>
          <t>Income</t>
        </is>
      </c>
      <c r="D451" s="91" t="n">
        <v>5050</v>
      </c>
      <c r="E451" s="77" t="n"/>
      <c r="F451" s="92">
        <f>IF(AND(C451="One-off",IFERROR(INDEX(Categories!$C$2:$C$200,MATCH(B451,Categories!$A$2:$A$200,0)),"N")="Y"),D451,0)</f>
        <v/>
      </c>
    </row>
    <row r="452" ht="15" customHeight="1" s="43">
      <c r="A452" s="89" t="n">
        <v>43435</v>
      </c>
      <c r="B452" s="90" t="inlineStr">
        <is>
          <t>Dividends</t>
        </is>
      </c>
      <c r="C452" s="90" t="inlineStr">
        <is>
          <t>Income</t>
        </is>
      </c>
      <c r="D452" s="91" t="n">
        <v>150</v>
      </c>
      <c r="F452" s="92">
        <f>IF(AND(C452="One-off",IFERROR(INDEX(Categories!$C$2:$C$200,MATCH(B452,Categories!$A$2:$A$200,0)),"N")="Y"),D452,0)</f>
        <v/>
      </c>
    </row>
    <row r="453" ht="15" customHeight="1" s="43">
      <c r="A453" s="89" t="n">
        <v>43435</v>
      </c>
      <c r="B453" s="90" t="inlineStr">
        <is>
          <t>Interest</t>
        </is>
      </c>
      <c r="C453" s="90" t="inlineStr">
        <is>
          <t>Income</t>
        </is>
      </c>
      <c r="D453" s="91" t="n">
        <v>20</v>
      </c>
      <c r="F453" s="92">
        <f>IF(AND(C453="One-off",IFERROR(INDEX(Categories!$C$2:$C$200,MATCH(B453,Categories!$A$2:$A$200,0)),"N")="Y"),D453,0)</f>
        <v/>
      </c>
    </row>
    <row r="454" ht="15" customHeight="1" s="43">
      <c r="A454" s="89" t="n">
        <v>43435</v>
      </c>
      <c r="B454" s="90" t="inlineStr">
        <is>
          <t>Salary</t>
        </is>
      </c>
      <c r="C454" s="90" t="inlineStr">
        <is>
          <t>Income</t>
        </is>
      </c>
      <c r="D454" s="91" t="n">
        <v>5050</v>
      </c>
      <c r="F454" s="95">
        <f>IF(AND(C454="One-off",IFERROR(INDEX(Categories!$C$2:$C$200,MATCH(B454,Categories!$A$2:$A$200,0)),"N")="Y"),D454,0)</f>
        <v/>
      </c>
    </row>
    <row r="455" ht="15" customHeight="1" s="43">
      <c r="A455" s="89" t="n">
        <v>43435</v>
      </c>
      <c r="B455" s="90" t="inlineStr">
        <is>
          <t>Uncategorised</t>
        </is>
      </c>
      <c r="C455" s="90" t="inlineStr">
        <is>
          <t>Actual</t>
        </is>
      </c>
      <c r="D455" s="91" t="n">
        <v>2920</v>
      </c>
      <c r="E455" s="94" t="inlineStr">
        <is>
          <t>Historical monthly total (pre per-category tracking)</t>
        </is>
      </c>
      <c r="F455" s="92">
        <f>IF(AND(C455="One-off",IFERROR(INDEX(Categories!$C$2:$C$200,MATCH(B455,Categories!$A$2:$A$200,0)),"N")="Y"),D455,0)</f>
        <v/>
      </c>
    </row>
    <row r="456" ht="15" customHeight="1" s="43">
      <c r="A456" s="89" t="n">
        <v>43466</v>
      </c>
      <c r="B456" s="90" t="inlineStr">
        <is>
          <t>Interest</t>
        </is>
      </c>
      <c r="C456" s="90" t="inlineStr">
        <is>
          <t>Income</t>
        </is>
      </c>
      <c r="D456" s="91" t="n">
        <v>20</v>
      </c>
      <c r="F456" s="92">
        <f>IF(AND(C456="One-off",IFERROR(INDEX(Categories!$C$2:$C$200,MATCH(B456,Categories!$A$2:$A$200,0)),"N")="Y"),D456,0)</f>
        <v/>
      </c>
    </row>
    <row r="457" ht="15" customHeight="1" s="43">
      <c r="A457" s="89" t="n">
        <v>43466</v>
      </c>
      <c r="B457" s="90" t="inlineStr">
        <is>
          <t>Salary</t>
        </is>
      </c>
      <c r="C457" s="90" t="inlineStr">
        <is>
          <t>Income</t>
        </is>
      </c>
      <c r="D457" s="91" t="n">
        <v>4980</v>
      </c>
      <c r="E457" s="77" t="n"/>
      <c r="F457" s="92">
        <f>IF(AND(C457="One-off",IFERROR(INDEX(Categories!$C$2:$C$200,MATCH(B457,Categories!$A$2:$A$200,0)),"N")="Y"),D457,0)</f>
        <v/>
      </c>
    </row>
    <row r="458" ht="15" customHeight="1" s="43">
      <c r="A458" s="89" t="n">
        <v>43466</v>
      </c>
      <c r="B458" s="90" t="inlineStr">
        <is>
          <t>Uncategorised</t>
        </is>
      </c>
      <c r="C458" s="90" t="inlineStr">
        <is>
          <t>Actual</t>
        </is>
      </c>
      <c r="D458" s="91" t="n">
        <v>3120</v>
      </c>
      <c r="E458" s="94" t="inlineStr">
        <is>
          <t>Historical monthly total (pre per-category tracking)</t>
        </is>
      </c>
      <c r="F458" s="92">
        <f>IF(AND(C458="One-off",IFERROR(INDEX(Categories!$C$2:$C$200,MATCH(B458,Categories!$A$2:$A$200,0)),"N")="Y"),D458,0)</f>
        <v/>
      </c>
    </row>
    <row r="459" ht="15" customHeight="1" s="43">
      <c r="A459" s="89" t="n">
        <v>43497</v>
      </c>
      <c r="B459" s="90" t="inlineStr">
        <is>
          <t>Interest</t>
        </is>
      </c>
      <c r="C459" s="90" t="inlineStr">
        <is>
          <t>Income</t>
        </is>
      </c>
      <c r="D459" s="91" t="n">
        <v>20</v>
      </c>
      <c r="F459" s="92">
        <f>IF(AND(C459="One-off",IFERROR(INDEX(Categories!$C$2:$C$200,MATCH(B459,Categories!$A$2:$A$200,0)),"N")="Y"),D459,0)</f>
        <v/>
      </c>
    </row>
    <row r="460" ht="15" customHeight="1" s="43">
      <c r="A460" s="89" t="n">
        <v>43497</v>
      </c>
      <c r="B460" s="90" t="inlineStr">
        <is>
          <t>Salary</t>
        </is>
      </c>
      <c r="C460" s="90" t="inlineStr">
        <is>
          <t>Income</t>
        </is>
      </c>
      <c r="D460" s="91" t="n">
        <v>5030</v>
      </c>
      <c r="E460" s="77" t="n"/>
      <c r="F460" s="92">
        <f>IF(AND(C460="One-off",IFERROR(INDEX(Categories!$C$2:$C$200,MATCH(B460,Categories!$A$2:$A$200,0)),"N")="Y"),D460,0)</f>
        <v/>
      </c>
    </row>
    <row r="461" ht="15" customHeight="1" s="43">
      <c r="A461" s="89" t="n">
        <v>43497</v>
      </c>
      <c r="B461" s="90" t="inlineStr">
        <is>
          <t>Uncategorised</t>
        </is>
      </c>
      <c r="C461" s="90" t="inlineStr">
        <is>
          <t>Actual</t>
        </is>
      </c>
      <c r="D461" s="91" t="n">
        <v>3240</v>
      </c>
      <c r="E461" s="94" t="inlineStr">
        <is>
          <t>Historical monthly total (pre per-category tracking)</t>
        </is>
      </c>
      <c r="F461" s="92">
        <f>IF(AND(C461="One-off",IFERROR(INDEX(Categories!$C$2:$C$200,MATCH(B461,Categories!$A$2:$A$200,0)),"N")="Y"),D461,0)</f>
        <v/>
      </c>
    </row>
    <row r="462" ht="15" customHeight="1" s="43">
      <c r="A462" s="89" t="n">
        <v>43525</v>
      </c>
      <c r="B462" s="90" t="inlineStr">
        <is>
          <t>Dividends</t>
        </is>
      </c>
      <c r="C462" s="90" t="inlineStr">
        <is>
          <t>Income</t>
        </is>
      </c>
      <c r="D462" s="91" t="n">
        <v>150</v>
      </c>
      <c r="F462" s="92">
        <f>IF(AND(C462="One-off",IFERROR(INDEX(Categories!$C$2:$C$200,MATCH(B462,Categories!$A$2:$A$200,0)),"N")="Y"),D462,0)</f>
        <v/>
      </c>
    </row>
    <row r="463" ht="15" customHeight="1" s="43">
      <c r="A463" s="89" t="n">
        <v>43525</v>
      </c>
      <c r="B463" s="90" t="inlineStr">
        <is>
          <t>Interest</t>
        </is>
      </c>
      <c r="C463" s="90" t="inlineStr">
        <is>
          <t>Income</t>
        </is>
      </c>
      <c r="D463" s="91" t="n">
        <v>20</v>
      </c>
      <c r="F463" s="92">
        <f>IF(AND(C463="One-off",IFERROR(INDEX(Categories!$C$2:$C$200,MATCH(B463,Categories!$A$2:$A$200,0)),"N")="Y"),D463,0)</f>
        <v/>
      </c>
    </row>
    <row r="464" ht="15" customHeight="1" s="43">
      <c r="A464" s="89" t="n">
        <v>43525</v>
      </c>
      <c r="B464" s="90" t="inlineStr">
        <is>
          <t>Salary</t>
        </is>
      </c>
      <c r="C464" s="90" t="inlineStr">
        <is>
          <t>Income</t>
        </is>
      </c>
      <c r="D464" s="91" t="n">
        <v>5080</v>
      </c>
      <c r="F464" s="92">
        <f>IF(AND(C464="One-off",IFERROR(INDEX(Categories!$C$2:$C$200,MATCH(B464,Categories!$A$2:$A$200,0)),"N")="Y"),D464,0)</f>
        <v/>
      </c>
    </row>
    <row r="465" ht="15" customHeight="1" s="43">
      <c r="A465" s="89" t="n">
        <v>43525</v>
      </c>
      <c r="B465" s="90" t="inlineStr">
        <is>
          <t>Uncategorised</t>
        </is>
      </c>
      <c r="C465" s="90" t="inlineStr">
        <is>
          <t>Actual</t>
        </is>
      </c>
      <c r="D465" s="91" t="n">
        <v>3360</v>
      </c>
      <c r="E465" s="94" t="inlineStr">
        <is>
          <t>Historical monthly total (pre per-category tracking)</t>
        </is>
      </c>
      <c r="F465" s="92">
        <f>IF(AND(C465="One-off",IFERROR(INDEX(Categories!$C$2:$C$200,MATCH(B465,Categories!$A$2:$A$200,0)),"N")="Y"),D465,0)</f>
        <v/>
      </c>
    </row>
    <row r="466" ht="15" customHeight="1" s="43">
      <c r="A466" s="89" t="n">
        <v>43556</v>
      </c>
      <c r="B466" s="90" t="inlineStr">
        <is>
          <t>Interest</t>
        </is>
      </c>
      <c r="C466" s="90" t="inlineStr">
        <is>
          <t>Income</t>
        </is>
      </c>
      <c r="D466" s="91" t="n">
        <v>20</v>
      </c>
      <c r="E466" s="77" t="n"/>
      <c r="F466" s="92">
        <f>IF(AND(C466="One-off",IFERROR(INDEX(Categories!$C$2:$C$200,MATCH(B466,Categories!$A$2:$A$200,0)),"N")="Y"),D466,0)</f>
        <v/>
      </c>
    </row>
    <row r="467" ht="15" customHeight="1" s="43">
      <c r="A467" s="89" t="n">
        <v>43556</v>
      </c>
      <c r="B467" s="90" t="inlineStr">
        <is>
          <t>Salary</t>
        </is>
      </c>
      <c r="C467" s="90" t="inlineStr">
        <is>
          <t>Income</t>
        </is>
      </c>
      <c r="D467" s="91" t="n">
        <v>5130</v>
      </c>
      <c r="F467" s="92">
        <f>IF(AND(C467="One-off",IFERROR(INDEX(Categories!$C$2:$C$200,MATCH(B467,Categories!$A$2:$A$200,0)),"N")="Y"),D467,0)</f>
        <v/>
      </c>
    </row>
    <row r="468" ht="15" customHeight="1" s="43">
      <c r="A468" s="89" t="n">
        <v>43556</v>
      </c>
      <c r="B468" s="90" t="inlineStr">
        <is>
          <t>Uncategorised</t>
        </is>
      </c>
      <c r="C468" s="90" t="inlineStr">
        <is>
          <t>Actual</t>
        </is>
      </c>
      <c r="D468" s="91" t="n">
        <v>2880</v>
      </c>
      <c r="E468" s="94" t="inlineStr">
        <is>
          <t>Historical monthly total (pre per-category tracking)</t>
        </is>
      </c>
      <c r="F468" s="92">
        <f>IF(AND(C468="One-off",IFERROR(INDEX(Categories!$C$2:$C$200,MATCH(B468,Categories!$A$2:$A$200,0)),"N")="Y"),D468,0)</f>
        <v/>
      </c>
    </row>
    <row r="469" ht="15" customHeight="1" s="43">
      <c r="A469" s="89" t="n">
        <v>43586</v>
      </c>
      <c r="B469" s="90" t="inlineStr">
        <is>
          <t>Interest</t>
        </is>
      </c>
      <c r="C469" s="90" t="inlineStr">
        <is>
          <t>Income</t>
        </is>
      </c>
      <c r="D469" s="91" t="n">
        <v>20</v>
      </c>
      <c r="F469" s="92">
        <f>IF(AND(C469="One-off",IFERROR(INDEX(Categories!$C$2:$C$200,MATCH(B469,Categories!$A$2:$A$200,0)),"N")="Y"),D469,0)</f>
        <v/>
      </c>
    </row>
    <row r="470" ht="15" customHeight="1" s="43">
      <c r="A470" s="89" t="n">
        <v>43586</v>
      </c>
      <c r="B470" s="90" t="inlineStr">
        <is>
          <t>Salary</t>
        </is>
      </c>
      <c r="C470" s="90" t="inlineStr">
        <is>
          <t>Income</t>
        </is>
      </c>
      <c r="D470" s="91" t="n">
        <v>5180</v>
      </c>
      <c r="F470" s="92">
        <f>IF(AND(C470="One-off",IFERROR(INDEX(Categories!$C$2:$C$200,MATCH(B470,Categories!$A$2:$A$200,0)),"N")="Y"),D470,0)</f>
        <v/>
      </c>
    </row>
    <row r="471" ht="15" customHeight="1" s="43">
      <c r="A471" s="89" t="n">
        <v>43586</v>
      </c>
      <c r="B471" s="90" t="inlineStr">
        <is>
          <t>Uncategorised</t>
        </is>
      </c>
      <c r="C471" s="90" t="inlineStr">
        <is>
          <t>Actual</t>
        </is>
      </c>
      <c r="D471" s="91" t="n">
        <v>3000</v>
      </c>
      <c r="E471" s="94" t="inlineStr">
        <is>
          <t>Historical monthly total (pre per-category tracking)</t>
        </is>
      </c>
      <c r="F471" s="92">
        <f>IF(AND(C471="One-off",IFERROR(INDEX(Categories!$C$2:$C$200,MATCH(B471,Categories!$A$2:$A$200,0)),"N")="Y"),D471,0)</f>
        <v/>
      </c>
    </row>
    <row r="472" ht="15" customHeight="1" s="43">
      <c r="A472" s="89" t="n">
        <v>43617</v>
      </c>
      <c r="B472" s="90" t="inlineStr">
        <is>
          <t>Dividends</t>
        </is>
      </c>
      <c r="C472" s="90" t="inlineStr">
        <is>
          <t>Income</t>
        </is>
      </c>
      <c r="D472" s="91" t="n">
        <v>150</v>
      </c>
      <c r="E472" s="77" t="n"/>
      <c r="F472" s="92">
        <f>IF(AND(C472="One-off",IFERROR(INDEX(Categories!$C$2:$C$200,MATCH(B472,Categories!$A$2:$A$200,0)),"N")="Y"),D472,0)</f>
        <v/>
      </c>
    </row>
    <row r="473" ht="15" customHeight="1" s="43">
      <c r="A473" s="89" t="n">
        <v>43617</v>
      </c>
      <c r="B473" s="90" t="inlineStr">
        <is>
          <t>Interest</t>
        </is>
      </c>
      <c r="C473" s="90" t="inlineStr">
        <is>
          <t>Income</t>
        </is>
      </c>
      <c r="D473" s="91" t="n">
        <v>20</v>
      </c>
      <c r="F473" s="92">
        <f>IF(AND(C473="One-off",IFERROR(INDEX(Categories!$C$2:$C$200,MATCH(B473,Categories!$A$2:$A$200,0)),"N")="Y"),D473,0)</f>
        <v/>
      </c>
    </row>
    <row r="474" ht="15" customHeight="1" s="43">
      <c r="A474" s="89" t="n">
        <v>43617</v>
      </c>
      <c r="B474" s="90" t="inlineStr">
        <is>
          <t>Salary</t>
        </is>
      </c>
      <c r="C474" s="90" t="inlineStr">
        <is>
          <t>Income</t>
        </is>
      </c>
      <c r="D474" s="91" t="n">
        <v>5230</v>
      </c>
      <c r="F474" s="92">
        <f>IF(AND(C474="One-off",IFERROR(INDEX(Categories!$C$2:$C$200,MATCH(B474,Categories!$A$2:$A$200,0)),"N")="Y"),D474,0)</f>
        <v/>
      </c>
    </row>
    <row r="475" ht="15" customHeight="1" s="43">
      <c r="A475" s="89" t="n">
        <v>43617</v>
      </c>
      <c r="B475" s="90" t="inlineStr">
        <is>
          <t>Uncategorised</t>
        </is>
      </c>
      <c r="C475" s="90" t="inlineStr">
        <is>
          <t>Actual</t>
        </is>
      </c>
      <c r="D475" s="91" t="n">
        <v>3120</v>
      </c>
      <c r="E475" s="94" t="inlineStr">
        <is>
          <t>Historical monthly total (pre per-category tracking)</t>
        </is>
      </c>
      <c r="F475" s="92">
        <f>IF(AND(C475="One-off",IFERROR(INDEX(Categories!$C$2:$C$200,MATCH(B475,Categories!$A$2:$A$200,0)),"N")="Y"),D475,0)</f>
        <v/>
      </c>
    </row>
    <row r="476" ht="15" customHeight="1" s="43">
      <c r="A476" s="89" t="n">
        <v>43647</v>
      </c>
      <c r="B476" s="90" t="inlineStr">
        <is>
          <t>Interest</t>
        </is>
      </c>
      <c r="C476" s="90" t="inlineStr">
        <is>
          <t>Income</t>
        </is>
      </c>
      <c r="D476" s="91" t="n">
        <v>20</v>
      </c>
      <c r="F476" s="92">
        <f>IF(AND(C476="One-off",IFERROR(INDEX(Categories!$C$2:$C$200,MATCH(B476,Categories!$A$2:$A$200,0)),"N")="Y"),D476,0)</f>
        <v/>
      </c>
    </row>
    <row r="477" ht="15" customHeight="1" s="43">
      <c r="A477" s="89" t="n">
        <v>43647</v>
      </c>
      <c r="B477" s="90" t="inlineStr">
        <is>
          <t>Salary</t>
        </is>
      </c>
      <c r="C477" s="90" t="inlineStr">
        <is>
          <t>Income</t>
        </is>
      </c>
      <c r="D477" s="91" t="n">
        <v>4980</v>
      </c>
      <c r="E477" s="77" t="n"/>
      <c r="F477" s="92">
        <f>IF(AND(C477="One-off",IFERROR(INDEX(Categories!$C$2:$C$200,MATCH(B477,Categories!$A$2:$A$200,0)),"N")="Y"),D477,0)</f>
        <v/>
      </c>
    </row>
    <row r="478" ht="15" customHeight="1" s="43">
      <c r="A478" s="89" t="n">
        <v>43647</v>
      </c>
      <c r="B478" s="90" t="inlineStr">
        <is>
          <t>Uncategorised</t>
        </is>
      </c>
      <c r="C478" s="90" t="inlineStr">
        <is>
          <t>Actual</t>
        </is>
      </c>
      <c r="D478" s="91" t="n">
        <v>3240</v>
      </c>
      <c r="E478" s="94" t="inlineStr">
        <is>
          <t>Historical monthly total (pre per-category tracking)</t>
        </is>
      </c>
      <c r="F478" s="92">
        <f>IF(AND(C478="One-off",IFERROR(INDEX(Categories!$C$2:$C$200,MATCH(B478,Categories!$A$2:$A$200,0)),"N")="Y"),D478,0)</f>
        <v/>
      </c>
    </row>
    <row r="479" ht="15" customHeight="1" s="43">
      <c r="A479" s="89" t="n">
        <v>43678</v>
      </c>
      <c r="B479" s="90" t="inlineStr">
        <is>
          <t>Interest</t>
        </is>
      </c>
      <c r="C479" s="90" t="inlineStr">
        <is>
          <t>Income</t>
        </is>
      </c>
      <c r="D479" s="91" t="n">
        <v>20</v>
      </c>
      <c r="F479" s="92">
        <f>IF(AND(C479="One-off",IFERROR(INDEX(Categories!$C$2:$C$200,MATCH(B479,Categories!$A$2:$A$200,0)),"N")="Y"),D479,0)</f>
        <v/>
      </c>
    </row>
    <row r="480" ht="15" customHeight="1" s="43">
      <c r="A480" s="89" t="n">
        <v>43678</v>
      </c>
      <c r="B480" s="90" t="inlineStr">
        <is>
          <t>Salary</t>
        </is>
      </c>
      <c r="C480" s="90" t="inlineStr">
        <is>
          <t>Income</t>
        </is>
      </c>
      <c r="D480" s="91" t="n">
        <v>5030</v>
      </c>
      <c r="F480" s="92">
        <f>IF(AND(C480="One-off",IFERROR(INDEX(Categories!$C$2:$C$200,MATCH(B480,Categories!$A$2:$A$200,0)),"N")="Y"),D480,0)</f>
        <v/>
      </c>
    </row>
    <row r="481" ht="15" customHeight="1" s="43">
      <c r="A481" s="89" t="n">
        <v>43678</v>
      </c>
      <c r="B481" s="90" t="inlineStr">
        <is>
          <t>Uncategorised</t>
        </is>
      </c>
      <c r="C481" s="90" t="inlineStr">
        <is>
          <t>Actual</t>
        </is>
      </c>
      <c r="D481" s="91" t="n">
        <v>3360</v>
      </c>
      <c r="E481" s="94" t="inlineStr">
        <is>
          <t>Historical monthly total (pre per-category tracking)</t>
        </is>
      </c>
      <c r="F481" s="92">
        <f>IF(AND(C481="One-off",IFERROR(INDEX(Categories!$C$2:$C$200,MATCH(B481,Categories!$A$2:$A$200,0)),"N")="Y"),D481,0)</f>
        <v/>
      </c>
    </row>
    <row r="482" ht="15" customHeight="1" s="43">
      <c r="A482" s="89" t="n">
        <v>43709</v>
      </c>
      <c r="B482" s="90" t="inlineStr">
        <is>
          <t>Dividends</t>
        </is>
      </c>
      <c r="C482" s="90" t="inlineStr">
        <is>
          <t>Income</t>
        </is>
      </c>
      <c r="D482" s="91" t="n">
        <v>150</v>
      </c>
      <c r="E482" s="77" t="n"/>
      <c r="F482" s="92">
        <f>IF(AND(C482="One-off",IFERROR(INDEX(Categories!$C$2:$C$200,MATCH(B482,Categories!$A$2:$A$200,0)),"N")="Y"),D482,0)</f>
        <v/>
      </c>
    </row>
    <row r="483" ht="15" customHeight="1" s="43">
      <c r="A483" s="89" t="n">
        <v>43709</v>
      </c>
      <c r="B483" s="90" t="inlineStr">
        <is>
          <t>Interest</t>
        </is>
      </c>
      <c r="C483" s="90" t="inlineStr">
        <is>
          <t>Income</t>
        </is>
      </c>
      <c r="D483" s="91" t="n">
        <v>20</v>
      </c>
      <c r="F483" s="92">
        <f>IF(AND(C483="One-off",IFERROR(INDEX(Categories!$C$2:$C$200,MATCH(B483,Categories!$A$2:$A$200,0)),"N")="Y"),D483,0)</f>
        <v/>
      </c>
    </row>
    <row r="484" ht="15" customHeight="1" s="43">
      <c r="A484" s="89" t="n">
        <v>43709</v>
      </c>
      <c r="B484" s="90" t="inlineStr">
        <is>
          <t>Salary</t>
        </is>
      </c>
      <c r="C484" s="90" t="inlineStr">
        <is>
          <t>Income</t>
        </is>
      </c>
      <c r="D484" s="91" t="n">
        <v>5080</v>
      </c>
      <c r="F484" s="92">
        <f>IF(AND(C484="One-off",IFERROR(INDEX(Categories!$C$2:$C$200,MATCH(B484,Categories!$A$2:$A$200,0)),"N")="Y"),D484,0)</f>
        <v/>
      </c>
    </row>
    <row r="485" ht="15" customHeight="1" s="43">
      <c r="A485" s="89" t="n">
        <v>43709</v>
      </c>
      <c r="B485" s="90" t="inlineStr">
        <is>
          <t>Uncategorised</t>
        </is>
      </c>
      <c r="C485" s="90" t="inlineStr">
        <is>
          <t>Actual</t>
        </is>
      </c>
      <c r="D485" s="91" t="n">
        <v>2880</v>
      </c>
      <c r="E485" s="94" t="inlineStr">
        <is>
          <t>Historical monthly total (pre per-category tracking)</t>
        </is>
      </c>
      <c r="F485" s="92">
        <f>IF(AND(C485="One-off",IFERROR(INDEX(Categories!$C$2:$C$200,MATCH(B485,Categories!$A$2:$A$200,0)),"N")="Y"),D485,0)</f>
        <v/>
      </c>
    </row>
    <row r="486" ht="15" customHeight="1" s="43">
      <c r="A486" s="89" t="n">
        <v>43739</v>
      </c>
      <c r="B486" s="90" t="inlineStr">
        <is>
          <t>Interest</t>
        </is>
      </c>
      <c r="C486" s="90" t="inlineStr">
        <is>
          <t>Income</t>
        </is>
      </c>
      <c r="D486" s="91" t="n">
        <v>20</v>
      </c>
      <c r="E486" s="77" t="n"/>
      <c r="F486" s="92">
        <f>IF(AND(C486="One-off",IFERROR(INDEX(Categories!$C$2:$C$200,MATCH(B486,Categories!$A$2:$A$200,0)),"N")="Y"),D486,0)</f>
        <v/>
      </c>
    </row>
    <row r="487" ht="15" customHeight="1" s="43">
      <c r="A487" s="89" t="n">
        <v>43739</v>
      </c>
      <c r="B487" s="90" t="inlineStr">
        <is>
          <t>Salary</t>
        </is>
      </c>
      <c r="C487" s="90" t="inlineStr">
        <is>
          <t>Income</t>
        </is>
      </c>
      <c r="D487" s="91" t="n">
        <v>5130</v>
      </c>
      <c r="F487" s="92">
        <f>IF(AND(C487="One-off",IFERROR(INDEX(Categories!$C$2:$C$200,MATCH(B487,Categories!$A$2:$A$200,0)),"N")="Y"),D487,0)</f>
        <v/>
      </c>
    </row>
    <row r="488" ht="15" customHeight="1" s="43">
      <c r="A488" s="89" t="n">
        <v>43739</v>
      </c>
      <c r="B488" s="90" t="inlineStr">
        <is>
          <t>Uncategorised</t>
        </is>
      </c>
      <c r="C488" s="90" t="inlineStr">
        <is>
          <t>Actual</t>
        </is>
      </c>
      <c r="D488" s="91" t="n">
        <v>3000</v>
      </c>
      <c r="E488" s="94" t="inlineStr">
        <is>
          <t>Historical monthly total (pre per-category tracking)</t>
        </is>
      </c>
      <c r="F488" s="92">
        <f>IF(AND(C488="One-off",IFERROR(INDEX(Categories!$C$2:$C$200,MATCH(B488,Categories!$A$2:$A$200,0)),"N")="Y"),D488,0)</f>
        <v/>
      </c>
    </row>
    <row r="489" ht="15" customHeight="1" s="43">
      <c r="A489" s="89" t="n">
        <v>43770</v>
      </c>
      <c r="B489" s="90" t="inlineStr">
        <is>
          <t>Interest</t>
        </is>
      </c>
      <c r="C489" s="90" t="inlineStr">
        <is>
          <t>Income</t>
        </is>
      </c>
      <c r="D489" s="91" t="n">
        <v>20</v>
      </c>
      <c r="E489" s="77" t="n"/>
      <c r="F489" s="92">
        <f>IF(AND(C489="One-off",IFERROR(INDEX(Categories!$C$2:$C$200,MATCH(B489,Categories!$A$2:$A$200,0)),"N")="Y"),D489,0)</f>
        <v/>
      </c>
    </row>
    <row r="490" ht="15" customHeight="1" s="43">
      <c r="A490" s="89" t="n">
        <v>43770</v>
      </c>
      <c r="B490" s="90" t="inlineStr">
        <is>
          <t>Salary</t>
        </is>
      </c>
      <c r="C490" s="90" t="inlineStr">
        <is>
          <t>Income</t>
        </is>
      </c>
      <c r="D490" s="91" t="n">
        <v>5180</v>
      </c>
      <c r="F490" s="92">
        <f>IF(AND(C490="One-off",IFERROR(INDEX(Categories!$C$2:$C$200,MATCH(B490,Categories!$A$2:$A$200,0)),"N")="Y"),D490,0)</f>
        <v/>
      </c>
    </row>
    <row r="491" ht="15" customHeight="1" s="43">
      <c r="A491" s="89" t="n">
        <v>43770</v>
      </c>
      <c r="B491" s="90" t="inlineStr">
        <is>
          <t>Uncategorised</t>
        </is>
      </c>
      <c r="C491" s="90" t="inlineStr">
        <is>
          <t>Actual</t>
        </is>
      </c>
      <c r="D491" s="91" t="n">
        <v>3120</v>
      </c>
      <c r="E491" s="94" t="inlineStr">
        <is>
          <t>Historical monthly total (pre per-category tracking)</t>
        </is>
      </c>
      <c r="F491" s="92">
        <f>IF(AND(C491="One-off",IFERROR(INDEX(Categories!$C$2:$C$200,MATCH(B491,Categories!$A$2:$A$200,0)),"N")="Y"),D491,0)</f>
        <v/>
      </c>
    </row>
    <row r="492" ht="15" customHeight="1" s="43">
      <c r="A492" s="89" t="n">
        <v>43770</v>
      </c>
      <c r="B492" s="90" t="inlineStr">
        <is>
          <t>Misc</t>
        </is>
      </c>
      <c r="C492" s="90" t="inlineStr">
        <is>
          <t>One-off</t>
        </is>
      </c>
      <c r="D492" s="91" t="n">
        <v>1800</v>
      </c>
      <c r="E492" s="94" t="inlineStr">
        <is>
          <t>Sample: new laptop</t>
        </is>
      </c>
      <c r="F492" s="92">
        <f>IF(AND(C492="One-off",IFERROR(INDEX(Categories!$C$2:$C$200,MATCH(B492,Categories!$A$2:$A$200,0)),"N")="Y"),D492,0)</f>
        <v/>
      </c>
    </row>
    <row r="493" ht="15" customHeight="1" s="43">
      <c r="A493" s="89" t="n">
        <v>43800</v>
      </c>
      <c r="B493" s="90" t="inlineStr">
        <is>
          <t>Bonus/Claims</t>
        </is>
      </c>
      <c r="C493" s="90" t="inlineStr">
        <is>
          <t>Income</t>
        </is>
      </c>
      <c r="D493" s="91" t="n">
        <v>5230</v>
      </c>
      <c r="F493" s="92">
        <f>IF(AND(C493="One-off",IFERROR(INDEX(Categories!$C$2:$C$200,MATCH(B493,Categories!$A$2:$A$200,0)),"N")="Y"),D493,0)</f>
        <v/>
      </c>
    </row>
    <row r="494" ht="15" customHeight="1" s="43">
      <c r="A494" s="89" t="n">
        <v>43800</v>
      </c>
      <c r="B494" s="90" t="inlineStr">
        <is>
          <t>Dividends</t>
        </is>
      </c>
      <c r="C494" s="90" t="inlineStr">
        <is>
          <t>Income</t>
        </is>
      </c>
      <c r="D494" s="91" t="n">
        <v>150</v>
      </c>
      <c r="E494" s="77" t="n"/>
      <c r="F494" s="92">
        <f>IF(AND(C494="One-off",IFERROR(INDEX(Categories!$C$2:$C$200,MATCH(B494,Categories!$A$2:$A$200,0)),"N")="Y"),D494,0)</f>
        <v/>
      </c>
    </row>
    <row r="495" ht="15" customHeight="1" s="43">
      <c r="A495" s="89" t="n">
        <v>43800</v>
      </c>
      <c r="B495" s="90" t="inlineStr">
        <is>
          <t>Interest</t>
        </is>
      </c>
      <c r="C495" s="90" t="inlineStr">
        <is>
          <t>Income</t>
        </is>
      </c>
      <c r="D495" s="91" t="n">
        <v>20</v>
      </c>
      <c r="F495" s="92">
        <f>IF(AND(C495="One-off",IFERROR(INDEX(Categories!$C$2:$C$200,MATCH(B495,Categories!$A$2:$A$200,0)),"N")="Y"),D495,0)</f>
        <v/>
      </c>
    </row>
    <row r="496" ht="15" customHeight="1" s="43">
      <c r="A496" s="89" t="n">
        <v>43800</v>
      </c>
      <c r="B496" s="90" t="inlineStr">
        <is>
          <t>Salary</t>
        </is>
      </c>
      <c r="C496" s="90" t="inlineStr">
        <is>
          <t>Income</t>
        </is>
      </c>
      <c r="D496" s="91" t="n">
        <v>5230</v>
      </c>
      <c r="F496" s="92">
        <f>IF(AND(C496="One-off",IFERROR(INDEX(Categories!$C$2:$C$200,MATCH(B496,Categories!$A$2:$A$200,0)),"N")="Y"),D496,0)</f>
        <v/>
      </c>
    </row>
    <row r="497" ht="15" customHeight="1" s="43">
      <c r="A497" s="89" t="n">
        <v>43800</v>
      </c>
      <c r="B497" s="90" t="inlineStr">
        <is>
          <t>Uncategorised</t>
        </is>
      </c>
      <c r="C497" s="90" t="inlineStr">
        <is>
          <t>Actual</t>
        </is>
      </c>
      <c r="D497" s="91" t="n">
        <v>3240</v>
      </c>
      <c r="E497" s="94" t="inlineStr">
        <is>
          <t>Historical monthly total (pre per-category tracking)</t>
        </is>
      </c>
      <c r="F497" s="92">
        <f>IF(AND(C497="One-off",IFERROR(INDEX(Categories!$C$2:$C$200,MATCH(B497,Categories!$A$2:$A$200,0)),"N")="Y"),D497,0)</f>
        <v/>
      </c>
    </row>
    <row r="498" ht="15" customHeight="1" s="43">
      <c r="A498" s="89" t="n">
        <v>43831</v>
      </c>
      <c r="B498" s="90" t="inlineStr">
        <is>
          <t>Interest</t>
        </is>
      </c>
      <c r="C498" s="90" t="inlineStr">
        <is>
          <t>Income</t>
        </is>
      </c>
      <c r="D498" s="91" t="n">
        <v>20</v>
      </c>
      <c r="F498" s="92">
        <f>IF(AND(C498="One-off",IFERROR(INDEX(Categories!$C$2:$C$200,MATCH(B498,Categories!$A$2:$A$200,0)),"N")="Y"),D498,0)</f>
        <v/>
      </c>
    </row>
    <row r="499" ht="15" customHeight="1" s="43">
      <c r="A499" s="89" t="n">
        <v>43831</v>
      </c>
      <c r="B499" s="90" t="inlineStr">
        <is>
          <t>Salary</t>
        </is>
      </c>
      <c r="C499" s="90" t="inlineStr">
        <is>
          <t>Income</t>
        </is>
      </c>
      <c r="D499" s="91" t="n">
        <v>5160</v>
      </c>
      <c r="F499" s="92">
        <f>IF(AND(C499="One-off",IFERROR(INDEX(Categories!$C$2:$C$200,MATCH(B499,Categories!$A$2:$A$200,0)),"N")="Y"),D499,0)</f>
        <v/>
      </c>
    </row>
    <row r="500" ht="15" customHeight="1" s="43">
      <c r="A500" s="89" t="n">
        <v>43831</v>
      </c>
      <c r="B500" s="90" t="inlineStr">
        <is>
          <t>Uncategorised</t>
        </is>
      </c>
      <c r="C500" s="90" t="inlineStr">
        <is>
          <t>Actual</t>
        </is>
      </c>
      <c r="D500" s="91" t="n">
        <v>3440</v>
      </c>
      <c r="E500" s="94" t="inlineStr">
        <is>
          <t>Historical monthly total (pre per-category tracking)</t>
        </is>
      </c>
      <c r="F500" s="92">
        <f>IF(AND(C500="One-off",IFERROR(INDEX(Categories!$C$2:$C$200,MATCH(B500,Categories!$A$2:$A$200,0)),"N")="Y"),D500,0)</f>
        <v/>
      </c>
    </row>
    <row r="501" ht="15" customHeight="1" s="43">
      <c r="A501" s="89" t="n">
        <v>43862</v>
      </c>
      <c r="B501" s="90" t="inlineStr">
        <is>
          <t>Interest</t>
        </is>
      </c>
      <c r="C501" s="90" t="inlineStr">
        <is>
          <t>Income</t>
        </is>
      </c>
      <c r="D501" s="91" t="n">
        <v>20</v>
      </c>
      <c r="E501" s="77" t="n"/>
      <c r="F501" s="92">
        <f>IF(AND(C501="One-off",IFERROR(INDEX(Categories!$C$2:$C$200,MATCH(B501,Categories!$A$2:$A$200,0)),"N")="Y"),D501,0)</f>
        <v/>
      </c>
    </row>
    <row r="502" ht="15" customHeight="1" s="43">
      <c r="A502" s="89" t="n">
        <v>43862</v>
      </c>
      <c r="B502" s="90" t="inlineStr">
        <is>
          <t>Salary</t>
        </is>
      </c>
      <c r="C502" s="90" t="inlineStr">
        <is>
          <t>Income</t>
        </is>
      </c>
      <c r="D502" s="91" t="n">
        <v>5210</v>
      </c>
      <c r="F502" s="92">
        <f>IF(AND(C502="One-off",IFERROR(INDEX(Categories!$C$2:$C$200,MATCH(B502,Categories!$A$2:$A$200,0)),"N")="Y"),D502,0)</f>
        <v/>
      </c>
    </row>
    <row r="503" ht="15" customHeight="1" s="43">
      <c r="A503" s="89" t="n">
        <v>43862</v>
      </c>
      <c r="B503" s="90" t="inlineStr">
        <is>
          <t>Uncategorised</t>
        </is>
      </c>
      <c r="C503" s="90" t="inlineStr">
        <is>
          <t>Actual</t>
        </is>
      </c>
      <c r="D503" s="91" t="n">
        <v>2960</v>
      </c>
      <c r="E503" s="94" t="inlineStr">
        <is>
          <t>Historical monthly total (pre per-category tracking)</t>
        </is>
      </c>
      <c r="F503" s="92">
        <f>IF(AND(C503="One-off",IFERROR(INDEX(Categories!$C$2:$C$200,MATCH(B503,Categories!$A$2:$A$200,0)),"N")="Y"),D503,0)</f>
        <v/>
      </c>
    </row>
    <row r="504" ht="15" customHeight="1" s="43">
      <c r="A504" s="89" t="n">
        <v>43891</v>
      </c>
      <c r="B504" s="90" t="inlineStr">
        <is>
          <t>Dividends</t>
        </is>
      </c>
      <c r="C504" s="90" t="inlineStr">
        <is>
          <t>Income</t>
        </is>
      </c>
      <c r="D504" s="91" t="n">
        <v>150</v>
      </c>
      <c r="F504" s="92">
        <f>IF(AND(C504="One-off",IFERROR(INDEX(Categories!$C$2:$C$200,MATCH(B504,Categories!$A$2:$A$200,0)),"N")="Y"),D504,0)</f>
        <v/>
      </c>
    </row>
    <row r="505" ht="15" customHeight="1" s="43">
      <c r="A505" s="89" t="n">
        <v>43891</v>
      </c>
      <c r="B505" s="90" t="inlineStr">
        <is>
          <t>Interest</t>
        </is>
      </c>
      <c r="C505" s="90" t="inlineStr">
        <is>
          <t>Income</t>
        </is>
      </c>
      <c r="D505" s="91" t="n">
        <v>20</v>
      </c>
      <c r="F505" s="92">
        <f>IF(AND(C505="One-off",IFERROR(INDEX(Categories!$C$2:$C$200,MATCH(B505,Categories!$A$2:$A$200,0)),"N")="Y"),D505,0)</f>
        <v/>
      </c>
    </row>
    <row r="506" ht="15" customHeight="1" s="43">
      <c r="A506" s="89" t="n">
        <v>43891</v>
      </c>
      <c r="B506" s="90" t="inlineStr">
        <is>
          <t>Salary</t>
        </is>
      </c>
      <c r="C506" s="90" t="inlineStr">
        <is>
          <t>Income</t>
        </is>
      </c>
      <c r="D506" s="91" t="n">
        <v>5260</v>
      </c>
      <c r="F506" s="92">
        <f>IF(AND(C506="One-off",IFERROR(INDEX(Categories!$C$2:$C$200,MATCH(B506,Categories!$A$2:$A$200,0)),"N")="Y"),D506,0)</f>
        <v/>
      </c>
    </row>
    <row r="507" ht="15" customHeight="1" s="43">
      <c r="A507" s="89" t="n">
        <v>43891</v>
      </c>
      <c r="B507" s="90" t="inlineStr">
        <is>
          <t>Uncategorised</t>
        </is>
      </c>
      <c r="C507" s="90" t="inlineStr">
        <is>
          <t>Actual</t>
        </is>
      </c>
      <c r="D507" s="91" t="n">
        <v>3080</v>
      </c>
      <c r="E507" s="94" t="inlineStr">
        <is>
          <t>Historical monthly total (pre per-category tracking)</t>
        </is>
      </c>
      <c r="F507" s="92">
        <f>IF(AND(C507="One-off",IFERROR(INDEX(Categories!$C$2:$C$200,MATCH(B507,Categories!$A$2:$A$200,0)),"N")="Y"),D507,0)</f>
        <v/>
      </c>
    </row>
    <row r="508" ht="15" customHeight="1" s="43">
      <c r="A508" s="89" t="n">
        <v>43922</v>
      </c>
      <c r="B508" s="90" t="inlineStr">
        <is>
          <t>Interest</t>
        </is>
      </c>
      <c r="C508" s="90" t="inlineStr">
        <is>
          <t>Income</t>
        </is>
      </c>
      <c r="D508" s="91" t="n">
        <v>20</v>
      </c>
      <c r="E508" s="77" t="n"/>
      <c r="F508" s="92">
        <f>IF(AND(C508="One-off",IFERROR(INDEX(Categories!$C$2:$C$200,MATCH(B508,Categories!$A$2:$A$200,0)),"N")="Y"),D508,0)</f>
        <v/>
      </c>
    </row>
    <row r="509" ht="15" customHeight="1" s="43">
      <c r="A509" s="89" t="n">
        <v>43922</v>
      </c>
      <c r="B509" s="90" t="inlineStr">
        <is>
          <t>Salary</t>
        </is>
      </c>
      <c r="C509" s="90" t="inlineStr">
        <is>
          <t>Income</t>
        </is>
      </c>
      <c r="D509" s="91" t="n">
        <v>5310</v>
      </c>
      <c r="F509" s="92">
        <f>IF(AND(C509="One-off",IFERROR(INDEX(Categories!$C$2:$C$200,MATCH(B509,Categories!$A$2:$A$200,0)),"N")="Y"),D509,0)</f>
        <v/>
      </c>
    </row>
    <row r="510" ht="15" customHeight="1" s="43">
      <c r="A510" s="89" t="n">
        <v>43922</v>
      </c>
      <c r="B510" s="90" t="inlineStr">
        <is>
          <t>Uncategorised</t>
        </is>
      </c>
      <c r="C510" s="90" t="inlineStr">
        <is>
          <t>Actual</t>
        </is>
      </c>
      <c r="D510" s="91" t="n">
        <v>3200</v>
      </c>
      <c r="E510" s="94" t="inlineStr">
        <is>
          <t>Historical monthly total (pre per-category tracking)</t>
        </is>
      </c>
      <c r="F510" s="92">
        <f>IF(AND(C510="One-off",IFERROR(INDEX(Categories!$C$2:$C$200,MATCH(B510,Categories!$A$2:$A$200,0)),"N")="Y"),D510,0)</f>
        <v/>
      </c>
    </row>
    <row r="511" ht="15" customHeight="1" s="43">
      <c r="A511" s="89" t="n">
        <v>43952</v>
      </c>
      <c r="B511" s="90" t="inlineStr">
        <is>
          <t>Interest</t>
        </is>
      </c>
      <c r="C511" s="90" t="inlineStr">
        <is>
          <t>Income</t>
        </is>
      </c>
      <c r="D511" s="91" t="n">
        <v>20</v>
      </c>
      <c r="F511" s="92">
        <f>IF(AND(C511="One-off",IFERROR(INDEX(Categories!$C$2:$C$200,MATCH(B511,Categories!$A$2:$A$200,0)),"N")="Y"),D511,0)</f>
        <v/>
      </c>
    </row>
    <row r="512" ht="15" customHeight="1" s="43">
      <c r="A512" s="89" t="n">
        <v>43952</v>
      </c>
      <c r="B512" s="90" t="inlineStr">
        <is>
          <t>Salary</t>
        </is>
      </c>
      <c r="C512" s="90" t="inlineStr">
        <is>
          <t>Income</t>
        </is>
      </c>
      <c r="D512" s="91" t="n">
        <v>5360</v>
      </c>
      <c r="F512" s="92">
        <f>IF(AND(C512="One-off",IFERROR(INDEX(Categories!$C$2:$C$200,MATCH(B512,Categories!$A$2:$A$200,0)),"N")="Y"),D512,0)</f>
        <v/>
      </c>
    </row>
    <row r="513" ht="15" customHeight="1" s="43">
      <c r="A513" s="89" t="n">
        <v>43952</v>
      </c>
      <c r="B513" s="90" t="inlineStr">
        <is>
          <t>Uncategorised</t>
        </is>
      </c>
      <c r="C513" s="90" t="inlineStr">
        <is>
          <t>Actual</t>
        </is>
      </c>
      <c r="D513" s="91" t="n">
        <v>3320</v>
      </c>
      <c r="E513" s="94" t="inlineStr">
        <is>
          <t>Historical monthly total (pre per-category tracking)</t>
        </is>
      </c>
      <c r="F513" s="92">
        <f>IF(AND(C513="One-off",IFERROR(INDEX(Categories!$C$2:$C$200,MATCH(B513,Categories!$A$2:$A$200,0)),"N")="Y"),D513,0)</f>
        <v/>
      </c>
    </row>
    <row r="514" ht="15" customHeight="1" s="43">
      <c r="A514" s="89" t="n">
        <v>43983</v>
      </c>
      <c r="B514" s="90" t="inlineStr">
        <is>
          <t>Dividends</t>
        </is>
      </c>
      <c r="C514" s="90" t="inlineStr">
        <is>
          <t>Income</t>
        </is>
      </c>
      <c r="D514" s="91" t="n">
        <v>150</v>
      </c>
      <c r="F514" s="92">
        <f>IF(AND(C514="One-off",IFERROR(INDEX(Categories!$C$2:$C$200,MATCH(B514,Categories!$A$2:$A$200,0)),"N")="Y"),D514,0)</f>
        <v/>
      </c>
    </row>
    <row r="515" ht="15" customHeight="1" s="43">
      <c r="A515" s="89" t="n">
        <v>43983</v>
      </c>
      <c r="B515" s="90" t="inlineStr">
        <is>
          <t>Interest</t>
        </is>
      </c>
      <c r="C515" s="90" t="inlineStr">
        <is>
          <t>Income</t>
        </is>
      </c>
      <c r="D515" s="91" t="n">
        <v>20</v>
      </c>
      <c r="F515" s="92">
        <f>IF(AND(C515="One-off",IFERROR(INDEX(Categories!$C$2:$C$200,MATCH(B515,Categories!$A$2:$A$200,0)),"N")="Y"),D515,0)</f>
        <v/>
      </c>
    </row>
    <row r="516" ht="15" customHeight="1" s="43">
      <c r="A516" s="89" t="n">
        <v>43983</v>
      </c>
      <c r="B516" s="90" t="inlineStr">
        <is>
          <t>Salary</t>
        </is>
      </c>
      <c r="C516" s="90" t="inlineStr">
        <is>
          <t>Income</t>
        </is>
      </c>
      <c r="D516" s="91" t="n">
        <v>5410</v>
      </c>
      <c r="E516" s="77" t="n"/>
      <c r="F516" s="92">
        <f>IF(AND(C516="One-off",IFERROR(INDEX(Categories!$C$2:$C$200,MATCH(B516,Categories!$A$2:$A$200,0)),"N")="Y"),D516,0)</f>
        <v/>
      </c>
    </row>
    <row r="517" ht="15" customHeight="1" s="43">
      <c r="A517" s="89" t="n">
        <v>43983</v>
      </c>
      <c r="B517" s="90" t="inlineStr">
        <is>
          <t>Uncategorised</t>
        </is>
      </c>
      <c r="C517" s="90" t="inlineStr">
        <is>
          <t>Actual</t>
        </is>
      </c>
      <c r="D517" s="91" t="n">
        <v>3440</v>
      </c>
      <c r="E517" s="94" t="inlineStr">
        <is>
          <t>Historical monthly total (pre per-category tracking)</t>
        </is>
      </c>
      <c r="F517" s="92">
        <f>IF(AND(C517="One-off",IFERROR(INDEX(Categories!$C$2:$C$200,MATCH(B517,Categories!$A$2:$A$200,0)),"N")="Y"),D517,0)</f>
        <v/>
      </c>
    </row>
    <row r="518" ht="15" customHeight="1" s="43">
      <c r="A518" s="89" t="n">
        <v>44013</v>
      </c>
      <c r="B518" s="90" t="inlineStr">
        <is>
          <t>Interest</t>
        </is>
      </c>
      <c r="C518" s="90" t="inlineStr">
        <is>
          <t>Income</t>
        </is>
      </c>
      <c r="D518" s="91" t="n">
        <v>20</v>
      </c>
      <c r="F518" s="95">
        <f>IF(AND(C518="One-off",IFERROR(INDEX(Categories!$C$2:$C$200,MATCH(B518,Categories!$A$2:$A$200,0)),"N")="Y"),D518,0)</f>
        <v/>
      </c>
    </row>
    <row r="519" ht="15" customHeight="1" s="43">
      <c r="A519" s="89" t="n">
        <v>44013</v>
      </c>
      <c r="B519" s="90" t="inlineStr">
        <is>
          <t>Salary</t>
        </is>
      </c>
      <c r="C519" s="90" t="inlineStr">
        <is>
          <t>Income</t>
        </is>
      </c>
      <c r="D519" s="91" t="n">
        <v>5160</v>
      </c>
      <c r="F519" s="92">
        <f>IF(AND(C519="One-off",IFERROR(INDEX(Categories!$C$2:$C$200,MATCH(B519,Categories!$A$2:$A$200,0)),"N")="Y"),D519,0)</f>
        <v/>
      </c>
    </row>
    <row r="520" ht="15" customHeight="1" s="43">
      <c r="A520" s="89" t="n">
        <v>44013</v>
      </c>
      <c r="B520" s="90" t="inlineStr">
        <is>
          <t>Uncategorised</t>
        </is>
      </c>
      <c r="C520" s="90" t="inlineStr">
        <is>
          <t>Actual</t>
        </is>
      </c>
      <c r="D520" s="91" t="n">
        <v>2960</v>
      </c>
      <c r="E520" s="94" t="inlineStr">
        <is>
          <t>Historical monthly total (pre per-category tracking)</t>
        </is>
      </c>
      <c r="F520" s="92">
        <f>IF(AND(C520="One-off",IFERROR(INDEX(Categories!$C$2:$C$200,MATCH(B520,Categories!$A$2:$A$200,0)),"N")="Y"),D520,0)</f>
        <v/>
      </c>
    </row>
    <row r="521" ht="15" customHeight="1" s="43">
      <c r="A521" s="89" t="n">
        <v>44044</v>
      </c>
      <c r="B521" s="90" t="inlineStr">
        <is>
          <t>Interest</t>
        </is>
      </c>
      <c r="C521" s="90" t="inlineStr">
        <is>
          <t>Income</t>
        </is>
      </c>
      <c r="D521" s="91" t="n">
        <v>20</v>
      </c>
      <c r="E521" s="77" t="n"/>
      <c r="F521" s="92">
        <f>IF(AND(C521="One-off",IFERROR(INDEX(Categories!$C$2:$C$200,MATCH(B521,Categories!$A$2:$A$200,0)),"N")="Y"),D521,0)</f>
        <v/>
      </c>
    </row>
    <row r="522" ht="15" customHeight="1" s="43">
      <c r="A522" s="89" t="n">
        <v>44044</v>
      </c>
      <c r="B522" s="90" t="inlineStr">
        <is>
          <t>Salary</t>
        </is>
      </c>
      <c r="C522" s="90" t="inlineStr">
        <is>
          <t>Income</t>
        </is>
      </c>
      <c r="D522" s="91" t="n">
        <v>5210</v>
      </c>
      <c r="F522" s="92">
        <f>IF(AND(C522="One-off",IFERROR(INDEX(Categories!$C$2:$C$200,MATCH(B522,Categories!$A$2:$A$200,0)),"N")="Y"),D522,0)</f>
        <v/>
      </c>
    </row>
    <row r="523" ht="15" customHeight="1" s="43">
      <c r="A523" s="89" t="n">
        <v>44044</v>
      </c>
      <c r="B523" s="90" t="inlineStr">
        <is>
          <t>Uncategorised</t>
        </is>
      </c>
      <c r="C523" s="90" t="inlineStr">
        <is>
          <t>Actual</t>
        </is>
      </c>
      <c r="D523" s="91" t="n">
        <v>3080</v>
      </c>
      <c r="E523" s="94" t="inlineStr">
        <is>
          <t>Historical monthly total (pre per-category tracking)</t>
        </is>
      </c>
      <c r="F523" s="92">
        <f>IF(AND(C523="One-off",IFERROR(INDEX(Categories!$C$2:$C$200,MATCH(B523,Categories!$A$2:$A$200,0)),"N")="Y"),D523,0)</f>
        <v/>
      </c>
    </row>
    <row r="524" ht="15" customHeight="1" s="43">
      <c r="A524" s="89" t="n">
        <v>44075</v>
      </c>
      <c r="B524" s="90" t="inlineStr">
        <is>
          <t>Dividends</t>
        </is>
      </c>
      <c r="C524" s="90" t="inlineStr">
        <is>
          <t>Income</t>
        </is>
      </c>
      <c r="D524" s="91" t="n">
        <v>150</v>
      </c>
      <c r="F524" s="92">
        <f>IF(AND(C524="One-off",IFERROR(INDEX(Categories!$C$2:$C$200,MATCH(B524,Categories!$A$2:$A$200,0)),"N")="Y"),D524,0)</f>
        <v/>
      </c>
    </row>
    <row r="525" ht="15" customHeight="1" s="43">
      <c r="A525" s="89" t="n">
        <v>44075</v>
      </c>
      <c r="B525" s="90" t="inlineStr">
        <is>
          <t>Interest</t>
        </is>
      </c>
      <c r="C525" s="90" t="inlineStr">
        <is>
          <t>Income</t>
        </is>
      </c>
      <c r="D525" s="91" t="n">
        <v>20</v>
      </c>
      <c r="F525" s="92">
        <f>IF(AND(C525="One-off",IFERROR(INDEX(Categories!$C$2:$C$200,MATCH(B525,Categories!$A$2:$A$200,0)),"N")="Y"),D525,0)</f>
        <v/>
      </c>
    </row>
    <row r="526" ht="15" customHeight="1" s="43">
      <c r="A526" s="89" t="n">
        <v>44075</v>
      </c>
      <c r="B526" s="90" t="inlineStr">
        <is>
          <t>Salary</t>
        </is>
      </c>
      <c r="C526" s="90" t="inlineStr">
        <is>
          <t>Income</t>
        </is>
      </c>
      <c r="D526" s="91" t="n">
        <v>5260</v>
      </c>
      <c r="E526" s="77" t="n"/>
      <c r="F526" s="92">
        <f>IF(AND(C526="One-off",IFERROR(INDEX(Categories!$C$2:$C$200,MATCH(B526,Categories!$A$2:$A$200,0)),"N")="Y"),D526,0)</f>
        <v/>
      </c>
    </row>
    <row r="527" ht="15" customHeight="1" s="43">
      <c r="A527" s="89" t="n">
        <v>44075</v>
      </c>
      <c r="B527" s="90" t="inlineStr">
        <is>
          <t>Uncategorised</t>
        </is>
      </c>
      <c r="C527" s="90" t="inlineStr">
        <is>
          <t>Actual</t>
        </is>
      </c>
      <c r="D527" s="91" t="n">
        <v>3200</v>
      </c>
      <c r="E527" s="94" t="inlineStr">
        <is>
          <t>Historical monthly total (pre per-category tracking)</t>
        </is>
      </c>
      <c r="F527" s="92">
        <f>IF(AND(C527="One-off",IFERROR(INDEX(Categories!$C$2:$C$200,MATCH(B527,Categories!$A$2:$A$200,0)),"N")="Y"),D527,0)</f>
        <v/>
      </c>
    </row>
    <row r="528" ht="15" customHeight="1" s="43">
      <c r="A528" s="89" t="n">
        <v>44105</v>
      </c>
      <c r="B528" s="90" t="inlineStr">
        <is>
          <t>Interest</t>
        </is>
      </c>
      <c r="C528" s="90" t="inlineStr">
        <is>
          <t>Income</t>
        </is>
      </c>
      <c r="D528" s="91" t="n">
        <v>20</v>
      </c>
      <c r="F528" s="92">
        <f>IF(AND(C528="One-off",IFERROR(INDEX(Categories!$C$2:$C$200,MATCH(B528,Categories!$A$2:$A$200,0)),"N")="Y"),D528,0)</f>
        <v/>
      </c>
    </row>
    <row r="529" ht="15" customHeight="1" s="43">
      <c r="A529" s="89" t="n">
        <v>44105</v>
      </c>
      <c r="B529" s="90" t="inlineStr">
        <is>
          <t>Salary</t>
        </is>
      </c>
      <c r="C529" s="90" t="inlineStr">
        <is>
          <t>Income</t>
        </is>
      </c>
      <c r="D529" s="91" t="n">
        <v>5310</v>
      </c>
      <c r="F529" s="92">
        <f>IF(AND(C529="One-off",IFERROR(INDEX(Categories!$C$2:$C$200,MATCH(B529,Categories!$A$2:$A$200,0)),"N")="Y"),D529,0)</f>
        <v/>
      </c>
    </row>
    <row r="530" ht="15" customHeight="1" s="43">
      <c r="A530" s="89" t="n">
        <v>44105</v>
      </c>
      <c r="B530" s="90" t="inlineStr">
        <is>
          <t>Uncategorised</t>
        </is>
      </c>
      <c r="C530" s="90" t="inlineStr">
        <is>
          <t>Actual</t>
        </is>
      </c>
      <c r="D530" s="91" t="n">
        <v>3320</v>
      </c>
      <c r="E530" s="94" t="inlineStr">
        <is>
          <t>Historical monthly total (pre per-category tracking)</t>
        </is>
      </c>
      <c r="F530" s="92">
        <f>IF(AND(C530="One-off",IFERROR(INDEX(Categories!$C$2:$C$200,MATCH(B530,Categories!$A$2:$A$200,0)),"N")="Y"),D530,0)</f>
        <v/>
      </c>
    </row>
    <row r="531" ht="15" customHeight="1" s="43">
      <c r="A531" s="89" t="n">
        <v>44136</v>
      </c>
      <c r="B531" s="90" t="inlineStr">
        <is>
          <t>Interest</t>
        </is>
      </c>
      <c r="C531" s="90" t="inlineStr">
        <is>
          <t>Income</t>
        </is>
      </c>
      <c r="D531" s="91" t="n">
        <v>20</v>
      </c>
      <c r="E531" s="77" t="n"/>
      <c r="F531" s="92">
        <f>IF(AND(C531="One-off",IFERROR(INDEX(Categories!$C$2:$C$200,MATCH(B531,Categories!$A$2:$A$200,0)),"N")="Y"),D531,0)</f>
        <v/>
      </c>
    </row>
    <row r="532" ht="15" customHeight="1" s="43">
      <c r="A532" s="89" t="n">
        <v>44136</v>
      </c>
      <c r="B532" s="90" t="inlineStr">
        <is>
          <t>Salary</t>
        </is>
      </c>
      <c r="C532" s="90" t="inlineStr">
        <is>
          <t>Income</t>
        </is>
      </c>
      <c r="D532" s="91" t="n">
        <v>5360</v>
      </c>
      <c r="F532" s="92">
        <f>IF(AND(C532="One-off",IFERROR(INDEX(Categories!$C$2:$C$200,MATCH(B532,Categories!$A$2:$A$200,0)),"N")="Y"),D532,0)</f>
        <v/>
      </c>
    </row>
    <row r="533" ht="15" customHeight="1" s="43">
      <c r="A533" s="89" t="n">
        <v>44136</v>
      </c>
      <c r="B533" s="90" t="inlineStr">
        <is>
          <t>Uncategorised</t>
        </is>
      </c>
      <c r="C533" s="90" t="inlineStr">
        <is>
          <t>Actual</t>
        </is>
      </c>
      <c r="D533" s="91" t="n">
        <v>3440</v>
      </c>
      <c r="E533" s="94" t="inlineStr">
        <is>
          <t>Historical monthly total (pre per-category tracking)</t>
        </is>
      </c>
      <c r="F533" s="92">
        <f>IF(AND(C533="One-off",IFERROR(INDEX(Categories!$C$2:$C$200,MATCH(B533,Categories!$A$2:$A$200,0)),"N")="Y"),D533,0)</f>
        <v/>
      </c>
    </row>
    <row r="534" ht="15" customHeight="1" s="43">
      <c r="A534" s="89" t="n">
        <v>44166</v>
      </c>
      <c r="B534" s="90" t="inlineStr">
        <is>
          <t>Bonus/Claims</t>
        </is>
      </c>
      <c r="C534" s="90" t="inlineStr">
        <is>
          <t>Income</t>
        </is>
      </c>
      <c r="D534" s="91" t="n">
        <v>5410</v>
      </c>
      <c r="F534" s="92">
        <f>IF(AND(C534="One-off",IFERROR(INDEX(Categories!$C$2:$C$200,MATCH(B534,Categories!$A$2:$A$200,0)),"N")="Y"),D534,0)</f>
        <v/>
      </c>
    </row>
    <row r="535" ht="15" customHeight="1" s="43">
      <c r="A535" s="89" t="n">
        <v>44166</v>
      </c>
      <c r="B535" s="90" t="inlineStr">
        <is>
          <t>Dividends</t>
        </is>
      </c>
      <c r="C535" s="90" t="inlineStr">
        <is>
          <t>Income</t>
        </is>
      </c>
      <c r="D535" s="91" t="n">
        <v>150</v>
      </c>
      <c r="E535" s="77" t="n"/>
      <c r="F535" s="92">
        <f>IF(AND(C535="One-off",IFERROR(INDEX(Categories!$C$2:$C$200,MATCH(B535,Categories!$A$2:$A$200,0)),"N")="Y"),D535,0)</f>
        <v/>
      </c>
    </row>
    <row r="536" ht="15" customHeight="1" s="43">
      <c r="A536" s="89" t="n">
        <v>44166</v>
      </c>
      <c r="B536" s="90" t="inlineStr">
        <is>
          <t>Interest</t>
        </is>
      </c>
      <c r="C536" s="90" t="inlineStr">
        <is>
          <t>Income</t>
        </is>
      </c>
      <c r="D536" s="91" t="n">
        <v>20</v>
      </c>
      <c r="F536" s="92">
        <f>IF(AND(C536="One-off",IFERROR(INDEX(Categories!$C$2:$C$200,MATCH(B536,Categories!$A$2:$A$200,0)),"N")="Y"),D536,0)</f>
        <v/>
      </c>
    </row>
    <row r="537" ht="15" customHeight="1" s="43">
      <c r="A537" s="89" t="n">
        <v>44166</v>
      </c>
      <c r="B537" s="90" t="inlineStr">
        <is>
          <t>Salary</t>
        </is>
      </c>
      <c r="C537" s="90" t="inlineStr">
        <is>
          <t>Income</t>
        </is>
      </c>
      <c r="D537" s="91" t="n">
        <v>5410</v>
      </c>
      <c r="F537" s="92">
        <f>IF(AND(C537="One-off",IFERROR(INDEX(Categories!$C$2:$C$200,MATCH(B537,Categories!$A$2:$A$200,0)),"N")="Y"),D537,0)</f>
        <v/>
      </c>
    </row>
    <row r="538" ht="15" customHeight="1" s="43">
      <c r="A538" s="89" t="n">
        <v>44166</v>
      </c>
      <c r="B538" s="90" t="inlineStr">
        <is>
          <t>Uncategorised</t>
        </is>
      </c>
      <c r="C538" s="90" t="inlineStr">
        <is>
          <t>Actual</t>
        </is>
      </c>
      <c r="D538" s="91" t="n">
        <v>2960</v>
      </c>
      <c r="E538" s="93" t="inlineStr">
        <is>
          <t>Historical monthly total (pre per-category tracking)</t>
        </is>
      </c>
      <c r="F538" s="92">
        <f>IF(AND(C538="One-off",IFERROR(INDEX(Categories!$C$2:$C$200,MATCH(B538,Categories!$A$2:$A$200,0)),"N")="Y"),D538,0)</f>
        <v/>
      </c>
    </row>
    <row r="539" ht="15" customHeight="1" s="43">
      <c r="A539" s="89" t="n">
        <v>44197</v>
      </c>
      <c r="B539" s="90" t="inlineStr">
        <is>
          <t>Interest</t>
        </is>
      </c>
      <c r="C539" s="90" t="inlineStr">
        <is>
          <t>Income</t>
        </is>
      </c>
      <c r="D539" s="91" t="n">
        <v>20</v>
      </c>
      <c r="F539" s="92">
        <f>IF(AND(C539="One-off",IFERROR(INDEX(Categories!$C$2:$C$200,MATCH(B539,Categories!$A$2:$A$200,0)),"N")="Y"),D539,0)</f>
        <v/>
      </c>
    </row>
    <row r="540" ht="15" customHeight="1" s="43">
      <c r="A540" s="89" t="n">
        <v>44197</v>
      </c>
      <c r="B540" s="90" t="inlineStr">
        <is>
          <t>Salary</t>
        </is>
      </c>
      <c r="C540" s="90" t="inlineStr">
        <is>
          <t>Income</t>
        </is>
      </c>
      <c r="D540" s="91" t="n">
        <v>5340</v>
      </c>
      <c r="F540" s="92">
        <f>IF(AND(C540="One-off",IFERROR(INDEX(Categories!$C$2:$C$200,MATCH(B540,Categories!$A$2:$A$200,0)),"N")="Y"),D540,0)</f>
        <v/>
      </c>
    </row>
    <row r="541" ht="15" customHeight="1" s="43">
      <c r="A541" s="89" t="n">
        <v>44197</v>
      </c>
      <c r="B541" s="90" t="inlineStr">
        <is>
          <t>Uncategorised</t>
        </is>
      </c>
      <c r="C541" s="90" t="inlineStr">
        <is>
          <t>Actual</t>
        </is>
      </c>
      <c r="D541" s="91" t="n">
        <v>3160</v>
      </c>
      <c r="E541" s="93" t="inlineStr">
        <is>
          <t>Historical monthly total (pre per-category tracking)</t>
        </is>
      </c>
      <c r="F541" s="92">
        <f>IF(AND(C541="One-off",IFERROR(INDEX(Categories!$C$2:$C$200,MATCH(B541,Categories!$A$2:$A$200,0)),"N")="Y"),D541,0)</f>
        <v/>
      </c>
    </row>
    <row r="542" ht="15" customHeight="1" s="43">
      <c r="A542" s="89" t="n">
        <v>44228</v>
      </c>
      <c r="B542" s="90" t="inlineStr">
        <is>
          <t>Interest</t>
        </is>
      </c>
      <c r="C542" s="90" t="inlineStr">
        <is>
          <t>Income</t>
        </is>
      </c>
      <c r="D542" s="91" t="n">
        <v>20</v>
      </c>
      <c r="F542" s="92">
        <f>IF(AND(C542="One-off",IFERROR(INDEX(Categories!$C$2:$C$200,MATCH(B542,Categories!$A$2:$A$200,0)),"N")="Y"),D542,0)</f>
        <v/>
      </c>
    </row>
    <row r="543" ht="15" customHeight="1" s="43">
      <c r="A543" s="89" t="n">
        <v>44228</v>
      </c>
      <c r="B543" s="90" t="inlineStr">
        <is>
          <t>Salary</t>
        </is>
      </c>
      <c r="C543" s="90" t="inlineStr">
        <is>
          <t>Income</t>
        </is>
      </c>
      <c r="D543" s="91" t="n">
        <v>5390</v>
      </c>
      <c r="F543" s="92">
        <f>IF(AND(C543="One-off",IFERROR(INDEX(Categories!$C$2:$C$200,MATCH(B543,Categories!$A$2:$A$200,0)),"N")="Y"),D543,0)</f>
        <v/>
      </c>
    </row>
    <row r="544" ht="15" customHeight="1" s="43">
      <c r="A544" s="89" t="n">
        <v>44228</v>
      </c>
      <c r="B544" s="90" t="inlineStr">
        <is>
          <t>Uncategorised</t>
        </is>
      </c>
      <c r="C544" s="90" t="inlineStr">
        <is>
          <t>Actual</t>
        </is>
      </c>
      <c r="D544" s="91" t="n">
        <v>3280</v>
      </c>
      <c r="E544" s="93" t="inlineStr">
        <is>
          <t>Historical monthly total (pre per-category tracking)</t>
        </is>
      </c>
      <c r="F544" s="92">
        <f>IF(AND(C544="One-off",IFERROR(INDEX(Categories!$C$2:$C$200,MATCH(B544,Categories!$A$2:$A$200,0)),"N")="Y"),D544,0)</f>
        <v/>
      </c>
    </row>
    <row r="545" ht="15" customHeight="1" s="43">
      <c r="A545" s="89" t="n">
        <v>44256</v>
      </c>
      <c r="B545" s="90" t="inlineStr">
        <is>
          <t>Dividends</t>
        </is>
      </c>
      <c r="C545" s="90" t="inlineStr">
        <is>
          <t>Income</t>
        </is>
      </c>
      <c r="D545" s="91" t="n">
        <v>150</v>
      </c>
      <c r="F545" s="92">
        <f>IF(AND(C545="One-off",IFERROR(INDEX(Categories!$C$2:$C$200,MATCH(B545,Categories!$A$2:$A$200,0)),"N")="Y"),D545,0)</f>
        <v/>
      </c>
    </row>
    <row r="546" ht="15" customHeight="1" s="43">
      <c r="A546" s="89" t="n">
        <v>44256</v>
      </c>
      <c r="B546" s="90" t="inlineStr">
        <is>
          <t>Interest</t>
        </is>
      </c>
      <c r="C546" s="90" t="inlineStr">
        <is>
          <t>Income</t>
        </is>
      </c>
      <c r="D546" s="91" t="n">
        <v>20</v>
      </c>
      <c r="F546" s="92">
        <f>IF(AND(C546="One-off",IFERROR(INDEX(Categories!$C$2:$C$200,MATCH(B546,Categories!$A$2:$A$200,0)),"N")="Y"),D546,0)</f>
        <v/>
      </c>
    </row>
    <row r="547" ht="15" customHeight="1" s="43">
      <c r="A547" s="89" t="n">
        <v>44256</v>
      </c>
      <c r="B547" s="90" t="inlineStr">
        <is>
          <t>Salary</t>
        </is>
      </c>
      <c r="C547" s="90" t="inlineStr">
        <is>
          <t>Income</t>
        </is>
      </c>
      <c r="D547" s="91" t="n">
        <v>5440</v>
      </c>
      <c r="E547" s="77" t="n"/>
      <c r="F547" s="92">
        <f>IF(AND(C547="One-off",IFERROR(INDEX(Categories!$C$2:$C$200,MATCH(B547,Categories!$A$2:$A$200,0)),"N")="Y"),D547,0)</f>
        <v/>
      </c>
    </row>
    <row r="548" ht="15" customHeight="1" s="43">
      <c r="A548" s="89" t="n">
        <v>44256</v>
      </c>
      <c r="B548" s="90" t="inlineStr">
        <is>
          <t>Uncategorised</t>
        </is>
      </c>
      <c r="C548" s="90" t="inlineStr">
        <is>
          <t>Actual</t>
        </is>
      </c>
      <c r="D548" s="91" t="n">
        <v>3400</v>
      </c>
      <c r="E548" s="94" t="inlineStr">
        <is>
          <t>Historical monthly total (pre per-category tracking)</t>
        </is>
      </c>
      <c r="F548" s="92">
        <f>IF(AND(C548="One-off",IFERROR(INDEX(Categories!$C$2:$C$200,MATCH(B548,Categories!$A$2:$A$200,0)),"N")="Y"),D548,0)</f>
        <v/>
      </c>
    </row>
    <row r="549" ht="15" customHeight="1" s="43">
      <c r="A549" s="89" t="n">
        <v>44287</v>
      </c>
      <c r="B549" s="90" t="inlineStr">
        <is>
          <t>Interest</t>
        </is>
      </c>
      <c r="C549" s="90" t="inlineStr">
        <is>
          <t>Income</t>
        </is>
      </c>
      <c r="D549" s="91" t="n">
        <v>20</v>
      </c>
      <c r="F549" s="92">
        <f>IF(AND(C549="One-off",IFERROR(INDEX(Categories!$C$2:$C$200,MATCH(B549,Categories!$A$2:$A$200,0)),"N")="Y"),D549,0)</f>
        <v/>
      </c>
    </row>
    <row r="550" ht="15" customHeight="1" s="43">
      <c r="A550" s="89" t="n">
        <v>44287</v>
      </c>
      <c r="B550" s="90" t="inlineStr">
        <is>
          <t>Salary</t>
        </is>
      </c>
      <c r="C550" s="90" t="inlineStr">
        <is>
          <t>Income</t>
        </is>
      </c>
      <c r="D550" s="91" t="n">
        <v>5490</v>
      </c>
      <c r="F550" s="92">
        <f>IF(AND(C550="One-off",IFERROR(INDEX(Categories!$C$2:$C$200,MATCH(B550,Categories!$A$2:$A$200,0)),"N")="Y"),D550,0)</f>
        <v/>
      </c>
    </row>
    <row r="551" ht="15" customHeight="1" s="43">
      <c r="A551" s="89" t="n">
        <v>44287</v>
      </c>
      <c r="B551" s="90" t="inlineStr">
        <is>
          <t>Uncategorised</t>
        </is>
      </c>
      <c r="C551" s="90" t="inlineStr">
        <is>
          <t>Actual</t>
        </is>
      </c>
      <c r="D551" s="91" t="n">
        <v>3520</v>
      </c>
      <c r="E551" s="93" t="inlineStr">
        <is>
          <t>Historical monthly total (pre per-category tracking)</t>
        </is>
      </c>
      <c r="F551" s="92">
        <f>IF(AND(C551="One-off",IFERROR(INDEX(Categories!$C$2:$C$200,MATCH(B551,Categories!$A$2:$A$200,0)),"N")="Y"),D551,0)</f>
        <v/>
      </c>
    </row>
    <row r="552" ht="15" customHeight="1" s="43">
      <c r="A552" s="89" t="n">
        <v>44317</v>
      </c>
      <c r="B552" s="90" t="inlineStr">
        <is>
          <t>Interest</t>
        </is>
      </c>
      <c r="C552" s="90" t="inlineStr">
        <is>
          <t>Income</t>
        </is>
      </c>
      <c r="D552" s="91" t="n">
        <v>20</v>
      </c>
      <c r="F552" s="92">
        <f>IF(AND(C552="One-off",IFERROR(INDEX(Categories!$C$2:$C$200,MATCH(B552,Categories!$A$2:$A$200,0)),"N")="Y"),D552,0)</f>
        <v/>
      </c>
    </row>
    <row r="553" ht="15" customHeight="1" s="43">
      <c r="A553" s="89" t="n">
        <v>44317</v>
      </c>
      <c r="B553" s="90" t="inlineStr">
        <is>
          <t>Salary</t>
        </is>
      </c>
      <c r="C553" s="90" t="inlineStr">
        <is>
          <t>Income</t>
        </is>
      </c>
      <c r="D553" s="91" t="n">
        <v>5540</v>
      </c>
      <c r="F553" s="92">
        <f>IF(AND(C553="One-off",IFERROR(INDEX(Categories!$C$2:$C$200,MATCH(B553,Categories!$A$2:$A$200,0)),"N")="Y"),D553,0)</f>
        <v/>
      </c>
    </row>
    <row r="554" ht="15" customHeight="1" s="43">
      <c r="A554" s="89" t="n">
        <v>44317</v>
      </c>
      <c r="B554" s="90" t="inlineStr">
        <is>
          <t>Uncategorised</t>
        </is>
      </c>
      <c r="C554" s="90" t="inlineStr">
        <is>
          <t>Actual</t>
        </is>
      </c>
      <c r="D554" s="91" t="n">
        <v>3040</v>
      </c>
      <c r="E554" s="94" t="inlineStr">
        <is>
          <t>Historical monthly total (pre per-category tracking)</t>
        </is>
      </c>
      <c r="F554" s="92">
        <f>IF(AND(C554="One-off",IFERROR(INDEX(Categories!$C$2:$C$200,MATCH(B554,Categories!$A$2:$A$200,0)),"N")="Y"),D554,0)</f>
        <v/>
      </c>
    </row>
    <row r="555" ht="15" customHeight="1" s="43">
      <c r="A555" s="89" t="n">
        <v>44348</v>
      </c>
      <c r="B555" s="90" t="inlineStr">
        <is>
          <t>Dividends</t>
        </is>
      </c>
      <c r="C555" s="90" t="inlineStr">
        <is>
          <t>Income</t>
        </is>
      </c>
      <c r="D555" s="91" t="n">
        <v>150</v>
      </c>
      <c r="F555" s="92">
        <f>IF(AND(C555="One-off",IFERROR(INDEX(Categories!$C$2:$C$200,MATCH(B555,Categories!$A$2:$A$200,0)),"N")="Y"),D555,0)</f>
        <v/>
      </c>
    </row>
    <row r="556" ht="15" customHeight="1" s="43">
      <c r="A556" s="89" t="n">
        <v>44348</v>
      </c>
      <c r="B556" s="90" t="inlineStr">
        <is>
          <t>Interest</t>
        </is>
      </c>
      <c r="C556" s="90" t="inlineStr">
        <is>
          <t>Income</t>
        </is>
      </c>
      <c r="D556" s="91" t="n">
        <v>20</v>
      </c>
      <c r="E556" s="77" t="n"/>
      <c r="F556" s="92">
        <f>IF(AND(C556="One-off",IFERROR(INDEX(Categories!$C$2:$C$200,MATCH(B556,Categories!$A$2:$A$200,0)),"N")="Y"),D556,0)</f>
        <v/>
      </c>
    </row>
    <row r="557" ht="15" customHeight="1" s="43">
      <c r="A557" s="89" t="n">
        <v>44348</v>
      </c>
      <c r="B557" s="90" t="inlineStr">
        <is>
          <t>Salary</t>
        </is>
      </c>
      <c r="C557" s="90" t="inlineStr">
        <is>
          <t>Income</t>
        </is>
      </c>
      <c r="D557" s="91" t="n">
        <v>5590</v>
      </c>
      <c r="F557" s="92">
        <f>IF(AND(C557="One-off",IFERROR(INDEX(Categories!$C$2:$C$200,MATCH(B557,Categories!$A$2:$A$200,0)),"N")="Y"),D557,0)</f>
        <v/>
      </c>
    </row>
    <row r="558" ht="15" customHeight="1" s="43">
      <c r="A558" s="89" t="n">
        <v>44348</v>
      </c>
      <c r="B558" s="90" t="inlineStr">
        <is>
          <t>Uncategorised</t>
        </is>
      </c>
      <c r="C558" s="90" t="inlineStr">
        <is>
          <t>Actual</t>
        </is>
      </c>
      <c r="D558" s="91" t="n">
        <v>3160</v>
      </c>
      <c r="E558" s="94" t="inlineStr">
        <is>
          <t>Historical monthly total (pre per-category tracking)</t>
        </is>
      </c>
      <c r="F558" s="92">
        <f>IF(AND(C558="One-off",IFERROR(INDEX(Categories!$C$2:$C$200,MATCH(B558,Categories!$A$2:$A$200,0)),"N")="Y"),D558,0)</f>
        <v/>
      </c>
    </row>
    <row r="559" ht="15" customHeight="1" s="43">
      <c r="A559" s="89" t="n">
        <v>44378</v>
      </c>
      <c r="B559" s="90" t="inlineStr">
        <is>
          <t>Interest</t>
        </is>
      </c>
      <c r="C559" s="90" t="inlineStr">
        <is>
          <t>Income</t>
        </is>
      </c>
      <c r="D559" s="91" t="n">
        <v>20</v>
      </c>
      <c r="F559" s="92">
        <f>IF(AND(C559="One-off",IFERROR(INDEX(Categories!$C$2:$C$200,MATCH(B559,Categories!$A$2:$A$200,0)),"N")="Y"),D559,0)</f>
        <v/>
      </c>
    </row>
    <row r="560" ht="15" customHeight="1" s="43">
      <c r="A560" s="89" t="n">
        <v>44378</v>
      </c>
      <c r="B560" s="90" t="inlineStr">
        <is>
          <t>Salary</t>
        </is>
      </c>
      <c r="C560" s="90" t="inlineStr">
        <is>
          <t>Income</t>
        </is>
      </c>
      <c r="D560" s="91" t="n">
        <v>5340</v>
      </c>
      <c r="F560" s="92">
        <f>IF(AND(C560="One-off",IFERROR(INDEX(Categories!$C$2:$C$200,MATCH(B560,Categories!$A$2:$A$200,0)),"N")="Y"),D560,0)</f>
        <v/>
      </c>
    </row>
    <row r="561" ht="15" customHeight="1" s="43">
      <c r="A561" s="89" t="n">
        <v>44378</v>
      </c>
      <c r="B561" s="90" t="inlineStr">
        <is>
          <t>Uncategorised</t>
        </is>
      </c>
      <c r="C561" s="90" t="inlineStr">
        <is>
          <t>Actual</t>
        </is>
      </c>
      <c r="D561" s="91" t="n">
        <v>3280</v>
      </c>
      <c r="E561" s="93" t="inlineStr">
        <is>
          <t>Historical monthly total (pre per-category tracking)</t>
        </is>
      </c>
      <c r="F561" s="92">
        <f>IF(AND(C561="One-off",IFERROR(INDEX(Categories!$C$2:$C$200,MATCH(B561,Categories!$A$2:$A$200,0)),"N")="Y"),D561,0)</f>
        <v/>
      </c>
    </row>
    <row r="562" ht="15" customHeight="1" s="43">
      <c r="A562" s="89" t="n">
        <v>44409</v>
      </c>
      <c r="B562" s="90" t="inlineStr">
        <is>
          <t>Interest</t>
        </is>
      </c>
      <c r="C562" s="90" t="inlineStr">
        <is>
          <t>Income</t>
        </is>
      </c>
      <c r="D562" s="91" t="n">
        <v>20</v>
      </c>
      <c r="F562" s="92">
        <f>IF(AND(C562="One-off",IFERROR(INDEX(Categories!$C$2:$C$200,MATCH(B562,Categories!$A$2:$A$200,0)),"N")="Y"),D562,0)</f>
        <v/>
      </c>
    </row>
    <row r="563" ht="15" customHeight="1" s="43">
      <c r="A563" s="89" t="n">
        <v>44409</v>
      </c>
      <c r="B563" s="90" t="inlineStr">
        <is>
          <t>Salary</t>
        </is>
      </c>
      <c r="C563" s="90" t="inlineStr">
        <is>
          <t>Income</t>
        </is>
      </c>
      <c r="D563" s="91" t="n">
        <v>5390</v>
      </c>
      <c r="F563" s="92">
        <f>IF(AND(C563="One-off",IFERROR(INDEX(Categories!$C$2:$C$200,MATCH(B563,Categories!$A$2:$A$200,0)),"N")="Y"),D563,0)</f>
        <v/>
      </c>
    </row>
    <row r="564" ht="15" customHeight="1" s="43">
      <c r="A564" s="89" t="n">
        <v>44409</v>
      </c>
      <c r="B564" s="90" t="inlineStr">
        <is>
          <t>Uncategorised</t>
        </is>
      </c>
      <c r="C564" s="90" t="inlineStr">
        <is>
          <t>Actual</t>
        </is>
      </c>
      <c r="D564" s="91" t="n">
        <v>3400</v>
      </c>
      <c r="E564" s="94" t="inlineStr">
        <is>
          <t>Historical monthly total (pre per-category tracking)</t>
        </is>
      </c>
      <c r="F564" s="92">
        <f>IF(AND(C564="One-off",IFERROR(INDEX(Categories!$C$2:$C$200,MATCH(B564,Categories!$A$2:$A$200,0)),"N")="Y"),D564,0)</f>
        <v/>
      </c>
    </row>
    <row r="565" ht="15" customHeight="1" s="43">
      <c r="A565" s="89" t="n">
        <v>44440</v>
      </c>
      <c r="B565" s="90" t="inlineStr">
        <is>
          <t>Dividends</t>
        </is>
      </c>
      <c r="C565" s="90" t="inlineStr">
        <is>
          <t>Income</t>
        </is>
      </c>
      <c r="D565" s="91" t="n">
        <v>150</v>
      </c>
      <c r="E565" s="77" t="n"/>
      <c r="F565" s="92">
        <f>IF(AND(C565="One-off",IFERROR(INDEX(Categories!$C$2:$C$200,MATCH(B565,Categories!$A$2:$A$200,0)),"N")="Y"),D565,0)</f>
        <v/>
      </c>
    </row>
    <row r="566" ht="15" customHeight="1" s="43">
      <c r="A566" s="89" t="n">
        <v>44440</v>
      </c>
      <c r="B566" s="90" t="inlineStr">
        <is>
          <t>Interest</t>
        </is>
      </c>
      <c r="C566" s="90" t="inlineStr">
        <is>
          <t>Income</t>
        </is>
      </c>
      <c r="D566" s="91" t="n">
        <v>20</v>
      </c>
      <c r="F566" s="92">
        <f>IF(AND(C566="One-off",IFERROR(INDEX(Categories!$C$2:$C$200,MATCH(B566,Categories!$A$2:$A$200,0)),"N")="Y"),D566,0)</f>
        <v/>
      </c>
    </row>
    <row r="567" ht="15" customHeight="1" s="43">
      <c r="A567" s="89" t="n">
        <v>44440</v>
      </c>
      <c r="B567" s="90" t="inlineStr">
        <is>
          <t>Salary</t>
        </is>
      </c>
      <c r="C567" s="90" t="inlineStr">
        <is>
          <t>Income</t>
        </is>
      </c>
      <c r="D567" s="91" t="n">
        <v>5440</v>
      </c>
      <c r="F567" s="95">
        <f>IF(AND(C567="One-off",IFERROR(INDEX(Categories!$C$2:$C$200,MATCH(B567,Categories!$A$2:$A$200,0)),"N")="Y"),D567,0)</f>
        <v/>
      </c>
    </row>
    <row r="568" ht="15" customHeight="1" s="43">
      <c r="A568" s="89" t="n">
        <v>44440</v>
      </c>
      <c r="B568" s="90" t="inlineStr">
        <is>
          <t>Uncategorised</t>
        </is>
      </c>
      <c r="C568" s="90" t="inlineStr">
        <is>
          <t>Actual</t>
        </is>
      </c>
      <c r="D568" s="91" t="n">
        <v>3520</v>
      </c>
      <c r="E568" s="94" t="inlineStr">
        <is>
          <t>Historical monthly total (pre per-category tracking)</t>
        </is>
      </c>
      <c r="F568" s="92">
        <f>IF(AND(C568="One-off",IFERROR(INDEX(Categories!$C$2:$C$200,MATCH(B568,Categories!$A$2:$A$200,0)),"N")="Y"),D568,0)</f>
        <v/>
      </c>
    </row>
    <row r="569" ht="15" customHeight="1" s="43">
      <c r="A569" s="89" t="n">
        <v>44470</v>
      </c>
      <c r="B569" s="90" t="inlineStr">
        <is>
          <t>Interest</t>
        </is>
      </c>
      <c r="C569" s="90" t="inlineStr">
        <is>
          <t>Income</t>
        </is>
      </c>
      <c r="D569" s="91" t="n">
        <v>20</v>
      </c>
      <c r="F569" s="92">
        <f>IF(AND(C569="One-off",IFERROR(INDEX(Categories!$C$2:$C$200,MATCH(B569,Categories!$A$2:$A$200,0)),"N")="Y"),D569,0)</f>
        <v/>
      </c>
    </row>
    <row r="570" ht="15" customHeight="1" s="43">
      <c r="A570" s="89" t="n">
        <v>44470</v>
      </c>
      <c r="B570" s="90" t="inlineStr">
        <is>
          <t>Salary</t>
        </is>
      </c>
      <c r="C570" s="90" t="inlineStr">
        <is>
          <t>Income</t>
        </is>
      </c>
      <c r="D570" s="91" t="n">
        <v>5490</v>
      </c>
      <c r="F570" s="92">
        <f>IF(AND(C570="One-off",IFERROR(INDEX(Categories!$C$2:$C$200,MATCH(B570,Categories!$A$2:$A$200,0)),"N")="Y"),D570,0)</f>
        <v/>
      </c>
    </row>
    <row r="571" ht="15" customHeight="1" s="43">
      <c r="A571" s="89" t="n">
        <v>44470</v>
      </c>
      <c r="B571" s="90" t="inlineStr">
        <is>
          <t>Uncategorised</t>
        </is>
      </c>
      <c r="C571" s="90" t="inlineStr">
        <is>
          <t>Actual</t>
        </is>
      </c>
      <c r="D571" s="91" t="n">
        <v>3040</v>
      </c>
      <c r="E571" s="93" t="inlineStr">
        <is>
          <t>Historical monthly total (pre per-category tracking)</t>
        </is>
      </c>
      <c r="F571" s="92">
        <f>IF(AND(C571="One-off",IFERROR(INDEX(Categories!$C$2:$C$200,MATCH(B571,Categories!$A$2:$A$200,0)),"N")="Y"),D571,0)</f>
        <v/>
      </c>
    </row>
    <row r="572" ht="15" customHeight="1" s="43">
      <c r="A572" s="89" t="n">
        <v>44501</v>
      </c>
      <c r="B572" s="90" t="inlineStr">
        <is>
          <t>Interest</t>
        </is>
      </c>
      <c r="C572" s="90" t="inlineStr">
        <is>
          <t>Income</t>
        </is>
      </c>
      <c r="D572" s="91" t="n">
        <v>20</v>
      </c>
      <c r="F572" s="92">
        <f>IF(AND(C572="One-off",IFERROR(INDEX(Categories!$C$2:$C$200,MATCH(B572,Categories!$A$2:$A$200,0)),"N")="Y"),D572,0)</f>
        <v/>
      </c>
    </row>
    <row r="573" ht="15" customHeight="1" s="43">
      <c r="A573" s="89" t="n">
        <v>44501</v>
      </c>
      <c r="B573" s="90" t="inlineStr">
        <is>
          <t>Salary</t>
        </is>
      </c>
      <c r="C573" s="90" t="inlineStr">
        <is>
          <t>Income</t>
        </is>
      </c>
      <c r="D573" s="91" t="n">
        <v>5540</v>
      </c>
      <c r="F573" s="92">
        <f>IF(AND(C573="One-off",IFERROR(INDEX(Categories!$C$2:$C$200,MATCH(B573,Categories!$A$2:$A$200,0)),"N")="Y"),D573,0)</f>
        <v/>
      </c>
    </row>
    <row r="574" ht="15" customHeight="1" s="43">
      <c r="A574" s="89" t="n">
        <v>44501</v>
      </c>
      <c r="B574" s="90" t="inlineStr">
        <is>
          <t>Uncategorised</t>
        </is>
      </c>
      <c r="C574" s="90" t="inlineStr">
        <is>
          <t>Actual</t>
        </is>
      </c>
      <c r="D574" s="91" t="n">
        <v>3160</v>
      </c>
      <c r="E574" s="93" t="inlineStr">
        <is>
          <t>Historical monthly total (pre per-category tracking)</t>
        </is>
      </c>
      <c r="F574" s="92">
        <f>IF(AND(C574="One-off",IFERROR(INDEX(Categories!$C$2:$C$200,MATCH(B574,Categories!$A$2:$A$200,0)),"N")="Y"),D574,0)</f>
        <v/>
      </c>
    </row>
    <row r="575" ht="15" customHeight="1" s="43">
      <c r="A575" s="89" t="n">
        <v>44531</v>
      </c>
      <c r="B575" s="90" t="inlineStr">
        <is>
          <t>Bonus/Claims</t>
        </is>
      </c>
      <c r="C575" s="90" t="inlineStr">
        <is>
          <t>Income</t>
        </is>
      </c>
      <c r="D575" s="91" t="n">
        <v>5590</v>
      </c>
      <c r="F575" s="92">
        <f>IF(AND(C575="One-off",IFERROR(INDEX(Categories!$C$2:$C$200,MATCH(B575,Categories!$A$2:$A$200,0)),"N")="Y"),D575,0)</f>
        <v/>
      </c>
    </row>
    <row r="576" ht="15" customHeight="1" s="43">
      <c r="A576" s="89" t="n">
        <v>44531</v>
      </c>
      <c r="B576" s="90" t="inlineStr">
        <is>
          <t>Dividends</t>
        </is>
      </c>
      <c r="C576" s="90" t="inlineStr">
        <is>
          <t>Income</t>
        </is>
      </c>
      <c r="D576" s="91" t="n">
        <v>150</v>
      </c>
      <c r="F576" s="92">
        <f>IF(AND(C576="One-off",IFERROR(INDEX(Categories!$C$2:$C$200,MATCH(B576,Categories!$A$2:$A$200,0)),"N")="Y"),D576,0)</f>
        <v/>
      </c>
    </row>
    <row r="577" ht="15" customHeight="1" s="43">
      <c r="A577" s="89" t="n">
        <v>44531</v>
      </c>
      <c r="B577" s="90" t="inlineStr">
        <is>
          <t>Interest</t>
        </is>
      </c>
      <c r="C577" s="90" t="inlineStr">
        <is>
          <t>Income</t>
        </is>
      </c>
      <c r="D577" s="91" t="n">
        <v>20</v>
      </c>
      <c r="F577" s="92">
        <f>IF(AND(C577="One-off",IFERROR(INDEX(Categories!$C$2:$C$200,MATCH(B577,Categories!$A$2:$A$200,0)),"N")="Y"),D577,0)</f>
        <v/>
      </c>
    </row>
    <row r="578" ht="15" customHeight="1" s="43">
      <c r="A578" s="89" t="n">
        <v>44531</v>
      </c>
      <c r="B578" s="90" t="inlineStr">
        <is>
          <t>Salary</t>
        </is>
      </c>
      <c r="C578" s="90" t="inlineStr">
        <is>
          <t>Income</t>
        </is>
      </c>
      <c r="D578" s="91" t="n">
        <v>5590</v>
      </c>
      <c r="E578" s="77" t="n"/>
      <c r="F578" s="92">
        <f>IF(AND(C578="One-off",IFERROR(INDEX(Categories!$C$2:$C$200,MATCH(B578,Categories!$A$2:$A$200,0)),"N")="Y"),D578,0)</f>
        <v/>
      </c>
    </row>
    <row r="579" ht="15" customHeight="1" s="43">
      <c r="A579" s="89" t="n">
        <v>44531</v>
      </c>
      <c r="B579" s="90" t="inlineStr">
        <is>
          <t>Uncategorised</t>
        </is>
      </c>
      <c r="C579" s="90" t="inlineStr">
        <is>
          <t>Actual</t>
        </is>
      </c>
      <c r="D579" s="91" t="n">
        <v>3280</v>
      </c>
      <c r="E579" s="94" t="inlineStr">
        <is>
          <t>Historical monthly total (pre per-category tracking)</t>
        </is>
      </c>
      <c r="F579" s="92">
        <f>IF(AND(C579="One-off",IFERROR(INDEX(Categories!$C$2:$C$200,MATCH(B579,Categories!$A$2:$A$200,0)),"N")="Y"),D579,0)</f>
        <v/>
      </c>
    </row>
    <row r="580" ht="15" customHeight="1" s="43">
      <c r="A580" s="89" t="n">
        <v>44562</v>
      </c>
      <c r="B580" s="90" t="inlineStr">
        <is>
          <t>Interest</t>
        </is>
      </c>
      <c r="C580" s="90" t="inlineStr">
        <is>
          <t>Income</t>
        </is>
      </c>
      <c r="D580" s="91" t="n">
        <v>20</v>
      </c>
      <c r="F580" s="92">
        <f>IF(AND(C580="One-off",IFERROR(INDEX(Categories!$C$2:$C$200,MATCH(B580,Categories!$A$2:$A$200,0)),"N")="Y"),D580,0)</f>
        <v/>
      </c>
    </row>
    <row r="581" ht="15" customHeight="1" s="43">
      <c r="A581" s="89" t="n">
        <v>44562</v>
      </c>
      <c r="B581" s="90" t="inlineStr">
        <is>
          <t>Salary</t>
        </is>
      </c>
      <c r="C581" s="90" t="inlineStr">
        <is>
          <t>Income</t>
        </is>
      </c>
      <c r="D581" s="91" t="n">
        <v>5520</v>
      </c>
      <c r="F581" s="92">
        <f>IF(AND(C581="One-off",IFERROR(INDEX(Categories!$C$2:$C$200,MATCH(B581,Categories!$A$2:$A$200,0)),"N")="Y"),D581,0)</f>
        <v/>
      </c>
    </row>
    <row r="582" ht="15" customHeight="1" s="43">
      <c r="A582" s="89" t="n">
        <v>44562</v>
      </c>
      <c r="B582" s="90" t="inlineStr">
        <is>
          <t>Uncategorised</t>
        </is>
      </c>
      <c r="C582" s="90" t="inlineStr">
        <is>
          <t>Actual</t>
        </is>
      </c>
      <c r="D582" s="91" t="n">
        <v>3480</v>
      </c>
      <c r="E582" s="93" t="inlineStr">
        <is>
          <t>Historical monthly total (pre per-category tracking)</t>
        </is>
      </c>
      <c r="F582" s="92">
        <f>IF(AND(C582="One-off",IFERROR(INDEX(Categories!$C$2:$C$200,MATCH(B582,Categories!$A$2:$A$200,0)),"N")="Y"),D582,0)</f>
        <v/>
      </c>
    </row>
    <row r="583" ht="15" customHeight="1" s="43">
      <c r="A583" s="89" t="n">
        <v>44593</v>
      </c>
      <c r="B583" s="90" t="inlineStr">
        <is>
          <t>Interest</t>
        </is>
      </c>
      <c r="C583" s="90" t="inlineStr">
        <is>
          <t>Income</t>
        </is>
      </c>
      <c r="D583" s="91" t="n">
        <v>20</v>
      </c>
      <c r="F583" s="92">
        <f>IF(AND(C583="One-off",IFERROR(INDEX(Categories!$C$2:$C$200,MATCH(B583,Categories!$A$2:$A$200,0)),"N")="Y"),D583,0)</f>
        <v/>
      </c>
    </row>
    <row r="584" ht="15" customHeight="1" s="43">
      <c r="A584" s="89" t="n">
        <v>44593</v>
      </c>
      <c r="B584" s="90" t="inlineStr">
        <is>
          <t>Salary</t>
        </is>
      </c>
      <c r="C584" s="90" t="inlineStr">
        <is>
          <t>Income</t>
        </is>
      </c>
      <c r="D584" s="91" t="n">
        <v>5570</v>
      </c>
      <c r="F584" s="92">
        <f>IF(AND(C584="One-off",IFERROR(INDEX(Categories!$C$2:$C$200,MATCH(B584,Categories!$A$2:$A$200,0)),"N")="Y"),D584,0)</f>
        <v/>
      </c>
    </row>
    <row r="585" ht="15" customHeight="1" s="43">
      <c r="A585" s="89" t="n">
        <v>44593</v>
      </c>
      <c r="B585" s="90" t="inlineStr">
        <is>
          <t>Uncategorised</t>
        </is>
      </c>
      <c r="C585" s="90" t="inlineStr">
        <is>
          <t>Actual</t>
        </is>
      </c>
      <c r="D585" s="91" t="n">
        <v>3600</v>
      </c>
      <c r="E585" s="93" t="inlineStr">
        <is>
          <t>Historical monthly total (pre per-category tracking)</t>
        </is>
      </c>
      <c r="F585" s="92">
        <f>IF(AND(C585="One-off",IFERROR(INDEX(Categories!$C$2:$C$200,MATCH(B585,Categories!$A$2:$A$200,0)),"N")="Y"),D585,0)</f>
        <v/>
      </c>
    </row>
    <row r="586" ht="15" customHeight="1" s="43">
      <c r="A586" s="89" t="n">
        <v>44621</v>
      </c>
      <c r="B586" s="90" t="inlineStr">
        <is>
          <t>Dividends</t>
        </is>
      </c>
      <c r="C586" s="90" t="inlineStr">
        <is>
          <t>Income</t>
        </is>
      </c>
      <c r="D586" s="91" t="n">
        <v>150</v>
      </c>
      <c r="F586" s="92">
        <f>IF(AND(C586="One-off",IFERROR(INDEX(Categories!$C$2:$C$200,MATCH(B586,Categories!$A$2:$A$200,0)),"N")="Y"),D586,0)</f>
        <v/>
      </c>
    </row>
    <row r="587" ht="15" customHeight="1" s="43">
      <c r="A587" s="89" t="n">
        <v>44621</v>
      </c>
      <c r="B587" s="90" t="inlineStr">
        <is>
          <t>Interest</t>
        </is>
      </c>
      <c r="C587" s="90" t="inlineStr">
        <is>
          <t>Income</t>
        </is>
      </c>
      <c r="D587" s="91" t="n">
        <v>20</v>
      </c>
      <c r="F587" s="92">
        <f>IF(AND(C587="One-off",IFERROR(INDEX(Categories!$C$2:$C$200,MATCH(B587,Categories!$A$2:$A$200,0)),"N")="Y"),D587,0)</f>
        <v/>
      </c>
    </row>
    <row r="588" ht="15" customHeight="1" s="43">
      <c r="A588" s="89" t="n">
        <v>44621</v>
      </c>
      <c r="B588" s="90" t="inlineStr">
        <is>
          <t>Salary</t>
        </is>
      </c>
      <c r="C588" s="90" t="inlineStr">
        <is>
          <t>Income</t>
        </is>
      </c>
      <c r="D588" s="91" t="n">
        <v>5620</v>
      </c>
      <c r="F588" s="92">
        <f>IF(AND(C588="One-off",IFERROR(INDEX(Categories!$C$2:$C$200,MATCH(B588,Categories!$A$2:$A$200,0)),"N")="Y"),D588,0)</f>
        <v/>
      </c>
    </row>
    <row r="589" ht="15" customHeight="1" s="43">
      <c r="A589" s="89" t="n">
        <v>44621</v>
      </c>
      <c r="B589" s="90" t="inlineStr">
        <is>
          <t>Uncategorised</t>
        </is>
      </c>
      <c r="C589" s="90" t="inlineStr">
        <is>
          <t>Actual</t>
        </is>
      </c>
      <c r="D589" s="91" t="n">
        <v>3120</v>
      </c>
      <c r="E589" s="94" t="inlineStr">
        <is>
          <t>Historical monthly total (pre per-category tracking)</t>
        </is>
      </c>
      <c r="F589" s="92">
        <f>IF(AND(C589="One-off",IFERROR(INDEX(Categories!$C$2:$C$200,MATCH(B589,Categories!$A$2:$A$200,0)),"N")="Y"),D589,0)</f>
        <v/>
      </c>
    </row>
    <row r="590" ht="15" customHeight="1" s="43">
      <c r="A590" s="89" t="n">
        <v>44652</v>
      </c>
      <c r="B590" s="90" t="inlineStr">
        <is>
          <t>Interest</t>
        </is>
      </c>
      <c r="C590" s="90" t="inlineStr">
        <is>
          <t>Income</t>
        </is>
      </c>
      <c r="D590" s="91" t="n">
        <v>20</v>
      </c>
      <c r="F590" s="92">
        <f>IF(AND(C590="One-off",IFERROR(INDEX(Categories!$C$2:$C$200,MATCH(B590,Categories!$A$2:$A$200,0)),"N")="Y"),D590,0)</f>
        <v/>
      </c>
    </row>
    <row r="591" ht="15" customHeight="1" s="43">
      <c r="A591" s="89" t="n">
        <v>44652</v>
      </c>
      <c r="B591" s="90" t="inlineStr">
        <is>
          <t>Salary</t>
        </is>
      </c>
      <c r="C591" s="90" t="inlineStr">
        <is>
          <t>Income</t>
        </is>
      </c>
      <c r="D591" s="91" t="n">
        <v>5670</v>
      </c>
      <c r="E591" s="77" t="n"/>
      <c r="F591" s="92">
        <f>IF(AND(C591="One-off",IFERROR(INDEX(Categories!$C$2:$C$200,MATCH(B591,Categories!$A$2:$A$200,0)),"N")="Y"),D591,0)</f>
        <v/>
      </c>
    </row>
    <row r="592" ht="15" customHeight="1" s="43">
      <c r="A592" s="89" t="n">
        <v>44652</v>
      </c>
      <c r="B592" s="90" t="inlineStr">
        <is>
          <t>Uncategorised</t>
        </is>
      </c>
      <c r="C592" s="90" t="inlineStr">
        <is>
          <t>Actual</t>
        </is>
      </c>
      <c r="D592" s="91" t="n">
        <v>3240</v>
      </c>
      <c r="E592" s="94" t="inlineStr">
        <is>
          <t>Historical monthly total (pre per-category tracking)</t>
        </is>
      </c>
      <c r="F592" s="92">
        <f>IF(AND(C592="One-off",IFERROR(INDEX(Categories!$C$2:$C$200,MATCH(B592,Categories!$A$2:$A$200,0)),"N")="Y"),D592,0)</f>
        <v/>
      </c>
    </row>
    <row r="593" ht="15" customHeight="1" s="43">
      <c r="A593" s="89" t="n">
        <v>44682</v>
      </c>
      <c r="B593" s="90" t="inlineStr">
        <is>
          <t>Interest</t>
        </is>
      </c>
      <c r="C593" s="90" t="inlineStr">
        <is>
          <t>Income</t>
        </is>
      </c>
      <c r="D593" s="91" t="n">
        <v>20</v>
      </c>
      <c r="F593" s="92">
        <f>IF(AND(C593="One-off",IFERROR(INDEX(Categories!$C$2:$C$200,MATCH(B593,Categories!$A$2:$A$200,0)),"N")="Y"),D593,0)</f>
        <v/>
      </c>
    </row>
    <row r="594" ht="15" customHeight="1" s="43">
      <c r="A594" s="89" t="n">
        <v>44682</v>
      </c>
      <c r="B594" s="90" t="inlineStr">
        <is>
          <t>Salary</t>
        </is>
      </c>
      <c r="C594" s="90" t="inlineStr">
        <is>
          <t>Income</t>
        </is>
      </c>
      <c r="D594" s="91" t="n">
        <v>5720</v>
      </c>
      <c r="F594" s="92">
        <f>IF(AND(C594="One-off",IFERROR(INDEX(Categories!$C$2:$C$200,MATCH(B594,Categories!$A$2:$A$200,0)),"N")="Y"),D594,0)</f>
        <v/>
      </c>
    </row>
    <row r="595" ht="15" customHeight="1" s="43">
      <c r="A595" s="89" t="n">
        <v>44682</v>
      </c>
      <c r="B595" s="90" t="inlineStr">
        <is>
          <t>Uncategorised</t>
        </is>
      </c>
      <c r="C595" s="90" t="inlineStr">
        <is>
          <t>Actual</t>
        </is>
      </c>
      <c r="D595" s="91" t="n">
        <v>3360</v>
      </c>
      <c r="E595" s="94" t="inlineStr">
        <is>
          <t>Historical monthly total (pre per-category tracking)</t>
        </is>
      </c>
      <c r="F595" s="92">
        <f>IF(AND(C595="One-off",IFERROR(INDEX(Categories!$C$2:$C$200,MATCH(B595,Categories!$A$2:$A$200,0)),"N")="Y"),D595,0)</f>
        <v/>
      </c>
    </row>
    <row r="596" ht="15" customHeight="1" s="43">
      <c r="A596" s="89" t="n">
        <v>44682</v>
      </c>
      <c r="B596" s="90" t="inlineStr">
        <is>
          <t>Wedding+House</t>
        </is>
      </c>
      <c r="C596" s="90" t="inlineStr">
        <is>
          <t>One-off</t>
        </is>
      </c>
      <c r="D596" s="91" t="n">
        <v>8000</v>
      </c>
      <c r="E596" s="93" t="inlineStr">
        <is>
          <t>Sample: home renovation</t>
        </is>
      </c>
      <c r="F596" s="92">
        <f>IF(AND(C596="One-off",IFERROR(INDEX(Categories!$C$2:$C$200,MATCH(B596,Categories!$A$2:$A$200,0)),"N")="Y"),D596,0)</f>
        <v/>
      </c>
    </row>
    <row r="597" ht="15" customHeight="1" s="43">
      <c r="A597" s="89" t="n">
        <v>44713</v>
      </c>
      <c r="B597" s="90" t="inlineStr">
        <is>
          <t>Dividends</t>
        </is>
      </c>
      <c r="C597" s="90" t="inlineStr">
        <is>
          <t>Income</t>
        </is>
      </c>
      <c r="D597" s="91" t="n">
        <v>150</v>
      </c>
      <c r="F597" s="92">
        <f>IF(AND(C597="One-off",IFERROR(INDEX(Categories!$C$2:$C$200,MATCH(B597,Categories!$A$2:$A$200,0)),"N")="Y"),D597,0)</f>
        <v/>
      </c>
    </row>
    <row r="598" ht="15" customHeight="1" s="43">
      <c r="A598" s="89" t="n">
        <v>44713</v>
      </c>
      <c r="B598" s="90" t="inlineStr">
        <is>
          <t>Interest</t>
        </is>
      </c>
      <c r="C598" s="90" t="inlineStr">
        <is>
          <t>Income</t>
        </is>
      </c>
      <c r="D598" s="91" t="n">
        <v>20</v>
      </c>
      <c r="F598" s="92">
        <f>IF(AND(C598="One-off",IFERROR(INDEX(Categories!$C$2:$C$200,MATCH(B598,Categories!$A$2:$A$200,0)),"N")="Y"),D598,0)</f>
        <v/>
      </c>
    </row>
    <row r="599" ht="15" customHeight="1" s="43">
      <c r="A599" s="89" t="n">
        <v>44713</v>
      </c>
      <c r="B599" s="90" t="inlineStr">
        <is>
          <t>Salary</t>
        </is>
      </c>
      <c r="C599" s="90" t="inlineStr">
        <is>
          <t>Income</t>
        </is>
      </c>
      <c r="D599" s="91" t="n">
        <v>5770</v>
      </c>
      <c r="F599" s="92">
        <f>IF(AND(C599="One-off",IFERROR(INDEX(Categories!$C$2:$C$200,MATCH(B599,Categories!$A$2:$A$200,0)),"N")="Y"),D599,0)</f>
        <v/>
      </c>
    </row>
    <row r="600" ht="15" customHeight="1" s="43">
      <c r="A600" s="89" t="n">
        <v>44713</v>
      </c>
      <c r="B600" s="90" t="inlineStr">
        <is>
          <t>Uncategorised</t>
        </is>
      </c>
      <c r="C600" s="90" t="inlineStr">
        <is>
          <t>Actual</t>
        </is>
      </c>
      <c r="D600" s="91" t="n">
        <v>3480</v>
      </c>
      <c r="E600" s="94" t="inlineStr">
        <is>
          <t>Historical monthly total (pre per-category tracking)</t>
        </is>
      </c>
      <c r="F600" s="92">
        <f>IF(AND(C600="One-off",IFERROR(INDEX(Categories!$C$2:$C$200,MATCH(B600,Categories!$A$2:$A$200,0)),"N")="Y"),D600,0)</f>
        <v/>
      </c>
    </row>
    <row r="601" ht="15" customHeight="1" s="43">
      <c r="A601" s="89" t="n">
        <v>44743</v>
      </c>
      <c r="B601" s="90" t="inlineStr">
        <is>
          <t>Interest</t>
        </is>
      </c>
      <c r="C601" s="90" t="inlineStr">
        <is>
          <t>Income</t>
        </is>
      </c>
      <c r="D601" s="91" t="n">
        <v>20</v>
      </c>
      <c r="F601" s="92">
        <f>IF(AND(C601="One-off",IFERROR(INDEX(Categories!$C$2:$C$200,MATCH(B601,Categories!$A$2:$A$200,0)),"N")="Y"),D601,0)</f>
        <v/>
      </c>
    </row>
    <row r="602" ht="15" customHeight="1" s="43">
      <c r="A602" s="89" t="n">
        <v>44743</v>
      </c>
      <c r="B602" s="90" t="inlineStr">
        <is>
          <t>Salary</t>
        </is>
      </c>
      <c r="C602" s="90" t="inlineStr">
        <is>
          <t>Income</t>
        </is>
      </c>
      <c r="D602" s="91" t="n">
        <v>5520</v>
      </c>
      <c r="E602" s="77" t="n"/>
      <c r="F602" s="92">
        <f>IF(AND(C602="One-off",IFERROR(INDEX(Categories!$C$2:$C$200,MATCH(B602,Categories!$A$2:$A$200,0)),"N")="Y"),D602,0)</f>
        <v/>
      </c>
    </row>
    <row r="603" ht="15" customHeight="1" s="43">
      <c r="A603" s="89" t="n">
        <v>44743</v>
      </c>
      <c r="B603" s="90" t="inlineStr">
        <is>
          <t>Uncategorised</t>
        </is>
      </c>
      <c r="C603" s="90" t="inlineStr">
        <is>
          <t>Actual</t>
        </is>
      </c>
      <c r="D603" s="91" t="n">
        <v>3600</v>
      </c>
      <c r="E603" s="94" t="inlineStr">
        <is>
          <t>Historical monthly total (pre per-category tracking)</t>
        </is>
      </c>
      <c r="F603" s="92">
        <f>IF(AND(C603="One-off",IFERROR(INDEX(Categories!$C$2:$C$200,MATCH(B603,Categories!$A$2:$A$200,0)),"N")="Y"),D603,0)</f>
        <v/>
      </c>
    </row>
    <row r="604" ht="15" customHeight="1" s="43">
      <c r="A604" s="89" t="n">
        <v>44774</v>
      </c>
      <c r="B604" s="90" t="inlineStr">
        <is>
          <t>Interest</t>
        </is>
      </c>
      <c r="C604" s="90" t="inlineStr">
        <is>
          <t>Income</t>
        </is>
      </c>
      <c r="D604" s="91" t="n">
        <v>20</v>
      </c>
      <c r="F604" s="92">
        <f>IF(AND(C604="One-off",IFERROR(INDEX(Categories!$C$2:$C$200,MATCH(B604,Categories!$A$2:$A$200,0)),"N")="Y"),D604,0)</f>
        <v/>
      </c>
    </row>
    <row r="605" ht="15" customHeight="1" s="43">
      <c r="A605" s="89" t="n">
        <v>44774</v>
      </c>
      <c r="B605" s="90" t="inlineStr">
        <is>
          <t>Salary</t>
        </is>
      </c>
      <c r="C605" s="90" t="inlineStr">
        <is>
          <t>Income</t>
        </is>
      </c>
      <c r="D605" s="91" t="n">
        <v>5570</v>
      </c>
      <c r="F605" s="92">
        <f>IF(AND(C605="One-off",IFERROR(INDEX(Categories!$C$2:$C$200,MATCH(B605,Categories!$A$2:$A$200,0)),"N")="Y"),D605,0)</f>
        <v/>
      </c>
    </row>
    <row r="606" ht="15" customHeight="1" s="43">
      <c r="A606" s="89" t="n">
        <v>44774</v>
      </c>
      <c r="B606" s="90" t="inlineStr">
        <is>
          <t>Uncategorised</t>
        </is>
      </c>
      <c r="C606" s="90" t="inlineStr">
        <is>
          <t>Actual</t>
        </is>
      </c>
      <c r="D606" s="91" t="n">
        <v>3120</v>
      </c>
      <c r="E606" s="93" t="inlineStr">
        <is>
          <t>Historical monthly total (pre per-category tracking)</t>
        </is>
      </c>
      <c r="F606" s="92">
        <f>IF(AND(C606="One-off",IFERROR(INDEX(Categories!$C$2:$C$200,MATCH(B606,Categories!$A$2:$A$200,0)),"N")="Y"),D606,0)</f>
        <v/>
      </c>
    </row>
    <row r="607" ht="15" customHeight="1" s="43">
      <c r="A607" s="89" t="n">
        <v>44805</v>
      </c>
      <c r="B607" s="90" t="inlineStr">
        <is>
          <t>Dividends</t>
        </is>
      </c>
      <c r="C607" s="90" t="inlineStr">
        <is>
          <t>Income</t>
        </is>
      </c>
      <c r="D607" s="91" t="n">
        <v>150</v>
      </c>
      <c r="F607" s="92">
        <f>IF(AND(C607="One-off",IFERROR(INDEX(Categories!$C$2:$C$200,MATCH(B607,Categories!$A$2:$A$200,0)),"N")="Y"),D607,0)</f>
        <v/>
      </c>
    </row>
    <row r="608" ht="15" customHeight="1" s="43">
      <c r="A608" s="89" t="n">
        <v>44805</v>
      </c>
      <c r="B608" s="90" t="inlineStr">
        <is>
          <t>Interest</t>
        </is>
      </c>
      <c r="C608" s="90" t="inlineStr">
        <is>
          <t>Income</t>
        </is>
      </c>
      <c r="D608" s="91" t="n">
        <v>20</v>
      </c>
      <c r="F608" s="92">
        <f>IF(AND(C608="One-off",IFERROR(INDEX(Categories!$C$2:$C$200,MATCH(B608,Categories!$A$2:$A$200,0)),"N")="Y"),D608,0)</f>
        <v/>
      </c>
    </row>
    <row r="609" ht="15" customHeight="1" s="43">
      <c r="A609" s="89" t="n">
        <v>44805</v>
      </c>
      <c r="B609" s="90" t="inlineStr">
        <is>
          <t>Salary</t>
        </is>
      </c>
      <c r="C609" s="90" t="inlineStr">
        <is>
          <t>Income</t>
        </is>
      </c>
      <c r="D609" s="91" t="n">
        <v>5620</v>
      </c>
      <c r="F609" s="92">
        <f>IF(AND(C609="One-off",IFERROR(INDEX(Categories!$C$2:$C$200,MATCH(B609,Categories!$A$2:$A$200,0)),"N")="Y"),D609,0)</f>
        <v/>
      </c>
    </row>
    <row r="610" ht="15" customHeight="1" s="43">
      <c r="A610" s="89" t="n">
        <v>44805</v>
      </c>
      <c r="B610" s="90" t="inlineStr">
        <is>
          <t>Uncategorised</t>
        </is>
      </c>
      <c r="C610" s="90" t="inlineStr">
        <is>
          <t>Actual</t>
        </is>
      </c>
      <c r="D610" s="91" t="n">
        <v>3240</v>
      </c>
      <c r="E610" s="94" t="inlineStr">
        <is>
          <t>Historical monthly total (pre per-category tracking)</t>
        </is>
      </c>
      <c r="F610" s="92">
        <f>IF(AND(C610="One-off",IFERROR(INDEX(Categories!$C$2:$C$200,MATCH(B610,Categories!$A$2:$A$200,0)),"N")="Y"),D610,0)</f>
        <v/>
      </c>
    </row>
    <row r="611" ht="15" customHeight="1" s="43">
      <c r="A611" s="89" t="n">
        <v>44835</v>
      </c>
      <c r="B611" s="90" t="inlineStr">
        <is>
          <t>Interest</t>
        </is>
      </c>
      <c r="C611" s="90" t="inlineStr">
        <is>
          <t>Income</t>
        </is>
      </c>
      <c r="D611" s="91" t="n">
        <v>20</v>
      </c>
      <c r="E611" s="77" t="n"/>
      <c r="F611" s="92">
        <f>IF(AND(C611="One-off",IFERROR(INDEX(Categories!$C$2:$C$200,MATCH(B611,Categories!$A$2:$A$200,0)),"N")="Y"),D611,0)</f>
        <v/>
      </c>
    </row>
    <row r="612" ht="15" customHeight="1" s="43">
      <c r="A612" s="89" t="n">
        <v>44835</v>
      </c>
      <c r="B612" s="90" t="inlineStr">
        <is>
          <t>Salary</t>
        </is>
      </c>
      <c r="C612" s="90" t="inlineStr">
        <is>
          <t>Income</t>
        </is>
      </c>
      <c r="D612" s="91" t="n">
        <v>5670</v>
      </c>
      <c r="F612" s="92">
        <f>IF(AND(C612="One-off",IFERROR(INDEX(Categories!$C$2:$C$200,MATCH(B612,Categories!$A$2:$A$200,0)),"N")="Y"),D612,0)</f>
        <v/>
      </c>
    </row>
    <row r="613" ht="15" customHeight="1" s="43">
      <c r="A613" s="89" t="n">
        <v>44835</v>
      </c>
      <c r="B613" s="90" t="inlineStr">
        <is>
          <t>Uncategorised</t>
        </is>
      </c>
      <c r="C613" s="90" t="inlineStr">
        <is>
          <t>Actual</t>
        </is>
      </c>
      <c r="D613" s="91" t="n">
        <v>3360</v>
      </c>
      <c r="E613" s="94" t="inlineStr">
        <is>
          <t>Historical monthly total (pre per-category tracking)</t>
        </is>
      </c>
      <c r="F613" s="95">
        <f>IF(AND(C613="One-off",IFERROR(INDEX(Categories!$C$2:$C$200,MATCH(B613,Categories!$A$2:$A$200,0)),"N")="Y"),D613,0)</f>
        <v/>
      </c>
    </row>
    <row r="614" ht="15" customHeight="1" s="43">
      <c r="A614" s="89" t="n">
        <v>44866</v>
      </c>
      <c r="B614" s="90" t="inlineStr">
        <is>
          <t>Interest</t>
        </is>
      </c>
      <c r="C614" s="90" t="inlineStr">
        <is>
          <t>Income</t>
        </is>
      </c>
      <c r="D614" s="91" t="n">
        <v>20</v>
      </c>
      <c r="F614" s="92">
        <f>IF(AND(C614="One-off",IFERROR(INDEX(Categories!$C$2:$C$200,MATCH(B614,Categories!$A$2:$A$200,0)),"N")="Y"),D614,0)</f>
        <v/>
      </c>
    </row>
    <row r="615" ht="15" customHeight="1" s="43">
      <c r="A615" s="89" t="n">
        <v>44866</v>
      </c>
      <c r="B615" s="90" t="inlineStr">
        <is>
          <t>Salary</t>
        </is>
      </c>
      <c r="C615" s="90" t="inlineStr">
        <is>
          <t>Income</t>
        </is>
      </c>
      <c r="D615" s="91" t="n">
        <v>5720</v>
      </c>
      <c r="F615" s="92">
        <f>IF(AND(C615="One-off",IFERROR(INDEX(Categories!$C$2:$C$200,MATCH(B615,Categories!$A$2:$A$200,0)),"N")="Y"),D615,0)</f>
        <v/>
      </c>
    </row>
    <row r="616" ht="15" customHeight="1" s="43">
      <c r="A616" s="89" t="n">
        <v>44866</v>
      </c>
      <c r="B616" s="90" t="inlineStr">
        <is>
          <t>Uncategorised</t>
        </is>
      </c>
      <c r="C616" s="90" t="inlineStr">
        <is>
          <t>Actual</t>
        </is>
      </c>
      <c r="D616" s="91" t="n">
        <v>3480</v>
      </c>
      <c r="E616" s="93" t="inlineStr">
        <is>
          <t>Historical monthly total (pre per-category tracking)</t>
        </is>
      </c>
      <c r="F616" s="92">
        <f>IF(AND(C616="One-off",IFERROR(INDEX(Categories!$C$2:$C$200,MATCH(B616,Categories!$A$2:$A$200,0)),"N")="Y"),D616,0)</f>
        <v/>
      </c>
    </row>
    <row r="617" ht="15" customHeight="1" s="43">
      <c r="A617" s="89" t="n">
        <v>44896</v>
      </c>
      <c r="B617" s="90" t="inlineStr">
        <is>
          <t>Bonus/Claims</t>
        </is>
      </c>
      <c r="C617" s="90" t="inlineStr">
        <is>
          <t>Income</t>
        </is>
      </c>
      <c r="D617" s="91" t="n">
        <v>5770</v>
      </c>
      <c r="F617" s="92">
        <f>IF(AND(C617="One-off",IFERROR(INDEX(Categories!$C$2:$C$200,MATCH(B617,Categories!$A$2:$A$200,0)),"N")="Y"),D617,0)</f>
        <v/>
      </c>
    </row>
    <row r="618" ht="15" customHeight="1" s="43">
      <c r="A618" s="89" t="n">
        <v>44896</v>
      </c>
      <c r="B618" s="90" t="inlineStr">
        <is>
          <t>Dividends</t>
        </is>
      </c>
      <c r="C618" s="90" t="inlineStr">
        <is>
          <t>Income</t>
        </is>
      </c>
      <c r="D618" s="91" t="n">
        <v>150</v>
      </c>
      <c r="F618" s="92">
        <f>IF(AND(C618="One-off",IFERROR(INDEX(Categories!$C$2:$C$200,MATCH(B618,Categories!$A$2:$A$200,0)),"N")="Y"),D618,0)</f>
        <v/>
      </c>
    </row>
    <row r="619" ht="15" customHeight="1" s="43">
      <c r="A619" s="89" t="n">
        <v>44896</v>
      </c>
      <c r="B619" s="90" t="inlineStr">
        <is>
          <t>Interest</t>
        </is>
      </c>
      <c r="C619" s="90" t="inlineStr">
        <is>
          <t>Income</t>
        </is>
      </c>
      <c r="D619" s="91" t="n">
        <v>20</v>
      </c>
      <c r="F619" s="92">
        <f>IF(AND(C619="One-off",IFERROR(INDEX(Categories!$C$2:$C$200,MATCH(B619,Categories!$A$2:$A$200,0)),"N")="Y"),D619,0)</f>
        <v/>
      </c>
    </row>
    <row r="620" ht="15" customHeight="1" s="43">
      <c r="A620" s="89" t="n">
        <v>44896</v>
      </c>
      <c r="B620" s="90" t="inlineStr">
        <is>
          <t>Salary</t>
        </is>
      </c>
      <c r="C620" s="90" t="inlineStr">
        <is>
          <t>Income</t>
        </is>
      </c>
      <c r="D620" s="91" t="n">
        <v>5770</v>
      </c>
      <c r="E620" s="77" t="n"/>
      <c r="F620" s="92">
        <f>IF(AND(C620="One-off",IFERROR(INDEX(Categories!$C$2:$C$200,MATCH(B620,Categories!$A$2:$A$200,0)),"N")="Y"),D620,0)</f>
        <v/>
      </c>
    </row>
    <row r="621" ht="15" customHeight="1" s="43">
      <c r="A621" s="89" t="n">
        <v>44896</v>
      </c>
      <c r="B621" s="90" t="inlineStr">
        <is>
          <t>Uncategorised</t>
        </is>
      </c>
      <c r="C621" s="90" t="inlineStr">
        <is>
          <t>Actual</t>
        </is>
      </c>
      <c r="D621" s="91" t="n">
        <v>3600</v>
      </c>
      <c r="E621" s="94" t="inlineStr">
        <is>
          <t>Historical monthly total (pre per-category tracking)</t>
        </is>
      </c>
      <c r="F621" s="92">
        <f>IF(AND(C621="One-off",IFERROR(INDEX(Categories!$C$2:$C$200,MATCH(B621,Categories!$A$2:$A$200,0)),"N")="Y"),D621,0)</f>
        <v/>
      </c>
    </row>
    <row r="622" ht="15" customHeight="1" s="43">
      <c r="A622" s="89" t="n">
        <v>44927</v>
      </c>
      <c r="B622" s="90" t="inlineStr">
        <is>
          <t>Interest</t>
        </is>
      </c>
      <c r="C622" s="90" t="inlineStr">
        <is>
          <t>Income</t>
        </is>
      </c>
      <c r="D622" s="91" t="n">
        <v>20</v>
      </c>
      <c r="F622" s="95">
        <f>IF(AND(C622="One-off",IFERROR(INDEX(Categories!$C$2:$C$200,MATCH(B622,Categories!$A$2:$A$200,0)),"N")="Y"),D622,0)</f>
        <v/>
      </c>
    </row>
    <row r="623" ht="15" customHeight="1" s="43">
      <c r="A623" s="89" t="n">
        <v>44927</v>
      </c>
      <c r="B623" s="90" t="inlineStr">
        <is>
          <t>Salary</t>
        </is>
      </c>
      <c r="C623" s="90" t="inlineStr">
        <is>
          <t>Income</t>
        </is>
      </c>
      <c r="D623" s="91" t="n">
        <v>5700</v>
      </c>
      <c r="F623" s="92">
        <f>IF(AND(C623="One-off",IFERROR(INDEX(Categories!$C$2:$C$200,MATCH(B623,Categories!$A$2:$A$200,0)),"N")="Y"),D623,0)</f>
        <v/>
      </c>
    </row>
    <row r="624" ht="15" customHeight="1" s="43">
      <c r="A624" s="89" t="n">
        <v>44927</v>
      </c>
      <c r="B624" s="90" t="inlineStr">
        <is>
          <t>Uncategorised</t>
        </is>
      </c>
      <c r="C624" s="90" t="inlineStr">
        <is>
          <t>Actual</t>
        </is>
      </c>
      <c r="D624" s="91" t="n">
        <v>3200</v>
      </c>
      <c r="E624" s="94" t="inlineStr">
        <is>
          <t>Historical monthly total (pre per-category tracking)</t>
        </is>
      </c>
      <c r="F624" s="92">
        <f>IF(AND(C624="One-off",IFERROR(INDEX(Categories!$C$2:$C$200,MATCH(B624,Categories!$A$2:$A$200,0)),"N")="Y"),D624,0)</f>
        <v/>
      </c>
    </row>
    <row r="625" ht="15" customHeight="1" s="43">
      <c r="A625" s="89" t="n">
        <v>44958</v>
      </c>
      <c r="B625" s="90" t="inlineStr">
        <is>
          <t>Interest</t>
        </is>
      </c>
      <c r="C625" s="90" t="inlineStr">
        <is>
          <t>Income</t>
        </is>
      </c>
      <c r="D625" s="91" t="n">
        <v>20</v>
      </c>
      <c r="E625" s="77" t="n"/>
      <c r="F625" s="92">
        <f>IF(AND(C625="One-off",IFERROR(INDEX(Categories!$C$2:$C$200,MATCH(B625,Categories!$A$2:$A$200,0)),"N")="Y"),D625,0)</f>
        <v/>
      </c>
    </row>
    <row r="626" ht="15" customHeight="1" s="43">
      <c r="A626" s="89" t="n">
        <v>44958</v>
      </c>
      <c r="B626" s="90" t="inlineStr">
        <is>
          <t>Salary</t>
        </is>
      </c>
      <c r="C626" s="90" t="inlineStr">
        <is>
          <t>Income</t>
        </is>
      </c>
      <c r="D626" s="91" t="n">
        <v>5750</v>
      </c>
      <c r="F626" s="92">
        <f>IF(AND(C626="One-off",IFERROR(INDEX(Categories!$C$2:$C$200,MATCH(B626,Categories!$A$2:$A$200,0)),"N")="Y"),D626,0)</f>
        <v/>
      </c>
    </row>
    <row r="627" ht="15" customHeight="1" s="43">
      <c r="A627" s="89" t="n">
        <v>44958</v>
      </c>
      <c r="B627" s="90" t="inlineStr">
        <is>
          <t>Uncategorised</t>
        </is>
      </c>
      <c r="C627" s="90" t="inlineStr">
        <is>
          <t>Actual</t>
        </is>
      </c>
      <c r="D627" s="91" t="n">
        <v>3320</v>
      </c>
      <c r="E627" s="94" t="inlineStr">
        <is>
          <t>Historical monthly total (pre per-category tracking)</t>
        </is>
      </c>
      <c r="F627" s="92">
        <f>IF(AND(C627="One-off",IFERROR(INDEX(Categories!$C$2:$C$200,MATCH(B627,Categories!$A$2:$A$200,0)),"N")="Y"),D627,0)</f>
        <v/>
      </c>
    </row>
    <row r="628" ht="15" customHeight="1" s="43">
      <c r="A628" s="89" t="n">
        <v>44986</v>
      </c>
      <c r="B628" s="90" t="inlineStr">
        <is>
          <t>Dividends</t>
        </is>
      </c>
      <c r="C628" s="90" t="inlineStr">
        <is>
          <t>Income</t>
        </is>
      </c>
      <c r="D628" s="91" t="n">
        <v>150</v>
      </c>
      <c r="F628" s="92">
        <f>IF(AND(C628="One-off",IFERROR(INDEX(Categories!$C$2:$C$200,MATCH(B628,Categories!$A$2:$A$200,0)),"N")="Y"),D628,0)</f>
        <v/>
      </c>
    </row>
    <row r="629" ht="15" customHeight="1" s="43">
      <c r="A629" s="89" t="n">
        <v>44986</v>
      </c>
      <c r="B629" s="90" t="inlineStr">
        <is>
          <t>Interest</t>
        </is>
      </c>
      <c r="C629" s="90" t="inlineStr">
        <is>
          <t>Income</t>
        </is>
      </c>
      <c r="D629" s="91" t="n">
        <v>20</v>
      </c>
      <c r="F629" s="92">
        <f>IF(AND(C629="One-off",IFERROR(INDEX(Categories!$C$2:$C$200,MATCH(B629,Categories!$A$2:$A$200,0)),"N")="Y"),D629,0)</f>
        <v/>
      </c>
    </row>
    <row r="630" ht="15" customHeight="1" s="43">
      <c r="A630" s="89" t="n">
        <v>44986</v>
      </c>
      <c r="B630" s="90" t="inlineStr">
        <is>
          <t>Salary</t>
        </is>
      </c>
      <c r="C630" s="90" t="inlineStr">
        <is>
          <t>Income</t>
        </is>
      </c>
      <c r="D630" s="91" t="n">
        <v>5800</v>
      </c>
      <c r="E630" s="77" t="n"/>
      <c r="F630" s="92">
        <f>IF(AND(C630="One-off",IFERROR(INDEX(Categories!$C$2:$C$200,MATCH(B630,Categories!$A$2:$A$200,0)),"N")="Y"),D630,0)</f>
        <v/>
      </c>
    </row>
    <row r="631" ht="15" customHeight="1" s="43">
      <c r="A631" s="89" t="n">
        <v>44986</v>
      </c>
      <c r="B631" s="90" t="inlineStr">
        <is>
          <t>Uncategorised</t>
        </is>
      </c>
      <c r="C631" s="90" t="inlineStr">
        <is>
          <t>Actual</t>
        </is>
      </c>
      <c r="D631" s="91" t="n">
        <v>3440</v>
      </c>
      <c r="E631" s="94" t="inlineStr">
        <is>
          <t>Historical monthly total (pre per-category tracking)</t>
        </is>
      </c>
      <c r="F631" s="92">
        <f>IF(AND(C631="One-off",IFERROR(INDEX(Categories!$C$2:$C$200,MATCH(B631,Categories!$A$2:$A$200,0)),"N")="Y"),D631,0)</f>
        <v/>
      </c>
    </row>
    <row r="632" ht="15" customHeight="1" s="43">
      <c r="A632" s="89" t="n">
        <v>45017</v>
      </c>
      <c r="B632" s="90" t="inlineStr">
        <is>
          <t>Interest</t>
        </is>
      </c>
      <c r="C632" s="90" t="inlineStr">
        <is>
          <t>Income</t>
        </is>
      </c>
      <c r="D632" s="91" t="n">
        <v>20</v>
      </c>
      <c r="F632" s="92">
        <f>IF(AND(C632="One-off",IFERROR(INDEX(Categories!$C$2:$C$200,MATCH(B632,Categories!$A$2:$A$200,0)),"N")="Y"),D632,0)</f>
        <v/>
      </c>
    </row>
    <row r="633" ht="15" customHeight="1" s="43">
      <c r="A633" s="89" t="n">
        <v>45017</v>
      </c>
      <c r="B633" s="90" t="inlineStr">
        <is>
          <t>Salary</t>
        </is>
      </c>
      <c r="C633" s="90" t="inlineStr">
        <is>
          <t>Income</t>
        </is>
      </c>
      <c r="D633" s="91" t="n">
        <v>5850</v>
      </c>
      <c r="F633" s="92">
        <f>IF(AND(C633="One-off",IFERROR(INDEX(Categories!$C$2:$C$200,MATCH(B633,Categories!$A$2:$A$200,0)),"N")="Y"),D633,0)</f>
        <v/>
      </c>
    </row>
    <row r="634" ht="15" customHeight="1" s="43">
      <c r="A634" s="89" t="n">
        <v>45017</v>
      </c>
      <c r="B634" s="90" t="inlineStr">
        <is>
          <t>Uncategorised</t>
        </is>
      </c>
      <c r="C634" s="90" t="inlineStr">
        <is>
          <t>Actual</t>
        </is>
      </c>
      <c r="D634" s="91" t="n">
        <v>3560</v>
      </c>
      <c r="E634" s="94" t="inlineStr">
        <is>
          <t>Historical monthly total (pre per-category tracking)</t>
        </is>
      </c>
      <c r="F634" s="92">
        <f>IF(AND(C634="One-off",IFERROR(INDEX(Categories!$C$2:$C$200,MATCH(B634,Categories!$A$2:$A$200,0)),"N")="Y"),D634,0)</f>
        <v/>
      </c>
    </row>
    <row r="635" ht="15" customHeight="1" s="43">
      <c r="A635" s="89" t="n">
        <v>45047</v>
      </c>
      <c r="B635" s="90" t="inlineStr">
        <is>
          <t>Interest</t>
        </is>
      </c>
      <c r="C635" s="90" t="inlineStr">
        <is>
          <t>Income</t>
        </is>
      </c>
      <c r="D635" s="91" t="n">
        <v>20</v>
      </c>
      <c r="F635" s="92">
        <f>IF(AND(C635="One-off",IFERROR(INDEX(Categories!$C$2:$C$200,MATCH(B635,Categories!$A$2:$A$200,0)),"N")="Y"),D635,0)</f>
        <v/>
      </c>
    </row>
    <row r="636" ht="15" customHeight="1" s="43">
      <c r="A636" s="89" t="n">
        <v>45047</v>
      </c>
      <c r="B636" s="90" t="inlineStr">
        <is>
          <t>Salary</t>
        </is>
      </c>
      <c r="C636" s="90" t="inlineStr">
        <is>
          <t>Income</t>
        </is>
      </c>
      <c r="D636" s="91" t="n">
        <v>5900</v>
      </c>
      <c r="E636" s="77" t="n"/>
      <c r="F636" s="92">
        <f>IF(AND(C636="One-off",IFERROR(INDEX(Categories!$C$2:$C$200,MATCH(B636,Categories!$A$2:$A$200,0)),"N")="Y"),D636,0)</f>
        <v/>
      </c>
    </row>
    <row r="637" ht="15" customHeight="1" s="43">
      <c r="A637" s="89" t="n">
        <v>45047</v>
      </c>
      <c r="B637" s="90" t="inlineStr">
        <is>
          <t>Uncategorised</t>
        </is>
      </c>
      <c r="C637" s="90" t="inlineStr">
        <is>
          <t>Actual</t>
        </is>
      </c>
      <c r="D637" s="91" t="n">
        <v>3680</v>
      </c>
      <c r="E637" s="94" t="inlineStr">
        <is>
          <t>Historical monthly total (pre per-category tracking)</t>
        </is>
      </c>
      <c r="F637" s="92">
        <f>IF(AND(C637="One-off",IFERROR(INDEX(Categories!$C$2:$C$200,MATCH(B637,Categories!$A$2:$A$200,0)),"N")="Y"),D637,0)</f>
        <v/>
      </c>
    </row>
    <row r="638" ht="15" customHeight="1" s="43">
      <c r="A638" s="89" t="n">
        <v>45078</v>
      </c>
      <c r="B638" s="90" t="inlineStr">
        <is>
          <t>Dividends</t>
        </is>
      </c>
      <c r="C638" s="90" t="inlineStr">
        <is>
          <t>Income</t>
        </is>
      </c>
      <c r="D638" s="91" t="n">
        <v>150</v>
      </c>
      <c r="F638" s="95">
        <f>IF(AND(C638="One-off",IFERROR(INDEX(Categories!$C$2:$C$200,MATCH(B638,Categories!$A$2:$A$200,0)),"N")="Y"),D638,0)</f>
        <v/>
      </c>
    </row>
    <row r="639" ht="15" customHeight="1" s="43">
      <c r="A639" s="89" t="n">
        <v>45078</v>
      </c>
      <c r="B639" s="90" t="inlineStr">
        <is>
          <t>Interest</t>
        </is>
      </c>
      <c r="C639" s="90" t="inlineStr">
        <is>
          <t>Income</t>
        </is>
      </c>
      <c r="D639" s="91" t="n">
        <v>20</v>
      </c>
      <c r="F639" s="92">
        <f>IF(AND(C639="One-off",IFERROR(INDEX(Categories!$C$2:$C$200,MATCH(B639,Categories!$A$2:$A$200,0)),"N")="Y"),D639,0)</f>
        <v/>
      </c>
    </row>
    <row r="640" ht="15" customHeight="1" s="43">
      <c r="A640" s="89" t="n">
        <v>45078</v>
      </c>
      <c r="B640" s="90" t="inlineStr">
        <is>
          <t>Salary</t>
        </is>
      </c>
      <c r="C640" s="90" t="inlineStr">
        <is>
          <t>Income</t>
        </is>
      </c>
      <c r="D640" s="91" t="n">
        <v>5950</v>
      </c>
      <c r="F640" s="92">
        <f>IF(AND(C640="One-off",IFERROR(INDEX(Categories!$C$2:$C$200,MATCH(B640,Categories!$A$2:$A$200,0)),"N")="Y"),D640,0)</f>
        <v/>
      </c>
    </row>
    <row r="641" ht="15" customHeight="1" s="43">
      <c r="A641" s="89" t="n">
        <v>45078</v>
      </c>
      <c r="B641" s="90" t="inlineStr">
        <is>
          <t>Uncategorised</t>
        </is>
      </c>
      <c r="C641" s="90" t="inlineStr">
        <is>
          <t>Actual</t>
        </is>
      </c>
      <c r="D641" s="91" t="n">
        <v>3200</v>
      </c>
      <c r="E641" s="94" t="inlineStr">
        <is>
          <t>Historical monthly total (pre per-category tracking)</t>
        </is>
      </c>
      <c r="F641" s="92">
        <f>IF(AND(C641="One-off",IFERROR(INDEX(Categories!$C$2:$C$200,MATCH(B641,Categories!$A$2:$A$200,0)),"N")="Y"),D641,0)</f>
        <v/>
      </c>
    </row>
    <row r="642" ht="15" customHeight="1" s="43">
      <c r="A642" s="89" t="n">
        <v>45108</v>
      </c>
      <c r="B642" s="90" t="inlineStr">
        <is>
          <t>Interest</t>
        </is>
      </c>
      <c r="C642" s="90" t="inlineStr">
        <is>
          <t>Income</t>
        </is>
      </c>
      <c r="D642" s="91" t="n">
        <v>20</v>
      </c>
      <c r="F642" s="92">
        <f>IF(AND(C642="One-off",IFERROR(INDEX(Categories!$C$2:$C$200,MATCH(B642,Categories!$A$2:$A$200,0)),"N")="Y"),D642,0)</f>
        <v/>
      </c>
    </row>
    <row r="643" ht="15" customHeight="1" s="43">
      <c r="A643" s="89" t="n">
        <v>45108</v>
      </c>
      <c r="B643" s="90" t="inlineStr">
        <is>
          <t>Salary</t>
        </is>
      </c>
      <c r="C643" s="90" t="inlineStr">
        <is>
          <t>Income</t>
        </is>
      </c>
      <c r="D643" s="91" t="n">
        <v>5700</v>
      </c>
      <c r="E643" s="77" t="n"/>
      <c r="F643" s="92">
        <f>IF(AND(C643="One-off",IFERROR(INDEX(Categories!$C$2:$C$200,MATCH(B643,Categories!$A$2:$A$200,0)),"N")="Y"),D643,0)</f>
        <v/>
      </c>
    </row>
    <row r="644" ht="15" customHeight="1" s="43">
      <c r="A644" s="89" t="n">
        <v>45108</v>
      </c>
      <c r="B644" s="90" t="inlineStr">
        <is>
          <t>Uncategorised</t>
        </is>
      </c>
      <c r="C644" s="90" t="inlineStr">
        <is>
          <t>Actual</t>
        </is>
      </c>
      <c r="D644" s="91" t="n">
        <v>3320</v>
      </c>
      <c r="E644" s="94" t="inlineStr">
        <is>
          <t>Historical monthly total (pre per-category tracking)</t>
        </is>
      </c>
      <c r="F644" s="92">
        <f>IF(AND(C644="One-off",IFERROR(INDEX(Categories!$C$2:$C$200,MATCH(B644,Categories!$A$2:$A$200,0)),"N")="Y"),D644,0)</f>
        <v/>
      </c>
    </row>
    <row r="645" ht="15" customHeight="1" s="43">
      <c r="A645" s="89" t="n">
        <v>45139</v>
      </c>
      <c r="B645" s="90" t="inlineStr">
        <is>
          <t>Interest</t>
        </is>
      </c>
      <c r="C645" s="90" t="inlineStr">
        <is>
          <t>Income</t>
        </is>
      </c>
      <c r="D645" s="91" t="n">
        <v>20</v>
      </c>
      <c r="F645" s="92">
        <f>IF(AND(C645="One-off",IFERROR(INDEX(Categories!$C$2:$C$200,MATCH(B645,Categories!$A$2:$A$200,0)),"N")="Y"),D645,0)</f>
        <v/>
      </c>
    </row>
    <row r="646" ht="15" customHeight="1" s="43">
      <c r="A646" s="89" t="n">
        <v>45139</v>
      </c>
      <c r="B646" s="90" t="inlineStr">
        <is>
          <t>Salary</t>
        </is>
      </c>
      <c r="C646" s="90" t="inlineStr">
        <is>
          <t>Income</t>
        </is>
      </c>
      <c r="D646" s="91" t="n">
        <v>5750</v>
      </c>
      <c r="F646" s="92">
        <f>IF(AND(C646="One-off",IFERROR(INDEX(Categories!$C$2:$C$200,MATCH(B646,Categories!$A$2:$A$200,0)),"N")="Y"),D646,0)</f>
        <v/>
      </c>
    </row>
    <row r="647" ht="15" customHeight="1" s="43">
      <c r="A647" s="89" t="n">
        <v>45139</v>
      </c>
      <c r="B647" s="90" t="inlineStr">
        <is>
          <t>Uncategorised</t>
        </is>
      </c>
      <c r="C647" s="90" t="inlineStr">
        <is>
          <t>Actual</t>
        </is>
      </c>
      <c r="D647" s="91" t="n">
        <v>3440</v>
      </c>
      <c r="E647" s="94" t="inlineStr">
        <is>
          <t>Historical monthly total (pre per-category tracking)</t>
        </is>
      </c>
      <c r="F647" s="92">
        <f>IF(AND(C647="One-off",IFERROR(INDEX(Categories!$C$2:$C$200,MATCH(B647,Categories!$A$2:$A$200,0)),"N")="Y"),D647,0)</f>
        <v/>
      </c>
    </row>
    <row r="648" ht="15" customHeight="1" s="43">
      <c r="A648" s="89" t="n">
        <v>45170</v>
      </c>
      <c r="B648" s="90" t="inlineStr">
        <is>
          <t>Dividends</t>
        </is>
      </c>
      <c r="C648" s="90" t="inlineStr">
        <is>
          <t>Income</t>
        </is>
      </c>
      <c r="D648" s="91" t="n">
        <v>150</v>
      </c>
      <c r="E648" s="77" t="n"/>
      <c r="F648" s="92">
        <f>IF(AND(C648="One-off",IFERROR(INDEX(Categories!$C$2:$C$200,MATCH(B648,Categories!$A$2:$A$200,0)),"N")="Y"),D648,0)</f>
        <v/>
      </c>
    </row>
    <row r="649" ht="15" customHeight="1" s="43">
      <c r="A649" s="89" t="n">
        <v>45170</v>
      </c>
      <c r="B649" s="90" t="inlineStr">
        <is>
          <t>Interest</t>
        </is>
      </c>
      <c r="C649" s="90" t="inlineStr">
        <is>
          <t>Income</t>
        </is>
      </c>
      <c r="D649" s="91" t="n">
        <v>20</v>
      </c>
      <c r="F649" s="92">
        <f>IF(AND(C649="One-off",IFERROR(INDEX(Categories!$C$2:$C$200,MATCH(B649,Categories!$A$2:$A$200,0)),"N")="Y"),D649,0)</f>
        <v/>
      </c>
    </row>
    <row r="650" ht="15" customHeight="1" s="43">
      <c r="A650" s="89" t="n">
        <v>45170</v>
      </c>
      <c r="B650" s="90" t="inlineStr">
        <is>
          <t>Salary</t>
        </is>
      </c>
      <c r="C650" s="90" t="inlineStr">
        <is>
          <t>Income</t>
        </is>
      </c>
      <c r="D650" s="91" t="n">
        <v>5800</v>
      </c>
      <c r="F650" s="92">
        <f>IF(AND(C650="One-off",IFERROR(INDEX(Categories!$C$2:$C$200,MATCH(B650,Categories!$A$2:$A$200,0)),"N")="Y"),D650,0)</f>
        <v/>
      </c>
    </row>
    <row r="651" ht="15" customHeight="1" s="43">
      <c r="A651" s="89" t="n">
        <v>45170</v>
      </c>
      <c r="B651" s="90" t="inlineStr">
        <is>
          <t>Uncategorised</t>
        </is>
      </c>
      <c r="C651" s="90" t="inlineStr">
        <is>
          <t>Actual</t>
        </is>
      </c>
      <c r="D651" s="91" t="n">
        <v>3560</v>
      </c>
      <c r="E651" s="94" t="inlineStr">
        <is>
          <t>Historical monthly total (pre per-category tracking)</t>
        </is>
      </c>
      <c r="F651" s="92">
        <f>IF(AND(C651="One-off",IFERROR(INDEX(Categories!$C$2:$C$200,MATCH(B651,Categories!$A$2:$A$200,0)),"N")="Y"),D651,0)</f>
        <v/>
      </c>
    </row>
    <row r="652" ht="15" customHeight="1" s="43">
      <c r="A652" s="89" t="n">
        <v>45200</v>
      </c>
      <c r="B652" s="90" t="inlineStr">
        <is>
          <t>Interest</t>
        </is>
      </c>
      <c r="C652" s="90" t="inlineStr">
        <is>
          <t>Income</t>
        </is>
      </c>
      <c r="D652" s="91" t="n">
        <v>20</v>
      </c>
      <c r="F652" s="92">
        <f>IF(AND(C652="One-off",IFERROR(INDEX(Categories!$C$2:$C$200,MATCH(B652,Categories!$A$2:$A$200,0)),"N")="Y"),D652,0)</f>
        <v/>
      </c>
    </row>
    <row r="653" ht="15" customHeight="1" s="43">
      <c r="A653" s="89" t="n">
        <v>45200</v>
      </c>
      <c r="B653" s="90" t="inlineStr">
        <is>
          <t>Salary</t>
        </is>
      </c>
      <c r="C653" s="90" t="inlineStr">
        <is>
          <t>Income</t>
        </is>
      </c>
      <c r="D653" s="91" t="n">
        <v>5850</v>
      </c>
      <c r="F653" s="92">
        <f>IF(AND(C653="One-off",IFERROR(INDEX(Categories!$C$2:$C$200,MATCH(B653,Categories!$A$2:$A$200,0)),"N")="Y"),D653,0)</f>
        <v/>
      </c>
    </row>
    <row r="654" ht="15" customHeight="1" s="43">
      <c r="A654" s="89" t="n">
        <v>45200</v>
      </c>
      <c r="B654" s="90" t="inlineStr">
        <is>
          <t>Uncategorised</t>
        </is>
      </c>
      <c r="C654" s="90" t="inlineStr">
        <is>
          <t>Actual</t>
        </is>
      </c>
      <c r="D654" s="91" t="n">
        <v>3680</v>
      </c>
      <c r="E654" s="93" t="inlineStr">
        <is>
          <t>Historical monthly total (pre per-category tracking)</t>
        </is>
      </c>
      <c r="F654" s="92">
        <f>IF(AND(C654="One-off",IFERROR(INDEX(Categories!$C$2:$C$200,MATCH(B654,Categories!$A$2:$A$200,0)),"N")="Y"),D654,0)</f>
        <v/>
      </c>
    </row>
    <row r="655" ht="15" customHeight="1" s="43">
      <c r="A655" s="89" t="n">
        <v>45231</v>
      </c>
      <c r="B655" s="90" t="inlineStr">
        <is>
          <t>Interest</t>
        </is>
      </c>
      <c r="C655" s="90" t="inlineStr">
        <is>
          <t>Income</t>
        </is>
      </c>
      <c r="D655" s="91" t="n">
        <v>20</v>
      </c>
      <c r="F655" s="92">
        <f>IF(AND(C655="One-off",IFERROR(INDEX(Categories!$C$2:$C$200,MATCH(B655,Categories!$A$2:$A$200,0)),"N")="Y"),D655,0)</f>
        <v/>
      </c>
    </row>
    <row r="656" ht="15" customHeight="1" s="43">
      <c r="A656" s="89" t="n">
        <v>45231</v>
      </c>
      <c r="B656" s="90" t="inlineStr">
        <is>
          <t>Salary</t>
        </is>
      </c>
      <c r="C656" s="90" t="inlineStr">
        <is>
          <t>Income</t>
        </is>
      </c>
      <c r="D656" s="91" t="n">
        <v>5900</v>
      </c>
      <c r="F656" s="92">
        <f>IF(AND(C656="One-off",IFERROR(INDEX(Categories!$C$2:$C$200,MATCH(B656,Categories!$A$2:$A$200,0)),"N")="Y"),D656,0)</f>
        <v/>
      </c>
    </row>
    <row r="657" ht="15" customHeight="1" s="43">
      <c r="A657" s="89" t="n">
        <v>45231</v>
      </c>
      <c r="B657" s="90" t="inlineStr">
        <is>
          <t>Uncategorised</t>
        </is>
      </c>
      <c r="C657" s="90" t="inlineStr">
        <is>
          <t>Actual</t>
        </is>
      </c>
      <c r="D657" s="91" t="n">
        <v>3200</v>
      </c>
      <c r="E657" s="94" t="inlineStr">
        <is>
          <t>Historical monthly total (pre per-category tracking)</t>
        </is>
      </c>
      <c r="F657" s="92">
        <f>IF(AND(C657="One-off",IFERROR(INDEX(Categories!$C$2:$C$200,MATCH(B657,Categories!$A$2:$A$200,0)),"N")="Y"),D657,0)</f>
        <v/>
      </c>
    </row>
    <row r="658" ht="15" customHeight="1" s="43">
      <c r="A658" s="89" t="n">
        <v>45261</v>
      </c>
      <c r="B658" s="90" t="inlineStr">
        <is>
          <t>Bonus/Claims</t>
        </is>
      </c>
      <c r="C658" s="90" t="inlineStr">
        <is>
          <t>Income</t>
        </is>
      </c>
      <c r="D658" s="91" t="n">
        <v>5950</v>
      </c>
      <c r="E658" s="77" t="n"/>
      <c r="F658" s="92">
        <f>IF(AND(C658="One-off",IFERROR(INDEX(Categories!$C$2:$C$200,MATCH(B658,Categories!$A$2:$A$200,0)),"N")="Y"),D658,0)</f>
        <v/>
      </c>
    </row>
    <row r="659" ht="15" customHeight="1" s="43">
      <c r="A659" s="89" t="n">
        <v>45261</v>
      </c>
      <c r="B659" s="90" t="inlineStr">
        <is>
          <t>Dividends</t>
        </is>
      </c>
      <c r="C659" s="90" t="inlineStr">
        <is>
          <t>Income</t>
        </is>
      </c>
      <c r="D659" s="91" t="n">
        <v>150</v>
      </c>
      <c r="F659" s="92">
        <f>IF(AND(C659="One-off",IFERROR(INDEX(Categories!$C$2:$C$200,MATCH(B659,Categories!$A$2:$A$200,0)),"N")="Y"),D659,0)</f>
        <v/>
      </c>
    </row>
    <row r="660" ht="15" customHeight="1" s="43">
      <c r="A660" s="89" t="n">
        <v>45261</v>
      </c>
      <c r="B660" s="90" t="inlineStr">
        <is>
          <t>Interest</t>
        </is>
      </c>
      <c r="C660" s="90" t="inlineStr">
        <is>
          <t>Income</t>
        </is>
      </c>
      <c r="D660" s="91" t="n">
        <v>20</v>
      </c>
      <c r="F660" s="92">
        <f>IF(AND(C660="One-off",IFERROR(INDEX(Categories!$C$2:$C$200,MATCH(B660,Categories!$A$2:$A$200,0)),"N")="Y"),D660,0)</f>
        <v/>
      </c>
    </row>
    <row r="661" ht="15" customHeight="1" s="43">
      <c r="A661" s="89" t="n">
        <v>45261</v>
      </c>
      <c r="B661" s="90" t="inlineStr">
        <is>
          <t>Salary</t>
        </is>
      </c>
      <c r="C661" s="90" t="inlineStr">
        <is>
          <t>Income</t>
        </is>
      </c>
      <c r="D661" s="91" t="n">
        <v>5950</v>
      </c>
      <c r="F661" s="92">
        <f>IF(AND(C661="One-off",IFERROR(INDEX(Categories!$C$2:$C$200,MATCH(B661,Categories!$A$2:$A$200,0)),"N")="Y"),D661,0)</f>
        <v/>
      </c>
    </row>
    <row r="662" ht="15" customHeight="1" s="43">
      <c r="A662" s="89" t="n">
        <v>45261</v>
      </c>
      <c r="B662" s="90" t="inlineStr">
        <is>
          <t>Uncategorised</t>
        </is>
      </c>
      <c r="C662" s="90" t="inlineStr">
        <is>
          <t>Actual</t>
        </is>
      </c>
      <c r="D662" s="91" t="n">
        <v>3320</v>
      </c>
      <c r="E662" s="94" t="inlineStr">
        <is>
          <t>Historical monthly total (pre per-category tracking)</t>
        </is>
      </c>
      <c r="F662" s="92">
        <f>IF(AND(C662="One-off",IFERROR(INDEX(Categories!$C$2:$C$200,MATCH(B662,Categories!$A$2:$A$200,0)),"N")="Y"),D662,0)</f>
        <v/>
      </c>
    </row>
    <row r="663" ht="15" customHeight="1" s="43">
      <c r="A663" s="89" t="n">
        <v>45292</v>
      </c>
      <c r="B663" s="90" t="inlineStr">
        <is>
          <t>Interest</t>
        </is>
      </c>
      <c r="C663" s="90" t="inlineStr">
        <is>
          <t>Income</t>
        </is>
      </c>
      <c r="D663" s="91" t="n">
        <v>20</v>
      </c>
      <c r="F663" s="92">
        <f>IF(AND(C663="One-off",IFERROR(INDEX(Categories!$C$2:$C$200,MATCH(B663,Categories!$A$2:$A$200,0)),"N")="Y"),D663,0)</f>
        <v/>
      </c>
    </row>
    <row r="664" ht="15" customHeight="1" s="43">
      <c r="A664" s="89" t="n">
        <v>45292</v>
      </c>
      <c r="B664" s="90" t="inlineStr">
        <is>
          <t>Salary</t>
        </is>
      </c>
      <c r="C664" s="90" t="inlineStr">
        <is>
          <t>Income</t>
        </is>
      </c>
      <c r="D664" s="91" t="n">
        <v>5880</v>
      </c>
      <c r="F664" s="92">
        <f>IF(AND(C664="One-off",IFERROR(INDEX(Categories!$C$2:$C$200,MATCH(B664,Categories!$A$2:$A$200,0)),"N")="Y"),D664,0)</f>
        <v/>
      </c>
    </row>
    <row r="665" ht="15" customHeight="1" s="43">
      <c r="A665" s="89" t="n">
        <v>45292</v>
      </c>
      <c r="B665" s="90" t="inlineStr">
        <is>
          <t>Uncategorised</t>
        </is>
      </c>
      <c r="C665" s="90" t="inlineStr">
        <is>
          <t>Actual</t>
        </is>
      </c>
      <c r="D665" s="91" t="n">
        <v>3520</v>
      </c>
      <c r="E665" s="93" t="inlineStr">
        <is>
          <t>Historical monthly total (pre per-category tracking)</t>
        </is>
      </c>
      <c r="F665" s="92">
        <f>IF(AND(C665="One-off",IFERROR(INDEX(Categories!$C$2:$C$200,MATCH(B665,Categories!$A$2:$A$200,0)),"N")="Y"),D665,0)</f>
        <v/>
      </c>
    </row>
    <row r="666" ht="15" customHeight="1" s="43">
      <c r="A666" s="89" t="n">
        <v>45323</v>
      </c>
      <c r="B666" s="90" t="inlineStr">
        <is>
          <t>Interest</t>
        </is>
      </c>
      <c r="C666" s="90" t="inlineStr">
        <is>
          <t>Income</t>
        </is>
      </c>
      <c r="D666" s="91" t="n">
        <v>20</v>
      </c>
      <c r="F666" s="92">
        <f>IF(AND(C666="One-off",IFERROR(INDEX(Categories!$C$2:$C$200,MATCH(B666,Categories!$A$2:$A$200,0)),"N")="Y"),D666,0)</f>
        <v/>
      </c>
    </row>
    <row r="667" ht="15" customHeight="1" s="43">
      <c r="A667" s="89" t="n">
        <v>45323</v>
      </c>
      <c r="B667" s="90" t="inlineStr">
        <is>
          <t>Salary</t>
        </is>
      </c>
      <c r="C667" s="90" t="inlineStr">
        <is>
          <t>Income</t>
        </is>
      </c>
      <c r="D667" s="91" t="n">
        <v>5930</v>
      </c>
      <c r="F667" s="92">
        <f>IF(AND(C667="One-off",IFERROR(INDEX(Categories!$C$2:$C$200,MATCH(B667,Categories!$A$2:$A$200,0)),"N")="Y"),D667,0)</f>
        <v/>
      </c>
    </row>
    <row r="668" ht="15" customHeight="1" s="43">
      <c r="A668" s="89" t="n">
        <v>45323</v>
      </c>
      <c r="B668" s="90" t="inlineStr">
        <is>
          <t>Uncategorised</t>
        </is>
      </c>
      <c r="C668" s="90" t="inlineStr">
        <is>
          <t>Actual</t>
        </is>
      </c>
      <c r="D668" s="91" t="n">
        <v>3640</v>
      </c>
      <c r="E668" s="94" t="inlineStr">
        <is>
          <t>Historical monthly total (pre per-category tracking)</t>
        </is>
      </c>
      <c r="F668" s="92">
        <f>IF(AND(C668="One-off",IFERROR(INDEX(Categories!$C$2:$C$200,MATCH(B668,Categories!$A$2:$A$200,0)),"N")="Y"),D668,0)</f>
        <v/>
      </c>
    </row>
    <row r="669" ht="15" customHeight="1" s="43">
      <c r="A669" s="89" t="n">
        <v>45352</v>
      </c>
      <c r="B669" s="90" t="inlineStr">
        <is>
          <t>Dividends</t>
        </is>
      </c>
      <c r="C669" s="90" t="inlineStr">
        <is>
          <t>Income</t>
        </is>
      </c>
      <c r="D669" s="91" t="n">
        <v>150</v>
      </c>
      <c r="E669" s="77" t="n"/>
      <c r="F669" s="92">
        <f>IF(AND(C669="One-off",IFERROR(INDEX(Categories!$C$2:$C$200,MATCH(B669,Categories!$A$2:$A$200,0)),"N")="Y"),D669,0)</f>
        <v/>
      </c>
    </row>
    <row r="670" ht="15" customHeight="1" s="43">
      <c r="A670" s="89" t="n">
        <v>45352</v>
      </c>
      <c r="B670" s="90" t="inlineStr">
        <is>
          <t>Interest</t>
        </is>
      </c>
      <c r="C670" s="90" t="inlineStr">
        <is>
          <t>Income</t>
        </is>
      </c>
      <c r="D670" s="91" t="n">
        <v>20</v>
      </c>
      <c r="F670" s="92">
        <f>IF(AND(C670="One-off",IFERROR(INDEX(Categories!$C$2:$C$200,MATCH(B670,Categories!$A$2:$A$200,0)),"N")="Y"),D670,0)</f>
        <v/>
      </c>
    </row>
    <row r="671" ht="15" customHeight="1" s="43">
      <c r="A671" s="89" t="n">
        <v>45352</v>
      </c>
      <c r="B671" s="90" t="inlineStr">
        <is>
          <t>Salary</t>
        </is>
      </c>
      <c r="C671" s="90" t="inlineStr">
        <is>
          <t>Income</t>
        </is>
      </c>
      <c r="D671" s="91" t="n">
        <v>5980</v>
      </c>
      <c r="F671" s="92">
        <f>IF(AND(C671="One-off",IFERROR(INDEX(Categories!$C$2:$C$200,MATCH(B671,Categories!$A$2:$A$200,0)),"N")="Y"),D671,0)</f>
        <v/>
      </c>
    </row>
    <row r="672" ht="15" customHeight="1" s="43">
      <c r="A672" s="89" t="n">
        <v>45352</v>
      </c>
      <c r="B672" s="90" t="inlineStr">
        <is>
          <t>Uncategorised</t>
        </is>
      </c>
      <c r="C672" s="90" t="inlineStr">
        <is>
          <t>Actual</t>
        </is>
      </c>
      <c r="D672" s="91" t="n">
        <v>3760</v>
      </c>
      <c r="E672" s="94" t="inlineStr">
        <is>
          <t>Historical monthly total (pre per-category tracking)</t>
        </is>
      </c>
      <c r="F672" s="92">
        <f>IF(AND(C672="One-off",IFERROR(INDEX(Categories!$C$2:$C$200,MATCH(B672,Categories!$A$2:$A$200,0)),"N")="Y"),D672,0)</f>
        <v/>
      </c>
    </row>
    <row r="673" ht="15" customHeight="1" s="43">
      <c r="A673" s="89" t="n">
        <v>45352</v>
      </c>
      <c r="B673" s="90" t="inlineStr">
        <is>
          <t>Investment</t>
        </is>
      </c>
      <c r="C673" s="90" t="inlineStr">
        <is>
          <t>One-off</t>
        </is>
      </c>
      <c r="D673" s="91" t="n">
        <v>5000</v>
      </c>
      <c r="E673" s="94" t="inlineStr">
        <is>
          <t>Sample: index-fund top-up</t>
        </is>
      </c>
      <c r="F673" s="92">
        <f>IF(AND(C673="One-off",IFERROR(INDEX(Categories!$C$2:$C$200,MATCH(B673,Categories!$A$2:$A$200,0)),"N")="Y"),D673,0)</f>
        <v/>
      </c>
    </row>
    <row r="674" ht="15" customHeight="1" s="43">
      <c r="A674" s="89" t="n">
        <v>45383</v>
      </c>
      <c r="B674" s="90" t="inlineStr">
        <is>
          <t>Interest</t>
        </is>
      </c>
      <c r="C674" s="90" t="inlineStr">
        <is>
          <t>Income</t>
        </is>
      </c>
      <c r="D674" s="91" t="n">
        <v>20</v>
      </c>
      <c r="E674" s="77" t="n"/>
      <c r="F674" s="92">
        <f>IF(AND(C674="One-off",IFERROR(INDEX(Categories!$C$2:$C$200,MATCH(B674,Categories!$A$2:$A$200,0)),"N")="Y"),D674,0)</f>
        <v/>
      </c>
    </row>
    <row r="675" ht="15" customHeight="1" s="43">
      <c r="A675" s="89" t="n">
        <v>45383</v>
      </c>
      <c r="B675" s="90" t="inlineStr">
        <is>
          <t>Salary</t>
        </is>
      </c>
      <c r="C675" s="90" t="inlineStr">
        <is>
          <t>Income</t>
        </is>
      </c>
      <c r="D675" s="91" t="n">
        <v>6030</v>
      </c>
      <c r="F675" s="92">
        <f>IF(AND(C675="One-off",IFERROR(INDEX(Categories!$C$2:$C$200,MATCH(B675,Categories!$A$2:$A$200,0)),"N")="Y"),D675,0)</f>
        <v/>
      </c>
    </row>
    <row r="676" ht="15" customHeight="1" s="43">
      <c r="A676" s="89" t="n">
        <v>45383</v>
      </c>
      <c r="B676" s="90" t="inlineStr">
        <is>
          <t>Uncategorised</t>
        </is>
      </c>
      <c r="C676" s="90" t="inlineStr">
        <is>
          <t>Actual</t>
        </is>
      </c>
      <c r="D676" s="91" t="n">
        <v>3280</v>
      </c>
      <c r="E676" s="94" t="inlineStr">
        <is>
          <t>Historical monthly total (pre per-category tracking)</t>
        </is>
      </c>
      <c r="F676" s="92">
        <f>IF(AND(C676="One-off",IFERROR(INDEX(Categories!$C$2:$C$200,MATCH(B676,Categories!$A$2:$A$200,0)),"N")="Y"),D676,0)</f>
        <v/>
      </c>
    </row>
    <row r="677" ht="15" customHeight="1" s="43">
      <c r="A677" s="89" t="n">
        <v>45413</v>
      </c>
      <c r="B677" s="90" t="inlineStr">
        <is>
          <t>Interest</t>
        </is>
      </c>
      <c r="C677" s="90" t="inlineStr">
        <is>
          <t>Income</t>
        </is>
      </c>
      <c r="D677" s="91" t="n">
        <v>20</v>
      </c>
      <c r="E677" s="77" t="n"/>
      <c r="F677" s="92">
        <f>IF(AND(C677="One-off",IFERROR(INDEX(Categories!$C$2:$C$200,MATCH(B677,Categories!$A$2:$A$200,0)),"N")="Y"),D677,0)</f>
        <v/>
      </c>
    </row>
    <row r="678" ht="15" customHeight="1" s="43">
      <c r="A678" s="89" t="n">
        <v>45413</v>
      </c>
      <c r="B678" s="90" t="inlineStr">
        <is>
          <t>Salary</t>
        </is>
      </c>
      <c r="C678" s="90" t="inlineStr">
        <is>
          <t>Income</t>
        </is>
      </c>
      <c r="D678" s="91" t="n">
        <v>6080</v>
      </c>
      <c r="F678" s="92">
        <f>IF(AND(C678="One-off",IFERROR(INDEX(Categories!$C$2:$C$200,MATCH(B678,Categories!$A$2:$A$200,0)),"N")="Y"),D678,0)</f>
        <v/>
      </c>
    </row>
    <row r="679" ht="15" customHeight="1" s="43">
      <c r="A679" s="89" t="n">
        <v>45413</v>
      </c>
      <c r="B679" s="90" t="inlineStr">
        <is>
          <t>Uncategorised</t>
        </is>
      </c>
      <c r="C679" s="90" t="inlineStr">
        <is>
          <t>Actual</t>
        </is>
      </c>
      <c r="D679" s="91" t="n">
        <v>3400</v>
      </c>
      <c r="E679" s="94" t="inlineStr">
        <is>
          <t>Historical monthly total (pre per-category tracking)</t>
        </is>
      </c>
      <c r="F679" s="92">
        <f>IF(AND(C679="One-off",IFERROR(INDEX(Categories!$C$2:$C$200,MATCH(B679,Categories!$A$2:$A$200,0)),"N")="Y"),D679,0)</f>
        <v/>
      </c>
    </row>
    <row r="680" ht="15" customHeight="1" s="43">
      <c r="A680" s="89" t="n">
        <v>45444</v>
      </c>
      <c r="B680" s="90" t="inlineStr">
        <is>
          <t>Dividends</t>
        </is>
      </c>
      <c r="C680" s="90" t="inlineStr">
        <is>
          <t>Income</t>
        </is>
      </c>
      <c r="D680" s="91" t="n">
        <v>150</v>
      </c>
      <c r="F680" s="92">
        <f>IF(AND(C680="One-off",IFERROR(INDEX(Categories!$C$2:$C$200,MATCH(B680,Categories!$A$2:$A$200,0)),"N")="Y"),D680,0)</f>
        <v/>
      </c>
    </row>
    <row r="681" ht="15" customHeight="1" s="43">
      <c r="A681" s="89" t="n">
        <v>45444</v>
      </c>
      <c r="B681" s="90" t="inlineStr">
        <is>
          <t>Interest</t>
        </is>
      </c>
      <c r="C681" s="90" t="inlineStr">
        <is>
          <t>Income</t>
        </is>
      </c>
      <c r="D681" s="91" t="n">
        <v>20</v>
      </c>
      <c r="F681" s="92">
        <f>IF(AND(C681="One-off",IFERROR(INDEX(Categories!$C$2:$C$200,MATCH(B681,Categories!$A$2:$A$200,0)),"N")="Y"),D681,0)</f>
        <v/>
      </c>
    </row>
    <row r="682" ht="15" customHeight="1" s="43">
      <c r="A682" s="89" t="n">
        <v>45444</v>
      </c>
      <c r="B682" s="90" t="inlineStr">
        <is>
          <t>Salary</t>
        </is>
      </c>
      <c r="C682" s="90" t="inlineStr">
        <is>
          <t>Income</t>
        </is>
      </c>
      <c r="D682" s="91" t="n">
        <v>6130</v>
      </c>
      <c r="F682" s="92">
        <f>IF(AND(C682="One-off",IFERROR(INDEX(Categories!$C$2:$C$200,MATCH(B682,Categories!$A$2:$A$200,0)),"N")="Y"),D682,0)</f>
        <v/>
      </c>
    </row>
    <row r="683" ht="15" customHeight="1" s="43">
      <c r="A683" s="89" t="n">
        <v>45444</v>
      </c>
      <c r="B683" s="90" t="inlineStr">
        <is>
          <t>Uncategorised</t>
        </is>
      </c>
      <c r="C683" s="90" t="inlineStr">
        <is>
          <t>Actual</t>
        </is>
      </c>
      <c r="D683" s="91" t="n">
        <v>3520</v>
      </c>
      <c r="E683" s="94" t="inlineStr">
        <is>
          <t>Historical monthly total (pre per-category tracking)</t>
        </is>
      </c>
      <c r="F683" s="92">
        <f>IF(AND(C683="One-off",IFERROR(INDEX(Categories!$C$2:$C$200,MATCH(B683,Categories!$A$2:$A$200,0)),"N")="Y"),D683,0)</f>
        <v/>
      </c>
    </row>
    <row r="684" ht="15" customHeight="1" s="43">
      <c r="A684" s="89" t="n">
        <v>45474</v>
      </c>
      <c r="B684" s="90" t="inlineStr">
        <is>
          <t>Interest</t>
        </is>
      </c>
      <c r="C684" s="90" t="inlineStr">
        <is>
          <t>Income</t>
        </is>
      </c>
      <c r="D684" s="91" t="n">
        <v>20</v>
      </c>
      <c r="E684" s="77" t="n"/>
      <c r="F684" s="92">
        <f>IF(AND(C684="One-off",IFERROR(INDEX(Categories!$C$2:$C$200,MATCH(B684,Categories!$A$2:$A$200,0)),"N")="Y"),D684,0)</f>
        <v/>
      </c>
    </row>
    <row r="685" ht="15" customHeight="1" s="43">
      <c r="A685" s="89" t="n">
        <v>45474</v>
      </c>
      <c r="B685" s="90" t="inlineStr">
        <is>
          <t>Salary</t>
        </is>
      </c>
      <c r="C685" s="90" t="inlineStr">
        <is>
          <t>Income</t>
        </is>
      </c>
      <c r="D685" s="91" t="n">
        <v>5880</v>
      </c>
      <c r="F685" s="92">
        <f>IF(AND(C685="One-off",IFERROR(INDEX(Categories!$C$2:$C$200,MATCH(B685,Categories!$A$2:$A$200,0)),"N")="Y"),D685,0)</f>
        <v/>
      </c>
    </row>
    <row r="686" ht="15" customHeight="1" s="43">
      <c r="A686" s="89" t="n">
        <v>45474</v>
      </c>
      <c r="B686" s="90" t="inlineStr">
        <is>
          <t>Uncategorised</t>
        </is>
      </c>
      <c r="C686" s="90" t="inlineStr">
        <is>
          <t>Actual</t>
        </is>
      </c>
      <c r="D686" s="91" t="n">
        <v>3640</v>
      </c>
      <c r="E686" s="94" t="inlineStr">
        <is>
          <t>Historical monthly total (pre per-category tracking)</t>
        </is>
      </c>
      <c r="F686" s="92">
        <f>IF(AND(C686="One-off",IFERROR(INDEX(Categories!$C$2:$C$200,MATCH(B686,Categories!$A$2:$A$200,0)),"N")="Y"),D686,0)</f>
        <v/>
      </c>
    </row>
    <row r="687" ht="15" customHeight="1" s="43">
      <c r="A687" s="89" t="n">
        <v>45505</v>
      </c>
      <c r="B687" s="90" t="inlineStr">
        <is>
          <t>Interest</t>
        </is>
      </c>
      <c r="C687" s="90" t="inlineStr">
        <is>
          <t>Income</t>
        </is>
      </c>
      <c r="D687" s="91" t="n">
        <v>20</v>
      </c>
      <c r="E687" s="77" t="n"/>
      <c r="F687" s="92">
        <f>IF(AND(C687="One-off",IFERROR(INDEX(Categories!$C$2:$C$200,MATCH(B687,Categories!$A$2:$A$200,0)),"N")="Y"),D687,0)</f>
        <v/>
      </c>
    </row>
    <row r="688" ht="15" customHeight="1" s="43">
      <c r="A688" s="89" t="n">
        <v>45505</v>
      </c>
      <c r="B688" s="90" t="inlineStr">
        <is>
          <t>Salary</t>
        </is>
      </c>
      <c r="C688" s="90" t="inlineStr">
        <is>
          <t>Income</t>
        </is>
      </c>
      <c r="D688" s="91" t="n">
        <v>5930</v>
      </c>
      <c r="F688" s="92">
        <f>IF(AND(C688="One-off",IFERROR(INDEX(Categories!$C$2:$C$200,MATCH(B688,Categories!$A$2:$A$200,0)),"N")="Y"),D688,0)</f>
        <v/>
      </c>
    </row>
    <row r="689" ht="15" customHeight="1" s="43">
      <c r="A689" s="89" t="n">
        <v>45505</v>
      </c>
      <c r="B689" s="90" t="inlineStr">
        <is>
          <t>Uncategorised</t>
        </is>
      </c>
      <c r="C689" s="90" t="inlineStr">
        <is>
          <t>Actual</t>
        </is>
      </c>
      <c r="D689" s="91" t="n">
        <v>3760</v>
      </c>
      <c r="E689" s="94" t="inlineStr">
        <is>
          <t>Historical monthly total (pre per-category tracking)</t>
        </is>
      </c>
      <c r="F689" s="92">
        <f>IF(AND(C689="One-off",IFERROR(INDEX(Categories!$C$2:$C$200,MATCH(B689,Categories!$A$2:$A$200,0)),"N")="Y"),D689,0)</f>
        <v/>
      </c>
    </row>
    <row r="690" ht="15" customHeight="1" s="43">
      <c r="A690" s="89" t="n">
        <v>45536</v>
      </c>
      <c r="B690" s="90" t="inlineStr">
        <is>
          <t>Dividends</t>
        </is>
      </c>
      <c r="C690" s="90" t="inlineStr">
        <is>
          <t>Income</t>
        </is>
      </c>
      <c r="D690" s="91" t="n">
        <v>150</v>
      </c>
      <c r="F690" s="92">
        <f>IF(AND(C690="One-off",IFERROR(INDEX(Categories!$C$2:$C$200,MATCH(B690,Categories!$A$2:$A$200,0)),"N")="Y"),D690,0)</f>
        <v/>
      </c>
    </row>
    <row r="691" ht="15" customHeight="1" s="43">
      <c r="A691" s="89" t="n">
        <v>45536</v>
      </c>
      <c r="B691" s="90" t="inlineStr">
        <is>
          <t>Interest</t>
        </is>
      </c>
      <c r="C691" s="90" t="inlineStr">
        <is>
          <t>Income</t>
        </is>
      </c>
      <c r="D691" s="91" t="n">
        <v>20</v>
      </c>
      <c r="E691" s="77" t="n"/>
      <c r="F691" s="92">
        <f>IF(AND(C691="One-off",IFERROR(INDEX(Categories!$C$2:$C$200,MATCH(B691,Categories!$A$2:$A$200,0)),"N")="Y"),D691,0)</f>
        <v/>
      </c>
    </row>
    <row r="692" ht="15" customHeight="1" s="43">
      <c r="A692" s="89" t="n">
        <v>45536</v>
      </c>
      <c r="B692" s="90" t="inlineStr">
        <is>
          <t>Salary</t>
        </is>
      </c>
      <c r="C692" s="90" t="inlineStr">
        <is>
          <t>Income</t>
        </is>
      </c>
      <c r="D692" s="91" t="n">
        <v>5980</v>
      </c>
      <c r="F692" s="95">
        <f>IF(AND(C692="One-off",IFERROR(INDEX(Categories!$C$2:$C$200,MATCH(B692,Categories!$A$2:$A$200,0)),"N")="Y"),D692,0)</f>
        <v/>
      </c>
    </row>
    <row r="693" ht="15" customHeight="1" s="43">
      <c r="A693" s="89" t="n">
        <v>45536</v>
      </c>
      <c r="B693" s="90" t="inlineStr">
        <is>
          <t>Uncategorised</t>
        </is>
      </c>
      <c r="C693" s="90" t="inlineStr">
        <is>
          <t>Actual</t>
        </is>
      </c>
      <c r="D693" s="91" t="n">
        <v>3280</v>
      </c>
      <c r="E693" s="94" t="inlineStr">
        <is>
          <t>Historical monthly total (pre per-category tracking)</t>
        </is>
      </c>
      <c r="F693" s="92">
        <f>IF(AND(C693="One-off",IFERROR(INDEX(Categories!$C$2:$C$200,MATCH(B693,Categories!$A$2:$A$200,0)),"N")="Y"),D693,0)</f>
        <v/>
      </c>
    </row>
    <row r="694" ht="15" customHeight="1" s="43">
      <c r="A694" s="89" t="n">
        <v>45566</v>
      </c>
      <c r="B694" s="90" t="inlineStr">
        <is>
          <t>Interest</t>
        </is>
      </c>
      <c r="C694" s="90" t="inlineStr">
        <is>
          <t>Income</t>
        </is>
      </c>
      <c r="D694" s="91" t="n">
        <v>20</v>
      </c>
      <c r="F694" s="92">
        <f>IF(AND(C694="One-off",IFERROR(INDEX(Categories!$C$2:$C$200,MATCH(B694,Categories!$A$2:$A$200,0)),"N")="Y"),D694,0)</f>
        <v/>
      </c>
    </row>
    <row r="695" ht="15" customHeight="1" s="43">
      <c r="A695" s="89" t="n">
        <v>45566</v>
      </c>
      <c r="B695" s="90" t="inlineStr">
        <is>
          <t>Salary</t>
        </is>
      </c>
      <c r="C695" s="90" t="inlineStr">
        <is>
          <t>Income</t>
        </is>
      </c>
      <c r="D695" s="91" t="n">
        <v>6030</v>
      </c>
      <c r="F695" s="92">
        <f>IF(AND(C695="One-off",IFERROR(INDEX(Categories!$C$2:$C$200,MATCH(B695,Categories!$A$2:$A$200,0)),"N")="Y"),D695,0)</f>
        <v/>
      </c>
    </row>
    <row r="696" ht="15" customHeight="1" s="43">
      <c r="A696" s="89" t="n">
        <v>45566</v>
      </c>
      <c r="B696" s="90" t="inlineStr">
        <is>
          <t>Uncategorised</t>
        </is>
      </c>
      <c r="C696" s="90" t="inlineStr">
        <is>
          <t>Actual</t>
        </is>
      </c>
      <c r="D696" s="91" t="n">
        <v>3400</v>
      </c>
      <c r="E696" s="93" t="inlineStr">
        <is>
          <t>Historical monthly total (pre per-category tracking)</t>
        </is>
      </c>
      <c r="F696" s="92">
        <f>IF(AND(C696="One-off",IFERROR(INDEX(Categories!$C$2:$C$200,MATCH(B696,Categories!$A$2:$A$200,0)),"N")="Y"),D696,0)</f>
        <v/>
      </c>
    </row>
    <row r="697" ht="15" customHeight="1" s="43">
      <c r="A697" s="89" t="n">
        <v>45597</v>
      </c>
      <c r="B697" s="90" t="inlineStr">
        <is>
          <t>Interest</t>
        </is>
      </c>
      <c r="C697" s="90" t="inlineStr">
        <is>
          <t>Income</t>
        </is>
      </c>
      <c r="D697" s="91" t="n">
        <v>20</v>
      </c>
      <c r="F697" s="92">
        <f>IF(AND(C697="One-off",IFERROR(INDEX(Categories!$C$2:$C$200,MATCH(B697,Categories!$A$2:$A$200,0)),"N")="Y"),D697,0)</f>
        <v/>
      </c>
    </row>
    <row r="698" ht="15" customHeight="1" s="43">
      <c r="A698" s="89" t="n">
        <v>45597</v>
      </c>
      <c r="B698" s="90" t="inlineStr">
        <is>
          <t>Salary</t>
        </is>
      </c>
      <c r="C698" s="90" t="inlineStr">
        <is>
          <t>Income</t>
        </is>
      </c>
      <c r="D698" s="91" t="n">
        <v>6080</v>
      </c>
      <c r="F698" s="92">
        <f>IF(AND(C698="One-off",IFERROR(INDEX(Categories!$C$2:$C$200,MATCH(B698,Categories!$A$2:$A$200,0)),"N")="Y"),D698,0)</f>
        <v/>
      </c>
    </row>
    <row r="699" ht="15" customHeight="1" s="43">
      <c r="A699" s="89" t="n">
        <v>45597</v>
      </c>
      <c r="B699" s="90" t="inlineStr">
        <is>
          <t>Uncategorised</t>
        </is>
      </c>
      <c r="C699" s="90" t="inlineStr">
        <is>
          <t>Actual</t>
        </is>
      </c>
      <c r="D699" s="91" t="n">
        <v>3520</v>
      </c>
      <c r="E699" s="94" t="inlineStr">
        <is>
          <t>Historical monthly total (pre per-category tracking)</t>
        </is>
      </c>
      <c r="F699" s="92">
        <f>IF(AND(C699="One-off",IFERROR(INDEX(Categories!$C$2:$C$200,MATCH(B699,Categories!$A$2:$A$200,0)),"N")="Y"),D699,0)</f>
        <v/>
      </c>
    </row>
    <row r="700" ht="15" customHeight="1" s="43">
      <c r="A700" s="89" t="n">
        <v>45627</v>
      </c>
      <c r="B700" s="90" t="inlineStr">
        <is>
          <t>Bonus/Claims</t>
        </is>
      </c>
      <c r="C700" s="90" t="inlineStr">
        <is>
          <t>Income</t>
        </is>
      </c>
      <c r="D700" s="91" t="n">
        <v>6130</v>
      </c>
      <c r="F700" s="92">
        <f>IF(AND(C700="One-off",IFERROR(INDEX(Categories!$C$2:$C$200,MATCH(B700,Categories!$A$2:$A$200,0)),"N")="Y"),D700,0)</f>
        <v/>
      </c>
    </row>
    <row r="701" ht="15" customHeight="1" s="43">
      <c r="A701" s="89" t="n">
        <v>45627</v>
      </c>
      <c r="B701" s="90" t="inlineStr">
        <is>
          <t>Dividends</t>
        </is>
      </c>
      <c r="C701" s="90" t="inlineStr">
        <is>
          <t>Income</t>
        </is>
      </c>
      <c r="D701" s="91" t="n">
        <v>150</v>
      </c>
      <c r="E701" s="77" t="n"/>
      <c r="F701" s="92">
        <f>IF(AND(C701="One-off",IFERROR(INDEX(Categories!$C$2:$C$200,MATCH(B701,Categories!$A$2:$A$200,0)),"N")="Y"),D701,0)</f>
        <v/>
      </c>
    </row>
    <row r="702" ht="15" customHeight="1" s="43">
      <c r="A702" s="89" t="n">
        <v>45627</v>
      </c>
      <c r="B702" s="90" t="inlineStr">
        <is>
          <t>Interest</t>
        </is>
      </c>
      <c r="C702" s="90" t="inlineStr">
        <is>
          <t>Income</t>
        </is>
      </c>
      <c r="D702" s="91" t="n">
        <v>20</v>
      </c>
      <c r="F702" s="92">
        <f>IF(AND(C702="One-off",IFERROR(INDEX(Categories!$C$2:$C$200,MATCH(B702,Categories!$A$2:$A$200,0)),"N")="Y"),D702,0)</f>
        <v/>
      </c>
    </row>
    <row r="703" ht="15" customHeight="1" s="43">
      <c r="A703" s="89" t="n">
        <v>45627</v>
      </c>
      <c r="B703" s="90" t="inlineStr">
        <is>
          <t>Salary</t>
        </is>
      </c>
      <c r="C703" s="90" t="inlineStr">
        <is>
          <t>Income</t>
        </is>
      </c>
      <c r="D703" s="91" t="n">
        <v>6130</v>
      </c>
      <c r="F703" s="92">
        <f>IF(AND(C703="One-off",IFERROR(INDEX(Categories!$C$2:$C$200,MATCH(B703,Categories!$A$2:$A$200,0)),"N")="Y"),D703,0)</f>
        <v/>
      </c>
    </row>
    <row r="704" ht="15" customHeight="1" s="43">
      <c r="A704" s="89" t="n">
        <v>45627</v>
      </c>
      <c r="B704" s="90" t="inlineStr">
        <is>
          <t>Uncategorised</t>
        </is>
      </c>
      <c r="C704" s="90" t="inlineStr">
        <is>
          <t>Actual</t>
        </is>
      </c>
      <c r="D704" s="91" t="n">
        <v>3640</v>
      </c>
      <c r="E704" s="94" t="inlineStr">
        <is>
          <t>Historical monthly total (pre per-category tracking)</t>
        </is>
      </c>
      <c r="F704" s="92">
        <f>IF(AND(C704="One-off",IFERROR(INDEX(Categories!$C$2:$C$200,MATCH(B704,Categories!$A$2:$A$200,0)),"N")="Y"),D704,0)</f>
        <v/>
      </c>
    </row>
    <row r="705" ht="15" customHeight="1" s="43">
      <c r="A705" s="89" t="n">
        <v>45658</v>
      </c>
      <c r="B705" s="90" t="inlineStr">
        <is>
          <t>Interest</t>
        </is>
      </c>
      <c r="C705" s="90" t="inlineStr">
        <is>
          <t>Income</t>
        </is>
      </c>
      <c r="D705" s="91" t="n">
        <v>20</v>
      </c>
      <c r="E705" s="77" t="n"/>
      <c r="F705" s="92">
        <f>IF(AND(C705="One-off",IFERROR(INDEX(Categories!$C$2:$C$200,MATCH(B705,Categories!$A$2:$A$200,0)),"N")="Y"),D705,0)</f>
        <v/>
      </c>
    </row>
    <row r="706" ht="15" customHeight="1" s="43">
      <c r="A706" s="89" t="n">
        <v>45658</v>
      </c>
      <c r="B706" s="90" t="inlineStr">
        <is>
          <t>Salary</t>
        </is>
      </c>
      <c r="C706" s="90" t="inlineStr">
        <is>
          <t>Income</t>
        </is>
      </c>
      <c r="D706" s="91" t="n">
        <v>6060</v>
      </c>
      <c r="F706" s="92">
        <f>IF(AND(C706="One-off",IFERROR(INDEX(Categories!$C$2:$C$200,MATCH(B706,Categories!$A$2:$A$200,0)),"N")="Y"),D706,0)</f>
        <v/>
      </c>
    </row>
    <row r="707" ht="15" customHeight="1" s="43">
      <c r="A707" s="89" t="n">
        <v>45658</v>
      </c>
      <c r="B707" s="90" t="inlineStr">
        <is>
          <t>Bills</t>
        </is>
      </c>
      <c r="C707" s="90" t="inlineStr">
        <is>
          <t>Actual</t>
        </is>
      </c>
      <c r="D707" s="91" t="n">
        <v>200</v>
      </c>
      <c r="F707" s="92">
        <f>IF(AND(C707="One-off",IFERROR(INDEX(Categories!$C$2:$C$200,MATCH(B707,Categories!$A$2:$A$200,0)),"N")="Y"),D707,0)</f>
        <v/>
      </c>
    </row>
    <row r="708" ht="15" customHeight="1" s="43">
      <c r="A708" s="89" t="n">
        <v>45658</v>
      </c>
      <c r="B708" s="90" t="inlineStr">
        <is>
          <t>Daily Food</t>
        </is>
      </c>
      <c r="C708" s="90" t="inlineStr">
        <is>
          <t>Actual</t>
        </is>
      </c>
      <c r="D708" s="91" t="n">
        <v>600</v>
      </c>
      <c r="F708" s="92">
        <f>IF(AND(C708="One-off",IFERROR(INDEX(Categories!$C$2:$C$200,MATCH(B708,Categories!$A$2:$A$200,0)),"N")="Y"),D708,0)</f>
        <v/>
      </c>
    </row>
    <row r="709" ht="15" customHeight="1" s="43">
      <c r="A709" s="89" t="n">
        <v>45658</v>
      </c>
      <c r="B709" s="90" t="inlineStr">
        <is>
          <t>Donation</t>
        </is>
      </c>
      <c r="C709" s="90" t="inlineStr">
        <is>
          <t>Actual</t>
        </is>
      </c>
      <c r="D709" s="91" t="n">
        <v>50</v>
      </c>
      <c r="F709" s="92">
        <f>IF(AND(C709="One-off",IFERROR(INDEX(Categories!$C$2:$C$200,MATCH(B709,Categories!$A$2:$A$200,0)),"N")="Y"),D709,0)</f>
        <v/>
      </c>
    </row>
    <row r="710" ht="15" customHeight="1" s="43">
      <c r="A710" s="89" t="n">
        <v>45658</v>
      </c>
      <c r="B710" s="90" t="inlineStr">
        <is>
          <t>Groceries</t>
        </is>
      </c>
      <c r="C710" s="90" t="inlineStr">
        <is>
          <t>Actual</t>
        </is>
      </c>
      <c r="D710" s="91" t="n">
        <v>500</v>
      </c>
      <c r="F710" s="92">
        <f>IF(AND(C710="One-off",IFERROR(INDEX(Categories!$C$2:$C$200,MATCH(B710,Categories!$A$2:$A$200,0)),"N")="Y"),D710,0)</f>
        <v/>
      </c>
    </row>
    <row r="711" ht="15" customHeight="1" s="43">
      <c r="A711" s="89" t="n">
        <v>45658</v>
      </c>
      <c r="B711" s="90" t="inlineStr">
        <is>
          <t>Household</t>
        </is>
      </c>
      <c r="C711" s="90" t="inlineStr">
        <is>
          <t>Actual</t>
        </is>
      </c>
      <c r="D711" s="91" t="n">
        <v>300</v>
      </c>
      <c r="E711" s="77" t="n"/>
      <c r="F711" s="92">
        <f>IF(AND(C711="One-off",IFERROR(INDEX(Categories!$C$2:$C$200,MATCH(B711,Categories!$A$2:$A$200,0)),"N")="Y"),D711,0)</f>
        <v/>
      </c>
    </row>
    <row r="712" ht="15" customHeight="1" s="43">
      <c r="A712" s="89" t="n">
        <v>45658</v>
      </c>
      <c r="B712" s="90" t="inlineStr">
        <is>
          <t>Insurance</t>
        </is>
      </c>
      <c r="C712" s="90" t="inlineStr">
        <is>
          <t>Actual</t>
        </is>
      </c>
      <c r="D712" s="91" t="n">
        <v>400</v>
      </c>
      <c r="F712" s="92">
        <f>IF(AND(C712="One-off",IFERROR(INDEX(Categories!$C$2:$C$200,MATCH(B712,Categories!$A$2:$A$200,0)),"N")="Y"),D712,0)</f>
        <v/>
      </c>
    </row>
    <row r="713" ht="15" customHeight="1" s="43">
      <c r="A713" s="89" t="n">
        <v>45658</v>
      </c>
      <c r="B713" s="90" t="inlineStr">
        <is>
          <t>Shopping</t>
        </is>
      </c>
      <c r="C713" s="90" t="inlineStr">
        <is>
          <t>Actual</t>
        </is>
      </c>
      <c r="D713" s="91" t="n">
        <v>150</v>
      </c>
      <c r="F713" s="95">
        <f>IF(AND(C713="One-off",IFERROR(INDEX(Categories!$C$2:$C$200,MATCH(B713,Categories!$A$2:$A$200,0)),"N")="Y"),D713,0)</f>
        <v/>
      </c>
    </row>
    <row r="714" ht="15" customHeight="1" s="43">
      <c r="A714" s="89" t="n">
        <v>45658</v>
      </c>
      <c r="B714" s="90" t="inlineStr">
        <is>
          <t>Subscriptions</t>
        </is>
      </c>
      <c r="C714" s="90" t="inlineStr">
        <is>
          <t>Actual</t>
        </is>
      </c>
      <c r="D714" s="91" t="n">
        <v>60</v>
      </c>
      <c r="F714" s="92">
        <f>IF(AND(C714="One-off",IFERROR(INDEX(Categories!$C$2:$C$200,MATCH(B714,Categories!$A$2:$A$200,0)),"N")="Y"),D714,0)</f>
        <v/>
      </c>
    </row>
    <row r="715" ht="15" customHeight="1" s="43">
      <c r="A715" s="89" t="n">
        <v>45658</v>
      </c>
      <c r="B715" s="90" t="inlineStr">
        <is>
          <t>Transport</t>
        </is>
      </c>
      <c r="C715" s="90" t="inlineStr">
        <is>
          <t>Actual</t>
        </is>
      </c>
      <c r="D715" s="91" t="n">
        <v>250</v>
      </c>
      <c r="F715" s="92">
        <f>IF(AND(C715="One-off",IFERROR(INDEX(Categories!$C$2:$C$200,MATCH(B715,Categories!$A$2:$A$200,0)),"N")="Y"),D715,0)</f>
        <v/>
      </c>
    </row>
    <row r="716" ht="15" customHeight="1" s="43">
      <c r="A716" s="89" t="n">
        <v>45689</v>
      </c>
      <c r="B716" s="90" t="inlineStr">
        <is>
          <t>Interest</t>
        </is>
      </c>
      <c r="C716" s="90" t="inlineStr">
        <is>
          <t>Income</t>
        </is>
      </c>
      <c r="D716" s="91" t="n">
        <v>20</v>
      </c>
      <c r="E716" s="77" t="n"/>
      <c r="F716" s="92">
        <f>IF(AND(C716="One-off",IFERROR(INDEX(Categories!$C$2:$C$200,MATCH(B716,Categories!$A$2:$A$200,0)),"N")="Y"),D716,0)</f>
        <v/>
      </c>
    </row>
    <row r="717" ht="15" customHeight="1" s="43">
      <c r="A717" s="89" t="n">
        <v>45689</v>
      </c>
      <c r="B717" s="90" t="inlineStr">
        <is>
          <t>Salary</t>
        </is>
      </c>
      <c r="C717" s="90" t="inlineStr">
        <is>
          <t>Income</t>
        </is>
      </c>
      <c r="D717" s="91" t="n">
        <v>6110</v>
      </c>
      <c r="F717" s="92">
        <f>IF(AND(C717="One-off",IFERROR(INDEX(Categories!$C$2:$C$200,MATCH(B717,Categories!$A$2:$A$200,0)),"N")="Y"),D717,0)</f>
        <v/>
      </c>
    </row>
    <row r="718" ht="15" customHeight="1" s="43">
      <c r="A718" s="89" t="n">
        <v>45689</v>
      </c>
      <c r="B718" s="90" t="inlineStr">
        <is>
          <t>Bills</t>
        </is>
      </c>
      <c r="C718" s="90" t="inlineStr">
        <is>
          <t>Actual</t>
        </is>
      </c>
      <c r="D718" s="91" t="n">
        <v>200</v>
      </c>
      <c r="F718" s="92">
        <f>IF(AND(C718="One-off",IFERROR(INDEX(Categories!$C$2:$C$200,MATCH(B718,Categories!$A$2:$A$200,0)),"N")="Y"),D718,0)</f>
        <v/>
      </c>
    </row>
    <row r="719" ht="15" customHeight="1" s="43">
      <c r="A719" s="89" t="n">
        <v>45689</v>
      </c>
      <c r="B719" s="90" t="inlineStr">
        <is>
          <t>Daily Food</t>
        </is>
      </c>
      <c r="C719" s="90" t="inlineStr">
        <is>
          <t>Actual</t>
        </is>
      </c>
      <c r="D719" s="91" t="n">
        <v>620</v>
      </c>
      <c r="E719" s="77" t="n"/>
      <c r="F719" s="92">
        <f>IF(AND(C719="One-off",IFERROR(INDEX(Categories!$C$2:$C$200,MATCH(B719,Categories!$A$2:$A$200,0)),"N")="Y"),D719,0)</f>
        <v/>
      </c>
    </row>
    <row r="720" ht="15" customHeight="1" s="43">
      <c r="A720" s="89" t="n">
        <v>45689</v>
      </c>
      <c r="B720" s="90" t="inlineStr">
        <is>
          <t>Donation</t>
        </is>
      </c>
      <c r="C720" s="90" t="inlineStr">
        <is>
          <t>Actual</t>
        </is>
      </c>
      <c r="D720" s="91" t="n">
        <v>50</v>
      </c>
      <c r="F720" s="92">
        <f>IF(AND(C720="One-off",IFERROR(INDEX(Categories!$C$2:$C$200,MATCH(B720,Categories!$A$2:$A$200,0)),"N")="Y"),D720,0)</f>
        <v/>
      </c>
    </row>
    <row r="721" ht="15" customHeight="1" s="43">
      <c r="A721" s="89" t="n">
        <v>45689</v>
      </c>
      <c r="B721" s="90" t="inlineStr">
        <is>
          <t>Groceries</t>
        </is>
      </c>
      <c r="C721" s="90" t="inlineStr">
        <is>
          <t>Actual</t>
        </is>
      </c>
      <c r="D721" s="91" t="n">
        <v>530</v>
      </c>
      <c r="F721" s="92">
        <f>IF(AND(C721="One-off",IFERROR(INDEX(Categories!$C$2:$C$200,MATCH(B721,Categories!$A$2:$A$200,0)),"N")="Y"),D721,0)</f>
        <v/>
      </c>
    </row>
    <row r="722" ht="15" customHeight="1" s="43">
      <c r="A722" s="89" t="n">
        <v>45689</v>
      </c>
      <c r="B722" s="90" t="inlineStr">
        <is>
          <t>Household</t>
        </is>
      </c>
      <c r="C722" s="90" t="inlineStr">
        <is>
          <t>Actual</t>
        </is>
      </c>
      <c r="D722" s="91" t="n">
        <v>300</v>
      </c>
      <c r="F722" s="92">
        <f>IF(AND(C722="One-off",IFERROR(INDEX(Categories!$C$2:$C$200,MATCH(B722,Categories!$A$2:$A$200,0)),"N")="Y"),D722,0)</f>
        <v/>
      </c>
    </row>
    <row r="723" ht="15" customHeight="1" s="43">
      <c r="A723" s="89" t="n">
        <v>45689</v>
      </c>
      <c r="B723" s="90" t="inlineStr">
        <is>
          <t>Insurance</t>
        </is>
      </c>
      <c r="C723" s="90" t="inlineStr">
        <is>
          <t>Actual</t>
        </is>
      </c>
      <c r="D723" s="91" t="n">
        <v>400</v>
      </c>
      <c r="E723" s="77" t="n"/>
      <c r="F723" s="92">
        <f>IF(AND(C723="One-off",IFERROR(INDEX(Categories!$C$2:$C$200,MATCH(B723,Categories!$A$2:$A$200,0)),"N")="Y"),D723,0)</f>
        <v/>
      </c>
    </row>
    <row r="724" ht="15" customHeight="1" s="43">
      <c r="A724" s="89" t="n">
        <v>45689</v>
      </c>
      <c r="B724" s="90" t="inlineStr">
        <is>
          <t>Shopping</t>
        </is>
      </c>
      <c r="C724" s="90" t="inlineStr">
        <is>
          <t>Actual</t>
        </is>
      </c>
      <c r="D724" s="91" t="n">
        <v>200</v>
      </c>
      <c r="F724" s="92">
        <f>IF(AND(C724="One-off",IFERROR(INDEX(Categories!$C$2:$C$200,MATCH(B724,Categories!$A$2:$A$200,0)),"N")="Y"),D724,0)</f>
        <v/>
      </c>
    </row>
    <row r="725" ht="15" customHeight="1" s="43">
      <c r="A725" s="89" t="n">
        <v>45689</v>
      </c>
      <c r="B725" s="90" t="inlineStr">
        <is>
          <t>Subscriptions</t>
        </is>
      </c>
      <c r="C725" s="90" t="inlineStr">
        <is>
          <t>Actual</t>
        </is>
      </c>
      <c r="D725" s="91" t="n">
        <v>60</v>
      </c>
      <c r="F725" s="92">
        <f>IF(AND(C725="One-off",IFERROR(INDEX(Categories!$C$2:$C$200,MATCH(B725,Categories!$A$2:$A$200,0)),"N")="Y"),D725,0)</f>
        <v/>
      </c>
    </row>
    <row r="726" ht="15" customHeight="1" s="43">
      <c r="A726" s="89" t="n">
        <v>45689</v>
      </c>
      <c r="B726" s="90" t="inlineStr">
        <is>
          <t>Transport</t>
        </is>
      </c>
      <c r="C726" s="90" t="inlineStr">
        <is>
          <t>Actual</t>
        </is>
      </c>
      <c r="D726" s="91" t="n">
        <v>250</v>
      </c>
      <c r="F726" s="92">
        <f>IF(AND(C726="One-off",IFERROR(INDEX(Categories!$C$2:$C$200,MATCH(B726,Categories!$A$2:$A$200,0)),"N")="Y"),D726,0)</f>
        <v/>
      </c>
    </row>
    <row r="727" ht="15" customHeight="1" s="43">
      <c r="A727" s="89" t="n">
        <v>45717</v>
      </c>
      <c r="B727" s="90" t="inlineStr">
        <is>
          <t>Dividends</t>
        </is>
      </c>
      <c r="C727" s="90" t="inlineStr">
        <is>
          <t>Income</t>
        </is>
      </c>
      <c r="D727" s="91" t="n">
        <v>150</v>
      </c>
      <c r="E727" s="77" t="n"/>
      <c r="F727" s="92">
        <f>IF(AND(C727="One-off",IFERROR(INDEX(Categories!$C$2:$C$200,MATCH(B727,Categories!$A$2:$A$200,0)),"N")="Y"),D727,0)</f>
        <v/>
      </c>
    </row>
    <row r="728" ht="15" customHeight="1" s="43">
      <c r="A728" s="89" t="n">
        <v>45717</v>
      </c>
      <c r="B728" s="90" t="inlineStr">
        <is>
          <t>Interest</t>
        </is>
      </c>
      <c r="C728" s="90" t="inlineStr">
        <is>
          <t>Income</t>
        </is>
      </c>
      <c r="D728" s="91" t="n">
        <v>20</v>
      </c>
      <c r="F728" s="92">
        <f>IF(AND(C728="One-off",IFERROR(INDEX(Categories!$C$2:$C$200,MATCH(B728,Categories!$A$2:$A$200,0)),"N")="Y"),D728,0)</f>
        <v/>
      </c>
    </row>
    <row r="729" ht="15" customHeight="1" s="43">
      <c r="A729" s="89" t="n">
        <v>45717</v>
      </c>
      <c r="B729" s="90" t="inlineStr">
        <is>
          <t>Salary</t>
        </is>
      </c>
      <c r="C729" s="90" t="inlineStr">
        <is>
          <t>Income</t>
        </is>
      </c>
      <c r="D729" s="91" t="n">
        <v>6160</v>
      </c>
      <c r="F729" s="92">
        <f>IF(AND(C729="One-off",IFERROR(INDEX(Categories!$C$2:$C$200,MATCH(B729,Categories!$A$2:$A$200,0)),"N")="Y"),D729,0)</f>
        <v/>
      </c>
    </row>
    <row r="730" ht="15" customHeight="1" s="43">
      <c r="A730" s="89" t="n">
        <v>45717</v>
      </c>
      <c r="B730" s="90" t="inlineStr">
        <is>
          <t>Bills</t>
        </is>
      </c>
      <c r="C730" s="90" t="inlineStr">
        <is>
          <t>Actual</t>
        </is>
      </c>
      <c r="D730" s="91" t="n">
        <v>200</v>
      </c>
      <c r="F730" s="92">
        <f>IF(AND(C730="One-off",IFERROR(INDEX(Categories!$C$2:$C$200,MATCH(B730,Categories!$A$2:$A$200,0)),"N")="Y"),D730,0)</f>
        <v/>
      </c>
    </row>
    <row r="731" ht="15" customHeight="1" s="43">
      <c r="A731" s="89" t="n">
        <v>45717</v>
      </c>
      <c r="B731" s="90" t="inlineStr">
        <is>
          <t>Daily Food</t>
        </is>
      </c>
      <c r="C731" s="90" t="inlineStr">
        <is>
          <t>Actual</t>
        </is>
      </c>
      <c r="D731" s="91" t="n">
        <v>640</v>
      </c>
      <c r="F731" s="92">
        <f>IF(AND(C731="One-off",IFERROR(INDEX(Categories!$C$2:$C$200,MATCH(B731,Categories!$A$2:$A$200,0)),"N")="Y"),D731,0)</f>
        <v/>
      </c>
    </row>
    <row r="732" ht="15" customHeight="1" s="43">
      <c r="A732" s="89" t="n">
        <v>45717</v>
      </c>
      <c r="B732" s="90" t="inlineStr">
        <is>
          <t>Donation</t>
        </is>
      </c>
      <c r="C732" s="90" t="inlineStr">
        <is>
          <t>Actual</t>
        </is>
      </c>
      <c r="D732" s="91" t="n">
        <v>50</v>
      </c>
      <c r="F732" s="92">
        <f>IF(AND(C732="One-off",IFERROR(INDEX(Categories!$C$2:$C$200,MATCH(B732,Categories!$A$2:$A$200,0)),"N")="Y"),D732,0)</f>
        <v/>
      </c>
    </row>
    <row r="733" ht="15" customHeight="1" s="43">
      <c r="A733" s="89" t="n">
        <v>45717</v>
      </c>
      <c r="B733" s="90" t="inlineStr">
        <is>
          <t>Groceries</t>
        </is>
      </c>
      <c r="C733" s="90" t="inlineStr">
        <is>
          <t>Actual</t>
        </is>
      </c>
      <c r="D733" s="91" t="n">
        <v>560</v>
      </c>
      <c r="E733" s="77" t="n"/>
      <c r="F733" s="92">
        <f>IF(AND(C733="One-off",IFERROR(INDEX(Categories!$C$2:$C$200,MATCH(B733,Categories!$A$2:$A$200,0)),"N")="Y"),D733,0)</f>
        <v/>
      </c>
    </row>
    <row r="734" ht="15" customHeight="1" s="43">
      <c r="A734" s="89" t="n">
        <v>45717</v>
      </c>
      <c r="B734" s="90" t="inlineStr">
        <is>
          <t>Household</t>
        </is>
      </c>
      <c r="C734" s="90" t="inlineStr">
        <is>
          <t>Actual</t>
        </is>
      </c>
      <c r="D734" s="91" t="n">
        <v>300</v>
      </c>
      <c r="F734" s="92">
        <f>IF(AND(C734="One-off",IFERROR(INDEX(Categories!$C$2:$C$200,MATCH(B734,Categories!$A$2:$A$200,0)),"N")="Y"),D734,0)</f>
        <v/>
      </c>
    </row>
    <row r="735" ht="15" customHeight="1" s="43">
      <c r="A735" s="89" t="n">
        <v>45717</v>
      </c>
      <c r="B735" s="90" t="inlineStr">
        <is>
          <t>Insurance</t>
        </is>
      </c>
      <c r="C735" s="90" t="inlineStr">
        <is>
          <t>Actual</t>
        </is>
      </c>
      <c r="D735" s="91" t="n">
        <v>400</v>
      </c>
      <c r="F735" s="92">
        <f>IF(AND(C735="One-off",IFERROR(INDEX(Categories!$C$2:$C$200,MATCH(B735,Categories!$A$2:$A$200,0)),"N")="Y"),D735,0)</f>
        <v/>
      </c>
    </row>
    <row r="736" ht="15" customHeight="1" s="43">
      <c r="A736" s="89" t="n">
        <v>45717</v>
      </c>
      <c r="B736" s="90" t="inlineStr">
        <is>
          <t>Shopping</t>
        </is>
      </c>
      <c r="C736" s="90" t="inlineStr">
        <is>
          <t>Actual</t>
        </is>
      </c>
      <c r="D736" s="91" t="n">
        <v>150</v>
      </c>
      <c r="F736" s="92">
        <f>IF(AND(C736="One-off",IFERROR(INDEX(Categories!$C$2:$C$200,MATCH(B736,Categories!$A$2:$A$200,0)),"N")="Y"),D736,0)</f>
        <v/>
      </c>
    </row>
    <row r="737" ht="15" customHeight="1" s="43">
      <c r="A737" s="89" t="n">
        <v>45717</v>
      </c>
      <c r="B737" s="90" t="inlineStr">
        <is>
          <t>Subscriptions</t>
        </is>
      </c>
      <c r="C737" s="90" t="inlineStr">
        <is>
          <t>Actual</t>
        </is>
      </c>
      <c r="D737" s="91" t="n">
        <v>60</v>
      </c>
      <c r="F737" s="92">
        <f>IF(AND(C737="One-off",IFERROR(INDEX(Categories!$C$2:$C$200,MATCH(B737,Categories!$A$2:$A$200,0)),"N")="Y"),D737,0)</f>
        <v/>
      </c>
    </row>
    <row r="738" ht="15" customHeight="1" s="43">
      <c r="A738" s="89" t="n">
        <v>45717</v>
      </c>
      <c r="B738" s="90" t="inlineStr">
        <is>
          <t>Transport</t>
        </is>
      </c>
      <c r="C738" s="90" t="inlineStr">
        <is>
          <t>Actual</t>
        </is>
      </c>
      <c r="D738" s="91" t="n">
        <v>250</v>
      </c>
      <c r="E738" s="77" t="n"/>
      <c r="F738" s="92">
        <f>IF(AND(C738="One-off",IFERROR(INDEX(Categories!$C$2:$C$200,MATCH(B738,Categories!$A$2:$A$200,0)),"N")="Y"),D738,0)</f>
        <v/>
      </c>
    </row>
    <row r="739" ht="15" customHeight="1" s="43">
      <c r="A739" s="89" t="n">
        <v>45748</v>
      </c>
      <c r="B739" s="90" t="inlineStr">
        <is>
          <t>Interest</t>
        </is>
      </c>
      <c r="C739" s="90" t="inlineStr">
        <is>
          <t>Income</t>
        </is>
      </c>
      <c r="D739" s="91" t="n">
        <v>20</v>
      </c>
      <c r="F739" s="92">
        <f>IF(AND(C739="One-off",IFERROR(INDEX(Categories!$C$2:$C$200,MATCH(B739,Categories!$A$2:$A$200,0)),"N")="Y"),D739,0)</f>
        <v/>
      </c>
    </row>
    <row r="740" ht="15" customHeight="1" s="43">
      <c r="A740" s="89" t="n">
        <v>45748</v>
      </c>
      <c r="B740" s="90" t="inlineStr">
        <is>
          <t>Salary</t>
        </is>
      </c>
      <c r="C740" s="90" t="inlineStr">
        <is>
          <t>Income</t>
        </is>
      </c>
      <c r="D740" s="91" t="n">
        <v>6210</v>
      </c>
      <c r="F740" s="92">
        <f>IF(AND(C740="One-off",IFERROR(INDEX(Categories!$C$2:$C$200,MATCH(B740,Categories!$A$2:$A$200,0)),"N")="Y"),D740,0)</f>
        <v/>
      </c>
    </row>
    <row r="741" ht="15" customHeight="1" s="43">
      <c r="A741" s="89" t="n">
        <v>45748</v>
      </c>
      <c r="B741" s="90" t="inlineStr">
        <is>
          <t>Bills</t>
        </is>
      </c>
      <c r="C741" s="90" t="inlineStr">
        <is>
          <t>Actual</t>
        </is>
      </c>
      <c r="D741" s="91" t="n">
        <v>200</v>
      </c>
      <c r="F741" s="92">
        <f>IF(AND(C741="One-off",IFERROR(INDEX(Categories!$C$2:$C$200,MATCH(B741,Categories!$A$2:$A$200,0)),"N")="Y"),D741,0)</f>
        <v/>
      </c>
    </row>
    <row r="742" ht="15" customHeight="1" s="43">
      <c r="A742" s="89" t="n">
        <v>45748</v>
      </c>
      <c r="B742" s="90" t="inlineStr">
        <is>
          <t>Daily Food</t>
        </is>
      </c>
      <c r="C742" s="90" t="inlineStr">
        <is>
          <t>Actual</t>
        </is>
      </c>
      <c r="D742" s="91" t="n">
        <v>660</v>
      </c>
      <c r="F742" s="92">
        <f>IF(AND(C742="One-off",IFERROR(INDEX(Categories!$C$2:$C$200,MATCH(B742,Categories!$A$2:$A$200,0)),"N")="Y"),D742,0)</f>
        <v/>
      </c>
    </row>
    <row r="743" ht="15" customHeight="1" s="43">
      <c r="A743" s="89" t="n">
        <v>45748</v>
      </c>
      <c r="B743" s="90" t="inlineStr">
        <is>
          <t>Donation</t>
        </is>
      </c>
      <c r="C743" s="90" t="inlineStr">
        <is>
          <t>Actual</t>
        </is>
      </c>
      <c r="D743" s="91" t="n">
        <v>50</v>
      </c>
      <c r="E743" s="77" t="n"/>
      <c r="F743" s="92">
        <f>IF(AND(C743="One-off",IFERROR(INDEX(Categories!$C$2:$C$200,MATCH(B743,Categories!$A$2:$A$200,0)),"N")="Y"),D743,0)</f>
        <v/>
      </c>
    </row>
    <row r="744" ht="15" customHeight="1" s="43">
      <c r="A744" s="89" t="n">
        <v>45748</v>
      </c>
      <c r="B744" s="90" t="inlineStr">
        <is>
          <t>Groceries</t>
        </is>
      </c>
      <c r="C744" s="90" t="inlineStr">
        <is>
          <t>Actual</t>
        </is>
      </c>
      <c r="D744" s="91" t="n">
        <v>500</v>
      </c>
      <c r="F744" s="92">
        <f>IF(AND(C744="One-off",IFERROR(INDEX(Categories!$C$2:$C$200,MATCH(B744,Categories!$A$2:$A$200,0)),"N")="Y"),D744,0)</f>
        <v/>
      </c>
    </row>
    <row r="745" ht="15" customHeight="1" s="43">
      <c r="A745" s="89" t="n">
        <v>45748</v>
      </c>
      <c r="B745" s="90" t="inlineStr">
        <is>
          <t>Household</t>
        </is>
      </c>
      <c r="C745" s="90" t="inlineStr">
        <is>
          <t>Actual</t>
        </is>
      </c>
      <c r="D745" s="91" t="n">
        <v>300</v>
      </c>
      <c r="F745" s="92">
        <f>IF(AND(C745="One-off",IFERROR(INDEX(Categories!$C$2:$C$200,MATCH(B745,Categories!$A$2:$A$200,0)),"N")="Y"),D745,0)</f>
        <v/>
      </c>
    </row>
    <row r="746" ht="15" customHeight="1" s="43">
      <c r="A746" s="89" t="n">
        <v>45748</v>
      </c>
      <c r="B746" s="90" t="inlineStr">
        <is>
          <t>Insurance</t>
        </is>
      </c>
      <c r="C746" s="90" t="inlineStr">
        <is>
          <t>Actual</t>
        </is>
      </c>
      <c r="D746" s="91" t="n">
        <v>400</v>
      </c>
      <c r="F746" s="92">
        <f>IF(AND(C746="One-off",IFERROR(INDEX(Categories!$C$2:$C$200,MATCH(B746,Categories!$A$2:$A$200,0)),"N")="Y"),D746,0)</f>
        <v/>
      </c>
    </row>
    <row r="747" ht="15" customHeight="1" s="43">
      <c r="A747" s="89" t="n">
        <v>45748</v>
      </c>
      <c r="B747" s="90" t="inlineStr">
        <is>
          <t>Shopping</t>
        </is>
      </c>
      <c r="C747" s="90" t="inlineStr">
        <is>
          <t>Actual</t>
        </is>
      </c>
      <c r="D747" s="91" t="n">
        <v>200</v>
      </c>
      <c r="F747" s="92">
        <f>IF(AND(C747="One-off",IFERROR(INDEX(Categories!$C$2:$C$200,MATCH(B747,Categories!$A$2:$A$200,0)),"N")="Y"),D747,0)</f>
        <v/>
      </c>
    </row>
    <row r="748" ht="15" customHeight="1" s="43">
      <c r="A748" s="89" t="n">
        <v>45748</v>
      </c>
      <c r="B748" s="90" t="inlineStr">
        <is>
          <t>Subscriptions</t>
        </is>
      </c>
      <c r="C748" s="90" t="inlineStr">
        <is>
          <t>Actual</t>
        </is>
      </c>
      <c r="D748" s="91" t="n">
        <v>60</v>
      </c>
      <c r="F748" s="92">
        <f>IF(AND(C748="One-off",IFERROR(INDEX(Categories!$C$2:$C$200,MATCH(B748,Categories!$A$2:$A$200,0)),"N")="Y"),D748,0)</f>
        <v/>
      </c>
    </row>
    <row r="749" ht="15" customHeight="1" s="43">
      <c r="A749" s="89" t="n">
        <v>45748</v>
      </c>
      <c r="B749" s="90" t="inlineStr">
        <is>
          <t>Transport</t>
        </is>
      </c>
      <c r="C749" s="90" t="inlineStr">
        <is>
          <t>Actual</t>
        </is>
      </c>
      <c r="D749" s="91" t="n">
        <v>250</v>
      </c>
      <c r="E749" s="77" t="n"/>
      <c r="F749" s="92">
        <f>IF(AND(C749="One-off",IFERROR(INDEX(Categories!$C$2:$C$200,MATCH(B749,Categories!$A$2:$A$200,0)),"N")="Y"),D749,0)</f>
        <v/>
      </c>
    </row>
    <row r="750" ht="15" customHeight="1" s="43">
      <c r="A750" s="89" t="n">
        <v>45778</v>
      </c>
      <c r="B750" s="90" t="inlineStr">
        <is>
          <t>Interest</t>
        </is>
      </c>
      <c r="C750" s="90" t="inlineStr">
        <is>
          <t>Income</t>
        </is>
      </c>
      <c r="D750" s="91" t="n">
        <v>20</v>
      </c>
      <c r="F750" s="92">
        <f>IF(AND(C750="One-off",IFERROR(INDEX(Categories!$C$2:$C$200,MATCH(B750,Categories!$A$2:$A$200,0)),"N")="Y"),D750,0)</f>
        <v/>
      </c>
    </row>
    <row r="751" ht="15" customHeight="1" s="43">
      <c r="A751" s="89" t="n">
        <v>45778</v>
      </c>
      <c r="B751" s="90" t="inlineStr">
        <is>
          <t>Salary</t>
        </is>
      </c>
      <c r="C751" s="90" t="inlineStr">
        <is>
          <t>Income</t>
        </is>
      </c>
      <c r="D751" s="91" t="n">
        <v>6260</v>
      </c>
      <c r="F751" s="92">
        <f>IF(AND(C751="One-off",IFERROR(INDEX(Categories!$C$2:$C$200,MATCH(B751,Categories!$A$2:$A$200,0)),"N")="Y"),D751,0)</f>
        <v/>
      </c>
    </row>
    <row r="752" ht="15" customHeight="1" s="43">
      <c r="A752" s="89" t="n">
        <v>45778</v>
      </c>
      <c r="B752" s="90" t="inlineStr">
        <is>
          <t>Bills</t>
        </is>
      </c>
      <c r="C752" s="90" t="inlineStr">
        <is>
          <t>Actual</t>
        </is>
      </c>
      <c r="D752" s="91" t="n">
        <v>200</v>
      </c>
      <c r="F752" s="92">
        <f>IF(AND(C752="One-off",IFERROR(INDEX(Categories!$C$2:$C$200,MATCH(B752,Categories!$A$2:$A$200,0)),"N")="Y"),D752,0)</f>
        <v/>
      </c>
    </row>
    <row r="753" ht="15" customHeight="1" s="43">
      <c r="A753" s="89" t="n">
        <v>45778</v>
      </c>
      <c r="B753" s="90" t="inlineStr">
        <is>
          <t>Daily Food</t>
        </is>
      </c>
      <c r="C753" s="90" t="inlineStr">
        <is>
          <t>Actual</t>
        </is>
      </c>
      <c r="D753" s="91" t="n">
        <v>600</v>
      </c>
      <c r="F753" s="92">
        <f>IF(AND(C753="One-off",IFERROR(INDEX(Categories!$C$2:$C$200,MATCH(B753,Categories!$A$2:$A$200,0)),"N")="Y"),D753,0)</f>
        <v/>
      </c>
    </row>
    <row r="754" ht="15" customHeight="1" s="43">
      <c r="A754" s="89" t="n">
        <v>45778</v>
      </c>
      <c r="B754" s="90" t="inlineStr">
        <is>
          <t>Donation</t>
        </is>
      </c>
      <c r="C754" s="90" t="inlineStr">
        <is>
          <t>Actual</t>
        </is>
      </c>
      <c r="D754" s="91" t="n">
        <v>50</v>
      </c>
      <c r="F754" s="92">
        <f>IF(AND(C754="One-off",IFERROR(INDEX(Categories!$C$2:$C$200,MATCH(B754,Categories!$A$2:$A$200,0)),"N")="Y"),D754,0)</f>
        <v/>
      </c>
    </row>
    <row r="755" ht="15" customHeight="1" s="43">
      <c r="A755" s="89" t="n">
        <v>45778</v>
      </c>
      <c r="B755" s="90" t="inlineStr">
        <is>
          <t>Groceries</t>
        </is>
      </c>
      <c r="C755" s="90" t="inlineStr">
        <is>
          <t>Actual</t>
        </is>
      </c>
      <c r="D755" s="91" t="n">
        <v>530</v>
      </c>
      <c r="E755" s="77" t="n"/>
      <c r="F755" s="92">
        <f>IF(AND(C755="One-off",IFERROR(INDEX(Categories!$C$2:$C$200,MATCH(B755,Categories!$A$2:$A$200,0)),"N")="Y"),D755,0)</f>
        <v/>
      </c>
    </row>
    <row r="756" ht="15" customHeight="1" s="43">
      <c r="A756" s="89" t="n">
        <v>45778</v>
      </c>
      <c r="B756" s="90" t="inlineStr">
        <is>
          <t>Household</t>
        </is>
      </c>
      <c r="C756" s="90" t="inlineStr">
        <is>
          <t>Actual</t>
        </is>
      </c>
      <c r="D756" s="91" t="n">
        <v>300</v>
      </c>
      <c r="F756" s="92">
        <f>IF(AND(C756="One-off",IFERROR(INDEX(Categories!$C$2:$C$200,MATCH(B756,Categories!$A$2:$A$200,0)),"N")="Y"),D756,0)</f>
        <v/>
      </c>
    </row>
    <row r="757" ht="15" customHeight="1" s="43">
      <c r="A757" s="89" t="n">
        <v>45778</v>
      </c>
      <c r="B757" s="90" t="inlineStr">
        <is>
          <t>Insurance</t>
        </is>
      </c>
      <c r="C757" s="90" t="inlineStr">
        <is>
          <t>Actual</t>
        </is>
      </c>
      <c r="D757" s="91" t="n">
        <v>400</v>
      </c>
      <c r="F757" s="92">
        <f>IF(AND(C757="One-off",IFERROR(INDEX(Categories!$C$2:$C$200,MATCH(B757,Categories!$A$2:$A$200,0)),"N")="Y"),D757,0)</f>
        <v/>
      </c>
    </row>
    <row r="758" ht="15" customHeight="1" s="43">
      <c r="A758" s="89" t="n">
        <v>45778</v>
      </c>
      <c r="B758" s="90" t="inlineStr">
        <is>
          <t>Shopping</t>
        </is>
      </c>
      <c r="C758" s="90" t="inlineStr">
        <is>
          <t>Actual</t>
        </is>
      </c>
      <c r="D758" s="91" t="n">
        <v>150</v>
      </c>
      <c r="F758" s="92">
        <f>IF(AND(C758="One-off",IFERROR(INDEX(Categories!$C$2:$C$200,MATCH(B758,Categories!$A$2:$A$200,0)),"N")="Y"),D758,0)</f>
        <v/>
      </c>
    </row>
    <row r="759" ht="15" customHeight="1" s="43">
      <c r="A759" s="89" t="n">
        <v>45778</v>
      </c>
      <c r="B759" s="90" t="inlineStr">
        <is>
          <t>Subscriptions</t>
        </is>
      </c>
      <c r="C759" s="90" t="inlineStr">
        <is>
          <t>Actual</t>
        </is>
      </c>
      <c r="D759" s="91" t="n">
        <v>60</v>
      </c>
      <c r="E759" s="77" t="n"/>
      <c r="F759" s="92">
        <f>IF(AND(C759="One-off",IFERROR(INDEX(Categories!$C$2:$C$200,MATCH(B759,Categories!$A$2:$A$200,0)),"N")="Y"),D759,0)</f>
        <v/>
      </c>
    </row>
    <row r="760" ht="15" customHeight="1" s="43">
      <c r="A760" s="89" t="n">
        <v>45778</v>
      </c>
      <c r="B760" s="90" t="inlineStr">
        <is>
          <t>Transport</t>
        </is>
      </c>
      <c r="C760" s="90" t="inlineStr">
        <is>
          <t>Actual</t>
        </is>
      </c>
      <c r="D760" s="91" t="n">
        <v>250</v>
      </c>
      <c r="F760" s="92">
        <f>IF(AND(C760="One-off",IFERROR(INDEX(Categories!$C$2:$C$200,MATCH(B760,Categories!$A$2:$A$200,0)),"N")="Y"),D760,0)</f>
        <v/>
      </c>
    </row>
    <row r="761" ht="15" customHeight="1" s="43">
      <c r="A761" s="89" t="n">
        <v>45778</v>
      </c>
      <c r="B761" s="90" t="inlineStr">
        <is>
          <t>Misc</t>
        </is>
      </c>
      <c r="C761" s="90" t="inlineStr">
        <is>
          <t>One-off</t>
        </is>
      </c>
      <c r="D761" s="91" t="n">
        <v>1200</v>
      </c>
      <c r="E761" s="94" t="inlineStr">
        <is>
          <t>Sample: new phone</t>
        </is>
      </c>
      <c r="F761" s="92">
        <f>IF(AND(C761="One-off",IFERROR(INDEX(Categories!$C$2:$C$200,MATCH(B761,Categories!$A$2:$A$200,0)),"N")="Y"),D761,0)</f>
        <v/>
      </c>
    </row>
    <row r="762" ht="15" customHeight="1" s="43">
      <c r="A762" s="89" t="n">
        <v>45809</v>
      </c>
      <c r="B762" s="90" t="inlineStr">
        <is>
          <t>Dividends</t>
        </is>
      </c>
      <c r="C762" s="90" t="inlineStr">
        <is>
          <t>Income</t>
        </is>
      </c>
      <c r="D762" s="91" t="n">
        <v>150</v>
      </c>
      <c r="E762" s="77" t="n"/>
      <c r="F762" s="92">
        <f>IF(AND(C762="One-off",IFERROR(INDEX(Categories!$C$2:$C$200,MATCH(B762,Categories!$A$2:$A$200,0)),"N")="Y"),D762,0)</f>
        <v/>
      </c>
    </row>
    <row r="763" ht="15" customHeight="1" s="43">
      <c r="A763" s="89" t="n">
        <v>45809</v>
      </c>
      <c r="B763" s="90" t="inlineStr">
        <is>
          <t>Interest</t>
        </is>
      </c>
      <c r="C763" s="90" t="inlineStr">
        <is>
          <t>Income</t>
        </is>
      </c>
      <c r="D763" s="91" t="n">
        <v>20</v>
      </c>
      <c r="F763" s="92">
        <f>IF(AND(C763="One-off",IFERROR(INDEX(Categories!$C$2:$C$200,MATCH(B763,Categories!$A$2:$A$200,0)),"N")="Y"),D763,0)</f>
        <v/>
      </c>
    </row>
    <row r="764" ht="15" customHeight="1" s="43">
      <c r="A764" s="89" t="n">
        <v>45809</v>
      </c>
      <c r="B764" s="90" t="inlineStr">
        <is>
          <t>Salary</t>
        </is>
      </c>
      <c r="C764" s="90" t="inlineStr">
        <is>
          <t>Income</t>
        </is>
      </c>
      <c r="D764" s="91" t="n">
        <v>6310</v>
      </c>
      <c r="F764" s="92">
        <f>IF(AND(C764="One-off",IFERROR(INDEX(Categories!$C$2:$C$200,MATCH(B764,Categories!$A$2:$A$200,0)),"N")="Y"),D764,0)</f>
        <v/>
      </c>
    </row>
    <row r="765" ht="15" customHeight="1" s="43">
      <c r="A765" s="89" t="n">
        <v>45809</v>
      </c>
      <c r="B765" s="90" t="inlineStr">
        <is>
          <t>Bills</t>
        </is>
      </c>
      <c r="C765" s="90" t="inlineStr">
        <is>
          <t>Actual</t>
        </is>
      </c>
      <c r="D765" s="91" t="n">
        <v>200</v>
      </c>
      <c r="F765" s="92">
        <f>IF(AND(C765="One-off",IFERROR(INDEX(Categories!$C$2:$C$200,MATCH(B765,Categories!$A$2:$A$200,0)),"N")="Y"),D765,0)</f>
        <v/>
      </c>
    </row>
    <row r="766" ht="15" customHeight="1" s="43">
      <c r="A766" s="89" t="n">
        <v>45809</v>
      </c>
      <c r="B766" s="90" t="inlineStr">
        <is>
          <t>Daily Food</t>
        </is>
      </c>
      <c r="C766" s="90" t="inlineStr">
        <is>
          <t>Actual</t>
        </is>
      </c>
      <c r="D766" s="91" t="n">
        <v>620</v>
      </c>
      <c r="F766" s="92">
        <f>IF(AND(C766="One-off",IFERROR(INDEX(Categories!$C$2:$C$200,MATCH(B766,Categories!$A$2:$A$200,0)),"N")="Y"),D766,0)</f>
        <v/>
      </c>
    </row>
    <row r="767" ht="15" customHeight="1" s="43">
      <c r="A767" s="89" t="n">
        <v>45809</v>
      </c>
      <c r="B767" s="90" t="inlineStr">
        <is>
          <t>Donation</t>
        </is>
      </c>
      <c r="C767" s="90" t="inlineStr">
        <is>
          <t>Actual</t>
        </is>
      </c>
      <c r="D767" s="91" t="n">
        <v>50</v>
      </c>
      <c r="E767" s="77" t="n"/>
      <c r="F767" s="92">
        <f>IF(AND(C767="One-off",IFERROR(INDEX(Categories!$C$2:$C$200,MATCH(B767,Categories!$A$2:$A$200,0)),"N")="Y"),D767,0)</f>
        <v/>
      </c>
    </row>
    <row r="768" ht="15" customHeight="1" s="43">
      <c r="A768" s="89" t="n">
        <v>45809</v>
      </c>
      <c r="B768" s="90" t="inlineStr">
        <is>
          <t>Groceries</t>
        </is>
      </c>
      <c r="C768" s="90" t="inlineStr">
        <is>
          <t>Actual</t>
        </is>
      </c>
      <c r="D768" s="91" t="n">
        <v>560</v>
      </c>
      <c r="F768" s="92">
        <f>IF(AND(C768="One-off",IFERROR(INDEX(Categories!$C$2:$C$200,MATCH(B768,Categories!$A$2:$A$200,0)),"N")="Y"),D768,0)</f>
        <v/>
      </c>
    </row>
    <row r="769" ht="15" customHeight="1" s="43">
      <c r="A769" s="89" t="n">
        <v>45809</v>
      </c>
      <c r="B769" s="90" t="inlineStr">
        <is>
          <t>Household</t>
        </is>
      </c>
      <c r="C769" s="90" t="inlineStr">
        <is>
          <t>Actual</t>
        </is>
      </c>
      <c r="D769" s="91" t="n">
        <v>300</v>
      </c>
      <c r="F769" s="92">
        <f>IF(AND(C769="One-off",IFERROR(INDEX(Categories!$C$2:$C$200,MATCH(B769,Categories!$A$2:$A$200,0)),"N")="Y"),D769,0)</f>
        <v/>
      </c>
    </row>
    <row r="770" ht="15" customHeight="1" s="43">
      <c r="A770" s="89" t="n">
        <v>45809</v>
      </c>
      <c r="B770" s="90" t="inlineStr">
        <is>
          <t>Insurance</t>
        </is>
      </c>
      <c r="C770" s="90" t="inlineStr">
        <is>
          <t>Actual</t>
        </is>
      </c>
      <c r="D770" s="91" t="n">
        <v>400</v>
      </c>
      <c r="F770" s="92">
        <f>IF(AND(C770="One-off",IFERROR(INDEX(Categories!$C$2:$C$200,MATCH(B770,Categories!$A$2:$A$200,0)),"N")="Y"),D770,0)</f>
        <v/>
      </c>
    </row>
    <row r="771" ht="15" customHeight="1" s="43">
      <c r="A771" s="89" t="n">
        <v>45809</v>
      </c>
      <c r="B771" s="90" t="inlineStr">
        <is>
          <t>Shopping</t>
        </is>
      </c>
      <c r="C771" s="90" t="inlineStr">
        <is>
          <t>Actual</t>
        </is>
      </c>
      <c r="D771" s="91" t="n">
        <v>200</v>
      </c>
      <c r="E771" s="77" t="n"/>
      <c r="F771" s="92">
        <f>IF(AND(C771="One-off",IFERROR(INDEX(Categories!$C$2:$C$200,MATCH(B771,Categories!$A$2:$A$200,0)),"N")="Y"),D771,0)</f>
        <v/>
      </c>
    </row>
    <row r="772" ht="15" customHeight="1" s="43">
      <c r="A772" s="89" t="n">
        <v>45809</v>
      </c>
      <c r="B772" s="90" t="inlineStr">
        <is>
          <t>Subscriptions</t>
        </is>
      </c>
      <c r="C772" s="90" t="inlineStr">
        <is>
          <t>Actual</t>
        </is>
      </c>
      <c r="D772" s="91" t="n">
        <v>60</v>
      </c>
      <c r="F772" s="92">
        <f>IF(AND(C772="One-off",IFERROR(INDEX(Categories!$C$2:$C$200,MATCH(B772,Categories!$A$2:$A$200,0)),"N")="Y"),D772,0)</f>
        <v/>
      </c>
    </row>
    <row r="773" ht="15" customHeight="1" s="43">
      <c r="A773" s="89" t="n">
        <v>45809</v>
      </c>
      <c r="B773" s="90" t="inlineStr">
        <is>
          <t>Transport</t>
        </is>
      </c>
      <c r="C773" s="90" t="inlineStr">
        <is>
          <t>Actual</t>
        </is>
      </c>
      <c r="D773" s="91" t="n">
        <v>250</v>
      </c>
      <c r="F773" s="92">
        <f>IF(AND(C773="One-off",IFERROR(INDEX(Categories!$C$2:$C$200,MATCH(B773,Categories!$A$2:$A$200,0)),"N")="Y"),D773,0)</f>
        <v/>
      </c>
    </row>
    <row r="774" ht="15" customHeight="1" s="43">
      <c r="A774" s="73" t="n"/>
      <c r="B774" s="74" t="n"/>
      <c r="C774" s="74" t="n"/>
      <c r="D774" s="75" t="n"/>
      <c r="F774" s="76" t="n"/>
    </row>
    <row r="775" ht="15" customHeight="1" s="43">
      <c r="A775" s="73" t="n"/>
      <c r="B775" s="74" t="n"/>
      <c r="C775" s="74" t="n"/>
      <c r="D775" s="75" t="n"/>
      <c r="E775" s="77" t="n"/>
      <c r="F775" s="76" t="n"/>
    </row>
    <row r="776" ht="15" customHeight="1" s="43">
      <c r="A776" s="73" t="n"/>
      <c r="B776" s="74" t="n"/>
      <c r="C776" s="74" t="n"/>
      <c r="D776" s="75" t="n"/>
      <c r="F776" s="76" t="n"/>
    </row>
    <row r="777" ht="15" customHeight="1" s="43">
      <c r="A777" s="73" t="n"/>
      <c r="B777" s="74" t="n"/>
      <c r="C777" s="74" t="n"/>
      <c r="D777" s="75" t="n"/>
      <c r="F777" s="76" t="n"/>
    </row>
    <row r="778" ht="15" customHeight="1" s="43">
      <c r="A778" s="73" t="n"/>
      <c r="B778" s="74" t="n"/>
      <c r="C778" s="74" t="n"/>
      <c r="D778" s="75" t="n"/>
      <c r="F778" s="76" t="n"/>
    </row>
    <row r="779" ht="15" customHeight="1" s="43">
      <c r="A779" s="73" t="n"/>
      <c r="B779" s="74" t="n"/>
      <c r="C779" s="74" t="n"/>
      <c r="D779" s="75" t="n"/>
      <c r="F779" s="76" t="n"/>
    </row>
    <row r="780" ht="15" customHeight="1" s="43">
      <c r="A780" s="73" t="n"/>
      <c r="B780" s="74" t="n"/>
      <c r="C780" s="74" t="n"/>
      <c r="D780" s="75" t="n"/>
      <c r="E780" s="77" t="n"/>
      <c r="F780" s="76" t="n"/>
    </row>
    <row r="781" ht="15" customHeight="1" s="43">
      <c r="A781" s="73" t="n"/>
      <c r="B781" s="74" t="n"/>
      <c r="C781" s="74" t="n"/>
      <c r="D781" s="75" t="n"/>
      <c r="F781" s="76" t="n"/>
    </row>
    <row r="782" ht="15" customHeight="1" s="43">
      <c r="A782" s="73" t="n"/>
      <c r="B782" s="74" t="n"/>
      <c r="C782" s="74" t="n"/>
      <c r="D782" s="75" t="n"/>
      <c r="F782" s="76" t="n"/>
    </row>
    <row r="783" ht="15" customHeight="1" s="43">
      <c r="A783" s="73" t="n"/>
      <c r="B783" s="74" t="n"/>
      <c r="C783" s="74" t="n"/>
      <c r="D783" s="75" t="n"/>
      <c r="F783" s="76" t="n"/>
    </row>
    <row r="784" ht="15" customHeight="1" s="43">
      <c r="A784" s="73" t="n"/>
      <c r="B784" s="74" t="n"/>
      <c r="C784" s="74" t="n"/>
      <c r="D784" s="75" t="n"/>
      <c r="F784" s="76" t="n"/>
    </row>
    <row r="785" ht="15" customHeight="1" s="43">
      <c r="A785" s="73" t="n"/>
      <c r="B785" s="74" t="n"/>
      <c r="C785" s="74" t="n"/>
      <c r="D785" s="75" t="n"/>
      <c r="F785" s="76" t="n"/>
    </row>
    <row r="786" ht="15" customHeight="1" s="43">
      <c r="A786" s="73" t="n"/>
      <c r="B786" s="74" t="n"/>
      <c r="C786" s="74" t="n"/>
      <c r="D786" s="75" t="n"/>
      <c r="E786" s="77" t="n"/>
      <c r="F786" s="76" t="n"/>
    </row>
    <row r="787" ht="15" customHeight="1" s="43">
      <c r="A787" s="73" t="n"/>
      <c r="B787" s="74" t="n"/>
      <c r="C787" s="74" t="n"/>
      <c r="D787" s="75" t="n"/>
      <c r="F787" s="76" t="n"/>
    </row>
    <row r="788" ht="15" customHeight="1" s="43">
      <c r="A788" s="73" t="n"/>
      <c r="B788" s="74" t="n"/>
      <c r="C788" s="74" t="n"/>
      <c r="D788" s="75" t="n"/>
      <c r="F788" s="76" t="n"/>
    </row>
    <row r="789" ht="15" customHeight="1" s="43">
      <c r="A789" s="73" t="n"/>
      <c r="B789" s="74" t="n"/>
      <c r="C789" s="74" t="n"/>
      <c r="D789" s="75" t="n"/>
      <c r="E789" s="77" t="n"/>
      <c r="F789" s="76" t="n"/>
    </row>
    <row r="790" ht="15" customHeight="1" s="43">
      <c r="A790" s="73" t="n"/>
      <c r="B790" s="74" t="n"/>
      <c r="C790" s="74" t="n"/>
      <c r="D790" s="75" t="n"/>
      <c r="F790" s="76" t="n"/>
    </row>
    <row r="791" ht="15" customHeight="1" s="43">
      <c r="A791" s="73" t="n"/>
      <c r="B791" s="74" t="n"/>
      <c r="C791" s="74" t="n"/>
      <c r="D791" s="75" t="n"/>
      <c r="F791" s="78" t="n"/>
    </row>
    <row r="792" ht="15" customHeight="1" s="43">
      <c r="A792" s="73" t="n"/>
      <c r="B792" s="74" t="n"/>
      <c r="C792" s="74" t="n"/>
      <c r="D792" s="75" t="n"/>
      <c r="F792" s="76" t="n"/>
    </row>
    <row r="793" ht="15" customHeight="1" s="43">
      <c r="A793" s="73" t="n"/>
      <c r="B793" s="74" t="n"/>
      <c r="C793" s="74" t="n"/>
      <c r="D793" s="75" t="n"/>
      <c r="F793" s="76" t="n"/>
    </row>
    <row r="794" ht="15" customHeight="1" s="43">
      <c r="A794" s="73" t="n"/>
      <c r="B794" s="74" t="n"/>
      <c r="C794" s="74" t="n"/>
      <c r="D794" s="75" t="n"/>
      <c r="E794" s="77" t="n"/>
      <c r="F794" s="76" t="n"/>
    </row>
    <row r="795" ht="15" customHeight="1" s="43">
      <c r="A795" s="73" t="n"/>
      <c r="B795" s="74" t="n"/>
      <c r="C795" s="74" t="n"/>
      <c r="D795" s="75" t="n"/>
      <c r="F795" s="76" t="n"/>
    </row>
    <row r="796" ht="15" customHeight="1" s="43">
      <c r="A796" s="73" t="n"/>
      <c r="B796" s="74" t="n"/>
      <c r="C796" s="74" t="n"/>
      <c r="D796" s="75" t="n"/>
      <c r="F796" s="76" t="n"/>
    </row>
    <row r="797" ht="15" customHeight="1" s="43">
      <c r="A797" s="73" t="n"/>
      <c r="B797" s="74" t="n"/>
      <c r="C797" s="74" t="n"/>
      <c r="D797" s="75" t="n"/>
      <c r="F797" s="76" t="n"/>
    </row>
    <row r="798" ht="15" customHeight="1" s="43">
      <c r="A798" s="73" t="n"/>
      <c r="B798" s="74" t="n"/>
      <c r="C798" s="74" t="n"/>
      <c r="D798" s="75" t="n"/>
      <c r="F798" s="76" t="n"/>
    </row>
    <row r="799" ht="15" customHeight="1" s="43">
      <c r="A799" s="73" t="n"/>
      <c r="B799" s="74" t="n"/>
      <c r="C799" s="74" t="n"/>
      <c r="D799" s="75" t="n"/>
      <c r="F799" s="76" t="n"/>
    </row>
    <row r="800" ht="15" customHeight="1" s="43">
      <c r="A800" s="73" t="n"/>
      <c r="B800" s="74" t="n"/>
      <c r="C800" s="74" t="n"/>
      <c r="D800" s="75" t="n"/>
      <c r="E800" s="77" t="n"/>
      <c r="F800" s="76" t="n"/>
    </row>
    <row r="801" ht="15" customHeight="1" s="43">
      <c r="A801" s="73" t="n"/>
      <c r="B801" s="74" t="n"/>
      <c r="C801" s="74" t="n"/>
      <c r="D801" s="75" t="n"/>
      <c r="F801" s="76" t="n"/>
    </row>
    <row r="802" ht="15" customHeight="1" s="43">
      <c r="A802" s="73" t="n"/>
      <c r="B802" s="74" t="n"/>
      <c r="C802" s="74" t="n"/>
      <c r="D802" s="75" t="n"/>
      <c r="F802" s="76" t="n"/>
    </row>
    <row r="803" ht="15" customHeight="1" s="43">
      <c r="A803" s="73" t="n"/>
      <c r="B803" s="74" t="n"/>
      <c r="C803" s="74" t="n"/>
      <c r="D803" s="75" t="n"/>
      <c r="F803" s="76" t="n"/>
    </row>
    <row r="804" ht="15" customHeight="1" s="43">
      <c r="A804" s="73" t="n"/>
      <c r="B804" s="74" t="n"/>
      <c r="C804" s="74" t="n"/>
      <c r="D804" s="75" t="n"/>
      <c r="F804" s="76" t="n"/>
    </row>
    <row r="805" ht="15" customHeight="1" s="43">
      <c r="A805" s="73" t="n"/>
      <c r="B805" s="74" t="n"/>
      <c r="C805" s="74" t="n"/>
      <c r="D805" s="75" t="n"/>
      <c r="E805" s="77" t="n"/>
      <c r="F805" s="76" t="n"/>
    </row>
    <row r="806" ht="15" customHeight="1" s="43">
      <c r="A806" s="73" t="n"/>
      <c r="B806" s="74" t="n"/>
      <c r="C806" s="74" t="n"/>
      <c r="D806" s="75" t="n"/>
      <c r="F806" s="76" t="n"/>
    </row>
    <row r="807" ht="15" customHeight="1" s="43">
      <c r="A807" s="73" t="n"/>
      <c r="B807" s="74" t="n"/>
      <c r="C807" s="74" t="n"/>
      <c r="D807" s="75" t="n"/>
      <c r="F807" s="78" t="n"/>
    </row>
    <row r="808" ht="15" customHeight="1" s="43">
      <c r="A808" s="73" t="n"/>
      <c r="B808" s="74" t="n"/>
      <c r="C808" s="74" t="n"/>
      <c r="D808" s="75" t="n"/>
      <c r="F808" s="76" t="n"/>
    </row>
    <row r="809" ht="15" customHeight="1" s="43">
      <c r="A809" s="73" t="n"/>
      <c r="B809" s="74" t="n"/>
      <c r="C809" s="74" t="n"/>
      <c r="D809" s="75" t="n"/>
      <c r="F809" s="76" t="n"/>
    </row>
    <row r="810" ht="15" customHeight="1" s="43">
      <c r="A810" s="73" t="n"/>
      <c r="B810" s="74" t="n"/>
      <c r="C810" s="74" t="n"/>
      <c r="D810" s="75" t="n"/>
      <c r="F810" s="76" t="n"/>
    </row>
    <row r="811" ht="15" customHeight="1" s="43">
      <c r="A811" s="73" t="n"/>
      <c r="B811" s="74" t="n"/>
      <c r="C811" s="74" t="n"/>
      <c r="D811" s="75" t="n"/>
      <c r="F811" s="76" t="n"/>
    </row>
    <row r="812" ht="15" customHeight="1" s="43">
      <c r="A812" s="73" t="n"/>
      <c r="B812" s="74" t="n"/>
      <c r="C812" s="74" t="n"/>
      <c r="D812" s="75" t="n"/>
      <c r="E812" s="77" t="n"/>
      <c r="F812" s="76" t="n"/>
    </row>
    <row r="813" ht="15" customHeight="1" s="43">
      <c r="A813" s="73" t="n"/>
      <c r="B813" s="74" t="n"/>
      <c r="C813" s="74" t="n"/>
      <c r="D813" s="75" t="n"/>
      <c r="F813" s="76" t="n"/>
    </row>
    <row r="814" ht="15" customHeight="1" s="43">
      <c r="A814" s="73" t="n"/>
      <c r="B814" s="74" t="n"/>
      <c r="C814" s="74" t="n"/>
      <c r="D814" s="75" t="n"/>
      <c r="F814" s="76" t="n"/>
    </row>
    <row r="815" ht="15" customHeight="1" s="43">
      <c r="A815" s="73" t="n"/>
      <c r="B815" s="74" t="n"/>
      <c r="C815" s="74" t="n"/>
      <c r="D815" s="75" t="n"/>
      <c r="F815" s="76" t="n"/>
    </row>
    <row r="816" ht="15" customHeight="1" s="43">
      <c r="A816" s="73" t="n"/>
      <c r="B816" s="74" t="n"/>
      <c r="C816" s="74" t="n"/>
      <c r="D816" s="75" t="n"/>
      <c r="E816" s="77" t="n"/>
      <c r="F816" s="76" t="n"/>
    </row>
    <row r="817" ht="15" customHeight="1" s="43">
      <c r="A817" s="73" t="n"/>
      <c r="B817" s="74" t="n"/>
      <c r="C817" s="74" t="n"/>
      <c r="D817" s="75" t="n"/>
      <c r="F817" s="76" t="n"/>
    </row>
    <row r="818" ht="15" customHeight="1" s="43">
      <c r="A818" s="73" t="n"/>
      <c r="B818" s="74" t="n"/>
      <c r="C818" s="74" t="n"/>
      <c r="D818" s="75" t="n"/>
      <c r="F818" s="76" t="n"/>
    </row>
    <row r="819" ht="15" customHeight="1" s="43">
      <c r="A819" s="73" t="n"/>
      <c r="B819" s="74" t="n"/>
      <c r="C819" s="74" t="n"/>
      <c r="D819" s="75" t="n"/>
      <c r="F819" s="76" t="n"/>
    </row>
    <row r="820" ht="15" customHeight="1" s="43">
      <c r="A820" s="73" t="n"/>
      <c r="B820" s="74" t="n"/>
      <c r="C820" s="74" t="n"/>
      <c r="D820" s="75" t="n"/>
      <c r="E820" s="77" t="n"/>
      <c r="F820" s="76" t="n"/>
    </row>
    <row r="821" ht="15" customHeight="1" s="43">
      <c r="A821" s="73" t="n"/>
      <c r="B821" s="74" t="n"/>
      <c r="C821" s="74" t="n"/>
      <c r="D821" s="75" t="n"/>
      <c r="F821" s="76" t="n"/>
    </row>
    <row r="822" ht="15" customHeight="1" s="43">
      <c r="A822" s="73" t="n"/>
      <c r="B822" s="74" t="n"/>
      <c r="C822" s="74" t="n"/>
      <c r="D822" s="75" t="n"/>
      <c r="F822" s="76" t="n"/>
    </row>
    <row r="823" ht="15" customHeight="1" s="43">
      <c r="A823" s="73" t="n"/>
      <c r="B823" s="74" t="n"/>
      <c r="C823" s="74" t="n"/>
      <c r="D823" s="75" t="n"/>
      <c r="F823" s="76" t="n"/>
    </row>
    <row r="824" ht="15" customHeight="1" s="43">
      <c r="A824" s="73" t="n"/>
      <c r="B824" s="74" t="n"/>
      <c r="C824" s="74" t="n"/>
      <c r="D824" s="75" t="n"/>
      <c r="F824" s="76" t="n"/>
    </row>
    <row r="825" ht="15" customHeight="1" s="43">
      <c r="A825" s="73" t="n"/>
      <c r="B825" s="74" t="n"/>
      <c r="C825" s="74" t="n"/>
      <c r="D825" s="75" t="n"/>
      <c r="E825" s="77" t="n"/>
      <c r="F825" s="76" t="n"/>
    </row>
    <row r="826" ht="15" customHeight="1" s="43">
      <c r="A826" s="73" t="n"/>
      <c r="B826" s="74" t="n"/>
      <c r="C826" s="74" t="n"/>
      <c r="D826" s="75" t="n"/>
      <c r="F826" s="76" t="n"/>
    </row>
    <row r="827" ht="15" customHeight="1" s="43">
      <c r="A827" s="73" t="n"/>
      <c r="B827" s="74" t="n"/>
      <c r="C827" s="74" t="n"/>
      <c r="D827" s="75" t="n"/>
      <c r="F827" s="76" t="n"/>
    </row>
    <row r="828" ht="15" customHeight="1" s="43">
      <c r="A828" s="73" t="n"/>
      <c r="B828" s="74" t="n"/>
      <c r="C828" s="74" t="n"/>
      <c r="D828" s="75" t="n"/>
      <c r="E828" s="77" t="n"/>
      <c r="F828" s="76" t="n"/>
    </row>
    <row r="829" ht="15" customHeight="1" s="43">
      <c r="A829" s="73" t="n"/>
      <c r="B829" s="74" t="n"/>
      <c r="C829" s="74" t="n"/>
      <c r="D829" s="75" t="n"/>
      <c r="F829" s="76" t="n"/>
    </row>
    <row r="830" ht="15" customHeight="1" s="43">
      <c r="A830" s="73" t="n"/>
      <c r="B830" s="74" t="n"/>
      <c r="C830" s="74" t="n"/>
      <c r="D830" s="75" t="n"/>
      <c r="F830" s="76" t="n"/>
    </row>
    <row r="831" ht="15" customHeight="1" s="43">
      <c r="A831" s="73" t="n"/>
      <c r="B831" s="74" t="n"/>
      <c r="C831" s="74" t="n"/>
      <c r="D831" s="75" t="n"/>
      <c r="F831" s="76" t="n"/>
    </row>
    <row r="832" ht="15" customHeight="1" s="43">
      <c r="A832" s="73" t="n"/>
      <c r="B832" s="74" t="n"/>
      <c r="C832" s="74" t="n"/>
      <c r="D832" s="75" t="n"/>
      <c r="F832" s="76" t="n"/>
    </row>
    <row r="833" ht="15" customHeight="1" s="43">
      <c r="A833" s="73" t="n"/>
      <c r="B833" s="74" t="n"/>
      <c r="C833" s="74" t="n"/>
      <c r="D833" s="75" t="n"/>
      <c r="F833" s="76" t="n"/>
    </row>
    <row r="834" ht="15" customHeight="1" s="43">
      <c r="A834" s="73" t="n"/>
      <c r="B834" s="74" t="n"/>
      <c r="C834" s="74" t="n"/>
      <c r="D834" s="75" t="n"/>
      <c r="F834" s="76" t="n"/>
    </row>
    <row r="835" ht="15" customHeight="1" s="43">
      <c r="A835" s="73" t="n"/>
      <c r="B835" s="74" t="n"/>
      <c r="C835" s="74" t="n"/>
      <c r="D835" s="75" t="n"/>
      <c r="E835" s="77" t="n"/>
      <c r="F835" s="76" t="n"/>
    </row>
    <row r="836" ht="15" customHeight="1" s="43">
      <c r="A836" s="73" t="n"/>
      <c r="B836" s="74" t="n"/>
      <c r="C836" s="74" t="n"/>
      <c r="D836" s="75" t="n"/>
      <c r="F836" s="78" t="n"/>
    </row>
    <row r="837" ht="15" customHeight="1" s="43">
      <c r="A837" s="73" t="n"/>
      <c r="B837" s="74" t="n"/>
      <c r="C837" s="74" t="n"/>
      <c r="D837" s="75" t="n"/>
      <c r="F837" s="76" t="n"/>
    </row>
    <row r="838" ht="15" customHeight="1" s="43">
      <c r="A838" s="73" t="n"/>
      <c r="B838" s="74" t="n"/>
      <c r="C838" s="74" t="n"/>
      <c r="D838" s="75" t="n"/>
      <c r="F838" s="76" t="n"/>
    </row>
    <row r="839" ht="15" customHeight="1" s="43">
      <c r="A839" s="73" t="n"/>
      <c r="B839" s="74" t="n"/>
      <c r="C839" s="74" t="n"/>
      <c r="D839" s="75" t="n"/>
      <c r="F839" s="76" t="n"/>
    </row>
    <row r="840" ht="15" customHeight="1" s="43">
      <c r="A840" s="73" t="n"/>
      <c r="B840" s="74" t="n"/>
      <c r="C840" s="74" t="n"/>
      <c r="D840" s="75" t="n"/>
      <c r="E840" s="77" t="n"/>
      <c r="F840" s="76" t="n"/>
    </row>
    <row r="841" ht="15" customHeight="1" s="43">
      <c r="A841" s="73" t="n"/>
      <c r="B841" s="74" t="n"/>
      <c r="C841" s="74" t="n"/>
      <c r="D841" s="75" t="n"/>
      <c r="F841" s="76" t="n"/>
    </row>
    <row r="842" ht="15" customHeight="1" s="43">
      <c r="A842" s="73" t="n"/>
      <c r="B842" s="74" t="n"/>
      <c r="C842" s="74" t="n"/>
      <c r="D842" s="75" t="n"/>
      <c r="F842" s="76" t="n"/>
    </row>
    <row r="843" ht="15" customHeight="1" s="43">
      <c r="A843" s="73" t="n"/>
      <c r="B843" s="74" t="n"/>
      <c r="C843" s="74" t="n"/>
      <c r="D843" s="75" t="n"/>
      <c r="F843" s="76" t="n"/>
    </row>
    <row r="844" ht="15" customHeight="1" s="43">
      <c r="A844" s="73" t="n"/>
      <c r="B844" s="74" t="n"/>
      <c r="C844" s="74" t="n"/>
      <c r="D844" s="75" t="n"/>
      <c r="F844" s="76" t="n"/>
    </row>
    <row r="845" ht="15" customHeight="1" s="43">
      <c r="A845" s="73" t="n"/>
      <c r="B845" s="74" t="n"/>
      <c r="C845" s="74" t="n"/>
      <c r="D845" s="75" t="n"/>
      <c r="F845" s="76" t="n"/>
    </row>
    <row r="846" ht="15" customHeight="1" s="43">
      <c r="A846" s="73" t="n"/>
      <c r="B846" s="74" t="n"/>
      <c r="C846" s="74" t="n"/>
      <c r="D846" s="75" t="n"/>
      <c r="E846" s="77" t="n"/>
      <c r="F846" s="76" t="n"/>
    </row>
    <row r="847" ht="15" customHeight="1" s="43">
      <c r="A847" s="73" t="n"/>
      <c r="B847" s="74" t="n"/>
      <c r="C847" s="74" t="n"/>
      <c r="D847" s="75" t="n"/>
      <c r="F847" s="76" t="n"/>
    </row>
    <row r="848" ht="15" customHeight="1" s="43">
      <c r="A848" s="73" t="n"/>
      <c r="B848" s="74" t="n"/>
      <c r="C848" s="74" t="n"/>
      <c r="D848" s="75" t="n"/>
      <c r="F848" s="76" t="n"/>
    </row>
    <row r="849" ht="15" customHeight="1" s="43">
      <c r="A849" s="73" t="n"/>
      <c r="B849" s="74" t="n"/>
      <c r="C849" s="74" t="n"/>
      <c r="D849" s="75" t="n"/>
      <c r="F849" s="76" t="n"/>
    </row>
    <row r="850" ht="15" customHeight="1" s="43">
      <c r="A850" s="73" t="n"/>
      <c r="B850" s="74" t="n"/>
      <c r="C850" s="74" t="n"/>
      <c r="D850" s="75" t="n"/>
      <c r="F850" s="76" t="n"/>
    </row>
    <row r="851" ht="15" customHeight="1" s="43">
      <c r="A851" s="73" t="n"/>
      <c r="B851" s="74" t="n"/>
      <c r="C851" s="74" t="n"/>
      <c r="D851" s="75" t="n"/>
      <c r="F851" s="76" t="n"/>
    </row>
    <row r="852" ht="15" customHeight="1" s="43">
      <c r="A852" s="73" t="n"/>
      <c r="B852" s="74" t="n"/>
      <c r="C852" s="74" t="n"/>
      <c r="D852" s="75" t="n"/>
      <c r="E852" s="77" t="n"/>
      <c r="F852" s="76" t="n"/>
    </row>
    <row r="853" ht="15" customHeight="1" s="43">
      <c r="A853" s="73" t="n"/>
      <c r="B853" s="74" t="n"/>
      <c r="C853" s="74" t="n"/>
      <c r="D853" s="75" t="n"/>
      <c r="F853" s="76" t="n"/>
    </row>
    <row r="854" ht="15" customHeight="1" s="43">
      <c r="A854" s="73" t="n"/>
      <c r="B854" s="74" t="n"/>
      <c r="C854" s="74" t="n"/>
      <c r="D854" s="75" t="n"/>
      <c r="F854" s="78" t="n"/>
    </row>
    <row r="855" ht="15" customHeight="1" s="43">
      <c r="A855" s="73" t="n"/>
      <c r="B855" s="74" t="n"/>
      <c r="C855" s="74" t="n"/>
      <c r="D855" s="75" t="n"/>
      <c r="F855" s="76" t="n"/>
    </row>
    <row r="856" ht="15" customHeight="1" s="43">
      <c r="A856" s="73" t="n"/>
      <c r="B856" s="74" t="n"/>
      <c r="C856" s="74" t="n"/>
      <c r="D856" s="75" t="n"/>
      <c r="F856" s="76" t="n"/>
    </row>
    <row r="857" ht="15" customHeight="1" s="43">
      <c r="A857" s="73" t="n"/>
      <c r="B857" s="74" t="n"/>
      <c r="C857" s="74" t="n"/>
      <c r="D857" s="75" t="n"/>
      <c r="F857" s="76" t="n"/>
    </row>
    <row r="858" ht="15" customHeight="1" s="43">
      <c r="A858" s="73" t="n"/>
      <c r="B858" s="74" t="n"/>
      <c r="C858" s="74" t="n"/>
      <c r="D858" s="75" t="n"/>
      <c r="E858" s="77" t="n"/>
      <c r="F858" s="76" t="n"/>
    </row>
    <row r="859" ht="15" customHeight="1" s="43">
      <c r="A859" s="73" t="n"/>
      <c r="B859" s="74" t="n"/>
      <c r="C859" s="74" t="n"/>
      <c r="D859" s="75" t="n"/>
      <c r="F859" s="76" t="n"/>
    </row>
    <row r="860" ht="15" customHeight="1" s="43">
      <c r="A860" s="73" t="n"/>
      <c r="B860" s="74" t="n"/>
      <c r="C860" s="74" t="n"/>
      <c r="D860" s="75" t="n"/>
      <c r="F860" s="76" t="n"/>
    </row>
    <row r="861" ht="15" customHeight="1" s="43">
      <c r="A861" s="73" t="n"/>
      <c r="B861" s="74" t="n"/>
      <c r="C861" s="74" t="n"/>
      <c r="D861" s="75" t="n"/>
      <c r="F861" s="76" t="n"/>
    </row>
    <row r="862" ht="15" customHeight="1" s="43">
      <c r="A862" s="73" t="n"/>
      <c r="B862" s="74" t="n"/>
      <c r="C862" s="74" t="n"/>
      <c r="D862" s="75" t="n"/>
      <c r="F862" s="76" t="n"/>
    </row>
    <row r="863" ht="15" customHeight="1" s="43">
      <c r="A863" s="73" t="n"/>
      <c r="B863" s="74" t="n"/>
      <c r="C863" s="74" t="n"/>
      <c r="D863" s="75" t="n"/>
      <c r="F863" s="76" t="n"/>
    </row>
    <row r="864" ht="15" customHeight="1" s="43">
      <c r="A864" s="73" t="n"/>
      <c r="B864" s="74" t="n"/>
      <c r="C864" s="74" t="n"/>
      <c r="D864" s="75" t="n"/>
      <c r="E864" s="77" t="n"/>
      <c r="F864" s="76" t="n"/>
    </row>
    <row r="865" ht="15" customHeight="1" s="43">
      <c r="A865" s="73" t="n"/>
      <c r="B865" s="74" t="n"/>
      <c r="C865" s="74" t="n"/>
      <c r="D865" s="75" t="n"/>
      <c r="F865" s="76" t="n"/>
    </row>
    <row r="866" ht="15" customHeight="1" s="43">
      <c r="A866" s="73" t="n"/>
      <c r="B866" s="74" t="n"/>
      <c r="C866" s="74" t="n"/>
      <c r="D866" s="75" t="n"/>
      <c r="F866" s="76" t="n"/>
    </row>
    <row r="867" ht="15" customHeight="1" s="43">
      <c r="A867" s="73" t="n"/>
      <c r="B867" s="74" t="n"/>
      <c r="C867" s="74" t="n"/>
      <c r="D867" s="75" t="n"/>
      <c r="F867" s="76" t="n"/>
    </row>
    <row r="868" ht="15" customHeight="1" s="43">
      <c r="A868" s="73" t="n"/>
      <c r="B868" s="74" t="n"/>
      <c r="C868" s="74" t="n"/>
      <c r="D868" s="75" t="n"/>
      <c r="F868" s="76" t="n"/>
    </row>
    <row r="869" ht="15" customHeight="1" s="43">
      <c r="A869" s="73" t="n"/>
      <c r="B869" s="74" t="n"/>
      <c r="C869" s="74" t="n"/>
      <c r="D869" s="75" t="n"/>
      <c r="F869" s="76" t="n"/>
    </row>
    <row r="870" ht="15" customHeight="1" s="43">
      <c r="A870" s="73" t="n"/>
      <c r="B870" s="74" t="n"/>
      <c r="C870" s="74" t="n"/>
      <c r="D870" s="75" t="n"/>
      <c r="F870" s="76" t="n"/>
    </row>
    <row r="871" ht="15" customHeight="1" s="43">
      <c r="A871" s="73" t="n"/>
      <c r="B871" s="74" t="n"/>
      <c r="C871" s="74" t="n"/>
      <c r="D871" s="75" t="n"/>
      <c r="E871" s="77" t="n"/>
      <c r="F871" s="76" t="n"/>
    </row>
    <row r="872" ht="15" customHeight="1" s="43">
      <c r="A872" s="73" t="n"/>
      <c r="B872" s="74" t="n"/>
      <c r="C872" s="74" t="n"/>
      <c r="D872" s="75" t="n"/>
      <c r="F872" s="76" t="n"/>
    </row>
    <row r="873" ht="15" customHeight="1" s="43">
      <c r="A873" s="73" t="n"/>
      <c r="B873" s="74" t="n"/>
      <c r="C873" s="74" t="n"/>
      <c r="D873" s="75" t="n"/>
      <c r="F873" s="76" t="n"/>
    </row>
    <row r="874" ht="15" customHeight="1" s="43">
      <c r="A874" s="73" t="n"/>
      <c r="B874" s="74" t="n"/>
      <c r="C874" s="74" t="n"/>
      <c r="D874" s="75" t="n"/>
      <c r="F874" s="76" t="n"/>
    </row>
    <row r="875" ht="15" customHeight="1" s="43">
      <c r="A875" s="73" t="n"/>
      <c r="B875" s="74" t="n"/>
      <c r="C875" s="74" t="n"/>
      <c r="D875" s="75" t="n"/>
      <c r="F875" s="76" t="n"/>
    </row>
    <row r="876" ht="15" customHeight="1" s="43">
      <c r="A876" s="73" t="n"/>
      <c r="B876" s="74" t="n"/>
      <c r="C876" s="74" t="n"/>
      <c r="D876" s="75" t="n"/>
      <c r="E876" s="77" t="n"/>
      <c r="F876" s="76" t="n"/>
    </row>
    <row r="877" ht="15" customHeight="1" s="43">
      <c r="A877" s="73" t="n"/>
      <c r="B877" s="74" t="n"/>
      <c r="C877" s="74" t="n"/>
      <c r="D877" s="75" t="n"/>
      <c r="F877" s="76" t="n"/>
    </row>
    <row r="878" ht="15" customHeight="1" s="43">
      <c r="A878" s="73" t="n"/>
      <c r="B878" s="74" t="n"/>
      <c r="C878" s="74" t="n"/>
      <c r="D878" s="75" t="n"/>
      <c r="F878" s="76" t="n"/>
    </row>
    <row r="879" ht="15" customHeight="1" s="43">
      <c r="A879" s="73" t="n"/>
      <c r="B879" s="74" t="n"/>
      <c r="C879" s="74" t="n"/>
      <c r="D879" s="75" t="n"/>
      <c r="E879" s="77" t="n"/>
      <c r="F879" s="76" t="n"/>
    </row>
    <row r="880" ht="15" customHeight="1" s="43">
      <c r="A880" s="73" t="n"/>
      <c r="B880" s="74" t="n"/>
      <c r="C880" s="74" t="n"/>
      <c r="D880" s="75" t="n"/>
      <c r="F880" s="78" t="n"/>
    </row>
    <row r="881" ht="15" customHeight="1" s="43">
      <c r="A881" s="73" t="n"/>
      <c r="B881" s="74" t="n"/>
      <c r="C881" s="74" t="n"/>
      <c r="D881" s="75" t="n"/>
      <c r="F881" s="76" t="n"/>
    </row>
    <row r="882" ht="15" customHeight="1" s="43">
      <c r="A882" s="73" t="n"/>
      <c r="B882" s="74" t="n"/>
      <c r="C882" s="74" t="n"/>
      <c r="D882" s="75" t="n"/>
      <c r="F882" s="76" t="n"/>
    </row>
    <row r="883" ht="15" customHeight="1" s="43">
      <c r="A883" s="73" t="n"/>
      <c r="B883" s="74" t="n"/>
      <c r="C883" s="74" t="n"/>
      <c r="D883" s="75" t="n"/>
      <c r="E883" s="77" t="n"/>
      <c r="F883" s="76" t="n"/>
    </row>
    <row r="884" ht="15" customHeight="1" s="43">
      <c r="A884" s="73" t="n"/>
      <c r="B884" s="74" t="n"/>
      <c r="C884" s="74" t="n"/>
      <c r="D884" s="75" t="n"/>
      <c r="F884" s="76" t="n"/>
    </row>
    <row r="885" ht="15" customHeight="1" s="43">
      <c r="A885" s="73" t="n"/>
      <c r="B885" s="74" t="n"/>
      <c r="C885" s="74" t="n"/>
      <c r="D885" s="75" t="n"/>
      <c r="F885" s="78" t="n"/>
    </row>
    <row r="886" ht="15" customHeight="1" s="43">
      <c r="A886" s="73" t="n"/>
      <c r="B886" s="74" t="n"/>
      <c r="C886" s="74" t="n"/>
      <c r="D886" s="75" t="n"/>
      <c r="F886" s="76" t="n"/>
    </row>
    <row r="887" ht="15" customHeight="1" s="43">
      <c r="A887" s="73" t="n"/>
      <c r="B887" s="74" t="n"/>
      <c r="C887" s="74" t="n"/>
      <c r="D887" s="75" t="n"/>
      <c r="F887" s="76" t="n"/>
    </row>
    <row r="888" ht="15" customHeight="1" s="43">
      <c r="A888" s="73" t="n"/>
      <c r="B888" s="74" t="n"/>
      <c r="C888" s="74" t="n"/>
      <c r="D888" s="75" t="n"/>
      <c r="F888" s="76" t="n"/>
    </row>
    <row r="889" ht="15" customHeight="1" s="43">
      <c r="A889" s="73" t="n"/>
      <c r="B889" s="74" t="n"/>
      <c r="C889" s="74" t="n"/>
      <c r="D889" s="75" t="n"/>
      <c r="F889" s="76" t="n"/>
    </row>
    <row r="890" ht="15" customHeight="1" s="43">
      <c r="A890" s="73" t="n"/>
      <c r="B890" s="74" t="n"/>
      <c r="C890" s="74" t="n"/>
      <c r="D890" s="75" t="n"/>
      <c r="E890" s="77" t="n"/>
      <c r="F890" s="76" t="n"/>
    </row>
    <row r="891" ht="15" customHeight="1" s="43">
      <c r="A891" s="73" t="n"/>
      <c r="B891" s="74" t="n"/>
      <c r="C891" s="74" t="n"/>
      <c r="D891" s="75" t="n"/>
      <c r="F891" s="76" t="n"/>
    </row>
    <row r="892" ht="15" customHeight="1" s="43">
      <c r="A892" s="73" t="n"/>
      <c r="B892" s="74" t="n"/>
      <c r="C892" s="74" t="n"/>
      <c r="D892" s="75" t="n"/>
      <c r="F892" s="76" t="n"/>
    </row>
    <row r="893" ht="15" customHeight="1" s="43">
      <c r="A893" s="73" t="n"/>
      <c r="B893" s="74" t="n"/>
      <c r="C893" s="74" t="n"/>
      <c r="D893" s="75" t="n"/>
      <c r="F893" s="76" t="n"/>
    </row>
    <row r="894" ht="15" customHeight="1" s="43">
      <c r="A894" s="73" t="n"/>
      <c r="B894" s="74" t="n"/>
      <c r="C894" s="74" t="n"/>
      <c r="D894" s="75" t="n"/>
      <c r="F894" s="76" t="n"/>
    </row>
    <row r="895" ht="15" customHeight="1" s="43">
      <c r="A895" s="73" t="n"/>
      <c r="B895" s="74" t="n"/>
      <c r="C895" s="74" t="n"/>
      <c r="D895" s="75" t="n"/>
      <c r="E895" s="77" t="n"/>
      <c r="F895" s="76" t="n"/>
    </row>
    <row r="896" ht="15" customHeight="1" s="43">
      <c r="A896" s="73" t="n"/>
      <c r="B896" s="74" t="n"/>
      <c r="C896" s="74" t="n"/>
      <c r="D896" s="75" t="n"/>
      <c r="F896" s="76" t="n"/>
    </row>
    <row r="897" ht="15" customHeight="1" s="43">
      <c r="A897" s="73" t="n"/>
      <c r="B897" s="74" t="n"/>
      <c r="C897" s="74" t="n"/>
      <c r="D897" s="75" t="n"/>
      <c r="F897" s="76" t="n"/>
    </row>
    <row r="898" ht="15" customHeight="1" s="43">
      <c r="A898" s="73" t="n"/>
      <c r="B898" s="74" t="n"/>
      <c r="C898" s="74" t="n"/>
      <c r="D898" s="75" t="n"/>
      <c r="F898" s="76" t="n"/>
    </row>
    <row r="899" ht="15" customHeight="1" s="43">
      <c r="A899" s="73" t="n"/>
      <c r="B899" s="74" t="n"/>
      <c r="C899" s="74" t="n"/>
      <c r="D899" s="75" t="n"/>
      <c r="E899" s="77" t="n"/>
      <c r="F899" s="76" t="n"/>
    </row>
    <row r="900" ht="15" customHeight="1" s="43">
      <c r="A900" s="73" t="n"/>
      <c r="B900" s="74" t="n"/>
      <c r="C900" s="74" t="n"/>
      <c r="D900" s="75" t="n"/>
      <c r="F900" s="76" t="n"/>
    </row>
    <row r="901" ht="15" customHeight="1" s="43">
      <c r="A901" s="73" t="n"/>
      <c r="B901" s="74" t="n"/>
      <c r="C901" s="74" t="n"/>
      <c r="D901" s="75" t="n"/>
      <c r="F901" s="76" t="n"/>
    </row>
    <row r="902" ht="15" customHeight="1" s="43">
      <c r="A902" s="73" t="n"/>
      <c r="B902" s="74" t="n"/>
      <c r="C902" s="74" t="n"/>
      <c r="D902" s="75" t="n"/>
      <c r="F902" s="76" t="n"/>
    </row>
    <row r="903" ht="15" customHeight="1" s="43">
      <c r="A903" s="73" t="n"/>
      <c r="B903" s="74" t="n"/>
      <c r="C903" s="74" t="n"/>
      <c r="D903" s="75" t="n"/>
      <c r="F903" s="76" t="n"/>
    </row>
    <row r="904" ht="15" customHeight="1" s="43">
      <c r="A904" s="73" t="n"/>
      <c r="B904" s="74" t="n"/>
      <c r="C904" s="74" t="n"/>
      <c r="D904" s="75" t="n"/>
      <c r="E904" s="77" t="n"/>
      <c r="F904" s="76" t="n"/>
    </row>
    <row r="905" ht="15" customHeight="1" s="43">
      <c r="A905" s="73" t="n"/>
      <c r="B905" s="74" t="n"/>
      <c r="C905" s="74" t="n"/>
      <c r="D905" s="75" t="n"/>
      <c r="F905" s="76" t="n"/>
    </row>
    <row r="906" ht="15" customHeight="1" s="43">
      <c r="A906" s="73" t="n"/>
      <c r="B906" s="74" t="n"/>
      <c r="C906" s="74" t="n"/>
      <c r="D906" s="75" t="n"/>
      <c r="F906" s="76" t="n"/>
    </row>
    <row r="907" ht="15" customHeight="1" s="43">
      <c r="A907" s="73" t="n"/>
      <c r="B907" s="74" t="n"/>
      <c r="C907" s="74" t="n"/>
      <c r="D907" s="75" t="n"/>
      <c r="F907" s="76" t="n"/>
    </row>
    <row r="908" ht="15" customHeight="1" s="43">
      <c r="A908" s="73" t="n"/>
      <c r="B908" s="74" t="n"/>
      <c r="C908" s="74" t="n"/>
      <c r="D908" s="75" t="n"/>
      <c r="F908" s="76" t="n"/>
    </row>
    <row r="909" ht="15" customHeight="1" s="43">
      <c r="A909" s="73" t="n"/>
      <c r="B909" s="74" t="n"/>
      <c r="C909" s="74" t="n"/>
      <c r="D909" s="75" t="n"/>
      <c r="F909" s="76" t="n"/>
    </row>
    <row r="910" ht="15" customHeight="1" s="43">
      <c r="A910" s="73" t="n"/>
      <c r="B910" s="74" t="n"/>
      <c r="C910" s="74" t="n"/>
      <c r="D910" s="75" t="n"/>
      <c r="E910" s="77" t="n"/>
      <c r="F910" s="76" t="n"/>
    </row>
    <row r="911" ht="15" customHeight="1" s="43">
      <c r="A911" s="73" t="n"/>
      <c r="B911" s="74" t="n"/>
      <c r="C911" s="74" t="n"/>
      <c r="D911" s="75" t="n"/>
      <c r="F911" s="76" t="n"/>
    </row>
    <row r="912" ht="15" customHeight="1" s="43">
      <c r="A912" s="73" t="n"/>
      <c r="B912" s="74" t="n"/>
      <c r="C912" s="74" t="n"/>
      <c r="D912" s="75" t="n"/>
      <c r="F912" s="76" t="n"/>
    </row>
    <row r="913" ht="15" customHeight="1" s="43">
      <c r="A913" s="73" t="n"/>
      <c r="B913" s="74" t="n"/>
      <c r="C913" s="74" t="n"/>
      <c r="D913" s="75" t="n"/>
      <c r="F913" s="76" t="n"/>
    </row>
    <row r="914" ht="15" customHeight="1" s="43">
      <c r="A914" s="73" t="n"/>
      <c r="B914" s="74" t="n"/>
      <c r="C914" s="74" t="n"/>
      <c r="D914" s="75" t="n"/>
      <c r="E914" s="77" t="n"/>
      <c r="F914" s="76" t="n"/>
    </row>
    <row r="915" ht="15" customHeight="1" s="43">
      <c r="A915" s="73" t="n"/>
      <c r="B915" s="74" t="n"/>
      <c r="C915" s="74" t="n"/>
      <c r="D915" s="75" t="n"/>
      <c r="F915" s="76" t="n"/>
    </row>
    <row r="916" ht="15" customHeight="1" s="43">
      <c r="A916" s="73" t="n"/>
      <c r="B916" s="74" t="n"/>
      <c r="C916" s="74" t="n"/>
      <c r="D916" s="75" t="n"/>
      <c r="F916" s="76" t="n"/>
    </row>
    <row r="917" ht="15" customHeight="1" s="43">
      <c r="A917" s="73" t="n"/>
      <c r="B917" s="74" t="n"/>
      <c r="C917" s="74" t="n"/>
      <c r="D917" s="75" t="n"/>
      <c r="F917" s="76" t="n"/>
    </row>
    <row r="918" ht="15" customHeight="1" s="43">
      <c r="A918" s="73" t="n"/>
      <c r="B918" s="74" t="n"/>
      <c r="C918" s="74" t="n"/>
      <c r="D918" s="75" t="n"/>
      <c r="F918" s="76" t="n"/>
    </row>
    <row r="919" ht="15" customHeight="1" s="43">
      <c r="A919" s="73" t="n"/>
      <c r="B919" s="74" t="n"/>
      <c r="C919" s="74" t="n"/>
      <c r="D919" s="75" t="n"/>
      <c r="E919" s="77" t="n"/>
      <c r="F919" s="76" t="n"/>
    </row>
    <row r="920" ht="15" customHeight="1" s="43">
      <c r="A920" s="73" t="n"/>
      <c r="B920" s="74" t="n"/>
      <c r="C920" s="74" t="n"/>
      <c r="D920" s="75" t="n"/>
      <c r="F920" s="76" t="n"/>
    </row>
    <row r="921" ht="15" customHeight="1" s="43">
      <c r="A921" s="73" t="n"/>
      <c r="B921" s="74" t="n"/>
      <c r="C921" s="74" t="n"/>
      <c r="D921" s="75" t="n"/>
      <c r="F921" s="76" t="n"/>
    </row>
    <row r="922" ht="15" customHeight="1" s="43">
      <c r="A922" s="73" t="n"/>
      <c r="B922" s="74" t="n"/>
      <c r="C922" s="74" t="n"/>
      <c r="D922" s="75" t="n"/>
      <c r="F922" s="76" t="n"/>
    </row>
    <row r="923" ht="15" customHeight="1" s="43">
      <c r="A923" s="73" t="n"/>
      <c r="B923" s="74" t="n"/>
      <c r="C923" s="74" t="n"/>
      <c r="D923" s="75" t="n"/>
      <c r="E923" s="77" t="n"/>
      <c r="F923" s="76" t="n"/>
    </row>
    <row r="924" ht="15" customHeight="1" s="43">
      <c r="A924" s="73" t="n"/>
      <c r="B924" s="74" t="n"/>
      <c r="C924" s="74" t="n"/>
      <c r="D924" s="75" t="n"/>
      <c r="F924" s="76" t="n"/>
    </row>
    <row r="925" ht="15" customHeight="1" s="43">
      <c r="A925" s="73" t="n"/>
      <c r="B925" s="74" t="n"/>
      <c r="C925" s="74" t="n"/>
      <c r="D925" s="75" t="n"/>
      <c r="F925" s="76" t="n"/>
    </row>
    <row r="926" ht="15" customHeight="1" s="43">
      <c r="A926" s="73" t="n"/>
      <c r="B926" s="74" t="n"/>
      <c r="C926" s="74" t="n"/>
      <c r="D926" s="75" t="n"/>
      <c r="F926" s="76" t="n"/>
    </row>
    <row r="927" ht="15" customHeight="1" s="43">
      <c r="A927" s="73" t="n"/>
      <c r="B927" s="74" t="n"/>
      <c r="C927" s="74" t="n"/>
      <c r="D927" s="75" t="n"/>
      <c r="E927" s="77" t="n"/>
      <c r="F927" s="76" t="n"/>
    </row>
    <row r="928" ht="15" customHeight="1" s="43">
      <c r="A928" s="73" t="n"/>
      <c r="B928" s="74" t="n"/>
      <c r="C928" s="74" t="n"/>
      <c r="D928" s="75" t="n"/>
      <c r="F928" s="76" t="n"/>
    </row>
    <row r="929" ht="15" customHeight="1" s="43">
      <c r="A929" s="73" t="n"/>
      <c r="B929" s="74" t="n"/>
      <c r="C929" s="74" t="n"/>
      <c r="D929" s="75" t="n"/>
      <c r="F929" s="78" t="n"/>
    </row>
    <row r="930" ht="15" customHeight="1" s="43">
      <c r="A930" s="73" t="n"/>
      <c r="B930" s="74" t="n"/>
      <c r="C930" s="74" t="n"/>
      <c r="D930" s="75" t="n"/>
      <c r="F930" s="76" t="n"/>
    </row>
    <row r="931" ht="15" customHeight="1" s="43">
      <c r="A931" s="73" t="n"/>
      <c r="B931" s="74" t="n"/>
      <c r="C931" s="74" t="n"/>
      <c r="D931" s="75" t="n"/>
      <c r="F931" s="76" t="n"/>
    </row>
    <row r="932" ht="15" customHeight="1" s="43">
      <c r="A932" s="73" t="n"/>
      <c r="B932" s="74" t="n"/>
      <c r="C932" s="74" t="n"/>
      <c r="D932" s="75" t="n"/>
      <c r="E932" s="77" t="n"/>
      <c r="F932" s="76" t="n"/>
    </row>
    <row r="933" ht="15" customHeight="1" s="43">
      <c r="A933" s="73" t="n"/>
      <c r="B933" s="74" t="n"/>
      <c r="C933" s="74" t="n"/>
      <c r="D933" s="75" t="n"/>
      <c r="F933" s="76" t="n"/>
    </row>
    <row r="934" ht="15" customHeight="1" s="43">
      <c r="A934" s="73" t="n"/>
      <c r="B934" s="74" t="n"/>
      <c r="C934" s="74" t="n"/>
      <c r="D934" s="75" t="n"/>
      <c r="F934" s="76" t="n"/>
    </row>
    <row r="935" ht="15" customHeight="1" s="43">
      <c r="A935" s="73" t="n"/>
      <c r="B935" s="74" t="n"/>
      <c r="C935" s="74" t="n"/>
      <c r="D935" s="75" t="n"/>
      <c r="F935" s="76" t="n"/>
    </row>
    <row r="936" ht="15" customHeight="1" s="43">
      <c r="A936" s="73" t="n"/>
      <c r="B936" s="74" t="n"/>
      <c r="C936" s="74" t="n"/>
      <c r="D936" s="75" t="n"/>
      <c r="E936" s="77" t="n"/>
      <c r="F936" s="76" t="n"/>
    </row>
    <row r="937" ht="15" customHeight="1" s="43">
      <c r="A937" s="73" t="n"/>
      <c r="B937" s="74" t="n"/>
      <c r="C937" s="74" t="n"/>
      <c r="D937" s="75" t="n"/>
      <c r="F937" s="76" t="n"/>
    </row>
    <row r="938" ht="15" customHeight="1" s="43">
      <c r="A938" s="73" t="n"/>
      <c r="B938" s="74" t="n"/>
      <c r="C938" s="74" t="n"/>
      <c r="D938" s="75" t="n"/>
      <c r="F938" s="76" t="n"/>
    </row>
    <row r="939" ht="15" customHeight="1" s="43">
      <c r="A939" s="73" t="n"/>
      <c r="B939" s="74" t="n"/>
      <c r="C939" s="74" t="n"/>
      <c r="D939" s="75" t="n"/>
      <c r="F939" s="76" t="n"/>
    </row>
    <row r="940" ht="15" customHeight="1" s="43">
      <c r="A940" s="73" t="n"/>
      <c r="B940" s="74" t="n"/>
      <c r="C940" s="74" t="n"/>
      <c r="D940" s="75" t="n"/>
      <c r="F940" s="76" t="n"/>
    </row>
    <row r="941" ht="15" customHeight="1" s="43">
      <c r="A941" s="73" t="n"/>
      <c r="B941" s="74" t="n"/>
      <c r="C941" s="74" t="n"/>
      <c r="D941" s="75" t="n"/>
      <c r="E941" s="77" t="n"/>
      <c r="F941" s="76" t="n"/>
    </row>
    <row r="942" ht="15" customHeight="1" s="43">
      <c r="A942" s="73" t="n"/>
      <c r="B942" s="74" t="n"/>
      <c r="C942" s="74" t="n"/>
      <c r="D942" s="75" t="n"/>
      <c r="F942" s="76" t="n"/>
    </row>
    <row r="943" ht="15" customHeight="1" s="43">
      <c r="A943" s="73" t="n"/>
      <c r="B943" s="74" t="n"/>
      <c r="C943" s="74" t="n"/>
      <c r="D943" s="75" t="n"/>
      <c r="F943" s="76" t="n"/>
    </row>
    <row r="944" ht="15" customHeight="1" s="43">
      <c r="A944" s="73" t="n"/>
      <c r="B944" s="74" t="n"/>
      <c r="C944" s="74" t="n"/>
      <c r="D944" s="75" t="n"/>
      <c r="F944" s="76" t="n"/>
    </row>
    <row r="945" ht="15" customHeight="1" s="43">
      <c r="A945" s="73" t="n"/>
      <c r="B945" s="74" t="n"/>
      <c r="C945" s="74" t="n"/>
      <c r="D945" s="75" t="n"/>
      <c r="F945" s="76" t="n"/>
    </row>
    <row r="946" ht="15" customHeight="1" s="43">
      <c r="A946" s="73" t="n"/>
      <c r="B946" s="74" t="n"/>
      <c r="C946" s="74" t="n"/>
      <c r="D946" s="75" t="n"/>
      <c r="E946" s="77" t="n"/>
      <c r="F946" s="76" t="n"/>
    </row>
    <row r="947" ht="15" customHeight="1" s="43">
      <c r="A947" s="73" t="n"/>
      <c r="B947" s="74" t="n"/>
      <c r="C947" s="74" t="n"/>
      <c r="D947" s="75" t="n"/>
      <c r="F947" s="76" t="n"/>
    </row>
    <row r="948" ht="15" customHeight="1" s="43">
      <c r="A948" s="73" t="n"/>
      <c r="B948" s="74" t="n"/>
      <c r="C948" s="74" t="n"/>
      <c r="D948" s="75" t="n"/>
      <c r="F948" s="78" t="n"/>
    </row>
    <row r="949" ht="15" customHeight="1" s="43">
      <c r="A949" s="73" t="n"/>
      <c r="B949" s="74" t="n"/>
      <c r="C949" s="74" t="n"/>
      <c r="D949" s="75" t="n"/>
      <c r="F949" s="76" t="n"/>
    </row>
    <row r="950" ht="15" customHeight="1" s="43">
      <c r="A950" s="73" t="n"/>
      <c r="B950" s="74" t="n"/>
      <c r="C950" s="74" t="n"/>
      <c r="D950" s="75" t="n"/>
      <c r="F950" s="76" t="n"/>
    </row>
    <row r="951" ht="15" customHeight="1" s="43">
      <c r="A951" s="73" t="n"/>
      <c r="B951" s="74" t="n"/>
      <c r="C951" s="74" t="n"/>
      <c r="D951" s="75" t="n"/>
      <c r="E951" s="77" t="n"/>
      <c r="F951" s="76" t="n"/>
    </row>
    <row r="952" ht="15" customHeight="1" s="43">
      <c r="A952" s="73" t="n"/>
      <c r="B952" s="74" t="n"/>
      <c r="C952" s="74" t="n"/>
      <c r="D952" s="75" t="n"/>
      <c r="F952" s="76" t="n"/>
    </row>
    <row r="953" ht="15" customHeight="1" s="43">
      <c r="A953" s="73" t="n"/>
      <c r="B953" s="74" t="n"/>
      <c r="C953" s="74" t="n"/>
      <c r="D953" s="75" t="n"/>
      <c r="F953" s="76" t="n"/>
    </row>
    <row r="954" ht="15" customHeight="1" s="43">
      <c r="A954" s="73" t="n"/>
      <c r="B954" s="74" t="n"/>
      <c r="C954" s="74" t="n"/>
      <c r="D954" s="75" t="n"/>
      <c r="F954" s="76" t="n"/>
    </row>
    <row r="955" ht="15" customHeight="1" s="43">
      <c r="A955" s="73" t="n"/>
      <c r="B955" s="74" t="n"/>
      <c r="C955" s="74" t="n"/>
      <c r="D955" s="75" t="n"/>
      <c r="E955" s="77" t="n"/>
      <c r="F955" s="76" t="n"/>
    </row>
    <row r="956" ht="15" customHeight="1" s="43">
      <c r="A956" s="73" t="n"/>
      <c r="B956" s="74" t="n"/>
      <c r="C956" s="74" t="n"/>
      <c r="D956" s="75" t="n"/>
      <c r="F956" s="76" t="n"/>
    </row>
    <row r="957" ht="15" customHeight="1" s="43">
      <c r="A957" s="73" t="n"/>
      <c r="B957" s="74" t="n"/>
      <c r="C957" s="74" t="n"/>
      <c r="D957" s="75" t="n"/>
      <c r="F957" s="76" t="n"/>
    </row>
    <row r="958" ht="15" customHeight="1" s="43">
      <c r="A958" s="73" t="n"/>
      <c r="B958" s="74" t="n"/>
      <c r="C958" s="74" t="n"/>
      <c r="D958" s="75" t="n"/>
      <c r="F958" s="76" t="n"/>
    </row>
    <row r="959" ht="15" customHeight="1" s="43">
      <c r="A959" s="73" t="n"/>
      <c r="B959" s="74" t="n"/>
      <c r="C959" s="74" t="n"/>
      <c r="D959" s="75" t="n"/>
      <c r="F959" s="76" t="n"/>
    </row>
    <row r="960" ht="15" customHeight="1" s="43">
      <c r="A960" s="73" t="n"/>
      <c r="B960" s="74" t="n"/>
      <c r="C960" s="74" t="n"/>
      <c r="D960" s="75" t="n"/>
      <c r="E960" s="77" t="n"/>
      <c r="F960" s="76" t="n"/>
    </row>
    <row r="961" ht="15" customHeight="1" s="43">
      <c r="A961" s="73" t="n"/>
      <c r="B961" s="74" t="n"/>
      <c r="C961" s="74" t="n"/>
      <c r="D961" s="75" t="n"/>
      <c r="F961" s="76" t="n"/>
    </row>
    <row r="962" ht="15" customHeight="1" s="43">
      <c r="A962" s="73" t="n"/>
      <c r="B962" s="74" t="n"/>
      <c r="C962" s="74" t="n"/>
      <c r="D962" s="75" t="n"/>
      <c r="F962" s="76" t="n"/>
    </row>
    <row r="963" ht="15" customHeight="1" s="43">
      <c r="A963" s="73" t="n"/>
      <c r="B963" s="74" t="n"/>
      <c r="C963" s="74" t="n"/>
      <c r="D963" s="75" t="n"/>
      <c r="E963" s="77" t="n"/>
      <c r="F963" s="76" t="n"/>
    </row>
    <row r="964" ht="15" customHeight="1" s="43">
      <c r="A964" s="73" t="n"/>
      <c r="B964" s="74" t="n"/>
      <c r="C964" s="74" t="n"/>
      <c r="D964" s="75" t="n"/>
      <c r="F964" s="76" t="n"/>
    </row>
    <row r="965" ht="15" customHeight="1" s="43">
      <c r="A965" s="73" t="n"/>
      <c r="B965" s="74" t="n"/>
      <c r="C965" s="74" t="n"/>
      <c r="D965" s="75" t="n"/>
      <c r="F965" s="76" t="n"/>
    </row>
    <row r="966" ht="15" customHeight="1" s="43">
      <c r="A966" s="73" t="n"/>
      <c r="B966" s="74" t="n"/>
      <c r="C966" s="74" t="n"/>
      <c r="D966" s="75" t="n"/>
      <c r="F966" s="76" t="n"/>
    </row>
    <row r="967" ht="15" customHeight="1" s="43">
      <c r="A967" s="73" t="n"/>
      <c r="B967" s="74" t="n"/>
      <c r="C967" s="74" t="n"/>
      <c r="D967" s="75" t="n"/>
      <c r="F967" s="76" t="n"/>
    </row>
    <row r="968" ht="15" customHeight="1" s="43">
      <c r="A968" s="73" t="n"/>
      <c r="B968" s="74" t="n"/>
      <c r="C968" s="74" t="n"/>
      <c r="D968" s="75" t="n"/>
      <c r="E968" s="77" t="n"/>
      <c r="F968" s="76" t="n"/>
    </row>
    <row r="969" ht="15" customHeight="1" s="43">
      <c r="A969" s="73" t="n"/>
      <c r="B969" s="74" t="n"/>
      <c r="C969" s="74" t="n"/>
      <c r="D969" s="75" t="n"/>
      <c r="F969" s="76" t="n"/>
    </row>
    <row r="970" ht="15" customHeight="1" s="43">
      <c r="A970" s="73" t="n"/>
      <c r="B970" s="74" t="n"/>
      <c r="C970" s="74" t="n"/>
      <c r="D970" s="75" t="n"/>
      <c r="F970" s="76" t="n"/>
    </row>
    <row r="971" ht="15" customHeight="1" s="43">
      <c r="A971" s="73" t="n"/>
      <c r="B971" s="74" t="n"/>
      <c r="C971" s="74" t="n"/>
      <c r="D971" s="75" t="n"/>
      <c r="F971" s="76" t="n"/>
    </row>
    <row r="972" ht="15" customHeight="1" s="43">
      <c r="A972" s="73" t="n"/>
      <c r="B972" s="74" t="n"/>
      <c r="C972" s="74" t="n"/>
      <c r="D972" s="75" t="n"/>
      <c r="E972" s="77" t="n"/>
      <c r="F972" s="76" t="n"/>
    </row>
    <row r="973" ht="15" customHeight="1" s="43">
      <c r="A973" s="73" t="n"/>
      <c r="B973" s="74" t="n"/>
      <c r="C973" s="74" t="n"/>
      <c r="D973" s="75" t="n"/>
      <c r="F973" s="76" t="n"/>
    </row>
    <row r="974" ht="15" customHeight="1" s="43">
      <c r="A974" s="73" t="n"/>
      <c r="B974" s="74" t="n"/>
      <c r="C974" s="74" t="n"/>
      <c r="D974" s="75" t="n"/>
      <c r="F974" s="76" t="n"/>
    </row>
    <row r="975" ht="15" customHeight="1" s="43">
      <c r="A975" s="73" t="n"/>
      <c r="B975" s="74" t="n"/>
      <c r="C975" s="74" t="n"/>
      <c r="D975" s="75" t="n"/>
      <c r="F975" s="76" t="n"/>
    </row>
    <row r="976" ht="15" customHeight="1" s="43">
      <c r="A976" s="73" t="n"/>
      <c r="B976" s="74" t="n"/>
      <c r="C976" s="74" t="n"/>
      <c r="D976" s="75" t="n"/>
      <c r="E976" s="77" t="n"/>
      <c r="F976" s="76" t="n"/>
    </row>
    <row r="977" ht="15" customHeight="1" s="43">
      <c r="A977" s="73" t="n"/>
      <c r="B977" s="74" t="n"/>
      <c r="C977" s="74" t="n"/>
      <c r="D977" s="75" t="n"/>
      <c r="F977" s="76" t="n"/>
    </row>
    <row r="978" ht="15" customHeight="1" s="43">
      <c r="A978" s="73" t="n"/>
      <c r="B978" s="74" t="n"/>
      <c r="C978" s="74" t="n"/>
      <c r="D978" s="75" t="n"/>
      <c r="F978" s="76" t="n"/>
    </row>
    <row r="979" ht="15" customHeight="1" s="43">
      <c r="A979" s="73" t="n"/>
      <c r="B979" s="74" t="n"/>
      <c r="C979" s="74" t="n"/>
      <c r="D979" s="75" t="n"/>
      <c r="F979" s="76" t="n"/>
    </row>
    <row r="980" ht="15" customHeight="1" s="43">
      <c r="A980" s="73" t="n"/>
      <c r="B980" s="74" t="n"/>
      <c r="C980" s="74" t="n"/>
      <c r="D980" s="75" t="n"/>
      <c r="F980" s="76" t="n"/>
    </row>
    <row r="981" ht="15" customHeight="1" s="43">
      <c r="A981" s="73" t="n"/>
      <c r="B981" s="74" t="n"/>
      <c r="C981" s="74" t="n"/>
      <c r="D981" s="75" t="n"/>
      <c r="F981" s="76" t="n"/>
    </row>
    <row r="982" ht="15" customHeight="1" s="43">
      <c r="A982" s="73" t="n"/>
      <c r="B982" s="74" t="n"/>
      <c r="C982" s="74" t="n"/>
      <c r="D982" s="75" t="n"/>
      <c r="E982" s="77" t="n"/>
      <c r="F982" s="76" t="n"/>
    </row>
    <row r="983" ht="15" customHeight="1" s="43">
      <c r="A983" s="73" t="n"/>
      <c r="B983" s="74" t="n"/>
      <c r="C983" s="74" t="n"/>
      <c r="D983" s="75" t="n"/>
      <c r="F983" s="78" t="n"/>
    </row>
    <row r="984" ht="15" customHeight="1" s="43">
      <c r="A984" s="73" t="n"/>
      <c r="B984" s="74" t="n"/>
      <c r="C984" s="74" t="n"/>
      <c r="D984" s="75" t="n"/>
      <c r="F984" s="76" t="n"/>
    </row>
    <row r="985" ht="15" customHeight="1" s="43">
      <c r="A985" s="73" t="n"/>
      <c r="B985" s="74" t="n"/>
      <c r="C985" s="74" t="n"/>
      <c r="D985" s="75" t="n"/>
      <c r="F985" s="76" t="n"/>
    </row>
    <row r="986" ht="15" customHeight="1" s="43">
      <c r="A986" s="73" t="n"/>
      <c r="B986" s="74" t="n"/>
      <c r="C986" s="74" t="n"/>
      <c r="D986" s="75" t="n"/>
      <c r="F986" s="76" t="n"/>
    </row>
    <row r="987" ht="15" customHeight="1" s="43">
      <c r="A987" s="73" t="n"/>
      <c r="B987" s="74" t="n"/>
      <c r="C987" s="74" t="n"/>
      <c r="D987" s="75" t="n"/>
      <c r="F987" s="76" t="n"/>
    </row>
    <row r="988" ht="15" customHeight="1" s="43">
      <c r="A988" s="73" t="n"/>
      <c r="B988" s="74" t="n"/>
      <c r="C988" s="74" t="n"/>
      <c r="D988" s="75" t="n"/>
      <c r="E988" s="77" t="n"/>
      <c r="F988" s="76" t="n"/>
    </row>
    <row r="989" ht="15" customHeight="1" s="43">
      <c r="A989" s="73" t="n"/>
      <c r="B989" s="74" t="n"/>
      <c r="C989" s="74" t="n"/>
      <c r="D989" s="75" t="n"/>
      <c r="F989" s="76" t="n"/>
    </row>
    <row r="990" ht="15" customHeight="1" s="43">
      <c r="A990" s="73" t="n"/>
      <c r="B990" s="74" t="n"/>
      <c r="C990" s="74" t="n"/>
      <c r="D990" s="75" t="n"/>
      <c r="F990" s="76" t="n"/>
    </row>
    <row r="991" ht="15" customHeight="1" s="43">
      <c r="A991" s="73" t="n"/>
      <c r="B991" s="74" t="n"/>
      <c r="C991" s="74" t="n"/>
      <c r="D991" s="75" t="n"/>
      <c r="E991" s="77" t="n"/>
      <c r="F991" s="76" t="n"/>
    </row>
    <row r="992" ht="15" customHeight="1" s="43">
      <c r="A992" s="73" t="n"/>
      <c r="B992" s="74" t="n"/>
      <c r="C992" s="74" t="n"/>
      <c r="D992" s="75" t="n"/>
      <c r="F992" s="76" t="n"/>
    </row>
    <row r="993" ht="15" customHeight="1" s="43">
      <c r="A993" s="73" t="n"/>
      <c r="B993" s="74" t="n"/>
      <c r="C993" s="74" t="n"/>
      <c r="D993" s="75" t="n"/>
      <c r="F993" s="76" t="n"/>
    </row>
    <row r="994" ht="15" customHeight="1" s="43">
      <c r="A994" s="73" t="n"/>
      <c r="B994" s="74" t="n"/>
      <c r="C994" s="74" t="n"/>
      <c r="D994" s="75" t="n"/>
      <c r="F994" s="76" t="n"/>
    </row>
    <row r="995" ht="15" customHeight="1" s="43">
      <c r="A995" s="73" t="n"/>
      <c r="B995" s="74" t="n"/>
      <c r="C995" s="74" t="n"/>
      <c r="D995" s="75" t="n"/>
      <c r="F995" s="76" t="n"/>
    </row>
    <row r="996" ht="15" customHeight="1" s="43">
      <c r="A996" s="73" t="n"/>
      <c r="B996" s="74" t="n"/>
      <c r="C996" s="74" t="n"/>
      <c r="D996" s="75" t="n"/>
      <c r="E996" s="77" t="n"/>
      <c r="F996" s="76" t="n"/>
    </row>
    <row r="997" ht="15" customHeight="1" s="43">
      <c r="A997" s="73" t="n"/>
      <c r="B997" s="74" t="n"/>
      <c r="C997" s="74" t="n"/>
      <c r="D997" s="75" t="n"/>
      <c r="F997" s="76" t="n"/>
    </row>
    <row r="998" ht="15" customHeight="1" s="43">
      <c r="A998" s="73" t="n"/>
      <c r="B998" s="74" t="n"/>
      <c r="C998" s="74" t="n"/>
      <c r="D998" s="75" t="n"/>
      <c r="F998" s="76" t="n"/>
    </row>
    <row r="999" ht="15" customHeight="1" s="43">
      <c r="A999" s="73" t="n"/>
      <c r="B999" s="74" t="n"/>
      <c r="C999" s="74" t="n"/>
      <c r="D999" s="75" t="n"/>
      <c r="F999" s="76" t="n"/>
    </row>
    <row r="1000" ht="15" customHeight="1" s="43">
      <c r="A1000" s="73" t="n"/>
      <c r="B1000" s="74" t="n"/>
      <c r="C1000" s="74" t="n"/>
      <c r="D1000" s="75" t="n"/>
      <c r="F1000" s="76" t="n"/>
    </row>
    <row r="1001" ht="15" customHeight="1" s="43">
      <c r="A1001" s="73" t="n"/>
      <c r="B1001" s="74" t="n"/>
      <c r="C1001" s="74" t="n"/>
      <c r="D1001" s="75" t="n"/>
      <c r="F1001" s="76" t="n"/>
    </row>
    <row r="1002" ht="15" customHeight="1" s="43">
      <c r="A1002" s="73" t="n"/>
      <c r="B1002" s="74" t="n"/>
      <c r="C1002" s="74" t="n"/>
      <c r="D1002" s="75" t="n"/>
      <c r="E1002" s="77" t="n"/>
      <c r="F1002" s="76" t="n"/>
    </row>
    <row r="1003" ht="15" customHeight="1" s="43">
      <c r="A1003" s="73" t="n"/>
      <c r="B1003" s="74" t="n"/>
      <c r="C1003" s="74" t="n"/>
      <c r="D1003" s="75" t="n"/>
      <c r="F1003" s="76" t="n"/>
    </row>
    <row r="1004" ht="15" customHeight="1" s="43">
      <c r="A1004" s="73" t="n"/>
      <c r="B1004" s="74" t="n"/>
      <c r="C1004" s="74" t="n"/>
      <c r="D1004" s="75" t="n"/>
      <c r="F1004" s="76" t="n"/>
    </row>
    <row r="1005" ht="15" customHeight="1" s="43">
      <c r="A1005" s="73" t="n"/>
      <c r="B1005" s="74" t="n"/>
      <c r="C1005" s="74" t="n"/>
      <c r="D1005" s="75" t="n"/>
      <c r="E1005" s="77" t="n"/>
      <c r="F1005" s="76" t="n"/>
    </row>
    <row r="1006" ht="15" customHeight="1" s="43">
      <c r="A1006" s="73" t="n"/>
      <c r="B1006" s="74" t="n"/>
      <c r="C1006" s="74" t="n"/>
      <c r="D1006" s="75" t="n"/>
      <c r="F1006" s="76" t="n"/>
    </row>
    <row r="1007" ht="15" customHeight="1" s="43">
      <c r="A1007" s="73" t="n"/>
      <c r="B1007" s="74" t="n"/>
      <c r="C1007" s="74" t="n"/>
      <c r="D1007" s="75" t="n"/>
      <c r="F1007" s="76" t="n"/>
    </row>
    <row r="1008" ht="15" customHeight="1" s="43">
      <c r="A1008" s="73" t="n"/>
      <c r="B1008" s="74" t="n"/>
      <c r="C1008" s="74" t="n"/>
      <c r="D1008" s="75" t="n"/>
      <c r="F1008" s="76" t="n"/>
    </row>
    <row r="1009" ht="15" customHeight="1" s="43">
      <c r="A1009" s="73" t="n"/>
      <c r="B1009" s="74" t="n"/>
      <c r="C1009" s="74" t="n"/>
      <c r="D1009" s="75" t="n"/>
      <c r="E1009" s="77" t="n"/>
      <c r="F1009" s="76" t="n"/>
    </row>
    <row r="1010" ht="15" customHeight="1" s="43">
      <c r="A1010" s="73" t="n"/>
      <c r="B1010" s="74" t="n"/>
      <c r="C1010" s="74" t="n"/>
      <c r="D1010" s="75" t="n"/>
      <c r="F1010" s="76" t="n"/>
    </row>
    <row r="1011" ht="15" customHeight="1" s="43">
      <c r="A1011" s="73" t="n"/>
      <c r="B1011" s="74" t="n"/>
      <c r="C1011" s="74" t="n"/>
      <c r="D1011" s="75" t="n"/>
      <c r="F1011" s="76" t="n"/>
    </row>
    <row r="1012" ht="15" customHeight="1" s="43">
      <c r="A1012" s="73" t="n"/>
      <c r="B1012" s="74" t="n"/>
      <c r="C1012" s="74" t="n"/>
      <c r="D1012" s="75" t="n"/>
      <c r="F1012" s="76" t="n"/>
    </row>
    <row r="1013" ht="15" customHeight="1" s="43">
      <c r="A1013" s="73" t="n"/>
      <c r="B1013" s="74" t="n"/>
      <c r="C1013" s="74" t="n"/>
      <c r="D1013" s="75" t="n"/>
      <c r="F1013" s="76" t="n"/>
    </row>
    <row r="1014" ht="15" customHeight="1" s="43">
      <c r="A1014" s="73" t="n"/>
      <c r="B1014" s="74" t="n"/>
      <c r="C1014" s="74" t="n"/>
      <c r="D1014" s="75" t="n"/>
      <c r="F1014" s="76" t="n"/>
    </row>
    <row r="1015" ht="15" customHeight="1" s="43">
      <c r="A1015" s="73" t="n"/>
      <c r="B1015" s="74" t="n"/>
      <c r="C1015" s="74" t="n"/>
      <c r="D1015" s="75" t="n"/>
      <c r="E1015" s="77" t="n"/>
      <c r="F1015" s="76" t="n"/>
    </row>
    <row r="1016" ht="15" customHeight="1" s="43">
      <c r="A1016" s="73" t="n"/>
      <c r="B1016" s="74" t="n"/>
      <c r="C1016" s="74" t="n"/>
      <c r="D1016" s="75" t="n"/>
      <c r="F1016" s="76" t="n"/>
    </row>
    <row r="1017" ht="15" customHeight="1" s="43">
      <c r="A1017" s="73" t="n"/>
      <c r="B1017" s="74" t="n"/>
      <c r="C1017" s="74" t="n"/>
      <c r="D1017" s="75" t="n"/>
      <c r="F1017" s="76" t="n"/>
    </row>
    <row r="1018" ht="15" customHeight="1" s="43">
      <c r="A1018" s="73" t="n"/>
      <c r="B1018" s="74" t="n"/>
      <c r="C1018" s="74" t="n"/>
      <c r="D1018" s="75" t="n"/>
      <c r="F1018" s="76" t="n"/>
    </row>
    <row r="1019" ht="15" customHeight="1" s="43">
      <c r="A1019" s="73" t="n"/>
      <c r="B1019" s="74" t="n"/>
      <c r="C1019" s="74" t="n"/>
      <c r="D1019" s="75" t="n"/>
      <c r="E1019" s="77" t="n"/>
      <c r="F1019" s="76" t="n"/>
    </row>
    <row r="1020" ht="15" customHeight="1" s="43">
      <c r="A1020" s="73" t="n"/>
      <c r="B1020" s="74" t="n"/>
      <c r="C1020" s="74" t="n"/>
      <c r="D1020" s="75" t="n"/>
      <c r="F1020" s="76" t="n"/>
    </row>
    <row r="1021" ht="15" customHeight="1" s="43">
      <c r="A1021" s="73" t="n"/>
      <c r="B1021" s="74" t="n"/>
      <c r="C1021" s="74" t="n"/>
      <c r="D1021" s="75" t="n"/>
      <c r="F1021" s="76" t="n"/>
    </row>
    <row r="1022" ht="15" customHeight="1" s="43">
      <c r="A1022" s="73" t="n"/>
      <c r="B1022" s="74" t="n"/>
      <c r="C1022" s="74" t="n"/>
      <c r="D1022" s="75" t="n"/>
      <c r="F1022" s="76" t="n"/>
    </row>
    <row r="1023" ht="15" customHeight="1" s="43">
      <c r="A1023" s="73" t="n"/>
      <c r="B1023" s="74" t="n"/>
      <c r="C1023" s="74" t="n"/>
      <c r="D1023" s="75" t="n"/>
      <c r="E1023" s="77" t="n"/>
      <c r="F1023" s="76" t="n"/>
    </row>
    <row r="1024" ht="15" customHeight="1" s="43">
      <c r="A1024" s="73" t="n"/>
      <c r="B1024" s="74" t="n"/>
      <c r="C1024" s="74" t="n"/>
      <c r="D1024" s="75" t="n"/>
      <c r="F1024" s="76" t="n"/>
    </row>
    <row r="1025" ht="15" customHeight="1" s="43">
      <c r="A1025" s="73" t="n"/>
      <c r="B1025" s="74" t="n"/>
      <c r="C1025" s="74" t="n"/>
      <c r="D1025" s="75" t="n"/>
      <c r="F1025" s="76" t="n"/>
    </row>
    <row r="1026" ht="15" customHeight="1" s="43">
      <c r="A1026" s="73" t="n"/>
      <c r="B1026" s="74" t="n"/>
      <c r="C1026" s="74" t="n"/>
      <c r="D1026" s="75" t="n"/>
      <c r="F1026" s="76" t="n"/>
    </row>
    <row r="1027" ht="15" customHeight="1" s="43">
      <c r="A1027" s="73" t="n"/>
      <c r="B1027" s="74" t="n"/>
      <c r="C1027" s="74" t="n"/>
      <c r="D1027" s="75" t="n"/>
      <c r="F1027" s="76" t="n"/>
    </row>
    <row r="1028" ht="15" customHeight="1" s="43">
      <c r="A1028" s="73" t="n"/>
      <c r="B1028" s="74" t="n"/>
      <c r="C1028" s="74" t="n"/>
      <c r="D1028" s="75" t="n"/>
      <c r="E1028" s="77" t="n"/>
      <c r="F1028" s="76" t="n"/>
    </row>
    <row r="1029" ht="15" customHeight="1" s="43">
      <c r="A1029" s="73" t="n"/>
      <c r="B1029" s="74" t="n"/>
      <c r="C1029" s="74" t="n"/>
      <c r="D1029" s="75" t="n"/>
      <c r="F1029" s="76" t="n"/>
    </row>
    <row r="1030" ht="15" customHeight="1" s="43">
      <c r="A1030" s="73" t="n"/>
      <c r="B1030" s="74" t="n"/>
      <c r="C1030" s="74" t="n"/>
      <c r="D1030" s="75" t="n"/>
      <c r="F1030" s="76" t="n"/>
    </row>
    <row r="1031" ht="15" customHeight="1" s="43">
      <c r="A1031" s="73" t="n"/>
      <c r="B1031" s="74" t="n"/>
      <c r="C1031" s="74" t="n"/>
      <c r="D1031" s="75" t="n"/>
      <c r="E1031" s="77" t="n"/>
      <c r="F1031" s="76" t="n"/>
    </row>
    <row r="1032" ht="15" customHeight="1" s="43">
      <c r="A1032" s="73" t="n"/>
      <c r="B1032" s="74" t="n"/>
      <c r="C1032" s="74" t="n"/>
      <c r="D1032" s="75" t="n"/>
      <c r="F1032" s="76" t="n"/>
    </row>
    <row r="1033" ht="15" customHeight="1" s="43">
      <c r="A1033" s="73" t="n"/>
      <c r="B1033" s="74" t="n"/>
      <c r="C1033" s="74" t="n"/>
      <c r="D1033" s="75" t="n"/>
      <c r="F1033" s="76" t="n"/>
    </row>
    <row r="1034" ht="15" customHeight="1" s="43">
      <c r="A1034" s="73" t="n"/>
      <c r="B1034" s="74" t="n"/>
      <c r="C1034" s="74" t="n"/>
      <c r="D1034" s="75" t="n"/>
      <c r="F1034" s="76" t="n"/>
    </row>
    <row r="1035" ht="15" customHeight="1" s="43">
      <c r="A1035" s="73" t="n"/>
      <c r="B1035" s="74" t="n"/>
      <c r="C1035" s="74" t="n"/>
      <c r="D1035" s="75" t="n"/>
      <c r="E1035" s="77" t="n"/>
      <c r="F1035" s="76" t="n"/>
    </row>
    <row r="1036" ht="15" customHeight="1" s="43">
      <c r="A1036" s="73" t="n"/>
      <c r="B1036" s="74" t="n"/>
      <c r="C1036" s="74" t="n"/>
      <c r="D1036" s="75" t="n"/>
      <c r="F1036" s="76" t="n"/>
    </row>
    <row r="1037" ht="15" customHeight="1" s="43">
      <c r="A1037" s="73" t="n"/>
      <c r="B1037" s="74" t="n"/>
      <c r="C1037" s="74" t="n"/>
      <c r="D1037" s="75" t="n"/>
      <c r="F1037" s="76" t="n"/>
    </row>
    <row r="1038" ht="15" customHeight="1" s="43">
      <c r="A1038" s="73" t="n"/>
      <c r="B1038" s="74" t="n"/>
      <c r="C1038" s="74" t="n"/>
      <c r="D1038" s="75" t="n"/>
      <c r="E1038" s="77" t="n"/>
      <c r="F1038" s="76" t="n"/>
    </row>
    <row r="1039" ht="15" customHeight="1" s="43">
      <c r="A1039" s="73" t="n"/>
      <c r="B1039" s="74" t="n"/>
      <c r="C1039" s="74" t="n"/>
      <c r="D1039" s="75" t="n"/>
      <c r="F1039" s="76" t="n"/>
    </row>
    <row r="1040" ht="15" customHeight="1" s="43">
      <c r="A1040" s="73" t="n"/>
      <c r="B1040" s="74" t="n"/>
      <c r="C1040" s="74" t="n"/>
      <c r="D1040" s="75" t="n"/>
      <c r="F1040" s="78" t="n"/>
    </row>
    <row r="1041" ht="15" customHeight="1" s="43">
      <c r="A1041" s="73" t="n"/>
      <c r="B1041" s="74" t="n"/>
      <c r="C1041" s="74" t="n"/>
      <c r="D1041" s="75" t="n"/>
      <c r="F1041" s="76" t="n"/>
    </row>
    <row r="1042" ht="15" customHeight="1" s="43">
      <c r="A1042" s="73" t="n"/>
      <c r="B1042" s="74" t="n"/>
      <c r="C1042" s="74" t="n"/>
      <c r="D1042" s="75" t="n"/>
      <c r="E1042" s="77" t="n"/>
      <c r="F1042" s="76" t="n"/>
    </row>
    <row r="1043" ht="15" customHeight="1" s="43">
      <c r="A1043" s="73" t="n"/>
      <c r="B1043" s="74" t="n"/>
      <c r="C1043" s="74" t="n"/>
      <c r="D1043" s="75" t="n"/>
      <c r="F1043" s="76" t="n"/>
    </row>
    <row r="1044" ht="15" customHeight="1" s="43">
      <c r="A1044" s="73" t="n"/>
      <c r="B1044" s="74" t="n"/>
      <c r="C1044" s="74" t="n"/>
      <c r="D1044" s="75" t="n"/>
      <c r="F1044" s="78" t="n"/>
    </row>
    <row r="1045" ht="15" customHeight="1" s="43">
      <c r="A1045" s="73" t="n"/>
      <c r="B1045" s="74" t="n"/>
      <c r="C1045" s="74" t="n"/>
      <c r="D1045" s="75" t="n"/>
      <c r="F1045" s="76" t="n"/>
    </row>
    <row r="1046" ht="15" customHeight="1" s="43">
      <c r="A1046" s="73" t="n"/>
      <c r="B1046" s="74" t="n"/>
      <c r="C1046" s="74" t="n"/>
      <c r="D1046" s="75" t="n"/>
      <c r="F1046" s="76" t="n"/>
    </row>
    <row r="1047" ht="15" customHeight="1" s="43">
      <c r="A1047" s="73" t="n"/>
      <c r="B1047" s="74" t="n"/>
      <c r="C1047" s="74" t="n"/>
      <c r="D1047" s="75" t="n"/>
      <c r="F1047" s="76" t="n"/>
    </row>
    <row r="1048" ht="15" customHeight="1" s="43">
      <c r="A1048" s="73" t="n"/>
      <c r="B1048" s="74" t="n"/>
      <c r="C1048" s="74" t="n"/>
      <c r="D1048" s="75" t="n"/>
      <c r="F1048" s="76" t="n"/>
    </row>
    <row r="1049" ht="15" customHeight="1" s="43">
      <c r="A1049" s="73" t="n"/>
      <c r="B1049" s="74" t="n"/>
      <c r="C1049" s="74" t="n"/>
      <c r="D1049" s="75" t="n"/>
      <c r="F1049" s="76" t="n"/>
    </row>
    <row r="1050" ht="15" customHeight="1" s="43">
      <c r="A1050" s="73" t="n"/>
      <c r="B1050" s="74" t="n"/>
      <c r="C1050" s="74" t="n"/>
      <c r="D1050" s="75" t="n"/>
      <c r="E1050" s="77" t="n"/>
      <c r="F1050" s="76" t="n"/>
    </row>
    <row r="1051" ht="15" customHeight="1" s="43">
      <c r="A1051" s="73" t="n"/>
      <c r="B1051" s="74" t="n"/>
      <c r="C1051" s="74" t="n"/>
      <c r="D1051" s="75" t="n"/>
      <c r="F1051" s="76" t="n"/>
    </row>
    <row r="1052" ht="15" customHeight="1" s="43">
      <c r="A1052" s="73" t="n"/>
      <c r="B1052" s="74" t="n"/>
      <c r="C1052" s="74" t="n"/>
      <c r="D1052" s="75" t="n"/>
      <c r="F1052" s="76" t="n"/>
    </row>
    <row r="1053" ht="15" customHeight="1" s="43">
      <c r="A1053" s="73" t="n"/>
      <c r="B1053" s="74" t="n"/>
      <c r="C1053" s="74" t="n"/>
      <c r="D1053" s="75" t="n"/>
      <c r="F1053" s="76" t="n"/>
    </row>
    <row r="1054" ht="15" customHeight="1" s="43">
      <c r="A1054" s="73" t="n"/>
      <c r="B1054" s="74" t="n"/>
      <c r="C1054" s="74" t="n"/>
      <c r="D1054" s="75" t="n"/>
      <c r="F1054" s="76" t="n"/>
    </row>
    <row r="1055" ht="15" customHeight="1" s="43">
      <c r="A1055" s="73" t="n"/>
      <c r="B1055" s="74" t="n"/>
      <c r="C1055" s="74" t="n"/>
      <c r="D1055" s="75" t="n"/>
      <c r="F1055" s="76" t="n"/>
    </row>
    <row r="1056" ht="15" customHeight="1" s="43">
      <c r="A1056" s="73" t="n"/>
      <c r="B1056" s="74" t="n"/>
      <c r="C1056" s="74" t="n"/>
      <c r="D1056" s="75" t="n"/>
      <c r="E1056" s="77" t="n"/>
      <c r="F1056" s="76" t="n"/>
    </row>
    <row r="1057" ht="15" customHeight="1" s="43">
      <c r="A1057" s="73" t="n"/>
      <c r="B1057" s="74" t="n"/>
      <c r="C1057" s="74" t="n"/>
      <c r="D1057" s="75" t="n"/>
      <c r="F1057" s="76" t="n"/>
    </row>
    <row r="1058" ht="15" customHeight="1" s="43">
      <c r="A1058" s="73" t="n"/>
      <c r="B1058" s="74" t="n"/>
      <c r="C1058" s="74" t="n"/>
      <c r="D1058" s="75" t="n"/>
      <c r="E1058" s="77" t="n"/>
      <c r="F1058" s="76" t="n"/>
    </row>
    <row r="1059" ht="15" customHeight="1" s="43">
      <c r="A1059" s="73" t="n"/>
      <c r="B1059" s="74" t="n"/>
      <c r="C1059" s="74" t="n"/>
      <c r="D1059" s="75" t="n"/>
      <c r="F1059" s="76" t="n"/>
    </row>
    <row r="1060" ht="15" customHeight="1" s="43">
      <c r="A1060" s="73" t="n"/>
      <c r="B1060" s="74" t="n"/>
      <c r="C1060" s="74" t="n"/>
      <c r="D1060" s="75" t="n"/>
      <c r="F1060" s="76" t="n"/>
    </row>
    <row r="1061" ht="15" customHeight="1" s="43">
      <c r="A1061" s="73" t="n"/>
      <c r="B1061" s="74" t="n"/>
      <c r="C1061" s="74" t="n"/>
      <c r="D1061" s="75" t="n"/>
      <c r="F1061" s="76" t="n"/>
    </row>
    <row r="1062" ht="15" customHeight="1" s="43">
      <c r="A1062" s="73" t="n"/>
      <c r="B1062" s="74" t="n"/>
      <c r="C1062" s="74" t="n"/>
      <c r="D1062" s="75" t="n"/>
      <c r="E1062" s="77" t="n"/>
      <c r="F1062" s="76" t="n"/>
    </row>
    <row r="1063" ht="15" customHeight="1" s="43">
      <c r="A1063" s="73" t="n"/>
      <c r="B1063" s="74" t="n"/>
      <c r="C1063" s="74" t="n"/>
      <c r="D1063" s="75" t="n"/>
      <c r="F1063" s="76" t="n"/>
    </row>
    <row r="1064" ht="15" customHeight="1" s="43">
      <c r="A1064" s="73" t="n"/>
      <c r="B1064" s="74" t="n"/>
      <c r="C1064" s="74" t="n"/>
      <c r="D1064" s="75" t="n"/>
      <c r="F1064" s="76" t="n"/>
    </row>
    <row r="1065" ht="15" customHeight="1" s="43">
      <c r="A1065" s="73" t="n"/>
      <c r="B1065" s="74" t="n"/>
      <c r="C1065" s="74" t="n"/>
      <c r="D1065" s="75" t="n"/>
      <c r="F1065" s="76" t="n"/>
    </row>
    <row r="1066" ht="15" customHeight="1" s="43">
      <c r="A1066" s="73" t="n"/>
      <c r="B1066" s="74" t="n"/>
      <c r="C1066" s="74" t="n"/>
      <c r="D1066" s="75" t="n"/>
      <c r="F1066" s="76" t="n"/>
    </row>
    <row r="1067" ht="15" customHeight="1" s="43">
      <c r="A1067" s="73" t="n"/>
      <c r="B1067" s="74" t="n"/>
      <c r="C1067" s="74" t="n"/>
      <c r="D1067" s="75" t="n"/>
      <c r="F1067" s="76" t="n"/>
    </row>
    <row r="1068" ht="15" customHeight="1" s="43">
      <c r="A1068" s="73" t="n"/>
      <c r="B1068" s="74" t="n"/>
      <c r="C1068" s="74" t="n"/>
      <c r="D1068" s="75" t="n"/>
      <c r="F1068" s="76" t="n"/>
    </row>
    <row r="1069" ht="15" customHeight="1" s="43">
      <c r="A1069" s="73" t="n"/>
      <c r="B1069" s="74" t="n"/>
      <c r="C1069" s="74" t="n"/>
      <c r="D1069" s="75" t="n"/>
      <c r="E1069" s="77" t="n"/>
      <c r="F1069" s="76" t="n"/>
    </row>
    <row r="1070" ht="15" customHeight="1" s="43">
      <c r="A1070" s="73" t="n"/>
      <c r="B1070" s="74" t="n"/>
      <c r="C1070" s="74" t="n"/>
      <c r="D1070" s="75" t="n"/>
      <c r="F1070" s="76" t="n"/>
    </row>
    <row r="1071" ht="15" customHeight="1" s="43">
      <c r="A1071" s="73" t="n"/>
      <c r="B1071" s="74" t="n"/>
      <c r="C1071" s="74" t="n"/>
      <c r="D1071" s="75" t="n"/>
      <c r="E1071" s="77" t="n"/>
      <c r="F1071" s="76" t="n"/>
    </row>
    <row r="1072" ht="15" customHeight="1" s="43">
      <c r="A1072" s="73" t="n"/>
      <c r="B1072" s="74" t="n"/>
      <c r="C1072" s="74" t="n"/>
      <c r="D1072" s="75" t="n"/>
      <c r="E1072" s="77" t="n"/>
      <c r="F1072" s="76" t="n"/>
    </row>
    <row r="1073" ht="15" customHeight="1" s="43">
      <c r="A1073" s="73" t="n"/>
      <c r="B1073" s="74" t="n"/>
      <c r="C1073" s="74" t="n"/>
      <c r="D1073" s="75" t="n"/>
      <c r="E1073" s="77" t="n"/>
      <c r="F1073" s="76" t="n"/>
    </row>
    <row r="1074" ht="15" customHeight="1" s="43">
      <c r="A1074" s="73" t="n"/>
      <c r="B1074" s="74" t="n"/>
      <c r="C1074" s="74" t="n"/>
      <c r="D1074" s="75" t="n"/>
      <c r="E1074" s="77" t="n"/>
      <c r="F1074" s="76" t="n"/>
    </row>
    <row r="1075" ht="15" customHeight="1" s="43">
      <c r="A1075" s="73" t="n"/>
      <c r="B1075" s="74" t="n"/>
      <c r="C1075" s="74" t="n"/>
      <c r="D1075" s="75" t="n"/>
      <c r="E1075" s="77" t="n"/>
      <c r="F1075" s="76" t="n"/>
    </row>
    <row r="1076" ht="15" customHeight="1" s="43">
      <c r="A1076" s="73" t="n"/>
      <c r="B1076" s="74" t="n"/>
      <c r="C1076" s="74" t="n"/>
      <c r="D1076" s="75" t="n"/>
      <c r="E1076" s="77" t="n"/>
      <c r="F1076" s="76" t="n"/>
    </row>
    <row r="1077" ht="15" customHeight="1" s="43">
      <c r="A1077" s="73" t="n"/>
      <c r="B1077" s="74" t="n"/>
      <c r="C1077" s="74" t="n"/>
      <c r="D1077" s="75" t="n"/>
      <c r="E1077" s="77" t="n"/>
      <c r="F1077" s="76" t="n"/>
    </row>
    <row r="1078" ht="15" customHeight="1" s="43">
      <c r="A1078" s="73" t="n"/>
      <c r="B1078" s="74" t="n"/>
      <c r="C1078" s="74" t="n"/>
      <c r="D1078" s="75" t="n"/>
      <c r="E1078" s="77" t="n"/>
      <c r="F1078" s="76" t="n"/>
    </row>
    <row r="1079" ht="15" customHeight="1" s="43">
      <c r="A1079" s="73" t="n"/>
      <c r="B1079" s="74" t="n"/>
      <c r="C1079" s="74" t="n"/>
      <c r="D1079" s="75" t="n"/>
      <c r="E1079" s="77" t="n"/>
      <c r="F1079" s="76" t="n"/>
    </row>
    <row r="1080" ht="15" customHeight="1" s="43">
      <c r="A1080" s="73" t="n"/>
      <c r="B1080" s="74" t="n"/>
      <c r="C1080" s="74" t="n"/>
      <c r="D1080" s="75" t="n"/>
      <c r="E1080" s="77" t="n"/>
      <c r="F1080" s="76" t="n"/>
    </row>
    <row r="1081" ht="15" customHeight="1" s="43">
      <c r="A1081" s="73" t="n"/>
      <c r="B1081" s="74" t="n"/>
      <c r="C1081" s="74" t="n"/>
      <c r="D1081" s="75" t="n"/>
      <c r="E1081" s="77" t="n"/>
      <c r="F1081" s="76" t="n"/>
    </row>
    <row r="1082" ht="15" customHeight="1" s="43">
      <c r="A1082" s="73" t="n"/>
      <c r="B1082" s="74" t="n"/>
      <c r="C1082" s="74" t="n"/>
      <c r="D1082" s="75" t="n"/>
      <c r="E1082" s="77" t="n"/>
      <c r="F1082" s="76" t="n"/>
    </row>
  </sheetData>
  <dataValidations count="2">
    <dataValidation sqref="C2:C2082" showDropDown="0" showInputMessage="0" showErrorMessage="0" allowBlank="1" type="list" errorStyle="stop" operator="between">
      <formula1>"Income,Actual,One-off"</formula1>
      <formula2>0</formula2>
    </dataValidation>
    <dataValidation sqref="B2:B2082" showDropDown="0" showInputMessage="0" showErrorMessage="0" allowBlank="1" type="list" errorStyle="stop" operator="between">
      <formula1>Categories!$A$2:$A$60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tabColor rgb="00548235"/>
    <outlinePr summaryBelow="1" summaryRight="1"/>
    <pageSetUpPr fitToPage="0"/>
  </sheetPr>
  <dimension ref="A1:C4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42" min="1" max="1"/>
    <col width="16" customWidth="1" style="42" min="2" max="3"/>
  </cols>
  <sheetData>
    <row r="1" ht="15" customHeight="1" s="43">
      <c r="A1" s="72" t="inlineStr">
        <is>
          <t>Category</t>
        </is>
      </c>
      <c r="B1" s="72" t="inlineStr">
        <is>
          <t>Effective From</t>
        </is>
      </c>
      <c r="C1" s="72" t="inlineStr">
        <is>
          <t>Monthly Budget</t>
        </is>
      </c>
    </row>
    <row r="2" ht="15" customHeight="1" s="43">
      <c r="A2" s="96" t="inlineStr">
        <is>
          <t>Daily Food</t>
        </is>
      </c>
      <c r="B2" s="97" t="n">
        <v>39448</v>
      </c>
      <c r="C2" s="98" t="n">
        <v>400</v>
      </c>
    </row>
    <row r="3" ht="15" customHeight="1" s="43">
      <c r="A3" s="96" t="inlineStr">
        <is>
          <t>Daily Food</t>
        </is>
      </c>
      <c r="B3" s="97" t="n">
        <v>42005</v>
      </c>
      <c r="C3" s="98" t="n">
        <v>500</v>
      </c>
    </row>
    <row r="4" ht="15" customHeight="1" s="43">
      <c r="A4" s="96" t="inlineStr">
        <is>
          <t>Daily Food</t>
        </is>
      </c>
      <c r="B4" s="97" t="n">
        <v>44927</v>
      </c>
      <c r="C4" s="98" t="n">
        <v>600</v>
      </c>
    </row>
    <row r="5" ht="15" customHeight="1" s="43">
      <c r="A5" s="96" t="inlineStr">
        <is>
          <t>Transport</t>
        </is>
      </c>
      <c r="B5" s="97" t="n">
        <v>39448</v>
      </c>
      <c r="C5" s="98" t="n">
        <v>250</v>
      </c>
    </row>
    <row r="6" ht="15" customHeight="1" s="43">
      <c r="A6" s="96" t="inlineStr">
        <is>
          <t>Transport</t>
        </is>
      </c>
      <c r="B6" s="97" t="n">
        <v>43101</v>
      </c>
      <c r="C6" s="98" t="n">
        <v>300</v>
      </c>
    </row>
    <row r="7" ht="15" customHeight="1" s="43">
      <c r="A7" s="96" t="inlineStr">
        <is>
          <t>Groceries</t>
        </is>
      </c>
      <c r="B7" s="97" t="n">
        <v>39448</v>
      </c>
      <c r="C7" s="98" t="n">
        <v>350</v>
      </c>
    </row>
    <row r="8" ht="15" customHeight="1" s="43">
      <c r="A8" s="96" t="inlineStr">
        <is>
          <t>Groceries</t>
        </is>
      </c>
      <c r="B8" s="97" t="n">
        <v>43101</v>
      </c>
      <c r="C8" s="98" t="n">
        <v>450</v>
      </c>
    </row>
    <row r="9" ht="15" customHeight="1" s="43">
      <c r="A9" s="96" t="inlineStr">
        <is>
          <t>Groceries</t>
        </is>
      </c>
      <c r="B9" s="97" t="n">
        <v>44927</v>
      </c>
      <c r="C9" s="98" t="n">
        <v>500</v>
      </c>
    </row>
    <row r="10" ht="15" customHeight="1" s="43">
      <c r="A10" s="96" t="inlineStr">
        <is>
          <t>Bills</t>
        </is>
      </c>
      <c r="B10" s="97" t="n">
        <v>39448</v>
      </c>
      <c r="C10" s="98" t="n">
        <v>120</v>
      </c>
    </row>
    <row r="11" ht="15" customHeight="1" s="43">
      <c r="A11" s="96" t="inlineStr">
        <is>
          <t>Bills</t>
        </is>
      </c>
      <c r="B11" s="97" t="n">
        <v>42370</v>
      </c>
      <c r="C11" s="98" t="n">
        <v>180</v>
      </c>
    </row>
    <row r="12" ht="15" customHeight="1" s="43">
      <c r="A12" s="96" t="inlineStr">
        <is>
          <t>Bills</t>
        </is>
      </c>
      <c r="B12" s="97" t="n">
        <v>44927</v>
      </c>
      <c r="C12" s="98" t="n">
        <v>200</v>
      </c>
    </row>
    <row r="13" ht="15" customHeight="1" s="43">
      <c r="A13" s="96" t="inlineStr">
        <is>
          <t>Insurance</t>
        </is>
      </c>
      <c r="B13" s="97" t="n">
        <v>39448</v>
      </c>
      <c r="C13" s="98" t="n">
        <v>200</v>
      </c>
    </row>
    <row r="14" ht="15" customHeight="1" s="43">
      <c r="A14" s="96" t="inlineStr">
        <is>
          <t>Insurance</t>
        </is>
      </c>
      <c r="B14" s="97" t="n">
        <v>42005</v>
      </c>
      <c r="C14" s="98" t="n">
        <v>350</v>
      </c>
    </row>
    <row r="15" ht="15" customHeight="1" s="43">
      <c r="A15" s="96" t="inlineStr">
        <is>
          <t>Insurance</t>
        </is>
      </c>
      <c r="B15" s="97" t="n">
        <v>44927</v>
      </c>
      <c r="C15" s="98" t="n">
        <v>400</v>
      </c>
    </row>
    <row r="16" ht="15" customHeight="1" s="43">
      <c r="A16" s="96" t="inlineStr">
        <is>
          <t>Household</t>
        </is>
      </c>
      <c r="B16" s="97" t="n">
        <v>39448</v>
      </c>
      <c r="C16" s="98" t="n">
        <v>300</v>
      </c>
    </row>
    <row r="17" ht="15" customHeight="1" s="43">
      <c r="A17" s="96" t="inlineStr">
        <is>
          <t>Household</t>
        </is>
      </c>
      <c r="B17" s="97" t="n">
        <v>43831</v>
      </c>
      <c r="C17" s="98" t="n">
        <v>350</v>
      </c>
    </row>
    <row r="18" ht="15" customHeight="1" s="43">
      <c r="A18" s="96" t="inlineStr">
        <is>
          <t>Donation</t>
        </is>
      </c>
      <c r="B18" s="97" t="n">
        <v>39448</v>
      </c>
      <c r="C18" s="98" t="n">
        <v>30</v>
      </c>
    </row>
    <row r="19" ht="15" customHeight="1" s="43">
      <c r="A19" s="96" t="inlineStr">
        <is>
          <t>Donation</t>
        </is>
      </c>
      <c r="B19" s="97" t="n">
        <v>43831</v>
      </c>
      <c r="C19" s="98" t="n">
        <v>50</v>
      </c>
    </row>
    <row r="20" ht="15" customHeight="1" s="43">
      <c r="A20" s="96" t="inlineStr">
        <is>
          <t>Subscriptions</t>
        </is>
      </c>
      <c r="B20" s="97" t="n">
        <v>43101</v>
      </c>
      <c r="C20" s="98" t="n">
        <v>40</v>
      </c>
    </row>
    <row r="21" ht="15" customHeight="1" s="43">
      <c r="A21" s="96" t="inlineStr">
        <is>
          <t>Subscriptions</t>
        </is>
      </c>
      <c r="B21" s="97" t="n">
        <v>44927</v>
      </c>
      <c r="C21" s="98" t="n">
        <v>60</v>
      </c>
    </row>
    <row r="22" ht="15" customHeight="1" s="43">
      <c r="A22" s="96" t="inlineStr">
        <is>
          <t>Shopping</t>
        </is>
      </c>
      <c r="B22" s="97" t="n">
        <v>44927</v>
      </c>
      <c r="C22" s="98" t="n">
        <v>150</v>
      </c>
    </row>
    <row r="23" ht="15" customHeight="1" s="43">
      <c r="A23" s="42" t="n"/>
      <c r="B23" s="42" t="n"/>
      <c r="C23" s="42" t="n"/>
    </row>
    <row r="24" ht="15" customHeight="1" s="43">
      <c r="A24" s="93" t="inlineStr">
        <is>
          <t>To revise a budget, add a NEW row for the category with a later 'Effective From' date. Blue = you edit.</t>
        </is>
      </c>
      <c r="B24" s="42" t="n"/>
      <c r="C24" s="42" t="n"/>
    </row>
    <row r="25" ht="15" customHeight="1" s="43">
      <c r="A25" s="42" t="n"/>
      <c r="B25" s="42" t="n"/>
      <c r="C25" s="42" t="n"/>
    </row>
    <row r="26" ht="15" customHeight="1" s="43">
      <c r="A26" s="42" t="n"/>
      <c r="B26" s="42" t="n"/>
      <c r="C26" s="42" t="n"/>
    </row>
    <row r="27" ht="15" customHeight="1" s="43">
      <c r="A27" s="42" t="n"/>
      <c r="B27" s="42" t="n"/>
      <c r="C27" s="42" t="n"/>
    </row>
    <row r="28" ht="15" customHeight="1" s="43">
      <c r="A28" s="42" t="n"/>
      <c r="B28" s="42" t="n"/>
      <c r="C28" s="42" t="n"/>
    </row>
    <row r="29" ht="15" customHeight="1" s="43">
      <c r="A29" s="42" t="n"/>
      <c r="B29" s="42" t="n"/>
      <c r="C29" s="42" t="n"/>
    </row>
    <row r="30" ht="15" customHeight="1" s="43">
      <c r="A30" s="42" t="n"/>
      <c r="B30" s="42" t="n"/>
      <c r="C30" s="42" t="n"/>
    </row>
    <row r="31" ht="15" customHeight="1" s="43">
      <c r="A31" s="42" t="n"/>
      <c r="B31" s="42" t="n"/>
      <c r="C31" s="42" t="n"/>
    </row>
    <row r="32" ht="15" customHeight="1" s="43">
      <c r="A32" s="42" t="n"/>
      <c r="B32" s="42" t="n"/>
      <c r="C32" s="42" t="n"/>
    </row>
    <row r="33" ht="15" customHeight="1" s="43">
      <c r="A33" s="42" t="n"/>
      <c r="B33" s="42" t="n"/>
      <c r="C33" s="42" t="n"/>
    </row>
    <row r="34" ht="15" customHeight="1" s="43">
      <c r="A34" s="42" t="n"/>
      <c r="B34" s="42" t="n"/>
      <c r="C34" s="42" t="n"/>
    </row>
    <row r="35" ht="15" customHeight="1" s="43">
      <c r="A35" s="42" t="n"/>
      <c r="B35" s="42" t="n"/>
      <c r="C35" s="42" t="n"/>
    </row>
    <row r="36" ht="15" customHeight="1" s="43">
      <c r="A36" s="42" t="n"/>
      <c r="B36" s="42" t="n"/>
      <c r="C36" s="42" t="n"/>
    </row>
    <row r="37" ht="15" customHeight="1" s="43">
      <c r="A37" s="42" t="n"/>
      <c r="B37" s="42" t="n"/>
      <c r="C37" s="42" t="n"/>
    </row>
    <row r="38" ht="15" customHeight="1" s="43">
      <c r="A38" s="42" t="n"/>
      <c r="B38" s="42" t="n"/>
      <c r="C38" s="42" t="n"/>
    </row>
    <row r="39" ht="15" customHeight="1" s="43">
      <c r="A39" s="42" t="n"/>
      <c r="B39" s="42" t="n"/>
      <c r="C39" s="42" t="n"/>
    </row>
    <row r="40" ht="15" customHeight="1" s="43">
      <c r="A40" s="42" t="n"/>
      <c r="B40" s="42" t="n"/>
      <c r="C40" s="42" t="n"/>
    </row>
  </sheetData>
  <dataValidations count="1">
    <dataValidation sqref="A2:A40" showDropDown="0" showInputMessage="0" showErrorMessage="0" allowBlank="1" type="list" errorStyle="stop" operator="between">
      <formula1>Categories!$A$2:$A$60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00548235"/>
    <outlinePr summaryBelow="1" summaryRight="1"/>
    <pageSetUpPr fitToPage="0"/>
  </sheetPr>
  <dimension ref="A1:F6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42" min="1" max="1"/>
    <col width="12" customWidth="1" style="42" min="2" max="2"/>
    <col width="14" customWidth="1" style="42" min="3" max="3"/>
    <col width="8" customWidth="1" style="42" min="4" max="4"/>
    <col width="2" customWidth="1" style="42" min="5" max="5"/>
    <col width="18" customWidth="1" style="42" min="6" max="6"/>
  </cols>
  <sheetData>
    <row r="1" ht="15" customHeight="1" s="43">
      <c r="A1" s="72" t="inlineStr">
        <is>
          <t>Category</t>
        </is>
      </c>
      <c r="B1" s="72" t="inlineStr">
        <is>
          <t>Group</t>
        </is>
      </c>
      <c r="C1" s="72" t="inlineStr">
        <is>
          <t>Invested (Y/N)</t>
        </is>
      </c>
      <c r="D1" s="72" t="inlineStr">
        <is>
          <t>Active</t>
        </is>
      </c>
      <c r="E1" s="72" t="n"/>
      <c r="F1" s="72" t="inlineStr">
        <is>
          <t>ExpenseOrder (auto)</t>
        </is>
      </c>
    </row>
    <row r="2" ht="15" customHeight="1" s="43">
      <c r="A2" s="79" t="inlineStr">
        <is>
          <t>Salary</t>
        </is>
      </c>
      <c r="B2" s="79" t="inlineStr">
        <is>
          <t>Income</t>
        </is>
      </c>
      <c r="C2" s="79" t="inlineStr">
        <is>
          <t>N</t>
        </is>
      </c>
      <c r="D2" s="79" t="inlineStr">
        <is>
          <t>Y</t>
        </is>
      </c>
      <c r="F2" s="76">
        <f>IF(AND($B2="Expense",$D2="Y"),COUNTIFS($B$2:$B2,"Expense",$D$2:$D2,"Y"),"")</f>
        <v/>
      </c>
    </row>
    <row r="3" ht="15" customHeight="1" s="43">
      <c r="A3" s="79" t="inlineStr">
        <is>
          <t>Interest</t>
        </is>
      </c>
      <c r="B3" s="79" t="inlineStr">
        <is>
          <t>Income</t>
        </is>
      </c>
      <c r="C3" s="79" t="inlineStr">
        <is>
          <t>N</t>
        </is>
      </c>
      <c r="D3" s="79" t="inlineStr">
        <is>
          <t>Y</t>
        </is>
      </c>
      <c r="F3" s="76">
        <f>IF(AND($B3="Expense",$D3="Y"),COUNTIFS($B$2:$B3,"Expense",$D$2:$D3,"Y"),"")</f>
        <v/>
      </c>
    </row>
    <row r="4" ht="15" customHeight="1" s="43">
      <c r="A4" s="79" t="inlineStr">
        <is>
          <t>Dividends</t>
        </is>
      </c>
      <c r="B4" s="79" t="inlineStr">
        <is>
          <t>Income</t>
        </is>
      </c>
      <c r="C4" s="79" t="inlineStr">
        <is>
          <t>N</t>
        </is>
      </c>
      <c r="D4" s="79" t="inlineStr">
        <is>
          <t>Y</t>
        </is>
      </c>
      <c r="F4" s="76">
        <f>IF(AND($B4="Expense",$D4="Y"),COUNTIFS($B$2:$B4,"Expense",$D$2:$D4,"Y"),"")</f>
        <v/>
      </c>
    </row>
    <row r="5" ht="15" customHeight="1" s="43">
      <c r="A5" s="79" t="inlineStr">
        <is>
          <t>Bonus/Claims</t>
        </is>
      </c>
      <c r="B5" s="79" t="inlineStr">
        <is>
          <t>Income</t>
        </is>
      </c>
      <c r="C5" s="79" t="inlineStr">
        <is>
          <t>N</t>
        </is>
      </c>
      <c r="D5" s="79" t="inlineStr">
        <is>
          <t>Y</t>
        </is>
      </c>
      <c r="F5" s="76">
        <f>IF(AND($B5="Expense",$D5="Y"),COUNTIFS($B$2:$B5,"Expense",$D$2:$D5,"Y"),"")</f>
        <v/>
      </c>
    </row>
    <row r="6" ht="15" customHeight="1" s="43">
      <c r="A6" s="79" t="inlineStr">
        <is>
          <t>Daily Food</t>
        </is>
      </c>
      <c r="B6" s="79" t="inlineStr">
        <is>
          <t>Expense</t>
        </is>
      </c>
      <c r="C6" s="79" t="inlineStr">
        <is>
          <t>N</t>
        </is>
      </c>
      <c r="D6" s="79" t="inlineStr">
        <is>
          <t>Y</t>
        </is>
      </c>
      <c r="F6" s="76">
        <f>IF(AND($B6="Expense",$D6="Y"),COUNTIFS($B$2:$B6,"Expense",$D$2:$D6,"Y"),"")</f>
        <v/>
      </c>
    </row>
    <row r="7" ht="15" customHeight="1" s="43">
      <c r="A7" s="79" t="inlineStr">
        <is>
          <t>Transport</t>
        </is>
      </c>
      <c r="B7" s="79" t="inlineStr">
        <is>
          <t>Expense</t>
        </is>
      </c>
      <c r="C7" s="79" t="inlineStr">
        <is>
          <t>N</t>
        </is>
      </c>
      <c r="D7" s="79" t="inlineStr">
        <is>
          <t>Y</t>
        </is>
      </c>
      <c r="F7" s="76">
        <f>IF(AND($B7="Expense",$D7="Y"),COUNTIFS($B$2:$B7,"Expense",$D$2:$D7,"Y"),"")</f>
        <v/>
      </c>
    </row>
    <row r="8" ht="15" customHeight="1" s="43">
      <c r="A8" s="79" t="inlineStr">
        <is>
          <t>Credit Card</t>
        </is>
      </c>
      <c r="B8" s="79" t="inlineStr">
        <is>
          <t>Expense</t>
        </is>
      </c>
      <c r="C8" s="79" t="inlineStr">
        <is>
          <t>N</t>
        </is>
      </c>
      <c r="D8" s="79" t="inlineStr">
        <is>
          <t>Y</t>
        </is>
      </c>
      <c r="F8" s="76">
        <f>IF(AND($B8="Expense",$D8="Y"),COUNTIFS($B$2:$B8,"Expense",$D$2:$D8,"Y"),"")</f>
        <v/>
      </c>
    </row>
    <row r="9" ht="15" customHeight="1" s="43">
      <c r="A9" s="79" t="inlineStr">
        <is>
          <t>Household</t>
        </is>
      </c>
      <c r="B9" s="79" t="inlineStr">
        <is>
          <t>Expense</t>
        </is>
      </c>
      <c r="C9" s="79" t="inlineStr">
        <is>
          <t>N</t>
        </is>
      </c>
      <c r="D9" s="79" t="inlineStr">
        <is>
          <t>Y</t>
        </is>
      </c>
      <c r="F9" s="76">
        <f>IF(AND($B9="Expense",$D9="Y"),COUNTIFS($B$2:$B9,"Expense",$D$2:$D9,"Y"),"")</f>
        <v/>
      </c>
    </row>
    <row r="10" ht="15" customHeight="1" s="43">
      <c r="A10" s="79" t="inlineStr">
        <is>
          <t>Tax</t>
        </is>
      </c>
      <c r="B10" s="79" t="inlineStr">
        <is>
          <t>Expense</t>
        </is>
      </c>
      <c r="C10" s="79" t="inlineStr">
        <is>
          <t>N</t>
        </is>
      </c>
      <c r="D10" s="79" t="inlineStr">
        <is>
          <t>Y</t>
        </is>
      </c>
      <c r="F10" s="76">
        <f>IF(AND($B10="Expense",$D10="Y"),COUNTIFS($B$2:$B10,"Expense",$D$2:$D10,"Y"),"")</f>
        <v/>
      </c>
    </row>
    <row r="11" ht="15" customHeight="1" s="43">
      <c r="A11" s="79" t="inlineStr">
        <is>
          <t>Savings for holiday</t>
        </is>
      </c>
      <c r="B11" s="79" t="inlineStr">
        <is>
          <t>Expense</t>
        </is>
      </c>
      <c r="C11" s="79" t="inlineStr">
        <is>
          <t>N</t>
        </is>
      </c>
      <c r="D11" s="79" t="inlineStr">
        <is>
          <t>Y</t>
        </is>
      </c>
      <c r="F11" s="76">
        <f>IF(AND($B11="Expense",$D11="Y"),COUNTIFS($B$2:$B11,"Expense",$D$2:$D11,"Y"),"")</f>
        <v/>
      </c>
    </row>
    <row r="12" ht="15" customHeight="1" s="43">
      <c r="A12" s="79" t="inlineStr">
        <is>
          <t>Bills</t>
        </is>
      </c>
      <c r="B12" s="79" t="inlineStr">
        <is>
          <t>Expense</t>
        </is>
      </c>
      <c r="C12" s="79" t="inlineStr">
        <is>
          <t>N</t>
        </is>
      </c>
      <c r="D12" s="79" t="inlineStr">
        <is>
          <t>Y</t>
        </is>
      </c>
      <c r="F12" s="76">
        <f>IF(AND($B12="Expense",$D12="Y"),COUNTIFS($B$2:$B12,"Expense",$D$2:$D12,"Y"),"")</f>
        <v/>
      </c>
    </row>
    <row r="13" ht="15" customHeight="1" s="43">
      <c r="A13" s="79" t="inlineStr">
        <is>
          <t>Insurance</t>
        </is>
      </c>
      <c r="B13" s="79" t="inlineStr">
        <is>
          <t>Expense</t>
        </is>
      </c>
      <c r="C13" s="79" t="inlineStr">
        <is>
          <t>N</t>
        </is>
      </c>
      <c r="D13" s="79" t="inlineStr">
        <is>
          <t>Y</t>
        </is>
      </c>
      <c r="F13" s="76">
        <f>IF(AND($B13="Expense",$D13="Y"),COUNTIFS($B$2:$B13,"Expense",$D$2:$D13,"Y"),"")</f>
        <v/>
      </c>
    </row>
    <row r="14" ht="15" customHeight="1" s="43">
      <c r="A14" s="79" t="inlineStr">
        <is>
          <t>Donation</t>
        </is>
      </c>
      <c r="B14" s="79" t="inlineStr">
        <is>
          <t>Expense</t>
        </is>
      </c>
      <c r="C14" s="79" t="inlineStr">
        <is>
          <t>N</t>
        </is>
      </c>
      <c r="D14" s="79" t="inlineStr">
        <is>
          <t>Y</t>
        </is>
      </c>
      <c r="F14" s="76">
        <f>IF(AND($B14="Expense",$D14="Y"),COUNTIFS($B$2:$B14,"Expense",$D$2:$D14,"Y"),"")</f>
        <v/>
      </c>
    </row>
    <row r="15" ht="15" customHeight="1" s="43">
      <c r="A15" s="79" t="inlineStr">
        <is>
          <t>Misc</t>
        </is>
      </c>
      <c r="B15" s="79" t="inlineStr">
        <is>
          <t>One-off</t>
        </is>
      </c>
      <c r="C15" s="79" t="inlineStr">
        <is>
          <t>N</t>
        </is>
      </c>
      <c r="D15" s="79" t="inlineStr">
        <is>
          <t>Y</t>
        </is>
      </c>
      <c r="F15" s="76">
        <f>IF(AND($B15="Expense",$D15="Y"),COUNTIFS($B$2:$B15,"Expense",$D$2:$D15,"Y"),"")</f>
        <v/>
      </c>
    </row>
    <row r="16" ht="15" customHeight="1" s="43">
      <c r="A16" s="79" t="inlineStr">
        <is>
          <t>Investment</t>
        </is>
      </c>
      <c r="B16" s="79" t="inlineStr">
        <is>
          <t>One-off</t>
        </is>
      </c>
      <c r="C16" s="79" t="inlineStr">
        <is>
          <t>Y</t>
        </is>
      </c>
      <c r="D16" s="79" t="inlineStr">
        <is>
          <t>Y</t>
        </is>
      </c>
      <c r="F16" s="76">
        <f>IF(AND($B16="Expense",$D16="Y"),COUNTIFS($B$2:$B16,"Expense",$D$2:$D16,"Y"),"")</f>
        <v/>
      </c>
    </row>
    <row r="17" ht="15" customHeight="1" s="43">
      <c r="A17" s="79" t="inlineStr">
        <is>
          <t>Wedding+House</t>
        </is>
      </c>
      <c r="B17" s="79" t="inlineStr">
        <is>
          <t>One-off</t>
        </is>
      </c>
      <c r="C17" s="79" t="inlineStr">
        <is>
          <t>Y</t>
        </is>
      </c>
      <c r="D17" s="79" t="inlineStr">
        <is>
          <t>Y</t>
        </is>
      </c>
      <c r="F17" s="76">
        <f>IF(AND($B17="Expense",$D17="Y"),COUNTIFS($B$2:$B17,"Expense",$D$2:$D17,"Y"),"")</f>
        <v/>
      </c>
    </row>
    <row r="18" ht="15" customHeight="1" s="43">
      <c r="A18" s="79" t="inlineStr">
        <is>
          <t>Uncategorised</t>
        </is>
      </c>
      <c r="B18" s="79" t="inlineStr">
        <is>
          <t>Expense</t>
        </is>
      </c>
      <c r="C18" s="79" t="inlineStr">
        <is>
          <t>N</t>
        </is>
      </c>
      <c r="D18" s="79" t="inlineStr">
        <is>
          <t>Y</t>
        </is>
      </c>
      <c r="F18" s="76">
        <f>IF(AND($B18="Expense",$D18="Y"),COUNTIFS($B$2:$B18,"Expense",$D$2:$D18,"Y"),"")</f>
        <v/>
      </c>
    </row>
    <row r="19" ht="15" customHeight="1" s="43">
      <c r="A19" s="79" t="inlineStr">
        <is>
          <t>Groceries</t>
        </is>
      </c>
      <c r="B19" s="79" t="inlineStr">
        <is>
          <t>Expense</t>
        </is>
      </c>
      <c r="C19" s="79" t="inlineStr">
        <is>
          <t>N</t>
        </is>
      </c>
      <c r="D19" s="79" t="inlineStr">
        <is>
          <t>Y</t>
        </is>
      </c>
      <c r="F19" s="76">
        <f>IF(AND($B19="Expense",$D19="Y"),COUNTIFS($B$2:$B19,"Expense",$D$2:$D19,"Y"),"")</f>
        <v/>
      </c>
    </row>
    <row r="20" ht="15" customHeight="1" s="43">
      <c r="A20" s="79" t="inlineStr">
        <is>
          <t>Subscriptions</t>
        </is>
      </c>
      <c r="B20" s="79" t="inlineStr">
        <is>
          <t>Expense</t>
        </is>
      </c>
      <c r="C20" s="79" t="inlineStr">
        <is>
          <t>N</t>
        </is>
      </c>
      <c r="D20" s="79" t="inlineStr">
        <is>
          <t>Y</t>
        </is>
      </c>
      <c r="F20" s="76">
        <f>IF(AND($B20="Expense",$D20="Y"),COUNTIFS($B$2:$B20,"Expense",$D$2:$D20,"Y"),"")</f>
        <v/>
      </c>
    </row>
    <row r="21" ht="15" customHeight="1" s="43">
      <c r="A21" s="79" t="inlineStr">
        <is>
          <t>Shopping</t>
        </is>
      </c>
      <c r="B21" s="79" t="inlineStr">
        <is>
          <t>Expense</t>
        </is>
      </c>
      <c r="C21" s="79" t="inlineStr">
        <is>
          <t>N</t>
        </is>
      </c>
      <c r="D21" s="79" t="inlineStr">
        <is>
          <t>Y</t>
        </is>
      </c>
      <c r="F21" s="76">
        <f>IF(AND($B21="Expense",$D21="Y"),COUNTIFS($B$2:$B21,"Expense",$D$2:$D21,"Y"),"")</f>
        <v/>
      </c>
    </row>
    <row r="22" ht="15" customHeight="1" s="43">
      <c r="A22" s="79" t="inlineStr">
        <is>
          <t>Parents Allowance</t>
        </is>
      </c>
      <c r="B22" s="79" t="inlineStr">
        <is>
          <t>Expense</t>
        </is>
      </c>
      <c r="C22" s="79" t="inlineStr">
        <is>
          <t>N</t>
        </is>
      </c>
      <c r="D22" s="79" t="inlineStr">
        <is>
          <t>Y</t>
        </is>
      </c>
      <c r="F22" s="76">
        <f>IF(AND($B22="Expense",$D22="Y"),COUNTIFS($B$2:$B22,"Expense",$D$2:$D22,"Y"),"")</f>
        <v/>
      </c>
    </row>
    <row r="23" ht="15" customHeight="1" s="43">
      <c r="A23" s="79" t="inlineStr">
        <is>
          <t>Childcare</t>
        </is>
      </c>
      <c r="B23" s="79" t="inlineStr">
        <is>
          <t>Expense</t>
        </is>
      </c>
      <c r="C23" s="79" t="inlineStr">
        <is>
          <t>N</t>
        </is>
      </c>
      <c r="D23" s="79" t="inlineStr">
        <is>
          <t>Y</t>
        </is>
      </c>
      <c r="F23" s="76">
        <f>IF(AND($B23="Expense",$D23="Y"),COUNTIFS($B$2:$B23,"Expense",$D$2:$D23,"Y"),"")</f>
        <v/>
      </c>
    </row>
    <row r="24" ht="15" customHeight="1" s="43">
      <c r="A24" s="79" t="inlineStr">
        <is>
          <t>Kids Enrichment</t>
        </is>
      </c>
      <c r="B24" s="79" t="inlineStr">
        <is>
          <t>Expense</t>
        </is>
      </c>
      <c r="C24" s="79" t="inlineStr">
        <is>
          <t>N</t>
        </is>
      </c>
      <c r="D24" s="79" t="inlineStr">
        <is>
          <t>Y</t>
        </is>
      </c>
      <c r="F24" s="76">
        <f>IF(AND($B24="Expense",$D24="Y"),COUNTIFS($B$2:$B24,"Expense",$D$2:$D24,"Y"),"")</f>
        <v/>
      </c>
    </row>
    <row r="25" ht="15" customHeight="1" s="43">
      <c r="A25" s="79" t="inlineStr">
        <is>
          <t>Household Help</t>
        </is>
      </c>
      <c r="B25" s="79" t="inlineStr">
        <is>
          <t>Expense</t>
        </is>
      </c>
      <c r="C25" s="79" t="inlineStr">
        <is>
          <t>N</t>
        </is>
      </c>
      <c r="D25" s="79" t="inlineStr">
        <is>
          <t>Y</t>
        </is>
      </c>
      <c r="F25" s="76">
        <f>IF(AND($B25="Expense",$D25="Y"),COUNTIFS($B$2:$B25,"Expense",$D$2:$D25,"Y"),"")</f>
        <v/>
      </c>
    </row>
    <row r="26" ht="15" customHeight="1" s="43">
      <c r="A26" s="82" t="n"/>
      <c r="B26" s="82" t="n"/>
      <c r="C26" s="82" t="n"/>
      <c r="D26" s="82" t="n"/>
      <c r="F26" s="76">
        <f>IF(AND($B26="Expense",$D26="Y"),COUNTIFS($B$2:$B26,"Expense",$D$2:$D26,"Y"),"")</f>
        <v/>
      </c>
    </row>
    <row r="27" ht="15" customHeight="1" s="43">
      <c r="A27" s="82" t="n"/>
      <c r="B27" s="82" t="n"/>
      <c r="C27" s="82" t="n"/>
      <c r="D27" s="82" t="n"/>
      <c r="F27" s="76">
        <f>IF(AND($B27="Expense",$D27="Y"),COUNTIFS($B$2:$B27,"Expense",$D$2:$D27,"Y"),"")</f>
        <v/>
      </c>
    </row>
    <row r="28" ht="15" customHeight="1" s="43">
      <c r="A28" s="82" t="n"/>
      <c r="B28" s="82" t="n"/>
      <c r="C28" s="82" t="n"/>
      <c r="D28" s="82" t="n"/>
      <c r="F28" s="76">
        <f>IF(AND($B28="Expense",$D28="Y"),COUNTIFS($B$2:$B28,"Expense",$D$2:$D28,"Y"),"")</f>
        <v/>
      </c>
    </row>
    <row r="29" ht="15" customHeight="1" s="43">
      <c r="A29" s="82" t="n"/>
      <c r="B29" s="82" t="n"/>
      <c r="C29" s="82" t="n"/>
      <c r="D29" s="82" t="n"/>
      <c r="F29" s="76">
        <f>IF(AND($B29="Expense",$D29="Y"),COUNTIFS($B$2:$B29,"Expense",$D$2:$D29,"Y"),"")</f>
        <v/>
      </c>
    </row>
    <row r="30" ht="15" customHeight="1" s="43">
      <c r="A30" s="82" t="n"/>
      <c r="B30" s="82" t="n"/>
      <c r="C30" s="82" t="n"/>
      <c r="D30" s="82" t="n"/>
      <c r="F30" s="76">
        <f>IF(AND($B30="Expense",$D30="Y"),COUNTIFS($B$2:$B30,"Expense",$D$2:$D30,"Y"),"")</f>
        <v/>
      </c>
    </row>
    <row r="31" ht="15" customHeight="1" s="43">
      <c r="A31" s="82" t="n"/>
      <c r="B31" s="82" t="n"/>
      <c r="C31" s="82" t="n"/>
      <c r="D31" s="82" t="n"/>
      <c r="F31" s="76">
        <f>IF(AND($B31="Expense",$D31="Y"),COUNTIFS($B$2:$B31,"Expense",$D$2:$D31,"Y"),"")</f>
        <v/>
      </c>
    </row>
    <row r="32" ht="15" customHeight="1" s="43">
      <c r="A32" s="82" t="n"/>
      <c r="B32" s="82" t="n"/>
      <c r="C32" s="82" t="n"/>
      <c r="D32" s="82" t="n"/>
      <c r="F32" s="76">
        <f>IF(AND($B32="Expense",$D32="Y"),COUNTIFS($B$2:$B32,"Expense",$D$2:$D32,"Y"),"")</f>
        <v/>
      </c>
    </row>
    <row r="33" ht="15" customHeight="1" s="43">
      <c r="A33" s="82" t="n"/>
      <c r="B33" s="82" t="n"/>
      <c r="C33" s="82" t="n"/>
      <c r="D33" s="82" t="n"/>
      <c r="F33" s="76">
        <f>IF(AND($B33="Expense",$D33="Y"),COUNTIFS($B$2:$B33,"Expense",$D$2:$D33,"Y"),"")</f>
        <v/>
      </c>
    </row>
    <row r="34" ht="15" customHeight="1" s="43">
      <c r="A34" s="82" t="n"/>
      <c r="B34" s="82" t="n"/>
      <c r="C34" s="82" t="n"/>
      <c r="D34" s="82" t="n"/>
      <c r="F34" s="76">
        <f>IF(AND($B34="Expense",$D34="Y"),COUNTIFS($B$2:$B34,"Expense",$D$2:$D34,"Y"),"")</f>
        <v/>
      </c>
    </row>
    <row r="35" ht="15" customHeight="1" s="43">
      <c r="A35" s="82" t="n"/>
      <c r="B35" s="82" t="n"/>
      <c r="C35" s="82" t="n"/>
      <c r="D35" s="82" t="n"/>
      <c r="F35" s="76">
        <f>IF(AND($B35="Expense",$D35="Y"),COUNTIFS($B$2:$B35,"Expense",$D$2:$D35,"Y"),"")</f>
        <v/>
      </c>
    </row>
    <row r="36" ht="15" customHeight="1" s="43">
      <c r="A36" s="82" t="n"/>
      <c r="B36" s="82" t="n"/>
      <c r="C36" s="82" t="n"/>
      <c r="D36" s="82" t="n"/>
      <c r="F36" s="76">
        <f>IF(AND($B36="Expense",$D36="Y"),COUNTIFS($B$2:$B36,"Expense",$D$2:$D36,"Y"),"")</f>
        <v/>
      </c>
    </row>
    <row r="37" ht="15" customHeight="1" s="43">
      <c r="A37" s="82" t="n"/>
      <c r="B37" s="82" t="n"/>
      <c r="C37" s="82" t="n"/>
      <c r="D37" s="82" t="n"/>
      <c r="F37" s="76">
        <f>IF(AND($B37="Expense",$D37="Y"),COUNTIFS($B$2:$B37,"Expense",$D$2:$D37,"Y"),"")</f>
        <v/>
      </c>
    </row>
    <row r="38" ht="15" customHeight="1" s="43">
      <c r="A38" s="82" t="n"/>
      <c r="B38" s="82" t="n"/>
      <c r="C38" s="82" t="n"/>
      <c r="D38" s="82" t="n"/>
      <c r="F38" s="76">
        <f>IF(AND($B38="Expense",$D38="Y"),COUNTIFS($B$2:$B38,"Expense",$D$2:$D38,"Y"),"")</f>
        <v/>
      </c>
    </row>
    <row r="39" ht="15" customHeight="1" s="43">
      <c r="A39" s="82" t="n"/>
      <c r="B39" s="82" t="n"/>
      <c r="C39" s="82" t="n"/>
      <c r="D39" s="82" t="n"/>
      <c r="F39" s="76">
        <f>IF(AND($B39="Expense",$D39="Y"),COUNTIFS($B$2:$B39,"Expense",$D$2:$D39,"Y"),"")</f>
        <v/>
      </c>
    </row>
    <row r="40" ht="15" customHeight="1" s="43">
      <c r="A40" s="82" t="n"/>
      <c r="B40" s="82" t="n"/>
      <c r="C40" s="82" t="n"/>
      <c r="D40" s="82" t="n"/>
      <c r="F40" s="76">
        <f>IF(AND($B40="Expense",$D40="Y"),COUNTIFS($B$2:$B40,"Expense",$D$2:$D40,"Y"),"")</f>
        <v/>
      </c>
    </row>
    <row r="41" ht="15" customHeight="1" s="43">
      <c r="A41" s="82" t="n"/>
      <c r="B41" s="82" t="n"/>
      <c r="C41" s="82" t="n"/>
      <c r="D41" s="82" t="n"/>
      <c r="F41" s="76">
        <f>IF(AND($B41="Expense",$D41="Y"),COUNTIFS($B$2:$B41,"Expense",$D$2:$D41,"Y"),"")</f>
        <v/>
      </c>
    </row>
    <row r="42" ht="15" customHeight="1" s="43">
      <c r="A42" s="82" t="n"/>
      <c r="B42" s="82" t="n"/>
      <c r="C42" s="82" t="n"/>
      <c r="D42" s="82" t="n"/>
      <c r="F42" s="76">
        <f>IF(AND($B42="Expense",$D42="Y"),COUNTIFS($B$2:$B42,"Expense",$D$2:$D42,"Y"),"")</f>
        <v/>
      </c>
    </row>
    <row r="43" ht="15" customHeight="1" s="43">
      <c r="A43" s="82" t="n"/>
      <c r="B43" s="82" t="n"/>
      <c r="C43" s="82" t="n"/>
      <c r="D43" s="82" t="n"/>
      <c r="F43" s="76">
        <f>IF(AND($B43="Expense",$D43="Y"),COUNTIFS($B$2:$B43,"Expense",$D$2:$D43,"Y"),"")</f>
        <v/>
      </c>
    </row>
    <row r="44" ht="15" customHeight="1" s="43">
      <c r="A44" s="82" t="n"/>
      <c r="B44" s="82" t="n"/>
      <c r="C44" s="82" t="n"/>
      <c r="D44" s="82" t="n"/>
      <c r="F44" s="76">
        <f>IF(AND($B44="Expense",$D44="Y"),COUNTIFS($B$2:$B44,"Expense",$D$2:$D44,"Y"),"")</f>
        <v/>
      </c>
    </row>
    <row r="45" ht="15" customHeight="1" s="43">
      <c r="A45" s="82" t="n"/>
      <c r="B45" s="82" t="n"/>
      <c r="C45" s="82" t="n"/>
      <c r="D45" s="82" t="n"/>
      <c r="F45" s="76">
        <f>IF(AND($B45="Expense",$D45="Y"),COUNTIFS($B$2:$B45,"Expense",$D$2:$D45,"Y"),"")</f>
        <v/>
      </c>
    </row>
    <row r="46" ht="15" customHeight="1" s="43">
      <c r="A46" s="82" t="n"/>
      <c r="B46" s="82" t="n"/>
      <c r="C46" s="82" t="n"/>
      <c r="D46" s="82" t="n"/>
      <c r="F46" s="76">
        <f>IF(AND($B46="Expense",$D46="Y"),COUNTIFS($B$2:$B46,"Expense",$D$2:$D46,"Y"),"")</f>
        <v/>
      </c>
    </row>
    <row r="47" ht="15" customHeight="1" s="43">
      <c r="A47" s="82" t="n"/>
      <c r="B47" s="82" t="n"/>
      <c r="C47" s="82" t="n"/>
      <c r="D47" s="82" t="n"/>
      <c r="F47" s="76">
        <f>IF(AND($B47="Expense",$D47="Y"),COUNTIFS($B$2:$B47,"Expense",$D$2:$D47,"Y"),"")</f>
        <v/>
      </c>
    </row>
    <row r="48" ht="15" customHeight="1" s="43">
      <c r="A48" s="82" t="n"/>
      <c r="B48" s="82" t="n"/>
      <c r="C48" s="82" t="n"/>
      <c r="D48" s="82" t="n"/>
      <c r="F48" s="76">
        <f>IF(AND($B48="Expense",$D48="Y"),COUNTIFS($B$2:$B48,"Expense",$D$2:$D48,"Y"),"")</f>
        <v/>
      </c>
    </row>
    <row r="49" ht="15" customHeight="1" s="43">
      <c r="A49" s="82" t="n"/>
      <c r="B49" s="82" t="n"/>
      <c r="C49" s="82" t="n"/>
      <c r="D49" s="82" t="n"/>
      <c r="F49" s="76">
        <f>IF(AND($B49="Expense",$D49="Y"),COUNTIFS($B$2:$B49,"Expense",$D$2:$D49,"Y"),"")</f>
        <v/>
      </c>
    </row>
    <row r="50" ht="15" customHeight="1" s="43">
      <c r="A50" s="82" t="n"/>
      <c r="B50" s="82" t="n"/>
      <c r="C50" s="82" t="n"/>
      <c r="D50" s="82" t="n"/>
      <c r="F50" s="76">
        <f>IF(AND($B50="Expense",$D50="Y"),COUNTIFS($B$2:$B50,"Expense",$D$2:$D50,"Y"),"")</f>
        <v/>
      </c>
    </row>
    <row r="51" ht="15" customHeight="1" s="43">
      <c r="A51" s="82" t="n"/>
      <c r="B51" s="82" t="n"/>
      <c r="C51" s="82" t="n"/>
      <c r="D51" s="82" t="n"/>
      <c r="F51" s="76">
        <f>IF(AND($B51="Expense",$D51="Y"),COUNTIFS($B$2:$B51,"Expense",$D$2:$D51,"Y"),"")</f>
        <v/>
      </c>
    </row>
    <row r="52" ht="15" customHeight="1" s="43">
      <c r="A52" s="82" t="n"/>
      <c r="B52" s="82" t="n"/>
      <c r="C52" s="82" t="n"/>
      <c r="D52" s="82" t="n"/>
      <c r="F52" s="76">
        <f>IF(AND($B52="Expense",$D52="Y"),COUNTIFS($B$2:$B52,"Expense",$D$2:$D52,"Y"),"")</f>
        <v/>
      </c>
    </row>
    <row r="53" ht="15" customHeight="1" s="43">
      <c r="A53" s="82" t="n"/>
      <c r="B53" s="82" t="n"/>
      <c r="C53" s="82" t="n"/>
      <c r="D53" s="82" t="n"/>
      <c r="F53" s="76">
        <f>IF(AND($B53="Expense",$D53="Y"),COUNTIFS($B$2:$B53,"Expense",$D$2:$D53,"Y"),"")</f>
        <v/>
      </c>
    </row>
    <row r="54" ht="15" customHeight="1" s="43">
      <c r="A54" s="82" t="n"/>
      <c r="B54" s="82" t="n"/>
      <c r="C54" s="82" t="n"/>
      <c r="D54" s="82" t="n"/>
      <c r="F54" s="76">
        <f>IF(AND($B54="Expense",$D54="Y"),COUNTIFS($B$2:$B54,"Expense",$D$2:$D54,"Y"),"")</f>
        <v/>
      </c>
    </row>
    <row r="55" ht="15" customHeight="1" s="43">
      <c r="A55" s="82" t="n"/>
      <c r="B55" s="82" t="n"/>
      <c r="C55" s="82" t="n"/>
      <c r="D55" s="82" t="n"/>
      <c r="F55" s="76">
        <f>IF(AND($B55="Expense",$D55="Y"),COUNTIFS($B$2:$B55,"Expense",$D$2:$D55,"Y"),"")</f>
        <v/>
      </c>
    </row>
    <row r="56" ht="15" customHeight="1" s="43">
      <c r="A56" s="82" t="n"/>
      <c r="B56" s="82" t="n"/>
      <c r="C56" s="82" t="n"/>
      <c r="D56" s="82" t="n"/>
      <c r="F56" s="76">
        <f>IF(AND($B56="Expense",$D56="Y"),COUNTIFS($B$2:$B56,"Expense",$D$2:$D56,"Y"),"")</f>
        <v/>
      </c>
    </row>
    <row r="57" ht="15" customHeight="1" s="43">
      <c r="A57" s="82" t="n"/>
      <c r="B57" s="82" t="n"/>
      <c r="C57" s="82" t="n"/>
      <c r="D57" s="82" t="n"/>
      <c r="F57" s="76">
        <f>IF(AND($B57="Expense",$D57="Y"),COUNTIFS($B$2:$B57,"Expense",$D$2:$D57,"Y"),"")</f>
        <v/>
      </c>
    </row>
    <row r="58" ht="15" customHeight="1" s="43">
      <c r="A58" s="82" t="n"/>
      <c r="B58" s="82" t="n"/>
      <c r="C58" s="82" t="n"/>
      <c r="D58" s="82" t="n"/>
      <c r="F58" s="76">
        <f>IF(AND($B58="Expense",$D58="Y"),COUNTIFS($B$2:$B58,"Expense",$D$2:$D58,"Y"),"")</f>
        <v/>
      </c>
    </row>
    <row r="59" ht="15" customHeight="1" s="43">
      <c r="A59" s="82" t="n"/>
      <c r="B59" s="82" t="n"/>
      <c r="C59" s="82" t="n"/>
      <c r="D59" s="82" t="n"/>
      <c r="F59" s="76">
        <f>IF(AND($B59="Expense",$D59="Y"),COUNTIFS($B$2:$B59,"Expense",$D$2:$D59,"Y"),"")</f>
        <v/>
      </c>
    </row>
    <row r="60" ht="15" customHeight="1" s="43">
      <c r="A60" s="82" t="n"/>
      <c r="B60" s="82" t="n"/>
      <c r="C60" s="82" t="n"/>
      <c r="D60" s="82" t="n"/>
      <c r="F60" s="76">
        <f>IF(AND($B60="Expense",$D60="Y"),COUNTIFS($B$2:$B60,"Expense",$D$2:$D60,"Y"),"")</f>
        <v/>
      </c>
    </row>
    <row r="62" ht="15" customHeight="1" s="43">
      <c r="A62" s="83" t="inlineStr">
        <is>
          <t>Add a category by typing in the next empty (yellow) row. Group = Income / Expense / One-off. Invested = Y for capital that becomes an asset. Active = Y to include it in the Monthly Summary. It appears in the per-category breakdown automatically — no formula editing.</t>
        </is>
      </c>
    </row>
  </sheetData>
  <dataValidations count="3">
    <dataValidation sqref="B2:B60" showDropDown="0" showInputMessage="0" showErrorMessage="0" allowBlank="1" type="list" errorStyle="stop" operator="between">
      <formula1>"Income,Expense,One-off"</formula1>
      <formula2>0</formula2>
    </dataValidation>
    <dataValidation sqref="C2:C60" showDropDown="0" showInputMessage="0" showErrorMessage="0" allowBlank="1" type="list" errorStyle="stop" operator="between">
      <formula1>"Y,N"</formula1>
      <formula2>0</formula2>
    </dataValidation>
    <dataValidation sqref="D2:D60" showDropDown="0" showInputMessage="0" showErrorMessage="0" allowBlank="1" type="list" errorStyle="stop" operator="between">
      <formula1>"Y,N"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2026-08-15T06:28:05Z</dcterms:created>
  <dcterms:modified xmlns:dcterms="http://purl.org/dc/terms/" xmlns:xsi="http://www.w3.org/2001/XMLSchema-instance" xsi:type="dcterms:W3CDTF">2026-08-16T02:15:46Z</dcterms:modified>
  <cp:revision>8</cp:revision>
</cp:coreProperties>
</file>